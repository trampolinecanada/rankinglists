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C274294-46C1-5D44-B589-112E9C666A0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L35" i="22" l="1"/>
  <c r="RK35" i="22"/>
  <c r="RJ35" i="22"/>
  <c r="RI35" i="22"/>
  <c r="RH35" i="22"/>
  <c r="RG35" i="22"/>
  <c r="RE35" i="22"/>
  <c r="RD35" i="22"/>
  <c r="RC35" i="22"/>
  <c r="RB35" i="22"/>
  <c r="RA35" i="22"/>
  <c r="QZ35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33" i="22"/>
  <c r="RK33" i="22"/>
  <c r="RJ33" i="22"/>
  <c r="RI33" i="22"/>
  <c r="RH33" i="22"/>
  <c r="RG33" i="22"/>
  <c r="RE33" i="22"/>
  <c r="RF33" i="22" s="1"/>
  <c r="RM33" i="22" s="1"/>
  <c r="RD33" i="22"/>
  <c r="RC33" i="22"/>
  <c r="RB33" i="22"/>
  <c r="RA33" i="22"/>
  <c r="QZ33" i="22"/>
  <c r="RL38" i="22"/>
  <c r="RK38" i="22"/>
  <c r="RJ38" i="22"/>
  <c r="RI38" i="22"/>
  <c r="RH38" i="22"/>
  <c r="RG38" i="22"/>
  <c r="RE38" i="22"/>
  <c r="RD38" i="22"/>
  <c r="RC38" i="22"/>
  <c r="RB38" i="22"/>
  <c r="RA38" i="22"/>
  <c r="QZ38" i="22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37" i="22"/>
  <c r="RK37" i="22"/>
  <c r="RJ37" i="22"/>
  <c r="RI37" i="22"/>
  <c r="RH37" i="22"/>
  <c r="RG37" i="22"/>
  <c r="RE37" i="22"/>
  <c r="RD37" i="22"/>
  <c r="RC37" i="22"/>
  <c r="RB37" i="22"/>
  <c r="RA37" i="22"/>
  <c r="QZ37" i="22"/>
  <c r="RL27" i="22"/>
  <c r="RK27" i="22"/>
  <c r="RJ27" i="22"/>
  <c r="RI27" i="22"/>
  <c r="RH27" i="22"/>
  <c r="RG27" i="22"/>
  <c r="RE27" i="22"/>
  <c r="RF27" i="22" s="1"/>
  <c r="RM27" i="22" s="1"/>
  <c r="RD27" i="22"/>
  <c r="RC27" i="22"/>
  <c r="RB27" i="22"/>
  <c r="RA27" i="22"/>
  <c r="QZ27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F8" i="22" s="1"/>
  <c r="RM8" i="22" s="1"/>
  <c r="RD8" i="22"/>
  <c r="RC8" i="22"/>
  <c r="RB8" i="22"/>
  <c r="RA8" i="22"/>
  <c r="QZ8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F4" i="22" s="1"/>
  <c r="RM4" i="22" s="1"/>
  <c r="RD4" i="22"/>
  <c r="RC4" i="22"/>
  <c r="RB4" i="22"/>
  <c r="RA4" i="22"/>
  <c r="QZ4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38" i="22"/>
  <c r="QC38" i="22"/>
  <c r="QB38" i="22"/>
  <c r="QA38" i="22"/>
  <c r="PZ38" i="22"/>
  <c r="PY38" i="22"/>
  <c r="PW38" i="22"/>
  <c r="PV38" i="22"/>
  <c r="PU38" i="22"/>
  <c r="PT38" i="22"/>
  <c r="PS38" i="22"/>
  <c r="PR38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37" i="22"/>
  <c r="QC37" i="22"/>
  <c r="QB37" i="22"/>
  <c r="QA37" i="22"/>
  <c r="PZ37" i="22"/>
  <c r="PY37" i="22"/>
  <c r="PW37" i="22"/>
  <c r="PV37" i="22"/>
  <c r="PU37" i="22"/>
  <c r="PT37" i="22"/>
  <c r="PS37" i="22"/>
  <c r="PR37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38" i="22"/>
  <c r="OU38" i="22"/>
  <c r="OT38" i="22"/>
  <c r="OS38" i="22"/>
  <c r="OR38" i="22"/>
  <c r="OQ38" i="22"/>
  <c r="OO38" i="22"/>
  <c r="ON38" i="22"/>
  <c r="OM38" i="22"/>
  <c r="OL38" i="22"/>
  <c r="OK38" i="22"/>
  <c r="OJ38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37" i="22"/>
  <c r="OU37" i="22"/>
  <c r="OT37" i="22"/>
  <c r="OS37" i="22"/>
  <c r="OR37" i="22"/>
  <c r="OQ37" i="22"/>
  <c r="OO37" i="22"/>
  <c r="ON37" i="22"/>
  <c r="OM37" i="22"/>
  <c r="OL37" i="22"/>
  <c r="OK37" i="22"/>
  <c r="OJ37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38" i="22"/>
  <c r="NM38" i="22"/>
  <c r="NL38" i="22"/>
  <c r="NK38" i="22"/>
  <c r="NJ38" i="22"/>
  <c r="NI38" i="22"/>
  <c r="NG38" i="22"/>
  <c r="NF38" i="22"/>
  <c r="NE38" i="22"/>
  <c r="ND38" i="22"/>
  <c r="NC38" i="22"/>
  <c r="NB38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37" i="22"/>
  <c r="NM37" i="22"/>
  <c r="NL37" i="22"/>
  <c r="NK37" i="22"/>
  <c r="NJ37" i="22"/>
  <c r="NI37" i="22"/>
  <c r="NG37" i="22"/>
  <c r="NF37" i="22"/>
  <c r="NE37" i="22"/>
  <c r="ND37" i="22"/>
  <c r="NC37" i="22"/>
  <c r="NB37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38" i="22"/>
  <c r="ME38" i="22"/>
  <c r="MD38" i="22"/>
  <c r="MC38" i="22"/>
  <c r="MB38" i="22"/>
  <c r="MA38" i="22"/>
  <c r="LY38" i="22"/>
  <c r="LX38" i="22"/>
  <c r="LW38" i="22"/>
  <c r="LV38" i="22"/>
  <c r="LU38" i="22"/>
  <c r="LT38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37" i="22"/>
  <c r="ME37" i="22"/>
  <c r="MD37" i="22"/>
  <c r="MC37" i="22"/>
  <c r="MB37" i="22"/>
  <c r="MA37" i="22"/>
  <c r="LY37" i="22"/>
  <c r="LX37" i="22"/>
  <c r="LW37" i="22"/>
  <c r="LV37" i="22"/>
  <c r="LU37" i="22"/>
  <c r="LT37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38" i="22"/>
  <c r="KW38" i="22"/>
  <c r="KV38" i="22"/>
  <c r="KU38" i="22"/>
  <c r="KT38" i="22"/>
  <c r="KS38" i="22"/>
  <c r="KQ38" i="22"/>
  <c r="KP38" i="22"/>
  <c r="KO38" i="22"/>
  <c r="KN38" i="22"/>
  <c r="KM38" i="22"/>
  <c r="KL38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37" i="22"/>
  <c r="KW37" i="22"/>
  <c r="KV37" i="22"/>
  <c r="KU37" i="22"/>
  <c r="KT37" i="22"/>
  <c r="KS37" i="22"/>
  <c r="KQ37" i="22"/>
  <c r="KP37" i="22"/>
  <c r="KO37" i="22"/>
  <c r="KN37" i="22"/>
  <c r="KM37" i="22"/>
  <c r="KL37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38" i="22"/>
  <c r="JO38" i="22"/>
  <c r="JN38" i="22"/>
  <c r="JM38" i="22"/>
  <c r="JL38" i="22"/>
  <c r="JK38" i="22"/>
  <c r="JI38" i="22"/>
  <c r="JH38" i="22"/>
  <c r="JG38" i="22"/>
  <c r="JF38" i="22"/>
  <c r="JE38" i="22"/>
  <c r="JD38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37" i="22"/>
  <c r="JO37" i="22"/>
  <c r="JN37" i="22"/>
  <c r="JM37" i="22"/>
  <c r="JL37" i="22"/>
  <c r="JK37" i="22"/>
  <c r="JI37" i="22"/>
  <c r="JH37" i="22"/>
  <c r="JG37" i="22"/>
  <c r="JF37" i="22"/>
  <c r="JE37" i="22"/>
  <c r="JD37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38" i="22"/>
  <c r="IG38" i="22"/>
  <c r="IF38" i="22"/>
  <c r="IE38" i="22"/>
  <c r="ID38" i="22"/>
  <c r="IC38" i="22"/>
  <c r="IA38" i="22"/>
  <c r="HZ38" i="22"/>
  <c r="HY38" i="22"/>
  <c r="HX38" i="22"/>
  <c r="HW38" i="22"/>
  <c r="HV38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37" i="22"/>
  <c r="IG37" i="22"/>
  <c r="IF37" i="22"/>
  <c r="IE37" i="22"/>
  <c r="ID37" i="22"/>
  <c r="IC37" i="22"/>
  <c r="IA37" i="22"/>
  <c r="HZ37" i="22"/>
  <c r="HY37" i="22"/>
  <c r="HX37" i="22"/>
  <c r="HW37" i="22"/>
  <c r="HV37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38" i="22"/>
  <c r="GY38" i="22"/>
  <c r="GX38" i="22"/>
  <c r="GW38" i="22"/>
  <c r="GV38" i="22"/>
  <c r="GU38" i="22"/>
  <c r="GS38" i="22"/>
  <c r="GR38" i="22"/>
  <c r="GQ38" i="22"/>
  <c r="GP38" i="22"/>
  <c r="GO38" i="22"/>
  <c r="GN38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37" i="22"/>
  <c r="GY37" i="22"/>
  <c r="GX37" i="22"/>
  <c r="GW37" i="22"/>
  <c r="GV37" i="22"/>
  <c r="GU37" i="22"/>
  <c r="GS37" i="22"/>
  <c r="GR37" i="22"/>
  <c r="GQ37" i="22"/>
  <c r="GP37" i="22"/>
  <c r="GO37" i="22"/>
  <c r="GN37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24" i="22"/>
  <c r="GY24" i="22"/>
  <c r="GX24" i="22"/>
  <c r="GW24" i="22"/>
  <c r="GV24" i="22"/>
  <c r="GU24" i="22"/>
  <c r="GS24" i="22"/>
  <c r="GT24" i="22" s="1"/>
  <c r="GR24" i="22"/>
  <c r="GQ24" i="22"/>
  <c r="GP24" i="22"/>
  <c r="GO24" i="22"/>
  <c r="GN24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38" i="22"/>
  <c r="FQ38" i="22"/>
  <c r="FP38" i="22"/>
  <c r="FO38" i="22"/>
  <c r="FN38" i="22"/>
  <c r="FM38" i="22"/>
  <c r="FK38" i="22"/>
  <c r="FJ38" i="22"/>
  <c r="FI38" i="22"/>
  <c r="FH38" i="22"/>
  <c r="FG38" i="22"/>
  <c r="FF38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37" i="22"/>
  <c r="FQ37" i="22"/>
  <c r="FP37" i="22"/>
  <c r="FO37" i="22"/>
  <c r="FN37" i="22"/>
  <c r="FM37" i="22"/>
  <c r="FK37" i="22"/>
  <c r="FJ37" i="22"/>
  <c r="FI37" i="22"/>
  <c r="FH37" i="22"/>
  <c r="FG37" i="22"/>
  <c r="FF37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32" i="22"/>
  <c r="FQ32" i="22"/>
  <c r="FP32" i="22"/>
  <c r="FO32" i="22"/>
  <c r="FN32" i="22"/>
  <c r="FM32" i="22"/>
  <c r="FK32" i="22"/>
  <c r="FL32" i="22" s="1"/>
  <c r="FS32" i="22" s="1"/>
  <c r="FJ32" i="22"/>
  <c r="FI32" i="22"/>
  <c r="FH32" i="22"/>
  <c r="FG32" i="22"/>
  <c r="FF32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22" i="22"/>
  <c r="FQ22" i="22"/>
  <c r="FP22" i="22"/>
  <c r="FO22" i="22"/>
  <c r="FN22" i="22"/>
  <c r="FM22" i="22"/>
  <c r="FK22" i="22"/>
  <c r="FL22" i="22" s="1"/>
  <c r="FS22" i="22" s="1"/>
  <c r="FJ22" i="22"/>
  <c r="FI22" i="22"/>
  <c r="FH22" i="22"/>
  <c r="FG22" i="22"/>
  <c r="FF22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16" i="22"/>
  <c r="FQ16" i="22"/>
  <c r="FP16" i="22"/>
  <c r="FO16" i="22"/>
  <c r="FN16" i="22"/>
  <c r="FM16" i="22"/>
  <c r="FK16" i="22"/>
  <c r="FL16" i="22" s="1"/>
  <c r="FS16" i="22" s="1"/>
  <c r="FJ16" i="22"/>
  <c r="FI16" i="22"/>
  <c r="FH16" i="22"/>
  <c r="FG16" i="22"/>
  <c r="FF16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38" i="22"/>
  <c r="EI38" i="22"/>
  <c r="EH38" i="22"/>
  <c r="EG38" i="22"/>
  <c r="EF38" i="22"/>
  <c r="EE38" i="22"/>
  <c r="EC38" i="22"/>
  <c r="EB38" i="22"/>
  <c r="EA38" i="22"/>
  <c r="DZ38" i="22"/>
  <c r="DY38" i="22"/>
  <c r="DX38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37" i="22"/>
  <c r="EI37" i="22"/>
  <c r="EH37" i="22"/>
  <c r="EG37" i="22"/>
  <c r="EF37" i="22"/>
  <c r="EE37" i="22"/>
  <c r="EC37" i="22"/>
  <c r="EB37" i="22"/>
  <c r="EA37" i="22"/>
  <c r="DZ37" i="22"/>
  <c r="DY37" i="22"/>
  <c r="DX37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AR30" i="21"/>
  <c r="AS30" i="21"/>
  <c r="AT30" i="21"/>
  <c r="AU30" i="21"/>
  <c r="AW30" i="21"/>
  <c r="AX30" i="21"/>
  <c r="BU30" i="21"/>
  <c r="BV30" i="21"/>
  <c r="BW30" i="21"/>
  <c r="BX30" i="21"/>
  <c r="BZ30" i="21"/>
  <c r="CA30" i="21"/>
  <c r="CX30" i="21"/>
  <c r="CY30" i="21"/>
  <c r="CZ30" i="21"/>
  <c r="DA30" i="21"/>
  <c r="DC30" i="21"/>
  <c r="DD30" i="21"/>
  <c r="EC30" i="21"/>
  <c r="ED30" i="21"/>
  <c r="EE30" i="21"/>
  <c r="EF30" i="21"/>
  <c r="EH30" i="21"/>
  <c r="EI30" i="21"/>
  <c r="FE30" i="21"/>
  <c r="FF30" i="21"/>
  <c r="FG30" i="21"/>
  <c r="FH30" i="21"/>
  <c r="FJ30" i="21"/>
  <c r="FK30" i="21"/>
  <c r="GG30" i="21"/>
  <c r="GH30" i="21"/>
  <c r="GI30" i="21"/>
  <c r="GJ30" i="21"/>
  <c r="GL30" i="21"/>
  <c r="GM30" i="21"/>
  <c r="HI30" i="21"/>
  <c r="HJ30" i="21"/>
  <c r="HK30" i="21"/>
  <c r="HL30" i="21"/>
  <c r="HN30" i="21"/>
  <c r="HO30" i="21"/>
  <c r="IK30" i="21"/>
  <c r="IL30" i="21"/>
  <c r="IM30" i="21"/>
  <c r="IN30" i="21"/>
  <c r="IP30" i="21"/>
  <c r="IQ30" i="21"/>
  <c r="JM30" i="21"/>
  <c r="JN30" i="21"/>
  <c r="JO30" i="21"/>
  <c r="JP30" i="21"/>
  <c r="JR30" i="21"/>
  <c r="JS30" i="21"/>
  <c r="KO30" i="21"/>
  <c r="KP30" i="21"/>
  <c r="KQ30" i="21"/>
  <c r="KR30" i="21"/>
  <c r="KT30" i="21"/>
  <c r="KU30" i="21"/>
  <c r="LQ30" i="21"/>
  <c r="LR30" i="21"/>
  <c r="LS30" i="21"/>
  <c r="LT30" i="21"/>
  <c r="LV30" i="21"/>
  <c r="LW30" i="21"/>
  <c r="MS30" i="21"/>
  <c r="MT30" i="21"/>
  <c r="MU30" i="21"/>
  <c r="MV30" i="21"/>
  <c r="MX30" i="21"/>
  <c r="MY30" i="21"/>
  <c r="NU30" i="21"/>
  <c r="NV30" i="21"/>
  <c r="NW30" i="21"/>
  <c r="NX30" i="21"/>
  <c r="NZ30" i="21"/>
  <c r="OA30" i="21"/>
  <c r="OW30" i="21"/>
  <c r="OX30" i="21"/>
  <c r="OY30" i="21"/>
  <c r="OZ30" i="21"/>
  <c r="PB30" i="21"/>
  <c r="PC30" i="21"/>
  <c r="PY30" i="21"/>
  <c r="PZ30" i="21"/>
  <c r="QC30" i="21" s="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1" i="21"/>
  <c r="AS21" i="21"/>
  <c r="AT21" i="21"/>
  <c r="AU21" i="21"/>
  <c r="AW21" i="21"/>
  <c r="AX21" i="21"/>
  <c r="BU21" i="21"/>
  <c r="BV21" i="21"/>
  <c r="BW21" i="21"/>
  <c r="BX21" i="21"/>
  <c r="BZ21" i="21"/>
  <c r="CA21" i="21"/>
  <c r="CX21" i="21"/>
  <c r="CY21" i="21"/>
  <c r="CZ21" i="21"/>
  <c r="DA21" i="21"/>
  <c r="DC21" i="21"/>
  <c r="DD21" i="21"/>
  <c r="EC21" i="21"/>
  <c r="ED21" i="21"/>
  <c r="EE21" i="21"/>
  <c r="EF21" i="21"/>
  <c r="EH21" i="21"/>
  <c r="EI21" i="21"/>
  <c r="FE21" i="21"/>
  <c r="FF21" i="21"/>
  <c r="FG21" i="21"/>
  <c r="FH21" i="21"/>
  <c r="FJ21" i="21"/>
  <c r="FK21" i="21"/>
  <c r="GG21" i="21"/>
  <c r="GH21" i="21"/>
  <c r="GK21" i="21" s="1"/>
  <c r="GI21" i="21"/>
  <c r="GJ21" i="21"/>
  <c r="GL21" i="21"/>
  <c r="GM21" i="21"/>
  <c r="HI21" i="21"/>
  <c r="HJ21" i="21"/>
  <c r="HK21" i="21"/>
  <c r="HL21" i="21"/>
  <c r="HN21" i="21"/>
  <c r="HO21" i="21"/>
  <c r="IK21" i="21"/>
  <c r="IL21" i="21"/>
  <c r="IM21" i="21"/>
  <c r="IN21" i="21"/>
  <c r="IP21" i="21"/>
  <c r="IQ21" i="21"/>
  <c r="JM21" i="21"/>
  <c r="JN21" i="21"/>
  <c r="JO21" i="21"/>
  <c r="JP21" i="21"/>
  <c r="JR21" i="21"/>
  <c r="JS21" i="21"/>
  <c r="KO21" i="21"/>
  <c r="KP21" i="21"/>
  <c r="KQ21" i="21"/>
  <c r="KR21" i="21"/>
  <c r="KT21" i="21"/>
  <c r="KU21" i="21"/>
  <c r="LQ21" i="21"/>
  <c r="LR21" i="21"/>
  <c r="LS21" i="21"/>
  <c r="LT21" i="21"/>
  <c r="LV21" i="21"/>
  <c r="LW21" i="21"/>
  <c r="MS21" i="21"/>
  <c r="MT21" i="21"/>
  <c r="MU21" i="21"/>
  <c r="MV21" i="21"/>
  <c r="MX21" i="21"/>
  <c r="MY21" i="21"/>
  <c r="NU21" i="21"/>
  <c r="NV21" i="21"/>
  <c r="NW21" i="21"/>
  <c r="NX21" i="21"/>
  <c r="NZ21" i="21"/>
  <c r="OA21" i="21"/>
  <c r="OW21" i="21"/>
  <c r="OX21" i="21"/>
  <c r="PA21" i="21" s="1"/>
  <c r="OY21" i="21"/>
  <c r="OZ21" i="21"/>
  <c r="PB21" i="21"/>
  <c r="PC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AR18" i="21"/>
  <c r="AS18" i="21"/>
  <c r="AV18" i="21" s="1"/>
  <c r="AT18" i="21"/>
  <c r="AU18" i="21"/>
  <c r="AW18" i="21"/>
  <c r="AX18" i="21"/>
  <c r="BU18" i="21"/>
  <c r="BV18" i="21"/>
  <c r="BW18" i="21"/>
  <c r="BX18" i="21"/>
  <c r="BZ18" i="21"/>
  <c r="CA18" i="21"/>
  <c r="CX18" i="21"/>
  <c r="CY18" i="21"/>
  <c r="CZ18" i="21"/>
  <c r="DA18" i="21"/>
  <c r="DC18" i="21"/>
  <c r="DD18" i="21"/>
  <c r="EC18" i="21"/>
  <c r="ED18" i="21"/>
  <c r="EE18" i="21"/>
  <c r="EF18" i="21"/>
  <c r="EH18" i="21"/>
  <c r="EI18" i="21"/>
  <c r="FE18" i="21"/>
  <c r="FF18" i="21"/>
  <c r="FG18" i="21"/>
  <c r="FH18" i="21"/>
  <c r="FJ18" i="21"/>
  <c r="FK18" i="21"/>
  <c r="GG18" i="21"/>
  <c r="GH18" i="21"/>
  <c r="GI18" i="21"/>
  <c r="GJ18" i="21"/>
  <c r="GL18" i="21"/>
  <c r="GM18" i="21"/>
  <c r="HI18" i="21"/>
  <c r="HJ18" i="21"/>
  <c r="HK18" i="21"/>
  <c r="HL18" i="21"/>
  <c r="HN18" i="21"/>
  <c r="HO18" i="21"/>
  <c r="IK18" i="21"/>
  <c r="IL18" i="21"/>
  <c r="IM18" i="21"/>
  <c r="IN18" i="21"/>
  <c r="IP18" i="21"/>
  <c r="IQ18" i="21"/>
  <c r="JM18" i="21"/>
  <c r="JN18" i="21"/>
  <c r="JO18" i="21"/>
  <c r="JP18" i="21"/>
  <c r="JR18" i="21"/>
  <c r="JS18" i="21"/>
  <c r="KO18" i="21"/>
  <c r="KP18" i="21"/>
  <c r="KQ18" i="21"/>
  <c r="KR18" i="21"/>
  <c r="KT18" i="21"/>
  <c r="KU18" i="21"/>
  <c r="LQ18" i="21"/>
  <c r="LR18" i="21"/>
  <c r="LS18" i="21"/>
  <c r="LT18" i="21"/>
  <c r="LV18" i="21"/>
  <c r="LW18" i="21"/>
  <c r="MS18" i="21"/>
  <c r="MT18" i="21"/>
  <c r="MU18" i="21"/>
  <c r="MV18" i="21"/>
  <c r="MX18" i="21"/>
  <c r="MY18" i="21"/>
  <c r="NU18" i="21"/>
  <c r="NV18" i="21"/>
  <c r="NW18" i="21"/>
  <c r="NX18" i="21"/>
  <c r="NZ18" i="21"/>
  <c r="OA18" i="21"/>
  <c r="OW18" i="21"/>
  <c r="OX18" i="21"/>
  <c r="OY18" i="21"/>
  <c r="OZ18" i="21"/>
  <c r="PB18" i="21"/>
  <c r="PC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AR15" i="2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GG15" i="21"/>
  <c r="GH15" i="2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JM15" i="21"/>
  <c r="JN15" i="21"/>
  <c r="JO15" i="21"/>
  <c r="JP15" i="21"/>
  <c r="JR15" i="21"/>
  <c r="JS15" i="21"/>
  <c r="KO15" i="21"/>
  <c r="KP15" i="2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R17" i="21"/>
  <c r="AS17" i="21"/>
  <c r="AT17" i="21"/>
  <c r="AU17" i="21"/>
  <c r="AW17" i="21"/>
  <c r="AX17" i="21"/>
  <c r="BU17" i="21"/>
  <c r="BV17" i="21"/>
  <c r="BW17" i="21"/>
  <c r="BX17" i="21"/>
  <c r="BZ17" i="21"/>
  <c r="CA17" i="21"/>
  <c r="CX17" i="21"/>
  <c r="CY17" i="21"/>
  <c r="CZ17" i="21"/>
  <c r="DA17" i="21"/>
  <c r="DC17" i="21"/>
  <c r="DD17" i="21"/>
  <c r="EC17" i="21"/>
  <c r="ED17" i="21"/>
  <c r="EE17" i="21"/>
  <c r="EF17" i="21"/>
  <c r="EH17" i="21"/>
  <c r="EI17" i="21"/>
  <c r="FE17" i="21"/>
  <c r="FF17" i="21"/>
  <c r="FG17" i="21"/>
  <c r="FH17" i="21"/>
  <c r="FJ17" i="21"/>
  <c r="FK17" i="21"/>
  <c r="GG17" i="21"/>
  <c r="GH17" i="21"/>
  <c r="GI17" i="21"/>
  <c r="GJ17" i="21"/>
  <c r="GL17" i="21"/>
  <c r="GM17" i="21"/>
  <c r="HI17" i="21"/>
  <c r="HJ17" i="21"/>
  <c r="HK17" i="21"/>
  <c r="HL17" i="21"/>
  <c r="HN17" i="21"/>
  <c r="HO17" i="21"/>
  <c r="IK17" i="21"/>
  <c r="IL17" i="21"/>
  <c r="IM17" i="21"/>
  <c r="IN17" i="21"/>
  <c r="IP17" i="21"/>
  <c r="IQ17" i="21"/>
  <c r="JM17" i="21"/>
  <c r="JN17" i="21"/>
  <c r="JO17" i="21"/>
  <c r="JP17" i="21"/>
  <c r="JR17" i="21"/>
  <c r="JS17" i="21"/>
  <c r="KO17" i="21"/>
  <c r="KP17" i="21"/>
  <c r="KQ17" i="21"/>
  <c r="KR17" i="21"/>
  <c r="KT17" i="21"/>
  <c r="KU17" i="21"/>
  <c r="LQ17" i="21"/>
  <c r="LR17" i="21"/>
  <c r="LS17" i="21"/>
  <c r="LT17" i="21"/>
  <c r="LV17" i="21"/>
  <c r="LW17" i="21"/>
  <c r="MS17" i="21"/>
  <c r="MT17" i="21"/>
  <c r="MU17" i="21"/>
  <c r="MV17" i="21"/>
  <c r="MX17" i="21"/>
  <c r="MY17" i="21"/>
  <c r="NU17" i="21"/>
  <c r="NV17" i="21"/>
  <c r="NW17" i="21"/>
  <c r="NX17" i="21"/>
  <c r="NZ17" i="21"/>
  <c r="OA17" i="21"/>
  <c r="OW17" i="21"/>
  <c r="OX17" i="21"/>
  <c r="OY17" i="21"/>
  <c r="OZ17" i="21"/>
  <c r="PB17" i="21"/>
  <c r="PC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AR20" i="21"/>
  <c r="AS20" i="21"/>
  <c r="AT20" i="21"/>
  <c r="AU20" i="21"/>
  <c r="AW20" i="21"/>
  <c r="AX20" i="21"/>
  <c r="BU20" i="21"/>
  <c r="BV20" i="21"/>
  <c r="BW20" i="21"/>
  <c r="BX20" i="21"/>
  <c r="BZ20" i="21"/>
  <c r="CA20" i="21"/>
  <c r="CX20" i="21"/>
  <c r="CY20" i="21"/>
  <c r="CZ20" i="21"/>
  <c r="DA20" i="21"/>
  <c r="DC20" i="21"/>
  <c r="DD20" i="21"/>
  <c r="EC20" i="21"/>
  <c r="ED20" i="21"/>
  <c r="EE20" i="21"/>
  <c r="EF20" i="21"/>
  <c r="EH20" i="21"/>
  <c r="EI20" i="21"/>
  <c r="FE20" i="21"/>
  <c r="FF20" i="21"/>
  <c r="FG20" i="21"/>
  <c r="FH20" i="21"/>
  <c r="FJ20" i="21"/>
  <c r="FK20" i="21"/>
  <c r="GG20" i="21"/>
  <c r="GH20" i="21"/>
  <c r="GK20" i="21" s="1"/>
  <c r="GI20" i="21"/>
  <c r="GJ20" i="21"/>
  <c r="GL20" i="21"/>
  <c r="GM20" i="21"/>
  <c r="HI20" i="21"/>
  <c r="HJ20" i="21"/>
  <c r="HK20" i="21"/>
  <c r="HL20" i="21"/>
  <c r="HN20" i="21"/>
  <c r="HO20" i="21"/>
  <c r="IK20" i="21"/>
  <c r="IL20" i="21"/>
  <c r="IM20" i="21"/>
  <c r="IN20" i="21"/>
  <c r="IP20" i="21"/>
  <c r="IQ20" i="21"/>
  <c r="JM20" i="21"/>
  <c r="JN20" i="21"/>
  <c r="JO20" i="21"/>
  <c r="JP20" i="21"/>
  <c r="JR20" i="21"/>
  <c r="JS20" i="21"/>
  <c r="KO20" i="21"/>
  <c r="KP20" i="21"/>
  <c r="KQ20" i="21"/>
  <c r="KR20" i="21"/>
  <c r="KT20" i="21"/>
  <c r="KU20" i="21"/>
  <c r="LQ20" i="21"/>
  <c r="LR20" i="21"/>
  <c r="LS20" i="21"/>
  <c r="LT20" i="21"/>
  <c r="LV20" i="21"/>
  <c r="LW20" i="21"/>
  <c r="MS20" i="21"/>
  <c r="MT20" i="21"/>
  <c r="MU20" i="21"/>
  <c r="MV20" i="21"/>
  <c r="MX20" i="21"/>
  <c r="MY20" i="21"/>
  <c r="NU20" i="21"/>
  <c r="NV20" i="21"/>
  <c r="NW20" i="21"/>
  <c r="NX20" i="21"/>
  <c r="NZ20" i="21"/>
  <c r="OA20" i="21"/>
  <c r="OW20" i="21"/>
  <c r="OX20" i="21"/>
  <c r="OY20" i="21"/>
  <c r="OZ20" i="21"/>
  <c r="PB20" i="21"/>
  <c r="PC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AR25" i="21"/>
  <c r="AS25" i="21"/>
  <c r="AT25" i="21"/>
  <c r="AU25" i="21"/>
  <c r="AW25" i="21"/>
  <c r="AX25" i="21"/>
  <c r="BU25" i="21"/>
  <c r="BV25" i="21"/>
  <c r="BW25" i="21"/>
  <c r="BX25" i="21"/>
  <c r="BZ25" i="21"/>
  <c r="CA25" i="21"/>
  <c r="CX25" i="21"/>
  <c r="CY25" i="21"/>
  <c r="CZ25" i="21"/>
  <c r="DA25" i="21"/>
  <c r="DC25" i="21"/>
  <c r="DD25" i="21"/>
  <c r="EC25" i="21"/>
  <c r="ED25" i="21"/>
  <c r="EE25" i="21"/>
  <c r="EF25" i="21"/>
  <c r="EH25" i="21"/>
  <c r="EI25" i="21"/>
  <c r="FE25" i="21"/>
  <c r="FF25" i="21"/>
  <c r="FG25" i="21"/>
  <c r="FH25" i="21"/>
  <c r="FJ25" i="21"/>
  <c r="FK25" i="21"/>
  <c r="GG25" i="21"/>
  <c r="GH25" i="21"/>
  <c r="GI25" i="21"/>
  <c r="GJ25" i="21"/>
  <c r="GL25" i="21"/>
  <c r="GM25" i="21"/>
  <c r="HI25" i="21"/>
  <c r="HJ25" i="21"/>
  <c r="HK25" i="21"/>
  <c r="HL25" i="21"/>
  <c r="HN25" i="21"/>
  <c r="HO25" i="21"/>
  <c r="IK25" i="21"/>
  <c r="IL25" i="21"/>
  <c r="IM25" i="21"/>
  <c r="IN25" i="21"/>
  <c r="IP25" i="21"/>
  <c r="IQ25" i="21"/>
  <c r="JM25" i="21"/>
  <c r="JN25" i="21"/>
  <c r="JO25" i="21"/>
  <c r="JP25" i="21"/>
  <c r="JR25" i="21"/>
  <c r="JS25" i="21"/>
  <c r="KO25" i="21"/>
  <c r="KP25" i="21"/>
  <c r="KQ25" i="21"/>
  <c r="KR25" i="21"/>
  <c r="KT25" i="21"/>
  <c r="KU25" i="21"/>
  <c r="LQ25" i="21"/>
  <c r="LR25" i="21"/>
  <c r="LS25" i="21"/>
  <c r="LT25" i="21"/>
  <c r="LV25" i="21"/>
  <c r="LW25" i="21"/>
  <c r="MS25" i="21"/>
  <c r="MT25" i="21"/>
  <c r="MU25" i="21"/>
  <c r="MV25" i="21"/>
  <c r="MX25" i="21"/>
  <c r="MY25" i="21"/>
  <c r="NU25" i="21"/>
  <c r="NV25" i="21"/>
  <c r="NW25" i="21"/>
  <c r="NX25" i="21"/>
  <c r="NZ25" i="21"/>
  <c r="OA25" i="21"/>
  <c r="OW25" i="21"/>
  <c r="OX25" i="21"/>
  <c r="OY25" i="21"/>
  <c r="OZ25" i="21"/>
  <c r="PB25" i="21"/>
  <c r="PC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AR27" i="21"/>
  <c r="AS27" i="21"/>
  <c r="AT27" i="21"/>
  <c r="AU27" i="21"/>
  <c r="AW27" i="21"/>
  <c r="AX27" i="21"/>
  <c r="BU27" i="21"/>
  <c r="BV27" i="21"/>
  <c r="BW27" i="21"/>
  <c r="BX27" i="21"/>
  <c r="BZ27" i="21"/>
  <c r="CA27" i="21"/>
  <c r="CX27" i="21"/>
  <c r="CY27" i="21"/>
  <c r="CZ27" i="21"/>
  <c r="DA27" i="21"/>
  <c r="DC27" i="21"/>
  <c r="DD27" i="21"/>
  <c r="EC27" i="21"/>
  <c r="ED27" i="21"/>
  <c r="EE27" i="21"/>
  <c r="EF27" i="21"/>
  <c r="EH27" i="21"/>
  <c r="EI27" i="21"/>
  <c r="FE27" i="21"/>
  <c r="FF27" i="21"/>
  <c r="FG27" i="21"/>
  <c r="FH27" i="21"/>
  <c r="FJ27" i="21"/>
  <c r="FK27" i="21"/>
  <c r="GG27" i="21"/>
  <c r="GH27" i="21"/>
  <c r="GI27" i="21"/>
  <c r="GJ27" i="21"/>
  <c r="GL27" i="21"/>
  <c r="GM27" i="21"/>
  <c r="HI27" i="21"/>
  <c r="HJ27" i="21"/>
  <c r="HK27" i="21"/>
  <c r="HL27" i="21"/>
  <c r="HN27" i="21"/>
  <c r="HO27" i="21"/>
  <c r="IK27" i="21"/>
  <c r="IL27" i="21"/>
  <c r="IM27" i="21"/>
  <c r="IN27" i="21"/>
  <c r="IP27" i="21"/>
  <c r="IQ27" i="21"/>
  <c r="JM27" i="21"/>
  <c r="JN27" i="21"/>
  <c r="JO27" i="21"/>
  <c r="JP27" i="21"/>
  <c r="JR27" i="21"/>
  <c r="JS27" i="21"/>
  <c r="KO27" i="21"/>
  <c r="KP27" i="21"/>
  <c r="KQ27" i="21"/>
  <c r="KR27" i="21"/>
  <c r="KT27" i="21"/>
  <c r="KU27" i="21"/>
  <c r="LQ27" i="21"/>
  <c r="LR27" i="21"/>
  <c r="LS27" i="21"/>
  <c r="LT27" i="21"/>
  <c r="LV27" i="21"/>
  <c r="LW27" i="21"/>
  <c r="MS27" i="21"/>
  <c r="MT27" i="21"/>
  <c r="MU27" i="21"/>
  <c r="MV27" i="21"/>
  <c r="MX27" i="21"/>
  <c r="MY27" i="21"/>
  <c r="NU27" i="21"/>
  <c r="NV27" i="21"/>
  <c r="NW27" i="21"/>
  <c r="NX27" i="21"/>
  <c r="NZ27" i="21"/>
  <c r="OA27" i="21"/>
  <c r="OW27" i="21"/>
  <c r="OX27" i="21"/>
  <c r="OY27" i="21"/>
  <c r="OZ27" i="21"/>
  <c r="PB27" i="21"/>
  <c r="PC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AR24" i="21"/>
  <c r="AS24" i="21"/>
  <c r="AT24" i="21"/>
  <c r="AU24" i="21"/>
  <c r="AW24" i="21"/>
  <c r="AX24" i="21"/>
  <c r="BU24" i="21"/>
  <c r="BV24" i="21"/>
  <c r="BW24" i="21"/>
  <c r="BX24" i="21"/>
  <c r="BZ24" i="21"/>
  <c r="CA24" i="21"/>
  <c r="CX24" i="21"/>
  <c r="CY24" i="21"/>
  <c r="CZ24" i="21"/>
  <c r="DA24" i="21"/>
  <c r="DC24" i="21"/>
  <c r="DD24" i="21"/>
  <c r="EC24" i="21"/>
  <c r="ED24" i="21"/>
  <c r="EE24" i="21"/>
  <c r="EF24" i="21"/>
  <c r="EH24" i="21"/>
  <c r="EI24" i="21"/>
  <c r="FE24" i="21"/>
  <c r="FF24" i="21"/>
  <c r="FG24" i="21"/>
  <c r="FH24" i="21"/>
  <c r="FJ24" i="21"/>
  <c r="FK24" i="21"/>
  <c r="GG24" i="21"/>
  <c r="GH24" i="21"/>
  <c r="GI24" i="21"/>
  <c r="GJ24" i="21"/>
  <c r="GL24" i="21"/>
  <c r="GM24" i="21"/>
  <c r="HI24" i="21"/>
  <c r="HJ24" i="21"/>
  <c r="HK24" i="21"/>
  <c r="HL24" i="21"/>
  <c r="HN24" i="21"/>
  <c r="HO24" i="21"/>
  <c r="IK24" i="21"/>
  <c r="IL24" i="21"/>
  <c r="IM24" i="21"/>
  <c r="IN24" i="21"/>
  <c r="IP24" i="21"/>
  <c r="IQ24" i="21"/>
  <c r="JM24" i="21"/>
  <c r="JN24" i="21"/>
  <c r="JO24" i="21"/>
  <c r="JP24" i="21"/>
  <c r="JR24" i="21"/>
  <c r="JS24" i="21"/>
  <c r="KO24" i="21"/>
  <c r="KP24" i="21"/>
  <c r="KQ24" i="21"/>
  <c r="KR24" i="21"/>
  <c r="KT24" i="21"/>
  <c r="KU24" i="21"/>
  <c r="LQ24" i="21"/>
  <c r="LR24" i="21"/>
  <c r="LS24" i="21"/>
  <c r="LT24" i="21"/>
  <c r="LV24" i="21"/>
  <c r="LW24" i="21"/>
  <c r="MS24" i="21"/>
  <c r="MT24" i="21"/>
  <c r="MU24" i="21"/>
  <c r="MV24" i="21"/>
  <c r="MX24" i="21"/>
  <c r="MY24" i="21"/>
  <c r="NU24" i="21"/>
  <c r="NV24" i="21"/>
  <c r="NW24" i="21"/>
  <c r="NX24" i="21"/>
  <c r="NZ24" i="21"/>
  <c r="OA24" i="21"/>
  <c r="OW24" i="21"/>
  <c r="OX24" i="21"/>
  <c r="OY24" i="21"/>
  <c r="OZ24" i="21"/>
  <c r="PB24" i="21"/>
  <c r="PC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AR31" i="21"/>
  <c r="AS31" i="21"/>
  <c r="AT31" i="21"/>
  <c r="AU31" i="21"/>
  <c r="AW31" i="21"/>
  <c r="AX31" i="21"/>
  <c r="BU31" i="21"/>
  <c r="BV31" i="21"/>
  <c r="BW31" i="21"/>
  <c r="BX31" i="21"/>
  <c r="BZ31" i="21"/>
  <c r="CA31" i="21"/>
  <c r="CX31" i="21"/>
  <c r="CY31" i="21"/>
  <c r="CZ31" i="21"/>
  <c r="DA31" i="21"/>
  <c r="DC31" i="21"/>
  <c r="DD31" i="21"/>
  <c r="EC31" i="21"/>
  <c r="ED31" i="21"/>
  <c r="EE31" i="21"/>
  <c r="EF31" i="21"/>
  <c r="EH31" i="21"/>
  <c r="EI31" i="21"/>
  <c r="FE31" i="21"/>
  <c r="FF31" i="21"/>
  <c r="FG31" i="21"/>
  <c r="FH31" i="21"/>
  <c r="FJ31" i="21"/>
  <c r="FK31" i="21"/>
  <c r="GG31" i="21"/>
  <c r="GH31" i="21"/>
  <c r="GI31" i="21"/>
  <c r="GJ31" i="21"/>
  <c r="GL31" i="21"/>
  <c r="GM31" i="21"/>
  <c r="HI31" i="21"/>
  <c r="HJ31" i="21"/>
  <c r="HK31" i="21"/>
  <c r="HL31" i="21"/>
  <c r="HN31" i="21"/>
  <c r="HO31" i="21"/>
  <c r="IK31" i="21"/>
  <c r="IL31" i="21"/>
  <c r="IM31" i="21"/>
  <c r="IN31" i="21"/>
  <c r="IP31" i="21"/>
  <c r="IQ31" i="21"/>
  <c r="JM31" i="21"/>
  <c r="JN31" i="21"/>
  <c r="JO31" i="21"/>
  <c r="JP31" i="21"/>
  <c r="JR31" i="21"/>
  <c r="JS31" i="21"/>
  <c r="KO31" i="21"/>
  <c r="KP31" i="21"/>
  <c r="KQ31" i="21"/>
  <c r="KR31" i="21"/>
  <c r="KT31" i="21"/>
  <c r="KU31" i="21"/>
  <c r="LQ31" i="21"/>
  <c r="LR31" i="21"/>
  <c r="LS31" i="21"/>
  <c r="LT31" i="21"/>
  <c r="LV31" i="21"/>
  <c r="LW31" i="21"/>
  <c r="MS31" i="21"/>
  <c r="MT31" i="21"/>
  <c r="MU31" i="21"/>
  <c r="MV31" i="21"/>
  <c r="MX31" i="21"/>
  <c r="MY31" i="21"/>
  <c r="NU31" i="21"/>
  <c r="NV31" i="21"/>
  <c r="NW31" i="21"/>
  <c r="NX31" i="21"/>
  <c r="NZ31" i="21"/>
  <c r="OA31" i="21"/>
  <c r="OW31" i="21"/>
  <c r="OX31" i="21"/>
  <c r="OY31" i="21"/>
  <c r="OZ31" i="21"/>
  <c r="PB31" i="21"/>
  <c r="PC31" i="21"/>
  <c r="PY31" i="21"/>
  <c r="PZ31" i="21"/>
  <c r="QA31" i="21"/>
  <c r="QB31" i="21"/>
  <c r="QD31" i="21"/>
  <c r="QE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QX31" i="21"/>
  <c r="QY31" i="21"/>
  <c r="QZ31" i="21"/>
  <c r="AR22" i="19"/>
  <c r="AS22" i="19"/>
  <c r="AT22" i="19"/>
  <c r="AU22" i="19"/>
  <c r="AW22" i="19"/>
  <c r="AX22" i="19"/>
  <c r="BU22" i="19"/>
  <c r="BV22" i="19"/>
  <c r="BW22" i="19"/>
  <c r="BX22" i="19"/>
  <c r="BZ22" i="19"/>
  <c r="CA22" i="19"/>
  <c r="CX22" i="19"/>
  <c r="CY22" i="19"/>
  <c r="CZ22" i="19"/>
  <c r="DA22" i="19"/>
  <c r="DC22" i="19"/>
  <c r="DD22" i="19"/>
  <c r="EC22" i="19"/>
  <c r="ED22" i="19"/>
  <c r="EE22" i="19"/>
  <c r="EF22" i="19"/>
  <c r="EH22" i="19"/>
  <c r="EI22" i="19"/>
  <c r="FE22" i="19"/>
  <c r="FF22" i="19"/>
  <c r="FG22" i="19"/>
  <c r="FH22" i="19"/>
  <c r="FJ22" i="19"/>
  <c r="FK22" i="19"/>
  <c r="GG22" i="19"/>
  <c r="GH22" i="19"/>
  <c r="GI22" i="19"/>
  <c r="GJ22" i="19"/>
  <c r="GL22" i="19"/>
  <c r="GM22" i="19"/>
  <c r="HI22" i="19"/>
  <c r="HJ22" i="19"/>
  <c r="HK22" i="19"/>
  <c r="HL22" i="19"/>
  <c r="HN22" i="19"/>
  <c r="HO22" i="19"/>
  <c r="IK22" i="19"/>
  <c r="IL22" i="19"/>
  <c r="IM22" i="19"/>
  <c r="IN22" i="19"/>
  <c r="IP22" i="19"/>
  <c r="IQ22" i="19"/>
  <c r="JM22" i="19"/>
  <c r="JN22" i="19"/>
  <c r="JO22" i="19"/>
  <c r="JP22" i="19"/>
  <c r="JR22" i="19"/>
  <c r="JS22" i="19"/>
  <c r="KO22" i="19"/>
  <c r="KP22" i="19"/>
  <c r="KQ22" i="19"/>
  <c r="KR22" i="19"/>
  <c r="KT22" i="19"/>
  <c r="KU22" i="19"/>
  <c r="LQ22" i="19"/>
  <c r="LR22" i="19"/>
  <c r="LS22" i="19"/>
  <c r="LT22" i="19"/>
  <c r="LV22" i="19"/>
  <c r="LW22" i="19"/>
  <c r="MS22" i="19"/>
  <c r="MT22" i="19"/>
  <c r="MU22" i="19"/>
  <c r="MV22" i="19"/>
  <c r="MX22" i="19"/>
  <c r="MY22" i="19"/>
  <c r="NU22" i="19"/>
  <c r="NV22" i="19"/>
  <c r="NW22" i="19"/>
  <c r="NX22" i="19"/>
  <c r="NZ22" i="19"/>
  <c r="OA22" i="19"/>
  <c r="OW22" i="19"/>
  <c r="OX22" i="19"/>
  <c r="OY22" i="19"/>
  <c r="OZ22" i="19"/>
  <c r="PB22" i="19"/>
  <c r="PC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EC34" i="19"/>
  <c r="ED34" i="19"/>
  <c r="EE34" i="19"/>
  <c r="EF34" i="19"/>
  <c r="EH34" i="19"/>
  <c r="EI34" i="19"/>
  <c r="FE34" i="19"/>
  <c r="FF34" i="19"/>
  <c r="FG34" i="19"/>
  <c r="FH34" i="19"/>
  <c r="FJ34" i="19"/>
  <c r="FK34" i="19"/>
  <c r="GG34" i="19"/>
  <c r="GH34" i="19"/>
  <c r="GI34" i="19"/>
  <c r="GJ34" i="19"/>
  <c r="GL34" i="19"/>
  <c r="GM34" i="19"/>
  <c r="HI34" i="19"/>
  <c r="HJ34" i="19"/>
  <c r="HK34" i="19"/>
  <c r="HL34" i="19"/>
  <c r="HN34" i="19"/>
  <c r="HO34" i="19"/>
  <c r="IK34" i="19"/>
  <c r="IL34" i="19"/>
  <c r="IM34" i="19"/>
  <c r="IN34" i="19"/>
  <c r="IP34" i="19"/>
  <c r="IQ34" i="19"/>
  <c r="JM34" i="19"/>
  <c r="JN34" i="19"/>
  <c r="JO34" i="19"/>
  <c r="JP34" i="19"/>
  <c r="JR34" i="19"/>
  <c r="JS34" i="19"/>
  <c r="KO34" i="19"/>
  <c r="KP34" i="19"/>
  <c r="KQ34" i="19"/>
  <c r="KR34" i="19"/>
  <c r="KT34" i="19"/>
  <c r="KU34" i="19"/>
  <c r="LQ34" i="19"/>
  <c r="LR34" i="19"/>
  <c r="LS34" i="19"/>
  <c r="LT34" i="19"/>
  <c r="LV34" i="19"/>
  <c r="LW34" i="19"/>
  <c r="MS34" i="19"/>
  <c r="MT34" i="19"/>
  <c r="MU34" i="19"/>
  <c r="MV34" i="19"/>
  <c r="MX34" i="19"/>
  <c r="MY34" i="19"/>
  <c r="NU34" i="19"/>
  <c r="NV34" i="19"/>
  <c r="NW34" i="19"/>
  <c r="NX34" i="19"/>
  <c r="NZ34" i="19"/>
  <c r="OA34" i="19"/>
  <c r="OW34" i="19"/>
  <c r="OX34" i="19"/>
  <c r="OY34" i="19"/>
  <c r="OZ34" i="19"/>
  <c r="PB34" i="19"/>
  <c r="PC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AR35" i="19"/>
  <c r="AS35" i="19"/>
  <c r="AT35" i="19"/>
  <c r="AU35" i="19"/>
  <c r="AW35" i="19"/>
  <c r="AX35" i="19"/>
  <c r="BU35" i="19"/>
  <c r="BV35" i="19"/>
  <c r="BW35" i="19"/>
  <c r="BX35" i="19"/>
  <c r="BZ35" i="19"/>
  <c r="CA35" i="19"/>
  <c r="CX35" i="19"/>
  <c r="CY35" i="19"/>
  <c r="CZ35" i="19"/>
  <c r="DA35" i="19"/>
  <c r="DC35" i="19"/>
  <c r="DD35" i="19"/>
  <c r="EC35" i="19"/>
  <c r="ED35" i="19"/>
  <c r="EE35" i="19"/>
  <c r="EF35" i="19"/>
  <c r="EH35" i="19"/>
  <c r="EI35" i="19"/>
  <c r="FE35" i="19"/>
  <c r="FF35" i="19"/>
  <c r="FG35" i="19"/>
  <c r="FH35" i="19"/>
  <c r="FJ35" i="19"/>
  <c r="FK35" i="19"/>
  <c r="GG35" i="19"/>
  <c r="GH35" i="19"/>
  <c r="GI35" i="19"/>
  <c r="GJ35" i="19"/>
  <c r="GL35" i="19"/>
  <c r="GM35" i="19"/>
  <c r="HI35" i="19"/>
  <c r="HJ35" i="19"/>
  <c r="HK35" i="19"/>
  <c r="HL35" i="19"/>
  <c r="HN35" i="19"/>
  <c r="HO35" i="19"/>
  <c r="IK35" i="19"/>
  <c r="IL35" i="19"/>
  <c r="IM35" i="19"/>
  <c r="IN35" i="19"/>
  <c r="IP35" i="19"/>
  <c r="IQ35" i="19"/>
  <c r="JM35" i="19"/>
  <c r="JN35" i="19"/>
  <c r="JO35" i="19"/>
  <c r="JP35" i="19"/>
  <c r="JR35" i="19"/>
  <c r="JS35" i="19"/>
  <c r="KO35" i="19"/>
  <c r="KP35" i="19"/>
  <c r="KQ35" i="19"/>
  <c r="KR35" i="19"/>
  <c r="KT35" i="19"/>
  <c r="KU35" i="19"/>
  <c r="LQ35" i="19"/>
  <c r="LR35" i="19"/>
  <c r="LS35" i="19"/>
  <c r="LT35" i="19"/>
  <c r="LV35" i="19"/>
  <c r="LW35" i="19"/>
  <c r="MS35" i="19"/>
  <c r="MT35" i="19"/>
  <c r="MU35" i="19"/>
  <c r="MV35" i="19"/>
  <c r="MX35" i="19"/>
  <c r="MY35" i="19"/>
  <c r="NU35" i="19"/>
  <c r="NV35" i="19"/>
  <c r="NW35" i="19"/>
  <c r="NX35" i="19"/>
  <c r="NZ35" i="19"/>
  <c r="OA35" i="19"/>
  <c r="OW35" i="19"/>
  <c r="OX35" i="19"/>
  <c r="OY35" i="19"/>
  <c r="OZ35" i="19"/>
  <c r="PB35" i="19"/>
  <c r="PC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AR14" i="27"/>
  <c r="AS14" i="27"/>
  <c r="AT14" i="27"/>
  <c r="AU14" i="27"/>
  <c r="AW14" i="27"/>
  <c r="AX14" i="27"/>
  <c r="BU14" i="27"/>
  <c r="BV14" i="27"/>
  <c r="BW14" i="27"/>
  <c r="BX14" i="27"/>
  <c r="BZ14" i="27"/>
  <c r="CA14" i="27"/>
  <c r="CX14" i="27"/>
  <c r="CY14" i="27"/>
  <c r="CZ14" i="27"/>
  <c r="DA14" i="27"/>
  <c r="DC14" i="27"/>
  <c r="DD14" i="27"/>
  <c r="EC14" i="27"/>
  <c r="ED14" i="27"/>
  <c r="EE14" i="27"/>
  <c r="EF14" i="27"/>
  <c r="EH14" i="27"/>
  <c r="EI14" i="27"/>
  <c r="FE14" i="27"/>
  <c r="FF14" i="27"/>
  <c r="FG14" i="27"/>
  <c r="FH14" i="27"/>
  <c r="FJ14" i="27"/>
  <c r="FK14" i="27"/>
  <c r="GG14" i="27"/>
  <c r="GH14" i="27"/>
  <c r="GI14" i="27"/>
  <c r="GJ14" i="27"/>
  <c r="GL14" i="27"/>
  <c r="GM14" i="27"/>
  <c r="HI14" i="27"/>
  <c r="HJ14" i="27"/>
  <c r="HK14" i="27"/>
  <c r="HL14" i="27"/>
  <c r="HN14" i="27"/>
  <c r="HO14" i="27"/>
  <c r="IK14" i="27"/>
  <c r="IL14" i="27"/>
  <c r="IM14" i="27"/>
  <c r="IN14" i="27"/>
  <c r="IP14" i="27"/>
  <c r="IQ14" i="27"/>
  <c r="JM14" i="27"/>
  <c r="JN14" i="27"/>
  <c r="JO14" i="27"/>
  <c r="JP14" i="27"/>
  <c r="JR14" i="27"/>
  <c r="JS14" i="27"/>
  <c r="KO14" i="27"/>
  <c r="KP14" i="27"/>
  <c r="KQ14" i="27"/>
  <c r="KR14" i="27"/>
  <c r="KT14" i="27"/>
  <c r="KU14" i="27"/>
  <c r="LQ14" i="27"/>
  <c r="LR14" i="27"/>
  <c r="LS14" i="27"/>
  <c r="LT14" i="27"/>
  <c r="LV14" i="27"/>
  <c r="LW14" i="27"/>
  <c r="MS14" i="27"/>
  <c r="MT14" i="27"/>
  <c r="MU14" i="27"/>
  <c r="MV14" i="27"/>
  <c r="MX14" i="27"/>
  <c r="MY14" i="27"/>
  <c r="NU14" i="27"/>
  <c r="NV14" i="27"/>
  <c r="NW14" i="27"/>
  <c r="NX14" i="27"/>
  <c r="NZ14" i="27"/>
  <c r="OA14" i="27"/>
  <c r="OW14" i="27"/>
  <c r="OX14" i="27"/>
  <c r="OY14" i="27"/>
  <c r="OZ14" i="27"/>
  <c r="PB14" i="27"/>
  <c r="PC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AR21" i="27"/>
  <c r="AS21" i="27"/>
  <c r="AT21" i="27"/>
  <c r="AU21" i="27"/>
  <c r="AW21" i="27"/>
  <c r="AX21" i="27"/>
  <c r="BU21" i="27"/>
  <c r="BV21" i="27"/>
  <c r="BW21" i="27"/>
  <c r="BX21" i="27"/>
  <c r="BZ21" i="27"/>
  <c r="CA21" i="27"/>
  <c r="CX21" i="27"/>
  <c r="CY21" i="27"/>
  <c r="CZ21" i="27"/>
  <c r="DA21" i="27"/>
  <c r="DC21" i="27"/>
  <c r="DD21" i="27"/>
  <c r="EC21" i="27"/>
  <c r="ED21" i="27"/>
  <c r="EE21" i="27"/>
  <c r="EF21" i="27"/>
  <c r="EH21" i="27"/>
  <c r="EI21" i="27"/>
  <c r="FE21" i="27"/>
  <c r="FF21" i="27"/>
  <c r="FG21" i="27"/>
  <c r="FH21" i="27"/>
  <c r="FJ21" i="27"/>
  <c r="FK21" i="27"/>
  <c r="GG21" i="27"/>
  <c r="GH21" i="27"/>
  <c r="GI21" i="27"/>
  <c r="GJ21" i="27"/>
  <c r="GL21" i="27"/>
  <c r="GM21" i="27"/>
  <c r="HI21" i="27"/>
  <c r="HJ21" i="27"/>
  <c r="HK21" i="27"/>
  <c r="HL21" i="27"/>
  <c r="HN21" i="27"/>
  <c r="HO21" i="27"/>
  <c r="IK21" i="27"/>
  <c r="IL21" i="27"/>
  <c r="IM21" i="27"/>
  <c r="IN21" i="27"/>
  <c r="IP21" i="27"/>
  <c r="IQ21" i="27"/>
  <c r="JM21" i="27"/>
  <c r="JN21" i="27"/>
  <c r="JQ21" i="27" s="1"/>
  <c r="JO21" i="27"/>
  <c r="JP21" i="27"/>
  <c r="JR21" i="27"/>
  <c r="JS21" i="27"/>
  <c r="KO21" i="27"/>
  <c r="KP21" i="27"/>
  <c r="KQ21" i="27"/>
  <c r="KR21" i="27"/>
  <c r="KT21" i="27"/>
  <c r="KU21" i="27"/>
  <c r="LQ21" i="27"/>
  <c r="LR21" i="27"/>
  <c r="LS21" i="27"/>
  <c r="LT21" i="27"/>
  <c r="LV21" i="27"/>
  <c r="LW21" i="27"/>
  <c r="MS21" i="27"/>
  <c r="MT21" i="27"/>
  <c r="MU21" i="27"/>
  <c r="MV21" i="27"/>
  <c r="MX21" i="27"/>
  <c r="MY21" i="27"/>
  <c r="NU21" i="27"/>
  <c r="NV21" i="27"/>
  <c r="NW21" i="27"/>
  <c r="NX21" i="27"/>
  <c r="NZ21" i="27"/>
  <c r="OA21" i="27"/>
  <c r="OW21" i="27"/>
  <c r="OX21" i="27"/>
  <c r="OY21" i="27"/>
  <c r="OZ21" i="27"/>
  <c r="PB21" i="27"/>
  <c r="PC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AR23" i="27"/>
  <c r="AS23" i="27"/>
  <c r="AT23" i="27"/>
  <c r="AU23" i="27"/>
  <c r="AW23" i="27"/>
  <c r="AX23" i="27"/>
  <c r="BU23" i="27"/>
  <c r="BV23" i="27"/>
  <c r="BW23" i="27"/>
  <c r="BX23" i="27"/>
  <c r="BZ23" i="27"/>
  <c r="CA23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K23" i="27"/>
  <c r="HL23" i="27"/>
  <c r="HN23" i="27"/>
  <c r="HO23" i="27"/>
  <c r="IK23" i="27"/>
  <c r="IL23" i="27"/>
  <c r="IO23" i="27" s="1"/>
  <c r="IM23" i="27"/>
  <c r="IN23" i="27"/>
  <c r="IP23" i="27"/>
  <c r="IQ23" i="27"/>
  <c r="JM23" i="27"/>
  <c r="JN23" i="27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S23" i="27"/>
  <c r="LT23" i="27"/>
  <c r="LV23" i="27"/>
  <c r="LW23" i="27"/>
  <c r="MS23" i="27"/>
  <c r="MT23" i="27"/>
  <c r="MW23" i="27" s="1"/>
  <c r="MU23" i="27"/>
  <c r="MV23" i="27"/>
  <c r="MX23" i="27"/>
  <c r="MY23" i="27"/>
  <c r="NU23" i="27"/>
  <c r="NV23" i="27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AR22" i="27"/>
  <c r="AS22" i="27"/>
  <c r="AT22" i="27"/>
  <c r="AU22" i="27"/>
  <c r="AW22" i="27"/>
  <c r="AX22" i="27"/>
  <c r="BU22" i="27"/>
  <c r="BV22" i="27"/>
  <c r="BW22" i="27"/>
  <c r="BX22" i="27"/>
  <c r="BZ22" i="27"/>
  <c r="CA22" i="27"/>
  <c r="CX22" i="27"/>
  <c r="CY22" i="27"/>
  <c r="CZ22" i="27"/>
  <c r="DA22" i="27"/>
  <c r="DC22" i="27"/>
  <c r="DD22" i="27"/>
  <c r="EC22" i="27"/>
  <c r="ED22" i="27"/>
  <c r="EE22" i="27"/>
  <c r="EF22" i="27"/>
  <c r="EH22" i="27"/>
  <c r="EI22" i="27"/>
  <c r="FE22" i="27"/>
  <c r="FF22" i="27"/>
  <c r="FG22" i="27"/>
  <c r="FH22" i="27"/>
  <c r="FJ22" i="27"/>
  <c r="FK22" i="27"/>
  <c r="GG22" i="27"/>
  <c r="GH22" i="27"/>
  <c r="GI22" i="27"/>
  <c r="GJ22" i="27"/>
  <c r="GL22" i="27"/>
  <c r="GM22" i="27"/>
  <c r="HI22" i="27"/>
  <c r="HJ22" i="27"/>
  <c r="HK22" i="27"/>
  <c r="HL22" i="27"/>
  <c r="HN22" i="27"/>
  <c r="HO22" i="27"/>
  <c r="IK22" i="27"/>
  <c r="IL22" i="27"/>
  <c r="IM22" i="27"/>
  <c r="IN22" i="27"/>
  <c r="IP22" i="27"/>
  <c r="IQ22" i="27"/>
  <c r="JM22" i="27"/>
  <c r="JN22" i="27"/>
  <c r="JO22" i="27"/>
  <c r="JP22" i="27"/>
  <c r="JR22" i="27"/>
  <c r="JS22" i="27"/>
  <c r="KO22" i="27"/>
  <c r="KP22" i="27"/>
  <c r="KQ22" i="27"/>
  <c r="KR22" i="27"/>
  <c r="KT22" i="27"/>
  <c r="KU22" i="27"/>
  <c r="LQ22" i="27"/>
  <c r="LR22" i="27"/>
  <c r="LS22" i="27"/>
  <c r="LT22" i="27"/>
  <c r="LV22" i="27"/>
  <c r="LW22" i="27"/>
  <c r="MS22" i="27"/>
  <c r="MT22" i="27"/>
  <c r="MU22" i="27"/>
  <c r="MV22" i="27"/>
  <c r="MX22" i="27"/>
  <c r="MY22" i="27"/>
  <c r="NU22" i="27"/>
  <c r="NV22" i="27"/>
  <c r="NW22" i="27"/>
  <c r="NX22" i="27"/>
  <c r="NZ22" i="27"/>
  <c r="OA22" i="27"/>
  <c r="OW22" i="27"/>
  <c r="OX22" i="27"/>
  <c r="OY22" i="27"/>
  <c r="OZ22" i="27"/>
  <c r="PB22" i="27"/>
  <c r="PC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AR24" i="27"/>
  <c r="AS24" i="27"/>
  <c r="AT24" i="27"/>
  <c r="AU24" i="27"/>
  <c r="AW24" i="27"/>
  <c r="AX24" i="27"/>
  <c r="BU24" i="27"/>
  <c r="BV24" i="27"/>
  <c r="BW24" i="27"/>
  <c r="BX24" i="27"/>
  <c r="BZ24" i="27"/>
  <c r="CA24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U24" i="27" s="1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C24" i="27" s="1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AR18" i="27"/>
  <c r="AS18" i="27"/>
  <c r="AT18" i="27"/>
  <c r="AU18" i="27"/>
  <c r="AW18" i="27"/>
  <c r="AX18" i="27"/>
  <c r="BU18" i="27"/>
  <c r="BV18" i="27"/>
  <c r="BW18" i="27"/>
  <c r="BX18" i="27"/>
  <c r="BZ18" i="27"/>
  <c r="CA18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AR25" i="27"/>
  <c r="AS25" i="27"/>
  <c r="AT25" i="27"/>
  <c r="AU25" i="27"/>
  <c r="AW25" i="27"/>
  <c r="AX25" i="27"/>
  <c r="BU25" i="27"/>
  <c r="BV25" i="27"/>
  <c r="BW25" i="27"/>
  <c r="BX25" i="27"/>
  <c r="BZ25" i="27"/>
  <c r="CA25" i="27"/>
  <c r="CX25" i="27"/>
  <c r="CY25" i="27"/>
  <c r="CZ25" i="27"/>
  <c r="DA25" i="27"/>
  <c r="DC25" i="27"/>
  <c r="DD25" i="27"/>
  <c r="EC25" i="27"/>
  <c r="ED25" i="27"/>
  <c r="EE25" i="27"/>
  <c r="EF25" i="27"/>
  <c r="EH25" i="27"/>
  <c r="EI25" i="27"/>
  <c r="FE25" i="27"/>
  <c r="FF25" i="27"/>
  <c r="FI25" i="27" s="1"/>
  <c r="FG25" i="27"/>
  <c r="FH25" i="27"/>
  <c r="FJ25" i="27"/>
  <c r="FK25" i="27"/>
  <c r="GG25" i="27"/>
  <c r="GH25" i="27"/>
  <c r="GI25" i="27"/>
  <c r="GJ25" i="27"/>
  <c r="GL25" i="27"/>
  <c r="GM25" i="27"/>
  <c r="HI25" i="27"/>
  <c r="HJ25" i="27"/>
  <c r="HK25" i="27"/>
  <c r="HL25" i="27"/>
  <c r="HN25" i="27"/>
  <c r="HO25" i="27"/>
  <c r="IK25" i="27"/>
  <c r="IL25" i="27"/>
  <c r="IM25" i="27"/>
  <c r="IN25" i="27"/>
  <c r="IP25" i="27"/>
  <c r="IQ25" i="27"/>
  <c r="JM25" i="27"/>
  <c r="JN25" i="27"/>
  <c r="JQ25" i="27" s="1"/>
  <c r="JO25" i="27"/>
  <c r="JP25" i="27"/>
  <c r="JR25" i="27"/>
  <c r="JS25" i="27"/>
  <c r="KO25" i="27"/>
  <c r="KP25" i="27"/>
  <c r="KQ25" i="27"/>
  <c r="KR25" i="27"/>
  <c r="KT25" i="27"/>
  <c r="KU25" i="27"/>
  <c r="LQ25" i="27"/>
  <c r="LR25" i="27"/>
  <c r="LS25" i="27"/>
  <c r="LT25" i="27"/>
  <c r="LV25" i="27"/>
  <c r="LW25" i="27"/>
  <c r="MS25" i="27"/>
  <c r="MT25" i="27"/>
  <c r="MW25" i="27" s="1"/>
  <c r="MU25" i="27"/>
  <c r="MV25" i="27"/>
  <c r="MX25" i="27"/>
  <c r="MY25" i="27"/>
  <c r="NU25" i="27"/>
  <c r="NV25" i="27"/>
  <c r="NY25" i="27" s="1"/>
  <c r="NW25" i="27"/>
  <c r="NX25" i="27"/>
  <c r="NZ25" i="27"/>
  <c r="OA25" i="27"/>
  <c r="OW25" i="27"/>
  <c r="OX25" i="27"/>
  <c r="OY25" i="27"/>
  <c r="OZ25" i="27"/>
  <c r="PB25" i="27"/>
  <c r="PC25" i="27"/>
  <c r="PY25" i="27"/>
  <c r="PZ25" i="27"/>
  <c r="QA25" i="27"/>
  <c r="QB25" i="27"/>
  <c r="QD25" i="27"/>
  <c r="QE25" i="27"/>
  <c r="QG25" i="27"/>
  <c r="QH25" i="27"/>
  <c r="QI25" i="27"/>
  <c r="QJ25" i="27"/>
  <c r="QK25" i="27"/>
  <c r="QL25" i="27"/>
  <c r="QM25" i="27"/>
  <c r="QN25" i="27"/>
  <c r="QO25" i="27"/>
  <c r="QP25" i="27"/>
  <c r="QQ25" i="27"/>
  <c r="QR25" i="27"/>
  <c r="QS25" i="27"/>
  <c r="QT25" i="27"/>
  <c r="QU25" i="27"/>
  <c r="QV25" i="27"/>
  <c r="QW25" i="27"/>
  <c r="QX25" i="27"/>
  <c r="QY25" i="27"/>
  <c r="QZ25" i="27"/>
  <c r="AR26" i="27"/>
  <c r="AS26" i="27"/>
  <c r="AT26" i="27"/>
  <c r="AU26" i="27"/>
  <c r="AW26" i="27"/>
  <c r="AX26" i="27"/>
  <c r="BU26" i="27"/>
  <c r="BV26" i="27"/>
  <c r="BW26" i="27"/>
  <c r="BX26" i="27"/>
  <c r="BZ26" i="27"/>
  <c r="CA26" i="27"/>
  <c r="CX26" i="27"/>
  <c r="CY26" i="27"/>
  <c r="CZ26" i="27"/>
  <c r="DA26" i="27"/>
  <c r="DC26" i="27"/>
  <c r="DD26" i="27"/>
  <c r="EC26" i="27"/>
  <c r="ED26" i="27"/>
  <c r="EG26" i="27" s="1"/>
  <c r="EE26" i="27"/>
  <c r="EF26" i="27"/>
  <c r="EH26" i="27"/>
  <c r="EI26" i="27"/>
  <c r="FE26" i="27"/>
  <c r="FF26" i="27"/>
  <c r="FG26" i="27"/>
  <c r="FH26" i="27"/>
  <c r="FJ26" i="27"/>
  <c r="FK26" i="27"/>
  <c r="GG26" i="27"/>
  <c r="GH26" i="27"/>
  <c r="GI26" i="27"/>
  <c r="GJ26" i="27"/>
  <c r="GL26" i="27"/>
  <c r="GM26" i="27"/>
  <c r="HI26" i="27"/>
  <c r="HJ26" i="27"/>
  <c r="HM26" i="27" s="1"/>
  <c r="HK26" i="27"/>
  <c r="HL26" i="27"/>
  <c r="HN26" i="27"/>
  <c r="HO26" i="27"/>
  <c r="IK26" i="27"/>
  <c r="IL26" i="27"/>
  <c r="IO26" i="27" s="1"/>
  <c r="IM26" i="27"/>
  <c r="IN26" i="27"/>
  <c r="IP26" i="27"/>
  <c r="IQ26" i="27"/>
  <c r="JM26" i="27"/>
  <c r="JN26" i="27"/>
  <c r="JO26" i="27"/>
  <c r="JP26" i="27"/>
  <c r="JR26" i="27"/>
  <c r="JS26" i="27"/>
  <c r="KO26" i="27"/>
  <c r="KP26" i="27"/>
  <c r="KQ26" i="27"/>
  <c r="KR26" i="27"/>
  <c r="KT26" i="27"/>
  <c r="KU26" i="27"/>
  <c r="LQ26" i="27"/>
  <c r="LR26" i="27"/>
  <c r="LU26" i="27" s="1"/>
  <c r="LS26" i="27"/>
  <c r="LT26" i="27"/>
  <c r="LV26" i="27"/>
  <c r="LW26" i="27"/>
  <c r="MS26" i="27"/>
  <c r="MT26" i="27"/>
  <c r="MW26" i="27" s="1"/>
  <c r="MU26" i="27"/>
  <c r="MV26" i="27"/>
  <c r="MX26" i="27"/>
  <c r="MY26" i="27"/>
  <c r="NU26" i="27"/>
  <c r="NV26" i="27"/>
  <c r="NW26" i="27"/>
  <c r="NX26" i="27"/>
  <c r="NZ26" i="27"/>
  <c r="OA26" i="27"/>
  <c r="OW26" i="27"/>
  <c r="OX26" i="27"/>
  <c r="OY26" i="27"/>
  <c r="OZ26" i="27"/>
  <c r="PB26" i="27"/>
  <c r="PC26" i="27"/>
  <c r="PY26" i="27"/>
  <c r="PZ26" i="27"/>
  <c r="QC26" i="27" s="1"/>
  <c r="QA26" i="27"/>
  <c r="QB26" i="27"/>
  <c r="QD26" i="27"/>
  <c r="QE26" i="27"/>
  <c r="QG26" i="27"/>
  <c r="QH26" i="27"/>
  <c r="QI26" i="27"/>
  <c r="QJ26" i="27"/>
  <c r="QK26" i="27"/>
  <c r="QL26" i="27"/>
  <c r="QM26" i="27"/>
  <c r="QN26" i="27"/>
  <c r="QO26" i="27"/>
  <c r="QP26" i="27"/>
  <c r="QQ26" i="27"/>
  <c r="QR26" i="27"/>
  <c r="QS26" i="27"/>
  <c r="QT26" i="27"/>
  <c r="QU26" i="27"/>
  <c r="QV26" i="27"/>
  <c r="QW26" i="27"/>
  <c r="QX26" i="27"/>
  <c r="QY26" i="27"/>
  <c r="QZ26" i="27"/>
  <c r="AR13" i="26"/>
  <c r="AS13" i="26"/>
  <c r="AT13" i="26"/>
  <c r="AU13" i="26"/>
  <c r="AW13" i="26"/>
  <c r="AX13" i="26"/>
  <c r="BU13" i="26"/>
  <c r="BV13" i="26"/>
  <c r="BW13" i="26"/>
  <c r="BX13" i="26"/>
  <c r="BZ13" i="26"/>
  <c r="CA13" i="26"/>
  <c r="CX13" i="26"/>
  <c r="CY13" i="26"/>
  <c r="CZ13" i="26"/>
  <c r="DA13" i="26"/>
  <c r="DC13" i="26"/>
  <c r="DD13" i="26"/>
  <c r="EC13" i="26"/>
  <c r="ED13" i="26"/>
  <c r="EE13" i="26"/>
  <c r="EF13" i="26"/>
  <c r="EH13" i="26"/>
  <c r="EI13" i="26"/>
  <c r="FE13" i="26"/>
  <c r="FF13" i="26"/>
  <c r="FG13" i="26"/>
  <c r="FH13" i="26"/>
  <c r="FJ13" i="26"/>
  <c r="FK13" i="26"/>
  <c r="GG13" i="26"/>
  <c r="GH13" i="26"/>
  <c r="GI13" i="26"/>
  <c r="GJ13" i="26"/>
  <c r="GL13" i="26"/>
  <c r="GM13" i="26"/>
  <c r="HI13" i="26"/>
  <c r="HJ13" i="26"/>
  <c r="HK13" i="26"/>
  <c r="HL13" i="26"/>
  <c r="HN13" i="26"/>
  <c r="HO13" i="26"/>
  <c r="IK13" i="26"/>
  <c r="IL13" i="26"/>
  <c r="IM13" i="26"/>
  <c r="IN13" i="26"/>
  <c r="IP13" i="26"/>
  <c r="IQ13" i="26"/>
  <c r="JM13" i="26"/>
  <c r="JN13" i="26"/>
  <c r="JO13" i="26"/>
  <c r="JP13" i="26"/>
  <c r="JR13" i="26"/>
  <c r="JS13" i="26"/>
  <c r="KO13" i="26"/>
  <c r="KP13" i="26"/>
  <c r="KQ13" i="26"/>
  <c r="KR13" i="26"/>
  <c r="KT13" i="26"/>
  <c r="KU13" i="26"/>
  <c r="LQ13" i="26"/>
  <c r="LR13" i="26"/>
  <c r="LS13" i="26"/>
  <c r="LT13" i="26"/>
  <c r="LV13" i="26"/>
  <c r="LW13" i="26"/>
  <c r="MS13" i="26"/>
  <c r="MT13" i="26"/>
  <c r="MU13" i="26"/>
  <c r="MV13" i="26"/>
  <c r="MX13" i="26"/>
  <c r="MY13" i="26"/>
  <c r="NU13" i="26"/>
  <c r="NV13" i="26"/>
  <c r="NW13" i="26"/>
  <c r="NX13" i="26"/>
  <c r="NZ13" i="26"/>
  <c r="OA13" i="26"/>
  <c r="OW13" i="26"/>
  <c r="OX13" i="26"/>
  <c r="OY13" i="26"/>
  <c r="OZ13" i="26"/>
  <c r="PB13" i="26"/>
  <c r="PC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AR23" i="26"/>
  <c r="AS23" i="26"/>
  <c r="AT23" i="26"/>
  <c r="AU23" i="26"/>
  <c r="AW23" i="26"/>
  <c r="AX23" i="26"/>
  <c r="BU23" i="26"/>
  <c r="BV23" i="26"/>
  <c r="BW23" i="26"/>
  <c r="BX23" i="26"/>
  <c r="BZ23" i="26"/>
  <c r="CA23" i="26"/>
  <c r="CX23" i="26"/>
  <c r="CY23" i="26"/>
  <c r="CZ23" i="26"/>
  <c r="DA23" i="26"/>
  <c r="DC23" i="26"/>
  <c r="DD23" i="26"/>
  <c r="EC23" i="26"/>
  <c r="ED23" i="26"/>
  <c r="EE23" i="26"/>
  <c r="EF23" i="26"/>
  <c r="EH23" i="26"/>
  <c r="EI23" i="26"/>
  <c r="FE23" i="26"/>
  <c r="FF23" i="26"/>
  <c r="FG23" i="26"/>
  <c r="FH23" i="26"/>
  <c r="FJ23" i="26"/>
  <c r="FK23" i="26"/>
  <c r="GG23" i="26"/>
  <c r="GH23" i="26"/>
  <c r="GI23" i="26"/>
  <c r="GJ23" i="26"/>
  <c r="GL23" i="26"/>
  <c r="GM23" i="26"/>
  <c r="HI23" i="26"/>
  <c r="HJ23" i="26"/>
  <c r="HK23" i="26"/>
  <c r="HL23" i="26"/>
  <c r="HN23" i="26"/>
  <c r="HO23" i="26"/>
  <c r="IK23" i="26"/>
  <c r="IL23" i="26"/>
  <c r="IM23" i="26"/>
  <c r="IN23" i="26"/>
  <c r="IP23" i="26"/>
  <c r="IQ23" i="26"/>
  <c r="JM23" i="26"/>
  <c r="JN23" i="26"/>
  <c r="JO23" i="26"/>
  <c r="JP23" i="26"/>
  <c r="JR23" i="26"/>
  <c r="JS23" i="26"/>
  <c r="KO23" i="26"/>
  <c r="KP23" i="26"/>
  <c r="KQ23" i="26"/>
  <c r="KR23" i="26"/>
  <c r="KT23" i="26"/>
  <c r="KU23" i="26"/>
  <c r="LQ23" i="26"/>
  <c r="LR23" i="26"/>
  <c r="LS23" i="26"/>
  <c r="LT23" i="26"/>
  <c r="LV23" i="26"/>
  <c r="LW23" i="26"/>
  <c r="MS23" i="26"/>
  <c r="MT23" i="26"/>
  <c r="MU23" i="26"/>
  <c r="MV23" i="26"/>
  <c r="MX23" i="26"/>
  <c r="MY23" i="26"/>
  <c r="NU23" i="26"/>
  <c r="NV23" i="26"/>
  <c r="NW23" i="26"/>
  <c r="NX23" i="26"/>
  <c r="NZ23" i="26"/>
  <c r="OA23" i="26"/>
  <c r="OW23" i="26"/>
  <c r="OX23" i="26"/>
  <c r="OY23" i="26"/>
  <c r="OZ23" i="26"/>
  <c r="PB23" i="26"/>
  <c r="PC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2" i="26"/>
  <c r="AS22" i="26"/>
  <c r="AT22" i="26"/>
  <c r="AU22" i="26"/>
  <c r="AW22" i="26"/>
  <c r="AX22" i="26"/>
  <c r="BU22" i="26"/>
  <c r="BV22" i="26"/>
  <c r="BW22" i="26"/>
  <c r="BX22" i="26"/>
  <c r="BZ22" i="26"/>
  <c r="CA22" i="26"/>
  <c r="CX22" i="26"/>
  <c r="CY22" i="26"/>
  <c r="CZ22" i="26"/>
  <c r="DA22" i="26"/>
  <c r="DC22" i="26"/>
  <c r="DD22" i="26"/>
  <c r="EC22" i="26"/>
  <c r="ED22" i="26"/>
  <c r="EE22" i="26"/>
  <c r="EF22" i="26"/>
  <c r="EH22" i="26"/>
  <c r="EI22" i="26"/>
  <c r="FE22" i="26"/>
  <c r="FF22" i="26"/>
  <c r="FG22" i="26"/>
  <c r="FH22" i="26"/>
  <c r="FJ22" i="26"/>
  <c r="FK22" i="26"/>
  <c r="GG22" i="26"/>
  <c r="GH22" i="26"/>
  <c r="GI22" i="26"/>
  <c r="GJ22" i="26"/>
  <c r="GL22" i="26"/>
  <c r="GM22" i="26"/>
  <c r="HI22" i="26"/>
  <c r="HJ22" i="26"/>
  <c r="HK22" i="26"/>
  <c r="HL22" i="26"/>
  <c r="HN22" i="26"/>
  <c r="HO22" i="26"/>
  <c r="IK22" i="26"/>
  <c r="IL22" i="26"/>
  <c r="IM22" i="26"/>
  <c r="IN22" i="26"/>
  <c r="IP22" i="26"/>
  <c r="IQ22" i="26"/>
  <c r="JM22" i="26"/>
  <c r="JN22" i="26"/>
  <c r="JO22" i="26"/>
  <c r="JP22" i="26"/>
  <c r="JR22" i="26"/>
  <c r="JS22" i="26"/>
  <c r="KO22" i="26"/>
  <c r="KP22" i="26"/>
  <c r="KQ22" i="26"/>
  <c r="KR22" i="26"/>
  <c r="KT22" i="26"/>
  <c r="KU22" i="26"/>
  <c r="LQ22" i="26"/>
  <c r="LR22" i="26"/>
  <c r="LS22" i="26"/>
  <c r="LT22" i="26"/>
  <c r="LV22" i="26"/>
  <c r="LW22" i="26"/>
  <c r="MS22" i="26"/>
  <c r="MT22" i="26"/>
  <c r="MU22" i="26"/>
  <c r="MV22" i="26"/>
  <c r="MX22" i="26"/>
  <c r="MY22" i="26"/>
  <c r="NU22" i="26"/>
  <c r="NV22" i="26"/>
  <c r="NW22" i="26"/>
  <c r="NX22" i="26"/>
  <c r="NZ22" i="26"/>
  <c r="OA22" i="26"/>
  <c r="OW22" i="26"/>
  <c r="OX22" i="26"/>
  <c r="OY22" i="26"/>
  <c r="OZ22" i="26"/>
  <c r="PB22" i="26"/>
  <c r="PC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AO34" i="22"/>
  <c r="AP34" i="22"/>
  <c r="AQ34" i="22"/>
  <c r="AU34" i="22" s="1"/>
  <c r="AR34" i="22"/>
  <c r="AS34" i="22"/>
  <c r="AT34" i="22"/>
  <c r="AV34" i="22"/>
  <c r="AW34" i="22"/>
  <c r="AX34" i="22"/>
  <c r="BP34" i="22"/>
  <c r="BQ34" i="22"/>
  <c r="BR34" i="22"/>
  <c r="BV34" i="22" s="1"/>
  <c r="BS34" i="22"/>
  <c r="BT34" i="22"/>
  <c r="BU34" i="22"/>
  <c r="BW34" i="22"/>
  <c r="BX34" i="22"/>
  <c r="BY34" i="22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AO20" i="22"/>
  <c r="AP20" i="22"/>
  <c r="AQ20" i="22"/>
  <c r="AU20" i="22" s="1"/>
  <c r="AR20" i="22"/>
  <c r="AS20" i="22"/>
  <c r="AT20" i="22"/>
  <c r="AV20" i="22"/>
  <c r="AW20" i="22"/>
  <c r="AX20" i="22"/>
  <c r="BP20" i="22"/>
  <c r="BQ20" i="22"/>
  <c r="BR20" i="22"/>
  <c r="BV20" i="22" s="1"/>
  <c r="BS20" i="22"/>
  <c r="BT20" i="22"/>
  <c r="BU20" i="22"/>
  <c r="BW20" i="22"/>
  <c r="BX20" i="22"/>
  <c r="BY20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AO17" i="22"/>
  <c r="AP17" i="22"/>
  <c r="AQ17" i="22"/>
  <c r="AU17" i="22" s="1"/>
  <c r="AR17" i="22"/>
  <c r="AS17" i="22"/>
  <c r="AT17" i="22"/>
  <c r="AV17" i="22"/>
  <c r="AW17" i="22"/>
  <c r="AX17" i="22"/>
  <c r="BP17" i="22"/>
  <c r="BQ17" i="22"/>
  <c r="BR17" i="22"/>
  <c r="BV17" i="22" s="1"/>
  <c r="BS17" i="22"/>
  <c r="BT17" i="22"/>
  <c r="BU17" i="22"/>
  <c r="BW17" i="22"/>
  <c r="BX17" i="22"/>
  <c r="BY17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AO32" i="22"/>
  <c r="AP32" i="22"/>
  <c r="AQ32" i="22"/>
  <c r="AR32" i="22"/>
  <c r="AS32" i="22"/>
  <c r="AT32" i="22"/>
  <c r="AV32" i="22"/>
  <c r="AW32" i="22"/>
  <c r="AX32" i="22"/>
  <c r="BP32" i="22"/>
  <c r="BQ32" i="22"/>
  <c r="BR32" i="22"/>
  <c r="BV32" i="22" s="1"/>
  <c r="BS32" i="22"/>
  <c r="BT32" i="22"/>
  <c r="BU32" i="22"/>
  <c r="BW32" i="22"/>
  <c r="BX32" i="22"/>
  <c r="BY32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N32" i="22" s="1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AO27" i="22"/>
  <c r="AP27" i="22"/>
  <c r="AQ27" i="22"/>
  <c r="AU27" i="22" s="1"/>
  <c r="AR27" i="22"/>
  <c r="AS27" i="22"/>
  <c r="AT27" i="22"/>
  <c r="AV27" i="22"/>
  <c r="AW27" i="22"/>
  <c r="AX27" i="22"/>
  <c r="BP27" i="22"/>
  <c r="BQ27" i="22"/>
  <c r="BR27" i="22"/>
  <c r="BV27" i="22" s="1"/>
  <c r="BS27" i="22"/>
  <c r="BT27" i="22"/>
  <c r="BU27" i="22"/>
  <c r="BW27" i="22"/>
  <c r="BX27" i="22"/>
  <c r="BY27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AO37" i="22"/>
  <c r="AP37" i="22"/>
  <c r="AQ37" i="22"/>
  <c r="AU37" i="22" s="1"/>
  <c r="AR37" i="22"/>
  <c r="AS37" i="22"/>
  <c r="AT37" i="22"/>
  <c r="AV37" i="22"/>
  <c r="AW37" i="22"/>
  <c r="AX37" i="22"/>
  <c r="BP37" i="22"/>
  <c r="BQ37" i="22"/>
  <c r="BR37" i="22"/>
  <c r="BV37" i="22" s="1"/>
  <c r="BS37" i="22"/>
  <c r="BT37" i="22"/>
  <c r="BU37" i="22"/>
  <c r="BW37" i="22"/>
  <c r="BX37" i="22"/>
  <c r="BY37" i="22"/>
  <c r="CQ37" i="22"/>
  <c r="CR37" i="22"/>
  <c r="CS37" i="22"/>
  <c r="CT37" i="22"/>
  <c r="CU37" i="22"/>
  <c r="CV37" i="22"/>
  <c r="CX37" i="22"/>
  <c r="CY37" i="22"/>
  <c r="CZ37" i="22"/>
  <c r="SH37" i="22"/>
  <c r="SI37" i="22"/>
  <c r="SJ37" i="22"/>
  <c r="SK37" i="22"/>
  <c r="SL37" i="22"/>
  <c r="SM37" i="22"/>
  <c r="SO37" i="22"/>
  <c r="SP37" i="22"/>
  <c r="SQ37" i="22"/>
  <c r="SR37" i="22"/>
  <c r="SS37" i="22"/>
  <c r="ST37" i="22"/>
  <c r="SV37" i="22"/>
  <c r="SW37" i="22"/>
  <c r="SX37" i="22"/>
  <c r="TL37" i="22" s="1"/>
  <c r="SY37" i="22"/>
  <c r="TM37" i="22" s="1"/>
  <c r="SZ37" i="22"/>
  <c r="TA37" i="22"/>
  <c r="TB37" i="22"/>
  <c r="TC37" i="22"/>
  <c r="TO37" i="22" s="1"/>
  <c r="TD37" i="22"/>
  <c r="TP37" i="22" s="1"/>
  <c r="TE37" i="22"/>
  <c r="TF37" i="22"/>
  <c r="TG37" i="22"/>
  <c r="TH37" i="22"/>
  <c r="TS37" i="22" s="1"/>
  <c r="TI37" i="22"/>
  <c r="TT37" i="22" s="1"/>
  <c r="TJ37" i="22"/>
  <c r="AO36" i="22"/>
  <c r="AP36" i="22"/>
  <c r="AQ36" i="22"/>
  <c r="AR36" i="22"/>
  <c r="AS36" i="22"/>
  <c r="AT36" i="22"/>
  <c r="AV36" i="22"/>
  <c r="AW36" i="22"/>
  <c r="AX36" i="22"/>
  <c r="BP36" i="22"/>
  <c r="BQ36" i="22"/>
  <c r="BR36" i="22"/>
  <c r="BV36" i="22" s="1"/>
  <c r="BS36" i="22"/>
  <c r="BT36" i="22"/>
  <c r="BU36" i="22"/>
  <c r="BW36" i="22"/>
  <c r="BX36" i="22"/>
  <c r="BY36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S36" i="22" s="1"/>
  <c r="TI36" i="22"/>
  <c r="TT36" i="22" s="1"/>
  <c r="TJ36" i="22"/>
  <c r="AO38" i="22"/>
  <c r="AP38" i="22"/>
  <c r="AQ38" i="22"/>
  <c r="AU38" i="22" s="1"/>
  <c r="AR38" i="22"/>
  <c r="AS38" i="22"/>
  <c r="AT38" i="22"/>
  <c r="AV38" i="22"/>
  <c r="AW38" i="22"/>
  <c r="AX38" i="22"/>
  <c r="BP38" i="22"/>
  <c r="BQ38" i="22"/>
  <c r="BR38" i="22"/>
  <c r="BV38" i="22" s="1"/>
  <c r="BS38" i="22"/>
  <c r="BT38" i="22"/>
  <c r="BU38" i="22"/>
  <c r="BW38" i="22"/>
  <c r="BX38" i="22"/>
  <c r="BY38" i="22"/>
  <c r="CQ38" i="22"/>
  <c r="CR38" i="22"/>
  <c r="CS38" i="22"/>
  <c r="CT38" i="22"/>
  <c r="CU38" i="22"/>
  <c r="CV38" i="22"/>
  <c r="CX38" i="22"/>
  <c r="CY38" i="22"/>
  <c r="CZ38" i="22"/>
  <c r="SH38" i="22"/>
  <c r="SI38" i="22"/>
  <c r="SJ38" i="22"/>
  <c r="SK38" i="22"/>
  <c r="SL38" i="22"/>
  <c r="SM38" i="22"/>
  <c r="SO38" i="22"/>
  <c r="SP38" i="22"/>
  <c r="SQ38" i="22"/>
  <c r="SR38" i="22"/>
  <c r="SS38" i="22"/>
  <c r="ST38" i="22"/>
  <c r="SV38" i="22"/>
  <c r="SW38" i="22"/>
  <c r="SX38" i="22"/>
  <c r="TL38" i="22" s="1"/>
  <c r="SY38" i="22"/>
  <c r="TM38" i="22" s="1"/>
  <c r="SZ38" i="22"/>
  <c r="TA38" i="22"/>
  <c r="TB38" i="22"/>
  <c r="TC38" i="22"/>
  <c r="TD38" i="22"/>
  <c r="TP38" i="22" s="1"/>
  <c r="TE38" i="22"/>
  <c r="TF38" i="22"/>
  <c r="TG38" i="22"/>
  <c r="TH38" i="22"/>
  <c r="TS38" i="22" s="1"/>
  <c r="TI38" i="22"/>
  <c r="TT38" i="22" s="1"/>
  <c r="TJ38" i="22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V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DX23" i="4"/>
  <c r="DY23" i="4"/>
  <c r="DZ23" i="4"/>
  <c r="EA23" i="4"/>
  <c r="EB23" i="4"/>
  <c r="EC23" i="4"/>
  <c r="EE23" i="4"/>
  <c r="EF23" i="4"/>
  <c r="EG23" i="4"/>
  <c r="EH23" i="4"/>
  <c r="EI23" i="4"/>
  <c r="EJ23" i="4"/>
  <c r="FF23" i="4"/>
  <c r="FG23" i="4"/>
  <c r="FH23" i="4"/>
  <c r="FI23" i="4"/>
  <c r="FJ23" i="4"/>
  <c r="FK23" i="4"/>
  <c r="FM23" i="4"/>
  <c r="FN23" i="4"/>
  <c r="FO23" i="4"/>
  <c r="FP23" i="4"/>
  <c r="FQ23" i="4"/>
  <c r="FR23" i="4"/>
  <c r="GN23" i="4"/>
  <c r="GO23" i="4"/>
  <c r="GP23" i="4"/>
  <c r="GQ23" i="4"/>
  <c r="GR23" i="4"/>
  <c r="GS23" i="4"/>
  <c r="GU23" i="4"/>
  <c r="GV23" i="4"/>
  <c r="GW23" i="4"/>
  <c r="GX23" i="4"/>
  <c r="GY23" i="4"/>
  <c r="GZ23" i="4"/>
  <c r="HV23" i="4"/>
  <c r="HW23" i="4"/>
  <c r="HX23" i="4"/>
  <c r="HY23" i="4"/>
  <c r="HZ23" i="4"/>
  <c r="IA23" i="4"/>
  <c r="IC23" i="4"/>
  <c r="ID23" i="4"/>
  <c r="IE23" i="4"/>
  <c r="IF23" i="4"/>
  <c r="IG23" i="4"/>
  <c r="IH23" i="4"/>
  <c r="JD23" i="4"/>
  <c r="JE23" i="4"/>
  <c r="JF23" i="4"/>
  <c r="JG23" i="4"/>
  <c r="JH23" i="4"/>
  <c r="JI23" i="4"/>
  <c r="JK23" i="4"/>
  <c r="JL23" i="4"/>
  <c r="JM23" i="4"/>
  <c r="JN23" i="4"/>
  <c r="JO23" i="4"/>
  <c r="JP23" i="4"/>
  <c r="KL23" i="4"/>
  <c r="KM23" i="4"/>
  <c r="KN23" i="4"/>
  <c r="KO23" i="4"/>
  <c r="KP23" i="4"/>
  <c r="KQ23" i="4"/>
  <c r="KS23" i="4"/>
  <c r="KT23" i="4"/>
  <c r="KU23" i="4"/>
  <c r="KV23" i="4"/>
  <c r="KW23" i="4"/>
  <c r="KX23" i="4"/>
  <c r="LT23" i="4"/>
  <c r="LU23" i="4"/>
  <c r="LV23" i="4"/>
  <c r="LW23" i="4"/>
  <c r="LX23" i="4"/>
  <c r="LY23" i="4"/>
  <c r="MA23" i="4"/>
  <c r="MB23" i="4"/>
  <c r="MC23" i="4"/>
  <c r="MD23" i="4"/>
  <c r="ME23" i="4"/>
  <c r="MF23" i="4"/>
  <c r="NB23" i="4"/>
  <c r="NC23" i="4"/>
  <c r="ND23" i="4"/>
  <c r="NE23" i="4"/>
  <c r="NF23" i="4"/>
  <c r="NG23" i="4"/>
  <c r="NI23" i="4"/>
  <c r="NJ23" i="4"/>
  <c r="NK23" i="4"/>
  <c r="NL23" i="4"/>
  <c r="NM23" i="4"/>
  <c r="NN23" i="4"/>
  <c r="OJ23" i="4"/>
  <c r="OK23" i="4"/>
  <c r="OL23" i="4"/>
  <c r="OM23" i="4"/>
  <c r="ON23" i="4"/>
  <c r="OO23" i="4"/>
  <c r="OQ23" i="4"/>
  <c r="OR23" i="4"/>
  <c r="OS23" i="4"/>
  <c r="OT23" i="4"/>
  <c r="OU23" i="4"/>
  <c r="OV23" i="4"/>
  <c r="PR23" i="4"/>
  <c r="PS23" i="4"/>
  <c r="PT23" i="4"/>
  <c r="PU23" i="4"/>
  <c r="PV23" i="4"/>
  <c r="PW23" i="4"/>
  <c r="PY23" i="4"/>
  <c r="PZ23" i="4"/>
  <c r="QA23" i="4"/>
  <c r="QB23" i="4"/>
  <c r="QC23" i="4"/>
  <c r="QD23" i="4"/>
  <c r="QZ23" i="4"/>
  <c r="RA23" i="4"/>
  <c r="RB23" i="4"/>
  <c r="RC23" i="4"/>
  <c r="RD23" i="4"/>
  <c r="RE23" i="4"/>
  <c r="RG23" i="4"/>
  <c r="RH23" i="4"/>
  <c r="RI23" i="4"/>
  <c r="RJ23" i="4"/>
  <c r="RK23" i="4"/>
  <c r="RL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D23" i="4"/>
  <c r="TP23" i="4" s="1"/>
  <c r="TE23" i="4"/>
  <c r="TF23" i="4"/>
  <c r="TG23" i="4"/>
  <c r="TH23" i="4"/>
  <c r="TS23" i="4" s="1"/>
  <c r="TI23" i="4"/>
  <c r="TT23" i="4" s="1"/>
  <c r="TJ23" i="4"/>
  <c r="TO23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V19" i="4" s="1"/>
  <c r="BZ19" i="4" s="1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33" i="4"/>
  <c r="AP33" i="4"/>
  <c r="AQ33" i="4"/>
  <c r="AU33" i="4" s="1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37" i="4"/>
  <c r="AP37" i="4"/>
  <c r="AQ37" i="4"/>
  <c r="AR37" i="4"/>
  <c r="AS37" i="4"/>
  <c r="AT37" i="4"/>
  <c r="AV37" i="4"/>
  <c r="AW37" i="4"/>
  <c r="AX37" i="4"/>
  <c r="BP37" i="4"/>
  <c r="BQ37" i="4"/>
  <c r="BR37" i="4"/>
  <c r="BV37" i="4" s="1"/>
  <c r="BS37" i="4"/>
  <c r="BT37" i="4"/>
  <c r="BU37" i="4"/>
  <c r="BW37" i="4"/>
  <c r="BX37" i="4"/>
  <c r="BY37" i="4"/>
  <c r="CQ37" i="4"/>
  <c r="CR37" i="4"/>
  <c r="CS37" i="4"/>
  <c r="CT37" i="4"/>
  <c r="CU37" i="4"/>
  <c r="CV37" i="4"/>
  <c r="CX37" i="4"/>
  <c r="CY37" i="4"/>
  <c r="CZ37" i="4"/>
  <c r="DX37" i="4"/>
  <c r="DY37" i="4"/>
  <c r="DZ37" i="4"/>
  <c r="EA37" i="4"/>
  <c r="EB37" i="4"/>
  <c r="EC37" i="4"/>
  <c r="EE37" i="4"/>
  <c r="EF37" i="4"/>
  <c r="EG37" i="4"/>
  <c r="EH37" i="4"/>
  <c r="EI37" i="4"/>
  <c r="EJ37" i="4"/>
  <c r="FF37" i="4"/>
  <c r="FG37" i="4"/>
  <c r="FH37" i="4"/>
  <c r="FI37" i="4"/>
  <c r="FJ37" i="4"/>
  <c r="FK37" i="4"/>
  <c r="FM37" i="4"/>
  <c r="FN37" i="4"/>
  <c r="FO37" i="4"/>
  <c r="FP37" i="4"/>
  <c r="FQ37" i="4"/>
  <c r="FR37" i="4"/>
  <c r="GN37" i="4"/>
  <c r="GO37" i="4"/>
  <c r="GP37" i="4"/>
  <c r="GQ37" i="4"/>
  <c r="GR37" i="4"/>
  <c r="GS37" i="4"/>
  <c r="GU37" i="4"/>
  <c r="GV37" i="4"/>
  <c r="GW37" i="4"/>
  <c r="GX37" i="4"/>
  <c r="GY37" i="4"/>
  <c r="GZ37" i="4"/>
  <c r="HV37" i="4"/>
  <c r="HW37" i="4"/>
  <c r="HX37" i="4"/>
  <c r="HY37" i="4"/>
  <c r="HZ37" i="4"/>
  <c r="IA37" i="4"/>
  <c r="IC37" i="4"/>
  <c r="ID37" i="4"/>
  <c r="IE37" i="4"/>
  <c r="IF37" i="4"/>
  <c r="IG37" i="4"/>
  <c r="IH37" i="4"/>
  <c r="JD37" i="4"/>
  <c r="JE37" i="4"/>
  <c r="JF37" i="4"/>
  <c r="JG37" i="4"/>
  <c r="JH37" i="4"/>
  <c r="JI37" i="4"/>
  <c r="JK37" i="4"/>
  <c r="JL37" i="4"/>
  <c r="JM37" i="4"/>
  <c r="JN37" i="4"/>
  <c r="JO37" i="4"/>
  <c r="JP37" i="4"/>
  <c r="KL37" i="4"/>
  <c r="KM37" i="4"/>
  <c r="KN37" i="4"/>
  <c r="KO37" i="4"/>
  <c r="KP37" i="4"/>
  <c r="KQ37" i="4"/>
  <c r="KS37" i="4"/>
  <c r="KT37" i="4"/>
  <c r="KU37" i="4"/>
  <c r="KV37" i="4"/>
  <c r="KW37" i="4"/>
  <c r="KX37" i="4"/>
  <c r="LT37" i="4"/>
  <c r="LU37" i="4"/>
  <c r="LV37" i="4"/>
  <c r="LW37" i="4"/>
  <c r="LX37" i="4"/>
  <c r="LY37" i="4"/>
  <c r="MA37" i="4"/>
  <c r="MB37" i="4"/>
  <c r="MC37" i="4"/>
  <c r="MD37" i="4"/>
  <c r="ME37" i="4"/>
  <c r="MF37" i="4"/>
  <c r="NB37" i="4"/>
  <c r="NC37" i="4"/>
  <c r="ND37" i="4"/>
  <c r="NE37" i="4"/>
  <c r="NF37" i="4"/>
  <c r="NG37" i="4"/>
  <c r="NI37" i="4"/>
  <c r="NJ37" i="4"/>
  <c r="NK37" i="4"/>
  <c r="NL37" i="4"/>
  <c r="NM37" i="4"/>
  <c r="NN37" i="4"/>
  <c r="OJ37" i="4"/>
  <c r="OK37" i="4"/>
  <c r="OL37" i="4"/>
  <c r="OM37" i="4"/>
  <c r="ON37" i="4"/>
  <c r="OO37" i="4"/>
  <c r="OQ37" i="4"/>
  <c r="OR37" i="4"/>
  <c r="OS37" i="4"/>
  <c r="OT37" i="4"/>
  <c r="OU37" i="4"/>
  <c r="OV37" i="4"/>
  <c r="PR37" i="4"/>
  <c r="PS37" i="4"/>
  <c r="PT37" i="4"/>
  <c r="PU37" i="4"/>
  <c r="PV37" i="4"/>
  <c r="PW37" i="4"/>
  <c r="PY37" i="4"/>
  <c r="PZ37" i="4"/>
  <c r="QA37" i="4"/>
  <c r="QB37" i="4"/>
  <c r="QC37" i="4"/>
  <c r="QD37" i="4"/>
  <c r="QZ37" i="4"/>
  <c r="RA37" i="4"/>
  <c r="RB37" i="4"/>
  <c r="RC37" i="4"/>
  <c r="RD37" i="4"/>
  <c r="RE37" i="4"/>
  <c r="RG37" i="4"/>
  <c r="RH37" i="4"/>
  <c r="RI37" i="4"/>
  <c r="RJ37" i="4"/>
  <c r="RK37" i="4"/>
  <c r="RL37" i="4"/>
  <c r="SH37" i="4"/>
  <c r="SI37" i="4"/>
  <c r="SJ37" i="4"/>
  <c r="SK37" i="4"/>
  <c r="SL37" i="4"/>
  <c r="SM37" i="4"/>
  <c r="SN37" i="4" s="1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D37" i="4"/>
  <c r="TP37" i="4" s="1"/>
  <c r="TE37" i="4"/>
  <c r="TF37" i="4"/>
  <c r="TG37" i="4"/>
  <c r="TH37" i="4"/>
  <c r="TS37" i="4" s="1"/>
  <c r="TI37" i="4"/>
  <c r="TT37" i="4" s="1"/>
  <c r="TJ37" i="4"/>
  <c r="TO37" i="4"/>
  <c r="AO27" i="4"/>
  <c r="AP27" i="4"/>
  <c r="AQ27" i="4"/>
  <c r="AU27" i="4" s="1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DX27" i="4"/>
  <c r="DY27" i="4"/>
  <c r="DZ27" i="4"/>
  <c r="EA27" i="4"/>
  <c r="EB27" i="4"/>
  <c r="EC27" i="4"/>
  <c r="EE27" i="4"/>
  <c r="EF27" i="4"/>
  <c r="EG27" i="4"/>
  <c r="EH27" i="4"/>
  <c r="EI27" i="4"/>
  <c r="EJ27" i="4"/>
  <c r="FF27" i="4"/>
  <c r="FG27" i="4"/>
  <c r="FH27" i="4"/>
  <c r="FI27" i="4"/>
  <c r="FJ27" i="4"/>
  <c r="FK27" i="4"/>
  <c r="FM27" i="4"/>
  <c r="FN27" i="4"/>
  <c r="FO27" i="4"/>
  <c r="FP27" i="4"/>
  <c r="FQ27" i="4"/>
  <c r="FR27" i="4"/>
  <c r="GN27" i="4"/>
  <c r="GO27" i="4"/>
  <c r="GP27" i="4"/>
  <c r="GQ27" i="4"/>
  <c r="GR27" i="4"/>
  <c r="GS27" i="4"/>
  <c r="GU27" i="4"/>
  <c r="GV27" i="4"/>
  <c r="GW27" i="4"/>
  <c r="GX27" i="4"/>
  <c r="GY27" i="4"/>
  <c r="GZ27" i="4"/>
  <c r="HV27" i="4"/>
  <c r="HW27" i="4"/>
  <c r="HX27" i="4"/>
  <c r="HY27" i="4"/>
  <c r="HZ27" i="4"/>
  <c r="IA27" i="4"/>
  <c r="IC27" i="4"/>
  <c r="ID27" i="4"/>
  <c r="IE27" i="4"/>
  <c r="IF27" i="4"/>
  <c r="IG27" i="4"/>
  <c r="IH27" i="4"/>
  <c r="JD27" i="4"/>
  <c r="JE27" i="4"/>
  <c r="JF27" i="4"/>
  <c r="JG27" i="4"/>
  <c r="JH27" i="4"/>
  <c r="JI27" i="4"/>
  <c r="JK27" i="4"/>
  <c r="JL27" i="4"/>
  <c r="JM27" i="4"/>
  <c r="JN27" i="4"/>
  <c r="JO27" i="4"/>
  <c r="JP27" i="4"/>
  <c r="KL27" i="4"/>
  <c r="KM27" i="4"/>
  <c r="KN27" i="4"/>
  <c r="KO27" i="4"/>
  <c r="KP27" i="4"/>
  <c r="KQ27" i="4"/>
  <c r="KS27" i="4"/>
  <c r="KT27" i="4"/>
  <c r="KU27" i="4"/>
  <c r="KV27" i="4"/>
  <c r="KW27" i="4"/>
  <c r="KX27" i="4"/>
  <c r="LT27" i="4"/>
  <c r="LU27" i="4"/>
  <c r="LV27" i="4"/>
  <c r="LW27" i="4"/>
  <c r="LX27" i="4"/>
  <c r="LY27" i="4"/>
  <c r="MA27" i="4"/>
  <c r="MB27" i="4"/>
  <c r="MC27" i="4"/>
  <c r="MD27" i="4"/>
  <c r="ME27" i="4"/>
  <c r="MF27" i="4"/>
  <c r="NB27" i="4"/>
  <c r="NC27" i="4"/>
  <c r="ND27" i="4"/>
  <c r="NE27" i="4"/>
  <c r="NF27" i="4"/>
  <c r="NG27" i="4"/>
  <c r="NI27" i="4"/>
  <c r="NJ27" i="4"/>
  <c r="NK27" i="4"/>
  <c r="NL27" i="4"/>
  <c r="NM27" i="4"/>
  <c r="NN27" i="4"/>
  <c r="OJ27" i="4"/>
  <c r="OK27" i="4"/>
  <c r="OL27" i="4"/>
  <c r="OM27" i="4"/>
  <c r="ON27" i="4"/>
  <c r="OO27" i="4"/>
  <c r="OQ27" i="4"/>
  <c r="OR27" i="4"/>
  <c r="OS27" i="4"/>
  <c r="OT27" i="4"/>
  <c r="OU27" i="4"/>
  <c r="OV27" i="4"/>
  <c r="PR27" i="4"/>
  <c r="PS27" i="4"/>
  <c r="PT27" i="4"/>
  <c r="PU27" i="4"/>
  <c r="PV27" i="4"/>
  <c r="PW27" i="4"/>
  <c r="PY27" i="4"/>
  <c r="PZ27" i="4"/>
  <c r="QA27" i="4"/>
  <c r="QB27" i="4"/>
  <c r="QC27" i="4"/>
  <c r="QD27" i="4"/>
  <c r="QZ27" i="4"/>
  <c r="RA27" i="4"/>
  <c r="RB27" i="4"/>
  <c r="RC27" i="4"/>
  <c r="RD27" i="4"/>
  <c r="RE27" i="4"/>
  <c r="RG27" i="4"/>
  <c r="RH27" i="4"/>
  <c r="RI27" i="4"/>
  <c r="RJ27" i="4"/>
  <c r="RK27" i="4"/>
  <c r="RL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26" i="4"/>
  <c r="AP26" i="4"/>
  <c r="AQ26" i="4"/>
  <c r="AR26" i="4"/>
  <c r="AS26" i="4"/>
  <c r="AT26" i="4"/>
  <c r="AV26" i="4"/>
  <c r="AW26" i="4"/>
  <c r="AX26" i="4"/>
  <c r="BP26" i="4"/>
  <c r="BQ26" i="4"/>
  <c r="BR26" i="4"/>
  <c r="BV26" i="4" s="1"/>
  <c r="BS26" i="4"/>
  <c r="BT26" i="4"/>
  <c r="BU26" i="4"/>
  <c r="BW26" i="4"/>
  <c r="BX26" i="4"/>
  <c r="BY26" i="4"/>
  <c r="CQ26" i="4"/>
  <c r="CR26" i="4"/>
  <c r="CS26" i="4"/>
  <c r="CT26" i="4"/>
  <c r="CU26" i="4"/>
  <c r="CV26" i="4"/>
  <c r="CX26" i="4"/>
  <c r="CY26" i="4"/>
  <c r="CZ26" i="4"/>
  <c r="DX26" i="4"/>
  <c r="DY26" i="4"/>
  <c r="DZ26" i="4"/>
  <c r="EA26" i="4"/>
  <c r="EB26" i="4"/>
  <c r="EC26" i="4"/>
  <c r="EE26" i="4"/>
  <c r="EF26" i="4"/>
  <c r="EG26" i="4"/>
  <c r="EH26" i="4"/>
  <c r="EI26" i="4"/>
  <c r="EJ26" i="4"/>
  <c r="FF26" i="4"/>
  <c r="FG26" i="4"/>
  <c r="FH26" i="4"/>
  <c r="FI26" i="4"/>
  <c r="FJ26" i="4"/>
  <c r="FK26" i="4"/>
  <c r="FM26" i="4"/>
  <c r="FN26" i="4"/>
  <c r="FO26" i="4"/>
  <c r="FP26" i="4"/>
  <c r="FQ26" i="4"/>
  <c r="FR26" i="4"/>
  <c r="GN26" i="4"/>
  <c r="GO26" i="4"/>
  <c r="GP26" i="4"/>
  <c r="GQ26" i="4"/>
  <c r="GR26" i="4"/>
  <c r="GS26" i="4"/>
  <c r="GU26" i="4"/>
  <c r="GV26" i="4"/>
  <c r="GW26" i="4"/>
  <c r="GX26" i="4"/>
  <c r="GY26" i="4"/>
  <c r="GZ26" i="4"/>
  <c r="HV26" i="4"/>
  <c r="HW26" i="4"/>
  <c r="HX26" i="4"/>
  <c r="HY26" i="4"/>
  <c r="HZ26" i="4"/>
  <c r="IA26" i="4"/>
  <c r="IC26" i="4"/>
  <c r="ID26" i="4"/>
  <c r="IE26" i="4"/>
  <c r="IF26" i="4"/>
  <c r="IG26" i="4"/>
  <c r="IH26" i="4"/>
  <c r="JD26" i="4"/>
  <c r="JE26" i="4"/>
  <c r="JF26" i="4"/>
  <c r="JG26" i="4"/>
  <c r="JH26" i="4"/>
  <c r="JI26" i="4"/>
  <c r="JK26" i="4"/>
  <c r="JL26" i="4"/>
  <c r="JM26" i="4"/>
  <c r="JN26" i="4"/>
  <c r="JO26" i="4"/>
  <c r="JP26" i="4"/>
  <c r="KL26" i="4"/>
  <c r="KM26" i="4"/>
  <c r="KN26" i="4"/>
  <c r="KO26" i="4"/>
  <c r="KP26" i="4"/>
  <c r="KQ26" i="4"/>
  <c r="KS26" i="4"/>
  <c r="KT26" i="4"/>
  <c r="KU26" i="4"/>
  <c r="KV26" i="4"/>
  <c r="KW26" i="4"/>
  <c r="KX26" i="4"/>
  <c r="LT26" i="4"/>
  <c r="LU26" i="4"/>
  <c r="LV26" i="4"/>
  <c r="LW26" i="4"/>
  <c r="LX26" i="4"/>
  <c r="LY26" i="4"/>
  <c r="MA26" i="4"/>
  <c r="MB26" i="4"/>
  <c r="MC26" i="4"/>
  <c r="MD26" i="4"/>
  <c r="ME26" i="4"/>
  <c r="MF26" i="4"/>
  <c r="NB26" i="4"/>
  <c r="NC26" i="4"/>
  <c r="ND26" i="4"/>
  <c r="NE26" i="4"/>
  <c r="NF26" i="4"/>
  <c r="NG26" i="4"/>
  <c r="NI26" i="4"/>
  <c r="NJ26" i="4"/>
  <c r="NK26" i="4"/>
  <c r="NL26" i="4"/>
  <c r="NM26" i="4"/>
  <c r="NN26" i="4"/>
  <c r="OJ26" i="4"/>
  <c r="OK26" i="4"/>
  <c r="OL26" i="4"/>
  <c r="OM26" i="4"/>
  <c r="ON26" i="4"/>
  <c r="OO26" i="4"/>
  <c r="OQ26" i="4"/>
  <c r="OR26" i="4"/>
  <c r="OS26" i="4"/>
  <c r="OT26" i="4"/>
  <c r="OU26" i="4"/>
  <c r="OV26" i="4"/>
  <c r="PR26" i="4"/>
  <c r="PS26" i="4"/>
  <c r="PT26" i="4"/>
  <c r="PU26" i="4"/>
  <c r="PV26" i="4"/>
  <c r="PW26" i="4"/>
  <c r="PY26" i="4"/>
  <c r="PZ26" i="4"/>
  <c r="QA26" i="4"/>
  <c r="QB26" i="4"/>
  <c r="QC26" i="4"/>
  <c r="QD26" i="4"/>
  <c r="QZ26" i="4"/>
  <c r="RA26" i="4"/>
  <c r="RB26" i="4"/>
  <c r="RC26" i="4"/>
  <c r="RD26" i="4"/>
  <c r="RE26" i="4"/>
  <c r="RG26" i="4"/>
  <c r="RH26" i="4"/>
  <c r="RI26" i="4"/>
  <c r="RJ26" i="4"/>
  <c r="RK26" i="4"/>
  <c r="RL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AO22" i="4"/>
  <c r="AP22" i="4"/>
  <c r="AQ22" i="4"/>
  <c r="AR22" i="4"/>
  <c r="AS22" i="4"/>
  <c r="AT22" i="4"/>
  <c r="AV22" i="4"/>
  <c r="AW22" i="4"/>
  <c r="AX22" i="4"/>
  <c r="BP22" i="4"/>
  <c r="BQ22" i="4"/>
  <c r="BR22" i="4"/>
  <c r="BV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DX22" i="4"/>
  <c r="DY22" i="4"/>
  <c r="DZ22" i="4"/>
  <c r="ED22" i="4" s="1"/>
  <c r="EA22" i="4"/>
  <c r="EB22" i="4"/>
  <c r="EC22" i="4"/>
  <c r="EE22" i="4"/>
  <c r="EF22" i="4"/>
  <c r="EG22" i="4"/>
  <c r="EH22" i="4"/>
  <c r="EI22" i="4"/>
  <c r="EJ22" i="4"/>
  <c r="FF22" i="4"/>
  <c r="FG22" i="4"/>
  <c r="FH22" i="4"/>
  <c r="FI22" i="4"/>
  <c r="FJ22" i="4"/>
  <c r="FK22" i="4"/>
  <c r="FM22" i="4"/>
  <c r="FN22" i="4"/>
  <c r="FO22" i="4"/>
  <c r="FP22" i="4"/>
  <c r="FQ22" i="4"/>
  <c r="FR22" i="4"/>
  <c r="GN22" i="4"/>
  <c r="GO22" i="4"/>
  <c r="GP22" i="4"/>
  <c r="GQ22" i="4"/>
  <c r="GR22" i="4"/>
  <c r="GS22" i="4"/>
  <c r="GU22" i="4"/>
  <c r="GV22" i="4"/>
  <c r="GW22" i="4"/>
  <c r="GX22" i="4"/>
  <c r="GY22" i="4"/>
  <c r="GZ22" i="4"/>
  <c r="HV22" i="4"/>
  <c r="HW22" i="4"/>
  <c r="HX22" i="4"/>
  <c r="HY22" i="4"/>
  <c r="HZ22" i="4"/>
  <c r="IA22" i="4"/>
  <c r="IC22" i="4"/>
  <c r="ID22" i="4"/>
  <c r="IE22" i="4"/>
  <c r="IF22" i="4"/>
  <c r="IG22" i="4"/>
  <c r="IH22" i="4"/>
  <c r="JD22" i="4"/>
  <c r="JE22" i="4"/>
  <c r="JF22" i="4"/>
  <c r="JG22" i="4"/>
  <c r="JH22" i="4"/>
  <c r="JI22" i="4"/>
  <c r="JK22" i="4"/>
  <c r="JL22" i="4"/>
  <c r="JM22" i="4"/>
  <c r="JN22" i="4"/>
  <c r="JO22" i="4"/>
  <c r="JP22" i="4"/>
  <c r="KL22" i="4"/>
  <c r="KM22" i="4"/>
  <c r="KN22" i="4"/>
  <c r="KO22" i="4"/>
  <c r="KP22" i="4"/>
  <c r="KQ22" i="4"/>
  <c r="KS22" i="4"/>
  <c r="KT22" i="4"/>
  <c r="KU22" i="4"/>
  <c r="KV22" i="4"/>
  <c r="KW22" i="4"/>
  <c r="KX22" i="4"/>
  <c r="LT22" i="4"/>
  <c r="LU22" i="4"/>
  <c r="LV22" i="4"/>
  <c r="LZ22" i="4" s="1"/>
  <c r="LW22" i="4"/>
  <c r="LX22" i="4"/>
  <c r="LY22" i="4"/>
  <c r="MA22" i="4"/>
  <c r="MB22" i="4"/>
  <c r="MC22" i="4"/>
  <c r="MD22" i="4"/>
  <c r="ME22" i="4"/>
  <c r="MF22" i="4"/>
  <c r="NB22" i="4"/>
  <c r="NC22" i="4"/>
  <c r="ND22" i="4"/>
  <c r="NE22" i="4"/>
  <c r="NF22" i="4"/>
  <c r="NG22" i="4"/>
  <c r="NI22" i="4"/>
  <c r="NJ22" i="4"/>
  <c r="NK22" i="4"/>
  <c r="NL22" i="4"/>
  <c r="NM22" i="4"/>
  <c r="NN22" i="4"/>
  <c r="OJ22" i="4"/>
  <c r="OK22" i="4"/>
  <c r="OL22" i="4"/>
  <c r="OM22" i="4"/>
  <c r="ON22" i="4"/>
  <c r="OO22" i="4"/>
  <c r="OQ22" i="4"/>
  <c r="OR22" i="4"/>
  <c r="OS22" i="4"/>
  <c r="OT22" i="4"/>
  <c r="OU22" i="4"/>
  <c r="OV22" i="4"/>
  <c r="PR22" i="4"/>
  <c r="PS22" i="4"/>
  <c r="PT22" i="4"/>
  <c r="PU22" i="4"/>
  <c r="PV22" i="4"/>
  <c r="PW22" i="4"/>
  <c r="PY22" i="4"/>
  <c r="PZ22" i="4"/>
  <c r="QA22" i="4"/>
  <c r="QB22" i="4"/>
  <c r="QC22" i="4"/>
  <c r="QD22" i="4"/>
  <c r="QZ22" i="4"/>
  <c r="RA22" i="4"/>
  <c r="RB22" i="4"/>
  <c r="RC22" i="4"/>
  <c r="RD22" i="4"/>
  <c r="RE22" i="4"/>
  <c r="RG22" i="4"/>
  <c r="RH22" i="4"/>
  <c r="RI22" i="4"/>
  <c r="RJ22" i="4"/>
  <c r="RK22" i="4"/>
  <c r="RL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EJ24" i="21" l="1"/>
  <c r="HM20" i="21"/>
  <c r="MW17" i="21"/>
  <c r="IO17" i="21"/>
  <c r="EG17" i="21"/>
  <c r="BY18" i="21"/>
  <c r="QC21" i="21"/>
  <c r="LU21" i="21"/>
  <c r="HM21" i="21"/>
  <c r="IO30" i="21"/>
  <c r="EG30" i="21"/>
  <c r="RB31" i="21"/>
  <c r="RG34" i="19"/>
  <c r="JQ35" i="19"/>
  <c r="KS35" i="19"/>
  <c r="GK35" i="19"/>
  <c r="EG22" i="27"/>
  <c r="NY23" i="27"/>
  <c r="JQ23" i="27"/>
  <c r="FI23" i="27"/>
  <c r="AV23" i="27"/>
  <c r="FI21" i="27"/>
  <c r="PA26" i="27"/>
  <c r="HM25" i="27"/>
  <c r="BY22" i="27"/>
  <c r="QC23" i="27"/>
  <c r="LU23" i="27"/>
  <c r="HM23" i="27"/>
  <c r="GK26" i="27"/>
  <c r="LU25" i="27"/>
  <c r="KS26" i="27"/>
  <c r="AV23" i="26"/>
  <c r="FL38" i="22"/>
  <c r="FS38" i="22" s="1"/>
  <c r="IB23" i="22"/>
  <c r="ED32" i="22"/>
  <c r="EK32" i="22" s="1"/>
  <c r="ED37" i="22"/>
  <c r="ED38" i="22"/>
  <c r="ED28" i="22"/>
  <c r="FL4" i="22"/>
  <c r="FL7" i="22"/>
  <c r="FS7" i="22" s="1"/>
  <c r="FL13" i="22"/>
  <c r="FL25" i="22"/>
  <c r="FL24" i="22"/>
  <c r="FS24" i="22" s="1"/>
  <c r="FL31" i="22"/>
  <c r="FL21" i="22"/>
  <c r="FL11" i="22"/>
  <c r="FL17" i="22"/>
  <c r="FL27" i="22"/>
  <c r="FS27" i="22" s="1"/>
  <c r="FL35" i="22"/>
  <c r="GT16" i="22"/>
  <c r="GT15" i="22"/>
  <c r="HA15" i="22" s="1"/>
  <c r="GT22" i="22"/>
  <c r="GT34" i="22"/>
  <c r="GT26" i="22"/>
  <c r="GT23" i="22"/>
  <c r="GT29" i="22"/>
  <c r="HA29" i="22" s="1"/>
  <c r="GT32" i="22"/>
  <c r="GT38" i="22"/>
  <c r="IB4" i="22"/>
  <c r="IB8" i="22"/>
  <c r="IB18" i="22"/>
  <c r="IB11" i="22"/>
  <c r="PX4" i="22"/>
  <c r="PX7" i="22"/>
  <c r="QE7" i="22" s="1"/>
  <c r="PX8" i="22"/>
  <c r="PX10" i="22"/>
  <c r="PX13" i="22"/>
  <c r="QE13" i="22" s="1"/>
  <c r="PX25" i="22"/>
  <c r="PX24" i="22"/>
  <c r="PX31" i="22"/>
  <c r="PX19" i="22"/>
  <c r="PX21" i="22"/>
  <c r="PX33" i="22"/>
  <c r="PX35" i="22"/>
  <c r="RF5" i="22"/>
  <c r="RM5" i="22" s="1"/>
  <c r="RF12" i="22"/>
  <c r="RF16" i="22"/>
  <c r="RF32" i="22"/>
  <c r="AY34" i="22"/>
  <c r="IB27" i="22"/>
  <c r="II27" i="22" s="1"/>
  <c r="IB33" i="22"/>
  <c r="JJ22" i="22"/>
  <c r="JQ22" i="22" s="1"/>
  <c r="BZ20" i="22"/>
  <c r="KR21" i="4"/>
  <c r="RF25" i="4"/>
  <c r="OP25" i="4"/>
  <c r="BZ21" i="4"/>
  <c r="EG18" i="21"/>
  <c r="NY21" i="21"/>
  <c r="JQ21" i="21"/>
  <c r="FI21" i="21"/>
  <c r="HM30" i="21"/>
  <c r="IO20" i="21"/>
  <c r="EG21" i="21"/>
  <c r="JQ30" i="21"/>
  <c r="FI30" i="21"/>
  <c r="P15" i="21"/>
  <c r="Q15" i="21" s="1"/>
  <c r="P18" i="21"/>
  <c r="DG18" i="21" s="1"/>
  <c r="IO35" i="19"/>
  <c r="EG35" i="19"/>
  <c r="BY34" i="19"/>
  <c r="QF22" i="19"/>
  <c r="LX22" i="19"/>
  <c r="RG22" i="19"/>
  <c r="RB22" i="19"/>
  <c r="PD22" i="19"/>
  <c r="HP22" i="19"/>
  <c r="GK25" i="27"/>
  <c r="QC21" i="27"/>
  <c r="LU21" i="27"/>
  <c r="QF22" i="27"/>
  <c r="HP22" i="27"/>
  <c r="RB23" i="27"/>
  <c r="HM21" i="27"/>
  <c r="EG21" i="27"/>
  <c r="FI14" i="27"/>
  <c r="FL13" i="26"/>
  <c r="CB23" i="26"/>
  <c r="P22" i="26"/>
  <c r="Q22" i="26" s="1"/>
  <c r="FS35" i="22"/>
  <c r="QE4" i="22"/>
  <c r="QE8" i="22"/>
  <c r="QE10" i="22"/>
  <c r="QE25" i="22"/>
  <c r="QE31" i="22"/>
  <c r="QE21" i="22"/>
  <c r="QE33" i="22"/>
  <c r="QE35" i="22"/>
  <c r="BZ36" i="22"/>
  <c r="IB26" i="4"/>
  <c r="II26" i="4" s="1"/>
  <c r="FL26" i="4"/>
  <c r="FS26" i="4" s="1"/>
  <c r="OP19" i="4"/>
  <c r="OW19" i="4" s="1"/>
  <c r="LZ33" i="4"/>
  <c r="MG33" i="4" s="1"/>
  <c r="JJ21" i="4"/>
  <c r="OP26" i="4"/>
  <c r="OW26" i="4" s="1"/>
  <c r="IB25" i="4"/>
  <c r="GT27" i="4"/>
  <c r="HA27" i="4" s="1"/>
  <c r="ED27" i="4"/>
  <c r="RF27" i="4"/>
  <c r="LZ27" i="4"/>
  <c r="JJ27" i="4"/>
  <c r="JQ27" i="4" s="1"/>
  <c r="PX21" i="4"/>
  <c r="QE21" i="4" s="1"/>
  <c r="SN19" i="4"/>
  <c r="SU19" i="4" s="1"/>
  <c r="GT23" i="4"/>
  <c r="HA23" i="4" s="1"/>
  <c r="CW38" i="22"/>
  <c r="CW17" i="22"/>
  <c r="GN31" i="21"/>
  <c r="GK24" i="21"/>
  <c r="BY24" i="21"/>
  <c r="QC27" i="21"/>
  <c r="LU27" i="21"/>
  <c r="HM27" i="21"/>
  <c r="RG30" i="21"/>
  <c r="PA30" i="21"/>
  <c r="GK30" i="21"/>
  <c r="GK31" i="21"/>
  <c r="IR21" i="21"/>
  <c r="R20" i="21"/>
  <c r="DH20" i="21" s="1"/>
  <c r="FI31" i="21"/>
  <c r="KV30" i="21"/>
  <c r="AV25" i="21"/>
  <c r="RB24" i="21"/>
  <c r="MZ24" i="21"/>
  <c r="EG31" i="21"/>
  <c r="OB24" i="21"/>
  <c r="QC20" i="21"/>
  <c r="LU35" i="19"/>
  <c r="KV22" i="19"/>
  <c r="QC35" i="19"/>
  <c r="R22" i="19"/>
  <c r="S22" i="19" s="1"/>
  <c r="KV35" i="19"/>
  <c r="DB34" i="19"/>
  <c r="MZ35" i="19"/>
  <c r="HP35" i="19"/>
  <c r="NY35" i="19"/>
  <c r="GN22" i="19"/>
  <c r="RG35" i="19"/>
  <c r="RB35" i="19"/>
  <c r="PD35" i="19"/>
  <c r="FL35" i="19"/>
  <c r="PA25" i="27"/>
  <c r="MW24" i="27"/>
  <c r="EG24" i="27"/>
  <c r="GK21" i="27"/>
  <c r="R14" i="27"/>
  <c r="S14" i="27" s="1"/>
  <c r="EJ14" i="27"/>
  <c r="MW21" i="27"/>
  <c r="KV21" i="27"/>
  <c r="IO21" i="27"/>
  <c r="JQ14" i="27"/>
  <c r="KS24" i="27"/>
  <c r="QF14" i="27"/>
  <c r="QF21" i="27"/>
  <c r="MZ25" i="27"/>
  <c r="EG25" i="27"/>
  <c r="AY24" i="27"/>
  <c r="PA24" i="27"/>
  <c r="KV24" i="27"/>
  <c r="JT21" i="27"/>
  <c r="EG23" i="27"/>
  <c r="IR14" i="27"/>
  <c r="BY26" i="27"/>
  <c r="KS25" i="27"/>
  <c r="R18" i="27"/>
  <c r="DH18" i="27" s="1"/>
  <c r="RB24" i="27"/>
  <c r="MW22" i="27"/>
  <c r="IO22" i="27"/>
  <c r="NY21" i="27"/>
  <c r="EG14" i="27"/>
  <c r="OB14" i="27"/>
  <c r="HP14" i="27"/>
  <c r="NY24" i="27"/>
  <c r="NY22" i="27"/>
  <c r="JT22" i="27"/>
  <c r="PA21" i="27"/>
  <c r="KS21" i="27"/>
  <c r="HP21" i="27"/>
  <c r="PA14" i="27"/>
  <c r="KV14" i="27"/>
  <c r="QC13" i="26"/>
  <c r="LU13" i="26"/>
  <c r="RG21" i="26"/>
  <c r="FL21" i="26"/>
  <c r="PD13" i="26"/>
  <c r="BY13" i="26"/>
  <c r="HM13" i="26"/>
  <c r="RG22" i="26"/>
  <c r="RE22" i="26"/>
  <c r="BY22" i="26"/>
  <c r="AY23" i="26"/>
  <c r="EG13" i="26"/>
  <c r="OB13" i="26"/>
  <c r="GN13" i="26"/>
  <c r="AY13" i="26"/>
  <c r="DE23" i="26"/>
  <c r="EJ13" i="26"/>
  <c r="EK37" i="22"/>
  <c r="EK28" i="22"/>
  <c r="FS13" i="22"/>
  <c r="FS25" i="22"/>
  <c r="FS31" i="22"/>
  <c r="FS21" i="22"/>
  <c r="FL36" i="22"/>
  <c r="II11" i="22"/>
  <c r="LZ6" i="22"/>
  <c r="LZ9" i="22"/>
  <c r="MG9" i="22" s="1"/>
  <c r="LZ14" i="22"/>
  <c r="MG14" i="22" s="1"/>
  <c r="LZ15" i="22"/>
  <c r="MG15" i="22" s="1"/>
  <c r="NH7" i="22"/>
  <c r="NO7" i="22" s="1"/>
  <c r="NH10" i="22"/>
  <c r="NO10" i="22" s="1"/>
  <c r="NH25" i="22"/>
  <c r="NO25" i="22" s="1"/>
  <c r="ED8" i="22"/>
  <c r="EK8" i="22" s="1"/>
  <c r="ED10" i="22"/>
  <c r="EK10" i="22" s="1"/>
  <c r="ED13" i="22"/>
  <c r="EK13" i="22" s="1"/>
  <c r="ED25" i="22"/>
  <c r="EK25" i="22" s="1"/>
  <c r="ED24" i="22"/>
  <c r="EK24" i="22" s="1"/>
  <c r="ED18" i="22"/>
  <c r="EK18" i="22" s="1"/>
  <c r="IB5" i="22"/>
  <c r="IB9" i="22"/>
  <c r="II9" i="22" s="1"/>
  <c r="IB12" i="22"/>
  <c r="II12" i="22" s="1"/>
  <c r="IB14" i="22"/>
  <c r="IB16" i="22"/>
  <c r="II16" i="22" s="1"/>
  <c r="IB15" i="22"/>
  <c r="II15" i="22" s="1"/>
  <c r="IB22" i="22"/>
  <c r="IB34" i="22"/>
  <c r="II34" i="22" s="1"/>
  <c r="IB26" i="22"/>
  <c r="II26" i="22" s="1"/>
  <c r="JJ4" i="22"/>
  <c r="JQ4" i="22" s="1"/>
  <c r="JJ7" i="22"/>
  <c r="JQ7" i="22" s="1"/>
  <c r="JJ8" i="22"/>
  <c r="JQ8" i="22" s="1"/>
  <c r="JJ10" i="22"/>
  <c r="JQ10" i="22" s="1"/>
  <c r="JJ13" i="22"/>
  <c r="JQ13" i="22" s="1"/>
  <c r="JJ25" i="22"/>
  <c r="JQ25" i="22" s="1"/>
  <c r="JJ24" i="22"/>
  <c r="JQ24" i="22" s="1"/>
  <c r="JJ31" i="22"/>
  <c r="JQ31" i="22" s="1"/>
  <c r="JJ19" i="22"/>
  <c r="JQ19" i="22" s="1"/>
  <c r="JJ21" i="22"/>
  <c r="JQ21" i="22" s="1"/>
  <c r="JJ33" i="22"/>
  <c r="JQ33" i="22" s="1"/>
  <c r="JJ35" i="22"/>
  <c r="JQ35" i="22" s="1"/>
  <c r="KR6" i="22"/>
  <c r="KY6" i="22" s="1"/>
  <c r="KR5" i="22"/>
  <c r="KY5" i="22" s="1"/>
  <c r="KR9" i="22"/>
  <c r="KY9" i="22" s="1"/>
  <c r="KR22" i="22"/>
  <c r="KY22" i="22" s="1"/>
  <c r="KR34" i="22"/>
  <c r="KY34" i="22" s="1"/>
  <c r="KR26" i="22"/>
  <c r="KY26" i="22" s="1"/>
  <c r="KR23" i="22"/>
  <c r="LZ4" i="22"/>
  <c r="MG4" i="22" s="1"/>
  <c r="LZ7" i="22"/>
  <c r="MG7" i="22" s="1"/>
  <c r="LZ8" i="22"/>
  <c r="MG8" i="22" s="1"/>
  <c r="LZ10" i="22"/>
  <c r="MG10" i="22" s="1"/>
  <c r="LZ13" i="22"/>
  <c r="MG13" i="22" s="1"/>
  <c r="LZ25" i="22"/>
  <c r="MG25" i="22" s="1"/>
  <c r="LZ24" i="22"/>
  <c r="MG24" i="22" s="1"/>
  <c r="LZ31" i="22"/>
  <c r="LZ21" i="22"/>
  <c r="MG21" i="22" s="1"/>
  <c r="LZ33" i="22"/>
  <c r="LZ35" i="22"/>
  <c r="MG35" i="22" s="1"/>
  <c r="NH6" i="22"/>
  <c r="NO6" i="22" s="1"/>
  <c r="NH9" i="22"/>
  <c r="NO9" i="22" s="1"/>
  <c r="NH14" i="22"/>
  <c r="NO14" i="22" s="1"/>
  <c r="NH15" i="22"/>
  <c r="NO15" i="22" s="1"/>
  <c r="NH37" i="22"/>
  <c r="NO37" i="22" s="1"/>
  <c r="NH28" i="22"/>
  <c r="NO28" i="22" s="1"/>
  <c r="OP4" i="22"/>
  <c r="OW4" i="22" s="1"/>
  <c r="OP7" i="22"/>
  <c r="OP10" i="22"/>
  <c r="OW10" i="22" s="1"/>
  <c r="OP13" i="22"/>
  <c r="OW13" i="22" s="1"/>
  <c r="OP25" i="22"/>
  <c r="OW25" i="22" s="1"/>
  <c r="OP24" i="22"/>
  <c r="OW24" i="22" s="1"/>
  <c r="OP31" i="22"/>
  <c r="OP19" i="22"/>
  <c r="OW19" i="22" s="1"/>
  <c r="OP21" i="22"/>
  <c r="OW21" i="22" s="1"/>
  <c r="OP18" i="22"/>
  <c r="OW18" i="22" s="1"/>
  <c r="OP30" i="22"/>
  <c r="OW30" i="22" s="1"/>
  <c r="OP11" i="22"/>
  <c r="OW11" i="22" s="1"/>
  <c r="OP17" i="22"/>
  <c r="OW17" i="22" s="1"/>
  <c r="OP27" i="22"/>
  <c r="OW27" i="22" s="1"/>
  <c r="OP36" i="22"/>
  <c r="OW36" i="22" s="1"/>
  <c r="OP33" i="22"/>
  <c r="OW33" i="22" s="1"/>
  <c r="OP35" i="22"/>
  <c r="OW35" i="22" s="1"/>
  <c r="PX22" i="22"/>
  <c r="QE22" i="22" s="1"/>
  <c r="BZ34" i="22"/>
  <c r="RF13" i="22"/>
  <c r="RM13" i="22" s="1"/>
  <c r="RM32" i="22"/>
  <c r="ED9" i="22"/>
  <c r="EK9" i="22" s="1"/>
  <c r="ED14" i="22"/>
  <c r="ED23" i="22"/>
  <c r="EK23" i="22" s="1"/>
  <c r="ED30" i="22"/>
  <c r="EK30" i="22" s="1"/>
  <c r="ED11" i="22"/>
  <c r="EK11" i="22" s="1"/>
  <c r="ED17" i="22"/>
  <c r="ED27" i="22"/>
  <c r="EK27" i="22" s="1"/>
  <c r="FL6" i="22"/>
  <c r="FS6" i="22" s="1"/>
  <c r="JJ28" i="22"/>
  <c r="KR7" i="22"/>
  <c r="KY7" i="22" s="1"/>
  <c r="KR31" i="22"/>
  <c r="KY31" i="22" s="1"/>
  <c r="KR21" i="22"/>
  <c r="KY21" i="22" s="1"/>
  <c r="NH36" i="22"/>
  <c r="NO36" i="22" s="1"/>
  <c r="RF21" i="4"/>
  <c r="RM21" i="4" s="1"/>
  <c r="JJ26" i="4"/>
  <c r="JQ26" i="4" s="1"/>
  <c r="NH25" i="4"/>
  <c r="KR33" i="4"/>
  <c r="KY33" i="4" s="1"/>
  <c r="FL33" i="4"/>
  <c r="FS33" i="4" s="1"/>
  <c r="CW33" i="4"/>
  <c r="DA33" i="4" s="1"/>
  <c r="BZ33" i="4"/>
  <c r="EK27" i="4"/>
  <c r="AY33" i="4"/>
  <c r="LZ23" i="4"/>
  <c r="FL25" i="4"/>
  <c r="FS25" i="4" s="1"/>
  <c r="JQ21" i="4"/>
  <c r="SN22" i="4"/>
  <c r="SU22" i="4" s="1"/>
  <c r="PX22" i="4"/>
  <c r="NH22" i="4"/>
  <c r="NO22" i="4" s="1"/>
  <c r="FL22" i="4"/>
  <c r="FS22" i="4" s="1"/>
  <c r="ED19" i="4"/>
  <c r="RF37" i="4"/>
  <c r="RM37" i="4" s="1"/>
  <c r="LZ37" i="4"/>
  <c r="MG37" i="4" s="1"/>
  <c r="LZ19" i="4"/>
  <c r="JJ19" i="4"/>
  <c r="JQ19" i="4" s="1"/>
  <c r="SN23" i="4"/>
  <c r="SU23" i="4" s="1"/>
  <c r="NH23" i="4"/>
  <c r="NO23" i="4" s="1"/>
  <c r="KR23" i="4"/>
  <c r="KY23" i="4" s="1"/>
  <c r="AY23" i="4"/>
  <c r="SN26" i="4"/>
  <c r="FL27" i="4"/>
  <c r="FS27" i="4" s="1"/>
  <c r="SU37" i="4"/>
  <c r="NH37" i="4"/>
  <c r="NO37" i="4" s="1"/>
  <c r="KR37" i="4"/>
  <c r="KY37" i="4" s="1"/>
  <c r="IB37" i="4"/>
  <c r="II37" i="4" s="1"/>
  <c r="FL37" i="4"/>
  <c r="FS37" i="4" s="1"/>
  <c r="GT33" i="4"/>
  <c r="HA33" i="4" s="1"/>
  <c r="NH19" i="4"/>
  <c r="NO19" i="4" s="1"/>
  <c r="KR19" i="4"/>
  <c r="KY19" i="4" s="1"/>
  <c r="IB19" i="4"/>
  <c r="II19" i="4" s="1"/>
  <c r="RM25" i="4"/>
  <c r="QE22" i="4"/>
  <c r="PX33" i="4"/>
  <c r="QE33" i="4" s="1"/>
  <c r="NH33" i="4"/>
  <c r="PA31" i="21"/>
  <c r="PA24" i="21"/>
  <c r="EJ30" i="21"/>
  <c r="QC31" i="21"/>
  <c r="LU31" i="21"/>
  <c r="HM31" i="21"/>
  <c r="MW31" i="21"/>
  <c r="NY20" i="21"/>
  <c r="JQ20" i="21"/>
  <c r="NY17" i="21"/>
  <c r="JQ17" i="21"/>
  <c r="FI17" i="21"/>
  <c r="PA15" i="21"/>
  <c r="KS15" i="21"/>
  <c r="QF18" i="21"/>
  <c r="LX18" i="21"/>
  <c r="N18" i="21"/>
  <c r="O18" i="21" s="1"/>
  <c r="MW21" i="21"/>
  <c r="IO21" i="21"/>
  <c r="GN21" i="21"/>
  <c r="PA20" i="21"/>
  <c r="HP15" i="21"/>
  <c r="IR30" i="21"/>
  <c r="KV20" i="21"/>
  <c r="CB18" i="21"/>
  <c r="NY31" i="21"/>
  <c r="JQ31" i="21"/>
  <c r="HP31" i="21"/>
  <c r="FL24" i="21"/>
  <c r="BY25" i="21"/>
  <c r="LU24" i="21"/>
  <c r="HP24" i="21"/>
  <c r="MW25" i="21"/>
  <c r="IO25" i="21"/>
  <c r="EG25" i="21"/>
  <c r="FL20" i="21"/>
  <c r="PA17" i="21"/>
  <c r="KS17" i="21"/>
  <c r="GK17" i="21"/>
  <c r="R15" i="21"/>
  <c r="DH15" i="21" s="1"/>
  <c r="HP21" i="21"/>
  <c r="MW30" i="21"/>
  <c r="HP30" i="21"/>
  <c r="AV30" i="21"/>
  <c r="KS31" i="21"/>
  <c r="IR31" i="21"/>
  <c r="KS21" i="21"/>
  <c r="PD31" i="21"/>
  <c r="NY24" i="21"/>
  <c r="MZ27" i="21"/>
  <c r="IR27" i="21"/>
  <c r="EJ27" i="21"/>
  <c r="BY20" i="21"/>
  <c r="RD17" i="21"/>
  <c r="QC17" i="21"/>
  <c r="LU17" i="21"/>
  <c r="HM17" i="21"/>
  <c r="R17" i="21"/>
  <c r="RG15" i="21"/>
  <c r="RB15" i="21"/>
  <c r="MW15" i="21"/>
  <c r="IO15" i="21"/>
  <c r="EG15" i="21"/>
  <c r="FL18" i="21"/>
  <c r="PD21" i="21"/>
  <c r="NY30" i="21"/>
  <c r="JT30" i="21"/>
  <c r="FL30" i="21"/>
  <c r="BY30" i="21"/>
  <c r="QF31" i="21"/>
  <c r="R31" i="21"/>
  <c r="S31" i="21" s="1"/>
  <c r="LX24" i="21"/>
  <c r="RD27" i="21"/>
  <c r="NY27" i="21"/>
  <c r="JQ27" i="21"/>
  <c r="FI27" i="21"/>
  <c r="P27" i="21"/>
  <c r="Q27" i="21" s="1"/>
  <c r="RG20" i="21"/>
  <c r="RB20" i="21"/>
  <c r="QF21" i="21"/>
  <c r="KS30" i="21"/>
  <c r="GN30" i="21"/>
  <c r="P30" i="21"/>
  <c r="RG31" i="21"/>
  <c r="IO31" i="21"/>
  <c r="QF24" i="21"/>
  <c r="KV24" i="21"/>
  <c r="FI24" i="21"/>
  <c r="PA27" i="21"/>
  <c r="KS27" i="21"/>
  <c r="GK27" i="21"/>
  <c r="FI20" i="21"/>
  <c r="RG21" i="21"/>
  <c r="RB21" i="21"/>
  <c r="LU30" i="21"/>
  <c r="OB20" i="21"/>
  <c r="RD30" i="21"/>
  <c r="LX30" i="21"/>
  <c r="HM35" i="19"/>
  <c r="BY22" i="19"/>
  <c r="OB35" i="19"/>
  <c r="GN35" i="19"/>
  <c r="IR35" i="19"/>
  <c r="MW35" i="19"/>
  <c r="JT35" i="19"/>
  <c r="FI35" i="19"/>
  <c r="PA35" i="19"/>
  <c r="LX35" i="19"/>
  <c r="EJ35" i="19"/>
  <c r="QF35" i="19"/>
  <c r="BY35" i="19"/>
  <c r="RH34" i="19"/>
  <c r="L34" i="19"/>
  <c r="M34" i="19" s="1"/>
  <c r="R34" i="19"/>
  <c r="DH34" i="19" s="1"/>
  <c r="MZ22" i="19"/>
  <c r="IR22" i="19"/>
  <c r="EJ22" i="19"/>
  <c r="OB22" i="19"/>
  <c r="JT22" i="19"/>
  <c r="FL22" i="19"/>
  <c r="AV35" i="19"/>
  <c r="GK24" i="27"/>
  <c r="NY26" i="27"/>
  <c r="JQ26" i="27"/>
  <c r="FI26" i="27"/>
  <c r="IO25" i="27"/>
  <c r="P25" i="27"/>
  <c r="BY24" i="27"/>
  <c r="MZ22" i="27"/>
  <c r="KS22" i="27"/>
  <c r="FI22" i="27"/>
  <c r="AV22" i="27"/>
  <c r="PA23" i="27"/>
  <c r="KS23" i="27"/>
  <c r="GK23" i="27"/>
  <c r="BY23" i="27"/>
  <c r="LX21" i="27"/>
  <c r="AV21" i="27"/>
  <c r="RG14" i="27"/>
  <c r="RB14" i="27"/>
  <c r="FL14" i="27"/>
  <c r="AV26" i="27"/>
  <c r="RG18" i="27"/>
  <c r="RB18" i="27"/>
  <c r="HM24" i="27"/>
  <c r="RD22" i="27"/>
  <c r="OB22" i="27"/>
  <c r="LX22" i="27"/>
  <c r="GK22" i="27"/>
  <c r="MZ21" i="27"/>
  <c r="EJ21" i="27"/>
  <c r="QC14" i="27"/>
  <c r="GK14" i="27"/>
  <c r="QC18" i="27"/>
  <c r="PA22" i="27"/>
  <c r="RG26" i="27"/>
  <c r="EJ25" i="27"/>
  <c r="IR24" i="27"/>
  <c r="RE22" i="27"/>
  <c r="EJ22" i="27"/>
  <c r="N23" i="27"/>
  <c r="O23" i="27" s="1"/>
  <c r="OB21" i="27"/>
  <c r="FL21" i="27"/>
  <c r="CB21" i="27"/>
  <c r="LX14" i="27"/>
  <c r="QC25" i="27"/>
  <c r="KV25" i="27"/>
  <c r="AV18" i="27"/>
  <c r="IO24" i="27"/>
  <c r="PD22" i="27"/>
  <c r="FL22" i="27"/>
  <c r="PD21" i="27"/>
  <c r="GN21" i="27"/>
  <c r="MW14" i="27"/>
  <c r="JT14" i="27"/>
  <c r="HM14" i="27"/>
  <c r="LU18" i="27"/>
  <c r="RD24" i="27"/>
  <c r="RD25" i="27"/>
  <c r="MZ14" i="27"/>
  <c r="BY14" i="27"/>
  <c r="BY25" i="27"/>
  <c r="PA18" i="27"/>
  <c r="KS18" i="27"/>
  <c r="GK18" i="27"/>
  <c r="BY18" i="27"/>
  <c r="JQ24" i="27"/>
  <c r="FI24" i="27"/>
  <c r="GN22" i="27"/>
  <c r="IR21" i="27"/>
  <c r="CB23" i="27"/>
  <c r="AY23" i="27"/>
  <c r="N21" i="27"/>
  <c r="DF21" i="27" s="1"/>
  <c r="CB26" i="27"/>
  <c r="OB25" i="27"/>
  <c r="FL25" i="27"/>
  <c r="NY18" i="27"/>
  <c r="JQ18" i="27"/>
  <c r="FI18" i="27"/>
  <c r="LX24" i="27"/>
  <c r="L24" i="27"/>
  <c r="M24" i="27" s="1"/>
  <c r="RC22" i="27"/>
  <c r="RF22" i="27" s="1"/>
  <c r="LU22" i="27"/>
  <c r="IR22" i="27"/>
  <c r="AY21" i="27"/>
  <c r="PD25" i="27"/>
  <c r="GN25" i="27"/>
  <c r="MZ24" i="27"/>
  <c r="EJ24" i="27"/>
  <c r="RG22" i="27"/>
  <c r="RH23" i="27"/>
  <c r="IO14" i="27"/>
  <c r="QF25" i="27"/>
  <c r="HP25" i="27"/>
  <c r="R25" i="27"/>
  <c r="DH25" i="27" s="1"/>
  <c r="CB18" i="27"/>
  <c r="OB24" i="27"/>
  <c r="FL24" i="27"/>
  <c r="CB24" i="27"/>
  <c r="R24" i="27"/>
  <c r="DH24" i="27" s="1"/>
  <c r="KV22" i="27"/>
  <c r="P22" i="27"/>
  <c r="Q22" i="27" s="1"/>
  <c r="RC21" i="27"/>
  <c r="RB26" i="27"/>
  <c r="IR25" i="27"/>
  <c r="RH24" i="27"/>
  <c r="PD24" i="27"/>
  <c r="GN24" i="27"/>
  <c r="I22" i="27"/>
  <c r="RG23" i="27"/>
  <c r="PD14" i="27"/>
  <c r="KS14" i="27"/>
  <c r="GN14" i="27"/>
  <c r="JT25" i="27"/>
  <c r="HM18" i="27"/>
  <c r="DB18" i="27"/>
  <c r="QF24" i="27"/>
  <c r="HP24" i="27"/>
  <c r="DE24" i="27"/>
  <c r="QC22" i="27"/>
  <c r="HM22" i="27"/>
  <c r="LU14" i="27"/>
  <c r="LX25" i="27"/>
  <c r="MW18" i="27"/>
  <c r="IO18" i="27"/>
  <c r="EG18" i="27"/>
  <c r="RE24" i="27"/>
  <c r="JT24" i="27"/>
  <c r="JQ22" i="27"/>
  <c r="BY21" i="27"/>
  <c r="NY14" i="27"/>
  <c r="DB14" i="27"/>
  <c r="MZ13" i="26"/>
  <c r="MZ23" i="26"/>
  <c r="EJ23" i="26"/>
  <c r="MW13" i="26"/>
  <c r="IO13" i="26"/>
  <c r="JT13" i="26"/>
  <c r="IR23" i="26"/>
  <c r="LX13" i="26"/>
  <c r="KV13" i="26"/>
  <c r="RD22" i="26"/>
  <c r="DB22" i="26"/>
  <c r="JQ13" i="26"/>
  <c r="RD21" i="26"/>
  <c r="OB23" i="26"/>
  <c r="JT23" i="26"/>
  <c r="FL23" i="26"/>
  <c r="R23" i="26"/>
  <c r="DH23" i="26" s="1"/>
  <c r="QF13" i="26"/>
  <c r="KS13" i="26"/>
  <c r="HP13" i="26"/>
  <c r="DE13" i="26"/>
  <c r="IR13" i="26"/>
  <c r="RG23" i="26"/>
  <c r="CB13" i="26"/>
  <c r="AV22" i="26"/>
  <c r="P21" i="26"/>
  <c r="Q21" i="26" s="1"/>
  <c r="BY23" i="26"/>
  <c r="NY13" i="26"/>
  <c r="FI13" i="26"/>
  <c r="IR21" i="26"/>
  <c r="CB21" i="26"/>
  <c r="PA13" i="26"/>
  <c r="GK13" i="26"/>
  <c r="FS11" i="22"/>
  <c r="FS17" i="22"/>
  <c r="FS36" i="22"/>
  <c r="GT19" i="22"/>
  <c r="HA19" i="22" s="1"/>
  <c r="GT18" i="22"/>
  <c r="HA18" i="22" s="1"/>
  <c r="GT11" i="22"/>
  <c r="HA11" i="22" s="1"/>
  <c r="GT27" i="22"/>
  <c r="GT33" i="22"/>
  <c r="HA33" i="22" s="1"/>
  <c r="IB6" i="22"/>
  <c r="II6" i="22" s="1"/>
  <c r="KY23" i="22"/>
  <c r="MG31" i="22"/>
  <c r="RF38" i="22"/>
  <c r="RM38" i="22" s="1"/>
  <c r="ED20" i="22"/>
  <c r="EK20" i="22" s="1"/>
  <c r="HA16" i="22"/>
  <c r="HA22" i="22"/>
  <c r="HA34" i="22"/>
  <c r="HA23" i="22"/>
  <c r="II18" i="22"/>
  <c r="II23" i="22"/>
  <c r="IB20" i="22"/>
  <c r="II20" i="22" s="1"/>
  <c r="IB37" i="22"/>
  <c r="II37" i="22" s="1"/>
  <c r="IB28" i="22"/>
  <c r="II28" i="22" s="1"/>
  <c r="MG33" i="22"/>
  <c r="NH35" i="22"/>
  <c r="NO35" i="22" s="1"/>
  <c r="OP28" i="22"/>
  <c r="EK14" i="22"/>
  <c r="EK17" i="22"/>
  <c r="FL10" i="22"/>
  <c r="FS10" i="22" s="1"/>
  <c r="JJ30" i="22"/>
  <c r="JQ30" i="22" s="1"/>
  <c r="JJ17" i="22"/>
  <c r="JQ17" i="22" s="1"/>
  <c r="JJ36" i="22"/>
  <c r="JQ36" i="22" s="1"/>
  <c r="KR14" i="22"/>
  <c r="KY14" i="22" s="1"/>
  <c r="KR15" i="22"/>
  <c r="KY15" i="22" s="1"/>
  <c r="PX30" i="22"/>
  <c r="QE30" i="22" s="1"/>
  <c r="PX17" i="22"/>
  <c r="QE17" i="22" s="1"/>
  <c r="PX36" i="22"/>
  <c r="QE36" i="22" s="1"/>
  <c r="RF15" i="22"/>
  <c r="RM15" i="22" s="1"/>
  <c r="RF34" i="22"/>
  <c r="RM34" i="22" s="1"/>
  <c r="RF23" i="22"/>
  <c r="ED7" i="22"/>
  <c r="EK7" i="22" s="1"/>
  <c r="FL5" i="22"/>
  <c r="FS5" i="22" s="1"/>
  <c r="FL9" i="22"/>
  <c r="FS9" i="22" s="1"/>
  <c r="FL12" i="22"/>
  <c r="FS12" i="22" s="1"/>
  <c r="FL14" i="22"/>
  <c r="FS14" i="22" s="1"/>
  <c r="FL34" i="22"/>
  <c r="FS34" i="22" s="1"/>
  <c r="FL30" i="22"/>
  <c r="FS30" i="22" s="1"/>
  <c r="JJ26" i="22"/>
  <c r="JQ26" i="22" s="1"/>
  <c r="JJ29" i="22"/>
  <c r="JJ32" i="22"/>
  <c r="JQ32" i="22" s="1"/>
  <c r="KR10" i="22"/>
  <c r="KY10" i="22" s="1"/>
  <c r="KR13" i="22"/>
  <c r="KY13" i="22" s="1"/>
  <c r="KR25" i="22"/>
  <c r="KY25" i="22" s="1"/>
  <c r="KR24" i="22"/>
  <c r="KY24" i="22" s="1"/>
  <c r="KR20" i="22"/>
  <c r="KY20" i="22" s="1"/>
  <c r="KR37" i="22"/>
  <c r="KY37" i="22" s="1"/>
  <c r="KR28" i="22"/>
  <c r="PX26" i="22"/>
  <c r="QE26" i="22" s="1"/>
  <c r="PX29" i="22"/>
  <c r="PX32" i="22"/>
  <c r="QE32" i="22" s="1"/>
  <c r="PX38" i="22"/>
  <c r="QE38" i="22" s="1"/>
  <c r="RF25" i="22"/>
  <c r="RM25" i="22" s="1"/>
  <c r="RF24" i="22"/>
  <c r="RM24" i="22" s="1"/>
  <c r="RF31" i="22"/>
  <c r="RM31" i="22" s="1"/>
  <c r="RF19" i="22"/>
  <c r="RM19" i="22" s="1"/>
  <c r="RF21" i="22"/>
  <c r="RM21" i="22" s="1"/>
  <c r="RF18" i="22"/>
  <c r="RM18" i="22" s="1"/>
  <c r="RF30" i="22"/>
  <c r="RM30" i="22" s="1"/>
  <c r="RF11" i="22"/>
  <c r="RM11" i="22" s="1"/>
  <c r="RF17" i="22"/>
  <c r="RM17" i="22" s="1"/>
  <c r="ED6" i="22"/>
  <c r="EK6" i="22" s="1"/>
  <c r="ED5" i="22"/>
  <c r="EK5" i="22" s="1"/>
  <c r="ED31" i="22"/>
  <c r="EK31" i="22" s="1"/>
  <c r="ED21" i="22"/>
  <c r="EK21" i="22" s="1"/>
  <c r="FL26" i="22"/>
  <c r="FS26" i="22" s="1"/>
  <c r="FL23" i="22"/>
  <c r="FS23" i="22" s="1"/>
  <c r="FL29" i="22"/>
  <c r="FS29" i="22" s="1"/>
  <c r="FL28" i="22"/>
  <c r="FS28" i="22" s="1"/>
  <c r="GT6" i="22"/>
  <c r="HA6" i="22" s="1"/>
  <c r="GT9" i="22"/>
  <c r="HA9" i="22" s="1"/>
  <c r="GT14" i="22"/>
  <c r="HA14" i="22" s="1"/>
  <c r="IB10" i="22"/>
  <c r="II10" i="22" s="1"/>
  <c r="IB25" i="22"/>
  <c r="II25" i="22" s="1"/>
  <c r="IB31" i="22"/>
  <c r="II31" i="22" s="1"/>
  <c r="KR30" i="22"/>
  <c r="KY30" i="22" s="1"/>
  <c r="KR11" i="22"/>
  <c r="KY11" i="22" s="1"/>
  <c r="KR17" i="22"/>
  <c r="KY17" i="22" s="1"/>
  <c r="KR27" i="22"/>
  <c r="KY27" i="22" s="1"/>
  <c r="KR36" i="22"/>
  <c r="KY36" i="22" s="1"/>
  <c r="KR33" i="22"/>
  <c r="KY33" i="22" s="1"/>
  <c r="KR35" i="22"/>
  <c r="KY35" i="22" s="1"/>
  <c r="LZ22" i="22"/>
  <c r="MG22" i="22" s="1"/>
  <c r="LZ30" i="22"/>
  <c r="MG30" i="22" s="1"/>
  <c r="LZ17" i="22"/>
  <c r="MG17" i="22" s="1"/>
  <c r="LZ36" i="22"/>
  <c r="MG36" i="22" s="1"/>
  <c r="NH22" i="22"/>
  <c r="NO22" i="22" s="1"/>
  <c r="NH26" i="22"/>
  <c r="NO26" i="22" s="1"/>
  <c r="NH29" i="22"/>
  <c r="NO29" i="22" s="1"/>
  <c r="ED16" i="22"/>
  <c r="EK16" i="22" s="1"/>
  <c r="ED15" i="22"/>
  <c r="EK15" i="22" s="1"/>
  <c r="ED22" i="22"/>
  <c r="EK22" i="22" s="1"/>
  <c r="ED34" i="22"/>
  <c r="EK34" i="22" s="1"/>
  <c r="ED26" i="22"/>
  <c r="EK26" i="22" s="1"/>
  <c r="ED36" i="22"/>
  <c r="EK36" i="22" s="1"/>
  <c r="ED35" i="22"/>
  <c r="EK35" i="22" s="1"/>
  <c r="GT7" i="22"/>
  <c r="HA7" i="22" s="1"/>
  <c r="GT10" i="22"/>
  <c r="HA10" i="22" s="1"/>
  <c r="II5" i="22"/>
  <c r="II14" i="22"/>
  <c r="IB35" i="22"/>
  <c r="JJ6" i="22"/>
  <c r="JQ6" i="22" s="1"/>
  <c r="JJ9" i="22"/>
  <c r="JQ9" i="22" s="1"/>
  <c r="JJ14" i="22"/>
  <c r="JQ14" i="22" s="1"/>
  <c r="JJ15" i="22"/>
  <c r="JQ15" i="22" s="1"/>
  <c r="LZ26" i="22"/>
  <c r="MG26" i="22" s="1"/>
  <c r="LZ29" i="22"/>
  <c r="MG29" i="22" s="1"/>
  <c r="LZ32" i="22"/>
  <c r="MG32" i="22" s="1"/>
  <c r="LZ38" i="22"/>
  <c r="MG38" i="22" s="1"/>
  <c r="NH24" i="22"/>
  <c r="NO24" i="22" s="1"/>
  <c r="NH31" i="22"/>
  <c r="NO31" i="22" s="1"/>
  <c r="NH19" i="22"/>
  <c r="NO19" i="22" s="1"/>
  <c r="NH21" i="22"/>
  <c r="NO21" i="22" s="1"/>
  <c r="NH18" i="22"/>
  <c r="NO18" i="22" s="1"/>
  <c r="NH30" i="22"/>
  <c r="NO30" i="22" s="1"/>
  <c r="NH11" i="22"/>
  <c r="NO11" i="22" s="1"/>
  <c r="NH17" i="22"/>
  <c r="NO17" i="22" s="1"/>
  <c r="NH27" i="22"/>
  <c r="NO27" i="22" s="1"/>
  <c r="PX9" i="22"/>
  <c r="QE9" i="22" s="1"/>
  <c r="PX14" i="22"/>
  <c r="QE14" i="22" s="1"/>
  <c r="PX15" i="22"/>
  <c r="QE15" i="22" s="1"/>
  <c r="HA26" i="22"/>
  <c r="HA27" i="22"/>
  <c r="JQ29" i="22"/>
  <c r="KY28" i="22"/>
  <c r="OW7" i="22"/>
  <c r="OW31" i="22"/>
  <c r="OW28" i="22"/>
  <c r="QE29" i="22"/>
  <c r="RM23" i="22"/>
  <c r="HA32" i="22"/>
  <c r="HA38" i="22"/>
  <c r="II4" i="22"/>
  <c r="II22" i="22"/>
  <c r="IB21" i="22"/>
  <c r="II21" i="22" s="1"/>
  <c r="II33" i="22"/>
  <c r="JJ34" i="22"/>
  <c r="JQ34" i="22" s="1"/>
  <c r="LZ34" i="22"/>
  <c r="MG34" i="22" s="1"/>
  <c r="NH32" i="22"/>
  <c r="NO32" i="22" s="1"/>
  <c r="QE24" i="22"/>
  <c r="PX34" i="22"/>
  <c r="QE34" i="22" s="1"/>
  <c r="RM12" i="22"/>
  <c r="RF20" i="22"/>
  <c r="RM20" i="22" s="1"/>
  <c r="CW32" i="22"/>
  <c r="DA32" i="22" s="1"/>
  <c r="CW20" i="22"/>
  <c r="DA20" i="22" s="1"/>
  <c r="CW34" i="22"/>
  <c r="DA34" i="22" s="1"/>
  <c r="FS4" i="22"/>
  <c r="FL19" i="22"/>
  <c r="FS19" i="22" s="1"/>
  <c r="FL20" i="22"/>
  <c r="FS20" i="22" s="1"/>
  <c r="FL33" i="22"/>
  <c r="FS33" i="22" s="1"/>
  <c r="GT4" i="22"/>
  <c r="HA4" i="22" s="1"/>
  <c r="GT25" i="22"/>
  <c r="HA25" i="22" s="1"/>
  <c r="II8" i="22"/>
  <c r="IB30" i="22"/>
  <c r="II30" i="22" s="1"/>
  <c r="JJ23" i="22"/>
  <c r="JQ23" i="22" s="1"/>
  <c r="JJ38" i="22"/>
  <c r="JQ38" i="22" s="1"/>
  <c r="LZ19" i="22"/>
  <c r="MG19" i="22" s="1"/>
  <c r="LZ23" i="22"/>
  <c r="MG23" i="22" s="1"/>
  <c r="NH38" i="22"/>
  <c r="NO38" i="22" s="1"/>
  <c r="QE19" i="22"/>
  <c r="PX23" i="22"/>
  <c r="QE23" i="22" s="1"/>
  <c r="RM16" i="22"/>
  <c r="RF37" i="22"/>
  <c r="RM37" i="22" s="1"/>
  <c r="EK38" i="22"/>
  <c r="CW27" i="22"/>
  <c r="GT8" i="22"/>
  <c r="HA8" i="22" s="1"/>
  <c r="GT31" i="22"/>
  <c r="HA31" i="22" s="1"/>
  <c r="IB13" i="22"/>
  <c r="II13" i="22" s="1"/>
  <c r="IB29" i="22"/>
  <c r="II29" i="22" s="1"/>
  <c r="IB17" i="22"/>
  <c r="II17" i="22" s="1"/>
  <c r="JJ5" i="22"/>
  <c r="JQ5" i="22" s="1"/>
  <c r="JJ18" i="22"/>
  <c r="JQ18" i="22" s="1"/>
  <c r="JJ20" i="22"/>
  <c r="JQ20" i="22" s="1"/>
  <c r="KR4" i="22"/>
  <c r="KY4" i="22" s="1"/>
  <c r="KR12" i="22"/>
  <c r="KY12" i="22" s="1"/>
  <c r="KR19" i="22"/>
  <c r="KY19" i="22" s="1"/>
  <c r="KR29" i="22"/>
  <c r="KY29" i="22" s="1"/>
  <c r="LZ5" i="22"/>
  <c r="MG5" i="22" s="1"/>
  <c r="LZ18" i="22"/>
  <c r="MG18" i="22" s="1"/>
  <c r="LZ20" i="22"/>
  <c r="MG20" i="22" s="1"/>
  <c r="NH4" i="22"/>
  <c r="NO4" i="22" s="1"/>
  <c r="NH5" i="22"/>
  <c r="NO5" i="22" s="1"/>
  <c r="NH34" i="22"/>
  <c r="NO34" i="22" s="1"/>
  <c r="NH33" i="22"/>
  <c r="NO33" i="22" s="1"/>
  <c r="OP8" i="22"/>
  <c r="OW8" i="22" s="1"/>
  <c r="PX5" i="22"/>
  <c r="QE5" i="22" s="1"/>
  <c r="PX18" i="22"/>
  <c r="QE18" i="22" s="1"/>
  <c r="PX20" i="22"/>
  <c r="QE20" i="22" s="1"/>
  <c r="RF6" i="22"/>
  <c r="RM6" i="22" s="1"/>
  <c r="RF22" i="22"/>
  <c r="RM22" i="22" s="1"/>
  <c r="RF36" i="22"/>
  <c r="RM36" i="22" s="1"/>
  <c r="RF28" i="22"/>
  <c r="RM28" i="22" s="1"/>
  <c r="BZ27" i="22"/>
  <c r="ED4" i="22"/>
  <c r="EK4" i="22" s="1"/>
  <c r="ED12" i="22"/>
  <c r="EK12" i="22" s="1"/>
  <c r="ED19" i="22"/>
  <c r="EK19" i="22" s="1"/>
  <c r="ED29" i="22"/>
  <c r="EK29" i="22" s="1"/>
  <c r="ED33" i="22"/>
  <c r="EK33" i="22" s="1"/>
  <c r="FL8" i="22"/>
  <c r="FS8" i="22" s="1"/>
  <c r="FL15" i="22"/>
  <c r="FS15" i="22" s="1"/>
  <c r="FL18" i="22"/>
  <c r="FS18" i="22" s="1"/>
  <c r="FL37" i="22"/>
  <c r="FS37" i="22" s="1"/>
  <c r="GT5" i="22"/>
  <c r="HA5" i="22" s="1"/>
  <c r="GT13" i="22"/>
  <c r="HA13" i="22" s="1"/>
  <c r="GT21" i="22"/>
  <c r="HA21" i="22" s="1"/>
  <c r="GT20" i="22"/>
  <c r="HA20" i="22" s="1"/>
  <c r="GT37" i="22"/>
  <c r="HA37" i="22" s="1"/>
  <c r="GT28" i="22"/>
  <c r="HA28" i="22" s="1"/>
  <c r="IB24" i="22"/>
  <c r="II24" i="22" s="1"/>
  <c r="IB32" i="22"/>
  <c r="II32" i="22" s="1"/>
  <c r="IB36" i="22"/>
  <c r="II36" i="22" s="1"/>
  <c r="JJ12" i="22"/>
  <c r="JQ12" i="22" s="1"/>
  <c r="JJ11" i="22"/>
  <c r="JQ11" i="22" s="1"/>
  <c r="JJ37" i="22"/>
  <c r="JQ37" i="22" s="1"/>
  <c r="KR32" i="22"/>
  <c r="KY32" i="22" s="1"/>
  <c r="LZ12" i="22"/>
  <c r="MG12" i="22" s="1"/>
  <c r="LZ11" i="22"/>
  <c r="MG11" i="22" s="1"/>
  <c r="LZ37" i="22"/>
  <c r="MG37" i="22" s="1"/>
  <c r="NH8" i="22"/>
  <c r="NO8" i="22" s="1"/>
  <c r="NH12" i="22"/>
  <c r="NO12" i="22" s="1"/>
  <c r="NH23" i="22"/>
  <c r="NO23" i="22" s="1"/>
  <c r="OP6" i="22"/>
  <c r="OW6" i="22" s="1"/>
  <c r="OP5" i="22"/>
  <c r="OW5" i="22" s="1"/>
  <c r="OP9" i="22"/>
  <c r="OW9" i="22" s="1"/>
  <c r="OP12" i="22"/>
  <c r="OW12" i="22" s="1"/>
  <c r="OP14" i="22"/>
  <c r="OW14" i="22" s="1"/>
  <c r="OP16" i="22"/>
  <c r="OW16" i="22" s="1"/>
  <c r="OP15" i="22"/>
  <c r="OW15" i="22" s="1"/>
  <c r="OP22" i="22"/>
  <c r="OW22" i="22" s="1"/>
  <c r="OP34" i="22"/>
  <c r="OW34" i="22" s="1"/>
  <c r="OP26" i="22"/>
  <c r="OW26" i="22" s="1"/>
  <c r="OP23" i="22"/>
  <c r="OW23" i="22" s="1"/>
  <c r="OP29" i="22"/>
  <c r="OW29" i="22" s="1"/>
  <c r="OP20" i="22"/>
  <c r="OW20" i="22" s="1"/>
  <c r="OP32" i="22"/>
  <c r="OW32" i="22" s="1"/>
  <c r="OP37" i="22"/>
  <c r="OW37" i="22" s="1"/>
  <c r="PX12" i="22"/>
  <c r="QE12" i="22" s="1"/>
  <c r="PX11" i="22"/>
  <c r="QE11" i="22" s="1"/>
  <c r="PX37" i="22"/>
  <c r="QE37" i="22" s="1"/>
  <c r="RF7" i="22"/>
  <c r="RM7" i="22" s="1"/>
  <c r="RF9" i="22"/>
  <c r="RM9" i="22" s="1"/>
  <c r="RF26" i="22"/>
  <c r="RM26" i="22" s="1"/>
  <c r="RF35" i="22"/>
  <c r="RM35" i="22" s="1"/>
  <c r="CW36" i="22"/>
  <c r="L32" i="22"/>
  <c r="M32" i="22" s="1"/>
  <c r="BZ17" i="22"/>
  <c r="GT12" i="22"/>
  <c r="HA12" i="22" s="1"/>
  <c r="HA24" i="22"/>
  <c r="GT30" i="22"/>
  <c r="HA30" i="22" s="1"/>
  <c r="GT17" i="22"/>
  <c r="HA17" i="22" s="1"/>
  <c r="GT36" i="22"/>
  <c r="HA36" i="22" s="1"/>
  <c r="GT35" i="22"/>
  <c r="HA35" i="22" s="1"/>
  <c r="IB7" i="22"/>
  <c r="II7" i="22" s="1"/>
  <c r="IB19" i="22"/>
  <c r="II19" i="22" s="1"/>
  <c r="IB38" i="22"/>
  <c r="II38" i="22" s="1"/>
  <c r="II35" i="22"/>
  <c r="JJ16" i="22"/>
  <c r="JQ16" i="22" s="1"/>
  <c r="JJ27" i="22"/>
  <c r="JQ27" i="22" s="1"/>
  <c r="JQ28" i="22"/>
  <c r="KR8" i="22"/>
  <c r="KY8" i="22" s="1"/>
  <c r="KR16" i="22"/>
  <c r="KY16" i="22" s="1"/>
  <c r="KR18" i="22"/>
  <c r="KY18" i="22" s="1"/>
  <c r="KR38" i="22"/>
  <c r="KY38" i="22" s="1"/>
  <c r="MG6" i="22"/>
  <c r="LZ16" i="22"/>
  <c r="MG16" i="22" s="1"/>
  <c r="LZ27" i="22"/>
  <c r="MG27" i="22" s="1"/>
  <c r="LZ28" i="22"/>
  <c r="MG28" i="22" s="1"/>
  <c r="NH13" i="22"/>
  <c r="NO13" i="22" s="1"/>
  <c r="NH16" i="22"/>
  <c r="NO16" i="22" s="1"/>
  <c r="NH20" i="22"/>
  <c r="NO20" i="22" s="1"/>
  <c r="OP38" i="22"/>
  <c r="OW38" i="22" s="1"/>
  <c r="PX6" i="22"/>
  <c r="QE6" i="22" s="1"/>
  <c r="PX16" i="22"/>
  <c r="QE16" i="22" s="1"/>
  <c r="PX27" i="22"/>
  <c r="QE27" i="22" s="1"/>
  <c r="PX28" i="22"/>
  <c r="QE28" i="22" s="1"/>
  <c r="RF10" i="22"/>
  <c r="RM10" i="22" s="1"/>
  <c r="RF14" i="22"/>
  <c r="RM14" i="22" s="1"/>
  <c r="RF29" i="22"/>
  <c r="RM29" i="22" s="1"/>
  <c r="KR22" i="4"/>
  <c r="KY22" i="4" s="1"/>
  <c r="CW26" i="4"/>
  <c r="DA26" i="4" s="1"/>
  <c r="PX25" i="4"/>
  <c r="QE25" i="4" s="1"/>
  <c r="RF33" i="4"/>
  <c r="RM33" i="4" s="1"/>
  <c r="RF23" i="4"/>
  <c r="RM23" i="4" s="1"/>
  <c r="TQ21" i="4"/>
  <c r="EK22" i="4"/>
  <c r="TQ19" i="4"/>
  <c r="II25" i="4"/>
  <c r="EK19" i="4"/>
  <c r="MG23" i="4"/>
  <c r="KY21" i="4"/>
  <c r="ED21" i="4"/>
  <c r="EK21" i="4" s="1"/>
  <c r="BZ22" i="4"/>
  <c r="ED25" i="4"/>
  <c r="EK25" i="4" s="1"/>
  <c r="ED26" i="4"/>
  <c r="EK26" i="4" s="1"/>
  <c r="CW21" i="4"/>
  <c r="DA21" i="4" s="1"/>
  <c r="TQ23" i="4"/>
  <c r="PX27" i="4"/>
  <c r="QE27" i="4" s="1"/>
  <c r="KR27" i="4"/>
  <c r="KY27" i="4" s="1"/>
  <c r="JJ37" i="4"/>
  <c r="JQ37" i="4" s="1"/>
  <c r="GT19" i="4"/>
  <c r="NH26" i="4"/>
  <c r="NO26" i="4" s="1"/>
  <c r="OP37" i="4"/>
  <c r="OW37" i="4" s="1"/>
  <c r="PX19" i="4"/>
  <c r="QE19" i="4" s="1"/>
  <c r="RF22" i="4"/>
  <c r="SU26" i="4"/>
  <c r="PX26" i="4"/>
  <c r="QE26" i="4" s="1"/>
  <c r="LZ25" i="4"/>
  <c r="MG25" i="4" s="1"/>
  <c r="BZ27" i="4"/>
  <c r="OP21" i="4"/>
  <c r="OW21" i="4" s="1"/>
  <c r="IB21" i="4"/>
  <c r="II21" i="4" s="1"/>
  <c r="FL21" i="4"/>
  <c r="FS21" i="4" s="1"/>
  <c r="MG22" i="4"/>
  <c r="JJ22" i="4"/>
  <c r="JQ22" i="4" s="1"/>
  <c r="BZ37" i="4"/>
  <c r="BZ23" i="4"/>
  <c r="GT22" i="4"/>
  <c r="HA22" i="4" s="1"/>
  <c r="GT25" i="4"/>
  <c r="HA25" i="4" s="1"/>
  <c r="MG27" i="4"/>
  <c r="TU19" i="4"/>
  <c r="I19" i="4"/>
  <c r="IB22" i="4"/>
  <c r="KR26" i="4"/>
  <c r="KY26" i="4" s="1"/>
  <c r="TU25" i="4"/>
  <c r="SN25" i="4"/>
  <c r="SU25" i="4" s="1"/>
  <c r="JJ25" i="4"/>
  <c r="JQ25" i="4" s="1"/>
  <c r="IB33" i="4"/>
  <c r="II33" i="4" s="1"/>
  <c r="OP23" i="4"/>
  <c r="OW23" i="4" s="1"/>
  <c r="LZ21" i="4"/>
  <c r="MG21" i="4" s="1"/>
  <c r="TN33" i="4"/>
  <c r="TN25" i="4"/>
  <c r="CW25" i="4"/>
  <c r="DA25" i="4" s="1"/>
  <c r="NH27" i="4"/>
  <c r="NO27" i="4" s="1"/>
  <c r="OP33" i="4"/>
  <c r="OW33" i="4" s="1"/>
  <c r="JJ23" i="4"/>
  <c r="JQ23" i="4" s="1"/>
  <c r="SN21" i="4"/>
  <c r="SU21" i="4" s="1"/>
  <c r="GT21" i="4"/>
  <c r="HA21" i="4" s="1"/>
  <c r="OP22" i="4"/>
  <c r="OW22" i="4" s="1"/>
  <c r="BZ25" i="4"/>
  <c r="OP27" i="4"/>
  <c r="OW27" i="4" s="1"/>
  <c r="PX37" i="4"/>
  <c r="GT37" i="4"/>
  <c r="HA37" i="4" s="1"/>
  <c r="ED37" i="4"/>
  <c r="EK37" i="4" s="1"/>
  <c r="SN33" i="4"/>
  <c r="SU33" i="4" s="1"/>
  <c r="RF19" i="4"/>
  <c r="RM19" i="4" s="1"/>
  <c r="FL19" i="4"/>
  <c r="FS19" i="4" s="1"/>
  <c r="IB23" i="4"/>
  <c r="II23" i="4" s="1"/>
  <c r="ED23" i="4"/>
  <c r="EK23" i="4" s="1"/>
  <c r="TQ25" i="4"/>
  <c r="LZ26" i="4"/>
  <c r="MG26" i="4" s="1"/>
  <c r="KR25" i="4"/>
  <c r="KY25" i="4" s="1"/>
  <c r="CW37" i="4"/>
  <c r="DA37" i="4" s="1"/>
  <c r="N23" i="4"/>
  <c r="O23" i="4" s="1"/>
  <c r="NH21" i="4"/>
  <c r="NO21" i="4" s="1"/>
  <c r="SN17" i="22"/>
  <c r="SU17" i="22" s="1"/>
  <c r="SN20" i="22"/>
  <c r="SU20" i="22" s="1"/>
  <c r="SN37" i="22"/>
  <c r="SU37" i="22" s="1"/>
  <c r="SN36" i="22"/>
  <c r="SU36" i="22" s="1"/>
  <c r="SN34" i="22"/>
  <c r="SU34" i="22" s="1"/>
  <c r="R34" i="22"/>
  <c r="S34" i="22" s="1"/>
  <c r="RE31" i="21"/>
  <c r="N24" i="21"/>
  <c r="O24" i="21" s="1"/>
  <c r="DB30" i="21"/>
  <c r="R30" i="21"/>
  <c r="S30" i="21" s="1"/>
  <c r="R25" i="21"/>
  <c r="S25" i="21" s="1"/>
  <c r="L18" i="21"/>
  <c r="M18" i="21" s="1"/>
  <c r="DE25" i="21"/>
  <c r="DE18" i="21"/>
  <c r="RG24" i="21"/>
  <c r="RG18" i="21"/>
  <c r="RG25" i="21"/>
  <c r="RB25" i="21"/>
  <c r="RD20" i="21"/>
  <c r="DB18" i="21"/>
  <c r="R21" i="21"/>
  <c r="S21" i="21" s="1"/>
  <c r="RC30" i="21"/>
  <c r="I18" i="21"/>
  <c r="DB20" i="21"/>
  <c r="RE17" i="21"/>
  <c r="P17" i="21"/>
  <c r="Q17" i="21" s="1"/>
  <c r="RD31" i="21"/>
  <c r="P31" i="21"/>
  <c r="Q31" i="21" s="1"/>
  <c r="DB24" i="21"/>
  <c r="RC18" i="21"/>
  <c r="RB30" i="21"/>
  <c r="DB17" i="21"/>
  <c r="RE21" i="21"/>
  <c r="RH30" i="21"/>
  <c r="N31" i="21"/>
  <c r="O31" i="21" s="1"/>
  <c r="RB27" i="21"/>
  <c r="P25" i="21"/>
  <c r="Q25" i="21" s="1"/>
  <c r="RH15" i="21"/>
  <c r="RD21" i="21"/>
  <c r="H30" i="21"/>
  <c r="DG30" i="21"/>
  <c r="Q30" i="21"/>
  <c r="RE30" i="21"/>
  <c r="QF30" i="21"/>
  <c r="PD30" i="21"/>
  <c r="OB30" i="21"/>
  <c r="MZ30" i="21"/>
  <c r="I30" i="21"/>
  <c r="DE30" i="21"/>
  <c r="CB30" i="21"/>
  <c r="AY30" i="21"/>
  <c r="N30" i="21"/>
  <c r="L30" i="21"/>
  <c r="H24" i="21"/>
  <c r="QC15" i="21"/>
  <c r="DE15" i="21"/>
  <c r="BY31" i="21"/>
  <c r="IO24" i="21"/>
  <c r="CB24" i="21"/>
  <c r="OB27" i="21"/>
  <c r="JT27" i="21"/>
  <c r="FL27" i="21"/>
  <c r="I27" i="21"/>
  <c r="NY25" i="21"/>
  <c r="JQ25" i="21"/>
  <c r="FI25" i="21"/>
  <c r="MZ20" i="21"/>
  <c r="EJ20" i="21"/>
  <c r="H20" i="21"/>
  <c r="RD15" i="21"/>
  <c r="RC15" i="21"/>
  <c r="IR15" i="21"/>
  <c r="DG15" i="21"/>
  <c r="RC21" i="21"/>
  <c r="RC24" i="21"/>
  <c r="JT31" i="21"/>
  <c r="DB31" i="21"/>
  <c r="PD24" i="21"/>
  <c r="JQ24" i="21"/>
  <c r="GN24" i="21"/>
  <c r="L24" i="21"/>
  <c r="M24" i="21" s="1"/>
  <c r="RH27" i="21"/>
  <c r="RH20" i="21"/>
  <c r="HP18" i="21"/>
  <c r="JT21" i="21"/>
  <c r="PD18" i="21"/>
  <c r="GN18" i="21"/>
  <c r="RH31" i="21"/>
  <c r="KV31" i="21"/>
  <c r="AY31" i="21"/>
  <c r="RH24" i="21"/>
  <c r="KS24" i="21"/>
  <c r="DE24" i="21"/>
  <c r="I24" i="21"/>
  <c r="RG27" i="21"/>
  <c r="PD27" i="21"/>
  <c r="KV27" i="21"/>
  <c r="GN27" i="21"/>
  <c r="BY27" i="21"/>
  <c r="PA25" i="21"/>
  <c r="KS25" i="21"/>
  <c r="GK25" i="21"/>
  <c r="PD20" i="21"/>
  <c r="GN20" i="21"/>
  <c r="DE20" i="21"/>
  <c r="CB20" i="21"/>
  <c r="AY20" i="21"/>
  <c r="RC17" i="21"/>
  <c r="QF17" i="21"/>
  <c r="PD17" i="21"/>
  <c r="OB17" i="21"/>
  <c r="MZ17" i="21"/>
  <c r="LX17" i="21"/>
  <c r="KV17" i="21"/>
  <c r="JT17" i="21"/>
  <c r="IR17" i="21"/>
  <c r="HP17" i="21"/>
  <c r="GN17" i="21"/>
  <c r="FL17" i="21"/>
  <c r="EJ17" i="21"/>
  <c r="AV17" i="21"/>
  <c r="JT15" i="21"/>
  <c r="FL15" i="21"/>
  <c r="RD18" i="21"/>
  <c r="RH21" i="21"/>
  <c r="KV21" i="21"/>
  <c r="P21" i="21"/>
  <c r="DG21" i="21" s="1"/>
  <c r="QC24" i="21"/>
  <c r="RD25" i="21"/>
  <c r="LX20" i="21"/>
  <c r="LU15" i="21"/>
  <c r="DB21" i="21"/>
  <c r="LX31" i="21"/>
  <c r="CB31" i="21"/>
  <c r="IR24" i="21"/>
  <c r="RH25" i="21"/>
  <c r="DB25" i="21"/>
  <c r="RC20" i="21"/>
  <c r="QF20" i="21"/>
  <c r="KS20" i="21"/>
  <c r="HP20" i="21"/>
  <c r="N20" i="21"/>
  <c r="O20" i="21" s="1"/>
  <c r="H17" i="21"/>
  <c r="NY15" i="21"/>
  <c r="JQ15" i="21"/>
  <c r="FI15" i="21"/>
  <c r="N15" i="21"/>
  <c r="O15" i="21" s="1"/>
  <c r="RE18" i="21"/>
  <c r="MZ18" i="21"/>
  <c r="IR18" i="21"/>
  <c r="FI18" i="21"/>
  <c r="LX21" i="21"/>
  <c r="AV21" i="21"/>
  <c r="RE27" i="21"/>
  <c r="AV31" i="21"/>
  <c r="P20" i="21"/>
  <c r="Q20" i="21" s="1"/>
  <c r="HM15" i="21"/>
  <c r="L15" i="21"/>
  <c r="M15" i="21" s="1"/>
  <c r="KV18" i="21"/>
  <c r="RC31" i="21"/>
  <c r="MZ31" i="21"/>
  <c r="EJ31" i="21"/>
  <c r="DE31" i="21"/>
  <c r="MW24" i="21"/>
  <c r="JT24" i="21"/>
  <c r="EG24" i="21"/>
  <c r="QF27" i="21"/>
  <c r="LX27" i="21"/>
  <c r="HP27" i="21"/>
  <c r="DB27" i="21"/>
  <c r="R27" i="21"/>
  <c r="DH27" i="21" s="1"/>
  <c r="QC25" i="21"/>
  <c r="LU25" i="21"/>
  <c r="HM25" i="21"/>
  <c r="L25" i="21"/>
  <c r="M25" i="21" s="1"/>
  <c r="RE20" i="21"/>
  <c r="LU20" i="21"/>
  <c r="IR20" i="21"/>
  <c r="L20" i="21"/>
  <c r="M20" i="21" s="1"/>
  <c r="RG17" i="21"/>
  <c r="RB17" i="21"/>
  <c r="BY17" i="21"/>
  <c r="I17" i="21"/>
  <c r="KV15" i="21"/>
  <c r="GN15" i="21"/>
  <c r="H18" i="21"/>
  <c r="MZ21" i="21"/>
  <c r="EJ21" i="21"/>
  <c r="H21" i="21"/>
  <c r="RD24" i="21"/>
  <c r="HM24" i="21"/>
  <c r="OB31" i="21"/>
  <c r="FL31" i="21"/>
  <c r="RE24" i="21"/>
  <c r="P24" i="21"/>
  <c r="DG24" i="21" s="1"/>
  <c r="RC27" i="21"/>
  <c r="RF27" i="21" s="1"/>
  <c r="MW27" i="21"/>
  <c r="IO27" i="21"/>
  <c r="EG27" i="21"/>
  <c r="CB25" i="21"/>
  <c r="H25" i="21"/>
  <c r="MW20" i="21"/>
  <c r="JT20" i="21"/>
  <c r="EG20" i="21"/>
  <c r="AV20" i="21"/>
  <c r="RH17" i="21"/>
  <c r="GK15" i="21"/>
  <c r="CB15" i="21"/>
  <c r="OB18" i="21"/>
  <c r="JT18" i="21"/>
  <c r="EJ18" i="21"/>
  <c r="OB21" i="21"/>
  <c r="FL21" i="21"/>
  <c r="BY21" i="21"/>
  <c r="S17" i="21"/>
  <c r="DH17" i="21"/>
  <c r="DH31" i="21"/>
  <c r="I31" i="21"/>
  <c r="DB15" i="21"/>
  <c r="BY15" i="21"/>
  <c r="AV15" i="21"/>
  <c r="RB18" i="21"/>
  <c r="QC18" i="21"/>
  <c r="PA18" i="21"/>
  <c r="NY18" i="21"/>
  <c r="MW18" i="21"/>
  <c r="LU18" i="21"/>
  <c r="KS18" i="21"/>
  <c r="JQ18" i="21"/>
  <c r="IO18" i="21"/>
  <c r="HM18" i="21"/>
  <c r="GK18" i="21"/>
  <c r="AY18" i="21"/>
  <c r="DH21" i="21"/>
  <c r="I21" i="21"/>
  <c r="H31" i="21"/>
  <c r="AV24" i="21"/>
  <c r="DE27" i="21"/>
  <c r="CB27" i="21"/>
  <c r="AY27" i="21"/>
  <c r="N27" i="21"/>
  <c r="RE25" i="21"/>
  <c r="QF25" i="21"/>
  <c r="PD25" i="21"/>
  <c r="OB25" i="21"/>
  <c r="MZ25" i="21"/>
  <c r="LX25" i="21"/>
  <c r="KV25" i="21"/>
  <c r="JT25" i="21"/>
  <c r="IR25" i="21"/>
  <c r="HP25" i="21"/>
  <c r="GN25" i="21"/>
  <c r="FL25" i="21"/>
  <c r="EJ25" i="21"/>
  <c r="I25" i="21"/>
  <c r="R24" i="21"/>
  <c r="S20" i="21"/>
  <c r="DE17" i="21"/>
  <c r="CB17" i="21"/>
  <c r="AY17" i="21"/>
  <c r="N17" i="21"/>
  <c r="RE15" i="21"/>
  <c r="QF15" i="21"/>
  <c r="PD15" i="21"/>
  <c r="OB15" i="21"/>
  <c r="MZ15" i="21"/>
  <c r="LX15" i="21"/>
  <c r="EJ15" i="21"/>
  <c r="I15" i="21"/>
  <c r="RH18" i="21"/>
  <c r="L27" i="21"/>
  <c r="RC25" i="21"/>
  <c r="H15" i="21"/>
  <c r="DE21" i="21"/>
  <c r="CB21" i="21"/>
  <c r="AY21" i="21"/>
  <c r="N21" i="21"/>
  <c r="AV27" i="21"/>
  <c r="AY25" i="21"/>
  <c r="N25" i="21"/>
  <c r="I20" i="21"/>
  <c r="L17" i="21"/>
  <c r="R18" i="21"/>
  <c r="H27" i="21"/>
  <c r="L31" i="21"/>
  <c r="AY15" i="21"/>
  <c r="L21" i="21"/>
  <c r="AY24" i="21"/>
  <c r="DB35" i="19"/>
  <c r="DB22" i="19"/>
  <c r="RE35" i="19"/>
  <c r="RE22" i="19"/>
  <c r="RD35" i="19"/>
  <c r="N34" i="19"/>
  <c r="O34" i="19" s="1"/>
  <c r="NY34" i="19"/>
  <c r="JQ34" i="19"/>
  <c r="FI34" i="19"/>
  <c r="AV34" i="19"/>
  <c r="RH22" i="19"/>
  <c r="QC22" i="19"/>
  <c r="PA22" i="19"/>
  <c r="NY22" i="19"/>
  <c r="MW22" i="19"/>
  <c r="LU22" i="19"/>
  <c r="KS22" i="19"/>
  <c r="JQ22" i="19"/>
  <c r="IO22" i="19"/>
  <c r="HM22" i="19"/>
  <c r="GK22" i="19"/>
  <c r="FI22" i="19"/>
  <c r="EG22" i="19"/>
  <c r="RC35" i="19"/>
  <c r="I35" i="19"/>
  <c r="PA34" i="19"/>
  <c r="KS34" i="19"/>
  <c r="GK34" i="19"/>
  <c r="R35" i="19"/>
  <c r="S35" i="19" s="1"/>
  <c r="QC34" i="19"/>
  <c r="LU34" i="19"/>
  <c r="HM34" i="19"/>
  <c r="P34" i="19"/>
  <c r="Q34" i="19" s="1"/>
  <c r="CB34" i="19"/>
  <c r="RD22" i="19"/>
  <c r="P22" i="19"/>
  <c r="Q22" i="19" s="1"/>
  <c r="RD34" i="19"/>
  <c r="RC34" i="19"/>
  <c r="DE34" i="19"/>
  <c r="AV22" i="19"/>
  <c r="P35" i="19"/>
  <c r="DG35" i="19" s="1"/>
  <c r="RB34" i="19"/>
  <c r="MW34" i="19"/>
  <c r="IO34" i="19"/>
  <c r="EG34" i="19"/>
  <c r="RC22" i="19"/>
  <c r="I22" i="19"/>
  <c r="DH22" i="19"/>
  <c r="H22" i="19"/>
  <c r="H35" i="19"/>
  <c r="DE35" i="19"/>
  <c r="CB35" i="19"/>
  <c r="AY35" i="19"/>
  <c r="N35" i="19"/>
  <c r="RE34" i="19"/>
  <c r="QF34" i="19"/>
  <c r="PD34" i="19"/>
  <c r="OB34" i="19"/>
  <c r="MZ34" i="19"/>
  <c r="LX34" i="19"/>
  <c r="KV34" i="19"/>
  <c r="JT34" i="19"/>
  <c r="IR34" i="19"/>
  <c r="HP34" i="19"/>
  <c r="GN34" i="19"/>
  <c r="FL34" i="19"/>
  <c r="EJ34" i="19"/>
  <c r="I34" i="19"/>
  <c r="H34" i="19"/>
  <c r="DE22" i="19"/>
  <c r="CB22" i="19"/>
  <c r="AY22" i="19"/>
  <c r="N22" i="19"/>
  <c r="RH35" i="19"/>
  <c r="L35" i="19"/>
  <c r="AY34" i="19"/>
  <c r="L22" i="19"/>
  <c r="RG25" i="27"/>
  <c r="RH25" i="27"/>
  <c r="DB26" i="27"/>
  <c r="Q25" i="27"/>
  <c r="DG25" i="27"/>
  <c r="P23" i="27"/>
  <c r="H21" i="27"/>
  <c r="RH14" i="27"/>
  <c r="RD23" i="27"/>
  <c r="RC23" i="27"/>
  <c r="I23" i="27"/>
  <c r="DB21" i="27"/>
  <c r="RC18" i="27"/>
  <c r="H23" i="27"/>
  <c r="P26" i="27"/>
  <c r="DG26" i="27" s="1"/>
  <c r="P24" i="27"/>
  <c r="I21" i="27"/>
  <c r="RE14" i="27"/>
  <c r="N26" i="27"/>
  <c r="O26" i="27" s="1"/>
  <c r="I24" i="27"/>
  <c r="DE23" i="27"/>
  <c r="R23" i="27"/>
  <c r="DE21" i="27"/>
  <c r="I25" i="27"/>
  <c r="RC24" i="27"/>
  <c r="RH26" i="27"/>
  <c r="H26" i="27"/>
  <c r="RH18" i="27"/>
  <c r="H24" i="27"/>
  <c r="RB22" i="27"/>
  <c r="L23" i="27"/>
  <c r="M23" i="27" s="1"/>
  <c r="RG21" i="27"/>
  <c r="RE21" i="27"/>
  <c r="RC14" i="27"/>
  <c r="P14" i="27"/>
  <c r="Q14" i="27" s="1"/>
  <c r="RD18" i="27"/>
  <c r="RD26" i="27"/>
  <c r="RC26" i="27"/>
  <c r="DE26" i="27"/>
  <c r="RC25" i="27"/>
  <c r="DB25" i="27"/>
  <c r="H25" i="27"/>
  <c r="DB24" i="27"/>
  <c r="N24" i="27"/>
  <c r="O24" i="27" s="1"/>
  <c r="DB23" i="27"/>
  <c r="K23" i="27" s="1"/>
  <c r="RH21" i="27"/>
  <c r="P21" i="27"/>
  <c r="DG21" i="27" s="1"/>
  <c r="I26" i="27"/>
  <c r="L26" i="27"/>
  <c r="M26" i="27" s="1"/>
  <c r="RE25" i="27"/>
  <c r="DE18" i="27"/>
  <c r="RG24" i="27"/>
  <c r="DB22" i="27"/>
  <c r="R22" i="27"/>
  <c r="DH22" i="27" s="1"/>
  <c r="RD21" i="27"/>
  <c r="RF21" i="27" s="1"/>
  <c r="RD14" i="27"/>
  <c r="AY18" i="27"/>
  <c r="H18" i="27"/>
  <c r="L18" i="27"/>
  <c r="M18" i="27" s="1"/>
  <c r="AV14" i="27"/>
  <c r="I14" i="27"/>
  <c r="DG23" i="27"/>
  <c r="Q23" i="27"/>
  <c r="DG24" i="27"/>
  <c r="Q24" i="27"/>
  <c r="H22" i="27"/>
  <c r="RB21" i="27"/>
  <c r="RB25" i="27"/>
  <c r="DE25" i="27"/>
  <c r="CB25" i="27"/>
  <c r="AY25" i="27"/>
  <c r="N25" i="27"/>
  <c r="RE18" i="27"/>
  <c r="QF18" i="27"/>
  <c r="PD18" i="27"/>
  <c r="OB18" i="27"/>
  <c r="MZ18" i="27"/>
  <c r="LX18" i="27"/>
  <c r="KV18" i="27"/>
  <c r="JT18" i="27"/>
  <c r="IR18" i="27"/>
  <c r="HP18" i="27"/>
  <c r="GN18" i="27"/>
  <c r="FL18" i="27"/>
  <c r="EJ18" i="27"/>
  <c r="I18" i="27"/>
  <c r="H14" i="27"/>
  <c r="R26" i="27"/>
  <c r="P18" i="27"/>
  <c r="AV24" i="27"/>
  <c r="DE22" i="27"/>
  <c r="CB22" i="27"/>
  <c r="AY22" i="27"/>
  <c r="N22" i="27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L21" i="27"/>
  <c r="RE26" i="27"/>
  <c r="QF26" i="27"/>
  <c r="PD26" i="27"/>
  <c r="OB26" i="27"/>
  <c r="MZ26" i="27"/>
  <c r="LX26" i="27"/>
  <c r="KV26" i="27"/>
  <c r="JT26" i="27"/>
  <c r="IR26" i="27"/>
  <c r="HP26" i="27"/>
  <c r="GN26" i="27"/>
  <c r="FL26" i="27"/>
  <c r="EJ26" i="27"/>
  <c r="L25" i="27"/>
  <c r="DE14" i="27"/>
  <c r="CB14" i="27"/>
  <c r="AY14" i="27"/>
  <c r="N14" i="27"/>
  <c r="AV25" i="27"/>
  <c r="S25" i="27"/>
  <c r="N18" i="27"/>
  <c r="RH22" i="27"/>
  <c r="L22" i="27"/>
  <c r="R21" i="27"/>
  <c r="L14" i="27"/>
  <c r="AY26" i="27"/>
  <c r="DF24" i="27"/>
  <c r="RB22" i="26"/>
  <c r="DB23" i="26"/>
  <c r="N23" i="26"/>
  <c r="O23" i="26" s="1"/>
  <c r="RH22" i="26"/>
  <c r="R22" i="26"/>
  <c r="DH22" i="26" s="1"/>
  <c r="R21" i="26"/>
  <c r="S21" i="26" s="1"/>
  <c r="P13" i="26"/>
  <c r="DG13" i="26" s="1"/>
  <c r="RB13" i="26"/>
  <c r="RC21" i="26"/>
  <c r="RF21" i="26" s="1"/>
  <c r="N21" i="26"/>
  <c r="O21" i="26" s="1"/>
  <c r="RH23" i="26"/>
  <c r="RE23" i="26"/>
  <c r="QC22" i="26"/>
  <c r="LU22" i="26"/>
  <c r="HM22" i="26"/>
  <c r="RH21" i="26"/>
  <c r="PA21" i="26"/>
  <c r="KS21" i="26"/>
  <c r="GK21" i="26"/>
  <c r="H23" i="26"/>
  <c r="R13" i="26"/>
  <c r="S13" i="26" s="1"/>
  <c r="RC22" i="26"/>
  <c r="MW22" i="26"/>
  <c r="IO22" i="26"/>
  <c r="EG22" i="26"/>
  <c r="QC21" i="26"/>
  <c r="LU21" i="26"/>
  <c r="HM21" i="26"/>
  <c r="I23" i="26"/>
  <c r="L23" i="26"/>
  <c r="M23" i="26" s="1"/>
  <c r="DE21" i="26"/>
  <c r="PD23" i="26"/>
  <c r="KV23" i="26"/>
  <c r="GN23" i="26"/>
  <c r="RE13" i="26"/>
  <c r="RG13" i="26"/>
  <c r="NY22" i="26"/>
  <c r="JQ22" i="26"/>
  <c r="FI22" i="26"/>
  <c r="RB21" i="26"/>
  <c r="MW21" i="26"/>
  <c r="IO21" i="26"/>
  <c r="GN21" i="26"/>
  <c r="EG21" i="26"/>
  <c r="RH13" i="26"/>
  <c r="RC13" i="26"/>
  <c r="AV13" i="26"/>
  <c r="QF23" i="26"/>
  <c r="LX23" i="26"/>
  <c r="HP23" i="26"/>
  <c r="RD13" i="26"/>
  <c r="H13" i="26"/>
  <c r="PA22" i="26"/>
  <c r="KS22" i="26"/>
  <c r="GK22" i="26"/>
  <c r="NY21" i="26"/>
  <c r="JQ21" i="26"/>
  <c r="HP21" i="26"/>
  <c r="FI21" i="26"/>
  <c r="RD23" i="26"/>
  <c r="RC23" i="26"/>
  <c r="P23" i="26"/>
  <c r="DG23" i="26" s="1"/>
  <c r="DB13" i="26"/>
  <c r="N13" i="26"/>
  <c r="O13" i="26" s="1"/>
  <c r="QF22" i="26"/>
  <c r="PD22" i="26"/>
  <c r="OB22" i="26"/>
  <c r="MZ22" i="26"/>
  <c r="LX22" i="26"/>
  <c r="KV22" i="26"/>
  <c r="JT22" i="26"/>
  <c r="IR22" i="26"/>
  <c r="HP22" i="26"/>
  <c r="GN22" i="26"/>
  <c r="FL22" i="26"/>
  <c r="EJ22" i="26"/>
  <c r="I22" i="26"/>
  <c r="L21" i="26"/>
  <c r="H22" i="26"/>
  <c r="DB21" i="26"/>
  <c r="BY21" i="26"/>
  <c r="AV21" i="26"/>
  <c r="RB23" i="26"/>
  <c r="QC23" i="26"/>
  <c r="PA23" i="26"/>
  <c r="NY23" i="26"/>
  <c r="MW23" i="26"/>
  <c r="LU23" i="26"/>
  <c r="KS23" i="26"/>
  <c r="JQ23" i="26"/>
  <c r="IO23" i="26"/>
  <c r="HM23" i="26"/>
  <c r="GK23" i="26"/>
  <c r="FI23" i="26"/>
  <c r="EG23" i="26"/>
  <c r="I13" i="26"/>
  <c r="DE22" i="26"/>
  <c r="CB22" i="26"/>
  <c r="AY22" i="26"/>
  <c r="N22" i="26"/>
  <c r="RE21" i="26"/>
  <c r="QF21" i="26"/>
  <c r="PD21" i="26"/>
  <c r="OB21" i="26"/>
  <c r="MZ21" i="26"/>
  <c r="LX21" i="26"/>
  <c r="KV21" i="26"/>
  <c r="JT21" i="26"/>
  <c r="EJ21" i="26"/>
  <c r="I21" i="26"/>
  <c r="DF13" i="26"/>
  <c r="H21" i="26"/>
  <c r="L22" i="26"/>
  <c r="AY21" i="26"/>
  <c r="L13" i="26"/>
  <c r="TU36" i="22"/>
  <c r="TQ34" i="22"/>
  <c r="L34" i="22"/>
  <c r="M34" i="22" s="1"/>
  <c r="CW37" i="22"/>
  <c r="DA37" i="22" s="1"/>
  <c r="TN37" i="22"/>
  <c r="TU34" i="22"/>
  <c r="I34" i="22"/>
  <c r="K34" i="22"/>
  <c r="TU32" i="22"/>
  <c r="AY38" i="22"/>
  <c r="TN20" i="22"/>
  <c r="P34" i="22"/>
  <c r="Q34" i="22" s="1"/>
  <c r="H34" i="22"/>
  <c r="N37" i="22"/>
  <c r="SU32" i="22"/>
  <c r="DA17" i="22"/>
  <c r="R36" i="22"/>
  <c r="S36" i="22" s="1"/>
  <c r="TN32" i="22"/>
  <c r="N34" i="22"/>
  <c r="O34" i="22" s="1"/>
  <c r="TN34" i="22"/>
  <c r="TQ38" i="22"/>
  <c r="AY27" i="22"/>
  <c r="R20" i="22"/>
  <c r="S20" i="22" s="1"/>
  <c r="T34" i="22"/>
  <c r="U34" i="22" s="1"/>
  <c r="BZ37" i="22"/>
  <c r="SN38" i="22"/>
  <c r="SU38" i="22" s="1"/>
  <c r="N20" i="22"/>
  <c r="O20" i="22" s="1"/>
  <c r="TN36" i="22"/>
  <c r="L37" i="22"/>
  <c r="M37" i="22" s="1"/>
  <c r="TQ32" i="22"/>
  <c r="BZ32" i="22"/>
  <c r="AY17" i="22"/>
  <c r="TO38" i="22"/>
  <c r="P38" i="22"/>
  <c r="Q38" i="22" s="1"/>
  <c r="DA36" i="22"/>
  <c r="TU37" i="22"/>
  <c r="SN27" i="22"/>
  <c r="SU27" i="22" s="1"/>
  <c r="TQ17" i="22"/>
  <c r="TQ37" i="22"/>
  <c r="TQ27" i="22"/>
  <c r="L20" i="22"/>
  <c r="M20" i="22" s="1"/>
  <c r="H38" i="22"/>
  <c r="K36" i="22"/>
  <c r="AY37" i="22"/>
  <c r="TN27" i="22"/>
  <c r="TU20" i="22"/>
  <c r="BZ38" i="22"/>
  <c r="DA27" i="22"/>
  <c r="K32" i="22"/>
  <c r="P27" i="22"/>
  <c r="T17" i="22"/>
  <c r="U17" i="22" s="1"/>
  <c r="TQ20" i="22"/>
  <c r="P17" i="22"/>
  <c r="N17" i="22"/>
  <c r="H27" i="22"/>
  <c r="TN38" i="22"/>
  <c r="I38" i="22"/>
  <c r="T37" i="22"/>
  <c r="U37" i="22" s="1"/>
  <c r="L27" i="22"/>
  <c r="I32" i="22"/>
  <c r="N32" i="22"/>
  <c r="AU32" i="22"/>
  <c r="AY32" i="22" s="1"/>
  <c r="P32" i="22"/>
  <c r="TU17" i="22"/>
  <c r="TN17" i="22"/>
  <c r="TL17" i="22"/>
  <c r="DA38" i="22"/>
  <c r="L36" i="22"/>
  <c r="P36" i="22"/>
  <c r="I36" i="22"/>
  <c r="N36" i="22"/>
  <c r="AU36" i="22"/>
  <c r="AY36" i="22" s="1"/>
  <c r="H17" i="22"/>
  <c r="I20" i="22"/>
  <c r="TU38" i="22"/>
  <c r="TU27" i="22"/>
  <c r="R27" i="22"/>
  <c r="S27" i="22" s="1"/>
  <c r="K27" i="22"/>
  <c r="T27" i="22"/>
  <c r="U27" i="22" s="1"/>
  <c r="H32" i="22"/>
  <c r="K20" i="22"/>
  <c r="TQ36" i="22"/>
  <c r="O37" i="22"/>
  <c r="R38" i="22"/>
  <c r="S38" i="22" s="1"/>
  <c r="R32" i="22"/>
  <c r="S32" i="22" s="1"/>
  <c r="T36" i="22"/>
  <c r="U36" i="22" s="1"/>
  <c r="H37" i="22"/>
  <c r="T32" i="22"/>
  <c r="U32" i="22" s="1"/>
  <c r="P20" i="22"/>
  <c r="N27" i="22"/>
  <c r="I27" i="22"/>
  <c r="L17" i="22"/>
  <c r="AY20" i="22"/>
  <c r="N38" i="22"/>
  <c r="T38" i="22"/>
  <c r="U38" i="22" s="1"/>
  <c r="L38" i="22"/>
  <c r="R37" i="22"/>
  <c r="S37" i="22" s="1"/>
  <c r="K17" i="22"/>
  <c r="H36" i="22"/>
  <c r="K38" i="22"/>
  <c r="I37" i="22"/>
  <c r="R17" i="22"/>
  <c r="S17" i="22" s="1"/>
  <c r="K37" i="22"/>
  <c r="P37" i="22"/>
  <c r="DB37" i="22" s="1"/>
  <c r="I17" i="22"/>
  <c r="T20" i="22"/>
  <c r="U20" i="22" s="1"/>
  <c r="H20" i="22"/>
  <c r="AY27" i="4"/>
  <c r="AU25" i="4"/>
  <c r="AY25" i="4" s="1"/>
  <c r="AU22" i="4"/>
  <c r="AY22" i="4" s="1"/>
  <c r="TU37" i="4"/>
  <c r="TU27" i="4"/>
  <c r="TU26" i="4"/>
  <c r="R19" i="4"/>
  <c r="S19" i="4" s="1"/>
  <c r="L21" i="4"/>
  <c r="M21" i="4" s="1"/>
  <c r="TU23" i="4"/>
  <c r="L25" i="4"/>
  <c r="M25" i="4" s="1"/>
  <c r="R21" i="4"/>
  <c r="S21" i="4" s="1"/>
  <c r="CW27" i="4"/>
  <c r="DA27" i="4" s="1"/>
  <c r="T23" i="4"/>
  <c r="U23" i="4" s="1"/>
  <c r="TU22" i="4"/>
  <c r="R22" i="4"/>
  <c r="S22" i="4" s="1"/>
  <c r="T25" i="4"/>
  <c r="U25" i="4" s="1"/>
  <c r="TN27" i="4"/>
  <c r="CW23" i="4"/>
  <c r="DA23" i="4" s="1"/>
  <c r="I21" i="4"/>
  <c r="L33" i="4"/>
  <c r="M33" i="4" s="1"/>
  <c r="P21" i="4"/>
  <c r="I27" i="4"/>
  <c r="TQ27" i="4"/>
  <c r="TQ37" i="4"/>
  <c r="TQ33" i="4"/>
  <c r="TU21" i="4"/>
  <c r="I22" i="4"/>
  <c r="TQ22" i="4"/>
  <c r="TQ26" i="4"/>
  <c r="TN26" i="4"/>
  <c r="R37" i="4"/>
  <c r="S37" i="4" s="1"/>
  <c r="L23" i="4"/>
  <c r="M23" i="4" s="1"/>
  <c r="TN21" i="4"/>
  <c r="TR21" i="4" s="1"/>
  <c r="T37" i="4"/>
  <c r="U37" i="4" s="1"/>
  <c r="CW19" i="4"/>
  <c r="DA19" i="4" s="1"/>
  <c r="TN22" i="4"/>
  <c r="TR22" i="4" s="1"/>
  <c r="CW22" i="4"/>
  <c r="DA22" i="4" s="1"/>
  <c r="H22" i="4"/>
  <c r="L26" i="4"/>
  <c r="M26" i="4" s="1"/>
  <c r="N21" i="4"/>
  <c r="O21" i="4" s="1"/>
  <c r="T27" i="4"/>
  <c r="U27" i="4" s="1"/>
  <c r="H33" i="4"/>
  <c r="OW25" i="4"/>
  <c r="I25" i="4"/>
  <c r="P25" i="4"/>
  <c r="QE37" i="4"/>
  <c r="AU37" i="4"/>
  <c r="AY37" i="4" s="1"/>
  <c r="P37" i="4"/>
  <c r="I37" i="4"/>
  <c r="N37" i="4"/>
  <c r="T19" i="4"/>
  <c r="U19" i="4" s="1"/>
  <c r="H23" i="4"/>
  <c r="K19" i="4"/>
  <c r="N26" i="4"/>
  <c r="AU26" i="4"/>
  <c r="AY26" i="4" s="1"/>
  <c r="P26" i="4"/>
  <c r="H26" i="4"/>
  <c r="K26" i="4"/>
  <c r="NO25" i="4"/>
  <c r="SN27" i="4"/>
  <c r="SU27" i="4" s="1"/>
  <c r="H27" i="4"/>
  <c r="TN37" i="4"/>
  <c r="P33" i="4"/>
  <c r="HA19" i="4"/>
  <c r="H19" i="4"/>
  <c r="K27" i="4"/>
  <c r="L22" i="4"/>
  <c r="N25" i="4"/>
  <c r="R27" i="4"/>
  <c r="S27" i="4" s="1"/>
  <c r="H37" i="4"/>
  <c r="L37" i="4"/>
  <c r="ED33" i="4"/>
  <c r="EK33" i="4" s="1"/>
  <c r="TN23" i="4"/>
  <c r="TR23" i="4" s="1"/>
  <c r="PX23" i="4"/>
  <c r="QE23" i="4" s="1"/>
  <c r="BZ26" i="4"/>
  <c r="P22" i="4"/>
  <c r="IB27" i="4"/>
  <c r="II27" i="4" s="1"/>
  <c r="K37" i="4"/>
  <c r="TU33" i="4"/>
  <c r="R33" i="4"/>
  <c r="S33" i="4" s="1"/>
  <c r="K33" i="4"/>
  <c r="T33" i="4"/>
  <c r="U33" i="4" s="1"/>
  <c r="N33" i="4"/>
  <c r="TN19" i="4"/>
  <c r="TR19" i="4" s="1"/>
  <c r="K21" i="4"/>
  <c r="T21" i="4"/>
  <c r="U21" i="4" s="1"/>
  <c r="P23" i="4"/>
  <c r="R25" i="4"/>
  <c r="S25" i="4" s="1"/>
  <c r="RM22" i="4"/>
  <c r="II22" i="4"/>
  <c r="T26" i="4"/>
  <c r="U26" i="4" s="1"/>
  <c r="I26" i="4"/>
  <c r="GT26" i="4"/>
  <c r="HA26" i="4" s="1"/>
  <c r="L27" i="4"/>
  <c r="N27" i="4"/>
  <c r="P27" i="4"/>
  <c r="NO33" i="4"/>
  <c r="MG19" i="4"/>
  <c r="N19" i="4"/>
  <c r="AU19" i="4"/>
  <c r="AY19" i="4" s="1"/>
  <c r="P19" i="4"/>
  <c r="FL23" i="4"/>
  <c r="FS23" i="4" s="1"/>
  <c r="H21" i="4"/>
  <c r="RF26" i="4"/>
  <c r="RM26" i="4" s="1"/>
  <c r="K22" i="4"/>
  <c r="T22" i="4"/>
  <c r="U22" i="4" s="1"/>
  <c r="N22" i="4"/>
  <c r="R26" i="4"/>
  <c r="S26" i="4" s="1"/>
  <c r="H25" i="4"/>
  <c r="RM27" i="4"/>
  <c r="JJ33" i="4"/>
  <c r="JQ33" i="4" s="1"/>
  <c r="I33" i="4"/>
  <c r="L19" i="4"/>
  <c r="R23" i="4"/>
  <c r="S23" i="4" s="1"/>
  <c r="AY21" i="4"/>
  <c r="K25" i="4"/>
  <c r="K23" i="4"/>
  <c r="I23" i="4"/>
  <c r="CA16" i="21"/>
  <c r="BZ16" i="21"/>
  <c r="BX16" i="21"/>
  <c r="BW16" i="21"/>
  <c r="BV16" i="21"/>
  <c r="BU16" i="21"/>
  <c r="CA22" i="21"/>
  <c r="BZ22" i="21"/>
  <c r="BX22" i="21"/>
  <c r="BW22" i="21"/>
  <c r="BV22" i="21"/>
  <c r="BU22" i="21"/>
  <c r="CA26" i="21"/>
  <c r="BZ26" i="21"/>
  <c r="BX26" i="21"/>
  <c r="BW26" i="21"/>
  <c r="BV26" i="21"/>
  <c r="BU26" i="21"/>
  <c r="CA19" i="21"/>
  <c r="BZ19" i="21"/>
  <c r="BX19" i="21"/>
  <c r="BW19" i="21"/>
  <c r="BV19" i="21"/>
  <c r="BU19" i="21"/>
  <c r="CA23" i="21"/>
  <c r="BZ23" i="21"/>
  <c r="BX23" i="21"/>
  <c r="BW23" i="21"/>
  <c r="BV23" i="21"/>
  <c r="BU23" i="21"/>
  <c r="CA28" i="21"/>
  <c r="BZ28" i="21"/>
  <c r="BX28" i="21"/>
  <c r="BW28" i="21"/>
  <c r="BV28" i="21"/>
  <c r="BU28" i="21"/>
  <c r="CA11" i="21"/>
  <c r="BZ11" i="21"/>
  <c r="BX11" i="21"/>
  <c r="BW11" i="21"/>
  <c r="BV11" i="21"/>
  <c r="BU11" i="21"/>
  <c r="CA13" i="21"/>
  <c r="BZ13" i="21"/>
  <c r="BX13" i="21"/>
  <c r="BW13" i="21"/>
  <c r="BV13" i="21"/>
  <c r="BU13" i="21"/>
  <c r="CA14" i="21"/>
  <c r="BZ14" i="21"/>
  <c r="BX14" i="21"/>
  <c r="BW14" i="21"/>
  <c r="BV14" i="21"/>
  <c r="BU14" i="21"/>
  <c r="CA10" i="21"/>
  <c r="BZ10" i="21"/>
  <c r="BX10" i="21"/>
  <c r="BW10" i="21"/>
  <c r="BV10" i="21"/>
  <c r="BU10" i="21"/>
  <c r="CA12" i="21"/>
  <c r="BZ12" i="21"/>
  <c r="BX12" i="21"/>
  <c r="BW12" i="21"/>
  <c r="BV12" i="21"/>
  <c r="BU12" i="21"/>
  <c r="CA29" i="21"/>
  <c r="BZ29" i="21"/>
  <c r="BX29" i="21"/>
  <c r="BW29" i="21"/>
  <c r="BV29" i="21"/>
  <c r="BU29" i="21"/>
  <c r="CA9" i="21"/>
  <c r="BZ9" i="21"/>
  <c r="BX9" i="21"/>
  <c r="BW9" i="21"/>
  <c r="BV9" i="21"/>
  <c r="BU9" i="21"/>
  <c r="CA7" i="21"/>
  <c r="BZ7" i="21"/>
  <c r="BX7" i="21"/>
  <c r="BW7" i="21"/>
  <c r="BV7" i="21"/>
  <c r="BU7" i="21"/>
  <c r="CA8" i="21"/>
  <c r="BZ8" i="21"/>
  <c r="BX8" i="21"/>
  <c r="BW8" i="21"/>
  <c r="BV8" i="21"/>
  <c r="BU8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AX16" i="21"/>
  <c r="AW16" i="21"/>
  <c r="AU16" i="21"/>
  <c r="AT16" i="21"/>
  <c r="AS16" i="21"/>
  <c r="AR16" i="21"/>
  <c r="AX22" i="21"/>
  <c r="AW22" i="21"/>
  <c r="AU22" i="21"/>
  <c r="AT22" i="21"/>
  <c r="AS22" i="21"/>
  <c r="AR22" i="21"/>
  <c r="AX26" i="21"/>
  <c r="AW26" i="21"/>
  <c r="AU26" i="21"/>
  <c r="AT26" i="21"/>
  <c r="AS26" i="21"/>
  <c r="AR26" i="21"/>
  <c r="AX19" i="21"/>
  <c r="AW19" i="21"/>
  <c r="AU19" i="21"/>
  <c r="AT19" i="21"/>
  <c r="AS19" i="21"/>
  <c r="AR19" i="21"/>
  <c r="AX23" i="21"/>
  <c r="AW23" i="21"/>
  <c r="AU23" i="21"/>
  <c r="AT23" i="21"/>
  <c r="AS23" i="21"/>
  <c r="AR23" i="21"/>
  <c r="AX28" i="21"/>
  <c r="AW28" i="21"/>
  <c r="AU28" i="21"/>
  <c r="AT28" i="21"/>
  <c r="AS28" i="21"/>
  <c r="AR28" i="21"/>
  <c r="AX11" i="21"/>
  <c r="AW11" i="21"/>
  <c r="AU11" i="21"/>
  <c r="AT11" i="21"/>
  <c r="AS11" i="21"/>
  <c r="AR11" i="21"/>
  <c r="AX13" i="21"/>
  <c r="AW13" i="21"/>
  <c r="AU13" i="21"/>
  <c r="AT13" i="21"/>
  <c r="AS13" i="21"/>
  <c r="AR13" i="21"/>
  <c r="AX14" i="21"/>
  <c r="AW14" i="21"/>
  <c r="AU14" i="21"/>
  <c r="AT14" i="21"/>
  <c r="AS14" i="21"/>
  <c r="AR14" i="21"/>
  <c r="AX10" i="21"/>
  <c r="AW10" i="21"/>
  <c r="AU10" i="21"/>
  <c r="AT10" i="21"/>
  <c r="AS10" i="21"/>
  <c r="AR10" i="21"/>
  <c r="AX12" i="21"/>
  <c r="AW12" i="21"/>
  <c r="AU12" i="21"/>
  <c r="AT12" i="21"/>
  <c r="AS12" i="21"/>
  <c r="AR12" i="21"/>
  <c r="AX29" i="21"/>
  <c r="AW29" i="21"/>
  <c r="AU29" i="21"/>
  <c r="AT29" i="21"/>
  <c r="AS29" i="21"/>
  <c r="AR29" i="21"/>
  <c r="AX9" i="21"/>
  <c r="AW9" i="21"/>
  <c r="AU9" i="21"/>
  <c r="AT9" i="21"/>
  <c r="AS9" i="21"/>
  <c r="AR9" i="21"/>
  <c r="AX7" i="21"/>
  <c r="AW7" i="21"/>
  <c r="AU7" i="21"/>
  <c r="AT7" i="21"/>
  <c r="AS7" i="21"/>
  <c r="AR7" i="21"/>
  <c r="AX8" i="21"/>
  <c r="AW8" i="21"/>
  <c r="AU8" i="21"/>
  <c r="AT8" i="21"/>
  <c r="AS8" i="21"/>
  <c r="AR8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CA41" i="19"/>
  <c r="BZ41" i="19"/>
  <c r="BX41" i="19"/>
  <c r="BW41" i="19"/>
  <c r="BV41" i="19"/>
  <c r="BU41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0" i="19"/>
  <c r="BZ30" i="19"/>
  <c r="BX30" i="19"/>
  <c r="BW30" i="19"/>
  <c r="BV30" i="19"/>
  <c r="BU30" i="19"/>
  <c r="CA40" i="19"/>
  <c r="BZ40" i="19"/>
  <c r="BX40" i="19"/>
  <c r="BW40" i="19"/>
  <c r="BV40" i="19"/>
  <c r="BU40" i="19"/>
  <c r="CA32" i="19"/>
  <c r="BZ32" i="19"/>
  <c r="BX32" i="19"/>
  <c r="BW32" i="19"/>
  <c r="BV32" i="19"/>
  <c r="BU32" i="19"/>
  <c r="CA39" i="19"/>
  <c r="BZ39" i="19"/>
  <c r="BX39" i="19"/>
  <c r="BW39" i="19"/>
  <c r="BV39" i="19"/>
  <c r="BU39" i="19"/>
  <c r="CA31" i="19"/>
  <c r="BZ31" i="19"/>
  <c r="BX31" i="19"/>
  <c r="BW31" i="19"/>
  <c r="BV31" i="19"/>
  <c r="BU31" i="19"/>
  <c r="CA33" i="19"/>
  <c r="BZ33" i="19"/>
  <c r="BX33" i="19"/>
  <c r="BW33" i="19"/>
  <c r="BV33" i="19"/>
  <c r="BU33" i="19"/>
  <c r="CA28" i="19"/>
  <c r="BZ28" i="19"/>
  <c r="BX28" i="19"/>
  <c r="BW28" i="19"/>
  <c r="BV28" i="19"/>
  <c r="BU28" i="19"/>
  <c r="CA29" i="19"/>
  <c r="BZ29" i="19"/>
  <c r="BX29" i="19"/>
  <c r="BW29" i="19"/>
  <c r="BV29" i="19"/>
  <c r="BU29" i="19"/>
  <c r="CA25" i="19"/>
  <c r="BZ25" i="19"/>
  <c r="BX25" i="19"/>
  <c r="BW25" i="19"/>
  <c r="BV25" i="19"/>
  <c r="BU25" i="19"/>
  <c r="CA24" i="19"/>
  <c r="BZ24" i="19"/>
  <c r="BX24" i="19"/>
  <c r="BW24" i="19"/>
  <c r="BV24" i="19"/>
  <c r="BU24" i="19"/>
  <c r="CA23" i="19"/>
  <c r="BZ23" i="19"/>
  <c r="BX23" i="19"/>
  <c r="BW23" i="19"/>
  <c r="BV23" i="19"/>
  <c r="BU23" i="19"/>
  <c r="CA21" i="19"/>
  <c r="BZ21" i="19"/>
  <c r="BX21" i="19"/>
  <c r="BW21" i="19"/>
  <c r="BV21" i="19"/>
  <c r="BU21" i="19"/>
  <c r="CA27" i="19"/>
  <c r="BZ27" i="19"/>
  <c r="BX27" i="19"/>
  <c r="BW27" i="19"/>
  <c r="BV27" i="19"/>
  <c r="BU27" i="19"/>
  <c r="CA20" i="19"/>
  <c r="BZ20" i="19"/>
  <c r="BX20" i="19"/>
  <c r="BW20" i="19"/>
  <c r="BV20" i="19"/>
  <c r="BU20" i="19"/>
  <c r="CA17" i="19"/>
  <c r="BZ17" i="19"/>
  <c r="BX17" i="19"/>
  <c r="BW17" i="19"/>
  <c r="BV17" i="19"/>
  <c r="BU17" i="19"/>
  <c r="CA15" i="19"/>
  <c r="BZ15" i="19"/>
  <c r="BX15" i="19"/>
  <c r="BW15" i="19"/>
  <c r="BV15" i="19"/>
  <c r="BU15" i="19"/>
  <c r="CA19" i="19"/>
  <c r="BZ19" i="19"/>
  <c r="BX19" i="19"/>
  <c r="BW19" i="19"/>
  <c r="BV19" i="19"/>
  <c r="BU19" i="19"/>
  <c r="CA18" i="19"/>
  <c r="BZ18" i="19"/>
  <c r="BX18" i="19"/>
  <c r="BW18" i="19"/>
  <c r="BV18" i="19"/>
  <c r="BU18" i="19"/>
  <c r="CA26" i="19"/>
  <c r="BZ26" i="19"/>
  <c r="BX26" i="19"/>
  <c r="BW26" i="19"/>
  <c r="BV26" i="19"/>
  <c r="BU26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0" i="19"/>
  <c r="BZ10" i="19"/>
  <c r="BX10" i="19"/>
  <c r="BW10" i="19"/>
  <c r="BV10" i="19"/>
  <c r="BU10" i="19"/>
  <c r="CA13" i="19"/>
  <c r="BZ13" i="19"/>
  <c r="BX13" i="19"/>
  <c r="BW13" i="19"/>
  <c r="BV13" i="19"/>
  <c r="BU13" i="19"/>
  <c r="CA9" i="19"/>
  <c r="BZ9" i="19"/>
  <c r="BX9" i="19"/>
  <c r="BW9" i="19"/>
  <c r="BV9" i="19"/>
  <c r="BU9" i="19"/>
  <c r="CA8" i="19"/>
  <c r="BZ8" i="19"/>
  <c r="BX8" i="19"/>
  <c r="BW8" i="19"/>
  <c r="BV8" i="19"/>
  <c r="BU8" i="19"/>
  <c r="CA11" i="19"/>
  <c r="BZ11" i="19"/>
  <c r="BX11" i="19"/>
  <c r="BW11" i="19"/>
  <c r="BV11" i="19"/>
  <c r="BU11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6" i="19"/>
  <c r="BZ6" i="19"/>
  <c r="BX6" i="19"/>
  <c r="BW6" i="19"/>
  <c r="BV6" i="19"/>
  <c r="BU6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41" i="19"/>
  <c r="AW41" i="19"/>
  <c r="AU41" i="19"/>
  <c r="AT41" i="19"/>
  <c r="AS41" i="19"/>
  <c r="AR41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0" i="19"/>
  <c r="AW30" i="19"/>
  <c r="AU30" i="19"/>
  <c r="AT30" i="19"/>
  <c r="AS30" i="19"/>
  <c r="AR30" i="19"/>
  <c r="AX40" i="19"/>
  <c r="AW40" i="19"/>
  <c r="AU40" i="19"/>
  <c r="AT40" i="19"/>
  <c r="AS40" i="19"/>
  <c r="AR40" i="19"/>
  <c r="AX32" i="19"/>
  <c r="AW32" i="19"/>
  <c r="AU32" i="19"/>
  <c r="AT32" i="19"/>
  <c r="AS32" i="19"/>
  <c r="AR32" i="19"/>
  <c r="AX39" i="19"/>
  <c r="AW39" i="19"/>
  <c r="AU39" i="19"/>
  <c r="AT39" i="19"/>
  <c r="AS39" i="19"/>
  <c r="AR39" i="19"/>
  <c r="AX31" i="19"/>
  <c r="AW31" i="19"/>
  <c r="AU31" i="19"/>
  <c r="AT31" i="19"/>
  <c r="AS31" i="19"/>
  <c r="AR31" i="19"/>
  <c r="AX33" i="19"/>
  <c r="AW33" i="19"/>
  <c r="AU33" i="19"/>
  <c r="AT33" i="19"/>
  <c r="AS33" i="19"/>
  <c r="AR33" i="19"/>
  <c r="AX28" i="19"/>
  <c r="AW28" i="19"/>
  <c r="AU28" i="19"/>
  <c r="AT28" i="19"/>
  <c r="AS28" i="19"/>
  <c r="AR28" i="19"/>
  <c r="AX29" i="19"/>
  <c r="AW29" i="19"/>
  <c r="AU29" i="19"/>
  <c r="AT29" i="19"/>
  <c r="AS29" i="19"/>
  <c r="AR29" i="19"/>
  <c r="AX25" i="19"/>
  <c r="AW25" i="19"/>
  <c r="AU25" i="19"/>
  <c r="AT25" i="19"/>
  <c r="AS25" i="19"/>
  <c r="AR25" i="19"/>
  <c r="AX24" i="19"/>
  <c r="AW24" i="19"/>
  <c r="AU24" i="19"/>
  <c r="AT24" i="19"/>
  <c r="AS24" i="19"/>
  <c r="AR24" i="19"/>
  <c r="AX23" i="19"/>
  <c r="AW23" i="19"/>
  <c r="AU23" i="19"/>
  <c r="AT23" i="19"/>
  <c r="AS23" i="19"/>
  <c r="AR23" i="19"/>
  <c r="AX21" i="19"/>
  <c r="AW21" i="19"/>
  <c r="AU21" i="19"/>
  <c r="AT21" i="19"/>
  <c r="AS21" i="19"/>
  <c r="AR21" i="19"/>
  <c r="AX27" i="19"/>
  <c r="AW27" i="19"/>
  <c r="AU27" i="19"/>
  <c r="AT27" i="19"/>
  <c r="AS27" i="19"/>
  <c r="AR27" i="19"/>
  <c r="AX20" i="19"/>
  <c r="AW20" i="19"/>
  <c r="AU20" i="19"/>
  <c r="AT20" i="19"/>
  <c r="AS20" i="19"/>
  <c r="AR20" i="19"/>
  <c r="AX17" i="19"/>
  <c r="AW17" i="19"/>
  <c r="AU17" i="19"/>
  <c r="AT17" i="19"/>
  <c r="AS17" i="19"/>
  <c r="AR17" i="19"/>
  <c r="AX15" i="19"/>
  <c r="AW15" i="19"/>
  <c r="AU15" i="19"/>
  <c r="AT15" i="19"/>
  <c r="AS15" i="19"/>
  <c r="AR15" i="19"/>
  <c r="AX19" i="19"/>
  <c r="AW19" i="19"/>
  <c r="AU19" i="19"/>
  <c r="AT19" i="19"/>
  <c r="AS19" i="19"/>
  <c r="AR19" i="19"/>
  <c r="AX18" i="19"/>
  <c r="AW18" i="19"/>
  <c r="AU18" i="19"/>
  <c r="AT18" i="19"/>
  <c r="AS18" i="19"/>
  <c r="AR18" i="19"/>
  <c r="AX26" i="19"/>
  <c r="AW26" i="19"/>
  <c r="AU26" i="19"/>
  <c r="AT26" i="19"/>
  <c r="AS26" i="19"/>
  <c r="AR26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0" i="19"/>
  <c r="AW10" i="19"/>
  <c r="AU10" i="19"/>
  <c r="AT10" i="19"/>
  <c r="AS10" i="19"/>
  <c r="AR10" i="19"/>
  <c r="AX13" i="19"/>
  <c r="AW13" i="19"/>
  <c r="AU13" i="19"/>
  <c r="AT13" i="19"/>
  <c r="AS13" i="19"/>
  <c r="AR13" i="19"/>
  <c r="AX9" i="19"/>
  <c r="AW9" i="19"/>
  <c r="AU9" i="19"/>
  <c r="AT9" i="19"/>
  <c r="AS9" i="19"/>
  <c r="AR9" i="19"/>
  <c r="AX8" i="19"/>
  <c r="AW8" i="19"/>
  <c r="AU8" i="19"/>
  <c r="AT8" i="19"/>
  <c r="AS8" i="19"/>
  <c r="AR8" i="19"/>
  <c r="AX11" i="19"/>
  <c r="AW11" i="19"/>
  <c r="AU11" i="19"/>
  <c r="AT11" i="19"/>
  <c r="AS11" i="19"/>
  <c r="AR11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6" i="19"/>
  <c r="AW6" i="19"/>
  <c r="AU6" i="19"/>
  <c r="AT6" i="19"/>
  <c r="AS6" i="19"/>
  <c r="AR6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16" i="27"/>
  <c r="BZ16" i="27"/>
  <c r="BX16" i="27"/>
  <c r="BW16" i="27"/>
  <c r="BV16" i="27"/>
  <c r="BU16" i="27"/>
  <c r="CA17" i="27"/>
  <c r="BZ17" i="27"/>
  <c r="BX17" i="27"/>
  <c r="BW17" i="27"/>
  <c r="BV17" i="27"/>
  <c r="BU17" i="27"/>
  <c r="CA13" i="27"/>
  <c r="BZ13" i="27"/>
  <c r="BX13" i="27"/>
  <c r="BW13" i="27"/>
  <c r="BV13" i="27"/>
  <c r="BU13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0" i="27"/>
  <c r="BZ20" i="27"/>
  <c r="BX20" i="27"/>
  <c r="BW20" i="27"/>
  <c r="BV20" i="27"/>
  <c r="BU20" i="27"/>
  <c r="CA10" i="27"/>
  <c r="BZ10" i="27"/>
  <c r="BX10" i="27"/>
  <c r="BW10" i="27"/>
  <c r="BV10" i="27"/>
  <c r="BU10" i="27"/>
  <c r="CA8" i="27"/>
  <c r="BZ8" i="27"/>
  <c r="BX8" i="27"/>
  <c r="BW8" i="27"/>
  <c r="BV8" i="27"/>
  <c r="BU8" i="27"/>
  <c r="CA11" i="27"/>
  <c r="BZ11" i="27"/>
  <c r="BX11" i="27"/>
  <c r="BW11" i="27"/>
  <c r="BV11" i="27"/>
  <c r="BU11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5" i="27"/>
  <c r="BZ5" i="27"/>
  <c r="BX5" i="27"/>
  <c r="BW5" i="27"/>
  <c r="BV5" i="27"/>
  <c r="BU5" i="27"/>
  <c r="CA4" i="27"/>
  <c r="BZ4" i="27"/>
  <c r="BX4" i="27"/>
  <c r="BW4" i="27"/>
  <c r="BV4" i="27"/>
  <c r="BU4" i="27"/>
  <c r="AX16" i="27"/>
  <c r="AW16" i="27"/>
  <c r="AU16" i="27"/>
  <c r="AT16" i="27"/>
  <c r="AS16" i="27"/>
  <c r="AR16" i="27"/>
  <c r="AX17" i="27"/>
  <c r="AW17" i="27"/>
  <c r="AU17" i="27"/>
  <c r="AT17" i="27"/>
  <c r="AS17" i="27"/>
  <c r="AR17" i="27"/>
  <c r="AX13" i="27"/>
  <c r="AW13" i="27"/>
  <c r="AU13" i="27"/>
  <c r="AT13" i="27"/>
  <c r="AS13" i="27"/>
  <c r="AR13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0" i="27"/>
  <c r="AW20" i="27"/>
  <c r="AU20" i="27"/>
  <c r="AT20" i="27"/>
  <c r="AS20" i="27"/>
  <c r="AR20" i="27"/>
  <c r="AX10" i="27"/>
  <c r="AW10" i="27"/>
  <c r="AU10" i="27"/>
  <c r="AT10" i="27"/>
  <c r="AS10" i="27"/>
  <c r="AR10" i="27"/>
  <c r="AX8" i="27"/>
  <c r="AW8" i="27"/>
  <c r="AU8" i="27"/>
  <c r="AT8" i="27"/>
  <c r="AS8" i="27"/>
  <c r="AR8" i="27"/>
  <c r="AX11" i="27"/>
  <c r="AW11" i="27"/>
  <c r="AU11" i="27"/>
  <c r="AT11" i="27"/>
  <c r="AS11" i="27"/>
  <c r="AR11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5" i="27"/>
  <c r="AW5" i="27"/>
  <c r="AU5" i="27"/>
  <c r="AT5" i="27"/>
  <c r="AS5" i="27"/>
  <c r="AR5" i="27"/>
  <c r="AX4" i="27"/>
  <c r="AW4" i="27"/>
  <c r="AU4" i="27"/>
  <c r="AT4" i="27"/>
  <c r="AS4" i="27"/>
  <c r="AR4" i="27"/>
  <c r="CA20" i="26"/>
  <c r="BZ20" i="26"/>
  <c r="BX20" i="26"/>
  <c r="BW20" i="26"/>
  <c r="BV20" i="26"/>
  <c r="BU20" i="26"/>
  <c r="CA15" i="26"/>
  <c r="BZ15" i="26"/>
  <c r="BX15" i="26"/>
  <c r="BW15" i="26"/>
  <c r="BV15" i="26"/>
  <c r="BU15" i="26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6" i="26"/>
  <c r="BZ16" i="26"/>
  <c r="BX16" i="26"/>
  <c r="BW16" i="26"/>
  <c r="BV16" i="26"/>
  <c r="BU16" i="26"/>
  <c r="CA14" i="26"/>
  <c r="BZ14" i="26"/>
  <c r="BX14" i="26"/>
  <c r="BW14" i="26"/>
  <c r="BV14" i="26"/>
  <c r="BU14" i="26"/>
  <c r="CA9" i="26"/>
  <c r="BZ9" i="26"/>
  <c r="BX9" i="26"/>
  <c r="BW9" i="26"/>
  <c r="BV9" i="26"/>
  <c r="BU9" i="26"/>
  <c r="CA11" i="26"/>
  <c r="BZ11" i="26"/>
  <c r="BX11" i="26"/>
  <c r="BW11" i="26"/>
  <c r="BV11" i="26"/>
  <c r="BU11" i="26"/>
  <c r="CA10" i="26"/>
  <c r="BZ10" i="26"/>
  <c r="BX10" i="26"/>
  <c r="BW10" i="26"/>
  <c r="BV10" i="26"/>
  <c r="BU10" i="26"/>
  <c r="CA12" i="26"/>
  <c r="BZ12" i="26"/>
  <c r="BX12" i="26"/>
  <c r="BW12" i="26"/>
  <c r="BV12" i="26"/>
  <c r="BU12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20" i="26"/>
  <c r="AW20" i="26"/>
  <c r="AU20" i="26"/>
  <c r="AT20" i="26"/>
  <c r="AS20" i="26"/>
  <c r="AR20" i="26"/>
  <c r="AX15" i="26"/>
  <c r="AW15" i="26"/>
  <c r="AU15" i="26"/>
  <c r="AT15" i="26"/>
  <c r="AS15" i="26"/>
  <c r="AR15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6" i="26"/>
  <c r="AW16" i="26"/>
  <c r="AU16" i="26"/>
  <c r="AT16" i="26"/>
  <c r="AS16" i="26"/>
  <c r="AR16" i="26"/>
  <c r="AX14" i="26"/>
  <c r="AW14" i="26"/>
  <c r="AU14" i="26"/>
  <c r="AT14" i="26"/>
  <c r="AS14" i="26"/>
  <c r="AR14" i="26"/>
  <c r="AX9" i="26"/>
  <c r="AW9" i="26"/>
  <c r="AU9" i="26"/>
  <c r="AT9" i="26"/>
  <c r="AS9" i="26"/>
  <c r="AR9" i="26"/>
  <c r="AX11" i="26"/>
  <c r="AW11" i="26"/>
  <c r="AU11" i="26"/>
  <c r="AT11" i="26"/>
  <c r="AS11" i="26"/>
  <c r="AR11" i="26"/>
  <c r="AX10" i="26"/>
  <c r="AW10" i="26"/>
  <c r="AU10" i="26"/>
  <c r="AT10" i="26"/>
  <c r="AS10" i="26"/>
  <c r="AR10" i="26"/>
  <c r="AX12" i="26"/>
  <c r="AW12" i="26"/>
  <c r="AU12" i="26"/>
  <c r="AT12" i="26"/>
  <c r="AS12" i="26"/>
  <c r="AR12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35" i="22"/>
  <c r="BX35" i="22"/>
  <c r="BW35" i="22"/>
  <c r="BU35" i="22"/>
  <c r="BT35" i="22"/>
  <c r="BS35" i="22"/>
  <c r="BR35" i="22"/>
  <c r="BV35" i="22" s="1"/>
  <c r="BQ35" i="22"/>
  <c r="BP35" i="22"/>
  <c r="BY28" i="22"/>
  <c r="BX28" i="22"/>
  <c r="BW28" i="22"/>
  <c r="BU28" i="22"/>
  <c r="BT28" i="22"/>
  <c r="BS28" i="22"/>
  <c r="BR28" i="22"/>
  <c r="BV28" i="22" s="1"/>
  <c r="BQ28" i="22"/>
  <c r="BP28" i="22"/>
  <c r="BY33" i="22"/>
  <c r="BX33" i="22"/>
  <c r="BW33" i="22"/>
  <c r="BU33" i="22"/>
  <c r="BT33" i="22"/>
  <c r="BS33" i="22"/>
  <c r="BR33" i="22"/>
  <c r="BV33" i="22" s="1"/>
  <c r="BQ33" i="22"/>
  <c r="BP33" i="22"/>
  <c r="BY11" i="22"/>
  <c r="BX11" i="22"/>
  <c r="BW11" i="22"/>
  <c r="BU11" i="22"/>
  <c r="BT11" i="22"/>
  <c r="BS11" i="22"/>
  <c r="BR11" i="22"/>
  <c r="BV11" i="22" s="1"/>
  <c r="BQ11" i="22"/>
  <c r="BP11" i="22"/>
  <c r="BY29" i="22"/>
  <c r="BX29" i="22"/>
  <c r="BW29" i="22"/>
  <c r="BU29" i="22"/>
  <c r="BT29" i="22"/>
  <c r="BS29" i="22"/>
  <c r="BR29" i="22"/>
  <c r="BV29" i="22" s="1"/>
  <c r="BQ29" i="22"/>
  <c r="BP29" i="22"/>
  <c r="BY30" i="22"/>
  <c r="BX30" i="22"/>
  <c r="BW30" i="22"/>
  <c r="BU30" i="22"/>
  <c r="BT30" i="22"/>
  <c r="BS30" i="22"/>
  <c r="BR30" i="22"/>
  <c r="BV30" i="22" s="1"/>
  <c r="BQ30" i="22"/>
  <c r="BP30" i="22"/>
  <c r="BY23" i="22"/>
  <c r="BX23" i="22"/>
  <c r="BW23" i="22"/>
  <c r="BU23" i="22"/>
  <c r="BT23" i="22"/>
  <c r="BS23" i="22"/>
  <c r="BR23" i="22"/>
  <c r="BQ23" i="22"/>
  <c r="BP23" i="22"/>
  <c r="BY18" i="22"/>
  <c r="BX18" i="22"/>
  <c r="BW18" i="22"/>
  <c r="BU18" i="22"/>
  <c r="BT18" i="22"/>
  <c r="BS18" i="22"/>
  <c r="BR18" i="22"/>
  <c r="BV18" i="22" s="1"/>
  <c r="BQ18" i="22"/>
  <c r="BP18" i="22"/>
  <c r="BY26" i="22"/>
  <c r="BX26" i="22"/>
  <c r="BW26" i="22"/>
  <c r="BU26" i="22"/>
  <c r="BT26" i="22"/>
  <c r="BS26" i="22"/>
  <c r="BR26" i="22"/>
  <c r="BV26" i="22" s="1"/>
  <c r="BQ26" i="22"/>
  <c r="BP26" i="22"/>
  <c r="BY21" i="22"/>
  <c r="BX21" i="22"/>
  <c r="BW21" i="22"/>
  <c r="BU21" i="22"/>
  <c r="BT21" i="22"/>
  <c r="BS21" i="22"/>
  <c r="BR21" i="22"/>
  <c r="BV21" i="22" s="1"/>
  <c r="BQ21" i="22"/>
  <c r="BP21" i="22"/>
  <c r="BY19" i="22"/>
  <c r="BX19" i="22"/>
  <c r="BW19" i="22"/>
  <c r="BU19" i="22"/>
  <c r="BT19" i="22"/>
  <c r="BS19" i="22"/>
  <c r="BR19" i="22"/>
  <c r="BV19" i="22" s="1"/>
  <c r="BQ19" i="22"/>
  <c r="BP19" i="22"/>
  <c r="BY22" i="22"/>
  <c r="BX22" i="22"/>
  <c r="BW22" i="22"/>
  <c r="BU22" i="22"/>
  <c r="BT22" i="22"/>
  <c r="BS22" i="22"/>
  <c r="BR22" i="22"/>
  <c r="BV22" i="22" s="1"/>
  <c r="BQ22" i="22"/>
  <c r="BP22" i="22"/>
  <c r="BY31" i="22"/>
  <c r="BX31" i="22"/>
  <c r="BW31" i="22"/>
  <c r="BU31" i="22"/>
  <c r="BT31" i="22"/>
  <c r="BS31" i="22"/>
  <c r="BR31" i="22"/>
  <c r="BV31" i="22" s="1"/>
  <c r="BQ31" i="22"/>
  <c r="BP31" i="22"/>
  <c r="BY15" i="22"/>
  <c r="BX15" i="22"/>
  <c r="BW15" i="22"/>
  <c r="BU15" i="22"/>
  <c r="BT15" i="22"/>
  <c r="BS15" i="22"/>
  <c r="BR15" i="22"/>
  <c r="BQ15" i="22"/>
  <c r="BP15" i="22"/>
  <c r="BY24" i="22"/>
  <c r="BX24" i="22"/>
  <c r="BW24" i="22"/>
  <c r="BU24" i="22"/>
  <c r="BT24" i="22"/>
  <c r="BS24" i="22"/>
  <c r="BR24" i="22"/>
  <c r="BV24" i="22" s="1"/>
  <c r="BQ24" i="22"/>
  <c r="BP24" i="22"/>
  <c r="BY16" i="22"/>
  <c r="BX16" i="22"/>
  <c r="BW16" i="22"/>
  <c r="BU16" i="22"/>
  <c r="BT16" i="22"/>
  <c r="BS16" i="22"/>
  <c r="BR16" i="22"/>
  <c r="BQ16" i="22"/>
  <c r="BP16" i="22"/>
  <c r="BY25" i="22"/>
  <c r="BX25" i="22"/>
  <c r="BW25" i="22"/>
  <c r="BU25" i="22"/>
  <c r="BT25" i="22"/>
  <c r="BS25" i="22"/>
  <c r="BR25" i="22"/>
  <c r="BV25" i="22" s="1"/>
  <c r="BQ25" i="22"/>
  <c r="BP25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V10" i="22" s="1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35" i="22"/>
  <c r="AW35" i="22"/>
  <c r="AV35" i="22"/>
  <c r="AT35" i="22"/>
  <c r="AS35" i="22"/>
  <c r="AR35" i="22"/>
  <c r="AQ35" i="22"/>
  <c r="AP35" i="22"/>
  <c r="AO35" i="22"/>
  <c r="AX28" i="22"/>
  <c r="AW28" i="22"/>
  <c r="AV28" i="22"/>
  <c r="AT28" i="22"/>
  <c r="AS28" i="22"/>
  <c r="AR28" i="22"/>
  <c r="AQ28" i="22"/>
  <c r="AP28" i="22"/>
  <c r="AO28" i="22"/>
  <c r="AX33" i="22"/>
  <c r="AW33" i="22"/>
  <c r="AV33" i="22"/>
  <c r="AT33" i="22"/>
  <c r="AS33" i="22"/>
  <c r="AR33" i="22"/>
  <c r="AQ33" i="22"/>
  <c r="AP33" i="22"/>
  <c r="AO33" i="22"/>
  <c r="AX11" i="22"/>
  <c r="AW11" i="22"/>
  <c r="AV11" i="22"/>
  <c r="AT11" i="22"/>
  <c r="AS11" i="22"/>
  <c r="AR11" i="22"/>
  <c r="AQ11" i="22"/>
  <c r="AU11" i="22" s="1"/>
  <c r="AP11" i="22"/>
  <c r="AO11" i="22"/>
  <c r="AX29" i="22"/>
  <c r="AW29" i="22"/>
  <c r="AV29" i="22"/>
  <c r="AT29" i="22"/>
  <c r="AS29" i="22"/>
  <c r="AR29" i="22"/>
  <c r="AQ29" i="22"/>
  <c r="AP29" i="22"/>
  <c r="AO29" i="22"/>
  <c r="AX30" i="22"/>
  <c r="AW30" i="22"/>
  <c r="AV30" i="22"/>
  <c r="AT30" i="22"/>
  <c r="AS30" i="22"/>
  <c r="AR30" i="22"/>
  <c r="AQ30" i="22"/>
  <c r="AP30" i="22"/>
  <c r="AO30" i="22"/>
  <c r="AX23" i="22"/>
  <c r="AW23" i="22"/>
  <c r="AV23" i="22"/>
  <c r="AT23" i="22"/>
  <c r="AS23" i="22"/>
  <c r="AR23" i="22"/>
  <c r="AQ23" i="22"/>
  <c r="AP23" i="22"/>
  <c r="AO23" i="22"/>
  <c r="AX18" i="22"/>
  <c r="AW18" i="22"/>
  <c r="AV18" i="22"/>
  <c r="AT18" i="22"/>
  <c r="AS18" i="22"/>
  <c r="AR18" i="22"/>
  <c r="AQ18" i="22"/>
  <c r="AP18" i="22"/>
  <c r="AO18" i="22"/>
  <c r="AX26" i="22"/>
  <c r="AW26" i="22"/>
  <c r="AV26" i="22"/>
  <c r="AT26" i="22"/>
  <c r="AS26" i="22"/>
  <c r="AR26" i="22"/>
  <c r="AQ26" i="22"/>
  <c r="AP26" i="22"/>
  <c r="AO26" i="22"/>
  <c r="AX21" i="22"/>
  <c r="AW21" i="22"/>
  <c r="AV21" i="22"/>
  <c r="AT21" i="22"/>
  <c r="AS21" i="22"/>
  <c r="AR21" i="22"/>
  <c r="AQ21" i="22"/>
  <c r="AP21" i="22"/>
  <c r="AO21" i="22"/>
  <c r="AX19" i="22"/>
  <c r="AW19" i="22"/>
  <c r="AV19" i="22"/>
  <c r="AT19" i="22"/>
  <c r="AS19" i="22"/>
  <c r="AR19" i="22"/>
  <c r="AQ19" i="22"/>
  <c r="AP19" i="22"/>
  <c r="AO19" i="22"/>
  <c r="AX22" i="22"/>
  <c r="AW22" i="22"/>
  <c r="AV22" i="22"/>
  <c r="AT22" i="22"/>
  <c r="AS22" i="22"/>
  <c r="AR22" i="22"/>
  <c r="AQ22" i="22"/>
  <c r="AP22" i="22"/>
  <c r="AO22" i="22"/>
  <c r="AX31" i="22"/>
  <c r="AW31" i="22"/>
  <c r="AV31" i="22"/>
  <c r="AT31" i="22"/>
  <c r="AS31" i="22"/>
  <c r="AR31" i="22"/>
  <c r="AQ31" i="22"/>
  <c r="AP31" i="22"/>
  <c r="AO31" i="22"/>
  <c r="AX15" i="22"/>
  <c r="AW15" i="22"/>
  <c r="AV15" i="22"/>
  <c r="AT15" i="22"/>
  <c r="AS15" i="22"/>
  <c r="AR15" i="22"/>
  <c r="AQ15" i="22"/>
  <c r="AP15" i="22"/>
  <c r="AO15" i="22"/>
  <c r="AX24" i="22"/>
  <c r="AW24" i="22"/>
  <c r="AV24" i="22"/>
  <c r="AT24" i="22"/>
  <c r="AS24" i="22"/>
  <c r="AR24" i="22"/>
  <c r="AQ24" i="22"/>
  <c r="AP24" i="22"/>
  <c r="AO24" i="22"/>
  <c r="AX16" i="22"/>
  <c r="AW16" i="22"/>
  <c r="AV16" i="22"/>
  <c r="AT16" i="22"/>
  <c r="AS16" i="22"/>
  <c r="AR16" i="22"/>
  <c r="AQ16" i="22"/>
  <c r="AP16" i="22"/>
  <c r="AO16" i="22"/>
  <c r="AX25" i="22"/>
  <c r="AW25" i="22"/>
  <c r="AV25" i="22"/>
  <c r="AT25" i="22"/>
  <c r="AS25" i="22"/>
  <c r="AR25" i="22"/>
  <c r="AQ25" i="22"/>
  <c r="AP25" i="22"/>
  <c r="AO2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40" i="4"/>
  <c r="BX40" i="4"/>
  <c r="BW40" i="4"/>
  <c r="BU40" i="4"/>
  <c r="BT40" i="4"/>
  <c r="BS40" i="4"/>
  <c r="BR40" i="4"/>
  <c r="BV40" i="4" s="1"/>
  <c r="BQ40" i="4"/>
  <c r="BP40" i="4"/>
  <c r="BY39" i="4"/>
  <c r="BX39" i="4"/>
  <c r="BW39" i="4"/>
  <c r="BU39" i="4"/>
  <c r="BT39" i="4"/>
  <c r="BS39" i="4"/>
  <c r="BR39" i="4"/>
  <c r="BV39" i="4" s="1"/>
  <c r="BQ39" i="4"/>
  <c r="BP39" i="4"/>
  <c r="BY31" i="4"/>
  <c r="BX31" i="4"/>
  <c r="BW31" i="4"/>
  <c r="BU31" i="4"/>
  <c r="BT31" i="4"/>
  <c r="BS31" i="4"/>
  <c r="BR31" i="4"/>
  <c r="BV31" i="4" s="1"/>
  <c r="BQ31" i="4"/>
  <c r="BP31" i="4"/>
  <c r="BY32" i="4"/>
  <c r="BX32" i="4"/>
  <c r="BW32" i="4"/>
  <c r="BU32" i="4"/>
  <c r="BT32" i="4"/>
  <c r="BS32" i="4"/>
  <c r="BR32" i="4"/>
  <c r="BQ32" i="4"/>
  <c r="BP32" i="4"/>
  <c r="BY30" i="4"/>
  <c r="BX30" i="4"/>
  <c r="BW30" i="4"/>
  <c r="BU30" i="4"/>
  <c r="BT30" i="4"/>
  <c r="BS30" i="4"/>
  <c r="BR30" i="4"/>
  <c r="BV30" i="4" s="1"/>
  <c r="BQ30" i="4"/>
  <c r="BP30" i="4"/>
  <c r="BY38" i="4"/>
  <c r="BX38" i="4"/>
  <c r="BW38" i="4"/>
  <c r="BU38" i="4"/>
  <c r="BT38" i="4"/>
  <c r="BS38" i="4"/>
  <c r="BR38" i="4"/>
  <c r="BV38" i="4" s="1"/>
  <c r="BQ38" i="4"/>
  <c r="BP38" i="4"/>
  <c r="BY29" i="4"/>
  <c r="BX29" i="4"/>
  <c r="BW29" i="4"/>
  <c r="BU29" i="4"/>
  <c r="BT29" i="4"/>
  <c r="BS29" i="4"/>
  <c r="BR29" i="4"/>
  <c r="BQ29" i="4"/>
  <c r="BP29" i="4"/>
  <c r="BY20" i="4"/>
  <c r="BX20" i="4"/>
  <c r="BW20" i="4"/>
  <c r="BU20" i="4"/>
  <c r="BT20" i="4"/>
  <c r="BS20" i="4"/>
  <c r="BR20" i="4"/>
  <c r="BQ20" i="4"/>
  <c r="BP20" i="4"/>
  <c r="BY12" i="4"/>
  <c r="BX12" i="4"/>
  <c r="BW12" i="4"/>
  <c r="BU12" i="4"/>
  <c r="BT12" i="4"/>
  <c r="BS12" i="4"/>
  <c r="BR12" i="4"/>
  <c r="BV12" i="4" s="1"/>
  <c r="BQ12" i="4"/>
  <c r="BP12" i="4"/>
  <c r="BY15" i="4"/>
  <c r="BX15" i="4"/>
  <c r="BW15" i="4"/>
  <c r="BU15" i="4"/>
  <c r="BT15" i="4"/>
  <c r="BS15" i="4"/>
  <c r="BR15" i="4"/>
  <c r="BV15" i="4" s="1"/>
  <c r="BQ15" i="4"/>
  <c r="BP15" i="4"/>
  <c r="BY16" i="4"/>
  <c r="BX16" i="4"/>
  <c r="BW16" i="4"/>
  <c r="BU16" i="4"/>
  <c r="BT16" i="4"/>
  <c r="BS16" i="4"/>
  <c r="BR16" i="4"/>
  <c r="BQ16" i="4"/>
  <c r="BP16" i="4"/>
  <c r="BY36" i="4"/>
  <c r="BX36" i="4"/>
  <c r="BW36" i="4"/>
  <c r="BU36" i="4"/>
  <c r="BT36" i="4"/>
  <c r="BS36" i="4"/>
  <c r="BR36" i="4"/>
  <c r="BV36" i="4" s="1"/>
  <c r="BQ36" i="4"/>
  <c r="BP36" i="4"/>
  <c r="BY17" i="4"/>
  <c r="BX17" i="4"/>
  <c r="BW17" i="4"/>
  <c r="BU17" i="4"/>
  <c r="BT17" i="4"/>
  <c r="BS17" i="4"/>
  <c r="BR17" i="4"/>
  <c r="BV17" i="4" s="1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35" i="4"/>
  <c r="BX35" i="4"/>
  <c r="BW35" i="4"/>
  <c r="BU35" i="4"/>
  <c r="BT35" i="4"/>
  <c r="BS35" i="4"/>
  <c r="BR35" i="4"/>
  <c r="BV35" i="4" s="1"/>
  <c r="BQ35" i="4"/>
  <c r="BP35" i="4"/>
  <c r="BY13" i="4"/>
  <c r="BX13" i="4"/>
  <c r="BW13" i="4"/>
  <c r="BU13" i="4"/>
  <c r="BT13" i="4"/>
  <c r="BS13" i="4"/>
  <c r="BR13" i="4"/>
  <c r="BV13" i="4" s="1"/>
  <c r="BQ13" i="4"/>
  <c r="BP13" i="4"/>
  <c r="BY14" i="4"/>
  <c r="BX14" i="4"/>
  <c r="BW14" i="4"/>
  <c r="BU14" i="4"/>
  <c r="BT14" i="4"/>
  <c r="BS14" i="4"/>
  <c r="BR14" i="4"/>
  <c r="BV14" i="4" s="1"/>
  <c r="BQ14" i="4"/>
  <c r="BP14" i="4"/>
  <c r="BY28" i="4"/>
  <c r="BX28" i="4"/>
  <c r="BW28" i="4"/>
  <c r="BU28" i="4"/>
  <c r="BT28" i="4"/>
  <c r="BS28" i="4"/>
  <c r="BR28" i="4"/>
  <c r="BQ28" i="4"/>
  <c r="BP28" i="4"/>
  <c r="BY24" i="4"/>
  <c r="BX24" i="4"/>
  <c r="BW24" i="4"/>
  <c r="BU24" i="4"/>
  <c r="BT24" i="4"/>
  <c r="BS24" i="4"/>
  <c r="BR24" i="4"/>
  <c r="BQ24" i="4"/>
  <c r="BP24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34" i="4"/>
  <c r="BX34" i="4"/>
  <c r="BW34" i="4"/>
  <c r="BU34" i="4"/>
  <c r="BT34" i="4"/>
  <c r="BS34" i="4"/>
  <c r="BR34" i="4"/>
  <c r="BV34" i="4" s="1"/>
  <c r="BQ34" i="4"/>
  <c r="BP3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40" i="4"/>
  <c r="AW40" i="4"/>
  <c r="AV40" i="4"/>
  <c r="AT40" i="4"/>
  <c r="AS40" i="4"/>
  <c r="AR40" i="4"/>
  <c r="AQ40" i="4"/>
  <c r="AP40" i="4"/>
  <c r="AO40" i="4"/>
  <c r="AX39" i="4"/>
  <c r="AW39" i="4"/>
  <c r="AV39" i="4"/>
  <c r="AT39" i="4"/>
  <c r="AS39" i="4"/>
  <c r="AR39" i="4"/>
  <c r="AQ39" i="4"/>
  <c r="AP39" i="4"/>
  <c r="AO39" i="4"/>
  <c r="AX31" i="4"/>
  <c r="AW31" i="4"/>
  <c r="AV31" i="4"/>
  <c r="AT31" i="4"/>
  <c r="AS31" i="4"/>
  <c r="AR31" i="4"/>
  <c r="AQ31" i="4"/>
  <c r="AP31" i="4"/>
  <c r="AO31" i="4"/>
  <c r="AX32" i="4"/>
  <c r="AW32" i="4"/>
  <c r="AV32" i="4"/>
  <c r="AT32" i="4"/>
  <c r="AS32" i="4"/>
  <c r="AR32" i="4"/>
  <c r="AQ32" i="4"/>
  <c r="AU32" i="4" s="1"/>
  <c r="AP32" i="4"/>
  <c r="AO32" i="4"/>
  <c r="AX30" i="4"/>
  <c r="AW30" i="4"/>
  <c r="AV30" i="4"/>
  <c r="AT30" i="4"/>
  <c r="AS30" i="4"/>
  <c r="AR30" i="4"/>
  <c r="AQ30" i="4"/>
  <c r="AP30" i="4"/>
  <c r="AO30" i="4"/>
  <c r="AX38" i="4"/>
  <c r="AW38" i="4"/>
  <c r="AV38" i="4"/>
  <c r="AT38" i="4"/>
  <c r="AS38" i="4"/>
  <c r="AR38" i="4"/>
  <c r="AQ38" i="4"/>
  <c r="AP38" i="4"/>
  <c r="AO38" i="4"/>
  <c r="AX29" i="4"/>
  <c r="AW29" i="4"/>
  <c r="AV29" i="4"/>
  <c r="AT29" i="4"/>
  <c r="AS29" i="4"/>
  <c r="AR29" i="4"/>
  <c r="AQ29" i="4"/>
  <c r="AU29" i="4" s="1"/>
  <c r="AP29" i="4"/>
  <c r="AO29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15" i="4"/>
  <c r="AW15" i="4"/>
  <c r="AV15" i="4"/>
  <c r="AT15" i="4"/>
  <c r="AS15" i="4"/>
  <c r="AR15" i="4"/>
  <c r="AQ15" i="4"/>
  <c r="AU15" i="4" s="1"/>
  <c r="AP15" i="4"/>
  <c r="AO15" i="4"/>
  <c r="AX16" i="4"/>
  <c r="AW16" i="4"/>
  <c r="AV16" i="4"/>
  <c r="AT16" i="4"/>
  <c r="AS16" i="4"/>
  <c r="AR16" i="4"/>
  <c r="AQ16" i="4"/>
  <c r="AP16" i="4"/>
  <c r="AO16" i="4"/>
  <c r="AX36" i="4"/>
  <c r="AW36" i="4"/>
  <c r="AV36" i="4"/>
  <c r="AT36" i="4"/>
  <c r="AS36" i="4"/>
  <c r="AR36" i="4"/>
  <c r="AQ36" i="4"/>
  <c r="AU36" i="4" s="1"/>
  <c r="AP36" i="4"/>
  <c r="AO36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35" i="4"/>
  <c r="AW35" i="4"/>
  <c r="AV35" i="4"/>
  <c r="AT35" i="4"/>
  <c r="AS35" i="4"/>
  <c r="AR35" i="4"/>
  <c r="AQ35" i="4"/>
  <c r="AP35" i="4"/>
  <c r="AO35" i="4"/>
  <c r="AX13" i="4"/>
  <c r="AW13" i="4"/>
  <c r="AV13" i="4"/>
  <c r="AT13" i="4"/>
  <c r="AS13" i="4"/>
  <c r="AR13" i="4"/>
  <c r="AQ13" i="4"/>
  <c r="AP13" i="4"/>
  <c r="AO13" i="4"/>
  <c r="AX14" i="4"/>
  <c r="AW14" i="4"/>
  <c r="AV14" i="4"/>
  <c r="AT14" i="4"/>
  <c r="AS14" i="4"/>
  <c r="AR14" i="4"/>
  <c r="AQ14" i="4"/>
  <c r="AP14" i="4"/>
  <c r="AO14" i="4"/>
  <c r="AX28" i="4"/>
  <c r="AW28" i="4"/>
  <c r="AV28" i="4"/>
  <c r="AT28" i="4"/>
  <c r="AS28" i="4"/>
  <c r="AR28" i="4"/>
  <c r="AQ28" i="4"/>
  <c r="AU28" i="4" s="1"/>
  <c r="AP28" i="4"/>
  <c r="AO28" i="4"/>
  <c r="AX24" i="4"/>
  <c r="AW24" i="4"/>
  <c r="AV24" i="4"/>
  <c r="AT24" i="4"/>
  <c r="AS24" i="4"/>
  <c r="AR24" i="4"/>
  <c r="AQ24" i="4"/>
  <c r="AP24" i="4"/>
  <c r="AO24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U10" i="4" s="1"/>
  <c r="AP10" i="4"/>
  <c r="AO10" i="4"/>
  <c r="AX34" i="4"/>
  <c r="AW34" i="4"/>
  <c r="AV34" i="4"/>
  <c r="AT34" i="4"/>
  <c r="AS34" i="4"/>
  <c r="AR34" i="4"/>
  <c r="AQ34" i="4"/>
  <c r="AP34" i="4"/>
  <c r="AO3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PC16" i="21"/>
  <c r="PB16" i="21"/>
  <c r="OZ16" i="21"/>
  <c r="OY16" i="21"/>
  <c r="OX16" i="21"/>
  <c r="OW16" i="21"/>
  <c r="PC22" i="21"/>
  <c r="PB22" i="21"/>
  <c r="OZ22" i="21"/>
  <c r="OY22" i="21"/>
  <c r="OX22" i="21"/>
  <c r="OW22" i="21"/>
  <c r="PC26" i="21"/>
  <c r="PB26" i="21"/>
  <c r="OZ26" i="21"/>
  <c r="OY26" i="21"/>
  <c r="OX26" i="21"/>
  <c r="OW26" i="21"/>
  <c r="PC19" i="21"/>
  <c r="PB19" i="21"/>
  <c r="OZ19" i="21"/>
  <c r="OY19" i="21"/>
  <c r="OX19" i="21"/>
  <c r="OW19" i="21"/>
  <c r="PC23" i="21"/>
  <c r="PB23" i="21"/>
  <c r="OZ23" i="21"/>
  <c r="OY23" i="21"/>
  <c r="OX23" i="21"/>
  <c r="OW23" i="21"/>
  <c r="PC28" i="21"/>
  <c r="PB28" i="21"/>
  <c r="OZ28" i="21"/>
  <c r="OY28" i="21"/>
  <c r="OX28" i="21"/>
  <c r="OW28" i="21"/>
  <c r="PC11" i="21"/>
  <c r="PB11" i="21"/>
  <c r="OZ11" i="21"/>
  <c r="OY11" i="21"/>
  <c r="OX11" i="21"/>
  <c r="OW11" i="21"/>
  <c r="PC13" i="21"/>
  <c r="PB13" i="21"/>
  <c r="OZ13" i="21"/>
  <c r="OY13" i="21"/>
  <c r="OX13" i="21"/>
  <c r="OW13" i="21"/>
  <c r="PC14" i="21"/>
  <c r="PB14" i="21"/>
  <c r="OZ14" i="21"/>
  <c r="OY14" i="21"/>
  <c r="OX14" i="21"/>
  <c r="OW14" i="21"/>
  <c r="PC10" i="21"/>
  <c r="PB10" i="21"/>
  <c r="OZ10" i="21"/>
  <c r="OY10" i="21"/>
  <c r="OX10" i="21"/>
  <c r="OW10" i="21"/>
  <c r="PC12" i="21"/>
  <c r="PB12" i="21"/>
  <c r="OZ12" i="21"/>
  <c r="OY12" i="21"/>
  <c r="OX12" i="21"/>
  <c r="OW12" i="21"/>
  <c r="PC29" i="21"/>
  <c r="PB29" i="21"/>
  <c r="OZ29" i="21"/>
  <c r="OY29" i="21"/>
  <c r="OX29" i="21"/>
  <c r="OW29" i="21"/>
  <c r="PC9" i="21"/>
  <c r="PB9" i="21"/>
  <c r="OZ9" i="21"/>
  <c r="OY9" i="21"/>
  <c r="OX9" i="21"/>
  <c r="OW9" i="21"/>
  <c r="PC7" i="21"/>
  <c r="PB7" i="21"/>
  <c r="OZ7" i="21"/>
  <c r="OY7" i="21"/>
  <c r="OX7" i="21"/>
  <c r="OW7" i="21"/>
  <c r="PC8" i="21"/>
  <c r="PB8" i="21"/>
  <c r="OZ8" i="21"/>
  <c r="OY8" i="21"/>
  <c r="OX8" i="21"/>
  <c r="OW8" i="21"/>
  <c r="PC6" i="21"/>
  <c r="PB6" i="21"/>
  <c r="OZ6" i="21"/>
  <c r="OY6" i="21"/>
  <c r="OX6" i="21"/>
  <c r="OW6" i="21"/>
  <c r="PC4" i="21"/>
  <c r="PB4" i="21"/>
  <c r="OZ4" i="21"/>
  <c r="OY4" i="21"/>
  <c r="OX4" i="21"/>
  <c r="OW4" i="21"/>
  <c r="PC5" i="21"/>
  <c r="PB5" i="21"/>
  <c r="OZ5" i="21"/>
  <c r="OY5" i="21"/>
  <c r="OX5" i="21"/>
  <c r="OW5" i="21"/>
  <c r="OA16" i="21"/>
  <c r="NZ16" i="21"/>
  <c r="NX16" i="21"/>
  <c r="NW16" i="21"/>
  <c r="NV16" i="21"/>
  <c r="NU16" i="21"/>
  <c r="OA22" i="21"/>
  <c r="NZ22" i="21"/>
  <c r="NX22" i="21"/>
  <c r="NW22" i="21"/>
  <c r="NV22" i="21"/>
  <c r="NU22" i="21"/>
  <c r="OA26" i="21"/>
  <c r="NZ26" i="21"/>
  <c r="NX26" i="21"/>
  <c r="NW26" i="21"/>
  <c r="NV26" i="21"/>
  <c r="NU26" i="21"/>
  <c r="OA19" i="21"/>
  <c r="NZ19" i="21"/>
  <c r="NX19" i="21"/>
  <c r="NW19" i="21"/>
  <c r="NV19" i="21"/>
  <c r="NU19" i="21"/>
  <c r="OA23" i="21"/>
  <c r="NZ23" i="21"/>
  <c r="NX23" i="21"/>
  <c r="NW23" i="21"/>
  <c r="NV23" i="21"/>
  <c r="NU23" i="21"/>
  <c r="OA28" i="21"/>
  <c r="NZ28" i="21"/>
  <c r="NX28" i="21"/>
  <c r="NW28" i="21"/>
  <c r="NV28" i="21"/>
  <c r="NU28" i="21"/>
  <c r="OA11" i="21"/>
  <c r="NZ11" i="21"/>
  <c r="NX11" i="21"/>
  <c r="NW11" i="21"/>
  <c r="NV11" i="21"/>
  <c r="NU11" i="21"/>
  <c r="OA13" i="21"/>
  <c r="NZ13" i="21"/>
  <c r="NX13" i="21"/>
  <c r="NW13" i="21"/>
  <c r="NV13" i="21"/>
  <c r="NU13" i="21"/>
  <c r="OA14" i="21"/>
  <c r="NZ14" i="21"/>
  <c r="NX14" i="21"/>
  <c r="NW14" i="21"/>
  <c r="NV14" i="21"/>
  <c r="NU14" i="21"/>
  <c r="OA10" i="21"/>
  <c r="NZ10" i="21"/>
  <c r="NX10" i="21"/>
  <c r="NW10" i="21"/>
  <c r="NV10" i="21"/>
  <c r="NU10" i="21"/>
  <c r="OA12" i="21"/>
  <c r="NZ12" i="21"/>
  <c r="NX12" i="21"/>
  <c r="NW12" i="21"/>
  <c r="NV12" i="21"/>
  <c r="NU12" i="21"/>
  <c r="OA29" i="21"/>
  <c r="NZ29" i="21"/>
  <c r="NX29" i="21"/>
  <c r="NW29" i="21"/>
  <c r="NV29" i="21"/>
  <c r="NU29" i="21"/>
  <c r="OA9" i="21"/>
  <c r="NZ9" i="21"/>
  <c r="NX9" i="21"/>
  <c r="NW9" i="21"/>
  <c r="NV9" i="21"/>
  <c r="NU9" i="21"/>
  <c r="OA7" i="21"/>
  <c r="NZ7" i="21"/>
  <c r="NX7" i="21"/>
  <c r="NW7" i="21"/>
  <c r="NV7" i="21"/>
  <c r="NU7" i="21"/>
  <c r="OA8" i="21"/>
  <c r="NZ8" i="21"/>
  <c r="NX8" i="21"/>
  <c r="NW8" i="21"/>
  <c r="NV8" i="21"/>
  <c r="NU8" i="21"/>
  <c r="OA6" i="21"/>
  <c r="NZ6" i="21"/>
  <c r="NX6" i="21"/>
  <c r="NW6" i="21"/>
  <c r="NV6" i="21"/>
  <c r="NU6" i="21"/>
  <c r="OA4" i="21"/>
  <c r="NZ4" i="21"/>
  <c r="NX4" i="21"/>
  <c r="NW4" i="21"/>
  <c r="NV4" i="21"/>
  <c r="NU4" i="21"/>
  <c r="OA5" i="21"/>
  <c r="NZ5" i="21"/>
  <c r="NX5" i="21"/>
  <c r="NW5" i="21"/>
  <c r="NV5" i="21"/>
  <c r="NU5" i="21"/>
  <c r="MY16" i="21"/>
  <c r="MX16" i="21"/>
  <c r="MV16" i="21"/>
  <c r="MU16" i="21"/>
  <c r="MT16" i="21"/>
  <c r="MS16" i="21"/>
  <c r="MY22" i="21"/>
  <c r="MX22" i="21"/>
  <c r="MV22" i="21"/>
  <c r="MU22" i="21"/>
  <c r="MT22" i="21"/>
  <c r="MS22" i="21"/>
  <c r="MY26" i="21"/>
  <c r="MX26" i="21"/>
  <c r="MV26" i="21"/>
  <c r="MU26" i="21"/>
  <c r="MT26" i="21"/>
  <c r="MS26" i="21"/>
  <c r="MY19" i="21"/>
  <c r="MX19" i="21"/>
  <c r="MV19" i="21"/>
  <c r="MU19" i="21"/>
  <c r="MT19" i="21"/>
  <c r="MS19" i="21"/>
  <c r="MY23" i="21"/>
  <c r="MX23" i="21"/>
  <c r="MV23" i="21"/>
  <c r="MU23" i="21"/>
  <c r="MT23" i="21"/>
  <c r="MS23" i="21"/>
  <c r="MY28" i="21"/>
  <c r="MX28" i="21"/>
  <c r="MV28" i="21"/>
  <c r="MU28" i="21"/>
  <c r="MT28" i="21"/>
  <c r="MS28" i="21"/>
  <c r="MY11" i="21"/>
  <c r="MX11" i="21"/>
  <c r="MV11" i="21"/>
  <c r="MU11" i="21"/>
  <c r="MT11" i="21"/>
  <c r="MS11" i="21"/>
  <c r="MY13" i="21"/>
  <c r="MX13" i="21"/>
  <c r="MV13" i="21"/>
  <c r="MU13" i="21"/>
  <c r="MT13" i="21"/>
  <c r="MS13" i="21"/>
  <c r="MY14" i="21"/>
  <c r="MX14" i="21"/>
  <c r="MV14" i="21"/>
  <c r="MU14" i="21"/>
  <c r="MT14" i="21"/>
  <c r="MS14" i="21"/>
  <c r="MY10" i="21"/>
  <c r="MX10" i="21"/>
  <c r="MV10" i="21"/>
  <c r="MU10" i="21"/>
  <c r="MT10" i="21"/>
  <c r="MS10" i="21"/>
  <c r="MY12" i="21"/>
  <c r="MX12" i="21"/>
  <c r="MV12" i="21"/>
  <c r="MU12" i="21"/>
  <c r="MT12" i="21"/>
  <c r="MS12" i="21"/>
  <c r="MY29" i="21"/>
  <c r="MX29" i="21"/>
  <c r="MV29" i="21"/>
  <c r="MU29" i="21"/>
  <c r="MT29" i="21"/>
  <c r="MS29" i="21"/>
  <c r="MY9" i="21"/>
  <c r="MX9" i="21"/>
  <c r="MV9" i="21"/>
  <c r="MU9" i="21"/>
  <c r="MT9" i="21"/>
  <c r="MS9" i="21"/>
  <c r="MY7" i="21"/>
  <c r="MX7" i="21"/>
  <c r="MV7" i="21"/>
  <c r="MU7" i="21"/>
  <c r="MT7" i="21"/>
  <c r="MS7" i="21"/>
  <c r="MY8" i="21"/>
  <c r="MX8" i="21"/>
  <c r="MV8" i="21"/>
  <c r="MU8" i="21"/>
  <c r="MT8" i="21"/>
  <c r="MS8" i="21"/>
  <c r="MY6" i="21"/>
  <c r="MX6" i="21"/>
  <c r="MV6" i="21"/>
  <c r="MU6" i="21"/>
  <c r="MT6" i="21"/>
  <c r="MS6" i="21"/>
  <c r="MY4" i="21"/>
  <c r="MX4" i="21"/>
  <c r="MV4" i="21"/>
  <c r="MU4" i="21"/>
  <c r="MT4" i="21"/>
  <c r="MS4" i="21"/>
  <c r="MY5" i="21"/>
  <c r="MX5" i="21"/>
  <c r="MV5" i="21"/>
  <c r="MU5" i="21"/>
  <c r="MT5" i="21"/>
  <c r="MS5" i="21"/>
  <c r="LW16" i="21"/>
  <c r="LV16" i="21"/>
  <c r="LT16" i="21"/>
  <c r="LS16" i="21"/>
  <c r="LR16" i="21"/>
  <c r="LQ16" i="21"/>
  <c r="LW22" i="21"/>
  <c r="LV22" i="21"/>
  <c r="LT22" i="21"/>
  <c r="LS22" i="21"/>
  <c r="LR22" i="21"/>
  <c r="LQ22" i="21"/>
  <c r="LW26" i="21"/>
  <c r="LV26" i="21"/>
  <c r="LT26" i="21"/>
  <c r="LS26" i="21"/>
  <c r="LR26" i="21"/>
  <c r="LQ26" i="21"/>
  <c r="LW19" i="21"/>
  <c r="LV19" i="21"/>
  <c r="LT19" i="21"/>
  <c r="LS19" i="21"/>
  <c r="LR19" i="21"/>
  <c r="LQ19" i="21"/>
  <c r="LW23" i="21"/>
  <c r="LV23" i="21"/>
  <c r="LT23" i="21"/>
  <c r="LS23" i="21"/>
  <c r="LR23" i="21"/>
  <c r="LQ23" i="21"/>
  <c r="LW28" i="21"/>
  <c r="LV28" i="21"/>
  <c r="LT28" i="21"/>
  <c r="LS28" i="21"/>
  <c r="LR28" i="21"/>
  <c r="LQ28" i="21"/>
  <c r="LW11" i="21"/>
  <c r="LV11" i="21"/>
  <c r="LT11" i="21"/>
  <c r="LS11" i="21"/>
  <c r="LR11" i="21"/>
  <c r="LQ11" i="21"/>
  <c r="LW13" i="21"/>
  <c r="LV13" i="21"/>
  <c r="LT13" i="21"/>
  <c r="LS13" i="21"/>
  <c r="LR13" i="21"/>
  <c r="LQ13" i="21"/>
  <c r="LW14" i="21"/>
  <c r="LV14" i="21"/>
  <c r="LT14" i="21"/>
  <c r="LS14" i="21"/>
  <c r="LR14" i="21"/>
  <c r="LQ14" i="21"/>
  <c r="LW10" i="21"/>
  <c r="LV10" i="21"/>
  <c r="LT10" i="21"/>
  <c r="LS10" i="21"/>
  <c r="LR10" i="21"/>
  <c r="LQ10" i="21"/>
  <c r="LW12" i="21"/>
  <c r="LV12" i="21"/>
  <c r="LT12" i="21"/>
  <c r="LS12" i="21"/>
  <c r="LR12" i="21"/>
  <c r="LQ12" i="21"/>
  <c r="LW29" i="21"/>
  <c r="LV29" i="21"/>
  <c r="LT29" i="21"/>
  <c r="LS29" i="21"/>
  <c r="LR29" i="21"/>
  <c r="LQ29" i="21"/>
  <c r="LW9" i="21"/>
  <c r="LV9" i="21"/>
  <c r="LT9" i="21"/>
  <c r="LS9" i="21"/>
  <c r="LR9" i="21"/>
  <c r="LQ9" i="21"/>
  <c r="LW7" i="21"/>
  <c r="LV7" i="21"/>
  <c r="LT7" i="21"/>
  <c r="LS7" i="21"/>
  <c r="LR7" i="21"/>
  <c r="LQ7" i="21"/>
  <c r="LW8" i="21"/>
  <c r="LV8" i="21"/>
  <c r="LT8" i="21"/>
  <c r="LS8" i="21"/>
  <c r="LR8" i="21"/>
  <c r="LQ8" i="21"/>
  <c r="LW6" i="21"/>
  <c r="LV6" i="21"/>
  <c r="LT6" i="21"/>
  <c r="LS6" i="21"/>
  <c r="LR6" i="21"/>
  <c r="LQ6" i="21"/>
  <c r="LW4" i="21"/>
  <c r="LV4" i="21"/>
  <c r="LT4" i="21"/>
  <c r="LS4" i="21"/>
  <c r="LR4" i="21"/>
  <c r="LQ4" i="21"/>
  <c r="LW5" i="21"/>
  <c r="LV5" i="21"/>
  <c r="LT5" i="21"/>
  <c r="LS5" i="21"/>
  <c r="LR5" i="21"/>
  <c r="LQ5" i="21"/>
  <c r="KU16" i="21"/>
  <c r="KT16" i="21"/>
  <c r="KR16" i="21"/>
  <c r="KQ16" i="21"/>
  <c r="KP16" i="21"/>
  <c r="KO16" i="21"/>
  <c r="KU22" i="21"/>
  <c r="KT22" i="21"/>
  <c r="KR22" i="21"/>
  <c r="KQ22" i="21"/>
  <c r="KP22" i="21"/>
  <c r="KO22" i="21"/>
  <c r="KU26" i="21"/>
  <c r="KT26" i="21"/>
  <c r="KR26" i="21"/>
  <c r="KQ26" i="21"/>
  <c r="KP26" i="21"/>
  <c r="KO26" i="21"/>
  <c r="KU19" i="21"/>
  <c r="KT19" i="21"/>
  <c r="KR19" i="21"/>
  <c r="KQ19" i="21"/>
  <c r="KP19" i="21"/>
  <c r="KO19" i="21"/>
  <c r="KU23" i="21"/>
  <c r="KT23" i="21"/>
  <c r="KR23" i="21"/>
  <c r="KQ23" i="21"/>
  <c r="KP23" i="21"/>
  <c r="KO23" i="21"/>
  <c r="KU28" i="21"/>
  <c r="KT28" i="21"/>
  <c r="KR28" i="21"/>
  <c r="KQ28" i="21"/>
  <c r="KP28" i="21"/>
  <c r="KO28" i="21"/>
  <c r="KU11" i="21"/>
  <c r="KT11" i="21"/>
  <c r="KR11" i="21"/>
  <c r="KQ11" i="21"/>
  <c r="KP11" i="21"/>
  <c r="KO11" i="21"/>
  <c r="KU13" i="21"/>
  <c r="KT13" i="21"/>
  <c r="KR13" i="21"/>
  <c r="KQ13" i="21"/>
  <c r="KP13" i="21"/>
  <c r="KO13" i="21"/>
  <c r="KU14" i="21"/>
  <c r="KT14" i="21"/>
  <c r="KR14" i="21"/>
  <c r="KQ14" i="21"/>
  <c r="KP14" i="21"/>
  <c r="KO14" i="21"/>
  <c r="KU10" i="21"/>
  <c r="KT10" i="21"/>
  <c r="KR10" i="21"/>
  <c r="KQ10" i="21"/>
  <c r="KP10" i="21"/>
  <c r="KO10" i="21"/>
  <c r="KU12" i="21"/>
  <c r="KT12" i="21"/>
  <c r="KR12" i="21"/>
  <c r="KQ12" i="21"/>
  <c r="KP12" i="21"/>
  <c r="KO12" i="21"/>
  <c r="KU29" i="21"/>
  <c r="KT29" i="21"/>
  <c r="KR29" i="21"/>
  <c r="KQ29" i="21"/>
  <c r="KP29" i="21"/>
  <c r="KO29" i="21"/>
  <c r="KU9" i="21"/>
  <c r="KT9" i="21"/>
  <c r="KR9" i="21"/>
  <c r="KQ9" i="21"/>
  <c r="KP9" i="21"/>
  <c r="KO9" i="21"/>
  <c r="KU7" i="21"/>
  <c r="KT7" i="21"/>
  <c r="KR7" i="21"/>
  <c r="KQ7" i="21"/>
  <c r="KP7" i="21"/>
  <c r="KO7" i="21"/>
  <c r="KU8" i="21"/>
  <c r="KT8" i="21"/>
  <c r="KR8" i="21"/>
  <c r="KQ8" i="21"/>
  <c r="KP8" i="21"/>
  <c r="KO8" i="21"/>
  <c r="KU6" i="21"/>
  <c r="KT6" i="21"/>
  <c r="KR6" i="21"/>
  <c r="KQ6" i="21"/>
  <c r="KP6" i="21"/>
  <c r="KO6" i="21"/>
  <c r="KU4" i="21"/>
  <c r="KT4" i="21"/>
  <c r="KR4" i="21"/>
  <c r="KQ4" i="21"/>
  <c r="KP4" i="21"/>
  <c r="KO4" i="21"/>
  <c r="KU5" i="21"/>
  <c r="KT5" i="21"/>
  <c r="KR5" i="21"/>
  <c r="KQ5" i="21"/>
  <c r="KP5" i="21"/>
  <c r="KO5" i="21"/>
  <c r="JS16" i="21"/>
  <c r="JR16" i="21"/>
  <c r="JP16" i="21"/>
  <c r="JO16" i="21"/>
  <c r="JN16" i="21"/>
  <c r="JM16" i="21"/>
  <c r="JS22" i="21"/>
  <c r="JR22" i="21"/>
  <c r="JP22" i="21"/>
  <c r="JO22" i="21"/>
  <c r="JN22" i="21"/>
  <c r="JM22" i="21"/>
  <c r="JS26" i="21"/>
  <c r="JR26" i="21"/>
  <c r="JP26" i="21"/>
  <c r="JO26" i="21"/>
  <c r="JN26" i="21"/>
  <c r="JM26" i="21"/>
  <c r="JS19" i="21"/>
  <c r="JR19" i="21"/>
  <c r="JP19" i="21"/>
  <c r="JO19" i="21"/>
  <c r="JN19" i="21"/>
  <c r="JM19" i="21"/>
  <c r="JS23" i="21"/>
  <c r="JR23" i="21"/>
  <c r="JP23" i="21"/>
  <c r="JO23" i="21"/>
  <c r="JN23" i="21"/>
  <c r="JM23" i="21"/>
  <c r="JS28" i="21"/>
  <c r="JR28" i="21"/>
  <c r="JP28" i="21"/>
  <c r="JO28" i="21"/>
  <c r="JN28" i="21"/>
  <c r="JM28" i="21"/>
  <c r="JS11" i="21"/>
  <c r="JR11" i="21"/>
  <c r="JP11" i="21"/>
  <c r="JO11" i="21"/>
  <c r="JN11" i="21"/>
  <c r="JM11" i="21"/>
  <c r="JS13" i="21"/>
  <c r="JR13" i="21"/>
  <c r="JP13" i="21"/>
  <c r="JO13" i="21"/>
  <c r="JN13" i="21"/>
  <c r="JM13" i="21"/>
  <c r="JS14" i="21"/>
  <c r="JR14" i="21"/>
  <c r="JP14" i="21"/>
  <c r="JO14" i="21"/>
  <c r="JN14" i="21"/>
  <c r="JM14" i="21"/>
  <c r="JS10" i="21"/>
  <c r="JR10" i="21"/>
  <c r="JP10" i="21"/>
  <c r="JO10" i="21"/>
  <c r="JN10" i="21"/>
  <c r="JM10" i="21"/>
  <c r="JS12" i="21"/>
  <c r="JR12" i="21"/>
  <c r="JP12" i="21"/>
  <c r="JO12" i="21"/>
  <c r="JN12" i="21"/>
  <c r="JM12" i="21"/>
  <c r="JS29" i="21"/>
  <c r="JR29" i="21"/>
  <c r="JP29" i="21"/>
  <c r="JO29" i="21"/>
  <c r="JN29" i="21"/>
  <c r="JM29" i="21"/>
  <c r="JS9" i="21"/>
  <c r="JR9" i="21"/>
  <c r="JP9" i="21"/>
  <c r="JO9" i="21"/>
  <c r="JN9" i="21"/>
  <c r="JM9" i="21"/>
  <c r="JS7" i="21"/>
  <c r="JR7" i="21"/>
  <c r="JP7" i="21"/>
  <c r="JO7" i="21"/>
  <c r="JN7" i="21"/>
  <c r="JM7" i="21"/>
  <c r="JS8" i="21"/>
  <c r="JR8" i="21"/>
  <c r="JP8" i="21"/>
  <c r="JO8" i="21"/>
  <c r="JN8" i="21"/>
  <c r="JM8" i="21"/>
  <c r="JS6" i="21"/>
  <c r="JR6" i="21"/>
  <c r="JP6" i="21"/>
  <c r="JO6" i="21"/>
  <c r="JN6" i="21"/>
  <c r="JM6" i="21"/>
  <c r="JS4" i="21"/>
  <c r="JR4" i="21"/>
  <c r="JP4" i="21"/>
  <c r="JO4" i="21"/>
  <c r="JN4" i="21"/>
  <c r="JM4" i="21"/>
  <c r="JS5" i="21"/>
  <c r="JR5" i="21"/>
  <c r="JP5" i="21"/>
  <c r="JO5" i="21"/>
  <c r="JN5" i="21"/>
  <c r="JM5" i="21"/>
  <c r="IQ16" i="21"/>
  <c r="IP16" i="21"/>
  <c r="IN16" i="21"/>
  <c r="IM16" i="21"/>
  <c r="IL16" i="21"/>
  <c r="IK16" i="21"/>
  <c r="IQ22" i="21"/>
  <c r="IP22" i="21"/>
  <c r="IN22" i="21"/>
  <c r="IM22" i="21"/>
  <c r="IL22" i="21"/>
  <c r="IK22" i="21"/>
  <c r="IQ26" i="21"/>
  <c r="IP26" i="21"/>
  <c r="IN26" i="21"/>
  <c r="IM26" i="21"/>
  <c r="IL26" i="21"/>
  <c r="IK26" i="21"/>
  <c r="IQ19" i="21"/>
  <c r="IP19" i="21"/>
  <c r="IN19" i="21"/>
  <c r="IM19" i="21"/>
  <c r="IL19" i="21"/>
  <c r="IK19" i="21"/>
  <c r="IQ23" i="21"/>
  <c r="IP23" i="21"/>
  <c r="IN23" i="21"/>
  <c r="IM23" i="21"/>
  <c r="IL23" i="21"/>
  <c r="IK23" i="21"/>
  <c r="IQ28" i="21"/>
  <c r="IP28" i="21"/>
  <c r="IN28" i="21"/>
  <c r="IM28" i="21"/>
  <c r="IL28" i="21"/>
  <c r="IK28" i="21"/>
  <c r="IQ11" i="21"/>
  <c r="IP11" i="21"/>
  <c r="IN11" i="21"/>
  <c r="IM11" i="21"/>
  <c r="IL11" i="21"/>
  <c r="IK11" i="21"/>
  <c r="IQ13" i="21"/>
  <c r="IP13" i="21"/>
  <c r="IN13" i="21"/>
  <c r="IM13" i="21"/>
  <c r="IL13" i="21"/>
  <c r="IK13" i="21"/>
  <c r="IQ14" i="21"/>
  <c r="IP14" i="21"/>
  <c r="IN14" i="21"/>
  <c r="IM14" i="21"/>
  <c r="IL14" i="21"/>
  <c r="IK14" i="21"/>
  <c r="IQ10" i="21"/>
  <c r="IP10" i="21"/>
  <c r="IN10" i="21"/>
  <c r="IM10" i="21"/>
  <c r="IL10" i="21"/>
  <c r="IK10" i="21"/>
  <c r="IQ12" i="21"/>
  <c r="IP12" i="21"/>
  <c r="IN12" i="21"/>
  <c r="IM12" i="21"/>
  <c r="IL12" i="21"/>
  <c r="IK12" i="21"/>
  <c r="IQ29" i="21"/>
  <c r="IP29" i="21"/>
  <c r="IN29" i="21"/>
  <c r="IM29" i="21"/>
  <c r="IL29" i="21"/>
  <c r="IK29" i="21"/>
  <c r="IQ9" i="21"/>
  <c r="IP9" i="21"/>
  <c r="IN9" i="21"/>
  <c r="IM9" i="21"/>
  <c r="IL9" i="21"/>
  <c r="IK9" i="21"/>
  <c r="IQ7" i="21"/>
  <c r="IP7" i="21"/>
  <c r="IN7" i="21"/>
  <c r="IM7" i="21"/>
  <c r="IL7" i="21"/>
  <c r="IK7" i="21"/>
  <c r="IQ8" i="21"/>
  <c r="IP8" i="21"/>
  <c r="IN8" i="21"/>
  <c r="IM8" i="21"/>
  <c r="IL8" i="21"/>
  <c r="IK8" i="21"/>
  <c r="IQ6" i="21"/>
  <c r="IP6" i="21"/>
  <c r="IN6" i="21"/>
  <c r="IM6" i="21"/>
  <c r="IL6" i="21"/>
  <c r="IK6" i="21"/>
  <c r="IQ4" i="21"/>
  <c r="IP4" i="21"/>
  <c r="IN4" i="21"/>
  <c r="IM4" i="21"/>
  <c r="IL4" i="21"/>
  <c r="IK4" i="21"/>
  <c r="IQ5" i="21"/>
  <c r="IP5" i="21"/>
  <c r="IN5" i="21"/>
  <c r="IM5" i="21"/>
  <c r="IL5" i="21"/>
  <c r="IK5" i="21"/>
  <c r="HO16" i="21"/>
  <c r="HN16" i="21"/>
  <c r="HL16" i="21"/>
  <c r="HK16" i="21"/>
  <c r="HJ16" i="21"/>
  <c r="HI16" i="21"/>
  <c r="HO22" i="21"/>
  <c r="HN22" i="21"/>
  <c r="HL22" i="21"/>
  <c r="HK22" i="21"/>
  <c r="HJ22" i="21"/>
  <c r="HI22" i="21"/>
  <c r="HO26" i="21"/>
  <c r="HN26" i="21"/>
  <c r="HL26" i="21"/>
  <c r="HK26" i="21"/>
  <c r="HJ26" i="21"/>
  <c r="HI26" i="21"/>
  <c r="HO19" i="21"/>
  <c r="HN19" i="21"/>
  <c r="HL19" i="21"/>
  <c r="HK19" i="21"/>
  <c r="HJ19" i="21"/>
  <c r="HI19" i="21"/>
  <c r="HO23" i="21"/>
  <c r="HN23" i="21"/>
  <c r="HL23" i="21"/>
  <c r="HK23" i="21"/>
  <c r="HJ23" i="21"/>
  <c r="HI23" i="21"/>
  <c r="HO28" i="21"/>
  <c r="HN28" i="21"/>
  <c r="HL28" i="21"/>
  <c r="HK28" i="21"/>
  <c r="HJ28" i="21"/>
  <c r="HI28" i="21"/>
  <c r="HO11" i="21"/>
  <c r="HN11" i="21"/>
  <c r="HL11" i="21"/>
  <c r="HK11" i="21"/>
  <c r="HJ11" i="21"/>
  <c r="HI11" i="21"/>
  <c r="HO13" i="21"/>
  <c r="HN13" i="21"/>
  <c r="HL13" i="21"/>
  <c r="HK13" i="21"/>
  <c r="HJ13" i="21"/>
  <c r="HI13" i="21"/>
  <c r="HO14" i="21"/>
  <c r="HN14" i="21"/>
  <c r="HL14" i="21"/>
  <c r="HK14" i="21"/>
  <c r="HJ14" i="21"/>
  <c r="HI14" i="21"/>
  <c r="HO10" i="21"/>
  <c r="HN10" i="21"/>
  <c r="HL10" i="21"/>
  <c r="HK10" i="21"/>
  <c r="HJ10" i="21"/>
  <c r="HI10" i="21"/>
  <c r="HO12" i="21"/>
  <c r="HN12" i="21"/>
  <c r="HL12" i="21"/>
  <c r="HK12" i="21"/>
  <c r="HJ12" i="21"/>
  <c r="HI12" i="21"/>
  <c r="HO29" i="21"/>
  <c r="HN29" i="21"/>
  <c r="HL29" i="21"/>
  <c r="HK29" i="21"/>
  <c r="HJ29" i="21"/>
  <c r="HI29" i="21"/>
  <c r="HO9" i="21"/>
  <c r="HN9" i="21"/>
  <c r="HL9" i="21"/>
  <c r="HK9" i="21"/>
  <c r="HJ9" i="21"/>
  <c r="HI9" i="21"/>
  <c r="HO7" i="21"/>
  <c r="HN7" i="21"/>
  <c r="HL7" i="21"/>
  <c r="HK7" i="21"/>
  <c r="HJ7" i="21"/>
  <c r="HI7" i="21"/>
  <c r="HO8" i="21"/>
  <c r="HN8" i="21"/>
  <c r="HL8" i="21"/>
  <c r="HK8" i="21"/>
  <c r="HJ8" i="21"/>
  <c r="HI8" i="21"/>
  <c r="HO6" i="21"/>
  <c r="HN6" i="21"/>
  <c r="HL6" i="21"/>
  <c r="HK6" i="21"/>
  <c r="HJ6" i="21"/>
  <c r="HI6" i="21"/>
  <c r="HO4" i="21"/>
  <c r="HN4" i="21"/>
  <c r="HL4" i="21"/>
  <c r="HK4" i="21"/>
  <c r="HJ4" i="21"/>
  <c r="HI4" i="21"/>
  <c r="HO5" i="21"/>
  <c r="HN5" i="21"/>
  <c r="HL5" i="21"/>
  <c r="HK5" i="21"/>
  <c r="HJ5" i="21"/>
  <c r="HI5" i="21"/>
  <c r="GM16" i="21"/>
  <c r="GL16" i="21"/>
  <c r="GJ16" i="21"/>
  <c r="GI16" i="21"/>
  <c r="GH16" i="21"/>
  <c r="GG16" i="21"/>
  <c r="GM22" i="21"/>
  <c r="GL22" i="21"/>
  <c r="GJ22" i="21"/>
  <c r="GI22" i="21"/>
  <c r="GH22" i="21"/>
  <c r="GG22" i="21"/>
  <c r="GM26" i="21"/>
  <c r="GL26" i="21"/>
  <c r="GJ26" i="21"/>
  <c r="GI26" i="21"/>
  <c r="GH26" i="21"/>
  <c r="GG26" i="21"/>
  <c r="GM19" i="21"/>
  <c r="GL19" i="21"/>
  <c r="GJ19" i="21"/>
  <c r="GI19" i="21"/>
  <c r="GH19" i="21"/>
  <c r="GG19" i="21"/>
  <c r="GM23" i="21"/>
  <c r="GL23" i="21"/>
  <c r="GJ23" i="21"/>
  <c r="GI23" i="21"/>
  <c r="GH23" i="21"/>
  <c r="GG23" i="21"/>
  <c r="GM28" i="21"/>
  <c r="GL28" i="21"/>
  <c r="GJ28" i="21"/>
  <c r="GI28" i="21"/>
  <c r="GH28" i="21"/>
  <c r="GG28" i="21"/>
  <c r="GM11" i="21"/>
  <c r="GL11" i="21"/>
  <c r="GJ11" i="21"/>
  <c r="GI11" i="21"/>
  <c r="GH11" i="21"/>
  <c r="GG11" i="21"/>
  <c r="GM13" i="21"/>
  <c r="GL13" i="21"/>
  <c r="GJ13" i="21"/>
  <c r="GI13" i="21"/>
  <c r="GH13" i="21"/>
  <c r="GG13" i="21"/>
  <c r="GM14" i="21"/>
  <c r="GL14" i="21"/>
  <c r="GJ14" i="21"/>
  <c r="GI14" i="21"/>
  <c r="GH14" i="21"/>
  <c r="GG14" i="21"/>
  <c r="GM10" i="21"/>
  <c r="GL10" i="21"/>
  <c r="GJ10" i="21"/>
  <c r="GI10" i="21"/>
  <c r="GH10" i="21"/>
  <c r="GG10" i="21"/>
  <c r="GM12" i="21"/>
  <c r="GL12" i="21"/>
  <c r="GJ12" i="21"/>
  <c r="GI12" i="21"/>
  <c r="GH12" i="21"/>
  <c r="GG12" i="21"/>
  <c r="GM29" i="21"/>
  <c r="GL29" i="21"/>
  <c r="GJ29" i="21"/>
  <c r="GI29" i="21"/>
  <c r="GH29" i="21"/>
  <c r="GG29" i="21"/>
  <c r="GM9" i="21"/>
  <c r="GL9" i="21"/>
  <c r="GJ9" i="21"/>
  <c r="GI9" i="21"/>
  <c r="GH9" i="21"/>
  <c r="GG9" i="21"/>
  <c r="GM7" i="21"/>
  <c r="GL7" i="21"/>
  <c r="GJ7" i="21"/>
  <c r="GI7" i="21"/>
  <c r="GH7" i="21"/>
  <c r="GG7" i="21"/>
  <c r="GM8" i="21"/>
  <c r="GL8" i="21"/>
  <c r="GJ8" i="21"/>
  <c r="GI8" i="21"/>
  <c r="GH8" i="21"/>
  <c r="GG8" i="21"/>
  <c r="GM6" i="21"/>
  <c r="GL6" i="21"/>
  <c r="GJ6" i="21"/>
  <c r="GI6" i="21"/>
  <c r="GH6" i="21"/>
  <c r="GG6" i="21"/>
  <c r="GM4" i="21"/>
  <c r="GL4" i="21"/>
  <c r="GJ4" i="21"/>
  <c r="GI4" i="21"/>
  <c r="GH4" i="21"/>
  <c r="GG4" i="21"/>
  <c r="GM5" i="21"/>
  <c r="GL5" i="21"/>
  <c r="GJ5" i="21"/>
  <c r="GI5" i="21"/>
  <c r="GH5" i="21"/>
  <c r="GG5" i="21"/>
  <c r="FK16" i="21"/>
  <c r="FJ16" i="21"/>
  <c r="FH16" i="21"/>
  <c r="FG16" i="21"/>
  <c r="FF16" i="21"/>
  <c r="FE16" i="21"/>
  <c r="FK22" i="21"/>
  <c r="FJ22" i="21"/>
  <c r="FH22" i="21"/>
  <c r="FG22" i="21"/>
  <c r="FF22" i="21"/>
  <c r="FE22" i="21"/>
  <c r="FK26" i="21"/>
  <c r="FJ26" i="21"/>
  <c r="FH26" i="21"/>
  <c r="FG26" i="21"/>
  <c r="FF26" i="21"/>
  <c r="FE26" i="21"/>
  <c r="FK19" i="21"/>
  <c r="FJ19" i="21"/>
  <c r="FH19" i="21"/>
  <c r="FG19" i="21"/>
  <c r="FF19" i="21"/>
  <c r="FE19" i="21"/>
  <c r="FK23" i="21"/>
  <c r="FJ23" i="21"/>
  <c r="FH23" i="21"/>
  <c r="FG23" i="21"/>
  <c r="FF23" i="21"/>
  <c r="FE23" i="21"/>
  <c r="FK28" i="21"/>
  <c r="FJ28" i="21"/>
  <c r="FH28" i="21"/>
  <c r="FG28" i="21"/>
  <c r="FF28" i="21"/>
  <c r="FE28" i="21"/>
  <c r="FK11" i="21"/>
  <c r="FJ11" i="21"/>
  <c r="FH11" i="21"/>
  <c r="FG11" i="21"/>
  <c r="FF11" i="21"/>
  <c r="FE11" i="21"/>
  <c r="FK13" i="21"/>
  <c r="FJ13" i="21"/>
  <c r="FH13" i="21"/>
  <c r="FG13" i="21"/>
  <c r="FF13" i="21"/>
  <c r="FE13" i="21"/>
  <c r="FK14" i="21"/>
  <c r="FJ14" i="21"/>
  <c r="FH14" i="21"/>
  <c r="FG14" i="21"/>
  <c r="FF14" i="21"/>
  <c r="FE14" i="21"/>
  <c r="FK10" i="21"/>
  <c r="FJ10" i="21"/>
  <c r="FH10" i="21"/>
  <c r="FG10" i="21"/>
  <c r="FF10" i="21"/>
  <c r="FE10" i="21"/>
  <c r="FK12" i="21"/>
  <c r="FJ12" i="21"/>
  <c r="FH12" i="21"/>
  <c r="FG12" i="21"/>
  <c r="FF12" i="21"/>
  <c r="FE12" i="21"/>
  <c r="FK29" i="21"/>
  <c r="FJ29" i="21"/>
  <c r="FH29" i="21"/>
  <c r="FG29" i="21"/>
  <c r="FF29" i="21"/>
  <c r="FE29" i="21"/>
  <c r="FK9" i="21"/>
  <c r="FJ9" i="21"/>
  <c r="FH9" i="21"/>
  <c r="FG9" i="21"/>
  <c r="FF9" i="21"/>
  <c r="FE9" i="21"/>
  <c r="FK7" i="21"/>
  <c r="FJ7" i="21"/>
  <c r="FH7" i="21"/>
  <c r="FG7" i="21"/>
  <c r="FF7" i="21"/>
  <c r="FE7" i="21"/>
  <c r="FK8" i="21"/>
  <c r="FJ8" i="21"/>
  <c r="FH8" i="21"/>
  <c r="FG8" i="21"/>
  <c r="FF8" i="21"/>
  <c r="FE8" i="21"/>
  <c r="FK6" i="21"/>
  <c r="FJ6" i="21"/>
  <c r="FH6" i="21"/>
  <c r="FG6" i="21"/>
  <c r="FF6" i="21"/>
  <c r="FE6" i="21"/>
  <c r="FK4" i="21"/>
  <c r="FJ4" i="21"/>
  <c r="FH4" i="21"/>
  <c r="FG4" i="21"/>
  <c r="FF4" i="21"/>
  <c r="FE4" i="21"/>
  <c r="FK5" i="21"/>
  <c r="FJ5" i="21"/>
  <c r="FH5" i="21"/>
  <c r="FG5" i="21"/>
  <c r="FF5" i="21"/>
  <c r="FE5" i="21"/>
  <c r="EI16" i="21"/>
  <c r="EH16" i="21"/>
  <c r="EF16" i="21"/>
  <c r="EE16" i="21"/>
  <c r="ED16" i="21"/>
  <c r="EC16" i="21"/>
  <c r="EI22" i="21"/>
  <c r="EH22" i="21"/>
  <c r="EF22" i="21"/>
  <c r="EE22" i="21"/>
  <c r="ED22" i="21"/>
  <c r="EC22" i="21"/>
  <c r="EI26" i="21"/>
  <c r="EH26" i="21"/>
  <c r="EF26" i="21"/>
  <c r="EE26" i="21"/>
  <c r="ED26" i="21"/>
  <c r="EC26" i="21"/>
  <c r="EI19" i="21"/>
  <c r="EH19" i="21"/>
  <c r="EF19" i="21"/>
  <c r="EE19" i="21"/>
  <c r="ED19" i="21"/>
  <c r="EC19" i="21"/>
  <c r="EI23" i="21"/>
  <c r="EH23" i="21"/>
  <c r="EF23" i="21"/>
  <c r="EE23" i="21"/>
  <c r="ED23" i="21"/>
  <c r="EC23" i="21"/>
  <c r="EI28" i="21"/>
  <c r="EH28" i="21"/>
  <c r="EF28" i="21"/>
  <c r="EE28" i="21"/>
  <c r="ED28" i="21"/>
  <c r="EC28" i="21"/>
  <c r="EI11" i="21"/>
  <c r="EH11" i="21"/>
  <c r="EF11" i="21"/>
  <c r="EE11" i="21"/>
  <c r="ED11" i="21"/>
  <c r="EC11" i="21"/>
  <c r="EI13" i="21"/>
  <c r="EH13" i="21"/>
  <c r="EF13" i="21"/>
  <c r="EE13" i="21"/>
  <c r="ED13" i="21"/>
  <c r="EC13" i="21"/>
  <c r="EI14" i="21"/>
  <c r="EH14" i="21"/>
  <c r="EF14" i="21"/>
  <c r="EE14" i="21"/>
  <c r="ED14" i="21"/>
  <c r="EC14" i="21"/>
  <c r="EI10" i="21"/>
  <c r="EH10" i="21"/>
  <c r="EF10" i="21"/>
  <c r="EE10" i="21"/>
  <c r="ED10" i="21"/>
  <c r="EC10" i="21"/>
  <c r="EI12" i="21"/>
  <c r="EH12" i="21"/>
  <c r="EF12" i="21"/>
  <c r="EE12" i="21"/>
  <c r="ED12" i="21"/>
  <c r="EC12" i="21"/>
  <c r="EI29" i="21"/>
  <c r="EH29" i="21"/>
  <c r="EF29" i="21"/>
  <c r="EE29" i="21"/>
  <c r="ED29" i="21"/>
  <c r="EC29" i="21"/>
  <c r="EI9" i="21"/>
  <c r="EH9" i="21"/>
  <c r="EF9" i="21"/>
  <c r="EE9" i="21"/>
  <c r="ED9" i="21"/>
  <c r="EC9" i="21"/>
  <c r="EI7" i="21"/>
  <c r="EH7" i="21"/>
  <c r="EF7" i="21"/>
  <c r="EE7" i="21"/>
  <c r="ED7" i="21"/>
  <c r="EC7" i="21"/>
  <c r="EI8" i="21"/>
  <c r="EH8" i="21"/>
  <c r="EF8" i="21"/>
  <c r="EE8" i="21"/>
  <c r="ED8" i="21"/>
  <c r="EC8" i="21"/>
  <c r="EI6" i="21"/>
  <c r="EH6" i="21"/>
  <c r="EF6" i="21"/>
  <c r="EE6" i="21"/>
  <c r="ED6" i="21"/>
  <c r="EC6" i="21"/>
  <c r="EI4" i="21"/>
  <c r="EH4" i="21"/>
  <c r="EF4" i="21"/>
  <c r="EE4" i="21"/>
  <c r="ED4" i="21"/>
  <c r="EC4" i="21"/>
  <c r="EI5" i="21"/>
  <c r="EH5" i="21"/>
  <c r="EF5" i="21"/>
  <c r="EE5" i="21"/>
  <c r="ED5" i="21"/>
  <c r="EC5" i="21"/>
  <c r="PC41" i="19"/>
  <c r="PB41" i="19"/>
  <c r="OZ41" i="19"/>
  <c r="OY41" i="19"/>
  <c r="OX41" i="19"/>
  <c r="OW41" i="19"/>
  <c r="PC38" i="19"/>
  <c r="PB38" i="19"/>
  <c r="OZ38" i="19"/>
  <c r="OY38" i="19"/>
  <c r="OX38" i="19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0" i="19"/>
  <c r="PB30" i="19"/>
  <c r="OZ30" i="19"/>
  <c r="OY30" i="19"/>
  <c r="OX30" i="19"/>
  <c r="OW30" i="19"/>
  <c r="PC40" i="19"/>
  <c r="PB40" i="19"/>
  <c r="OZ40" i="19"/>
  <c r="OY40" i="19"/>
  <c r="OX40" i="19"/>
  <c r="OW40" i="19"/>
  <c r="PC32" i="19"/>
  <c r="PB32" i="19"/>
  <c r="OZ32" i="19"/>
  <c r="OY32" i="19"/>
  <c r="OX32" i="19"/>
  <c r="OW32" i="19"/>
  <c r="PC39" i="19"/>
  <c r="PB39" i="19"/>
  <c r="OZ39" i="19"/>
  <c r="OY39" i="19"/>
  <c r="OX39" i="19"/>
  <c r="OW39" i="19"/>
  <c r="PC31" i="19"/>
  <c r="PB31" i="19"/>
  <c r="OZ31" i="19"/>
  <c r="OY31" i="19"/>
  <c r="OX31" i="19"/>
  <c r="OW31" i="19"/>
  <c r="PC33" i="19"/>
  <c r="PB33" i="19"/>
  <c r="OZ33" i="19"/>
  <c r="OY33" i="19"/>
  <c r="OX33" i="19"/>
  <c r="OW33" i="19"/>
  <c r="PC28" i="19"/>
  <c r="PB28" i="19"/>
  <c r="OZ28" i="19"/>
  <c r="OY28" i="19"/>
  <c r="OX28" i="19"/>
  <c r="OW28" i="19"/>
  <c r="PC25" i="19"/>
  <c r="PB25" i="19"/>
  <c r="OZ25" i="19"/>
  <c r="OY25" i="19"/>
  <c r="OX25" i="19"/>
  <c r="OW25" i="19"/>
  <c r="PC24" i="19"/>
  <c r="PB24" i="19"/>
  <c r="OZ24" i="19"/>
  <c r="OY24" i="19"/>
  <c r="OX24" i="19"/>
  <c r="OW24" i="19"/>
  <c r="PC23" i="19"/>
  <c r="PB23" i="19"/>
  <c r="OZ23" i="19"/>
  <c r="OY23" i="19"/>
  <c r="OX23" i="19"/>
  <c r="OW23" i="19"/>
  <c r="PC21" i="19"/>
  <c r="PB21" i="19"/>
  <c r="OZ21" i="19"/>
  <c r="OY21" i="19"/>
  <c r="OX21" i="19"/>
  <c r="OW21" i="19"/>
  <c r="PC27" i="19"/>
  <c r="PB27" i="19"/>
  <c r="OZ27" i="19"/>
  <c r="OY27" i="19"/>
  <c r="OX27" i="19"/>
  <c r="OW27" i="19"/>
  <c r="PC20" i="19"/>
  <c r="PB20" i="19"/>
  <c r="OZ20" i="19"/>
  <c r="OY20" i="19"/>
  <c r="OX20" i="19"/>
  <c r="OW20" i="19"/>
  <c r="PC29" i="19"/>
  <c r="PB29" i="19"/>
  <c r="OZ29" i="19"/>
  <c r="OY29" i="19"/>
  <c r="OX29" i="19"/>
  <c r="OW29" i="19"/>
  <c r="PC17" i="19"/>
  <c r="PB17" i="19"/>
  <c r="OZ17" i="19"/>
  <c r="OY17" i="19"/>
  <c r="OX17" i="19"/>
  <c r="OW17" i="19"/>
  <c r="PC15" i="19"/>
  <c r="PB15" i="19"/>
  <c r="OZ15" i="19"/>
  <c r="OY15" i="19"/>
  <c r="OX15" i="19"/>
  <c r="OW15" i="19"/>
  <c r="PC19" i="19"/>
  <c r="PB19" i="19"/>
  <c r="OZ19" i="19"/>
  <c r="OY19" i="19"/>
  <c r="OX19" i="19"/>
  <c r="OW19" i="19"/>
  <c r="PC18" i="19"/>
  <c r="PB18" i="19"/>
  <c r="OZ18" i="19"/>
  <c r="OY18" i="19"/>
  <c r="OX18" i="19"/>
  <c r="OW18" i="19"/>
  <c r="PC26" i="19"/>
  <c r="PB26" i="19"/>
  <c r="OZ26" i="19"/>
  <c r="OY26" i="19"/>
  <c r="OX26" i="19"/>
  <c r="OW26" i="19"/>
  <c r="PC16" i="19"/>
  <c r="PB16" i="19"/>
  <c r="OZ16" i="19"/>
  <c r="OY16" i="19"/>
  <c r="OX16" i="19"/>
  <c r="OW16" i="19"/>
  <c r="PC14" i="19"/>
  <c r="PB14" i="19"/>
  <c r="OZ14" i="19"/>
  <c r="OY14" i="19"/>
  <c r="OX14" i="19"/>
  <c r="OW14" i="19"/>
  <c r="PC10" i="19"/>
  <c r="PB10" i="19"/>
  <c r="OZ10" i="19"/>
  <c r="OY10" i="19"/>
  <c r="OX10" i="19"/>
  <c r="OW10" i="19"/>
  <c r="PC13" i="19"/>
  <c r="PB13" i="19"/>
  <c r="OZ13" i="19"/>
  <c r="OY13" i="19"/>
  <c r="OX13" i="19"/>
  <c r="OW13" i="19"/>
  <c r="PC9" i="19"/>
  <c r="PB9" i="19"/>
  <c r="OZ9" i="19"/>
  <c r="OY9" i="19"/>
  <c r="OX9" i="19"/>
  <c r="OW9" i="19"/>
  <c r="PC8" i="19"/>
  <c r="PB8" i="19"/>
  <c r="OZ8" i="19"/>
  <c r="OY8" i="19"/>
  <c r="OX8" i="19"/>
  <c r="OW8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7" i="19"/>
  <c r="PB7" i="19"/>
  <c r="OZ7" i="19"/>
  <c r="OY7" i="19"/>
  <c r="OX7" i="19"/>
  <c r="OW7" i="19"/>
  <c r="PC6" i="19"/>
  <c r="PB6" i="19"/>
  <c r="OZ6" i="19"/>
  <c r="OY6" i="19"/>
  <c r="OX6" i="19"/>
  <c r="OW6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41" i="19"/>
  <c r="NZ41" i="19"/>
  <c r="NX41" i="19"/>
  <c r="NW41" i="19"/>
  <c r="NV41" i="19"/>
  <c r="NU41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0" i="19"/>
  <c r="NZ30" i="19"/>
  <c r="NX30" i="19"/>
  <c r="NW30" i="19"/>
  <c r="NV30" i="19"/>
  <c r="NU30" i="19"/>
  <c r="OA40" i="19"/>
  <c r="NZ40" i="19"/>
  <c r="NX40" i="19"/>
  <c r="NW40" i="19"/>
  <c r="NV40" i="19"/>
  <c r="NU40" i="19"/>
  <c r="OA32" i="19"/>
  <c r="NZ32" i="19"/>
  <c r="NX32" i="19"/>
  <c r="NW32" i="19"/>
  <c r="NV32" i="19"/>
  <c r="NU32" i="19"/>
  <c r="OA39" i="19"/>
  <c r="NZ39" i="19"/>
  <c r="NX39" i="19"/>
  <c r="NW39" i="19"/>
  <c r="NV39" i="19"/>
  <c r="NU39" i="19"/>
  <c r="OA31" i="19"/>
  <c r="NZ31" i="19"/>
  <c r="NX31" i="19"/>
  <c r="NW31" i="19"/>
  <c r="NV31" i="19"/>
  <c r="NU31" i="19"/>
  <c r="OA33" i="19"/>
  <c r="NZ33" i="19"/>
  <c r="NX33" i="19"/>
  <c r="NW33" i="19"/>
  <c r="NV33" i="19"/>
  <c r="NU33" i="19"/>
  <c r="OA28" i="19"/>
  <c r="NZ28" i="19"/>
  <c r="NX28" i="19"/>
  <c r="NW28" i="19"/>
  <c r="NV28" i="19"/>
  <c r="NU28" i="19"/>
  <c r="OA25" i="19"/>
  <c r="NZ25" i="19"/>
  <c r="NX25" i="19"/>
  <c r="NW25" i="19"/>
  <c r="NV25" i="19"/>
  <c r="NU25" i="19"/>
  <c r="OA24" i="19"/>
  <c r="NZ24" i="19"/>
  <c r="NX24" i="19"/>
  <c r="NW24" i="19"/>
  <c r="NV24" i="19"/>
  <c r="NU24" i="19"/>
  <c r="OA23" i="19"/>
  <c r="NZ23" i="19"/>
  <c r="NX23" i="19"/>
  <c r="NW23" i="19"/>
  <c r="NV23" i="19"/>
  <c r="NU23" i="19"/>
  <c r="OA21" i="19"/>
  <c r="NZ21" i="19"/>
  <c r="NX21" i="19"/>
  <c r="NW21" i="19"/>
  <c r="NV21" i="19"/>
  <c r="NU21" i="19"/>
  <c r="OA27" i="19"/>
  <c r="NZ27" i="19"/>
  <c r="NX27" i="19"/>
  <c r="NW27" i="19"/>
  <c r="NV27" i="19"/>
  <c r="NU27" i="19"/>
  <c r="OA20" i="19"/>
  <c r="NZ20" i="19"/>
  <c r="NX20" i="19"/>
  <c r="NW20" i="19"/>
  <c r="NV20" i="19"/>
  <c r="NU20" i="19"/>
  <c r="OA29" i="19"/>
  <c r="NZ29" i="19"/>
  <c r="NX29" i="19"/>
  <c r="NW29" i="19"/>
  <c r="NV29" i="19"/>
  <c r="NU29" i="19"/>
  <c r="OA17" i="19"/>
  <c r="NZ17" i="19"/>
  <c r="NX17" i="19"/>
  <c r="NW17" i="19"/>
  <c r="NV17" i="19"/>
  <c r="NU17" i="19"/>
  <c r="OA15" i="19"/>
  <c r="NZ15" i="19"/>
  <c r="NX15" i="19"/>
  <c r="NW15" i="19"/>
  <c r="NV15" i="19"/>
  <c r="NU15" i="19"/>
  <c r="OA19" i="19"/>
  <c r="NZ19" i="19"/>
  <c r="NX19" i="19"/>
  <c r="NW19" i="19"/>
  <c r="NV19" i="19"/>
  <c r="NU19" i="19"/>
  <c r="OA18" i="19"/>
  <c r="NZ18" i="19"/>
  <c r="NX18" i="19"/>
  <c r="NW18" i="19"/>
  <c r="NV18" i="19"/>
  <c r="NU18" i="19"/>
  <c r="OA26" i="19"/>
  <c r="NZ26" i="19"/>
  <c r="NX26" i="19"/>
  <c r="NW26" i="19"/>
  <c r="NV26" i="19"/>
  <c r="NU26" i="19"/>
  <c r="OA16" i="19"/>
  <c r="NZ16" i="19"/>
  <c r="NX16" i="19"/>
  <c r="NW16" i="19"/>
  <c r="NV16" i="19"/>
  <c r="NU16" i="19"/>
  <c r="OA14" i="19"/>
  <c r="NZ14" i="19"/>
  <c r="NX14" i="19"/>
  <c r="NW14" i="19"/>
  <c r="NV14" i="19"/>
  <c r="NU14" i="19"/>
  <c r="OA10" i="19"/>
  <c r="NZ10" i="19"/>
  <c r="NX10" i="19"/>
  <c r="NW10" i="19"/>
  <c r="NV10" i="19"/>
  <c r="NU10" i="19"/>
  <c r="OA13" i="19"/>
  <c r="NZ13" i="19"/>
  <c r="NX13" i="19"/>
  <c r="NW13" i="19"/>
  <c r="NV13" i="19"/>
  <c r="NU13" i="19"/>
  <c r="OA9" i="19"/>
  <c r="NZ9" i="19"/>
  <c r="NX9" i="19"/>
  <c r="NW9" i="19"/>
  <c r="NV9" i="19"/>
  <c r="NU9" i="19"/>
  <c r="OA8" i="19"/>
  <c r="NZ8" i="19"/>
  <c r="NX8" i="19"/>
  <c r="NW8" i="19"/>
  <c r="NV8" i="19"/>
  <c r="NU8" i="19"/>
  <c r="OA12" i="19"/>
  <c r="NZ12" i="19"/>
  <c r="NX12" i="19"/>
  <c r="NW12" i="19"/>
  <c r="NV12" i="19"/>
  <c r="NU12" i="19"/>
  <c r="OA11" i="19"/>
  <c r="NZ11" i="19"/>
  <c r="NX11" i="19"/>
  <c r="NW11" i="19"/>
  <c r="NV11" i="19"/>
  <c r="NU11" i="19"/>
  <c r="OA7" i="19"/>
  <c r="NZ7" i="19"/>
  <c r="NX7" i="19"/>
  <c r="NW7" i="19"/>
  <c r="NV7" i="19"/>
  <c r="NU7" i="19"/>
  <c r="OA6" i="19"/>
  <c r="NZ6" i="19"/>
  <c r="NX6" i="19"/>
  <c r="NW6" i="19"/>
  <c r="NV6" i="19"/>
  <c r="NU6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41" i="19"/>
  <c r="MX41" i="19"/>
  <c r="MV41" i="19"/>
  <c r="MU41" i="19"/>
  <c r="MT41" i="19"/>
  <c r="MS41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0" i="19"/>
  <c r="MX30" i="19"/>
  <c r="MV30" i="19"/>
  <c r="MU30" i="19"/>
  <c r="MT30" i="19"/>
  <c r="MS30" i="19"/>
  <c r="MY40" i="19"/>
  <c r="MX40" i="19"/>
  <c r="MV40" i="19"/>
  <c r="MU40" i="19"/>
  <c r="MT40" i="19"/>
  <c r="MS40" i="19"/>
  <c r="MY32" i="19"/>
  <c r="MX32" i="19"/>
  <c r="MV32" i="19"/>
  <c r="MU32" i="19"/>
  <c r="MT32" i="19"/>
  <c r="MS32" i="19"/>
  <c r="MY39" i="19"/>
  <c r="MX39" i="19"/>
  <c r="MV39" i="19"/>
  <c r="MU39" i="19"/>
  <c r="MT39" i="19"/>
  <c r="MS39" i="19"/>
  <c r="MY31" i="19"/>
  <c r="MX31" i="19"/>
  <c r="MV31" i="19"/>
  <c r="MU31" i="19"/>
  <c r="MT31" i="19"/>
  <c r="MS31" i="19"/>
  <c r="MY33" i="19"/>
  <c r="MX33" i="19"/>
  <c r="MV33" i="19"/>
  <c r="MU33" i="19"/>
  <c r="MT33" i="19"/>
  <c r="MS33" i="19"/>
  <c r="MY28" i="19"/>
  <c r="MX28" i="19"/>
  <c r="MV28" i="19"/>
  <c r="MU28" i="19"/>
  <c r="MT28" i="19"/>
  <c r="MS28" i="19"/>
  <c r="MY25" i="19"/>
  <c r="MX25" i="19"/>
  <c r="MV25" i="19"/>
  <c r="MU25" i="19"/>
  <c r="MT25" i="19"/>
  <c r="MS25" i="19"/>
  <c r="MY24" i="19"/>
  <c r="MX24" i="19"/>
  <c r="MV24" i="19"/>
  <c r="MU24" i="19"/>
  <c r="MT24" i="19"/>
  <c r="MS24" i="19"/>
  <c r="MY23" i="19"/>
  <c r="MX23" i="19"/>
  <c r="MV23" i="19"/>
  <c r="MU23" i="19"/>
  <c r="MT23" i="19"/>
  <c r="MS23" i="19"/>
  <c r="MY21" i="19"/>
  <c r="MX21" i="19"/>
  <c r="MV21" i="19"/>
  <c r="MU21" i="19"/>
  <c r="MT21" i="19"/>
  <c r="MS21" i="19"/>
  <c r="MY27" i="19"/>
  <c r="MX27" i="19"/>
  <c r="MV27" i="19"/>
  <c r="MU27" i="19"/>
  <c r="MT27" i="19"/>
  <c r="MS27" i="19"/>
  <c r="MY20" i="19"/>
  <c r="MX20" i="19"/>
  <c r="MV20" i="19"/>
  <c r="MU20" i="19"/>
  <c r="MT20" i="19"/>
  <c r="MS20" i="19"/>
  <c r="MY29" i="19"/>
  <c r="MX29" i="19"/>
  <c r="MV29" i="19"/>
  <c r="MU29" i="19"/>
  <c r="MT29" i="19"/>
  <c r="MS29" i="19"/>
  <c r="MY17" i="19"/>
  <c r="MX17" i="19"/>
  <c r="MV17" i="19"/>
  <c r="MU17" i="19"/>
  <c r="MT17" i="19"/>
  <c r="MS17" i="19"/>
  <c r="MY15" i="19"/>
  <c r="MX15" i="19"/>
  <c r="MV15" i="19"/>
  <c r="MU15" i="19"/>
  <c r="MT15" i="19"/>
  <c r="MS15" i="19"/>
  <c r="MY19" i="19"/>
  <c r="MX19" i="19"/>
  <c r="MV19" i="19"/>
  <c r="MU19" i="19"/>
  <c r="MT19" i="19"/>
  <c r="MS19" i="19"/>
  <c r="MY18" i="19"/>
  <c r="MX18" i="19"/>
  <c r="MV18" i="19"/>
  <c r="MU18" i="19"/>
  <c r="MT18" i="19"/>
  <c r="MS18" i="19"/>
  <c r="MY26" i="19"/>
  <c r="MX26" i="19"/>
  <c r="MV26" i="19"/>
  <c r="MU26" i="19"/>
  <c r="MT26" i="19"/>
  <c r="MS26" i="19"/>
  <c r="MY16" i="19"/>
  <c r="MX16" i="19"/>
  <c r="MV16" i="19"/>
  <c r="MU16" i="19"/>
  <c r="MT16" i="19"/>
  <c r="MS16" i="19"/>
  <c r="MY14" i="19"/>
  <c r="MX14" i="19"/>
  <c r="MV14" i="19"/>
  <c r="MU14" i="19"/>
  <c r="MT14" i="19"/>
  <c r="MS14" i="19"/>
  <c r="MY10" i="19"/>
  <c r="MX10" i="19"/>
  <c r="MV10" i="19"/>
  <c r="MU10" i="19"/>
  <c r="MT10" i="19"/>
  <c r="MS10" i="19"/>
  <c r="MY13" i="19"/>
  <c r="MX13" i="19"/>
  <c r="MV13" i="19"/>
  <c r="MU13" i="19"/>
  <c r="MT13" i="19"/>
  <c r="MS13" i="19"/>
  <c r="MY9" i="19"/>
  <c r="MX9" i="19"/>
  <c r="MV9" i="19"/>
  <c r="MU9" i="19"/>
  <c r="MT9" i="19"/>
  <c r="MS9" i="19"/>
  <c r="MY8" i="19"/>
  <c r="MX8" i="19"/>
  <c r="MV8" i="19"/>
  <c r="MU8" i="19"/>
  <c r="MT8" i="19"/>
  <c r="MS8" i="19"/>
  <c r="MY12" i="19"/>
  <c r="MX12" i="19"/>
  <c r="MV12" i="19"/>
  <c r="MU12" i="19"/>
  <c r="MT12" i="19"/>
  <c r="MS12" i="19"/>
  <c r="MY11" i="19"/>
  <c r="MX11" i="19"/>
  <c r="MV11" i="19"/>
  <c r="MU11" i="19"/>
  <c r="MT11" i="19"/>
  <c r="MS11" i="19"/>
  <c r="MY7" i="19"/>
  <c r="MX7" i="19"/>
  <c r="MV7" i="19"/>
  <c r="MU7" i="19"/>
  <c r="MT7" i="19"/>
  <c r="MS7" i="19"/>
  <c r="MY6" i="19"/>
  <c r="MX6" i="19"/>
  <c r="MV6" i="19"/>
  <c r="MU6" i="19"/>
  <c r="MT6" i="19"/>
  <c r="MS6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41" i="19"/>
  <c r="LV41" i="19"/>
  <c r="LT41" i="19"/>
  <c r="LS41" i="19"/>
  <c r="LR41" i="19"/>
  <c r="LQ41" i="19"/>
  <c r="LW38" i="19"/>
  <c r="LV38" i="19"/>
  <c r="LT38" i="19"/>
  <c r="LS38" i="19"/>
  <c r="LR38" i="19"/>
  <c r="LQ38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0" i="19"/>
  <c r="LV30" i="19"/>
  <c r="LT30" i="19"/>
  <c r="LS30" i="19"/>
  <c r="LR30" i="19"/>
  <c r="LQ30" i="19"/>
  <c r="LW40" i="19"/>
  <c r="LV40" i="19"/>
  <c r="LT40" i="19"/>
  <c r="LS40" i="19"/>
  <c r="LR40" i="19"/>
  <c r="LQ40" i="19"/>
  <c r="LW32" i="19"/>
  <c r="LV32" i="19"/>
  <c r="LT32" i="19"/>
  <c r="LS32" i="19"/>
  <c r="LR32" i="19"/>
  <c r="LQ32" i="19"/>
  <c r="LW39" i="19"/>
  <c r="LV39" i="19"/>
  <c r="LT39" i="19"/>
  <c r="LS39" i="19"/>
  <c r="LR39" i="19"/>
  <c r="LQ39" i="19"/>
  <c r="LW31" i="19"/>
  <c r="LV31" i="19"/>
  <c r="LT31" i="19"/>
  <c r="LS31" i="19"/>
  <c r="LR31" i="19"/>
  <c r="LQ31" i="19"/>
  <c r="LW33" i="19"/>
  <c r="LV33" i="19"/>
  <c r="LT33" i="19"/>
  <c r="LS33" i="19"/>
  <c r="LR33" i="19"/>
  <c r="LQ33" i="19"/>
  <c r="LW28" i="19"/>
  <c r="LV28" i="19"/>
  <c r="LT28" i="19"/>
  <c r="LS28" i="19"/>
  <c r="LR28" i="19"/>
  <c r="LQ28" i="19"/>
  <c r="LW25" i="19"/>
  <c r="LV25" i="19"/>
  <c r="LT25" i="19"/>
  <c r="LS25" i="19"/>
  <c r="LR25" i="19"/>
  <c r="LQ25" i="19"/>
  <c r="LW24" i="19"/>
  <c r="LV24" i="19"/>
  <c r="LT24" i="19"/>
  <c r="LS24" i="19"/>
  <c r="LR24" i="19"/>
  <c r="LQ24" i="19"/>
  <c r="LW23" i="19"/>
  <c r="LV23" i="19"/>
  <c r="LT23" i="19"/>
  <c r="LS23" i="19"/>
  <c r="LR23" i="19"/>
  <c r="LQ23" i="19"/>
  <c r="LW21" i="19"/>
  <c r="LV21" i="19"/>
  <c r="LT21" i="19"/>
  <c r="LS21" i="19"/>
  <c r="LR21" i="19"/>
  <c r="LQ21" i="19"/>
  <c r="LW27" i="19"/>
  <c r="LV27" i="19"/>
  <c r="LT27" i="19"/>
  <c r="LS27" i="19"/>
  <c r="LR27" i="19"/>
  <c r="LQ27" i="19"/>
  <c r="LW20" i="19"/>
  <c r="LV20" i="19"/>
  <c r="LT20" i="19"/>
  <c r="LS20" i="19"/>
  <c r="LR20" i="19"/>
  <c r="LQ20" i="19"/>
  <c r="LW29" i="19"/>
  <c r="LV29" i="19"/>
  <c r="LT29" i="19"/>
  <c r="LS29" i="19"/>
  <c r="LR29" i="19"/>
  <c r="LQ29" i="19"/>
  <c r="LW17" i="19"/>
  <c r="LV17" i="19"/>
  <c r="LT17" i="19"/>
  <c r="LS17" i="19"/>
  <c r="LR17" i="19"/>
  <c r="LQ17" i="19"/>
  <c r="LW15" i="19"/>
  <c r="LV15" i="19"/>
  <c r="LT15" i="19"/>
  <c r="LS15" i="19"/>
  <c r="LR15" i="19"/>
  <c r="LQ15" i="19"/>
  <c r="LW19" i="19"/>
  <c r="LV19" i="19"/>
  <c r="LT19" i="19"/>
  <c r="LS19" i="19"/>
  <c r="LR19" i="19"/>
  <c r="LQ19" i="19"/>
  <c r="LW18" i="19"/>
  <c r="LV18" i="19"/>
  <c r="LT18" i="19"/>
  <c r="LS18" i="19"/>
  <c r="LR18" i="19"/>
  <c r="LQ18" i="19"/>
  <c r="LW26" i="19"/>
  <c r="LV26" i="19"/>
  <c r="LT26" i="19"/>
  <c r="LS26" i="19"/>
  <c r="LR26" i="19"/>
  <c r="LQ26" i="19"/>
  <c r="LW16" i="19"/>
  <c r="LV16" i="19"/>
  <c r="LT16" i="19"/>
  <c r="LS16" i="19"/>
  <c r="LR16" i="19"/>
  <c r="LQ16" i="19"/>
  <c r="LW14" i="19"/>
  <c r="LV14" i="19"/>
  <c r="LT14" i="19"/>
  <c r="LS14" i="19"/>
  <c r="LR14" i="19"/>
  <c r="LQ14" i="19"/>
  <c r="LW10" i="19"/>
  <c r="LV10" i="19"/>
  <c r="LT10" i="19"/>
  <c r="LS10" i="19"/>
  <c r="LR10" i="19"/>
  <c r="LQ10" i="19"/>
  <c r="LW13" i="19"/>
  <c r="LV13" i="19"/>
  <c r="LT13" i="19"/>
  <c r="LS13" i="19"/>
  <c r="LR13" i="19"/>
  <c r="LQ13" i="19"/>
  <c r="LW9" i="19"/>
  <c r="LV9" i="19"/>
  <c r="LT9" i="19"/>
  <c r="LS9" i="19"/>
  <c r="LR9" i="19"/>
  <c r="LQ9" i="19"/>
  <c r="LW8" i="19"/>
  <c r="LV8" i="19"/>
  <c r="LT8" i="19"/>
  <c r="LS8" i="19"/>
  <c r="LR8" i="19"/>
  <c r="LQ8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7" i="19"/>
  <c r="LV7" i="19"/>
  <c r="LT7" i="19"/>
  <c r="LS7" i="19"/>
  <c r="LR7" i="19"/>
  <c r="LQ7" i="19"/>
  <c r="LW6" i="19"/>
  <c r="LV6" i="19"/>
  <c r="LT6" i="19"/>
  <c r="LS6" i="19"/>
  <c r="LR6" i="19"/>
  <c r="LQ6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41" i="19"/>
  <c r="KT41" i="19"/>
  <c r="KR41" i="19"/>
  <c r="KQ41" i="19"/>
  <c r="KP41" i="19"/>
  <c r="KO41" i="19"/>
  <c r="KU38" i="19"/>
  <c r="KT38" i="19"/>
  <c r="KR38" i="19"/>
  <c r="KQ38" i="19"/>
  <c r="KP38" i="19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0" i="19"/>
  <c r="KT30" i="19"/>
  <c r="KR30" i="19"/>
  <c r="KQ30" i="19"/>
  <c r="KP30" i="19"/>
  <c r="KO30" i="19"/>
  <c r="KU40" i="19"/>
  <c r="KT40" i="19"/>
  <c r="KR40" i="19"/>
  <c r="KQ40" i="19"/>
  <c r="KP40" i="19"/>
  <c r="KO40" i="19"/>
  <c r="KU32" i="19"/>
  <c r="KT32" i="19"/>
  <c r="KR32" i="19"/>
  <c r="KQ32" i="19"/>
  <c r="KP32" i="19"/>
  <c r="KO32" i="19"/>
  <c r="KU39" i="19"/>
  <c r="KT39" i="19"/>
  <c r="KR39" i="19"/>
  <c r="KQ39" i="19"/>
  <c r="KP39" i="19"/>
  <c r="KO39" i="19"/>
  <c r="KU31" i="19"/>
  <c r="KT31" i="19"/>
  <c r="KR31" i="19"/>
  <c r="KQ31" i="19"/>
  <c r="KP31" i="19"/>
  <c r="KO31" i="19"/>
  <c r="KU33" i="19"/>
  <c r="KT33" i="19"/>
  <c r="KR33" i="19"/>
  <c r="KQ33" i="19"/>
  <c r="KP33" i="19"/>
  <c r="KO33" i="19"/>
  <c r="KU28" i="19"/>
  <c r="KT28" i="19"/>
  <c r="KR28" i="19"/>
  <c r="KQ28" i="19"/>
  <c r="KP28" i="19"/>
  <c r="KO28" i="19"/>
  <c r="KU25" i="19"/>
  <c r="KT25" i="19"/>
  <c r="KR25" i="19"/>
  <c r="KQ25" i="19"/>
  <c r="KP25" i="19"/>
  <c r="KO25" i="19"/>
  <c r="KU24" i="19"/>
  <c r="KT24" i="19"/>
  <c r="KR24" i="19"/>
  <c r="KQ24" i="19"/>
  <c r="KP24" i="19"/>
  <c r="KO24" i="19"/>
  <c r="KU23" i="19"/>
  <c r="KT23" i="19"/>
  <c r="KR23" i="19"/>
  <c r="KQ23" i="19"/>
  <c r="KP23" i="19"/>
  <c r="KO23" i="19"/>
  <c r="KU21" i="19"/>
  <c r="KT21" i="19"/>
  <c r="KR21" i="19"/>
  <c r="KQ21" i="19"/>
  <c r="KP21" i="19"/>
  <c r="KO21" i="19"/>
  <c r="KU27" i="19"/>
  <c r="KT27" i="19"/>
  <c r="KR27" i="19"/>
  <c r="KQ27" i="19"/>
  <c r="KP27" i="19"/>
  <c r="KO27" i="19"/>
  <c r="KU20" i="19"/>
  <c r="KT20" i="19"/>
  <c r="KR20" i="19"/>
  <c r="KQ20" i="19"/>
  <c r="KP20" i="19"/>
  <c r="KO20" i="19"/>
  <c r="KU29" i="19"/>
  <c r="KT29" i="19"/>
  <c r="KR29" i="19"/>
  <c r="KQ29" i="19"/>
  <c r="KP29" i="19"/>
  <c r="KO29" i="19"/>
  <c r="KU17" i="19"/>
  <c r="KT17" i="19"/>
  <c r="KR17" i="19"/>
  <c r="KQ17" i="19"/>
  <c r="KP17" i="19"/>
  <c r="KO17" i="19"/>
  <c r="KU15" i="19"/>
  <c r="KT15" i="19"/>
  <c r="KR15" i="19"/>
  <c r="KQ15" i="19"/>
  <c r="KP15" i="19"/>
  <c r="KO15" i="19"/>
  <c r="KU19" i="19"/>
  <c r="KT19" i="19"/>
  <c r="KR19" i="19"/>
  <c r="KQ19" i="19"/>
  <c r="KP19" i="19"/>
  <c r="KO19" i="19"/>
  <c r="KU18" i="19"/>
  <c r="KT18" i="19"/>
  <c r="KR18" i="19"/>
  <c r="KQ18" i="19"/>
  <c r="KP18" i="19"/>
  <c r="KO18" i="19"/>
  <c r="KU26" i="19"/>
  <c r="KT26" i="19"/>
  <c r="KR26" i="19"/>
  <c r="KQ26" i="19"/>
  <c r="KP26" i="19"/>
  <c r="KO26" i="19"/>
  <c r="KU16" i="19"/>
  <c r="KT16" i="19"/>
  <c r="KR16" i="19"/>
  <c r="KQ16" i="19"/>
  <c r="KP16" i="19"/>
  <c r="KO16" i="19"/>
  <c r="KU14" i="19"/>
  <c r="KT14" i="19"/>
  <c r="KR14" i="19"/>
  <c r="KQ14" i="19"/>
  <c r="KP14" i="19"/>
  <c r="KO14" i="19"/>
  <c r="KU10" i="19"/>
  <c r="KT10" i="19"/>
  <c r="KR10" i="19"/>
  <c r="KQ10" i="19"/>
  <c r="KP10" i="19"/>
  <c r="KO10" i="19"/>
  <c r="KU13" i="19"/>
  <c r="KT13" i="19"/>
  <c r="KR13" i="19"/>
  <c r="KQ13" i="19"/>
  <c r="KP13" i="19"/>
  <c r="KO13" i="19"/>
  <c r="KU9" i="19"/>
  <c r="KT9" i="19"/>
  <c r="KR9" i="19"/>
  <c r="KQ9" i="19"/>
  <c r="KP9" i="19"/>
  <c r="KO9" i="19"/>
  <c r="KU8" i="19"/>
  <c r="KT8" i="19"/>
  <c r="KR8" i="19"/>
  <c r="KQ8" i="19"/>
  <c r="KP8" i="19"/>
  <c r="KO8" i="19"/>
  <c r="KU12" i="19"/>
  <c r="KT12" i="19"/>
  <c r="KR12" i="19"/>
  <c r="KQ12" i="19"/>
  <c r="KP12" i="19"/>
  <c r="KO12" i="19"/>
  <c r="KU11" i="19"/>
  <c r="KT11" i="19"/>
  <c r="KR11" i="19"/>
  <c r="KQ11" i="19"/>
  <c r="KP11" i="19"/>
  <c r="KO11" i="19"/>
  <c r="KU7" i="19"/>
  <c r="KT7" i="19"/>
  <c r="KR7" i="19"/>
  <c r="KQ7" i="19"/>
  <c r="KP7" i="19"/>
  <c r="KO7" i="19"/>
  <c r="KU6" i="19"/>
  <c r="KT6" i="19"/>
  <c r="KR6" i="19"/>
  <c r="KQ6" i="19"/>
  <c r="KP6" i="19"/>
  <c r="KO6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41" i="19"/>
  <c r="JR41" i="19"/>
  <c r="JP41" i="19"/>
  <c r="JO41" i="19"/>
  <c r="JN41" i="19"/>
  <c r="JM41" i="19"/>
  <c r="JS38" i="19"/>
  <c r="JR38" i="19"/>
  <c r="JP38" i="19"/>
  <c r="JO38" i="19"/>
  <c r="JN38" i="19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0" i="19"/>
  <c r="JR30" i="19"/>
  <c r="JP30" i="19"/>
  <c r="JO30" i="19"/>
  <c r="JN30" i="19"/>
  <c r="JM30" i="19"/>
  <c r="JS40" i="19"/>
  <c r="JR40" i="19"/>
  <c r="JP40" i="19"/>
  <c r="JO40" i="19"/>
  <c r="JN40" i="19"/>
  <c r="JM40" i="19"/>
  <c r="JS32" i="19"/>
  <c r="JR32" i="19"/>
  <c r="JP32" i="19"/>
  <c r="JO32" i="19"/>
  <c r="JN32" i="19"/>
  <c r="JM32" i="19"/>
  <c r="JS39" i="19"/>
  <c r="JR39" i="19"/>
  <c r="JP39" i="19"/>
  <c r="JO39" i="19"/>
  <c r="JN39" i="19"/>
  <c r="JM39" i="19"/>
  <c r="JS31" i="19"/>
  <c r="JR31" i="19"/>
  <c r="JP31" i="19"/>
  <c r="JO31" i="19"/>
  <c r="JN31" i="19"/>
  <c r="JM31" i="19"/>
  <c r="JS33" i="19"/>
  <c r="JR33" i="19"/>
  <c r="JP33" i="19"/>
  <c r="JO33" i="19"/>
  <c r="JN33" i="19"/>
  <c r="JM33" i="19"/>
  <c r="JS28" i="19"/>
  <c r="JR28" i="19"/>
  <c r="JP28" i="19"/>
  <c r="JO28" i="19"/>
  <c r="JN28" i="19"/>
  <c r="JM28" i="19"/>
  <c r="JS25" i="19"/>
  <c r="JR25" i="19"/>
  <c r="JP25" i="19"/>
  <c r="JO25" i="19"/>
  <c r="JN25" i="19"/>
  <c r="JM25" i="19"/>
  <c r="JS24" i="19"/>
  <c r="JR24" i="19"/>
  <c r="JP24" i="19"/>
  <c r="JO24" i="19"/>
  <c r="JN24" i="19"/>
  <c r="JM24" i="19"/>
  <c r="JS23" i="19"/>
  <c r="JR23" i="19"/>
  <c r="JP23" i="19"/>
  <c r="JO23" i="19"/>
  <c r="JN23" i="19"/>
  <c r="JM23" i="19"/>
  <c r="JS21" i="19"/>
  <c r="JR21" i="19"/>
  <c r="JP21" i="19"/>
  <c r="JO21" i="19"/>
  <c r="JN21" i="19"/>
  <c r="JM21" i="19"/>
  <c r="JS27" i="19"/>
  <c r="JR27" i="19"/>
  <c r="JP27" i="19"/>
  <c r="JO27" i="19"/>
  <c r="JN27" i="19"/>
  <c r="JM27" i="19"/>
  <c r="JS20" i="19"/>
  <c r="JR20" i="19"/>
  <c r="JP20" i="19"/>
  <c r="JO20" i="19"/>
  <c r="JN20" i="19"/>
  <c r="JM20" i="19"/>
  <c r="JS29" i="19"/>
  <c r="JR29" i="19"/>
  <c r="JP29" i="19"/>
  <c r="JO29" i="19"/>
  <c r="JN29" i="19"/>
  <c r="JM29" i="19"/>
  <c r="JS17" i="19"/>
  <c r="JR17" i="19"/>
  <c r="JP17" i="19"/>
  <c r="JO17" i="19"/>
  <c r="JN17" i="19"/>
  <c r="JM17" i="19"/>
  <c r="JS15" i="19"/>
  <c r="JR15" i="19"/>
  <c r="JP15" i="19"/>
  <c r="JO15" i="19"/>
  <c r="JN15" i="19"/>
  <c r="JM15" i="19"/>
  <c r="JS19" i="19"/>
  <c r="JR19" i="19"/>
  <c r="JP19" i="19"/>
  <c r="JO19" i="19"/>
  <c r="JN19" i="19"/>
  <c r="JM19" i="19"/>
  <c r="JS18" i="19"/>
  <c r="JR18" i="19"/>
  <c r="JP18" i="19"/>
  <c r="JO18" i="19"/>
  <c r="JN18" i="19"/>
  <c r="JM18" i="19"/>
  <c r="JS26" i="19"/>
  <c r="JR26" i="19"/>
  <c r="JP26" i="19"/>
  <c r="JO26" i="19"/>
  <c r="JN26" i="19"/>
  <c r="JM26" i="19"/>
  <c r="JS16" i="19"/>
  <c r="JR16" i="19"/>
  <c r="JP16" i="19"/>
  <c r="JO16" i="19"/>
  <c r="JN16" i="19"/>
  <c r="JM16" i="19"/>
  <c r="JS14" i="19"/>
  <c r="JR14" i="19"/>
  <c r="JP14" i="19"/>
  <c r="JO14" i="19"/>
  <c r="JN14" i="19"/>
  <c r="JM14" i="19"/>
  <c r="JS10" i="19"/>
  <c r="JR10" i="19"/>
  <c r="JP10" i="19"/>
  <c r="JO10" i="19"/>
  <c r="JN10" i="19"/>
  <c r="JM10" i="19"/>
  <c r="JS13" i="19"/>
  <c r="JR13" i="19"/>
  <c r="JP13" i="19"/>
  <c r="JO13" i="19"/>
  <c r="JN13" i="19"/>
  <c r="JM13" i="19"/>
  <c r="JS9" i="19"/>
  <c r="JR9" i="19"/>
  <c r="JP9" i="19"/>
  <c r="JO9" i="19"/>
  <c r="JN9" i="19"/>
  <c r="JM9" i="19"/>
  <c r="JS8" i="19"/>
  <c r="JR8" i="19"/>
  <c r="JP8" i="19"/>
  <c r="JO8" i="19"/>
  <c r="JN8" i="19"/>
  <c r="JM8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7" i="19"/>
  <c r="JR7" i="19"/>
  <c r="JP7" i="19"/>
  <c r="JO7" i="19"/>
  <c r="JN7" i="19"/>
  <c r="JM7" i="19"/>
  <c r="JS6" i="19"/>
  <c r="JR6" i="19"/>
  <c r="JP6" i="19"/>
  <c r="JO6" i="19"/>
  <c r="JN6" i="19"/>
  <c r="JM6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41" i="19"/>
  <c r="IP41" i="19"/>
  <c r="IN41" i="19"/>
  <c r="IM41" i="19"/>
  <c r="IL41" i="19"/>
  <c r="IK41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0" i="19"/>
  <c r="IP30" i="19"/>
  <c r="IN30" i="19"/>
  <c r="IM30" i="19"/>
  <c r="IL30" i="19"/>
  <c r="IK30" i="19"/>
  <c r="IQ40" i="19"/>
  <c r="IP40" i="19"/>
  <c r="IN40" i="19"/>
  <c r="IM40" i="19"/>
  <c r="IL40" i="19"/>
  <c r="IK40" i="19"/>
  <c r="IQ32" i="19"/>
  <c r="IP32" i="19"/>
  <c r="IN32" i="19"/>
  <c r="IM32" i="19"/>
  <c r="IL32" i="19"/>
  <c r="IK32" i="19"/>
  <c r="IQ39" i="19"/>
  <c r="IP39" i="19"/>
  <c r="IN39" i="19"/>
  <c r="IM39" i="19"/>
  <c r="IL39" i="19"/>
  <c r="IK39" i="19"/>
  <c r="IQ31" i="19"/>
  <c r="IP31" i="19"/>
  <c r="IN31" i="19"/>
  <c r="IM31" i="19"/>
  <c r="IL31" i="19"/>
  <c r="IK31" i="19"/>
  <c r="IQ33" i="19"/>
  <c r="IP33" i="19"/>
  <c r="IN33" i="19"/>
  <c r="IM33" i="19"/>
  <c r="IL33" i="19"/>
  <c r="IK33" i="19"/>
  <c r="IQ28" i="19"/>
  <c r="IP28" i="19"/>
  <c r="IN28" i="19"/>
  <c r="IM28" i="19"/>
  <c r="IL28" i="19"/>
  <c r="IK28" i="19"/>
  <c r="IQ25" i="19"/>
  <c r="IP25" i="19"/>
  <c r="IN25" i="19"/>
  <c r="IM25" i="19"/>
  <c r="IL25" i="19"/>
  <c r="IK25" i="19"/>
  <c r="IQ24" i="19"/>
  <c r="IP24" i="19"/>
  <c r="IN24" i="19"/>
  <c r="IM24" i="19"/>
  <c r="IL24" i="19"/>
  <c r="IK24" i="19"/>
  <c r="IQ23" i="19"/>
  <c r="IP23" i="19"/>
  <c r="IN23" i="19"/>
  <c r="IM23" i="19"/>
  <c r="IL23" i="19"/>
  <c r="IK23" i="19"/>
  <c r="IQ21" i="19"/>
  <c r="IP21" i="19"/>
  <c r="IN21" i="19"/>
  <c r="IM21" i="19"/>
  <c r="IL21" i="19"/>
  <c r="IK21" i="19"/>
  <c r="IQ27" i="19"/>
  <c r="IP27" i="19"/>
  <c r="IN27" i="19"/>
  <c r="IM27" i="19"/>
  <c r="IL27" i="19"/>
  <c r="IK27" i="19"/>
  <c r="IQ20" i="19"/>
  <c r="IP20" i="19"/>
  <c r="IN20" i="19"/>
  <c r="IM20" i="19"/>
  <c r="IL20" i="19"/>
  <c r="IK20" i="19"/>
  <c r="IQ29" i="19"/>
  <c r="IP29" i="19"/>
  <c r="IN29" i="19"/>
  <c r="IM29" i="19"/>
  <c r="IL29" i="19"/>
  <c r="IK29" i="19"/>
  <c r="IQ17" i="19"/>
  <c r="IP17" i="19"/>
  <c r="IN17" i="19"/>
  <c r="IM17" i="19"/>
  <c r="IL17" i="19"/>
  <c r="IK17" i="19"/>
  <c r="IQ15" i="19"/>
  <c r="IP15" i="19"/>
  <c r="IN15" i="19"/>
  <c r="IM15" i="19"/>
  <c r="IL15" i="19"/>
  <c r="IK15" i="19"/>
  <c r="IQ19" i="19"/>
  <c r="IP19" i="19"/>
  <c r="IN19" i="19"/>
  <c r="IM19" i="19"/>
  <c r="IL19" i="19"/>
  <c r="IK19" i="19"/>
  <c r="IQ18" i="19"/>
  <c r="IP18" i="19"/>
  <c r="IN18" i="19"/>
  <c r="IM18" i="19"/>
  <c r="IL18" i="19"/>
  <c r="IK18" i="19"/>
  <c r="IQ26" i="19"/>
  <c r="IP26" i="19"/>
  <c r="IN26" i="19"/>
  <c r="IM26" i="19"/>
  <c r="IL26" i="19"/>
  <c r="IK26" i="19"/>
  <c r="IQ16" i="19"/>
  <c r="IP16" i="19"/>
  <c r="IN16" i="19"/>
  <c r="IM16" i="19"/>
  <c r="IL16" i="19"/>
  <c r="IK16" i="19"/>
  <c r="IQ14" i="19"/>
  <c r="IP14" i="19"/>
  <c r="IN14" i="19"/>
  <c r="IM14" i="19"/>
  <c r="IL14" i="19"/>
  <c r="IK14" i="19"/>
  <c r="IQ10" i="19"/>
  <c r="IP10" i="19"/>
  <c r="IN10" i="19"/>
  <c r="IM10" i="19"/>
  <c r="IL10" i="19"/>
  <c r="IK10" i="19"/>
  <c r="IQ13" i="19"/>
  <c r="IP13" i="19"/>
  <c r="IN13" i="19"/>
  <c r="IM13" i="19"/>
  <c r="IL13" i="19"/>
  <c r="IK13" i="19"/>
  <c r="IQ9" i="19"/>
  <c r="IP9" i="19"/>
  <c r="IN9" i="19"/>
  <c r="IM9" i="19"/>
  <c r="IL9" i="19"/>
  <c r="IK9" i="19"/>
  <c r="IQ8" i="19"/>
  <c r="IP8" i="19"/>
  <c r="IN8" i="19"/>
  <c r="IM8" i="19"/>
  <c r="IL8" i="19"/>
  <c r="IK8" i="19"/>
  <c r="IQ12" i="19"/>
  <c r="IP12" i="19"/>
  <c r="IN12" i="19"/>
  <c r="IM12" i="19"/>
  <c r="IL12" i="19"/>
  <c r="IK12" i="19"/>
  <c r="IQ11" i="19"/>
  <c r="IP11" i="19"/>
  <c r="IN11" i="19"/>
  <c r="IM11" i="19"/>
  <c r="IL11" i="19"/>
  <c r="IK11" i="19"/>
  <c r="IQ7" i="19"/>
  <c r="IP7" i="19"/>
  <c r="IN7" i="19"/>
  <c r="IM7" i="19"/>
  <c r="IL7" i="19"/>
  <c r="IK7" i="19"/>
  <c r="IQ6" i="19"/>
  <c r="IP6" i="19"/>
  <c r="IN6" i="19"/>
  <c r="IM6" i="19"/>
  <c r="IL6" i="19"/>
  <c r="IK6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41" i="19"/>
  <c r="HN41" i="19"/>
  <c r="HL41" i="19"/>
  <c r="HK41" i="19"/>
  <c r="HJ41" i="19"/>
  <c r="HI41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0" i="19"/>
  <c r="HN30" i="19"/>
  <c r="HL30" i="19"/>
  <c r="HK30" i="19"/>
  <c r="HJ30" i="19"/>
  <c r="HI30" i="19"/>
  <c r="HO40" i="19"/>
  <c r="HN40" i="19"/>
  <c r="HL40" i="19"/>
  <c r="HK40" i="19"/>
  <c r="HJ40" i="19"/>
  <c r="HI40" i="19"/>
  <c r="HO32" i="19"/>
  <c r="HN32" i="19"/>
  <c r="HL32" i="19"/>
  <c r="HK32" i="19"/>
  <c r="HJ32" i="19"/>
  <c r="HI32" i="19"/>
  <c r="HO39" i="19"/>
  <c r="HN39" i="19"/>
  <c r="HL39" i="19"/>
  <c r="HK39" i="19"/>
  <c r="HJ39" i="19"/>
  <c r="HI39" i="19"/>
  <c r="HO31" i="19"/>
  <c r="HN31" i="19"/>
  <c r="HL31" i="19"/>
  <c r="HK31" i="19"/>
  <c r="HJ31" i="19"/>
  <c r="HI31" i="19"/>
  <c r="HO33" i="19"/>
  <c r="HN33" i="19"/>
  <c r="HL33" i="19"/>
  <c r="HK33" i="19"/>
  <c r="HJ33" i="19"/>
  <c r="HI33" i="19"/>
  <c r="HO28" i="19"/>
  <c r="HN28" i="19"/>
  <c r="HL28" i="19"/>
  <c r="HK28" i="19"/>
  <c r="HJ28" i="19"/>
  <c r="HI28" i="19"/>
  <c r="HO25" i="19"/>
  <c r="HN25" i="19"/>
  <c r="HL25" i="19"/>
  <c r="HK25" i="19"/>
  <c r="HJ25" i="19"/>
  <c r="HI25" i="19"/>
  <c r="HO24" i="19"/>
  <c r="HN24" i="19"/>
  <c r="HL24" i="19"/>
  <c r="HK24" i="19"/>
  <c r="HJ24" i="19"/>
  <c r="HI24" i="19"/>
  <c r="HO23" i="19"/>
  <c r="HN23" i="19"/>
  <c r="HL23" i="19"/>
  <c r="HK23" i="19"/>
  <c r="HJ23" i="19"/>
  <c r="HI23" i="19"/>
  <c r="HO21" i="19"/>
  <c r="HN21" i="19"/>
  <c r="HL21" i="19"/>
  <c r="HK21" i="19"/>
  <c r="HJ21" i="19"/>
  <c r="HI21" i="19"/>
  <c r="HO27" i="19"/>
  <c r="HN27" i="19"/>
  <c r="HL27" i="19"/>
  <c r="HK27" i="19"/>
  <c r="HJ27" i="19"/>
  <c r="HI27" i="19"/>
  <c r="HO20" i="19"/>
  <c r="HN20" i="19"/>
  <c r="HL20" i="19"/>
  <c r="HK20" i="19"/>
  <c r="HJ20" i="19"/>
  <c r="HI20" i="19"/>
  <c r="HO29" i="19"/>
  <c r="HN29" i="19"/>
  <c r="HL29" i="19"/>
  <c r="HK29" i="19"/>
  <c r="HJ29" i="19"/>
  <c r="HI29" i="19"/>
  <c r="HO17" i="19"/>
  <c r="HN17" i="19"/>
  <c r="HL17" i="19"/>
  <c r="HK17" i="19"/>
  <c r="HJ17" i="19"/>
  <c r="HI17" i="19"/>
  <c r="HO15" i="19"/>
  <c r="HN15" i="19"/>
  <c r="HL15" i="19"/>
  <c r="HK15" i="19"/>
  <c r="HJ15" i="19"/>
  <c r="HI15" i="19"/>
  <c r="HO19" i="19"/>
  <c r="HN19" i="19"/>
  <c r="HL19" i="19"/>
  <c r="HK19" i="19"/>
  <c r="HJ19" i="19"/>
  <c r="HI19" i="19"/>
  <c r="HO18" i="19"/>
  <c r="HN18" i="19"/>
  <c r="HL18" i="19"/>
  <c r="HK18" i="19"/>
  <c r="HJ18" i="19"/>
  <c r="HI18" i="19"/>
  <c r="HO26" i="19"/>
  <c r="HN26" i="19"/>
  <c r="HL26" i="19"/>
  <c r="HK26" i="19"/>
  <c r="HJ26" i="19"/>
  <c r="HI26" i="19"/>
  <c r="HO16" i="19"/>
  <c r="HN16" i="19"/>
  <c r="HL16" i="19"/>
  <c r="HK16" i="19"/>
  <c r="HJ16" i="19"/>
  <c r="HI16" i="19"/>
  <c r="HO14" i="19"/>
  <c r="HN14" i="19"/>
  <c r="HL14" i="19"/>
  <c r="HK14" i="19"/>
  <c r="HJ14" i="19"/>
  <c r="HI14" i="19"/>
  <c r="HO10" i="19"/>
  <c r="HN10" i="19"/>
  <c r="HL10" i="19"/>
  <c r="HK10" i="19"/>
  <c r="HJ10" i="19"/>
  <c r="HI10" i="19"/>
  <c r="HO13" i="19"/>
  <c r="HN13" i="19"/>
  <c r="HL13" i="19"/>
  <c r="HK13" i="19"/>
  <c r="HJ13" i="19"/>
  <c r="HI13" i="19"/>
  <c r="HO9" i="19"/>
  <c r="HN9" i="19"/>
  <c r="HL9" i="19"/>
  <c r="HK9" i="19"/>
  <c r="HJ9" i="19"/>
  <c r="HI9" i="19"/>
  <c r="HO8" i="19"/>
  <c r="HN8" i="19"/>
  <c r="HL8" i="19"/>
  <c r="HK8" i="19"/>
  <c r="HJ8" i="19"/>
  <c r="HI8" i="19"/>
  <c r="HO12" i="19"/>
  <c r="HN12" i="19"/>
  <c r="HL12" i="19"/>
  <c r="HK12" i="19"/>
  <c r="HJ12" i="19"/>
  <c r="HI12" i="19"/>
  <c r="HO11" i="19"/>
  <c r="HN11" i="19"/>
  <c r="HL11" i="19"/>
  <c r="HK11" i="19"/>
  <c r="HJ11" i="19"/>
  <c r="HI11" i="19"/>
  <c r="HO7" i="19"/>
  <c r="HN7" i="19"/>
  <c r="HL7" i="19"/>
  <c r="HK7" i="19"/>
  <c r="HJ7" i="19"/>
  <c r="HI7" i="19"/>
  <c r="HO6" i="19"/>
  <c r="HN6" i="19"/>
  <c r="HL6" i="19"/>
  <c r="HK6" i="19"/>
  <c r="HJ6" i="19"/>
  <c r="HI6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41" i="19"/>
  <c r="GL41" i="19"/>
  <c r="GJ41" i="19"/>
  <c r="GI41" i="19"/>
  <c r="GH41" i="19"/>
  <c r="GG41" i="19"/>
  <c r="GM38" i="19"/>
  <c r="GL38" i="19"/>
  <c r="GJ38" i="19"/>
  <c r="GI38" i="19"/>
  <c r="GH38" i="19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0" i="19"/>
  <c r="GL30" i="19"/>
  <c r="GJ30" i="19"/>
  <c r="GI30" i="19"/>
  <c r="GH30" i="19"/>
  <c r="GG30" i="19"/>
  <c r="GM40" i="19"/>
  <c r="GL40" i="19"/>
  <c r="GJ40" i="19"/>
  <c r="GI40" i="19"/>
  <c r="GH40" i="19"/>
  <c r="GG40" i="19"/>
  <c r="GM32" i="19"/>
  <c r="GL32" i="19"/>
  <c r="GJ32" i="19"/>
  <c r="GI32" i="19"/>
  <c r="GH32" i="19"/>
  <c r="GG32" i="19"/>
  <c r="GM39" i="19"/>
  <c r="GL39" i="19"/>
  <c r="GJ39" i="19"/>
  <c r="GI39" i="19"/>
  <c r="GH39" i="19"/>
  <c r="GG39" i="19"/>
  <c r="GM31" i="19"/>
  <c r="GL31" i="19"/>
  <c r="GJ31" i="19"/>
  <c r="GI31" i="19"/>
  <c r="GH31" i="19"/>
  <c r="GG31" i="19"/>
  <c r="GM33" i="19"/>
  <c r="GL33" i="19"/>
  <c r="GJ33" i="19"/>
  <c r="GI33" i="19"/>
  <c r="GH33" i="19"/>
  <c r="GG33" i="19"/>
  <c r="GM28" i="19"/>
  <c r="GL28" i="19"/>
  <c r="GJ28" i="19"/>
  <c r="GI28" i="19"/>
  <c r="GH28" i="19"/>
  <c r="GG28" i="19"/>
  <c r="GM25" i="19"/>
  <c r="GL25" i="19"/>
  <c r="GJ25" i="19"/>
  <c r="GI25" i="19"/>
  <c r="GH25" i="19"/>
  <c r="GG25" i="19"/>
  <c r="GM24" i="19"/>
  <c r="GL24" i="19"/>
  <c r="GJ24" i="19"/>
  <c r="GI24" i="19"/>
  <c r="GH24" i="19"/>
  <c r="GG24" i="19"/>
  <c r="GM23" i="19"/>
  <c r="GL23" i="19"/>
  <c r="GJ23" i="19"/>
  <c r="GI23" i="19"/>
  <c r="GH23" i="19"/>
  <c r="GG23" i="19"/>
  <c r="GM21" i="19"/>
  <c r="GL21" i="19"/>
  <c r="GJ21" i="19"/>
  <c r="GI21" i="19"/>
  <c r="GH21" i="19"/>
  <c r="GG21" i="19"/>
  <c r="GM27" i="19"/>
  <c r="GL27" i="19"/>
  <c r="GJ27" i="19"/>
  <c r="GI27" i="19"/>
  <c r="GH27" i="19"/>
  <c r="GG27" i="19"/>
  <c r="GM20" i="19"/>
  <c r="GL20" i="19"/>
  <c r="GJ20" i="19"/>
  <c r="GI20" i="19"/>
  <c r="GH20" i="19"/>
  <c r="GG20" i="19"/>
  <c r="GM29" i="19"/>
  <c r="GL29" i="19"/>
  <c r="GJ29" i="19"/>
  <c r="GI29" i="19"/>
  <c r="GH29" i="19"/>
  <c r="GG29" i="19"/>
  <c r="GM17" i="19"/>
  <c r="GL17" i="19"/>
  <c r="GJ17" i="19"/>
  <c r="GI17" i="19"/>
  <c r="GH17" i="19"/>
  <c r="GG17" i="19"/>
  <c r="GM15" i="19"/>
  <c r="GL15" i="19"/>
  <c r="GJ15" i="19"/>
  <c r="GI15" i="19"/>
  <c r="GH15" i="19"/>
  <c r="GG15" i="19"/>
  <c r="GM19" i="19"/>
  <c r="GL19" i="19"/>
  <c r="GJ19" i="19"/>
  <c r="GI19" i="19"/>
  <c r="GH19" i="19"/>
  <c r="GG19" i="19"/>
  <c r="GM18" i="19"/>
  <c r="GL18" i="19"/>
  <c r="GJ18" i="19"/>
  <c r="GI18" i="19"/>
  <c r="GH18" i="19"/>
  <c r="GG18" i="19"/>
  <c r="GM26" i="19"/>
  <c r="GL26" i="19"/>
  <c r="GJ26" i="19"/>
  <c r="GI26" i="19"/>
  <c r="GH26" i="19"/>
  <c r="GG26" i="19"/>
  <c r="GM16" i="19"/>
  <c r="GL16" i="19"/>
  <c r="GJ16" i="19"/>
  <c r="GI16" i="19"/>
  <c r="GH16" i="19"/>
  <c r="GG16" i="19"/>
  <c r="GM14" i="19"/>
  <c r="GL14" i="19"/>
  <c r="GJ14" i="19"/>
  <c r="GI14" i="19"/>
  <c r="GH14" i="19"/>
  <c r="GG14" i="19"/>
  <c r="GM10" i="19"/>
  <c r="GL10" i="19"/>
  <c r="GJ10" i="19"/>
  <c r="GI10" i="19"/>
  <c r="GH10" i="19"/>
  <c r="GG10" i="19"/>
  <c r="GM13" i="19"/>
  <c r="GL13" i="19"/>
  <c r="GJ13" i="19"/>
  <c r="GI13" i="19"/>
  <c r="GH13" i="19"/>
  <c r="GG13" i="19"/>
  <c r="GM9" i="19"/>
  <c r="GL9" i="19"/>
  <c r="GJ9" i="19"/>
  <c r="GI9" i="19"/>
  <c r="GH9" i="19"/>
  <c r="GG9" i="19"/>
  <c r="GM8" i="19"/>
  <c r="GL8" i="19"/>
  <c r="GJ8" i="19"/>
  <c r="GI8" i="19"/>
  <c r="GH8" i="19"/>
  <c r="GG8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7" i="19"/>
  <c r="GL7" i="19"/>
  <c r="GJ7" i="19"/>
  <c r="GI7" i="19"/>
  <c r="GH7" i="19"/>
  <c r="GG7" i="19"/>
  <c r="GM6" i="19"/>
  <c r="GL6" i="19"/>
  <c r="GJ6" i="19"/>
  <c r="GI6" i="19"/>
  <c r="GH6" i="19"/>
  <c r="GG6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41" i="19"/>
  <c r="FJ41" i="19"/>
  <c r="FH41" i="19"/>
  <c r="FG41" i="19"/>
  <c r="FF41" i="19"/>
  <c r="FE41" i="19"/>
  <c r="FK38" i="19"/>
  <c r="FJ38" i="19"/>
  <c r="FH38" i="19"/>
  <c r="FG38" i="19"/>
  <c r="FF38" i="19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0" i="19"/>
  <c r="FJ30" i="19"/>
  <c r="FH30" i="19"/>
  <c r="FG30" i="19"/>
  <c r="FF30" i="19"/>
  <c r="FE30" i="19"/>
  <c r="FK40" i="19"/>
  <c r="FJ40" i="19"/>
  <c r="FH40" i="19"/>
  <c r="FG40" i="19"/>
  <c r="FF40" i="19"/>
  <c r="FE40" i="19"/>
  <c r="FK32" i="19"/>
  <c r="FJ32" i="19"/>
  <c r="FH32" i="19"/>
  <c r="FG32" i="19"/>
  <c r="FF32" i="19"/>
  <c r="FE32" i="19"/>
  <c r="FK39" i="19"/>
  <c r="FJ39" i="19"/>
  <c r="FH39" i="19"/>
  <c r="FG39" i="19"/>
  <c r="FF39" i="19"/>
  <c r="FE39" i="19"/>
  <c r="FK31" i="19"/>
  <c r="FJ31" i="19"/>
  <c r="FH31" i="19"/>
  <c r="FG31" i="19"/>
  <c r="FF31" i="19"/>
  <c r="FE31" i="19"/>
  <c r="FK33" i="19"/>
  <c r="FJ33" i="19"/>
  <c r="FH33" i="19"/>
  <c r="FG33" i="19"/>
  <c r="FF33" i="19"/>
  <c r="FE33" i="19"/>
  <c r="FK28" i="19"/>
  <c r="FJ28" i="19"/>
  <c r="FH28" i="19"/>
  <c r="FG28" i="19"/>
  <c r="FF28" i="19"/>
  <c r="FE28" i="19"/>
  <c r="FK25" i="19"/>
  <c r="FJ25" i="19"/>
  <c r="FH25" i="19"/>
  <c r="FG25" i="19"/>
  <c r="FF25" i="19"/>
  <c r="FE25" i="19"/>
  <c r="FK24" i="19"/>
  <c r="FJ24" i="19"/>
  <c r="FH24" i="19"/>
  <c r="FG24" i="19"/>
  <c r="FF24" i="19"/>
  <c r="FE24" i="19"/>
  <c r="FK23" i="19"/>
  <c r="FJ23" i="19"/>
  <c r="FH23" i="19"/>
  <c r="FG23" i="19"/>
  <c r="FF23" i="19"/>
  <c r="FE23" i="19"/>
  <c r="FK21" i="19"/>
  <c r="FJ21" i="19"/>
  <c r="FH21" i="19"/>
  <c r="FG21" i="19"/>
  <c r="FF21" i="19"/>
  <c r="FE21" i="19"/>
  <c r="FK27" i="19"/>
  <c r="FJ27" i="19"/>
  <c r="FH27" i="19"/>
  <c r="FG27" i="19"/>
  <c r="FF27" i="19"/>
  <c r="FE27" i="19"/>
  <c r="FK20" i="19"/>
  <c r="FJ20" i="19"/>
  <c r="FH20" i="19"/>
  <c r="FG20" i="19"/>
  <c r="FF20" i="19"/>
  <c r="FE20" i="19"/>
  <c r="FK29" i="19"/>
  <c r="FJ29" i="19"/>
  <c r="FH29" i="19"/>
  <c r="FG29" i="19"/>
  <c r="FF29" i="19"/>
  <c r="FE29" i="19"/>
  <c r="FK17" i="19"/>
  <c r="FJ17" i="19"/>
  <c r="FH17" i="19"/>
  <c r="FG17" i="19"/>
  <c r="FF17" i="19"/>
  <c r="FE17" i="19"/>
  <c r="FK15" i="19"/>
  <c r="FJ15" i="19"/>
  <c r="FH15" i="19"/>
  <c r="FG15" i="19"/>
  <c r="FF15" i="19"/>
  <c r="FE15" i="19"/>
  <c r="FK19" i="19"/>
  <c r="FJ19" i="19"/>
  <c r="FH19" i="19"/>
  <c r="FG19" i="19"/>
  <c r="FF19" i="19"/>
  <c r="FE19" i="19"/>
  <c r="FK18" i="19"/>
  <c r="FJ18" i="19"/>
  <c r="FH18" i="19"/>
  <c r="FG18" i="19"/>
  <c r="FF18" i="19"/>
  <c r="FE18" i="19"/>
  <c r="FK26" i="19"/>
  <c r="FJ26" i="19"/>
  <c r="FH26" i="19"/>
  <c r="FG26" i="19"/>
  <c r="FF26" i="19"/>
  <c r="FE26" i="19"/>
  <c r="FK16" i="19"/>
  <c r="FJ16" i="19"/>
  <c r="FH16" i="19"/>
  <c r="FG16" i="19"/>
  <c r="FF16" i="19"/>
  <c r="FE16" i="19"/>
  <c r="FK14" i="19"/>
  <c r="FJ14" i="19"/>
  <c r="FH14" i="19"/>
  <c r="FG14" i="19"/>
  <c r="FF14" i="19"/>
  <c r="FE14" i="19"/>
  <c r="FK10" i="19"/>
  <c r="FJ10" i="19"/>
  <c r="FH10" i="19"/>
  <c r="FG10" i="19"/>
  <c r="FF10" i="19"/>
  <c r="FE10" i="19"/>
  <c r="FK13" i="19"/>
  <c r="FJ13" i="19"/>
  <c r="FH13" i="19"/>
  <c r="FG13" i="19"/>
  <c r="FF13" i="19"/>
  <c r="FE13" i="19"/>
  <c r="FK9" i="19"/>
  <c r="FJ9" i="19"/>
  <c r="FH9" i="19"/>
  <c r="FG9" i="19"/>
  <c r="FF9" i="19"/>
  <c r="FE9" i="19"/>
  <c r="FK8" i="19"/>
  <c r="FJ8" i="19"/>
  <c r="FH8" i="19"/>
  <c r="FG8" i="19"/>
  <c r="FF8" i="19"/>
  <c r="FE8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7" i="19"/>
  <c r="FJ7" i="19"/>
  <c r="FH7" i="19"/>
  <c r="FG7" i="19"/>
  <c r="FF7" i="19"/>
  <c r="FE7" i="19"/>
  <c r="FK6" i="19"/>
  <c r="FJ6" i="19"/>
  <c r="FH6" i="19"/>
  <c r="FG6" i="19"/>
  <c r="FF6" i="19"/>
  <c r="FE6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41" i="19"/>
  <c r="EH41" i="19"/>
  <c r="EF41" i="19"/>
  <c r="EE41" i="19"/>
  <c r="ED41" i="19"/>
  <c r="EC41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0" i="19"/>
  <c r="EH30" i="19"/>
  <c r="EF30" i="19"/>
  <c r="EE30" i="19"/>
  <c r="ED30" i="19"/>
  <c r="EC30" i="19"/>
  <c r="EI40" i="19"/>
  <c r="EH40" i="19"/>
  <c r="EF40" i="19"/>
  <c r="EE40" i="19"/>
  <c r="ED40" i="19"/>
  <c r="EC40" i="19"/>
  <c r="EI32" i="19"/>
  <c r="EH32" i="19"/>
  <c r="EF32" i="19"/>
  <c r="EE32" i="19"/>
  <c r="ED32" i="19"/>
  <c r="EC32" i="19"/>
  <c r="EI39" i="19"/>
  <c r="EH39" i="19"/>
  <c r="EF39" i="19"/>
  <c r="EE39" i="19"/>
  <c r="ED39" i="19"/>
  <c r="EC39" i="19"/>
  <c r="EI31" i="19"/>
  <c r="EH31" i="19"/>
  <c r="EF31" i="19"/>
  <c r="EE31" i="19"/>
  <c r="ED31" i="19"/>
  <c r="EC31" i="19"/>
  <c r="EI33" i="19"/>
  <c r="EH33" i="19"/>
  <c r="EF33" i="19"/>
  <c r="EE33" i="19"/>
  <c r="ED33" i="19"/>
  <c r="EC33" i="19"/>
  <c r="EI28" i="19"/>
  <c r="EH28" i="19"/>
  <c r="EF28" i="19"/>
  <c r="EE28" i="19"/>
  <c r="ED28" i="19"/>
  <c r="EC28" i="19"/>
  <c r="EI25" i="19"/>
  <c r="EH25" i="19"/>
  <c r="EF25" i="19"/>
  <c r="EE25" i="19"/>
  <c r="ED25" i="19"/>
  <c r="EC25" i="19"/>
  <c r="EI24" i="19"/>
  <c r="EH24" i="19"/>
  <c r="EF24" i="19"/>
  <c r="EE24" i="19"/>
  <c r="ED24" i="19"/>
  <c r="EC24" i="19"/>
  <c r="EI23" i="19"/>
  <c r="EH23" i="19"/>
  <c r="EF23" i="19"/>
  <c r="EE23" i="19"/>
  <c r="ED23" i="19"/>
  <c r="EC23" i="19"/>
  <c r="EI21" i="19"/>
  <c r="EH21" i="19"/>
  <c r="EF21" i="19"/>
  <c r="EE21" i="19"/>
  <c r="ED21" i="19"/>
  <c r="EC21" i="19"/>
  <c r="EI27" i="19"/>
  <c r="EH27" i="19"/>
  <c r="EF27" i="19"/>
  <c r="EE27" i="19"/>
  <c r="ED27" i="19"/>
  <c r="EC27" i="19"/>
  <c r="EI20" i="19"/>
  <c r="EH20" i="19"/>
  <c r="EF20" i="19"/>
  <c r="EE20" i="19"/>
  <c r="ED20" i="19"/>
  <c r="EC20" i="19"/>
  <c r="EI29" i="19"/>
  <c r="EH29" i="19"/>
  <c r="EF29" i="19"/>
  <c r="EE29" i="19"/>
  <c r="ED29" i="19"/>
  <c r="EC29" i="19"/>
  <c r="EI17" i="19"/>
  <c r="EH17" i="19"/>
  <c r="EF17" i="19"/>
  <c r="EE17" i="19"/>
  <c r="ED17" i="19"/>
  <c r="EC17" i="19"/>
  <c r="EI15" i="19"/>
  <c r="EH15" i="19"/>
  <c r="EF15" i="19"/>
  <c r="EE15" i="19"/>
  <c r="ED15" i="19"/>
  <c r="EC15" i="19"/>
  <c r="EI19" i="19"/>
  <c r="EH19" i="19"/>
  <c r="EF19" i="19"/>
  <c r="EE19" i="19"/>
  <c r="ED19" i="19"/>
  <c r="EC19" i="19"/>
  <c r="EI18" i="19"/>
  <c r="EH18" i="19"/>
  <c r="EF18" i="19"/>
  <c r="EE18" i="19"/>
  <c r="ED18" i="19"/>
  <c r="EC18" i="19"/>
  <c r="EI26" i="19"/>
  <c r="EH26" i="19"/>
  <c r="EF26" i="19"/>
  <c r="EE26" i="19"/>
  <c r="ED26" i="19"/>
  <c r="EC26" i="19"/>
  <c r="EI16" i="19"/>
  <c r="EH16" i="19"/>
  <c r="EF16" i="19"/>
  <c r="EE16" i="19"/>
  <c r="ED16" i="19"/>
  <c r="EC16" i="19"/>
  <c r="EI14" i="19"/>
  <c r="EH14" i="19"/>
  <c r="EF14" i="19"/>
  <c r="EE14" i="19"/>
  <c r="ED14" i="19"/>
  <c r="EC14" i="19"/>
  <c r="EI10" i="19"/>
  <c r="EH10" i="19"/>
  <c r="EF10" i="19"/>
  <c r="EE10" i="19"/>
  <c r="ED10" i="19"/>
  <c r="EC10" i="19"/>
  <c r="EI13" i="19"/>
  <c r="EH13" i="19"/>
  <c r="EF13" i="19"/>
  <c r="EE13" i="19"/>
  <c r="ED13" i="19"/>
  <c r="EC13" i="19"/>
  <c r="EI9" i="19"/>
  <c r="EH9" i="19"/>
  <c r="EF9" i="19"/>
  <c r="EE9" i="19"/>
  <c r="ED9" i="19"/>
  <c r="EC9" i="19"/>
  <c r="EI8" i="19"/>
  <c r="EH8" i="19"/>
  <c r="EF8" i="19"/>
  <c r="EE8" i="19"/>
  <c r="ED8" i="19"/>
  <c r="EC8" i="19"/>
  <c r="EI12" i="19"/>
  <c r="EH12" i="19"/>
  <c r="EF12" i="19"/>
  <c r="EE12" i="19"/>
  <c r="ED12" i="19"/>
  <c r="EC12" i="19"/>
  <c r="EI11" i="19"/>
  <c r="EH11" i="19"/>
  <c r="EF11" i="19"/>
  <c r="EE11" i="19"/>
  <c r="ED11" i="19"/>
  <c r="EC11" i="19"/>
  <c r="EI7" i="19"/>
  <c r="EH7" i="19"/>
  <c r="EF7" i="19"/>
  <c r="EE7" i="19"/>
  <c r="ED7" i="19"/>
  <c r="EC7" i="19"/>
  <c r="EI6" i="19"/>
  <c r="EH6" i="19"/>
  <c r="EF6" i="19"/>
  <c r="EE6" i="19"/>
  <c r="ED6" i="19"/>
  <c r="EC6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PC16" i="27"/>
  <c r="PB16" i="27"/>
  <c r="OZ16" i="27"/>
  <c r="OY16" i="27"/>
  <c r="OX16" i="27"/>
  <c r="OW16" i="27"/>
  <c r="PC17" i="27"/>
  <c r="PB17" i="27"/>
  <c r="OZ17" i="27"/>
  <c r="OY17" i="27"/>
  <c r="OX17" i="27"/>
  <c r="OW17" i="27"/>
  <c r="PC13" i="27"/>
  <c r="PB13" i="27"/>
  <c r="OZ13" i="27"/>
  <c r="OY13" i="27"/>
  <c r="OX13" i="27"/>
  <c r="OW13" i="27"/>
  <c r="PC19" i="27"/>
  <c r="PB19" i="27"/>
  <c r="OZ19" i="27"/>
  <c r="OY19" i="27"/>
  <c r="OX19" i="27"/>
  <c r="OW19" i="27"/>
  <c r="PC15" i="27"/>
  <c r="PB15" i="27"/>
  <c r="OZ15" i="27"/>
  <c r="OY15" i="27"/>
  <c r="OX15" i="27"/>
  <c r="OW15" i="27"/>
  <c r="PC12" i="27"/>
  <c r="PB12" i="27"/>
  <c r="OZ12" i="27"/>
  <c r="OY12" i="27"/>
  <c r="OX12" i="27"/>
  <c r="OW12" i="27"/>
  <c r="PC20" i="27"/>
  <c r="PB20" i="27"/>
  <c r="OZ20" i="27"/>
  <c r="OY20" i="27"/>
  <c r="OX20" i="27"/>
  <c r="OW20" i="27"/>
  <c r="PC10" i="27"/>
  <c r="PB10" i="27"/>
  <c r="OZ10" i="27"/>
  <c r="OY10" i="27"/>
  <c r="OX10" i="27"/>
  <c r="OW10" i="27"/>
  <c r="PC8" i="27"/>
  <c r="PB8" i="27"/>
  <c r="OZ8" i="27"/>
  <c r="OY8" i="27"/>
  <c r="OX8" i="27"/>
  <c r="OW8" i="27"/>
  <c r="PC11" i="27"/>
  <c r="PB11" i="27"/>
  <c r="OZ11" i="27"/>
  <c r="OY11" i="27"/>
  <c r="OX11" i="27"/>
  <c r="OW11" i="27"/>
  <c r="PC9" i="27"/>
  <c r="PB9" i="27"/>
  <c r="OZ9" i="27"/>
  <c r="OY9" i="27"/>
  <c r="OX9" i="27"/>
  <c r="OW9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6" i="27"/>
  <c r="NZ16" i="27"/>
  <c r="NX16" i="27"/>
  <c r="NW16" i="27"/>
  <c r="NV16" i="27"/>
  <c r="NU16" i="27"/>
  <c r="OA17" i="27"/>
  <c r="NZ17" i="27"/>
  <c r="NX17" i="27"/>
  <c r="NW17" i="27"/>
  <c r="NV17" i="27"/>
  <c r="NU17" i="27"/>
  <c r="OA13" i="27"/>
  <c r="NZ13" i="27"/>
  <c r="NX13" i="27"/>
  <c r="NW13" i="27"/>
  <c r="NV13" i="27"/>
  <c r="NU13" i="27"/>
  <c r="OA19" i="27"/>
  <c r="NZ19" i="27"/>
  <c r="NX19" i="27"/>
  <c r="NW19" i="27"/>
  <c r="NV19" i="27"/>
  <c r="NU19" i="27"/>
  <c r="OA15" i="27"/>
  <c r="NZ15" i="27"/>
  <c r="NX15" i="27"/>
  <c r="NW15" i="27"/>
  <c r="NV15" i="27"/>
  <c r="NU15" i="27"/>
  <c r="OA12" i="27"/>
  <c r="NZ12" i="27"/>
  <c r="NX12" i="27"/>
  <c r="NW12" i="27"/>
  <c r="NV12" i="27"/>
  <c r="NU12" i="27"/>
  <c r="OA20" i="27"/>
  <c r="NZ20" i="27"/>
  <c r="NX20" i="27"/>
  <c r="NW20" i="27"/>
  <c r="NV20" i="27"/>
  <c r="NU20" i="27"/>
  <c r="OA10" i="27"/>
  <c r="NZ10" i="27"/>
  <c r="NX10" i="27"/>
  <c r="NW10" i="27"/>
  <c r="NV10" i="27"/>
  <c r="NU10" i="27"/>
  <c r="OA8" i="27"/>
  <c r="NZ8" i="27"/>
  <c r="NX8" i="27"/>
  <c r="NW8" i="27"/>
  <c r="NV8" i="27"/>
  <c r="NU8" i="27"/>
  <c r="OA11" i="27"/>
  <c r="NZ11" i="27"/>
  <c r="NX11" i="27"/>
  <c r="NW11" i="27"/>
  <c r="NV11" i="27"/>
  <c r="NU11" i="27"/>
  <c r="OA9" i="27"/>
  <c r="NZ9" i="27"/>
  <c r="NX9" i="27"/>
  <c r="NW9" i="27"/>
  <c r="NV9" i="27"/>
  <c r="NU9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6" i="27"/>
  <c r="MX16" i="27"/>
  <c r="MV16" i="27"/>
  <c r="MU16" i="27"/>
  <c r="MT16" i="27"/>
  <c r="MS16" i="27"/>
  <c r="MY17" i="27"/>
  <c r="MX17" i="27"/>
  <c r="MV17" i="27"/>
  <c r="MU17" i="27"/>
  <c r="MT17" i="27"/>
  <c r="MS17" i="27"/>
  <c r="MY13" i="27"/>
  <c r="MX13" i="27"/>
  <c r="MV13" i="27"/>
  <c r="MU13" i="27"/>
  <c r="MT13" i="27"/>
  <c r="MS13" i="27"/>
  <c r="MY19" i="27"/>
  <c r="MX19" i="27"/>
  <c r="MV19" i="27"/>
  <c r="MU19" i="27"/>
  <c r="MT19" i="27"/>
  <c r="MS19" i="27"/>
  <c r="MY15" i="27"/>
  <c r="MX15" i="27"/>
  <c r="MV15" i="27"/>
  <c r="MU15" i="27"/>
  <c r="MT15" i="27"/>
  <c r="MS15" i="27"/>
  <c r="MY12" i="27"/>
  <c r="MX12" i="27"/>
  <c r="MV12" i="27"/>
  <c r="MU12" i="27"/>
  <c r="MT12" i="27"/>
  <c r="MS12" i="27"/>
  <c r="MY20" i="27"/>
  <c r="MX20" i="27"/>
  <c r="MV20" i="27"/>
  <c r="MU20" i="27"/>
  <c r="MT20" i="27"/>
  <c r="MS20" i="27"/>
  <c r="MY10" i="27"/>
  <c r="MX10" i="27"/>
  <c r="MV10" i="27"/>
  <c r="MU10" i="27"/>
  <c r="MT10" i="27"/>
  <c r="MS10" i="27"/>
  <c r="MY8" i="27"/>
  <c r="MX8" i="27"/>
  <c r="MV8" i="27"/>
  <c r="MU8" i="27"/>
  <c r="MT8" i="27"/>
  <c r="MS8" i="27"/>
  <c r="MY11" i="27"/>
  <c r="MX11" i="27"/>
  <c r="MV11" i="27"/>
  <c r="MU11" i="27"/>
  <c r="MT11" i="27"/>
  <c r="MS11" i="27"/>
  <c r="MY9" i="27"/>
  <c r="MX9" i="27"/>
  <c r="MV9" i="27"/>
  <c r="MU9" i="27"/>
  <c r="MT9" i="27"/>
  <c r="MS9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6" i="27"/>
  <c r="LV16" i="27"/>
  <c r="LT16" i="27"/>
  <c r="LS16" i="27"/>
  <c r="LR16" i="27"/>
  <c r="LQ16" i="27"/>
  <c r="LW17" i="27"/>
  <c r="LV17" i="27"/>
  <c r="LT17" i="27"/>
  <c r="LS17" i="27"/>
  <c r="LR17" i="27"/>
  <c r="LQ17" i="27"/>
  <c r="LW13" i="27"/>
  <c r="LV13" i="27"/>
  <c r="LT13" i="27"/>
  <c r="LS13" i="27"/>
  <c r="LR13" i="27"/>
  <c r="LQ13" i="27"/>
  <c r="LW19" i="27"/>
  <c r="LV19" i="27"/>
  <c r="LT19" i="27"/>
  <c r="LS19" i="27"/>
  <c r="LR19" i="27"/>
  <c r="LQ19" i="27"/>
  <c r="LW15" i="27"/>
  <c r="LV15" i="27"/>
  <c r="LT15" i="27"/>
  <c r="LS15" i="27"/>
  <c r="LR15" i="27"/>
  <c r="LQ15" i="27"/>
  <c r="LW12" i="27"/>
  <c r="LV12" i="27"/>
  <c r="LT12" i="27"/>
  <c r="LS12" i="27"/>
  <c r="LR12" i="27"/>
  <c r="LQ12" i="27"/>
  <c r="LW20" i="27"/>
  <c r="LV20" i="27"/>
  <c r="LT20" i="27"/>
  <c r="LS20" i="27"/>
  <c r="LR20" i="27"/>
  <c r="LQ20" i="27"/>
  <c r="LW10" i="27"/>
  <c r="LV10" i="27"/>
  <c r="LT10" i="27"/>
  <c r="LS10" i="27"/>
  <c r="LR10" i="27"/>
  <c r="LQ10" i="27"/>
  <c r="LW8" i="27"/>
  <c r="LV8" i="27"/>
  <c r="LT8" i="27"/>
  <c r="LS8" i="27"/>
  <c r="LR8" i="27"/>
  <c r="LQ8" i="27"/>
  <c r="LW11" i="27"/>
  <c r="LV11" i="27"/>
  <c r="LT11" i="27"/>
  <c r="LS11" i="27"/>
  <c r="LR11" i="27"/>
  <c r="LQ11" i="27"/>
  <c r="LW9" i="27"/>
  <c r="LV9" i="27"/>
  <c r="LT9" i="27"/>
  <c r="LS9" i="27"/>
  <c r="LR9" i="27"/>
  <c r="LQ9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6" i="27"/>
  <c r="KT16" i="27"/>
  <c r="KR16" i="27"/>
  <c r="KQ16" i="27"/>
  <c r="KP16" i="27"/>
  <c r="KO16" i="27"/>
  <c r="KU17" i="27"/>
  <c r="KT17" i="27"/>
  <c r="KR17" i="27"/>
  <c r="KQ17" i="27"/>
  <c r="KP17" i="27"/>
  <c r="KO17" i="27"/>
  <c r="KU13" i="27"/>
  <c r="KT13" i="27"/>
  <c r="KR13" i="27"/>
  <c r="KQ13" i="27"/>
  <c r="KP13" i="27"/>
  <c r="KO13" i="27"/>
  <c r="KU19" i="27"/>
  <c r="KT19" i="27"/>
  <c r="KR19" i="27"/>
  <c r="KQ19" i="27"/>
  <c r="KP19" i="27"/>
  <c r="KO19" i="27"/>
  <c r="KU15" i="27"/>
  <c r="KT15" i="27"/>
  <c r="KR15" i="27"/>
  <c r="KQ15" i="27"/>
  <c r="KP15" i="27"/>
  <c r="KO15" i="27"/>
  <c r="KU12" i="27"/>
  <c r="KT12" i="27"/>
  <c r="KR12" i="27"/>
  <c r="KQ12" i="27"/>
  <c r="KP12" i="27"/>
  <c r="KO12" i="27"/>
  <c r="KU20" i="27"/>
  <c r="KT20" i="27"/>
  <c r="KR20" i="27"/>
  <c r="KQ20" i="27"/>
  <c r="KP20" i="27"/>
  <c r="KO20" i="27"/>
  <c r="KU10" i="27"/>
  <c r="KT10" i="27"/>
  <c r="KR10" i="27"/>
  <c r="KQ10" i="27"/>
  <c r="KP10" i="27"/>
  <c r="KO10" i="27"/>
  <c r="KU8" i="27"/>
  <c r="KT8" i="27"/>
  <c r="KR8" i="27"/>
  <c r="KQ8" i="27"/>
  <c r="KP8" i="27"/>
  <c r="KO8" i="27"/>
  <c r="KU11" i="27"/>
  <c r="KT11" i="27"/>
  <c r="KR11" i="27"/>
  <c r="KQ11" i="27"/>
  <c r="KP11" i="27"/>
  <c r="KO11" i="27"/>
  <c r="KU9" i="27"/>
  <c r="KT9" i="27"/>
  <c r="KR9" i="27"/>
  <c r="KQ9" i="27"/>
  <c r="KP9" i="27"/>
  <c r="KO9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6" i="27"/>
  <c r="JR16" i="27"/>
  <c r="JP16" i="27"/>
  <c r="JO16" i="27"/>
  <c r="JN16" i="27"/>
  <c r="JM16" i="27"/>
  <c r="JS17" i="27"/>
  <c r="JR17" i="27"/>
  <c r="JP17" i="27"/>
  <c r="JO17" i="27"/>
  <c r="JN17" i="27"/>
  <c r="JM17" i="27"/>
  <c r="JS13" i="27"/>
  <c r="JR13" i="27"/>
  <c r="JP13" i="27"/>
  <c r="JO13" i="27"/>
  <c r="JN13" i="27"/>
  <c r="JM13" i="27"/>
  <c r="JS19" i="27"/>
  <c r="JR19" i="27"/>
  <c r="JP19" i="27"/>
  <c r="JO19" i="27"/>
  <c r="JN19" i="27"/>
  <c r="JM19" i="27"/>
  <c r="JS15" i="27"/>
  <c r="JR15" i="27"/>
  <c r="JP15" i="27"/>
  <c r="JO15" i="27"/>
  <c r="JN15" i="27"/>
  <c r="JM15" i="27"/>
  <c r="JS12" i="27"/>
  <c r="JR12" i="27"/>
  <c r="JP12" i="27"/>
  <c r="JO12" i="27"/>
  <c r="JN12" i="27"/>
  <c r="JM12" i="27"/>
  <c r="JS20" i="27"/>
  <c r="JR20" i="27"/>
  <c r="JP20" i="27"/>
  <c r="JO20" i="27"/>
  <c r="JN20" i="27"/>
  <c r="JM20" i="27"/>
  <c r="JS10" i="27"/>
  <c r="JR10" i="27"/>
  <c r="JP10" i="27"/>
  <c r="JO10" i="27"/>
  <c r="JN10" i="27"/>
  <c r="JM10" i="27"/>
  <c r="JS8" i="27"/>
  <c r="JR8" i="27"/>
  <c r="JP8" i="27"/>
  <c r="JO8" i="27"/>
  <c r="JN8" i="27"/>
  <c r="JM8" i="27"/>
  <c r="JS11" i="27"/>
  <c r="JR11" i="27"/>
  <c r="JP11" i="27"/>
  <c r="JO11" i="27"/>
  <c r="JN11" i="27"/>
  <c r="JM11" i="27"/>
  <c r="JS9" i="27"/>
  <c r="JR9" i="27"/>
  <c r="JP9" i="27"/>
  <c r="JO9" i="27"/>
  <c r="JN9" i="27"/>
  <c r="JM9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6" i="27"/>
  <c r="IP16" i="27"/>
  <c r="IN16" i="27"/>
  <c r="IM16" i="27"/>
  <c r="IL16" i="27"/>
  <c r="IK16" i="27"/>
  <c r="IQ17" i="27"/>
  <c r="IP17" i="27"/>
  <c r="IN17" i="27"/>
  <c r="IM17" i="27"/>
  <c r="IL17" i="27"/>
  <c r="IK17" i="27"/>
  <c r="IQ13" i="27"/>
  <c r="IP13" i="27"/>
  <c r="IN13" i="27"/>
  <c r="IM13" i="27"/>
  <c r="IL13" i="27"/>
  <c r="IK13" i="27"/>
  <c r="IQ19" i="27"/>
  <c r="IP19" i="27"/>
  <c r="IN19" i="27"/>
  <c r="IM19" i="27"/>
  <c r="IL19" i="27"/>
  <c r="IK19" i="27"/>
  <c r="IQ15" i="27"/>
  <c r="IP15" i="27"/>
  <c r="IN15" i="27"/>
  <c r="IM15" i="27"/>
  <c r="IL15" i="27"/>
  <c r="IK15" i="27"/>
  <c r="IQ12" i="27"/>
  <c r="IP12" i="27"/>
  <c r="IN12" i="27"/>
  <c r="IM12" i="27"/>
  <c r="IL12" i="27"/>
  <c r="IK12" i="27"/>
  <c r="IQ20" i="27"/>
  <c r="IP20" i="27"/>
  <c r="IN20" i="27"/>
  <c r="IM20" i="27"/>
  <c r="IL20" i="27"/>
  <c r="IK20" i="27"/>
  <c r="IQ10" i="27"/>
  <c r="IP10" i="27"/>
  <c r="IN10" i="27"/>
  <c r="IM10" i="27"/>
  <c r="IL10" i="27"/>
  <c r="IK10" i="27"/>
  <c r="IQ8" i="27"/>
  <c r="IP8" i="27"/>
  <c r="IN8" i="27"/>
  <c r="IM8" i="27"/>
  <c r="IL8" i="27"/>
  <c r="IK8" i="27"/>
  <c r="IQ11" i="27"/>
  <c r="IP11" i="27"/>
  <c r="IN11" i="27"/>
  <c r="IM11" i="27"/>
  <c r="IL11" i="27"/>
  <c r="IK11" i="27"/>
  <c r="IQ9" i="27"/>
  <c r="IP9" i="27"/>
  <c r="IN9" i="27"/>
  <c r="IM9" i="27"/>
  <c r="IL9" i="27"/>
  <c r="IK9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6" i="27"/>
  <c r="HN16" i="27"/>
  <c r="HL16" i="27"/>
  <c r="HK16" i="27"/>
  <c r="HJ16" i="27"/>
  <c r="HI16" i="27"/>
  <c r="HO17" i="27"/>
  <c r="HN17" i="27"/>
  <c r="HL17" i="27"/>
  <c r="HK17" i="27"/>
  <c r="HJ17" i="27"/>
  <c r="HI17" i="27"/>
  <c r="HO13" i="27"/>
  <c r="HN13" i="27"/>
  <c r="HL13" i="27"/>
  <c r="HK13" i="27"/>
  <c r="HJ13" i="27"/>
  <c r="HI13" i="27"/>
  <c r="HO19" i="27"/>
  <c r="HN19" i="27"/>
  <c r="HL19" i="27"/>
  <c r="HK19" i="27"/>
  <c r="HJ19" i="27"/>
  <c r="HI19" i="27"/>
  <c r="HO15" i="27"/>
  <c r="HN15" i="27"/>
  <c r="HL15" i="27"/>
  <c r="HK15" i="27"/>
  <c r="HJ15" i="27"/>
  <c r="HI15" i="27"/>
  <c r="HO12" i="27"/>
  <c r="HN12" i="27"/>
  <c r="HL12" i="27"/>
  <c r="HK12" i="27"/>
  <c r="HJ12" i="27"/>
  <c r="HI12" i="27"/>
  <c r="HO20" i="27"/>
  <c r="HN20" i="27"/>
  <c r="HL20" i="27"/>
  <c r="HK20" i="27"/>
  <c r="HJ20" i="27"/>
  <c r="HI20" i="27"/>
  <c r="HO10" i="27"/>
  <c r="HN10" i="27"/>
  <c r="HL10" i="27"/>
  <c r="HK10" i="27"/>
  <c r="HJ10" i="27"/>
  <c r="HI10" i="27"/>
  <c r="HO8" i="27"/>
  <c r="HN8" i="27"/>
  <c r="HL8" i="27"/>
  <c r="HK8" i="27"/>
  <c r="HJ8" i="27"/>
  <c r="HI8" i="27"/>
  <c r="HO11" i="27"/>
  <c r="HN11" i="27"/>
  <c r="HL11" i="27"/>
  <c r="HK11" i="27"/>
  <c r="HJ11" i="27"/>
  <c r="HI11" i="27"/>
  <c r="HO9" i="27"/>
  <c r="HN9" i="27"/>
  <c r="HL9" i="27"/>
  <c r="HK9" i="27"/>
  <c r="HJ9" i="27"/>
  <c r="HI9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6" i="27"/>
  <c r="GL16" i="27"/>
  <c r="GJ16" i="27"/>
  <c r="GI16" i="27"/>
  <c r="GH16" i="27"/>
  <c r="GG16" i="27"/>
  <c r="GM17" i="27"/>
  <c r="GL17" i="27"/>
  <c r="GJ17" i="27"/>
  <c r="GI17" i="27"/>
  <c r="GH17" i="27"/>
  <c r="GG17" i="27"/>
  <c r="GM13" i="27"/>
  <c r="GL13" i="27"/>
  <c r="GJ13" i="27"/>
  <c r="GI13" i="27"/>
  <c r="GH13" i="27"/>
  <c r="GG13" i="27"/>
  <c r="GM19" i="27"/>
  <c r="GL19" i="27"/>
  <c r="GJ19" i="27"/>
  <c r="GI19" i="27"/>
  <c r="GH19" i="27"/>
  <c r="GG19" i="27"/>
  <c r="GM15" i="27"/>
  <c r="GL15" i="27"/>
  <c r="GJ15" i="27"/>
  <c r="GI15" i="27"/>
  <c r="GH15" i="27"/>
  <c r="GG15" i="27"/>
  <c r="GM12" i="27"/>
  <c r="GL12" i="27"/>
  <c r="GJ12" i="27"/>
  <c r="GI12" i="27"/>
  <c r="GH12" i="27"/>
  <c r="GG12" i="27"/>
  <c r="GM20" i="27"/>
  <c r="GL20" i="27"/>
  <c r="GJ20" i="27"/>
  <c r="GI20" i="27"/>
  <c r="GH20" i="27"/>
  <c r="GG20" i="27"/>
  <c r="GM10" i="27"/>
  <c r="GL10" i="27"/>
  <c r="GJ10" i="27"/>
  <c r="GI10" i="27"/>
  <c r="GH10" i="27"/>
  <c r="GG10" i="27"/>
  <c r="GM8" i="27"/>
  <c r="GL8" i="27"/>
  <c r="GJ8" i="27"/>
  <c r="GI8" i="27"/>
  <c r="GH8" i="27"/>
  <c r="GG8" i="27"/>
  <c r="GM11" i="27"/>
  <c r="GL11" i="27"/>
  <c r="GJ11" i="27"/>
  <c r="GI11" i="27"/>
  <c r="GH11" i="27"/>
  <c r="GG11" i="27"/>
  <c r="GM9" i="27"/>
  <c r="GL9" i="27"/>
  <c r="GJ9" i="27"/>
  <c r="GI9" i="27"/>
  <c r="GH9" i="27"/>
  <c r="GG9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6" i="27"/>
  <c r="FJ16" i="27"/>
  <c r="FH16" i="27"/>
  <c r="FG16" i="27"/>
  <c r="FF16" i="27"/>
  <c r="FE16" i="27"/>
  <c r="FK17" i="27"/>
  <c r="FJ17" i="27"/>
  <c r="FH17" i="27"/>
  <c r="FG17" i="27"/>
  <c r="FF17" i="27"/>
  <c r="FE17" i="27"/>
  <c r="FK13" i="27"/>
  <c r="FJ13" i="27"/>
  <c r="FH13" i="27"/>
  <c r="FG13" i="27"/>
  <c r="FF13" i="27"/>
  <c r="FE13" i="27"/>
  <c r="FK19" i="27"/>
  <c r="FJ19" i="27"/>
  <c r="FH19" i="27"/>
  <c r="FG19" i="27"/>
  <c r="FF19" i="27"/>
  <c r="FE19" i="27"/>
  <c r="FK15" i="27"/>
  <c r="FJ15" i="27"/>
  <c r="FH15" i="27"/>
  <c r="FG15" i="27"/>
  <c r="FF15" i="27"/>
  <c r="FE15" i="27"/>
  <c r="FK12" i="27"/>
  <c r="FJ12" i="27"/>
  <c r="FH12" i="27"/>
  <c r="FG12" i="27"/>
  <c r="FF12" i="27"/>
  <c r="FE12" i="27"/>
  <c r="FK20" i="27"/>
  <c r="FJ20" i="27"/>
  <c r="FH20" i="27"/>
  <c r="FG20" i="27"/>
  <c r="FF20" i="27"/>
  <c r="FE20" i="27"/>
  <c r="FK10" i="27"/>
  <c r="FJ10" i="27"/>
  <c r="FH10" i="27"/>
  <c r="FG10" i="27"/>
  <c r="FF10" i="27"/>
  <c r="FE10" i="27"/>
  <c r="FK8" i="27"/>
  <c r="FJ8" i="27"/>
  <c r="FH8" i="27"/>
  <c r="FG8" i="27"/>
  <c r="FF8" i="27"/>
  <c r="FE8" i="27"/>
  <c r="FK11" i="27"/>
  <c r="FJ11" i="27"/>
  <c r="FH11" i="27"/>
  <c r="FG11" i="27"/>
  <c r="FF11" i="27"/>
  <c r="FE11" i="27"/>
  <c r="FK9" i="27"/>
  <c r="FJ9" i="27"/>
  <c r="FH9" i="27"/>
  <c r="FG9" i="27"/>
  <c r="FF9" i="27"/>
  <c r="FE9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6" i="27"/>
  <c r="EH16" i="27"/>
  <c r="EF16" i="27"/>
  <c r="EE16" i="27"/>
  <c r="ED16" i="27"/>
  <c r="EC16" i="27"/>
  <c r="EI17" i="27"/>
  <c r="EH17" i="27"/>
  <c r="EF17" i="27"/>
  <c r="EE17" i="27"/>
  <c r="ED17" i="27"/>
  <c r="EC17" i="27"/>
  <c r="EI13" i="27"/>
  <c r="EH13" i="27"/>
  <c r="EF13" i="27"/>
  <c r="EE13" i="27"/>
  <c r="ED13" i="27"/>
  <c r="EC13" i="27"/>
  <c r="EI19" i="27"/>
  <c r="EH19" i="27"/>
  <c r="EF19" i="27"/>
  <c r="EE19" i="27"/>
  <c r="ED19" i="27"/>
  <c r="EC19" i="27"/>
  <c r="EI15" i="27"/>
  <c r="EH15" i="27"/>
  <c r="EF15" i="27"/>
  <c r="EE15" i="27"/>
  <c r="ED15" i="27"/>
  <c r="EC15" i="27"/>
  <c r="EI12" i="27"/>
  <c r="EH12" i="27"/>
  <c r="EF12" i="27"/>
  <c r="EE12" i="27"/>
  <c r="ED12" i="27"/>
  <c r="EC12" i="27"/>
  <c r="EI20" i="27"/>
  <c r="EH20" i="27"/>
  <c r="EF20" i="27"/>
  <c r="EE20" i="27"/>
  <c r="ED20" i="27"/>
  <c r="EC20" i="27"/>
  <c r="EI10" i="27"/>
  <c r="EH10" i="27"/>
  <c r="EF10" i="27"/>
  <c r="EE10" i="27"/>
  <c r="ED10" i="27"/>
  <c r="EC10" i="27"/>
  <c r="EI8" i="27"/>
  <c r="EH8" i="27"/>
  <c r="EF8" i="27"/>
  <c r="EE8" i="27"/>
  <c r="ED8" i="27"/>
  <c r="EC8" i="27"/>
  <c r="EI11" i="27"/>
  <c r="EH11" i="27"/>
  <c r="EF11" i="27"/>
  <c r="EE11" i="27"/>
  <c r="ED11" i="27"/>
  <c r="EC11" i="27"/>
  <c r="EI9" i="27"/>
  <c r="EH9" i="27"/>
  <c r="EF9" i="27"/>
  <c r="EE9" i="27"/>
  <c r="ED9" i="27"/>
  <c r="EC9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20" i="26"/>
  <c r="PB20" i="26"/>
  <c r="OZ20" i="26"/>
  <c r="OY20" i="26"/>
  <c r="OX20" i="26"/>
  <c r="OW20" i="26"/>
  <c r="PC15" i="26"/>
  <c r="PB15" i="26"/>
  <c r="OZ15" i="26"/>
  <c r="OY15" i="26"/>
  <c r="OX15" i="26"/>
  <c r="OW15" i="26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6" i="26"/>
  <c r="PB16" i="26"/>
  <c r="OZ16" i="26"/>
  <c r="OY16" i="26"/>
  <c r="OX16" i="26"/>
  <c r="OW16" i="26"/>
  <c r="PC14" i="26"/>
  <c r="PB14" i="26"/>
  <c r="OZ14" i="26"/>
  <c r="OY14" i="26"/>
  <c r="OX14" i="26"/>
  <c r="OW14" i="26"/>
  <c r="PC9" i="26"/>
  <c r="PB9" i="26"/>
  <c r="OZ9" i="26"/>
  <c r="OY9" i="26"/>
  <c r="OX9" i="26"/>
  <c r="OW9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12" i="26"/>
  <c r="PB12" i="26"/>
  <c r="OZ12" i="26"/>
  <c r="OY12" i="26"/>
  <c r="OX12" i="26"/>
  <c r="OW12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7" i="26"/>
  <c r="PB7" i="26"/>
  <c r="OZ7" i="26"/>
  <c r="OY7" i="26"/>
  <c r="OX7" i="26"/>
  <c r="OW7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20" i="26"/>
  <c r="NZ20" i="26"/>
  <c r="NX20" i="26"/>
  <c r="NW20" i="26"/>
  <c r="NV20" i="26"/>
  <c r="NU20" i="26"/>
  <c r="OA15" i="26"/>
  <c r="NZ15" i="26"/>
  <c r="NX15" i="26"/>
  <c r="NW15" i="26"/>
  <c r="NV15" i="26"/>
  <c r="NU15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6" i="26"/>
  <c r="NZ16" i="26"/>
  <c r="NX16" i="26"/>
  <c r="NW16" i="26"/>
  <c r="NV16" i="26"/>
  <c r="NU16" i="26"/>
  <c r="OA14" i="26"/>
  <c r="NZ14" i="26"/>
  <c r="NX14" i="26"/>
  <c r="NW14" i="26"/>
  <c r="NV14" i="26"/>
  <c r="NU14" i="26"/>
  <c r="OA9" i="26"/>
  <c r="NZ9" i="26"/>
  <c r="NX9" i="26"/>
  <c r="NW9" i="26"/>
  <c r="NV9" i="26"/>
  <c r="NU9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12" i="26"/>
  <c r="NZ12" i="26"/>
  <c r="NX12" i="26"/>
  <c r="NW12" i="26"/>
  <c r="NV12" i="26"/>
  <c r="NU12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7" i="26"/>
  <c r="NZ7" i="26"/>
  <c r="NX7" i="26"/>
  <c r="NW7" i="26"/>
  <c r="NV7" i="26"/>
  <c r="NU7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20" i="26"/>
  <c r="MX20" i="26"/>
  <c r="MV20" i="26"/>
  <c r="MU20" i="26"/>
  <c r="MT20" i="26"/>
  <c r="MS20" i="26"/>
  <c r="MY15" i="26"/>
  <c r="MX15" i="26"/>
  <c r="MV15" i="26"/>
  <c r="MU15" i="26"/>
  <c r="MT15" i="26"/>
  <c r="MS15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6" i="26"/>
  <c r="MX16" i="26"/>
  <c r="MV16" i="26"/>
  <c r="MU16" i="26"/>
  <c r="MT16" i="26"/>
  <c r="MS16" i="26"/>
  <c r="MY14" i="26"/>
  <c r="MX14" i="26"/>
  <c r="MV14" i="26"/>
  <c r="MU14" i="26"/>
  <c r="MT14" i="26"/>
  <c r="MS14" i="26"/>
  <c r="MY9" i="26"/>
  <c r="MX9" i="26"/>
  <c r="MV9" i="26"/>
  <c r="MU9" i="26"/>
  <c r="MT9" i="26"/>
  <c r="MS9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12" i="26"/>
  <c r="MX12" i="26"/>
  <c r="MV12" i="26"/>
  <c r="MU12" i="26"/>
  <c r="MT12" i="26"/>
  <c r="MS12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7" i="26"/>
  <c r="MX7" i="26"/>
  <c r="MV7" i="26"/>
  <c r="MU7" i="26"/>
  <c r="MT7" i="26"/>
  <c r="MS7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20" i="26"/>
  <c r="LV20" i="26"/>
  <c r="LT20" i="26"/>
  <c r="LS20" i="26"/>
  <c r="LR20" i="26"/>
  <c r="LQ20" i="26"/>
  <c r="LW15" i="26"/>
  <c r="LV15" i="26"/>
  <c r="LT15" i="26"/>
  <c r="LS15" i="26"/>
  <c r="LR15" i="26"/>
  <c r="LQ15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6" i="26"/>
  <c r="LV16" i="26"/>
  <c r="LT16" i="26"/>
  <c r="LS16" i="26"/>
  <c r="LR16" i="26"/>
  <c r="LQ16" i="26"/>
  <c r="LW14" i="26"/>
  <c r="LV14" i="26"/>
  <c r="LT14" i="26"/>
  <c r="LS14" i="26"/>
  <c r="LR14" i="26"/>
  <c r="LQ14" i="26"/>
  <c r="LW9" i="26"/>
  <c r="LV9" i="26"/>
  <c r="LT9" i="26"/>
  <c r="LS9" i="26"/>
  <c r="LR9" i="26"/>
  <c r="LQ9" i="26"/>
  <c r="LW11" i="26"/>
  <c r="LV11" i="26"/>
  <c r="LT11" i="26"/>
  <c r="LS11" i="26"/>
  <c r="LR11" i="26"/>
  <c r="LQ11" i="26"/>
  <c r="LW10" i="26"/>
  <c r="LV10" i="26"/>
  <c r="LT10" i="26"/>
  <c r="LS10" i="26"/>
  <c r="LR10" i="26"/>
  <c r="LQ10" i="26"/>
  <c r="LW12" i="26"/>
  <c r="LV12" i="26"/>
  <c r="LT12" i="26"/>
  <c r="LS12" i="26"/>
  <c r="LR12" i="26"/>
  <c r="LQ12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7" i="26"/>
  <c r="LV7" i="26"/>
  <c r="LT7" i="26"/>
  <c r="LS7" i="26"/>
  <c r="LR7" i="26"/>
  <c r="LQ7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20" i="26"/>
  <c r="KT20" i="26"/>
  <c r="KR20" i="26"/>
  <c r="KQ20" i="26"/>
  <c r="KP20" i="26"/>
  <c r="KO20" i="26"/>
  <c r="KU15" i="26"/>
  <c r="KT15" i="26"/>
  <c r="KR15" i="26"/>
  <c r="KQ15" i="26"/>
  <c r="KP15" i="26"/>
  <c r="KO15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6" i="26"/>
  <c r="KT16" i="26"/>
  <c r="KR16" i="26"/>
  <c r="KQ16" i="26"/>
  <c r="KP16" i="26"/>
  <c r="KO16" i="26"/>
  <c r="KU14" i="26"/>
  <c r="KT14" i="26"/>
  <c r="KR14" i="26"/>
  <c r="KQ14" i="26"/>
  <c r="KP14" i="26"/>
  <c r="KO14" i="26"/>
  <c r="KU9" i="26"/>
  <c r="KT9" i="26"/>
  <c r="KR9" i="26"/>
  <c r="KQ9" i="26"/>
  <c r="KP9" i="26"/>
  <c r="KO9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12" i="26"/>
  <c r="KT12" i="26"/>
  <c r="KR12" i="26"/>
  <c r="KQ12" i="26"/>
  <c r="KP12" i="26"/>
  <c r="KO12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7" i="26"/>
  <c r="KT7" i="26"/>
  <c r="KR7" i="26"/>
  <c r="KQ7" i="26"/>
  <c r="KP7" i="26"/>
  <c r="KO7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20" i="26"/>
  <c r="JR20" i="26"/>
  <c r="JP20" i="26"/>
  <c r="JO20" i="26"/>
  <c r="JN20" i="26"/>
  <c r="JM20" i="26"/>
  <c r="JS15" i="26"/>
  <c r="JR15" i="26"/>
  <c r="JP15" i="26"/>
  <c r="JO15" i="26"/>
  <c r="JN15" i="26"/>
  <c r="JM15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6" i="26"/>
  <c r="JR16" i="26"/>
  <c r="JP16" i="26"/>
  <c r="JO16" i="26"/>
  <c r="JN16" i="26"/>
  <c r="JM16" i="26"/>
  <c r="JS14" i="26"/>
  <c r="JR14" i="26"/>
  <c r="JP14" i="26"/>
  <c r="JO14" i="26"/>
  <c r="JN14" i="26"/>
  <c r="JM14" i="26"/>
  <c r="JS9" i="26"/>
  <c r="JR9" i="26"/>
  <c r="JP9" i="26"/>
  <c r="JO9" i="26"/>
  <c r="JN9" i="26"/>
  <c r="JM9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12" i="26"/>
  <c r="JR12" i="26"/>
  <c r="JP12" i="26"/>
  <c r="JO12" i="26"/>
  <c r="JN12" i="26"/>
  <c r="JM12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7" i="26"/>
  <c r="JR7" i="26"/>
  <c r="JP7" i="26"/>
  <c r="JO7" i="26"/>
  <c r="JN7" i="26"/>
  <c r="JM7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20" i="26"/>
  <c r="IP20" i="26"/>
  <c r="IN20" i="26"/>
  <c r="IM20" i="26"/>
  <c r="IL20" i="26"/>
  <c r="IK20" i="26"/>
  <c r="IQ15" i="26"/>
  <c r="IP15" i="26"/>
  <c r="IN15" i="26"/>
  <c r="IM15" i="26"/>
  <c r="IL15" i="26"/>
  <c r="IK15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6" i="26"/>
  <c r="IP16" i="26"/>
  <c r="IN16" i="26"/>
  <c r="IM16" i="26"/>
  <c r="IL16" i="26"/>
  <c r="IK16" i="26"/>
  <c r="IQ14" i="26"/>
  <c r="IP14" i="26"/>
  <c r="IN14" i="26"/>
  <c r="IM14" i="26"/>
  <c r="IL14" i="26"/>
  <c r="IK14" i="26"/>
  <c r="IQ9" i="26"/>
  <c r="IP9" i="26"/>
  <c r="IN9" i="26"/>
  <c r="IM9" i="26"/>
  <c r="IL9" i="26"/>
  <c r="IK9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12" i="26"/>
  <c r="IP12" i="26"/>
  <c r="IN12" i="26"/>
  <c r="IM12" i="26"/>
  <c r="IL12" i="26"/>
  <c r="IK12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7" i="26"/>
  <c r="IP7" i="26"/>
  <c r="IN7" i="26"/>
  <c r="IM7" i="26"/>
  <c r="IL7" i="26"/>
  <c r="IK7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20" i="26"/>
  <c r="HN20" i="26"/>
  <c r="HL20" i="26"/>
  <c r="HK20" i="26"/>
  <c r="HJ20" i="26"/>
  <c r="HI20" i="26"/>
  <c r="HO15" i="26"/>
  <c r="HN15" i="26"/>
  <c r="HL15" i="26"/>
  <c r="HK15" i="26"/>
  <c r="HJ15" i="26"/>
  <c r="HI15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6" i="26"/>
  <c r="HN16" i="26"/>
  <c r="HL16" i="26"/>
  <c r="HK16" i="26"/>
  <c r="HJ16" i="26"/>
  <c r="HI16" i="26"/>
  <c r="HO14" i="26"/>
  <c r="HN14" i="26"/>
  <c r="HL14" i="26"/>
  <c r="HK14" i="26"/>
  <c r="HJ14" i="26"/>
  <c r="HI14" i="26"/>
  <c r="HO9" i="26"/>
  <c r="HN9" i="26"/>
  <c r="HL9" i="26"/>
  <c r="HK9" i="26"/>
  <c r="HJ9" i="26"/>
  <c r="HI9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12" i="26"/>
  <c r="HN12" i="26"/>
  <c r="HL12" i="26"/>
  <c r="HK12" i="26"/>
  <c r="HJ12" i="26"/>
  <c r="HI12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7" i="26"/>
  <c r="HN7" i="26"/>
  <c r="HL7" i="26"/>
  <c r="HK7" i="26"/>
  <c r="HJ7" i="26"/>
  <c r="HI7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20" i="26"/>
  <c r="GL20" i="26"/>
  <c r="GJ20" i="26"/>
  <c r="GI20" i="26"/>
  <c r="GH20" i="26"/>
  <c r="GG20" i="26"/>
  <c r="GM15" i="26"/>
  <c r="GL15" i="26"/>
  <c r="GJ15" i="26"/>
  <c r="GI15" i="26"/>
  <c r="GH15" i="26"/>
  <c r="GG15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6" i="26"/>
  <c r="GL16" i="26"/>
  <c r="GJ16" i="26"/>
  <c r="GI16" i="26"/>
  <c r="GH16" i="26"/>
  <c r="GG16" i="26"/>
  <c r="GM14" i="26"/>
  <c r="GL14" i="26"/>
  <c r="GJ14" i="26"/>
  <c r="GI14" i="26"/>
  <c r="GH14" i="26"/>
  <c r="GG14" i="26"/>
  <c r="GM9" i="26"/>
  <c r="GL9" i="26"/>
  <c r="GJ9" i="26"/>
  <c r="GI9" i="26"/>
  <c r="GH9" i="26"/>
  <c r="GG9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12" i="26"/>
  <c r="GL12" i="26"/>
  <c r="GJ12" i="26"/>
  <c r="GI12" i="26"/>
  <c r="GH12" i="26"/>
  <c r="GG12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7" i="26"/>
  <c r="GL7" i="26"/>
  <c r="GJ7" i="26"/>
  <c r="GI7" i="26"/>
  <c r="GH7" i="26"/>
  <c r="GG7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20" i="26"/>
  <c r="FJ20" i="26"/>
  <c r="FH20" i="26"/>
  <c r="FG20" i="26"/>
  <c r="FF20" i="26"/>
  <c r="FE20" i="26"/>
  <c r="FK15" i="26"/>
  <c r="FJ15" i="26"/>
  <c r="FH15" i="26"/>
  <c r="FG15" i="26"/>
  <c r="FF15" i="26"/>
  <c r="FE15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6" i="26"/>
  <c r="FJ16" i="26"/>
  <c r="FH16" i="26"/>
  <c r="FG16" i="26"/>
  <c r="FF16" i="26"/>
  <c r="FE16" i="26"/>
  <c r="FK14" i="26"/>
  <c r="FJ14" i="26"/>
  <c r="FH14" i="26"/>
  <c r="FG14" i="26"/>
  <c r="FF14" i="26"/>
  <c r="FE14" i="26"/>
  <c r="FK9" i="26"/>
  <c r="FJ9" i="26"/>
  <c r="FH9" i="26"/>
  <c r="FG9" i="26"/>
  <c r="FF9" i="26"/>
  <c r="FE9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12" i="26"/>
  <c r="FJ12" i="26"/>
  <c r="FH12" i="26"/>
  <c r="FG12" i="26"/>
  <c r="FF12" i="26"/>
  <c r="FE12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7" i="26"/>
  <c r="FJ7" i="26"/>
  <c r="FH7" i="26"/>
  <c r="FG7" i="26"/>
  <c r="FF7" i="26"/>
  <c r="FE7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20" i="26"/>
  <c r="EH20" i="26"/>
  <c r="EF20" i="26"/>
  <c r="EE20" i="26"/>
  <c r="ED20" i="26"/>
  <c r="EC20" i="26"/>
  <c r="EI15" i="26"/>
  <c r="EH15" i="26"/>
  <c r="EF15" i="26"/>
  <c r="EE15" i="26"/>
  <c r="ED15" i="26"/>
  <c r="EC15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6" i="26"/>
  <c r="EH16" i="26"/>
  <c r="EF16" i="26"/>
  <c r="EE16" i="26"/>
  <c r="ED16" i="26"/>
  <c r="EC16" i="26"/>
  <c r="EI14" i="26"/>
  <c r="EH14" i="26"/>
  <c r="EF14" i="26"/>
  <c r="EE14" i="26"/>
  <c r="ED14" i="26"/>
  <c r="EC14" i="26"/>
  <c r="EI9" i="26"/>
  <c r="EH9" i="26"/>
  <c r="EF9" i="26"/>
  <c r="EE9" i="26"/>
  <c r="ED9" i="26"/>
  <c r="EC9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12" i="26"/>
  <c r="EH12" i="26"/>
  <c r="EF12" i="26"/>
  <c r="EE12" i="26"/>
  <c r="ED12" i="26"/>
  <c r="EC12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7" i="26"/>
  <c r="EH7" i="26"/>
  <c r="EF7" i="26"/>
  <c r="EE7" i="26"/>
  <c r="ED7" i="26"/>
  <c r="EC7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RL40" i="4"/>
  <c r="RK40" i="4"/>
  <c r="RJ40" i="4"/>
  <c r="RI40" i="4"/>
  <c r="RH40" i="4"/>
  <c r="RG40" i="4"/>
  <c r="RE40" i="4"/>
  <c r="RD40" i="4"/>
  <c r="RC40" i="4"/>
  <c r="RB40" i="4"/>
  <c r="RA40" i="4"/>
  <c r="QZ40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40" i="4"/>
  <c r="QC40" i="4"/>
  <c r="QB40" i="4"/>
  <c r="QA40" i="4"/>
  <c r="PZ40" i="4"/>
  <c r="PY40" i="4"/>
  <c r="PW40" i="4"/>
  <c r="PV40" i="4"/>
  <c r="PU40" i="4"/>
  <c r="PT40" i="4"/>
  <c r="PS40" i="4"/>
  <c r="PR40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40" i="4"/>
  <c r="OU40" i="4"/>
  <c r="OT40" i="4"/>
  <c r="OS40" i="4"/>
  <c r="OR40" i="4"/>
  <c r="OQ40" i="4"/>
  <c r="OO40" i="4"/>
  <c r="ON40" i="4"/>
  <c r="OM40" i="4"/>
  <c r="OL40" i="4"/>
  <c r="OK40" i="4"/>
  <c r="OJ40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40" i="4"/>
  <c r="NM40" i="4"/>
  <c r="NL40" i="4"/>
  <c r="NK40" i="4"/>
  <c r="NJ40" i="4"/>
  <c r="NI40" i="4"/>
  <c r="NG40" i="4"/>
  <c r="NF40" i="4"/>
  <c r="NE40" i="4"/>
  <c r="ND40" i="4"/>
  <c r="NC40" i="4"/>
  <c r="NB40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40" i="4"/>
  <c r="ME40" i="4"/>
  <c r="MD40" i="4"/>
  <c r="MC40" i="4"/>
  <c r="MB40" i="4"/>
  <c r="MA40" i="4"/>
  <c r="LY40" i="4"/>
  <c r="LX40" i="4"/>
  <c r="LW40" i="4"/>
  <c r="LV40" i="4"/>
  <c r="LU40" i="4"/>
  <c r="LT40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40" i="4"/>
  <c r="KW40" i="4"/>
  <c r="KV40" i="4"/>
  <c r="KU40" i="4"/>
  <c r="KT40" i="4"/>
  <c r="KS40" i="4"/>
  <c r="KQ40" i="4"/>
  <c r="KP40" i="4"/>
  <c r="KO40" i="4"/>
  <c r="KN40" i="4"/>
  <c r="KM40" i="4"/>
  <c r="KL40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40" i="4"/>
  <c r="JO40" i="4"/>
  <c r="JN40" i="4"/>
  <c r="JM40" i="4"/>
  <c r="JL40" i="4"/>
  <c r="JK40" i="4"/>
  <c r="JI40" i="4"/>
  <c r="JH40" i="4"/>
  <c r="JG40" i="4"/>
  <c r="JF40" i="4"/>
  <c r="JE40" i="4"/>
  <c r="JD40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40" i="4"/>
  <c r="IG40" i="4"/>
  <c r="IF40" i="4"/>
  <c r="IE40" i="4"/>
  <c r="ID40" i="4"/>
  <c r="IC40" i="4"/>
  <c r="IA40" i="4"/>
  <c r="HZ40" i="4"/>
  <c r="HY40" i="4"/>
  <c r="HX40" i="4"/>
  <c r="HW40" i="4"/>
  <c r="HV40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40" i="4"/>
  <c r="GY40" i="4"/>
  <c r="GX40" i="4"/>
  <c r="GW40" i="4"/>
  <c r="GV40" i="4"/>
  <c r="GU40" i="4"/>
  <c r="GS40" i="4"/>
  <c r="GR40" i="4"/>
  <c r="GQ40" i="4"/>
  <c r="GP40" i="4"/>
  <c r="GO40" i="4"/>
  <c r="GN40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40" i="4"/>
  <c r="FQ40" i="4"/>
  <c r="FP40" i="4"/>
  <c r="FO40" i="4"/>
  <c r="FN40" i="4"/>
  <c r="FM40" i="4"/>
  <c r="FK40" i="4"/>
  <c r="FJ40" i="4"/>
  <c r="FI40" i="4"/>
  <c r="FH40" i="4"/>
  <c r="FG40" i="4"/>
  <c r="FF40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40" i="4"/>
  <c r="EI40" i="4"/>
  <c r="EH40" i="4"/>
  <c r="EG40" i="4"/>
  <c r="EF40" i="4"/>
  <c r="EE40" i="4"/>
  <c r="EC40" i="4"/>
  <c r="EB40" i="4"/>
  <c r="EA40" i="4"/>
  <c r="DZ40" i="4"/>
  <c r="DY40" i="4"/>
  <c r="DX40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DH30" i="21" l="1"/>
  <c r="K26" i="27"/>
  <c r="S18" i="27"/>
  <c r="RI23" i="27"/>
  <c r="DG22" i="26"/>
  <c r="Q13" i="26"/>
  <c r="BZ34" i="4"/>
  <c r="BZ38" i="4"/>
  <c r="TV19" i="4"/>
  <c r="DG25" i="21"/>
  <c r="DF18" i="21"/>
  <c r="DF31" i="21"/>
  <c r="DH25" i="21"/>
  <c r="Q18" i="21"/>
  <c r="RI35" i="19"/>
  <c r="RF24" i="27"/>
  <c r="RI22" i="27"/>
  <c r="RF18" i="27"/>
  <c r="K21" i="27"/>
  <c r="DG21" i="26"/>
  <c r="RF22" i="26"/>
  <c r="TR32" i="22"/>
  <c r="TV32" i="22" s="1"/>
  <c r="AU39" i="4"/>
  <c r="AY39" i="4" s="1"/>
  <c r="JJ6" i="4"/>
  <c r="BV4" i="4"/>
  <c r="RF17" i="4"/>
  <c r="RM17" i="4" s="1"/>
  <c r="TR37" i="4"/>
  <c r="TV37" i="4" s="1"/>
  <c r="BV7" i="4"/>
  <c r="KR30" i="4"/>
  <c r="KY30" i="4" s="1"/>
  <c r="TR27" i="4"/>
  <c r="TV27" i="4" s="1"/>
  <c r="TR17" i="22"/>
  <c r="RF15" i="21"/>
  <c r="RI15" i="21"/>
  <c r="RI30" i="21"/>
  <c r="RF22" i="19"/>
  <c r="DH14" i="27"/>
  <c r="RI25" i="27"/>
  <c r="RF23" i="27"/>
  <c r="RF25" i="27"/>
  <c r="RI14" i="27"/>
  <c r="S22" i="27"/>
  <c r="JJ34" i="4"/>
  <c r="ED7" i="4"/>
  <c r="ED17" i="4"/>
  <c r="ED16" i="4"/>
  <c r="EK16" i="4" s="1"/>
  <c r="ED12" i="4"/>
  <c r="ED29" i="4"/>
  <c r="EK29" i="4" s="1"/>
  <c r="ED30" i="4"/>
  <c r="EK30" i="4" s="1"/>
  <c r="ED31" i="4"/>
  <c r="EK31" i="4" s="1"/>
  <c r="ED40" i="4"/>
  <c r="FL7" i="4"/>
  <c r="AY36" i="4"/>
  <c r="AY32" i="4"/>
  <c r="BZ30" i="4"/>
  <c r="AU7" i="4"/>
  <c r="AY7" i="4" s="1"/>
  <c r="AU8" i="4"/>
  <c r="AY8" i="4" s="1"/>
  <c r="BZ4" i="4"/>
  <c r="S27" i="21"/>
  <c r="K30" i="21"/>
  <c r="S15" i="21"/>
  <c r="DF15" i="21"/>
  <c r="DF24" i="21"/>
  <c r="RI31" i="21"/>
  <c r="K25" i="21"/>
  <c r="J25" i="21" s="1"/>
  <c r="A25" i="21" s="1" a="1"/>
  <c r="A25" i="21" s="1"/>
  <c r="K17" i="21"/>
  <c r="J17" i="21" s="1"/>
  <c r="B17" i="21" s="1" a="1"/>
  <c r="B17" i="21" s="1"/>
  <c r="RF30" i="21"/>
  <c r="K27" i="21"/>
  <c r="J27" i="21" s="1"/>
  <c r="K20" i="21"/>
  <c r="J20" i="21" s="1"/>
  <c r="A20" i="21" s="1" a="1"/>
  <c r="A20" i="21" s="1"/>
  <c r="DG27" i="21"/>
  <c r="RF18" i="21"/>
  <c r="RF17" i="21"/>
  <c r="RI24" i="21"/>
  <c r="DF20" i="21"/>
  <c r="RI27" i="21"/>
  <c r="RI21" i="21"/>
  <c r="K35" i="19"/>
  <c r="J35" i="19" s="1"/>
  <c r="B35" i="19" s="1" a="1"/>
  <c r="B35" i="19" s="1"/>
  <c r="S34" i="19"/>
  <c r="K34" i="19"/>
  <c r="RF35" i="19"/>
  <c r="Q35" i="19"/>
  <c r="DF34" i="19"/>
  <c r="K22" i="19"/>
  <c r="RF34" i="19"/>
  <c r="K22" i="27"/>
  <c r="DF23" i="27"/>
  <c r="O21" i="27"/>
  <c r="K18" i="27"/>
  <c r="DG14" i="27"/>
  <c r="RI18" i="27"/>
  <c r="S24" i="27"/>
  <c r="Q21" i="27"/>
  <c r="DF26" i="27"/>
  <c r="DG22" i="27"/>
  <c r="RF14" i="27"/>
  <c r="J26" i="27"/>
  <c r="A26" i="27" s="1" a="1"/>
  <c r="A26" i="27" s="1"/>
  <c r="J23" i="27"/>
  <c r="B23" i="27" s="1" a="1"/>
  <c r="B23" i="27" s="1"/>
  <c r="J22" i="27"/>
  <c r="A22" i="27" s="1" a="1"/>
  <c r="A22" i="27" s="1"/>
  <c r="Q26" i="27"/>
  <c r="RI21" i="27"/>
  <c r="T24" i="27"/>
  <c r="K14" i="27"/>
  <c r="RF26" i="27"/>
  <c r="RI21" i="26"/>
  <c r="K13" i="26"/>
  <c r="J13" i="26" s="1"/>
  <c r="DH21" i="26"/>
  <c r="S23" i="26"/>
  <c r="K23" i="26"/>
  <c r="J23" i="26" s="1"/>
  <c r="DF23" i="26"/>
  <c r="T23" i="26" s="1"/>
  <c r="S22" i="26"/>
  <c r="RI13" i="26"/>
  <c r="K22" i="26"/>
  <c r="BZ13" i="22"/>
  <c r="BZ33" i="22"/>
  <c r="TR38" i="22"/>
  <c r="TV38" i="22" s="1"/>
  <c r="TR34" i="22"/>
  <c r="TV34" i="22" s="1"/>
  <c r="BV8" i="22"/>
  <c r="BZ8" i="22" s="1"/>
  <c r="TR37" i="22"/>
  <c r="TV37" i="22" s="1"/>
  <c r="TR20" i="22"/>
  <c r="TV20" i="22" s="1"/>
  <c r="TR27" i="22"/>
  <c r="TV27" i="22" s="1"/>
  <c r="TV17" i="22"/>
  <c r="DB21" i="4"/>
  <c r="TR25" i="4"/>
  <c r="TV25" i="4" s="1"/>
  <c r="AU24" i="4"/>
  <c r="AY24" i="4" s="1"/>
  <c r="AU16" i="4"/>
  <c r="AY16" i="4" s="1"/>
  <c r="AU31" i="4"/>
  <c r="AY31" i="4" s="1"/>
  <c r="TV23" i="4"/>
  <c r="AY28" i="4"/>
  <c r="AY15" i="4"/>
  <c r="BZ35" i="4"/>
  <c r="ED15" i="4"/>
  <c r="ED38" i="4"/>
  <c r="EK38" i="4" s="1"/>
  <c r="IB38" i="4"/>
  <c r="II38" i="4" s="1"/>
  <c r="JJ28" i="4"/>
  <c r="JJ39" i="4"/>
  <c r="JQ39" i="4" s="1"/>
  <c r="KR34" i="4"/>
  <c r="KY34" i="4" s="1"/>
  <c r="KR28" i="4"/>
  <c r="KY28" i="4" s="1"/>
  <c r="KR18" i="4"/>
  <c r="NH38" i="4"/>
  <c r="NH39" i="4"/>
  <c r="NO39" i="4" s="1"/>
  <c r="AU11" i="4"/>
  <c r="AY11" i="4" s="1"/>
  <c r="J19" i="4"/>
  <c r="A19" i="4" s="1" a="1"/>
  <c r="A19" i="4" s="1"/>
  <c r="AY29" i="4"/>
  <c r="BZ36" i="4"/>
  <c r="BV29" i="4"/>
  <c r="BZ29" i="4" s="1"/>
  <c r="AU12" i="4"/>
  <c r="BV6" i="4"/>
  <c r="BZ6" i="4" s="1"/>
  <c r="BV28" i="4"/>
  <c r="BZ28" i="4" s="1"/>
  <c r="AU6" i="4"/>
  <c r="AY6" i="4" s="1"/>
  <c r="BZ31" i="4"/>
  <c r="AU5" i="4"/>
  <c r="AY5" i="4" s="1"/>
  <c r="AU34" i="4"/>
  <c r="AY34" i="4" s="1"/>
  <c r="BZ15" i="4"/>
  <c r="BZ39" i="4"/>
  <c r="TR33" i="4"/>
  <c r="TV33" i="4" s="1"/>
  <c r="AU4" i="4"/>
  <c r="AY4" i="4" s="1"/>
  <c r="AU35" i="4"/>
  <c r="AY35" i="4" s="1"/>
  <c r="BZ13" i="4"/>
  <c r="BV32" i="4"/>
  <c r="BZ32" i="4" s="1"/>
  <c r="AU40" i="4"/>
  <c r="AY40" i="4" s="1"/>
  <c r="BV20" i="4"/>
  <c r="BZ20" i="4" s="1"/>
  <c r="AY12" i="4"/>
  <c r="AU38" i="4"/>
  <c r="AY38" i="4" s="1"/>
  <c r="DB23" i="4"/>
  <c r="DG31" i="21"/>
  <c r="T31" i="21" s="1"/>
  <c r="DG17" i="21"/>
  <c r="RI20" i="21"/>
  <c r="RI18" i="21"/>
  <c r="K21" i="21"/>
  <c r="J21" i="21" s="1"/>
  <c r="B21" i="21" s="1" a="1"/>
  <c r="B21" i="21" s="1"/>
  <c r="K31" i="21"/>
  <c r="J31" i="21" s="1"/>
  <c r="RF20" i="21"/>
  <c r="RI17" i="21"/>
  <c r="DG20" i="21"/>
  <c r="Q24" i="21"/>
  <c r="J30" i="21"/>
  <c r="A30" i="21" s="1" a="1"/>
  <c r="A30" i="21" s="1"/>
  <c r="M30" i="21"/>
  <c r="O30" i="21"/>
  <c r="DF30" i="21"/>
  <c r="T30" i="21" s="1"/>
  <c r="RF24" i="21"/>
  <c r="RF31" i="21"/>
  <c r="K24" i="21"/>
  <c r="J24" i="21" s="1"/>
  <c r="B24" i="21" s="1" a="1"/>
  <c r="B24" i="21" s="1"/>
  <c r="T15" i="21"/>
  <c r="Q21" i="21"/>
  <c r="RF21" i="21"/>
  <c r="K15" i="21"/>
  <c r="J15" i="21" s="1"/>
  <c r="M21" i="21"/>
  <c r="O25" i="21"/>
  <c r="DF25" i="21"/>
  <c r="T25" i="21" s="1"/>
  <c r="RI25" i="21"/>
  <c r="RF25" i="21"/>
  <c r="DH24" i="21"/>
  <c r="T24" i="21" s="1"/>
  <c r="S24" i="21"/>
  <c r="M31" i="21"/>
  <c r="M27" i="21"/>
  <c r="O27" i="21"/>
  <c r="DF27" i="21"/>
  <c r="T27" i="21" s="1"/>
  <c r="O21" i="21"/>
  <c r="DF21" i="21"/>
  <c r="T21" i="21" s="1"/>
  <c r="O17" i="21"/>
  <c r="DF17" i="21"/>
  <c r="T17" i="21" s="1"/>
  <c r="DH18" i="21"/>
  <c r="T18" i="21" s="1"/>
  <c r="S18" i="21"/>
  <c r="K18" i="21"/>
  <c r="J18" i="21" s="1"/>
  <c r="M17" i="21"/>
  <c r="JT10" i="21"/>
  <c r="JT28" i="21"/>
  <c r="JT22" i="21"/>
  <c r="KV6" i="21"/>
  <c r="KV29" i="21"/>
  <c r="KV13" i="21"/>
  <c r="KV19" i="21"/>
  <c r="LX5" i="21"/>
  <c r="LX7" i="21"/>
  <c r="OB10" i="21"/>
  <c r="OB28" i="21"/>
  <c r="OB22" i="21"/>
  <c r="PD6" i="21"/>
  <c r="PD29" i="21"/>
  <c r="EJ4" i="21"/>
  <c r="EJ9" i="21"/>
  <c r="GN14" i="21"/>
  <c r="GN23" i="21"/>
  <c r="GN16" i="21"/>
  <c r="HP8" i="21"/>
  <c r="HP12" i="21"/>
  <c r="HP11" i="21"/>
  <c r="HP26" i="21"/>
  <c r="IR4" i="21"/>
  <c r="IR9" i="21"/>
  <c r="KV14" i="21"/>
  <c r="KV23" i="21"/>
  <c r="KV16" i="21"/>
  <c r="LX8" i="21"/>
  <c r="LX12" i="21"/>
  <c r="LX11" i="21"/>
  <c r="LX26" i="21"/>
  <c r="MZ4" i="21"/>
  <c r="MZ9" i="21"/>
  <c r="AY4" i="21"/>
  <c r="AY9" i="21"/>
  <c r="AY14" i="21"/>
  <c r="AY23" i="21"/>
  <c r="AY16" i="21"/>
  <c r="CB8" i="21"/>
  <c r="CB12" i="21"/>
  <c r="CB11" i="21"/>
  <c r="CB26" i="21"/>
  <c r="AY5" i="21"/>
  <c r="AY7" i="21"/>
  <c r="AY10" i="21"/>
  <c r="AY28" i="21"/>
  <c r="AY22" i="21"/>
  <c r="CB6" i="21"/>
  <c r="CB29" i="21"/>
  <c r="CB13" i="21"/>
  <c r="CB19" i="21"/>
  <c r="AY8" i="21"/>
  <c r="AY12" i="21"/>
  <c r="AY11" i="21"/>
  <c r="AY26" i="21"/>
  <c r="CB4" i="21"/>
  <c r="CB9" i="21"/>
  <c r="CB14" i="21"/>
  <c r="CB23" i="21"/>
  <c r="CB16" i="21"/>
  <c r="AY6" i="21"/>
  <c r="AY29" i="21"/>
  <c r="AY13" i="21"/>
  <c r="AY19" i="21"/>
  <c r="CB5" i="21"/>
  <c r="CB7" i="21"/>
  <c r="CB10" i="21"/>
  <c r="CB28" i="21"/>
  <c r="CB22" i="21"/>
  <c r="DH35" i="19"/>
  <c r="DG22" i="19"/>
  <c r="DG34" i="19"/>
  <c r="RI22" i="19"/>
  <c r="RI34" i="19"/>
  <c r="AY6" i="19"/>
  <c r="AY8" i="19"/>
  <c r="AY14" i="19"/>
  <c r="AY19" i="19"/>
  <c r="AY27" i="19"/>
  <c r="AY25" i="19"/>
  <c r="CB9" i="19"/>
  <c r="CB16" i="19"/>
  <c r="CB15" i="19"/>
  <c r="CB21" i="19"/>
  <c r="CB29" i="19"/>
  <c r="AY33" i="19"/>
  <c r="AY40" i="19"/>
  <c r="AY38" i="19"/>
  <c r="CB6" i="19"/>
  <c r="CB31" i="19"/>
  <c r="CB30" i="19"/>
  <c r="CB41" i="19"/>
  <c r="J22" i="19"/>
  <c r="O35" i="19"/>
  <c r="DF35" i="19"/>
  <c r="J34" i="19"/>
  <c r="M35" i="19"/>
  <c r="O22" i="19"/>
  <c r="DF22" i="19"/>
  <c r="M22" i="19"/>
  <c r="JT30" i="19"/>
  <c r="JT41" i="19"/>
  <c r="CB8" i="19"/>
  <c r="CB38" i="19"/>
  <c r="AY5" i="19"/>
  <c r="AY11" i="19"/>
  <c r="AY10" i="19"/>
  <c r="AY18" i="19"/>
  <c r="AY20" i="19"/>
  <c r="AY24" i="19"/>
  <c r="AY28" i="19"/>
  <c r="AY32" i="19"/>
  <c r="AY37" i="19"/>
  <c r="CB5" i="19"/>
  <c r="CB11" i="19"/>
  <c r="AY7" i="19"/>
  <c r="AY9" i="19"/>
  <c r="AY16" i="19"/>
  <c r="AY15" i="19"/>
  <c r="AY21" i="19"/>
  <c r="AY29" i="19"/>
  <c r="AY31" i="19"/>
  <c r="AY30" i="19"/>
  <c r="AY41" i="19"/>
  <c r="CB7" i="19"/>
  <c r="OB7" i="19"/>
  <c r="OB9" i="19"/>
  <c r="OB16" i="19"/>
  <c r="OB15" i="19"/>
  <c r="OB27" i="19"/>
  <c r="OB25" i="19"/>
  <c r="OB31" i="19"/>
  <c r="OB30" i="19"/>
  <c r="OB41" i="19"/>
  <c r="CB14" i="19"/>
  <c r="CB19" i="19"/>
  <c r="CB27" i="19"/>
  <c r="CB25" i="19"/>
  <c r="CB33" i="19"/>
  <c r="CB40" i="19"/>
  <c r="KV6" i="19"/>
  <c r="KV8" i="19"/>
  <c r="KV14" i="19"/>
  <c r="KV19" i="19"/>
  <c r="KV20" i="19"/>
  <c r="KV24" i="19"/>
  <c r="KV33" i="19"/>
  <c r="KV40" i="19"/>
  <c r="KV38" i="19"/>
  <c r="PD6" i="19"/>
  <c r="PD8" i="19"/>
  <c r="PD14" i="19"/>
  <c r="PD19" i="19"/>
  <c r="PD20" i="19"/>
  <c r="PD24" i="19"/>
  <c r="PD33" i="19"/>
  <c r="PD40" i="19"/>
  <c r="PD38" i="19"/>
  <c r="CB10" i="19"/>
  <c r="CB18" i="19"/>
  <c r="CB20" i="19"/>
  <c r="CB24" i="19"/>
  <c r="CB28" i="19"/>
  <c r="CB32" i="19"/>
  <c r="CB37" i="19"/>
  <c r="LX5" i="19"/>
  <c r="LX12" i="19"/>
  <c r="LX10" i="19"/>
  <c r="LX18" i="19"/>
  <c r="LX29" i="19"/>
  <c r="LX23" i="19"/>
  <c r="LX28" i="19"/>
  <c r="LX32" i="19"/>
  <c r="LX37" i="19"/>
  <c r="AY4" i="19"/>
  <c r="AY12" i="19"/>
  <c r="AY13" i="19"/>
  <c r="AY26" i="19"/>
  <c r="AY17" i="19"/>
  <c r="AY23" i="19"/>
  <c r="AY39" i="19"/>
  <c r="AY36" i="19"/>
  <c r="CB4" i="19"/>
  <c r="CB12" i="19"/>
  <c r="CB13" i="19"/>
  <c r="CB26" i="19"/>
  <c r="CB17" i="19"/>
  <c r="CB23" i="19"/>
  <c r="CB39" i="19"/>
  <c r="CB36" i="19"/>
  <c r="MZ4" i="19"/>
  <c r="MZ11" i="19"/>
  <c r="MZ13" i="19"/>
  <c r="MZ26" i="19"/>
  <c r="MZ17" i="19"/>
  <c r="MZ21" i="19"/>
  <c r="MZ39" i="19"/>
  <c r="MZ36" i="19"/>
  <c r="RI26" i="27"/>
  <c r="J21" i="27"/>
  <c r="B21" i="27" s="1" a="1"/>
  <c r="B21" i="27" s="1"/>
  <c r="RI24" i="27"/>
  <c r="DH23" i="27"/>
  <c r="T23" i="27" s="1"/>
  <c r="S23" i="27"/>
  <c r="J18" i="27"/>
  <c r="B18" i="27" s="1" a="1"/>
  <c r="B18" i="27" s="1"/>
  <c r="J14" i="27"/>
  <c r="M25" i="27"/>
  <c r="O18" i="27"/>
  <c r="DF18" i="27"/>
  <c r="DG18" i="27"/>
  <c r="Q18" i="27"/>
  <c r="DH26" i="27"/>
  <c r="S26" i="27"/>
  <c r="O25" i="27"/>
  <c r="DF25" i="27"/>
  <c r="T25" i="27" s="1"/>
  <c r="K25" i="27"/>
  <c r="J25" i="27" s="1"/>
  <c r="M14" i="27"/>
  <c r="O14" i="27"/>
  <c r="DF14" i="27"/>
  <c r="O22" i="27"/>
  <c r="DF22" i="27"/>
  <c r="T22" i="27" s="1"/>
  <c r="DH21" i="27"/>
  <c r="T21" i="27" s="1"/>
  <c r="S21" i="27"/>
  <c r="M21" i="27"/>
  <c r="K24" i="27"/>
  <c r="J24" i="27" s="1"/>
  <c r="M22" i="27"/>
  <c r="AY7" i="27"/>
  <c r="AY10" i="27"/>
  <c r="AY19" i="27"/>
  <c r="CB4" i="27"/>
  <c r="CB9" i="27"/>
  <c r="CB20" i="27"/>
  <c r="CB13" i="27"/>
  <c r="AY5" i="27"/>
  <c r="AY11" i="27"/>
  <c r="AY12" i="27"/>
  <c r="AY17" i="27"/>
  <c r="CB6" i="27"/>
  <c r="CB8" i="27"/>
  <c r="CB15" i="27"/>
  <c r="CB16" i="27"/>
  <c r="AY4" i="27"/>
  <c r="AY9" i="27"/>
  <c r="AY20" i="27"/>
  <c r="AY13" i="27"/>
  <c r="CB5" i="27"/>
  <c r="CB11" i="27"/>
  <c r="CB12" i="27"/>
  <c r="CB17" i="27"/>
  <c r="AY6" i="27"/>
  <c r="AY8" i="27"/>
  <c r="AY15" i="27"/>
  <c r="AY16" i="27"/>
  <c r="CB7" i="27"/>
  <c r="CB10" i="27"/>
  <c r="CB19" i="27"/>
  <c r="RF23" i="26"/>
  <c r="Q23" i="26"/>
  <c r="RI23" i="26"/>
  <c r="K21" i="26"/>
  <c r="J21" i="26" s="1"/>
  <c r="J22" i="26"/>
  <c r="B22" i="26" s="1" a="1"/>
  <c r="B22" i="26" s="1"/>
  <c r="RF13" i="26"/>
  <c r="DH13" i="26"/>
  <c r="T13" i="26" s="1"/>
  <c r="RI22" i="26"/>
  <c r="DF21" i="26"/>
  <c r="O22" i="26"/>
  <c r="DF22" i="26"/>
  <c r="T22" i="26" s="1"/>
  <c r="M13" i="26"/>
  <c r="M21" i="26"/>
  <c r="M22" i="26"/>
  <c r="FL5" i="26"/>
  <c r="FL12" i="26"/>
  <c r="FL14" i="26"/>
  <c r="FL19" i="26"/>
  <c r="GN5" i="26"/>
  <c r="GN12" i="26"/>
  <c r="GN14" i="26"/>
  <c r="GN19" i="26"/>
  <c r="JT5" i="26"/>
  <c r="JT12" i="26"/>
  <c r="JT14" i="26"/>
  <c r="JT19" i="26"/>
  <c r="KV5" i="26"/>
  <c r="KV12" i="26"/>
  <c r="KV14" i="26"/>
  <c r="KV19" i="26"/>
  <c r="OB5" i="26"/>
  <c r="OB12" i="26"/>
  <c r="OB14" i="26"/>
  <c r="OB19" i="26"/>
  <c r="PD5" i="26"/>
  <c r="PD12" i="26"/>
  <c r="PD14" i="26"/>
  <c r="AY4" i="26"/>
  <c r="AY6" i="26"/>
  <c r="AY9" i="26"/>
  <c r="AY18" i="26"/>
  <c r="CB4" i="26"/>
  <c r="CB6" i="26"/>
  <c r="CB9" i="26"/>
  <c r="CB18" i="26"/>
  <c r="AY8" i="26"/>
  <c r="AY11" i="26"/>
  <c r="AY17" i="26"/>
  <c r="AY20" i="26"/>
  <c r="CB8" i="26"/>
  <c r="CB11" i="26"/>
  <c r="CB17" i="26"/>
  <c r="CB20" i="26"/>
  <c r="AY7" i="26"/>
  <c r="AY10" i="26"/>
  <c r="AY16" i="26"/>
  <c r="AY15" i="26"/>
  <c r="CB7" i="26"/>
  <c r="CB10" i="26"/>
  <c r="CB16" i="26"/>
  <c r="CB15" i="26"/>
  <c r="AY5" i="26"/>
  <c r="AY12" i="26"/>
  <c r="AY14" i="26"/>
  <c r="AY19" i="26"/>
  <c r="CB5" i="26"/>
  <c r="CB12" i="26"/>
  <c r="CB14" i="26"/>
  <c r="CB19" i="26"/>
  <c r="J34" i="22"/>
  <c r="A34" i="22" s="1" a="1"/>
  <c r="A34" i="22" s="1"/>
  <c r="DB34" i="22"/>
  <c r="AU29" i="22"/>
  <c r="AY29" i="22" s="1"/>
  <c r="AU23" i="22"/>
  <c r="AY23" i="22" s="1"/>
  <c r="AU33" i="22"/>
  <c r="AY33" i="22" s="1"/>
  <c r="AU14" i="22"/>
  <c r="AY14" i="22" s="1"/>
  <c r="TR36" i="22"/>
  <c r="TV36" i="22" s="1"/>
  <c r="DC34" i="22"/>
  <c r="AY11" i="22"/>
  <c r="BZ28" i="22"/>
  <c r="AU15" i="22"/>
  <c r="AY15" i="22" s="1"/>
  <c r="BZ35" i="22"/>
  <c r="J27" i="22"/>
  <c r="A27" i="22" s="1" a="1"/>
  <c r="A27" i="22" s="1"/>
  <c r="AU7" i="22"/>
  <c r="AY7" i="22" s="1"/>
  <c r="BZ31" i="22"/>
  <c r="DB20" i="22"/>
  <c r="DC38" i="22"/>
  <c r="J17" i="22"/>
  <c r="B17" i="22" s="1" a="1"/>
  <c r="B17" i="22" s="1"/>
  <c r="AU8" i="22"/>
  <c r="AY8" i="22" s="1"/>
  <c r="AU24" i="22"/>
  <c r="AY24" i="22" s="1"/>
  <c r="BZ22" i="22"/>
  <c r="DB38" i="22"/>
  <c r="O38" i="22"/>
  <c r="M36" i="22"/>
  <c r="M27" i="22"/>
  <c r="DB17" i="22"/>
  <c r="O17" i="22"/>
  <c r="J37" i="22"/>
  <c r="DB27" i="22"/>
  <c r="O27" i="22"/>
  <c r="J20" i="22"/>
  <c r="Q17" i="22"/>
  <c r="DC17" i="22"/>
  <c r="DC20" i="22"/>
  <c r="Q20" i="22"/>
  <c r="M17" i="22"/>
  <c r="Q32" i="22"/>
  <c r="DC32" i="22"/>
  <c r="J38" i="22"/>
  <c r="O36" i="22"/>
  <c r="DB36" i="22"/>
  <c r="DC27" i="22"/>
  <c r="Q27" i="22"/>
  <c r="DC37" i="22"/>
  <c r="V37" i="22" s="1"/>
  <c r="Q37" i="22"/>
  <c r="M38" i="22"/>
  <c r="J36" i="22"/>
  <c r="DB32" i="22"/>
  <c r="O32" i="22"/>
  <c r="Q36" i="22"/>
  <c r="DC36" i="22"/>
  <c r="J32" i="22"/>
  <c r="AU4" i="22"/>
  <c r="AY4" i="22" s="1"/>
  <c r="AU25" i="22"/>
  <c r="AY25" i="22" s="1"/>
  <c r="AU21" i="22"/>
  <c r="AY21" i="22" s="1"/>
  <c r="AU28" i="22"/>
  <c r="AY28" i="22" s="1"/>
  <c r="BZ26" i="22"/>
  <c r="AU13" i="22"/>
  <c r="AY13" i="22" s="1"/>
  <c r="BZ18" i="22"/>
  <c r="BV9" i="22"/>
  <c r="BZ9" i="22" s="1"/>
  <c r="BV16" i="22"/>
  <c r="BZ16" i="22" s="1"/>
  <c r="BV6" i="22"/>
  <c r="BZ6" i="22" s="1"/>
  <c r="AU35" i="22"/>
  <c r="AY35" i="22" s="1"/>
  <c r="BV7" i="22"/>
  <c r="BZ7" i="22" s="1"/>
  <c r="BV14" i="22"/>
  <c r="BZ14" i="22" s="1"/>
  <c r="BV15" i="22"/>
  <c r="BZ15" i="22" s="1"/>
  <c r="BZ19" i="22"/>
  <c r="BZ29" i="22"/>
  <c r="BV4" i="22"/>
  <c r="BZ4" i="22" s="1"/>
  <c r="AU6" i="22"/>
  <c r="AY6" i="22" s="1"/>
  <c r="AU9" i="22"/>
  <c r="AY9" i="22" s="1"/>
  <c r="AU22" i="22"/>
  <c r="AY22" i="22" s="1"/>
  <c r="AU26" i="22"/>
  <c r="AY26" i="22" s="1"/>
  <c r="AU30" i="22"/>
  <c r="AY30" i="22" s="1"/>
  <c r="BV12" i="22"/>
  <c r="BZ12" i="22" s="1"/>
  <c r="BZ25" i="22"/>
  <c r="BZ21" i="22"/>
  <c r="BZ11" i="22"/>
  <c r="AU19" i="22"/>
  <c r="AY19" i="22" s="1"/>
  <c r="BZ30" i="22"/>
  <c r="AU5" i="22"/>
  <c r="AY5" i="22" s="1"/>
  <c r="AU10" i="22"/>
  <c r="AY10" i="22" s="1"/>
  <c r="AU18" i="22"/>
  <c r="AY18" i="22" s="1"/>
  <c r="BV23" i="22"/>
  <c r="BZ23" i="22" s="1"/>
  <c r="AU12" i="22"/>
  <c r="AY12" i="22" s="1"/>
  <c r="AU16" i="22"/>
  <c r="AY16" i="22" s="1"/>
  <c r="AU31" i="22"/>
  <c r="AY31" i="22" s="1"/>
  <c r="BV5" i="22"/>
  <c r="BZ5" i="22" s="1"/>
  <c r="BZ10" i="22"/>
  <c r="BZ24" i="22"/>
  <c r="J27" i="4"/>
  <c r="B27" i="4" s="1" a="1"/>
  <c r="B27" i="4" s="1"/>
  <c r="J22" i="4"/>
  <c r="A22" i="4" s="1" a="1"/>
  <c r="A22" i="4" s="1"/>
  <c r="J26" i="4"/>
  <c r="A26" i="4" s="1" a="1"/>
  <c r="A26" i="4" s="1"/>
  <c r="TV22" i="4"/>
  <c r="DC21" i="4"/>
  <c r="V21" i="4" s="1"/>
  <c r="J23" i="4"/>
  <c r="A23" i="4" s="1" a="1"/>
  <c r="A23" i="4" s="1"/>
  <c r="TV21" i="4"/>
  <c r="J21" i="4"/>
  <c r="A21" i="4" s="1" a="1"/>
  <c r="A21" i="4" s="1"/>
  <c r="Q21" i="4"/>
  <c r="TR26" i="4"/>
  <c r="TV26" i="4" s="1"/>
  <c r="DC27" i="4"/>
  <c r="Q27" i="4"/>
  <c r="DC33" i="4"/>
  <c r="Q33" i="4"/>
  <c r="DC26" i="4"/>
  <c r="Q26" i="4"/>
  <c r="Q37" i="4"/>
  <c r="DC37" i="4"/>
  <c r="DB25" i="4"/>
  <c r="O25" i="4"/>
  <c r="O27" i="4"/>
  <c r="DB27" i="4"/>
  <c r="M27" i="4"/>
  <c r="O26" i="4"/>
  <c r="DB26" i="4"/>
  <c r="M19" i="4"/>
  <c r="O22" i="4"/>
  <c r="DB22" i="4"/>
  <c r="DC19" i="4"/>
  <c r="Q19" i="4"/>
  <c r="DC23" i="4"/>
  <c r="Q23" i="4"/>
  <c r="M22" i="4"/>
  <c r="Q25" i="4"/>
  <c r="DC25" i="4"/>
  <c r="J33" i="4"/>
  <c r="J25" i="4"/>
  <c r="O19" i="4"/>
  <c r="DB19" i="4"/>
  <c r="M37" i="4"/>
  <c r="DC22" i="4"/>
  <c r="Q22" i="4"/>
  <c r="O37" i="4"/>
  <c r="DB37" i="4"/>
  <c r="DB33" i="4"/>
  <c r="O33" i="4"/>
  <c r="J37" i="4"/>
  <c r="FL5" i="4"/>
  <c r="FS5" i="4" s="1"/>
  <c r="PX10" i="4"/>
  <c r="QE10" i="4" s="1"/>
  <c r="AU9" i="4"/>
  <c r="AY9" i="4" s="1"/>
  <c r="AU30" i="4"/>
  <c r="AY30" i="4" s="1"/>
  <c r="BV10" i="4"/>
  <c r="BZ10" i="4" s="1"/>
  <c r="BZ12" i="4"/>
  <c r="BZ7" i="4"/>
  <c r="BV9" i="4"/>
  <c r="BZ9" i="4" s="1"/>
  <c r="BZ18" i="4"/>
  <c r="BZ40" i="4"/>
  <c r="AY10" i="4"/>
  <c r="AU13" i="4"/>
  <c r="AY13" i="4" s="1"/>
  <c r="BV24" i="4"/>
  <c r="BZ24" i="4" s="1"/>
  <c r="BZ17" i="4"/>
  <c r="AU14" i="4"/>
  <c r="AY14" i="4" s="1"/>
  <c r="AU18" i="4"/>
  <c r="AY18" i="4" s="1"/>
  <c r="BV5" i="4"/>
  <c r="BZ5" i="4" s="1"/>
  <c r="BV11" i="4"/>
  <c r="BZ11" i="4" s="1"/>
  <c r="AY17" i="4"/>
  <c r="AU20" i="4"/>
  <c r="AY20" i="4" s="1"/>
  <c r="BV8" i="4"/>
  <c r="BZ8" i="4" s="1"/>
  <c r="BZ14" i="4"/>
  <c r="BV16" i="4"/>
  <c r="BZ16" i="4" s="1"/>
  <c r="BY5" i="21"/>
  <c r="BY4" i="21"/>
  <c r="BY6" i="21"/>
  <c r="BY8" i="21"/>
  <c r="BY7" i="21"/>
  <c r="BY9" i="21"/>
  <c r="BY29" i="21"/>
  <c r="BY12" i="21"/>
  <c r="BY10" i="21"/>
  <c r="BY14" i="21"/>
  <c r="BY13" i="21"/>
  <c r="BY11" i="21"/>
  <c r="BY28" i="21"/>
  <c r="BY23" i="21"/>
  <c r="BY19" i="21"/>
  <c r="BY26" i="21"/>
  <c r="BY22" i="21"/>
  <c r="BY16" i="21"/>
  <c r="AV5" i="21"/>
  <c r="AV4" i="21"/>
  <c r="AV6" i="21"/>
  <c r="AV8" i="21"/>
  <c r="AV7" i="21"/>
  <c r="AV9" i="21"/>
  <c r="AV29" i="21"/>
  <c r="AV12" i="21"/>
  <c r="AV10" i="21"/>
  <c r="AV14" i="21"/>
  <c r="AV13" i="21"/>
  <c r="AV11" i="21"/>
  <c r="AV28" i="21"/>
  <c r="AV23" i="21"/>
  <c r="AV19" i="21"/>
  <c r="AV26" i="21"/>
  <c r="AV22" i="21"/>
  <c r="AV16" i="21"/>
  <c r="BY4" i="19"/>
  <c r="BY5" i="19"/>
  <c r="BY6" i="19"/>
  <c r="BY7" i="19"/>
  <c r="BY12" i="19"/>
  <c r="BY11" i="19"/>
  <c r="BY8" i="19"/>
  <c r="BY9" i="19"/>
  <c r="BY13" i="19"/>
  <c r="BY10" i="19"/>
  <c r="BY14" i="19"/>
  <c r="BY16" i="19"/>
  <c r="BY26" i="19"/>
  <c r="BY18" i="19"/>
  <c r="BY19" i="19"/>
  <c r="BY15" i="19"/>
  <c r="BY17" i="19"/>
  <c r="BY20" i="19"/>
  <c r="BY27" i="19"/>
  <c r="BY21" i="19"/>
  <c r="BY23" i="19"/>
  <c r="BY24" i="19"/>
  <c r="BY25" i="19"/>
  <c r="BY29" i="19"/>
  <c r="BY28" i="19"/>
  <c r="BY33" i="19"/>
  <c r="BY31" i="19"/>
  <c r="BY39" i="19"/>
  <c r="BY32" i="19"/>
  <c r="BY40" i="19"/>
  <c r="BY30" i="19"/>
  <c r="BY36" i="19"/>
  <c r="BY37" i="19"/>
  <c r="BY38" i="19"/>
  <c r="BY41" i="19"/>
  <c r="AV4" i="19"/>
  <c r="AV5" i="19"/>
  <c r="AV6" i="19"/>
  <c r="AV7" i="19"/>
  <c r="AV12" i="19"/>
  <c r="AV11" i="19"/>
  <c r="AV8" i="19"/>
  <c r="AV9" i="19"/>
  <c r="AV13" i="19"/>
  <c r="AV10" i="19"/>
  <c r="AV14" i="19"/>
  <c r="AV16" i="19"/>
  <c r="AV26" i="19"/>
  <c r="AV18" i="19"/>
  <c r="AV19" i="19"/>
  <c r="AV15" i="19"/>
  <c r="AV17" i="19"/>
  <c r="AV20" i="19"/>
  <c r="AV27" i="19"/>
  <c r="AV21" i="19"/>
  <c r="AV23" i="19"/>
  <c r="AV24" i="19"/>
  <c r="AV25" i="19"/>
  <c r="AV29" i="19"/>
  <c r="AV28" i="19"/>
  <c r="AV33" i="19"/>
  <c r="AV31" i="19"/>
  <c r="AV39" i="19"/>
  <c r="AV32" i="19"/>
  <c r="AV40" i="19"/>
  <c r="AV30" i="19"/>
  <c r="AV36" i="19"/>
  <c r="AV37" i="19"/>
  <c r="AV38" i="19"/>
  <c r="AV41" i="19"/>
  <c r="BY4" i="27"/>
  <c r="BY5" i="27"/>
  <c r="BY6" i="27"/>
  <c r="BY7" i="27"/>
  <c r="BY9" i="27"/>
  <c r="BY11" i="27"/>
  <c r="BY8" i="27"/>
  <c r="BY10" i="27"/>
  <c r="BY20" i="27"/>
  <c r="BY12" i="27"/>
  <c r="BY15" i="27"/>
  <c r="BY19" i="27"/>
  <c r="BY13" i="27"/>
  <c r="BY17" i="27"/>
  <c r="BY16" i="27"/>
  <c r="AV4" i="27"/>
  <c r="AV5" i="27"/>
  <c r="AV6" i="27"/>
  <c r="AV7" i="27"/>
  <c r="AV9" i="27"/>
  <c r="AV11" i="27"/>
  <c r="AV8" i="27"/>
  <c r="AV10" i="27"/>
  <c r="AV20" i="27"/>
  <c r="AV12" i="27"/>
  <c r="AV15" i="27"/>
  <c r="AV19" i="27"/>
  <c r="AV13" i="27"/>
  <c r="AV17" i="27"/>
  <c r="AV16" i="27"/>
  <c r="BY4" i="26"/>
  <c r="BY5" i="26"/>
  <c r="BY7" i="26"/>
  <c r="BY8" i="26"/>
  <c r="BY6" i="26"/>
  <c r="BY12" i="26"/>
  <c r="BY10" i="26"/>
  <c r="BY11" i="26"/>
  <c r="BY9" i="26"/>
  <c r="BY14" i="26"/>
  <c r="BY16" i="26"/>
  <c r="BY17" i="26"/>
  <c r="BY18" i="26"/>
  <c r="BY19" i="26"/>
  <c r="BY15" i="26"/>
  <c r="BY20" i="26"/>
  <c r="AV4" i="26"/>
  <c r="AV5" i="26"/>
  <c r="AV7" i="26"/>
  <c r="AV8" i="26"/>
  <c r="AV6" i="26"/>
  <c r="AV12" i="26"/>
  <c r="AV10" i="26"/>
  <c r="AV11" i="26"/>
  <c r="AV9" i="26"/>
  <c r="AV14" i="26"/>
  <c r="AV16" i="26"/>
  <c r="AV17" i="26"/>
  <c r="AV18" i="26"/>
  <c r="AV19" i="26"/>
  <c r="AV15" i="26"/>
  <c r="AV20" i="26"/>
  <c r="EJ7" i="19"/>
  <c r="EJ9" i="19"/>
  <c r="EJ16" i="19"/>
  <c r="EJ15" i="19"/>
  <c r="EJ27" i="19"/>
  <c r="EJ25" i="19"/>
  <c r="EJ31" i="19"/>
  <c r="EJ30" i="19"/>
  <c r="EJ41" i="19"/>
  <c r="FL6" i="19"/>
  <c r="FL8" i="19"/>
  <c r="FL14" i="19"/>
  <c r="FL19" i="19"/>
  <c r="FL20" i="19"/>
  <c r="FL24" i="19"/>
  <c r="FL33" i="19"/>
  <c r="FL40" i="19"/>
  <c r="FL38" i="19"/>
  <c r="GN5" i="19"/>
  <c r="GN12" i="19"/>
  <c r="GN10" i="19"/>
  <c r="GN18" i="19"/>
  <c r="GN29" i="19"/>
  <c r="GN23" i="19"/>
  <c r="GN28" i="19"/>
  <c r="GN32" i="19"/>
  <c r="GN37" i="19"/>
  <c r="HP4" i="19"/>
  <c r="HP11" i="19"/>
  <c r="HP13" i="19"/>
  <c r="HP26" i="19"/>
  <c r="HP17" i="19"/>
  <c r="HP21" i="19"/>
  <c r="HP39" i="19"/>
  <c r="HP36" i="19"/>
  <c r="IR7" i="19"/>
  <c r="IR9" i="19"/>
  <c r="IR16" i="19"/>
  <c r="IR15" i="19"/>
  <c r="IR27" i="19"/>
  <c r="IR25" i="19"/>
  <c r="IR31" i="19"/>
  <c r="IR30" i="19"/>
  <c r="IR41" i="19"/>
  <c r="JT6" i="19"/>
  <c r="JT8" i="19"/>
  <c r="JT14" i="19"/>
  <c r="JT19" i="19"/>
  <c r="JT20" i="19"/>
  <c r="JT24" i="19"/>
  <c r="JT33" i="19"/>
  <c r="JT40" i="19"/>
  <c r="JT38" i="19"/>
  <c r="KV5" i="19"/>
  <c r="KV12" i="19"/>
  <c r="KV10" i="19"/>
  <c r="KV18" i="19"/>
  <c r="KV29" i="19"/>
  <c r="KV23" i="19"/>
  <c r="KV28" i="19"/>
  <c r="KV32" i="19"/>
  <c r="KV37" i="19"/>
  <c r="LX4" i="19"/>
  <c r="LX11" i="19"/>
  <c r="PD19" i="26"/>
  <c r="EJ7" i="26"/>
  <c r="EJ10" i="26"/>
  <c r="EJ16" i="26"/>
  <c r="EJ15" i="26"/>
  <c r="FL7" i="26"/>
  <c r="FL10" i="26"/>
  <c r="FL16" i="26"/>
  <c r="FL15" i="26"/>
  <c r="IR7" i="26"/>
  <c r="IR10" i="26"/>
  <c r="IR16" i="26"/>
  <c r="IR15" i="26"/>
  <c r="JT7" i="26"/>
  <c r="JT10" i="26"/>
  <c r="JT16" i="26"/>
  <c r="JT15" i="26"/>
  <c r="MZ7" i="26"/>
  <c r="MZ10" i="26"/>
  <c r="MZ16" i="26"/>
  <c r="MZ15" i="26"/>
  <c r="OB7" i="26"/>
  <c r="OB10" i="26"/>
  <c r="PX14" i="4"/>
  <c r="QE14" i="4" s="1"/>
  <c r="PX17" i="4"/>
  <c r="QE17" i="4" s="1"/>
  <c r="RF14" i="4"/>
  <c r="RM14" i="4" s="1"/>
  <c r="RF36" i="4"/>
  <c r="RM36" i="4" s="1"/>
  <c r="RF32" i="4"/>
  <c r="RM32" i="4" s="1"/>
  <c r="FL10" i="4"/>
  <c r="FS10" i="4" s="1"/>
  <c r="PX11" i="4"/>
  <c r="QE11" i="4" s="1"/>
  <c r="RF11" i="4"/>
  <c r="RM11" i="4" s="1"/>
  <c r="RF13" i="4"/>
  <c r="RM13" i="4" s="1"/>
  <c r="FL10" i="21"/>
  <c r="FL28" i="21"/>
  <c r="FL22" i="21"/>
  <c r="GN6" i="21"/>
  <c r="GN29" i="21"/>
  <c r="GN13" i="21"/>
  <c r="GN19" i="21"/>
  <c r="HP5" i="21"/>
  <c r="HP7" i="21"/>
  <c r="IO37" i="19"/>
  <c r="EJ4" i="19"/>
  <c r="EJ11" i="19"/>
  <c r="EJ13" i="19"/>
  <c r="EJ26" i="19"/>
  <c r="EJ17" i="19"/>
  <c r="EJ21" i="19"/>
  <c r="EJ39" i="19"/>
  <c r="EJ36" i="19"/>
  <c r="FL7" i="19"/>
  <c r="FL9" i="19"/>
  <c r="FL16" i="19"/>
  <c r="FL15" i="19"/>
  <c r="FL27" i="19"/>
  <c r="FL25" i="19"/>
  <c r="FL31" i="19"/>
  <c r="FL30" i="19"/>
  <c r="FL41" i="19"/>
  <c r="GN6" i="19"/>
  <c r="GN8" i="19"/>
  <c r="GN14" i="19"/>
  <c r="GN19" i="19"/>
  <c r="GN20" i="19"/>
  <c r="GN24" i="19"/>
  <c r="GN33" i="19"/>
  <c r="GN40" i="19"/>
  <c r="GN38" i="19"/>
  <c r="HP5" i="19"/>
  <c r="HP12" i="19"/>
  <c r="HP10" i="19"/>
  <c r="HP18" i="19"/>
  <c r="HP29" i="19"/>
  <c r="HP23" i="19"/>
  <c r="HP28" i="19"/>
  <c r="HP32" i="19"/>
  <c r="HP37" i="19"/>
  <c r="IR4" i="19"/>
  <c r="IR11" i="19"/>
  <c r="IR13" i="19"/>
  <c r="IR26" i="19"/>
  <c r="IR17" i="19"/>
  <c r="IR21" i="19"/>
  <c r="IR39" i="19"/>
  <c r="IR36" i="19"/>
  <c r="JT7" i="19"/>
  <c r="JT9" i="19"/>
  <c r="JT16" i="19"/>
  <c r="JT15" i="19"/>
  <c r="JT27" i="19"/>
  <c r="JT25" i="19"/>
  <c r="JT31" i="19"/>
  <c r="LX13" i="19"/>
  <c r="LX26" i="19"/>
  <c r="LX17" i="19"/>
  <c r="LX21" i="19"/>
  <c r="LX39" i="19"/>
  <c r="LX36" i="19"/>
  <c r="MZ7" i="19"/>
  <c r="MZ9" i="19"/>
  <c r="MZ16" i="19"/>
  <c r="MZ15" i="19"/>
  <c r="MZ27" i="19"/>
  <c r="MZ25" i="19"/>
  <c r="MZ31" i="19"/>
  <c r="MZ30" i="19"/>
  <c r="MZ41" i="19"/>
  <c r="OB6" i="19"/>
  <c r="OB8" i="19"/>
  <c r="OB14" i="19"/>
  <c r="OB19" i="19"/>
  <c r="OB20" i="19"/>
  <c r="OB24" i="19"/>
  <c r="OB33" i="19"/>
  <c r="OB40" i="19"/>
  <c r="OB38" i="19"/>
  <c r="PD5" i="19"/>
  <c r="PD12" i="19"/>
  <c r="PD10" i="19"/>
  <c r="PD18" i="19"/>
  <c r="PD29" i="19"/>
  <c r="PD23" i="19"/>
  <c r="PD28" i="19"/>
  <c r="PD32" i="19"/>
  <c r="PD37" i="19"/>
  <c r="NY7" i="27"/>
  <c r="EG17" i="27"/>
  <c r="KV6" i="27"/>
  <c r="KV8" i="27"/>
  <c r="KV15" i="27"/>
  <c r="KV16" i="27"/>
  <c r="OB5" i="27"/>
  <c r="NY17" i="27"/>
  <c r="NY9" i="27"/>
  <c r="NY13" i="27"/>
  <c r="JQ34" i="4"/>
  <c r="JQ28" i="4"/>
  <c r="FL14" i="4"/>
  <c r="FS14" i="4" s="1"/>
  <c r="FL17" i="4"/>
  <c r="FS17" i="4" s="1"/>
  <c r="GT10" i="4"/>
  <c r="HA10" i="4" s="1"/>
  <c r="GT14" i="4"/>
  <c r="HA14" i="4" s="1"/>
  <c r="GT17" i="4"/>
  <c r="HA17" i="4" s="1"/>
  <c r="GT12" i="4"/>
  <c r="HA12" i="4" s="1"/>
  <c r="IB14" i="4"/>
  <c r="II14" i="4" s="1"/>
  <c r="KR40" i="4"/>
  <c r="KY40" i="4" s="1"/>
  <c r="LZ5" i="4"/>
  <c r="MG5" i="4" s="1"/>
  <c r="LZ30" i="4"/>
  <c r="MG30" i="4" s="1"/>
  <c r="LZ40" i="4"/>
  <c r="MG40" i="4" s="1"/>
  <c r="NH5" i="4"/>
  <c r="NO5" i="4" s="1"/>
  <c r="OP5" i="4"/>
  <c r="OW5" i="4" s="1"/>
  <c r="JQ6" i="4"/>
  <c r="PX12" i="4"/>
  <c r="QE12" i="4" s="1"/>
  <c r="IB17" i="4"/>
  <c r="II17" i="4" s="1"/>
  <c r="IB31" i="4"/>
  <c r="II31" i="4" s="1"/>
  <c r="IB40" i="4"/>
  <c r="II40" i="4" s="1"/>
  <c r="JJ7" i="4"/>
  <c r="JQ7" i="4" s="1"/>
  <c r="JJ5" i="4"/>
  <c r="JQ5" i="4" s="1"/>
  <c r="JJ9" i="4"/>
  <c r="JQ9" i="4" s="1"/>
  <c r="JJ10" i="4"/>
  <c r="JQ10" i="4" s="1"/>
  <c r="JJ14" i="4"/>
  <c r="JQ14" i="4" s="1"/>
  <c r="JJ35" i="4"/>
  <c r="JQ35" i="4" s="1"/>
  <c r="JJ17" i="4"/>
  <c r="JQ17" i="4" s="1"/>
  <c r="JJ12" i="4"/>
  <c r="JQ12" i="4" s="1"/>
  <c r="KR7" i="4"/>
  <c r="KY7" i="4" s="1"/>
  <c r="KR5" i="4"/>
  <c r="KY5" i="4" s="1"/>
  <c r="KR9" i="4"/>
  <c r="KY9" i="4" s="1"/>
  <c r="KR10" i="4"/>
  <c r="KY10" i="4" s="1"/>
  <c r="KR24" i="4"/>
  <c r="KY24" i="4" s="1"/>
  <c r="KR14" i="4"/>
  <c r="KY14" i="4" s="1"/>
  <c r="KR17" i="4"/>
  <c r="KY17" i="4" s="1"/>
  <c r="KR16" i="4"/>
  <c r="KY16" i="4" s="1"/>
  <c r="KR12" i="4"/>
  <c r="KY12" i="4" s="1"/>
  <c r="NO38" i="4"/>
  <c r="NH10" i="4"/>
  <c r="NO10" i="4" s="1"/>
  <c r="NH24" i="4"/>
  <c r="NO24" i="4" s="1"/>
  <c r="NH14" i="4"/>
  <c r="NO14" i="4" s="1"/>
  <c r="NH35" i="4"/>
  <c r="NO35" i="4" s="1"/>
  <c r="NH17" i="4"/>
  <c r="NO17" i="4" s="1"/>
  <c r="NH29" i="4"/>
  <c r="NO29" i="4" s="1"/>
  <c r="OP10" i="4"/>
  <c r="OW10" i="4" s="1"/>
  <c r="OP16" i="4"/>
  <c r="OW16" i="4" s="1"/>
  <c r="OP12" i="4"/>
  <c r="OW12" i="4" s="1"/>
  <c r="OP29" i="4"/>
  <c r="OW29" i="4" s="1"/>
  <c r="OP30" i="4"/>
  <c r="OW30" i="4" s="1"/>
  <c r="OP31" i="4"/>
  <c r="OW31" i="4" s="1"/>
  <c r="OP40" i="4"/>
  <c r="OW40" i="4" s="1"/>
  <c r="PX5" i="4"/>
  <c r="QE5" i="4" s="1"/>
  <c r="PX9" i="4"/>
  <c r="QE9" i="4" s="1"/>
  <c r="PX15" i="4"/>
  <c r="QE15" i="4" s="1"/>
  <c r="PX39" i="4"/>
  <c r="QE39" i="4" s="1"/>
  <c r="RF31" i="4"/>
  <c r="FL8" i="4"/>
  <c r="FS8" i="4" s="1"/>
  <c r="RF30" i="4"/>
  <c r="RM30" i="4" s="1"/>
  <c r="FL11" i="4"/>
  <c r="FS11" i="4" s="1"/>
  <c r="FL36" i="4"/>
  <c r="FS36" i="4" s="1"/>
  <c r="GT8" i="4"/>
  <c r="HA8" i="4" s="1"/>
  <c r="GT11" i="4"/>
  <c r="HA11" i="4" s="1"/>
  <c r="GT13" i="4"/>
  <c r="HA13" i="4" s="1"/>
  <c r="GT20" i="4"/>
  <c r="HA20" i="4" s="1"/>
  <c r="IB11" i="4"/>
  <c r="II11" i="4" s="1"/>
  <c r="KR20" i="4"/>
  <c r="KY20" i="4" s="1"/>
  <c r="RF40" i="4"/>
  <c r="RM40" i="4" s="1"/>
  <c r="KR32" i="4"/>
  <c r="KY32" i="4" s="1"/>
  <c r="LZ8" i="4"/>
  <c r="MG8" i="4" s="1"/>
  <c r="LZ20" i="4"/>
  <c r="MG20" i="4" s="1"/>
  <c r="LZ32" i="4"/>
  <c r="MG32" i="4" s="1"/>
  <c r="NH4" i="4"/>
  <c r="NO4" i="4" s="1"/>
  <c r="NH6" i="4"/>
  <c r="NO6" i="4" s="1"/>
  <c r="NH34" i="4"/>
  <c r="NO34" i="4" s="1"/>
  <c r="NH13" i="4"/>
  <c r="NO13" i="4" s="1"/>
  <c r="NH18" i="4"/>
  <c r="NO18" i="4" s="1"/>
  <c r="OP11" i="4"/>
  <c r="OW11" i="4" s="1"/>
  <c r="OP36" i="4"/>
  <c r="OW36" i="4" s="1"/>
  <c r="PX8" i="4"/>
  <c r="QE8" i="4" s="1"/>
  <c r="EJ5" i="21"/>
  <c r="EJ7" i="21"/>
  <c r="EJ10" i="21"/>
  <c r="EJ28" i="21"/>
  <c r="EJ22" i="21"/>
  <c r="FL6" i="21"/>
  <c r="HP29" i="21"/>
  <c r="HP13" i="21"/>
  <c r="HP19" i="21"/>
  <c r="IR5" i="21"/>
  <c r="IR7" i="21"/>
  <c r="IR10" i="21"/>
  <c r="IR28" i="21"/>
  <c r="IR22" i="21"/>
  <c r="JT6" i="21"/>
  <c r="LX29" i="21"/>
  <c r="LX13" i="21"/>
  <c r="LX19" i="21"/>
  <c r="MZ5" i="21"/>
  <c r="MZ7" i="21"/>
  <c r="MZ10" i="21"/>
  <c r="MZ28" i="21"/>
  <c r="MZ22" i="21"/>
  <c r="OB6" i="21"/>
  <c r="EJ12" i="21"/>
  <c r="EJ11" i="21"/>
  <c r="EJ26" i="21"/>
  <c r="FL4" i="21"/>
  <c r="FL9" i="21"/>
  <c r="FL14" i="21"/>
  <c r="FL23" i="21"/>
  <c r="FL16" i="21"/>
  <c r="GN8" i="21"/>
  <c r="IR12" i="21"/>
  <c r="IR11" i="21"/>
  <c r="IR26" i="21"/>
  <c r="JT4" i="21"/>
  <c r="JT9" i="21"/>
  <c r="JT14" i="21"/>
  <c r="JT23" i="21"/>
  <c r="JT16" i="21"/>
  <c r="KV8" i="21"/>
  <c r="MZ12" i="21"/>
  <c r="MZ11" i="21"/>
  <c r="MZ26" i="21"/>
  <c r="OB4" i="21"/>
  <c r="OB9" i="21"/>
  <c r="OB14" i="21"/>
  <c r="OB23" i="21"/>
  <c r="OB16" i="21"/>
  <c r="PD8" i="21"/>
  <c r="PD7" i="27"/>
  <c r="PD10" i="27"/>
  <c r="PD19" i="27"/>
  <c r="KV5" i="27"/>
  <c r="KV11" i="27"/>
  <c r="KV12" i="27"/>
  <c r="KV17" i="27"/>
  <c r="OB10" i="27"/>
  <c r="NY19" i="27"/>
  <c r="PD4" i="27"/>
  <c r="PD9" i="27"/>
  <c r="PD20" i="27"/>
  <c r="PD13" i="27"/>
  <c r="EJ8" i="26"/>
  <c r="EJ11" i="26"/>
  <c r="EJ17" i="26"/>
  <c r="EJ20" i="26"/>
  <c r="HP8" i="26"/>
  <c r="HP11" i="26"/>
  <c r="HP17" i="26"/>
  <c r="HP20" i="26"/>
  <c r="IR8" i="26"/>
  <c r="IR11" i="26"/>
  <c r="IR17" i="26"/>
  <c r="IR20" i="26"/>
  <c r="LX8" i="26"/>
  <c r="LX11" i="26"/>
  <c r="LX17" i="26"/>
  <c r="LX20" i="26"/>
  <c r="MZ8" i="26"/>
  <c r="MZ11" i="26"/>
  <c r="MZ17" i="26"/>
  <c r="MZ20" i="26"/>
  <c r="RG17" i="26"/>
  <c r="OB16" i="26"/>
  <c r="OB15" i="26"/>
  <c r="GN4" i="26"/>
  <c r="GN6" i="26"/>
  <c r="GN9" i="26"/>
  <c r="GN18" i="26"/>
  <c r="HP4" i="26"/>
  <c r="HP6" i="26"/>
  <c r="HP9" i="26"/>
  <c r="HP18" i="26"/>
  <c r="KV4" i="26"/>
  <c r="KV6" i="26"/>
  <c r="KV9" i="26"/>
  <c r="KV18" i="26"/>
  <c r="LX4" i="26"/>
  <c r="LX6" i="26"/>
  <c r="LX9" i="26"/>
  <c r="LX18" i="26"/>
  <c r="PD4" i="26"/>
  <c r="PD9" i="26"/>
  <c r="PD18" i="26"/>
  <c r="PD13" i="21"/>
  <c r="PD19" i="21"/>
  <c r="PD14" i="21"/>
  <c r="PD23" i="21"/>
  <c r="PD16" i="21"/>
  <c r="DE4" i="21"/>
  <c r="EJ8" i="21"/>
  <c r="EJ29" i="21"/>
  <c r="EJ13" i="21"/>
  <c r="EJ19" i="21"/>
  <c r="FL5" i="21"/>
  <c r="FL7" i="21"/>
  <c r="FL12" i="21"/>
  <c r="FL11" i="21"/>
  <c r="FL26" i="21"/>
  <c r="GN4" i="21"/>
  <c r="GN9" i="21"/>
  <c r="GN10" i="21"/>
  <c r="GN28" i="21"/>
  <c r="GN22" i="21"/>
  <c r="HP6" i="21"/>
  <c r="HP14" i="21"/>
  <c r="HP23" i="21"/>
  <c r="HP16" i="21"/>
  <c r="IR8" i="21"/>
  <c r="IR29" i="21"/>
  <c r="IR13" i="21"/>
  <c r="IR19" i="21"/>
  <c r="JT5" i="21"/>
  <c r="JT7" i="21"/>
  <c r="JT12" i="21"/>
  <c r="JT11" i="21"/>
  <c r="JT26" i="21"/>
  <c r="KV4" i="21"/>
  <c r="KV9" i="21"/>
  <c r="KV10" i="21"/>
  <c r="KV28" i="21"/>
  <c r="KV22" i="21"/>
  <c r="LX6" i="21"/>
  <c r="LX14" i="21"/>
  <c r="LX23" i="21"/>
  <c r="LX16" i="21"/>
  <c r="MZ8" i="21"/>
  <c r="MZ29" i="21"/>
  <c r="MZ13" i="21"/>
  <c r="MZ19" i="21"/>
  <c r="OB5" i="21"/>
  <c r="OB7" i="21"/>
  <c r="OB12" i="21"/>
  <c r="OB11" i="21"/>
  <c r="OB26" i="21"/>
  <c r="PD4" i="21"/>
  <c r="PD9" i="21"/>
  <c r="PD10" i="21"/>
  <c r="PD28" i="21"/>
  <c r="PD22" i="21"/>
  <c r="EJ6" i="21"/>
  <c r="EJ14" i="21"/>
  <c r="EJ23" i="21"/>
  <c r="EJ16" i="21"/>
  <c r="FL8" i="21"/>
  <c r="FL29" i="21"/>
  <c r="FL13" i="21"/>
  <c r="FL19" i="21"/>
  <c r="GN5" i="21"/>
  <c r="GN7" i="21"/>
  <c r="GN12" i="21"/>
  <c r="GN11" i="21"/>
  <c r="GN26" i="21"/>
  <c r="HP4" i="21"/>
  <c r="HP9" i="21"/>
  <c r="HP10" i="21"/>
  <c r="HP28" i="21"/>
  <c r="HP22" i="21"/>
  <c r="IR6" i="21"/>
  <c r="IR14" i="21"/>
  <c r="IR23" i="21"/>
  <c r="IR16" i="21"/>
  <c r="JT8" i="21"/>
  <c r="JT29" i="21"/>
  <c r="JT13" i="21"/>
  <c r="JT19" i="21"/>
  <c r="KV5" i="21"/>
  <c r="KV7" i="21"/>
  <c r="KV12" i="21"/>
  <c r="KV11" i="21"/>
  <c r="KV26" i="21"/>
  <c r="LX4" i="21"/>
  <c r="LX9" i="21"/>
  <c r="LX10" i="21"/>
  <c r="LX28" i="21"/>
  <c r="LX22" i="21"/>
  <c r="MZ6" i="21"/>
  <c r="MZ14" i="21"/>
  <c r="MZ23" i="21"/>
  <c r="MZ16" i="21"/>
  <c r="OB8" i="21"/>
  <c r="OB29" i="21"/>
  <c r="OB13" i="21"/>
  <c r="OB19" i="21"/>
  <c r="PD5" i="21"/>
  <c r="PD7" i="21"/>
  <c r="PD12" i="21"/>
  <c r="PD11" i="21"/>
  <c r="PD26" i="21"/>
  <c r="IO36" i="19"/>
  <c r="EJ6" i="19"/>
  <c r="EJ8" i="19"/>
  <c r="EJ14" i="19"/>
  <c r="EJ19" i="19"/>
  <c r="EJ20" i="19"/>
  <c r="EJ24" i="19"/>
  <c r="EJ33" i="19"/>
  <c r="EJ40" i="19"/>
  <c r="EJ38" i="19"/>
  <c r="FL5" i="19"/>
  <c r="FL12" i="19"/>
  <c r="FL10" i="19"/>
  <c r="FL18" i="19"/>
  <c r="FL29" i="19"/>
  <c r="FL23" i="19"/>
  <c r="FL28" i="19"/>
  <c r="FL32" i="19"/>
  <c r="FL37" i="19"/>
  <c r="GN4" i="19"/>
  <c r="GN11" i="19"/>
  <c r="GN13" i="19"/>
  <c r="GN26" i="19"/>
  <c r="QC24" i="19"/>
  <c r="EJ5" i="19"/>
  <c r="EJ12" i="19"/>
  <c r="EJ10" i="19"/>
  <c r="EJ18" i="19"/>
  <c r="EJ29" i="19"/>
  <c r="EJ23" i="19"/>
  <c r="EJ28" i="19"/>
  <c r="EJ32" i="19"/>
  <c r="EJ37" i="19"/>
  <c r="FL4" i="19"/>
  <c r="FL11" i="19"/>
  <c r="FL13" i="19"/>
  <c r="FL26" i="19"/>
  <c r="FL17" i="19"/>
  <c r="FL21" i="19"/>
  <c r="FL39" i="19"/>
  <c r="IO41" i="19"/>
  <c r="GN17" i="19"/>
  <c r="GN21" i="19"/>
  <c r="GN39" i="19"/>
  <c r="GN36" i="19"/>
  <c r="HP7" i="19"/>
  <c r="HP9" i="19"/>
  <c r="HP16" i="19"/>
  <c r="HP15" i="19"/>
  <c r="HP27" i="19"/>
  <c r="HP25" i="19"/>
  <c r="HP31" i="19"/>
  <c r="HP30" i="19"/>
  <c r="HP41" i="19"/>
  <c r="IR6" i="19"/>
  <c r="IR8" i="19"/>
  <c r="IR14" i="19"/>
  <c r="IR19" i="19"/>
  <c r="IR20" i="19"/>
  <c r="IR24" i="19"/>
  <c r="IR33" i="19"/>
  <c r="IR40" i="19"/>
  <c r="IR38" i="19"/>
  <c r="JT5" i="19"/>
  <c r="JT12" i="19"/>
  <c r="JT10" i="19"/>
  <c r="JT18" i="19"/>
  <c r="JT29" i="19"/>
  <c r="JT23" i="19"/>
  <c r="JT28" i="19"/>
  <c r="JT32" i="19"/>
  <c r="JT37" i="19"/>
  <c r="KV4" i="19"/>
  <c r="KV11" i="19"/>
  <c r="KV13" i="19"/>
  <c r="KV26" i="19"/>
  <c r="KV17" i="19"/>
  <c r="KV21" i="19"/>
  <c r="KV39" i="19"/>
  <c r="KV36" i="19"/>
  <c r="LX7" i="19"/>
  <c r="LX9" i="19"/>
  <c r="LX16" i="19"/>
  <c r="LX15" i="19"/>
  <c r="LX27" i="19"/>
  <c r="LX25" i="19"/>
  <c r="LX31" i="19"/>
  <c r="LX30" i="19"/>
  <c r="LX41" i="19"/>
  <c r="MZ6" i="19"/>
  <c r="MZ8" i="19"/>
  <c r="MZ14" i="19"/>
  <c r="MZ19" i="19"/>
  <c r="MZ20" i="19"/>
  <c r="MZ24" i="19"/>
  <c r="MZ33" i="19"/>
  <c r="MZ40" i="19"/>
  <c r="MZ38" i="19"/>
  <c r="OB5" i="19"/>
  <c r="OB12" i="19"/>
  <c r="OB10" i="19"/>
  <c r="OB18" i="19"/>
  <c r="OB29" i="19"/>
  <c r="OB23" i="19"/>
  <c r="OB28" i="19"/>
  <c r="OB32" i="19"/>
  <c r="OB37" i="19"/>
  <c r="PD4" i="19"/>
  <c r="PD11" i="19"/>
  <c r="PD13" i="19"/>
  <c r="PD26" i="19"/>
  <c r="PD17" i="19"/>
  <c r="PD21" i="19"/>
  <c r="PD39" i="19"/>
  <c r="PD36" i="19"/>
  <c r="IO38" i="19"/>
  <c r="FL36" i="19"/>
  <c r="GN7" i="19"/>
  <c r="GN9" i="19"/>
  <c r="GN16" i="19"/>
  <c r="GN15" i="19"/>
  <c r="GN27" i="19"/>
  <c r="GN25" i="19"/>
  <c r="GN31" i="19"/>
  <c r="GN30" i="19"/>
  <c r="GN41" i="19"/>
  <c r="HP6" i="19"/>
  <c r="HP8" i="19"/>
  <c r="HP14" i="19"/>
  <c r="HP19" i="19"/>
  <c r="HP20" i="19"/>
  <c r="HP24" i="19"/>
  <c r="HP33" i="19"/>
  <c r="HP40" i="19"/>
  <c r="HP38" i="19"/>
  <c r="IR5" i="19"/>
  <c r="IR12" i="19"/>
  <c r="IR10" i="19"/>
  <c r="IR18" i="19"/>
  <c r="IR29" i="19"/>
  <c r="IR23" i="19"/>
  <c r="IR28" i="19"/>
  <c r="IR32" i="19"/>
  <c r="IR37" i="19"/>
  <c r="JT4" i="19"/>
  <c r="JT11" i="19"/>
  <c r="JT13" i="19"/>
  <c r="JT26" i="19"/>
  <c r="JT17" i="19"/>
  <c r="JT21" i="19"/>
  <c r="JT39" i="19"/>
  <c r="JT36" i="19"/>
  <c r="KV7" i="19"/>
  <c r="KV9" i="19"/>
  <c r="KV16" i="19"/>
  <c r="KV15" i="19"/>
  <c r="KV27" i="19"/>
  <c r="KV25" i="19"/>
  <c r="KV31" i="19"/>
  <c r="KV30" i="19"/>
  <c r="KV41" i="19"/>
  <c r="LX6" i="19"/>
  <c r="LX8" i="19"/>
  <c r="LX14" i="19"/>
  <c r="LX19" i="19"/>
  <c r="LX20" i="19"/>
  <c r="LX24" i="19"/>
  <c r="LX33" i="19"/>
  <c r="LX40" i="19"/>
  <c r="LX38" i="19"/>
  <c r="MZ5" i="19"/>
  <c r="MZ12" i="19"/>
  <c r="MZ10" i="19"/>
  <c r="MZ18" i="19"/>
  <c r="MZ29" i="19"/>
  <c r="MZ23" i="19"/>
  <c r="MZ28" i="19"/>
  <c r="MZ32" i="19"/>
  <c r="MZ37" i="19"/>
  <c r="OB4" i="19"/>
  <c r="OB11" i="19"/>
  <c r="OB13" i="19"/>
  <c r="OB26" i="19"/>
  <c r="OB17" i="19"/>
  <c r="OB21" i="19"/>
  <c r="OB39" i="19"/>
  <c r="OB36" i="19"/>
  <c r="PD7" i="19"/>
  <c r="PD9" i="19"/>
  <c r="PD16" i="19"/>
  <c r="PD15" i="19"/>
  <c r="PD27" i="19"/>
  <c r="PD25" i="19"/>
  <c r="PD31" i="19"/>
  <c r="PD30" i="19"/>
  <c r="PD41" i="19"/>
  <c r="NY6" i="27"/>
  <c r="EJ4" i="27"/>
  <c r="EJ9" i="27"/>
  <c r="EJ20" i="27"/>
  <c r="EJ13" i="27"/>
  <c r="NY15" i="27"/>
  <c r="FL4" i="27"/>
  <c r="FL9" i="27"/>
  <c r="FL20" i="27"/>
  <c r="FL13" i="27"/>
  <c r="GN4" i="27"/>
  <c r="GN9" i="27"/>
  <c r="GN20" i="27"/>
  <c r="GN13" i="27"/>
  <c r="HP4" i="27"/>
  <c r="HP9" i="27"/>
  <c r="HP20" i="27"/>
  <c r="HP13" i="27"/>
  <c r="IR4" i="27"/>
  <c r="IR9" i="27"/>
  <c r="IR20" i="27"/>
  <c r="IR13" i="27"/>
  <c r="JT4" i="27"/>
  <c r="JT9" i="27"/>
  <c r="JT20" i="27"/>
  <c r="JT13" i="27"/>
  <c r="KV4" i="27"/>
  <c r="KV9" i="27"/>
  <c r="KV20" i="27"/>
  <c r="KV13" i="27"/>
  <c r="LX4" i="27"/>
  <c r="LX9" i="27"/>
  <c r="LX20" i="27"/>
  <c r="LX13" i="27"/>
  <c r="MZ4" i="27"/>
  <c r="MZ9" i="27"/>
  <c r="MZ20" i="27"/>
  <c r="MZ13" i="27"/>
  <c r="OB4" i="27"/>
  <c r="OB12" i="27"/>
  <c r="EJ7" i="27"/>
  <c r="EJ10" i="27"/>
  <c r="EJ19" i="27"/>
  <c r="NY11" i="27"/>
  <c r="FL7" i="27"/>
  <c r="FL10" i="27"/>
  <c r="FL19" i="27"/>
  <c r="GN7" i="27"/>
  <c r="GN10" i="27"/>
  <c r="GN19" i="27"/>
  <c r="HP7" i="27"/>
  <c r="HP10" i="27"/>
  <c r="HP19" i="27"/>
  <c r="IR7" i="27"/>
  <c r="IR10" i="27"/>
  <c r="IR19" i="27"/>
  <c r="JT7" i="27"/>
  <c r="JT10" i="27"/>
  <c r="JT19" i="27"/>
  <c r="KV7" i="27"/>
  <c r="KV10" i="27"/>
  <c r="KV19" i="27"/>
  <c r="LX7" i="27"/>
  <c r="LX10" i="27"/>
  <c r="LX19" i="27"/>
  <c r="MZ7" i="27"/>
  <c r="MZ10" i="27"/>
  <c r="MZ19" i="27"/>
  <c r="OB20" i="27"/>
  <c r="OB8" i="27"/>
  <c r="NY12" i="27"/>
  <c r="EJ6" i="27"/>
  <c r="EJ8" i="27"/>
  <c r="EJ15" i="27"/>
  <c r="KS4" i="27"/>
  <c r="KS5" i="27"/>
  <c r="KS6" i="27"/>
  <c r="KS7" i="27"/>
  <c r="KS9" i="27"/>
  <c r="KS11" i="27"/>
  <c r="KS8" i="27"/>
  <c r="KS10" i="27"/>
  <c r="KS20" i="27"/>
  <c r="KS12" i="27"/>
  <c r="KS15" i="27"/>
  <c r="KS19" i="27"/>
  <c r="KS13" i="27"/>
  <c r="KS17" i="27"/>
  <c r="KS16" i="27"/>
  <c r="NY4" i="27"/>
  <c r="OB11" i="27"/>
  <c r="NY20" i="27"/>
  <c r="OB17" i="27"/>
  <c r="EJ16" i="27"/>
  <c r="FL6" i="27"/>
  <c r="FL8" i="27"/>
  <c r="FL15" i="27"/>
  <c r="FL16" i="27"/>
  <c r="GN6" i="27"/>
  <c r="GN8" i="27"/>
  <c r="GN15" i="27"/>
  <c r="GN16" i="27"/>
  <c r="HP6" i="27"/>
  <c r="HP8" i="27"/>
  <c r="HP15" i="27"/>
  <c r="HP16" i="27"/>
  <c r="IR6" i="27"/>
  <c r="IR8" i="27"/>
  <c r="IR15" i="27"/>
  <c r="IR16" i="27"/>
  <c r="JT6" i="27"/>
  <c r="JT8" i="27"/>
  <c r="JT15" i="27"/>
  <c r="JT16" i="27"/>
  <c r="LX6" i="27"/>
  <c r="LX8" i="27"/>
  <c r="LX15" i="27"/>
  <c r="LX16" i="27"/>
  <c r="MZ6" i="27"/>
  <c r="MZ8" i="27"/>
  <c r="MZ15" i="27"/>
  <c r="MZ16" i="27"/>
  <c r="OB9" i="27"/>
  <c r="NY10" i="27"/>
  <c r="OB13" i="27"/>
  <c r="PD6" i="27"/>
  <c r="PD8" i="27"/>
  <c r="PD15" i="27"/>
  <c r="PD16" i="27"/>
  <c r="OB16" i="27"/>
  <c r="EJ5" i="27"/>
  <c r="EJ11" i="27"/>
  <c r="EJ12" i="27"/>
  <c r="EJ17" i="27"/>
  <c r="OB7" i="27"/>
  <c r="NY8" i="27"/>
  <c r="OB19" i="27"/>
  <c r="NY16" i="27"/>
  <c r="NY5" i="27"/>
  <c r="FL5" i="27"/>
  <c r="FL11" i="27"/>
  <c r="FL12" i="27"/>
  <c r="FL17" i="27"/>
  <c r="GN5" i="27"/>
  <c r="GN11" i="27"/>
  <c r="GN12" i="27"/>
  <c r="GN17" i="27"/>
  <c r="HP5" i="27"/>
  <c r="HP11" i="27"/>
  <c r="HP12" i="27"/>
  <c r="HP17" i="27"/>
  <c r="IR5" i="27"/>
  <c r="IR11" i="27"/>
  <c r="IR12" i="27"/>
  <c r="IR17" i="27"/>
  <c r="JT5" i="27"/>
  <c r="JT11" i="27"/>
  <c r="JT12" i="27"/>
  <c r="JT17" i="27"/>
  <c r="LX5" i="27"/>
  <c r="LX11" i="27"/>
  <c r="LX12" i="27"/>
  <c r="LX17" i="27"/>
  <c r="MZ5" i="27"/>
  <c r="MZ11" i="27"/>
  <c r="MZ12" i="27"/>
  <c r="MZ17" i="27"/>
  <c r="OB6" i="27"/>
  <c r="OB15" i="27"/>
  <c r="PD5" i="27"/>
  <c r="PD11" i="27"/>
  <c r="PD12" i="27"/>
  <c r="PD17" i="27"/>
  <c r="JT17" i="26"/>
  <c r="KV7" i="26"/>
  <c r="KV10" i="26"/>
  <c r="KV16" i="26"/>
  <c r="KV15" i="26"/>
  <c r="LX5" i="26"/>
  <c r="LX14" i="26"/>
  <c r="LX19" i="26"/>
  <c r="MZ4" i="26"/>
  <c r="MZ6" i="26"/>
  <c r="MZ9" i="26"/>
  <c r="MZ18" i="26"/>
  <c r="OB8" i="26"/>
  <c r="OB11" i="26"/>
  <c r="OB17" i="26"/>
  <c r="OB20" i="26"/>
  <c r="PD7" i="26"/>
  <c r="PD10" i="26"/>
  <c r="PD16" i="26"/>
  <c r="PD15" i="26"/>
  <c r="PD6" i="26"/>
  <c r="RB17" i="26"/>
  <c r="EJ5" i="26"/>
  <c r="EJ12" i="26"/>
  <c r="EJ14" i="26"/>
  <c r="EJ19" i="26"/>
  <c r="FL4" i="26"/>
  <c r="FL6" i="26"/>
  <c r="FL9" i="26"/>
  <c r="FL18" i="26"/>
  <c r="GN8" i="26"/>
  <c r="GN11" i="26"/>
  <c r="GN17" i="26"/>
  <c r="GN20" i="26"/>
  <c r="HP7" i="26"/>
  <c r="HP10" i="26"/>
  <c r="HP16" i="26"/>
  <c r="HP15" i="26"/>
  <c r="IR5" i="26"/>
  <c r="IR12" i="26"/>
  <c r="IR14" i="26"/>
  <c r="IR19" i="26"/>
  <c r="JT4" i="26"/>
  <c r="JT6" i="26"/>
  <c r="JT9" i="26"/>
  <c r="JT18" i="26"/>
  <c r="KV8" i="26"/>
  <c r="KV11" i="26"/>
  <c r="KV17" i="26"/>
  <c r="KV20" i="26"/>
  <c r="LX7" i="26"/>
  <c r="LX10" i="26"/>
  <c r="LX16" i="26"/>
  <c r="LX15" i="26"/>
  <c r="MZ5" i="26"/>
  <c r="MZ12" i="26"/>
  <c r="MZ14" i="26"/>
  <c r="MZ19" i="26"/>
  <c r="OB4" i="26"/>
  <c r="OB6" i="26"/>
  <c r="OB9" i="26"/>
  <c r="OB18" i="26"/>
  <c r="PD8" i="26"/>
  <c r="PD11" i="26"/>
  <c r="PD17" i="26"/>
  <c r="PD20" i="26"/>
  <c r="EJ4" i="26"/>
  <c r="EJ6" i="26"/>
  <c r="EJ9" i="26"/>
  <c r="EJ18" i="26"/>
  <c r="FL8" i="26"/>
  <c r="FL11" i="26"/>
  <c r="FL17" i="26"/>
  <c r="FL20" i="26"/>
  <c r="GN7" i="26"/>
  <c r="GN10" i="26"/>
  <c r="GN16" i="26"/>
  <c r="GN15" i="26"/>
  <c r="HP5" i="26"/>
  <c r="HP12" i="26"/>
  <c r="HP14" i="26"/>
  <c r="HP19" i="26"/>
  <c r="IR4" i="26"/>
  <c r="IR6" i="26"/>
  <c r="IR9" i="26"/>
  <c r="IR18" i="26"/>
  <c r="JT8" i="26"/>
  <c r="JT11" i="26"/>
  <c r="JT20" i="26"/>
  <c r="LX12" i="26"/>
  <c r="CW23" i="22"/>
  <c r="DA23" i="22" s="1"/>
  <c r="KY18" i="4"/>
  <c r="NH30" i="4"/>
  <c r="NO30" i="4" s="1"/>
  <c r="NH31" i="4"/>
  <c r="NO31" i="4" s="1"/>
  <c r="NH40" i="4"/>
  <c r="NO40" i="4" s="1"/>
  <c r="OP7" i="4"/>
  <c r="OW7" i="4" s="1"/>
  <c r="PX13" i="4"/>
  <c r="QE13" i="4" s="1"/>
  <c r="PX20" i="4"/>
  <c r="QE20" i="4" s="1"/>
  <c r="EK17" i="4"/>
  <c r="NH8" i="4"/>
  <c r="NO8" i="4" s="1"/>
  <c r="OP18" i="4"/>
  <c r="OW18" i="4" s="1"/>
  <c r="OP38" i="4"/>
  <c r="OW38" i="4" s="1"/>
  <c r="OP39" i="4"/>
  <c r="OW39" i="4" s="1"/>
  <c r="PX6" i="4"/>
  <c r="QE6" i="4" s="1"/>
  <c r="RF12" i="4"/>
  <c r="RM12" i="4" s="1"/>
  <c r="EK12" i="4"/>
  <c r="FL18" i="4"/>
  <c r="FS18" i="4" s="1"/>
  <c r="FL38" i="4"/>
  <c r="FS38" i="4" s="1"/>
  <c r="FL39" i="4"/>
  <c r="FS39" i="4" s="1"/>
  <c r="GT6" i="4"/>
  <c r="HA6" i="4" s="1"/>
  <c r="IB13" i="4"/>
  <c r="II13" i="4" s="1"/>
  <c r="IB12" i="4"/>
  <c r="II12" i="4" s="1"/>
  <c r="IB30" i="4"/>
  <c r="II30" i="4" s="1"/>
  <c r="LZ6" i="4"/>
  <c r="MG6" i="4" s="1"/>
  <c r="LZ28" i="4"/>
  <c r="MG28" i="4" s="1"/>
  <c r="LZ18" i="4"/>
  <c r="MG18" i="4" s="1"/>
  <c r="LZ15" i="4"/>
  <c r="MG15" i="4" s="1"/>
  <c r="NH12" i="4"/>
  <c r="NO12" i="4" s="1"/>
  <c r="FL16" i="4"/>
  <c r="FS16" i="4" s="1"/>
  <c r="FL12" i="4"/>
  <c r="FS12" i="4" s="1"/>
  <c r="FL29" i="4"/>
  <c r="FS29" i="4" s="1"/>
  <c r="FL30" i="4"/>
  <c r="FS30" i="4" s="1"/>
  <c r="FL31" i="4"/>
  <c r="FS31" i="4" s="1"/>
  <c r="FL40" i="4"/>
  <c r="FS40" i="4" s="1"/>
  <c r="GT5" i="4"/>
  <c r="HA5" i="4" s="1"/>
  <c r="GT9" i="4"/>
  <c r="HA9" i="4" s="1"/>
  <c r="IB36" i="4"/>
  <c r="II36" i="4" s="1"/>
  <c r="IB32" i="4"/>
  <c r="II32" i="4" s="1"/>
  <c r="JJ13" i="4"/>
  <c r="JQ13" i="4" s="1"/>
  <c r="LZ9" i="4"/>
  <c r="MG9" i="4" s="1"/>
  <c r="LZ10" i="4"/>
  <c r="MG10" i="4" s="1"/>
  <c r="LZ24" i="4"/>
  <c r="MG24" i="4" s="1"/>
  <c r="LZ14" i="4"/>
  <c r="MG14" i="4" s="1"/>
  <c r="LZ35" i="4"/>
  <c r="MG35" i="4" s="1"/>
  <c r="LZ17" i="4"/>
  <c r="MG17" i="4" s="1"/>
  <c r="LZ12" i="4"/>
  <c r="MG12" i="4" s="1"/>
  <c r="LZ29" i="4"/>
  <c r="MG29" i="4" s="1"/>
  <c r="NH36" i="4"/>
  <c r="NO36" i="4" s="1"/>
  <c r="NH15" i="4"/>
  <c r="NO15" i="4" s="1"/>
  <c r="NH20" i="4"/>
  <c r="NO20" i="4" s="1"/>
  <c r="RF6" i="4"/>
  <c r="RM6" i="4" s="1"/>
  <c r="RF34" i="4"/>
  <c r="RM34" i="4" s="1"/>
  <c r="EK7" i="4"/>
  <c r="ED9" i="4"/>
  <c r="EK9" i="4" s="1"/>
  <c r="GT15" i="4"/>
  <c r="HA15" i="4" s="1"/>
  <c r="GT39" i="4"/>
  <c r="HA39" i="4" s="1"/>
  <c r="IB6" i="4"/>
  <c r="II6" i="4" s="1"/>
  <c r="IB34" i="4"/>
  <c r="II34" i="4" s="1"/>
  <c r="JJ36" i="4"/>
  <c r="JQ36" i="4" s="1"/>
  <c r="JJ30" i="4"/>
  <c r="JQ30" i="4" s="1"/>
  <c r="JJ40" i="4"/>
  <c r="JQ40" i="4" s="1"/>
  <c r="OP4" i="4"/>
  <c r="OW4" i="4" s="1"/>
  <c r="PX29" i="4"/>
  <c r="QE29" i="4" s="1"/>
  <c r="PX30" i="4"/>
  <c r="QE30" i="4" s="1"/>
  <c r="PX31" i="4"/>
  <c r="QE31" i="4" s="1"/>
  <c r="PX40" i="4"/>
  <c r="QE40" i="4" s="1"/>
  <c r="RF7" i="4"/>
  <c r="RM7" i="4" s="1"/>
  <c r="RF5" i="4"/>
  <c r="RM5" i="4" s="1"/>
  <c r="RF9" i="4"/>
  <c r="RM9" i="4" s="1"/>
  <c r="RF10" i="4"/>
  <c r="RM10" i="4" s="1"/>
  <c r="RF24" i="4"/>
  <c r="RM24" i="4" s="1"/>
  <c r="EK15" i="4"/>
  <c r="ED24" i="4"/>
  <c r="EK24" i="4" s="1"/>
  <c r="ED35" i="4"/>
  <c r="EK35" i="4" s="1"/>
  <c r="ED6" i="4"/>
  <c r="EK6" i="4" s="1"/>
  <c r="ED8" i="4"/>
  <c r="EK8" i="4" s="1"/>
  <c r="ED11" i="4"/>
  <c r="EK11" i="4" s="1"/>
  <c r="ED13" i="4"/>
  <c r="EK13" i="4" s="1"/>
  <c r="ED36" i="4"/>
  <c r="EK36" i="4" s="1"/>
  <c r="FL4" i="4"/>
  <c r="FS4" i="4" s="1"/>
  <c r="GT29" i="4"/>
  <c r="HA29" i="4" s="1"/>
  <c r="GT30" i="4"/>
  <c r="HA30" i="4" s="1"/>
  <c r="GT31" i="4"/>
  <c r="HA31" i="4" s="1"/>
  <c r="GT40" i="4"/>
  <c r="HA40" i="4" s="1"/>
  <c r="IB7" i="4"/>
  <c r="II7" i="4" s="1"/>
  <c r="IB5" i="4"/>
  <c r="II5" i="4" s="1"/>
  <c r="IB10" i="4"/>
  <c r="II10" i="4" s="1"/>
  <c r="IB24" i="4"/>
  <c r="II24" i="4" s="1"/>
  <c r="JJ20" i="4"/>
  <c r="JQ20" i="4" s="1"/>
  <c r="KR4" i="4"/>
  <c r="KY4" i="4" s="1"/>
  <c r="KR36" i="4"/>
  <c r="KY36" i="4" s="1"/>
  <c r="NH9" i="4"/>
  <c r="NO9" i="4" s="1"/>
  <c r="NH28" i="4"/>
  <c r="NO28" i="4" s="1"/>
  <c r="OP8" i="4"/>
  <c r="OW8" i="4" s="1"/>
  <c r="OP14" i="4"/>
  <c r="OW14" i="4" s="1"/>
  <c r="OP17" i="4"/>
  <c r="OW17" i="4" s="1"/>
  <c r="RF38" i="4"/>
  <c r="RM38" i="4" s="1"/>
  <c r="ED39" i="4"/>
  <c r="EK39" i="4" s="1"/>
  <c r="FL6" i="4"/>
  <c r="FS6" i="4" s="1"/>
  <c r="FL13" i="4"/>
  <c r="FS13" i="4" s="1"/>
  <c r="GT7" i="4"/>
  <c r="HA7" i="4" s="1"/>
  <c r="GT34" i="4"/>
  <c r="HA34" i="4" s="1"/>
  <c r="GT36" i="4"/>
  <c r="HA36" i="4" s="1"/>
  <c r="IB9" i="4"/>
  <c r="II9" i="4" s="1"/>
  <c r="IB28" i="4"/>
  <c r="II28" i="4" s="1"/>
  <c r="IB20" i="4"/>
  <c r="II20" i="4" s="1"/>
  <c r="JJ24" i="4"/>
  <c r="JQ24" i="4" s="1"/>
  <c r="JJ18" i="4"/>
  <c r="JQ18" i="4" s="1"/>
  <c r="JJ32" i="4"/>
  <c r="JQ32" i="4" s="1"/>
  <c r="KR35" i="4"/>
  <c r="KY35" i="4" s="1"/>
  <c r="KR15" i="4"/>
  <c r="KY15" i="4" s="1"/>
  <c r="LZ4" i="4"/>
  <c r="MG4" i="4" s="1"/>
  <c r="LZ16" i="4"/>
  <c r="MG16" i="4" s="1"/>
  <c r="LZ38" i="4"/>
  <c r="MG38" i="4" s="1"/>
  <c r="OP6" i="4"/>
  <c r="OW6" i="4" s="1"/>
  <c r="OP13" i="4"/>
  <c r="OW13" i="4" s="1"/>
  <c r="PX7" i="4"/>
  <c r="QE7" i="4" s="1"/>
  <c r="PX34" i="4"/>
  <c r="QE34" i="4" s="1"/>
  <c r="PX36" i="4"/>
  <c r="QE36" i="4" s="1"/>
  <c r="RF28" i="4"/>
  <c r="RM28" i="4" s="1"/>
  <c r="RF20" i="4"/>
  <c r="RM20" i="4" s="1"/>
  <c r="EK40" i="4"/>
  <c r="FS7" i="4"/>
  <c r="FL34" i="4"/>
  <c r="FS34" i="4" s="1"/>
  <c r="GT28" i="4"/>
  <c r="HA28" i="4" s="1"/>
  <c r="IB18" i="4"/>
  <c r="II18" i="4" s="1"/>
  <c r="JJ15" i="4"/>
  <c r="JQ15" i="4" s="1"/>
  <c r="KR38" i="4"/>
  <c r="KY38" i="4" s="1"/>
  <c r="LZ39" i="4"/>
  <c r="MG39" i="4" s="1"/>
  <c r="OP34" i="4"/>
  <c r="OW34" i="4" s="1"/>
  <c r="PX28" i="4"/>
  <c r="QE28" i="4" s="1"/>
  <c r="RF18" i="4"/>
  <c r="RM18" i="4" s="1"/>
  <c r="FL9" i="4"/>
  <c r="FS9" i="4" s="1"/>
  <c r="FL28" i="4"/>
  <c r="FS28" i="4" s="1"/>
  <c r="FL20" i="4"/>
  <c r="FS20" i="4" s="1"/>
  <c r="GT24" i="4"/>
  <c r="HA24" i="4" s="1"/>
  <c r="GT18" i="4"/>
  <c r="HA18" i="4" s="1"/>
  <c r="GT32" i="4"/>
  <c r="HA32" i="4" s="1"/>
  <c r="IB35" i="4"/>
  <c r="II35" i="4" s="1"/>
  <c r="IB15" i="4"/>
  <c r="II15" i="4" s="1"/>
  <c r="JJ4" i="4"/>
  <c r="JQ4" i="4" s="1"/>
  <c r="JJ16" i="4"/>
  <c r="JQ16" i="4" s="1"/>
  <c r="JJ38" i="4"/>
  <c r="JQ38" i="4" s="1"/>
  <c r="KR8" i="4"/>
  <c r="KY8" i="4" s="1"/>
  <c r="KR29" i="4"/>
  <c r="KY29" i="4" s="1"/>
  <c r="KR39" i="4"/>
  <c r="KY39" i="4" s="1"/>
  <c r="LZ11" i="4"/>
  <c r="MG11" i="4" s="1"/>
  <c r="LZ31" i="4"/>
  <c r="MG31" i="4" s="1"/>
  <c r="OP9" i="4"/>
  <c r="OW9" i="4" s="1"/>
  <c r="OP28" i="4"/>
  <c r="OW28" i="4" s="1"/>
  <c r="OP20" i="4"/>
  <c r="OW20" i="4" s="1"/>
  <c r="PX24" i="4"/>
  <c r="QE24" i="4" s="1"/>
  <c r="PX18" i="4"/>
  <c r="QE18" i="4" s="1"/>
  <c r="PX32" i="4"/>
  <c r="QE32" i="4" s="1"/>
  <c r="RF35" i="4"/>
  <c r="RM35" i="4" s="1"/>
  <c r="RF15" i="4"/>
  <c r="RM15" i="4" s="1"/>
  <c r="ED5" i="4"/>
  <c r="EK5" i="4" s="1"/>
  <c r="FL24" i="4"/>
  <c r="FS24" i="4" s="1"/>
  <c r="GT35" i="4"/>
  <c r="HA35" i="4" s="1"/>
  <c r="IB4" i="4"/>
  <c r="II4" i="4" s="1"/>
  <c r="IB16" i="4"/>
  <c r="II16" i="4" s="1"/>
  <c r="JJ8" i="4"/>
  <c r="JQ8" i="4" s="1"/>
  <c r="JJ29" i="4"/>
  <c r="JQ29" i="4" s="1"/>
  <c r="KR11" i="4"/>
  <c r="KY11" i="4" s="1"/>
  <c r="KR31" i="4"/>
  <c r="KY31" i="4" s="1"/>
  <c r="LZ13" i="4"/>
  <c r="MG13" i="4" s="1"/>
  <c r="NH7" i="4"/>
  <c r="NO7" i="4" s="1"/>
  <c r="NH11" i="4"/>
  <c r="NO11" i="4" s="1"/>
  <c r="NH16" i="4"/>
  <c r="NO16" i="4" s="1"/>
  <c r="NH32" i="4"/>
  <c r="NO32" i="4" s="1"/>
  <c r="OP24" i="4"/>
  <c r="OW24" i="4" s="1"/>
  <c r="OP32" i="4"/>
  <c r="OW32" i="4" s="1"/>
  <c r="PX35" i="4"/>
  <c r="QE35" i="4" s="1"/>
  <c r="RF4" i="4"/>
  <c r="RM4" i="4" s="1"/>
  <c r="RF16" i="4"/>
  <c r="RM16" i="4" s="1"/>
  <c r="ED34" i="4"/>
  <c r="EK34" i="4" s="1"/>
  <c r="ED20" i="4"/>
  <c r="EK20" i="4" s="1"/>
  <c r="FL32" i="4"/>
  <c r="FS32" i="4" s="1"/>
  <c r="ED10" i="4"/>
  <c r="EK10" i="4" s="1"/>
  <c r="ED28" i="4"/>
  <c r="EK28" i="4" s="1"/>
  <c r="ED32" i="4"/>
  <c r="EK32" i="4" s="1"/>
  <c r="FL35" i="4"/>
  <c r="FS35" i="4" s="1"/>
  <c r="FL15" i="4"/>
  <c r="FS15" i="4" s="1"/>
  <c r="GT4" i="4"/>
  <c r="HA4" i="4" s="1"/>
  <c r="GT16" i="4"/>
  <c r="HA16" i="4" s="1"/>
  <c r="GT38" i="4"/>
  <c r="HA38" i="4" s="1"/>
  <c r="IB8" i="4"/>
  <c r="II8" i="4" s="1"/>
  <c r="IB29" i="4"/>
  <c r="II29" i="4" s="1"/>
  <c r="IB39" i="4"/>
  <c r="II39" i="4" s="1"/>
  <c r="JJ11" i="4"/>
  <c r="JQ11" i="4" s="1"/>
  <c r="JJ31" i="4"/>
  <c r="JQ31" i="4" s="1"/>
  <c r="KR6" i="4"/>
  <c r="KY6" i="4" s="1"/>
  <c r="KR13" i="4"/>
  <c r="KY13" i="4" s="1"/>
  <c r="LZ7" i="4"/>
  <c r="MG7" i="4" s="1"/>
  <c r="LZ34" i="4"/>
  <c r="MG34" i="4" s="1"/>
  <c r="LZ36" i="4"/>
  <c r="MG36" i="4" s="1"/>
  <c r="OP35" i="4"/>
  <c r="OW35" i="4" s="1"/>
  <c r="OP15" i="4"/>
  <c r="OW15" i="4" s="1"/>
  <c r="PX4" i="4"/>
  <c r="QE4" i="4" s="1"/>
  <c r="PX16" i="4"/>
  <c r="QE16" i="4" s="1"/>
  <c r="PX38" i="4"/>
  <c r="QE38" i="4" s="1"/>
  <c r="RF8" i="4"/>
  <c r="RM8" i="4" s="1"/>
  <c r="RF29" i="4"/>
  <c r="RM29" i="4" s="1"/>
  <c r="RF39" i="4"/>
  <c r="RM39" i="4" s="1"/>
  <c r="ED4" i="4"/>
  <c r="EK4" i="4" s="1"/>
  <c r="ED14" i="4"/>
  <c r="EK14" i="4" s="1"/>
  <c r="ED18" i="4"/>
  <c r="EK18" i="4" s="1"/>
  <c r="RM31" i="4"/>
  <c r="PA5" i="21"/>
  <c r="PA4" i="21"/>
  <c r="PA6" i="21"/>
  <c r="PA8" i="21"/>
  <c r="PA7" i="21"/>
  <c r="PA9" i="21"/>
  <c r="PA29" i="21"/>
  <c r="PA12" i="21"/>
  <c r="PA10" i="21"/>
  <c r="PA14" i="21"/>
  <c r="PA13" i="21"/>
  <c r="PA11" i="21"/>
  <c r="PA28" i="21"/>
  <c r="PA23" i="21"/>
  <c r="PA19" i="21"/>
  <c r="PA26" i="21"/>
  <c r="PA22" i="21"/>
  <c r="PA16" i="21"/>
  <c r="NY5" i="21"/>
  <c r="NY4" i="21"/>
  <c r="NY6" i="21"/>
  <c r="NY8" i="21"/>
  <c r="NY7" i="21"/>
  <c r="NY9" i="21"/>
  <c r="NY29" i="21"/>
  <c r="NY12" i="21"/>
  <c r="NY10" i="21"/>
  <c r="NY14" i="21"/>
  <c r="NY13" i="21"/>
  <c r="NY11" i="21"/>
  <c r="NY28" i="21"/>
  <c r="NY23" i="21"/>
  <c r="NY19" i="21"/>
  <c r="NY26" i="21"/>
  <c r="NY22" i="21"/>
  <c r="NY16" i="21"/>
  <c r="MW5" i="21"/>
  <c r="MW4" i="21"/>
  <c r="MW6" i="21"/>
  <c r="MW8" i="21"/>
  <c r="MW7" i="21"/>
  <c r="MW9" i="21"/>
  <c r="MW29" i="21"/>
  <c r="MW12" i="21"/>
  <c r="MW10" i="21"/>
  <c r="MW14" i="21"/>
  <c r="MW13" i="21"/>
  <c r="MW11" i="21"/>
  <c r="MW28" i="21"/>
  <c r="MW23" i="21"/>
  <c r="MW19" i="21"/>
  <c r="MW26" i="21"/>
  <c r="MW22" i="21"/>
  <c r="MW16" i="21"/>
  <c r="LU5" i="21"/>
  <c r="LU4" i="21"/>
  <c r="LU6" i="21"/>
  <c r="LU8" i="21"/>
  <c r="LU7" i="21"/>
  <c r="LU9" i="21"/>
  <c r="LU29" i="21"/>
  <c r="LU12" i="21"/>
  <c r="LU10" i="21"/>
  <c r="LU14" i="21"/>
  <c r="LU13" i="21"/>
  <c r="LU11" i="21"/>
  <c r="LU28" i="21"/>
  <c r="LU23" i="21"/>
  <c r="LU19" i="21"/>
  <c r="LU26" i="21"/>
  <c r="LU22" i="21"/>
  <c r="LU16" i="21"/>
  <c r="KS5" i="21"/>
  <c r="KS4" i="21"/>
  <c r="KS6" i="21"/>
  <c r="KS8" i="21"/>
  <c r="KS7" i="21"/>
  <c r="KS9" i="21"/>
  <c r="KS29" i="21"/>
  <c r="KS12" i="21"/>
  <c r="KS10" i="21"/>
  <c r="KS14" i="21"/>
  <c r="KS13" i="21"/>
  <c r="KS11" i="21"/>
  <c r="KS28" i="21"/>
  <c r="KS23" i="21"/>
  <c r="KS19" i="21"/>
  <c r="KS26" i="21"/>
  <c r="KS22" i="21"/>
  <c r="KS16" i="21"/>
  <c r="JQ5" i="21"/>
  <c r="JQ4" i="21"/>
  <c r="JQ6" i="21"/>
  <c r="JQ8" i="21"/>
  <c r="JQ7" i="21"/>
  <c r="JQ9" i="21"/>
  <c r="JQ29" i="21"/>
  <c r="JQ12" i="21"/>
  <c r="JQ10" i="21"/>
  <c r="JQ14" i="21"/>
  <c r="JQ13" i="21"/>
  <c r="JQ11" i="21"/>
  <c r="JQ28" i="21"/>
  <c r="JQ23" i="21"/>
  <c r="JQ19" i="21"/>
  <c r="JQ26" i="21"/>
  <c r="JQ22" i="21"/>
  <c r="JQ16" i="21"/>
  <c r="IO5" i="21"/>
  <c r="IO4" i="21"/>
  <c r="IO6" i="21"/>
  <c r="IO8" i="21"/>
  <c r="IO7" i="21"/>
  <c r="IO9" i="21"/>
  <c r="IO29" i="21"/>
  <c r="IO12" i="21"/>
  <c r="IO10" i="21"/>
  <c r="IO14" i="21"/>
  <c r="IO13" i="21"/>
  <c r="IO11" i="21"/>
  <c r="IO28" i="21"/>
  <c r="IO23" i="21"/>
  <c r="IO19" i="21"/>
  <c r="IO26" i="21"/>
  <c r="IO22" i="21"/>
  <c r="IO16" i="21"/>
  <c r="HM5" i="21"/>
  <c r="HM4" i="21"/>
  <c r="HM6" i="21"/>
  <c r="HM8" i="21"/>
  <c r="HM7" i="21"/>
  <c r="HM9" i="21"/>
  <c r="HM29" i="21"/>
  <c r="HM12" i="21"/>
  <c r="HM10" i="21"/>
  <c r="HM14" i="21"/>
  <c r="HM13" i="21"/>
  <c r="HM11" i="21"/>
  <c r="HM28" i="21"/>
  <c r="HM23" i="21"/>
  <c r="HM19" i="21"/>
  <c r="HM26" i="21"/>
  <c r="HM22" i="21"/>
  <c r="HM16" i="21"/>
  <c r="GK5" i="21"/>
  <c r="GK4" i="21"/>
  <c r="GK6" i="21"/>
  <c r="GK8" i="21"/>
  <c r="GK7" i="21"/>
  <c r="GK9" i="21"/>
  <c r="GK29" i="21"/>
  <c r="GK12" i="21"/>
  <c r="GK10" i="21"/>
  <c r="GK14" i="21"/>
  <c r="GK13" i="21"/>
  <c r="GK11" i="21"/>
  <c r="GK28" i="21"/>
  <c r="GK23" i="21"/>
  <c r="GK19" i="21"/>
  <c r="GK26" i="21"/>
  <c r="GK22" i="21"/>
  <c r="GK16" i="21"/>
  <c r="FI5" i="21"/>
  <c r="FI4" i="21"/>
  <c r="FI6" i="21"/>
  <c r="FI8" i="21"/>
  <c r="FI7" i="21"/>
  <c r="FI9" i="21"/>
  <c r="FI29" i="21"/>
  <c r="FI12" i="21"/>
  <c r="FI10" i="21"/>
  <c r="FI14" i="21"/>
  <c r="FI13" i="21"/>
  <c r="FI11" i="21"/>
  <c r="FI28" i="21"/>
  <c r="FI23" i="21"/>
  <c r="FI19" i="21"/>
  <c r="FI26" i="21"/>
  <c r="FI22" i="21"/>
  <c r="FI16" i="21"/>
  <c r="EG5" i="21"/>
  <c r="EG4" i="21"/>
  <c r="EG6" i="21"/>
  <c r="EG8" i="21"/>
  <c r="EG7" i="21"/>
  <c r="EG9" i="21"/>
  <c r="EG29" i="21"/>
  <c r="EG12" i="21"/>
  <c r="EG10" i="21"/>
  <c r="EG14" i="21"/>
  <c r="EG13" i="21"/>
  <c r="EG11" i="21"/>
  <c r="EG28" i="21"/>
  <c r="EG23" i="21"/>
  <c r="EG19" i="21"/>
  <c r="EG26" i="21"/>
  <c r="EG22" i="21"/>
  <c r="EG16" i="21"/>
  <c r="QC4" i="21"/>
  <c r="PA4" i="19"/>
  <c r="PA5" i="19"/>
  <c r="PA6" i="19"/>
  <c r="PA7" i="19"/>
  <c r="PA11" i="19"/>
  <c r="PA12" i="19"/>
  <c r="PA8" i="19"/>
  <c r="PA9" i="19"/>
  <c r="PA13" i="19"/>
  <c r="PA10" i="19"/>
  <c r="PA14" i="19"/>
  <c r="PA16" i="19"/>
  <c r="PA26" i="19"/>
  <c r="PA18" i="19"/>
  <c r="PA19" i="19"/>
  <c r="PA15" i="19"/>
  <c r="PA17" i="19"/>
  <c r="PA29" i="19"/>
  <c r="PA20" i="19"/>
  <c r="PA27" i="19"/>
  <c r="PA21" i="19"/>
  <c r="PA23" i="19"/>
  <c r="PA24" i="19"/>
  <c r="PA25" i="19"/>
  <c r="PA28" i="19"/>
  <c r="PA33" i="19"/>
  <c r="PA31" i="19"/>
  <c r="PA39" i="19"/>
  <c r="PA32" i="19"/>
  <c r="PA40" i="19"/>
  <c r="PA30" i="19"/>
  <c r="PA36" i="19"/>
  <c r="PA37" i="19"/>
  <c r="PA38" i="19"/>
  <c r="PA41" i="19"/>
  <c r="NY4" i="19"/>
  <c r="NY5" i="19"/>
  <c r="NY6" i="19"/>
  <c r="NY7" i="19"/>
  <c r="NY11" i="19"/>
  <c r="NY12" i="19"/>
  <c r="NY8" i="19"/>
  <c r="NY9" i="19"/>
  <c r="NY13" i="19"/>
  <c r="NY10" i="19"/>
  <c r="NY14" i="19"/>
  <c r="NY16" i="19"/>
  <c r="NY26" i="19"/>
  <c r="NY18" i="19"/>
  <c r="NY19" i="19"/>
  <c r="NY15" i="19"/>
  <c r="NY17" i="19"/>
  <c r="NY29" i="19"/>
  <c r="NY20" i="19"/>
  <c r="NY27" i="19"/>
  <c r="NY21" i="19"/>
  <c r="NY23" i="19"/>
  <c r="NY24" i="19"/>
  <c r="NY25" i="19"/>
  <c r="NY28" i="19"/>
  <c r="NY33" i="19"/>
  <c r="NY31" i="19"/>
  <c r="NY39" i="19"/>
  <c r="NY32" i="19"/>
  <c r="NY40" i="19"/>
  <c r="NY30" i="19"/>
  <c r="NY36" i="19"/>
  <c r="NY37" i="19"/>
  <c r="NY38" i="19"/>
  <c r="NY41" i="19"/>
  <c r="MW4" i="19"/>
  <c r="MW5" i="19"/>
  <c r="MW6" i="19"/>
  <c r="MW7" i="19"/>
  <c r="MW11" i="19"/>
  <c r="MW12" i="19"/>
  <c r="MW8" i="19"/>
  <c r="MW9" i="19"/>
  <c r="MW13" i="19"/>
  <c r="MW10" i="19"/>
  <c r="MW14" i="19"/>
  <c r="MW16" i="19"/>
  <c r="MW26" i="19"/>
  <c r="MW18" i="19"/>
  <c r="MW19" i="19"/>
  <c r="MW15" i="19"/>
  <c r="MW17" i="19"/>
  <c r="MW29" i="19"/>
  <c r="MW20" i="19"/>
  <c r="MW27" i="19"/>
  <c r="MW21" i="19"/>
  <c r="MW23" i="19"/>
  <c r="MW24" i="19"/>
  <c r="MW25" i="19"/>
  <c r="MW28" i="19"/>
  <c r="MW33" i="19"/>
  <c r="MW31" i="19"/>
  <c r="MW39" i="19"/>
  <c r="MW32" i="19"/>
  <c r="MW40" i="19"/>
  <c r="MW30" i="19"/>
  <c r="MW36" i="19"/>
  <c r="MW37" i="19"/>
  <c r="MW38" i="19"/>
  <c r="MW41" i="19"/>
  <c r="LU4" i="19"/>
  <c r="LU5" i="19"/>
  <c r="LU6" i="19"/>
  <c r="LU7" i="19"/>
  <c r="LU11" i="19"/>
  <c r="LU12" i="19"/>
  <c r="LU8" i="19"/>
  <c r="LU9" i="19"/>
  <c r="LU13" i="19"/>
  <c r="LU10" i="19"/>
  <c r="LU14" i="19"/>
  <c r="LU16" i="19"/>
  <c r="LU26" i="19"/>
  <c r="LU18" i="19"/>
  <c r="LU19" i="19"/>
  <c r="LU15" i="19"/>
  <c r="LU17" i="19"/>
  <c r="LU29" i="19"/>
  <c r="LU20" i="19"/>
  <c r="LU27" i="19"/>
  <c r="LU21" i="19"/>
  <c r="LU23" i="19"/>
  <c r="LU24" i="19"/>
  <c r="LU25" i="19"/>
  <c r="LU28" i="19"/>
  <c r="LU33" i="19"/>
  <c r="LU31" i="19"/>
  <c r="LU39" i="19"/>
  <c r="LU32" i="19"/>
  <c r="LU40" i="19"/>
  <c r="LU30" i="19"/>
  <c r="LU36" i="19"/>
  <c r="LU37" i="19"/>
  <c r="LU38" i="19"/>
  <c r="LU41" i="19"/>
  <c r="KS4" i="19"/>
  <c r="KS5" i="19"/>
  <c r="KS6" i="19"/>
  <c r="KS7" i="19"/>
  <c r="KS11" i="19"/>
  <c r="KS12" i="19"/>
  <c r="KS8" i="19"/>
  <c r="KS9" i="19"/>
  <c r="KS13" i="19"/>
  <c r="KS10" i="19"/>
  <c r="KS14" i="19"/>
  <c r="KS16" i="19"/>
  <c r="KS26" i="19"/>
  <c r="KS18" i="19"/>
  <c r="KS19" i="19"/>
  <c r="KS15" i="19"/>
  <c r="KS17" i="19"/>
  <c r="KS29" i="19"/>
  <c r="KS20" i="19"/>
  <c r="KS27" i="19"/>
  <c r="KS21" i="19"/>
  <c r="KS23" i="19"/>
  <c r="KS24" i="19"/>
  <c r="KS25" i="19"/>
  <c r="KS28" i="19"/>
  <c r="KS33" i="19"/>
  <c r="KS31" i="19"/>
  <c r="KS39" i="19"/>
  <c r="KS32" i="19"/>
  <c r="KS40" i="19"/>
  <c r="KS30" i="19"/>
  <c r="KS36" i="19"/>
  <c r="KS37" i="19"/>
  <c r="KS38" i="19"/>
  <c r="KS41" i="19"/>
  <c r="JQ4" i="19"/>
  <c r="JQ5" i="19"/>
  <c r="JQ6" i="19"/>
  <c r="JQ7" i="19"/>
  <c r="JQ11" i="19"/>
  <c r="JQ12" i="19"/>
  <c r="JQ8" i="19"/>
  <c r="JQ9" i="19"/>
  <c r="JQ13" i="19"/>
  <c r="JQ10" i="19"/>
  <c r="JQ14" i="19"/>
  <c r="JQ16" i="19"/>
  <c r="JQ26" i="19"/>
  <c r="JQ18" i="19"/>
  <c r="JQ19" i="19"/>
  <c r="JQ15" i="19"/>
  <c r="JQ17" i="19"/>
  <c r="JQ29" i="19"/>
  <c r="JQ20" i="19"/>
  <c r="JQ27" i="19"/>
  <c r="JQ21" i="19"/>
  <c r="JQ23" i="19"/>
  <c r="JQ24" i="19"/>
  <c r="JQ25" i="19"/>
  <c r="JQ28" i="19"/>
  <c r="JQ33" i="19"/>
  <c r="JQ31" i="19"/>
  <c r="JQ39" i="19"/>
  <c r="JQ32" i="19"/>
  <c r="JQ40" i="19"/>
  <c r="JQ30" i="19"/>
  <c r="JQ36" i="19"/>
  <c r="JQ37" i="19"/>
  <c r="JQ38" i="19"/>
  <c r="JQ41" i="19"/>
  <c r="IO4" i="19"/>
  <c r="IO5" i="19"/>
  <c r="IO6" i="19"/>
  <c r="IO7" i="19"/>
  <c r="IO11" i="19"/>
  <c r="IO12" i="19"/>
  <c r="IO8" i="19"/>
  <c r="IO9" i="19"/>
  <c r="IO13" i="19"/>
  <c r="IO10" i="19"/>
  <c r="IO14" i="19"/>
  <c r="IO16" i="19"/>
  <c r="IO26" i="19"/>
  <c r="IO18" i="19"/>
  <c r="IO19" i="19"/>
  <c r="IO15" i="19"/>
  <c r="IO17" i="19"/>
  <c r="IO29" i="19"/>
  <c r="IO20" i="19"/>
  <c r="IO27" i="19"/>
  <c r="IO21" i="19"/>
  <c r="IO23" i="19"/>
  <c r="IO24" i="19"/>
  <c r="IO25" i="19"/>
  <c r="IO28" i="19"/>
  <c r="IO33" i="19"/>
  <c r="IO31" i="19"/>
  <c r="IO39" i="19"/>
  <c r="IO32" i="19"/>
  <c r="IO40" i="19"/>
  <c r="IO30" i="19"/>
  <c r="HM4" i="19"/>
  <c r="HM5" i="19"/>
  <c r="HM6" i="19"/>
  <c r="HM7" i="19"/>
  <c r="HM11" i="19"/>
  <c r="HM12" i="19"/>
  <c r="HM8" i="19"/>
  <c r="HM9" i="19"/>
  <c r="HM13" i="19"/>
  <c r="HM10" i="19"/>
  <c r="HM14" i="19"/>
  <c r="HM16" i="19"/>
  <c r="HM26" i="19"/>
  <c r="HM18" i="19"/>
  <c r="HM19" i="19"/>
  <c r="HM15" i="19"/>
  <c r="HM17" i="19"/>
  <c r="HM29" i="19"/>
  <c r="HM20" i="19"/>
  <c r="HM27" i="19"/>
  <c r="HM21" i="19"/>
  <c r="HM23" i="19"/>
  <c r="HM24" i="19"/>
  <c r="HM25" i="19"/>
  <c r="HM28" i="19"/>
  <c r="HM33" i="19"/>
  <c r="HM31" i="19"/>
  <c r="HM39" i="19"/>
  <c r="HM32" i="19"/>
  <c r="HM40" i="19"/>
  <c r="HM30" i="19"/>
  <c r="HM36" i="19"/>
  <c r="HM37" i="19"/>
  <c r="HM38" i="19"/>
  <c r="HM41" i="19"/>
  <c r="GK4" i="19"/>
  <c r="GK5" i="19"/>
  <c r="GK6" i="19"/>
  <c r="GK7" i="19"/>
  <c r="GK11" i="19"/>
  <c r="GK12" i="19"/>
  <c r="GK8" i="19"/>
  <c r="GK9" i="19"/>
  <c r="GK13" i="19"/>
  <c r="GK10" i="19"/>
  <c r="GK14" i="19"/>
  <c r="GK16" i="19"/>
  <c r="GK26" i="19"/>
  <c r="GK18" i="19"/>
  <c r="GK19" i="19"/>
  <c r="GK15" i="19"/>
  <c r="GK17" i="19"/>
  <c r="GK29" i="19"/>
  <c r="GK20" i="19"/>
  <c r="GK27" i="19"/>
  <c r="GK21" i="19"/>
  <c r="GK23" i="19"/>
  <c r="GK24" i="19"/>
  <c r="GK25" i="19"/>
  <c r="GK28" i="19"/>
  <c r="GK33" i="19"/>
  <c r="GK31" i="19"/>
  <c r="GK39" i="19"/>
  <c r="GK32" i="19"/>
  <c r="GK40" i="19"/>
  <c r="GK30" i="19"/>
  <c r="GK36" i="19"/>
  <c r="GK37" i="19"/>
  <c r="GK38" i="19"/>
  <c r="GK41" i="19"/>
  <c r="FI4" i="19"/>
  <c r="FI5" i="19"/>
  <c r="FI6" i="19"/>
  <c r="FI7" i="19"/>
  <c r="FI11" i="19"/>
  <c r="FI12" i="19"/>
  <c r="FI8" i="19"/>
  <c r="FI9" i="19"/>
  <c r="FI13" i="19"/>
  <c r="FI10" i="19"/>
  <c r="FI14" i="19"/>
  <c r="FI16" i="19"/>
  <c r="FI26" i="19"/>
  <c r="FI18" i="19"/>
  <c r="FI19" i="19"/>
  <c r="FI15" i="19"/>
  <c r="FI17" i="19"/>
  <c r="FI29" i="19"/>
  <c r="FI20" i="19"/>
  <c r="FI27" i="19"/>
  <c r="FI21" i="19"/>
  <c r="FI23" i="19"/>
  <c r="FI24" i="19"/>
  <c r="FI25" i="19"/>
  <c r="FI28" i="19"/>
  <c r="FI33" i="19"/>
  <c r="FI31" i="19"/>
  <c r="FI39" i="19"/>
  <c r="FI32" i="19"/>
  <c r="FI40" i="19"/>
  <c r="FI30" i="19"/>
  <c r="FI36" i="19"/>
  <c r="FI37" i="19"/>
  <c r="FI38" i="19"/>
  <c r="FI41" i="19"/>
  <c r="EG4" i="19"/>
  <c r="EG5" i="19"/>
  <c r="EG6" i="19"/>
  <c r="EG7" i="19"/>
  <c r="EG11" i="19"/>
  <c r="EG12" i="19"/>
  <c r="EG8" i="19"/>
  <c r="EG9" i="19"/>
  <c r="EG13" i="19"/>
  <c r="EG10" i="19"/>
  <c r="EG14" i="19"/>
  <c r="EG16" i="19"/>
  <c r="EG26" i="19"/>
  <c r="EG18" i="19"/>
  <c r="EG19" i="19"/>
  <c r="EG15" i="19"/>
  <c r="EG17" i="19"/>
  <c r="EG29" i="19"/>
  <c r="EG20" i="19"/>
  <c r="EG27" i="19"/>
  <c r="EG21" i="19"/>
  <c r="EG23" i="19"/>
  <c r="EG24" i="19"/>
  <c r="EG25" i="19"/>
  <c r="EG28" i="19"/>
  <c r="EG33" i="19"/>
  <c r="EG31" i="19"/>
  <c r="EG39" i="19"/>
  <c r="EG32" i="19"/>
  <c r="EG40" i="19"/>
  <c r="EG30" i="19"/>
  <c r="EG36" i="19"/>
  <c r="EG37" i="19"/>
  <c r="EG38" i="19"/>
  <c r="EG41" i="19"/>
  <c r="PA4" i="27"/>
  <c r="PA5" i="27"/>
  <c r="PA6" i="27"/>
  <c r="PA7" i="27"/>
  <c r="PA9" i="27"/>
  <c r="PA11" i="27"/>
  <c r="PA8" i="27"/>
  <c r="PA10" i="27"/>
  <c r="PA20" i="27"/>
  <c r="PA12" i="27"/>
  <c r="PA15" i="27"/>
  <c r="PA19" i="27"/>
  <c r="PA13" i="27"/>
  <c r="PA17" i="27"/>
  <c r="PA16" i="27"/>
  <c r="MW4" i="27"/>
  <c r="MW5" i="27"/>
  <c r="MW6" i="27"/>
  <c r="MW7" i="27"/>
  <c r="MW9" i="27"/>
  <c r="MW11" i="27"/>
  <c r="MW8" i="27"/>
  <c r="MW10" i="27"/>
  <c r="MW20" i="27"/>
  <c r="MW12" i="27"/>
  <c r="MW15" i="27"/>
  <c r="MW19" i="27"/>
  <c r="MW13" i="27"/>
  <c r="MW17" i="27"/>
  <c r="MW16" i="27"/>
  <c r="LU4" i="27"/>
  <c r="LU5" i="27"/>
  <c r="LU6" i="27"/>
  <c r="LU7" i="27"/>
  <c r="LU9" i="27"/>
  <c r="LU11" i="27"/>
  <c r="LU8" i="27"/>
  <c r="LU10" i="27"/>
  <c r="LU20" i="27"/>
  <c r="LU12" i="27"/>
  <c r="LU15" i="27"/>
  <c r="LU19" i="27"/>
  <c r="LU13" i="27"/>
  <c r="LU17" i="27"/>
  <c r="LU16" i="27"/>
  <c r="JQ4" i="27"/>
  <c r="JQ5" i="27"/>
  <c r="JQ6" i="27"/>
  <c r="JQ7" i="27"/>
  <c r="JQ9" i="27"/>
  <c r="JQ11" i="27"/>
  <c r="JQ8" i="27"/>
  <c r="JQ10" i="27"/>
  <c r="JQ20" i="27"/>
  <c r="JQ12" i="27"/>
  <c r="JQ15" i="27"/>
  <c r="JQ19" i="27"/>
  <c r="JQ13" i="27"/>
  <c r="JQ17" i="27"/>
  <c r="JQ16" i="27"/>
  <c r="IO4" i="27"/>
  <c r="IO5" i="27"/>
  <c r="IO6" i="27"/>
  <c r="IO7" i="27"/>
  <c r="IO9" i="27"/>
  <c r="IO11" i="27"/>
  <c r="IO8" i="27"/>
  <c r="IO10" i="27"/>
  <c r="IO20" i="27"/>
  <c r="IO12" i="27"/>
  <c r="IO15" i="27"/>
  <c r="IO19" i="27"/>
  <c r="IO13" i="27"/>
  <c r="IO17" i="27"/>
  <c r="IO16" i="27"/>
  <c r="HM4" i="27"/>
  <c r="HM5" i="27"/>
  <c r="HM6" i="27"/>
  <c r="HM7" i="27"/>
  <c r="HM9" i="27"/>
  <c r="HM11" i="27"/>
  <c r="HM8" i="27"/>
  <c r="HM10" i="27"/>
  <c r="HM20" i="27"/>
  <c r="HM12" i="27"/>
  <c r="HM15" i="27"/>
  <c r="HM19" i="27"/>
  <c r="HM13" i="27"/>
  <c r="HM17" i="27"/>
  <c r="HM16" i="27"/>
  <c r="GK4" i="27"/>
  <c r="GK5" i="27"/>
  <c r="GK6" i="27"/>
  <c r="GK7" i="27"/>
  <c r="GK9" i="27"/>
  <c r="GK11" i="27"/>
  <c r="GK8" i="27"/>
  <c r="GK10" i="27"/>
  <c r="GK20" i="27"/>
  <c r="GK12" i="27"/>
  <c r="GK15" i="27"/>
  <c r="GK19" i="27"/>
  <c r="GK13" i="27"/>
  <c r="GK17" i="27"/>
  <c r="GK16" i="27"/>
  <c r="FI4" i="27"/>
  <c r="FI5" i="27"/>
  <c r="FI6" i="27"/>
  <c r="FI7" i="27"/>
  <c r="FI9" i="27"/>
  <c r="FI11" i="27"/>
  <c r="FI8" i="27"/>
  <c r="FI10" i="27"/>
  <c r="FI20" i="27"/>
  <c r="FI12" i="27"/>
  <c r="FI15" i="27"/>
  <c r="FI19" i="27"/>
  <c r="FI13" i="27"/>
  <c r="FI17" i="27"/>
  <c r="FI16" i="27"/>
  <c r="EG5" i="27"/>
  <c r="EG7" i="27"/>
  <c r="EG11" i="27"/>
  <c r="EG10" i="27"/>
  <c r="EG16" i="27"/>
  <c r="EG4" i="27"/>
  <c r="EG6" i="27"/>
  <c r="EG9" i="27"/>
  <c r="EG8" i="27"/>
  <c r="EG20" i="27"/>
  <c r="EG12" i="27"/>
  <c r="EG15" i="27"/>
  <c r="EG19" i="27"/>
  <c r="EG13" i="27"/>
  <c r="PA4" i="26"/>
  <c r="PA5" i="26"/>
  <c r="PA7" i="26"/>
  <c r="PA8" i="26"/>
  <c r="PA6" i="26"/>
  <c r="PA12" i="26"/>
  <c r="PA10" i="26"/>
  <c r="PA11" i="26"/>
  <c r="PA9" i="26"/>
  <c r="PA14" i="26"/>
  <c r="PA16" i="26"/>
  <c r="PA17" i="26"/>
  <c r="PA18" i="26"/>
  <c r="PA19" i="26"/>
  <c r="PA15" i="26"/>
  <c r="PA20" i="26"/>
  <c r="NY4" i="26"/>
  <c r="NY5" i="26"/>
  <c r="NY7" i="26"/>
  <c r="NY8" i="26"/>
  <c r="NY6" i="26"/>
  <c r="NY12" i="26"/>
  <c r="NY10" i="26"/>
  <c r="NY11" i="26"/>
  <c r="NY9" i="26"/>
  <c r="NY14" i="26"/>
  <c r="NY16" i="26"/>
  <c r="NY17" i="26"/>
  <c r="NY18" i="26"/>
  <c r="NY19" i="26"/>
  <c r="NY15" i="26"/>
  <c r="NY20" i="26"/>
  <c r="MW4" i="26"/>
  <c r="MW5" i="26"/>
  <c r="MW7" i="26"/>
  <c r="MW8" i="26"/>
  <c r="MW6" i="26"/>
  <c r="MW12" i="26"/>
  <c r="MW10" i="26"/>
  <c r="MW11" i="26"/>
  <c r="MW9" i="26"/>
  <c r="MW14" i="26"/>
  <c r="MW16" i="26"/>
  <c r="MW17" i="26"/>
  <c r="MW18" i="26"/>
  <c r="MW19" i="26"/>
  <c r="MW15" i="26"/>
  <c r="MW20" i="26"/>
  <c r="LU4" i="26"/>
  <c r="LU5" i="26"/>
  <c r="LU7" i="26"/>
  <c r="LU8" i="26"/>
  <c r="LU6" i="26"/>
  <c r="LU12" i="26"/>
  <c r="LU10" i="26"/>
  <c r="LU11" i="26"/>
  <c r="LU9" i="26"/>
  <c r="LU14" i="26"/>
  <c r="LU16" i="26"/>
  <c r="LU17" i="26"/>
  <c r="LU18" i="26"/>
  <c r="LU19" i="26"/>
  <c r="LU15" i="26"/>
  <c r="LU20" i="26"/>
  <c r="KS4" i="26"/>
  <c r="KS5" i="26"/>
  <c r="KS7" i="26"/>
  <c r="KS8" i="26"/>
  <c r="KS6" i="26"/>
  <c r="KS12" i="26"/>
  <c r="KS10" i="26"/>
  <c r="KS11" i="26"/>
  <c r="KS9" i="26"/>
  <c r="KS14" i="26"/>
  <c r="KS16" i="26"/>
  <c r="KS17" i="26"/>
  <c r="KS18" i="26"/>
  <c r="KS19" i="26"/>
  <c r="KS15" i="26"/>
  <c r="KS20" i="26"/>
  <c r="JQ4" i="26"/>
  <c r="JQ5" i="26"/>
  <c r="JQ7" i="26"/>
  <c r="JQ8" i="26"/>
  <c r="JQ6" i="26"/>
  <c r="JQ12" i="26"/>
  <c r="JQ10" i="26"/>
  <c r="JQ11" i="26"/>
  <c r="JQ9" i="26"/>
  <c r="JQ14" i="26"/>
  <c r="JQ16" i="26"/>
  <c r="JQ17" i="26"/>
  <c r="JQ18" i="26"/>
  <c r="JQ19" i="26"/>
  <c r="JQ15" i="26"/>
  <c r="JQ20" i="26"/>
  <c r="IO4" i="26"/>
  <c r="IO5" i="26"/>
  <c r="IO7" i="26"/>
  <c r="IO8" i="26"/>
  <c r="IO6" i="26"/>
  <c r="IO12" i="26"/>
  <c r="IO10" i="26"/>
  <c r="IO11" i="26"/>
  <c r="IO9" i="26"/>
  <c r="IO14" i="26"/>
  <c r="IO16" i="26"/>
  <c r="IO17" i="26"/>
  <c r="IO18" i="26"/>
  <c r="IO19" i="26"/>
  <c r="IO15" i="26"/>
  <c r="IO20" i="26"/>
  <c r="HM4" i="26"/>
  <c r="HM5" i="26"/>
  <c r="HM7" i="26"/>
  <c r="HM8" i="26"/>
  <c r="HM6" i="26"/>
  <c r="HM12" i="26"/>
  <c r="HM10" i="26"/>
  <c r="HM11" i="26"/>
  <c r="HM9" i="26"/>
  <c r="HM14" i="26"/>
  <c r="HM16" i="26"/>
  <c r="HM17" i="26"/>
  <c r="HM18" i="26"/>
  <c r="HM19" i="26"/>
  <c r="HM15" i="26"/>
  <c r="HM20" i="26"/>
  <c r="GK4" i="26"/>
  <c r="GK5" i="26"/>
  <c r="GK7" i="26"/>
  <c r="GK8" i="26"/>
  <c r="GK6" i="26"/>
  <c r="GK12" i="26"/>
  <c r="GK10" i="26"/>
  <c r="GK11" i="26"/>
  <c r="GK9" i="26"/>
  <c r="GK14" i="26"/>
  <c r="GK16" i="26"/>
  <c r="GK17" i="26"/>
  <c r="GK18" i="26"/>
  <c r="GK19" i="26"/>
  <c r="GK15" i="26"/>
  <c r="GK20" i="26"/>
  <c r="FI4" i="26"/>
  <c r="FI5" i="26"/>
  <c r="FI7" i="26"/>
  <c r="FI8" i="26"/>
  <c r="FI6" i="26"/>
  <c r="FI12" i="26"/>
  <c r="FI10" i="26"/>
  <c r="FI11" i="26"/>
  <c r="FI9" i="26"/>
  <c r="FI14" i="26"/>
  <c r="FI16" i="26"/>
  <c r="FI17" i="26"/>
  <c r="FI18" i="26"/>
  <c r="FI19" i="26"/>
  <c r="FI15" i="26"/>
  <c r="FI20" i="26"/>
  <c r="EG4" i="26"/>
  <c r="EG5" i="26"/>
  <c r="EG7" i="26"/>
  <c r="EG8" i="26"/>
  <c r="EG6" i="26"/>
  <c r="EG12" i="26"/>
  <c r="EG10" i="26"/>
  <c r="EG11" i="26"/>
  <c r="EG9" i="26"/>
  <c r="EG14" i="26"/>
  <c r="EG16" i="26"/>
  <c r="EG17" i="26"/>
  <c r="EG18" i="26"/>
  <c r="EG19" i="26"/>
  <c r="EG15" i="26"/>
  <c r="EG20" i="26"/>
  <c r="QF4" i="21"/>
  <c r="QC21" i="19"/>
  <c r="QF21" i="19"/>
  <c r="RG11" i="27"/>
  <c r="RB11" i="27"/>
  <c r="QC11" i="27"/>
  <c r="QF11" i="27"/>
  <c r="QF17" i="26"/>
  <c r="SN5" i="22"/>
  <c r="SU5" i="22" s="1"/>
  <c r="CW16" i="4"/>
  <c r="DA16" i="4" s="1"/>
  <c r="R24" i="19"/>
  <c r="S24" i="19" s="1"/>
  <c r="RB21" i="19"/>
  <c r="R21" i="19"/>
  <c r="S21" i="19" s="1"/>
  <c r="R11" i="27"/>
  <c r="S11" i="27" s="1"/>
  <c r="DB17" i="26"/>
  <c r="R17" i="26"/>
  <c r="S17" i="26" s="1"/>
  <c r="P5" i="22"/>
  <c r="DC5" i="22" s="1"/>
  <c r="CW5" i="22"/>
  <c r="DA5" i="22" s="1"/>
  <c r="TN23" i="22"/>
  <c r="P20" i="4"/>
  <c r="DC20" i="4" s="1"/>
  <c r="CW20" i="4"/>
  <c r="DA20" i="4" s="1"/>
  <c r="CW8" i="4"/>
  <c r="DA8" i="4" s="1"/>
  <c r="TQ16" i="4"/>
  <c r="TN20" i="4"/>
  <c r="DB4" i="21"/>
  <c r="RG4" i="21"/>
  <c r="RE4" i="21"/>
  <c r="R4" i="21"/>
  <c r="S4" i="21" s="1"/>
  <c r="RB4" i="21"/>
  <c r="RH4" i="21"/>
  <c r="RC4" i="21"/>
  <c r="RD4" i="21"/>
  <c r="H4" i="21"/>
  <c r="N4" i="21"/>
  <c r="O4" i="21" s="1"/>
  <c r="I4" i="21"/>
  <c r="P4" i="21"/>
  <c r="L4" i="21"/>
  <c r="DB21" i="19"/>
  <c r="P21" i="19"/>
  <c r="DG21" i="19" s="1"/>
  <c r="RC21" i="19"/>
  <c r="RE21" i="19"/>
  <c r="RG21" i="19"/>
  <c r="RD21" i="19"/>
  <c r="RH21" i="19"/>
  <c r="H21" i="19"/>
  <c r="I21" i="19"/>
  <c r="DE21" i="19"/>
  <c r="N21" i="19"/>
  <c r="L21" i="19"/>
  <c r="QC15" i="19"/>
  <c r="R15" i="19"/>
  <c r="S15" i="19" s="1"/>
  <c r="DB24" i="19"/>
  <c r="QF15" i="19"/>
  <c r="QF24" i="19"/>
  <c r="P24" i="19"/>
  <c r="DG24" i="19" s="1"/>
  <c r="RD24" i="19"/>
  <c r="RC24" i="19"/>
  <c r="RG24" i="19"/>
  <c r="RB24" i="19"/>
  <c r="RH24" i="19"/>
  <c r="H24" i="19"/>
  <c r="RE24" i="19"/>
  <c r="I24" i="19"/>
  <c r="DE24" i="19"/>
  <c r="N24" i="19"/>
  <c r="L24" i="19"/>
  <c r="QC10" i="19"/>
  <c r="QC8" i="19"/>
  <c r="QC20" i="19"/>
  <c r="RG15" i="19"/>
  <c r="RB15" i="19"/>
  <c r="DB15" i="19"/>
  <c r="P15" i="19"/>
  <c r="DG15" i="19" s="1"/>
  <c r="RD15" i="19"/>
  <c r="RH15" i="19"/>
  <c r="RE15" i="19"/>
  <c r="RC15" i="19"/>
  <c r="I15" i="19"/>
  <c r="H15" i="19"/>
  <c r="DE15" i="19"/>
  <c r="N15" i="19"/>
  <c r="L15" i="19"/>
  <c r="R10" i="19"/>
  <c r="S10" i="19" s="1"/>
  <c r="RE20" i="19"/>
  <c r="RG10" i="19"/>
  <c r="RB10" i="19"/>
  <c r="QF20" i="19"/>
  <c r="DB20" i="19"/>
  <c r="R20" i="19"/>
  <c r="S20" i="19" s="1"/>
  <c r="RD20" i="19"/>
  <c r="DE20" i="19"/>
  <c r="RH20" i="19"/>
  <c r="RG20" i="19"/>
  <c r="RB20" i="19"/>
  <c r="RC20" i="19"/>
  <c r="H20" i="19"/>
  <c r="I20" i="19"/>
  <c r="P20" i="19"/>
  <c r="N20" i="19"/>
  <c r="L20" i="19"/>
  <c r="QF10" i="19"/>
  <c r="RG8" i="19"/>
  <c r="RB8" i="19"/>
  <c r="R8" i="19"/>
  <c r="S8" i="19" s="1"/>
  <c r="P10" i="19"/>
  <c r="DG10" i="19" s="1"/>
  <c r="DB10" i="19"/>
  <c r="RE10" i="19"/>
  <c r="RD10" i="19"/>
  <c r="RH10" i="19"/>
  <c r="RC10" i="19"/>
  <c r="I10" i="19"/>
  <c r="DE10" i="19"/>
  <c r="N10" i="19"/>
  <c r="H10" i="19"/>
  <c r="L10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11" i="27"/>
  <c r="P11" i="27"/>
  <c r="Q11" i="27" s="1"/>
  <c r="RH11" i="27"/>
  <c r="RC11" i="27"/>
  <c r="RD11" i="27"/>
  <c r="RE11" i="27"/>
  <c r="H11" i="27"/>
  <c r="I11" i="27"/>
  <c r="DE11" i="27"/>
  <c r="N11" i="27"/>
  <c r="L11" i="27"/>
  <c r="QC17" i="26"/>
  <c r="RE17" i="26"/>
  <c r="P17" i="26"/>
  <c r="Q17" i="26" s="1"/>
  <c r="RD17" i="26"/>
  <c r="RH17" i="26"/>
  <c r="RC17" i="26"/>
  <c r="I17" i="26"/>
  <c r="H17" i="26"/>
  <c r="DE17" i="26"/>
  <c r="N17" i="26"/>
  <c r="L17" i="26"/>
  <c r="SN23" i="22"/>
  <c r="SU23" i="22" s="1"/>
  <c r="TU23" i="22"/>
  <c r="TQ23" i="22"/>
  <c r="I23" i="22"/>
  <c r="K23" i="22"/>
  <c r="P23" i="22"/>
  <c r="DC23" i="22" s="1"/>
  <c r="L23" i="22"/>
  <c r="M23" i="22" s="1"/>
  <c r="R23" i="22"/>
  <c r="S23" i="22" s="1"/>
  <c r="H23" i="22"/>
  <c r="N23" i="22"/>
  <c r="T23" i="22"/>
  <c r="U23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0" i="4"/>
  <c r="SU20" i="4" s="1"/>
  <c r="L20" i="4"/>
  <c r="M20" i="4" s="1"/>
  <c r="TU20" i="4"/>
  <c r="TQ20" i="4"/>
  <c r="R20" i="4"/>
  <c r="S20" i="4" s="1"/>
  <c r="I20" i="4"/>
  <c r="K20" i="4"/>
  <c r="H20" i="4"/>
  <c r="N20" i="4"/>
  <c r="T20" i="4"/>
  <c r="U20" i="4" s="1"/>
  <c r="P8" i="4"/>
  <c r="DC8" i="4" s="1"/>
  <c r="TN8" i="4"/>
  <c r="SN16" i="4"/>
  <c r="SU16" i="4" s="1"/>
  <c r="TN16" i="4"/>
  <c r="TU16" i="4"/>
  <c r="R16" i="4"/>
  <c r="S16" i="4" s="1"/>
  <c r="L16" i="4"/>
  <c r="M16" i="4" s="1"/>
  <c r="K16" i="4"/>
  <c r="I16" i="4"/>
  <c r="P16" i="4"/>
  <c r="H16" i="4"/>
  <c r="N16" i="4"/>
  <c r="T16" i="4"/>
  <c r="U16" i="4" s="1"/>
  <c r="TU8" i="4"/>
  <c r="SN8" i="4"/>
  <c r="SU8" i="4" s="1"/>
  <c r="R8" i="4"/>
  <c r="S8" i="4" s="1"/>
  <c r="TQ8" i="4"/>
  <c r="L8" i="4"/>
  <c r="M8" i="4" s="1"/>
  <c r="I8" i="4"/>
  <c r="K8" i="4"/>
  <c r="H8" i="4"/>
  <c r="N8" i="4"/>
  <c r="T8" i="4"/>
  <c r="U8" i="4" s="1"/>
  <c r="B27" i="21" l="1" a="1"/>
  <c r="B27" i="21" s="1"/>
  <c r="A27" i="21" a="1"/>
  <c r="A27" i="21" s="1"/>
  <c r="T21" i="26"/>
  <c r="U21" i="26" s="1"/>
  <c r="F24" i="27"/>
  <c r="T14" i="27"/>
  <c r="F18" i="21"/>
  <c r="A21" i="21" a="1"/>
  <c r="A21" i="21" s="1"/>
  <c r="F25" i="21"/>
  <c r="T22" i="19"/>
  <c r="F22" i="19" s="1"/>
  <c r="U24" i="27"/>
  <c r="V24" i="27"/>
  <c r="T26" i="27"/>
  <c r="V26" i="27" s="1"/>
  <c r="F21" i="4"/>
  <c r="B19" i="4" a="1"/>
  <c r="B19" i="4" s="1"/>
  <c r="F27" i="21"/>
  <c r="F15" i="21"/>
  <c r="B30" i="21" a="1"/>
  <c r="B30" i="21" s="1"/>
  <c r="T20" i="21"/>
  <c r="V20" i="21" s="1"/>
  <c r="A17" i="21" a="1"/>
  <c r="A17" i="21" s="1"/>
  <c r="A35" i="19" a="1"/>
  <c r="A35" i="19" s="1"/>
  <c r="T34" i="19"/>
  <c r="U34" i="19" s="1"/>
  <c r="T35" i="19"/>
  <c r="U35" i="19" s="1"/>
  <c r="B22" i="27" a="1"/>
  <c r="B22" i="27" s="1"/>
  <c r="B26" i="27" a="1"/>
  <c r="B26" i="27" s="1"/>
  <c r="A21" i="27" a="1"/>
  <c r="A21" i="27" s="1"/>
  <c r="F22" i="27"/>
  <c r="A23" i="27" a="1"/>
  <c r="A23" i="27" s="1"/>
  <c r="U23" i="26"/>
  <c r="V23" i="26"/>
  <c r="F21" i="26"/>
  <c r="F22" i="26"/>
  <c r="B23" i="4" a="1"/>
  <c r="B23" i="4" s="1"/>
  <c r="V26" i="4"/>
  <c r="F26" i="4" s="1"/>
  <c r="V23" i="4"/>
  <c r="F23" i="4" s="1"/>
  <c r="V20" i="22"/>
  <c r="F20" i="22" s="1"/>
  <c r="B31" i="21" a="1"/>
  <c r="B31" i="21" s="1"/>
  <c r="A31" i="21" a="1"/>
  <c r="A31" i="21" s="1"/>
  <c r="V31" i="21"/>
  <c r="U31" i="21"/>
  <c r="F31" i="21"/>
  <c r="F30" i="21"/>
  <c r="F21" i="21"/>
  <c r="V15" i="21"/>
  <c r="U15" i="21"/>
  <c r="B25" i="21" a="1"/>
  <c r="B25" i="21" s="1"/>
  <c r="U30" i="21"/>
  <c r="V30" i="21"/>
  <c r="F24" i="21"/>
  <c r="B20" i="21" a="1"/>
  <c r="B20" i="21" s="1"/>
  <c r="F17" i="21"/>
  <c r="A24" i="21" a="1"/>
  <c r="A24" i="21" s="1"/>
  <c r="A18" i="21" a="1"/>
  <c r="A18" i="21" s="1"/>
  <c r="B18" i="21" a="1"/>
  <c r="B18" i="21" s="1"/>
  <c r="U25" i="21"/>
  <c r="V25" i="21"/>
  <c r="U17" i="21"/>
  <c r="V17" i="21"/>
  <c r="U27" i="21"/>
  <c r="V27" i="21"/>
  <c r="V24" i="21"/>
  <c r="U24" i="21"/>
  <c r="B15" i="21" a="1"/>
  <c r="B15" i="21" s="1"/>
  <c r="A15" i="21" a="1"/>
  <c r="A15" i="21" s="1"/>
  <c r="U18" i="21"/>
  <c r="V18" i="21"/>
  <c r="U21" i="21"/>
  <c r="V21" i="21"/>
  <c r="B34" i="19" a="1"/>
  <c r="B34" i="19" s="1"/>
  <c r="A34" i="19" a="1"/>
  <c r="A34" i="19" s="1"/>
  <c r="F34" i="19"/>
  <c r="F25" i="27"/>
  <c r="A18" i="27" a="1"/>
  <c r="A18" i="27" s="1"/>
  <c r="F14" i="27"/>
  <c r="U21" i="27"/>
  <c r="V21" i="27"/>
  <c r="A24" i="27" a="1"/>
  <c r="A24" i="27" s="1"/>
  <c r="B24" i="27" a="1"/>
  <c r="B24" i="27" s="1"/>
  <c r="F21" i="27"/>
  <c r="A25" i="27" a="1"/>
  <c r="A25" i="27" s="1"/>
  <c r="B25" i="27" a="1"/>
  <c r="B25" i="27" s="1"/>
  <c r="T18" i="27"/>
  <c r="F18" i="27" s="1"/>
  <c r="U23" i="27"/>
  <c r="V23" i="27"/>
  <c r="F23" i="27"/>
  <c r="U22" i="27"/>
  <c r="V22" i="27"/>
  <c r="U25" i="27"/>
  <c r="V25" i="27"/>
  <c r="U14" i="27"/>
  <c r="V14" i="27"/>
  <c r="F23" i="26"/>
  <c r="A22" i="26" a="1"/>
  <c r="A22" i="26" s="1"/>
  <c r="U13" i="26"/>
  <c r="V13" i="26"/>
  <c r="F13" i="26"/>
  <c r="B21" i="26" a="1"/>
  <c r="B21" i="26" s="1"/>
  <c r="A21" i="26" a="1"/>
  <c r="A21" i="26" s="1"/>
  <c r="A23" i="26" a="1"/>
  <c r="A23" i="26" s="1"/>
  <c r="B23" i="26" a="1"/>
  <c r="B23" i="26" s="1"/>
  <c r="U22" i="26"/>
  <c r="V22" i="26"/>
  <c r="B34" i="22" a="1"/>
  <c r="B34" i="22" s="1"/>
  <c r="V34" i="22"/>
  <c r="F34" i="22" s="1"/>
  <c r="A17" i="22" a="1"/>
  <c r="A17" i="22" s="1"/>
  <c r="B27" i="22" a="1"/>
  <c r="B27" i="22" s="1"/>
  <c r="V38" i="22"/>
  <c r="F38" i="22" s="1"/>
  <c r="V27" i="22"/>
  <c r="W27" i="22" s="1"/>
  <c r="F37" i="22"/>
  <c r="V32" i="22"/>
  <c r="W32" i="22" s="1"/>
  <c r="V36" i="22"/>
  <c r="F36" i="22" s="1"/>
  <c r="B36" i="22" a="1"/>
  <c r="B36" i="22" s="1"/>
  <c r="A36" i="22" a="1"/>
  <c r="A36" i="22" s="1"/>
  <c r="W37" i="22"/>
  <c r="X37" i="22"/>
  <c r="B32" i="22" a="1"/>
  <c r="B32" i="22" s="1"/>
  <c r="A32" i="22" a="1"/>
  <c r="A32" i="22" s="1"/>
  <c r="A37" i="22" a="1"/>
  <c r="A37" i="22" s="1"/>
  <c r="B37" i="22" a="1"/>
  <c r="B37" i="22" s="1"/>
  <c r="B38" i="22" a="1"/>
  <c r="B38" i="22" s="1"/>
  <c r="A38" i="22" a="1"/>
  <c r="A38" i="22" s="1"/>
  <c r="V17" i="22"/>
  <c r="A27" i="4" a="1"/>
  <c r="A27" i="4" s="1"/>
  <c r="B22" i="4" a="1"/>
  <c r="B22" i="4" s="1"/>
  <c r="B26" i="4" a="1"/>
  <c r="B26" i="4" s="1"/>
  <c r="V37" i="4"/>
  <c r="F37" i="4" s="1"/>
  <c r="V27" i="4"/>
  <c r="W27" i="4" s="1"/>
  <c r="V22" i="4"/>
  <c r="F22" i="4" s="1"/>
  <c r="W21" i="4"/>
  <c r="X21" i="4"/>
  <c r="B21" i="4" a="1"/>
  <c r="B21" i="4" s="1"/>
  <c r="V19" i="4"/>
  <c r="W19" i="4" s="1"/>
  <c r="V25" i="4"/>
  <c r="B37" i="4" a="1"/>
  <c r="B37" i="4" s="1"/>
  <c r="A37" i="4" a="1"/>
  <c r="A37" i="4" s="1"/>
  <c r="A25" i="4" a="1"/>
  <c r="A25" i="4" s="1"/>
  <c r="B25" i="4" a="1"/>
  <c r="B25" i="4" s="1"/>
  <c r="V33" i="4"/>
  <c r="A33" i="4" a="1"/>
  <c r="A33" i="4" s="1"/>
  <c r="B33" i="4" a="1"/>
  <c r="B33" i="4" s="1"/>
  <c r="DH24" i="19"/>
  <c r="Q24" i="19"/>
  <c r="DH11" i="27"/>
  <c r="Q5" i="22"/>
  <c r="DB5" i="22"/>
  <c r="V5" i="22" s="1"/>
  <c r="X5" i="22" s="1"/>
  <c r="K17" i="26"/>
  <c r="J17" i="26" s="1"/>
  <c r="B17" i="26" s="1" a="1"/>
  <c r="B17" i="26" s="1"/>
  <c r="K4" i="21"/>
  <c r="J4" i="21" s="1"/>
  <c r="RI4" i="21"/>
  <c r="Q21" i="19"/>
  <c r="Q10" i="19"/>
  <c r="K21" i="19"/>
  <c r="J21" i="19" s="1"/>
  <c r="K24" i="19"/>
  <c r="J24" i="19" s="1"/>
  <c r="K11" i="27"/>
  <c r="J11" i="27" s="1"/>
  <c r="DG11" i="27"/>
  <c r="DG17" i="26"/>
  <c r="DH17" i="26"/>
  <c r="TR23" i="22"/>
  <c r="TV23" i="22" s="1"/>
  <c r="O5" i="22"/>
  <c r="Q20" i="4"/>
  <c r="DH4" i="21"/>
  <c r="DH21" i="19"/>
  <c r="RI21" i="19"/>
  <c r="Q15" i="19"/>
  <c r="RF21" i="19"/>
  <c r="DH20" i="19"/>
  <c r="RF11" i="27"/>
  <c r="RI11" i="27"/>
  <c r="RF17" i="26"/>
  <c r="RI17" i="26"/>
  <c r="TR16" i="4"/>
  <c r="TV16" i="4" s="1"/>
  <c r="TR20" i="4"/>
  <c r="TV20" i="4" s="1"/>
  <c r="TR8" i="4"/>
  <c r="TV8" i="4" s="1"/>
  <c r="RF4" i="21"/>
  <c r="DF4" i="21"/>
  <c r="Q4" i="21"/>
  <c r="DG4" i="21"/>
  <c r="M4" i="21"/>
  <c r="M21" i="19"/>
  <c r="O21" i="19"/>
  <c r="DF21" i="19"/>
  <c r="DH8" i="19"/>
  <c r="K15" i="19"/>
  <c r="J15" i="19" s="1"/>
  <c r="DH15" i="19"/>
  <c r="RI24" i="19"/>
  <c r="RF24" i="19"/>
  <c r="O24" i="19"/>
  <c r="DF24" i="19"/>
  <c r="M24" i="19"/>
  <c r="K10" i="19"/>
  <c r="J10" i="19" s="1"/>
  <c r="RI20" i="19"/>
  <c r="K20" i="19"/>
  <c r="J20" i="19" s="1"/>
  <c r="DH10" i="19"/>
  <c r="RI15" i="19"/>
  <c r="RF15" i="19"/>
  <c r="M15" i="19"/>
  <c r="O15" i="19"/>
  <c r="DF15" i="19"/>
  <c r="RF20" i="19"/>
  <c r="O20" i="19"/>
  <c r="DF20" i="19"/>
  <c r="M20" i="19"/>
  <c r="Q20" i="19"/>
  <c r="DG20" i="19"/>
  <c r="RI8" i="19"/>
  <c r="K8" i="19"/>
  <c r="J8" i="19" s="1"/>
  <c r="RF10" i="19"/>
  <c r="RI10" i="19"/>
  <c r="M10" i="19"/>
  <c r="DF10" i="19"/>
  <c r="O10" i="19"/>
  <c r="RF8" i="19"/>
  <c r="DG8" i="19"/>
  <c r="M8" i="19"/>
  <c r="O8" i="19"/>
  <c r="DF8" i="19"/>
  <c r="M11" i="27"/>
  <c r="O11" i="27"/>
  <c r="DF11" i="27"/>
  <c r="M17" i="26"/>
  <c r="O17" i="26"/>
  <c r="DF17" i="26"/>
  <c r="J23" i="22"/>
  <c r="A23" i="22" s="1" a="1"/>
  <c r="A23" i="22" s="1"/>
  <c r="Q23" i="22"/>
  <c r="DB23" i="22"/>
  <c r="V23" i="22" s="1"/>
  <c r="X23" i="22" s="1"/>
  <c r="O23" i="22"/>
  <c r="J5" i="22"/>
  <c r="TR5" i="22"/>
  <c r="TV5" i="22" s="1"/>
  <c r="J20" i="4"/>
  <c r="A20" i="4" s="1" a="1"/>
  <c r="A20" i="4" s="1"/>
  <c r="DB20" i="4"/>
  <c r="V20" i="4" s="1"/>
  <c r="O20" i="4"/>
  <c r="Q8" i="4"/>
  <c r="DC16" i="4"/>
  <c r="Q16" i="4"/>
  <c r="J16" i="4"/>
  <c r="O16" i="4"/>
  <c r="DB16" i="4"/>
  <c r="J8" i="4"/>
  <c r="O8" i="4"/>
  <c r="DB8" i="4"/>
  <c r="V8" i="4" s="1"/>
  <c r="F35" i="19" l="1"/>
  <c r="V21" i="26"/>
  <c r="V22" i="19"/>
  <c r="U22" i="19"/>
  <c r="F26" i="27"/>
  <c r="U26" i="27"/>
  <c r="U20" i="21"/>
  <c r="F20" i="21"/>
  <c r="V34" i="19"/>
  <c r="W26" i="4"/>
  <c r="X37" i="4"/>
  <c r="V35" i="19"/>
  <c r="X26" i="4"/>
  <c r="W37" i="4"/>
  <c r="W23" i="4"/>
  <c r="X23" i="4"/>
  <c r="W20" i="22"/>
  <c r="X20" i="22"/>
  <c r="W38" i="22"/>
  <c r="X34" i="22"/>
  <c r="W34" i="22"/>
  <c r="T24" i="19"/>
  <c r="F24" i="19" s="1"/>
  <c r="U18" i="27"/>
  <c r="V18" i="27"/>
  <c r="X38" i="22"/>
  <c r="X27" i="22"/>
  <c r="F27" i="22"/>
  <c r="W36" i="22"/>
  <c r="F32" i="22"/>
  <c r="X36" i="22"/>
  <c r="X32" i="22"/>
  <c r="X17" i="22"/>
  <c r="W17" i="22"/>
  <c r="F17" i="22"/>
  <c r="F19" i="4"/>
  <c r="X19" i="4"/>
  <c r="X27" i="4"/>
  <c r="F27" i="4"/>
  <c r="W22" i="4"/>
  <c r="X22" i="4"/>
  <c r="W33" i="4"/>
  <c r="X33" i="4"/>
  <c r="F33" i="4"/>
  <c r="W25" i="4"/>
  <c r="X25" i="4"/>
  <c r="F25" i="4"/>
  <c r="T11" i="27"/>
  <c r="U11" i="27" s="1"/>
  <c r="T17" i="26"/>
  <c r="F17" i="26" s="1"/>
  <c r="T21" i="19"/>
  <c r="V21" i="19" s="1"/>
  <c r="T15" i="19"/>
  <c r="F15" i="19" s="1"/>
  <c r="V16" i="4"/>
  <c r="W16" i="4" s="1"/>
  <c r="T4" i="21"/>
  <c r="U4" i="21" s="1"/>
  <c r="T10" i="19"/>
  <c r="U10" i="19" s="1"/>
  <c r="T20" i="19"/>
  <c r="T8" i="19"/>
  <c r="F8" i="19" s="1"/>
  <c r="A17" i="26" a="1"/>
  <c r="A17" i="26" s="1"/>
  <c r="B23" i="22" a="1"/>
  <c r="B23" i="22" s="1"/>
  <c r="F23" i="22"/>
  <c r="W23" i="22"/>
  <c r="W5" i="22"/>
  <c r="F5" i="22"/>
  <c r="F20" i="4"/>
  <c r="B20" i="4" a="1"/>
  <c r="B20" i="4" s="1"/>
  <c r="W20" i="4"/>
  <c r="X20" i="4"/>
  <c r="A16" i="4" a="1"/>
  <c r="A16" i="4" s="1"/>
  <c r="B16" i="4" a="1"/>
  <c r="B16" i="4" s="1"/>
  <c r="F8" i="4"/>
  <c r="W8" i="4"/>
  <c r="X8" i="4"/>
  <c r="U24" i="19" l="1"/>
  <c r="V24" i="19"/>
  <c r="F11" i="27"/>
  <c r="X16" i="4"/>
  <c r="V15" i="19"/>
  <c r="U15" i="19"/>
  <c r="U21" i="19"/>
  <c r="F21" i="19"/>
  <c r="V11" i="27"/>
  <c r="V17" i="26"/>
  <c r="U17" i="26"/>
  <c r="F16" i="4"/>
  <c r="F10" i="19"/>
  <c r="V10" i="19"/>
  <c r="F4" i="21"/>
  <c r="V4" i="21"/>
  <c r="U20" i="19"/>
  <c r="V20" i="19"/>
  <c r="F20" i="19"/>
  <c r="V8" i="19"/>
  <c r="U8" i="19"/>
  <c r="CX32" i="19" l="1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QF32" i="19" l="1"/>
  <c r="QF15" i="26"/>
  <c r="DE15" i="26"/>
  <c r="DE32" i="19"/>
  <c r="R15" i="26"/>
  <c r="S15" i="26" s="1"/>
  <c r="RG32" i="19"/>
  <c r="RB32" i="19"/>
  <c r="R32" i="19"/>
  <c r="DH32" i="19" s="1"/>
  <c r="QC32" i="19"/>
  <c r="RH32" i="19"/>
  <c r="DB32" i="19"/>
  <c r="P32" i="19"/>
  <c r="Q32" i="19" s="1"/>
  <c r="N32" i="19"/>
  <c r="O32" i="19" s="1"/>
  <c r="H32" i="19"/>
  <c r="RD32" i="19"/>
  <c r="RC32" i="19"/>
  <c r="L32" i="19"/>
  <c r="M32" i="19" s="1"/>
  <c r="RE32" i="19"/>
  <c r="I32" i="19"/>
  <c r="RB15" i="26"/>
  <c r="QC15" i="26"/>
  <c r="RH15" i="26"/>
  <c r="P15" i="26"/>
  <c r="DG15" i="26" s="1"/>
  <c r="RG15" i="26"/>
  <c r="DB15" i="26"/>
  <c r="RD15" i="26"/>
  <c r="N15" i="26"/>
  <c r="O15" i="26" s="1"/>
  <c r="RC15" i="26"/>
  <c r="H15" i="26"/>
  <c r="L15" i="26"/>
  <c r="M15" i="26" s="1"/>
  <c r="RE15" i="26"/>
  <c r="I15" i="26"/>
  <c r="RI32" i="19" l="1"/>
  <c r="RI15" i="26"/>
  <c r="DH15" i="26"/>
  <c r="K32" i="19"/>
  <c r="J32" i="19" s="1"/>
  <c r="DF32" i="19"/>
  <c r="S32" i="19"/>
  <c r="K15" i="26"/>
  <c r="J15" i="26" s="1"/>
  <c r="DF15" i="26"/>
  <c r="RF32" i="19"/>
  <c r="DG32" i="19"/>
  <c r="Q15" i="26"/>
  <c r="RF15" i="26"/>
  <c r="T15" i="26" l="1"/>
  <c r="F15" i="26" s="1"/>
  <c r="A32" i="19" a="1"/>
  <c r="A32" i="19" s="1"/>
  <c r="B32" i="19" a="1"/>
  <c r="B32" i="19" s="1"/>
  <c r="A15" i="26" a="1"/>
  <c r="A15" i="26" s="1"/>
  <c r="B15" i="26" a="1"/>
  <c r="B15" i="26" s="1"/>
  <c r="T32" i="19"/>
  <c r="F32" i="19" s="1"/>
  <c r="U15" i="26" l="1"/>
  <c r="V15" i="26"/>
  <c r="V32" i="19"/>
  <c r="U32" i="19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DC20" i="26"/>
  <c r="DD20" i="26"/>
  <c r="QM20" i="26"/>
  <c r="DA20" i="26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I35" i="22"/>
  <c r="TT35" i="22" s="1"/>
  <c r="TJ35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I18" i="22"/>
  <c r="TT18" i="22" s="1"/>
  <c r="TJ18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0" i="4"/>
  <c r="CR40" i="4"/>
  <c r="CS40" i="4"/>
  <c r="CT40" i="4"/>
  <c r="CU40" i="4"/>
  <c r="CV40" i="4"/>
  <c r="CX40" i="4"/>
  <c r="CY40" i="4"/>
  <c r="CZ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I30" i="4"/>
  <c r="TT30" i="4" s="1"/>
  <c r="TJ30" i="4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20" i="26"/>
  <c r="CY20" i="26"/>
  <c r="CZ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41" i="19"/>
  <c r="CY41" i="19"/>
  <c r="CZ41" i="19"/>
  <c r="DA41" i="19"/>
  <c r="DC41" i="19"/>
  <c r="DD41" i="19"/>
  <c r="PY41" i="19"/>
  <c r="PZ41" i="19"/>
  <c r="QA41" i="19"/>
  <c r="QB41" i="19"/>
  <c r="QD41" i="19"/>
  <c r="QE41" i="19"/>
  <c r="QG41" i="19"/>
  <c r="QH41" i="19"/>
  <c r="QI41" i="19"/>
  <c r="QJ41" i="19"/>
  <c r="QK41" i="19"/>
  <c r="QL41" i="19"/>
  <c r="QM41" i="19"/>
  <c r="QN41" i="19"/>
  <c r="QO41" i="19"/>
  <c r="QP41" i="19"/>
  <c r="QQ41" i="19"/>
  <c r="QR41" i="19"/>
  <c r="QS41" i="19"/>
  <c r="QT41" i="19"/>
  <c r="QU41" i="19"/>
  <c r="QV41" i="19"/>
  <c r="QW41" i="19"/>
  <c r="QX41" i="19"/>
  <c r="QY41" i="19"/>
  <c r="QZ41" i="19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QF23" i="19" l="1"/>
  <c r="QF37" i="19"/>
  <c r="QF36" i="19"/>
  <c r="QF41" i="19"/>
  <c r="DE8" i="26"/>
  <c r="DE19" i="26"/>
  <c r="QF16" i="27"/>
  <c r="QF15" i="27"/>
  <c r="QF19" i="27"/>
  <c r="QF8" i="26"/>
  <c r="DE20" i="26"/>
  <c r="DE18" i="26"/>
  <c r="QF19" i="26"/>
  <c r="QF20" i="26"/>
  <c r="QF18" i="26"/>
  <c r="SN29" i="4"/>
  <c r="SU29" i="4" s="1"/>
  <c r="CW32" i="4"/>
  <c r="DA32" i="4" s="1"/>
  <c r="DE23" i="19"/>
  <c r="DE36" i="19"/>
  <c r="DE37" i="19"/>
  <c r="DE41" i="19"/>
  <c r="DE16" i="27"/>
  <c r="DE15" i="27"/>
  <c r="DE19" i="27"/>
  <c r="L32" i="4"/>
  <c r="M32" i="4" s="1"/>
  <c r="CW29" i="4"/>
  <c r="DA29" i="4" s="1"/>
  <c r="SN32" i="4"/>
  <c r="SU32" i="4" s="1"/>
  <c r="TQ32" i="4"/>
  <c r="TN32" i="4"/>
  <c r="N32" i="4"/>
  <c r="O32" i="4" s="1"/>
  <c r="R32" i="4"/>
  <c r="S32" i="4" s="1"/>
  <c r="H32" i="4"/>
  <c r="P32" i="4"/>
  <c r="DC32" i="4" s="1"/>
  <c r="T32" i="4"/>
  <c r="U32" i="4" s="1"/>
  <c r="TU32" i="4"/>
  <c r="K32" i="4"/>
  <c r="I32" i="4"/>
  <c r="TQ29" i="4"/>
  <c r="TU29" i="4"/>
  <c r="TN29" i="4"/>
  <c r="N29" i="4"/>
  <c r="O29" i="4" s="1"/>
  <c r="L29" i="4"/>
  <c r="M29" i="4" s="1"/>
  <c r="T29" i="4"/>
  <c r="U29" i="4" s="1"/>
  <c r="H29" i="4"/>
  <c r="K29" i="4"/>
  <c r="R29" i="4"/>
  <c r="S29" i="4" s="1"/>
  <c r="I29" i="4"/>
  <c r="P29" i="4"/>
  <c r="CW28" i="22"/>
  <c r="DA28" i="22" s="1"/>
  <c r="H37" i="19"/>
  <c r="I16" i="27"/>
  <c r="H40" i="4"/>
  <c r="I23" i="19"/>
  <c r="H23" i="19"/>
  <c r="I37" i="19"/>
  <c r="I36" i="19"/>
  <c r="H36" i="19"/>
  <c r="I41" i="19"/>
  <c r="H41" i="19"/>
  <c r="H16" i="27"/>
  <c r="I19" i="27"/>
  <c r="H19" i="27"/>
  <c r="I15" i="27"/>
  <c r="H15" i="27"/>
  <c r="I19" i="26"/>
  <c r="I18" i="26"/>
  <c r="H19" i="26"/>
  <c r="H18" i="26"/>
  <c r="I8" i="26"/>
  <c r="I20" i="26"/>
  <c r="H8" i="26"/>
  <c r="H20" i="26"/>
  <c r="H9" i="22"/>
  <c r="I19" i="22"/>
  <c r="H15" i="22"/>
  <c r="I33" i="22"/>
  <c r="H35" i="22"/>
  <c r="I28" i="22"/>
  <c r="H19" i="22"/>
  <c r="I21" i="22"/>
  <c r="H33" i="22"/>
  <c r="I30" i="22"/>
  <c r="H28" i="22"/>
  <c r="H21" i="22"/>
  <c r="I26" i="22"/>
  <c r="H30" i="22"/>
  <c r="I18" i="22"/>
  <c r="I9" i="22"/>
  <c r="H26" i="22"/>
  <c r="I15" i="22"/>
  <c r="H18" i="22"/>
  <c r="I35" i="22"/>
  <c r="I30" i="4"/>
  <c r="I31" i="4"/>
  <c r="H30" i="4"/>
  <c r="H31" i="4"/>
  <c r="I40" i="4"/>
  <c r="SN40" i="4"/>
  <c r="SU40" i="4" s="1"/>
  <c r="P18" i="26"/>
  <c r="DG18" i="26" s="1"/>
  <c r="RG19" i="26"/>
  <c r="RB19" i="26"/>
  <c r="QC18" i="26"/>
  <c r="QC8" i="26"/>
  <c r="QC20" i="26"/>
  <c r="RE23" i="19"/>
  <c r="RG23" i="19"/>
  <c r="RB41" i="19"/>
  <c r="RG19" i="27"/>
  <c r="RB19" i="27"/>
  <c r="QC15" i="27"/>
  <c r="R15" i="27"/>
  <c r="DH15" i="27" s="1"/>
  <c r="R16" i="27"/>
  <c r="S16" i="27" s="1"/>
  <c r="RG15" i="27"/>
  <c r="RB15" i="27"/>
  <c r="RB8" i="26"/>
  <c r="QC19" i="26"/>
  <c r="R19" i="26"/>
  <c r="DH19" i="26" s="1"/>
  <c r="R18" i="26"/>
  <c r="DH18" i="26" s="1"/>
  <c r="RG20" i="26"/>
  <c r="RB20" i="26"/>
  <c r="RB18" i="26"/>
  <c r="CW21" i="22"/>
  <c r="DA21" i="22" s="1"/>
  <c r="SN33" i="22"/>
  <c r="SU33" i="22" s="1"/>
  <c r="CW30" i="22"/>
  <c r="DA30" i="22" s="1"/>
  <c r="CW26" i="22"/>
  <c r="DA26" i="22" s="1"/>
  <c r="SN15" i="22"/>
  <c r="SU15" i="22" s="1"/>
  <c r="CW9" i="22"/>
  <c r="DA9" i="22" s="1"/>
  <c r="CW15" i="22"/>
  <c r="DA15" i="22" s="1"/>
  <c r="CW18" i="22"/>
  <c r="DA18" i="22" s="1"/>
  <c r="SN28" i="22"/>
  <c r="SU28" i="22" s="1"/>
  <c r="SN35" i="22"/>
  <c r="SU35" i="22" s="1"/>
  <c r="SN31" i="4"/>
  <c r="SU31" i="4" s="1"/>
  <c r="CW40" i="4"/>
  <c r="DA40" i="4" s="1"/>
  <c r="CW19" i="22"/>
  <c r="DA19" i="22" s="1"/>
  <c r="CW33" i="22"/>
  <c r="DA33" i="22" s="1"/>
  <c r="CW35" i="22"/>
  <c r="DA35" i="22" s="1"/>
  <c r="TN28" i="22"/>
  <c r="TU28" i="22"/>
  <c r="L28" i="22"/>
  <c r="M28" i="22" s="1"/>
  <c r="T28" i="22"/>
  <c r="U28" i="22" s="1"/>
  <c r="N28" i="22"/>
  <c r="O28" i="22" s="1"/>
  <c r="R28" i="22"/>
  <c r="S28" i="22" s="1"/>
  <c r="K28" i="22"/>
  <c r="TQ28" i="22"/>
  <c r="P28" i="22"/>
  <c r="SN18" i="22"/>
  <c r="SU18" i="22" s="1"/>
  <c r="TU35" i="22"/>
  <c r="TN35" i="22"/>
  <c r="TS35" i="22"/>
  <c r="TQ35" i="22"/>
  <c r="R35" i="22"/>
  <c r="S35" i="22" s="1"/>
  <c r="N35" i="22"/>
  <c r="O35" i="22" s="1"/>
  <c r="L35" i="22"/>
  <c r="M35" i="22" s="1"/>
  <c r="P35" i="22"/>
  <c r="T35" i="22"/>
  <c r="U35" i="22" s="1"/>
  <c r="K35" i="22"/>
  <c r="TN18" i="22"/>
  <c r="TQ18" i="22"/>
  <c r="TU18" i="22"/>
  <c r="TS18" i="22"/>
  <c r="T18" i="22"/>
  <c r="U18" i="22" s="1"/>
  <c r="N18" i="22"/>
  <c r="O18" i="22" s="1"/>
  <c r="L18" i="22"/>
  <c r="M18" i="22" s="1"/>
  <c r="R18" i="22"/>
  <c r="S18" i="22" s="1"/>
  <c r="K18" i="22"/>
  <c r="P18" i="22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T30" i="22"/>
  <c r="U30" i="22" s="1"/>
  <c r="TU33" i="22"/>
  <c r="TQ33" i="22"/>
  <c r="TN33" i="22"/>
  <c r="N33" i="22"/>
  <c r="O33" i="22" s="1"/>
  <c r="R33" i="22"/>
  <c r="S33" i="22" s="1"/>
  <c r="L33" i="22"/>
  <c r="M33" i="22" s="1"/>
  <c r="T33" i="22"/>
  <c r="U33" i="22" s="1"/>
  <c r="K33" i="22"/>
  <c r="P33" i="22"/>
  <c r="N15" i="22"/>
  <c r="O15" i="22" s="1"/>
  <c r="TU15" i="22"/>
  <c r="TN15" i="22"/>
  <c r="T15" i="22"/>
  <c r="U15" i="22" s="1"/>
  <c r="TQ15" i="22"/>
  <c r="L15" i="22"/>
  <c r="M15" i="22" s="1"/>
  <c r="R15" i="22"/>
  <c r="S15" i="22" s="1"/>
  <c r="K15" i="22"/>
  <c r="P15" i="22"/>
  <c r="SN21" i="22"/>
  <c r="SU21" i="22" s="1"/>
  <c r="SN26" i="22"/>
  <c r="SU26" i="22" s="1"/>
  <c r="TN26" i="22"/>
  <c r="TU26" i="22"/>
  <c r="TQ26" i="22"/>
  <c r="R26" i="22"/>
  <c r="S26" i="22" s="1"/>
  <c r="N26" i="22"/>
  <c r="O26" i="22" s="1"/>
  <c r="L26" i="22"/>
  <c r="M26" i="22" s="1"/>
  <c r="T26" i="22"/>
  <c r="U26" i="22" s="1"/>
  <c r="K26" i="22"/>
  <c r="P26" i="22"/>
  <c r="SN19" i="22"/>
  <c r="SU19" i="22" s="1"/>
  <c r="TU21" i="22"/>
  <c r="TN21" i="22"/>
  <c r="TQ21" i="22"/>
  <c r="R21" i="22"/>
  <c r="S21" i="22" s="1"/>
  <c r="N21" i="22"/>
  <c r="O21" i="22" s="1"/>
  <c r="L21" i="22"/>
  <c r="M21" i="22" s="1"/>
  <c r="T21" i="22"/>
  <c r="U21" i="22" s="1"/>
  <c r="K21" i="22"/>
  <c r="P21" i="22"/>
  <c r="SN9" i="22"/>
  <c r="SU9" i="22" s="1"/>
  <c r="TN19" i="22"/>
  <c r="TU19" i="22"/>
  <c r="N19" i="22"/>
  <c r="O19" i="22" s="1"/>
  <c r="TQ19" i="22"/>
  <c r="L19" i="22"/>
  <c r="K19" i="22"/>
  <c r="R19" i="22"/>
  <c r="S19" i="22" s="1"/>
  <c r="T19" i="22"/>
  <c r="U19" i="22" s="1"/>
  <c r="P19" i="22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31" i="4"/>
  <c r="DA31" i="4" s="1"/>
  <c r="CW30" i="4"/>
  <c r="DA30" i="4" s="1"/>
  <c r="TQ40" i="4"/>
  <c r="TU40" i="4"/>
  <c r="TN40" i="4"/>
  <c r="T40" i="4"/>
  <c r="U40" i="4" s="1"/>
  <c r="R40" i="4"/>
  <c r="S40" i="4" s="1"/>
  <c r="N40" i="4"/>
  <c r="O40" i="4" s="1"/>
  <c r="L40" i="4"/>
  <c r="M40" i="4" s="1"/>
  <c r="K40" i="4"/>
  <c r="P40" i="4"/>
  <c r="SN30" i="4"/>
  <c r="SU30" i="4" s="1"/>
  <c r="TN31" i="4"/>
  <c r="TU31" i="4"/>
  <c r="TQ31" i="4"/>
  <c r="R31" i="4"/>
  <c r="S31" i="4" s="1"/>
  <c r="N31" i="4"/>
  <c r="O31" i="4" s="1"/>
  <c r="T31" i="4"/>
  <c r="U31" i="4" s="1"/>
  <c r="L31" i="4"/>
  <c r="M31" i="4" s="1"/>
  <c r="K31" i="4"/>
  <c r="P31" i="4"/>
  <c r="TQ30" i="4"/>
  <c r="TN30" i="4"/>
  <c r="TU30" i="4"/>
  <c r="TS30" i="4"/>
  <c r="T30" i="4"/>
  <c r="U30" i="4" s="1"/>
  <c r="L30" i="4"/>
  <c r="M30" i="4" s="1"/>
  <c r="R30" i="4"/>
  <c r="S30" i="4" s="1"/>
  <c r="P30" i="4"/>
  <c r="N30" i="4"/>
  <c r="K30" i="4"/>
  <c r="QC19" i="27"/>
  <c r="P19" i="27"/>
  <c r="Q19" i="27" s="1"/>
  <c r="RE19" i="27"/>
  <c r="RH19" i="27"/>
  <c r="N19" i="27"/>
  <c r="O19" i="27" s="1"/>
  <c r="RD19" i="27"/>
  <c r="RC19" i="27"/>
  <c r="L19" i="27"/>
  <c r="M19" i="27" s="1"/>
  <c r="DB19" i="27"/>
  <c r="R19" i="27"/>
  <c r="RH15" i="27"/>
  <c r="RG16" i="27"/>
  <c r="RB16" i="27"/>
  <c r="P15" i="27"/>
  <c r="Q15" i="27" s="1"/>
  <c r="RD15" i="27"/>
  <c r="RC15" i="27"/>
  <c r="RE15" i="27"/>
  <c r="N15" i="27"/>
  <c r="O15" i="27" s="1"/>
  <c r="L15" i="27"/>
  <c r="M15" i="27" s="1"/>
  <c r="DB15" i="27"/>
  <c r="QC16" i="27"/>
  <c r="RD16" i="27"/>
  <c r="RC16" i="27"/>
  <c r="DB16" i="27"/>
  <c r="P16" i="27"/>
  <c r="Q16" i="27" s="1"/>
  <c r="N16" i="27"/>
  <c r="DF16" i="27" s="1"/>
  <c r="RH16" i="27"/>
  <c r="L16" i="27"/>
  <c r="M16" i="27" s="1"/>
  <c r="RE16" i="27"/>
  <c r="RD18" i="26"/>
  <c r="RC18" i="26"/>
  <c r="RH18" i="26"/>
  <c r="RG18" i="26"/>
  <c r="DB18" i="26"/>
  <c r="N18" i="26"/>
  <c r="DF18" i="26" s="1"/>
  <c r="L18" i="26"/>
  <c r="M18" i="26" s="1"/>
  <c r="RE18" i="26"/>
  <c r="RD20" i="26"/>
  <c r="P8" i="26"/>
  <c r="DG8" i="26" s="1"/>
  <c r="P19" i="26"/>
  <c r="DG19" i="26" s="1"/>
  <c r="RC20" i="26"/>
  <c r="DB20" i="26"/>
  <c r="P20" i="26"/>
  <c r="DG20" i="26" s="1"/>
  <c r="N20" i="26"/>
  <c r="O20" i="26" s="1"/>
  <c r="RH20" i="26"/>
  <c r="L20" i="26"/>
  <c r="M20" i="26" s="1"/>
  <c r="R20" i="26"/>
  <c r="RE20" i="26"/>
  <c r="RD19" i="26"/>
  <c r="RC19" i="26"/>
  <c r="DB19" i="26"/>
  <c r="N19" i="26"/>
  <c r="O19" i="26" s="1"/>
  <c r="RH19" i="26"/>
  <c r="L19" i="26"/>
  <c r="M19" i="26" s="1"/>
  <c r="RE19" i="26"/>
  <c r="RC8" i="26"/>
  <c r="RD8" i="26"/>
  <c r="RG8" i="26"/>
  <c r="DB8" i="26"/>
  <c r="R8" i="26"/>
  <c r="DH8" i="26" s="1"/>
  <c r="N8" i="26"/>
  <c r="O8" i="26" s="1"/>
  <c r="RH8" i="26"/>
  <c r="L8" i="26"/>
  <c r="M8" i="26" s="1"/>
  <c r="RE8" i="26"/>
  <c r="R41" i="19"/>
  <c r="S41" i="19" s="1"/>
  <c r="R36" i="19"/>
  <c r="DH36" i="19" s="1"/>
  <c r="RG37" i="19"/>
  <c r="RB37" i="19"/>
  <c r="QC41" i="19"/>
  <c r="P41" i="19"/>
  <c r="Q41" i="19" s="1"/>
  <c r="RE41" i="19"/>
  <c r="RH41" i="19"/>
  <c r="RC41" i="19"/>
  <c r="RD41" i="19"/>
  <c r="N41" i="19"/>
  <c r="DF41" i="19" s="1"/>
  <c r="RG41" i="19"/>
  <c r="L41" i="19"/>
  <c r="DB41" i="19"/>
  <c r="RG36" i="19"/>
  <c r="QC37" i="19"/>
  <c r="P37" i="19"/>
  <c r="Q37" i="19" s="1"/>
  <c r="RE37" i="19"/>
  <c r="RH37" i="19"/>
  <c r="N37" i="19"/>
  <c r="DF37" i="19" s="1"/>
  <c r="RD37" i="19"/>
  <c r="RC37" i="19"/>
  <c r="L37" i="19"/>
  <c r="M37" i="19" s="1"/>
  <c r="DB37" i="19"/>
  <c r="R37" i="19"/>
  <c r="R23" i="19"/>
  <c r="S23" i="19" s="1"/>
  <c r="QC36" i="19"/>
  <c r="P36" i="19"/>
  <c r="Q36" i="19" s="1"/>
  <c r="RD36" i="19"/>
  <c r="RC36" i="19"/>
  <c r="RB36" i="19"/>
  <c r="N36" i="19"/>
  <c r="DF36" i="19" s="1"/>
  <c r="RH36" i="19"/>
  <c r="L36" i="19"/>
  <c r="M36" i="19" s="1"/>
  <c r="DB36" i="19"/>
  <c r="RE36" i="19"/>
  <c r="QC23" i="19"/>
  <c r="P23" i="19"/>
  <c r="Q23" i="19" s="1"/>
  <c r="RC23" i="19"/>
  <c r="RB23" i="19"/>
  <c r="RH23" i="19"/>
  <c r="RD23" i="19"/>
  <c r="N23" i="19"/>
  <c r="DF23" i="19" s="1"/>
  <c r="L23" i="19"/>
  <c r="M23" i="19" s="1"/>
  <c r="DB23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M19" i="22" l="1"/>
  <c r="RI15" i="27"/>
  <c r="QF19" i="21"/>
  <c r="RI18" i="26"/>
  <c r="QF8" i="21"/>
  <c r="QF9" i="21"/>
  <c r="RI41" i="19"/>
  <c r="RI23" i="19"/>
  <c r="RI36" i="19"/>
  <c r="RI37" i="19"/>
  <c r="RI16" i="27"/>
  <c r="RI19" i="27"/>
  <c r="RI8" i="26"/>
  <c r="RI19" i="26"/>
  <c r="RI20" i="26"/>
  <c r="DE9" i="21"/>
  <c r="DE19" i="21"/>
  <c r="DE8" i="21"/>
  <c r="TR32" i="4"/>
  <c r="TV32" i="4" s="1"/>
  <c r="TR29" i="4"/>
  <c r="TV29" i="4" s="1"/>
  <c r="J32" i="4"/>
  <c r="Q32" i="4"/>
  <c r="DB32" i="4"/>
  <c r="V32" i="4" s="1"/>
  <c r="DB29" i="4"/>
  <c r="J29" i="4"/>
  <c r="Q29" i="4"/>
  <c r="DC29" i="4"/>
  <c r="S18" i="26"/>
  <c r="RF19" i="27"/>
  <c r="DB19" i="22"/>
  <c r="I19" i="21"/>
  <c r="H19" i="21"/>
  <c r="H8" i="21"/>
  <c r="I9" i="21"/>
  <c r="H9" i="21"/>
  <c r="I8" i="21"/>
  <c r="RF18" i="26"/>
  <c r="Q18" i="26"/>
  <c r="RG19" i="21"/>
  <c r="DG19" i="27"/>
  <c r="J33" i="22"/>
  <c r="J28" i="22"/>
  <c r="J15" i="22"/>
  <c r="J35" i="22"/>
  <c r="J30" i="4"/>
  <c r="RF37" i="19"/>
  <c r="DH41" i="19"/>
  <c r="RF41" i="19"/>
  <c r="S36" i="19"/>
  <c r="S19" i="26"/>
  <c r="Q19" i="26"/>
  <c r="DB28" i="22"/>
  <c r="TR30" i="4"/>
  <c r="TV30" i="4" s="1"/>
  <c r="DH23" i="19"/>
  <c r="O37" i="19"/>
  <c r="DG41" i="19"/>
  <c r="DG37" i="19"/>
  <c r="K41" i="19"/>
  <c r="S15" i="27"/>
  <c r="DF15" i="27"/>
  <c r="DH16" i="27"/>
  <c r="DG16" i="27"/>
  <c r="Q8" i="26"/>
  <c r="O18" i="26"/>
  <c r="K18" i="26"/>
  <c r="RF8" i="26"/>
  <c r="K20" i="26"/>
  <c r="TR28" i="22"/>
  <c r="TV28" i="22" s="1"/>
  <c r="DB18" i="22"/>
  <c r="TR18" i="22"/>
  <c r="TV18" i="22" s="1"/>
  <c r="TR35" i="22"/>
  <c r="TV35" i="22" s="1"/>
  <c r="Q28" i="22"/>
  <c r="DC28" i="22"/>
  <c r="DC35" i="22"/>
  <c r="Q35" i="22"/>
  <c r="DB35" i="22"/>
  <c r="DB33" i="22"/>
  <c r="TR33" i="22"/>
  <c r="TV33" i="22" s="1"/>
  <c r="Q18" i="22"/>
  <c r="DC18" i="22"/>
  <c r="TR30" i="22"/>
  <c r="TV30" i="22" s="1"/>
  <c r="J30" i="22"/>
  <c r="DC30" i="22"/>
  <c r="Q30" i="22"/>
  <c r="DB30" i="22"/>
  <c r="Q33" i="22"/>
  <c r="DC33" i="22"/>
  <c r="TR15" i="22"/>
  <c r="TV15" i="22" s="1"/>
  <c r="TR19" i="22"/>
  <c r="TV19" i="22" s="1"/>
  <c r="TR26" i="22"/>
  <c r="TV26" i="22" s="1"/>
  <c r="Q15" i="22"/>
  <c r="DC15" i="22"/>
  <c r="DB15" i="22"/>
  <c r="DB26" i="22"/>
  <c r="TR21" i="22"/>
  <c r="TV21" i="22" s="1"/>
  <c r="Q26" i="22"/>
  <c r="DC26" i="22"/>
  <c r="J26" i="22"/>
  <c r="DB21" i="22"/>
  <c r="Q21" i="22"/>
  <c r="DC21" i="22"/>
  <c r="J21" i="22"/>
  <c r="TR9" i="22"/>
  <c r="TV9" i="22" s="1"/>
  <c r="J19" i="22"/>
  <c r="DC19" i="22"/>
  <c r="Q19" i="22"/>
  <c r="Q9" i="22"/>
  <c r="DC9" i="22"/>
  <c r="DB9" i="22"/>
  <c r="J9" i="22"/>
  <c r="TR40" i="4"/>
  <c r="TV40" i="4" s="1"/>
  <c r="Q40" i="4"/>
  <c r="DC40" i="4"/>
  <c r="DB40" i="4"/>
  <c r="TR31" i="4"/>
  <c r="TV31" i="4" s="1"/>
  <c r="J31" i="4"/>
  <c r="Q31" i="4"/>
  <c r="DC31" i="4"/>
  <c r="DB31" i="4"/>
  <c r="Q30" i="4"/>
  <c r="DC30" i="4"/>
  <c r="O30" i="4"/>
  <c r="DB30" i="4"/>
  <c r="DG15" i="27"/>
  <c r="RF15" i="27"/>
  <c r="O16" i="27"/>
  <c r="DF19" i="27"/>
  <c r="K19" i="27"/>
  <c r="DH19" i="27"/>
  <c r="S19" i="27"/>
  <c r="K16" i="27"/>
  <c r="K15" i="27"/>
  <c r="RF16" i="27"/>
  <c r="RF20" i="26"/>
  <c r="DF20" i="26"/>
  <c r="RF19" i="26"/>
  <c r="Q20" i="26"/>
  <c r="T18" i="26"/>
  <c r="K19" i="26"/>
  <c r="DF8" i="26"/>
  <c r="T8" i="26" s="1"/>
  <c r="S20" i="26"/>
  <c r="DH20" i="26"/>
  <c r="DF19" i="26"/>
  <c r="T19" i="26" s="1"/>
  <c r="K8" i="26"/>
  <c r="S8" i="26"/>
  <c r="RF36" i="19"/>
  <c r="O41" i="19"/>
  <c r="M41" i="19"/>
  <c r="DH37" i="19"/>
  <c r="S37" i="19"/>
  <c r="K37" i="19"/>
  <c r="DG36" i="19"/>
  <c r="T36" i="19" s="1"/>
  <c r="K36" i="19"/>
  <c r="RF23" i="19"/>
  <c r="O36" i="19"/>
  <c r="DG23" i="19"/>
  <c r="K23" i="19"/>
  <c r="O23" i="19"/>
  <c r="QC19" i="21"/>
  <c r="P19" i="21"/>
  <c r="Q19" i="21" s="1"/>
  <c r="RH19" i="21"/>
  <c r="R19" i="21"/>
  <c r="S19" i="21" s="1"/>
  <c r="RD19" i="21"/>
  <c r="RC19" i="21"/>
  <c r="RE19" i="21"/>
  <c r="RB19" i="21"/>
  <c r="N19" i="21"/>
  <c r="DF19" i="21" s="1"/>
  <c r="L19" i="21"/>
  <c r="M19" i="21" s="1"/>
  <c r="DB19" i="21"/>
  <c r="RH9" i="21"/>
  <c r="RG8" i="21"/>
  <c r="R9" i="21"/>
  <c r="DH9" i="21" s="1"/>
  <c r="QC9" i="21"/>
  <c r="RG9" i="21"/>
  <c r="RD9" i="21"/>
  <c r="RB9" i="21"/>
  <c r="P9" i="21"/>
  <c r="Q9" i="21" s="1"/>
  <c r="N9" i="21"/>
  <c r="O9" i="21" s="1"/>
  <c r="RC9" i="21"/>
  <c r="L9" i="21"/>
  <c r="DB9" i="21"/>
  <c r="RE9" i="21"/>
  <c r="R8" i="21"/>
  <c r="DH8" i="21" s="1"/>
  <c r="QC8" i="21"/>
  <c r="RD8" i="21"/>
  <c r="RH8" i="21"/>
  <c r="RC8" i="21"/>
  <c r="RB8" i="21"/>
  <c r="P8" i="21"/>
  <c r="DG8" i="21" s="1"/>
  <c r="N8" i="21"/>
  <c r="O8" i="21" s="1"/>
  <c r="L8" i="21"/>
  <c r="M8" i="21" s="1"/>
  <c r="DB8" i="21"/>
  <c r="RE8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F32" i="4" l="1"/>
  <c r="A21" i="22" a="1"/>
  <c r="A21" i="22" s="1"/>
  <c r="B21" i="22" a="1"/>
  <c r="B21" i="22" s="1"/>
  <c r="A9" i="22" a="1"/>
  <c r="A9" i="22" s="1"/>
  <c r="B9" i="22" a="1"/>
  <c r="B9" i="22" s="1"/>
  <c r="A35" i="22" a="1"/>
  <c r="A35" i="22" s="1"/>
  <c r="B35" i="22" a="1"/>
  <c r="B35" i="22" s="1"/>
  <c r="A15" i="22" a="1"/>
  <c r="A15" i="22" s="1"/>
  <c r="B15" i="22" a="1"/>
  <c r="B15" i="22" s="1"/>
  <c r="A30" i="22" a="1"/>
  <c r="A30" i="22" s="1"/>
  <c r="B30" i="22" a="1"/>
  <c r="B30" i="22" s="1"/>
  <c r="A28" i="22" a="1"/>
  <c r="A28" i="22" s="1"/>
  <c r="B28" i="22" a="1"/>
  <c r="B28" i="22" s="1"/>
  <c r="A26" i="22" a="1"/>
  <c r="A26" i="22" s="1"/>
  <c r="B26" i="22" a="1"/>
  <c r="B26" i="22" s="1"/>
  <c r="A33" i="22" a="1"/>
  <c r="A33" i="22" s="1"/>
  <c r="B33" i="22" a="1"/>
  <c r="B33" i="22" s="1"/>
  <c r="A32" i="4" a="1"/>
  <c r="A32" i="4" s="1"/>
  <c r="B32" i="4" a="1"/>
  <c r="B32" i="4" s="1"/>
  <c r="A30" i="4" a="1"/>
  <c r="A30" i="4" s="1"/>
  <c r="B30" i="4" a="1"/>
  <c r="B30" i="4" s="1"/>
  <c r="A31" i="4" a="1"/>
  <c r="A31" i="4" s="1"/>
  <c r="B31" i="4" a="1"/>
  <c r="B31" i="4" s="1"/>
  <c r="A29" i="4" a="1"/>
  <c r="A29" i="4" s="1"/>
  <c r="B29" i="4" a="1"/>
  <c r="B29" i="4" s="1"/>
  <c r="RI9" i="21"/>
  <c r="QF7" i="21"/>
  <c r="QF12" i="21"/>
  <c r="QF11" i="21"/>
  <c r="RI8" i="21"/>
  <c r="RI19" i="21"/>
  <c r="QF16" i="19"/>
  <c r="QF33" i="19"/>
  <c r="QF18" i="19"/>
  <c r="QF19" i="19"/>
  <c r="QF4" i="26"/>
  <c r="DE4" i="26"/>
  <c r="DE7" i="21"/>
  <c r="DE12" i="21"/>
  <c r="DE11" i="21"/>
  <c r="DE18" i="19"/>
  <c r="DE33" i="19"/>
  <c r="DE19" i="19"/>
  <c r="DE16" i="19"/>
  <c r="V29" i="4"/>
  <c r="W29" i="4" s="1"/>
  <c r="X32" i="4"/>
  <c r="W32" i="4"/>
  <c r="V19" i="22"/>
  <c r="X19" i="22" s="1"/>
  <c r="H18" i="19"/>
  <c r="H33" i="19"/>
  <c r="F18" i="26"/>
  <c r="H11" i="21"/>
  <c r="I7" i="21"/>
  <c r="H7" i="21"/>
  <c r="I12" i="21"/>
  <c r="H12" i="21"/>
  <c r="I11" i="21"/>
  <c r="RF19" i="21"/>
  <c r="I18" i="19"/>
  <c r="H16" i="19"/>
  <c r="I19" i="19"/>
  <c r="I33" i="19"/>
  <c r="H19" i="19"/>
  <c r="I16" i="19"/>
  <c r="I4" i="26"/>
  <c r="H4" i="26"/>
  <c r="V28" i="22"/>
  <c r="X28" i="22" s="1"/>
  <c r="J23" i="19"/>
  <c r="T41" i="19"/>
  <c r="U41" i="19" s="1"/>
  <c r="J41" i="19"/>
  <c r="J19" i="27"/>
  <c r="J16" i="27"/>
  <c r="J20" i="26"/>
  <c r="J19" i="26"/>
  <c r="J8" i="26"/>
  <c r="B8" i="26" s="1" a="1"/>
  <c r="B8" i="26" s="1"/>
  <c r="J18" i="22"/>
  <c r="J40" i="4"/>
  <c r="T23" i="19"/>
  <c r="U23" i="19" s="1"/>
  <c r="T37" i="19"/>
  <c r="U37" i="19" s="1"/>
  <c r="T15" i="27"/>
  <c r="F15" i="27" s="1"/>
  <c r="T16" i="27"/>
  <c r="U16" i="27" s="1"/>
  <c r="T20" i="26"/>
  <c r="V20" i="26" s="1"/>
  <c r="RF8" i="21"/>
  <c r="DG19" i="21"/>
  <c r="K19" i="21"/>
  <c r="V18" i="22"/>
  <c r="V33" i="22"/>
  <c r="V35" i="22"/>
  <c r="V30" i="22"/>
  <c r="V26" i="22"/>
  <c r="V21" i="22"/>
  <c r="V15" i="22"/>
  <c r="V9" i="22"/>
  <c r="X9" i="22" s="1"/>
  <c r="V40" i="4"/>
  <c r="F40" i="4" s="1"/>
  <c r="V31" i="4"/>
  <c r="W31" i="4" s="1"/>
  <c r="V30" i="4"/>
  <c r="W30" i="4" s="1"/>
  <c r="T19" i="27"/>
  <c r="F19" i="27" s="1"/>
  <c r="U18" i="26"/>
  <c r="V18" i="26"/>
  <c r="V19" i="26"/>
  <c r="U19" i="26"/>
  <c r="F19" i="26"/>
  <c r="V8" i="26"/>
  <c r="U8" i="26"/>
  <c r="F8" i="26"/>
  <c r="V36" i="19"/>
  <c r="U36" i="19"/>
  <c r="F36" i="19"/>
  <c r="S9" i="21"/>
  <c r="O19" i="21"/>
  <c r="DH19" i="21"/>
  <c r="DF8" i="21"/>
  <c r="T8" i="21" s="1"/>
  <c r="S8" i="21"/>
  <c r="DG9" i="21"/>
  <c r="DF9" i="21"/>
  <c r="RF9" i="21"/>
  <c r="K9" i="21"/>
  <c r="M9" i="21"/>
  <c r="Q8" i="21"/>
  <c r="K8" i="21"/>
  <c r="RG18" i="19"/>
  <c r="R18" i="19"/>
  <c r="DH18" i="19" s="1"/>
  <c r="RG33" i="19"/>
  <c r="RB18" i="19"/>
  <c r="QC18" i="19"/>
  <c r="QC11" i="21"/>
  <c r="R11" i="21"/>
  <c r="DH11" i="21" s="1"/>
  <c r="QC4" i="26"/>
  <c r="RC11" i="21"/>
  <c r="RG11" i="21"/>
  <c r="RB11" i="21"/>
  <c r="RD11" i="21"/>
  <c r="DB11" i="21"/>
  <c r="N11" i="21"/>
  <c r="DF11" i="21" s="1"/>
  <c r="P11" i="21"/>
  <c r="DG11" i="21" s="1"/>
  <c r="RH11" i="21"/>
  <c r="L11" i="21"/>
  <c r="M11" i="21" s="1"/>
  <c r="RE11" i="21"/>
  <c r="QC12" i="21"/>
  <c r="QC7" i="21"/>
  <c r="R7" i="21"/>
  <c r="S7" i="21" s="1"/>
  <c r="R12" i="21"/>
  <c r="DH12" i="21" s="1"/>
  <c r="RB7" i="21"/>
  <c r="RB12" i="21"/>
  <c r="RD12" i="21"/>
  <c r="RC12" i="21"/>
  <c r="RG12" i="21"/>
  <c r="DB12" i="21"/>
  <c r="P12" i="21"/>
  <c r="Q12" i="21" s="1"/>
  <c r="N12" i="21"/>
  <c r="O12" i="21" s="1"/>
  <c r="RH12" i="21"/>
  <c r="L12" i="21"/>
  <c r="M12" i="21" s="1"/>
  <c r="RE12" i="21"/>
  <c r="RC7" i="21"/>
  <c r="RD7" i="21"/>
  <c r="DB7" i="21"/>
  <c r="N7" i="21"/>
  <c r="O7" i="21" s="1"/>
  <c r="RG7" i="21"/>
  <c r="P7" i="21"/>
  <c r="DG7" i="21" s="1"/>
  <c r="RH7" i="21"/>
  <c r="L7" i="21"/>
  <c r="M7" i="21" s="1"/>
  <c r="RE7" i="21"/>
  <c r="RH18" i="19"/>
  <c r="RE18" i="19"/>
  <c r="P18" i="19"/>
  <c r="DG18" i="19" s="1"/>
  <c r="RD18" i="19"/>
  <c r="N18" i="19"/>
  <c r="O18" i="19" s="1"/>
  <c r="RC18" i="19"/>
  <c r="L18" i="19"/>
  <c r="DB18" i="19"/>
  <c r="QC16" i="19"/>
  <c r="RD16" i="19"/>
  <c r="RC16" i="19"/>
  <c r="RG16" i="19"/>
  <c r="RB16" i="19"/>
  <c r="DB16" i="19"/>
  <c r="P16" i="19"/>
  <c r="DG16" i="19" s="1"/>
  <c r="N16" i="19"/>
  <c r="O16" i="19" s="1"/>
  <c r="RH16" i="19"/>
  <c r="L16" i="19"/>
  <c r="M16" i="19" s="1"/>
  <c r="R16" i="19"/>
  <c r="RE16" i="19"/>
  <c r="QC19" i="19"/>
  <c r="RG19" i="19"/>
  <c r="RB19" i="19"/>
  <c r="QC33" i="19"/>
  <c r="RH33" i="19"/>
  <c r="R33" i="19"/>
  <c r="DH33" i="19" s="1"/>
  <c r="RD33" i="19"/>
  <c r="RC33" i="19"/>
  <c r="RB33" i="19"/>
  <c r="N33" i="19"/>
  <c r="O33" i="19" s="1"/>
  <c r="P33" i="19"/>
  <c r="Q33" i="19" s="1"/>
  <c r="L33" i="19"/>
  <c r="M33" i="19" s="1"/>
  <c r="DB33" i="19"/>
  <c r="RE33" i="19"/>
  <c r="RD19" i="19"/>
  <c r="RC19" i="19"/>
  <c r="R19" i="19"/>
  <c r="DH19" i="19" s="1"/>
  <c r="DB19" i="19"/>
  <c r="N19" i="19"/>
  <c r="O19" i="19" s="1"/>
  <c r="P19" i="19"/>
  <c r="DG19" i="19" s="1"/>
  <c r="RH19" i="19"/>
  <c r="L19" i="19"/>
  <c r="M19" i="19" s="1"/>
  <c r="RE19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F35" i="22" l="1"/>
  <c r="X35" i="22"/>
  <c r="F30" i="22"/>
  <c r="X30" i="22"/>
  <c r="W33" i="22"/>
  <c r="X33" i="22"/>
  <c r="F18" i="22"/>
  <c r="X18" i="22"/>
  <c r="F15" i="22"/>
  <c r="X15" i="22"/>
  <c r="W21" i="22"/>
  <c r="X21" i="22"/>
  <c r="W26" i="22"/>
  <c r="X26" i="22"/>
  <c r="A41" i="19" a="1"/>
  <c r="A41" i="19" s="1"/>
  <c r="B41" i="19" a="1"/>
  <c r="B41" i="19" s="1"/>
  <c r="A16" i="27" a="1"/>
  <c r="A16" i="27" s="1"/>
  <c r="B16" i="27" a="1"/>
  <c r="B16" i="27" s="1"/>
  <c r="A19" i="27" a="1"/>
  <c r="A19" i="27" s="1"/>
  <c r="B19" i="27" a="1"/>
  <c r="B19" i="27" s="1"/>
  <c r="A20" i="26" a="1"/>
  <c r="A20" i="26" s="1"/>
  <c r="B20" i="26" a="1"/>
  <c r="B20" i="26" s="1"/>
  <c r="A19" i="26" a="1"/>
  <c r="A19" i="26" s="1"/>
  <c r="B19" i="26" a="1"/>
  <c r="B19" i="26" s="1"/>
  <c r="A18" i="22" a="1"/>
  <c r="A18" i="22" s="1"/>
  <c r="B18" i="22" a="1"/>
  <c r="B18" i="22" s="1"/>
  <c r="F19" i="22"/>
  <c r="A40" i="4" a="1"/>
  <c r="A40" i="4" s="1"/>
  <c r="B40" i="4" a="1"/>
  <c r="B40" i="4" s="1"/>
  <c r="RI11" i="21"/>
  <c r="RI19" i="19"/>
  <c r="RI33" i="19"/>
  <c r="RI12" i="21"/>
  <c r="RI7" i="21"/>
  <c r="RI16" i="19"/>
  <c r="RI18" i="19"/>
  <c r="RI4" i="26"/>
  <c r="F29" i="4"/>
  <c r="X29" i="4"/>
  <c r="W19" i="22"/>
  <c r="F28" i="22"/>
  <c r="W28" i="22"/>
  <c r="F41" i="19"/>
  <c r="F23" i="19"/>
  <c r="V41" i="19"/>
  <c r="J9" i="21"/>
  <c r="J19" i="21"/>
  <c r="J37" i="19"/>
  <c r="J36" i="19"/>
  <c r="V23" i="19"/>
  <c r="V37" i="19"/>
  <c r="J15" i="27"/>
  <c r="J18" i="26"/>
  <c r="F33" i="22"/>
  <c r="V15" i="27"/>
  <c r="U15" i="27"/>
  <c r="F20" i="26"/>
  <c r="U20" i="26"/>
  <c r="F37" i="19"/>
  <c r="V16" i="27"/>
  <c r="F16" i="27"/>
  <c r="W18" i="22"/>
  <c r="U19" i="27"/>
  <c r="V19" i="27"/>
  <c r="T19" i="21"/>
  <c r="F19" i="21" s="1"/>
  <c r="F21" i="22"/>
  <c r="F26" i="22"/>
  <c r="W35" i="22"/>
  <c r="W30" i="22"/>
  <c r="W15" i="22"/>
  <c r="W9" i="22"/>
  <c r="F9" i="22"/>
  <c r="X40" i="4"/>
  <c r="W40" i="4"/>
  <c r="F31" i="4"/>
  <c r="X31" i="4"/>
  <c r="F30" i="4"/>
  <c r="X30" i="4"/>
  <c r="T9" i="21"/>
  <c r="V9" i="21" s="1"/>
  <c r="S11" i="21"/>
  <c r="V8" i="21"/>
  <c r="U8" i="21"/>
  <c r="F8" i="21"/>
  <c r="RF16" i="19"/>
  <c r="S18" i="19"/>
  <c r="S33" i="19"/>
  <c r="O11" i="21"/>
  <c r="RF11" i="21"/>
  <c r="K12" i="21"/>
  <c r="K11" i="21"/>
  <c r="Q18" i="19"/>
  <c r="DH7" i="21"/>
  <c r="DF7" i="21"/>
  <c r="RF7" i="21"/>
  <c r="RF12" i="21"/>
  <c r="Q11" i="21"/>
  <c r="T11" i="21"/>
  <c r="S12" i="21"/>
  <c r="K7" i="21"/>
  <c r="DF12" i="21"/>
  <c r="DG12" i="21"/>
  <c r="Q7" i="21"/>
  <c r="DF18" i="19"/>
  <c r="T18" i="19" s="1"/>
  <c r="RF18" i="19"/>
  <c r="K18" i="19"/>
  <c r="M18" i="19"/>
  <c r="K19" i="19"/>
  <c r="Q16" i="19"/>
  <c r="K16" i="19"/>
  <c r="DF16" i="19"/>
  <c r="S16" i="19"/>
  <c r="DH16" i="19"/>
  <c r="DF19" i="19"/>
  <c r="T19" i="19" s="1"/>
  <c r="K33" i="19"/>
  <c r="DG33" i="19"/>
  <c r="RF33" i="19"/>
  <c r="DF33" i="19"/>
  <c r="RF19" i="19"/>
  <c r="S19" i="19"/>
  <c r="Q19" i="19"/>
  <c r="K4" i="26"/>
  <c r="RF4" i="26"/>
  <c r="DF4" i="26"/>
  <c r="T4" i="26" s="1"/>
  <c r="S4" i="26"/>
  <c r="Q4" i="26"/>
  <c r="A19" i="21" l="1" a="1"/>
  <c r="A19" i="21" s="1"/>
  <c r="B19" i="21" a="1"/>
  <c r="B19" i="21" s="1"/>
  <c r="A37" i="19" a="1"/>
  <c r="A37" i="19" s="1"/>
  <c r="B37" i="19" a="1"/>
  <c r="B37" i="19" s="1"/>
  <c r="A36" i="19" a="1"/>
  <c r="A36" i="19" s="1"/>
  <c r="B36" i="19" a="1"/>
  <c r="B36" i="19" s="1"/>
  <c r="A15" i="27" a="1"/>
  <c r="A15" i="27" s="1"/>
  <c r="B15" i="27" a="1"/>
  <c r="B15" i="27" s="1"/>
  <c r="A18" i="26" a="1"/>
  <c r="A18" i="26" s="1"/>
  <c r="B18" i="26" a="1"/>
  <c r="B18" i="26" s="1"/>
  <c r="J8" i="21"/>
  <c r="J12" i="21"/>
  <c r="J7" i="21"/>
  <c r="J16" i="19"/>
  <c r="J4" i="26"/>
  <c r="V19" i="21"/>
  <c r="U19" i="21"/>
  <c r="F9" i="21"/>
  <c r="U9" i="21"/>
  <c r="T7" i="21"/>
  <c r="V7" i="21" s="1"/>
  <c r="T12" i="21"/>
  <c r="F12" i="21" s="1"/>
  <c r="V11" i="21"/>
  <c r="U11" i="21"/>
  <c r="F11" i="21"/>
  <c r="F18" i="19"/>
  <c r="V18" i="19"/>
  <c r="U18" i="19"/>
  <c r="F19" i="19"/>
  <c r="T16" i="19"/>
  <c r="V16" i="19" s="1"/>
  <c r="T33" i="19"/>
  <c r="F33" i="19" s="1"/>
  <c r="V19" i="19"/>
  <c r="U19" i="19"/>
  <c r="V4" i="26"/>
  <c r="U4" i="26"/>
  <c r="F4" i="26"/>
  <c r="B4" i="26" l="1" a="1"/>
  <c r="B4" i="26" s="1"/>
  <c r="A12" i="21" a="1"/>
  <c r="A12" i="21" s="1"/>
  <c r="B12" i="21" a="1"/>
  <c r="B12" i="21" s="1"/>
  <c r="J11" i="21"/>
  <c r="J19" i="19"/>
  <c r="J33" i="19"/>
  <c r="J18" i="19"/>
  <c r="F7" i="21"/>
  <c r="U7" i="21"/>
  <c r="U12" i="21"/>
  <c r="V12" i="21"/>
  <c r="U16" i="19"/>
  <c r="F16" i="19"/>
  <c r="V33" i="19"/>
  <c r="U33" i="19"/>
  <c r="A11" i="21" l="1" a="1"/>
  <c r="A11" i="21" s="1"/>
  <c r="B11" i="21" a="1"/>
  <c r="B11" i="21" s="1"/>
  <c r="A33" i="19" a="1"/>
  <c r="A33" i="19" s="1"/>
  <c r="B33" i="19" a="1"/>
  <c r="B33" i="19" s="1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6" i="22" l="1"/>
  <c r="H6" i="22"/>
  <c r="I7" i="22"/>
  <c r="H7" i="22"/>
  <c r="I6" i="4"/>
  <c r="H6" i="4"/>
  <c r="P6" i="22"/>
  <c r="Q6" i="22" s="1"/>
  <c r="P7" i="22"/>
  <c r="Q7" i="22" s="1"/>
  <c r="CW6" i="4"/>
  <c r="DA6" i="4" s="1"/>
  <c r="SN7" i="22"/>
  <c r="SU7" i="22" s="1"/>
  <c r="CW7" i="22"/>
  <c r="DA7" i="22" s="1"/>
  <c r="CW6" i="22"/>
  <c r="DA6" i="22" s="1"/>
  <c r="SN6" i="22"/>
  <c r="SU6" i="22" s="1"/>
  <c r="SN6" i="4"/>
  <c r="SU6" i="4" s="1"/>
  <c r="TQ7" i="22"/>
  <c r="TN7" i="22"/>
  <c r="TU7" i="22"/>
  <c r="K7" i="22"/>
  <c r="N7" i="22"/>
  <c r="O7" i="22" s="1"/>
  <c r="T7" i="22"/>
  <c r="U7" i="22" s="1"/>
  <c r="L7" i="22"/>
  <c r="R7" i="22"/>
  <c r="S7" i="22" s="1"/>
  <c r="TN6" i="22"/>
  <c r="TU6" i="22"/>
  <c r="TQ6" i="22"/>
  <c r="N6" i="22"/>
  <c r="O6" i="22" s="1"/>
  <c r="T6" i="22"/>
  <c r="U6" i="22" s="1"/>
  <c r="L6" i="22"/>
  <c r="K6" i="22"/>
  <c r="R6" i="22"/>
  <c r="S6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6" i="22" l="1"/>
  <c r="J7" i="22"/>
  <c r="J6" i="4"/>
  <c r="M6" i="22"/>
  <c r="M7" i="22"/>
  <c r="TR6" i="4"/>
  <c r="TV6" i="4" s="1"/>
  <c r="M6" i="4"/>
  <c r="TR7" i="22"/>
  <c r="TV7" i="22" s="1"/>
  <c r="TR6" i="22"/>
  <c r="TV6" i="22" s="1"/>
  <c r="DC7" i="22"/>
  <c r="DB7" i="22"/>
  <c r="DC6" i="22"/>
  <c r="DB6" i="22"/>
  <c r="DB6" i="4"/>
  <c r="Q6" i="4"/>
  <c r="DC6" i="4"/>
  <c r="V6" i="4" l="1"/>
  <c r="F6" i="4" s="1"/>
  <c r="V7" i="22"/>
  <c r="V6" i="22"/>
  <c r="F6" i="22" l="1"/>
  <c r="X6" i="22"/>
  <c r="W7" i="22"/>
  <c r="X7" i="22"/>
  <c r="F7" i="22"/>
  <c r="W6" i="22"/>
  <c r="W6" i="4"/>
  <c r="X6" i="4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0" i="27"/>
  <c r="I10" i="27"/>
  <c r="DE10" i="27"/>
  <c r="I5" i="27"/>
  <c r="H5" i="27"/>
  <c r="H10" i="27"/>
  <c r="QC10" i="27"/>
  <c r="RB10" i="27"/>
  <c r="RG5" i="27"/>
  <c r="RB5" i="27"/>
  <c r="P10" i="27"/>
  <c r="DG10" i="27" s="1"/>
  <c r="QC5" i="27"/>
  <c r="RD10" i="27"/>
  <c r="RC10" i="27"/>
  <c r="R10" i="27"/>
  <c r="DH10" i="27" s="1"/>
  <c r="RG10" i="27"/>
  <c r="DB10" i="27"/>
  <c r="N10" i="27"/>
  <c r="DF10" i="27" s="1"/>
  <c r="RH10" i="27"/>
  <c r="L10" i="27"/>
  <c r="M10" i="27" s="1"/>
  <c r="RE10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0" i="27" l="1"/>
  <c r="RI5" i="27"/>
  <c r="Q10" i="27"/>
  <c r="RF10" i="27"/>
  <c r="DH5" i="27"/>
  <c r="RF5" i="27"/>
  <c r="S10" i="27"/>
  <c r="K10" i="27"/>
  <c r="O10" i="27"/>
  <c r="T10" i="27"/>
  <c r="Q5" i="27"/>
  <c r="DF5" i="27"/>
  <c r="K5" i="27"/>
  <c r="J10" i="27" l="1"/>
  <c r="T5" i="27"/>
  <c r="V5" i="27" s="1"/>
  <c r="V10" i="27"/>
  <c r="U10" i="27"/>
  <c r="F10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I17" i="4"/>
  <c r="TT17" i="4" s="1"/>
  <c r="TJ17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I38" i="4"/>
  <c r="TT38" i="4" s="1"/>
  <c r="TJ38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I36" i="4"/>
  <c r="TT36" i="4" s="1"/>
  <c r="TJ36" i="4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40" i="19"/>
  <c r="CY40" i="19"/>
  <c r="CZ40" i="19"/>
  <c r="DA40" i="19"/>
  <c r="DC40" i="19"/>
  <c r="DD40" i="19"/>
  <c r="PY40" i="19"/>
  <c r="PZ40" i="19"/>
  <c r="QA40" i="19"/>
  <c r="QB40" i="19"/>
  <c r="QD40" i="19"/>
  <c r="QE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QY40" i="19"/>
  <c r="QZ40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D7" i="4"/>
  <c r="TP7" i="4" s="1"/>
  <c r="TE7" i="4"/>
  <c r="TF7" i="4"/>
  <c r="TG7" i="4"/>
  <c r="TH7" i="4"/>
  <c r="TS7" i="4" s="1"/>
  <c r="TI7" i="4"/>
  <c r="TT7" i="4" s="1"/>
  <c r="TJ7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H20" i="27" l="1"/>
  <c r="H13" i="27"/>
  <c r="H8" i="27"/>
  <c r="H4" i="27"/>
  <c r="H7" i="27"/>
  <c r="H6" i="27"/>
  <c r="QF23" i="21"/>
  <c r="QF14" i="21"/>
  <c r="QF29" i="21"/>
  <c r="QF28" i="21"/>
  <c r="QF6" i="21"/>
  <c r="QF5" i="21"/>
  <c r="H29" i="19"/>
  <c r="H40" i="19"/>
  <c r="QF40" i="19"/>
  <c r="QF7" i="19"/>
  <c r="QF26" i="19"/>
  <c r="QF29" i="19"/>
  <c r="QF30" i="19"/>
  <c r="QF9" i="19"/>
  <c r="QF20" i="27"/>
  <c r="QF13" i="27"/>
  <c r="QF8" i="27"/>
  <c r="QF4" i="27"/>
  <c r="QF7" i="27"/>
  <c r="QF6" i="27"/>
  <c r="QF17" i="27"/>
  <c r="QF12" i="26"/>
  <c r="DE14" i="26"/>
  <c r="DE9" i="26"/>
  <c r="QF11" i="26"/>
  <c r="QF14" i="26"/>
  <c r="QF9" i="26"/>
  <c r="QF10" i="26"/>
  <c r="QF6" i="26"/>
  <c r="DE10" i="26"/>
  <c r="DE11" i="26"/>
  <c r="DE12" i="26"/>
  <c r="DE6" i="26"/>
  <c r="H23" i="21"/>
  <c r="H14" i="21"/>
  <c r="H29" i="21"/>
  <c r="H28" i="21"/>
  <c r="H6" i="21"/>
  <c r="DE23" i="21"/>
  <c r="DE14" i="21"/>
  <c r="DE29" i="21"/>
  <c r="DE28" i="21"/>
  <c r="DE6" i="21"/>
  <c r="DE5" i="21"/>
  <c r="DE29" i="19"/>
  <c r="DE9" i="19"/>
  <c r="DE26" i="19"/>
  <c r="DE30" i="19"/>
  <c r="DE7" i="19"/>
  <c r="DE40" i="19"/>
  <c r="DE17" i="27"/>
  <c r="DE20" i="27"/>
  <c r="DE13" i="27"/>
  <c r="DE8" i="27"/>
  <c r="DE4" i="27"/>
  <c r="DE7" i="27"/>
  <c r="DE6" i="27"/>
  <c r="H9" i="19"/>
  <c r="H5" i="21"/>
  <c r="H26" i="19"/>
  <c r="H7" i="19"/>
  <c r="I23" i="21"/>
  <c r="I14" i="21"/>
  <c r="I29" i="21"/>
  <c r="I28" i="21"/>
  <c r="I6" i="21"/>
  <c r="I5" i="21"/>
  <c r="I29" i="19"/>
  <c r="I9" i="19"/>
  <c r="I7" i="19"/>
  <c r="I30" i="19"/>
  <c r="H30" i="19"/>
  <c r="I26" i="19"/>
  <c r="I40" i="19"/>
  <c r="I17" i="27"/>
  <c r="H17" i="27"/>
  <c r="I20" i="27"/>
  <c r="I13" i="27"/>
  <c r="I8" i="27"/>
  <c r="I4" i="27"/>
  <c r="I7" i="27"/>
  <c r="I6" i="27"/>
  <c r="I14" i="26"/>
  <c r="I9" i="26"/>
  <c r="H10" i="26"/>
  <c r="H11" i="26"/>
  <c r="H12" i="26"/>
  <c r="H6" i="26"/>
  <c r="H14" i="26"/>
  <c r="H9" i="26"/>
  <c r="I10" i="26"/>
  <c r="I11" i="26"/>
  <c r="I12" i="26"/>
  <c r="I6" i="26"/>
  <c r="H24" i="22"/>
  <c r="H25" i="22"/>
  <c r="H16" i="22"/>
  <c r="H13" i="22"/>
  <c r="H4" i="22"/>
  <c r="H22" i="22"/>
  <c r="I12" i="22"/>
  <c r="I14" i="22"/>
  <c r="I29" i="22"/>
  <c r="I11" i="22"/>
  <c r="I8" i="22"/>
  <c r="I10" i="22"/>
  <c r="I31" i="22"/>
  <c r="H12" i="22"/>
  <c r="H14" i="22"/>
  <c r="H29" i="22"/>
  <c r="H11" i="22"/>
  <c r="H8" i="22"/>
  <c r="H10" i="22"/>
  <c r="H31" i="22"/>
  <c r="I24" i="22"/>
  <c r="I25" i="22"/>
  <c r="I16" i="22"/>
  <c r="I13" i="22"/>
  <c r="I4" i="22"/>
  <c r="I22" i="22"/>
  <c r="I10" i="4"/>
  <c r="I34" i="4"/>
  <c r="I5" i="4"/>
  <c r="I38" i="4"/>
  <c r="I17" i="4"/>
  <c r="H15" i="4"/>
  <c r="H9" i="4"/>
  <c r="H34" i="4"/>
  <c r="H5" i="4"/>
  <c r="H7" i="4"/>
  <c r="H4" i="4"/>
  <c r="H36" i="4"/>
  <c r="H24" i="4"/>
  <c r="H18" i="4"/>
  <c r="H11" i="4"/>
  <c r="H38" i="4"/>
  <c r="H17" i="4"/>
  <c r="I15" i="4"/>
  <c r="I4" i="4"/>
  <c r="I12" i="4"/>
  <c r="I9" i="4"/>
  <c r="I24" i="4"/>
  <c r="H10" i="4"/>
  <c r="H35" i="4"/>
  <c r="I35" i="4"/>
  <c r="I7" i="4"/>
  <c r="I36" i="4"/>
  <c r="I18" i="4"/>
  <c r="I11" i="4"/>
  <c r="H12" i="4"/>
  <c r="CW8" i="22"/>
  <c r="DA8" i="22" s="1"/>
  <c r="P16" i="22"/>
  <c r="Q16" i="22" s="1"/>
  <c r="P14" i="22"/>
  <c r="Q14" i="22" s="1"/>
  <c r="P31" i="22"/>
  <c r="Q31" i="22" s="1"/>
  <c r="P8" i="22"/>
  <c r="Q8" i="22" s="1"/>
  <c r="P11" i="22"/>
  <c r="Q11" i="22" s="1"/>
  <c r="P25" i="22"/>
  <c r="Q25" i="22" s="1"/>
  <c r="P12" i="22"/>
  <c r="Q12" i="22" s="1"/>
  <c r="P24" i="22"/>
  <c r="Q24" i="22" s="1"/>
  <c r="P13" i="22"/>
  <c r="Q13" i="22" s="1"/>
  <c r="P10" i="22"/>
  <c r="Q10" i="22" s="1"/>
  <c r="P29" i="22"/>
  <c r="Q29" i="22" s="1"/>
  <c r="P4" i="22"/>
  <c r="Q4" i="22" s="1"/>
  <c r="P22" i="22"/>
  <c r="Q22" i="22" s="1"/>
  <c r="CW22" i="22"/>
  <c r="DA22" i="22" s="1"/>
  <c r="QC14" i="26"/>
  <c r="CW31" i="22"/>
  <c r="DA31" i="22" s="1"/>
  <c r="CW36" i="4"/>
  <c r="DA36" i="4" s="1"/>
  <c r="CW24" i="4"/>
  <c r="DA24" i="4" s="1"/>
  <c r="RG17" i="27"/>
  <c r="RB17" i="27"/>
  <c r="QC17" i="27"/>
  <c r="QC9" i="26"/>
  <c r="RB9" i="26"/>
  <c r="CW10" i="22"/>
  <c r="DA10" i="22" s="1"/>
  <c r="CW18" i="4"/>
  <c r="DA18" i="4" s="1"/>
  <c r="CW17" i="4"/>
  <c r="DA17" i="4" s="1"/>
  <c r="SN17" i="4"/>
  <c r="SU17" i="4" s="1"/>
  <c r="CW11" i="4"/>
  <c r="DA11" i="4" s="1"/>
  <c r="RD9" i="26"/>
  <c r="DB9" i="26"/>
  <c r="RC9" i="26"/>
  <c r="P9" i="26"/>
  <c r="Q9" i="26" s="1"/>
  <c r="CW14" i="22"/>
  <c r="DA14" i="22" s="1"/>
  <c r="CW25" i="22"/>
  <c r="DA25" i="22" s="1"/>
  <c r="CW16" i="22"/>
  <c r="DA16" i="22" s="1"/>
  <c r="CW35" i="4"/>
  <c r="DA35" i="4" s="1"/>
  <c r="CW15" i="4"/>
  <c r="DA15" i="4" s="1"/>
  <c r="CW12" i="22"/>
  <c r="DA12" i="22" s="1"/>
  <c r="CW29" i="22"/>
  <c r="DA29" i="22" s="1"/>
  <c r="CW38" i="4"/>
  <c r="DA38" i="4" s="1"/>
  <c r="CW12" i="4"/>
  <c r="DA12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3" i="27"/>
  <c r="RG9" i="26"/>
  <c r="N9" i="26"/>
  <c r="O9" i="26" s="1"/>
  <c r="RH9" i="26"/>
  <c r="L9" i="26"/>
  <c r="M9" i="26" s="1"/>
  <c r="R9" i="26"/>
  <c r="RE9" i="26"/>
  <c r="RG14" i="26"/>
  <c r="RB14" i="26"/>
  <c r="RD14" i="26"/>
  <c r="RC14" i="26"/>
  <c r="QC10" i="26"/>
  <c r="DB14" i="26"/>
  <c r="N14" i="26"/>
  <c r="O14" i="26" s="1"/>
  <c r="P14" i="26"/>
  <c r="DG14" i="26" s="1"/>
  <c r="RH14" i="26"/>
  <c r="L14" i="26"/>
  <c r="M14" i="26" s="1"/>
  <c r="R14" i="26"/>
  <c r="RE14" i="26"/>
  <c r="RG30" i="19"/>
  <c r="RB30" i="19"/>
  <c r="QC30" i="19"/>
  <c r="SN22" i="22"/>
  <c r="SU22" i="22" s="1"/>
  <c r="TQ17" i="4"/>
  <c r="SN38" i="4"/>
  <c r="SU38" i="4" s="1"/>
  <c r="TU17" i="4"/>
  <c r="TN17" i="4"/>
  <c r="SN18" i="4"/>
  <c r="SU18" i="4" s="1"/>
  <c r="TS17" i="4"/>
  <c r="R17" i="4"/>
  <c r="S17" i="4" s="1"/>
  <c r="L17" i="4"/>
  <c r="P17" i="4"/>
  <c r="N17" i="4"/>
  <c r="T17" i="4"/>
  <c r="U17" i="4" s="1"/>
  <c r="K17" i="4"/>
  <c r="SN11" i="4"/>
  <c r="SU11" i="4" s="1"/>
  <c r="TN38" i="4"/>
  <c r="TQ38" i="4"/>
  <c r="TU38" i="4"/>
  <c r="TS38" i="4"/>
  <c r="T38" i="4"/>
  <c r="U38" i="4" s="1"/>
  <c r="N38" i="4"/>
  <c r="O38" i="4" s="1"/>
  <c r="L38" i="4"/>
  <c r="K38" i="4"/>
  <c r="R38" i="4"/>
  <c r="S38" i="4" s="1"/>
  <c r="P38" i="4"/>
  <c r="TQ11" i="4"/>
  <c r="SN24" i="4"/>
  <c r="SU24" i="4" s="1"/>
  <c r="TN11" i="4"/>
  <c r="TU11" i="4"/>
  <c r="R11" i="4"/>
  <c r="S11" i="4" s="1"/>
  <c r="N11" i="4"/>
  <c r="O11" i="4" s="1"/>
  <c r="L11" i="4"/>
  <c r="P11" i="4"/>
  <c r="T11" i="4"/>
  <c r="U11" i="4" s="1"/>
  <c r="K11" i="4"/>
  <c r="TN36" i="4"/>
  <c r="TU18" i="4"/>
  <c r="TQ18" i="4"/>
  <c r="TN18" i="4"/>
  <c r="R18" i="4"/>
  <c r="S18" i="4" s="1"/>
  <c r="N18" i="4"/>
  <c r="O18" i="4" s="1"/>
  <c r="L18" i="4"/>
  <c r="K18" i="4"/>
  <c r="T18" i="4"/>
  <c r="U18" i="4" s="1"/>
  <c r="P18" i="4"/>
  <c r="TQ24" i="4"/>
  <c r="TN24" i="4"/>
  <c r="TU24" i="4"/>
  <c r="T24" i="4"/>
  <c r="U24" i="4" s="1"/>
  <c r="N24" i="4"/>
  <c r="O24" i="4" s="1"/>
  <c r="L24" i="4"/>
  <c r="K24" i="4"/>
  <c r="R24" i="4"/>
  <c r="S24" i="4" s="1"/>
  <c r="P24" i="4"/>
  <c r="TQ36" i="4"/>
  <c r="SN36" i="4"/>
  <c r="SU36" i="4" s="1"/>
  <c r="RD30" i="19"/>
  <c r="RH30" i="19"/>
  <c r="R30" i="19"/>
  <c r="DH30" i="19" s="1"/>
  <c r="RC30" i="19"/>
  <c r="RE30" i="19"/>
  <c r="P30" i="19"/>
  <c r="DG30" i="19" s="1"/>
  <c r="N30" i="19"/>
  <c r="DF30" i="19" s="1"/>
  <c r="L30" i="19"/>
  <c r="DB30" i="19"/>
  <c r="RG40" i="19"/>
  <c r="DB40" i="19"/>
  <c r="TU36" i="4"/>
  <c r="TS36" i="4"/>
  <c r="R36" i="4"/>
  <c r="S36" i="4" s="1"/>
  <c r="L36" i="4"/>
  <c r="T36" i="4"/>
  <c r="U36" i="4" s="1"/>
  <c r="P36" i="4"/>
  <c r="N36" i="4"/>
  <c r="K36" i="4"/>
  <c r="T4" i="4"/>
  <c r="U4" i="4" s="1"/>
  <c r="SN31" i="22"/>
  <c r="SU31" i="22" s="1"/>
  <c r="TQ31" i="22"/>
  <c r="TN31" i="22"/>
  <c r="TU31" i="22"/>
  <c r="R31" i="22"/>
  <c r="S31" i="22" s="1"/>
  <c r="N31" i="22"/>
  <c r="O31" i="22" s="1"/>
  <c r="T31" i="22"/>
  <c r="U31" i="22" s="1"/>
  <c r="L31" i="22"/>
  <c r="K31" i="22"/>
  <c r="SN10" i="22"/>
  <c r="SU10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2" i="22"/>
  <c r="U12" i="22" s="1"/>
  <c r="T16" i="22"/>
  <c r="U16" i="22" s="1"/>
  <c r="T11" i="22"/>
  <c r="U11" i="22" s="1"/>
  <c r="T14" i="22"/>
  <c r="U14" i="22" s="1"/>
  <c r="T29" i="22"/>
  <c r="U29" i="22" s="1"/>
  <c r="T4" i="22"/>
  <c r="U4" i="22" s="1"/>
  <c r="T24" i="22"/>
  <c r="U24" i="22" s="1"/>
  <c r="T13" i="22"/>
  <c r="U13" i="22" s="1"/>
  <c r="T25" i="22"/>
  <c r="U25" i="22" s="1"/>
  <c r="T8" i="22"/>
  <c r="U8" i="22" s="1"/>
  <c r="T12" i="4"/>
  <c r="U12" i="4" s="1"/>
  <c r="T9" i="4"/>
  <c r="U9" i="4" s="1"/>
  <c r="T35" i="4"/>
  <c r="U35" i="4" s="1"/>
  <c r="T5" i="4"/>
  <c r="U5" i="4" s="1"/>
  <c r="T34" i="4"/>
  <c r="U34" i="4" s="1"/>
  <c r="T7" i="4"/>
  <c r="U7" i="4" s="1"/>
  <c r="T15" i="4"/>
  <c r="U15" i="4" s="1"/>
  <c r="T10" i="4"/>
  <c r="U10" i="4" s="1"/>
  <c r="QC40" i="19"/>
  <c r="P40" i="19"/>
  <c r="DG40" i="19" s="1"/>
  <c r="RD40" i="19"/>
  <c r="RC40" i="19"/>
  <c r="RH40" i="19"/>
  <c r="RB40" i="19"/>
  <c r="N40" i="19"/>
  <c r="O40" i="19" s="1"/>
  <c r="L40" i="19"/>
  <c r="M40" i="19" s="1"/>
  <c r="R40" i="19"/>
  <c r="RE40" i="19"/>
  <c r="R26" i="19"/>
  <c r="DH26" i="19" s="1"/>
  <c r="RB26" i="19"/>
  <c r="QC26" i="19"/>
  <c r="RD26" i="19"/>
  <c r="RC26" i="19"/>
  <c r="P26" i="19"/>
  <c r="Q26" i="19" s="1"/>
  <c r="RG26" i="19"/>
  <c r="DB26" i="19"/>
  <c r="N26" i="19"/>
  <c r="O26" i="19" s="1"/>
  <c r="RH26" i="19"/>
  <c r="L26" i="19"/>
  <c r="M26" i="19" s="1"/>
  <c r="RE26" i="19"/>
  <c r="RG9" i="19"/>
  <c r="QC29" i="21"/>
  <c r="QC28" i="21"/>
  <c r="P5" i="21"/>
  <c r="Q5" i="21" s="1"/>
  <c r="DB29" i="19"/>
  <c r="RD7" i="19"/>
  <c r="DB7" i="19"/>
  <c r="N6" i="27"/>
  <c r="O6" i="27" s="1"/>
  <c r="RG6" i="26"/>
  <c r="RB6" i="26"/>
  <c r="SN4" i="22"/>
  <c r="SU4" i="22" s="1"/>
  <c r="SN16" i="22"/>
  <c r="SU16" i="22" s="1"/>
  <c r="N4" i="22"/>
  <c r="O4" i="22" s="1"/>
  <c r="QC23" i="21"/>
  <c r="R28" i="21"/>
  <c r="S28" i="21" s="1"/>
  <c r="R9" i="19"/>
  <c r="S9" i="19" s="1"/>
  <c r="RE9" i="19"/>
  <c r="RB9" i="19"/>
  <c r="P29" i="19"/>
  <c r="Q29" i="19" s="1"/>
  <c r="RG7" i="19"/>
  <c r="RG13" i="27"/>
  <c r="RB13" i="27"/>
  <c r="RD6" i="27"/>
  <c r="RG12" i="26"/>
  <c r="RE12" i="26"/>
  <c r="RB12" i="26"/>
  <c r="P11" i="26"/>
  <c r="Q11" i="26" s="1"/>
  <c r="DB10" i="26"/>
  <c r="DB6" i="26"/>
  <c r="QC11" i="26"/>
  <c r="P10" i="26"/>
  <c r="Q10" i="26" s="1"/>
  <c r="RD10" i="26"/>
  <c r="SN8" i="22"/>
  <c r="SU8" i="22" s="1"/>
  <c r="SN13" i="22"/>
  <c r="SU13" i="22" s="1"/>
  <c r="CW7" i="4"/>
  <c r="DA7" i="4" s="1"/>
  <c r="TQ16" i="22"/>
  <c r="SN11" i="22"/>
  <c r="SU11" i="22" s="1"/>
  <c r="SN15" i="4"/>
  <c r="SU15" i="4" s="1"/>
  <c r="SN10" i="4"/>
  <c r="SU10" i="4" s="1"/>
  <c r="P10" i="4"/>
  <c r="Q10" i="4" s="1"/>
  <c r="P34" i="4"/>
  <c r="Q34" i="4" s="1"/>
  <c r="P5" i="4"/>
  <c r="DC5" i="4" s="1"/>
  <c r="SN9" i="4"/>
  <c r="SU9" i="4" s="1"/>
  <c r="CW4" i="4"/>
  <c r="DA4" i="4" s="1"/>
  <c r="P4" i="4"/>
  <c r="DC4" i="4" s="1"/>
  <c r="P12" i="4"/>
  <c r="DC12" i="4" s="1"/>
  <c r="P9" i="4"/>
  <c r="DC9" i="4" s="1"/>
  <c r="P7" i="4"/>
  <c r="Q7" i="4" s="1"/>
  <c r="SN35" i="4"/>
  <c r="SU35" i="4" s="1"/>
  <c r="SN4" i="4"/>
  <c r="SU4" i="4" s="1"/>
  <c r="P35" i="4"/>
  <c r="DC35" i="4" s="1"/>
  <c r="TN7" i="4"/>
  <c r="SN12" i="4"/>
  <c r="SU12" i="4" s="1"/>
  <c r="SN34" i="4"/>
  <c r="SU34" i="4" s="1"/>
  <c r="SN7" i="4"/>
  <c r="SU7" i="4" s="1"/>
  <c r="P15" i="4"/>
  <c r="SN5" i="4"/>
  <c r="SU5" i="4" s="1"/>
  <c r="RD29" i="21"/>
  <c r="P23" i="21"/>
  <c r="DG23" i="21" s="1"/>
  <c r="DB6" i="21"/>
  <c r="RG29" i="21"/>
  <c r="RB29" i="21"/>
  <c r="R14" i="21"/>
  <c r="S14" i="21" s="1"/>
  <c r="L5" i="21"/>
  <c r="M5" i="21" s="1"/>
  <c r="RB14" i="21"/>
  <c r="P28" i="21"/>
  <c r="Q28" i="21" s="1"/>
  <c r="RD28" i="21"/>
  <c r="RG6" i="21"/>
  <c r="RG28" i="21"/>
  <c r="RB28" i="21"/>
  <c r="P14" i="21"/>
  <c r="Q14" i="21" s="1"/>
  <c r="RD14" i="21"/>
  <c r="P6" i="21"/>
  <c r="Q6" i="21" s="1"/>
  <c r="P29" i="21"/>
  <c r="Q29" i="21" s="1"/>
  <c r="RG14" i="21"/>
  <c r="R29" i="21"/>
  <c r="S29" i="21" s="1"/>
  <c r="R5" i="21"/>
  <c r="S5" i="21" s="1"/>
  <c r="RC29" i="21"/>
  <c r="RD23" i="21"/>
  <c r="RC28" i="21"/>
  <c r="RH29" i="21"/>
  <c r="RH14" i="21"/>
  <c r="RH28" i="21"/>
  <c r="DB23" i="21"/>
  <c r="RH6" i="21"/>
  <c r="R23" i="21"/>
  <c r="S23" i="21" s="1"/>
  <c r="RC14" i="21"/>
  <c r="RC23" i="21"/>
  <c r="RG23" i="21"/>
  <c r="RB23" i="21"/>
  <c r="P9" i="19"/>
  <c r="Q9" i="19" s="1"/>
  <c r="DB9" i="19"/>
  <c r="L7" i="19"/>
  <c r="M7" i="19" s="1"/>
  <c r="RD29" i="19"/>
  <c r="RG29" i="19"/>
  <c r="RH7" i="19"/>
  <c r="RH9" i="19"/>
  <c r="RD9" i="19"/>
  <c r="P7" i="19"/>
  <c r="DG7" i="19" s="1"/>
  <c r="N7" i="19"/>
  <c r="O7" i="19" s="1"/>
  <c r="R29" i="19"/>
  <c r="DH29" i="19" s="1"/>
  <c r="L29" i="19"/>
  <c r="M29" i="19" s="1"/>
  <c r="RG6" i="27"/>
  <c r="RB6" i="27"/>
  <c r="DB8" i="27"/>
  <c r="QC13" i="27"/>
  <c r="DB7" i="27"/>
  <c r="RG20" i="27"/>
  <c r="P8" i="27"/>
  <c r="Q8" i="27" s="1"/>
  <c r="P13" i="27"/>
  <c r="Q13" i="27" s="1"/>
  <c r="DB20" i="27"/>
  <c r="R20" i="27"/>
  <c r="DH20" i="27" s="1"/>
  <c r="RC4" i="27"/>
  <c r="RH7" i="27"/>
  <c r="P7" i="27"/>
  <c r="DG7" i="27" s="1"/>
  <c r="L4" i="27"/>
  <c r="M4" i="27" s="1"/>
  <c r="RG7" i="27"/>
  <c r="R6" i="27"/>
  <c r="S6" i="27" s="1"/>
  <c r="RD20" i="27"/>
  <c r="P20" i="27"/>
  <c r="Q20" i="27" s="1"/>
  <c r="RD8" i="27"/>
  <c r="P4" i="27"/>
  <c r="Q4" i="27" s="1"/>
  <c r="L6" i="27"/>
  <c r="M6" i="27" s="1"/>
  <c r="RH6" i="27"/>
  <c r="RC20" i="27"/>
  <c r="RG8" i="27"/>
  <c r="RB8" i="27"/>
  <c r="QC8" i="27"/>
  <c r="RH4" i="27"/>
  <c r="RC7" i="27"/>
  <c r="RD13" i="27"/>
  <c r="RC13" i="27"/>
  <c r="RD4" i="27"/>
  <c r="RE6" i="27"/>
  <c r="RH20" i="27"/>
  <c r="RG4" i="27"/>
  <c r="RB4" i="27"/>
  <c r="DB6" i="27"/>
  <c r="P6" i="27"/>
  <c r="DG6" i="27" s="1"/>
  <c r="RD6" i="26"/>
  <c r="P6" i="26"/>
  <c r="DG6" i="26" s="1"/>
  <c r="RC12" i="26"/>
  <c r="RD11" i="26"/>
  <c r="RH10" i="26"/>
  <c r="RG11" i="26"/>
  <c r="RB11" i="26"/>
  <c r="R11" i="26"/>
  <c r="DH11" i="26" s="1"/>
  <c r="RC11" i="26"/>
  <c r="RH11" i="26"/>
  <c r="R10" i="26"/>
  <c r="DH10" i="26" s="1"/>
  <c r="P12" i="26"/>
  <c r="Q12" i="26" s="1"/>
  <c r="RE10" i="26"/>
  <c r="RC10" i="26"/>
  <c r="RH12" i="26"/>
  <c r="RG10" i="26"/>
  <c r="RB10" i="26"/>
  <c r="RE11" i="26"/>
  <c r="RD12" i="26"/>
  <c r="SN24" i="22"/>
  <c r="SU24" i="22" s="1"/>
  <c r="TQ12" i="22"/>
  <c r="SN12" i="22"/>
  <c r="SU12" i="22" s="1"/>
  <c r="TU25" i="22"/>
  <c r="CW13" i="22"/>
  <c r="DA13" i="22" s="1"/>
  <c r="SN14" i="22"/>
  <c r="SU14" i="22" s="1"/>
  <c r="CW11" i="22"/>
  <c r="DA11" i="22" s="1"/>
  <c r="SN25" i="22"/>
  <c r="SU25" i="22" s="1"/>
  <c r="TN11" i="22"/>
  <c r="SN29" i="22"/>
  <c r="SU29" i="22" s="1"/>
  <c r="TU13" i="22"/>
  <c r="TU14" i="22"/>
  <c r="TQ24" i="22"/>
  <c r="TU4" i="22"/>
  <c r="TQ14" i="22"/>
  <c r="TU11" i="22"/>
  <c r="TN16" i="22"/>
  <c r="CW24" i="22"/>
  <c r="DA24" i="22" s="1"/>
  <c r="TU24" i="22"/>
  <c r="TU8" i="22"/>
  <c r="TN29" i="22"/>
  <c r="TN14" i="22"/>
  <c r="TN25" i="22"/>
  <c r="TQ29" i="22"/>
  <c r="N11" i="22"/>
  <c r="TU16" i="22"/>
  <c r="L16" i="22"/>
  <c r="N13" i="22"/>
  <c r="K14" i="22"/>
  <c r="TQ35" i="4"/>
  <c r="TN35" i="4"/>
  <c r="CW10" i="4"/>
  <c r="DA10" i="4" s="1"/>
  <c r="TN15" i="4"/>
  <c r="TQ12" i="4"/>
  <c r="TQ34" i="4"/>
  <c r="CW34" i="4"/>
  <c r="DA34" i="4" s="1"/>
  <c r="TQ10" i="4"/>
  <c r="CW5" i="4"/>
  <c r="DA5" i="4" s="1"/>
  <c r="TN12" i="4"/>
  <c r="TU9" i="4"/>
  <c r="TU34" i="4"/>
  <c r="TQ5" i="4"/>
  <c r="TO12" i="4"/>
  <c r="TU35" i="4"/>
  <c r="TQ15" i="4"/>
  <c r="TQ9" i="4"/>
  <c r="TU5" i="4"/>
  <c r="TU7" i="4"/>
  <c r="TU4" i="4"/>
  <c r="TQ4" i="4"/>
  <c r="TN9" i="4"/>
  <c r="TN10" i="4"/>
  <c r="TN5" i="4"/>
  <c r="TN4" i="4"/>
  <c r="TU15" i="4"/>
  <c r="N9" i="4"/>
  <c r="TN34" i="4"/>
  <c r="TQ7" i="4"/>
  <c r="L7" i="4"/>
  <c r="TU10" i="4"/>
  <c r="L9" i="4"/>
  <c r="K7" i="4"/>
  <c r="R35" i="4"/>
  <c r="S35" i="4" s="1"/>
  <c r="L10" i="4"/>
  <c r="N34" i="4"/>
  <c r="N4" i="4"/>
  <c r="K35" i="4"/>
  <c r="R7" i="4"/>
  <c r="S7" i="4" s="1"/>
  <c r="L35" i="4"/>
  <c r="N12" i="4"/>
  <c r="R4" i="4"/>
  <c r="S4" i="4" s="1"/>
  <c r="R10" i="4"/>
  <c r="S10" i="4" s="1"/>
  <c r="N35" i="4"/>
  <c r="K9" i="4"/>
  <c r="N10" i="4"/>
  <c r="RH23" i="21"/>
  <c r="N23" i="21"/>
  <c r="RE23" i="21"/>
  <c r="QC5" i="21"/>
  <c r="DB5" i="21"/>
  <c r="L23" i="21"/>
  <c r="QC14" i="21"/>
  <c r="RD5" i="21"/>
  <c r="RC5" i="21"/>
  <c r="DB14" i="21"/>
  <c r="DB29" i="21"/>
  <c r="DB28" i="21"/>
  <c r="RG5" i="21"/>
  <c r="RH5" i="21"/>
  <c r="RB5" i="21"/>
  <c r="RE5" i="21"/>
  <c r="L14" i="21"/>
  <c r="N14" i="21"/>
  <c r="L29" i="21"/>
  <c r="N29" i="21"/>
  <c r="L28" i="21"/>
  <c r="N28" i="21"/>
  <c r="R6" i="21"/>
  <c r="RB6" i="21"/>
  <c r="RE6" i="21"/>
  <c r="N5" i="21"/>
  <c r="RD6" i="21"/>
  <c r="RE14" i="21"/>
  <c r="RE29" i="21"/>
  <c r="RE28" i="21"/>
  <c r="RC6" i="21"/>
  <c r="N6" i="21"/>
  <c r="L6" i="21"/>
  <c r="QC6" i="21"/>
  <c r="RE29" i="19"/>
  <c r="RH29" i="19"/>
  <c r="RC29" i="19"/>
  <c r="QC29" i="19"/>
  <c r="RB29" i="19"/>
  <c r="N29" i="19"/>
  <c r="N9" i="19"/>
  <c r="L9" i="19"/>
  <c r="QC7" i="19"/>
  <c r="RC7" i="19"/>
  <c r="RB7" i="19"/>
  <c r="RE7" i="19"/>
  <c r="R7" i="19"/>
  <c r="RC9" i="19"/>
  <c r="QC9" i="19"/>
  <c r="L20" i="27"/>
  <c r="L8" i="27"/>
  <c r="N8" i="27"/>
  <c r="RE20" i="27"/>
  <c r="R13" i="27"/>
  <c r="R7" i="27"/>
  <c r="RH8" i="27"/>
  <c r="RH13" i="27"/>
  <c r="RE8" i="27"/>
  <c r="R8" i="27"/>
  <c r="N20" i="27"/>
  <c r="L13" i="27"/>
  <c r="N13" i="27"/>
  <c r="RB7" i="27"/>
  <c r="RE7" i="27"/>
  <c r="RC8" i="27"/>
  <c r="QC20" i="27"/>
  <c r="RD7" i="27"/>
  <c r="RB20" i="27"/>
  <c r="RE13" i="27"/>
  <c r="DB4" i="27"/>
  <c r="QC4" i="27"/>
  <c r="R4" i="27"/>
  <c r="N7" i="27"/>
  <c r="RC6" i="27"/>
  <c r="QC6" i="27"/>
  <c r="RE4" i="27"/>
  <c r="L7" i="27"/>
  <c r="N4" i="27"/>
  <c r="QC7" i="27"/>
  <c r="QC6" i="26"/>
  <c r="QC12" i="26"/>
  <c r="RH6" i="26"/>
  <c r="L12" i="26"/>
  <c r="R6" i="26"/>
  <c r="L10" i="26"/>
  <c r="L11" i="26"/>
  <c r="R12" i="26"/>
  <c r="RC6" i="26"/>
  <c r="DB11" i="26"/>
  <c r="N6" i="26"/>
  <c r="N10" i="26"/>
  <c r="DB12" i="26"/>
  <c r="RE6" i="26"/>
  <c r="L6" i="26"/>
  <c r="N11" i="26"/>
  <c r="N12" i="26"/>
  <c r="R24" i="22"/>
  <c r="S24" i="22" s="1"/>
  <c r="K12" i="22"/>
  <c r="L14" i="22"/>
  <c r="TQ25" i="22"/>
  <c r="TN24" i="22"/>
  <c r="L24" i="22"/>
  <c r="N24" i="22"/>
  <c r="R12" i="22"/>
  <c r="S12" i="22" s="1"/>
  <c r="R25" i="22"/>
  <c r="S25" i="22" s="1"/>
  <c r="TU12" i="22"/>
  <c r="K29" i="22"/>
  <c r="TN12" i="22"/>
  <c r="TU29" i="22"/>
  <c r="N14" i="22"/>
  <c r="L12" i="22"/>
  <c r="R14" i="22"/>
  <c r="S14" i="22" s="1"/>
  <c r="L25" i="22"/>
  <c r="N25" i="22"/>
  <c r="L29" i="22"/>
  <c r="R11" i="22"/>
  <c r="S11" i="22" s="1"/>
  <c r="K24" i="22"/>
  <c r="N12" i="22"/>
  <c r="N29" i="22"/>
  <c r="R29" i="22"/>
  <c r="S29" i="22" s="1"/>
  <c r="K8" i="22"/>
  <c r="R8" i="22"/>
  <c r="S8" i="22" s="1"/>
  <c r="K25" i="22"/>
  <c r="K16" i="22"/>
  <c r="R16" i="22"/>
  <c r="S16" i="22" s="1"/>
  <c r="TQ4" i="22"/>
  <c r="L8" i="22"/>
  <c r="L11" i="22"/>
  <c r="N16" i="22"/>
  <c r="TQ13" i="22"/>
  <c r="K11" i="22"/>
  <c r="TN13" i="22"/>
  <c r="TQ11" i="22"/>
  <c r="TQ8" i="22"/>
  <c r="R4" i="22"/>
  <c r="S4" i="22" s="1"/>
  <c r="L13" i="22"/>
  <c r="K13" i="22"/>
  <c r="N8" i="22"/>
  <c r="TN4" i="22"/>
  <c r="R13" i="22"/>
  <c r="S13" i="22" s="1"/>
  <c r="TN8" i="22"/>
  <c r="CW4" i="22"/>
  <c r="DA4" i="22" s="1"/>
  <c r="L4" i="22"/>
  <c r="K4" i="22"/>
  <c r="K10" i="4"/>
  <c r="R12" i="4"/>
  <c r="S12" i="4" s="1"/>
  <c r="TU12" i="4"/>
  <c r="L12" i="4"/>
  <c r="N5" i="4"/>
  <c r="L4" i="4"/>
  <c r="K12" i="4"/>
  <c r="N15" i="4"/>
  <c r="R34" i="4"/>
  <c r="S34" i="4" s="1"/>
  <c r="L34" i="4"/>
  <c r="TO7" i="4"/>
  <c r="K4" i="4"/>
  <c r="K34" i="4"/>
  <c r="R5" i="4"/>
  <c r="S5" i="4" s="1"/>
  <c r="L5" i="4"/>
  <c r="R15" i="4"/>
  <c r="S15" i="4" s="1"/>
  <c r="L15" i="4"/>
  <c r="CW9" i="4"/>
  <c r="DA9" i="4" s="1"/>
  <c r="K5" i="4"/>
  <c r="N7" i="4"/>
  <c r="K15" i="4"/>
  <c r="R9" i="4"/>
  <c r="S9" i="4" s="1"/>
  <c r="RI14" i="21" l="1"/>
  <c r="RI6" i="27"/>
  <c r="RI29" i="19"/>
  <c r="RI17" i="27"/>
  <c r="RI4" i="27"/>
  <c r="RI10" i="26"/>
  <c r="RI11" i="26"/>
  <c r="RI14" i="26"/>
  <c r="RI9" i="26"/>
  <c r="RI28" i="21"/>
  <c r="RI5" i="21"/>
  <c r="RI29" i="21"/>
  <c r="RI23" i="21"/>
  <c r="RI6" i="21"/>
  <c r="RI7" i="19"/>
  <c r="RI40" i="19"/>
  <c r="RI9" i="19"/>
  <c r="RI26" i="19"/>
  <c r="RI30" i="19"/>
  <c r="RI20" i="27"/>
  <c r="RI8" i="27"/>
  <c r="RI13" i="27"/>
  <c r="RI7" i="27"/>
  <c r="RI6" i="26"/>
  <c r="RI12" i="26"/>
  <c r="J14" i="22"/>
  <c r="J16" i="22"/>
  <c r="J11" i="22"/>
  <c r="DC16" i="22"/>
  <c r="J24" i="22"/>
  <c r="J29" i="22"/>
  <c r="J12" i="22"/>
  <c r="J7" i="4"/>
  <c r="J12" i="4"/>
  <c r="J9" i="4"/>
  <c r="J34" i="4"/>
  <c r="J10" i="4"/>
  <c r="J24" i="4"/>
  <c r="DC13" i="22"/>
  <c r="DC25" i="22"/>
  <c r="DC11" i="22"/>
  <c r="DC12" i="22"/>
  <c r="DC29" i="22"/>
  <c r="DC8" i="22"/>
  <c r="DC4" i="22"/>
  <c r="DC14" i="22"/>
  <c r="DC24" i="22"/>
  <c r="M16" i="22"/>
  <c r="M10" i="22"/>
  <c r="M22" i="22"/>
  <c r="M35" i="4"/>
  <c r="M17" i="4"/>
  <c r="M7" i="4"/>
  <c r="M24" i="4"/>
  <c r="M9" i="4"/>
  <c r="M11" i="4"/>
  <c r="M38" i="4"/>
  <c r="M18" i="4"/>
  <c r="M10" i="4"/>
  <c r="M36" i="4"/>
  <c r="DH5" i="21"/>
  <c r="RF26" i="19"/>
  <c r="S30" i="19"/>
  <c r="DF6" i="27"/>
  <c r="S17" i="27"/>
  <c r="DF9" i="26"/>
  <c r="K9" i="26"/>
  <c r="DG9" i="26"/>
  <c r="DG29" i="21"/>
  <c r="Q6" i="26"/>
  <c r="RF9" i="26"/>
  <c r="DF17" i="27"/>
  <c r="T17" i="27" s="1"/>
  <c r="K17" i="27"/>
  <c r="RF17" i="27"/>
  <c r="DF14" i="26"/>
  <c r="TR11" i="4"/>
  <c r="TV11" i="4" s="1"/>
  <c r="Q17" i="27"/>
  <c r="DH9" i="26"/>
  <c r="S9" i="26"/>
  <c r="RF14" i="26"/>
  <c r="Q14" i="26"/>
  <c r="K14" i="26"/>
  <c r="DH14" i="26"/>
  <c r="S14" i="26"/>
  <c r="RF30" i="19"/>
  <c r="S26" i="19"/>
  <c r="RF40" i="19"/>
  <c r="DB29" i="22"/>
  <c r="TR22" i="22"/>
  <c r="TV22" i="22" s="1"/>
  <c r="DB31" i="22"/>
  <c r="TR31" i="22"/>
  <c r="TV31" i="22" s="1"/>
  <c r="TR17" i="4"/>
  <c r="TV17" i="4" s="1"/>
  <c r="TR38" i="4"/>
  <c r="TV38" i="4" s="1"/>
  <c r="DB38" i="4"/>
  <c r="O17" i="4"/>
  <c r="DB17" i="4"/>
  <c r="DC17" i="4"/>
  <c r="Q17" i="4"/>
  <c r="DB24" i="4"/>
  <c r="TR18" i="4"/>
  <c r="TV18" i="4" s="1"/>
  <c r="Q38" i="4"/>
  <c r="DC38" i="4"/>
  <c r="J38" i="4"/>
  <c r="TR36" i="4"/>
  <c r="TV36" i="4" s="1"/>
  <c r="TR24" i="4"/>
  <c r="TV24" i="4" s="1"/>
  <c r="J11" i="4"/>
  <c r="Q11" i="4"/>
  <c r="DC11" i="4"/>
  <c r="DB11" i="4"/>
  <c r="J18" i="4"/>
  <c r="DB18" i="4"/>
  <c r="Q18" i="4"/>
  <c r="DC18" i="4"/>
  <c r="Q24" i="4"/>
  <c r="DC24" i="4"/>
  <c r="DB15" i="4"/>
  <c r="O30" i="19"/>
  <c r="Q30" i="19"/>
  <c r="T30" i="19"/>
  <c r="U30" i="19" s="1"/>
  <c r="M30" i="19"/>
  <c r="K30" i="19"/>
  <c r="K40" i="19"/>
  <c r="K26" i="19"/>
  <c r="J36" i="4"/>
  <c r="DB36" i="4"/>
  <c r="O36" i="4"/>
  <c r="DC36" i="4"/>
  <c r="Q36" i="4"/>
  <c r="DB35" i="4"/>
  <c r="V35" i="4" s="1"/>
  <c r="J31" i="22"/>
  <c r="DC31" i="22"/>
  <c r="M31" i="22"/>
  <c r="J22" i="22"/>
  <c r="DC22" i="22"/>
  <c r="DB22" i="22"/>
  <c r="TR10" i="22"/>
  <c r="TV10" i="22" s="1"/>
  <c r="DB10" i="22"/>
  <c r="DC10" i="22"/>
  <c r="DG26" i="19"/>
  <c r="DF7" i="19"/>
  <c r="DF40" i="19"/>
  <c r="DF26" i="19"/>
  <c r="Q40" i="19"/>
  <c r="DB12" i="4"/>
  <c r="V12" i="4" s="1"/>
  <c r="X12" i="4" s="1"/>
  <c r="DB5" i="4"/>
  <c r="V5" i="4" s="1"/>
  <c r="TR7" i="4"/>
  <c r="TV7" i="4" s="1"/>
  <c r="DH40" i="19"/>
  <c r="S40" i="19"/>
  <c r="DG9" i="19"/>
  <c r="DG6" i="21"/>
  <c r="DH14" i="21"/>
  <c r="Q7" i="19"/>
  <c r="S29" i="19"/>
  <c r="DB16" i="22"/>
  <c r="DB4" i="4"/>
  <c r="V4" i="4" s="1"/>
  <c r="X4" i="4" s="1"/>
  <c r="DC10" i="4"/>
  <c r="DG5" i="21"/>
  <c r="RF23" i="21"/>
  <c r="Q23" i="21"/>
  <c r="DG28" i="21"/>
  <c r="RF29" i="21"/>
  <c r="DH28" i="21"/>
  <c r="DG14" i="21"/>
  <c r="DH9" i="19"/>
  <c r="Q7" i="27"/>
  <c r="S11" i="26"/>
  <c r="DB24" i="22"/>
  <c r="DB25" i="22"/>
  <c r="DB4" i="22"/>
  <c r="DB8" i="22"/>
  <c r="DB12" i="22"/>
  <c r="DB14" i="22"/>
  <c r="TR12" i="22"/>
  <c r="TV12" i="22" s="1"/>
  <c r="TR25" i="22"/>
  <c r="TV25" i="22" s="1"/>
  <c r="DB11" i="22"/>
  <c r="DB13" i="22"/>
  <c r="TR16" i="22"/>
  <c r="TV16" i="22" s="1"/>
  <c r="DB9" i="4"/>
  <c r="DB7" i="4"/>
  <c r="TR10" i="4"/>
  <c r="TV10" i="4" s="1"/>
  <c r="TR12" i="4"/>
  <c r="TV12" i="4" s="1"/>
  <c r="DB10" i="4"/>
  <c r="DB34" i="4"/>
  <c r="DG29" i="19"/>
  <c r="DG11" i="26"/>
  <c r="RF10" i="26"/>
  <c r="RF11" i="26"/>
  <c r="DG10" i="26"/>
  <c r="K10" i="26"/>
  <c r="O16" i="22"/>
  <c r="O24" i="22"/>
  <c r="O13" i="22"/>
  <c r="O29" i="22"/>
  <c r="TR14" i="22"/>
  <c r="TV14" i="22" s="1"/>
  <c r="O11" i="22"/>
  <c r="O25" i="22"/>
  <c r="O14" i="22"/>
  <c r="O8" i="22"/>
  <c r="O12" i="22"/>
  <c r="TR35" i="4"/>
  <c r="TV35" i="4" s="1"/>
  <c r="Q12" i="4"/>
  <c r="Q5" i="4"/>
  <c r="Q4" i="4"/>
  <c r="TR5" i="4"/>
  <c r="TV5" i="4" s="1"/>
  <c r="Q35" i="4"/>
  <c r="TR9" i="4"/>
  <c r="TV9" i="4" s="1"/>
  <c r="Q9" i="4"/>
  <c r="TR15" i="4"/>
  <c r="TV15" i="4" s="1"/>
  <c r="DC34" i="4"/>
  <c r="DC7" i="4"/>
  <c r="O10" i="4"/>
  <c r="O34" i="4"/>
  <c r="O5" i="4"/>
  <c r="TR34" i="4"/>
  <c r="TV34" i="4" s="1"/>
  <c r="DC15" i="4"/>
  <c r="Q15" i="4"/>
  <c r="O4" i="4"/>
  <c r="O9" i="4"/>
  <c r="O35" i="4"/>
  <c r="O12" i="4"/>
  <c r="O7" i="4"/>
  <c r="O15" i="4"/>
  <c r="DH29" i="21"/>
  <c r="RF14" i="21"/>
  <c r="K23" i="21"/>
  <c r="RF28" i="21"/>
  <c r="K14" i="21"/>
  <c r="K28" i="21"/>
  <c r="K29" i="21"/>
  <c r="DH23" i="21"/>
  <c r="K6" i="21"/>
  <c r="K29" i="19"/>
  <c r="K9" i="19"/>
  <c r="K7" i="19"/>
  <c r="DG8" i="27"/>
  <c r="RF13" i="27"/>
  <c r="DH6" i="27"/>
  <c r="DG4" i="27"/>
  <c r="DG13" i="27"/>
  <c r="DG20" i="27"/>
  <c r="RF20" i="27"/>
  <c r="RF4" i="27"/>
  <c r="RF7" i="27"/>
  <c r="S20" i="27"/>
  <c r="Q6" i="27"/>
  <c r="K13" i="27"/>
  <c r="K7" i="27"/>
  <c r="K6" i="27"/>
  <c r="DG12" i="26"/>
  <c r="S10" i="26"/>
  <c r="K11" i="26"/>
  <c r="RF12" i="26"/>
  <c r="J25" i="22"/>
  <c r="TR11" i="22"/>
  <c r="TV11" i="22" s="1"/>
  <c r="TR4" i="22"/>
  <c r="TV4" i="22" s="1"/>
  <c r="TR24" i="22"/>
  <c r="TV24" i="22" s="1"/>
  <c r="TR29" i="22"/>
  <c r="TV29" i="22" s="1"/>
  <c r="TR8" i="22"/>
  <c r="TV8" i="22" s="1"/>
  <c r="J8" i="22"/>
  <c r="J15" i="4"/>
  <c r="J5" i="4"/>
  <c r="TR4" i="4"/>
  <c r="TV4" i="4" s="1"/>
  <c r="O6" i="21"/>
  <c r="DF6" i="21"/>
  <c r="O5" i="21"/>
  <c r="DF5" i="21"/>
  <c r="DH6" i="21"/>
  <c r="S6" i="21"/>
  <c r="M29" i="21"/>
  <c r="DF28" i="21"/>
  <c r="O28" i="21"/>
  <c r="DF14" i="21"/>
  <c r="O14" i="21"/>
  <c r="K5" i="21"/>
  <c r="DF23" i="21"/>
  <c r="O23" i="21"/>
  <c r="M6" i="21"/>
  <c r="M28" i="21"/>
  <c r="M14" i="21"/>
  <c r="M23" i="21"/>
  <c r="RF5" i="21"/>
  <c r="RF6" i="21"/>
  <c r="DF29" i="21"/>
  <c r="O29" i="21"/>
  <c r="O29" i="19"/>
  <c r="DF29" i="19"/>
  <c r="O9" i="19"/>
  <c r="DF9" i="19"/>
  <c r="M9" i="19"/>
  <c r="RF9" i="19"/>
  <c r="RF7" i="19"/>
  <c r="DH7" i="19"/>
  <c r="S7" i="19"/>
  <c r="RF29" i="19"/>
  <c r="S4" i="27"/>
  <c r="DH4" i="27"/>
  <c r="K8" i="27"/>
  <c r="K20" i="27"/>
  <c r="DH13" i="27"/>
  <c r="S13" i="27"/>
  <c r="RF8" i="27"/>
  <c r="O4" i="27"/>
  <c r="DF4" i="27"/>
  <c r="DF13" i="27"/>
  <c r="O13" i="27"/>
  <c r="O20" i="27"/>
  <c r="DF20" i="27"/>
  <c r="DH8" i="27"/>
  <c r="S8" i="27"/>
  <c r="O8" i="27"/>
  <c r="DF8" i="27"/>
  <c r="M13" i="27"/>
  <c r="DH7" i="27"/>
  <c r="S7" i="27"/>
  <c r="M8" i="27"/>
  <c r="M7" i="27"/>
  <c r="RF6" i="27"/>
  <c r="O7" i="27"/>
  <c r="DF7" i="27"/>
  <c r="K4" i="27"/>
  <c r="M20" i="27"/>
  <c r="RF6" i="26"/>
  <c r="M10" i="26"/>
  <c r="O12" i="26"/>
  <c r="DF12" i="26"/>
  <c r="O11" i="26"/>
  <c r="DF11" i="26"/>
  <c r="M12" i="26"/>
  <c r="K6" i="26"/>
  <c r="O10" i="26"/>
  <c r="DF10" i="26"/>
  <c r="S6" i="26"/>
  <c r="DH6" i="26"/>
  <c r="O6" i="26"/>
  <c r="DF6" i="26"/>
  <c r="K12" i="26"/>
  <c r="S12" i="26"/>
  <c r="DH12" i="26"/>
  <c r="M11" i="26"/>
  <c r="M6" i="26"/>
  <c r="M24" i="22"/>
  <c r="M29" i="22"/>
  <c r="J13" i="22"/>
  <c r="M12" i="22"/>
  <c r="M8" i="22"/>
  <c r="M11" i="22"/>
  <c r="M25" i="22"/>
  <c r="M13" i="22"/>
  <c r="J4" i="22"/>
  <c r="TR13" i="22"/>
  <c r="TV13" i="22" s="1"/>
  <c r="M4" i="22"/>
  <c r="M14" i="22"/>
  <c r="M34" i="4"/>
  <c r="J35" i="4"/>
  <c r="M5" i="4"/>
  <c r="J4" i="4"/>
  <c r="M15" i="4"/>
  <c r="M4" i="4"/>
  <c r="M12" i="4"/>
  <c r="A25" i="22" l="1" a="1"/>
  <c r="A25" i="22" s="1"/>
  <c r="B25" i="22" a="1"/>
  <c r="B25" i="22" s="1"/>
  <c r="A16" i="22" a="1"/>
  <c r="A16" i="22" s="1"/>
  <c r="B16" i="22" a="1"/>
  <c r="B16" i="22" s="1"/>
  <c r="A22" i="22" a="1"/>
  <c r="A22" i="22" s="1"/>
  <c r="B22" i="22" a="1"/>
  <c r="B22" i="22" s="1"/>
  <c r="A14" i="22" a="1"/>
  <c r="A14" i="22" s="1"/>
  <c r="B14" i="22" a="1"/>
  <c r="B14" i="22" s="1"/>
  <c r="B4" i="22" a="1"/>
  <c r="B4" i="22" s="1"/>
  <c r="A13" i="22" a="1"/>
  <c r="A13" i="22" s="1"/>
  <c r="B13" i="22" a="1"/>
  <c r="B13" i="22" s="1"/>
  <c r="A31" i="22" a="1"/>
  <c r="A31" i="22" s="1"/>
  <c r="B31" i="22" a="1"/>
  <c r="B31" i="22" s="1"/>
  <c r="A29" i="22" a="1"/>
  <c r="A29" i="22" s="1"/>
  <c r="B29" i="22" a="1"/>
  <c r="B29" i="22" s="1"/>
  <c r="A11" i="22" a="1"/>
  <c r="A11" i="22" s="1"/>
  <c r="B11" i="22" a="1"/>
  <c r="B11" i="22" s="1"/>
  <c r="A24" i="22" a="1"/>
  <c r="A24" i="22" s="1"/>
  <c r="B24" i="22" a="1"/>
  <c r="B24" i="22" s="1"/>
  <c r="A38" i="4" a="1"/>
  <c r="A38" i="4" s="1"/>
  <c r="B38" i="4" a="1"/>
  <c r="B38" i="4" s="1"/>
  <c r="A10" i="4" a="1"/>
  <c r="A10" i="4" s="1"/>
  <c r="B10" i="4" a="1"/>
  <c r="B10" i="4" s="1"/>
  <c r="A18" i="4" a="1"/>
  <c r="A18" i="4" s="1"/>
  <c r="B18" i="4" a="1"/>
  <c r="B18" i="4" s="1"/>
  <c r="A12" i="4" a="1"/>
  <c r="A12" i="4" s="1"/>
  <c r="B12" i="4" a="1"/>
  <c r="B12" i="4" s="1"/>
  <c r="A36" i="4" a="1"/>
  <c r="A36" i="4" s="1"/>
  <c r="B36" i="4" a="1"/>
  <c r="B36" i="4" s="1"/>
  <c r="B4" i="4" a="1"/>
  <c r="B4" i="4" s="1"/>
  <c r="A15" i="4" a="1"/>
  <c r="A15" i="4" s="1"/>
  <c r="B15" i="4" a="1"/>
  <c r="B15" i="4" s="1"/>
  <c r="A11" i="4" a="1"/>
  <c r="A11" i="4" s="1"/>
  <c r="B11" i="4" a="1"/>
  <c r="B11" i="4" s="1"/>
  <c r="A35" i="4" a="1"/>
  <c r="A35" i="4" s="1"/>
  <c r="B35" i="4" a="1"/>
  <c r="B35" i="4" s="1"/>
  <c r="A24" i="4" a="1"/>
  <c r="A24" i="4" s="1"/>
  <c r="B24" i="4" a="1"/>
  <c r="B24" i="4" s="1"/>
  <c r="V25" i="22"/>
  <c r="J5" i="21"/>
  <c r="J14" i="21"/>
  <c r="B14" i="21" s="1" a="1"/>
  <c r="B14" i="21" s="1"/>
  <c r="J23" i="21"/>
  <c r="J30" i="19"/>
  <c r="J29" i="19"/>
  <c r="J7" i="19"/>
  <c r="B7" i="19" s="1" a="1"/>
  <c r="B7" i="19" s="1"/>
  <c r="J26" i="19"/>
  <c r="J17" i="27"/>
  <c r="J7" i="27"/>
  <c r="B7" i="27" s="1" a="1"/>
  <c r="B7" i="27" s="1"/>
  <c r="J6" i="27"/>
  <c r="B6" i="27" s="1" a="1"/>
  <c r="B6" i="27" s="1"/>
  <c r="J20" i="27"/>
  <c r="J4" i="27"/>
  <c r="J6" i="26"/>
  <c r="B6" i="26" s="1" a="1"/>
  <c r="B6" i="26" s="1"/>
  <c r="J11" i="26"/>
  <c r="J10" i="26"/>
  <c r="J14" i="26"/>
  <c r="J9" i="26"/>
  <c r="J12" i="26"/>
  <c r="B12" i="26" s="1" a="1"/>
  <c r="B12" i="26" s="1"/>
  <c r="V16" i="22"/>
  <c r="J10" i="22"/>
  <c r="J17" i="4"/>
  <c r="V4" i="22"/>
  <c r="V8" i="22"/>
  <c r="F5" i="4"/>
  <c r="F4" i="4"/>
  <c r="T6" i="27"/>
  <c r="U6" i="27" s="1"/>
  <c r="F35" i="4"/>
  <c r="F12" i="4"/>
  <c r="T14" i="26"/>
  <c r="F14" i="26" s="1"/>
  <c r="T9" i="26"/>
  <c r="F9" i="26" s="1"/>
  <c r="V24" i="4"/>
  <c r="F24" i="4" s="1"/>
  <c r="T26" i="19"/>
  <c r="F26" i="19" s="1"/>
  <c r="V31" i="22"/>
  <c r="X31" i="22" s="1"/>
  <c r="V38" i="4"/>
  <c r="X38" i="4" s="1"/>
  <c r="V17" i="27"/>
  <c r="U17" i="27"/>
  <c r="F17" i="27"/>
  <c r="T11" i="26"/>
  <c r="U11" i="26" s="1"/>
  <c r="T7" i="19"/>
  <c r="V7" i="19" s="1"/>
  <c r="V30" i="19"/>
  <c r="V17" i="4"/>
  <c r="F17" i="4" s="1"/>
  <c r="V11" i="4"/>
  <c r="F11" i="4" s="1"/>
  <c r="V18" i="4"/>
  <c r="F18" i="4" s="1"/>
  <c r="F30" i="19"/>
  <c r="V36" i="4"/>
  <c r="F36" i="4" s="1"/>
  <c r="V22" i="22"/>
  <c r="V10" i="22"/>
  <c r="T5" i="21"/>
  <c r="F5" i="21" s="1"/>
  <c r="T40" i="19"/>
  <c r="F40" i="19" s="1"/>
  <c r="V10" i="4"/>
  <c r="X10" i="4" s="1"/>
  <c r="T29" i="19"/>
  <c r="F29" i="19" s="1"/>
  <c r="T9" i="19"/>
  <c r="U9" i="19" s="1"/>
  <c r="T29" i="21"/>
  <c r="V29" i="21" s="1"/>
  <c r="T28" i="21"/>
  <c r="F28" i="21" s="1"/>
  <c r="T14" i="21"/>
  <c r="V14" i="21" s="1"/>
  <c r="T10" i="26"/>
  <c r="F10" i="26" s="1"/>
  <c r="V7" i="4"/>
  <c r="X7" i="4" s="1"/>
  <c r="V15" i="4"/>
  <c r="X15" i="4" s="1"/>
  <c r="X5" i="4"/>
  <c r="X35" i="4"/>
  <c r="W5" i="4"/>
  <c r="T23" i="21"/>
  <c r="T7" i="27"/>
  <c r="T13" i="27"/>
  <c r="T20" i="27"/>
  <c r="T4" i="27"/>
  <c r="T12" i="26"/>
  <c r="T6" i="26"/>
  <c r="F6" i="26" s="1"/>
  <c r="V12" i="22"/>
  <c r="V24" i="22"/>
  <c r="V29" i="22"/>
  <c r="V14" i="22"/>
  <c r="V34" i="4"/>
  <c r="F34" i="4" s="1"/>
  <c r="V9" i="4"/>
  <c r="F9" i="4" s="1"/>
  <c r="W35" i="4"/>
  <c r="T6" i="21"/>
  <c r="T8" i="27"/>
  <c r="V11" i="22"/>
  <c r="V13" i="22"/>
  <c r="W4" i="4"/>
  <c r="W12" i="4"/>
  <c r="F12" i="22" l="1"/>
  <c r="X12" i="22"/>
  <c r="F14" i="22"/>
  <c r="X14" i="22"/>
  <c r="W29" i="22"/>
  <c r="X29" i="22"/>
  <c r="F25" i="22"/>
  <c r="X25" i="22"/>
  <c r="F11" i="22"/>
  <c r="X11" i="22"/>
  <c r="W16" i="22"/>
  <c r="X16" i="22"/>
  <c r="F13" i="22"/>
  <c r="X13" i="22"/>
  <c r="F10" i="22"/>
  <c r="X10" i="22"/>
  <c r="W8" i="22"/>
  <c r="X8" i="22"/>
  <c r="F24" i="22"/>
  <c r="X24" i="22"/>
  <c r="F22" i="22"/>
  <c r="X22" i="22"/>
  <c r="F4" i="22"/>
  <c r="X4" i="22"/>
  <c r="B5" i="21" a="1"/>
  <c r="B5" i="21" s="1"/>
  <c r="A23" i="21" a="1"/>
  <c r="A23" i="21" s="1"/>
  <c r="B23" i="21" a="1"/>
  <c r="B23" i="21" s="1"/>
  <c r="A30" i="19" a="1"/>
  <c r="A30" i="19" s="1"/>
  <c r="B30" i="19" a="1"/>
  <c r="B30" i="19" s="1"/>
  <c r="B4" i="27" a="1"/>
  <c r="B4" i="27" s="1"/>
  <c r="A20" i="27" a="1"/>
  <c r="A20" i="27" s="1"/>
  <c r="B20" i="27" a="1"/>
  <c r="B20" i="27" s="1"/>
  <c r="A17" i="27" a="1"/>
  <c r="A17" i="27" s="1"/>
  <c r="B17" i="27" a="1"/>
  <c r="B17" i="27" s="1"/>
  <c r="A14" i="26" a="1"/>
  <c r="A14" i="26" s="1"/>
  <c r="B14" i="26" a="1"/>
  <c r="B14" i="26" s="1"/>
  <c r="W25" i="22"/>
  <c r="A10" i="22" a="1"/>
  <c r="A10" i="22" s="1"/>
  <c r="B10" i="22" a="1"/>
  <c r="B10" i="22" s="1"/>
  <c r="F8" i="22"/>
  <c r="A17" i="4" a="1"/>
  <c r="A17" i="4" s="1"/>
  <c r="B17" i="4" a="1"/>
  <c r="B17" i="4" s="1"/>
  <c r="F16" i="22"/>
  <c r="A14" i="21" a="1"/>
  <c r="A14" i="21" s="1"/>
  <c r="J6" i="21"/>
  <c r="J28" i="21"/>
  <c r="J29" i="21"/>
  <c r="J9" i="19"/>
  <c r="J40" i="19"/>
  <c r="J8" i="27"/>
  <c r="J13" i="27"/>
  <c r="W4" i="22"/>
  <c r="F6" i="27"/>
  <c r="V6" i="27"/>
  <c r="X24" i="4"/>
  <c r="W24" i="4"/>
  <c r="F29" i="22"/>
  <c r="F31" i="22"/>
  <c r="F10" i="4"/>
  <c r="F15" i="4"/>
  <c r="F7" i="4"/>
  <c r="F38" i="4"/>
  <c r="U14" i="26"/>
  <c r="V14" i="26"/>
  <c r="U9" i="26"/>
  <c r="V9" i="26"/>
  <c r="W31" i="22"/>
  <c r="V26" i="19"/>
  <c r="U26" i="19"/>
  <c r="X11" i="4"/>
  <c r="W38" i="4"/>
  <c r="V28" i="21"/>
  <c r="F7" i="19"/>
  <c r="U7" i="19"/>
  <c r="W11" i="4"/>
  <c r="F11" i="26"/>
  <c r="V11" i="26"/>
  <c r="V5" i="21"/>
  <c r="U5" i="21"/>
  <c r="W10" i="22"/>
  <c r="W17" i="4"/>
  <c r="X17" i="4"/>
  <c r="W18" i="4"/>
  <c r="X18" i="4"/>
  <c r="U40" i="19"/>
  <c r="V40" i="19"/>
  <c r="W36" i="4"/>
  <c r="X36" i="4"/>
  <c r="W15" i="4"/>
  <c r="W22" i="22"/>
  <c r="U29" i="21"/>
  <c r="F29" i="21"/>
  <c r="U28" i="21"/>
  <c r="V10" i="26"/>
  <c r="U10" i="26"/>
  <c r="W10" i="4"/>
  <c r="U29" i="19"/>
  <c r="V29" i="19"/>
  <c r="V9" i="19"/>
  <c r="F9" i="19"/>
  <c r="F14" i="21"/>
  <c r="W7" i="4"/>
  <c r="U14" i="21"/>
  <c r="W12" i="22"/>
  <c r="F6" i="21"/>
  <c r="U6" i="21"/>
  <c r="V6" i="21"/>
  <c r="F23" i="21"/>
  <c r="U23" i="21"/>
  <c r="V23" i="21"/>
  <c r="U7" i="27"/>
  <c r="V7" i="27"/>
  <c r="F7" i="27"/>
  <c r="U4" i="27"/>
  <c r="V4" i="27"/>
  <c r="F20" i="27"/>
  <c r="V20" i="27"/>
  <c r="U20" i="27"/>
  <c r="U8" i="27"/>
  <c r="V8" i="27"/>
  <c r="F13" i="27"/>
  <c r="U13" i="27"/>
  <c r="V13" i="27"/>
  <c r="U6" i="26"/>
  <c r="V6" i="26"/>
  <c r="V12" i="26"/>
  <c r="U12" i="26"/>
  <c r="W24" i="22"/>
  <c r="W34" i="4"/>
  <c r="X34" i="4"/>
  <c r="X9" i="4"/>
  <c r="W9" i="4"/>
  <c r="F4" i="27"/>
  <c r="F12" i="26"/>
  <c r="W14" i="22"/>
  <c r="F8" i="27"/>
  <c r="W13" i="22"/>
  <c r="W11" i="22"/>
  <c r="B6" i="22" l="1" a="1"/>
  <c r="B6" i="22" s="1"/>
  <c r="B20" i="22" a="1"/>
  <c r="B20" i="22" s="1"/>
  <c r="A20" i="22" a="1"/>
  <c r="A20" i="22" s="1"/>
  <c r="A12" i="22" a="1"/>
  <c r="A12" i="22" s="1"/>
  <c r="B12" i="22" a="1"/>
  <c r="B12" i="22" s="1"/>
  <c r="A5" i="22" a="1"/>
  <c r="A5" i="22" s="1"/>
  <c r="B5" i="22" a="1"/>
  <c r="B5" i="22" s="1"/>
  <c r="A29" i="21" a="1"/>
  <c r="A29" i="21" s="1"/>
  <c r="B29" i="21" a="1"/>
  <c r="B29" i="21" s="1"/>
  <c r="A28" i="21" a="1"/>
  <c r="A28" i="21" s="1"/>
  <c r="B28" i="21" a="1"/>
  <c r="B28" i="21" s="1"/>
  <c r="A40" i="19" a="1"/>
  <c r="A40" i="19" s="1"/>
  <c r="B40" i="19" a="1"/>
  <c r="B40" i="19" s="1"/>
  <c r="QZ9" i="27"/>
  <c r="QY9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E9" i="27"/>
  <c r="QD9" i="27"/>
  <c r="QB9" i="27"/>
  <c r="QA9" i="27"/>
  <c r="PZ9" i="27"/>
  <c r="PY9" i="27"/>
  <c r="DD9" i="27"/>
  <c r="DC9" i="27"/>
  <c r="DA9" i="27"/>
  <c r="CZ9" i="27"/>
  <c r="CY9" i="27"/>
  <c r="CX9" i="27"/>
  <c r="QZ12" i="27"/>
  <c r="QY12" i="27"/>
  <c r="QX12" i="27"/>
  <c r="QW12" i="27"/>
  <c r="QV12" i="27"/>
  <c r="QU12" i="27"/>
  <c r="QT12" i="27"/>
  <c r="QS12" i="27"/>
  <c r="QR12" i="27"/>
  <c r="QQ12" i="27"/>
  <c r="QP12" i="27"/>
  <c r="QO12" i="27"/>
  <c r="QN12" i="27"/>
  <c r="QM12" i="27"/>
  <c r="QL12" i="27"/>
  <c r="QK12" i="27"/>
  <c r="QJ12" i="27"/>
  <c r="QI12" i="27"/>
  <c r="QH12" i="27"/>
  <c r="QG12" i="27"/>
  <c r="QE12" i="27"/>
  <c r="QD12" i="27"/>
  <c r="QB12" i="27"/>
  <c r="QA12" i="27"/>
  <c r="PZ12" i="27"/>
  <c r="PY12" i="27"/>
  <c r="DD12" i="27"/>
  <c r="DC12" i="27"/>
  <c r="DA12" i="27"/>
  <c r="CZ12" i="27"/>
  <c r="CY12" i="27"/>
  <c r="CX12" i="27"/>
  <c r="QZ16" i="26"/>
  <c r="QY16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E16" i="26"/>
  <c r="QD16" i="26"/>
  <c r="QB16" i="26"/>
  <c r="QA16" i="26"/>
  <c r="PZ16" i="26"/>
  <c r="PY16" i="26"/>
  <c r="DD16" i="26"/>
  <c r="DC16" i="26"/>
  <c r="DA16" i="26"/>
  <c r="CZ16" i="26"/>
  <c r="CY16" i="26"/>
  <c r="CX16" i="26"/>
  <c r="QZ7" i="26"/>
  <c r="QY7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E7" i="26"/>
  <c r="QD7" i="26"/>
  <c r="QB7" i="26"/>
  <c r="QA7" i="26"/>
  <c r="PZ7" i="26"/>
  <c r="PY7" i="26"/>
  <c r="DD7" i="26"/>
  <c r="DC7" i="26"/>
  <c r="DA7" i="26"/>
  <c r="CZ7" i="26"/>
  <c r="CY7" i="26"/>
  <c r="CX7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6" i="26"/>
  <c r="DE7" i="26"/>
  <c r="H12" i="27"/>
  <c r="H9" i="27"/>
  <c r="QF12" i="27"/>
  <c r="QF9" i="27"/>
  <c r="QF5" i="26"/>
  <c r="QF7" i="26"/>
  <c r="QF16" i="26"/>
  <c r="I12" i="27"/>
  <c r="DE12" i="27"/>
  <c r="I9" i="27"/>
  <c r="DE9" i="27"/>
  <c r="H5" i="26"/>
  <c r="H7" i="26"/>
  <c r="H16" i="26"/>
  <c r="I5" i="26"/>
  <c r="I7" i="26"/>
  <c r="I16" i="26"/>
  <c r="QC7" i="26"/>
  <c r="QC9" i="27"/>
  <c r="RB5" i="26"/>
  <c r="P7" i="26"/>
  <c r="Q7" i="26" s="1"/>
  <c r="QC5" i="26"/>
  <c r="RB16" i="26"/>
  <c r="DB16" i="26"/>
  <c r="QC16" i="26"/>
  <c r="P9" i="27"/>
  <c r="Q9" i="27" s="1"/>
  <c r="R12" i="27"/>
  <c r="S12" i="27" s="1"/>
  <c r="RB9" i="27"/>
  <c r="RG9" i="27"/>
  <c r="R9" i="27"/>
  <c r="S9" i="27" s="1"/>
  <c r="RD9" i="27"/>
  <c r="P12" i="27"/>
  <c r="DG12" i="27" s="1"/>
  <c r="L12" i="27"/>
  <c r="M12" i="27" s="1"/>
  <c r="RC12" i="27"/>
  <c r="RD12" i="27"/>
  <c r="L9" i="27"/>
  <c r="M9" i="27" s="1"/>
  <c r="RE12" i="27"/>
  <c r="RG12" i="27"/>
  <c r="RD5" i="26"/>
  <c r="RD7" i="26"/>
  <c r="R5" i="26"/>
  <c r="S5" i="26" s="1"/>
  <c r="RD16" i="26"/>
  <c r="P16" i="26"/>
  <c r="DG16" i="26" s="1"/>
  <c r="RC5" i="26"/>
  <c r="R16" i="26"/>
  <c r="S16" i="26" s="1"/>
  <c r="RC16" i="26"/>
  <c r="RH16" i="26"/>
  <c r="RE16" i="26"/>
  <c r="RG16" i="26"/>
  <c r="R7" i="26"/>
  <c r="S7" i="26" s="1"/>
  <c r="RB7" i="26"/>
  <c r="RG7" i="26"/>
  <c r="P5" i="26"/>
  <c r="Q5" i="26" s="1"/>
  <c r="RE5" i="26"/>
  <c r="DB7" i="26"/>
  <c r="DB12" i="27"/>
  <c r="RC9" i="27"/>
  <c r="N9" i="27"/>
  <c r="RE9" i="27"/>
  <c r="DB9" i="27"/>
  <c r="N12" i="27"/>
  <c r="RH12" i="27"/>
  <c r="RB12" i="27"/>
  <c r="QC12" i="27"/>
  <c r="RH9" i="27"/>
  <c r="RC7" i="26"/>
  <c r="N5" i="26"/>
  <c r="L5" i="26"/>
  <c r="L7" i="26"/>
  <c r="DB5" i="26"/>
  <c r="L16" i="26"/>
  <c r="RH5" i="26"/>
  <c r="RG5" i="26"/>
  <c r="N7" i="26"/>
  <c r="RE7" i="26"/>
  <c r="RH7" i="26"/>
  <c r="N16" i="26"/>
  <c r="RI12" i="27" l="1"/>
  <c r="RI5" i="26"/>
  <c r="RI9" i="27"/>
  <c r="RI7" i="26"/>
  <c r="RI16" i="26"/>
  <c r="DG7" i="26"/>
  <c r="K7" i="26"/>
  <c r="Q12" i="27"/>
  <c r="RF5" i="26"/>
  <c r="Q16" i="26"/>
  <c r="DH5" i="26"/>
  <c r="DG9" i="27"/>
  <c r="DH9" i="27"/>
  <c r="RF12" i="27"/>
  <c r="DH12" i="27"/>
  <c r="K9" i="27"/>
  <c r="K12" i="27"/>
  <c r="RF16" i="26"/>
  <c r="DG5" i="26"/>
  <c r="DH7" i="26"/>
  <c r="K5" i="26"/>
  <c r="DH16" i="26"/>
  <c r="DF9" i="27"/>
  <c r="O9" i="27"/>
  <c r="RF9" i="27"/>
  <c r="DF12" i="27"/>
  <c r="O12" i="27"/>
  <c r="O16" i="26"/>
  <c r="DF16" i="26"/>
  <c r="O7" i="26"/>
  <c r="DF7" i="26"/>
  <c r="M7" i="26"/>
  <c r="RF7" i="26"/>
  <c r="M16" i="26"/>
  <c r="DF5" i="26"/>
  <c r="O5" i="26"/>
  <c r="K16" i="26"/>
  <c r="M5" i="26"/>
  <c r="J12" i="27" l="1"/>
  <c r="J9" i="27"/>
  <c r="T12" i="27"/>
  <c r="T9" i="27"/>
  <c r="T5" i="26"/>
  <c r="F5" i="26" s="1"/>
  <c r="T7" i="26"/>
  <c r="T16" i="26"/>
  <c r="J7" i="26" l="1"/>
  <c r="B7" i="26" s="1" a="1"/>
  <c r="B7" i="26" s="1"/>
  <c r="J5" i="26"/>
  <c r="J16" i="26"/>
  <c r="F12" i="27"/>
  <c r="U12" i="27"/>
  <c r="V12" i="27"/>
  <c r="F9" i="27"/>
  <c r="B9" i="27" s="1" a="1"/>
  <c r="B9" i="27" s="1"/>
  <c r="U9" i="27"/>
  <c r="V9" i="27"/>
  <c r="U16" i="26"/>
  <c r="V16" i="26"/>
  <c r="F7" i="26"/>
  <c r="U7" i="26"/>
  <c r="V7" i="26"/>
  <c r="U5" i="26"/>
  <c r="V5" i="26"/>
  <c r="F16" i="26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B13" i="27" l="1" a="1"/>
  <c r="B13" i="27" s="1"/>
  <c r="A13" i="27" a="1"/>
  <c r="A13" i="27" s="1"/>
  <c r="B14" i="27" a="1"/>
  <c r="B14" i="27" s="1"/>
  <c r="A14" i="27" a="1"/>
  <c r="A14" i="27" s="1"/>
  <c r="A13" i="26" a="1"/>
  <c r="A13" i="26" s="1"/>
  <c r="B13" i="26" a="1"/>
  <c r="B13" i="26" s="1"/>
  <c r="B11" i="27" a="1"/>
  <c r="B11" i="27" s="1"/>
  <c r="A11" i="27" a="1"/>
  <c r="A11" i="27" s="1"/>
  <c r="B8" i="27" a="1"/>
  <c r="B8" i="27" s="1"/>
  <c r="B10" i="27" a="1"/>
  <c r="B10" i="27" s="1"/>
  <c r="B12" i="27" a="1"/>
  <c r="B12" i="27" s="1"/>
  <c r="A16" i="26" a="1"/>
  <c r="A16" i="26" s="1"/>
  <c r="B16" i="26" a="1"/>
  <c r="B16" i="26" s="1"/>
  <c r="B5" i="26" a="1"/>
  <c r="B5" i="26" s="1"/>
  <c r="B10" i="26" a="1"/>
  <c r="B10" i="26" s="1"/>
  <c r="B11" i="26" a="1"/>
  <c r="B11" i="26" s="1"/>
  <c r="B9" i="26" a="1"/>
  <c r="B9" i="26" s="1"/>
  <c r="QF22" i="21"/>
  <c r="QF17" i="19"/>
  <c r="DE22" i="21"/>
  <c r="DE17" i="19"/>
  <c r="A8" i="27" a="1"/>
  <c r="A8" i="27" s="1"/>
  <c r="A12" i="27" a="1"/>
  <c r="A12" i="27" s="1"/>
  <c r="I22" i="21"/>
  <c r="H22" i="21"/>
  <c r="I17" i="19"/>
  <c r="H17" i="19"/>
  <c r="A6" i="27" a="1"/>
  <c r="A6" i="27" s="1"/>
  <c r="A10" i="27" a="1"/>
  <c r="A10" i="27" s="1"/>
  <c r="A4" i="27" a="1"/>
  <c r="A4" i="27" s="1"/>
  <c r="A5" i="27" a="1"/>
  <c r="A5" i="27" s="1"/>
  <c r="A9" i="27" a="1"/>
  <c r="A9" i="27" s="1"/>
  <c r="A7" i="27" a="1"/>
  <c r="A7" i="27" s="1"/>
  <c r="A7" i="26" a="1"/>
  <c r="A7" i="26" s="1"/>
  <c r="A5" i="26" a="1"/>
  <c r="A5" i="26" s="1"/>
  <c r="A8" i="26" a="1"/>
  <c r="A8" i="26" s="1"/>
  <c r="A4" i="26" a="1"/>
  <c r="A4" i="26" s="1"/>
  <c r="A10" i="26" a="1"/>
  <c r="A10" i="26" s="1"/>
  <c r="A6" i="26" a="1"/>
  <c r="A6" i="26" s="1"/>
  <c r="A9" i="26" a="1"/>
  <c r="A9" i="26" s="1"/>
  <c r="A12" i="26" a="1"/>
  <c r="A12" i="26" s="1"/>
  <c r="A11" i="26" a="1"/>
  <c r="A11" i="26" s="1"/>
  <c r="RG22" i="21"/>
  <c r="QC17" i="19"/>
  <c r="RB17" i="19"/>
  <c r="R17" i="19"/>
  <c r="P17" i="19"/>
  <c r="DG17" i="19" s="1"/>
  <c r="RG17" i="19"/>
  <c r="DB17" i="19"/>
  <c r="RD17" i="19"/>
  <c r="RH17" i="19"/>
  <c r="RC17" i="19"/>
  <c r="N17" i="19"/>
  <c r="L17" i="19"/>
  <c r="RE17" i="19"/>
  <c r="R22" i="21"/>
  <c r="QC22" i="21"/>
  <c r="P22" i="21"/>
  <c r="DG22" i="21" s="1"/>
  <c r="RC22" i="21"/>
  <c r="RD22" i="21"/>
  <c r="RB22" i="21"/>
  <c r="RH22" i="21"/>
  <c r="N22" i="21"/>
  <c r="DB22" i="21"/>
  <c r="L22" i="21"/>
  <c r="RE22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7" i="19"/>
  <c r="RI22" i="21"/>
  <c r="S22" i="21"/>
  <c r="DH22" i="21"/>
  <c r="O22" i="21"/>
  <c r="DF22" i="21"/>
  <c r="O17" i="19"/>
  <c r="DF17" i="19"/>
  <c r="S17" i="19"/>
  <c r="DH17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2" i="21"/>
  <c r="Q17" i="19"/>
  <c r="K17" i="19"/>
  <c r="RF17" i="19"/>
  <c r="M17" i="19"/>
  <c r="RF22" i="21"/>
  <c r="K22" i="21"/>
  <c r="M22" i="21"/>
  <c r="J17" i="19" l="1"/>
  <c r="T17" i="19"/>
  <c r="T22" i="21"/>
  <c r="J22" i="21" l="1"/>
  <c r="F22" i="21"/>
  <c r="U22" i="21"/>
  <c r="V22" i="21"/>
  <c r="V17" i="19"/>
  <c r="U17" i="19"/>
  <c r="F17" i="19"/>
  <c r="A22" i="21" l="1" a="1"/>
  <c r="A22" i="21" s="1"/>
  <c r="B22" i="21" a="1"/>
  <c r="B22" i="21" s="1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QF27" i="19" l="1"/>
  <c r="QF12" i="19"/>
  <c r="QF14" i="19"/>
  <c r="DE27" i="19"/>
  <c r="DE12" i="19"/>
  <c r="DE14" i="19"/>
  <c r="I27" i="19"/>
  <c r="I12" i="19"/>
  <c r="I14" i="19"/>
  <c r="H27" i="19"/>
  <c r="H12" i="19"/>
  <c r="H14" i="19"/>
  <c r="RG14" i="19"/>
  <c r="RB14" i="19"/>
  <c r="R14" i="19"/>
  <c r="QC14" i="19"/>
  <c r="DB14" i="19"/>
  <c r="P14" i="19"/>
  <c r="DG14" i="19" s="1"/>
  <c r="RD14" i="19"/>
  <c r="RC14" i="19"/>
  <c r="RH14" i="19"/>
  <c r="N14" i="19"/>
  <c r="L14" i="19"/>
  <c r="RE14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DF12" i="19" s="1"/>
  <c r="L12" i="19"/>
  <c r="M12" i="19" s="1"/>
  <c r="RE12" i="19"/>
  <c r="RG27" i="19"/>
  <c r="QC27" i="19"/>
  <c r="RC27" i="19"/>
  <c r="P27" i="19"/>
  <c r="DG27" i="19" s="1"/>
  <c r="DB27" i="19"/>
  <c r="RB27" i="19"/>
  <c r="R27" i="19"/>
  <c r="DH27" i="19" s="1"/>
  <c r="RD27" i="19"/>
  <c r="RH27" i="19"/>
  <c r="N27" i="19"/>
  <c r="DF27" i="19" s="1"/>
  <c r="L27" i="19"/>
  <c r="RE27" i="19"/>
  <c r="RI14" i="19" l="1"/>
  <c r="RI27" i="19"/>
  <c r="RI12" i="19"/>
  <c r="S14" i="19"/>
  <c r="DH14" i="19"/>
  <c r="O14" i="19"/>
  <c r="DF14" i="19"/>
  <c r="Q14" i="19"/>
  <c r="Q27" i="19"/>
  <c r="T27" i="19"/>
  <c r="Q12" i="19"/>
  <c r="T12" i="19"/>
  <c r="K14" i="19"/>
  <c r="S12" i="19"/>
  <c r="RF27" i="19"/>
  <c r="RF14" i="19"/>
  <c r="M14" i="19"/>
  <c r="S27" i="19"/>
  <c r="K12" i="19"/>
  <c r="RF12" i="19"/>
  <c r="O12" i="19"/>
  <c r="K27" i="19"/>
  <c r="O27" i="19"/>
  <c r="M27" i="19"/>
  <c r="J27" i="19" l="1"/>
  <c r="U27" i="19"/>
  <c r="V27" i="19"/>
  <c r="V12" i="19"/>
  <c r="U12" i="19"/>
  <c r="T14" i="19"/>
  <c r="F12" i="19"/>
  <c r="F27" i="19"/>
  <c r="J12" i="19" l="1"/>
  <c r="J14" i="19"/>
  <c r="V14" i="19"/>
  <c r="U14" i="19"/>
  <c r="F14" i="19"/>
  <c r="CX13" i="21" l="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QF13" i="21" l="1"/>
  <c r="DE13" i="21"/>
  <c r="I13" i="21"/>
  <c r="H13" i="21"/>
  <c r="R13" i="21"/>
  <c r="DH13" i="21" s="1"/>
  <c r="RG13" i="21"/>
  <c r="RB13" i="21"/>
  <c r="QC13" i="21"/>
  <c r="DB13" i="21"/>
  <c r="RD13" i="21"/>
  <c r="RC13" i="21"/>
  <c r="P13" i="21"/>
  <c r="DG13" i="21" s="1"/>
  <c r="RH13" i="21"/>
  <c r="N13" i="21"/>
  <c r="L13" i="21"/>
  <c r="RE13" i="21"/>
  <c r="RI13" i="21" l="1"/>
  <c r="O13" i="21"/>
  <c r="DF13" i="21"/>
  <c r="M13" i="21"/>
  <c r="Q13" i="21"/>
  <c r="K13" i="21"/>
  <c r="S13" i="21"/>
  <c r="RF13" i="21"/>
  <c r="T13" i="21" l="1"/>
  <c r="J13" i="21" l="1"/>
  <c r="U13" i="21"/>
  <c r="V13" i="21"/>
  <c r="F13" i="21"/>
  <c r="A13" i="21" l="1" a="1"/>
  <c r="A13" i="21" s="1"/>
  <c r="B13" i="21" a="1"/>
  <c r="B13" i="21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7" i="22" a="1"/>
  <c r="B7" i="22" s="1"/>
  <c r="B19" i="22" a="1"/>
  <c r="B19" i="22" s="1"/>
  <c r="B8" i="22" a="1"/>
  <c r="B8" i="22" s="1"/>
  <c r="A19" i="22" a="1"/>
  <c r="A19" i="22" s="1"/>
  <c r="A6" i="22" a="1"/>
  <c r="A6" i="22" s="1"/>
  <c r="A7" i="22" a="1"/>
  <c r="A7" i="22" s="1"/>
  <c r="A8" i="22" a="1"/>
  <c r="A8" i="22" s="1"/>
  <c r="J31" i="19"/>
  <c r="U31" i="19"/>
  <c r="V31" i="19"/>
  <c r="F31" i="19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QF39" i="19"/>
  <c r="DE39" i="19"/>
  <c r="H39" i="19"/>
  <c r="I39" i="19"/>
  <c r="QC39" i="19"/>
  <c r="P39" i="19"/>
  <c r="DG39" i="19" s="1"/>
  <c r="RG39" i="19"/>
  <c r="DB39" i="19"/>
  <c r="N39" i="19"/>
  <c r="DF39" i="19" s="1"/>
  <c r="RH39" i="19"/>
  <c r="RD39" i="19"/>
  <c r="RC39" i="19"/>
  <c r="RB39" i="19"/>
  <c r="R39" i="19"/>
  <c r="DH39" i="19" s="1"/>
  <c r="L39" i="19"/>
  <c r="M39" i="19" s="1"/>
  <c r="RE39" i="19"/>
  <c r="RI39" i="19" l="1"/>
  <c r="Q39" i="19"/>
  <c r="G6" i="11"/>
  <c r="F6" i="11"/>
  <c r="G7" i="11"/>
  <c r="F7" i="11"/>
  <c r="G8" i="11"/>
  <c r="F8" i="11"/>
  <c r="G9" i="11"/>
  <c r="F9" i="11"/>
  <c r="O39" i="19"/>
  <c r="S39" i="19"/>
  <c r="K39" i="19"/>
  <c r="RF39" i="19"/>
  <c r="T39" i="19" l="1"/>
  <c r="J39" i="19" l="1"/>
  <c r="U39" i="19"/>
  <c r="V39" i="19"/>
  <c r="F39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A39" i="19" l="1" a="1"/>
  <c r="A39" i="19" s="1"/>
  <c r="B39" i="19" a="1"/>
  <c r="B39" i="19" s="1"/>
  <c r="I28" i="4"/>
  <c r="H28" i="4"/>
  <c r="T28" i="4"/>
  <c r="U28" i="4" s="1"/>
  <c r="P28" i="4"/>
  <c r="R28" i="4"/>
  <c r="S28" i="4" s="1"/>
  <c r="SN28" i="4"/>
  <c r="SU28" i="4" s="1"/>
  <c r="CW28" i="4"/>
  <c r="DA28" i="4" s="1"/>
  <c r="TQ28" i="4"/>
  <c r="TU28" i="4"/>
  <c r="N28" i="4"/>
  <c r="L28" i="4"/>
  <c r="K28" i="4"/>
  <c r="TN28" i="4"/>
  <c r="DB28" i="4" l="1"/>
  <c r="DC28" i="4"/>
  <c r="Q28" i="4"/>
  <c r="O28" i="4"/>
  <c r="TR28" i="4"/>
  <c r="TV28" i="4" s="1"/>
  <c r="M28" i="4"/>
  <c r="J28" i="4" l="1"/>
  <c r="V28" i="4"/>
  <c r="X28" i="4" s="1"/>
  <c r="A28" i="4" l="1" a="1"/>
  <c r="A28" i="4" s="1"/>
  <c r="B28" i="4" a="1"/>
  <c r="B28" i="4" s="1"/>
  <c r="F28" i="4"/>
  <c r="W28" i="4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DD10" i="21"/>
  <c r="DC10" i="21"/>
  <c r="DA10" i="21"/>
  <c r="CZ10" i="21"/>
  <c r="CY10" i="21"/>
  <c r="CX10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DD16" i="21"/>
  <c r="DC16" i="21"/>
  <c r="DA16" i="21"/>
  <c r="CZ16" i="21"/>
  <c r="CY16" i="21"/>
  <c r="CX16" i="21"/>
  <c r="QZ26" i="21"/>
  <c r="QY26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E26" i="21"/>
  <c r="QD26" i="21"/>
  <c r="QB26" i="21"/>
  <c r="QA26" i="21"/>
  <c r="PZ26" i="21"/>
  <c r="PY26" i="21"/>
  <c r="DD26" i="21"/>
  <c r="DC26" i="21"/>
  <c r="DA26" i="21"/>
  <c r="CZ26" i="21"/>
  <c r="CY26" i="21"/>
  <c r="CX26" i="21"/>
  <c r="QB25" i="19"/>
  <c r="QB28" i="19"/>
  <c r="QB13" i="19"/>
  <c r="QB38" i="19"/>
  <c r="QB5" i="19"/>
  <c r="QB11" i="19"/>
  <c r="QB4" i="19"/>
  <c r="QB6" i="19"/>
  <c r="DA25" i="19"/>
  <c r="DA28" i="19"/>
  <c r="DA13" i="19"/>
  <c r="DA38" i="19"/>
  <c r="DA5" i="19"/>
  <c r="DA11" i="19"/>
  <c r="DA4" i="19"/>
  <c r="DA6" i="19"/>
  <c r="QA4" i="19"/>
  <c r="QA11" i="19"/>
  <c r="QA5" i="19"/>
  <c r="QA38" i="19"/>
  <c r="QA13" i="19"/>
  <c r="QA28" i="19"/>
  <c r="QA25" i="19"/>
  <c r="QA6" i="19"/>
  <c r="CZ6" i="19"/>
  <c r="CZ4" i="19"/>
  <c r="CZ11" i="19"/>
  <c r="CZ5" i="19"/>
  <c r="CZ38" i="19"/>
  <c r="CZ13" i="19"/>
  <c r="CZ28" i="19"/>
  <c r="CZ25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13" i="19"/>
  <c r="CY13" i="19"/>
  <c r="DC13" i="19"/>
  <c r="DD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11" i="19"/>
  <c r="QY11" i="19"/>
  <c r="QX11" i="19"/>
  <c r="QW11" i="19"/>
  <c r="QV11" i="19"/>
  <c r="QU11" i="19"/>
  <c r="QT11" i="19"/>
  <c r="QS11" i="19"/>
  <c r="QR11" i="19"/>
  <c r="QQ11" i="19"/>
  <c r="QP11" i="19"/>
  <c r="QO11" i="19"/>
  <c r="QN11" i="19"/>
  <c r="QM11" i="19"/>
  <c r="QL11" i="19"/>
  <c r="QK11" i="19"/>
  <c r="QJ11" i="19"/>
  <c r="QI11" i="19"/>
  <c r="QH11" i="19"/>
  <c r="QG11" i="19"/>
  <c r="QE11" i="19"/>
  <c r="QD11" i="19"/>
  <c r="PZ11" i="19"/>
  <c r="PY11" i="19"/>
  <c r="DD11" i="19"/>
  <c r="DC11" i="19"/>
  <c r="CY11" i="19"/>
  <c r="CX11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5" i="19" l="1"/>
  <c r="QF28" i="19"/>
  <c r="QF4" i="19"/>
  <c r="QF6" i="19"/>
  <c r="DE38" i="19"/>
  <c r="DE4" i="19"/>
  <c r="QF25" i="19"/>
  <c r="QF38" i="19"/>
  <c r="QF26" i="21"/>
  <c r="QF16" i="21"/>
  <c r="QF10" i="21"/>
  <c r="QF11" i="19"/>
  <c r="DE5" i="19"/>
  <c r="QF13" i="19"/>
  <c r="QF5" i="19"/>
  <c r="DE26" i="21"/>
  <c r="DE16" i="21"/>
  <c r="DE10" i="21"/>
  <c r="I6" i="19"/>
  <c r="DE6" i="19"/>
  <c r="I28" i="19"/>
  <c r="DE28" i="19"/>
  <c r="DE13" i="19"/>
  <c r="DE11" i="19"/>
  <c r="I13" i="19"/>
  <c r="I5" i="19"/>
  <c r="H4" i="19"/>
  <c r="H26" i="21"/>
  <c r="H16" i="21"/>
  <c r="H10" i="21"/>
  <c r="I26" i="21"/>
  <c r="I16" i="21"/>
  <c r="I10" i="21"/>
  <c r="I4" i="19"/>
  <c r="H28" i="19"/>
  <c r="H13" i="19"/>
  <c r="H5" i="19"/>
  <c r="I25" i="19"/>
  <c r="I38" i="19"/>
  <c r="H25" i="19"/>
  <c r="H38" i="19"/>
  <c r="H11" i="19"/>
  <c r="H6" i="19"/>
  <c r="I11" i="19"/>
  <c r="DB5" i="19"/>
  <c r="DB13" i="19"/>
  <c r="QC13" i="19"/>
  <c r="QC25" i="19"/>
  <c r="DB28" i="19"/>
  <c r="DB4" i="19"/>
  <c r="QC4" i="19"/>
  <c r="QC11" i="19"/>
  <c r="QC38" i="19"/>
  <c r="QC6" i="19"/>
  <c r="DB38" i="19"/>
  <c r="R10" i="21"/>
  <c r="DH10" i="21" s="1"/>
  <c r="QC28" i="19"/>
  <c r="DB10" i="21"/>
  <c r="QC10" i="21"/>
  <c r="RE16" i="21"/>
  <c r="N10" i="21"/>
  <c r="DF10" i="21" s="1"/>
  <c r="R16" i="21"/>
  <c r="DH16" i="21" s="1"/>
  <c r="DB25" i="19"/>
  <c r="DB11" i="19"/>
  <c r="QC5" i="19"/>
  <c r="R26" i="21"/>
  <c r="DH26" i="21" s="1"/>
  <c r="DB26" i="21"/>
  <c r="RE10" i="21"/>
  <c r="RG16" i="21"/>
  <c r="RC16" i="21"/>
  <c r="RD16" i="21"/>
  <c r="RH16" i="21"/>
  <c r="RH10" i="21"/>
  <c r="P10" i="21"/>
  <c r="DG10" i="21" s="1"/>
  <c r="RB10" i="21"/>
  <c r="RG10" i="21"/>
  <c r="N26" i="21"/>
  <c r="DF26" i="21" s="1"/>
  <c r="RE26" i="21"/>
  <c r="RG26" i="21"/>
  <c r="DB16" i="21"/>
  <c r="P26" i="21"/>
  <c r="DG26" i="21" s="1"/>
  <c r="RD26" i="21"/>
  <c r="RD10" i="21"/>
  <c r="RH26" i="21"/>
  <c r="RE6" i="19"/>
  <c r="RE5" i="19"/>
  <c r="RE38" i="19"/>
  <c r="RE13" i="19"/>
  <c r="RE4" i="19"/>
  <c r="RE25" i="19"/>
  <c r="RE28" i="19"/>
  <c r="RE11" i="19"/>
  <c r="DB6" i="19"/>
  <c r="RC26" i="21"/>
  <c r="L26" i="21"/>
  <c r="L16" i="21"/>
  <c r="N16" i="21"/>
  <c r="DF16" i="21" s="1"/>
  <c r="RC10" i="21"/>
  <c r="QC26" i="21"/>
  <c r="RB26" i="21"/>
  <c r="QC16" i="21"/>
  <c r="RB16" i="21"/>
  <c r="L10" i="21"/>
  <c r="P16" i="21"/>
  <c r="DG16" i="21" s="1"/>
  <c r="L6" i="19"/>
  <c r="P25" i="19"/>
  <c r="DG25" i="19" s="1"/>
  <c r="P6" i="19"/>
  <c r="DG6" i="19" s="1"/>
  <c r="P28" i="19"/>
  <c r="DG28" i="19" s="1"/>
  <c r="P11" i="19"/>
  <c r="DG11" i="19" s="1"/>
  <c r="P4" i="19"/>
  <c r="DG4" i="19" s="1"/>
  <c r="P38" i="19"/>
  <c r="DG38" i="19" s="1"/>
  <c r="P13" i="19"/>
  <c r="DG13" i="19" s="1"/>
  <c r="P5" i="19"/>
  <c r="DG5" i="19" s="1"/>
  <c r="RG28" i="19"/>
  <c r="RD28" i="19"/>
  <c r="L25" i="19"/>
  <c r="M25" i="19" s="1"/>
  <c r="RB28" i="19"/>
  <c r="R38" i="19"/>
  <c r="DH38" i="19" s="1"/>
  <c r="RG25" i="19"/>
  <c r="R28" i="19"/>
  <c r="DH28" i="19" s="1"/>
  <c r="RD38" i="19"/>
  <c r="RC38" i="19"/>
  <c r="RG38" i="19"/>
  <c r="RB38" i="19"/>
  <c r="RC28" i="19"/>
  <c r="R13" i="19"/>
  <c r="DH13" i="19" s="1"/>
  <c r="RH25" i="19"/>
  <c r="RD25" i="19"/>
  <c r="RC25" i="19"/>
  <c r="RH28" i="19"/>
  <c r="L28" i="19"/>
  <c r="R25" i="19"/>
  <c r="DH25" i="19" s="1"/>
  <c r="RB25" i="19"/>
  <c r="RD13" i="19"/>
  <c r="RC13" i="19"/>
  <c r="N38" i="19"/>
  <c r="DF38" i="19" s="1"/>
  <c r="RG13" i="19"/>
  <c r="RB13" i="19"/>
  <c r="N13" i="19"/>
  <c r="DF13" i="19" s="1"/>
  <c r="L38" i="19"/>
  <c r="L13" i="19"/>
  <c r="RH38" i="19"/>
  <c r="RH13" i="19"/>
  <c r="N28" i="19"/>
  <c r="DF28" i="19" s="1"/>
  <c r="N25" i="19"/>
  <c r="DF25" i="19" s="1"/>
  <c r="RH5" i="19"/>
  <c r="RG5" i="19"/>
  <c r="R11" i="19"/>
  <c r="DH11" i="19" s="1"/>
  <c r="RB4" i="19"/>
  <c r="RG6" i="19"/>
  <c r="N6" i="19"/>
  <c r="DF6" i="19" s="1"/>
  <c r="RB11" i="19"/>
  <c r="R4" i="19"/>
  <c r="DH4" i="19" s="1"/>
  <c r="RH4" i="19"/>
  <c r="R6" i="19"/>
  <c r="DH6" i="19" s="1"/>
  <c r="L4" i="19"/>
  <c r="RC11" i="19"/>
  <c r="RH6" i="19"/>
  <c r="RH11" i="19"/>
  <c r="N5" i="19"/>
  <c r="DF5" i="19" s="1"/>
  <c r="RC4" i="19"/>
  <c r="RD4" i="19"/>
  <c r="RG11" i="19"/>
  <c r="R5" i="19"/>
  <c r="DH5" i="19" s="1"/>
  <c r="RB6" i="19"/>
  <c r="L5" i="19"/>
  <c r="RB5" i="19"/>
  <c r="RC6" i="19"/>
  <c r="RD6" i="19"/>
  <c r="L11" i="19"/>
  <c r="RC5" i="19"/>
  <c r="RD5" i="19"/>
  <c r="RD11" i="19"/>
  <c r="RG4" i="19"/>
  <c r="N11" i="19"/>
  <c r="DF11" i="19" s="1"/>
  <c r="N4" i="19"/>
  <c r="DF4" i="19" s="1"/>
  <c r="RI5" i="19" l="1"/>
  <c r="RI28" i="19"/>
  <c r="RI4" i="19"/>
  <c r="RI10" i="21"/>
  <c r="RI16" i="21"/>
  <c r="RI26" i="21"/>
  <c r="RI6" i="19"/>
  <c r="RI13" i="19"/>
  <c r="RI25" i="19"/>
  <c r="RI38" i="19"/>
  <c r="RI11" i="19"/>
  <c r="Q16" i="21"/>
  <c r="Q10" i="21"/>
  <c r="M26" i="21"/>
  <c r="Q26" i="21"/>
  <c r="Q5" i="19"/>
  <c r="Q13" i="19"/>
  <c r="T13" i="19"/>
  <c r="Q6" i="19"/>
  <c r="Q25" i="19"/>
  <c r="Q38" i="19"/>
  <c r="Q4" i="19"/>
  <c r="Q11" i="19"/>
  <c r="Q28" i="19"/>
  <c r="S26" i="21"/>
  <c r="S10" i="21"/>
  <c r="T16" i="21"/>
  <c r="T26" i="21"/>
  <c r="S4" i="19"/>
  <c r="S11" i="19"/>
  <c r="S38" i="19"/>
  <c r="O6" i="19"/>
  <c r="O5" i="19"/>
  <c r="O38" i="19"/>
  <c r="S28" i="19"/>
  <c r="S25" i="19"/>
  <c r="S5" i="19"/>
  <c r="O10" i="21"/>
  <c r="O26" i="21"/>
  <c r="RF26" i="21"/>
  <c r="RF16" i="21"/>
  <c r="K38" i="19"/>
  <c r="K10" i="21"/>
  <c r="K25" i="19"/>
  <c r="K28" i="19"/>
  <c r="K4" i="19"/>
  <c r="K13" i="19"/>
  <c r="RF25" i="19"/>
  <c r="RF5" i="19"/>
  <c r="S16" i="21"/>
  <c r="M16" i="21"/>
  <c r="M4" i="19"/>
  <c r="M5" i="19"/>
  <c r="M11" i="19"/>
  <c r="M28" i="19"/>
  <c r="O16" i="21"/>
  <c r="RF13" i="19"/>
  <c r="K11" i="19"/>
  <c r="K5" i="19"/>
  <c r="K26" i="21"/>
  <c r="K16" i="21"/>
  <c r="RF38" i="19"/>
  <c r="RF4" i="19"/>
  <c r="RF11" i="19"/>
  <c r="K6" i="19"/>
  <c r="RF6" i="19"/>
  <c r="RF28" i="19"/>
  <c r="RF10" i="21"/>
  <c r="M10" i="21"/>
  <c r="S13" i="19"/>
  <c r="O25" i="19"/>
  <c r="O13" i="19"/>
  <c r="O28" i="19"/>
  <c r="M13" i="19"/>
  <c r="M38" i="19"/>
  <c r="S6" i="19"/>
  <c r="O11" i="19"/>
  <c r="O4" i="19"/>
  <c r="M6" i="19"/>
  <c r="J38" i="19" l="1"/>
  <c r="J4" i="19"/>
  <c r="J25" i="19"/>
  <c r="U26" i="21"/>
  <c r="V26" i="21"/>
  <c r="U16" i="21"/>
  <c r="V16" i="21"/>
  <c r="U13" i="19"/>
  <c r="V13" i="19"/>
  <c r="F26" i="21"/>
  <c r="F16" i="21"/>
  <c r="T10" i="21"/>
  <c r="T6" i="19"/>
  <c r="T38" i="19"/>
  <c r="F13" i="19"/>
  <c r="T28" i="19"/>
  <c r="T25" i="19"/>
  <c r="T11" i="19"/>
  <c r="T4" i="19"/>
  <c r="T5" i="19"/>
  <c r="B4" i="19" l="1" a="1"/>
  <c r="B4" i="19" s="1"/>
  <c r="A38" i="19" a="1"/>
  <c r="A38" i="19" s="1"/>
  <c r="B38" i="19" a="1"/>
  <c r="B38" i="19" s="1"/>
  <c r="J10" i="21"/>
  <c r="J26" i="21"/>
  <c r="J16" i="21"/>
  <c r="J6" i="19"/>
  <c r="B6" i="19" s="1" a="1"/>
  <c r="B6" i="19" s="1"/>
  <c r="J11" i="19"/>
  <c r="J13" i="19"/>
  <c r="J5" i="19"/>
  <c r="B5" i="19" s="1" a="1"/>
  <c r="B5" i="19" s="1"/>
  <c r="J28" i="19"/>
  <c r="U10" i="21"/>
  <c r="V10" i="21"/>
  <c r="F5" i="19"/>
  <c r="U5" i="19"/>
  <c r="V5" i="19"/>
  <c r="U4" i="19"/>
  <c r="V4" i="19"/>
  <c r="U38" i="19"/>
  <c r="V38" i="19"/>
  <c r="U25" i="19"/>
  <c r="V25" i="19"/>
  <c r="U11" i="19"/>
  <c r="V11" i="19"/>
  <c r="F28" i="19"/>
  <c r="V28" i="19"/>
  <c r="U28" i="19"/>
  <c r="U6" i="19"/>
  <c r="V6" i="19"/>
  <c r="F10" i="21"/>
  <c r="F4" i="19"/>
  <c r="F6" i="19"/>
  <c r="F38" i="19"/>
  <c r="F11" i="19"/>
  <c r="F25" i="19"/>
  <c r="A22" i="19" l="1" a="1"/>
  <c r="A22" i="19" s="1"/>
  <c r="B22" i="19" a="1"/>
  <c r="B22" i="19" s="1"/>
  <c r="B6" i="21" a="1"/>
  <c r="B6" i="21" s="1"/>
  <c r="A4" i="21" a="1"/>
  <c r="A4" i="21" s="1"/>
  <c r="B4" i="21" a="1"/>
  <c r="B4" i="21" s="1"/>
  <c r="B8" i="19" a="1"/>
  <c r="B8" i="19" s="1"/>
  <c r="A8" i="19" a="1"/>
  <c r="A8" i="19" s="1"/>
  <c r="A10" i="19" a="1"/>
  <c r="A10" i="19" s="1"/>
  <c r="A15" i="19" a="1"/>
  <c r="A15" i="19" s="1"/>
  <c r="B21" i="19" a="1"/>
  <c r="B21" i="19" s="1"/>
  <c r="B10" i="19" a="1"/>
  <c r="B10" i="19" s="1"/>
  <c r="B15" i="19" a="1"/>
  <c r="B15" i="19" s="1"/>
  <c r="A20" i="19" a="1"/>
  <c r="A20" i="19" s="1"/>
  <c r="B20" i="19" a="1"/>
  <c r="B20" i="19" s="1"/>
  <c r="A21" i="19" a="1"/>
  <c r="A21" i="19" s="1"/>
  <c r="B24" i="19" a="1"/>
  <c r="B24" i="19" s="1"/>
  <c r="A24" i="19" a="1"/>
  <c r="A24" i="19" s="1"/>
  <c r="A16" i="21" a="1"/>
  <c r="A16" i="21" s="1"/>
  <c r="B16" i="21" a="1"/>
  <c r="B16" i="21" s="1"/>
  <c r="A26" i="21" a="1"/>
  <c r="A26" i="21" s="1"/>
  <c r="B26" i="21" a="1"/>
  <c r="B26" i="21" s="1"/>
  <c r="B10" i="21" a="1"/>
  <c r="B10" i="21" s="1"/>
  <c r="B7" i="21" a="1"/>
  <c r="B7" i="21" s="1"/>
  <c r="B9" i="21" a="1"/>
  <c r="B9" i="21" s="1"/>
  <c r="B8" i="21" a="1"/>
  <c r="B8" i="21" s="1"/>
  <c r="B11" i="19" a="1"/>
  <c r="B11" i="19" s="1"/>
  <c r="B25" i="19" a="1"/>
  <c r="B25" i="19" s="1"/>
  <c r="B9" i="19" a="1"/>
  <c r="B9" i="19" s="1"/>
  <c r="B13" i="19" a="1"/>
  <c r="B13" i="19" s="1"/>
  <c r="B26" i="19" a="1"/>
  <c r="B26" i="19" s="1"/>
  <c r="B29" i="19" a="1"/>
  <c r="B29" i="19" s="1"/>
  <c r="B12" i="19" a="1"/>
  <c r="B12" i="19" s="1"/>
  <c r="B19" i="19" a="1"/>
  <c r="B19" i="19" s="1"/>
  <c r="B18" i="19" a="1"/>
  <c r="B18" i="19" s="1"/>
  <c r="B14" i="19" a="1"/>
  <c r="B14" i="19" s="1"/>
  <c r="B16" i="19" a="1"/>
  <c r="B16" i="19" s="1"/>
  <c r="B27" i="19" a="1"/>
  <c r="B27" i="19" s="1"/>
  <c r="B23" i="19" a="1"/>
  <c r="B23" i="19" s="1"/>
  <c r="B17" i="19" a="1"/>
  <c r="B17" i="19" s="1"/>
  <c r="B28" i="19" a="1"/>
  <c r="B28" i="19" s="1"/>
  <c r="A25" i="19" a="1"/>
  <c r="A25" i="19" s="1"/>
  <c r="A28" i="19" a="1"/>
  <c r="A28" i="19" s="1"/>
  <c r="A5" i="19" a="1"/>
  <c r="A5" i="19" s="1"/>
  <c r="A13" i="19" a="1"/>
  <c r="A13" i="19" s="1"/>
  <c r="A11" i="19" a="1"/>
  <c r="A11" i="19" s="1"/>
  <c r="A10" i="21" a="1"/>
  <c r="A10" i="21" s="1"/>
  <c r="A8" i="21" a="1"/>
  <c r="A8" i="21" s="1"/>
  <c r="A6" i="21" a="1"/>
  <c r="A6" i="21" s="1"/>
  <c r="A5" i="21" a="1"/>
  <c r="A5" i="21" s="1"/>
  <c r="A7" i="21" a="1"/>
  <c r="A7" i="21" s="1"/>
  <c r="A9" i="21" a="1"/>
  <c r="A9" i="21" s="1"/>
  <c r="A18" i="19" a="1"/>
  <c r="A18" i="19" s="1"/>
  <c r="A29" i="19" a="1"/>
  <c r="A29" i="19" s="1"/>
  <c r="A17" i="19" a="1"/>
  <c r="A17" i="19" s="1"/>
  <c r="A16" i="19" a="1"/>
  <c r="A16" i="19" s="1"/>
  <c r="A27" i="19" a="1"/>
  <c r="A27" i="19" s="1"/>
  <c r="A7" i="19" a="1"/>
  <c r="A7" i="19" s="1"/>
  <c r="A12" i="19" a="1"/>
  <c r="A12" i="19" s="1"/>
  <c r="A4" i="19" a="1"/>
  <c r="A4" i="19" s="1"/>
  <c r="A26" i="19" a="1"/>
  <c r="A26" i="19" s="1"/>
  <c r="A6" i="19" a="1"/>
  <c r="A6" i="19" s="1"/>
  <c r="A23" i="19" a="1"/>
  <c r="A23" i="19" s="1"/>
  <c r="A14" i="19" a="1"/>
  <c r="A14" i="19" s="1"/>
  <c r="A19" i="19" a="1"/>
  <c r="A19" i="19" s="1"/>
  <c r="A9" i="19" a="1"/>
  <c r="A9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39" i="4"/>
  <c r="SS39" i="4"/>
  <c r="SR39" i="4"/>
  <c r="SQ39" i="4"/>
  <c r="SP39" i="4"/>
  <c r="SO39" i="4"/>
  <c r="SM39" i="4"/>
  <c r="SL39" i="4"/>
  <c r="SK39" i="4"/>
  <c r="SJ39" i="4"/>
  <c r="SI39" i="4"/>
  <c r="SH39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CY13" i="4"/>
  <c r="CY14" i="4"/>
  <c r="CY39" i="4"/>
  <c r="CU13" i="4"/>
  <c r="CU14" i="4"/>
  <c r="CU39" i="4"/>
  <c r="CR13" i="4"/>
  <c r="CR14" i="4"/>
  <c r="CR39" i="4"/>
  <c r="CQ13" i="4"/>
  <c r="CQ14" i="4"/>
  <c r="CQ39" i="4"/>
  <c r="SN14" i="4" l="1"/>
  <c r="SU14" i="4" s="1"/>
  <c r="SN39" i="4"/>
  <c r="SU39" i="4" s="1"/>
  <c r="SN13" i="4"/>
  <c r="SU13" i="4" s="1"/>
  <c r="SZ13" i="4" l="1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S13" i="4"/>
  <c r="CT13" i="4"/>
  <c r="CV13" i="4"/>
  <c r="CX13" i="4"/>
  <c r="CZ13" i="4"/>
  <c r="CS14" i="4"/>
  <c r="CT14" i="4"/>
  <c r="CV14" i="4"/>
  <c r="CX14" i="4"/>
  <c r="CZ14" i="4"/>
  <c r="CS39" i="4"/>
  <c r="CT39" i="4"/>
  <c r="CV39" i="4"/>
  <c r="CX39" i="4"/>
  <c r="CZ39" i="4"/>
  <c r="I13" i="4" l="1"/>
  <c r="H13" i="4"/>
  <c r="I14" i="4"/>
  <c r="H14" i="4"/>
  <c r="I39" i="4"/>
  <c r="H39" i="4"/>
  <c r="T13" i="4"/>
  <c r="U13" i="4" s="1"/>
  <c r="T39" i="4"/>
  <c r="U39" i="4" s="1"/>
  <c r="T14" i="4"/>
  <c r="U14" i="4" s="1"/>
  <c r="P39" i="4"/>
  <c r="P13" i="4"/>
  <c r="P14" i="4"/>
  <c r="R14" i="4"/>
  <c r="S14" i="4" s="1"/>
  <c r="R39" i="4"/>
  <c r="S39" i="4" s="1"/>
  <c r="R13" i="4"/>
  <c r="S13" i="4" s="1"/>
  <c r="N13" i="4"/>
  <c r="L13" i="4"/>
  <c r="L39" i="4"/>
  <c r="N39" i="4"/>
  <c r="L14" i="4"/>
  <c r="N14" i="4"/>
  <c r="K13" i="4"/>
  <c r="K39" i="4"/>
  <c r="K14" i="4"/>
  <c r="TQ14" i="4"/>
  <c r="TQ39" i="4"/>
  <c r="TU14" i="4"/>
  <c r="TQ13" i="4"/>
  <c r="TU39" i="4"/>
  <c r="TU13" i="4"/>
  <c r="CW13" i="4"/>
  <c r="DA13" i="4" s="1"/>
  <c r="CW39" i="4"/>
  <c r="DA39" i="4" s="1"/>
  <c r="CW14" i="4"/>
  <c r="DA14" i="4" s="1"/>
  <c r="SW13" i="4"/>
  <c r="SX13" i="4"/>
  <c r="TL13" i="4" s="1"/>
  <c r="SY13" i="4"/>
  <c r="TM13" i="4" s="1"/>
  <c r="SW14" i="4"/>
  <c r="SX14" i="4"/>
  <c r="TL14" i="4" s="1"/>
  <c r="SY14" i="4"/>
  <c r="TM14" i="4" s="1"/>
  <c r="SW39" i="4"/>
  <c r="SX39" i="4"/>
  <c r="TL39" i="4" s="1"/>
  <c r="SY39" i="4"/>
  <c r="TM39" i="4" s="1"/>
  <c r="SV13" i="4"/>
  <c r="SV14" i="4"/>
  <c r="SV39" i="4"/>
  <c r="J14" i="4" l="1"/>
  <c r="J39" i="4"/>
  <c r="DB13" i="4"/>
  <c r="M14" i="4"/>
  <c r="M39" i="4"/>
  <c r="DB39" i="4"/>
  <c r="DB14" i="4"/>
  <c r="DC13" i="4"/>
  <c r="Q13" i="4"/>
  <c r="DC39" i="4"/>
  <c r="Q39" i="4"/>
  <c r="DC14" i="4"/>
  <c r="Q14" i="4"/>
  <c r="M13" i="4"/>
  <c r="J13" i="4"/>
  <c r="TN13" i="4"/>
  <c r="TR13" i="4" s="1"/>
  <c r="TV13" i="4" s="1"/>
  <c r="O13" i="4"/>
  <c r="TN14" i="4"/>
  <c r="TR14" i="4" s="1"/>
  <c r="TV14" i="4" s="1"/>
  <c r="O14" i="4"/>
  <c r="O39" i="4"/>
  <c r="TN39" i="4"/>
  <c r="TR39" i="4" s="1"/>
  <c r="TV39" i="4" s="1"/>
  <c r="A13" i="4" l="1" a="1"/>
  <c r="A13" i="4" s="1"/>
  <c r="B13" i="4" a="1"/>
  <c r="B13" i="4" s="1"/>
  <c r="A39" i="4" a="1"/>
  <c r="A39" i="4" s="1"/>
  <c r="B39" i="4" a="1"/>
  <c r="B39" i="4" s="1"/>
  <c r="A14" i="4" a="1"/>
  <c r="A14" i="4" s="1"/>
  <c r="B14" i="4" a="1"/>
  <c r="B14" i="4" s="1"/>
  <c r="V13" i="4"/>
  <c r="X13" i="4" s="1"/>
  <c r="V39" i="4"/>
  <c r="X39" i="4" s="1"/>
  <c r="V14" i="4"/>
  <c r="X14" i="4" s="1"/>
  <c r="W13" i="4" l="1"/>
  <c r="F13" i="4"/>
  <c r="W39" i="4"/>
  <c r="F39" i="4"/>
  <c r="B8" i="4" s="1" a="1"/>
  <c r="B8" i="4" s="1"/>
  <c r="F14" i="4"/>
  <c r="A8" i="4" s="1" a="1"/>
  <c r="A8" i="4" s="1"/>
  <c r="W14" i="4"/>
  <c r="B6" i="4" l="1" a="1"/>
  <c r="B6" i="4" s="1"/>
  <c r="A4" i="4" a="1"/>
  <c r="A4" i="4" s="1"/>
  <c r="B5" i="4" a="1"/>
  <c r="B5" i="4" s="1"/>
  <c r="B7" i="4" a="1"/>
  <c r="B7" i="4" s="1"/>
  <c r="B9" i="4" a="1"/>
  <c r="B9" i="4" s="1"/>
  <c r="B34" i="4" a="1"/>
  <c r="B34" i="4" s="1"/>
  <c r="A5" i="4" a="1"/>
  <c r="A5" i="4" s="1"/>
  <c r="A6" i="4" a="1"/>
  <c r="A6" i="4" s="1"/>
  <c r="A7" i="4" a="1"/>
  <c r="A7" i="4" s="1"/>
  <c r="A9" i="4" a="1"/>
  <c r="A9" i="4" s="1"/>
  <c r="A34" i="4" a="1"/>
  <c r="A34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<sst xmlns="http://schemas.openxmlformats.org/spreadsheetml/2006/main" count="4158" uniqueCount="247">
  <si>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</si>
  <si>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</si>
  <si>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</si>
  <si>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</si>
  <si>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</si>
  <si>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</si>
  <si>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</si>
  <si>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</si>
  <si>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</si>
  <si>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</si>
  <si>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</si>
  <si>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</si>
  <si>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</si>
  <si>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</si>
  <si>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</si>
  <si>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</si>
  <si>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</si>
  <si>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</si>
  <si>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</si>
  <si>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</si>
  <si>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</si>
  <si>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</si>
  <si>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</si>
  <si>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</si>
  <si>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</si>
  <si>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</si>
  <si>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</si>
  <si>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</si>
  <si>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</si>
  <si>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</si>
  <si>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</si>
  <si>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</si>
  <si>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</si>
  <si>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</si>
  <si>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</si>
  <si>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</si>
  <si>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</si>
  <si>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</si>
  <si>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</si>
  <si>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</si>
  <si>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</si>
  <si>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</si>
  <si>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</si>
  <si>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</si>
  <si>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</si>
  <si>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</si>
  <si>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</si>
  <si>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</si>
  <si>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</si>
  <si>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</si>
  <si>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</si>
  <si>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</si>
  <si>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</si>
  <si>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</si>
  <si>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</si>
  <si>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</si>
  <si>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</si>
  <si>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</si>
  <si>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</si>
  <si>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</si>
  <si>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</si>
  <si>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</si>
  <si>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</si>
  <si>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</si>
  <si>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</si>
  <si>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</si>
  <si>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</si>
  <si>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</si>
  <si>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</si>
  <si>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LEVASSEUR, Nathan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</si>
  <si>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</si>
  <si>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</si>
  <si>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</si>
  <si>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</si>
  <si>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</si>
  <si>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</si>
  <si>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</si>
  <si>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</si>
  <si>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</si>
  <si>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</si>
  <si>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</si>
  <si>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</si>
  <si>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</si>
  <si>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</si>
  <si>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</si>
  <si>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</si>
  <si>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</si>
  <si>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</si>
  <si>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</si>
  <si>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</si>
  <si>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</si>
  <si>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</si>
  <si>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</si>
  <si>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</si>
  <si>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</si>
  <si>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</si>
  <si>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</si>
  <si>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</si>
  <si>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</si>
  <si>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</si>
  <si>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</si>
  <si>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</si>
  <si>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</si>
  <si>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</si>
  <si>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</si>
  <si>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</si>
  <si>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</si>
  <si>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</si>
  <si>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</si>
  <si>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</si>
  <si>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</si>
  <si>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</si>
  <si>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</si>
  <si>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</si>
  <si>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GIESBRECHT, Caleb</t>
  </si>
  <si>
    <t>PINNOCK, Liana</t>
  </si>
  <si>
    <t>PROBE, Celia</t>
  </si>
  <si>
    <t>KOTKAS, Katarina</t>
  </si>
  <si>
    <t>BECKETT, Lindsey</t>
  </si>
  <si>
    <t>PEPPER, Nix</t>
  </si>
  <si>
    <t>MCINTOSH, Cyena</t>
  </si>
  <si>
    <t>BECKETT, Aleisha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</si>
  <si>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</si>
  <si>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</si>
  <si>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</si>
  <si>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</si>
  <si>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</si>
  <si>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</si>
  <si>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</si>
  <si>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</si>
  <si>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</si>
  <si>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</si>
  <si>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</si>
  <si>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</si>
  <si>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</si>
  <si>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</si>
  <si>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</si>
  <si>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</si>
  <si>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</si>
  <si>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</si>
  <si>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</si>
  <si>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</si>
  <si>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</si>
  <si>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</si>
  <si>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</si>
  <si>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</si>
  <si>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SUSKO, Matthew</t>
  </si>
  <si>
    <t>ISAAC, Noah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</si>
  <si>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</si>
  <si>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</si>
  <si>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</si>
  <si>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</si>
  <si>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</si>
  <si>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</si>
  <si>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</si>
  <si>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</si>
  <si>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</si>
  <si>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</si>
  <si>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</si>
  <si>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</si>
  <si>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</si>
  <si>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</si>
  <si>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</si>
  <si>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</si>
  <si>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</si>
  <si>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</si>
  <si>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</si>
  <si>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</si>
  <si>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</si>
  <si>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</si>
  <si>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</si>
  <si>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</si>
  <si>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</si>
  <si>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</si>
  <si>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</si>
  <si>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</si>
  <si>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</si>
  <si>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</si>
  <si>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</si>
  <si>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</si>
  <si>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</si>
  <si>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</si>
  <si>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</si>
  <si>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</si>
  <si>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</si>
  <si>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</si>
  <si>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</si>
  <si>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</si>
  <si>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</si>
  <si>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</si>
  <si>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</si>
  <si>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</si>
  <si>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</si>
  <si>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</si>
  <si>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</si>
  <si>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</si>
  <si>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</si>
  <si>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</si>
  <si>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</si>
  <si>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</si>
  <si>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</si>
  <si>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</si>
  <si>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</si>
  <si>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</si>
  <si>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</si>
  <si>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</si>
  <si>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</si>
  <si>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</si>
  <si>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</si>
  <si>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</si>
  <si>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</si>
  <si>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0+BS8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</si>
  <si>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</si>
  <si>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</si>
  <si>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</si>
  <si>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</si>
  <si>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</si>
  <si>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</si>
  <si>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</si>
  <si>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</si>
  <si>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</si>
  <si>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</si>
  <si>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</si>
  <si>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</si>
  <si>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</si>
  <si>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</si>
  <si>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</si>
  <si>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</si>
  <si>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</si>
  <si>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</si>
  <si>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</si>
  <si>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</si>
  <si>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</si>
  <si>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</si>
  <si>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</si>
  <si>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</si>
  <si>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</si>
  <si>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</si>
  <si>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</si>
  <si>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</si>
  <si>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</si>
  <si>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</si>
  <si>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</si>
  <si>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</si>
  <si>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</si>
  <si>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</si>
  <si>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SKJODT, Sophie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</si>
</sst>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EVSTIGNEEV, Gleb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CYMAN, Cody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COLLINSON, Brody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hidden="1" x14ac:dyDescent="0.2">
      <c r="A5" s="6"/>
      <c r="B5" s="6">
        <v>4</v>
      </c>
      <c r="C5" s="6" t="str">
        <f>IF(B5&gt;MAX('TRA-M'!B:B),"",INDEX('TRA-M'!C:C,MATCH(B5,'TRA-M'!B:B,0)))</f>
        <v/>
      </c>
      <c r="D5" s="14" t="str">
        <f>IF(B5&gt;MAX('TRA-M'!B:B),"",INDEX('TRA-M'!J:J,MATCH(B5,'TRA-M'!B:B,0)))</f>
        <v/>
      </c>
      <c r="F5" s="6" t="str">
        <f>IF(B5&gt;MAX('TRA-M'!A:A),"",INDEX('TRA-M'!C:C,MATCH(B5,'TRA-M'!A:A,0)))</f>
        <v>EVSTIGNEEV, Gleb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MAILLOUX, Ashley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MOORE, Riley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ZUREK, Nolan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STANNARD, Adam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BOWDITCH, Courtney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PILLINGER, Taylor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JACKSON, Claire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PECK, Rachel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THOMPSON, Abby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BASTIEN, Rose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PINSK, Benjamin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THOMPSON, Derek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NEUFELD, Simon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OLSEN, Brooklyn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JACKSON, Claire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FROHNSDORF, Mia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45025</v>
      </c>
      <c r="C34" s="68"/>
    </row>
    <row r="35" spans="1:3" x14ac:dyDescent="0.2">
      <c r="B35" t="s">
        <v>212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71</v>
      </c>
      <c r="M1" s="76" t="s">
        <v>25</v>
      </c>
      <c r="N1" s="75" t="s">
        <v>72</v>
      </c>
      <c r="O1" s="76" t="s">
        <v>25</v>
      </c>
      <c r="P1" s="75" t="s">
        <v>136</v>
      </c>
      <c r="Q1" s="76" t="s">
        <v>25</v>
      </c>
      <c r="R1" s="76" t="s">
        <v>73</v>
      </c>
      <c r="S1" s="76" t="s">
        <v>25</v>
      </c>
      <c r="T1" s="75" t="s">
        <v>74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162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212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159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192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196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198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80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80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80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80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80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80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80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80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80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80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80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80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 t="shared" ref="F4:F40" si="0">SUM(L4:V4)+SUM(L4:T4)*0.0000001+SUM(L4)*0.0000000000001</f>
        <v>200.9400198230056</v>
      </c>
      <c r="G4" s="66" t="s">
        <v>46</v>
      </c>
      <c r="H4" s="3" t="str">
        <f t="shared" ref="H4:H40" si="1"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 t="shared" ref="I4:I40" si="2"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 t="shared" ref="J4:J40" si="3"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 t="shared" ref="K4:K40" si="4"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55.88000000000001</v>
      </c>
      <c r="M4" s="8" t="str">
        <f t="shared" ref="M4:M40" si="5">IF(L4="","",IF(OR(L4=CS4,L4=CV4),$CA$1,IF(OR(L4=BR4,L4=BU4),$AZ$1,IF(OR(L4=AQ4,L4=AT4),$Y$1,""))))</f>
        <v>2024 Elite Canada</v>
      </c>
      <c r="N4" s="8">
        <f>IF(COUNT(AQ4,AT4,BR4,BU4,CS4,CV4)&gt;1,LARGE((AQ4,AT4,BR4,BU4,CS4,CV4),2),0)</f>
        <v>54.879999999999995</v>
      </c>
      <c r="O4" s="8" t="str">
        <f t="shared" ref="O4:O40" si="6"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54.08</v>
      </c>
      <c r="Q4" s="8" t="str">
        <f t="shared" ref="Q4:Q40" si="7">IF(P4="","",IF(OR(P4=CS4,P4=CV4,P4=CZ4),$CA$1,IF(OR(P4=BR4,P4=BU4,P4=BY4),$AZ$1,IF(OR(P4=AQ4,P4=AT4,P4=AX4),$Y$1,""))))</f>
        <v>2023 3rd Domestic Trial</v>
      </c>
      <c r="R4" s="8">
        <f t="shared" ref="R4:R40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 t="shared" ref="S4:S40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 t="shared" ref="T4:T40" si="10"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 t="shared" ref="U4:U40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 t="shared" ref="V4:V40" si="12">IF(MAX(DB4,DC4)&gt;0,MAX(DB4,DC4),"")</f>
        <v>2.7099999999999937</v>
      </c>
      <c r="W4" s="11" t="str">
        <f t="shared" ref="W4:W40" si="13">IF(V4="","",IF(V4=DB4,"("&amp;DB$2&amp;")",IF(V4=DC4,"("&amp;DC$2&amp;")")))</f>
        <v>(Optional)</v>
      </c>
      <c r="X4" s="8" t="str">
        <f t="shared" ref="X4:X40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14.1</v>
      </c>
      <c r="Z4" s="22">
        <v>9</v>
      </c>
      <c r="AA4" s="22">
        <v>15.4</v>
      </c>
      <c r="AB4" s="22">
        <v>16.38</v>
      </c>
      <c r="AC4" s="22">
        <v>0</v>
      </c>
      <c r="AD4" s="22">
        <v>1.8</v>
      </c>
      <c r="AE4" s="22">
        <v>0.9</v>
      </c>
      <c r="AF4" s="22">
        <v>2</v>
      </c>
      <c r="AG4" s="22">
        <v>1.75</v>
      </c>
      <c r="AH4" s="22">
        <v>0</v>
      </c>
      <c r="AI4" s="22">
        <v>1.7</v>
      </c>
      <c r="AJ4" s="22">
        <v>0.8</v>
      </c>
      <c r="AK4" s="22">
        <v>2</v>
      </c>
      <c r="AL4" s="22">
        <v>1.76</v>
      </c>
      <c r="AM4" s="22">
        <v>0</v>
      </c>
      <c r="AN4" s="27"/>
      <c r="AO4" s="38">
        <f t="shared" ref="AO4:AO40" si="15">IF(AA4&gt;0,AA4,"")</f>
        <v>15.4</v>
      </c>
      <c r="AP4" s="38">
        <f t="shared" ref="AP4:AP40" si="16">IF(AB4&gt;0,AB4,"")</f>
        <v>16.38</v>
      </c>
      <c r="AQ4" s="40">
        <f t="shared" ref="AQ4:AQ40" si="17">IF(SUM(Y4:AB4)-AC4&gt;0,SUM(Y4:AB4)-AC4,"")</f>
        <v>54.879999999999995</v>
      </c>
      <c r="AR4" s="40">
        <f t="shared" ref="AR4:AR40" si="18">IF(AF4&gt;0,AF4,"")</f>
        <v>2</v>
      </c>
      <c r="AS4" s="40">
        <f t="shared" ref="AS4:AS40" si="19">IF(AG4&gt;0,AG4,"")</f>
        <v>1.75</v>
      </c>
      <c r="AT4" s="40">
        <f t="shared" ref="AT4:AT40" si="20">IF(SUM(AD4:AG4)-AH4&gt;0,SUM(AD4:AG4)-AH4,"")</f>
        <v>6.45</v>
      </c>
      <c r="AU4" s="40">
        <f t="shared" ref="AU4:AU40" si="21">IF(AQ4="","",MAX(AQ4,AT4))</f>
        <v>54.879999999999995</v>
      </c>
      <c r="AV4" s="40">
        <f t="shared" ref="AV4:AV40" si="22">IF(AK4&gt;0,AK4,"")</f>
        <v>2</v>
      </c>
      <c r="AW4" s="40">
        <f t="shared" ref="AW4:AW40" si="23">IF(AL4&gt;0,AL4,"")</f>
        <v>1.76</v>
      </c>
      <c r="AX4" s="40">
        <f t="shared" ref="AX4:AX40" si="24">IF(SUM(AI4:AL4)-AM4&gt;0,SUM(AI4:AL4)-AM4,"")</f>
        <v>6.26</v>
      </c>
      <c r="AY4" s="40">
        <f t="shared" ref="AY4:AY40" si="25">IF(SUM(AU4,AX4)&gt;0,SUM(AU4,AX4),"")</f>
        <v>61.139999999999993</v>
      </c>
      <c r="AZ4" s="26">
        <v>10.3</v>
      </c>
      <c r="BA4" s="26">
        <v>6</v>
      </c>
      <c r="BB4" s="26">
        <v>10</v>
      </c>
      <c r="BC4" s="26">
        <v>11.73</v>
      </c>
      <c r="BD4" s="26">
        <v>0</v>
      </c>
      <c r="BE4" s="26">
        <v>13.9</v>
      </c>
      <c r="BF4" s="26">
        <v>9</v>
      </c>
      <c r="BG4" s="26">
        <v>14.7</v>
      </c>
      <c r="BH4" s="26">
        <v>16.48</v>
      </c>
      <c r="BI4" s="26">
        <v>0</v>
      </c>
      <c r="BJ4" s="26">
        <v>1.6</v>
      </c>
      <c r="BK4" s="26">
        <v>1</v>
      </c>
      <c r="BL4" s="26">
        <v>2</v>
      </c>
      <c r="BM4" s="26">
        <v>1.8</v>
      </c>
      <c r="BN4" s="26">
        <v>0</v>
      </c>
      <c r="BO4" s="28"/>
      <c r="BP4" s="39">
        <f t="shared" ref="BP4:BP40" si="26">IF(BB4&gt;0,BB4,"")</f>
        <v>10</v>
      </c>
      <c r="BQ4" s="39">
        <f t="shared" ref="BQ4:BQ40" si="27">IF(BC4&gt;0,BC4,"")</f>
        <v>11.73</v>
      </c>
      <c r="BR4" s="11">
        <f t="shared" ref="BR4:BR40" si="28">IF(SUM(AZ4:BC4)-BD4&gt;0,SUM(AZ4:BC4)-BD4,"")</f>
        <v>38.03</v>
      </c>
      <c r="BS4" s="11">
        <f t="shared" ref="BS4:BS40" si="29">IF(BG4&gt;0,BG4,"")</f>
        <v>14.7</v>
      </c>
      <c r="BT4" s="11">
        <f t="shared" ref="BT4:BT40" si="30">IF(BH4&gt;0,BH4,"")</f>
        <v>16.48</v>
      </c>
      <c r="BU4" s="11">
        <f t="shared" ref="BU4:BU40" si="31">IF(SUM(BE4:BH4)-BI4&gt;0,SUM(BE4:BH4)-BI4,"")</f>
        <v>54.08</v>
      </c>
      <c r="BV4" s="11">
        <f t="shared" ref="BV4:BV40" si="32">IF(BR4="","",MAX(BR4,BU4))</f>
        <v>54.08</v>
      </c>
      <c r="BW4" s="11">
        <f t="shared" ref="BW4:BW40" si="33">IF(BL4&gt;0,BL4,"")</f>
        <v>2</v>
      </c>
      <c r="BX4" s="11">
        <f t="shared" ref="BX4:BX40" si="34">IF(BM4&gt;0,BM4,"")</f>
        <v>1.8</v>
      </c>
      <c r="BY4" s="11">
        <f t="shared" ref="BY4:BY40" si="35">IF(SUM(BJ4:BM4)-BN4&gt;0,SUM(BJ4:BM4)-BN4,"")</f>
        <v>6.3999999999999995</v>
      </c>
      <c r="BZ4" s="11">
        <f t="shared" ref="BZ4:BZ40" si="36">IF(SUM(BV4,BY4)&gt;0,SUM(BV4,BY4),"")</f>
        <v>60.48</v>
      </c>
      <c r="CA4" s="22">
        <v>14.6</v>
      </c>
      <c r="CB4" s="22">
        <v>9</v>
      </c>
      <c r="CC4" s="22">
        <v>15.8</v>
      </c>
      <c r="CD4" s="22">
        <v>16.48</v>
      </c>
      <c r="CE4" s="22">
        <v>0</v>
      </c>
      <c r="CF4" s="22">
        <v>3.37</v>
      </c>
      <c r="CG4" s="22">
        <v>3.3</v>
      </c>
      <c r="CH4" s="22">
        <v>7.1</v>
      </c>
      <c r="CI4" s="22">
        <v>6.97</v>
      </c>
      <c r="CJ4" s="22">
        <v>0</v>
      </c>
      <c r="CK4" s="22">
        <v>11.8</v>
      </c>
      <c r="CL4" s="22">
        <v>7</v>
      </c>
      <c r="CM4" s="22">
        <v>12.4</v>
      </c>
      <c r="CN4" s="22">
        <v>13.35</v>
      </c>
      <c r="CO4" s="22">
        <v>0</v>
      </c>
      <c r="CP4" s="27"/>
      <c r="CQ4" s="38">
        <f t="shared" ref="CQ4:CQ40" si="37">IF(CC4&gt;0,CC4,"")</f>
        <v>15.8</v>
      </c>
      <c r="CR4" s="38">
        <f t="shared" ref="CR4:CR40" si="38">IF(CD4&gt;0,CD4,"")</f>
        <v>16.48</v>
      </c>
      <c r="CS4" s="40">
        <f t="shared" ref="CS4:CS40" si="39">IF(SUM(CA4:CD4)-CE4&gt;0,SUM(CA4:CD4)-CE4,"")</f>
        <v>55.88000000000001</v>
      </c>
      <c r="CT4" s="40">
        <f t="shared" ref="CT4:CT40" si="40">IF(CH4&gt;0,CH4,"")</f>
        <v>7.1</v>
      </c>
      <c r="CU4" s="40">
        <f t="shared" ref="CU4:CU40" si="41">IF(CI4&gt;0,CI4,"")</f>
        <v>6.97</v>
      </c>
      <c r="CV4" s="40">
        <f t="shared" ref="CV4:CV40" si="42">IF(SUM(CF4:CI4)-CJ4&gt;0,SUM(CF4:CI4)-CJ4,"")</f>
        <v>20.74</v>
      </c>
      <c r="CW4" s="40">
        <f t="shared" ref="CW4:CW40" si="43">IF(CS4="","",MAX(CS4,CV4))</f>
        <v>55.88000000000001</v>
      </c>
      <c r="CX4" s="40">
        <f t="shared" ref="CX4:CX40" si="44">IF(CM4&gt;0,CM4,"")</f>
        <v>12.4</v>
      </c>
      <c r="CY4" s="40">
        <f t="shared" ref="CY4:CY40" si="45">IF(CN4&gt;0,CN4,"")</f>
        <v>13.35</v>
      </c>
      <c r="CZ4" s="40">
        <f t="shared" ref="CZ4:CZ40" si="46">IF(SUM(CK4:CN4)-CO4&gt;0,SUM(CK4:CN4)-CO4,"")</f>
        <v>44.550000000000004</v>
      </c>
      <c r="DA4" s="40">
        <f t="shared" ref="DA4:DA40" si="47">IF(SUM(CW4,CZ4)&gt;0,SUM(CW4,CZ4),"")</f>
        <v>100.43</v>
      </c>
      <c r="DB4" s="50">
        <f t="shared" ref="DB4:DB40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2.7099999999999937</v>
      </c>
      <c r="DC4" s="50" t="str">
        <f t="shared" ref="DC4:DC40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40" si="50">IF(DF4&gt;0,DF4,"")</f>
        <v/>
      </c>
      <c r="DY4" s="40" t="str">
        <f t="shared" ref="DY4:DY40" si="51">IF(DG4&gt;0,DG4,"")</f>
        <v/>
      </c>
      <c r="DZ4" s="40" t="str">
        <f t="shared" ref="DZ4:DZ40" si="52">IF(SUM(DD4:DG4)-DH4&gt;0,SUM(DD4:DG4)-DH4,"")</f>
        <v/>
      </c>
      <c r="EA4" s="40" t="str">
        <f t="shared" ref="EA4:EA40" si="53">IF(DK4&gt;0,DK4,"")</f>
        <v/>
      </c>
      <c r="EB4" s="40" t="str">
        <f t="shared" ref="EB4:EB40" si="54">IF(DL4&gt;0,DL4,"")</f>
        <v/>
      </c>
      <c r="EC4" s="40" t="str">
        <f t="shared" ref="EC4:EC40" si="55">IF(SUM(DI4:DL4)-DM4&gt;0,SUM(DI4:DL4)-DM4,"")</f>
        <v/>
      </c>
      <c r="ED4" s="40" t="str">
        <f t="shared" ref="ED4:ED40" si="56">IF(MAX(DZ4,EC4)&gt;0,MAX(DZ4,EC4),"")</f>
        <v/>
      </c>
      <c r="EE4" s="40" t="str">
        <f t="shared" ref="EE4:EE40" si="57">IF(DP4&gt;0,DP4,"")</f>
        <v/>
      </c>
      <c r="EF4" s="40" t="str">
        <f t="shared" ref="EF4:EF40" si="58">IF(DQ4&gt;0,DQ4,"")</f>
        <v/>
      </c>
      <c r="EG4" s="40" t="str">
        <f t="shared" ref="EG4:EG40" si="59">IF(SUM(DN4:DQ4)-DR4&gt;0,SUM(DN4:DQ4)-DR4,"")</f>
        <v/>
      </c>
      <c r="EH4" s="40" t="str">
        <f t="shared" ref="EH4:EH40" si="60">IF(DU4&gt;0,DU4,"")</f>
        <v/>
      </c>
      <c r="EI4" s="40" t="str">
        <f t="shared" ref="EI4:EI40" si="61">IF(DV4&gt;0,DV4,"")</f>
        <v/>
      </c>
      <c r="EJ4" s="40" t="str">
        <f t="shared" ref="EJ4:EJ40" si="62">IF(SUM(DS4:DV4)-DW4&gt;0,SUM(DS4:DV4)-DW4,"")</f>
        <v/>
      </c>
      <c r="EK4" s="40" t="str">
        <f t="shared" ref="EK4:EK40" si="63">IF(SUM(ED4,EG4,EJ4)&gt;0,SUM(ED4,EG4,EJ4),"")</f>
        <v/>
      </c>
      <c r="EL4" s="18">
        <v>14.5</v>
      </c>
      <c r="EM4" s="18">
        <v>9</v>
      </c>
      <c r="EN4" s="18">
        <v>16.2</v>
      </c>
      <c r="EO4" s="18">
        <v>16.100000000000001</v>
      </c>
      <c r="EP4" s="18">
        <v>0</v>
      </c>
      <c r="EQ4" s="18">
        <v>14.2</v>
      </c>
      <c r="ER4" s="18">
        <v>9.1999999999999993</v>
      </c>
      <c r="ES4" s="18">
        <v>16.399999999999999</v>
      </c>
      <c r="ET4" s="18">
        <v>16.989999999999998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40" si="64">IF(EN4&gt;0,EN4,"")</f>
        <v>16.2</v>
      </c>
      <c r="FG4" s="11">
        <f t="shared" ref="FG4:FG40" si="65">IF(EO4&gt;0,EO4,"")</f>
        <v>16.100000000000001</v>
      </c>
      <c r="FH4" s="11">
        <f t="shared" ref="FH4:FH40" si="66">IF(SUM(EL4:EO4)-EP4&gt;0,SUM(EL4:EO4)-EP4,"")</f>
        <v>55.800000000000004</v>
      </c>
      <c r="FI4" s="11">
        <f t="shared" ref="FI4:FI40" si="67">IF(ES4&gt;0,ES4,"")</f>
        <v>16.399999999999999</v>
      </c>
      <c r="FJ4" s="11">
        <f t="shared" ref="FJ4:FJ40" si="68">IF(ET4&gt;0,ET4,"")</f>
        <v>16.989999999999998</v>
      </c>
      <c r="FK4" s="11">
        <f t="shared" ref="FK4:FK40" si="69">IF(SUM(EQ4:ET4)-EU4&gt;0,SUM(EQ4:ET4)-EU4,"")</f>
        <v>56.789999999999992</v>
      </c>
      <c r="FL4" s="11">
        <f t="shared" ref="FL4:FL40" si="70">IF(MAX(FH4,FK4)&gt;0,MAX(FH4,FK4),"")</f>
        <v>56.789999999999992</v>
      </c>
      <c r="FM4" s="11" t="str">
        <f t="shared" ref="FM4:FM40" si="71">IF(EX4&gt;0,EX4,"")</f>
        <v/>
      </c>
      <c r="FN4" s="11" t="str">
        <f t="shared" ref="FN4:FN40" si="72">IF(EY4&gt;0,EY4,"")</f>
        <v/>
      </c>
      <c r="FO4" s="11" t="str">
        <f t="shared" ref="FO4:FO40" si="73">IF(SUM(EV4:EY4)-EZ4&gt;0,SUM(EV4:EY4)-EZ4,"")</f>
        <v/>
      </c>
      <c r="FP4" s="11" t="str">
        <f t="shared" ref="FP4:FP40" si="74">IF(FC4&gt;0,FC4,"")</f>
        <v/>
      </c>
      <c r="FQ4" s="11" t="str">
        <f t="shared" ref="FQ4:FQ40" si="75">IF(FD4&gt;0,FD4,"")</f>
        <v/>
      </c>
      <c r="FR4" s="11" t="str">
        <f t="shared" ref="FR4:FR40" si="76">IF(SUM(FA4:FD4)-FE4&gt;0,SUM(FA4:FD4)-FE4,"")</f>
        <v/>
      </c>
      <c r="FS4" s="11">
        <f t="shared" ref="FS4:FS40" si="77">IF(SUM(FL4,FO4,FR4)&gt;0,SUM(FL4,FO4,FR4),"")</f>
        <v>56.789999999999992</v>
      </c>
      <c r="FT4" s="17">
        <v>13</v>
      </c>
      <c r="FU4" s="17">
        <v>9.1999999999999993</v>
      </c>
      <c r="FV4" s="17">
        <v>15.8</v>
      </c>
      <c r="FW4" s="17">
        <v>16.510000000000002</v>
      </c>
      <c r="FX4" s="17">
        <v>0</v>
      </c>
      <c r="FY4" s="17">
        <v>13.5</v>
      </c>
      <c r="FZ4" s="17">
        <v>8.9</v>
      </c>
      <c r="GA4" s="17">
        <v>15.3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 t="shared" ref="GN4:GN40" si="78">IF(FV4&gt;0,FV4,"")</f>
        <v>15.8</v>
      </c>
      <c r="GO4" s="40">
        <f t="shared" ref="GO4:GO40" si="79">IF(FW4&gt;0,FW4,"")</f>
        <v>16.510000000000002</v>
      </c>
      <c r="GP4" s="40">
        <f t="shared" ref="GP4:GP40" si="80">IF(SUM(FT4:FW4)-FX4&gt;0,SUM(FT4:FW4)-FX4,"")</f>
        <v>54.510000000000005</v>
      </c>
      <c r="GQ4" s="40">
        <f t="shared" ref="GQ4:GQ40" si="81">IF(GA4&gt;0,GA4,"")</f>
        <v>15.3</v>
      </c>
      <c r="GR4" s="40">
        <f t="shared" ref="GR4:GR40" si="82">IF(GB4&gt;0,GB4,"")</f>
        <v>16.62</v>
      </c>
      <c r="GS4" s="40">
        <f t="shared" ref="GS4:GS40" si="83">IF(SUM(FY4:GB4)-GC4&gt;0,SUM(FY4:GB4)-GC4,"")</f>
        <v>54.320000000000007</v>
      </c>
      <c r="GT4" s="40">
        <f t="shared" ref="GT4:GT40" si="84">IF(MAX(GP4,GS4)&gt;0,MAX(GP4,GS4),"")</f>
        <v>54.510000000000005</v>
      </c>
      <c r="GU4" s="40" t="str">
        <f t="shared" ref="GU4:GU40" si="85">IF(GF4&gt;0,GF4,"")</f>
        <v/>
      </c>
      <c r="GV4" s="40" t="str">
        <f t="shared" ref="GV4:GV40" si="86">IF(GG4&gt;0,GG4,"")</f>
        <v/>
      </c>
      <c r="GW4" s="40" t="str">
        <f t="shared" ref="GW4:GW40" si="87">IF(SUM(GD4:GG4)-GH4&gt;0,SUM(GD4:GG4)-GH4,"")</f>
        <v/>
      </c>
      <c r="GX4" s="40" t="str">
        <f t="shared" ref="GX4:GX40" si="88">IF(GK4&gt;0,GK4,"")</f>
        <v/>
      </c>
      <c r="GY4" s="40" t="str">
        <f t="shared" ref="GY4:GY40" si="89">IF(GL4&gt;0,GL4,"")</f>
        <v/>
      </c>
      <c r="GZ4" s="40" t="str">
        <f t="shared" ref="GZ4:GZ40" si="90">IF(SUM(GI4:GL4)-GM4&gt;0,SUM(GI4:GL4)-GM4,"")</f>
        <v/>
      </c>
      <c r="HA4" s="40">
        <f t="shared" ref="HA4:HA40" si="91">IF(SUM(GT4,GW4,GZ4)&gt;0,SUM(GT4,GW4,GZ4),"")</f>
        <v>54.510000000000005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40" si="92">IF(HD4&gt;0,HD4,"")</f>
        <v/>
      </c>
      <c r="HW4" s="11" t="str">
        <f t="shared" ref="HW4:HW40" si="93">IF(HE4&gt;0,HE4,"")</f>
        <v/>
      </c>
      <c r="HX4" s="11" t="str">
        <f t="shared" ref="HX4:HX40" si="94">IF(SUM(HB4:HE4)-HF4&gt;0,SUM(HB4:HE4)-HF4,"")</f>
        <v/>
      </c>
      <c r="HY4" s="11" t="str">
        <f t="shared" ref="HY4:HY40" si="95">IF(HI4&gt;0,HI4,"")</f>
        <v/>
      </c>
      <c r="HZ4" s="11" t="str">
        <f t="shared" ref="HZ4:HZ40" si="96">IF(HJ4&gt;0,HJ4,"")</f>
        <v/>
      </c>
      <c r="IA4" s="11" t="str">
        <f t="shared" ref="IA4:IA40" si="97">IF(SUM(HG4:HJ4)-HK4&gt;0,SUM(HG4:HJ4)-HK4,"")</f>
        <v/>
      </c>
      <c r="IB4" s="11" t="str">
        <f t="shared" ref="IB4:IB40" si="98">IF(MAX(HX4,IA4)&gt;0,MAX(HX4,IA4),"")</f>
        <v/>
      </c>
      <c r="IC4" s="11" t="str">
        <f t="shared" ref="IC4:IC40" si="99">IF(HN4&gt;0,HN4,"")</f>
        <v/>
      </c>
      <c r="ID4" s="11" t="str">
        <f t="shared" ref="ID4:ID40" si="100">IF(HO4&gt;0,HO4,"")</f>
        <v/>
      </c>
      <c r="IE4" s="11" t="str">
        <f t="shared" ref="IE4:IE40" si="101">IF(SUM(HL4:HO4)-HP4&gt;0,SUM(HL4:HO4)-HP4,"")</f>
        <v/>
      </c>
      <c r="IF4" s="11" t="str">
        <f t="shared" ref="IF4:IF40" si="102">IF(HS4&gt;0,HS4,"")</f>
        <v/>
      </c>
      <c r="IG4" s="11" t="str">
        <f t="shared" ref="IG4:IG40" si="103">IF(HT4&gt;0,HT4,"")</f>
        <v/>
      </c>
      <c r="IH4" s="11" t="str">
        <f t="shared" ref="IH4:IH40" si="104">IF(SUM(HQ4:HT4)-HU4&gt;0,SUM(HQ4:HT4)-HU4,"")</f>
        <v/>
      </c>
      <c r="II4" s="11" t="str">
        <f t="shared" ref="II4:II40" si="105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40" si="106">IF(IL4&gt;0,IL4,"")</f>
        <v/>
      </c>
      <c r="JE4" s="40" t="str">
        <f t="shared" ref="JE4:JE40" si="107">IF(IM4&gt;0,IM4,"")</f>
        <v/>
      </c>
      <c r="JF4" s="40" t="str">
        <f t="shared" ref="JF4:JF40" si="108">IF(SUM(IJ4:IM4)-IN4&gt;0,SUM(IJ4:IM4)-IN4,"")</f>
        <v/>
      </c>
      <c r="JG4" s="40" t="str">
        <f t="shared" ref="JG4:JG40" si="109">IF(IQ4&gt;0,IQ4,"")</f>
        <v/>
      </c>
      <c r="JH4" s="40" t="str">
        <f t="shared" ref="JH4:JH40" si="110">IF(IR4&gt;0,IR4,"")</f>
        <v/>
      </c>
      <c r="JI4" s="40" t="str">
        <f t="shared" ref="JI4:JI40" si="111">IF(SUM(IO4:IR4)-IS4&gt;0,SUM(IO4:IR4)-IS4,"")</f>
        <v/>
      </c>
      <c r="JJ4" s="40" t="str">
        <f t="shared" ref="JJ4:JJ40" si="112">IF(MAX(JF4,JI4)&gt;0,MAX(JF4,JI4),"")</f>
        <v/>
      </c>
      <c r="JK4" s="40" t="str">
        <f t="shared" ref="JK4:JK40" si="113">IF(IV4&gt;0,IV4,"")</f>
        <v/>
      </c>
      <c r="JL4" s="40" t="str">
        <f t="shared" ref="JL4:JL40" si="114">IF(IW4&gt;0,IW4,"")</f>
        <v/>
      </c>
      <c r="JM4" s="40" t="str">
        <f t="shared" ref="JM4:JM40" si="115">IF(SUM(IT4:IW4)-IX4&gt;0,SUM(IT4:IW4)-IX4,"")</f>
        <v/>
      </c>
      <c r="JN4" s="40" t="str">
        <f t="shared" ref="JN4:JN40" si="116">IF(JA4&gt;0,JA4,"")</f>
        <v/>
      </c>
      <c r="JO4" s="40" t="str">
        <f t="shared" ref="JO4:JO40" si="117">IF(JB4&gt;0,JB4,"")</f>
        <v/>
      </c>
      <c r="JP4" s="40" t="str">
        <f t="shared" ref="JP4:JP40" si="118">IF(SUM(IY4:JB4)-JC4&gt;0,SUM(IY4:JB4)-JC4,"")</f>
        <v/>
      </c>
      <c r="JQ4" s="40" t="str">
        <f t="shared" ref="JQ4:JQ40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40" si="120">IF(JT4&gt;0,JT4,"")</f>
        <v/>
      </c>
      <c r="KM4" s="11" t="str">
        <f t="shared" ref="KM4:KM40" si="121">IF(JU4&gt;0,JU4,"")</f>
        <v/>
      </c>
      <c r="KN4" s="11" t="str">
        <f t="shared" ref="KN4:KN40" si="122">IF(SUM(JR4:JU4)-JV4&gt;0,SUM(JR4:JU4)-JV4,"")</f>
        <v/>
      </c>
      <c r="KO4" s="11" t="str">
        <f t="shared" ref="KO4:KO40" si="123">IF(JY4&gt;0,JY4,"")</f>
        <v/>
      </c>
      <c r="KP4" s="11" t="str">
        <f t="shared" ref="KP4:KP40" si="124">IF(JZ4&gt;0,JZ4,"")</f>
        <v/>
      </c>
      <c r="KQ4" s="11" t="str">
        <f t="shared" ref="KQ4:KQ40" si="125">IF(SUM(JW4:JZ4)-KA4&gt;0,SUM(JW4:JZ4)-KA4,"")</f>
        <v/>
      </c>
      <c r="KR4" s="11" t="str">
        <f t="shared" ref="KR4:KR40" si="126">IF(MAX(KN4,KQ4)&gt;0,MAX(KN4,KQ4),"")</f>
        <v/>
      </c>
      <c r="KS4" s="11" t="str">
        <f t="shared" ref="KS4:KS40" si="127">IF(KD4&gt;0,KD4,"")</f>
        <v/>
      </c>
      <c r="KT4" s="11" t="str">
        <f t="shared" ref="KT4:KT40" si="128">IF(KE4&gt;0,KE4,"")</f>
        <v/>
      </c>
      <c r="KU4" s="11" t="str">
        <f t="shared" ref="KU4:KU40" si="129">IF(SUM(KB4:KE4)-KF4&gt;0,SUM(KB4:KE4)-KF4,"")</f>
        <v/>
      </c>
      <c r="KV4" s="11" t="str">
        <f t="shared" ref="KV4:KV40" si="130">IF(KI4&gt;0,KI4,"")</f>
        <v/>
      </c>
      <c r="KW4" s="11" t="str">
        <f t="shared" ref="KW4:KW40" si="131">IF(KJ4&gt;0,KJ4,"")</f>
        <v/>
      </c>
      <c r="KX4" s="11" t="str">
        <f t="shared" ref="KX4:KX40" si="132">IF(SUM(KG4:KJ4)-KK4&gt;0,SUM(KG4:KJ4)-KK4,"")</f>
        <v/>
      </c>
      <c r="KY4" s="11" t="str">
        <f t="shared" ref="KY4:KY40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40" si="134">IF(LB4&gt;0,LB4,"")</f>
        <v/>
      </c>
      <c r="LU4" s="40" t="str">
        <f t="shared" ref="LU4:LU40" si="135">IF(LC4&gt;0,LC4,"")</f>
        <v/>
      </c>
      <c r="LV4" s="40" t="str">
        <f t="shared" ref="LV4:LV40" si="136">IF(SUM(KZ4:LC4)-LD4&gt;0,SUM(KZ4:LC4)-LD4,"")</f>
        <v/>
      </c>
      <c r="LW4" s="40" t="str">
        <f t="shared" ref="LW4:LW40" si="137">IF(LG4&gt;0,LG4,"")</f>
        <v/>
      </c>
      <c r="LX4" s="40" t="str">
        <f t="shared" ref="LX4:LX40" si="138">IF(LH4&gt;0,LH4,"")</f>
        <v/>
      </c>
      <c r="LY4" s="40" t="str">
        <f t="shared" ref="LY4:LY40" si="139">IF(SUM(LE4:LH4)-LI4&gt;0,SUM(LE4:LH4)-LI4,"")</f>
        <v/>
      </c>
      <c r="LZ4" s="40" t="str">
        <f t="shared" ref="LZ4:LZ40" si="140">IF(MAX(LV4,LY4)&gt;0,MAX(LV4,LY4),"")</f>
        <v/>
      </c>
      <c r="MA4" s="40" t="str">
        <f t="shared" ref="MA4:MA40" si="141">IF(LL4&gt;0,LL4,"")</f>
        <v/>
      </c>
      <c r="MB4" s="40" t="str">
        <f t="shared" ref="MB4:MB40" si="142">IF(LM4&gt;0,LM4,"")</f>
        <v/>
      </c>
      <c r="MC4" s="40" t="str">
        <f t="shared" ref="MC4:MC40" si="143">IF(SUM(LJ4:LM4)-LN4&gt;0,SUM(LJ4:LM4)-LN4,"")</f>
        <v/>
      </c>
      <c r="MD4" s="40" t="str">
        <f t="shared" ref="MD4:MD40" si="144">IF(LQ4&gt;0,LQ4,"")</f>
        <v/>
      </c>
      <c r="ME4" s="40" t="str">
        <f t="shared" ref="ME4:ME40" si="145">IF(LR4&gt;0,LR4,"")</f>
        <v/>
      </c>
      <c r="MF4" s="40" t="str">
        <f t="shared" ref="MF4:MF40" si="146">IF(SUM(LO4:LR4)-LS4&gt;0,SUM(LO4:LR4)-LS4,"")</f>
        <v/>
      </c>
      <c r="MG4" s="40" t="str">
        <f t="shared" ref="MG4:MG40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40" si="148">IF(MJ4&gt;0,MJ4,"")</f>
        <v/>
      </c>
      <c r="NC4" s="11" t="str">
        <f t="shared" ref="NC4:NC40" si="149">IF(MK4&gt;0,MK4,"")</f>
        <v/>
      </c>
      <c r="ND4" s="11" t="str">
        <f t="shared" ref="ND4:ND40" si="150">IF(SUM(MH4:MK4)-ML4&gt;0,SUM(MH4:MK4)-ML4,"")</f>
        <v/>
      </c>
      <c r="NE4" s="11" t="str">
        <f t="shared" ref="NE4:NE40" si="151">IF(MO4&gt;0,MO4,"")</f>
        <v/>
      </c>
      <c r="NF4" s="11" t="str">
        <f t="shared" ref="NF4:NF40" si="152">IF(MP4&gt;0,MP4,"")</f>
        <v/>
      </c>
      <c r="NG4" s="11" t="str">
        <f t="shared" ref="NG4:NG40" si="153">IF(SUM(MM4:MP4)-MQ4&gt;0,SUM(MM4:MP4)-MQ4,"")</f>
        <v/>
      </c>
      <c r="NH4" s="11" t="str">
        <f t="shared" ref="NH4:NH40" si="154">IF(MAX(ND4,NG4)&gt;0,MAX(ND4,NG4),"")</f>
        <v/>
      </c>
      <c r="NI4" s="11" t="str">
        <f t="shared" ref="NI4:NI40" si="155">IF(MT4&gt;0,MT4,"")</f>
        <v/>
      </c>
      <c r="NJ4" s="11" t="str">
        <f t="shared" ref="NJ4:NJ40" si="156">IF(MU4&gt;0,MU4,"")</f>
        <v/>
      </c>
      <c r="NK4" s="11" t="str">
        <f t="shared" ref="NK4:NK40" si="157">IF(SUM(MR4:MU4)-MV4&gt;0,SUM(MR4:MU4)-MV4,"")</f>
        <v/>
      </c>
      <c r="NL4" s="11" t="str">
        <f t="shared" ref="NL4:NL40" si="158">IF(MY4&gt;0,MY4,"")</f>
        <v/>
      </c>
      <c r="NM4" s="11" t="str">
        <f t="shared" ref="NM4:NM40" si="159">IF(MZ4&gt;0,MZ4,"")</f>
        <v/>
      </c>
      <c r="NN4" s="11" t="str">
        <f t="shared" ref="NN4:NN40" si="160">IF(SUM(MW4:MZ4)-NA4&gt;0,SUM(MW4:MZ4)-NA4,"")</f>
        <v/>
      </c>
      <c r="NO4" s="11" t="str">
        <f t="shared" ref="NO4:NO40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40" si="162">IF(NR4&gt;0,NR4,"")</f>
        <v/>
      </c>
      <c r="OK4" s="40" t="str">
        <f t="shared" ref="OK4:OK40" si="163">IF(NS4&gt;0,NS4,"")</f>
        <v/>
      </c>
      <c r="OL4" s="40" t="str">
        <f t="shared" ref="OL4:OL40" si="164">IF(SUM(NP4:NS4)-NT4&gt;0,SUM(NP4:NS4)-NT4,"")</f>
        <v/>
      </c>
      <c r="OM4" s="40" t="str">
        <f t="shared" ref="OM4:OM40" si="165">IF(NW4&gt;0,NW4,"")</f>
        <v/>
      </c>
      <c r="ON4" s="40" t="str">
        <f t="shared" ref="ON4:ON40" si="166">IF(NX4&gt;0,NX4,"")</f>
        <v/>
      </c>
      <c r="OO4" s="40" t="str">
        <f t="shared" ref="OO4:OO40" si="167">IF(SUM(NU4:NX4)-NY4&gt;0,SUM(NU4:NX4)-NY4,"")</f>
        <v/>
      </c>
      <c r="OP4" s="40" t="str">
        <f t="shared" ref="OP4:OP40" si="168">IF(MAX(OL4,OO4)&gt;0,MAX(OL4,OO4),"")</f>
        <v/>
      </c>
      <c r="OQ4" s="40" t="str">
        <f t="shared" ref="OQ4:OQ40" si="169">IF(OB4&gt;0,OB4,"")</f>
        <v/>
      </c>
      <c r="OR4" s="40" t="str">
        <f t="shared" ref="OR4:OR40" si="170">IF(OC4&gt;0,OC4,"")</f>
        <v/>
      </c>
      <c r="OS4" s="40" t="str">
        <f t="shared" ref="OS4:OS40" si="171">IF(SUM(NZ4:OC4)-OD4&gt;0,SUM(NZ4:OC4)-OD4,"")</f>
        <v/>
      </c>
      <c r="OT4" s="40" t="str">
        <f t="shared" ref="OT4:OT40" si="172">IF(OG4&gt;0,OG4,"")</f>
        <v/>
      </c>
      <c r="OU4" s="40" t="str">
        <f t="shared" ref="OU4:OU40" si="173">IF(OH4&gt;0,OH4,"")</f>
        <v/>
      </c>
      <c r="OV4" s="40" t="str">
        <f t="shared" ref="OV4:OV40" si="174">IF(SUM(OE4:OH4)-OI4&gt;0,SUM(OE4:OH4)-OI4,"")</f>
        <v/>
      </c>
      <c r="OW4" s="40" t="str">
        <f t="shared" ref="OW4:OW40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40" si="176">IF(OZ4&gt;0,OZ4,"")</f>
        <v/>
      </c>
      <c r="PS4" s="11" t="str">
        <f t="shared" ref="PS4:PS40" si="177">IF(PA4&gt;0,PA4,"")</f>
        <v/>
      </c>
      <c r="PT4" s="11" t="str">
        <f t="shared" ref="PT4:PT40" si="178">IF(SUM(OX4:PA4)-PB4&gt;0,SUM(OX4:PA4)-PB4,"")</f>
        <v/>
      </c>
      <c r="PU4" s="11" t="str">
        <f t="shared" ref="PU4:PU40" si="179">IF(PE4&gt;0,PE4,"")</f>
        <v/>
      </c>
      <c r="PV4" s="11" t="str">
        <f t="shared" ref="PV4:PV40" si="180">IF(PF4&gt;0,PF4,"")</f>
        <v/>
      </c>
      <c r="PW4" s="11" t="str">
        <f t="shared" ref="PW4:PW40" si="181">IF(SUM(PC4:PF4)-PG4&gt;0,SUM(PC4:PF4)-PG4,"")</f>
        <v/>
      </c>
      <c r="PX4" s="11" t="str">
        <f t="shared" ref="PX4:PX40" si="182">IF(MAX(PT4,PW4)&gt;0,MAX(PT4,PW4),"")</f>
        <v/>
      </c>
      <c r="PY4" s="11" t="str">
        <f t="shared" ref="PY4:PY40" si="183">IF(PJ4&gt;0,PJ4,"")</f>
        <v/>
      </c>
      <c r="PZ4" s="11" t="str">
        <f t="shared" ref="PZ4:PZ40" si="184">IF(PK4&gt;0,PK4,"")</f>
        <v/>
      </c>
      <c r="QA4" s="11" t="str">
        <f t="shared" ref="QA4:QA40" si="185">IF(SUM(PH4:PK4)-PL4&gt;0,SUM(PH4:PK4)-PL4,"")</f>
        <v/>
      </c>
      <c r="QB4" s="11" t="str">
        <f t="shared" ref="QB4:QB40" si="186">IF(PO4&gt;0,PO4,"")</f>
        <v/>
      </c>
      <c r="QC4" s="11" t="str">
        <f t="shared" ref="QC4:QC40" si="187">IF(PP4&gt;0,PP4,"")</f>
        <v/>
      </c>
      <c r="QD4" s="11" t="str">
        <f t="shared" ref="QD4:QD40" si="188">IF(SUM(PM4:PP4)-PQ4&gt;0,SUM(PM4:PP4)-PQ4,"")</f>
        <v/>
      </c>
      <c r="QE4" s="11" t="str">
        <f t="shared" ref="QE4:QE40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40" si="190">IF(QH4&gt;0,QH4,"")</f>
        <v/>
      </c>
      <c r="RA4" s="40" t="str">
        <f t="shared" ref="RA4:RA40" si="191">IF(QI4&gt;0,QI4,"")</f>
        <v/>
      </c>
      <c r="RB4" s="40" t="str">
        <f t="shared" ref="RB4:RB40" si="192">IF(SUM(QF4:QI4)-QJ4&gt;0,SUM(QF4:QI4)-QJ4,"")</f>
        <v/>
      </c>
      <c r="RC4" s="40" t="str">
        <f t="shared" ref="RC4:RC40" si="193">IF(QM4&gt;0,QM4,"")</f>
        <v/>
      </c>
      <c r="RD4" s="40" t="str">
        <f t="shared" ref="RD4:RD40" si="194">IF(QN4&gt;0,QN4,"")</f>
        <v/>
      </c>
      <c r="RE4" s="40" t="str">
        <f t="shared" ref="RE4:RE40" si="195">IF(SUM(QK4:QN4)-QO4&gt;0,SUM(QK4:QN4)-QO4,"")</f>
        <v/>
      </c>
      <c r="RF4" s="40" t="str">
        <f t="shared" ref="RF4:RF40" si="196">IF(MAX(RB4,RE4)&gt;0,MAX(RB4,RE4),"")</f>
        <v/>
      </c>
      <c r="RG4" s="40" t="str">
        <f t="shared" ref="RG4:RG40" si="197">IF(QR4&gt;0,QR4,"")</f>
        <v/>
      </c>
      <c r="RH4" s="40" t="str">
        <f t="shared" ref="RH4:RH40" si="198">IF(QS4&gt;0,QS4,"")</f>
        <v/>
      </c>
      <c r="RI4" s="40" t="str">
        <f t="shared" ref="RI4:RI40" si="199">IF(SUM(QP4:QS4)-QT4&gt;0,SUM(QP4:QS4)-QT4,"")</f>
        <v/>
      </c>
      <c r="RJ4" s="40" t="str">
        <f t="shared" ref="RJ4:RJ40" si="200">IF(QW4&gt;0,QW4,"")</f>
        <v/>
      </c>
      <c r="RK4" s="40" t="str">
        <f t="shared" ref="RK4:RK40" si="201">IF(QX4&gt;0,QX4,"")</f>
        <v/>
      </c>
      <c r="RL4" s="40" t="str">
        <f t="shared" ref="RL4:RL40" si="202">IF(SUM(QU4:QX4)-QY4&gt;0,SUM(QU4:QX4)-QY4,"")</f>
        <v/>
      </c>
      <c r="RM4" s="40" t="str">
        <f t="shared" ref="RM4:RM40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40" si="204">IF(RP4&gt;0,RP4,"")</f>
        <v/>
      </c>
      <c r="SI4" s="11" t="str">
        <f t="shared" ref="SI4:SI40" si="205">IF(RQ4&gt;0,RQ4,"")</f>
        <v/>
      </c>
      <c r="SJ4" s="11" t="str">
        <f t="shared" ref="SJ4:SJ40" si="206">IF(SUM(RN4:RQ4)-RR4&gt;0,SUM(RN4:RQ4)-RR4,"")</f>
        <v/>
      </c>
      <c r="SK4" s="11" t="str">
        <f t="shared" ref="SK4:SK40" si="207">IF(RU4&gt;0,RU4,"")</f>
        <v/>
      </c>
      <c r="SL4" s="11" t="str">
        <f t="shared" ref="SL4:SL40" si="208">IF(RV4&gt;0,RV4,"")</f>
        <v/>
      </c>
      <c r="SM4" s="11" t="str">
        <f t="shared" ref="SM4:SM40" si="209">IF(SUM(RS4:RV4)-RW4&gt;0,SUM(RS4:RV4)-RW4,"")</f>
        <v/>
      </c>
      <c r="SN4" s="11" t="str">
        <f t="shared" ref="SN4:SN40" si="210">IF(MAX(SJ4,SM4)&gt;0,MAX(SJ4,SM4),"")</f>
        <v/>
      </c>
      <c r="SO4" s="11" t="str">
        <f t="shared" ref="SO4:SO40" si="211">IF(RZ4&gt;0,RZ4,"")</f>
        <v/>
      </c>
      <c r="SP4" s="11" t="str">
        <f t="shared" ref="SP4:SP40" si="212">IF(SA4&gt;0,SA4,"")</f>
        <v/>
      </c>
      <c r="SQ4" s="11" t="str">
        <f t="shared" ref="SQ4:SQ40" si="213">IF(SUM(RX4:SA4)-SB4&gt;0,SUM(RX4:SA4)-SB4,"")</f>
        <v/>
      </c>
      <c r="SR4" s="11" t="str">
        <f t="shared" ref="SR4:SR40" si="214">IF(SE4&gt;0,SE4,"")</f>
        <v/>
      </c>
      <c r="SS4" s="11" t="str">
        <f t="shared" ref="SS4:SS40" si="215">IF(SF4&gt;0,SF4,"")</f>
        <v/>
      </c>
      <c r="ST4" s="11" t="str">
        <f t="shared" ref="ST4:ST40" si="216">IF(SUM(SC4:SF4)-SG4&gt;0,SUM(SC4:SF4)-SG4,"")</f>
        <v/>
      </c>
      <c r="SU4" s="11" t="str">
        <f t="shared" ref="SU4:SU40" si="217">IF(SUM(SN4,SQ4,ST4)&gt;0,SUM(SN4,SQ4,ST4),"")</f>
        <v/>
      </c>
      <c r="SV4" s="22">
        <f t="shared" ref="SV4:SV40" si="218">IF($CP4="P",CA4,(CA4+AZ4)/2)</f>
        <v>12.45</v>
      </c>
      <c r="SW4" s="22">
        <f t="shared" ref="SW4:SW40" si="219">IF($CP4="P",CB4,(CB4+BA4)/2)</f>
        <v>7.5</v>
      </c>
      <c r="SX4" s="22">
        <f t="shared" ref="SX4:SX40" si="220">IF($CP4="P",CC4,(CC4+BB4)/2)</f>
        <v>12.9</v>
      </c>
      <c r="SY4" s="22">
        <f t="shared" ref="SY4:SY40" si="221">IF($CP4="P",CD4,(CD4+BC4)/2)</f>
        <v>14.105</v>
      </c>
      <c r="SZ4" s="22">
        <f t="shared" ref="SZ4:SZ40" si="222">IF($CP4="P",CE4,(CE4+BD4)/2)</f>
        <v>0</v>
      </c>
      <c r="TA4" s="22">
        <f t="shared" ref="TA4:TA40" si="223">IF($CP4="P",CF4,(CF4+BE4)/2)</f>
        <v>8.6349999999999998</v>
      </c>
      <c r="TB4" s="22">
        <f t="shared" ref="TB4:TB40" si="224">IF($CP4="P",CG4,(CG4+BF4)/2)</f>
        <v>6.15</v>
      </c>
      <c r="TC4" s="22">
        <f t="shared" ref="TC4:TC40" si="225">IF($CP4="P",CH4,(CH4+BG4)/2)</f>
        <v>10.899999999999999</v>
      </c>
      <c r="TD4" s="22">
        <f t="shared" ref="TD4:TD40" si="226">IF($CP4="P",CI4,(CI4+BH4)/2)</f>
        <v>11.725</v>
      </c>
      <c r="TE4" s="22">
        <f t="shared" ref="TE4:TE40" si="227">IF($CP4="P",CJ4,(CJ4+BI4)/2)</f>
        <v>0</v>
      </c>
      <c r="TF4" s="22">
        <f t="shared" ref="TF4:TF40" si="228">IF($CP4="P",CK4,(CK4+BJ4)/2)</f>
        <v>6.7</v>
      </c>
      <c r="TG4" s="22">
        <f t="shared" ref="TG4:TG40" si="229">IF($CP4="P",CL4,(CL4+BK4)/2)</f>
        <v>4</v>
      </c>
      <c r="TH4" s="22">
        <f t="shared" ref="TH4:TH40" si="230">IF($CP4="P",CM4,(CM4+BL4)/2)</f>
        <v>7.2</v>
      </c>
      <c r="TI4" s="22">
        <f t="shared" ref="TI4:TI40" si="231">IF($CP4="P",CN4,(CN4+BM4)/2)</f>
        <v>7.5750000000000002</v>
      </c>
      <c r="TJ4" s="22">
        <f t="shared" ref="TJ4:TJ40" si="232">IF($CP4="P",CO4,(CO4+BN4)/2)</f>
        <v>0</v>
      </c>
      <c r="TK4" s="27" t="s">
        <v>46</v>
      </c>
      <c r="TL4" s="40">
        <f t="shared" ref="TL4:TL40" si="233">IF(SX4&gt;0,SX4,"")</f>
        <v>12.9</v>
      </c>
      <c r="TM4" s="40">
        <f t="shared" ref="TM4:TM40" si="234">IF(SY4&gt;0,SY4,"")</f>
        <v>14.105</v>
      </c>
      <c r="TN4" s="40">
        <f t="shared" ref="TN4:TN40" si="235">IF(SUM(SV4:SY4)-SZ4&gt;0,SUM(SV4:SY4)-SZ4,"")</f>
        <v>46.954999999999998</v>
      </c>
      <c r="TO4" s="40">
        <f t="shared" ref="TO4:TO40" si="236">IF(TC4&gt;0,TC4,"")</f>
        <v>10.899999999999999</v>
      </c>
      <c r="TP4" s="40">
        <f t="shared" ref="TP4:TP40" si="237">IF(TD4&gt;0,TD4,"")</f>
        <v>11.725</v>
      </c>
      <c r="TQ4" s="40">
        <f t="shared" ref="TQ4:TQ40" si="238">IF(SUM(TA4:TD4)-TE4&gt;0,SUM(TA4:TD4)-TE4,"")</f>
        <v>37.409999999999997</v>
      </c>
      <c r="TR4" s="40">
        <f t="shared" ref="TR4:TR40" si="239">IF(MAX(TN4,TQ4)&gt;0,MAX(TN4,TQ4),"")</f>
        <v>46.954999999999998</v>
      </c>
      <c r="TS4" s="40">
        <f t="shared" ref="TS4:TS40" si="240">IF(TH4&gt;0,TH4,"")</f>
        <v>7.2</v>
      </c>
      <c r="TT4" s="40">
        <f t="shared" ref="TT4:TT40" si="241">IF(TI4&gt;0,TI4,"")</f>
        <v>7.5750000000000002</v>
      </c>
      <c r="TU4" s="40">
        <f t="shared" ref="TU4:TU40" si="242">IF(SUM(TF4:TI4)-TJ4&gt;0,SUM(TF4:TI4)-TJ4,"")</f>
        <v>25.474999999999998</v>
      </c>
      <c r="TV4" s="40">
        <f t="shared" ref="TV4:TV40" si="243">IF(SUM(TR4,TU4)&gt;0,SUM(TR4,TU4),"")</f>
        <v>72.429999999999993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98</v>
      </c>
      <c r="D5" s="4" t="s">
        <v>6</v>
      </c>
      <c r="E5" s="4">
        <v>2005</v>
      </c>
      <c r="F5" s="9">
        <f t="shared" si="0"/>
        <v>196.71001967100563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55.86</v>
      </c>
      <c r="M5" s="8" t="str">
        <f t="shared" si="5"/>
        <v>2024 Elite Canada</v>
      </c>
      <c r="N5" s="8">
        <f>IF(COUNT(AQ5,AT5,BR5,BU5,CS5,CV5)&gt;1,LARGE((AQ5,AT5,BR5,BU5,CS5,CV5),2),0)</f>
        <v>55.14</v>
      </c>
      <c r="O5" s="8" t="str">
        <f t="shared" si="6"/>
        <v>2023 Nationals</v>
      </c>
      <c r="P5" s="8">
        <f>IF(COUNT(AQ5,AT5,BR5,BU5,CS5,CV5)&gt;2,MAX(AX5,BY5,CZ5,LARGE((AQ5,AT5,BR5,BU5,CS5,CV5),3)),IF(MAX(AX5,BY5,CZ5)&gt;0,MAX(AX5,BY5,CZ5),0))</f>
        <v>55.17</v>
      </c>
      <c r="Q5" s="8" t="str">
        <f t="shared" si="7"/>
        <v>2024 Elite Canada</v>
      </c>
      <c r="R5" s="8">
        <f t="shared" si="8"/>
        <v>15.4</v>
      </c>
      <c r="S5" s="8" t="str">
        <f t="shared" si="9"/>
        <v>2024 Elite Canada</v>
      </c>
      <c r="T5" s="8">
        <f t="shared" si="10"/>
        <v>15.14</v>
      </c>
      <c r="U5" s="8" t="str">
        <f t="shared" si="11"/>
        <v>2023 Nationals</v>
      </c>
      <c r="V5" s="8" t="str">
        <f t="shared" si="12"/>
        <v/>
      </c>
      <c r="W5" s="11" t="str">
        <f t="shared" si="13"/>
        <v/>
      </c>
      <c r="X5" s="8" t="str">
        <f t="shared" si="14"/>
        <v/>
      </c>
      <c r="Y5" s="22">
        <v>15.9</v>
      </c>
      <c r="Z5" s="22">
        <v>9.1</v>
      </c>
      <c r="AA5" s="22">
        <v>14.4</v>
      </c>
      <c r="AB5" s="22">
        <v>14.93</v>
      </c>
      <c r="AC5" s="22">
        <v>0</v>
      </c>
      <c r="AD5" s="22">
        <v>16.399999999999999</v>
      </c>
      <c r="AE5" s="22">
        <v>9.1999999999999993</v>
      </c>
      <c r="AF5" s="22">
        <v>14.4</v>
      </c>
      <c r="AG5" s="22">
        <v>15.14</v>
      </c>
      <c r="AH5" s="22">
        <v>0</v>
      </c>
      <c r="AI5" s="22">
        <v>15.3</v>
      </c>
      <c r="AJ5" s="22">
        <v>9.4</v>
      </c>
      <c r="AK5" s="22">
        <v>14.4</v>
      </c>
      <c r="AL5" s="22">
        <v>15.03</v>
      </c>
      <c r="AM5" s="22">
        <v>0</v>
      </c>
      <c r="AN5" s="27"/>
      <c r="AO5" s="38">
        <f t="shared" si="15"/>
        <v>14.4</v>
      </c>
      <c r="AP5" s="38">
        <f t="shared" si="16"/>
        <v>14.93</v>
      </c>
      <c r="AQ5" s="40">
        <f t="shared" si="17"/>
        <v>54.33</v>
      </c>
      <c r="AR5" s="40">
        <f t="shared" si="18"/>
        <v>14.4</v>
      </c>
      <c r="AS5" s="40">
        <f t="shared" si="19"/>
        <v>15.14</v>
      </c>
      <c r="AT5" s="40">
        <f t="shared" si="20"/>
        <v>55.14</v>
      </c>
      <c r="AU5" s="40">
        <f t="shared" si="21"/>
        <v>55.14</v>
      </c>
      <c r="AV5" s="40">
        <f t="shared" si="22"/>
        <v>14.4</v>
      </c>
      <c r="AW5" s="40">
        <f t="shared" si="23"/>
        <v>15.03</v>
      </c>
      <c r="AX5" s="40">
        <f t="shared" si="24"/>
        <v>54.13</v>
      </c>
      <c r="AY5" s="40">
        <f t="shared" si="25"/>
        <v>109.27000000000001</v>
      </c>
      <c r="AZ5" s="26">
        <v>5.8</v>
      </c>
      <c r="BA5" s="26">
        <v>3.4</v>
      </c>
      <c r="BB5" s="26">
        <v>5.9</v>
      </c>
      <c r="BC5" s="26">
        <v>6.18</v>
      </c>
      <c r="BD5" s="26">
        <v>0</v>
      </c>
      <c r="BE5" s="26">
        <v>5.7</v>
      </c>
      <c r="BF5" s="26">
        <v>3.3</v>
      </c>
      <c r="BG5" s="26">
        <v>5.9</v>
      </c>
      <c r="BH5" s="26">
        <v>6.13</v>
      </c>
      <c r="BI5" s="26">
        <v>0</v>
      </c>
      <c r="BJ5" s="26"/>
      <c r="BK5" s="26"/>
      <c r="BL5" s="26"/>
      <c r="BM5" s="26"/>
      <c r="BN5" s="26"/>
      <c r="BO5" s="28"/>
      <c r="BP5" s="39">
        <f t="shared" si="26"/>
        <v>5.9</v>
      </c>
      <c r="BQ5" s="39">
        <f t="shared" si="27"/>
        <v>6.18</v>
      </c>
      <c r="BR5" s="11">
        <f t="shared" si="28"/>
        <v>21.28</v>
      </c>
      <c r="BS5" s="11">
        <f t="shared" si="29"/>
        <v>5.9</v>
      </c>
      <c r="BT5" s="11">
        <f t="shared" si="30"/>
        <v>6.13</v>
      </c>
      <c r="BU5" s="11">
        <f t="shared" si="31"/>
        <v>21.03</v>
      </c>
      <c r="BV5" s="11">
        <f t="shared" si="32"/>
        <v>21.28</v>
      </c>
      <c r="BW5" s="11" t="str">
        <f t="shared" si="33"/>
        <v/>
      </c>
      <c r="BX5" s="11" t="str">
        <f t="shared" si="34"/>
        <v/>
      </c>
      <c r="BY5" s="11" t="str">
        <f t="shared" si="35"/>
        <v/>
      </c>
      <c r="BZ5" s="11">
        <f t="shared" si="36"/>
        <v>21.28</v>
      </c>
      <c r="CA5" s="22">
        <v>15.9</v>
      </c>
      <c r="CB5" s="22">
        <v>9.6</v>
      </c>
      <c r="CC5" s="22">
        <v>15.4</v>
      </c>
      <c r="CD5" s="22">
        <v>14.96</v>
      </c>
      <c r="CE5" s="22">
        <v>0</v>
      </c>
      <c r="CF5" s="22">
        <v>15.8</v>
      </c>
      <c r="CG5" s="22">
        <v>9</v>
      </c>
      <c r="CH5" s="22">
        <v>13.8</v>
      </c>
      <c r="CI5" s="22">
        <v>14.89</v>
      </c>
      <c r="CJ5" s="22">
        <v>0</v>
      </c>
      <c r="CK5" s="22">
        <v>15.3</v>
      </c>
      <c r="CL5" s="22">
        <v>9.5</v>
      </c>
      <c r="CM5" s="22">
        <v>15.4</v>
      </c>
      <c r="CN5" s="22">
        <v>14.97</v>
      </c>
      <c r="CO5" s="22">
        <v>0</v>
      </c>
      <c r="CP5" s="27"/>
      <c r="CQ5" s="38">
        <f t="shared" si="37"/>
        <v>15.4</v>
      </c>
      <c r="CR5" s="38">
        <f t="shared" si="38"/>
        <v>14.96</v>
      </c>
      <c r="CS5" s="40">
        <f t="shared" si="39"/>
        <v>55.86</v>
      </c>
      <c r="CT5" s="40">
        <f t="shared" si="40"/>
        <v>13.8</v>
      </c>
      <c r="CU5" s="40">
        <f t="shared" si="41"/>
        <v>14.89</v>
      </c>
      <c r="CV5" s="40">
        <f t="shared" si="42"/>
        <v>53.49</v>
      </c>
      <c r="CW5" s="40">
        <f t="shared" si="43"/>
        <v>55.86</v>
      </c>
      <c r="CX5" s="40">
        <f t="shared" si="44"/>
        <v>15.4</v>
      </c>
      <c r="CY5" s="40">
        <f t="shared" si="45"/>
        <v>14.97</v>
      </c>
      <c r="CZ5" s="40">
        <f t="shared" si="46"/>
        <v>55.17</v>
      </c>
      <c r="DA5" s="40">
        <f t="shared" si="47"/>
        <v>111.03</v>
      </c>
      <c r="DB5" s="50" t="str">
        <f t="shared" si="48"/>
        <v/>
      </c>
      <c r="DC5" s="50" t="str">
        <f t="shared" si="49"/>
        <v/>
      </c>
      <c r="DD5" s="17">
        <v>15.2</v>
      </c>
      <c r="DE5" s="17">
        <v>9.5</v>
      </c>
      <c r="DF5" s="17">
        <v>14.4</v>
      </c>
      <c r="DG5" s="17">
        <v>14.7</v>
      </c>
      <c r="DH5" s="17">
        <v>0</v>
      </c>
      <c r="DI5" s="17">
        <v>15.7</v>
      </c>
      <c r="DJ5" s="17">
        <v>9.1</v>
      </c>
      <c r="DK5" s="17">
        <v>14.4</v>
      </c>
      <c r="DL5" s="17">
        <v>14.97</v>
      </c>
      <c r="DM5" s="17">
        <v>0</v>
      </c>
      <c r="DN5" s="17"/>
      <c r="DO5" s="17"/>
      <c r="DP5" s="17"/>
      <c r="DQ5" s="17"/>
      <c r="DR5" s="17"/>
      <c r="DS5" s="17">
        <v>15.3</v>
      </c>
      <c r="DT5" s="17">
        <v>8.8000000000000007</v>
      </c>
      <c r="DU5" s="17">
        <v>14.4</v>
      </c>
      <c r="DV5" s="17">
        <v>14.8</v>
      </c>
      <c r="DW5" s="17">
        <v>0</v>
      </c>
      <c r="DX5" s="40">
        <f t="shared" si="50"/>
        <v>14.4</v>
      </c>
      <c r="DY5" s="40">
        <f t="shared" si="51"/>
        <v>14.7</v>
      </c>
      <c r="DZ5" s="40">
        <f t="shared" si="52"/>
        <v>53.8</v>
      </c>
      <c r="EA5" s="40">
        <f t="shared" si="53"/>
        <v>14.4</v>
      </c>
      <c r="EB5" s="40">
        <f t="shared" si="54"/>
        <v>14.97</v>
      </c>
      <c r="EC5" s="40">
        <f t="shared" si="55"/>
        <v>54.169999999999995</v>
      </c>
      <c r="ED5" s="40">
        <f t="shared" si="56"/>
        <v>54.169999999999995</v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>
        <f t="shared" si="60"/>
        <v>14.4</v>
      </c>
      <c r="EI5" s="40">
        <f t="shared" si="61"/>
        <v>14.8</v>
      </c>
      <c r="EJ5" s="40">
        <f t="shared" si="62"/>
        <v>53.3</v>
      </c>
      <c r="EK5" s="40">
        <f t="shared" si="63"/>
        <v>107.47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>
        <v>4.0999999999999996</v>
      </c>
      <c r="HC5" s="18">
        <v>2.5</v>
      </c>
      <c r="HD5" s="18">
        <v>5.0999999999999996</v>
      </c>
      <c r="HE5" s="18">
        <v>4.79</v>
      </c>
      <c r="HF5" s="18">
        <v>0</v>
      </c>
      <c r="HG5" s="18">
        <v>4.3</v>
      </c>
      <c r="HH5" s="18">
        <v>2.7</v>
      </c>
      <c r="HI5" s="18">
        <v>5.0999999999999996</v>
      </c>
      <c r="HJ5" s="18">
        <v>4.83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2"/>
        <v>5.0999999999999996</v>
      </c>
      <c r="HW5" s="11">
        <f t="shared" si="93"/>
        <v>4.79</v>
      </c>
      <c r="HX5" s="11">
        <f t="shared" si="94"/>
        <v>16.489999999999998</v>
      </c>
      <c r="HY5" s="11">
        <f t="shared" si="95"/>
        <v>5.0999999999999996</v>
      </c>
      <c r="HZ5" s="11">
        <f t="shared" si="96"/>
        <v>4.83</v>
      </c>
      <c r="IA5" s="11">
        <f t="shared" si="97"/>
        <v>16.93</v>
      </c>
      <c r="IB5" s="11">
        <f t="shared" si="98"/>
        <v>16.93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>
        <f t="shared" si="105"/>
        <v>16.93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10.85</v>
      </c>
      <c r="SW5" s="22">
        <f t="shared" si="219"/>
        <v>6.5</v>
      </c>
      <c r="SX5" s="22">
        <f t="shared" si="220"/>
        <v>10.65</v>
      </c>
      <c r="SY5" s="22">
        <f t="shared" si="221"/>
        <v>10.57</v>
      </c>
      <c r="SZ5" s="22">
        <f t="shared" si="222"/>
        <v>0</v>
      </c>
      <c r="TA5" s="22">
        <f t="shared" si="223"/>
        <v>10.75</v>
      </c>
      <c r="TB5" s="22">
        <f t="shared" si="224"/>
        <v>6.15</v>
      </c>
      <c r="TC5" s="22">
        <f t="shared" si="225"/>
        <v>9.8500000000000014</v>
      </c>
      <c r="TD5" s="22">
        <f t="shared" si="226"/>
        <v>10.51</v>
      </c>
      <c r="TE5" s="22">
        <f t="shared" si="227"/>
        <v>0</v>
      </c>
      <c r="TF5" s="22">
        <f t="shared" si="228"/>
        <v>7.65</v>
      </c>
      <c r="TG5" s="22">
        <f t="shared" si="229"/>
        <v>4.75</v>
      </c>
      <c r="TH5" s="22">
        <f t="shared" si="230"/>
        <v>7.7</v>
      </c>
      <c r="TI5" s="22">
        <f t="shared" si="231"/>
        <v>7.4850000000000003</v>
      </c>
      <c r="TJ5" s="22">
        <f t="shared" si="232"/>
        <v>0</v>
      </c>
      <c r="TK5" s="27" t="s">
        <v>46</v>
      </c>
      <c r="TL5" s="40">
        <f t="shared" si="233"/>
        <v>10.65</v>
      </c>
      <c r="TM5" s="40">
        <f t="shared" si="234"/>
        <v>10.57</v>
      </c>
      <c r="TN5" s="40">
        <f t="shared" si="235"/>
        <v>38.57</v>
      </c>
      <c r="TO5" s="40">
        <f t="shared" si="236"/>
        <v>9.8500000000000014</v>
      </c>
      <c r="TP5" s="40">
        <f t="shared" si="237"/>
        <v>10.51</v>
      </c>
      <c r="TQ5" s="40">
        <f t="shared" si="238"/>
        <v>37.26</v>
      </c>
      <c r="TR5" s="40">
        <f t="shared" si="239"/>
        <v>38.57</v>
      </c>
      <c r="TS5" s="40">
        <f t="shared" si="240"/>
        <v>7.7</v>
      </c>
      <c r="TT5" s="40">
        <f t="shared" si="241"/>
        <v>7.4850000000000003</v>
      </c>
      <c r="TU5" s="40">
        <f t="shared" si="242"/>
        <v>27.585000000000001</v>
      </c>
      <c r="TV5" s="40">
        <f t="shared" si="243"/>
        <v>66.155000000000001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150</v>
      </c>
      <c r="D6" s="4" t="s">
        <v>6</v>
      </c>
      <c r="E6" s="4">
        <v>2006</v>
      </c>
      <c r="F6" s="9">
        <f t="shared" si="0"/>
        <v>195.92001959200559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55.72</v>
      </c>
      <c r="M6" s="8" t="str">
        <f t="shared" si="5"/>
        <v>2024 Elite Canada</v>
      </c>
      <c r="N6" s="8">
        <f>IF(COUNT(AQ6,AT6,BR6,BU6,CS6,CV6)&gt;1,LARGE((AQ6,AT6,BR6,BU6,CS6,CV6),2),0)</f>
        <v>54.99</v>
      </c>
      <c r="O6" s="8" t="str">
        <f t="shared" si="6"/>
        <v>2024 Elite Canada</v>
      </c>
      <c r="P6" s="8">
        <f>IF(COUNT(AQ6,AT6,BR6,BU6,CS6,CV6)&gt;2,MAX(AX6,BY6,CZ6,LARGE((AQ6,AT6,BR6,BU6,CS6,CV6),3)),IF(MAX(AX6,BY6,CZ6)&gt;0,MAX(AX6,BY6,CZ6),0))</f>
        <v>54.089999999999996</v>
      </c>
      <c r="Q6" s="8" t="str">
        <f t="shared" si="7"/>
        <v>2023 Nationals</v>
      </c>
      <c r="R6" s="8">
        <f t="shared" si="8"/>
        <v>15.4</v>
      </c>
      <c r="S6" s="8" t="str">
        <f t="shared" si="9"/>
        <v>2024 Elite Canada</v>
      </c>
      <c r="T6" s="8">
        <f t="shared" si="10"/>
        <v>15.72</v>
      </c>
      <c r="U6" s="8" t="str">
        <f t="shared" si="11"/>
        <v>2023 WAGC (Nov 18)</v>
      </c>
      <c r="V6" s="8" t="str">
        <f t="shared" si="12"/>
        <v/>
      </c>
      <c r="W6" s="11" t="str">
        <f t="shared" si="13"/>
        <v/>
      </c>
      <c r="X6" s="8" t="str">
        <f t="shared" si="14"/>
        <v/>
      </c>
      <c r="Y6" s="22">
        <v>16.3</v>
      </c>
      <c r="Z6" s="22">
        <v>9.1</v>
      </c>
      <c r="AA6" s="22">
        <v>13.5</v>
      </c>
      <c r="AB6" s="22">
        <v>15.19</v>
      </c>
      <c r="AC6" s="22">
        <v>0</v>
      </c>
      <c r="AD6" s="22">
        <v>10.8</v>
      </c>
      <c r="AE6" s="22">
        <v>6.4</v>
      </c>
      <c r="AF6" s="22">
        <v>9.6</v>
      </c>
      <c r="AG6" s="22">
        <v>10.76</v>
      </c>
      <c r="AH6" s="22">
        <v>0</v>
      </c>
      <c r="AI6" s="22">
        <v>16</v>
      </c>
      <c r="AJ6" s="22">
        <v>9.1</v>
      </c>
      <c r="AK6" s="22">
        <v>13.5</v>
      </c>
      <c r="AL6" s="22">
        <v>14.75</v>
      </c>
      <c r="AM6" s="22">
        <v>0</v>
      </c>
      <c r="AN6" s="27"/>
      <c r="AO6" s="38">
        <f t="shared" si="15"/>
        <v>13.5</v>
      </c>
      <c r="AP6" s="38">
        <f t="shared" si="16"/>
        <v>15.19</v>
      </c>
      <c r="AQ6" s="40">
        <f t="shared" si="17"/>
        <v>54.089999999999996</v>
      </c>
      <c r="AR6" s="40">
        <f t="shared" si="18"/>
        <v>9.6</v>
      </c>
      <c r="AS6" s="40">
        <f t="shared" si="19"/>
        <v>10.76</v>
      </c>
      <c r="AT6" s="40">
        <f t="shared" si="20"/>
        <v>37.56</v>
      </c>
      <c r="AU6" s="40">
        <f t="shared" si="21"/>
        <v>54.089999999999996</v>
      </c>
      <c r="AV6" s="40">
        <f t="shared" si="22"/>
        <v>13.5</v>
      </c>
      <c r="AW6" s="40">
        <f t="shared" si="23"/>
        <v>14.75</v>
      </c>
      <c r="AX6" s="40">
        <f t="shared" si="24"/>
        <v>53.35</v>
      </c>
      <c r="AY6" s="40">
        <f t="shared" si="25"/>
        <v>107.44</v>
      </c>
      <c r="AZ6" s="26">
        <v>4.5999999999999996</v>
      </c>
      <c r="BA6" s="26">
        <v>2.5</v>
      </c>
      <c r="BB6" s="26">
        <v>4.9000000000000004</v>
      </c>
      <c r="BC6" s="26">
        <v>5.0999999999999996</v>
      </c>
      <c r="BD6" s="26">
        <v>0</v>
      </c>
      <c r="BE6" s="26">
        <v>6.1</v>
      </c>
      <c r="BF6" s="26">
        <v>3.6</v>
      </c>
      <c r="BG6" s="26">
        <v>6.5</v>
      </c>
      <c r="BH6" s="26">
        <v>6.78</v>
      </c>
      <c r="BI6" s="26">
        <v>0</v>
      </c>
      <c r="BJ6" s="26"/>
      <c r="BK6" s="26"/>
      <c r="BL6" s="26"/>
      <c r="BM6" s="26"/>
      <c r="BN6" s="26"/>
      <c r="BO6" s="28"/>
      <c r="BP6" s="39">
        <f t="shared" si="26"/>
        <v>4.9000000000000004</v>
      </c>
      <c r="BQ6" s="39">
        <f t="shared" si="27"/>
        <v>5.0999999999999996</v>
      </c>
      <c r="BR6" s="11">
        <f t="shared" si="28"/>
        <v>17.100000000000001</v>
      </c>
      <c r="BS6" s="11">
        <f t="shared" si="29"/>
        <v>6.5</v>
      </c>
      <c r="BT6" s="11">
        <f t="shared" si="30"/>
        <v>6.78</v>
      </c>
      <c r="BU6" s="11">
        <f t="shared" si="31"/>
        <v>22.98</v>
      </c>
      <c r="BV6" s="11">
        <f t="shared" si="32"/>
        <v>22.98</v>
      </c>
      <c r="BW6" s="11" t="str">
        <f t="shared" si="33"/>
        <v/>
      </c>
      <c r="BX6" s="11" t="str">
        <f t="shared" si="34"/>
        <v/>
      </c>
      <c r="BY6" s="11" t="str">
        <f t="shared" si="35"/>
        <v/>
      </c>
      <c r="BZ6" s="11">
        <f t="shared" si="36"/>
        <v>22.98</v>
      </c>
      <c r="CA6" s="22">
        <v>15.7</v>
      </c>
      <c r="CB6" s="22">
        <v>9.5</v>
      </c>
      <c r="CC6" s="22">
        <v>15.4</v>
      </c>
      <c r="CD6" s="22">
        <v>14.39</v>
      </c>
      <c r="CE6" s="22">
        <v>0</v>
      </c>
      <c r="CF6" s="22">
        <v>16.100000000000001</v>
      </c>
      <c r="CG6" s="22">
        <v>9.1999999999999993</v>
      </c>
      <c r="CH6" s="22">
        <v>15.4</v>
      </c>
      <c r="CI6" s="22">
        <v>15.02</v>
      </c>
      <c r="CJ6" s="22">
        <v>0</v>
      </c>
      <c r="CK6" s="22">
        <v>15</v>
      </c>
      <c r="CL6" s="22">
        <v>8.8000000000000007</v>
      </c>
      <c r="CM6" s="22">
        <v>13.5</v>
      </c>
      <c r="CN6" s="22">
        <v>14.31</v>
      </c>
      <c r="CO6" s="22">
        <v>0</v>
      </c>
      <c r="CP6" s="27"/>
      <c r="CQ6" s="38">
        <f t="shared" si="37"/>
        <v>15.4</v>
      </c>
      <c r="CR6" s="38">
        <f t="shared" si="38"/>
        <v>14.39</v>
      </c>
      <c r="CS6" s="40">
        <f t="shared" si="39"/>
        <v>54.99</v>
      </c>
      <c r="CT6" s="40">
        <f t="shared" si="40"/>
        <v>15.4</v>
      </c>
      <c r="CU6" s="40">
        <f t="shared" si="41"/>
        <v>15.02</v>
      </c>
      <c r="CV6" s="40">
        <f t="shared" si="42"/>
        <v>55.72</v>
      </c>
      <c r="CW6" s="40">
        <f t="shared" si="43"/>
        <v>55.72</v>
      </c>
      <c r="CX6" s="40">
        <f t="shared" si="44"/>
        <v>13.5</v>
      </c>
      <c r="CY6" s="40">
        <f t="shared" si="45"/>
        <v>14.31</v>
      </c>
      <c r="CZ6" s="40">
        <f t="shared" si="46"/>
        <v>51.61</v>
      </c>
      <c r="DA6" s="40">
        <f t="shared" si="47"/>
        <v>107.33</v>
      </c>
      <c r="DB6" s="50" t="str">
        <f t="shared" si="48"/>
        <v/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>
        <v>12.9</v>
      </c>
      <c r="HC6" s="18">
        <v>9.1999999999999993</v>
      </c>
      <c r="HD6" s="18">
        <v>15.4</v>
      </c>
      <c r="HE6" s="18">
        <v>15.72</v>
      </c>
      <c r="HF6" s="18">
        <v>0</v>
      </c>
      <c r="HG6" s="18">
        <v>1.5</v>
      </c>
      <c r="HH6" s="18">
        <v>1</v>
      </c>
      <c r="HI6" s="18">
        <v>2</v>
      </c>
      <c r="HJ6" s="18">
        <v>1.73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 t="shared" si="92"/>
        <v>15.4</v>
      </c>
      <c r="HW6" s="11">
        <f t="shared" si="93"/>
        <v>15.72</v>
      </c>
      <c r="HX6" s="11">
        <f t="shared" si="94"/>
        <v>53.22</v>
      </c>
      <c r="HY6" s="11">
        <f t="shared" si="95"/>
        <v>2</v>
      </c>
      <c r="HZ6" s="11">
        <f t="shared" si="96"/>
        <v>1.73</v>
      </c>
      <c r="IA6" s="11">
        <f t="shared" si="97"/>
        <v>6.23</v>
      </c>
      <c r="IB6" s="11">
        <f t="shared" si="98"/>
        <v>53.22</v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>
        <f t="shared" si="105"/>
        <v>53.22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10.149999999999999</v>
      </c>
      <c r="SW6" s="22">
        <f t="shared" si="219"/>
        <v>6</v>
      </c>
      <c r="SX6" s="22">
        <f t="shared" si="220"/>
        <v>10.15</v>
      </c>
      <c r="SY6" s="22">
        <f t="shared" si="221"/>
        <v>9.745000000000001</v>
      </c>
      <c r="SZ6" s="22">
        <f t="shared" si="222"/>
        <v>0</v>
      </c>
      <c r="TA6" s="22">
        <f t="shared" si="223"/>
        <v>11.100000000000001</v>
      </c>
      <c r="TB6" s="22">
        <f t="shared" si="224"/>
        <v>6.3999999999999995</v>
      </c>
      <c r="TC6" s="22">
        <f t="shared" si="225"/>
        <v>10.95</v>
      </c>
      <c r="TD6" s="22">
        <f t="shared" si="226"/>
        <v>10.9</v>
      </c>
      <c r="TE6" s="22">
        <f t="shared" si="227"/>
        <v>0</v>
      </c>
      <c r="TF6" s="22">
        <f t="shared" si="228"/>
        <v>7.5</v>
      </c>
      <c r="TG6" s="22">
        <f t="shared" si="229"/>
        <v>4.4000000000000004</v>
      </c>
      <c r="TH6" s="22">
        <f t="shared" si="230"/>
        <v>6.75</v>
      </c>
      <c r="TI6" s="22">
        <f t="shared" si="231"/>
        <v>7.1550000000000002</v>
      </c>
      <c r="TJ6" s="22">
        <f t="shared" si="232"/>
        <v>0</v>
      </c>
      <c r="TK6" s="27" t="s">
        <v>46</v>
      </c>
      <c r="TL6" s="40">
        <f t="shared" si="233"/>
        <v>10.15</v>
      </c>
      <c r="TM6" s="40">
        <f t="shared" si="234"/>
        <v>9.745000000000001</v>
      </c>
      <c r="TN6" s="40">
        <f t="shared" si="235"/>
        <v>36.045000000000002</v>
      </c>
      <c r="TO6" s="40">
        <f t="shared" si="236"/>
        <v>10.95</v>
      </c>
      <c r="TP6" s="40">
        <f t="shared" si="237"/>
        <v>10.9</v>
      </c>
      <c r="TQ6" s="40">
        <f t="shared" si="238"/>
        <v>39.35</v>
      </c>
      <c r="TR6" s="40">
        <f t="shared" si="239"/>
        <v>39.35</v>
      </c>
      <c r="TS6" s="40">
        <f t="shared" si="240"/>
        <v>6.75</v>
      </c>
      <c r="TT6" s="40">
        <f t="shared" si="241"/>
        <v>7.1550000000000002</v>
      </c>
      <c r="TU6" s="40">
        <f t="shared" si="242"/>
        <v>25.805</v>
      </c>
      <c r="TV6" s="40">
        <f t="shared" si="243"/>
        <v>65.155000000000001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102</v>
      </c>
      <c r="D7" s="4" t="s">
        <v>101</v>
      </c>
      <c r="E7" s="4">
        <v>2004</v>
      </c>
      <c r="F7" s="9">
        <f t="shared" si="0"/>
        <v>192.5200192030054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53.910000000000004</v>
      </c>
      <c r="M7" s="8" t="str">
        <f t="shared" si="5"/>
        <v>2023 3rd Domestic Trial</v>
      </c>
      <c r="N7" s="8">
        <f>IF(COUNT(AQ7,AT7,BR7,BU7,CS7,CV7)&gt;1,LARGE((AQ7,AT7,BR7,BU7,CS7,CV7),2),0)</f>
        <v>53.04</v>
      </c>
      <c r="O7" s="8" t="str">
        <f t="shared" si="6"/>
        <v>2024 Elite Canada</v>
      </c>
      <c r="P7" s="8">
        <f>IF(COUNT(AQ7,AT7,BR7,BU7,CS7,CV7)&gt;2,MAX(AX7,BY7,CZ7,LARGE((AQ7,AT7,BR7,BU7,CS7,CV7),3)),IF(MAX(AX7,BY7,CZ7)&gt;0,MAX(AX7,BY7,CZ7),0))</f>
        <v>54.489999999999995</v>
      </c>
      <c r="Q7" s="8" t="str">
        <f t="shared" si="7"/>
        <v>2023 3rd Domestic Trial</v>
      </c>
      <c r="R7" s="8">
        <f t="shared" si="8"/>
        <v>14.4</v>
      </c>
      <c r="S7" s="8" t="str">
        <f t="shared" si="9"/>
        <v>2024 Elite Canada</v>
      </c>
      <c r="T7" s="8">
        <f t="shared" si="10"/>
        <v>16.190000000000001</v>
      </c>
      <c r="U7" s="8" t="str">
        <f t="shared" si="11"/>
        <v>2023 3rd Domestic Trial</v>
      </c>
      <c r="V7" s="8">
        <f t="shared" si="12"/>
        <v>0.49000000000000199</v>
      </c>
      <c r="W7" s="11" t="str">
        <f t="shared" si="13"/>
        <v>(Optional)</v>
      </c>
      <c r="X7" s="8" t="str">
        <f t="shared" si="14"/>
        <v>2023 Pan Am Club Championships (May 14)</v>
      </c>
      <c r="Y7" s="22">
        <v>6.85</v>
      </c>
      <c r="Z7" s="22">
        <v>4.5999999999999996</v>
      </c>
      <c r="AA7" s="22">
        <v>6.35</v>
      </c>
      <c r="AB7" s="22">
        <v>7.1800000000000006</v>
      </c>
      <c r="AC7" s="22">
        <v>0</v>
      </c>
      <c r="AD7" s="22">
        <v>10.9</v>
      </c>
      <c r="AE7" s="22">
        <v>6.65</v>
      </c>
      <c r="AF7" s="22">
        <v>9.4499999999999993</v>
      </c>
      <c r="AG7" s="22">
        <v>11.49</v>
      </c>
      <c r="AH7" s="22">
        <v>0.05</v>
      </c>
      <c r="AI7" s="22">
        <v>7.35</v>
      </c>
      <c r="AJ7" s="22">
        <v>4.45</v>
      </c>
      <c r="AK7" s="22">
        <v>6.7</v>
      </c>
      <c r="AL7" s="22">
        <v>7.9349999999999996</v>
      </c>
      <c r="AM7" s="22">
        <v>0.05</v>
      </c>
      <c r="AN7" s="27" t="s">
        <v>46</v>
      </c>
      <c r="AO7" s="38">
        <f t="shared" si="15"/>
        <v>6.35</v>
      </c>
      <c r="AP7" s="38">
        <f t="shared" si="16"/>
        <v>7.1800000000000006</v>
      </c>
      <c r="AQ7" s="40">
        <f t="shared" si="17"/>
        <v>24.979999999999997</v>
      </c>
      <c r="AR7" s="40">
        <f t="shared" si="18"/>
        <v>9.4499999999999993</v>
      </c>
      <c r="AS7" s="40">
        <f t="shared" si="19"/>
        <v>11.49</v>
      </c>
      <c r="AT7" s="40">
        <f t="shared" si="20"/>
        <v>38.440000000000005</v>
      </c>
      <c r="AU7" s="40">
        <f t="shared" si="21"/>
        <v>38.440000000000005</v>
      </c>
      <c r="AV7" s="40">
        <f t="shared" si="22"/>
        <v>6.7</v>
      </c>
      <c r="AW7" s="40">
        <f t="shared" si="23"/>
        <v>7.9349999999999996</v>
      </c>
      <c r="AX7" s="40">
        <f t="shared" si="24"/>
        <v>26.384999999999998</v>
      </c>
      <c r="AY7" s="40">
        <f t="shared" si="25"/>
        <v>64.825000000000003</v>
      </c>
      <c r="AZ7" s="26">
        <v>11.2</v>
      </c>
      <c r="BA7" s="26">
        <v>7.1</v>
      </c>
      <c r="BB7" s="26">
        <v>10.1</v>
      </c>
      <c r="BC7" s="26">
        <v>13.07</v>
      </c>
      <c r="BD7" s="26">
        <v>0</v>
      </c>
      <c r="BE7" s="26">
        <v>15.3</v>
      </c>
      <c r="BF7" s="26">
        <v>9</v>
      </c>
      <c r="BG7" s="26">
        <v>13.4</v>
      </c>
      <c r="BH7" s="26">
        <v>16.309999999999999</v>
      </c>
      <c r="BI7" s="26">
        <v>0.1</v>
      </c>
      <c r="BJ7" s="26">
        <v>15.8</v>
      </c>
      <c r="BK7" s="26">
        <v>8.5</v>
      </c>
      <c r="BL7" s="26">
        <v>14</v>
      </c>
      <c r="BM7" s="26">
        <v>16.190000000000001</v>
      </c>
      <c r="BN7" s="26">
        <v>0</v>
      </c>
      <c r="BO7" s="28"/>
      <c r="BP7" s="39">
        <f t="shared" si="26"/>
        <v>10.1</v>
      </c>
      <c r="BQ7" s="39">
        <f t="shared" si="27"/>
        <v>13.07</v>
      </c>
      <c r="BR7" s="11">
        <f t="shared" si="28"/>
        <v>41.47</v>
      </c>
      <c r="BS7" s="11">
        <f t="shared" si="29"/>
        <v>13.4</v>
      </c>
      <c r="BT7" s="11">
        <f t="shared" si="30"/>
        <v>16.309999999999999</v>
      </c>
      <c r="BU7" s="11">
        <f t="shared" si="31"/>
        <v>53.910000000000004</v>
      </c>
      <c r="BV7" s="11">
        <f t="shared" si="32"/>
        <v>53.910000000000004</v>
      </c>
      <c r="BW7" s="11">
        <f t="shared" si="33"/>
        <v>14</v>
      </c>
      <c r="BX7" s="11">
        <f t="shared" si="34"/>
        <v>16.190000000000001</v>
      </c>
      <c r="BY7" s="11">
        <f t="shared" si="35"/>
        <v>54.489999999999995</v>
      </c>
      <c r="BZ7" s="11">
        <f t="shared" si="36"/>
        <v>108.4</v>
      </c>
      <c r="CA7" s="22">
        <v>1.5</v>
      </c>
      <c r="CB7" s="22">
        <v>0.8</v>
      </c>
      <c r="CC7" s="22">
        <v>2</v>
      </c>
      <c r="CD7" s="22">
        <v>1.64</v>
      </c>
      <c r="CE7" s="22">
        <v>0</v>
      </c>
      <c r="CF7" s="22">
        <v>14.8</v>
      </c>
      <c r="CG7" s="22">
        <v>8.9</v>
      </c>
      <c r="CH7" s="22">
        <v>14.4</v>
      </c>
      <c r="CI7" s="22">
        <v>14.94</v>
      </c>
      <c r="CJ7" s="22">
        <v>0</v>
      </c>
      <c r="CK7" s="22">
        <v>8.9</v>
      </c>
      <c r="CL7" s="22">
        <v>5.0999999999999996</v>
      </c>
      <c r="CM7" s="22">
        <v>5.4</v>
      </c>
      <c r="CN7" s="22">
        <v>8.92</v>
      </c>
      <c r="CO7" s="22">
        <v>0</v>
      </c>
      <c r="CP7" s="27"/>
      <c r="CQ7" s="38">
        <f t="shared" si="37"/>
        <v>2</v>
      </c>
      <c r="CR7" s="38">
        <f t="shared" si="38"/>
        <v>1.64</v>
      </c>
      <c r="CS7" s="40">
        <f t="shared" si="39"/>
        <v>5.9399999999999995</v>
      </c>
      <c r="CT7" s="40">
        <f t="shared" si="40"/>
        <v>14.4</v>
      </c>
      <c r="CU7" s="40">
        <f t="shared" si="41"/>
        <v>14.94</v>
      </c>
      <c r="CV7" s="40">
        <f t="shared" si="42"/>
        <v>53.04</v>
      </c>
      <c r="CW7" s="40">
        <f t="shared" si="43"/>
        <v>53.04</v>
      </c>
      <c r="CX7" s="40">
        <f t="shared" si="44"/>
        <v>5.4</v>
      </c>
      <c r="CY7" s="40">
        <f t="shared" si="45"/>
        <v>8.92</v>
      </c>
      <c r="CZ7" s="40">
        <f t="shared" si="46"/>
        <v>28.32</v>
      </c>
      <c r="DA7" s="40">
        <f t="shared" si="47"/>
        <v>81.36</v>
      </c>
      <c r="DB7" s="50">
        <f t="shared" si="48"/>
        <v>0.49000000000000199</v>
      </c>
      <c r="DC7" s="50" t="str">
        <f t="shared" si="49"/>
        <v/>
      </c>
      <c r="DD7" s="17">
        <v>13.3</v>
      </c>
      <c r="DE7" s="17">
        <v>9.4</v>
      </c>
      <c r="DF7" s="17">
        <v>12.3</v>
      </c>
      <c r="DG7" s="17">
        <v>15.58</v>
      </c>
      <c r="DH7" s="17">
        <v>0</v>
      </c>
      <c r="DI7" s="17">
        <v>14.7</v>
      </c>
      <c r="DJ7" s="17">
        <v>9.1999999999999993</v>
      </c>
      <c r="DK7" s="17">
        <v>13.8</v>
      </c>
      <c r="DL7" s="17">
        <v>15.83</v>
      </c>
      <c r="DM7" s="17">
        <v>0</v>
      </c>
      <c r="DN7" s="17"/>
      <c r="DO7" s="17"/>
      <c r="DP7" s="17"/>
      <c r="DQ7" s="17"/>
      <c r="DR7" s="17"/>
      <c r="DS7" s="17">
        <v>15.1</v>
      </c>
      <c r="DT7" s="17">
        <v>8.8000000000000007</v>
      </c>
      <c r="DU7" s="17">
        <v>13.8</v>
      </c>
      <c r="DV7" s="17">
        <v>15.76</v>
      </c>
      <c r="DW7" s="17">
        <v>0</v>
      </c>
      <c r="DX7" s="40">
        <f t="shared" si="50"/>
        <v>12.3</v>
      </c>
      <c r="DY7" s="40">
        <f t="shared" si="51"/>
        <v>15.58</v>
      </c>
      <c r="DZ7" s="40">
        <f t="shared" si="52"/>
        <v>50.58</v>
      </c>
      <c r="EA7" s="40">
        <f t="shared" si="53"/>
        <v>13.8</v>
      </c>
      <c r="EB7" s="40">
        <f t="shared" si="54"/>
        <v>15.83</v>
      </c>
      <c r="EC7" s="40">
        <f t="shared" si="55"/>
        <v>53.53</v>
      </c>
      <c r="ED7" s="40">
        <f t="shared" si="56"/>
        <v>53.53</v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>
        <f t="shared" si="60"/>
        <v>13.8</v>
      </c>
      <c r="EI7" s="40">
        <f t="shared" si="61"/>
        <v>15.76</v>
      </c>
      <c r="EJ7" s="40">
        <f t="shared" si="62"/>
        <v>53.46</v>
      </c>
      <c r="EK7" s="40">
        <f t="shared" si="63"/>
        <v>106.99000000000001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6.35</v>
      </c>
      <c r="SW7" s="22">
        <f t="shared" si="219"/>
        <v>3.9499999999999997</v>
      </c>
      <c r="SX7" s="22">
        <f t="shared" si="220"/>
        <v>6.05</v>
      </c>
      <c r="SY7" s="22">
        <f t="shared" si="221"/>
        <v>7.3550000000000004</v>
      </c>
      <c r="SZ7" s="22">
        <f t="shared" si="222"/>
        <v>0</v>
      </c>
      <c r="TA7" s="22">
        <f t="shared" si="223"/>
        <v>15.05</v>
      </c>
      <c r="TB7" s="22">
        <f t="shared" si="224"/>
        <v>8.9499999999999993</v>
      </c>
      <c r="TC7" s="22">
        <f t="shared" si="225"/>
        <v>13.9</v>
      </c>
      <c r="TD7" s="22">
        <f t="shared" si="226"/>
        <v>15.625</v>
      </c>
      <c r="TE7" s="22">
        <f t="shared" si="227"/>
        <v>0.05</v>
      </c>
      <c r="TF7" s="22">
        <f t="shared" si="228"/>
        <v>12.350000000000001</v>
      </c>
      <c r="TG7" s="22">
        <f t="shared" si="229"/>
        <v>6.8</v>
      </c>
      <c r="TH7" s="22">
        <f t="shared" si="230"/>
        <v>9.6999999999999993</v>
      </c>
      <c r="TI7" s="22">
        <f t="shared" si="231"/>
        <v>12.555</v>
      </c>
      <c r="TJ7" s="22">
        <f t="shared" si="232"/>
        <v>0</v>
      </c>
      <c r="TK7" s="27" t="s">
        <v>46</v>
      </c>
      <c r="TL7" s="40">
        <f t="shared" si="233"/>
        <v>6.05</v>
      </c>
      <c r="TM7" s="40">
        <f t="shared" si="234"/>
        <v>7.3550000000000004</v>
      </c>
      <c r="TN7" s="40">
        <f t="shared" si="235"/>
        <v>23.704999999999998</v>
      </c>
      <c r="TO7" s="40">
        <f t="shared" si="236"/>
        <v>13.9</v>
      </c>
      <c r="TP7" s="40">
        <f t="shared" si="237"/>
        <v>15.625</v>
      </c>
      <c r="TQ7" s="40">
        <f t="shared" si="238"/>
        <v>53.475000000000001</v>
      </c>
      <c r="TR7" s="40">
        <f t="shared" si="239"/>
        <v>53.475000000000001</v>
      </c>
      <c r="TS7" s="40">
        <f t="shared" si="240"/>
        <v>9.6999999999999993</v>
      </c>
      <c r="TT7" s="40">
        <f t="shared" si="241"/>
        <v>12.555</v>
      </c>
      <c r="TU7" s="40">
        <f t="shared" si="242"/>
        <v>41.405000000000001</v>
      </c>
      <c r="TV7" s="40">
        <f t="shared" si="243"/>
        <v>94.88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200</v>
      </c>
      <c r="D8" s="4" t="s">
        <v>4</v>
      </c>
      <c r="E8" s="4">
        <v>2007</v>
      </c>
      <c r="F8" s="9">
        <f t="shared" si="0"/>
        <v>191.85001918500538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53.759999999999991</v>
      </c>
      <c r="M8" s="8" t="str">
        <f t="shared" si="5"/>
        <v>2023 3rd Domestic Trial</v>
      </c>
      <c r="N8" s="8">
        <f>IF(COUNT(AQ8,AT8,BR8,BU8,CS8,CV8)&gt;1,LARGE((AQ8,AT8,BR8,BU8,CS8,CV8),2),0)</f>
        <v>53.5</v>
      </c>
      <c r="O8" s="8" t="str">
        <f t="shared" si="6"/>
        <v>2024 Elite Canada</v>
      </c>
      <c r="P8" s="8">
        <f>IF(COUNT(AQ8,AT8,BR8,BU8,CS8,CV8)&gt;2,MAX(AX8,BY8,CZ8,LARGE((AQ8,AT8,BR8,BU8,CS8,CV8),3)),IF(MAX(AX8,BY8,CZ8)&gt;0,MAX(AX8,BY8,CZ8),0))</f>
        <v>53.93</v>
      </c>
      <c r="Q8" s="8" t="str">
        <f t="shared" si="7"/>
        <v>2023 3rd Domestic Trial</v>
      </c>
      <c r="R8" s="8">
        <f t="shared" si="8"/>
        <v>15.000000000000002</v>
      </c>
      <c r="S8" s="8" t="str">
        <f t="shared" si="9"/>
        <v>2023 3rd Domestic Trial</v>
      </c>
      <c r="T8" s="8">
        <f t="shared" si="10"/>
        <v>15.66</v>
      </c>
      <c r="U8" s="8" t="str">
        <f t="shared" si="11"/>
        <v>2023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15.9</v>
      </c>
      <c r="Z8" s="22">
        <v>9.1999999999999993</v>
      </c>
      <c r="AA8" s="22">
        <v>12.7</v>
      </c>
      <c r="AB8" s="22">
        <v>14.98</v>
      </c>
      <c r="AC8" s="22">
        <v>0</v>
      </c>
      <c r="AD8" s="22"/>
      <c r="AE8" s="22"/>
      <c r="AF8" s="22"/>
      <c r="AG8" s="22"/>
      <c r="AH8" s="22"/>
      <c r="AI8" s="22">
        <v>14</v>
      </c>
      <c r="AJ8" s="22">
        <v>8.9</v>
      </c>
      <c r="AK8" s="22">
        <v>12.6</v>
      </c>
      <c r="AL8" s="22">
        <v>14.63</v>
      </c>
      <c r="AM8" s="22">
        <v>0</v>
      </c>
      <c r="AN8" s="27"/>
      <c r="AO8" s="38">
        <f t="shared" si="15"/>
        <v>12.7</v>
      </c>
      <c r="AP8" s="38">
        <f t="shared" si="16"/>
        <v>14.98</v>
      </c>
      <c r="AQ8" s="40">
        <f t="shared" si="17"/>
        <v>52.78</v>
      </c>
      <c r="AR8" s="40" t="str">
        <f t="shared" si="18"/>
        <v/>
      </c>
      <c r="AS8" s="40" t="str">
        <f t="shared" si="19"/>
        <v/>
      </c>
      <c r="AT8" s="40" t="str">
        <f t="shared" si="20"/>
        <v/>
      </c>
      <c r="AU8" s="40">
        <f t="shared" si="21"/>
        <v>52.78</v>
      </c>
      <c r="AV8" s="40">
        <f t="shared" si="22"/>
        <v>12.6</v>
      </c>
      <c r="AW8" s="40">
        <f t="shared" si="23"/>
        <v>14.63</v>
      </c>
      <c r="AX8" s="40">
        <f t="shared" si="24"/>
        <v>50.13</v>
      </c>
      <c r="AY8" s="40">
        <f t="shared" si="25"/>
        <v>102.91</v>
      </c>
      <c r="AZ8" s="26">
        <v>15.4</v>
      </c>
      <c r="BA8" s="26">
        <v>9</v>
      </c>
      <c r="BB8" s="26">
        <v>13.7</v>
      </c>
      <c r="BC8" s="26">
        <v>15.66</v>
      </c>
      <c r="BD8" s="26">
        <v>0</v>
      </c>
      <c r="BE8" s="26"/>
      <c r="BF8" s="26"/>
      <c r="BG8" s="26"/>
      <c r="BH8" s="26"/>
      <c r="BI8" s="26"/>
      <c r="BJ8" s="26">
        <v>14.4</v>
      </c>
      <c r="BK8" s="26">
        <v>9.1</v>
      </c>
      <c r="BL8" s="26">
        <v>15.000000000000002</v>
      </c>
      <c r="BM8" s="26">
        <v>15.43</v>
      </c>
      <c r="BN8" s="26">
        <v>0</v>
      </c>
      <c r="BO8" s="28"/>
      <c r="BP8" s="39">
        <f t="shared" si="26"/>
        <v>13.7</v>
      </c>
      <c r="BQ8" s="39">
        <f t="shared" si="27"/>
        <v>15.66</v>
      </c>
      <c r="BR8" s="11">
        <f t="shared" si="28"/>
        <v>53.759999999999991</v>
      </c>
      <c r="BS8" s="11" t="str">
        <f t="shared" si="29"/>
        <v/>
      </c>
      <c r="BT8" s="11" t="str">
        <f t="shared" si="30"/>
        <v/>
      </c>
      <c r="BU8" s="11" t="str">
        <f t="shared" si="31"/>
        <v/>
      </c>
      <c r="BV8" s="11">
        <f t="shared" si="32"/>
        <v>53.759999999999991</v>
      </c>
      <c r="BW8" s="11">
        <f t="shared" si="33"/>
        <v>15.000000000000002</v>
      </c>
      <c r="BX8" s="11">
        <f t="shared" si="34"/>
        <v>15.43</v>
      </c>
      <c r="BY8" s="11">
        <f t="shared" si="35"/>
        <v>53.93</v>
      </c>
      <c r="BZ8" s="11">
        <f t="shared" si="36"/>
        <v>107.69</v>
      </c>
      <c r="CA8" s="22">
        <v>15.3</v>
      </c>
      <c r="CB8" s="22">
        <v>9.1</v>
      </c>
      <c r="CC8" s="22">
        <v>13.4</v>
      </c>
      <c r="CD8" s="22">
        <v>15.04</v>
      </c>
      <c r="CE8" s="22">
        <v>0.1</v>
      </c>
      <c r="CF8" s="22">
        <v>15.1</v>
      </c>
      <c r="CG8" s="22">
        <v>9</v>
      </c>
      <c r="CH8" s="22">
        <v>14</v>
      </c>
      <c r="CI8" s="22">
        <v>15.4</v>
      </c>
      <c r="CJ8" s="22">
        <v>0</v>
      </c>
      <c r="CK8" s="22">
        <v>11.1</v>
      </c>
      <c r="CL8" s="22">
        <v>6.3</v>
      </c>
      <c r="CM8" s="22">
        <v>10.3</v>
      </c>
      <c r="CN8" s="22">
        <v>10.92</v>
      </c>
      <c r="CO8" s="22">
        <v>0</v>
      </c>
      <c r="CP8" s="27"/>
      <c r="CQ8" s="38">
        <f t="shared" si="37"/>
        <v>13.4</v>
      </c>
      <c r="CR8" s="38">
        <f t="shared" si="38"/>
        <v>15.04</v>
      </c>
      <c r="CS8" s="40">
        <f t="shared" si="39"/>
        <v>52.739999999999995</v>
      </c>
      <c r="CT8" s="40">
        <f t="shared" si="40"/>
        <v>14</v>
      </c>
      <c r="CU8" s="40">
        <f t="shared" si="41"/>
        <v>15.4</v>
      </c>
      <c r="CV8" s="40">
        <f t="shared" si="42"/>
        <v>53.5</v>
      </c>
      <c r="CW8" s="40">
        <f t="shared" si="43"/>
        <v>53.5</v>
      </c>
      <c r="CX8" s="40">
        <f t="shared" si="44"/>
        <v>10.3</v>
      </c>
      <c r="CY8" s="40">
        <f t="shared" si="45"/>
        <v>10.92</v>
      </c>
      <c r="CZ8" s="40">
        <f t="shared" si="46"/>
        <v>38.619999999999997</v>
      </c>
      <c r="DA8" s="40">
        <f t="shared" si="47"/>
        <v>92.12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>
        <v>6</v>
      </c>
      <c r="HC8" s="18">
        <v>3.8</v>
      </c>
      <c r="HD8" s="18">
        <v>5.2</v>
      </c>
      <c r="HE8" s="18">
        <v>6.4</v>
      </c>
      <c r="HF8" s="18">
        <v>0</v>
      </c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2"/>
        <v>5.2</v>
      </c>
      <c r="HW8" s="11">
        <f t="shared" si="93"/>
        <v>6.4</v>
      </c>
      <c r="HX8" s="11">
        <f t="shared" si="94"/>
        <v>21.4</v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>
        <f t="shared" si="98"/>
        <v>21.4</v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>
        <f t="shared" si="105"/>
        <v>21.4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15.350000000000001</v>
      </c>
      <c r="SW8" s="22">
        <f t="shared" si="219"/>
        <v>9.0500000000000007</v>
      </c>
      <c r="SX8" s="22">
        <f t="shared" si="220"/>
        <v>13.55</v>
      </c>
      <c r="SY8" s="22">
        <f t="shared" si="221"/>
        <v>15.35</v>
      </c>
      <c r="SZ8" s="22">
        <f t="shared" si="222"/>
        <v>0.05</v>
      </c>
      <c r="TA8" s="22">
        <f t="shared" si="223"/>
        <v>7.55</v>
      </c>
      <c r="TB8" s="22">
        <f t="shared" si="224"/>
        <v>4.5</v>
      </c>
      <c r="TC8" s="22">
        <f t="shared" si="225"/>
        <v>7</v>
      </c>
      <c r="TD8" s="22">
        <f t="shared" si="226"/>
        <v>7.7</v>
      </c>
      <c r="TE8" s="22">
        <f t="shared" si="227"/>
        <v>0</v>
      </c>
      <c r="TF8" s="22">
        <f t="shared" si="228"/>
        <v>12.75</v>
      </c>
      <c r="TG8" s="22">
        <f t="shared" si="229"/>
        <v>7.6999999999999993</v>
      </c>
      <c r="TH8" s="22">
        <f t="shared" si="230"/>
        <v>12.650000000000002</v>
      </c>
      <c r="TI8" s="22">
        <f t="shared" si="231"/>
        <v>13.175000000000001</v>
      </c>
      <c r="TJ8" s="22">
        <f t="shared" si="232"/>
        <v>0</v>
      </c>
      <c r="TK8" s="27" t="s">
        <v>46</v>
      </c>
      <c r="TL8" s="40">
        <f t="shared" si="233"/>
        <v>13.55</v>
      </c>
      <c r="TM8" s="40">
        <f t="shared" si="234"/>
        <v>15.35</v>
      </c>
      <c r="TN8" s="40">
        <f t="shared" si="235"/>
        <v>53.250000000000007</v>
      </c>
      <c r="TO8" s="40">
        <f t="shared" si="236"/>
        <v>7</v>
      </c>
      <c r="TP8" s="40">
        <f t="shared" si="237"/>
        <v>7.7</v>
      </c>
      <c r="TQ8" s="40">
        <f t="shared" si="238"/>
        <v>26.75</v>
      </c>
      <c r="TR8" s="40">
        <f t="shared" si="239"/>
        <v>53.250000000000007</v>
      </c>
      <c r="TS8" s="40">
        <f t="shared" si="240"/>
        <v>12.650000000000002</v>
      </c>
      <c r="TT8" s="40">
        <f t="shared" si="241"/>
        <v>13.175000000000001</v>
      </c>
      <c r="TU8" s="40">
        <f t="shared" si="242"/>
        <v>46.275000000000006</v>
      </c>
      <c r="TV8" s="40">
        <f t="shared" si="243"/>
        <v>99.525000000000006</v>
      </c>
    </row>
    <row r="9" spans="1:542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3</v>
      </c>
      <c r="C9" s="5" t="s">
        <v>109</v>
      </c>
      <c r="D9" s="4" t="s">
        <v>3</v>
      </c>
      <c r="E9" s="4">
        <v>2005</v>
      </c>
      <c r="F9" s="9">
        <f t="shared" si="0"/>
        <v>189.97001899700544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54.05</v>
      </c>
      <c r="M9" s="8" t="str">
        <f t="shared" si="5"/>
        <v>2023 Nationals</v>
      </c>
      <c r="N9" s="8">
        <f>IF(COUNT(AQ9,AT9,BR9,BU9,CS9,CV9)&gt;1,LARGE((AQ9,AT9,BR9,BU9,CS9,CV9),2),0)</f>
        <v>53.04</v>
      </c>
      <c r="O9" s="8" t="str">
        <f t="shared" si="6"/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 t="shared" si="7"/>
        <v>2023 Nationals</v>
      </c>
      <c r="R9" s="8">
        <f t="shared" si="8"/>
        <v>14</v>
      </c>
      <c r="S9" s="8" t="str">
        <f t="shared" si="9"/>
        <v>2024 Elite Canada</v>
      </c>
      <c r="T9" s="8">
        <f t="shared" si="10"/>
        <v>15.55</v>
      </c>
      <c r="U9" s="8" t="str">
        <f t="shared" si="11"/>
        <v>2023 Nationals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15.2</v>
      </c>
      <c r="Z9" s="22">
        <v>9.6</v>
      </c>
      <c r="AA9" s="22">
        <v>13.7</v>
      </c>
      <c r="AB9" s="22">
        <v>15.55</v>
      </c>
      <c r="AC9" s="22">
        <v>0</v>
      </c>
      <c r="AD9" s="22">
        <v>15.2</v>
      </c>
      <c r="AE9" s="22">
        <v>8.9</v>
      </c>
      <c r="AF9" s="22">
        <v>13.7</v>
      </c>
      <c r="AG9" s="22">
        <v>15.24</v>
      </c>
      <c r="AH9" s="22">
        <v>0</v>
      </c>
      <c r="AI9" s="22">
        <v>15.1</v>
      </c>
      <c r="AJ9" s="22">
        <v>9</v>
      </c>
      <c r="AK9" s="22">
        <v>13.7</v>
      </c>
      <c r="AL9" s="22">
        <v>15.53</v>
      </c>
      <c r="AM9" s="22">
        <v>0</v>
      </c>
      <c r="AN9" s="27"/>
      <c r="AO9" s="38">
        <f t="shared" si="15"/>
        <v>13.7</v>
      </c>
      <c r="AP9" s="38">
        <f t="shared" si="16"/>
        <v>15.55</v>
      </c>
      <c r="AQ9" s="40">
        <f t="shared" si="17"/>
        <v>54.05</v>
      </c>
      <c r="AR9" s="40">
        <f t="shared" si="18"/>
        <v>13.7</v>
      </c>
      <c r="AS9" s="40">
        <f t="shared" si="19"/>
        <v>15.24</v>
      </c>
      <c r="AT9" s="40">
        <f t="shared" si="20"/>
        <v>53.04</v>
      </c>
      <c r="AU9" s="40">
        <f t="shared" si="21"/>
        <v>54.05</v>
      </c>
      <c r="AV9" s="40">
        <f t="shared" si="22"/>
        <v>13.7</v>
      </c>
      <c r="AW9" s="40">
        <f t="shared" si="23"/>
        <v>15.53</v>
      </c>
      <c r="AX9" s="40">
        <f t="shared" si="24"/>
        <v>53.33</v>
      </c>
      <c r="AY9" s="40">
        <f t="shared" si="25"/>
        <v>107.38</v>
      </c>
      <c r="AZ9" s="26">
        <v>5.9</v>
      </c>
      <c r="BA9" s="26">
        <v>3.6</v>
      </c>
      <c r="BB9" s="26">
        <v>6.5</v>
      </c>
      <c r="BC9" s="26">
        <v>6.48</v>
      </c>
      <c r="BD9" s="26">
        <v>0</v>
      </c>
      <c r="BE9" s="26">
        <v>13.4</v>
      </c>
      <c r="BF9" s="26">
        <v>9.4</v>
      </c>
      <c r="BG9" s="26">
        <v>14</v>
      </c>
      <c r="BH9" s="26">
        <v>15.15</v>
      </c>
      <c r="BI9" s="26">
        <v>0.2</v>
      </c>
      <c r="BJ9" s="26"/>
      <c r="BK9" s="26"/>
      <c r="BL9" s="26"/>
      <c r="BM9" s="26"/>
      <c r="BN9" s="26"/>
      <c r="BO9" s="28"/>
      <c r="BP9" s="39">
        <f t="shared" si="26"/>
        <v>6.5</v>
      </c>
      <c r="BQ9" s="39">
        <f t="shared" si="27"/>
        <v>6.48</v>
      </c>
      <c r="BR9" s="11">
        <f t="shared" si="28"/>
        <v>22.48</v>
      </c>
      <c r="BS9" s="11">
        <f t="shared" si="29"/>
        <v>14</v>
      </c>
      <c r="BT9" s="11">
        <f t="shared" si="30"/>
        <v>15.15</v>
      </c>
      <c r="BU9" s="11">
        <f t="shared" si="31"/>
        <v>51.749999999999993</v>
      </c>
      <c r="BV9" s="11">
        <f t="shared" si="32"/>
        <v>51.749999999999993</v>
      </c>
      <c r="BW9" s="11" t="str">
        <f t="shared" si="33"/>
        <v/>
      </c>
      <c r="BX9" s="11" t="str">
        <f t="shared" si="34"/>
        <v/>
      </c>
      <c r="BY9" s="11" t="str">
        <f t="shared" si="35"/>
        <v/>
      </c>
      <c r="BZ9" s="11">
        <f t="shared" si="36"/>
        <v>51.749999999999993</v>
      </c>
      <c r="CA9" s="22">
        <v>14.7</v>
      </c>
      <c r="CB9" s="22">
        <v>8.9</v>
      </c>
      <c r="CC9" s="22">
        <v>14</v>
      </c>
      <c r="CD9" s="22">
        <v>14.87</v>
      </c>
      <c r="CE9" s="22">
        <v>0</v>
      </c>
      <c r="CF9" s="22">
        <v>14</v>
      </c>
      <c r="CG9" s="22">
        <v>8.1</v>
      </c>
      <c r="CH9" s="22">
        <v>12.4</v>
      </c>
      <c r="CI9" s="22">
        <v>14.01</v>
      </c>
      <c r="CJ9" s="22">
        <v>0</v>
      </c>
      <c r="CK9" s="22">
        <v>4.4000000000000004</v>
      </c>
      <c r="CL9" s="22">
        <v>2.5</v>
      </c>
      <c r="CM9" s="22">
        <v>5.0999999999999996</v>
      </c>
      <c r="CN9" s="22">
        <v>6.38</v>
      </c>
      <c r="CO9" s="22">
        <v>0</v>
      </c>
      <c r="CP9" s="27"/>
      <c r="CQ9" s="38">
        <f t="shared" si="37"/>
        <v>14</v>
      </c>
      <c r="CR9" s="38">
        <f t="shared" si="38"/>
        <v>14.87</v>
      </c>
      <c r="CS9" s="40">
        <f t="shared" si="39"/>
        <v>52.47</v>
      </c>
      <c r="CT9" s="40">
        <f t="shared" si="40"/>
        <v>12.4</v>
      </c>
      <c r="CU9" s="40">
        <f t="shared" si="41"/>
        <v>14.01</v>
      </c>
      <c r="CV9" s="40">
        <f t="shared" si="42"/>
        <v>48.51</v>
      </c>
      <c r="CW9" s="40">
        <f t="shared" si="43"/>
        <v>52.47</v>
      </c>
      <c r="CX9" s="40">
        <f t="shared" si="44"/>
        <v>5.0999999999999996</v>
      </c>
      <c r="CY9" s="40">
        <f t="shared" si="45"/>
        <v>6.38</v>
      </c>
      <c r="CZ9" s="40">
        <f t="shared" si="46"/>
        <v>18.38</v>
      </c>
      <c r="DA9" s="40">
        <f t="shared" si="47"/>
        <v>70.849999999999994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>
        <v>5.3</v>
      </c>
      <c r="HC9" s="18">
        <v>3.8</v>
      </c>
      <c r="HD9" s="18">
        <v>6.5</v>
      </c>
      <c r="HE9" s="18">
        <v>6.33</v>
      </c>
      <c r="HF9" s="18">
        <v>0</v>
      </c>
      <c r="HG9" s="18">
        <v>13.3</v>
      </c>
      <c r="HH9" s="18">
        <v>9.3000000000000007</v>
      </c>
      <c r="HI9" s="18">
        <v>14</v>
      </c>
      <c r="HJ9" s="18">
        <v>15.27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 t="shared" si="92"/>
        <v>6.5</v>
      </c>
      <c r="HW9" s="11">
        <f t="shared" si="93"/>
        <v>6.33</v>
      </c>
      <c r="HX9" s="11">
        <f t="shared" si="94"/>
        <v>21.93</v>
      </c>
      <c r="HY9" s="11">
        <f t="shared" si="95"/>
        <v>14</v>
      </c>
      <c r="HZ9" s="11">
        <f t="shared" si="96"/>
        <v>15.27</v>
      </c>
      <c r="IA9" s="11">
        <f t="shared" si="97"/>
        <v>51.870000000000005</v>
      </c>
      <c r="IB9" s="11">
        <f t="shared" si="98"/>
        <v>51.870000000000005</v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>
        <f t="shared" si="105"/>
        <v>51.870000000000005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10.3</v>
      </c>
      <c r="SW9" s="22">
        <f t="shared" si="219"/>
        <v>6.25</v>
      </c>
      <c r="SX9" s="22">
        <f t="shared" si="220"/>
        <v>10.25</v>
      </c>
      <c r="SY9" s="22">
        <f t="shared" si="221"/>
        <v>10.675000000000001</v>
      </c>
      <c r="SZ9" s="22">
        <f t="shared" si="222"/>
        <v>0</v>
      </c>
      <c r="TA9" s="22">
        <f t="shared" si="223"/>
        <v>13.7</v>
      </c>
      <c r="TB9" s="22">
        <f t="shared" si="224"/>
        <v>8.75</v>
      </c>
      <c r="TC9" s="22">
        <f t="shared" si="225"/>
        <v>13.2</v>
      </c>
      <c r="TD9" s="22">
        <f t="shared" si="226"/>
        <v>14.58</v>
      </c>
      <c r="TE9" s="22">
        <f t="shared" si="227"/>
        <v>0.1</v>
      </c>
      <c r="TF9" s="22">
        <f t="shared" si="228"/>
        <v>2.2000000000000002</v>
      </c>
      <c r="TG9" s="22">
        <f t="shared" si="229"/>
        <v>1.25</v>
      </c>
      <c r="TH9" s="22">
        <f t="shared" si="230"/>
        <v>2.5499999999999998</v>
      </c>
      <c r="TI9" s="22">
        <f t="shared" si="231"/>
        <v>3.19</v>
      </c>
      <c r="TJ9" s="22">
        <f t="shared" si="232"/>
        <v>0</v>
      </c>
      <c r="TK9" s="27" t="s">
        <v>46</v>
      </c>
      <c r="TL9" s="40">
        <f t="shared" si="233"/>
        <v>10.25</v>
      </c>
      <c r="TM9" s="40">
        <f t="shared" si="234"/>
        <v>10.675000000000001</v>
      </c>
      <c r="TN9" s="40">
        <f t="shared" si="235"/>
        <v>37.475000000000001</v>
      </c>
      <c r="TO9" s="40">
        <f t="shared" si="236"/>
        <v>13.2</v>
      </c>
      <c r="TP9" s="40">
        <f t="shared" si="237"/>
        <v>14.58</v>
      </c>
      <c r="TQ9" s="40">
        <f t="shared" si="238"/>
        <v>50.129999999999995</v>
      </c>
      <c r="TR9" s="40">
        <f t="shared" si="239"/>
        <v>50.129999999999995</v>
      </c>
      <c r="TS9" s="40">
        <f t="shared" si="240"/>
        <v>2.5499999999999998</v>
      </c>
      <c r="TT9" s="40">
        <f t="shared" si="241"/>
        <v>3.19</v>
      </c>
      <c r="TU9" s="40">
        <f t="shared" si="242"/>
        <v>9.19</v>
      </c>
      <c r="TV9" s="40">
        <f t="shared" si="243"/>
        <v>59.319999999999993</v>
      </c>
    </row>
    <row r="10" spans="1:542" x14ac:dyDescent="0.2">
      <c r="A10" s="4" t="str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/>
      </c>
      <c r="B10" s="4" t="str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/>
      </c>
      <c r="C10" s="5" t="s">
        <v>65</v>
      </c>
      <c r="D10" s="4" t="s">
        <v>4</v>
      </c>
      <c r="E10" s="4">
        <v>2003</v>
      </c>
      <c r="F10" s="9">
        <f t="shared" si="0"/>
        <v>187.30001871100527</v>
      </c>
      <c r="G10" s="66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52.440000000000005</v>
      </c>
      <c r="M10" s="8" t="str">
        <f t="shared" si="5"/>
        <v>2023 3rd Domestic Trial</v>
      </c>
      <c r="N10" s="8">
        <f>IF(COUNT(AQ10,AT10,BR10,BU10,CS10,CV10)&gt;1,LARGE((AQ10,AT10,BR10,BU10,CS10,CV10),2),0)</f>
        <v>51.69</v>
      </c>
      <c r="O10" s="8" t="str">
        <f t="shared" si="6"/>
        <v>2023 3rd Domestic Trial</v>
      </c>
      <c r="P10" s="8">
        <f>IF(COUNT(AQ10,AT10,BR10,BU10,CS10,CV10)&gt;2,MAX(AX10,BY10,CZ10,LARGE((AQ10,AT10,BR10,BU10,CS10,CV10),3)),IF(MAX(AX10,BY10,CZ10)&gt;0,MAX(AX10,BY10,CZ10),0))</f>
        <v>52.790000000000006</v>
      </c>
      <c r="Q10" s="8" t="str">
        <f t="shared" si="7"/>
        <v>2023 3rd Domestic Trial</v>
      </c>
      <c r="R10" s="8">
        <f t="shared" si="8"/>
        <v>14.6</v>
      </c>
      <c r="S10" s="8" t="str">
        <f t="shared" si="9"/>
        <v>2023 3rd Domestic Trial</v>
      </c>
      <c r="T10" s="8">
        <f t="shared" si="10"/>
        <v>15.59</v>
      </c>
      <c r="U10" s="8" t="str">
        <f t="shared" si="11"/>
        <v>2023 3rd Domestic Trial</v>
      </c>
      <c r="V10" s="8">
        <f t="shared" si="12"/>
        <v>0.18999999999999773</v>
      </c>
      <c r="W10" s="11" t="str">
        <f t="shared" si="13"/>
        <v>(Optional)</v>
      </c>
      <c r="X10" s="8" t="str">
        <f t="shared" si="14"/>
        <v>2023 Pan Am Club Championships (May 14)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12.1</v>
      </c>
      <c r="AE10" s="22">
        <v>8.9</v>
      </c>
      <c r="AF10" s="22">
        <v>14.2</v>
      </c>
      <c r="AG10" s="22">
        <v>14.45</v>
      </c>
      <c r="AH10" s="22">
        <v>0</v>
      </c>
      <c r="AI10" s="22">
        <v>4.2</v>
      </c>
      <c r="AJ10" s="22">
        <v>2.7</v>
      </c>
      <c r="AK10" s="22">
        <v>4.9000000000000004</v>
      </c>
      <c r="AL10" s="22">
        <v>4.71</v>
      </c>
      <c r="AM10" s="22">
        <v>0</v>
      </c>
      <c r="AN10" s="27"/>
      <c r="AO10" s="38" t="str">
        <f t="shared" si="15"/>
        <v/>
      </c>
      <c r="AP10" s="38" t="str">
        <f t="shared" si="16"/>
        <v/>
      </c>
      <c r="AQ10" s="40" t="str">
        <f t="shared" si="17"/>
        <v/>
      </c>
      <c r="AR10" s="40">
        <f t="shared" si="18"/>
        <v>14.2</v>
      </c>
      <c r="AS10" s="40">
        <f t="shared" si="19"/>
        <v>14.45</v>
      </c>
      <c r="AT10" s="40">
        <f t="shared" si="20"/>
        <v>49.650000000000006</v>
      </c>
      <c r="AU10" s="40" t="str">
        <f t="shared" si="21"/>
        <v/>
      </c>
      <c r="AV10" s="40">
        <f t="shared" si="22"/>
        <v>4.9000000000000004</v>
      </c>
      <c r="AW10" s="40">
        <f t="shared" si="23"/>
        <v>4.71</v>
      </c>
      <c r="AX10" s="40">
        <f t="shared" si="24"/>
        <v>16.510000000000002</v>
      </c>
      <c r="AY10" s="40">
        <f t="shared" si="25"/>
        <v>16.510000000000002</v>
      </c>
      <c r="AZ10" s="26">
        <v>14.9</v>
      </c>
      <c r="BA10" s="26">
        <v>8.8000000000000007</v>
      </c>
      <c r="BB10" s="26">
        <v>13.5</v>
      </c>
      <c r="BC10" s="26">
        <v>15.24</v>
      </c>
      <c r="BD10" s="26">
        <v>0</v>
      </c>
      <c r="BE10" s="26">
        <v>13</v>
      </c>
      <c r="BF10" s="26">
        <v>8.6999999999999993</v>
      </c>
      <c r="BG10" s="26">
        <v>14.6</v>
      </c>
      <c r="BH10" s="26">
        <v>15.39</v>
      </c>
      <c r="BI10" s="26">
        <v>0</v>
      </c>
      <c r="BJ10" s="26">
        <v>14.4</v>
      </c>
      <c r="BK10" s="26">
        <v>9.1</v>
      </c>
      <c r="BL10" s="26">
        <v>13.7</v>
      </c>
      <c r="BM10" s="26">
        <v>15.59</v>
      </c>
      <c r="BN10" s="26">
        <v>0</v>
      </c>
      <c r="BO10" s="28"/>
      <c r="BP10" s="39">
        <f t="shared" si="26"/>
        <v>13.5</v>
      </c>
      <c r="BQ10" s="39">
        <f t="shared" si="27"/>
        <v>15.24</v>
      </c>
      <c r="BR10" s="11">
        <f t="shared" si="28"/>
        <v>52.440000000000005</v>
      </c>
      <c r="BS10" s="11">
        <f t="shared" si="29"/>
        <v>14.6</v>
      </c>
      <c r="BT10" s="11">
        <f t="shared" si="30"/>
        <v>15.39</v>
      </c>
      <c r="BU10" s="11">
        <f t="shared" si="31"/>
        <v>51.69</v>
      </c>
      <c r="BV10" s="11">
        <f t="shared" si="32"/>
        <v>52.440000000000005</v>
      </c>
      <c r="BW10" s="11">
        <f t="shared" si="33"/>
        <v>13.7</v>
      </c>
      <c r="BX10" s="11">
        <f t="shared" si="34"/>
        <v>15.59</v>
      </c>
      <c r="BY10" s="11">
        <f t="shared" si="35"/>
        <v>52.790000000000006</v>
      </c>
      <c r="BZ10" s="11">
        <f t="shared" si="36"/>
        <v>105.23000000000002</v>
      </c>
      <c r="CA10" s="22">
        <v>13.5</v>
      </c>
      <c r="CB10" s="22">
        <v>8</v>
      </c>
      <c r="CC10" s="22">
        <v>12.1</v>
      </c>
      <c r="CD10" s="22">
        <v>13.85</v>
      </c>
      <c r="CE10" s="22">
        <v>0</v>
      </c>
      <c r="CF10" s="22">
        <v>12.4</v>
      </c>
      <c r="CG10" s="22">
        <v>9.6</v>
      </c>
      <c r="CH10" s="22">
        <v>12.7</v>
      </c>
      <c r="CI10" s="22">
        <v>15.02</v>
      </c>
      <c r="CJ10" s="22">
        <v>0.8</v>
      </c>
      <c r="CK10" s="22"/>
      <c r="CL10" s="22"/>
      <c r="CM10" s="22"/>
      <c r="CN10" s="22"/>
      <c r="CO10" s="22"/>
      <c r="CP10" s="27"/>
      <c r="CQ10" s="38">
        <f t="shared" si="37"/>
        <v>12.1</v>
      </c>
      <c r="CR10" s="38">
        <f t="shared" si="38"/>
        <v>13.85</v>
      </c>
      <c r="CS10" s="40">
        <f t="shared" si="39"/>
        <v>47.45</v>
      </c>
      <c r="CT10" s="40">
        <f t="shared" si="40"/>
        <v>12.7</v>
      </c>
      <c r="CU10" s="40">
        <f t="shared" si="41"/>
        <v>15.02</v>
      </c>
      <c r="CV10" s="40">
        <f t="shared" si="42"/>
        <v>48.92</v>
      </c>
      <c r="CW10" s="40">
        <f t="shared" si="43"/>
        <v>48.92</v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>
        <f t="shared" si="47"/>
        <v>48.92</v>
      </c>
      <c r="DB10" s="50">
        <f t="shared" si="48"/>
        <v>0.18999999999999773</v>
      </c>
      <c r="DC10" s="50" t="str">
        <f t="shared" si="49"/>
        <v/>
      </c>
      <c r="DD10" s="17">
        <v>13.9</v>
      </c>
      <c r="DE10" s="17">
        <v>9.5</v>
      </c>
      <c r="DF10" s="17">
        <v>13.7</v>
      </c>
      <c r="DG10" s="17">
        <v>14.78</v>
      </c>
      <c r="DH10" s="17">
        <v>0</v>
      </c>
      <c r="DI10" s="17">
        <v>2.6</v>
      </c>
      <c r="DJ10" s="17">
        <v>1.7</v>
      </c>
      <c r="DK10" s="17">
        <v>3.2</v>
      </c>
      <c r="DL10" s="17">
        <v>3.28</v>
      </c>
      <c r="DM10" s="17">
        <v>0</v>
      </c>
      <c r="DN10" s="17"/>
      <c r="DO10" s="17"/>
      <c r="DP10" s="17"/>
      <c r="DQ10" s="17"/>
      <c r="DR10" s="17"/>
      <c r="DS10" s="17">
        <v>5.5</v>
      </c>
      <c r="DT10" s="17">
        <v>3.7</v>
      </c>
      <c r="DU10" s="17">
        <v>5.8</v>
      </c>
      <c r="DV10" s="17">
        <v>6.33</v>
      </c>
      <c r="DW10" s="17">
        <v>0</v>
      </c>
      <c r="DX10" s="40">
        <f t="shared" si="50"/>
        <v>13.7</v>
      </c>
      <c r="DY10" s="40">
        <f t="shared" si="51"/>
        <v>14.78</v>
      </c>
      <c r="DZ10" s="40">
        <f t="shared" si="52"/>
        <v>51.879999999999995</v>
      </c>
      <c r="EA10" s="40">
        <f t="shared" si="53"/>
        <v>3.2</v>
      </c>
      <c r="EB10" s="40">
        <f t="shared" si="54"/>
        <v>3.28</v>
      </c>
      <c r="EC10" s="40">
        <f t="shared" si="55"/>
        <v>10.78</v>
      </c>
      <c r="ED10" s="40">
        <f t="shared" si="56"/>
        <v>51.879999999999995</v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>
        <f t="shared" si="60"/>
        <v>5.8</v>
      </c>
      <c r="EI10" s="40">
        <f t="shared" si="61"/>
        <v>6.33</v>
      </c>
      <c r="EJ10" s="40">
        <f t="shared" si="62"/>
        <v>21.33</v>
      </c>
      <c r="EK10" s="40">
        <f t="shared" si="63"/>
        <v>73.209999999999994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14.2</v>
      </c>
      <c r="SW10" s="22">
        <f t="shared" si="219"/>
        <v>8.4</v>
      </c>
      <c r="SX10" s="22">
        <f t="shared" si="220"/>
        <v>12.8</v>
      </c>
      <c r="SY10" s="22">
        <f t="shared" si="221"/>
        <v>14.545</v>
      </c>
      <c r="SZ10" s="22">
        <f t="shared" si="222"/>
        <v>0</v>
      </c>
      <c r="TA10" s="22">
        <f t="shared" si="223"/>
        <v>12.7</v>
      </c>
      <c r="TB10" s="22">
        <f t="shared" si="224"/>
        <v>9.1499999999999986</v>
      </c>
      <c r="TC10" s="22">
        <f t="shared" si="225"/>
        <v>13.649999999999999</v>
      </c>
      <c r="TD10" s="22">
        <f t="shared" si="226"/>
        <v>15.205</v>
      </c>
      <c r="TE10" s="22">
        <f t="shared" si="227"/>
        <v>0.4</v>
      </c>
      <c r="TF10" s="22">
        <f t="shared" si="228"/>
        <v>7.2</v>
      </c>
      <c r="TG10" s="22">
        <f t="shared" si="229"/>
        <v>4.55</v>
      </c>
      <c r="TH10" s="22">
        <f t="shared" si="230"/>
        <v>6.85</v>
      </c>
      <c r="TI10" s="22">
        <f t="shared" si="231"/>
        <v>7.7949999999999999</v>
      </c>
      <c r="TJ10" s="22">
        <f t="shared" si="232"/>
        <v>0</v>
      </c>
      <c r="TK10" s="27" t="s">
        <v>46</v>
      </c>
      <c r="TL10" s="40">
        <f t="shared" si="233"/>
        <v>12.8</v>
      </c>
      <c r="TM10" s="40">
        <f t="shared" si="234"/>
        <v>14.545</v>
      </c>
      <c r="TN10" s="40">
        <f t="shared" si="235"/>
        <v>49.945000000000007</v>
      </c>
      <c r="TO10" s="40">
        <f t="shared" si="236"/>
        <v>13.649999999999999</v>
      </c>
      <c r="TP10" s="40">
        <f t="shared" si="237"/>
        <v>15.205</v>
      </c>
      <c r="TQ10" s="40">
        <f t="shared" si="238"/>
        <v>50.305</v>
      </c>
      <c r="TR10" s="40">
        <f t="shared" si="239"/>
        <v>50.305</v>
      </c>
      <c r="TS10" s="40">
        <f t="shared" si="240"/>
        <v>6.85</v>
      </c>
      <c r="TT10" s="40">
        <f t="shared" si="241"/>
        <v>7.7949999999999999</v>
      </c>
      <c r="TU10" s="40">
        <f t="shared" si="242"/>
        <v>26.395000000000003</v>
      </c>
      <c r="TV10" s="40">
        <f t="shared" si="243"/>
        <v>76.7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138</v>
      </c>
      <c r="D11" s="4" t="s">
        <v>6</v>
      </c>
      <c r="E11" s="4">
        <v>2006</v>
      </c>
      <c r="F11" s="9">
        <f t="shared" si="0"/>
        <v>185.43001854300525</v>
      </c>
      <c r="G11" s="66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52.290000000000006</v>
      </c>
      <c r="M11" s="8" t="str">
        <f t="shared" si="5"/>
        <v>2023 3rd Domestic Trial</v>
      </c>
      <c r="N11" s="8">
        <f>IF(COUNT(AQ11,AT11,BR11,BU11,CS11,CV11)&gt;1,LARGE((AQ11,AT11,BR11,BU11,CS11,CV11),2),0)</f>
        <v>51.550000000000004</v>
      </c>
      <c r="O11" s="8" t="str">
        <f t="shared" si="6"/>
        <v>2023 3rd Domestic Trial</v>
      </c>
      <c r="P11" s="8">
        <f>IF(COUNT(AQ11,AT11,BR11,BU11,CS11,CV11)&gt;2,MAX(AX11,BY11,CZ11,LARGE((AQ11,AT11,BR11,BU11,CS11,CV11),3)),IF(MAX(AX11,BY11,CZ11)&gt;0,MAX(AX11,BY11,CZ11),0))</f>
        <v>52</v>
      </c>
      <c r="Q11" s="8" t="str">
        <f t="shared" si="7"/>
        <v>2024 Elite Canada</v>
      </c>
      <c r="R11" s="8">
        <f t="shared" si="8"/>
        <v>13.6</v>
      </c>
      <c r="S11" s="8" t="str">
        <f t="shared" si="9"/>
        <v>2023 3rd Domestic Trial</v>
      </c>
      <c r="T11" s="8">
        <f t="shared" si="10"/>
        <v>15.99</v>
      </c>
      <c r="U11" s="8" t="str">
        <f t="shared" si="11"/>
        <v>2023 3rd Domestic Trial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8.1999999999999993</v>
      </c>
      <c r="Z11" s="22">
        <v>5.3</v>
      </c>
      <c r="AA11" s="22">
        <v>6.7</v>
      </c>
      <c r="AB11" s="22">
        <v>8.17</v>
      </c>
      <c r="AC11" s="22">
        <v>0</v>
      </c>
      <c r="AD11" s="22">
        <v>3</v>
      </c>
      <c r="AE11" s="22">
        <v>1.8</v>
      </c>
      <c r="AF11" s="22">
        <v>2.1</v>
      </c>
      <c r="AG11" s="22">
        <v>3.05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5"/>
        <v>6.7</v>
      </c>
      <c r="AP11" s="38">
        <f t="shared" si="16"/>
        <v>8.17</v>
      </c>
      <c r="AQ11" s="40">
        <f t="shared" si="17"/>
        <v>28.369999999999997</v>
      </c>
      <c r="AR11" s="40">
        <f t="shared" si="18"/>
        <v>2.1</v>
      </c>
      <c r="AS11" s="40">
        <f t="shared" si="19"/>
        <v>3.05</v>
      </c>
      <c r="AT11" s="40">
        <f t="shared" si="20"/>
        <v>9.9499999999999993</v>
      </c>
      <c r="AU11" s="40">
        <f t="shared" si="21"/>
        <v>28.369999999999997</v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>
        <f t="shared" si="25"/>
        <v>28.369999999999997</v>
      </c>
      <c r="AZ11" s="26">
        <v>13.3</v>
      </c>
      <c r="BA11" s="26">
        <v>9.3000000000000007</v>
      </c>
      <c r="BB11" s="26">
        <v>13.6</v>
      </c>
      <c r="BC11" s="26">
        <v>15.35</v>
      </c>
      <c r="BD11" s="26">
        <v>0</v>
      </c>
      <c r="BE11" s="26">
        <v>13.8</v>
      </c>
      <c r="BF11" s="26">
        <v>8.9</v>
      </c>
      <c r="BG11" s="26">
        <v>13.6</v>
      </c>
      <c r="BH11" s="26">
        <v>15.99</v>
      </c>
      <c r="BI11" s="26">
        <v>0</v>
      </c>
      <c r="BJ11" s="26">
        <v>2.5</v>
      </c>
      <c r="BK11" s="26">
        <v>1.8</v>
      </c>
      <c r="BL11" s="26">
        <v>3.2</v>
      </c>
      <c r="BM11" s="26">
        <v>3.28</v>
      </c>
      <c r="BN11" s="26">
        <v>0.2</v>
      </c>
      <c r="BO11" s="28"/>
      <c r="BP11" s="39">
        <f t="shared" si="26"/>
        <v>13.6</v>
      </c>
      <c r="BQ11" s="39">
        <f t="shared" si="27"/>
        <v>15.35</v>
      </c>
      <c r="BR11" s="11">
        <f t="shared" si="28"/>
        <v>51.550000000000004</v>
      </c>
      <c r="BS11" s="11">
        <f t="shared" si="29"/>
        <v>13.6</v>
      </c>
      <c r="BT11" s="11">
        <f t="shared" si="30"/>
        <v>15.99</v>
      </c>
      <c r="BU11" s="11">
        <f t="shared" si="31"/>
        <v>52.290000000000006</v>
      </c>
      <c r="BV11" s="11">
        <f t="shared" si="32"/>
        <v>52.290000000000006</v>
      </c>
      <c r="BW11" s="11">
        <f t="shared" si="33"/>
        <v>3.2</v>
      </c>
      <c r="BX11" s="11">
        <f t="shared" si="34"/>
        <v>3.28</v>
      </c>
      <c r="BY11" s="11">
        <f t="shared" si="35"/>
        <v>10.58</v>
      </c>
      <c r="BZ11" s="11">
        <f t="shared" si="36"/>
        <v>62.870000000000005</v>
      </c>
      <c r="CA11" s="22">
        <v>14.8</v>
      </c>
      <c r="CB11" s="22">
        <v>9</v>
      </c>
      <c r="CC11" s="22">
        <v>12.2</v>
      </c>
      <c r="CD11" s="22">
        <v>15.16</v>
      </c>
      <c r="CE11" s="22">
        <v>0</v>
      </c>
      <c r="CF11" s="22">
        <v>1.4</v>
      </c>
      <c r="CG11" s="22">
        <v>1</v>
      </c>
      <c r="CH11" s="22">
        <v>2</v>
      </c>
      <c r="CI11" s="22">
        <v>1.69</v>
      </c>
      <c r="CJ11" s="22">
        <v>0</v>
      </c>
      <c r="CK11" s="22">
        <v>15.2</v>
      </c>
      <c r="CL11" s="22">
        <v>9.6</v>
      </c>
      <c r="CM11" s="22">
        <v>12.2</v>
      </c>
      <c r="CN11" s="22">
        <v>15</v>
      </c>
      <c r="CO11" s="22">
        <v>0</v>
      </c>
      <c r="CP11" s="27"/>
      <c r="CQ11" s="38">
        <f t="shared" si="37"/>
        <v>12.2</v>
      </c>
      <c r="CR11" s="38">
        <f t="shared" si="38"/>
        <v>15.16</v>
      </c>
      <c r="CS11" s="40">
        <f t="shared" si="39"/>
        <v>51.16</v>
      </c>
      <c r="CT11" s="40">
        <f t="shared" si="40"/>
        <v>2</v>
      </c>
      <c r="CU11" s="40">
        <f t="shared" si="41"/>
        <v>1.69</v>
      </c>
      <c r="CV11" s="40">
        <f t="shared" si="42"/>
        <v>6.09</v>
      </c>
      <c r="CW11" s="40">
        <f t="shared" si="43"/>
        <v>51.16</v>
      </c>
      <c r="CX11" s="40">
        <f t="shared" si="44"/>
        <v>12.2</v>
      </c>
      <c r="CY11" s="40">
        <f t="shared" si="45"/>
        <v>15</v>
      </c>
      <c r="CZ11" s="40">
        <f t="shared" si="46"/>
        <v>52</v>
      </c>
      <c r="DA11" s="40">
        <f t="shared" si="47"/>
        <v>103.16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14.05</v>
      </c>
      <c r="SW11" s="22">
        <f t="shared" si="219"/>
        <v>9.15</v>
      </c>
      <c r="SX11" s="22">
        <f t="shared" si="220"/>
        <v>12.899999999999999</v>
      </c>
      <c r="SY11" s="22">
        <f t="shared" si="221"/>
        <v>15.254999999999999</v>
      </c>
      <c r="SZ11" s="22">
        <f t="shared" si="222"/>
        <v>0</v>
      </c>
      <c r="TA11" s="22">
        <f t="shared" si="223"/>
        <v>7.6000000000000005</v>
      </c>
      <c r="TB11" s="22">
        <f t="shared" si="224"/>
        <v>4.95</v>
      </c>
      <c r="TC11" s="22">
        <f t="shared" si="225"/>
        <v>7.8</v>
      </c>
      <c r="TD11" s="22">
        <f t="shared" si="226"/>
        <v>8.84</v>
      </c>
      <c r="TE11" s="22">
        <f t="shared" si="227"/>
        <v>0</v>
      </c>
      <c r="TF11" s="22">
        <f t="shared" si="228"/>
        <v>8.85</v>
      </c>
      <c r="TG11" s="22">
        <f t="shared" si="229"/>
        <v>5.7</v>
      </c>
      <c r="TH11" s="22">
        <f t="shared" si="230"/>
        <v>7.6999999999999993</v>
      </c>
      <c r="TI11" s="22">
        <f t="shared" si="231"/>
        <v>9.14</v>
      </c>
      <c r="TJ11" s="22">
        <f t="shared" si="232"/>
        <v>0.1</v>
      </c>
      <c r="TK11" s="27" t="s">
        <v>46</v>
      </c>
      <c r="TL11" s="40">
        <f t="shared" si="233"/>
        <v>12.899999999999999</v>
      </c>
      <c r="TM11" s="40">
        <f t="shared" si="234"/>
        <v>15.254999999999999</v>
      </c>
      <c r="TN11" s="40">
        <f t="shared" si="235"/>
        <v>51.355000000000004</v>
      </c>
      <c r="TO11" s="40">
        <f t="shared" si="236"/>
        <v>7.8</v>
      </c>
      <c r="TP11" s="40">
        <f t="shared" si="237"/>
        <v>8.84</v>
      </c>
      <c r="TQ11" s="40">
        <f t="shared" si="238"/>
        <v>29.19</v>
      </c>
      <c r="TR11" s="40">
        <f t="shared" si="239"/>
        <v>51.355000000000004</v>
      </c>
      <c r="TS11" s="40">
        <f t="shared" si="240"/>
        <v>7.6999999999999993</v>
      </c>
      <c r="TT11" s="40">
        <f t="shared" si="241"/>
        <v>9.14</v>
      </c>
      <c r="TU11" s="40">
        <f t="shared" si="242"/>
        <v>31.29</v>
      </c>
      <c r="TV11" s="40">
        <f t="shared" si="243"/>
        <v>82.64500000000001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100</v>
      </c>
      <c r="D12" s="4" t="s">
        <v>4</v>
      </c>
      <c r="E12" s="4">
        <v>2004</v>
      </c>
      <c r="F12" s="9">
        <f t="shared" si="0"/>
        <v>176.53001663000512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51.53</v>
      </c>
      <c r="M12" s="8" t="str">
        <f t="shared" si="5"/>
        <v>2024 Elite Canada</v>
      </c>
      <c r="N12" s="8">
        <f>IF(COUNT(AQ12,AT12,BR12,BU12,CS12,CV12)&gt;1,LARGE((AQ12,AT12,BR12,BU12,CS12,CV12),2),0)</f>
        <v>47.3</v>
      </c>
      <c r="O12" s="8" t="str">
        <f t="shared" si="6"/>
        <v>2024 Elite Canada</v>
      </c>
      <c r="P12" s="8">
        <f>IF(COUNT(AQ12,AT12,BR12,BU12,CS12,CV12)&gt;2,MAX(AX12,BY12,CZ12,LARGE((AQ12,AT12,BR12,BU12,CS12,CV12),3)),IF(MAX(AX12,BY12,CZ12)&gt;0,MAX(AX12,BY12,CZ12),0))</f>
        <v>37.44</v>
      </c>
      <c r="Q12" s="8" t="str">
        <f t="shared" si="7"/>
        <v>2023 Nationals</v>
      </c>
      <c r="R12" s="8">
        <f t="shared" si="8"/>
        <v>14.4</v>
      </c>
      <c r="S12" s="8" t="str">
        <f t="shared" si="9"/>
        <v>2024 Elite Canada</v>
      </c>
      <c r="T12" s="8">
        <f t="shared" si="10"/>
        <v>15.63</v>
      </c>
      <c r="U12" s="8" t="str">
        <f t="shared" si="11"/>
        <v>2024 Elite Canada</v>
      </c>
      <c r="V12" s="8">
        <f t="shared" si="12"/>
        <v>10.230000000000004</v>
      </c>
      <c r="W12" s="11" t="str">
        <f t="shared" si="13"/>
        <v>(Optional)</v>
      </c>
      <c r="X12" s="8" t="str">
        <f t="shared" si="14"/>
        <v>2023 Pan Am Club Championships (May 14)</v>
      </c>
      <c r="Y12" s="22">
        <v>8.4</v>
      </c>
      <c r="Z12" s="22">
        <v>6.7</v>
      </c>
      <c r="AA12" s="22">
        <v>9.4</v>
      </c>
      <c r="AB12" s="22">
        <v>12.94</v>
      </c>
      <c r="AC12" s="22">
        <v>0</v>
      </c>
      <c r="AD12" s="22">
        <v>8.6999999999999993</v>
      </c>
      <c r="AE12" s="22">
        <v>6.6</v>
      </c>
      <c r="AF12" s="22">
        <v>9.4</v>
      </c>
      <c r="AG12" s="22">
        <v>11.11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5"/>
        <v>9.4</v>
      </c>
      <c r="AP12" s="38">
        <f t="shared" si="16"/>
        <v>12.94</v>
      </c>
      <c r="AQ12" s="40">
        <f t="shared" si="17"/>
        <v>37.44</v>
      </c>
      <c r="AR12" s="40">
        <f t="shared" si="18"/>
        <v>9.4</v>
      </c>
      <c r="AS12" s="40">
        <f t="shared" si="19"/>
        <v>11.11</v>
      </c>
      <c r="AT12" s="40">
        <f t="shared" si="20"/>
        <v>35.81</v>
      </c>
      <c r="AU12" s="40">
        <f t="shared" si="21"/>
        <v>37.44</v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>
        <f t="shared" si="25"/>
        <v>37.44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>
        <v>11.7</v>
      </c>
      <c r="CB12" s="22">
        <v>9.8000000000000007</v>
      </c>
      <c r="CC12" s="22">
        <v>14.4</v>
      </c>
      <c r="CD12" s="22">
        <v>15.63</v>
      </c>
      <c r="CE12" s="22">
        <v>0</v>
      </c>
      <c r="CF12" s="22">
        <v>11.8</v>
      </c>
      <c r="CG12" s="22">
        <v>8.4</v>
      </c>
      <c r="CH12" s="22">
        <v>12.8</v>
      </c>
      <c r="CI12" s="22">
        <v>14.3</v>
      </c>
      <c r="CJ12" s="22">
        <v>0</v>
      </c>
      <c r="CK12" s="22">
        <v>1.6</v>
      </c>
      <c r="CL12" s="22">
        <v>1</v>
      </c>
      <c r="CM12" s="22">
        <v>2</v>
      </c>
      <c r="CN12" s="22">
        <v>1.76</v>
      </c>
      <c r="CO12" s="22">
        <v>0.2</v>
      </c>
      <c r="CP12" s="27"/>
      <c r="CQ12" s="38">
        <f t="shared" si="37"/>
        <v>14.4</v>
      </c>
      <c r="CR12" s="38">
        <f t="shared" si="38"/>
        <v>15.63</v>
      </c>
      <c r="CS12" s="40">
        <f t="shared" si="39"/>
        <v>51.53</v>
      </c>
      <c r="CT12" s="40">
        <f t="shared" si="40"/>
        <v>12.8</v>
      </c>
      <c r="CU12" s="40">
        <f t="shared" si="41"/>
        <v>14.3</v>
      </c>
      <c r="CV12" s="40">
        <f t="shared" si="42"/>
        <v>47.3</v>
      </c>
      <c r="CW12" s="40">
        <f t="shared" si="43"/>
        <v>51.53</v>
      </c>
      <c r="CX12" s="40">
        <f t="shared" si="44"/>
        <v>2</v>
      </c>
      <c r="CY12" s="40">
        <f t="shared" si="45"/>
        <v>1.76</v>
      </c>
      <c r="CZ12" s="40">
        <f t="shared" si="46"/>
        <v>6.1599999999999993</v>
      </c>
      <c r="DA12" s="40">
        <f t="shared" si="47"/>
        <v>57.69</v>
      </c>
      <c r="DB12" s="50">
        <f t="shared" si="48"/>
        <v>10.230000000000004</v>
      </c>
      <c r="DC12" s="50" t="str">
        <f t="shared" si="49"/>
        <v/>
      </c>
      <c r="DD12" s="17">
        <v>11.6</v>
      </c>
      <c r="DE12" s="17">
        <v>8.6</v>
      </c>
      <c r="DF12" s="17">
        <v>10.5</v>
      </c>
      <c r="DG12" s="17">
        <v>15.95</v>
      </c>
      <c r="DH12" s="17">
        <v>0</v>
      </c>
      <c r="DI12" s="17">
        <v>11.5</v>
      </c>
      <c r="DJ12" s="17">
        <v>9.4</v>
      </c>
      <c r="DK12" s="17">
        <v>11.6</v>
      </c>
      <c r="DL12" s="17">
        <v>15.17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 t="shared" si="50"/>
        <v>10.5</v>
      </c>
      <c r="DY12" s="40">
        <f t="shared" si="51"/>
        <v>15.95</v>
      </c>
      <c r="DZ12" s="40">
        <f t="shared" si="52"/>
        <v>46.65</v>
      </c>
      <c r="EA12" s="40">
        <f t="shared" si="53"/>
        <v>11.6</v>
      </c>
      <c r="EB12" s="40">
        <f t="shared" si="54"/>
        <v>15.17</v>
      </c>
      <c r="EC12" s="40">
        <f t="shared" si="55"/>
        <v>47.67</v>
      </c>
      <c r="ED12" s="40">
        <f t="shared" si="56"/>
        <v>47.67</v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>
        <f t="shared" si="63"/>
        <v>47.67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5.85</v>
      </c>
      <c r="SW12" s="22">
        <f t="shared" si="219"/>
        <v>4.9000000000000004</v>
      </c>
      <c r="SX12" s="22">
        <f t="shared" si="220"/>
        <v>7.2</v>
      </c>
      <c r="SY12" s="22">
        <f t="shared" si="221"/>
        <v>7.8150000000000004</v>
      </c>
      <c r="SZ12" s="22">
        <f t="shared" si="222"/>
        <v>0</v>
      </c>
      <c r="TA12" s="22">
        <f t="shared" si="223"/>
        <v>5.9</v>
      </c>
      <c r="TB12" s="22">
        <f t="shared" si="224"/>
        <v>4.2</v>
      </c>
      <c r="TC12" s="22">
        <f t="shared" si="225"/>
        <v>6.4</v>
      </c>
      <c r="TD12" s="22">
        <f t="shared" si="226"/>
        <v>7.15</v>
      </c>
      <c r="TE12" s="22">
        <f t="shared" si="227"/>
        <v>0</v>
      </c>
      <c r="TF12" s="22">
        <f t="shared" si="228"/>
        <v>0.8</v>
      </c>
      <c r="TG12" s="22">
        <f t="shared" si="229"/>
        <v>0.5</v>
      </c>
      <c r="TH12" s="22">
        <f t="shared" si="230"/>
        <v>1</v>
      </c>
      <c r="TI12" s="22">
        <f t="shared" si="231"/>
        <v>0.88</v>
      </c>
      <c r="TJ12" s="22">
        <f t="shared" si="232"/>
        <v>0.1</v>
      </c>
      <c r="TK12" s="27" t="s">
        <v>46</v>
      </c>
      <c r="TL12" s="40">
        <f t="shared" si="233"/>
        <v>7.2</v>
      </c>
      <c r="TM12" s="40">
        <f t="shared" si="234"/>
        <v>7.8150000000000004</v>
      </c>
      <c r="TN12" s="40">
        <f t="shared" si="235"/>
        <v>25.765000000000001</v>
      </c>
      <c r="TO12" s="40">
        <f t="shared" si="236"/>
        <v>6.4</v>
      </c>
      <c r="TP12" s="40">
        <f t="shared" si="237"/>
        <v>7.15</v>
      </c>
      <c r="TQ12" s="40">
        <f t="shared" si="238"/>
        <v>23.65</v>
      </c>
      <c r="TR12" s="40">
        <f t="shared" si="239"/>
        <v>25.765000000000001</v>
      </c>
      <c r="TS12" s="40">
        <f t="shared" si="240"/>
        <v>1</v>
      </c>
      <c r="TT12" s="40">
        <f t="shared" si="241"/>
        <v>0.88</v>
      </c>
      <c r="TU12" s="40">
        <f t="shared" si="242"/>
        <v>3.0799999999999996</v>
      </c>
      <c r="TV12" s="40">
        <f t="shared" si="243"/>
        <v>28.844999999999999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111</v>
      </c>
      <c r="D13" s="4" t="s">
        <v>6</v>
      </c>
      <c r="E13" s="4">
        <v>2003</v>
      </c>
      <c r="F13" s="9">
        <f t="shared" si="0"/>
        <v>164.10001641000505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50.300000000000004</v>
      </c>
      <c r="M13" s="8" t="str">
        <f t="shared" si="5"/>
        <v>2024 Elite Canada</v>
      </c>
      <c r="N13" s="8">
        <f>IF(COUNT(AQ13,AT13,BR13,BU13,CS13,CV13)&gt;1,LARGE((AQ13,AT13,BR13,BU13,CS13,CV13),2),0)</f>
        <v>50.03</v>
      </c>
      <c r="O13" s="8" t="str">
        <f t="shared" si="6"/>
        <v>2023 Nationals</v>
      </c>
      <c r="P13" s="8">
        <f>IF(COUNT(AQ13,AT13,BR13,BU13,CS13,CV13)&gt;2,MAX(AX13,BY13,CZ13,LARGE((AQ13,AT13,BR13,BU13,CS13,CV13),3)),IF(MAX(AX13,BY13,CZ13)&gt;0,MAX(AX13,BY13,CZ13),0))</f>
        <v>51.97</v>
      </c>
      <c r="Q13" s="8" t="str">
        <f t="shared" si="7"/>
        <v>2024 Elite Canada</v>
      </c>
      <c r="R13" s="8">
        <f t="shared" si="8"/>
        <v>11.8</v>
      </c>
      <c r="S13" s="8" t="str">
        <f t="shared" si="9"/>
        <v>2024 Elite Canada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13.2</v>
      </c>
      <c r="Z13" s="22">
        <v>8.1999999999999993</v>
      </c>
      <c r="AA13" s="22">
        <v>10.6</v>
      </c>
      <c r="AB13" s="22">
        <v>13.16</v>
      </c>
      <c r="AC13" s="22">
        <v>0</v>
      </c>
      <c r="AD13" s="22">
        <v>14.8</v>
      </c>
      <c r="AE13" s="22">
        <v>9</v>
      </c>
      <c r="AF13" s="22">
        <v>11.8</v>
      </c>
      <c r="AG13" s="22">
        <v>14.43</v>
      </c>
      <c r="AH13" s="22">
        <v>0</v>
      </c>
      <c r="AI13" s="22">
        <v>13.8</v>
      </c>
      <c r="AJ13" s="22">
        <v>9.1</v>
      </c>
      <c r="AK13" s="22">
        <v>11.8</v>
      </c>
      <c r="AL13" s="22">
        <v>14.24</v>
      </c>
      <c r="AM13" s="22">
        <v>0</v>
      </c>
      <c r="AN13" s="27"/>
      <c r="AO13" s="38">
        <f t="shared" si="15"/>
        <v>10.6</v>
      </c>
      <c r="AP13" s="38">
        <f t="shared" si="16"/>
        <v>13.16</v>
      </c>
      <c r="AQ13" s="40">
        <f t="shared" si="17"/>
        <v>45.16</v>
      </c>
      <c r="AR13" s="40">
        <f t="shared" si="18"/>
        <v>11.8</v>
      </c>
      <c r="AS13" s="40">
        <f t="shared" si="19"/>
        <v>14.43</v>
      </c>
      <c r="AT13" s="40">
        <f t="shared" si="20"/>
        <v>50.03</v>
      </c>
      <c r="AU13" s="40">
        <f t="shared" si="21"/>
        <v>50.03</v>
      </c>
      <c r="AV13" s="40">
        <f t="shared" si="22"/>
        <v>11.8</v>
      </c>
      <c r="AW13" s="40">
        <f t="shared" si="23"/>
        <v>14.24</v>
      </c>
      <c r="AX13" s="40">
        <f t="shared" si="24"/>
        <v>48.940000000000005</v>
      </c>
      <c r="AY13" s="40">
        <f t="shared" si="25"/>
        <v>98.97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 t="shared" si="26"/>
        <v/>
      </c>
      <c r="BQ13" s="39" t="str">
        <f t="shared" si="27"/>
        <v/>
      </c>
      <c r="BR13" s="11" t="str">
        <f t="shared" si="28"/>
        <v/>
      </c>
      <c r="BS13" s="11" t="str">
        <f t="shared" si="29"/>
        <v/>
      </c>
      <c r="BT13" s="11" t="str">
        <f t="shared" si="30"/>
        <v/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 t="str">
        <f t="shared" si="36"/>
        <v/>
      </c>
      <c r="CA13" s="22">
        <v>13.4</v>
      </c>
      <c r="CB13" s="22">
        <v>8.8000000000000007</v>
      </c>
      <c r="CC13" s="22">
        <v>11.2</v>
      </c>
      <c r="CD13" s="22">
        <v>13.48</v>
      </c>
      <c r="CE13" s="22">
        <v>0</v>
      </c>
      <c r="CF13" s="22">
        <v>15.1</v>
      </c>
      <c r="CG13" s="22">
        <v>8.8000000000000007</v>
      </c>
      <c r="CH13" s="22">
        <v>11.8</v>
      </c>
      <c r="CI13" s="22">
        <v>14.6</v>
      </c>
      <c r="CJ13" s="22">
        <v>0</v>
      </c>
      <c r="CK13" s="22">
        <v>15.6</v>
      </c>
      <c r="CL13" s="22">
        <v>9.6</v>
      </c>
      <c r="CM13" s="22">
        <v>11.8</v>
      </c>
      <c r="CN13" s="22">
        <v>14.97</v>
      </c>
      <c r="CO13" s="22">
        <v>0</v>
      </c>
      <c r="CP13" s="27"/>
      <c r="CQ13" s="38">
        <f t="shared" si="37"/>
        <v>11.2</v>
      </c>
      <c r="CR13" s="38">
        <f t="shared" si="38"/>
        <v>13.48</v>
      </c>
      <c r="CS13" s="40">
        <f t="shared" si="39"/>
        <v>46.88000000000001</v>
      </c>
      <c r="CT13" s="40">
        <f t="shared" si="40"/>
        <v>11.8</v>
      </c>
      <c r="CU13" s="40">
        <f t="shared" si="41"/>
        <v>14.6</v>
      </c>
      <c r="CV13" s="40">
        <f t="shared" si="42"/>
        <v>50.300000000000004</v>
      </c>
      <c r="CW13" s="40">
        <f t="shared" si="43"/>
        <v>50.300000000000004</v>
      </c>
      <c r="CX13" s="40">
        <f t="shared" si="44"/>
        <v>11.8</v>
      </c>
      <c r="CY13" s="40">
        <f t="shared" si="45"/>
        <v>14.97</v>
      </c>
      <c r="CZ13" s="40">
        <f t="shared" si="46"/>
        <v>51.97</v>
      </c>
      <c r="DA13" s="40">
        <f t="shared" si="47"/>
        <v>102.27000000000001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6.7</v>
      </c>
      <c r="SW13" s="22">
        <f t="shared" si="219"/>
        <v>4.4000000000000004</v>
      </c>
      <c r="SX13" s="22">
        <f t="shared" si="220"/>
        <v>5.6</v>
      </c>
      <c r="SY13" s="22">
        <f t="shared" si="221"/>
        <v>6.74</v>
      </c>
      <c r="SZ13" s="22">
        <f t="shared" si="222"/>
        <v>0</v>
      </c>
      <c r="TA13" s="22">
        <f t="shared" si="223"/>
        <v>7.55</v>
      </c>
      <c r="TB13" s="22">
        <f t="shared" si="224"/>
        <v>4.4000000000000004</v>
      </c>
      <c r="TC13" s="22">
        <f t="shared" si="225"/>
        <v>5.9</v>
      </c>
      <c r="TD13" s="22">
        <f t="shared" si="226"/>
        <v>7.3</v>
      </c>
      <c r="TE13" s="22">
        <f t="shared" si="227"/>
        <v>0</v>
      </c>
      <c r="TF13" s="22">
        <f t="shared" si="228"/>
        <v>7.8</v>
      </c>
      <c r="TG13" s="22">
        <f t="shared" si="229"/>
        <v>4.8</v>
      </c>
      <c r="TH13" s="22">
        <f t="shared" si="230"/>
        <v>5.9</v>
      </c>
      <c r="TI13" s="22">
        <f t="shared" si="231"/>
        <v>7.4850000000000003</v>
      </c>
      <c r="TJ13" s="22">
        <f t="shared" si="232"/>
        <v>0</v>
      </c>
      <c r="TK13" s="27" t="s">
        <v>46</v>
      </c>
      <c r="TL13" s="40">
        <f t="shared" si="233"/>
        <v>5.6</v>
      </c>
      <c r="TM13" s="40">
        <f t="shared" si="234"/>
        <v>6.74</v>
      </c>
      <c r="TN13" s="40">
        <f t="shared" si="235"/>
        <v>23.440000000000005</v>
      </c>
      <c r="TO13" s="40">
        <f t="shared" si="236"/>
        <v>5.9</v>
      </c>
      <c r="TP13" s="40">
        <f t="shared" si="237"/>
        <v>7.3</v>
      </c>
      <c r="TQ13" s="40">
        <f t="shared" si="238"/>
        <v>25.150000000000002</v>
      </c>
      <c r="TR13" s="40">
        <f t="shared" si="239"/>
        <v>25.150000000000002</v>
      </c>
      <c r="TS13" s="40">
        <f t="shared" si="240"/>
        <v>5.9</v>
      </c>
      <c r="TT13" s="40">
        <f t="shared" si="241"/>
        <v>7.4850000000000003</v>
      </c>
      <c r="TU13" s="40">
        <f t="shared" si="242"/>
        <v>25.984999999999999</v>
      </c>
      <c r="TV13" s="40">
        <f t="shared" si="243"/>
        <v>51.135000000000005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112</v>
      </c>
      <c r="D14" s="4" t="s">
        <v>3</v>
      </c>
      <c r="E14" s="4">
        <v>2005</v>
      </c>
      <c r="F14" s="9">
        <f t="shared" si="0"/>
        <v>163.39001633900503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50.050000000000004</v>
      </c>
      <c r="M14" s="8" t="str">
        <f t="shared" si="5"/>
        <v>2024 Elite Canada</v>
      </c>
      <c r="N14" s="8">
        <f>IF(COUNT(AQ14,AT14,BR14,BU14,CS14,CV14)&gt;1,LARGE((AQ14,AT14,BR14,BU14,CS14,CV14),2),0)</f>
        <v>48.550000000000004</v>
      </c>
      <c r="O14" s="8" t="str">
        <f t="shared" si="6"/>
        <v>2023 Nationals</v>
      </c>
      <c r="P14" s="8">
        <f>IF(COUNT(AQ14,AT14,BR14,BU14,CS14,CV14)&gt;2,MAX(AX14,BY14,CZ14,LARGE((AQ14,AT14,BR14,BU14,CS14,CV14),3)),IF(MAX(AX14,BY14,CZ14)&gt;0,MAX(AX14,BY14,CZ14),0))</f>
        <v>51.79</v>
      </c>
      <c r="Q14" s="8" t="str">
        <f t="shared" si="7"/>
        <v>2024 Elite Canada</v>
      </c>
      <c r="R14" s="8">
        <f t="shared" si="8"/>
        <v>13</v>
      </c>
      <c r="S14" s="8" t="str">
        <f t="shared" si="9"/>
        <v>2024 Elite Canada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13.7</v>
      </c>
      <c r="Z14" s="22">
        <v>9.4</v>
      </c>
      <c r="AA14" s="22">
        <v>11.3</v>
      </c>
      <c r="AB14" s="22">
        <v>14.15</v>
      </c>
      <c r="AC14" s="22">
        <v>0</v>
      </c>
      <c r="AD14" s="22">
        <v>1.5</v>
      </c>
      <c r="AE14" s="22">
        <v>1</v>
      </c>
      <c r="AF14" s="22">
        <v>1.5</v>
      </c>
      <c r="AG14" s="22">
        <v>1.5</v>
      </c>
      <c r="AH14" s="22">
        <v>0</v>
      </c>
      <c r="AI14" s="22"/>
      <c r="AJ14" s="22"/>
      <c r="AK14" s="22"/>
      <c r="AL14" s="22"/>
      <c r="AM14" s="22"/>
      <c r="AN14" s="27"/>
      <c r="AO14" s="38">
        <f t="shared" si="15"/>
        <v>11.3</v>
      </c>
      <c r="AP14" s="38">
        <f t="shared" si="16"/>
        <v>14.15</v>
      </c>
      <c r="AQ14" s="40">
        <f t="shared" si="17"/>
        <v>48.550000000000004</v>
      </c>
      <c r="AR14" s="40">
        <f t="shared" si="18"/>
        <v>1.5</v>
      </c>
      <c r="AS14" s="40">
        <f t="shared" si="19"/>
        <v>1.5</v>
      </c>
      <c r="AT14" s="40">
        <f t="shared" si="20"/>
        <v>5.5</v>
      </c>
      <c r="AU14" s="40">
        <f t="shared" si="21"/>
        <v>48.550000000000004</v>
      </c>
      <c r="AV14" s="40" t="str">
        <f t="shared" si="22"/>
        <v/>
      </c>
      <c r="AW14" s="40" t="str">
        <f t="shared" si="23"/>
        <v/>
      </c>
      <c r="AX14" s="40" t="str">
        <f t="shared" si="24"/>
        <v/>
      </c>
      <c r="AY14" s="40">
        <f t="shared" si="25"/>
        <v>48.550000000000004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6"/>
        <v/>
      </c>
      <c r="BQ14" s="39" t="str">
        <f t="shared" si="27"/>
        <v/>
      </c>
      <c r="BR14" s="11" t="str">
        <f t="shared" si="28"/>
        <v/>
      </c>
      <c r="BS14" s="11" t="str">
        <f t="shared" si="29"/>
        <v/>
      </c>
      <c r="BT14" s="11" t="str">
        <f t="shared" si="30"/>
        <v/>
      </c>
      <c r="BU14" s="11" t="str">
        <f t="shared" si="31"/>
        <v/>
      </c>
      <c r="BV14" s="11" t="str">
        <f t="shared" si="32"/>
        <v/>
      </c>
      <c r="BW14" s="11" t="str">
        <f t="shared" si="33"/>
        <v/>
      </c>
      <c r="BX14" s="11" t="str">
        <f t="shared" si="34"/>
        <v/>
      </c>
      <c r="BY14" s="11" t="str">
        <f t="shared" si="35"/>
        <v/>
      </c>
      <c r="BZ14" s="11" t="str">
        <f t="shared" si="36"/>
        <v/>
      </c>
      <c r="CA14" s="22">
        <v>1.5</v>
      </c>
      <c r="CB14" s="22">
        <v>0.8</v>
      </c>
      <c r="CC14" s="22">
        <v>1.5</v>
      </c>
      <c r="CD14" s="22">
        <v>1.58</v>
      </c>
      <c r="CE14" s="22">
        <v>0</v>
      </c>
      <c r="CF14" s="22">
        <v>12.9</v>
      </c>
      <c r="CG14" s="22">
        <v>9.3000000000000007</v>
      </c>
      <c r="CH14" s="22">
        <v>13</v>
      </c>
      <c r="CI14" s="22">
        <v>14.85</v>
      </c>
      <c r="CJ14" s="22">
        <v>0</v>
      </c>
      <c r="CK14" s="22">
        <v>14.5</v>
      </c>
      <c r="CL14" s="22">
        <v>9.1</v>
      </c>
      <c r="CM14" s="22">
        <v>13</v>
      </c>
      <c r="CN14" s="22">
        <v>15.19</v>
      </c>
      <c r="CO14" s="22">
        <v>0</v>
      </c>
      <c r="CP14" s="27"/>
      <c r="CQ14" s="38">
        <f t="shared" si="37"/>
        <v>1.5</v>
      </c>
      <c r="CR14" s="38">
        <f t="shared" si="38"/>
        <v>1.58</v>
      </c>
      <c r="CS14" s="40">
        <f t="shared" si="39"/>
        <v>5.38</v>
      </c>
      <c r="CT14" s="40">
        <f t="shared" si="40"/>
        <v>13</v>
      </c>
      <c r="CU14" s="40">
        <f t="shared" si="41"/>
        <v>14.85</v>
      </c>
      <c r="CV14" s="40">
        <f t="shared" si="42"/>
        <v>50.050000000000004</v>
      </c>
      <c r="CW14" s="40">
        <f t="shared" si="43"/>
        <v>50.050000000000004</v>
      </c>
      <c r="CX14" s="40">
        <f t="shared" si="44"/>
        <v>13</v>
      </c>
      <c r="CY14" s="40">
        <f t="shared" si="45"/>
        <v>15.19</v>
      </c>
      <c r="CZ14" s="40">
        <f t="shared" si="46"/>
        <v>51.79</v>
      </c>
      <c r="DA14" s="40">
        <f t="shared" si="47"/>
        <v>101.84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0.75</v>
      </c>
      <c r="SW14" s="22">
        <f t="shared" si="219"/>
        <v>0.4</v>
      </c>
      <c r="SX14" s="22">
        <f t="shared" si="220"/>
        <v>0.75</v>
      </c>
      <c r="SY14" s="22">
        <f t="shared" si="221"/>
        <v>0.79</v>
      </c>
      <c r="SZ14" s="22">
        <f t="shared" si="222"/>
        <v>0</v>
      </c>
      <c r="TA14" s="22">
        <f t="shared" si="223"/>
        <v>6.45</v>
      </c>
      <c r="TB14" s="22">
        <f t="shared" si="224"/>
        <v>4.6500000000000004</v>
      </c>
      <c r="TC14" s="22">
        <f t="shared" si="225"/>
        <v>6.5</v>
      </c>
      <c r="TD14" s="22">
        <f t="shared" si="226"/>
        <v>7.4249999999999998</v>
      </c>
      <c r="TE14" s="22">
        <f t="shared" si="227"/>
        <v>0</v>
      </c>
      <c r="TF14" s="22">
        <f t="shared" si="228"/>
        <v>7.25</v>
      </c>
      <c r="TG14" s="22">
        <f t="shared" si="229"/>
        <v>4.55</v>
      </c>
      <c r="TH14" s="22">
        <f t="shared" si="230"/>
        <v>6.5</v>
      </c>
      <c r="TI14" s="22">
        <f t="shared" si="231"/>
        <v>7.5949999999999998</v>
      </c>
      <c r="TJ14" s="22">
        <f t="shared" si="232"/>
        <v>0</v>
      </c>
      <c r="TK14" s="27" t="s">
        <v>46</v>
      </c>
      <c r="TL14" s="40">
        <f t="shared" si="233"/>
        <v>0.75</v>
      </c>
      <c r="TM14" s="40">
        <f t="shared" si="234"/>
        <v>0.79</v>
      </c>
      <c r="TN14" s="40">
        <f t="shared" si="235"/>
        <v>2.69</v>
      </c>
      <c r="TO14" s="40">
        <f t="shared" si="236"/>
        <v>6.5</v>
      </c>
      <c r="TP14" s="40">
        <f t="shared" si="237"/>
        <v>7.4249999999999998</v>
      </c>
      <c r="TQ14" s="40">
        <f t="shared" si="238"/>
        <v>25.025000000000002</v>
      </c>
      <c r="TR14" s="40">
        <f t="shared" si="239"/>
        <v>25.025000000000002</v>
      </c>
      <c r="TS14" s="40">
        <f t="shared" si="240"/>
        <v>6.5</v>
      </c>
      <c r="TT14" s="40">
        <f t="shared" si="241"/>
        <v>7.5949999999999998</v>
      </c>
      <c r="TU14" s="40">
        <f t="shared" si="242"/>
        <v>25.895</v>
      </c>
      <c r="TV14" s="40">
        <f t="shared" si="243"/>
        <v>50.92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144</v>
      </c>
      <c r="D15" s="4" t="s">
        <v>3</v>
      </c>
      <c r="E15" s="4">
        <v>2006</v>
      </c>
      <c r="F15" s="9">
        <f t="shared" si="0"/>
        <v>161.82001618200493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49.4</v>
      </c>
      <c r="M15" s="8" t="str">
        <f t="shared" si="5"/>
        <v>2024 Elite Canada</v>
      </c>
      <c r="N15" s="8">
        <f>IF(COUNT(AQ15,AT15,BR15,BU15,CS15,CV15)&gt;1,LARGE((AQ15,AT15,BR15,BU15,CS15,CV15),2),0)</f>
        <v>48.75</v>
      </c>
      <c r="O15" s="8" t="str">
        <f t="shared" si="6"/>
        <v>2024 Elite Canada</v>
      </c>
      <c r="P15" s="8">
        <f>IF(COUNT(AQ15,AT15,BR15,BU15,CS15,CV15)&gt;2,MAX(AX15,BY15,CZ15,LARGE((AQ15,AT15,BR15,BU15,CS15,CV15),3)),IF(MAX(AX15,BY15,CZ15)&gt;0,MAX(AX15,BY15,CZ15),0))</f>
        <v>51.67</v>
      </c>
      <c r="Q15" s="8" t="str">
        <f t="shared" si="7"/>
        <v>2024 Elite Canada</v>
      </c>
      <c r="R15" s="8">
        <f t="shared" si="8"/>
        <v>12</v>
      </c>
      <c r="S15" s="8" t="str">
        <f t="shared" si="9"/>
        <v>2024 Elite Canada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10</v>
      </c>
      <c r="Z15" s="22">
        <v>7.6</v>
      </c>
      <c r="AA15" s="22">
        <v>10</v>
      </c>
      <c r="AB15" s="22">
        <v>11.49</v>
      </c>
      <c r="AC15" s="22">
        <v>0</v>
      </c>
      <c r="AD15" s="22">
        <v>9.8000000000000007</v>
      </c>
      <c r="AE15" s="22">
        <v>8.6999999999999993</v>
      </c>
      <c r="AF15" s="22">
        <v>10.9</v>
      </c>
      <c r="AG15" s="22">
        <v>13.83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5"/>
        <v>10</v>
      </c>
      <c r="AP15" s="38">
        <f t="shared" si="16"/>
        <v>11.49</v>
      </c>
      <c r="AQ15" s="40">
        <f t="shared" si="17"/>
        <v>39.090000000000003</v>
      </c>
      <c r="AR15" s="40">
        <f t="shared" si="18"/>
        <v>10.9</v>
      </c>
      <c r="AS15" s="40">
        <f t="shared" si="19"/>
        <v>13.83</v>
      </c>
      <c r="AT15" s="40">
        <f t="shared" si="20"/>
        <v>43.23</v>
      </c>
      <c r="AU15" s="40">
        <f t="shared" si="21"/>
        <v>43.23</v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>
        <f t="shared" si="25"/>
        <v>43.23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6"/>
        <v/>
      </c>
      <c r="BQ15" s="39" t="str">
        <f t="shared" si="27"/>
        <v/>
      </c>
      <c r="BR15" s="11" t="str">
        <f t="shared" si="28"/>
        <v/>
      </c>
      <c r="BS15" s="11" t="str">
        <f t="shared" si="29"/>
        <v/>
      </c>
      <c r="BT15" s="11" t="str">
        <f t="shared" si="30"/>
        <v/>
      </c>
      <c r="BU15" s="11" t="str">
        <f t="shared" si="31"/>
        <v/>
      </c>
      <c r="BV15" s="11" t="str">
        <f t="shared" si="32"/>
        <v/>
      </c>
      <c r="BW15" s="11" t="str">
        <f t="shared" si="33"/>
        <v/>
      </c>
      <c r="BX15" s="11" t="str">
        <f t="shared" si="34"/>
        <v/>
      </c>
      <c r="BY15" s="11" t="str">
        <f t="shared" si="35"/>
        <v/>
      </c>
      <c r="BZ15" s="11" t="str">
        <f t="shared" si="36"/>
        <v/>
      </c>
      <c r="CA15" s="22">
        <v>12.9</v>
      </c>
      <c r="CB15" s="22">
        <v>9.1</v>
      </c>
      <c r="CC15" s="22">
        <v>12</v>
      </c>
      <c r="CD15" s="22">
        <v>14.75</v>
      </c>
      <c r="CE15" s="22">
        <v>0</v>
      </c>
      <c r="CF15" s="22">
        <v>13</v>
      </c>
      <c r="CG15" s="22">
        <v>9.4</v>
      </c>
      <c r="CH15" s="22">
        <v>12</v>
      </c>
      <c r="CI15" s="22">
        <v>15</v>
      </c>
      <c r="CJ15" s="22">
        <v>0</v>
      </c>
      <c r="CK15" s="22">
        <v>15.1</v>
      </c>
      <c r="CL15" s="22">
        <v>9.3000000000000007</v>
      </c>
      <c r="CM15" s="22">
        <v>12</v>
      </c>
      <c r="CN15" s="22">
        <v>15.27</v>
      </c>
      <c r="CO15" s="22">
        <v>0</v>
      </c>
      <c r="CP15" s="27"/>
      <c r="CQ15" s="38">
        <f t="shared" si="37"/>
        <v>12</v>
      </c>
      <c r="CR15" s="38">
        <f t="shared" si="38"/>
        <v>14.75</v>
      </c>
      <c r="CS15" s="40">
        <f t="shared" si="39"/>
        <v>48.75</v>
      </c>
      <c r="CT15" s="40">
        <f t="shared" si="40"/>
        <v>12</v>
      </c>
      <c r="CU15" s="40">
        <f t="shared" si="41"/>
        <v>15</v>
      </c>
      <c r="CV15" s="40">
        <f t="shared" si="42"/>
        <v>49.4</v>
      </c>
      <c r="CW15" s="40">
        <f t="shared" si="43"/>
        <v>49.4</v>
      </c>
      <c r="CX15" s="40">
        <f t="shared" si="44"/>
        <v>12</v>
      </c>
      <c r="CY15" s="40">
        <f t="shared" si="45"/>
        <v>15.27</v>
      </c>
      <c r="CZ15" s="40">
        <f t="shared" si="46"/>
        <v>51.67</v>
      </c>
      <c r="DA15" s="40">
        <f t="shared" si="47"/>
        <v>101.07</v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6.45</v>
      </c>
      <c r="SW15" s="22">
        <f t="shared" si="219"/>
        <v>4.55</v>
      </c>
      <c r="SX15" s="22">
        <f t="shared" si="220"/>
        <v>6</v>
      </c>
      <c r="SY15" s="22">
        <f t="shared" si="221"/>
        <v>7.375</v>
      </c>
      <c r="SZ15" s="22">
        <f t="shared" si="222"/>
        <v>0</v>
      </c>
      <c r="TA15" s="22">
        <f t="shared" si="223"/>
        <v>6.5</v>
      </c>
      <c r="TB15" s="22">
        <f t="shared" si="224"/>
        <v>4.7</v>
      </c>
      <c r="TC15" s="22">
        <f t="shared" si="225"/>
        <v>6</v>
      </c>
      <c r="TD15" s="22">
        <f t="shared" si="226"/>
        <v>7.5</v>
      </c>
      <c r="TE15" s="22">
        <f t="shared" si="227"/>
        <v>0</v>
      </c>
      <c r="TF15" s="22">
        <f t="shared" si="228"/>
        <v>7.55</v>
      </c>
      <c r="TG15" s="22">
        <f t="shared" si="229"/>
        <v>4.6500000000000004</v>
      </c>
      <c r="TH15" s="22">
        <f t="shared" si="230"/>
        <v>6</v>
      </c>
      <c r="TI15" s="22">
        <f t="shared" si="231"/>
        <v>7.6349999999999998</v>
      </c>
      <c r="TJ15" s="22">
        <f t="shared" si="232"/>
        <v>0</v>
      </c>
      <c r="TK15" s="27" t="s">
        <v>46</v>
      </c>
      <c r="TL15" s="40">
        <f t="shared" si="233"/>
        <v>6</v>
      </c>
      <c r="TM15" s="40">
        <f t="shared" si="234"/>
        <v>7.375</v>
      </c>
      <c r="TN15" s="40">
        <f t="shared" si="235"/>
        <v>24.375</v>
      </c>
      <c r="TO15" s="40">
        <f t="shared" si="236"/>
        <v>6</v>
      </c>
      <c r="TP15" s="40">
        <f t="shared" si="237"/>
        <v>7.5</v>
      </c>
      <c r="TQ15" s="40">
        <f t="shared" si="238"/>
        <v>24.7</v>
      </c>
      <c r="TR15" s="40">
        <f t="shared" si="239"/>
        <v>24.7</v>
      </c>
      <c r="TS15" s="40">
        <f t="shared" si="240"/>
        <v>6</v>
      </c>
      <c r="TT15" s="40">
        <f t="shared" si="241"/>
        <v>7.6349999999999998</v>
      </c>
      <c r="TU15" s="40">
        <f t="shared" si="242"/>
        <v>25.835000000000001</v>
      </c>
      <c r="TV15" s="40">
        <f t="shared" si="243"/>
        <v>50.534999999999997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201</v>
      </c>
      <c r="D16" s="4" t="s">
        <v>4</v>
      </c>
      <c r="E16" s="4">
        <v>2007</v>
      </c>
      <c r="F16" s="9">
        <f t="shared" si="0"/>
        <v>159.14001591400466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46.94</v>
      </c>
      <c r="M16" s="8" t="str">
        <f t="shared" si="5"/>
        <v>2023 Nationals</v>
      </c>
      <c r="N16" s="8">
        <f>IF(COUNT(AQ16,AT16,BR16,BU16,CS16,CV16)&gt;1,LARGE((AQ16,AT16,BR16,BU16,CS16,CV16),2),0)</f>
        <v>34.1</v>
      </c>
      <c r="O16" s="8" t="str">
        <f t="shared" si="6"/>
        <v>2024 Elite Canada</v>
      </c>
      <c r="P16" s="8">
        <f>IF(COUNT(AQ16,AT16,BR16,BU16,CS16,CV16)&gt;2,MAX(AX16,BY16,CZ16,LARGE((AQ16,AT16,BR16,BU16,CS16,CV16),3)),IF(MAX(AX16,BY16,CZ16)&gt;0,MAX(AX16,BY16,CZ16),0))</f>
        <v>50</v>
      </c>
      <c r="Q16" s="8" t="str">
        <f t="shared" si="7"/>
        <v>2023 3rd Domestic Trial</v>
      </c>
      <c r="R16" s="8">
        <f t="shared" si="8"/>
        <v>13.5</v>
      </c>
      <c r="S16" s="8" t="str">
        <f t="shared" si="9"/>
        <v>2023 3rd Domestic Trial</v>
      </c>
      <c r="T16" s="8">
        <f t="shared" si="10"/>
        <v>14.6</v>
      </c>
      <c r="U16" s="8" t="str">
        <f t="shared" si="11"/>
        <v>2023 3rd Domestic Trial</v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11.1</v>
      </c>
      <c r="Z16" s="22">
        <v>9.1</v>
      </c>
      <c r="AA16" s="22">
        <v>12.7</v>
      </c>
      <c r="AB16" s="22">
        <v>14.04</v>
      </c>
      <c r="AC16" s="22">
        <v>0</v>
      </c>
      <c r="AD16" s="22"/>
      <c r="AE16" s="22"/>
      <c r="AF16" s="22"/>
      <c r="AG16" s="22"/>
      <c r="AH16" s="22"/>
      <c r="AI16" s="22">
        <v>4.2</v>
      </c>
      <c r="AJ16" s="22">
        <v>2.8</v>
      </c>
      <c r="AK16" s="22">
        <v>4.9000000000000004</v>
      </c>
      <c r="AL16" s="22">
        <v>5</v>
      </c>
      <c r="AM16" s="22">
        <v>0</v>
      </c>
      <c r="AN16" s="27"/>
      <c r="AO16" s="38">
        <f t="shared" si="15"/>
        <v>12.7</v>
      </c>
      <c r="AP16" s="38">
        <f t="shared" si="16"/>
        <v>14.04</v>
      </c>
      <c r="AQ16" s="40">
        <f t="shared" si="17"/>
        <v>46.94</v>
      </c>
      <c r="AR16" s="40" t="str">
        <f t="shared" si="18"/>
        <v/>
      </c>
      <c r="AS16" s="40" t="str">
        <f t="shared" si="19"/>
        <v/>
      </c>
      <c r="AT16" s="40" t="str">
        <f t="shared" si="20"/>
        <v/>
      </c>
      <c r="AU16" s="40">
        <f t="shared" si="21"/>
        <v>46.94</v>
      </c>
      <c r="AV16" s="40">
        <f t="shared" si="22"/>
        <v>4.9000000000000004</v>
      </c>
      <c r="AW16" s="40">
        <f t="shared" si="23"/>
        <v>5</v>
      </c>
      <c r="AX16" s="40">
        <f t="shared" si="24"/>
        <v>16.899999999999999</v>
      </c>
      <c r="AY16" s="40">
        <f t="shared" si="25"/>
        <v>63.839999999999996</v>
      </c>
      <c r="AZ16" s="26">
        <v>6.6</v>
      </c>
      <c r="BA16" s="26">
        <v>4.3</v>
      </c>
      <c r="BB16" s="26">
        <v>6.7</v>
      </c>
      <c r="BC16" s="26">
        <v>7.68</v>
      </c>
      <c r="BD16" s="26">
        <v>0</v>
      </c>
      <c r="BE16" s="26"/>
      <c r="BF16" s="26"/>
      <c r="BG16" s="26"/>
      <c r="BH16" s="26"/>
      <c r="BI16" s="26"/>
      <c r="BJ16" s="26">
        <v>12.9</v>
      </c>
      <c r="BK16" s="26">
        <v>9</v>
      </c>
      <c r="BL16" s="26">
        <v>13.5</v>
      </c>
      <c r="BM16" s="26">
        <v>14.6</v>
      </c>
      <c r="BN16" s="26">
        <v>0</v>
      </c>
      <c r="BO16" s="28"/>
      <c r="BP16" s="39">
        <f t="shared" si="26"/>
        <v>6.7</v>
      </c>
      <c r="BQ16" s="39">
        <f t="shared" si="27"/>
        <v>7.68</v>
      </c>
      <c r="BR16" s="11">
        <f t="shared" si="28"/>
        <v>25.279999999999998</v>
      </c>
      <c r="BS16" s="11" t="str">
        <f t="shared" si="29"/>
        <v/>
      </c>
      <c r="BT16" s="11" t="str">
        <f t="shared" si="30"/>
        <v/>
      </c>
      <c r="BU16" s="11" t="str">
        <f t="shared" si="31"/>
        <v/>
      </c>
      <c r="BV16" s="11">
        <f t="shared" si="32"/>
        <v>25.279999999999998</v>
      </c>
      <c r="BW16" s="11">
        <f t="shared" si="33"/>
        <v>13.5</v>
      </c>
      <c r="BX16" s="11">
        <f t="shared" si="34"/>
        <v>14.6</v>
      </c>
      <c r="BY16" s="11">
        <f t="shared" si="35"/>
        <v>50</v>
      </c>
      <c r="BZ16" s="11">
        <f t="shared" si="36"/>
        <v>75.28</v>
      </c>
      <c r="CA16" s="22">
        <v>2.5</v>
      </c>
      <c r="CB16" s="22">
        <v>1.7</v>
      </c>
      <c r="CC16" s="22">
        <v>3.2</v>
      </c>
      <c r="CD16" s="22">
        <v>3.14</v>
      </c>
      <c r="CE16" s="22">
        <v>0</v>
      </c>
      <c r="CF16" s="22">
        <v>8.5</v>
      </c>
      <c r="CG16" s="22">
        <v>5.9</v>
      </c>
      <c r="CH16" s="22">
        <v>9.4</v>
      </c>
      <c r="CI16" s="22">
        <v>10.3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7"/>
        <v>3.2</v>
      </c>
      <c r="CR16" s="38">
        <f t="shared" si="38"/>
        <v>3.14</v>
      </c>
      <c r="CS16" s="40">
        <f t="shared" si="39"/>
        <v>10.540000000000001</v>
      </c>
      <c r="CT16" s="40">
        <f t="shared" si="40"/>
        <v>9.4</v>
      </c>
      <c r="CU16" s="40">
        <f t="shared" si="41"/>
        <v>10.3</v>
      </c>
      <c r="CV16" s="40">
        <f t="shared" si="42"/>
        <v>34.1</v>
      </c>
      <c r="CW16" s="40">
        <f t="shared" si="43"/>
        <v>34.1</v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>
        <f t="shared" si="47"/>
        <v>34.1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>
        <v>1.6</v>
      </c>
      <c r="HC16" s="18">
        <v>1</v>
      </c>
      <c r="HD16" s="18">
        <v>1.8</v>
      </c>
      <c r="HE16" s="18">
        <v>1.64</v>
      </c>
      <c r="HF16" s="18">
        <v>0</v>
      </c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>
        <f t="shared" si="92"/>
        <v>1.8</v>
      </c>
      <c r="HW16" s="11">
        <f t="shared" si="93"/>
        <v>1.64</v>
      </c>
      <c r="HX16" s="11">
        <f t="shared" si="94"/>
        <v>6.04</v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>
        <f t="shared" si="98"/>
        <v>6.04</v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>
        <f t="shared" si="105"/>
        <v>6.04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4.55</v>
      </c>
      <c r="SW16" s="22">
        <f t="shared" si="219"/>
        <v>3</v>
      </c>
      <c r="SX16" s="22">
        <f t="shared" si="220"/>
        <v>4.95</v>
      </c>
      <c r="SY16" s="22">
        <f t="shared" si="221"/>
        <v>5.41</v>
      </c>
      <c r="SZ16" s="22">
        <f t="shared" si="222"/>
        <v>0</v>
      </c>
      <c r="TA16" s="22">
        <f t="shared" si="223"/>
        <v>4.25</v>
      </c>
      <c r="TB16" s="22">
        <f t="shared" si="224"/>
        <v>2.95</v>
      </c>
      <c r="TC16" s="22">
        <f t="shared" si="225"/>
        <v>4.7</v>
      </c>
      <c r="TD16" s="22">
        <f t="shared" si="226"/>
        <v>5.15</v>
      </c>
      <c r="TE16" s="22">
        <f t="shared" si="227"/>
        <v>0</v>
      </c>
      <c r="TF16" s="22">
        <f t="shared" si="228"/>
        <v>6.45</v>
      </c>
      <c r="TG16" s="22">
        <f t="shared" si="229"/>
        <v>4.5</v>
      </c>
      <c r="TH16" s="22">
        <f t="shared" si="230"/>
        <v>6.75</v>
      </c>
      <c r="TI16" s="22">
        <f t="shared" si="231"/>
        <v>7.3</v>
      </c>
      <c r="TJ16" s="22">
        <f t="shared" si="232"/>
        <v>0</v>
      </c>
      <c r="TK16" s="27" t="s">
        <v>46</v>
      </c>
      <c r="TL16" s="40">
        <f t="shared" si="233"/>
        <v>4.95</v>
      </c>
      <c r="TM16" s="40">
        <f t="shared" si="234"/>
        <v>5.41</v>
      </c>
      <c r="TN16" s="40">
        <f t="shared" si="235"/>
        <v>17.91</v>
      </c>
      <c r="TO16" s="40">
        <f t="shared" si="236"/>
        <v>4.7</v>
      </c>
      <c r="TP16" s="40">
        <f t="shared" si="237"/>
        <v>5.15</v>
      </c>
      <c r="TQ16" s="40">
        <f t="shared" si="238"/>
        <v>17.05</v>
      </c>
      <c r="TR16" s="40">
        <f t="shared" si="239"/>
        <v>17.91</v>
      </c>
      <c r="TS16" s="40">
        <f t="shared" si="240"/>
        <v>6.75</v>
      </c>
      <c r="TT16" s="40">
        <f t="shared" si="241"/>
        <v>7.3</v>
      </c>
      <c r="TU16" s="40">
        <f t="shared" si="242"/>
        <v>25</v>
      </c>
      <c r="TV16" s="40">
        <f t="shared" si="243"/>
        <v>42.91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213</v>
      </c>
      <c r="D17" s="4" t="s">
        <v>6</v>
      </c>
      <c r="E17" s="4">
        <v>2007</v>
      </c>
      <c r="F17" s="9">
        <f t="shared" si="0"/>
        <v>158.07001580700498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49.4</v>
      </c>
      <c r="M17" s="8" t="str">
        <f t="shared" si="5"/>
        <v>2024 Elite Canada</v>
      </c>
      <c r="N17" s="8">
        <f>IF(COUNT(AQ17,AT17,BR17,BU17,CS17,CV17)&gt;1,LARGE((AQ17,AT17,BR17,BU17,CS17,CV17),2),0)</f>
        <v>48.87</v>
      </c>
      <c r="O17" s="8" t="str">
        <f t="shared" si="6"/>
        <v>2024 Elite Canada</v>
      </c>
      <c r="P17" s="8">
        <f>IF(COUNT(AQ17,AT17,BR17,BU17,CS17,CV17)&gt;2,MAX(AX17,BY17,CZ17,LARGE((AQ17,AT17,BR17,BU17,CS17,CV17),3)),IF(MAX(AX17,BY17,CZ17)&gt;0,MAX(AX17,BY17,CZ17),0))</f>
        <v>50.400000000000006</v>
      </c>
      <c r="Q17" s="8" t="str">
        <f t="shared" si="7"/>
        <v>2024 Elite Canada</v>
      </c>
      <c r="R17" s="8">
        <f t="shared" si="8"/>
        <v>9.4</v>
      </c>
      <c r="S17" s="8" t="str">
        <f t="shared" si="9"/>
        <v>2024 Elite Canada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 t="shared" si="26"/>
        <v/>
      </c>
      <c r="BQ17" s="39" t="str">
        <f t="shared" si="27"/>
        <v/>
      </c>
      <c r="BR17" s="11" t="str">
        <f t="shared" si="28"/>
        <v/>
      </c>
      <c r="BS17" s="11" t="str">
        <f t="shared" si="29"/>
        <v/>
      </c>
      <c r="BT17" s="11" t="str">
        <f t="shared" si="30"/>
        <v/>
      </c>
      <c r="BU17" s="11" t="str">
        <f t="shared" si="31"/>
        <v/>
      </c>
      <c r="BV17" s="11" t="str">
        <f t="shared" si="32"/>
        <v/>
      </c>
      <c r="BW17" s="11" t="str">
        <f t="shared" si="33"/>
        <v/>
      </c>
      <c r="BX17" s="11" t="str">
        <f t="shared" si="34"/>
        <v/>
      </c>
      <c r="BY17" s="11" t="str">
        <f t="shared" si="35"/>
        <v/>
      </c>
      <c r="BZ17" s="11" t="str">
        <f t="shared" si="36"/>
        <v/>
      </c>
      <c r="CA17" s="22">
        <v>15.6</v>
      </c>
      <c r="CB17" s="22">
        <v>9.1999999999999993</v>
      </c>
      <c r="CC17" s="22">
        <v>9.4</v>
      </c>
      <c r="CD17" s="22">
        <v>14.67</v>
      </c>
      <c r="CE17" s="22">
        <v>0</v>
      </c>
      <c r="CF17" s="22">
        <v>16.100000000000001</v>
      </c>
      <c r="CG17" s="22">
        <v>9</v>
      </c>
      <c r="CH17" s="22">
        <v>9.4</v>
      </c>
      <c r="CI17" s="22">
        <v>14.9</v>
      </c>
      <c r="CJ17" s="22">
        <v>0</v>
      </c>
      <c r="CK17" s="22">
        <v>16.3</v>
      </c>
      <c r="CL17" s="22">
        <v>9.4</v>
      </c>
      <c r="CM17" s="22">
        <v>9.4</v>
      </c>
      <c r="CN17" s="22">
        <v>15.3</v>
      </c>
      <c r="CO17" s="22">
        <v>0</v>
      </c>
      <c r="CP17" s="27"/>
      <c r="CQ17" s="38">
        <f t="shared" si="37"/>
        <v>9.4</v>
      </c>
      <c r="CR17" s="38">
        <f t="shared" si="38"/>
        <v>14.67</v>
      </c>
      <c r="CS17" s="40">
        <f t="shared" si="39"/>
        <v>48.87</v>
      </c>
      <c r="CT17" s="40">
        <f t="shared" si="40"/>
        <v>9.4</v>
      </c>
      <c r="CU17" s="40">
        <f t="shared" si="41"/>
        <v>14.9</v>
      </c>
      <c r="CV17" s="40">
        <f t="shared" si="42"/>
        <v>49.4</v>
      </c>
      <c r="CW17" s="40">
        <f t="shared" si="43"/>
        <v>49.4</v>
      </c>
      <c r="CX17" s="40">
        <f t="shared" si="44"/>
        <v>9.4</v>
      </c>
      <c r="CY17" s="40">
        <f t="shared" si="45"/>
        <v>15.3</v>
      </c>
      <c r="CZ17" s="40">
        <f t="shared" si="46"/>
        <v>50.400000000000006</v>
      </c>
      <c r="DA17" s="40">
        <f t="shared" si="47"/>
        <v>99.800000000000011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7.8</v>
      </c>
      <c r="SW17" s="22">
        <f t="shared" si="219"/>
        <v>4.5999999999999996</v>
      </c>
      <c r="SX17" s="22">
        <f t="shared" si="220"/>
        <v>4.7</v>
      </c>
      <c r="SY17" s="22">
        <f t="shared" si="221"/>
        <v>7.335</v>
      </c>
      <c r="SZ17" s="22">
        <f t="shared" si="222"/>
        <v>0</v>
      </c>
      <c r="TA17" s="22">
        <f t="shared" si="223"/>
        <v>8.0500000000000007</v>
      </c>
      <c r="TB17" s="22">
        <f t="shared" si="224"/>
        <v>4.5</v>
      </c>
      <c r="TC17" s="22">
        <f t="shared" si="225"/>
        <v>4.7</v>
      </c>
      <c r="TD17" s="22">
        <f t="shared" si="226"/>
        <v>7.45</v>
      </c>
      <c r="TE17" s="22">
        <f t="shared" si="227"/>
        <v>0</v>
      </c>
      <c r="TF17" s="22">
        <f t="shared" si="228"/>
        <v>8.15</v>
      </c>
      <c r="TG17" s="22">
        <f t="shared" si="229"/>
        <v>4.7</v>
      </c>
      <c r="TH17" s="22">
        <f t="shared" si="230"/>
        <v>4.7</v>
      </c>
      <c r="TI17" s="22">
        <f t="shared" si="231"/>
        <v>7.65</v>
      </c>
      <c r="TJ17" s="22">
        <f t="shared" si="232"/>
        <v>0</v>
      </c>
      <c r="TK17" s="27" t="s">
        <v>46</v>
      </c>
      <c r="TL17" s="40">
        <f t="shared" si="233"/>
        <v>4.7</v>
      </c>
      <c r="TM17" s="40">
        <f t="shared" si="234"/>
        <v>7.335</v>
      </c>
      <c r="TN17" s="40">
        <f t="shared" si="235"/>
        <v>24.434999999999999</v>
      </c>
      <c r="TO17" s="40">
        <f t="shared" si="236"/>
        <v>4.7</v>
      </c>
      <c r="TP17" s="40">
        <f t="shared" si="237"/>
        <v>7.45</v>
      </c>
      <c r="TQ17" s="40">
        <f t="shared" si="238"/>
        <v>24.7</v>
      </c>
      <c r="TR17" s="40">
        <f t="shared" si="239"/>
        <v>24.7</v>
      </c>
      <c r="TS17" s="40">
        <f t="shared" si="240"/>
        <v>4.7</v>
      </c>
      <c r="TT17" s="40">
        <f t="shared" si="241"/>
        <v>7.65</v>
      </c>
      <c r="TU17" s="40">
        <f t="shared" si="242"/>
        <v>25.200000000000003</v>
      </c>
      <c r="TV17" s="40">
        <f t="shared" si="243"/>
        <v>49.900000000000006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146</v>
      </c>
      <c r="D18" s="4" t="s">
        <v>3</v>
      </c>
      <c r="E18" s="4">
        <v>2003</v>
      </c>
      <c r="F18" s="9">
        <f t="shared" si="0"/>
        <v>157.75001577500498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50.109999999999992</v>
      </c>
      <c r="M18" s="8" t="str">
        <f t="shared" si="5"/>
        <v>2023 Nationals</v>
      </c>
      <c r="N18" s="8">
        <f>IF(COUNT(AQ18,AT18,BR18,BU18,CS18,CV18)&gt;1,LARGE((AQ18,AT18,BR18,BU18,CS18,CV18),2),0)</f>
        <v>48.19</v>
      </c>
      <c r="O18" s="8" t="str">
        <f t="shared" si="6"/>
        <v>2023 Nationals</v>
      </c>
      <c r="P18" s="8">
        <f>IF(COUNT(AQ18,AT18,BR18,BU18,CS18,CV18)&gt;2,MAX(AX18,BY18,CZ18,LARGE((AQ18,AT18,BR18,BU18,CS18,CV18),3)),IF(MAX(AX18,BY18,CZ18)&gt;0,MAX(AX18,BY18,CZ18),0))</f>
        <v>49.75</v>
      </c>
      <c r="Q18" s="8" t="str">
        <f t="shared" si="7"/>
        <v>2023 Nationals</v>
      </c>
      <c r="R18" s="8">
        <f t="shared" si="8"/>
        <v>9.6999999999999993</v>
      </c>
      <c r="S18" s="8" t="str">
        <f t="shared" si="9"/>
        <v>2023 Nationals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15.1</v>
      </c>
      <c r="Z18" s="22">
        <v>9</v>
      </c>
      <c r="AA18" s="22">
        <v>9</v>
      </c>
      <c r="AB18" s="22">
        <v>15.19</v>
      </c>
      <c r="AC18" s="22">
        <v>0.1</v>
      </c>
      <c r="AD18" s="22">
        <v>15.8</v>
      </c>
      <c r="AE18" s="22">
        <v>9.6</v>
      </c>
      <c r="AF18" s="22">
        <v>9.6999999999999993</v>
      </c>
      <c r="AG18" s="22">
        <v>15.01</v>
      </c>
      <c r="AH18" s="22">
        <v>0</v>
      </c>
      <c r="AI18" s="22">
        <v>14.9</v>
      </c>
      <c r="AJ18" s="22">
        <v>9.4</v>
      </c>
      <c r="AK18" s="22">
        <v>9.6999999999999993</v>
      </c>
      <c r="AL18" s="22">
        <v>15.75</v>
      </c>
      <c r="AM18" s="22">
        <v>0</v>
      </c>
      <c r="AN18" s="27"/>
      <c r="AO18" s="38">
        <f t="shared" si="15"/>
        <v>9</v>
      </c>
      <c r="AP18" s="38">
        <f t="shared" si="16"/>
        <v>15.19</v>
      </c>
      <c r="AQ18" s="40">
        <f t="shared" si="17"/>
        <v>48.19</v>
      </c>
      <c r="AR18" s="40">
        <f t="shared" si="18"/>
        <v>9.6999999999999993</v>
      </c>
      <c r="AS18" s="40">
        <f t="shared" si="19"/>
        <v>15.01</v>
      </c>
      <c r="AT18" s="40">
        <f t="shared" si="20"/>
        <v>50.109999999999992</v>
      </c>
      <c r="AU18" s="40">
        <f t="shared" si="21"/>
        <v>50.109999999999992</v>
      </c>
      <c r="AV18" s="40">
        <f t="shared" si="22"/>
        <v>9.6999999999999993</v>
      </c>
      <c r="AW18" s="40">
        <f t="shared" si="23"/>
        <v>15.75</v>
      </c>
      <c r="AX18" s="40">
        <f t="shared" si="24"/>
        <v>49.75</v>
      </c>
      <c r="AY18" s="40">
        <f t="shared" si="25"/>
        <v>99.859999999999985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 t="shared" si="26"/>
        <v/>
      </c>
      <c r="BQ18" s="39" t="str">
        <f t="shared" si="27"/>
        <v/>
      </c>
      <c r="BR18" s="11" t="str">
        <f t="shared" si="28"/>
        <v/>
      </c>
      <c r="BS18" s="11" t="str">
        <f t="shared" si="29"/>
        <v/>
      </c>
      <c r="BT18" s="11" t="str">
        <f t="shared" si="30"/>
        <v/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 t="str">
        <f t="shared" si="36"/>
        <v/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0</v>
      </c>
      <c r="SW18" s="22">
        <f t="shared" si="219"/>
        <v>0</v>
      </c>
      <c r="SX18" s="22">
        <f t="shared" si="220"/>
        <v>0</v>
      </c>
      <c r="SY18" s="22">
        <f t="shared" si="221"/>
        <v>0</v>
      </c>
      <c r="SZ18" s="22">
        <f t="shared" si="222"/>
        <v>0</v>
      </c>
      <c r="TA18" s="22">
        <f t="shared" si="223"/>
        <v>0</v>
      </c>
      <c r="TB18" s="22">
        <f t="shared" si="224"/>
        <v>0</v>
      </c>
      <c r="TC18" s="22">
        <f t="shared" si="225"/>
        <v>0</v>
      </c>
      <c r="TD18" s="22">
        <f t="shared" si="226"/>
        <v>0</v>
      </c>
      <c r="TE18" s="22">
        <f t="shared" si="227"/>
        <v>0</v>
      </c>
      <c r="TF18" s="22">
        <f t="shared" si="228"/>
        <v>0</v>
      </c>
      <c r="TG18" s="22">
        <f t="shared" si="229"/>
        <v>0</v>
      </c>
      <c r="TH18" s="22">
        <f t="shared" si="230"/>
        <v>0</v>
      </c>
      <c r="TI18" s="22">
        <f t="shared" si="231"/>
        <v>0</v>
      </c>
      <c r="TJ18" s="22">
        <f t="shared" si="232"/>
        <v>0</v>
      </c>
      <c r="TK18" s="27" t="s">
        <v>46</v>
      </c>
      <c r="TL18" s="40" t="str">
        <f t="shared" si="233"/>
        <v/>
      </c>
      <c r="TM18" s="40" t="str">
        <f t="shared" si="234"/>
        <v/>
      </c>
      <c r="TN18" s="40" t="str">
        <f t="shared" si="235"/>
        <v/>
      </c>
      <c r="TO18" s="40" t="str">
        <f t="shared" si="236"/>
        <v/>
      </c>
      <c r="TP18" s="40" t="str">
        <f t="shared" si="237"/>
        <v/>
      </c>
      <c r="TQ18" s="40" t="str">
        <f t="shared" si="238"/>
        <v/>
      </c>
      <c r="TR18" s="40" t="str">
        <f t="shared" si="239"/>
        <v/>
      </c>
      <c r="TS18" s="40" t="str">
        <f t="shared" si="240"/>
        <v/>
      </c>
      <c r="TT18" s="40" t="str">
        <f t="shared" si="241"/>
        <v/>
      </c>
      <c r="TU18" s="40" t="str">
        <f t="shared" si="242"/>
        <v/>
      </c>
      <c r="TV18" s="40" t="str">
        <f t="shared" si="243"/>
        <v/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209</v>
      </c>
      <c r="D19" s="4" t="s">
        <v>5</v>
      </c>
      <c r="E19" s="4">
        <v>2007</v>
      </c>
      <c r="F19" s="9">
        <f t="shared" si="0"/>
        <v>157.19001571900492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49.160000000000004</v>
      </c>
      <c r="M19" s="8" t="str">
        <f t="shared" si="5"/>
        <v>2024 Elite Canada</v>
      </c>
      <c r="N19" s="8">
        <f>IF(COUNT(AQ19,AT19,BR19,BU19,CS19,CV19)&gt;1,LARGE((AQ19,AT19,BR19,BU19,CS19,CV19),2),0)</f>
        <v>48.5</v>
      </c>
      <c r="O19" s="8" t="str">
        <f t="shared" si="6"/>
        <v>2024 Elite Canada</v>
      </c>
      <c r="P19" s="8">
        <f>IF(COUNT(AQ19,AT19,BR19,BU19,CS19,CV19)&gt;2,MAX(AX19,BY19,CZ19,LARGE((AQ19,AT19,BR19,BU19,CS19,CV19),3)),IF(MAX(AX19,BY19,CZ19)&gt;0,MAX(AX19,BY19,CZ19),0))</f>
        <v>48.23</v>
      </c>
      <c r="Q19" s="8" t="str">
        <f t="shared" si="7"/>
        <v>2023 Nationals</v>
      </c>
      <c r="R19" s="8">
        <f t="shared" si="8"/>
        <v>11.3</v>
      </c>
      <c r="S19" s="8" t="str">
        <f t="shared" si="9"/>
        <v>2024 Elite Canada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/>
      <c r="Z19" s="22"/>
      <c r="AA19" s="22"/>
      <c r="AB19" s="22"/>
      <c r="AC19" s="22"/>
      <c r="AD19" s="22">
        <v>15.1</v>
      </c>
      <c r="AE19" s="22">
        <v>8.8000000000000007</v>
      </c>
      <c r="AF19" s="22">
        <v>10</v>
      </c>
      <c r="AG19" s="22">
        <v>14.33</v>
      </c>
      <c r="AH19" s="22">
        <v>0</v>
      </c>
      <c r="AI19" s="22">
        <v>13.8</v>
      </c>
      <c r="AJ19" s="22">
        <v>9</v>
      </c>
      <c r="AK19" s="22">
        <v>10.199999999999999</v>
      </c>
      <c r="AL19" s="22">
        <v>13.59</v>
      </c>
      <c r="AM19" s="22">
        <v>0</v>
      </c>
      <c r="AN19" s="27"/>
      <c r="AO19" s="38" t="str">
        <f t="shared" si="15"/>
        <v/>
      </c>
      <c r="AP19" s="38" t="str">
        <f t="shared" si="16"/>
        <v/>
      </c>
      <c r="AQ19" s="40" t="str">
        <f t="shared" si="17"/>
        <v/>
      </c>
      <c r="AR19" s="40">
        <f t="shared" si="18"/>
        <v>10</v>
      </c>
      <c r="AS19" s="40">
        <f t="shared" si="19"/>
        <v>14.33</v>
      </c>
      <c r="AT19" s="40">
        <f t="shared" si="20"/>
        <v>48.23</v>
      </c>
      <c r="AU19" s="40" t="str">
        <f t="shared" si="21"/>
        <v/>
      </c>
      <c r="AV19" s="40">
        <f t="shared" si="22"/>
        <v>10.199999999999999</v>
      </c>
      <c r="AW19" s="40">
        <f t="shared" si="23"/>
        <v>13.59</v>
      </c>
      <c r="AX19" s="40">
        <f t="shared" si="24"/>
        <v>46.59</v>
      </c>
      <c r="AY19" s="40">
        <f t="shared" si="25"/>
        <v>46.59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 t="shared" si="26"/>
        <v/>
      </c>
      <c r="BQ19" s="39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11" t="str">
        <f t="shared" si="35"/>
        <v/>
      </c>
      <c r="BZ19" s="11" t="str">
        <f t="shared" si="36"/>
        <v/>
      </c>
      <c r="CA19" s="22">
        <v>14.3</v>
      </c>
      <c r="CB19" s="22">
        <v>9.3000000000000007</v>
      </c>
      <c r="CC19" s="22">
        <v>10.5</v>
      </c>
      <c r="CD19" s="22">
        <v>14.4</v>
      </c>
      <c r="CE19" s="22">
        <v>0</v>
      </c>
      <c r="CF19" s="22">
        <v>14.2</v>
      </c>
      <c r="CG19" s="22">
        <v>9.4</v>
      </c>
      <c r="CH19" s="22">
        <v>11.3</v>
      </c>
      <c r="CI19" s="22">
        <v>14.26</v>
      </c>
      <c r="CJ19" s="22">
        <v>0</v>
      </c>
      <c r="CK19" s="22">
        <v>13.8</v>
      </c>
      <c r="CL19" s="22">
        <v>8.4</v>
      </c>
      <c r="CM19" s="22">
        <v>9.1</v>
      </c>
      <c r="CN19" s="22">
        <v>12.73</v>
      </c>
      <c r="CO19" s="22">
        <v>0</v>
      </c>
      <c r="CP19" s="27"/>
      <c r="CQ19" s="38">
        <f t="shared" si="37"/>
        <v>10.5</v>
      </c>
      <c r="CR19" s="38">
        <f t="shared" si="38"/>
        <v>14.4</v>
      </c>
      <c r="CS19" s="40">
        <f t="shared" si="39"/>
        <v>48.5</v>
      </c>
      <c r="CT19" s="40">
        <f t="shared" si="40"/>
        <v>11.3</v>
      </c>
      <c r="CU19" s="40">
        <f t="shared" si="41"/>
        <v>14.26</v>
      </c>
      <c r="CV19" s="40">
        <f t="shared" si="42"/>
        <v>49.160000000000004</v>
      </c>
      <c r="CW19" s="40">
        <f t="shared" si="43"/>
        <v>49.160000000000004</v>
      </c>
      <c r="CX19" s="40">
        <f t="shared" si="44"/>
        <v>9.1</v>
      </c>
      <c r="CY19" s="40">
        <f t="shared" si="45"/>
        <v>12.73</v>
      </c>
      <c r="CZ19" s="40">
        <f t="shared" si="46"/>
        <v>44.03</v>
      </c>
      <c r="DA19" s="40">
        <f t="shared" si="47"/>
        <v>93.19</v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7.15</v>
      </c>
      <c r="SW19" s="22">
        <f t="shared" si="219"/>
        <v>4.6500000000000004</v>
      </c>
      <c r="SX19" s="22">
        <f t="shared" si="220"/>
        <v>5.25</v>
      </c>
      <c r="SY19" s="22">
        <f t="shared" si="221"/>
        <v>7.2</v>
      </c>
      <c r="SZ19" s="22">
        <f t="shared" si="222"/>
        <v>0</v>
      </c>
      <c r="TA19" s="22">
        <f t="shared" si="223"/>
        <v>7.1</v>
      </c>
      <c r="TB19" s="22">
        <f t="shared" si="224"/>
        <v>4.7</v>
      </c>
      <c r="TC19" s="22">
        <f t="shared" si="225"/>
        <v>5.65</v>
      </c>
      <c r="TD19" s="22">
        <f t="shared" si="226"/>
        <v>7.13</v>
      </c>
      <c r="TE19" s="22">
        <f t="shared" si="227"/>
        <v>0</v>
      </c>
      <c r="TF19" s="22">
        <f t="shared" si="228"/>
        <v>6.9</v>
      </c>
      <c r="TG19" s="22">
        <f t="shared" si="229"/>
        <v>4.2</v>
      </c>
      <c r="TH19" s="22">
        <f t="shared" si="230"/>
        <v>4.55</v>
      </c>
      <c r="TI19" s="22">
        <f t="shared" si="231"/>
        <v>6.3650000000000002</v>
      </c>
      <c r="TJ19" s="22">
        <f t="shared" si="232"/>
        <v>0</v>
      </c>
      <c r="TK19" s="27" t="s">
        <v>46</v>
      </c>
      <c r="TL19" s="40">
        <f t="shared" si="233"/>
        <v>5.25</v>
      </c>
      <c r="TM19" s="40">
        <f t="shared" si="234"/>
        <v>7.2</v>
      </c>
      <c r="TN19" s="40">
        <f t="shared" si="235"/>
        <v>24.25</v>
      </c>
      <c r="TO19" s="40">
        <f t="shared" si="236"/>
        <v>5.65</v>
      </c>
      <c r="TP19" s="40">
        <f t="shared" si="237"/>
        <v>7.13</v>
      </c>
      <c r="TQ19" s="40">
        <f t="shared" si="238"/>
        <v>24.580000000000002</v>
      </c>
      <c r="TR19" s="40">
        <f t="shared" si="239"/>
        <v>24.580000000000002</v>
      </c>
      <c r="TS19" s="40">
        <f t="shared" si="240"/>
        <v>4.55</v>
      </c>
      <c r="TT19" s="40">
        <f t="shared" si="241"/>
        <v>6.3650000000000002</v>
      </c>
      <c r="TU19" s="40">
        <f t="shared" si="242"/>
        <v>22.015000000000001</v>
      </c>
      <c r="TV19" s="40">
        <f t="shared" si="243"/>
        <v>46.594999999999999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202</v>
      </c>
      <c r="D20" s="4" t="s">
        <v>3</v>
      </c>
      <c r="E20" s="4">
        <v>2007</v>
      </c>
      <c r="F20" s="9">
        <f t="shared" si="0"/>
        <v>154.46001544600509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50.9</v>
      </c>
      <c r="M20" s="8" t="str">
        <f t="shared" si="5"/>
        <v>2023 Nationals</v>
      </c>
      <c r="N20" s="8">
        <f>IF(COUNT(AQ20,AT20,BR20,BU20,CS20,CV20)&gt;1,LARGE((AQ20,AT20,BR20,BU20,CS20,CV20),2),0)</f>
        <v>39.340000000000003</v>
      </c>
      <c r="O20" s="8" t="str">
        <f t="shared" si="6"/>
        <v>2024 Elite Canada</v>
      </c>
      <c r="P20" s="8">
        <f>IF(COUNT(AQ20,AT20,BR20,BU20,CS20,CV20)&gt;2,MAX(AX20,BY20,CZ20,LARGE((AQ20,AT20,BR20,BU20,CS20,CV20),3)),IF(MAX(AX20,BY20,CZ20)&gt;0,MAX(AX20,BY20,CZ20),0))</f>
        <v>52.72</v>
      </c>
      <c r="Q20" s="8" t="str">
        <f t="shared" si="7"/>
        <v>2023 Nationals</v>
      </c>
      <c r="R20" s="8">
        <f t="shared" si="8"/>
        <v>11.5</v>
      </c>
      <c r="S20" s="8" t="str">
        <f t="shared" si="9"/>
        <v>2023 Nationals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15.7</v>
      </c>
      <c r="Z20" s="22">
        <v>9.1</v>
      </c>
      <c r="AA20" s="22">
        <v>11.5</v>
      </c>
      <c r="AB20" s="22">
        <v>14.6</v>
      </c>
      <c r="AC20" s="22">
        <v>0</v>
      </c>
      <c r="AD20" s="22"/>
      <c r="AE20" s="22"/>
      <c r="AF20" s="22"/>
      <c r="AG20" s="22"/>
      <c r="AH20" s="22"/>
      <c r="AI20" s="22">
        <v>16.899999999999999</v>
      </c>
      <c r="AJ20" s="22">
        <v>9.8000000000000007</v>
      </c>
      <c r="AK20" s="22">
        <v>11.5</v>
      </c>
      <c r="AL20" s="22">
        <v>14.52</v>
      </c>
      <c r="AM20" s="22">
        <v>0</v>
      </c>
      <c r="AN20" s="27"/>
      <c r="AO20" s="38">
        <f t="shared" si="15"/>
        <v>11.5</v>
      </c>
      <c r="AP20" s="38">
        <f t="shared" si="16"/>
        <v>14.6</v>
      </c>
      <c r="AQ20" s="40">
        <f t="shared" si="17"/>
        <v>50.9</v>
      </c>
      <c r="AR20" s="40" t="str">
        <f t="shared" si="18"/>
        <v/>
      </c>
      <c r="AS20" s="40" t="str">
        <f t="shared" si="19"/>
        <v/>
      </c>
      <c r="AT20" s="40" t="str">
        <f t="shared" si="20"/>
        <v/>
      </c>
      <c r="AU20" s="40">
        <f t="shared" si="21"/>
        <v>50.9</v>
      </c>
      <c r="AV20" s="40">
        <f t="shared" si="22"/>
        <v>11.5</v>
      </c>
      <c r="AW20" s="40">
        <f t="shared" si="23"/>
        <v>14.52</v>
      </c>
      <c r="AX20" s="40">
        <f t="shared" si="24"/>
        <v>52.72</v>
      </c>
      <c r="AY20" s="40">
        <f t="shared" si="25"/>
        <v>103.62</v>
      </c>
      <c r="AZ20" s="26">
        <v>1.6</v>
      </c>
      <c r="BA20" s="26">
        <v>0.8</v>
      </c>
      <c r="BB20" s="26">
        <v>2</v>
      </c>
      <c r="BC20" s="26">
        <v>1.75</v>
      </c>
      <c r="BD20" s="26">
        <v>0</v>
      </c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>
        <f t="shared" si="26"/>
        <v>2</v>
      </c>
      <c r="BQ20" s="39">
        <f t="shared" si="27"/>
        <v>1.75</v>
      </c>
      <c r="BR20" s="11">
        <f t="shared" si="28"/>
        <v>6.15</v>
      </c>
      <c r="BS20" s="11" t="str">
        <f t="shared" si="29"/>
        <v/>
      </c>
      <c r="BT20" s="11" t="str">
        <f t="shared" si="30"/>
        <v/>
      </c>
      <c r="BU20" s="11" t="str">
        <f t="shared" si="31"/>
        <v/>
      </c>
      <c r="BV20" s="11">
        <f t="shared" si="32"/>
        <v>6.15</v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>
        <f t="shared" si="36"/>
        <v>6.15</v>
      </c>
      <c r="CA20" s="22">
        <v>11.5</v>
      </c>
      <c r="CB20" s="22">
        <v>6.9</v>
      </c>
      <c r="CC20" s="22">
        <v>9.6</v>
      </c>
      <c r="CD20" s="22">
        <v>11.34</v>
      </c>
      <c r="CE20" s="22">
        <v>0</v>
      </c>
      <c r="CF20" s="22">
        <v>5.8</v>
      </c>
      <c r="CG20" s="22">
        <v>3.5</v>
      </c>
      <c r="CH20" s="22">
        <v>5</v>
      </c>
      <c r="CI20" s="22">
        <v>5.94</v>
      </c>
      <c r="CJ20" s="22">
        <v>0</v>
      </c>
      <c r="CK20" s="22"/>
      <c r="CL20" s="22"/>
      <c r="CM20" s="22"/>
      <c r="CN20" s="22"/>
      <c r="CO20" s="22"/>
      <c r="CP20" s="27"/>
      <c r="CQ20" s="38">
        <f t="shared" si="37"/>
        <v>9.6</v>
      </c>
      <c r="CR20" s="38">
        <f t="shared" si="38"/>
        <v>11.34</v>
      </c>
      <c r="CS20" s="40">
        <f t="shared" si="39"/>
        <v>39.340000000000003</v>
      </c>
      <c r="CT20" s="40">
        <f t="shared" si="40"/>
        <v>5</v>
      </c>
      <c r="CU20" s="40">
        <f t="shared" si="41"/>
        <v>5.94</v>
      </c>
      <c r="CV20" s="40">
        <f t="shared" si="42"/>
        <v>20.240000000000002</v>
      </c>
      <c r="CW20" s="40">
        <f t="shared" si="43"/>
        <v>39.340000000000003</v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>
        <f t="shared" si="47"/>
        <v>39.340000000000003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6.55</v>
      </c>
      <c r="SW20" s="22">
        <f t="shared" si="219"/>
        <v>3.85</v>
      </c>
      <c r="SX20" s="22">
        <f t="shared" si="220"/>
        <v>5.8</v>
      </c>
      <c r="SY20" s="22">
        <f t="shared" si="221"/>
        <v>6.5449999999999999</v>
      </c>
      <c r="SZ20" s="22">
        <f t="shared" si="222"/>
        <v>0</v>
      </c>
      <c r="TA20" s="22">
        <f t="shared" si="223"/>
        <v>2.9</v>
      </c>
      <c r="TB20" s="22">
        <f t="shared" si="224"/>
        <v>1.75</v>
      </c>
      <c r="TC20" s="22">
        <f t="shared" si="225"/>
        <v>2.5</v>
      </c>
      <c r="TD20" s="22">
        <f t="shared" si="226"/>
        <v>2.97</v>
      </c>
      <c r="TE20" s="22">
        <f t="shared" si="227"/>
        <v>0</v>
      </c>
      <c r="TF20" s="22">
        <f t="shared" si="228"/>
        <v>0</v>
      </c>
      <c r="TG20" s="22">
        <f t="shared" si="229"/>
        <v>0</v>
      </c>
      <c r="TH20" s="22">
        <f t="shared" si="230"/>
        <v>0</v>
      </c>
      <c r="TI20" s="22">
        <f t="shared" si="231"/>
        <v>0</v>
      </c>
      <c r="TJ20" s="22">
        <f t="shared" si="232"/>
        <v>0</v>
      </c>
      <c r="TK20" s="27" t="s">
        <v>46</v>
      </c>
      <c r="TL20" s="40">
        <f t="shared" si="233"/>
        <v>5.8</v>
      </c>
      <c r="TM20" s="40">
        <f t="shared" si="234"/>
        <v>6.5449999999999999</v>
      </c>
      <c r="TN20" s="40">
        <f t="shared" si="235"/>
        <v>22.744999999999997</v>
      </c>
      <c r="TO20" s="40">
        <f t="shared" si="236"/>
        <v>2.5</v>
      </c>
      <c r="TP20" s="40">
        <f t="shared" si="237"/>
        <v>2.97</v>
      </c>
      <c r="TQ20" s="40">
        <f t="shared" si="238"/>
        <v>10.120000000000001</v>
      </c>
      <c r="TR20" s="40">
        <f t="shared" si="239"/>
        <v>22.744999999999997</v>
      </c>
      <c r="TS20" s="40" t="str">
        <f t="shared" si="240"/>
        <v/>
      </c>
      <c r="TT20" s="40" t="str">
        <f t="shared" si="241"/>
        <v/>
      </c>
      <c r="TU20" s="40" t="str">
        <f t="shared" si="242"/>
        <v/>
      </c>
      <c r="TV20" s="40">
        <f t="shared" si="243"/>
        <v>22.744999999999997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155</v>
      </c>
      <c r="D21" s="4" t="s">
        <v>5</v>
      </c>
      <c r="E21" s="4">
        <v>2006</v>
      </c>
      <c r="F21" s="9">
        <f t="shared" si="0"/>
        <v>153.16001531600492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49.08</v>
      </c>
      <c r="M21" s="8" t="str">
        <f t="shared" si="5"/>
        <v>2024 Elite Canada</v>
      </c>
      <c r="N21" s="8">
        <f>IF(COUNT(AQ21,AT21,BR21,BU21,CS21,CV21)&gt;1,LARGE((AQ21,AT21,BR21,BU21,CS21,CV21),2),0)</f>
        <v>45.93</v>
      </c>
      <c r="O21" s="8" t="str">
        <f t="shared" si="6"/>
        <v>2024 Elite Canada</v>
      </c>
      <c r="P21" s="8">
        <f>IF(COUNT(AQ21,AT21,BR21,BU21,CS21,CV21)&gt;2,MAX(AX21,BY21,CZ21,LARGE((AQ21,AT21,BR21,BU21,CS21,CV21),3)),IF(MAX(AX21,BY21,CZ21)&gt;0,MAX(AX21,BY21,CZ21),0))</f>
        <v>45.75</v>
      </c>
      <c r="Q21" s="8" t="str">
        <f t="shared" si="7"/>
        <v>2024 Elite Canada</v>
      </c>
      <c r="R21" s="8">
        <f t="shared" si="8"/>
        <v>12.4</v>
      </c>
      <c r="S21" s="8" t="str">
        <f t="shared" si="9"/>
        <v>2024 Elite Canada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 t="shared" si="15"/>
        <v/>
      </c>
      <c r="AP21" s="38" t="str">
        <f t="shared" si="16"/>
        <v/>
      </c>
      <c r="AQ21" s="40" t="str">
        <f t="shared" si="17"/>
        <v/>
      </c>
      <c r="AR21" s="40" t="str">
        <f t="shared" si="18"/>
        <v/>
      </c>
      <c r="AS21" s="40" t="str">
        <f t="shared" si="19"/>
        <v/>
      </c>
      <c r="AT21" s="40" t="str">
        <f t="shared" si="20"/>
        <v/>
      </c>
      <c r="AU21" s="40" t="str">
        <f t="shared" si="21"/>
        <v/>
      </c>
      <c r="AV21" s="40" t="str">
        <f t="shared" si="22"/>
        <v/>
      </c>
      <c r="AW21" s="40" t="str">
        <f t="shared" si="23"/>
        <v/>
      </c>
      <c r="AX21" s="40" t="str">
        <f t="shared" si="24"/>
        <v/>
      </c>
      <c r="AY21" s="40" t="str">
        <f t="shared" si="25"/>
        <v/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>
        <v>13.1</v>
      </c>
      <c r="CB21" s="22">
        <v>8.6999999999999993</v>
      </c>
      <c r="CC21" s="22">
        <v>10.6</v>
      </c>
      <c r="CD21" s="22">
        <v>13.53</v>
      </c>
      <c r="CE21" s="22">
        <v>0</v>
      </c>
      <c r="CF21" s="22">
        <v>13.7</v>
      </c>
      <c r="CG21" s="22">
        <v>9.3000000000000007</v>
      </c>
      <c r="CH21" s="22">
        <v>12.4</v>
      </c>
      <c r="CI21" s="22">
        <v>13.68</v>
      </c>
      <c r="CJ21" s="22">
        <v>0</v>
      </c>
      <c r="CK21" s="22">
        <v>12.1</v>
      </c>
      <c r="CL21" s="22">
        <v>8.9</v>
      </c>
      <c r="CM21" s="22">
        <v>11.5</v>
      </c>
      <c r="CN21" s="22">
        <v>13.25</v>
      </c>
      <c r="CO21" s="22">
        <v>0</v>
      </c>
      <c r="CP21" s="27"/>
      <c r="CQ21" s="38">
        <f t="shared" si="37"/>
        <v>10.6</v>
      </c>
      <c r="CR21" s="38">
        <f t="shared" si="38"/>
        <v>13.53</v>
      </c>
      <c r="CS21" s="40">
        <f t="shared" si="39"/>
        <v>45.93</v>
      </c>
      <c r="CT21" s="40">
        <f t="shared" si="40"/>
        <v>12.4</v>
      </c>
      <c r="CU21" s="40">
        <f t="shared" si="41"/>
        <v>13.68</v>
      </c>
      <c r="CV21" s="40">
        <f t="shared" si="42"/>
        <v>49.08</v>
      </c>
      <c r="CW21" s="40">
        <f t="shared" si="43"/>
        <v>49.08</v>
      </c>
      <c r="CX21" s="40">
        <f t="shared" si="44"/>
        <v>11.5</v>
      </c>
      <c r="CY21" s="40">
        <f t="shared" si="45"/>
        <v>13.25</v>
      </c>
      <c r="CZ21" s="40">
        <f t="shared" si="46"/>
        <v>45.75</v>
      </c>
      <c r="DA21" s="40">
        <f t="shared" si="47"/>
        <v>94.83</v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6.55</v>
      </c>
      <c r="SW21" s="22">
        <f t="shared" si="219"/>
        <v>4.3499999999999996</v>
      </c>
      <c r="SX21" s="22">
        <f t="shared" si="220"/>
        <v>5.3</v>
      </c>
      <c r="SY21" s="22">
        <f t="shared" si="221"/>
        <v>6.7649999999999997</v>
      </c>
      <c r="SZ21" s="22">
        <f t="shared" si="222"/>
        <v>0</v>
      </c>
      <c r="TA21" s="22">
        <f t="shared" si="223"/>
        <v>6.85</v>
      </c>
      <c r="TB21" s="22">
        <f t="shared" si="224"/>
        <v>4.6500000000000004</v>
      </c>
      <c r="TC21" s="22">
        <f t="shared" si="225"/>
        <v>6.2</v>
      </c>
      <c r="TD21" s="22">
        <f t="shared" si="226"/>
        <v>6.84</v>
      </c>
      <c r="TE21" s="22">
        <f t="shared" si="227"/>
        <v>0</v>
      </c>
      <c r="TF21" s="22">
        <f t="shared" si="228"/>
        <v>6.05</v>
      </c>
      <c r="TG21" s="22">
        <f t="shared" si="229"/>
        <v>4.45</v>
      </c>
      <c r="TH21" s="22">
        <f t="shared" si="230"/>
        <v>5.75</v>
      </c>
      <c r="TI21" s="22">
        <f t="shared" si="231"/>
        <v>6.625</v>
      </c>
      <c r="TJ21" s="22">
        <f t="shared" si="232"/>
        <v>0</v>
      </c>
      <c r="TK21" s="27" t="s">
        <v>46</v>
      </c>
      <c r="TL21" s="40">
        <f t="shared" si="233"/>
        <v>5.3</v>
      </c>
      <c r="TM21" s="40">
        <f t="shared" si="234"/>
        <v>6.7649999999999997</v>
      </c>
      <c r="TN21" s="40">
        <f t="shared" si="235"/>
        <v>22.965</v>
      </c>
      <c r="TO21" s="40">
        <f t="shared" si="236"/>
        <v>6.2</v>
      </c>
      <c r="TP21" s="40">
        <f t="shared" si="237"/>
        <v>6.84</v>
      </c>
      <c r="TQ21" s="40">
        <f t="shared" si="238"/>
        <v>24.54</v>
      </c>
      <c r="TR21" s="40">
        <f t="shared" si="239"/>
        <v>24.54</v>
      </c>
      <c r="TS21" s="40">
        <f t="shared" si="240"/>
        <v>5.75</v>
      </c>
      <c r="TT21" s="40">
        <f t="shared" si="241"/>
        <v>6.625</v>
      </c>
      <c r="TU21" s="40">
        <f t="shared" si="242"/>
        <v>22.875</v>
      </c>
      <c r="TV21" s="40">
        <f t="shared" si="243"/>
        <v>47.414999999999999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208</v>
      </c>
      <c r="D22" s="4" t="s">
        <v>5</v>
      </c>
      <c r="E22" s="4">
        <v>2007</v>
      </c>
      <c r="F22" s="9">
        <f t="shared" si="0"/>
        <v>151.95001519500485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48.32</v>
      </c>
      <c r="M22" s="8" t="str">
        <f t="shared" si="5"/>
        <v>2023 Nationals</v>
      </c>
      <c r="N22" s="8">
        <f>IF(COUNT(AQ22,AT22,BR22,BU22,CS22,CV22)&gt;1,LARGE((AQ22,AT22,BR22,BU22,CS22,CV22),2),0)</f>
        <v>44.33</v>
      </c>
      <c r="O22" s="8" t="str">
        <f t="shared" si="6"/>
        <v>2024 Elite Canada</v>
      </c>
      <c r="P22" s="8">
        <f>IF(COUNT(AQ22,AT22,BR22,BU22,CS22,CV22)&gt;2,MAX(AX22,BY22,CZ22,LARGE((AQ22,AT22,BR22,BU22,CS22,CV22),3)),IF(MAX(AX22,BY22,CZ22)&gt;0,MAX(AX22,BY22,CZ22),0))</f>
        <v>47.9</v>
      </c>
      <c r="Q22" s="8" t="str">
        <f t="shared" si="7"/>
        <v>2023 Nationals</v>
      </c>
      <c r="R22" s="8">
        <f t="shared" si="8"/>
        <v>11.4</v>
      </c>
      <c r="S22" s="8" t="str">
        <f t="shared" si="9"/>
        <v>2023 Nationals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/>
      <c r="Z22" s="22"/>
      <c r="AA22" s="22"/>
      <c r="AB22" s="22"/>
      <c r="AC22" s="22"/>
      <c r="AD22" s="22">
        <v>14.5</v>
      </c>
      <c r="AE22" s="22">
        <v>9.1999999999999993</v>
      </c>
      <c r="AF22" s="22">
        <v>11.4</v>
      </c>
      <c r="AG22" s="22">
        <v>13.22</v>
      </c>
      <c r="AH22" s="22">
        <v>0</v>
      </c>
      <c r="AI22" s="22">
        <v>14.4</v>
      </c>
      <c r="AJ22" s="22">
        <v>9</v>
      </c>
      <c r="AK22" s="22">
        <v>11.4</v>
      </c>
      <c r="AL22" s="22">
        <v>13.1</v>
      </c>
      <c r="AM22" s="22">
        <v>0</v>
      </c>
      <c r="AN22" s="27"/>
      <c r="AO22" s="38" t="str">
        <f t="shared" si="15"/>
        <v/>
      </c>
      <c r="AP22" s="38" t="str">
        <f t="shared" si="16"/>
        <v/>
      </c>
      <c r="AQ22" s="40" t="str">
        <f t="shared" si="17"/>
        <v/>
      </c>
      <c r="AR22" s="40">
        <f t="shared" si="18"/>
        <v>11.4</v>
      </c>
      <c r="AS22" s="40">
        <f t="shared" si="19"/>
        <v>13.22</v>
      </c>
      <c r="AT22" s="40">
        <f t="shared" si="20"/>
        <v>48.32</v>
      </c>
      <c r="AU22" s="40" t="str">
        <f t="shared" si="21"/>
        <v/>
      </c>
      <c r="AV22" s="40">
        <f t="shared" si="22"/>
        <v>11.4</v>
      </c>
      <c r="AW22" s="40">
        <f t="shared" si="23"/>
        <v>13.1</v>
      </c>
      <c r="AX22" s="40">
        <f t="shared" si="24"/>
        <v>47.9</v>
      </c>
      <c r="AY22" s="40">
        <f t="shared" si="25"/>
        <v>47.9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6"/>
        <v/>
      </c>
      <c r="BQ22" s="39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11" t="str">
        <f t="shared" si="35"/>
        <v/>
      </c>
      <c r="BZ22" s="11" t="str">
        <f t="shared" si="36"/>
        <v/>
      </c>
      <c r="CA22" s="22">
        <v>10.8</v>
      </c>
      <c r="CB22" s="22">
        <v>9.1</v>
      </c>
      <c r="CC22" s="22">
        <v>11.3</v>
      </c>
      <c r="CD22" s="22">
        <v>13.13</v>
      </c>
      <c r="CE22" s="22">
        <v>0</v>
      </c>
      <c r="CF22" s="22">
        <v>5.3</v>
      </c>
      <c r="CG22" s="22">
        <v>3.5</v>
      </c>
      <c r="CH22" s="22">
        <v>3.8</v>
      </c>
      <c r="CI22" s="22">
        <v>5.69</v>
      </c>
      <c r="CJ22" s="22">
        <v>0</v>
      </c>
      <c r="CK22" s="22"/>
      <c r="CL22" s="22"/>
      <c r="CM22" s="22"/>
      <c r="CN22" s="22"/>
      <c r="CO22" s="22"/>
      <c r="CP22" s="27"/>
      <c r="CQ22" s="38">
        <f t="shared" si="37"/>
        <v>11.3</v>
      </c>
      <c r="CR22" s="38">
        <f t="shared" si="38"/>
        <v>13.13</v>
      </c>
      <c r="CS22" s="40">
        <f t="shared" si="39"/>
        <v>44.33</v>
      </c>
      <c r="CT22" s="40">
        <f t="shared" si="40"/>
        <v>3.8</v>
      </c>
      <c r="CU22" s="40">
        <f t="shared" si="41"/>
        <v>5.69</v>
      </c>
      <c r="CV22" s="40">
        <f t="shared" si="42"/>
        <v>18.290000000000003</v>
      </c>
      <c r="CW22" s="40">
        <f t="shared" si="43"/>
        <v>44.33</v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>
        <f t="shared" si="47"/>
        <v>44.33</v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5.4</v>
      </c>
      <c r="SW22" s="22">
        <f t="shared" si="219"/>
        <v>4.55</v>
      </c>
      <c r="SX22" s="22">
        <f t="shared" si="220"/>
        <v>5.65</v>
      </c>
      <c r="SY22" s="22">
        <f t="shared" si="221"/>
        <v>6.5650000000000004</v>
      </c>
      <c r="SZ22" s="22">
        <f t="shared" si="222"/>
        <v>0</v>
      </c>
      <c r="TA22" s="22">
        <f t="shared" si="223"/>
        <v>2.65</v>
      </c>
      <c r="TB22" s="22">
        <f t="shared" si="224"/>
        <v>1.75</v>
      </c>
      <c r="TC22" s="22">
        <f t="shared" si="225"/>
        <v>1.9</v>
      </c>
      <c r="TD22" s="22">
        <f t="shared" si="226"/>
        <v>2.8450000000000002</v>
      </c>
      <c r="TE22" s="22">
        <f t="shared" si="227"/>
        <v>0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2">
        <f t="shared" si="231"/>
        <v>0</v>
      </c>
      <c r="TJ22" s="22">
        <f t="shared" si="232"/>
        <v>0</v>
      </c>
      <c r="TK22" s="27" t="s">
        <v>46</v>
      </c>
      <c r="TL22" s="40">
        <f t="shared" si="233"/>
        <v>5.65</v>
      </c>
      <c r="TM22" s="40">
        <f t="shared" si="234"/>
        <v>6.5650000000000004</v>
      </c>
      <c r="TN22" s="40">
        <f t="shared" si="235"/>
        <v>22.164999999999999</v>
      </c>
      <c r="TO22" s="40">
        <f t="shared" si="236"/>
        <v>1.9</v>
      </c>
      <c r="TP22" s="40">
        <f t="shared" si="237"/>
        <v>2.8450000000000002</v>
      </c>
      <c r="TQ22" s="40">
        <f t="shared" si="238"/>
        <v>9.1450000000000014</v>
      </c>
      <c r="TR22" s="40">
        <f t="shared" si="239"/>
        <v>22.164999999999999</v>
      </c>
      <c r="TS22" s="40" t="str">
        <f t="shared" si="240"/>
        <v/>
      </c>
      <c r="TT22" s="40" t="str">
        <f t="shared" si="241"/>
        <v/>
      </c>
      <c r="TU22" s="40" t="str">
        <f t="shared" si="242"/>
        <v/>
      </c>
      <c r="TV22" s="40">
        <f t="shared" si="243"/>
        <v>22.164999999999999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214</v>
      </c>
      <c r="D23" s="4" t="s">
        <v>6</v>
      </c>
      <c r="E23" s="4">
        <v>2005</v>
      </c>
      <c r="F23" s="9">
        <f t="shared" si="0"/>
        <v>151.48001514800515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51.81</v>
      </c>
      <c r="M23" s="8" t="str">
        <f t="shared" si="5"/>
        <v>2024 Elite Canada</v>
      </c>
      <c r="N23" s="8">
        <f>IF(COUNT(AQ23,AT23,BR23,BU23,CS23,CV23)&gt;1,LARGE((AQ23,AT23,BR23,BU23,CS23,CV23),2),0)</f>
        <v>43.04</v>
      </c>
      <c r="O23" s="8" t="str">
        <f t="shared" si="6"/>
        <v>2024 Elite Canada</v>
      </c>
      <c r="P23" s="8">
        <f>IF(COUNT(AQ23,AT23,BR23,BU23,CS23,CV23)&gt;2,MAX(AX23,BY23,CZ23,LARGE((AQ23,AT23,BR23,BU23,CS23,CV23),3)),IF(MAX(AX23,BY23,CZ23)&gt;0,MAX(AX23,BY23,CZ23),0))</f>
        <v>45.43</v>
      </c>
      <c r="Q23" s="8" t="str">
        <f t="shared" si="7"/>
        <v>2024 Elite Canada</v>
      </c>
      <c r="R23" s="8">
        <f t="shared" si="8"/>
        <v>11.2</v>
      </c>
      <c r="S23" s="8" t="str">
        <f t="shared" si="9"/>
        <v>2024 Elite Canada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 t="shared" si="15"/>
        <v/>
      </c>
      <c r="AP23" s="38" t="str">
        <f t="shared" si="16"/>
        <v/>
      </c>
      <c r="AQ23" s="40" t="str">
        <f t="shared" si="17"/>
        <v/>
      </c>
      <c r="AR23" s="40" t="str">
        <f t="shared" si="18"/>
        <v/>
      </c>
      <c r="AS23" s="40" t="str">
        <f t="shared" si="19"/>
        <v/>
      </c>
      <c r="AT23" s="40" t="str">
        <f t="shared" si="20"/>
        <v/>
      </c>
      <c r="AU23" s="40" t="str">
        <f t="shared" si="21"/>
        <v/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 t="str">
        <f t="shared" si="25"/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6"/>
        <v/>
      </c>
      <c r="BQ23" s="39" t="str">
        <f t="shared" si="27"/>
        <v/>
      </c>
      <c r="BR23" s="11" t="str">
        <f t="shared" si="28"/>
        <v/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 t="str">
        <f t="shared" si="32"/>
        <v/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 t="str">
        <f t="shared" si="36"/>
        <v/>
      </c>
      <c r="CA23" s="22">
        <v>7.62</v>
      </c>
      <c r="CB23" s="22">
        <v>9.4</v>
      </c>
      <c r="CC23" s="22">
        <v>11.2</v>
      </c>
      <c r="CD23" s="22">
        <v>14.82</v>
      </c>
      <c r="CE23" s="22">
        <v>0</v>
      </c>
      <c r="CF23" s="22">
        <v>16.100000000000001</v>
      </c>
      <c r="CG23" s="22">
        <v>9.8000000000000007</v>
      </c>
      <c r="CH23" s="22">
        <v>11.2</v>
      </c>
      <c r="CI23" s="22">
        <v>14.71</v>
      </c>
      <c r="CJ23" s="22">
        <v>0</v>
      </c>
      <c r="CK23" s="22">
        <v>14.1</v>
      </c>
      <c r="CL23" s="22">
        <v>7.9</v>
      </c>
      <c r="CM23" s="22">
        <v>9.8000000000000007</v>
      </c>
      <c r="CN23" s="22">
        <v>13.63</v>
      </c>
      <c r="CO23" s="22">
        <v>0</v>
      </c>
      <c r="CP23" s="27"/>
      <c r="CQ23" s="38">
        <f t="shared" si="37"/>
        <v>11.2</v>
      </c>
      <c r="CR23" s="38">
        <f t="shared" si="38"/>
        <v>14.82</v>
      </c>
      <c r="CS23" s="40">
        <f t="shared" si="39"/>
        <v>43.04</v>
      </c>
      <c r="CT23" s="40">
        <f t="shared" si="40"/>
        <v>11.2</v>
      </c>
      <c r="CU23" s="40">
        <f t="shared" si="41"/>
        <v>14.71</v>
      </c>
      <c r="CV23" s="40">
        <f t="shared" si="42"/>
        <v>51.81</v>
      </c>
      <c r="CW23" s="40">
        <f t="shared" si="43"/>
        <v>51.81</v>
      </c>
      <c r="CX23" s="40">
        <f t="shared" si="44"/>
        <v>9.8000000000000007</v>
      </c>
      <c r="CY23" s="40">
        <f t="shared" si="45"/>
        <v>13.63</v>
      </c>
      <c r="CZ23" s="40">
        <f t="shared" si="46"/>
        <v>45.43</v>
      </c>
      <c r="DA23" s="40">
        <f t="shared" si="47"/>
        <v>97.240000000000009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3.81</v>
      </c>
      <c r="SW23" s="22">
        <f t="shared" si="219"/>
        <v>4.7</v>
      </c>
      <c r="SX23" s="22">
        <f t="shared" si="220"/>
        <v>5.6</v>
      </c>
      <c r="SY23" s="22">
        <f t="shared" si="221"/>
        <v>7.41</v>
      </c>
      <c r="SZ23" s="22">
        <f t="shared" si="222"/>
        <v>0</v>
      </c>
      <c r="TA23" s="22">
        <f t="shared" si="223"/>
        <v>8.0500000000000007</v>
      </c>
      <c r="TB23" s="22">
        <f t="shared" si="224"/>
        <v>4.9000000000000004</v>
      </c>
      <c r="TC23" s="22">
        <f t="shared" si="225"/>
        <v>5.6</v>
      </c>
      <c r="TD23" s="22">
        <f t="shared" si="226"/>
        <v>7.3550000000000004</v>
      </c>
      <c r="TE23" s="22">
        <f t="shared" si="227"/>
        <v>0</v>
      </c>
      <c r="TF23" s="22">
        <f t="shared" si="228"/>
        <v>7.05</v>
      </c>
      <c r="TG23" s="22">
        <f t="shared" si="229"/>
        <v>3.95</v>
      </c>
      <c r="TH23" s="22">
        <f t="shared" si="230"/>
        <v>4.9000000000000004</v>
      </c>
      <c r="TI23" s="22">
        <f t="shared" si="231"/>
        <v>6.8150000000000004</v>
      </c>
      <c r="TJ23" s="22">
        <f t="shared" si="232"/>
        <v>0</v>
      </c>
      <c r="TK23" s="27" t="s">
        <v>46</v>
      </c>
      <c r="TL23" s="40">
        <f t="shared" si="233"/>
        <v>5.6</v>
      </c>
      <c r="TM23" s="40">
        <f t="shared" si="234"/>
        <v>7.41</v>
      </c>
      <c r="TN23" s="40">
        <f t="shared" si="235"/>
        <v>21.52</v>
      </c>
      <c r="TO23" s="40">
        <f t="shared" si="236"/>
        <v>5.6</v>
      </c>
      <c r="TP23" s="40">
        <f t="shared" si="237"/>
        <v>7.3550000000000004</v>
      </c>
      <c r="TQ23" s="40">
        <f t="shared" si="238"/>
        <v>25.905000000000001</v>
      </c>
      <c r="TR23" s="40">
        <f t="shared" si="239"/>
        <v>25.905000000000001</v>
      </c>
      <c r="TS23" s="40">
        <f t="shared" si="240"/>
        <v>4.9000000000000004</v>
      </c>
      <c r="TT23" s="40">
        <f t="shared" si="241"/>
        <v>6.8150000000000004</v>
      </c>
      <c r="TU23" s="40">
        <f t="shared" si="242"/>
        <v>22.715</v>
      </c>
      <c r="TV23" s="40">
        <f t="shared" si="243"/>
        <v>48.620000000000005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145</v>
      </c>
      <c r="D24" s="4" t="s">
        <v>6</v>
      </c>
      <c r="E24" s="4">
        <v>2004</v>
      </c>
      <c r="F24" s="9">
        <f t="shared" si="0"/>
        <v>146.67001466700512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51.570000000000007</v>
      </c>
      <c r="M24" s="8" t="str">
        <f t="shared" si="5"/>
        <v>2023 Nationals</v>
      </c>
      <c r="N24" s="8">
        <f>IF(COUNT(AQ24,AT24,BR24,BU24,CS24,CV24)&gt;1,LARGE((AQ24,AT24,BR24,BU24,CS24,CV24),2),0)</f>
        <v>39.06</v>
      </c>
      <c r="O24" s="8" t="str">
        <f t="shared" si="6"/>
        <v>2024 Elite Canada</v>
      </c>
      <c r="P24" s="8">
        <f>IF(COUNT(AQ24,AT24,BR24,BU24,CS24,CV24)&gt;2,MAX(AX24,BY24,CZ24,LARGE((AQ24,AT24,BR24,BU24,CS24,CV24),3)),IF(MAX(AX24,BY24,CZ24)&gt;0,MAX(AX24,BY24,CZ24),0))</f>
        <v>43.839999999999996</v>
      </c>
      <c r="Q24" s="8" t="str">
        <f t="shared" si="7"/>
        <v>2023 Nationals</v>
      </c>
      <c r="R24" s="8">
        <f t="shared" si="8"/>
        <v>12.2</v>
      </c>
      <c r="S24" s="8" t="str">
        <f t="shared" si="9"/>
        <v>2023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14.4</v>
      </c>
      <c r="Z24" s="22">
        <v>9.3000000000000007</v>
      </c>
      <c r="AA24" s="22">
        <v>12.2</v>
      </c>
      <c r="AB24" s="22">
        <v>15.67</v>
      </c>
      <c r="AC24" s="22">
        <v>0</v>
      </c>
      <c r="AD24" s="22">
        <v>8.8000000000000007</v>
      </c>
      <c r="AE24" s="22">
        <v>5.9</v>
      </c>
      <c r="AF24" s="22">
        <v>7.7</v>
      </c>
      <c r="AG24" s="22">
        <v>9.51</v>
      </c>
      <c r="AH24" s="22">
        <v>0</v>
      </c>
      <c r="AI24" s="22">
        <v>12.1</v>
      </c>
      <c r="AJ24" s="22">
        <v>8.1</v>
      </c>
      <c r="AK24" s="22">
        <v>9.6999999999999993</v>
      </c>
      <c r="AL24" s="22">
        <v>13.94</v>
      </c>
      <c r="AM24" s="22">
        <v>0</v>
      </c>
      <c r="AN24" s="27"/>
      <c r="AO24" s="38">
        <f t="shared" si="15"/>
        <v>12.2</v>
      </c>
      <c r="AP24" s="38">
        <f t="shared" si="16"/>
        <v>15.67</v>
      </c>
      <c r="AQ24" s="40">
        <f t="shared" si="17"/>
        <v>51.570000000000007</v>
      </c>
      <c r="AR24" s="40">
        <f t="shared" si="18"/>
        <v>7.7</v>
      </c>
      <c r="AS24" s="40">
        <f t="shared" si="19"/>
        <v>9.51</v>
      </c>
      <c r="AT24" s="40">
        <f t="shared" si="20"/>
        <v>31.910000000000004</v>
      </c>
      <c r="AU24" s="40">
        <f t="shared" si="21"/>
        <v>51.570000000000007</v>
      </c>
      <c r="AV24" s="40">
        <f t="shared" si="22"/>
        <v>9.6999999999999993</v>
      </c>
      <c r="AW24" s="40">
        <f t="shared" si="23"/>
        <v>13.94</v>
      </c>
      <c r="AX24" s="40">
        <f t="shared" si="24"/>
        <v>43.839999999999996</v>
      </c>
      <c r="AY24" s="40">
        <f t="shared" si="25"/>
        <v>95.41</v>
      </c>
      <c r="AZ24" s="26">
        <v>8.1999999999999993</v>
      </c>
      <c r="BA24" s="26">
        <v>5.4</v>
      </c>
      <c r="BB24" s="26">
        <v>8.1</v>
      </c>
      <c r="BC24" s="26">
        <v>9.67</v>
      </c>
      <c r="BD24" s="26">
        <v>0</v>
      </c>
      <c r="BE24" s="26">
        <v>5.4</v>
      </c>
      <c r="BF24" s="26">
        <v>3.5</v>
      </c>
      <c r="BG24" s="26">
        <v>5.4</v>
      </c>
      <c r="BH24" s="26">
        <v>6.68</v>
      </c>
      <c r="BI24" s="26">
        <v>0</v>
      </c>
      <c r="BJ24" s="26"/>
      <c r="BK24" s="26"/>
      <c r="BL24" s="26"/>
      <c r="BM24" s="26"/>
      <c r="BN24" s="26"/>
      <c r="BO24" s="28"/>
      <c r="BP24" s="39">
        <f t="shared" si="26"/>
        <v>8.1</v>
      </c>
      <c r="BQ24" s="39">
        <f t="shared" si="27"/>
        <v>9.67</v>
      </c>
      <c r="BR24" s="11">
        <f t="shared" si="28"/>
        <v>31.369999999999997</v>
      </c>
      <c r="BS24" s="11">
        <f t="shared" si="29"/>
        <v>5.4</v>
      </c>
      <c r="BT24" s="11">
        <f t="shared" si="30"/>
        <v>6.68</v>
      </c>
      <c r="BU24" s="11">
        <f t="shared" si="31"/>
        <v>20.98</v>
      </c>
      <c r="BV24" s="11">
        <f t="shared" si="32"/>
        <v>31.369999999999997</v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>
        <f t="shared" si="36"/>
        <v>31.369999999999997</v>
      </c>
      <c r="CA24" s="22">
        <v>4.4000000000000004</v>
      </c>
      <c r="CB24" s="22">
        <v>2.5</v>
      </c>
      <c r="CC24" s="22">
        <v>4</v>
      </c>
      <c r="CD24" s="22">
        <v>5</v>
      </c>
      <c r="CE24" s="22">
        <v>0</v>
      </c>
      <c r="CF24" s="22">
        <v>10.3</v>
      </c>
      <c r="CG24" s="22">
        <v>6.7</v>
      </c>
      <c r="CH24" s="22">
        <v>9.4</v>
      </c>
      <c r="CI24" s="22">
        <v>12.66</v>
      </c>
      <c r="CJ24" s="22">
        <v>0</v>
      </c>
      <c r="CK24" s="22"/>
      <c r="CL24" s="22"/>
      <c r="CM24" s="22"/>
      <c r="CN24" s="22"/>
      <c r="CO24" s="22"/>
      <c r="CP24" s="27"/>
      <c r="CQ24" s="38">
        <f t="shared" si="37"/>
        <v>4</v>
      </c>
      <c r="CR24" s="38">
        <f t="shared" si="38"/>
        <v>5</v>
      </c>
      <c r="CS24" s="40">
        <f t="shared" si="39"/>
        <v>15.9</v>
      </c>
      <c r="CT24" s="40">
        <f t="shared" si="40"/>
        <v>9.4</v>
      </c>
      <c r="CU24" s="40">
        <f t="shared" si="41"/>
        <v>12.66</v>
      </c>
      <c r="CV24" s="40">
        <f t="shared" si="42"/>
        <v>39.06</v>
      </c>
      <c r="CW24" s="40">
        <f t="shared" si="43"/>
        <v>39.06</v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>
        <f t="shared" si="47"/>
        <v>39.06</v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6.3</v>
      </c>
      <c r="SW24" s="22">
        <f t="shared" si="219"/>
        <v>3.95</v>
      </c>
      <c r="SX24" s="22">
        <f t="shared" si="220"/>
        <v>6.05</v>
      </c>
      <c r="SY24" s="22">
        <f t="shared" si="221"/>
        <v>7.335</v>
      </c>
      <c r="SZ24" s="22">
        <f t="shared" si="222"/>
        <v>0</v>
      </c>
      <c r="TA24" s="22">
        <f t="shared" si="223"/>
        <v>7.8500000000000005</v>
      </c>
      <c r="TB24" s="22">
        <f t="shared" si="224"/>
        <v>5.0999999999999996</v>
      </c>
      <c r="TC24" s="22">
        <f t="shared" si="225"/>
        <v>7.4</v>
      </c>
      <c r="TD24" s="22">
        <f t="shared" si="226"/>
        <v>9.67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>
        <f t="shared" si="233"/>
        <v>6.05</v>
      </c>
      <c r="TM24" s="40">
        <f t="shared" si="234"/>
        <v>7.335</v>
      </c>
      <c r="TN24" s="40">
        <f t="shared" si="235"/>
        <v>23.635000000000002</v>
      </c>
      <c r="TO24" s="40">
        <f t="shared" si="236"/>
        <v>7.4</v>
      </c>
      <c r="TP24" s="40">
        <f t="shared" si="237"/>
        <v>9.67</v>
      </c>
      <c r="TQ24" s="40">
        <f t="shared" si="238"/>
        <v>30.020000000000003</v>
      </c>
      <c r="TR24" s="40">
        <f t="shared" si="239"/>
        <v>30.020000000000003</v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>
        <f t="shared" si="243"/>
        <v>30.020000000000003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205</v>
      </c>
      <c r="D25" s="4" t="s">
        <v>5</v>
      </c>
      <c r="E25" s="4">
        <v>2007</v>
      </c>
      <c r="F25" s="9">
        <f t="shared" si="0"/>
        <v>146.30001463000463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45.97</v>
      </c>
      <c r="M25" s="8" t="str">
        <f t="shared" si="5"/>
        <v>2024 Elite Canada</v>
      </c>
      <c r="N25" s="8">
        <f>IF(COUNT(AQ25,AT25,BR25,BU25,CS25,CV25)&gt;1,LARGE((AQ25,AT25,BR25,BU25,CS25,CV25),2),0)</f>
        <v>45.74</v>
      </c>
      <c r="O25" s="8" t="str">
        <f t="shared" si="6"/>
        <v>2024 Elite Canada</v>
      </c>
      <c r="P25" s="8">
        <f>IF(COUNT(AQ25,AT25,BR25,BU25,CS25,CV25)&gt;2,MAX(AX25,BY25,CZ25,LARGE((AQ25,AT25,BR25,BU25,CS25,CV25),3)),IF(MAX(AX25,BY25,CZ25)&gt;0,MAX(AX25,BY25,CZ25),0))</f>
        <v>43.99</v>
      </c>
      <c r="Q25" s="8" t="str">
        <f t="shared" si="7"/>
        <v>2023 Nationals</v>
      </c>
      <c r="R25" s="8">
        <f t="shared" si="8"/>
        <v>10.6</v>
      </c>
      <c r="S25" s="8" t="str">
        <f t="shared" si="9"/>
        <v>2024 Elite Canada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/>
      <c r="Z25" s="22"/>
      <c r="AA25" s="22"/>
      <c r="AB25" s="22"/>
      <c r="AC25" s="22"/>
      <c r="AD25" s="22">
        <v>12.7</v>
      </c>
      <c r="AE25" s="22">
        <v>7.9</v>
      </c>
      <c r="AF25" s="22">
        <v>9.9</v>
      </c>
      <c r="AG25" s="22">
        <v>11.86</v>
      </c>
      <c r="AH25" s="22">
        <v>0</v>
      </c>
      <c r="AI25" s="22">
        <v>14</v>
      </c>
      <c r="AJ25" s="22">
        <v>8.3000000000000007</v>
      </c>
      <c r="AK25" s="22">
        <v>9.9</v>
      </c>
      <c r="AL25" s="22">
        <v>11.79</v>
      </c>
      <c r="AM25" s="22">
        <v>0</v>
      </c>
      <c r="AN25" s="27"/>
      <c r="AO25" s="38" t="str">
        <f t="shared" si="15"/>
        <v/>
      </c>
      <c r="AP25" s="38" t="str">
        <f t="shared" si="16"/>
        <v/>
      </c>
      <c r="AQ25" s="40" t="str">
        <f t="shared" si="17"/>
        <v/>
      </c>
      <c r="AR25" s="40">
        <f t="shared" si="18"/>
        <v>9.9</v>
      </c>
      <c r="AS25" s="40">
        <f t="shared" si="19"/>
        <v>11.86</v>
      </c>
      <c r="AT25" s="40">
        <f t="shared" si="20"/>
        <v>42.36</v>
      </c>
      <c r="AU25" s="40" t="str">
        <f t="shared" si="21"/>
        <v/>
      </c>
      <c r="AV25" s="40">
        <f t="shared" si="22"/>
        <v>9.9</v>
      </c>
      <c r="AW25" s="40">
        <f t="shared" si="23"/>
        <v>11.79</v>
      </c>
      <c r="AX25" s="40">
        <f t="shared" si="24"/>
        <v>43.99</v>
      </c>
      <c r="AY25" s="40">
        <f t="shared" si="25"/>
        <v>43.99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>
        <v>13.7</v>
      </c>
      <c r="CB25" s="22">
        <v>9.6</v>
      </c>
      <c r="CC25" s="22">
        <v>10</v>
      </c>
      <c r="CD25" s="22">
        <v>12.67</v>
      </c>
      <c r="CE25" s="22">
        <v>0</v>
      </c>
      <c r="CF25" s="22">
        <v>13.5</v>
      </c>
      <c r="CG25" s="22">
        <v>8.9</v>
      </c>
      <c r="CH25" s="22">
        <v>10.6</v>
      </c>
      <c r="CI25" s="22">
        <v>12.74</v>
      </c>
      <c r="CJ25" s="22">
        <v>0</v>
      </c>
      <c r="CK25" s="22"/>
      <c r="CL25" s="22"/>
      <c r="CM25" s="22"/>
      <c r="CN25" s="22"/>
      <c r="CO25" s="22"/>
      <c r="CP25" s="27"/>
      <c r="CQ25" s="38">
        <f t="shared" si="37"/>
        <v>10</v>
      </c>
      <c r="CR25" s="38">
        <f t="shared" si="38"/>
        <v>12.67</v>
      </c>
      <c r="CS25" s="40">
        <f t="shared" si="39"/>
        <v>45.97</v>
      </c>
      <c r="CT25" s="40">
        <f t="shared" si="40"/>
        <v>10.6</v>
      </c>
      <c r="CU25" s="40">
        <f t="shared" si="41"/>
        <v>12.74</v>
      </c>
      <c r="CV25" s="40">
        <f t="shared" si="42"/>
        <v>45.74</v>
      </c>
      <c r="CW25" s="40">
        <f t="shared" si="43"/>
        <v>45.97</v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>
        <f t="shared" si="47"/>
        <v>45.97</v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6.85</v>
      </c>
      <c r="SW25" s="22">
        <f t="shared" si="219"/>
        <v>4.8</v>
      </c>
      <c r="SX25" s="22">
        <f t="shared" si="220"/>
        <v>5</v>
      </c>
      <c r="SY25" s="22">
        <f t="shared" si="221"/>
        <v>6.335</v>
      </c>
      <c r="SZ25" s="22">
        <f t="shared" si="222"/>
        <v>0</v>
      </c>
      <c r="TA25" s="22">
        <f t="shared" si="223"/>
        <v>6.75</v>
      </c>
      <c r="TB25" s="22">
        <f t="shared" si="224"/>
        <v>4.45</v>
      </c>
      <c r="TC25" s="22">
        <f t="shared" si="225"/>
        <v>5.3</v>
      </c>
      <c r="TD25" s="22">
        <f t="shared" si="226"/>
        <v>6.37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>
        <f t="shared" si="233"/>
        <v>5</v>
      </c>
      <c r="TM25" s="40">
        <f t="shared" si="234"/>
        <v>6.335</v>
      </c>
      <c r="TN25" s="40">
        <f t="shared" si="235"/>
        <v>22.984999999999999</v>
      </c>
      <c r="TO25" s="40">
        <f t="shared" si="236"/>
        <v>5.3</v>
      </c>
      <c r="TP25" s="40">
        <f t="shared" si="237"/>
        <v>6.37</v>
      </c>
      <c r="TQ25" s="40">
        <f t="shared" si="238"/>
        <v>22.87</v>
      </c>
      <c r="TR25" s="40">
        <f t="shared" si="239"/>
        <v>22.984999999999999</v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>
        <f t="shared" si="243"/>
        <v>22.984999999999999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217</v>
      </c>
      <c r="D26" s="4" t="s">
        <v>180</v>
      </c>
      <c r="E26" s="4">
        <v>2003</v>
      </c>
      <c r="F26" s="9">
        <f t="shared" si="0"/>
        <v>145.70001457000461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46.05</v>
      </c>
      <c r="M26" s="8" t="str">
        <f t="shared" si="5"/>
        <v>2023 Nationals</v>
      </c>
      <c r="N26" s="8">
        <f>IF(COUNT(AQ26,AT26,BR26,BU26,CS26,CV26)&gt;1,LARGE((AQ26,AT26,BR26,BU26,CS26,CV26),2),0)</f>
        <v>45.42</v>
      </c>
      <c r="O26" s="8" t="str">
        <f t="shared" si="6"/>
        <v>2024 Elite Canada</v>
      </c>
      <c r="P26" s="8">
        <f>IF(COUNT(AQ26,AT26,BR26,BU26,CS26,CV26)&gt;2,MAX(AX26,BY26,CZ26,LARGE((AQ26,AT26,BR26,BU26,CS26,CV26),3)),IF(MAX(AX26,BY26,CZ26)&gt;0,MAX(AX26,BY26,CZ26),0))</f>
        <v>44.83</v>
      </c>
      <c r="Q26" s="8" t="str">
        <f t="shared" si="7"/>
        <v>2023 Nationals</v>
      </c>
      <c r="R26" s="8">
        <f t="shared" si="8"/>
        <v>9.4</v>
      </c>
      <c r="S26" s="8" t="str">
        <f t="shared" si="9"/>
        <v>2023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>
        <v>13.7</v>
      </c>
      <c r="Z26" s="22">
        <v>8.6999999999999993</v>
      </c>
      <c r="AA26" s="22">
        <v>9</v>
      </c>
      <c r="AB26" s="22">
        <v>13.43</v>
      </c>
      <c r="AC26" s="22">
        <v>0</v>
      </c>
      <c r="AD26" s="22">
        <v>14.4</v>
      </c>
      <c r="AE26" s="22">
        <v>8.8000000000000007</v>
      </c>
      <c r="AF26" s="22">
        <v>9.4</v>
      </c>
      <c r="AG26" s="22">
        <v>13.45</v>
      </c>
      <c r="AH26" s="22">
        <v>0</v>
      </c>
      <c r="AI26" s="22"/>
      <c r="AJ26" s="22"/>
      <c r="AK26" s="22"/>
      <c r="AL26" s="22"/>
      <c r="AM26" s="22"/>
      <c r="AN26" s="27"/>
      <c r="AO26" s="38">
        <f t="shared" si="15"/>
        <v>9</v>
      </c>
      <c r="AP26" s="38">
        <f t="shared" si="16"/>
        <v>13.43</v>
      </c>
      <c r="AQ26" s="40">
        <f t="shared" si="17"/>
        <v>44.83</v>
      </c>
      <c r="AR26" s="40">
        <f t="shared" si="18"/>
        <v>9.4</v>
      </c>
      <c r="AS26" s="40">
        <f t="shared" si="19"/>
        <v>13.45</v>
      </c>
      <c r="AT26" s="40">
        <f t="shared" si="20"/>
        <v>46.05</v>
      </c>
      <c r="AU26" s="40">
        <f t="shared" si="21"/>
        <v>46.05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46.05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>
        <v>15.1</v>
      </c>
      <c r="CB26" s="22">
        <v>9.1999999999999993</v>
      </c>
      <c r="CC26" s="22">
        <v>8.6</v>
      </c>
      <c r="CD26" s="22">
        <v>13.02</v>
      </c>
      <c r="CE26" s="22">
        <v>0.5</v>
      </c>
      <c r="CF26" s="22">
        <v>13.6</v>
      </c>
      <c r="CG26" s="22">
        <v>9.4</v>
      </c>
      <c r="CH26" s="22">
        <v>8.8000000000000007</v>
      </c>
      <c r="CI26" s="22">
        <v>12.87</v>
      </c>
      <c r="CJ26" s="22">
        <v>0.3</v>
      </c>
      <c r="CK26" s="22"/>
      <c r="CL26" s="22"/>
      <c r="CM26" s="22"/>
      <c r="CN26" s="22"/>
      <c r="CO26" s="22"/>
      <c r="CP26" s="27"/>
      <c r="CQ26" s="38">
        <f t="shared" si="37"/>
        <v>8.6</v>
      </c>
      <c r="CR26" s="38">
        <f t="shared" si="38"/>
        <v>13.02</v>
      </c>
      <c r="CS26" s="40">
        <f t="shared" si="39"/>
        <v>45.42</v>
      </c>
      <c r="CT26" s="40">
        <f t="shared" si="40"/>
        <v>8.8000000000000007</v>
      </c>
      <c r="CU26" s="40">
        <f t="shared" si="41"/>
        <v>12.87</v>
      </c>
      <c r="CV26" s="40">
        <f t="shared" si="42"/>
        <v>44.370000000000005</v>
      </c>
      <c r="CW26" s="40">
        <f t="shared" si="43"/>
        <v>45.42</v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>
        <f t="shared" si="47"/>
        <v>45.42</v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7.55</v>
      </c>
      <c r="SW26" s="22">
        <f t="shared" si="219"/>
        <v>4.5999999999999996</v>
      </c>
      <c r="SX26" s="22">
        <f t="shared" si="220"/>
        <v>4.3</v>
      </c>
      <c r="SY26" s="22">
        <f t="shared" si="221"/>
        <v>6.51</v>
      </c>
      <c r="SZ26" s="22">
        <f t="shared" si="222"/>
        <v>0.25</v>
      </c>
      <c r="TA26" s="22">
        <f t="shared" si="223"/>
        <v>6.8</v>
      </c>
      <c r="TB26" s="22">
        <f t="shared" si="224"/>
        <v>4.7</v>
      </c>
      <c r="TC26" s="22">
        <f t="shared" si="225"/>
        <v>4.4000000000000004</v>
      </c>
      <c r="TD26" s="22">
        <f t="shared" si="226"/>
        <v>6.4349999999999996</v>
      </c>
      <c r="TE26" s="22">
        <f t="shared" si="227"/>
        <v>0.15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>
        <f t="shared" si="233"/>
        <v>4.3</v>
      </c>
      <c r="TM26" s="40">
        <f t="shared" si="234"/>
        <v>6.51</v>
      </c>
      <c r="TN26" s="40">
        <f t="shared" si="235"/>
        <v>22.71</v>
      </c>
      <c r="TO26" s="40">
        <f t="shared" si="236"/>
        <v>4.4000000000000004</v>
      </c>
      <c r="TP26" s="40">
        <f t="shared" si="237"/>
        <v>6.4349999999999996</v>
      </c>
      <c r="TQ26" s="40">
        <f t="shared" si="238"/>
        <v>22.185000000000002</v>
      </c>
      <c r="TR26" s="40">
        <f t="shared" si="239"/>
        <v>22.71</v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>
        <f t="shared" si="243"/>
        <v>22.71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216</v>
      </c>
      <c r="D27" s="4" t="s">
        <v>6</v>
      </c>
      <c r="E27" s="4">
        <v>2007</v>
      </c>
      <c r="F27" s="9">
        <f t="shared" si="0"/>
        <v>130.01001300100515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51.58</v>
      </c>
      <c r="M27" s="8" t="str">
        <f t="shared" si="5"/>
        <v>2023 Nationals</v>
      </c>
      <c r="N27" s="8">
        <f>IF(COUNT(AQ27,AT27,BR27,BU27,CS27,CV27)&gt;1,LARGE((AQ27,AT27,BR27,BU27,CS27,CV27),2),0)</f>
        <v>46.55</v>
      </c>
      <c r="O27" s="8" t="str">
        <f t="shared" si="6"/>
        <v>2024 Elite Canada</v>
      </c>
      <c r="P27" s="8">
        <f>IF(COUNT(AQ27,AT27,BR27,BU27,CS27,CV27)&gt;2,MAX(AX27,BY27,CZ27,LARGE((AQ27,AT27,BR27,BU27,CS27,CV27),3)),IF(MAX(AX27,BY27,CZ27)&gt;0,MAX(AX27,BY27,CZ27),0))</f>
        <v>21.98</v>
      </c>
      <c r="Q27" s="8" t="str">
        <f t="shared" si="7"/>
        <v>2023 Nationals</v>
      </c>
      <c r="R27" s="8">
        <f t="shared" si="8"/>
        <v>9.9</v>
      </c>
      <c r="S27" s="8" t="str">
        <f t="shared" si="9"/>
        <v>2023 Nationals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/>
      <c r="Z27" s="22"/>
      <c r="AA27" s="22"/>
      <c r="AB27" s="22"/>
      <c r="AC27" s="22"/>
      <c r="AD27" s="22">
        <v>16.100000000000001</v>
      </c>
      <c r="AE27" s="22">
        <v>9.4</v>
      </c>
      <c r="AF27" s="22">
        <v>9.9</v>
      </c>
      <c r="AG27" s="22">
        <v>16.18</v>
      </c>
      <c r="AH27" s="22">
        <v>0</v>
      </c>
      <c r="AI27" s="22">
        <v>6.5</v>
      </c>
      <c r="AJ27" s="22">
        <v>3.1</v>
      </c>
      <c r="AK27" s="22">
        <v>4.4000000000000004</v>
      </c>
      <c r="AL27" s="22">
        <v>7.98</v>
      </c>
      <c r="AM27" s="22">
        <v>0</v>
      </c>
      <c r="AN27" s="27"/>
      <c r="AO27" s="38" t="str">
        <f t="shared" si="15"/>
        <v/>
      </c>
      <c r="AP27" s="38" t="str">
        <f t="shared" si="16"/>
        <v/>
      </c>
      <c r="AQ27" s="40" t="str">
        <f t="shared" si="17"/>
        <v/>
      </c>
      <c r="AR27" s="40">
        <f t="shared" si="18"/>
        <v>9.9</v>
      </c>
      <c r="AS27" s="40">
        <f t="shared" si="19"/>
        <v>16.18</v>
      </c>
      <c r="AT27" s="40">
        <f t="shared" si="20"/>
        <v>51.58</v>
      </c>
      <c r="AU27" s="40" t="str">
        <f t="shared" si="21"/>
        <v/>
      </c>
      <c r="AV27" s="40">
        <f t="shared" si="22"/>
        <v>4.4000000000000004</v>
      </c>
      <c r="AW27" s="40">
        <f t="shared" si="23"/>
        <v>7.98</v>
      </c>
      <c r="AX27" s="40">
        <f t="shared" si="24"/>
        <v>21.98</v>
      </c>
      <c r="AY27" s="40">
        <f t="shared" si="25"/>
        <v>21.98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>
        <v>6.7</v>
      </c>
      <c r="CB27" s="22">
        <v>3.5</v>
      </c>
      <c r="CC27" s="22">
        <v>4.4000000000000004</v>
      </c>
      <c r="CD27" s="22">
        <v>6.6</v>
      </c>
      <c r="CE27" s="22">
        <v>0</v>
      </c>
      <c r="CF27" s="22">
        <v>15.1</v>
      </c>
      <c r="CG27" s="22">
        <v>7.9</v>
      </c>
      <c r="CH27" s="22">
        <v>9.1999999999999993</v>
      </c>
      <c r="CI27" s="22">
        <v>14.55</v>
      </c>
      <c r="CJ27" s="22">
        <v>0.2</v>
      </c>
      <c r="CK27" s="22"/>
      <c r="CL27" s="22"/>
      <c r="CM27" s="22"/>
      <c r="CN27" s="22"/>
      <c r="CO27" s="22"/>
      <c r="CP27" s="27"/>
      <c r="CQ27" s="38">
        <f t="shared" si="37"/>
        <v>4.4000000000000004</v>
      </c>
      <c r="CR27" s="38">
        <f t="shared" si="38"/>
        <v>6.6</v>
      </c>
      <c r="CS27" s="40">
        <f t="shared" si="39"/>
        <v>21.2</v>
      </c>
      <c r="CT27" s="40">
        <f t="shared" si="40"/>
        <v>9.1999999999999993</v>
      </c>
      <c r="CU27" s="40">
        <f t="shared" si="41"/>
        <v>14.55</v>
      </c>
      <c r="CV27" s="40">
        <f t="shared" si="42"/>
        <v>46.55</v>
      </c>
      <c r="CW27" s="40">
        <f t="shared" si="43"/>
        <v>46.55</v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>
        <f t="shared" si="47"/>
        <v>46.55</v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3.35</v>
      </c>
      <c r="SW27" s="22">
        <f t="shared" si="219"/>
        <v>1.75</v>
      </c>
      <c r="SX27" s="22">
        <f t="shared" si="220"/>
        <v>2.2000000000000002</v>
      </c>
      <c r="SY27" s="22">
        <f t="shared" si="221"/>
        <v>3.3</v>
      </c>
      <c r="SZ27" s="22">
        <f t="shared" si="222"/>
        <v>0</v>
      </c>
      <c r="TA27" s="22">
        <f t="shared" si="223"/>
        <v>7.55</v>
      </c>
      <c r="TB27" s="22">
        <f t="shared" si="224"/>
        <v>3.95</v>
      </c>
      <c r="TC27" s="22">
        <f t="shared" si="225"/>
        <v>4.5999999999999996</v>
      </c>
      <c r="TD27" s="22">
        <f t="shared" si="226"/>
        <v>7.2750000000000004</v>
      </c>
      <c r="TE27" s="22">
        <f t="shared" si="227"/>
        <v>0.1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>
        <f t="shared" si="233"/>
        <v>2.2000000000000002</v>
      </c>
      <c r="TM27" s="40">
        <f t="shared" si="234"/>
        <v>3.3</v>
      </c>
      <c r="TN27" s="40">
        <f t="shared" si="235"/>
        <v>10.6</v>
      </c>
      <c r="TO27" s="40">
        <f t="shared" si="236"/>
        <v>4.5999999999999996</v>
      </c>
      <c r="TP27" s="40">
        <f t="shared" si="237"/>
        <v>7.2750000000000004</v>
      </c>
      <c r="TQ27" s="40">
        <f t="shared" si="238"/>
        <v>23.274999999999999</v>
      </c>
      <c r="TR27" s="40">
        <f t="shared" si="239"/>
        <v>23.274999999999999</v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>
        <f t="shared" si="243"/>
        <v>23.274999999999999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113</v>
      </c>
      <c r="D28" s="4" t="s">
        <v>5</v>
      </c>
      <c r="E28" s="4">
        <v>2005</v>
      </c>
      <c r="F28" s="9">
        <f t="shared" si="0"/>
        <v>121.780012178004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40.129999999999995</v>
      </c>
      <c r="M28" s="8" t="str">
        <f t="shared" si="5"/>
        <v>2023 3rd Domestic Trial</v>
      </c>
      <c r="N28" s="8">
        <f>IF(COUNT(AQ28,AT28,BR28,BU28,CS28,CV28)&gt;1,LARGE((AQ28,AT28,BR28,BU28,CS28,CV28),2),0)</f>
        <v>24.29</v>
      </c>
      <c r="O28" s="8" t="str">
        <f t="shared" si="6"/>
        <v>2024 Elite Canada</v>
      </c>
      <c r="P28" s="8">
        <f>IF(COUNT(AQ28,AT28,BR28,BU28,CS28,CV28)&gt;2,MAX(AX28,BY28,CZ28,LARGE((AQ28,AT28,BR28,BU28,CS28,CV28),3)),IF(MAX(AX28,BY28,CZ28)&gt;0,MAX(AX28,BY28,CZ28),0))</f>
        <v>46.760000000000005</v>
      </c>
      <c r="Q28" s="8" t="str">
        <f t="shared" si="7"/>
        <v>2023 3rd Domestic Trial</v>
      </c>
      <c r="R28" s="8">
        <f t="shared" si="8"/>
        <v>10.6</v>
      </c>
      <c r="S28" s="8" t="str">
        <f t="shared" si="9"/>
        <v>2023 3rd Domestic Trial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2.6</v>
      </c>
      <c r="Z28" s="22">
        <v>1.6</v>
      </c>
      <c r="AA28" s="22">
        <v>3.1</v>
      </c>
      <c r="AB28" s="22">
        <v>3.17</v>
      </c>
      <c r="AC28" s="22">
        <v>0</v>
      </c>
      <c r="AD28" s="22">
        <v>2.6</v>
      </c>
      <c r="AE28" s="22">
        <v>1.7</v>
      </c>
      <c r="AF28" s="22">
        <v>3.1</v>
      </c>
      <c r="AG28" s="22">
        <v>3.01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3.1</v>
      </c>
      <c r="AP28" s="38">
        <f t="shared" si="16"/>
        <v>3.17</v>
      </c>
      <c r="AQ28" s="40">
        <f t="shared" si="17"/>
        <v>10.47</v>
      </c>
      <c r="AR28" s="40">
        <f t="shared" si="18"/>
        <v>3.1</v>
      </c>
      <c r="AS28" s="40">
        <f t="shared" si="19"/>
        <v>3.01</v>
      </c>
      <c r="AT28" s="40">
        <f t="shared" si="20"/>
        <v>10.41</v>
      </c>
      <c r="AU28" s="40">
        <f t="shared" si="21"/>
        <v>10.47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10.47</v>
      </c>
      <c r="AZ28" s="26">
        <v>10.5</v>
      </c>
      <c r="BA28" s="26">
        <v>7.2</v>
      </c>
      <c r="BB28" s="26">
        <v>10.399999999999999</v>
      </c>
      <c r="BC28" s="26">
        <v>12.03</v>
      </c>
      <c r="BD28" s="26">
        <v>0</v>
      </c>
      <c r="BE28" s="26">
        <v>4.3</v>
      </c>
      <c r="BF28" s="26">
        <v>2.9</v>
      </c>
      <c r="BG28" s="26">
        <v>4.5999999999999996</v>
      </c>
      <c r="BH28" s="26">
        <v>5.0999999999999996</v>
      </c>
      <c r="BI28" s="26">
        <v>0</v>
      </c>
      <c r="BJ28" s="26">
        <v>12.6</v>
      </c>
      <c r="BK28" s="26">
        <v>9</v>
      </c>
      <c r="BL28" s="26">
        <v>10.6</v>
      </c>
      <c r="BM28" s="26">
        <v>14.56</v>
      </c>
      <c r="BN28" s="26">
        <v>0</v>
      </c>
      <c r="BO28" s="28"/>
      <c r="BP28" s="39">
        <f t="shared" si="26"/>
        <v>10.399999999999999</v>
      </c>
      <c r="BQ28" s="39">
        <f t="shared" si="27"/>
        <v>12.03</v>
      </c>
      <c r="BR28" s="11">
        <f t="shared" si="28"/>
        <v>40.129999999999995</v>
      </c>
      <c r="BS28" s="11">
        <f t="shared" si="29"/>
        <v>4.5999999999999996</v>
      </c>
      <c r="BT28" s="11">
        <f t="shared" si="30"/>
        <v>5.0999999999999996</v>
      </c>
      <c r="BU28" s="11">
        <f t="shared" si="31"/>
        <v>16.899999999999999</v>
      </c>
      <c r="BV28" s="11">
        <f t="shared" si="32"/>
        <v>40.129999999999995</v>
      </c>
      <c r="BW28" s="11">
        <f t="shared" si="33"/>
        <v>10.6</v>
      </c>
      <c r="BX28" s="11">
        <f t="shared" si="34"/>
        <v>14.56</v>
      </c>
      <c r="BY28" s="11">
        <f t="shared" si="35"/>
        <v>46.760000000000005</v>
      </c>
      <c r="BZ28" s="11">
        <f t="shared" si="36"/>
        <v>86.89</v>
      </c>
      <c r="CA28" s="22">
        <v>6.6</v>
      </c>
      <c r="CB28" s="22">
        <v>4.5</v>
      </c>
      <c r="CC28" s="22">
        <v>5.8</v>
      </c>
      <c r="CD28" s="22">
        <v>7.39</v>
      </c>
      <c r="CE28" s="22">
        <v>0</v>
      </c>
      <c r="CF28" s="22">
        <v>3.9</v>
      </c>
      <c r="CG28" s="22">
        <v>2.7</v>
      </c>
      <c r="CH28" s="22">
        <v>4.2</v>
      </c>
      <c r="CI28" s="22">
        <v>4.59</v>
      </c>
      <c r="CJ28" s="22">
        <v>0</v>
      </c>
      <c r="CK28" s="22"/>
      <c r="CL28" s="22"/>
      <c r="CM28" s="22"/>
      <c r="CN28" s="22"/>
      <c r="CO28" s="22"/>
      <c r="CP28" s="27"/>
      <c r="CQ28" s="38">
        <f t="shared" si="37"/>
        <v>5.8</v>
      </c>
      <c r="CR28" s="38">
        <f t="shared" si="38"/>
        <v>7.39</v>
      </c>
      <c r="CS28" s="40">
        <f t="shared" si="39"/>
        <v>24.29</v>
      </c>
      <c r="CT28" s="40">
        <f t="shared" si="40"/>
        <v>4.2</v>
      </c>
      <c r="CU28" s="40">
        <f t="shared" si="41"/>
        <v>4.59</v>
      </c>
      <c r="CV28" s="40">
        <f t="shared" si="42"/>
        <v>15.39</v>
      </c>
      <c r="CW28" s="40">
        <f t="shared" si="43"/>
        <v>24.29</v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>
        <f t="shared" si="47"/>
        <v>24.29</v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8.5500000000000007</v>
      </c>
      <c r="SW28" s="22">
        <f t="shared" si="219"/>
        <v>5.85</v>
      </c>
      <c r="SX28" s="22">
        <f t="shared" si="220"/>
        <v>8.1</v>
      </c>
      <c r="SY28" s="22">
        <f t="shared" si="221"/>
        <v>9.7099999999999991</v>
      </c>
      <c r="SZ28" s="22">
        <f t="shared" si="222"/>
        <v>0</v>
      </c>
      <c r="TA28" s="22">
        <f t="shared" si="223"/>
        <v>4.0999999999999996</v>
      </c>
      <c r="TB28" s="22">
        <f t="shared" si="224"/>
        <v>2.8</v>
      </c>
      <c r="TC28" s="22">
        <f t="shared" si="225"/>
        <v>4.4000000000000004</v>
      </c>
      <c r="TD28" s="22">
        <f t="shared" si="226"/>
        <v>4.8449999999999998</v>
      </c>
      <c r="TE28" s="22">
        <f t="shared" si="227"/>
        <v>0</v>
      </c>
      <c r="TF28" s="22">
        <f t="shared" si="228"/>
        <v>6.3</v>
      </c>
      <c r="TG28" s="22">
        <f t="shared" si="229"/>
        <v>4.5</v>
      </c>
      <c r="TH28" s="22">
        <f t="shared" si="230"/>
        <v>5.3</v>
      </c>
      <c r="TI28" s="22">
        <f t="shared" si="231"/>
        <v>7.28</v>
      </c>
      <c r="TJ28" s="22">
        <f t="shared" si="232"/>
        <v>0</v>
      </c>
      <c r="TK28" s="27" t="s">
        <v>46</v>
      </c>
      <c r="TL28" s="40">
        <f t="shared" si="233"/>
        <v>8.1</v>
      </c>
      <c r="TM28" s="40">
        <f t="shared" si="234"/>
        <v>9.7099999999999991</v>
      </c>
      <c r="TN28" s="40">
        <f t="shared" si="235"/>
        <v>32.21</v>
      </c>
      <c r="TO28" s="40">
        <f t="shared" si="236"/>
        <v>4.4000000000000004</v>
      </c>
      <c r="TP28" s="40">
        <f t="shared" si="237"/>
        <v>4.8449999999999998</v>
      </c>
      <c r="TQ28" s="40">
        <f t="shared" si="238"/>
        <v>16.145</v>
      </c>
      <c r="TR28" s="40">
        <f t="shared" si="239"/>
        <v>32.21</v>
      </c>
      <c r="TS28" s="40">
        <f t="shared" si="240"/>
        <v>5.3</v>
      </c>
      <c r="TT28" s="40">
        <f t="shared" si="241"/>
        <v>7.28</v>
      </c>
      <c r="TU28" s="40">
        <f t="shared" si="242"/>
        <v>23.380000000000003</v>
      </c>
      <c r="TV28" s="40">
        <f t="shared" si="243"/>
        <v>55.59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165</v>
      </c>
      <c r="D29" s="4" t="s">
        <v>3</v>
      </c>
      <c r="E29" s="4">
        <v>2006</v>
      </c>
      <c r="F29" s="9">
        <f t="shared" si="0"/>
        <v>120.12001201200459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46.08</v>
      </c>
      <c r="M29" s="8" t="str">
        <f t="shared" si="5"/>
        <v>2023 3rd Domestic Trial</v>
      </c>
      <c r="N29" s="8">
        <f>IF(COUNT(AQ29,AT29,BR29,BU29,CS29,CV29)&gt;1,LARGE((AQ29,AT29,BR29,BU29,CS29,CV29),2),0)</f>
        <v>19.11</v>
      </c>
      <c r="O29" s="8" t="str">
        <f t="shared" si="6"/>
        <v>2023 3rd Domestic Trial</v>
      </c>
      <c r="P29" s="8">
        <f>IF(COUNT(AQ29,AT29,BR29,BU29,CS29,CV29)&gt;2,MAX(AX29,BY29,CZ29,LARGE((AQ29,AT29,BR29,BU29,CS29,CV29),3)),IF(MAX(AX29,BY29,CZ29)&gt;0,MAX(AX29,BY29,CZ29),0))</f>
        <v>45.129999999999995</v>
      </c>
      <c r="Q29" s="8" t="str">
        <f t="shared" si="7"/>
        <v>2023 3rd Domestic Trial</v>
      </c>
      <c r="R29" s="8">
        <f t="shared" si="8"/>
        <v>9.8000000000000007</v>
      </c>
      <c r="S29" s="8" t="str">
        <f t="shared" si="9"/>
        <v>2023 3rd Domestic Trial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 t="shared" si="15"/>
        <v/>
      </c>
      <c r="AP29" s="38" t="str">
        <f t="shared" si="16"/>
        <v/>
      </c>
      <c r="AQ29" s="40" t="str">
        <f t="shared" si="17"/>
        <v/>
      </c>
      <c r="AR29" s="40" t="str">
        <f t="shared" si="18"/>
        <v/>
      </c>
      <c r="AS29" s="40" t="str">
        <f t="shared" si="19"/>
        <v/>
      </c>
      <c r="AT29" s="40" t="str">
        <f t="shared" si="20"/>
        <v/>
      </c>
      <c r="AU29" s="40" t="str">
        <f t="shared" si="21"/>
        <v/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 t="str">
        <f t="shared" si="25"/>
        <v/>
      </c>
      <c r="AZ29" s="26">
        <v>5.2</v>
      </c>
      <c r="BA29" s="26">
        <v>3.8</v>
      </c>
      <c r="BB29" s="26">
        <v>4.2</v>
      </c>
      <c r="BC29" s="26">
        <v>5.91</v>
      </c>
      <c r="BD29" s="26">
        <v>0</v>
      </c>
      <c r="BE29" s="26">
        <v>12.6</v>
      </c>
      <c r="BF29" s="26">
        <v>9.5</v>
      </c>
      <c r="BG29" s="26">
        <v>9.8000000000000007</v>
      </c>
      <c r="BH29" s="26">
        <v>14.18</v>
      </c>
      <c r="BI29" s="26">
        <v>0</v>
      </c>
      <c r="BJ29" s="26">
        <v>12.5</v>
      </c>
      <c r="BK29" s="26">
        <v>8.9</v>
      </c>
      <c r="BL29" s="26">
        <v>9.8000000000000007</v>
      </c>
      <c r="BM29" s="26">
        <v>13.93</v>
      </c>
      <c r="BN29" s="26">
        <v>0</v>
      </c>
      <c r="BO29" s="28"/>
      <c r="BP29" s="39">
        <f t="shared" si="26"/>
        <v>4.2</v>
      </c>
      <c r="BQ29" s="39">
        <f t="shared" si="27"/>
        <v>5.91</v>
      </c>
      <c r="BR29" s="11">
        <f t="shared" si="28"/>
        <v>19.11</v>
      </c>
      <c r="BS29" s="11">
        <f t="shared" si="29"/>
        <v>9.8000000000000007</v>
      </c>
      <c r="BT29" s="11">
        <f t="shared" si="30"/>
        <v>14.18</v>
      </c>
      <c r="BU29" s="11">
        <f t="shared" si="31"/>
        <v>46.08</v>
      </c>
      <c r="BV29" s="11">
        <f t="shared" si="32"/>
        <v>46.08</v>
      </c>
      <c r="BW29" s="11">
        <f t="shared" si="33"/>
        <v>9.8000000000000007</v>
      </c>
      <c r="BX29" s="11">
        <f t="shared" si="34"/>
        <v>13.93</v>
      </c>
      <c r="BY29" s="11">
        <f t="shared" si="35"/>
        <v>45.129999999999995</v>
      </c>
      <c r="BZ29" s="11">
        <f t="shared" si="36"/>
        <v>91.21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7"/>
        <v/>
      </c>
      <c r="CR29" s="38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 t="str">
        <f t="shared" si="47"/>
        <v/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2.6</v>
      </c>
      <c r="SW29" s="22">
        <f t="shared" si="219"/>
        <v>1.9</v>
      </c>
      <c r="SX29" s="22">
        <f t="shared" si="220"/>
        <v>2.1</v>
      </c>
      <c r="SY29" s="22">
        <f t="shared" si="221"/>
        <v>2.9550000000000001</v>
      </c>
      <c r="SZ29" s="22">
        <f t="shared" si="222"/>
        <v>0</v>
      </c>
      <c r="TA29" s="22">
        <f t="shared" si="223"/>
        <v>6.3</v>
      </c>
      <c r="TB29" s="22">
        <f t="shared" si="224"/>
        <v>4.75</v>
      </c>
      <c r="TC29" s="22">
        <f t="shared" si="225"/>
        <v>4.9000000000000004</v>
      </c>
      <c r="TD29" s="22">
        <f t="shared" si="226"/>
        <v>7.09</v>
      </c>
      <c r="TE29" s="22">
        <f t="shared" si="227"/>
        <v>0</v>
      </c>
      <c r="TF29" s="22">
        <f t="shared" si="228"/>
        <v>6.25</v>
      </c>
      <c r="TG29" s="22">
        <f t="shared" si="229"/>
        <v>4.45</v>
      </c>
      <c r="TH29" s="22">
        <f t="shared" si="230"/>
        <v>4.9000000000000004</v>
      </c>
      <c r="TI29" s="22">
        <f t="shared" si="231"/>
        <v>6.9649999999999999</v>
      </c>
      <c r="TJ29" s="22">
        <f t="shared" si="232"/>
        <v>0</v>
      </c>
      <c r="TK29" s="27" t="s">
        <v>46</v>
      </c>
      <c r="TL29" s="40">
        <f t="shared" si="233"/>
        <v>2.1</v>
      </c>
      <c r="TM29" s="40">
        <f t="shared" si="234"/>
        <v>2.9550000000000001</v>
      </c>
      <c r="TN29" s="40">
        <f t="shared" si="235"/>
        <v>9.5549999999999997</v>
      </c>
      <c r="TO29" s="40">
        <f t="shared" si="236"/>
        <v>4.9000000000000004</v>
      </c>
      <c r="TP29" s="40">
        <f t="shared" si="237"/>
        <v>7.09</v>
      </c>
      <c r="TQ29" s="40">
        <f t="shared" si="238"/>
        <v>23.04</v>
      </c>
      <c r="TR29" s="40">
        <f t="shared" si="239"/>
        <v>23.04</v>
      </c>
      <c r="TS29" s="40">
        <f t="shared" si="240"/>
        <v>4.9000000000000004</v>
      </c>
      <c r="TT29" s="40">
        <f t="shared" si="241"/>
        <v>6.9649999999999999</v>
      </c>
      <c r="TU29" s="40">
        <f t="shared" si="242"/>
        <v>22.564999999999998</v>
      </c>
      <c r="TV29" s="40">
        <f t="shared" si="243"/>
        <v>45.604999999999997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123</v>
      </c>
      <c r="D30" s="4" t="s">
        <v>4</v>
      </c>
      <c r="E30" s="4">
        <v>2005</v>
      </c>
      <c r="F30" s="9">
        <f t="shared" si="0"/>
        <v>107.35001073500486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48.569999999999993</v>
      </c>
      <c r="M30" s="8" t="str">
        <f t="shared" si="5"/>
        <v>2023 Nationals</v>
      </c>
      <c r="N30" s="8">
        <f>IF(COUNT(AQ30,AT30,BR30,BU30,CS30,CV30)&gt;1,LARGE((AQ30,AT30,BR30,BU30,CS30,CV30),2),0)</f>
        <v>47.58</v>
      </c>
      <c r="O30" s="8" t="str">
        <f t="shared" si="6"/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11.2</v>
      </c>
      <c r="S30" s="8" t="str">
        <f t="shared" si="9"/>
        <v>2023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>
        <v>13</v>
      </c>
      <c r="Z30" s="22">
        <v>8.9</v>
      </c>
      <c r="AA30" s="22">
        <v>11.1</v>
      </c>
      <c r="AB30" s="22">
        <v>14.58</v>
      </c>
      <c r="AC30" s="22">
        <v>0</v>
      </c>
      <c r="AD30" s="22">
        <v>13.6</v>
      </c>
      <c r="AE30" s="22">
        <v>9.3000000000000007</v>
      </c>
      <c r="AF30" s="22">
        <v>11.2</v>
      </c>
      <c r="AG30" s="22">
        <v>14.47</v>
      </c>
      <c r="AH30" s="22">
        <v>0</v>
      </c>
      <c r="AI30" s="22"/>
      <c r="AJ30" s="22"/>
      <c r="AK30" s="22"/>
      <c r="AL30" s="22"/>
      <c r="AM30" s="22"/>
      <c r="AN30" s="27"/>
      <c r="AO30" s="38">
        <f t="shared" si="15"/>
        <v>11.1</v>
      </c>
      <c r="AP30" s="38">
        <f t="shared" si="16"/>
        <v>14.58</v>
      </c>
      <c r="AQ30" s="40">
        <f t="shared" si="17"/>
        <v>47.58</v>
      </c>
      <c r="AR30" s="40">
        <f t="shared" si="18"/>
        <v>11.2</v>
      </c>
      <c r="AS30" s="40">
        <f t="shared" si="19"/>
        <v>14.47</v>
      </c>
      <c r="AT30" s="40">
        <f t="shared" si="20"/>
        <v>48.569999999999993</v>
      </c>
      <c r="AU30" s="40">
        <f t="shared" si="21"/>
        <v>48.569999999999993</v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>
        <f t="shared" si="25"/>
        <v>48.569999999999993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7"/>
        <v/>
      </c>
      <c r="CR30" s="38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 t="str">
        <f t="shared" si="47"/>
        <v/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 t="str">
        <f t="shared" si="243"/>
        <v/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175</v>
      </c>
      <c r="D31" s="4" t="s">
        <v>174</v>
      </c>
      <c r="E31" s="4">
        <v>2006</v>
      </c>
      <c r="F31" s="9">
        <f t="shared" si="0"/>
        <v>106.0600106060047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46.91</v>
      </c>
      <c r="M31" s="8" t="str">
        <f t="shared" si="5"/>
        <v>2023 Nationals</v>
      </c>
      <c r="N31" s="8">
        <f>IF(COUNT(AQ31,AT31,BR31,BU31,CS31,CV31)&gt;1,LARGE((AQ31,AT31,BR31,BU31,CS31,CV31),2),0)</f>
        <v>29.09</v>
      </c>
      <c r="O31" s="8" t="str">
        <f t="shared" si="6"/>
        <v>2023 Nationals</v>
      </c>
      <c r="P31" s="8">
        <f>IF(COUNT(AQ31,AT31,BR31,BU31,CS31,CV31)&gt;2,MAX(AX31,BY31,CZ31,LARGE((AQ31,AT31,BR31,BU31,CS31,CV31),3)),IF(MAX(AX31,BY31,CZ31)&gt;0,MAX(AX31,BY31,CZ31),0))</f>
        <v>18.86</v>
      </c>
      <c r="Q31" s="8" t="str">
        <f t="shared" si="7"/>
        <v>2024 Elite Canada</v>
      </c>
      <c r="R31" s="8">
        <f t="shared" si="8"/>
        <v>11.2</v>
      </c>
      <c r="S31" s="8" t="str">
        <f t="shared" si="9"/>
        <v>2023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>
        <v>7.9</v>
      </c>
      <c r="Z31" s="22">
        <v>5</v>
      </c>
      <c r="AA31" s="22">
        <v>7.3</v>
      </c>
      <c r="AB31" s="22">
        <v>8.89</v>
      </c>
      <c r="AC31" s="22">
        <v>0</v>
      </c>
      <c r="AD31" s="22">
        <v>12.8</v>
      </c>
      <c r="AE31" s="22">
        <v>8.8000000000000007</v>
      </c>
      <c r="AF31" s="22">
        <v>11.2</v>
      </c>
      <c r="AG31" s="22">
        <v>14.11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5"/>
        <v>7.3</v>
      </c>
      <c r="AP31" s="38">
        <f t="shared" si="16"/>
        <v>8.89</v>
      </c>
      <c r="AQ31" s="40">
        <f t="shared" si="17"/>
        <v>29.09</v>
      </c>
      <c r="AR31" s="40">
        <f t="shared" si="18"/>
        <v>11.2</v>
      </c>
      <c r="AS31" s="40">
        <f t="shared" si="19"/>
        <v>14.11</v>
      </c>
      <c r="AT31" s="40">
        <f t="shared" si="20"/>
        <v>46.91</v>
      </c>
      <c r="AU31" s="40">
        <f t="shared" si="21"/>
        <v>46.91</v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>
        <f t="shared" si="25"/>
        <v>46.91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6"/>
        <v/>
      </c>
      <c r="BQ31" s="39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 t="str">
        <f t="shared" si="36"/>
        <v/>
      </c>
      <c r="CA31" s="22">
        <v>4</v>
      </c>
      <c r="CB31" s="22">
        <v>3.6</v>
      </c>
      <c r="CC31" s="22">
        <v>5.6</v>
      </c>
      <c r="CD31" s="22">
        <v>5.66</v>
      </c>
      <c r="CE31" s="22">
        <v>0</v>
      </c>
      <c r="CF31" s="22">
        <v>4</v>
      </c>
      <c r="CG31" s="22">
        <v>3.4</v>
      </c>
      <c r="CH31" s="22">
        <v>5.6</v>
      </c>
      <c r="CI31" s="22">
        <v>5.63</v>
      </c>
      <c r="CJ31" s="22">
        <v>0</v>
      </c>
      <c r="CK31" s="22"/>
      <c r="CL31" s="22"/>
      <c r="CM31" s="22"/>
      <c r="CN31" s="22"/>
      <c r="CO31" s="22"/>
      <c r="CP31" s="27"/>
      <c r="CQ31" s="38">
        <f t="shared" si="37"/>
        <v>5.6</v>
      </c>
      <c r="CR31" s="38">
        <f t="shared" si="38"/>
        <v>5.66</v>
      </c>
      <c r="CS31" s="40">
        <f t="shared" si="39"/>
        <v>18.86</v>
      </c>
      <c r="CT31" s="40">
        <f t="shared" si="40"/>
        <v>5.6</v>
      </c>
      <c r="CU31" s="40">
        <f t="shared" si="41"/>
        <v>5.63</v>
      </c>
      <c r="CV31" s="40">
        <f t="shared" si="42"/>
        <v>18.63</v>
      </c>
      <c r="CW31" s="40">
        <f t="shared" si="43"/>
        <v>18.86</v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>
        <f t="shared" si="47"/>
        <v>18.86</v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2</v>
      </c>
      <c r="SW31" s="22">
        <f t="shared" si="219"/>
        <v>1.8</v>
      </c>
      <c r="SX31" s="22">
        <f t="shared" si="220"/>
        <v>2.8</v>
      </c>
      <c r="SY31" s="22">
        <f t="shared" si="221"/>
        <v>2.83</v>
      </c>
      <c r="SZ31" s="22">
        <f t="shared" si="222"/>
        <v>0</v>
      </c>
      <c r="TA31" s="22">
        <f t="shared" si="223"/>
        <v>2</v>
      </c>
      <c r="TB31" s="22">
        <f t="shared" si="224"/>
        <v>1.7</v>
      </c>
      <c r="TC31" s="22">
        <f t="shared" si="225"/>
        <v>2.8</v>
      </c>
      <c r="TD31" s="22">
        <f t="shared" si="226"/>
        <v>2.8149999999999999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>
        <f t="shared" si="233"/>
        <v>2.8</v>
      </c>
      <c r="TM31" s="40">
        <f t="shared" si="234"/>
        <v>2.83</v>
      </c>
      <c r="TN31" s="40">
        <f t="shared" si="235"/>
        <v>9.43</v>
      </c>
      <c r="TO31" s="40">
        <f t="shared" si="236"/>
        <v>2.8</v>
      </c>
      <c r="TP31" s="40">
        <f t="shared" si="237"/>
        <v>2.8149999999999999</v>
      </c>
      <c r="TQ31" s="40">
        <f t="shared" si="238"/>
        <v>9.3149999999999995</v>
      </c>
      <c r="TR31" s="40">
        <f t="shared" si="239"/>
        <v>9.43</v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>
        <f t="shared" si="243"/>
        <v>9.43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190</v>
      </c>
      <c r="D32" s="4" t="s">
        <v>3</v>
      </c>
      <c r="E32" s="4">
        <v>2008</v>
      </c>
      <c r="F32" s="9">
        <f t="shared" si="0"/>
        <v>104.28001042800473</v>
      </c>
      <c r="G32" s="66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47.429999999999993</v>
      </c>
      <c r="M32" s="8" t="str">
        <f t="shared" si="5"/>
        <v>2023 3rd Domestic Trial</v>
      </c>
      <c r="N32" s="8">
        <f>IF(COUNT(AQ32,AT32,BR32,BU32,CS32,CV32)&gt;1,LARGE((AQ32,AT32,BR32,BU32,CS32,CV32),2),0)</f>
        <v>47.15</v>
      </c>
      <c r="O32" s="8" t="str">
        <f t="shared" si="6"/>
        <v>2023 3rd Domestic Trial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9.6999999999999993</v>
      </c>
      <c r="S32" s="8" t="str">
        <f t="shared" si="9"/>
        <v>2023 3rd Domestic Trial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 t="shared" si="15"/>
        <v/>
      </c>
      <c r="AP32" s="38" t="str">
        <f t="shared" si="16"/>
        <v/>
      </c>
      <c r="AQ32" s="40" t="str">
        <f t="shared" si="17"/>
        <v/>
      </c>
      <c r="AR32" s="40" t="str">
        <f t="shared" si="18"/>
        <v/>
      </c>
      <c r="AS32" s="40" t="str">
        <f t="shared" si="19"/>
        <v/>
      </c>
      <c r="AT32" s="40" t="str">
        <f t="shared" si="20"/>
        <v/>
      </c>
      <c r="AU32" s="40" t="str">
        <f t="shared" si="21"/>
        <v/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 t="str">
        <f t="shared" si="25"/>
        <v/>
      </c>
      <c r="AZ32" s="26">
        <v>14.7</v>
      </c>
      <c r="BA32" s="26">
        <v>8.6999999999999993</v>
      </c>
      <c r="BB32" s="26">
        <v>9.6999999999999993</v>
      </c>
      <c r="BC32" s="26">
        <v>14.33</v>
      </c>
      <c r="BD32" s="26">
        <v>0</v>
      </c>
      <c r="BE32" s="26">
        <v>15.1</v>
      </c>
      <c r="BF32" s="26">
        <v>9.1</v>
      </c>
      <c r="BG32" s="26">
        <v>8.6000000000000014</v>
      </c>
      <c r="BH32" s="26">
        <v>14.85</v>
      </c>
      <c r="BI32" s="26">
        <v>0.5</v>
      </c>
      <c r="BJ32" s="26">
        <v>0</v>
      </c>
      <c r="BK32" s="26">
        <v>0</v>
      </c>
      <c r="BL32" s="26">
        <v>0</v>
      </c>
      <c r="BM32" s="26">
        <v>0</v>
      </c>
      <c r="BN32" s="26">
        <v>0</v>
      </c>
      <c r="BO32" s="28"/>
      <c r="BP32" s="39">
        <f t="shared" si="26"/>
        <v>9.6999999999999993</v>
      </c>
      <c r="BQ32" s="39">
        <f t="shared" si="27"/>
        <v>14.33</v>
      </c>
      <c r="BR32" s="11">
        <f t="shared" si="28"/>
        <v>47.429999999999993</v>
      </c>
      <c r="BS32" s="11">
        <f t="shared" si="29"/>
        <v>8.6000000000000014</v>
      </c>
      <c r="BT32" s="11">
        <f t="shared" si="30"/>
        <v>14.85</v>
      </c>
      <c r="BU32" s="11">
        <f t="shared" si="31"/>
        <v>47.15</v>
      </c>
      <c r="BV32" s="11">
        <f t="shared" si="32"/>
        <v>47.429999999999993</v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>
        <f t="shared" si="36"/>
        <v>47.429999999999993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7"/>
        <v/>
      </c>
      <c r="CR32" s="38" t="str">
        <f t="shared" si="38"/>
        <v/>
      </c>
      <c r="CS32" s="40" t="str">
        <f t="shared" si="39"/>
        <v/>
      </c>
      <c r="CT32" s="40" t="str">
        <f t="shared" si="40"/>
        <v/>
      </c>
      <c r="CU32" s="40" t="str">
        <f t="shared" si="41"/>
        <v/>
      </c>
      <c r="CV32" s="40" t="str">
        <f t="shared" si="42"/>
        <v/>
      </c>
      <c r="CW32" s="40" t="str">
        <f t="shared" si="43"/>
        <v/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 t="str">
        <f t="shared" si="47"/>
        <v/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7.35</v>
      </c>
      <c r="SW32" s="22">
        <f t="shared" si="219"/>
        <v>4.3499999999999996</v>
      </c>
      <c r="SX32" s="22">
        <f t="shared" si="220"/>
        <v>4.8499999999999996</v>
      </c>
      <c r="SY32" s="22">
        <f t="shared" si="221"/>
        <v>7.165</v>
      </c>
      <c r="SZ32" s="22">
        <f t="shared" si="222"/>
        <v>0</v>
      </c>
      <c r="TA32" s="22">
        <f t="shared" si="223"/>
        <v>7.55</v>
      </c>
      <c r="TB32" s="22">
        <f t="shared" si="224"/>
        <v>4.55</v>
      </c>
      <c r="TC32" s="22">
        <f t="shared" si="225"/>
        <v>4.3000000000000007</v>
      </c>
      <c r="TD32" s="22">
        <f t="shared" si="226"/>
        <v>7.4249999999999998</v>
      </c>
      <c r="TE32" s="22">
        <f t="shared" si="227"/>
        <v>0.25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>
        <f t="shared" si="233"/>
        <v>4.8499999999999996</v>
      </c>
      <c r="TM32" s="40">
        <f t="shared" si="234"/>
        <v>7.165</v>
      </c>
      <c r="TN32" s="40">
        <f t="shared" si="235"/>
        <v>23.714999999999996</v>
      </c>
      <c r="TO32" s="40">
        <f t="shared" si="236"/>
        <v>4.3000000000000007</v>
      </c>
      <c r="TP32" s="40">
        <f t="shared" si="237"/>
        <v>7.4249999999999998</v>
      </c>
      <c r="TQ32" s="40">
        <f t="shared" si="238"/>
        <v>23.574999999999999</v>
      </c>
      <c r="TR32" s="40">
        <f t="shared" si="239"/>
        <v>23.714999999999996</v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>
        <f t="shared" si="243"/>
        <v>23.714999999999996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215</v>
      </c>
      <c r="D33" s="4" t="s">
        <v>5</v>
      </c>
      <c r="E33" s="4">
        <v>2007</v>
      </c>
      <c r="F33" s="9">
        <f t="shared" si="0"/>
        <v>102.42001024200474</v>
      </c>
      <c r="G33" s="66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47.5</v>
      </c>
      <c r="M33" s="8" t="str">
        <f t="shared" si="5"/>
        <v>2024 Elite Canada</v>
      </c>
      <c r="N33" s="8">
        <f>IF(COUNT(AQ33,AT33,BR33,BU33,CS33,CV33)&gt;1,LARGE((AQ33,AT33,BR33,BU33,CS33,CV33),2),0)</f>
        <v>44.32</v>
      </c>
      <c r="O33" s="8" t="str">
        <f t="shared" si="6"/>
        <v>2024 Elite Canada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10.6</v>
      </c>
      <c r="S33" s="8" t="str">
        <f t="shared" si="9"/>
        <v>2024 Elite Canada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 t="shared" si="15"/>
        <v/>
      </c>
      <c r="AP33" s="38" t="str">
        <f t="shared" si="16"/>
        <v/>
      </c>
      <c r="AQ33" s="40" t="str">
        <f t="shared" si="17"/>
        <v/>
      </c>
      <c r="AR33" s="40" t="str">
        <f t="shared" si="18"/>
        <v/>
      </c>
      <c r="AS33" s="40" t="str">
        <f t="shared" si="19"/>
        <v/>
      </c>
      <c r="AT33" s="40" t="str">
        <f t="shared" si="20"/>
        <v/>
      </c>
      <c r="AU33" s="40" t="str">
        <f t="shared" si="21"/>
        <v/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 t="str">
        <f t="shared" si="25"/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 t="shared" si="26"/>
        <v/>
      </c>
      <c r="BQ33" s="39" t="str">
        <f t="shared" si="27"/>
        <v/>
      </c>
      <c r="BR33" s="11" t="str">
        <f t="shared" si="28"/>
        <v/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 t="str">
        <f t="shared" si="32"/>
        <v/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 t="str">
        <f t="shared" si="36"/>
        <v/>
      </c>
      <c r="CA33" s="22">
        <v>13.2</v>
      </c>
      <c r="CB33" s="22">
        <v>9.1</v>
      </c>
      <c r="CC33" s="22">
        <v>10.6</v>
      </c>
      <c r="CD33" s="22">
        <v>14.6</v>
      </c>
      <c r="CE33" s="22">
        <v>0</v>
      </c>
      <c r="CF33" s="22">
        <v>12.2</v>
      </c>
      <c r="CG33" s="22">
        <v>8.8000000000000007</v>
      </c>
      <c r="CH33" s="22">
        <v>9</v>
      </c>
      <c r="CI33" s="22">
        <v>14.42</v>
      </c>
      <c r="CJ33" s="22">
        <v>0.1</v>
      </c>
      <c r="CK33" s="22"/>
      <c r="CL33" s="22"/>
      <c r="CM33" s="22"/>
      <c r="CN33" s="22"/>
      <c r="CO33" s="22"/>
      <c r="CP33" s="27"/>
      <c r="CQ33" s="38">
        <f t="shared" si="37"/>
        <v>10.6</v>
      </c>
      <c r="CR33" s="38">
        <f t="shared" si="38"/>
        <v>14.6</v>
      </c>
      <c r="CS33" s="40">
        <f t="shared" si="39"/>
        <v>47.5</v>
      </c>
      <c r="CT33" s="40">
        <f t="shared" si="40"/>
        <v>9</v>
      </c>
      <c r="CU33" s="40">
        <f t="shared" si="41"/>
        <v>14.42</v>
      </c>
      <c r="CV33" s="40">
        <f t="shared" si="42"/>
        <v>44.32</v>
      </c>
      <c r="CW33" s="40">
        <f t="shared" si="43"/>
        <v>47.5</v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>
        <f t="shared" si="47"/>
        <v>47.5</v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6.6</v>
      </c>
      <c r="SW33" s="22">
        <f t="shared" si="219"/>
        <v>4.55</v>
      </c>
      <c r="SX33" s="22">
        <f t="shared" si="220"/>
        <v>5.3</v>
      </c>
      <c r="SY33" s="22">
        <f t="shared" si="221"/>
        <v>7.3</v>
      </c>
      <c r="SZ33" s="22">
        <f t="shared" si="222"/>
        <v>0</v>
      </c>
      <c r="TA33" s="22">
        <f t="shared" si="223"/>
        <v>6.1</v>
      </c>
      <c r="TB33" s="22">
        <f t="shared" si="224"/>
        <v>4.4000000000000004</v>
      </c>
      <c r="TC33" s="22">
        <f t="shared" si="225"/>
        <v>4.5</v>
      </c>
      <c r="TD33" s="22">
        <f t="shared" si="226"/>
        <v>7.21</v>
      </c>
      <c r="TE33" s="22">
        <f t="shared" si="227"/>
        <v>0.05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>
        <f t="shared" si="233"/>
        <v>5.3</v>
      </c>
      <c r="TM33" s="40">
        <f t="shared" si="234"/>
        <v>7.3</v>
      </c>
      <c r="TN33" s="40">
        <f t="shared" si="235"/>
        <v>23.75</v>
      </c>
      <c r="TO33" s="40">
        <f t="shared" si="236"/>
        <v>4.5</v>
      </c>
      <c r="TP33" s="40">
        <f t="shared" si="237"/>
        <v>7.21</v>
      </c>
      <c r="TQ33" s="40">
        <f t="shared" si="238"/>
        <v>22.16</v>
      </c>
      <c r="TR33" s="40">
        <f t="shared" si="239"/>
        <v>23.75</v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>
        <f t="shared" si="243"/>
        <v>23.75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69</v>
      </c>
      <c r="D34" s="4" t="s">
        <v>6</v>
      </c>
      <c r="E34" s="4">
        <v>2004</v>
      </c>
      <c r="F34" s="9">
        <f t="shared" si="0"/>
        <v>92.490009249004942</v>
      </c>
      <c r="G34" s="66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IF(COUNT(AQ34,AT34,BR34,BU34,CS34,CV34)&gt;0,LARGE((AQ34,AT34,BR34,BU34,CS34,CV34),1),0)</f>
        <v>49.26</v>
      </c>
      <c r="M34" s="8" t="str">
        <f t="shared" si="5"/>
        <v>2023 Nationals</v>
      </c>
      <c r="N34" s="8">
        <f>IF(COUNT(AQ34,AT34,BR34,BU34,CS34,CV34)&gt;1,LARGE((AQ34,AT34,BR34,BU34,CS34,CV34),2),0)</f>
        <v>15.86</v>
      </c>
      <c r="O34" s="8" t="str">
        <f t="shared" si="6"/>
        <v>2023 Nationals</v>
      </c>
      <c r="P34" s="8">
        <f>IF(COUNT(AQ34,AT34,BR34,BU34,CS34,CV34)&gt;2,MAX(AX34,BY34,CZ34,LARGE((AQ34,AT34,BR34,BU34,CS34,CV34),3)),IF(MAX(AX34,BY34,CZ34)&gt;0,MAX(AX34,BY34,CZ34),0))</f>
        <v>15.670000000000002</v>
      </c>
      <c r="Q34" s="8" t="str">
        <f t="shared" si="7"/>
        <v>2023 Nationals</v>
      </c>
      <c r="R34" s="8">
        <f t="shared" si="8"/>
        <v>11.7</v>
      </c>
      <c r="S34" s="8" t="str">
        <f t="shared" si="9"/>
        <v>2023 Nationals</v>
      </c>
      <c r="T34" s="8">
        <f t="shared" si="10"/>
        <v>0</v>
      </c>
      <c r="U34" s="8" t="str">
        <f t="shared" si="11"/>
        <v/>
      </c>
      <c r="V34" s="8" t="str">
        <f t="shared" si="12"/>
        <v/>
      </c>
      <c r="W34" s="11" t="str">
        <f t="shared" si="13"/>
        <v/>
      </c>
      <c r="X34" s="8" t="str">
        <f t="shared" si="14"/>
        <v/>
      </c>
      <c r="Y34" s="22">
        <v>4.4000000000000004</v>
      </c>
      <c r="Z34" s="22">
        <v>2.6</v>
      </c>
      <c r="AA34" s="22">
        <v>4.2</v>
      </c>
      <c r="AB34" s="22">
        <v>4.66</v>
      </c>
      <c r="AC34" s="22">
        <v>0</v>
      </c>
      <c r="AD34" s="22">
        <v>15.08</v>
      </c>
      <c r="AE34" s="22">
        <v>9.3000000000000007</v>
      </c>
      <c r="AF34" s="22">
        <v>11.7</v>
      </c>
      <c r="AG34" s="22">
        <v>14.18</v>
      </c>
      <c r="AH34" s="22">
        <v>1</v>
      </c>
      <c r="AI34" s="22">
        <v>4.4000000000000004</v>
      </c>
      <c r="AJ34" s="22">
        <v>2.5</v>
      </c>
      <c r="AK34" s="22">
        <v>4.2</v>
      </c>
      <c r="AL34" s="22">
        <v>4.57</v>
      </c>
      <c r="AM34" s="22">
        <v>0</v>
      </c>
      <c r="AN34" s="27"/>
      <c r="AO34" s="38">
        <f t="shared" si="15"/>
        <v>4.2</v>
      </c>
      <c r="AP34" s="38">
        <f t="shared" si="16"/>
        <v>4.66</v>
      </c>
      <c r="AQ34" s="40">
        <f t="shared" si="17"/>
        <v>15.86</v>
      </c>
      <c r="AR34" s="40">
        <f t="shared" si="18"/>
        <v>11.7</v>
      </c>
      <c r="AS34" s="40">
        <f t="shared" si="19"/>
        <v>14.18</v>
      </c>
      <c r="AT34" s="40">
        <f t="shared" si="20"/>
        <v>49.26</v>
      </c>
      <c r="AU34" s="40">
        <f t="shared" si="21"/>
        <v>49.26</v>
      </c>
      <c r="AV34" s="40">
        <f t="shared" si="22"/>
        <v>4.2</v>
      </c>
      <c r="AW34" s="40">
        <f t="shared" si="23"/>
        <v>4.57</v>
      </c>
      <c r="AX34" s="40">
        <f t="shared" si="24"/>
        <v>15.670000000000002</v>
      </c>
      <c r="AY34" s="40">
        <f t="shared" si="25"/>
        <v>64.930000000000007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 t="shared" si="26"/>
        <v/>
      </c>
      <c r="BQ34" s="39" t="str">
        <f t="shared" si="27"/>
        <v/>
      </c>
      <c r="BR34" s="11" t="str">
        <f t="shared" si="28"/>
        <v/>
      </c>
      <c r="BS34" s="11" t="str">
        <f t="shared" si="29"/>
        <v/>
      </c>
      <c r="BT34" s="11" t="str">
        <f t="shared" si="30"/>
        <v/>
      </c>
      <c r="BU34" s="11" t="str">
        <f t="shared" si="31"/>
        <v/>
      </c>
      <c r="BV34" s="11" t="str">
        <f t="shared" si="32"/>
        <v/>
      </c>
      <c r="BW34" s="11" t="str">
        <f t="shared" si="33"/>
        <v/>
      </c>
      <c r="BX34" s="11" t="str">
        <f t="shared" si="34"/>
        <v/>
      </c>
      <c r="BY34" s="11" t="str">
        <f t="shared" si="35"/>
        <v/>
      </c>
      <c r="BZ34" s="11" t="str">
        <f t="shared" si="36"/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 t="shared" si="37"/>
        <v/>
      </c>
      <c r="CR34" s="38" t="str">
        <f t="shared" si="38"/>
        <v/>
      </c>
      <c r="CS34" s="40" t="str">
        <f t="shared" si="39"/>
        <v/>
      </c>
      <c r="CT34" s="40" t="str">
        <f t="shared" si="40"/>
        <v/>
      </c>
      <c r="CU34" s="40" t="str">
        <f t="shared" si="41"/>
        <v/>
      </c>
      <c r="CV34" s="40" t="str">
        <f t="shared" si="42"/>
        <v/>
      </c>
      <c r="CW34" s="40" t="str">
        <f t="shared" si="43"/>
        <v/>
      </c>
      <c r="CX34" s="40" t="str">
        <f t="shared" si="44"/>
        <v/>
      </c>
      <c r="CY34" s="40" t="str">
        <f t="shared" si="45"/>
        <v/>
      </c>
      <c r="CZ34" s="40" t="str">
        <f t="shared" si="46"/>
        <v/>
      </c>
      <c r="DA34" s="40" t="str">
        <f t="shared" si="47"/>
        <v/>
      </c>
      <c r="DB34" s="50" t="str">
        <f t="shared" si="48"/>
        <v/>
      </c>
      <c r="DC34" s="50" t="str">
        <f t="shared" si="49"/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 t="shared" si="50"/>
        <v/>
      </c>
      <c r="DY34" s="40" t="str">
        <f t="shared" si="51"/>
        <v/>
      </c>
      <c r="DZ34" s="40" t="str">
        <f t="shared" si="52"/>
        <v/>
      </c>
      <c r="EA34" s="40" t="str">
        <f t="shared" si="53"/>
        <v/>
      </c>
      <c r="EB34" s="40" t="str">
        <f t="shared" si="54"/>
        <v/>
      </c>
      <c r="EC34" s="40" t="str">
        <f t="shared" si="55"/>
        <v/>
      </c>
      <c r="ED34" s="40" t="str">
        <f t="shared" si="56"/>
        <v/>
      </c>
      <c r="EE34" s="40" t="str">
        <f t="shared" si="57"/>
        <v/>
      </c>
      <c r="EF34" s="40" t="str">
        <f t="shared" si="58"/>
        <v/>
      </c>
      <c r="EG34" s="40" t="str">
        <f t="shared" si="59"/>
        <v/>
      </c>
      <c r="EH34" s="40" t="str">
        <f t="shared" si="60"/>
        <v/>
      </c>
      <c r="EI34" s="40" t="str">
        <f t="shared" si="61"/>
        <v/>
      </c>
      <c r="EJ34" s="40" t="str">
        <f t="shared" si="62"/>
        <v/>
      </c>
      <c r="EK34" s="40" t="str">
        <f t="shared" si="63"/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 t="shared" si="64"/>
        <v/>
      </c>
      <c r="FG34" s="11" t="str">
        <f t="shared" si="65"/>
        <v/>
      </c>
      <c r="FH34" s="11" t="str">
        <f t="shared" si="66"/>
        <v/>
      </c>
      <c r="FI34" s="11" t="str">
        <f t="shared" si="67"/>
        <v/>
      </c>
      <c r="FJ34" s="11" t="str">
        <f t="shared" si="68"/>
        <v/>
      </c>
      <c r="FK34" s="11" t="str">
        <f t="shared" si="69"/>
        <v/>
      </c>
      <c r="FL34" s="11" t="str">
        <f t="shared" si="70"/>
        <v/>
      </c>
      <c r="FM34" s="11" t="str">
        <f t="shared" si="71"/>
        <v/>
      </c>
      <c r="FN34" s="11" t="str">
        <f t="shared" si="72"/>
        <v/>
      </c>
      <c r="FO34" s="11" t="str">
        <f t="shared" si="73"/>
        <v/>
      </c>
      <c r="FP34" s="11" t="str">
        <f t="shared" si="74"/>
        <v/>
      </c>
      <c r="FQ34" s="11" t="str">
        <f t="shared" si="75"/>
        <v/>
      </c>
      <c r="FR34" s="11" t="str">
        <f t="shared" si="76"/>
        <v/>
      </c>
      <c r="FS34" s="11" t="str">
        <f t="shared" si="77"/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 t="shared" si="78"/>
        <v/>
      </c>
      <c r="GO34" s="40" t="str">
        <f t="shared" si="79"/>
        <v/>
      </c>
      <c r="GP34" s="40" t="str">
        <f t="shared" si="80"/>
        <v/>
      </c>
      <c r="GQ34" s="40" t="str">
        <f t="shared" si="81"/>
        <v/>
      </c>
      <c r="GR34" s="40" t="str">
        <f t="shared" si="82"/>
        <v/>
      </c>
      <c r="GS34" s="40" t="str">
        <f t="shared" si="83"/>
        <v/>
      </c>
      <c r="GT34" s="40" t="str">
        <f t="shared" si="84"/>
        <v/>
      </c>
      <c r="GU34" s="40" t="str">
        <f t="shared" si="85"/>
        <v/>
      </c>
      <c r="GV34" s="40" t="str">
        <f t="shared" si="86"/>
        <v/>
      </c>
      <c r="GW34" s="40" t="str">
        <f t="shared" si="87"/>
        <v/>
      </c>
      <c r="GX34" s="40" t="str">
        <f t="shared" si="88"/>
        <v/>
      </c>
      <c r="GY34" s="40" t="str">
        <f t="shared" si="89"/>
        <v/>
      </c>
      <c r="GZ34" s="40" t="str">
        <f t="shared" si="90"/>
        <v/>
      </c>
      <c r="HA34" s="40" t="str">
        <f t="shared" si="91"/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 t="shared" si="92"/>
        <v/>
      </c>
      <c r="HW34" s="11" t="str">
        <f t="shared" si="93"/>
        <v/>
      </c>
      <c r="HX34" s="11" t="str">
        <f t="shared" si="94"/>
        <v/>
      </c>
      <c r="HY34" s="11" t="str">
        <f t="shared" si="95"/>
        <v/>
      </c>
      <c r="HZ34" s="11" t="str">
        <f t="shared" si="96"/>
        <v/>
      </c>
      <c r="IA34" s="11" t="str">
        <f t="shared" si="97"/>
        <v/>
      </c>
      <c r="IB34" s="11" t="str">
        <f t="shared" si="98"/>
        <v/>
      </c>
      <c r="IC34" s="11" t="str">
        <f t="shared" si="99"/>
        <v/>
      </c>
      <c r="ID34" s="11" t="str">
        <f t="shared" si="100"/>
        <v/>
      </c>
      <c r="IE34" s="11" t="str">
        <f t="shared" si="101"/>
        <v/>
      </c>
      <c r="IF34" s="11" t="str">
        <f t="shared" si="102"/>
        <v/>
      </c>
      <c r="IG34" s="11" t="str">
        <f t="shared" si="103"/>
        <v/>
      </c>
      <c r="IH34" s="11" t="str">
        <f t="shared" si="104"/>
        <v/>
      </c>
      <c r="II34" s="11" t="str">
        <f t="shared" si="105"/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 t="shared" si="106"/>
        <v/>
      </c>
      <c r="JE34" s="40" t="str">
        <f t="shared" si="107"/>
        <v/>
      </c>
      <c r="JF34" s="40" t="str">
        <f t="shared" si="108"/>
        <v/>
      </c>
      <c r="JG34" s="40" t="str">
        <f t="shared" si="109"/>
        <v/>
      </c>
      <c r="JH34" s="40" t="str">
        <f t="shared" si="110"/>
        <v/>
      </c>
      <c r="JI34" s="40" t="str">
        <f t="shared" si="111"/>
        <v/>
      </c>
      <c r="JJ34" s="40" t="str">
        <f t="shared" si="112"/>
        <v/>
      </c>
      <c r="JK34" s="40" t="str">
        <f t="shared" si="113"/>
        <v/>
      </c>
      <c r="JL34" s="40" t="str">
        <f t="shared" si="114"/>
        <v/>
      </c>
      <c r="JM34" s="40" t="str">
        <f t="shared" si="115"/>
        <v/>
      </c>
      <c r="JN34" s="40" t="str">
        <f t="shared" si="116"/>
        <v/>
      </c>
      <c r="JO34" s="40" t="str">
        <f t="shared" si="117"/>
        <v/>
      </c>
      <c r="JP34" s="40" t="str">
        <f t="shared" si="118"/>
        <v/>
      </c>
      <c r="JQ34" s="40" t="str">
        <f t="shared" si="119"/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 t="shared" si="120"/>
        <v/>
      </c>
      <c r="KM34" s="11" t="str">
        <f t="shared" si="121"/>
        <v/>
      </c>
      <c r="KN34" s="11" t="str">
        <f t="shared" si="122"/>
        <v/>
      </c>
      <c r="KO34" s="11" t="str">
        <f t="shared" si="123"/>
        <v/>
      </c>
      <c r="KP34" s="11" t="str">
        <f t="shared" si="124"/>
        <v/>
      </c>
      <c r="KQ34" s="11" t="str">
        <f t="shared" si="125"/>
        <v/>
      </c>
      <c r="KR34" s="11" t="str">
        <f t="shared" si="126"/>
        <v/>
      </c>
      <c r="KS34" s="11" t="str">
        <f t="shared" si="127"/>
        <v/>
      </c>
      <c r="KT34" s="11" t="str">
        <f t="shared" si="128"/>
        <v/>
      </c>
      <c r="KU34" s="11" t="str">
        <f t="shared" si="129"/>
        <v/>
      </c>
      <c r="KV34" s="11" t="str">
        <f t="shared" si="130"/>
        <v/>
      </c>
      <c r="KW34" s="11" t="str">
        <f t="shared" si="131"/>
        <v/>
      </c>
      <c r="KX34" s="11" t="str">
        <f t="shared" si="132"/>
        <v/>
      </c>
      <c r="KY34" s="11" t="str">
        <f t="shared" si="133"/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 t="shared" si="134"/>
        <v/>
      </c>
      <c r="LU34" s="40" t="str">
        <f t="shared" si="135"/>
        <v/>
      </c>
      <c r="LV34" s="40" t="str">
        <f t="shared" si="136"/>
        <v/>
      </c>
      <c r="LW34" s="40" t="str">
        <f t="shared" si="137"/>
        <v/>
      </c>
      <c r="LX34" s="40" t="str">
        <f t="shared" si="138"/>
        <v/>
      </c>
      <c r="LY34" s="40" t="str">
        <f t="shared" si="139"/>
        <v/>
      </c>
      <c r="LZ34" s="40" t="str">
        <f t="shared" si="140"/>
        <v/>
      </c>
      <c r="MA34" s="40" t="str">
        <f t="shared" si="141"/>
        <v/>
      </c>
      <c r="MB34" s="40" t="str">
        <f t="shared" si="142"/>
        <v/>
      </c>
      <c r="MC34" s="40" t="str">
        <f t="shared" si="143"/>
        <v/>
      </c>
      <c r="MD34" s="40" t="str">
        <f t="shared" si="144"/>
        <v/>
      </c>
      <c r="ME34" s="40" t="str">
        <f t="shared" si="145"/>
        <v/>
      </c>
      <c r="MF34" s="40" t="str">
        <f t="shared" si="146"/>
        <v/>
      </c>
      <c r="MG34" s="40" t="str">
        <f t="shared" si="147"/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 t="shared" si="148"/>
        <v/>
      </c>
      <c r="NC34" s="11" t="str">
        <f t="shared" si="149"/>
        <v/>
      </c>
      <c r="ND34" s="11" t="str">
        <f t="shared" si="150"/>
        <v/>
      </c>
      <c r="NE34" s="11" t="str">
        <f t="shared" si="151"/>
        <v/>
      </c>
      <c r="NF34" s="11" t="str">
        <f t="shared" si="152"/>
        <v/>
      </c>
      <c r="NG34" s="11" t="str">
        <f t="shared" si="153"/>
        <v/>
      </c>
      <c r="NH34" s="11" t="str">
        <f t="shared" si="154"/>
        <v/>
      </c>
      <c r="NI34" s="11" t="str">
        <f t="shared" si="155"/>
        <v/>
      </c>
      <c r="NJ34" s="11" t="str">
        <f t="shared" si="156"/>
        <v/>
      </c>
      <c r="NK34" s="11" t="str">
        <f t="shared" si="157"/>
        <v/>
      </c>
      <c r="NL34" s="11" t="str">
        <f t="shared" si="158"/>
        <v/>
      </c>
      <c r="NM34" s="11" t="str">
        <f t="shared" si="159"/>
        <v/>
      </c>
      <c r="NN34" s="11" t="str">
        <f t="shared" si="160"/>
        <v/>
      </c>
      <c r="NO34" s="11" t="str">
        <f t="shared" si="161"/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 t="shared" si="162"/>
        <v/>
      </c>
      <c r="OK34" s="40" t="str">
        <f t="shared" si="163"/>
        <v/>
      </c>
      <c r="OL34" s="40" t="str">
        <f t="shared" si="164"/>
        <v/>
      </c>
      <c r="OM34" s="40" t="str">
        <f t="shared" si="165"/>
        <v/>
      </c>
      <c r="ON34" s="40" t="str">
        <f t="shared" si="166"/>
        <v/>
      </c>
      <c r="OO34" s="40" t="str">
        <f t="shared" si="167"/>
        <v/>
      </c>
      <c r="OP34" s="40" t="str">
        <f t="shared" si="168"/>
        <v/>
      </c>
      <c r="OQ34" s="40" t="str">
        <f t="shared" si="169"/>
        <v/>
      </c>
      <c r="OR34" s="40" t="str">
        <f t="shared" si="170"/>
        <v/>
      </c>
      <c r="OS34" s="40" t="str">
        <f t="shared" si="171"/>
        <v/>
      </c>
      <c r="OT34" s="40" t="str">
        <f t="shared" si="172"/>
        <v/>
      </c>
      <c r="OU34" s="40" t="str">
        <f t="shared" si="173"/>
        <v/>
      </c>
      <c r="OV34" s="40" t="str">
        <f t="shared" si="174"/>
        <v/>
      </c>
      <c r="OW34" s="40" t="str">
        <f t="shared" si="175"/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 t="shared" si="176"/>
        <v/>
      </c>
      <c r="PS34" s="11" t="str">
        <f t="shared" si="177"/>
        <v/>
      </c>
      <c r="PT34" s="11" t="str">
        <f t="shared" si="178"/>
        <v/>
      </c>
      <c r="PU34" s="11" t="str">
        <f t="shared" si="179"/>
        <v/>
      </c>
      <c r="PV34" s="11" t="str">
        <f t="shared" si="180"/>
        <v/>
      </c>
      <c r="PW34" s="11" t="str">
        <f t="shared" si="181"/>
        <v/>
      </c>
      <c r="PX34" s="11" t="str">
        <f t="shared" si="182"/>
        <v/>
      </c>
      <c r="PY34" s="11" t="str">
        <f t="shared" si="183"/>
        <v/>
      </c>
      <c r="PZ34" s="11" t="str">
        <f t="shared" si="184"/>
        <v/>
      </c>
      <c r="QA34" s="11" t="str">
        <f t="shared" si="185"/>
        <v/>
      </c>
      <c r="QB34" s="11" t="str">
        <f t="shared" si="186"/>
        <v/>
      </c>
      <c r="QC34" s="11" t="str">
        <f t="shared" si="187"/>
        <v/>
      </c>
      <c r="QD34" s="11" t="str">
        <f t="shared" si="188"/>
        <v/>
      </c>
      <c r="QE34" s="11" t="str">
        <f t="shared" si="189"/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 t="shared" si="190"/>
        <v/>
      </c>
      <c r="RA34" s="40" t="str">
        <f t="shared" si="191"/>
        <v/>
      </c>
      <c r="RB34" s="40" t="str">
        <f t="shared" si="192"/>
        <v/>
      </c>
      <c r="RC34" s="40" t="str">
        <f t="shared" si="193"/>
        <v/>
      </c>
      <c r="RD34" s="40" t="str">
        <f t="shared" si="194"/>
        <v/>
      </c>
      <c r="RE34" s="40" t="str">
        <f t="shared" si="195"/>
        <v/>
      </c>
      <c r="RF34" s="40" t="str">
        <f t="shared" si="196"/>
        <v/>
      </c>
      <c r="RG34" s="40" t="str">
        <f t="shared" si="197"/>
        <v/>
      </c>
      <c r="RH34" s="40" t="str">
        <f t="shared" si="198"/>
        <v/>
      </c>
      <c r="RI34" s="40" t="str">
        <f t="shared" si="199"/>
        <v/>
      </c>
      <c r="RJ34" s="40" t="str">
        <f t="shared" si="200"/>
        <v/>
      </c>
      <c r="RK34" s="40" t="str">
        <f t="shared" si="201"/>
        <v/>
      </c>
      <c r="RL34" s="40" t="str">
        <f t="shared" si="202"/>
        <v/>
      </c>
      <c r="RM34" s="40" t="str">
        <f t="shared" si="203"/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 t="shared" si="204"/>
        <v/>
      </c>
      <c r="SI34" s="11" t="str">
        <f t="shared" si="205"/>
        <v/>
      </c>
      <c r="SJ34" s="11" t="str">
        <f t="shared" si="206"/>
        <v/>
      </c>
      <c r="SK34" s="11" t="str">
        <f t="shared" si="207"/>
        <v/>
      </c>
      <c r="SL34" s="11" t="str">
        <f t="shared" si="208"/>
        <v/>
      </c>
      <c r="SM34" s="11" t="str">
        <f t="shared" si="209"/>
        <v/>
      </c>
      <c r="SN34" s="11" t="str">
        <f t="shared" si="210"/>
        <v/>
      </c>
      <c r="SO34" s="11" t="str">
        <f t="shared" si="211"/>
        <v/>
      </c>
      <c r="SP34" s="11" t="str">
        <f t="shared" si="212"/>
        <v/>
      </c>
      <c r="SQ34" s="11" t="str">
        <f t="shared" si="213"/>
        <v/>
      </c>
      <c r="SR34" s="11" t="str">
        <f t="shared" si="214"/>
        <v/>
      </c>
      <c r="SS34" s="11" t="str">
        <f t="shared" si="215"/>
        <v/>
      </c>
      <c r="ST34" s="11" t="str">
        <f t="shared" si="216"/>
        <v/>
      </c>
      <c r="SU34" s="11" t="str">
        <f t="shared" si="217"/>
        <v/>
      </c>
      <c r="SV34" s="22">
        <f t="shared" si="218"/>
        <v>0</v>
      </c>
      <c r="SW34" s="22">
        <f t="shared" si="219"/>
        <v>0</v>
      </c>
      <c r="SX34" s="22">
        <f t="shared" si="220"/>
        <v>0</v>
      </c>
      <c r="SY34" s="22">
        <f t="shared" si="221"/>
        <v>0</v>
      </c>
      <c r="SZ34" s="22">
        <f t="shared" si="222"/>
        <v>0</v>
      </c>
      <c r="TA34" s="22">
        <f t="shared" si="223"/>
        <v>0</v>
      </c>
      <c r="TB34" s="22">
        <f t="shared" si="224"/>
        <v>0</v>
      </c>
      <c r="TC34" s="22">
        <f t="shared" si="225"/>
        <v>0</v>
      </c>
      <c r="TD34" s="22">
        <f t="shared" si="226"/>
        <v>0</v>
      </c>
      <c r="TE34" s="22">
        <f t="shared" si="227"/>
        <v>0</v>
      </c>
      <c r="TF34" s="22">
        <f t="shared" si="228"/>
        <v>0</v>
      </c>
      <c r="TG34" s="22">
        <f t="shared" si="229"/>
        <v>0</v>
      </c>
      <c r="TH34" s="22">
        <f t="shared" si="230"/>
        <v>0</v>
      </c>
      <c r="TI34" s="22">
        <f t="shared" si="231"/>
        <v>0</v>
      </c>
      <c r="TJ34" s="22">
        <f t="shared" si="232"/>
        <v>0</v>
      </c>
      <c r="TK34" s="27" t="s">
        <v>46</v>
      </c>
      <c r="TL34" s="40" t="str">
        <f t="shared" si="233"/>
        <v/>
      </c>
      <c r="TM34" s="40" t="str">
        <f t="shared" si="234"/>
        <v/>
      </c>
      <c r="TN34" s="40" t="str">
        <f t="shared" si="235"/>
        <v/>
      </c>
      <c r="TO34" s="40" t="str">
        <f t="shared" si="236"/>
        <v/>
      </c>
      <c r="TP34" s="40" t="str">
        <f t="shared" si="237"/>
        <v/>
      </c>
      <c r="TQ34" s="40" t="str">
        <f t="shared" si="238"/>
        <v/>
      </c>
      <c r="TR34" s="40" t="str">
        <f t="shared" si="239"/>
        <v/>
      </c>
      <c r="TS34" s="40" t="str">
        <f t="shared" si="240"/>
        <v/>
      </c>
      <c r="TT34" s="40" t="str">
        <f t="shared" si="241"/>
        <v/>
      </c>
      <c r="TU34" s="40" t="str">
        <f t="shared" si="242"/>
        <v/>
      </c>
      <c r="TV34" s="40" t="str">
        <f t="shared" si="243"/>
        <v/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110</v>
      </c>
      <c r="D35" s="4" t="s">
        <v>3</v>
      </c>
      <c r="E35" s="4">
        <v>2004</v>
      </c>
      <c r="F35" s="9">
        <f t="shared" si="0"/>
        <v>79.920007992004741</v>
      </c>
      <c r="G35" s="66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IF(COUNT(AQ35,AT35,BR35,BU35,CS35,CV35)&gt;0,LARGE((AQ35,AT35,BR35,BU35,CS35,CV35),1),0)</f>
        <v>47.589999999999996</v>
      </c>
      <c r="M35" s="8" t="str">
        <f t="shared" si="5"/>
        <v>2023 Nationals</v>
      </c>
      <c r="N35" s="8">
        <f>IF(COUNT(AQ35,AT35,BR35,BU35,CS35,CV35)&gt;1,LARGE((AQ35,AT35,BR35,BU35,CS35,CV35),2),0)</f>
        <v>20.729999999999997</v>
      </c>
      <c r="O35" s="8" t="str">
        <f t="shared" si="6"/>
        <v>2023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 t="shared" si="7"/>
        <v/>
      </c>
      <c r="R35" s="8">
        <f t="shared" si="8"/>
        <v>11.6</v>
      </c>
      <c r="S35" s="8" t="str">
        <f t="shared" si="9"/>
        <v>2023 Nationals</v>
      </c>
      <c r="T35" s="8">
        <f t="shared" si="10"/>
        <v>0</v>
      </c>
      <c r="U35" s="8" t="str">
        <f t="shared" si="11"/>
        <v/>
      </c>
      <c r="V35" s="8" t="str">
        <f t="shared" si="12"/>
        <v/>
      </c>
      <c r="W35" s="11" t="str">
        <f t="shared" si="13"/>
        <v/>
      </c>
      <c r="X35" s="8" t="str">
        <f t="shared" si="14"/>
        <v/>
      </c>
      <c r="Y35" s="22">
        <v>12.7</v>
      </c>
      <c r="Z35" s="22">
        <v>8.6</v>
      </c>
      <c r="AA35" s="22">
        <v>11.6</v>
      </c>
      <c r="AB35" s="22">
        <v>14.69</v>
      </c>
      <c r="AC35" s="22">
        <v>0</v>
      </c>
      <c r="AD35" s="22">
        <v>5.2</v>
      </c>
      <c r="AE35" s="22">
        <v>3.5</v>
      </c>
      <c r="AF35" s="22">
        <v>5.6</v>
      </c>
      <c r="AG35" s="22">
        <v>6.43</v>
      </c>
      <c r="AH35" s="22">
        <v>0</v>
      </c>
      <c r="AI35" s="22"/>
      <c r="AJ35" s="22"/>
      <c r="AK35" s="22"/>
      <c r="AL35" s="22"/>
      <c r="AM35" s="22"/>
      <c r="AN35" s="27"/>
      <c r="AO35" s="38">
        <f t="shared" si="15"/>
        <v>11.6</v>
      </c>
      <c r="AP35" s="38">
        <f t="shared" si="16"/>
        <v>14.69</v>
      </c>
      <c r="AQ35" s="40">
        <f t="shared" si="17"/>
        <v>47.589999999999996</v>
      </c>
      <c r="AR35" s="40">
        <f t="shared" si="18"/>
        <v>5.6</v>
      </c>
      <c r="AS35" s="40">
        <f t="shared" si="19"/>
        <v>6.43</v>
      </c>
      <c r="AT35" s="40">
        <f t="shared" si="20"/>
        <v>20.729999999999997</v>
      </c>
      <c r="AU35" s="40">
        <f t="shared" si="21"/>
        <v>47.589999999999996</v>
      </c>
      <c r="AV35" s="40" t="str">
        <f t="shared" si="22"/>
        <v/>
      </c>
      <c r="AW35" s="40" t="str">
        <f t="shared" si="23"/>
        <v/>
      </c>
      <c r="AX35" s="40" t="str">
        <f t="shared" si="24"/>
        <v/>
      </c>
      <c r="AY35" s="40">
        <f t="shared" si="25"/>
        <v>47.589999999999996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 t="shared" si="26"/>
        <v/>
      </c>
      <c r="BQ35" s="39" t="str">
        <f t="shared" si="27"/>
        <v/>
      </c>
      <c r="BR35" s="11" t="str">
        <f t="shared" si="28"/>
        <v/>
      </c>
      <c r="BS35" s="11" t="str">
        <f t="shared" si="29"/>
        <v/>
      </c>
      <c r="BT35" s="11" t="str">
        <f t="shared" si="30"/>
        <v/>
      </c>
      <c r="BU35" s="11" t="str">
        <f t="shared" si="31"/>
        <v/>
      </c>
      <c r="BV35" s="11" t="str">
        <f t="shared" si="32"/>
        <v/>
      </c>
      <c r="BW35" s="11" t="str">
        <f t="shared" si="33"/>
        <v/>
      </c>
      <c r="BX35" s="11" t="str">
        <f t="shared" si="34"/>
        <v/>
      </c>
      <c r="BY35" s="11" t="str">
        <f t="shared" si="35"/>
        <v/>
      </c>
      <c r="BZ35" s="11" t="str">
        <f t="shared" si="36"/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 t="shared" si="37"/>
        <v/>
      </c>
      <c r="CR35" s="38" t="str">
        <f t="shared" si="38"/>
        <v/>
      </c>
      <c r="CS35" s="40" t="str">
        <f t="shared" si="39"/>
        <v/>
      </c>
      <c r="CT35" s="40" t="str">
        <f t="shared" si="40"/>
        <v/>
      </c>
      <c r="CU35" s="40" t="str">
        <f t="shared" si="41"/>
        <v/>
      </c>
      <c r="CV35" s="40" t="str">
        <f t="shared" si="42"/>
        <v/>
      </c>
      <c r="CW35" s="40" t="str">
        <f t="shared" si="43"/>
        <v/>
      </c>
      <c r="CX35" s="40" t="str">
        <f t="shared" si="44"/>
        <v/>
      </c>
      <c r="CY35" s="40" t="str">
        <f t="shared" si="45"/>
        <v/>
      </c>
      <c r="CZ35" s="40" t="str">
        <f t="shared" si="46"/>
        <v/>
      </c>
      <c r="DA35" s="40" t="str">
        <f t="shared" si="47"/>
        <v/>
      </c>
      <c r="DB35" s="50" t="str">
        <f t="shared" si="48"/>
        <v/>
      </c>
      <c r="DC35" s="50" t="str">
        <f t="shared" si="49"/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 t="shared" si="50"/>
        <v/>
      </c>
      <c r="DY35" s="40" t="str">
        <f t="shared" si="51"/>
        <v/>
      </c>
      <c r="DZ35" s="40" t="str">
        <f t="shared" si="52"/>
        <v/>
      </c>
      <c r="EA35" s="40" t="str">
        <f t="shared" si="53"/>
        <v/>
      </c>
      <c r="EB35" s="40" t="str">
        <f t="shared" si="54"/>
        <v/>
      </c>
      <c r="EC35" s="40" t="str">
        <f t="shared" si="55"/>
        <v/>
      </c>
      <c r="ED35" s="40" t="str">
        <f t="shared" si="56"/>
        <v/>
      </c>
      <c r="EE35" s="40" t="str">
        <f t="shared" si="57"/>
        <v/>
      </c>
      <c r="EF35" s="40" t="str">
        <f t="shared" si="58"/>
        <v/>
      </c>
      <c r="EG35" s="40" t="str">
        <f t="shared" si="59"/>
        <v/>
      </c>
      <c r="EH35" s="40" t="str">
        <f t="shared" si="60"/>
        <v/>
      </c>
      <c r="EI35" s="40" t="str">
        <f t="shared" si="61"/>
        <v/>
      </c>
      <c r="EJ35" s="40" t="str">
        <f t="shared" si="62"/>
        <v/>
      </c>
      <c r="EK35" s="40" t="str">
        <f t="shared" si="63"/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 t="shared" si="64"/>
        <v/>
      </c>
      <c r="FG35" s="11" t="str">
        <f t="shared" si="65"/>
        <v/>
      </c>
      <c r="FH35" s="11" t="str">
        <f t="shared" si="66"/>
        <v/>
      </c>
      <c r="FI35" s="11" t="str">
        <f t="shared" si="67"/>
        <v/>
      </c>
      <c r="FJ35" s="11" t="str">
        <f t="shared" si="68"/>
        <v/>
      </c>
      <c r="FK35" s="11" t="str">
        <f t="shared" si="69"/>
        <v/>
      </c>
      <c r="FL35" s="11" t="str">
        <f t="shared" si="70"/>
        <v/>
      </c>
      <c r="FM35" s="11" t="str">
        <f t="shared" si="71"/>
        <v/>
      </c>
      <c r="FN35" s="11" t="str">
        <f t="shared" si="72"/>
        <v/>
      </c>
      <c r="FO35" s="11" t="str">
        <f t="shared" si="73"/>
        <v/>
      </c>
      <c r="FP35" s="11" t="str">
        <f t="shared" si="74"/>
        <v/>
      </c>
      <c r="FQ35" s="11" t="str">
        <f t="shared" si="75"/>
        <v/>
      </c>
      <c r="FR35" s="11" t="str">
        <f t="shared" si="76"/>
        <v/>
      </c>
      <c r="FS35" s="11" t="str">
        <f t="shared" si="77"/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 t="shared" si="78"/>
        <v/>
      </c>
      <c r="GO35" s="40" t="str">
        <f t="shared" si="79"/>
        <v/>
      </c>
      <c r="GP35" s="40" t="str">
        <f t="shared" si="80"/>
        <v/>
      </c>
      <c r="GQ35" s="40" t="str">
        <f t="shared" si="81"/>
        <v/>
      </c>
      <c r="GR35" s="40" t="str">
        <f t="shared" si="82"/>
        <v/>
      </c>
      <c r="GS35" s="40" t="str">
        <f t="shared" si="83"/>
        <v/>
      </c>
      <c r="GT35" s="40" t="str">
        <f t="shared" si="84"/>
        <v/>
      </c>
      <c r="GU35" s="40" t="str">
        <f t="shared" si="85"/>
        <v/>
      </c>
      <c r="GV35" s="40" t="str">
        <f t="shared" si="86"/>
        <v/>
      </c>
      <c r="GW35" s="40" t="str">
        <f t="shared" si="87"/>
        <v/>
      </c>
      <c r="GX35" s="40" t="str">
        <f t="shared" si="88"/>
        <v/>
      </c>
      <c r="GY35" s="40" t="str">
        <f t="shared" si="89"/>
        <v/>
      </c>
      <c r="GZ35" s="40" t="str">
        <f t="shared" si="90"/>
        <v/>
      </c>
      <c r="HA35" s="40" t="str">
        <f t="shared" si="91"/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 t="shared" si="92"/>
        <v/>
      </c>
      <c r="HW35" s="11" t="str">
        <f t="shared" si="93"/>
        <v/>
      </c>
      <c r="HX35" s="11" t="str">
        <f t="shared" si="94"/>
        <v/>
      </c>
      <c r="HY35" s="11" t="str">
        <f t="shared" si="95"/>
        <v/>
      </c>
      <c r="HZ35" s="11" t="str">
        <f t="shared" si="96"/>
        <v/>
      </c>
      <c r="IA35" s="11" t="str">
        <f t="shared" si="97"/>
        <v/>
      </c>
      <c r="IB35" s="11" t="str">
        <f t="shared" si="98"/>
        <v/>
      </c>
      <c r="IC35" s="11" t="str">
        <f t="shared" si="99"/>
        <v/>
      </c>
      <c r="ID35" s="11" t="str">
        <f t="shared" si="100"/>
        <v/>
      </c>
      <c r="IE35" s="11" t="str">
        <f t="shared" si="101"/>
        <v/>
      </c>
      <c r="IF35" s="11" t="str">
        <f t="shared" si="102"/>
        <v/>
      </c>
      <c r="IG35" s="11" t="str">
        <f t="shared" si="103"/>
        <v/>
      </c>
      <c r="IH35" s="11" t="str">
        <f t="shared" si="104"/>
        <v/>
      </c>
      <c r="II35" s="11" t="str">
        <f t="shared" si="105"/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 t="shared" si="106"/>
        <v/>
      </c>
      <c r="JE35" s="40" t="str">
        <f t="shared" si="107"/>
        <v/>
      </c>
      <c r="JF35" s="40" t="str">
        <f t="shared" si="108"/>
        <v/>
      </c>
      <c r="JG35" s="40" t="str">
        <f t="shared" si="109"/>
        <v/>
      </c>
      <c r="JH35" s="40" t="str">
        <f t="shared" si="110"/>
        <v/>
      </c>
      <c r="JI35" s="40" t="str">
        <f t="shared" si="111"/>
        <v/>
      </c>
      <c r="JJ35" s="40" t="str">
        <f t="shared" si="112"/>
        <v/>
      </c>
      <c r="JK35" s="40" t="str">
        <f t="shared" si="113"/>
        <v/>
      </c>
      <c r="JL35" s="40" t="str">
        <f t="shared" si="114"/>
        <v/>
      </c>
      <c r="JM35" s="40" t="str">
        <f t="shared" si="115"/>
        <v/>
      </c>
      <c r="JN35" s="40" t="str">
        <f t="shared" si="116"/>
        <v/>
      </c>
      <c r="JO35" s="40" t="str">
        <f t="shared" si="117"/>
        <v/>
      </c>
      <c r="JP35" s="40" t="str">
        <f t="shared" si="118"/>
        <v/>
      </c>
      <c r="JQ35" s="40" t="str">
        <f t="shared" si="119"/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 t="shared" si="120"/>
        <v/>
      </c>
      <c r="KM35" s="11" t="str">
        <f t="shared" si="121"/>
        <v/>
      </c>
      <c r="KN35" s="11" t="str">
        <f t="shared" si="122"/>
        <v/>
      </c>
      <c r="KO35" s="11" t="str">
        <f t="shared" si="123"/>
        <v/>
      </c>
      <c r="KP35" s="11" t="str">
        <f t="shared" si="124"/>
        <v/>
      </c>
      <c r="KQ35" s="11" t="str">
        <f t="shared" si="125"/>
        <v/>
      </c>
      <c r="KR35" s="11" t="str">
        <f t="shared" si="126"/>
        <v/>
      </c>
      <c r="KS35" s="11" t="str">
        <f t="shared" si="127"/>
        <v/>
      </c>
      <c r="KT35" s="11" t="str">
        <f t="shared" si="128"/>
        <v/>
      </c>
      <c r="KU35" s="11" t="str">
        <f t="shared" si="129"/>
        <v/>
      </c>
      <c r="KV35" s="11" t="str">
        <f t="shared" si="130"/>
        <v/>
      </c>
      <c r="KW35" s="11" t="str">
        <f t="shared" si="131"/>
        <v/>
      </c>
      <c r="KX35" s="11" t="str">
        <f t="shared" si="132"/>
        <v/>
      </c>
      <c r="KY35" s="11" t="str">
        <f t="shared" si="133"/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 t="shared" si="134"/>
        <v/>
      </c>
      <c r="LU35" s="40" t="str">
        <f t="shared" si="135"/>
        <v/>
      </c>
      <c r="LV35" s="40" t="str">
        <f t="shared" si="136"/>
        <v/>
      </c>
      <c r="LW35" s="40" t="str">
        <f t="shared" si="137"/>
        <v/>
      </c>
      <c r="LX35" s="40" t="str">
        <f t="shared" si="138"/>
        <v/>
      </c>
      <c r="LY35" s="40" t="str">
        <f t="shared" si="139"/>
        <v/>
      </c>
      <c r="LZ35" s="40" t="str">
        <f t="shared" si="140"/>
        <v/>
      </c>
      <c r="MA35" s="40" t="str">
        <f t="shared" si="141"/>
        <v/>
      </c>
      <c r="MB35" s="40" t="str">
        <f t="shared" si="142"/>
        <v/>
      </c>
      <c r="MC35" s="40" t="str">
        <f t="shared" si="143"/>
        <v/>
      </c>
      <c r="MD35" s="40" t="str">
        <f t="shared" si="144"/>
        <v/>
      </c>
      <c r="ME35" s="40" t="str">
        <f t="shared" si="145"/>
        <v/>
      </c>
      <c r="MF35" s="40" t="str">
        <f t="shared" si="146"/>
        <v/>
      </c>
      <c r="MG35" s="40" t="str">
        <f t="shared" si="147"/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 t="shared" si="148"/>
        <v/>
      </c>
      <c r="NC35" s="11" t="str">
        <f t="shared" si="149"/>
        <v/>
      </c>
      <c r="ND35" s="11" t="str">
        <f t="shared" si="150"/>
        <v/>
      </c>
      <c r="NE35" s="11" t="str">
        <f t="shared" si="151"/>
        <v/>
      </c>
      <c r="NF35" s="11" t="str">
        <f t="shared" si="152"/>
        <v/>
      </c>
      <c r="NG35" s="11" t="str">
        <f t="shared" si="153"/>
        <v/>
      </c>
      <c r="NH35" s="11" t="str">
        <f t="shared" si="154"/>
        <v/>
      </c>
      <c r="NI35" s="11" t="str">
        <f t="shared" si="155"/>
        <v/>
      </c>
      <c r="NJ35" s="11" t="str">
        <f t="shared" si="156"/>
        <v/>
      </c>
      <c r="NK35" s="11" t="str">
        <f t="shared" si="157"/>
        <v/>
      </c>
      <c r="NL35" s="11" t="str">
        <f t="shared" si="158"/>
        <v/>
      </c>
      <c r="NM35" s="11" t="str">
        <f t="shared" si="159"/>
        <v/>
      </c>
      <c r="NN35" s="11" t="str">
        <f t="shared" si="160"/>
        <v/>
      </c>
      <c r="NO35" s="11" t="str">
        <f t="shared" si="161"/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 t="shared" si="162"/>
        <v/>
      </c>
      <c r="OK35" s="40" t="str">
        <f t="shared" si="163"/>
        <v/>
      </c>
      <c r="OL35" s="40" t="str">
        <f t="shared" si="164"/>
        <v/>
      </c>
      <c r="OM35" s="40" t="str">
        <f t="shared" si="165"/>
        <v/>
      </c>
      <c r="ON35" s="40" t="str">
        <f t="shared" si="166"/>
        <v/>
      </c>
      <c r="OO35" s="40" t="str">
        <f t="shared" si="167"/>
        <v/>
      </c>
      <c r="OP35" s="40" t="str">
        <f t="shared" si="168"/>
        <v/>
      </c>
      <c r="OQ35" s="40" t="str">
        <f t="shared" si="169"/>
        <v/>
      </c>
      <c r="OR35" s="40" t="str">
        <f t="shared" si="170"/>
        <v/>
      </c>
      <c r="OS35" s="40" t="str">
        <f t="shared" si="171"/>
        <v/>
      </c>
      <c r="OT35" s="40" t="str">
        <f t="shared" si="172"/>
        <v/>
      </c>
      <c r="OU35" s="40" t="str">
        <f t="shared" si="173"/>
        <v/>
      </c>
      <c r="OV35" s="40" t="str">
        <f t="shared" si="174"/>
        <v/>
      </c>
      <c r="OW35" s="40" t="str">
        <f t="shared" si="175"/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 t="shared" si="176"/>
        <v/>
      </c>
      <c r="PS35" s="11" t="str">
        <f t="shared" si="177"/>
        <v/>
      </c>
      <c r="PT35" s="11" t="str">
        <f t="shared" si="178"/>
        <v/>
      </c>
      <c r="PU35" s="11" t="str">
        <f t="shared" si="179"/>
        <v/>
      </c>
      <c r="PV35" s="11" t="str">
        <f t="shared" si="180"/>
        <v/>
      </c>
      <c r="PW35" s="11" t="str">
        <f t="shared" si="181"/>
        <v/>
      </c>
      <c r="PX35" s="11" t="str">
        <f t="shared" si="182"/>
        <v/>
      </c>
      <c r="PY35" s="11" t="str">
        <f t="shared" si="183"/>
        <v/>
      </c>
      <c r="PZ35" s="11" t="str">
        <f t="shared" si="184"/>
        <v/>
      </c>
      <c r="QA35" s="11" t="str">
        <f t="shared" si="185"/>
        <v/>
      </c>
      <c r="QB35" s="11" t="str">
        <f t="shared" si="186"/>
        <v/>
      </c>
      <c r="QC35" s="11" t="str">
        <f t="shared" si="187"/>
        <v/>
      </c>
      <c r="QD35" s="11" t="str">
        <f t="shared" si="188"/>
        <v/>
      </c>
      <c r="QE35" s="11" t="str">
        <f t="shared" si="189"/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 t="shared" si="190"/>
        <v/>
      </c>
      <c r="RA35" s="40" t="str">
        <f t="shared" si="191"/>
        <v/>
      </c>
      <c r="RB35" s="40" t="str">
        <f t="shared" si="192"/>
        <v/>
      </c>
      <c r="RC35" s="40" t="str">
        <f t="shared" si="193"/>
        <v/>
      </c>
      <c r="RD35" s="40" t="str">
        <f t="shared" si="194"/>
        <v/>
      </c>
      <c r="RE35" s="40" t="str">
        <f t="shared" si="195"/>
        <v/>
      </c>
      <c r="RF35" s="40" t="str">
        <f t="shared" si="196"/>
        <v/>
      </c>
      <c r="RG35" s="40" t="str">
        <f t="shared" si="197"/>
        <v/>
      </c>
      <c r="RH35" s="40" t="str">
        <f t="shared" si="198"/>
        <v/>
      </c>
      <c r="RI35" s="40" t="str">
        <f t="shared" si="199"/>
        <v/>
      </c>
      <c r="RJ35" s="40" t="str">
        <f t="shared" si="200"/>
        <v/>
      </c>
      <c r="RK35" s="40" t="str">
        <f t="shared" si="201"/>
        <v/>
      </c>
      <c r="RL35" s="40" t="str">
        <f t="shared" si="202"/>
        <v/>
      </c>
      <c r="RM35" s="40" t="str">
        <f t="shared" si="203"/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 t="shared" si="204"/>
        <v/>
      </c>
      <c r="SI35" s="11" t="str">
        <f t="shared" si="205"/>
        <v/>
      </c>
      <c r="SJ35" s="11" t="str">
        <f t="shared" si="206"/>
        <v/>
      </c>
      <c r="SK35" s="11" t="str">
        <f t="shared" si="207"/>
        <v/>
      </c>
      <c r="SL35" s="11" t="str">
        <f t="shared" si="208"/>
        <v/>
      </c>
      <c r="SM35" s="11" t="str">
        <f t="shared" si="209"/>
        <v/>
      </c>
      <c r="SN35" s="11" t="str">
        <f t="shared" si="210"/>
        <v/>
      </c>
      <c r="SO35" s="11" t="str">
        <f t="shared" si="211"/>
        <v/>
      </c>
      <c r="SP35" s="11" t="str">
        <f t="shared" si="212"/>
        <v/>
      </c>
      <c r="SQ35" s="11" t="str">
        <f t="shared" si="213"/>
        <v/>
      </c>
      <c r="SR35" s="11" t="str">
        <f t="shared" si="214"/>
        <v/>
      </c>
      <c r="SS35" s="11" t="str">
        <f t="shared" si="215"/>
        <v/>
      </c>
      <c r="ST35" s="11" t="str">
        <f t="shared" si="216"/>
        <v/>
      </c>
      <c r="SU35" s="11" t="str">
        <f t="shared" si="217"/>
        <v/>
      </c>
      <c r="SV35" s="22">
        <f t="shared" si="218"/>
        <v>0</v>
      </c>
      <c r="SW35" s="22">
        <f t="shared" si="219"/>
        <v>0</v>
      </c>
      <c r="SX35" s="22">
        <f t="shared" si="220"/>
        <v>0</v>
      </c>
      <c r="SY35" s="22">
        <f t="shared" si="221"/>
        <v>0</v>
      </c>
      <c r="SZ35" s="22">
        <f t="shared" si="222"/>
        <v>0</v>
      </c>
      <c r="TA35" s="22">
        <f t="shared" si="223"/>
        <v>0</v>
      </c>
      <c r="TB35" s="22">
        <f t="shared" si="224"/>
        <v>0</v>
      </c>
      <c r="TC35" s="22">
        <f t="shared" si="225"/>
        <v>0</v>
      </c>
      <c r="TD35" s="22">
        <f t="shared" si="226"/>
        <v>0</v>
      </c>
      <c r="TE35" s="22">
        <f t="shared" si="227"/>
        <v>0</v>
      </c>
      <c r="TF35" s="22">
        <f t="shared" si="228"/>
        <v>0</v>
      </c>
      <c r="TG35" s="22">
        <f t="shared" si="229"/>
        <v>0</v>
      </c>
      <c r="TH35" s="22">
        <f t="shared" si="230"/>
        <v>0</v>
      </c>
      <c r="TI35" s="22">
        <f t="shared" si="231"/>
        <v>0</v>
      </c>
      <c r="TJ35" s="22">
        <f t="shared" si="232"/>
        <v>0</v>
      </c>
      <c r="TK35" s="27" t="s">
        <v>46</v>
      </c>
      <c r="TL35" s="40" t="str">
        <f t="shared" si="233"/>
        <v/>
      </c>
      <c r="TM35" s="40" t="str">
        <f t="shared" si="234"/>
        <v/>
      </c>
      <c r="TN35" s="40" t="str">
        <f t="shared" si="235"/>
        <v/>
      </c>
      <c r="TO35" s="40" t="str">
        <f t="shared" si="236"/>
        <v/>
      </c>
      <c r="TP35" s="40" t="str">
        <f t="shared" si="237"/>
        <v/>
      </c>
      <c r="TQ35" s="40" t="str">
        <f t="shared" si="238"/>
        <v/>
      </c>
      <c r="TR35" s="40" t="str">
        <f t="shared" si="239"/>
        <v/>
      </c>
      <c r="TS35" s="40" t="str">
        <f t="shared" si="240"/>
        <v/>
      </c>
      <c r="TT35" s="40" t="str">
        <f t="shared" si="241"/>
        <v/>
      </c>
      <c r="TU35" s="40" t="str">
        <f t="shared" si="242"/>
        <v/>
      </c>
      <c r="TV35" s="40" t="str">
        <f t="shared" si="243"/>
        <v/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218</v>
      </c>
      <c r="D36" s="4" t="s">
        <v>5</v>
      </c>
      <c r="E36" s="4">
        <v>2007</v>
      </c>
      <c r="F36" s="9">
        <f t="shared" si="0"/>
        <v>73.770007377004205</v>
      </c>
      <c r="G36" s="66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IF(COUNT(AQ36,AT36,BR36,BU36,CS36,CV36)&gt;0,LARGE((AQ36,AT36,BR36,BU36,CS36,CV36),1),0)</f>
        <v>41.910000000000004</v>
      </c>
      <c r="M36" s="8" t="str">
        <f t="shared" si="5"/>
        <v>2024 Elite Canada</v>
      </c>
      <c r="N36" s="8">
        <f>IF(COUNT(AQ36,AT36,BR36,BU36,CS36,CV36)&gt;1,LARGE((AQ36,AT36,BR36,BU36,CS36,CV36),2),0)</f>
        <v>25.16</v>
      </c>
      <c r="O36" s="8" t="str">
        <f t="shared" si="6"/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 t="shared" si="7"/>
        <v/>
      </c>
      <c r="R36" s="8">
        <f t="shared" si="8"/>
        <v>6.7</v>
      </c>
      <c r="S36" s="8" t="str">
        <f t="shared" si="9"/>
        <v>2024 Elite Canada</v>
      </c>
      <c r="T36" s="8">
        <f t="shared" si="10"/>
        <v>0</v>
      </c>
      <c r="U36" s="8" t="str">
        <f t="shared" si="11"/>
        <v/>
      </c>
      <c r="V36" s="8" t="str">
        <f t="shared" si="12"/>
        <v/>
      </c>
      <c r="W36" s="11" t="str">
        <f t="shared" si="13"/>
        <v/>
      </c>
      <c r="X36" s="8" t="str">
        <f t="shared" si="14"/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 t="shared" si="15"/>
        <v/>
      </c>
      <c r="AP36" s="38" t="str">
        <f t="shared" si="16"/>
        <v/>
      </c>
      <c r="AQ36" s="40" t="str">
        <f t="shared" si="17"/>
        <v/>
      </c>
      <c r="AR36" s="40" t="str">
        <f t="shared" si="18"/>
        <v/>
      </c>
      <c r="AS36" s="40" t="str">
        <f t="shared" si="19"/>
        <v/>
      </c>
      <c r="AT36" s="40" t="str">
        <f t="shared" si="20"/>
        <v/>
      </c>
      <c r="AU36" s="40" t="str">
        <f t="shared" si="21"/>
        <v/>
      </c>
      <c r="AV36" s="40" t="str">
        <f t="shared" si="22"/>
        <v/>
      </c>
      <c r="AW36" s="40" t="str">
        <f t="shared" si="23"/>
        <v/>
      </c>
      <c r="AX36" s="40" t="str">
        <f t="shared" si="24"/>
        <v/>
      </c>
      <c r="AY36" s="40" t="str">
        <f t="shared" si="25"/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 t="shared" si="26"/>
        <v/>
      </c>
      <c r="BQ36" s="39" t="str">
        <f t="shared" si="27"/>
        <v/>
      </c>
      <c r="BR36" s="11" t="str">
        <f t="shared" si="28"/>
        <v/>
      </c>
      <c r="BS36" s="11" t="str">
        <f t="shared" si="29"/>
        <v/>
      </c>
      <c r="BT36" s="11" t="str">
        <f t="shared" si="30"/>
        <v/>
      </c>
      <c r="BU36" s="11" t="str">
        <f t="shared" si="31"/>
        <v/>
      </c>
      <c r="BV36" s="11" t="str">
        <f t="shared" si="32"/>
        <v/>
      </c>
      <c r="BW36" s="11" t="str">
        <f t="shared" si="33"/>
        <v/>
      </c>
      <c r="BX36" s="11" t="str">
        <f t="shared" si="34"/>
        <v/>
      </c>
      <c r="BY36" s="11" t="str">
        <f t="shared" si="35"/>
        <v/>
      </c>
      <c r="BZ36" s="11" t="str">
        <f t="shared" si="36"/>
        <v/>
      </c>
      <c r="CA36" s="22">
        <v>4.8</v>
      </c>
      <c r="CB36" s="22">
        <v>2.5</v>
      </c>
      <c r="CC36" s="22">
        <v>3.1</v>
      </c>
      <c r="CD36" s="22">
        <v>14.76</v>
      </c>
      <c r="CE36" s="22">
        <v>0</v>
      </c>
      <c r="CF36" s="22">
        <v>13.9</v>
      </c>
      <c r="CG36" s="22">
        <v>9.1</v>
      </c>
      <c r="CH36" s="22">
        <v>6.7</v>
      </c>
      <c r="CI36" s="22">
        <v>14.61</v>
      </c>
      <c r="CJ36" s="22">
        <v>2.4</v>
      </c>
      <c r="CK36" s="22"/>
      <c r="CL36" s="22"/>
      <c r="CM36" s="22"/>
      <c r="CN36" s="22"/>
      <c r="CO36" s="22"/>
      <c r="CP36" s="27"/>
      <c r="CQ36" s="38">
        <f t="shared" si="37"/>
        <v>3.1</v>
      </c>
      <c r="CR36" s="38">
        <f t="shared" si="38"/>
        <v>14.76</v>
      </c>
      <c r="CS36" s="40">
        <f t="shared" si="39"/>
        <v>25.16</v>
      </c>
      <c r="CT36" s="40">
        <f t="shared" si="40"/>
        <v>6.7</v>
      </c>
      <c r="CU36" s="40">
        <f t="shared" si="41"/>
        <v>14.61</v>
      </c>
      <c r="CV36" s="40">
        <f t="shared" si="42"/>
        <v>41.910000000000004</v>
      </c>
      <c r="CW36" s="40">
        <f t="shared" si="43"/>
        <v>41.910000000000004</v>
      </c>
      <c r="CX36" s="40" t="str">
        <f t="shared" si="44"/>
        <v/>
      </c>
      <c r="CY36" s="40" t="str">
        <f t="shared" si="45"/>
        <v/>
      </c>
      <c r="CZ36" s="40" t="str">
        <f t="shared" si="46"/>
        <v/>
      </c>
      <c r="DA36" s="40">
        <f t="shared" si="47"/>
        <v>41.910000000000004</v>
      </c>
      <c r="DB36" s="50" t="str">
        <f t="shared" si="48"/>
        <v/>
      </c>
      <c r="DC36" s="50" t="str">
        <f t="shared" si="49"/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 t="shared" si="50"/>
        <v/>
      </c>
      <c r="DY36" s="40" t="str">
        <f t="shared" si="51"/>
        <v/>
      </c>
      <c r="DZ36" s="40" t="str">
        <f t="shared" si="52"/>
        <v/>
      </c>
      <c r="EA36" s="40" t="str">
        <f t="shared" si="53"/>
        <v/>
      </c>
      <c r="EB36" s="40" t="str">
        <f t="shared" si="54"/>
        <v/>
      </c>
      <c r="EC36" s="40" t="str">
        <f t="shared" si="55"/>
        <v/>
      </c>
      <c r="ED36" s="40" t="str">
        <f t="shared" si="56"/>
        <v/>
      </c>
      <c r="EE36" s="40" t="str">
        <f t="shared" si="57"/>
        <v/>
      </c>
      <c r="EF36" s="40" t="str">
        <f t="shared" si="58"/>
        <v/>
      </c>
      <c r="EG36" s="40" t="str">
        <f t="shared" si="59"/>
        <v/>
      </c>
      <c r="EH36" s="40" t="str">
        <f t="shared" si="60"/>
        <v/>
      </c>
      <c r="EI36" s="40" t="str">
        <f t="shared" si="61"/>
        <v/>
      </c>
      <c r="EJ36" s="40" t="str">
        <f t="shared" si="62"/>
        <v/>
      </c>
      <c r="EK36" s="40" t="str">
        <f t="shared" si="63"/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 t="shared" si="64"/>
        <v/>
      </c>
      <c r="FG36" s="11" t="str">
        <f t="shared" si="65"/>
        <v/>
      </c>
      <c r="FH36" s="11" t="str">
        <f t="shared" si="66"/>
        <v/>
      </c>
      <c r="FI36" s="11" t="str">
        <f t="shared" si="67"/>
        <v/>
      </c>
      <c r="FJ36" s="11" t="str">
        <f t="shared" si="68"/>
        <v/>
      </c>
      <c r="FK36" s="11" t="str">
        <f t="shared" si="69"/>
        <v/>
      </c>
      <c r="FL36" s="11" t="str">
        <f t="shared" si="70"/>
        <v/>
      </c>
      <c r="FM36" s="11" t="str">
        <f t="shared" si="71"/>
        <v/>
      </c>
      <c r="FN36" s="11" t="str">
        <f t="shared" si="72"/>
        <v/>
      </c>
      <c r="FO36" s="11" t="str">
        <f t="shared" si="73"/>
        <v/>
      </c>
      <c r="FP36" s="11" t="str">
        <f t="shared" si="74"/>
        <v/>
      </c>
      <c r="FQ36" s="11" t="str">
        <f t="shared" si="75"/>
        <v/>
      </c>
      <c r="FR36" s="11" t="str">
        <f t="shared" si="76"/>
        <v/>
      </c>
      <c r="FS36" s="11" t="str">
        <f t="shared" si="77"/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 t="shared" si="78"/>
        <v/>
      </c>
      <c r="GO36" s="40" t="str">
        <f t="shared" si="79"/>
        <v/>
      </c>
      <c r="GP36" s="40" t="str">
        <f t="shared" si="80"/>
        <v/>
      </c>
      <c r="GQ36" s="40" t="str">
        <f t="shared" si="81"/>
        <v/>
      </c>
      <c r="GR36" s="40" t="str">
        <f t="shared" si="82"/>
        <v/>
      </c>
      <c r="GS36" s="40" t="str">
        <f t="shared" si="83"/>
        <v/>
      </c>
      <c r="GT36" s="40" t="str">
        <f t="shared" si="84"/>
        <v/>
      </c>
      <c r="GU36" s="40" t="str">
        <f t="shared" si="85"/>
        <v/>
      </c>
      <c r="GV36" s="40" t="str">
        <f t="shared" si="86"/>
        <v/>
      </c>
      <c r="GW36" s="40" t="str">
        <f t="shared" si="87"/>
        <v/>
      </c>
      <c r="GX36" s="40" t="str">
        <f t="shared" si="88"/>
        <v/>
      </c>
      <c r="GY36" s="40" t="str">
        <f t="shared" si="89"/>
        <v/>
      </c>
      <c r="GZ36" s="40" t="str">
        <f t="shared" si="90"/>
        <v/>
      </c>
      <c r="HA36" s="40" t="str">
        <f t="shared" si="91"/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 t="shared" si="92"/>
        <v/>
      </c>
      <c r="HW36" s="11" t="str">
        <f t="shared" si="93"/>
        <v/>
      </c>
      <c r="HX36" s="11" t="str">
        <f t="shared" si="94"/>
        <v/>
      </c>
      <c r="HY36" s="11" t="str">
        <f t="shared" si="95"/>
        <v/>
      </c>
      <c r="HZ36" s="11" t="str">
        <f t="shared" si="96"/>
        <v/>
      </c>
      <c r="IA36" s="11" t="str">
        <f t="shared" si="97"/>
        <v/>
      </c>
      <c r="IB36" s="11" t="str">
        <f t="shared" si="98"/>
        <v/>
      </c>
      <c r="IC36" s="11" t="str">
        <f t="shared" si="99"/>
        <v/>
      </c>
      <c r="ID36" s="11" t="str">
        <f t="shared" si="100"/>
        <v/>
      </c>
      <c r="IE36" s="11" t="str">
        <f t="shared" si="101"/>
        <v/>
      </c>
      <c r="IF36" s="11" t="str">
        <f t="shared" si="102"/>
        <v/>
      </c>
      <c r="IG36" s="11" t="str">
        <f t="shared" si="103"/>
        <v/>
      </c>
      <c r="IH36" s="11" t="str">
        <f t="shared" si="104"/>
        <v/>
      </c>
      <c r="II36" s="11" t="str">
        <f t="shared" si="105"/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 t="shared" si="106"/>
        <v/>
      </c>
      <c r="JE36" s="40" t="str">
        <f t="shared" si="107"/>
        <v/>
      </c>
      <c r="JF36" s="40" t="str">
        <f t="shared" si="108"/>
        <v/>
      </c>
      <c r="JG36" s="40" t="str">
        <f t="shared" si="109"/>
        <v/>
      </c>
      <c r="JH36" s="40" t="str">
        <f t="shared" si="110"/>
        <v/>
      </c>
      <c r="JI36" s="40" t="str">
        <f t="shared" si="111"/>
        <v/>
      </c>
      <c r="JJ36" s="40" t="str">
        <f t="shared" si="112"/>
        <v/>
      </c>
      <c r="JK36" s="40" t="str">
        <f t="shared" si="113"/>
        <v/>
      </c>
      <c r="JL36" s="40" t="str">
        <f t="shared" si="114"/>
        <v/>
      </c>
      <c r="JM36" s="40" t="str">
        <f t="shared" si="115"/>
        <v/>
      </c>
      <c r="JN36" s="40" t="str">
        <f t="shared" si="116"/>
        <v/>
      </c>
      <c r="JO36" s="40" t="str">
        <f t="shared" si="117"/>
        <v/>
      </c>
      <c r="JP36" s="40" t="str">
        <f t="shared" si="118"/>
        <v/>
      </c>
      <c r="JQ36" s="40" t="str">
        <f t="shared" si="119"/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 t="shared" si="120"/>
        <v/>
      </c>
      <c r="KM36" s="11" t="str">
        <f t="shared" si="121"/>
        <v/>
      </c>
      <c r="KN36" s="11" t="str">
        <f t="shared" si="122"/>
        <v/>
      </c>
      <c r="KO36" s="11" t="str">
        <f t="shared" si="123"/>
        <v/>
      </c>
      <c r="KP36" s="11" t="str">
        <f t="shared" si="124"/>
        <v/>
      </c>
      <c r="KQ36" s="11" t="str">
        <f t="shared" si="125"/>
        <v/>
      </c>
      <c r="KR36" s="11" t="str">
        <f t="shared" si="126"/>
        <v/>
      </c>
      <c r="KS36" s="11" t="str">
        <f t="shared" si="127"/>
        <v/>
      </c>
      <c r="KT36" s="11" t="str">
        <f t="shared" si="128"/>
        <v/>
      </c>
      <c r="KU36" s="11" t="str">
        <f t="shared" si="129"/>
        <v/>
      </c>
      <c r="KV36" s="11" t="str">
        <f t="shared" si="130"/>
        <v/>
      </c>
      <c r="KW36" s="11" t="str">
        <f t="shared" si="131"/>
        <v/>
      </c>
      <c r="KX36" s="11" t="str">
        <f t="shared" si="132"/>
        <v/>
      </c>
      <c r="KY36" s="11" t="str">
        <f t="shared" si="133"/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 t="shared" si="134"/>
        <v/>
      </c>
      <c r="LU36" s="40" t="str">
        <f t="shared" si="135"/>
        <v/>
      </c>
      <c r="LV36" s="40" t="str">
        <f t="shared" si="136"/>
        <v/>
      </c>
      <c r="LW36" s="40" t="str">
        <f t="shared" si="137"/>
        <v/>
      </c>
      <c r="LX36" s="40" t="str">
        <f t="shared" si="138"/>
        <v/>
      </c>
      <c r="LY36" s="40" t="str">
        <f t="shared" si="139"/>
        <v/>
      </c>
      <c r="LZ36" s="40" t="str">
        <f t="shared" si="140"/>
        <v/>
      </c>
      <c r="MA36" s="40" t="str">
        <f t="shared" si="141"/>
        <v/>
      </c>
      <c r="MB36" s="40" t="str">
        <f t="shared" si="142"/>
        <v/>
      </c>
      <c r="MC36" s="40" t="str">
        <f t="shared" si="143"/>
        <v/>
      </c>
      <c r="MD36" s="40" t="str">
        <f t="shared" si="144"/>
        <v/>
      </c>
      <c r="ME36" s="40" t="str">
        <f t="shared" si="145"/>
        <v/>
      </c>
      <c r="MF36" s="40" t="str">
        <f t="shared" si="146"/>
        <v/>
      </c>
      <c r="MG36" s="40" t="str">
        <f t="shared" si="147"/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 t="shared" si="148"/>
        <v/>
      </c>
      <c r="NC36" s="11" t="str">
        <f t="shared" si="149"/>
        <v/>
      </c>
      <c r="ND36" s="11" t="str">
        <f t="shared" si="150"/>
        <v/>
      </c>
      <c r="NE36" s="11" t="str">
        <f t="shared" si="151"/>
        <v/>
      </c>
      <c r="NF36" s="11" t="str">
        <f t="shared" si="152"/>
        <v/>
      </c>
      <c r="NG36" s="11" t="str">
        <f t="shared" si="153"/>
        <v/>
      </c>
      <c r="NH36" s="11" t="str">
        <f t="shared" si="154"/>
        <v/>
      </c>
      <c r="NI36" s="11" t="str">
        <f t="shared" si="155"/>
        <v/>
      </c>
      <c r="NJ36" s="11" t="str">
        <f t="shared" si="156"/>
        <v/>
      </c>
      <c r="NK36" s="11" t="str">
        <f t="shared" si="157"/>
        <v/>
      </c>
      <c r="NL36" s="11" t="str">
        <f t="shared" si="158"/>
        <v/>
      </c>
      <c r="NM36" s="11" t="str">
        <f t="shared" si="159"/>
        <v/>
      </c>
      <c r="NN36" s="11" t="str">
        <f t="shared" si="160"/>
        <v/>
      </c>
      <c r="NO36" s="11" t="str">
        <f t="shared" si="161"/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 t="shared" si="162"/>
        <v/>
      </c>
      <c r="OK36" s="40" t="str">
        <f t="shared" si="163"/>
        <v/>
      </c>
      <c r="OL36" s="40" t="str">
        <f t="shared" si="164"/>
        <v/>
      </c>
      <c r="OM36" s="40" t="str">
        <f t="shared" si="165"/>
        <v/>
      </c>
      <c r="ON36" s="40" t="str">
        <f t="shared" si="166"/>
        <v/>
      </c>
      <c r="OO36" s="40" t="str">
        <f t="shared" si="167"/>
        <v/>
      </c>
      <c r="OP36" s="40" t="str">
        <f t="shared" si="168"/>
        <v/>
      </c>
      <c r="OQ36" s="40" t="str">
        <f t="shared" si="169"/>
        <v/>
      </c>
      <c r="OR36" s="40" t="str">
        <f t="shared" si="170"/>
        <v/>
      </c>
      <c r="OS36" s="40" t="str">
        <f t="shared" si="171"/>
        <v/>
      </c>
      <c r="OT36" s="40" t="str">
        <f t="shared" si="172"/>
        <v/>
      </c>
      <c r="OU36" s="40" t="str">
        <f t="shared" si="173"/>
        <v/>
      </c>
      <c r="OV36" s="40" t="str">
        <f t="shared" si="174"/>
        <v/>
      </c>
      <c r="OW36" s="40" t="str">
        <f t="shared" si="175"/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 t="shared" si="176"/>
        <v/>
      </c>
      <c r="PS36" s="11" t="str">
        <f t="shared" si="177"/>
        <v/>
      </c>
      <c r="PT36" s="11" t="str">
        <f t="shared" si="178"/>
        <v/>
      </c>
      <c r="PU36" s="11" t="str">
        <f t="shared" si="179"/>
        <v/>
      </c>
      <c r="PV36" s="11" t="str">
        <f t="shared" si="180"/>
        <v/>
      </c>
      <c r="PW36" s="11" t="str">
        <f t="shared" si="181"/>
        <v/>
      </c>
      <c r="PX36" s="11" t="str">
        <f t="shared" si="182"/>
        <v/>
      </c>
      <c r="PY36" s="11" t="str">
        <f t="shared" si="183"/>
        <v/>
      </c>
      <c r="PZ36" s="11" t="str">
        <f t="shared" si="184"/>
        <v/>
      </c>
      <c r="QA36" s="11" t="str">
        <f t="shared" si="185"/>
        <v/>
      </c>
      <c r="QB36" s="11" t="str">
        <f t="shared" si="186"/>
        <v/>
      </c>
      <c r="QC36" s="11" t="str">
        <f t="shared" si="187"/>
        <v/>
      </c>
      <c r="QD36" s="11" t="str">
        <f t="shared" si="188"/>
        <v/>
      </c>
      <c r="QE36" s="11" t="str">
        <f t="shared" si="189"/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 t="shared" si="190"/>
        <v/>
      </c>
      <c r="RA36" s="40" t="str">
        <f t="shared" si="191"/>
        <v/>
      </c>
      <c r="RB36" s="40" t="str">
        <f t="shared" si="192"/>
        <v/>
      </c>
      <c r="RC36" s="40" t="str">
        <f t="shared" si="193"/>
        <v/>
      </c>
      <c r="RD36" s="40" t="str">
        <f t="shared" si="194"/>
        <v/>
      </c>
      <c r="RE36" s="40" t="str">
        <f t="shared" si="195"/>
        <v/>
      </c>
      <c r="RF36" s="40" t="str">
        <f t="shared" si="196"/>
        <v/>
      </c>
      <c r="RG36" s="40" t="str">
        <f t="shared" si="197"/>
        <v/>
      </c>
      <c r="RH36" s="40" t="str">
        <f t="shared" si="198"/>
        <v/>
      </c>
      <c r="RI36" s="40" t="str">
        <f t="shared" si="199"/>
        <v/>
      </c>
      <c r="RJ36" s="40" t="str">
        <f t="shared" si="200"/>
        <v/>
      </c>
      <c r="RK36" s="40" t="str">
        <f t="shared" si="201"/>
        <v/>
      </c>
      <c r="RL36" s="40" t="str">
        <f t="shared" si="202"/>
        <v/>
      </c>
      <c r="RM36" s="40" t="str">
        <f t="shared" si="203"/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 t="shared" si="204"/>
        <v/>
      </c>
      <c r="SI36" s="11" t="str">
        <f t="shared" si="205"/>
        <v/>
      </c>
      <c r="SJ36" s="11" t="str">
        <f t="shared" si="206"/>
        <v/>
      </c>
      <c r="SK36" s="11" t="str">
        <f t="shared" si="207"/>
        <v/>
      </c>
      <c r="SL36" s="11" t="str">
        <f t="shared" si="208"/>
        <v/>
      </c>
      <c r="SM36" s="11" t="str">
        <f t="shared" si="209"/>
        <v/>
      </c>
      <c r="SN36" s="11" t="str">
        <f t="shared" si="210"/>
        <v/>
      </c>
      <c r="SO36" s="11" t="str">
        <f t="shared" si="211"/>
        <v/>
      </c>
      <c r="SP36" s="11" t="str">
        <f t="shared" si="212"/>
        <v/>
      </c>
      <c r="SQ36" s="11" t="str">
        <f t="shared" si="213"/>
        <v/>
      </c>
      <c r="SR36" s="11" t="str">
        <f t="shared" si="214"/>
        <v/>
      </c>
      <c r="SS36" s="11" t="str">
        <f t="shared" si="215"/>
        <v/>
      </c>
      <c r="ST36" s="11" t="str">
        <f t="shared" si="216"/>
        <v/>
      </c>
      <c r="SU36" s="11" t="str">
        <f t="shared" si="217"/>
        <v/>
      </c>
      <c r="SV36" s="22">
        <f t="shared" si="218"/>
        <v>2.4</v>
      </c>
      <c r="SW36" s="22">
        <f t="shared" si="219"/>
        <v>1.25</v>
      </c>
      <c r="SX36" s="22">
        <f t="shared" si="220"/>
        <v>1.55</v>
      </c>
      <c r="SY36" s="22">
        <f t="shared" si="221"/>
        <v>7.38</v>
      </c>
      <c r="SZ36" s="22">
        <f t="shared" si="222"/>
        <v>0</v>
      </c>
      <c r="TA36" s="22">
        <f t="shared" si="223"/>
        <v>6.95</v>
      </c>
      <c r="TB36" s="22">
        <f t="shared" si="224"/>
        <v>4.55</v>
      </c>
      <c r="TC36" s="22">
        <f t="shared" si="225"/>
        <v>3.35</v>
      </c>
      <c r="TD36" s="22">
        <f t="shared" si="226"/>
        <v>7.3049999999999997</v>
      </c>
      <c r="TE36" s="22">
        <f t="shared" si="227"/>
        <v>1.2</v>
      </c>
      <c r="TF36" s="22">
        <f t="shared" si="228"/>
        <v>0</v>
      </c>
      <c r="TG36" s="22">
        <f t="shared" si="229"/>
        <v>0</v>
      </c>
      <c r="TH36" s="22">
        <f t="shared" si="230"/>
        <v>0</v>
      </c>
      <c r="TI36" s="22">
        <f t="shared" si="231"/>
        <v>0</v>
      </c>
      <c r="TJ36" s="22">
        <f t="shared" si="232"/>
        <v>0</v>
      </c>
      <c r="TK36" s="27" t="s">
        <v>46</v>
      </c>
      <c r="TL36" s="40">
        <f t="shared" si="233"/>
        <v>1.55</v>
      </c>
      <c r="TM36" s="40">
        <f t="shared" si="234"/>
        <v>7.38</v>
      </c>
      <c r="TN36" s="40">
        <f t="shared" si="235"/>
        <v>12.58</v>
      </c>
      <c r="TO36" s="40">
        <f t="shared" si="236"/>
        <v>3.35</v>
      </c>
      <c r="TP36" s="40">
        <f t="shared" si="237"/>
        <v>7.3049999999999997</v>
      </c>
      <c r="TQ36" s="40">
        <f t="shared" si="238"/>
        <v>20.955000000000002</v>
      </c>
      <c r="TR36" s="40">
        <f t="shared" si="239"/>
        <v>20.955000000000002</v>
      </c>
      <c r="TS36" s="40" t="str">
        <f t="shared" si="240"/>
        <v/>
      </c>
      <c r="TT36" s="40" t="str">
        <f t="shared" si="241"/>
        <v/>
      </c>
      <c r="TU36" s="40" t="str">
        <f t="shared" si="242"/>
        <v/>
      </c>
      <c r="TV36" s="40">
        <f t="shared" si="243"/>
        <v>20.955000000000002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207</v>
      </c>
      <c r="D37" s="4" t="s">
        <v>4</v>
      </c>
      <c r="E37" s="4">
        <v>2007</v>
      </c>
      <c r="F37" s="9">
        <f t="shared" si="0"/>
        <v>68.770006877004661</v>
      </c>
      <c r="G37" s="66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IF(COUNT(AQ37,AT37,BR37,BU37,CS37,CV37)&gt;0,LARGE((AQ37,AT37,BR37,BU37,CS37,CV37),1),0)</f>
        <v>46.67</v>
      </c>
      <c r="M37" s="8" t="str">
        <f t="shared" si="5"/>
        <v>2024 Elite Canada</v>
      </c>
      <c r="N37" s="8">
        <f>IF(COUNT(AQ37,AT37,BR37,BU37,CS37,CV37)&gt;1,LARGE((AQ37,AT37,BR37,BU37,CS37,CV37),2),0)</f>
        <v>10.5</v>
      </c>
      <c r="O37" s="8" t="str">
        <f t="shared" si="6"/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 t="shared" si="7"/>
        <v/>
      </c>
      <c r="R37" s="8">
        <f t="shared" si="8"/>
        <v>11.6</v>
      </c>
      <c r="S37" s="8" t="str">
        <f t="shared" si="9"/>
        <v>2024 Elite Canada</v>
      </c>
      <c r="T37" s="8">
        <f t="shared" si="10"/>
        <v>0</v>
      </c>
      <c r="U37" s="8" t="str">
        <f t="shared" si="11"/>
        <v/>
      </c>
      <c r="V37" s="8" t="str">
        <f t="shared" si="12"/>
        <v/>
      </c>
      <c r="W37" s="11" t="str">
        <f t="shared" si="13"/>
        <v/>
      </c>
      <c r="X37" s="8" t="str">
        <f t="shared" si="14"/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 t="shared" si="15"/>
        <v/>
      </c>
      <c r="AP37" s="38" t="str">
        <f t="shared" si="16"/>
        <v/>
      </c>
      <c r="AQ37" s="40" t="str">
        <f t="shared" si="17"/>
        <v/>
      </c>
      <c r="AR37" s="40" t="str">
        <f t="shared" si="18"/>
        <v/>
      </c>
      <c r="AS37" s="40" t="str">
        <f t="shared" si="19"/>
        <v/>
      </c>
      <c r="AT37" s="40" t="str">
        <f t="shared" si="20"/>
        <v/>
      </c>
      <c r="AU37" s="40" t="str">
        <f t="shared" si="21"/>
        <v/>
      </c>
      <c r="AV37" s="40" t="str">
        <f t="shared" si="22"/>
        <v/>
      </c>
      <c r="AW37" s="40" t="str">
        <f t="shared" si="23"/>
        <v/>
      </c>
      <c r="AX37" s="40" t="str">
        <f t="shared" si="24"/>
        <v/>
      </c>
      <c r="AY37" s="40" t="str">
        <f t="shared" si="25"/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 t="shared" si="26"/>
        <v/>
      </c>
      <c r="BQ37" s="39" t="str">
        <f t="shared" si="27"/>
        <v/>
      </c>
      <c r="BR37" s="11" t="str">
        <f t="shared" si="28"/>
        <v/>
      </c>
      <c r="BS37" s="11" t="str">
        <f t="shared" si="29"/>
        <v/>
      </c>
      <c r="BT37" s="11" t="str">
        <f t="shared" si="30"/>
        <v/>
      </c>
      <c r="BU37" s="11" t="str">
        <f t="shared" si="31"/>
        <v/>
      </c>
      <c r="BV37" s="11" t="str">
        <f t="shared" si="32"/>
        <v/>
      </c>
      <c r="BW37" s="11" t="str">
        <f t="shared" si="33"/>
        <v/>
      </c>
      <c r="BX37" s="11" t="str">
        <f t="shared" si="34"/>
        <v/>
      </c>
      <c r="BY37" s="11" t="str">
        <f t="shared" si="35"/>
        <v/>
      </c>
      <c r="BZ37" s="11" t="str">
        <f t="shared" si="36"/>
        <v/>
      </c>
      <c r="CA37" s="22">
        <v>12.6</v>
      </c>
      <c r="CB37" s="22">
        <v>9</v>
      </c>
      <c r="CC37" s="22">
        <v>11.6</v>
      </c>
      <c r="CD37" s="22">
        <v>13.47</v>
      </c>
      <c r="CE37" s="22">
        <v>0</v>
      </c>
      <c r="CF37" s="22">
        <v>2.9</v>
      </c>
      <c r="CG37" s="22">
        <v>1.9</v>
      </c>
      <c r="CH37" s="22">
        <v>2.7</v>
      </c>
      <c r="CI37" s="22">
        <v>3</v>
      </c>
      <c r="CJ37" s="22">
        <v>0</v>
      </c>
      <c r="CK37" s="22"/>
      <c r="CL37" s="22"/>
      <c r="CM37" s="22"/>
      <c r="CN37" s="22"/>
      <c r="CO37" s="22"/>
      <c r="CP37" s="27"/>
      <c r="CQ37" s="38">
        <f t="shared" si="37"/>
        <v>11.6</v>
      </c>
      <c r="CR37" s="38">
        <f t="shared" si="38"/>
        <v>13.47</v>
      </c>
      <c r="CS37" s="40">
        <f t="shared" si="39"/>
        <v>46.67</v>
      </c>
      <c r="CT37" s="40">
        <f t="shared" si="40"/>
        <v>2.7</v>
      </c>
      <c r="CU37" s="40">
        <f t="shared" si="41"/>
        <v>3</v>
      </c>
      <c r="CV37" s="40">
        <f t="shared" si="42"/>
        <v>10.5</v>
      </c>
      <c r="CW37" s="40">
        <f t="shared" si="43"/>
        <v>46.67</v>
      </c>
      <c r="CX37" s="40" t="str">
        <f t="shared" si="44"/>
        <v/>
      </c>
      <c r="CY37" s="40" t="str">
        <f t="shared" si="45"/>
        <v/>
      </c>
      <c r="CZ37" s="40" t="str">
        <f t="shared" si="46"/>
        <v/>
      </c>
      <c r="DA37" s="40">
        <f t="shared" si="47"/>
        <v>46.67</v>
      </c>
      <c r="DB37" s="50" t="str">
        <f t="shared" si="48"/>
        <v/>
      </c>
      <c r="DC37" s="50" t="str">
        <f t="shared" si="49"/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 t="shared" si="50"/>
        <v/>
      </c>
      <c r="DY37" s="40" t="str">
        <f t="shared" si="51"/>
        <v/>
      </c>
      <c r="DZ37" s="40" t="str">
        <f t="shared" si="52"/>
        <v/>
      </c>
      <c r="EA37" s="40" t="str">
        <f t="shared" si="53"/>
        <v/>
      </c>
      <c r="EB37" s="40" t="str">
        <f t="shared" si="54"/>
        <v/>
      </c>
      <c r="EC37" s="40" t="str">
        <f t="shared" si="55"/>
        <v/>
      </c>
      <c r="ED37" s="40" t="str">
        <f t="shared" si="56"/>
        <v/>
      </c>
      <c r="EE37" s="40" t="str">
        <f t="shared" si="57"/>
        <v/>
      </c>
      <c r="EF37" s="40" t="str">
        <f t="shared" si="58"/>
        <v/>
      </c>
      <c r="EG37" s="40" t="str">
        <f t="shared" si="59"/>
        <v/>
      </c>
      <c r="EH37" s="40" t="str">
        <f t="shared" si="60"/>
        <v/>
      </c>
      <c r="EI37" s="40" t="str">
        <f t="shared" si="61"/>
        <v/>
      </c>
      <c r="EJ37" s="40" t="str">
        <f t="shared" si="62"/>
        <v/>
      </c>
      <c r="EK37" s="40" t="str">
        <f t="shared" si="63"/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 t="shared" si="64"/>
        <v/>
      </c>
      <c r="FG37" s="11" t="str">
        <f t="shared" si="65"/>
        <v/>
      </c>
      <c r="FH37" s="11" t="str">
        <f t="shared" si="66"/>
        <v/>
      </c>
      <c r="FI37" s="11" t="str">
        <f t="shared" si="67"/>
        <v/>
      </c>
      <c r="FJ37" s="11" t="str">
        <f t="shared" si="68"/>
        <v/>
      </c>
      <c r="FK37" s="11" t="str">
        <f t="shared" si="69"/>
        <v/>
      </c>
      <c r="FL37" s="11" t="str">
        <f t="shared" si="70"/>
        <v/>
      </c>
      <c r="FM37" s="11" t="str">
        <f t="shared" si="71"/>
        <v/>
      </c>
      <c r="FN37" s="11" t="str">
        <f t="shared" si="72"/>
        <v/>
      </c>
      <c r="FO37" s="11" t="str">
        <f t="shared" si="73"/>
        <v/>
      </c>
      <c r="FP37" s="11" t="str">
        <f t="shared" si="74"/>
        <v/>
      </c>
      <c r="FQ37" s="11" t="str">
        <f t="shared" si="75"/>
        <v/>
      </c>
      <c r="FR37" s="11" t="str">
        <f t="shared" si="76"/>
        <v/>
      </c>
      <c r="FS37" s="11" t="str">
        <f t="shared" si="77"/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 t="shared" si="78"/>
        <v/>
      </c>
      <c r="GO37" s="40" t="str">
        <f t="shared" si="79"/>
        <v/>
      </c>
      <c r="GP37" s="40" t="str">
        <f t="shared" si="80"/>
        <v/>
      </c>
      <c r="GQ37" s="40" t="str">
        <f t="shared" si="81"/>
        <v/>
      </c>
      <c r="GR37" s="40" t="str">
        <f t="shared" si="82"/>
        <v/>
      </c>
      <c r="GS37" s="40" t="str">
        <f t="shared" si="83"/>
        <v/>
      </c>
      <c r="GT37" s="40" t="str">
        <f t="shared" si="84"/>
        <v/>
      </c>
      <c r="GU37" s="40" t="str">
        <f t="shared" si="85"/>
        <v/>
      </c>
      <c r="GV37" s="40" t="str">
        <f t="shared" si="86"/>
        <v/>
      </c>
      <c r="GW37" s="40" t="str">
        <f t="shared" si="87"/>
        <v/>
      </c>
      <c r="GX37" s="40" t="str">
        <f t="shared" si="88"/>
        <v/>
      </c>
      <c r="GY37" s="40" t="str">
        <f t="shared" si="89"/>
        <v/>
      </c>
      <c r="GZ37" s="40" t="str">
        <f t="shared" si="90"/>
        <v/>
      </c>
      <c r="HA37" s="40" t="str">
        <f t="shared" si="91"/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 t="shared" si="92"/>
        <v/>
      </c>
      <c r="HW37" s="11" t="str">
        <f t="shared" si="93"/>
        <v/>
      </c>
      <c r="HX37" s="11" t="str">
        <f t="shared" si="94"/>
        <v/>
      </c>
      <c r="HY37" s="11" t="str">
        <f t="shared" si="95"/>
        <v/>
      </c>
      <c r="HZ37" s="11" t="str">
        <f t="shared" si="96"/>
        <v/>
      </c>
      <c r="IA37" s="11" t="str">
        <f t="shared" si="97"/>
        <v/>
      </c>
      <c r="IB37" s="11" t="str">
        <f t="shared" si="98"/>
        <v/>
      </c>
      <c r="IC37" s="11" t="str">
        <f t="shared" si="99"/>
        <v/>
      </c>
      <c r="ID37" s="11" t="str">
        <f t="shared" si="100"/>
        <v/>
      </c>
      <c r="IE37" s="11" t="str">
        <f t="shared" si="101"/>
        <v/>
      </c>
      <c r="IF37" s="11" t="str">
        <f t="shared" si="102"/>
        <v/>
      </c>
      <c r="IG37" s="11" t="str">
        <f t="shared" si="103"/>
        <v/>
      </c>
      <c r="IH37" s="11" t="str">
        <f t="shared" si="104"/>
        <v/>
      </c>
      <c r="II37" s="11" t="str">
        <f t="shared" si="105"/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 t="shared" si="106"/>
        <v/>
      </c>
      <c r="JE37" s="40" t="str">
        <f t="shared" si="107"/>
        <v/>
      </c>
      <c r="JF37" s="40" t="str">
        <f t="shared" si="108"/>
        <v/>
      </c>
      <c r="JG37" s="40" t="str">
        <f t="shared" si="109"/>
        <v/>
      </c>
      <c r="JH37" s="40" t="str">
        <f t="shared" si="110"/>
        <v/>
      </c>
      <c r="JI37" s="40" t="str">
        <f t="shared" si="111"/>
        <v/>
      </c>
      <c r="JJ37" s="40" t="str">
        <f t="shared" si="112"/>
        <v/>
      </c>
      <c r="JK37" s="40" t="str">
        <f t="shared" si="113"/>
        <v/>
      </c>
      <c r="JL37" s="40" t="str">
        <f t="shared" si="114"/>
        <v/>
      </c>
      <c r="JM37" s="40" t="str">
        <f t="shared" si="115"/>
        <v/>
      </c>
      <c r="JN37" s="40" t="str">
        <f t="shared" si="116"/>
        <v/>
      </c>
      <c r="JO37" s="40" t="str">
        <f t="shared" si="117"/>
        <v/>
      </c>
      <c r="JP37" s="40" t="str">
        <f t="shared" si="118"/>
        <v/>
      </c>
      <c r="JQ37" s="40" t="str">
        <f t="shared" si="119"/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 t="shared" si="120"/>
        <v/>
      </c>
      <c r="KM37" s="11" t="str">
        <f t="shared" si="121"/>
        <v/>
      </c>
      <c r="KN37" s="11" t="str">
        <f t="shared" si="122"/>
        <v/>
      </c>
      <c r="KO37" s="11" t="str">
        <f t="shared" si="123"/>
        <v/>
      </c>
      <c r="KP37" s="11" t="str">
        <f t="shared" si="124"/>
        <v/>
      </c>
      <c r="KQ37" s="11" t="str">
        <f t="shared" si="125"/>
        <v/>
      </c>
      <c r="KR37" s="11" t="str">
        <f t="shared" si="126"/>
        <v/>
      </c>
      <c r="KS37" s="11" t="str">
        <f t="shared" si="127"/>
        <v/>
      </c>
      <c r="KT37" s="11" t="str">
        <f t="shared" si="128"/>
        <v/>
      </c>
      <c r="KU37" s="11" t="str">
        <f t="shared" si="129"/>
        <v/>
      </c>
      <c r="KV37" s="11" t="str">
        <f t="shared" si="130"/>
        <v/>
      </c>
      <c r="KW37" s="11" t="str">
        <f t="shared" si="131"/>
        <v/>
      </c>
      <c r="KX37" s="11" t="str">
        <f t="shared" si="132"/>
        <v/>
      </c>
      <c r="KY37" s="11" t="str">
        <f t="shared" si="133"/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 t="shared" si="134"/>
        <v/>
      </c>
      <c r="LU37" s="40" t="str">
        <f t="shared" si="135"/>
        <v/>
      </c>
      <c r="LV37" s="40" t="str">
        <f t="shared" si="136"/>
        <v/>
      </c>
      <c r="LW37" s="40" t="str">
        <f t="shared" si="137"/>
        <v/>
      </c>
      <c r="LX37" s="40" t="str">
        <f t="shared" si="138"/>
        <v/>
      </c>
      <c r="LY37" s="40" t="str">
        <f t="shared" si="139"/>
        <v/>
      </c>
      <c r="LZ37" s="40" t="str">
        <f t="shared" si="140"/>
        <v/>
      </c>
      <c r="MA37" s="40" t="str">
        <f t="shared" si="141"/>
        <v/>
      </c>
      <c r="MB37" s="40" t="str">
        <f t="shared" si="142"/>
        <v/>
      </c>
      <c r="MC37" s="40" t="str">
        <f t="shared" si="143"/>
        <v/>
      </c>
      <c r="MD37" s="40" t="str">
        <f t="shared" si="144"/>
        <v/>
      </c>
      <c r="ME37" s="40" t="str">
        <f t="shared" si="145"/>
        <v/>
      </c>
      <c r="MF37" s="40" t="str">
        <f t="shared" si="146"/>
        <v/>
      </c>
      <c r="MG37" s="40" t="str">
        <f t="shared" si="147"/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 t="shared" si="148"/>
        <v/>
      </c>
      <c r="NC37" s="11" t="str">
        <f t="shared" si="149"/>
        <v/>
      </c>
      <c r="ND37" s="11" t="str">
        <f t="shared" si="150"/>
        <v/>
      </c>
      <c r="NE37" s="11" t="str">
        <f t="shared" si="151"/>
        <v/>
      </c>
      <c r="NF37" s="11" t="str">
        <f t="shared" si="152"/>
        <v/>
      </c>
      <c r="NG37" s="11" t="str">
        <f t="shared" si="153"/>
        <v/>
      </c>
      <c r="NH37" s="11" t="str">
        <f t="shared" si="154"/>
        <v/>
      </c>
      <c r="NI37" s="11" t="str">
        <f t="shared" si="155"/>
        <v/>
      </c>
      <c r="NJ37" s="11" t="str">
        <f t="shared" si="156"/>
        <v/>
      </c>
      <c r="NK37" s="11" t="str">
        <f t="shared" si="157"/>
        <v/>
      </c>
      <c r="NL37" s="11" t="str">
        <f t="shared" si="158"/>
        <v/>
      </c>
      <c r="NM37" s="11" t="str">
        <f t="shared" si="159"/>
        <v/>
      </c>
      <c r="NN37" s="11" t="str">
        <f t="shared" si="160"/>
        <v/>
      </c>
      <c r="NO37" s="11" t="str">
        <f t="shared" si="161"/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 t="shared" si="162"/>
        <v/>
      </c>
      <c r="OK37" s="40" t="str">
        <f t="shared" si="163"/>
        <v/>
      </c>
      <c r="OL37" s="40" t="str">
        <f t="shared" si="164"/>
        <v/>
      </c>
      <c r="OM37" s="40" t="str">
        <f t="shared" si="165"/>
        <v/>
      </c>
      <c r="ON37" s="40" t="str">
        <f t="shared" si="166"/>
        <v/>
      </c>
      <c r="OO37" s="40" t="str">
        <f t="shared" si="167"/>
        <v/>
      </c>
      <c r="OP37" s="40" t="str">
        <f t="shared" si="168"/>
        <v/>
      </c>
      <c r="OQ37" s="40" t="str">
        <f t="shared" si="169"/>
        <v/>
      </c>
      <c r="OR37" s="40" t="str">
        <f t="shared" si="170"/>
        <v/>
      </c>
      <c r="OS37" s="40" t="str">
        <f t="shared" si="171"/>
        <v/>
      </c>
      <c r="OT37" s="40" t="str">
        <f t="shared" si="172"/>
        <v/>
      </c>
      <c r="OU37" s="40" t="str">
        <f t="shared" si="173"/>
        <v/>
      </c>
      <c r="OV37" s="40" t="str">
        <f t="shared" si="174"/>
        <v/>
      </c>
      <c r="OW37" s="40" t="str">
        <f t="shared" si="175"/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 t="shared" si="176"/>
        <v/>
      </c>
      <c r="PS37" s="11" t="str">
        <f t="shared" si="177"/>
        <v/>
      </c>
      <c r="PT37" s="11" t="str">
        <f t="shared" si="178"/>
        <v/>
      </c>
      <c r="PU37" s="11" t="str">
        <f t="shared" si="179"/>
        <v/>
      </c>
      <c r="PV37" s="11" t="str">
        <f t="shared" si="180"/>
        <v/>
      </c>
      <c r="PW37" s="11" t="str">
        <f t="shared" si="181"/>
        <v/>
      </c>
      <c r="PX37" s="11" t="str">
        <f t="shared" si="182"/>
        <v/>
      </c>
      <c r="PY37" s="11" t="str">
        <f t="shared" si="183"/>
        <v/>
      </c>
      <c r="PZ37" s="11" t="str">
        <f t="shared" si="184"/>
        <v/>
      </c>
      <c r="QA37" s="11" t="str">
        <f t="shared" si="185"/>
        <v/>
      </c>
      <c r="QB37" s="11" t="str">
        <f t="shared" si="186"/>
        <v/>
      </c>
      <c r="QC37" s="11" t="str">
        <f t="shared" si="187"/>
        <v/>
      </c>
      <c r="QD37" s="11" t="str">
        <f t="shared" si="188"/>
        <v/>
      </c>
      <c r="QE37" s="11" t="str">
        <f t="shared" si="189"/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 t="shared" si="190"/>
        <v/>
      </c>
      <c r="RA37" s="40" t="str">
        <f t="shared" si="191"/>
        <v/>
      </c>
      <c r="RB37" s="40" t="str">
        <f t="shared" si="192"/>
        <v/>
      </c>
      <c r="RC37" s="40" t="str">
        <f t="shared" si="193"/>
        <v/>
      </c>
      <c r="RD37" s="40" t="str">
        <f t="shared" si="194"/>
        <v/>
      </c>
      <c r="RE37" s="40" t="str">
        <f t="shared" si="195"/>
        <v/>
      </c>
      <c r="RF37" s="40" t="str">
        <f t="shared" si="196"/>
        <v/>
      </c>
      <c r="RG37" s="40" t="str">
        <f t="shared" si="197"/>
        <v/>
      </c>
      <c r="RH37" s="40" t="str">
        <f t="shared" si="198"/>
        <v/>
      </c>
      <c r="RI37" s="40" t="str">
        <f t="shared" si="199"/>
        <v/>
      </c>
      <c r="RJ37" s="40" t="str">
        <f t="shared" si="200"/>
        <v/>
      </c>
      <c r="RK37" s="40" t="str">
        <f t="shared" si="201"/>
        <v/>
      </c>
      <c r="RL37" s="40" t="str">
        <f t="shared" si="202"/>
        <v/>
      </c>
      <c r="RM37" s="40" t="str">
        <f t="shared" si="203"/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 t="shared" si="204"/>
        <v/>
      </c>
      <c r="SI37" s="11" t="str">
        <f t="shared" si="205"/>
        <v/>
      </c>
      <c r="SJ37" s="11" t="str">
        <f t="shared" si="206"/>
        <v/>
      </c>
      <c r="SK37" s="11" t="str">
        <f t="shared" si="207"/>
        <v/>
      </c>
      <c r="SL37" s="11" t="str">
        <f t="shared" si="208"/>
        <v/>
      </c>
      <c r="SM37" s="11" t="str">
        <f t="shared" si="209"/>
        <v/>
      </c>
      <c r="SN37" s="11" t="str">
        <f t="shared" si="210"/>
        <v/>
      </c>
      <c r="SO37" s="11" t="str">
        <f t="shared" si="211"/>
        <v/>
      </c>
      <c r="SP37" s="11" t="str">
        <f t="shared" si="212"/>
        <v/>
      </c>
      <c r="SQ37" s="11" t="str">
        <f t="shared" si="213"/>
        <v/>
      </c>
      <c r="SR37" s="11" t="str">
        <f t="shared" si="214"/>
        <v/>
      </c>
      <c r="SS37" s="11" t="str">
        <f t="shared" si="215"/>
        <v/>
      </c>
      <c r="ST37" s="11" t="str">
        <f t="shared" si="216"/>
        <v/>
      </c>
      <c r="SU37" s="11" t="str">
        <f t="shared" si="217"/>
        <v/>
      </c>
      <c r="SV37" s="22">
        <f t="shared" si="218"/>
        <v>6.3</v>
      </c>
      <c r="SW37" s="22">
        <f t="shared" si="219"/>
        <v>4.5</v>
      </c>
      <c r="SX37" s="22">
        <f t="shared" si="220"/>
        <v>5.8</v>
      </c>
      <c r="SY37" s="22">
        <f t="shared" si="221"/>
        <v>6.7350000000000003</v>
      </c>
      <c r="SZ37" s="22">
        <f t="shared" si="222"/>
        <v>0</v>
      </c>
      <c r="TA37" s="22">
        <f t="shared" si="223"/>
        <v>1.45</v>
      </c>
      <c r="TB37" s="22">
        <f t="shared" si="224"/>
        <v>0.95</v>
      </c>
      <c r="TC37" s="22">
        <f t="shared" si="225"/>
        <v>1.35</v>
      </c>
      <c r="TD37" s="22">
        <f t="shared" si="226"/>
        <v>1.5</v>
      </c>
      <c r="TE37" s="22">
        <f t="shared" si="227"/>
        <v>0</v>
      </c>
      <c r="TF37" s="22">
        <f t="shared" si="228"/>
        <v>0</v>
      </c>
      <c r="TG37" s="22">
        <f t="shared" si="229"/>
        <v>0</v>
      </c>
      <c r="TH37" s="22">
        <f t="shared" si="230"/>
        <v>0</v>
      </c>
      <c r="TI37" s="22">
        <f t="shared" si="231"/>
        <v>0</v>
      </c>
      <c r="TJ37" s="22">
        <f t="shared" si="232"/>
        <v>0</v>
      </c>
      <c r="TK37" s="27" t="s">
        <v>46</v>
      </c>
      <c r="TL37" s="40">
        <f t="shared" si="233"/>
        <v>5.8</v>
      </c>
      <c r="TM37" s="40">
        <f t="shared" si="234"/>
        <v>6.7350000000000003</v>
      </c>
      <c r="TN37" s="40">
        <f t="shared" si="235"/>
        <v>23.335000000000001</v>
      </c>
      <c r="TO37" s="40">
        <f t="shared" si="236"/>
        <v>1.35</v>
      </c>
      <c r="TP37" s="40">
        <f t="shared" si="237"/>
        <v>1.5</v>
      </c>
      <c r="TQ37" s="40">
        <f t="shared" si="238"/>
        <v>5.25</v>
      </c>
      <c r="TR37" s="40">
        <f t="shared" si="239"/>
        <v>23.335000000000001</v>
      </c>
      <c r="TS37" s="40" t="str">
        <f t="shared" si="240"/>
        <v/>
      </c>
      <c r="TT37" s="40" t="str">
        <f t="shared" si="241"/>
        <v/>
      </c>
      <c r="TU37" s="40" t="str">
        <f t="shared" si="242"/>
        <v/>
      </c>
      <c r="TV37" s="40">
        <f t="shared" si="243"/>
        <v>23.335000000000001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147</v>
      </c>
      <c r="D38" s="4" t="s">
        <v>3</v>
      </c>
      <c r="E38" s="4">
        <v>2004</v>
      </c>
      <c r="F38" s="9">
        <f t="shared" si="0"/>
        <v>68.40000684000475</v>
      </c>
      <c r="G38" s="66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IF(COUNT(AQ38,AT38,BR38,BU38,CS38,CV38)&gt;0,LARGE((AQ38,AT38,BR38,BU38,CS38,CV38),1),0)</f>
        <v>47.510000000000005</v>
      </c>
      <c r="M38" s="8" t="str">
        <f t="shared" si="5"/>
        <v>2023 Nationals</v>
      </c>
      <c r="N38" s="8">
        <f>IF(COUNT(AQ38,AT38,BR38,BU38,CS38,CV38)&gt;1,LARGE((AQ38,AT38,BR38,BU38,CS38,CV38),2),0)</f>
        <v>9.7899999999999991</v>
      </c>
      <c r="O38" s="8" t="str">
        <f t="shared" si="6"/>
        <v>2023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 t="shared" si="7"/>
        <v/>
      </c>
      <c r="R38" s="8">
        <f t="shared" si="8"/>
        <v>11.1</v>
      </c>
      <c r="S38" s="8" t="str">
        <f t="shared" si="9"/>
        <v>2023 Nationals</v>
      </c>
      <c r="T38" s="8">
        <f t="shared" si="10"/>
        <v>0</v>
      </c>
      <c r="U38" s="8" t="str">
        <f t="shared" si="11"/>
        <v/>
      </c>
      <c r="V38" s="8" t="str">
        <f t="shared" si="12"/>
        <v/>
      </c>
      <c r="W38" s="11" t="str">
        <f t="shared" si="13"/>
        <v/>
      </c>
      <c r="X38" s="8" t="str">
        <f t="shared" si="14"/>
        <v/>
      </c>
      <c r="Y38" s="22">
        <v>13.7</v>
      </c>
      <c r="Z38" s="22">
        <v>9.4</v>
      </c>
      <c r="AA38" s="22">
        <v>11.1</v>
      </c>
      <c r="AB38" s="22">
        <v>13.31</v>
      </c>
      <c r="AC38" s="22">
        <v>0</v>
      </c>
      <c r="AD38" s="22">
        <v>2.8</v>
      </c>
      <c r="AE38" s="22">
        <v>1.8</v>
      </c>
      <c r="AF38" s="22">
        <v>2</v>
      </c>
      <c r="AG38" s="22">
        <v>3.19</v>
      </c>
      <c r="AH38" s="22">
        <v>0</v>
      </c>
      <c r="AI38" s="22"/>
      <c r="AJ38" s="22"/>
      <c r="AK38" s="22"/>
      <c r="AL38" s="22"/>
      <c r="AM38" s="22"/>
      <c r="AN38" s="27"/>
      <c r="AO38" s="38">
        <f t="shared" si="15"/>
        <v>11.1</v>
      </c>
      <c r="AP38" s="38">
        <f t="shared" si="16"/>
        <v>13.31</v>
      </c>
      <c r="AQ38" s="40">
        <f t="shared" si="17"/>
        <v>47.510000000000005</v>
      </c>
      <c r="AR38" s="40">
        <f t="shared" si="18"/>
        <v>2</v>
      </c>
      <c r="AS38" s="40">
        <f t="shared" si="19"/>
        <v>3.19</v>
      </c>
      <c r="AT38" s="40">
        <f t="shared" si="20"/>
        <v>9.7899999999999991</v>
      </c>
      <c r="AU38" s="40">
        <f t="shared" si="21"/>
        <v>47.510000000000005</v>
      </c>
      <c r="AV38" s="40" t="str">
        <f t="shared" si="22"/>
        <v/>
      </c>
      <c r="AW38" s="40" t="str">
        <f t="shared" si="23"/>
        <v/>
      </c>
      <c r="AX38" s="40" t="str">
        <f t="shared" si="24"/>
        <v/>
      </c>
      <c r="AY38" s="40">
        <f t="shared" si="25"/>
        <v>47.510000000000005</v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 t="shared" si="26"/>
        <v/>
      </c>
      <c r="BQ38" s="39" t="str">
        <f t="shared" si="27"/>
        <v/>
      </c>
      <c r="BR38" s="11" t="str">
        <f t="shared" si="28"/>
        <v/>
      </c>
      <c r="BS38" s="11" t="str">
        <f t="shared" si="29"/>
        <v/>
      </c>
      <c r="BT38" s="11" t="str">
        <f t="shared" si="30"/>
        <v/>
      </c>
      <c r="BU38" s="11" t="str">
        <f t="shared" si="31"/>
        <v/>
      </c>
      <c r="BV38" s="11" t="str">
        <f t="shared" si="32"/>
        <v/>
      </c>
      <c r="BW38" s="11" t="str">
        <f t="shared" si="33"/>
        <v/>
      </c>
      <c r="BX38" s="11" t="str">
        <f t="shared" si="34"/>
        <v/>
      </c>
      <c r="BY38" s="11" t="str">
        <f t="shared" si="35"/>
        <v/>
      </c>
      <c r="BZ38" s="11" t="str">
        <f t="shared" si="36"/>
        <v/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 t="shared" si="37"/>
        <v/>
      </c>
      <c r="CR38" s="38" t="str">
        <f t="shared" si="38"/>
        <v/>
      </c>
      <c r="CS38" s="40" t="str">
        <f t="shared" si="39"/>
        <v/>
      </c>
      <c r="CT38" s="40" t="str">
        <f t="shared" si="40"/>
        <v/>
      </c>
      <c r="CU38" s="40" t="str">
        <f t="shared" si="41"/>
        <v/>
      </c>
      <c r="CV38" s="40" t="str">
        <f t="shared" si="42"/>
        <v/>
      </c>
      <c r="CW38" s="40" t="str">
        <f t="shared" si="43"/>
        <v/>
      </c>
      <c r="CX38" s="40" t="str">
        <f t="shared" si="44"/>
        <v/>
      </c>
      <c r="CY38" s="40" t="str">
        <f t="shared" si="45"/>
        <v/>
      </c>
      <c r="CZ38" s="40" t="str">
        <f t="shared" si="46"/>
        <v/>
      </c>
      <c r="DA38" s="40" t="str">
        <f t="shared" si="47"/>
        <v/>
      </c>
      <c r="DB38" s="50" t="str">
        <f t="shared" si="48"/>
        <v/>
      </c>
      <c r="DC38" s="50" t="str">
        <f t="shared" si="49"/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 t="shared" si="50"/>
        <v/>
      </c>
      <c r="DY38" s="40" t="str">
        <f t="shared" si="51"/>
        <v/>
      </c>
      <c r="DZ38" s="40" t="str">
        <f t="shared" si="52"/>
        <v/>
      </c>
      <c r="EA38" s="40" t="str">
        <f t="shared" si="53"/>
        <v/>
      </c>
      <c r="EB38" s="40" t="str">
        <f t="shared" si="54"/>
        <v/>
      </c>
      <c r="EC38" s="40" t="str">
        <f t="shared" si="55"/>
        <v/>
      </c>
      <c r="ED38" s="40" t="str">
        <f t="shared" si="56"/>
        <v/>
      </c>
      <c r="EE38" s="40" t="str">
        <f t="shared" si="57"/>
        <v/>
      </c>
      <c r="EF38" s="40" t="str">
        <f t="shared" si="58"/>
        <v/>
      </c>
      <c r="EG38" s="40" t="str">
        <f t="shared" si="59"/>
        <v/>
      </c>
      <c r="EH38" s="40" t="str">
        <f t="shared" si="60"/>
        <v/>
      </c>
      <c r="EI38" s="40" t="str">
        <f t="shared" si="61"/>
        <v/>
      </c>
      <c r="EJ38" s="40" t="str">
        <f t="shared" si="62"/>
        <v/>
      </c>
      <c r="EK38" s="40" t="str">
        <f t="shared" si="63"/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 t="shared" si="64"/>
        <v/>
      </c>
      <c r="FG38" s="11" t="str">
        <f t="shared" si="65"/>
        <v/>
      </c>
      <c r="FH38" s="11" t="str">
        <f t="shared" si="66"/>
        <v/>
      </c>
      <c r="FI38" s="11" t="str">
        <f t="shared" si="67"/>
        <v/>
      </c>
      <c r="FJ38" s="11" t="str">
        <f t="shared" si="68"/>
        <v/>
      </c>
      <c r="FK38" s="11" t="str">
        <f t="shared" si="69"/>
        <v/>
      </c>
      <c r="FL38" s="11" t="str">
        <f t="shared" si="70"/>
        <v/>
      </c>
      <c r="FM38" s="11" t="str">
        <f t="shared" si="71"/>
        <v/>
      </c>
      <c r="FN38" s="11" t="str">
        <f t="shared" si="72"/>
        <v/>
      </c>
      <c r="FO38" s="11" t="str">
        <f t="shared" si="73"/>
        <v/>
      </c>
      <c r="FP38" s="11" t="str">
        <f t="shared" si="74"/>
        <v/>
      </c>
      <c r="FQ38" s="11" t="str">
        <f t="shared" si="75"/>
        <v/>
      </c>
      <c r="FR38" s="11" t="str">
        <f t="shared" si="76"/>
        <v/>
      </c>
      <c r="FS38" s="11" t="str">
        <f t="shared" si="77"/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 t="shared" si="78"/>
        <v/>
      </c>
      <c r="GO38" s="40" t="str">
        <f t="shared" si="79"/>
        <v/>
      </c>
      <c r="GP38" s="40" t="str">
        <f t="shared" si="80"/>
        <v/>
      </c>
      <c r="GQ38" s="40" t="str">
        <f t="shared" si="81"/>
        <v/>
      </c>
      <c r="GR38" s="40" t="str">
        <f t="shared" si="82"/>
        <v/>
      </c>
      <c r="GS38" s="40" t="str">
        <f t="shared" si="83"/>
        <v/>
      </c>
      <c r="GT38" s="40" t="str">
        <f t="shared" si="84"/>
        <v/>
      </c>
      <c r="GU38" s="40" t="str">
        <f t="shared" si="85"/>
        <v/>
      </c>
      <c r="GV38" s="40" t="str">
        <f t="shared" si="86"/>
        <v/>
      </c>
      <c r="GW38" s="40" t="str">
        <f t="shared" si="87"/>
        <v/>
      </c>
      <c r="GX38" s="40" t="str">
        <f t="shared" si="88"/>
        <v/>
      </c>
      <c r="GY38" s="40" t="str">
        <f t="shared" si="89"/>
        <v/>
      </c>
      <c r="GZ38" s="40" t="str">
        <f t="shared" si="90"/>
        <v/>
      </c>
      <c r="HA38" s="40" t="str">
        <f t="shared" si="91"/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 t="shared" si="92"/>
        <v/>
      </c>
      <c r="HW38" s="11" t="str">
        <f t="shared" si="93"/>
        <v/>
      </c>
      <c r="HX38" s="11" t="str">
        <f t="shared" si="94"/>
        <v/>
      </c>
      <c r="HY38" s="11" t="str">
        <f t="shared" si="95"/>
        <v/>
      </c>
      <c r="HZ38" s="11" t="str">
        <f t="shared" si="96"/>
        <v/>
      </c>
      <c r="IA38" s="11" t="str">
        <f t="shared" si="97"/>
        <v/>
      </c>
      <c r="IB38" s="11" t="str">
        <f t="shared" si="98"/>
        <v/>
      </c>
      <c r="IC38" s="11" t="str">
        <f t="shared" si="99"/>
        <v/>
      </c>
      <c r="ID38" s="11" t="str">
        <f t="shared" si="100"/>
        <v/>
      </c>
      <c r="IE38" s="11" t="str">
        <f t="shared" si="101"/>
        <v/>
      </c>
      <c r="IF38" s="11" t="str">
        <f t="shared" si="102"/>
        <v/>
      </c>
      <c r="IG38" s="11" t="str">
        <f t="shared" si="103"/>
        <v/>
      </c>
      <c r="IH38" s="11" t="str">
        <f t="shared" si="104"/>
        <v/>
      </c>
      <c r="II38" s="11" t="str">
        <f t="shared" si="105"/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 t="shared" si="106"/>
        <v/>
      </c>
      <c r="JE38" s="40" t="str">
        <f t="shared" si="107"/>
        <v/>
      </c>
      <c r="JF38" s="40" t="str">
        <f t="shared" si="108"/>
        <v/>
      </c>
      <c r="JG38" s="40" t="str">
        <f t="shared" si="109"/>
        <v/>
      </c>
      <c r="JH38" s="40" t="str">
        <f t="shared" si="110"/>
        <v/>
      </c>
      <c r="JI38" s="40" t="str">
        <f t="shared" si="111"/>
        <v/>
      </c>
      <c r="JJ38" s="40" t="str">
        <f t="shared" si="112"/>
        <v/>
      </c>
      <c r="JK38" s="40" t="str">
        <f t="shared" si="113"/>
        <v/>
      </c>
      <c r="JL38" s="40" t="str">
        <f t="shared" si="114"/>
        <v/>
      </c>
      <c r="JM38" s="40" t="str">
        <f t="shared" si="115"/>
        <v/>
      </c>
      <c r="JN38" s="40" t="str">
        <f t="shared" si="116"/>
        <v/>
      </c>
      <c r="JO38" s="40" t="str">
        <f t="shared" si="117"/>
        <v/>
      </c>
      <c r="JP38" s="40" t="str">
        <f t="shared" si="118"/>
        <v/>
      </c>
      <c r="JQ38" s="40" t="str">
        <f t="shared" si="119"/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 t="shared" si="120"/>
        <v/>
      </c>
      <c r="KM38" s="11" t="str">
        <f t="shared" si="121"/>
        <v/>
      </c>
      <c r="KN38" s="11" t="str">
        <f t="shared" si="122"/>
        <v/>
      </c>
      <c r="KO38" s="11" t="str">
        <f t="shared" si="123"/>
        <v/>
      </c>
      <c r="KP38" s="11" t="str">
        <f t="shared" si="124"/>
        <v/>
      </c>
      <c r="KQ38" s="11" t="str">
        <f t="shared" si="125"/>
        <v/>
      </c>
      <c r="KR38" s="11" t="str">
        <f t="shared" si="126"/>
        <v/>
      </c>
      <c r="KS38" s="11" t="str">
        <f t="shared" si="127"/>
        <v/>
      </c>
      <c r="KT38" s="11" t="str">
        <f t="shared" si="128"/>
        <v/>
      </c>
      <c r="KU38" s="11" t="str">
        <f t="shared" si="129"/>
        <v/>
      </c>
      <c r="KV38" s="11" t="str">
        <f t="shared" si="130"/>
        <v/>
      </c>
      <c r="KW38" s="11" t="str">
        <f t="shared" si="131"/>
        <v/>
      </c>
      <c r="KX38" s="11" t="str">
        <f t="shared" si="132"/>
        <v/>
      </c>
      <c r="KY38" s="11" t="str">
        <f t="shared" si="133"/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 t="shared" si="134"/>
        <v/>
      </c>
      <c r="LU38" s="40" t="str">
        <f t="shared" si="135"/>
        <v/>
      </c>
      <c r="LV38" s="40" t="str">
        <f t="shared" si="136"/>
        <v/>
      </c>
      <c r="LW38" s="40" t="str">
        <f t="shared" si="137"/>
        <v/>
      </c>
      <c r="LX38" s="40" t="str">
        <f t="shared" si="138"/>
        <v/>
      </c>
      <c r="LY38" s="40" t="str">
        <f t="shared" si="139"/>
        <v/>
      </c>
      <c r="LZ38" s="40" t="str">
        <f t="shared" si="140"/>
        <v/>
      </c>
      <c r="MA38" s="40" t="str">
        <f t="shared" si="141"/>
        <v/>
      </c>
      <c r="MB38" s="40" t="str">
        <f t="shared" si="142"/>
        <v/>
      </c>
      <c r="MC38" s="40" t="str">
        <f t="shared" si="143"/>
        <v/>
      </c>
      <c r="MD38" s="40" t="str">
        <f t="shared" si="144"/>
        <v/>
      </c>
      <c r="ME38" s="40" t="str">
        <f t="shared" si="145"/>
        <v/>
      </c>
      <c r="MF38" s="40" t="str">
        <f t="shared" si="146"/>
        <v/>
      </c>
      <c r="MG38" s="40" t="str">
        <f t="shared" si="147"/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 t="shared" si="148"/>
        <v/>
      </c>
      <c r="NC38" s="11" t="str">
        <f t="shared" si="149"/>
        <v/>
      </c>
      <c r="ND38" s="11" t="str">
        <f t="shared" si="150"/>
        <v/>
      </c>
      <c r="NE38" s="11" t="str">
        <f t="shared" si="151"/>
        <v/>
      </c>
      <c r="NF38" s="11" t="str">
        <f t="shared" si="152"/>
        <v/>
      </c>
      <c r="NG38" s="11" t="str">
        <f t="shared" si="153"/>
        <v/>
      </c>
      <c r="NH38" s="11" t="str">
        <f t="shared" si="154"/>
        <v/>
      </c>
      <c r="NI38" s="11" t="str">
        <f t="shared" si="155"/>
        <v/>
      </c>
      <c r="NJ38" s="11" t="str">
        <f t="shared" si="156"/>
        <v/>
      </c>
      <c r="NK38" s="11" t="str">
        <f t="shared" si="157"/>
        <v/>
      </c>
      <c r="NL38" s="11" t="str">
        <f t="shared" si="158"/>
        <v/>
      </c>
      <c r="NM38" s="11" t="str">
        <f t="shared" si="159"/>
        <v/>
      </c>
      <c r="NN38" s="11" t="str">
        <f t="shared" si="160"/>
        <v/>
      </c>
      <c r="NO38" s="11" t="str">
        <f t="shared" si="161"/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 t="shared" si="162"/>
        <v/>
      </c>
      <c r="OK38" s="40" t="str">
        <f t="shared" si="163"/>
        <v/>
      </c>
      <c r="OL38" s="40" t="str">
        <f t="shared" si="164"/>
        <v/>
      </c>
      <c r="OM38" s="40" t="str">
        <f t="shared" si="165"/>
        <v/>
      </c>
      <c r="ON38" s="40" t="str">
        <f t="shared" si="166"/>
        <v/>
      </c>
      <c r="OO38" s="40" t="str">
        <f t="shared" si="167"/>
        <v/>
      </c>
      <c r="OP38" s="40" t="str">
        <f t="shared" si="168"/>
        <v/>
      </c>
      <c r="OQ38" s="40" t="str">
        <f t="shared" si="169"/>
        <v/>
      </c>
      <c r="OR38" s="40" t="str">
        <f t="shared" si="170"/>
        <v/>
      </c>
      <c r="OS38" s="40" t="str">
        <f t="shared" si="171"/>
        <v/>
      </c>
      <c r="OT38" s="40" t="str">
        <f t="shared" si="172"/>
        <v/>
      </c>
      <c r="OU38" s="40" t="str">
        <f t="shared" si="173"/>
        <v/>
      </c>
      <c r="OV38" s="40" t="str">
        <f t="shared" si="174"/>
        <v/>
      </c>
      <c r="OW38" s="40" t="str">
        <f t="shared" si="175"/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 t="shared" si="176"/>
        <v/>
      </c>
      <c r="PS38" s="11" t="str">
        <f t="shared" si="177"/>
        <v/>
      </c>
      <c r="PT38" s="11" t="str">
        <f t="shared" si="178"/>
        <v/>
      </c>
      <c r="PU38" s="11" t="str">
        <f t="shared" si="179"/>
        <v/>
      </c>
      <c r="PV38" s="11" t="str">
        <f t="shared" si="180"/>
        <v/>
      </c>
      <c r="PW38" s="11" t="str">
        <f t="shared" si="181"/>
        <v/>
      </c>
      <c r="PX38" s="11" t="str">
        <f t="shared" si="182"/>
        <v/>
      </c>
      <c r="PY38" s="11" t="str">
        <f t="shared" si="183"/>
        <v/>
      </c>
      <c r="PZ38" s="11" t="str">
        <f t="shared" si="184"/>
        <v/>
      </c>
      <c r="QA38" s="11" t="str">
        <f t="shared" si="185"/>
        <v/>
      </c>
      <c r="QB38" s="11" t="str">
        <f t="shared" si="186"/>
        <v/>
      </c>
      <c r="QC38" s="11" t="str">
        <f t="shared" si="187"/>
        <v/>
      </c>
      <c r="QD38" s="11" t="str">
        <f t="shared" si="188"/>
        <v/>
      </c>
      <c r="QE38" s="11" t="str">
        <f t="shared" si="189"/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 t="shared" si="190"/>
        <v/>
      </c>
      <c r="RA38" s="40" t="str">
        <f t="shared" si="191"/>
        <v/>
      </c>
      <c r="RB38" s="40" t="str">
        <f t="shared" si="192"/>
        <v/>
      </c>
      <c r="RC38" s="40" t="str">
        <f t="shared" si="193"/>
        <v/>
      </c>
      <c r="RD38" s="40" t="str">
        <f t="shared" si="194"/>
        <v/>
      </c>
      <c r="RE38" s="40" t="str">
        <f t="shared" si="195"/>
        <v/>
      </c>
      <c r="RF38" s="40" t="str">
        <f t="shared" si="196"/>
        <v/>
      </c>
      <c r="RG38" s="40" t="str">
        <f t="shared" si="197"/>
        <v/>
      </c>
      <c r="RH38" s="40" t="str">
        <f t="shared" si="198"/>
        <v/>
      </c>
      <c r="RI38" s="40" t="str">
        <f t="shared" si="199"/>
        <v/>
      </c>
      <c r="RJ38" s="40" t="str">
        <f t="shared" si="200"/>
        <v/>
      </c>
      <c r="RK38" s="40" t="str">
        <f t="shared" si="201"/>
        <v/>
      </c>
      <c r="RL38" s="40" t="str">
        <f t="shared" si="202"/>
        <v/>
      </c>
      <c r="RM38" s="40" t="str">
        <f t="shared" si="203"/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 t="shared" si="204"/>
        <v/>
      </c>
      <c r="SI38" s="11" t="str">
        <f t="shared" si="205"/>
        <v/>
      </c>
      <c r="SJ38" s="11" t="str">
        <f t="shared" si="206"/>
        <v/>
      </c>
      <c r="SK38" s="11" t="str">
        <f t="shared" si="207"/>
        <v/>
      </c>
      <c r="SL38" s="11" t="str">
        <f t="shared" si="208"/>
        <v/>
      </c>
      <c r="SM38" s="11" t="str">
        <f t="shared" si="209"/>
        <v/>
      </c>
      <c r="SN38" s="11" t="str">
        <f t="shared" si="210"/>
        <v/>
      </c>
      <c r="SO38" s="11" t="str">
        <f t="shared" si="211"/>
        <v/>
      </c>
      <c r="SP38" s="11" t="str">
        <f t="shared" si="212"/>
        <v/>
      </c>
      <c r="SQ38" s="11" t="str">
        <f t="shared" si="213"/>
        <v/>
      </c>
      <c r="SR38" s="11" t="str">
        <f t="shared" si="214"/>
        <v/>
      </c>
      <c r="SS38" s="11" t="str">
        <f t="shared" si="215"/>
        <v/>
      </c>
      <c r="ST38" s="11" t="str">
        <f t="shared" si="216"/>
        <v/>
      </c>
      <c r="SU38" s="11" t="str">
        <f t="shared" si="217"/>
        <v/>
      </c>
      <c r="SV38" s="22">
        <f t="shared" si="218"/>
        <v>0</v>
      </c>
      <c r="SW38" s="22">
        <f t="shared" si="219"/>
        <v>0</v>
      </c>
      <c r="SX38" s="22">
        <f t="shared" si="220"/>
        <v>0</v>
      </c>
      <c r="SY38" s="22">
        <f t="shared" si="221"/>
        <v>0</v>
      </c>
      <c r="SZ38" s="22">
        <f t="shared" si="222"/>
        <v>0</v>
      </c>
      <c r="TA38" s="22">
        <f t="shared" si="223"/>
        <v>0</v>
      </c>
      <c r="TB38" s="22">
        <f t="shared" si="224"/>
        <v>0</v>
      </c>
      <c r="TC38" s="22">
        <f t="shared" si="225"/>
        <v>0</v>
      </c>
      <c r="TD38" s="22">
        <f t="shared" si="226"/>
        <v>0</v>
      </c>
      <c r="TE38" s="22">
        <f t="shared" si="227"/>
        <v>0</v>
      </c>
      <c r="TF38" s="22">
        <f t="shared" si="228"/>
        <v>0</v>
      </c>
      <c r="TG38" s="22">
        <f t="shared" si="229"/>
        <v>0</v>
      </c>
      <c r="TH38" s="22">
        <f t="shared" si="230"/>
        <v>0</v>
      </c>
      <c r="TI38" s="22">
        <f t="shared" si="231"/>
        <v>0</v>
      </c>
      <c r="TJ38" s="22">
        <f t="shared" si="232"/>
        <v>0</v>
      </c>
      <c r="TK38" s="27" t="s">
        <v>46</v>
      </c>
      <c r="TL38" s="40" t="str">
        <f t="shared" si="233"/>
        <v/>
      </c>
      <c r="TM38" s="40" t="str">
        <f t="shared" si="234"/>
        <v/>
      </c>
      <c r="TN38" s="40" t="str">
        <f t="shared" si="235"/>
        <v/>
      </c>
      <c r="TO38" s="40" t="str">
        <f t="shared" si="236"/>
        <v/>
      </c>
      <c r="TP38" s="40" t="str">
        <f t="shared" si="237"/>
        <v/>
      </c>
      <c r="TQ38" s="40" t="str">
        <f t="shared" si="238"/>
        <v/>
      </c>
      <c r="TR38" s="40" t="str">
        <f t="shared" si="239"/>
        <v/>
      </c>
      <c r="TS38" s="40" t="str">
        <f t="shared" si="240"/>
        <v/>
      </c>
      <c r="TT38" s="40" t="str">
        <f t="shared" si="241"/>
        <v/>
      </c>
      <c r="TU38" s="40" t="str">
        <f t="shared" si="242"/>
        <v/>
      </c>
      <c r="TV38" s="40" t="str">
        <f t="shared" si="243"/>
        <v/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114</v>
      </c>
      <c r="D39" s="4" t="s">
        <v>5</v>
      </c>
      <c r="E39" s="4">
        <v>2003</v>
      </c>
      <c r="F39" s="9">
        <f t="shared" si="0"/>
        <v>57.460005746003795</v>
      </c>
      <c r="G39" s="66"/>
      <c r="H39" s="3" t="str">
        <f t="shared" si="1"/>
        <v/>
      </c>
      <c r="I39" s="3" t="str">
        <f t="shared" si="2"/>
        <v/>
      </c>
      <c r="J39" s="36" t="str">
        <f t="shared" si="3"/>
        <v/>
      </c>
      <c r="K39" s="3" t="str">
        <f t="shared" si="4"/>
        <v/>
      </c>
      <c r="L39" s="8">
        <f>IF(COUNT(AQ39,AT39,BR39,BU39,CS39,CV39)&gt;0,LARGE((AQ39,AT39,BR39,BU39,CS39,CV39),1),0)</f>
        <v>38.01</v>
      </c>
      <c r="M39" s="8" t="str">
        <f t="shared" si="5"/>
        <v>2023 Nationals</v>
      </c>
      <c r="N39" s="8">
        <f>IF(COUNT(AQ39,AT39,BR39,BU39,CS39,CV39)&gt;1,LARGE((AQ39,AT39,BR39,BU39,CS39,CV39),2),0)</f>
        <v>9.6500000000000021</v>
      </c>
      <c r="O39" s="8" t="str">
        <f t="shared" si="6"/>
        <v>2023 Nationals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 t="shared" si="7"/>
        <v/>
      </c>
      <c r="R39" s="8">
        <f t="shared" si="8"/>
        <v>9.8000000000000007</v>
      </c>
      <c r="S39" s="8" t="str">
        <f t="shared" si="9"/>
        <v>2023 Nationals</v>
      </c>
      <c r="T39" s="8">
        <f t="shared" si="10"/>
        <v>0</v>
      </c>
      <c r="U39" s="8" t="str">
        <f t="shared" si="11"/>
        <v/>
      </c>
      <c r="V39" s="8" t="str">
        <f t="shared" si="12"/>
        <v/>
      </c>
      <c r="W39" s="11" t="str">
        <f t="shared" si="13"/>
        <v/>
      </c>
      <c r="X39" s="8" t="str">
        <f t="shared" si="14"/>
        <v/>
      </c>
      <c r="Y39" s="22">
        <v>9.8000000000000007</v>
      </c>
      <c r="Z39" s="22">
        <v>7.1</v>
      </c>
      <c r="AA39" s="22">
        <v>9.8000000000000007</v>
      </c>
      <c r="AB39" s="22">
        <v>11.31</v>
      </c>
      <c r="AC39" s="22">
        <v>0</v>
      </c>
      <c r="AD39" s="22">
        <v>2.6</v>
      </c>
      <c r="AE39" s="22">
        <v>1.6</v>
      </c>
      <c r="AF39" s="22">
        <v>2.7</v>
      </c>
      <c r="AG39" s="22">
        <v>2.95</v>
      </c>
      <c r="AH39" s="22">
        <v>0.2</v>
      </c>
      <c r="AI39" s="22"/>
      <c r="AJ39" s="22"/>
      <c r="AK39" s="22"/>
      <c r="AL39" s="22"/>
      <c r="AM39" s="22"/>
      <c r="AN39" s="27"/>
      <c r="AO39" s="38">
        <f t="shared" si="15"/>
        <v>9.8000000000000007</v>
      </c>
      <c r="AP39" s="38">
        <f t="shared" si="16"/>
        <v>11.31</v>
      </c>
      <c r="AQ39" s="40">
        <f t="shared" si="17"/>
        <v>38.01</v>
      </c>
      <c r="AR39" s="40">
        <f t="shared" si="18"/>
        <v>2.7</v>
      </c>
      <c r="AS39" s="40">
        <f t="shared" si="19"/>
        <v>2.95</v>
      </c>
      <c r="AT39" s="40">
        <f t="shared" si="20"/>
        <v>9.6500000000000021</v>
      </c>
      <c r="AU39" s="40">
        <f t="shared" si="21"/>
        <v>38.01</v>
      </c>
      <c r="AV39" s="40" t="str">
        <f t="shared" si="22"/>
        <v/>
      </c>
      <c r="AW39" s="40" t="str">
        <f t="shared" si="23"/>
        <v/>
      </c>
      <c r="AX39" s="40" t="str">
        <f t="shared" si="24"/>
        <v/>
      </c>
      <c r="AY39" s="40">
        <f t="shared" si="25"/>
        <v>38.01</v>
      </c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8"/>
      <c r="BP39" s="39" t="str">
        <f t="shared" si="26"/>
        <v/>
      </c>
      <c r="BQ39" s="39" t="str">
        <f t="shared" si="27"/>
        <v/>
      </c>
      <c r="BR39" s="11" t="str">
        <f t="shared" si="28"/>
        <v/>
      </c>
      <c r="BS39" s="11" t="str">
        <f t="shared" si="29"/>
        <v/>
      </c>
      <c r="BT39" s="11" t="str">
        <f t="shared" si="30"/>
        <v/>
      </c>
      <c r="BU39" s="11" t="str">
        <f t="shared" si="31"/>
        <v/>
      </c>
      <c r="BV39" s="11" t="str">
        <f t="shared" si="32"/>
        <v/>
      </c>
      <c r="BW39" s="11" t="str">
        <f t="shared" si="33"/>
        <v/>
      </c>
      <c r="BX39" s="11" t="str">
        <f t="shared" si="34"/>
        <v/>
      </c>
      <c r="BY39" s="11" t="str">
        <f t="shared" si="35"/>
        <v/>
      </c>
      <c r="BZ39" s="11" t="str">
        <f t="shared" si="36"/>
        <v/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 t="shared" si="37"/>
        <v/>
      </c>
      <c r="CR39" s="38" t="str">
        <f t="shared" si="38"/>
        <v/>
      </c>
      <c r="CS39" s="40" t="str">
        <f t="shared" si="39"/>
        <v/>
      </c>
      <c r="CT39" s="40" t="str">
        <f t="shared" si="40"/>
        <v/>
      </c>
      <c r="CU39" s="40" t="str">
        <f t="shared" si="41"/>
        <v/>
      </c>
      <c r="CV39" s="40" t="str">
        <f t="shared" si="42"/>
        <v/>
      </c>
      <c r="CW39" s="40" t="str">
        <f t="shared" si="43"/>
        <v/>
      </c>
      <c r="CX39" s="40" t="str">
        <f t="shared" si="44"/>
        <v/>
      </c>
      <c r="CY39" s="40" t="str">
        <f t="shared" si="45"/>
        <v/>
      </c>
      <c r="CZ39" s="40" t="str">
        <f t="shared" si="46"/>
        <v/>
      </c>
      <c r="DA39" s="40" t="str">
        <f t="shared" si="47"/>
        <v/>
      </c>
      <c r="DB39" s="50" t="str">
        <f t="shared" si="48"/>
        <v/>
      </c>
      <c r="DC39" s="50" t="str">
        <f t="shared" si="49"/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 t="shared" si="50"/>
        <v/>
      </c>
      <c r="DY39" s="40" t="str">
        <f t="shared" si="51"/>
        <v/>
      </c>
      <c r="DZ39" s="40" t="str">
        <f t="shared" si="52"/>
        <v/>
      </c>
      <c r="EA39" s="40" t="str">
        <f t="shared" si="53"/>
        <v/>
      </c>
      <c r="EB39" s="40" t="str">
        <f t="shared" si="54"/>
        <v/>
      </c>
      <c r="EC39" s="40" t="str">
        <f t="shared" si="55"/>
        <v/>
      </c>
      <c r="ED39" s="40" t="str">
        <f t="shared" si="56"/>
        <v/>
      </c>
      <c r="EE39" s="40" t="str">
        <f t="shared" si="57"/>
        <v/>
      </c>
      <c r="EF39" s="40" t="str">
        <f t="shared" si="58"/>
        <v/>
      </c>
      <c r="EG39" s="40" t="str">
        <f t="shared" si="59"/>
        <v/>
      </c>
      <c r="EH39" s="40" t="str">
        <f t="shared" si="60"/>
        <v/>
      </c>
      <c r="EI39" s="40" t="str">
        <f t="shared" si="61"/>
        <v/>
      </c>
      <c r="EJ39" s="40" t="str">
        <f t="shared" si="62"/>
        <v/>
      </c>
      <c r="EK39" s="40" t="str">
        <f t="shared" si="63"/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 t="shared" si="64"/>
        <v/>
      </c>
      <c r="FG39" s="11" t="str">
        <f t="shared" si="65"/>
        <v/>
      </c>
      <c r="FH39" s="11" t="str">
        <f t="shared" si="66"/>
        <v/>
      </c>
      <c r="FI39" s="11" t="str">
        <f t="shared" si="67"/>
        <v/>
      </c>
      <c r="FJ39" s="11" t="str">
        <f t="shared" si="68"/>
        <v/>
      </c>
      <c r="FK39" s="11" t="str">
        <f t="shared" si="69"/>
        <v/>
      </c>
      <c r="FL39" s="11" t="str">
        <f t="shared" si="70"/>
        <v/>
      </c>
      <c r="FM39" s="11" t="str">
        <f t="shared" si="71"/>
        <v/>
      </c>
      <c r="FN39" s="11" t="str">
        <f t="shared" si="72"/>
        <v/>
      </c>
      <c r="FO39" s="11" t="str">
        <f t="shared" si="73"/>
        <v/>
      </c>
      <c r="FP39" s="11" t="str">
        <f t="shared" si="74"/>
        <v/>
      </c>
      <c r="FQ39" s="11" t="str">
        <f t="shared" si="75"/>
        <v/>
      </c>
      <c r="FR39" s="11" t="str">
        <f t="shared" si="76"/>
        <v/>
      </c>
      <c r="FS39" s="11" t="str">
        <f t="shared" si="77"/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 t="shared" si="78"/>
        <v/>
      </c>
      <c r="GO39" s="40" t="str">
        <f t="shared" si="79"/>
        <v/>
      </c>
      <c r="GP39" s="40" t="str">
        <f t="shared" si="80"/>
        <v/>
      </c>
      <c r="GQ39" s="40" t="str">
        <f t="shared" si="81"/>
        <v/>
      </c>
      <c r="GR39" s="40" t="str">
        <f t="shared" si="82"/>
        <v/>
      </c>
      <c r="GS39" s="40" t="str">
        <f t="shared" si="83"/>
        <v/>
      </c>
      <c r="GT39" s="40" t="str">
        <f t="shared" si="84"/>
        <v/>
      </c>
      <c r="GU39" s="40" t="str">
        <f t="shared" si="85"/>
        <v/>
      </c>
      <c r="GV39" s="40" t="str">
        <f t="shared" si="86"/>
        <v/>
      </c>
      <c r="GW39" s="40" t="str">
        <f t="shared" si="87"/>
        <v/>
      </c>
      <c r="GX39" s="40" t="str">
        <f t="shared" si="88"/>
        <v/>
      </c>
      <c r="GY39" s="40" t="str">
        <f t="shared" si="89"/>
        <v/>
      </c>
      <c r="GZ39" s="40" t="str">
        <f t="shared" si="90"/>
        <v/>
      </c>
      <c r="HA39" s="40" t="str">
        <f t="shared" si="91"/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 t="shared" si="92"/>
        <v/>
      </c>
      <c r="HW39" s="11" t="str">
        <f t="shared" si="93"/>
        <v/>
      </c>
      <c r="HX39" s="11" t="str">
        <f t="shared" si="94"/>
        <v/>
      </c>
      <c r="HY39" s="11" t="str">
        <f t="shared" si="95"/>
        <v/>
      </c>
      <c r="HZ39" s="11" t="str">
        <f t="shared" si="96"/>
        <v/>
      </c>
      <c r="IA39" s="11" t="str">
        <f t="shared" si="97"/>
        <v/>
      </c>
      <c r="IB39" s="11" t="str">
        <f t="shared" si="98"/>
        <v/>
      </c>
      <c r="IC39" s="11" t="str">
        <f t="shared" si="99"/>
        <v/>
      </c>
      <c r="ID39" s="11" t="str">
        <f t="shared" si="100"/>
        <v/>
      </c>
      <c r="IE39" s="11" t="str">
        <f t="shared" si="101"/>
        <v/>
      </c>
      <c r="IF39" s="11" t="str">
        <f t="shared" si="102"/>
        <v/>
      </c>
      <c r="IG39" s="11" t="str">
        <f t="shared" si="103"/>
        <v/>
      </c>
      <c r="IH39" s="11" t="str">
        <f t="shared" si="104"/>
        <v/>
      </c>
      <c r="II39" s="11" t="str">
        <f t="shared" si="105"/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 t="shared" si="106"/>
        <v/>
      </c>
      <c r="JE39" s="40" t="str">
        <f t="shared" si="107"/>
        <v/>
      </c>
      <c r="JF39" s="40" t="str">
        <f t="shared" si="108"/>
        <v/>
      </c>
      <c r="JG39" s="40" t="str">
        <f t="shared" si="109"/>
        <v/>
      </c>
      <c r="JH39" s="40" t="str">
        <f t="shared" si="110"/>
        <v/>
      </c>
      <c r="JI39" s="40" t="str">
        <f t="shared" si="111"/>
        <v/>
      </c>
      <c r="JJ39" s="40" t="str">
        <f t="shared" si="112"/>
        <v/>
      </c>
      <c r="JK39" s="40" t="str">
        <f t="shared" si="113"/>
        <v/>
      </c>
      <c r="JL39" s="40" t="str">
        <f t="shared" si="114"/>
        <v/>
      </c>
      <c r="JM39" s="40" t="str">
        <f t="shared" si="115"/>
        <v/>
      </c>
      <c r="JN39" s="40" t="str">
        <f t="shared" si="116"/>
        <v/>
      </c>
      <c r="JO39" s="40" t="str">
        <f t="shared" si="117"/>
        <v/>
      </c>
      <c r="JP39" s="40" t="str">
        <f t="shared" si="118"/>
        <v/>
      </c>
      <c r="JQ39" s="40" t="str">
        <f t="shared" si="119"/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 t="shared" si="120"/>
        <v/>
      </c>
      <c r="KM39" s="11" t="str">
        <f t="shared" si="121"/>
        <v/>
      </c>
      <c r="KN39" s="11" t="str">
        <f t="shared" si="122"/>
        <v/>
      </c>
      <c r="KO39" s="11" t="str">
        <f t="shared" si="123"/>
        <v/>
      </c>
      <c r="KP39" s="11" t="str">
        <f t="shared" si="124"/>
        <v/>
      </c>
      <c r="KQ39" s="11" t="str">
        <f t="shared" si="125"/>
        <v/>
      </c>
      <c r="KR39" s="11" t="str">
        <f t="shared" si="126"/>
        <v/>
      </c>
      <c r="KS39" s="11" t="str">
        <f t="shared" si="127"/>
        <v/>
      </c>
      <c r="KT39" s="11" t="str">
        <f t="shared" si="128"/>
        <v/>
      </c>
      <c r="KU39" s="11" t="str">
        <f t="shared" si="129"/>
        <v/>
      </c>
      <c r="KV39" s="11" t="str">
        <f t="shared" si="130"/>
        <v/>
      </c>
      <c r="KW39" s="11" t="str">
        <f t="shared" si="131"/>
        <v/>
      </c>
      <c r="KX39" s="11" t="str">
        <f t="shared" si="132"/>
        <v/>
      </c>
      <c r="KY39" s="11" t="str">
        <f t="shared" si="133"/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 t="shared" si="134"/>
        <v/>
      </c>
      <c r="LU39" s="40" t="str">
        <f t="shared" si="135"/>
        <v/>
      </c>
      <c r="LV39" s="40" t="str">
        <f t="shared" si="136"/>
        <v/>
      </c>
      <c r="LW39" s="40" t="str">
        <f t="shared" si="137"/>
        <v/>
      </c>
      <c r="LX39" s="40" t="str">
        <f t="shared" si="138"/>
        <v/>
      </c>
      <c r="LY39" s="40" t="str">
        <f t="shared" si="139"/>
        <v/>
      </c>
      <c r="LZ39" s="40" t="str">
        <f t="shared" si="140"/>
        <v/>
      </c>
      <c r="MA39" s="40" t="str">
        <f t="shared" si="141"/>
        <v/>
      </c>
      <c r="MB39" s="40" t="str">
        <f t="shared" si="142"/>
        <v/>
      </c>
      <c r="MC39" s="40" t="str">
        <f t="shared" si="143"/>
        <v/>
      </c>
      <c r="MD39" s="40" t="str">
        <f t="shared" si="144"/>
        <v/>
      </c>
      <c r="ME39" s="40" t="str">
        <f t="shared" si="145"/>
        <v/>
      </c>
      <c r="MF39" s="40" t="str">
        <f t="shared" si="146"/>
        <v/>
      </c>
      <c r="MG39" s="40" t="str">
        <f t="shared" si="147"/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 t="shared" si="148"/>
        <v/>
      </c>
      <c r="NC39" s="11" t="str">
        <f t="shared" si="149"/>
        <v/>
      </c>
      <c r="ND39" s="11" t="str">
        <f t="shared" si="150"/>
        <v/>
      </c>
      <c r="NE39" s="11" t="str">
        <f t="shared" si="151"/>
        <v/>
      </c>
      <c r="NF39" s="11" t="str">
        <f t="shared" si="152"/>
        <v/>
      </c>
      <c r="NG39" s="11" t="str">
        <f t="shared" si="153"/>
        <v/>
      </c>
      <c r="NH39" s="11" t="str">
        <f t="shared" si="154"/>
        <v/>
      </c>
      <c r="NI39" s="11" t="str">
        <f t="shared" si="155"/>
        <v/>
      </c>
      <c r="NJ39" s="11" t="str">
        <f t="shared" si="156"/>
        <v/>
      </c>
      <c r="NK39" s="11" t="str">
        <f t="shared" si="157"/>
        <v/>
      </c>
      <c r="NL39" s="11" t="str">
        <f t="shared" si="158"/>
        <v/>
      </c>
      <c r="NM39" s="11" t="str">
        <f t="shared" si="159"/>
        <v/>
      </c>
      <c r="NN39" s="11" t="str">
        <f t="shared" si="160"/>
        <v/>
      </c>
      <c r="NO39" s="11" t="str">
        <f t="shared" si="161"/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 t="shared" si="162"/>
        <v/>
      </c>
      <c r="OK39" s="40" t="str">
        <f t="shared" si="163"/>
        <v/>
      </c>
      <c r="OL39" s="40" t="str">
        <f t="shared" si="164"/>
        <v/>
      </c>
      <c r="OM39" s="40" t="str">
        <f t="shared" si="165"/>
        <v/>
      </c>
      <c r="ON39" s="40" t="str">
        <f t="shared" si="166"/>
        <v/>
      </c>
      <c r="OO39" s="40" t="str">
        <f t="shared" si="167"/>
        <v/>
      </c>
      <c r="OP39" s="40" t="str">
        <f t="shared" si="168"/>
        <v/>
      </c>
      <c r="OQ39" s="40" t="str">
        <f t="shared" si="169"/>
        <v/>
      </c>
      <c r="OR39" s="40" t="str">
        <f t="shared" si="170"/>
        <v/>
      </c>
      <c r="OS39" s="40" t="str">
        <f t="shared" si="171"/>
        <v/>
      </c>
      <c r="OT39" s="40" t="str">
        <f t="shared" si="172"/>
        <v/>
      </c>
      <c r="OU39" s="40" t="str">
        <f t="shared" si="173"/>
        <v/>
      </c>
      <c r="OV39" s="40" t="str">
        <f t="shared" si="174"/>
        <v/>
      </c>
      <c r="OW39" s="40" t="str">
        <f t="shared" si="175"/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 t="shared" si="176"/>
        <v/>
      </c>
      <c r="PS39" s="11" t="str">
        <f t="shared" si="177"/>
        <v/>
      </c>
      <c r="PT39" s="11" t="str">
        <f t="shared" si="178"/>
        <v/>
      </c>
      <c r="PU39" s="11" t="str">
        <f t="shared" si="179"/>
        <v/>
      </c>
      <c r="PV39" s="11" t="str">
        <f t="shared" si="180"/>
        <v/>
      </c>
      <c r="PW39" s="11" t="str">
        <f t="shared" si="181"/>
        <v/>
      </c>
      <c r="PX39" s="11" t="str">
        <f t="shared" si="182"/>
        <v/>
      </c>
      <c r="PY39" s="11" t="str">
        <f t="shared" si="183"/>
        <v/>
      </c>
      <c r="PZ39" s="11" t="str">
        <f t="shared" si="184"/>
        <v/>
      </c>
      <c r="QA39" s="11" t="str">
        <f t="shared" si="185"/>
        <v/>
      </c>
      <c r="QB39" s="11" t="str">
        <f t="shared" si="186"/>
        <v/>
      </c>
      <c r="QC39" s="11" t="str">
        <f t="shared" si="187"/>
        <v/>
      </c>
      <c r="QD39" s="11" t="str">
        <f t="shared" si="188"/>
        <v/>
      </c>
      <c r="QE39" s="11" t="str">
        <f t="shared" si="189"/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 t="shared" si="190"/>
        <v/>
      </c>
      <c r="RA39" s="40" t="str">
        <f t="shared" si="191"/>
        <v/>
      </c>
      <c r="RB39" s="40" t="str">
        <f t="shared" si="192"/>
        <v/>
      </c>
      <c r="RC39" s="40" t="str">
        <f t="shared" si="193"/>
        <v/>
      </c>
      <c r="RD39" s="40" t="str">
        <f t="shared" si="194"/>
        <v/>
      </c>
      <c r="RE39" s="40" t="str">
        <f t="shared" si="195"/>
        <v/>
      </c>
      <c r="RF39" s="40" t="str">
        <f t="shared" si="196"/>
        <v/>
      </c>
      <c r="RG39" s="40" t="str">
        <f t="shared" si="197"/>
        <v/>
      </c>
      <c r="RH39" s="40" t="str">
        <f t="shared" si="198"/>
        <v/>
      </c>
      <c r="RI39" s="40" t="str">
        <f t="shared" si="199"/>
        <v/>
      </c>
      <c r="RJ39" s="40" t="str">
        <f t="shared" si="200"/>
        <v/>
      </c>
      <c r="RK39" s="40" t="str">
        <f t="shared" si="201"/>
        <v/>
      </c>
      <c r="RL39" s="40" t="str">
        <f t="shared" si="202"/>
        <v/>
      </c>
      <c r="RM39" s="40" t="str">
        <f t="shared" si="203"/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 t="shared" si="204"/>
        <v/>
      </c>
      <c r="SI39" s="11" t="str">
        <f t="shared" si="205"/>
        <v/>
      </c>
      <c r="SJ39" s="11" t="str">
        <f t="shared" si="206"/>
        <v/>
      </c>
      <c r="SK39" s="11" t="str">
        <f t="shared" si="207"/>
        <v/>
      </c>
      <c r="SL39" s="11" t="str">
        <f t="shared" si="208"/>
        <v/>
      </c>
      <c r="SM39" s="11" t="str">
        <f t="shared" si="209"/>
        <v/>
      </c>
      <c r="SN39" s="11" t="str">
        <f t="shared" si="210"/>
        <v/>
      </c>
      <c r="SO39" s="11" t="str">
        <f t="shared" si="211"/>
        <v/>
      </c>
      <c r="SP39" s="11" t="str">
        <f t="shared" si="212"/>
        <v/>
      </c>
      <c r="SQ39" s="11" t="str">
        <f t="shared" si="213"/>
        <v/>
      </c>
      <c r="SR39" s="11" t="str">
        <f t="shared" si="214"/>
        <v/>
      </c>
      <c r="SS39" s="11" t="str">
        <f t="shared" si="215"/>
        <v/>
      </c>
      <c r="ST39" s="11" t="str">
        <f t="shared" si="216"/>
        <v/>
      </c>
      <c r="SU39" s="11" t="str">
        <f t="shared" si="217"/>
        <v/>
      </c>
      <c r="SV39" s="22">
        <f t="shared" si="218"/>
        <v>0</v>
      </c>
      <c r="SW39" s="22">
        <f t="shared" si="219"/>
        <v>0</v>
      </c>
      <c r="SX39" s="22">
        <f t="shared" si="220"/>
        <v>0</v>
      </c>
      <c r="SY39" s="22">
        <f t="shared" si="221"/>
        <v>0</v>
      </c>
      <c r="SZ39" s="22">
        <f t="shared" si="222"/>
        <v>0</v>
      </c>
      <c r="TA39" s="22">
        <f t="shared" si="223"/>
        <v>0</v>
      </c>
      <c r="TB39" s="22">
        <f t="shared" si="224"/>
        <v>0</v>
      </c>
      <c r="TC39" s="22">
        <f t="shared" si="225"/>
        <v>0</v>
      </c>
      <c r="TD39" s="22">
        <f t="shared" si="226"/>
        <v>0</v>
      </c>
      <c r="TE39" s="22">
        <f t="shared" si="227"/>
        <v>0</v>
      </c>
      <c r="TF39" s="22">
        <f t="shared" si="228"/>
        <v>0</v>
      </c>
      <c r="TG39" s="22">
        <f t="shared" si="229"/>
        <v>0</v>
      </c>
      <c r="TH39" s="22">
        <f t="shared" si="230"/>
        <v>0</v>
      </c>
      <c r="TI39" s="22">
        <f t="shared" si="231"/>
        <v>0</v>
      </c>
      <c r="TJ39" s="22">
        <f t="shared" si="232"/>
        <v>0</v>
      </c>
      <c r="TK39" s="27" t="s">
        <v>46</v>
      </c>
      <c r="TL39" s="40" t="str">
        <f t="shared" si="233"/>
        <v/>
      </c>
      <c r="TM39" s="40" t="str">
        <f t="shared" si="234"/>
        <v/>
      </c>
      <c r="TN39" s="40" t="str">
        <f t="shared" si="235"/>
        <v/>
      </c>
      <c r="TO39" s="40" t="str">
        <f t="shared" si="236"/>
        <v/>
      </c>
      <c r="TP39" s="40" t="str">
        <f t="shared" si="237"/>
        <v/>
      </c>
      <c r="TQ39" s="40" t="str">
        <f t="shared" si="238"/>
        <v/>
      </c>
      <c r="TR39" s="40" t="str">
        <f t="shared" si="239"/>
        <v/>
      </c>
      <c r="TS39" s="40" t="str">
        <f t="shared" si="240"/>
        <v/>
      </c>
      <c r="TT39" s="40" t="str">
        <f t="shared" si="241"/>
        <v/>
      </c>
      <c r="TU39" s="40" t="str">
        <f t="shared" si="242"/>
        <v/>
      </c>
      <c r="TV39" s="40" t="str">
        <f t="shared" si="243"/>
        <v/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176</v>
      </c>
      <c r="D40" s="4" t="s">
        <v>174</v>
      </c>
      <c r="E40" s="4">
        <v>2006</v>
      </c>
      <c r="F40" s="9">
        <f t="shared" si="0"/>
        <v>57.370005737004696</v>
      </c>
      <c r="G40" s="66"/>
      <c r="H40" s="3" t="str">
        <f t="shared" si="1"/>
        <v/>
      </c>
      <c r="I40" s="3" t="str">
        <f t="shared" si="2"/>
        <v/>
      </c>
      <c r="J40" s="36" t="str">
        <f t="shared" si="3"/>
        <v/>
      </c>
      <c r="K40" s="3" t="str">
        <f t="shared" si="4"/>
        <v/>
      </c>
      <c r="L40" s="8">
        <f>IF(COUNT(AQ40,AT40,BR40,BU40,CS40,CV40)&gt;0,LARGE((AQ40,AT40,BR40,BU40,CS40,CV40),1),0)</f>
        <v>46.97</v>
      </c>
      <c r="M40" s="8" t="str">
        <f t="shared" si="5"/>
        <v>2023 Nationals</v>
      </c>
      <c r="N40" s="8">
        <f>IF(COUNT(AQ40,AT40,BR40,BU40,CS40,CV40)&gt;1,LARGE((AQ40,AT40,BR40,BU40,CS40,CV40),2),0)</f>
        <v>0</v>
      </c>
      <c r="O40" s="8" t="str">
        <f t="shared" si="6"/>
        <v/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 t="shared" si="7"/>
        <v/>
      </c>
      <c r="R40" s="8">
        <f t="shared" si="8"/>
        <v>10.4</v>
      </c>
      <c r="S40" s="8" t="str">
        <f t="shared" si="9"/>
        <v>2023 Nationals</v>
      </c>
      <c r="T40" s="8">
        <f t="shared" si="10"/>
        <v>0</v>
      </c>
      <c r="U40" s="8" t="str">
        <f t="shared" si="11"/>
        <v/>
      </c>
      <c r="V40" s="8" t="str">
        <f t="shared" si="12"/>
        <v/>
      </c>
      <c r="W40" s="11" t="str">
        <f t="shared" si="13"/>
        <v/>
      </c>
      <c r="X40" s="8" t="str">
        <f t="shared" si="14"/>
        <v/>
      </c>
      <c r="Y40" s="22">
        <v>13.7</v>
      </c>
      <c r="Z40" s="22">
        <v>9.1999999999999993</v>
      </c>
      <c r="AA40" s="22">
        <v>10.4</v>
      </c>
      <c r="AB40" s="22">
        <v>13.67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I40" s="22"/>
      <c r="AJ40" s="22"/>
      <c r="AK40" s="22"/>
      <c r="AL40" s="22"/>
      <c r="AM40" s="22"/>
      <c r="AN40" s="27"/>
      <c r="AO40" s="38">
        <f t="shared" si="15"/>
        <v>10.4</v>
      </c>
      <c r="AP40" s="38">
        <f t="shared" si="16"/>
        <v>13.67</v>
      </c>
      <c r="AQ40" s="40">
        <f t="shared" si="17"/>
        <v>46.97</v>
      </c>
      <c r="AR40" s="40" t="str">
        <f t="shared" si="18"/>
        <v/>
      </c>
      <c r="AS40" s="40" t="str">
        <f t="shared" si="19"/>
        <v/>
      </c>
      <c r="AT40" s="40" t="str">
        <f t="shared" si="20"/>
        <v/>
      </c>
      <c r="AU40" s="40">
        <f t="shared" si="21"/>
        <v>46.97</v>
      </c>
      <c r="AV40" s="40" t="str">
        <f t="shared" si="22"/>
        <v/>
      </c>
      <c r="AW40" s="40" t="str">
        <f t="shared" si="23"/>
        <v/>
      </c>
      <c r="AX40" s="40" t="str">
        <f t="shared" si="24"/>
        <v/>
      </c>
      <c r="AY40" s="40">
        <f t="shared" si="25"/>
        <v>46.97</v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 t="shared" si="26"/>
        <v/>
      </c>
      <c r="BQ40" s="39" t="str">
        <f t="shared" si="27"/>
        <v/>
      </c>
      <c r="BR40" s="11" t="str">
        <f t="shared" si="28"/>
        <v/>
      </c>
      <c r="BS40" s="11" t="str">
        <f t="shared" si="29"/>
        <v/>
      </c>
      <c r="BT40" s="11" t="str">
        <f t="shared" si="30"/>
        <v/>
      </c>
      <c r="BU40" s="11" t="str">
        <f t="shared" si="31"/>
        <v/>
      </c>
      <c r="BV40" s="11" t="str">
        <f t="shared" si="32"/>
        <v/>
      </c>
      <c r="BW40" s="11" t="str">
        <f t="shared" si="33"/>
        <v/>
      </c>
      <c r="BX40" s="11" t="str">
        <f t="shared" si="34"/>
        <v/>
      </c>
      <c r="BY40" s="11" t="str">
        <f t="shared" si="35"/>
        <v/>
      </c>
      <c r="BZ40" s="11" t="str">
        <f t="shared" si="36"/>
        <v/>
      </c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7"/>
      <c r="CQ40" s="38" t="str">
        <f t="shared" si="37"/>
        <v/>
      </c>
      <c r="CR40" s="38" t="str">
        <f t="shared" si="38"/>
        <v/>
      </c>
      <c r="CS40" s="40" t="str">
        <f t="shared" si="39"/>
        <v/>
      </c>
      <c r="CT40" s="40" t="str">
        <f t="shared" si="40"/>
        <v/>
      </c>
      <c r="CU40" s="40" t="str">
        <f t="shared" si="41"/>
        <v/>
      </c>
      <c r="CV40" s="40" t="str">
        <f t="shared" si="42"/>
        <v/>
      </c>
      <c r="CW40" s="40" t="str">
        <f t="shared" si="43"/>
        <v/>
      </c>
      <c r="CX40" s="40" t="str">
        <f t="shared" si="44"/>
        <v/>
      </c>
      <c r="CY40" s="40" t="str">
        <f t="shared" si="45"/>
        <v/>
      </c>
      <c r="CZ40" s="40" t="str">
        <f t="shared" si="46"/>
        <v/>
      </c>
      <c r="DA40" s="40" t="str">
        <f t="shared" si="47"/>
        <v/>
      </c>
      <c r="DB40" s="50" t="str">
        <f t="shared" si="48"/>
        <v/>
      </c>
      <c r="DC40" s="50" t="str">
        <f t="shared" si="49"/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 t="shared" si="50"/>
        <v/>
      </c>
      <c r="DY40" s="40" t="str">
        <f t="shared" si="51"/>
        <v/>
      </c>
      <c r="DZ40" s="40" t="str">
        <f t="shared" si="52"/>
        <v/>
      </c>
      <c r="EA40" s="40" t="str">
        <f t="shared" si="53"/>
        <v/>
      </c>
      <c r="EB40" s="40" t="str">
        <f t="shared" si="54"/>
        <v/>
      </c>
      <c r="EC40" s="40" t="str">
        <f t="shared" si="55"/>
        <v/>
      </c>
      <c r="ED40" s="40" t="str">
        <f t="shared" si="56"/>
        <v/>
      </c>
      <c r="EE40" s="40" t="str">
        <f t="shared" si="57"/>
        <v/>
      </c>
      <c r="EF40" s="40" t="str">
        <f t="shared" si="58"/>
        <v/>
      </c>
      <c r="EG40" s="40" t="str">
        <f t="shared" si="59"/>
        <v/>
      </c>
      <c r="EH40" s="40" t="str">
        <f t="shared" si="60"/>
        <v/>
      </c>
      <c r="EI40" s="40" t="str">
        <f t="shared" si="61"/>
        <v/>
      </c>
      <c r="EJ40" s="40" t="str">
        <f t="shared" si="62"/>
        <v/>
      </c>
      <c r="EK40" s="40" t="str">
        <f t="shared" si="63"/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 t="shared" si="64"/>
        <v/>
      </c>
      <c r="FG40" s="11" t="str">
        <f t="shared" si="65"/>
        <v/>
      </c>
      <c r="FH40" s="11" t="str">
        <f t="shared" si="66"/>
        <v/>
      </c>
      <c r="FI40" s="11" t="str">
        <f t="shared" si="67"/>
        <v/>
      </c>
      <c r="FJ40" s="11" t="str">
        <f t="shared" si="68"/>
        <v/>
      </c>
      <c r="FK40" s="11" t="str">
        <f t="shared" si="69"/>
        <v/>
      </c>
      <c r="FL40" s="11" t="str">
        <f t="shared" si="70"/>
        <v/>
      </c>
      <c r="FM40" s="11" t="str">
        <f t="shared" si="71"/>
        <v/>
      </c>
      <c r="FN40" s="11" t="str">
        <f t="shared" si="72"/>
        <v/>
      </c>
      <c r="FO40" s="11" t="str">
        <f t="shared" si="73"/>
        <v/>
      </c>
      <c r="FP40" s="11" t="str">
        <f t="shared" si="74"/>
        <v/>
      </c>
      <c r="FQ40" s="11" t="str">
        <f t="shared" si="75"/>
        <v/>
      </c>
      <c r="FR40" s="11" t="str">
        <f t="shared" si="76"/>
        <v/>
      </c>
      <c r="FS40" s="11" t="str">
        <f t="shared" si="77"/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 t="shared" si="78"/>
        <v/>
      </c>
      <c r="GO40" s="40" t="str">
        <f t="shared" si="79"/>
        <v/>
      </c>
      <c r="GP40" s="40" t="str">
        <f t="shared" si="80"/>
        <v/>
      </c>
      <c r="GQ40" s="40" t="str">
        <f t="shared" si="81"/>
        <v/>
      </c>
      <c r="GR40" s="40" t="str">
        <f t="shared" si="82"/>
        <v/>
      </c>
      <c r="GS40" s="40" t="str">
        <f t="shared" si="83"/>
        <v/>
      </c>
      <c r="GT40" s="40" t="str">
        <f t="shared" si="84"/>
        <v/>
      </c>
      <c r="GU40" s="40" t="str">
        <f t="shared" si="85"/>
        <v/>
      </c>
      <c r="GV40" s="40" t="str">
        <f t="shared" si="86"/>
        <v/>
      </c>
      <c r="GW40" s="40" t="str">
        <f t="shared" si="87"/>
        <v/>
      </c>
      <c r="GX40" s="40" t="str">
        <f t="shared" si="88"/>
        <v/>
      </c>
      <c r="GY40" s="40" t="str">
        <f t="shared" si="89"/>
        <v/>
      </c>
      <c r="GZ40" s="40" t="str">
        <f t="shared" si="90"/>
        <v/>
      </c>
      <c r="HA40" s="40" t="str">
        <f t="shared" si="91"/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 t="shared" si="92"/>
        <v/>
      </c>
      <c r="HW40" s="11" t="str">
        <f t="shared" si="93"/>
        <v/>
      </c>
      <c r="HX40" s="11" t="str">
        <f t="shared" si="94"/>
        <v/>
      </c>
      <c r="HY40" s="11" t="str">
        <f t="shared" si="95"/>
        <v/>
      </c>
      <c r="HZ40" s="11" t="str">
        <f t="shared" si="96"/>
        <v/>
      </c>
      <c r="IA40" s="11" t="str">
        <f t="shared" si="97"/>
        <v/>
      </c>
      <c r="IB40" s="11" t="str">
        <f t="shared" si="98"/>
        <v/>
      </c>
      <c r="IC40" s="11" t="str">
        <f t="shared" si="99"/>
        <v/>
      </c>
      <c r="ID40" s="11" t="str">
        <f t="shared" si="100"/>
        <v/>
      </c>
      <c r="IE40" s="11" t="str">
        <f t="shared" si="101"/>
        <v/>
      </c>
      <c r="IF40" s="11" t="str">
        <f t="shared" si="102"/>
        <v/>
      </c>
      <c r="IG40" s="11" t="str">
        <f t="shared" si="103"/>
        <v/>
      </c>
      <c r="IH40" s="11" t="str">
        <f t="shared" si="104"/>
        <v/>
      </c>
      <c r="II40" s="11" t="str">
        <f t="shared" si="105"/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 t="shared" si="106"/>
        <v/>
      </c>
      <c r="JE40" s="40" t="str">
        <f t="shared" si="107"/>
        <v/>
      </c>
      <c r="JF40" s="40" t="str">
        <f t="shared" si="108"/>
        <v/>
      </c>
      <c r="JG40" s="40" t="str">
        <f t="shared" si="109"/>
        <v/>
      </c>
      <c r="JH40" s="40" t="str">
        <f t="shared" si="110"/>
        <v/>
      </c>
      <c r="JI40" s="40" t="str">
        <f t="shared" si="111"/>
        <v/>
      </c>
      <c r="JJ40" s="40" t="str">
        <f t="shared" si="112"/>
        <v/>
      </c>
      <c r="JK40" s="40" t="str">
        <f t="shared" si="113"/>
        <v/>
      </c>
      <c r="JL40" s="40" t="str">
        <f t="shared" si="114"/>
        <v/>
      </c>
      <c r="JM40" s="40" t="str">
        <f t="shared" si="115"/>
        <v/>
      </c>
      <c r="JN40" s="40" t="str">
        <f t="shared" si="116"/>
        <v/>
      </c>
      <c r="JO40" s="40" t="str">
        <f t="shared" si="117"/>
        <v/>
      </c>
      <c r="JP40" s="40" t="str">
        <f t="shared" si="118"/>
        <v/>
      </c>
      <c r="JQ40" s="40" t="str">
        <f t="shared" si="119"/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 t="shared" si="120"/>
        <v/>
      </c>
      <c r="KM40" s="11" t="str">
        <f t="shared" si="121"/>
        <v/>
      </c>
      <c r="KN40" s="11" t="str">
        <f t="shared" si="122"/>
        <v/>
      </c>
      <c r="KO40" s="11" t="str">
        <f t="shared" si="123"/>
        <v/>
      </c>
      <c r="KP40" s="11" t="str">
        <f t="shared" si="124"/>
        <v/>
      </c>
      <c r="KQ40" s="11" t="str">
        <f t="shared" si="125"/>
        <v/>
      </c>
      <c r="KR40" s="11" t="str">
        <f t="shared" si="126"/>
        <v/>
      </c>
      <c r="KS40" s="11" t="str">
        <f t="shared" si="127"/>
        <v/>
      </c>
      <c r="KT40" s="11" t="str">
        <f t="shared" si="128"/>
        <v/>
      </c>
      <c r="KU40" s="11" t="str">
        <f t="shared" si="129"/>
        <v/>
      </c>
      <c r="KV40" s="11" t="str">
        <f t="shared" si="130"/>
        <v/>
      </c>
      <c r="KW40" s="11" t="str">
        <f t="shared" si="131"/>
        <v/>
      </c>
      <c r="KX40" s="11" t="str">
        <f t="shared" si="132"/>
        <v/>
      </c>
      <c r="KY40" s="11" t="str">
        <f t="shared" si="133"/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 t="shared" si="134"/>
        <v/>
      </c>
      <c r="LU40" s="40" t="str">
        <f t="shared" si="135"/>
        <v/>
      </c>
      <c r="LV40" s="40" t="str">
        <f t="shared" si="136"/>
        <v/>
      </c>
      <c r="LW40" s="40" t="str">
        <f t="shared" si="137"/>
        <v/>
      </c>
      <c r="LX40" s="40" t="str">
        <f t="shared" si="138"/>
        <v/>
      </c>
      <c r="LY40" s="40" t="str">
        <f t="shared" si="139"/>
        <v/>
      </c>
      <c r="LZ40" s="40" t="str">
        <f t="shared" si="140"/>
        <v/>
      </c>
      <c r="MA40" s="40" t="str">
        <f t="shared" si="141"/>
        <v/>
      </c>
      <c r="MB40" s="40" t="str">
        <f t="shared" si="142"/>
        <v/>
      </c>
      <c r="MC40" s="40" t="str">
        <f t="shared" si="143"/>
        <v/>
      </c>
      <c r="MD40" s="40" t="str">
        <f t="shared" si="144"/>
        <v/>
      </c>
      <c r="ME40" s="40" t="str">
        <f t="shared" si="145"/>
        <v/>
      </c>
      <c r="MF40" s="40" t="str">
        <f t="shared" si="146"/>
        <v/>
      </c>
      <c r="MG40" s="40" t="str">
        <f t="shared" si="147"/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 t="shared" si="148"/>
        <v/>
      </c>
      <c r="NC40" s="11" t="str">
        <f t="shared" si="149"/>
        <v/>
      </c>
      <c r="ND40" s="11" t="str">
        <f t="shared" si="150"/>
        <v/>
      </c>
      <c r="NE40" s="11" t="str">
        <f t="shared" si="151"/>
        <v/>
      </c>
      <c r="NF40" s="11" t="str">
        <f t="shared" si="152"/>
        <v/>
      </c>
      <c r="NG40" s="11" t="str">
        <f t="shared" si="153"/>
        <v/>
      </c>
      <c r="NH40" s="11" t="str">
        <f t="shared" si="154"/>
        <v/>
      </c>
      <c r="NI40" s="11" t="str">
        <f t="shared" si="155"/>
        <v/>
      </c>
      <c r="NJ40" s="11" t="str">
        <f t="shared" si="156"/>
        <v/>
      </c>
      <c r="NK40" s="11" t="str">
        <f t="shared" si="157"/>
        <v/>
      </c>
      <c r="NL40" s="11" t="str">
        <f t="shared" si="158"/>
        <v/>
      </c>
      <c r="NM40" s="11" t="str">
        <f t="shared" si="159"/>
        <v/>
      </c>
      <c r="NN40" s="11" t="str">
        <f t="shared" si="160"/>
        <v/>
      </c>
      <c r="NO40" s="11" t="str">
        <f t="shared" si="161"/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 t="shared" si="162"/>
        <v/>
      </c>
      <c r="OK40" s="40" t="str">
        <f t="shared" si="163"/>
        <v/>
      </c>
      <c r="OL40" s="40" t="str">
        <f t="shared" si="164"/>
        <v/>
      </c>
      <c r="OM40" s="40" t="str">
        <f t="shared" si="165"/>
        <v/>
      </c>
      <c r="ON40" s="40" t="str">
        <f t="shared" si="166"/>
        <v/>
      </c>
      <c r="OO40" s="40" t="str">
        <f t="shared" si="167"/>
        <v/>
      </c>
      <c r="OP40" s="40" t="str">
        <f t="shared" si="168"/>
        <v/>
      </c>
      <c r="OQ40" s="40" t="str">
        <f t="shared" si="169"/>
        <v/>
      </c>
      <c r="OR40" s="40" t="str">
        <f t="shared" si="170"/>
        <v/>
      </c>
      <c r="OS40" s="40" t="str">
        <f t="shared" si="171"/>
        <v/>
      </c>
      <c r="OT40" s="40" t="str">
        <f t="shared" si="172"/>
        <v/>
      </c>
      <c r="OU40" s="40" t="str">
        <f t="shared" si="173"/>
        <v/>
      </c>
      <c r="OV40" s="40" t="str">
        <f t="shared" si="174"/>
        <v/>
      </c>
      <c r="OW40" s="40" t="str">
        <f t="shared" si="175"/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 t="shared" si="176"/>
        <v/>
      </c>
      <c r="PS40" s="11" t="str">
        <f t="shared" si="177"/>
        <v/>
      </c>
      <c r="PT40" s="11" t="str">
        <f t="shared" si="178"/>
        <v/>
      </c>
      <c r="PU40" s="11" t="str">
        <f t="shared" si="179"/>
        <v/>
      </c>
      <c r="PV40" s="11" t="str">
        <f t="shared" si="180"/>
        <v/>
      </c>
      <c r="PW40" s="11" t="str">
        <f t="shared" si="181"/>
        <v/>
      </c>
      <c r="PX40" s="11" t="str">
        <f t="shared" si="182"/>
        <v/>
      </c>
      <c r="PY40" s="11" t="str">
        <f t="shared" si="183"/>
        <v/>
      </c>
      <c r="PZ40" s="11" t="str">
        <f t="shared" si="184"/>
        <v/>
      </c>
      <c r="QA40" s="11" t="str">
        <f t="shared" si="185"/>
        <v/>
      </c>
      <c r="QB40" s="11" t="str">
        <f t="shared" si="186"/>
        <v/>
      </c>
      <c r="QC40" s="11" t="str">
        <f t="shared" si="187"/>
        <v/>
      </c>
      <c r="QD40" s="11" t="str">
        <f t="shared" si="188"/>
        <v/>
      </c>
      <c r="QE40" s="11" t="str">
        <f t="shared" si="189"/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 t="shared" si="190"/>
        <v/>
      </c>
      <c r="RA40" s="40" t="str">
        <f t="shared" si="191"/>
        <v/>
      </c>
      <c r="RB40" s="40" t="str">
        <f t="shared" si="192"/>
        <v/>
      </c>
      <c r="RC40" s="40" t="str">
        <f t="shared" si="193"/>
        <v/>
      </c>
      <c r="RD40" s="40" t="str">
        <f t="shared" si="194"/>
        <v/>
      </c>
      <c r="RE40" s="40" t="str">
        <f t="shared" si="195"/>
        <v/>
      </c>
      <c r="RF40" s="40" t="str">
        <f t="shared" si="196"/>
        <v/>
      </c>
      <c r="RG40" s="40" t="str">
        <f t="shared" si="197"/>
        <v/>
      </c>
      <c r="RH40" s="40" t="str">
        <f t="shared" si="198"/>
        <v/>
      </c>
      <c r="RI40" s="40" t="str">
        <f t="shared" si="199"/>
        <v/>
      </c>
      <c r="RJ40" s="40" t="str">
        <f t="shared" si="200"/>
        <v/>
      </c>
      <c r="RK40" s="40" t="str">
        <f t="shared" si="201"/>
        <v/>
      </c>
      <c r="RL40" s="40" t="str">
        <f t="shared" si="202"/>
        <v/>
      </c>
      <c r="RM40" s="40" t="str">
        <f t="shared" si="203"/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 t="shared" si="204"/>
        <v/>
      </c>
      <c r="SI40" s="11" t="str">
        <f t="shared" si="205"/>
        <v/>
      </c>
      <c r="SJ40" s="11" t="str">
        <f t="shared" si="206"/>
        <v/>
      </c>
      <c r="SK40" s="11" t="str">
        <f t="shared" si="207"/>
        <v/>
      </c>
      <c r="SL40" s="11" t="str">
        <f t="shared" si="208"/>
        <v/>
      </c>
      <c r="SM40" s="11" t="str">
        <f t="shared" si="209"/>
        <v/>
      </c>
      <c r="SN40" s="11" t="str">
        <f t="shared" si="210"/>
        <v/>
      </c>
      <c r="SO40" s="11" t="str">
        <f t="shared" si="211"/>
        <v/>
      </c>
      <c r="SP40" s="11" t="str">
        <f t="shared" si="212"/>
        <v/>
      </c>
      <c r="SQ40" s="11" t="str">
        <f t="shared" si="213"/>
        <v/>
      </c>
      <c r="SR40" s="11" t="str">
        <f t="shared" si="214"/>
        <v/>
      </c>
      <c r="SS40" s="11" t="str">
        <f t="shared" si="215"/>
        <v/>
      </c>
      <c r="ST40" s="11" t="str">
        <f t="shared" si="216"/>
        <v/>
      </c>
      <c r="SU40" s="11" t="str">
        <f t="shared" si="217"/>
        <v/>
      </c>
      <c r="SV40" s="22">
        <f t="shared" si="218"/>
        <v>0</v>
      </c>
      <c r="SW40" s="22">
        <f t="shared" si="219"/>
        <v>0</v>
      </c>
      <c r="SX40" s="22">
        <f t="shared" si="220"/>
        <v>0</v>
      </c>
      <c r="SY40" s="22">
        <f t="shared" si="221"/>
        <v>0</v>
      </c>
      <c r="SZ40" s="22">
        <f t="shared" si="222"/>
        <v>0</v>
      </c>
      <c r="TA40" s="22">
        <f t="shared" si="223"/>
        <v>0</v>
      </c>
      <c r="TB40" s="22">
        <f t="shared" si="224"/>
        <v>0</v>
      </c>
      <c r="TC40" s="22">
        <f t="shared" si="225"/>
        <v>0</v>
      </c>
      <c r="TD40" s="22">
        <f t="shared" si="226"/>
        <v>0</v>
      </c>
      <c r="TE40" s="22">
        <f t="shared" si="227"/>
        <v>0</v>
      </c>
      <c r="TF40" s="22">
        <f t="shared" si="228"/>
        <v>0</v>
      </c>
      <c r="TG40" s="22">
        <f t="shared" si="229"/>
        <v>0</v>
      </c>
      <c r="TH40" s="22">
        <f t="shared" si="230"/>
        <v>0</v>
      </c>
      <c r="TI40" s="22">
        <f t="shared" si="231"/>
        <v>0</v>
      </c>
      <c r="TJ40" s="22">
        <f t="shared" si="232"/>
        <v>0</v>
      </c>
      <c r="TK40" s="27" t="s">
        <v>46</v>
      </c>
      <c r="TL40" s="40" t="str">
        <f t="shared" si="233"/>
        <v/>
      </c>
      <c r="TM40" s="40" t="str">
        <f t="shared" si="234"/>
        <v/>
      </c>
      <c r="TN40" s="40" t="str">
        <f t="shared" si="235"/>
        <v/>
      </c>
      <c r="TO40" s="40" t="str">
        <f t="shared" si="236"/>
        <v/>
      </c>
      <c r="TP40" s="40" t="str">
        <f t="shared" si="237"/>
        <v/>
      </c>
      <c r="TQ40" s="40" t="str">
        <f t="shared" si="238"/>
        <v/>
      </c>
      <c r="TR40" s="40" t="str">
        <f t="shared" si="239"/>
        <v/>
      </c>
      <c r="TS40" s="40" t="str">
        <f t="shared" si="240"/>
        <v/>
      </c>
      <c r="TT40" s="40" t="str">
        <f t="shared" si="241"/>
        <v/>
      </c>
      <c r="TU40" s="40" t="str">
        <f t="shared" si="242"/>
        <v/>
      </c>
      <c r="TV40" s="40" t="str">
        <f t="shared" si="243"/>
        <v/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24528" operator="between">
      <formula>AY$50</formula>
      <formula>1000</formula>
    </cfRule>
    <cfRule type="cellIs" dxfId="382" priority="124529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24540" operator="between">
      <formula>EK$50</formula>
      <formula>1000</formula>
    </cfRule>
    <cfRule type="cellIs" dxfId="380" priority="124541" operator="between">
      <formula>EK$49</formula>
      <formula>EK$50</formula>
    </cfRule>
  </conditionalFormatting>
  <conditionalFormatting sqref="AQ1:AQ1048576 AT1:AT1048576 AX1:AX1048576">
    <cfRule type="cellIs" dxfId="379" priority="124612" operator="between">
      <formula>$AY$50</formula>
      <formula>1000</formula>
    </cfRule>
    <cfRule type="cellIs" dxfId="378" priority="124613" operator="between">
      <formula>$AY$49</formula>
      <formula>$AY$50</formula>
    </cfRule>
    <cfRule type="cellIs" dxfId="377" priority="124614" operator="between">
      <formula>$AY$48</formula>
      <formula>$AY$49</formula>
    </cfRule>
    <cfRule type="cellIs" dxfId="376" priority="124615" operator="between">
      <formula>$AY$47</formula>
      <formula>$AY$48</formula>
    </cfRule>
  </conditionalFormatting>
  <conditionalFormatting sqref="BR1:BR1048576 BU1:BU1048576 BY1:BY1048576">
    <cfRule type="cellIs" dxfId="375" priority="124648" operator="between">
      <formula>$BZ$50</formula>
      <formula>1000</formula>
    </cfRule>
    <cfRule type="cellIs" dxfId="374" priority="124649" operator="between">
      <formula>$BZ$49</formula>
      <formula>$BZ$50</formula>
    </cfRule>
    <cfRule type="cellIs" dxfId="373" priority="124650" operator="between">
      <formula>$BZ$48</formula>
      <formula>$BZ$49</formula>
    </cfRule>
    <cfRule type="cellIs" dxfId="372" priority="124651" operator="between">
      <formula>$BZ$47</formula>
      <formula>$BZ$48</formula>
    </cfRule>
  </conditionalFormatting>
  <conditionalFormatting sqref="CS1:CS1048576 CV1:CV1048576 CZ1:CZ1048576">
    <cfRule type="cellIs" dxfId="371" priority="124684" operator="between">
      <formula>$DA$50</formula>
      <formula>1000</formula>
    </cfRule>
    <cfRule type="cellIs" dxfId="370" priority="124685" operator="between">
      <formula>$DA$49</formula>
      <formula>$DA$50</formula>
    </cfRule>
    <cfRule type="cellIs" dxfId="369" priority="124686" operator="between">
      <formula>$DA$48</formula>
      <formula>$DA$49</formula>
    </cfRule>
    <cfRule type="cellIs" dxfId="368" priority="124687" operator="between">
      <formula>$DA$47</formula>
      <formula>$DA$48</formula>
    </cfRule>
  </conditionalFormatting>
  <conditionalFormatting sqref="NB1:NB1048576 NE1:NE1048576 NI1:NI1048576 NL1:NL1048576">
    <cfRule type="cellIs" dxfId="367" priority="124720" operator="between">
      <formula>$NO$43</formula>
      <formula>$NO$44</formula>
    </cfRule>
  </conditionalFormatting>
  <conditionalFormatting sqref="DZ1:DZ1048576 EC1:EC1048576 EG1:EG1048576 EJ1:EJ1048576">
    <cfRule type="cellIs" dxfId="366" priority="124732" operator="between">
      <formula>$EK$50</formula>
      <formula>1000</formula>
    </cfRule>
    <cfRule type="cellIs" dxfId="365" priority="124733" operator="between">
      <formula>$EK$49</formula>
      <formula>$EK$50</formula>
    </cfRule>
    <cfRule type="cellIs" dxfId="364" priority="124734" operator="between">
      <formula>$EK$48</formula>
      <formula>$EK$49</formula>
    </cfRule>
    <cfRule type="cellIs" dxfId="363" priority="124735" operator="between">
      <formula>$EK$47</formula>
      <formula>$EK$48</formula>
    </cfRule>
  </conditionalFormatting>
  <conditionalFormatting sqref="FH1:FH1048576 FK1:FK1048576 FO1:FO1048576 FR1:FR1048576">
    <cfRule type="cellIs" dxfId="362" priority="124780" operator="between">
      <formula>$FS$50</formula>
      <formula>1000</formula>
    </cfRule>
    <cfRule type="cellIs" dxfId="361" priority="124781" operator="between">
      <formula>$FS$49</formula>
      <formula>$FS$50</formula>
    </cfRule>
    <cfRule type="cellIs" dxfId="360" priority="124782" operator="between">
      <formula>$FS$48</formula>
      <formula>$FS$49</formula>
    </cfRule>
    <cfRule type="cellIs" dxfId="359" priority="124783" operator="between">
      <formula>$FS$47</formula>
      <formula>$FS$48</formula>
    </cfRule>
  </conditionalFormatting>
  <conditionalFormatting sqref="GN1:GN1048576 GQ1:GQ1048576 GU1:GU1048576 GX1:GX1048576">
    <cfRule type="cellIs" dxfId="358" priority="124828" operator="between">
      <formula>$HA$46</formula>
      <formula>1000</formula>
    </cfRule>
    <cfRule type="cellIs" dxfId="357" priority="124829" operator="between">
      <formula>$HA$45</formula>
      <formula>$HA$46</formula>
    </cfRule>
    <cfRule type="cellIs" dxfId="356" priority="124830" operator="between">
      <formula>$HA$44</formula>
      <formula>$HA$45</formula>
    </cfRule>
    <cfRule type="cellIs" dxfId="355" priority="124831" operator="between">
      <formula>$HA$43</formula>
      <formula>$HA$44</formula>
    </cfRule>
  </conditionalFormatting>
  <conditionalFormatting sqref="GP1:GP1048576 GS1:GS1048576 GW1:GW1048576 GZ1:GZ1048576">
    <cfRule type="cellIs" dxfId="354" priority="124876" operator="between">
      <formula>$HA$50</formula>
      <formula>1000</formula>
    </cfRule>
    <cfRule type="cellIs" dxfId="353" priority="124877" operator="between">
      <formula>$HA$49</formula>
      <formula>$HA$50</formula>
    </cfRule>
    <cfRule type="cellIs" dxfId="352" priority="124878" operator="between">
      <formula>$HA$48</formula>
      <formula>$HA$49</formula>
    </cfRule>
    <cfRule type="cellIs" dxfId="351" priority="124879" operator="between">
      <formula>$HA$47</formula>
      <formula>$HA$48</formula>
    </cfRule>
  </conditionalFormatting>
  <conditionalFormatting sqref="HX1:HX1048576 IA1:IA1048576 IE1:IE1048576 IH1:IH1048576">
    <cfRule type="cellIs" dxfId="350" priority="124924" operator="between">
      <formula>$II$50</formula>
      <formula>1000</formula>
    </cfRule>
    <cfRule type="cellIs" dxfId="349" priority="124925" operator="between">
      <formula>$II$49</formula>
      <formula>$II$50</formula>
    </cfRule>
    <cfRule type="cellIs" dxfId="348" priority="124926" operator="between">
      <formula>$II$48</formula>
      <formula>$II$49</formula>
    </cfRule>
    <cfRule type="cellIs" dxfId="347" priority="124927" operator="between">
      <formula>$II$47</formula>
      <formula>$II$48</formula>
    </cfRule>
  </conditionalFormatting>
  <conditionalFormatting sqref="JD1:JD1048576 JG1:JG1048576 JK1:JK1048576 JN1:JN1048576">
    <cfRule type="cellIs" dxfId="346" priority="124972" operator="between">
      <formula>$JQ$46</formula>
      <formula>1000</formula>
    </cfRule>
    <cfRule type="cellIs" dxfId="345" priority="124973" operator="between">
      <formula>$JQ$45</formula>
      <formula>$JQ$46</formula>
    </cfRule>
    <cfRule type="cellIs" dxfId="344" priority="124974" operator="between">
      <formula>$JQ$44</formula>
      <formula>$JQ$45</formula>
    </cfRule>
    <cfRule type="cellIs" dxfId="343" priority="124975" operator="between">
      <formula>$JQ$43</formula>
      <formula>$JQ$44</formula>
    </cfRule>
  </conditionalFormatting>
  <conditionalFormatting sqref="JF1:JF1048576 JI1:JI1048576 JM1:JM1048576 JP1:JP1048576">
    <cfRule type="cellIs" dxfId="342" priority="125020" operator="between">
      <formula>$JQ$50</formula>
      <formula>1000</formula>
    </cfRule>
    <cfRule type="cellIs" dxfId="341" priority="125021" operator="between">
      <formula>$JQ$49</formula>
      <formula>$JQ$50</formula>
    </cfRule>
    <cfRule type="cellIs" dxfId="340" priority="125022" operator="between">
      <formula>$JQ$48</formula>
      <formula>$JQ$49</formula>
    </cfRule>
    <cfRule type="cellIs" dxfId="339" priority="125023" operator="between">
      <formula>$JQ$47</formula>
      <formula>$JQ$48</formula>
    </cfRule>
  </conditionalFormatting>
  <conditionalFormatting sqref="KL1:KL1048576 KO1:KO1048576 KS1:KS1048576 KV1:KV1048576">
    <cfRule type="cellIs" dxfId="338" priority="125068" operator="between">
      <formula>$KY$46</formula>
      <formula>1000</formula>
    </cfRule>
    <cfRule type="cellIs" dxfId="337" priority="125069" operator="between">
      <formula>$KY$45</formula>
      <formula>$KY$46</formula>
    </cfRule>
    <cfRule type="cellIs" dxfId="336" priority="125070" operator="between">
      <formula>$KY$44</formula>
      <formula>$KY$45</formula>
    </cfRule>
    <cfRule type="cellIs" dxfId="335" priority="125071" operator="between">
      <formula>$KY$43</formula>
      <formula>$KY$44</formula>
    </cfRule>
  </conditionalFormatting>
  <conditionalFormatting sqref="KN1:KN1048576 KQ1:KQ1048576 KU1:KU1048576 KX1:KX1048576">
    <cfRule type="cellIs" dxfId="334" priority="125116" operator="between">
      <formula>$KY$50</formula>
      <formula>1000</formula>
    </cfRule>
    <cfRule type="cellIs" dxfId="333" priority="125117" operator="between">
      <formula>$KY$49</formula>
      <formula>$KY$50</formula>
    </cfRule>
    <cfRule type="cellIs" dxfId="332" priority="125118" operator="between">
      <formula>$KY$48</formula>
      <formula>$KY$49</formula>
    </cfRule>
    <cfRule type="cellIs" dxfId="331" priority="125119" operator="between">
      <formula>$KY$47</formula>
      <formula>$KY$48</formula>
    </cfRule>
  </conditionalFormatting>
  <conditionalFormatting sqref="LT1:LT1048576 LW1:LW1048576 MA1:MA1048576 MD1:MD1048576">
    <cfRule type="cellIs" dxfId="330" priority="125164" operator="between">
      <formula>$MG$46</formula>
      <formula>1000</formula>
    </cfRule>
    <cfRule type="cellIs" dxfId="329" priority="125165" operator="between">
      <formula>$MG$45</formula>
      <formula>$MG$46</formula>
    </cfRule>
    <cfRule type="cellIs" dxfId="328" priority="125166" operator="between">
      <formula>$MG$44</formula>
      <formula>$MG$45</formula>
    </cfRule>
    <cfRule type="cellIs" dxfId="327" priority="125167" operator="between">
      <formula>$MG$43</formula>
      <formula>$MG$44</formula>
    </cfRule>
  </conditionalFormatting>
  <conditionalFormatting sqref="LV1:LV1048576 LY1:LY1048576 MC1:MC1048576 MF1:MF1048576">
    <cfRule type="cellIs" dxfId="326" priority="125212" operator="between">
      <formula>$MG$50</formula>
      <formula>1000</formula>
    </cfRule>
    <cfRule type="cellIs" dxfId="325" priority="125213" operator="between">
      <formula>$MG$49</formula>
      <formula>$MG$50</formula>
    </cfRule>
    <cfRule type="cellIs" dxfId="324" priority="125214" operator="between">
      <formula>$MG$48</formula>
      <formula>$MG$49</formula>
    </cfRule>
    <cfRule type="cellIs" dxfId="323" priority="125215" operator="between">
      <formula>$MG$47</formula>
      <formula>$MG$48</formula>
    </cfRule>
  </conditionalFormatting>
  <conditionalFormatting sqref="NB1:NB1048576 NE1:NE1048576 NI1:NI1048576">
    <cfRule type="cellIs" dxfId="322" priority="125260" operator="between">
      <formula>$NO$46</formula>
      <formula>1000</formula>
    </cfRule>
    <cfRule type="cellIs" dxfId="321" priority="125261" operator="between">
      <formula>$NO$45</formula>
      <formula>$NO$46</formula>
    </cfRule>
    <cfRule type="cellIs" dxfId="320" priority="125262" operator="between">
      <formula>$NO$44</formula>
      <formula>$NO$45</formula>
    </cfRule>
  </conditionalFormatting>
  <conditionalFormatting sqref="ND1:ND1048576 NG1:NG1048576 NK1:NK1048576 NN1:NN1048576">
    <cfRule type="cellIs" dxfId="319" priority="125287" operator="between">
      <formula>$NO$50</formula>
      <formula>1000</formula>
    </cfRule>
    <cfRule type="cellIs" dxfId="318" priority="125288" operator="between">
      <formula>$NO$49</formula>
      <formula>$NO$50</formula>
    </cfRule>
    <cfRule type="cellIs" dxfId="317" priority="125289" operator="between">
      <formula>$NO$48</formula>
      <formula>$NO$49</formula>
    </cfRule>
    <cfRule type="cellIs" dxfId="316" priority="125290" operator="between">
      <formula>$NO$47</formula>
      <formula>$NO$48</formula>
    </cfRule>
  </conditionalFormatting>
  <conditionalFormatting sqref="OJ1:OJ1048576 OM1:OM1048576 OQ1:OQ1048576 OT1:OT1048576">
    <cfRule type="cellIs" dxfId="315" priority="125335" operator="between">
      <formula>$OW$46</formula>
      <formula>1000</formula>
    </cfRule>
    <cfRule type="cellIs" dxfId="314" priority="125336" operator="between">
      <formula>$OW$45</formula>
      <formula>$OW$46</formula>
    </cfRule>
    <cfRule type="cellIs" dxfId="313" priority="125337" operator="between">
      <formula>$OW$44</formula>
      <formula>$OW$45</formula>
    </cfRule>
    <cfRule type="cellIs" dxfId="312" priority="125338" operator="between">
      <formula>$OW$43</formula>
      <formula>$OW$44</formula>
    </cfRule>
  </conditionalFormatting>
  <conditionalFormatting sqref="OL1:OL1048576 OO1:OO1048576 OS1:OS1048576 OV1:OV1048576">
    <cfRule type="cellIs" dxfId="311" priority="125383" operator="between">
      <formula>$OW$50</formula>
      <formula>1000</formula>
    </cfRule>
    <cfRule type="cellIs" dxfId="310" priority="125384" operator="between">
      <formula>$OW$49</formula>
      <formula>$OW$50</formula>
    </cfRule>
    <cfRule type="cellIs" dxfId="309" priority="125385" operator="between">
      <formula>$OW$48</formula>
      <formula>$OW$49</formula>
    </cfRule>
    <cfRule type="cellIs" dxfId="308" priority="125386" operator="between">
      <formula>$OW$47</formula>
      <formula>$OW$48</formula>
    </cfRule>
  </conditionalFormatting>
  <conditionalFormatting sqref="PR1:PR1048576 PU1:PU1048576 PY1:PY1048576 QB1:QB1048576">
    <cfRule type="cellIs" dxfId="307" priority="125431" operator="between">
      <formula>$QE$46</formula>
      <formula>1000</formula>
    </cfRule>
    <cfRule type="cellIs" dxfId="306" priority="125432" operator="between">
      <formula>$QE$45</formula>
      <formula>$QE$46</formula>
    </cfRule>
    <cfRule type="cellIs" dxfId="305" priority="125433" operator="between">
      <formula>$QE$44</formula>
      <formula>$QE$45</formula>
    </cfRule>
    <cfRule type="cellIs" dxfId="304" priority="125434" operator="between">
      <formula>$QE$43</formula>
      <formula>$QE$44</formula>
    </cfRule>
  </conditionalFormatting>
  <conditionalFormatting sqref="PT1:PT1048576 PW1:PW1048576 QA1:QA1048576 QD1:QD1048576">
    <cfRule type="cellIs" dxfId="303" priority="125479" operator="between">
      <formula>$QE$50</formula>
      <formula>1000</formula>
    </cfRule>
    <cfRule type="cellIs" dxfId="302" priority="125480" operator="between">
      <formula>$QE$49</formula>
      <formula>$QE$50</formula>
    </cfRule>
    <cfRule type="cellIs" dxfId="301" priority="125481" operator="between">
      <formula>$QE$48</formula>
      <formula>$QE$49</formula>
    </cfRule>
    <cfRule type="cellIs" dxfId="300" priority="125482" operator="between">
      <formula>$QE$47</formula>
      <formula>$QE$48</formula>
    </cfRule>
  </conditionalFormatting>
  <conditionalFormatting sqref="QZ1:QZ1048576 RC1:RC1048576 RG1:RG1048576 RJ1:RJ1048576">
    <cfRule type="cellIs" dxfId="299" priority="125527" operator="between">
      <formula>$RM$46</formula>
      <formula>1000</formula>
    </cfRule>
    <cfRule type="cellIs" dxfId="298" priority="125528" operator="between">
      <formula>$RM$45</formula>
      <formula>$RM$46</formula>
    </cfRule>
    <cfRule type="cellIs" dxfId="297" priority="125529" operator="between">
      <formula>$RM$44</formula>
      <formula>$RM$45</formula>
    </cfRule>
    <cfRule type="cellIs" dxfId="296" priority="125530" operator="between">
      <formula>$RM$43</formula>
      <formula>$RM$44</formula>
    </cfRule>
  </conditionalFormatting>
  <conditionalFormatting sqref="RB1:RB1048576 RE1:RE1048576 RI1:RI1048576 RL1:RL1048576">
    <cfRule type="cellIs" dxfId="295" priority="125575" operator="between">
      <formula>$RM$50</formula>
      <formula>1000</formula>
    </cfRule>
    <cfRule type="cellIs" dxfId="294" priority="125576" operator="between">
      <formula>$RM$49</formula>
      <formula>$RM$50</formula>
    </cfRule>
    <cfRule type="cellIs" dxfId="293" priority="125577" operator="between">
      <formula>$RM$48</formula>
      <formula>$RM$49</formula>
    </cfRule>
    <cfRule type="cellIs" dxfId="292" priority="125578" operator="between">
      <formula>$RM$47</formula>
      <formula>$RM$48</formula>
    </cfRule>
  </conditionalFormatting>
  <conditionalFormatting sqref="SH1:SH1048576 SK1:SK1048576 SO1:SO1048576 SR1:SR1048576">
    <cfRule type="cellIs" dxfId="291" priority="125623" operator="between">
      <formula>$SU$46</formula>
      <formula>1000</formula>
    </cfRule>
    <cfRule type="cellIs" dxfId="290" priority="125624" operator="between">
      <formula>$SU$45</formula>
      <formula>$SU$46</formula>
    </cfRule>
    <cfRule type="cellIs" dxfId="289" priority="125625" operator="between">
      <formula>$SU$44</formula>
      <formula>$SU$45</formula>
    </cfRule>
    <cfRule type="cellIs" dxfId="288" priority="125626" operator="between">
      <formula>$SU$43</formula>
      <formula>$SU$44</formula>
    </cfRule>
  </conditionalFormatting>
  <conditionalFormatting sqref="SJ1:SJ1048576 SM1:SM1048576 SQ1:SQ1048576 ST1:ST1048576">
    <cfRule type="cellIs" dxfId="287" priority="125671" operator="between">
      <formula>$SU$50</formula>
      <formula>1000</formula>
    </cfRule>
    <cfRule type="cellIs" dxfId="286" priority="125672" operator="between">
      <formula>$SU$49</formula>
      <formula>$SU$50</formula>
    </cfRule>
    <cfRule type="cellIs" dxfId="285" priority="125673" operator="between">
      <formula>$SU$48</formula>
      <formula>$SU$49</formula>
    </cfRule>
    <cfRule type="cellIs" dxfId="284" priority="125674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7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42" width="10.83203125" hidden="1" customWidth="1"/>
    <col min="243" max="243" width="10.83203125" style="36" hidden="1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71</v>
      </c>
      <c r="M1" s="76" t="s">
        <v>25</v>
      </c>
      <c r="N1" s="75" t="s">
        <v>72</v>
      </c>
      <c r="O1" s="76" t="s">
        <v>25</v>
      </c>
      <c r="P1" s="75" t="s">
        <v>136</v>
      </c>
      <c r="Q1" s="76" t="s">
        <v>25</v>
      </c>
      <c r="R1" s="76" t="s">
        <v>73</v>
      </c>
      <c r="S1" s="76" t="s">
        <v>25</v>
      </c>
      <c r="T1" s="75" t="s">
        <v>74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162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212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159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188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198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80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80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80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80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80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80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80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80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80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80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80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80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103</v>
      </c>
      <c r="D4" s="4" t="s">
        <v>3</v>
      </c>
      <c r="E4" s="4">
        <v>2004</v>
      </c>
      <c r="F4" s="9">
        <f t="shared" ref="F4:F38" si="0">SUM(L4:V4)+SUM(L4:T4)*0.0000001+SUM(L4)*0.0000000000001</f>
        <v>185.57001855700523</v>
      </c>
      <c r="G4" s="66" t="s">
        <v>46</v>
      </c>
      <c r="H4" s="3" t="str">
        <f t="shared" ref="H4:H38" si="1"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>P</v>
      </c>
      <c r="I4" s="3" t="str">
        <f t="shared" ref="I4:I38" si="2">IF(OR(AND(AQ4&gt;=AY$45,AQ4&lt;&gt;"",AN4=""),AND(AT4&gt;=AY$45,AT4&lt;&gt;"",AN4=""),AND(AX4&gt;=AY$45,AX4&lt;&gt;"",AN4=""),AND(BR4&gt;=BZ$45,BR4&lt;&gt;"",BO4=""),AND(BU4&gt;=BZ$45,BU4&lt;&gt;"",BO4=""),AND(BY4&gt;=BZ$45,BY4&lt;&gt;"",BO4=""),AND(CS4&gt;=DA$45,CS4&lt;&gt;"",CP4=""),AND(CV4&gt;=DA$45,CV4&lt;&gt;"",CP4=""),AND(CZ4&gt;=DA$45,CZ4&lt;&gt;"",CP4=""),AND(DZ4&gt;=EK$45,DZ4&lt;&gt;""),AND(EC4&gt;=EK$45,EC4&lt;&gt;""),AND(EG4&gt;=EK$45,EG4&lt;&gt;""),AND(EJ4&gt;=EK$45,EJ4&lt;&gt;""),AND(FH4&gt;=FS$45,FH4&lt;&gt;""),AND(FK4&gt;=FS$45,FK4&lt;&gt;""),AND(FO4&gt;=FS$45,FO4&lt;&gt;""),AND(FR4&gt;=FS$45,FR4&lt;&gt;""),AND(GP4&gt;=HA$45,GP4&lt;&gt;""),AND(GS4&gt;=HA$45,GS4&lt;&gt;""),AND(GW4&gt;=HA$45,GW4&lt;&gt;""),AND(GZ4&gt;=HA$45,GZ4&lt;&gt;""),AND(HX4&gt;=II$45,HX4&lt;&gt;""),AND(IA4&gt;=II$45,IA4&lt;&gt;""),AND(IE4&gt;=II$45,IE4&lt;&gt;""),AND(IH4&gt;=II$45,IH4&lt;&gt;""),AND(JF4&gt;=JQ$45,JF4&lt;&gt;""),AND(JI4&gt;=JQ$45,JI4&lt;&gt;""),AND(JM4&gt;=JQ$45,JM4&lt;&gt;""),AND(JP4&gt;=JQ$45,JP4&lt;&gt;""),AND(KN4&gt;=KY$45,KN4&lt;&gt;""),AND(KQ4&gt;=KY$45,KQ4&lt;&gt;""),AND(KU4&gt;=KY$45,KU4&lt;&gt;""),AND(KX4&gt;=KY$45,KX4&lt;&gt;""),AND(LV4&gt;=MG$45,LV4&lt;&gt;""),AND(LY4&gt;=MG$45,LY4&lt;&gt;""),AND(MC4&gt;=MG$45,MC4&lt;&gt;""),AND(MF4&gt;=MG$45,MF4&lt;&gt;""),AND(ND4&gt;=NO$45,ND4&lt;&gt;""),AND(NG4&gt;=NO$45,NG4&lt;&gt;""),AND(NK4&gt;=NO$45,NK4&lt;&gt;""),AND(NN4&gt;=NO$45,NN4&lt;&gt;""),AND(OL4&gt;=OW$45,OL4&lt;&gt;""),AND(OO4&gt;=OW$45,OO4&lt;&gt;""),AND(OS4&gt;=OW$45,OS4&lt;&gt;""),AND(OV4&gt;=OW$45,OV4&lt;&gt;""),AND(PT4&gt;=QE$45,PT4&lt;&gt;""),AND(PW4&gt;=QE$45,PW4&lt;&gt;""),AND(QA4&gt;=QE$45,QA4&lt;&gt;""),AND(QD4&gt;=QE$45,QD4&lt;&gt;""),AND(RB4&gt;=RM$45,RB4&lt;&gt;""),AND(RE4&gt;=RM$45,RE4&lt;&gt;""),AND(RI4&gt;=RM$45,RI4&lt;&gt;""),AND(RL4&gt;=RM$45,RL4&lt;&gt;""),AND(SJ4&gt;=SU$45,SJ4&lt;&gt;""),AND(SM4&gt;=SU$45,SM4&lt;&gt;""),AND(SQ4&gt;=SU$45,SQ4&lt;&gt;""),AND(ST4&gt;=SU$45,ST4&lt;&gt;"")),"P","")</f>
        <v>P</v>
      </c>
      <c r="J4" s="36" t="str">
        <f t="shared" ref="J4:J38" si="3">IF(AND(I4="P",H4=""),"No DD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Merit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Excellence",IF(K4="P","Worlds Team",IF(H4="P","National Team","")))))</f>
        <v>National Team</v>
      </c>
      <c r="K4" s="3" t="str">
        <f t="shared" ref="K4:K38" si="4"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/>
      </c>
      <c r="L4" s="8">
        <f>IF(COUNT(AQ4,AT4,BR4,BU4,CS4,CV4)&gt;0,LARGE((AQ4,AT4,BR4,BU4,CS4,CV4),1),0)</f>
        <v>52.349999999999994</v>
      </c>
      <c r="M4" s="8" t="str">
        <f t="shared" ref="M4:M38" si="5"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 t="shared" ref="O4:O38" si="6"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 t="shared" ref="Q4:Q38" si="7">IF(P4="","",IF(OR(P4=CS4,P4=CV4,P4=CZ4),$CA$1,IF(OR(P4=BR4,P4=BU4,P4=BY4),$AZ$1,IF(OR(P4=AQ4,P4=AT4,P4=AX4),$Y$1,""))))</f>
        <v>2023 Nationals</v>
      </c>
      <c r="R4" s="8">
        <f t="shared" ref="R4:R38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 t="shared" ref="S4:S38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 t="shared" ref="T4:T38" si="10">IF(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&gt;0,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,0)</f>
        <v>14.95</v>
      </c>
      <c r="U4" s="8" t="str">
        <f t="shared" ref="U4:U38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 t="shared" ref="V4:V38" si="12">IF(MAX(DB4,DC4)&gt;0,MAX(DB4,DC4),"")</f>
        <v/>
      </c>
      <c r="W4" s="11" t="str">
        <f t="shared" ref="W4:W38" si="13">IF(V4="","",IF(V4=DB4,"("&amp;DB$2&amp;")",IF(V4=DC4,"("&amp;DC$2&amp;")")))</f>
        <v/>
      </c>
      <c r="X4" s="8" t="str">
        <f t="shared" ref="X4:X38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13.5</v>
      </c>
      <c r="Z4" s="22">
        <v>9.8000000000000007</v>
      </c>
      <c r="AA4" s="22">
        <v>13.4</v>
      </c>
      <c r="AB4" s="22">
        <v>14.14</v>
      </c>
      <c r="AC4" s="22">
        <v>0</v>
      </c>
      <c r="AD4" s="22">
        <v>1.4</v>
      </c>
      <c r="AE4" s="22">
        <v>0.8</v>
      </c>
      <c r="AF4" s="22">
        <v>2</v>
      </c>
      <c r="AG4" s="22">
        <v>1.53</v>
      </c>
      <c r="AH4" s="22">
        <v>0</v>
      </c>
      <c r="AI4" s="22">
        <v>14.9</v>
      </c>
      <c r="AJ4" s="22">
        <v>9.1999999999999993</v>
      </c>
      <c r="AK4" s="22">
        <v>13.6</v>
      </c>
      <c r="AL4" s="22">
        <v>14.7</v>
      </c>
      <c r="AM4" s="22">
        <v>0</v>
      </c>
      <c r="AN4" s="27"/>
      <c r="AO4" s="38">
        <f t="shared" ref="AO4:AO38" si="15">IF(AA4&gt;0,AA4,"")</f>
        <v>13.4</v>
      </c>
      <c r="AP4" s="38">
        <f t="shared" ref="AP4:AP38" si="16">IF(AB4&gt;0,AB4,"")</f>
        <v>14.14</v>
      </c>
      <c r="AQ4" s="40">
        <f t="shared" ref="AQ4:AQ38" si="17">IF(SUM(Y4:AB4)-AC4&gt;0,SUM(Y4:AB4)-AC4,"")</f>
        <v>50.84</v>
      </c>
      <c r="AR4" s="40">
        <f t="shared" ref="AR4:AR38" si="18">IF(AF4&gt;0,AF4,"")</f>
        <v>2</v>
      </c>
      <c r="AS4" s="40">
        <f t="shared" ref="AS4:AS38" si="19">IF(AG4&gt;0,AG4,"")</f>
        <v>1.53</v>
      </c>
      <c r="AT4" s="40">
        <f t="shared" ref="AT4:AT38" si="20">IF(SUM(AD4:AG4)-AH4&gt;0,SUM(AD4:AG4)-AH4,"")</f>
        <v>5.73</v>
      </c>
      <c r="AU4" s="40">
        <f t="shared" ref="AU4:AU38" si="21">IF(AQ4="","",MAX(AQ4,AT4))</f>
        <v>50.84</v>
      </c>
      <c r="AV4" s="40">
        <f t="shared" ref="AV4:AV38" si="22">IF(AK4&gt;0,AK4,"")</f>
        <v>13.6</v>
      </c>
      <c r="AW4" s="40">
        <f t="shared" ref="AW4:AW38" si="23">IF(AL4&gt;0,AL4,"")</f>
        <v>14.7</v>
      </c>
      <c r="AX4" s="40">
        <f t="shared" ref="AX4:AX38" si="24">IF(SUM(AI4:AL4)-AM4&gt;0,SUM(AI4:AL4)-AM4,"")</f>
        <v>52.400000000000006</v>
      </c>
      <c r="AY4" s="40">
        <f t="shared" ref="AY4:AY38" si="25">IF(SUM(AU4,AX4)&gt;0,SUM(AU4,AX4),"")</f>
        <v>103.24000000000001</v>
      </c>
      <c r="AZ4" s="26">
        <v>14.3</v>
      </c>
      <c r="BA4" s="26">
        <v>9.4</v>
      </c>
      <c r="BB4" s="26">
        <v>13.4</v>
      </c>
      <c r="BC4" s="26">
        <v>14.77</v>
      </c>
      <c r="BD4" s="26">
        <v>0</v>
      </c>
      <c r="BE4" s="26">
        <v>14.2</v>
      </c>
      <c r="BF4" s="26">
        <v>9.6</v>
      </c>
      <c r="BG4" s="26">
        <v>13.6</v>
      </c>
      <c r="BH4" s="26">
        <v>14.95</v>
      </c>
      <c r="BI4" s="26">
        <v>0</v>
      </c>
      <c r="BJ4" s="26">
        <v>13.1</v>
      </c>
      <c r="BK4" s="26">
        <v>8.3000000000000007</v>
      </c>
      <c r="BL4" s="26">
        <v>13.6</v>
      </c>
      <c r="BM4" s="26">
        <v>14.1</v>
      </c>
      <c r="BN4" s="26">
        <v>0</v>
      </c>
      <c r="BO4" s="28"/>
      <c r="BP4" s="39">
        <f t="shared" ref="BP4:BP38" si="26">IF(BB4&gt;0,BB4,"")</f>
        <v>13.4</v>
      </c>
      <c r="BQ4" s="39">
        <f t="shared" ref="BQ4:BQ38" si="27">IF(BC4&gt;0,BC4,"")</f>
        <v>14.77</v>
      </c>
      <c r="BR4" s="11">
        <f t="shared" ref="BR4:BR38" si="28">IF(SUM(AZ4:BC4)-BD4&gt;0,SUM(AZ4:BC4)-BD4,"")</f>
        <v>51.870000000000005</v>
      </c>
      <c r="BS4" s="11">
        <f t="shared" ref="BS4:BS38" si="29">IF(BG4&gt;0,BG4,"")</f>
        <v>13.6</v>
      </c>
      <c r="BT4" s="11">
        <f t="shared" ref="BT4:BT38" si="30">IF(BH4&gt;0,BH4,"")</f>
        <v>14.95</v>
      </c>
      <c r="BU4" s="11">
        <f t="shared" ref="BU4:BU38" si="31">IF(SUM(BE4:BH4)-BI4&gt;0,SUM(BE4:BH4)-BI4,"")</f>
        <v>52.349999999999994</v>
      </c>
      <c r="BV4" s="11">
        <f t="shared" ref="BV4:BV38" si="32">IF(BR4="","",MAX(BR4,BU4))</f>
        <v>52.349999999999994</v>
      </c>
      <c r="BW4" s="11">
        <f t="shared" ref="BW4:BW38" si="33">IF(BL4&gt;0,BL4,"")</f>
        <v>13.6</v>
      </c>
      <c r="BX4" s="11">
        <f t="shared" ref="BX4:BX38" si="34">IF(BM4&gt;0,BM4,"")</f>
        <v>14.1</v>
      </c>
      <c r="BY4" s="11">
        <f t="shared" ref="BY4:BY38" si="35">IF(SUM(BJ4:BM4)-BN4&gt;0,SUM(BJ4:BM4)-BN4,"")</f>
        <v>49.1</v>
      </c>
      <c r="BZ4" s="11">
        <f t="shared" ref="BZ4:BZ38" si="36">IF(SUM(BV4,BY4)&gt;0,SUM(BV4,BY4),"")</f>
        <v>101.44999999999999</v>
      </c>
      <c r="CA4" s="22">
        <v>4.0999999999999996</v>
      </c>
      <c r="CB4" s="22">
        <v>2.5</v>
      </c>
      <c r="CC4" s="22">
        <v>4.7</v>
      </c>
      <c r="CD4" s="22">
        <v>4.54</v>
      </c>
      <c r="CE4" s="22">
        <v>0</v>
      </c>
      <c r="CF4" s="22">
        <v>9.9</v>
      </c>
      <c r="CG4" s="22">
        <v>9.1999999999999993</v>
      </c>
      <c r="CH4" s="22">
        <v>12.8</v>
      </c>
      <c r="CI4" s="22">
        <v>14.37</v>
      </c>
      <c r="CJ4" s="22">
        <v>0</v>
      </c>
      <c r="CK4" s="22">
        <v>13.9</v>
      </c>
      <c r="CL4" s="22">
        <v>9</v>
      </c>
      <c r="CM4" s="22">
        <v>14</v>
      </c>
      <c r="CN4" s="22">
        <v>14.93</v>
      </c>
      <c r="CO4" s="22">
        <v>0</v>
      </c>
      <c r="CP4" s="27"/>
      <c r="CQ4" s="38">
        <f t="shared" ref="CQ4:CQ38" si="37">IF(CC4&gt;0,CC4,"")</f>
        <v>4.7</v>
      </c>
      <c r="CR4" s="38">
        <f t="shared" ref="CR4:CR38" si="38">IF(CD4&gt;0,CD4,"")</f>
        <v>4.54</v>
      </c>
      <c r="CS4" s="40">
        <f t="shared" ref="CS4:CS38" si="39">IF(SUM(CA4:CD4)-CE4&gt;0,SUM(CA4:CD4)-CE4,"")</f>
        <v>15.84</v>
      </c>
      <c r="CT4" s="40">
        <f t="shared" ref="CT4:CT38" si="40">IF(CH4&gt;0,CH4,"")</f>
        <v>12.8</v>
      </c>
      <c r="CU4" s="40">
        <f t="shared" ref="CU4:CU38" si="41">IF(CI4&gt;0,CI4,"")</f>
        <v>14.37</v>
      </c>
      <c r="CV4" s="40">
        <f t="shared" ref="CV4:CV38" si="42">IF(SUM(CF4:CI4)-CJ4&gt;0,SUM(CF4:CI4)-CJ4,"")</f>
        <v>46.27</v>
      </c>
      <c r="CW4" s="40">
        <f t="shared" ref="CW4:CW38" si="43">IF(CS4="","",MAX(CS4,CV4))</f>
        <v>46.27</v>
      </c>
      <c r="CX4" s="40">
        <f t="shared" ref="CX4:CX38" si="44">IF(CM4&gt;0,CM4,"")</f>
        <v>14</v>
      </c>
      <c r="CY4" s="40">
        <f t="shared" ref="CY4:CY38" si="45">IF(CN4&gt;0,CN4,"")</f>
        <v>14.93</v>
      </c>
      <c r="CZ4" s="40">
        <f t="shared" ref="CZ4:CZ38" si="46">IF(SUM(CK4:CN4)-CO4&gt;0,SUM(CK4:CN4)-CO4,"")</f>
        <v>51.83</v>
      </c>
      <c r="DA4" s="40">
        <f t="shared" ref="DA4:DA38" si="47">IF(SUM(CW4,CZ4)&gt;0,SUM(CW4,CZ4),"")</f>
        <v>98.1</v>
      </c>
      <c r="DB4" s="50" t="str">
        <f t="shared" ref="DB4:DB38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38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13.8</v>
      </c>
      <c r="DE4" s="17">
        <v>9.5</v>
      </c>
      <c r="DF4" s="17">
        <v>12.7</v>
      </c>
      <c r="DG4" s="17">
        <v>14.7</v>
      </c>
      <c r="DH4" s="17">
        <v>0</v>
      </c>
      <c r="DI4" s="17">
        <v>14</v>
      </c>
      <c r="DJ4" s="17">
        <v>8.8000000000000007</v>
      </c>
      <c r="DK4" s="17">
        <v>12.9</v>
      </c>
      <c r="DL4" s="17">
        <v>14.44</v>
      </c>
      <c r="DM4" s="17">
        <v>0</v>
      </c>
      <c r="DN4" s="17"/>
      <c r="DO4" s="17"/>
      <c r="DP4" s="17"/>
      <c r="DQ4" s="17"/>
      <c r="DR4" s="17"/>
      <c r="DS4" s="17">
        <v>14.2</v>
      </c>
      <c r="DT4" s="17">
        <v>9.4</v>
      </c>
      <c r="DU4" s="17">
        <v>12.9</v>
      </c>
      <c r="DV4" s="17">
        <v>14.59</v>
      </c>
      <c r="DW4" s="17">
        <v>0</v>
      </c>
      <c r="DX4" s="40">
        <f t="shared" ref="DX4:DX38" si="50">IF(DF4&gt;0,DF4,"")</f>
        <v>12.7</v>
      </c>
      <c r="DY4" s="40">
        <f t="shared" ref="DY4:DY38" si="51">IF(DG4&gt;0,DG4,"")</f>
        <v>14.7</v>
      </c>
      <c r="DZ4" s="40">
        <f t="shared" ref="DZ4:DZ38" si="52">IF(SUM(DD4:DG4)-DH4&gt;0,SUM(DD4:DG4)-DH4,"")</f>
        <v>50.7</v>
      </c>
      <c r="EA4" s="40">
        <f t="shared" ref="EA4:EA38" si="53">IF(DK4&gt;0,DK4,"")</f>
        <v>12.9</v>
      </c>
      <c r="EB4" s="40">
        <f t="shared" ref="EB4:EB38" si="54">IF(DL4&gt;0,DL4,"")</f>
        <v>14.44</v>
      </c>
      <c r="EC4" s="40">
        <f t="shared" ref="EC4:EC38" si="55">IF(SUM(DI4:DL4)-DM4&gt;0,SUM(DI4:DL4)-DM4,"")</f>
        <v>50.14</v>
      </c>
      <c r="ED4" s="40">
        <f t="shared" ref="ED4:ED38" si="56">IF(MAX(DZ4,EC4)&gt;0,MAX(DZ4,EC4),"")</f>
        <v>50.7</v>
      </c>
      <c r="EE4" s="40" t="str">
        <f t="shared" ref="EE4:EE38" si="57">IF(DP4&gt;0,DP4,"")</f>
        <v/>
      </c>
      <c r="EF4" s="40" t="str">
        <f t="shared" ref="EF4:EF38" si="58">IF(DQ4&gt;0,DQ4,"")</f>
        <v/>
      </c>
      <c r="EG4" s="40" t="str">
        <f t="shared" ref="EG4:EG38" si="59">IF(SUM(DN4:DQ4)-DR4&gt;0,SUM(DN4:DQ4)-DR4,"")</f>
        <v/>
      </c>
      <c r="EH4" s="40">
        <f t="shared" ref="EH4:EH38" si="60">IF(DU4&gt;0,DU4,"")</f>
        <v>12.9</v>
      </c>
      <c r="EI4" s="40">
        <f t="shared" ref="EI4:EI38" si="61">IF(DV4&gt;0,DV4,"")</f>
        <v>14.59</v>
      </c>
      <c r="EJ4" s="40">
        <f t="shared" ref="EJ4:EJ38" si="62">IF(SUM(DS4:DV4)-DW4&gt;0,SUM(DS4:DV4)-DW4,"")</f>
        <v>51.09</v>
      </c>
      <c r="EK4" s="40">
        <f t="shared" ref="EK4:EK38" si="63">IF(SUM(ED4,EG4,EJ4)&gt;0,SUM(ED4,EG4,EJ4),"")</f>
        <v>101.79</v>
      </c>
      <c r="EL4" s="18">
        <v>12.9</v>
      </c>
      <c r="EM4" s="18">
        <v>9.1</v>
      </c>
      <c r="EN4" s="18">
        <v>13.4</v>
      </c>
      <c r="EO4" s="18">
        <v>14.46</v>
      </c>
      <c r="EP4" s="18">
        <v>0</v>
      </c>
      <c r="EQ4" s="18">
        <v>12.1</v>
      </c>
      <c r="ER4" s="18">
        <v>8.9</v>
      </c>
      <c r="ES4" s="18">
        <v>12.2</v>
      </c>
      <c r="ET4" s="18">
        <v>14.38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38" si="64">IF(EN4&gt;0,EN4,"")</f>
        <v>13.4</v>
      </c>
      <c r="FG4" s="11">
        <f t="shared" ref="FG4:FG38" si="65">IF(EO4&gt;0,EO4,"")</f>
        <v>14.46</v>
      </c>
      <c r="FH4" s="11">
        <f t="shared" ref="FH4:FH38" si="66">IF(SUM(EL4:EO4)-EP4&gt;0,SUM(EL4:EO4)-EP4,"")</f>
        <v>49.86</v>
      </c>
      <c r="FI4" s="11">
        <f t="shared" ref="FI4:FI38" si="67">IF(ES4&gt;0,ES4,"")</f>
        <v>12.2</v>
      </c>
      <c r="FJ4" s="11">
        <f t="shared" ref="FJ4:FJ38" si="68">IF(ET4&gt;0,ET4,"")</f>
        <v>14.38</v>
      </c>
      <c r="FK4" s="11">
        <f t="shared" ref="FK4:FK38" si="69">IF(SUM(EQ4:ET4)-EU4&gt;0,SUM(EQ4:ET4)-EU4,"")</f>
        <v>47.580000000000005</v>
      </c>
      <c r="FL4" s="11">
        <f t="shared" ref="FL4:FL38" si="70">IF(MAX(FH4,FK4)&gt;0,MAX(FH4,FK4),"")</f>
        <v>49.86</v>
      </c>
      <c r="FM4" s="11" t="str">
        <f t="shared" ref="FM4:FM38" si="71">IF(EX4&gt;0,EX4,"")</f>
        <v/>
      </c>
      <c r="FN4" s="11" t="str">
        <f t="shared" ref="FN4:FN38" si="72">IF(EY4&gt;0,EY4,"")</f>
        <v/>
      </c>
      <c r="FO4" s="11" t="str">
        <f t="shared" ref="FO4:FO38" si="73">IF(SUM(EV4:EY4)-EZ4&gt;0,SUM(EV4:EY4)-EZ4,"")</f>
        <v/>
      </c>
      <c r="FP4" s="11" t="str">
        <f t="shared" ref="FP4:FP38" si="74">IF(FC4&gt;0,FC4,"")</f>
        <v/>
      </c>
      <c r="FQ4" s="11" t="str">
        <f t="shared" ref="FQ4:FQ38" si="75">IF(FD4&gt;0,FD4,"")</f>
        <v/>
      </c>
      <c r="FR4" s="11" t="str">
        <f t="shared" ref="FR4:FR38" si="76">IF(SUM(FA4:FD4)-FE4&gt;0,SUM(FA4:FD4)-FE4,"")</f>
        <v/>
      </c>
      <c r="FS4" s="11">
        <f t="shared" ref="FS4:FS38" si="77">IF(SUM(FL4,FO4,FR4)&gt;0,SUM(FL4,FO4,FR4),"")</f>
        <v>49.86</v>
      </c>
      <c r="FT4" s="17">
        <v>13.7</v>
      </c>
      <c r="FU4" s="17">
        <v>9</v>
      </c>
      <c r="FV4" s="17">
        <v>13.2</v>
      </c>
      <c r="FW4" s="17">
        <v>14.45</v>
      </c>
      <c r="FX4" s="17">
        <v>0</v>
      </c>
      <c r="FY4" s="17">
        <v>14.3</v>
      </c>
      <c r="FZ4" s="17">
        <v>9.1999999999999993</v>
      </c>
      <c r="GA4" s="17">
        <v>13.6</v>
      </c>
      <c r="GB4" s="17">
        <v>14.41</v>
      </c>
      <c r="GC4" s="17">
        <v>0</v>
      </c>
      <c r="GD4" s="17"/>
      <c r="GE4" s="17"/>
      <c r="GF4" s="17"/>
      <c r="GG4" s="17"/>
      <c r="GH4" s="17"/>
      <c r="GI4" s="17">
        <v>14.7</v>
      </c>
      <c r="GJ4" s="17">
        <v>9.1</v>
      </c>
      <c r="GK4" s="17">
        <v>13.6</v>
      </c>
      <c r="GL4" s="17">
        <v>14.43</v>
      </c>
      <c r="GM4" s="17">
        <v>0</v>
      </c>
      <c r="GN4" s="40">
        <f t="shared" ref="GN4:GN38" si="78">IF(FV4&gt;0,FV4,"")</f>
        <v>13.2</v>
      </c>
      <c r="GO4" s="40">
        <f t="shared" ref="GO4:GO38" si="79">IF(FW4&gt;0,FW4,"")</f>
        <v>14.45</v>
      </c>
      <c r="GP4" s="40">
        <f t="shared" ref="GP4:GP38" si="80">IF(SUM(FT4:FW4)-FX4&gt;0,SUM(FT4:FW4)-FX4,"")</f>
        <v>50.349999999999994</v>
      </c>
      <c r="GQ4" s="40">
        <f t="shared" ref="GQ4:GQ38" si="81">IF(GA4&gt;0,GA4,"")</f>
        <v>13.6</v>
      </c>
      <c r="GR4" s="40">
        <f t="shared" ref="GR4:GR38" si="82">IF(GB4&gt;0,GB4,"")</f>
        <v>14.41</v>
      </c>
      <c r="GS4" s="40">
        <f t="shared" ref="GS4:GS38" si="83">IF(SUM(FY4:GB4)-GC4&gt;0,SUM(FY4:GB4)-GC4,"")</f>
        <v>51.510000000000005</v>
      </c>
      <c r="GT4" s="40">
        <f t="shared" ref="GT4:GT38" si="84">IF(MAX(GP4,GS4)&gt;0,MAX(GP4,GS4),"")</f>
        <v>51.510000000000005</v>
      </c>
      <c r="GU4" s="40" t="str">
        <f t="shared" ref="GU4:GU38" si="85">IF(GF4&gt;0,GF4,"")</f>
        <v/>
      </c>
      <c r="GV4" s="40" t="str">
        <f t="shared" ref="GV4:GV38" si="86">IF(GG4&gt;0,GG4,"")</f>
        <v/>
      </c>
      <c r="GW4" s="40" t="str">
        <f t="shared" ref="GW4:GW38" si="87">IF(SUM(GD4:GG4)-GH4&gt;0,SUM(GD4:GG4)-GH4,"")</f>
        <v/>
      </c>
      <c r="GX4" s="40">
        <f t="shared" ref="GX4:GX38" si="88">IF(GK4&gt;0,GK4,"")</f>
        <v>13.6</v>
      </c>
      <c r="GY4" s="40">
        <f t="shared" ref="GY4:GY38" si="89">IF(GL4&gt;0,GL4,"")</f>
        <v>14.43</v>
      </c>
      <c r="GZ4" s="40">
        <f t="shared" ref="GZ4:GZ38" si="90">IF(SUM(GI4:GL4)-GM4&gt;0,SUM(GI4:GL4)-GM4,"")</f>
        <v>51.83</v>
      </c>
      <c r="HA4" s="40">
        <f t="shared" ref="HA4:HA38" si="91">IF(SUM(GT4,GW4,GZ4)&gt;0,SUM(GT4,GW4,GZ4),"")</f>
        <v>103.34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38" si="92">IF(HD4&gt;0,HD4,"")</f>
        <v/>
      </c>
      <c r="HW4" s="11" t="str">
        <f t="shared" ref="HW4:HW38" si="93">IF(HE4&gt;0,HE4,"")</f>
        <v/>
      </c>
      <c r="HX4" s="11" t="str">
        <f t="shared" ref="HX4:HX38" si="94">IF(SUM(HB4:HE4)-HF4&gt;0,SUM(HB4:HE4)-HF4,"")</f>
        <v/>
      </c>
      <c r="HY4" s="11" t="str">
        <f t="shared" ref="HY4:HY38" si="95">IF(HI4&gt;0,HI4,"")</f>
        <v/>
      </c>
      <c r="HZ4" s="11" t="str">
        <f t="shared" ref="HZ4:HZ38" si="96">IF(HJ4&gt;0,HJ4,"")</f>
        <v/>
      </c>
      <c r="IA4" s="11" t="str">
        <f t="shared" ref="IA4:IA38" si="97">IF(SUM(HG4:HJ4)-HK4&gt;0,SUM(HG4:HJ4)-HK4,"")</f>
        <v/>
      </c>
      <c r="IB4" s="11" t="str">
        <f t="shared" ref="IB4:IB38" si="98">IF(MAX(HX4,IA4)&gt;0,MAX(HX4,IA4),"")</f>
        <v/>
      </c>
      <c r="IC4" s="11" t="str">
        <f t="shared" ref="IC4:IC38" si="99">IF(HN4&gt;0,HN4,"")</f>
        <v/>
      </c>
      <c r="ID4" s="11" t="str">
        <f t="shared" ref="ID4:ID38" si="100">IF(HO4&gt;0,HO4,"")</f>
        <v/>
      </c>
      <c r="IE4" s="11" t="str">
        <f t="shared" ref="IE4:IE38" si="101">IF(SUM(HL4:HO4)-HP4&gt;0,SUM(HL4:HO4)-HP4,"")</f>
        <v/>
      </c>
      <c r="IF4" s="11" t="str">
        <f t="shared" ref="IF4:IF38" si="102">IF(HS4&gt;0,HS4,"")</f>
        <v/>
      </c>
      <c r="IG4" s="11" t="str">
        <f t="shared" ref="IG4:IG38" si="103">IF(HT4&gt;0,HT4,"")</f>
        <v/>
      </c>
      <c r="IH4" s="11" t="str">
        <f t="shared" ref="IH4:IH38" si="104">IF(SUM(HQ4:HT4)-HU4&gt;0,SUM(HQ4:HT4)-HU4,"")</f>
        <v/>
      </c>
      <c r="II4" s="11" t="str">
        <f t="shared" ref="II4:II38" si="105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38" si="106">IF(IL4&gt;0,IL4,"")</f>
        <v/>
      </c>
      <c r="JE4" s="40" t="str">
        <f t="shared" ref="JE4:JE38" si="107">IF(IM4&gt;0,IM4,"")</f>
        <v/>
      </c>
      <c r="JF4" s="40" t="str">
        <f t="shared" ref="JF4:JF38" si="108">IF(SUM(IJ4:IM4)-IN4&gt;0,SUM(IJ4:IM4)-IN4,"")</f>
        <v/>
      </c>
      <c r="JG4" s="40" t="str">
        <f t="shared" ref="JG4:JG38" si="109">IF(IQ4&gt;0,IQ4,"")</f>
        <v/>
      </c>
      <c r="JH4" s="40" t="str">
        <f t="shared" ref="JH4:JH38" si="110">IF(IR4&gt;0,IR4,"")</f>
        <v/>
      </c>
      <c r="JI4" s="40" t="str">
        <f t="shared" ref="JI4:JI38" si="111">IF(SUM(IO4:IR4)-IS4&gt;0,SUM(IO4:IR4)-IS4,"")</f>
        <v/>
      </c>
      <c r="JJ4" s="40" t="str">
        <f t="shared" ref="JJ4:JJ38" si="112">IF(MAX(JF4,JI4)&gt;0,MAX(JF4,JI4),"")</f>
        <v/>
      </c>
      <c r="JK4" s="40" t="str">
        <f t="shared" ref="JK4:JK38" si="113">IF(IV4&gt;0,IV4,"")</f>
        <v/>
      </c>
      <c r="JL4" s="40" t="str">
        <f t="shared" ref="JL4:JL38" si="114">IF(IW4&gt;0,IW4,"")</f>
        <v/>
      </c>
      <c r="JM4" s="40" t="str">
        <f t="shared" ref="JM4:JM38" si="115">IF(SUM(IT4:IW4)-IX4&gt;0,SUM(IT4:IW4)-IX4,"")</f>
        <v/>
      </c>
      <c r="JN4" s="40" t="str">
        <f t="shared" ref="JN4:JN38" si="116">IF(JA4&gt;0,JA4,"")</f>
        <v/>
      </c>
      <c r="JO4" s="40" t="str">
        <f t="shared" ref="JO4:JO38" si="117">IF(JB4&gt;0,JB4,"")</f>
        <v/>
      </c>
      <c r="JP4" s="40" t="str">
        <f t="shared" ref="JP4:JP38" si="118">IF(SUM(IY4:JB4)-JC4&gt;0,SUM(IY4:JB4)-JC4,"")</f>
        <v/>
      </c>
      <c r="JQ4" s="40" t="str">
        <f t="shared" ref="JQ4:JQ38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8" si="120">IF(JT4&gt;0,JT4,"")</f>
        <v/>
      </c>
      <c r="KM4" s="11" t="str">
        <f t="shared" ref="KM4:KM38" si="121">IF(JU4&gt;0,JU4,"")</f>
        <v/>
      </c>
      <c r="KN4" s="11" t="str">
        <f t="shared" ref="KN4:KN38" si="122">IF(SUM(JR4:JU4)-JV4&gt;0,SUM(JR4:JU4)-JV4,"")</f>
        <v/>
      </c>
      <c r="KO4" s="11" t="str">
        <f t="shared" ref="KO4:KO38" si="123">IF(JY4&gt;0,JY4,"")</f>
        <v/>
      </c>
      <c r="KP4" s="11" t="str">
        <f t="shared" ref="KP4:KP38" si="124">IF(JZ4&gt;0,JZ4,"")</f>
        <v/>
      </c>
      <c r="KQ4" s="11" t="str">
        <f t="shared" ref="KQ4:KQ38" si="125">IF(SUM(JW4:JZ4)-KA4&gt;0,SUM(JW4:JZ4)-KA4,"")</f>
        <v/>
      </c>
      <c r="KR4" s="11" t="str">
        <f t="shared" ref="KR4:KR38" si="126">IF(MAX(KN4,KQ4)&gt;0,MAX(KN4,KQ4),"")</f>
        <v/>
      </c>
      <c r="KS4" s="11" t="str">
        <f t="shared" ref="KS4:KS38" si="127">IF(KD4&gt;0,KD4,"")</f>
        <v/>
      </c>
      <c r="KT4" s="11" t="str">
        <f t="shared" ref="KT4:KT38" si="128">IF(KE4&gt;0,KE4,"")</f>
        <v/>
      </c>
      <c r="KU4" s="11" t="str">
        <f t="shared" ref="KU4:KU38" si="129">IF(SUM(KB4:KE4)-KF4&gt;0,SUM(KB4:KE4)-KF4,"")</f>
        <v/>
      </c>
      <c r="KV4" s="11" t="str">
        <f t="shared" ref="KV4:KV38" si="130">IF(KI4&gt;0,KI4,"")</f>
        <v/>
      </c>
      <c r="KW4" s="11" t="str">
        <f t="shared" ref="KW4:KW38" si="131">IF(KJ4&gt;0,KJ4,"")</f>
        <v/>
      </c>
      <c r="KX4" s="11" t="str">
        <f t="shared" ref="KX4:KX38" si="132">IF(SUM(KG4:KJ4)-KK4&gt;0,SUM(KG4:KJ4)-KK4,"")</f>
        <v/>
      </c>
      <c r="KY4" s="11" t="str">
        <f t="shared" ref="KY4:KY38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8" si="134">IF(LB4&gt;0,LB4,"")</f>
        <v/>
      </c>
      <c r="LU4" s="40" t="str">
        <f t="shared" ref="LU4:LU38" si="135">IF(LC4&gt;0,LC4,"")</f>
        <v/>
      </c>
      <c r="LV4" s="40" t="str">
        <f t="shared" ref="LV4:LV38" si="136">IF(SUM(KZ4:LC4)-LD4&gt;0,SUM(KZ4:LC4)-LD4,"")</f>
        <v/>
      </c>
      <c r="LW4" s="40" t="str">
        <f t="shared" ref="LW4:LW38" si="137">IF(LG4&gt;0,LG4,"")</f>
        <v/>
      </c>
      <c r="LX4" s="40" t="str">
        <f t="shared" ref="LX4:LX38" si="138">IF(LH4&gt;0,LH4,"")</f>
        <v/>
      </c>
      <c r="LY4" s="40" t="str">
        <f t="shared" ref="LY4:LY38" si="139">IF(SUM(LE4:LH4)-LI4&gt;0,SUM(LE4:LH4)-LI4,"")</f>
        <v/>
      </c>
      <c r="LZ4" s="40" t="str">
        <f t="shared" ref="LZ4:LZ38" si="140">IF(MAX(LV4,LY4)&gt;0,MAX(LV4,LY4),"")</f>
        <v/>
      </c>
      <c r="MA4" s="40" t="str">
        <f t="shared" ref="MA4:MA38" si="141">IF(LL4&gt;0,LL4,"")</f>
        <v/>
      </c>
      <c r="MB4" s="40" t="str">
        <f t="shared" ref="MB4:MB38" si="142">IF(LM4&gt;0,LM4,"")</f>
        <v/>
      </c>
      <c r="MC4" s="40" t="str">
        <f t="shared" ref="MC4:MC38" si="143">IF(SUM(LJ4:LM4)-LN4&gt;0,SUM(LJ4:LM4)-LN4,"")</f>
        <v/>
      </c>
      <c r="MD4" s="40" t="str">
        <f t="shared" ref="MD4:MD38" si="144">IF(LQ4&gt;0,LQ4,"")</f>
        <v/>
      </c>
      <c r="ME4" s="40" t="str">
        <f t="shared" ref="ME4:ME38" si="145">IF(LR4&gt;0,LR4,"")</f>
        <v/>
      </c>
      <c r="MF4" s="40" t="str">
        <f t="shared" ref="MF4:MF38" si="146">IF(SUM(LO4:LR4)-LS4&gt;0,SUM(LO4:LR4)-LS4,"")</f>
        <v/>
      </c>
      <c r="MG4" s="40" t="str">
        <f t="shared" ref="MG4:MG38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8" si="148">IF(MJ4&gt;0,MJ4,"")</f>
        <v/>
      </c>
      <c r="NC4" s="11" t="str">
        <f t="shared" ref="NC4:NC38" si="149">IF(MK4&gt;0,MK4,"")</f>
        <v/>
      </c>
      <c r="ND4" s="11" t="str">
        <f t="shared" ref="ND4:ND38" si="150">IF(SUM(MH4:MK4)-ML4&gt;0,SUM(MH4:MK4)-ML4,"")</f>
        <v/>
      </c>
      <c r="NE4" s="11" t="str">
        <f t="shared" ref="NE4:NE38" si="151">IF(MO4&gt;0,MO4,"")</f>
        <v/>
      </c>
      <c r="NF4" s="11" t="str">
        <f t="shared" ref="NF4:NF38" si="152">IF(MP4&gt;0,MP4,"")</f>
        <v/>
      </c>
      <c r="NG4" s="11" t="str">
        <f t="shared" ref="NG4:NG38" si="153">IF(SUM(MM4:MP4)-MQ4&gt;0,SUM(MM4:MP4)-MQ4,"")</f>
        <v/>
      </c>
      <c r="NH4" s="11" t="str">
        <f t="shared" ref="NH4:NH38" si="154">IF(MAX(ND4,NG4)&gt;0,MAX(ND4,NG4),"")</f>
        <v/>
      </c>
      <c r="NI4" s="11" t="str">
        <f t="shared" ref="NI4:NI38" si="155">IF(MT4&gt;0,MT4,"")</f>
        <v/>
      </c>
      <c r="NJ4" s="11" t="str">
        <f t="shared" ref="NJ4:NJ38" si="156">IF(MU4&gt;0,MU4,"")</f>
        <v/>
      </c>
      <c r="NK4" s="11" t="str">
        <f t="shared" ref="NK4:NK38" si="157">IF(SUM(MR4:MU4)-MV4&gt;0,SUM(MR4:MU4)-MV4,"")</f>
        <v/>
      </c>
      <c r="NL4" s="11" t="str">
        <f t="shared" ref="NL4:NL38" si="158">IF(MY4&gt;0,MY4,"")</f>
        <v/>
      </c>
      <c r="NM4" s="11" t="str">
        <f t="shared" ref="NM4:NM38" si="159">IF(MZ4&gt;0,MZ4,"")</f>
        <v/>
      </c>
      <c r="NN4" s="11" t="str">
        <f t="shared" ref="NN4:NN38" si="160">IF(SUM(MW4:MZ4)-NA4&gt;0,SUM(MW4:MZ4)-NA4,"")</f>
        <v/>
      </c>
      <c r="NO4" s="11" t="str">
        <f t="shared" ref="NO4:NO38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8" si="162">IF(NR4&gt;0,NR4,"")</f>
        <v/>
      </c>
      <c r="OK4" s="40" t="str">
        <f t="shared" ref="OK4:OK38" si="163">IF(NS4&gt;0,NS4,"")</f>
        <v/>
      </c>
      <c r="OL4" s="40" t="str">
        <f t="shared" ref="OL4:OL38" si="164">IF(SUM(NP4:NS4)-NT4&gt;0,SUM(NP4:NS4)-NT4,"")</f>
        <v/>
      </c>
      <c r="OM4" s="40" t="str">
        <f t="shared" ref="OM4:OM38" si="165">IF(NW4&gt;0,NW4,"")</f>
        <v/>
      </c>
      <c r="ON4" s="40" t="str">
        <f t="shared" ref="ON4:ON38" si="166">IF(NX4&gt;0,NX4,"")</f>
        <v/>
      </c>
      <c r="OO4" s="40" t="str">
        <f t="shared" ref="OO4:OO38" si="167">IF(SUM(NU4:NX4)-NY4&gt;0,SUM(NU4:NX4)-NY4,"")</f>
        <v/>
      </c>
      <c r="OP4" s="40" t="str">
        <f t="shared" ref="OP4:OP38" si="168">IF(MAX(OL4,OO4)&gt;0,MAX(OL4,OO4),"")</f>
        <v/>
      </c>
      <c r="OQ4" s="40" t="str">
        <f t="shared" ref="OQ4:OQ38" si="169">IF(OB4&gt;0,OB4,"")</f>
        <v/>
      </c>
      <c r="OR4" s="40" t="str">
        <f t="shared" ref="OR4:OR38" si="170">IF(OC4&gt;0,OC4,"")</f>
        <v/>
      </c>
      <c r="OS4" s="40" t="str">
        <f t="shared" ref="OS4:OS38" si="171">IF(SUM(NZ4:OC4)-OD4&gt;0,SUM(NZ4:OC4)-OD4,"")</f>
        <v/>
      </c>
      <c r="OT4" s="40" t="str">
        <f t="shared" ref="OT4:OT38" si="172">IF(OG4&gt;0,OG4,"")</f>
        <v/>
      </c>
      <c r="OU4" s="40" t="str">
        <f t="shared" ref="OU4:OU38" si="173">IF(OH4&gt;0,OH4,"")</f>
        <v/>
      </c>
      <c r="OV4" s="40" t="str">
        <f t="shared" ref="OV4:OV38" si="174">IF(SUM(OE4:OH4)-OI4&gt;0,SUM(OE4:OH4)-OI4,"")</f>
        <v/>
      </c>
      <c r="OW4" s="40" t="str">
        <f t="shared" ref="OW4:OW38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8" si="176">IF(OZ4&gt;0,OZ4,"")</f>
        <v/>
      </c>
      <c r="PS4" s="11" t="str">
        <f t="shared" ref="PS4:PS38" si="177">IF(PA4&gt;0,PA4,"")</f>
        <v/>
      </c>
      <c r="PT4" s="11" t="str">
        <f t="shared" ref="PT4:PT38" si="178">IF(SUM(OX4:PA4)-PB4&gt;0,SUM(OX4:PA4)-PB4,"")</f>
        <v/>
      </c>
      <c r="PU4" s="11" t="str">
        <f t="shared" ref="PU4:PU38" si="179">IF(PE4&gt;0,PE4,"")</f>
        <v/>
      </c>
      <c r="PV4" s="11" t="str">
        <f t="shared" ref="PV4:PV38" si="180">IF(PF4&gt;0,PF4,"")</f>
        <v/>
      </c>
      <c r="PW4" s="11" t="str">
        <f t="shared" ref="PW4:PW38" si="181">IF(SUM(PC4:PF4)-PG4&gt;0,SUM(PC4:PF4)-PG4,"")</f>
        <v/>
      </c>
      <c r="PX4" s="11" t="str">
        <f t="shared" ref="PX4:PX38" si="182">IF(MAX(PT4,PW4)&gt;0,MAX(PT4,PW4),"")</f>
        <v/>
      </c>
      <c r="PY4" s="11" t="str">
        <f t="shared" ref="PY4:PY38" si="183">IF(PJ4&gt;0,PJ4,"")</f>
        <v/>
      </c>
      <c r="PZ4" s="11" t="str">
        <f t="shared" ref="PZ4:PZ38" si="184">IF(PK4&gt;0,PK4,"")</f>
        <v/>
      </c>
      <c r="QA4" s="11" t="str">
        <f t="shared" ref="QA4:QA38" si="185">IF(SUM(PH4:PK4)-PL4&gt;0,SUM(PH4:PK4)-PL4,"")</f>
        <v/>
      </c>
      <c r="QB4" s="11" t="str">
        <f t="shared" ref="QB4:QB38" si="186">IF(PO4&gt;0,PO4,"")</f>
        <v/>
      </c>
      <c r="QC4" s="11" t="str">
        <f t="shared" ref="QC4:QC38" si="187">IF(PP4&gt;0,PP4,"")</f>
        <v/>
      </c>
      <c r="QD4" s="11" t="str">
        <f t="shared" ref="QD4:QD38" si="188">IF(SUM(PM4:PP4)-PQ4&gt;0,SUM(PM4:PP4)-PQ4,"")</f>
        <v/>
      </c>
      <c r="QE4" s="11" t="str">
        <f t="shared" ref="QE4:QE38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8" si="190">IF(QH4&gt;0,QH4,"")</f>
        <v/>
      </c>
      <c r="RA4" s="40" t="str">
        <f t="shared" ref="RA4:RA38" si="191">IF(QI4&gt;0,QI4,"")</f>
        <v/>
      </c>
      <c r="RB4" s="40" t="str">
        <f t="shared" ref="RB4:RB38" si="192">IF(SUM(QF4:QI4)-QJ4&gt;0,SUM(QF4:QI4)-QJ4,"")</f>
        <v/>
      </c>
      <c r="RC4" s="40" t="str">
        <f t="shared" ref="RC4:RC38" si="193">IF(QM4&gt;0,QM4,"")</f>
        <v/>
      </c>
      <c r="RD4" s="40" t="str">
        <f t="shared" ref="RD4:RD38" si="194">IF(QN4&gt;0,QN4,"")</f>
        <v/>
      </c>
      <c r="RE4" s="40" t="str">
        <f t="shared" ref="RE4:RE38" si="195">IF(SUM(QK4:QN4)-QO4&gt;0,SUM(QK4:QN4)-QO4,"")</f>
        <v/>
      </c>
      <c r="RF4" s="40" t="str">
        <f t="shared" ref="RF4:RF38" si="196">IF(MAX(RB4,RE4)&gt;0,MAX(RB4,RE4),"")</f>
        <v/>
      </c>
      <c r="RG4" s="40" t="str">
        <f t="shared" ref="RG4:RG38" si="197">IF(QR4&gt;0,QR4,"")</f>
        <v/>
      </c>
      <c r="RH4" s="40" t="str">
        <f t="shared" ref="RH4:RH38" si="198">IF(QS4&gt;0,QS4,"")</f>
        <v/>
      </c>
      <c r="RI4" s="40" t="str">
        <f t="shared" ref="RI4:RI38" si="199">IF(SUM(QP4:QS4)-QT4&gt;0,SUM(QP4:QS4)-QT4,"")</f>
        <v/>
      </c>
      <c r="RJ4" s="40" t="str">
        <f t="shared" ref="RJ4:RJ38" si="200">IF(QW4&gt;0,QW4,"")</f>
        <v/>
      </c>
      <c r="RK4" s="40" t="str">
        <f t="shared" ref="RK4:RK38" si="201">IF(QX4&gt;0,QX4,"")</f>
        <v/>
      </c>
      <c r="RL4" s="40" t="str">
        <f t="shared" ref="RL4:RL38" si="202">IF(SUM(QU4:QX4)-QY4&gt;0,SUM(QU4:QX4)-QY4,"")</f>
        <v/>
      </c>
      <c r="RM4" s="40" t="str">
        <f t="shared" ref="RM4:RM38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8" si="204">IF(RP4&gt;0,RP4,"")</f>
        <v/>
      </c>
      <c r="SI4" s="11" t="str">
        <f t="shared" ref="SI4:SI38" si="205">IF(RQ4&gt;0,RQ4,"")</f>
        <v/>
      </c>
      <c r="SJ4" s="11" t="str">
        <f t="shared" ref="SJ4:SJ38" si="206">IF(SUM(RN4:RQ4)-RR4&gt;0,SUM(RN4:RQ4)-RR4,"")</f>
        <v/>
      </c>
      <c r="SK4" s="11" t="str">
        <f t="shared" ref="SK4:SK38" si="207">IF(RU4&gt;0,RU4,"")</f>
        <v/>
      </c>
      <c r="SL4" s="11" t="str">
        <f t="shared" ref="SL4:SL38" si="208">IF(RV4&gt;0,RV4,"")</f>
        <v/>
      </c>
      <c r="SM4" s="11" t="str">
        <f t="shared" ref="SM4:SM38" si="209">IF(SUM(RS4:RV4)-RW4&gt;0,SUM(RS4:RV4)-RW4,"")</f>
        <v/>
      </c>
      <c r="SN4" s="11" t="str">
        <f t="shared" ref="SN4:SN38" si="210">IF(MAX(SJ4,SM4)&gt;0,MAX(SJ4,SM4),"")</f>
        <v/>
      </c>
      <c r="SO4" s="11" t="str">
        <f t="shared" ref="SO4:SO38" si="211">IF(RZ4&gt;0,RZ4,"")</f>
        <v/>
      </c>
      <c r="SP4" s="11" t="str">
        <f t="shared" ref="SP4:SP38" si="212">IF(SA4&gt;0,SA4,"")</f>
        <v/>
      </c>
      <c r="SQ4" s="11" t="str">
        <f t="shared" ref="SQ4:SQ38" si="213">IF(SUM(RX4:SA4)-SB4&gt;0,SUM(RX4:SA4)-SB4,"")</f>
        <v/>
      </c>
      <c r="SR4" s="11" t="str">
        <f t="shared" ref="SR4:SR38" si="214">IF(SE4&gt;0,SE4,"")</f>
        <v/>
      </c>
      <c r="SS4" s="11" t="str">
        <f t="shared" ref="SS4:SS38" si="215">IF(SF4&gt;0,SF4,"")</f>
        <v/>
      </c>
      <c r="ST4" s="11" t="str">
        <f t="shared" ref="ST4:ST38" si="216">IF(SUM(SC4:SF4)-SG4&gt;0,SUM(SC4:SF4)-SG4,"")</f>
        <v/>
      </c>
      <c r="SU4" s="11" t="str">
        <f t="shared" ref="SU4:SU38" si="217">IF(SUM(SN4,SQ4,ST4)&gt;0,SUM(SN4,SQ4,ST4),"")</f>
        <v/>
      </c>
      <c r="SV4" s="22">
        <f t="shared" ref="SV4:SV38" si="218">IF($CP4="P",CA4,(CA4+AZ4)/2)</f>
        <v>9.1999999999999993</v>
      </c>
      <c r="SW4" s="22">
        <f t="shared" ref="SW4:SW38" si="219">IF($CP4="P",CB4,(CB4+BA4)/2)</f>
        <v>5.95</v>
      </c>
      <c r="SX4" s="22">
        <f t="shared" ref="SX4:SX38" si="220">IF($CP4="P",CC4,(CC4+BB4)/2)</f>
        <v>9.0500000000000007</v>
      </c>
      <c r="SY4" s="22">
        <f t="shared" ref="SY4:SY38" si="221">IF($CP4="P",CD4,(CD4+BC4)/2)</f>
        <v>9.6549999999999994</v>
      </c>
      <c r="SZ4" s="22">
        <f t="shared" ref="SZ4:SZ38" si="222">IF($CP4="P",CE4,(CE4+BD4)/2)</f>
        <v>0</v>
      </c>
      <c r="TA4" s="22">
        <f t="shared" ref="TA4:TA38" si="223">IF($CP4="P",CF4,(CF4+BE4)/2)</f>
        <v>12.05</v>
      </c>
      <c r="TB4" s="22">
        <f t="shared" ref="TB4:TB38" si="224">IF($CP4="P",CG4,(CG4+BF4)/2)</f>
        <v>9.3999999999999986</v>
      </c>
      <c r="TC4" s="22">
        <f t="shared" ref="TC4:TC38" si="225">IF($CP4="P",CH4,(CH4+BG4)/2)</f>
        <v>13.2</v>
      </c>
      <c r="TD4" s="22">
        <f t="shared" ref="TD4:TD38" si="226">IF($CP4="P",CI4,(CI4+BH4)/2)</f>
        <v>14.66</v>
      </c>
      <c r="TE4" s="22">
        <f t="shared" ref="TE4:TE38" si="227">IF($CP4="P",CJ4,(CJ4+BI4)/2)</f>
        <v>0</v>
      </c>
      <c r="TF4" s="22">
        <f t="shared" ref="TF4:TF38" si="228">IF($CP4="P",CK4,(CK4+BJ4)/2)</f>
        <v>13.5</v>
      </c>
      <c r="TG4" s="22">
        <f t="shared" ref="TG4:TG38" si="229">IF($CP4="P",CL4,(CL4+BK4)/2)</f>
        <v>8.65</v>
      </c>
      <c r="TH4" s="22">
        <f t="shared" ref="TH4:TH38" si="230">IF($CP4="P",CM4,(CM4+BL4)/2)</f>
        <v>13.8</v>
      </c>
      <c r="TI4" s="22">
        <f t="shared" ref="TI4:TI38" si="231">IF($CP4="P",CN4,(CN4+BM4)/2)</f>
        <v>14.515000000000001</v>
      </c>
      <c r="TJ4" s="22">
        <f t="shared" ref="TJ4:TJ38" si="232">IF($CP4="P",CO4,(CO4+BN4)/2)</f>
        <v>0</v>
      </c>
      <c r="TK4" s="27" t="s">
        <v>46</v>
      </c>
      <c r="TL4" s="40">
        <f t="shared" ref="TL4:TL38" si="233">IF(SX4&gt;0,SX4,"")</f>
        <v>9.0500000000000007</v>
      </c>
      <c r="TM4" s="40">
        <f t="shared" ref="TM4:TM38" si="234">IF(SY4&gt;0,SY4,"")</f>
        <v>9.6549999999999994</v>
      </c>
      <c r="TN4" s="40">
        <f t="shared" ref="TN4:TN38" si="235">IF(SUM(SV4:SY4)-SZ4&gt;0,SUM(SV4:SY4)-SZ4,"")</f>
        <v>33.854999999999997</v>
      </c>
      <c r="TO4" s="40">
        <f t="shared" ref="TO4:TO38" si="236">IF(TC4&gt;0,TC4,"")</f>
        <v>13.2</v>
      </c>
      <c r="TP4" s="40">
        <f t="shared" ref="TP4:TP38" si="237">IF(TD4&gt;0,TD4,"")</f>
        <v>14.66</v>
      </c>
      <c r="TQ4" s="40">
        <f t="shared" ref="TQ4:TQ38" si="238">IF(SUM(TA4:TD4)-TE4&gt;0,SUM(TA4:TD4)-TE4,"")</f>
        <v>49.31</v>
      </c>
      <c r="TR4" s="40">
        <f t="shared" ref="TR4:TR38" si="239">IF(MAX(TN4,TQ4)&gt;0,MAX(TN4,TQ4),"")</f>
        <v>49.31</v>
      </c>
      <c r="TS4" s="40">
        <f t="shared" ref="TS4:TS38" si="240">IF(TH4&gt;0,TH4,"")</f>
        <v>13.8</v>
      </c>
      <c r="TT4" s="40">
        <f t="shared" ref="TT4:TT38" si="241">IF(TI4&gt;0,TI4,"")</f>
        <v>14.515000000000001</v>
      </c>
      <c r="TU4" s="40">
        <f t="shared" ref="TU4:TU38" si="242">IF(SUM(TF4:TI4)-TJ4&gt;0,SUM(TF4:TI4)-TJ4,"")</f>
        <v>50.465000000000003</v>
      </c>
      <c r="TV4" s="40">
        <f t="shared" ref="TV4:TV38" si="243">IF(SUM(TR4,TU4)&gt;0,SUM(TR4,TU4),"")</f>
        <v>99.775000000000006</v>
      </c>
    </row>
    <row r="5" spans="1:542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203</v>
      </c>
      <c r="D5" s="4" t="s">
        <v>6</v>
      </c>
      <c r="E5" s="4">
        <v>2007</v>
      </c>
      <c r="F5" s="9">
        <f t="shared" si="0"/>
        <v>179.79001796900513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51.57</v>
      </c>
      <c r="M5" s="8" t="str">
        <f t="shared" si="5"/>
        <v>2024 Elite Canada</v>
      </c>
      <c r="N5" s="8">
        <f>IF(COUNT(AQ5,AT5,BR5,BU5,CS5,CV5)&gt;1,LARGE((AQ5,AT5,BR5,BU5,CS5,CV5),2),0)</f>
        <v>50.52</v>
      </c>
      <c r="O5" s="8" t="str">
        <f t="shared" si="6"/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 t="shared" si="7"/>
        <v>2023 3rd Domestic Trial</v>
      </c>
      <c r="R5" s="8">
        <f t="shared" si="8"/>
        <v>13.5</v>
      </c>
      <c r="S5" s="8" t="str">
        <f t="shared" si="9"/>
        <v>2024 Elite Canada</v>
      </c>
      <c r="T5" s="8">
        <f t="shared" si="10"/>
        <v>14.17</v>
      </c>
      <c r="U5" s="8" t="str">
        <f t="shared" si="11"/>
        <v>2024 Elite Canada</v>
      </c>
      <c r="V5" s="8">
        <f t="shared" si="12"/>
        <v>0.10000000000000142</v>
      </c>
      <c r="W5" s="11" t="str">
        <f t="shared" si="13"/>
        <v>(Optional)</v>
      </c>
      <c r="X5" s="8" t="str">
        <f t="shared" si="14"/>
        <v>2023 WAGC (Nov 18)</v>
      </c>
      <c r="Y5" s="22">
        <v>14.6</v>
      </c>
      <c r="Z5" s="22">
        <v>9.1999999999999993</v>
      </c>
      <c r="AA5" s="22">
        <v>11.7</v>
      </c>
      <c r="AB5" s="22">
        <v>13.69</v>
      </c>
      <c r="AC5" s="22">
        <v>0</v>
      </c>
      <c r="AD5" s="22"/>
      <c r="AE5" s="22"/>
      <c r="AF5" s="22"/>
      <c r="AG5" s="22"/>
      <c r="AH5" s="22"/>
      <c r="AI5" s="22">
        <v>15</v>
      </c>
      <c r="AJ5" s="22">
        <v>9.3000000000000007</v>
      </c>
      <c r="AK5" s="22">
        <v>11.7</v>
      </c>
      <c r="AL5" s="22">
        <v>13.47</v>
      </c>
      <c r="AM5" s="22">
        <v>0</v>
      </c>
      <c r="AN5" s="27"/>
      <c r="AO5" s="38">
        <f t="shared" si="15"/>
        <v>11.7</v>
      </c>
      <c r="AP5" s="38">
        <f t="shared" si="16"/>
        <v>13.69</v>
      </c>
      <c r="AQ5" s="40">
        <f t="shared" si="17"/>
        <v>49.19</v>
      </c>
      <c r="AR5" s="40" t="str">
        <f t="shared" si="18"/>
        <v/>
      </c>
      <c r="AS5" s="40" t="str">
        <f t="shared" si="19"/>
        <v/>
      </c>
      <c r="AT5" s="40" t="str">
        <f t="shared" si="20"/>
        <v/>
      </c>
      <c r="AU5" s="40">
        <f t="shared" si="21"/>
        <v>49.19</v>
      </c>
      <c r="AV5" s="40">
        <f t="shared" si="22"/>
        <v>11.7</v>
      </c>
      <c r="AW5" s="40">
        <f t="shared" si="23"/>
        <v>13.47</v>
      </c>
      <c r="AX5" s="40">
        <f t="shared" si="24"/>
        <v>49.47</v>
      </c>
      <c r="AY5" s="40">
        <f t="shared" si="25"/>
        <v>98.66</v>
      </c>
      <c r="AZ5" s="26">
        <v>15.2</v>
      </c>
      <c r="BA5" s="26">
        <v>9</v>
      </c>
      <c r="BB5" s="26">
        <v>11.700000000000001</v>
      </c>
      <c r="BC5" s="26">
        <v>14.03</v>
      </c>
      <c r="BD5" s="26">
        <v>0</v>
      </c>
      <c r="BE5" s="26"/>
      <c r="BF5" s="26"/>
      <c r="BG5" s="26"/>
      <c r="BH5" s="26"/>
      <c r="BI5" s="26"/>
      <c r="BJ5" s="26">
        <v>6.9</v>
      </c>
      <c r="BK5" s="26">
        <v>4.5</v>
      </c>
      <c r="BL5" s="26">
        <v>6.2</v>
      </c>
      <c r="BM5" s="26">
        <v>7.25</v>
      </c>
      <c r="BN5" s="26">
        <v>0</v>
      </c>
      <c r="BO5" s="28"/>
      <c r="BP5" s="39">
        <f t="shared" si="26"/>
        <v>11.700000000000001</v>
      </c>
      <c r="BQ5" s="39">
        <f t="shared" si="27"/>
        <v>14.03</v>
      </c>
      <c r="BR5" s="11">
        <f t="shared" si="28"/>
        <v>49.93</v>
      </c>
      <c r="BS5" s="11" t="str">
        <f t="shared" si="29"/>
        <v/>
      </c>
      <c r="BT5" s="11" t="str">
        <f t="shared" si="30"/>
        <v/>
      </c>
      <c r="BU5" s="11" t="str">
        <f t="shared" si="31"/>
        <v/>
      </c>
      <c r="BV5" s="11">
        <f t="shared" si="32"/>
        <v>49.93</v>
      </c>
      <c r="BW5" s="11">
        <f t="shared" si="33"/>
        <v>6.2</v>
      </c>
      <c r="BX5" s="11">
        <f t="shared" si="34"/>
        <v>7.25</v>
      </c>
      <c r="BY5" s="11">
        <f t="shared" si="35"/>
        <v>24.85</v>
      </c>
      <c r="BZ5" s="11">
        <f t="shared" si="36"/>
        <v>74.78</v>
      </c>
      <c r="CA5" s="22">
        <v>14.1</v>
      </c>
      <c r="CB5" s="22">
        <v>9.1</v>
      </c>
      <c r="CC5" s="22">
        <v>13.5</v>
      </c>
      <c r="CD5" s="22">
        <v>13.82</v>
      </c>
      <c r="CE5" s="22">
        <v>0</v>
      </c>
      <c r="CF5" s="22">
        <v>14.9</v>
      </c>
      <c r="CG5" s="22">
        <v>9</v>
      </c>
      <c r="CH5" s="22">
        <v>13.5</v>
      </c>
      <c r="CI5" s="22">
        <v>14.17</v>
      </c>
      <c r="CJ5" s="22">
        <v>0</v>
      </c>
      <c r="CK5" s="22">
        <v>14.4</v>
      </c>
      <c r="CL5" s="22">
        <v>8.9</v>
      </c>
      <c r="CM5" s="22">
        <v>12.9</v>
      </c>
      <c r="CN5" s="22">
        <v>13.6</v>
      </c>
      <c r="CO5" s="22">
        <v>0</v>
      </c>
      <c r="CP5" s="27"/>
      <c r="CQ5" s="38">
        <f t="shared" si="37"/>
        <v>13.5</v>
      </c>
      <c r="CR5" s="38">
        <f t="shared" si="38"/>
        <v>13.82</v>
      </c>
      <c r="CS5" s="40">
        <f t="shared" si="39"/>
        <v>50.52</v>
      </c>
      <c r="CT5" s="40">
        <f t="shared" si="40"/>
        <v>13.5</v>
      </c>
      <c r="CU5" s="40">
        <f t="shared" si="41"/>
        <v>14.17</v>
      </c>
      <c r="CV5" s="40">
        <f t="shared" si="42"/>
        <v>51.57</v>
      </c>
      <c r="CW5" s="40">
        <f t="shared" si="43"/>
        <v>51.57</v>
      </c>
      <c r="CX5" s="40">
        <f t="shared" si="44"/>
        <v>12.9</v>
      </c>
      <c r="CY5" s="40">
        <f t="shared" si="45"/>
        <v>13.6</v>
      </c>
      <c r="CZ5" s="40">
        <f t="shared" si="46"/>
        <v>49.800000000000004</v>
      </c>
      <c r="DA5" s="40">
        <f t="shared" si="47"/>
        <v>101.37</v>
      </c>
      <c r="DB5" s="50">
        <f t="shared" si="48"/>
        <v>0.10000000000000142</v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>
        <v>14.9</v>
      </c>
      <c r="FU5" s="17">
        <v>9.1</v>
      </c>
      <c r="FV5" s="17">
        <v>11.9</v>
      </c>
      <c r="FW5" s="17">
        <v>14.13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78"/>
        <v>11.9</v>
      </c>
      <c r="GO5" s="40">
        <f t="shared" si="79"/>
        <v>14.13</v>
      </c>
      <c r="GP5" s="40">
        <f t="shared" si="80"/>
        <v>50.03</v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>
        <f t="shared" si="84"/>
        <v>50.03</v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50.03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 t="str">
        <f t="shared" si="105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14.649999999999999</v>
      </c>
      <c r="SW5" s="22">
        <f t="shared" si="219"/>
        <v>9.0500000000000007</v>
      </c>
      <c r="SX5" s="22">
        <f t="shared" si="220"/>
        <v>12.600000000000001</v>
      </c>
      <c r="SY5" s="22">
        <f t="shared" si="221"/>
        <v>13.925000000000001</v>
      </c>
      <c r="SZ5" s="22">
        <f t="shared" si="222"/>
        <v>0</v>
      </c>
      <c r="TA5" s="22">
        <f t="shared" si="223"/>
        <v>7.45</v>
      </c>
      <c r="TB5" s="22">
        <f t="shared" si="224"/>
        <v>4.5</v>
      </c>
      <c r="TC5" s="22">
        <f t="shared" si="225"/>
        <v>6.75</v>
      </c>
      <c r="TD5" s="22">
        <f t="shared" si="226"/>
        <v>7.085</v>
      </c>
      <c r="TE5" s="22">
        <f t="shared" si="227"/>
        <v>0</v>
      </c>
      <c r="TF5" s="22">
        <f t="shared" si="228"/>
        <v>10.65</v>
      </c>
      <c r="TG5" s="22">
        <f t="shared" si="229"/>
        <v>6.7</v>
      </c>
      <c r="TH5" s="22">
        <f t="shared" si="230"/>
        <v>9.5500000000000007</v>
      </c>
      <c r="TI5" s="22">
        <f t="shared" si="231"/>
        <v>10.425000000000001</v>
      </c>
      <c r="TJ5" s="22">
        <f t="shared" si="232"/>
        <v>0</v>
      </c>
      <c r="TK5" s="27" t="s">
        <v>46</v>
      </c>
      <c r="TL5" s="40">
        <f t="shared" si="233"/>
        <v>12.600000000000001</v>
      </c>
      <c r="TM5" s="40">
        <f t="shared" si="234"/>
        <v>13.925000000000001</v>
      </c>
      <c r="TN5" s="40">
        <f t="shared" si="235"/>
        <v>50.224999999999994</v>
      </c>
      <c r="TO5" s="40">
        <f t="shared" si="236"/>
        <v>6.75</v>
      </c>
      <c r="TP5" s="40">
        <f t="shared" si="237"/>
        <v>7.085</v>
      </c>
      <c r="TQ5" s="40">
        <f t="shared" si="238"/>
        <v>25.785</v>
      </c>
      <c r="TR5" s="40">
        <f t="shared" si="239"/>
        <v>50.224999999999994</v>
      </c>
      <c r="TS5" s="40">
        <f t="shared" si="240"/>
        <v>9.5500000000000007</v>
      </c>
      <c r="TT5" s="40">
        <f t="shared" si="241"/>
        <v>10.425000000000001</v>
      </c>
      <c r="TU5" s="40">
        <f t="shared" si="242"/>
        <v>37.325000000000003</v>
      </c>
      <c r="TV5" s="40">
        <f t="shared" si="243"/>
        <v>87.55</v>
      </c>
    </row>
    <row r="6" spans="1:542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>1</v>
      </c>
      <c r="C6" s="5" t="s">
        <v>151</v>
      </c>
      <c r="D6" s="4" t="s">
        <v>6</v>
      </c>
      <c r="E6" s="4">
        <v>2006</v>
      </c>
      <c r="F6" s="9">
        <f t="shared" si="0"/>
        <v>177.65001776500497</v>
      </c>
      <c r="G6" s="66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50.14</v>
      </c>
      <c r="M6" s="8" t="str">
        <f t="shared" si="5"/>
        <v>2023 3rd Domestic Trial</v>
      </c>
      <c r="N6" s="8">
        <f>IF(COUNT(AQ6,AT6,BR6,BU6,CS6,CV6)&gt;1,LARGE((AQ6,AT6,BR6,BU6,CS6,CV6),2),0)</f>
        <v>49.47</v>
      </c>
      <c r="O6" s="8" t="str">
        <f t="shared" si="6"/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 t="shared" si="7"/>
        <v>2023 3rd Domestic Trial</v>
      </c>
      <c r="R6" s="8">
        <f t="shared" si="8"/>
        <v>12.7</v>
      </c>
      <c r="S6" s="8" t="str">
        <f t="shared" si="9"/>
        <v>2023 3rd Domestic Trial</v>
      </c>
      <c r="T6" s="8">
        <f t="shared" si="10"/>
        <v>14.67</v>
      </c>
      <c r="U6" s="8" t="str">
        <f t="shared" si="11"/>
        <v>2023 3rd Domestic Trial</v>
      </c>
      <c r="V6" s="8" t="str">
        <f t="shared" si="12"/>
        <v/>
      </c>
      <c r="W6" s="11" t="str">
        <f t="shared" si="13"/>
        <v/>
      </c>
      <c r="X6" s="8" t="str">
        <f t="shared" si="14"/>
        <v/>
      </c>
      <c r="Y6" s="22">
        <v>4.5999999999999996</v>
      </c>
      <c r="Z6" s="22">
        <v>2.8</v>
      </c>
      <c r="AA6" s="22">
        <v>4</v>
      </c>
      <c r="AB6" s="22">
        <v>4.4400000000000004</v>
      </c>
      <c r="AC6" s="22">
        <v>0</v>
      </c>
      <c r="AD6" s="22">
        <v>1.7</v>
      </c>
      <c r="AE6" s="22">
        <v>1</v>
      </c>
      <c r="AF6" s="22">
        <v>1.5</v>
      </c>
      <c r="AG6" s="22">
        <v>1.55</v>
      </c>
      <c r="AH6" s="22">
        <v>0</v>
      </c>
      <c r="AI6" s="22"/>
      <c r="AJ6" s="22"/>
      <c r="AK6" s="22"/>
      <c r="AL6" s="22"/>
      <c r="AM6" s="22"/>
      <c r="AN6" s="27"/>
      <c r="AO6" s="38">
        <f t="shared" si="15"/>
        <v>4</v>
      </c>
      <c r="AP6" s="38">
        <f t="shared" si="16"/>
        <v>4.4400000000000004</v>
      </c>
      <c r="AQ6" s="40">
        <f t="shared" si="17"/>
        <v>15.84</v>
      </c>
      <c r="AR6" s="40">
        <f t="shared" si="18"/>
        <v>1.5</v>
      </c>
      <c r="AS6" s="40">
        <f t="shared" si="19"/>
        <v>1.55</v>
      </c>
      <c r="AT6" s="40">
        <f t="shared" si="20"/>
        <v>5.75</v>
      </c>
      <c r="AU6" s="40">
        <f t="shared" si="21"/>
        <v>15.84</v>
      </c>
      <c r="AV6" s="40" t="str">
        <f t="shared" si="22"/>
        <v/>
      </c>
      <c r="AW6" s="40" t="str">
        <f t="shared" si="23"/>
        <v/>
      </c>
      <c r="AX6" s="40" t="str">
        <f t="shared" si="24"/>
        <v/>
      </c>
      <c r="AY6" s="40">
        <f t="shared" si="25"/>
        <v>15.84</v>
      </c>
      <c r="AZ6" s="26">
        <v>13.5</v>
      </c>
      <c r="BA6" s="26">
        <v>9.1</v>
      </c>
      <c r="BB6" s="26">
        <v>12.4</v>
      </c>
      <c r="BC6" s="26">
        <v>14.47</v>
      </c>
      <c r="BD6" s="26">
        <v>0</v>
      </c>
      <c r="BE6" s="26">
        <v>14.6</v>
      </c>
      <c r="BF6" s="26">
        <v>8.8000000000000007</v>
      </c>
      <c r="BG6" s="26">
        <v>12.4</v>
      </c>
      <c r="BH6" s="26">
        <v>14.34</v>
      </c>
      <c r="BI6" s="26">
        <v>0</v>
      </c>
      <c r="BJ6" s="26">
        <v>13.8</v>
      </c>
      <c r="BK6" s="26">
        <v>9.5</v>
      </c>
      <c r="BL6" s="26">
        <v>12.7</v>
      </c>
      <c r="BM6" s="26">
        <v>14.67</v>
      </c>
      <c r="BN6" s="26">
        <v>0</v>
      </c>
      <c r="BO6" s="28"/>
      <c r="BP6" s="39">
        <f t="shared" si="26"/>
        <v>12.4</v>
      </c>
      <c r="BQ6" s="39">
        <f t="shared" si="27"/>
        <v>14.47</v>
      </c>
      <c r="BR6" s="11">
        <f t="shared" si="28"/>
        <v>49.47</v>
      </c>
      <c r="BS6" s="11">
        <f t="shared" si="29"/>
        <v>12.4</v>
      </c>
      <c r="BT6" s="11">
        <f t="shared" si="30"/>
        <v>14.34</v>
      </c>
      <c r="BU6" s="11">
        <f t="shared" si="31"/>
        <v>50.14</v>
      </c>
      <c r="BV6" s="11">
        <f t="shared" si="32"/>
        <v>50.14</v>
      </c>
      <c r="BW6" s="11">
        <f t="shared" si="33"/>
        <v>12.7</v>
      </c>
      <c r="BX6" s="11">
        <f t="shared" si="34"/>
        <v>14.67</v>
      </c>
      <c r="BY6" s="11">
        <f t="shared" si="35"/>
        <v>50.67</v>
      </c>
      <c r="BZ6" s="11">
        <f t="shared" si="36"/>
        <v>100.81</v>
      </c>
      <c r="CA6" s="22">
        <v>7.5</v>
      </c>
      <c r="CB6" s="22">
        <v>4.2</v>
      </c>
      <c r="CC6" s="22">
        <v>5.4</v>
      </c>
      <c r="CD6" s="22">
        <v>7.67</v>
      </c>
      <c r="CE6" s="22">
        <v>0</v>
      </c>
      <c r="CF6" s="22">
        <v>7.3</v>
      </c>
      <c r="CG6" s="22">
        <v>4</v>
      </c>
      <c r="CH6" s="22">
        <v>5.0999999999999996</v>
      </c>
      <c r="CI6" s="22">
        <v>7.41</v>
      </c>
      <c r="CJ6" s="22">
        <v>0</v>
      </c>
      <c r="CK6" s="22"/>
      <c r="CL6" s="22"/>
      <c r="CM6" s="22"/>
      <c r="CN6" s="22"/>
      <c r="CO6" s="22"/>
      <c r="CP6" s="27"/>
      <c r="CQ6" s="38">
        <f t="shared" si="37"/>
        <v>5.4</v>
      </c>
      <c r="CR6" s="38">
        <f t="shared" si="38"/>
        <v>7.67</v>
      </c>
      <c r="CS6" s="40">
        <f t="shared" si="39"/>
        <v>24.770000000000003</v>
      </c>
      <c r="CT6" s="40">
        <f t="shared" si="40"/>
        <v>5.0999999999999996</v>
      </c>
      <c r="CU6" s="40">
        <f t="shared" si="41"/>
        <v>7.41</v>
      </c>
      <c r="CV6" s="40">
        <f t="shared" si="42"/>
        <v>23.81</v>
      </c>
      <c r="CW6" s="40">
        <f t="shared" si="43"/>
        <v>24.770000000000003</v>
      </c>
      <c r="CX6" s="40" t="str">
        <f t="shared" si="44"/>
        <v/>
      </c>
      <c r="CY6" s="40" t="str">
        <f t="shared" si="45"/>
        <v/>
      </c>
      <c r="CZ6" s="40" t="str">
        <f t="shared" si="46"/>
        <v/>
      </c>
      <c r="DA6" s="40">
        <f t="shared" si="47"/>
        <v>24.770000000000003</v>
      </c>
      <c r="DB6" s="50" t="str">
        <f t="shared" si="48"/>
        <v/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>
        <v>5.6</v>
      </c>
      <c r="FU6" s="17">
        <v>3.3</v>
      </c>
      <c r="FV6" s="17">
        <v>5.2</v>
      </c>
      <c r="FW6" s="17">
        <v>5.9</v>
      </c>
      <c r="FX6" s="17">
        <v>0</v>
      </c>
      <c r="FY6" s="17">
        <v>3</v>
      </c>
      <c r="FZ6" s="17">
        <v>2</v>
      </c>
      <c r="GA6" s="17">
        <v>2.7</v>
      </c>
      <c r="GB6" s="17">
        <v>3.03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 t="shared" si="78"/>
        <v>5.2</v>
      </c>
      <c r="GO6" s="40">
        <f t="shared" si="79"/>
        <v>5.9</v>
      </c>
      <c r="GP6" s="40">
        <f t="shared" si="80"/>
        <v>20</v>
      </c>
      <c r="GQ6" s="40">
        <f t="shared" si="81"/>
        <v>2.7</v>
      </c>
      <c r="GR6" s="40">
        <f t="shared" si="82"/>
        <v>3.03</v>
      </c>
      <c r="GS6" s="40">
        <f t="shared" si="83"/>
        <v>10.73</v>
      </c>
      <c r="GT6" s="40">
        <f t="shared" si="84"/>
        <v>20</v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>
        <f t="shared" si="91"/>
        <v>20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10.5</v>
      </c>
      <c r="SW6" s="22">
        <f t="shared" si="219"/>
        <v>6.65</v>
      </c>
      <c r="SX6" s="22">
        <f t="shared" si="220"/>
        <v>8.9</v>
      </c>
      <c r="SY6" s="22">
        <f t="shared" si="221"/>
        <v>11.07</v>
      </c>
      <c r="SZ6" s="22">
        <f t="shared" si="222"/>
        <v>0</v>
      </c>
      <c r="TA6" s="22">
        <f t="shared" si="223"/>
        <v>10.95</v>
      </c>
      <c r="TB6" s="22">
        <f t="shared" si="224"/>
        <v>6.4</v>
      </c>
      <c r="TC6" s="22">
        <f t="shared" si="225"/>
        <v>8.75</v>
      </c>
      <c r="TD6" s="22">
        <f t="shared" si="226"/>
        <v>10.875</v>
      </c>
      <c r="TE6" s="22">
        <f t="shared" si="227"/>
        <v>0</v>
      </c>
      <c r="TF6" s="22">
        <f t="shared" si="228"/>
        <v>6.9</v>
      </c>
      <c r="TG6" s="22">
        <f t="shared" si="229"/>
        <v>4.75</v>
      </c>
      <c r="TH6" s="22">
        <f t="shared" si="230"/>
        <v>6.35</v>
      </c>
      <c r="TI6" s="22">
        <f t="shared" si="231"/>
        <v>7.335</v>
      </c>
      <c r="TJ6" s="22">
        <f t="shared" si="232"/>
        <v>0</v>
      </c>
      <c r="TK6" s="27" t="s">
        <v>46</v>
      </c>
      <c r="TL6" s="40">
        <f t="shared" si="233"/>
        <v>8.9</v>
      </c>
      <c r="TM6" s="40">
        <f t="shared" si="234"/>
        <v>11.07</v>
      </c>
      <c r="TN6" s="40">
        <f t="shared" si="235"/>
        <v>37.119999999999997</v>
      </c>
      <c r="TO6" s="40">
        <f t="shared" si="236"/>
        <v>8.75</v>
      </c>
      <c r="TP6" s="40">
        <f t="shared" si="237"/>
        <v>10.875</v>
      </c>
      <c r="TQ6" s="40">
        <f t="shared" si="238"/>
        <v>36.975000000000001</v>
      </c>
      <c r="TR6" s="40">
        <f t="shared" si="239"/>
        <v>37.119999999999997</v>
      </c>
      <c r="TS6" s="40">
        <f t="shared" si="240"/>
        <v>6.35</v>
      </c>
      <c r="TT6" s="40">
        <f t="shared" si="241"/>
        <v>7.335</v>
      </c>
      <c r="TU6" s="40">
        <f t="shared" si="242"/>
        <v>25.335000000000001</v>
      </c>
      <c r="TV6" s="40">
        <f t="shared" si="243"/>
        <v>62.454999999999998</v>
      </c>
    </row>
    <row r="7" spans="1:542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>2</v>
      </c>
      <c r="C7" s="5" t="s">
        <v>152</v>
      </c>
      <c r="D7" s="4" t="s">
        <v>3</v>
      </c>
      <c r="E7" s="4">
        <v>2006</v>
      </c>
      <c r="F7" s="9">
        <f t="shared" si="0"/>
        <v>174.7400174120049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48.790000000000006</v>
      </c>
      <c r="M7" s="8" t="str">
        <f t="shared" si="5"/>
        <v>2023 3rd Domestic Trial</v>
      </c>
      <c r="N7" s="8">
        <f>IF(COUNT(AQ7,AT7,BR7,BU7,CS7,CV7)&gt;1,LARGE((AQ7,AT7,BR7,BU7,CS7,CV7),2),0)</f>
        <v>48.269999999999996</v>
      </c>
      <c r="O7" s="8" t="str">
        <f t="shared" si="6"/>
        <v>2023 Nationals</v>
      </c>
      <c r="P7" s="8">
        <f>IF(COUNT(AQ7,AT7,BR7,BU7,CS7,CV7)&gt;2,MAX(AX7,BY7,CZ7,LARGE((AQ7,AT7,BR7,BU7,CS7,CV7),3)),IF(MAX(AX7,BY7,CZ7)&gt;0,MAX(AX7,BY7,CZ7),0))</f>
        <v>49.78</v>
      </c>
      <c r="Q7" s="8" t="str">
        <f t="shared" si="7"/>
        <v>2023 3rd Domestic Trial</v>
      </c>
      <c r="R7" s="8">
        <f t="shared" si="8"/>
        <v>13</v>
      </c>
      <c r="S7" s="8" t="str">
        <f t="shared" si="9"/>
        <v>2023 Nationals</v>
      </c>
      <c r="T7" s="8">
        <f t="shared" si="10"/>
        <v>14.280000000000001</v>
      </c>
      <c r="U7" s="8" t="str">
        <f t="shared" si="11"/>
        <v>2023 3rd Domestic Trial</v>
      </c>
      <c r="V7" s="8">
        <f t="shared" si="12"/>
        <v>0.62000000000000455</v>
      </c>
      <c r="W7" s="11" t="str">
        <f t="shared" si="13"/>
        <v>(Optional)</v>
      </c>
      <c r="X7" s="8" t="str">
        <f t="shared" si="14"/>
        <v>2023 Pan Am Club Championships (May 14)</v>
      </c>
      <c r="Y7" s="22">
        <v>1.6</v>
      </c>
      <c r="Z7" s="22">
        <v>1</v>
      </c>
      <c r="AA7" s="22">
        <v>1.5</v>
      </c>
      <c r="AB7" s="22">
        <v>1.52</v>
      </c>
      <c r="AC7" s="22">
        <v>0</v>
      </c>
      <c r="AD7" s="22">
        <v>13.8</v>
      </c>
      <c r="AE7" s="22">
        <v>9.1</v>
      </c>
      <c r="AF7" s="22">
        <v>12</v>
      </c>
      <c r="AG7" s="22">
        <v>13.37</v>
      </c>
      <c r="AH7" s="22">
        <v>0</v>
      </c>
      <c r="AI7" s="22">
        <v>13.2</v>
      </c>
      <c r="AJ7" s="22">
        <v>9</v>
      </c>
      <c r="AK7" s="22">
        <v>13</v>
      </c>
      <c r="AL7" s="22">
        <v>13.81</v>
      </c>
      <c r="AM7" s="22">
        <v>0</v>
      </c>
      <c r="AN7" s="27"/>
      <c r="AO7" s="38">
        <f t="shared" si="15"/>
        <v>1.5</v>
      </c>
      <c r="AP7" s="38">
        <f t="shared" si="16"/>
        <v>1.52</v>
      </c>
      <c r="AQ7" s="40">
        <f t="shared" si="17"/>
        <v>5.6199999999999992</v>
      </c>
      <c r="AR7" s="40">
        <f t="shared" si="18"/>
        <v>12</v>
      </c>
      <c r="AS7" s="40">
        <f t="shared" si="19"/>
        <v>13.37</v>
      </c>
      <c r="AT7" s="40">
        <f t="shared" si="20"/>
        <v>48.269999999999996</v>
      </c>
      <c r="AU7" s="40">
        <f t="shared" si="21"/>
        <v>48.269999999999996</v>
      </c>
      <c r="AV7" s="40">
        <f t="shared" si="22"/>
        <v>13</v>
      </c>
      <c r="AW7" s="40">
        <f t="shared" si="23"/>
        <v>13.81</v>
      </c>
      <c r="AX7" s="40">
        <f t="shared" si="24"/>
        <v>49.010000000000005</v>
      </c>
      <c r="AY7" s="40">
        <f t="shared" si="25"/>
        <v>97.28</v>
      </c>
      <c r="AZ7" s="26">
        <v>8.2000000000000011</v>
      </c>
      <c r="BA7" s="26">
        <v>5</v>
      </c>
      <c r="BB7" s="26">
        <v>6.4</v>
      </c>
      <c r="BC7" s="26">
        <v>7.7549999999999999</v>
      </c>
      <c r="BD7" s="26">
        <v>0</v>
      </c>
      <c r="BE7" s="26">
        <v>14.25</v>
      </c>
      <c r="BF7" s="26">
        <v>9.35</v>
      </c>
      <c r="BG7" s="26">
        <v>11.55</v>
      </c>
      <c r="BH7" s="26">
        <v>13.64</v>
      </c>
      <c r="BI7" s="26">
        <v>0</v>
      </c>
      <c r="BJ7" s="26">
        <v>13.75</v>
      </c>
      <c r="BK7" s="26">
        <v>9.0500000000000007</v>
      </c>
      <c r="BL7" s="26">
        <v>12.7</v>
      </c>
      <c r="BM7" s="26">
        <v>14.280000000000001</v>
      </c>
      <c r="BN7" s="26">
        <v>0</v>
      </c>
      <c r="BO7" s="28" t="s">
        <v>46</v>
      </c>
      <c r="BP7" s="39">
        <f t="shared" si="26"/>
        <v>6.4</v>
      </c>
      <c r="BQ7" s="39">
        <f t="shared" si="27"/>
        <v>7.7549999999999999</v>
      </c>
      <c r="BR7" s="11">
        <f t="shared" si="28"/>
        <v>27.355</v>
      </c>
      <c r="BS7" s="11">
        <f t="shared" si="29"/>
        <v>11.55</v>
      </c>
      <c r="BT7" s="11">
        <f t="shared" si="30"/>
        <v>13.64</v>
      </c>
      <c r="BU7" s="11">
        <f t="shared" si="31"/>
        <v>48.790000000000006</v>
      </c>
      <c r="BV7" s="11">
        <f t="shared" si="32"/>
        <v>48.790000000000006</v>
      </c>
      <c r="BW7" s="11">
        <f t="shared" si="33"/>
        <v>12.7</v>
      </c>
      <c r="BX7" s="11">
        <f t="shared" si="34"/>
        <v>14.280000000000001</v>
      </c>
      <c r="BY7" s="11">
        <f t="shared" si="35"/>
        <v>49.78</v>
      </c>
      <c r="BZ7" s="11">
        <f t="shared" si="36"/>
        <v>98.570000000000007</v>
      </c>
      <c r="CA7" s="22">
        <v>12.7</v>
      </c>
      <c r="CB7" s="22">
        <v>9.1</v>
      </c>
      <c r="CC7" s="22">
        <v>12.1</v>
      </c>
      <c r="CD7" s="22">
        <v>13.73</v>
      </c>
      <c r="CE7" s="22">
        <v>0</v>
      </c>
      <c r="CF7" s="22">
        <v>3</v>
      </c>
      <c r="CG7" s="22">
        <v>1.7</v>
      </c>
      <c r="CH7" s="22">
        <v>2.9</v>
      </c>
      <c r="CI7" s="22">
        <v>3.04</v>
      </c>
      <c r="CJ7" s="22">
        <v>0</v>
      </c>
      <c r="CK7" s="22">
        <v>11.9</v>
      </c>
      <c r="CL7" s="22">
        <v>9.1999999999999993</v>
      </c>
      <c r="CM7" s="22">
        <v>11</v>
      </c>
      <c r="CN7" s="22">
        <v>14.21</v>
      </c>
      <c r="CO7" s="22">
        <v>0.2</v>
      </c>
      <c r="CP7" s="27"/>
      <c r="CQ7" s="38">
        <f t="shared" si="37"/>
        <v>12.1</v>
      </c>
      <c r="CR7" s="38">
        <f t="shared" si="38"/>
        <v>13.73</v>
      </c>
      <c r="CS7" s="40">
        <f t="shared" si="39"/>
        <v>47.629999999999995</v>
      </c>
      <c r="CT7" s="40">
        <f t="shared" si="40"/>
        <v>2.9</v>
      </c>
      <c r="CU7" s="40">
        <f t="shared" si="41"/>
        <v>3.04</v>
      </c>
      <c r="CV7" s="40">
        <f t="shared" si="42"/>
        <v>10.64</v>
      </c>
      <c r="CW7" s="40">
        <f t="shared" si="43"/>
        <v>47.629999999999995</v>
      </c>
      <c r="CX7" s="40">
        <f t="shared" si="44"/>
        <v>11</v>
      </c>
      <c r="CY7" s="40">
        <f t="shared" si="45"/>
        <v>14.21</v>
      </c>
      <c r="CZ7" s="40">
        <f t="shared" si="46"/>
        <v>46.11</v>
      </c>
      <c r="DA7" s="40">
        <f t="shared" si="47"/>
        <v>93.74</v>
      </c>
      <c r="DB7" s="50">
        <f t="shared" si="48"/>
        <v>0.62000000000000455</v>
      </c>
      <c r="DC7" s="50" t="str">
        <f t="shared" si="49"/>
        <v/>
      </c>
      <c r="DD7" s="17">
        <v>13.3</v>
      </c>
      <c r="DE7" s="17">
        <v>9.3000000000000007</v>
      </c>
      <c r="DF7" s="17">
        <v>12.4</v>
      </c>
      <c r="DG7" s="17">
        <v>13.89</v>
      </c>
      <c r="DH7" s="17">
        <v>0</v>
      </c>
      <c r="DI7" s="17">
        <v>13</v>
      </c>
      <c r="DJ7" s="17">
        <v>9.1</v>
      </c>
      <c r="DK7" s="17">
        <v>12.2</v>
      </c>
      <c r="DL7" s="17">
        <v>13.41</v>
      </c>
      <c r="DM7" s="17">
        <v>0</v>
      </c>
      <c r="DN7" s="17"/>
      <c r="DO7" s="17"/>
      <c r="DP7" s="17"/>
      <c r="DQ7" s="17"/>
      <c r="DR7" s="17"/>
      <c r="DS7" s="17">
        <v>1.4</v>
      </c>
      <c r="DT7" s="17">
        <v>0.9</v>
      </c>
      <c r="DU7" s="17">
        <v>1.5</v>
      </c>
      <c r="DV7" s="17">
        <v>1.5</v>
      </c>
      <c r="DW7" s="17">
        <v>0</v>
      </c>
      <c r="DX7" s="40">
        <f t="shared" si="50"/>
        <v>12.4</v>
      </c>
      <c r="DY7" s="40">
        <f t="shared" si="51"/>
        <v>13.89</v>
      </c>
      <c r="DZ7" s="40">
        <f t="shared" si="52"/>
        <v>48.89</v>
      </c>
      <c r="EA7" s="40">
        <f t="shared" si="53"/>
        <v>12.2</v>
      </c>
      <c r="EB7" s="40">
        <f t="shared" si="54"/>
        <v>13.41</v>
      </c>
      <c r="EC7" s="40">
        <f t="shared" si="55"/>
        <v>47.709999999999994</v>
      </c>
      <c r="ED7" s="40">
        <f t="shared" si="56"/>
        <v>48.89</v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>
        <f t="shared" si="60"/>
        <v>1.5</v>
      </c>
      <c r="EI7" s="40">
        <f t="shared" si="61"/>
        <v>1.5</v>
      </c>
      <c r="EJ7" s="40">
        <f t="shared" si="62"/>
        <v>5.3</v>
      </c>
      <c r="EK7" s="40">
        <f t="shared" si="63"/>
        <v>54.19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12.9</v>
      </c>
      <c r="FU7" s="17">
        <v>9</v>
      </c>
      <c r="FV7" s="17">
        <v>12.2</v>
      </c>
      <c r="FW7" s="17">
        <v>13.26</v>
      </c>
      <c r="FX7" s="17">
        <v>0</v>
      </c>
      <c r="FY7" s="17">
        <v>8.4</v>
      </c>
      <c r="FZ7" s="17">
        <v>5.3</v>
      </c>
      <c r="GA7" s="17">
        <v>7.5</v>
      </c>
      <c r="GB7" s="17">
        <v>8.26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78"/>
        <v>12.2</v>
      </c>
      <c r="GO7" s="40">
        <f t="shared" si="79"/>
        <v>13.26</v>
      </c>
      <c r="GP7" s="40">
        <f t="shared" si="80"/>
        <v>47.359999999999992</v>
      </c>
      <c r="GQ7" s="40">
        <f t="shared" si="81"/>
        <v>7.5</v>
      </c>
      <c r="GR7" s="40">
        <f t="shared" si="82"/>
        <v>8.26</v>
      </c>
      <c r="GS7" s="40">
        <f t="shared" si="83"/>
        <v>29.46</v>
      </c>
      <c r="GT7" s="40">
        <f t="shared" si="84"/>
        <v>47.359999999999992</v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47.359999999999992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10.45</v>
      </c>
      <c r="SW7" s="22">
        <f t="shared" si="219"/>
        <v>7.05</v>
      </c>
      <c r="SX7" s="22">
        <f t="shared" si="220"/>
        <v>9.25</v>
      </c>
      <c r="SY7" s="22">
        <f t="shared" si="221"/>
        <v>10.7425</v>
      </c>
      <c r="SZ7" s="22">
        <f t="shared" si="222"/>
        <v>0</v>
      </c>
      <c r="TA7" s="22">
        <f t="shared" si="223"/>
        <v>8.625</v>
      </c>
      <c r="TB7" s="22">
        <f t="shared" si="224"/>
        <v>5.5249999999999995</v>
      </c>
      <c r="TC7" s="22">
        <f t="shared" si="225"/>
        <v>7.2250000000000005</v>
      </c>
      <c r="TD7" s="22">
        <f t="shared" si="226"/>
        <v>8.34</v>
      </c>
      <c r="TE7" s="22">
        <f t="shared" si="227"/>
        <v>0</v>
      </c>
      <c r="TF7" s="22">
        <f t="shared" si="228"/>
        <v>12.824999999999999</v>
      </c>
      <c r="TG7" s="22">
        <f t="shared" si="229"/>
        <v>9.125</v>
      </c>
      <c r="TH7" s="22">
        <f t="shared" si="230"/>
        <v>11.85</v>
      </c>
      <c r="TI7" s="22">
        <f t="shared" si="231"/>
        <v>14.245000000000001</v>
      </c>
      <c r="TJ7" s="22">
        <f t="shared" si="232"/>
        <v>0.1</v>
      </c>
      <c r="TK7" s="27" t="s">
        <v>46</v>
      </c>
      <c r="TL7" s="40">
        <f t="shared" si="233"/>
        <v>9.25</v>
      </c>
      <c r="TM7" s="40">
        <f t="shared" si="234"/>
        <v>10.7425</v>
      </c>
      <c r="TN7" s="40">
        <f t="shared" si="235"/>
        <v>37.4925</v>
      </c>
      <c r="TO7" s="40">
        <f t="shared" si="236"/>
        <v>7.2250000000000005</v>
      </c>
      <c r="TP7" s="40">
        <f t="shared" si="237"/>
        <v>8.34</v>
      </c>
      <c r="TQ7" s="40">
        <f t="shared" si="238"/>
        <v>29.715</v>
      </c>
      <c r="TR7" s="40">
        <f t="shared" si="239"/>
        <v>37.4925</v>
      </c>
      <c r="TS7" s="40">
        <f t="shared" si="240"/>
        <v>11.85</v>
      </c>
      <c r="TT7" s="40">
        <f t="shared" si="241"/>
        <v>14.245000000000001</v>
      </c>
      <c r="TU7" s="40">
        <f t="shared" si="242"/>
        <v>47.945</v>
      </c>
      <c r="TV7" s="40">
        <f t="shared" si="243"/>
        <v>85.4375</v>
      </c>
    </row>
    <row r="8" spans="1:542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3</v>
      </c>
      <c r="C8" s="5" t="s">
        <v>115</v>
      </c>
      <c r="D8" s="4" t="s">
        <v>3</v>
      </c>
      <c r="E8" s="4">
        <v>2004</v>
      </c>
      <c r="F8" s="9">
        <f t="shared" si="0"/>
        <v>171.03001677900488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48.48</v>
      </c>
      <c r="M8" s="8" t="str">
        <f t="shared" si="5"/>
        <v>2023 Nationals</v>
      </c>
      <c r="N8" s="8">
        <f>IF(COUNT(AQ8,AT8,BR8,BU8,CS8,CV8)&gt;1,LARGE((AQ8,AT8,BR8,BU8,CS8,CV8),2),0)</f>
        <v>44.769999999999996</v>
      </c>
      <c r="O8" s="8" t="str">
        <f t="shared" si="6"/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 t="shared" si="7"/>
        <v>2023 Nationals</v>
      </c>
      <c r="R8" s="8">
        <f t="shared" si="8"/>
        <v>11.3</v>
      </c>
      <c r="S8" s="8" t="str">
        <f t="shared" si="9"/>
        <v>2023 3rd Domestic Trial</v>
      </c>
      <c r="T8" s="8">
        <f t="shared" si="10"/>
        <v>14.22</v>
      </c>
      <c r="U8" s="8" t="str">
        <f t="shared" si="11"/>
        <v>2023 3rd Domestic Trial</v>
      </c>
      <c r="V8" s="8">
        <f t="shared" si="12"/>
        <v>3.2399999999999949</v>
      </c>
      <c r="W8" s="11" t="str">
        <f t="shared" si="13"/>
        <v>(Optional)</v>
      </c>
      <c r="X8" s="8" t="str">
        <f t="shared" si="14"/>
        <v>2023 WAGC (Nov 18)</v>
      </c>
      <c r="Y8" s="22">
        <v>10.9</v>
      </c>
      <c r="Z8" s="22">
        <v>6.3</v>
      </c>
      <c r="AA8" s="22">
        <v>7.4</v>
      </c>
      <c r="AB8" s="22">
        <v>9.84</v>
      </c>
      <c r="AC8" s="22">
        <v>0</v>
      </c>
      <c r="AD8" s="22">
        <v>15</v>
      </c>
      <c r="AE8" s="22">
        <v>9.4</v>
      </c>
      <c r="AF8" s="22">
        <v>10.4</v>
      </c>
      <c r="AG8" s="22">
        <v>13.68</v>
      </c>
      <c r="AH8" s="22">
        <v>0</v>
      </c>
      <c r="AI8" s="22">
        <v>16</v>
      </c>
      <c r="AJ8" s="22">
        <v>8.6999999999999993</v>
      </c>
      <c r="AK8" s="22">
        <v>10.4</v>
      </c>
      <c r="AL8" s="22">
        <v>13.92</v>
      </c>
      <c r="AM8" s="22">
        <v>0</v>
      </c>
      <c r="AN8" s="27"/>
      <c r="AO8" s="38">
        <f t="shared" si="15"/>
        <v>7.4</v>
      </c>
      <c r="AP8" s="38">
        <f t="shared" si="16"/>
        <v>9.84</v>
      </c>
      <c r="AQ8" s="40">
        <f t="shared" si="17"/>
        <v>34.44</v>
      </c>
      <c r="AR8" s="40">
        <f t="shared" si="18"/>
        <v>10.4</v>
      </c>
      <c r="AS8" s="40">
        <f t="shared" si="19"/>
        <v>13.68</v>
      </c>
      <c r="AT8" s="40">
        <f t="shared" si="20"/>
        <v>48.48</v>
      </c>
      <c r="AU8" s="40">
        <f t="shared" si="21"/>
        <v>48.48</v>
      </c>
      <c r="AV8" s="40">
        <f t="shared" si="22"/>
        <v>10.4</v>
      </c>
      <c r="AW8" s="40">
        <f t="shared" si="23"/>
        <v>13.92</v>
      </c>
      <c r="AX8" s="40">
        <f t="shared" si="24"/>
        <v>49.02</v>
      </c>
      <c r="AY8" s="40">
        <f t="shared" si="25"/>
        <v>97.5</v>
      </c>
      <c r="AZ8" s="26">
        <v>2.2000000000000002</v>
      </c>
      <c r="BA8" s="26">
        <v>1.8</v>
      </c>
      <c r="BB8" s="26">
        <v>2</v>
      </c>
      <c r="BC8" s="26">
        <v>3.05</v>
      </c>
      <c r="BD8" s="26">
        <v>0.2</v>
      </c>
      <c r="BE8" s="26">
        <v>11.1</v>
      </c>
      <c r="BF8" s="26">
        <v>9</v>
      </c>
      <c r="BG8" s="26">
        <v>10.7</v>
      </c>
      <c r="BH8" s="26">
        <v>14.17</v>
      </c>
      <c r="BI8" s="26">
        <v>0.2</v>
      </c>
      <c r="BJ8" s="26">
        <v>14.5</v>
      </c>
      <c r="BK8" s="26">
        <v>8.9</v>
      </c>
      <c r="BL8" s="26">
        <v>11.299999999999999</v>
      </c>
      <c r="BM8" s="26">
        <v>14.22</v>
      </c>
      <c r="BN8" s="26">
        <v>0.2</v>
      </c>
      <c r="BO8" s="28"/>
      <c r="BP8" s="39">
        <f t="shared" si="26"/>
        <v>2</v>
      </c>
      <c r="BQ8" s="39">
        <f t="shared" si="27"/>
        <v>3.05</v>
      </c>
      <c r="BR8" s="11">
        <f t="shared" si="28"/>
        <v>8.8500000000000014</v>
      </c>
      <c r="BS8" s="11">
        <f t="shared" si="29"/>
        <v>10.7</v>
      </c>
      <c r="BT8" s="11">
        <f t="shared" si="30"/>
        <v>14.17</v>
      </c>
      <c r="BU8" s="11">
        <f t="shared" si="31"/>
        <v>44.769999999999996</v>
      </c>
      <c r="BV8" s="11">
        <f t="shared" si="32"/>
        <v>44.769999999999996</v>
      </c>
      <c r="BW8" s="11">
        <f t="shared" si="33"/>
        <v>11.299999999999999</v>
      </c>
      <c r="BX8" s="11">
        <f t="shared" si="34"/>
        <v>14.22</v>
      </c>
      <c r="BY8" s="11">
        <f t="shared" si="35"/>
        <v>48.719999999999992</v>
      </c>
      <c r="BZ8" s="11">
        <f t="shared" si="36"/>
        <v>93.489999999999981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 t="shared" si="37"/>
        <v/>
      </c>
      <c r="CR8" s="38" t="str">
        <f t="shared" si="38"/>
        <v/>
      </c>
      <c r="CS8" s="40" t="str">
        <f t="shared" si="39"/>
        <v/>
      </c>
      <c r="CT8" s="40" t="str">
        <f t="shared" si="40"/>
        <v/>
      </c>
      <c r="CU8" s="40" t="str">
        <f t="shared" si="41"/>
        <v/>
      </c>
      <c r="CV8" s="40" t="str">
        <f t="shared" si="42"/>
        <v/>
      </c>
      <c r="CW8" s="40" t="str">
        <f t="shared" si="43"/>
        <v/>
      </c>
      <c r="CX8" s="40" t="str">
        <f t="shared" si="44"/>
        <v/>
      </c>
      <c r="CY8" s="40" t="str">
        <f t="shared" si="45"/>
        <v/>
      </c>
      <c r="CZ8" s="40" t="str">
        <f t="shared" si="46"/>
        <v/>
      </c>
      <c r="DA8" s="40" t="str">
        <f t="shared" si="47"/>
        <v/>
      </c>
      <c r="DB8" s="50">
        <f t="shared" si="48"/>
        <v>3.2399999999999949</v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>
        <v>13.5</v>
      </c>
      <c r="FU8" s="17">
        <v>8.9</v>
      </c>
      <c r="FV8" s="17">
        <v>10.8</v>
      </c>
      <c r="FW8" s="17">
        <v>13.92</v>
      </c>
      <c r="FX8" s="17">
        <v>0</v>
      </c>
      <c r="FY8" s="17">
        <v>13.7</v>
      </c>
      <c r="FZ8" s="17">
        <v>9.1</v>
      </c>
      <c r="GA8" s="17">
        <v>11.3</v>
      </c>
      <c r="GB8" s="17">
        <v>13.91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 t="shared" si="78"/>
        <v>10.8</v>
      </c>
      <c r="GO8" s="40">
        <f t="shared" si="79"/>
        <v>13.92</v>
      </c>
      <c r="GP8" s="40">
        <f t="shared" si="80"/>
        <v>47.120000000000005</v>
      </c>
      <c r="GQ8" s="40">
        <f t="shared" si="81"/>
        <v>11.3</v>
      </c>
      <c r="GR8" s="40">
        <f t="shared" si="82"/>
        <v>13.91</v>
      </c>
      <c r="GS8" s="40">
        <f t="shared" si="83"/>
        <v>48.009999999999991</v>
      </c>
      <c r="GT8" s="40">
        <f t="shared" si="84"/>
        <v>48.009999999999991</v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>
        <f t="shared" si="91"/>
        <v>48.009999999999991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1.1000000000000001</v>
      </c>
      <c r="SW8" s="22">
        <f t="shared" si="219"/>
        <v>0.9</v>
      </c>
      <c r="SX8" s="22">
        <f t="shared" si="220"/>
        <v>1</v>
      </c>
      <c r="SY8" s="22">
        <f t="shared" si="221"/>
        <v>1.5249999999999999</v>
      </c>
      <c r="SZ8" s="22">
        <f t="shared" si="222"/>
        <v>0.1</v>
      </c>
      <c r="TA8" s="22">
        <f t="shared" si="223"/>
        <v>5.55</v>
      </c>
      <c r="TB8" s="22">
        <f t="shared" si="224"/>
        <v>4.5</v>
      </c>
      <c r="TC8" s="22">
        <f t="shared" si="225"/>
        <v>5.35</v>
      </c>
      <c r="TD8" s="22">
        <f t="shared" si="226"/>
        <v>7.085</v>
      </c>
      <c r="TE8" s="22">
        <f t="shared" si="227"/>
        <v>0.1</v>
      </c>
      <c r="TF8" s="22">
        <f t="shared" si="228"/>
        <v>7.25</v>
      </c>
      <c r="TG8" s="22">
        <f t="shared" si="229"/>
        <v>4.45</v>
      </c>
      <c r="TH8" s="22">
        <f t="shared" si="230"/>
        <v>5.6499999999999995</v>
      </c>
      <c r="TI8" s="22">
        <f t="shared" si="231"/>
        <v>7.11</v>
      </c>
      <c r="TJ8" s="22">
        <f t="shared" si="232"/>
        <v>0.1</v>
      </c>
      <c r="TK8" s="27" t="s">
        <v>46</v>
      </c>
      <c r="TL8" s="40">
        <f t="shared" si="233"/>
        <v>1</v>
      </c>
      <c r="TM8" s="40">
        <f t="shared" si="234"/>
        <v>1.5249999999999999</v>
      </c>
      <c r="TN8" s="40">
        <f t="shared" si="235"/>
        <v>4.4250000000000007</v>
      </c>
      <c r="TO8" s="40">
        <f t="shared" si="236"/>
        <v>5.35</v>
      </c>
      <c r="TP8" s="40">
        <f t="shared" si="237"/>
        <v>7.085</v>
      </c>
      <c r="TQ8" s="40">
        <f t="shared" si="238"/>
        <v>22.384999999999998</v>
      </c>
      <c r="TR8" s="40">
        <f t="shared" si="239"/>
        <v>22.384999999999998</v>
      </c>
      <c r="TS8" s="40">
        <f t="shared" si="240"/>
        <v>5.6499999999999995</v>
      </c>
      <c r="TT8" s="40">
        <f t="shared" si="241"/>
        <v>7.11</v>
      </c>
      <c r="TU8" s="40">
        <f t="shared" si="242"/>
        <v>24.359999999999996</v>
      </c>
      <c r="TV8" s="40">
        <f t="shared" si="243"/>
        <v>46.74499999999999</v>
      </c>
    </row>
    <row r="9" spans="1:542" x14ac:dyDescent="0.2">
      <c r="A9" s="4" t="str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/>
      </c>
      <c r="B9" s="4" t="str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/>
      </c>
      <c r="C9" s="5" t="s">
        <v>177</v>
      </c>
      <c r="D9" s="4" t="s">
        <v>4</v>
      </c>
      <c r="E9" s="4">
        <v>2004</v>
      </c>
      <c r="F9" s="9">
        <f t="shared" si="0"/>
        <v>163.85001638500472</v>
      </c>
      <c r="G9" s="66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47.3</v>
      </c>
      <c r="M9" s="8" t="str">
        <f t="shared" si="5"/>
        <v>2023 Nationals</v>
      </c>
      <c r="N9" s="8">
        <f>IF(COUNT(AQ9,AT9,BR9,BU9,CS9,CV9)&gt;1,LARGE((AQ9,AT9,BR9,BU9,CS9,CV9),2),0)</f>
        <v>47.12</v>
      </c>
      <c r="O9" s="8" t="str">
        <f t="shared" si="6"/>
        <v>2023 Nationals</v>
      </c>
      <c r="P9" s="8">
        <f>IF(COUNT(AQ9,AT9,BR9,BU9,CS9,CV9)&gt;2,MAX(AX9,BY9,CZ9,LARGE((AQ9,AT9,BR9,BU9,CS9,CV9),3)),IF(MAX(AX9,BY9,CZ9)&gt;0,MAX(AX9,BY9,CZ9),0))</f>
        <v>44.41</v>
      </c>
      <c r="Q9" s="8" t="str">
        <f t="shared" si="7"/>
        <v>2024 Elite Canada</v>
      </c>
      <c r="R9" s="8">
        <f t="shared" si="8"/>
        <v>11.4</v>
      </c>
      <c r="S9" s="8" t="str">
        <f t="shared" si="9"/>
        <v>2023 Nationals</v>
      </c>
      <c r="T9" s="8">
        <f t="shared" si="10"/>
        <v>13.62</v>
      </c>
      <c r="U9" s="8" t="str">
        <f t="shared" si="11"/>
        <v>2023 Nationals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13.4</v>
      </c>
      <c r="Z9" s="22">
        <v>8.9</v>
      </c>
      <c r="AA9" s="22">
        <v>11.2</v>
      </c>
      <c r="AB9" s="22">
        <v>13.62</v>
      </c>
      <c r="AC9" s="22">
        <v>0</v>
      </c>
      <c r="AD9" s="22">
        <v>13.7</v>
      </c>
      <c r="AE9" s="22">
        <v>8.6999999999999993</v>
      </c>
      <c r="AF9" s="22">
        <v>11.4</v>
      </c>
      <c r="AG9" s="22">
        <v>13.5</v>
      </c>
      <c r="AH9" s="22">
        <v>0</v>
      </c>
      <c r="AI9" s="22">
        <v>12.3</v>
      </c>
      <c r="AJ9" s="22">
        <v>8.6</v>
      </c>
      <c r="AK9" s="22">
        <v>10.1</v>
      </c>
      <c r="AL9" s="22">
        <v>13.08</v>
      </c>
      <c r="AM9" s="22">
        <v>1.1000000000000001</v>
      </c>
      <c r="AN9" s="27"/>
      <c r="AO9" s="38">
        <f t="shared" si="15"/>
        <v>11.2</v>
      </c>
      <c r="AP9" s="38">
        <f t="shared" si="16"/>
        <v>13.62</v>
      </c>
      <c r="AQ9" s="40">
        <f t="shared" si="17"/>
        <v>47.12</v>
      </c>
      <c r="AR9" s="40">
        <f t="shared" si="18"/>
        <v>11.4</v>
      </c>
      <c r="AS9" s="40">
        <f t="shared" si="19"/>
        <v>13.5</v>
      </c>
      <c r="AT9" s="40">
        <f t="shared" si="20"/>
        <v>47.3</v>
      </c>
      <c r="AU9" s="40">
        <f t="shared" si="21"/>
        <v>47.3</v>
      </c>
      <c r="AV9" s="40">
        <f t="shared" si="22"/>
        <v>10.1</v>
      </c>
      <c r="AW9" s="40">
        <f t="shared" si="23"/>
        <v>13.08</v>
      </c>
      <c r="AX9" s="40">
        <f t="shared" si="24"/>
        <v>42.98</v>
      </c>
      <c r="AY9" s="40">
        <f t="shared" si="25"/>
        <v>90.28</v>
      </c>
      <c r="AZ9" s="26">
        <v>11.9</v>
      </c>
      <c r="BA9" s="26">
        <v>8.6</v>
      </c>
      <c r="BB9" s="26">
        <v>10.3</v>
      </c>
      <c r="BC9" s="26">
        <v>14.44</v>
      </c>
      <c r="BD9" s="26">
        <v>0.9</v>
      </c>
      <c r="BE9" s="26">
        <v>5.2</v>
      </c>
      <c r="BF9" s="26">
        <v>3.2</v>
      </c>
      <c r="BG9" s="26">
        <v>3.7</v>
      </c>
      <c r="BH9" s="26">
        <v>5.93</v>
      </c>
      <c r="BI9" s="26">
        <v>0.2</v>
      </c>
      <c r="BJ9" s="26">
        <v>11.3</v>
      </c>
      <c r="BK9" s="26">
        <v>7.2</v>
      </c>
      <c r="BL9" s="26">
        <v>9.1999999999999993</v>
      </c>
      <c r="BM9" s="26">
        <v>11.73</v>
      </c>
      <c r="BN9" s="26">
        <v>0</v>
      </c>
      <c r="BO9" s="28"/>
      <c r="BP9" s="39">
        <f t="shared" si="26"/>
        <v>10.3</v>
      </c>
      <c r="BQ9" s="39">
        <f t="shared" si="27"/>
        <v>14.44</v>
      </c>
      <c r="BR9" s="11">
        <f t="shared" si="28"/>
        <v>44.34</v>
      </c>
      <c r="BS9" s="11">
        <f t="shared" si="29"/>
        <v>3.7</v>
      </c>
      <c r="BT9" s="11">
        <f t="shared" si="30"/>
        <v>5.93</v>
      </c>
      <c r="BU9" s="11">
        <f t="shared" si="31"/>
        <v>17.830000000000002</v>
      </c>
      <c r="BV9" s="11">
        <f t="shared" si="32"/>
        <v>44.34</v>
      </c>
      <c r="BW9" s="11">
        <f t="shared" si="33"/>
        <v>9.1999999999999993</v>
      </c>
      <c r="BX9" s="11">
        <f t="shared" si="34"/>
        <v>11.73</v>
      </c>
      <c r="BY9" s="11">
        <f t="shared" si="35"/>
        <v>39.43</v>
      </c>
      <c r="BZ9" s="11">
        <f t="shared" si="36"/>
        <v>83.77000000000001</v>
      </c>
      <c r="CA9" s="22">
        <v>11.9</v>
      </c>
      <c r="CB9" s="22">
        <v>9.1999999999999993</v>
      </c>
      <c r="CC9" s="22">
        <v>9.8000000000000007</v>
      </c>
      <c r="CD9" s="22">
        <v>13.51</v>
      </c>
      <c r="CE9" s="22">
        <v>1.4</v>
      </c>
      <c r="CF9" s="22">
        <v>13.1</v>
      </c>
      <c r="CG9" s="22">
        <v>9.1</v>
      </c>
      <c r="CH9" s="22">
        <v>10.1</v>
      </c>
      <c r="CI9" s="22">
        <v>13.21</v>
      </c>
      <c r="CJ9" s="22">
        <v>1.1000000000000001</v>
      </c>
      <c r="CK9" s="22"/>
      <c r="CL9" s="22"/>
      <c r="CM9" s="22"/>
      <c r="CN9" s="22"/>
      <c r="CO9" s="22"/>
      <c r="CP9" s="27"/>
      <c r="CQ9" s="38">
        <f t="shared" si="37"/>
        <v>9.8000000000000007</v>
      </c>
      <c r="CR9" s="38">
        <f t="shared" si="38"/>
        <v>13.51</v>
      </c>
      <c r="CS9" s="40">
        <f t="shared" si="39"/>
        <v>43.010000000000005</v>
      </c>
      <c r="CT9" s="40">
        <f t="shared" si="40"/>
        <v>10.1</v>
      </c>
      <c r="CU9" s="40">
        <f t="shared" si="41"/>
        <v>13.21</v>
      </c>
      <c r="CV9" s="40">
        <f t="shared" si="42"/>
        <v>44.41</v>
      </c>
      <c r="CW9" s="40">
        <f t="shared" si="43"/>
        <v>44.41</v>
      </c>
      <c r="CX9" s="40" t="str">
        <f t="shared" si="44"/>
        <v/>
      </c>
      <c r="CY9" s="40" t="str">
        <f t="shared" si="45"/>
        <v/>
      </c>
      <c r="CZ9" s="40" t="str">
        <f t="shared" si="46"/>
        <v/>
      </c>
      <c r="DA9" s="40">
        <f t="shared" si="47"/>
        <v>44.41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11.9</v>
      </c>
      <c r="SW9" s="22">
        <f t="shared" si="219"/>
        <v>8.8999999999999986</v>
      </c>
      <c r="SX9" s="22">
        <f t="shared" si="220"/>
        <v>10.050000000000001</v>
      </c>
      <c r="SY9" s="22">
        <f t="shared" si="221"/>
        <v>13.975</v>
      </c>
      <c r="SZ9" s="22">
        <f t="shared" si="222"/>
        <v>1.1499999999999999</v>
      </c>
      <c r="TA9" s="22">
        <f t="shared" si="223"/>
        <v>9.15</v>
      </c>
      <c r="TB9" s="22">
        <f t="shared" si="224"/>
        <v>6.15</v>
      </c>
      <c r="TC9" s="22">
        <f t="shared" si="225"/>
        <v>6.9</v>
      </c>
      <c r="TD9" s="22">
        <f t="shared" si="226"/>
        <v>9.57</v>
      </c>
      <c r="TE9" s="22">
        <f t="shared" si="227"/>
        <v>0.65</v>
      </c>
      <c r="TF9" s="22">
        <f t="shared" si="228"/>
        <v>5.65</v>
      </c>
      <c r="TG9" s="22">
        <f t="shared" si="229"/>
        <v>3.6</v>
      </c>
      <c r="TH9" s="22">
        <f t="shared" si="230"/>
        <v>4.5999999999999996</v>
      </c>
      <c r="TI9" s="22">
        <f t="shared" si="231"/>
        <v>5.8650000000000002</v>
      </c>
      <c r="TJ9" s="22">
        <f t="shared" si="232"/>
        <v>0</v>
      </c>
      <c r="TK9" s="27" t="s">
        <v>46</v>
      </c>
      <c r="TL9" s="40">
        <f t="shared" si="233"/>
        <v>10.050000000000001</v>
      </c>
      <c r="TM9" s="40">
        <f t="shared" si="234"/>
        <v>13.975</v>
      </c>
      <c r="TN9" s="40">
        <f t="shared" si="235"/>
        <v>43.674999999999997</v>
      </c>
      <c r="TO9" s="40">
        <f t="shared" si="236"/>
        <v>6.9</v>
      </c>
      <c r="TP9" s="40">
        <f t="shared" si="237"/>
        <v>9.57</v>
      </c>
      <c r="TQ9" s="40">
        <f t="shared" si="238"/>
        <v>31.120000000000005</v>
      </c>
      <c r="TR9" s="40">
        <f t="shared" si="239"/>
        <v>43.674999999999997</v>
      </c>
      <c r="TS9" s="40">
        <f t="shared" si="240"/>
        <v>4.5999999999999996</v>
      </c>
      <c r="TT9" s="40">
        <f t="shared" si="241"/>
        <v>5.8650000000000002</v>
      </c>
      <c r="TU9" s="40">
        <f t="shared" si="242"/>
        <v>19.715</v>
      </c>
      <c r="TV9" s="40">
        <f t="shared" si="243"/>
        <v>63.39</v>
      </c>
    </row>
    <row r="10" spans="1:542" x14ac:dyDescent="0.2">
      <c r="A10" s="4" t="str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/>
      </c>
      <c r="B10" s="4" t="str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/>
      </c>
      <c r="C10" s="5" t="s">
        <v>141</v>
      </c>
      <c r="D10" s="4" t="s">
        <v>6</v>
      </c>
      <c r="E10" s="4">
        <v>2004</v>
      </c>
      <c r="F10" s="9">
        <f t="shared" si="0"/>
        <v>151.89001518900483</v>
      </c>
      <c r="G10" s="66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48.11</v>
      </c>
      <c r="M10" s="8" t="str">
        <f t="shared" si="5"/>
        <v>2023 Nationals</v>
      </c>
      <c r="N10" s="8">
        <f>IF(COUNT(AQ10,AT10,BR10,BU10,CS10,CV10)&gt;1,LARGE((AQ10,AT10,BR10,BU10,CS10,CV10),2),0)</f>
        <v>47.61</v>
      </c>
      <c r="O10" s="8" t="str">
        <f t="shared" si="6"/>
        <v>2024 Elite Canada</v>
      </c>
      <c r="P10" s="8">
        <f>IF(COUNT(AQ10,AT10,BR10,BU10,CS10,CV10)&gt;2,MAX(AX10,BY10,CZ10,LARGE((AQ10,AT10,BR10,BU10,CS10,CV10),3)),IF(MAX(AX10,BY10,CZ10)&gt;0,MAX(AX10,BY10,CZ10),0))</f>
        <v>47.37</v>
      </c>
      <c r="Q10" s="8" t="str">
        <f t="shared" si="7"/>
        <v>2024 Elite Canada</v>
      </c>
      <c r="R10" s="8">
        <f t="shared" si="8"/>
        <v>8.8000000000000007</v>
      </c>
      <c r="S10" s="8" t="str">
        <f t="shared" si="9"/>
        <v>2024 Elite Canada</v>
      </c>
      <c r="T10" s="8">
        <f t="shared" si="10"/>
        <v>0</v>
      </c>
      <c r="U10" s="8" t="str">
        <f t="shared" si="11"/>
        <v/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15.6</v>
      </c>
      <c r="Z10" s="22">
        <v>9.4</v>
      </c>
      <c r="AA10" s="22">
        <v>8.8000000000000007</v>
      </c>
      <c r="AB10" s="22">
        <v>14.31</v>
      </c>
      <c r="AC10" s="22">
        <v>0</v>
      </c>
      <c r="AD10" s="22">
        <v>14.7</v>
      </c>
      <c r="AE10" s="22">
        <v>9.6</v>
      </c>
      <c r="AF10" s="22">
        <v>8.8000000000000007</v>
      </c>
      <c r="AG10" s="22">
        <v>14.03</v>
      </c>
      <c r="AH10" s="22">
        <v>0</v>
      </c>
      <c r="AI10" s="22">
        <v>13.7</v>
      </c>
      <c r="AJ10" s="22">
        <v>8.9</v>
      </c>
      <c r="AK10" s="22">
        <v>7</v>
      </c>
      <c r="AL10" s="22">
        <v>13.4</v>
      </c>
      <c r="AM10" s="22">
        <v>1.8</v>
      </c>
      <c r="AN10" s="27"/>
      <c r="AO10" s="38">
        <f t="shared" si="15"/>
        <v>8.8000000000000007</v>
      </c>
      <c r="AP10" s="38">
        <f t="shared" si="16"/>
        <v>14.31</v>
      </c>
      <c r="AQ10" s="40">
        <f t="shared" si="17"/>
        <v>48.11</v>
      </c>
      <c r="AR10" s="40">
        <f t="shared" si="18"/>
        <v>8.8000000000000007</v>
      </c>
      <c r="AS10" s="40">
        <f t="shared" si="19"/>
        <v>14.03</v>
      </c>
      <c r="AT10" s="40">
        <f t="shared" si="20"/>
        <v>47.129999999999995</v>
      </c>
      <c r="AU10" s="40">
        <f t="shared" si="21"/>
        <v>48.11</v>
      </c>
      <c r="AV10" s="40">
        <f t="shared" si="22"/>
        <v>7</v>
      </c>
      <c r="AW10" s="40">
        <f t="shared" si="23"/>
        <v>13.4</v>
      </c>
      <c r="AX10" s="40">
        <f t="shared" si="24"/>
        <v>41.2</v>
      </c>
      <c r="AY10" s="40">
        <f t="shared" si="25"/>
        <v>89.31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 t="shared" si="26"/>
        <v/>
      </c>
      <c r="BQ10" s="39" t="str">
        <f t="shared" si="27"/>
        <v/>
      </c>
      <c r="BR10" s="11" t="str">
        <f t="shared" si="28"/>
        <v/>
      </c>
      <c r="BS10" s="11" t="str">
        <f t="shared" si="29"/>
        <v/>
      </c>
      <c r="BT10" s="11" t="str">
        <f t="shared" si="30"/>
        <v/>
      </c>
      <c r="BU10" s="11" t="str">
        <f t="shared" si="31"/>
        <v/>
      </c>
      <c r="BV10" s="11" t="str">
        <f t="shared" si="32"/>
        <v/>
      </c>
      <c r="BW10" s="11" t="str">
        <f t="shared" si="33"/>
        <v/>
      </c>
      <c r="BX10" s="11" t="str">
        <f t="shared" si="34"/>
        <v/>
      </c>
      <c r="BY10" s="11" t="str">
        <f t="shared" si="35"/>
        <v/>
      </c>
      <c r="BZ10" s="11" t="str">
        <f t="shared" si="36"/>
        <v/>
      </c>
      <c r="CA10" s="22">
        <v>15.5</v>
      </c>
      <c r="CB10" s="22">
        <v>9.3000000000000007</v>
      </c>
      <c r="CC10" s="22">
        <v>8.8000000000000007</v>
      </c>
      <c r="CD10" s="22">
        <v>14.01</v>
      </c>
      <c r="CE10" s="22">
        <v>0</v>
      </c>
      <c r="CF10" s="22">
        <v>15</v>
      </c>
      <c r="CG10" s="22">
        <v>9.3000000000000007</v>
      </c>
      <c r="CH10" s="22">
        <v>8.8000000000000007</v>
      </c>
      <c r="CI10" s="22">
        <v>13.8</v>
      </c>
      <c r="CJ10" s="22">
        <v>0</v>
      </c>
      <c r="CK10" s="22">
        <v>15.3</v>
      </c>
      <c r="CL10" s="22">
        <v>9.1999999999999993</v>
      </c>
      <c r="CM10" s="22">
        <v>8.8000000000000007</v>
      </c>
      <c r="CN10" s="22">
        <v>14.07</v>
      </c>
      <c r="CO10" s="22">
        <v>0</v>
      </c>
      <c r="CP10" s="27"/>
      <c r="CQ10" s="38">
        <f t="shared" si="37"/>
        <v>8.8000000000000007</v>
      </c>
      <c r="CR10" s="38">
        <f t="shared" si="38"/>
        <v>14.01</v>
      </c>
      <c r="CS10" s="40">
        <f t="shared" si="39"/>
        <v>47.61</v>
      </c>
      <c r="CT10" s="40">
        <f t="shared" si="40"/>
        <v>8.8000000000000007</v>
      </c>
      <c r="CU10" s="40">
        <f t="shared" si="41"/>
        <v>13.8</v>
      </c>
      <c r="CV10" s="40">
        <f t="shared" si="42"/>
        <v>46.900000000000006</v>
      </c>
      <c r="CW10" s="40">
        <f t="shared" si="43"/>
        <v>47.61</v>
      </c>
      <c r="CX10" s="40">
        <f t="shared" si="44"/>
        <v>8.8000000000000007</v>
      </c>
      <c r="CY10" s="40">
        <f t="shared" si="45"/>
        <v>14.07</v>
      </c>
      <c r="CZ10" s="40">
        <f t="shared" si="46"/>
        <v>47.37</v>
      </c>
      <c r="DA10" s="40">
        <f t="shared" si="47"/>
        <v>94.97999999999999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7.75</v>
      </c>
      <c r="SW10" s="22">
        <f t="shared" si="219"/>
        <v>4.6500000000000004</v>
      </c>
      <c r="SX10" s="22">
        <f t="shared" si="220"/>
        <v>4.4000000000000004</v>
      </c>
      <c r="SY10" s="22">
        <f t="shared" si="221"/>
        <v>7.0049999999999999</v>
      </c>
      <c r="SZ10" s="22">
        <f t="shared" si="222"/>
        <v>0</v>
      </c>
      <c r="TA10" s="22">
        <f t="shared" si="223"/>
        <v>7.5</v>
      </c>
      <c r="TB10" s="22">
        <f t="shared" si="224"/>
        <v>4.6500000000000004</v>
      </c>
      <c r="TC10" s="22">
        <f t="shared" si="225"/>
        <v>4.4000000000000004</v>
      </c>
      <c r="TD10" s="22">
        <f t="shared" si="226"/>
        <v>6.9</v>
      </c>
      <c r="TE10" s="22">
        <f t="shared" si="227"/>
        <v>0</v>
      </c>
      <c r="TF10" s="22">
        <f t="shared" si="228"/>
        <v>7.65</v>
      </c>
      <c r="TG10" s="22">
        <f t="shared" si="229"/>
        <v>4.5999999999999996</v>
      </c>
      <c r="TH10" s="22">
        <f t="shared" si="230"/>
        <v>4.4000000000000004</v>
      </c>
      <c r="TI10" s="22">
        <f t="shared" si="231"/>
        <v>7.0350000000000001</v>
      </c>
      <c r="TJ10" s="22">
        <f t="shared" si="232"/>
        <v>0</v>
      </c>
      <c r="TK10" s="27" t="s">
        <v>46</v>
      </c>
      <c r="TL10" s="40">
        <f t="shared" si="233"/>
        <v>4.4000000000000004</v>
      </c>
      <c r="TM10" s="40">
        <f t="shared" si="234"/>
        <v>7.0049999999999999</v>
      </c>
      <c r="TN10" s="40">
        <f t="shared" si="235"/>
        <v>23.805</v>
      </c>
      <c r="TO10" s="40">
        <f t="shared" si="236"/>
        <v>4.4000000000000004</v>
      </c>
      <c r="TP10" s="40">
        <f t="shared" si="237"/>
        <v>6.9</v>
      </c>
      <c r="TQ10" s="40">
        <f t="shared" si="238"/>
        <v>23.450000000000003</v>
      </c>
      <c r="TR10" s="40">
        <f t="shared" si="239"/>
        <v>23.805</v>
      </c>
      <c r="TS10" s="40">
        <f t="shared" si="240"/>
        <v>4.4000000000000004</v>
      </c>
      <c r="TT10" s="40">
        <f t="shared" si="241"/>
        <v>7.0350000000000001</v>
      </c>
      <c r="TU10" s="40">
        <f t="shared" si="242"/>
        <v>23.684999999999999</v>
      </c>
      <c r="TV10" s="40">
        <f t="shared" si="243"/>
        <v>47.489999999999995</v>
      </c>
    </row>
    <row r="11" spans="1:542" x14ac:dyDescent="0.2">
      <c r="A11" s="4" t="str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/>
      </c>
      <c r="B11" s="4" t="str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/>
      </c>
      <c r="C11" s="5" t="s">
        <v>220</v>
      </c>
      <c r="D11" s="4" t="s">
        <v>6</v>
      </c>
      <c r="E11" s="4">
        <v>2007</v>
      </c>
      <c r="F11" s="9">
        <f t="shared" si="0"/>
        <v>151.40001514000471</v>
      </c>
      <c r="G11" s="66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47.349999999999994</v>
      </c>
      <c r="M11" s="8" t="str">
        <f t="shared" si="5"/>
        <v>2024 Elite Canada</v>
      </c>
      <c r="N11" s="8">
        <f>IF(COUNT(AQ11,AT11,BR11,BU11,CS11,CV11)&gt;1,LARGE((AQ11,AT11,BR11,BU11,CS11,CV11),2),0)</f>
        <v>46.599999999999994</v>
      </c>
      <c r="O11" s="8" t="str">
        <f t="shared" si="6"/>
        <v>2024 Elite Canada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 t="shared" si="7"/>
        <v>2024 Elite Canada</v>
      </c>
      <c r="R11" s="8">
        <f t="shared" si="8"/>
        <v>9.6999999999999993</v>
      </c>
      <c r="S11" s="8" t="str">
        <f t="shared" si="9"/>
        <v>2024 Elite Canada</v>
      </c>
      <c r="T11" s="8">
        <f t="shared" si="10"/>
        <v>0</v>
      </c>
      <c r="U11" s="8" t="str">
        <f t="shared" si="11"/>
        <v/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 t="shared" si="15"/>
        <v/>
      </c>
      <c r="AP11" s="38" t="str">
        <f t="shared" si="16"/>
        <v/>
      </c>
      <c r="AQ11" s="40" t="str">
        <f t="shared" si="17"/>
        <v/>
      </c>
      <c r="AR11" s="40" t="str">
        <f t="shared" si="18"/>
        <v/>
      </c>
      <c r="AS11" s="40" t="str">
        <f t="shared" si="19"/>
        <v/>
      </c>
      <c r="AT11" s="40" t="str">
        <f t="shared" si="20"/>
        <v/>
      </c>
      <c r="AU11" s="40" t="str">
        <f t="shared" si="21"/>
        <v/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 t="str">
        <f t="shared" si="25"/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8"/>
      <c r="BP11" s="39" t="str">
        <f t="shared" si="26"/>
        <v/>
      </c>
      <c r="BQ11" s="39" t="str">
        <f t="shared" si="27"/>
        <v/>
      </c>
      <c r="BR11" s="11" t="str">
        <f t="shared" si="28"/>
        <v/>
      </c>
      <c r="BS11" s="11" t="str">
        <f t="shared" si="29"/>
        <v/>
      </c>
      <c r="BT11" s="11" t="str">
        <f t="shared" si="30"/>
        <v/>
      </c>
      <c r="BU11" s="11" t="str">
        <f t="shared" si="31"/>
        <v/>
      </c>
      <c r="BV11" s="11" t="str">
        <f t="shared" si="32"/>
        <v/>
      </c>
      <c r="BW11" s="11" t="str">
        <f t="shared" si="33"/>
        <v/>
      </c>
      <c r="BX11" s="11" t="str">
        <f t="shared" si="34"/>
        <v/>
      </c>
      <c r="BY11" s="11" t="str">
        <f t="shared" si="35"/>
        <v/>
      </c>
      <c r="BZ11" s="11" t="str">
        <f t="shared" si="36"/>
        <v/>
      </c>
      <c r="CA11" s="22">
        <v>14.7</v>
      </c>
      <c r="CB11" s="22">
        <v>9.1999999999999993</v>
      </c>
      <c r="CC11" s="22">
        <v>9.6999999999999993</v>
      </c>
      <c r="CD11" s="22">
        <v>13.75</v>
      </c>
      <c r="CE11" s="22">
        <v>0</v>
      </c>
      <c r="CF11" s="22">
        <v>14.7</v>
      </c>
      <c r="CG11" s="22">
        <v>9</v>
      </c>
      <c r="CH11" s="22">
        <v>9.1</v>
      </c>
      <c r="CI11" s="22">
        <v>13.8</v>
      </c>
      <c r="CJ11" s="22">
        <v>0</v>
      </c>
      <c r="CK11" s="22">
        <v>14.9</v>
      </c>
      <c r="CL11" s="22">
        <v>9.4</v>
      </c>
      <c r="CM11" s="22">
        <v>9.6999999999999993</v>
      </c>
      <c r="CN11" s="22">
        <v>13.75</v>
      </c>
      <c r="CO11" s="22">
        <v>0</v>
      </c>
      <c r="CP11" s="27"/>
      <c r="CQ11" s="38">
        <f t="shared" si="37"/>
        <v>9.6999999999999993</v>
      </c>
      <c r="CR11" s="38">
        <f t="shared" si="38"/>
        <v>13.75</v>
      </c>
      <c r="CS11" s="40">
        <f t="shared" si="39"/>
        <v>47.349999999999994</v>
      </c>
      <c r="CT11" s="40">
        <f t="shared" si="40"/>
        <v>9.1</v>
      </c>
      <c r="CU11" s="40">
        <f t="shared" si="41"/>
        <v>13.8</v>
      </c>
      <c r="CV11" s="40">
        <f t="shared" si="42"/>
        <v>46.599999999999994</v>
      </c>
      <c r="CW11" s="40">
        <f t="shared" si="43"/>
        <v>47.349999999999994</v>
      </c>
      <c r="CX11" s="40">
        <f t="shared" si="44"/>
        <v>9.6999999999999993</v>
      </c>
      <c r="CY11" s="40">
        <f t="shared" si="45"/>
        <v>13.75</v>
      </c>
      <c r="CZ11" s="40">
        <f t="shared" si="46"/>
        <v>47.75</v>
      </c>
      <c r="DA11" s="40">
        <f t="shared" si="47"/>
        <v>95.1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7.35</v>
      </c>
      <c r="SW11" s="22">
        <f t="shared" si="219"/>
        <v>4.5999999999999996</v>
      </c>
      <c r="SX11" s="22">
        <f t="shared" si="220"/>
        <v>4.8499999999999996</v>
      </c>
      <c r="SY11" s="22">
        <f t="shared" si="221"/>
        <v>6.875</v>
      </c>
      <c r="SZ11" s="22">
        <f t="shared" si="222"/>
        <v>0</v>
      </c>
      <c r="TA11" s="22">
        <f t="shared" si="223"/>
        <v>7.35</v>
      </c>
      <c r="TB11" s="22">
        <f t="shared" si="224"/>
        <v>4.5</v>
      </c>
      <c r="TC11" s="22">
        <f t="shared" si="225"/>
        <v>4.55</v>
      </c>
      <c r="TD11" s="22">
        <f t="shared" si="226"/>
        <v>6.9</v>
      </c>
      <c r="TE11" s="22">
        <f t="shared" si="227"/>
        <v>0</v>
      </c>
      <c r="TF11" s="22">
        <f t="shared" si="228"/>
        <v>7.45</v>
      </c>
      <c r="TG11" s="22">
        <f t="shared" si="229"/>
        <v>4.7</v>
      </c>
      <c r="TH11" s="22">
        <f t="shared" si="230"/>
        <v>4.8499999999999996</v>
      </c>
      <c r="TI11" s="22">
        <f t="shared" si="231"/>
        <v>6.875</v>
      </c>
      <c r="TJ11" s="22">
        <f t="shared" si="232"/>
        <v>0</v>
      </c>
      <c r="TK11" s="27" t="s">
        <v>46</v>
      </c>
      <c r="TL11" s="40">
        <f t="shared" si="233"/>
        <v>4.8499999999999996</v>
      </c>
      <c r="TM11" s="40">
        <f t="shared" si="234"/>
        <v>6.875</v>
      </c>
      <c r="TN11" s="40">
        <f t="shared" si="235"/>
        <v>23.674999999999997</v>
      </c>
      <c r="TO11" s="40">
        <f t="shared" si="236"/>
        <v>4.55</v>
      </c>
      <c r="TP11" s="40">
        <f t="shared" si="237"/>
        <v>6.9</v>
      </c>
      <c r="TQ11" s="40">
        <f t="shared" si="238"/>
        <v>23.299999999999997</v>
      </c>
      <c r="TR11" s="40">
        <f t="shared" si="239"/>
        <v>23.674999999999997</v>
      </c>
      <c r="TS11" s="40">
        <f t="shared" si="240"/>
        <v>4.8499999999999996</v>
      </c>
      <c r="TT11" s="40">
        <f t="shared" si="241"/>
        <v>6.875</v>
      </c>
      <c r="TU11" s="40">
        <f t="shared" si="242"/>
        <v>23.875</v>
      </c>
      <c r="TV11" s="40">
        <f t="shared" si="243"/>
        <v>47.55</v>
      </c>
    </row>
    <row r="12" spans="1:542" x14ac:dyDescent="0.2">
      <c r="A12" s="4" t="str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/>
      </c>
      <c r="B12" s="4" t="str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/>
      </c>
      <c r="C12" s="5" t="s">
        <v>139</v>
      </c>
      <c r="D12" s="4" t="s">
        <v>6</v>
      </c>
      <c r="E12" s="4">
        <v>2005</v>
      </c>
      <c r="F12" s="9">
        <f t="shared" si="0"/>
        <v>150.68001506800471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47.010000000000005</v>
      </c>
      <c r="M12" s="8" t="str">
        <f t="shared" si="5"/>
        <v>2023 Nationals</v>
      </c>
      <c r="N12" s="8">
        <f>IF(COUNT(AQ12,AT12,BR12,BU12,CS12,CV12)&gt;1,LARGE((AQ12,AT12,BR12,BU12,CS12,CV12),2),0)</f>
        <v>46.79</v>
      </c>
      <c r="O12" s="8" t="str">
        <f t="shared" si="6"/>
        <v>2024 Elite Canada</v>
      </c>
      <c r="P12" s="8">
        <f>IF(COUNT(AQ12,AT12,BR12,BU12,CS12,CV12)&gt;2,MAX(AX12,BY12,CZ12,LARGE((AQ12,AT12,BR12,BU12,CS12,CV12),3)),IF(MAX(AX12,BY12,CZ12)&gt;0,MAX(AX12,BY12,CZ12),0))</f>
        <v>47.780000000000008</v>
      </c>
      <c r="Q12" s="8" t="str">
        <f t="shared" si="7"/>
        <v>2023 Nationals</v>
      </c>
      <c r="R12" s="8">
        <f t="shared" si="8"/>
        <v>9.1</v>
      </c>
      <c r="S12" s="8" t="str">
        <f t="shared" si="9"/>
        <v>2024 Elite Canada</v>
      </c>
      <c r="T12" s="8">
        <f t="shared" si="10"/>
        <v>0</v>
      </c>
      <c r="U12" s="8" t="str">
        <f t="shared" si="11"/>
        <v/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16</v>
      </c>
      <c r="Z12" s="22">
        <v>9</v>
      </c>
      <c r="AA12" s="22">
        <v>8.5</v>
      </c>
      <c r="AB12" s="22">
        <v>13.81</v>
      </c>
      <c r="AC12" s="22">
        <v>0.3</v>
      </c>
      <c r="AD12" s="22">
        <v>13.8</v>
      </c>
      <c r="AE12" s="22">
        <v>8.9</v>
      </c>
      <c r="AF12" s="22">
        <v>8.9</v>
      </c>
      <c r="AG12" s="22">
        <v>14.28</v>
      </c>
      <c r="AH12" s="22">
        <v>0</v>
      </c>
      <c r="AI12" s="22">
        <v>16.600000000000001</v>
      </c>
      <c r="AJ12" s="22">
        <v>8.8000000000000007</v>
      </c>
      <c r="AK12" s="22">
        <v>8.5</v>
      </c>
      <c r="AL12" s="22">
        <v>14.18</v>
      </c>
      <c r="AM12" s="22">
        <v>0.3</v>
      </c>
      <c r="AN12" s="27"/>
      <c r="AO12" s="38">
        <f t="shared" si="15"/>
        <v>8.5</v>
      </c>
      <c r="AP12" s="38">
        <f t="shared" si="16"/>
        <v>13.81</v>
      </c>
      <c r="AQ12" s="40">
        <f t="shared" si="17"/>
        <v>47.010000000000005</v>
      </c>
      <c r="AR12" s="40">
        <f t="shared" si="18"/>
        <v>8.9</v>
      </c>
      <c r="AS12" s="40">
        <f t="shared" si="19"/>
        <v>14.28</v>
      </c>
      <c r="AT12" s="40">
        <f t="shared" si="20"/>
        <v>45.88</v>
      </c>
      <c r="AU12" s="40">
        <f t="shared" si="21"/>
        <v>47.010000000000005</v>
      </c>
      <c r="AV12" s="40">
        <f t="shared" si="22"/>
        <v>8.5</v>
      </c>
      <c r="AW12" s="40">
        <f t="shared" si="23"/>
        <v>14.18</v>
      </c>
      <c r="AX12" s="40">
        <f t="shared" si="24"/>
        <v>47.780000000000008</v>
      </c>
      <c r="AY12" s="40">
        <f t="shared" si="25"/>
        <v>94.79000000000002</v>
      </c>
      <c r="AZ12" s="26">
        <v>15.15</v>
      </c>
      <c r="BA12" s="26">
        <v>9.1</v>
      </c>
      <c r="BB12" s="26">
        <v>8.0500000000000007</v>
      </c>
      <c r="BC12" s="26">
        <v>13.715</v>
      </c>
      <c r="BD12" s="26">
        <v>0.75</v>
      </c>
      <c r="BE12" s="26">
        <v>9.6999999999999993</v>
      </c>
      <c r="BF12" s="26">
        <v>6.2</v>
      </c>
      <c r="BG12" s="26">
        <v>6.4</v>
      </c>
      <c r="BH12" s="26">
        <v>9.8999999999999986</v>
      </c>
      <c r="BI12" s="26">
        <v>0</v>
      </c>
      <c r="BJ12" s="26">
        <v>8.3000000000000007</v>
      </c>
      <c r="BK12" s="26">
        <v>4.4000000000000004</v>
      </c>
      <c r="BL12" s="26">
        <v>4.25</v>
      </c>
      <c r="BM12" s="26">
        <v>7.09</v>
      </c>
      <c r="BN12" s="26">
        <v>0.15</v>
      </c>
      <c r="BO12" s="28" t="s">
        <v>46</v>
      </c>
      <c r="BP12" s="39">
        <f t="shared" si="26"/>
        <v>8.0500000000000007</v>
      </c>
      <c r="BQ12" s="39">
        <f t="shared" si="27"/>
        <v>13.715</v>
      </c>
      <c r="BR12" s="11">
        <f t="shared" si="28"/>
        <v>45.265000000000001</v>
      </c>
      <c r="BS12" s="11">
        <f t="shared" si="29"/>
        <v>6.4</v>
      </c>
      <c r="BT12" s="11">
        <f t="shared" si="30"/>
        <v>9.8999999999999986</v>
      </c>
      <c r="BU12" s="11">
        <f t="shared" si="31"/>
        <v>32.199999999999996</v>
      </c>
      <c r="BV12" s="11">
        <f t="shared" si="32"/>
        <v>45.265000000000001</v>
      </c>
      <c r="BW12" s="11">
        <f t="shared" si="33"/>
        <v>4.25</v>
      </c>
      <c r="BX12" s="11">
        <f t="shared" si="34"/>
        <v>7.09</v>
      </c>
      <c r="BY12" s="11">
        <f t="shared" si="35"/>
        <v>23.890000000000004</v>
      </c>
      <c r="BZ12" s="11">
        <f t="shared" si="36"/>
        <v>69.155000000000001</v>
      </c>
      <c r="CA12" s="22">
        <v>13.7</v>
      </c>
      <c r="CB12" s="22">
        <v>8.6999999999999993</v>
      </c>
      <c r="CC12" s="22">
        <v>7.8</v>
      </c>
      <c r="CD12" s="22">
        <v>13.11</v>
      </c>
      <c r="CE12" s="22">
        <v>1</v>
      </c>
      <c r="CF12" s="22">
        <v>15.7</v>
      </c>
      <c r="CG12" s="22">
        <v>9.1999999999999993</v>
      </c>
      <c r="CH12" s="22">
        <v>8.6</v>
      </c>
      <c r="CI12" s="22">
        <v>13.49</v>
      </c>
      <c r="CJ12" s="22">
        <v>0.2</v>
      </c>
      <c r="CK12" s="22">
        <v>15.5</v>
      </c>
      <c r="CL12" s="22">
        <v>9</v>
      </c>
      <c r="CM12" s="22">
        <v>9.1</v>
      </c>
      <c r="CN12" s="22">
        <v>13.77</v>
      </c>
      <c r="CO12" s="22">
        <v>0</v>
      </c>
      <c r="CP12" s="27"/>
      <c r="CQ12" s="38">
        <f t="shared" si="37"/>
        <v>7.8</v>
      </c>
      <c r="CR12" s="38">
        <f t="shared" si="38"/>
        <v>13.11</v>
      </c>
      <c r="CS12" s="40">
        <f t="shared" si="39"/>
        <v>42.31</v>
      </c>
      <c r="CT12" s="40">
        <f t="shared" si="40"/>
        <v>8.6</v>
      </c>
      <c r="CU12" s="40">
        <f t="shared" si="41"/>
        <v>13.49</v>
      </c>
      <c r="CV12" s="40">
        <f t="shared" si="42"/>
        <v>46.79</v>
      </c>
      <c r="CW12" s="40">
        <f t="shared" si="43"/>
        <v>46.79</v>
      </c>
      <c r="CX12" s="40">
        <f t="shared" si="44"/>
        <v>9.1</v>
      </c>
      <c r="CY12" s="40">
        <f t="shared" si="45"/>
        <v>13.77</v>
      </c>
      <c r="CZ12" s="40">
        <f t="shared" si="46"/>
        <v>47.370000000000005</v>
      </c>
      <c r="DA12" s="40">
        <f t="shared" si="47"/>
        <v>94.16</v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14.425000000000001</v>
      </c>
      <c r="SW12" s="22">
        <f t="shared" si="219"/>
        <v>8.8999999999999986</v>
      </c>
      <c r="SX12" s="22">
        <f t="shared" si="220"/>
        <v>7.9250000000000007</v>
      </c>
      <c r="SY12" s="22">
        <f t="shared" si="221"/>
        <v>13.4125</v>
      </c>
      <c r="SZ12" s="22">
        <f t="shared" si="222"/>
        <v>0.875</v>
      </c>
      <c r="TA12" s="22">
        <f t="shared" si="223"/>
        <v>12.7</v>
      </c>
      <c r="TB12" s="22">
        <f t="shared" si="224"/>
        <v>7.6999999999999993</v>
      </c>
      <c r="TC12" s="22">
        <f t="shared" si="225"/>
        <v>7.5</v>
      </c>
      <c r="TD12" s="22">
        <f t="shared" si="226"/>
        <v>11.695</v>
      </c>
      <c r="TE12" s="22">
        <f t="shared" si="227"/>
        <v>0.1</v>
      </c>
      <c r="TF12" s="22">
        <f t="shared" si="228"/>
        <v>11.9</v>
      </c>
      <c r="TG12" s="22">
        <f t="shared" si="229"/>
        <v>6.7</v>
      </c>
      <c r="TH12" s="22">
        <f t="shared" si="230"/>
        <v>6.6749999999999998</v>
      </c>
      <c r="TI12" s="22">
        <f t="shared" si="231"/>
        <v>10.43</v>
      </c>
      <c r="TJ12" s="22">
        <f t="shared" si="232"/>
        <v>7.4999999999999997E-2</v>
      </c>
      <c r="TK12" s="27" t="s">
        <v>46</v>
      </c>
      <c r="TL12" s="40">
        <f t="shared" si="233"/>
        <v>7.9250000000000007</v>
      </c>
      <c r="TM12" s="40">
        <f t="shared" si="234"/>
        <v>13.4125</v>
      </c>
      <c r="TN12" s="40">
        <f t="shared" si="235"/>
        <v>43.787500000000001</v>
      </c>
      <c r="TO12" s="40">
        <f t="shared" si="236"/>
        <v>7.5</v>
      </c>
      <c r="TP12" s="40">
        <f t="shared" si="237"/>
        <v>11.695</v>
      </c>
      <c r="TQ12" s="40">
        <f t="shared" si="238"/>
        <v>39.494999999999997</v>
      </c>
      <c r="TR12" s="40">
        <f t="shared" si="239"/>
        <v>43.787500000000001</v>
      </c>
      <c r="TS12" s="40">
        <f t="shared" si="240"/>
        <v>6.6749999999999998</v>
      </c>
      <c r="TT12" s="40">
        <f t="shared" si="241"/>
        <v>10.43</v>
      </c>
      <c r="TU12" s="40">
        <f t="shared" si="242"/>
        <v>35.629999999999995</v>
      </c>
      <c r="TV12" s="40">
        <f t="shared" si="243"/>
        <v>79.41749999999999</v>
      </c>
    </row>
    <row r="13" spans="1:542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116</v>
      </c>
      <c r="D13" s="4" t="s">
        <v>4</v>
      </c>
      <c r="E13" s="4">
        <v>2005</v>
      </c>
      <c r="F13" s="9">
        <f t="shared" si="0"/>
        <v>149.32001493200482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48.150000000000006</v>
      </c>
      <c r="M13" s="8" t="str">
        <f t="shared" si="5"/>
        <v>2023 Nationals</v>
      </c>
      <c r="N13" s="8">
        <f>IF(COUNT(AQ13,AT13,BR13,BU13,CS13,CV13)&gt;1,LARGE((AQ13,AT13,BR13,BU13,CS13,CV13),2),0)</f>
        <v>45.89</v>
      </c>
      <c r="O13" s="8" t="str">
        <f t="shared" si="6"/>
        <v>2023 Nationals</v>
      </c>
      <c r="P13" s="8">
        <f>IF(COUNT(AQ13,AT13,BR13,BU13,CS13,CV13)&gt;2,MAX(AX13,BY13,CZ13,LARGE((AQ13,AT13,BR13,BU13,CS13,CV13),3)),IF(MAX(AX13,BY13,CZ13)&gt;0,MAX(AX13,BY13,CZ13),0))</f>
        <v>46.780000000000008</v>
      </c>
      <c r="Q13" s="8" t="str">
        <f t="shared" si="7"/>
        <v>2023 Nationals</v>
      </c>
      <c r="R13" s="8">
        <f t="shared" si="8"/>
        <v>8.5</v>
      </c>
      <c r="S13" s="8" t="str">
        <f t="shared" si="9"/>
        <v>2023 Nationals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14.9</v>
      </c>
      <c r="Z13" s="22">
        <v>9.5</v>
      </c>
      <c r="AA13" s="22">
        <v>8.3000000000000007</v>
      </c>
      <c r="AB13" s="22">
        <v>13.89</v>
      </c>
      <c r="AC13" s="22">
        <v>0.7</v>
      </c>
      <c r="AD13" s="22">
        <v>16.100000000000001</v>
      </c>
      <c r="AE13" s="22">
        <v>9.8000000000000007</v>
      </c>
      <c r="AF13" s="22">
        <v>8.5</v>
      </c>
      <c r="AG13" s="22">
        <v>14.25</v>
      </c>
      <c r="AH13" s="22">
        <v>0.5</v>
      </c>
      <c r="AI13" s="22">
        <v>15.4</v>
      </c>
      <c r="AJ13" s="22">
        <v>9.3000000000000007</v>
      </c>
      <c r="AK13" s="22">
        <v>8.5</v>
      </c>
      <c r="AL13" s="22">
        <v>13.88</v>
      </c>
      <c r="AM13" s="22">
        <v>0.3</v>
      </c>
      <c r="AN13" s="27"/>
      <c r="AO13" s="38">
        <f t="shared" si="15"/>
        <v>8.3000000000000007</v>
      </c>
      <c r="AP13" s="38">
        <f t="shared" si="16"/>
        <v>13.89</v>
      </c>
      <c r="AQ13" s="40">
        <f t="shared" si="17"/>
        <v>45.89</v>
      </c>
      <c r="AR13" s="40">
        <f t="shared" si="18"/>
        <v>8.5</v>
      </c>
      <c r="AS13" s="40">
        <f t="shared" si="19"/>
        <v>14.25</v>
      </c>
      <c r="AT13" s="40">
        <f t="shared" si="20"/>
        <v>48.150000000000006</v>
      </c>
      <c r="AU13" s="40">
        <f t="shared" si="21"/>
        <v>48.150000000000006</v>
      </c>
      <c r="AV13" s="40">
        <f t="shared" si="22"/>
        <v>8.5</v>
      </c>
      <c r="AW13" s="40">
        <f t="shared" si="23"/>
        <v>13.88</v>
      </c>
      <c r="AX13" s="40">
        <f t="shared" si="24"/>
        <v>46.780000000000008</v>
      </c>
      <c r="AY13" s="40">
        <f t="shared" si="25"/>
        <v>94.93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 t="shared" si="26"/>
        <v/>
      </c>
      <c r="BQ13" s="39" t="str">
        <f t="shared" si="27"/>
        <v/>
      </c>
      <c r="BR13" s="11" t="str">
        <f t="shared" si="28"/>
        <v/>
      </c>
      <c r="BS13" s="11" t="str">
        <f t="shared" si="29"/>
        <v/>
      </c>
      <c r="BT13" s="11" t="str">
        <f t="shared" si="30"/>
        <v/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 t="str">
        <f t="shared" si="36"/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7"/>
        <v/>
      </c>
      <c r="CR13" s="38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40" t="str">
        <f t="shared" si="46"/>
        <v/>
      </c>
      <c r="DA13" s="40" t="str">
        <f t="shared" si="47"/>
        <v/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0</v>
      </c>
      <c r="SW13" s="22">
        <f t="shared" si="219"/>
        <v>0</v>
      </c>
      <c r="SX13" s="22">
        <f t="shared" si="220"/>
        <v>0</v>
      </c>
      <c r="SY13" s="22">
        <f t="shared" si="221"/>
        <v>0</v>
      </c>
      <c r="SZ13" s="22">
        <f t="shared" si="222"/>
        <v>0</v>
      </c>
      <c r="TA13" s="22">
        <f t="shared" si="223"/>
        <v>0</v>
      </c>
      <c r="TB13" s="22">
        <f t="shared" si="224"/>
        <v>0</v>
      </c>
      <c r="TC13" s="22">
        <f t="shared" si="225"/>
        <v>0</v>
      </c>
      <c r="TD13" s="22">
        <f t="shared" si="226"/>
        <v>0</v>
      </c>
      <c r="TE13" s="22">
        <f t="shared" si="227"/>
        <v>0</v>
      </c>
      <c r="TF13" s="22">
        <f t="shared" si="228"/>
        <v>0</v>
      </c>
      <c r="TG13" s="22">
        <f t="shared" si="229"/>
        <v>0</v>
      </c>
      <c r="TH13" s="22">
        <f t="shared" si="230"/>
        <v>0</v>
      </c>
      <c r="TI13" s="22">
        <f t="shared" si="231"/>
        <v>0</v>
      </c>
      <c r="TJ13" s="22">
        <f t="shared" si="232"/>
        <v>0</v>
      </c>
      <c r="TK13" s="27" t="s">
        <v>46</v>
      </c>
      <c r="TL13" s="40" t="str">
        <f t="shared" si="233"/>
        <v/>
      </c>
      <c r="TM13" s="40" t="str">
        <f t="shared" si="234"/>
        <v/>
      </c>
      <c r="TN13" s="40" t="str">
        <f t="shared" si="235"/>
        <v/>
      </c>
      <c r="TO13" s="40" t="str">
        <f t="shared" si="236"/>
        <v/>
      </c>
      <c r="TP13" s="40" t="str">
        <f t="shared" si="237"/>
        <v/>
      </c>
      <c r="TQ13" s="40" t="str">
        <f t="shared" si="238"/>
        <v/>
      </c>
      <c r="TR13" s="40" t="str">
        <f t="shared" si="239"/>
        <v/>
      </c>
      <c r="TS13" s="40" t="str">
        <f t="shared" si="240"/>
        <v/>
      </c>
      <c r="TT13" s="40" t="str">
        <f t="shared" si="241"/>
        <v/>
      </c>
      <c r="TU13" s="40" t="str">
        <f t="shared" si="242"/>
        <v/>
      </c>
      <c r="TV13" s="40" t="str">
        <f t="shared" si="243"/>
        <v/>
      </c>
    </row>
    <row r="14" spans="1:542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121</v>
      </c>
      <c r="D14" s="4" t="s">
        <v>4</v>
      </c>
      <c r="E14" s="4">
        <v>2004</v>
      </c>
      <c r="F14" s="9">
        <f t="shared" si="0"/>
        <v>148.49001484900464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46.39</v>
      </c>
      <c r="M14" s="8" t="str">
        <f t="shared" si="5"/>
        <v>2024 Elite Canada</v>
      </c>
      <c r="N14" s="8">
        <f>IF(COUNT(AQ14,AT14,BR14,BU14,CS14,CV14)&gt;1,LARGE((AQ14,AT14,BR14,BU14,CS14,CV14),2),0)</f>
        <v>45.25</v>
      </c>
      <c r="O14" s="8" t="str">
        <f t="shared" si="6"/>
        <v>2023 3rd Domestic Trial</v>
      </c>
      <c r="P14" s="8">
        <f>IF(COUNT(AQ14,AT14,BR14,BU14,CS14,CV14)&gt;2,MAX(AX14,BY14,CZ14,LARGE((AQ14,AT14,BR14,BU14,CS14,CV14),3)),IF(MAX(AX14,BY14,CZ14)&gt;0,MAX(AX14,BY14,CZ14),0))</f>
        <v>47.050000000000004</v>
      </c>
      <c r="Q14" s="8" t="str">
        <f t="shared" si="7"/>
        <v>2023 3rd Domestic Trial</v>
      </c>
      <c r="R14" s="8">
        <f t="shared" si="8"/>
        <v>9.8000000000000007</v>
      </c>
      <c r="S14" s="8" t="str">
        <f t="shared" si="9"/>
        <v>2024 Elite Canada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4.4000000000000004</v>
      </c>
      <c r="Z14" s="22">
        <v>2.8</v>
      </c>
      <c r="AA14" s="22">
        <v>3.4</v>
      </c>
      <c r="AB14" s="22">
        <v>4.22</v>
      </c>
      <c r="AC14" s="22">
        <v>0</v>
      </c>
      <c r="AD14" s="22">
        <v>12.6</v>
      </c>
      <c r="AE14" s="22">
        <v>8.3000000000000007</v>
      </c>
      <c r="AF14" s="22">
        <v>6.1</v>
      </c>
      <c r="AG14" s="22">
        <v>12.22</v>
      </c>
      <c r="AH14" s="22">
        <v>0</v>
      </c>
      <c r="AI14" s="22"/>
      <c r="AJ14" s="22"/>
      <c r="AK14" s="22"/>
      <c r="AL14" s="22"/>
      <c r="AM14" s="22"/>
      <c r="AN14" s="27"/>
      <c r="AO14" s="38">
        <f t="shared" si="15"/>
        <v>3.4</v>
      </c>
      <c r="AP14" s="38">
        <f t="shared" si="16"/>
        <v>4.22</v>
      </c>
      <c r="AQ14" s="40">
        <f t="shared" si="17"/>
        <v>14.82</v>
      </c>
      <c r="AR14" s="40">
        <f t="shared" si="18"/>
        <v>6.1</v>
      </c>
      <c r="AS14" s="40">
        <f t="shared" si="19"/>
        <v>12.22</v>
      </c>
      <c r="AT14" s="40">
        <f t="shared" si="20"/>
        <v>39.22</v>
      </c>
      <c r="AU14" s="40">
        <f t="shared" si="21"/>
        <v>39.22</v>
      </c>
      <c r="AV14" s="40" t="str">
        <f t="shared" si="22"/>
        <v/>
      </c>
      <c r="AW14" s="40" t="str">
        <f t="shared" si="23"/>
        <v/>
      </c>
      <c r="AX14" s="40" t="str">
        <f t="shared" si="24"/>
        <v/>
      </c>
      <c r="AY14" s="40">
        <f t="shared" si="25"/>
        <v>39.22</v>
      </c>
      <c r="AZ14" s="26">
        <v>13.8</v>
      </c>
      <c r="BA14" s="26">
        <v>9</v>
      </c>
      <c r="BB14" s="26">
        <v>8.6</v>
      </c>
      <c r="BC14" s="26">
        <v>14.05</v>
      </c>
      <c r="BD14" s="26">
        <v>0.2</v>
      </c>
      <c r="BE14" s="26">
        <v>12.7</v>
      </c>
      <c r="BF14" s="26">
        <v>9.1999999999999993</v>
      </c>
      <c r="BG14" s="26">
        <v>7.3999999999999995</v>
      </c>
      <c r="BH14" s="26">
        <v>12.78</v>
      </c>
      <c r="BI14" s="26">
        <v>1.4</v>
      </c>
      <c r="BJ14" s="26">
        <v>14.8</v>
      </c>
      <c r="BK14" s="26">
        <v>8.9</v>
      </c>
      <c r="BL14" s="26">
        <v>9.1999999999999993</v>
      </c>
      <c r="BM14" s="26">
        <v>14.15</v>
      </c>
      <c r="BN14" s="26">
        <v>0</v>
      </c>
      <c r="BO14" s="28"/>
      <c r="BP14" s="39">
        <f t="shared" si="26"/>
        <v>8.6</v>
      </c>
      <c r="BQ14" s="39">
        <f t="shared" si="27"/>
        <v>14.05</v>
      </c>
      <c r="BR14" s="11">
        <f t="shared" si="28"/>
        <v>45.25</v>
      </c>
      <c r="BS14" s="11">
        <f t="shared" si="29"/>
        <v>7.3999999999999995</v>
      </c>
      <c r="BT14" s="11">
        <f t="shared" si="30"/>
        <v>12.78</v>
      </c>
      <c r="BU14" s="11">
        <f t="shared" si="31"/>
        <v>40.68</v>
      </c>
      <c r="BV14" s="11">
        <f t="shared" si="32"/>
        <v>45.25</v>
      </c>
      <c r="BW14" s="11">
        <f t="shared" si="33"/>
        <v>9.1999999999999993</v>
      </c>
      <c r="BX14" s="11">
        <f t="shared" si="34"/>
        <v>14.15</v>
      </c>
      <c r="BY14" s="11">
        <f t="shared" si="35"/>
        <v>47.050000000000004</v>
      </c>
      <c r="BZ14" s="11">
        <f t="shared" si="36"/>
        <v>92.300000000000011</v>
      </c>
      <c r="CA14" s="22">
        <v>13.7</v>
      </c>
      <c r="CB14" s="22">
        <v>9.5</v>
      </c>
      <c r="CC14" s="22">
        <v>9.8000000000000007</v>
      </c>
      <c r="CD14" s="22">
        <v>13.39</v>
      </c>
      <c r="CE14" s="22">
        <v>0</v>
      </c>
      <c r="CF14" s="22">
        <v>13.4</v>
      </c>
      <c r="CG14" s="22">
        <v>8.9</v>
      </c>
      <c r="CH14" s="22">
        <v>9.1</v>
      </c>
      <c r="CI14" s="22">
        <v>13.15</v>
      </c>
      <c r="CJ14" s="22">
        <v>0</v>
      </c>
      <c r="CK14" s="22">
        <v>3</v>
      </c>
      <c r="CL14" s="22">
        <v>1.8</v>
      </c>
      <c r="CM14" s="22">
        <v>2.1</v>
      </c>
      <c r="CN14" s="22">
        <v>2.82</v>
      </c>
      <c r="CO14" s="22">
        <v>0</v>
      </c>
      <c r="CP14" s="27"/>
      <c r="CQ14" s="38">
        <f t="shared" si="37"/>
        <v>9.8000000000000007</v>
      </c>
      <c r="CR14" s="38">
        <f t="shared" si="38"/>
        <v>13.39</v>
      </c>
      <c r="CS14" s="40">
        <f t="shared" si="39"/>
        <v>46.39</v>
      </c>
      <c r="CT14" s="40">
        <f t="shared" si="40"/>
        <v>9.1</v>
      </c>
      <c r="CU14" s="40">
        <f t="shared" si="41"/>
        <v>13.15</v>
      </c>
      <c r="CV14" s="40">
        <f t="shared" si="42"/>
        <v>44.55</v>
      </c>
      <c r="CW14" s="40">
        <f t="shared" si="43"/>
        <v>46.39</v>
      </c>
      <c r="CX14" s="40">
        <f t="shared" si="44"/>
        <v>2.1</v>
      </c>
      <c r="CY14" s="40">
        <f t="shared" si="45"/>
        <v>2.82</v>
      </c>
      <c r="CZ14" s="40">
        <f t="shared" si="46"/>
        <v>9.7200000000000006</v>
      </c>
      <c r="DA14" s="40">
        <f t="shared" si="47"/>
        <v>56.11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13.75</v>
      </c>
      <c r="SW14" s="22">
        <f t="shared" si="219"/>
        <v>9.25</v>
      </c>
      <c r="SX14" s="22">
        <f t="shared" si="220"/>
        <v>9.1999999999999993</v>
      </c>
      <c r="SY14" s="22">
        <f t="shared" si="221"/>
        <v>13.72</v>
      </c>
      <c r="SZ14" s="22">
        <f t="shared" si="222"/>
        <v>0.1</v>
      </c>
      <c r="TA14" s="22">
        <f t="shared" si="223"/>
        <v>13.05</v>
      </c>
      <c r="TB14" s="22">
        <f t="shared" si="224"/>
        <v>9.0500000000000007</v>
      </c>
      <c r="TC14" s="22">
        <f t="shared" si="225"/>
        <v>8.25</v>
      </c>
      <c r="TD14" s="22">
        <f t="shared" si="226"/>
        <v>12.965</v>
      </c>
      <c r="TE14" s="22">
        <f t="shared" si="227"/>
        <v>0.7</v>
      </c>
      <c r="TF14" s="22">
        <f t="shared" si="228"/>
        <v>8.9</v>
      </c>
      <c r="TG14" s="22">
        <f t="shared" si="229"/>
        <v>5.3500000000000005</v>
      </c>
      <c r="TH14" s="22">
        <f t="shared" si="230"/>
        <v>5.6499999999999995</v>
      </c>
      <c r="TI14" s="22">
        <f t="shared" si="231"/>
        <v>8.4849999999999994</v>
      </c>
      <c r="TJ14" s="22">
        <f t="shared" si="232"/>
        <v>0</v>
      </c>
      <c r="TK14" s="27" t="s">
        <v>46</v>
      </c>
      <c r="TL14" s="40">
        <f t="shared" si="233"/>
        <v>9.1999999999999993</v>
      </c>
      <c r="TM14" s="40">
        <f t="shared" si="234"/>
        <v>13.72</v>
      </c>
      <c r="TN14" s="40">
        <f t="shared" si="235"/>
        <v>45.82</v>
      </c>
      <c r="TO14" s="40">
        <f t="shared" si="236"/>
        <v>8.25</v>
      </c>
      <c r="TP14" s="40">
        <f t="shared" si="237"/>
        <v>12.965</v>
      </c>
      <c r="TQ14" s="40">
        <f t="shared" si="238"/>
        <v>42.614999999999995</v>
      </c>
      <c r="TR14" s="40">
        <f t="shared" si="239"/>
        <v>45.82</v>
      </c>
      <c r="TS14" s="40">
        <f t="shared" si="240"/>
        <v>5.6499999999999995</v>
      </c>
      <c r="TT14" s="40">
        <f t="shared" si="241"/>
        <v>8.4849999999999994</v>
      </c>
      <c r="TU14" s="40">
        <f t="shared" si="242"/>
        <v>28.384999999999998</v>
      </c>
      <c r="TV14" s="40">
        <f t="shared" si="243"/>
        <v>74.204999999999998</v>
      </c>
    </row>
    <row r="15" spans="1:542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182</v>
      </c>
      <c r="D15" s="4" t="s">
        <v>4</v>
      </c>
      <c r="E15" s="4">
        <v>2006</v>
      </c>
      <c r="F15" s="9">
        <f t="shared" si="0"/>
        <v>145.35001453500456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45.8</v>
      </c>
      <c r="M15" s="8" t="str">
        <f t="shared" si="5"/>
        <v>2023 Nationals</v>
      </c>
      <c r="N15" s="8">
        <f>IF(COUNT(AQ15,AT15,BR15,BU15,CS15,CV15)&gt;1,LARGE((AQ15,AT15,BR15,BU15,CS15,CV15),2),0)</f>
        <v>45.099999999999994</v>
      </c>
      <c r="O15" s="8" t="str">
        <f t="shared" si="6"/>
        <v>2023 3rd Domestic Trial</v>
      </c>
      <c r="P15" s="8">
        <f>IF(COUNT(AQ15,AT15,BR15,BU15,CS15,CV15)&gt;2,MAX(AX15,BY15,CZ15,LARGE((AQ15,AT15,BR15,BU15,CS15,CV15),3)),IF(MAX(AX15,BY15,CZ15)&gt;0,MAX(AX15,BY15,CZ15),0))</f>
        <v>43.949999999999996</v>
      </c>
      <c r="Q15" s="8" t="str">
        <f t="shared" si="7"/>
        <v>2024 Elite Canada</v>
      </c>
      <c r="R15" s="8">
        <f t="shared" si="8"/>
        <v>10.5</v>
      </c>
      <c r="S15" s="8" t="str">
        <f t="shared" si="9"/>
        <v>2023 Nationals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12.9</v>
      </c>
      <c r="Z15" s="22">
        <v>9.1999999999999993</v>
      </c>
      <c r="AA15" s="22">
        <v>10.5</v>
      </c>
      <c r="AB15" s="22">
        <v>13.4</v>
      </c>
      <c r="AC15" s="22">
        <v>0.2</v>
      </c>
      <c r="AD15" s="22">
        <v>2.6</v>
      </c>
      <c r="AE15" s="22">
        <v>1.7</v>
      </c>
      <c r="AF15" s="22">
        <v>1.9</v>
      </c>
      <c r="AG15" s="22">
        <v>2.88</v>
      </c>
      <c r="AH15" s="22">
        <v>0.2</v>
      </c>
      <c r="AI15" s="22"/>
      <c r="AJ15" s="22"/>
      <c r="AK15" s="22"/>
      <c r="AL15" s="22"/>
      <c r="AM15" s="22"/>
      <c r="AN15" s="27"/>
      <c r="AO15" s="38">
        <f t="shared" si="15"/>
        <v>10.5</v>
      </c>
      <c r="AP15" s="38">
        <f t="shared" si="16"/>
        <v>13.4</v>
      </c>
      <c r="AQ15" s="40">
        <f t="shared" si="17"/>
        <v>45.8</v>
      </c>
      <c r="AR15" s="40">
        <f t="shared" si="18"/>
        <v>1.9</v>
      </c>
      <c r="AS15" s="40">
        <f t="shared" si="19"/>
        <v>2.88</v>
      </c>
      <c r="AT15" s="40">
        <f t="shared" si="20"/>
        <v>8.879999999999999</v>
      </c>
      <c r="AU15" s="40">
        <f t="shared" si="21"/>
        <v>45.8</v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>
        <f t="shared" si="25"/>
        <v>45.8</v>
      </c>
      <c r="AZ15" s="26">
        <v>4.9000000000000004</v>
      </c>
      <c r="BA15" s="26">
        <v>3.3</v>
      </c>
      <c r="BB15" s="26">
        <v>4.3</v>
      </c>
      <c r="BC15" s="26">
        <v>5.65</v>
      </c>
      <c r="BD15" s="26">
        <v>0.2</v>
      </c>
      <c r="BE15" s="26">
        <v>12.7</v>
      </c>
      <c r="BF15" s="26">
        <v>8.9</v>
      </c>
      <c r="BG15" s="26">
        <v>9.7999999999999989</v>
      </c>
      <c r="BH15" s="26">
        <v>13.9</v>
      </c>
      <c r="BI15" s="26">
        <v>0.2</v>
      </c>
      <c r="BJ15" s="26">
        <v>12.3</v>
      </c>
      <c r="BK15" s="26">
        <v>9.3000000000000007</v>
      </c>
      <c r="BL15" s="26">
        <v>8.5999999999999979</v>
      </c>
      <c r="BM15" s="26">
        <v>13.78</v>
      </c>
      <c r="BN15" s="26">
        <v>0.4</v>
      </c>
      <c r="BO15" s="28"/>
      <c r="BP15" s="39">
        <f t="shared" si="26"/>
        <v>4.3</v>
      </c>
      <c r="BQ15" s="39">
        <f t="shared" si="27"/>
        <v>5.65</v>
      </c>
      <c r="BR15" s="11">
        <f t="shared" si="28"/>
        <v>17.95</v>
      </c>
      <c r="BS15" s="11">
        <f t="shared" si="29"/>
        <v>9.7999999999999989</v>
      </c>
      <c r="BT15" s="11">
        <f t="shared" si="30"/>
        <v>13.9</v>
      </c>
      <c r="BU15" s="11">
        <f t="shared" si="31"/>
        <v>45.099999999999994</v>
      </c>
      <c r="BV15" s="11">
        <f t="shared" si="32"/>
        <v>45.099999999999994</v>
      </c>
      <c r="BW15" s="11">
        <f t="shared" si="33"/>
        <v>8.5999999999999979</v>
      </c>
      <c r="BX15" s="11">
        <f t="shared" si="34"/>
        <v>13.78</v>
      </c>
      <c r="BY15" s="11">
        <f t="shared" si="35"/>
        <v>43.58</v>
      </c>
      <c r="BZ15" s="11">
        <f t="shared" si="36"/>
        <v>88.679999999999993</v>
      </c>
      <c r="CA15" s="22">
        <v>11.2</v>
      </c>
      <c r="CB15" s="22">
        <v>9.1999999999999993</v>
      </c>
      <c r="CC15" s="22">
        <v>9.9</v>
      </c>
      <c r="CD15" s="22">
        <v>13.65</v>
      </c>
      <c r="CE15" s="22">
        <v>0</v>
      </c>
      <c r="CF15" s="22">
        <v>11.6</v>
      </c>
      <c r="CG15" s="22">
        <v>8.1</v>
      </c>
      <c r="CH15" s="22">
        <v>9.9</v>
      </c>
      <c r="CI15" s="22">
        <v>12.39</v>
      </c>
      <c r="CJ15" s="22">
        <v>0</v>
      </c>
      <c r="CK15" s="22"/>
      <c r="CL15" s="22"/>
      <c r="CM15" s="22"/>
      <c r="CN15" s="22"/>
      <c r="CO15" s="22"/>
      <c r="CP15" s="27"/>
      <c r="CQ15" s="38">
        <f t="shared" si="37"/>
        <v>9.9</v>
      </c>
      <c r="CR15" s="38">
        <f t="shared" si="38"/>
        <v>13.65</v>
      </c>
      <c r="CS15" s="40">
        <f t="shared" si="39"/>
        <v>43.949999999999996</v>
      </c>
      <c r="CT15" s="40">
        <f t="shared" si="40"/>
        <v>9.9</v>
      </c>
      <c r="CU15" s="40">
        <f t="shared" si="41"/>
        <v>12.39</v>
      </c>
      <c r="CV15" s="40">
        <f t="shared" si="42"/>
        <v>41.99</v>
      </c>
      <c r="CW15" s="40">
        <f t="shared" si="43"/>
        <v>43.949999999999996</v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>
        <f t="shared" si="47"/>
        <v>43.949999999999996</v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8.0500000000000007</v>
      </c>
      <c r="SW15" s="22">
        <f t="shared" si="219"/>
        <v>6.25</v>
      </c>
      <c r="SX15" s="22">
        <f t="shared" si="220"/>
        <v>7.1</v>
      </c>
      <c r="SY15" s="22">
        <f t="shared" si="221"/>
        <v>9.65</v>
      </c>
      <c r="SZ15" s="22">
        <f t="shared" si="222"/>
        <v>0.1</v>
      </c>
      <c r="TA15" s="22">
        <f t="shared" si="223"/>
        <v>12.149999999999999</v>
      </c>
      <c r="TB15" s="22">
        <f t="shared" si="224"/>
        <v>8.5</v>
      </c>
      <c r="TC15" s="22">
        <f t="shared" si="225"/>
        <v>9.85</v>
      </c>
      <c r="TD15" s="22">
        <f t="shared" si="226"/>
        <v>13.145</v>
      </c>
      <c r="TE15" s="22">
        <f t="shared" si="227"/>
        <v>0.1</v>
      </c>
      <c r="TF15" s="22">
        <f t="shared" si="228"/>
        <v>6.15</v>
      </c>
      <c r="TG15" s="22">
        <f t="shared" si="229"/>
        <v>4.6500000000000004</v>
      </c>
      <c r="TH15" s="22">
        <f t="shared" si="230"/>
        <v>4.2999999999999989</v>
      </c>
      <c r="TI15" s="22">
        <f t="shared" si="231"/>
        <v>6.89</v>
      </c>
      <c r="TJ15" s="22">
        <f t="shared" si="232"/>
        <v>0.2</v>
      </c>
      <c r="TK15" s="27" t="s">
        <v>46</v>
      </c>
      <c r="TL15" s="40">
        <f t="shared" si="233"/>
        <v>7.1</v>
      </c>
      <c r="TM15" s="40">
        <f t="shared" si="234"/>
        <v>9.65</v>
      </c>
      <c r="TN15" s="40">
        <f t="shared" si="235"/>
        <v>30.949999999999996</v>
      </c>
      <c r="TO15" s="40">
        <f t="shared" si="236"/>
        <v>9.85</v>
      </c>
      <c r="TP15" s="40">
        <f t="shared" si="237"/>
        <v>13.145</v>
      </c>
      <c r="TQ15" s="40">
        <f t="shared" si="238"/>
        <v>43.544999999999995</v>
      </c>
      <c r="TR15" s="40">
        <f t="shared" si="239"/>
        <v>43.544999999999995</v>
      </c>
      <c r="TS15" s="40">
        <f t="shared" si="240"/>
        <v>4.2999999999999989</v>
      </c>
      <c r="TT15" s="40">
        <f t="shared" si="241"/>
        <v>6.89</v>
      </c>
      <c r="TU15" s="40">
        <f t="shared" si="242"/>
        <v>21.79</v>
      </c>
      <c r="TV15" s="40">
        <f t="shared" si="243"/>
        <v>65.334999999999994</v>
      </c>
    </row>
    <row r="16" spans="1:542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118</v>
      </c>
      <c r="D16" s="4" t="s">
        <v>4</v>
      </c>
      <c r="E16" s="4">
        <v>2004</v>
      </c>
      <c r="F16" s="9">
        <f t="shared" si="0"/>
        <v>145.11001451100461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46.09</v>
      </c>
      <c r="M16" s="8" t="str">
        <f t="shared" si="5"/>
        <v>2023 Nationals</v>
      </c>
      <c r="N16" s="8">
        <f>IF(COUNT(AQ16,AT16,BR16,BU16,CS16,CV16)&gt;1,LARGE((AQ16,AT16,BR16,BU16,CS16,CV16),2),0)</f>
        <v>45.37</v>
      </c>
      <c r="O16" s="8" t="str">
        <f t="shared" si="6"/>
        <v>2023 3rd Domestic Trial</v>
      </c>
      <c r="P16" s="8">
        <f>IF(COUNT(AQ16,AT16,BR16,BU16,CS16,CV16)&gt;2,MAX(AX16,BY16,CZ16,LARGE((AQ16,AT16,BR16,BU16,CS16,CV16),3)),IF(MAX(AX16,BY16,CZ16)&gt;0,MAX(AX16,BY16,CZ16),0))</f>
        <v>44.35</v>
      </c>
      <c r="Q16" s="8" t="str">
        <f t="shared" si="7"/>
        <v>2023 3rd Domestic Trial</v>
      </c>
      <c r="R16" s="8">
        <f t="shared" si="8"/>
        <v>9.2999999999999989</v>
      </c>
      <c r="S16" s="8" t="str">
        <f t="shared" si="9"/>
        <v>2023 3rd Domestic Trial</v>
      </c>
      <c r="T16" s="8">
        <f t="shared" si="10"/>
        <v>0</v>
      </c>
      <c r="U16" s="8" t="str">
        <f t="shared" si="11"/>
        <v/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12.5</v>
      </c>
      <c r="Z16" s="22">
        <v>9</v>
      </c>
      <c r="AA16" s="22">
        <v>9.1999999999999993</v>
      </c>
      <c r="AB16" s="22">
        <v>12.69</v>
      </c>
      <c r="AC16" s="22">
        <v>0</v>
      </c>
      <c r="AD16" s="22">
        <v>14.8</v>
      </c>
      <c r="AE16" s="22">
        <v>9.1999999999999993</v>
      </c>
      <c r="AF16" s="22">
        <v>9.1999999999999993</v>
      </c>
      <c r="AG16" s="22">
        <v>12.89</v>
      </c>
      <c r="AH16" s="22">
        <v>0</v>
      </c>
      <c r="AI16" s="22"/>
      <c r="AJ16" s="22"/>
      <c r="AK16" s="22"/>
      <c r="AL16" s="22"/>
      <c r="AM16" s="22"/>
      <c r="AN16" s="27"/>
      <c r="AO16" s="38">
        <f t="shared" si="15"/>
        <v>9.1999999999999993</v>
      </c>
      <c r="AP16" s="38">
        <f t="shared" si="16"/>
        <v>12.69</v>
      </c>
      <c r="AQ16" s="40">
        <f t="shared" si="17"/>
        <v>43.39</v>
      </c>
      <c r="AR16" s="40">
        <f t="shared" si="18"/>
        <v>9.1999999999999993</v>
      </c>
      <c r="AS16" s="40">
        <f t="shared" si="19"/>
        <v>12.89</v>
      </c>
      <c r="AT16" s="40">
        <f t="shared" si="20"/>
        <v>46.09</v>
      </c>
      <c r="AU16" s="40">
        <f t="shared" si="21"/>
        <v>46.09</v>
      </c>
      <c r="AV16" s="40" t="str">
        <f t="shared" si="22"/>
        <v/>
      </c>
      <c r="AW16" s="40" t="str">
        <f t="shared" si="23"/>
        <v/>
      </c>
      <c r="AX16" s="40" t="str">
        <f t="shared" si="24"/>
        <v/>
      </c>
      <c r="AY16" s="40">
        <f t="shared" si="25"/>
        <v>46.09</v>
      </c>
      <c r="AZ16" s="26">
        <v>13.5</v>
      </c>
      <c r="BA16" s="26">
        <v>8.6</v>
      </c>
      <c r="BB16" s="26">
        <v>5.8999999999999995</v>
      </c>
      <c r="BC16" s="26">
        <v>12.73</v>
      </c>
      <c r="BD16" s="26">
        <v>2.9</v>
      </c>
      <c r="BE16" s="26">
        <v>14.1</v>
      </c>
      <c r="BF16" s="26">
        <v>9</v>
      </c>
      <c r="BG16" s="26">
        <v>9.2999999999999989</v>
      </c>
      <c r="BH16" s="26">
        <v>12.97</v>
      </c>
      <c r="BI16" s="26">
        <v>0</v>
      </c>
      <c r="BJ16" s="26">
        <v>13.1</v>
      </c>
      <c r="BK16" s="26">
        <v>9.1</v>
      </c>
      <c r="BL16" s="26">
        <v>9.2999999999999989</v>
      </c>
      <c r="BM16" s="26">
        <v>12.85</v>
      </c>
      <c r="BN16" s="26">
        <v>0</v>
      </c>
      <c r="BO16" s="28"/>
      <c r="BP16" s="39">
        <f t="shared" si="26"/>
        <v>5.8999999999999995</v>
      </c>
      <c r="BQ16" s="39">
        <f t="shared" si="27"/>
        <v>12.73</v>
      </c>
      <c r="BR16" s="11">
        <f t="shared" si="28"/>
        <v>37.830000000000005</v>
      </c>
      <c r="BS16" s="11">
        <f t="shared" si="29"/>
        <v>9.2999999999999989</v>
      </c>
      <c r="BT16" s="11">
        <f t="shared" si="30"/>
        <v>12.97</v>
      </c>
      <c r="BU16" s="11">
        <f t="shared" si="31"/>
        <v>45.37</v>
      </c>
      <c r="BV16" s="11">
        <f t="shared" si="32"/>
        <v>45.37</v>
      </c>
      <c r="BW16" s="11">
        <f t="shared" si="33"/>
        <v>9.2999999999999989</v>
      </c>
      <c r="BX16" s="11">
        <f t="shared" si="34"/>
        <v>12.85</v>
      </c>
      <c r="BY16" s="11">
        <f t="shared" si="35"/>
        <v>44.35</v>
      </c>
      <c r="BZ16" s="11">
        <f t="shared" si="36"/>
        <v>89.72</v>
      </c>
      <c r="CA16" s="22">
        <v>4.5999999999999996</v>
      </c>
      <c r="CB16" s="22">
        <v>2.5</v>
      </c>
      <c r="CC16" s="22">
        <v>3.4</v>
      </c>
      <c r="CD16" s="22">
        <v>4.04</v>
      </c>
      <c r="CE16" s="22">
        <v>0</v>
      </c>
      <c r="CF16" s="22">
        <v>1.4</v>
      </c>
      <c r="CG16" s="22">
        <v>1</v>
      </c>
      <c r="CH16" s="22">
        <v>1.5</v>
      </c>
      <c r="CI16" s="22">
        <v>1.38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7"/>
        <v>3.4</v>
      </c>
      <c r="CR16" s="38">
        <f t="shared" si="38"/>
        <v>4.04</v>
      </c>
      <c r="CS16" s="40">
        <f t="shared" si="39"/>
        <v>14.54</v>
      </c>
      <c r="CT16" s="40">
        <f t="shared" si="40"/>
        <v>1.5</v>
      </c>
      <c r="CU16" s="40">
        <f t="shared" si="41"/>
        <v>1.38</v>
      </c>
      <c r="CV16" s="40">
        <f t="shared" si="42"/>
        <v>5.2799999999999994</v>
      </c>
      <c r="CW16" s="40">
        <f t="shared" si="43"/>
        <v>14.54</v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>
        <f t="shared" si="47"/>
        <v>14.54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9.0500000000000007</v>
      </c>
      <c r="SW16" s="22">
        <f t="shared" si="219"/>
        <v>5.55</v>
      </c>
      <c r="SX16" s="22">
        <f t="shared" si="220"/>
        <v>4.6499999999999995</v>
      </c>
      <c r="SY16" s="22">
        <f t="shared" si="221"/>
        <v>8.3849999999999998</v>
      </c>
      <c r="SZ16" s="22">
        <f t="shared" si="222"/>
        <v>1.45</v>
      </c>
      <c r="TA16" s="22">
        <f t="shared" si="223"/>
        <v>7.75</v>
      </c>
      <c r="TB16" s="22">
        <f t="shared" si="224"/>
        <v>5</v>
      </c>
      <c r="TC16" s="22">
        <f t="shared" si="225"/>
        <v>5.3999999999999995</v>
      </c>
      <c r="TD16" s="22">
        <f t="shared" si="226"/>
        <v>7.1750000000000007</v>
      </c>
      <c r="TE16" s="22">
        <f t="shared" si="227"/>
        <v>0</v>
      </c>
      <c r="TF16" s="22">
        <f t="shared" si="228"/>
        <v>6.55</v>
      </c>
      <c r="TG16" s="22">
        <f t="shared" si="229"/>
        <v>4.55</v>
      </c>
      <c r="TH16" s="22">
        <f t="shared" si="230"/>
        <v>4.6499999999999995</v>
      </c>
      <c r="TI16" s="22">
        <f t="shared" si="231"/>
        <v>6.4249999999999998</v>
      </c>
      <c r="TJ16" s="22">
        <f t="shared" si="232"/>
        <v>0</v>
      </c>
      <c r="TK16" s="27" t="s">
        <v>46</v>
      </c>
      <c r="TL16" s="40">
        <f t="shared" si="233"/>
        <v>4.6499999999999995</v>
      </c>
      <c r="TM16" s="40">
        <f t="shared" si="234"/>
        <v>8.3849999999999998</v>
      </c>
      <c r="TN16" s="40">
        <f t="shared" si="235"/>
        <v>26.184999999999999</v>
      </c>
      <c r="TO16" s="40">
        <f t="shared" si="236"/>
        <v>5.3999999999999995</v>
      </c>
      <c r="TP16" s="40">
        <f t="shared" si="237"/>
        <v>7.1750000000000007</v>
      </c>
      <c r="TQ16" s="40">
        <f t="shared" si="238"/>
        <v>25.324999999999999</v>
      </c>
      <c r="TR16" s="40">
        <f t="shared" si="239"/>
        <v>26.184999999999999</v>
      </c>
      <c r="TS16" s="40">
        <f t="shared" si="240"/>
        <v>4.6499999999999995</v>
      </c>
      <c r="TT16" s="40">
        <f t="shared" si="241"/>
        <v>6.4249999999999998</v>
      </c>
      <c r="TU16" s="40">
        <f t="shared" si="242"/>
        <v>22.175000000000001</v>
      </c>
      <c r="TV16" s="40">
        <f t="shared" si="243"/>
        <v>48.36</v>
      </c>
    </row>
    <row r="17" spans="1:542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222</v>
      </c>
      <c r="D17" s="4" t="s">
        <v>6</v>
      </c>
      <c r="E17" s="4">
        <v>2006</v>
      </c>
      <c r="F17" s="9">
        <f t="shared" si="0"/>
        <v>140.65001406500465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46.75</v>
      </c>
      <c r="M17" s="8" t="str">
        <f t="shared" si="5"/>
        <v>2024 Elite Canada</v>
      </c>
      <c r="N17" s="8">
        <f>IF(COUNT(AQ17,AT17,BR17,BU17,CS17,CV17)&gt;1,LARGE((AQ17,AT17,BR17,BU17,CS17,CV17),2),0)</f>
        <v>46.69</v>
      </c>
      <c r="O17" s="8" t="str">
        <f t="shared" si="6"/>
        <v>2024 Elite Canada</v>
      </c>
      <c r="P17" s="8">
        <f>IF(COUNT(AQ17,AT17,BR17,BU17,CS17,CV17)&gt;2,MAX(AX17,BY17,CZ17,LARGE((AQ17,AT17,BR17,BU17,CS17,CV17),3)),IF(MAX(AX17,BY17,CZ17)&gt;0,MAX(AX17,BY17,CZ17),0))</f>
        <v>38.11</v>
      </c>
      <c r="Q17" s="8" t="str">
        <f t="shared" si="7"/>
        <v>2024 Elite Canada</v>
      </c>
      <c r="R17" s="8">
        <f t="shared" si="8"/>
        <v>9.1</v>
      </c>
      <c r="S17" s="8" t="str">
        <f t="shared" si="9"/>
        <v>2024 Elite Canada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 t="shared" si="26"/>
        <v/>
      </c>
      <c r="BQ17" s="39" t="str">
        <f t="shared" si="27"/>
        <v/>
      </c>
      <c r="BR17" s="11" t="str">
        <f t="shared" si="28"/>
        <v/>
      </c>
      <c r="BS17" s="11" t="str">
        <f t="shared" si="29"/>
        <v/>
      </c>
      <c r="BT17" s="11" t="str">
        <f t="shared" si="30"/>
        <v/>
      </c>
      <c r="BU17" s="11" t="str">
        <f t="shared" si="31"/>
        <v/>
      </c>
      <c r="BV17" s="11" t="str">
        <f t="shared" si="32"/>
        <v/>
      </c>
      <c r="BW17" s="11" t="str">
        <f t="shared" si="33"/>
        <v/>
      </c>
      <c r="BX17" s="11" t="str">
        <f t="shared" si="34"/>
        <v/>
      </c>
      <c r="BY17" s="11" t="str">
        <f t="shared" si="35"/>
        <v/>
      </c>
      <c r="BZ17" s="11" t="str">
        <f t="shared" si="36"/>
        <v/>
      </c>
      <c r="CA17" s="22">
        <v>15.5</v>
      </c>
      <c r="CB17" s="22">
        <v>9.1999999999999993</v>
      </c>
      <c r="CC17" s="22">
        <v>9.1</v>
      </c>
      <c r="CD17" s="22">
        <v>12.95</v>
      </c>
      <c r="CE17" s="22">
        <v>0</v>
      </c>
      <c r="CF17" s="22">
        <v>15.1</v>
      </c>
      <c r="CG17" s="22">
        <v>9.4</v>
      </c>
      <c r="CH17" s="22">
        <v>9.1</v>
      </c>
      <c r="CI17" s="22">
        <v>13.09</v>
      </c>
      <c r="CJ17" s="22">
        <v>0</v>
      </c>
      <c r="CK17" s="22">
        <v>11.7</v>
      </c>
      <c r="CL17" s="22">
        <v>8</v>
      </c>
      <c r="CM17" s="22">
        <v>6.6</v>
      </c>
      <c r="CN17" s="22">
        <v>11.81</v>
      </c>
      <c r="CO17" s="22">
        <v>0</v>
      </c>
      <c r="CP17" s="27"/>
      <c r="CQ17" s="38">
        <f t="shared" si="37"/>
        <v>9.1</v>
      </c>
      <c r="CR17" s="38">
        <f t="shared" si="38"/>
        <v>12.95</v>
      </c>
      <c r="CS17" s="40">
        <f t="shared" si="39"/>
        <v>46.75</v>
      </c>
      <c r="CT17" s="40">
        <f t="shared" si="40"/>
        <v>9.1</v>
      </c>
      <c r="CU17" s="40">
        <f t="shared" si="41"/>
        <v>13.09</v>
      </c>
      <c r="CV17" s="40">
        <f t="shared" si="42"/>
        <v>46.69</v>
      </c>
      <c r="CW17" s="40">
        <f t="shared" si="43"/>
        <v>46.75</v>
      </c>
      <c r="CX17" s="40">
        <f t="shared" si="44"/>
        <v>6.6</v>
      </c>
      <c r="CY17" s="40">
        <f t="shared" si="45"/>
        <v>11.81</v>
      </c>
      <c r="CZ17" s="40">
        <f t="shared" si="46"/>
        <v>38.11</v>
      </c>
      <c r="DA17" s="40">
        <f t="shared" si="47"/>
        <v>84.86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7.75</v>
      </c>
      <c r="SW17" s="22">
        <f t="shared" si="219"/>
        <v>4.5999999999999996</v>
      </c>
      <c r="SX17" s="22">
        <f t="shared" si="220"/>
        <v>4.55</v>
      </c>
      <c r="SY17" s="22">
        <f t="shared" si="221"/>
        <v>6.4749999999999996</v>
      </c>
      <c r="SZ17" s="22">
        <f t="shared" si="222"/>
        <v>0</v>
      </c>
      <c r="TA17" s="22">
        <f t="shared" si="223"/>
        <v>7.55</v>
      </c>
      <c r="TB17" s="22">
        <f t="shared" si="224"/>
        <v>4.7</v>
      </c>
      <c r="TC17" s="22">
        <f t="shared" si="225"/>
        <v>4.55</v>
      </c>
      <c r="TD17" s="22">
        <f t="shared" si="226"/>
        <v>6.5449999999999999</v>
      </c>
      <c r="TE17" s="22">
        <f t="shared" si="227"/>
        <v>0</v>
      </c>
      <c r="TF17" s="22">
        <f t="shared" si="228"/>
        <v>5.85</v>
      </c>
      <c r="TG17" s="22">
        <f t="shared" si="229"/>
        <v>4</v>
      </c>
      <c r="TH17" s="22">
        <f t="shared" si="230"/>
        <v>3.3</v>
      </c>
      <c r="TI17" s="22">
        <f t="shared" si="231"/>
        <v>5.9050000000000002</v>
      </c>
      <c r="TJ17" s="22">
        <f t="shared" si="232"/>
        <v>0</v>
      </c>
      <c r="TK17" s="27" t="s">
        <v>46</v>
      </c>
      <c r="TL17" s="40">
        <f t="shared" si="233"/>
        <v>4.55</v>
      </c>
      <c r="TM17" s="40">
        <f t="shared" si="234"/>
        <v>6.4749999999999996</v>
      </c>
      <c r="TN17" s="40">
        <f t="shared" si="235"/>
        <v>23.375</v>
      </c>
      <c r="TO17" s="40">
        <f t="shared" si="236"/>
        <v>4.55</v>
      </c>
      <c r="TP17" s="40">
        <f t="shared" si="237"/>
        <v>6.5449999999999999</v>
      </c>
      <c r="TQ17" s="40">
        <f t="shared" si="238"/>
        <v>23.344999999999999</v>
      </c>
      <c r="TR17" s="40">
        <f t="shared" si="239"/>
        <v>23.375</v>
      </c>
      <c r="TS17" s="40">
        <f t="shared" si="240"/>
        <v>3.3</v>
      </c>
      <c r="TT17" s="40">
        <f t="shared" si="241"/>
        <v>5.9050000000000002</v>
      </c>
      <c r="TU17" s="40">
        <f t="shared" si="242"/>
        <v>19.055</v>
      </c>
      <c r="TV17" s="40">
        <f t="shared" si="243"/>
        <v>42.43</v>
      </c>
    </row>
    <row r="18" spans="1:542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187</v>
      </c>
      <c r="D18" s="4" t="s">
        <v>6</v>
      </c>
      <c r="E18" s="4">
        <v>2006</v>
      </c>
      <c r="F18" s="9">
        <f t="shared" si="0"/>
        <v>137.9300137930046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46</v>
      </c>
      <c r="M18" s="8" t="str">
        <f t="shared" si="5"/>
        <v>2024 Elite Canada</v>
      </c>
      <c r="N18" s="8">
        <f>IF(COUNT(AQ18,AT18,BR18,BU18,CS18,CV18)&gt;1,LARGE((AQ18,AT18,BR18,BU18,CS18,CV18),2),0)</f>
        <v>42.58</v>
      </c>
      <c r="O18" s="8" t="str">
        <f t="shared" si="6"/>
        <v>2023 Nationals</v>
      </c>
      <c r="P18" s="8">
        <f>IF(COUNT(AQ18,AT18,BR18,BU18,CS18,CV18)&gt;2,MAX(AX18,BY18,CZ18,LARGE((AQ18,AT18,BR18,BU18,CS18,CV18),3)),IF(MAX(AX18,BY18,CZ18)&gt;0,MAX(AX18,BY18,CZ18),0))</f>
        <v>40.549999999999997</v>
      </c>
      <c r="Q18" s="8" t="str">
        <f t="shared" si="7"/>
        <v>2023 Nationals</v>
      </c>
      <c r="R18" s="8">
        <f t="shared" si="8"/>
        <v>8.8000000000000007</v>
      </c>
      <c r="S18" s="8" t="str">
        <f t="shared" si="9"/>
        <v>2024 Elite Canada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13.2</v>
      </c>
      <c r="Z18" s="22">
        <v>8.4</v>
      </c>
      <c r="AA18" s="22">
        <v>7.2</v>
      </c>
      <c r="AB18" s="22">
        <v>11.75</v>
      </c>
      <c r="AC18" s="22">
        <v>0</v>
      </c>
      <c r="AD18" s="22">
        <v>14.3</v>
      </c>
      <c r="AE18" s="22">
        <v>8.5</v>
      </c>
      <c r="AF18" s="22">
        <v>8.1</v>
      </c>
      <c r="AG18" s="22">
        <v>12.38</v>
      </c>
      <c r="AH18" s="22">
        <v>0.7</v>
      </c>
      <c r="AI18" s="22"/>
      <c r="AJ18" s="22"/>
      <c r="AK18" s="22"/>
      <c r="AL18" s="22"/>
      <c r="AM18" s="22"/>
      <c r="AN18" s="27"/>
      <c r="AO18" s="38">
        <f t="shared" si="15"/>
        <v>7.2</v>
      </c>
      <c r="AP18" s="38">
        <f t="shared" si="16"/>
        <v>11.75</v>
      </c>
      <c r="AQ18" s="40">
        <f t="shared" si="17"/>
        <v>40.549999999999997</v>
      </c>
      <c r="AR18" s="40">
        <f t="shared" si="18"/>
        <v>8.1</v>
      </c>
      <c r="AS18" s="40">
        <f t="shared" si="19"/>
        <v>12.38</v>
      </c>
      <c r="AT18" s="40">
        <f t="shared" si="20"/>
        <v>42.58</v>
      </c>
      <c r="AU18" s="40">
        <f t="shared" si="21"/>
        <v>42.58</v>
      </c>
      <c r="AV18" s="40" t="str">
        <f t="shared" si="22"/>
        <v/>
      </c>
      <c r="AW18" s="40" t="str">
        <f t="shared" si="23"/>
        <v/>
      </c>
      <c r="AX18" s="40" t="str">
        <f t="shared" si="24"/>
        <v/>
      </c>
      <c r="AY18" s="40">
        <f t="shared" si="25"/>
        <v>42.58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 t="shared" si="26"/>
        <v/>
      </c>
      <c r="BQ18" s="39" t="str">
        <f t="shared" si="27"/>
        <v/>
      </c>
      <c r="BR18" s="11" t="str">
        <f t="shared" si="28"/>
        <v/>
      </c>
      <c r="BS18" s="11" t="str">
        <f t="shared" si="29"/>
        <v/>
      </c>
      <c r="BT18" s="11" t="str">
        <f t="shared" si="30"/>
        <v/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 t="str">
        <f t="shared" si="36"/>
        <v/>
      </c>
      <c r="CA18" s="22">
        <v>1.5</v>
      </c>
      <c r="CB18" s="22">
        <v>1</v>
      </c>
      <c r="CC18" s="22">
        <v>1.3</v>
      </c>
      <c r="CD18" s="22">
        <v>1.38</v>
      </c>
      <c r="CE18" s="22">
        <v>0</v>
      </c>
      <c r="CF18" s="22">
        <v>14.2</v>
      </c>
      <c r="CG18" s="22">
        <v>9.5</v>
      </c>
      <c r="CH18" s="22">
        <v>8.8000000000000007</v>
      </c>
      <c r="CI18" s="22">
        <v>13.5</v>
      </c>
      <c r="CJ18" s="22">
        <v>0</v>
      </c>
      <c r="CK18" s="22"/>
      <c r="CL18" s="22"/>
      <c r="CM18" s="22"/>
      <c r="CN18" s="22"/>
      <c r="CO18" s="22"/>
      <c r="CP18" s="27"/>
      <c r="CQ18" s="38">
        <f t="shared" si="37"/>
        <v>1.3</v>
      </c>
      <c r="CR18" s="38">
        <f t="shared" si="38"/>
        <v>1.38</v>
      </c>
      <c r="CS18" s="40">
        <f t="shared" si="39"/>
        <v>5.18</v>
      </c>
      <c r="CT18" s="40">
        <f t="shared" si="40"/>
        <v>8.8000000000000007</v>
      </c>
      <c r="CU18" s="40">
        <f t="shared" si="41"/>
        <v>13.5</v>
      </c>
      <c r="CV18" s="40">
        <f t="shared" si="42"/>
        <v>46</v>
      </c>
      <c r="CW18" s="40">
        <f t="shared" si="43"/>
        <v>46</v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>
        <f t="shared" si="47"/>
        <v>46</v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0.75</v>
      </c>
      <c r="SW18" s="22">
        <f t="shared" si="219"/>
        <v>0.5</v>
      </c>
      <c r="SX18" s="22">
        <f t="shared" si="220"/>
        <v>0.65</v>
      </c>
      <c r="SY18" s="22">
        <f t="shared" si="221"/>
        <v>0.69</v>
      </c>
      <c r="SZ18" s="22">
        <f t="shared" si="222"/>
        <v>0</v>
      </c>
      <c r="TA18" s="22">
        <f t="shared" si="223"/>
        <v>7.1</v>
      </c>
      <c r="TB18" s="22">
        <f t="shared" si="224"/>
        <v>4.75</v>
      </c>
      <c r="TC18" s="22">
        <f t="shared" si="225"/>
        <v>4.4000000000000004</v>
      </c>
      <c r="TD18" s="22">
        <f t="shared" si="226"/>
        <v>6.75</v>
      </c>
      <c r="TE18" s="22">
        <f t="shared" si="227"/>
        <v>0</v>
      </c>
      <c r="TF18" s="22">
        <f t="shared" si="228"/>
        <v>0</v>
      </c>
      <c r="TG18" s="22">
        <f t="shared" si="229"/>
        <v>0</v>
      </c>
      <c r="TH18" s="22">
        <f t="shared" si="230"/>
        <v>0</v>
      </c>
      <c r="TI18" s="22">
        <f t="shared" si="231"/>
        <v>0</v>
      </c>
      <c r="TJ18" s="22">
        <f t="shared" si="232"/>
        <v>0</v>
      </c>
      <c r="TK18" s="27" t="s">
        <v>46</v>
      </c>
      <c r="TL18" s="40">
        <f t="shared" si="233"/>
        <v>0.65</v>
      </c>
      <c r="TM18" s="40">
        <f t="shared" si="234"/>
        <v>0.69</v>
      </c>
      <c r="TN18" s="40">
        <f t="shared" si="235"/>
        <v>2.59</v>
      </c>
      <c r="TO18" s="40">
        <f t="shared" si="236"/>
        <v>4.4000000000000004</v>
      </c>
      <c r="TP18" s="40">
        <f t="shared" si="237"/>
        <v>6.75</v>
      </c>
      <c r="TQ18" s="40">
        <f t="shared" si="238"/>
        <v>23</v>
      </c>
      <c r="TR18" s="40">
        <f t="shared" si="239"/>
        <v>23</v>
      </c>
      <c r="TS18" s="40" t="str">
        <f t="shared" si="240"/>
        <v/>
      </c>
      <c r="TT18" s="40" t="str">
        <f t="shared" si="241"/>
        <v/>
      </c>
      <c r="TU18" s="40" t="str">
        <f t="shared" si="242"/>
        <v/>
      </c>
      <c r="TV18" s="40">
        <f t="shared" si="243"/>
        <v>23</v>
      </c>
    </row>
    <row r="19" spans="1:542" x14ac:dyDescent="0.2">
      <c r="A19" s="4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>6</v>
      </c>
      <c r="B19" s="4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>4</v>
      </c>
      <c r="C19" s="5" t="s">
        <v>178</v>
      </c>
      <c r="D19" s="4" t="s">
        <v>3</v>
      </c>
      <c r="E19" s="4">
        <v>2004</v>
      </c>
      <c r="F19" s="9">
        <f t="shared" si="0"/>
        <v>124.21001242100478</v>
      </c>
      <c r="G19" s="66"/>
      <c r="H19" s="3" t="str">
        <f t="shared" si="1"/>
        <v/>
      </c>
      <c r="I19" s="3" t="str">
        <f t="shared" si="2"/>
        <v>P</v>
      </c>
      <c r="J19" s="36" t="str">
        <f t="shared" si="3"/>
        <v>No DD</v>
      </c>
      <c r="K19" s="3" t="str">
        <f t="shared" si="4"/>
        <v/>
      </c>
      <c r="L19" s="8">
        <f>IF(COUNT(AQ19,AT19,BR19,BU19,CS19,CV19)&gt;0,LARGE((AQ19,AT19,BR19,BU19,CS19,CV19),1),0)</f>
        <v>47.849999999999994</v>
      </c>
      <c r="M19" s="8" t="str">
        <f t="shared" si="5"/>
        <v>2023 Nationals</v>
      </c>
      <c r="N19" s="8">
        <f>IF(COUNT(AQ19,AT19,BR19,BU19,CS19,CV19)&gt;1,LARGE((AQ19,AT19,BR19,BU19,CS19,CV19),2),0)</f>
        <v>18.62</v>
      </c>
      <c r="O19" s="8" t="str">
        <f t="shared" si="6"/>
        <v>2023 Nationals</v>
      </c>
      <c r="P19" s="8">
        <f>IF(COUNT(AQ19,AT19,BR19,BU19,CS19,CV19)&gt;2,MAX(AX19,BY19,CZ19,LARGE((AQ19,AT19,BR19,BU19,CS19,CV19),3)),IF(MAX(AX19,BY19,CZ19)&gt;0,MAX(AX19,BY19,CZ19),0))</f>
        <v>48.64</v>
      </c>
      <c r="Q19" s="8" t="str">
        <f t="shared" si="7"/>
        <v>2023 Nationals</v>
      </c>
      <c r="R19" s="8">
        <f t="shared" si="8"/>
        <v>9.1</v>
      </c>
      <c r="S19" s="8" t="str">
        <f t="shared" si="9"/>
        <v>2023 Nationals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15.6</v>
      </c>
      <c r="Z19" s="22">
        <v>9.6</v>
      </c>
      <c r="AA19" s="22">
        <v>9.1</v>
      </c>
      <c r="AB19" s="22">
        <v>13.55</v>
      </c>
      <c r="AC19" s="22">
        <v>0</v>
      </c>
      <c r="AD19" s="22">
        <v>5.6</v>
      </c>
      <c r="AE19" s="22">
        <v>3.4</v>
      </c>
      <c r="AF19" s="22">
        <v>4.4000000000000004</v>
      </c>
      <c r="AG19" s="22">
        <v>5.22</v>
      </c>
      <c r="AH19" s="22">
        <v>0</v>
      </c>
      <c r="AI19" s="22">
        <v>16.3</v>
      </c>
      <c r="AJ19" s="22">
        <v>9.6</v>
      </c>
      <c r="AK19" s="22">
        <v>9.1</v>
      </c>
      <c r="AL19" s="22">
        <v>13.64</v>
      </c>
      <c r="AM19" s="22">
        <v>0</v>
      </c>
      <c r="AN19" s="27"/>
      <c r="AO19" s="38">
        <f t="shared" si="15"/>
        <v>9.1</v>
      </c>
      <c r="AP19" s="38">
        <f t="shared" si="16"/>
        <v>13.55</v>
      </c>
      <c r="AQ19" s="40">
        <f t="shared" si="17"/>
        <v>47.849999999999994</v>
      </c>
      <c r="AR19" s="40">
        <f t="shared" si="18"/>
        <v>4.4000000000000004</v>
      </c>
      <c r="AS19" s="40">
        <f t="shared" si="19"/>
        <v>5.22</v>
      </c>
      <c r="AT19" s="40">
        <f t="shared" si="20"/>
        <v>18.62</v>
      </c>
      <c r="AU19" s="40">
        <f t="shared" si="21"/>
        <v>47.849999999999994</v>
      </c>
      <c r="AV19" s="40">
        <f t="shared" si="22"/>
        <v>9.1</v>
      </c>
      <c r="AW19" s="40">
        <f t="shared" si="23"/>
        <v>13.64</v>
      </c>
      <c r="AX19" s="40">
        <f t="shared" si="24"/>
        <v>48.64</v>
      </c>
      <c r="AY19" s="40">
        <f t="shared" si="25"/>
        <v>96.49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 t="shared" si="26"/>
        <v/>
      </c>
      <c r="BQ19" s="39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11" t="str">
        <f t="shared" si="35"/>
        <v/>
      </c>
      <c r="BZ19" s="11" t="str">
        <f t="shared" si="36"/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0</v>
      </c>
      <c r="SW19" s="22">
        <f t="shared" si="219"/>
        <v>0</v>
      </c>
      <c r="SX19" s="22">
        <f t="shared" si="220"/>
        <v>0</v>
      </c>
      <c r="SY19" s="22">
        <f t="shared" si="221"/>
        <v>0</v>
      </c>
      <c r="SZ19" s="22">
        <f t="shared" si="222"/>
        <v>0</v>
      </c>
      <c r="TA19" s="22">
        <f t="shared" si="223"/>
        <v>0</v>
      </c>
      <c r="TB19" s="22">
        <f t="shared" si="224"/>
        <v>0</v>
      </c>
      <c r="TC19" s="22">
        <f t="shared" si="225"/>
        <v>0</v>
      </c>
      <c r="TD19" s="22">
        <f t="shared" si="226"/>
        <v>0</v>
      </c>
      <c r="TE19" s="22">
        <f t="shared" si="227"/>
        <v>0</v>
      </c>
      <c r="TF19" s="22">
        <f t="shared" si="228"/>
        <v>0</v>
      </c>
      <c r="TG19" s="22">
        <f t="shared" si="229"/>
        <v>0</v>
      </c>
      <c r="TH19" s="22">
        <f t="shared" si="230"/>
        <v>0</v>
      </c>
      <c r="TI19" s="22">
        <f t="shared" si="231"/>
        <v>0</v>
      </c>
      <c r="TJ19" s="22">
        <f t="shared" si="232"/>
        <v>0</v>
      </c>
      <c r="TK19" s="27" t="s">
        <v>46</v>
      </c>
      <c r="TL19" s="40" t="str">
        <f t="shared" si="233"/>
        <v/>
      </c>
      <c r="TM19" s="40" t="str">
        <f t="shared" si="234"/>
        <v/>
      </c>
      <c r="TN19" s="40" t="str">
        <f t="shared" si="235"/>
        <v/>
      </c>
      <c r="TO19" s="40" t="str">
        <f t="shared" si="236"/>
        <v/>
      </c>
      <c r="TP19" s="40" t="str">
        <f t="shared" si="237"/>
        <v/>
      </c>
      <c r="TQ19" s="40" t="str">
        <f t="shared" si="238"/>
        <v/>
      </c>
      <c r="TR19" s="40" t="str">
        <f t="shared" si="239"/>
        <v/>
      </c>
      <c r="TS19" s="40" t="str">
        <f t="shared" si="240"/>
        <v/>
      </c>
      <c r="TT19" s="40" t="str">
        <f t="shared" si="241"/>
        <v/>
      </c>
      <c r="TU19" s="40" t="str">
        <f t="shared" si="242"/>
        <v/>
      </c>
      <c r="TV19" s="40" t="str">
        <f t="shared" si="243"/>
        <v/>
      </c>
    </row>
    <row r="20" spans="1:542" x14ac:dyDescent="0.2">
      <c r="A20" s="4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>7</v>
      </c>
      <c r="B20" s="4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>5</v>
      </c>
      <c r="C20" s="5" t="s">
        <v>221</v>
      </c>
      <c r="D20" s="4" t="s">
        <v>6</v>
      </c>
      <c r="E20" s="4">
        <v>2006</v>
      </c>
      <c r="F20" s="9">
        <f t="shared" si="0"/>
        <v>123.61001236100486</v>
      </c>
      <c r="G20" s="66"/>
      <c r="H20" s="3" t="str">
        <f t="shared" si="1"/>
        <v/>
      </c>
      <c r="I20" s="3" t="str">
        <f t="shared" si="2"/>
        <v>P</v>
      </c>
      <c r="J20" s="36" t="str">
        <f t="shared" si="3"/>
        <v>No DD</v>
      </c>
      <c r="K20" s="3" t="str">
        <f t="shared" si="4"/>
        <v/>
      </c>
      <c r="L20" s="8">
        <f>IF(COUNT(AQ20,AT20,BR20,BU20,CS20,CV20)&gt;0,LARGE((AQ20,AT20,BR20,BU20,CS20,CV20),1),0)</f>
        <v>48.8</v>
      </c>
      <c r="M20" s="8" t="str">
        <f t="shared" si="5"/>
        <v>2024 Elite Canada</v>
      </c>
      <c r="N20" s="8">
        <f>IF(COUNT(AQ20,AT20,BR20,BU20,CS20,CV20)&gt;1,LARGE((AQ20,AT20,BR20,BU20,CS20,CV20),2),0)</f>
        <v>18.96</v>
      </c>
      <c r="O20" s="8" t="str">
        <f t="shared" si="6"/>
        <v>2024 Elite Canada</v>
      </c>
      <c r="P20" s="8">
        <f>IF(COUNT(AQ20,AT20,BR20,BU20,CS20,CV20)&gt;2,MAX(AX20,BY20,CZ20,LARGE((AQ20,AT20,BR20,BU20,CS20,CV20),3)),IF(MAX(AX20,BY20,CZ20)&gt;0,MAX(AX20,BY20,CZ20),0))</f>
        <v>46.75</v>
      </c>
      <c r="Q20" s="8" t="str">
        <f t="shared" si="7"/>
        <v>2024 Elite Canada</v>
      </c>
      <c r="R20" s="8">
        <f t="shared" si="8"/>
        <v>9.1</v>
      </c>
      <c r="S20" s="8" t="str">
        <f t="shared" si="9"/>
        <v>2024 Elite Canada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5"/>
        <v/>
      </c>
      <c r="AP20" s="38" t="str">
        <f t="shared" si="16"/>
        <v/>
      </c>
      <c r="AQ20" s="40" t="str">
        <f t="shared" si="17"/>
        <v/>
      </c>
      <c r="AR20" s="40" t="str">
        <f t="shared" si="18"/>
        <v/>
      </c>
      <c r="AS20" s="40" t="str">
        <f t="shared" si="19"/>
        <v/>
      </c>
      <c r="AT20" s="40" t="str">
        <f t="shared" si="20"/>
        <v/>
      </c>
      <c r="AU20" s="40" t="str">
        <f t="shared" si="21"/>
        <v/>
      </c>
      <c r="AV20" s="40" t="str">
        <f t="shared" si="22"/>
        <v/>
      </c>
      <c r="AW20" s="40" t="str">
        <f t="shared" si="23"/>
        <v/>
      </c>
      <c r="AX20" s="40" t="str">
        <f t="shared" si="24"/>
        <v/>
      </c>
      <c r="AY20" s="40" t="str">
        <f t="shared" si="25"/>
        <v/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 t="shared" si="26"/>
        <v/>
      </c>
      <c r="BQ20" s="39" t="str">
        <f t="shared" si="27"/>
        <v/>
      </c>
      <c r="BR20" s="11" t="str">
        <f t="shared" si="28"/>
        <v/>
      </c>
      <c r="BS20" s="11" t="str">
        <f t="shared" si="29"/>
        <v/>
      </c>
      <c r="BT20" s="11" t="str">
        <f t="shared" si="30"/>
        <v/>
      </c>
      <c r="BU20" s="11" t="str">
        <f t="shared" si="31"/>
        <v/>
      </c>
      <c r="BV20" s="11" t="str">
        <f t="shared" si="32"/>
        <v/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 t="str">
        <f t="shared" si="36"/>
        <v/>
      </c>
      <c r="CA20" s="22">
        <v>6.4</v>
      </c>
      <c r="CB20" s="22">
        <v>3.3</v>
      </c>
      <c r="CC20" s="22">
        <v>3.9</v>
      </c>
      <c r="CD20" s="22">
        <v>5.36</v>
      </c>
      <c r="CE20" s="22">
        <v>0</v>
      </c>
      <c r="CF20" s="22">
        <v>16.100000000000001</v>
      </c>
      <c r="CG20" s="22">
        <v>9.9</v>
      </c>
      <c r="CH20" s="22">
        <v>9.1</v>
      </c>
      <c r="CI20" s="22">
        <v>13.7</v>
      </c>
      <c r="CJ20" s="22">
        <v>0</v>
      </c>
      <c r="CK20" s="22">
        <v>14.4</v>
      </c>
      <c r="CL20" s="22">
        <v>9.5</v>
      </c>
      <c r="CM20" s="22">
        <v>9.1</v>
      </c>
      <c r="CN20" s="22">
        <v>13.75</v>
      </c>
      <c r="CO20" s="22">
        <v>0</v>
      </c>
      <c r="CP20" s="27"/>
      <c r="CQ20" s="38">
        <f t="shared" si="37"/>
        <v>3.9</v>
      </c>
      <c r="CR20" s="38">
        <f t="shared" si="38"/>
        <v>5.36</v>
      </c>
      <c r="CS20" s="40">
        <f t="shared" si="39"/>
        <v>18.96</v>
      </c>
      <c r="CT20" s="40">
        <f t="shared" si="40"/>
        <v>9.1</v>
      </c>
      <c r="CU20" s="40">
        <f t="shared" si="41"/>
        <v>13.7</v>
      </c>
      <c r="CV20" s="40">
        <f t="shared" si="42"/>
        <v>48.8</v>
      </c>
      <c r="CW20" s="40">
        <f t="shared" si="43"/>
        <v>48.8</v>
      </c>
      <c r="CX20" s="40">
        <f t="shared" si="44"/>
        <v>9.1</v>
      </c>
      <c r="CY20" s="40">
        <f t="shared" si="45"/>
        <v>13.75</v>
      </c>
      <c r="CZ20" s="40">
        <f t="shared" si="46"/>
        <v>46.75</v>
      </c>
      <c r="DA20" s="40">
        <f t="shared" si="47"/>
        <v>95.55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3.2</v>
      </c>
      <c r="SW20" s="22">
        <f t="shared" si="219"/>
        <v>1.65</v>
      </c>
      <c r="SX20" s="22">
        <f t="shared" si="220"/>
        <v>1.95</v>
      </c>
      <c r="SY20" s="22">
        <f t="shared" si="221"/>
        <v>2.68</v>
      </c>
      <c r="SZ20" s="22">
        <f t="shared" si="222"/>
        <v>0</v>
      </c>
      <c r="TA20" s="22">
        <f t="shared" si="223"/>
        <v>8.0500000000000007</v>
      </c>
      <c r="TB20" s="22">
        <f t="shared" si="224"/>
        <v>4.95</v>
      </c>
      <c r="TC20" s="22">
        <f t="shared" si="225"/>
        <v>4.55</v>
      </c>
      <c r="TD20" s="22">
        <f t="shared" si="226"/>
        <v>6.85</v>
      </c>
      <c r="TE20" s="22">
        <f t="shared" si="227"/>
        <v>0</v>
      </c>
      <c r="TF20" s="22">
        <f t="shared" si="228"/>
        <v>7.2</v>
      </c>
      <c r="TG20" s="22">
        <f t="shared" si="229"/>
        <v>4.75</v>
      </c>
      <c r="TH20" s="22">
        <f t="shared" si="230"/>
        <v>4.55</v>
      </c>
      <c r="TI20" s="22">
        <f t="shared" si="231"/>
        <v>6.875</v>
      </c>
      <c r="TJ20" s="22">
        <f t="shared" si="232"/>
        <v>0</v>
      </c>
      <c r="TK20" s="27" t="s">
        <v>46</v>
      </c>
      <c r="TL20" s="40">
        <f t="shared" si="233"/>
        <v>1.95</v>
      </c>
      <c r="TM20" s="40">
        <f t="shared" si="234"/>
        <v>2.68</v>
      </c>
      <c r="TN20" s="40">
        <f t="shared" si="235"/>
        <v>9.48</v>
      </c>
      <c r="TO20" s="40">
        <f t="shared" si="236"/>
        <v>4.55</v>
      </c>
      <c r="TP20" s="40">
        <f t="shared" si="237"/>
        <v>6.85</v>
      </c>
      <c r="TQ20" s="40">
        <f t="shared" si="238"/>
        <v>24.4</v>
      </c>
      <c r="TR20" s="40">
        <f t="shared" si="239"/>
        <v>24.4</v>
      </c>
      <c r="TS20" s="40">
        <f t="shared" si="240"/>
        <v>4.55</v>
      </c>
      <c r="TT20" s="40">
        <f t="shared" si="241"/>
        <v>6.875</v>
      </c>
      <c r="TU20" s="40">
        <f t="shared" si="242"/>
        <v>23.375</v>
      </c>
      <c r="TV20" s="40">
        <f t="shared" si="243"/>
        <v>47.774999999999999</v>
      </c>
    </row>
    <row r="21" spans="1:542" x14ac:dyDescent="0.2">
      <c r="A21" s="4" t="str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/>
      </c>
      <c r="B21" s="4" t="str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/>
      </c>
      <c r="C21" s="5" t="s">
        <v>179</v>
      </c>
      <c r="D21" s="4" t="s">
        <v>3</v>
      </c>
      <c r="E21" s="4">
        <v>2005</v>
      </c>
      <c r="F21" s="9">
        <f t="shared" si="0"/>
        <v>119.86001198600466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46.400000000000006</v>
      </c>
      <c r="M21" s="8" t="str">
        <f t="shared" si="5"/>
        <v>2023 Nationals</v>
      </c>
      <c r="N21" s="8">
        <f>IF(COUNT(AQ21,AT21,BR21,BU21,CS21,CV21)&gt;1,LARGE((AQ21,AT21,BR21,BU21,CS21,CV21),2),0)</f>
        <v>45.75</v>
      </c>
      <c r="O21" s="8" t="str">
        <f t="shared" si="6"/>
        <v>2023 Nationals</v>
      </c>
      <c r="P21" s="8">
        <f>IF(COUNT(AQ21,AT21,BR21,BU21,CS21,CV21)&gt;2,MAX(AX21,BY21,CZ21,LARGE((AQ21,AT21,BR21,BU21,CS21,CV21),3)),IF(MAX(AX21,BY21,CZ21)&gt;0,MAX(AX21,BY21,CZ21),0))</f>
        <v>18.810000000000002</v>
      </c>
      <c r="Q21" s="8" t="str">
        <f t="shared" si="7"/>
        <v>2023 Nationals</v>
      </c>
      <c r="R21" s="8">
        <f t="shared" si="8"/>
        <v>8.9</v>
      </c>
      <c r="S21" s="8" t="str">
        <f t="shared" si="9"/>
        <v>2023 Nationals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14.8</v>
      </c>
      <c r="Z21" s="22">
        <v>9.4</v>
      </c>
      <c r="AA21" s="22">
        <v>8.9</v>
      </c>
      <c r="AB21" s="22">
        <v>13.3</v>
      </c>
      <c r="AC21" s="22">
        <v>0</v>
      </c>
      <c r="AD21" s="22">
        <v>14.7</v>
      </c>
      <c r="AE21" s="22">
        <v>8.6999999999999993</v>
      </c>
      <c r="AF21" s="22">
        <v>8.9</v>
      </c>
      <c r="AG21" s="22">
        <v>13.45</v>
      </c>
      <c r="AH21" s="22">
        <v>0</v>
      </c>
      <c r="AI21" s="22">
        <v>6.3</v>
      </c>
      <c r="AJ21" s="22">
        <v>3.5</v>
      </c>
      <c r="AK21" s="22">
        <v>3.5</v>
      </c>
      <c r="AL21" s="22">
        <v>5.51</v>
      </c>
      <c r="AM21" s="22">
        <v>0</v>
      </c>
      <c r="AN21" s="27"/>
      <c r="AO21" s="38">
        <f t="shared" si="15"/>
        <v>8.9</v>
      </c>
      <c r="AP21" s="38">
        <f t="shared" si="16"/>
        <v>13.3</v>
      </c>
      <c r="AQ21" s="40">
        <f t="shared" si="17"/>
        <v>46.400000000000006</v>
      </c>
      <c r="AR21" s="40">
        <f t="shared" si="18"/>
        <v>8.9</v>
      </c>
      <c r="AS21" s="40">
        <f t="shared" si="19"/>
        <v>13.45</v>
      </c>
      <c r="AT21" s="40">
        <f t="shared" si="20"/>
        <v>45.75</v>
      </c>
      <c r="AU21" s="40">
        <f t="shared" si="21"/>
        <v>46.400000000000006</v>
      </c>
      <c r="AV21" s="40">
        <f t="shared" si="22"/>
        <v>3.5</v>
      </c>
      <c r="AW21" s="40">
        <f t="shared" si="23"/>
        <v>5.51</v>
      </c>
      <c r="AX21" s="40">
        <f t="shared" si="24"/>
        <v>18.810000000000002</v>
      </c>
      <c r="AY21" s="40">
        <f t="shared" si="25"/>
        <v>65.210000000000008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0</v>
      </c>
      <c r="SW21" s="22">
        <f t="shared" si="219"/>
        <v>0</v>
      </c>
      <c r="SX21" s="22">
        <f t="shared" si="220"/>
        <v>0</v>
      </c>
      <c r="SY21" s="22">
        <f t="shared" si="221"/>
        <v>0</v>
      </c>
      <c r="SZ21" s="22">
        <f t="shared" si="222"/>
        <v>0</v>
      </c>
      <c r="TA21" s="22">
        <f t="shared" si="223"/>
        <v>0</v>
      </c>
      <c r="TB21" s="22">
        <f t="shared" si="224"/>
        <v>0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 t="str">
        <f t="shared" si="233"/>
        <v/>
      </c>
      <c r="TM21" s="40" t="str">
        <f t="shared" si="234"/>
        <v/>
      </c>
      <c r="TN21" s="40" t="str">
        <f t="shared" si="235"/>
        <v/>
      </c>
      <c r="TO21" s="40" t="str">
        <f t="shared" si="236"/>
        <v/>
      </c>
      <c r="TP21" s="40" t="str">
        <f t="shared" si="237"/>
        <v/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 t="str">
        <f t="shared" si="243"/>
        <v/>
      </c>
    </row>
    <row r="22" spans="1:542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142</v>
      </c>
      <c r="D22" s="4" t="s">
        <v>3</v>
      </c>
      <c r="E22" s="4">
        <v>2006</v>
      </c>
      <c r="F22" s="9">
        <f t="shared" si="0"/>
        <v>119.12001191200419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41.77</v>
      </c>
      <c r="M22" s="8" t="str">
        <f t="shared" si="5"/>
        <v>2024 Elite Canada</v>
      </c>
      <c r="N22" s="8">
        <f>IF(COUNT(AQ22,AT22,BR22,BU22,CS22,CV22)&gt;1,LARGE((AQ22,AT22,BR22,BU22,CS22,CV22),2),0)</f>
        <v>40.28</v>
      </c>
      <c r="O22" s="8" t="str">
        <f t="shared" si="6"/>
        <v>2024 Elite Canada</v>
      </c>
      <c r="P22" s="8">
        <f>IF(COUNT(AQ22,AT22,BR22,BU22,CS22,CV22)&gt;2,MAX(AX22,BY22,CZ22,LARGE((AQ22,AT22,BR22,BU22,CS22,CV22),3)),IF(MAX(AX22,BY22,CZ22)&gt;0,MAX(AX22,BY22,CZ22),0))</f>
        <v>29.069999999999997</v>
      </c>
      <c r="Q22" s="8" t="str">
        <f t="shared" si="7"/>
        <v>2023 Nationals</v>
      </c>
      <c r="R22" s="8">
        <f t="shared" si="8"/>
        <v>8</v>
      </c>
      <c r="S22" s="8" t="str">
        <f t="shared" si="9"/>
        <v>2024 Elite Canada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>
        <v>8.1999999999999993</v>
      </c>
      <c r="Z22" s="22">
        <v>5.5</v>
      </c>
      <c r="AA22" s="22">
        <v>7.1</v>
      </c>
      <c r="AB22" s="22">
        <v>8.27</v>
      </c>
      <c r="AC22" s="22">
        <v>0</v>
      </c>
      <c r="AD22" s="22">
        <v>4.3</v>
      </c>
      <c r="AE22" s="22">
        <v>2.8</v>
      </c>
      <c r="AF22" s="22">
        <v>3.4</v>
      </c>
      <c r="AG22" s="22">
        <v>4.3600000000000003</v>
      </c>
      <c r="AH22" s="22">
        <v>0</v>
      </c>
      <c r="AI22" s="22"/>
      <c r="AJ22" s="22"/>
      <c r="AK22" s="22"/>
      <c r="AL22" s="22"/>
      <c r="AM22" s="22"/>
      <c r="AN22" s="27"/>
      <c r="AO22" s="38">
        <f t="shared" si="15"/>
        <v>7.1</v>
      </c>
      <c r="AP22" s="38">
        <f t="shared" si="16"/>
        <v>8.27</v>
      </c>
      <c r="AQ22" s="40">
        <f t="shared" si="17"/>
        <v>29.069999999999997</v>
      </c>
      <c r="AR22" s="40">
        <f t="shared" si="18"/>
        <v>3.4</v>
      </c>
      <c r="AS22" s="40">
        <f t="shared" si="19"/>
        <v>4.3600000000000003</v>
      </c>
      <c r="AT22" s="40">
        <f t="shared" si="20"/>
        <v>14.86</v>
      </c>
      <c r="AU22" s="40">
        <f t="shared" si="21"/>
        <v>29.069999999999997</v>
      </c>
      <c r="AV22" s="40" t="str">
        <f t="shared" si="22"/>
        <v/>
      </c>
      <c r="AW22" s="40" t="str">
        <f t="shared" si="23"/>
        <v/>
      </c>
      <c r="AX22" s="40" t="str">
        <f t="shared" si="24"/>
        <v/>
      </c>
      <c r="AY22" s="40">
        <f t="shared" si="25"/>
        <v>29.069999999999997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6"/>
        <v/>
      </c>
      <c r="BQ22" s="39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11" t="str">
        <f t="shared" si="35"/>
        <v/>
      </c>
      <c r="BZ22" s="11" t="str">
        <f t="shared" si="36"/>
        <v/>
      </c>
      <c r="CA22" s="22">
        <v>12.5</v>
      </c>
      <c r="CB22" s="22">
        <v>9.1</v>
      </c>
      <c r="CC22" s="22">
        <v>7.8</v>
      </c>
      <c r="CD22" s="22">
        <v>13.37</v>
      </c>
      <c r="CE22" s="22">
        <v>1</v>
      </c>
      <c r="CF22" s="22">
        <v>11.3</v>
      </c>
      <c r="CG22" s="22">
        <v>9.1</v>
      </c>
      <c r="CH22" s="22">
        <v>8</v>
      </c>
      <c r="CI22" s="22">
        <v>12.68</v>
      </c>
      <c r="CJ22" s="22">
        <v>0.8</v>
      </c>
      <c r="CK22" s="22"/>
      <c r="CL22" s="22"/>
      <c r="CM22" s="22"/>
      <c r="CN22" s="22"/>
      <c r="CO22" s="22"/>
      <c r="CP22" s="27"/>
      <c r="CQ22" s="38">
        <f t="shared" si="37"/>
        <v>7.8</v>
      </c>
      <c r="CR22" s="38">
        <f t="shared" si="38"/>
        <v>13.37</v>
      </c>
      <c r="CS22" s="40">
        <f t="shared" si="39"/>
        <v>41.77</v>
      </c>
      <c r="CT22" s="40">
        <f t="shared" si="40"/>
        <v>8</v>
      </c>
      <c r="CU22" s="40">
        <f t="shared" si="41"/>
        <v>12.68</v>
      </c>
      <c r="CV22" s="40">
        <f t="shared" si="42"/>
        <v>40.28</v>
      </c>
      <c r="CW22" s="40">
        <f t="shared" si="43"/>
        <v>41.77</v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>
        <f t="shared" si="47"/>
        <v>41.77</v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6.25</v>
      </c>
      <c r="SW22" s="22">
        <f t="shared" si="219"/>
        <v>4.55</v>
      </c>
      <c r="SX22" s="22">
        <f t="shared" si="220"/>
        <v>3.9</v>
      </c>
      <c r="SY22" s="22">
        <f t="shared" si="221"/>
        <v>6.6849999999999996</v>
      </c>
      <c r="SZ22" s="22">
        <f t="shared" si="222"/>
        <v>0.5</v>
      </c>
      <c r="TA22" s="22">
        <f t="shared" si="223"/>
        <v>5.65</v>
      </c>
      <c r="TB22" s="22">
        <f t="shared" si="224"/>
        <v>4.55</v>
      </c>
      <c r="TC22" s="22">
        <f t="shared" si="225"/>
        <v>4</v>
      </c>
      <c r="TD22" s="22">
        <f t="shared" si="226"/>
        <v>6.34</v>
      </c>
      <c r="TE22" s="22">
        <f t="shared" si="227"/>
        <v>0.4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2">
        <f t="shared" si="231"/>
        <v>0</v>
      </c>
      <c r="TJ22" s="22">
        <f t="shared" si="232"/>
        <v>0</v>
      </c>
      <c r="TK22" s="27" t="s">
        <v>46</v>
      </c>
      <c r="TL22" s="40">
        <f t="shared" si="233"/>
        <v>3.9</v>
      </c>
      <c r="TM22" s="40">
        <f t="shared" si="234"/>
        <v>6.6849999999999996</v>
      </c>
      <c r="TN22" s="40">
        <f t="shared" si="235"/>
        <v>20.885000000000002</v>
      </c>
      <c r="TO22" s="40">
        <f t="shared" si="236"/>
        <v>4</v>
      </c>
      <c r="TP22" s="40">
        <f t="shared" si="237"/>
        <v>6.34</v>
      </c>
      <c r="TQ22" s="40">
        <f t="shared" si="238"/>
        <v>20.14</v>
      </c>
      <c r="TR22" s="40">
        <f t="shared" si="239"/>
        <v>20.885000000000002</v>
      </c>
      <c r="TS22" s="40" t="str">
        <f t="shared" si="240"/>
        <v/>
      </c>
      <c r="TT22" s="40" t="str">
        <f t="shared" si="241"/>
        <v/>
      </c>
      <c r="TU22" s="40" t="str">
        <f t="shared" si="242"/>
        <v/>
      </c>
      <c r="TV22" s="40">
        <f t="shared" si="243"/>
        <v>20.885000000000002</v>
      </c>
    </row>
    <row r="23" spans="1:542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204</v>
      </c>
      <c r="D23" s="4" t="s">
        <v>5</v>
      </c>
      <c r="E23" s="4">
        <v>2007</v>
      </c>
      <c r="F23" s="9">
        <f t="shared" si="0"/>
        <v>108.32001083200328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32.82</v>
      </c>
      <c r="M23" s="8" t="str">
        <f t="shared" si="5"/>
        <v>2024 Elite Canada</v>
      </c>
      <c r="N23" s="8">
        <f>IF(COUNT(AQ23,AT23,BR23,BU23,CS23,CV23)&gt;1,LARGE((AQ23,AT23,BR23,BU23,CS23,CV23),2),0)</f>
        <v>25.03</v>
      </c>
      <c r="O23" s="8" t="str">
        <f t="shared" si="6"/>
        <v>2023 3rd Domestic Trial</v>
      </c>
      <c r="P23" s="8">
        <f>IF(COUNT(AQ23,AT23,BR23,BU23,CS23,CV23)&gt;2,MAX(AX23,BY23,CZ23,LARGE((AQ23,AT23,BR23,BU23,CS23,CV23),3)),IF(MAX(AX23,BY23,CZ23)&gt;0,MAX(AX23,BY23,CZ23),0))</f>
        <v>41.97</v>
      </c>
      <c r="Q23" s="8" t="str">
        <f t="shared" si="7"/>
        <v>2023 3rd Domestic Trial</v>
      </c>
      <c r="R23" s="8">
        <f t="shared" si="8"/>
        <v>8.5</v>
      </c>
      <c r="S23" s="8" t="str">
        <f t="shared" si="9"/>
        <v>2023 3rd Domestic Trial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1.5</v>
      </c>
      <c r="Z23" s="22">
        <v>0.8</v>
      </c>
      <c r="AA23" s="22">
        <v>1.5</v>
      </c>
      <c r="AB23" s="22">
        <v>1.42</v>
      </c>
      <c r="AC23" s="22">
        <v>0</v>
      </c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>
        <f t="shared" si="15"/>
        <v>1.5</v>
      </c>
      <c r="AP23" s="38">
        <f t="shared" si="16"/>
        <v>1.42</v>
      </c>
      <c r="AQ23" s="40">
        <f t="shared" si="17"/>
        <v>5.22</v>
      </c>
      <c r="AR23" s="40" t="str">
        <f t="shared" si="18"/>
        <v/>
      </c>
      <c r="AS23" s="40" t="str">
        <f t="shared" si="19"/>
        <v/>
      </c>
      <c r="AT23" s="40" t="str">
        <f t="shared" si="20"/>
        <v/>
      </c>
      <c r="AU23" s="40">
        <f t="shared" si="21"/>
        <v>5.22</v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>
        <f t="shared" si="25"/>
        <v>5.22</v>
      </c>
      <c r="AZ23" s="26">
        <v>7.1</v>
      </c>
      <c r="BA23" s="26">
        <v>4.5999999999999996</v>
      </c>
      <c r="BB23" s="26">
        <v>6.5</v>
      </c>
      <c r="BC23" s="26">
        <v>6.83</v>
      </c>
      <c r="BD23" s="26">
        <v>0</v>
      </c>
      <c r="BE23" s="26"/>
      <c r="BF23" s="26"/>
      <c r="BG23" s="26"/>
      <c r="BH23" s="26"/>
      <c r="BI23" s="26"/>
      <c r="BJ23" s="26">
        <v>13.1</v>
      </c>
      <c r="BK23" s="26">
        <v>8.1</v>
      </c>
      <c r="BL23" s="26">
        <v>8.5</v>
      </c>
      <c r="BM23" s="26">
        <v>12.27</v>
      </c>
      <c r="BN23" s="26">
        <v>0</v>
      </c>
      <c r="BO23" s="28"/>
      <c r="BP23" s="39">
        <f t="shared" si="26"/>
        <v>6.5</v>
      </c>
      <c r="BQ23" s="39">
        <f t="shared" si="27"/>
        <v>6.83</v>
      </c>
      <c r="BR23" s="11">
        <f t="shared" si="28"/>
        <v>25.03</v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>
        <f t="shared" si="32"/>
        <v>25.03</v>
      </c>
      <c r="BW23" s="11">
        <f t="shared" si="33"/>
        <v>8.5</v>
      </c>
      <c r="BX23" s="11">
        <f t="shared" si="34"/>
        <v>12.27</v>
      </c>
      <c r="BY23" s="11">
        <f t="shared" si="35"/>
        <v>41.97</v>
      </c>
      <c r="BZ23" s="11">
        <f t="shared" si="36"/>
        <v>67</v>
      </c>
      <c r="CA23" s="22">
        <v>6.1</v>
      </c>
      <c r="CB23" s="22">
        <v>3.6</v>
      </c>
      <c r="CC23" s="22">
        <v>4.5999999999999996</v>
      </c>
      <c r="CD23" s="22">
        <v>5.68</v>
      </c>
      <c r="CE23" s="22">
        <v>0</v>
      </c>
      <c r="CF23" s="22">
        <v>9.8000000000000007</v>
      </c>
      <c r="CG23" s="22">
        <v>6.5</v>
      </c>
      <c r="CH23" s="22">
        <v>7</v>
      </c>
      <c r="CI23" s="22">
        <v>9.52</v>
      </c>
      <c r="CJ23" s="22">
        <v>0</v>
      </c>
      <c r="CK23" s="22"/>
      <c r="CL23" s="22"/>
      <c r="CM23" s="22"/>
      <c r="CN23" s="22"/>
      <c r="CO23" s="22"/>
      <c r="CP23" s="27"/>
      <c r="CQ23" s="38">
        <f t="shared" si="37"/>
        <v>4.5999999999999996</v>
      </c>
      <c r="CR23" s="38">
        <f t="shared" si="38"/>
        <v>5.68</v>
      </c>
      <c r="CS23" s="40">
        <f t="shared" si="39"/>
        <v>19.979999999999997</v>
      </c>
      <c r="CT23" s="40">
        <f t="shared" si="40"/>
        <v>7</v>
      </c>
      <c r="CU23" s="40">
        <f t="shared" si="41"/>
        <v>9.52</v>
      </c>
      <c r="CV23" s="40">
        <f t="shared" si="42"/>
        <v>32.82</v>
      </c>
      <c r="CW23" s="40">
        <f t="shared" si="43"/>
        <v>32.82</v>
      </c>
      <c r="CX23" s="40" t="str">
        <f t="shared" si="44"/>
        <v/>
      </c>
      <c r="CY23" s="40" t="str">
        <f t="shared" si="45"/>
        <v/>
      </c>
      <c r="CZ23" s="40" t="str">
        <f t="shared" si="46"/>
        <v/>
      </c>
      <c r="DA23" s="40">
        <f t="shared" si="47"/>
        <v>32.82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>
        <v>4.7</v>
      </c>
      <c r="FU23" s="17">
        <v>2.9</v>
      </c>
      <c r="FV23" s="17">
        <v>3.6</v>
      </c>
      <c r="FW23" s="17">
        <v>4.37</v>
      </c>
      <c r="FX23" s="17">
        <v>0</v>
      </c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>
        <f t="shared" si="78"/>
        <v>3.6</v>
      </c>
      <c r="GO23" s="40">
        <f t="shared" si="79"/>
        <v>4.37</v>
      </c>
      <c r="GP23" s="40">
        <f t="shared" si="80"/>
        <v>15.57</v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>
        <f t="shared" si="84"/>
        <v>15.57</v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>
        <f t="shared" si="91"/>
        <v>15.57</v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6.6</v>
      </c>
      <c r="SW23" s="22">
        <f t="shared" si="219"/>
        <v>4.0999999999999996</v>
      </c>
      <c r="SX23" s="22">
        <f t="shared" si="220"/>
        <v>5.55</v>
      </c>
      <c r="SY23" s="22">
        <f t="shared" si="221"/>
        <v>6.2549999999999999</v>
      </c>
      <c r="SZ23" s="22">
        <f t="shared" si="222"/>
        <v>0</v>
      </c>
      <c r="TA23" s="22">
        <f t="shared" si="223"/>
        <v>4.9000000000000004</v>
      </c>
      <c r="TB23" s="22">
        <f t="shared" si="224"/>
        <v>3.25</v>
      </c>
      <c r="TC23" s="22">
        <f t="shared" si="225"/>
        <v>3.5</v>
      </c>
      <c r="TD23" s="22">
        <f t="shared" si="226"/>
        <v>4.76</v>
      </c>
      <c r="TE23" s="22">
        <f t="shared" si="227"/>
        <v>0</v>
      </c>
      <c r="TF23" s="22">
        <f t="shared" si="228"/>
        <v>6.55</v>
      </c>
      <c r="TG23" s="22">
        <f t="shared" si="229"/>
        <v>4.05</v>
      </c>
      <c r="TH23" s="22">
        <f t="shared" si="230"/>
        <v>4.25</v>
      </c>
      <c r="TI23" s="22">
        <f t="shared" si="231"/>
        <v>6.1349999999999998</v>
      </c>
      <c r="TJ23" s="22">
        <f t="shared" si="232"/>
        <v>0</v>
      </c>
      <c r="TK23" s="27" t="s">
        <v>46</v>
      </c>
      <c r="TL23" s="40">
        <f t="shared" si="233"/>
        <v>5.55</v>
      </c>
      <c r="TM23" s="40">
        <f t="shared" si="234"/>
        <v>6.2549999999999999</v>
      </c>
      <c r="TN23" s="40">
        <f t="shared" si="235"/>
        <v>22.504999999999999</v>
      </c>
      <c r="TO23" s="40">
        <f t="shared" si="236"/>
        <v>3.5</v>
      </c>
      <c r="TP23" s="40">
        <f t="shared" si="237"/>
        <v>4.76</v>
      </c>
      <c r="TQ23" s="40">
        <f t="shared" si="238"/>
        <v>16.41</v>
      </c>
      <c r="TR23" s="40">
        <f t="shared" si="239"/>
        <v>22.504999999999999</v>
      </c>
      <c r="TS23" s="40">
        <f t="shared" si="240"/>
        <v>4.25</v>
      </c>
      <c r="TT23" s="40">
        <f t="shared" si="241"/>
        <v>6.1349999999999998</v>
      </c>
      <c r="TU23" s="40">
        <f t="shared" si="242"/>
        <v>20.984999999999999</v>
      </c>
      <c r="TV23" s="40">
        <f t="shared" si="243"/>
        <v>43.489999999999995</v>
      </c>
    </row>
    <row r="24" spans="1:542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140</v>
      </c>
      <c r="D24" s="4" t="s">
        <v>3</v>
      </c>
      <c r="E24" s="4">
        <v>2006</v>
      </c>
      <c r="F24" s="9">
        <f t="shared" si="0"/>
        <v>100.99001009900464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46.370000000000005</v>
      </c>
      <c r="M24" s="8" t="str">
        <f t="shared" si="5"/>
        <v>2023 Nationals</v>
      </c>
      <c r="N24" s="8">
        <f>IF(COUNT(AQ24,AT24,BR24,BU24,CS24,CV24)&gt;1,LARGE((AQ24,AT24,BR24,BU24,CS24,CV24),2),0)</f>
        <v>44.42</v>
      </c>
      <c r="O24" s="8" t="str">
        <f t="shared" si="6"/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 t="shared" si="7"/>
        <v/>
      </c>
      <c r="R24" s="8">
        <f t="shared" si="8"/>
        <v>10.199999999999999</v>
      </c>
      <c r="S24" s="8" t="str">
        <f t="shared" si="9"/>
        <v>2023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13.2</v>
      </c>
      <c r="Z24" s="22">
        <v>8.8000000000000007</v>
      </c>
      <c r="AA24" s="22">
        <v>10.199999999999999</v>
      </c>
      <c r="AB24" s="22">
        <v>12.22</v>
      </c>
      <c r="AC24" s="22">
        <v>0</v>
      </c>
      <c r="AD24" s="22">
        <v>13.9</v>
      </c>
      <c r="AE24" s="22">
        <v>9.6</v>
      </c>
      <c r="AF24" s="22">
        <v>10.199999999999999</v>
      </c>
      <c r="AG24" s="22">
        <v>12.67</v>
      </c>
      <c r="AH24" s="22">
        <v>0</v>
      </c>
      <c r="AI24" s="22"/>
      <c r="AJ24" s="22"/>
      <c r="AK24" s="22"/>
      <c r="AL24" s="22"/>
      <c r="AM24" s="22"/>
      <c r="AN24" s="27"/>
      <c r="AO24" s="38">
        <f t="shared" si="15"/>
        <v>10.199999999999999</v>
      </c>
      <c r="AP24" s="38">
        <f t="shared" si="16"/>
        <v>12.22</v>
      </c>
      <c r="AQ24" s="40">
        <f t="shared" si="17"/>
        <v>44.42</v>
      </c>
      <c r="AR24" s="40">
        <f t="shared" si="18"/>
        <v>10.199999999999999</v>
      </c>
      <c r="AS24" s="40">
        <f t="shared" si="19"/>
        <v>12.67</v>
      </c>
      <c r="AT24" s="40">
        <f t="shared" si="20"/>
        <v>46.370000000000005</v>
      </c>
      <c r="AU24" s="40">
        <f t="shared" si="21"/>
        <v>46.370000000000005</v>
      </c>
      <c r="AV24" s="40" t="str">
        <f t="shared" si="22"/>
        <v/>
      </c>
      <c r="AW24" s="40" t="str">
        <f t="shared" si="23"/>
        <v/>
      </c>
      <c r="AX24" s="40" t="str">
        <f t="shared" si="24"/>
        <v/>
      </c>
      <c r="AY24" s="40">
        <f t="shared" si="25"/>
        <v>46.370000000000005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 t="shared" si="26"/>
        <v/>
      </c>
      <c r="BQ24" s="39" t="str">
        <f t="shared" si="27"/>
        <v/>
      </c>
      <c r="BR24" s="11" t="str">
        <f t="shared" si="28"/>
        <v/>
      </c>
      <c r="BS24" s="11" t="str">
        <f t="shared" si="29"/>
        <v/>
      </c>
      <c r="BT24" s="11" t="str">
        <f t="shared" si="30"/>
        <v/>
      </c>
      <c r="BU24" s="11" t="str">
        <f t="shared" si="31"/>
        <v/>
      </c>
      <c r="BV24" s="11" t="str">
        <f t="shared" si="32"/>
        <v/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 t="str">
        <f t="shared" si="36"/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0</v>
      </c>
      <c r="SW24" s="22">
        <f t="shared" si="219"/>
        <v>0</v>
      </c>
      <c r="SX24" s="22">
        <f t="shared" si="220"/>
        <v>0</v>
      </c>
      <c r="SY24" s="22">
        <f t="shared" si="221"/>
        <v>0</v>
      </c>
      <c r="SZ24" s="22">
        <f t="shared" si="222"/>
        <v>0</v>
      </c>
      <c r="TA24" s="22">
        <f t="shared" si="223"/>
        <v>0</v>
      </c>
      <c r="TB24" s="22">
        <f t="shared" si="224"/>
        <v>0</v>
      </c>
      <c r="TC24" s="22">
        <f t="shared" si="225"/>
        <v>0</v>
      </c>
      <c r="TD24" s="22">
        <f t="shared" si="226"/>
        <v>0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 t="str">
        <f t="shared" si="233"/>
        <v/>
      </c>
      <c r="TM24" s="40" t="str">
        <f t="shared" si="234"/>
        <v/>
      </c>
      <c r="TN24" s="40" t="str">
        <f t="shared" si="235"/>
        <v/>
      </c>
      <c r="TO24" s="40" t="str">
        <f t="shared" si="236"/>
        <v/>
      </c>
      <c r="TP24" s="40" t="str">
        <f t="shared" si="237"/>
        <v/>
      </c>
      <c r="TQ24" s="40" t="str">
        <f t="shared" si="238"/>
        <v/>
      </c>
      <c r="TR24" s="40" t="str">
        <f t="shared" si="239"/>
        <v/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 t="str">
        <f t="shared" si="243"/>
        <v/>
      </c>
    </row>
    <row r="25" spans="1:542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120</v>
      </c>
      <c r="D25" s="4" t="s">
        <v>5</v>
      </c>
      <c r="E25" s="4">
        <v>2003</v>
      </c>
      <c r="F25" s="9">
        <f t="shared" si="0"/>
        <v>100.67001006700461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46.07</v>
      </c>
      <c r="M25" s="8" t="str">
        <f t="shared" si="5"/>
        <v>2023 Nationals</v>
      </c>
      <c r="N25" s="8">
        <f>IF(COUNT(AQ25,AT25,BR25,BU25,CS25,CV25)&gt;1,LARGE((AQ25,AT25,BR25,BU25,CS25,CV25),2),0)</f>
        <v>44.900000000000006</v>
      </c>
      <c r="O25" s="8" t="str">
        <f t="shared" si="6"/>
        <v>2023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 t="shared" si="7"/>
        <v/>
      </c>
      <c r="R25" s="8">
        <f t="shared" si="8"/>
        <v>9.6999999999999993</v>
      </c>
      <c r="S25" s="8" t="str">
        <f t="shared" si="9"/>
        <v>2023 Nationals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14.2</v>
      </c>
      <c r="Z25" s="22">
        <v>9.6</v>
      </c>
      <c r="AA25" s="22">
        <v>9.6999999999999993</v>
      </c>
      <c r="AB25" s="22">
        <v>12.57</v>
      </c>
      <c r="AC25" s="22">
        <v>0</v>
      </c>
      <c r="AD25" s="22">
        <v>14.1</v>
      </c>
      <c r="AE25" s="22">
        <v>9.5</v>
      </c>
      <c r="AF25" s="22">
        <v>9</v>
      </c>
      <c r="AG25" s="22">
        <v>12.3</v>
      </c>
      <c r="AH25" s="22">
        <v>0</v>
      </c>
      <c r="AI25" s="22"/>
      <c r="AJ25" s="22"/>
      <c r="AK25" s="22"/>
      <c r="AL25" s="22"/>
      <c r="AM25" s="22"/>
      <c r="AN25" s="27"/>
      <c r="AO25" s="38">
        <f t="shared" si="15"/>
        <v>9.6999999999999993</v>
      </c>
      <c r="AP25" s="38">
        <f t="shared" si="16"/>
        <v>12.57</v>
      </c>
      <c r="AQ25" s="40">
        <f t="shared" si="17"/>
        <v>46.07</v>
      </c>
      <c r="AR25" s="40">
        <f t="shared" si="18"/>
        <v>9</v>
      </c>
      <c r="AS25" s="40">
        <f t="shared" si="19"/>
        <v>12.3</v>
      </c>
      <c r="AT25" s="40">
        <f t="shared" si="20"/>
        <v>44.900000000000006</v>
      </c>
      <c r="AU25" s="40">
        <f t="shared" si="21"/>
        <v>46.07</v>
      </c>
      <c r="AV25" s="40" t="str">
        <f t="shared" si="22"/>
        <v/>
      </c>
      <c r="AW25" s="40" t="str">
        <f t="shared" si="23"/>
        <v/>
      </c>
      <c r="AX25" s="40" t="str">
        <f t="shared" si="24"/>
        <v/>
      </c>
      <c r="AY25" s="40">
        <f t="shared" si="25"/>
        <v>46.07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181</v>
      </c>
      <c r="D26" s="4" t="s">
        <v>180</v>
      </c>
      <c r="E26" s="4">
        <v>2003</v>
      </c>
      <c r="F26" s="9">
        <f t="shared" si="0"/>
        <v>100.28001002800461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46.05</v>
      </c>
      <c r="M26" s="8" t="str">
        <f t="shared" si="5"/>
        <v>2023 Nationals</v>
      </c>
      <c r="N26" s="8">
        <f>IF(COUNT(AQ26,AT26,BR26,BU26,CS26,CV26)&gt;1,LARGE((AQ26,AT26,BR26,BU26,CS26,CV26),2),0)</f>
        <v>44.83</v>
      </c>
      <c r="O26" s="8" t="str">
        <f t="shared" si="6"/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 t="shared" si="7"/>
        <v/>
      </c>
      <c r="R26" s="8">
        <f t="shared" si="8"/>
        <v>9.4</v>
      </c>
      <c r="S26" s="8" t="str">
        <f t="shared" si="9"/>
        <v>2023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>
        <v>13.7</v>
      </c>
      <c r="Z26" s="22">
        <v>8.6999999999999993</v>
      </c>
      <c r="AA26" s="22">
        <v>9</v>
      </c>
      <c r="AB26" s="22">
        <v>13.43</v>
      </c>
      <c r="AC26" s="22">
        <v>0</v>
      </c>
      <c r="AD26" s="22">
        <v>14.4</v>
      </c>
      <c r="AE26" s="22">
        <v>8.8000000000000007</v>
      </c>
      <c r="AF26" s="22">
        <v>9.4</v>
      </c>
      <c r="AG26" s="22">
        <v>13.45</v>
      </c>
      <c r="AH26" s="22">
        <v>0</v>
      </c>
      <c r="AI26" s="22"/>
      <c r="AJ26" s="22"/>
      <c r="AK26" s="22"/>
      <c r="AL26" s="22"/>
      <c r="AM26" s="22"/>
      <c r="AN26" s="27"/>
      <c r="AO26" s="38">
        <f t="shared" si="15"/>
        <v>9</v>
      </c>
      <c r="AP26" s="38">
        <f t="shared" si="16"/>
        <v>13.43</v>
      </c>
      <c r="AQ26" s="40">
        <f t="shared" si="17"/>
        <v>44.83</v>
      </c>
      <c r="AR26" s="40">
        <f t="shared" si="18"/>
        <v>9.4</v>
      </c>
      <c r="AS26" s="40">
        <f t="shared" si="19"/>
        <v>13.45</v>
      </c>
      <c r="AT26" s="40">
        <f t="shared" si="20"/>
        <v>46.05</v>
      </c>
      <c r="AU26" s="40">
        <f t="shared" si="21"/>
        <v>46.05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46.05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7"/>
        <v/>
      </c>
      <c r="CR26" s="38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 t="str">
        <f t="shared" si="47"/>
        <v/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0</v>
      </c>
      <c r="SW26" s="22">
        <f t="shared" si="219"/>
        <v>0</v>
      </c>
      <c r="SX26" s="22">
        <f t="shared" si="220"/>
        <v>0</v>
      </c>
      <c r="SY26" s="22">
        <f t="shared" si="221"/>
        <v>0</v>
      </c>
      <c r="SZ26" s="22">
        <f t="shared" si="222"/>
        <v>0</v>
      </c>
      <c r="TA26" s="22">
        <f t="shared" si="223"/>
        <v>0</v>
      </c>
      <c r="TB26" s="22">
        <f t="shared" si="224"/>
        <v>0</v>
      </c>
      <c r="TC26" s="22">
        <f t="shared" si="225"/>
        <v>0</v>
      </c>
      <c r="TD26" s="22">
        <f t="shared" si="226"/>
        <v>0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 t="str">
        <f t="shared" si="233"/>
        <v/>
      </c>
      <c r="TM26" s="40" t="str">
        <f t="shared" si="234"/>
        <v/>
      </c>
      <c r="TN26" s="40" t="str">
        <f t="shared" si="235"/>
        <v/>
      </c>
      <c r="TO26" s="40" t="str">
        <f t="shared" si="236"/>
        <v/>
      </c>
      <c r="TP26" s="40" t="str">
        <f t="shared" si="237"/>
        <v/>
      </c>
      <c r="TQ26" s="40" t="str">
        <f t="shared" si="238"/>
        <v/>
      </c>
      <c r="TR26" s="40" t="str">
        <f t="shared" si="239"/>
        <v/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 t="str">
        <f t="shared" si="243"/>
        <v/>
      </c>
    </row>
    <row r="27" spans="1:542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224</v>
      </c>
      <c r="D27" s="4" t="s">
        <v>31</v>
      </c>
      <c r="E27" s="4">
        <v>2007</v>
      </c>
      <c r="F27" s="9">
        <f t="shared" si="0"/>
        <v>99.690009969004535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45.38</v>
      </c>
      <c r="M27" s="8" t="str">
        <f t="shared" si="5"/>
        <v>2023 Nationals</v>
      </c>
      <c r="N27" s="8">
        <f>IF(COUNT(AQ27,AT27,BR27,BU27,CS27,CV27)&gt;1,LARGE((AQ27,AT27,BR27,BU27,CS27,CV27),2),0)</f>
        <v>27.119999999999997</v>
      </c>
      <c r="O27" s="8" t="str">
        <f t="shared" si="6"/>
        <v>2024 Elite Canada</v>
      </c>
      <c r="P27" s="8">
        <f>IF(COUNT(AQ27,AT27,BR27,BU27,CS27,CV27)&gt;2,MAX(AX27,BY27,CZ27,LARGE((AQ27,AT27,BR27,BU27,CS27,CV27),3)),IF(MAX(AX27,BY27,CZ27)&gt;0,MAX(AX27,BY27,CZ27),0))</f>
        <v>18.39</v>
      </c>
      <c r="Q27" s="8" t="str">
        <f t="shared" si="7"/>
        <v>2023 Nationals</v>
      </c>
      <c r="R27" s="8">
        <f t="shared" si="8"/>
        <v>8.8000000000000007</v>
      </c>
      <c r="S27" s="8" t="str">
        <f t="shared" si="9"/>
        <v>2023 Nationals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/>
      <c r="Z27" s="22"/>
      <c r="AA27" s="22"/>
      <c r="AB27" s="22"/>
      <c r="AC27" s="22"/>
      <c r="AD27" s="22">
        <v>14.4</v>
      </c>
      <c r="AE27" s="22">
        <v>8.8000000000000007</v>
      </c>
      <c r="AF27" s="22">
        <v>8.8000000000000007</v>
      </c>
      <c r="AG27" s="22">
        <v>13.38</v>
      </c>
      <c r="AH27" s="22">
        <v>0</v>
      </c>
      <c r="AI27" s="22">
        <v>5.7</v>
      </c>
      <c r="AJ27" s="22">
        <v>3.4</v>
      </c>
      <c r="AK27" s="22">
        <v>3.7</v>
      </c>
      <c r="AL27" s="22">
        <v>5.59</v>
      </c>
      <c r="AM27" s="22">
        <v>0</v>
      </c>
      <c r="AN27" s="27"/>
      <c r="AO27" s="38" t="str">
        <f t="shared" si="15"/>
        <v/>
      </c>
      <c r="AP27" s="38" t="str">
        <f t="shared" si="16"/>
        <v/>
      </c>
      <c r="AQ27" s="40" t="str">
        <f t="shared" si="17"/>
        <v/>
      </c>
      <c r="AR27" s="40">
        <f t="shared" si="18"/>
        <v>8.8000000000000007</v>
      </c>
      <c r="AS27" s="40">
        <f t="shared" si="19"/>
        <v>13.38</v>
      </c>
      <c r="AT27" s="40">
        <f t="shared" si="20"/>
        <v>45.38</v>
      </c>
      <c r="AU27" s="40" t="str">
        <f t="shared" si="21"/>
        <v/>
      </c>
      <c r="AV27" s="40">
        <f t="shared" si="22"/>
        <v>3.7</v>
      </c>
      <c r="AW27" s="40">
        <f t="shared" si="23"/>
        <v>5.59</v>
      </c>
      <c r="AX27" s="40">
        <f t="shared" si="24"/>
        <v>18.39</v>
      </c>
      <c r="AY27" s="40">
        <f t="shared" si="25"/>
        <v>18.39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>
        <v>8.1999999999999993</v>
      </c>
      <c r="CB27" s="22">
        <v>5.6</v>
      </c>
      <c r="CC27" s="22">
        <v>5.0999999999999996</v>
      </c>
      <c r="CD27" s="22">
        <v>8.2200000000000006</v>
      </c>
      <c r="CE27" s="22">
        <v>0</v>
      </c>
      <c r="CF27" s="22">
        <v>0</v>
      </c>
      <c r="CG27" s="22">
        <v>0</v>
      </c>
      <c r="CH27" s="22">
        <v>0</v>
      </c>
      <c r="CI27" s="22">
        <v>0</v>
      </c>
      <c r="CJ27" s="22">
        <v>0</v>
      </c>
      <c r="CK27" s="22"/>
      <c r="CL27" s="22"/>
      <c r="CM27" s="22"/>
      <c r="CN27" s="22"/>
      <c r="CO27" s="22"/>
      <c r="CP27" s="27"/>
      <c r="CQ27" s="38">
        <f t="shared" si="37"/>
        <v>5.0999999999999996</v>
      </c>
      <c r="CR27" s="38">
        <f t="shared" si="38"/>
        <v>8.2200000000000006</v>
      </c>
      <c r="CS27" s="40">
        <f t="shared" si="39"/>
        <v>27.119999999999997</v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>
        <f t="shared" si="43"/>
        <v>27.119999999999997</v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>
        <f t="shared" si="47"/>
        <v>27.119999999999997</v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4.0999999999999996</v>
      </c>
      <c r="SW27" s="22">
        <f t="shared" si="219"/>
        <v>2.8</v>
      </c>
      <c r="SX27" s="22">
        <f t="shared" si="220"/>
        <v>2.5499999999999998</v>
      </c>
      <c r="SY27" s="22">
        <f t="shared" si="221"/>
        <v>4.1100000000000003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>
        <f t="shared" si="233"/>
        <v>2.5499999999999998</v>
      </c>
      <c r="TM27" s="40">
        <f t="shared" si="234"/>
        <v>4.1100000000000003</v>
      </c>
      <c r="TN27" s="40">
        <f t="shared" si="235"/>
        <v>13.559999999999999</v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>
        <f t="shared" si="239"/>
        <v>13.559999999999999</v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>
        <f t="shared" si="243"/>
        <v>13.559999999999999</v>
      </c>
    </row>
    <row r="28" spans="1:542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186</v>
      </c>
      <c r="D28" s="4" t="s">
        <v>4</v>
      </c>
      <c r="E28" s="4">
        <v>2006</v>
      </c>
      <c r="F28" s="9">
        <f t="shared" si="0"/>
        <v>99.0000099000045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45.01</v>
      </c>
      <c r="M28" s="8" t="str">
        <f t="shared" si="5"/>
        <v>2024 Elite Canada</v>
      </c>
      <c r="N28" s="8">
        <f>IF(COUNT(AQ28,AT28,BR28,BU28,CS28,CV28)&gt;1,LARGE((AQ28,AT28,BR28,BU28,CS28,CV28),2),0)</f>
        <v>23.43</v>
      </c>
      <c r="O28" s="8" t="str">
        <f t="shared" si="6"/>
        <v>2023 Nationals</v>
      </c>
      <c r="P28" s="8">
        <f>IF(COUNT(AQ28,AT28,BR28,BU28,CS28,CV28)&gt;2,MAX(AX28,BY28,CZ28,LARGE((AQ28,AT28,BR28,BU28,CS28,CV28),3)),IF(MAX(AX28,BY28,CZ28)&gt;0,MAX(AX28,BY28,CZ28),0))</f>
        <v>21.86</v>
      </c>
      <c r="Q28" s="8" t="str">
        <f t="shared" si="7"/>
        <v>2023 Nationals</v>
      </c>
      <c r="R28" s="8">
        <f t="shared" si="8"/>
        <v>8.6999999999999993</v>
      </c>
      <c r="S28" s="8" t="str">
        <f t="shared" si="9"/>
        <v>2024 Elite Canada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6.1</v>
      </c>
      <c r="Z28" s="22">
        <v>4.5999999999999996</v>
      </c>
      <c r="AA28" s="22">
        <v>4.7</v>
      </c>
      <c r="AB28" s="22">
        <v>6.46</v>
      </c>
      <c r="AC28" s="22">
        <v>0</v>
      </c>
      <c r="AD28" s="22">
        <v>6.7</v>
      </c>
      <c r="AE28" s="22">
        <v>4.5999999999999996</v>
      </c>
      <c r="AF28" s="22">
        <v>5.3</v>
      </c>
      <c r="AG28" s="22">
        <v>6.83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4.7</v>
      </c>
      <c r="AP28" s="38">
        <f t="shared" si="16"/>
        <v>6.46</v>
      </c>
      <c r="AQ28" s="40">
        <f t="shared" si="17"/>
        <v>21.86</v>
      </c>
      <c r="AR28" s="40">
        <f t="shared" si="18"/>
        <v>5.3</v>
      </c>
      <c r="AS28" s="40">
        <f t="shared" si="19"/>
        <v>6.83</v>
      </c>
      <c r="AT28" s="40">
        <f t="shared" si="20"/>
        <v>23.43</v>
      </c>
      <c r="AU28" s="40">
        <f t="shared" si="21"/>
        <v>23.43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23.43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 t="shared" si="26"/>
        <v/>
      </c>
      <c r="BQ28" s="39" t="str">
        <f t="shared" si="27"/>
        <v/>
      </c>
      <c r="BR28" s="11" t="str">
        <f t="shared" si="28"/>
        <v/>
      </c>
      <c r="BS28" s="11" t="str">
        <f t="shared" si="29"/>
        <v/>
      </c>
      <c r="BT28" s="11" t="str">
        <f t="shared" si="30"/>
        <v/>
      </c>
      <c r="BU28" s="11" t="str">
        <f t="shared" si="31"/>
        <v/>
      </c>
      <c r="BV28" s="11" t="str">
        <f t="shared" si="32"/>
        <v/>
      </c>
      <c r="BW28" s="11" t="str">
        <f t="shared" si="33"/>
        <v/>
      </c>
      <c r="BX28" s="11" t="str">
        <f t="shared" si="34"/>
        <v/>
      </c>
      <c r="BY28" s="11" t="str">
        <f t="shared" si="35"/>
        <v/>
      </c>
      <c r="BZ28" s="11" t="str">
        <f t="shared" si="36"/>
        <v/>
      </c>
      <c r="CA28" s="22">
        <v>5.6</v>
      </c>
      <c r="CB28" s="22">
        <v>3.7</v>
      </c>
      <c r="CC28" s="22">
        <v>4.5999999999999996</v>
      </c>
      <c r="CD28" s="22">
        <v>5.28</v>
      </c>
      <c r="CE28" s="22">
        <v>0</v>
      </c>
      <c r="CF28" s="22">
        <v>14.1</v>
      </c>
      <c r="CG28" s="22">
        <v>9.1</v>
      </c>
      <c r="CH28" s="22">
        <v>8.6999999999999993</v>
      </c>
      <c r="CI28" s="22">
        <v>13.21</v>
      </c>
      <c r="CJ28" s="22">
        <v>0.1</v>
      </c>
      <c r="CK28" s="22"/>
      <c r="CL28" s="22"/>
      <c r="CM28" s="22"/>
      <c r="CN28" s="22"/>
      <c r="CO28" s="22"/>
      <c r="CP28" s="27"/>
      <c r="CQ28" s="38">
        <f t="shared" si="37"/>
        <v>4.5999999999999996</v>
      </c>
      <c r="CR28" s="38">
        <f t="shared" si="38"/>
        <v>5.28</v>
      </c>
      <c r="CS28" s="40">
        <f t="shared" si="39"/>
        <v>19.18</v>
      </c>
      <c r="CT28" s="40">
        <f t="shared" si="40"/>
        <v>8.6999999999999993</v>
      </c>
      <c r="CU28" s="40">
        <f t="shared" si="41"/>
        <v>13.21</v>
      </c>
      <c r="CV28" s="40">
        <f t="shared" si="42"/>
        <v>45.01</v>
      </c>
      <c r="CW28" s="40">
        <f t="shared" si="43"/>
        <v>45.01</v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>
        <f t="shared" si="47"/>
        <v>45.01</v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2.8</v>
      </c>
      <c r="SW28" s="22">
        <f t="shared" si="219"/>
        <v>1.85</v>
      </c>
      <c r="SX28" s="22">
        <f t="shared" si="220"/>
        <v>2.2999999999999998</v>
      </c>
      <c r="SY28" s="22">
        <f t="shared" si="221"/>
        <v>2.64</v>
      </c>
      <c r="SZ28" s="22">
        <f t="shared" si="222"/>
        <v>0</v>
      </c>
      <c r="TA28" s="22">
        <f t="shared" si="223"/>
        <v>7.05</v>
      </c>
      <c r="TB28" s="22">
        <f t="shared" si="224"/>
        <v>4.55</v>
      </c>
      <c r="TC28" s="22">
        <f t="shared" si="225"/>
        <v>4.3499999999999996</v>
      </c>
      <c r="TD28" s="22">
        <f t="shared" si="226"/>
        <v>6.6050000000000004</v>
      </c>
      <c r="TE28" s="22">
        <f t="shared" si="227"/>
        <v>0.05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2">
        <f t="shared" si="231"/>
        <v>0</v>
      </c>
      <c r="TJ28" s="22">
        <f t="shared" si="232"/>
        <v>0</v>
      </c>
      <c r="TK28" s="27" t="s">
        <v>46</v>
      </c>
      <c r="TL28" s="40">
        <f t="shared" si="233"/>
        <v>2.2999999999999998</v>
      </c>
      <c r="TM28" s="40">
        <f t="shared" si="234"/>
        <v>2.64</v>
      </c>
      <c r="TN28" s="40">
        <f t="shared" si="235"/>
        <v>9.59</v>
      </c>
      <c r="TO28" s="40">
        <f t="shared" si="236"/>
        <v>4.3499999999999996</v>
      </c>
      <c r="TP28" s="40">
        <f t="shared" si="237"/>
        <v>6.6050000000000004</v>
      </c>
      <c r="TQ28" s="40">
        <f t="shared" si="238"/>
        <v>22.504999999999999</v>
      </c>
      <c r="TR28" s="40">
        <f t="shared" si="239"/>
        <v>22.504999999999999</v>
      </c>
      <c r="TS28" s="40" t="str">
        <f t="shared" si="240"/>
        <v/>
      </c>
      <c r="TT28" s="40" t="str">
        <f t="shared" si="241"/>
        <v/>
      </c>
      <c r="TU28" s="40" t="str">
        <f t="shared" si="242"/>
        <v/>
      </c>
      <c r="TV28" s="40">
        <f t="shared" si="243"/>
        <v>22.504999999999999</v>
      </c>
    </row>
    <row r="29" spans="1:542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119</v>
      </c>
      <c r="D29" s="4" t="s">
        <v>31</v>
      </c>
      <c r="E29" s="4">
        <v>2003</v>
      </c>
      <c r="F29" s="9">
        <f t="shared" si="0"/>
        <v>95.770009577004316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43.27</v>
      </c>
      <c r="M29" s="8" t="str">
        <f t="shared" si="5"/>
        <v>2024 Elite Canada</v>
      </c>
      <c r="N29" s="8">
        <f>IF(COUNT(AQ29,AT29,BR29,BU29,CS29,CV29)&gt;1,LARGE((AQ29,AT29,BR29,BU29,CS29,CV29),2),0)</f>
        <v>35.08</v>
      </c>
      <c r="O29" s="8" t="str">
        <f t="shared" si="6"/>
        <v>2023 Nationals</v>
      </c>
      <c r="P29" s="8">
        <f>IF(COUNT(AQ29,AT29,BR29,BU29,CS29,CV29)&gt;2,MAX(AX29,BY29,CZ29,LARGE((AQ29,AT29,BR29,BU29,CS29,CV29),3)),IF(MAX(AX29,BY29,CZ29)&gt;0,MAX(AX29,BY29,CZ29),0))</f>
        <v>8.92</v>
      </c>
      <c r="Q29" s="8" t="str">
        <f t="shared" si="7"/>
        <v>2024 Elite Canada</v>
      </c>
      <c r="R29" s="8">
        <f t="shared" si="8"/>
        <v>8.5</v>
      </c>
      <c r="S29" s="8" t="str">
        <f t="shared" si="9"/>
        <v>2024 Elite Canada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>
        <v>10.6</v>
      </c>
      <c r="Z29" s="22">
        <v>6.8</v>
      </c>
      <c r="AA29" s="22">
        <v>7.4</v>
      </c>
      <c r="AB29" s="22">
        <v>10.28</v>
      </c>
      <c r="AC29" s="22">
        <v>0</v>
      </c>
      <c r="AD29" s="22">
        <v>1.4</v>
      </c>
      <c r="AE29" s="22">
        <v>0.9</v>
      </c>
      <c r="AF29" s="22">
        <v>1.5</v>
      </c>
      <c r="AG29" s="22">
        <v>1.33</v>
      </c>
      <c r="AH29" s="22">
        <v>0</v>
      </c>
      <c r="AI29" s="22"/>
      <c r="AJ29" s="22"/>
      <c r="AK29" s="22"/>
      <c r="AL29" s="22"/>
      <c r="AM29" s="22"/>
      <c r="AN29" s="27"/>
      <c r="AO29" s="38">
        <f t="shared" si="15"/>
        <v>7.4</v>
      </c>
      <c r="AP29" s="38">
        <f t="shared" si="16"/>
        <v>10.28</v>
      </c>
      <c r="AQ29" s="40">
        <f t="shared" si="17"/>
        <v>35.08</v>
      </c>
      <c r="AR29" s="40">
        <f t="shared" si="18"/>
        <v>1.5</v>
      </c>
      <c r="AS29" s="40">
        <f t="shared" si="19"/>
        <v>1.33</v>
      </c>
      <c r="AT29" s="40">
        <f t="shared" si="20"/>
        <v>5.13</v>
      </c>
      <c r="AU29" s="40">
        <f t="shared" si="21"/>
        <v>35.08</v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>
        <f t="shared" si="25"/>
        <v>35.08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 t="shared" si="26"/>
        <v/>
      </c>
      <c r="BQ29" s="39" t="str">
        <f t="shared" si="27"/>
        <v/>
      </c>
      <c r="BR29" s="11" t="str">
        <f t="shared" si="28"/>
        <v/>
      </c>
      <c r="BS29" s="11" t="str">
        <f t="shared" si="29"/>
        <v/>
      </c>
      <c r="BT29" s="11" t="str">
        <f t="shared" si="30"/>
        <v/>
      </c>
      <c r="BU29" s="11" t="str">
        <f t="shared" si="31"/>
        <v/>
      </c>
      <c r="BV29" s="11" t="str">
        <f t="shared" si="32"/>
        <v/>
      </c>
      <c r="BW29" s="11" t="str">
        <f t="shared" si="33"/>
        <v/>
      </c>
      <c r="BX29" s="11" t="str">
        <f t="shared" si="34"/>
        <v/>
      </c>
      <c r="BY29" s="11" t="str">
        <f t="shared" si="35"/>
        <v/>
      </c>
      <c r="BZ29" s="11" t="str">
        <f t="shared" si="36"/>
        <v/>
      </c>
      <c r="CA29" s="22">
        <v>13.3</v>
      </c>
      <c r="CB29" s="22">
        <v>9</v>
      </c>
      <c r="CC29" s="22">
        <v>8.5</v>
      </c>
      <c r="CD29" s="22">
        <v>12.77</v>
      </c>
      <c r="CE29" s="22">
        <v>0.3</v>
      </c>
      <c r="CF29" s="22">
        <v>2.6</v>
      </c>
      <c r="CG29" s="22">
        <v>1.7</v>
      </c>
      <c r="CH29" s="22">
        <v>2.1</v>
      </c>
      <c r="CI29" s="22">
        <v>2.52</v>
      </c>
      <c r="CJ29" s="22">
        <v>0</v>
      </c>
      <c r="CK29" s="22"/>
      <c r="CL29" s="22"/>
      <c r="CM29" s="22"/>
      <c r="CN29" s="22"/>
      <c r="CO29" s="22"/>
      <c r="CP29" s="27"/>
      <c r="CQ29" s="38">
        <f t="shared" si="37"/>
        <v>8.5</v>
      </c>
      <c r="CR29" s="38">
        <f t="shared" si="38"/>
        <v>12.77</v>
      </c>
      <c r="CS29" s="40">
        <f t="shared" si="39"/>
        <v>43.27</v>
      </c>
      <c r="CT29" s="40">
        <f t="shared" si="40"/>
        <v>2.1</v>
      </c>
      <c r="CU29" s="40">
        <f t="shared" si="41"/>
        <v>2.52</v>
      </c>
      <c r="CV29" s="40">
        <f t="shared" si="42"/>
        <v>8.92</v>
      </c>
      <c r="CW29" s="40">
        <f t="shared" si="43"/>
        <v>43.27</v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>
        <f t="shared" si="47"/>
        <v>43.27</v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6.65</v>
      </c>
      <c r="SW29" s="22">
        <f t="shared" si="219"/>
        <v>4.5</v>
      </c>
      <c r="SX29" s="22">
        <f t="shared" si="220"/>
        <v>4.25</v>
      </c>
      <c r="SY29" s="22">
        <f t="shared" si="221"/>
        <v>6.3849999999999998</v>
      </c>
      <c r="SZ29" s="22">
        <f t="shared" si="222"/>
        <v>0.15</v>
      </c>
      <c r="TA29" s="22">
        <f t="shared" si="223"/>
        <v>1.3</v>
      </c>
      <c r="TB29" s="22">
        <f t="shared" si="224"/>
        <v>0.85</v>
      </c>
      <c r="TC29" s="22">
        <f t="shared" si="225"/>
        <v>1.05</v>
      </c>
      <c r="TD29" s="22">
        <f t="shared" si="226"/>
        <v>1.26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2">
        <f t="shared" si="231"/>
        <v>0</v>
      </c>
      <c r="TJ29" s="22">
        <f t="shared" si="232"/>
        <v>0</v>
      </c>
      <c r="TK29" s="27" t="s">
        <v>46</v>
      </c>
      <c r="TL29" s="40">
        <f t="shared" si="233"/>
        <v>4.25</v>
      </c>
      <c r="TM29" s="40">
        <f t="shared" si="234"/>
        <v>6.3849999999999998</v>
      </c>
      <c r="TN29" s="40">
        <f t="shared" si="235"/>
        <v>21.635000000000002</v>
      </c>
      <c r="TO29" s="40">
        <f t="shared" si="236"/>
        <v>1.05</v>
      </c>
      <c r="TP29" s="40">
        <f t="shared" si="237"/>
        <v>1.26</v>
      </c>
      <c r="TQ29" s="40">
        <f t="shared" si="238"/>
        <v>4.46</v>
      </c>
      <c r="TR29" s="40">
        <f t="shared" si="239"/>
        <v>21.635000000000002</v>
      </c>
      <c r="TS29" s="40" t="str">
        <f t="shared" si="240"/>
        <v/>
      </c>
      <c r="TT29" s="40" t="str">
        <f t="shared" si="241"/>
        <v/>
      </c>
      <c r="TU29" s="40" t="str">
        <f t="shared" si="242"/>
        <v/>
      </c>
      <c r="TV29" s="40">
        <f t="shared" si="243"/>
        <v>21.635000000000002</v>
      </c>
    </row>
    <row r="30" spans="1:542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184</v>
      </c>
      <c r="D30" s="4" t="s">
        <v>3</v>
      </c>
      <c r="E30" s="4">
        <v>2005</v>
      </c>
      <c r="F30" s="9">
        <f t="shared" si="0"/>
        <v>90.450009045004393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43.99</v>
      </c>
      <c r="M30" s="8" t="str">
        <f t="shared" si="5"/>
        <v>2023 Nationals</v>
      </c>
      <c r="N30" s="8">
        <f>IF(COUNT(AQ30,AT30,BR30,BU30,CS30,CV30)&gt;1,LARGE((AQ30,AT30,BR30,BU30,CS30,CV30),2),0)</f>
        <v>37.36</v>
      </c>
      <c r="O30" s="8" t="str">
        <f t="shared" si="6"/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9.1</v>
      </c>
      <c r="S30" s="8" t="str">
        <f t="shared" si="9"/>
        <v>2023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>
        <v>11</v>
      </c>
      <c r="Z30" s="22">
        <v>7.8</v>
      </c>
      <c r="AA30" s="22">
        <v>6.9</v>
      </c>
      <c r="AB30" s="22">
        <v>11.66</v>
      </c>
      <c r="AC30" s="22">
        <v>0</v>
      </c>
      <c r="AD30" s="22">
        <v>13.5</v>
      </c>
      <c r="AE30" s="22">
        <v>8.6</v>
      </c>
      <c r="AF30" s="22">
        <v>9.1</v>
      </c>
      <c r="AG30" s="22">
        <v>12.79</v>
      </c>
      <c r="AH30" s="22">
        <v>0</v>
      </c>
      <c r="AI30" s="22"/>
      <c r="AJ30" s="22"/>
      <c r="AK30" s="22"/>
      <c r="AL30" s="22"/>
      <c r="AM30" s="22"/>
      <c r="AN30" s="27"/>
      <c r="AO30" s="38">
        <f t="shared" si="15"/>
        <v>6.9</v>
      </c>
      <c r="AP30" s="38">
        <f t="shared" si="16"/>
        <v>11.66</v>
      </c>
      <c r="AQ30" s="40">
        <f t="shared" si="17"/>
        <v>37.36</v>
      </c>
      <c r="AR30" s="40">
        <f t="shared" si="18"/>
        <v>9.1</v>
      </c>
      <c r="AS30" s="40">
        <f t="shared" si="19"/>
        <v>12.79</v>
      </c>
      <c r="AT30" s="40">
        <f t="shared" si="20"/>
        <v>43.99</v>
      </c>
      <c r="AU30" s="40">
        <f t="shared" si="21"/>
        <v>43.99</v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>
        <f t="shared" si="25"/>
        <v>43.99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7"/>
        <v/>
      </c>
      <c r="CR30" s="38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 t="str">
        <f t="shared" si="47"/>
        <v/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 t="str">
        <f t="shared" si="243"/>
        <v/>
      </c>
    </row>
    <row r="31" spans="1:542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143</v>
      </c>
      <c r="D31" s="4" t="s">
        <v>31</v>
      </c>
      <c r="E31" s="4">
        <v>2006</v>
      </c>
      <c r="F31" s="9">
        <f t="shared" si="0"/>
        <v>76.360007636004511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44.989999999999995</v>
      </c>
      <c r="M31" s="8" t="str">
        <f t="shared" si="5"/>
        <v>2023 Nationals</v>
      </c>
      <c r="N31" s="8">
        <f>IF(COUNT(AQ31,AT31,BR31,BU31,CS31,CV31)&gt;1,LARGE((AQ31,AT31,BR31,BU31,CS31,CV31),2),0)</f>
        <v>22.67</v>
      </c>
      <c r="O31" s="8" t="str">
        <f t="shared" si="6"/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8.6999999999999993</v>
      </c>
      <c r="S31" s="8" t="str">
        <f t="shared" si="9"/>
        <v>2023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>
        <v>14</v>
      </c>
      <c r="Z31" s="22">
        <v>9.6</v>
      </c>
      <c r="AA31" s="22">
        <v>8.6999999999999993</v>
      </c>
      <c r="AB31" s="22">
        <v>12.79</v>
      </c>
      <c r="AC31" s="22">
        <v>0.1</v>
      </c>
      <c r="AD31" s="22">
        <v>7.1</v>
      </c>
      <c r="AE31" s="22">
        <v>4.4000000000000004</v>
      </c>
      <c r="AF31" s="22">
        <v>4.8</v>
      </c>
      <c r="AG31" s="22">
        <v>6.37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5"/>
        <v>8.6999999999999993</v>
      </c>
      <c r="AP31" s="38">
        <f t="shared" si="16"/>
        <v>12.79</v>
      </c>
      <c r="AQ31" s="40">
        <f t="shared" si="17"/>
        <v>44.989999999999995</v>
      </c>
      <c r="AR31" s="40">
        <f t="shared" si="18"/>
        <v>4.8</v>
      </c>
      <c r="AS31" s="40">
        <f t="shared" si="19"/>
        <v>6.37</v>
      </c>
      <c r="AT31" s="40">
        <f t="shared" si="20"/>
        <v>22.67</v>
      </c>
      <c r="AU31" s="40">
        <f t="shared" si="21"/>
        <v>44.989999999999995</v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>
        <f t="shared" si="25"/>
        <v>44.989999999999995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6"/>
        <v/>
      </c>
      <c r="BQ31" s="39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 t="str">
        <f t="shared" si="36"/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7"/>
        <v/>
      </c>
      <c r="CR31" s="38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 t="str">
        <f t="shared" si="47"/>
        <v/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0</v>
      </c>
      <c r="SW31" s="22">
        <f t="shared" si="219"/>
        <v>0</v>
      </c>
      <c r="SX31" s="22">
        <f t="shared" si="220"/>
        <v>0</v>
      </c>
      <c r="SY31" s="22">
        <f t="shared" si="221"/>
        <v>0</v>
      </c>
      <c r="SZ31" s="22">
        <f t="shared" si="222"/>
        <v>0</v>
      </c>
      <c r="TA31" s="22">
        <f t="shared" si="223"/>
        <v>0</v>
      </c>
      <c r="TB31" s="22">
        <f t="shared" si="224"/>
        <v>0</v>
      </c>
      <c r="TC31" s="22">
        <f t="shared" si="225"/>
        <v>0</v>
      </c>
      <c r="TD31" s="22">
        <f t="shared" si="226"/>
        <v>0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 t="str">
        <f t="shared" si="233"/>
        <v/>
      </c>
      <c r="TM31" s="40" t="str">
        <f t="shared" si="234"/>
        <v/>
      </c>
      <c r="TN31" s="40" t="str">
        <f t="shared" si="235"/>
        <v/>
      </c>
      <c r="TO31" s="40" t="str">
        <f t="shared" si="236"/>
        <v/>
      </c>
      <c r="TP31" s="40" t="str">
        <f t="shared" si="237"/>
        <v/>
      </c>
      <c r="TQ31" s="40" t="str">
        <f t="shared" si="238"/>
        <v/>
      </c>
      <c r="TR31" s="40" t="str">
        <f t="shared" si="239"/>
        <v/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 t="str">
        <f t="shared" si="243"/>
        <v/>
      </c>
    </row>
    <row r="32" spans="1:542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223</v>
      </c>
      <c r="D32" s="4" t="s">
        <v>31</v>
      </c>
      <c r="E32" s="4">
        <v>2003</v>
      </c>
      <c r="F32" s="9">
        <f t="shared" si="0"/>
        <v>74.800007480004311</v>
      </c>
      <c r="G32" s="66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43.3</v>
      </c>
      <c r="M32" s="8" t="str">
        <f t="shared" si="5"/>
        <v>2024 Elite Canada</v>
      </c>
      <c r="N32" s="8">
        <f>IF(COUNT(AQ32,AT32,BR32,BU32,CS32,CV32)&gt;1,LARGE((AQ32,AT32,BR32,BU32,CS32,CV32),2),0)</f>
        <v>23.4</v>
      </c>
      <c r="O32" s="8" t="str">
        <f t="shared" si="6"/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8.1</v>
      </c>
      <c r="S32" s="8" t="str">
        <f t="shared" si="9"/>
        <v>2024 Elite Canada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 t="shared" si="15"/>
        <v/>
      </c>
      <c r="AP32" s="38" t="str">
        <f t="shared" si="16"/>
        <v/>
      </c>
      <c r="AQ32" s="40" t="str">
        <f t="shared" si="17"/>
        <v/>
      </c>
      <c r="AR32" s="40" t="str">
        <f t="shared" si="18"/>
        <v/>
      </c>
      <c r="AS32" s="40" t="str">
        <f t="shared" si="19"/>
        <v/>
      </c>
      <c r="AT32" s="40" t="str">
        <f t="shared" si="20"/>
        <v/>
      </c>
      <c r="AU32" s="40" t="str">
        <f t="shared" si="21"/>
        <v/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 t="str">
        <f t="shared" si="25"/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 t="shared" si="26"/>
        <v/>
      </c>
      <c r="BQ32" s="39" t="str">
        <f t="shared" si="27"/>
        <v/>
      </c>
      <c r="BR32" s="11" t="str">
        <f t="shared" si="28"/>
        <v/>
      </c>
      <c r="BS32" s="11" t="str">
        <f t="shared" si="29"/>
        <v/>
      </c>
      <c r="BT32" s="11" t="str">
        <f t="shared" si="30"/>
        <v/>
      </c>
      <c r="BU32" s="11" t="str">
        <f t="shared" si="31"/>
        <v/>
      </c>
      <c r="BV32" s="11" t="str">
        <f t="shared" si="32"/>
        <v/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 t="str">
        <f t="shared" si="36"/>
        <v/>
      </c>
      <c r="CA32" s="22">
        <v>7.4</v>
      </c>
      <c r="CB32" s="22">
        <v>4.8</v>
      </c>
      <c r="CC32" s="22">
        <v>4.5999999999999996</v>
      </c>
      <c r="CD32" s="22">
        <v>6.6</v>
      </c>
      <c r="CE32" s="22">
        <v>0</v>
      </c>
      <c r="CF32" s="22">
        <v>13</v>
      </c>
      <c r="CG32" s="22">
        <v>9.6999999999999993</v>
      </c>
      <c r="CH32" s="22">
        <v>8.1</v>
      </c>
      <c r="CI32" s="22">
        <v>13.2</v>
      </c>
      <c r="CJ32" s="22">
        <v>0.7</v>
      </c>
      <c r="CK32" s="22"/>
      <c r="CL32" s="22"/>
      <c r="CM32" s="22"/>
      <c r="CN32" s="22"/>
      <c r="CO32" s="22"/>
      <c r="CP32" s="27"/>
      <c r="CQ32" s="38">
        <f t="shared" si="37"/>
        <v>4.5999999999999996</v>
      </c>
      <c r="CR32" s="38">
        <f t="shared" si="38"/>
        <v>6.6</v>
      </c>
      <c r="CS32" s="40">
        <f t="shared" si="39"/>
        <v>23.4</v>
      </c>
      <c r="CT32" s="40">
        <f t="shared" si="40"/>
        <v>8.1</v>
      </c>
      <c r="CU32" s="40">
        <f t="shared" si="41"/>
        <v>13.2</v>
      </c>
      <c r="CV32" s="40">
        <f t="shared" si="42"/>
        <v>43.3</v>
      </c>
      <c r="CW32" s="40">
        <f t="shared" si="43"/>
        <v>43.3</v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>
        <f t="shared" si="47"/>
        <v>43.3</v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3.7</v>
      </c>
      <c r="SW32" s="22">
        <f t="shared" si="219"/>
        <v>2.4</v>
      </c>
      <c r="SX32" s="22">
        <f t="shared" si="220"/>
        <v>2.2999999999999998</v>
      </c>
      <c r="SY32" s="22">
        <f t="shared" si="221"/>
        <v>3.3</v>
      </c>
      <c r="SZ32" s="22">
        <f t="shared" si="222"/>
        <v>0</v>
      </c>
      <c r="TA32" s="22">
        <f t="shared" si="223"/>
        <v>6.5</v>
      </c>
      <c r="TB32" s="22">
        <f t="shared" si="224"/>
        <v>4.8499999999999996</v>
      </c>
      <c r="TC32" s="22">
        <f t="shared" si="225"/>
        <v>4.05</v>
      </c>
      <c r="TD32" s="22">
        <f t="shared" si="226"/>
        <v>6.6</v>
      </c>
      <c r="TE32" s="22">
        <f t="shared" si="227"/>
        <v>0.35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>
        <f t="shared" si="233"/>
        <v>2.2999999999999998</v>
      </c>
      <c r="TM32" s="40">
        <f t="shared" si="234"/>
        <v>3.3</v>
      </c>
      <c r="TN32" s="40">
        <f t="shared" si="235"/>
        <v>11.7</v>
      </c>
      <c r="TO32" s="40">
        <f t="shared" si="236"/>
        <v>4.05</v>
      </c>
      <c r="TP32" s="40">
        <f t="shared" si="237"/>
        <v>6.6</v>
      </c>
      <c r="TQ32" s="40">
        <f t="shared" si="238"/>
        <v>21.65</v>
      </c>
      <c r="TR32" s="40">
        <f t="shared" si="239"/>
        <v>21.65</v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>
        <f t="shared" si="243"/>
        <v>21.65</v>
      </c>
    </row>
    <row r="33" spans="1:542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183</v>
      </c>
      <c r="D33" s="4" t="s">
        <v>6</v>
      </c>
      <c r="E33" s="4">
        <v>2006</v>
      </c>
      <c r="F33" s="9">
        <f t="shared" si="0"/>
        <v>67.070006707004566</v>
      </c>
      <c r="G33" s="66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45.79</v>
      </c>
      <c r="M33" s="8" t="str">
        <f t="shared" si="5"/>
        <v>2023 Nationals</v>
      </c>
      <c r="N33" s="8">
        <f>IF(COUNT(AQ33,AT33,BR33,BU33,CS33,CV33)&gt;1,LARGE((AQ33,AT33,BR33,BU33,CS33,CV33),2),0)</f>
        <v>12.48</v>
      </c>
      <c r="O33" s="8" t="str">
        <f t="shared" si="6"/>
        <v>2023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8.8000000000000007</v>
      </c>
      <c r="S33" s="8" t="str">
        <f t="shared" si="9"/>
        <v>2023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>
        <v>3.8</v>
      </c>
      <c r="Z33" s="22">
        <v>2.6</v>
      </c>
      <c r="AA33" s="22">
        <v>2.4</v>
      </c>
      <c r="AB33" s="22">
        <v>3.68</v>
      </c>
      <c r="AC33" s="22">
        <v>0</v>
      </c>
      <c r="AD33" s="22">
        <v>14.7</v>
      </c>
      <c r="AE33" s="22">
        <v>9.3000000000000007</v>
      </c>
      <c r="AF33" s="22">
        <v>8.8000000000000007</v>
      </c>
      <c r="AG33" s="22">
        <v>12.99</v>
      </c>
      <c r="AH33" s="22">
        <v>0</v>
      </c>
      <c r="AI33" s="22"/>
      <c r="AJ33" s="22"/>
      <c r="AK33" s="22"/>
      <c r="AL33" s="22"/>
      <c r="AM33" s="22"/>
      <c r="AN33" s="27"/>
      <c r="AO33" s="38">
        <f t="shared" si="15"/>
        <v>2.4</v>
      </c>
      <c r="AP33" s="38">
        <f t="shared" si="16"/>
        <v>3.68</v>
      </c>
      <c r="AQ33" s="40">
        <f t="shared" si="17"/>
        <v>12.48</v>
      </c>
      <c r="AR33" s="40">
        <f t="shared" si="18"/>
        <v>8.8000000000000007</v>
      </c>
      <c r="AS33" s="40">
        <f t="shared" si="19"/>
        <v>12.99</v>
      </c>
      <c r="AT33" s="40">
        <f t="shared" si="20"/>
        <v>45.79</v>
      </c>
      <c r="AU33" s="40">
        <f t="shared" si="21"/>
        <v>45.79</v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>
        <f t="shared" si="25"/>
        <v>45.79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 t="shared" si="26"/>
        <v/>
      </c>
      <c r="BQ33" s="39" t="str">
        <f t="shared" si="27"/>
        <v/>
      </c>
      <c r="BR33" s="11" t="str">
        <f t="shared" si="28"/>
        <v/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 t="str">
        <f t="shared" si="32"/>
        <v/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 t="str">
        <f t="shared" si="36"/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7"/>
        <v/>
      </c>
      <c r="CR33" s="38" t="str">
        <f t="shared" si="38"/>
        <v/>
      </c>
      <c r="CS33" s="40" t="str">
        <f t="shared" si="39"/>
        <v/>
      </c>
      <c r="CT33" s="40" t="str">
        <f t="shared" si="40"/>
        <v/>
      </c>
      <c r="CU33" s="40" t="str">
        <f t="shared" si="41"/>
        <v/>
      </c>
      <c r="CV33" s="40" t="str">
        <f t="shared" si="42"/>
        <v/>
      </c>
      <c r="CW33" s="40" t="str">
        <f t="shared" si="43"/>
        <v/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 t="str">
        <f t="shared" si="47"/>
        <v/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0</v>
      </c>
      <c r="SW33" s="22">
        <f t="shared" si="219"/>
        <v>0</v>
      </c>
      <c r="SX33" s="22">
        <f t="shared" si="220"/>
        <v>0</v>
      </c>
      <c r="SY33" s="22">
        <f t="shared" si="221"/>
        <v>0</v>
      </c>
      <c r="SZ33" s="22">
        <f t="shared" si="222"/>
        <v>0</v>
      </c>
      <c r="TA33" s="22">
        <f t="shared" si="223"/>
        <v>0</v>
      </c>
      <c r="TB33" s="22">
        <f t="shared" si="224"/>
        <v>0</v>
      </c>
      <c r="TC33" s="22">
        <f t="shared" si="225"/>
        <v>0</v>
      </c>
      <c r="TD33" s="22">
        <f t="shared" si="226"/>
        <v>0</v>
      </c>
      <c r="TE33" s="22">
        <f t="shared" si="227"/>
        <v>0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 t="str">
        <f t="shared" si="233"/>
        <v/>
      </c>
      <c r="TM33" s="40" t="str">
        <f t="shared" si="234"/>
        <v/>
      </c>
      <c r="TN33" s="40" t="str">
        <f t="shared" si="235"/>
        <v/>
      </c>
      <c r="TO33" s="40" t="str">
        <f t="shared" si="236"/>
        <v/>
      </c>
      <c r="TP33" s="40" t="str">
        <f t="shared" si="237"/>
        <v/>
      </c>
      <c r="TQ33" s="40" t="str">
        <f t="shared" si="238"/>
        <v/>
      </c>
      <c r="TR33" s="40" t="str">
        <f t="shared" si="239"/>
        <v/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 t="str">
        <f t="shared" si="243"/>
        <v/>
      </c>
    </row>
    <row r="34" spans="1:542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117</v>
      </c>
      <c r="D34" s="4" t="s">
        <v>4</v>
      </c>
      <c r="E34" s="4">
        <v>2004</v>
      </c>
      <c r="F34" s="9">
        <f t="shared" si="0"/>
        <v>61.46000614600446</v>
      </c>
      <c r="G34" s="66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IF(COUNT(AQ34,AT34,BR34,BU34,CS34,CV34)&gt;0,LARGE((AQ34,AT34,BR34,BU34,CS34,CV34),1),0)</f>
        <v>44.550000000000004</v>
      </c>
      <c r="M34" s="8" t="str">
        <f t="shared" si="5"/>
        <v>2024 Elite Canada</v>
      </c>
      <c r="N34" s="8">
        <f>IF(COUNT(AQ34,AT34,BR34,BU34,CS34,CV34)&gt;1,LARGE((AQ34,AT34,BR34,BU34,CS34,CV34),2),0)</f>
        <v>9.2100000000000009</v>
      </c>
      <c r="O34" s="8" t="str">
        <f t="shared" si="6"/>
        <v>2024 Elite Canada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 t="shared" si="7"/>
        <v/>
      </c>
      <c r="R34" s="8">
        <f t="shared" si="8"/>
        <v>7.7</v>
      </c>
      <c r="S34" s="8" t="str">
        <f t="shared" si="9"/>
        <v>2024 Elite Canada</v>
      </c>
      <c r="T34" s="8">
        <f t="shared" si="10"/>
        <v>0</v>
      </c>
      <c r="U34" s="8" t="str">
        <f t="shared" si="11"/>
        <v/>
      </c>
      <c r="V34" s="8" t="str">
        <f t="shared" si="12"/>
        <v/>
      </c>
      <c r="W34" s="11" t="str">
        <f t="shared" si="13"/>
        <v/>
      </c>
      <c r="X34" s="8" t="str">
        <f t="shared" si="14"/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 t="shared" si="15"/>
        <v/>
      </c>
      <c r="AP34" s="38" t="str">
        <f t="shared" si="16"/>
        <v/>
      </c>
      <c r="AQ34" s="40" t="str">
        <f t="shared" si="17"/>
        <v/>
      </c>
      <c r="AR34" s="40" t="str">
        <f t="shared" si="18"/>
        <v/>
      </c>
      <c r="AS34" s="40" t="str">
        <f t="shared" si="19"/>
        <v/>
      </c>
      <c r="AT34" s="40" t="str">
        <f t="shared" si="20"/>
        <v/>
      </c>
      <c r="AU34" s="40" t="str">
        <f t="shared" si="21"/>
        <v/>
      </c>
      <c r="AV34" s="40" t="str">
        <f t="shared" si="22"/>
        <v/>
      </c>
      <c r="AW34" s="40" t="str">
        <f t="shared" si="23"/>
        <v/>
      </c>
      <c r="AX34" s="40" t="str">
        <f t="shared" si="24"/>
        <v/>
      </c>
      <c r="AY34" s="40" t="str">
        <f t="shared" si="25"/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 t="shared" si="26"/>
        <v/>
      </c>
      <c r="BQ34" s="39" t="str">
        <f t="shared" si="27"/>
        <v/>
      </c>
      <c r="BR34" s="11" t="str">
        <f t="shared" si="28"/>
        <v/>
      </c>
      <c r="BS34" s="11" t="str">
        <f t="shared" si="29"/>
        <v/>
      </c>
      <c r="BT34" s="11" t="str">
        <f t="shared" si="30"/>
        <v/>
      </c>
      <c r="BU34" s="11" t="str">
        <f t="shared" si="31"/>
        <v/>
      </c>
      <c r="BV34" s="11" t="str">
        <f t="shared" si="32"/>
        <v/>
      </c>
      <c r="BW34" s="11" t="str">
        <f t="shared" si="33"/>
        <v/>
      </c>
      <c r="BX34" s="11" t="str">
        <f t="shared" si="34"/>
        <v/>
      </c>
      <c r="BY34" s="11" t="str">
        <f t="shared" si="35"/>
        <v/>
      </c>
      <c r="BZ34" s="11" t="str">
        <f t="shared" si="36"/>
        <v/>
      </c>
      <c r="CA34" s="22">
        <v>15</v>
      </c>
      <c r="CB34" s="22">
        <v>9.5</v>
      </c>
      <c r="CC34" s="22">
        <v>7.7</v>
      </c>
      <c r="CD34" s="22">
        <v>13.45</v>
      </c>
      <c r="CE34" s="22">
        <v>1.1000000000000001</v>
      </c>
      <c r="CF34" s="22">
        <v>2.6</v>
      </c>
      <c r="CG34" s="22">
        <v>1.6</v>
      </c>
      <c r="CH34" s="22">
        <v>2.2999999999999998</v>
      </c>
      <c r="CI34" s="22">
        <v>2.71</v>
      </c>
      <c r="CJ34" s="22">
        <v>0</v>
      </c>
      <c r="CK34" s="22"/>
      <c r="CL34" s="22"/>
      <c r="CM34" s="22"/>
      <c r="CN34" s="22"/>
      <c r="CO34" s="22"/>
      <c r="CP34" s="27"/>
      <c r="CQ34" s="38">
        <f t="shared" si="37"/>
        <v>7.7</v>
      </c>
      <c r="CR34" s="38">
        <f t="shared" si="38"/>
        <v>13.45</v>
      </c>
      <c r="CS34" s="40">
        <f t="shared" si="39"/>
        <v>44.550000000000004</v>
      </c>
      <c r="CT34" s="40">
        <f t="shared" si="40"/>
        <v>2.2999999999999998</v>
      </c>
      <c r="CU34" s="40">
        <f t="shared" si="41"/>
        <v>2.71</v>
      </c>
      <c r="CV34" s="40">
        <f t="shared" si="42"/>
        <v>9.2100000000000009</v>
      </c>
      <c r="CW34" s="40">
        <f t="shared" si="43"/>
        <v>44.550000000000004</v>
      </c>
      <c r="CX34" s="40" t="str">
        <f t="shared" si="44"/>
        <v/>
      </c>
      <c r="CY34" s="40" t="str">
        <f t="shared" si="45"/>
        <v/>
      </c>
      <c r="CZ34" s="40" t="str">
        <f t="shared" si="46"/>
        <v/>
      </c>
      <c r="DA34" s="40">
        <f t="shared" si="47"/>
        <v>44.550000000000004</v>
      </c>
      <c r="DB34" s="50" t="str">
        <f t="shared" si="48"/>
        <v/>
      </c>
      <c r="DC34" s="50" t="str">
        <f t="shared" si="49"/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 t="shared" si="50"/>
        <v/>
      </c>
      <c r="DY34" s="40" t="str">
        <f t="shared" si="51"/>
        <v/>
      </c>
      <c r="DZ34" s="40" t="str">
        <f t="shared" si="52"/>
        <v/>
      </c>
      <c r="EA34" s="40" t="str">
        <f t="shared" si="53"/>
        <v/>
      </c>
      <c r="EB34" s="40" t="str">
        <f t="shared" si="54"/>
        <v/>
      </c>
      <c r="EC34" s="40" t="str">
        <f t="shared" si="55"/>
        <v/>
      </c>
      <c r="ED34" s="40" t="str">
        <f t="shared" si="56"/>
        <v/>
      </c>
      <c r="EE34" s="40" t="str">
        <f t="shared" si="57"/>
        <v/>
      </c>
      <c r="EF34" s="40" t="str">
        <f t="shared" si="58"/>
        <v/>
      </c>
      <c r="EG34" s="40" t="str">
        <f t="shared" si="59"/>
        <v/>
      </c>
      <c r="EH34" s="40" t="str">
        <f t="shared" si="60"/>
        <v/>
      </c>
      <c r="EI34" s="40" t="str">
        <f t="shared" si="61"/>
        <v/>
      </c>
      <c r="EJ34" s="40" t="str">
        <f t="shared" si="62"/>
        <v/>
      </c>
      <c r="EK34" s="40" t="str">
        <f t="shared" si="63"/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 t="shared" si="64"/>
        <v/>
      </c>
      <c r="FG34" s="11" t="str">
        <f t="shared" si="65"/>
        <v/>
      </c>
      <c r="FH34" s="11" t="str">
        <f t="shared" si="66"/>
        <v/>
      </c>
      <c r="FI34" s="11" t="str">
        <f t="shared" si="67"/>
        <v/>
      </c>
      <c r="FJ34" s="11" t="str">
        <f t="shared" si="68"/>
        <v/>
      </c>
      <c r="FK34" s="11" t="str">
        <f t="shared" si="69"/>
        <v/>
      </c>
      <c r="FL34" s="11" t="str">
        <f t="shared" si="70"/>
        <v/>
      </c>
      <c r="FM34" s="11" t="str">
        <f t="shared" si="71"/>
        <v/>
      </c>
      <c r="FN34" s="11" t="str">
        <f t="shared" si="72"/>
        <v/>
      </c>
      <c r="FO34" s="11" t="str">
        <f t="shared" si="73"/>
        <v/>
      </c>
      <c r="FP34" s="11" t="str">
        <f t="shared" si="74"/>
        <v/>
      </c>
      <c r="FQ34" s="11" t="str">
        <f t="shared" si="75"/>
        <v/>
      </c>
      <c r="FR34" s="11" t="str">
        <f t="shared" si="76"/>
        <v/>
      </c>
      <c r="FS34" s="11" t="str">
        <f t="shared" si="77"/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 t="shared" si="78"/>
        <v/>
      </c>
      <c r="GO34" s="40" t="str">
        <f t="shared" si="79"/>
        <v/>
      </c>
      <c r="GP34" s="40" t="str">
        <f t="shared" si="80"/>
        <v/>
      </c>
      <c r="GQ34" s="40" t="str">
        <f t="shared" si="81"/>
        <v/>
      </c>
      <c r="GR34" s="40" t="str">
        <f t="shared" si="82"/>
        <v/>
      </c>
      <c r="GS34" s="40" t="str">
        <f t="shared" si="83"/>
        <v/>
      </c>
      <c r="GT34" s="40" t="str">
        <f t="shared" si="84"/>
        <v/>
      </c>
      <c r="GU34" s="40" t="str">
        <f t="shared" si="85"/>
        <v/>
      </c>
      <c r="GV34" s="40" t="str">
        <f t="shared" si="86"/>
        <v/>
      </c>
      <c r="GW34" s="40" t="str">
        <f t="shared" si="87"/>
        <v/>
      </c>
      <c r="GX34" s="40" t="str">
        <f t="shared" si="88"/>
        <v/>
      </c>
      <c r="GY34" s="40" t="str">
        <f t="shared" si="89"/>
        <v/>
      </c>
      <c r="GZ34" s="40" t="str">
        <f t="shared" si="90"/>
        <v/>
      </c>
      <c r="HA34" s="40" t="str">
        <f t="shared" si="91"/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 t="shared" si="92"/>
        <v/>
      </c>
      <c r="HW34" s="11" t="str">
        <f t="shared" si="93"/>
        <v/>
      </c>
      <c r="HX34" s="11" t="str">
        <f t="shared" si="94"/>
        <v/>
      </c>
      <c r="HY34" s="11" t="str">
        <f t="shared" si="95"/>
        <v/>
      </c>
      <c r="HZ34" s="11" t="str">
        <f t="shared" si="96"/>
        <v/>
      </c>
      <c r="IA34" s="11" t="str">
        <f t="shared" si="97"/>
        <v/>
      </c>
      <c r="IB34" s="11" t="str">
        <f t="shared" si="98"/>
        <v/>
      </c>
      <c r="IC34" s="11" t="str">
        <f t="shared" si="99"/>
        <v/>
      </c>
      <c r="ID34" s="11" t="str">
        <f t="shared" si="100"/>
        <v/>
      </c>
      <c r="IE34" s="11" t="str">
        <f t="shared" si="101"/>
        <v/>
      </c>
      <c r="IF34" s="11" t="str">
        <f t="shared" si="102"/>
        <v/>
      </c>
      <c r="IG34" s="11" t="str">
        <f t="shared" si="103"/>
        <v/>
      </c>
      <c r="IH34" s="11" t="str">
        <f t="shared" si="104"/>
        <v/>
      </c>
      <c r="II34" s="11" t="str">
        <f t="shared" si="105"/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 t="shared" si="106"/>
        <v/>
      </c>
      <c r="JE34" s="40" t="str">
        <f t="shared" si="107"/>
        <v/>
      </c>
      <c r="JF34" s="40" t="str">
        <f t="shared" si="108"/>
        <v/>
      </c>
      <c r="JG34" s="40" t="str">
        <f t="shared" si="109"/>
        <v/>
      </c>
      <c r="JH34" s="40" t="str">
        <f t="shared" si="110"/>
        <v/>
      </c>
      <c r="JI34" s="40" t="str">
        <f t="shared" si="111"/>
        <v/>
      </c>
      <c r="JJ34" s="40" t="str">
        <f t="shared" si="112"/>
        <v/>
      </c>
      <c r="JK34" s="40" t="str">
        <f t="shared" si="113"/>
        <v/>
      </c>
      <c r="JL34" s="40" t="str">
        <f t="shared" si="114"/>
        <v/>
      </c>
      <c r="JM34" s="40" t="str">
        <f t="shared" si="115"/>
        <v/>
      </c>
      <c r="JN34" s="40" t="str">
        <f t="shared" si="116"/>
        <v/>
      </c>
      <c r="JO34" s="40" t="str">
        <f t="shared" si="117"/>
        <v/>
      </c>
      <c r="JP34" s="40" t="str">
        <f t="shared" si="118"/>
        <v/>
      </c>
      <c r="JQ34" s="40" t="str">
        <f t="shared" si="119"/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 t="shared" si="120"/>
        <v/>
      </c>
      <c r="KM34" s="11" t="str">
        <f t="shared" si="121"/>
        <v/>
      </c>
      <c r="KN34" s="11" t="str">
        <f t="shared" si="122"/>
        <v/>
      </c>
      <c r="KO34" s="11" t="str">
        <f t="shared" si="123"/>
        <v/>
      </c>
      <c r="KP34" s="11" t="str">
        <f t="shared" si="124"/>
        <v/>
      </c>
      <c r="KQ34" s="11" t="str">
        <f t="shared" si="125"/>
        <v/>
      </c>
      <c r="KR34" s="11" t="str">
        <f t="shared" si="126"/>
        <v/>
      </c>
      <c r="KS34" s="11" t="str">
        <f t="shared" si="127"/>
        <v/>
      </c>
      <c r="KT34" s="11" t="str">
        <f t="shared" si="128"/>
        <v/>
      </c>
      <c r="KU34" s="11" t="str">
        <f t="shared" si="129"/>
        <v/>
      </c>
      <c r="KV34" s="11" t="str">
        <f t="shared" si="130"/>
        <v/>
      </c>
      <c r="KW34" s="11" t="str">
        <f t="shared" si="131"/>
        <v/>
      </c>
      <c r="KX34" s="11" t="str">
        <f t="shared" si="132"/>
        <v/>
      </c>
      <c r="KY34" s="11" t="str">
        <f t="shared" si="133"/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 t="shared" si="134"/>
        <v/>
      </c>
      <c r="LU34" s="40" t="str">
        <f t="shared" si="135"/>
        <v/>
      </c>
      <c r="LV34" s="40" t="str">
        <f t="shared" si="136"/>
        <v/>
      </c>
      <c r="LW34" s="40" t="str">
        <f t="shared" si="137"/>
        <v/>
      </c>
      <c r="LX34" s="40" t="str">
        <f t="shared" si="138"/>
        <v/>
      </c>
      <c r="LY34" s="40" t="str">
        <f t="shared" si="139"/>
        <v/>
      </c>
      <c r="LZ34" s="40" t="str">
        <f t="shared" si="140"/>
        <v/>
      </c>
      <c r="MA34" s="40" t="str">
        <f t="shared" si="141"/>
        <v/>
      </c>
      <c r="MB34" s="40" t="str">
        <f t="shared" si="142"/>
        <v/>
      </c>
      <c r="MC34" s="40" t="str">
        <f t="shared" si="143"/>
        <v/>
      </c>
      <c r="MD34" s="40" t="str">
        <f t="shared" si="144"/>
        <v/>
      </c>
      <c r="ME34" s="40" t="str">
        <f t="shared" si="145"/>
        <v/>
      </c>
      <c r="MF34" s="40" t="str">
        <f t="shared" si="146"/>
        <v/>
      </c>
      <c r="MG34" s="40" t="str">
        <f t="shared" si="147"/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 t="shared" si="148"/>
        <v/>
      </c>
      <c r="NC34" s="11" t="str">
        <f t="shared" si="149"/>
        <v/>
      </c>
      <c r="ND34" s="11" t="str">
        <f t="shared" si="150"/>
        <v/>
      </c>
      <c r="NE34" s="11" t="str">
        <f t="shared" si="151"/>
        <v/>
      </c>
      <c r="NF34" s="11" t="str">
        <f t="shared" si="152"/>
        <v/>
      </c>
      <c r="NG34" s="11" t="str">
        <f t="shared" si="153"/>
        <v/>
      </c>
      <c r="NH34" s="11" t="str">
        <f t="shared" si="154"/>
        <v/>
      </c>
      <c r="NI34" s="11" t="str">
        <f t="shared" si="155"/>
        <v/>
      </c>
      <c r="NJ34" s="11" t="str">
        <f t="shared" si="156"/>
        <v/>
      </c>
      <c r="NK34" s="11" t="str">
        <f t="shared" si="157"/>
        <v/>
      </c>
      <c r="NL34" s="11" t="str">
        <f t="shared" si="158"/>
        <v/>
      </c>
      <c r="NM34" s="11" t="str">
        <f t="shared" si="159"/>
        <v/>
      </c>
      <c r="NN34" s="11" t="str">
        <f t="shared" si="160"/>
        <v/>
      </c>
      <c r="NO34" s="11" t="str">
        <f t="shared" si="161"/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 t="shared" si="162"/>
        <v/>
      </c>
      <c r="OK34" s="40" t="str">
        <f t="shared" si="163"/>
        <v/>
      </c>
      <c r="OL34" s="40" t="str">
        <f t="shared" si="164"/>
        <v/>
      </c>
      <c r="OM34" s="40" t="str">
        <f t="shared" si="165"/>
        <v/>
      </c>
      <c r="ON34" s="40" t="str">
        <f t="shared" si="166"/>
        <v/>
      </c>
      <c r="OO34" s="40" t="str">
        <f t="shared" si="167"/>
        <v/>
      </c>
      <c r="OP34" s="40" t="str">
        <f t="shared" si="168"/>
        <v/>
      </c>
      <c r="OQ34" s="40" t="str">
        <f t="shared" si="169"/>
        <v/>
      </c>
      <c r="OR34" s="40" t="str">
        <f t="shared" si="170"/>
        <v/>
      </c>
      <c r="OS34" s="40" t="str">
        <f t="shared" si="171"/>
        <v/>
      </c>
      <c r="OT34" s="40" t="str">
        <f t="shared" si="172"/>
        <v/>
      </c>
      <c r="OU34" s="40" t="str">
        <f t="shared" si="173"/>
        <v/>
      </c>
      <c r="OV34" s="40" t="str">
        <f t="shared" si="174"/>
        <v/>
      </c>
      <c r="OW34" s="40" t="str">
        <f t="shared" si="175"/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 t="shared" si="176"/>
        <v/>
      </c>
      <c r="PS34" s="11" t="str">
        <f t="shared" si="177"/>
        <v/>
      </c>
      <c r="PT34" s="11" t="str">
        <f t="shared" si="178"/>
        <v/>
      </c>
      <c r="PU34" s="11" t="str">
        <f t="shared" si="179"/>
        <v/>
      </c>
      <c r="PV34" s="11" t="str">
        <f t="shared" si="180"/>
        <v/>
      </c>
      <c r="PW34" s="11" t="str">
        <f t="shared" si="181"/>
        <v/>
      </c>
      <c r="PX34" s="11" t="str">
        <f t="shared" si="182"/>
        <v/>
      </c>
      <c r="PY34" s="11" t="str">
        <f t="shared" si="183"/>
        <v/>
      </c>
      <c r="PZ34" s="11" t="str">
        <f t="shared" si="184"/>
        <v/>
      </c>
      <c r="QA34" s="11" t="str">
        <f t="shared" si="185"/>
        <v/>
      </c>
      <c r="QB34" s="11" t="str">
        <f t="shared" si="186"/>
        <v/>
      </c>
      <c r="QC34" s="11" t="str">
        <f t="shared" si="187"/>
        <v/>
      </c>
      <c r="QD34" s="11" t="str">
        <f t="shared" si="188"/>
        <v/>
      </c>
      <c r="QE34" s="11" t="str">
        <f t="shared" si="189"/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 t="shared" si="190"/>
        <v/>
      </c>
      <c r="RA34" s="40" t="str">
        <f t="shared" si="191"/>
        <v/>
      </c>
      <c r="RB34" s="40" t="str">
        <f t="shared" si="192"/>
        <v/>
      </c>
      <c r="RC34" s="40" t="str">
        <f t="shared" si="193"/>
        <v/>
      </c>
      <c r="RD34" s="40" t="str">
        <f t="shared" si="194"/>
        <v/>
      </c>
      <c r="RE34" s="40" t="str">
        <f t="shared" si="195"/>
        <v/>
      </c>
      <c r="RF34" s="40" t="str">
        <f t="shared" si="196"/>
        <v/>
      </c>
      <c r="RG34" s="40" t="str">
        <f t="shared" si="197"/>
        <v/>
      </c>
      <c r="RH34" s="40" t="str">
        <f t="shared" si="198"/>
        <v/>
      </c>
      <c r="RI34" s="40" t="str">
        <f t="shared" si="199"/>
        <v/>
      </c>
      <c r="RJ34" s="40" t="str">
        <f t="shared" si="200"/>
        <v/>
      </c>
      <c r="RK34" s="40" t="str">
        <f t="shared" si="201"/>
        <v/>
      </c>
      <c r="RL34" s="40" t="str">
        <f t="shared" si="202"/>
        <v/>
      </c>
      <c r="RM34" s="40" t="str">
        <f t="shared" si="203"/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 t="shared" si="204"/>
        <v/>
      </c>
      <c r="SI34" s="11" t="str">
        <f t="shared" si="205"/>
        <v/>
      </c>
      <c r="SJ34" s="11" t="str">
        <f t="shared" si="206"/>
        <v/>
      </c>
      <c r="SK34" s="11" t="str">
        <f t="shared" si="207"/>
        <v/>
      </c>
      <c r="SL34" s="11" t="str">
        <f t="shared" si="208"/>
        <v/>
      </c>
      <c r="SM34" s="11" t="str">
        <f t="shared" si="209"/>
        <v/>
      </c>
      <c r="SN34" s="11" t="str">
        <f t="shared" si="210"/>
        <v/>
      </c>
      <c r="SO34" s="11" t="str">
        <f t="shared" si="211"/>
        <v/>
      </c>
      <c r="SP34" s="11" t="str">
        <f t="shared" si="212"/>
        <v/>
      </c>
      <c r="SQ34" s="11" t="str">
        <f t="shared" si="213"/>
        <v/>
      </c>
      <c r="SR34" s="11" t="str">
        <f t="shared" si="214"/>
        <v/>
      </c>
      <c r="SS34" s="11" t="str">
        <f t="shared" si="215"/>
        <v/>
      </c>
      <c r="ST34" s="11" t="str">
        <f t="shared" si="216"/>
        <v/>
      </c>
      <c r="SU34" s="11" t="str">
        <f t="shared" si="217"/>
        <v/>
      </c>
      <c r="SV34" s="22">
        <f t="shared" si="218"/>
        <v>7.5</v>
      </c>
      <c r="SW34" s="22">
        <f t="shared" si="219"/>
        <v>4.75</v>
      </c>
      <c r="SX34" s="22">
        <f t="shared" si="220"/>
        <v>3.85</v>
      </c>
      <c r="SY34" s="22">
        <f t="shared" si="221"/>
        <v>6.7249999999999996</v>
      </c>
      <c r="SZ34" s="22">
        <f t="shared" si="222"/>
        <v>0.55000000000000004</v>
      </c>
      <c r="TA34" s="22">
        <f t="shared" si="223"/>
        <v>1.3</v>
      </c>
      <c r="TB34" s="22">
        <f t="shared" si="224"/>
        <v>0.8</v>
      </c>
      <c r="TC34" s="22">
        <f t="shared" si="225"/>
        <v>1.1499999999999999</v>
      </c>
      <c r="TD34" s="22">
        <f t="shared" si="226"/>
        <v>1.355</v>
      </c>
      <c r="TE34" s="22">
        <f t="shared" si="227"/>
        <v>0</v>
      </c>
      <c r="TF34" s="22">
        <f t="shared" si="228"/>
        <v>0</v>
      </c>
      <c r="TG34" s="22">
        <f t="shared" si="229"/>
        <v>0</v>
      </c>
      <c r="TH34" s="22">
        <f t="shared" si="230"/>
        <v>0</v>
      </c>
      <c r="TI34" s="22">
        <f t="shared" si="231"/>
        <v>0</v>
      </c>
      <c r="TJ34" s="22">
        <f t="shared" si="232"/>
        <v>0</v>
      </c>
      <c r="TK34" s="27" t="s">
        <v>46</v>
      </c>
      <c r="TL34" s="40">
        <f t="shared" si="233"/>
        <v>3.85</v>
      </c>
      <c r="TM34" s="40">
        <f t="shared" si="234"/>
        <v>6.7249999999999996</v>
      </c>
      <c r="TN34" s="40">
        <f t="shared" si="235"/>
        <v>22.275000000000002</v>
      </c>
      <c r="TO34" s="40">
        <f t="shared" si="236"/>
        <v>1.1499999999999999</v>
      </c>
      <c r="TP34" s="40">
        <f t="shared" si="237"/>
        <v>1.355</v>
      </c>
      <c r="TQ34" s="40">
        <f t="shared" si="238"/>
        <v>4.6050000000000004</v>
      </c>
      <c r="TR34" s="40">
        <f t="shared" si="239"/>
        <v>22.275000000000002</v>
      </c>
      <c r="TS34" s="40" t="str">
        <f t="shared" si="240"/>
        <v/>
      </c>
      <c r="TT34" s="40" t="str">
        <f t="shared" si="241"/>
        <v/>
      </c>
      <c r="TU34" s="40" t="str">
        <f t="shared" si="242"/>
        <v/>
      </c>
      <c r="TV34" s="40">
        <f t="shared" si="243"/>
        <v>22.275000000000002</v>
      </c>
    </row>
    <row r="35" spans="1:542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185</v>
      </c>
      <c r="D35" s="4" t="s">
        <v>3</v>
      </c>
      <c r="E35" s="4">
        <v>2004</v>
      </c>
      <c r="F35" s="9">
        <f t="shared" si="0"/>
        <v>44.99000449900258</v>
      </c>
      <c r="G35" s="66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IF(COUNT(AQ35,AT35,BR35,BU35,CS35,CV35)&gt;0,LARGE((AQ35,AT35,BR35,BU35,CS35,CV35),1),0)</f>
        <v>25.82</v>
      </c>
      <c r="M35" s="8" t="str">
        <f t="shared" si="5"/>
        <v>2023 Nationals</v>
      </c>
      <c r="N35" s="8">
        <f>IF(COUNT(AQ35,AT35,BR35,BU35,CS35,CV35)&gt;1,LARGE((AQ35,AT35,BR35,BU35,CS35,CV35),2),0)</f>
        <v>13.969999999999999</v>
      </c>
      <c r="O35" s="8" t="str">
        <f t="shared" si="6"/>
        <v>2023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 t="shared" si="7"/>
        <v/>
      </c>
      <c r="R35" s="8">
        <f t="shared" si="8"/>
        <v>5.2</v>
      </c>
      <c r="S35" s="8" t="str">
        <f t="shared" si="9"/>
        <v>2023 Nationals</v>
      </c>
      <c r="T35" s="8">
        <f t="shared" si="10"/>
        <v>0</v>
      </c>
      <c r="U35" s="8" t="str">
        <f t="shared" si="11"/>
        <v/>
      </c>
      <c r="V35" s="8" t="str">
        <f t="shared" si="12"/>
        <v/>
      </c>
      <c r="W35" s="11" t="str">
        <f t="shared" si="13"/>
        <v/>
      </c>
      <c r="X35" s="8" t="str">
        <f t="shared" si="14"/>
        <v/>
      </c>
      <c r="Y35" s="22">
        <v>3.8</v>
      </c>
      <c r="Z35" s="22">
        <v>2.8</v>
      </c>
      <c r="AA35" s="22">
        <v>3.6</v>
      </c>
      <c r="AB35" s="22">
        <v>3.77</v>
      </c>
      <c r="AC35" s="22">
        <v>0</v>
      </c>
      <c r="AD35" s="22">
        <v>7.8</v>
      </c>
      <c r="AE35" s="22">
        <v>5.5</v>
      </c>
      <c r="AF35" s="22">
        <v>5.2</v>
      </c>
      <c r="AG35" s="22">
        <v>7.32</v>
      </c>
      <c r="AH35" s="22">
        <v>0</v>
      </c>
      <c r="AI35" s="22"/>
      <c r="AJ35" s="22"/>
      <c r="AK35" s="22"/>
      <c r="AL35" s="22"/>
      <c r="AM35" s="22"/>
      <c r="AN35" s="27"/>
      <c r="AO35" s="38">
        <f t="shared" si="15"/>
        <v>3.6</v>
      </c>
      <c r="AP35" s="38">
        <f t="shared" si="16"/>
        <v>3.77</v>
      </c>
      <c r="AQ35" s="40">
        <f t="shared" si="17"/>
        <v>13.969999999999999</v>
      </c>
      <c r="AR35" s="40">
        <f t="shared" si="18"/>
        <v>5.2</v>
      </c>
      <c r="AS35" s="40">
        <f t="shared" si="19"/>
        <v>7.32</v>
      </c>
      <c r="AT35" s="40">
        <f t="shared" si="20"/>
        <v>25.82</v>
      </c>
      <c r="AU35" s="40">
        <f t="shared" si="21"/>
        <v>25.82</v>
      </c>
      <c r="AV35" s="40" t="str">
        <f t="shared" si="22"/>
        <v/>
      </c>
      <c r="AW35" s="40" t="str">
        <f t="shared" si="23"/>
        <v/>
      </c>
      <c r="AX35" s="40" t="str">
        <f t="shared" si="24"/>
        <v/>
      </c>
      <c r="AY35" s="40">
        <f t="shared" si="25"/>
        <v>25.82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 t="shared" si="26"/>
        <v/>
      </c>
      <c r="BQ35" s="39" t="str">
        <f t="shared" si="27"/>
        <v/>
      </c>
      <c r="BR35" s="11" t="str">
        <f t="shared" si="28"/>
        <v/>
      </c>
      <c r="BS35" s="11" t="str">
        <f t="shared" si="29"/>
        <v/>
      </c>
      <c r="BT35" s="11" t="str">
        <f t="shared" si="30"/>
        <v/>
      </c>
      <c r="BU35" s="11" t="str">
        <f t="shared" si="31"/>
        <v/>
      </c>
      <c r="BV35" s="11" t="str">
        <f t="shared" si="32"/>
        <v/>
      </c>
      <c r="BW35" s="11" t="str">
        <f t="shared" si="33"/>
        <v/>
      </c>
      <c r="BX35" s="11" t="str">
        <f t="shared" si="34"/>
        <v/>
      </c>
      <c r="BY35" s="11" t="str">
        <f t="shared" si="35"/>
        <v/>
      </c>
      <c r="BZ35" s="11" t="str">
        <f t="shared" si="36"/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 t="shared" si="37"/>
        <v/>
      </c>
      <c r="CR35" s="38" t="str">
        <f t="shared" si="38"/>
        <v/>
      </c>
      <c r="CS35" s="40" t="str">
        <f t="shared" si="39"/>
        <v/>
      </c>
      <c r="CT35" s="40" t="str">
        <f t="shared" si="40"/>
        <v/>
      </c>
      <c r="CU35" s="40" t="str">
        <f t="shared" si="41"/>
        <v/>
      </c>
      <c r="CV35" s="40" t="str">
        <f t="shared" si="42"/>
        <v/>
      </c>
      <c r="CW35" s="40" t="str">
        <f t="shared" si="43"/>
        <v/>
      </c>
      <c r="CX35" s="40" t="str">
        <f t="shared" si="44"/>
        <v/>
      </c>
      <c r="CY35" s="40" t="str">
        <f t="shared" si="45"/>
        <v/>
      </c>
      <c r="CZ35" s="40" t="str">
        <f t="shared" si="46"/>
        <v/>
      </c>
      <c r="DA35" s="40" t="str">
        <f t="shared" si="47"/>
        <v/>
      </c>
      <c r="DB35" s="50" t="str">
        <f t="shared" si="48"/>
        <v/>
      </c>
      <c r="DC35" s="50" t="str">
        <f t="shared" si="49"/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 t="shared" si="50"/>
        <v/>
      </c>
      <c r="DY35" s="40" t="str">
        <f t="shared" si="51"/>
        <v/>
      </c>
      <c r="DZ35" s="40" t="str">
        <f t="shared" si="52"/>
        <v/>
      </c>
      <c r="EA35" s="40" t="str">
        <f t="shared" si="53"/>
        <v/>
      </c>
      <c r="EB35" s="40" t="str">
        <f t="shared" si="54"/>
        <v/>
      </c>
      <c r="EC35" s="40" t="str">
        <f t="shared" si="55"/>
        <v/>
      </c>
      <c r="ED35" s="40" t="str">
        <f t="shared" si="56"/>
        <v/>
      </c>
      <c r="EE35" s="40" t="str">
        <f t="shared" si="57"/>
        <v/>
      </c>
      <c r="EF35" s="40" t="str">
        <f t="shared" si="58"/>
        <v/>
      </c>
      <c r="EG35" s="40" t="str">
        <f t="shared" si="59"/>
        <v/>
      </c>
      <c r="EH35" s="40" t="str">
        <f t="shared" si="60"/>
        <v/>
      </c>
      <c r="EI35" s="40" t="str">
        <f t="shared" si="61"/>
        <v/>
      </c>
      <c r="EJ35" s="40" t="str">
        <f t="shared" si="62"/>
        <v/>
      </c>
      <c r="EK35" s="40" t="str">
        <f t="shared" si="63"/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 t="shared" si="64"/>
        <v/>
      </c>
      <c r="FG35" s="11" t="str">
        <f t="shared" si="65"/>
        <v/>
      </c>
      <c r="FH35" s="11" t="str">
        <f t="shared" si="66"/>
        <v/>
      </c>
      <c r="FI35" s="11" t="str">
        <f t="shared" si="67"/>
        <v/>
      </c>
      <c r="FJ35" s="11" t="str">
        <f t="shared" si="68"/>
        <v/>
      </c>
      <c r="FK35" s="11" t="str">
        <f t="shared" si="69"/>
        <v/>
      </c>
      <c r="FL35" s="11" t="str">
        <f t="shared" si="70"/>
        <v/>
      </c>
      <c r="FM35" s="11" t="str">
        <f t="shared" si="71"/>
        <v/>
      </c>
      <c r="FN35" s="11" t="str">
        <f t="shared" si="72"/>
        <v/>
      </c>
      <c r="FO35" s="11" t="str">
        <f t="shared" si="73"/>
        <v/>
      </c>
      <c r="FP35" s="11" t="str">
        <f t="shared" si="74"/>
        <v/>
      </c>
      <c r="FQ35" s="11" t="str">
        <f t="shared" si="75"/>
        <v/>
      </c>
      <c r="FR35" s="11" t="str">
        <f t="shared" si="76"/>
        <v/>
      </c>
      <c r="FS35" s="11" t="str">
        <f t="shared" si="77"/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 t="shared" si="78"/>
        <v/>
      </c>
      <c r="GO35" s="40" t="str">
        <f t="shared" si="79"/>
        <v/>
      </c>
      <c r="GP35" s="40" t="str">
        <f t="shared" si="80"/>
        <v/>
      </c>
      <c r="GQ35" s="40" t="str">
        <f t="shared" si="81"/>
        <v/>
      </c>
      <c r="GR35" s="40" t="str">
        <f t="shared" si="82"/>
        <v/>
      </c>
      <c r="GS35" s="40" t="str">
        <f t="shared" si="83"/>
        <v/>
      </c>
      <c r="GT35" s="40" t="str">
        <f t="shared" si="84"/>
        <v/>
      </c>
      <c r="GU35" s="40" t="str">
        <f t="shared" si="85"/>
        <v/>
      </c>
      <c r="GV35" s="40" t="str">
        <f t="shared" si="86"/>
        <v/>
      </c>
      <c r="GW35" s="40" t="str">
        <f t="shared" si="87"/>
        <v/>
      </c>
      <c r="GX35" s="40" t="str">
        <f t="shared" si="88"/>
        <v/>
      </c>
      <c r="GY35" s="40" t="str">
        <f t="shared" si="89"/>
        <v/>
      </c>
      <c r="GZ35" s="40" t="str">
        <f t="shared" si="90"/>
        <v/>
      </c>
      <c r="HA35" s="40" t="str">
        <f t="shared" si="91"/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 t="shared" si="92"/>
        <v/>
      </c>
      <c r="HW35" s="11" t="str">
        <f t="shared" si="93"/>
        <v/>
      </c>
      <c r="HX35" s="11" t="str">
        <f t="shared" si="94"/>
        <v/>
      </c>
      <c r="HY35" s="11" t="str">
        <f t="shared" si="95"/>
        <v/>
      </c>
      <c r="HZ35" s="11" t="str">
        <f t="shared" si="96"/>
        <v/>
      </c>
      <c r="IA35" s="11" t="str">
        <f t="shared" si="97"/>
        <v/>
      </c>
      <c r="IB35" s="11" t="str">
        <f t="shared" si="98"/>
        <v/>
      </c>
      <c r="IC35" s="11" t="str">
        <f t="shared" si="99"/>
        <v/>
      </c>
      <c r="ID35" s="11" t="str">
        <f t="shared" si="100"/>
        <v/>
      </c>
      <c r="IE35" s="11" t="str">
        <f t="shared" si="101"/>
        <v/>
      </c>
      <c r="IF35" s="11" t="str">
        <f t="shared" si="102"/>
        <v/>
      </c>
      <c r="IG35" s="11" t="str">
        <f t="shared" si="103"/>
        <v/>
      </c>
      <c r="IH35" s="11" t="str">
        <f t="shared" si="104"/>
        <v/>
      </c>
      <c r="II35" s="11" t="str">
        <f t="shared" si="105"/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 t="shared" si="106"/>
        <v/>
      </c>
      <c r="JE35" s="40" t="str">
        <f t="shared" si="107"/>
        <v/>
      </c>
      <c r="JF35" s="40" t="str">
        <f t="shared" si="108"/>
        <v/>
      </c>
      <c r="JG35" s="40" t="str">
        <f t="shared" si="109"/>
        <v/>
      </c>
      <c r="JH35" s="40" t="str">
        <f t="shared" si="110"/>
        <v/>
      </c>
      <c r="JI35" s="40" t="str">
        <f t="shared" si="111"/>
        <v/>
      </c>
      <c r="JJ35" s="40" t="str">
        <f t="shared" si="112"/>
        <v/>
      </c>
      <c r="JK35" s="40" t="str">
        <f t="shared" si="113"/>
        <v/>
      </c>
      <c r="JL35" s="40" t="str">
        <f t="shared" si="114"/>
        <v/>
      </c>
      <c r="JM35" s="40" t="str">
        <f t="shared" si="115"/>
        <v/>
      </c>
      <c r="JN35" s="40" t="str">
        <f t="shared" si="116"/>
        <v/>
      </c>
      <c r="JO35" s="40" t="str">
        <f t="shared" si="117"/>
        <v/>
      </c>
      <c r="JP35" s="40" t="str">
        <f t="shared" si="118"/>
        <v/>
      </c>
      <c r="JQ35" s="40" t="str">
        <f t="shared" si="119"/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 t="shared" si="120"/>
        <v/>
      </c>
      <c r="KM35" s="11" t="str">
        <f t="shared" si="121"/>
        <v/>
      </c>
      <c r="KN35" s="11" t="str">
        <f t="shared" si="122"/>
        <v/>
      </c>
      <c r="KO35" s="11" t="str">
        <f t="shared" si="123"/>
        <v/>
      </c>
      <c r="KP35" s="11" t="str">
        <f t="shared" si="124"/>
        <v/>
      </c>
      <c r="KQ35" s="11" t="str">
        <f t="shared" si="125"/>
        <v/>
      </c>
      <c r="KR35" s="11" t="str">
        <f t="shared" si="126"/>
        <v/>
      </c>
      <c r="KS35" s="11" t="str">
        <f t="shared" si="127"/>
        <v/>
      </c>
      <c r="KT35" s="11" t="str">
        <f t="shared" si="128"/>
        <v/>
      </c>
      <c r="KU35" s="11" t="str">
        <f t="shared" si="129"/>
        <v/>
      </c>
      <c r="KV35" s="11" t="str">
        <f t="shared" si="130"/>
        <v/>
      </c>
      <c r="KW35" s="11" t="str">
        <f t="shared" si="131"/>
        <v/>
      </c>
      <c r="KX35" s="11" t="str">
        <f t="shared" si="132"/>
        <v/>
      </c>
      <c r="KY35" s="11" t="str">
        <f t="shared" si="133"/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 t="shared" si="134"/>
        <v/>
      </c>
      <c r="LU35" s="40" t="str">
        <f t="shared" si="135"/>
        <v/>
      </c>
      <c r="LV35" s="40" t="str">
        <f t="shared" si="136"/>
        <v/>
      </c>
      <c r="LW35" s="40" t="str">
        <f t="shared" si="137"/>
        <v/>
      </c>
      <c r="LX35" s="40" t="str">
        <f t="shared" si="138"/>
        <v/>
      </c>
      <c r="LY35" s="40" t="str">
        <f t="shared" si="139"/>
        <v/>
      </c>
      <c r="LZ35" s="40" t="str">
        <f t="shared" si="140"/>
        <v/>
      </c>
      <c r="MA35" s="40" t="str">
        <f t="shared" si="141"/>
        <v/>
      </c>
      <c r="MB35" s="40" t="str">
        <f t="shared" si="142"/>
        <v/>
      </c>
      <c r="MC35" s="40" t="str">
        <f t="shared" si="143"/>
        <v/>
      </c>
      <c r="MD35" s="40" t="str">
        <f t="shared" si="144"/>
        <v/>
      </c>
      <c r="ME35" s="40" t="str">
        <f t="shared" si="145"/>
        <v/>
      </c>
      <c r="MF35" s="40" t="str">
        <f t="shared" si="146"/>
        <v/>
      </c>
      <c r="MG35" s="40" t="str">
        <f t="shared" si="147"/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 t="shared" si="148"/>
        <v/>
      </c>
      <c r="NC35" s="11" t="str">
        <f t="shared" si="149"/>
        <v/>
      </c>
      <c r="ND35" s="11" t="str">
        <f t="shared" si="150"/>
        <v/>
      </c>
      <c r="NE35" s="11" t="str">
        <f t="shared" si="151"/>
        <v/>
      </c>
      <c r="NF35" s="11" t="str">
        <f t="shared" si="152"/>
        <v/>
      </c>
      <c r="NG35" s="11" t="str">
        <f t="shared" si="153"/>
        <v/>
      </c>
      <c r="NH35" s="11" t="str">
        <f t="shared" si="154"/>
        <v/>
      </c>
      <c r="NI35" s="11" t="str">
        <f t="shared" si="155"/>
        <v/>
      </c>
      <c r="NJ35" s="11" t="str">
        <f t="shared" si="156"/>
        <v/>
      </c>
      <c r="NK35" s="11" t="str">
        <f t="shared" si="157"/>
        <v/>
      </c>
      <c r="NL35" s="11" t="str">
        <f t="shared" si="158"/>
        <v/>
      </c>
      <c r="NM35" s="11" t="str">
        <f t="shared" si="159"/>
        <v/>
      </c>
      <c r="NN35" s="11" t="str">
        <f t="shared" si="160"/>
        <v/>
      </c>
      <c r="NO35" s="11" t="str">
        <f t="shared" si="161"/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 t="shared" si="162"/>
        <v/>
      </c>
      <c r="OK35" s="40" t="str">
        <f t="shared" si="163"/>
        <v/>
      </c>
      <c r="OL35" s="40" t="str">
        <f t="shared" si="164"/>
        <v/>
      </c>
      <c r="OM35" s="40" t="str">
        <f t="shared" si="165"/>
        <v/>
      </c>
      <c r="ON35" s="40" t="str">
        <f t="shared" si="166"/>
        <v/>
      </c>
      <c r="OO35" s="40" t="str">
        <f t="shared" si="167"/>
        <v/>
      </c>
      <c r="OP35" s="40" t="str">
        <f t="shared" si="168"/>
        <v/>
      </c>
      <c r="OQ35" s="40" t="str">
        <f t="shared" si="169"/>
        <v/>
      </c>
      <c r="OR35" s="40" t="str">
        <f t="shared" si="170"/>
        <v/>
      </c>
      <c r="OS35" s="40" t="str">
        <f t="shared" si="171"/>
        <v/>
      </c>
      <c r="OT35" s="40" t="str">
        <f t="shared" si="172"/>
        <v/>
      </c>
      <c r="OU35" s="40" t="str">
        <f t="shared" si="173"/>
        <v/>
      </c>
      <c r="OV35" s="40" t="str">
        <f t="shared" si="174"/>
        <v/>
      </c>
      <c r="OW35" s="40" t="str">
        <f t="shared" si="175"/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 t="shared" si="176"/>
        <v/>
      </c>
      <c r="PS35" s="11" t="str">
        <f t="shared" si="177"/>
        <v/>
      </c>
      <c r="PT35" s="11" t="str">
        <f t="shared" si="178"/>
        <v/>
      </c>
      <c r="PU35" s="11" t="str">
        <f t="shared" si="179"/>
        <v/>
      </c>
      <c r="PV35" s="11" t="str">
        <f t="shared" si="180"/>
        <v/>
      </c>
      <c r="PW35" s="11" t="str">
        <f t="shared" si="181"/>
        <v/>
      </c>
      <c r="PX35" s="11" t="str">
        <f t="shared" si="182"/>
        <v/>
      </c>
      <c r="PY35" s="11" t="str">
        <f t="shared" si="183"/>
        <v/>
      </c>
      <c r="PZ35" s="11" t="str">
        <f t="shared" si="184"/>
        <v/>
      </c>
      <c r="QA35" s="11" t="str">
        <f t="shared" si="185"/>
        <v/>
      </c>
      <c r="QB35" s="11" t="str">
        <f t="shared" si="186"/>
        <v/>
      </c>
      <c r="QC35" s="11" t="str">
        <f t="shared" si="187"/>
        <v/>
      </c>
      <c r="QD35" s="11" t="str">
        <f t="shared" si="188"/>
        <v/>
      </c>
      <c r="QE35" s="11" t="str">
        <f t="shared" si="189"/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 t="shared" si="190"/>
        <v/>
      </c>
      <c r="RA35" s="40" t="str">
        <f t="shared" si="191"/>
        <v/>
      </c>
      <c r="RB35" s="40" t="str">
        <f t="shared" si="192"/>
        <v/>
      </c>
      <c r="RC35" s="40" t="str">
        <f t="shared" si="193"/>
        <v/>
      </c>
      <c r="RD35" s="40" t="str">
        <f t="shared" si="194"/>
        <v/>
      </c>
      <c r="RE35" s="40" t="str">
        <f t="shared" si="195"/>
        <v/>
      </c>
      <c r="RF35" s="40" t="str">
        <f t="shared" si="196"/>
        <v/>
      </c>
      <c r="RG35" s="40" t="str">
        <f t="shared" si="197"/>
        <v/>
      </c>
      <c r="RH35" s="40" t="str">
        <f t="shared" si="198"/>
        <v/>
      </c>
      <c r="RI35" s="40" t="str">
        <f t="shared" si="199"/>
        <v/>
      </c>
      <c r="RJ35" s="40" t="str">
        <f t="shared" si="200"/>
        <v/>
      </c>
      <c r="RK35" s="40" t="str">
        <f t="shared" si="201"/>
        <v/>
      </c>
      <c r="RL35" s="40" t="str">
        <f t="shared" si="202"/>
        <v/>
      </c>
      <c r="RM35" s="40" t="str">
        <f t="shared" si="203"/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 t="shared" si="204"/>
        <v/>
      </c>
      <c r="SI35" s="11" t="str">
        <f t="shared" si="205"/>
        <v/>
      </c>
      <c r="SJ35" s="11" t="str">
        <f t="shared" si="206"/>
        <v/>
      </c>
      <c r="SK35" s="11" t="str">
        <f t="shared" si="207"/>
        <v/>
      </c>
      <c r="SL35" s="11" t="str">
        <f t="shared" si="208"/>
        <v/>
      </c>
      <c r="SM35" s="11" t="str">
        <f t="shared" si="209"/>
        <v/>
      </c>
      <c r="SN35" s="11" t="str">
        <f t="shared" si="210"/>
        <v/>
      </c>
      <c r="SO35" s="11" t="str">
        <f t="shared" si="211"/>
        <v/>
      </c>
      <c r="SP35" s="11" t="str">
        <f t="shared" si="212"/>
        <v/>
      </c>
      <c r="SQ35" s="11" t="str">
        <f t="shared" si="213"/>
        <v/>
      </c>
      <c r="SR35" s="11" t="str">
        <f t="shared" si="214"/>
        <v/>
      </c>
      <c r="SS35" s="11" t="str">
        <f t="shared" si="215"/>
        <v/>
      </c>
      <c r="ST35" s="11" t="str">
        <f t="shared" si="216"/>
        <v/>
      </c>
      <c r="SU35" s="11" t="str">
        <f t="shared" si="217"/>
        <v/>
      </c>
      <c r="SV35" s="22">
        <f t="shared" si="218"/>
        <v>0</v>
      </c>
      <c r="SW35" s="22">
        <f t="shared" si="219"/>
        <v>0</v>
      </c>
      <c r="SX35" s="22">
        <f t="shared" si="220"/>
        <v>0</v>
      </c>
      <c r="SY35" s="22">
        <f t="shared" si="221"/>
        <v>0</v>
      </c>
      <c r="SZ35" s="22">
        <f t="shared" si="222"/>
        <v>0</v>
      </c>
      <c r="TA35" s="22">
        <f t="shared" si="223"/>
        <v>0</v>
      </c>
      <c r="TB35" s="22">
        <f t="shared" si="224"/>
        <v>0</v>
      </c>
      <c r="TC35" s="22">
        <f t="shared" si="225"/>
        <v>0</v>
      </c>
      <c r="TD35" s="22">
        <f t="shared" si="226"/>
        <v>0</v>
      </c>
      <c r="TE35" s="22">
        <f t="shared" si="227"/>
        <v>0</v>
      </c>
      <c r="TF35" s="22">
        <f t="shared" si="228"/>
        <v>0</v>
      </c>
      <c r="TG35" s="22">
        <f t="shared" si="229"/>
        <v>0</v>
      </c>
      <c r="TH35" s="22">
        <f t="shared" si="230"/>
        <v>0</v>
      </c>
      <c r="TI35" s="22">
        <f t="shared" si="231"/>
        <v>0</v>
      </c>
      <c r="TJ35" s="22">
        <f t="shared" si="232"/>
        <v>0</v>
      </c>
      <c r="TK35" s="27" t="s">
        <v>46</v>
      </c>
      <c r="TL35" s="40" t="str">
        <f t="shared" si="233"/>
        <v/>
      </c>
      <c r="TM35" s="40" t="str">
        <f t="shared" si="234"/>
        <v/>
      </c>
      <c r="TN35" s="40" t="str">
        <f t="shared" si="235"/>
        <v/>
      </c>
      <c r="TO35" s="40" t="str">
        <f t="shared" si="236"/>
        <v/>
      </c>
      <c r="TP35" s="40" t="str">
        <f t="shared" si="237"/>
        <v/>
      </c>
      <c r="TQ35" s="40" t="str">
        <f t="shared" si="238"/>
        <v/>
      </c>
      <c r="TR35" s="40" t="str">
        <f t="shared" si="239"/>
        <v/>
      </c>
      <c r="TS35" s="40" t="str">
        <f t="shared" si="240"/>
        <v/>
      </c>
      <c r="TT35" s="40" t="str">
        <f t="shared" si="241"/>
        <v/>
      </c>
      <c r="TU35" s="40" t="str">
        <f t="shared" si="242"/>
        <v/>
      </c>
      <c r="TV35" s="40" t="str">
        <f t="shared" si="243"/>
        <v/>
      </c>
    </row>
    <row r="36" spans="1:542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225</v>
      </c>
      <c r="D36" s="4" t="s">
        <v>180</v>
      </c>
      <c r="E36" s="4">
        <v>2007</v>
      </c>
      <c r="F36" s="9">
        <f t="shared" si="0"/>
        <v>43.110004311001958</v>
      </c>
      <c r="G36" s="66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IF(COUNT(AQ36,AT36,BR36,BU36,CS36,CV36)&gt;0,LARGE((AQ36,AT36,BR36,BU36,CS36,CV36),1),0)</f>
        <v>19.579999999999998</v>
      </c>
      <c r="M36" s="8" t="str">
        <f t="shared" si="5"/>
        <v>2024 Elite Canada</v>
      </c>
      <c r="N36" s="8">
        <f>IF(COUNT(AQ36,AT36,BR36,BU36,CS36,CV36)&gt;1,LARGE((AQ36,AT36,BR36,BU36,CS36,CV36),2),0)</f>
        <v>18.93</v>
      </c>
      <c r="O36" s="8" t="str">
        <f t="shared" si="6"/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 t="shared" si="7"/>
        <v/>
      </c>
      <c r="R36" s="8">
        <f t="shared" si="8"/>
        <v>4.5999999999999996</v>
      </c>
      <c r="S36" s="8" t="str">
        <f t="shared" si="9"/>
        <v>2024 Elite Canada</v>
      </c>
      <c r="T36" s="8">
        <f t="shared" si="10"/>
        <v>0</v>
      </c>
      <c r="U36" s="8" t="str">
        <f t="shared" si="11"/>
        <v/>
      </c>
      <c r="V36" s="8" t="str">
        <f t="shared" si="12"/>
        <v/>
      </c>
      <c r="W36" s="11" t="str">
        <f t="shared" si="13"/>
        <v/>
      </c>
      <c r="X36" s="8" t="str">
        <f t="shared" si="14"/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 t="shared" si="15"/>
        <v/>
      </c>
      <c r="AP36" s="38" t="str">
        <f t="shared" si="16"/>
        <v/>
      </c>
      <c r="AQ36" s="40" t="str">
        <f t="shared" si="17"/>
        <v/>
      </c>
      <c r="AR36" s="40" t="str">
        <f t="shared" si="18"/>
        <v/>
      </c>
      <c r="AS36" s="40" t="str">
        <f t="shared" si="19"/>
        <v/>
      </c>
      <c r="AT36" s="40" t="str">
        <f t="shared" si="20"/>
        <v/>
      </c>
      <c r="AU36" s="40" t="str">
        <f t="shared" si="21"/>
        <v/>
      </c>
      <c r="AV36" s="40" t="str">
        <f t="shared" si="22"/>
        <v/>
      </c>
      <c r="AW36" s="40" t="str">
        <f t="shared" si="23"/>
        <v/>
      </c>
      <c r="AX36" s="40" t="str">
        <f t="shared" si="24"/>
        <v/>
      </c>
      <c r="AY36" s="40" t="str">
        <f t="shared" si="25"/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 t="shared" si="26"/>
        <v/>
      </c>
      <c r="BQ36" s="39" t="str">
        <f t="shared" si="27"/>
        <v/>
      </c>
      <c r="BR36" s="11" t="str">
        <f t="shared" si="28"/>
        <v/>
      </c>
      <c r="BS36" s="11" t="str">
        <f t="shared" si="29"/>
        <v/>
      </c>
      <c r="BT36" s="11" t="str">
        <f t="shared" si="30"/>
        <v/>
      </c>
      <c r="BU36" s="11" t="str">
        <f t="shared" si="31"/>
        <v/>
      </c>
      <c r="BV36" s="11" t="str">
        <f t="shared" si="32"/>
        <v/>
      </c>
      <c r="BW36" s="11" t="str">
        <f t="shared" si="33"/>
        <v/>
      </c>
      <c r="BX36" s="11" t="str">
        <f t="shared" si="34"/>
        <v/>
      </c>
      <c r="BY36" s="11" t="str">
        <f t="shared" si="35"/>
        <v/>
      </c>
      <c r="BZ36" s="11" t="str">
        <f t="shared" si="36"/>
        <v/>
      </c>
      <c r="CA36" s="22">
        <v>5.9</v>
      </c>
      <c r="CB36" s="22">
        <v>3.3</v>
      </c>
      <c r="CC36" s="22">
        <v>4.5999999999999996</v>
      </c>
      <c r="CD36" s="22">
        <v>5.13</v>
      </c>
      <c r="CE36" s="22">
        <v>0</v>
      </c>
      <c r="CF36" s="22">
        <v>6</v>
      </c>
      <c r="CG36" s="22">
        <v>3.7</v>
      </c>
      <c r="CH36" s="22">
        <v>4.5999999999999996</v>
      </c>
      <c r="CI36" s="22">
        <v>5.28</v>
      </c>
      <c r="CJ36" s="22">
        <v>0</v>
      </c>
      <c r="CK36" s="22"/>
      <c r="CL36" s="22"/>
      <c r="CM36" s="22"/>
      <c r="CN36" s="22"/>
      <c r="CO36" s="22"/>
      <c r="CP36" s="27"/>
      <c r="CQ36" s="38">
        <f t="shared" si="37"/>
        <v>4.5999999999999996</v>
      </c>
      <c r="CR36" s="38">
        <f t="shared" si="38"/>
        <v>5.13</v>
      </c>
      <c r="CS36" s="40">
        <f t="shared" si="39"/>
        <v>18.93</v>
      </c>
      <c r="CT36" s="40">
        <f t="shared" si="40"/>
        <v>4.5999999999999996</v>
      </c>
      <c r="CU36" s="40">
        <f t="shared" si="41"/>
        <v>5.28</v>
      </c>
      <c r="CV36" s="40">
        <f t="shared" si="42"/>
        <v>19.579999999999998</v>
      </c>
      <c r="CW36" s="40">
        <f t="shared" si="43"/>
        <v>19.579999999999998</v>
      </c>
      <c r="CX36" s="40" t="str">
        <f t="shared" si="44"/>
        <v/>
      </c>
      <c r="CY36" s="40" t="str">
        <f t="shared" si="45"/>
        <v/>
      </c>
      <c r="CZ36" s="40" t="str">
        <f t="shared" si="46"/>
        <v/>
      </c>
      <c r="DA36" s="40">
        <f t="shared" si="47"/>
        <v>19.579999999999998</v>
      </c>
      <c r="DB36" s="50" t="str">
        <f t="shared" si="48"/>
        <v/>
      </c>
      <c r="DC36" s="50" t="str">
        <f t="shared" si="49"/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 t="shared" si="50"/>
        <v/>
      </c>
      <c r="DY36" s="40" t="str">
        <f t="shared" si="51"/>
        <v/>
      </c>
      <c r="DZ36" s="40" t="str">
        <f t="shared" si="52"/>
        <v/>
      </c>
      <c r="EA36" s="40" t="str">
        <f t="shared" si="53"/>
        <v/>
      </c>
      <c r="EB36" s="40" t="str">
        <f t="shared" si="54"/>
        <v/>
      </c>
      <c r="EC36" s="40" t="str">
        <f t="shared" si="55"/>
        <v/>
      </c>
      <c r="ED36" s="40" t="str">
        <f t="shared" si="56"/>
        <v/>
      </c>
      <c r="EE36" s="40" t="str">
        <f t="shared" si="57"/>
        <v/>
      </c>
      <c r="EF36" s="40" t="str">
        <f t="shared" si="58"/>
        <v/>
      </c>
      <c r="EG36" s="40" t="str">
        <f t="shared" si="59"/>
        <v/>
      </c>
      <c r="EH36" s="40" t="str">
        <f t="shared" si="60"/>
        <v/>
      </c>
      <c r="EI36" s="40" t="str">
        <f t="shared" si="61"/>
        <v/>
      </c>
      <c r="EJ36" s="40" t="str">
        <f t="shared" si="62"/>
        <v/>
      </c>
      <c r="EK36" s="40" t="str">
        <f t="shared" si="63"/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 t="shared" si="64"/>
        <v/>
      </c>
      <c r="FG36" s="11" t="str">
        <f t="shared" si="65"/>
        <v/>
      </c>
      <c r="FH36" s="11" t="str">
        <f t="shared" si="66"/>
        <v/>
      </c>
      <c r="FI36" s="11" t="str">
        <f t="shared" si="67"/>
        <v/>
      </c>
      <c r="FJ36" s="11" t="str">
        <f t="shared" si="68"/>
        <v/>
      </c>
      <c r="FK36" s="11" t="str">
        <f t="shared" si="69"/>
        <v/>
      </c>
      <c r="FL36" s="11" t="str">
        <f t="shared" si="70"/>
        <v/>
      </c>
      <c r="FM36" s="11" t="str">
        <f t="shared" si="71"/>
        <v/>
      </c>
      <c r="FN36" s="11" t="str">
        <f t="shared" si="72"/>
        <v/>
      </c>
      <c r="FO36" s="11" t="str">
        <f t="shared" si="73"/>
        <v/>
      </c>
      <c r="FP36" s="11" t="str">
        <f t="shared" si="74"/>
        <v/>
      </c>
      <c r="FQ36" s="11" t="str">
        <f t="shared" si="75"/>
        <v/>
      </c>
      <c r="FR36" s="11" t="str">
        <f t="shared" si="76"/>
        <v/>
      </c>
      <c r="FS36" s="11" t="str">
        <f t="shared" si="77"/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 t="shared" si="78"/>
        <v/>
      </c>
      <c r="GO36" s="40" t="str">
        <f t="shared" si="79"/>
        <v/>
      </c>
      <c r="GP36" s="40" t="str">
        <f t="shared" si="80"/>
        <v/>
      </c>
      <c r="GQ36" s="40" t="str">
        <f t="shared" si="81"/>
        <v/>
      </c>
      <c r="GR36" s="40" t="str">
        <f t="shared" si="82"/>
        <v/>
      </c>
      <c r="GS36" s="40" t="str">
        <f t="shared" si="83"/>
        <v/>
      </c>
      <c r="GT36" s="40" t="str">
        <f t="shared" si="84"/>
        <v/>
      </c>
      <c r="GU36" s="40" t="str">
        <f t="shared" si="85"/>
        <v/>
      </c>
      <c r="GV36" s="40" t="str">
        <f t="shared" si="86"/>
        <v/>
      </c>
      <c r="GW36" s="40" t="str">
        <f t="shared" si="87"/>
        <v/>
      </c>
      <c r="GX36" s="40" t="str">
        <f t="shared" si="88"/>
        <v/>
      </c>
      <c r="GY36" s="40" t="str">
        <f t="shared" si="89"/>
        <v/>
      </c>
      <c r="GZ36" s="40" t="str">
        <f t="shared" si="90"/>
        <v/>
      </c>
      <c r="HA36" s="40" t="str">
        <f t="shared" si="91"/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 t="shared" si="92"/>
        <v/>
      </c>
      <c r="HW36" s="11" t="str">
        <f t="shared" si="93"/>
        <v/>
      </c>
      <c r="HX36" s="11" t="str">
        <f t="shared" si="94"/>
        <v/>
      </c>
      <c r="HY36" s="11" t="str">
        <f t="shared" si="95"/>
        <v/>
      </c>
      <c r="HZ36" s="11" t="str">
        <f t="shared" si="96"/>
        <v/>
      </c>
      <c r="IA36" s="11" t="str">
        <f t="shared" si="97"/>
        <v/>
      </c>
      <c r="IB36" s="11" t="str">
        <f t="shared" si="98"/>
        <v/>
      </c>
      <c r="IC36" s="11" t="str">
        <f t="shared" si="99"/>
        <v/>
      </c>
      <c r="ID36" s="11" t="str">
        <f t="shared" si="100"/>
        <v/>
      </c>
      <c r="IE36" s="11" t="str">
        <f t="shared" si="101"/>
        <v/>
      </c>
      <c r="IF36" s="11" t="str">
        <f t="shared" si="102"/>
        <v/>
      </c>
      <c r="IG36" s="11" t="str">
        <f t="shared" si="103"/>
        <v/>
      </c>
      <c r="IH36" s="11" t="str">
        <f t="shared" si="104"/>
        <v/>
      </c>
      <c r="II36" s="11" t="str">
        <f t="shared" si="105"/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 t="shared" si="106"/>
        <v/>
      </c>
      <c r="JE36" s="40" t="str">
        <f t="shared" si="107"/>
        <v/>
      </c>
      <c r="JF36" s="40" t="str">
        <f t="shared" si="108"/>
        <v/>
      </c>
      <c r="JG36" s="40" t="str">
        <f t="shared" si="109"/>
        <v/>
      </c>
      <c r="JH36" s="40" t="str">
        <f t="shared" si="110"/>
        <v/>
      </c>
      <c r="JI36" s="40" t="str">
        <f t="shared" si="111"/>
        <v/>
      </c>
      <c r="JJ36" s="40" t="str">
        <f t="shared" si="112"/>
        <v/>
      </c>
      <c r="JK36" s="40" t="str">
        <f t="shared" si="113"/>
        <v/>
      </c>
      <c r="JL36" s="40" t="str">
        <f t="shared" si="114"/>
        <v/>
      </c>
      <c r="JM36" s="40" t="str">
        <f t="shared" si="115"/>
        <v/>
      </c>
      <c r="JN36" s="40" t="str">
        <f t="shared" si="116"/>
        <v/>
      </c>
      <c r="JO36" s="40" t="str">
        <f t="shared" si="117"/>
        <v/>
      </c>
      <c r="JP36" s="40" t="str">
        <f t="shared" si="118"/>
        <v/>
      </c>
      <c r="JQ36" s="40" t="str">
        <f t="shared" si="119"/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 t="shared" si="120"/>
        <v/>
      </c>
      <c r="KM36" s="11" t="str">
        <f t="shared" si="121"/>
        <v/>
      </c>
      <c r="KN36" s="11" t="str">
        <f t="shared" si="122"/>
        <v/>
      </c>
      <c r="KO36" s="11" t="str">
        <f t="shared" si="123"/>
        <v/>
      </c>
      <c r="KP36" s="11" t="str">
        <f t="shared" si="124"/>
        <v/>
      </c>
      <c r="KQ36" s="11" t="str">
        <f t="shared" si="125"/>
        <v/>
      </c>
      <c r="KR36" s="11" t="str">
        <f t="shared" si="126"/>
        <v/>
      </c>
      <c r="KS36" s="11" t="str">
        <f t="shared" si="127"/>
        <v/>
      </c>
      <c r="KT36" s="11" t="str">
        <f t="shared" si="128"/>
        <v/>
      </c>
      <c r="KU36" s="11" t="str">
        <f t="shared" si="129"/>
        <v/>
      </c>
      <c r="KV36" s="11" t="str">
        <f t="shared" si="130"/>
        <v/>
      </c>
      <c r="KW36" s="11" t="str">
        <f t="shared" si="131"/>
        <v/>
      </c>
      <c r="KX36" s="11" t="str">
        <f t="shared" si="132"/>
        <v/>
      </c>
      <c r="KY36" s="11" t="str">
        <f t="shared" si="133"/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 t="shared" si="134"/>
        <v/>
      </c>
      <c r="LU36" s="40" t="str">
        <f t="shared" si="135"/>
        <v/>
      </c>
      <c r="LV36" s="40" t="str">
        <f t="shared" si="136"/>
        <v/>
      </c>
      <c r="LW36" s="40" t="str">
        <f t="shared" si="137"/>
        <v/>
      </c>
      <c r="LX36" s="40" t="str">
        <f t="shared" si="138"/>
        <v/>
      </c>
      <c r="LY36" s="40" t="str">
        <f t="shared" si="139"/>
        <v/>
      </c>
      <c r="LZ36" s="40" t="str">
        <f t="shared" si="140"/>
        <v/>
      </c>
      <c r="MA36" s="40" t="str">
        <f t="shared" si="141"/>
        <v/>
      </c>
      <c r="MB36" s="40" t="str">
        <f t="shared" si="142"/>
        <v/>
      </c>
      <c r="MC36" s="40" t="str">
        <f t="shared" si="143"/>
        <v/>
      </c>
      <c r="MD36" s="40" t="str">
        <f t="shared" si="144"/>
        <v/>
      </c>
      <c r="ME36" s="40" t="str">
        <f t="shared" si="145"/>
        <v/>
      </c>
      <c r="MF36" s="40" t="str">
        <f t="shared" si="146"/>
        <v/>
      </c>
      <c r="MG36" s="40" t="str">
        <f t="shared" si="147"/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 t="shared" si="148"/>
        <v/>
      </c>
      <c r="NC36" s="11" t="str">
        <f t="shared" si="149"/>
        <v/>
      </c>
      <c r="ND36" s="11" t="str">
        <f t="shared" si="150"/>
        <v/>
      </c>
      <c r="NE36" s="11" t="str">
        <f t="shared" si="151"/>
        <v/>
      </c>
      <c r="NF36" s="11" t="str">
        <f t="shared" si="152"/>
        <v/>
      </c>
      <c r="NG36" s="11" t="str">
        <f t="shared" si="153"/>
        <v/>
      </c>
      <c r="NH36" s="11" t="str">
        <f t="shared" si="154"/>
        <v/>
      </c>
      <c r="NI36" s="11" t="str">
        <f t="shared" si="155"/>
        <v/>
      </c>
      <c r="NJ36" s="11" t="str">
        <f t="shared" si="156"/>
        <v/>
      </c>
      <c r="NK36" s="11" t="str">
        <f t="shared" si="157"/>
        <v/>
      </c>
      <c r="NL36" s="11" t="str">
        <f t="shared" si="158"/>
        <v/>
      </c>
      <c r="NM36" s="11" t="str">
        <f t="shared" si="159"/>
        <v/>
      </c>
      <c r="NN36" s="11" t="str">
        <f t="shared" si="160"/>
        <v/>
      </c>
      <c r="NO36" s="11" t="str">
        <f t="shared" si="161"/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 t="shared" si="162"/>
        <v/>
      </c>
      <c r="OK36" s="40" t="str">
        <f t="shared" si="163"/>
        <v/>
      </c>
      <c r="OL36" s="40" t="str">
        <f t="shared" si="164"/>
        <v/>
      </c>
      <c r="OM36" s="40" t="str">
        <f t="shared" si="165"/>
        <v/>
      </c>
      <c r="ON36" s="40" t="str">
        <f t="shared" si="166"/>
        <v/>
      </c>
      <c r="OO36" s="40" t="str">
        <f t="shared" si="167"/>
        <v/>
      </c>
      <c r="OP36" s="40" t="str">
        <f t="shared" si="168"/>
        <v/>
      </c>
      <c r="OQ36" s="40" t="str">
        <f t="shared" si="169"/>
        <v/>
      </c>
      <c r="OR36" s="40" t="str">
        <f t="shared" si="170"/>
        <v/>
      </c>
      <c r="OS36" s="40" t="str">
        <f t="shared" si="171"/>
        <v/>
      </c>
      <c r="OT36" s="40" t="str">
        <f t="shared" si="172"/>
        <v/>
      </c>
      <c r="OU36" s="40" t="str">
        <f t="shared" si="173"/>
        <v/>
      </c>
      <c r="OV36" s="40" t="str">
        <f t="shared" si="174"/>
        <v/>
      </c>
      <c r="OW36" s="40" t="str">
        <f t="shared" si="175"/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 t="shared" si="176"/>
        <v/>
      </c>
      <c r="PS36" s="11" t="str">
        <f t="shared" si="177"/>
        <v/>
      </c>
      <c r="PT36" s="11" t="str">
        <f t="shared" si="178"/>
        <v/>
      </c>
      <c r="PU36" s="11" t="str">
        <f t="shared" si="179"/>
        <v/>
      </c>
      <c r="PV36" s="11" t="str">
        <f t="shared" si="180"/>
        <v/>
      </c>
      <c r="PW36" s="11" t="str">
        <f t="shared" si="181"/>
        <v/>
      </c>
      <c r="PX36" s="11" t="str">
        <f t="shared" si="182"/>
        <v/>
      </c>
      <c r="PY36" s="11" t="str">
        <f t="shared" si="183"/>
        <v/>
      </c>
      <c r="PZ36" s="11" t="str">
        <f t="shared" si="184"/>
        <v/>
      </c>
      <c r="QA36" s="11" t="str">
        <f t="shared" si="185"/>
        <v/>
      </c>
      <c r="QB36" s="11" t="str">
        <f t="shared" si="186"/>
        <v/>
      </c>
      <c r="QC36" s="11" t="str">
        <f t="shared" si="187"/>
        <v/>
      </c>
      <c r="QD36" s="11" t="str">
        <f t="shared" si="188"/>
        <v/>
      </c>
      <c r="QE36" s="11" t="str">
        <f t="shared" si="189"/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 t="shared" si="190"/>
        <v/>
      </c>
      <c r="RA36" s="40" t="str">
        <f t="shared" si="191"/>
        <v/>
      </c>
      <c r="RB36" s="40" t="str">
        <f t="shared" si="192"/>
        <v/>
      </c>
      <c r="RC36" s="40" t="str">
        <f t="shared" si="193"/>
        <v/>
      </c>
      <c r="RD36" s="40" t="str">
        <f t="shared" si="194"/>
        <v/>
      </c>
      <c r="RE36" s="40" t="str">
        <f t="shared" si="195"/>
        <v/>
      </c>
      <c r="RF36" s="40" t="str">
        <f t="shared" si="196"/>
        <v/>
      </c>
      <c r="RG36" s="40" t="str">
        <f t="shared" si="197"/>
        <v/>
      </c>
      <c r="RH36" s="40" t="str">
        <f t="shared" si="198"/>
        <v/>
      </c>
      <c r="RI36" s="40" t="str">
        <f t="shared" si="199"/>
        <v/>
      </c>
      <c r="RJ36" s="40" t="str">
        <f t="shared" si="200"/>
        <v/>
      </c>
      <c r="RK36" s="40" t="str">
        <f t="shared" si="201"/>
        <v/>
      </c>
      <c r="RL36" s="40" t="str">
        <f t="shared" si="202"/>
        <v/>
      </c>
      <c r="RM36" s="40" t="str">
        <f t="shared" si="203"/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 t="shared" si="204"/>
        <v/>
      </c>
      <c r="SI36" s="11" t="str">
        <f t="shared" si="205"/>
        <v/>
      </c>
      <c r="SJ36" s="11" t="str">
        <f t="shared" si="206"/>
        <v/>
      </c>
      <c r="SK36" s="11" t="str">
        <f t="shared" si="207"/>
        <v/>
      </c>
      <c r="SL36" s="11" t="str">
        <f t="shared" si="208"/>
        <v/>
      </c>
      <c r="SM36" s="11" t="str">
        <f t="shared" si="209"/>
        <v/>
      </c>
      <c r="SN36" s="11" t="str">
        <f t="shared" si="210"/>
        <v/>
      </c>
      <c r="SO36" s="11" t="str">
        <f t="shared" si="211"/>
        <v/>
      </c>
      <c r="SP36" s="11" t="str">
        <f t="shared" si="212"/>
        <v/>
      </c>
      <c r="SQ36" s="11" t="str">
        <f t="shared" si="213"/>
        <v/>
      </c>
      <c r="SR36" s="11" t="str">
        <f t="shared" si="214"/>
        <v/>
      </c>
      <c r="SS36" s="11" t="str">
        <f t="shared" si="215"/>
        <v/>
      </c>
      <c r="ST36" s="11" t="str">
        <f t="shared" si="216"/>
        <v/>
      </c>
      <c r="SU36" s="11" t="str">
        <f t="shared" si="217"/>
        <v/>
      </c>
      <c r="SV36" s="22">
        <f t="shared" si="218"/>
        <v>2.95</v>
      </c>
      <c r="SW36" s="22">
        <f t="shared" si="219"/>
        <v>1.65</v>
      </c>
      <c r="SX36" s="22">
        <f t="shared" si="220"/>
        <v>2.2999999999999998</v>
      </c>
      <c r="SY36" s="22">
        <f t="shared" si="221"/>
        <v>2.5649999999999999</v>
      </c>
      <c r="SZ36" s="22">
        <f t="shared" si="222"/>
        <v>0</v>
      </c>
      <c r="TA36" s="22">
        <f t="shared" si="223"/>
        <v>3</v>
      </c>
      <c r="TB36" s="22">
        <f t="shared" si="224"/>
        <v>1.85</v>
      </c>
      <c r="TC36" s="22">
        <f t="shared" si="225"/>
        <v>2.2999999999999998</v>
      </c>
      <c r="TD36" s="22">
        <f t="shared" si="226"/>
        <v>2.64</v>
      </c>
      <c r="TE36" s="22">
        <f t="shared" si="227"/>
        <v>0</v>
      </c>
      <c r="TF36" s="22">
        <f t="shared" si="228"/>
        <v>0</v>
      </c>
      <c r="TG36" s="22">
        <f t="shared" si="229"/>
        <v>0</v>
      </c>
      <c r="TH36" s="22">
        <f t="shared" si="230"/>
        <v>0</v>
      </c>
      <c r="TI36" s="22">
        <f t="shared" si="231"/>
        <v>0</v>
      </c>
      <c r="TJ36" s="22">
        <f t="shared" si="232"/>
        <v>0</v>
      </c>
      <c r="TK36" s="27" t="s">
        <v>46</v>
      </c>
      <c r="TL36" s="40">
        <f t="shared" si="233"/>
        <v>2.2999999999999998</v>
      </c>
      <c r="TM36" s="40">
        <f t="shared" si="234"/>
        <v>2.5649999999999999</v>
      </c>
      <c r="TN36" s="40">
        <f t="shared" si="235"/>
        <v>9.4649999999999999</v>
      </c>
      <c r="TO36" s="40">
        <f t="shared" si="236"/>
        <v>2.2999999999999998</v>
      </c>
      <c r="TP36" s="40">
        <f t="shared" si="237"/>
        <v>2.64</v>
      </c>
      <c r="TQ36" s="40">
        <f t="shared" si="238"/>
        <v>9.7899999999999991</v>
      </c>
      <c r="TR36" s="40">
        <f t="shared" si="239"/>
        <v>9.7899999999999991</v>
      </c>
      <c r="TS36" s="40" t="str">
        <f t="shared" si="240"/>
        <v/>
      </c>
      <c r="TT36" s="40" t="str">
        <f t="shared" si="241"/>
        <v/>
      </c>
      <c r="TU36" s="40" t="str">
        <f t="shared" si="242"/>
        <v/>
      </c>
      <c r="TV36" s="40">
        <f t="shared" si="243"/>
        <v>9.7899999999999991</v>
      </c>
    </row>
    <row r="37" spans="1:542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156</v>
      </c>
      <c r="D37" s="4" t="s">
        <v>31</v>
      </c>
      <c r="E37" s="4">
        <v>2006</v>
      </c>
      <c r="F37" s="9">
        <f t="shared" si="0"/>
        <v>33.950003395002334</v>
      </c>
      <c r="G37" s="66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IF(COUNT(AQ37,AT37,BR37,BU37,CS37,CV37)&gt;0,LARGE((AQ37,AT37,BR37,BU37,CS37,CV37),1),0)</f>
        <v>23.409999999999997</v>
      </c>
      <c r="M37" s="8" t="str">
        <f t="shared" si="5"/>
        <v>2024 Elite Canada</v>
      </c>
      <c r="N37" s="8">
        <f>IF(COUNT(AQ37,AT37,BR37,BU37,CS37,CV37)&gt;1,LARGE((AQ37,AT37,BR37,BU37,CS37,CV37),2),0)</f>
        <v>4.9400000000000004</v>
      </c>
      <c r="O37" s="8" t="str">
        <f t="shared" si="6"/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 t="shared" si="7"/>
        <v/>
      </c>
      <c r="R37" s="8">
        <f t="shared" si="8"/>
        <v>5.6</v>
      </c>
      <c r="S37" s="8" t="str">
        <f t="shared" si="9"/>
        <v>2024 Elite Canada</v>
      </c>
      <c r="T37" s="8">
        <f t="shared" si="10"/>
        <v>0</v>
      </c>
      <c r="U37" s="8" t="str">
        <f t="shared" si="11"/>
        <v/>
      </c>
      <c r="V37" s="8" t="str">
        <f t="shared" si="12"/>
        <v/>
      </c>
      <c r="W37" s="11" t="str">
        <f t="shared" si="13"/>
        <v/>
      </c>
      <c r="X37" s="8" t="str">
        <f t="shared" si="14"/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 t="shared" si="15"/>
        <v/>
      </c>
      <c r="AP37" s="38" t="str">
        <f t="shared" si="16"/>
        <v/>
      </c>
      <c r="AQ37" s="40" t="str">
        <f t="shared" si="17"/>
        <v/>
      </c>
      <c r="AR37" s="40" t="str">
        <f t="shared" si="18"/>
        <v/>
      </c>
      <c r="AS37" s="40" t="str">
        <f t="shared" si="19"/>
        <v/>
      </c>
      <c r="AT37" s="40" t="str">
        <f t="shared" si="20"/>
        <v/>
      </c>
      <c r="AU37" s="40" t="str">
        <f t="shared" si="21"/>
        <v/>
      </c>
      <c r="AV37" s="40" t="str">
        <f t="shared" si="22"/>
        <v/>
      </c>
      <c r="AW37" s="40" t="str">
        <f t="shared" si="23"/>
        <v/>
      </c>
      <c r="AX37" s="40" t="str">
        <f t="shared" si="24"/>
        <v/>
      </c>
      <c r="AY37" s="40" t="str">
        <f t="shared" si="25"/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 t="shared" si="26"/>
        <v/>
      </c>
      <c r="BQ37" s="39" t="str">
        <f t="shared" si="27"/>
        <v/>
      </c>
      <c r="BR37" s="11" t="str">
        <f t="shared" si="28"/>
        <v/>
      </c>
      <c r="BS37" s="11" t="str">
        <f t="shared" si="29"/>
        <v/>
      </c>
      <c r="BT37" s="11" t="str">
        <f t="shared" si="30"/>
        <v/>
      </c>
      <c r="BU37" s="11" t="str">
        <f t="shared" si="31"/>
        <v/>
      </c>
      <c r="BV37" s="11" t="str">
        <f t="shared" si="32"/>
        <v/>
      </c>
      <c r="BW37" s="11" t="str">
        <f t="shared" si="33"/>
        <v/>
      </c>
      <c r="BX37" s="11" t="str">
        <f t="shared" si="34"/>
        <v/>
      </c>
      <c r="BY37" s="11" t="str">
        <f t="shared" si="35"/>
        <v/>
      </c>
      <c r="BZ37" s="11" t="str">
        <f t="shared" si="36"/>
        <v/>
      </c>
      <c r="CA37" s="22">
        <v>1.2</v>
      </c>
      <c r="CB37" s="22">
        <v>0.9</v>
      </c>
      <c r="CC37" s="22">
        <v>1.5</v>
      </c>
      <c r="CD37" s="22">
        <v>1.34</v>
      </c>
      <c r="CE37" s="22">
        <v>0</v>
      </c>
      <c r="CF37" s="22">
        <v>6.6</v>
      </c>
      <c r="CG37" s="22">
        <v>4.5999999999999996</v>
      </c>
      <c r="CH37" s="22">
        <v>5.6</v>
      </c>
      <c r="CI37" s="22">
        <v>6.61</v>
      </c>
      <c r="CJ37" s="22">
        <v>0</v>
      </c>
      <c r="CK37" s="22"/>
      <c r="CL37" s="22"/>
      <c r="CM37" s="22"/>
      <c r="CN37" s="22"/>
      <c r="CO37" s="22"/>
      <c r="CP37" s="27"/>
      <c r="CQ37" s="38">
        <f t="shared" si="37"/>
        <v>1.5</v>
      </c>
      <c r="CR37" s="38">
        <f t="shared" si="38"/>
        <v>1.34</v>
      </c>
      <c r="CS37" s="40">
        <f t="shared" si="39"/>
        <v>4.9400000000000004</v>
      </c>
      <c r="CT37" s="40">
        <f t="shared" si="40"/>
        <v>5.6</v>
      </c>
      <c r="CU37" s="40">
        <f t="shared" si="41"/>
        <v>6.61</v>
      </c>
      <c r="CV37" s="40">
        <f t="shared" si="42"/>
        <v>23.409999999999997</v>
      </c>
      <c r="CW37" s="40">
        <f t="shared" si="43"/>
        <v>23.409999999999997</v>
      </c>
      <c r="CX37" s="40" t="str">
        <f t="shared" si="44"/>
        <v/>
      </c>
      <c r="CY37" s="40" t="str">
        <f t="shared" si="45"/>
        <v/>
      </c>
      <c r="CZ37" s="40" t="str">
        <f t="shared" si="46"/>
        <v/>
      </c>
      <c r="DA37" s="40">
        <f t="shared" si="47"/>
        <v>23.409999999999997</v>
      </c>
      <c r="DB37" s="50" t="str">
        <f t="shared" si="48"/>
        <v/>
      </c>
      <c r="DC37" s="50" t="str">
        <f t="shared" si="49"/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 t="shared" si="50"/>
        <v/>
      </c>
      <c r="DY37" s="40" t="str">
        <f t="shared" si="51"/>
        <v/>
      </c>
      <c r="DZ37" s="40" t="str">
        <f t="shared" si="52"/>
        <v/>
      </c>
      <c r="EA37" s="40" t="str">
        <f t="shared" si="53"/>
        <v/>
      </c>
      <c r="EB37" s="40" t="str">
        <f t="shared" si="54"/>
        <v/>
      </c>
      <c r="EC37" s="40" t="str">
        <f t="shared" si="55"/>
        <v/>
      </c>
      <c r="ED37" s="40" t="str">
        <f t="shared" si="56"/>
        <v/>
      </c>
      <c r="EE37" s="40" t="str">
        <f t="shared" si="57"/>
        <v/>
      </c>
      <c r="EF37" s="40" t="str">
        <f t="shared" si="58"/>
        <v/>
      </c>
      <c r="EG37" s="40" t="str">
        <f t="shared" si="59"/>
        <v/>
      </c>
      <c r="EH37" s="40" t="str">
        <f t="shared" si="60"/>
        <v/>
      </c>
      <c r="EI37" s="40" t="str">
        <f t="shared" si="61"/>
        <v/>
      </c>
      <c r="EJ37" s="40" t="str">
        <f t="shared" si="62"/>
        <v/>
      </c>
      <c r="EK37" s="40" t="str">
        <f t="shared" si="63"/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 t="shared" si="64"/>
        <v/>
      </c>
      <c r="FG37" s="11" t="str">
        <f t="shared" si="65"/>
        <v/>
      </c>
      <c r="FH37" s="11" t="str">
        <f t="shared" si="66"/>
        <v/>
      </c>
      <c r="FI37" s="11" t="str">
        <f t="shared" si="67"/>
        <v/>
      </c>
      <c r="FJ37" s="11" t="str">
        <f t="shared" si="68"/>
        <v/>
      </c>
      <c r="FK37" s="11" t="str">
        <f t="shared" si="69"/>
        <v/>
      </c>
      <c r="FL37" s="11" t="str">
        <f t="shared" si="70"/>
        <v/>
      </c>
      <c r="FM37" s="11" t="str">
        <f t="shared" si="71"/>
        <v/>
      </c>
      <c r="FN37" s="11" t="str">
        <f t="shared" si="72"/>
        <v/>
      </c>
      <c r="FO37" s="11" t="str">
        <f t="shared" si="73"/>
        <v/>
      </c>
      <c r="FP37" s="11" t="str">
        <f t="shared" si="74"/>
        <v/>
      </c>
      <c r="FQ37" s="11" t="str">
        <f t="shared" si="75"/>
        <v/>
      </c>
      <c r="FR37" s="11" t="str">
        <f t="shared" si="76"/>
        <v/>
      </c>
      <c r="FS37" s="11" t="str">
        <f t="shared" si="77"/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 t="shared" si="78"/>
        <v/>
      </c>
      <c r="GO37" s="40" t="str">
        <f t="shared" si="79"/>
        <v/>
      </c>
      <c r="GP37" s="40" t="str">
        <f t="shared" si="80"/>
        <v/>
      </c>
      <c r="GQ37" s="40" t="str">
        <f t="shared" si="81"/>
        <v/>
      </c>
      <c r="GR37" s="40" t="str">
        <f t="shared" si="82"/>
        <v/>
      </c>
      <c r="GS37" s="40" t="str">
        <f t="shared" si="83"/>
        <v/>
      </c>
      <c r="GT37" s="40" t="str">
        <f t="shared" si="84"/>
        <v/>
      </c>
      <c r="GU37" s="40" t="str">
        <f t="shared" si="85"/>
        <v/>
      </c>
      <c r="GV37" s="40" t="str">
        <f t="shared" si="86"/>
        <v/>
      </c>
      <c r="GW37" s="40" t="str">
        <f t="shared" si="87"/>
        <v/>
      </c>
      <c r="GX37" s="40" t="str">
        <f t="shared" si="88"/>
        <v/>
      </c>
      <c r="GY37" s="40" t="str">
        <f t="shared" si="89"/>
        <v/>
      </c>
      <c r="GZ37" s="40" t="str">
        <f t="shared" si="90"/>
        <v/>
      </c>
      <c r="HA37" s="40" t="str">
        <f t="shared" si="91"/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 t="shared" si="92"/>
        <v/>
      </c>
      <c r="HW37" s="11" t="str">
        <f t="shared" si="93"/>
        <v/>
      </c>
      <c r="HX37" s="11" t="str">
        <f t="shared" si="94"/>
        <v/>
      </c>
      <c r="HY37" s="11" t="str">
        <f t="shared" si="95"/>
        <v/>
      </c>
      <c r="HZ37" s="11" t="str">
        <f t="shared" si="96"/>
        <v/>
      </c>
      <c r="IA37" s="11" t="str">
        <f t="shared" si="97"/>
        <v/>
      </c>
      <c r="IB37" s="11" t="str">
        <f t="shared" si="98"/>
        <v/>
      </c>
      <c r="IC37" s="11" t="str">
        <f t="shared" si="99"/>
        <v/>
      </c>
      <c r="ID37" s="11" t="str">
        <f t="shared" si="100"/>
        <v/>
      </c>
      <c r="IE37" s="11" t="str">
        <f t="shared" si="101"/>
        <v/>
      </c>
      <c r="IF37" s="11" t="str">
        <f t="shared" si="102"/>
        <v/>
      </c>
      <c r="IG37" s="11" t="str">
        <f t="shared" si="103"/>
        <v/>
      </c>
      <c r="IH37" s="11" t="str">
        <f t="shared" si="104"/>
        <v/>
      </c>
      <c r="II37" s="11" t="str">
        <f t="shared" si="105"/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 t="shared" si="106"/>
        <v/>
      </c>
      <c r="JE37" s="40" t="str">
        <f t="shared" si="107"/>
        <v/>
      </c>
      <c r="JF37" s="40" t="str">
        <f t="shared" si="108"/>
        <v/>
      </c>
      <c r="JG37" s="40" t="str">
        <f t="shared" si="109"/>
        <v/>
      </c>
      <c r="JH37" s="40" t="str">
        <f t="shared" si="110"/>
        <v/>
      </c>
      <c r="JI37" s="40" t="str">
        <f t="shared" si="111"/>
        <v/>
      </c>
      <c r="JJ37" s="40" t="str">
        <f t="shared" si="112"/>
        <v/>
      </c>
      <c r="JK37" s="40" t="str">
        <f t="shared" si="113"/>
        <v/>
      </c>
      <c r="JL37" s="40" t="str">
        <f t="shared" si="114"/>
        <v/>
      </c>
      <c r="JM37" s="40" t="str">
        <f t="shared" si="115"/>
        <v/>
      </c>
      <c r="JN37" s="40" t="str">
        <f t="shared" si="116"/>
        <v/>
      </c>
      <c r="JO37" s="40" t="str">
        <f t="shared" si="117"/>
        <v/>
      </c>
      <c r="JP37" s="40" t="str">
        <f t="shared" si="118"/>
        <v/>
      </c>
      <c r="JQ37" s="40" t="str">
        <f t="shared" si="119"/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 t="shared" si="120"/>
        <v/>
      </c>
      <c r="KM37" s="11" t="str">
        <f t="shared" si="121"/>
        <v/>
      </c>
      <c r="KN37" s="11" t="str">
        <f t="shared" si="122"/>
        <v/>
      </c>
      <c r="KO37" s="11" t="str">
        <f t="shared" si="123"/>
        <v/>
      </c>
      <c r="KP37" s="11" t="str">
        <f t="shared" si="124"/>
        <v/>
      </c>
      <c r="KQ37" s="11" t="str">
        <f t="shared" si="125"/>
        <v/>
      </c>
      <c r="KR37" s="11" t="str">
        <f t="shared" si="126"/>
        <v/>
      </c>
      <c r="KS37" s="11" t="str">
        <f t="shared" si="127"/>
        <v/>
      </c>
      <c r="KT37" s="11" t="str">
        <f t="shared" si="128"/>
        <v/>
      </c>
      <c r="KU37" s="11" t="str">
        <f t="shared" si="129"/>
        <v/>
      </c>
      <c r="KV37" s="11" t="str">
        <f t="shared" si="130"/>
        <v/>
      </c>
      <c r="KW37" s="11" t="str">
        <f t="shared" si="131"/>
        <v/>
      </c>
      <c r="KX37" s="11" t="str">
        <f t="shared" si="132"/>
        <v/>
      </c>
      <c r="KY37" s="11" t="str">
        <f t="shared" si="133"/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 t="shared" si="134"/>
        <v/>
      </c>
      <c r="LU37" s="40" t="str">
        <f t="shared" si="135"/>
        <v/>
      </c>
      <c r="LV37" s="40" t="str">
        <f t="shared" si="136"/>
        <v/>
      </c>
      <c r="LW37" s="40" t="str">
        <f t="shared" si="137"/>
        <v/>
      </c>
      <c r="LX37" s="40" t="str">
        <f t="shared" si="138"/>
        <v/>
      </c>
      <c r="LY37" s="40" t="str">
        <f t="shared" si="139"/>
        <v/>
      </c>
      <c r="LZ37" s="40" t="str">
        <f t="shared" si="140"/>
        <v/>
      </c>
      <c r="MA37" s="40" t="str">
        <f t="shared" si="141"/>
        <v/>
      </c>
      <c r="MB37" s="40" t="str">
        <f t="shared" si="142"/>
        <v/>
      </c>
      <c r="MC37" s="40" t="str">
        <f t="shared" si="143"/>
        <v/>
      </c>
      <c r="MD37" s="40" t="str">
        <f t="shared" si="144"/>
        <v/>
      </c>
      <c r="ME37" s="40" t="str">
        <f t="shared" si="145"/>
        <v/>
      </c>
      <c r="MF37" s="40" t="str">
        <f t="shared" si="146"/>
        <v/>
      </c>
      <c r="MG37" s="40" t="str">
        <f t="shared" si="147"/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 t="shared" si="148"/>
        <v/>
      </c>
      <c r="NC37" s="11" t="str">
        <f t="shared" si="149"/>
        <v/>
      </c>
      <c r="ND37" s="11" t="str">
        <f t="shared" si="150"/>
        <v/>
      </c>
      <c r="NE37" s="11" t="str">
        <f t="shared" si="151"/>
        <v/>
      </c>
      <c r="NF37" s="11" t="str">
        <f t="shared" si="152"/>
        <v/>
      </c>
      <c r="NG37" s="11" t="str">
        <f t="shared" si="153"/>
        <v/>
      </c>
      <c r="NH37" s="11" t="str">
        <f t="shared" si="154"/>
        <v/>
      </c>
      <c r="NI37" s="11" t="str">
        <f t="shared" si="155"/>
        <v/>
      </c>
      <c r="NJ37" s="11" t="str">
        <f t="shared" si="156"/>
        <v/>
      </c>
      <c r="NK37" s="11" t="str">
        <f t="shared" si="157"/>
        <v/>
      </c>
      <c r="NL37" s="11" t="str">
        <f t="shared" si="158"/>
        <v/>
      </c>
      <c r="NM37" s="11" t="str">
        <f t="shared" si="159"/>
        <v/>
      </c>
      <c r="NN37" s="11" t="str">
        <f t="shared" si="160"/>
        <v/>
      </c>
      <c r="NO37" s="11" t="str">
        <f t="shared" si="161"/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 t="shared" si="162"/>
        <v/>
      </c>
      <c r="OK37" s="40" t="str">
        <f t="shared" si="163"/>
        <v/>
      </c>
      <c r="OL37" s="40" t="str">
        <f t="shared" si="164"/>
        <v/>
      </c>
      <c r="OM37" s="40" t="str">
        <f t="shared" si="165"/>
        <v/>
      </c>
      <c r="ON37" s="40" t="str">
        <f t="shared" si="166"/>
        <v/>
      </c>
      <c r="OO37" s="40" t="str">
        <f t="shared" si="167"/>
        <v/>
      </c>
      <c r="OP37" s="40" t="str">
        <f t="shared" si="168"/>
        <v/>
      </c>
      <c r="OQ37" s="40" t="str">
        <f t="shared" si="169"/>
        <v/>
      </c>
      <c r="OR37" s="40" t="str">
        <f t="shared" si="170"/>
        <v/>
      </c>
      <c r="OS37" s="40" t="str">
        <f t="shared" si="171"/>
        <v/>
      </c>
      <c r="OT37" s="40" t="str">
        <f t="shared" si="172"/>
        <v/>
      </c>
      <c r="OU37" s="40" t="str">
        <f t="shared" si="173"/>
        <v/>
      </c>
      <c r="OV37" s="40" t="str">
        <f t="shared" si="174"/>
        <v/>
      </c>
      <c r="OW37" s="40" t="str">
        <f t="shared" si="175"/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 t="shared" si="176"/>
        <v/>
      </c>
      <c r="PS37" s="11" t="str">
        <f t="shared" si="177"/>
        <v/>
      </c>
      <c r="PT37" s="11" t="str">
        <f t="shared" si="178"/>
        <v/>
      </c>
      <c r="PU37" s="11" t="str">
        <f t="shared" si="179"/>
        <v/>
      </c>
      <c r="PV37" s="11" t="str">
        <f t="shared" si="180"/>
        <v/>
      </c>
      <c r="PW37" s="11" t="str">
        <f t="shared" si="181"/>
        <v/>
      </c>
      <c r="PX37" s="11" t="str">
        <f t="shared" si="182"/>
        <v/>
      </c>
      <c r="PY37" s="11" t="str">
        <f t="shared" si="183"/>
        <v/>
      </c>
      <c r="PZ37" s="11" t="str">
        <f t="shared" si="184"/>
        <v/>
      </c>
      <c r="QA37" s="11" t="str">
        <f t="shared" si="185"/>
        <v/>
      </c>
      <c r="QB37" s="11" t="str">
        <f t="shared" si="186"/>
        <v/>
      </c>
      <c r="QC37" s="11" t="str">
        <f t="shared" si="187"/>
        <v/>
      </c>
      <c r="QD37" s="11" t="str">
        <f t="shared" si="188"/>
        <v/>
      </c>
      <c r="QE37" s="11" t="str">
        <f t="shared" si="189"/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 t="shared" si="190"/>
        <v/>
      </c>
      <c r="RA37" s="40" t="str">
        <f t="shared" si="191"/>
        <v/>
      </c>
      <c r="RB37" s="40" t="str">
        <f t="shared" si="192"/>
        <v/>
      </c>
      <c r="RC37" s="40" t="str">
        <f t="shared" si="193"/>
        <v/>
      </c>
      <c r="RD37" s="40" t="str">
        <f t="shared" si="194"/>
        <v/>
      </c>
      <c r="RE37" s="40" t="str">
        <f t="shared" si="195"/>
        <v/>
      </c>
      <c r="RF37" s="40" t="str">
        <f t="shared" si="196"/>
        <v/>
      </c>
      <c r="RG37" s="40" t="str">
        <f t="shared" si="197"/>
        <v/>
      </c>
      <c r="RH37" s="40" t="str">
        <f t="shared" si="198"/>
        <v/>
      </c>
      <c r="RI37" s="40" t="str">
        <f t="shared" si="199"/>
        <v/>
      </c>
      <c r="RJ37" s="40" t="str">
        <f t="shared" si="200"/>
        <v/>
      </c>
      <c r="RK37" s="40" t="str">
        <f t="shared" si="201"/>
        <v/>
      </c>
      <c r="RL37" s="40" t="str">
        <f t="shared" si="202"/>
        <v/>
      </c>
      <c r="RM37" s="40" t="str">
        <f t="shared" si="203"/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 t="shared" si="204"/>
        <v/>
      </c>
      <c r="SI37" s="11" t="str">
        <f t="shared" si="205"/>
        <v/>
      </c>
      <c r="SJ37" s="11" t="str">
        <f t="shared" si="206"/>
        <v/>
      </c>
      <c r="SK37" s="11" t="str">
        <f t="shared" si="207"/>
        <v/>
      </c>
      <c r="SL37" s="11" t="str">
        <f t="shared" si="208"/>
        <v/>
      </c>
      <c r="SM37" s="11" t="str">
        <f t="shared" si="209"/>
        <v/>
      </c>
      <c r="SN37" s="11" t="str">
        <f t="shared" si="210"/>
        <v/>
      </c>
      <c r="SO37" s="11" t="str">
        <f t="shared" si="211"/>
        <v/>
      </c>
      <c r="SP37" s="11" t="str">
        <f t="shared" si="212"/>
        <v/>
      </c>
      <c r="SQ37" s="11" t="str">
        <f t="shared" si="213"/>
        <v/>
      </c>
      <c r="SR37" s="11" t="str">
        <f t="shared" si="214"/>
        <v/>
      </c>
      <c r="SS37" s="11" t="str">
        <f t="shared" si="215"/>
        <v/>
      </c>
      <c r="ST37" s="11" t="str">
        <f t="shared" si="216"/>
        <v/>
      </c>
      <c r="SU37" s="11" t="str">
        <f t="shared" si="217"/>
        <v/>
      </c>
      <c r="SV37" s="22">
        <f t="shared" si="218"/>
        <v>0.6</v>
      </c>
      <c r="SW37" s="22">
        <f t="shared" si="219"/>
        <v>0.45</v>
      </c>
      <c r="SX37" s="22">
        <f t="shared" si="220"/>
        <v>0.75</v>
      </c>
      <c r="SY37" s="22">
        <f t="shared" si="221"/>
        <v>0.67</v>
      </c>
      <c r="SZ37" s="22">
        <f t="shared" si="222"/>
        <v>0</v>
      </c>
      <c r="TA37" s="22">
        <f t="shared" si="223"/>
        <v>3.3</v>
      </c>
      <c r="TB37" s="22">
        <f t="shared" si="224"/>
        <v>2.2999999999999998</v>
      </c>
      <c r="TC37" s="22">
        <f t="shared" si="225"/>
        <v>2.8</v>
      </c>
      <c r="TD37" s="22">
        <f t="shared" si="226"/>
        <v>3.3050000000000002</v>
      </c>
      <c r="TE37" s="22">
        <f t="shared" si="227"/>
        <v>0</v>
      </c>
      <c r="TF37" s="22">
        <f t="shared" si="228"/>
        <v>0</v>
      </c>
      <c r="TG37" s="22">
        <f t="shared" si="229"/>
        <v>0</v>
      </c>
      <c r="TH37" s="22">
        <f t="shared" si="230"/>
        <v>0</v>
      </c>
      <c r="TI37" s="22">
        <f t="shared" si="231"/>
        <v>0</v>
      </c>
      <c r="TJ37" s="22">
        <f t="shared" si="232"/>
        <v>0</v>
      </c>
      <c r="TK37" s="27" t="s">
        <v>46</v>
      </c>
      <c r="TL37" s="40">
        <f t="shared" si="233"/>
        <v>0.75</v>
      </c>
      <c r="TM37" s="40">
        <f t="shared" si="234"/>
        <v>0.67</v>
      </c>
      <c r="TN37" s="40">
        <f t="shared" si="235"/>
        <v>2.4700000000000002</v>
      </c>
      <c r="TO37" s="40">
        <f t="shared" si="236"/>
        <v>2.8</v>
      </c>
      <c r="TP37" s="40">
        <f t="shared" si="237"/>
        <v>3.3050000000000002</v>
      </c>
      <c r="TQ37" s="40">
        <f t="shared" si="238"/>
        <v>11.704999999999998</v>
      </c>
      <c r="TR37" s="40">
        <f t="shared" si="239"/>
        <v>11.704999999999998</v>
      </c>
      <c r="TS37" s="40" t="str">
        <f t="shared" si="240"/>
        <v/>
      </c>
      <c r="TT37" s="40" t="str">
        <f t="shared" si="241"/>
        <v/>
      </c>
      <c r="TU37" s="40" t="str">
        <f t="shared" si="242"/>
        <v/>
      </c>
      <c r="TV37" s="40">
        <f t="shared" si="243"/>
        <v>11.704999999999998</v>
      </c>
    </row>
    <row r="38" spans="1:542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226</v>
      </c>
      <c r="D38" s="4" t="s">
        <v>4</v>
      </c>
      <c r="E38" s="4">
        <v>2007</v>
      </c>
      <c r="F38" s="9">
        <f t="shared" si="0"/>
        <v>31.920003192001445</v>
      </c>
      <c r="G38" s="66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IF(COUNT(AQ38,AT38,BR38,BU38,CS38,CV38)&gt;0,LARGE((AQ38,AT38,BR38,BU38,CS38,CV38),1),0)</f>
        <v>14.430000000000001</v>
      </c>
      <c r="M38" s="8" t="str">
        <f t="shared" si="5"/>
        <v>2024 Elite Canada</v>
      </c>
      <c r="N38" s="8">
        <f>IF(COUNT(AQ38,AT38,BR38,BU38,CS38,CV38)&gt;1,LARGE((AQ38,AT38,BR38,BU38,CS38,CV38),2),0)</f>
        <v>14.19</v>
      </c>
      <c r="O38" s="8" t="str">
        <f t="shared" si="6"/>
        <v>2024 Elite Canada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 t="shared" si="7"/>
        <v/>
      </c>
      <c r="R38" s="8">
        <f t="shared" si="8"/>
        <v>3.3</v>
      </c>
      <c r="S38" s="8" t="str">
        <f t="shared" si="9"/>
        <v>2024 Elite Canada</v>
      </c>
      <c r="T38" s="8">
        <f t="shared" si="10"/>
        <v>0</v>
      </c>
      <c r="U38" s="8" t="str">
        <f t="shared" si="11"/>
        <v/>
      </c>
      <c r="V38" s="8" t="str">
        <f t="shared" si="12"/>
        <v/>
      </c>
      <c r="W38" s="11" t="str">
        <f t="shared" si="13"/>
        <v/>
      </c>
      <c r="X38" s="8" t="str">
        <f t="shared" si="14"/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 t="shared" si="15"/>
        <v/>
      </c>
      <c r="AP38" s="38" t="str">
        <f t="shared" si="16"/>
        <v/>
      </c>
      <c r="AQ38" s="40" t="str">
        <f t="shared" si="17"/>
        <v/>
      </c>
      <c r="AR38" s="40" t="str">
        <f t="shared" si="18"/>
        <v/>
      </c>
      <c r="AS38" s="40" t="str">
        <f t="shared" si="19"/>
        <v/>
      </c>
      <c r="AT38" s="40" t="str">
        <f t="shared" si="20"/>
        <v/>
      </c>
      <c r="AU38" s="40" t="str">
        <f t="shared" si="21"/>
        <v/>
      </c>
      <c r="AV38" s="40" t="str">
        <f t="shared" si="22"/>
        <v/>
      </c>
      <c r="AW38" s="40" t="str">
        <f t="shared" si="23"/>
        <v/>
      </c>
      <c r="AX38" s="40" t="str">
        <f t="shared" si="24"/>
        <v/>
      </c>
      <c r="AY38" s="40" t="str">
        <f t="shared" si="25"/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 t="shared" si="26"/>
        <v/>
      </c>
      <c r="BQ38" s="39" t="str">
        <f t="shared" si="27"/>
        <v/>
      </c>
      <c r="BR38" s="11" t="str">
        <f t="shared" si="28"/>
        <v/>
      </c>
      <c r="BS38" s="11" t="str">
        <f t="shared" si="29"/>
        <v/>
      </c>
      <c r="BT38" s="11" t="str">
        <f t="shared" si="30"/>
        <v/>
      </c>
      <c r="BU38" s="11" t="str">
        <f t="shared" si="31"/>
        <v/>
      </c>
      <c r="BV38" s="11" t="str">
        <f t="shared" si="32"/>
        <v/>
      </c>
      <c r="BW38" s="11" t="str">
        <f t="shared" si="33"/>
        <v/>
      </c>
      <c r="BX38" s="11" t="str">
        <f t="shared" si="34"/>
        <v/>
      </c>
      <c r="BY38" s="11" t="str">
        <f t="shared" si="35"/>
        <v/>
      </c>
      <c r="BZ38" s="11" t="str">
        <f t="shared" si="36"/>
        <v/>
      </c>
      <c r="CA38" s="22">
        <v>4.4000000000000004</v>
      </c>
      <c r="CB38" s="22">
        <v>2.9</v>
      </c>
      <c r="CC38" s="22">
        <v>2.9</v>
      </c>
      <c r="CD38" s="22">
        <v>4.2300000000000004</v>
      </c>
      <c r="CE38" s="22">
        <v>0</v>
      </c>
      <c r="CF38" s="22">
        <v>4</v>
      </c>
      <c r="CG38" s="22">
        <v>2.8</v>
      </c>
      <c r="CH38" s="22">
        <v>3.3</v>
      </c>
      <c r="CI38" s="22">
        <v>4.09</v>
      </c>
      <c r="CJ38" s="22">
        <v>0</v>
      </c>
      <c r="CK38" s="22"/>
      <c r="CL38" s="22"/>
      <c r="CM38" s="22"/>
      <c r="CN38" s="22"/>
      <c r="CO38" s="22"/>
      <c r="CP38" s="27"/>
      <c r="CQ38" s="38">
        <f t="shared" si="37"/>
        <v>2.9</v>
      </c>
      <c r="CR38" s="38">
        <f t="shared" si="38"/>
        <v>4.2300000000000004</v>
      </c>
      <c r="CS38" s="40">
        <f t="shared" si="39"/>
        <v>14.430000000000001</v>
      </c>
      <c r="CT38" s="40">
        <f t="shared" si="40"/>
        <v>3.3</v>
      </c>
      <c r="CU38" s="40">
        <f t="shared" si="41"/>
        <v>4.09</v>
      </c>
      <c r="CV38" s="40">
        <f t="shared" si="42"/>
        <v>14.19</v>
      </c>
      <c r="CW38" s="40">
        <f t="shared" si="43"/>
        <v>14.430000000000001</v>
      </c>
      <c r="CX38" s="40" t="str">
        <f t="shared" si="44"/>
        <v/>
      </c>
      <c r="CY38" s="40" t="str">
        <f t="shared" si="45"/>
        <v/>
      </c>
      <c r="CZ38" s="40" t="str">
        <f t="shared" si="46"/>
        <v/>
      </c>
      <c r="DA38" s="40">
        <f t="shared" si="47"/>
        <v>14.430000000000001</v>
      </c>
      <c r="DB38" s="50" t="str">
        <f t="shared" si="48"/>
        <v/>
      </c>
      <c r="DC38" s="50" t="str">
        <f t="shared" si="49"/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 t="shared" si="50"/>
        <v/>
      </c>
      <c r="DY38" s="40" t="str">
        <f t="shared" si="51"/>
        <v/>
      </c>
      <c r="DZ38" s="40" t="str">
        <f t="shared" si="52"/>
        <v/>
      </c>
      <c r="EA38" s="40" t="str">
        <f t="shared" si="53"/>
        <v/>
      </c>
      <c r="EB38" s="40" t="str">
        <f t="shared" si="54"/>
        <v/>
      </c>
      <c r="EC38" s="40" t="str">
        <f t="shared" si="55"/>
        <v/>
      </c>
      <c r="ED38" s="40" t="str">
        <f t="shared" si="56"/>
        <v/>
      </c>
      <c r="EE38" s="40" t="str">
        <f t="shared" si="57"/>
        <v/>
      </c>
      <c r="EF38" s="40" t="str">
        <f t="shared" si="58"/>
        <v/>
      </c>
      <c r="EG38" s="40" t="str">
        <f t="shared" si="59"/>
        <v/>
      </c>
      <c r="EH38" s="40" t="str">
        <f t="shared" si="60"/>
        <v/>
      </c>
      <c r="EI38" s="40" t="str">
        <f t="shared" si="61"/>
        <v/>
      </c>
      <c r="EJ38" s="40" t="str">
        <f t="shared" si="62"/>
        <v/>
      </c>
      <c r="EK38" s="40" t="str">
        <f t="shared" si="63"/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 t="shared" si="64"/>
        <v/>
      </c>
      <c r="FG38" s="11" t="str">
        <f t="shared" si="65"/>
        <v/>
      </c>
      <c r="FH38" s="11" t="str">
        <f t="shared" si="66"/>
        <v/>
      </c>
      <c r="FI38" s="11" t="str">
        <f t="shared" si="67"/>
        <v/>
      </c>
      <c r="FJ38" s="11" t="str">
        <f t="shared" si="68"/>
        <v/>
      </c>
      <c r="FK38" s="11" t="str">
        <f t="shared" si="69"/>
        <v/>
      </c>
      <c r="FL38" s="11" t="str">
        <f t="shared" si="70"/>
        <v/>
      </c>
      <c r="FM38" s="11" t="str">
        <f t="shared" si="71"/>
        <v/>
      </c>
      <c r="FN38" s="11" t="str">
        <f t="shared" si="72"/>
        <v/>
      </c>
      <c r="FO38" s="11" t="str">
        <f t="shared" si="73"/>
        <v/>
      </c>
      <c r="FP38" s="11" t="str">
        <f t="shared" si="74"/>
        <v/>
      </c>
      <c r="FQ38" s="11" t="str">
        <f t="shared" si="75"/>
        <v/>
      </c>
      <c r="FR38" s="11" t="str">
        <f t="shared" si="76"/>
        <v/>
      </c>
      <c r="FS38" s="11" t="str">
        <f t="shared" si="77"/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 t="shared" si="78"/>
        <v/>
      </c>
      <c r="GO38" s="40" t="str">
        <f t="shared" si="79"/>
        <v/>
      </c>
      <c r="GP38" s="40" t="str">
        <f t="shared" si="80"/>
        <v/>
      </c>
      <c r="GQ38" s="40" t="str">
        <f t="shared" si="81"/>
        <v/>
      </c>
      <c r="GR38" s="40" t="str">
        <f t="shared" si="82"/>
        <v/>
      </c>
      <c r="GS38" s="40" t="str">
        <f t="shared" si="83"/>
        <v/>
      </c>
      <c r="GT38" s="40" t="str">
        <f t="shared" si="84"/>
        <v/>
      </c>
      <c r="GU38" s="40" t="str">
        <f t="shared" si="85"/>
        <v/>
      </c>
      <c r="GV38" s="40" t="str">
        <f t="shared" si="86"/>
        <v/>
      </c>
      <c r="GW38" s="40" t="str">
        <f t="shared" si="87"/>
        <v/>
      </c>
      <c r="GX38" s="40" t="str">
        <f t="shared" si="88"/>
        <v/>
      </c>
      <c r="GY38" s="40" t="str">
        <f t="shared" si="89"/>
        <v/>
      </c>
      <c r="GZ38" s="40" t="str">
        <f t="shared" si="90"/>
        <v/>
      </c>
      <c r="HA38" s="40" t="str">
        <f t="shared" si="91"/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 t="shared" si="92"/>
        <v/>
      </c>
      <c r="HW38" s="11" t="str">
        <f t="shared" si="93"/>
        <v/>
      </c>
      <c r="HX38" s="11" t="str">
        <f t="shared" si="94"/>
        <v/>
      </c>
      <c r="HY38" s="11" t="str">
        <f t="shared" si="95"/>
        <v/>
      </c>
      <c r="HZ38" s="11" t="str">
        <f t="shared" si="96"/>
        <v/>
      </c>
      <c r="IA38" s="11" t="str">
        <f t="shared" si="97"/>
        <v/>
      </c>
      <c r="IB38" s="11" t="str">
        <f t="shared" si="98"/>
        <v/>
      </c>
      <c r="IC38" s="11" t="str">
        <f t="shared" si="99"/>
        <v/>
      </c>
      <c r="ID38" s="11" t="str">
        <f t="shared" si="100"/>
        <v/>
      </c>
      <c r="IE38" s="11" t="str">
        <f t="shared" si="101"/>
        <v/>
      </c>
      <c r="IF38" s="11" t="str">
        <f t="shared" si="102"/>
        <v/>
      </c>
      <c r="IG38" s="11" t="str">
        <f t="shared" si="103"/>
        <v/>
      </c>
      <c r="IH38" s="11" t="str">
        <f t="shared" si="104"/>
        <v/>
      </c>
      <c r="II38" s="11" t="str">
        <f t="shared" si="105"/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 t="shared" si="106"/>
        <v/>
      </c>
      <c r="JE38" s="40" t="str">
        <f t="shared" si="107"/>
        <v/>
      </c>
      <c r="JF38" s="40" t="str">
        <f t="shared" si="108"/>
        <v/>
      </c>
      <c r="JG38" s="40" t="str">
        <f t="shared" si="109"/>
        <v/>
      </c>
      <c r="JH38" s="40" t="str">
        <f t="shared" si="110"/>
        <v/>
      </c>
      <c r="JI38" s="40" t="str">
        <f t="shared" si="111"/>
        <v/>
      </c>
      <c r="JJ38" s="40" t="str">
        <f t="shared" si="112"/>
        <v/>
      </c>
      <c r="JK38" s="40" t="str">
        <f t="shared" si="113"/>
        <v/>
      </c>
      <c r="JL38" s="40" t="str">
        <f t="shared" si="114"/>
        <v/>
      </c>
      <c r="JM38" s="40" t="str">
        <f t="shared" si="115"/>
        <v/>
      </c>
      <c r="JN38" s="40" t="str">
        <f t="shared" si="116"/>
        <v/>
      </c>
      <c r="JO38" s="40" t="str">
        <f t="shared" si="117"/>
        <v/>
      </c>
      <c r="JP38" s="40" t="str">
        <f t="shared" si="118"/>
        <v/>
      </c>
      <c r="JQ38" s="40" t="str">
        <f t="shared" si="119"/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 t="shared" si="120"/>
        <v/>
      </c>
      <c r="KM38" s="11" t="str">
        <f t="shared" si="121"/>
        <v/>
      </c>
      <c r="KN38" s="11" t="str">
        <f t="shared" si="122"/>
        <v/>
      </c>
      <c r="KO38" s="11" t="str">
        <f t="shared" si="123"/>
        <v/>
      </c>
      <c r="KP38" s="11" t="str">
        <f t="shared" si="124"/>
        <v/>
      </c>
      <c r="KQ38" s="11" t="str">
        <f t="shared" si="125"/>
        <v/>
      </c>
      <c r="KR38" s="11" t="str">
        <f t="shared" si="126"/>
        <v/>
      </c>
      <c r="KS38" s="11" t="str">
        <f t="shared" si="127"/>
        <v/>
      </c>
      <c r="KT38" s="11" t="str">
        <f t="shared" si="128"/>
        <v/>
      </c>
      <c r="KU38" s="11" t="str">
        <f t="shared" si="129"/>
        <v/>
      </c>
      <c r="KV38" s="11" t="str">
        <f t="shared" si="130"/>
        <v/>
      </c>
      <c r="KW38" s="11" t="str">
        <f t="shared" si="131"/>
        <v/>
      </c>
      <c r="KX38" s="11" t="str">
        <f t="shared" si="132"/>
        <v/>
      </c>
      <c r="KY38" s="11" t="str">
        <f t="shared" si="133"/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 t="shared" si="134"/>
        <v/>
      </c>
      <c r="LU38" s="40" t="str">
        <f t="shared" si="135"/>
        <v/>
      </c>
      <c r="LV38" s="40" t="str">
        <f t="shared" si="136"/>
        <v/>
      </c>
      <c r="LW38" s="40" t="str">
        <f t="shared" si="137"/>
        <v/>
      </c>
      <c r="LX38" s="40" t="str">
        <f t="shared" si="138"/>
        <v/>
      </c>
      <c r="LY38" s="40" t="str">
        <f t="shared" si="139"/>
        <v/>
      </c>
      <c r="LZ38" s="40" t="str">
        <f t="shared" si="140"/>
        <v/>
      </c>
      <c r="MA38" s="40" t="str">
        <f t="shared" si="141"/>
        <v/>
      </c>
      <c r="MB38" s="40" t="str">
        <f t="shared" si="142"/>
        <v/>
      </c>
      <c r="MC38" s="40" t="str">
        <f t="shared" si="143"/>
        <v/>
      </c>
      <c r="MD38" s="40" t="str">
        <f t="shared" si="144"/>
        <v/>
      </c>
      <c r="ME38" s="40" t="str">
        <f t="shared" si="145"/>
        <v/>
      </c>
      <c r="MF38" s="40" t="str">
        <f t="shared" si="146"/>
        <v/>
      </c>
      <c r="MG38" s="40" t="str">
        <f t="shared" si="147"/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 t="shared" si="148"/>
        <v/>
      </c>
      <c r="NC38" s="11" t="str">
        <f t="shared" si="149"/>
        <v/>
      </c>
      <c r="ND38" s="11" t="str">
        <f t="shared" si="150"/>
        <v/>
      </c>
      <c r="NE38" s="11" t="str">
        <f t="shared" si="151"/>
        <v/>
      </c>
      <c r="NF38" s="11" t="str">
        <f t="shared" si="152"/>
        <v/>
      </c>
      <c r="NG38" s="11" t="str">
        <f t="shared" si="153"/>
        <v/>
      </c>
      <c r="NH38" s="11" t="str">
        <f t="shared" si="154"/>
        <v/>
      </c>
      <c r="NI38" s="11" t="str">
        <f t="shared" si="155"/>
        <v/>
      </c>
      <c r="NJ38" s="11" t="str">
        <f t="shared" si="156"/>
        <v/>
      </c>
      <c r="NK38" s="11" t="str">
        <f t="shared" si="157"/>
        <v/>
      </c>
      <c r="NL38" s="11" t="str">
        <f t="shared" si="158"/>
        <v/>
      </c>
      <c r="NM38" s="11" t="str">
        <f t="shared" si="159"/>
        <v/>
      </c>
      <c r="NN38" s="11" t="str">
        <f t="shared" si="160"/>
        <v/>
      </c>
      <c r="NO38" s="11" t="str">
        <f t="shared" si="161"/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 t="shared" si="162"/>
        <v/>
      </c>
      <c r="OK38" s="40" t="str">
        <f t="shared" si="163"/>
        <v/>
      </c>
      <c r="OL38" s="40" t="str">
        <f t="shared" si="164"/>
        <v/>
      </c>
      <c r="OM38" s="40" t="str">
        <f t="shared" si="165"/>
        <v/>
      </c>
      <c r="ON38" s="40" t="str">
        <f t="shared" si="166"/>
        <v/>
      </c>
      <c r="OO38" s="40" t="str">
        <f t="shared" si="167"/>
        <v/>
      </c>
      <c r="OP38" s="40" t="str">
        <f t="shared" si="168"/>
        <v/>
      </c>
      <c r="OQ38" s="40" t="str">
        <f t="shared" si="169"/>
        <v/>
      </c>
      <c r="OR38" s="40" t="str">
        <f t="shared" si="170"/>
        <v/>
      </c>
      <c r="OS38" s="40" t="str">
        <f t="shared" si="171"/>
        <v/>
      </c>
      <c r="OT38" s="40" t="str">
        <f t="shared" si="172"/>
        <v/>
      </c>
      <c r="OU38" s="40" t="str">
        <f t="shared" si="173"/>
        <v/>
      </c>
      <c r="OV38" s="40" t="str">
        <f t="shared" si="174"/>
        <v/>
      </c>
      <c r="OW38" s="40" t="str">
        <f t="shared" si="175"/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 t="shared" si="176"/>
        <v/>
      </c>
      <c r="PS38" s="11" t="str">
        <f t="shared" si="177"/>
        <v/>
      </c>
      <c r="PT38" s="11" t="str">
        <f t="shared" si="178"/>
        <v/>
      </c>
      <c r="PU38" s="11" t="str">
        <f t="shared" si="179"/>
        <v/>
      </c>
      <c r="PV38" s="11" t="str">
        <f t="shared" si="180"/>
        <v/>
      </c>
      <c r="PW38" s="11" t="str">
        <f t="shared" si="181"/>
        <v/>
      </c>
      <c r="PX38" s="11" t="str">
        <f t="shared" si="182"/>
        <v/>
      </c>
      <c r="PY38" s="11" t="str">
        <f t="shared" si="183"/>
        <v/>
      </c>
      <c r="PZ38" s="11" t="str">
        <f t="shared" si="184"/>
        <v/>
      </c>
      <c r="QA38" s="11" t="str">
        <f t="shared" si="185"/>
        <v/>
      </c>
      <c r="QB38" s="11" t="str">
        <f t="shared" si="186"/>
        <v/>
      </c>
      <c r="QC38" s="11" t="str">
        <f t="shared" si="187"/>
        <v/>
      </c>
      <c r="QD38" s="11" t="str">
        <f t="shared" si="188"/>
        <v/>
      </c>
      <c r="QE38" s="11" t="str">
        <f t="shared" si="189"/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 t="shared" si="190"/>
        <v/>
      </c>
      <c r="RA38" s="40" t="str">
        <f t="shared" si="191"/>
        <v/>
      </c>
      <c r="RB38" s="40" t="str">
        <f t="shared" si="192"/>
        <v/>
      </c>
      <c r="RC38" s="40" t="str">
        <f t="shared" si="193"/>
        <v/>
      </c>
      <c r="RD38" s="40" t="str">
        <f t="shared" si="194"/>
        <v/>
      </c>
      <c r="RE38" s="40" t="str">
        <f t="shared" si="195"/>
        <v/>
      </c>
      <c r="RF38" s="40" t="str">
        <f t="shared" si="196"/>
        <v/>
      </c>
      <c r="RG38" s="40" t="str">
        <f t="shared" si="197"/>
        <v/>
      </c>
      <c r="RH38" s="40" t="str">
        <f t="shared" si="198"/>
        <v/>
      </c>
      <c r="RI38" s="40" t="str">
        <f t="shared" si="199"/>
        <v/>
      </c>
      <c r="RJ38" s="40" t="str">
        <f t="shared" si="200"/>
        <v/>
      </c>
      <c r="RK38" s="40" t="str">
        <f t="shared" si="201"/>
        <v/>
      </c>
      <c r="RL38" s="40" t="str">
        <f t="shared" si="202"/>
        <v/>
      </c>
      <c r="RM38" s="40" t="str">
        <f t="shared" si="203"/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 t="shared" si="204"/>
        <v/>
      </c>
      <c r="SI38" s="11" t="str">
        <f t="shared" si="205"/>
        <v/>
      </c>
      <c r="SJ38" s="11" t="str">
        <f t="shared" si="206"/>
        <v/>
      </c>
      <c r="SK38" s="11" t="str">
        <f t="shared" si="207"/>
        <v/>
      </c>
      <c r="SL38" s="11" t="str">
        <f t="shared" si="208"/>
        <v/>
      </c>
      <c r="SM38" s="11" t="str">
        <f t="shared" si="209"/>
        <v/>
      </c>
      <c r="SN38" s="11" t="str">
        <f t="shared" si="210"/>
        <v/>
      </c>
      <c r="SO38" s="11" t="str">
        <f t="shared" si="211"/>
        <v/>
      </c>
      <c r="SP38" s="11" t="str">
        <f t="shared" si="212"/>
        <v/>
      </c>
      <c r="SQ38" s="11" t="str">
        <f t="shared" si="213"/>
        <v/>
      </c>
      <c r="SR38" s="11" t="str">
        <f t="shared" si="214"/>
        <v/>
      </c>
      <c r="SS38" s="11" t="str">
        <f t="shared" si="215"/>
        <v/>
      </c>
      <c r="ST38" s="11" t="str">
        <f t="shared" si="216"/>
        <v/>
      </c>
      <c r="SU38" s="11" t="str">
        <f t="shared" si="217"/>
        <v/>
      </c>
      <c r="SV38" s="22">
        <f t="shared" si="218"/>
        <v>2.2000000000000002</v>
      </c>
      <c r="SW38" s="22">
        <f t="shared" si="219"/>
        <v>1.45</v>
      </c>
      <c r="SX38" s="22">
        <f t="shared" si="220"/>
        <v>1.45</v>
      </c>
      <c r="SY38" s="22">
        <f t="shared" si="221"/>
        <v>2.1150000000000002</v>
      </c>
      <c r="SZ38" s="22">
        <f t="shared" si="222"/>
        <v>0</v>
      </c>
      <c r="TA38" s="22">
        <f t="shared" si="223"/>
        <v>2</v>
      </c>
      <c r="TB38" s="22">
        <f t="shared" si="224"/>
        <v>1.4</v>
      </c>
      <c r="TC38" s="22">
        <f t="shared" si="225"/>
        <v>1.65</v>
      </c>
      <c r="TD38" s="22">
        <f t="shared" si="226"/>
        <v>2.0449999999999999</v>
      </c>
      <c r="TE38" s="22">
        <f t="shared" si="227"/>
        <v>0</v>
      </c>
      <c r="TF38" s="22">
        <f t="shared" si="228"/>
        <v>0</v>
      </c>
      <c r="TG38" s="22">
        <f t="shared" si="229"/>
        <v>0</v>
      </c>
      <c r="TH38" s="22">
        <f t="shared" si="230"/>
        <v>0</v>
      </c>
      <c r="TI38" s="22">
        <f t="shared" si="231"/>
        <v>0</v>
      </c>
      <c r="TJ38" s="22">
        <f t="shared" si="232"/>
        <v>0</v>
      </c>
      <c r="TK38" s="27" t="s">
        <v>46</v>
      </c>
      <c r="TL38" s="40">
        <f t="shared" si="233"/>
        <v>1.45</v>
      </c>
      <c r="TM38" s="40">
        <f t="shared" si="234"/>
        <v>2.1150000000000002</v>
      </c>
      <c r="TN38" s="40">
        <f t="shared" si="235"/>
        <v>7.2150000000000007</v>
      </c>
      <c r="TO38" s="40">
        <f t="shared" si="236"/>
        <v>1.65</v>
      </c>
      <c r="TP38" s="40">
        <f t="shared" si="237"/>
        <v>2.0449999999999999</v>
      </c>
      <c r="TQ38" s="40">
        <f t="shared" si="238"/>
        <v>7.0949999999999998</v>
      </c>
      <c r="TR38" s="40">
        <f t="shared" si="239"/>
        <v>7.2150000000000007</v>
      </c>
      <c r="TS38" s="40" t="str">
        <f t="shared" si="240"/>
        <v/>
      </c>
      <c r="TT38" s="40" t="str">
        <f t="shared" si="241"/>
        <v/>
      </c>
      <c r="TU38" s="40" t="str">
        <f t="shared" si="242"/>
        <v/>
      </c>
      <c r="TV38" s="40">
        <f t="shared" si="243"/>
        <v>7.2150000000000007</v>
      </c>
    </row>
    <row r="39" spans="1:542" x14ac:dyDescent="0.2">
      <c r="C39" s="5"/>
      <c r="E39" s="1"/>
    </row>
    <row r="40" spans="1:542" x14ac:dyDescent="0.2">
      <c r="I40" s="36"/>
      <c r="K40" s="36"/>
    </row>
    <row r="41" spans="1:542" x14ac:dyDescent="0.2">
      <c r="C41" s="23" t="s">
        <v>44</v>
      </c>
      <c r="D41" s="5"/>
      <c r="I41" s="3"/>
      <c r="AR41" s="41"/>
      <c r="AS41" s="41"/>
      <c r="AT41" s="41"/>
      <c r="AV41" s="32"/>
      <c r="AW41" s="32"/>
      <c r="AY41" s="53">
        <v>11.2</v>
      </c>
      <c r="BS41" s="41"/>
      <c r="BT41" s="41"/>
      <c r="BU41" s="41"/>
      <c r="BW41" s="32"/>
      <c r="BX41" s="32"/>
      <c r="BZ41" s="53">
        <v>11.2</v>
      </c>
      <c r="CT41" s="41"/>
      <c r="CU41" s="41"/>
      <c r="CV41" s="41"/>
      <c r="CX41" s="32"/>
      <c r="CY41" s="32"/>
      <c r="DA41" s="53">
        <v>11.2</v>
      </c>
      <c r="DX41" s="5"/>
      <c r="DY41" s="5"/>
      <c r="EH41" s="2"/>
      <c r="EI41" s="2"/>
      <c r="EK41" s="53">
        <v>11.2</v>
      </c>
      <c r="FF41" s="5"/>
      <c r="FG41" s="5"/>
      <c r="FP41" s="2"/>
      <c r="FQ41" s="2"/>
      <c r="FS41" s="53">
        <v>11.2</v>
      </c>
      <c r="GN41" s="5"/>
      <c r="GO41" s="5"/>
      <c r="GX41" s="2"/>
      <c r="GY41" s="2"/>
      <c r="HA41" s="53">
        <v>11.2</v>
      </c>
      <c r="HV41" s="5"/>
      <c r="HW41" s="5"/>
      <c r="IF41" s="2"/>
      <c r="IG41" s="2"/>
      <c r="II41" s="53">
        <v>11.2</v>
      </c>
      <c r="JD41" s="5"/>
      <c r="JE41" s="5"/>
      <c r="JN41" s="2"/>
      <c r="JO41" s="2"/>
      <c r="JQ41" s="53">
        <v>11.2</v>
      </c>
      <c r="KL41" s="5"/>
      <c r="KM41" s="5"/>
      <c r="KV41" s="2"/>
      <c r="KW41" s="2"/>
      <c r="KY41" s="53">
        <v>11.2</v>
      </c>
      <c r="LT41" s="5"/>
      <c r="LU41" s="5"/>
      <c r="MD41" s="2"/>
      <c r="ME41" s="2"/>
      <c r="MG41" s="53">
        <v>11.2</v>
      </c>
      <c r="NB41" s="5"/>
      <c r="NC41" s="5"/>
      <c r="NL41" s="2"/>
      <c r="NM41" s="2"/>
      <c r="NO41" s="53">
        <v>11.2</v>
      </c>
      <c r="OJ41" s="5"/>
      <c r="OK41" s="5"/>
      <c r="OT41" s="2"/>
      <c r="OU41" s="2"/>
      <c r="OW41" s="53">
        <v>11.2</v>
      </c>
      <c r="PR41" s="5"/>
      <c r="PS41" s="5"/>
      <c r="QB41" s="2"/>
      <c r="QC41" s="2"/>
      <c r="QE41" s="53">
        <v>11.2</v>
      </c>
      <c r="QZ41" s="5"/>
      <c r="RA41" s="5"/>
      <c r="RJ41" s="2"/>
      <c r="RK41" s="2"/>
      <c r="RM41" s="53">
        <v>11.2</v>
      </c>
      <c r="SH41" s="5"/>
      <c r="SI41" s="5"/>
      <c r="SR41" s="2"/>
      <c r="SS41" s="2"/>
      <c r="SU41" s="53">
        <v>11.2</v>
      </c>
    </row>
    <row r="42" spans="1:542" hidden="1" x14ac:dyDescent="0.2">
      <c r="C42" s="30" t="s">
        <v>43</v>
      </c>
      <c r="D42" s="5"/>
      <c r="X42" s="2"/>
      <c r="AR42" s="41"/>
      <c r="AS42" s="41"/>
      <c r="AT42" s="41"/>
      <c r="AV42" s="32"/>
      <c r="AW42" s="32"/>
      <c r="AY42" s="54">
        <v>1000</v>
      </c>
      <c r="BS42" s="41"/>
      <c r="BT42" s="41"/>
      <c r="BU42" s="41"/>
      <c r="BW42" s="32"/>
      <c r="BX42" s="32"/>
      <c r="BZ42" s="54">
        <v>1000</v>
      </c>
      <c r="CT42" s="41"/>
      <c r="CU42" s="41"/>
      <c r="CV42" s="41"/>
      <c r="CX42" s="32"/>
      <c r="CY42" s="32"/>
      <c r="DA42" s="54">
        <v>1000</v>
      </c>
      <c r="DX42" s="5"/>
      <c r="DY42" s="5"/>
      <c r="EH42" s="2"/>
      <c r="EI42" s="2"/>
      <c r="EK42" s="54">
        <v>1000</v>
      </c>
      <c r="FF42" s="5"/>
      <c r="FG42" s="5"/>
      <c r="FP42" s="2"/>
      <c r="FQ42" s="2"/>
      <c r="FS42" s="54">
        <v>1000</v>
      </c>
      <c r="GN42" s="5"/>
      <c r="GO42" s="5"/>
      <c r="GX42" s="2"/>
      <c r="GY42" s="2"/>
      <c r="HA42" s="54">
        <v>1000</v>
      </c>
      <c r="HV42" s="5"/>
      <c r="HW42" s="5"/>
      <c r="IF42" s="2"/>
      <c r="IG42" s="2"/>
      <c r="II42" s="54">
        <v>1000</v>
      </c>
      <c r="JD42" s="5"/>
      <c r="JE42" s="5"/>
      <c r="JN42" s="2"/>
      <c r="JO42" s="2"/>
      <c r="JQ42" s="54">
        <v>1000</v>
      </c>
      <c r="KL42" s="5"/>
      <c r="KM42" s="5"/>
      <c r="KV42" s="2"/>
      <c r="KW42" s="2"/>
      <c r="KY42" s="54">
        <v>1000</v>
      </c>
      <c r="LT42" s="5"/>
      <c r="LU42" s="5"/>
      <c r="MD42" s="2"/>
      <c r="ME42" s="2"/>
      <c r="MG42" s="54">
        <v>1000</v>
      </c>
      <c r="NB42" s="5"/>
      <c r="NC42" s="5"/>
      <c r="NL42" s="2"/>
      <c r="NM42" s="2"/>
      <c r="NO42" s="54">
        <v>1000</v>
      </c>
      <c r="OJ42" s="5"/>
      <c r="OK42" s="5"/>
      <c r="OT42" s="2"/>
      <c r="OU42" s="2"/>
      <c r="OW42" s="54">
        <v>1000</v>
      </c>
      <c r="PR42" s="5"/>
      <c r="PS42" s="5"/>
      <c r="QB42" s="2"/>
      <c r="QC42" s="2"/>
      <c r="QE42" s="54">
        <v>1000</v>
      </c>
      <c r="QZ42" s="5"/>
      <c r="RA42" s="5"/>
      <c r="RJ42" s="2"/>
      <c r="RK42" s="2"/>
      <c r="RM42" s="54">
        <v>1000</v>
      </c>
      <c r="SH42" s="5"/>
      <c r="SI42" s="5"/>
      <c r="SR42" s="2"/>
      <c r="SS42" s="2"/>
      <c r="SU42" s="54">
        <v>1000</v>
      </c>
    </row>
    <row r="43" spans="1:542" hidden="1" x14ac:dyDescent="0.2">
      <c r="A43" s="5"/>
      <c r="B43" s="5"/>
      <c r="C43" s="31" t="s">
        <v>55</v>
      </c>
      <c r="D43" s="5"/>
      <c r="F43" s="2"/>
      <c r="G43" s="66"/>
      <c r="AR43" s="41"/>
      <c r="AS43" s="41"/>
      <c r="AT43" s="41"/>
      <c r="AU43" s="32"/>
      <c r="AV43" s="32"/>
      <c r="AW43" s="32"/>
      <c r="AX43" s="32"/>
      <c r="AY43" s="55">
        <v>1000</v>
      </c>
      <c r="BS43" s="41"/>
      <c r="BT43" s="41"/>
      <c r="BU43" s="41"/>
      <c r="BW43" s="32"/>
      <c r="BX43" s="32"/>
      <c r="BZ43" s="55">
        <v>1000</v>
      </c>
      <c r="CT43" s="41"/>
      <c r="CU43" s="41"/>
      <c r="CV43" s="41"/>
      <c r="CW43" s="32"/>
      <c r="CX43" s="32"/>
      <c r="CY43" s="32"/>
      <c r="CZ43" s="32"/>
      <c r="DA43" s="55">
        <v>1000</v>
      </c>
      <c r="DX43" s="5"/>
      <c r="DY43" s="5"/>
      <c r="EH43" s="2"/>
      <c r="EI43" s="2"/>
      <c r="EK43" s="55">
        <v>1000</v>
      </c>
      <c r="FF43" s="5"/>
      <c r="FG43" s="5"/>
      <c r="FP43" s="2"/>
      <c r="FQ43" s="2"/>
      <c r="FS43" s="55">
        <v>1000</v>
      </c>
      <c r="GN43" s="5"/>
      <c r="GO43" s="5"/>
      <c r="GX43" s="2"/>
      <c r="GY43" s="2"/>
      <c r="HA43" s="55">
        <v>1000</v>
      </c>
      <c r="HV43" s="5"/>
      <c r="HW43" s="5"/>
      <c r="IF43" s="2"/>
      <c r="IG43" s="2"/>
      <c r="II43" s="55">
        <v>1000</v>
      </c>
      <c r="JD43" s="5"/>
      <c r="JE43" s="5"/>
      <c r="JN43" s="2"/>
      <c r="JO43" s="2"/>
      <c r="JQ43" s="55">
        <v>1000</v>
      </c>
      <c r="KL43" s="5"/>
      <c r="KM43" s="5"/>
      <c r="KV43" s="2"/>
      <c r="KW43" s="2"/>
      <c r="KY43" s="55">
        <v>1000</v>
      </c>
      <c r="LT43" s="5"/>
      <c r="LU43" s="5"/>
      <c r="MD43" s="2"/>
      <c r="ME43" s="2"/>
      <c r="MG43" s="55">
        <v>1000</v>
      </c>
      <c r="NB43" s="5"/>
      <c r="NC43" s="5"/>
      <c r="NL43" s="2"/>
      <c r="NM43" s="2"/>
      <c r="NO43" s="55">
        <v>1000</v>
      </c>
      <c r="OJ43" s="5"/>
      <c r="OK43" s="5"/>
      <c r="OT43" s="2"/>
      <c r="OU43" s="2"/>
      <c r="OW43" s="55">
        <v>1000</v>
      </c>
      <c r="PR43" s="5"/>
      <c r="PS43" s="5"/>
      <c r="QB43" s="2"/>
      <c r="QC43" s="2"/>
      <c r="QE43" s="55">
        <v>1000</v>
      </c>
      <c r="QZ43" s="5"/>
      <c r="RA43" s="5"/>
      <c r="RJ43" s="2"/>
      <c r="RK43" s="2"/>
      <c r="RM43" s="55">
        <v>1000</v>
      </c>
      <c r="SH43" s="5"/>
      <c r="SI43" s="5"/>
      <c r="SR43" s="2"/>
      <c r="SS43" s="2"/>
      <c r="SU43" s="55">
        <v>1000</v>
      </c>
    </row>
    <row r="44" spans="1:542" hidden="1" x14ac:dyDescent="0.2">
      <c r="A44" s="5"/>
      <c r="B44" s="5"/>
      <c r="C44" s="35" t="s">
        <v>62</v>
      </c>
      <c r="D44" s="5"/>
      <c r="F44" s="2"/>
      <c r="G44" s="66"/>
      <c r="AR44" s="41"/>
      <c r="AS44" s="41"/>
      <c r="AT44" s="41"/>
      <c r="AU44" s="32"/>
      <c r="AV44" s="32"/>
      <c r="AW44" s="32"/>
      <c r="AX44" s="32"/>
      <c r="AY44" s="56">
        <v>1000</v>
      </c>
      <c r="BS44" s="41"/>
      <c r="BT44" s="41"/>
      <c r="BU44" s="41"/>
      <c r="BW44" s="32"/>
      <c r="BX44" s="32"/>
      <c r="BZ44" s="56">
        <v>1000</v>
      </c>
      <c r="CT44" s="41"/>
      <c r="CU44" s="41"/>
      <c r="CV44" s="41"/>
      <c r="CW44" s="32"/>
      <c r="CX44" s="32"/>
      <c r="CY44" s="32"/>
      <c r="CZ44" s="32"/>
      <c r="DA44" s="56">
        <v>1000</v>
      </c>
      <c r="DX44" s="5"/>
      <c r="DY44" s="5"/>
      <c r="EH44" s="2"/>
      <c r="EI44" s="2"/>
      <c r="EK44" s="56">
        <v>1000</v>
      </c>
      <c r="FF44" s="5"/>
      <c r="FG44" s="5"/>
      <c r="FP44" s="2"/>
      <c r="FQ44" s="2"/>
      <c r="FS44" s="56">
        <v>1000</v>
      </c>
      <c r="GN44" s="5"/>
      <c r="GO44" s="5"/>
      <c r="GX44" s="2"/>
      <c r="GY44" s="2"/>
      <c r="HA44" s="56">
        <v>1000</v>
      </c>
      <c r="HV44" s="5"/>
      <c r="HW44" s="5"/>
      <c r="IF44" s="2"/>
      <c r="IG44" s="2"/>
      <c r="II44" s="56">
        <v>1000</v>
      </c>
      <c r="JD44" s="5"/>
      <c r="JE44" s="5"/>
      <c r="JN44" s="2"/>
      <c r="JO44" s="2"/>
      <c r="JQ44" s="56">
        <v>1000</v>
      </c>
      <c r="KL44" s="5"/>
      <c r="KM44" s="5"/>
      <c r="KV44" s="2"/>
      <c r="KW44" s="2"/>
      <c r="KY44" s="56">
        <v>1000</v>
      </c>
      <c r="LT44" s="5"/>
      <c r="LU44" s="5"/>
      <c r="MD44" s="2"/>
      <c r="ME44" s="2"/>
      <c r="MG44" s="56">
        <v>1000</v>
      </c>
      <c r="NB44" s="5"/>
      <c r="NC44" s="5"/>
      <c r="NL44" s="2"/>
      <c r="NM44" s="2"/>
      <c r="NO44" s="56">
        <v>1000</v>
      </c>
      <c r="OJ44" s="5"/>
      <c r="OK44" s="5"/>
      <c r="OT44" s="2"/>
      <c r="OU44" s="2"/>
      <c r="OW44" s="56">
        <v>1000</v>
      </c>
      <c r="PR44" s="5"/>
      <c r="PS44" s="5"/>
      <c r="QB44" s="2"/>
      <c r="QC44" s="2"/>
      <c r="QE44" s="56">
        <v>1000</v>
      </c>
      <c r="QZ44" s="5"/>
      <c r="RA44" s="5"/>
      <c r="RJ44" s="2"/>
      <c r="RK44" s="2"/>
      <c r="RM44" s="56">
        <v>1000</v>
      </c>
      <c r="SH44" s="5"/>
      <c r="SI44" s="5"/>
      <c r="SR44" s="2"/>
      <c r="SS44" s="2"/>
      <c r="SU44" s="56">
        <v>1000</v>
      </c>
    </row>
    <row r="45" spans="1:542" x14ac:dyDescent="0.2">
      <c r="A45" s="5"/>
      <c r="B45" s="5"/>
      <c r="C45" s="34" t="s">
        <v>41</v>
      </c>
      <c r="D45" s="5"/>
      <c r="AR45" s="41"/>
      <c r="AS45" s="41"/>
      <c r="AT45" s="41"/>
      <c r="AU45" s="32"/>
      <c r="AV45" s="32"/>
      <c r="AW45" s="32"/>
      <c r="AX45" s="32"/>
      <c r="AY45" s="57">
        <v>48.3</v>
      </c>
      <c r="BS45" s="41"/>
      <c r="BT45" s="41"/>
      <c r="BU45" s="41"/>
      <c r="BW45" s="32"/>
      <c r="BX45" s="32"/>
      <c r="BZ45" s="57">
        <v>48.3</v>
      </c>
      <c r="CT45" s="41"/>
      <c r="CU45" s="41"/>
      <c r="CV45" s="41"/>
      <c r="CW45" s="32"/>
      <c r="CX45" s="32"/>
      <c r="CY45" s="32"/>
      <c r="CZ45" s="32"/>
      <c r="DA45" s="57">
        <v>48.3</v>
      </c>
      <c r="DX45" s="5"/>
      <c r="DY45" s="5"/>
      <c r="EH45" s="2"/>
      <c r="EI45" s="2"/>
      <c r="EK45" s="57">
        <v>48.3</v>
      </c>
      <c r="FF45" s="5"/>
      <c r="FG45" s="5"/>
      <c r="FP45" s="2"/>
      <c r="FQ45" s="2"/>
      <c r="FS45" s="57">
        <v>48.3</v>
      </c>
      <c r="GN45" s="5"/>
      <c r="GO45" s="5"/>
      <c r="GX45" s="2"/>
      <c r="GY45" s="2"/>
      <c r="HA45" s="57">
        <v>48.3</v>
      </c>
      <c r="HV45" s="5"/>
      <c r="HW45" s="5"/>
      <c r="IF45" s="2"/>
      <c r="IG45" s="2"/>
      <c r="II45" s="57">
        <v>48.3</v>
      </c>
      <c r="JD45" s="5"/>
      <c r="JE45" s="5"/>
      <c r="JN45" s="2"/>
      <c r="JO45" s="2"/>
      <c r="JQ45" s="57">
        <v>48.3</v>
      </c>
      <c r="KL45" s="5"/>
      <c r="KM45" s="5"/>
      <c r="KV45" s="2"/>
      <c r="KW45" s="2"/>
      <c r="KY45" s="57">
        <v>48.3</v>
      </c>
      <c r="LT45" s="5"/>
      <c r="LU45" s="5"/>
      <c r="MD45" s="2"/>
      <c r="ME45" s="2"/>
      <c r="MG45" s="57">
        <v>48.3</v>
      </c>
      <c r="NB45" s="5"/>
      <c r="NC45" s="5"/>
      <c r="NL45" s="2"/>
      <c r="NM45" s="2"/>
      <c r="NO45" s="57">
        <v>48.3</v>
      </c>
      <c r="OJ45" s="5"/>
      <c r="OK45" s="5"/>
      <c r="OT45" s="2"/>
      <c r="OU45" s="2"/>
      <c r="OW45" s="57">
        <v>48.3</v>
      </c>
      <c r="PR45" s="5"/>
      <c r="PS45" s="5"/>
      <c r="QB45" s="2"/>
      <c r="QC45" s="2"/>
      <c r="QE45" s="57">
        <v>48.3</v>
      </c>
      <c r="QZ45" s="5"/>
      <c r="RA45" s="5"/>
      <c r="RJ45" s="2"/>
      <c r="RK45" s="2"/>
      <c r="RM45" s="57">
        <v>48.3</v>
      </c>
      <c r="SH45" s="5"/>
      <c r="SI45" s="5"/>
      <c r="SR45" s="2"/>
      <c r="SS45" s="2"/>
      <c r="SU45" s="57">
        <v>48.3</v>
      </c>
    </row>
    <row r="46" spans="1:542" hidden="1" x14ac:dyDescent="0.2">
      <c r="A46" s="5"/>
      <c r="B46" s="5"/>
      <c r="C46" s="24" t="s">
        <v>42</v>
      </c>
      <c r="D46" s="5"/>
      <c r="AR46" s="41"/>
      <c r="AS46" s="41"/>
      <c r="AT46" s="41"/>
      <c r="AU46" s="32"/>
      <c r="AV46" s="32"/>
      <c r="AW46" s="32"/>
      <c r="AX46" s="32"/>
      <c r="AY46" s="58">
        <v>1000</v>
      </c>
      <c r="BS46" s="41"/>
      <c r="BT46" s="41"/>
      <c r="BU46" s="41"/>
      <c r="BW46" s="32"/>
      <c r="BX46" s="32"/>
      <c r="BZ46" s="58">
        <v>1000</v>
      </c>
      <c r="CT46" s="41"/>
      <c r="CU46" s="41"/>
      <c r="CV46" s="41"/>
      <c r="CW46" s="32"/>
      <c r="CX46" s="32"/>
      <c r="CY46" s="32"/>
      <c r="CZ46" s="32"/>
      <c r="DA46" s="58">
        <v>1000</v>
      </c>
      <c r="DX46" s="5"/>
      <c r="DY46" s="5"/>
      <c r="EH46" s="2"/>
      <c r="EI46" s="2"/>
      <c r="EK46" s="58">
        <v>1000</v>
      </c>
      <c r="FF46" s="5"/>
      <c r="FG46" s="5"/>
      <c r="FP46" s="2"/>
      <c r="FQ46" s="2"/>
      <c r="FS46" s="58">
        <v>1000</v>
      </c>
      <c r="GN46" s="5"/>
      <c r="GO46" s="5"/>
      <c r="GX46" s="2"/>
      <c r="GY46" s="2"/>
      <c r="HA46" s="58">
        <v>1000</v>
      </c>
      <c r="HV46" s="5"/>
      <c r="HW46" s="5"/>
      <c r="IF46" s="2"/>
      <c r="IG46" s="2"/>
      <c r="II46" s="58">
        <v>1000</v>
      </c>
      <c r="JD46" s="5"/>
      <c r="JE46" s="5"/>
      <c r="JN46" s="2"/>
      <c r="JO46" s="2"/>
      <c r="JQ46" s="58">
        <v>1000</v>
      </c>
      <c r="KL46" s="5"/>
      <c r="KM46" s="5"/>
      <c r="KV46" s="2"/>
      <c r="KW46" s="2"/>
      <c r="KY46" s="58">
        <v>1000</v>
      </c>
      <c r="LT46" s="5"/>
      <c r="LU46" s="5"/>
      <c r="MD46" s="2"/>
      <c r="ME46" s="2"/>
      <c r="MG46" s="58">
        <v>1000</v>
      </c>
      <c r="NB46" s="5"/>
      <c r="NC46" s="5"/>
      <c r="NL46" s="2"/>
      <c r="NM46" s="2"/>
      <c r="NO46" s="58">
        <v>1000</v>
      </c>
      <c r="OJ46" s="5"/>
      <c r="OK46" s="5"/>
      <c r="OT46" s="2"/>
      <c r="OU46" s="2"/>
      <c r="OW46" s="58">
        <v>1000</v>
      </c>
      <c r="PR46" s="5"/>
      <c r="PS46" s="5"/>
      <c r="QB46" s="2"/>
      <c r="QC46" s="2"/>
      <c r="QE46" s="58">
        <v>1000</v>
      </c>
      <c r="QZ46" s="5"/>
      <c r="RA46" s="5"/>
      <c r="RJ46" s="2"/>
      <c r="RK46" s="2"/>
      <c r="RM46" s="58">
        <v>1000</v>
      </c>
      <c r="SH46" s="5"/>
      <c r="SI46" s="5"/>
      <c r="SR46" s="2"/>
      <c r="SS46" s="2"/>
      <c r="SU46" s="58">
        <v>1000</v>
      </c>
    </row>
    <row r="47" spans="1:542" hidden="1" x14ac:dyDescent="0.2">
      <c r="A47" s="5"/>
      <c r="B47" s="5"/>
      <c r="C47" s="33" t="s">
        <v>54</v>
      </c>
      <c r="D47" s="5"/>
      <c r="AR47" s="41"/>
      <c r="AS47" s="41"/>
      <c r="AT47" s="41"/>
      <c r="AU47" s="32"/>
      <c r="AV47" s="32"/>
      <c r="AW47" s="32"/>
      <c r="AX47" s="32"/>
      <c r="AY47" s="59">
        <v>1000</v>
      </c>
      <c r="BS47" s="41"/>
      <c r="BT47" s="41"/>
      <c r="BU47" s="41"/>
      <c r="BW47" s="32"/>
      <c r="BX47" s="32"/>
      <c r="BZ47" s="59">
        <v>1000</v>
      </c>
      <c r="CT47" s="41"/>
      <c r="CU47" s="41"/>
      <c r="CV47" s="41"/>
      <c r="CW47" s="32"/>
      <c r="CX47" s="32"/>
      <c r="CY47" s="32"/>
      <c r="CZ47" s="32"/>
      <c r="DA47" s="59">
        <v>1000</v>
      </c>
      <c r="DX47" s="5"/>
      <c r="DY47" s="5"/>
      <c r="EH47" s="2"/>
      <c r="EI47" s="2"/>
      <c r="EJ47" s="37"/>
      <c r="EK47" s="59">
        <v>1000</v>
      </c>
      <c r="FF47" s="5"/>
      <c r="FG47" s="5"/>
      <c r="FP47" s="2"/>
      <c r="FQ47" s="2"/>
      <c r="FR47" s="37"/>
      <c r="FS47" s="59">
        <v>1000</v>
      </c>
      <c r="GN47" s="5"/>
      <c r="GO47" s="5"/>
      <c r="GX47" s="2"/>
      <c r="GY47" s="2"/>
      <c r="GZ47" s="37"/>
      <c r="HA47" s="59">
        <v>1000</v>
      </c>
      <c r="HV47" s="5"/>
      <c r="HW47" s="5"/>
      <c r="IF47" s="2"/>
      <c r="IG47" s="2"/>
      <c r="IH47" s="37"/>
      <c r="II47" s="59">
        <v>1000</v>
      </c>
      <c r="JD47" s="5"/>
      <c r="JE47" s="5"/>
      <c r="JN47" s="2"/>
      <c r="JO47" s="2"/>
      <c r="JP47" s="37"/>
      <c r="JQ47" s="59">
        <v>1000</v>
      </c>
      <c r="KL47" s="5"/>
      <c r="KM47" s="5"/>
      <c r="KV47" s="2"/>
      <c r="KW47" s="2"/>
      <c r="KX47" s="37"/>
      <c r="KY47" s="59">
        <v>1000</v>
      </c>
      <c r="LT47" s="5"/>
      <c r="LU47" s="5"/>
      <c r="MD47" s="2"/>
      <c r="ME47" s="2"/>
      <c r="MF47" s="37"/>
      <c r="MG47" s="59">
        <v>1000</v>
      </c>
      <c r="NB47" s="5"/>
      <c r="NC47" s="5"/>
      <c r="NL47" s="2"/>
      <c r="NM47" s="2"/>
      <c r="NN47" s="37"/>
      <c r="NO47" s="59">
        <v>1000</v>
      </c>
      <c r="OJ47" s="5"/>
      <c r="OK47" s="5"/>
      <c r="OT47" s="2"/>
      <c r="OU47" s="2"/>
      <c r="OV47" s="37"/>
      <c r="OW47" s="59">
        <v>1000</v>
      </c>
      <c r="PR47" s="5"/>
      <c r="PS47" s="5"/>
      <c r="QB47" s="2"/>
      <c r="QC47" s="2"/>
      <c r="QD47" s="37"/>
      <c r="QE47" s="59">
        <v>1000</v>
      </c>
      <c r="QZ47" s="5"/>
      <c r="RA47" s="5"/>
      <c r="RJ47" s="2"/>
      <c r="RK47" s="2"/>
      <c r="RL47" s="37"/>
      <c r="RM47" s="59">
        <v>1000</v>
      </c>
      <c r="SH47" s="5"/>
      <c r="SI47" s="5"/>
      <c r="SR47" s="2"/>
      <c r="SS47" s="2"/>
      <c r="ST47" s="37"/>
      <c r="SU47" s="59">
        <v>1000</v>
      </c>
    </row>
    <row r="48" spans="1:542" hidden="1" x14ac:dyDescent="0.2">
      <c r="A48" s="5"/>
      <c r="B48" s="5"/>
      <c r="C48" s="25" t="s">
        <v>27</v>
      </c>
      <c r="D48" s="5"/>
      <c r="AR48" s="41"/>
      <c r="AS48" s="41"/>
      <c r="AT48" s="41"/>
      <c r="AU48" s="32"/>
      <c r="AV48" s="41"/>
      <c r="AW48" s="41"/>
      <c r="AX48" s="32"/>
      <c r="AY48" s="60">
        <v>1000</v>
      </c>
      <c r="BS48" s="41"/>
      <c r="BT48" s="41"/>
      <c r="BU48" s="41"/>
      <c r="BW48" s="41"/>
      <c r="BX48" s="32"/>
      <c r="BZ48" s="60">
        <v>1000</v>
      </c>
      <c r="CT48" s="41"/>
      <c r="CU48" s="41"/>
      <c r="CV48" s="41"/>
      <c r="CW48" s="32"/>
      <c r="CX48" s="41"/>
      <c r="CY48" s="32"/>
      <c r="CZ48" s="32"/>
      <c r="DA48" s="60">
        <v>1000</v>
      </c>
      <c r="DX48" s="5"/>
      <c r="DY48" s="5"/>
      <c r="EH48" s="41"/>
      <c r="EI48" s="2"/>
      <c r="EK48" s="60">
        <v>1000</v>
      </c>
      <c r="FF48" s="5"/>
      <c r="FG48" s="5"/>
      <c r="FP48" s="41"/>
      <c r="FQ48" s="2"/>
      <c r="FS48" s="60">
        <v>1000</v>
      </c>
      <c r="GN48" s="5"/>
      <c r="GO48" s="5"/>
      <c r="GX48" s="2"/>
      <c r="GY48" s="2"/>
      <c r="HA48" s="60">
        <v>1000</v>
      </c>
      <c r="HV48" s="5"/>
      <c r="HW48" s="5"/>
      <c r="IF48" s="41"/>
      <c r="IG48" s="2"/>
      <c r="II48" s="60">
        <v>1000</v>
      </c>
      <c r="JD48" s="5"/>
      <c r="JE48" s="5"/>
      <c r="JN48" s="2"/>
      <c r="JO48" s="2"/>
      <c r="JQ48" s="60">
        <v>1000</v>
      </c>
      <c r="KL48" s="5"/>
      <c r="KM48" s="5"/>
      <c r="KV48" s="2"/>
      <c r="KW48" s="2"/>
      <c r="KY48" s="60">
        <v>1000</v>
      </c>
      <c r="LT48" s="5"/>
      <c r="LU48" s="5"/>
      <c r="MD48" s="2"/>
      <c r="ME48" s="2"/>
      <c r="MG48" s="60">
        <v>1000</v>
      </c>
      <c r="NB48" s="5"/>
      <c r="NC48" s="5"/>
      <c r="NL48" s="2"/>
      <c r="NM48" s="2"/>
      <c r="NO48" s="60">
        <v>1000</v>
      </c>
      <c r="OJ48" s="5"/>
      <c r="OK48" s="5"/>
      <c r="OT48" s="2"/>
      <c r="OU48" s="2"/>
      <c r="OW48" s="60">
        <v>1000</v>
      </c>
      <c r="PR48" s="5"/>
      <c r="PS48" s="5"/>
      <c r="QB48" s="2"/>
      <c r="QC48" s="2"/>
      <c r="QE48" s="60">
        <v>1000</v>
      </c>
      <c r="QZ48" s="5"/>
      <c r="RA48" s="5"/>
      <c r="RJ48" s="2"/>
      <c r="RK48" s="2"/>
      <c r="RM48" s="60">
        <v>1000</v>
      </c>
      <c r="SH48" s="5"/>
      <c r="SI48" s="5"/>
      <c r="SR48" s="2"/>
      <c r="SS48" s="2"/>
      <c r="SU48" s="60">
        <v>1000</v>
      </c>
    </row>
    <row r="49" spans="1:544" s="36" customFormat="1" x14ac:dyDescent="0.2">
      <c r="A49"/>
      <c r="B49"/>
      <c r="C49" s="29" t="s">
        <v>47</v>
      </c>
      <c r="D49" s="2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 s="5"/>
      <c r="B51" s="5"/>
      <c r="C51" s="5"/>
      <c r="D51" s="20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 s="5"/>
      <c r="B52" s="5"/>
      <c r="C52" s="5"/>
      <c r="D52" s="20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Q54" s="32"/>
      <c r="AR54" s="32"/>
      <c r="AS54" s="32"/>
      <c r="AT54" s="32"/>
      <c r="AU54" s="32"/>
      <c r="AX54" s="32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S54" s="32"/>
      <c r="CT54" s="32"/>
      <c r="CU54" s="32"/>
      <c r="CV54" s="32"/>
      <c r="CW54" s="32"/>
      <c r="CZ54" s="32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Q55" s="32"/>
      <c r="AR55" s="32"/>
      <c r="AS55" s="32"/>
      <c r="AT55" s="32"/>
      <c r="AU55" s="32"/>
      <c r="AX55" s="32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S55" s="32"/>
      <c r="CT55" s="32"/>
      <c r="CU55" s="32"/>
      <c r="CV55" s="32"/>
      <c r="CW55" s="32"/>
      <c r="CZ55" s="32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s="36" customFormat="1" ht="17" x14ac:dyDescent="0.2">
      <c r="A63"/>
      <c r="B63"/>
      <c r="C63"/>
      <c r="D63"/>
      <c r="E63"/>
      <c r="F63"/>
      <c r="G63" s="67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0"/>
      <c r="W63" s="10"/>
      <c r="X63" s="10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</row>
    <row r="64" spans="1:544" s="36" customFormat="1" ht="17" x14ac:dyDescent="0.2">
      <c r="A64"/>
      <c r="B64"/>
      <c r="C64"/>
      <c r="D64"/>
      <c r="E64"/>
      <c r="F64"/>
      <c r="G64" s="67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0"/>
      <c r="W64" s="10"/>
      <c r="X64" s="10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8">
      <sortCondition descending="1" ref="H1:H39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8">
    <cfRule type="expression" dxfId="276" priority="43" stopIfTrue="1">
      <formula>IF($AN4&lt;&gt;"",1,0)</formula>
    </cfRule>
  </conditionalFormatting>
  <conditionalFormatting sqref="AZ4:BZ38">
    <cfRule type="expression" dxfId="275" priority="36" stopIfTrue="1">
      <formula>IF($BO4&lt;&gt;"",1,0)</formula>
    </cfRule>
  </conditionalFormatting>
  <conditionalFormatting sqref="CA4:DA38">
    <cfRule type="expression" dxfId="274" priority="35" stopIfTrue="1">
      <formula>IF($CP4&lt;&gt;"",1,0)</formula>
    </cfRule>
  </conditionalFormatting>
  <conditionalFormatting sqref="BW49:BW1048576 BP1:BP1048576 BS1:BS1048576 BW1:BW47">
    <cfRule type="cellIs" dxfId="273" priority="48" operator="between">
      <formula>$BZ$44</formula>
      <formula>1000</formula>
    </cfRule>
    <cfRule type="cellIs" dxfId="272" priority="49" operator="between">
      <formula>$BZ$43</formula>
      <formula>$BZ$44</formula>
    </cfRule>
    <cfRule type="cellIs" dxfId="271" priority="50" operator="between">
      <formula>$BZ$42</formula>
      <formula>$BZ$43</formula>
    </cfRule>
    <cfRule type="cellIs" dxfId="270" priority="51" operator="between">
      <formula>$BZ$41</formula>
      <formula>$BZ$42</formula>
    </cfRule>
  </conditionalFormatting>
  <conditionalFormatting sqref="CX49:CX1048576 CQ1:CQ1048576 CT1:CT1048576 CX1:CX47">
    <cfRule type="cellIs" dxfId="269" priority="44" operator="between">
      <formula>$DA$44</formula>
      <formula>1000</formula>
    </cfRule>
    <cfRule type="cellIs" dxfId="268" priority="45" operator="between">
      <formula>$DA$43</formula>
      <formula>$DA$44</formula>
    </cfRule>
    <cfRule type="cellIs" dxfId="267" priority="46" operator="between">
      <formula>$DA$42</formula>
      <formula>$DA$43</formula>
    </cfRule>
    <cfRule type="cellIs" dxfId="266" priority="47" operator="between">
      <formula>$DA$41</formula>
      <formula>$DA$42</formula>
    </cfRule>
  </conditionalFormatting>
  <conditionalFormatting sqref="EH49:EH1048576 DX1:DX1048576 EA1:EA1048576 EE1:EE1048576 EH1:EH47">
    <cfRule type="cellIs" dxfId="265" priority="55" operator="between">
      <formula>$EK$44</formula>
      <formula>1000</formula>
    </cfRule>
    <cfRule type="cellIs" dxfId="264" priority="56" operator="between">
      <formula>$EK$43</formula>
      <formula>$EK$44</formula>
    </cfRule>
    <cfRule type="cellIs" dxfId="263" priority="57" operator="between">
      <formula>$EK$42</formula>
      <formula>$EK$43</formula>
    </cfRule>
    <cfRule type="cellIs" dxfId="262" priority="58" operator="between">
      <formula>$EK$41</formula>
      <formula>$EK$42</formula>
    </cfRule>
  </conditionalFormatting>
  <conditionalFormatting sqref="FP49:FP1048576 FF1:FF1048576 FI1:FI1048576 FM1:FM1048576 FP1:FP47">
    <cfRule type="cellIs" dxfId="261" priority="31" operator="between">
      <formula>$FS$44</formula>
      <formula>1000</formula>
    </cfRule>
    <cfRule type="cellIs" dxfId="260" priority="32" operator="between">
      <formula>$FS$43</formula>
      <formula>$FS$44</formula>
    </cfRule>
    <cfRule type="cellIs" dxfId="259" priority="33" operator="between">
      <formula>$FS$42</formula>
      <formula>$FS$43</formula>
    </cfRule>
    <cfRule type="cellIs" dxfId="258" priority="34" operator="between">
      <formula>$FS$41</formula>
      <formula>$FS$42</formula>
    </cfRule>
  </conditionalFormatting>
  <conditionalFormatting sqref="IF49:IF1048576 HV1:HV1048576 HY1:HY1048576 IC1:IC1048576 IF1:IF47">
    <cfRule type="cellIs" dxfId="257" priority="27" operator="between">
      <formula>$II$44</formula>
      <formula>1000</formula>
    </cfRule>
    <cfRule type="cellIs" dxfId="256" priority="28" operator="between">
      <formula>$II$43</formula>
      <formula>$II$44</formula>
    </cfRule>
    <cfRule type="cellIs" dxfId="255" priority="29" operator="between">
      <formula>$II$42</formula>
      <formula>$II$43</formula>
    </cfRule>
    <cfRule type="cellIs" dxfId="254" priority="30" operator="between">
      <formula>$II$41</formula>
      <formula>$II$42</formula>
    </cfRule>
  </conditionalFormatting>
  <conditionalFormatting sqref="AW48 AO1:AO1048576 AR1:AR1048576 AV1:AV1048576">
    <cfRule type="cellIs" dxfId="253" priority="23" operator="between">
      <formula>$AY$44</formula>
      <formula>1000</formula>
    </cfRule>
    <cfRule type="cellIs" dxfId="252" priority="24" operator="between">
      <formula>$AY$43</formula>
      <formula>$AY$44</formula>
    </cfRule>
    <cfRule type="cellIs" dxfId="251" priority="25" operator="between">
      <formula>$AY$42</formula>
      <formula>$AY$43</formula>
    </cfRule>
    <cfRule type="cellIs" dxfId="250" priority="26" operator="between">
      <formula>$AY$41</formula>
      <formula>$AY$42</formula>
    </cfRule>
  </conditionalFormatting>
  <conditionalFormatting sqref="BW48">
    <cfRule type="cellIs" dxfId="249" priority="19" operator="between">
      <formula>$AY$44</formula>
      <formula>1000</formula>
    </cfRule>
    <cfRule type="cellIs" dxfId="248" priority="20" operator="between">
      <formula>$AY$43</formula>
      <formula>$AY$44</formula>
    </cfRule>
    <cfRule type="cellIs" dxfId="247" priority="21" operator="between">
      <formula>$AY$42</formula>
      <formula>$AY$43</formula>
    </cfRule>
    <cfRule type="cellIs" dxfId="246" priority="22" operator="between">
      <formula>$AY$41</formula>
      <formula>$AY$42</formula>
    </cfRule>
  </conditionalFormatting>
  <conditionalFormatting sqref="CX48">
    <cfRule type="cellIs" dxfId="245" priority="15" operator="between">
      <formula>$AY$44</formula>
      <formula>1000</formula>
    </cfRule>
    <cfRule type="cellIs" dxfId="244" priority="16" operator="between">
      <formula>$AY$43</formula>
      <formula>$AY$44</formula>
    </cfRule>
    <cfRule type="cellIs" dxfId="243" priority="17" operator="between">
      <formula>$AY$42</formula>
      <formula>$AY$43</formula>
    </cfRule>
    <cfRule type="cellIs" dxfId="242" priority="18" operator="between">
      <formula>$AY$41</formula>
      <formula>$AY$42</formula>
    </cfRule>
  </conditionalFormatting>
  <conditionalFormatting sqref="EH48">
    <cfRule type="cellIs" dxfId="241" priority="11" operator="between">
      <formula>$AY$44</formula>
      <formula>1000</formula>
    </cfRule>
    <cfRule type="cellIs" dxfId="240" priority="12" operator="between">
      <formula>$AY$43</formula>
      <formula>$AY$44</formula>
    </cfRule>
    <cfRule type="cellIs" dxfId="239" priority="13" operator="between">
      <formula>$AY$42</formula>
      <formula>$AY$43</formula>
    </cfRule>
    <cfRule type="cellIs" dxfId="238" priority="14" operator="between">
      <formula>$AY$41</formula>
      <formula>$AY$42</formula>
    </cfRule>
  </conditionalFormatting>
  <conditionalFormatting sqref="FP48">
    <cfRule type="cellIs" dxfId="237" priority="7" operator="between">
      <formula>$AY$44</formula>
      <formula>1000</formula>
    </cfRule>
    <cfRule type="cellIs" dxfId="236" priority="8" operator="between">
      <formula>$AY$43</formula>
      <formula>$AY$44</formula>
    </cfRule>
    <cfRule type="cellIs" dxfId="235" priority="9" operator="between">
      <formula>$AY$42</formula>
      <formula>$AY$43</formula>
    </cfRule>
    <cfRule type="cellIs" dxfId="234" priority="10" operator="between">
      <formula>$AY$41</formula>
      <formula>$AY$42</formula>
    </cfRule>
  </conditionalFormatting>
  <conditionalFormatting sqref="IF48">
    <cfRule type="cellIs" dxfId="233" priority="3" operator="between">
      <formula>$AY$44</formula>
      <formula>1000</formula>
    </cfRule>
    <cfRule type="cellIs" dxfId="232" priority="4" operator="between">
      <formula>$AY$43</formula>
      <formula>$AY$44</formula>
    </cfRule>
    <cfRule type="cellIs" dxfId="231" priority="5" operator="between">
      <formula>$AY$42</formula>
      <formula>$AY$43</formula>
    </cfRule>
    <cfRule type="cellIs" dxfId="230" priority="6" operator="between">
      <formula>$AY$41</formula>
      <formula>$AY$42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30332" operator="between">
      <formula>AY$48</formula>
      <formula>1000</formula>
    </cfRule>
    <cfRule type="cellIs" dxfId="224" priority="130333" operator="between">
      <formula>AY$47</formula>
      <formula>AY$48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30344" operator="between">
      <formula>EK$48</formula>
      <formula>1000</formula>
    </cfRule>
    <cfRule type="cellIs" dxfId="222" priority="130345" operator="between">
      <formula>EK$47</formula>
      <formula>EK$48</formula>
    </cfRule>
  </conditionalFormatting>
  <conditionalFormatting sqref="AQ1:AQ1048576 AT1:AT1048576 AX1:AX1048576">
    <cfRule type="cellIs" dxfId="221" priority="130416" operator="between">
      <formula>$AY$48</formula>
      <formula>1000</formula>
    </cfRule>
    <cfRule type="cellIs" dxfId="220" priority="130417" operator="between">
      <formula>$AY$47</formula>
      <formula>$AY$48</formula>
    </cfRule>
    <cfRule type="cellIs" dxfId="219" priority="130418" operator="between">
      <formula>$AY$46</formula>
      <formula>$AY$47</formula>
    </cfRule>
    <cfRule type="cellIs" dxfId="218" priority="130419" operator="between">
      <formula>$AY$45</formula>
      <formula>$AY$46</formula>
    </cfRule>
  </conditionalFormatting>
  <conditionalFormatting sqref="BR1:BR1048576 BU1:BU1048576 BY1:BY1048576">
    <cfRule type="cellIs" dxfId="217" priority="130452" operator="between">
      <formula>$BZ$48</formula>
      <formula>1000</formula>
    </cfRule>
    <cfRule type="cellIs" dxfId="216" priority="130453" operator="between">
      <formula>$BZ$47</formula>
      <formula>$BZ$48</formula>
    </cfRule>
    <cfRule type="cellIs" dxfId="215" priority="130454" operator="between">
      <formula>$BZ$46</formula>
      <formula>$BZ$47</formula>
    </cfRule>
    <cfRule type="cellIs" dxfId="214" priority="130455" operator="between">
      <formula>$BZ$45</formula>
      <formula>$BZ$46</formula>
    </cfRule>
  </conditionalFormatting>
  <conditionalFormatting sqref="CS1:CS1048576 CV1:CV1048576 CZ1:CZ1048576">
    <cfRule type="cellIs" dxfId="213" priority="130488" operator="between">
      <formula>$DA$48</formula>
      <formula>1000</formula>
    </cfRule>
    <cfRule type="cellIs" dxfId="212" priority="130489" operator="between">
      <formula>$DA$47</formula>
      <formula>$DA$48</formula>
    </cfRule>
    <cfRule type="cellIs" dxfId="211" priority="130490" operator="between">
      <formula>$DA$46</formula>
      <formula>$DA$47</formula>
    </cfRule>
    <cfRule type="cellIs" dxfId="210" priority="130491" operator="between">
      <formula>$DA$45</formula>
      <formula>$DA$46</formula>
    </cfRule>
  </conditionalFormatting>
  <conditionalFormatting sqref="NB1:NB1048576 NE1:NE1048576 NI1:NI1048576 NL1:NL1048576">
    <cfRule type="cellIs" dxfId="209" priority="130524" operator="between">
      <formula>$NO$41</formula>
      <formula>$NO$42</formula>
    </cfRule>
  </conditionalFormatting>
  <conditionalFormatting sqref="DZ1:DZ1048576 EC1:EC1048576 EG1:EG1048576 EJ1:EJ1048576">
    <cfRule type="cellIs" dxfId="208" priority="130536" operator="between">
      <formula>$EK$48</formula>
      <formula>1000</formula>
    </cfRule>
    <cfRule type="cellIs" dxfId="207" priority="130537" operator="between">
      <formula>$EK$47</formula>
      <formula>$EK$48</formula>
    </cfRule>
    <cfRule type="cellIs" dxfId="206" priority="130538" operator="between">
      <formula>$EK$46</formula>
      <formula>$EK$47</formula>
    </cfRule>
    <cfRule type="cellIs" dxfId="205" priority="130539" operator="between">
      <formula>$EK$45</formula>
      <formula>$EK$46</formula>
    </cfRule>
  </conditionalFormatting>
  <conditionalFormatting sqref="FH1:FH1048576 FK1:FK1048576 FO1:FO1048576 FR1:FR1048576">
    <cfRule type="cellIs" dxfId="204" priority="130584" operator="between">
      <formula>$FS$48</formula>
      <formula>1000</formula>
    </cfRule>
    <cfRule type="cellIs" dxfId="203" priority="130585" operator="between">
      <formula>$FS$47</formula>
      <formula>$FS$48</formula>
    </cfRule>
    <cfRule type="cellIs" dxfId="202" priority="130586" operator="between">
      <formula>$FS$46</formula>
      <formula>$FS$47</formula>
    </cfRule>
    <cfRule type="cellIs" dxfId="201" priority="130587" operator="between">
      <formula>$FS$45</formula>
      <formula>$FS$46</formula>
    </cfRule>
  </conditionalFormatting>
  <conditionalFormatting sqref="GN1:GN1048576 GQ1:GQ1048576 GU1:GU1048576 GX1:GX1048576">
    <cfRule type="cellIs" dxfId="200" priority="130632" operator="between">
      <formula>$HA$44</formula>
      <formula>1000</formula>
    </cfRule>
    <cfRule type="cellIs" dxfId="199" priority="130633" operator="between">
      <formula>$HA$43</formula>
      <formula>$HA$44</formula>
    </cfRule>
    <cfRule type="cellIs" dxfId="198" priority="130634" operator="between">
      <formula>$HA$42</formula>
      <formula>$HA$43</formula>
    </cfRule>
    <cfRule type="cellIs" dxfId="197" priority="130635" operator="between">
      <formula>$HA$41</formula>
      <formula>$HA$42</formula>
    </cfRule>
  </conditionalFormatting>
  <conditionalFormatting sqref="GP1:GP1048576 GS1:GS1048576 GW1:GW1048576 GZ1:GZ1048576">
    <cfRule type="cellIs" dxfId="196" priority="130680" operator="between">
      <formula>$HA$48</formula>
      <formula>1000</formula>
    </cfRule>
    <cfRule type="cellIs" dxfId="195" priority="130681" operator="between">
      <formula>$HA$47</formula>
      <formula>$HA$48</formula>
    </cfRule>
    <cfRule type="cellIs" dxfId="194" priority="130682" operator="between">
      <formula>$HA$46</formula>
      <formula>$HA$47</formula>
    </cfRule>
    <cfRule type="cellIs" dxfId="193" priority="130683" operator="between">
      <formula>$HA$45</formula>
      <formula>$HA$46</formula>
    </cfRule>
  </conditionalFormatting>
  <conditionalFormatting sqref="HX1:HX1048576 IA1:IA1048576 IE1:IE1048576 IH1:IH1048576">
    <cfRule type="cellIs" dxfId="192" priority="130728" operator="between">
      <formula>$II$48</formula>
      <formula>1000</formula>
    </cfRule>
    <cfRule type="cellIs" dxfId="191" priority="130729" operator="between">
      <formula>$II$47</formula>
      <formula>$II$48</formula>
    </cfRule>
    <cfRule type="cellIs" dxfId="190" priority="130730" operator="between">
      <formula>$II$46</formula>
      <formula>$II$47</formula>
    </cfRule>
    <cfRule type="cellIs" dxfId="189" priority="130731" operator="between">
      <formula>$II$45</formula>
      <formula>$II$46</formula>
    </cfRule>
  </conditionalFormatting>
  <conditionalFormatting sqref="JD1:JD1048576 JG1:JG1048576 JK1:JK1048576 JN1:JN1048576">
    <cfRule type="cellIs" dxfId="188" priority="130776" operator="between">
      <formula>$JQ$44</formula>
      <formula>1000</formula>
    </cfRule>
    <cfRule type="cellIs" dxfId="187" priority="130777" operator="between">
      <formula>$JQ$43</formula>
      <formula>$JQ$44</formula>
    </cfRule>
    <cfRule type="cellIs" dxfId="186" priority="130778" operator="between">
      <formula>$JQ$42</formula>
      <formula>$JQ$43</formula>
    </cfRule>
    <cfRule type="cellIs" dxfId="185" priority="130779" operator="between">
      <formula>$JQ$41</formula>
      <formula>$JQ$42</formula>
    </cfRule>
  </conditionalFormatting>
  <conditionalFormatting sqref="JF1:JF1048576 JI1:JI1048576 JM1:JM1048576 JP1:JP1048576">
    <cfRule type="cellIs" dxfId="184" priority="130824" operator="between">
      <formula>$JQ$48</formula>
      <formula>1000</formula>
    </cfRule>
    <cfRule type="cellIs" dxfId="183" priority="130825" operator="between">
      <formula>$JQ$47</formula>
      <formula>$JQ$48</formula>
    </cfRule>
    <cfRule type="cellIs" dxfId="182" priority="130826" operator="between">
      <formula>$JQ$46</formula>
      <formula>$JQ$47</formula>
    </cfRule>
    <cfRule type="cellIs" dxfId="181" priority="130827" operator="between">
      <formula>$JQ$45</formula>
      <formula>$JQ$46</formula>
    </cfRule>
  </conditionalFormatting>
  <conditionalFormatting sqref="KL1:KL1048576 KO1:KO1048576 KS1:KS1048576 KV1:KV1048576">
    <cfRule type="cellIs" dxfId="180" priority="130872" operator="between">
      <formula>$KY$44</formula>
      <formula>1000</formula>
    </cfRule>
    <cfRule type="cellIs" dxfId="179" priority="130873" operator="between">
      <formula>$KY$43</formula>
      <formula>$KY$44</formula>
    </cfRule>
    <cfRule type="cellIs" dxfId="178" priority="130874" operator="between">
      <formula>$KY$42</formula>
      <formula>$KY$43</formula>
    </cfRule>
    <cfRule type="cellIs" dxfId="177" priority="130875" operator="between">
      <formula>$KY$41</formula>
      <formula>$KY$42</formula>
    </cfRule>
  </conditionalFormatting>
  <conditionalFormatting sqref="KN1:KN1048576 KQ1:KQ1048576 KU1:KU1048576 KX1:KX1048576">
    <cfRule type="cellIs" dxfId="176" priority="130920" operator="between">
      <formula>$KY$48</formula>
      <formula>1000</formula>
    </cfRule>
    <cfRule type="cellIs" dxfId="175" priority="130921" operator="between">
      <formula>$KY$47</formula>
      <formula>$KY$48</formula>
    </cfRule>
    <cfRule type="cellIs" dxfId="174" priority="130922" operator="between">
      <formula>$KY$46</formula>
      <formula>$KY$47</formula>
    </cfRule>
    <cfRule type="cellIs" dxfId="173" priority="130923" operator="between">
      <formula>$KY$45</formula>
      <formula>$KY$46</formula>
    </cfRule>
  </conditionalFormatting>
  <conditionalFormatting sqref="LT1:LT1048576 LW1:LW1048576 MA1:MA1048576 MD1:MD1048576">
    <cfRule type="cellIs" dxfId="172" priority="130968" operator="between">
      <formula>$MG$44</formula>
      <formula>1000</formula>
    </cfRule>
    <cfRule type="cellIs" dxfId="171" priority="130969" operator="between">
      <formula>$MG$43</formula>
      <formula>$MG$44</formula>
    </cfRule>
    <cfRule type="cellIs" dxfId="170" priority="130970" operator="between">
      <formula>$MG$42</formula>
      <formula>$MG$43</formula>
    </cfRule>
    <cfRule type="cellIs" dxfId="169" priority="130971" operator="between">
      <formula>$MG$41</formula>
      <formula>$MG$42</formula>
    </cfRule>
  </conditionalFormatting>
  <conditionalFormatting sqref="LV1:LV1048576 LY1:LY1048576 MC1:MC1048576 MF1:MF1048576">
    <cfRule type="cellIs" dxfId="168" priority="131016" operator="between">
      <formula>$MG$48</formula>
      <formula>1000</formula>
    </cfRule>
    <cfRule type="cellIs" dxfId="167" priority="131017" operator="between">
      <formula>$MG$47</formula>
      <formula>$MG$48</formula>
    </cfRule>
    <cfRule type="cellIs" dxfId="166" priority="131018" operator="between">
      <formula>$MG$46</formula>
      <formula>$MG$47</formula>
    </cfRule>
    <cfRule type="cellIs" dxfId="165" priority="131019" operator="between">
      <formula>$MG$45</formula>
      <formula>$MG$46</formula>
    </cfRule>
  </conditionalFormatting>
  <conditionalFormatting sqref="NB1:NB1048576 NE1:NE1048576 NI1:NI1048576">
    <cfRule type="cellIs" dxfId="164" priority="131064" operator="between">
      <formula>$NO$44</formula>
      <formula>1000</formula>
    </cfRule>
    <cfRule type="cellIs" dxfId="163" priority="131065" operator="between">
      <formula>$NO$43</formula>
      <formula>$NO$44</formula>
    </cfRule>
    <cfRule type="cellIs" dxfId="162" priority="131066" operator="between">
      <formula>$NO$42</formula>
      <formula>$NO$43</formula>
    </cfRule>
  </conditionalFormatting>
  <conditionalFormatting sqref="ND1:ND1048576 NG1:NG1048576 NK1:NK1048576 NN1:NN1048576">
    <cfRule type="cellIs" dxfId="161" priority="131091" operator="between">
      <formula>$NO$48</formula>
      <formula>1000</formula>
    </cfRule>
    <cfRule type="cellIs" dxfId="160" priority="131092" operator="between">
      <formula>$NO$47</formula>
      <formula>$NO$48</formula>
    </cfRule>
    <cfRule type="cellIs" dxfId="159" priority="131093" operator="between">
      <formula>$NO$46</formula>
      <formula>$NO$47</formula>
    </cfRule>
    <cfRule type="cellIs" dxfId="158" priority="131094" operator="between">
      <formula>$NO$45</formula>
      <formula>$NO$46</formula>
    </cfRule>
  </conditionalFormatting>
  <conditionalFormatting sqref="OJ1:OJ1048576 OM1:OM1048576 OQ1:OQ1048576 OT1:OT1048576">
    <cfRule type="cellIs" dxfId="157" priority="131139" operator="between">
      <formula>$OW$44</formula>
      <formula>1000</formula>
    </cfRule>
    <cfRule type="cellIs" dxfId="156" priority="131140" operator="between">
      <formula>$OW$43</formula>
      <formula>$OW$44</formula>
    </cfRule>
    <cfRule type="cellIs" dxfId="155" priority="131141" operator="between">
      <formula>$OW$42</formula>
      <formula>$OW$43</formula>
    </cfRule>
    <cfRule type="cellIs" dxfId="154" priority="131142" operator="between">
      <formula>$OW$41</formula>
      <formula>$OW$42</formula>
    </cfRule>
  </conditionalFormatting>
  <conditionalFormatting sqref="OL1:OL1048576 OO1:OO1048576 OS1:OS1048576 OV1:OV1048576">
    <cfRule type="cellIs" dxfId="153" priority="131187" operator="between">
      <formula>$OW$48</formula>
      <formula>1000</formula>
    </cfRule>
    <cfRule type="cellIs" dxfId="152" priority="131188" operator="between">
      <formula>$OW$47</formula>
      <formula>$OW$48</formula>
    </cfRule>
    <cfRule type="cellIs" dxfId="151" priority="131189" operator="between">
      <formula>$OW$46</formula>
      <formula>$OW$47</formula>
    </cfRule>
    <cfRule type="cellIs" dxfId="150" priority="131190" operator="between">
      <formula>$OW$45</formula>
      <formula>$OW$46</formula>
    </cfRule>
  </conditionalFormatting>
  <conditionalFormatting sqref="PR1:PR1048576 PU1:PU1048576 PY1:PY1048576 QB1:QB1048576">
    <cfRule type="cellIs" dxfId="149" priority="131235" operator="between">
      <formula>$QE$44</formula>
      <formula>1000</formula>
    </cfRule>
    <cfRule type="cellIs" dxfId="148" priority="131236" operator="between">
      <formula>$QE$43</formula>
      <formula>$QE$44</formula>
    </cfRule>
    <cfRule type="cellIs" dxfId="147" priority="131237" operator="between">
      <formula>$QE$42</formula>
      <formula>$QE$43</formula>
    </cfRule>
    <cfRule type="cellIs" dxfId="146" priority="131238" operator="between">
      <formula>$QE$41</formula>
      <formula>$QE$42</formula>
    </cfRule>
  </conditionalFormatting>
  <conditionalFormatting sqref="PT1:PT1048576 PW1:PW1048576 QA1:QA1048576 QD1:QD1048576">
    <cfRule type="cellIs" dxfId="145" priority="131283" operator="between">
      <formula>$QE$48</formula>
      <formula>1000</formula>
    </cfRule>
    <cfRule type="cellIs" dxfId="144" priority="131284" operator="between">
      <formula>$QE$47</formula>
      <formula>$QE$48</formula>
    </cfRule>
    <cfRule type="cellIs" dxfId="143" priority="131285" operator="between">
      <formula>$QE$46</formula>
      <formula>$QE$47</formula>
    </cfRule>
    <cfRule type="cellIs" dxfId="142" priority="131286" operator="between">
      <formula>$QE$45</formula>
      <formula>$QE$46</formula>
    </cfRule>
  </conditionalFormatting>
  <conditionalFormatting sqref="QZ1:QZ1048576 RC1:RC1048576 RG1:RG1048576 RJ1:RJ1048576">
    <cfRule type="cellIs" dxfId="141" priority="131331" operator="between">
      <formula>$RM$44</formula>
      <formula>1000</formula>
    </cfRule>
    <cfRule type="cellIs" dxfId="140" priority="131332" operator="between">
      <formula>$RM$43</formula>
      <formula>$RM$44</formula>
    </cfRule>
    <cfRule type="cellIs" dxfId="139" priority="131333" operator="between">
      <formula>$RM$42</formula>
      <formula>$RM$43</formula>
    </cfRule>
    <cfRule type="cellIs" dxfId="138" priority="131334" operator="between">
      <formula>$RM$41</formula>
      <formula>$RM$42</formula>
    </cfRule>
  </conditionalFormatting>
  <conditionalFormatting sqref="RB1:RB1048576 RE1:RE1048576 RI1:RI1048576 RL1:RL1048576">
    <cfRule type="cellIs" dxfId="137" priority="131379" operator="between">
      <formula>$RM$48</formula>
      <formula>1000</formula>
    </cfRule>
    <cfRule type="cellIs" dxfId="136" priority="131380" operator="between">
      <formula>$RM$47</formula>
      <formula>$RM$48</formula>
    </cfRule>
    <cfRule type="cellIs" dxfId="135" priority="131381" operator="between">
      <formula>$RM$46</formula>
      <formula>$RM$47</formula>
    </cfRule>
    <cfRule type="cellIs" dxfId="134" priority="131382" operator="between">
      <formula>$RM$45</formula>
      <formula>$RM$46</formula>
    </cfRule>
  </conditionalFormatting>
  <conditionalFormatting sqref="SH1:SH1048576 SK1:SK1048576 SO1:SO1048576 SR1:SR1048576">
    <cfRule type="cellIs" dxfId="133" priority="131427" operator="between">
      <formula>$SU$44</formula>
      <formula>1000</formula>
    </cfRule>
    <cfRule type="cellIs" dxfId="132" priority="131428" operator="between">
      <formula>$SU$43</formula>
      <formula>$SU$44</formula>
    </cfRule>
    <cfRule type="cellIs" dxfId="131" priority="131429" operator="between">
      <formula>$SU$42</formula>
      <formula>$SU$43</formula>
    </cfRule>
    <cfRule type="cellIs" dxfId="130" priority="131430" operator="between">
      <formula>$SU$41</formula>
      <formula>$SU$42</formula>
    </cfRule>
  </conditionalFormatting>
  <conditionalFormatting sqref="SJ1:SJ1048576 SM1:SM1048576 SQ1:SQ1048576 ST1:ST1048576">
    <cfRule type="cellIs" dxfId="129" priority="131475" operator="between">
      <formula>$SU$48</formula>
      <formula>1000</formula>
    </cfRule>
    <cfRule type="cellIs" dxfId="128" priority="131476" operator="between">
      <formula>$SU$47</formula>
      <formula>$SU$48</formula>
    </cfRule>
    <cfRule type="cellIs" dxfId="127" priority="131477" operator="between">
      <formula>$SU$46</formula>
      <formula>$SU$47</formula>
    </cfRule>
    <cfRule type="cellIs" dxfId="126" priority="131478" operator="between">
      <formula>$SU$45</formula>
      <formula>$SU$46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162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212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160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188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197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199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153</v>
      </c>
      <c r="D4" s="4" t="s">
        <v>3</v>
      </c>
      <c r="E4" s="4">
        <v>2006</v>
      </c>
      <c r="F4" s="9">
        <f t="shared" ref="F4:F23" si="0">SUM(L4:T4)+SUM(L4:P4)*0.0000001+SUM(L4)*0.0000000000001</f>
        <v>188.00001321000522</v>
      </c>
      <c r="G4" s="66" t="s">
        <v>46</v>
      </c>
      <c r="H4" s="3" t="str">
        <f t="shared" ref="H4:H23" si="1"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 t="shared" ref="I4:I23" si="2"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 t="shared" ref="J4:J23" si="3"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 t="shared" ref="K4:K23" si="4"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 t="shared" ref="M4:M23" si="5">IF(L4=0,"",IF(L4=CY4,$CC$1,IF(L4=BV4,$AZ$1,IF(L4=AS4,$W$1,""))))</f>
        <v>2023 3rd Domestic Trial</v>
      </c>
      <c r="N4" s="8">
        <f>IF(COUNT(AS4,BV4,CY4)&gt;1,LARGE((AS4,BV4,CY4),2),0)</f>
        <v>51.7</v>
      </c>
      <c r="O4" s="8" t="str">
        <f t="shared" ref="O4:O23" si="6">IF(N4=0,"",IF(N4=CY4,$CC$1,IF(N4=BV4,$AZ$1,IF(N4=AS4,$W$1,""))))</f>
        <v>2024 Elite Canada</v>
      </c>
      <c r="P4" s="8">
        <f>IF(COUNT(AT4,BW4,CZ4)&gt;0,LARGE((AT4,BW4,CZ4),1),0)</f>
        <v>28.5</v>
      </c>
      <c r="Q4" s="8" t="str">
        <f t="shared" ref="Q4:Q23" si="7">IF(P4=0,"",IF(P4=CZ4,$CC$1,IF(P4=BW4,$AZ$1,IF(P4=AT4,$W$1,""))))</f>
        <v>2024 Elite Canada</v>
      </c>
      <c r="R4" s="8">
        <f t="shared" ref="R4:R23" si="8">IF(MAX(AX4,CA4,DD4)&gt;0,MAX(AX4,CA4,DD4),0)</f>
        <v>52.900000000000006</v>
      </c>
      <c r="S4" s="8" t="str">
        <f t="shared" ref="S4:S23" si="9">IF(R4=0,"",IF(R4=DD4,$CC$1,IF(R4=CA4,$AZ$1,IF(R4=AX4,$W$1,""))))</f>
        <v>2024 Elite Canada</v>
      </c>
      <c r="T4" s="8">
        <f t="shared" ref="T4:T23" si="10">IF(MAX(DF4:DH4)&gt;0,MAX(DF4:DH4),"")</f>
        <v>3</v>
      </c>
      <c r="U4" s="11" t="str">
        <f t="shared" ref="U4:U23" si="11">IF(T4="","",IF(T4=DF4,"("&amp;DF$2&amp;")",IF(T4=DG4,"("&amp;DG$2&amp;")",IF(T4=DH4,"("&amp;DH$2&amp;")"))))</f>
        <v>(Q1)</v>
      </c>
      <c r="V4" s="8" t="str">
        <f t="shared" ref="V4:V23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7.3</v>
      </c>
      <c r="Y4" s="19">
        <v>0</v>
      </c>
      <c r="Z4" s="19">
        <v>0</v>
      </c>
      <c r="AA4" s="19">
        <v>17.399999999999999</v>
      </c>
      <c r="AB4" s="19">
        <v>8.5</v>
      </c>
      <c r="AC4" s="19">
        <v>0</v>
      </c>
      <c r="AD4" s="19">
        <v>0</v>
      </c>
      <c r="AE4" s="19">
        <v>17.399999999999999</v>
      </c>
      <c r="AF4" s="19">
        <v>8.1999999999999993</v>
      </c>
      <c r="AG4" s="19">
        <v>0</v>
      </c>
      <c r="AH4" s="19">
        <v>0</v>
      </c>
      <c r="AI4" s="19">
        <v>18.2</v>
      </c>
      <c r="AJ4" s="19">
        <v>8.1999999999999993</v>
      </c>
      <c r="AK4" s="19">
        <v>0</v>
      </c>
      <c r="AL4" s="19">
        <v>0</v>
      </c>
      <c r="AM4" s="19">
        <v>16.8</v>
      </c>
      <c r="AN4" s="19">
        <v>6.5</v>
      </c>
      <c r="AO4" s="19">
        <v>0</v>
      </c>
      <c r="AP4" s="19">
        <v>0</v>
      </c>
      <c r="AQ4" s="27"/>
      <c r="AR4" s="40">
        <f t="shared" ref="AR4:AR23" si="13">IF(SUM(X4,AB4)&gt;0,SUM(X4,AB4),"")</f>
        <v>15.8</v>
      </c>
      <c r="AS4" s="40">
        <f t="shared" ref="AS4:AS23" si="14">IF(SUM(W4:X4,Z4:AB4,AD4)-Y4-AC4&gt;0,SUM(W4:X4,Z4:AB4,AD4)-Y4-AC4,"")</f>
        <v>51</v>
      </c>
      <c r="AT4" s="40">
        <f t="shared" ref="AT4:AT23" si="15">IF(SUM(AE4:AF4,AH4)-AG4&gt;0,SUM(AE4:AF4,AH4)-AG4,"")</f>
        <v>25.599999999999998</v>
      </c>
      <c r="AU4" s="40">
        <f t="shared" ref="AU4:AU23" si="16">IF(SUM(X4,AB4,AF4)&gt;0,SUM(X4,AB4,AF4),"")</f>
        <v>24</v>
      </c>
      <c r="AV4" s="40">
        <f t="shared" ref="AV4:AV23" si="17">IF(SUM(AS4,AT4)&gt;0,SUM(AS4,AT4),"")</f>
        <v>76.599999999999994</v>
      </c>
      <c r="AW4" s="40">
        <f t="shared" ref="AW4:AW23" si="18">IF(SUM(AJ4,AN4)&gt;0,SUM(AJ4,AN4),"")</f>
        <v>14.7</v>
      </c>
      <c r="AX4" s="40">
        <f t="shared" ref="AX4:AX23" si="19">IF(SUM(AI4:AJ4,AL4:AN4,AP4)-SUM(AK4,AO4)&gt;0,SUM(AI4:AJ4,AL4:AN4,AP4)-SUM(AK4,AO4),"")</f>
        <v>49.7</v>
      </c>
      <c r="AY4" s="40">
        <f t="shared" ref="AY4:AY23" si="20">IF(SUM(AS4,AT4,AX4)&gt;0,SUM(AS4,AT4,AX4),"")</f>
        <v>126.3</v>
      </c>
      <c r="AZ4" s="18">
        <v>17.8</v>
      </c>
      <c r="BA4" s="18">
        <v>8.1999999999999993</v>
      </c>
      <c r="BB4" s="18">
        <v>0</v>
      </c>
      <c r="BC4" s="18">
        <v>0</v>
      </c>
      <c r="BD4" s="18">
        <v>18.2</v>
      </c>
      <c r="BE4" s="18">
        <v>7.7</v>
      </c>
      <c r="BF4" s="18">
        <v>0</v>
      </c>
      <c r="BG4" s="18">
        <v>0</v>
      </c>
      <c r="BH4" s="18">
        <v>17.600000000000001</v>
      </c>
      <c r="BI4" s="18">
        <v>8.1999999999999993</v>
      </c>
      <c r="BJ4" s="18">
        <v>0</v>
      </c>
      <c r="BK4" s="18">
        <v>0</v>
      </c>
      <c r="BL4" s="18">
        <v>18.100000000000001</v>
      </c>
      <c r="BM4" s="18">
        <v>8.1999999999999993</v>
      </c>
      <c r="BN4" s="18">
        <v>0</v>
      </c>
      <c r="BO4" s="18">
        <v>0</v>
      </c>
      <c r="BP4" s="18">
        <v>18.2</v>
      </c>
      <c r="BQ4" s="18">
        <v>7.7</v>
      </c>
      <c r="BR4" s="18">
        <v>0</v>
      </c>
      <c r="BS4" s="18">
        <v>0</v>
      </c>
      <c r="BT4" s="28"/>
      <c r="BU4" s="11">
        <f t="shared" ref="BU4:BU23" si="21">IF(SUM(BA4,BE4)&gt;0,SUM(BA4,BE4),"")</f>
        <v>15.899999999999999</v>
      </c>
      <c r="BV4" s="11">
        <f t="shared" ref="BV4:BV23" si="22">IF(SUM(AZ4:BA4,BC4:BE4,BG4)-BB4-BF4&gt;0,SUM(AZ4:BA4,BC4:BE4,BG4)-BB4-BF4,"")</f>
        <v>51.900000000000006</v>
      </c>
      <c r="BW4" s="11">
        <f t="shared" ref="BW4:BW23" si="23">IF(SUM(BH4:BI4,BK4)-BJ4&gt;0,SUM(BH4:BI4,BK4)-BJ4,"")</f>
        <v>25.8</v>
      </c>
      <c r="BX4" s="11">
        <f t="shared" ref="BX4:BX23" si="24">IF(SUM(BA4,BE4,BI4)&gt;0,SUM(BA4,BE4,BI4),"")</f>
        <v>24.099999999999998</v>
      </c>
      <c r="BY4" s="11">
        <f t="shared" ref="BY4:BY23" si="25">IF(SUM(BV4,BW4)&gt;0,SUM(BV4,BW4),"")</f>
        <v>77.7</v>
      </c>
      <c r="BZ4" s="11">
        <f t="shared" ref="BZ4:BZ23" si="26">IF(SUM(BM4,BQ4)&gt;0,SUM(BM4,BQ4),"")</f>
        <v>15.899999999999999</v>
      </c>
      <c r="CA4" s="11">
        <f t="shared" ref="CA4:CA23" si="27">IF(SUM(BL4:BM4,BO4:BQ4,BS4)-SUM(BN4,BR4)&gt;0,SUM(BL4:BM4,BO4:BQ4,BS4)-SUM(BN4,BR4),"")</f>
        <v>52.2</v>
      </c>
      <c r="CB4" s="11">
        <f t="shared" ref="CB4:CB23" si="28">IF(SUM(BV4,BW4,CA4)&gt;0,SUM(BV4,BW4,CA4),"")</f>
        <v>129.9</v>
      </c>
      <c r="CC4" s="19">
        <v>18.600000000000001</v>
      </c>
      <c r="CD4" s="19">
        <v>8.1999999999999993</v>
      </c>
      <c r="CE4" s="19">
        <v>0</v>
      </c>
      <c r="CF4" s="19">
        <v>0</v>
      </c>
      <c r="CG4" s="19">
        <v>18.399999999999999</v>
      </c>
      <c r="CH4" s="19">
        <v>6.5</v>
      </c>
      <c r="CI4" s="19">
        <v>0</v>
      </c>
      <c r="CJ4" s="19">
        <v>0</v>
      </c>
      <c r="CK4" s="19">
        <v>19.2</v>
      </c>
      <c r="CL4" s="19">
        <v>9.3000000000000007</v>
      </c>
      <c r="CM4" s="19">
        <v>0</v>
      </c>
      <c r="CN4" s="19">
        <v>0</v>
      </c>
      <c r="CO4" s="19">
        <v>18.5</v>
      </c>
      <c r="CP4" s="19">
        <v>8.1999999999999993</v>
      </c>
      <c r="CQ4" s="19">
        <v>0</v>
      </c>
      <c r="CR4" s="19">
        <v>0</v>
      </c>
      <c r="CS4" s="19">
        <v>18.5</v>
      </c>
      <c r="CT4" s="19">
        <v>7.7</v>
      </c>
      <c r="CU4" s="19">
        <v>0</v>
      </c>
      <c r="CV4" s="19">
        <v>0</v>
      </c>
      <c r="CW4" s="27"/>
      <c r="CX4" s="40">
        <f t="shared" ref="CX4:CX23" si="29">IF(SUM(CD4,CH4)&gt;0,SUM(CD4,CH4),"")</f>
        <v>14.7</v>
      </c>
      <c r="CY4" s="40">
        <f t="shared" ref="CY4:CY23" si="30">IF(SUM(CC4:CD4,CF4:CH4,CJ4)-CE4-CI4&gt;0,SUM(CC4:CD4,CF4:CH4,CJ4)-CE4-CI4,"")</f>
        <v>51.7</v>
      </c>
      <c r="CZ4" s="40">
        <f t="shared" ref="CZ4:CZ23" si="31">IF(SUM(CK4:CL4,CN4)-CM4&gt;0,SUM(CK4:CL4,CN4)-CM4,"")</f>
        <v>28.5</v>
      </c>
      <c r="DA4" s="40">
        <f t="shared" ref="DA4:DA23" si="32">IF(SUM(CD4,CH4,CL4)&gt;0,SUM(CD4,CH4,CL4),"")</f>
        <v>24</v>
      </c>
      <c r="DB4" s="40">
        <f t="shared" ref="DB4:DB23" si="33">IF(SUM(CY4,CZ4)&gt;0,SUM(CY4,CZ4),"")</f>
        <v>80.2</v>
      </c>
      <c r="DC4" s="40">
        <f t="shared" ref="DC4:DC23" si="34">IF(SUM(CP4,CT4)&gt;0,SUM(CP4,CT4),"")</f>
        <v>15.899999999999999</v>
      </c>
      <c r="DD4" s="40">
        <f t="shared" ref="DD4:DD23" si="35">IF(SUM(CO4:CP4,CR4:CT4,CV4)-SUM(CQ4,CU4)&gt;0,SUM(CO4:CP4,CR4:CT4,CV4)-SUM(CQ4,CU4),"")</f>
        <v>52.900000000000006</v>
      </c>
      <c r="DE4" s="40">
        <f t="shared" ref="DE4:DE23" si="36">IF(SUM(CY4,CZ4,DD4)&gt;0,SUM(CY4,CZ4,DD4),"")</f>
        <v>133.10000000000002</v>
      </c>
      <c r="DF4" s="50">
        <f t="shared" ref="DF4:DF23" si="37">IF(MAX(ED4,FF4,GH4,HJ4,IL4,JN4,KP4,LR4,MT4,NV4,OX4,PZ4)-IF(N4="",0,N4)&gt;0.001,MAX(ED4,FF4,GH4,HJ4,IL4,JN4,KP4,LR4,MT4,NV4,OX4,PZ4)-IF(N4="",0,N4),"")</f>
        <v>3</v>
      </c>
      <c r="DG4" s="50" t="str">
        <f t="shared" ref="DG4:DG23" si="38">IF(MAX(EE4,FG4,GI4,HK4,IM4,JO4,KQ4,LS4,MU4,NW4,OY4,QA4)-IF(P4="",0,P4)&gt;0.001,MAX(EE4,FG4,GI4,HK4,IM4,JO4,KQ4,LS4,MU4,NW4,OY4,QA4)-IF(P4="",0,P4),"")</f>
        <v/>
      </c>
      <c r="DH4" s="50">
        <f t="shared" ref="DH4:DH23" si="39"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 t="shared" ref="EC4:EC23" si="40">IF(SUM(DJ4,DN4)&gt;0,SUM(DJ4,DN4),"")</f>
        <v/>
      </c>
      <c r="ED4" s="40" t="str">
        <f t="shared" ref="ED4:ED23" si="41">IF(SUM(DI4:DJ4,DL4:DN4,DP4)-DK4-DO4&gt;0,SUM(DI4:DJ4,DL4:DN4,DP4)-DK4-DO4,"")</f>
        <v/>
      </c>
      <c r="EE4" s="40" t="str">
        <f t="shared" ref="EE4:EE23" si="42">IF(SUM(DQ4:DR4,DT4)-DS4&gt;0,SUM(DQ4:DR4,DT4)-DS4,"")</f>
        <v/>
      </c>
      <c r="EF4" s="40" t="str">
        <f t="shared" ref="EF4:EF23" si="43">IF(SUM(DJ4,DN4,DR4)&gt;0,SUM(DJ4,DN4,DR4),"")</f>
        <v/>
      </c>
      <c r="EG4" s="40" t="str">
        <f t="shared" ref="EG4:EG23" si="44">IF(SUM(ED4,EE4)&gt;0,SUM(ED4,EE4),"")</f>
        <v/>
      </c>
      <c r="EH4" s="40" t="str">
        <f t="shared" ref="EH4:EH23" si="45">IF(SUM(DV4,DZ4)&gt;0,SUM(DV4,DZ4),"")</f>
        <v/>
      </c>
      <c r="EI4" s="40" t="str">
        <f t="shared" ref="EI4:EI23" si="46">IF(SUM(DU4:DV4,DX4:DZ4,EB4)-SUM(DW4,EA4)&gt;0,SUM(DU4:DV4,DX4:DZ4,EB4)-SUM(DW4,EA4),"")</f>
        <v/>
      </c>
      <c r="EJ4" s="40" t="str">
        <f t="shared" ref="EJ4:EJ23" si="47"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 t="shared" ref="FE4:FE23" si="48">IF(SUM(EL4,EP4)&gt;0,SUM(EL4,EP4),"")</f>
        <v>16.7</v>
      </c>
      <c r="FF4" s="11">
        <f t="shared" ref="FF4:FF23" si="49">IF(SUM(EK4:EL4,EN4:EP4,ER4)-EM4-EQ4&gt;0,SUM(EK4:EL4,EN4:EP4,ER4)-EM4-EQ4,"")</f>
        <v>52.8</v>
      </c>
      <c r="FG4" s="11" t="str">
        <f t="shared" ref="FG4:FG23" si="50">IF(SUM(ES4:ET4,EV4)-EU4&gt;0,SUM(ES4:ET4,EV4)-EU4,"")</f>
        <v/>
      </c>
      <c r="FH4" s="11">
        <f t="shared" ref="FH4:FH23" si="51">IF(SUM(EL4,EP4,ET4)&gt;0,SUM(EL4,EP4,ET4),"")</f>
        <v>16.7</v>
      </c>
      <c r="FI4" s="11">
        <f t="shared" ref="FI4:FI23" si="52">IF(SUM(FF4,FG4)&gt;0,SUM(FF4,FG4),"")</f>
        <v>52.8</v>
      </c>
      <c r="FJ4" s="11">
        <f t="shared" ref="FJ4:FJ23" si="53">IF(SUM(EX4,FB4)&gt;0,SUM(EX4,FB4),"")</f>
        <v>17.100000000000001</v>
      </c>
      <c r="FK4" s="11">
        <f t="shared" ref="FK4:FK23" si="54">IF(SUM(EW4:EX4,EZ4:FB4,FD4)-SUM(EY4,FC4)&gt;0,SUM(EW4:EX4,EZ4:FB4,FD4)-SUM(EY4,FC4),"")</f>
        <v>53.500000000000007</v>
      </c>
      <c r="FL4" s="11">
        <f t="shared" ref="FL4:FL23" si="55"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 t="shared" ref="GG4:GG23" si="56">IF(SUM(FN4,FR4)&gt;0,SUM(FN4,FR4),"")</f>
        <v>17.5</v>
      </c>
      <c r="GH4" s="40">
        <f t="shared" ref="GH4:GH23" si="57">IF(SUM(FM4:FN4,FP4:FR4,FT4)-FO4-FS4&gt;0,SUM(FM4:FN4,FP4:FR4,FT4)-FO4-FS4,"")</f>
        <v>54.7</v>
      </c>
      <c r="GI4" s="40">
        <f t="shared" ref="GI4:GI23" si="58">IF(SUM(FU4:FV4,FX4)-FW4&gt;0,SUM(FU4:FV4,FX4)-FW4,"")</f>
        <v>25.099999999999998</v>
      </c>
      <c r="GJ4" s="40">
        <f t="shared" ref="GJ4:GJ23" si="59">IF(SUM(FN4,FR4,FV4)&gt;0,SUM(FN4,FR4,FV4),"")</f>
        <v>25.2</v>
      </c>
      <c r="GK4" s="40">
        <f t="shared" ref="GK4:GK23" si="60">IF(SUM(GH4,GI4)&gt;0,SUM(GH4,GI4),"")</f>
        <v>79.8</v>
      </c>
      <c r="GL4" s="40" t="str">
        <f t="shared" ref="GL4:GL23" si="61">IF(SUM(FZ4,GD4)&gt;0,SUM(FZ4,GD4),"")</f>
        <v/>
      </c>
      <c r="GM4" s="40" t="str">
        <f t="shared" ref="GM4:GM23" si="62">IF(SUM(FY4:FZ4,GB4:GD4,GF4)-SUM(GA4,GE4)&gt;0,SUM(FY4:FZ4,GB4:GD4,GF4)-SUM(GA4,GE4),"")</f>
        <v/>
      </c>
      <c r="GN4" s="40">
        <f t="shared" ref="GN4:GN23" si="63"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23" si="64">IF(SUM(GP4,GT4)&gt;0,SUM(GP4,GT4),"")</f>
        <v/>
      </c>
      <c r="HJ4" s="11" t="str">
        <f t="shared" ref="HJ4:HJ23" si="65">IF(SUM(GO4:GP4,GR4:GT4,GV4)-GQ4-GU4&gt;0,SUM(GO4:GP4,GR4:GT4,GV4)-GQ4-GU4,"")</f>
        <v/>
      </c>
      <c r="HK4" s="11" t="str">
        <f t="shared" ref="HK4:HK23" si="66">IF(SUM(GW4:GX4,GZ4)-GY4&gt;0,SUM(GW4:GX4,GZ4)-GY4,"")</f>
        <v/>
      </c>
      <c r="HL4" s="11" t="str">
        <f t="shared" ref="HL4:HL23" si="67">IF(SUM(GP4,GT4,GX4)&gt;0,SUM(GP4,GT4,GX4),"")</f>
        <v/>
      </c>
      <c r="HM4" s="11" t="str">
        <f t="shared" ref="HM4:HM23" si="68">IF(SUM(HJ4,HK4)&gt;0,SUM(HJ4,HK4),"")</f>
        <v/>
      </c>
      <c r="HN4" s="11" t="str">
        <f t="shared" ref="HN4:HN23" si="69">IF(SUM(HB4,HF4)&gt;0,SUM(HB4,HF4),"")</f>
        <v/>
      </c>
      <c r="HO4" s="11" t="str">
        <f t="shared" ref="HO4:HO23" si="70">IF(SUM(HA4:HB4,HD4:HF4,HH4)-SUM(HC4,HG4)&gt;0,SUM(HA4:HB4,HD4:HF4,HH4)-SUM(HC4,HG4),"")</f>
        <v/>
      </c>
      <c r="HP4" s="11" t="str">
        <f t="shared" ref="HP4:HP23" si="71"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23" si="72">IF(SUM(HR4,HV4)&gt;0,SUM(HR4,HV4),"")</f>
        <v/>
      </c>
      <c r="IL4" s="40" t="str">
        <f t="shared" ref="IL4:IL23" si="73">IF(SUM(HQ4:HR4,HT4:HV4,HX4)-HS4-HW4&gt;0,SUM(HQ4:HR4,HT4:HV4,HX4)-HS4-HW4,"")</f>
        <v/>
      </c>
      <c r="IM4" s="40" t="str">
        <f t="shared" ref="IM4:IM23" si="74">IF(SUM(HY4:HZ4,IB4)-IA4&gt;0,SUM(HY4:HZ4,IB4)-IA4,"")</f>
        <v/>
      </c>
      <c r="IN4" s="40" t="str">
        <f t="shared" ref="IN4:IN23" si="75">IF(SUM(HR4,HV4,HZ4)&gt;0,SUM(HR4,HV4,HZ4),"")</f>
        <v/>
      </c>
      <c r="IO4" s="40" t="str">
        <f t="shared" ref="IO4:IO23" si="76">IF(SUM(IL4,IM4)&gt;0,SUM(IL4,IM4),"")</f>
        <v/>
      </c>
      <c r="IP4" s="40" t="str">
        <f t="shared" ref="IP4:IP23" si="77">IF(SUM(ID4,IH4)&gt;0,SUM(ID4,IH4),"")</f>
        <v/>
      </c>
      <c r="IQ4" s="40" t="str">
        <f t="shared" ref="IQ4:IQ23" si="78">IF(SUM(IC4:ID4,IF4:IH4,IJ4)-SUM(IE4,II4)&gt;0,SUM(IC4:ID4,IF4:IH4,IJ4)-SUM(IE4,II4),"")</f>
        <v/>
      </c>
      <c r="IR4" s="40" t="str">
        <f t="shared" ref="IR4:IR23" si="79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23" si="80">IF(SUM(IT4,IX4)&gt;0,SUM(IT4,IX4),"")</f>
        <v/>
      </c>
      <c r="JN4" s="11" t="str">
        <f t="shared" ref="JN4:JN23" si="81">IF(SUM(IS4:IT4,IV4:IX4,IZ4)-IU4-IY4&gt;0,SUM(IS4:IT4,IV4:IX4,IZ4)-IU4-IY4,"")</f>
        <v/>
      </c>
      <c r="JO4" s="11" t="str">
        <f t="shared" ref="JO4:JO23" si="82">IF(SUM(JA4:JB4,JD4)-JC4&gt;0,SUM(JA4:JB4,JD4)-JC4,"")</f>
        <v/>
      </c>
      <c r="JP4" s="11" t="str">
        <f t="shared" ref="JP4:JP23" si="83">IF(SUM(IT4,IX4,JB4)&gt;0,SUM(IT4,IX4,JB4),"")</f>
        <v/>
      </c>
      <c r="JQ4" s="11" t="str">
        <f t="shared" ref="JQ4:JQ23" si="84">IF(SUM(JN4,JO4)&gt;0,SUM(JN4,JO4),"")</f>
        <v/>
      </c>
      <c r="JR4" s="11" t="str">
        <f t="shared" ref="JR4:JR23" si="85">IF(SUM(JF4,JJ4)&gt;0,SUM(JF4,JJ4),"")</f>
        <v/>
      </c>
      <c r="JS4" s="11" t="str">
        <f t="shared" ref="JS4:JS23" si="86">IF(SUM(JE4:JF4,JH4:JJ4,JL4)-SUM(JG4,JK4)&gt;0,SUM(JE4:JF4,JH4:JJ4,JL4)-SUM(JG4,JK4),"")</f>
        <v/>
      </c>
      <c r="JT4" s="11" t="str">
        <f t="shared" ref="JT4:JT23" si="87"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23" si="88">IF(SUM(JV4,JZ4)&gt;0,SUM(JV4,JZ4),"")</f>
        <v/>
      </c>
      <c r="KP4" s="40" t="str">
        <f t="shared" ref="KP4:KP23" si="89">IF(SUM(JU4:JV4,JX4:JZ4,KB4)-JW4-KA4&gt;0,SUM(JU4:JV4,JX4:JZ4,KB4)-JW4-KA4,"")</f>
        <v/>
      </c>
      <c r="KQ4" s="40" t="str">
        <f t="shared" ref="KQ4:KQ23" si="90">IF(SUM(KC4:KD4,KF4)-KE4&gt;0,SUM(KC4:KD4,KF4)-KE4,"")</f>
        <v/>
      </c>
      <c r="KR4" s="40" t="str">
        <f t="shared" ref="KR4:KR23" si="91">IF(SUM(JV4,JZ4,KD4)&gt;0,SUM(JV4,JZ4,KD4),"")</f>
        <v/>
      </c>
      <c r="KS4" s="40" t="str">
        <f t="shared" ref="KS4:KS23" si="92">IF(SUM(KP4,KQ4)&gt;0,SUM(KP4,KQ4),"")</f>
        <v/>
      </c>
      <c r="KT4" s="40" t="str">
        <f t="shared" ref="KT4:KT23" si="93">IF(SUM(KH4,KL4)&gt;0,SUM(KH4,KL4),"")</f>
        <v/>
      </c>
      <c r="KU4" s="40" t="str">
        <f t="shared" ref="KU4:KU23" si="94">IF(SUM(KG4:KH4,KJ4:KL4,KN4)-SUM(KI4,KM4)&gt;0,SUM(KG4:KH4,KJ4:KL4,KN4)-SUM(KI4,KM4),"")</f>
        <v/>
      </c>
      <c r="KV4" s="40" t="str">
        <f t="shared" ref="KV4:KV23" si="95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23" si="96">IF(SUM(KX4,LB4)&gt;0,SUM(KX4,LB4),"")</f>
        <v/>
      </c>
      <c r="LR4" s="11" t="str">
        <f t="shared" ref="LR4:LR23" si="97">IF(SUM(KW4:KX4,KZ4:LB4,LD4)-KY4-LC4&gt;0,SUM(KW4:KX4,KZ4:LB4,LD4)-KY4-LC4,"")</f>
        <v/>
      </c>
      <c r="LS4" s="11" t="str">
        <f t="shared" ref="LS4:LS23" si="98">IF(SUM(LE4:LF4,LH4)-LG4&gt;0,SUM(LE4:LF4,LH4)-LG4,"")</f>
        <v/>
      </c>
      <c r="LT4" s="11" t="str">
        <f t="shared" ref="LT4:LT23" si="99">IF(SUM(KX4,LB4,LF4)&gt;0,SUM(KX4,LB4,LF4),"")</f>
        <v/>
      </c>
      <c r="LU4" s="11" t="str">
        <f t="shared" ref="LU4:LU23" si="100">IF(SUM(LR4,LS4)&gt;0,SUM(LR4,LS4),"")</f>
        <v/>
      </c>
      <c r="LV4" s="11" t="str">
        <f t="shared" ref="LV4:LV23" si="101">IF(SUM(LJ4,LN4)&gt;0,SUM(LJ4,LN4),"")</f>
        <v/>
      </c>
      <c r="LW4" s="11" t="str">
        <f t="shared" ref="LW4:LW23" si="102">IF(SUM(LI4:LJ4,LL4:LN4,LP4)-SUM(LK4,LO4)&gt;0,SUM(LI4:LJ4,LL4:LN4,LP4)-SUM(LK4,LO4),"")</f>
        <v/>
      </c>
      <c r="LX4" s="11" t="str">
        <f t="shared" ref="LX4:LX23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23" si="104">IF(SUM(LZ4,MD4)&gt;0,SUM(LZ4,MD4),"")</f>
        <v/>
      </c>
      <c r="MT4" s="40" t="str">
        <f t="shared" ref="MT4:MT23" si="105">IF(SUM(LY4:LZ4,MB4:MD4,MF4)-MA4-ME4&gt;0,SUM(LY4:LZ4,MB4:MD4,MF4)-MA4-ME4,"")</f>
        <v/>
      </c>
      <c r="MU4" s="40" t="str">
        <f t="shared" ref="MU4:MU23" si="106">IF(SUM(MG4:MH4,MJ4)-MI4&gt;0,SUM(MG4:MH4,MJ4)-MI4,"")</f>
        <v/>
      </c>
      <c r="MV4" s="40" t="str">
        <f t="shared" ref="MV4:MV23" si="107">IF(SUM(LZ4,MD4,MH4)&gt;0,SUM(LZ4,MD4,MH4),"")</f>
        <v/>
      </c>
      <c r="MW4" s="40" t="str">
        <f t="shared" ref="MW4:MW23" si="108">IF(SUM(MT4,MU4)&gt;0,SUM(MT4,MU4),"")</f>
        <v/>
      </c>
      <c r="MX4" s="40" t="str">
        <f t="shared" ref="MX4:MX23" si="109">IF(SUM(ML4,MP4)&gt;0,SUM(ML4,MP4),"")</f>
        <v/>
      </c>
      <c r="MY4" s="40" t="str">
        <f t="shared" ref="MY4:MY23" si="110">IF(SUM(MK4:ML4,MN4:MP4,MR4)-SUM(MM4,MQ4)&gt;0,SUM(MK4:ML4,MN4:MP4,MR4)-SUM(MM4,MQ4),"")</f>
        <v/>
      </c>
      <c r="MZ4" s="40" t="str">
        <f t="shared" ref="MZ4:MZ23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23" si="112">IF(SUM(NB4,NF4)&gt;0,SUM(NB4,NF4),"")</f>
        <v/>
      </c>
      <c r="NV4" s="11" t="str">
        <f t="shared" ref="NV4:NV23" si="113">IF(SUM(NA4:NB4,ND4:NF4,NH4)-NC4-NG4&gt;0,SUM(NA4:NB4,ND4:NF4,NH4)-NC4-NG4,"")</f>
        <v/>
      </c>
      <c r="NW4" s="11" t="str">
        <f t="shared" ref="NW4:NW23" si="114">IF(SUM(NI4:NJ4,NL4)-NK4&gt;0,SUM(NI4:NJ4,NL4)-NK4,"")</f>
        <v/>
      </c>
      <c r="NX4" s="11" t="str">
        <f t="shared" ref="NX4:NX23" si="115">IF(SUM(NB4,NF4,NJ4)&gt;0,SUM(NB4,NF4,NJ4),"")</f>
        <v/>
      </c>
      <c r="NY4" s="11" t="str">
        <f t="shared" ref="NY4:NY23" si="116">IF(SUM(NV4,NW4)&gt;0,SUM(NV4,NW4),"")</f>
        <v/>
      </c>
      <c r="NZ4" s="11" t="str">
        <f t="shared" ref="NZ4:NZ23" si="117">IF(SUM(NN4,NR4)&gt;0,SUM(NN4,NR4),"")</f>
        <v/>
      </c>
      <c r="OA4" s="11" t="str">
        <f t="shared" ref="OA4:OA23" si="118">IF(SUM(NM4:NN4,NP4:NR4,NT4)-SUM(NO4,NS4)&gt;0,SUM(NM4:NN4,NP4:NR4,NT4)-SUM(NO4,NS4),"")</f>
        <v/>
      </c>
      <c r="OB4" s="11" t="str">
        <f t="shared" ref="OB4:OB23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23" si="120">IF(SUM(OD4,OH4)&gt;0,SUM(OD4,OH4),"")</f>
        <v/>
      </c>
      <c r="OX4" s="40" t="str">
        <f t="shared" ref="OX4:OX23" si="121">IF(SUM(OC4:OD4,OF4:OH4,OJ4)-OE4-OI4&gt;0,SUM(OC4:OD4,OF4:OH4,OJ4)-OE4-OI4,"")</f>
        <v/>
      </c>
      <c r="OY4" s="40" t="str">
        <f t="shared" ref="OY4:OY23" si="122">IF(SUM(OK4:OL4,ON4)-OM4&gt;0,SUM(OK4:OL4,ON4)-OM4,"")</f>
        <v/>
      </c>
      <c r="OZ4" s="40" t="str">
        <f t="shared" ref="OZ4:OZ23" si="123">IF(SUM(OD4,OH4,OL4)&gt;0,SUM(OD4,OH4,OL4),"")</f>
        <v/>
      </c>
      <c r="PA4" s="40" t="str">
        <f t="shared" ref="PA4:PA23" si="124">IF(SUM(OX4,OY4)&gt;0,SUM(OX4,OY4),"")</f>
        <v/>
      </c>
      <c r="PB4" s="40" t="str">
        <f t="shared" ref="PB4:PB23" si="125">IF(SUM(OP4,OT4)&gt;0,SUM(OP4,OT4),"")</f>
        <v/>
      </c>
      <c r="PC4" s="40" t="str">
        <f t="shared" ref="PC4:PC23" si="126">IF(SUM(OO4:OP4,OR4:OT4,OV4)-SUM(OQ4,OU4)&gt;0,SUM(OO4:OP4,OR4:OT4,OV4)-SUM(OQ4,OU4),"")</f>
        <v/>
      </c>
      <c r="PD4" s="40" t="str">
        <f t="shared" ref="PD4:PD23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23" si="128">IF(SUM(PF4,PJ4)&gt;0,SUM(PF4,PJ4),"")</f>
        <v/>
      </c>
      <c r="PZ4" s="11" t="str">
        <f t="shared" ref="PZ4:PZ23" si="129">IF(SUM(PE4:PF4,PH4:PJ4,PL4)-PG4-PK4&gt;0,SUM(PE4:PF4,PH4:PJ4,PL4)-PG4-PK4,"")</f>
        <v/>
      </c>
      <c r="QA4" s="11" t="str">
        <f t="shared" ref="QA4:QA23" si="130">IF(SUM(PM4:PN4,PP4)-PO4&gt;0,SUM(PM4:PN4,PP4)-PO4,"")</f>
        <v/>
      </c>
      <c r="QB4" s="11" t="str">
        <f t="shared" ref="QB4:QB23" si="131">IF(SUM(PF4,PJ4,PN4)&gt;0,SUM(PF4,PJ4,PN4),"")</f>
        <v/>
      </c>
      <c r="QC4" s="11" t="str">
        <f t="shared" ref="QC4:QC23" si="132">IF(SUM(PZ4,QA4)&gt;0,SUM(PZ4,QA4),"")</f>
        <v/>
      </c>
      <c r="QD4" s="11" t="str">
        <f t="shared" ref="QD4:QD23" si="133">IF(SUM(PR4,PV4)&gt;0,SUM(PR4,PV4),"")</f>
        <v/>
      </c>
      <c r="QE4" s="11" t="str">
        <f t="shared" ref="QE4:QE23" si="134">IF(SUM(PQ4:PR4,PT4:PV4,PX4)-SUM(PS4,PW4)&gt;0,SUM(PQ4:PR4,PT4:PV4,PX4)-SUM(PS4,PW4),"")</f>
        <v/>
      </c>
      <c r="QF4" s="11" t="str">
        <f t="shared" ref="QF4:QF23" si="135">IF(SUM(PZ4,QA4,QE4)&gt;0,SUM(PZ4,QA4,QE4),"")</f>
        <v/>
      </c>
      <c r="QG4" s="22">
        <f t="shared" ref="QG4:QG23" si="136">IF($CW4="P",CC4,(CC4+AZ4)/2)</f>
        <v>18.200000000000003</v>
      </c>
      <c r="QH4" s="22">
        <f t="shared" ref="QH4:QH23" si="137">IF($CW4="P",CD4,(CD4+BA4)/2)</f>
        <v>8.1999999999999993</v>
      </c>
      <c r="QI4" s="22">
        <f t="shared" ref="QI4:QI23" si="138">IF($CW4="P",CE4,(CE4+BB4)/2)</f>
        <v>0</v>
      </c>
      <c r="QJ4" s="22">
        <f t="shared" ref="QJ4:QJ23" si="139">IF($CW4="P",CF4,(CF4+BC4)/2)</f>
        <v>0</v>
      </c>
      <c r="QK4" s="22">
        <f t="shared" ref="QK4:QK23" si="140">IF($CW4="P",CG4,(CG4+BD4)/2)</f>
        <v>18.299999999999997</v>
      </c>
      <c r="QL4" s="22">
        <f t="shared" ref="QL4:QL23" si="141">IF($CW4="P",CH4,(CH4+BE4)/2)</f>
        <v>7.1</v>
      </c>
      <c r="QM4" s="22">
        <f t="shared" ref="QM4:QM23" si="142">IF($CW4="P",CI4,(CI4+BF4)/2)</f>
        <v>0</v>
      </c>
      <c r="QN4" s="22">
        <f t="shared" ref="QN4:QN23" si="143">IF($CW4="P",CJ4,(CJ4+BG4)/2)</f>
        <v>0</v>
      </c>
      <c r="QO4" s="22">
        <f t="shared" ref="QO4:QO23" si="144">IF($CW4="P",CK4,(CK4+BH4)/2)</f>
        <v>18.399999999999999</v>
      </c>
      <c r="QP4" s="22">
        <f t="shared" ref="QP4:QP23" si="145">IF($CW4="P",CL4,(CL4+BI4)/2)</f>
        <v>8.75</v>
      </c>
      <c r="QQ4" s="22">
        <f t="shared" ref="QQ4:QQ23" si="146">IF($CW4="P",CM4,(CM4+BJ4)/2)</f>
        <v>0</v>
      </c>
      <c r="QR4" s="22">
        <f t="shared" ref="QR4:QR23" si="147">IF($CW4="P",CN4,(CN4+BK4)/2)</f>
        <v>0</v>
      </c>
      <c r="QS4" s="22">
        <f t="shared" ref="QS4:QS23" si="148">IF($CW4="P",CO4,(CO4+BL4)/2)</f>
        <v>18.3</v>
      </c>
      <c r="QT4" s="22">
        <f t="shared" ref="QT4:QT23" si="149">IF($CW4="P",CP4,(CP4+BM4)/2)</f>
        <v>8.1999999999999993</v>
      </c>
      <c r="QU4" s="22">
        <f t="shared" ref="QU4:QU23" si="150">IF($CW4="P",CQ4,(CQ4+BN4)/2)</f>
        <v>0</v>
      </c>
      <c r="QV4" s="22">
        <f t="shared" ref="QV4:QV23" si="151">IF($CW4="P",CR4,(CR4+BO4)/2)</f>
        <v>0</v>
      </c>
      <c r="QW4" s="22">
        <f t="shared" ref="QW4:QW23" si="152">IF($CW4="P",CS4,(CS4+BP4)/2)</f>
        <v>18.350000000000001</v>
      </c>
      <c r="QX4" s="22">
        <f t="shared" ref="QX4:QX23" si="153">IF($CW4="P",CT4,(CT4+BQ4)/2)</f>
        <v>7.7</v>
      </c>
      <c r="QY4" s="22">
        <f t="shared" ref="QY4:QY23" si="154">IF($CW4="P",CU4,(CU4+BR4)/2)</f>
        <v>0</v>
      </c>
      <c r="QZ4" s="22">
        <f t="shared" ref="QZ4:QZ23" si="155">IF($CW4="P",CV4,(CV4+BS4)/2)</f>
        <v>0</v>
      </c>
      <c r="RA4" s="27" t="s">
        <v>46</v>
      </c>
      <c r="RB4" s="40">
        <f t="shared" ref="RB4:RB23" si="156">IF(SUM(QH4,QL4)&gt;0,SUM(QH4,QL4),"")</f>
        <v>15.299999999999999</v>
      </c>
      <c r="RC4" s="40">
        <f t="shared" ref="RC4:RC23" si="157">IF(SUM(QG4:QH4,QJ4:QL4,QN4)-QI4-QM4&gt;0,SUM(QG4:QH4,QJ4:QL4,QN4)-QI4-QM4,"")</f>
        <v>51.800000000000004</v>
      </c>
      <c r="RD4" s="40">
        <f t="shared" ref="RD4:RD23" si="158">IF(SUM(QO4:QP4,QR4)-QQ4&gt;0,SUM(QO4:QP4,QR4)-QQ4,"")</f>
        <v>27.15</v>
      </c>
      <c r="RE4" s="40">
        <f t="shared" ref="RE4:RE23" si="159">IF(SUM(QH4,QL4,QP4)&gt;0,SUM(QH4,QL4,QP4),"")</f>
        <v>24.049999999999997</v>
      </c>
      <c r="RF4" s="40">
        <f t="shared" ref="RF4:RF23" si="160">IF(SUM(RC4,RD4)&gt;0,SUM(RC4,RD4),"")</f>
        <v>78.95</v>
      </c>
      <c r="RG4" s="40">
        <f t="shared" ref="RG4:RG23" si="161">IF(SUM(QT4,QX4)&gt;0,SUM(QT4,QX4),"")</f>
        <v>15.899999999999999</v>
      </c>
      <c r="RH4" s="40">
        <f t="shared" ref="RH4:RH23" si="162">IF(SUM(QS4:QT4,QV4:QX4,QZ4)-SUM(QU4,QY4)&gt;0,SUM(QS4:QT4,QV4:QX4,QZ4)-SUM(QU4,QY4),"")</f>
        <v>52.550000000000004</v>
      </c>
      <c r="RI4" s="40">
        <f t="shared" ref="RI4:RI23" si="163">IF(SUM(RC4,RD4,RH4)&gt;0,SUM(RC4,RD4,RH4),"")</f>
        <v>131.5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95</v>
      </c>
      <c r="D5" s="4" t="s">
        <v>3</v>
      </c>
      <c r="E5" s="4">
        <v>2003</v>
      </c>
      <c r="F5" s="9">
        <f t="shared" si="0"/>
        <v>184.25001299000513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51.5</v>
      </c>
      <c r="M5" s="8" t="str">
        <f t="shared" si="5"/>
        <v>2023 3rd Domestic Trial</v>
      </c>
      <c r="N5" s="8">
        <f>IF(COUNT(AS5,BV5,CY5)&gt;1,LARGE((AS5,BV5,CY5),2),0)</f>
        <v>51.4</v>
      </c>
      <c r="O5" s="8" t="str">
        <f t="shared" si="6"/>
        <v>2023 Nationals</v>
      </c>
      <c r="P5" s="8">
        <f>IF(COUNT(AT5,BW5,CZ5)&gt;0,LARGE((AT5,BW5,CZ5),1),0)</f>
        <v>27</v>
      </c>
      <c r="Q5" s="8" t="str">
        <f t="shared" si="7"/>
        <v>2024 Elite Canada</v>
      </c>
      <c r="R5" s="8">
        <f t="shared" si="8"/>
        <v>53.349999999999994</v>
      </c>
      <c r="S5" s="8" t="str">
        <f t="shared" si="9"/>
        <v>2023 3rd Domestic Trial</v>
      </c>
      <c r="T5" s="8">
        <f t="shared" si="10"/>
        <v>1</v>
      </c>
      <c r="U5" s="11" t="str">
        <f t="shared" si="11"/>
        <v>(Q1)</v>
      </c>
      <c r="V5" s="8" t="str">
        <f t="shared" si="12"/>
        <v>2023 World Championships (Nov 11)</v>
      </c>
      <c r="W5" s="19">
        <v>17.399999999999999</v>
      </c>
      <c r="X5" s="19">
        <v>9.3000000000000007</v>
      </c>
      <c r="Y5" s="19">
        <v>0</v>
      </c>
      <c r="Z5" s="19">
        <v>0</v>
      </c>
      <c r="AA5" s="19">
        <v>17.8</v>
      </c>
      <c r="AB5" s="19">
        <v>6.9</v>
      </c>
      <c r="AC5" s="19">
        <v>0</v>
      </c>
      <c r="AD5" s="19">
        <v>0</v>
      </c>
      <c r="AE5" s="19">
        <v>17.899999999999999</v>
      </c>
      <c r="AF5" s="19">
        <v>8.5</v>
      </c>
      <c r="AG5" s="19">
        <v>0</v>
      </c>
      <c r="AH5" s="19">
        <v>0</v>
      </c>
      <c r="AI5" s="19">
        <v>18.399999999999999</v>
      </c>
      <c r="AJ5" s="19">
        <v>8.9</v>
      </c>
      <c r="AK5" s="19">
        <v>0</v>
      </c>
      <c r="AL5" s="19">
        <v>0</v>
      </c>
      <c r="AM5" s="19">
        <v>19.100000000000001</v>
      </c>
      <c r="AN5" s="19">
        <v>6.9</v>
      </c>
      <c r="AO5" s="19">
        <v>0</v>
      </c>
      <c r="AP5" s="19">
        <v>0</v>
      </c>
      <c r="AQ5" s="27"/>
      <c r="AR5" s="40">
        <f t="shared" si="13"/>
        <v>16.200000000000003</v>
      </c>
      <c r="AS5" s="40">
        <f t="shared" si="14"/>
        <v>51.4</v>
      </c>
      <c r="AT5" s="40">
        <f t="shared" si="15"/>
        <v>26.4</v>
      </c>
      <c r="AU5" s="40">
        <f t="shared" si="16"/>
        <v>24.700000000000003</v>
      </c>
      <c r="AV5" s="40">
        <f t="shared" si="17"/>
        <v>77.8</v>
      </c>
      <c r="AW5" s="40">
        <f t="shared" si="18"/>
        <v>15.8</v>
      </c>
      <c r="AX5" s="40">
        <f t="shared" si="19"/>
        <v>53.3</v>
      </c>
      <c r="AY5" s="40">
        <f t="shared" si="20"/>
        <v>131.1</v>
      </c>
      <c r="AZ5" s="18">
        <v>18.100000000000001</v>
      </c>
      <c r="BA5" s="18">
        <v>8.6999999999999993</v>
      </c>
      <c r="BB5" s="18">
        <v>0</v>
      </c>
      <c r="BC5" s="18">
        <v>0</v>
      </c>
      <c r="BD5" s="18">
        <v>18</v>
      </c>
      <c r="BE5" s="18">
        <v>6.7</v>
      </c>
      <c r="BF5" s="18">
        <v>0</v>
      </c>
      <c r="BG5" s="18">
        <v>0</v>
      </c>
      <c r="BH5" s="18">
        <v>18.399999999999999</v>
      </c>
      <c r="BI5" s="18">
        <v>8.3000000000000007</v>
      </c>
      <c r="BJ5" s="18">
        <v>0</v>
      </c>
      <c r="BK5" s="18">
        <v>0</v>
      </c>
      <c r="BL5" s="18">
        <v>18.75</v>
      </c>
      <c r="BM5" s="18">
        <v>8.5</v>
      </c>
      <c r="BN5" s="18">
        <v>0</v>
      </c>
      <c r="BO5" s="18">
        <v>0</v>
      </c>
      <c r="BP5" s="18">
        <v>18.8</v>
      </c>
      <c r="BQ5" s="18">
        <v>7.3000000000000007</v>
      </c>
      <c r="BR5" s="18">
        <v>0</v>
      </c>
      <c r="BS5" s="18">
        <v>0</v>
      </c>
      <c r="BT5" s="28" t="s">
        <v>46</v>
      </c>
      <c r="BU5" s="11">
        <f t="shared" si="21"/>
        <v>15.399999999999999</v>
      </c>
      <c r="BV5" s="11">
        <f t="shared" si="22"/>
        <v>51.5</v>
      </c>
      <c r="BW5" s="11">
        <f t="shared" si="23"/>
        <v>26.7</v>
      </c>
      <c r="BX5" s="11">
        <f t="shared" si="24"/>
        <v>23.7</v>
      </c>
      <c r="BY5" s="11">
        <f t="shared" si="25"/>
        <v>78.2</v>
      </c>
      <c r="BZ5" s="11">
        <f t="shared" si="26"/>
        <v>15.8</v>
      </c>
      <c r="CA5" s="11">
        <f t="shared" si="27"/>
        <v>53.349999999999994</v>
      </c>
      <c r="CB5" s="11">
        <f t="shared" si="28"/>
        <v>131.55000000000001</v>
      </c>
      <c r="CC5" s="19">
        <v>17.2</v>
      </c>
      <c r="CD5" s="19">
        <v>3.7</v>
      </c>
      <c r="CE5" s="19">
        <v>0</v>
      </c>
      <c r="CF5" s="19">
        <v>0</v>
      </c>
      <c r="CG5" s="19">
        <v>16.100000000000001</v>
      </c>
      <c r="CH5" s="19">
        <v>5.0999999999999996</v>
      </c>
      <c r="CI5" s="19">
        <v>0</v>
      </c>
      <c r="CJ5" s="19">
        <v>0</v>
      </c>
      <c r="CK5" s="19">
        <v>18.3</v>
      </c>
      <c r="CL5" s="19">
        <v>8.6999999999999993</v>
      </c>
      <c r="CM5" s="19">
        <v>0</v>
      </c>
      <c r="CN5" s="19">
        <v>0</v>
      </c>
      <c r="CO5" s="19">
        <v>17.3</v>
      </c>
      <c r="CP5" s="19">
        <v>8.3000000000000007</v>
      </c>
      <c r="CQ5" s="19">
        <v>0</v>
      </c>
      <c r="CR5" s="19">
        <v>0</v>
      </c>
      <c r="CS5" s="19">
        <v>18.600000000000001</v>
      </c>
      <c r="CT5" s="19">
        <v>6.1</v>
      </c>
      <c r="CU5" s="19">
        <v>0</v>
      </c>
      <c r="CV5" s="19">
        <v>0</v>
      </c>
      <c r="CW5" s="27"/>
      <c r="CX5" s="40">
        <f t="shared" si="29"/>
        <v>8.8000000000000007</v>
      </c>
      <c r="CY5" s="40">
        <f t="shared" si="30"/>
        <v>42.1</v>
      </c>
      <c r="CZ5" s="40">
        <f t="shared" si="31"/>
        <v>27</v>
      </c>
      <c r="DA5" s="40">
        <f t="shared" si="32"/>
        <v>17.5</v>
      </c>
      <c r="DB5" s="40">
        <f t="shared" si="33"/>
        <v>69.099999999999994</v>
      </c>
      <c r="DC5" s="40">
        <f t="shared" si="34"/>
        <v>14.4</v>
      </c>
      <c r="DD5" s="40">
        <f t="shared" si="35"/>
        <v>50.300000000000004</v>
      </c>
      <c r="DE5" s="40">
        <f t="shared" si="36"/>
        <v>119.4</v>
      </c>
      <c r="DF5" s="50">
        <f t="shared" si="37"/>
        <v>1</v>
      </c>
      <c r="DG5" s="50" t="str">
        <f t="shared" si="38"/>
        <v/>
      </c>
      <c r="DH5" s="50" t="str">
        <f t="shared" si="39"/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 t="shared" si="40"/>
        <v>15.8</v>
      </c>
      <c r="ED5" s="40">
        <f t="shared" si="41"/>
        <v>51.6</v>
      </c>
      <c r="EE5" s="40" t="str">
        <f t="shared" si="42"/>
        <v/>
      </c>
      <c r="EF5" s="40">
        <f t="shared" si="43"/>
        <v>15.8</v>
      </c>
      <c r="EG5" s="40">
        <f t="shared" si="44"/>
        <v>51.6</v>
      </c>
      <c r="EH5" s="40">
        <f t="shared" si="45"/>
        <v>17.399999999999999</v>
      </c>
      <c r="EI5" s="40">
        <f t="shared" si="46"/>
        <v>53.300000000000004</v>
      </c>
      <c r="EJ5" s="40">
        <f t="shared" si="47"/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 t="shared" si="48"/>
        <v>15.8</v>
      </c>
      <c r="FF5" s="11">
        <f t="shared" si="49"/>
        <v>52.1</v>
      </c>
      <c r="FG5" s="11" t="str">
        <f t="shared" si="50"/>
        <v/>
      </c>
      <c r="FH5" s="11">
        <f t="shared" si="51"/>
        <v>15.8</v>
      </c>
      <c r="FI5" s="11">
        <f t="shared" si="52"/>
        <v>52.1</v>
      </c>
      <c r="FJ5" s="11">
        <f t="shared" si="53"/>
        <v>8.9</v>
      </c>
      <c r="FK5" s="11">
        <f t="shared" si="54"/>
        <v>26.6</v>
      </c>
      <c r="FL5" s="11">
        <f t="shared" si="55"/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 t="shared" si="56"/>
        <v>16</v>
      </c>
      <c r="GH5" s="40">
        <f t="shared" si="57"/>
        <v>52.4</v>
      </c>
      <c r="GI5" s="40">
        <f t="shared" si="58"/>
        <v>21.099999999999998</v>
      </c>
      <c r="GJ5" s="40">
        <f t="shared" si="59"/>
        <v>19.7</v>
      </c>
      <c r="GK5" s="40">
        <f t="shared" si="60"/>
        <v>73.5</v>
      </c>
      <c r="GL5" s="40" t="str">
        <f t="shared" si="61"/>
        <v/>
      </c>
      <c r="GM5" s="40" t="str">
        <f t="shared" si="62"/>
        <v/>
      </c>
      <c r="GN5" s="40">
        <f t="shared" si="63"/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1" t="str">
        <f t="shared" si="70"/>
        <v/>
      </c>
      <c r="HP5" s="11" t="str">
        <f t="shared" si="71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2"/>
        <v/>
      </c>
      <c r="IL5" s="40" t="str">
        <f t="shared" si="73"/>
        <v/>
      </c>
      <c r="IM5" s="40" t="str">
        <f t="shared" si="74"/>
        <v/>
      </c>
      <c r="IN5" s="40" t="str">
        <f t="shared" si="75"/>
        <v/>
      </c>
      <c r="IO5" s="40" t="str">
        <f t="shared" si="76"/>
        <v/>
      </c>
      <c r="IP5" s="40" t="str">
        <f t="shared" si="77"/>
        <v/>
      </c>
      <c r="IQ5" s="40" t="str">
        <f t="shared" si="78"/>
        <v/>
      </c>
      <c r="IR5" s="40" t="str">
        <f t="shared" si="79"/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1" t="str">
        <f t="shared" si="86"/>
        <v/>
      </c>
      <c r="JT5" s="11" t="str">
        <f t="shared" si="87"/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17.649999999999999</v>
      </c>
      <c r="QH5" s="22">
        <f t="shared" si="137"/>
        <v>6.1999999999999993</v>
      </c>
      <c r="QI5" s="22">
        <f t="shared" si="138"/>
        <v>0</v>
      </c>
      <c r="QJ5" s="22">
        <f t="shared" si="139"/>
        <v>0</v>
      </c>
      <c r="QK5" s="22">
        <f t="shared" si="140"/>
        <v>17.05</v>
      </c>
      <c r="QL5" s="22">
        <f t="shared" si="141"/>
        <v>5.9</v>
      </c>
      <c r="QM5" s="22">
        <f t="shared" si="142"/>
        <v>0</v>
      </c>
      <c r="QN5" s="22">
        <f t="shared" si="143"/>
        <v>0</v>
      </c>
      <c r="QO5" s="22">
        <f t="shared" si="144"/>
        <v>18.350000000000001</v>
      </c>
      <c r="QP5" s="22">
        <f t="shared" si="145"/>
        <v>8.5</v>
      </c>
      <c r="QQ5" s="22">
        <f t="shared" si="146"/>
        <v>0</v>
      </c>
      <c r="QR5" s="22">
        <f t="shared" si="147"/>
        <v>0</v>
      </c>
      <c r="QS5" s="22">
        <f t="shared" si="148"/>
        <v>18.024999999999999</v>
      </c>
      <c r="QT5" s="22">
        <f t="shared" si="149"/>
        <v>8.4</v>
      </c>
      <c r="QU5" s="22">
        <f t="shared" si="150"/>
        <v>0</v>
      </c>
      <c r="QV5" s="22">
        <f t="shared" si="151"/>
        <v>0</v>
      </c>
      <c r="QW5" s="22">
        <f t="shared" si="152"/>
        <v>18.700000000000003</v>
      </c>
      <c r="QX5" s="22">
        <f t="shared" si="153"/>
        <v>6.7</v>
      </c>
      <c r="QY5" s="22">
        <f t="shared" si="154"/>
        <v>0</v>
      </c>
      <c r="QZ5" s="22">
        <f t="shared" si="155"/>
        <v>0</v>
      </c>
      <c r="RA5" s="27" t="s">
        <v>46</v>
      </c>
      <c r="RB5" s="40">
        <f t="shared" si="156"/>
        <v>12.1</v>
      </c>
      <c r="RC5" s="40">
        <f t="shared" si="157"/>
        <v>46.8</v>
      </c>
      <c r="RD5" s="40">
        <f t="shared" si="158"/>
        <v>26.85</v>
      </c>
      <c r="RE5" s="40">
        <f t="shared" si="159"/>
        <v>20.6</v>
      </c>
      <c r="RF5" s="40">
        <f t="shared" si="160"/>
        <v>73.650000000000006</v>
      </c>
      <c r="RG5" s="40">
        <f t="shared" si="161"/>
        <v>15.100000000000001</v>
      </c>
      <c r="RH5" s="40">
        <f t="shared" si="162"/>
        <v>51.825000000000003</v>
      </c>
      <c r="RI5" s="40">
        <f t="shared" si="163"/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97</v>
      </c>
      <c r="D6" s="4" t="s">
        <v>4</v>
      </c>
      <c r="E6" s="4">
        <v>2004</v>
      </c>
      <c r="F6" s="9">
        <f t="shared" si="0"/>
        <v>169.50001141000482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47.900000000000006</v>
      </c>
      <c r="M6" s="8" t="str">
        <f t="shared" si="5"/>
        <v>2024 Elite Canada</v>
      </c>
      <c r="N6" s="8">
        <f>IF(COUNT(AS6,BV6,CY6)&gt;1,LARGE((AS6,BV6,CY6),2),0)</f>
        <v>41.6</v>
      </c>
      <c r="O6" s="8" t="str">
        <f t="shared" si="6"/>
        <v>2023 3rd Domestic Trial</v>
      </c>
      <c r="P6" s="8">
        <f>IF(COUNT(AT6,BW6,CZ6)&gt;0,LARGE((AT6,BW6,CZ6),1),0)</f>
        <v>24.6</v>
      </c>
      <c r="Q6" s="8" t="str">
        <f t="shared" si="7"/>
        <v>2024 Elite Canada</v>
      </c>
      <c r="R6" s="8">
        <f t="shared" si="8"/>
        <v>49</v>
      </c>
      <c r="S6" s="8" t="str">
        <f t="shared" si="9"/>
        <v>2024 Elite Canada</v>
      </c>
      <c r="T6" s="8">
        <f t="shared" si="10"/>
        <v>6.3999999999999915</v>
      </c>
      <c r="U6" s="11" t="str">
        <f t="shared" si="11"/>
        <v>(Q1)</v>
      </c>
      <c r="V6" s="8" t="str">
        <f t="shared" si="12"/>
        <v>2023 WAGC (Nov 17)</v>
      </c>
      <c r="W6" s="19">
        <v>15.3</v>
      </c>
      <c r="X6" s="19">
        <v>3</v>
      </c>
      <c r="Y6" s="19">
        <v>0</v>
      </c>
      <c r="Z6" s="19">
        <v>0</v>
      </c>
      <c r="AA6" s="19">
        <v>16.8</v>
      </c>
      <c r="AB6" s="19">
        <v>6.2</v>
      </c>
      <c r="AC6" s="19">
        <v>0</v>
      </c>
      <c r="AD6" s="19">
        <v>0</v>
      </c>
      <c r="AE6" s="19">
        <v>16.600000000000001</v>
      </c>
      <c r="AF6" s="19">
        <v>6.2</v>
      </c>
      <c r="AG6" s="19">
        <v>0</v>
      </c>
      <c r="AH6" s="19">
        <v>0</v>
      </c>
      <c r="AI6" s="19">
        <v>17.2</v>
      </c>
      <c r="AJ6" s="19">
        <v>5.7</v>
      </c>
      <c r="AK6" s="19">
        <v>0.2</v>
      </c>
      <c r="AL6" s="19">
        <v>0</v>
      </c>
      <c r="AM6" s="19">
        <v>17.2</v>
      </c>
      <c r="AN6" s="19">
        <v>6.2</v>
      </c>
      <c r="AO6" s="19">
        <v>0</v>
      </c>
      <c r="AP6" s="19">
        <v>0</v>
      </c>
      <c r="AQ6" s="27"/>
      <c r="AR6" s="40">
        <f t="shared" si="13"/>
        <v>9.1999999999999993</v>
      </c>
      <c r="AS6" s="40">
        <f t="shared" si="14"/>
        <v>41.300000000000004</v>
      </c>
      <c r="AT6" s="40">
        <f t="shared" si="15"/>
        <v>22.8</v>
      </c>
      <c r="AU6" s="40">
        <f t="shared" si="16"/>
        <v>15.399999999999999</v>
      </c>
      <c r="AV6" s="40">
        <f t="shared" si="17"/>
        <v>64.100000000000009</v>
      </c>
      <c r="AW6" s="40">
        <f t="shared" si="18"/>
        <v>11.9</v>
      </c>
      <c r="AX6" s="40">
        <f t="shared" si="19"/>
        <v>46.099999999999994</v>
      </c>
      <c r="AY6" s="40">
        <f t="shared" si="20"/>
        <v>110.2</v>
      </c>
      <c r="AZ6" s="18">
        <v>16.7</v>
      </c>
      <c r="BA6" s="18">
        <v>7</v>
      </c>
      <c r="BB6" s="18">
        <v>0</v>
      </c>
      <c r="BC6" s="18">
        <v>0</v>
      </c>
      <c r="BD6" s="18">
        <v>15.3</v>
      </c>
      <c r="BE6" s="18">
        <v>2.6</v>
      </c>
      <c r="BF6" s="18">
        <v>0</v>
      </c>
      <c r="BG6" s="18">
        <v>0</v>
      </c>
      <c r="BH6" s="18">
        <v>17.100000000000001</v>
      </c>
      <c r="BI6" s="18">
        <v>6.2</v>
      </c>
      <c r="BJ6" s="18">
        <v>0</v>
      </c>
      <c r="BK6" s="18">
        <v>0</v>
      </c>
      <c r="BL6" s="18">
        <v>12.9</v>
      </c>
      <c r="BM6" s="18">
        <v>3.6</v>
      </c>
      <c r="BN6" s="18">
        <v>0</v>
      </c>
      <c r="BO6" s="18">
        <v>0</v>
      </c>
      <c r="BP6" s="18">
        <v>17.2</v>
      </c>
      <c r="BQ6" s="18">
        <v>5.8</v>
      </c>
      <c r="BR6" s="18">
        <v>0</v>
      </c>
      <c r="BS6" s="18">
        <v>0</v>
      </c>
      <c r="BT6" s="28"/>
      <c r="BU6" s="11">
        <f t="shared" si="21"/>
        <v>9.6</v>
      </c>
      <c r="BV6" s="11">
        <f t="shared" si="22"/>
        <v>41.6</v>
      </c>
      <c r="BW6" s="11">
        <f t="shared" si="23"/>
        <v>23.3</v>
      </c>
      <c r="BX6" s="11">
        <f t="shared" si="24"/>
        <v>15.8</v>
      </c>
      <c r="BY6" s="11">
        <f t="shared" si="25"/>
        <v>64.900000000000006</v>
      </c>
      <c r="BZ6" s="11">
        <f t="shared" si="26"/>
        <v>9.4</v>
      </c>
      <c r="CA6" s="11">
        <f t="shared" si="27"/>
        <v>39.5</v>
      </c>
      <c r="CB6" s="11">
        <f t="shared" si="28"/>
        <v>104.4</v>
      </c>
      <c r="CC6" s="19">
        <v>18.3</v>
      </c>
      <c r="CD6" s="19">
        <v>6.9</v>
      </c>
      <c r="CE6" s="19">
        <v>0</v>
      </c>
      <c r="CF6" s="19">
        <v>0</v>
      </c>
      <c r="CG6" s="19">
        <v>16.7</v>
      </c>
      <c r="CH6" s="19">
        <v>6</v>
      </c>
      <c r="CI6" s="19">
        <v>0</v>
      </c>
      <c r="CJ6" s="19">
        <v>0</v>
      </c>
      <c r="CK6" s="19">
        <v>18.100000000000001</v>
      </c>
      <c r="CL6" s="19">
        <v>6.5</v>
      </c>
      <c r="CM6" s="19">
        <v>0</v>
      </c>
      <c r="CN6" s="19">
        <v>0</v>
      </c>
      <c r="CO6" s="19">
        <v>17.7</v>
      </c>
      <c r="CP6" s="19">
        <v>6.9</v>
      </c>
      <c r="CQ6" s="19">
        <v>0</v>
      </c>
      <c r="CR6" s="19">
        <v>0</v>
      </c>
      <c r="CS6" s="19">
        <v>17.5</v>
      </c>
      <c r="CT6" s="19">
        <v>6.9</v>
      </c>
      <c r="CU6" s="19">
        <v>0</v>
      </c>
      <c r="CV6" s="19">
        <v>0</v>
      </c>
      <c r="CW6" s="27"/>
      <c r="CX6" s="40">
        <f t="shared" si="29"/>
        <v>12.9</v>
      </c>
      <c r="CY6" s="40">
        <f t="shared" si="30"/>
        <v>47.900000000000006</v>
      </c>
      <c r="CZ6" s="40">
        <f t="shared" si="31"/>
        <v>24.6</v>
      </c>
      <c r="DA6" s="40">
        <f t="shared" si="32"/>
        <v>19.399999999999999</v>
      </c>
      <c r="DB6" s="40">
        <f t="shared" si="33"/>
        <v>72.5</v>
      </c>
      <c r="DC6" s="40">
        <f t="shared" si="34"/>
        <v>13.8</v>
      </c>
      <c r="DD6" s="40">
        <f t="shared" si="35"/>
        <v>49</v>
      </c>
      <c r="DE6" s="40">
        <f t="shared" si="36"/>
        <v>121.5</v>
      </c>
      <c r="DF6" s="50">
        <f t="shared" si="37"/>
        <v>6.3999999999999915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 t="str">
        <f t="shared" si="45"/>
        <v/>
      </c>
      <c r="EI6" s="40" t="str">
        <f t="shared" si="46"/>
        <v/>
      </c>
      <c r="EJ6" s="40" t="str">
        <f t="shared" si="47"/>
        <v/>
      </c>
      <c r="EK6" s="18">
        <v>17.100000000000001</v>
      </c>
      <c r="EL6" s="18">
        <v>6.6</v>
      </c>
      <c r="EM6" s="18">
        <v>0</v>
      </c>
      <c r="EN6" s="18">
        <v>0</v>
      </c>
      <c r="EO6" s="18">
        <v>17.7</v>
      </c>
      <c r="EP6" s="18">
        <v>6.2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 t="shared" si="48"/>
        <v>12.8</v>
      </c>
      <c r="FF6" s="11">
        <f t="shared" si="49"/>
        <v>47.600000000000009</v>
      </c>
      <c r="FG6" s="11" t="str">
        <f t="shared" si="50"/>
        <v/>
      </c>
      <c r="FH6" s="11">
        <f t="shared" si="51"/>
        <v>12.8</v>
      </c>
      <c r="FI6" s="11">
        <f t="shared" si="52"/>
        <v>47.600000000000009</v>
      </c>
      <c r="FJ6" s="11" t="str">
        <f t="shared" si="53"/>
        <v/>
      </c>
      <c r="FK6" s="11" t="str">
        <f t="shared" si="54"/>
        <v/>
      </c>
      <c r="FL6" s="11">
        <f t="shared" si="55"/>
        <v>47.600000000000009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9"/>
        <v/>
      </c>
      <c r="GK6" s="40" t="str">
        <f t="shared" si="60"/>
        <v/>
      </c>
      <c r="GL6" s="40" t="str">
        <f t="shared" si="61"/>
        <v/>
      </c>
      <c r="GM6" s="40" t="str">
        <f t="shared" si="62"/>
        <v/>
      </c>
      <c r="GN6" s="40" t="str">
        <f t="shared" si="63"/>
        <v/>
      </c>
      <c r="GO6" s="18">
        <v>17.399999999999999</v>
      </c>
      <c r="GP6" s="18">
        <v>6.9</v>
      </c>
      <c r="GQ6" s="18">
        <v>0</v>
      </c>
      <c r="GR6" s="18">
        <v>0</v>
      </c>
      <c r="GS6" s="18">
        <v>17</v>
      </c>
      <c r="GT6" s="18">
        <v>6.9</v>
      </c>
      <c r="GU6" s="18">
        <v>0.2</v>
      </c>
      <c r="GV6" s="18">
        <v>0</v>
      </c>
      <c r="GW6" s="18"/>
      <c r="GX6" s="18"/>
      <c r="GY6" s="18"/>
      <c r="GZ6" s="18"/>
      <c r="HA6" s="18">
        <v>17.5</v>
      </c>
      <c r="HB6" s="18">
        <v>7.3</v>
      </c>
      <c r="HC6" s="18">
        <v>0.2</v>
      </c>
      <c r="HD6" s="18">
        <v>0</v>
      </c>
      <c r="HE6" s="18"/>
      <c r="HF6" s="18"/>
      <c r="HG6" s="18"/>
      <c r="HH6" s="18"/>
      <c r="HI6" s="11">
        <f t="shared" si="64"/>
        <v>13.8</v>
      </c>
      <c r="HJ6" s="11">
        <f t="shared" si="65"/>
        <v>47.999999999999993</v>
      </c>
      <c r="HK6" s="11" t="str">
        <f t="shared" si="66"/>
        <v/>
      </c>
      <c r="HL6" s="11">
        <f t="shared" si="67"/>
        <v>13.8</v>
      </c>
      <c r="HM6" s="11">
        <f t="shared" si="68"/>
        <v>47.999999999999993</v>
      </c>
      <c r="HN6" s="11">
        <f t="shared" si="69"/>
        <v>7.3</v>
      </c>
      <c r="HO6" s="11">
        <f t="shared" si="70"/>
        <v>24.6</v>
      </c>
      <c r="HP6" s="11">
        <f t="shared" si="71"/>
        <v>72.599999999999994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80"/>
        <v/>
      </c>
      <c r="JN6" s="11" t="str">
        <f t="shared" si="81"/>
        <v/>
      </c>
      <c r="JO6" s="11" t="str">
        <f t="shared" si="82"/>
        <v/>
      </c>
      <c r="JP6" s="11" t="str">
        <f t="shared" si="83"/>
        <v/>
      </c>
      <c r="JQ6" s="11" t="str">
        <f t="shared" si="84"/>
        <v/>
      </c>
      <c r="JR6" s="11" t="str">
        <f t="shared" si="85"/>
        <v/>
      </c>
      <c r="JS6" s="11" t="str">
        <f t="shared" si="86"/>
        <v/>
      </c>
      <c r="JT6" s="11" t="str">
        <f t="shared" si="87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17.5</v>
      </c>
      <c r="QH6" s="22">
        <f t="shared" si="137"/>
        <v>6.95</v>
      </c>
      <c r="QI6" s="22">
        <f t="shared" si="138"/>
        <v>0</v>
      </c>
      <c r="QJ6" s="22">
        <f t="shared" si="139"/>
        <v>0</v>
      </c>
      <c r="QK6" s="22">
        <f t="shared" si="140"/>
        <v>16</v>
      </c>
      <c r="QL6" s="22">
        <f t="shared" si="141"/>
        <v>4.3</v>
      </c>
      <c r="QM6" s="22">
        <f t="shared" si="142"/>
        <v>0</v>
      </c>
      <c r="QN6" s="22">
        <f t="shared" si="143"/>
        <v>0</v>
      </c>
      <c r="QO6" s="22">
        <f t="shared" si="144"/>
        <v>17.600000000000001</v>
      </c>
      <c r="QP6" s="22">
        <f t="shared" si="145"/>
        <v>6.35</v>
      </c>
      <c r="QQ6" s="22">
        <f t="shared" si="146"/>
        <v>0</v>
      </c>
      <c r="QR6" s="22">
        <f t="shared" si="147"/>
        <v>0</v>
      </c>
      <c r="QS6" s="22">
        <f t="shared" si="148"/>
        <v>15.3</v>
      </c>
      <c r="QT6" s="22">
        <f t="shared" si="149"/>
        <v>5.25</v>
      </c>
      <c r="QU6" s="22">
        <f t="shared" si="150"/>
        <v>0</v>
      </c>
      <c r="QV6" s="22">
        <f t="shared" si="151"/>
        <v>0</v>
      </c>
      <c r="QW6" s="22">
        <f t="shared" si="152"/>
        <v>17.350000000000001</v>
      </c>
      <c r="QX6" s="22">
        <f t="shared" si="153"/>
        <v>6.35</v>
      </c>
      <c r="QY6" s="22">
        <f t="shared" si="154"/>
        <v>0</v>
      </c>
      <c r="QZ6" s="22">
        <f t="shared" si="155"/>
        <v>0</v>
      </c>
      <c r="RA6" s="27" t="s">
        <v>46</v>
      </c>
      <c r="RB6" s="40">
        <f t="shared" si="156"/>
        <v>11.25</v>
      </c>
      <c r="RC6" s="40">
        <f t="shared" si="157"/>
        <v>44.75</v>
      </c>
      <c r="RD6" s="40">
        <f t="shared" si="158"/>
        <v>23.950000000000003</v>
      </c>
      <c r="RE6" s="40">
        <f t="shared" si="159"/>
        <v>17.600000000000001</v>
      </c>
      <c r="RF6" s="40">
        <f t="shared" si="160"/>
        <v>68.7</v>
      </c>
      <c r="RG6" s="40">
        <f t="shared" si="161"/>
        <v>11.6</v>
      </c>
      <c r="RH6" s="40">
        <f t="shared" si="162"/>
        <v>44.250000000000007</v>
      </c>
      <c r="RI6" s="40">
        <f t="shared" si="163"/>
        <v>112.95000000000002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104</v>
      </c>
      <c r="D7" s="4" t="s">
        <v>4</v>
      </c>
      <c r="E7" s="4">
        <v>2003</v>
      </c>
      <c r="F7" s="9">
        <f t="shared" si="0"/>
        <v>168.3000119300047</v>
      </c>
      <c r="G7" s="66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47.4</v>
      </c>
      <c r="M7" s="8" t="str">
        <f t="shared" si="5"/>
        <v>2024 Elite Canada</v>
      </c>
      <c r="N7" s="8">
        <f>IF(COUNT(AS7,BV7,CY7)&gt;1,LARGE((AS7,BV7,CY7),2),0)</f>
        <v>46.8</v>
      </c>
      <c r="O7" s="8" t="str">
        <f t="shared" si="6"/>
        <v>2023 3rd Domestic Trial</v>
      </c>
      <c r="P7" s="8">
        <f>IF(COUNT(AT7,BW7,CZ7)&gt;0,LARGE((AT7,BW7,CZ7),1),0)</f>
        <v>25.1</v>
      </c>
      <c r="Q7" s="8" t="str">
        <f t="shared" si="7"/>
        <v>2024 Elite Canada</v>
      </c>
      <c r="R7" s="8">
        <f t="shared" si="8"/>
        <v>47.8</v>
      </c>
      <c r="S7" s="8" t="str">
        <f t="shared" si="9"/>
        <v>2024 Elite Canada</v>
      </c>
      <c r="T7" s="8">
        <f t="shared" si="10"/>
        <v>1.2000000000000028</v>
      </c>
      <c r="U7" s="11" t="str">
        <f t="shared" si="11"/>
        <v>(Q1)</v>
      </c>
      <c r="V7" s="8" t="str">
        <f t="shared" si="12"/>
        <v>2023 World Championships (Nov 11)</v>
      </c>
      <c r="W7" s="19">
        <v>17.2</v>
      </c>
      <c r="X7" s="19">
        <v>5.5</v>
      </c>
      <c r="Y7" s="19">
        <v>0</v>
      </c>
      <c r="Z7" s="19">
        <v>0</v>
      </c>
      <c r="AA7" s="19">
        <v>17.7</v>
      </c>
      <c r="AB7" s="19">
        <v>5.5</v>
      </c>
      <c r="AC7" s="19">
        <v>0</v>
      </c>
      <c r="AD7" s="19">
        <v>0</v>
      </c>
      <c r="AE7" s="19">
        <v>16</v>
      </c>
      <c r="AF7" s="19">
        <v>3.3</v>
      </c>
      <c r="AG7" s="19">
        <v>0</v>
      </c>
      <c r="AH7" s="19">
        <v>0</v>
      </c>
      <c r="AI7" s="19">
        <v>16.600000000000001</v>
      </c>
      <c r="AJ7" s="19">
        <v>6.1</v>
      </c>
      <c r="AK7" s="19">
        <v>0</v>
      </c>
      <c r="AL7" s="19">
        <v>0</v>
      </c>
      <c r="AM7" s="19">
        <v>18.399999999999999</v>
      </c>
      <c r="AN7" s="19">
        <v>5.5</v>
      </c>
      <c r="AO7" s="19">
        <v>0</v>
      </c>
      <c r="AP7" s="19">
        <v>0</v>
      </c>
      <c r="AQ7" s="27"/>
      <c r="AR7" s="40">
        <f t="shared" si="13"/>
        <v>11</v>
      </c>
      <c r="AS7" s="40">
        <f t="shared" si="14"/>
        <v>45.9</v>
      </c>
      <c r="AT7" s="40">
        <f t="shared" si="15"/>
        <v>19.3</v>
      </c>
      <c r="AU7" s="40">
        <f t="shared" si="16"/>
        <v>14.3</v>
      </c>
      <c r="AV7" s="40">
        <f t="shared" si="17"/>
        <v>65.2</v>
      </c>
      <c r="AW7" s="40">
        <f t="shared" si="18"/>
        <v>11.6</v>
      </c>
      <c r="AX7" s="40">
        <f t="shared" si="19"/>
        <v>46.6</v>
      </c>
      <c r="AY7" s="40">
        <f t="shared" si="20"/>
        <v>111.80000000000001</v>
      </c>
      <c r="AZ7" s="18">
        <v>17.3</v>
      </c>
      <c r="BA7" s="18">
        <v>6.1</v>
      </c>
      <c r="BB7" s="18">
        <v>0</v>
      </c>
      <c r="BC7" s="18">
        <v>0</v>
      </c>
      <c r="BD7" s="18">
        <v>17.899999999999999</v>
      </c>
      <c r="BE7" s="18">
        <v>5.5</v>
      </c>
      <c r="BF7" s="18">
        <v>0</v>
      </c>
      <c r="BG7" s="18">
        <v>0</v>
      </c>
      <c r="BH7" s="18">
        <v>17.600000000000001</v>
      </c>
      <c r="BI7" s="18">
        <v>6.9</v>
      </c>
      <c r="BJ7" s="18">
        <v>0</v>
      </c>
      <c r="BK7" s="18">
        <v>0</v>
      </c>
      <c r="BL7" s="18">
        <v>17.5</v>
      </c>
      <c r="BM7" s="18">
        <v>6.1</v>
      </c>
      <c r="BN7" s="18">
        <v>0</v>
      </c>
      <c r="BO7" s="18">
        <v>0</v>
      </c>
      <c r="BP7" s="18">
        <v>17.899999999999999</v>
      </c>
      <c r="BQ7" s="18">
        <v>5.5</v>
      </c>
      <c r="BR7" s="18">
        <v>0</v>
      </c>
      <c r="BS7" s="18">
        <v>0</v>
      </c>
      <c r="BT7" s="28"/>
      <c r="BU7" s="11">
        <f t="shared" si="21"/>
        <v>11.6</v>
      </c>
      <c r="BV7" s="11">
        <f t="shared" si="22"/>
        <v>46.8</v>
      </c>
      <c r="BW7" s="11">
        <f t="shared" si="23"/>
        <v>24.5</v>
      </c>
      <c r="BX7" s="11">
        <f t="shared" si="24"/>
        <v>18.5</v>
      </c>
      <c r="BY7" s="11">
        <f t="shared" si="25"/>
        <v>71.3</v>
      </c>
      <c r="BZ7" s="11">
        <f t="shared" si="26"/>
        <v>11.6</v>
      </c>
      <c r="CA7" s="11">
        <f t="shared" si="27"/>
        <v>47</v>
      </c>
      <c r="CB7" s="11">
        <f t="shared" si="28"/>
        <v>118.3</v>
      </c>
      <c r="CC7" s="19">
        <v>18</v>
      </c>
      <c r="CD7" s="19">
        <v>5.5</v>
      </c>
      <c r="CE7" s="19">
        <v>0</v>
      </c>
      <c r="CF7" s="19">
        <v>0</v>
      </c>
      <c r="CG7" s="19">
        <v>17.2</v>
      </c>
      <c r="CH7" s="19">
        <v>6.9</v>
      </c>
      <c r="CI7" s="19">
        <v>0.2</v>
      </c>
      <c r="CJ7" s="19">
        <v>0</v>
      </c>
      <c r="CK7" s="19">
        <v>18.2</v>
      </c>
      <c r="CL7" s="19">
        <v>6.9</v>
      </c>
      <c r="CM7" s="19">
        <v>0</v>
      </c>
      <c r="CN7" s="19">
        <v>0</v>
      </c>
      <c r="CO7" s="19">
        <v>18</v>
      </c>
      <c r="CP7" s="19">
        <v>5.5</v>
      </c>
      <c r="CQ7" s="19">
        <v>0</v>
      </c>
      <c r="CR7" s="19">
        <v>0</v>
      </c>
      <c r="CS7" s="19">
        <v>17.399999999999999</v>
      </c>
      <c r="CT7" s="19">
        <v>6.9</v>
      </c>
      <c r="CU7" s="19">
        <v>0</v>
      </c>
      <c r="CV7" s="19">
        <v>0</v>
      </c>
      <c r="CW7" s="27"/>
      <c r="CX7" s="40">
        <f t="shared" si="29"/>
        <v>12.4</v>
      </c>
      <c r="CY7" s="40">
        <f t="shared" si="30"/>
        <v>47.4</v>
      </c>
      <c r="CZ7" s="40">
        <f t="shared" si="31"/>
        <v>25.1</v>
      </c>
      <c r="DA7" s="40">
        <f t="shared" si="32"/>
        <v>19.3</v>
      </c>
      <c r="DB7" s="40">
        <f t="shared" si="33"/>
        <v>72.5</v>
      </c>
      <c r="DC7" s="40">
        <f t="shared" si="34"/>
        <v>12.4</v>
      </c>
      <c r="DD7" s="40">
        <f t="shared" si="35"/>
        <v>47.8</v>
      </c>
      <c r="DE7" s="40">
        <f t="shared" si="36"/>
        <v>120.3</v>
      </c>
      <c r="DF7" s="50">
        <f t="shared" si="37"/>
        <v>1.2000000000000028</v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>
        <v>18.600000000000001</v>
      </c>
      <c r="FN7" s="17">
        <v>6.1</v>
      </c>
      <c r="FO7" s="17">
        <v>0</v>
      </c>
      <c r="FP7" s="17">
        <v>0</v>
      </c>
      <c r="FQ7" s="17">
        <v>17.8</v>
      </c>
      <c r="FR7" s="17">
        <v>5.5</v>
      </c>
      <c r="FS7" s="17">
        <v>0</v>
      </c>
      <c r="FT7" s="17">
        <v>0</v>
      </c>
      <c r="FU7" s="17">
        <v>17.8</v>
      </c>
      <c r="FV7" s="17">
        <v>4.2</v>
      </c>
      <c r="FW7" s="17">
        <v>0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40">
        <f t="shared" si="56"/>
        <v>11.6</v>
      </c>
      <c r="GH7" s="40">
        <f t="shared" si="57"/>
        <v>48</v>
      </c>
      <c r="GI7" s="40">
        <f t="shared" si="58"/>
        <v>22</v>
      </c>
      <c r="GJ7" s="40">
        <f t="shared" si="59"/>
        <v>15.8</v>
      </c>
      <c r="GK7" s="40">
        <f t="shared" si="60"/>
        <v>70</v>
      </c>
      <c r="GL7" s="40" t="str">
        <f t="shared" si="61"/>
        <v/>
      </c>
      <c r="GM7" s="40" t="str">
        <f t="shared" si="62"/>
        <v/>
      </c>
      <c r="GN7" s="40">
        <f t="shared" si="63"/>
        <v>70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1" t="str">
        <f t="shared" si="86"/>
        <v/>
      </c>
      <c r="JT7" s="11" t="str">
        <f t="shared" si="87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17.649999999999999</v>
      </c>
      <c r="QH7" s="22">
        <f t="shared" si="137"/>
        <v>5.8</v>
      </c>
      <c r="QI7" s="22">
        <f t="shared" si="138"/>
        <v>0</v>
      </c>
      <c r="QJ7" s="22">
        <f t="shared" si="139"/>
        <v>0</v>
      </c>
      <c r="QK7" s="22">
        <f t="shared" si="140"/>
        <v>17.549999999999997</v>
      </c>
      <c r="QL7" s="22">
        <f t="shared" si="141"/>
        <v>6.2</v>
      </c>
      <c r="QM7" s="22">
        <f t="shared" si="142"/>
        <v>0.1</v>
      </c>
      <c r="QN7" s="22">
        <f t="shared" si="143"/>
        <v>0</v>
      </c>
      <c r="QO7" s="22">
        <f t="shared" si="144"/>
        <v>17.899999999999999</v>
      </c>
      <c r="QP7" s="22">
        <f t="shared" si="145"/>
        <v>6.9</v>
      </c>
      <c r="QQ7" s="22">
        <f t="shared" si="146"/>
        <v>0</v>
      </c>
      <c r="QR7" s="22">
        <f t="shared" si="147"/>
        <v>0</v>
      </c>
      <c r="QS7" s="22">
        <f t="shared" si="148"/>
        <v>17.75</v>
      </c>
      <c r="QT7" s="22">
        <f t="shared" si="149"/>
        <v>5.8</v>
      </c>
      <c r="QU7" s="22">
        <f t="shared" si="150"/>
        <v>0</v>
      </c>
      <c r="QV7" s="22">
        <f t="shared" si="151"/>
        <v>0</v>
      </c>
      <c r="QW7" s="22">
        <f t="shared" si="152"/>
        <v>17.649999999999999</v>
      </c>
      <c r="QX7" s="22">
        <f t="shared" si="153"/>
        <v>6.2</v>
      </c>
      <c r="QY7" s="22">
        <f t="shared" si="154"/>
        <v>0</v>
      </c>
      <c r="QZ7" s="22">
        <f t="shared" si="155"/>
        <v>0</v>
      </c>
      <c r="RA7" s="27" t="s">
        <v>46</v>
      </c>
      <c r="RB7" s="40">
        <f t="shared" si="156"/>
        <v>12</v>
      </c>
      <c r="RC7" s="40">
        <f t="shared" si="157"/>
        <v>47.1</v>
      </c>
      <c r="RD7" s="40">
        <f t="shared" si="158"/>
        <v>24.799999999999997</v>
      </c>
      <c r="RE7" s="40">
        <f t="shared" si="159"/>
        <v>18.899999999999999</v>
      </c>
      <c r="RF7" s="40">
        <f t="shared" si="160"/>
        <v>71.900000000000006</v>
      </c>
      <c r="RG7" s="40">
        <f t="shared" si="161"/>
        <v>12</v>
      </c>
      <c r="RH7" s="40">
        <f t="shared" si="162"/>
        <v>47.400000000000006</v>
      </c>
      <c r="RI7" s="40">
        <f t="shared" si="163"/>
        <v>119.30000000000001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169</v>
      </c>
      <c r="D8" s="4" t="s">
        <v>6</v>
      </c>
      <c r="E8" s="4">
        <v>2006</v>
      </c>
      <c r="F8" s="9">
        <f t="shared" si="0"/>
        <v>165.70001143000454</v>
      </c>
      <c r="G8" s="66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45.3</v>
      </c>
      <c r="M8" s="8" t="str">
        <f t="shared" si="5"/>
        <v>2023 Nationals</v>
      </c>
      <c r="N8" s="8">
        <f>IF(COUNT(AS8,BV8,CY8)&gt;1,LARGE((AS8,BV8,CY8),2),0)</f>
        <v>45.1</v>
      </c>
      <c r="O8" s="8" t="str">
        <f t="shared" si="6"/>
        <v>2024 Elite Canada</v>
      </c>
      <c r="P8" s="8">
        <f>IF(COUNT(AT8,BW8,CZ8)&gt;0,LARGE((AT8,BW8,CZ8),1),0)</f>
        <v>23.9</v>
      </c>
      <c r="Q8" s="8" t="str">
        <f t="shared" si="7"/>
        <v>2023 3rd Domestic Trial</v>
      </c>
      <c r="R8" s="8">
        <f t="shared" si="8"/>
        <v>47</v>
      </c>
      <c r="S8" s="8" t="str">
        <f t="shared" si="9"/>
        <v>2023 Nationals</v>
      </c>
      <c r="T8" s="8">
        <f t="shared" si="10"/>
        <v>4.4000000000000057</v>
      </c>
      <c r="U8" s="11" t="str">
        <f t="shared" si="11"/>
        <v>(Q1)</v>
      </c>
      <c r="V8" s="8" t="str">
        <f t="shared" si="12"/>
        <v>2023 WAGC (Nov 17)</v>
      </c>
      <c r="W8" s="19">
        <v>17.5</v>
      </c>
      <c r="X8" s="19">
        <v>5.5</v>
      </c>
      <c r="Y8" s="19">
        <v>0.2</v>
      </c>
      <c r="Z8" s="19">
        <v>0.3</v>
      </c>
      <c r="AA8" s="19">
        <v>16.8</v>
      </c>
      <c r="AB8" s="19">
        <v>5.0999999999999996</v>
      </c>
      <c r="AC8" s="19">
        <v>0</v>
      </c>
      <c r="AD8" s="19">
        <v>0.3</v>
      </c>
      <c r="AE8" s="19">
        <v>17</v>
      </c>
      <c r="AF8" s="19">
        <v>5.5</v>
      </c>
      <c r="AG8" s="19">
        <v>0.2</v>
      </c>
      <c r="AH8" s="19">
        <v>0.3</v>
      </c>
      <c r="AI8" s="19">
        <v>18</v>
      </c>
      <c r="AJ8" s="19">
        <v>5.5</v>
      </c>
      <c r="AK8" s="19">
        <v>0</v>
      </c>
      <c r="AL8" s="19">
        <v>0.3</v>
      </c>
      <c r="AM8" s="19">
        <v>17.8</v>
      </c>
      <c r="AN8" s="19">
        <v>5.0999999999999996</v>
      </c>
      <c r="AO8" s="19">
        <v>0</v>
      </c>
      <c r="AP8" s="19">
        <v>0.3</v>
      </c>
      <c r="AQ8" s="27"/>
      <c r="AR8" s="40">
        <f t="shared" si="13"/>
        <v>10.6</v>
      </c>
      <c r="AS8" s="40">
        <f t="shared" si="14"/>
        <v>45.3</v>
      </c>
      <c r="AT8" s="40">
        <f t="shared" si="15"/>
        <v>22.6</v>
      </c>
      <c r="AU8" s="40">
        <f t="shared" si="16"/>
        <v>16.100000000000001</v>
      </c>
      <c r="AV8" s="40">
        <f t="shared" si="17"/>
        <v>67.900000000000006</v>
      </c>
      <c r="AW8" s="40">
        <f t="shared" si="18"/>
        <v>10.6</v>
      </c>
      <c r="AX8" s="40">
        <f t="shared" si="19"/>
        <v>47</v>
      </c>
      <c r="AY8" s="40">
        <f t="shared" si="20"/>
        <v>114.9</v>
      </c>
      <c r="AZ8" s="18">
        <v>16.899999999999999</v>
      </c>
      <c r="BA8" s="18">
        <v>5.0999999999999996</v>
      </c>
      <c r="BB8" s="18">
        <v>0.4</v>
      </c>
      <c r="BC8" s="18">
        <v>0</v>
      </c>
      <c r="BD8" s="18">
        <v>17.8</v>
      </c>
      <c r="BE8" s="18">
        <v>5.5</v>
      </c>
      <c r="BF8" s="18">
        <v>0</v>
      </c>
      <c r="BG8" s="18">
        <v>0</v>
      </c>
      <c r="BH8" s="18">
        <v>18.399999999999999</v>
      </c>
      <c r="BI8" s="18">
        <v>5.5</v>
      </c>
      <c r="BJ8" s="18">
        <v>0</v>
      </c>
      <c r="BK8" s="18">
        <v>0</v>
      </c>
      <c r="BL8" s="18">
        <v>17</v>
      </c>
      <c r="BM8" s="18">
        <v>6.5</v>
      </c>
      <c r="BN8" s="18">
        <v>0</v>
      </c>
      <c r="BO8" s="18">
        <v>0</v>
      </c>
      <c r="BP8" s="18">
        <v>17.600000000000001</v>
      </c>
      <c r="BQ8" s="18">
        <v>5.5</v>
      </c>
      <c r="BR8" s="18">
        <v>0</v>
      </c>
      <c r="BS8" s="18">
        <v>0</v>
      </c>
      <c r="BT8" s="28"/>
      <c r="BU8" s="11">
        <f t="shared" si="21"/>
        <v>10.6</v>
      </c>
      <c r="BV8" s="11">
        <f t="shared" si="22"/>
        <v>44.9</v>
      </c>
      <c r="BW8" s="11">
        <f t="shared" si="23"/>
        <v>23.9</v>
      </c>
      <c r="BX8" s="11">
        <f t="shared" si="24"/>
        <v>16.100000000000001</v>
      </c>
      <c r="BY8" s="11">
        <f t="shared" si="25"/>
        <v>68.8</v>
      </c>
      <c r="BZ8" s="11">
        <f t="shared" si="26"/>
        <v>12</v>
      </c>
      <c r="CA8" s="11">
        <f t="shared" si="27"/>
        <v>46.6</v>
      </c>
      <c r="CB8" s="11">
        <f t="shared" si="28"/>
        <v>115.4</v>
      </c>
      <c r="CC8" s="19">
        <v>17.2</v>
      </c>
      <c r="CD8" s="19">
        <v>5.3</v>
      </c>
      <c r="CE8" s="19">
        <v>0.30000000000000004</v>
      </c>
      <c r="CF8" s="19">
        <v>0.15</v>
      </c>
      <c r="CG8" s="19">
        <v>17.3</v>
      </c>
      <c r="CH8" s="19">
        <v>5.3</v>
      </c>
      <c r="CI8" s="19">
        <v>0</v>
      </c>
      <c r="CJ8" s="19">
        <v>0.15</v>
      </c>
      <c r="CK8" s="19">
        <v>17.7</v>
      </c>
      <c r="CL8" s="19">
        <v>5.5</v>
      </c>
      <c r="CM8" s="19">
        <v>0.1</v>
      </c>
      <c r="CN8" s="19">
        <v>0.15</v>
      </c>
      <c r="CO8" s="19">
        <v>17.5</v>
      </c>
      <c r="CP8" s="19">
        <v>6</v>
      </c>
      <c r="CQ8" s="19">
        <v>0</v>
      </c>
      <c r="CR8" s="19">
        <v>0.15</v>
      </c>
      <c r="CS8" s="19">
        <v>17.700000000000003</v>
      </c>
      <c r="CT8" s="19">
        <v>5.3</v>
      </c>
      <c r="CU8" s="19">
        <v>0</v>
      </c>
      <c r="CV8" s="19">
        <v>0.15</v>
      </c>
      <c r="CW8" s="27" t="s">
        <v>46</v>
      </c>
      <c r="CX8" s="40">
        <f t="shared" si="29"/>
        <v>10.6</v>
      </c>
      <c r="CY8" s="40">
        <f t="shared" si="30"/>
        <v>45.1</v>
      </c>
      <c r="CZ8" s="40">
        <f t="shared" si="31"/>
        <v>23.249999999999996</v>
      </c>
      <c r="DA8" s="40">
        <f t="shared" si="32"/>
        <v>16.100000000000001</v>
      </c>
      <c r="DB8" s="40">
        <f t="shared" si="33"/>
        <v>68.349999999999994</v>
      </c>
      <c r="DC8" s="40">
        <f t="shared" si="34"/>
        <v>11.3</v>
      </c>
      <c r="DD8" s="40">
        <f t="shared" si="35"/>
        <v>46.8</v>
      </c>
      <c r="DE8" s="40">
        <f t="shared" si="36"/>
        <v>115.14999999999999</v>
      </c>
      <c r="DF8" s="50">
        <f t="shared" si="37"/>
        <v>4.4000000000000057</v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>
        <v>17.8</v>
      </c>
      <c r="GP8" s="18">
        <v>6.5</v>
      </c>
      <c r="GQ8" s="18">
        <v>0</v>
      </c>
      <c r="GR8" s="18">
        <v>0</v>
      </c>
      <c r="GS8" s="18">
        <v>18.100000000000001</v>
      </c>
      <c r="GT8" s="18">
        <v>7.1</v>
      </c>
      <c r="GU8" s="18">
        <v>0</v>
      </c>
      <c r="GV8" s="18">
        <v>0</v>
      </c>
      <c r="GW8" s="18"/>
      <c r="GX8" s="18"/>
      <c r="GY8" s="18"/>
      <c r="GZ8" s="18"/>
      <c r="HA8" s="18">
        <v>18.100000000000001</v>
      </c>
      <c r="HB8" s="18">
        <v>7.3</v>
      </c>
      <c r="HC8" s="18">
        <v>0</v>
      </c>
      <c r="HD8" s="18">
        <v>0</v>
      </c>
      <c r="HE8" s="18">
        <v>16</v>
      </c>
      <c r="HF8" s="18">
        <v>3.3</v>
      </c>
      <c r="HG8" s="18">
        <v>0</v>
      </c>
      <c r="HH8" s="18">
        <v>0</v>
      </c>
      <c r="HI8" s="11">
        <f t="shared" si="64"/>
        <v>13.6</v>
      </c>
      <c r="HJ8" s="11">
        <f t="shared" si="65"/>
        <v>49.500000000000007</v>
      </c>
      <c r="HK8" s="11" t="str">
        <f t="shared" si="66"/>
        <v/>
      </c>
      <c r="HL8" s="11">
        <f t="shared" si="67"/>
        <v>13.6</v>
      </c>
      <c r="HM8" s="11">
        <f t="shared" si="68"/>
        <v>49.500000000000007</v>
      </c>
      <c r="HN8" s="11">
        <f t="shared" si="69"/>
        <v>10.6</v>
      </c>
      <c r="HO8" s="11">
        <f t="shared" si="70"/>
        <v>44.7</v>
      </c>
      <c r="HP8" s="11">
        <f t="shared" si="71"/>
        <v>94.200000000000017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17.2</v>
      </c>
      <c r="QH8" s="22">
        <f t="shared" si="137"/>
        <v>5.3</v>
      </c>
      <c r="QI8" s="22">
        <f t="shared" si="138"/>
        <v>0.30000000000000004</v>
      </c>
      <c r="QJ8" s="22">
        <f t="shared" si="139"/>
        <v>0.15</v>
      </c>
      <c r="QK8" s="22">
        <f t="shared" si="140"/>
        <v>17.3</v>
      </c>
      <c r="QL8" s="22">
        <f t="shared" si="141"/>
        <v>5.3</v>
      </c>
      <c r="QM8" s="22">
        <f t="shared" si="142"/>
        <v>0</v>
      </c>
      <c r="QN8" s="22">
        <f t="shared" si="143"/>
        <v>0.15</v>
      </c>
      <c r="QO8" s="22">
        <f t="shared" si="144"/>
        <v>17.7</v>
      </c>
      <c r="QP8" s="22">
        <f t="shared" si="145"/>
        <v>5.5</v>
      </c>
      <c r="QQ8" s="22">
        <f t="shared" si="146"/>
        <v>0.1</v>
      </c>
      <c r="QR8" s="22">
        <f t="shared" si="147"/>
        <v>0.15</v>
      </c>
      <c r="QS8" s="22">
        <f t="shared" si="148"/>
        <v>17.5</v>
      </c>
      <c r="QT8" s="22">
        <f t="shared" si="149"/>
        <v>6</v>
      </c>
      <c r="QU8" s="22">
        <f t="shared" si="150"/>
        <v>0</v>
      </c>
      <c r="QV8" s="22">
        <f t="shared" si="151"/>
        <v>0.15</v>
      </c>
      <c r="QW8" s="22">
        <f t="shared" si="152"/>
        <v>17.700000000000003</v>
      </c>
      <c r="QX8" s="22">
        <f t="shared" si="153"/>
        <v>5.3</v>
      </c>
      <c r="QY8" s="22">
        <f t="shared" si="154"/>
        <v>0</v>
      </c>
      <c r="QZ8" s="22">
        <f t="shared" si="155"/>
        <v>0.15</v>
      </c>
      <c r="RA8" s="27" t="s">
        <v>46</v>
      </c>
      <c r="RB8" s="40">
        <f t="shared" si="156"/>
        <v>10.6</v>
      </c>
      <c r="RC8" s="40">
        <f t="shared" si="157"/>
        <v>45.1</v>
      </c>
      <c r="RD8" s="40">
        <f t="shared" si="158"/>
        <v>23.249999999999996</v>
      </c>
      <c r="RE8" s="40">
        <f t="shared" si="159"/>
        <v>16.100000000000001</v>
      </c>
      <c r="RF8" s="40">
        <f t="shared" si="160"/>
        <v>68.349999999999994</v>
      </c>
      <c r="RG8" s="40">
        <f t="shared" si="161"/>
        <v>11.3</v>
      </c>
      <c r="RH8" s="40">
        <f t="shared" si="162"/>
        <v>46.8</v>
      </c>
      <c r="RI8" s="40">
        <f t="shared" si="163"/>
        <v>115.14999999999999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138</v>
      </c>
      <c r="D9" s="4" t="s">
        <v>6</v>
      </c>
      <c r="E9" s="4">
        <v>2006</v>
      </c>
      <c r="F9" s="9">
        <f t="shared" si="0"/>
        <v>155.80001110000441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44.100000000000009</v>
      </c>
      <c r="M9" s="8" t="str">
        <f t="shared" si="5"/>
        <v>2024 Elite Canada</v>
      </c>
      <c r="N9" s="8">
        <f>IF(COUNT(AS9,BV9,CY9)&gt;1,LARGE((AS9,BV9,CY9),2),0)</f>
        <v>44.1</v>
      </c>
      <c r="O9" s="8" t="str">
        <f t="shared" si="6"/>
        <v>2024 Elite Canada</v>
      </c>
      <c r="P9" s="8">
        <f>IF(COUNT(AT9,BW9,CZ9)&gt;0,LARGE((AT9,BW9,CZ9),1),0)</f>
        <v>22.8</v>
      </c>
      <c r="Q9" s="8" t="str">
        <f t="shared" si="7"/>
        <v>2023 Nationals</v>
      </c>
      <c r="R9" s="8">
        <f t="shared" si="8"/>
        <v>44.800000000000004</v>
      </c>
      <c r="S9" s="8" t="str">
        <f t="shared" si="9"/>
        <v>2024 Elite Canada</v>
      </c>
      <c r="T9" s="8" t="str">
        <f t="shared" si="10"/>
        <v/>
      </c>
      <c r="U9" s="11" t="str">
        <f t="shared" si="11"/>
        <v/>
      </c>
      <c r="V9" s="8" t="str">
        <f t="shared" si="12"/>
        <v/>
      </c>
      <c r="W9" s="19">
        <v>16.8</v>
      </c>
      <c r="X9" s="19">
        <v>4.8</v>
      </c>
      <c r="Y9" s="19">
        <v>0</v>
      </c>
      <c r="Z9" s="19">
        <v>0.6</v>
      </c>
      <c r="AA9" s="19">
        <v>16.7</v>
      </c>
      <c r="AB9" s="19">
        <v>4.5999999999999996</v>
      </c>
      <c r="AC9" s="19">
        <v>0</v>
      </c>
      <c r="AD9" s="19">
        <v>0.6</v>
      </c>
      <c r="AE9" s="19">
        <v>17.399999999999999</v>
      </c>
      <c r="AF9" s="19">
        <v>4.8</v>
      </c>
      <c r="AG9" s="19">
        <v>0</v>
      </c>
      <c r="AH9" s="19">
        <v>0.6</v>
      </c>
      <c r="AI9" s="19">
        <v>16.3</v>
      </c>
      <c r="AJ9" s="19">
        <v>4.5999999999999996</v>
      </c>
      <c r="AK9" s="19">
        <v>0</v>
      </c>
      <c r="AL9" s="19">
        <v>0.6</v>
      </c>
      <c r="AM9" s="19">
        <v>16.8</v>
      </c>
      <c r="AN9" s="19">
        <v>4.8</v>
      </c>
      <c r="AO9" s="19">
        <v>0</v>
      </c>
      <c r="AP9" s="19">
        <v>0.6</v>
      </c>
      <c r="AQ9" s="27"/>
      <c r="AR9" s="40">
        <f t="shared" si="13"/>
        <v>9.3999999999999986</v>
      </c>
      <c r="AS9" s="40">
        <f t="shared" si="14"/>
        <v>44.100000000000009</v>
      </c>
      <c r="AT9" s="40">
        <f t="shared" si="15"/>
        <v>22.8</v>
      </c>
      <c r="AU9" s="40">
        <f t="shared" si="16"/>
        <v>14.2</v>
      </c>
      <c r="AV9" s="40">
        <f t="shared" si="17"/>
        <v>66.900000000000006</v>
      </c>
      <c r="AW9" s="40">
        <f t="shared" si="18"/>
        <v>9.3999999999999986</v>
      </c>
      <c r="AX9" s="40">
        <f t="shared" si="19"/>
        <v>43.699999999999996</v>
      </c>
      <c r="AY9" s="40">
        <f t="shared" si="20"/>
        <v>110.6</v>
      </c>
      <c r="AZ9" s="18">
        <v>15.6</v>
      </c>
      <c r="BA9" s="18">
        <v>2.6</v>
      </c>
      <c r="BB9" s="18">
        <v>0</v>
      </c>
      <c r="BC9" s="18">
        <v>0.6</v>
      </c>
      <c r="BD9" s="18">
        <v>16.5</v>
      </c>
      <c r="BE9" s="18">
        <v>4.8</v>
      </c>
      <c r="BF9" s="18">
        <v>0</v>
      </c>
      <c r="BG9" s="18">
        <v>0.6</v>
      </c>
      <c r="BH9" s="18">
        <v>15.5</v>
      </c>
      <c r="BI9" s="18">
        <v>2.6</v>
      </c>
      <c r="BJ9" s="18">
        <v>0</v>
      </c>
      <c r="BK9" s="18">
        <v>0.6</v>
      </c>
      <c r="BL9" s="18">
        <v>16</v>
      </c>
      <c r="BM9" s="18">
        <v>4.5999999999999996</v>
      </c>
      <c r="BN9" s="18">
        <v>0</v>
      </c>
      <c r="BO9" s="18">
        <v>0.6</v>
      </c>
      <c r="BP9" s="18">
        <v>16.3</v>
      </c>
      <c r="BQ9" s="18">
        <v>4.8</v>
      </c>
      <c r="BR9" s="18">
        <v>0</v>
      </c>
      <c r="BS9" s="18">
        <v>0.6</v>
      </c>
      <c r="BT9" s="28"/>
      <c r="BU9" s="11">
        <f t="shared" si="21"/>
        <v>7.4</v>
      </c>
      <c r="BV9" s="11">
        <f t="shared" si="22"/>
        <v>40.699999999999996</v>
      </c>
      <c r="BW9" s="11">
        <f t="shared" si="23"/>
        <v>18.700000000000003</v>
      </c>
      <c r="BX9" s="11">
        <f t="shared" si="24"/>
        <v>10</v>
      </c>
      <c r="BY9" s="11">
        <f t="shared" si="25"/>
        <v>59.4</v>
      </c>
      <c r="BZ9" s="11">
        <f t="shared" si="26"/>
        <v>9.3999999999999986</v>
      </c>
      <c r="CA9" s="11">
        <f t="shared" si="27"/>
        <v>42.9</v>
      </c>
      <c r="CB9" s="11">
        <f t="shared" si="28"/>
        <v>102.3</v>
      </c>
      <c r="CC9" s="19">
        <v>17.3</v>
      </c>
      <c r="CD9" s="19">
        <v>4.8</v>
      </c>
      <c r="CE9" s="19">
        <v>0</v>
      </c>
      <c r="CF9" s="19">
        <v>0.6</v>
      </c>
      <c r="CG9" s="19">
        <v>15.5</v>
      </c>
      <c r="CH9" s="19">
        <v>5.3</v>
      </c>
      <c r="CI9" s="19">
        <v>0</v>
      </c>
      <c r="CJ9" s="19">
        <v>0.6</v>
      </c>
      <c r="CK9" s="19">
        <v>16.399999999999999</v>
      </c>
      <c r="CL9" s="19">
        <v>5.3</v>
      </c>
      <c r="CM9" s="19">
        <v>0</v>
      </c>
      <c r="CN9" s="19">
        <v>0.6</v>
      </c>
      <c r="CO9" s="19">
        <v>17.100000000000001</v>
      </c>
      <c r="CP9" s="19">
        <v>4.5999999999999996</v>
      </c>
      <c r="CQ9" s="19">
        <v>0</v>
      </c>
      <c r="CR9" s="19">
        <v>0.6</v>
      </c>
      <c r="CS9" s="19">
        <v>16.399999999999999</v>
      </c>
      <c r="CT9" s="19">
        <v>5.5</v>
      </c>
      <c r="CU9" s="19">
        <v>0</v>
      </c>
      <c r="CV9" s="19">
        <v>0.6</v>
      </c>
      <c r="CW9" s="27"/>
      <c r="CX9" s="40">
        <f t="shared" si="29"/>
        <v>10.1</v>
      </c>
      <c r="CY9" s="40">
        <f t="shared" si="30"/>
        <v>44.1</v>
      </c>
      <c r="CZ9" s="40">
        <f t="shared" si="31"/>
        <v>22.3</v>
      </c>
      <c r="DA9" s="40">
        <f t="shared" si="32"/>
        <v>15.399999999999999</v>
      </c>
      <c r="DB9" s="40">
        <f t="shared" si="33"/>
        <v>66.400000000000006</v>
      </c>
      <c r="DC9" s="40">
        <f t="shared" si="34"/>
        <v>10.1</v>
      </c>
      <c r="DD9" s="40">
        <f t="shared" si="35"/>
        <v>44.800000000000004</v>
      </c>
      <c r="DE9" s="40">
        <f t="shared" si="36"/>
        <v>111.20000000000002</v>
      </c>
      <c r="DF9" s="50" t="str">
        <f t="shared" si="37"/>
        <v/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2"/>
        <v/>
      </c>
      <c r="IL9" s="40" t="str">
        <f t="shared" si="73"/>
        <v/>
      </c>
      <c r="IM9" s="40" t="str">
        <f t="shared" si="74"/>
        <v/>
      </c>
      <c r="IN9" s="40" t="str">
        <f t="shared" si="75"/>
        <v/>
      </c>
      <c r="IO9" s="40" t="str">
        <f t="shared" si="76"/>
        <v/>
      </c>
      <c r="IP9" s="40" t="str">
        <f t="shared" si="77"/>
        <v/>
      </c>
      <c r="IQ9" s="40" t="str">
        <f t="shared" si="78"/>
        <v/>
      </c>
      <c r="IR9" s="40" t="str">
        <f t="shared" si="79"/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16.45</v>
      </c>
      <c r="QH9" s="22">
        <f t="shared" si="137"/>
        <v>3.7</v>
      </c>
      <c r="QI9" s="22">
        <f t="shared" si="138"/>
        <v>0</v>
      </c>
      <c r="QJ9" s="22">
        <f t="shared" si="139"/>
        <v>0.6</v>
      </c>
      <c r="QK9" s="22">
        <f t="shared" si="140"/>
        <v>16</v>
      </c>
      <c r="QL9" s="22">
        <f t="shared" si="141"/>
        <v>5.05</v>
      </c>
      <c r="QM9" s="22">
        <f t="shared" si="142"/>
        <v>0</v>
      </c>
      <c r="QN9" s="22">
        <f t="shared" si="143"/>
        <v>0.6</v>
      </c>
      <c r="QO9" s="22">
        <f t="shared" si="144"/>
        <v>15.95</v>
      </c>
      <c r="QP9" s="22">
        <f t="shared" si="145"/>
        <v>3.95</v>
      </c>
      <c r="QQ9" s="22">
        <f t="shared" si="146"/>
        <v>0</v>
      </c>
      <c r="QR9" s="22">
        <f t="shared" si="147"/>
        <v>0.6</v>
      </c>
      <c r="QS9" s="22">
        <f t="shared" si="148"/>
        <v>16.55</v>
      </c>
      <c r="QT9" s="22">
        <f t="shared" si="149"/>
        <v>4.5999999999999996</v>
      </c>
      <c r="QU9" s="22">
        <f t="shared" si="150"/>
        <v>0</v>
      </c>
      <c r="QV9" s="22">
        <f t="shared" si="151"/>
        <v>0.6</v>
      </c>
      <c r="QW9" s="22">
        <f t="shared" si="152"/>
        <v>16.350000000000001</v>
      </c>
      <c r="QX9" s="22">
        <f t="shared" si="153"/>
        <v>5.15</v>
      </c>
      <c r="QY9" s="22">
        <f t="shared" si="154"/>
        <v>0</v>
      </c>
      <c r="QZ9" s="22">
        <f t="shared" si="155"/>
        <v>0.6</v>
      </c>
      <c r="RA9" s="27" t="s">
        <v>46</v>
      </c>
      <c r="RB9" s="40">
        <f t="shared" si="156"/>
        <v>8.75</v>
      </c>
      <c r="RC9" s="40">
        <f t="shared" si="157"/>
        <v>42.4</v>
      </c>
      <c r="RD9" s="40">
        <f t="shared" si="158"/>
        <v>20.5</v>
      </c>
      <c r="RE9" s="40">
        <f t="shared" si="159"/>
        <v>12.7</v>
      </c>
      <c r="RF9" s="40">
        <f t="shared" si="160"/>
        <v>62.9</v>
      </c>
      <c r="RG9" s="40">
        <f t="shared" si="161"/>
        <v>9.75</v>
      </c>
      <c r="RH9" s="40">
        <f t="shared" si="162"/>
        <v>43.85</v>
      </c>
      <c r="RI9" s="40">
        <f t="shared" si="163"/>
        <v>106.75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122</v>
      </c>
      <c r="D10" s="4" t="s">
        <v>4</v>
      </c>
      <c r="E10" s="4">
        <v>2004</v>
      </c>
      <c r="F10" s="9">
        <f t="shared" si="0"/>
        <v>155.50001062000433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43.2</v>
      </c>
      <c r="M10" s="8" t="str">
        <f t="shared" si="5"/>
        <v>2023 Nationals</v>
      </c>
      <c r="N10" s="8">
        <f>IF(COUNT(AS10,BV10,CY10)&gt;1,LARGE((AS10,BV10,CY10),2),0)</f>
        <v>41.300000000000004</v>
      </c>
      <c r="O10" s="8" t="str">
        <f t="shared" si="6"/>
        <v>2023 3rd Domestic Trial</v>
      </c>
      <c r="P10" s="8">
        <f>IF(COUNT(AT10,BW10,CZ10)&gt;0,LARGE((AT10,BW10,CZ10),1),0)</f>
        <v>21.700000000000003</v>
      </c>
      <c r="Q10" s="8" t="str">
        <f t="shared" si="7"/>
        <v>2023 Nationals</v>
      </c>
      <c r="R10" s="8">
        <f t="shared" si="8"/>
        <v>45.9</v>
      </c>
      <c r="S10" s="8" t="str">
        <f t="shared" si="9"/>
        <v>2023 Nationals</v>
      </c>
      <c r="T10" s="8">
        <f t="shared" si="10"/>
        <v>3.3999999999999915</v>
      </c>
      <c r="U10" s="11" t="str">
        <f t="shared" si="11"/>
        <v>(Q1)</v>
      </c>
      <c r="V10" s="8" t="str">
        <f t="shared" si="12"/>
        <v>2023 WAGC (Nov 17)</v>
      </c>
      <c r="W10" s="19">
        <v>15.9</v>
      </c>
      <c r="X10" s="19">
        <v>4.8</v>
      </c>
      <c r="Y10" s="19">
        <v>0</v>
      </c>
      <c r="Z10" s="19">
        <v>0.6</v>
      </c>
      <c r="AA10" s="19">
        <v>15.3</v>
      </c>
      <c r="AB10" s="19">
        <v>6</v>
      </c>
      <c r="AC10" s="19">
        <v>0</v>
      </c>
      <c r="AD10" s="19">
        <v>0.6</v>
      </c>
      <c r="AE10" s="19">
        <v>15.1</v>
      </c>
      <c r="AF10" s="19">
        <v>6</v>
      </c>
      <c r="AG10" s="19">
        <v>0</v>
      </c>
      <c r="AH10" s="19">
        <v>0.6</v>
      </c>
      <c r="AI10" s="19">
        <v>16.8</v>
      </c>
      <c r="AJ10" s="19">
        <v>5.5</v>
      </c>
      <c r="AK10" s="19">
        <v>0</v>
      </c>
      <c r="AL10" s="19">
        <v>0.6</v>
      </c>
      <c r="AM10" s="19">
        <v>16.399999999999999</v>
      </c>
      <c r="AN10" s="19">
        <v>6</v>
      </c>
      <c r="AO10" s="19">
        <v>0</v>
      </c>
      <c r="AP10" s="19">
        <v>0.6</v>
      </c>
      <c r="AQ10" s="27"/>
      <c r="AR10" s="40">
        <f t="shared" si="13"/>
        <v>10.8</v>
      </c>
      <c r="AS10" s="40">
        <f t="shared" si="14"/>
        <v>43.2</v>
      </c>
      <c r="AT10" s="40">
        <f t="shared" si="15"/>
        <v>21.700000000000003</v>
      </c>
      <c r="AU10" s="40">
        <f t="shared" si="16"/>
        <v>16.8</v>
      </c>
      <c r="AV10" s="40">
        <f t="shared" si="17"/>
        <v>64.900000000000006</v>
      </c>
      <c r="AW10" s="40">
        <f t="shared" si="18"/>
        <v>11.5</v>
      </c>
      <c r="AX10" s="40">
        <f t="shared" si="19"/>
        <v>45.9</v>
      </c>
      <c r="AY10" s="40">
        <f t="shared" si="20"/>
        <v>110.80000000000001</v>
      </c>
      <c r="AZ10" s="18">
        <v>16</v>
      </c>
      <c r="BA10" s="18">
        <v>5.3</v>
      </c>
      <c r="BB10" s="18">
        <v>0</v>
      </c>
      <c r="BC10" s="18">
        <v>0.6</v>
      </c>
      <c r="BD10" s="18">
        <v>14.8</v>
      </c>
      <c r="BE10" s="18">
        <v>4</v>
      </c>
      <c r="BF10" s="18">
        <v>0</v>
      </c>
      <c r="BG10" s="18">
        <v>0.6</v>
      </c>
      <c r="BH10" s="18">
        <v>16.399999999999999</v>
      </c>
      <c r="BI10" s="18">
        <v>4.5999999999999996</v>
      </c>
      <c r="BJ10" s="18">
        <v>0</v>
      </c>
      <c r="BK10" s="18">
        <v>0.6</v>
      </c>
      <c r="BL10" s="18">
        <v>16.399999999999999</v>
      </c>
      <c r="BM10" s="18">
        <v>4.5999999999999996</v>
      </c>
      <c r="BN10" s="18">
        <v>0</v>
      </c>
      <c r="BO10" s="18">
        <v>0.6</v>
      </c>
      <c r="BP10" s="18">
        <v>15.9</v>
      </c>
      <c r="BQ10" s="18">
        <v>6.2</v>
      </c>
      <c r="BR10" s="18">
        <v>0.2</v>
      </c>
      <c r="BS10" s="18">
        <v>0.6</v>
      </c>
      <c r="BT10" s="28"/>
      <c r="BU10" s="11">
        <f t="shared" si="21"/>
        <v>9.3000000000000007</v>
      </c>
      <c r="BV10" s="11">
        <f t="shared" si="22"/>
        <v>41.300000000000004</v>
      </c>
      <c r="BW10" s="11">
        <f t="shared" si="23"/>
        <v>21.6</v>
      </c>
      <c r="BX10" s="11">
        <f t="shared" si="24"/>
        <v>13.9</v>
      </c>
      <c r="BY10" s="11">
        <f t="shared" si="25"/>
        <v>62.900000000000006</v>
      </c>
      <c r="BZ10" s="11">
        <f t="shared" si="26"/>
        <v>10.8</v>
      </c>
      <c r="CA10" s="11">
        <f t="shared" si="27"/>
        <v>44.1</v>
      </c>
      <c r="CB10" s="11">
        <f t="shared" si="28"/>
        <v>107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 t="shared" si="29"/>
        <v/>
      </c>
      <c r="CY10" s="40" t="str">
        <f t="shared" si="30"/>
        <v/>
      </c>
      <c r="CZ10" s="40" t="str">
        <f t="shared" si="31"/>
        <v/>
      </c>
      <c r="DA10" s="40" t="str">
        <f t="shared" si="32"/>
        <v/>
      </c>
      <c r="DB10" s="40" t="str">
        <f t="shared" si="33"/>
        <v/>
      </c>
      <c r="DC10" s="40" t="str">
        <f t="shared" si="34"/>
        <v/>
      </c>
      <c r="DD10" s="40" t="str">
        <f t="shared" si="35"/>
        <v/>
      </c>
      <c r="DE10" s="40" t="str">
        <f t="shared" si="36"/>
        <v/>
      </c>
      <c r="DF10" s="50">
        <f t="shared" si="37"/>
        <v>3.3999999999999915</v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>
        <v>16</v>
      </c>
      <c r="GP10" s="18">
        <v>6.2</v>
      </c>
      <c r="GQ10" s="18">
        <v>0</v>
      </c>
      <c r="GR10" s="18">
        <v>0</v>
      </c>
      <c r="GS10" s="18">
        <v>17.2</v>
      </c>
      <c r="GT10" s="18">
        <v>5.3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 t="shared" si="64"/>
        <v>11.5</v>
      </c>
      <c r="HJ10" s="11">
        <f t="shared" si="65"/>
        <v>44.699999999999996</v>
      </c>
      <c r="HK10" s="11" t="str">
        <f t="shared" si="66"/>
        <v/>
      </c>
      <c r="HL10" s="11">
        <f t="shared" si="67"/>
        <v>11.5</v>
      </c>
      <c r="HM10" s="11">
        <f t="shared" si="68"/>
        <v>44.699999999999996</v>
      </c>
      <c r="HN10" s="11" t="str">
        <f t="shared" si="69"/>
        <v/>
      </c>
      <c r="HO10" s="11" t="str">
        <f t="shared" si="70"/>
        <v/>
      </c>
      <c r="HP10" s="11">
        <f t="shared" si="71"/>
        <v>44.699999999999996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8</v>
      </c>
      <c r="QH10" s="22">
        <f t="shared" si="137"/>
        <v>2.65</v>
      </c>
      <c r="QI10" s="22">
        <f t="shared" si="138"/>
        <v>0</v>
      </c>
      <c r="QJ10" s="22">
        <f t="shared" si="139"/>
        <v>0.3</v>
      </c>
      <c r="QK10" s="22">
        <f t="shared" si="140"/>
        <v>7.4</v>
      </c>
      <c r="QL10" s="22">
        <f t="shared" si="141"/>
        <v>2</v>
      </c>
      <c r="QM10" s="22">
        <f t="shared" si="142"/>
        <v>0</v>
      </c>
      <c r="QN10" s="22">
        <f t="shared" si="143"/>
        <v>0.3</v>
      </c>
      <c r="QO10" s="22">
        <f t="shared" si="144"/>
        <v>8.1999999999999993</v>
      </c>
      <c r="QP10" s="22">
        <f t="shared" si="145"/>
        <v>2.2999999999999998</v>
      </c>
      <c r="QQ10" s="22">
        <f t="shared" si="146"/>
        <v>0</v>
      </c>
      <c r="QR10" s="22">
        <f t="shared" si="147"/>
        <v>0.3</v>
      </c>
      <c r="QS10" s="22">
        <f t="shared" si="148"/>
        <v>8.1999999999999993</v>
      </c>
      <c r="QT10" s="22">
        <f t="shared" si="149"/>
        <v>2.2999999999999998</v>
      </c>
      <c r="QU10" s="22">
        <f t="shared" si="150"/>
        <v>0</v>
      </c>
      <c r="QV10" s="22">
        <f t="shared" si="151"/>
        <v>0.3</v>
      </c>
      <c r="QW10" s="22">
        <f t="shared" si="152"/>
        <v>7.95</v>
      </c>
      <c r="QX10" s="22">
        <f t="shared" si="153"/>
        <v>3.1</v>
      </c>
      <c r="QY10" s="22">
        <f t="shared" si="154"/>
        <v>0.1</v>
      </c>
      <c r="QZ10" s="22">
        <f t="shared" si="155"/>
        <v>0.3</v>
      </c>
      <c r="RA10" s="27" t="s">
        <v>46</v>
      </c>
      <c r="RB10" s="40">
        <f t="shared" si="156"/>
        <v>4.6500000000000004</v>
      </c>
      <c r="RC10" s="40">
        <f t="shared" si="157"/>
        <v>20.650000000000002</v>
      </c>
      <c r="RD10" s="40">
        <f t="shared" si="158"/>
        <v>10.8</v>
      </c>
      <c r="RE10" s="40">
        <f t="shared" si="159"/>
        <v>6.95</v>
      </c>
      <c r="RF10" s="40">
        <f t="shared" si="160"/>
        <v>31.450000000000003</v>
      </c>
      <c r="RG10" s="40">
        <f t="shared" si="161"/>
        <v>5.4</v>
      </c>
      <c r="RH10" s="40">
        <f t="shared" si="162"/>
        <v>22.05</v>
      </c>
      <c r="RI10" s="40">
        <f t="shared" si="163"/>
        <v>53.5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65</v>
      </c>
      <c r="D11" s="4" t="s">
        <v>4</v>
      </c>
      <c r="E11" s="4">
        <v>2003</v>
      </c>
      <c r="F11" s="9">
        <f t="shared" si="0"/>
        <v>154.60001118000457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45.400000000000006</v>
      </c>
      <c r="M11" s="8" t="str">
        <f t="shared" si="5"/>
        <v>2023 Nationals</v>
      </c>
      <c r="N11" s="8">
        <f>IF(COUNT(AS11,BV11,CY11)&gt;1,LARGE((AS11,BV11,CY11),2),0)</f>
        <v>44.2</v>
      </c>
      <c r="O11" s="8" t="str">
        <f t="shared" si="6"/>
        <v>2024 Elite Canada</v>
      </c>
      <c r="P11" s="8">
        <f>IF(COUNT(AT11,BW11,CZ11)&gt;0,LARGE((AT11,BW11,CZ11),1),0)</f>
        <v>22.2</v>
      </c>
      <c r="Q11" s="8" t="str">
        <f t="shared" si="7"/>
        <v>2023 3rd Domestic Trial</v>
      </c>
      <c r="R11" s="8">
        <f t="shared" si="8"/>
        <v>42.8</v>
      </c>
      <c r="S11" s="8" t="str">
        <f t="shared" si="9"/>
        <v>2024 Elite Canada</v>
      </c>
      <c r="T11" s="8" t="str">
        <f t="shared" si="10"/>
        <v/>
      </c>
      <c r="U11" s="11" t="str">
        <f t="shared" si="11"/>
        <v/>
      </c>
      <c r="V11" s="8" t="str">
        <f t="shared" si="12"/>
        <v/>
      </c>
      <c r="W11" s="19">
        <v>16.5</v>
      </c>
      <c r="X11" s="19">
        <v>6.1</v>
      </c>
      <c r="Y11" s="19">
        <v>0</v>
      </c>
      <c r="Z11" s="19">
        <v>0.3</v>
      </c>
      <c r="AA11" s="19">
        <v>15.7</v>
      </c>
      <c r="AB11" s="19">
        <v>6.2</v>
      </c>
      <c r="AC11" s="19">
        <v>0</v>
      </c>
      <c r="AD11" s="19">
        <v>0.6</v>
      </c>
      <c r="AE11" s="19">
        <v>15.1</v>
      </c>
      <c r="AF11" s="19">
        <v>3.1</v>
      </c>
      <c r="AG11" s="19">
        <v>0</v>
      </c>
      <c r="AH11" s="19">
        <v>0.3</v>
      </c>
      <c r="AI11" s="19">
        <v>14.8</v>
      </c>
      <c r="AJ11" s="19">
        <v>4.0999999999999996</v>
      </c>
      <c r="AK11" s="19">
        <v>0</v>
      </c>
      <c r="AL11" s="19">
        <v>0.6</v>
      </c>
      <c r="AM11" s="19">
        <v>16</v>
      </c>
      <c r="AN11" s="19">
        <v>6.3</v>
      </c>
      <c r="AO11" s="19">
        <v>0</v>
      </c>
      <c r="AP11" s="19">
        <v>0.6</v>
      </c>
      <c r="AQ11" s="27"/>
      <c r="AR11" s="40">
        <f t="shared" si="13"/>
        <v>12.3</v>
      </c>
      <c r="AS11" s="40">
        <f t="shared" si="14"/>
        <v>45.400000000000006</v>
      </c>
      <c r="AT11" s="40">
        <f t="shared" si="15"/>
        <v>18.5</v>
      </c>
      <c r="AU11" s="40">
        <f t="shared" si="16"/>
        <v>15.4</v>
      </c>
      <c r="AV11" s="40">
        <f t="shared" si="17"/>
        <v>63.900000000000006</v>
      </c>
      <c r="AW11" s="40">
        <f t="shared" si="18"/>
        <v>10.399999999999999</v>
      </c>
      <c r="AX11" s="40">
        <f t="shared" si="19"/>
        <v>42.4</v>
      </c>
      <c r="AY11" s="40">
        <f t="shared" si="20"/>
        <v>106.30000000000001</v>
      </c>
      <c r="AZ11" s="18">
        <v>16.2</v>
      </c>
      <c r="BA11" s="18">
        <v>6</v>
      </c>
      <c r="BB11" s="18">
        <v>2</v>
      </c>
      <c r="BC11" s="18">
        <v>0</v>
      </c>
      <c r="BD11" s="18">
        <v>16.3</v>
      </c>
      <c r="BE11" s="18">
        <v>4.9000000000000004</v>
      </c>
      <c r="BF11" s="18">
        <v>0</v>
      </c>
      <c r="BG11" s="18">
        <v>0</v>
      </c>
      <c r="BH11" s="18">
        <v>16.5</v>
      </c>
      <c r="BI11" s="18">
        <v>5.7</v>
      </c>
      <c r="BJ11" s="18">
        <v>0</v>
      </c>
      <c r="BK11" s="18">
        <v>0</v>
      </c>
      <c r="BL11" s="18">
        <v>15.3</v>
      </c>
      <c r="BM11" s="18">
        <v>6</v>
      </c>
      <c r="BN11" s="18">
        <v>0</v>
      </c>
      <c r="BO11" s="18">
        <v>0</v>
      </c>
      <c r="BP11" s="18">
        <v>14.8</v>
      </c>
      <c r="BQ11" s="18">
        <v>3.7</v>
      </c>
      <c r="BR11" s="18">
        <v>0</v>
      </c>
      <c r="BS11" s="18">
        <v>0</v>
      </c>
      <c r="BT11" s="28"/>
      <c r="BU11" s="11">
        <f t="shared" si="21"/>
        <v>10.9</v>
      </c>
      <c r="BV11" s="11">
        <f t="shared" si="22"/>
        <v>41.4</v>
      </c>
      <c r="BW11" s="11">
        <f t="shared" si="23"/>
        <v>22.2</v>
      </c>
      <c r="BX11" s="11">
        <f t="shared" si="24"/>
        <v>16.600000000000001</v>
      </c>
      <c r="BY11" s="11">
        <f t="shared" si="25"/>
        <v>63.599999999999994</v>
      </c>
      <c r="BZ11" s="11">
        <f t="shared" si="26"/>
        <v>9.6999999999999993</v>
      </c>
      <c r="CA11" s="11">
        <f t="shared" si="27"/>
        <v>39.800000000000004</v>
      </c>
      <c r="CB11" s="11">
        <f t="shared" si="28"/>
        <v>103.4</v>
      </c>
      <c r="CC11" s="19">
        <v>16.8</v>
      </c>
      <c r="CD11" s="19">
        <v>5.3</v>
      </c>
      <c r="CE11" s="19">
        <v>0.2</v>
      </c>
      <c r="CF11" s="19">
        <v>0</v>
      </c>
      <c r="CG11" s="19">
        <v>17.3</v>
      </c>
      <c r="CH11" s="19">
        <v>5</v>
      </c>
      <c r="CI11" s="19">
        <v>0</v>
      </c>
      <c r="CJ11" s="19">
        <v>0</v>
      </c>
      <c r="CK11" s="19">
        <v>15.8</v>
      </c>
      <c r="CL11" s="19">
        <v>5.3</v>
      </c>
      <c r="CM11" s="19">
        <v>0.4</v>
      </c>
      <c r="CN11" s="19">
        <v>0</v>
      </c>
      <c r="CO11" s="19">
        <v>14.8</v>
      </c>
      <c r="CP11" s="19">
        <v>6.1</v>
      </c>
      <c r="CQ11" s="19">
        <v>0.4</v>
      </c>
      <c r="CR11" s="19">
        <v>0</v>
      </c>
      <c r="CS11" s="19">
        <v>16.5</v>
      </c>
      <c r="CT11" s="19">
        <v>5.8</v>
      </c>
      <c r="CU11" s="19">
        <v>0</v>
      </c>
      <c r="CV11" s="19">
        <v>0</v>
      </c>
      <c r="CW11" s="27"/>
      <c r="CX11" s="40">
        <f t="shared" si="29"/>
        <v>10.3</v>
      </c>
      <c r="CY11" s="40">
        <f t="shared" si="30"/>
        <v>44.2</v>
      </c>
      <c r="CZ11" s="40">
        <f t="shared" si="31"/>
        <v>20.700000000000003</v>
      </c>
      <c r="DA11" s="40">
        <f t="shared" si="32"/>
        <v>15.600000000000001</v>
      </c>
      <c r="DB11" s="40">
        <f t="shared" si="33"/>
        <v>64.900000000000006</v>
      </c>
      <c r="DC11" s="40">
        <f t="shared" si="34"/>
        <v>11.899999999999999</v>
      </c>
      <c r="DD11" s="40">
        <f t="shared" si="35"/>
        <v>42.8</v>
      </c>
      <c r="DE11" s="40">
        <f t="shared" si="36"/>
        <v>107.7</v>
      </c>
      <c r="DF11" s="50" t="str">
        <f t="shared" si="37"/>
        <v/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>
        <v>17.399999999999999</v>
      </c>
      <c r="GP11" s="18">
        <v>4.2</v>
      </c>
      <c r="GQ11" s="18">
        <v>0</v>
      </c>
      <c r="GR11" s="18">
        <v>0</v>
      </c>
      <c r="GS11" s="18">
        <v>16.8</v>
      </c>
      <c r="GT11" s="18">
        <v>5.7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 t="shared" si="64"/>
        <v>9.9</v>
      </c>
      <c r="HJ11" s="11">
        <f t="shared" si="65"/>
        <v>44.1</v>
      </c>
      <c r="HK11" s="11" t="str">
        <f t="shared" si="66"/>
        <v/>
      </c>
      <c r="HL11" s="11">
        <f t="shared" si="67"/>
        <v>9.9</v>
      </c>
      <c r="HM11" s="11">
        <f t="shared" si="68"/>
        <v>44.1</v>
      </c>
      <c r="HN11" s="11" t="str">
        <f t="shared" si="69"/>
        <v/>
      </c>
      <c r="HO11" s="11" t="str">
        <f t="shared" si="70"/>
        <v/>
      </c>
      <c r="HP11" s="11">
        <f t="shared" si="71"/>
        <v>44.1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16.5</v>
      </c>
      <c r="QH11" s="22">
        <f t="shared" si="137"/>
        <v>5.65</v>
      </c>
      <c r="QI11" s="22">
        <f t="shared" si="138"/>
        <v>1.1000000000000001</v>
      </c>
      <c r="QJ11" s="22">
        <f t="shared" si="139"/>
        <v>0</v>
      </c>
      <c r="QK11" s="22">
        <f t="shared" si="140"/>
        <v>16.8</v>
      </c>
      <c r="QL11" s="22">
        <f t="shared" si="141"/>
        <v>4.95</v>
      </c>
      <c r="QM11" s="22">
        <f t="shared" si="142"/>
        <v>0</v>
      </c>
      <c r="QN11" s="22">
        <f t="shared" si="143"/>
        <v>0</v>
      </c>
      <c r="QO11" s="22">
        <f t="shared" si="144"/>
        <v>16.149999999999999</v>
      </c>
      <c r="QP11" s="22">
        <f t="shared" si="145"/>
        <v>5.5</v>
      </c>
      <c r="QQ11" s="22">
        <f t="shared" si="146"/>
        <v>0.2</v>
      </c>
      <c r="QR11" s="22">
        <f t="shared" si="147"/>
        <v>0</v>
      </c>
      <c r="QS11" s="22">
        <f t="shared" si="148"/>
        <v>15.05</v>
      </c>
      <c r="QT11" s="22">
        <f t="shared" si="149"/>
        <v>6.05</v>
      </c>
      <c r="QU11" s="22">
        <f t="shared" si="150"/>
        <v>0.2</v>
      </c>
      <c r="QV11" s="22">
        <f t="shared" si="151"/>
        <v>0</v>
      </c>
      <c r="QW11" s="22">
        <f t="shared" si="152"/>
        <v>15.65</v>
      </c>
      <c r="QX11" s="22">
        <f t="shared" si="153"/>
        <v>4.75</v>
      </c>
      <c r="QY11" s="22">
        <f t="shared" si="154"/>
        <v>0</v>
      </c>
      <c r="QZ11" s="22">
        <f t="shared" si="155"/>
        <v>0</v>
      </c>
      <c r="RA11" s="27" t="s">
        <v>46</v>
      </c>
      <c r="RB11" s="40">
        <f t="shared" si="156"/>
        <v>10.600000000000001</v>
      </c>
      <c r="RC11" s="40">
        <f t="shared" si="157"/>
        <v>42.800000000000004</v>
      </c>
      <c r="RD11" s="40">
        <f t="shared" si="158"/>
        <v>21.45</v>
      </c>
      <c r="RE11" s="40">
        <f t="shared" si="159"/>
        <v>16.100000000000001</v>
      </c>
      <c r="RF11" s="40">
        <f t="shared" si="160"/>
        <v>64.25</v>
      </c>
      <c r="RG11" s="40">
        <f t="shared" si="161"/>
        <v>10.8</v>
      </c>
      <c r="RH11" s="40">
        <f t="shared" si="162"/>
        <v>41.3</v>
      </c>
      <c r="RI11" s="40">
        <f t="shared" si="163"/>
        <v>105.55</v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t="str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/>
      </c>
      <c r="C12" s="5" t="s">
        <v>105</v>
      </c>
      <c r="D12" s="4" t="s">
        <v>3</v>
      </c>
      <c r="E12" s="4">
        <v>2003</v>
      </c>
      <c r="F12" s="9">
        <f t="shared" si="0"/>
        <v>152.50000662000429</v>
      </c>
      <c r="G12" s="66" t="s">
        <v>46</v>
      </c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IF(COUNT(AS12,BV12,CY12)&gt;0,LARGE((AS12,BV12,CY12),1),0)</f>
        <v>43</v>
      </c>
      <c r="M12" s="8" t="str">
        <f t="shared" si="5"/>
        <v>2023 Nationals</v>
      </c>
      <c r="N12" s="8">
        <f>IF(COUNT(AS12,BV12,CY12)&gt;1,LARGE((AS12,BV12,CY12),2),0)</f>
        <v>0</v>
      </c>
      <c r="O12" s="8" t="str">
        <f t="shared" si="6"/>
        <v/>
      </c>
      <c r="P12" s="8">
        <f>IF(COUNT(AT12,BW12,CZ12)&gt;0,LARGE((AT12,BW12,CZ12),1),0)</f>
        <v>23.2</v>
      </c>
      <c r="Q12" s="8" t="str">
        <f t="shared" si="7"/>
        <v>2023 Nationals</v>
      </c>
      <c r="R12" s="8">
        <f t="shared" si="8"/>
        <v>48.2</v>
      </c>
      <c r="S12" s="8" t="str">
        <f t="shared" si="9"/>
        <v>2023 Nationals</v>
      </c>
      <c r="T12" s="8">
        <f t="shared" si="10"/>
        <v>38.099999999999994</v>
      </c>
      <c r="U12" s="11" t="str">
        <f t="shared" si="11"/>
        <v>(Q1)</v>
      </c>
      <c r="V12" s="8" t="str">
        <f t="shared" si="12"/>
        <v>2023 World Cup USA (Aug 5)</v>
      </c>
      <c r="W12" s="19">
        <v>16.3</v>
      </c>
      <c r="X12" s="19">
        <v>5.5</v>
      </c>
      <c r="Y12" s="19">
        <v>0.4</v>
      </c>
      <c r="Z12" s="19">
        <v>0</v>
      </c>
      <c r="AA12" s="19">
        <v>16.399999999999999</v>
      </c>
      <c r="AB12" s="19">
        <v>5.4</v>
      </c>
      <c r="AC12" s="19">
        <v>0.2</v>
      </c>
      <c r="AD12" s="19">
        <v>0</v>
      </c>
      <c r="AE12" s="19">
        <v>16.899999999999999</v>
      </c>
      <c r="AF12" s="19">
        <v>6.5</v>
      </c>
      <c r="AG12" s="19">
        <v>0.2</v>
      </c>
      <c r="AH12" s="19">
        <v>0</v>
      </c>
      <c r="AI12" s="19">
        <v>17.8</v>
      </c>
      <c r="AJ12" s="19">
        <v>6.5</v>
      </c>
      <c r="AK12" s="19">
        <v>0</v>
      </c>
      <c r="AL12" s="19">
        <v>0</v>
      </c>
      <c r="AM12" s="19">
        <v>18.399999999999999</v>
      </c>
      <c r="AN12" s="19">
        <v>5.5</v>
      </c>
      <c r="AO12" s="19">
        <v>0</v>
      </c>
      <c r="AP12" s="19">
        <v>0</v>
      </c>
      <c r="AQ12" s="27"/>
      <c r="AR12" s="40">
        <f t="shared" si="13"/>
        <v>10.9</v>
      </c>
      <c r="AS12" s="40">
        <f t="shared" si="14"/>
        <v>43</v>
      </c>
      <c r="AT12" s="40">
        <f t="shared" si="15"/>
        <v>23.2</v>
      </c>
      <c r="AU12" s="40">
        <f t="shared" si="16"/>
        <v>17.399999999999999</v>
      </c>
      <c r="AV12" s="40">
        <f t="shared" si="17"/>
        <v>66.2</v>
      </c>
      <c r="AW12" s="40">
        <f t="shared" si="18"/>
        <v>12</v>
      </c>
      <c r="AX12" s="40">
        <f t="shared" si="19"/>
        <v>48.2</v>
      </c>
      <c r="AY12" s="40">
        <f t="shared" si="20"/>
        <v>114.4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 t="shared" si="21"/>
        <v/>
      </c>
      <c r="BV12" s="11" t="str">
        <f t="shared" si="22"/>
        <v/>
      </c>
      <c r="BW12" s="11" t="str">
        <f t="shared" si="23"/>
        <v/>
      </c>
      <c r="BX12" s="11" t="str">
        <f t="shared" si="24"/>
        <v/>
      </c>
      <c r="BY12" s="11" t="str">
        <f t="shared" si="25"/>
        <v/>
      </c>
      <c r="BZ12" s="11" t="str">
        <f t="shared" si="26"/>
        <v/>
      </c>
      <c r="CA12" s="11" t="str">
        <f t="shared" si="27"/>
        <v/>
      </c>
      <c r="CB12" s="11" t="str">
        <f t="shared" si="28"/>
        <v/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 t="shared" si="29"/>
        <v/>
      </c>
      <c r="CY12" s="40" t="str">
        <f t="shared" si="30"/>
        <v/>
      </c>
      <c r="CZ12" s="40" t="str">
        <f t="shared" si="31"/>
        <v/>
      </c>
      <c r="DA12" s="40" t="str">
        <f t="shared" si="32"/>
        <v/>
      </c>
      <c r="DB12" s="40" t="str">
        <f t="shared" si="33"/>
        <v/>
      </c>
      <c r="DC12" s="40" t="str">
        <f t="shared" si="34"/>
        <v/>
      </c>
      <c r="DD12" s="40" t="str">
        <f t="shared" si="35"/>
        <v/>
      </c>
      <c r="DE12" s="40" t="str">
        <f t="shared" si="36"/>
        <v/>
      </c>
      <c r="DF12" s="50">
        <f t="shared" si="37"/>
        <v>38.099999999999994</v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>
        <v>16</v>
      </c>
      <c r="EL12" s="18">
        <v>3.3</v>
      </c>
      <c r="EM12" s="18">
        <v>0</v>
      </c>
      <c r="EN12" s="18">
        <v>0</v>
      </c>
      <c r="EO12" s="18">
        <v>15.5</v>
      </c>
      <c r="EP12" s="18">
        <v>3.3</v>
      </c>
      <c r="EQ12" s="18">
        <v>0</v>
      </c>
      <c r="ER12" s="18">
        <v>0</v>
      </c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>
        <f t="shared" si="48"/>
        <v>6.6</v>
      </c>
      <c r="FF12" s="11">
        <f t="shared" si="49"/>
        <v>38.099999999999994</v>
      </c>
      <c r="FG12" s="11" t="str">
        <f t="shared" si="50"/>
        <v/>
      </c>
      <c r="FH12" s="11">
        <f t="shared" si="51"/>
        <v>6.6</v>
      </c>
      <c r="FI12" s="11">
        <f t="shared" si="52"/>
        <v>38.099999999999994</v>
      </c>
      <c r="FJ12" s="11" t="str">
        <f t="shared" si="53"/>
        <v/>
      </c>
      <c r="FK12" s="11" t="str">
        <f t="shared" si="54"/>
        <v/>
      </c>
      <c r="FL12" s="11">
        <f t="shared" si="55"/>
        <v>38.099999999999994</v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6"/>
        <v/>
      </c>
      <c r="GH12" s="40" t="str">
        <f t="shared" si="57"/>
        <v/>
      </c>
      <c r="GI12" s="40" t="str">
        <f t="shared" si="58"/>
        <v/>
      </c>
      <c r="GJ12" s="40" t="str">
        <f t="shared" si="59"/>
        <v/>
      </c>
      <c r="GK12" s="40" t="str">
        <f t="shared" si="60"/>
        <v/>
      </c>
      <c r="GL12" s="40" t="str">
        <f t="shared" si="61"/>
        <v/>
      </c>
      <c r="GM12" s="40" t="str">
        <f t="shared" si="62"/>
        <v/>
      </c>
      <c r="GN12" s="40" t="str">
        <f t="shared" si="63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0</v>
      </c>
      <c r="QH12" s="22">
        <f t="shared" si="137"/>
        <v>0</v>
      </c>
      <c r="QI12" s="22">
        <f t="shared" si="138"/>
        <v>0</v>
      </c>
      <c r="QJ12" s="22">
        <f t="shared" si="139"/>
        <v>0</v>
      </c>
      <c r="QK12" s="22">
        <f t="shared" si="140"/>
        <v>0</v>
      </c>
      <c r="QL12" s="22">
        <f t="shared" si="141"/>
        <v>0</v>
      </c>
      <c r="QM12" s="22">
        <f t="shared" si="142"/>
        <v>0</v>
      </c>
      <c r="QN12" s="22">
        <f t="shared" si="143"/>
        <v>0</v>
      </c>
      <c r="QO12" s="22">
        <f t="shared" si="144"/>
        <v>0</v>
      </c>
      <c r="QP12" s="22">
        <f t="shared" si="145"/>
        <v>0</v>
      </c>
      <c r="QQ12" s="22">
        <f t="shared" si="146"/>
        <v>0</v>
      </c>
      <c r="QR12" s="22">
        <f t="shared" si="147"/>
        <v>0</v>
      </c>
      <c r="QS12" s="22">
        <f t="shared" si="148"/>
        <v>0</v>
      </c>
      <c r="QT12" s="22">
        <f t="shared" si="149"/>
        <v>0</v>
      </c>
      <c r="QU12" s="22">
        <f t="shared" si="150"/>
        <v>0</v>
      </c>
      <c r="QV12" s="22">
        <f t="shared" si="151"/>
        <v>0</v>
      </c>
      <c r="QW12" s="22">
        <f t="shared" si="152"/>
        <v>0</v>
      </c>
      <c r="QX12" s="22">
        <f t="shared" si="153"/>
        <v>0</v>
      </c>
      <c r="QY12" s="22">
        <f t="shared" si="154"/>
        <v>0</v>
      </c>
      <c r="QZ12" s="22">
        <f t="shared" si="155"/>
        <v>0</v>
      </c>
      <c r="RA12" s="27" t="s">
        <v>46</v>
      </c>
      <c r="RB12" s="40" t="str">
        <f t="shared" si="156"/>
        <v/>
      </c>
      <c r="RC12" s="40" t="str">
        <f t="shared" si="157"/>
        <v/>
      </c>
      <c r="RD12" s="40" t="str">
        <f t="shared" si="158"/>
        <v/>
      </c>
      <c r="RE12" s="40" t="str">
        <f t="shared" si="159"/>
        <v/>
      </c>
      <c r="RF12" s="40" t="str">
        <f t="shared" si="160"/>
        <v/>
      </c>
      <c r="RG12" s="40" t="str">
        <f t="shared" si="161"/>
        <v/>
      </c>
      <c r="RH12" s="40" t="str">
        <f t="shared" si="162"/>
        <v/>
      </c>
      <c r="RI12" s="40" t="str">
        <f t="shared" si="163"/>
        <v/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4</v>
      </c>
      <c r="C13" s="5" t="s">
        <v>227</v>
      </c>
      <c r="D13" s="4" t="s">
        <v>3</v>
      </c>
      <c r="E13" s="4">
        <v>2007</v>
      </c>
      <c r="F13" s="9">
        <f t="shared" si="0"/>
        <v>108.50000646000419</v>
      </c>
      <c r="G13" s="66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IF(COUNT(AS13,BV13,CY13)&gt;0,LARGE((AS13,BV13,CY13),1),0)</f>
        <v>41.9</v>
      </c>
      <c r="M13" s="8" t="str">
        <f t="shared" si="5"/>
        <v>2024 Elite Canada</v>
      </c>
      <c r="N13" s="8">
        <f>IF(COUNT(AS13,BV13,CY13)&gt;1,LARGE((AS13,BV13,CY13),2),0)</f>
        <v>0</v>
      </c>
      <c r="O13" s="8" t="str">
        <f t="shared" si="6"/>
        <v/>
      </c>
      <c r="P13" s="8">
        <f>IF(COUNT(AT13,BW13,CZ13)&gt;0,LARGE((AT13,BW13,CZ13),1),0)</f>
        <v>22.7</v>
      </c>
      <c r="Q13" s="8" t="str">
        <f t="shared" si="7"/>
        <v>2024 Elite Canada</v>
      </c>
      <c r="R13" s="8">
        <f t="shared" si="8"/>
        <v>43.900000000000006</v>
      </c>
      <c r="S13" s="8" t="str">
        <f t="shared" si="9"/>
        <v>2024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 t="shared" si="13"/>
        <v/>
      </c>
      <c r="AS13" s="40" t="str">
        <f t="shared" si="14"/>
        <v/>
      </c>
      <c r="AT13" s="40" t="str">
        <f t="shared" si="15"/>
        <v/>
      </c>
      <c r="AU13" s="40" t="str">
        <f t="shared" si="16"/>
        <v/>
      </c>
      <c r="AV13" s="40" t="str">
        <f t="shared" si="17"/>
        <v/>
      </c>
      <c r="AW13" s="40" t="str">
        <f t="shared" si="18"/>
        <v/>
      </c>
      <c r="AX13" s="40" t="str">
        <f t="shared" si="19"/>
        <v/>
      </c>
      <c r="AY13" s="40" t="str">
        <f t="shared" si="20"/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 t="shared" si="21"/>
        <v/>
      </c>
      <c r="BV13" s="11" t="str">
        <f t="shared" si="22"/>
        <v/>
      </c>
      <c r="BW13" s="11" t="str">
        <f t="shared" si="23"/>
        <v/>
      </c>
      <c r="BX13" s="11" t="str">
        <f t="shared" si="24"/>
        <v/>
      </c>
      <c r="BY13" s="11" t="str">
        <f t="shared" si="25"/>
        <v/>
      </c>
      <c r="BZ13" s="11" t="str">
        <f t="shared" si="26"/>
        <v/>
      </c>
      <c r="CA13" s="11" t="str">
        <f t="shared" si="27"/>
        <v/>
      </c>
      <c r="CB13" s="11" t="str">
        <f t="shared" si="28"/>
        <v/>
      </c>
      <c r="CC13" s="19">
        <v>16.5</v>
      </c>
      <c r="CD13" s="19">
        <v>4.9000000000000004</v>
      </c>
      <c r="CE13" s="19">
        <v>0</v>
      </c>
      <c r="CF13" s="19">
        <v>0.6</v>
      </c>
      <c r="CG13" s="19">
        <v>14.8</v>
      </c>
      <c r="CH13" s="19">
        <v>4.7</v>
      </c>
      <c r="CI13" s="19">
        <v>0.2</v>
      </c>
      <c r="CJ13" s="19">
        <v>0.6</v>
      </c>
      <c r="CK13" s="19">
        <v>17.399999999999999</v>
      </c>
      <c r="CL13" s="19">
        <v>4.7</v>
      </c>
      <c r="CM13" s="19">
        <v>0</v>
      </c>
      <c r="CN13" s="19">
        <v>0.6</v>
      </c>
      <c r="CO13" s="19">
        <v>16.2</v>
      </c>
      <c r="CP13" s="19">
        <v>4.9000000000000004</v>
      </c>
      <c r="CQ13" s="19">
        <v>0</v>
      </c>
      <c r="CR13" s="19">
        <v>0.6</v>
      </c>
      <c r="CS13" s="19">
        <v>16.899999999999999</v>
      </c>
      <c r="CT13" s="19">
        <v>4.7</v>
      </c>
      <c r="CU13" s="19">
        <v>0</v>
      </c>
      <c r="CV13" s="19">
        <v>0.6</v>
      </c>
      <c r="CW13" s="27"/>
      <c r="CX13" s="40">
        <f t="shared" si="29"/>
        <v>9.6000000000000014</v>
      </c>
      <c r="CY13" s="40">
        <f t="shared" si="30"/>
        <v>41.9</v>
      </c>
      <c r="CZ13" s="40">
        <f t="shared" si="31"/>
        <v>22.7</v>
      </c>
      <c r="DA13" s="40">
        <f t="shared" si="32"/>
        <v>14.3</v>
      </c>
      <c r="DB13" s="40">
        <f t="shared" si="33"/>
        <v>64.599999999999994</v>
      </c>
      <c r="DC13" s="40">
        <f t="shared" si="34"/>
        <v>9.6000000000000014</v>
      </c>
      <c r="DD13" s="40">
        <f t="shared" si="35"/>
        <v>43.900000000000006</v>
      </c>
      <c r="DE13" s="40">
        <f t="shared" si="36"/>
        <v>108.5</v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8.25</v>
      </c>
      <c r="QH13" s="22">
        <f t="shared" si="137"/>
        <v>2.4500000000000002</v>
      </c>
      <c r="QI13" s="22">
        <f t="shared" si="138"/>
        <v>0</v>
      </c>
      <c r="QJ13" s="22">
        <f t="shared" si="139"/>
        <v>0.3</v>
      </c>
      <c r="QK13" s="22">
        <f t="shared" si="140"/>
        <v>7.4</v>
      </c>
      <c r="QL13" s="22">
        <f t="shared" si="141"/>
        <v>2.35</v>
      </c>
      <c r="QM13" s="22">
        <f t="shared" si="142"/>
        <v>0.1</v>
      </c>
      <c r="QN13" s="22">
        <f t="shared" si="143"/>
        <v>0.3</v>
      </c>
      <c r="QO13" s="22">
        <f t="shared" si="144"/>
        <v>8.6999999999999993</v>
      </c>
      <c r="QP13" s="22">
        <f t="shared" si="145"/>
        <v>2.35</v>
      </c>
      <c r="QQ13" s="22">
        <f t="shared" si="146"/>
        <v>0</v>
      </c>
      <c r="QR13" s="22">
        <f t="shared" si="147"/>
        <v>0.3</v>
      </c>
      <c r="QS13" s="22">
        <f t="shared" si="148"/>
        <v>8.1</v>
      </c>
      <c r="QT13" s="22">
        <f t="shared" si="149"/>
        <v>2.4500000000000002</v>
      </c>
      <c r="QU13" s="22">
        <f t="shared" si="150"/>
        <v>0</v>
      </c>
      <c r="QV13" s="22">
        <f t="shared" si="151"/>
        <v>0.3</v>
      </c>
      <c r="QW13" s="22">
        <f t="shared" si="152"/>
        <v>8.4499999999999993</v>
      </c>
      <c r="QX13" s="22">
        <f t="shared" si="153"/>
        <v>2.35</v>
      </c>
      <c r="QY13" s="22">
        <f t="shared" si="154"/>
        <v>0</v>
      </c>
      <c r="QZ13" s="22">
        <f t="shared" si="155"/>
        <v>0.3</v>
      </c>
      <c r="RA13" s="27" t="s">
        <v>46</v>
      </c>
      <c r="RB13" s="40">
        <f t="shared" si="156"/>
        <v>4.8000000000000007</v>
      </c>
      <c r="RC13" s="40">
        <f t="shared" si="157"/>
        <v>20.95</v>
      </c>
      <c r="RD13" s="40">
        <f t="shared" si="158"/>
        <v>11.35</v>
      </c>
      <c r="RE13" s="40">
        <f t="shared" si="159"/>
        <v>7.15</v>
      </c>
      <c r="RF13" s="40">
        <f t="shared" si="160"/>
        <v>32.299999999999997</v>
      </c>
      <c r="RG13" s="40">
        <f t="shared" si="161"/>
        <v>4.8000000000000007</v>
      </c>
      <c r="RH13" s="40">
        <f t="shared" si="162"/>
        <v>21.950000000000003</v>
      </c>
      <c r="RI13" s="40">
        <f t="shared" si="163"/>
        <v>54.25</v>
      </c>
    </row>
    <row r="14" spans="1:477" x14ac:dyDescent="0.2">
      <c r="A14" s="4" t="str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/>
      </c>
      <c r="B14" s="4" t="str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/>
      </c>
      <c r="C14" s="5" t="s">
        <v>128</v>
      </c>
      <c r="D14" s="4" t="s">
        <v>107</v>
      </c>
      <c r="E14" s="4">
        <v>2005</v>
      </c>
      <c r="F14" s="9">
        <f t="shared" si="0"/>
        <v>149.5000106000042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42</v>
      </c>
      <c r="M14" s="8" t="str">
        <f t="shared" si="5"/>
        <v>2023 Nationals</v>
      </c>
      <c r="N14" s="8">
        <f>IF(COUNT(AS14,BV14,CY14)&gt;1,LARGE((AS14,BV14,CY14),2),0)</f>
        <v>41.599999999999994</v>
      </c>
      <c r="O14" s="8" t="str">
        <f t="shared" si="6"/>
        <v>2024 Elite Canada</v>
      </c>
      <c r="P14" s="8">
        <f>IF(COUNT(AT14,BW14,CZ14)&gt;0,LARGE((AT14,BW14,CZ14),1),0)</f>
        <v>22.4</v>
      </c>
      <c r="Q14" s="8" t="str">
        <f t="shared" si="7"/>
        <v>2024 Elite Canada</v>
      </c>
      <c r="R14" s="8">
        <f t="shared" si="8"/>
        <v>43.5</v>
      </c>
      <c r="S14" s="8" t="str">
        <f t="shared" si="9"/>
        <v>2023 Nationals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16.7</v>
      </c>
      <c r="X14" s="19">
        <v>4.5</v>
      </c>
      <c r="Y14" s="19">
        <v>0</v>
      </c>
      <c r="Z14" s="19">
        <v>0.6</v>
      </c>
      <c r="AA14" s="19">
        <v>16.5</v>
      </c>
      <c r="AB14" s="19">
        <v>4</v>
      </c>
      <c r="AC14" s="19">
        <v>0.3</v>
      </c>
      <c r="AD14" s="19">
        <v>0</v>
      </c>
      <c r="AE14" s="19">
        <v>16.899999999999999</v>
      </c>
      <c r="AF14" s="19">
        <v>4</v>
      </c>
      <c r="AG14" s="19">
        <v>0</v>
      </c>
      <c r="AH14" s="19">
        <v>0</v>
      </c>
      <c r="AI14" s="19">
        <v>16.899999999999999</v>
      </c>
      <c r="AJ14" s="19">
        <v>4.5</v>
      </c>
      <c r="AK14" s="19">
        <v>0</v>
      </c>
      <c r="AL14" s="19">
        <v>0.3</v>
      </c>
      <c r="AM14" s="19">
        <v>17.8</v>
      </c>
      <c r="AN14" s="19">
        <v>4</v>
      </c>
      <c r="AO14" s="19">
        <v>0</v>
      </c>
      <c r="AP14" s="19">
        <v>0</v>
      </c>
      <c r="AQ14" s="27"/>
      <c r="AR14" s="40">
        <f t="shared" si="13"/>
        <v>8.5</v>
      </c>
      <c r="AS14" s="40">
        <f t="shared" si="14"/>
        <v>42</v>
      </c>
      <c r="AT14" s="40">
        <f t="shared" si="15"/>
        <v>20.9</v>
      </c>
      <c r="AU14" s="40">
        <f t="shared" si="16"/>
        <v>12.5</v>
      </c>
      <c r="AV14" s="40">
        <f t="shared" si="17"/>
        <v>62.9</v>
      </c>
      <c r="AW14" s="40">
        <f t="shared" si="18"/>
        <v>8.5</v>
      </c>
      <c r="AX14" s="40">
        <f t="shared" si="19"/>
        <v>43.5</v>
      </c>
      <c r="AY14" s="40">
        <f t="shared" si="20"/>
        <v>106.4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 t="shared" si="21"/>
        <v/>
      </c>
      <c r="BV14" s="11" t="str">
        <f t="shared" si="22"/>
        <v/>
      </c>
      <c r="BW14" s="11" t="str">
        <f t="shared" si="23"/>
        <v/>
      </c>
      <c r="BX14" s="11" t="str">
        <f t="shared" si="24"/>
        <v/>
      </c>
      <c r="BY14" s="11" t="str">
        <f t="shared" si="25"/>
        <v/>
      </c>
      <c r="BZ14" s="11" t="str">
        <f t="shared" si="26"/>
        <v/>
      </c>
      <c r="CA14" s="11" t="str">
        <f t="shared" si="27"/>
        <v/>
      </c>
      <c r="CB14" s="11" t="str">
        <f t="shared" si="28"/>
        <v/>
      </c>
      <c r="CC14" s="19">
        <v>14.3</v>
      </c>
      <c r="CD14" s="19">
        <v>5.0999999999999996</v>
      </c>
      <c r="CE14" s="19">
        <v>0.6</v>
      </c>
      <c r="CF14" s="19">
        <v>0.3</v>
      </c>
      <c r="CG14" s="19">
        <v>16.899999999999999</v>
      </c>
      <c r="CH14" s="19">
        <v>5</v>
      </c>
      <c r="CI14" s="19">
        <v>0</v>
      </c>
      <c r="CJ14" s="19">
        <v>0.6</v>
      </c>
      <c r="CK14" s="19">
        <v>17.2</v>
      </c>
      <c r="CL14" s="19">
        <v>5.0999999999999996</v>
      </c>
      <c r="CM14" s="19">
        <v>0.2</v>
      </c>
      <c r="CN14" s="19">
        <v>0.3</v>
      </c>
      <c r="CO14" s="19">
        <v>16.8</v>
      </c>
      <c r="CP14" s="19">
        <v>5.0999999999999996</v>
      </c>
      <c r="CQ14" s="19">
        <v>0.2</v>
      </c>
      <c r="CR14" s="19">
        <v>0.3</v>
      </c>
      <c r="CS14" s="19">
        <v>15.9</v>
      </c>
      <c r="CT14" s="19">
        <v>2.6</v>
      </c>
      <c r="CU14" s="19">
        <v>0</v>
      </c>
      <c r="CV14" s="19">
        <v>0.6</v>
      </c>
      <c r="CW14" s="27"/>
      <c r="CX14" s="40">
        <f t="shared" si="29"/>
        <v>10.1</v>
      </c>
      <c r="CY14" s="40">
        <f t="shared" si="30"/>
        <v>41.599999999999994</v>
      </c>
      <c r="CZ14" s="40">
        <f t="shared" si="31"/>
        <v>22.4</v>
      </c>
      <c r="DA14" s="40">
        <f t="shared" si="32"/>
        <v>15.2</v>
      </c>
      <c r="DB14" s="40">
        <f t="shared" si="33"/>
        <v>63.999999999999993</v>
      </c>
      <c r="DC14" s="40">
        <f t="shared" si="34"/>
        <v>7.6999999999999993</v>
      </c>
      <c r="DD14" s="40">
        <f t="shared" si="35"/>
        <v>41.1</v>
      </c>
      <c r="DE14" s="40">
        <f t="shared" si="36"/>
        <v>105.1</v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7.15</v>
      </c>
      <c r="QH14" s="22">
        <f t="shared" si="137"/>
        <v>2.5499999999999998</v>
      </c>
      <c r="QI14" s="22">
        <f t="shared" si="138"/>
        <v>0.3</v>
      </c>
      <c r="QJ14" s="22">
        <f t="shared" si="139"/>
        <v>0.15</v>
      </c>
      <c r="QK14" s="22">
        <f t="shared" si="140"/>
        <v>8.4499999999999993</v>
      </c>
      <c r="QL14" s="22">
        <f t="shared" si="141"/>
        <v>2.5</v>
      </c>
      <c r="QM14" s="22">
        <f t="shared" si="142"/>
        <v>0</v>
      </c>
      <c r="QN14" s="22">
        <f t="shared" si="143"/>
        <v>0.3</v>
      </c>
      <c r="QO14" s="22">
        <f t="shared" si="144"/>
        <v>8.6</v>
      </c>
      <c r="QP14" s="22">
        <f t="shared" si="145"/>
        <v>2.5499999999999998</v>
      </c>
      <c r="QQ14" s="22">
        <f t="shared" si="146"/>
        <v>0.1</v>
      </c>
      <c r="QR14" s="22">
        <f t="shared" si="147"/>
        <v>0.15</v>
      </c>
      <c r="QS14" s="22">
        <f t="shared" si="148"/>
        <v>8.4</v>
      </c>
      <c r="QT14" s="22">
        <f t="shared" si="149"/>
        <v>2.5499999999999998</v>
      </c>
      <c r="QU14" s="22">
        <f t="shared" si="150"/>
        <v>0.1</v>
      </c>
      <c r="QV14" s="22">
        <f t="shared" si="151"/>
        <v>0.15</v>
      </c>
      <c r="QW14" s="22">
        <f t="shared" si="152"/>
        <v>7.95</v>
      </c>
      <c r="QX14" s="22">
        <f t="shared" si="153"/>
        <v>1.3</v>
      </c>
      <c r="QY14" s="22">
        <f t="shared" si="154"/>
        <v>0</v>
      </c>
      <c r="QZ14" s="22">
        <f t="shared" si="155"/>
        <v>0.3</v>
      </c>
      <c r="RA14" s="27" t="s">
        <v>46</v>
      </c>
      <c r="RB14" s="40">
        <f t="shared" si="156"/>
        <v>5.05</v>
      </c>
      <c r="RC14" s="40">
        <f t="shared" si="157"/>
        <v>20.799999999999997</v>
      </c>
      <c r="RD14" s="40">
        <f t="shared" si="158"/>
        <v>11.2</v>
      </c>
      <c r="RE14" s="40">
        <f t="shared" si="159"/>
        <v>7.6</v>
      </c>
      <c r="RF14" s="40">
        <f t="shared" si="160"/>
        <v>31.999999999999996</v>
      </c>
      <c r="RG14" s="40">
        <f t="shared" si="161"/>
        <v>3.8499999999999996</v>
      </c>
      <c r="RH14" s="40">
        <f t="shared" si="162"/>
        <v>20.55</v>
      </c>
      <c r="RI14" s="40">
        <f t="shared" si="163"/>
        <v>52.55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191</v>
      </c>
      <c r="D15" s="4" t="s">
        <v>4</v>
      </c>
      <c r="E15" s="4">
        <v>2005</v>
      </c>
      <c r="F15" s="9">
        <f t="shared" si="0"/>
        <v>144.7000102400041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40.9</v>
      </c>
      <c r="M15" s="8" t="str">
        <f t="shared" si="5"/>
        <v>2024 Elite Canada</v>
      </c>
      <c r="N15" s="8">
        <f>IF(COUNT(AS15,BV15,CY15)&gt;1,LARGE((AS15,BV15,CY15),2),0)</f>
        <v>39.5</v>
      </c>
      <c r="O15" s="8" t="str">
        <f t="shared" si="6"/>
        <v>2023 3rd Domestic Trial</v>
      </c>
      <c r="P15" s="8">
        <f>IF(COUNT(AT15,BW15,CZ15)&gt;0,LARGE((AT15,BW15,CZ15),1),0)</f>
        <v>22</v>
      </c>
      <c r="Q15" s="8" t="str">
        <f t="shared" si="7"/>
        <v>2023 3rd Domestic Trial</v>
      </c>
      <c r="R15" s="8">
        <f t="shared" si="8"/>
        <v>42.300000000000004</v>
      </c>
      <c r="S15" s="8" t="str">
        <f t="shared" si="9"/>
        <v>2024 Elite Canada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 t="shared" si="13"/>
        <v/>
      </c>
      <c r="AS15" s="40" t="str">
        <f t="shared" si="14"/>
        <v/>
      </c>
      <c r="AT15" s="40" t="str">
        <f t="shared" si="15"/>
        <v/>
      </c>
      <c r="AU15" s="40" t="str">
        <f t="shared" si="16"/>
        <v/>
      </c>
      <c r="AV15" s="40" t="str">
        <f t="shared" si="17"/>
        <v/>
      </c>
      <c r="AW15" s="40" t="str">
        <f t="shared" si="18"/>
        <v/>
      </c>
      <c r="AX15" s="40" t="str">
        <f t="shared" si="19"/>
        <v/>
      </c>
      <c r="AY15" s="40" t="str">
        <f t="shared" si="20"/>
        <v/>
      </c>
      <c r="AZ15" s="18">
        <v>15.6</v>
      </c>
      <c r="BA15" s="18">
        <v>3.2</v>
      </c>
      <c r="BB15" s="18">
        <v>0</v>
      </c>
      <c r="BC15" s="18">
        <v>0</v>
      </c>
      <c r="BD15" s="18">
        <v>16.3</v>
      </c>
      <c r="BE15" s="18">
        <v>4.0999999999999996</v>
      </c>
      <c r="BF15" s="18">
        <v>0</v>
      </c>
      <c r="BG15" s="18">
        <v>0.3</v>
      </c>
      <c r="BH15" s="18">
        <v>17.8</v>
      </c>
      <c r="BI15" s="18">
        <v>3.9</v>
      </c>
      <c r="BJ15" s="18">
        <v>0</v>
      </c>
      <c r="BK15" s="18">
        <v>0.3</v>
      </c>
      <c r="BL15" s="18">
        <v>15.9</v>
      </c>
      <c r="BM15" s="18">
        <v>4.8</v>
      </c>
      <c r="BN15" s="18">
        <v>0</v>
      </c>
      <c r="BO15" s="18">
        <v>0.6</v>
      </c>
      <c r="BP15" s="18">
        <v>14.8</v>
      </c>
      <c r="BQ15" s="18">
        <v>3.3</v>
      </c>
      <c r="BR15" s="18">
        <v>0</v>
      </c>
      <c r="BS15" s="18">
        <v>0.6</v>
      </c>
      <c r="BT15" s="28"/>
      <c r="BU15" s="11">
        <f t="shared" si="21"/>
        <v>7.3</v>
      </c>
      <c r="BV15" s="11">
        <f t="shared" si="22"/>
        <v>39.5</v>
      </c>
      <c r="BW15" s="11">
        <f t="shared" si="23"/>
        <v>22</v>
      </c>
      <c r="BX15" s="11">
        <f t="shared" si="24"/>
        <v>11.2</v>
      </c>
      <c r="BY15" s="11">
        <f t="shared" si="25"/>
        <v>61.5</v>
      </c>
      <c r="BZ15" s="11">
        <f t="shared" si="26"/>
        <v>8.1</v>
      </c>
      <c r="CA15" s="11">
        <f t="shared" si="27"/>
        <v>40</v>
      </c>
      <c r="CB15" s="11">
        <f t="shared" si="28"/>
        <v>101.5</v>
      </c>
      <c r="CC15" s="19">
        <v>15.7</v>
      </c>
      <c r="CD15" s="19">
        <v>5.5</v>
      </c>
      <c r="CE15" s="19">
        <v>0.2</v>
      </c>
      <c r="CF15" s="19">
        <v>0.6</v>
      </c>
      <c r="CG15" s="19">
        <v>13.8</v>
      </c>
      <c r="CH15" s="19">
        <v>5.3</v>
      </c>
      <c r="CI15" s="19">
        <v>0.4</v>
      </c>
      <c r="CJ15" s="19">
        <v>0.6</v>
      </c>
      <c r="CK15" s="19">
        <v>15</v>
      </c>
      <c r="CL15" s="19">
        <v>3.3</v>
      </c>
      <c r="CM15" s="19">
        <v>0</v>
      </c>
      <c r="CN15" s="19">
        <v>0.6</v>
      </c>
      <c r="CO15" s="19">
        <v>14.8</v>
      </c>
      <c r="CP15" s="19">
        <v>4.8</v>
      </c>
      <c r="CQ15" s="19">
        <v>0</v>
      </c>
      <c r="CR15" s="19">
        <v>0.6</v>
      </c>
      <c r="CS15" s="19">
        <v>16.2</v>
      </c>
      <c r="CT15" s="19">
        <v>5.3</v>
      </c>
      <c r="CU15" s="19">
        <v>0</v>
      </c>
      <c r="CV15" s="19">
        <v>0.6</v>
      </c>
      <c r="CW15" s="27"/>
      <c r="CX15" s="40">
        <f t="shared" si="29"/>
        <v>10.8</v>
      </c>
      <c r="CY15" s="40">
        <f t="shared" si="30"/>
        <v>40.9</v>
      </c>
      <c r="CZ15" s="40">
        <f t="shared" si="31"/>
        <v>18.900000000000002</v>
      </c>
      <c r="DA15" s="40">
        <f t="shared" si="32"/>
        <v>14.100000000000001</v>
      </c>
      <c r="DB15" s="40">
        <f t="shared" si="33"/>
        <v>59.8</v>
      </c>
      <c r="DC15" s="40">
        <f t="shared" si="34"/>
        <v>10.1</v>
      </c>
      <c r="DD15" s="40">
        <f t="shared" si="35"/>
        <v>42.300000000000004</v>
      </c>
      <c r="DE15" s="40">
        <f t="shared" si="36"/>
        <v>102.1</v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15.649999999999999</v>
      </c>
      <c r="QH15" s="22">
        <f t="shared" si="137"/>
        <v>4.3499999999999996</v>
      </c>
      <c r="QI15" s="22">
        <f t="shared" si="138"/>
        <v>0.1</v>
      </c>
      <c r="QJ15" s="22">
        <f t="shared" si="139"/>
        <v>0.3</v>
      </c>
      <c r="QK15" s="22">
        <f t="shared" si="140"/>
        <v>15.05</v>
      </c>
      <c r="QL15" s="22">
        <f t="shared" si="141"/>
        <v>4.6999999999999993</v>
      </c>
      <c r="QM15" s="22">
        <f t="shared" si="142"/>
        <v>0.2</v>
      </c>
      <c r="QN15" s="22">
        <f t="shared" si="143"/>
        <v>0.44999999999999996</v>
      </c>
      <c r="QO15" s="22">
        <f t="shared" si="144"/>
        <v>16.399999999999999</v>
      </c>
      <c r="QP15" s="22">
        <f t="shared" si="145"/>
        <v>3.5999999999999996</v>
      </c>
      <c r="QQ15" s="22">
        <f t="shared" si="146"/>
        <v>0</v>
      </c>
      <c r="QR15" s="22">
        <f t="shared" si="147"/>
        <v>0.44999999999999996</v>
      </c>
      <c r="QS15" s="22">
        <f t="shared" si="148"/>
        <v>15.350000000000001</v>
      </c>
      <c r="QT15" s="22">
        <f t="shared" si="149"/>
        <v>4.8</v>
      </c>
      <c r="QU15" s="22">
        <f t="shared" si="150"/>
        <v>0</v>
      </c>
      <c r="QV15" s="22">
        <f t="shared" si="151"/>
        <v>0.6</v>
      </c>
      <c r="QW15" s="22">
        <f t="shared" si="152"/>
        <v>15.5</v>
      </c>
      <c r="QX15" s="22">
        <f t="shared" si="153"/>
        <v>4.3</v>
      </c>
      <c r="QY15" s="22">
        <f t="shared" si="154"/>
        <v>0</v>
      </c>
      <c r="QZ15" s="22">
        <f t="shared" si="155"/>
        <v>0.6</v>
      </c>
      <c r="RA15" s="27" t="s">
        <v>46</v>
      </c>
      <c r="RB15" s="40">
        <f t="shared" si="156"/>
        <v>9.0499999999999989</v>
      </c>
      <c r="RC15" s="40">
        <f t="shared" si="157"/>
        <v>40.199999999999996</v>
      </c>
      <c r="RD15" s="40">
        <f t="shared" si="158"/>
        <v>20.45</v>
      </c>
      <c r="RE15" s="40">
        <f t="shared" si="159"/>
        <v>12.649999999999999</v>
      </c>
      <c r="RF15" s="40">
        <f t="shared" si="160"/>
        <v>60.649999999999991</v>
      </c>
      <c r="RG15" s="40">
        <f t="shared" si="161"/>
        <v>9.1</v>
      </c>
      <c r="RH15" s="40">
        <f t="shared" si="162"/>
        <v>41.15</v>
      </c>
      <c r="RI15" s="40">
        <f t="shared" si="163"/>
        <v>101.79999999999998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123</v>
      </c>
      <c r="D16" s="4" t="s">
        <v>4</v>
      </c>
      <c r="E16" s="4">
        <v>2005</v>
      </c>
      <c r="F16" s="9">
        <f t="shared" si="0"/>
        <v>142.86001039000422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42.000000000000007</v>
      </c>
      <c r="M16" s="8" t="str">
        <f t="shared" si="5"/>
        <v>2023 3rd Domestic Trial</v>
      </c>
      <c r="N16" s="8">
        <f>IF(COUNT(AS16,BV16,CY16)&gt;1,LARGE((AS16,BV16,CY16),2),0)</f>
        <v>41.800000000000004</v>
      </c>
      <c r="O16" s="8" t="str">
        <f t="shared" si="6"/>
        <v>2024 Elite Canada</v>
      </c>
      <c r="P16" s="8">
        <f>IF(COUNT(AT16,BW16,CZ16)&gt;0,LARGE((AT16,BW16,CZ16),1),0)</f>
        <v>20.099999999999998</v>
      </c>
      <c r="Q16" s="8" t="str">
        <f t="shared" si="7"/>
        <v>2023 Nationals</v>
      </c>
      <c r="R16" s="8">
        <f t="shared" si="8"/>
        <v>38.96</v>
      </c>
      <c r="S16" s="8" t="str">
        <f t="shared" si="9"/>
        <v>2023 Nationals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15</v>
      </c>
      <c r="X16" s="19">
        <v>5.5</v>
      </c>
      <c r="Y16" s="19">
        <v>0</v>
      </c>
      <c r="Z16" s="19">
        <v>0.3</v>
      </c>
      <c r="AA16" s="19">
        <v>15.4</v>
      </c>
      <c r="AB16" s="19">
        <v>4.8</v>
      </c>
      <c r="AC16" s="19">
        <v>0</v>
      </c>
      <c r="AD16" s="19">
        <v>0.6</v>
      </c>
      <c r="AE16" s="19">
        <v>14.7</v>
      </c>
      <c r="AF16" s="19">
        <v>5.0999999999999996</v>
      </c>
      <c r="AG16" s="19">
        <v>0</v>
      </c>
      <c r="AH16" s="19">
        <v>0.3</v>
      </c>
      <c r="AI16" s="19">
        <v>14.8</v>
      </c>
      <c r="AJ16" s="19">
        <v>2.9</v>
      </c>
      <c r="AK16" s="19">
        <v>0</v>
      </c>
      <c r="AL16" s="19">
        <v>0.3</v>
      </c>
      <c r="AM16" s="19">
        <v>15.56</v>
      </c>
      <c r="AN16" s="19">
        <v>4.8</v>
      </c>
      <c r="AO16" s="19">
        <v>0</v>
      </c>
      <c r="AP16" s="19">
        <v>0.6</v>
      </c>
      <c r="AQ16" s="27"/>
      <c r="AR16" s="40">
        <f t="shared" si="13"/>
        <v>10.3</v>
      </c>
      <c r="AS16" s="40">
        <f t="shared" si="14"/>
        <v>41.6</v>
      </c>
      <c r="AT16" s="40">
        <f t="shared" si="15"/>
        <v>20.099999999999998</v>
      </c>
      <c r="AU16" s="40">
        <f t="shared" si="16"/>
        <v>15.4</v>
      </c>
      <c r="AV16" s="40">
        <f t="shared" si="17"/>
        <v>61.7</v>
      </c>
      <c r="AW16" s="40">
        <f t="shared" si="18"/>
        <v>7.6999999999999993</v>
      </c>
      <c r="AX16" s="40">
        <f t="shared" si="19"/>
        <v>38.96</v>
      </c>
      <c r="AY16" s="40">
        <f t="shared" si="20"/>
        <v>100.66</v>
      </c>
      <c r="AZ16" s="18">
        <v>15.1</v>
      </c>
      <c r="BA16" s="18">
        <v>5.0999999999999996</v>
      </c>
      <c r="BB16" s="18">
        <v>0</v>
      </c>
      <c r="BC16" s="18">
        <v>0.3</v>
      </c>
      <c r="BD16" s="18">
        <v>15.7</v>
      </c>
      <c r="BE16" s="18">
        <v>5.2</v>
      </c>
      <c r="BF16" s="18">
        <v>0</v>
      </c>
      <c r="BG16" s="18">
        <v>0.6</v>
      </c>
      <c r="BH16" s="18">
        <v>14.4</v>
      </c>
      <c r="BI16" s="18">
        <v>5.3</v>
      </c>
      <c r="BJ16" s="18">
        <v>0</v>
      </c>
      <c r="BK16" s="18">
        <v>0.3</v>
      </c>
      <c r="BL16" s="18">
        <v>12.1</v>
      </c>
      <c r="BM16" s="18">
        <v>3.5</v>
      </c>
      <c r="BN16" s="18">
        <v>0</v>
      </c>
      <c r="BO16" s="18">
        <v>0.3</v>
      </c>
      <c r="BP16" s="18">
        <v>14.7</v>
      </c>
      <c r="BQ16" s="18">
        <v>2.6</v>
      </c>
      <c r="BR16" s="18">
        <v>0</v>
      </c>
      <c r="BS16" s="18">
        <v>0.6</v>
      </c>
      <c r="BT16" s="28"/>
      <c r="BU16" s="11">
        <f t="shared" si="21"/>
        <v>10.3</v>
      </c>
      <c r="BV16" s="11">
        <f t="shared" si="22"/>
        <v>42.000000000000007</v>
      </c>
      <c r="BW16" s="11">
        <f t="shared" si="23"/>
        <v>20</v>
      </c>
      <c r="BX16" s="11">
        <f t="shared" si="24"/>
        <v>15.600000000000001</v>
      </c>
      <c r="BY16" s="11">
        <f t="shared" si="25"/>
        <v>62.000000000000007</v>
      </c>
      <c r="BZ16" s="11">
        <f t="shared" si="26"/>
        <v>6.1</v>
      </c>
      <c r="CA16" s="11">
        <f t="shared" si="27"/>
        <v>33.800000000000004</v>
      </c>
      <c r="CB16" s="11">
        <f t="shared" si="28"/>
        <v>95.800000000000011</v>
      </c>
      <c r="CC16" s="19">
        <v>15.05</v>
      </c>
      <c r="CD16" s="19">
        <v>5.3</v>
      </c>
      <c r="CE16" s="19">
        <v>0</v>
      </c>
      <c r="CF16" s="19">
        <v>0.3</v>
      </c>
      <c r="CG16" s="19">
        <v>15.55</v>
      </c>
      <c r="CH16" s="19">
        <v>5</v>
      </c>
      <c r="CI16" s="19">
        <v>0</v>
      </c>
      <c r="CJ16" s="19">
        <v>0.6</v>
      </c>
      <c r="CK16" s="19">
        <v>14.55</v>
      </c>
      <c r="CL16" s="19">
        <v>5.1999999999999993</v>
      </c>
      <c r="CM16" s="19">
        <v>0</v>
      </c>
      <c r="CN16" s="19">
        <v>0.3</v>
      </c>
      <c r="CO16" s="19">
        <v>13.45</v>
      </c>
      <c r="CP16" s="19">
        <v>3.2</v>
      </c>
      <c r="CQ16" s="19">
        <v>0</v>
      </c>
      <c r="CR16" s="19">
        <v>0.3</v>
      </c>
      <c r="CS16" s="19">
        <v>15.129999999999999</v>
      </c>
      <c r="CT16" s="19">
        <v>3.7</v>
      </c>
      <c r="CU16" s="19">
        <v>0</v>
      </c>
      <c r="CV16" s="19">
        <v>0.6</v>
      </c>
      <c r="CW16" s="27" t="s">
        <v>46</v>
      </c>
      <c r="CX16" s="40">
        <f t="shared" si="29"/>
        <v>10.3</v>
      </c>
      <c r="CY16" s="40">
        <f t="shared" si="30"/>
        <v>41.800000000000004</v>
      </c>
      <c r="CZ16" s="40">
        <f t="shared" si="31"/>
        <v>20.05</v>
      </c>
      <c r="DA16" s="40">
        <f t="shared" si="32"/>
        <v>15.5</v>
      </c>
      <c r="DB16" s="40">
        <f t="shared" si="33"/>
        <v>61.850000000000009</v>
      </c>
      <c r="DC16" s="40">
        <f t="shared" si="34"/>
        <v>6.9</v>
      </c>
      <c r="DD16" s="40">
        <f t="shared" si="35"/>
        <v>36.380000000000003</v>
      </c>
      <c r="DE16" s="40">
        <f t="shared" si="36"/>
        <v>98.230000000000018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15.05</v>
      </c>
      <c r="QH16" s="22">
        <f t="shared" si="137"/>
        <v>5.3</v>
      </c>
      <c r="QI16" s="22">
        <f t="shared" si="138"/>
        <v>0</v>
      </c>
      <c r="QJ16" s="22">
        <f t="shared" si="139"/>
        <v>0.3</v>
      </c>
      <c r="QK16" s="22">
        <f t="shared" si="140"/>
        <v>15.55</v>
      </c>
      <c r="QL16" s="22">
        <f t="shared" si="141"/>
        <v>5</v>
      </c>
      <c r="QM16" s="22">
        <f t="shared" si="142"/>
        <v>0</v>
      </c>
      <c r="QN16" s="22">
        <f t="shared" si="143"/>
        <v>0.6</v>
      </c>
      <c r="QO16" s="22">
        <f t="shared" si="144"/>
        <v>14.55</v>
      </c>
      <c r="QP16" s="22">
        <f t="shared" si="145"/>
        <v>5.1999999999999993</v>
      </c>
      <c r="QQ16" s="22">
        <f t="shared" si="146"/>
        <v>0</v>
      </c>
      <c r="QR16" s="22">
        <f t="shared" si="147"/>
        <v>0.3</v>
      </c>
      <c r="QS16" s="22">
        <f t="shared" si="148"/>
        <v>13.45</v>
      </c>
      <c r="QT16" s="22">
        <f t="shared" si="149"/>
        <v>3.2</v>
      </c>
      <c r="QU16" s="22">
        <f t="shared" si="150"/>
        <v>0</v>
      </c>
      <c r="QV16" s="22">
        <f t="shared" si="151"/>
        <v>0.3</v>
      </c>
      <c r="QW16" s="22">
        <f t="shared" si="152"/>
        <v>15.129999999999999</v>
      </c>
      <c r="QX16" s="22">
        <f t="shared" si="153"/>
        <v>3.7</v>
      </c>
      <c r="QY16" s="22">
        <f t="shared" si="154"/>
        <v>0</v>
      </c>
      <c r="QZ16" s="22">
        <f t="shared" si="155"/>
        <v>0.6</v>
      </c>
      <c r="RA16" s="27" t="s">
        <v>46</v>
      </c>
      <c r="RB16" s="40">
        <f t="shared" si="156"/>
        <v>10.3</v>
      </c>
      <c r="RC16" s="40">
        <f t="shared" si="157"/>
        <v>41.800000000000004</v>
      </c>
      <c r="RD16" s="40">
        <f t="shared" si="158"/>
        <v>20.05</v>
      </c>
      <c r="RE16" s="40">
        <f t="shared" si="159"/>
        <v>15.5</v>
      </c>
      <c r="RF16" s="40">
        <f t="shared" si="160"/>
        <v>61.850000000000009</v>
      </c>
      <c r="RG16" s="40">
        <f t="shared" si="161"/>
        <v>6.9</v>
      </c>
      <c r="RH16" s="40">
        <f t="shared" si="162"/>
        <v>36.380000000000003</v>
      </c>
      <c r="RI16" s="40">
        <f t="shared" si="163"/>
        <v>98.230000000000018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205</v>
      </c>
      <c r="D17" s="4" t="s">
        <v>5</v>
      </c>
      <c r="E17" s="4">
        <v>2007</v>
      </c>
      <c r="F17" s="9">
        <f t="shared" si="0"/>
        <v>141.40001018000422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42.399999999999991</v>
      </c>
      <c r="M17" s="8" t="str">
        <f t="shared" si="5"/>
        <v>2023 3rd Domestic Trial</v>
      </c>
      <c r="N17" s="8">
        <f>IF(COUNT(AS17,BV17,CY17)&gt;1,LARGE((AS17,BV17,CY17),2),0)</f>
        <v>39.299999999999997</v>
      </c>
      <c r="O17" s="8" t="str">
        <f t="shared" si="6"/>
        <v>2023 Nationals</v>
      </c>
      <c r="P17" s="8">
        <f>IF(COUNT(AT17,BW17,CZ17)&gt;0,LARGE((AT17,BW17,CZ17),1),0)</f>
        <v>20.100000000000001</v>
      </c>
      <c r="Q17" s="8" t="str">
        <f t="shared" si="7"/>
        <v>2023 3rd Domestic Trial</v>
      </c>
      <c r="R17" s="8">
        <f t="shared" si="8"/>
        <v>39.599999999999994</v>
      </c>
      <c r="S17" s="8" t="str">
        <f t="shared" si="9"/>
        <v>2023 3rd Domestic Trial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>
        <v>16.600000000000001</v>
      </c>
      <c r="X17" s="19">
        <v>5.0999999999999996</v>
      </c>
      <c r="Y17" s="19">
        <v>0</v>
      </c>
      <c r="Z17" s="19">
        <v>0.3</v>
      </c>
      <c r="AA17" s="19">
        <v>15.1</v>
      </c>
      <c r="AB17" s="19">
        <v>1.9</v>
      </c>
      <c r="AC17" s="19">
        <v>0</v>
      </c>
      <c r="AD17" s="19">
        <v>0.3</v>
      </c>
      <c r="AE17" s="19">
        <v>14.1</v>
      </c>
      <c r="AF17" s="19">
        <v>2.7</v>
      </c>
      <c r="AG17" s="19">
        <v>0</v>
      </c>
      <c r="AH17" s="19">
        <v>0.3</v>
      </c>
      <c r="AI17" s="19">
        <v>15.8</v>
      </c>
      <c r="AJ17" s="19">
        <v>3.6</v>
      </c>
      <c r="AK17" s="19">
        <v>0.9</v>
      </c>
      <c r="AL17" s="19">
        <v>0.3</v>
      </c>
      <c r="AM17" s="19">
        <v>16.100000000000001</v>
      </c>
      <c r="AN17" s="19">
        <v>3.9</v>
      </c>
      <c r="AO17" s="19">
        <v>0.2</v>
      </c>
      <c r="AP17" s="19">
        <v>0.3</v>
      </c>
      <c r="AQ17" s="27"/>
      <c r="AR17" s="40">
        <f t="shared" si="13"/>
        <v>7</v>
      </c>
      <c r="AS17" s="40">
        <f t="shared" si="14"/>
        <v>39.299999999999997</v>
      </c>
      <c r="AT17" s="40">
        <f t="shared" si="15"/>
        <v>17.100000000000001</v>
      </c>
      <c r="AU17" s="40">
        <f t="shared" si="16"/>
        <v>9.6999999999999993</v>
      </c>
      <c r="AV17" s="40">
        <f t="shared" si="17"/>
        <v>56.4</v>
      </c>
      <c r="AW17" s="40">
        <f t="shared" si="18"/>
        <v>7.5</v>
      </c>
      <c r="AX17" s="40">
        <f t="shared" si="19"/>
        <v>38.9</v>
      </c>
      <c r="AY17" s="40">
        <f t="shared" si="20"/>
        <v>95.3</v>
      </c>
      <c r="AZ17" s="18">
        <v>17.2</v>
      </c>
      <c r="BA17" s="18">
        <v>4.0999999999999996</v>
      </c>
      <c r="BB17" s="18">
        <v>0</v>
      </c>
      <c r="BC17" s="18">
        <v>0.3</v>
      </c>
      <c r="BD17" s="18">
        <v>17</v>
      </c>
      <c r="BE17" s="18">
        <v>3.9</v>
      </c>
      <c r="BF17" s="18">
        <v>0.4</v>
      </c>
      <c r="BG17" s="18">
        <v>0.3</v>
      </c>
      <c r="BH17" s="18">
        <v>17</v>
      </c>
      <c r="BI17" s="18">
        <v>3.6</v>
      </c>
      <c r="BJ17" s="18">
        <v>0.5</v>
      </c>
      <c r="BK17" s="18">
        <v>0</v>
      </c>
      <c r="BL17" s="18">
        <v>17</v>
      </c>
      <c r="BM17" s="18">
        <v>4.0999999999999996</v>
      </c>
      <c r="BN17" s="18">
        <v>0</v>
      </c>
      <c r="BO17" s="18">
        <v>0.3</v>
      </c>
      <c r="BP17" s="18">
        <v>14.6</v>
      </c>
      <c r="BQ17" s="18">
        <v>3.9</v>
      </c>
      <c r="BR17" s="18">
        <v>0.6</v>
      </c>
      <c r="BS17" s="18">
        <v>0.3</v>
      </c>
      <c r="BT17" s="28"/>
      <c r="BU17" s="11">
        <f t="shared" si="21"/>
        <v>8</v>
      </c>
      <c r="BV17" s="11">
        <f t="shared" si="22"/>
        <v>42.399999999999991</v>
      </c>
      <c r="BW17" s="11">
        <f t="shared" si="23"/>
        <v>20.100000000000001</v>
      </c>
      <c r="BX17" s="11">
        <f t="shared" si="24"/>
        <v>11.6</v>
      </c>
      <c r="BY17" s="11">
        <f t="shared" si="25"/>
        <v>62.499999999999993</v>
      </c>
      <c r="BZ17" s="11">
        <f t="shared" si="26"/>
        <v>8</v>
      </c>
      <c r="CA17" s="11">
        <f t="shared" si="27"/>
        <v>39.599999999999994</v>
      </c>
      <c r="CB17" s="11">
        <f t="shared" si="28"/>
        <v>102.1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 t="shared" si="29"/>
        <v/>
      </c>
      <c r="CY17" s="40" t="str">
        <f t="shared" si="30"/>
        <v/>
      </c>
      <c r="CZ17" s="40" t="str">
        <f t="shared" si="31"/>
        <v/>
      </c>
      <c r="DA17" s="40" t="str">
        <f t="shared" si="32"/>
        <v/>
      </c>
      <c r="DB17" s="40" t="str">
        <f t="shared" si="33"/>
        <v/>
      </c>
      <c r="DC17" s="40" t="str">
        <f t="shared" si="34"/>
        <v/>
      </c>
      <c r="DD17" s="40" t="str">
        <f t="shared" si="35"/>
        <v/>
      </c>
      <c r="DE17" s="40" t="str">
        <f t="shared" si="36"/>
        <v/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8.6</v>
      </c>
      <c r="QH17" s="22">
        <f t="shared" si="137"/>
        <v>2.0499999999999998</v>
      </c>
      <c r="QI17" s="22">
        <f t="shared" si="138"/>
        <v>0</v>
      </c>
      <c r="QJ17" s="22">
        <f t="shared" si="139"/>
        <v>0.15</v>
      </c>
      <c r="QK17" s="22">
        <f t="shared" si="140"/>
        <v>8.5</v>
      </c>
      <c r="QL17" s="22">
        <f t="shared" si="141"/>
        <v>1.95</v>
      </c>
      <c r="QM17" s="22">
        <f t="shared" si="142"/>
        <v>0.2</v>
      </c>
      <c r="QN17" s="22">
        <f t="shared" si="143"/>
        <v>0.15</v>
      </c>
      <c r="QO17" s="22">
        <f t="shared" si="144"/>
        <v>8.5</v>
      </c>
      <c r="QP17" s="22">
        <f t="shared" si="145"/>
        <v>1.8</v>
      </c>
      <c r="QQ17" s="22">
        <f t="shared" si="146"/>
        <v>0.25</v>
      </c>
      <c r="QR17" s="22">
        <f t="shared" si="147"/>
        <v>0</v>
      </c>
      <c r="QS17" s="22">
        <f t="shared" si="148"/>
        <v>8.5</v>
      </c>
      <c r="QT17" s="22">
        <f t="shared" si="149"/>
        <v>2.0499999999999998</v>
      </c>
      <c r="QU17" s="22">
        <f t="shared" si="150"/>
        <v>0</v>
      </c>
      <c r="QV17" s="22">
        <f t="shared" si="151"/>
        <v>0.15</v>
      </c>
      <c r="QW17" s="22">
        <f t="shared" si="152"/>
        <v>7.3</v>
      </c>
      <c r="QX17" s="22">
        <f t="shared" si="153"/>
        <v>1.95</v>
      </c>
      <c r="QY17" s="22">
        <f t="shared" si="154"/>
        <v>0.3</v>
      </c>
      <c r="QZ17" s="22">
        <f t="shared" si="155"/>
        <v>0.15</v>
      </c>
      <c r="RA17" s="27" t="s">
        <v>46</v>
      </c>
      <c r="RB17" s="40">
        <f t="shared" si="156"/>
        <v>4</v>
      </c>
      <c r="RC17" s="40">
        <f t="shared" si="157"/>
        <v>21.199999999999996</v>
      </c>
      <c r="RD17" s="40">
        <f t="shared" si="158"/>
        <v>10.050000000000001</v>
      </c>
      <c r="RE17" s="40">
        <f t="shared" si="159"/>
        <v>5.8</v>
      </c>
      <c r="RF17" s="40">
        <f t="shared" si="160"/>
        <v>31.249999999999996</v>
      </c>
      <c r="RG17" s="40">
        <f t="shared" si="161"/>
        <v>4</v>
      </c>
      <c r="RH17" s="40">
        <f t="shared" si="162"/>
        <v>19.799999999999997</v>
      </c>
      <c r="RI17" s="40">
        <f t="shared" si="163"/>
        <v>51.05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166</v>
      </c>
      <c r="D18" s="4" t="s">
        <v>5</v>
      </c>
      <c r="E18" s="4">
        <v>2005</v>
      </c>
      <c r="F18" s="9">
        <f t="shared" si="0"/>
        <v>120.70000829000323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32.399999999999991</v>
      </c>
      <c r="M18" s="8" t="str">
        <f t="shared" si="5"/>
        <v>2023 Nationals</v>
      </c>
      <c r="N18" s="8">
        <f>IF(COUNT(AS18,BV18,CY18)&gt;1,LARGE((AS18,BV18,CY18),2),0)</f>
        <v>30.099999999999998</v>
      </c>
      <c r="O18" s="8" t="str">
        <f t="shared" si="6"/>
        <v>2023 3rd Domestic Trial</v>
      </c>
      <c r="P18" s="8">
        <f>IF(COUNT(AT18,BW18,CZ18)&gt;0,LARGE((AT18,BW18,CZ18),1),0)</f>
        <v>20.400000000000002</v>
      </c>
      <c r="Q18" s="8" t="str">
        <f t="shared" si="7"/>
        <v>2023 3rd Domestic Trial</v>
      </c>
      <c r="R18" s="8">
        <f t="shared" si="8"/>
        <v>37.799999999999997</v>
      </c>
      <c r="S18" s="8" t="str">
        <f t="shared" si="9"/>
        <v>2023 3rd Domestic Trial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>
        <v>13.3</v>
      </c>
      <c r="X18" s="19">
        <v>4.5999999999999996</v>
      </c>
      <c r="Y18" s="19">
        <v>0.2</v>
      </c>
      <c r="Z18" s="19">
        <v>0.6</v>
      </c>
      <c r="AA18" s="19">
        <v>14.3</v>
      </c>
      <c r="AB18" s="19">
        <v>2.5</v>
      </c>
      <c r="AC18" s="19">
        <v>2.7</v>
      </c>
      <c r="AD18" s="19">
        <v>0</v>
      </c>
      <c r="AE18" s="19">
        <v>13.1</v>
      </c>
      <c r="AF18" s="19">
        <v>5.0999999999999996</v>
      </c>
      <c r="AG18" s="19">
        <v>0.2</v>
      </c>
      <c r="AH18" s="19">
        <v>0.3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 t="shared" si="13"/>
        <v>7.1</v>
      </c>
      <c r="AS18" s="40">
        <f t="shared" si="14"/>
        <v>32.399999999999991</v>
      </c>
      <c r="AT18" s="40">
        <f t="shared" si="15"/>
        <v>18.3</v>
      </c>
      <c r="AU18" s="40">
        <f t="shared" si="16"/>
        <v>12.2</v>
      </c>
      <c r="AV18" s="40">
        <f t="shared" si="17"/>
        <v>50.699999999999989</v>
      </c>
      <c r="AW18" s="40" t="str">
        <f t="shared" si="18"/>
        <v/>
      </c>
      <c r="AX18" s="40" t="str">
        <f t="shared" si="19"/>
        <v/>
      </c>
      <c r="AY18" s="40">
        <f t="shared" si="20"/>
        <v>50.699999999999989</v>
      </c>
      <c r="AZ18" s="18">
        <v>9.6999999999999993</v>
      </c>
      <c r="BA18" s="18">
        <v>2.8</v>
      </c>
      <c r="BB18" s="18">
        <v>0</v>
      </c>
      <c r="BC18" s="18">
        <v>0.3</v>
      </c>
      <c r="BD18" s="18">
        <v>14.7</v>
      </c>
      <c r="BE18" s="18">
        <v>2.9</v>
      </c>
      <c r="BF18" s="18">
        <v>0.3</v>
      </c>
      <c r="BG18" s="18">
        <v>0</v>
      </c>
      <c r="BH18" s="18">
        <v>14.8</v>
      </c>
      <c r="BI18" s="18">
        <v>5.3</v>
      </c>
      <c r="BJ18" s="18">
        <v>0</v>
      </c>
      <c r="BK18" s="18">
        <v>0.3</v>
      </c>
      <c r="BL18" s="18">
        <v>14.6</v>
      </c>
      <c r="BM18" s="18">
        <v>3.3</v>
      </c>
      <c r="BN18" s="18">
        <v>0</v>
      </c>
      <c r="BO18" s="18">
        <v>0.3</v>
      </c>
      <c r="BP18" s="18">
        <v>15.5</v>
      </c>
      <c r="BQ18" s="18">
        <v>3.8</v>
      </c>
      <c r="BR18" s="18">
        <v>0</v>
      </c>
      <c r="BS18" s="18">
        <v>0.3</v>
      </c>
      <c r="BT18" s="28"/>
      <c r="BU18" s="11">
        <f t="shared" si="21"/>
        <v>5.6999999999999993</v>
      </c>
      <c r="BV18" s="11">
        <f t="shared" si="22"/>
        <v>30.099999999999998</v>
      </c>
      <c r="BW18" s="11">
        <f t="shared" si="23"/>
        <v>20.400000000000002</v>
      </c>
      <c r="BX18" s="11">
        <f t="shared" si="24"/>
        <v>11</v>
      </c>
      <c r="BY18" s="11">
        <f t="shared" si="25"/>
        <v>50.5</v>
      </c>
      <c r="BZ18" s="11">
        <f t="shared" si="26"/>
        <v>7.1</v>
      </c>
      <c r="CA18" s="11">
        <f t="shared" si="27"/>
        <v>37.799999999999997</v>
      </c>
      <c r="CB18" s="11">
        <f t="shared" si="28"/>
        <v>88.3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 t="shared" si="29"/>
        <v/>
      </c>
      <c r="CY18" s="40" t="str">
        <f t="shared" si="30"/>
        <v/>
      </c>
      <c r="CZ18" s="40" t="str">
        <f t="shared" si="31"/>
        <v/>
      </c>
      <c r="DA18" s="40" t="str">
        <f t="shared" si="32"/>
        <v/>
      </c>
      <c r="DB18" s="40" t="str">
        <f t="shared" si="33"/>
        <v/>
      </c>
      <c r="DC18" s="40" t="str">
        <f t="shared" si="34"/>
        <v/>
      </c>
      <c r="DD18" s="40" t="str">
        <f t="shared" si="35"/>
        <v/>
      </c>
      <c r="DE18" s="40" t="str">
        <f t="shared" si="36"/>
        <v/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4.8499999999999996</v>
      </c>
      <c r="QH18" s="22">
        <f t="shared" si="137"/>
        <v>1.4</v>
      </c>
      <c r="QI18" s="22">
        <f t="shared" si="138"/>
        <v>0</v>
      </c>
      <c r="QJ18" s="22">
        <f t="shared" si="139"/>
        <v>0.15</v>
      </c>
      <c r="QK18" s="22">
        <f t="shared" si="140"/>
        <v>7.35</v>
      </c>
      <c r="QL18" s="22">
        <f t="shared" si="141"/>
        <v>1.45</v>
      </c>
      <c r="QM18" s="22">
        <f t="shared" si="142"/>
        <v>0.15</v>
      </c>
      <c r="QN18" s="22">
        <f t="shared" si="143"/>
        <v>0</v>
      </c>
      <c r="QO18" s="22">
        <f t="shared" si="144"/>
        <v>7.4</v>
      </c>
      <c r="QP18" s="22">
        <f t="shared" si="145"/>
        <v>2.65</v>
      </c>
      <c r="QQ18" s="22">
        <f t="shared" si="146"/>
        <v>0</v>
      </c>
      <c r="QR18" s="22">
        <f t="shared" si="147"/>
        <v>0.15</v>
      </c>
      <c r="QS18" s="22">
        <f t="shared" si="148"/>
        <v>7.3</v>
      </c>
      <c r="QT18" s="22">
        <f t="shared" si="149"/>
        <v>1.65</v>
      </c>
      <c r="QU18" s="22">
        <f t="shared" si="150"/>
        <v>0</v>
      </c>
      <c r="QV18" s="22">
        <f t="shared" si="151"/>
        <v>0.15</v>
      </c>
      <c r="QW18" s="22">
        <f t="shared" si="152"/>
        <v>7.75</v>
      </c>
      <c r="QX18" s="22">
        <f t="shared" si="153"/>
        <v>1.9</v>
      </c>
      <c r="QY18" s="22">
        <f t="shared" si="154"/>
        <v>0</v>
      </c>
      <c r="QZ18" s="22">
        <f t="shared" si="155"/>
        <v>0.15</v>
      </c>
      <c r="RA18" s="27" t="s">
        <v>46</v>
      </c>
      <c r="RB18" s="40">
        <f t="shared" si="156"/>
        <v>2.8499999999999996</v>
      </c>
      <c r="RC18" s="40">
        <f t="shared" si="157"/>
        <v>15.049999999999999</v>
      </c>
      <c r="RD18" s="40">
        <f t="shared" si="158"/>
        <v>10.200000000000001</v>
      </c>
      <c r="RE18" s="40">
        <f t="shared" si="159"/>
        <v>5.5</v>
      </c>
      <c r="RF18" s="40">
        <f t="shared" si="160"/>
        <v>25.25</v>
      </c>
      <c r="RG18" s="40">
        <f t="shared" si="161"/>
        <v>3.55</v>
      </c>
      <c r="RH18" s="40">
        <f t="shared" si="162"/>
        <v>18.899999999999999</v>
      </c>
      <c r="RI18" s="40">
        <f t="shared" si="163"/>
        <v>44.15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170</v>
      </c>
      <c r="D19" s="4" t="s">
        <v>3</v>
      </c>
      <c r="E19" s="4">
        <v>2006</v>
      </c>
      <c r="F19" s="9">
        <f t="shared" si="0"/>
        <v>107.20000640000426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42.400000000000006</v>
      </c>
      <c r="M19" s="8" t="str">
        <f t="shared" si="5"/>
        <v>2023 Nationals</v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21.6</v>
      </c>
      <c r="Q19" s="8" t="str">
        <f t="shared" si="7"/>
        <v>2023 Nationals</v>
      </c>
      <c r="R19" s="8">
        <f t="shared" si="8"/>
        <v>43.20000000000001</v>
      </c>
      <c r="S19" s="8" t="str">
        <f t="shared" si="9"/>
        <v>2023 Nationals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>
        <v>15.1</v>
      </c>
      <c r="X19" s="19">
        <v>5.4</v>
      </c>
      <c r="Y19" s="19">
        <v>0</v>
      </c>
      <c r="Z19" s="19">
        <v>0.6</v>
      </c>
      <c r="AA19" s="19">
        <v>16.8</v>
      </c>
      <c r="AB19" s="19">
        <v>4.2</v>
      </c>
      <c r="AC19" s="19">
        <v>0</v>
      </c>
      <c r="AD19" s="19">
        <v>0.3</v>
      </c>
      <c r="AE19" s="19">
        <v>16.100000000000001</v>
      </c>
      <c r="AF19" s="19">
        <v>4.9000000000000004</v>
      </c>
      <c r="AG19" s="19">
        <v>0</v>
      </c>
      <c r="AH19" s="19">
        <v>0.6</v>
      </c>
      <c r="AI19" s="19">
        <v>15.7</v>
      </c>
      <c r="AJ19" s="19">
        <v>4.9000000000000004</v>
      </c>
      <c r="AK19" s="19">
        <v>0</v>
      </c>
      <c r="AL19" s="19">
        <v>0.6</v>
      </c>
      <c r="AM19" s="19">
        <v>16.7</v>
      </c>
      <c r="AN19" s="19">
        <v>4.7</v>
      </c>
      <c r="AO19" s="19">
        <v>0</v>
      </c>
      <c r="AP19" s="19">
        <v>0.6</v>
      </c>
      <c r="AQ19" s="27"/>
      <c r="AR19" s="40">
        <f t="shared" si="13"/>
        <v>9.6000000000000014</v>
      </c>
      <c r="AS19" s="40">
        <f t="shared" si="14"/>
        <v>42.400000000000006</v>
      </c>
      <c r="AT19" s="40">
        <f t="shared" si="15"/>
        <v>21.6</v>
      </c>
      <c r="AU19" s="40">
        <f t="shared" si="16"/>
        <v>14.500000000000002</v>
      </c>
      <c r="AV19" s="40">
        <f t="shared" si="17"/>
        <v>64</v>
      </c>
      <c r="AW19" s="40">
        <f t="shared" si="18"/>
        <v>9.6000000000000014</v>
      </c>
      <c r="AX19" s="40">
        <f t="shared" si="19"/>
        <v>43.20000000000001</v>
      </c>
      <c r="AY19" s="40">
        <f t="shared" si="20"/>
        <v>107.20000000000002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0</v>
      </c>
      <c r="QH19" s="22">
        <f t="shared" si="137"/>
        <v>0</v>
      </c>
      <c r="QI19" s="22">
        <f t="shared" si="138"/>
        <v>0</v>
      </c>
      <c r="QJ19" s="22">
        <f t="shared" si="139"/>
        <v>0</v>
      </c>
      <c r="QK19" s="22">
        <f t="shared" si="140"/>
        <v>0</v>
      </c>
      <c r="QL19" s="22">
        <f t="shared" si="141"/>
        <v>0</v>
      </c>
      <c r="QM19" s="22">
        <f t="shared" si="142"/>
        <v>0</v>
      </c>
      <c r="QN19" s="22">
        <f t="shared" si="143"/>
        <v>0</v>
      </c>
      <c r="QO19" s="22">
        <f t="shared" si="144"/>
        <v>0</v>
      </c>
      <c r="QP19" s="22">
        <f t="shared" si="145"/>
        <v>0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 t="str">
        <f t="shared" si="156"/>
        <v/>
      </c>
      <c r="RC19" s="40" t="str">
        <f t="shared" si="157"/>
        <v/>
      </c>
      <c r="RD19" s="40" t="str">
        <f t="shared" si="158"/>
        <v/>
      </c>
      <c r="RE19" s="40" t="str">
        <f t="shared" si="159"/>
        <v/>
      </c>
      <c r="RF19" s="40" t="str">
        <f t="shared" si="160"/>
        <v/>
      </c>
      <c r="RG19" s="40" t="str">
        <f t="shared" si="161"/>
        <v/>
      </c>
      <c r="RH19" s="40" t="str">
        <f t="shared" si="162"/>
        <v/>
      </c>
      <c r="RI19" s="40" t="str">
        <f t="shared" si="163"/>
        <v/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167</v>
      </c>
      <c r="D20" s="4" t="s">
        <v>4</v>
      </c>
      <c r="E20" s="4">
        <v>2005</v>
      </c>
      <c r="F20" s="9">
        <f t="shared" si="0"/>
        <v>98.800005590003792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37.800000000000004</v>
      </c>
      <c r="M20" s="8" t="str">
        <f t="shared" si="5"/>
        <v>2023 Nationals</v>
      </c>
      <c r="N20" s="8">
        <f>IF(COUNT(AS20,BV20,CY20)&gt;1,LARGE((AS20,BV20,CY20),2),0)</f>
        <v>0</v>
      </c>
      <c r="O20" s="8" t="str">
        <f t="shared" si="6"/>
        <v/>
      </c>
      <c r="P20" s="8">
        <f>IF(COUNT(AT20,BW20,CZ20)&gt;0,LARGE((AT20,BW20,CZ20),1),0)</f>
        <v>18.100000000000001</v>
      </c>
      <c r="Q20" s="8" t="str">
        <f t="shared" si="7"/>
        <v>2023 Nationals</v>
      </c>
      <c r="R20" s="8">
        <f t="shared" si="8"/>
        <v>42.9</v>
      </c>
      <c r="S20" s="8" t="str">
        <f t="shared" si="9"/>
        <v>2023 Nationals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>
        <v>14.8</v>
      </c>
      <c r="X20" s="19">
        <v>4.5999999999999996</v>
      </c>
      <c r="Y20" s="19">
        <v>0</v>
      </c>
      <c r="Z20" s="19">
        <v>0.6</v>
      </c>
      <c r="AA20" s="19">
        <v>15.2</v>
      </c>
      <c r="AB20" s="19">
        <v>2.6</v>
      </c>
      <c r="AC20" s="19">
        <v>0.6</v>
      </c>
      <c r="AD20" s="19">
        <v>0.6</v>
      </c>
      <c r="AE20" s="19">
        <v>14.2</v>
      </c>
      <c r="AF20" s="19">
        <v>3.3</v>
      </c>
      <c r="AG20" s="19">
        <v>0</v>
      </c>
      <c r="AH20" s="19">
        <v>0.6</v>
      </c>
      <c r="AI20" s="19">
        <v>16</v>
      </c>
      <c r="AJ20" s="19">
        <v>4.8</v>
      </c>
      <c r="AK20" s="19">
        <v>0</v>
      </c>
      <c r="AL20" s="19">
        <v>0.6</v>
      </c>
      <c r="AM20" s="19">
        <v>15.6</v>
      </c>
      <c r="AN20" s="19">
        <v>5.3</v>
      </c>
      <c r="AO20" s="19">
        <v>0</v>
      </c>
      <c r="AP20" s="19">
        <v>0.6</v>
      </c>
      <c r="AQ20" s="27"/>
      <c r="AR20" s="40">
        <f t="shared" si="13"/>
        <v>7.1999999999999993</v>
      </c>
      <c r="AS20" s="40">
        <f t="shared" si="14"/>
        <v>37.800000000000004</v>
      </c>
      <c r="AT20" s="40">
        <f t="shared" si="15"/>
        <v>18.100000000000001</v>
      </c>
      <c r="AU20" s="40">
        <f t="shared" si="16"/>
        <v>10.5</v>
      </c>
      <c r="AV20" s="40">
        <f t="shared" si="17"/>
        <v>55.900000000000006</v>
      </c>
      <c r="AW20" s="40">
        <f t="shared" si="18"/>
        <v>10.1</v>
      </c>
      <c r="AX20" s="40">
        <f t="shared" si="19"/>
        <v>42.9</v>
      </c>
      <c r="AY20" s="40">
        <f t="shared" si="20"/>
        <v>98.800000000000011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 t="shared" si="21"/>
        <v/>
      </c>
      <c r="BV20" s="11" t="str">
        <f t="shared" si="22"/>
        <v/>
      </c>
      <c r="BW20" s="11" t="str">
        <f t="shared" si="23"/>
        <v/>
      </c>
      <c r="BX20" s="11" t="str">
        <f t="shared" si="24"/>
        <v/>
      </c>
      <c r="BY20" s="11" t="str">
        <f t="shared" si="25"/>
        <v/>
      </c>
      <c r="BZ20" s="11" t="str">
        <f t="shared" si="26"/>
        <v/>
      </c>
      <c r="CA20" s="11" t="str">
        <f t="shared" si="27"/>
        <v/>
      </c>
      <c r="CB20" s="11" t="str">
        <f t="shared" si="28"/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 t="shared" si="29"/>
        <v/>
      </c>
      <c r="CY20" s="40" t="str">
        <f t="shared" si="30"/>
        <v/>
      </c>
      <c r="CZ20" s="40" t="str">
        <f t="shared" si="31"/>
        <v/>
      </c>
      <c r="DA20" s="40" t="str">
        <f t="shared" si="32"/>
        <v/>
      </c>
      <c r="DB20" s="40" t="str">
        <f t="shared" si="33"/>
        <v/>
      </c>
      <c r="DC20" s="40" t="str">
        <f t="shared" si="34"/>
        <v/>
      </c>
      <c r="DD20" s="40" t="str">
        <f t="shared" si="35"/>
        <v/>
      </c>
      <c r="DE20" s="40" t="str">
        <f t="shared" si="36"/>
        <v/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0</v>
      </c>
      <c r="QH20" s="22">
        <f t="shared" si="137"/>
        <v>0</v>
      </c>
      <c r="QI20" s="22">
        <f t="shared" si="138"/>
        <v>0</v>
      </c>
      <c r="QJ20" s="22">
        <f t="shared" si="139"/>
        <v>0</v>
      </c>
      <c r="QK20" s="22">
        <f t="shared" si="140"/>
        <v>0</v>
      </c>
      <c r="QL20" s="22">
        <f t="shared" si="141"/>
        <v>0</v>
      </c>
      <c r="QM20" s="22">
        <f t="shared" si="142"/>
        <v>0</v>
      </c>
      <c r="QN20" s="22">
        <f t="shared" si="143"/>
        <v>0</v>
      </c>
      <c r="QO20" s="22">
        <f t="shared" si="144"/>
        <v>0</v>
      </c>
      <c r="QP20" s="22">
        <f t="shared" si="145"/>
        <v>0</v>
      </c>
      <c r="QQ20" s="22">
        <f t="shared" si="146"/>
        <v>0</v>
      </c>
      <c r="QR20" s="22">
        <f t="shared" si="147"/>
        <v>0</v>
      </c>
      <c r="QS20" s="22">
        <f t="shared" si="148"/>
        <v>0</v>
      </c>
      <c r="QT20" s="22">
        <f t="shared" si="149"/>
        <v>0</v>
      </c>
      <c r="QU20" s="22">
        <f t="shared" si="150"/>
        <v>0</v>
      </c>
      <c r="QV20" s="22">
        <f t="shared" si="151"/>
        <v>0</v>
      </c>
      <c r="QW20" s="22">
        <f t="shared" si="152"/>
        <v>0</v>
      </c>
      <c r="QX20" s="22">
        <f t="shared" si="153"/>
        <v>0</v>
      </c>
      <c r="QY20" s="22">
        <f t="shared" si="154"/>
        <v>0</v>
      </c>
      <c r="QZ20" s="22">
        <f t="shared" si="155"/>
        <v>0</v>
      </c>
      <c r="RA20" s="27" t="s">
        <v>46</v>
      </c>
      <c r="RB20" s="40" t="str">
        <f t="shared" si="156"/>
        <v/>
      </c>
      <c r="RC20" s="40" t="str">
        <f t="shared" si="157"/>
        <v/>
      </c>
      <c r="RD20" s="40" t="str">
        <f t="shared" si="158"/>
        <v/>
      </c>
      <c r="RE20" s="40" t="str">
        <f t="shared" si="159"/>
        <v/>
      </c>
      <c r="RF20" s="40" t="str">
        <f t="shared" si="160"/>
        <v/>
      </c>
      <c r="RG20" s="40" t="str">
        <f t="shared" si="161"/>
        <v/>
      </c>
      <c r="RH20" s="40" t="str">
        <f t="shared" si="162"/>
        <v/>
      </c>
      <c r="RI20" s="40" t="str">
        <f t="shared" si="163"/>
        <v/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113</v>
      </c>
      <c r="D21" s="4" t="s">
        <v>5</v>
      </c>
      <c r="E21" s="4">
        <v>2005</v>
      </c>
      <c r="F21" s="9">
        <f t="shared" si="0"/>
        <v>97.900005960004108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41.199999999999996</v>
      </c>
      <c r="M21" s="8" t="str">
        <f t="shared" si="5"/>
        <v>2024 Elite Canada</v>
      </c>
      <c r="N21" s="8">
        <f>IF(COUNT(AS21,BV21,CY21)&gt;1,LARGE((AS21,BV21,CY21),2),0)</f>
        <v>0</v>
      </c>
      <c r="O21" s="8" t="str">
        <f t="shared" si="6"/>
        <v/>
      </c>
      <c r="P21" s="8">
        <f>IF(COUNT(AT21,BW21,CZ21)&gt;0,LARGE((AT21,BW21,CZ21),1),0)</f>
        <v>18.399999999999999</v>
      </c>
      <c r="Q21" s="8" t="str">
        <f t="shared" si="7"/>
        <v>2024 Elite Canada</v>
      </c>
      <c r="R21" s="8">
        <f t="shared" si="8"/>
        <v>38.299999999999997</v>
      </c>
      <c r="S21" s="8" t="str">
        <f t="shared" si="9"/>
        <v>2024 Elite Canada</v>
      </c>
      <c r="T21" s="8" t="str">
        <f t="shared" si="10"/>
        <v/>
      </c>
      <c r="U21" s="11" t="str">
        <f t="shared" si="11"/>
        <v/>
      </c>
      <c r="V21" s="8" t="str">
        <f t="shared" si="12"/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 t="shared" si="13"/>
        <v/>
      </c>
      <c r="AS21" s="40" t="str">
        <f t="shared" si="14"/>
        <v/>
      </c>
      <c r="AT21" s="40" t="str">
        <f t="shared" si="15"/>
        <v/>
      </c>
      <c r="AU21" s="40" t="str">
        <f t="shared" si="16"/>
        <v/>
      </c>
      <c r="AV21" s="40" t="str">
        <f t="shared" si="17"/>
        <v/>
      </c>
      <c r="AW21" s="40" t="str">
        <f t="shared" si="18"/>
        <v/>
      </c>
      <c r="AX21" s="40" t="str">
        <f t="shared" si="19"/>
        <v/>
      </c>
      <c r="AY21" s="40" t="str">
        <f t="shared" si="20"/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1"/>
        <v/>
      </c>
      <c r="BV21" s="11" t="str">
        <f t="shared" si="22"/>
        <v/>
      </c>
      <c r="BW21" s="11" t="str">
        <f t="shared" si="23"/>
        <v/>
      </c>
      <c r="BX21" s="11" t="str">
        <f t="shared" si="24"/>
        <v/>
      </c>
      <c r="BY21" s="11" t="str">
        <f t="shared" si="25"/>
        <v/>
      </c>
      <c r="BZ21" s="11" t="str">
        <f t="shared" si="26"/>
        <v/>
      </c>
      <c r="CA21" s="11" t="str">
        <f t="shared" si="27"/>
        <v/>
      </c>
      <c r="CB21" s="11" t="str">
        <f t="shared" si="28"/>
        <v/>
      </c>
      <c r="CC21" s="19">
        <v>16.399999999999999</v>
      </c>
      <c r="CD21" s="19">
        <v>4.0999999999999996</v>
      </c>
      <c r="CE21" s="19">
        <v>0.2</v>
      </c>
      <c r="CF21" s="19">
        <v>0.3</v>
      </c>
      <c r="CG21" s="19">
        <v>16.399999999999999</v>
      </c>
      <c r="CH21" s="19">
        <v>3.9</v>
      </c>
      <c r="CI21" s="19">
        <v>0</v>
      </c>
      <c r="CJ21" s="19">
        <v>0.3</v>
      </c>
      <c r="CK21" s="19">
        <v>15.2</v>
      </c>
      <c r="CL21" s="19">
        <v>2.9</v>
      </c>
      <c r="CM21" s="19">
        <v>0</v>
      </c>
      <c r="CN21" s="19">
        <v>0.3</v>
      </c>
      <c r="CO21" s="19">
        <v>15.6</v>
      </c>
      <c r="CP21" s="19">
        <v>4.2</v>
      </c>
      <c r="CQ21" s="19">
        <v>0</v>
      </c>
      <c r="CR21" s="19">
        <v>0.3</v>
      </c>
      <c r="CS21" s="19">
        <v>14.2</v>
      </c>
      <c r="CT21" s="19">
        <v>3.4</v>
      </c>
      <c r="CU21" s="19">
        <v>0</v>
      </c>
      <c r="CV21" s="19">
        <v>0.6</v>
      </c>
      <c r="CW21" s="27"/>
      <c r="CX21" s="40">
        <f t="shared" si="29"/>
        <v>8</v>
      </c>
      <c r="CY21" s="40">
        <f t="shared" si="30"/>
        <v>41.199999999999996</v>
      </c>
      <c r="CZ21" s="40">
        <f t="shared" si="31"/>
        <v>18.399999999999999</v>
      </c>
      <c r="DA21" s="40">
        <f t="shared" si="32"/>
        <v>10.9</v>
      </c>
      <c r="DB21" s="40">
        <f t="shared" si="33"/>
        <v>59.599999999999994</v>
      </c>
      <c r="DC21" s="40">
        <f t="shared" si="34"/>
        <v>7.6</v>
      </c>
      <c r="DD21" s="40">
        <f t="shared" si="35"/>
        <v>38.299999999999997</v>
      </c>
      <c r="DE21" s="40">
        <f t="shared" si="36"/>
        <v>97.899999999999991</v>
      </c>
      <c r="DF21" s="50" t="str">
        <f t="shared" si="37"/>
        <v/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6"/>
        <v/>
      </c>
      <c r="GH21" s="40" t="str">
        <f t="shared" si="57"/>
        <v/>
      </c>
      <c r="GI21" s="40" t="str">
        <f t="shared" si="58"/>
        <v/>
      </c>
      <c r="GJ21" s="40" t="str">
        <f t="shared" si="59"/>
        <v/>
      </c>
      <c r="GK21" s="40" t="str">
        <f t="shared" si="60"/>
        <v/>
      </c>
      <c r="GL21" s="40" t="str">
        <f t="shared" si="61"/>
        <v/>
      </c>
      <c r="GM21" s="40" t="str">
        <f t="shared" si="62"/>
        <v/>
      </c>
      <c r="GN21" s="40" t="str">
        <f t="shared" si="63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8.1999999999999993</v>
      </c>
      <c r="QH21" s="22">
        <f t="shared" si="137"/>
        <v>2.0499999999999998</v>
      </c>
      <c r="QI21" s="22">
        <f t="shared" si="138"/>
        <v>0.1</v>
      </c>
      <c r="QJ21" s="22">
        <f t="shared" si="139"/>
        <v>0.15</v>
      </c>
      <c r="QK21" s="22">
        <f t="shared" si="140"/>
        <v>8.1999999999999993</v>
      </c>
      <c r="QL21" s="22">
        <f t="shared" si="141"/>
        <v>1.95</v>
      </c>
      <c r="QM21" s="22">
        <f t="shared" si="142"/>
        <v>0</v>
      </c>
      <c r="QN21" s="22">
        <f t="shared" si="143"/>
        <v>0.15</v>
      </c>
      <c r="QO21" s="22">
        <f t="shared" si="144"/>
        <v>7.6</v>
      </c>
      <c r="QP21" s="22">
        <f t="shared" si="145"/>
        <v>1.45</v>
      </c>
      <c r="QQ21" s="22">
        <f t="shared" si="146"/>
        <v>0</v>
      </c>
      <c r="QR21" s="22">
        <f t="shared" si="147"/>
        <v>0.15</v>
      </c>
      <c r="QS21" s="22">
        <f t="shared" si="148"/>
        <v>7.8</v>
      </c>
      <c r="QT21" s="22">
        <f t="shared" si="149"/>
        <v>2.1</v>
      </c>
      <c r="QU21" s="22">
        <f t="shared" si="150"/>
        <v>0</v>
      </c>
      <c r="QV21" s="22">
        <f t="shared" si="151"/>
        <v>0.15</v>
      </c>
      <c r="QW21" s="22">
        <f t="shared" si="152"/>
        <v>7.1</v>
      </c>
      <c r="QX21" s="22">
        <f t="shared" si="153"/>
        <v>1.7</v>
      </c>
      <c r="QY21" s="22">
        <f t="shared" si="154"/>
        <v>0</v>
      </c>
      <c r="QZ21" s="22">
        <f t="shared" si="155"/>
        <v>0.3</v>
      </c>
      <c r="RA21" s="27" t="s">
        <v>46</v>
      </c>
      <c r="RB21" s="40">
        <f t="shared" si="156"/>
        <v>4</v>
      </c>
      <c r="RC21" s="40">
        <f t="shared" si="157"/>
        <v>20.599999999999998</v>
      </c>
      <c r="RD21" s="40">
        <f t="shared" si="158"/>
        <v>9.1999999999999993</v>
      </c>
      <c r="RE21" s="40">
        <f t="shared" si="159"/>
        <v>5.45</v>
      </c>
      <c r="RF21" s="40">
        <f t="shared" si="160"/>
        <v>29.799999999999997</v>
      </c>
      <c r="RG21" s="40">
        <f t="shared" si="161"/>
        <v>3.8</v>
      </c>
      <c r="RH21" s="40">
        <f t="shared" si="162"/>
        <v>19.149999999999999</v>
      </c>
      <c r="RI21" s="40">
        <f t="shared" si="163"/>
        <v>48.949999999999996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207</v>
      </c>
      <c r="D22" s="4" t="s">
        <v>4</v>
      </c>
      <c r="E22" s="4">
        <v>2007</v>
      </c>
      <c r="F22" s="9">
        <f t="shared" si="0"/>
        <v>97.600006120004068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IF(COUNT(AS22,BV22,CY22)&gt;0,LARGE((AS22,BV22,CY22),1),0)</f>
        <v>40.800000000000004</v>
      </c>
      <c r="M22" s="8" t="str">
        <f t="shared" si="5"/>
        <v>2024 Elite Canada</v>
      </c>
      <c r="N22" s="8">
        <f>IF(COUNT(AS22,BV22,CY22)&gt;1,LARGE((AS22,BV22,CY22),2),0)</f>
        <v>0</v>
      </c>
      <c r="O22" s="8" t="str">
        <f t="shared" si="6"/>
        <v/>
      </c>
      <c r="P22" s="8">
        <f>IF(COUNT(AT22,BW22,CZ22)&gt;0,LARGE((AT22,BW22,CZ22),1),0)</f>
        <v>20.399999999999999</v>
      </c>
      <c r="Q22" s="8" t="str">
        <f t="shared" si="7"/>
        <v>2024 Elite Canada</v>
      </c>
      <c r="R22" s="8">
        <f t="shared" si="8"/>
        <v>36.4</v>
      </c>
      <c r="S22" s="8" t="str">
        <f t="shared" si="9"/>
        <v>2024 Elite Canada</v>
      </c>
      <c r="T22" s="8" t="str">
        <f t="shared" si="10"/>
        <v/>
      </c>
      <c r="U22" s="11" t="str">
        <f t="shared" si="11"/>
        <v/>
      </c>
      <c r="V22" s="8" t="str">
        <f t="shared" si="12"/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 t="shared" si="13"/>
        <v/>
      </c>
      <c r="AS22" s="40" t="str">
        <f t="shared" si="14"/>
        <v/>
      </c>
      <c r="AT22" s="40" t="str">
        <f t="shared" si="15"/>
        <v/>
      </c>
      <c r="AU22" s="40" t="str">
        <f t="shared" si="16"/>
        <v/>
      </c>
      <c r="AV22" s="40" t="str">
        <f t="shared" si="17"/>
        <v/>
      </c>
      <c r="AW22" s="40" t="str">
        <f t="shared" si="18"/>
        <v/>
      </c>
      <c r="AX22" s="40" t="str">
        <f t="shared" si="19"/>
        <v/>
      </c>
      <c r="AY22" s="40" t="str">
        <f t="shared" si="20"/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 t="shared" si="21"/>
        <v/>
      </c>
      <c r="BV22" s="11" t="str">
        <f t="shared" si="22"/>
        <v/>
      </c>
      <c r="BW22" s="11" t="str">
        <f t="shared" si="23"/>
        <v/>
      </c>
      <c r="BX22" s="11" t="str">
        <f t="shared" si="24"/>
        <v/>
      </c>
      <c r="BY22" s="11" t="str">
        <f t="shared" si="25"/>
        <v/>
      </c>
      <c r="BZ22" s="11" t="str">
        <f t="shared" si="26"/>
        <v/>
      </c>
      <c r="CA22" s="11" t="str">
        <f t="shared" si="27"/>
        <v/>
      </c>
      <c r="CB22" s="11" t="str">
        <f t="shared" si="28"/>
        <v/>
      </c>
      <c r="CC22" s="19">
        <v>16.100000000000001</v>
      </c>
      <c r="CD22" s="19">
        <v>4.0999999999999996</v>
      </c>
      <c r="CE22" s="19">
        <v>0</v>
      </c>
      <c r="CF22" s="19">
        <v>0.3</v>
      </c>
      <c r="CG22" s="19">
        <v>16.100000000000001</v>
      </c>
      <c r="CH22" s="19">
        <v>3.9</v>
      </c>
      <c r="CI22" s="19">
        <v>0</v>
      </c>
      <c r="CJ22" s="19">
        <v>0.3</v>
      </c>
      <c r="CK22" s="19">
        <v>16.2</v>
      </c>
      <c r="CL22" s="19">
        <v>4.0999999999999996</v>
      </c>
      <c r="CM22" s="19">
        <v>0.2</v>
      </c>
      <c r="CN22" s="19">
        <v>0.3</v>
      </c>
      <c r="CO22" s="19">
        <v>15.5</v>
      </c>
      <c r="CP22" s="19">
        <v>1.9</v>
      </c>
      <c r="CQ22" s="19">
        <v>0</v>
      </c>
      <c r="CR22" s="19">
        <v>0.3</v>
      </c>
      <c r="CS22" s="19">
        <v>14.5</v>
      </c>
      <c r="CT22" s="19">
        <v>3.9</v>
      </c>
      <c r="CU22" s="19">
        <v>0</v>
      </c>
      <c r="CV22" s="19">
        <v>0.3</v>
      </c>
      <c r="CW22" s="27"/>
      <c r="CX22" s="40">
        <f t="shared" si="29"/>
        <v>8</v>
      </c>
      <c r="CY22" s="40">
        <f t="shared" si="30"/>
        <v>40.800000000000004</v>
      </c>
      <c r="CZ22" s="40">
        <f t="shared" si="31"/>
        <v>20.399999999999999</v>
      </c>
      <c r="DA22" s="40">
        <f t="shared" si="32"/>
        <v>12.1</v>
      </c>
      <c r="DB22" s="40">
        <f t="shared" si="33"/>
        <v>61.2</v>
      </c>
      <c r="DC22" s="40">
        <f t="shared" si="34"/>
        <v>5.8</v>
      </c>
      <c r="DD22" s="40">
        <f t="shared" si="35"/>
        <v>36.4</v>
      </c>
      <c r="DE22" s="40">
        <f t="shared" si="36"/>
        <v>97.6</v>
      </c>
      <c r="DF22" s="50" t="str">
        <f t="shared" si="37"/>
        <v/>
      </c>
      <c r="DG22" s="50" t="str">
        <f t="shared" si="38"/>
        <v/>
      </c>
      <c r="DH22" s="50" t="str">
        <f t="shared" si="39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40"/>
        <v/>
      </c>
      <c r="ED22" s="40" t="str">
        <f t="shared" si="41"/>
        <v/>
      </c>
      <c r="EE22" s="40" t="str">
        <f t="shared" si="42"/>
        <v/>
      </c>
      <c r="EF22" s="40" t="str">
        <f t="shared" si="43"/>
        <v/>
      </c>
      <c r="EG22" s="40" t="str">
        <f t="shared" si="44"/>
        <v/>
      </c>
      <c r="EH22" s="40" t="str">
        <f t="shared" si="45"/>
        <v/>
      </c>
      <c r="EI22" s="40" t="str">
        <f t="shared" si="46"/>
        <v/>
      </c>
      <c r="EJ22" s="40" t="str">
        <f t="shared" si="47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8"/>
        <v/>
      </c>
      <c r="FF22" s="11" t="str">
        <f t="shared" si="49"/>
        <v/>
      </c>
      <c r="FG22" s="11" t="str">
        <f t="shared" si="50"/>
        <v/>
      </c>
      <c r="FH22" s="11" t="str">
        <f t="shared" si="51"/>
        <v/>
      </c>
      <c r="FI22" s="11" t="str">
        <f t="shared" si="52"/>
        <v/>
      </c>
      <c r="FJ22" s="11" t="str">
        <f t="shared" si="53"/>
        <v/>
      </c>
      <c r="FK22" s="11" t="str">
        <f t="shared" si="54"/>
        <v/>
      </c>
      <c r="FL22" s="11" t="str">
        <f t="shared" si="55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6"/>
        <v/>
      </c>
      <c r="GH22" s="40" t="str">
        <f t="shared" si="57"/>
        <v/>
      </c>
      <c r="GI22" s="40" t="str">
        <f t="shared" si="58"/>
        <v/>
      </c>
      <c r="GJ22" s="40" t="str">
        <f t="shared" si="59"/>
        <v/>
      </c>
      <c r="GK22" s="40" t="str">
        <f t="shared" si="60"/>
        <v/>
      </c>
      <c r="GL22" s="40" t="str">
        <f t="shared" si="61"/>
        <v/>
      </c>
      <c r="GM22" s="40" t="str">
        <f t="shared" si="62"/>
        <v/>
      </c>
      <c r="GN22" s="40" t="str">
        <f t="shared" si="63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4"/>
        <v/>
      </c>
      <c r="HJ22" s="11" t="str">
        <f t="shared" si="65"/>
        <v/>
      </c>
      <c r="HK22" s="11" t="str">
        <f t="shared" si="66"/>
        <v/>
      </c>
      <c r="HL22" s="11" t="str">
        <f t="shared" si="67"/>
        <v/>
      </c>
      <c r="HM22" s="11" t="str">
        <f t="shared" si="68"/>
        <v/>
      </c>
      <c r="HN22" s="11" t="str">
        <f t="shared" si="69"/>
        <v/>
      </c>
      <c r="HO22" s="11" t="str">
        <f t="shared" si="70"/>
        <v/>
      </c>
      <c r="HP22" s="11" t="str">
        <f t="shared" si="71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2"/>
        <v/>
      </c>
      <c r="IL22" s="40" t="str">
        <f t="shared" si="73"/>
        <v/>
      </c>
      <c r="IM22" s="40" t="str">
        <f t="shared" si="74"/>
        <v/>
      </c>
      <c r="IN22" s="40" t="str">
        <f t="shared" si="75"/>
        <v/>
      </c>
      <c r="IO22" s="40" t="str">
        <f t="shared" si="76"/>
        <v/>
      </c>
      <c r="IP22" s="40" t="str">
        <f t="shared" si="77"/>
        <v/>
      </c>
      <c r="IQ22" s="40" t="str">
        <f t="shared" si="78"/>
        <v/>
      </c>
      <c r="IR22" s="40" t="str">
        <f t="shared" si="79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80"/>
        <v/>
      </c>
      <c r="JN22" s="11" t="str">
        <f t="shared" si="81"/>
        <v/>
      </c>
      <c r="JO22" s="11" t="str">
        <f t="shared" si="82"/>
        <v/>
      </c>
      <c r="JP22" s="11" t="str">
        <f t="shared" si="83"/>
        <v/>
      </c>
      <c r="JQ22" s="11" t="str">
        <f t="shared" si="84"/>
        <v/>
      </c>
      <c r="JR22" s="11" t="str">
        <f t="shared" si="85"/>
        <v/>
      </c>
      <c r="JS22" s="11" t="str">
        <f t="shared" si="86"/>
        <v/>
      </c>
      <c r="JT22" s="11" t="str">
        <f t="shared" si="87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8"/>
        <v/>
      </c>
      <c r="KP22" s="40" t="str">
        <f t="shared" si="89"/>
        <v/>
      </c>
      <c r="KQ22" s="40" t="str">
        <f t="shared" si="90"/>
        <v/>
      </c>
      <c r="KR22" s="40" t="str">
        <f t="shared" si="91"/>
        <v/>
      </c>
      <c r="KS22" s="40" t="str">
        <f t="shared" si="92"/>
        <v/>
      </c>
      <c r="KT22" s="40" t="str">
        <f t="shared" si="93"/>
        <v/>
      </c>
      <c r="KU22" s="40" t="str">
        <f t="shared" si="94"/>
        <v/>
      </c>
      <c r="KV22" s="40" t="str">
        <f t="shared" si="95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6"/>
        <v/>
      </c>
      <c r="LR22" s="11" t="str">
        <f t="shared" si="97"/>
        <v/>
      </c>
      <c r="LS22" s="11" t="str">
        <f t="shared" si="98"/>
        <v/>
      </c>
      <c r="LT22" s="11" t="str">
        <f t="shared" si="99"/>
        <v/>
      </c>
      <c r="LU22" s="11" t="str">
        <f t="shared" si="100"/>
        <v/>
      </c>
      <c r="LV22" s="11" t="str">
        <f t="shared" si="101"/>
        <v/>
      </c>
      <c r="LW22" s="11" t="str">
        <f t="shared" si="102"/>
        <v/>
      </c>
      <c r="LX22" s="11" t="str">
        <f t="shared" si="103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4"/>
        <v/>
      </c>
      <c r="MT22" s="40" t="str">
        <f t="shared" si="105"/>
        <v/>
      </c>
      <c r="MU22" s="40" t="str">
        <f t="shared" si="106"/>
        <v/>
      </c>
      <c r="MV22" s="40" t="str">
        <f t="shared" si="107"/>
        <v/>
      </c>
      <c r="MW22" s="40" t="str">
        <f t="shared" si="108"/>
        <v/>
      </c>
      <c r="MX22" s="40" t="str">
        <f t="shared" si="109"/>
        <v/>
      </c>
      <c r="MY22" s="40" t="str">
        <f t="shared" si="110"/>
        <v/>
      </c>
      <c r="MZ22" s="40" t="str">
        <f t="shared" si="111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2"/>
        <v/>
      </c>
      <c r="NV22" s="11" t="str">
        <f t="shared" si="113"/>
        <v/>
      </c>
      <c r="NW22" s="11" t="str">
        <f t="shared" si="114"/>
        <v/>
      </c>
      <c r="NX22" s="11" t="str">
        <f t="shared" si="115"/>
        <v/>
      </c>
      <c r="NY22" s="11" t="str">
        <f t="shared" si="116"/>
        <v/>
      </c>
      <c r="NZ22" s="11" t="str">
        <f t="shared" si="117"/>
        <v/>
      </c>
      <c r="OA22" s="11" t="str">
        <f t="shared" si="118"/>
        <v/>
      </c>
      <c r="OB22" s="11" t="str">
        <f t="shared" si="119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20"/>
        <v/>
      </c>
      <c r="OX22" s="40" t="str">
        <f t="shared" si="121"/>
        <v/>
      </c>
      <c r="OY22" s="40" t="str">
        <f t="shared" si="122"/>
        <v/>
      </c>
      <c r="OZ22" s="40" t="str">
        <f t="shared" si="123"/>
        <v/>
      </c>
      <c r="PA22" s="40" t="str">
        <f t="shared" si="124"/>
        <v/>
      </c>
      <c r="PB22" s="40" t="str">
        <f t="shared" si="125"/>
        <v/>
      </c>
      <c r="PC22" s="40" t="str">
        <f t="shared" si="126"/>
        <v/>
      </c>
      <c r="PD22" s="40" t="str">
        <f t="shared" si="127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8"/>
        <v/>
      </c>
      <c r="PZ22" s="11" t="str">
        <f t="shared" si="129"/>
        <v/>
      </c>
      <c r="QA22" s="11" t="str">
        <f t="shared" si="130"/>
        <v/>
      </c>
      <c r="QB22" s="11" t="str">
        <f t="shared" si="131"/>
        <v/>
      </c>
      <c r="QC22" s="11" t="str">
        <f t="shared" si="132"/>
        <v/>
      </c>
      <c r="QD22" s="11" t="str">
        <f t="shared" si="133"/>
        <v/>
      </c>
      <c r="QE22" s="11" t="str">
        <f t="shared" si="134"/>
        <v/>
      </c>
      <c r="QF22" s="11" t="str">
        <f t="shared" si="135"/>
        <v/>
      </c>
      <c r="QG22" s="22">
        <f t="shared" si="136"/>
        <v>8.0500000000000007</v>
      </c>
      <c r="QH22" s="22">
        <f t="shared" si="137"/>
        <v>2.0499999999999998</v>
      </c>
      <c r="QI22" s="22">
        <f t="shared" si="138"/>
        <v>0</v>
      </c>
      <c r="QJ22" s="22">
        <f t="shared" si="139"/>
        <v>0.15</v>
      </c>
      <c r="QK22" s="22">
        <f t="shared" si="140"/>
        <v>8.0500000000000007</v>
      </c>
      <c r="QL22" s="22">
        <f t="shared" si="141"/>
        <v>1.95</v>
      </c>
      <c r="QM22" s="22">
        <f t="shared" si="142"/>
        <v>0</v>
      </c>
      <c r="QN22" s="22">
        <f t="shared" si="143"/>
        <v>0.15</v>
      </c>
      <c r="QO22" s="22">
        <f t="shared" si="144"/>
        <v>8.1</v>
      </c>
      <c r="QP22" s="22">
        <f t="shared" si="145"/>
        <v>2.0499999999999998</v>
      </c>
      <c r="QQ22" s="22">
        <f t="shared" si="146"/>
        <v>0.1</v>
      </c>
      <c r="QR22" s="22">
        <f t="shared" si="147"/>
        <v>0.15</v>
      </c>
      <c r="QS22" s="22">
        <f t="shared" si="148"/>
        <v>7.75</v>
      </c>
      <c r="QT22" s="22">
        <f t="shared" si="149"/>
        <v>0.95</v>
      </c>
      <c r="QU22" s="22">
        <f t="shared" si="150"/>
        <v>0</v>
      </c>
      <c r="QV22" s="22">
        <f t="shared" si="151"/>
        <v>0.15</v>
      </c>
      <c r="QW22" s="22">
        <f t="shared" si="152"/>
        <v>7.25</v>
      </c>
      <c r="QX22" s="22">
        <f t="shared" si="153"/>
        <v>1.95</v>
      </c>
      <c r="QY22" s="22">
        <f t="shared" si="154"/>
        <v>0</v>
      </c>
      <c r="QZ22" s="22">
        <f t="shared" si="155"/>
        <v>0.15</v>
      </c>
      <c r="RA22" s="27" t="s">
        <v>46</v>
      </c>
      <c r="RB22" s="40">
        <f t="shared" si="156"/>
        <v>4</v>
      </c>
      <c r="RC22" s="40">
        <f t="shared" si="157"/>
        <v>20.400000000000002</v>
      </c>
      <c r="RD22" s="40">
        <f t="shared" si="158"/>
        <v>10.199999999999999</v>
      </c>
      <c r="RE22" s="40">
        <f t="shared" si="159"/>
        <v>6.05</v>
      </c>
      <c r="RF22" s="40">
        <f t="shared" si="160"/>
        <v>30.6</v>
      </c>
      <c r="RG22" s="40">
        <f t="shared" si="161"/>
        <v>2.9</v>
      </c>
      <c r="RH22" s="40">
        <f t="shared" si="162"/>
        <v>18.2</v>
      </c>
      <c r="RI22" s="40">
        <f t="shared" si="163"/>
        <v>48.8</v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215</v>
      </c>
      <c r="D23" s="4" t="s">
        <v>5</v>
      </c>
      <c r="E23" s="4">
        <v>2007</v>
      </c>
      <c r="F23" s="9">
        <f t="shared" si="0"/>
        <v>97.500005880003997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IF(COUNT(AS23,BV23,CY23)&gt;0,LARGE((AS23,BV23,CY23),1),0)</f>
        <v>40.099999999999994</v>
      </c>
      <c r="M23" s="8" t="str">
        <f t="shared" si="5"/>
        <v>2024 Elite Canada</v>
      </c>
      <c r="N23" s="8">
        <f>IF(COUNT(AS23,BV23,CY23)&gt;1,LARGE((AS23,BV23,CY23),2),0)</f>
        <v>0</v>
      </c>
      <c r="O23" s="8" t="str">
        <f t="shared" si="6"/>
        <v/>
      </c>
      <c r="P23" s="8">
        <f>IF(COUNT(AT23,BW23,CZ23)&gt;0,LARGE((AT23,BW23,CZ23),1),0)</f>
        <v>18.7</v>
      </c>
      <c r="Q23" s="8" t="str">
        <f t="shared" si="7"/>
        <v>2024 Elite Canada</v>
      </c>
      <c r="R23" s="8">
        <f t="shared" si="8"/>
        <v>38.699999999999989</v>
      </c>
      <c r="S23" s="8" t="str">
        <f t="shared" si="9"/>
        <v>2024 Elite Canada</v>
      </c>
      <c r="T23" s="8" t="str">
        <f t="shared" si="10"/>
        <v/>
      </c>
      <c r="U23" s="11" t="str">
        <f t="shared" si="11"/>
        <v/>
      </c>
      <c r="V23" s="8" t="str">
        <f t="shared" si="12"/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 t="shared" si="13"/>
        <v/>
      </c>
      <c r="AS23" s="40" t="str">
        <f t="shared" si="14"/>
        <v/>
      </c>
      <c r="AT23" s="40" t="str">
        <f t="shared" si="15"/>
        <v/>
      </c>
      <c r="AU23" s="40" t="str">
        <f t="shared" si="16"/>
        <v/>
      </c>
      <c r="AV23" s="40" t="str">
        <f t="shared" si="17"/>
        <v/>
      </c>
      <c r="AW23" s="40" t="str">
        <f t="shared" si="18"/>
        <v/>
      </c>
      <c r="AX23" s="40" t="str">
        <f t="shared" si="19"/>
        <v/>
      </c>
      <c r="AY23" s="40" t="str">
        <f t="shared" si="20"/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 t="shared" si="21"/>
        <v/>
      </c>
      <c r="BV23" s="11" t="str">
        <f t="shared" si="22"/>
        <v/>
      </c>
      <c r="BW23" s="11" t="str">
        <f t="shared" si="23"/>
        <v/>
      </c>
      <c r="BX23" s="11" t="str">
        <f t="shared" si="24"/>
        <v/>
      </c>
      <c r="BY23" s="11" t="str">
        <f t="shared" si="25"/>
        <v/>
      </c>
      <c r="BZ23" s="11" t="str">
        <f t="shared" si="26"/>
        <v/>
      </c>
      <c r="CA23" s="11" t="str">
        <f t="shared" si="27"/>
        <v/>
      </c>
      <c r="CB23" s="11" t="str">
        <f t="shared" si="28"/>
        <v/>
      </c>
      <c r="CC23" s="19">
        <v>16.3</v>
      </c>
      <c r="CD23" s="19">
        <v>3.5</v>
      </c>
      <c r="CE23" s="19">
        <v>0</v>
      </c>
      <c r="CF23" s="19">
        <v>0</v>
      </c>
      <c r="CG23" s="19">
        <v>16</v>
      </c>
      <c r="CH23" s="19">
        <v>4</v>
      </c>
      <c r="CI23" s="19">
        <v>0</v>
      </c>
      <c r="CJ23" s="19">
        <v>0.3</v>
      </c>
      <c r="CK23" s="19">
        <v>15.8</v>
      </c>
      <c r="CL23" s="19">
        <v>2.9</v>
      </c>
      <c r="CM23" s="19">
        <v>0.3</v>
      </c>
      <c r="CN23" s="19">
        <v>0.3</v>
      </c>
      <c r="CO23" s="19">
        <v>15.1</v>
      </c>
      <c r="CP23" s="19">
        <v>3.3</v>
      </c>
      <c r="CQ23" s="19">
        <v>0.2</v>
      </c>
      <c r="CR23" s="19">
        <v>0</v>
      </c>
      <c r="CS23" s="19">
        <v>16.899999999999999</v>
      </c>
      <c r="CT23" s="19">
        <v>3.3</v>
      </c>
      <c r="CU23" s="19">
        <v>0</v>
      </c>
      <c r="CV23" s="19">
        <v>0.3</v>
      </c>
      <c r="CW23" s="27"/>
      <c r="CX23" s="40">
        <f t="shared" si="29"/>
        <v>7.5</v>
      </c>
      <c r="CY23" s="40">
        <f t="shared" si="30"/>
        <v>40.099999999999994</v>
      </c>
      <c r="CZ23" s="40">
        <f t="shared" si="31"/>
        <v>18.7</v>
      </c>
      <c r="DA23" s="40">
        <f t="shared" si="32"/>
        <v>10.4</v>
      </c>
      <c r="DB23" s="40">
        <f t="shared" si="33"/>
        <v>58.8</v>
      </c>
      <c r="DC23" s="40">
        <f t="shared" si="34"/>
        <v>6.6</v>
      </c>
      <c r="DD23" s="40">
        <f t="shared" si="35"/>
        <v>38.699999999999989</v>
      </c>
      <c r="DE23" s="40">
        <f t="shared" si="36"/>
        <v>97.499999999999986</v>
      </c>
      <c r="DF23" s="50" t="str">
        <f t="shared" si="37"/>
        <v/>
      </c>
      <c r="DG23" s="50" t="str">
        <f t="shared" si="38"/>
        <v/>
      </c>
      <c r="DH23" s="50" t="str">
        <f t="shared" si="39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40"/>
        <v/>
      </c>
      <c r="ED23" s="40" t="str">
        <f t="shared" si="41"/>
        <v/>
      </c>
      <c r="EE23" s="40" t="str">
        <f t="shared" si="42"/>
        <v/>
      </c>
      <c r="EF23" s="40" t="str">
        <f t="shared" si="43"/>
        <v/>
      </c>
      <c r="EG23" s="40" t="str">
        <f t="shared" si="44"/>
        <v/>
      </c>
      <c r="EH23" s="40" t="str">
        <f t="shared" si="45"/>
        <v/>
      </c>
      <c r="EI23" s="40" t="str">
        <f t="shared" si="46"/>
        <v/>
      </c>
      <c r="EJ23" s="40" t="str">
        <f t="shared" si="47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8"/>
        <v/>
      </c>
      <c r="FF23" s="11" t="str">
        <f t="shared" si="49"/>
        <v/>
      </c>
      <c r="FG23" s="11" t="str">
        <f t="shared" si="50"/>
        <v/>
      </c>
      <c r="FH23" s="11" t="str">
        <f t="shared" si="51"/>
        <v/>
      </c>
      <c r="FI23" s="11" t="str">
        <f t="shared" si="52"/>
        <v/>
      </c>
      <c r="FJ23" s="11" t="str">
        <f t="shared" si="53"/>
        <v/>
      </c>
      <c r="FK23" s="11" t="str">
        <f t="shared" si="54"/>
        <v/>
      </c>
      <c r="FL23" s="11" t="str">
        <f t="shared" si="55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6"/>
        <v/>
      </c>
      <c r="GH23" s="40" t="str">
        <f t="shared" si="57"/>
        <v/>
      </c>
      <c r="GI23" s="40" t="str">
        <f t="shared" si="58"/>
        <v/>
      </c>
      <c r="GJ23" s="40" t="str">
        <f t="shared" si="59"/>
        <v/>
      </c>
      <c r="GK23" s="40" t="str">
        <f t="shared" si="60"/>
        <v/>
      </c>
      <c r="GL23" s="40" t="str">
        <f t="shared" si="61"/>
        <v/>
      </c>
      <c r="GM23" s="40" t="str">
        <f t="shared" si="62"/>
        <v/>
      </c>
      <c r="GN23" s="40" t="str">
        <f t="shared" si="63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4"/>
        <v/>
      </c>
      <c r="HJ23" s="11" t="str">
        <f t="shared" si="65"/>
        <v/>
      </c>
      <c r="HK23" s="11" t="str">
        <f t="shared" si="66"/>
        <v/>
      </c>
      <c r="HL23" s="11" t="str">
        <f t="shared" si="67"/>
        <v/>
      </c>
      <c r="HM23" s="11" t="str">
        <f t="shared" si="68"/>
        <v/>
      </c>
      <c r="HN23" s="11" t="str">
        <f t="shared" si="69"/>
        <v/>
      </c>
      <c r="HO23" s="11" t="str">
        <f t="shared" si="70"/>
        <v/>
      </c>
      <c r="HP23" s="11" t="str">
        <f t="shared" si="71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2"/>
        <v/>
      </c>
      <c r="IL23" s="40" t="str">
        <f t="shared" si="73"/>
        <v/>
      </c>
      <c r="IM23" s="40" t="str">
        <f t="shared" si="74"/>
        <v/>
      </c>
      <c r="IN23" s="40" t="str">
        <f t="shared" si="75"/>
        <v/>
      </c>
      <c r="IO23" s="40" t="str">
        <f t="shared" si="76"/>
        <v/>
      </c>
      <c r="IP23" s="40" t="str">
        <f t="shared" si="77"/>
        <v/>
      </c>
      <c r="IQ23" s="40" t="str">
        <f t="shared" si="78"/>
        <v/>
      </c>
      <c r="IR23" s="40" t="str">
        <f t="shared" si="79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80"/>
        <v/>
      </c>
      <c r="JN23" s="11" t="str">
        <f t="shared" si="81"/>
        <v/>
      </c>
      <c r="JO23" s="11" t="str">
        <f t="shared" si="82"/>
        <v/>
      </c>
      <c r="JP23" s="11" t="str">
        <f t="shared" si="83"/>
        <v/>
      </c>
      <c r="JQ23" s="11" t="str">
        <f t="shared" si="84"/>
        <v/>
      </c>
      <c r="JR23" s="11" t="str">
        <f t="shared" si="85"/>
        <v/>
      </c>
      <c r="JS23" s="11" t="str">
        <f t="shared" si="86"/>
        <v/>
      </c>
      <c r="JT23" s="11" t="str">
        <f t="shared" si="87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8"/>
        <v/>
      </c>
      <c r="KP23" s="40" t="str">
        <f t="shared" si="89"/>
        <v/>
      </c>
      <c r="KQ23" s="40" t="str">
        <f t="shared" si="90"/>
        <v/>
      </c>
      <c r="KR23" s="40" t="str">
        <f t="shared" si="91"/>
        <v/>
      </c>
      <c r="KS23" s="40" t="str">
        <f t="shared" si="92"/>
        <v/>
      </c>
      <c r="KT23" s="40" t="str">
        <f t="shared" si="93"/>
        <v/>
      </c>
      <c r="KU23" s="40" t="str">
        <f t="shared" si="94"/>
        <v/>
      </c>
      <c r="KV23" s="40" t="str">
        <f t="shared" si="95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6"/>
        <v/>
      </c>
      <c r="LR23" s="11" t="str">
        <f t="shared" si="97"/>
        <v/>
      </c>
      <c r="LS23" s="11" t="str">
        <f t="shared" si="98"/>
        <v/>
      </c>
      <c r="LT23" s="11" t="str">
        <f t="shared" si="99"/>
        <v/>
      </c>
      <c r="LU23" s="11" t="str">
        <f t="shared" si="100"/>
        <v/>
      </c>
      <c r="LV23" s="11" t="str">
        <f t="shared" si="101"/>
        <v/>
      </c>
      <c r="LW23" s="11" t="str">
        <f t="shared" si="102"/>
        <v/>
      </c>
      <c r="LX23" s="11" t="str">
        <f t="shared" si="103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4"/>
        <v/>
      </c>
      <c r="MT23" s="40" t="str">
        <f t="shared" si="105"/>
        <v/>
      </c>
      <c r="MU23" s="40" t="str">
        <f t="shared" si="106"/>
        <v/>
      </c>
      <c r="MV23" s="40" t="str">
        <f t="shared" si="107"/>
        <v/>
      </c>
      <c r="MW23" s="40" t="str">
        <f t="shared" si="108"/>
        <v/>
      </c>
      <c r="MX23" s="40" t="str">
        <f t="shared" si="109"/>
        <v/>
      </c>
      <c r="MY23" s="40" t="str">
        <f t="shared" si="110"/>
        <v/>
      </c>
      <c r="MZ23" s="40" t="str">
        <f t="shared" si="111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2"/>
        <v/>
      </c>
      <c r="NV23" s="11" t="str">
        <f t="shared" si="113"/>
        <v/>
      </c>
      <c r="NW23" s="11" t="str">
        <f t="shared" si="114"/>
        <v/>
      </c>
      <c r="NX23" s="11" t="str">
        <f t="shared" si="115"/>
        <v/>
      </c>
      <c r="NY23" s="11" t="str">
        <f t="shared" si="116"/>
        <v/>
      </c>
      <c r="NZ23" s="11" t="str">
        <f t="shared" si="117"/>
        <v/>
      </c>
      <c r="OA23" s="11" t="str">
        <f t="shared" si="118"/>
        <v/>
      </c>
      <c r="OB23" s="11" t="str">
        <f t="shared" si="119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20"/>
        <v/>
      </c>
      <c r="OX23" s="40" t="str">
        <f t="shared" si="121"/>
        <v/>
      </c>
      <c r="OY23" s="40" t="str">
        <f t="shared" si="122"/>
        <v/>
      </c>
      <c r="OZ23" s="40" t="str">
        <f t="shared" si="123"/>
        <v/>
      </c>
      <c r="PA23" s="40" t="str">
        <f t="shared" si="124"/>
        <v/>
      </c>
      <c r="PB23" s="40" t="str">
        <f t="shared" si="125"/>
        <v/>
      </c>
      <c r="PC23" s="40" t="str">
        <f t="shared" si="126"/>
        <v/>
      </c>
      <c r="PD23" s="40" t="str">
        <f t="shared" si="127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8"/>
        <v/>
      </c>
      <c r="PZ23" s="11" t="str">
        <f t="shared" si="129"/>
        <v/>
      </c>
      <c r="QA23" s="11" t="str">
        <f t="shared" si="130"/>
        <v/>
      </c>
      <c r="QB23" s="11" t="str">
        <f t="shared" si="131"/>
        <v/>
      </c>
      <c r="QC23" s="11" t="str">
        <f t="shared" si="132"/>
        <v/>
      </c>
      <c r="QD23" s="11" t="str">
        <f t="shared" si="133"/>
        <v/>
      </c>
      <c r="QE23" s="11" t="str">
        <f t="shared" si="134"/>
        <v/>
      </c>
      <c r="QF23" s="11" t="str">
        <f t="shared" si="135"/>
        <v/>
      </c>
      <c r="QG23" s="22">
        <f t="shared" si="136"/>
        <v>8.15</v>
      </c>
      <c r="QH23" s="22">
        <f t="shared" si="137"/>
        <v>1.75</v>
      </c>
      <c r="QI23" s="22">
        <f t="shared" si="138"/>
        <v>0</v>
      </c>
      <c r="QJ23" s="22">
        <f t="shared" si="139"/>
        <v>0</v>
      </c>
      <c r="QK23" s="22">
        <f t="shared" si="140"/>
        <v>8</v>
      </c>
      <c r="QL23" s="22">
        <f t="shared" si="141"/>
        <v>2</v>
      </c>
      <c r="QM23" s="22">
        <f t="shared" si="142"/>
        <v>0</v>
      </c>
      <c r="QN23" s="22">
        <f t="shared" si="143"/>
        <v>0.15</v>
      </c>
      <c r="QO23" s="22">
        <f t="shared" si="144"/>
        <v>7.9</v>
      </c>
      <c r="QP23" s="22">
        <f t="shared" si="145"/>
        <v>1.45</v>
      </c>
      <c r="QQ23" s="22">
        <f t="shared" si="146"/>
        <v>0.15</v>
      </c>
      <c r="QR23" s="22">
        <f t="shared" si="147"/>
        <v>0.15</v>
      </c>
      <c r="QS23" s="22">
        <f t="shared" si="148"/>
        <v>7.55</v>
      </c>
      <c r="QT23" s="22">
        <f t="shared" si="149"/>
        <v>1.65</v>
      </c>
      <c r="QU23" s="22">
        <f t="shared" si="150"/>
        <v>0.1</v>
      </c>
      <c r="QV23" s="22">
        <f t="shared" si="151"/>
        <v>0</v>
      </c>
      <c r="QW23" s="22">
        <f t="shared" si="152"/>
        <v>8.4499999999999993</v>
      </c>
      <c r="QX23" s="22">
        <f t="shared" si="153"/>
        <v>1.65</v>
      </c>
      <c r="QY23" s="22">
        <f t="shared" si="154"/>
        <v>0</v>
      </c>
      <c r="QZ23" s="22">
        <f t="shared" si="155"/>
        <v>0.15</v>
      </c>
      <c r="RA23" s="27" t="s">
        <v>46</v>
      </c>
      <c r="RB23" s="40">
        <f t="shared" si="156"/>
        <v>3.75</v>
      </c>
      <c r="RC23" s="40">
        <f t="shared" si="157"/>
        <v>20.049999999999997</v>
      </c>
      <c r="RD23" s="40">
        <f t="shared" si="158"/>
        <v>9.35</v>
      </c>
      <c r="RE23" s="40">
        <f t="shared" si="159"/>
        <v>5.2</v>
      </c>
      <c r="RF23" s="40">
        <f t="shared" si="160"/>
        <v>29.4</v>
      </c>
      <c r="RG23" s="40">
        <f t="shared" si="161"/>
        <v>3.3</v>
      </c>
      <c r="RH23" s="40">
        <f t="shared" si="162"/>
        <v>19.349999999999994</v>
      </c>
      <c r="RI23" s="40">
        <f t="shared" si="163"/>
        <v>48.749999999999993</v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3">
      <sortCondition descending="1" ref="H1:H2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41872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41917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41962" operator="between">
      <formula>AY$26</formula>
      <formula>AY$27</formula>
    </cfRule>
    <cfRule type="cellIs" dxfId="100" priority="141963" operator="between">
      <formula>AY$27</formula>
      <formula>AY$28</formula>
    </cfRule>
    <cfRule type="cellIs" dxfId="99" priority="141964" operator="between">
      <formula>AY$28</formula>
      <formula>AY$29</formula>
    </cfRule>
    <cfRule type="cellIs" dxfId="98" priority="141965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42142" operator="between">
      <formula>AY$30</formula>
      <formula>AY$31</formula>
    </cfRule>
    <cfRule type="cellIs" dxfId="96" priority="142143" operator="between">
      <formula>AY$31</formula>
      <formula>AY$32</formula>
    </cfRule>
    <cfRule type="cellIs" dxfId="95" priority="142144" operator="between">
      <formula>AY$32</formula>
      <formula>AY$33</formula>
    </cfRule>
    <cfRule type="cellIs" dxfId="94" priority="142145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42322" operator="between">
      <formula>AY$29</formula>
      <formula>1000</formula>
    </cfRule>
    <cfRule type="cellIs" dxfId="92" priority="142323" operator="between">
      <formula>AY$28</formula>
      <formula>AY$29</formula>
    </cfRule>
    <cfRule type="cellIs" dxfId="91" priority="142324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6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162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212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160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188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197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199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DD"),SUMPRODUCT((J$4:J$27&lt;&gt;"")*(J$4:J$27&lt;&gt;"No DD")*(F$4:F$27&gt;F4))+1,IF(J4="No DD",SUMPRODUCT((J$4:J$27="No DD")*(F$4:F$27&gt;F4))+1+SUMPRODUCT((J$4:J$27&lt;&gt;"")*(J$4:J$27&lt;&gt;"No DD")),""))</f>
        <v>1</v>
      </c>
      <c r="B4" s="4" t="str" cm="1">
        <f t="array" ref="B4">IF(AND(J4&lt;&gt;"",J4&lt;&gt;"No DD",G4=""),SUMPRODUCT((J$4:J$27&lt;&gt;"")*(J$4:J$27&lt;&gt;"No DD")*(G$4:G$27="")*(F$4:F$27&gt;F4))+1,IF(J4="No DD",SUMPRODUCT((J$4:J$27="No DD")*(F$4:F$27&gt;F4)*(G$4:G$27=""))+1+SUMPRODUCT((J$4:J$27&lt;&gt;"")*(G$4:G$27="")*(J$4:J$27&lt;&gt;"No DD")),""))</f>
        <v/>
      </c>
      <c r="C4" s="5" t="s">
        <v>60</v>
      </c>
      <c r="D4" s="4" t="s">
        <v>3</v>
      </c>
      <c r="E4" s="4">
        <v>2003</v>
      </c>
      <c r="F4" s="9">
        <f t="shared" ref="F4:F26" si="0">SUM(L4:T4)+SUM(L4:P4)*0.0000001+SUM(L4)*0.0000000000001</f>
        <v>156.1000110600045</v>
      </c>
      <c r="G4" s="66" t="s">
        <v>46</v>
      </c>
      <c r="H4" s="3" t="str">
        <f t="shared" ref="H4:H26" si="1">IF(OR(AND(AR4&gt;=AY$29,AS4&gt;=AY$33,AR4&lt;&gt;"",AQ4=""),AND(AW4&gt;=AY$29,AX4&gt;=AY$33,AW4&lt;&gt;"",AQ4=""),AND(BU4&gt;=CB$29,BV4&gt;=CB$33,BU4&lt;&gt;"",BT4=""),AND(BZ4&gt;=CB$29,CA4&gt;=CB$33,BZ4&lt;&gt;"",BT4=""),AND(CX4&gt;=DE$29,CY4&gt;=DE$33,CX4&lt;&gt;"",CW4=""),AND(DC4&gt;=DE$29,DD4&gt;=DE$33,DC4&lt;&gt;""),AND(EC4&gt;=EJ$29,ED4&gt;=EJ$33,EC4&lt;&gt;""),AND(EH4&gt;=EJ$29,EI4&gt;=EJ$33,EH4&lt;&gt;""),AND(FE4&gt;=FL$29,FF4&gt;=FL$33,FE4&lt;&gt;""),AND(FJ4&gt;=FL$29,FK4&gt;=FL$33,FJ4&lt;&gt;""),AND(GG4&gt;=GN$29,GH4&gt;=GN$33,GG4&lt;&gt;""),AND(GL4&gt;=GN$29,GM4&gt;=GN$33,GL4&lt;&gt;""),AND(HI4&gt;=HP$29,HJ4&gt;=HP$33,HI4&lt;&gt;""),AND(HN4&gt;=HP$29,HO4&gt;=HP$33,HN4&lt;&gt;""),AND(IK4&gt;=IR$29,IL4&gt;=IR$33,IK4&lt;&gt;""),AND(IP4&gt;=IR$29,IQ4&gt;=IR$33,IP4&lt;&gt;""),AND(JM4&gt;=JT$29,JN4&gt;=JT$33,JM4&lt;&gt;""),AND(JR4&gt;=JT$29,JS4&gt;=JT$33,JR4&lt;&gt;""),AND(KO4&gt;=KV$29,KP4&gt;=KV$33,KO4&lt;&gt;""),AND(KT4&gt;=KV$29,KU4&gt;=KV$33,KT4&lt;&gt;""),AND(LQ4&gt;=LX$29,LR4&gt;=LX$33,LQ4&lt;&gt;""),AND(LV4&gt;=LX$29,LW4&gt;=LX$33,LV4&lt;&gt;""),AND(MS4&gt;=MZ$29,MT4&gt;=MZ$33,MS4&lt;&gt;""),AND(MX4&gt;=MZ$29,MY4&gt;=MZ$33,MX4&lt;&gt;""),AND(NU4&gt;=OB$29,NV4&gt;=OB$33,NU4&lt;&gt;""),AND(NZ4&gt;=OB$29,OA4&gt;=OB$33,NZ4&lt;&gt;""),AND(OW4&gt;=PD$29,OX4&gt;=PD$33,OW4&lt;&gt;""),AND(PB4&gt;=PD$29,PC4&gt;=PD$33,PB4&lt;&gt;""),AND(PY4&gt;=QF$29,PZ4&gt;=QF$33,PY4&lt;&gt;""),AND(QD4&gt;=QF$29,QE4&gt;=QF$33,QD4&lt;&gt;"")),"P","")</f>
        <v>P</v>
      </c>
      <c r="I4" s="3" t="str">
        <f t="shared" ref="I4:I26" si="2">IF(OR(AND(AS4&gt;=AY$33,AS4&lt;&gt;"",AQ4=""),AND(AX4&gt;=AY$33,AX4&lt;&gt;"",AQ4=""),AND(BV4&gt;=CB$33,BV4&lt;&gt;"",BT4=""),AND(CA4&gt;=CB$33,CA4&lt;&gt;"",BT4=""),AND(CY4&gt;=DE$33,CY4&lt;&gt;"",CW4=""),AND(DD4&gt;=DE$33,DD4&lt;&gt;"",CW4=""),AND(ED4&gt;=EJ$33,ED4&lt;&gt;""),AND(EI4&gt;=EJ$33,EI4&lt;&gt;""),AND(FF4&gt;=FL$33,FF4&lt;&gt;""),AND(FK4&gt;=FL$33,FK4&lt;&gt;""),AND(GH4&gt;=GN$33,GH4&lt;&gt;""),AND(GM4&gt;=GN$33,GM4&lt;&gt;""),AND(HJ4&gt;=HP$33,HJ4&lt;&gt;""),AND(HO4&gt;=HP$33,HO4&lt;&gt;""),AND(IL4&gt;=IR$33,IL4&lt;&gt;""),AND(IQ4&gt;=IR$33,IQ4&lt;&gt;""),AND(JN4&gt;=JT$33,JN4&lt;&gt;""),AND(JS4&gt;=JT$33,JS4&lt;&gt;""),AND(KP4&gt;=KV$33,KP4&lt;&gt;""),AND(KU4&gt;=KV$33,KU4&lt;&gt;""),AND(LR4&gt;=LX$33,LR4&lt;&gt;""),AND(LW4&gt;=LX$33,LW4&lt;&gt;""),AND(MT4&gt;=MZ$33,MT4&lt;&gt;""),AND(MY4&gt;=MZ$33,MY4&lt;&gt;""),AND(NV4&gt;=OB$33,NV4&lt;&gt;""),AND(OA4&gt;=OB$33,OA4&lt;&gt;""),AND(OX4&gt;=PD$33,OX4&lt;&gt;""),AND(PC4&gt;=PD$33,PC4&lt;&gt;""),AND(PZ4&gt;=QF$33,PZ4&lt;&gt;""),AND(QE4&gt;=QF$33,QE4&lt;&gt;"")),"P","")</f>
        <v>P</v>
      </c>
      <c r="J4" s="36" t="str">
        <f t="shared" ref="J4:J26" si="3">IF(AND(I4="P",H4=""),"No DD",IF(OR(AND(AU4&gt;=AY$32,AV4&gt;=AY$36,AU4&lt;&gt;"",AQ4=""),AND(BX4&gt;=CB$32,BY4&gt;=CB$36,BX4&lt;&gt;"",BT4=""),AND(DA4&gt;=DE$32,DB4&gt;=DE$36,DA4&lt;&gt;"",CW4=""),AND(EF4&gt;=EJ$32,EG4&gt;=EJ$36,EF4&lt;&gt;""),AND(FH4&gt;=FL$32,FI4&gt;=FL$36,FH4&lt;&gt;""),AND(GJ4&gt;=GN$32,GK4&gt;=GN$36,GJ4&lt;&gt;""),AND(HL4&gt;=HP$32,HM4&gt;=HP$36,HL4&lt;&gt;""),AND(IN4&gt;=IR$32,IO4&gt;=IR$36,IN4&lt;&gt;""),AND(JP4&gt;=JT$32,JQ4&gt;=JT$36,JP4&lt;&gt;""),AND(KR4&gt;=KV$32,KS4&gt;=KV$36,KR4&lt;&gt;""),AND(LT4&gt;=LX$32,LU4&gt;=LX$36,LT4&lt;&gt;""),AND(MV4&gt;=MZ$32,MW4&gt;=MZ$36,MV4&lt;&gt;""),AND(NX4&gt;=OB$32,NY4&gt;=OB$36,NX4&lt;&gt;""),AND(OZ4&gt;=PD$32,PA4&gt;=PD$36,OZ4&lt;&gt;""),AND(QB4&gt;=QF$32,QC4&gt;=QF$36,QB4&lt;&gt;"")),"Merit",IF(OR(AND(AU4&gt;=AY$31,AV4&gt;=AY$35,AU4&lt;&gt;"",AQ4=""),AND(BX4&gt;=CB$31,BY4&gt;=CB$35,BX4&lt;&gt;"",BT4=""),AND(DA4&gt;=DE$31,DB4&gt;=DE$35,DA4&lt;&gt;"",CW4=""),AND(EF4&gt;=EJ$31,EG4&gt;=EJ$35,EF4&lt;&gt;""),AND(FH4&gt;=FL$31,FI4&gt;=FL$35,FH4&lt;&gt;""),AND(GJ4&gt;=GN$31,GK4&gt;=GN$35,GJ4&lt;&gt;""),AND(HL4&gt;=HP$31,HM4&gt;=HP$35,HL4&lt;&gt;""),AND(IN4&gt;=IR$31,IO4&gt;=IR$35,IN4&lt;&gt;""),AND(JP4&gt;=JT$31,JQ4&gt;=JT$35,JP4&lt;&gt;""),AND(KR4&gt;=KV$31,KS4&gt;=KV$35,KR4&lt;&gt;""),AND(LT4&gt;=LX$31,LU4&gt;=LX$35,LT4&lt;&gt;""),AND(MV4&gt;=MZ$31,MW4&gt;=MZ$35,MV4&lt;&gt;""),AND(NX4&gt;=OB$31,NY4&gt;=OB$35,NX4&lt;&gt;""),AND(OZ4&gt;=PD$31,PA4&gt;=PD$35,OZ4&lt;&gt;""),AND(QB4&gt;=QF$31,QC4&gt;=QF$35,QB4&lt;&gt;"")),"Excellence",IF(K4="P","Worlds Team",IF(H4="P","National Team","")))))</f>
        <v>National Team</v>
      </c>
      <c r="K4" s="3" t="str">
        <f t="shared" ref="K4:K26" si="4">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P","")</f>
        <v/>
      </c>
      <c r="L4" s="8">
        <f>IF(COUNT(AS4,BV4,CY4)&gt;0,LARGE((AS4,BV4,CY4),1),0)</f>
        <v>45</v>
      </c>
      <c r="M4" s="8" t="str">
        <f t="shared" ref="M4:M26" si="5">IF(L4=0,"",IF(L4=CY4,$CC$1,IF(L4=BV4,$AZ$1,IF(L4=AS4,$W$1,""))))</f>
        <v>2024 Elite Canada</v>
      </c>
      <c r="N4" s="8">
        <f>IF(COUNT(AS4,BV4,CY4)&gt;1,LARGE((AS4,BV4,CY4),2),0)</f>
        <v>44.70000000000001</v>
      </c>
      <c r="O4" s="8" t="str">
        <f t="shared" ref="O4:O26" si="6">IF(N4=0,"",IF(N4=CY4,$CC$1,IF(N4=BV4,$AZ$1,IF(N4=AS4,$W$1,""))))</f>
        <v>2023 Nationals</v>
      </c>
      <c r="P4" s="8">
        <f>IF(COUNT(AT4,BW4,CZ4)&gt;0,LARGE((AT4,BW4,CZ4),1),0)</f>
        <v>20.900000000000002</v>
      </c>
      <c r="Q4" s="8" t="str">
        <f t="shared" ref="Q4:Q26" si="7">IF(P4=0,"",IF(P4=CZ4,$CC$1,IF(P4=BW4,$AZ$1,IF(P4=AT4,$W$1,""))))</f>
        <v>2024 Elite Canada</v>
      </c>
      <c r="R4" s="8">
        <f t="shared" ref="R4:R26" si="8">IF(MAX(AX4,CA4,DD4)&gt;0,MAX(AX4,CA4,DD4),0)</f>
        <v>45.4</v>
      </c>
      <c r="S4" s="8" t="str">
        <f t="shared" ref="S4:S26" si="9">IF(R4=0,"",IF(R4=DD4,$CC$1,IF(R4=CA4,$AZ$1,IF(R4=AX4,$W$1,""))))</f>
        <v>2023 Nationals</v>
      </c>
      <c r="T4" s="8">
        <f t="shared" ref="T4:T26" si="10">IF(MAX(DF4:DH4)&gt;0,MAX(DF4:DH4),"")</f>
        <v>9.9999999999994316E-2</v>
      </c>
      <c r="U4" s="11" t="str">
        <f t="shared" ref="U4:U26" si="11">IF(T4="","",IF(T4=DF4,"("&amp;DF$2&amp;")",IF(T4=DG4,"("&amp;DG$2&amp;")",IF(T4=DH4,"("&amp;DH$2&amp;")"))))</f>
        <v>(Q1)</v>
      </c>
      <c r="V4" s="8" t="str">
        <f t="shared" ref="V4:V26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16.7</v>
      </c>
      <c r="X4" s="19">
        <v>5</v>
      </c>
      <c r="Y4" s="19">
        <v>0</v>
      </c>
      <c r="Z4" s="19">
        <v>0.6</v>
      </c>
      <c r="AA4" s="19">
        <v>16.600000000000001</v>
      </c>
      <c r="AB4" s="19">
        <v>5.2</v>
      </c>
      <c r="AC4" s="19">
        <v>0</v>
      </c>
      <c r="AD4" s="19">
        <v>0.6</v>
      </c>
      <c r="AE4" s="19">
        <v>14.9</v>
      </c>
      <c r="AF4" s="19">
        <v>5</v>
      </c>
      <c r="AG4" s="19">
        <v>0</v>
      </c>
      <c r="AH4" s="19">
        <v>0.6</v>
      </c>
      <c r="AI4" s="19">
        <v>17.2</v>
      </c>
      <c r="AJ4" s="19">
        <v>5</v>
      </c>
      <c r="AK4" s="19">
        <v>0</v>
      </c>
      <c r="AL4" s="19">
        <v>0.6</v>
      </c>
      <c r="AM4" s="19">
        <v>17</v>
      </c>
      <c r="AN4" s="19">
        <v>5.2</v>
      </c>
      <c r="AO4" s="19">
        <v>0.2</v>
      </c>
      <c r="AP4" s="19">
        <v>0.6</v>
      </c>
      <c r="AQ4" s="27"/>
      <c r="AR4" s="40">
        <f t="shared" ref="AR4:AR26" si="13">IF(SUM(X4,AB4)&gt;0,SUM(X4,AB4),"")</f>
        <v>10.199999999999999</v>
      </c>
      <c r="AS4" s="40">
        <f t="shared" ref="AS4:AS26" si="14">IF(SUM(W4:X4,Z4:AB4,AD4)-Y4-AC4&gt;0,SUM(W4:X4,Z4:AB4,AD4)-Y4-AC4,"")</f>
        <v>44.70000000000001</v>
      </c>
      <c r="AT4" s="40">
        <f t="shared" ref="AT4:AT26" si="15">IF(SUM(AE4:AF4,AH4)-AG4&gt;0,SUM(AE4:AF4,AH4)-AG4,"")</f>
        <v>20.5</v>
      </c>
      <c r="AU4" s="40">
        <f t="shared" ref="AU4:AU26" si="16">IF(SUM(X4,AB4,AF4)&gt;0,SUM(X4,AB4,AF4),"")</f>
        <v>15.2</v>
      </c>
      <c r="AV4" s="40">
        <f t="shared" ref="AV4:AV26" si="17">IF(SUM(AS4,AT4)&gt;0,SUM(AS4,AT4),"")</f>
        <v>65.200000000000017</v>
      </c>
      <c r="AW4" s="40">
        <f t="shared" ref="AW4:AW26" si="18">IF(SUM(AJ4,AN4)&gt;0,SUM(AJ4,AN4),"")</f>
        <v>10.199999999999999</v>
      </c>
      <c r="AX4" s="40">
        <f t="shared" ref="AX4:AX26" si="19">IF(SUM(AI4:AJ4,AL4:AN4,AP4)-SUM(AK4,AO4)&gt;0,SUM(AI4:AJ4,AL4:AN4,AP4)-SUM(AK4,AO4),"")</f>
        <v>45.4</v>
      </c>
      <c r="AY4" s="40">
        <f t="shared" ref="AY4:AY26" si="20">IF(SUM(AS4,AT4,AX4)&gt;0,SUM(AS4,AT4,AX4),"")</f>
        <v>110.60000000000002</v>
      </c>
      <c r="AZ4" s="18">
        <v>15.4</v>
      </c>
      <c r="BA4" s="18">
        <v>5</v>
      </c>
      <c r="BB4" s="18">
        <v>0</v>
      </c>
      <c r="BC4" s="18">
        <v>0.6</v>
      </c>
      <c r="BD4" s="18">
        <v>17</v>
      </c>
      <c r="BE4" s="18">
        <v>4.5999999999999996</v>
      </c>
      <c r="BF4" s="18">
        <v>0</v>
      </c>
      <c r="BG4" s="18">
        <v>0.6</v>
      </c>
      <c r="BH4" s="18">
        <v>15.9</v>
      </c>
      <c r="BI4" s="18">
        <v>2.6</v>
      </c>
      <c r="BJ4" s="18">
        <v>0</v>
      </c>
      <c r="BK4" s="18">
        <v>0.6</v>
      </c>
      <c r="BL4" s="18">
        <v>16.3</v>
      </c>
      <c r="BM4" s="18">
        <v>4.5999999999999996</v>
      </c>
      <c r="BN4" s="18">
        <v>0</v>
      </c>
      <c r="BO4" s="18">
        <v>0.6</v>
      </c>
      <c r="BP4" s="18">
        <v>16.5</v>
      </c>
      <c r="BQ4" s="18">
        <v>4.8</v>
      </c>
      <c r="BR4" s="18">
        <v>0</v>
      </c>
      <c r="BS4" s="18">
        <v>0.6</v>
      </c>
      <c r="BT4" s="28"/>
      <c r="BU4" s="11">
        <f t="shared" ref="BU4:BU26" si="21">IF(SUM(BA4,BE4)&gt;0,SUM(BA4,BE4),"")</f>
        <v>9.6</v>
      </c>
      <c r="BV4" s="11">
        <f t="shared" ref="BV4:BV26" si="22">IF(SUM(AZ4:BA4,BC4:BE4,BG4)-BB4-BF4&gt;0,SUM(AZ4:BA4,BC4:BE4,BG4)-BB4-BF4,"")</f>
        <v>43.2</v>
      </c>
      <c r="BW4" s="11">
        <f t="shared" ref="BW4:BW26" si="23">IF(SUM(BH4:BI4,BK4)-BJ4&gt;0,SUM(BH4:BI4,BK4)-BJ4,"")</f>
        <v>19.100000000000001</v>
      </c>
      <c r="BX4" s="11">
        <f t="shared" ref="BX4:BX26" si="24">IF(SUM(BA4,BE4,BI4)&gt;0,SUM(BA4,BE4,BI4),"")</f>
        <v>12.2</v>
      </c>
      <c r="BY4" s="11">
        <f t="shared" ref="BY4:BY26" si="25">IF(SUM(BV4,BW4)&gt;0,SUM(BV4,BW4),"")</f>
        <v>62.300000000000004</v>
      </c>
      <c r="BZ4" s="11">
        <f t="shared" ref="BZ4:BZ26" si="26">IF(SUM(BM4,BQ4)&gt;0,SUM(BM4,BQ4),"")</f>
        <v>9.3999999999999986</v>
      </c>
      <c r="CA4" s="11">
        <f t="shared" ref="CA4:CA26" si="27">IF(SUM(BL4:BM4,BO4:BQ4,BS4)-SUM(BN4,BR4)&gt;0,SUM(BL4:BM4,BO4:BQ4,BS4)-SUM(BN4,BR4),"")</f>
        <v>43.4</v>
      </c>
      <c r="CB4" s="11">
        <f t="shared" ref="CB4:CB26" si="28">IF(SUM(BV4,BW4,CA4)&gt;0,SUM(BV4,BW4,CA4),"")</f>
        <v>105.7</v>
      </c>
      <c r="CC4" s="19">
        <v>17.100000000000001</v>
      </c>
      <c r="CD4" s="19">
        <v>5</v>
      </c>
      <c r="CE4" s="19">
        <v>0.2</v>
      </c>
      <c r="CF4" s="19">
        <v>0.6</v>
      </c>
      <c r="CG4" s="19">
        <v>16.899999999999999</v>
      </c>
      <c r="CH4" s="19">
        <v>5.2</v>
      </c>
      <c r="CI4" s="19">
        <v>0.2</v>
      </c>
      <c r="CJ4" s="19">
        <v>0.6</v>
      </c>
      <c r="CK4" s="19">
        <v>15.5</v>
      </c>
      <c r="CL4" s="19">
        <v>5</v>
      </c>
      <c r="CM4" s="19">
        <v>0.2</v>
      </c>
      <c r="CN4" s="19">
        <v>0.6</v>
      </c>
      <c r="CO4" s="19">
        <v>16.399999999999999</v>
      </c>
      <c r="CP4" s="19">
        <v>5</v>
      </c>
      <c r="CQ4" s="19">
        <v>0</v>
      </c>
      <c r="CR4" s="19">
        <v>0.6</v>
      </c>
      <c r="CS4" s="19">
        <v>16.7</v>
      </c>
      <c r="CT4" s="19">
        <v>5.2</v>
      </c>
      <c r="CU4" s="19">
        <v>0</v>
      </c>
      <c r="CV4" s="19">
        <v>0.6</v>
      </c>
      <c r="CW4" s="27"/>
      <c r="CX4" s="40">
        <f t="shared" ref="CX4:CX26" si="29">IF(SUM(CD4,CH4)&gt;0,SUM(CD4,CH4),"")</f>
        <v>10.199999999999999</v>
      </c>
      <c r="CY4" s="40">
        <f t="shared" ref="CY4:CY26" si="30">IF(SUM(CC4:CD4,CF4:CH4,CJ4)-CE4-CI4&gt;0,SUM(CC4:CD4,CF4:CH4,CJ4)-CE4-CI4,"")</f>
        <v>45</v>
      </c>
      <c r="CZ4" s="40">
        <f t="shared" ref="CZ4:CZ26" si="31">IF(SUM(CK4:CL4,CN4)-CM4&gt;0,SUM(CK4:CL4,CN4)-CM4,"")</f>
        <v>20.900000000000002</v>
      </c>
      <c r="DA4" s="40">
        <f t="shared" ref="DA4:DA26" si="32">IF(SUM(CD4,CH4,CL4)&gt;0,SUM(CD4,CH4,CL4),"")</f>
        <v>15.2</v>
      </c>
      <c r="DB4" s="40">
        <f t="shared" ref="DB4:DB26" si="33">IF(SUM(CY4,CZ4)&gt;0,SUM(CY4,CZ4),"")</f>
        <v>65.900000000000006</v>
      </c>
      <c r="DC4" s="40">
        <f t="shared" ref="DC4:DC26" si="34">IF(SUM(CP4,CT4)&gt;0,SUM(CP4,CT4),"")</f>
        <v>10.199999999999999</v>
      </c>
      <c r="DD4" s="40">
        <f t="shared" ref="DD4:DD26" si="35">IF(SUM(CO4:CP4,CR4:CT4,CV4)-SUM(CQ4,CU4)&gt;0,SUM(CO4:CP4,CR4:CT4,CV4)-SUM(CQ4,CU4),"")</f>
        <v>44.500000000000007</v>
      </c>
      <c r="DE4" s="40">
        <f t="shared" ref="DE4:DE26" si="36">IF(SUM(CY4,CZ4,DD4)&gt;0,SUM(CY4,CZ4,DD4),"")</f>
        <v>110.4</v>
      </c>
      <c r="DF4" s="50">
        <f t="shared" ref="DF4:DF26" si="37">IF(MAX(ED4,FF4,GH4,HJ4,IL4,JN4,KP4,LR4,MT4,NV4,OX4,PZ4)-IF(N4="",0,N4)&gt;0.001,MAX(ED4,FF4,GH4,HJ4,IL4,JN4,KP4,LR4,MT4,NV4,OX4,PZ4)-IF(N4="",0,N4),"")</f>
        <v>9.9999999999994316E-2</v>
      </c>
      <c r="DG4" s="50" t="str">
        <f t="shared" ref="DG4:DG26" si="38">IF(MAX(EE4,FG4,GI4,HK4,IM4,JO4,KQ4,LS4,MU4,NW4,OY4,QA4)-IF(P4="",0,P4)&gt;0.001,MAX(EE4,FG4,GI4,HK4,IM4,JO4,KQ4,LS4,MU4,NW4,OY4,QA4)-IF(P4="",0,P4),"")</f>
        <v/>
      </c>
      <c r="DH4" s="50" t="str">
        <f t="shared" ref="DH4:DH26" si="39"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15.1</v>
      </c>
      <c r="DN4" s="17">
        <v>5.2</v>
      </c>
      <c r="DO4" s="17">
        <v>0.2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 t="shared" ref="EC4:EC26" si="40">IF(SUM(DJ4,DN4)&gt;0,SUM(DJ4,DN4),"")</f>
        <v>9.5</v>
      </c>
      <c r="ED4" s="40">
        <f t="shared" ref="ED4:ED26" si="41">IF(SUM(DI4:DJ4,DL4:DN4,DP4)-DK4-DO4&gt;0,SUM(DI4:DJ4,DL4:DN4,DP4)-DK4-DO4,"")</f>
        <v>41.1</v>
      </c>
      <c r="EE4" s="40" t="str">
        <f t="shared" ref="EE4:EE26" si="42">IF(SUM(DQ4:DR4,DT4)-DS4&gt;0,SUM(DQ4:DR4,DT4)-DS4,"")</f>
        <v/>
      </c>
      <c r="EF4" s="40">
        <f t="shared" ref="EF4:EF26" si="43">IF(SUM(DJ4,DN4,DR4)&gt;0,SUM(DJ4,DN4,DR4),"")</f>
        <v>9.5</v>
      </c>
      <c r="EG4" s="40">
        <f t="shared" ref="EG4:EG26" si="44">IF(SUM(ED4,EE4)&gt;0,SUM(ED4,EE4),"")</f>
        <v>41.1</v>
      </c>
      <c r="EH4" s="40" t="str">
        <f t="shared" ref="EH4:EH26" si="45">IF(SUM(DV4,DZ4)&gt;0,SUM(DV4,DZ4),"")</f>
        <v/>
      </c>
      <c r="EI4" s="40" t="str">
        <f t="shared" ref="EI4:EI26" si="46">IF(SUM(DU4:DV4,DX4:DZ4,EB4)-SUM(DW4,EA4)&gt;0,SUM(DU4:DV4,DX4:DZ4,EB4)-SUM(DW4,EA4),"")</f>
        <v/>
      </c>
      <c r="EJ4" s="40">
        <f t="shared" ref="EJ4:EJ26" si="47">IF(SUM(ED4,EE4,EI4)&gt;0,SUM(ED4,EE4,EI4),"")</f>
        <v>41.1</v>
      </c>
      <c r="EK4" s="18">
        <v>17.100000000000001</v>
      </c>
      <c r="EL4" s="18">
        <v>5</v>
      </c>
      <c r="EM4" s="18">
        <v>0</v>
      </c>
      <c r="EN4" s="18">
        <v>0</v>
      </c>
      <c r="EO4" s="18">
        <v>17.5</v>
      </c>
      <c r="EP4" s="18">
        <v>5.2</v>
      </c>
      <c r="EQ4" s="18">
        <v>0</v>
      </c>
      <c r="ER4" s="18">
        <v>0</v>
      </c>
      <c r="ES4" s="18"/>
      <c r="ET4" s="18"/>
      <c r="EU4" s="18"/>
      <c r="EV4" s="18"/>
      <c r="EW4" s="18">
        <v>16.899999999999999</v>
      </c>
      <c r="EX4" s="18">
        <v>5</v>
      </c>
      <c r="EY4" s="18">
        <v>0</v>
      </c>
      <c r="EZ4" s="18">
        <v>0</v>
      </c>
      <c r="FA4" s="18"/>
      <c r="FB4" s="18"/>
      <c r="FC4" s="18"/>
      <c r="FD4" s="18"/>
      <c r="FE4" s="11">
        <f t="shared" ref="FE4:FE26" si="48">IF(SUM(EL4,EP4)&gt;0,SUM(EL4,EP4),"")</f>
        <v>10.199999999999999</v>
      </c>
      <c r="FF4" s="11">
        <f t="shared" ref="FF4:FF26" si="49">IF(SUM(EK4:EL4,EN4:EP4,ER4)-EM4-EQ4&gt;0,SUM(EK4:EL4,EN4:EP4,ER4)-EM4-EQ4,"")</f>
        <v>44.800000000000004</v>
      </c>
      <c r="FG4" s="11" t="str">
        <f t="shared" ref="FG4:FG26" si="50">IF(SUM(ES4:ET4,EV4)-EU4&gt;0,SUM(ES4:ET4,EV4)-EU4,"")</f>
        <v/>
      </c>
      <c r="FH4" s="11">
        <f t="shared" ref="FH4:FH26" si="51">IF(SUM(EL4,EP4,ET4)&gt;0,SUM(EL4,EP4,ET4),"")</f>
        <v>10.199999999999999</v>
      </c>
      <c r="FI4" s="11">
        <f t="shared" ref="FI4:FI26" si="52">IF(SUM(FF4,FG4)&gt;0,SUM(FF4,FG4),"")</f>
        <v>44.800000000000004</v>
      </c>
      <c r="FJ4" s="11">
        <f t="shared" ref="FJ4:FJ26" si="53">IF(SUM(EX4,FB4)&gt;0,SUM(EX4,FB4),"")</f>
        <v>5</v>
      </c>
      <c r="FK4" s="11">
        <f t="shared" ref="FK4:FK26" si="54">IF(SUM(EW4:EX4,EZ4:FB4,FD4)-SUM(EY4,FC4)&gt;0,SUM(EW4:EX4,EZ4:FB4,FD4)-SUM(EY4,FC4),"")</f>
        <v>21.9</v>
      </c>
      <c r="FL4" s="11">
        <f t="shared" ref="FL4:FL26" si="55">IF(SUM(FF4,FG4,FK4)&gt;0,SUM(FF4,FG4,FK4),"")</f>
        <v>66.7</v>
      </c>
      <c r="FM4" s="17">
        <v>16.5</v>
      </c>
      <c r="FN4" s="17">
        <v>5</v>
      </c>
      <c r="FO4" s="17">
        <v>0.2</v>
      </c>
      <c r="FP4" s="17">
        <v>0</v>
      </c>
      <c r="FQ4" s="17">
        <v>17.2</v>
      </c>
      <c r="FR4" s="17">
        <v>5</v>
      </c>
      <c r="FS4" s="17">
        <v>0.2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 t="shared" ref="GG4:GG26" si="56">IF(SUM(FN4,FR4)&gt;0,SUM(FN4,FR4),"")</f>
        <v>10</v>
      </c>
      <c r="GH4" s="40">
        <f t="shared" ref="GH4:GH26" si="57">IF(SUM(FM4:FN4,FP4:FR4,FT4)-FO4-FS4&gt;0,SUM(FM4:FN4,FP4:FR4,FT4)-FO4-FS4,"")</f>
        <v>43.3</v>
      </c>
      <c r="GI4" s="40" t="str">
        <f t="shared" ref="GI4:GI26" si="58">IF(SUM(FU4:FV4,FX4)-FW4&gt;0,SUM(FU4:FV4,FX4)-FW4,"")</f>
        <v/>
      </c>
      <c r="GJ4" s="40">
        <f t="shared" ref="GJ4:GJ26" si="59">IF(SUM(FN4,FR4,FV4)&gt;0,SUM(FN4,FR4,FV4),"")</f>
        <v>10</v>
      </c>
      <c r="GK4" s="40">
        <f t="shared" ref="GK4:GK26" si="60">IF(SUM(GH4,GI4)&gt;0,SUM(GH4,GI4),"")</f>
        <v>43.3</v>
      </c>
      <c r="GL4" s="40" t="str">
        <f t="shared" ref="GL4:GL26" si="61">IF(SUM(FZ4,GD4)&gt;0,SUM(FZ4,GD4),"")</f>
        <v/>
      </c>
      <c r="GM4" s="40" t="str">
        <f t="shared" ref="GM4:GM26" si="62">IF(SUM(FY4:FZ4,GB4:GD4,GF4)-SUM(GA4,GE4)&gt;0,SUM(FY4:FZ4,GB4:GD4,GF4)-SUM(GA4,GE4),"")</f>
        <v/>
      </c>
      <c r="GN4" s="40">
        <f t="shared" ref="GN4:GN26" si="63">IF(SUM(GH4,GI4,GM4)&gt;0,SUM(GH4,GI4,GM4),"")</f>
        <v>43.3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26" si="64">IF(SUM(GP4,GT4)&gt;0,SUM(GP4,GT4),"")</f>
        <v/>
      </c>
      <c r="HJ4" s="11" t="str">
        <f t="shared" ref="HJ4:HJ26" si="65">IF(SUM(GO4:GP4,GR4:GT4,GV4)-GQ4-GU4&gt;0,SUM(GO4:GP4,GR4:GT4,GV4)-GQ4-GU4,"")</f>
        <v/>
      </c>
      <c r="HK4" s="11" t="str">
        <f t="shared" ref="HK4:HK26" si="66">IF(SUM(GW4:GX4,GZ4)-GY4&gt;0,SUM(GW4:GX4,GZ4)-GY4,"")</f>
        <v/>
      </c>
      <c r="HL4" s="11" t="str">
        <f t="shared" ref="HL4:HL26" si="67">IF(SUM(GP4,GT4,GX4)&gt;0,SUM(GP4,GT4,GX4),"")</f>
        <v/>
      </c>
      <c r="HM4" s="11" t="str">
        <f t="shared" ref="HM4:HM26" si="68">IF(SUM(HJ4,HK4)&gt;0,SUM(HJ4,HK4),"")</f>
        <v/>
      </c>
      <c r="HN4" s="11" t="str">
        <f t="shared" ref="HN4:HN26" si="69">IF(SUM(HB4,HF4)&gt;0,SUM(HB4,HF4),"")</f>
        <v/>
      </c>
      <c r="HO4" s="11" t="str">
        <f t="shared" ref="HO4:HO26" si="70">IF(SUM(HA4:HB4,HD4:HF4,HH4)-SUM(HC4,HG4)&gt;0,SUM(HA4:HB4,HD4:HF4,HH4)-SUM(HC4,HG4),"")</f>
        <v/>
      </c>
      <c r="HP4" s="11" t="str">
        <f t="shared" ref="HP4:HP26" si="71"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26" si="72">IF(SUM(HR4,HV4)&gt;0,SUM(HR4,HV4),"")</f>
        <v/>
      </c>
      <c r="IL4" s="40" t="str">
        <f t="shared" ref="IL4:IL26" si="73">IF(SUM(HQ4:HR4,HT4:HV4,HX4)-HS4-HW4&gt;0,SUM(HQ4:HR4,HT4:HV4,HX4)-HS4-HW4,"")</f>
        <v/>
      </c>
      <c r="IM4" s="40" t="str">
        <f t="shared" ref="IM4:IM26" si="74">IF(SUM(HY4:HZ4,IB4)-IA4&gt;0,SUM(HY4:HZ4,IB4)-IA4,"")</f>
        <v/>
      </c>
      <c r="IN4" s="40" t="str">
        <f t="shared" ref="IN4:IN26" si="75">IF(SUM(HR4,HV4,HZ4)&gt;0,SUM(HR4,HV4,HZ4),"")</f>
        <v/>
      </c>
      <c r="IO4" s="40" t="str">
        <f t="shared" ref="IO4:IO26" si="76">IF(SUM(IL4,IM4)&gt;0,SUM(IL4,IM4),"")</f>
        <v/>
      </c>
      <c r="IP4" s="40" t="str">
        <f t="shared" ref="IP4:IP26" si="77">IF(SUM(ID4,IH4)&gt;0,SUM(ID4,IH4),"")</f>
        <v/>
      </c>
      <c r="IQ4" s="40" t="str">
        <f t="shared" ref="IQ4:IQ26" si="78">IF(SUM(IC4:ID4,IF4:IH4,IJ4)-SUM(IE4,II4)&gt;0,SUM(IC4:ID4,IF4:IH4,IJ4)-SUM(IE4,II4),"")</f>
        <v/>
      </c>
      <c r="IR4" s="40" t="str">
        <f t="shared" ref="IR4:IR26" si="79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26" si="80">IF(SUM(IT4,IX4)&gt;0,SUM(IT4,IX4),"")</f>
        <v/>
      </c>
      <c r="JN4" s="11" t="str">
        <f t="shared" ref="JN4:JN26" si="81">IF(SUM(IS4:IT4,IV4:IX4,IZ4)-IU4-IY4&gt;0,SUM(IS4:IT4,IV4:IX4,IZ4)-IU4-IY4,"")</f>
        <v/>
      </c>
      <c r="JO4" s="11" t="str">
        <f t="shared" ref="JO4:JO26" si="82">IF(SUM(JA4:JB4,JD4)-JC4&gt;0,SUM(JA4:JB4,JD4)-JC4,"")</f>
        <v/>
      </c>
      <c r="JP4" s="11" t="str">
        <f t="shared" ref="JP4:JP26" si="83">IF(SUM(IT4,IX4,JB4)&gt;0,SUM(IT4,IX4,JB4),"")</f>
        <v/>
      </c>
      <c r="JQ4" s="11" t="str">
        <f t="shared" ref="JQ4:JQ26" si="84">IF(SUM(JN4,JO4)&gt;0,SUM(JN4,JO4),"")</f>
        <v/>
      </c>
      <c r="JR4" s="11" t="str">
        <f t="shared" ref="JR4:JR26" si="85">IF(SUM(JF4,JJ4)&gt;0,SUM(JF4,JJ4),"")</f>
        <v/>
      </c>
      <c r="JS4" s="11" t="str">
        <f t="shared" ref="JS4:JS26" si="86">IF(SUM(JE4:JF4,JH4:JJ4,JL4)-SUM(JG4,JK4)&gt;0,SUM(JE4:JF4,JH4:JJ4,JL4)-SUM(JG4,JK4),"")</f>
        <v/>
      </c>
      <c r="JT4" s="11" t="str">
        <f t="shared" ref="JT4:JT26" si="87"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26" si="88">IF(SUM(JV4,JZ4)&gt;0,SUM(JV4,JZ4),"")</f>
        <v/>
      </c>
      <c r="KP4" s="40" t="str">
        <f t="shared" ref="KP4:KP26" si="89">IF(SUM(JU4:JV4,JX4:JZ4,KB4)-JW4-KA4&gt;0,SUM(JU4:JV4,JX4:JZ4,KB4)-JW4-KA4,"")</f>
        <v/>
      </c>
      <c r="KQ4" s="40" t="str">
        <f t="shared" ref="KQ4:KQ26" si="90">IF(SUM(KC4:KD4,KF4)-KE4&gt;0,SUM(KC4:KD4,KF4)-KE4,"")</f>
        <v/>
      </c>
      <c r="KR4" s="40" t="str">
        <f t="shared" ref="KR4:KR26" si="91">IF(SUM(JV4,JZ4,KD4)&gt;0,SUM(JV4,JZ4,KD4),"")</f>
        <v/>
      </c>
      <c r="KS4" s="40" t="str">
        <f t="shared" ref="KS4:KS26" si="92">IF(SUM(KP4,KQ4)&gt;0,SUM(KP4,KQ4),"")</f>
        <v/>
      </c>
      <c r="KT4" s="40" t="str">
        <f t="shared" ref="KT4:KT26" si="93">IF(SUM(KH4,KL4)&gt;0,SUM(KH4,KL4),"")</f>
        <v/>
      </c>
      <c r="KU4" s="40" t="str">
        <f t="shared" ref="KU4:KU26" si="94">IF(SUM(KG4:KH4,KJ4:KL4,KN4)-SUM(KI4,KM4)&gt;0,SUM(KG4:KH4,KJ4:KL4,KN4)-SUM(KI4,KM4),"")</f>
        <v/>
      </c>
      <c r="KV4" s="40" t="str">
        <f t="shared" ref="KV4:KV26" si="95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26" si="96">IF(SUM(KX4,LB4)&gt;0,SUM(KX4,LB4),"")</f>
        <v/>
      </c>
      <c r="LR4" s="11" t="str">
        <f t="shared" ref="LR4:LR26" si="97">IF(SUM(KW4:KX4,KZ4:LB4,LD4)-KY4-LC4&gt;0,SUM(KW4:KX4,KZ4:LB4,LD4)-KY4-LC4,"")</f>
        <v/>
      </c>
      <c r="LS4" s="11" t="str">
        <f t="shared" ref="LS4:LS26" si="98">IF(SUM(LE4:LF4,LH4)-LG4&gt;0,SUM(LE4:LF4,LH4)-LG4,"")</f>
        <v/>
      </c>
      <c r="LT4" s="11" t="str">
        <f t="shared" ref="LT4:LT26" si="99">IF(SUM(KX4,LB4,LF4)&gt;0,SUM(KX4,LB4,LF4),"")</f>
        <v/>
      </c>
      <c r="LU4" s="11" t="str">
        <f t="shared" ref="LU4:LU26" si="100">IF(SUM(LR4,LS4)&gt;0,SUM(LR4,LS4),"")</f>
        <v/>
      </c>
      <c r="LV4" s="11" t="str">
        <f t="shared" ref="LV4:LV26" si="101">IF(SUM(LJ4,LN4)&gt;0,SUM(LJ4,LN4),"")</f>
        <v/>
      </c>
      <c r="LW4" s="11" t="str">
        <f t="shared" ref="LW4:LW26" si="102">IF(SUM(LI4:LJ4,LL4:LN4,LP4)-SUM(LK4,LO4)&gt;0,SUM(LI4:LJ4,LL4:LN4,LP4)-SUM(LK4,LO4),"")</f>
        <v/>
      </c>
      <c r="LX4" s="11" t="str">
        <f t="shared" ref="LX4:LX26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26" si="104">IF(SUM(LZ4,MD4)&gt;0,SUM(LZ4,MD4),"")</f>
        <v/>
      </c>
      <c r="MT4" s="40" t="str">
        <f t="shared" ref="MT4:MT26" si="105">IF(SUM(LY4:LZ4,MB4:MD4,MF4)-MA4-ME4&gt;0,SUM(LY4:LZ4,MB4:MD4,MF4)-MA4-ME4,"")</f>
        <v/>
      </c>
      <c r="MU4" s="40" t="str">
        <f t="shared" ref="MU4:MU26" si="106">IF(SUM(MG4:MH4,MJ4)-MI4&gt;0,SUM(MG4:MH4,MJ4)-MI4,"")</f>
        <v/>
      </c>
      <c r="MV4" s="40" t="str">
        <f t="shared" ref="MV4:MV26" si="107">IF(SUM(LZ4,MD4,MH4)&gt;0,SUM(LZ4,MD4,MH4),"")</f>
        <v/>
      </c>
      <c r="MW4" s="40" t="str">
        <f t="shared" ref="MW4:MW26" si="108">IF(SUM(MT4,MU4)&gt;0,SUM(MT4,MU4),"")</f>
        <v/>
      </c>
      <c r="MX4" s="40" t="str">
        <f t="shared" ref="MX4:MX26" si="109">IF(SUM(ML4,MP4)&gt;0,SUM(ML4,MP4),"")</f>
        <v/>
      </c>
      <c r="MY4" s="40" t="str">
        <f t="shared" ref="MY4:MY26" si="110">IF(SUM(MK4:ML4,MN4:MP4,MR4)-SUM(MM4,MQ4)&gt;0,SUM(MK4:ML4,MN4:MP4,MR4)-SUM(MM4,MQ4),"")</f>
        <v/>
      </c>
      <c r="MZ4" s="40" t="str">
        <f t="shared" ref="MZ4:MZ26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26" si="112">IF(SUM(NB4,NF4)&gt;0,SUM(NB4,NF4),"")</f>
        <v/>
      </c>
      <c r="NV4" s="11" t="str">
        <f t="shared" ref="NV4:NV26" si="113">IF(SUM(NA4:NB4,ND4:NF4,NH4)-NC4-NG4&gt;0,SUM(NA4:NB4,ND4:NF4,NH4)-NC4-NG4,"")</f>
        <v/>
      </c>
      <c r="NW4" s="11" t="str">
        <f t="shared" ref="NW4:NW26" si="114">IF(SUM(NI4:NJ4,NL4)-NK4&gt;0,SUM(NI4:NJ4,NL4)-NK4,"")</f>
        <v/>
      </c>
      <c r="NX4" s="11" t="str">
        <f t="shared" ref="NX4:NX26" si="115">IF(SUM(NB4,NF4,NJ4)&gt;0,SUM(NB4,NF4,NJ4),"")</f>
        <v/>
      </c>
      <c r="NY4" s="11" t="str">
        <f t="shared" ref="NY4:NY26" si="116">IF(SUM(NV4,NW4)&gt;0,SUM(NV4,NW4),"")</f>
        <v/>
      </c>
      <c r="NZ4" s="11" t="str">
        <f t="shared" ref="NZ4:NZ26" si="117">IF(SUM(NN4,NR4)&gt;0,SUM(NN4,NR4),"")</f>
        <v/>
      </c>
      <c r="OA4" s="11" t="str">
        <f t="shared" ref="OA4:OA26" si="118">IF(SUM(NM4:NN4,NP4:NR4,NT4)-SUM(NO4,NS4)&gt;0,SUM(NM4:NN4,NP4:NR4,NT4)-SUM(NO4,NS4),"")</f>
        <v/>
      </c>
      <c r="OB4" s="11" t="str">
        <f t="shared" ref="OB4:OB26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26" si="120">IF(SUM(OD4,OH4)&gt;0,SUM(OD4,OH4),"")</f>
        <v/>
      </c>
      <c r="OX4" s="40" t="str">
        <f t="shared" ref="OX4:OX26" si="121">IF(SUM(OC4:OD4,OF4:OH4,OJ4)-OE4-OI4&gt;0,SUM(OC4:OD4,OF4:OH4,OJ4)-OE4-OI4,"")</f>
        <v/>
      </c>
      <c r="OY4" s="40" t="str">
        <f t="shared" ref="OY4:OY26" si="122">IF(SUM(OK4:OL4,ON4)-OM4&gt;0,SUM(OK4:OL4,ON4)-OM4,"")</f>
        <v/>
      </c>
      <c r="OZ4" s="40" t="str">
        <f t="shared" ref="OZ4:OZ26" si="123">IF(SUM(OD4,OH4,OL4)&gt;0,SUM(OD4,OH4,OL4),"")</f>
        <v/>
      </c>
      <c r="PA4" s="40" t="str">
        <f t="shared" ref="PA4:PA26" si="124">IF(SUM(OX4,OY4)&gt;0,SUM(OX4,OY4),"")</f>
        <v/>
      </c>
      <c r="PB4" s="40" t="str">
        <f t="shared" ref="PB4:PB26" si="125">IF(SUM(OP4,OT4)&gt;0,SUM(OP4,OT4),"")</f>
        <v/>
      </c>
      <c r="PC4" s="40" t="str">
        <f t="shared" ref="PC4:PC26" si="126">IF(SUM(OO4:OP4,OR4:OT4,OV4)-SUM(OQ4,OU4)&gt;0,SUM(OO4:OP4,OR4:OT4,OV4)-SUM(OQ4,OU4),"")</f>
        <v/>
      </c>
      <c r="PD4" s="40" t="str">
        <f t="shared" ref="PD4:PD26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26" si="128">IF(SUM(PF4,PJ4)&gt;0,SUM(PF4,PJ4),"")</f>
        <v/>
      </c>
      <c r="PZ4" s="11" t="str">
        <f t="shared" ref="PZ4:PZ26" si="129">IF(SUM(PE4:PF4,PH4:PJ4,PL4)-PG4-PK4&gt;0,SUM(PE4:PF4,PH4:PJ4,PL4)-PG4-PK4,"")</f>
        <v/>
      </c>
      <c r="QA4" s="11" t="str">
        <f t="shared" ref="QA4:QA26" si="130">IF(SUM(PM4:PN4,PP4)-PO4&gt;0,SUM(PM4:PN4,PP4)-PO4,"")</f>
        <v/>
      </c>
      <c r="QB4" s="11" t="str">
        <f t="shared" ref="QB4:QB26" si="131">IF(SUM(PF4,PJ4,PN4)&gt;0,SUM(PF4,PJ4,PN4),"")</f>
        <v/>
      </c>
      <c r="QC4" s="11" t="str">
        <f t="shared" ref="QC4:QC26" si="132">IF(SUM(PZ4,QA4)&gt;0,SUM(PZ4,QA4),"")</f>
        <v/>
      </c>
      <c r="QD4" s="11" t="str">
        <f t="shared" ref="QD4:QD26" si="133">IF(SUM(PR4,PV4)&gt;0,SUM(PR4,PV4),"")</f>
        <v/>
      </c>
      <c r="QE4" s="11" t="str">
        <f t="shared" ref="QE4:QE26" si="134">IF(SUM(PQ4:PR4,PT4:PV4,PX4)-SUM(PS4,PW4)&gt;0,SUM(PQ4:PR4,PT4:PV4,PX4)-SUM(PS4,PW4),"")</f>
        <v/>
      </c>
      <c r="QF4" s="11" t="str">
        <f t="shared" ref="QF4:QF26" si="135">IF(SUM(PZ4,QA4,QE4)&gt;0,SUM(PZ4,QA4,QE4),"")</f>
        <v/>
      </c>
      <c r="QG4" s="22">
        <f t="shared" ref="QG4:QG26" si="136">IF($CW4="P",CC4,(CC4+AZ4)/2)</f>
        <v>16.25</v>
      </c>
      <c r="QH4" s="22">
        <f t="shared" ref="QH4:QH26" si="137">IF($CW4="P",CD4,(CD4+BA4)/2)</f>
        <v>5</v>
      </c>
      <c r="QI4" s="22">
        <f t="shared" ref="QI4:QI26" si="138">IF($CW4="P",CE4,(CE4+BB4)/2)</f>
        <v>0.1</v>
      </c>
      <c r="QJ4" s="22">
        <f t="shared" ref="QJ4:QJ26" si="139">IF($CW4="P",CF4,(CF4+BC4)/2)</f>
        <v>0.6</v>
      </c>
      <c r="QK4" s="22">
        <f t="shared" ref="QK4:QK26" si="140">IF($CW4="P",CG4,(CG4+BD4)/2)</f>
        <v>16.95</v>
      </c>
      <c r="QL4" s="22">
        <f t="shared" ref="QL4:QL26" si="141">IF($CW4="P",CH4,(CH4+BE4)/2)</f>
        <v>4.9000000000000004</v>
      </c>
      <c r="QM4" s="22">
        <f t="shared" ref="QM4:QM26" si="142">IF($CW4="P",CI4,(CI4+BF4)/2)</f>
        <v>0.1</v>
      </c>
      <c r="QN4" s="22">
        <f t="shared" ref="QN4:QN26" si="143">IF($CW4="P",CJ4,(CJ4+BG4)/2)</f>
        <v>0.6</v>
      </c>
      <c r="QO4" s="22">
        <f t="shared" ref="QO4:QO26" si="144">IF($CW4="P",CK4,(CK4+BH4)/2)</f>
        <v>15.7</v>
      </c>
      <c r="QP4" s="22">
        <f t="shared" ref="QP4:QP26" si="145">IF($CW4="P",CL4,(CL4+BI4)/2)</f>
        <v>3.8</v>
      </c>
      <c r="QQ4" s="22">
        <f t="shared" ref="QQ4:QQ26" si="146">IF($CW4="P",CM4,(CM4+BJ4)/2)</f>
        <v>0.1</v>
      </c>
      <c r="QR4" s="22">
        <f t="shared" ref="QR4:QR26" si="147">IF($CW4="P",CN4,(CN4+BK4)/2)</f>
        <v>0.6</v>
      </c>
      <c r="QS4" s="22">
        <f t="shared" ref="QS4:QS26" si="148">IF($CW4="P",CO4,(CO4+BL4)/2)</f>
        <v>16.350000000000001</v>
      </c>
      <c r="QT4" s="22">
        <f t="shared" ref="QT4:QT26" si="149">IF($CW4="P",CP4,(CP4+BM4)/2)</f>
        <v>4.8</v>
      </c>
      <c r="QU4" s="22">
        <f t="shared" ref="QU4:QU26" si="150">IF($CW4="P",CQ4,(CQ4+BN4)/2)</f>
        <v>0</v>
      </c>
      <c r="QV4" s="22">
        <f t="shared" ref="QV4:QV26" si="151">IF($CW4="P",CR4,(CR4+BO4)/2)</f>
        <v>0.6</v>
      </c>
      <c r="QW4" s="22">
        <f t="shared" ref="QW4:QW26" si="152">IF($CW4="P",CS4,(CS4+BP4)/2)</f>
        <v>16.600000000000001</v>
      </c>
      <c r="QX4" s="22">
        <f t="shared" ref="QX4:QX26" si="153">IF($CW4="P",CT4,(CT4+BQ4)/2)</f>
        <v>5</v>
      </c>
      <c r="QY4" s="22">
        <f t="shared" ref="QY4:QY26" si="154">IF($CW4="P",CU4,(CU4+BR4)/2)</f>
        <v>0</v>
      </c>
      <c r="QZ4" s="22">
        <f t="shared" ref="QZ4:QZ26" si="155">IF($CW4="P",CV4,(CV4+BS4)/2)</f>
        <v>0.6</v>
      </c>
      <c r="RA4" s="27" t="s">
        <v>46</v>
      </c>
      <c r="RB4" s="40">
        <f t="shared" ref="RB4:RB26" si="156">IF(SUM(QH4,QL4)&gt;0,SUM(QH4,QL4),"")</f>
        <v>9.9</v>
      </c>
      <c r="RC4" s="40">
        <f t="shared" ref="RC4:RC26" si="157">IF(SUM(QG4:QH4,QJ4:QL4,QN4)-QI4-QM4&gt;0,SUM(QG4:QH4,QJ4:QL4,QN4)-QI4-QM4,"")</f>
        <v>44.099999999999994</v>
      </c>
      <c r="RD4" s="40">
        <f t="shared" ref="RD4:RD26" si="158">IF(SUM(QO4:QP4,QR4)-QQ4&gt;0,SUM(QO4:QP4,QR4)-QQ4,"")</f>
        <v>20</v>
      </c>
      <c r="RE4" s="40">
        <f t="shared" ref="RE4:RE26" si="159">IF(SUM(QH4,QL4,QP4)&gt;0,SUM(QH4,QL4,QP4),"")</f>
        <v>13.7</v>
      </c>
      <c r="RF4" s="40">
        <f t="shared" ref="RF4:RF26" si="160">IF(SUM(RC4,RD4)&gt;0,SUM(RC4,RD4),"")</f>
        <v>64.099999999999994</v>
      </c>
      <c r="RG4" s="40">
        <f t="shared" ref="RG4:RG26" si="161">IF(SUM(QT4,QX4)&gt;0,SUM(QT4,QX4),"")</f>
        <v>9.8000000000000007</v>
      </c>
      <c r="RH4" s="40">
        <f t="shared" ref="RH4:RH26" si="162">IF(SUM(QS4:QT4,QV4:QX4,QZ4)-SUM(QU4,QY4)&gt;0,SUM(QS4:QT4,QV4:QX4,QZ4)-SUM(QU4,QY4),"")</f>
        <v>43.95000000000001</v>
      </c>
      <c r="RI4" s="40">
        <f t="shared" ref="RI4:RI26" si="163">IF(SUM(RC4,RD4,RH4)&gt;0,SUM(RC4,RD4,RH4),"")</f>
        <v>108.05000000000001</v>
      </c>
    </row>
    <row r="5" spans="1:477" x14ac:dyDescent="0.2">
      <c r="A5" s="4" cm="1">
        <f t="array" ref="A5">IF(AND(J5&lt;&gt;"",J5&lt;&gt;"No DD"),SUMPRODUCT((J$4:J$27&lt;&gt;"")*(J$4:J$27&lt;&gt;"No DD")*(F$4:F$27&gt;F5))+1,IF(J5="No DD",SUMPRODUCT((J$4:J$27="No DD")*(F$4:F$27&gt;F5))+1+SUMPRODUCT((J$4:J$27&lt;&gt;"")*(J$4:J$27&lt;&gt;"No DD")),""))</f>
        <v>2</v>
      </c>
      <c r="B5" s="4" t="str" cm="1">
        <f t="array" ref="B5">IF(AND(J5&lt;&gt;"",J5&lt;&gt;"No DD",G5=""),SUMPRODUCT((J$4:J$27&lt;&gt;"")*(J$4:J$27&lt;&gt;"No DD")*(G$4:G$27="")*(F$4:F$27&gt;F5))+1,IF(J5="No DD",SUMPRODUCT((J$4:J$27="No DD")*(F$4:F$27&gt;F5)*(G$4:G$27=""))+1+SUMPRODUCT((J$4:J$27&lt;&gt;"")*(G$4:G$27="")*(J$4:J$27&lt;&gt;"No DD")),""))</f>
        <v/>
      </c>
      <c r="C5" s="5" t="s">
        <v>148</v>
      </c>
      <c r="D5" s="4" t="s">
        <v>4</v>
      </c>
      <c r="E5" s="4">
        <v>2006</v>
      </c>
      <c r="F5" s="9">
        <f t="shared" si="0"/>
        <v>154.90001090500439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43.4</v>
      </c>
      <c r="M5" s="8" t="str">
        <f t="shared" si="5"/>
        <v>2023 Nationals</v>
      </c>
      <c r="N5" s="8">
        <f>IF(COUNT(AS5,BV5,CY5)&gt;1,LARGE((AS5,BV5,CY5),2),0)</f>
        <v>43.250000000000007</v>
      </c>
      <c r="O5" s="8" t="str">
        <f t="shared" si="6"/>
        <v>2024 Elite Canada</v>
      </c>
      <c r="P5" s="8">
        <f>IF(COUNT(AT5,BW5,CZ5)&gt;0,LARGE((AT5,BW5,CZ5),1),0)</f>
        <v>22.400000000000002</v>
      </c>
      <c r="Q5" s="8" t="str">
        <f t="shared" si="7"/>
        <v>2023 3rd Domestic Trial</v>
      </c>
      <c r="R5" s="8">
        <f t="shared" si="8"/>
        <v>43.600000000000009</v>
      </c>
      <c r="S5" s="8" t="str">
        <f t="shared" si="9"/>
        <v>2023 3rd Domestic Trial</v>
      </c>
      <c r="T5" s="8">
        <f t="shared" si="10"/>
        <v>2.2499999999999929</v>
      </c>
      <c r="U5" s="11" t="str">
        <f t="shared" si="11"/>
        <v>(Q1)</v>
      </c>
      <c r="V5" s="8" t="str">
        <f t="shared" si="12"/>
        <v>2023 World Championships (Nov 11)</v>
      </c>
      <c r="W5" s="19">
        <v>16.899999999999999</v>
      </c>
      <c r="X5" s="19">
        <v>4.3</v>
      </c>
      <c r="Y5" s="19">
        <v>0</v>
      </c>
      <c r="Z5" s="19">
        <v>0.3</v>
      </c>
      <c r="AA5" s="19">
        <v>16.5</v>
      </c>
      <c r="AB5" s="19">
        <v>4.8</v>
      </c>
      <c r="AC5" s="19">
        <v>0</v>
      </c>
      <c r="AD5" s="19">
        <v>0.6</v>
      </c>
      <c r="AE5" s="19">
        <v>15.7</v>
      </c>
      <c r="AF5" s="19">
        <v>3.8</v>
      </c>
      <c r="AG5" s="19">
        <v>0</v>
      </c>
      <c r="AH5" s="19">
        <v>0.3</v>
      </c>
      <c r="AI5" s="19">
        <v>17.3</v>
      </c>
      <c r="AJ5" s="19">
        <v>5</v>
      </c>
      <c r="AK5" s="19">
        <v>0</v>
      </c>
      <c r="AL5" s="19">
        <v>0.6</v>
      </c>
      <c r="AM5" s="19">
        <v>16.100000000000001</v>
      </c>
      <c r="AN5" s="19">
        <v>2.6</v>
      </c>
      <c r="AO5" s="19">
        <v>0</v>
      </c>
      <c r="AP5" s="19">
        <v>0.6</v>
      </c>
      <c r="AQ5" s="27"/>
      <c r="AR5" s="40">
        <f t="shared" si="13"/>
        <v>9.1</v>
      </c>
      <c r="AS5" s="40">
        <f t="shared" si="14"/>
        <v>43.4</v>
      </c>
      <c r="AT5" s="40">
        <f t="shared" si="15"/>
        <v>19.8</v>
      </c>
      <c r="AU5" s="40">
        <f t="shared" si="16"/>
        <v>12.899999999999999</v>
      </c>
      <c r="AV5" s="40">
        <f t="shared" si="17"/>
        <v>63.2</v>
      </c>
      <c r="AW5" s="40">
        <f t="shared" si="18"/>
        <v>7.6</v>
      </c>
      <c r="AX5" s="40">
        <f t="shared" si="19"/>
        <v>42.2</v>
      </c>
      <c r="AY5" s="40">
        <f t="shared" si="20"/>
        <v>105.4</v>
      </c>
      <c r="AZ5" s="18">
        <v>16.8</v>
      </c>
      <c r="BA5" s="18">
        <v>5</v>
      </c>
      <c r="BB5" s="18">
        <v>0</v>
      </c>
      <c r="BC5" s="18">
        <v>0.6</v>
      </c>
      <c r="BD5" s="18">
        <v>15.5</v>
      </c>
      <c r="BE5" s="18">
        <v>4.5999999999999996</v>
      </c>
      <c r="BF5" s="18">
        <v>0</v>
      </c>
      <c r="BG5" s="18">
        <v>0.6</v>
      </c>
      <c r="BH5" s="18">
        <v>16.8</v>
      </c>
      <c r="BI5" s="18">
        <v>5</v>
      </c>
      <c r="BJ5" s="18">
        <v>0</v>
      </c>
      <c r="BK5" s="18">
        <v>0.6</v>
      </c>
      <c r="BL5" s="18">
        <v>16.5</v>
      </c>
      <c r="BM5" s="18">
        <v>4.8</v>
      </c>
      <c r="BN5" s="18">
        <v>0</v>
      </c>
      <c r="BO5" s="18">
        <v>0.6</v>
      </c>
      <c r="BP5" s="18">
        <v>16.5</v>
      </c>
      <c r="BQ5" s="18">
        <v>4.5999999999999996</v>
      </c>
      <c r="BR5" s="18">
        <v>0</v>
      </c>
      <c r="BS5" s="18">
        <v>0.6</v>
      </c>
      <c r="BT5" s="28"/>
      <c r="BU5" s="11">
        <f t="shared" si="21"/>
        <v>9.6</v>
      </c>
      <c r="BV5" s="11">
        <f t="shared" si="22"/>
        <v>43.100000000000009</v>
      </c>
      <c r="BW5" s="11">
        <f t="shared" si="23"/>
        <v>22.400000000000002</v>
      </c>
      <c r="BX5" s="11">
        <f t="shared" si="24"/>
        <v>14.6</v>
      </c>
      <c r="BY5" s="11">
        <f t="shared" si="25"/>
        <v>65.500000000000014</v>
      </c>
      <c r="BZ5" s="11">
        <f t="shared" si="26"/>
        <v>9.3999999999999986</v>
      </c>
      <c r="CA5" s="11">
        <f t="shared" si="27"/>
        <v>43.600000000000009</v>
      </c>
      <c r="CB5" s="11">
        <f t="shared" si="28"/>
        <v>109.10000000000002</v>
      </c>
      <c r="CC5" s="19">
        <v>16.850000000000001</v>
      </c>
      <c r="CD5" s="19">
        <v>4.6500000000000004</v>
      </c>
      <c r="CE5" s="19">
        <v>0</v>
      </c>
      <c r="CF5" s="19">
        <v>0.44999999999999996</v>
      </c>
      <c r="CG5" s="19">
        <v>16</v>
      </c>
      <c r="CH5" s="19">
        <v>4.6999999999999993</v>
      </c>
      <c r="CI5" s="19">
        <v>0</v>
      </c>
      <c r="CJ5" s="19">
        <v>0.6</v>
      </c>
      <c r="CK5" s="19">
        <v>16.25</v>
      </c>
      <c r="CL5" s="19">
        <v>4.4000000000000004</v>
      </c>
      <c r="CM5" s="19">
        <v>0</v>
      </c>
      <c r="CN5" s="19">
        <v>0.44999999999999996</v>
      </c>
      <c r="CO5" s="19">
        <v>16.899999999999999</v>
      </c>
      <c r="CP5" s="19">
        <v>4.9000000000000004</v>
      </c>
      <c r="CQ5" s="19">
        <v>0</v>
      </c>
      <c r="CR5" s="19">
        <v>0.6</v>
      </c>
      <c r="CS5" s="19">
        <v>16.3</v>
      </c>
      <c r="CT5" s="19">
        <v>3.5999999999999996</v>
      </c>
      <c r="CU5" s="19">
        <v>0</v>
      </c>
      <c r="CV5" s="19">
        <v>0.6</v>
      </c>
      <c r="CW5" s="27" t="s">
        <v>46</v>
      </c>
      <c r="CX5" s="40">
        <f t="shared" si="29"/>
        <v>9.35</v>
      </c>
      <c r="CY5" s="40">
        <f t="shared" si="30"/>
        <v>43.250000000000007</v>
      </c>
      <c r="CZ5" s="40">
        <f t="shared" si="31"/>
        <v>21.099999999999998</v>
      </c>
      <c r="DA5" s="40">
        <f t="shared" si="32"/>
        <v>13.75</v>
      </c>
      <c r="DB5" s="40">
        <f t="shared" si="33"/>
        <v>64.350000000000009</v>
      </c>
      <c r="DC5" s="40">
        <f t="shared" si="34"/>
        <v>8.5</v>
      </c>
      <c r="DD5" s="40">
        <f t="shared" si="35"/>
        <v>42.900000000000006</v>
      </c>
      <c r="DE5" s="40">
        <f t="shared" si="36"/>
        <v>107.25000000000001</v>
      </c>
      <c r="DF5" s="50">
        <f t="shared" si="37"/>
        <v>2.2499999999999929</v>
      </c>
      <c r="DG5" s="50" t="str">
        <f t="shared" si="38"/>
        <v/>
      </c>
      <c r="DH5" s="50" t="str">
        <f t="shared" si="39"/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 t="shared" si="40"/>
        <v/>
      </c>
      <c r="ED5" s="40" t="str">
        <f t="shared" si="41"/>
        <v/>
      </c>
      <c r="EE5" s="40" t="str">
        <f t="shared" si="42"/>
        <v/>
      </c>
      <c r="EF5" s="40" t="str">
        <f t="shared" si="43"/>
        <v/>
      </c>
      <c r="EG5" s="40" t="str">
        <f t="shared" si="44"/>
        <v/>
      </c>
      <c r="EH5" s="40" t="str">
        <f t="shared" si="45"/>
        <v/>
      </c>
      <c r="EI5" s="40" t="str">
        <f t="shared" si="46"/>
        <v/>
      </c>
      <c r="EJ5" s="40" t="str">
        <f t="shared" si="47"/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1" t="str">
        <f t="shared" si="54"/>
        <v/>
      </c>
      <c r="FL5" s="11" t="str">
        <f t="shared" si="55"/>
        <v/>
      </c>
      <c r="FM5" s="17">
        <v>17.2</v>
      </c>
      <c r="FN5" s="17">
        <v>6.1</v>
      </c>
      <c r="FO5" s="17">
        <v>0</v>
      </c>
      <c r="FP5" s="17">
        <v>0</v>
      </c>
      <c r="FQ5" s="17">
        <v>17.2</v>
      </c>
      <c r="FR5" s="17">
        <v>5</v>
      </c>
      <c r="FS5" s="17">
        <v>0</v>
      </c>
      <c r="FT5" s="17">
        <v>0</v>
      </c>
      <c r="FU5" s="17">
        <v>16.600000000000001</v>
      </c>
      <c r="FV5" s="17">
        <v>6.1</v>
      </c>
      <c r="FW5" s="17">
        <v>0.4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 t="shared" si="56"/>
        <v>11.1</v>
      </c>
      <c r="GH5" s="40">
        <f t="shared" si="57"/>
        <v>45.5</v>
      </c>
      <c r="GI5" s="40">
        <f t="shared" si="58"/>
        <v>22.300000000000004</v>
      </c>
      <c r="GJ5" s="40">
        <f t="shared" si="59"/>
        <v>17.2</v>
      </c>
      <c r="GK5" s="40">
        <f t="shared" si="60"/>
        <v>67.800000000000011</v>
      </c>
      <c r="GL5" s="40" t="str">
        <f t="shared" si="61"/>
        <v/>
      </c>
      <c r="GM5" s="40" t="str">
        <f t="shared" si="62"/>
        <v/>
      </c>
      <c r="GN5" s="40">
        <f t="shared" si="63"/>
        <v>67.800000000000011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1" t="str">
        <f t="shared" si="70"/>
        <v/>
      </c>
      <c r="HP5" s="11" t="str">
        <f t="shared" si="71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2"/>
        <v/>
      </c>
      <c r="IL5" s="40" t="str">
        <f t="shared" si="73"/>
        <v/>
      </c>
      <c r="IM5" s="40" t="str">
        <f t="shared" si="74"/>
        <v/>
      </c>
      <c r="IN5" s="40" t="str">
        <f t="shared" si="75"/>
        <v/>
      </c>
      <c r="IO5" s="40" t="str">
        <f t="shared" si="76"/>
        <v/>
      </c>
      <c r="IP5" s="40" t="str">
        <f t="shared" si="77"/>
        <v/>
      </c>
      <c r="IQ5" s="40" t="str">
        <f t="shared" si="78"/>
        <v/>
      </c>
      <c r="IR5" s="40" t="str">
        <f t="shared" si="79"/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1" t="str">
        <f t="shared" si="86"/>
        <v/>
      </c>
      <c r="JT5" s="11" t="str">
        <f t="shared" si="87"/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16.850000000000001</v>
      </c>
      <c r="QH5" s="22">
        <f t="shared" si="137"/>
        <v>4.6500000000000004</v>
      </c>
      <c r="QI5" s="22">
        <f t="shared" si="138"/>
        <v>0</v>
      </c>
      <c r="QJ5" s="22">
        <f t="shared" si="139"/>
        <v>0.44999999999999996</v>
      </c>
      <c r="QK5" s="22">
        <f t="shared" si="140"/>
        <v>16</v>
      </c>
      <c r="QL5" s="22">
        <f t="shared" si="141"/>
        <v>4.6999999999999993</v>
      </c>
      <c r="QM5" s="22">
        <f t="shared" si="142"/>
        <v>0</v>
      </c>
      <c r="QN5" s="22">
        <f t="shared" si="143"/>
        <v>0.6</v>
      </c>
      <c r="QO5" s="22">
        <f t="shared" si="144"/>
        <v>16.25</v>
      </c>
      <c r="QP5" s="22">
        <f t="shared" si="145"/>
        <v>4.4000000000000004</v>
      </c>
      <c r="QQ5" s="22">
        <f t="shared" si="146"/>
        <v>0</v>
      </c>
      <c r="QR5" s="22">
        <f t="shared" si="147"/>
        <v>0.44999999999999996</v>
      </c>
      <c r="QS5" s="22">
        <f t="shared" si="148"/>
        <v>16.899999999999999</v>
      </c>
      <c r="QT5" s="22">
        <f t="shared" si="149"/>
        <v>4.9000000000000004</v>
      </c>
      <c r="QU5" s="22">
        <f t="shared" si="150"/>
        <v>0</v>
      </c>
      <c r="QV5" s="22">
        <f t="shared" si="151"/>
        <v>0.6</v>
      </c>
      <c r="QW5" s="22">
        <f t="shared" si="152"/>
        <v>16.3</v>
      </c>
      <c r="QX5" s="22">
        <f t="shared" si="153"/>
        <v>3.5999999999999996</v>
      </c>
      <c r="QY5" s="22">
        <f t="shared" si="154"/>
        <v>0</v>
      </c>
      <c r="QZ5" s="22">
        <f t="shared" si="155"/>
        <v>0.6</v>
      </c>
      <c r="RA5" s="27" t="s">
        <v>46</v>
      </c>
      <c r="RB5" s="40">
        <f t="shared" si="156"/>
        <v>9.35</v>
      </c>
      <c r="RC5" s="40">
        <f t="shared" si="157"/>
        <v>43.250000000000007</v>
      </c>
      <c r="RD5" s="40">
        <f t="shared" si="158"/>
        <v>21.099999999999998</v>
      </c>
      <c r="RE5" s="40">
        <f t="shared" si="159"/>
        <v>13.75</v>
      </c>
      <c r="RF5" s="40">
        <f t="shared" si="160"/>
        <v>64.350000000000009</v>
      </c>
      <c r="RG5" s="40">
        <f t="shared" si="161"/>
        <v>8.5</v>
      </c>
      <c r="RH5" s="40">
        <f t="shared" si="162"/>
        <v>42.900000000000006</v>
      </c>
      <c r="RI5" s="40">
        <f t="shared" si="163"/>
        <v>107.25000000000001</v>
      </c>
    </row>
    <row r="6" spans="1:477" x14ac:dyDescent="0.2">
      <c r="A6" s="4" cm="1">
        <f t="array" ref="A6">IF(AND(J6&lt;&gt;"",J6&lt;&gt;"No DD"),SUMPRODUCT((J$4:J$27&lt;&gt;"")*(J$4:J$27&lt;&gt;"No DD")*(F$4:F$27&gt;F6))+1,IF(J6="No DD",SUMPRODUCT((J$4:J$27="No DD")*(F$4:F$27&gt;F6))+1+SUMPRODUCT((J$4:J$27&lt;&gt;"")*(J$4:J$27&lt;&gt;"No DD")),""))</f>
        <v>3</v>
      </c>
      <c r="B6" s="4" t="str" cm="1">
        <f t="array" ref="B6">IF(AND(J6&lt;&gt;"",J6&lt;&gt;"No DD",G6=""),SUMPRODUCT((J$4:J$27&lt;&gt;"")*(J$4:J$27&lt;&gt;"No DD")*(G$4:G$27="")*(F$4:F$27&gt;F6))+1,IF(J6="No DD",SUMPRODUCT((J$4:J$27="No DD")*(F$4:F$27&gt;F6)*(G$4:G$27=""))+1+SUMPRODUCT((J$4:J$27&lt;&gt;"")*(G$4:G$27="")*(J$4:J$27&lt;&gt;"No DD")),""))</f>
        <v/>
      </c>
      <c r="C6" s="5" t="s">
        <v>99</v>
      </c>
      <c r="D6" s="4" t="s">
        <v>4</v>
      </c>
      <c r="E6" s="4">
        <v>2003</v>
      </c>
      <c r="F6" s="9">
        <f t="shared" si="0"/>
        <v>154.70001093000445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44.699999999999996</v>
      </c>
      <c r="M6" s="8" t="str">
        <f t="shared" si="5"/>
        <v>2023 Nationals</v>
      </c>
      <c r="N6" s="8">
        <f>IF(COUNT(AS6,BV6,CY6)&gt;1,LARGE((AS6,BV6,CY6),2),0)</f>
        <v>43.500000000000007</v>
      </c>
      <c r="O6" s="8" t="str">
        <f t="shared" si="6"/>
        <v>2023 3rd Domestic Trial</v>
      </c>
      <c r="P6" s="8">
        <f>IF(COUNT(AT6,BW6,CZ6)&gt;0,LARGE((AT6,BW6,CZ6),1),0)</f>
        <v>21.099999999999998</v>
      </c>
      <c r="Q6" s="8" t="str">
        <f t="shared" si="7"/>
        <v>2023 Nationals</v>
      </c>
      <c r="R6" s="8">
        <f t="shared" si="8"/>
        <v>45.300000000000004</v>
      </c>
      <c r="S6" s="8" t="str">
        <f t="shared" si="9"/>
        <v>2023 Nationals</v>
      </c>
      <c r="T6" s="8">
        <f t="shared" si="10"/>
        <v>9.999999999998721E-2</v>
      </c>
      <c r="U6" s="11" t="str">
        <f t="shared" si="11"/>
        <v>(Q1)</v>
      </c>
      <c r="V6" s="8" t="str">
        <f t="shared" si="12"/>
        <v>2023 World Championships (Nov 11)</v>
      </c>
      <c r="W6" s="19">
        <v>17.399999999999999</v>
      </c>
      <c r="X6" s="19">
        <v>4.3</v>
      </c>
      <c r="Y6" s="19">
        <v>0</v>
      </c>
      <c r="Z6" s="19">
        <v>0.3</v>
      </c>
      <c r="AA6" s="19">
        <v>17.5</v>
      </c>
      <c r="AB6" s="19">
        <v>4.8</v>
      </c>
      <c r="AC6" s="19">
        <v>0.2</v>
      </c>
      <c r="AD6" s="19">
        <v>0.6</v>
      </c>
      <c r="AE6" s="19">
        <v>16.7</v>
      </c>
      <c r="AF6" s="19">
        <v>4.0999999999999996</v>
      </c>
      <c r="AG6" s="19">
        <v>0</v>
      </c>
      <c r="AH6" s="19">
        <v>0.3</v>
      </c>
      <c r="AI6" s="19">
        <v>17.399999999999999</v>
      </c>
      <c r="AJ6" s="19">
        <v>4.8</v>
      </c>
      <c r="AK6" s="19">
        <v>0</v>
      </c>
      <c r="AL6" s="19">
        <v>0.6</v>
      </c>
      <c r="AM6" s="19">
        <v>17.3</v>
      </c>
      <c r="AN6" s="19">
        <v>4.5999999999999996</v>
      </c>
      <c r="AO6" s="19">
        <v>0</v>
      </c>
      <c r="AP6" s="19">
        <v>0.6</v>
      </c>
      <c r="AQ6" s="27"/>
      <c r="AR6" s="40">
        <f t="shared" si="13"/>
        <v>9.1</v>
      </c>
      <c r="AS6" s="40">
        <f t="shared" si="14"/>
        <v>44.699999999999996</v>
      </c>
      <c r="AT6" s="40">
        <f t="shared" si="15"/>
        <v>21.099999999999998</v>
      </c>
      <c r="AU6" s="40">
        <f t="shared" si="16"/>
        <v>13.2</v>
      </c>
      <c r="AV6" s="40">
        <f t="shared" si="17"/>
        <v>65.8</v>
      </c>
      <c r="AW6" s="40">
        <f t="shared" si="18"/>
        <v>9.3999999999999986</v>
      </c>
      <c r="AX6" s="40">
        <f t="shared" si="19"/>
        <v>45.300000000000004</v>
      </c>
      <c r="AY6" s="40">
        <f t="shared" si="20"/>
        <v>111.1</v>
      </c>
      <c r="AZ6" s="18">
        <v>17.5</v>
      </c>
      <c r="BA6" s="18">
        <v>4.3</v>
      </c>
      <c r="BB6" s="18">
        <v>0</v>
      </c>
      <c r="BC6" s="18">
        <v>0.3</v>
      </c>
      <c r="BD6" s="18">
        <v>16.600000000000001</v>
      </c>
      <c r="BE6" s="18">
        <v>4.5999999999999996</v>
      </c>
      <c r="BF6" s="18">
        <v>0.4</v>
      </c>
      <c r="BG6" s="18">
        <v>0.6</v>
      </c>
      <c r="BH6" s="18">
        <v>16</v>
      </c>
      <c r="BI6" s="18">
        <v>1.9</v>
      </c>
      <c r="BJ6" s="18">
        <v>0</v>
      </c>
      <c r="BK6" s="18">
        <v>0.3</v>
      </c>
      <c r="BL6" s="18">
        <v>17.2</v>
      </c>
      <c r="BM6" s="18">
        <v>4.3499999999999996</v>
      </c>
      <c r="BN6" s="18">
        <v>0.1</v>
      </c>
      <c r="BO6" s="18">
        <v>0.44999999999999996</v>
      </c>
      <c r="BP6" s="18">
        <v>16.850000000000001</v>
      </c>
      <c r="BQ6" s="18">
        <v>3.25</v>
      </c>
      <c r="BR6" s="18">
        <v>0</v>
      </c>
      <c r="BS6" s="18">
        <v>0.44999999999999996</v>
      </c>
      <c r="BT6" s="28"/>
      <c r="BU6" s="11">
        <f t="shared" si="21"/>
        <v>8.8999999999999986</v>
      </c>
      <c r="BV6" s="11">
        <f t="shared" si="22"/>
        <v>43.500000000000007</v>
      </c>
      <c r="BW6" s="11">
        <f t="shared" si="23"/>
        <v>18.2</v>
      </c>
      <c r="BX6" s="11">
        <f t="shared" si="24"/>
        <v>10.799999999999999</v>
      </c>
      <c r="BY6" s="11">
        <f t="shared" si="25"/>
        <v>61.7</v>
      </c>
      <c r="BZ6" s="11">
        <f t="shared" si="26"/>
        <v>7.6</v>
      </c>
      <c r="CA6" s="11">
        <f t="shared" si="27"/>
        <v>42.449999999999996</v>
      </c>
      <c r="CB6" s="11">
        <f t="shared" si="28"/>
        <v>104.15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64"/>
      <c r="CP6" s="64"/>
      <c r="CQ6" s="64"/>
      <c r="CR6" s="64"/>
      <c r="CS6" s="64"/>
      <c r="CT6" s="64"/>
      <c r="CU6" s="64"/>
      <c r="CV6" s="64"/>
      <c r="CW6" s="27"/>
      <c r="CX6" s="40" t="str">
        <f t="shared" si="29"/>
        <v/>
      </c>
      <c r="CY6" s="40" t="str">
        <f t="shared" si="30"/>
        <v/>
      </c>
      <c r="CZ6" s="40" t="str">
        <f t="shared" si="31"/>
        <v/>
      </c>
      <c r="DA6" s="40" t="str">
        <f t="shared" si="32"/>
        <v/>
      </c>
      <c r="DB6" s="40" t="str">
        <f t="shared" si="33"/>
        <v/>
      </c>
      <c r="DC6" s="65" t="str">
        <f t="shared" si="34"/>
        <v/>
      </c>
      <c r="DD6" s="65" t="str">
        <f t="shared" si="35"/>
        <v/>
      </c>
      <c r="DE6" s="40" t="str">
        <f t="shared" si="36"/>
        <v/>
      </c>
      <c r="DF6" s="50">
        <f t="shared" si="37"/>
        <v>9.999999999998721E-2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 t="str">
        <f t="shared" si="45"/>
        <v/>
      </c>
      <c r="EI6" s="40" t="str">
        <f t="shared" si="46"/>
        <v/>
      </c>
      <c r="EJ6" s="40" t="str">
        <f t="shared" si="47"/>
        <v/>
      </c>
      <c r="EK6" s="18">
        <v>16.8</v>
      </c>
      <c r="EL6" s="18">
        <v>1.9</v>
      </c>
      <c r="EM6" s="18">
        <v>0</v>
      </c>
      <c r="EN6" s="18">
        <v>0</v>
      </c>
      <c r="EO6" s="18">
        <v>16.600000000000001</v>
      </c>
      <c r="EP6" s="18">
        <v>3.5</v>
      </c>
      <c r="EQ6" s="18">
        <v>0.4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 t="shared" si="48"/>
        <v>5.4</v>
      </c>
      <c r="FF6" s="11">
        <f t="shared" si="49"/>
        <v>38.4</v>
      </c>
      <c r="FG6" s="11" t="str">
        <f t="shared" si="50"/>
        <v/>
      </c>
      <c r="FH6" s="11">
        <f t="shared" si="51"/>
        <v>5.4</v>
      </c>
      <c r="FI6" s="11">
        <f t="shared" si="52"/>
        <v>38.4</v>
      </c>
      <c r="FJ6" s="11" t="str">
        <f t="shared" si="53"/>
        <v/>
      </c>
      <c r="FK6" s="11" t="str">
        <f t="shared" si="54"/>
        <v/>
      </c>
      <c r="FL6" s="11">
        <f t="shared" si="55"/>
        <v>38.4</v>
      </c>
      <c r="FM6" s="17">
        <v>17.600000000000001</v>
      </c>
      <c r="FN6" s="17">
        <v>3.9</v>
      </c>
      <c r="FO6" s="17">
        <v>0.2</v>
      </c>
      <c r="FP6" s="17">
        <v>0</v>
      </c>
      <c r="FQ6" s="17">
        <v>18</v>
      </c>
      <c r="FR6" s="17">
        <v>4.3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 t="shared" si="56"/>
        <v>8.1999999999999993</v>
      </c>
      <c r="GH6" s="40">
        <f t="shared" si="57"/>
        <v>43.599999999999994</v>
      </c>
      <c r="GI6" s="40" t="str">
        <f t="shared" si="58"/>
        <v/>
      </c>
      <c r="GJ6" s="40">
        <f t="shared" si="59"/>
        <v>8.1999999999999993</v>
      </c>
      <c r="GK6" s="40">
        <f t="shared" si="60"/>
        <v>43.599999999999994</v>
      </c>
      <c r="GL6" s="40" t="str">
        <f t="shared" si="61"/>
        <v/>
      </c>
      <c r="GM6" s="40" t="str">
        <f t="shared" si="62"/>
        <v/>
      </c>
      <c r="GN6" s="40">
        <f t="shared" si="63"/>
        <v>43.599999999999994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1" t="str">
        <f t="shared" si="70"/>
        <v/>
      </c>
      <c r="HP6" s="11" t="str">
        <f t="shared" si="71"/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80"/>
        <v/>
      </c>
      <c r="JN6" s="11" t="str">
        <f t="shared" si="81"/>
        <v/>
      </c>
      <c r="JO6" s="11" t="str">
        <f t="shared" si="82"/>
        <v/>
      </c>
      <c r="JP6" s="11" t="str">
        <f t="shared" si="83"/>
        <v/>
      </c>
      <c r="JQ6" s="11" t="str">
        <f t="shared" si="84"/>
        <v/>
      </c>
      <c r="JR6" s="11" t="str">
        <f t="shared" si="85"/>
        <v/>
      </c>
      <c r="JS6" s="11" t="str">
        <f t="shared" si="86"/>
        <v/>
      </c>
      <c r="JT6" s="11" t="str">
        <f t="shared" si="87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8.75</v>
      </c>
      <c r="QH6" s="22">
        <f t="shared" si="137"/>
        <v>2.15</v>
      </c>
      <c r="QI6" s="22">
        <f t="shared" si="138"/>
        <v>0</v>
      </c>
      <c r="QJ6" s="22">
        <f t="shared" si="139"/>
        <v>0.15</v>
      </c>
      <c r="QK6" s="22">
        <f t="shared" si="140"/>
        <v>8.3000000000000007</v>
      </c>
      <c r="QL6" s="22">
        <f t="shared" si="141"/>
        <v>2.2999999999999998</v>
      </c>
      <c r="QM6" s="22">
        <f t="shared" si="142"/>
        <v>0.2</v>
      </c>
      <c r="QN6" s="22">
        <f t="shared" si="143"/>
        <v>0.3</v>
      </c>
      <c r="QO6" s="22">
        <f t="shared" si="144"/>
        <v>8</v>
      </c>
      <c r="QP6" s="22">
        <f t="shared" si="145"/>
        <v>0.95</v>
      </c>
      <c r="QQ6" s="22">
        <f t="shared" si="146"/>
        <v>0</v>
      </c>
      <c r="QR6" s="22">
        <f t="shared" si="147"/>
        <v>0.15</v>
      </c>
      <c r="QS6" s="22">
        <f t="shared" si="148"/>
        <v>8.6</v>
      </c>
      <c r="QT6" s="22">
        <f t="shared" si="149"/>
        <v>2.1749999999999998</v>
      </c>
      <c r="QU6" s="22">
        <f t="shared" si="150"/>
        <v>0.05</v>
      </c>
      <c r="QV6" s="22">
        <f t="shared" si="151"/>
        <v>0.22499999999999998</v>
      </c>
      <c r="QW6" s="22">
        <f t="shared" si="152"/>
        <v>8.4250000000000007</v>
      </c>
      <c r="QX6" s="22">
        <f t="shared" si="153"/>
        <v>1.625</v>
      </c>
      <c r="QY6" s="22">
        <f t="shared" si="154"/>
        <v>0</v>
      </c>
      <c r="QZ6" s="22">
        <f t="shared" si="155"/>
        <v>0.22499999999999998</v>
      </c>
      <c r="RA6" s="27" t="s">
        <v>46</v>
      </c>
      <c r="RB6" s="40">
        <f t="shared" si="156"/>
        <v>4.4499999999999993</v>
      </c>
      <c r="RC6" s="40">
        <f t="shared" si="157"/>
        <v>21.750000000000004</v>
      </c>
      <c r="RD6" s="40">
        <f t="shared" si="158"/>
        <v>9.1</v>
      </c>
      <c r="RE6" s="40">
        <f t="shared" si="159"/>
        <v>5.3999999999999995</v>
      </c>
      <c r="RF6" s="40">
        <f t="shared" si="160"/>
        <v>30.85</v>
      </c>
      <c r="RG6" s="40">
        <f t="shared" si="161"/>
        <v>3.8</v>
      </c>
      <c r="RH6" s="40">
        <f t="shared" si="162"/>
        <v>21.224999999999998</v>
      </c>
      <c r="RI6" s="40">
        <f t="shared" si="163"/>
        <v>52.075000000000003</v>
      </c>
    </row>
    <row r="7" spans="1:477" x14ac:dyDescent="0.2">
      <c r="A7" s="4" cm="1">
        <f t="array" ref="A7">IF(AND(J7&lt;&gt;"",J7&lt;&gt;"No DD"),SUMPRODUCT((J$4:J$27&lt;&gt;"")*(J$4:J$27&lt;&gt;"No DD")*(F$4:F$27&gt;F7))+1,IF(J7="No DD",SUMPRODUCT((J$4:J$27="No DD")*(F$4:F$27&gt;F7))+1+SUMPRODUCT((J$4:J$27&lt;&gt;"")*(J$4:J$27&lt;&gt;"No DD")),""))</f>
        <v>4</v>
      </c>
      <c r="B7" s="4" t="str" cm="1">
        <f t="array" ref="B7">IF(AND(J7&lt;&gt;"",J7&lt;&gt;"No DD",G7=""),SUMPRODUCT((J$4:J$27&lt;&gt;"")*(J$4:J$27&lt;&gt;"No DD")*(G$4:G$27="")*(F$4:F$27&gt;F7))+1,IF(J7="No DD",SUMPRODUCT((J$4:J$27="No DD")*(F$4:F$27&gt;F7)*(G$4:G$27=""))+1+SUMPRODUCT((J$4:J$27&lt;&gt;"")*(G$4:G$27="")*(J$4:J$27&lt;&gt;"No DD")),""))</f>
        <v/>
      </c>
      <c r="C7" s="5" t="s">
        <v>108</v>
      </c>
      <c r="D7" s="4" t="s">
        <v>4</v>
      </c>
      <c r="E7" s="4">
        <v>2003</v>
      </c>
      <c r="F7" s="9">
        <f t="shared" si="0"/>
        <v>153.80001087000446</v>
      </c>
      <c r="G7" s="66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44.300000000000004</v>
      </c>
      <c r="M7" s="8" t="str">
        <f t="shared" si="5"/>
        <v>2023 3rd Domestic Trial</v>
      </c>
      <c r="N7" s="8">
        <f>IF(COUNT(AS7,BV7,CY7)&gt;1,LARGE((AS7,BV7,CY7),2),0)</f>
        <v>42.900000000000006</v>
      </c>
      <c r="O7" s="8" t="str">
        <f t="shared" si="6"/>
        <v>2023 Nationals</v>
      </c>
      <c r="P7" s="8">
        <f>IF(COUNT(AT7,BW7,CZ7)&gt;0,LARGE((AT7,BW7,CZ7),1),0)</f>
        <v>21.5</v>
      </c>
      <c r="Q7" s="8" t="str">
        <f t="shared" si="7"/>
        <v>2023 Nationals</v>
      </c>
      <c r="R7" s="8">
        <f t="shared" si="8"/>
        <v>44.599999999999994</v>
      </c>
      <c r="S7" s="8" t="str">
        <f t="shared" si="9"/>
        <v>2023 Nationals</v>
      </c>
      <c r="T7" s="8">
        <f t="shared" si="10"/>
        <v>0.49999999999999289</v>
      </c>
      <c r="U7" s="11" t="str">
        <f t="shared" si="11"/>
        <v>(Q1)</v>
      </c>
      <c r="V7" s="8" t="str">
        <f t="shared" si="12"/>
        <v>2023 World Cup USA (Aug 5)</v>
      </c>
      <c r="W7" s="19">
        <v>17.2</v>
      </c>
      <c r="X7" s="19">
        <v>4.3</v>
      </c>
      <c r="Y7" s="19">
        <v>0</v>
      </c>
      <c r="Z7" s="19">
        <v>0.3</v>
      </c>
      <c r="AA7" s="19">
        <v>15.9</v>
      </c>
      <c r="AB7" s="19">
        <v>4.5999999999999996</v>
      </c>
      <c r="AC7" s="19">
        <v>0</v>
      </c>
      <c r="AD7" s="19">
        <v>0.6</v>
      </c>
      <c r="AE7" s="19">
        <v>16.3</v>
      </c>
      <c r="AF7" s="19">
        <v>4.5999999999999996</v>
      </c>
      <c r="AG7" s="19">
        <v>0</v>
      </c>
      <c r="AH7" s="19">
        <v>0.6</v>
      </c>
      <c r="AI7" s="19">
        <v>16.7</v>
      </c>
      <c r="AJ7" s="19">
        <v>4.5999999999999996</v>
      </c>
      <c r="AK7" s="19">
        <v>0.2</v>
      </c>
      <c r="AL7" s="19">
        <v>0.6</v>
      </c>
      <c r="AM7" s="19">
        <v>18.3</v>
      </c>
      <c r="AN7" s="19">
        <v>4.3</v>
      </c>
      <c r="AO7" s="19">
        <v>0</v>
      </c>
      <c r="AP7" s="19">
        <v>0.3</v>
      </c>
      <c r="AQ7" s="27"/>
      <c r="AR7" s="40">
        <f t="shared" si="13"/>
        <v>8.8999999999999986</v>
      </c>
      <c r="AS7" s="40">
        <f t="shared" si="14"/>
        <v>42.900000000000006</v>
      </c>
      <c r="AT7" s="40">
        <f t="shared" si="15"/>
        <v>21.5</v>
      </c>
      <c r="AU7" s="40">
        <f t="shared" si="16"/>
        <v>13.499999999999998</v>
      </c>
      <c r="AV7" s="40">
        <f t="shared" si="17"/>
        <v>64.400000000000006</v>
      </c>
      <c r="AW7" s="40">
        <f t="shared" si="18"/>
        <v>8.8999999999999986</v>
      </c>
      <c r="AX7" s="40">
        <f t="shared" si="19"/>
        <v>44.599999999999994</v>
      </c>
      <c r="AY7" s="40">
        <f t="shared" si="20"/>
        <v>109</v>
      </c>
      <c r="AZ7" s="18">
        <v>17.5</v>
      </c>
      <c r="BA7" s="18">
        <v>4.3</v>
      </c>
      <c r="BB7" s="18">
        <v>0</v>
      </c>
      <c r="BC7" s="18">
        <v>0.3</v>
      </c>
      <c r="BD7" s="18">
        <v>17</v>
      </c>
      <c r="BE7" s="18">
        <v>4.5999999999999996</v>
      </c>
      <c r="BF7" s="18">
        <v>0</v>
      </c>
      <c r="BG7" s="18">
        <v>0.6</v>
      </c>
      <c r="BH7" s="18">
        <v>15</v>
      </c>
      <c r="BI7" s="18">
        <v>4.5999999999999996</v>
      </c>
      <c r="BJ7" s="18">
        <v>0</v>
      </c>
      <c r="BK7" s="18">
        <v>0.6</v>
      </c>
      <c r="BL7" s="18">
        <v>15.1</v>
      </c>
      <c r="BM7" s="18">
        <v>3.9</v>
      </c>
      <c r="BN7" s="18">
        <v>0.2</v>
      </c>
      <c r="BO7" s="18">
        <v>0.3</v>
      </c>
      <c r="BP7" s="18">
        <v>16.899999999999999</v>
      </c>
      <c r="BQ7" s="18">
        <v>4.8</v>
      </c>
      <c r="BR7" s="18">
        <v>0</v>
      </c>
      <c r="BS7" s="18">
        <v>0.6</v>
      </c>
      <c r="BT7" s="28"/>
      <c r="BU7" s="11">
        <f t="shared" si="21"/>
        <v>8.8999999999999986</v>
      </c>
      <c r="BV7" s="11">
        <f t="shared" si="22"/>
        <v>44.300000000000004</v>
      </c>
      <c r="BW7" s="11">
        <f t="shared" si="23"/>
        <v>20.200000000000003</v>
      </c>
      <c r="BX7" s="11">
        <f t="shared" si="24"/>
        <v>13.499999999999998</v>
      </c>
      <c r="BY7" s="11">
        <f t="shared" si="25"/>
        <v>64.5</v>
      </c>
      <c r="BZ7" s="11">
        <f t="shared" si="26"/>
        <v>8.6999999999999993</v>
      </c>
      <c r="CA7" s="11">
        <f t="shared" si="27"/>
        <v>41.4</v>
      </c>
      <c r="CB7" s="11">
        <f t="shared" si="28"/>
        <v>105.9</v>
      </c>
      <c r="CC7" s="19">
        <v>16.5</v>
      </c>
      <c r="CD7" s="19">
        <v>3.4</v>
      </c>
      <c r="CE7" s="19">
        <v>0.2</v>
      </c>
      <c r="CF7" s="19">
        <v>0.3</v>
      </c>
      <c r="CG7" s="19">
        <v>17.899999999999999</v>
      </c>
      <c r="CH7" s="19">
        <v>1.9</v>
      </c>
      <c r="CI7" s="19">
        <v>3</v>
      </c>
      <c r="CJ7" s="19">
        <v>0.3</v>
      </c>
      <c r="CK7" s="19">
        <v>15.8</v>
      </c>
      <c r="CL7" s="19">
        <v>2.9</v>
      </c>
      <c r="CM7" s="19">
        <v>0</v>
      </c>
      <c r="CN7" s="19">
        <v>0.3</v>
      </c>
      <c r="CO7" s="19">
        <v>16.5</v>
      </c>
      <c r="CP7" s="19">
        <v>6.1</v>
      </c>
      <c r="CQ7" s="19">
        <v>0</v>
      </c>
      <c r="CR7" s="19">
        <v>0.3</v>
      </c>
      <c r="CS7" s="19">
        <v>17.3</v>
      </c>
      <c r="CT7" s="19">
        <v>1.9</v>
      </c>
      <c r="CU7" s="19">
        <v>1</v>
      </c>
      <c r="CV7" s="19">
        <v>0.3</v>
      </c>
      <c r="CW7" s="27"/>
      <c r="CX7" s="40">
        <f t="shared" si="29"/>
        <v>5.3</v>
      </c>
      <c r="CY7" s="40">
        <f t="shared" si="30"/>
        <v>37.099999999999987</v>
      </c>
      <c r="CZ7" s="40">
        <f t="shared" si="31"/>
        <v>19</v>
      </c>
      <c r="DA7" s="40">
        <f t="shared" si="32"/>
        <v>8.1999999999999993</v>
      </c>
      <c r="DB7" s="40">
        <f t="shared" si="33"/>
        <v>56.099999999999987</v>
      </c>
      <c r="DC7" s="40">
        <f t="shared" si="34"/>
        <v>8</v>
      </c>
      <c r="DD7" s="40">
        <f t="shared" si="35"/>
        <v>41.4</v>
      </c>
      <c r="DE7" s="40">
        <f t="shared" si="36"/>
        <v>97.499999999999986</v>
      </c>
      <c r="DF7" s="50">
        <f t="shared" si="37"/>
        <v>0.49999999999999289</v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 t="shared" si="48"/>
        <v>8</v>
      </c>
      <c r="FF7" s="11">
        <f t="shared" si="49"/>
        <v>43.4</v>
      </c>
      <c r="FG7" s="11" t="str">
        <f t="shared" si="50"/>
        <v/>
      </c>
      <c r="FH7" s="11">
        <f t="shared" si="51"/>
        <v>8</v>
      </c>
      <c r="FI7" s="11">
        <f t="shared" si="52"/>
        <v>43.4</v>
      </c>
      <c r="FJ7" s="11">
        <f t="shared" si="53"/>
        <v>5</v>
      </c>
      <c r="FK7" s="11">
        <f t="shared" si="54"/>
        <v>22.7</v>
      </c>
      <c r="FL7" s="11">
        <f t="shared" si="55"/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 t="shared" si="56"/>
        <v>7.8</v>
      </c>
      <c r="GH7" s="40">
        <f t="shared" si="57"/>
        <v>40.9</v>
      </c>
      <c r="GI7" s="40" t="str">
        <f t="shared" si="58"/>
        <v/>
      </c>
      <c r="GJ7" s="40">
        <f t="shared" si="59"/>
        <v>7.8</v>
      </c>
      <c r="GK7" s="40">
        <f t="shared" si="60"/>
        <v>40.9</v>
      </c>
      <c r="GL7" s="40" t="str">
        <f t="shared" si="61"/>
        <v/>
      </c>
      <c r="GM7" s="40" t="str">
        <f t="shared" si="62"/>
        <v/>
      </c>
      <c r="GN7" s="40">
        <f t="shared" si="63"/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1" t="str">
        <f t="shared" si="86"/>
        <v/>
      </c>
      <c r="JT7" s="11" t="str">
        <f t="shared" si="87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17</v>
      </c>
      <c r="QH7" s="22">
        <f t="shared" si="137"/>
        <v>3.8499999999999996</v>
      </c>
      <c r="QI7" s="22">
        <f t="shared" si="138"/>
        <v>0.1</v>
      </c>
      <c r="QJ7" s="22">
        <f t="shared" si="139"/>
        <v>0.3</v>
      </c>
      <c r="QK7" s="22">
        <f t="shared" si="140"/>
        <v>17.45</v>
      </c>
      <c r="QL7" s="22">
        <f t="shared" si="141"/>
        <v>3.25</v>
      </c>
      <c r="QM7" s="22">
        <f t="shared" si="142"/>
        <v>1.5</v>
      </c>
      <c r="QN7" s="22">
        <f t="shared" si="143"/>
        <v>0.44999999999999996</v>
      </c>
      <c r="QO7" s="22">
        <f t="shared" si="144"/>
        <v>15.4</v>
      </c>
      <c r="QP7" s="22">
        <f t="shared" si="145"/>
        <v>3.75</v>
      </c>
      <c r="QQ7" s="22">
        <f t="shared" si="146"/>
        <v>0</v>
      </c>
      <c r="QR7" s="22">
        <f t="shared" si="147"/>
        <v>0.44999999999999996</v>
      </c>
      <c r="QS7" s="22">
        <f t="shared" si="148"/>
        <v>15.8</v>
      </c>
      <c r="QT7" s="22">
        <f t="shared" si="149"/>
        <v>5</v>
      </c>
      <c r="QU7" s="22">
        <f t="shared" si="150"/>
        <v>0.1</v>
      </c>
      <c r="QV7" s="22">
        <f t="shared" si="151"/>
        <v>0.3</v>
      </c>
      <c r="QW7" s="22">
        <f t="shared" si="152"/>
        <v>17.100000000000001</v>
      </c>
      <c r="QX7" s="22">
        <f t="shared" si="153"/>
        <v>3.3499999999999996</v>
      </c>
      <c r="QY7" s="22">
        <f t="shared" si="154"/>
        <v>0.5</v>
      </c>
      <c r="QZ7" s="22">
        <f t="shared" si="155"/>
        <v>0.44999999999999996</v>
      </c>
      <c r="RA7" s="27" t="s">
        <v>46</v>
      </c>
      <c r="RB7" s="40">
        <f t="shared" si="156"/>
        <v>7.1</v>
      </c>
      <c r="RC7" s="40">
        <f t="shared" si="157"/>
        <v>40.700000000000003</v>
      </c>
      <c r="RD7" s="40">
        <f t="shared" si="158"/>
        <v>19.599999999999998</v>
      </c>
      <c r="RE7" s="40">
        <f t="shared" si="159"/>
        <v>10.85</v>
      </c>
      <c r="RF7" s="40">
        <f t="shared" si="160"/>
        <v>60.3</v>
      </c>
      <c r="RG7" s="40">
        <f t="shared" si="161"/>
        <v>8.35</v>
      </c>
      <c r="RH7" s="40">
        <f t="shared" si="162"/>
        <v>41.400000000000006</v>
      </c>
      <c r="RI7" s="40">
        <f t="shared" si="163"/>
        <v>101.7</v>
      </c>
    </row>
    <row r="8" spans="1:477" x14ac:dyDescent="0.2">
      <c r="A8" s="4" cm="1">
        <f t="array" ref="A8">IF(AND(J8&lt;&gt;"",J8&lt;&gt;"No DD"),SUMPRODUCT((J$4:J$27&lt;&gt;"")*(J$4:J$27&lt;&gt;"No DD")*(F$4:F$27&gt;F8))+1,IF(J8="No DD",SUMPRODUCT((J$4:J$27="No DD")*(F$4:F$27&gt;F8))+1+SUMPRODUCT((J$4:J$27&lt;&gt;"")*(J$4:J$27&lt;&gt;"No DD")),""))</f>
        <v>5</v>
      </c>
      <c r="B8" s="4" t="str" cm="1">
        <f t="array" ref="B8">IF(AND(J8&lt;&gt;"",J8&lt;&gt;"No DD",G8=""),SUMPRODUCT((J$4:J$27&lt;&gt;"")*(J$4:J$27&lt;&gt;"No DD")*(G$4:G$27="")*(F$4:F$27&gt;F8))+1,IF(J8="No DD",SUMPRODUCT((J$4:J$27="No DD")*(F$4:F$27&gt;F8)*(G$4:G$27=""))+1+SUMPRODUCT((J$4:J$27&lt;&gt;"")*(G$4:G$27="")*(J$4:J$27&lt;&gt;"No DD")),""))</f>
        <v/>
      </c>
      <c r="C8" s="5" t="s">
        <v>70</v>
      </c>
      <c r="D8" s="4" t="s">
        <v>5</v>
      </c>
      <c r="E8" s="4">
        <v>2004</v>
      </c>
      <c r="F8" s="9">
        <f t="shared" si="0"/>
        <v>149.60001020000416</v>
      </c>
      <c r="G8" s="66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41.499999999999993</v>
      </c>
      <c r="M8" s="8" t="str">
        <f t="shared" si="5"/>
        <v>2024 Elite Canada</v>
      </c>
      <c r="N8" s="8">
        <f>IF(COUNT(AS8,BV8,CY8)&gt;1,LARGE((AS8,BV8,CY8),2),0)</f>
        <v>38.700000000000003</v>
      </c>
      <c r="O8" s="8" t="str">
        <f t="shared" si="6"/>
        <v>2023 Nationals</v>
      </c>
      <c r="P8" s="8">
        <f>IF(COUNT(AT8,BW8,CZ8)&gt;0,LARGE((AT8,BW8,CZ8),1),0)</f>
        <v>21.800000000000004</v>
      </c>
      <c r="Q8" s="8" t="str">
        <f t="shared" si="7"/>
        <v>2024 Elite Canada</v>
      </c>
      <c r="R8" s="8">
        <f t="shared" si="8"/>
        <v>42.800000000000004</v>
      </c>
      <c r="S8" s="8" t="str">
        <f t="shared" si="9"/>
        <v>2023 Nationals</v>
      </c>
      <c r="T8" s="8">
        <f t="shared" si="10"/>
        <v>4.7999999999999972</v>
      </c>
      <c r="U8" s="11" t="str">
        <f t="shared" si="11"/>
        <v>(Q1)</v>
      </c>
      <c r="V8" s="8" t="str">
        <f t="shared" si="12"/>
        <v>2023 WAGC (Nov 17)</v>
      </c>
      <c r="W8" s="19">
        <v>15.2</v>
      </c>
      <c r="X8" s="19">
        <v>3.4</v>
      </c>
      <c r="Y8" s="19">
        <v>0.4</v>
      </c>
      <c r="Z8" s="19">
        <v>0</v>
      </c>
      <c r="AA8" s="19">
        <v>16.600000000000001</v>
      </c>
      <c r="AB8" s="19">
        <v>5.3</v>
      </c>
      <c r="AC8" s="19">
        <v>2</v>
      </c>
      <c r="AD8" s="19">
        <v>0.6</v>
      </c>
      <c r="AE8" s="19">
        <v>15.9</v>
      </c>
      <c r="AF8" s="19">
        <v>4.2</v>
      </c>
      <c r="AG8" s="19">
        <v>0</v>
      </c>
      <c r="AH8" s="19">
        <v>0.6</v>
      </c>
      <c r="AI8" s="19">
        <v>14.9</v>
      </c>
      <c r="AJ8" s="19">
        <v>4.5999999999999996</v>
      </c>
      <c r="AK8" s="19">
        <v>0</v>
      </c>
      <c r="AL8" s="19">
        <v>0.6</v>
      </c>
      <c r="AM8" s="19">
        <v>16.600000000000001</v>
      </c>
      <c r="AN8" s="19">
        <v>5.5</v>
      </c>
      <c r="AO8" s="19">
        <v>0</v>
      </c>
      <c r="AP8" s="19">
        <v>0.6</v>
      </c>
      <c r="AQ8" s="27"/>
      <c r="AR8" s="40">
        <f t="shared" si="13"/>
        <v>8.6999999999999993</v>
      </c>
      <c r="AS8" s="40">
        <f t="shared" si="14"/>
        <v>38.700000000000003</v>
      </c>
      <c r="AT8" s="40">
        <f t="shared" si="15"/>
        <v>20.700000000000003</v>
      </c>
      <c r="AU8" s="40">
        <f t="shared" si="16"/>
        <v>12.899999999999999</v>
      </c>
      <c r="AV8" s="40">
        <f t="shared" si="17"/>
        <v>59.400000000000006</v>
      </c>
      <c r="AW8" s="40">
        <f t="shared" si="18"/>
        <v>10.1</v>
      </c>
      <c r="AX8" s="40">
        <f t="shared" si="19"/>
        <v>42.800000000000004</v>
      </c>
      <c r="AY8" s="40">
        <f t="shared" si="20"/>
        <v>102.20000000000002</v>
      </c>
      <c r="AZ8" s="18">
        <v>15.8</v>
      </c>
      <c r="BA8" s="18">
        <v>1.2</v>
      </c>
      <c r="BB8" s="18">
        <v>0</v>
      </c>
      <c r="BC8" s="18">
        <v>0</v>
      </c>
      <c r="BD8" s="18">
        <v>16</v>
      </c>
      <c r="BE8" s="18">
        <v>3.5</v>
      </c>
      <c r="BF8" s="18">
        <v>0.4</v>
      </c>
      <c r="BG8" s="18">
        <v>0.6</v>
      </c>
      <c r="BH8" s="18">
        <v>16.3</v>
      </c>
      <c r="BI8" s="18">
        <v>4.5999999999999996</v>
      </c>
      <c r="BJ8" s="18">
        <v>0</v>
      </c>
      <c r="BK8" s="18">
        <v>0.6</v>
      </c>
      <c r="BL8" s="18">
        <v>16</v>
      </c>
      <c r="BM8" s="18">
        <v>4.8</v>
      </c>
      <c r="BN8" s="18">
        <v>0</v>
      </c>
      <c r="BO8" s="18">
        <v>0.6</v>
      </c>
      <c r="BP8" s="18">
        <v>16</v>
      </c>
      <c r="BQ8" s="18">
        <v>3.9</v>
      </c>
      <c r="BR8" s="18">
        <v>0.2</v>
      </c>
      <c r="BS8" s="18">
        <v>0.3</v>
      </c>
      <c r="BT8" s="28"/>
      <c r="BU8" s="11">
        <f t="shared" si="21"/>
        <v>4.7</v>
      </c>
      <c r="BV8" s="11">
        <f t="shared" si="22"/>
        <v>36.700000000000003</v>
      </c>
      <c r="BW8" s="11">
        <f t="shared" si="23"/>
        <v>21.5</v>
      </c>
      <c r="BX8" s="11">
        <f t="shared" si="24"/>
        <v>9.3000000000000007</v>
      </c>
      <c r="BY8" s="11">
        <f t="shared" si="25"/>
        <v>58.2</v>
      </c>
      <c r="BZ8" s="11">
        <f t="shared" si="26"/>
        <v>8.6999999999999993</v>
      </c>
      <c r="CA8" s="11">
        <f t="shared" si="27"/>
        <v>41.4</v>
      </c>
      <c r="CB8" s="11">
        <f t="shared" si="28"/>
        <v>99.6</v>
      </c>
      <c r="CC8" s="19">
        <v>15.8</v>
      </c>
      <c r="CD8" s="19">
        <v>4.5</v>
      </c>
      <c r="CE8" s="19">
        <v>0.2</v>
      </c>
      <c r="CF8" s="19">
        <v>0.3</v>
      </c>
      <c r="CG8" s="19">
        <v>16.899999999999999</v>
      </c>
      <c r="CH8" s="19">
        <v>3.9</v>
      </c>
      <c r="CI8" s="19">
        <v>0</v>
      </c>
      <c r="CJ8" s="19">
        <v>0.3</v>
      </c>
      <c r="CK8" s="19">
        <v>17.600000000000001</v>
      </c>
      <c r="CL8" s="19">
        <v>4.0999999999999996</v>
      </c>
      <c r="CM8" s="19">
        <v>0.2</v>
      </c>
      <c r="CN8" s="19">
        <v>0.3</v>
      </c>
      <c r="CO8" s="19" t="s">
        <v>219</v>
      </c>
      <c r="CP8" s="19" t="s">
        <v>219</v>
      </c>
      <c r="CQ8" s="19" t="s">
        <v>219</v>
      </c>
      <c r="CR8" s="19" t="s">
        <v>219</v>
      </c>
      <c r="CS8" s="19" t="s">
        <v>219</v>
      </c>
      <c r="CT8" s="19" t="s">
        <v>219</v>
      </c>
      <c r="CU8" s="19" t="s">
        <v>219</v>
      </c>
      <c r="CV8" s="19" t="s">
        <v>219</v>
      </c>
      <c r="CW8" s="27"/>
      <c r="CX8" s="40">
        <f t="shared" si="29"/>
        <v>8.4</v>
      </c>
      <c r="CY8" s="40">
        <f t="shared" si="30"/>
        <v>41.499999999999993</v>
      </c>
      <c r="CZ8" s="40">
        <f t="shared" si="31"/>
        <v>21.800000000000004</v>
      </c>
      <c r="DA8" s="40">
        <f t="shared" si="32"/>
        <v>12.5</v>
      </c>
      <c r="DB8" s="40">
        <f t="shared" si="33"/>
        <v>63.3</v>
      </c>
      <c r="DC8" s="40" t="str">
        <f t="shared" si="34"/>
        <v/>
      </c>
      <c r="DD8" s="40" t="str">
        <f t="shared" si="35"/>
        <v/>
      </c>
      <c r="DE8" s="40">
        <f t="shared" si="36"/>
        <v>63.3</v>
      </c>
      <c r="DF8" s="50">
        <f t="shared" si="37"/>
        <v>4.7999999999999972</v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>
        <v>16.600000000000001</v>
      </c>
      <c r="GP8" s="18">
        <v>5.3</v>
      </c>
      <c r="GQ8" s="18">
        <v>0</v>
      </c>
      <c r="GR8" s="18">
        <v>0</v>
      </c>
      <c r="GS8" s="18">
        <v>16.100000000000001</v>
      </c>
      <c r="GT8" s="18">
        <v>5.5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 t="shared" si="64"/>
        <v>10.8</v>
      </c>
      <c r="HJ8" s="11">
        <f t="shared" si="65"/>
        <v>43.5</v>
      </c>
      <c r="HK8" s="11" t="str">
        <f t="shared" si="66"/>
        <v/>
      </c>
      <c r="HL8" s="11">
        <f t="shared" si="67"/>
        <v>10.8</v>
      </c>
      <c r="HM8" s="11">
        <f t="shared" si="68"/>
        <v>43.5</v>
      </c>
      <c r="HN8" s="11" t="str">
        <f t="shared" si="69"/>
        <v/>
      </c>
      <c r="HO8" s="11" t="str">
        <f t="shared" si="70"/>
        <v/>
      </c>
      <c r="HP8" s="11">
        <f t="shared" si="71"/>
        <v>43.5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15.8</v>
      </c>
      <c r="QH8" s="22">
        <f t="shared" si="137"/>
        <v>2.85</v>
      </c>
      <c r="QI8" s="22">
        <f t="shared" si="138"/>
        <v>0.1</v>
      </c>
      <c r="QJ8" s="22">
        <f t="shared" si="139"/>
        <v>0.15</v>
      </c>
      <c r="QK8" s="22">
        <f t="shared" si="140"/>
        <v>16.45</v>
      </c>
      <c r="QL8" s="22">
        <f t="shared" si="141"/>
        <v>3.7</v>
      </c>
      <c r="QM8" s="22">
        <f t="shared" si="142"/>
        <v>0.2</v>
      </c>
      <c r="QN8" s="22">
        <f t="shared" si="143"/>
        <v>0.44999999999999996</v>
      </c>
      <c r="QO8" s="22">
        <f t="shared" si="144"/>
        <v>16.950000000000003</v>
      </c>
      <c r="QP8" s="22">
        <f t="shared" si="145"/>
        <v>4.3499999999999996</v>
      </c>
      <c r="QQ8" s="22">
        <f t="shared" si="146"/>
        <v>0.1</v>
      </c>
      <c r="QR8" s="22">
        <f t="shared" si="147"/>
        <v>0.44999999999999996</v>
      </c>
      <c r="QS8" s="22" t="e">
        <f t="shared" si="148"/>
        <v>#VALUE!</v>
      </c>
      <c r="QT8" s="22" t="e">
        <f t="shared" si="149"/>
        <v>#VALUE!</v>
      </c>
      <c r="QU8" s="22" t="e">
        <f t="shared" si="150"/>
        <v>#VALUE!</v>
      </c>
      <c r="QV8" s="22" t="e">
        <f t="shared" si="151"/>
        <v>#VALUE!</v>
      </c>
      <c r="QW8" s="22" t="e">
        <f t="shared" si="152"/>
        <v>#VALUE!</v>
      </c>
      <c r="QX8" s="22" t="e">
        <f t="shared" si="153"/>
        <v>#VALUE!</v>
      </c>
      <c r="QY8" s="22" t="e">
        <f t="shared" si="154"/>
        <v>#VALUE!</v>
      </c>
      <c r="QZ8" s="22" t="e">
        <f t="shared" si="155"/>
        <v>#VALUE!</v>
      </c>
      <c r="RA8" s="27" t="s">
        <v>46</v>
      </c>
      <c r="RB8" s="40">
        <f t="shared" si="156"/>
        <v>6.5500000000000007</v>
      </c>
      <c r="RC8" s="40">
        <f t="shared" si="157"/>
        <v>39.1</v>
      </c>
      <c r="RD8" s="40">
        <f t="shared" si="158"/>
        <v>21.650000000000002</v>
      </c>
      <c r="RE8" s="40">
        <f t="shared" si="159"/>
        <v>10.9</v>
      </c>
      <c r="RF8" s="40">
        <f t="shared" si="160"/>
        <v>60.75</v>
      </c>
      <c r="RG8" s="40" t="e">
        <f t="shared" si="161"/>
        <v>#VALUE!</v>
      </c>
      <c r="RH8" s="40" t="e">
        <f t="shared" si="162"/>
        <v>#VALUE!</v>
      </c>
      <c r="RI8" s="40" t="e">
        <f t="shared" si="163"/>
        <v>#VALUE!</v>
      </c>
    </row>
    <row r="9" spans="1:477" x14ac:dyDescent="0.2">
      <c r="A9" s="4" cm="1">
        <f t="array" ref="A9">IF(AND(J9&lt;&gt;"",J9&lt;&gt;"No DD"),SUMPRODUCT((J$4:J$27&lt;&gt;"")*(J$4:J$27&lt;&gt;"No DD")*(F$4:F$27&gt;F9))+1,IF(J9="No DD",SUMPRODUCT((J$4:J$27="No DD")*(F$4:F$27&gt;F9))+1+SUMPRODUCT((J$4:J$27&lt;&gt;"")*(J$4:J$27&lt;&gt;"No DD")),""))</f>
        <v>6</v>
      </c>
      <c r="B9" s="4" cm="1">
        <f t="array" ref="B9">IF(AND(J9&lt;&gt;"",J9&lt;&gt;"No DD",G9=""),SUMPRODUCT((J$4:J$27&lt;&gt;"")*(J$4:J$27&lt;&gt;"No DD")*(G$4:G$27="")*(F$4:F$27&gt;F9))+1,IF(J9="No DD",SUMPRODUCT((J$4:J$27="No DD")*(F$4:F$27&gt;F9)*(G$4:G$27=""))+1+SUMPRODUCT((J$4:J$27&lt;&gt;"")*(G$4:G$27="")*(J$4:J$27&lt;&gt;"No DD")),""))</f>
        <v>1</v>
      </c>
      <c r="C9" s="5" t="s">
        <v>106</v>
      </c>
      <c r="D9" s="4" t="s">
        <v>3</v>
      </c>
      <c r="E9" s="4">
        <v>2004</v>
      </c>
      <c r="F9" s="9">
        <f t="shared" si="0"/>
        <v>148.90001050500425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42.1</v>
      </c>
      <c r="M9" s="8" t="str">
        <f t="shared" si="5"/>
        <v>2023 Nationals</v>
      </c>
      <c r="N9" s="8">
        <f>IF(COUNT(AS9,BV9,CY9)&gt;1,LARGE((AS9,BV9,CY9),2),0)</f>
        <v>41.65</v>
      </c>
      <c r="O9" s="8" t="str">
        <f t="shared" si="6"/>
        <v>2024 Elite Canada</v>
      </c>
      <c r="P9" s="8">
        <f>IF(COUNT(AT9,BW9,CZ9)&gt;0,LARGE((AT9,BW9,CZ9),1),0)</f>
        <v>21.3</v>
      </c>
      <c r="Q9" s="8" t="str">
        <f t="shared" si="7"/>
        <v>2023 Nationals</v>
      </c>
      <c r="R9" s="8">
        <f t="shared" si="8"/>
        <v>43.5</v>
      </c>
      <c r="S9" s="8" t="str">
        <f t="shared" si="9"/>
        <v>2023 Nationals</v>
      </c>
      <c r="T9" s="8">
        <f t="shared" si="10"/>
        <v>0.35000000000000853</v>
      </c>
      <c r="U9" s="11" t="str">
        <f t="shared" si="11"/>
        <v>(Q1)</v>
      </c>
      <c r="V9" s="8" t="str">
        <f t="shared" si="12"/>
        <v>2023 WAGC (Nov 17)</v>
      </c>
      <c r="W9" s="19">
        <v>16.600000000000001</v>
      </c>
      <c r="X9" s="19">
        <v>4.3</v>
      </c>
      <c r="Y9" s="19">
        <v>0</v>
      </c>
      <c r="Z9" s="19">
        <v>0.3</v>
      </c>
      <c r="AA9" s="19">
        <v>16.5</v>
      </c>
      <c r="AB9" s="19">
        <v>4.0999999999999996</v>
      </c>
      <c r="AC9" s="19">
        <v>0</v>
      </c>
      <c r="AD9" s="19">
        <v>0.3</v>
      </c>
      <c r="AE9" s="19">
        <v>16.899999999999999</v>
      </c>
      <c r="AF9" s="19">
        <v>4.0999999999999996</v>
      </c>
      <c r="AG9" s="19">
        <v>0</v>
      </c>
      <c r="AH9" s="19">
        <v>0.3</v>
      </c>
      <c r="AI9" s="19">
        <v>17.100000000000001</v>
      </c>
      <c r="AJ9" s="19">
        <v>4.3</v>
      </c>
      <c r="AK9" s="19">
        <v>0.2</v>
      </c>
      <c r="AL9" s="19">
        <v>0.3</v>
      </c>
      <c r="AM9" s="19">
        <v>17.600000000000001</v>
      </c>
      <c r="AN9" s="19">
        <v>4.0999999999999996</v>
      </c>
      <c r="AO9" s="19">
        <v>0</v>
      </c>
      <c r="AP9" s="19">
        <v>0.3</v>
      </c>
      <c r="AQ9" s="27"/>
      <c r="AR9" s="40">
        <f t="shared" si="13"/>
        <v>8.3999999999999986</v>
      </c>
      <c r="AS9" s="40">
        <f t="shared" si="14"/>
        <v>42.1</v>
      </c>
      <c r="AT9" s="40">
        <f t="shared" si="15"/>
        <v>21.3</v>
      </c>
      <c r="AU9" s="40">
        <f t="shared" si="16"/>
        <v>12.499999999999998</v>
      </c>
      <c r="AV9" s="40">
        <f t="shared" si="17"/>
        <v>63.400000000000006</v>
      </c>
      <c r="AW9" s="40">
        <f t="shared" si="18"/>
        <v>8.3999999999999986</v>
      </c>
      <c r="AX9" s="40">
        <f t="shared" si="19"/>
        <v>43.5</v>
      </c>
      <c r="AY9" s="40">
        <f t="shared" si="20"/>
        <v>106.9</v>
      </c>
      <c r="AZ9" s="18">
        <v>16.600000000000001</v>
      </c>
      <c r="BA9" s="18">
        <v>3.95</v>
      </c>
      <c r="BB9" s="18">
        <v>0.1</v>
      </c>
      <c r="BC9" s="18">
        <v>0.15</v>
      </c>
      <c r="BD9" s="18">
        <v>16.75</v>
      </c>
      <c r="BE9" s="18">
        <v>4.0999999999999996</v>
      </c>
      <c r="BF9" s="18">
        <v>0.1</v>
      </c>
      <c r="BG9" s="18">
        <v>0.3</v>
      </c>
      <c r="BH9" s="18">
        <v>16.670000000000002</v>
      </c>
      <c r="BI9" s="18">
        <v>4.0999999999999996</v>
      </c>
      <c r="BJ9" s="18">
        <v>0</v>
      </c>
      <c r="BK9" s="18">
        <v>0.3</v>
      </c>
      <c r="BL9" s="18">
        <v>17.3</v>
      </c>
      <c r="BM9" s="18">
        <v>4.1999999999999993</v>
      </c>
      <c r="BN9" s="18">
        <v>0.1</v>
      </c>
      <c r="BO9" s="18">
        <v>0.3</v>
      </c>
      <c r="BP9" s="18">
        <v>17.399999999999999</v>
      </c>
      <c r="BQ9" s="18">
        <v>4</v>
      </c>
      <c r="BR9" s="18">
        <v>0</v>
      </c>
      <c r="BS9" s="18">
        <v>0.3</v>
      </c>
      <c r="BT9" s="28" t="s">
        <v>46</v>
      </c>
      <c r="BU9" s="11">
        <f t="shared" si="21"/>
        <v>8.0500000000000007</v>
      </c>
      <c r="BV9" s="11">
        <f t="shared" si="22"/>
        <v>41.65</v>
      </c>
      <c r="BW9" s="11">
        <f t="shared" si="23"/>
        <v>21.070000000000004</v>
      </c>
      <c r="BX9" s="11">
        <f t="shared" si="24"/>
        <v>12.15</v>
      </c>
      <c r="BY9" s="11">
        <f t="shared" si="25"/>
        <v>62.72</v>
      </c>
      <c r="BZ9" s="11">
        <f t="shared" si="26"/>
        <v>8.1999999999999993</v>
      </c>
      <c r="CA9" s="11">
        <f t="shared" si="27"/>
        <v>43.4</v>
      </c>
      <c r="CB9" s="11">
        <f t="shared" si="28"/>
        <v>106.12</v>
      </c>
      <c r="CC9" s="19">
        <v>16.600000000000001</v>
      </c>
      <c r="CD9" s="19">
        <v>3.95</v>
      </c>
      <c r="CE9" s="19">
        <v>0.1</v>
      </c>
      <c r="CF9" s="19">
        <v>0.15</v>
      </c>
      <c r="CG9" s="19">
        <v>16.75</v>
      </c>
      <c r="CH9" s="19">
        <v>4.0999999999999996</v>
      </c>
      <c r="CI9" s="19">
        <v>0.1</v>
      </c>
      <c r="CJ9" s="19">
        <v>0.3</v>
      </c>
      <c r="CK9" s="19">
        <v>16.670000000000002</v>
      </c>
      <c r="CL9" s="19">
        <v>4.0999999999999996</v>
      </c>
      <c r="CM9" s="19">
        <v>0</v>
      </c>
      <c r="CN9" s="19">
        <v>0.3</v>
      </c>
      <c r="CO9" s="19">
        <v>17.3</v>
      </c>
      <c r="CP9" s="19">
        <v>4.1999999999999993</v>
      </c>
      <c r="CQ9" s="19">
        <v>0.1</v>
      </c>
      <c r="CR9" s="19">
        <v>0.3</v>
      </c>
      <c r="CS9" s="19">
        <v>17.399999999999999</v>
      </c>
      <c r="CT9" s="19">
        <v>4</v>
      </c>
      <c r="CU9" s="19">
        <v>0</v>
      </c>
      <c r="CV9" s="19">
        <v>0.3</v>
      </c>
      <c r="CW9" s="27" t="s">
        <v>46</v>
      </c>
      <c r="CX9" s="40">
        <f t="shared" si="29"/>
        <v>8.0500000000000007</v>
      </c>
      <c r="CY9" s="40">
        <f t="shared" si="30"/>
        <v>41.65</v>
      </c>
      <c r="CZ9" s="40">
        <f t="shared" si="31"/>
        <v>21.070000000000004</v>
      </c>
      <c r="DA9" s="40">
        <f t="shared" si="32"/>
        <v>12.15</v>
      </c>
      <c r="DB9" s="40">
        <f t="shared" si="33"/>
        <v>62.72</v>
      </c>
      <c r="DC9" s="40">
        <f t="shared" si="34"/>
        <v>8.1999999999999993</v>
      </c>
      <c r="DD9" s="40">
        <f t="shared" si="35"/>
        <v>43.4</v>
      </c>
      <c r="DE9" s="40">
        <f t="shared" si="36"/>
        <v>106.12</v>
      </c>
      <c r="DF9" s="50">
        <f t="shared" si="37"/>
        <v>0.35000000000000853</v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>
        <v>15.3</v>
      </c>
      <c r="EL9" s="18">
        <v>4.3</v>
      </c>
      <c r="EM9" s="18">
        <v>0</v>
      </c>
      <c r="EN9" s="18">
        <v>0</v>
      </c>
      <c r="EO9" s="18">
        <v>17.600000000000001</v>
      </c>
      <c r="EP9" s="18">
        <v>4.0999999999999996</v>
      </c>
      <c r="EQ9" s="18">
        <v>0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 t="shared" si="48"/>
        <v>8.3999999999999986</v>
      </c>
      <c r="FF9" s="11">
        <f t="shared" si="49"/>
        <v>41.300000000000004</v>
      </c>
      <c r="FG9" s="11" t="str">
        <f t="shared" si="50"/>
        <v/>
      </c>
      <c r="FH9" s="11">
        <f t="shared" si="51"/>
        <v>8.3999999999999986</v>
      </c>
      <c r="FI9" s="11">
        <f t="shared" si="52"/>
        <v>41.300000000000004</v>
      </c>
      <c r="FJ9" s="11" t="str">
        <f t="shared" si="53"/>
        <v/>
      </c>
      <c r="FK9" s="11" t="str">
        <f t="shared" si="54"/>
        <v/>
      </c>
      <c r="FL9" s="11">
        <f t="shared" si="55"/>
        <v>41.300000000000004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>
        <v>16.5</v>
      </c>
      <c r="GP9" s="18">
        <v>4.3</v>
      </c>
      <c r="GQ9" s="18">
        <v>0</v>
      </c>
      <c r="GR9" s="18">
        <v>0</v>
      </c>
      <c r="GS9" s="18">
        <v>16.600000000000001</v>
      </c>
      <c r="GT9" s="18">
        <v>4.5999999999999996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 t="shared" si="64"/>
        <v>8.8999999999999986</v>
      </c>
      <c r="HJ9" s="11">
        <f t="shared" si="65"/>
        <v>42.000000000000007</v>
      </c>
      <c r="HK9" s="11" t="str">
        <f t="shared" si="66"/>
        <v/>
      </c>
      <c r="HL9" s="11">
        <f t="shared" si="67"/>
        <v>8.8999999999999986</v>
      </c>
      <c r="HM9" s="11">
        <f t="shared" si="68"/>
        <v>42.000000000000007</v>
      </c>
      <c r="HN9" s="11" t="str">
        <f t="shared" si="69"/>
        <v/>
      </c>
      <c r="HO9" s="11" t="str">
        <f t="shared" si="70"/>
        <v/>
      </c>
      <c r="HP9" s="11">
        <f t="shared" si="71"/>
        <v>42.000000000000007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2"/>
        <v/>
      </c>
      <c r="IL9" s="40" t="str">
        <f t="shared" si="73"/>
        <v/>
      </c>
      <c r="IM9" s="40" t="str">
        <f t="shared" si="74"/>
        <v/>
      </c>
      <c r="IN9" s="40" t="str">
        <f t="shared" si="75"/>
        <v/>
      </c>
      <c r="IO9" s="40" t="str">
        <f t="shared" si="76"/>
        <v/>
      </c>
      <c r="IP9" s="40" t="str">
        <f t="shared" si="77"/>
        <v/>
      </c>
      <c r="IQ9" s="40" t="str">
        <f t="shared" si="78"/>
        <v/>
      </c>
      <c r="IR9" s="40" t="str">
        <f t="shared" si="79"/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16.600000000000001</v>
      </c>
      <c r="QH9" s="22">
        <f t="shared" si="137"/>
        <v>3.95</v>
      </c>
      <c r="QI9" s="22">
        <f t="shared" si="138"/>
        <v>0.1</v>
      </c>
      <c r="QJ9" s="22">
        <f t="shared" si="139"/>
        <v>0.15</v>
      </c>
      <c r="QK9" s="22">
        <f t="shared" si="140"/>
        <v>16.75</v>
      </c>
      <c r="QL9" s="22">
        <f t="shared" si="141"/>
        <v>4.0999999999999996</v>
      </c>
      <c r="QM9" s="22">
        <f t="shared" si="142"/>
        <v>0.1</v>
      </c>
      <c r="QN9" s="22">
        <f t="shared" si="143"/>
        <v>0.3</v>
      </c>
      <c r="QO9" s="22">
        <f t="shared" si="144"/>
        <v>16.670000000000002</v>
      </c>
      <c r="QP9" s="22">
        <f t="shared" si="145"/>
        <v>4.0999999999999996</v>
      </c>
      <c r="QQ9" s="22">
        <f t="shared" si="146"/>
        <v>0</v>
      </c>
      <c r="QR9" s="22">
        <f t="shared" si="147"/>
        <v>0.3</v>
      </c>
      <c r="QS9" s="22">
        <f t="shared" si="148"/>
        <v>17.3</v>
      </c>
      <c r="QT9" s="22">
        <f t="shared" si="149"/>
        <v>4.1999999999999993</v>
      </c>
      <c r="QU9" s="22">
        <f t="shared" si="150"/>
        <v>0.1</v>
      </c>
      <c r="QV9" s="22">
        <f t="shared" si="151"/>
        <v>0.3</v>
      </c>
      <c r="QW9" s="22">
        <f t="shared" si="152"/>
        <v>17.399999999999999</v>
      </c>
      <c r="QX9" s="22">
        <f t="shared" si="153"/>
        <v>4</v>
      </c>
      <c r="QY9" s="22">
        <f t="shared" si="154"/>
        <v>0</v>
      </c>
      <c r="QZ9" s="22">
        <f t="shared" si="155"/>
        <v>0.3</v>
      </c>
      <c r="RA9" s="27" t="s">
        <v>46</v>
      </c>
      <c r="RB9" s="40">
        <f t="shared" si="156"/>
        <v>8.0500000000000007</v>
      </c>
      <c r="RC9" s="40">
        <f t="shared" si="157"/>
        <v>41.65</v>
      </c>
      <c r="RD9" s="40">
        <f t="shared" si="158"/>
        <v>21.070000000000004</v>
      </c>
      <c r="RE9" s="40">
        <f t="shared" si="159"/>
        <v>12.15</v>
      </c>
      <c r="RF9" s="40">
        <f t="shared" si="160"/>
        <v>62.72</v>
      </c>
      <c r="RG9" s="40">
        <f t="shared" si="161"/>
        <v>8.1999999999999993</v>
      </c>
      <c r="RH9" s="40">
        <f t="shared" si="162"/>
        <v>43.4</v>
      </c>
      <c r="RI9" s="40">
        <f t="shared" si="163"/>
        <v>106.12</v>
      </c>
    </row>
    <row r="10" spans="1:477" x14ac:dyDescent="0.2">
      <c r="A10" s="4" cm="1">
        <f t="array" ref="A10">IF(AND(J10&lt;&gt;"",J10&lt;&gt;"No DD"),SUMPRODUCT((J$4:J$27&lt;&gt;"")*(J$4:J$27&lt;&gt;"No DD")*(F$4:F$27&gt;F10))+1,IF(J10="No DD",SUMPRODUCT((J$4:J$27="No DD")*(F$4:F$27&gt;F10))+1+SUMPRODUCT((J$4:J$27&lt;&gt;"")*(J$4:J$27&lt;&gt;"No DD")),""))</f>
        <v>7</v>
      </c>
      <c r="B10" s="4" cm="1">
        <f t="array" ref="B10">IF(AND(J10&lt;&gt;"",J10&lt;&gt;"No DD",G10=""),SUMPRODUCT((J$4:J$27&lt;&gt;"")*(J$4:J$27&lt;&gt;"No DD")*(G$4:G$27="")*(F$4:F$27&gt;F10))+1,IF(J10="No DD",SUMPRODUCT((J$4:J$27="No DD")*(F$4:F$27&gt;F10)*(G$4:G$27=""))+1+SUMPRODUCT((J$4:J$27&lt;&gt;"")*(G$4:G$27="")*(J$4:J$27&lt;&gt;"No DD")),""))</f>
        <v>2</v>
      </c>
      <c r="C10" s="5" t="s">
        <v>149</v>
      </c>
      <c r="D10" s="4" t="s">
        <v>4</v>
      </c>
      <c r="E10" s="4">
        <v>2005</v>
      </c>
      <c r="F10" s="9">
        <f t="shared" si="0"/>
        <v>148.20001008000423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42.3</v>
      </c>
      <c r="M10" s="8" t="str">
        <f t="shared" si="5"/>
        <v>2024 Elite Canada</v>
      </c>
      <c r="N10" s="8">
        <f>IF(COUNT(AS10,BV10,CY10)&gt;1,LARGE((AS10,BV10,CY10),2),0)</f>
        <v>37.6</v>
      </c>
      <c r="O10" s="8" t="str">
        <f t="shared" si="6"/>
        <v>2023 Nationals</v>
      </c>
      <c r="P10" s="8">
        <f>IF(COUNT(AT10,BW10,CZ10)&gt;0,LARGE((AT10,BW10,CZ10),1),0)</f>
        <v>20.9</v>
      </c>
      <c r="Q10" s="8" t="str">
        <f t="shared" si="7"/>
        <v>2023 Nationals</v>
      </c>
      <c r="R10" s="8">
        <f t="shared" si="8"/>
        <v>42.199999999999996</v>
      </c>
      <c r="S10" s="8" t="str">
        <f t="shared" si="9"/>
        <v>2023 Nationals</v>
      </c>
      <c r="T10" s="8">
        <f t="shared" si="10"/>
        <v>5.2000000000000028</v>
      </c>
      <c r="U10" s="11" t="str">
        <f t="shared" si="11"/>
        <v>(Q1)</v>
      </c>
      <c r="V10" s="8" t="str">
        <f t="shared" si="12"/>
        <v>2023 WAGC (Nov 17)</v>
      </c>
      <c r="W10" s="19">
        <v>17.600000000000001</v>
      </c>
      <c r="X10" s="19">
        <v>3.2</v>
      </c>
      <c r="Y10" s="19">
        <v>0</v>
      </c>
      <c r="Z10" s="19">
        <v>0</v>
      </c>
      <c r="AA10" s="19">
        <v>13.6</v>
      </c>
      <c r="AB10" s="19">
        <v>2.6</v>
      </c>
      <c r="AC10" s="19">
        <v>0</v>
      </c>
      <c r="AD10" s="19">
        <v>0.6</v>
      </c>
      <c r="AE10" s="19">
        <v>17.5</v>
      </c>
      <c r="AF10" s="19">
        <v>3.4</v>
      </c>
      <c r="AG10" s="19">
        <v>0</v>
      </c>
      <c r="AH10" s="19">
        <v>0</v>
      </c>
      <c r="AI10" s="19">
        <v>16.8</v>
      </c>
      <c r="AJ10" s="19">
        <v>4.0999999999999996</v>
      </c>
      <c r="AK10" s="19">
        <v>0</v>
      </c>
      <c r="AL10" s="19">
        <v>0.3</v>
      </c>
      <c r="AM10" s="19">
        <v>16.8</v>
      </c>
      <c r="AN10" s="19">
        <v>3.9</v>
      </c>
      <c r="AO10" s="19">
        <v>0</v>
      </c>
      <c r="AP10" s="19">
        <v>0.3</v>
      </c>
      <c r="AQ10" s="27"/>
      <c r="AR10" s="40">
        <f t="shared" si="13"/>
        <v>5.8000000000000007</v>
      </c>
      <c r="AS10" s="40">
        <f t="shared" si="14"/>
        <v>37.6</v>
      </c>
      <c r="AT10" s="40">
        <f t="shared" si="15"/>
        <v>20.9</v>
      </c>
      <c r="AU10" s="40">
        <f t="shared" si="16"/>
        <v>9.2000000000000011</v>
      </c>
      <c r="AV10" s="40">
        <f t="shared" si="17"/>
        <v>58.5</v>
      </c>
      <c r="AW10" s="40">
        <f t="shared" si="18"/>
        <v>8</v>
      </c>
      <c r="AX10" s="40">
        <f t="shared" si="19"/>
        <v>42.199999999999996</v>
      </c>
      <c r="AY10" s="40">
        <f t="shared" si="20"/>
        <v>100.69999999999999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 t="shared" si="21"/>
        <v/>
      </c>
      <c r="BV10" s="11" t="str">
        <f t="shared" si="22"/>
        <v/>
      </c>
      <c r="BW10" s="11" t="str">
        <f t="shared" si="23"/>
        <v/>
      </c>
      <c r="BX10" s="11" t="str">
        <f t="shared" si="24"/>
        <v/>
      </c>
      <c r="BY10" s="11" t="str">
        <f t="shared" si="25"/>
        <v/>
      </c>
      <c r="BZ10" s="11" t="str">
        <f t="shared" si="26"/>
        <v/>
      </c>
      <c r="CA10" s="11" t="str">
        <f t="shared" si="27"/>
        <v/>
      </c>
      <c r="CB10" s="11" t="str">
        <f t="shared" si="28"/>
        <v/>
      </c>
      <c r="CC10" s="19">
        <v>16.899999999999999</v>
      </c>
      <c r="CD10" s="19">
        <v>4.3</v>
      </c>
      <c r="CE10" s="19">
        <v>0</v>
      </c>
      <c r="CF10" s="19">
        <v>0.3</v>
      </c>
      <c r="CG10" s="19">
        <v>16.2</v>
      </c>
      <c r="CH10" s="19">
        <v>4.3</v>
      </c>
      <c r="CI10" s="19">
        <v>0</v>
      </c>
      <c r="CJ10" s="19">
        <v>0.3</v>
      </c>
      <c r="CK10" s="19">
        <v>17.100000000000001</v>
      </c>
      <c r="CL10" s="19">
        <v>2.5</v>
      </c>
      <c r="CM10" s="19">
        <v>1.2</v>
      </c>
      <c r="CN10" s="19">
        <v>0.3</v>
      </c>
      <c r="CO10" s="19">
        <v>16</v>
      </c>
      <c r="CP10" s="19">
        <v>1.9</v>
      </c>
      <c r="CQ10" s="19">
        <v>0</v>
      </c>
      <c r="CR10" s="19">
        <v>0.3</v>
      </c>
      <c r="CS10" s="19">
        <v>15.9</v>
      </c>
      <c r="CT10" s="19">
        <v>3.9</v>
      </c>
      <c r="CU10" s="19">
        <v>0.4</v>
      </c>
      <c r="CV10" s="19">
        <v>0.3</v>
      </c>
      <c r="CW10" s="27"/>
      <c r="CX10" s="40">
        <f t="shared" si="29"/>
        <v>8.6</v>
      </c>
      <c r="CY10" s="40">
        <f t="shared" si="30"/>
        <v>42.3</v>
      </c>
      <c r="CZ10" s="40">
        <f t="shared" si="31"/>
        <v>18.700000000000003</v>
      </c>
      <c r="DA10" s="40">
        <f t="shared" si="32"/>
        <v>11.1</v>
      </c>
      <c r="DB10" s="40">
        <f t="shared" si="33"/>
        <v>61</v>
      </c>
      <c r="DC10" s="40">
        <f t="shared" si="34"/>
        <v>5.8</v>
      </c>
      <c r="DD10" s="40">
        <f t="shared" si="35"/>
        <v>37.9</v>
      </c>
      <c r="DE10" s="40">
        <f t="shared" si="36"/>
        <v>98.9</v>
      </c>
      <c r="DF10" s="50">
        <f t="shared" si="37"/>
        <v>5.2000000000000028</v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>
        <v>17.600000000000001</v>
      </c>
      <c r="GP10" s="18">
        <v>4.0999999999999996</v>
      </c>
      <c r="GQ10" s="18">
        <v>0</v>
      </c>
      <c r="GR10" s="18">
        <v>0</v>
      </c>
      <c r="GS10" s="18">
        <v>17.2</v>
      </c>
      <c r="GT10" s="18">
        <v>3.9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 t="shared" si="64"/>
        <v>8</v>
      </c>
      <c r="HJ10" s="11">
        <f t="shared" si="65"/>
        <v>42.800000000000004</v>
      </c>
      <c r="HK10" s="11" t="str">
        <f t="shared" si="66"/>
        <v/>
      </c>
      <c r="HL10" s="11">
        <f t="shared" si="67"/>
        <v>8</v>
      </c>
      <c r="HM10" s="11">
        <f t="shared" si="68"/>
        <v>42.800000000000004</v>
      </c>
      <c r="HN10" s="11" t="str">
        <f t="shared" si="69"/>
        <v/>
      </c>
      <c r="HO10" s="11" t="str">
        <f t="shared" si="70"/>
        <v/>
      </c>
      <c r="HP10" s="11">
        <f t="shared" si="71"/>
        <v>42.800000000000004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8.4499999999999993</v>
      </c>
      <c r="QH10" s="22">
        <f t="shared" si="137"/>
        <v>2.15</v>
      </c>
      <c r="QI10" s="22">
        <f t="shared" si="138"/>
        <v>0</v>
      </c>
      <c r="QJ10" s="22">
        <f t="shared" si="139"/>
        <v>0.15</v>
      </c>
      <c r="QK10" s="22">
        <f t="shared" si="140"/>
        <v>8.1</v>
      </c>
      <c r="QL10" s="22">
        <f t="shared" si="141"/>
        <v>2.15</v>
      </c>
      <c r="QM10" s="22">
        <f t="shared" si="142"/>
        <v>0</v>
      </c>
      <c r="QN10" s="22">
        <f t="shared" si="143"/>
        <v>0.15</v>
      </c>
      <c r="QO10" s="22">
        <f t="shared" si="144"/>
        <v>8.5500000000000007</v>
      </c>
      <c r="QP10" s="22">
        <f t="shared" si="145"/>
        <v>1.25</v>
      </c>
      <c r="QQ10" s="22">
        <f t="shared" si="146"/>
        <v>0.6</v>
      </c>
      <c r="QR10" s="22">
        <f t="shared" si="147"/>
        <v>0.15</v>
      </c>
      <c r="QS10" s="22">
        <f t="shared" si="148"/>
        <v>8</v>
      </c>
      <c r="QT10" s="22">
        <f t="shared" si="149"/>
        <v>0.95</v>
      </c>
      <c r="QU10" s="22">
        <f t="shared" si="150"/>
        <v>0</v>
      </c>
      <c r="QV10" s="22">
        <f t="shared" si="151"/>
        <v>0.15</v>
      </c>
      <c r="QW10" s="22">
        <f t="shared" si="152"/>
        <v>7.95</v>
      </c>
      <c r="QX10" s="22">
        <f t="shared" si="153"/>
        <v>1.95</v>
      </c>
      <c r="QY10" s="22">
        <f t="shared" si="154"/>
        <v>0.2</v>
      </c>
      <c r="QZ10" s="22">
        <f t="shared" si="155"/>
        <v>0.15</v>
      </c>
      <c r="RA10" s="27" t="s">
        <v>46</v>
      </c>
      <c r="RB10" s="40">
        <f t="shared" si="156"/>
        <v>4.3</v>
      </c>
      <c r="RC10" s="40">
        <f t="shared" si="157"/>
        <v>21.15</v>
      </c>
      <c r="RD10" s="40">
        <f t="shared" si="158"/>
        <v>9.3500000000000014</v>
      </c>
      <c r="RE10" s="40">
        <f t="shared" si="159"/>
        <v>5.55</v>
      </c>
      <c r="RF10" s="40">
        <f t="shared" si="160"/>
        <v>30.5</v>
      </c>
      <c r="RG10" s="40">
        <f t="shared" si="161"/>
        <v>2.9</v>
      </c>
      <c r="RH10" s="40">
        <f t="shared" si="162"/>
        <v>18.95</v>
      </c>
      <c r="RI10" s="40">
        <f t="shared" si="163"/>
        <v>49.45</v>
      </c>
    </row>
    <row r="11" spans="1:477" x14ac:dyDescent="0.2">
      <c r="A11" s="4" cm="1">
        <f t="array" ref="A11">IF(AND(J11&lt;&gt;"",J11&lt;&gt;"No DD"),SUMPRODUCT((J$4:J$27&lt;&gt;"")*(J$4:J$27&lt;&gt;"No DD")*(F$4:F$27&gt;F11))+1,IF(J11="No DD",SUMPRODUCT((J$4:J$27="No DD")*(F$4:F$27&gt;F11))+1+SUMPRODUCT((J$4:J$27&lt;&gt;"")*(J$4:J$27&lt;&gt;"No DD")),""))</f>
        <v>8</v>
      </c>
      <c r="B11" s="4" cm="1">
        <f t="array" ref="B11">IF(AND(J11&lt;&gt;"",J11&lt;&gt;"No DD",G11=""),SUMPRODUCT((J$4:J$27&lt;&gt;"")*(J$4:J$27&lt;&gt;"No DD")*(G$4:G$27="")*(F$4:F$27&gt;F11))+1,IF(J11="No DD",SUMPRODUCT((J$4:J$27="No DD")*(F$4:F$27&gt;F11)*(G$4:G$27=""))+1+SUMPRODUCT((J$4:J$27&lt;&gt;"")*(G$4:G$27="")*(J$4:J$27&lt;&gt;"No DD")),""))</f>
        <v>3</v>
      </c>
      <c r="C11" s="5" t="s">
        <v>206</v>
      </c>
      <c r="D11" s="4" t="s">
        <v>3</v>
      </c>
      <c r="E11" s="4">
        <v>2007</v>
      </c>
      <c r="F11" s="9">
        <f t="shared" si="0"/>
        <v>147.60001026000418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40.699999999999996</v>
      </c>
      <c r="M11" s="8" t="str">
        <f t="shared" si="5"/>
        <v>2023 Nationals</v>
      </c>
      <c r="N11" s="8">
        <f>IF(COUNT(AS11,BV11,CY11)&gt;1,LARGE((AS11,BV11,CY11),2),0)</f>
        <v>39.599999999999994</v>
      </c>
      <c r="O11" s="8" t="str">
        <f t="shared" si="6"/>
        <v>2024 Elite Canada</v>
      </c>
      <c r="P11" s="8">
        <f>IF(COUNT(AT11,BW11,CZ11)&gt;0,LARGE((AT11,BW11,CZ11),1),0)</f>
        <v>22.300000000000004</v>
      </c>
      <c r="Q11" s="8" t="str">
        <f t="shared" si="7"/>
        <v>2024 Elite Canada</v>
      </c>
      <c r="R11" s="8">
        <f t="shared" si="8"/>
        <v>43.100000000000101</v>
      </c>
      <c r="S11" s="8" t="str">
        <f t="shared" si="9"/>
        <v>2023 Nationals</v>
      </c>
      <c r="T11" s="8">
        <f t="shared" si="10"/>
        <v>1.8999999999999986</v>
      </c>
      <c r="U11" s="11" t="str">
        <f t="shared" si="11"/>
        <v>(Q1)</v>
      </c>
      <c r="V11" s="8" t="str">
        <f t="shared" si="12"/>
        <v>2023 WAGC (Nov 17)</v>
      </c>
      <c r="W11" s="19">
        <v>15.7</v>
      </c>
      <c r="X11" s="19">
        <v>4.0999999999999996</v>
      </c>
      <c r="Y11" s="19">
        <v>0.2</v>
      </c>
      <c r="Z11" s="19">
        <v>0.3</v>
      </c>
      <c r="AA11" s="19">
        <v>16.600000000000001</v>
      </c>
      <c r="AB11" s="19">
        <v>3.9</v>
      </c>
      <c r="AC11" s="19">
        <v>0</v>
      </c>
      <c r="AD11" s="19">
        <v>0.3</v>
      </c>
      <c r="AE11" s="19">
        <v>16.899999999999999</v>
      </c>
      <c r="AF11" s="19">
        <v>4.0999999999999996</v>
      </c>
      <c r="AG11" s="19">
        <v>0</v>
      </c>
      <c r="AH11" s="19">
        <v>0.3</v>
      </c>
      <c r="AI11" s="19">
        <v>16.8</v>
      </c>
      <c r="AJ11" s="19">
        <v>3.9</v>
      </c>
      <c r="AK11" s="19">
        <v>0</v>
      </c>
      <c r="AL11" s="19">
        <v>0.3</v>
      </c>
      <c r="AM11" s="19">
        <v>17.7</v>
      </c>
      <c r="AN11" s="19">
        <v>4.1000000000001</v>
      </c>
      <c r="AO11" s="19">
        <v>0</v>
      </c>
      <c r="AP11" s="19">
        <v>0.3</v>
      </c>
      <c r="AQ11" s="27"/>
      <c r="AR11" s="40">
        <f t="shared" si="13"/>
        <v>8</v>
      </c>
      <c r="AS11" s="40">
        <f t="shared" si="14"/>
        <v>40.699999999999996</v>
      </c>
      <c r="AT11" s="40">
        <f t="shared" si="15"/>
        <v>21.3</v>
      </c>
      <c r="AU11" s="40">
        <f t="shared" si="16"/>
        <v>12.1</v>
      </c>
      <c r="AV11" s="40">
        <f t="shared" si="17"/>
        <v>62</v>
      </c>
      <c r="AW11" s="40">
        <f t="shared" si="18"/>
        <v>8.0000000000000995</v>
      </c>
      <c r="AX11" s="40">
        <f t="shared" si="19"/>
        <v>43.100000000000101</v>
      </c>
      <c r="AY11" s="40">
        <f t="shared" si="20"/>
        <v>105.10000000000011</v>
      </c>
      <c r="AZ11" s="18">
        <v>16.100000000000001</v>
      </c>
      <c r="BA11" s="18">
        <v>1.9</v>
      </c>
      <c r="BB11" s="18">
        <v>0</v>
      </c>
      <c r="BC11" s="18">
        <v>0.3</v>
      </c>
      <c r="BD11" s="18">
        <v>15.7</v>
      </c>
      <c r="BE11" s="18">
        <v>1.9</v>
      </c>
      <c r="BF11" s="18">
        <v>0</v>
      </c>
      <c r="BG11" s="18">
        <v>0.3</v>
      </c>
      <c r="BH11" s="18">
        <v>16.100000000000001</v>
      </c>
      <c r="BI11" s="18">
        <v>1.9</v>
      </c>
      <c r="BJ11" s="18">
        <v>0</v>
      </c>
      <c r="BK11" s="18">
        <v>0.3</v>
      </c>
      <c r="BL11" s="18">
        <v>16.5</v>
      </c>
      <c r="BM11" s="18">
        <v>3.9</v>
      </c>
      <c r="BN11" s="18">
        <v>0</v>
      </c>
      <c r="BO11" s="18">
        <v>0.3</v>
      </c>
      <c r="BP11" s="18">
        <v>16.399999999999999</v>
      </c>
      <c r="BQ11" s="18">
        <v>4.0999999999999996</v>
      </c>
      <c r="BR11" s="18">
        <v>0</v>
      </c>
      <c r="BS11" s="18">
        <v>0.3</v>
      </c>
      <c r="BT11" s="28"/>
      <c r="BU11" s="11">
        <f t="shared" si="21"/>
        <v>3.8</v>
      </c>
      <c r="BV11" s="11">
        <f t="shared" si="22"/>
        <v>36.199999999999996</v>
      </c>
      <c r="BW11" s="11">
        <f t="shared" si="23"/>
        <v>18.3</v>
      </c>
      <c r="BX11" s="11">
        <f t="shared" si="24"/>
        <v>5.6999999999999993</v>
      </c>
      <c r="BY11" s="11">
        <f t="shared" si="25"/>
        <v>54.5</v>
      </c>
      <c r="BZ11" s="11">
        <f t="shared" si="26"/>
        <v>8</v>
      </c>
      <c r="CA11" s="11">
        <f t="shared" si="27"/>
        <v>41.499999999999993</v>
      </c>
      <c r="CB11" s="11">
        <f t="shared" si="28"/>
        <v>96</v>
      </c>
      <c r="CC11" s="19">
        <v>16.899999999999999</v>
      </c>
      <c r="CD11" s="19">
        <v>3.9</v>
      </c>
      <c r="CE11" s="19">
        <v>0</v>
      </c>
      <c r="CF11" s="19">
        <v>0.3</v>
      </c>
      <c r="CG11" s="19">
        <v>16.3</v>
      </c>
      <c r="CH11" s="19">
        <v>1.9</v>
      </c>
      <c r="CI11" s="19">
        <v>0</v>
      </c>
      <c r="CJ11" s="19">
        <v>0.3</v>
      </c>
      <c r="CK11" s="19">
        <v>17.100000000000001</v>
      </c>
      <c r="CL11" s="19">
        <v>4.5999999999999996</v>
      </c>
      <c r="CM11" s="19">
        <v>0</v>
      </c>
      <c r="CN11" s="19">
        <v>0.6</v>
      </c>
      <c r="CO11" s="19">
        <v>16.7</v>
      </c>
      <c r="CP11" s="19">
        <v>4.5999999999999996</v>
      </c>
      <c r="CQ11" s="19">
        <v>0</v>
      </c>
      <c r="CR11" s="19">
        <v>0.6</v>
      </c>
      <c r="CS11" s="19">
        <v>15.6</v>
      </c>
      <c r="CT11" s="19">
        <v>2.6</v>
      </c>
      <c r="CU11" s="19">
        <v>0</v>
      </c>
      <c r="CV11" s="19">
        <v>0.6</v>
      </c>
      <c r="CW11" s="27"/>
      <c r="CX11" s="40">
        <f t="shared" si="29"/>
        <v>5.8</v>
      </c>
      <c r="CY11" s="40">
        <f t="shared" si="30"/>
        <v>39.599999999999994</v>
      </c>
      <c r="CZ11" s="40">
        <f t="shared" si="31"/>
        <v>22.300000000000004</v>
      </c>
      <c r="DA11" s="40">
        <f t="shared" si="32"/>
        <v>10.399999999999999</v>
      </c>
      <c r="DB11" s="40">
        <f t="shared" si="33"/>
        <v>61.9</v>
      </c>
      <c r="DC11" s="40">
        <f t="shared" si="34"/>
        <v>7.1999999999999993</v>
      </c>
      <c r="DD11" s="40">
        <f t="shared" si="35"/>
        <v>40.700000000000003</v>
      </c>
      <c r="DE11" s="40">
        <f t="shared" si="36"/>
        <v>102.6</v>
      </c>
      <c r="DF11" s="50">
        <f t="shared" si="37"/>
        <v>1.8999999999999986</v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>
        <v>15.7</v>
      </c>
      <c r="GP11" s="18">
        <v>4.0999999999999996</v>
      </c>
      <c r="GQ11" s="18">
        <v>0</v>
      </c>
      <c r="GR11" s="18">
        <v>0</v>
      </c>
      <c r="GS11" s="18">
        <v>17.8</v>
      </c>
      <c r="GT11" s="18">
        <v>3.9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 t="shared" si="64"/>
        <v>8</v>
      </c>
      <c r="HJ11" s="11">
        <f t="shared" si="65"/>
        <v>41.499999999999993</v>
      </c>
      <c r="HK11" s="11" t="str">
        <f t="shared" si="66"/>
        <v/>
      </c>
      <c r="HL11" s="11">
        <f t="shared" si="67"/>
        <v>8</v>
      </c>
      <c r="HM11" s="11">
        <f t="shared" si="68"/>
        <v>41.499999999999993</v>
      </c>
      <c r="HN11" s="11" t="str">
        <f t="shared" si="69"/>
        <v/>
      </c>
      <c r="HO11" s="11" t="str">
        <f t="shared" si="70"/>
        <v/>
      </c>
      <c r="HP11" s="11">
        <f t="shared" si="71"/>
        <v>41.499999999999993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16.5</v>
      </c>
      <c r="QH11" s="22">
        <f t="shared" si="137"/>
        <v>2.9</v>
      </c>
      <c r="QI11" s="22">
        <f t="shared" si="138"/>
        <v>0</v>
      </c>
      <c r="QJ11" s="22">
        <f t="shared" si="139"/>
        <v>0.3</v>
      </c>
      <c r="QK11" s="22">
        <f t="shared" si="140"/>
        <v>16</v>
      </c>
      <c r="QL11" s="22">
        <f t="shared" si="141"/>
        <v>1.9</v>
      </c>
      <c r="QM11" s="22">
        <f t="shared" si="142"/>
        <v>0</v>
      </c>
      <c r="QN11" s="22">
        <f t="shared" si="143"/>
        <v>0.3</v>
      </c>
      <c r="QO11" s="22">
        <f t="shared" si="144"/>
        <v>16.600000000000001</v>
      </c>
      <c r="QP11" s="22">
        <f t="shared" si="145"/>
        <v>3.25</v>
      </c>
      <c r="QQ11" s="22">
        <f t="shared" si="146"/>
        <v>0</v>
      </c>
      <c r="QR11" s="22">
        <f t="shared" si="147"/>
        <v>0.44999999999999996</v>
      </c>
      <c r="QS11" s="22">
        <f t="shared" si="148"/>
        <v>16.600000000000001</v>
      </c>
      <c r="QT11" s="22">
        <f t="shared" si="149"/>
        <v>4.25</v>
      </c>
      <c r="QU11" s="22">
        <f t="shared" si="150"/>
        <v>0</v>
      </c>
      <c r="QV11" s="22">
        <f t="shared" si="151"/>
        <v>0.44999999999999996</v>
      </c>
      <c r="QW11" s="22">
        <f t="shared" si="152"/>
        <v>16</v>
      </c>
      <c r="QX11" s="22">
        <f t="shared" si="153"/>
        <v>3.3499999999999996</v>
      </c>
      <c r="QY11" s="22">
        <f t="shared" si="154"/>
        <v>0</v>
      </c>
      <c r="QZ11" s="22">
        <f t="shared" si="155"/>
        <v>0.44999999999999996</v>
      </c>
      <c r="RA11" s="27" t="s">
        <v>46</v>
      </c>
      <c r="RB11" s="40">
        <f t="shared" si="156"/>
        <v>4.8</v>
      </c>
      <c r="RC11" s="40">
        <f t="shared" si="157"/>
        <v>37.9</v>
      </c>
      <c r="RD11" s="40">
        <f t="shared" si="158"/>
        <v>20.3</v>
      </c>
      <c r="RE11" s="40">
        <f t="shared" si="159"/>
        <v>8.0500000000000007</v>
      </c>
      <c r="RF11" s="40">
        <f t="shared" si="160"/>
        <v>58.2</v>
      </c>
      <c r="RG11" s="40">
        <f t="shared" si="161"/>
        <v>7.6</v>
      </c>
      <c r="RH11" s="40">
        <f t="shared" si="162"/>
        <v>41.1</v>
      </c>
      <c r="RI11" s="40">
        <f t="shared" si="163"/>
        <v>99.300000000000011</v>
      </c>
    </row>
    <row r="12" spans="1:477" x14ac:dyDescent="0.2">
      <c r="A12" s="4" cm="1">
        <f t="array" ref="A12">IF(AND(J12&lt;&gt;"",J12&lt;&gt;"No DD"),SUMPRODUCT((J$4:J$27&lt;&gt;"")*(J$4:J$27&lt;&gt;"No DD")*(F$4:F$27&gt;F12))+1,IF(J12="No DD",SUMPRODUCT((J$4:J$27="No DD")*(F$4:F$27&gt;F12))+1+SUMPRODUCT((J$4:J$27&lt;&gt;"")*(J$4:J$27&lt;&gt;"No DD")),""))</f>
        <v>9</v>
      </c>
      <c r="B12" s="4" cm="1">
        <f t="array" ref="B12">IF(AND(J12&lt;&gt;"",J12&lt;&gt;"No DD",G12=""),SUMPRODUCT((J$4:J$27&lt;&gt;"")*(J$4:J$27&lt;&gt;"No DD")*(G$4:G$27="")*(F$4:F$27&gt;F12))+1,IF(J12="No DD",SUMPRODUCT((J$4:J$27="No DD")*(F$4:F$27&gt;F12)*(G$4:G$27=""))+1+SUMPRODUCT((J$4:J$27&lt;&gt;"")*(G$4:G$27="")*(J$4:J$27&lt;&gt;"No DD")),""))</f>
        <v>4</v>
      </c>
      <c r="C12" s="5" t="s">
        <v>125</v>
      </c>
      <c r="D12" s="4" t="s">
        <v>6</v>
      </c>
      <c r="E12" s="4">
        <v>2005</v>
      </c>
      <c r="F12" s="9">
        <f t="shared" si="0"/>
        <v>145.80001029000402</v>
      </c>
      <c r="G12" s="66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IF(COUNT(AS12,BV12,CY12)&gt;0,LARGE((AS12,BV12,CY12),1),0)</f>
        <v>40.200000000000003</v>
      </c>
      <c r="M12" s="8" t="str">
        <f t="shared" si="5"/>
        <v>2024 Elite Canada</v>
      </c>
      <c r="N12" s="8">
        <f>IF(COUNT(AS12,BV12,CY12)&gt;1,LARGE((AS12,BV12,CY12),2),0)</f>
        <v>40.099999999999994</v>
      </c>
      <c r="O12" s="8" t="str">
        <f t="shared" si="6"/>
        <v>2023 Nationals</v>
      </c>
      <c r="P12" s="8">
        <f>IF(COUNT(AT12,BW12,CZ12)&gt;0,LARGE((AT12,BW12,CZ12),1),0)</f>
        <v>22.6</v>
      </c>
      <c r="Q12" s="8" t="str">
        <f t="shared" si="7"/>
        <v>2024 Elite Canada</v>
      </c>
      <c r="R12" s="8">
        <f t="shared" si="8"/>
        <v>42.900000000000006</v>
      </c>
      <c r="S12" s="8" t="str">
        <f t="shared" si="9"/>
        <v>2024 Elite Canada</v>
      </c>
      <c r="T12" s="8" t="str">
        <f t="shared" si="10"/>
        <v/>
      </c>
      <c r="U12" s="11" t="str">
        <f t="shared" si="11"/>
        <v/>
      </c>
      <c r="V12" s="8" t="str">
        <f t="shared" si="12"/>
        <v/>
      </c>
      <c r="W12" s="19">
        <v>15.7</v>
      </c>
      <c r="X12" s="19">
        <v>3.2</v>
      </c>
      <c r="Y12" s="19">
        <v>0</v>
      </c>
      <c r="Z12" s="19">
        <v>0</v>
      </c>
      <c r="AA12" s="19">
        <v>16.7</v>
      </c>
      <c r="AB12" s="19">
        <v>3.9</v>
      </c>
      <c r="AC12" s="19">
        <v>0</v>
      </c>
      <c r="AD12" s="19">
        <v>0.6</v>
      </c>
      <c r="AE12" s="19">
        <v>16.7</v>
      </c>
      <c r="AF12" s="19">
        <v>3.9</v>
      </c>
      <c r="AG12" s="19">
        <v>0</v>
      </c>
      <c r="AH12" s="19">
        <v>0.6</v>
      </c>
      <c r="AI12" s="19">
        <v>16.8</v>
      </c>
      <c r="AJ12" s="19">
        <v>3.9</v>
      </c>
      <c r="AK12" s="19">
        <v>0</v>
      </c>
      <c r="AL12" s="19">
        <v>0.3</v>
      </c>
      <c r="AM12" s="19">
        <v>16.899999999999999</v>
      </c>
      <c r="AN12" s="19">
        <v>3.9</v>
      </c>
      <c r="AO12" s="19">
        <v>0</v>
      </c>
      <c r="AP12" s="19">
        <v>0.6</v>
      </c>
      <c r="AQ12" s="27"/>
      <c r="AR12" s="40">
        <f t="shared" si="13"/>
        <v>7.1</v>
      </c>
      <c r="AS12" s="40">
        <f t="shared" si="14"/>
        <v>40.099999999999994</v>
      </c>
      <c r="AT12" s="40">
        <f t="shared" si="15"/>
        <v>21.2</v>
      </c>
      <c r="AU12" s="40">
        <f t="shared" si="16"/>
        <v>11</v>
      </c>
      <c r="AV12" s="40">
        <f t="shared" si="17"/>
        <v>61.3</v>
      </c>
      <c r="AW12" s="40">
        <f t="shared" si="18"/>
        <v>7.8</v>
      </c>
      <c r="AX12" s="40">
        <f t="shared" si="19"/>
        <v>42.4</v>
      </c>
      <c r="AY12" s="40">
        <f t="shared" si="20"/>
        <v>103.69999999999999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 t="shared" si="21"/>
        <v/>
      </c>
      <c r="BV12" s="11" t="str">
        <f t="shared" si="22"/>
        <v/>
      </c>
      <c r="BW12" s="11" t="str">
        <f t="shared" si="23"/>
        <v/>
      </c>
      <c r="BX12" s="11" t="str">
        <f t="shared" si="24"/>
        <v/>
      </c>
      <c r="BY12" s="11" t="str">
        <f t="shared" si="25"/>
        <v/>
      </c>
      <c r="BZ12" s="11" t="str">
        <f t="shared" si="26"/>
        <v/>
      </c>
      <c r="CA12" s="11" t="str">
        <f t="shared" si="27"/>
        <v/>
      </c>
      <c r="CB12" s="11" t="str">
        <f t="shared" si="28"/>
        <v/>
      </c>
      <c r="CC12" s="19">
        <v>14.9</v>
      </c>
      <c r="CD12" s="19">
        <v>3.9</v>
      </c>
      <c r="CE12" s="19">
        <v>0.2</v>
      </c>
      <c r="CF12" s="19">
        <v>0.3</v>
      </c>
      <c r="CG12" s="19">
        <v>16.8</v>
      </c>
      <c r="CH12" s="19">
        <v>3.9</v>
      </c>
      <c r="CI12" s="19">
        <v>0</v>
      </c>
      <c r="CJ12" s="19">
        <v>0.6</v>
      </c>
      <c r="CK12" s="19">
        <v>17.399999999999999</v>
      </c>
      <c r="CL12" s="19">
        <v>4.5999999999999996</v>
      </c>
      <c r="CM12" s="19">
        <v>0</v>
      </c>
      <c r="CN12" s="19">
        <v>0.6</v>
      </c>
      <c r="CO12" s="19">
        <v>16.399999999999999</v>
      </c>
      <c r="CP12" s="19">
        <v>4.5999999999999996</v>
      </c>
      <c r="CQ12" s="19">
        <v>0</v>
      </c>
      <c r="CR12" s="19">
        <v>0.6</v>
      </c>
      <c r="CS12" s="19">
        <v>16.8</v>
      </c>
      <c r="CT12" s="19">
        <v>3.9</v>
      </c>
      <c r="CU12" s="19">
        <v>0</v>
      </c>
      <c r="CV12" s="19">
        <v>0.6</v>
      </c>
      <c r="CW12" s="27"/>
      <c r="CX12" s="40">
        <f t="shared" si="29"/>
        <v>7.8</v>
      </c>
      <c r="CY12" s="40">
        <f t="shared" si="30"/>
        <v>40.200000000000003</v>
      </c>
      <c r="CZ12" s="40">
        <f t="shared" si="31"/>
        <v>22.6</v>
      </c>
      <c r="DA12" s="40">
        <f t="shared" si="32"/>
        <v>12.399999999999999</v>
      </c>
      <c r="DB12" s="40">
        <f t="shared" si="33"/>
        <v>62.800000000000004</v>
      </c>
      <c r="DC12" s="40">
        <f t="shared" si="34"/>
        <v>8.5</v>
      </c>
      <c r="DD12" s="40">
        <f t="shared" si="35"/>
        <v>42.900000000000006</v>
      </c>
      <c r="DE12" s="40">
        <f t="shared" si="36"/>
        <v>105.70000000000002</v>
      </c>
      <c r="DF12" s="50" t="str">
        <f t="shared" si="37"/>
        <v/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6"/>
        <v/>
      </c>
      <c r="GH12" s="40" t="str">
        <f t="shared" si="57"/>
        <v/>
      </c>
      <c r="GI12" s="40" t="str">
        <f t="shared" si="58"/>
        <v/>
      </c>
      <c r="GJ12" s="40" t="str">
        <f t="shared" si="59"/>
        <v/>
      </c>
      <c r="GK12" s="40" t="str">
        <f t="shared" si="60"/>
        <v/>
      </c>
      <c r="GL12" s="40" t="str">
        <f t="shared" si="61"/>
        <v/>
      </c>
      <c r="GM12" s="40" t="str">
        <f t="shared" si="62"/>
        <v/>
      </c>
      <c r="GN12" s="40" t="str">
        <f t="shared" si="63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7.45</v>
      </c>
      <c r="QH12" s="22">
        <f t="shared" si="137"/>
        <v>1.95</v>
      </c>
      <c r="QI12" s="22">
        <f t="shared" si="138"/>
        <v>0.1</v>
      </c>
      <c r="QJ12" s="22">
        <f t="shared" si="139"/>
        <v>0.15</v>
      </c>
      <c r="QK12" s="22">
        <f t="shared" si="140"/>
        <v>8.4</v>
      </c>
      <c r="QL12" s="22">
        <f t="shared" si="141"/>
        <v>1.95</v>
      </c>
      <c r="QM12" s="22">
        <f t="shared" si="142"/>
        <v>0</v>
      </c>
      <c r="QN12" s="22">
        <f t="shared" si="143"/>
        <v>0.3</v>
      </c>
      <c r="QO12" s="22">
        <f t="shared" si="144"/>
        <v>8.6999999999999993</v>
      </c>
      <c r="QP12" s="22">
        <f t="shared" si="145"/>
        <v>2.2999999999999998</v>
      </c>
      <c r="QQ12" s="22">
        <f t="shared" si="146"/>
        <v>0</v>
      </c>
      <c r="QR12" s="22">
        <f t="shared" si="147"/>
        <v>0.3</v>
      </c>
      <c r="QS12" s="22">
        <f t="shared" si="148"/>
        <v>8.1999999999999993</v>
      </c>
      <c r="QT12" s="22">
        <f t="shared" si="149"/>
        <v>2.2999999999999998</v>
      </c>
      <c r="QU12" s="22">
        <f t="shared" si="150"/>
        <v>0</v>
      </c>
      <c r="QV12" s="22">
        <f t="shared" si="151"/>
        <v>0.3</v>
      </c>
      <c r="QW12" s="22">
        <f t="shared" si="152"/>
        <v>8.4</v>
      </c>
      <c r="QX12" s="22">
        <f t="shared" si="153"/>
        <v>1.95</v>
      </c>
      <c r="QY12" s="22">
        <f t="shared" si="154"/>
        <v>0</v>
      </c>
      <c r="QZ12" s="22">
        <f t="shared" si="155"/>
        <v>0.3</v>
      </c>
      <c r="RA12" s="27" t="s">
        <v>46</v>
      </c>
      <c r="RB12" s="40">
        <f t="shared" si="156"/>
        <v>3.9</v>
      </c>
      <c r="RC12" s="40">
        <f t="shared" si="157"/>
        <v>20.100000000000001</v>
      </c>
      <c r="RD12" s="40">
        <f t="shared" si="158"/>
        <v>11.3</v>
      </c>
      <c r="RE12" s="40">
        <f t="shared" si="159"/>
        <v>6.1999999999999993</v>
      </c>
      <c r="RF12" s="40">
        <f t="shared" si="160"/>
        <v>31.400000000000002</v>
      </c>
      <c r="RG12" s="40">
        <f t="shared" si="161"/>
        <v>4.25</v>
      </c>
      <c r="RH12" s="40">
        <f t="shared" si="162"/>
        <v>21.450000000000003</v>
      </c>
      <c r="RI12" s="40">
        <f t="shared" si="163"/>
        <v>52.850000000000009</v>
      </c>
    </row>
    <row r="13" spans="1:477" x14ac:dyDescent="0.2">
      <c r="A13" s="4" cm="1">
        <f t="array" ref="A13">IF(AND(J13&lt;&gt;"",J13&lt;&gt;"No DD"),SUMPRODUCT((J$4:J$27&lt;&gt;"")*(J$4:J$27&lt;&gt;"No DD")*(F$4:F$27&gt;F13))+1,IF(J13="No DD",SUMPRODUCT((J$4:J$27="No DD")*(F$4:F$27&gt;F13))+1+SUMPRODUCT((J$4:J$27&lt;&gt;"")*(J$4:J$27&lt;&gt;"No DD")),""))</f>
        <v>10</v>
      </c>
      <c r="B13" s="4" cm="1">
        <f t="array" ref="B13">IF(AND(J13&lt;&gt;"",J13&lt;&gt;"No DD",G13=""),SUMPRODUCT((J$4:J$27&lt;&gt;"")*(J$4:J$27&lt;&gt;"No DD")*(G$4:G$27="")*(F$4:F$27&gt;F13))+1,IF(J13="No DD",SUMPRODUCT((J$4:J$27="No DD")*(F$4:F$27&gt;F13)*(G$4:G$27=""))+1+SUMPRODUCT((J$4:J$27&lt;&gt;"")*(G$4:G$27="")*(J$4:J$27&lt;&gt;"No DD")),""))</f>
        <v>5</v>
      </c>
      <c r="C13" s="5" t="s">
        <v>228</v>
      </c>
      <c r="D13" s="4" t="s">
        <v>6</v>
      </c>
      <c r="E13" s="4">
        <v>2003</v>
      </c>
      <c r="F13" s="9">
        <f t="shared" si="0"/>
        <v>107.70000648000426</v>
      </c>
      <c r="G13" s="66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IF(COUNT(AS13,BV13,CY13)&gt;0,LARGE((AS13,BV13,CY13),1),0)</f>
        <v>42.79999999999999</v>
      </c>
      <c r="M13" s="8" t="str">
        <f t="shared" si="5"/>
        <v>2024 Elite Canada</v>
      </c>
      <c r="N13" s="8">
        <f>IF(COUNT(AS13,BV13,CY13)&gt;1,LARGE((AS13,BV13,CY13),2),0)</f>
        <v>0</v>
      </c>
      <c r="O13" s="8" t="str">
        <f t="shared" si="6"/>
        <v/>
      </c>
      <c r="P13" s="8">
        <f>IF(COUNT(AT13,BW13,CZ13)&gt;0,LARGE((AT13,BW13,CZ13),1),0)</f>
        <v>22</v>
      </c>
      <c r="Q13" s="8" t="str">
        <f t="shared" si="7"/>
        <v>2024 Elite Canada</v>
      </c>
      <c r="R13" s="8">
        <f t="shared" si="8"/>
        <v>42.9</v>
      </c>
      <c r="S13" s="8" t="str">
        <f t="shared" si="9"/>
        <v>2024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 t="shared" si="13"/>
        <v/>
      </c>
      <c r="AS13" s="40" t="str">
        <f t="shared" si="14"/>
        <v/>
      </c>
      <c r="AT13" s="40" t="str">
        <f t="shared" si="15"/>
        <v/>
      </c>
      <c r="AU13" s="40" t="str">
        <f t="shared" si="16"/>
        <v/>
      </c>
      <c r="AV13" s="40" t="str">
        <f t="shared" si="17"/>
        <v/>
      </c>
      <c r="AW13" s="40" t="str">
        <f t="shared" si="18"/>
        <v/>
      </c>
      <c r="AX13" s="40" t="str">
        <f t="shared" si="19"/>
        <v/>
      </c>
      <c r="AY13" s="40" t="str">
        <f t="shared" si="20"/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 t="shared" si="21"/>
        <v/>
      </c>
      <c r="BV13" s="11" t="str">
        <f t="shared" si="22"/>
        <v/>
      </c>
      <c r="BW13" s="11" t="str">
        <f t="shared" si="23"/>
        <v/>
      </c>
      <c r="BX13" s="11" t="str">
        <f t="shared" si="24"/>
        <v/>
      </c>
      <c r="BY13" s="11" t="str">
        <f t="shared" si="25"/>
        <v/>
      </c>
      <c r="BZ13" s="11" t="str">
        <f t="shared" si="26"/>
        <v/>
      </c>
      <c r="CA13" s="11" t="str">
        <f t="shared" si="27"/>
        <v/>
      </c>
      <c r="CB13" s="11" t="str">
        <f t="shared" si="28"/>
        <v/>
      </c>
      <c r="CC13" s="19">
        <v>16.7</v>
      </c>
      <c r="CD13" s="19">
        <v>4.0999999999999996</v>
      </c>
      <c r="CE13" s="19">
        <v>0</v>
      </c>
      <c r="CF13" s="19">
        <v>0.3</v>
      </c>
      <c r="CG13" s="19">
        <v>17.5</v>
      </c>
      <c r="CH13" s="19">
        <v>3.9</v>
      </c>
      <c r="CI13" s="19">
        <v>0</v>
      </c>
      <c r="CJ13" s="19">
        <v>0.3</v>
      </c>
      <c r="CK13" s="19">
        <v>17.8</v>
      </c>
      <c r="CL13" s="19">
        <v>3.9</v>
      </c>
      <c r="CM13" s="19">
        <v>0</v>
      </c>
      <c r="CN13" s="19">
        <v>0.3</v>
      </c>
      <c r="CO13" s="19">
        <v>17</v>
      </c>
      <c r="CP13" s="19">
        <v>3.9</v>
      </c>
      <c r="CQ13" s="19">
        <v>0</v>
      </c>
      <c r="CR13" s="19">
        <v>0.3</v>
      </c>
      <c r="CS13" s="19">
        <v>17.3</v>
      </c>
      <c r="CT13" s="19">
        <v>4.0999999999999996</v>
      </c>
      <c r="CU13" s="19">
        <v>0</v>
      </c>
      <c r="CV13" s="19">
        <v>0.3</v>
      </c>
      <c r="CW13" s="27"/>
      <c r="CX13" s="40">
        <f t="shared" si="29"/>
        <v>8</v>
      </c>
      <c r="CY13" s="40">
        <f t="shared" si="30"/>
        <v>42.79999999999999</v>
      </c>
      <c r="CZ13" s="40">
        <f t="shared" si="31"/>
        <v>22</v>
      </c>
      <c r="DA13" s="40">
        <f t="shared" si="32"/>
        <v>11.9</v>
      </c>
      <c r="DB13" s="40">
        <f t="shared" si="33"/>
        <v>64.799999999999983</v>
      </c>
      <c r="DC13" s="40">
        <f t="shared" si="34"/>
        <v>8</v>
      </c>
      <c r="DD13" s="40">
        <f t="shared" si="35"/>
        <v>42.9</v>
      </c>
      <c r="DE13" s="40">
        <f t="shared" si="36"/>
        <v>107.69999999999999</v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8.35</v>
      </c>
      <c r="QH13" s="22">
        <f t="shared" si="137"/>
        <v>2.0499999999999998</v>
      </c>
      <c r="QI13" s="22">
        <f t="shared" si="138"/>
        <v>0</v>
      </c>
      <c r="QJ13" s="22">
        <f t="shared" si="139"/>
        <v>0.15</v>
      </c>
      <c r="QK13" s="22">
        <f t="shared" si="140"/>
        <v>8.75</v>
      </c>
      <c r="QL13" s="22">
        <f t="shared" si="141"/>
        <v>1.95</v>
      </c>
      <c r="QM13" s="22">
        <f t="shared" si="142"/>
        <v>0</v>
      </c>
      <c r="QN13" s="22">
        <f t="shared" si="143"/>
        <v>0.15</v>
      </c>
      <c r="QO13" s="22">
        <f t="shared" si="144"/>
        <v>8.9</v>
      </c>
      <c r="QP13" s="22">
        <f t="shared" si="145"/>
        <v>1.95</v>
      </c>
      <c r="QQ13" s="22">
        <f t="shared" si="146"/>
        <v>0</v>
      </c>
      <c r="QR13" s="22">
        <f t="shared" si="147"/>
        <v>0.15</v>
      </c>
      <c r="QS13" s="22">
        <f t="shared" si="148"/>
        <v>8.5</v>
      </c>
      <c r="QT13" s="22">
        <f t="shared" si="149"/>
        <v>1.95</v>
      </c>
      <c r="QU13" s="22">
        <f t="shared" si="150"/>
        <v>0</v>
      </c>
      <c r="QV13" s="22">
        <f t="shared" si="151"/>
        <v>0.15</v>
      </c>
      <c r="QW13" s="22">
        <f t="shared" si="152"/>
        <v>8.65</v>
      </c>
      <c r="QX13" s="22">
        <f t="shared" si="153"/>
        <v>2.0499999999999998</v>
      </c>
      <c r="QY13" s="22">
        <f t="shared" si="154"/>
        <v>0</v>
      </c>
      <c r="QZ13" s="22">
        <f t="shared" si="155"/>
        <v>0.15</v>
      </c>
      <c r="RA13" s="27" t="s">
        <v>46</v>
      </c>
      <c r="RB13" s="40">
        <f t="shared" si="156"/>
        <v>4</v>
      </c>
      <c r="RC13" s="40">
        <f t="shared" si="157"/>
        <v>21.399999999999995</v>
      </c>
      <c r="RD13" s="40">
        <f t="shared" si="158"/>
        <v>11</v>
      </c>
      <c r="RE13" s="40">
        <f t="shared" si="159"/>
        <v>5.95</v>
      </c>
      <c r="RF13" s="40">
        <f t="shared" si="160"/>
        <v>32.399999999999991</v>
      </c>
      <c r="RG13" s="40">
        <f t="shared" si="161"/>
        <v>4</v>
      </c>
      <c r="RH13" s="40">
        <f t="shared" si="162"/>
        <v>21.45</v>
      </c>
      <c r="RI13" s="40">
        <f t="shared" si="163"/>
        <v>53.849999999999994</v>
      </c>
    </row>
    <row r="14" spans="1:477" x14ac:dyDescent="0.2">
      <c r="A14" s="4" cm="1">
        <f t="array" ref="A14">IF(AND(J14&lt;&gt;"",J14&lt;&gt;"No DD"),SUMPRODUCT((J$4:J$27&lt;&gt;"")*(J$4:J$27&lt;&gt;"No DD")*(F$4:F$27&gt;F14))+1,IF(J14="No DD",SUMPRODUCT((J$4:J$27="No DD")*(F$4:F$27&gt;F14))+1+SUMPRODUCT((J$4:J$27&lt;&gt;"")*(J$4:J$27&lt;&gt;"No DD")),""))</f>
        <v>11</v>
      </c>
      <c r="B14" s="4" cm="1">
        <f t="array" ref="B14">IF(AND(J14&lt;&gt;"",J14&lt;&gt;"No DD",G14=""),SUMPRODUCT((J$4:J$27&lt;&gt;"")*(J$4:J$27&lt;&gt;"No DD")*(G$4:G$27="")*(F$4:F$27&gt;F14))+1,IF(J14="No DD",SUMPRODUCT((J$4:J$27="No DD")*(F$4:F$27&gt;F14)*(G$4:G$27=""))+1+SUMPRODUCT((J$4:J$27&lt;&gt;"")*(G$4:G$27="")*(J$4:J$27&lt;&gt;"No DD")),""))</f>
        <v>6</v>
      </c>
      <c r="C14" s="5" t="s">
        <v>229</v>
      </c>
      <c r="D14" s="4" t="s">
        <v>3</v>
      </c>
      <c r="E14" s="4">
        <v>2007</v>
      </c>
      <c r="F14" s="9">
        <f t="shared" si="0"/>
        <v>143.10001004000395</v>
      </c>
      <c r="G14" s="66"/>
      <c r="H14" s="3" t="str">
        <f t="shared" si="1"/>
        <v/>
      </c>
      <c r="I14" s="3" t="str">
        <f t="shared" si="2"/>
        <v>P</v>
      </c>
      <c r="J14" s="36" t="str">
        <f t="shared" si="3"/>
        <v>No DD</v>
      </c>
      <c r="K14" s="3" t="str">
        <f t="shared" si="4"/>
        <v/>
      </c>
      <c r="L14" s="8">
        <f>IF(COUNT(AS14,BV14,CY14)&gt;0,LARGE((AS14,BV14,CY14),1),0)</f>
        <v>39.399999999999991</v>
      </c>
      <c r="M14" s="8" t="str">
        <f t="shared" si="5"/>
        <v>2023 Nationals</v>
      </c>
      <c r="N14" s="8">
        <f>IF(COUNT(AS14,BV14,CY14)&gt;1,LARGE((AS14,BV14,CY14),2),0)</f>
        <v>39.300000000000004</v>
      </c>
      <c r="O14" s="8" t="str">
        <f t="shared" si="6"/>
        <v>2024 Elite Canada</v>
      </c>
      <c r="P14" s="8">
        <f>IF(COUNT(AT14,BW14,CZ14)&gt;0,LARGE((AT14,BW14,CZ14),1),0)</f>
        <v>21.700000000000003</v>
      </c>
      <c r="Q14" s="8" t="str">
        <f t="shared" si="7"/>
        <v>2024 Elite Canada</v>
      </c>
      <c r="R14" s="8">
        <f t="shared" si="8"/>
        <v>42.7</v>
      </c>
      <c r="S14" s="8" t="str">
        <f t="shared" si="9"/>
        <v>2024 Elite Canada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17.399999999999999</v>
      </c>
      <c r="X14" s="19">
        <v>3.2</v>
      </c>
      <c r="Y14" s="19">
        <v>0</v>
      </c>
      <c r="Z14" s="19">
        <v>0</v>
      </c>
      <c r="AA14" s="19">
        <v>15.7</v>
      </c>
      <c r="AB14" s="19">
        <v>3</v>
      </c>
      <c r="AC14" s="19">
        <v>0.2</v>
      </c>
      <c r="AD14" s="19">
        <v>0.3</v>
      </c>
      <c r="AE14" s="19"/>
      <c r="AF14" s="19"/>
      <c r="AG14" s="19"/>
      <c r="AH14" s="19"/>
      <c r="AI14" s="19">
        <v>17.5</v>
      </c>
      <c r="AJ14" s="19">
        <v>3.2</v>
      </c>
      <c r="AK14" s="19">
        <v>0</v>
      </c>
      <c r="AL14" s="19">
        <v>0.3</v>
      </c>
      <c r="AM14" s="19">
        <v>17.399999999999999</v>
      </c>
      <c r="AN14" s="19">
        <v>2.8</v>
      </c>
      <c r="AO14" s="19">
        <v>0.2</v>
      </c>
      <c r="AP14" s="19">
        <v>0.3</v>
      </c>
      <c r="AQ14" s="27"/>
      <c r="AR14" s="40">
        <f t="shared" si="13"/>
        <v>6.2</v>
      </c>
      <c r="AS14" s="40">
        <f t="shared" si="14"/>
        <v>39.399999999999991</v>
      </c>
      <c r="AT14" s="40" t="str">
        <f t="shared" si="15"/>
        <v/>
      </c>
      <c r="AU14" s="40">
        <f t="shared" si="16"/>
        <v>6.2</v>
      </c>
      <c r="AV14" s="40">
        <f t="shared" si="17"/>
        <v>39.399999999999991</v>
      </c>
      <c r="AW14" s="40">
        <f t="shared" si="18"/>
        <v>6</v>
      </c>
      <c r="AX14" s="40">
        <f t="shared" si="19"/>
        <v>41.29999999999999</v>
      </c>
      <c r="AY14" s="40">
        <f t="shared" si="20"/>
        <v>80.699999999999989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 t="shared" si="21"/>
        <v/>
      </c>
      <c r="BV14" s="11" t="str">
        <f t="shared" si="22"/>
        <v/>
      </c>
      <c r="BW14" s="11" t="str">
        <f t="shared" si="23"/>
        <v/>
      </c>
      <c r="BX14" s="11" t="str">
        <f t="shared" si="24"/>
        <v/>
      </c>
      <c r="BY14" s="11" t="str">
        <f t="shared" si="25"/>
        <v/>
      </c>
      <c r="BZ14" s="11" t="str">
        <f t="shared" si="26"/>
        <v/>
      </c>
      <c r="CA14" s="11" t="str">
        <f t="shared" si="27"/>
        <v/>
      </c>
      <c r="CB14" s="11" t="str">
        <f t="shared" si="28"/>
        <v/>
      </c>
      <c r="CC14" s="19">
        <v>16.5</v>
      </c>
      <c r="CD14" s="19">
        <v>3.8</v>
      </c>
      <c r="CE14" s="19">
        <v>0</v>
      </c>
      <c r="CF14" s="19">
        <v>0.6</v>
      </c>
      <c r="CG14" s="19">
        <v>16.2</v>
      </c>
      <c r="CH14" s="19">
        <v>3.6</v>
      </c>
      <c r="CI14" s="19">
        <v>2</v>
      </c>
      <c r="CJ14" s="19">
        <v>0.6</v>
      </c>
      <c r="CK14" s="19">
        <v>17.5</v>
      </c>
      <c r="CL14" s="19">
        <v>3.6</v>
      </c>
      <c r="CM14" s="19">
        <v>0</v>
      </c>
      <c r="CN14" s="19">
        <v>0.6</v>
      </c>
      <c r="CO14" s="19">
        <v>16.899999999999999</v>
      </c>
      <c r="CP14" s="19">
        <v>3.8</v>
      </c>
      <c r="CQ14" s="19">
        <v>0</v>
      </c>
      <c r="CR14" s="19">
        <v>0.6</v>
      </c>
      <c r="CS14" s="19">
        <v>17.2</v>
      </c>
      <c r="CT14" s="19">
        <v>3.6</v>
      </c>
      <c r="CU14" s="19">
        <v>0</v>
      </c>
      <c r="CV14" s="19">
        <v>0.6</v>
      </c>
      <c r="CW14" s="27"/>
      <c r="CX14" s="40">
        <f t="shared" si="29"/>
        <v>7.4</v>
      </c>
      <c r="CY14" s="40">
        <f t="shared" si="30"/>
        <v>39.300000000000004</v>
      </c>
      <c r="CZ14" s="40">
        <f t="shared" si="31"/>
        <v>21.700000000000003</v>
      </c>
      <c r="DA14" s="40">
        <f t="shared" si="32"/>
        <v>11</v>
      </c>
      <c r="DB14" s="40">
        <f t="shared" si="33"/>
        <v>61.000000000000007</v>
      </c>
      <c r="DC14" s="40">
        <f t="shared" si="34"/>
        <v>7.4</v>
      </c>
      <c r="DD14" s="40">
        <f t="shared" si="35"/>
        <v>42.7</v>
      </c>
      <c r="DE14" s="40">
        <f t="shared" si="36"/>
        <v>103.70000000000002</v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8.25</v>
      </c>
      <c r="QH14" s="22">
        <f t="shared" si="137"/>
        <v>1.9</v>
      </c>
      <c r="QI14" s="22">
        <f t="shared" si="138"/>
        <v>0</v>
      </c>
      <c r="QJ14" s="22">
        <f t="shared" si="139"/>
        <v>0.3</v>
      </c>
      <c r="QK14" s="22">
        <f t="shared" si="140"/>
        <v>8.1</v>
      </c>
      <c r="QL14" s="22">
        <f t="shared" si="141"/>
        <v>1.8</v>
      </c>
      <c r="QM14" s="22">
        <f t="shared" si="142"/>
        <v>1</v>
      </c>
      <c r="QN14" s="22">
        <f t="shared" si="143"/>
        <v>0.3</v>
      </c>
      <c r="QO14" s="22">
        <f t="shared" si="144"/>
        <v>8.75</v>
      </c>
      <c r="QP14" s="22">
        <f t="shared" si="145"/>
        <v>1.8</v>
      </c>
      <c r="QQ14" s="22">
        <f t="shared" si="146"/>
        <v>0</v>
      </c>
      <c r="QR14" s="22">
        <f t="shared" si="147"/>
        <v>0.3</v>
      </c>
      <c r="QS14" s="22">
        <f t="shared" si="148"/>
        <v>8.4499999999999993</v>
      </c>
      <c r="QT14" s="22">
        <f t="shared" si="149"/>
        <v>1.9</v>
      </c>
      <c r="QU14" s="22">
        <f t="shared" si="150"/>
        <v>0</v>
      </c>
      <c r="QV14" s="22">
        <f t="shared" si="151"/>
        <v>0.3</v>
      </c>
      <c r="QW14" s="22">
        <f t="shared" si="152"/>
        <v>8.6</v>
      </c>
      <c r="QX14" s="22">
        <f t="shared" si="153"/>
        <v>1.8</v>
      </c>
      <c r="QY14" s="22">
        <f t="shared" si="154"/>
        <v>0</v>
      </c>
      <c r="QZ14" s="22">
        <f t="shared" si="155"/>
        <v>0.3</v>
      </c>
      <c r="RA14" s="27" t="s">
        <v>46</v>
      </c>
      <c r="RB14" s="40">
        <f t="shared" si="156"/>
        <v>3.7</v>
      </c>
      <c r="RC14" s="40">
        <f t="shared" si="157"/>
        <v>19.650000000000002</v>
      </c>
      <c r="RD14" s="40">
        <f t="shared" si="158"/>
        <v>10.850000000000001</v>
      </c>
      <c r="RE14" s="40">
        <f t="shared" si="159"/>
        <v>5.5</v>
      </c>
      <c r="RF14" s="40">
        <f t="shared" si="160"/>
        <v>30.500000000000004</v>
      </c>
      <c r="RG14" s="40">
        <f t="shared" si="161"/>
        <v>3.7</v>
      </c>
      <c r="RH14" s="40">
        <f t="shared" si="162"/>
        <v>21.35</v>
      </c>
      <c r="RI14" s="40">
        <f t="shared" si="163"/>
        <v>51.850000000000009</v>
      </c>
    </row>
    <row r="15" spans="1:477" x14ac:dyDescent="0.2">
      <c r="A15" s="4" t="str" cm="1">
        <f t="array" ref="A15">IF(AND(J15&lt;&gt;"",J15&lt;&gt;"No DD"),SUMPRODUCT((J$4:J$27&lt;&gt;"")*(J$4:J$27&lt;&gt;"No DD")*(F$4:F$27&gt;F15))+1,IF(J15="No DD",SUMPRODUCT((J$4:J$27="No DD")*(F$4:F$27&gt;F15))+1+SUMPRODUCT((J$4:J$27&lt;&gt;"")*(J$4:J$27&lt;&gt;"No DD")),""))</f>
        <v/>
      </c>
      <c r="B15" s="4" t="str" cm="1">
        <f t="array" ref="B15">IF(AND(J15&lt;&gt;"",J15&lt;&gt;"No DD",G15=""),SUMPRODUCT((J$4:J$27&lt;&gt;"")*(J$4:J$27&lt;&gt;"No DD")*(G$4:G$27="")*(F$4:F$27&gt;F15))+1,IF(J15="No DD",SUMPRODUCT((J$4:J$27="No DD")*(F$4:F$27&gt;F15)*(G$4:G$27=""))+1+SUMPRODUCT((J$4:J$27&lt;&gt;"")*(G$4:G$27="")*(J$4:J$27&lt;&gt;"No DD")),""))</f>
        <v/>
      </c>
      <c r="C15" s="5" t="s">
        <v>172</v>
      </c>
      <c r="D15" s="4" t="s">
        <v>3</v>
      </c>
      <c r="E15" s="4">
        <v>2005</v>
      </c>
      <c r="F15" s="9">
        <f t="shared" si="0"/>
        <v>140.10000997000398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39.799999999999997</v>
      </c>
      <c r="M15" s="8" t="str">
        <f t="shared" si="5"/>
        <v>2023 Nationals</v>
      </c>
      <c r="N15" s="8">
        <f>IF(COUNT(AS15,BV15,CY15)&gt;1,LARGE((AS15,BV15,CY15),2),0)</f>
        <v>39.300000000000004</v>
      </c>
      <c r="O15" s="8" t="str">
        <f t="shared" si="6"/>
        <v>2023 3rd Domestic Trial</v>
      </c>
      <c r="P15" s="8">
        <f>IF(COUNT(AT15,BW15,CZ15)&gt;0,LARGE((AT15,BW15,CZ15),1),0)</f>
        <v>20.599999999999998</v>
      </c>
      <c r="Q15" s="8" t="str">
        <f t="shared" si="7"/>
        <v>2023 3rd Domestic Trial</v>
      </c>
      <c r="R15" s="8">
        <f t="shared" si="8"/>
        <v>40.4</v>
      </c>
      <c r="S15" s="8" t="str">
        <f t="shared" si="9"/>
        <v>2023 3rd Domestic Trial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>
        <v>16.399999999999999</v>
      </c>
      <c r="X15" s="19">
        <v>3.9</v>
      </c>
      <c r="Y15" s="19">
        <v>0</v>
      </c>
      <c r="Z15" s="19">
        <v>0.6</v>
      </c>
      <c r="AA15" s="19">
        <v>14.5</v>
      </c>
      <c r="AB15" s="19">
        <v>4.0999999999999996</v>
      </c>
      <c r="AC15" s="19">
        <v>0</v>
      </c>
      <c r="AD15" s="19">
        <v>0.3</v>
      </c>
      <c r="AE15" s="19">
        <v>16.8</v>
      </c>
      <c r="AF15" s="19">
        <v>3.2</v>
      </c>
      <c r="AG15" s="19">
        <v>0</v>
      </c>
      <c r="AH15" s="19">
        <v>0.3</v>
      </c>
      <c r="AI15" s="19">
        <v>15.8</v>
      </c>
      <c r="AJ15" s="19">
        <v>3.5</v>
      </c>
      <c r="AK15" s="19">
        <v>0</v>
      </c>
      <c r="AL15" s="19">
        <v>0.6</v>
      </c>
      <c r="AM15" s="19">
        <v>15.9</v>
      </c>
      <c r="AN15" s="19">
        <v>3.2</v>
      </c>
      <c r="AO15" s="19">
        <v>0</v>
      </c>
      <c r="AP15" s="19">
        <v>0.3</v>
      </c>
      <c r="AQ15" s="27"/>
      <c r="AR15" s="40">
        <f t="shared" si="13"/>
        <v>8</v>
      </c>
      <c r="AS15" s="40">
        <f t="shared" si="14"/>
        <v>39.799999999999997</v>
      </c>
      <c r="AT15" s="40">
        <f t="shared" si="15"/>
        <v>20.3</v>
      </c>
      <c r="AU15" s="40">
        <f t="shared" si="16"/>
        <v>11.2</v>
      </c>
      <c r="AV15" s="40">
        <f t="shared" si="17"/>
        <v>60.099999999999994</v>
      </c>
      <c r="AW15" s="40">
        <f t="shared" si="18"/>
        <v>6.7</v>
      </c>
      <c r="AX15" s="40">
        <f t="shared" si="19"/>
        <v>39.300000000000004</v>
      </c>
      <c r="AY15" s="40">
        <f t="shared" si="20"/>
        <v>99.4</v>
      </c>
      <c r="AZ15" s="18">
        <v>14.8</v>
      </c>
      <c r="BA15" s="18">
        <v>4.0999999999999996</v>
      </c>
      <c r="BB15" s="18">
        <v>0.4</v>
      </c>
      <c r="BC15" s="18">
        <v>0.3</v>
      </c>
      <c r="BD15" s="18">
        <v>16</v>
      </c>
      <c r="BE15" s="18">
        <v>3.9</v>
      </c>
      <c r="BF15" s="18">
        <v>0</v>
      </c>
      <c r="BG15" s="18">
        <v>0.6</v>
      </c>
      <c r="BH15" s="18">
        <v>16.399999999999999</v>
      </c>
      <c r="BI15" s="18">
        <v>3.9</v>
      </c>
      <c r="BJ15" s="18">
        <v>0</v>
      </c>
      <c r="BK15" s="18">
        <v>0.3</v>
      </c>
      <c r="BL15" s="18">
        <v>16.399999999999999</v>
      </c>
      <c r="BM15" s="18">
        <v>3.2</v>
      </c>
      <c r="BN15" s="18">
        <v>0</v>
      </c>
      <c r="BO15" s="18">
        <v>0.3</v>
      </c>
      <c r="BP15" s="18">
        <v>16.100000000000001</v>
      </c>
      <c r="BQ15" s="18">
        <v>4.0999999999999996</v>
      </c>
      <c r="BR15" s="18">
        <v>0</v>
      </c>
      <c r="BS15" s="18">
        <v>0.3</v>
      </c>
      <c r="BT15" s="28"/>
      <c r="BU15" s="11">
        <f t="shared" si="21"/>
        <v>8</v>
      </c>
      <c r="BV15" s="11">
        <f t="shared" si="22"/>
        <v>39.300000000000004</v>
      </c>
      <c r="BW15" s="11">
        <f t="shared" si="23"/>
        <v>20.599999999999998</v>
      </c>
      <c r="BX15" s="11">
        <f t="shared" si="24"/>
        <v>11.9</v>
      </c>
      <c r="BY15" s="11">
        <f t="shared" si="25"/>
        <v>59.900000000000006</v>
      </c>
      <c r="BZ15" s="11">
        <f t="shared" si="26"/>
        <v>7.3</v>
      </c>
      <c r="CA15" s="11">
        <f t="shared" si="27"/>
        <v>40.4</v>
      </c>
      <c r="CB15" s="11">
        <f t="shared" si="28"/>
        <v>100.30000000000001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 t="shared" si="29"/>
        <v/>
      </c>
      <c r="CY15" s="40" t="str">
        <f t="shared" si="30"/>
        <v/>
      </c>
      <c r="CZ15" s="40" t="str">
        <f t="shared" si="31"/>
        <v/>
      </c>
      <c r="DA15" s="40" t="str">
        <f t="shared" si="32"/>
        <v/>
      </c>
      <c r="DB15" s="40" t="str">
        <f t="shared" si="33"/>
        <v/>
      </c>
      <c r="DC15" s="40" t="str">
        <f t="shared" si="34"/>
        <v/>
      </c>
      <c r="DD15" s="40" t="str">
        <f t="shared" si="35"/>
        <v/>
      </c>
      <c r="DE15" s="40" t="str">
        <f t="shared" si="36"/>
        <v/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7.4</v>
      </c>
      <c r="QH15" s="22">
        <f t="shared" si="137"/>
        <v>2.0499999999999998</v>
      </c>
      <c r="QI15" s="22">
        <f t="shared" si="138"/>
        <v>0.2</v>
      </c>
      <c r="QJ15" s="22">
        <f t="shared" si="139"/>
        <v>0.15</v>
      </c>
      <c r="QK15" s="22">
        <f t="shared" si="140"/>
        <v>8</v>
      </c>
      <c r="QL15" s="22">
        <f t="shared" si="141"/>
        <v>1.95</v>
      </c>
      <c r="QM15" s="22">
        <f t="shared" si="142"/>
        <v>0</v>
      </c>
      <c r="QN15" s="22">
        <f t="shared" si="143"/>
        <v>0.3</v>
      </c>
      <c r="QO15" s="22">
        <f t="shared" si="144"/>
        <v>8.1999999999999993</v>
      </c>
      <c r="QP15" s="22">
        <f t="shared" si="145"/>
        <v>1.95</v>
      </c>
      <c r="QQ15" s="22">
        <f t="shared" si="146"/>
        <v>0</v>
      </c>
      <c r="QR15" s="22">
        <f t="shared" si="147"/>
        <v>0.15</v>
      </c>
      <c r="QS15" s="22">
        <f t="shared" si="148"/>
        <v>8.1999999999999993</v>
      </c>
      <c r="QT15" s="22">
        <f t="shared" si="149"/>
        <v>1.6</v>
      </c>
      <c r="QU15" s="22">
        <f t="shared" si="150"/>
        <v>0</v>
      </c>
      <c r="QV15" s="22">
        <f t="shared" si="151"/>
        <v>0.15</v>
      </c>
      <c r="QW15" s="22">
        <f t="shared" si="152"/>
        <v>8.0500000000000007</v>
      </c>
      <c r="QX15" s="22">
        <f t="shared" si="153"/>
        <v>2.0499999999999998</v>
      </c>
      <c r="QY15" s="22">
        <f t="shared" si="154"/>
        <v>0</v>
      </c>
      <c r="QZ15" s="22">
        <f t="shared" si="155"/>
        <v>0.15</v>
      </c>
      <c r="RA15" s="27" t="s">
        <v>46</v>
      </c>
      <c r="RB15" s="40">
        <f t="shared" si="156"/>
        <v>4</v>
      </c>
      <c r="RC15" s="40">
        <f t="shared" si="157"/>
        <v>19.650000000000002</v>
      </c>
      <c r="RD15" s="40">
        <f t="shared" si="158"/>
        <v>10.299999999999999</v>
      </c>
      <c r="RE15" s="40">
        <f t="shared" si="159"/>
        <v>5.95</v>
      </c>
      <c r="RF15" s="40">
        <f t="shared" si="160"/>
        <v>29.950000000000003</v>
      </c>
      <c r="RG15" s="40">
        <f t="shared" si="161"/>
        <v>3.65</v>
      </c>
      <c r="RH15" s="40">
        <f t="shared" si="162"/>
        <v>20.2</v>
      </c>
      <c r="RI15" s="40">
        <f t="shared" si="163"/>
        <v>50.150000000000006</v>
      </c>
    </row>
    <row r="16" spans="1:477" x14ac:dyDescent="0.2">
      <c r="A16" s="4" t="str" cm="1">
        <f t="array" ref="A16">IF(AND(J16&lt;&gt;"",J16&lt;&gt;"No DD"),SUMPRODUCT((J$4:J$27&lt;&gt;"")*(J$4:J$27&lt;&gt;"No DD")*(F$4:F$27&gt;F16))+1,IF(J16="No DD",SUMPRODUCT((J$4:J$27="No DD")*(F$4:F$27&gt;F16))+1+SUMPRODUCT((J$4:J$27&lt;&gt;"")*(J$4:J$27&lt;&gt;"No DD")),""))</f>
        <v/>
      </c>
      <c r="B16" s="4" t="str" cm="1">
        <f t="array" ref="B16">IF(AND(J16&lt;&gt;"",J16&lt;&gt;"No DD",G16=""),SUMPRODUCT((J$4:J$27&lt;&gt;"")*(J$4:J$27&lt;&gt;"No DD")*(G$4:G$27="")*(F$4:F$27&gt;F16))+1,IF(J16="No DD",SUMPRODUCT((J$4:J$27="No DD")*(F$4:F$27&gt;F16)*(G$4:G$27=""))+1+SUMPRODUCT((J$4:J$27&lt;&gt;"")*(G$4:G$27="")*(J$4:J$27&lt;&gt;"No DD")),""))</f>
        <v/>
      </c>
      <c r="C16" s="5" t="s">
        <v>171</v>
      </c>
      <c r="D16" s="4" t="s">
        <v>3</v>
      </c>
      <c r="E16" s="4">
        <v>2003</v>
      </c>
      <c r="F16" s="9">
        <f t="shared" si="0"/>
        <v>137.16000963600379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38.499999999999993</v>
      </c>
      <c r="M16" s="8" t="str">
        <f t="shared" si="5"/>
        <v>2024 Elite Canada</v>
      </c>
      <c r="N16" s="8">
        <f>IF(COUNT(AS16,BV16,CY16)&gt;1,LARGE((AS16,BV16,CY16),2),0)</f>
        <v>36.359999999999992</v>
      </c>
      <c r="O16" s="8" t="str">
        <f t="shared" si="6"/>
        <v>2023 Nationals</v>
      </c>
      <c r="P16" s="8">
        <f>IF(COUNT(AT16,BW16,CZ16)&gt;0,LARGE((AT16,BW16,CZ16),1),0)</f>
        <v>21.500000000000004</v>
      </c>
      <c r="Q16" s="8" t="str">
        <f t="shared" si="7"/>
        <v>2024 Elite Canada</v>
      </c>
      <c r="R16" s="8">
        <f t="shared" si="8"/>
        <v>40.799999999999997</v>
      </c>
      <c r="S16" s="8" t="str">
        <f t="shared" si="9"/>
        <v>2024 Elite Canada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14.26</v>
      </c>
      <c r="X16" s="19">
        <v>1.8</v>
      </c>
      <c r="Y16" s="19">
        <v>0</v>
      </c>
      <c r="Z16" s="19">
        <v>0.3</v>
      </c>
      <c r="AA16" s="19">
        <v>16.899999999999999</v>
      </c>
      <c r="AB16" s="19">
        <v>2.9</v>
      </c>
      <c r="AC16" s="19">
        <v>0.1</v>
      </c>
      <c r="AD16" s="19">
        <v>0.3</v>
      </c>
      <c r="AE16" s="19">
        <v>16.100000000000001</v>
      </c>
      <c r="AF16" s="19">
        <v>3.6</v>
      </c>
      <c r="AG16" s="19">
        <v>0</v>
      </c>
      <c r="AH16" s="19">
        <v>0.6</v>
      </c>
      <c r="AI16" s="19">
        <v>8.8000000000000007</v>
      </c>
      <c r="AJ16" s="19">
        <v>1.9</v>
      </c>
      <c r="AK16" s="19">
        <v>0</v>
      </c>
      <c r="AL16" s="19">
        <v>0.6</v>
      </c>
      <c r="AM16" s="19">
        <v>15.1</v>
      </c>
      <c r="AN16" s="19">
        <v>2</v>
      </c>
      <c r="AO16" s="19">
        <v>0</v>
      </c>
      <c r="AP16" s="19">
        <v>0.3</v>
      </c>
      <c r="AQ16" s="27"/>
      <c r="AR16" s="40">
        <f t="shared" si="13"/>
        <v>4.7</v>
      </c>
      <c r="AS16" s="40">
        <f t="shared" si="14"/>
        <v>36.359999999999992</v>
      </c>
      <c r="AT16" s="40">
        <f t="shared" si="15"/>
        <v>20.300000000000004</v>
      </c>
      <c r="AU16" s="40">
        <f t="shared" si="16"/>
        <v>8.3000000000000007</v>
      </c>
      <c r="AV16" s="40">
        <f t="shared" si="17"/>
        <v>56.66</v>
      </c>
      <c r="AW16" s="40">
        <f t="shared" si="18"/>
        <v>3.9</v>
      </c>
      <c r="AX16" s="40">
        <f t="shared" si="19"/>
        <v>28.7</v>
      </c>
      <c r="AY16" s="40">
        <f t="shared" si="20"/>
        <v>85.36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 t="shared" si="21"/>
        <v/>
      </c>
      <c r="BV16" s="11" t="str">
        <f t="shared" si="22"/>
        <v/>
      </c>
      <c r="BW16" s="11" t="str">
        <f t="shared" si="23"/>
        <v/>
      </c>
      <c r="BX16" s="11" t="str">
        <f t="shared" si="24"/>
        <v/>
      </c>
      <c r="BY16" s="11" t="str">
        <f t="shared" si="25"/>
        <v/>
      </c>
      <c r="BZ16" s="11" t="str">
        <f t="shared" si="26"/>
        <v/>
      </c>
      <c r="CA16" s="11" t="str">
        <f t="shared" si="27"/>
        <v/>
      </c>
      <c r="CB16" s="11" t="str">
        <f t="shared" si="28"/>
        <v/>
      </c>
      <c r="CC16" s="19">
        <v>17.100000000000001</v>
      </c>
      <c r="CD16" s="19">
        <v>2.9</v>
      </c>
      <c r="CE16" s="19">
        <v>0.1</v>
      </c>
      <c r="CF16" s="19">
        <v>0.3</v>
      </c>
      <c r="CG16" s="19">
        <v>17.2</v>
      </c>
      <c r="CH16" s="19">
        <v>2.9</v>
      </c>
      <c r="CI16" s="19">
        <v>2.1</v>
      </c>
      <c r="CJ16" s="19">
        <v>0.3</v>
      </c>
      <c r="CK16" s="19">
        <v>17.3</v>
      </c>
      <c r="CL16" s="19">
        <v>3.6</v>
      </c>
      <c r="CM16" s="19">
        <v>0</v>
      </c>
      <c r="CN16" s="19">
        <v>0.6</v>
      </c>
      <c r="CO16" s="19">
        <v>16.5</v>
      </c>
      <c r="CP16" s="19">
        <v>3.6</v>
      </c>
      <c r="CQ16" s="19">
        <v>0</v>
      </c>
      <c r="CR16" s="19">
        <v>0.6</v>
      </c>
      <c r="CS16" s="19">
        <v>17</v>
      </c>
      <c r="CT16" s="19">
        <v>2.9</v>
      </c>
      <c r="CU16" s="19">
        <v>0.1</v>
      </c>
      <c r="CV16" s="19">
        <v>0.3</v>
      </c>
      <c r="CW16" s="27"/>
      <c r="CX16" s="40">
        <f t="shared" si="29"/>
        <v>5.8</v>
      </c>
      <c r="CY16" s="40">
        <f t="shared" si="30"/>
        <v>38.499999999999993</v>
      </c>
      <c r="CZ16" s="40">
        <f t="shared" si="31"/>
        <v>21.500000000000004</v>
      </c>
      <c r="DA16" s="40">
        <f t="shared" si="32"/>
        <v>9.4</v>
      </c>
      <c r="DB16" s="40">
        <f t="shared" si="33"/>
        <v>60</v>
      </c>
      <c r="DC16" s="40">
        <f t="shared" si="34"/>
        <v>6.5</v>
      </c>
      <c r="DD16" s="40">
        <f t="shared" si="35"/>
        <v>40.799999999999997</v>
      </c>
      <c r="DE16" s="40">
        <f t="shared" si="36"/>
        <v>100.8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8.5500000000000007</v>
      </c>
      <c r="QH16" s="22">
        <f t="shared" si="137"/>
        <v>1.45</v>
      </c>
      <c r="QI16" s="22">
        <f t="shared" si="138"/>
        <v>0.05</v>
      </c>
      <c r="QJ16" s="22">
        <f t="shared" si="139"/>
        <v>0.15</v>
      </c>
      <c r="QK16" s="22">
        <f t="shared" si="140"/>
        <v>8.6</v>
      </c>
      <c r="QL16" s="22">
        <f t="shared" si="141"/>
        <v>1.45</v>
      </c>
      <c r="QM16" s="22">
        <f t="shared" si="142"/>
        <v>1.05</v>
      </c>
      <c r="QN16" s="22">
        <f t="shared" si="143"/>
        <v>0.15</v>
      </c>
      <c r="QO16" s="22">
        <f t="shared" si="144"/>
        <v>8.65</v>
      </c>
      <c r="QP16" s="22">
        <f t="shared" si="145"/>
        <v>1.8</v>
      </c>
      <c r="QQ16" s="22">
        <f t="shared" si="146"/>
        <v>0</v>
      </c>
      <c r="QR16" s="22">
        <f t="shared" si="147"/>
        <v>0.3</v>
      </c>
      <c r="QS16" s="22">
        <f t="shared" si="148"/>
        <v>8.25</v>
      </c>
      <c r="QT16" s="22">
        <f t="shared" si="149"/>
        <v>1.8</v>
      </c>
      <c r="QU16" s="22">
        <f t="shared" si="150"/>
        <v>0</v>
      </c>
      <c r="QV16" s="22">
        <f t="shared" si="151"/>
        <v>0.3</v>
      </c>
      <c r="QW16" s="22">
        <f t="shared" si="152"/>
        <v>8.5</v>
      </c>
      <c r="QX16" s="22">
        <f t="shared" si="153"/>
        <v>1.45</v>
      </c>
      <c r="QY16" s="22">
        <f t="shared" si="154"/>
        <v>0.05</v>
      </c>
      <c r="QZ16" s="22">
        <f t="shared" si="155"/>
        <v>0.15</v>
      </c>
      <c r="RA16" s="27" t="s">
        <v>46</v>
      </c>
      <c r="RB16" s="40">
        <f t="shared" si="156"/>
        <v>2.9</v>
      </c>
      <c r="RC16" s="40">
        <f t="shared" si="157"/>
        <v>19.249999999999996</v>
      </c>
      <c r="RD16" s="40">
        <f t="shared" si="158"/>
        <v>10.750000000000002</v>
      </c>
      <c r="RE16" s="40">
        <f t="shared" si="159"/>
        <v>4.7</v>
      </c>
      <c r="RF16" s="40">
        <f t="shared" si="160"/>
        <v>30</v>
      </c>
      <c r="RG16" s="40">
        <f t="shared" si="161"/>
        <v>3.25</v>
      </c>
      <c r="RH16" s="40">
        <f t="shared" si="162"/>
        <v>20.399999999999999</v>
      </c>
      <c r="RI16" s="40">
        <f t="shared" si="163"/>
        <v>50.4</v>
      </c>
    </row>
    <row r="17" spans="1:477" x14ac:dyDescent="0.2">
      <c r="A17" s="4" t="str" cm="1">
        <f t="array" ref="A17">IF(AND(J17&lt;&gt;"",J17&lt;&gt;"No DD"),SUMPRODUCT((J$4:J$27&lt;&gt;"")*(J$4:J$27&lt;&gt;"No DD")*(F$4:F$27&gt;F17))+1,IF(J17="No DD",SUMPRODUCT((J$4:J$27="No DD")*(F$4:F$27&gt;F17))+1+SUMPRODUCT((J$4:J$27&lt;&gt;"")*(J$4:J$27&lt;&gt;"No DD")),""))</f>
        <v/>
      </c>
      <c r="B17" s="4" t="str" cm="1">
        <f t="array" ref="B17">IF(AND(J17&lt;&gt;"",J17&lt;&gt;"No DD",G17=""),SUMPRODUCT((J$4:J$27&lt;&gt;"")*(J$4:J$27&lt;&gt;"No DD")*(G$4:G$27="")*(F$4:F$27&gt;F17))+1,IF(J17="No DD",SUMPRODUCT((J$4:J$27="No DD")*(F$4:F$27&gt;F17)*(G$4:G$27=""))+1+SUMPRODUCT((J$4:J$27&lt;&gt;"")*(G$4:G$27="")*(J$4:J$27&lt;&gt;"No DD")),""))</f>
        <v/>
      </c>
      <c r="C17" s="5" t="s">
        <v>68</v>
      </c>
      <c r="D17" s="4" t="s">
        <v>5</v>
      </c>
      <c r="E17" s="4">
        <v>2003</v>
      </c>
      <c r="F17" s="9">
        <f t="shared" si="0"/>
        <v>129.600009170004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40.1</v>
      </c>
      <c r="M17" s="8" t="str">
        <f t="shared" si="5"/>
        <v>2023 Nationals</v>
      </c>
      <c r="N17" s="8">
        <f>IF(COUNT(AS17,BV17,CY17)&gt;1,LARGE((AS17,BV17,CY17),2),0)</f>
        <v>31.699999999999996</v>
      </c>
      <c r="O17" s="8" t="str">
        <f t="shared" si="6"/>
        <v>2024 Elite Canada</v>
      </c>
      <c r="P17" s="8">
        <f>IF(COUNT(AT17,BW17,CZ17)&gt;0,LARGE((AT17,BW17,CZ17),1),0)</f>
        <v>19.900000000000002</v>
      </c>
      <c r="Q17" s="8" t="str">
        <f t="shared" si="7"/>
        <v>2024 Elite Canada</v>
      </c>
      <c r="R17" s="8">
        <f t="shared" si="8"/>
        <v>37.899999999999991</v>
      </c>
      <c r="S17" s="8" t="str">
        <f t="shared" si="9"/>
        <v>2024 Elite Canada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>
        <v>16</v>
      </c>
      <c r="X17" s="19">
        <v>3.9</v>
      </c>
      <c r="Y17" s="19">
        <v>0</v>
      </c>
      <c r="Z17" s="19">
        <v>0.3</v>
      </c>
      <c r="AA17" s="19">
        <v>15.5</v>
      </c>
      <c r="AB17" s="19">
        <v>4.0999999999999996</v>
      </c>
      <c r="AC17" s="19">
        <v>0</v>
      </c>
      <c r="AD17" s="19">
        <v>0.3</v>
      </c>
      <c r="AE17" s="19">
        <v>15.8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 t="shared" si="13"/>
        <v>8</v>
      </c>
      <c r="AS17" s="40">
        <f t="shared" si="14"/>
        <v>40.1</v>
      </c>
      <c r="AT17" s="40">
        <f t="shared" si="15"/>
        <v>17</v>
      </c>
      <c r="AU17" s="40">
        <f t="shared" si="16"/>
        <v>9.1999999999999993</v>
      </c>
      <c r="AV17" s="40">
        <f t="shared" si="17"/>
        <v>57.1</v>
      </c>
      <c r="AW17" s="40" t="str">
        <f t="shared" si="18"/>
        <v/>
      </c>
      <c r="AX17" s="40" t="str">
        <f t="shared" si="19"/>
        <v/>
      </c>
      <c r="AY17" s="40">
        <f t="shared" si="20"/>
        <v>57.1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 t="shared" si="21"/>
        <v/>
      </c>
      <c r="BV17" s="11" t="str">
        <f t="shared" si="22"/>
        <v/>
      </c>
      <c r="BW17" s="11" t="str">
        <f t="shared" si="23"/>
        <v/>
      </c>
      <c r="BX17" s="11" t="str">
        <f t="shared" si="24"/>
        <v/>
      </c>
      <c r="BY17" s="11" t="str">
        <f t="shared" si="25"/>
        <v/>
      </c>
      <c r="BZ17" s="11" t="str">
        <f t="shared" si="26"/>
        <v/>
      </c>
      <c r="CA17" s="11" t="str">
        <f t="shared" si="27"/>
        <v/>
      </c>
      <c r="CB17" s="11" t="str">
        <f t="shared" si="28"/>
        <v/>
      </c>
      <c r="CC17" s="19">
        <v>15.6</v>
      </c>
      <c r="CD17" s="19">
        <v>2.4</v>
      </c>
      <c r="CE17" s="19">
        <v>0.6</v>
      </c>
      <c r="CF17" s="19">
        <v>0.3</v>
      </c>
      <c r="CG17" s="19">
        <v>17.2</v>
      </c>
      <c r="CH17" s="19">
        <v>1.8</v>
      </c>
      <c r="CI17" s="19">
        <v>5</v>
      </c>
      <c r="CJ17" s="19">
        <v>0</v>
      </c>
      <c r="CK17" s="19">
        <v>15.8</v>
      </c>
      <c r="CL17" s="19">
        <v>3.5</v>
      </c>
      <c r="CM17" s="19">
        <v>0</v>
      </c>
      <c r="CN17" s="19">
        <v>0.6</v>
      </c>
      <c r="CO17" s="19">
        <v>15.6</v>
      </c>
      <c r="CP17" s="19">
        <v>3.1</v>
      </c>
      <c r="CQ17" s="19">
        <v>0</v>
      </c>
      <c r="CR17" s="19">
        <v>0.6</v>
      </c>
      <c r="CS17" s="19">
        <v>16.5</v>
      </c>
      <c r="CT17" s="19">
        <v>2.5</v>
      </c>
      <c r="CU17" s="19">
        <v>0.7</v>
      </c>
      <c r="CV17" s="19">
        <v>0.3</v>
      </c>
      <c r="CW17" s="27"/>
      <c r="CX17" s="40">
        <f t="shared" si="29"/>
        <v>4.2</v>
      </c>
      <c r="CY17" s="40">
        <f t="shared" si="30"/>
        <v>31.699999999999996</v>
      </c>
      <c r="CZ17" s="40">
        <f t="shared" si="31"/>
        <v>19.900000000000002</v>
      </c>
      <c r="DA17" s="40">
        <f t="shared" si="32"/>
        <v>7.7</v>
      </c>
      <c r="DB17" s="40">
        <f t="shared" si="33"/>
        <v>51.599999999999994</v>
      </c>
      <c r="DC17" s="40">
        <f t="shared" si="34"/>
        <v>5.6</v>
      </c>
      <c r="DD17" s="40">
        <f t="shared" si="35"/>
        <v>37.899999999999991</v>
      </c>
      <c r="DE17" s="40">
        <f t="shared" si="36"/>
        <v>89.499999999999986</v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7.8</v>
      </c>
      <c r="QH17" s="22">
        <f t="shared" si="137"/>
        <v>1.2</v>
      </c>
      <c r="QI17" s="22">
        <f t="shared" si="138"/>
        <v>0.3</v>
      </c>
      <c r="QJ17" s="22">
        <f t="shared" si="139"/>
        <v>0.15</v>
      </c>
      <c r="QK17" s="22">
        <f t="shared" si="140"/>
        <v>8.6</v>
      </c>
      <c r="QL17" s="22">
        <f t="shared" si="141"/>
        <v>0.9</v>
      </c>
      <c r="QM17" s="22">
        <f t="shared" si="142"/>
        <v>2.5</v>
      </c>
      <c r="QN17" s="22">
        <f t="shared" si="143"/>
        <v>0</v>
      </c>
      <c r="QO17" s="22">
        <f t="shared" si="144"/>
        <v>7.9</v>
      </c>
      <c r="QP17" s="22">
        <f t="shared" si="145"/>
        <v>1.75</v>
      </c>
      <c r="QQ17" s="22">
        <f t="shared" si="146"/>
        <v>0</v>
      </c>
      <c r="QR17" s="22">
        <f t="shared" si="147"/>
        <v>0.3</v>
      </c>
      <c r="QS17" s="22">
        <f t="shared" si="148"/>
        <v>7.8</v>
      </c>
      <c r="QT17" s="22">
        <f t="shared" si="149"/>
        <v>1.55</v>
      </c>
      <c r="QU17" s="22">
        <f t="shared" si="150"/>
        <v>0</v>
      </c>
      <c r="QV17" s="22">
        <f t="shared" si="151"/>
        <v>0.3</v>
      </c>
      <c r="QW17" s="22">
        <f t="shared" si="152"/>
        <v>8.25</v>
      </c>
      <c r="QX17" s="22">
        <f t="shared" si="153"/>
        <v>1.25</v>
      </c>
      <c r="QY17" s="22">
        <f t="shared" si="154"/>
        <v>0.35</v>
      </c>
      <c r="QZ17" s="22">
        <f t="shared" si="155"/>
        <v>0.15</v>
      </c>
      <c r="RA17" s="27" t="s">
        <v>46</v>
      </c>
      <c r="RB17" s="40">
        <f t="shared" si="156"/>
        <v>2.1</v>
      </c>
      <c r="RC17" s="40">
        <f t="shared" si="157"/>
        <v>15.849999999999998</v>
      </c>
      <c r="RD17" s="40">
        <f t="shared" si="158"/>
        <v>9.9500000000000011</v>
      </c>
      <c r="RE17" s="40">
        <f t="shared" si="159"/>
        <v>3.85</v>
      </c>
      <c r="RF17" s="40">
        <f t="shared" si="160"/>
        <v>25.799999999999997</v>
      </c>
      <c r="RG17" s="40">
        <f t="shared" si="161"/>
        <v>2.8</v>
      </c>
      <c r="RH17" s="40">
        <f t="shared" si="162"/>
        <v>18.949999999999996</v>
      </c>
      <c r="RI17" s="40">
        <f t="shared" si="163"/>
        <v>44.749999999999993</v>
      </c>
    </row>
    <row r="18" spans="1:477" x14ac:dyDescent="0.2">
      <c r="A18" s="4" t="str" cm="1">
        <f t="array" ref="A18">IF(AND(J18&lt;&gt;"",J18&lt;&gt;"No DD"),SUMPRODUCT((J$4:J$27&lt;&gt;"")*(J$4:J$27&lt;&gt;"No DD")*(F$4:F$27&gt;F18))+1,IF(J18="No DD",SUMPRODUCT((J$4:J$27="No DD")*(F$4:F$27&gt;F18))+1+SUMPRODUCT((J$4:J$27&lt;&gt;"")*(J$4:J$27&lt;&gt;"No DD")),""))</f>
        <v/>
      </c>
      <c r="B18" s="4" t="str" cm="1">
        <f t="array" ref="B18">IF(AND(J18&lt;&gt;"",J18&lt;&gt;"No DD",G18=""),SUMPRODUCT((J$4:J$27&lt;&gt;"")*(J$4:J$27&lt;&gt;"No DD")*(G$4:G$27="")*(F$4:F$27&gt;F18))+1,IF(J18="No DD",SUMPRODUCT((J$4:J$27="No DD")*(F$4:F$27&gt;F18)*(G$4:G$27=""))+1+SUMPRODUCT((J$4:J$27&lt;&gt;"")*(G$4:G$27="")*(J$4:J$27&lt;&gt;"No DD")),""))</f>
        <v/>
      </c>
      <c r="C18" s="5" t="s">
        <v>234</v>
      </c>
      <c r="D18" s="4" t="s">
        <v>4</v>
      </c>
      <c r="E18" s="4">
        <v>2007</v>
      </c>
      <c r="F18" s="9">
        <f t="shared" si="0"/>
        <v>127.90000914000395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39.499999999999986</v>
      </c>
      <c r="M18" s="8" t="str">
        <f t="shared" si="5"/>
        <v>2023 Nationals</v>
      </c>
      <c r="N18" s="8">
        <f>IF(COUNT(AS18,BV18,CY18)&gt;1,LARGE((AS18,BV18,CY18),2),0)</f>
        <v>33.699999999999996</v>
      </c>
      <c r="O18" s="8" t="str">
        <f t="shared" si="6"/>
        <v>2024 Elite Canada</v>
      </c>
      <c r="P18" s="8">
        <f>IF(COUNT(AT18,BW18,CZ18)&gt;0,LARGE((AT18,BW18,CZ18),1),0)</f>
        <v>18.2</v>
      </c>
      <c r="Q18" s="8" t="str">
        <f t="shared" si="7"/>
        <v>2024 Elite Canada</v>
      </c>
      <c r="R18" s="8">
        <f t="shared" si="8"/>
        <v>36.5</v>
      </c>
      <c r="S18" s="8" t="str">
        <f t="shared" si="9"/>
        <v>2023 Nationals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>
        <v>16.899999999999999</v>
      </c>
      <c r="X18" s="19">
        <v>3.2</v>
      </c>
      <c r="Y18" s="19">
        <v>0.2</v>
      </c>
      <c r="Z18" s="19">
        <v>0</v>
      </c>
      <c r="AA18" s="19">
        <v>16.7</v>
      </c>
      <c r="AB18" s="19">
        <v>2.8</v>
      </c>
      <c r="AC18" s="19">
        <v>0.2</v>
      </c>
      <c r="AD18" s="19">
        <v>0.3</v>
      </c>
      <c r="AE18" s="19"/>
      <c r="AF18" s="19"/>
      <c r="AG18" s="19"/>
      <c r="AH18" s="19"/>
      <c r="AI18" s="19">
        <v>16</v>
      </c>
      <c r="AJ18" s="19">
        <v>2.8</v>
      </c>
      <c r="AK18" s="19">
        <v>0.2</v>
      </c>
      <c r="AL18" s="19">
        <v>0.3</v>
      </c>
      <c r="AM18" s="19">
        <v>16.399999999999999</v>
      </c>
      <c r="AN18" s="19">
        <v>1.2</v>
      </c>
      <c r="AO18" s="19">
        <v>0</v>
      </c>
      <c r="AP18" s="19">
        <v>0</v>
      </c>
      <c r="AQ18" s="27"/>
      <c r="AR18" s="40">
        <f t="shared" si="13"/>
        <v>6</v>
      </c>
      <c r="AS18" s="40">
        <f t="shared" si="14"/>
        <v>39.499999999999986</v>
      </c>
      <c r="AT18" s="40" t="str">
        <f t="shared" si="15"/>
        <v/>
      </c>
      <c r="AU18" s="40">
        <f t="shared" si="16"/>
        <v>6</v>
      </c>
      <c r="AV18" s="40">
        <f t="shared" si="17"/>
        <v>39.499999999999986</v>
      </c>
      <c r="AW18" s="40">
        <f t="shared" si="18"/>
        <v>4</v>
      </c>
      <c r="AX18" s="40">
        <f t="shared" si="19"/>
        <v>36.5</v>
      </c>
      <c r="AY18" s="40">
        <f t="shared" si="20"/>
        <v>75.999999999999986</v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 t="shared" si="21"/>
        <v/>
      </c>
      <c r="BV18" s="11" t="str">
        <f t="shared" si="22"/>
        <v/>
      </c>
      <c r="BW18" s="11" t="str">
        <f t="shared" si="23"/>
        <v/>
      </c>
      <c r="BX18" s="11" t="str">
        <f t="shared" si="24"/>
        <v/>
      </c>
      <c r="BY18" s="11" t="str">
        <f t="shared" si="25"/>
        <v/>
      </c>
      <c r="BZ18" s="11" t="str">
        <f t="shared" si="26"/>
        <v/>
      </c>
      <c r="CA18" s="11" t="str">
        <f t="shared" si="27"/>
        <v/>
      </c>
      <c r="CB18" s="11" t="str">
        <f t="shared" si="28"/>
        <v/>
      </c>
      <c r="CC18" s="19">
        <v>17.100000000000001</v>
      </c>
      <c r="CD18" s="19">
        <v>1.7</v>
      </c>
      <c r="CE18" s="19">
        <v>1</v>
      </c>
      <c r="CF18" s="19">
        <v>0</v>
      </c>
      <c r="CG18" s="19">
        <v>13.7</v>
      </c>
      <c r="CH18" s="19">
        <v>1.9</v>
      </c>
      <c r="CI18" s="19">
        <v>0</v>
      </c>
      <c r="CJ18" s="19">
        <v>0.3</v>
      </c>
      <c r="CK18" s="19">
        <v>15.7</v>
      </c>
      <c r="CL18" s="19">
        <v>2.8</v>
      </c>
      <c r="CM18" s="19">
        <v>0.6</v>
      </c>
      <c r="CN18" s="19">
        <v>0.3</v>
      </c>
      <c r="CO18" s="19">
        <v>16.100000000000001</v>
      </c>
      <c r="CP18" s="19">
        <v>1.2</v>
      </c>
      <c r="CQ18" s="19">
        <v>0</v>
      </c>
      <c r="CR18" s="19">
        <v>0</v>
      </c>
      <c r="CS18" s="19">
        <v>15.7</v>
      </c>
      <c r="CT18" s="19">
        <v>2.8</v>
      </c>
      <c r="CU18" s="19">
        <v>0.6</v>
      </c>
      <c r="CV18" s="19">
        <v>0.3</v>
      </c>
      <c r="CW18" s="27"/>
      <c r="CX18" s="40">
        <f t="shared" si="29"/>
        <v>3.5999999999999996</v>
      </c>
      <c r="CY18" s="40">
        <f t="shared" si="30"/>
        <v>33.699999999999996</v>
      </c>
      <c r="CZ18" s="40">
        <f t="shared" si="31"/>
        <v>18.2</v>
      </c>
      <c r="DA18" s="40">
        <f t="shared" si="32"/>
        <v>6.3999999999999995</v>
      </c>
      <c r="DB18" s="40">
        <f t="shared" si="33"/>
        <v>51.899999999999991</v>
      </c>
      <c r="DC18" s="40">
        <f t="shared" si="34"/>
        <v>4</v>
      </c>
      <c r="DD18" s="40">
        <f t="shared" si="35"/>
        <v>35.499999999999993</v>
      </c>
      <c r="DE18" s="40">
        <f t="shared" si="36"/>
        <v>87.399999999999977</v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8.5500000000000007</v>
      </c>
      <c r="QH18" s="22">
        <f t="shared" si="137"/>
        <v>0.85</v>
      </c>
      <c r="QI18" s="22">
        <f t="shared" si="138"/>
        <v>0.5</v>
      </c>
      <c r="QJ18" s="22">
        <f t="shared" si="139"/>
        <v>0</v>
      </c>
      <c r="QK18" s="22">
        <f t="shared" si="140"/>
        <v>6.85</v>
      </c>
      <c r="QL18" s="22">
        <f t="shared" si="141"/>
        <v>0.95</v>
      </c>
      <c r="QM18" s="22">
        <f t="shared" si="142"/>
        <v>0</v>
      </c>
      <c r="QN18" s="22">
        <f t="shared" si="143"/>
        <v>0.15</v>
      </c>
      <c r="QO18" s="22">
        <f t="shared" si="144"/>
        <v>7.85</v>
      </c>
      <c r="QP18" s="22">
        <f t="shared" si="145"/>
        <v>1.4</v>
      </c>
      <c r="QQ18" s="22">
        <f t="shared" si="146"/>
        <v>0.3</v>
      </c>
      <c r="QR18" s="22">
        <f t="shared" si="147"/>
        <v>0.15</v>
      </c>
      <c r="QS18" s="22">
        <f t="shared" si="148"/>
        <v>8.0500000000000007</v>
      </c>
      <c r="QT18" s="22">
        <f t="shared" si="149"/>
        <v>0.6</v>
      </c>
      <c r="QU18" s="22">
        <f t="shared" si="150"/>
        <v>0</v>
      </c>
      <c r="QV18" s="22">
        <f t="shared" si="151"/>
        <v>0</v>
      </c>
      <c r="QW18" s="22">
        <f t="shared" si="152"/>
        <v>7.85</v>
      </c>
      <c r="QX18" s="22">
        <f t="shared" si="153"/>
        <v>1.4</v>
      </c>
      <c r="QY18" s="22">
        <f t="shared" si="154"/>
        <v>0.3</v>
      </c>
      <c r="QZ18" s="22">
        <f t="shared" si="155"/>
        <v>0.15</v>
      </c>
      <c r="RA18" s="27" t="s">
        <v>46</v>
      </c>
      <c r="RB18" s="40">
        <f t="shared" si="156"/>
        <v>1.7999999999999998</v>
      </c>
      <c r="RC18" s="40">
        <f t="shared" si="157"/>
        <v>16.849999999999998</v>
      </c>
      <c r="RD18" s="40">
        <f t="shared" si="158"/>
        <v>9.1</v>
      </c>
      <c r="RE18" s="40">
        <f t="shared" si="159"/>
        <v>3.1999999999999997</v>
      </c>
      <c r="RF18" s="40">
        <f t="shared" si="160"/>
        <v>25.949999999999996</v>
      </c>
      <c r="RG18" s="40">
        <f t="shared" si="161"/>
        <v>2</v>
      </c>
      <c r="RH18" s="40">
        <f t="shared" si="162"/>
        <v>17.749999999999996</v>
      </c>
      <c r="RI18" s="40">
        <f t="shared" si="163"/>
        <v>43.699999999999989</v>
      </c>
    </row>
    <row r="19" spans="1:477" x14ac:dyDescent="0.2">
      <c r="A19" s="4" t="str" cm="1">
        <f t="array" ref="A19">IF(AND(J19&lt;&gt;"",J19&lt;&gt;"No DD"),SUMPRODUCT((J$4:J$27&lt;&gt;"")*(J$4:J$27&lt;&gt;"No DD")*(F$4:F$27&gt;F19))+1,IF(J19="No DD",SUMPRODUCT((J$4:J$27="No DD")*(F$4:F$27&gt;F19))+1+SUMPRODUCT((J$4:J$27&lt;&gt;"")*(J$4:J$27&lt;&gt;"No DD")),""))</f>
        <v/>
      </c>
      <c r="B19" s="4" t="str" cm="1">
        <f t="array" ref="B19">IF(AND(J19&lt;&gt;"",J19&lt;&gt;"No DD",G19=""),SUMPRODUCT((J$4:J$27&lt;&gt;"")*(J$4:J$27&lt;&gt;"No DD")*(G$4:G$27="")*(F$4:F$27&gt;F19))+1,IF(J19="No DD",SUMPRODUCT((J$4:J$27="No DD")*(F$4:F$27&gt;F19)*(G$4:G$27=""))+1+SUMPRODUCT((J$4:J$27&lt;&gt;"")*(G$4:G$27="")*(J$4:J$27&lt;&gt;"No DD")),""))</f>
        <v/>
      </c>
      <c r="C19" s="5" t="s">
        <v>173</v>
      </c>
      <c r="D19" s="4" t="s">
        <v>3</v>
      </c>
      <c r="E19" s="4">
        <v>2004</v>
      </c>
      <c r="F19" s="9">
        <f t="shared" si="0"/>
        <v>100.90000628000415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41.699999999999996</v>
      </c>
      <c r="M19" s="8" t="str">
        <f t="shared" si="5"/>
        <v>2023 Nationals</v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21.099999999999998</v>
      </c>
      <c r="Q19" s="8" t="str">
        <f t="shared" si="7"/>
        <v>2023 Nationals</v>
      </c>
      <c r="R19" s="8">
        <f t="shared" si="8"/>
        <v>38.099999999999994</v>
      </c>
      <c r="S19" s="8" t="str">
        <f t="shared" si="9"/>
        <v>2023 Nationals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>
        <v>16.600000000000001</v>
      </c>
      <c r="X19" s="19">
        <v>4.0999999999999996</v>
      </c>
      <c r="Y19" s="19">
        <v>0</v>
      </c>
      <c r="Z19" s="19">
        <v>0.3</v>
      </c>
      <c r="AA19" s="19">
        <v>16.5</v>
      </c>
      <c r="AB19" s="19">
        <v>3.9</v>
      </c>
      <c r="AC19" s="19">
        <v>0</v>
      </c>
      <c r="AD19" s="19">
        <v>0.3</v>
      </c>
      <c r="AE19" s="19">
        <v>16.899999999999999</v>
      </c>
      <c r="AF19" s="19">
        <v>3.9</v>
      </c>
      <c r="AG19" s="19">
        <v>0</v>
      </c>
      <c r="AH19" s="19">
        <v>0.3</v>
      </c>
      <c r="AI19" s="19">
        <v>14.8</v>
      </c>
      <c r="AJ19" s="19">
        <v>1.9</v>
      </c>
      <c r="AK19" s="19">
        <v>0</v>
      </c>
      <c r="AL19" s="19">
        <v>0.3</v>
      </c>
      <c r="AM19" s="19">
        <v>16.899999999999999</v>
      </c>
      <c r="AN19" s="19">
        <v>3.9</v>
      </c>
      <c r="AO19" s="19">
        <v>0</v>
      </c>
      <c r="AP19" s="19">
        <v>0.3</v>
      </c>
      <c r="AQ19" s="27"/>
      <c r="AR19" s="40">
        <f t="shared" si="13"/>
        <v>8</v>
      </c>
      <c r="AS19" s="40">
        <f t="shared" si="14"/>
        <v>41.699999999999996</v>
      </c>
      <c r="AT19" s="40">
        <f t="shared" si="15"/>
        <v>21.099999999999998</v>
      </c>
      <c r="AU19" s="40">
        <f t="shared" si="16"/>
        <v>11.9</v>
      </c>
      <c r="AV19" s="40">
        <f t="shared" si="17"/>
        <v>62.8</v>
      </c>
      <c r="AW19" s="40">
        <f t="shared" si="18"/>
        <v>5.8</v>
      </c>
      <c r="AX19" s="40">
        <f t="shared" si="19"/>
        <v>38.099999999999994</v>
      </c>
      <c r="AY19" s="40">
        <f t="shared" si="20"/>
        <v>100.89999999999999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0</v>
      </c>
      <c r="QH19" s="22">
        <f t="shared" si="137"/>
        <v>0</v>
      </c>
      <c r="QI19" s="22">
        <f t="shared" si="138"/>
        <v>0</v>
      </c>
      <c r="QJ19" s="22">
        <f t="shared" si="139"/>
        <v>0</v>
      </c>
      <c r="QK19" s="22">
        <f t="shared" si="140"/>
        <v>0</v>
      </c>
      <c r="QL19" s="22">
        <f t="shared" si="141"/>
        <v>0</v>
      </c>
      <c r="QM19" s="22">
        <f t="shared" si="142"/>
        <v>0</v>
      </c>
      <c r="QN19" s="22">
        <f t="shared" si="143"/>
        <v>0</v>
      </c>
      <c r="QO19" s="22">
        <f t="shared" si="144"/>
        <v>0</v>
      </c>
      <c r="QP19" s="22">
        <f t="shared" si="145"/>
        <v>0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 t="str">
        <f t="shared" si="156"/>
        <v/>
      </c>
      <c r="RC19" s="40" t="str">
        <f t="shared" si="157"/>
        <v/>
      </c>
      <c r="RD19" s="40" t="str">
        <f t="shared" si="158"/>
        <v/>
      </c>
      <c r="RE19" s="40" t="str">
        <f t="shared" si="159"/>
        <v/>
      </c>
      <c r="RF19" s="40" t="str">
        <f t="shared" si="160"/>
        <v/>
      </c>
      <c r="RG19" s="40" t="str">
        <f t="shared" si="161"/>
        <v/>
      </c>
      <c r="RH19" s="40" t="str">
        <f t="shared" si="162"/>
        <v/>
      </c>
      <c r="RI19" s="40" t="str">
        <f t="shared" si="163"/>
        <v/>
      </c>
    </row>
    <row r="20" spans="1:477" x14ac:dyDescent="0.2">
      <c r="A20" s="4" t="str" cm="1">
        <f t="array" ref="A20">IF(AND(J20&lt;&gt;"",J20&lt;&gt;"No DD"),SUMPRODUCT((J$4:J$27&lt;&gt;"")*(J$4:J$27&lt;&gt;"No DD")*(F$4:F$27&gt;F20))+1,IF(J20="No DD",SUMPRODUCT((J$4:J$27="No DD")*(F$4:F$27&gt;F20))+1+SUMPRODUCT((J$4:J$27&lt;&gt;"")*(J$4:J$27&lt;&gt;"No DD")),""))</f>
        <v/>
      </c>
      <c r="B20" s="4" t="str" cm="1">
        <f t="array" ref="B20">IF(AND(J20&lt;&gt;"",J20&lt;&gt;"No DD",G20=""),SUMPRODUCT((J$4:J$27&lt;&gt;"")*(J$4:J$27&lt;&gt;"No DD")*(G$4:G$27="")*(F$4:F$27&gt;F20))+1,IF(J20="No DD",SUMPRODUCT((J$4:J$27="No DD")*(F$4:F$27&gt;F20)*(G$4:G$27=""))+1+SUMPRODUCT((J$4:J$27&lt;&gt;"")*(G$4:G$27="")*(J$4:J$27&lt;&gt;"No DD")),""))</f>
        <v/>
      </c>
      <c r="C20" s="5" t="s">
        <v>124</v>
      </c>
      <c r="D20" s="4" t="s">
        <v>3</v>
      </c>
      <c r="E20" s="4">
        <v>2004</v>
      </c>
      <c r="F20" s="9">
        <f t="shared" si="0"/>
        <v>99.300006060004108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40.900000000000006</v>
      </c>
      <c r="M20" s="8" t="str">
        <f t="shared" si="5"/>
        <v>2023 Nationals</v>
      </c>
      <c r="N20" s="8">
        <f>IF(COUNT(AS20,BV20,CY20)&gt;1,LARGE((AS20,BV20,CY20),2),0)</f>
        <v>0</v>
      </c>
      <c r="O20" s="8" t="str">
        <f t="shared" si="6"/>
        <v/>
      </c>
      <c r="P20" s="8">
        <f>IF(COUNT(AT20,BW20,CZ20)&gt;0,LARGE((AT20,BW20,CZ20),1),0)</f>
        <v>19.700000000000003</v>
      </c>
      <c r="Q20" s="8" t="str">
        <f t="shared" si="7"/>
        <v>2023 Nationals</v>
      </c>
      <c r="R20" s="8">
        <f t="shared" si="8"/>
        <v>38.699999999999996</v>
      </c>
      <c r="S20" s="8" t="str">
        <f t="shared" si="9"/>
        <v>2023 Nationals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>
        <v>16.100000000000001</v>
      </c>
      <c r="X20" s="19">
        <v>4.0999999999999996</v>
      </c>
      <c r="Y20" s="19">
        <v>0.2</v>
      </c>
      <c r="Z20" s="19">
        <v>0.3</v>
      </c>
      <c r="AA20" s="19">
        <v>16.100000000000001</v>
      </c>
      <c r="AB20" s="19">
        <v>3.9</v>
      </c>
      <c r="AC20" s="19">
        <v>0</v>
      </c>
      <c r="AD20" s="19">
        <v>0.6</v>
      </c>
      <c r="AE20" s="19">
        <v>15.5</v>
      </c>
      <c r="AF20" s="19">
        <v>4.0999999999999996</v>
      </c>
      <c r="AG20" s="19">
        <v>0.2</v>
      </c>
      <c r="AH20" s="19">
        <v>0.3</v>
      </c>
      <c r="AI20" s="19">
        <v>15.8</v>
      </c>
      <c r="AJ20" s="19">
        <v>1.9</v>
      </c>
      <c r="AK20" s="19">
        <v>0</v>
      </c>
      <c r="AL20" s="19">
        <v>0.3</v>
      </c>
      <c r="AM20" s="19">
        <v>16.5</v>
      </c>
      <c r="AN20" s="19">
        <v>3.9</v>
      </c>
      <c r="AO20" s="19">
        <v>0</v>
      </c>
      <c r="AP20" s="19">
        <v>0.3</v>
      </c>
      <c r="AQ20" s="27"/>
      <c r="AR20" s="40">
        <f t="shared" si="13"/>
        <v>8</v>
      </c>
      <c r="AS20" s="40">
        <f t="shared" si="14"/>
        <v>40.900000000000006</v>
      </c>
      <c r="AT20" s="40">
        <f t="shared" si="15"/>
        <v>19.700000000000003</v>
      </c>
      <c r="AU20" s="40">
        <f t="shared" si="16"/>
        <v>12.1</v>
      </c>
      <c r="AV20" s="40">
        <f t="shared" si="17"/>
        <v>60.600000000000009</v>
      </c>
      <c r="AW20" s="40">
        <f t="shared" si="18"/>
        <v>5.8</v>
      </c>
      <c r="AX20" s="40">
        <f t="shared" si="19"/>
        <v>38.699999999999996</v>
      </c>
      <c r="AY20" s="40">
        <f t="shared" si="20"/>
        <v>99.300000000000011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 t="shared" si="21"/>
        <v/>
      </c>
      <c r="BV20" s="11" t="str">
        <f t="shared" si="22"/>
        <v/>
      </c>
      <c r="BW20" s="11" t="str">
        <f t="shared" si="23"/>
        <v/>
      </c>
      <c r="BX20" s="11" t="str">
        <f t="shared" si="24"/>
        <v/>
      </c>
      <c r="BY20" s="11" t="str">
        <f t="shared" si="25"/>
        <v/>
      </c>
      <c r="BZ20" s="11" t="str">
        <f t="shared" si="26"/>
        <v/>
      </c>
      <c r="CA20" s="11" t="str">
        <f t="shared" si="27"/>
        <v/>
      </c>
      <c r="CB20" s="11" t="str">
        <f t="shared" si="28"/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 t="shared" si="29"/>
        <v/>
      </c>
      <c r="CY20" s="40" t="str">
        <f t="shared" si="30"/>
        <v/>
      </c>
      <c r="CZ20" s="40" t="str">
        <f t="shared" si="31"/>
        <v/>
      </c>
      <c r="DA20" s="40" t="str">
        <f t="shared" si="32"/>
        <v/>
      </c>
      <c r="DB20" s="40" t="str">
        <f t="shared" si="33"/>
        <v/>
      </c>
      <c r="DC20" s="40" t="str">
        <f t="shared" si="34"/>
        <v/>
      </c>
      <c r="DD20" s="40" t="str">
        <f t="shared" si="35"/>
        <v/>
      </c>
      <c r="DE20" s="40" t="str">
        <f t="shared" si="36"/>
        <v/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0</v>
      </c>
      <c r="QH20" s="22">
        <f t="shared" si="137"/>
        <v>0</v>
      </c>
      <c r="QI20" s="22">
        <f t="shared" si="138"/>
        <v>0</v>
      </c>
      <c r="QJ20" s="22">
        <f t="shared" si="139"/>
        <v>0</v>
      </c>
      <c r="QK20" s="22">
        <f t="shared" si="140"/>
        <v>0</v>
      </c>
      <c r="QL20" s="22">
        <f t="shared" si="141"/>
        <v>0</v>
      </c>
      <c r="QM20" s="22">
        <f t="shared" si="142"/>
        <v>0</v>
      </c>
      <c r="QN20" s="22">
        <f t="shared" si="143"/>
        <v>0</v>
      </c>
      <c r="QO20" s="22">
        <f t="shared" si="144"/>
        <v>0</v>
      </c>
      <c r="QP20" s="22">
        <f t="shared" si="145"/>
        <v>0</v>
      </c>
      <c r="QQ20" s="22">
        <f t="shared" si="146"/>
        <v>0</v>
      </c>
      <c r="QR20" s="22">
        <f t="shared" si="147"/>
        <v>0</v>
      </c>
      <c r="QS20" s="22">
        <f t="shared" si="148"/>
        <v>0</v>
      </c>
      <c r="QT20" s="22">
        <f t="shared" si="149"/>
        <v>0</v>
      </c>
      <c r="QU20" s="22">
        <f t="shared" si="150"/>
        <v>0</v>
      </c>
      <c r="QV20" s="22">
        <f t="shared" si="151"/>
        <v>0</v>
      </c>
      <c r="QW20" s="22">
        <f t="shared" si="152"/>
        <v>0</v>
      </c>
      <c r="QX20" s="22">
        <f t="shared" si="153"/>
        <v>0</v>
      </c>
      <c r="QY20" s="22">
        <f t="shared" si="154"/>
        <v>0</v>
      </c>
      <c r="QZ20" s="22">
        <f t="shared" si="155"/>
        <v>0</v>
      </c>
      <c r="RA20" s="27" t="s">
        <v>46</v>
      </c>
      <c r="RB20" s="40" t="str">
        <f t="shared" si="156"/>
        <v/>
      </c>
      <c r="RC20" s="40" t="str">
        <f t="shared" si="157"/>
        <v/>
      </c>
      <c r="RD20" s="40" t="str">
        <f t="shared" si="158"/>
        <v/>
      </c>
      <c r="RE20" s="40" t="str">
        <f t="shared" si="159"/>
        <v/>
      </c>
      <c r="RF20" s="40" t="str">
        <f t="shared" si="160"/>
        <v/>
      </c>
      <c r="RG20" s="40" t="str">
        <f t="shared" si="161"/>
        <v/>
      </c>
      <c r="RH20" s="40" t="str">
        <f t="shared" si="162"/>
        <v/>
      </c>
      <c r="RI20" s="40" t="str">
        <f t="shared" si="163"/>
        <v/>
      </c>
    </row>
    <row r="21" spans="1:477" x14ac:dyDescent="0.2">
      <c r="A21" s="4" t="str" cm="1">
        <f t="array" ref="A21">IF(AND(J21&lt;&gt;"",J21&lt;&gt;"No DD"),SUMPRODUCT((J$4:J$27&lt;&gt;"")*(J$4:J$27&lt;&gt;"No DD")*(F$4:F$27&gt;F21))+1,IF(J21="No DD",SUMPRODUCT((J$4:J$27="No DD")*(F$4:F$27&gt;F21))+1+SUMPRODUCT((J$4:J$27&lt;&gt;"")*(J$4:J$27&lt;&gt;"No DD")),""))</f>
        <v/>
      </c>
      <c r="B21" s="4" t="str" cm="1">
        <f t="array" ref="B21">IF(AND(J21&lt;&gt;"",J21&lt;&gt;"No DD",G21=""),SUMPRODUCT((J$4:J$27&lt;&gt;"")*(J$4:J$27&lt;&gt;"No DD")*(G$4:G$27="")*(F$4:F$27&gt;F21))+1,IF(J21="No DD",SUMPRODUCT((J$4:J$27="No DD")*(F$4:F$27&gt;F21)*(G$4:G$27=""))+1+SUMPRODUCT((J$4:J$27&lt;&gt;"")*(G$4:G$27="")*(J$4:J$27&lt;&gt;"No DD")),""))</f>
        <v/>
      </c>
      <c r="C21" s="5" t="s">
        <v>230</v>
      </c>
      <c r="D21" s="4" t="s">
        <v>4</v>
      </c>
      <c r="E21" s="4">
        <v>2004</v>
      </c>
      <c r="F21" s="9">
        <f t="shared" si="0"/>
        <v>98.400005850003893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39.000000000000007</v>
      </c>
      <c r="M21" s="8" t="str">
        <f t="shared" si="5"/>
        <v>2024 Elite Canada</v>
      </c>
      <c r="N21" s="8">
        <f>IF(COUNT(AS21,BV21,CY21)&gt;1,LARGE((AS21,BV21,CY21),2),0)</f>
        <v>0</v>
      </c>
      <c r="O21" s="8" t="str">
        <f t="shared" si="6"/>
        <v/>
      </c>
      <c r="P21" s="8">
        <f>IF(COUNT(AT21,BW21,CZ21)&gt;0,LARGE((AT21,BW21,CZ21),1),0)</f>
        <v>19.499999999999996</v>
      </c>
      <c r="Q21" s="8" t="str">
        <f t="shared" si="7"/>
        <v>2024 Elite Canada</v>
      </c>
      <c r="R21" s="8">
        <f t="shared" si="8"/>
        <v>39.900000000000006</v>
      </c>
      <c r="S21" s="8" t="str">
        <f t="shared" si="9"/>
        <v>2024 Elite Canada</v>
      </c>
      <c r="T21" s="8" t="str">
        <f t="shared" si="10"/>
        <v/>
      </c>
      <c r="U21" s="11" t="str">
        <f t="shared" si="11"/>
        <v/>
      </c>
      <c r="V21" s="8" t="str">
        <f t="shared" si="12"/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 t="shared" si="13"/>
        <v/>
      </c>
      <c r="AS21" s="40" t="str">
        <f t="shared" si="14"/>
        <v/>
      </c>
      <c r="AT21" s="40" t="str">
        <f t="shared" si="15"/>
        <v/>
      </c>
      <c r="AU21" s="40" t="str">
        <f t="shared" si="16"/>
        <v/>
      </c>
      <c r="AV21" s="40" t="str">
        <f t="shared" si="17"/>
        <v/>
      </c>
      <c r="AW21" s="40" t="str">
        <f t="shared" si="18"/>
        <v/>
      </c>
      <c r="AX21" s="40" t="str">
        <f t="shared" si="19"/>
        <v/>
      </c>
      <c r="AY21" s="40" t="str">
        <f t="shared" si="20"/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1"/>
        <v/>
      </c>
      <c r="BV21" s="11" t="str">
        <f t="shared" si="22"/>
        <v/>
      </c>
      <c r="BW21" s="11" t="str">
        <f t="shared" si="23"/>
        <v/>
      </c>
      <c r="BX21" s="11" t="str">
        <f t="shared" si="24"/>
        <v/>
      </c>
      <c r="BY21" s="11" t="str">
        <f t="shared" si="25"/>
        <v/>
      </c>
      <c r="BZ21" s="11" t="str">
        <f t="shared" si="26"/>
        <v/>
      </c>
      <c r="CA21" s="11" t="str">
        <f t="shared" si="27"/>
        <v/>
      </c>
      <c r="CB21" s="11" t="str">
        <f t="shared" si="28"/>
        <v/>
      </c>
      <c r="CC21" s="19">
        <v>16.100000000000001</v>
      </c>
      <c r="CD21" s="19">
        <v>4.0999999999999996</v>
      </c>
      <c r="CE21" s="19">
        <v>0</v>
      </c>
      <c r="CF21" s="19">
        <v>0.3</v>
      </c>
      <c r="CG21" s="19">
        <v>14.9</v>
      </c>
      <c r="CH21" s="19">
        <v>3.6</v>
      </c>
      <c r="CI21" s="19">
        <v>0</v>
      </c>
      <c r="CJ21" s="19">
        <v>0</v>
      </c>
      <c r="CK21" s="19">
        <v>16.399999999999999</v>
      </c>
      <c r="CL21" s="19">
        <v>2.9</v>
      </c>
      <c r="CM21" s="19">
        <v>0.1</v>
      </c>
      <c r="CN21" s="19">
        <v>0.3</v>
      </c>
      <c r="CO21" s="19">
        <v>15.6</v>
      </c>
      <c r="CP21" s="19">
        <v>6.1</v>
      </c>
      <c r="CQ21" s="19">
        <v>0</v>
      </c>
      <c r="CR21" s="19">
        <v>0.3</v>
      </c>
      <c r="CS21" s="19">
        <v>16.7</v>
      </c>
      <c r="CT21" s="19">
        <v>1.2</v>
      </c>
      <c r="CU21" s="19">
        <v>0</v>
      </c>
      <c r="CV21" s="19">
        <v>0</v>
      </c>
      <c r="CW21" s="27"/>
      <c r="CX21" s="40">
        <f t="shared" si="29"/>
        <v>7.6999999999999993</v>
      </c>
      <c r="CY21" s="40">
        <f t="shared" si="30"/>
        <v>39.000000000000007</v>
      </c>
      <c r="CZ21" s="40">
        <f t="shared" si="31"/>
        <v>19.499999999999996</v>
      </c>
      <c r="DA21" s="40">
        <f t="shared" si="32"/>
        <v>10.6</v>
      </c>
      <c r="DB21" s="40">
        <f t="shared" si="33"/>
        <v>58.5</v>
      </c>
      <c r="DC21" s="40">
        <f t="shared" si="34"/>
        <v>7.3</v>
      </c>
      <c r="DD21" s="40">
        <f t="shared" si="35"/>
        <v>39.900000000000006</v>
      </c>
      <c r="DE21" s="40">
        <f t="shared" si="36"/>
        <v>98.4</v>
      </c>
      <c r="DF21" s="50" t="str">
        <f t="shared" si="37"/>
        <v/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6"/>
        <v/>
      </c>
      <c r="GH21" s="40" t="str">
        <f t="shared" si="57"/>
        <v/>
      </c>
      <c r="GI21" s="40" t="str">
        <f t="shared" si="58"/>
        <v/>
      </c>
      <c r="GJ21" s="40" t="str">
        <f t="shared" si="59"/>
        <v/>
      </c>
      <c r="GK21" s="40" t="str">
        <f t="shared" si="60"/>
        <v/>
      </c>
      <c r="GL21" s="40" t="str">
        <f t="shared" si="61"/>
        <v/>
      </c>
      <c r="GM21" s="40" t="str">
        <f t="shared" si="62"/>
        <v/>
      </c>
      <c r="GN21" s="40" t="str">
        <f t="shared" si="63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8.0500000000000007</v>
      </c>
      <c r="QH21" s="22">
        <f t="shared" si="137"/>
        <v>2.0499999999999998</v>
      </c>
      <c r="QI21" s="22">
        <f t="shared" si="138"/>
        <v>0</v>
      </c>
      <c r="QJ21" s="22">
        <f t="shared" si="139"/>
        <v>0.15</v>
      </c>
      <c r="QK21" s="22">
        <f t="shared" si="140"/>
        <v>7.45</v>
      </c>
      <c r="QL21" s="22">
        <f t="shared" si="141"/>
        <v>1.8</v>
      </c>
      <c r="QM21" s="22">
        <f t="shared" si="142"/>
        <v>0</v>
      </c>
      <c r="QN21" s="22">
        <f t="shared" si="143"/>
        <v>0</v>
      </c>
      <c r="QO21" s="22">
        <f t="shared" si="144"/>
        <v>8.1999999999999993</v>
      </c>
      <c r="QP21" s="22">
        <f t="shared" si="145"/>
        <v>1.45</v>
      </c>
      <c r="QQ21" s="22">
        <f t="shared" si="146"/>
        <v>0.05</v>
      </c>
      <c r="QR21" s="22">
        <f t="shared" si="147"/>
        <v>0.15</v>
      </c>
      <c r="QS21" s="22">
        <f t="shared" si="148"/>
        <v>7.8</v>
      </c>
      <c r="QT21" s="22">
        <f t="shared" si="149"/>
        <v>3.05</v>
      </c>
      <c r="QU21" s="22">
        <f t="shared" si="150"/>
        <v>0</v>
      </c>
      <c r="QV21" s="22">
        <f t="shared" si="151"/>
        <v>0.15</v>
      </c>
      <c r="QW21" s="22">
        <f t="shared" si="152"/>
        <v>8.35</v>
      </c>
      <c r="QX21" s="22">
        <f t="shared" si="153"/>
        <v>0.6</v>
      </c>
      <c r="QY21" s="22">
        <f t="shared" si="154"/>
        <v>0</v>
      </c>
      <c r="QZ21" s="22">
        <f t="shared" si="155"/>
        <v>0</v>
      </c>
      <c r="RA21" s="27" t="s">
        <v>46</v>
      </c>
      <c r="RB21" s="40">
        <f t="shared" si="156"/>
        <v>3.8499999999999996</v>
      </c>
      <c r="RC21" s="40">
        <f t="shared" si="157"/>
        <v>19.500000000000004</v>
      </c>
      <c r="RD21" s="40">
        <f t="shared" si="158"/>
        <v>9.7499999999999982</v>
      </c>
      <c r="RE21" s="40">
        <f t="shared" si="159"/>
        <v>5.3</v>
      </c>
      <c r="RF21" s="40">
        <f t="shared" si="160"/>
        <v>29.25</v>
      </c>
      <c r="RG21" s="40">
        <f t="shared" si="161"/>
        <v>3.65</v>
      </c>
      <c r="RH21" s="40">
        <f t="shared" si="162"/>
        <v>19.950000000000003</v>
      </c>
      <c r="RI21" s="40">
        <f t="shared" si="163"/>
        <v>49.2</v>
      </c>
    </row>
    <row r="22" spans="1:477" x14ac:dyDescent="0.2">
      <c r="A22" s="4" t="str" cm="1">
        <f t="array" ref="A22">IF(AND(J22&lt;&gt;"",J22&lt;&gt;"No DD"),SUMPRODUCT((J$4:J$27&lt;&gt;"")*(J$4:J$27&lt;&gt;"No DD")*(F$4:F$27&gt;F22))+1,IF(J22="No DD",SUMPRODUCT((J$4:J$27="No DD")*(F$4:F$27&gt;F22))+1+SUMPRODUCT((J$4:J$27&lt;&gt;"")*(J$4:J$27&lt;&gt;"No DD")),""))</f>
        <v/>
      </c>
      <c r="B22" s="4" t="str" cm="1">
        <f t="array" ref="B22">IF(AND(J22&lt;&gt;"",J22&lt;&gt;"No DD",G22=""),SUMPRODUCT((J$4:J$27&lt;&gt;"")*(J$4:J$27&lt;&gt;"No DD")*(G$4:G$27="")*(F$4:F$27&gt;F22))+1,IF(J22="No DD",SUMPRODUCT((J$4:J$27="No DD")*(F$4:F$27&gt;F22)*(G$4:G$27=""))+1+SUMPRODUCT((J$4:J$27&lt;&gt;"")*(G$4:G$27="")*(J$4:J$27&lt;&gt;"No DD")),""))</f>
        <v/>
      </c>
      <c r="C22" s="5" t="s">
        <v>232</v>
      </c>
      <c r="D22" s="4" t="s">
        <v>6</v>
      </c>
      <c r="E22" s="4">
        <v>2006</v>
      </c>
      <c r="F22" s="9">
        <f t="shared" si="0"/>
        <v>96.100005700003848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IF(COUNT(AS22,BV22,CY22)&gt;0,LARGE((AS22,BV22,CY22),1),0)</f>
        <v>38.499999999999993</v>
      </c>
      <c r="M22" s="8" t="str">
        <f t="shared" si="5"/>
        <v>2024 Elite Canada</v>
      </c>
      <c r="N22" s="8">
        <f>IF(COUNT(AS22,BV22,CY22)&gt;1,LARGE((AS22,BV22,CY22),2),0)</f>
        <v>0</v>
      </c>
      <c r="O22" s="8" t="str">
        <f t="shared" si="6"/>
        <v/>
      </c>
      <c r="P22" s="8">
        <f>IF(COUNT(AT22,BW22,CZ22)&gt;0,LARGE((AT22,BW22,CZ22),1),0)</f>
        <v>18.5</v>
      </c>
      <c r="Q22" s="8" t="str">
        <f t="shared" si="7"/>
        <v>2024 Elite Canada</v>
      </c>
      <c r="R22" s="8">
        <f t="shared" si="8"/>
        <v>39.099999999999994</v>
      </c>
      <c r="S22" s="8" t="str">
        <f t="shared" si="9"/>
        <v>2024 Elite Canada</v>
      </c>
      <c r="T22" s="8" t="str">
        <f t="shared" si="10"/>
        <v/>
      </c>
      <c r="U22" s="11" t="str">
        <f t="shared" si="11"/>
        <v/>
      </c>
      <c r="V22" s="8" t="str">
        <f t="shared" si="12"/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 t="shared" si="13"/>
        <v/>
      </c>
      <c r="AS22" s="40" t="str">
        <f t="shared" si="14"/>
        <v/>
      </c>
      <c r="AT22" s="40" t="str">
        <f t="shared" si="15"/>
        <v/>
      </c>
      <c r="AU22" s="40" t="str">
        <f t="shared" si="16"/>
        <v/>
      </c>
      <c r="AV22" s="40" t="str">
        <f t="shared" si="17"/>
        <v/>
      </c>
      <c r="AW22" s="40" t="str">
        <f t="shared" si="18"/>
        <v/>
      </c>
      <c r="AX22" s="40" t="str">
        <f t="shared" si="19"/>
        <v/>
      </c>
      <c r="AY22" s="40" t="str">
        <f t="shared" si="20"/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 t="shared" si="21"/>
        <v/>
      </c>
      <c r="BV22" s="11" t="str">
        <f t="shared" si="22"/>
        <v/>
      </c>
      <c r="BW22" s="11" t="str">
        <f t="shared" si="23"/>
        <v/>
      </c>
      <c r="BX22" s="11" t="str">
        <f t="shared" si="24"/>
        <v/>
      </c>
      <c r="BY22" s="11" t="str">
        <f t="shared" si="25"/>
        <v/>
      </c>
      <c r="BZ22" s="11" t="str">
        <f t="shared" si="26"/>
        <v/>
      </c>
      <c r="CA22" s="11" t="str">
        <f t="shared" si="27"/>
        <v/>
      </c>
      <c r="CB22" s="11" t="str">
        <f t="shared" si="28"/>
        <v/>
      </c>
      <c r="CC22" s="19">
        <v>14.9</v>
      </c>
      <c r="CD22" s="19">
        <v>2.9</v>
      </c>
      <c r="CE22" s="19">
        <v>0.1</v>
      </c>
      <c r="CF22" s="19">
        <v>0.3</v>
      </c>
      <c r="CG22" s="19">
        <v>16.399999999999999</v>
      </c>
      <c r="CH22" s="19">
        <v>3.8</v>
      </c>
      <c r="CI22" s="19">
        <v>0</v>
      </c>
      <c r="CJ22" s="19">
        <v>0.3</v>
      </c>
      <c r="CK22" s="19">
        <v>16.399999999999999</v>
      </c>
      <c r="CL22" s="19">
        <v>1.8</v>
      </c>
      <c r="CM22" s="19">
        <v>0</v>
      </c>
      <c r="CN22" s="19">
        <v>0.3</v>
      </c>
      <c r="CO22" s="19">
        <v>17.8</v>
      </c>
      <c r="CP22" s="19">
        <v>3.3</v>
      </c>
      <c r="CQ22" s="19">
        <v>0</v>
      </c>
      <c r="CR22" s="19">
        <v>0</v>
      </c>
      <c r="CS22" s="19">
        <v>15.9</v>
      </c>
      <c r="CT22" s="19">
        <v>1.8</v>
      </c>
      <c r="CU22" s="19">
        <v>0</v>
      </c>
      <c r="CV22" s="19">
        <v>0.3</v>
      </c>
      <c r="CW22" s="27"/>
      <c r="CX22" s="40">
        <f t="shared" si="29"/>
        <v>6.6999999999999993</v>
      </c>
      <c r="CY22" s="40">
        <f t="shared" si="30"/>
        <v>38.499999999999993</v>
      </c>
      <c r="CZ22" s="40">
        <f t="shared" si="31"/>
        <v>18.5</v>
      </c>
      <c r="DA22" s="40">
        <f t="shared" si="32"/>
        <v>8.5</v>
      </c>
      <c r="DB22" s="40">
        <f t="shared" si="33"/>
        <v>56.999999999999993</v>
      </c>
      <c r="DC22" s="40">
        <f t="shared" si="34"/>
        <v>5.0999999999999996</v>
      </c>
      <c r="DD22" s="40">
        <f t="shared" si="35"/>
        <v>39.099999999999994</v>
      </c>
      <c r="DE22" s="40">
        <f t="shared" si="36"/>
        <v>96.1</v>
      </c>
      <c r="DF22" s="50" t="str">
        <f t="shared" si="37"/>
        <v/>
      </c>
      <c r="DG22" s="50" t="str">
        <f t="shared" si="38"/>
        <v/>
      </c>
      <c r="DH22" s="50" t="str">
        <f t="shared" si="39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40"/>
        <v/>
      </c>
      <c r="ED22" s="40" t="str">
        <f t="shared" si="41"/>
        <v/>
      </c>
      <c r="EE22" s="40" t="str">
        <f t="shared" si="42"/>
        <v/>
      </c>
      <c r="EF22" s="40" t="str">
        <f t="shared" si="43"/>
        <v/>
      </c>
      <c r="EG22" s="40" t="str">
        <f t="shared" si="44"/>
        <v/>
      </c>
      <c r="EH22" s="40" t="str">
        <f t="shared" si="45"/>
        <v/>
      </c>
      <c r="EI22" s="40" t="str">
        <f t="shared" si="46"/>
        <v/>
      </c>
      <c r="EJ22" s="40" t="str">
        <f t="shared" si="47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8"/>
        <v/>
      </c>
      <c r="FF22" s="11" t="str">
        <f t="shared" si="49"/>
        <v/>
      </c>
      <c r="FG22" s="11" t="str">
        <f t="shared" si="50"/>
        <v/>
      </c>
      <c r="FH22" s="11" t="str">
        <f t="shared" si="51"/>
        <v/>
      </c>
      <c r="FI22" s="11" t="str">
        <f t="shared" si="52"/>
        <v/>
      </c>
      <c r="FJ22" s="11" t="str">
        <f t="shared" si="53"/>
        <v/>
      </c>
      <c r="FK22" s="11" t="str">
        <f t="shared" si="54"/>
        <v/>
      </c>
      <c r="FL22" s="11" t="str">
        <f t="shared" si="55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6"/>
        <v/>
      </c>
      <c r="GH22" s="40" t="str">
        <f t="shared" si="57"/>
        <v/>
      </c>
      <c r="GI22" s="40" t="str">
        <f t="shared" si="58"/>
        <v/>
      </c>
      <c r="GJ22" s="40" t="str">
        <f t="shared" si="59"/>
        <v/>
      </c>
      <c r="GK22" s="40" t="str">
        <f t="shared" si="60"/>
        <v/>
      </c>
      <c r="GL22" s="40" t="str">
        <f t="shared" si="61"/>
        <v/>
      </c>
      <c r="GM22" s="40" t="str">
        <f t="shared" si="62"/>
        <v/>
      </c>
      <c r="GN22" s="40" t="str">
        <f t="shared" si="63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4"/>
        <v/>
      </c>
      <c r="HJ22" s="11" t="str">
        <f t="shared" si="65"/>
        <v/>
      </c>
      <c r="HK22" s="11" t="str">
        <f t="shared" si="66"/>
        <v/>
      </c>
      <c r="HL22" s="11" t="str">
        <f t="shared" si="67"/>
        <v/>
      </c>
      <c r="HM22" s="11" t="str">
        <f t="shared" si="68"/>
        <v/>
      </c>
      <c r="HN22" s="11" t="str">
        <f t="shared" si="69"/>
        <v/>
      </c>
      <c r="HO22" s="11" t="str">
        <f t="shared" si="70"/>
        <v/>
      </c>
      <c r="HP22" s="11" t="str">
        <f t="shared" si="71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2"/>
        <v/>
      </c>
      <c r="IL22" s="40" t="str">
        <f t="shared" si="73"/>
        <v/>
      </c>
      <c r="IM22" s="40" t="str">
        <f t="shared" si="74"/>
        <v/>
      </c>
      <c r="IN22" s="40" t="str">
        <f t="shared" si="75"/>
        <v/>
      </c>
      <c r="IO22" s="40" t="str">
        <f t="shared" si="76"/>
        <v/>
      </c>
      <c r="IP22" s="40" t="str">
        <f t="shared" si="77"/>
        <v/>
      </c>
      <c r="IQ22" s="40" t="str">
        <f t="shared" si="78"/>
        <v/>
      </c>
      <c r="IR22" s="40" t="str">
        <f t="shared" si="79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80"/>
        <v/>
      </c>
      <c r="JN22" s="11" t="str">
        <f t="shared" si="81"/>
        <v/>
      </c>
      <c r="JO22" s="11" t="str">
        <f t="shared" si="82"/>
        <v/>
      </c>
      <c r="JP22" s="11" t="str">
        <f t="shared" si="83"/>
        <v/>
      </c>
      <c r="JQ22" s="11" t="str">
        <f t="shared" si="84"/>
        <v/>
      </c>
      <c r="JR22" s="11" t="str">
        <f t="shared" si="85"/>
        <v/>
      </c>
      <c r="JS22" s="11" t="str">
        <f t="shared" si="86"/>
        <v/>
      </c>
      <c r="JT22" s="11" t="str">
        <f t="shared" si="87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8"/>
        <v/>
      </c>
      <c r="KP22" s="40" t="str">
        <f t="shared" si="89"/>
        <v/>
      </c>
      <c r="KQ22" s="40" t="str">
        <f t="shared" si="90"/>
        <v/>
      </c>
      <c r="KR22" s="40" t="str">
        <f t="shared" si="91"/>
        <v/>
      </c>
      <c r="KS22" s="40" t="str">
        <f t="shared" si="92"/>
        <v/>
      </c>
      <c r="KT22" s="40" t="str">
        <f t="shared" si="93"/>
        <v/>
      </c>
      <c r="KU22" s="40" t="str">
        <f t="shared" si="94"/>
        <v/>
      </c>
      <c r="KV22" s="40" t="str">
        <f t="shared" si="95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6"/>
        <v/>
      </c>
      <c r="LR22" s="11" t="str">
        <f t="shared" si="97"/>
        <v/>
      </c>
      <c r="LS22" s="11" t="str">
        <f t="shared" si="98"/>
        <v/>
      </c>
      <c r="LT22" s="11" t="str">
        <f t="shared" si="99"/>
        <v/>
      </c>
      <c r="LU22" s="11" t="str">
        <f t="shared" si="100"/>
        <v/>
      </c>
      <c r="LV22" s="11" t="str">
        <f t="shared" si="101"/>
        <v/>
      </c>
      <c r="LW22" s="11" t="str">
        <f t="shared" si="102"/>
        <v/>
      </c>
      <c r="LX22" s="11" t="str">
        <f t="shared" si="103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4"/>
        <v/>
      </c>
      <c r="MT22" s="40" t="str">
        <f t="shared" si="105"/>
        <v/>
      </c>
      <c r="MU22" s="40" t="str">
        <f t="shared" si="106"/>
        <v/>
      </c>
      <c r="MV22" s="40" t="str">
        <f t="shared" si="107"/>
        <v/>
      </c>
      <c r="MW22" s="40" t="str">
        <f t="shared" si="108"/>
        <v/>
      </c>
      <c r="MX22" s="40" t="str">
        <f t="shared" si="109"/>
        <v/>
      </c>
      <c r="MY22" s="40" t="str">
        <f t="shared" si="110"/>
        <v/>
      </c>
      <c r="MZ22" s="40" t="str">
        <f t="shared" si="111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2"/>
        <v/>
      </c>
      <c r="NV22" s="11" t="str">
        <f t="shared" si="113"/>
        <v/>
      </c>
      <c r="NW22" s="11" t="str">
        <f t="shared" si="114"/>
        <v/>
      </c>
      <c r="NX22" s="11" t="str">
        <f t="shared" si="115"/>
        <v/>
      </c>
      <c r="NY22" s="11" t="str">
        <f t="shared" si="116"/>
        <v/>
      </c>
      <c r="NZ22" s="11" t="str">
        <f t="shared" si="117"/>
        <v/>
      </c>
      <c r="OA22" s="11" t="str">
        <f t="shared" si="118"/>
        <v/>
      </c>
      <c r="OB22" s="11" t="str">
        <f t="shared" si="119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20"/>
        <v/>
      </c>
      <c r="OX22" s="40" t="str">
        <f t="shared" si="121"/>
        <v/>
      </c>
      <c r="OY22" s="40" t="str">
        <f t="shared" si="122"/>
        <v/>
      </c>
      <c r="OZ22" s="40" t="str">
        <f t="shared" si="123"/>
        <v/>
      </c>
      <c r="PA22" s="40" t="str">
        <f t="shared" si="124"/>
        <v/>
      </c>
      <c r="PB22" s="40" t="str">
        <f t="shared" si="125"/>
        <v/>
      </c>
      <c r="PC22" s="40" t="str">
        <f t="shared" si="126"/>
        <v/>
      </c>
      <c r="PD22" s="40" t="str">
        <f t="shared" si="127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8"/>
        <v/>
      </c>
      <c r="PZ22" s="11" t="str">
        <f t="shared" si="129"/>
        <v/>
      </c>
      <c r="QA22" s="11" t="str">
        <f t="shared" si="130"/>
        <v/>
      </c>
      <c r="QB22" s="11" t="str">
        <f t="shared" si="131"/>
        <v/>
      </c>
      <c r="QC22" s="11" t="str">
        <f t="shared" si="132"/>
        <v/>
      </c>
      <c r="QD22" s="11" t="str">
        <f t="shared" si="133"/>
        <v/>
      </c>
      <c r="QE22" s="11" t="str">
        <f t="shared" si="134"/>
        <v/>
      </c>
      <c r="QF22" s="11" t="str">
        <f t="shared" si="135"/>
        <v/>
      </c>
      <c r="QG22" s="22">
        <f t="shared" si="136"/>
        <v>7.45</v>
      </c>
      <c r="QH22" s="22">
        <f t="shared" si="137"/>
        <v>1.45</v>
      </c>
      <c r="QI22" s="22">
        <f t="shared" si="138"/>
        <v>0.05</v>
      </c>
      <c r="QJ22" s="22">
        <f t="shared" si="139"/>
        <v>0.15</v>
      </c>
      <c r="QK22" s="22">
        <f t="shared" si="140"/>
        <v>8.1999999999999993</v>
      </c>
      <c r="QL22" s="22">
        <f t="shared" si="141"/>
        <v>1.9</v>
      </c>
      <c r="QM22" s="22">
        <f t="shared" si="142"/>
        <v>0</v>
      </c>
      <c r="QN22" s="22">
        <f t="shared" si="143"/>
        <v>0.15</v>
      </c>
      <c r="QO22" s="22">
        <f t="shared" si="144"/>
        <v>8.1999999999999993</v>
      </c>
      <c r="QP22" s="22">
        <f t="shared" si="145"/>
        <v>0.9</v>
      </c>
      <c r="QQ22" s="22">
        <f t="shared" si="146"/>
        <v>0</v>
      </c>
      <c r="QR22" s="22">
        <f t="shared" si="147"/>
        <v>0.15</v>
      </c>
      <c r="QS22" s="22">
        <f t="shared" si="148"/>
        <v>8.9</v>
      </c>
      <c r="QT22" s="22">
        <f t="shared" si="149"/>
        <v>1.65</v>
      </c>
      <c r="QU22" s="22">
        <f t="shared" si="150"/>
        <v>0</v>
      </c>
      <c r="QV22" s="22">
        <f t="shared" si="151"/>
        <v>0</v>
      </c>
      <c r="QW22" s="22">
        <f t="shared" si="152"/>
        <v>7.95</v>
      </c>
      <c r="QX22" s="22">
        <f t="shared" si="153"/>
        <v>0.9</v>
      </c>
      <c r="QY22" s="22">
        <f t="shared" si="154"/>
        <v>0</v>
      </c>
      <c r="QZ22" s="22">
        <f t="shared" si="155"/>
        <v>0.15</v>
      </c>
      <c r="RA22" s="27" t="s">
        <v>46</v>
      </c>
      <c r="RB22" s="40">
        <f t="shared" si="156"/>
        <v>3.3499999999999996</v>
      </c>
      <c r="RC22" s="40">
        <f t="shared" si="157"/>
        <v>19.249999999999996</v>
      </c>
      <c r="RD22" s="40">
        <f t="shared" si="158"/>
        <v>9.25</v>
      </c>
      <c r="RE22" s="40">
        <f t="shared" si="159"/>
        <v>4.25</v>
      </c>
      <c r="RF22" s="40">
        <f t="shared" si="160"/>
        <v>28.499999999999996</v>
      </c>
      <c r="RG22" s="40">
        <f t="shared" si="161"/>
        <v>2.5499999999999998</v>
      </c>
      <c r="RH22" s="40">
        <f t="shared" si="162"/>
        <v>19.549999999999997</v>
      </c>
      <c r="RI22" s="40">
        <f t="shared" si="163"/>
        <v>48.05</v>
      </c>
    </row>
    <row r="23" spans="1:477" x14ac:dyDescent="0.2">
      <c r="A23" s="4" t="str" cm="1">
        <f t="array" ref="A23">IF(AND(J23&lt;&gt;"",J23&lt;&gt;"No DD"),SUMPRODUCT((J$4:J$27&lt;&gt;"")*(J$4:J$27&lt;&gt;"No DD")*(F$4:F$27&gt;F23))+1,IF(J23="No DD",SUMPRODUCT((J$4:J$27="No DD")*(F$4:F$27&gt;F23))+1+SUMPRODUCT((J$4:J$27&lt;&gt;"")*(J$4:J$27&lt;&gt;"No DD")),""))</f>
        <v/>
      </c>
      <c r="B23" s="4" t="str" cm="1">
        <f t="array" ref="B23">IF(AND(J23&lt;&gt;"",J23&lt;&gt;"No DD",G23=""),SUMPRODUCT((J$4:J$27&lt;&gt;"")*(J$4:J$27&lt;&gt;"No DD")*(G$4:G$27="")*(F$4:F$27&gt;F23))+1,IF(J23="No DD",SUMPRODUCT((J$4:J$27="No DD")*(F$4:F$27&gt;F23)*(G$4:G$27=""))+1+SUMPRODUCT((J$4:J$27&lt;&gt;"")*(G$4:G$27="")*(J$4:J$27&lt;&gt;"No DD")),""))</f>
        <v/>
      </c>
      <c r="C23" s="5" t="s">
        <v>231</v>
      </c>
      <c r="D23" s="4" t="s">
        <v>3</v>
      </c>
      <c r="E23" s="4">
        <v>2003</v>
      </c>
      <c r="F23" s="9">
        <f t="shared" si="0"/>
        <v>92.900005340003389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IF(COUNT(AS23,BV23,CY23)&gt;0,LARGE((AS23,BV23,CY23),1),0)</f>
        <v>34.099999999999994</v>
      </c>
      <c r="M23" s="8" t="str">
        <f t="shared" si="5"/>
        <v>2024 Elite Canada</v>
      </c>
      <c r="N23" s="8">
        <f>IF(COUNT(AS23,BV23,CY23)&gt;1,LARGE((AS23,BV23,CY23),2),0)</f>
        <v>0</v>
      </c>
      <c r="O23" s="8" t="str">
        <f t="shared" si="6"/>
        <v/>
      </c>
      <c r="P23" s="8">
        <f>IF(COUNT(AT23,BW23,CZ23)&gt;0,LARGE((AT23,BW23,CZ23),1),0)</f>
        <v>19.3</v>
      </c>
      <c r="Q23" s="8" t="str">
        <f t="shared" si="7"/>
        <v>2024 Elite Canada</v>
      </c>
      <c r="R23" s="8">
        <f t="shared" si="8"/>
        <v>39.499999999999993</v>
      </c>
      <c r="S23" s="8" t="str">
        <f t="shared" si="9"/>
        <v>2024 Elite Canada</v>
      </c>
      <c r="T23" s="8" t="str">
        <f t="shared" si="10"/>
        <v/>
      </c>
      <c r="U23" s="11" t="str">
        <f t="shared" si="11"/>
        <v/>
      </c>
      <c r="V23" s="8" t="str">
        <f t="shared" si="12"/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 t="shared" si="13"/>
        <v/>
      </c>
      <c r="AS23" s="40" t="str">
        <f t="shared" si="14"/>
        <v/>
      </c>
      <c r="AT23" s="40" t="str">
        <f t="shared" si="15"/>
        <v/>
      </c>
      <c r="AU23" s="40" t="str">
        <f t="shared" si="16"/>
        <v/>
      </c>
      <c r="AV23" s="40" t="str">
        <f t="shared" si="17"/>
        <v/>
      </c>
      <c r="AW23" s="40" t="str">
        <f t="shared" si="18"/>
        <v/>
      </c>
      <c r="AX23" s="40" t="str">
        <f t="shared" si="19"/>
        <v/>
      </c>
      <c r="AY23" s="40" t="str">
        <f t="shared" si="20"/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 t="shared" si="21"/>
        <v/>
      </c>
      <c r="BV23" s="11" t="str">
        <f t="shared" si="22"/>
        <v/>
      </c>
      <c r="BW23" s="11" t="str">
        <f t="shared" si="23"/>
        <v/>
      </c>
      <c r="BX23" s="11" t="str">
        <f t="shared" si="24"/>
        <v/>
      </c>
      <c r="BY23" s="11" t="str">
        <f t="shared" si="25"/>
        <v/>
      </c>
      <c r="BZ23" s="11" t="str">
        <f t="shared" si="26"/>
        <v/>
      </c>
      <c r="CA23" s="11" t="str">
        <f t="shared" si="27"/>
        <v/>
      </c>
      <c r="CB23" s="11" t="str">
        <f t="shared" si="28"/>
        <v/>
      </c>
      <c r="CC23" s="19">
        <v>16.7</v>
      </c>
      <c r="CD23" s="19">
        <v>1.2</v>
      </c>
      <c r="CE23" s="19">
        <v>0</v>
      </c>
      <c r="CF23" s="19">
        <v>0</v>
      </c>
      <c r="CG23" s="19">
        <v>14</v>
      </c>
      <c r="CH23" s="19">
        <v>1.9</v>
      </c>
      <c r="CI23" s="19">
        <v>0</v>
      </c>
      <c r="CJ23" s="19">
        <v>0.3</v>
      </c>
      <c r="CK23" s="19">
        <v>15.8</v>
      </c>
      <c r="CL23" s="19">
        <v>3.2</v>
      </c>
      <c r="CM23" s="19">
        <v>0</v>
      </c>
      <c r="CN23" s="19">
        <v>0.3</v>
      </c>
      <c r="CO23" s="19">
        <v>18</v>
      </c>
      <c r="CP23" s="19">
        <v>2.2999999999999998</v>
      </c>
      <c r="CQ23" s="19">
        <v>0.7</v>
      </c>
      <c r="CR23" s="19">
        <v>0</v>
      </c>
      <c r="CS23" s="19">
        <v>17</v>
      </c>
      <c r="CT23" s="19">
        <v>2.8</v>
      </c>
      <c r="CU23" s="19">
        <v>0.2</v>
      </c>
      <c r="CV23" s="19">
        <v>0.3</v>
      </c>
      <c r="CW23" s="27"/>
      <c r="CX23" s="40">
        <f t="shared" si="29"/>
        <v>3.0999999999999996</v>
      </c>
      <c r="CY23" s="40">
        <f t="shared" si="30"/>
        <v>34.099999999999994</v>
      </c>
      <c r="CZ23" s="40">
        <f t="shared" si="31"/>
        <v>19.3</v>
      </c>
      <c r="DA23" s="40">
        <f t="shared" si="32"/>
        <v>6.3</v>
      </c>
      <c r="DB23" s="40">
        <f t="shared" si="33"/>
        <v>53.399999999999991</v>
      </c>
      <c r="DC23" s="40">
        <f t="shared" si="34"/>
        <v>5.0999999999999996</v>
      </c>
      <c r="DD23" s="40">
        <f t="shared" si="35"/>
        <v>39.499999999999993</v>
      </c>
      <c r="DE23" s="40">
        <f t="shared" si="36"/>
        <v>92.899999999999977</v>
      </c>
      <c r="DF23" s="50" t="str">
        <f t="shared" si="37"/>
        <v/>
      </c>
      <c r="DG23" s="50" t="str">
        <f t="shared" si="38"/>
        <v/>
      </c>
      <c r="DH23" s="50" t="str">
        <f t="shared" si="39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40"/>
        <v/>
      </c>
      <c r="ED23" s="40" t="str">
        <f t="shared" si="41"/>
        <v/>
      </c>
      <c r="EE23" s="40" t="str">
        <f t="shared" si="42"/>
        <v/>
      </c>
      <c r="EF23" s="40" t="str">
        <f t="shared" si="43"/>
        <v/>
      </c>
      <c r="EG23" s="40" t="str">
        <f t="shared" si="44"/>
        <v/>
      </c>
      <c r="EH23" s="40" t="str">
        <f t="shared" si="45"/>
        <v/>
      </c>
      <c r="EI23" s="40" t="str">
        <f t="shared" si="46"/>
        <v/>
      </c>
      <c r="EJ23" s="40" t="str">
        <f t="shared" si="47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8"/>
        <v/>
      </c>
      <c r="FF23" s="11" t="str">
        <f t="shared" si="49"/>
        <v/>
      </c>
      <c r="FG23" s="11" t="str">
        <f t="shared" si="50"/>
        <v/>
      </c>
      <c r="FH23" s="11" t="str">
        <f t="shared" si="51"/>
        <v/>
      </c>
      <c r="FI23" s="11" t="str">
        <f t="shared" si="52"/>
        <v/>
      </c>
      <c r="FJ23" s="11" t="str">
        <f t="shared" si="53"/>
        <v/>
      </c>
      <c r="FK23" s="11" t="str">
        <f t="shared" si="54"/>
        <v/>
      </c>
      <c r="FL23" s="11" t="str">
        <f t="shared" si="55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6"/>
        <v/>
      </c>
      <c r="GH23" s="40" t="str">
        <f t="shared" si="57"/>
        <v/>
      </c>
      <c r="GI23" s="40" t="str">
        <f t="shared" si="58"/>
        <v/>
      </c>
      <c r="GJ23" s="40" t="str">
        <f t="shared" si="59"/>
        <v/>
      </c>
      <c r="GK23" s="40" t="str">
        <f t="shared" si="60"/>
        <v/>
      </c>
      <c r="GL23" s="40" t="str">
        <f t="shared" si="61"/>
        <v/>
      </c>
      <c r="GM23" s="40" t="str">
        <f t="shared" si="62"/>
        <v/>
      </c>
      <c r="GN23" s="40" t="str">
        <f t="shared" si="63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4"/>
        <v/>
      </c>
      <c r="HJ23" s="11" t="str">
        <f t="shared" si="65"/>
        <v/>
      </c>
      <c r="HK23" s="11" t="str">
        <f t="shared" si="66"/>
        <v/>
      </c>
      <c r="HL23" s="11" t="str">
        <f t="shared" si="67"/>
        <v/>
      </c>
      <c r="HM23" s="11" t="str">
        <f t="shared" si="68"/>
        <v/>
      </c>
      <c r="HN23" s="11" t="str">
        <f t="shared" si="69"/>
        <v/>
      </c>
      <c r="HO23" s="11" t="str">
        <f t="shared" si="70"/>
        <v/>
      </c>
      <c r="HP23" s="11" t="str">
        <f t="shared" si="71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2"/>
        <v/>
      </c>
      <c r="IL23" s="40" t="str">
        <f t="shared" si="73"/>
        <v/>
      </c>
      <c r="IM23" s="40" t="str">
        <f t="shared" si="74"/>
        <v/>
      </c>
      <c r="IN23" s="40" t="str">
        <f t="shared" si="75"/>
        <v/>
      </c>
      <c r="IO23" s="40" t="str">
        <f t="shared" si="76"/>
        <v/>
      </c>
      <c r="IP23" s="40" t="str">
        <f t="shared" si="77"/>
        <v/>
      </c>
      <c r="IQ23" s="40" t="str">
        <f t="shared" si="78"/>
        <v/>
      </c>
      <c r="IR23" s="40" t="str">
        <f t="shared" si="79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80"/>
        <v/>
      </c>
      <c r="JN23" s="11" t="str">
        <f t="shared" si="81"/>
        <v/>
      </c>
      <c r="JO23" s="11" t="str">
        <f t="shared" si="82"/>
        <v/>
      </c>
      <c r="JP23" s="11" t="str">
        <f t="shared" si="83"/>
        <v/>
      </c>
      <c r="JQ23" s="11" t="str">
        <f t="shared" si="84"/>
        <v/>
      </c>
      <c r="JR23" s="11" t="str">
        <f t="shared" si="85"/>
        <v/>
      </c>
      <c r="JS23" s="11" t="str">
        <f t="shared" si="86"/>
        <v/>
      </c>
      <c r="JT23" s="11" t="str">
        <f t="shared" si="87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8"/>
        <v/>
      </c>
      <c r="KP23" s="40" t="str">
        <f t="shared" si="89"/>
        <v/>
      </c>
      <c r="KQ23" s="40" t="str">
        <f t="shared" si="90"/>
        <v/>
      </c>
      <c r="KR23" s="40" t="str">
        <f t="shared" si="91"/>
        <v/>
      </c>
      <c r="KS23" s="40" t="str">
        <f t="shared" si="92"/>
        <v/>
      </c>
      <c r="KT23" s="40" t="str">
        <f t="shared" si="93"/>
        <v/>
      </c>
      <c r="KU23" s="40" t="str">
        <f t="shared" si="94"/>
        <v/>
      </c>
      <c r="KV23" s="40" t="str">
        <f t="shared" si="95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6"/>
        <v/>
      </c>
      <c r="LR23" s="11" t="str">
        <f t="shared" si="97"/>
        <v/>
      </c>
      <c r="LS23" s="11" t="str">
        <f t="shared" si="98"/>
        <v/>
      </c>
      <c r="LT23" s="11" t="str">
        <f t="shared" si="99"/>
        <v/>
      </c>
      <c r="LU23" s="11" t="str">
        <f t="shared" si="100"/>
        <v/>
      </c>
      <c r="LV23" s="11" t="str">
        <f t="shared" si="101"/>
        <v/>
      </c>
      <c r="LW23" s="11" t="str">
        <f t="shared" si="102"/>
        <v/>
      </c>
      <c r="LX23" s="11" t="str">
        <f t="shared" si="103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4"/>
        <v/>
      </c>
      <c r="MT23" s="40" t="str">
        <f t="shared" si="105"/>
        <v/>
      </c>
      <c r="MU23" s="40" t="str">
        <f t="shared" si="106"/>
        <v/>
      </c>
      <c r="MV23" s="40" t="str">
        <f t="shared" si="107"/>
        <v/>
      </c>
      <c r="MW23" s="40" t="str">
        <f t="shared" si="108"/>
        <v/>
      </c>
      <c r="MX23" s="40" t="str">
        <f t="shared" si="109"/>
        <v/>
      </c>
      <c r="MY23" s="40" t="str">
        <f t="shared" si="110"/>
        <v/>
      </c>
      <c r="MZ23" s="40" t="str">
        <f t="shared" si="111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2"/>
        <v/>
      </c>
      <c r="NV23" s="11" t="str">
        <f t="shared" si="113"/>
        <v/>
      </c>
      <c r="NW23" s="11" t="str">
        <f t="shared" si="114"/>
        <v/>
      </c>
      <c r="NX23" s="11" t="str">
        <f t="shared" si="115"/>
        <v/>
      </c>
      <c r="NY23" s="11" t="str">
        <f t="shared" si="116"/>
        <v/>
      </c>
      <c r="NZ23" s="11" t="str">
        <f t="shared" si="117"/>
        <v/>
      </c>
      <c r="OA23" s="11" t="str">
        <f t="shared" si="118"/>
        <v/>
      </c>
      <c r="OB23" s="11" t="str">
        <f t="shared" si="119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20"/>
        <v/>
      </c>
      <c r="OX23" s="40" t="str">
        <f t="shared" si="121"/>
        <v/>
      </c>
      <c r="OY23" s="40" t="str">
        <f t="shared" si="122"/>
        <v/>
      </c>
      <c r="OZ23" s="40" t="str">
        <f t="shared" si="123"/>
        <v/>
      </c>
      <c r="PA23" s="40" t="str">
        <f t="shared" si="124"/>
        <v/>
      </c>
      <c r="PB23" s="40" t="str">
        <f t="shared" si="125"/>
        <v/>
      </c>
      <c r="PC23" s="40" t="str">
        <f t="shared" si="126"/>
        <v/>
      </c>
      <c r="PD23" s="40" t="str">
        <f t="shared" si="127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8"/>
        <v/>
      </c>
      <c r="PZ23" s="11" t="str">
        <f t="shared" si="129"/>
        <v/>
      </c>
      <c r="QA23" s="11" t="str">
        <f t="shared" si="130"/>
        <v/>
      </c>
      <c r="QB23" s="11" t="str">
        <f t="shared" si="131"/>
        <v/>
      </c>
      <c r="QC23" s="11" t="str">
        <f t="shared" si="132"/>
        <v/>
      </c>
      <c r="QD23" s="11" t="str">
        <f t="shared" si="133"/>
        <v/>
      </c>
      <c r="QE23" s="11" t="str">
        <f t="shared" si="134"/>
        <v/>
      </c>
      <c r="QF23" s="11" t="str">
        <f t="shared" si="135"/>
        <v/>
      </c>
      <c r="QG23" s="22">
        <f t="shared" si="136"/>
        <v>8.35</v>
      </c>
      <c r="QH23" s="22">
        <f t="shared" si="137"/>
        <v>0.6</v>
      </c>
      <c r="QI23" s="22">
        <f t="shared" si="138"/>
        <v>0</v>
      </c>
      <c r="QJ23" s="22">
        <f t="shared" si="139"/>
        <v>0</v>
      </c>
      <c r="QK23" s="22">
        <f t="shared" si="140"/>
        <v>7</v>
      </c>
      <c r="QL23" s="22">
        <f t="shared" si="141"/>
        <v>0.95</v>
      </c>
      <c r="QM23" s="22">
        <f t="shared" si="142"/>
        <v>0</v>
      </c>
      <c r="QN23" s="22">
        <f t="shared" si="143"/>
        <v>0.15</v>
      </c>
      <c r="QO23" s="22">
        <f t="shared" si="144"/>
        <v>7.9</v>
      </c>
      <c r="QP23" s="22">
        <f t="shared" si="145"/>
        <v>1.6</v>
      </c>
      <c r="QQ23" s="22">
        <f t="shared" si="146"/>
        <v>0</v>
      </c>
      <c r="QR23" s="22">
        <f t="shared" si="147"/>
        <v>0.15</v>
      </c>
      <c r="QS23" s="22">
        <f t="shared" si="148"/>
        <v>9</v>
      </c>
      <c r="QT23" s="22">
        <f t="shared" si="149"/>
        <v>1.1499999999999999</v>
      </c>
      <c r="QU23" s="22">
        <f t="shared" si="150"/>
        <v>0.35</v>
      </c>
      <c r="QV23" s="22">
        <f t="shared" si="151"/>
        <v>0</v>
      </c>
      <c r="QW23" s="22">
        <f t="shared" si="152"/>
        <v>8.5</v>
      </c>
      <c r="QX23" s="22">
        <f t="shared" si="153"/>
        <v>1.4</v>
      </c>
      <c r="QY23" s="22">
        <f t="shared" si="154"/>
        <v>0.1</v>
      </c>
      <c r="QZ23" s="22">
        <f t="shared" si="155"/>
        <v>0.15</v>
      </c>
      <c r="RA23" s="27" t="s">
        <v>46</v>
      </c>
      <c r="RB23" s="40">
        <f t="shared" si="156"/>
        <v>1.5499999999999998</v>
      </c>
      <c r="RC23" s="40">
        <f t="shared" si="157"/>
        <v>17.049999999999997</v>
      </c>
      <c r="RD23" s="40">
        <f t="shared" si="158"/>
        <v>9.65</v>
      </c>
      <c r="RE23" s="40">
        <f t="shared" si="159"/>
        <v>3.15</v>
      </c>
      <c r="RF23" s="40">
        <f t="shared" si="160"/>
        <v>26.699999999999996</v>
      </c>
      <c r="RG23" s="40">
        <f t="shared" si="161"/>
        <v>2.5499999999999998</v>
      </c>
      <c r="RH23" s="40">
        <f t="shared" si="162"/>
        <v>19.749999999999996</v>
      </c>
      <c r="RI23" s="40">
        <f t="shared" si="163"/>
        <v>46.449999999999989</v>
      </c>
    </row>
    <row r="24" spans="1:477" x14ac:dyDescent="0.2">
      <c r="A24" s="4" t="str" cm="1">
        <f t="array" ref="A24">IF(AND(J24&lt;&gt;"",J24&lt;&gt;"No DD"),SUMPRODUCT((J$4:J$27&lt;&gt;"")*(J$4:J$27&lt;&gt;"No DD")*(F$4:F$27&gt;F24))+1,IF(J24="No DD",SUMPRODUCT((J$4:J$27="No DD")*(F$4:F$27&gt;F24))+1+SUMPRODUCT((J$4:J$27&lt;&gt;"")*(J$4:J$27&lt;&gt;"No DD")),""))</f>
        <v/>
      </c>
      <c r="B24" s="4" t="str" cm="1">
        <f t="array" ref="B24">IF(AND(J24&lt;&gt;"",J24&lt;&gt;"No DD",G24=""),SUMPRODUCT((J$4:J$27&lt;&gt;"")*(J$4:J$27&lt;&gt;"No DD")*(G$4:G$27="")*(F$4:F$27&gt;F24))+1,IF(J24="No DD",SUMPRODUCT((J$4:J$27="No DD")*(F$4:F$27&gt;F24)*(G$4:G$27=""))+1+SUMPRODUCT((J$4:J$27&lt;&gt;"")*(G$4:G$27="")*(J$4:J$27&lt;&gt;"No DD")),""))</f>
        <v/>
      </c>
      <c r="C24" s="5" t="s">
        <v>233</v>
      </c>
      <c r="D24" s="4" t="s">
        <v>3</v>
      </c>
      <c r="E24" s="4">
        <v>2006</v>
      </c>
      <c r="F24" s="9">
        <f t="shared" si="0"/>
        <v>91.800005310003343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IF(COUNT(AS24,BV24,CY24)&gt;0,LARGE((AS24,BV24,CY24),1),0)</f>
        <v>33.200000000000003</v>
      </c>
      <c r="M24" s="8" t="str">
        <f t="shared" si="5"/>
        <v>2024 Elite Canada</v>
      </c>
      <c r="N24" s="8">
        <f>IF(COUNT(AS24,BV24,CY24)&gt;1,LARGE((AS24,BV24,CY24),2),0)</f>
        <v>0</v>
      </c>
      <c r="O24" s="8" t="str">
        <f t="shared" si="6"/>
        <v/>
      </c>
      <c r="P24" s="8">
        <f>IF(COUNT(AT24,BW24,CZ24)&gt;0,LARGE((AT24,BW24,CZ24),1),0)</f>
        <v>19.900000000000002</v>
      </c>
      <c r="Q24" s="8" t="str">
        <f t="shared" si="7"/>
        <v>2024 Elite Canada</v>
      </c>
      <c r="R24" s="8">
        <f t="shared" si="8"/>
        <v>38.700000000000003</v>
      </c>
      <c r="S24" s="8" t="str">
        <f t="shared" si="9"/>
        <v>2024 Elite Canada</v>
      </c>
      <c r="T24" s="8" t="str">
        <f t="shared" si="10"/>
        <v/>
      </c>
      <c r="U24" s="11" t="str">
        <f t="shared" si="11"/>
        <v/>
      </c>
      <c r="V24" s="8" t="str">
        <f t="shared" si="12"/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 t="shared" si="13"/>
        <v/>
      </c>
      <c r="AS24" s="40" t="str">
        <f t="shared" si="14"/>
        <v/>
      </c>
      <c r="AT24" s="40" t="str">
        <f t="shared" si="15"/>
        <v/>
      </c>
      <c r="AU24" s="40" t="str">
        <f t="shared" si="16"/>
        <v/>
      </c>
      <c r="AV24" s="40" t="str">
        <f t="shared" si="17"/>
        <v/>
      </c>
      <c r="AW24" s="40" t="str">
        <f t="shared" si="18"/>
        <v/>
      </c>
      <c r="AX24" s="40" t="str">
        <f t="shared" si="19"/>
        <v/>
      </c>
      <c r="AY24" s="40" t="str">
        <f t="shared" si="20"/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 t="shared" si="21"/>
        <v/>
      </c>
      <c r="BV24" s="11" t="str">
        <f t="shared" si="22"/>
        <v/>
      </c>
      <c r="BW24" s="11" t="str">
        <f t="shared" si="23"/>
        <v/>
      </c>
      <c r="BX24" s="11" t="str">
        <f t="shared" si="24"/>
        <v/>
      </c>
      <c r="BY24" s="11" t="str">
        <f t="shared" si="25"/>
        <v/>
      </c>
      <c r="BZ24" s="11" t="str">
        <f t="shared" si="26"/>
        <v/>
      </c>
      <c r="CA24" s="11" t="str">
        <f t="shared" si="27"/>
        <v/>
      </c>
      <c r="CB24" s="11" t="str">
        <f t="shared" si="28"/>
        <v/>
      </c>
      <c r="CC24" s="19">
        <v>15.3</v>
      </c>
      <c r="CD24" s="19">
        <v>1.8</v>
      </c>
      <c r="CE24" s="19">
        <v>1.4</v>
      </c>
      <c r="CF24" s="19">
        <v>0</v>
      </c>
      <c r="CG24" s="19">
        <v>16</v>
      </c>
      <c r="CH24" s="19">
        <v>3.2</v>
      </c>
      <c r="CI24" s="19">
        <v>2</v>
      </c>
      <c r="CJ24" s="19">
        <v>0.3</v>
      </c>
      <c r="CK24" s="19">
        <v>15.8</v>
      </c>
      <c r="CL24" s="19">
        <v>3.5</v>
      </c>
      <c r="CM24" s="19">
        <v>0</v>
      </c>
      <c r="CN24" s="19">
        <v>0.6</v>
      </c>
      <c r="CO24" s="19">
        <v>15.8</v>
      </c>
      <c r="CP24" s="19">
        <v>3.2</v>
      </c>
      <c r="CQ24" s="19">
        <v>0</v>
      </c>
      <c r="CR24" s="19">
        <v>0.3</v>
      </c>
      <c r="CS24" s="19">
        <v>15.7</v>
      </c>
      <c r="CT24" s="19">
        <v>3.5</v>
      </c>
      <c r="CU24" s="19">
        <v>0.4</v>
      </c>
      <c r="CV24" s="19">
        <v>0.6</v>
      </c>
      <c r="CW24" s="27"/>
      <c r="CX24" s="40">
        <f t="shared" si="29"/>
        <v>5</v>
      </c>
      <c r="CY24" s="40">
        <f t="shared" si="30"/>
        <v>33.200000000000003</v>
      </c>
      <c r="CZ24" s="40">
        <f t="shared" si="31"/>
        <v>19.900000000000002</v>
      </c>
      <c r="DA24" s="40">
        <f t="shared" si="32"/>
        <v>8.5</v>
      </c>
      <c r="DB24" s="40">
        <f t="shared" si="33"/>
        <v>53.100000000000009</v>
      </c>
      <c r="DC24" s="40">
        <f t="shared" si="34"/>
        <v>6.7</v>
      </c>
      <c r="DD24" s="40">
        <f t="shared" si="35"/>
        <v>38.700000000000003</v>
      </c>
      <c r="DE24" s="40">
        <f t="shared" si="36"/>
        <v>91.800000000000011</v>
      </c>
      <c r="DF24" s="50" t="str">
        <f t="shared" si="37"/>
        <v/>
      </c>
      <c r="DG24" s="50" t="str">
        <f t="shared" si="38"/>
        <v/>
      </c>
      <c r="DH24" s="50" t="str">
        <f t="shared" si="39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40"/>
        <v/>
      </c>
      <c r="ED24" s="40" t="str">
        <f t="shared" si="41"/>
        <v/>
      </c>
      <c r="EE24" s="40" t="str">
        <f t="shared" si="42"/>
        <v/>
      </c>
      <c r="EF24" s="40" t="str">
        <f t="shared" si="43"/>
        <v/>
      </c>
      <c r="EG24" s="40" t="str">
        <f t="shared" si="44"/>
        <v/>
      </c>
      <c r="EH24" s="40" t="str">
        <f t="shared" si="45"/>
        <v/>
      </c>
      <c r="EI24" s="40" t="str">
        <f t="shared" si="46"/>
        <v/>
      </c>
      <c r="EJ24" s="40" t="str">
        <f t="shared" si="47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8"/>
        <v/>
      </c>
      <c r="FF24" s="11" t="str">
        <f t="shared" si="49"/>
        <v/>
      </c>
      <c r="FG24" s="11" t="str">
        <f t="shared" si="50"/>
        <v/>
      </c>
      <c r="FH24" s="11" t="str">
        <f t="shared" si="51"/>
        <v/>
      </c>
      <c r="FI24" s="11" t="str">
        <f t="shared" si="52"/>
        <v/>
      </c>
      <c r="FJ24" s="11" t="str">
        <f t="shared" si="53"/>
        <v/>
      </c>
      <c r="FK24" s="11" t="str">
        <f t="shared" si="54"/>
        <v/>
      </c>
      <c r="FL24" s="11" t="str">
        <f t="shared" si="55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6"/>
        <v/>
      </c>
      <c r="GH24" s="40" t="str">
        <f t="shared" si="57"/>
        <v/>
      </c>
      <c r="GI24" s="40" t="str">
        <f t="shared" si="58"/>
        <v/>
      </c>
      <c r="GJ24" s="40" t="str">
        <f t="shared" si="59"/>
        <v/>
      </c>
      <c r="GK24" s="40" t="str">
        <f t="shared" si="60"/>
        <v/>
      </c>
      <c r="GL24" s="40" t="str">
        <f t="shared" si="61"/>
        <v/>
      </c>
      <c r="GM24" s="40" t="str">
        <f t="shared" si="62"/>
        <v/>
      </c>
      <c r="GN24" s="40" t="str">
        <f t="shared" si="63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4"/>
        <v/>
      </c>
      <c r="HJ24" s="11" t="str">
        <f t="shared" si="65"/>
        <v/>
      </c>
      <c r="HK24" s="11" t="str">
        <f t="shared" si="66"/>
        <v/>
      </c>
      <c r="HL24" s="11" t="str">
        <f t="shared" si="67"/>
        <v/>
      </c>
      <c r="HM24" s="11" t="str">
        <f t="shared" si="68"/>
        <v/>
      </c>
      <c r="HN24" s="11" t="str">
        <f t="shared" si="69"/>
        <v/>
      </c>
      <c r="HO24" s="11" t="str">
        <f t="shared" si="70"/>
        <v/>
      </c>
      <c r="HP24" s="11" t="str">
        <f t="shared" si="71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2"/>
        <v/>
      </c>
      <c r="IL24" s="40" t="str">
        <f t="shared" si="73"/>
        <v/>
      </c>
      <c r="IM24" s="40" t="str">
        <f t="shared" si="74"/>
        <v/>
      </c>
      <c r="IN24" s="40" t="str">
        <f t="shared" si="75"/>
        <v/>
      </c>
      <c r="IO24" s="40" t="str">
        <f t="shared" si="76"/>
        <v/>
      </c>
      <c r="IP24" s="40" t="str">
        <f t="shared" si="77"/>
        <v/>
      </c>
      <c r="IQ24" s="40" t="str">
        <f t="shared" si="78"/>
        <v/>
      </c>
      <c r="IR24" s="40" t="str">
        <f t="shared" si="79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80"/>
        <v/>
      </c>
      <c r="JN24" s="11" t="str">
        <f t="shared" si="81"/>
        <v/>
      </c>
      <c r="JO24" s="11" t="str">
        <f t="shared" si="82"/>
        <v/>
      </c>
      <c r="JP24" s="11" t="str">
        <f t="shared" si="83"/>
        <v/>
      </c>
      <c r="JQ24" s="11" t="str">
        <f t="shared" si="84"/>
        <v/>
      </c>
      <c r="JR24" s="11" t="str">
        <f t="shared" si="85"/>
        <v/>
      </c>
      <c r="JS24" s="11" t="str">
        <f t="shared" si="86"/>
        <v/>
      </c>
      <c r="JT24" s="11" t="str">
        <f t="shared" si="87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8"/>
        <v/>
      </c>
      <c r="KP24" s="40" t="str">
        <f t="shared" si="89"/>
        <v/>
      </c>
      <c r="KQ24" s="40" t="str">
        <f t="shared" si="90"/>
        <v/>
      </c>
      <c r="KR24" s="40" t="str">
        <f t="shared" si="91"/>
        <v/>
      </c>
      <c r="KS24" s="40" t="str">
        <f t="shared" si="92"/>
        <v/>
      </c>
      <c r="KT24" s="40" t="str">
        <f t="shared" si="93"/>
        <v/>
      </c>
      <c r="KU24" s="40" t="str">
        <f t="shared" si="94"/>
        <v/>
      </c>
      <c r="KV24" s="40" t="str">
        <f t="shared" si="95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6"/>
        <v/>
      </c>
      <c r="LR24" s="11" t="str">
        <f t="shared" si="97"/>
        <v/>
      </c>
      <c r="LS24" s="11" t="str">
        <f t="shared" si="98"/>
        <v/>
      </c>
      <c r="LT24" s="11" t="str">
        <f t="shared" si="99"/>
        <v/>
      </c>
      <c r="LU24" s="11" t="str">
        <f t="shared" si="100"/>
        <v/>
      </c>
      <c r="LV24" s="11" t="str">
        <f t="shared" si="101"/>
        <v/>
      </c>
      <c r="LW24" s="11" t="str">
        <f t="shared" si="102"/>
        <v/>
      </c>
      <c r="LX24" s="11" t="str">
        <f t="shared" si="103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4"/>
        <v/>
      </c>
      <c r="MT24" s="40" t="str">
        <f t="shared" si="105"/>
        <v/>
      </c>
      <c r="MU24" s="40" t="str">
        <f t="shared" si="106"/>
        <v/>
      </c>
      <c r="MV24" s="40" t="str">
        <f t="shared" si="107"/>
        <v/>
      </c>
      <c r="MW24" s="40" t="str">
        <f t="shared" si="108"/>
        <v/>
      </c>
      <c r="MX24" s="40" t="str">
        <f t="shared" si="109"/>
        <v/>
      </c>
      <c r="MY24" s="40" t="str">
        <f t="shared" si="110"/>
        <v/>
      </c>
      <c r="MZ24" s="40" t="str">
        <f t="shared" si="111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2"/>
        <v/>
      </c>
      <c r="NV24" s="11" t="str">
        <f t="shared" si="113"/>
        <v/>
      </c>
      <c r="NW24" s="11" t="str">
        <f t="shared" si="114"/>
        <v/>
      </c>
      <c r="NX24" s="11" t="str">
        <f t="shared" si="115"/>
        <v/>
      </c>
      <c r="NY24" s="11" t="str">
        <f t="shared" si="116"/>
        <v/>
      </c>
      <c r="NZ24" s="11" t="str">
        <f t="shared" si="117"/>
        <v/>
      </c>
      <c r="OA24" s="11" t="str">
        <f t="shared" si="118"/>
        <v/>
      </c>
      <c r="OB24" s="11" t="str">
        <f t="shared" si="119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20"/>
        <v/>
      </c>
      <c r="OX24" s="40" t="str">
        <f t="shared" si="121"/>
        <v/>
      </c>
      <c r="OY24" s="40" t="str">
        <f t="shared" si="122"/>
        <v/>
      </c>
      <c r="OZ24" s="40" t="str">
        <f t="shared" si="123"/>
        <v/>
      </c>
      <c r="PA24" s="40" t="str">
        <f t="shared" si="124"/>
        <v/>
      </c>
      <c r="PB24" s="40" t="str">
        <f t="shared" si="125"/>
        <v/>
      </c>
      <c r="PC24" s="40" t="str">
        <f t="shared" si="126"/>
        <v/>
      </c>
      <c r="PD24" s="40" t="str">
        <f t="shared" si="127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8"/>
        <v/>
      </c>
      <c r="PZ24" s="11" t="str">
        <f t="shared" si="129"/>
        <v/>
      </c>
      <c r="QA24" s="11" t="str">
        <f t="shared" si="130"/>
        <v/>
      </c>
      <c r="QB24" s="11" t="str">
        <f t="shared" si="131"/>
        <v/>
      </c>
      <c r="QC24" s="11" t="str">
        <f t="shared" si="132"/>
        <v/>
      </c>
      <c r="QD24" s="11" t="str">
        <f t="shared" si="133"/>
        <v/>
      </c>
      <c r="QE24" s="11" t="str">
        <f t="shared" si="134"/>
        <v/>
      </c>
      <c r="QF24" s="11" t="str">
        <f t="shared" si="135"/>
        <v/>
      </c>
      <c r="QG24" s="22">
        <f t="shared" si="136"/>
        <v>7.65</v>
      </c>
      <c r="QH24" s="22">
        <f t="shared" si="137"/>
        <v>0.9</v>
      </c>
      <c r="QI24" s="22">
        <f t="shared" si="138"/>
        <v>0.7</v>
      </c>
      <c r="QJ24" s="22">
        <f t="shared" si="139"/>
        <v>0</v>
      </c>
      <c r="QK24" s="22">
        <f t="shared" si="140"/>
        <v>8</v>
      </c>
      <c r="QL24" s="22">
        <f t="shared" si="141"/>
        <v>1.6</v>
      </c>
      <c r="QM24" s="22">
        <f t="shared" si="142"/>
        <v>1</v>
      </c>
      <c r="QN24" s="22">
        <f t="shared" si="143"/>
        <v>0.15</v>
      </c>
      <c r="QO24" s="22">
        <f t="shared" si="144"/>
        <v>7.9</v>
      </c>
      <c r="QP24" s="22">
        <f t="shared" si="145"/>
        <v>1.75</v>
      </c>
      <c r="QQ24" s="22">
        <f t="shared" si="146"/>
        <v>0</v>
      </c>
      <c r="QR24" s="22">
        <f t="shared" si="147"/>
        <v>0.3</v>
      </c>
      <c r="QS24" s="22">
        <f t="shared" si="148"/>
        <v>7.9</v>
      </c>
      <c r="QT24" s="22">
        <f t="shared" si="149"/>
        <v>1.6</v>
      </c>
      <c r="QU24" s="22">
        <f t="shared" si="150"/>
        <v>0</v>
      </c>
      <c r="QV24" s="22">
        <f t="shared" si="151"/>
        <v>0.15</v>
      </c>
      <c r="QW24" s="22">
        <f t="shared" si="152"/>
        <v>7.85</v>
      </c>
      <c r="QX24" s="22">
        <f t="shared" si="153"/>
        <v>1.75</v>
      </c>
      <c r="QY24" s="22">
        <f t="shared" si="154"/>
        <v>0.2</v>
      </c>
      <c r="QZ24" s="22">
        <f t="shared" si="155"/>
        <v>0.3</v>
      </c>
      <c r="RA24" s="27" t="s">
        <v>46</v>
      </c>
      <c r="RB24" s="40">
        <f t="shared" si="156"/>
        <v>2.5</v>
      </c>
      <c r="RC24" s="40">
        <f t="shared" si="157"/>
        <v>16.600000000000001</v>
      </c>
      <c r="RD24" s="40">
        <f t="shared" si="158"/>
        <v>9.9500000000000011</v>
      </c>
      <c r="RE24" s="40">
        <f t="shared" si="159"/>
        <v>4.25</v>
      </c>
      <c r="RF24" s="40">
        <f t="shared" si="160"/>
        <v>26.550000000000004</v>
      </c>
      <c r="RG24" s="40">
        <f t="shared" si="161"/>
        <v>3.35</v>
      </c>
      <c r="RH24" s="40">
        <f t="shared" si="162"/>
        <v>19.350000000000001</v>
      </c>
      <c r="RI24" s="40">
        <f t="shared" si="163"/>
        <v>45.900000000000006</v>
      </c>
    </row>
    <row r="25" spans="1:477" x14ac:dyDescent="0.2">
      <c r="A25" s="4" t="str" cm="1">
        <f t="array" ref="A25">IF(AND(J25&lt;&gt;"",J25&lt;&gt;"No DD"),SUMPRODUCT((J$4:J$27&lt;&gt;"")*(J$4:J$27&lt;&gt;"No DD")*(F$4:F$27&gt;F25))+1,IF(J25="No DD",SUMPRODUCT((J$4:J$27="No DD")*(F$4:F$27&gt;F25))+1+SUMPRODUCT((J$4:J$27&lt;&gt;"")*(J$4:J$27&lt;&gt;"No DD")),""))</f>
        <v/>
      </c>
      <c r="B25" s="4" t="str" cm="1">
        <f t="array" ref="B25">IF(AND(J25&lt;&gt;"",J25&lt;&gt;"No DD",G25=""),SUMPRODUCT((J$4:J$27&lt;&gt;"")*(J$4:J$27&lt;&gt;"No DD")*(G$4:G$27="")*(F$4:F$27&gt;F25))+1,IF(J25="No DD",SUMPRODUCT((J$4:J$27="No DD")*(F$4:F$27&gt;F25)*(G$4:G$27=""))+1+SUMPRODUCT((J$4:J$27&lt;&gt;"")*(G$4:G$27="")*(J$4:J$27&lt;&gt;"No DD")),""))</f>
        <v/>
      </c>
      <c r="C25" s="5" t="s">
        <v>235</v>
      </c>
      <c r="D25" s="4" t="s">
        <v>5</v>
      </c>
      <c r="E25" s="4">
        <v>2005</v>
      </c>
      <c r="F25" s="9">
        <f t="shared" si="0"/>
        <v>39.200003920001869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IF(COUNT(AS25,BV25,CY25)&gt;0,LARGE((AS25,BV25,CY25),1),0)</f>
        <v>18.7</v>
      </c>
      <c r="M25" s="8" t="str">
        <f t="shared" si="5"/>
        <v>2024 Elite Canada</v>
      </c>
      <c r="N25" s="8">
        <f>IF(COUNT(AS25,BV25,CY25)&gt;1,LARGE((AS25,BV25,CY25),2),0)</f>
        <v>0</v>
      </c>
      <c r="O25" s="8" t="str">
        <f t="shared" si="6"/>
        <v/>
      </c>
      <c r="P25" s="8">
        <f>IF(COUNT(AT25,BW25,CZ25)&gt;0,LARGE((AT25,BW25,CZ25),1),0)</f>
        <v>20.5</v>
      </c>
      <c r="Q25" s="8" t="str">
        <f t="shared" si="7"/>
        <v>2024 Elite Canada</v>
      </c>
      <c r="R25" s="8">
        <f t="shared" si="8"/>
        <v>0</v>
      </c>
      <c r="S25" s="8" t="str">
        <f t="shared" si="9"/>
        <v/>
      </c>
      <c r="T25" s="8" t="str">
        <f t="shared" si="10"/>
        <v/>
      </c>
      <c r="U25" s="11" t="str">
        <f t="shared" si="11"/>
        <v/>
      </c>
      <c r="V25" s="8" t="str">
        <f t="shared" si="12"/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 t="shared" si="13"/>
        <v/>
      </c>
      <c r="AS25" s="40" t="str">
        <f t="shared" si="14"/>
        <v/>
      </c>
      <c r="AT25" s="40" t="str">
        <f t="shared" si="15"/>
        <v/>
      </c>
      <c r="AU25" s="40" t="str">
        <f t="shared" si="16"/>
        <v/>
      </c>
      <c r="AV25" s="40" t="str">
        <f t="shared" si="17"/>
        <v/>
      </c>
      <c r="AW25" s="40" t="str">
        <f t="shared" si="18"/>
        <v/>
      </c>
      <c r="AX25" s="40" t="str">
        <f t="shared" si="19"/>
        <v/>
      </c>
      <c r="AY25" s="40" t="str">
        <f t="shared" si="20"/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 t="shared" si="21"/>
        <v/>
      </c>
      <c r="BV25" s="11" t="str">
        <f t="shared" si="22"/>
        <v/>
      </c>
      <c r="BW25" s="11" t="str">
        <f t="shared" si="23"/>
        <v/>
      </c>
      <c r="BX25" s="11" t="str">
        <f t="shared" si="24"/>
        <v/>
      </c>
      <c r="BY25" s="11" t="str">
        <f t="shared" si="25"/>
        <v/>
      </c>
      <c r="BZ25" s="11" t="str">
        <f t="shared" si="26"/>
        <v/>
      </c>
      <c r="CA25" s="11" t="str">
        <f t="shared" si="27"/>
        <v/>
      </c>
      <c r="CB25" s="11" t="str">
        <f t="shared" si="28"/>
        <v/>
      </c>
      <c r="CC25" s="19">
        <v>0</v>
      </c>
      <c r="CD25" s="19">
        <v>0</v>
      </c>
      <c r="CE25" s="19">
        <v>0</v>
      </c>
      <c r="CF25" s="19">
        <v>0</v>
      </c>
      <c r="CG25" s="19">
        <v>16.399999999999999</v>
      </c>
      <c r="CH25" s="19">
        <v>2.6</v>
      </c>
      <c r="CI25" s="19">
        <v>0.6</v>
      </c>
      <c r="CJ25" s="19">
        <v>0.3</v>
      </c>
      <c r="CK25" s="19">
        <v>17.5</v>
      </c>
      <c r="CL25" s="19">
        <v>3.4</v>
      </c>
      <c r="CM25" s="19">
        <v>0.4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 t="shared" si="29"/>
        <v>2.6</v>
      </c>
      <c r="CY25" s="40">
        <f t="shared" si="30"/>
        <v>18.7</v>
      </c>
      <c r="CZ25" s="40">
        <f t="shared" si="31"/>
        <v>20.5</v>
      </c>
      <c r="DA25" s="40">
        <f t="shared" si="32"/>
        <v>6</v>
      </c>
      <c r="DB25" s="40">
        <f t="shared" si="33"/>
        <v>39.200000000000003</v>
      </c>
      <c r="DC25" s="40" t="str">
        <f t="shared" si="34"/>
        <v/>
      </c>
      <c r="DD25" s="40" t="str">
        <f t="shared" si="35"/>
        <v/>
      </c>
      <c r="DE25" s="40">
        <f t="shared" si="36"/>
        <v>39.200000000000003</v>
      </c>
      <c r="DF25" s="50" t="str">
        <f t="shared" si="37"/>
        <v/>
      </c>
      <c r="DG25" s="50" t="str">
        <f t="shared" si="38"/>
        <v/>
      </c>
      <c r="DH25" s="50" t="str">
        <f t="shared" si="39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40"/>
        <v/>
      </c>
      <c r="ED25" s="40" t="str">
        <f t="shared" si="41"/>
        <v/>
      </c>
      <c r="EE25" s="40" t="str">
        <f t="shared" si="42"/>
        <v/>
      </c>
      <c r="EF25" s="40" t="str">
        <f t="shared" si="43"/>
        <v/>
      </c>
      <c r="EG25" s="40" t="str">
        <f t="shared" si="44"/>
        <v/>
      </c>
      <c r="EH25" s="40" t="str">
        <f t="shared" si="45"/>
        <v/>
      </c>
      <c r="EI25" s="40" t="str">
        <f t="shared" si="46"/>
        <v/>
      </c>
      <c r="EJ25" s="40" t="str">
        <f t="shared" si="47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8"/>
        <v/>
      </c>
      <c r="FF25" s="11" t="str">
        <f t="shared" si="49"/>
        <v/>
      </c>
      <c r="FG25" s="11" t="str">
        <f t="shared" si="50"/>
        <v/>
      </c>
      <c r="FH25" s="11" t="str">
        <f t="shared" si="51"/>
        <v/>
      </c>
      <c r="FI25" s="11" t="str">
        <f t="shared" si="52"/>
        <v/>
      </c>
      <c r="FJ25" s="11" t="str">
        <f t="shared" si="53"/>
        <v/>
      </c>
      <c r="FK25" s="11" t="str">
        <f t="shared" si="54"/>
        <v/>
      </c>
      <c r="FL25" s="11" t="str">
        <f t="shared" si="55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6"/>
        <v/>
      </c>
      <c r="GH25" s="40" t="str">
        <f t="shared" si="57"/>
        <v/>
      </c>
      <c r="GI25" s="40" t="str">
        <f t="shared" si="58"/>
        <v/>
      </c>
      <c r="GJ25" s="40" t="str">
        <f t="shared" si="59"/>
        <v/>
      </c>
      <c r="GK25" s="40" t="str">
        <f t="shared" si="60"/>
        <v/>
      </c>
      <c r="GL25" s="40" t="str">
        <f t="shared" si="61"/>
        <v/>
      </c>
      <c r="GM25" s="40" t="str">
        <f t="shared" si="62"/>
        <v/>
      </c>
      <c r="GN25" s="40" t="str">
        <f t="shared" si="63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4"/>
        <v/>
      </c>
      <c r="HJ25" s="11" t="str">
        <f t="shared" si="65"/>
        <v/>
      </c>
      <c r="HK25" s="11" t="str">
        <f t="shared" si="66"/>
        <v/>
      </c>
      <c r="HL25" s="11" t="str">
        <f t="shared" si="67"/>
        <v/>
      </c>
      <c r="HM25" s="11" t="str">
        <f t="shared" si="68"/>
        <v/>
      </c>
      <c r="HN25" s="11" t="str">
        <f t="shared" si="69"/>
        <v/>
      </c>
      <c r="HO25" s="11" t="str">
        <f t="shared" si="70"/>
        <v/>
      </c>
      <c r="HP25" s="11" t="str">
        <f t="shared" si="71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2"/>
        <v/>
      </c>
      <c r="IL25" s="40" t="str">
        <f t="shared" si="73"/>
        <v/>
      </c>
      <c r="IM25" s="40" t="str">
        <f t="shared" si="74"/>
        <v/>
      </c>
      <c r="IN25" s="40" t="str">
        <f t="shared" si="75"/>
        <v/>
      </c>
      <c r="IO25" s="40" t="str">
        <f t="shared" si="76"/>
        <v/>
      </c>
      <c r="IP25" s="40" t="str">
        <f t="shared" si="77"/>
        <v/>
      </c>
      <c r="IQ25" s="40" t="str">
        <f t="shared" si="78"/>
        <v/>
      </c>
      <c r="IR25" s="40" t="str">
        <f t="shared" si="79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80"/>
        <v/>
      </c>
      <c r="JN25" s="11" t="str">
        <f t="shared" si="81"/>
        <v/>
      </c>
      <c r="JO25" s="11" t="str">
        <f t="shared" si="82"/>
        <v/>
      </c>
      <c r="JP25" s="11" t="str">
        <f t="shared" si="83"/>
        <v/>
      </c>
      <c r="JQ25" s="11" t="str">
        <f t="shared" si="84"/>
        <v/>
      </c>
      <c r="JR25" s="11" t="str">
        <f t="shared" si="85"/>
        <v/>
      </c>
      <c r="JS25" s="11" t="str">
        <f t="shared" si="86"/>
        <v/>
      </c>
      <c r="JT25" s="11" t="str">
        <f t="shared" si="87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8"/>
        <v/>
      </c>
      <c r="KP25" s="40" t="str">
        <f t="shared" si="89"/>
        <v/>
      </c>
      <c r="KQ25" s="40" t="str">
        <f t="shared" si="90"/>
        <v/>
      </c>
      <c r="KR25" s="40" t="str">
        <f t="shared" si="91"/>
        <v/>
      </c>
      <c r="KS25" s="40" t="str">
        <f t="shared" si="92"/>
        <v/>
      </c>
      <c r="KT25" s="40" t="str">
        <f t="shared" si="93"/>
        <v/>
      </c>
      <c r="KU25" s="40" t="str">
        <f t="shared" si="94"/>
        <v/>
      </c>
      <c r="KV25" s="40" t="str">
        <f t="shared" si="95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6"/>
        <v/>
      </c>
      <c r="LR25" s="11" t="str">
        <f t="shared" si="97"/>
        <v/>
      </c>
      <c r="LS25" s="11" t="str">
        <f t="shared" si="98"/>
        <v/>
      </c>
      <c r="LT25" s="11" t="str">
        <f t="shared" si="99"/>
        <v/>
      </c>
      <c r="LU25" s="11" t="str">
        <f t="shared" si="100"/>
        <v/>
      </c>
      <c r="LV25" s="11" t="str">
        <f t="shared" si="101"/>
        <v/>
      </c>
      <c r="LW25" s="11" t="str">
        <f t="shared" si="102"/>
        <v/>
      </c>
      <c r="LX25" s="11" t="str">
        <f t="shared" si="103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4"/>
        <v/>
      </c>
      <c r="MT25" s="40" t="str">
        <f t="shared" si="105"/>
        <v/>
      </c>
      <c r="MU25" s="40" t="str">
        <f t="shared" si="106"/>
        <v/>
      </c>
      <c r="MV25" s="40" t="str">
        <f t="shared" si="107"/>
        <v/>
      </c>
      <c r="MW25" s="40" t="str">
        <f t="shared" si="108"/>
        <v/>
      </c>
      <c r="MX25" s="40" t="str">
        <f t="shared" si="109"/>
        <v/>
      </c>
      <c r="MY25" s="40" t="str">
        <f t="shared" si="110"/>
        <v/>
      </c>
      <c r="MZ25" s="40" t="str">
        <f t="shared" si="111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2"/>
        <v/>
      </c>
      <c r="NV25" s="11" t="str">
        <f t="shared" si="113"/>
        <v/>
      </c>
      <c r="NW25" s="11" t="str">
        <f t="shared" si="114"/>
        <v/>
      </c>
      <c r="NX25" s="11" t="str">
        <f t="shared" si="115"/>
        <v/>
      </c>
      <c r="NY25" s="11" t="str">
        <f t="shared" si="116"/>
        <v/>
      </c>
      <c r="NZ25" s="11" t="str">
        <f t="shared" si="117"/>
        <v/>
      </c>
      <c r="OA25" s="11" t="str">
        <f t="shared" si="118"/>
        <v/>
      </c>
      <c r="OB25" s="11" t="str">
        <f t="shared" si="119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20"/>
        <v/>
      </c>
      <c r="OX25" s="40" t="str">
        <f t="shared" si="121"/>
        <v/>
      </c>
      <c r="OY25" s="40" t="str">
        <f t="shared" si="122"/>
        <v/>
      </c>
      <c r="OZ25" s="40" t="str">
        <f t="shared" si="123"/>
        <v/>
      </c>
      <c r="PA25" s="40" t="str">
        <f t="shared" si="124"/>
        <v/>
      </c>
      <c r="PB25" s="40" t="str">
        <f t="shared" si="125"/>
        <v/>
      </c>
      <c r="PC25" s="40" t="str">
        <f t="shared" si="126"/>
        <v/>
      </c>
      <c r="PD25" s="40" t="str">
        <f t="shared" si="127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8"/>
        <v/>
      </c>
      <c r="PZ25" s="11" t="str">
        <f t="shared" si="129"/>
        <v/>
      </c>
      <c r="QA25" s="11" t="str">
        <f t="shared" si="130"/>
        <v/>
      </c>
      <c r="QB25" s="11" t="str">
        <f t="shared" si="131"/>
        <v/>
      </c>
      <c r="QC25" s="11" t="str">
        <f t="shared" si="132"/>
        <v/>
      </c>
      <c r="QD25" s="11" t="str">
        <f t="shared" si="133"/>
        <v/>
      </c>
      <c r="QE25" s="11" t="str">
        <f t="shared" si="134"/>
        <v/>
      </c>
      <c r="QF25" s="11" t="str">
        <f t="shared" si="135"/>
        <v/>
      </c>
      <c r="QG25" s="22">
        <f t="shared" si="136"/>
        <v>0</v>
      </c>
      <c r="QH25" s="22">
        <f t="shared" si="137"/>
        <v>0</v>
      </c>
      <c r="QI25" s="22">
        <f t="shared" si="138"/>
        <v>0</v>
      </c>
      <c r="QJ25" s="22">
        <f t="shared" si="139"/>
        <v>0</v>
      </c>
      <c r="QK25" s="22">
        <f t="shared" si="140"/>
        <v>8.1999999999999993</v>
      </c>
      <c r="QL25" s="22">
        <f t="shared" si="141"/>
        <v>1.3</v>
      </c>
      <c r="QM25" s="22">
        <f t="shared" si="142"/>
        <v>0.3</v>
      </c>
      <c r="QN25" s="22">
        <f t="shared" si="143"/>
        <v>0.15</v>
      </c>
      <c r="QO25" s="22">
        <f t="shared" si="144"/>
        <v>8.75</v>
      </c>
      <c r="QP25" s="22">
        <f t="shared" si="145"/>
        <v>1.7</v>
      </c>
      <c r="QQ25" s="22">
        <f t="shared" si="146"/>
        <v>0.2</v>
      </c>
      <c r="QR25" s="22">
        <f t="shared" si="147"/>
        <v>0</v>
      </c>
      <c r="QS25" s="22">
        <f t="shared" si="148"/>
        <v>0</v>
      </c>
      <c r="QT25" s="22">
        <f t="shared" si="149"/>
        <v>0</v>
      </c>
      <c r="QU25" s="22">
        <f t="shared" si="150"/>
        <v>0</v>
      </c>
      <c r="QV25" s="22">
        <f t="shared" si="151"/>
        <v>0</v>
      </c>
      <c r="QW25" s="22">
        <f t="shared" si="152"/>
        <v>0</v>
      </c>
      <c r="QX25" s="22">
        <f t="shared" si="153"/>
        <v>0</v>
      </c>
      <c r="QY25" s="22">
        <f t="shared" si="154"/>
        <v>0</v>
      </c>
      <c r="QZ25" s="22">
        <f t="shared" si="155"/>
        <v>0</v>
      </c>
      <c r="RA25" s="27" t="s">
        <v>46</v>
      </c>
      <c r="RB25" s="40">
        <f t="shared" si="156"/>
        <v>1.3</v>
      </c>
      <c r="RC25" s="40">
        <f t="shared" si="157"/>
        <v>9.35</v>
      </c>
      <c r="RD25" s="40">
        <f t="shared" si="158"/>
        <v>10.25</v>
      </c>
      <c r="RE25" s="40">
        <f t="shared" si="159"/>
        <v>3</v>
      </c>
      <c r="RF25" s="40">
        <f t="shared" si="160"/>
        <v>19.600000000000001</v>
      </c>
      <c r="RG25" s="40" t="str">
        <f t="shared" si="161"/>
        <v/>
      </c>
      <c r="RH25" s="40" t="str">
        <f t="shared" si="162"/>
        <v/>
      </c>
      <c r="RI25" s="40">
        <f t="shared" si="163"/>
        <v>19.600000000000001</v>
      </c>
    </row>
    <row r="26" spans="1:477" x14ac:dyDescent="0.2">
      <c r="A26" s="4" t="str" cm="1">
        <f t="array" ref="A26">IF(AND(J26&lt;&gt;"",J26&lt;&gt;"No DD"),SUMPRODUCT((J$4:J$27&lt;&gt;"")*(J$4:J$27&lt;&gt;"No DD")*(F$4:F$27&gt;F26))+1,IF(J26="No DD",SUMPRODUCT((J$4:J$27="No DD")*(F$4:F$27&gt;F26))+1+SUMPRODUCT((J$4:J$27&lt;&gt;"")*(J$4:J$27&lt;&gt;"No DD")),""))</f>
        <v/>
      </c>
      <c r="B26" s="4" t="str" cm="1">
        <f t="array" ref="B26">IF(AND(J26&lt;&gt;"",J26&lt;&gt;"No DD",G26=""),SUMPRODUCT((J$4:J$27&lt;&gt;"")*(J$4:J$27&lt;&gt;"No DD")*(G$4:G$27="")*(F$4:F$27&gt;F26))+1,IF(J26="No DD",SUMPRODUCT((J$4:J$27="No DD")*(F$4:F$27&gt;F26)*(G$4:G$27=""))+1+SUMPRODUCT((J$4:J$27&lt;&gt;"")*(G$4:G$27="")*(J$4:J$27&lt;&gt;"No DD")),""))</f>
        <v/>
      </c>
      <c r="C26" s="5" t="s">
        <v>236</v>
      </c>
      <c r="D26" s="4" t="s">
        <v>5</v>
      </c>
      <c r="E26" s="4">
        <v>2007</v>
      </c>
      <c r="F26" s="9">
        <f t="shared" si="0"/>
        <v>32.800003280003288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IF(COUNT(AS26,BV26,CY26)&gt;0,LARGE((AS26,BV26,CY26),1),0)</f>
        <v>32.800000000000004</v>
      </c>
      <c r="M26" s="8" t="str">
        <f t="shared" si="5"/>
        <v>2024 Elite Canada</v>
      </c>
      <c r="N26" s="8">
        <f>IF(COUNT(AS26,BV26,CY26)&gt;1,LARGE((AS26,BV26,CY26),2),0)</f>
        <v>0</v>
      </c>
      <c r="O26" s="8" t="str">
        <f t="shared" si="6"/>
        <v/>
      </c>
      <c r="P26" s="8">
        <f>IF(COUNT(AT26,BW26,CZ26)&gt;0,LARGE((AT26,BW26,CZ26),1),0)</f>
        <v>0</v>
      </c>
      <c r="Q26" s="8" t="str">
        <f t="shared" si="7"/>
        <v/>
      </c>
      <c r="R26" s="8">
        <f t="shared" si="8"/>
        <v>0</v>
      </c>
      <c r="S26" s="8" t="str">
        <f t="shared" si="9"/>
        <v/>
      </c>
      <c r="T26" s="8" t="str">
        <f t="shared" si="10"/>
        <v/>
      </c>
      <c r="U26" s="11" t="str">
        <f t="shared" si="11"/>
        <v/>
      </c>
      <c r="V26" s="8" t="str">
        <f t="shared" si="12"/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 t="shared" si="13"/>
        <v/>
      </c>
      <c r="AS26" s="40" t="str">
        <f t="shared" si="14"/>
        <v/>
      </c>
      <c r="AT26" s="40" t="str">
        <f t="shared" si="15"/>
        <v/>
      </c>
      <c r="AU26" s="40" t="str">
        <f t="shared" si="16"/>
        <v/>
      </c>
      <c r="AV26" s="40" t="str">
        <f t="shared" si="17"/>
        <v/>
      </c>
      <c r="AW26" s="40" t="str">
        <f t="shared" si="18"/>
        <v/>
      </c>
      <c r="AX26" s="40" t="str">
        <f t="shared" si="19"/>
        <v/>
      </c>
      <c r="AY26" s="40" t="str">
        <f t="shared" si="20"/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 t="shared" si="21"/>
        <v/>
      </c>
      <c r="BV26" s="11" t="str">
        <f t="shared" si="22"/>
        <v/>
      </c>
      <c r="BW26" s="11" t="str">
        <f t="shared" si="23"/>
        <v/>
      </c>
      <c r="BX26" s="11" t="str">
        <f t="shared" si="24"/>
        <v/>
      </c>
      <c r="BY26" s="11" t="str">
        <f t="shared" si="25"/>
        <v/>
      </c>
      <c r="BZ26" s="11" t="str">
        <f t="shared" si="26"/>
        <v/>
      </c>
      <c r="CA26" s="11" t="str">
        <f t="shared" si="27"/>
        <v/>
      </c>
      <c r="CB26" s="11" t="str">
        <f t="shared" si="28"/>
        <v/>
      </c>
      <c r="CC26" s="19">
        <v>16.100000000000001</v>
      </c>
      <c r="CD26" s="19">
        <v>2.2000000000000002</v>
      </c>
      <c r="CE26" s="19">
        <v>0.8</v>
      </c>
      <c r="CF26" s="19">
        <v>0</v>
      </c>
      <c r="CG26" s="19">
        <v>16.3</v>
      </c>
      <c r="CH26" s="19">
        <v>2</v>
      </c>
      <c r="CI26" s="19">
        <v>3</v>
      </c>
      <c r="CJ26" s="19">
        <v>0</v>
      </c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 t="shared" si="29"/>
        <v>4.2</v>
      </c>
      <c r="CY26" s="40">
        <f t="shared" si="30"/>
        <v>32.800000000000004</v>
      </c>
      <c r="CZ26" s="40" t="str">
        <f t="shared" si="31"/>
        <v/>
      </c>
      <c r="DA26" s="40">
        <f t="shared" si="32"/>
        <v>4.2</v>
      </c>
      <c r="DB26" s="40">
        <f t="shared" si="33"/>
        <v>32.800000000000004</v>
      </c>
      <c r="DC26" s="40" t="str">
        <f t="shared" si="34"/>
        <v/>
      </c>
      <c r="DD26" s="40" t="str">
        <f t="shared" si="35"/>
        <v/>
      </c>
      <c r="DE26" s="40">
        <f t="shared" si="36"/>
        <v>32.800000000000004</v>
      </c>
      <c r="DF26" s="50" t="str">
        <f t="shared" si="37"/>
        <v/>
      </c>
      <c r="DG26" s="50" t="str">
        <f t="shared" si="38"/>
        <v/>
      </c>
      <c r="DH26" s="50" t="str">
        <f t="shared" si="39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40"/>
        <v/>
      </c>
      <c r="ED26" s="40" t="str">
        <f t="shared" si="41"/>
        <v/>
      </c>
      <c r="EE26" s="40" t="str">
        <f t="shared" si="42"/>
        <v/>
      </c>
      <c r="EF26" s="40" t="str">
        <f t="shared" si="43"/>
        <v/>
      </c>
      <c r="EG26" s="40" t="str">
        <f t="shared" si="44"/>
        <v/>
      </c>
      <c r="EH26" s="40" t="str">
        <f t="shared" si="45"/>
        <v/>
      </c>
      <c r="EI26" s="40" t="str">
        <f t="shared" si="46"/>
        <v/>
      </c>
      <c r="EJ26" s="40" t="str">
        <f t="shared" si="47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8"/>
        <v/>
      </c>
      <c r="FF26" s="11" t="str">
        <f t="shared" si="49"/>
        <v/>
      </c>
      <c r="FG26" s="11" t="str">
        <f t="shared" si="50"/>
        <v/>
      </c>
      <c r="FH26" s="11" t="str">
        <f t="shared" si="51"/>
        <v/>
      </c>
      <c r="FI26" s="11" t="str">
        <f t="shared" si="52"/>
        <v/>
      </c>
      <c r="FJ26" s="11" t="str">
        <f t="shared" si="53"/>
        <v/>
      </c>
      <c r="FK26" s="11" t="str">
        <f t="shared" si="54"/>
        <v/>
      </c>
      <c r="FL26" s="11" t="str">
        <f t="shared" si="55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6"/>
        <v/>
      </c>
      <c r="GH26" s="40" t="str">
        <f t="shared" si="57"/>
        <v/>
      </c>
      <c r="GI26" s="40" t="str">
        <f t="shared" si="58"/>
        <v/>
      </c>
      <c r="GJ26" s="40" t="str">
        <f t="shared" si="59"/>
        <v/>
      </c>
      <c r="GK26" s="40" t="str">
        <f t="shared" si="60"/>
        <v/>
      </c>
      <c r="GL26" s="40" t="str">
        <f t="shared" si="61"/>
        <v/>
      </c>
      <c r="GM26" s="40" t="str">
        <f t="shared" si="62"/>
        <v/>
      </c>
      <c r="GN26" s="40" t="str">
        <f t="shared" si="63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4"/>
        <v/>
      </c>
      <c r="HJ26" s="11" t="str">
        <f t="shared" si="65"/>
        <v/>
      </c>
      <c r="HK26" s="11" t="str">
        <f t="shared" si="66"/>
        <v/>
      </c>
      <c r="HL26" s="11" t="str">
        <f t="shared" si="67"/>
        <v/>
      </c>
      <c r="HM26" s="11" t="str">
        <f t="shared" si="68"/>
        <v/>
      </c>
      <c r="HN26" s="11" t="str">
        <f t="shared" si="69"/>
        <v/>
      </c>
      <c r="HO26" s="11" t="str">
        <f t="shared" si="70"/>
        <v/>
      </c>
      <c r="HP26" s="11" t="str">
        <f t="shared" si="71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2"/>
        <v/>
      </c>
      <c r="IL26" s="40" t="str">
        <f t="shared" si="73"/>
        <v/>
      </c>
      <c r="IM26" s="40" t="str">
        <f t="shared" si="74"/>
        <v/>
      </c>
      <c r="IN26" s="40" t="str">
        <f t="shared" si="75"/>
        <v/>
      </c>
      <c r="IO26" s="40" t="str">
        <f t="shared" si="76"/>
        <v/>
      </c>
      <c r="IP26" s="40" t="str">
        <f t="shared" si="77"/>
        <v/>
      </c>
      <c r="IQ26" s="40" t="str">
        <f t="shared" si="78"/>
        <v/>
      </c>
      <c r="IR26" s="40" t="str">
        <f t="shared" si="79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80"/>
        <v/>
      </c>
      <c r="JN26" s="11" t="str">
        <f t="shared" si="81"/>
        <v/>
      </c>
      <c r="JO26" s="11" t="str">
        <f t="shared" si="82"/>
        <v/>
      </c>
      <c r="JP26" s="11" t="str">
        <f t="shared" si="83"/>
        <v/>
      </c>
      <c r="JQ26" s="11" t="str">
        <f t="shared" si="84"/>
        <v/>
      </c>
      <c r="JR26" s="11" t="str">
        <f t="shared" si="85"/>
        <v/>
      </c>
      <c r="JS26" s="11" t="str">
        <f t="shared" si="86"/>
        <v/>
      </c>
      <c r="JT26" s="11" t="str">
        <f t="shared" si="87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8"/>
        <v/>
      </c>
      <c r="KP26" s="40" t="str">
        <f t="shared" si="89"/>
        <v/>
      </c>
      <c r="KQ26" s="40" t="str">
        <f t="shared" si="90"/>
        <v/>
      </c>
      <c r="KR26" s="40" t="str">
        <f t="shared" si="91"/>
        <v/>
      </c>
      <c r="KS26" s="40" t="str">
        <f t="shared" si="92"/>
        <v/>
      </c>
      <c r="KT26" s="40" t="str">
        <f t="shared" si="93"/>
        <v/>
      </c>
      <c r="KU26" s="40" t="str">
        <f t="shared" si="94"/>
        <v/>
      </c>
      <c r="KV26" s="40" t="str">
        <f t="shared" si="95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6"/>
        <v/>
      </c>
      <c r="LR26" s="11" t="str">
        <f t="shared" si="97"/>
        <v/>
      </c>
      <c r="LS26" s="11" t="str">
        <f t="shared" si="98"/>
        <v/>
      </c>
      <c r="LT26" s="11" t="str">
        <f t="shared" si="99"/>
        <v/>
      </c>
      <c r="LU26" s="11" t="str">
        <f t="shared" si="100"/>
        <v/>
      </c>
      <c r="LV26" s="11" t="str">
        <f t="shared" si="101"/>
        <v/>
      </c>
      <c r="LW26" s="11" t="str">
        <f t="shared" si="102"/>
        <v/>
      </c>
      <c r="LX26" s="11" t="str">
        <f t="shared" si="103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4"/>
        <v/>
      </c>
      <c r="MT26" s="40" t="str">
        <f t="shared" si="105"/>
        <v/>
      </c>
      <c r="MU26" s="40" t="str">
        <f t="shared" si="106"/>
        <v/>
      </c>
      <c r="MV26" s="40" t="str">
        <f t="shared" si="107"/>
        <v/>
      </c>
      <c r="MW26" s="40" t="str">
        <f t="shared" si="108"/>
        <v/>
      </c>
      <c r="MX26" s="40" t="str">
        <f t="shared" si="109"/>
        <v/>
      </c>
      <c r="MY26" s="40" t="str">
        <f t="shared" si="110"/>
        <v/>
      </c>
      <c r="MZ26" s="40" t="str">
        <f t="shared" si="111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2"/>
        <v/>
      </c>
      <c r="NV26" s="11" t="str">
        <f t="shared" si="113"/>
        <v/>
      </c>
      <c r="NW26" s="11" t="str">
        <f t="shared" si="114"/>
        <v/>
      </c>
      <c r="NX26" s="11" t="str">
        <f t="shared" si="115"/>
        <v/>
      </c>
      <c r="NY26" s="11" t="str">
        <f t="shared" si="116"/>
        <v/>
      </c>
      <c r="NZ26" s="11" t="str">
        <f t="shared" si="117"/>
        <v/>
      </c>
      <c r="OA26" s="11" t="str">
        <f t="shared" si="118"/>
        <v/>
      </c>
      <c r="OB26" s="11" t="str">
        <f t="shared" si="119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20"/>
        <v/>
      </c>
      <c r="OX26" s="40" t="str">
        <f t="shared" si="121"/>
        <v/>
      </c>
      <c r="OY26" s="40" t="str">
        <f t="shared" si="122"/>
        <v/>
      </c>
      <c r="OZ26" s="40" t="str">
        <f t="shared" si="123"/>
        <v/>
      </c>
      <c r="PA26" s="40" t="str">
        <f t="shared" si="124"/>
        <v/>
      </c>
      <c r="PB26" s="40" t="str">
        <f t="shared" si="125"/>
        <v/>
      </c>
      <c r="PC26" s="40" t="str">
        <f t="shared" si="126"/>
        <v/>
      </c>
      <c r="PD26" s="40" t="str">
        <f t="shared" si="127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8"/>
        <v/>
      </c>
      <c r="PZ26" s="11" t="str">
        <f t="shared" si="129"/>
        <v/>
      </c>
      <c r="QA26" s="11" t="str">
        <f t="shared" si="130"/>
        <v/>
      </c>
      <c r="QB26" s="11" t="str">
        <f t="shared" si="131"/>
        <v/>
      </c>
      <c r="QC26" s="11" t="str">
        <f t="shared" si="132"/>
        <v/>
      </c>
      <c r="QD26" s="11" t="str">
        <f t="shared" si="133"/>
        <v/>
      </c>
      <c r="QE26" s="11" t="str">
        <f t="shared" si="134"/>
        <v/>
      </c>
      <c r="QF26" s="11" t="str">
        <f t="shared" si="135"/>
        <v/>
      </c>
      <c r="QG26" s="22">
        <f t="shared" si="136"/>
        <v>8.0500000000000007</v>
      </c>
      <c r="QH26" s="22">
        <f t="shared" si="137"/>
        <v>1.1000000000000001</v>
      </c>
      <c r="QI26" s="22">
        <f t="shared" si="138"/>
        <v>0.4</v>
      </c>
      <c r="QJ26" s="22">
        <f t="shared" si="139"/>
        <v>0</v>
      </c>
      <c r="QK26" s="22">
        <f t="shared" si="140"/>
        <v>8.15</v>
      </c>
      <c r="QL26" s="22">
        <f t="shared" si="141"/>
        <v>1</v>
      </c>
      <c r="QM26" s="22">
        <f t="shared" si="142"/>
        <v>1.5</v>
      </c>
      <c r="QN26" s="22">
        <f t="shared" si="143"/>
        <v>0</v>
      </c>
      <c r="QO26" s="22">
        <f t="shared" si="144"/>
        <v>0</v>
      </c>
      <c r="QP26" s="22">
        <f t="shared" si="145"/>
        <v>0</v>
      </c>
      <c r="QQ26" s="22">
        <f t="shared" si="146"/>
        <v>0</v>
      </c>
      <c r="QR26" s="22">
        <f t="shared" si="147"/>
        <v>0</v>
      </c>
      <c r="QS26" s="22">
        <f t="shared" si="148"/>
        <v>0</v>
      </c>
      <c r="QT26" s="22">
        <f t="shared" si="149"/>
        <v>0</v>
      </c>
      <c r="QU26" s="22">
        <f t="shared" si="150"/>
        <v>0</v>
      </c>
      <c r="QV26" s="22">
        <f t="shared" si="151"/>
        <v>0</v>
      </c>
      <c r="QW26" s="22">
        <f t="shared" si="152"/>
        <v>0</v>
      </c>
      <c r="QX26" s="22">
        <f t="shared" si="153"/>
        <v>0</v>
      </c>
      <c r="QY26" s="22">
        <f t="shared" si="154"/>
        <v>0</v>
      </c>
      <c r="QZ26" s="22">
        <f t="shared" si="155"/>
        <v>0</v>
      </c>
      <c r="RA26" s="27" t="s">
        <v>46</v>
      </c>
      <c r="RB26" s="40">
        <f t="shared" si="156"/>
        <v>2.1</v>
      </c>
      <c r="RC26" s="40">
        <f t="shared" si="157"/>
        <v>16.400000000000002</v>
      </c>
      <c r="RD26" s="40" t="str">
        <f t="shared" si="158"/>
        <v/>
      </c>
      <c r="RE26" s="40">
        <f t="shared" si="159"/>
        <v>2.1</v>
      </c>
      <c r="RF26" s="40">
        <f t="shared" si="160"/>
        <v>16.400000000000002</v>
      </c>
      <c r="RG26" s="40" t="str">
        <f t="shared" si="161"/>
        <v/>
      </c>
      <c r="RH26" s="40" t="str">
        <f t="shared" si="162"/>
        <v/>
      </c>
      <c r="RI26" s="40">
        <f t="shared" si="163"/>
        <v>16.400000000000002</v>
      </c>
    </row>
    <row r="27" spans="1:477" ht="17" x14ac:dyDescent="0.2">
      <c r="G27" s="66"/>
      <c r="T27" s="10"/>
      <c r="U27" s="10"/>
      <c r="V27" s="10"/>
    </row>
    <row r="28" spans="1:477" ht="17" x14ac:dyDescent="0.2">
      <c r="G28" s="66"/>
      <c r="T28" s="10"/>
      <c r="U28" s="10"/>
      <c r="V28" s="10"/>
    </row>
    <row r="29" spans="1:477" ht="17" x14ac:dyDescent="0.2">
      <c r="C29" s="23" t="s">
        <v>44</v>
      </c>
      <c r="G29" s="66"/>
      <c r="T29" s="10"/>
      <c r="U29" s="10"/>
      <c r="V29" s="10"/>
      <c r="AR29" s="4"/>
      <c r="AY29" s="42">
        <v>8</v>
      </c>
      <c r="BU29" s="4"/>
      <c r="CB29" s="42">
        <v>8</v>
      </c>
      <c r="CX29" s="4"/>
      <c r="DE29" s="42">
        <v>8</v>
      </c>
      <c r="EC29" s="4"/>
      <c r="EJ29" s="42">
        <v>8</v>
      </c>
      <c r="FE29" s="4"/>
      <c r="FL29" s="42">
        <v>8</v>
      </c>
      <c r="GG29" s="4"/>
      <c r="GN29" s="42">
        <v>8</v>
      </c>
      <c r="HI29" s="4"/>
      <c r="HP29" s="42">
        <v>8</v>
      </c>
      <c r="IK29" s="4"/>
      <c r="IR29" s="42">
        <v>8</v>
      </c>
      <c r="JM29" s="4"/>
      <c r="JT29" s="42">
        <v>8</v>
      </c>
      <c r="KO29" s="4"/>
      <c r="KV29" s="42">
        <v>8</v>
      </c>
      <c r="LQ29" s="4"/>
      <c r="LX29" s="42">
        <v>8</v>
      </c>
      <c r="MS29" s="4"/>
      <c r="MZ29" s="42">
        <v>8</v>
      </c>
      <c r="NU29" s="4"/>
      <c r="OB29" s="42">
        <v>8</v>
      </c>
      <c r="OW29" s="4"/>
      <c r="PD29" s="42">
        <v>8</v>
      </c>
      <c r="PY29" s="4"/>
      <c r="QF29" s="42">
        <v>8</v>
      </c>
    </row>
    <row r="30" spans="1:477" ht="17" hidden="1" x14ac:dyDescent="0.2">
      <c r="C30" s="30" t="s">
        <v>43</v>
      </c>
      <c r="G30" s="66"/>
      <c r="T30" s="10"/>
      <c r="U30" s="10"/>
      <c r="V30" s="10"/>
      <c r="AR30" s="4"/>
      <c r="AY30" s="51">
        <v>1000</v>
      </c>
      <c r="BU30" s="4"/>
      <c r="CB30" s="51">
        <v>1000</v>
      </c>
      <c r="CX30" s="4"/>
      <c r="DE30" s="51">
        <v>1000</v>
      </c>
      <c r="EC30" s="4"/>
      <c r="EJ30" s="51">
        <v>1000</v>
      </c>
      <c r="FE30" s="4"/>
      <c r="FL30" s="51">
        <v>1000</v>
      </c>
      <c r="GG30" s="4"/>
      <c r="GN30" s="51">
        <v>1000</v>
      </c>
      <c r="HI30" s="4"/>
      <c r="HP30" s="51">
        <v>1000</v>
      </c>
      <c r="IK30" s="4"/>
      <c r="IR30" s="51">
        <v>1000</v>
      </c>
      <c r="JM30" s="4"/>
      <c r="JT30" s="51">
        <v>1000</v>
      </c>
      <c r="KO30" s="4"/>
      <c r="KV30" s="51">
        <v>1000</v>
      </c>
      <c r="LQ30" s="4"/>
      <c r="LX30" s="51">
        <v>1000</v>
      </c>
      <c r="MS30" s="4"/>
      <c r="MZ30" s="51">
        <v>1000</v>
      </c>
      <c r="NU30" s="4"/>
      <c r="OB30" s="51">
        <v>1000</v>
      </c>
      <c r="OW30" s="4"/>
      <c r="PD30" s="51">
        <v>1000</v>
      </c>
      <c r="PY30" s="4"/>
      <c r="QF30" s="51">
        <v>1000</v>
      </c>
    </row>
    <row r="31" spans="1:477" ht="17" hidden="1" x14ac:dyDescent="0.2">
      <c r="A31" s="5"/>
      <c r="B31" s="5"/>
      <c r="C31" s="31" t="s">
        <v>55</v>
      </c>
      <c r="D31" s="20"/>
      <c r="G31" s="66"/>
      <c r="T31" s="10"/>
      <c r="U31" s="10"/>
      <c r="V31" s="10"/>
      <c r="AR31" s="4"/>
      <c r="AY31" s="43">
        <v>1000</v>
      </c>
      <c r="BU31" s="4"/>
      <c r="CB31" s="43">
        <v>1000</v>
      </c>
      <c r="CX31" s="4"/>
      <c r="DE31" s="43">
        <v>1000</v>
      </c>
      <c r="EC31" s="4"/>
      <c r="EJ31" s="43">
        <v>1000</v>
      </c>
      <c r="FE31" s="4"/>
      <c r="FL31" s="43">
        <v>1000</v>
      </c>
      <c r="GG31" s="4"/>
      <c r="GN31" s="43">
        <v>1000</v>
      </c>
      <c r="HI31" s="4"/>
      <c r="HP31" s="43">
        <v>1000</v>
      </c>
      <c r="IK31" s="4"/>
      <c r="IR31" s="43">
        <v>1000</v>
      </c>
      <c r="JM31" s="4"/>
      <c r="JT31" s="43">
        <v>1000</v>
      </c>
      <c r="KO31" s="4"/>
      <c r="KV31" s="43">
        <v>1000</v>
      </c>
      <c r="LQ31" s="4"/>
      <c r="LX31" s="43">
        <v>1000</v>
      </c>
      <c r="MS31" s="4"/>
      <c r="MZ31" s="43">
        <v>1000</v>
      </c>
      <c r="NU31" s="4"/>
      <c r="OB31" s="43">
        <v>1000</v>
      </c>
      <c r="OW31" s="4"/>
      <c r="PD31" s="43">
        <v>1000</v>
      </c>
      <c r="PY31" s="4"/>
      <c r="QF31" s="43">
        <v>1000</v>
      </c>
    </row>
    <row r="32" spans="1:477" ht="17" hidden="1" x14ac:dyDescent="0.2">
      <c r="A32" s="5"/>
      <c r="B32" s="5"/>
      <c r="C32" s="35" t="s">
        <v>62</v>
      </c>
      <c r="D32" s="20"/>
      <c r="G32" s="66"/>
      <c r="T32" s="10"/>
      <c r="U32" s="10"/>
      <c r="V32" s="10"/>
      <c r="AR32" s="4"/>
      <c r="AY32" s="44">
        <v>1000</v>
      </c>
      <c r="BU32" s="4"/>
      <c r="CB32" s="44">
        <v>1000</v>
      </c>
      <c r="CX32" s="4"/>
      <c r="DE32" s="44">
        <v>1000</v>
      </c>
      <c r="EC32" s="4"/>
      <c r="EJ32" s="44">
        <v>1000</v>
      </c>
      <c r="FE32" s="4"/>
      <c r="FL32" s="44">
        <v>1000</v>
      </c>
      <c r="GG32" s="4"/>
      <c r="GN32" s="44">
        <v>1000</v>
      </c>
      <c r="HI32" s="4"/>
      <c r="HP32" s="44">
        <v>1000</v>
      </c>
      <c r="IK32" s="4"/>
      <c r="IR32" s="44">
        <v>1000</v>
      </c>
      <c r="JM32" s="4"/>
      <c r="JT32" s="44">
        <v>1000</v>
      </c>
      <c r="KO32" s="4"/>
      <c r="KV32" s="44">
        <v>1000</v>
      </c>
      <c r="LQ32" s="4"/>
      <c r="LX32" s="44">
        <v>1000</v>
      </c>
      <c r="MS32" s="4"/>
      <c r="MZ32" s="44">
        <v>1000</v>
      </c>
      <c r="NU32" s="4"/>
      <c r="OB32" s="44">
        <v>1000</v>
      </c>
      <c r="OW32" s="4"/>
      <c r="PD32" s="44">
        <v>1000</v>
      </c>
      <c r="PY32" s="4"/>
      <c r="QF32" s="44">
        <v>1000</v>
      </c>
    </row>
    <row r="33" spans="1:458" ht="17" x14ac:dyDescent="0.2">
      <c r="A33" s="5"/>
      <c r="B33" s="5"/>
      <c r="C33" s="34" t="s">
        <v>41</v>
      </c>
      <c r="D33" s="20"/>
      <c r="G33" s="66"/>
      <c r="T33" s="10"/>
      <c r="U33" s="10"/>
      <c r="V33" s="10"/>
      <c r="AR33" s="4"/>
      <c r="AY33" s="45">
        <v>42.1</v>
      </c>
      <c r="BU33" s="4"/>
      <c r="CB33" s="45">
        <v>42.1</v>
      </c>
      <c r="CX33" s="4"/>
      <c r="DE33" s="45">
        <v>42.1</v>
      </c>
      <c r="EC33" s="4"/>
      <c r="EJ33" s="45">
        <v>42.1</v>
      </c>
      <c r="FE33" s="4"/>
      <c r="FL33" s="45">
        <v>42.1</v>
      </c>
      <c r="GG33" s="4"/>
      <c r="GN33" s="45">
        <v>42.1</v>
      </c>
      <c r="HI33" s="4"/>
      <c r="HP33" s="45">
        <v>42.1</v>
      </c>
      <c r="IK33" s="4"/>
      <c r="IR33" s="45">
        <v>42.1</v>
      </c>
      <c r="JM33" s="4"/>
      <c r="JT33" s="45">
        <v>42.1</v>
      </c>
      <c r="KO33" s="4"/>
      <c r="KV33" s="45">
        <v>42.1</v>
      </c>
      <c r="LQ33" s="4"/>
      <c r="LX33" s="45">
        <v>42.1</v>
      </c>
      <c r="MS33" s="4"/>
      <c r="MZ33" s="45">
        <v>42.1</v>
      </c>
      <c r="NU33" s="4"/>
      <c r="OB33" s="45">
        <v>42.1</v>
      </c>
      <c r="OW33" s="4"/>
      <c r="PD33" s="45">
        <v>42.1</v>
      </c>
      <c r="PY33" s="4"/>
      <c r="QF33" s="45">
        <v>42.1</v>
      </c>
    </row>
    <row r="34" spans="1:458" ht="17" hidden="1" x14ac:dyDescent="0.2">
      <c r="A34" s="5"/>
      <c r="B34" s="5"/>
      <c r="C34" s="24" t="s">
        <v>42</v>
      </c>
      <c r="D34" s="20"/>
      <c r="G34" s="66"/>
      <c r="T34" s="10"/>
      <c r="U34" s="10"/>
      <c r="V34" s="10"/>
      <c r="AR34" s="4"/>
      <c r="AY34" s="46">
        <v>1000</v>
      </c>
      <c r="BU34" s="4"/>
      <c r="CB34" s="46">
        <v>1000</v>
      </c>
      <c r="CX34" s="4"/>
      <c r="DE34" s="46">
        <v>1000</v>
      </c>
      <c r="EC34" s="4"/>
      <c r="EJ34" s="46">
        <v>1000</v>
      </c>
      <c r="FE34" s="4"/>
      <c r="FL34" s="46">
        <v>1000</v>
      </c>
      <c r="GG34" s="4"/>
      <c r="GN34" s="46">
        <v>1000</v>
      </c>
      <c r="HI34" s="4"/>
      <c r="HP34" s="46">
        <v>1000</v>
      </c>
      <c r="IK34" s="4"/>
      <c r="IR34" s="46">
        <v>1000</v>
      </c>
      <c r="JM34" s="4"/>
      <c r="JT34" s="46">
        <v>1000</v>
      </c>
      <c r="KO34" s="4"/>
      <c r="KV34" s="46">
        <v>1000</v>
      </c>
      <c r="LQ34" s="4"/>
      <c r="LX34" s="46">
        <v>1000</v>
      </c>
      <c r="MS34" s="4"/>
      <c r="MZ34" s="46">
        <v>1000</v>
      </c>
      <c r="NU34" s="4"/>
      <c r="OB34" s="46">
        <v>1000</v>
      </c>
      <c r="OW34" s="4"/>
      <c r="PD34" s="46">
        <v>1000</v>
      </c>
      <c r="PY34" s="4"/>
      <c r="QF34" s="46">
        <v>1000</v>
      </c>
    </row>
    <row r="35" spans="1:458" ht="17" hidden="1" x14ac:dyDescent="0.2">
      <c r="A35" s="5"/>
      <c r="B35" s="5"/>
      <c r="C35" s="33" t="s">
        <v>54</v>
      </c>
      <c r="D35" s="20"/>
      <c r="G35" s="66"/>
      <c r="T35" s="10"/>
      <c r="U35" s="10"/>
      <c r="V35" s="10"/>
      <c r="AR35" s="4"/>
      <c r="AY35" s="47">
        <v>1000</v>
      </c>
      <c r="BU35" s="4"/>
      <c r="CB35" s="47">
        <v>1000</v>
      </c>
      <c r="CX35" s="4"/>
      <c r="DE35" s="47">
        <v>1000</v>
      </c>
      <c r="EC35" s="4"/>
      <c r="EJ35" s="47">
        <v>1000</v>
      </c>
      <c r="FE35" s="4"/>
      <c r="FL35" s="47">
        <v>1000</v>
      </c>
      <c r="GG35" s="4"/>
      <c r="GN35" s="47">
        <v>1000</v>
      </c>
      <c r="HI35" s="4"/>
      <c r="HP35" s="47">
        <v>1000</v>
      </c>
      <c r="IK35" s="4"/>
      <c r="IR35" s="47">
        <v>1000</v>
      </c>
      <c r="JM35" s="4"/>
      <c r="JT35" s="47">
        <v>1000</v>
      </c>
      <c r="KO35" s="4"/>
      <c r="KV35" s="47">
        <v>1000</v>
      </c>
      <c r="LQ35" s="4"/>
      <c r="LX35" s="47">
        <v>1000</v>
      </c>
      <c r="MS35" s="4"/>
      <c r="MZ35" s="47">
        <v>1000</v>
      </c>
      <c r="NU35" s="4"/>
      <c r="OB35" s="47">
        <v>1000</v>
      </c>
      <c r="OW35" s="4"/>
      <c r="PD35" s="47">
        <v>1000</v>
      </c>
      <c r="PY35" s="4"/>
      <c r="QF35" s="47">
        <v>1000</v>
      </c>
    </row>
    <row r="36" spans="1:458" ht="17" hidden="1" x14ac:dyDescent="0.2">
      <c r="A36" s="5"/>
      <c r="B36" s="5"/>
      <c r="C36" s="25" t="s">
        <v>27</v>
      </c>
      <c r="D36" s="20"/>
      <c r="G36" s="66"/>
      <c r="T36" s="10"/>
      <c r="U36" s="10"/>
      <c r="V36" s="10"/>
      <c r="AR36" s="4"/>
      <c r="AY36" s="48">
        <v>1000</v>
      </c>
      <c r="BU36" s="4"/>
      <c r="CB36" s="48">
        <v>1000</v>
      </c>
      <c r="CX36" s="4"/>
      <c r="DE36" s="48">
        <v>1000</v>
      </c>
      <c r="EC36" s="4"/>
      <c r="EJ36" s="48">
        <v>1000</v>
      </c>
      <c r="FE36" s="4"/>
      <c r="FL36" s="48">
        <v>1000</v>
      </c>
      <c r="GG36" s="4"/>
      <c r="GN36" s="48">
        <v>1000</v>
      </c>
      <c r="HI36" s="4"/>
      <c r="HP36" s="48">
        <v>1000</v>
      </c>
      <c r="IK36" s="4"/>
      <c r="IR36" s="48">
        <v>1000</v>
      </c>
      <c r="JM36" s="4"/>
      <c r="JT36" s="48">
        <v>1000</v>
      </c>
      <c r="KO36" s="4"/>
      <c r="KV36" s="48">
        <v>1000</v>
      </c>
      <c r="LQ36" s="4"/>
      <c r="LX36" s="48">
        <v>1000</v>
      </c>
      <c r="MS36" s="4"/>
      <c r="MZ36" s="48">
        <v>1000</v>
      </c>
      <c r="NU36" s="4"/>
      <c r="OB36" s="48">
        <v>1000</v>
      </c>
      <c r="OW36" s="4"/>
      <c r="PD36" s="48">
        <v>1000</v>
      </c>
      <c r="PY36" s="4"/>
      <c r="QF36" s="48">
        <v>1000</v>
      </c>
    </row>
    <row r="37" spans="1:458" x14ac:dyDescent="0.2">
      <c r="C37" s="29" t="s">
        <v>47</v>
      </c>
      <c r="D37" s="2"/>
      <c r="G37" s="66"/>
    </row>
    <row r="38" spans="1:458" x14ac:dyDescent="0.2">
      <c r="A38" s="5"/>
      <c r="B38" s="5"/>
      <c r="C38" s="5"/>
      <c r="D38" s="20"/>
      <c r="G38" s="66"/>
      <c r="QH38" s="2"/>
      <c r="QI38" s="2"/>
      <c r="QJ38" s="2"/>
      <c r="QK38" s="2"/>
      <c r="QL38" s="2"/>
      <c r="QM38" s="2"/>
      <c r="QN38" s="2"/>
      <c r="QO38" s="2"/>
      <c r="QP38" s="2"/>
    </row>
    <row r="39" spans="1:458" x14ac:dyDescent="0.2">
      <c r="A39" s="5"/>
      <c r="B39" s="5"/>
      <c r="C39" s="5"/>
      <c r="D39" s="20"/>
      <c r="G39" s="66"/>
    </row>
    <row r="40" spans="1:458" x14ac:dyDescent="0.2">
      <c r="A40" s="5"/>
      <c r="B40" s="5"/>
      <c r="C40" s="5"/>
      <c r="D40" s="20"/>
      <c r="G40" s="66"/>
    </row>
    <row r="41" spans="1:458" x14ac:dyDescent="0.2">
      <c r="A41" s="5"/>
      <c r="B41" s="5"/>
      <c r="C41" s="5"/>
      <c r="D41" s="5"/>
    </row>
    <row r="45" spans="1:458" x14ac:dyDescent="0.2">
      <c r="G45" s="66"/>
    </row>
    <row r="46" spans="1:458" x14ac:dyDescent="0.2">
      <c r="G46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6">
      <sortCondition descending="1" ref="H1:H27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6">
    <cfRule type="expression" dxfId="90" priority="31" stopIfTrue="1">
      <formula>IF($AQ4&lt;&gt;"",1,0)</formula>
    </cfRule>
  </conditionalFormatting>
  <conditionalFormatting sqref="AZ4:CB26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6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7:AV1048576 BY37:BY1048576 EG37:EG1048576 BY1:BY35 DB1:DB1048576 EG1:EG35 FI1:FI1048576 GK1:GK1048576 HM1:HM1048576 IO1:IO1048576 KS1:KS1048576 LU1:LU1048576 MW1:MW1048576 NY1:NY1048576 PA1:PA1048576 QC1:QC1048576 AV1:AV35 JQ1:JQ1048576">
    <cfRule type="cellIs" dxfId="77" priority="17" operator="between">
      <formula>AY$36</formula>
      <formula>1000</formula>
    </cfRule>
    <cfRule type="cellIs" dxfId="76" priority="18" operator="between">
      <formula>AY$35</formula>
      <formula>AY$36</formula>
    </cfRule>
    <cfRule type="cellIs" dxfId="75" priority="19" operator="between">
      <formula>AY$34</formula>
      <formula>AY$35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40597" operator="between">
      <formula>AY$29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40642" operator="between">
      <formula>AY$33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40687" operator="between">
      <formula>AY$29</formula>
      <formula>AY$30</formula>
    </cfRule>
    <cfRule type="cellIs" dxfId="69" priority="140688" operator="between">
      <formula>AY$30</formula>
      <formula>AY$31</formula>
    </cfRule>
    <cfRule type="cellIs" dxfId="68" priority="140689" operator="between">
      <formula>AY$31</formula>
      <formula>AY$32</formula>
    </cfRule>
    <cfRule type="cellIs" dxfId="67" priority="140690" operator="between">
      <formula>AY$32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40867" operator="between">
      <formula>AY$33</formula>
      <formula>AY$34</formula>
    </cfRule>
    <cfRule type="cellIs" dxfId="65" priority="140868" operator="between">
      <formula>AY$34</formula>
      <formula>AY$35</formula>
    </cfRule>
    <cfRule type="cellIs" dxfId="64" priority="140869" operator="between">
      <formula>AY$35</formula>
      <formula>AY$36</formula>
    </cfRule>
    <cfRule type="cellIs" dxfId="63" priority="140870" operator="between">
      <formula>AY$36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41047" operator="between">
      <formula>AY$32</formula>
      <formula>1000</formula>
    </cfRule>
    <cfRule type="cellIs" dxfId="61" priority="141048" operator="between">
      <formula>AY$31</formula>
      <formula>AY$32</formula>
    </cfRule>
    <cfRule type="cellIs" dxfId="60" priority="141049" operator="between">
      <formula>AY$30</formula>
      <formula>AY$31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6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162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212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159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158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160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161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188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197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199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207.20001478000606</v>
      </c>
      <c r="G4" s="66" t="s">
        <v>46</v>
      </c>
      <c r="H4" s="3" t="str">
        <f t="shared" ref="H4:H41" si="0">IF(OR(AND(AR4&gt;=AY$44,AS4&gt;=AY$48,AR4&lt;&gt;"",AQ4=""),AND(AW4&gt;=AY$44,AX4&gt;=AY$48,AW4&lt;&gt;"",AQ4=""),AND(BU4&gt;=CB$44,BV4&gt;=CB$48,BU4&lt;&gt;"",BT4=""),AND(BZ4&gt;=CB$44,CA4&gt;=CB$48,BZ4&lt;&gt;"",BT4=""),AND(CX4&gt;=DE$44,CY4&gt;=DE$48,CX4&lt;&gt;"",CW4=""),AND(DC4&gt;=DE$44,DD4&gt;=DE$48,DC4&lt;&gt;""),AND(EC4&gt;=EJ$44,ED4&gt;=EJ$48,EC4&lt;&gt;""),AND(EH4&gt;=EJ$44,EI4&gt;=EJ$48,EH4&lt;&gt;""),AND(FE4&gt;=FL$44,FF4&gt;=FL$48,FE4&lt;&gt;""),AND(FJ4&gt;=FL$44,FK4&gt;=FL$48,FJ4&lt;&gt;""),AND(GG4&gt;=GN$44,GH4&gt;=GN$48,GG4&lt;&gt;""),AND(GL4&gt;=GN$44,GM4&gt;=GN$48,GL4&lt;&gt;""),AND(HI4&gt;=HP$44,HJ4&gt;=HP$48,HI4&lt;&gt;""),AND(HN4&gt;=HP$44,HO4&gt;=HP$48,HN4&lt;&gt;""),AND(IK4&gt;=IR$44,IL4&gt;=IR$48,IK4&lt;&gt;""),AND(IP4&gt;=IR$44,IQ4&gt;=IR$48,IP4&lt;&gt;""),AND(JM4&gt;=JT$44,JN4&gt;=JT$48,JM4&lt;&gt;""),AND(JR4&gt;=JT$44,JS4&gt;=JT$48,JR4&lt;&gt;""),AND(KO4&gt;=KV$44,KP4&gt;=KV$48,KO4&lt;&gt;""),AND(KT4&gt;=KV$44,KU4&gt;=KV$48,KT4&lt;&gt;""),AND(LQ4&gt;=LX$44,LR4&gt;=LX$48,LQ4&lt;&gt;""),AND(LV4&gt;=LX$44,LW4&gt;=LX$48,LV4&lt;&gt;""),AND(MS4&gt;=MZ$44,MT4&gt;=MZ$48,MS4&lt;&gt;""),AND(MX4&gt;=MZ$44,MY4&gt;=MZ$48,MX4&lt;&gt;""),AND(NU4&gt;=OB$44,NV4&gt;=OB$48,NU4&lt;&gt;""),AND(NZ4&gt;=OB$44,OA4&gt;=OB$48,NZ4&lt;&gt;""),AND(OW4&gt;=PD$44,OX4&gt;=PD$48,OW4&lt;&gt;""),AND(PB4&gt;=PD$44,PC4&gt;=PD$48,PB4&lt;&gt;""),AND(PY4&gt;=QF$44,PZ4&gt;=QF$48,PY4&lt;&gt;""),AND(QD4&gt;=QF$44,QE4&gt;=QF$48,QD4&lt;&gt;"")),"P","")</f>
        <v>P</v>
      </c>
      <c r="I4" s="3" t="str">
        <f t="shared" ref="I4:I41" si="1">IF(OR(AND(AS4&gt;=AY$48,AS4&lt;&gt;"",AQ4=""),AND(AX4&gt;=AY$48,AX4&lt;&gt;"",AQ4=""),AND(BV4&gt;=CB$48,BV4&lt;&gt;"",BT4=""),AND(CA4&gt;=CB$48,CA4&lt;&gt;"",BT4=""),AND(CY4&gt;=DE$48,CY4&lt;&gt;"",CW4=""),AND(DD4&gt;=DE$48,DD4&lt;&gt;"",CW4=""),AND(ED4&gt;=EJ$48,ED4&lt;&gt;""),AND(EI4&gt;=EJ$48,EI4&lt;&gt;""),AND(FF4&gt;=FL$48,FF4&lt;&gt;""),AND(FK4&gt;=FL$48,FK4&lt;&gt;""),AND(GH4&gt;=GN$48,GH4&lt;&gt;""),AND(GM4&gt;=GN$48,GM4&lt;&gt;""),AND(HJ4&gt;=HP$48,HJ4&lt;&gt;""),AND(HO4&gt;=HP$48,HO4&lt;&gt;""),AND(IL4&gt;=IR$48,IL4&lt;&gt;""),AND(IQ4&gt;=IR$48,IQ4&lt;&gt;""),AND(JN4&gt;=JT$48,JN4&lt;&gt;""),AND(JS4&gt;=JT$48,JS4&lt;&gt;""),AND(KP4&gt;=KV$48,KP4&lt;&gt;""),AND(KU4&gt;=KV$48,KU4&lt;&gt;""),AND(LR4&gt;=LX$48,LR4&lt;&gt;""),AND(LW4&gt;=LX$48,LW4&lt;&gt;""),AND(MT4&gt;=MZ$48,MT4&lt;&gt;""),AND(MY4&gt;=MZ$48,MY4&lt;&gt;""),AND(NV4&gt;=OB$48,NV4&lt;&gt;""),AND(OA4&gt;=OB$48,OA4&lt;&gt;""),AND(OX4&gt;=PD$48,OX4&lt;&gt;""),AND(PC4&gt;=PD$48,PC4&lt;&gt;""),AND(PZ4&gt;=QF$48,PZ4&lt;&gt;""),AND(QE4&gt;=QF$48,QE4&lt;&gt;"")),"P","")</f>
        <v>P</v>
      </c>
      <c r="J4" s="36" t="str">
        <f t="shared" ref="J4:J41" si="2">IF(AND(I4="P",H4=""),"No DD",IF(OR(AND(AU4&gt;=AY$47,AV4&gt;=AY$51,AU4&lt;&gt;"",AQ4=""),AND(BX4&gt;=CB$47,BY4&gt;=CB$51,BX4&lt;&gt;"",BT4=""),AND(DA4&gt;=DE$47,DB4&gt;=DE$51,DA4&lt;&gt;"",CW4=""),AND(EF4&gt;=EJ$47,EG4&gt;=EJ$51,EF4&lt;&gt;""),AND(FH4&gt;=FL$47,FI4&gt;=FL$51,FH4&lt;&gt;""),AND(GJ4&gt;=GN$47,GK4&gt;=GN$51,GJ4&lt;&gt;""),AND(HL4&gt;=HP$47,HM4&gt;=HP$51,HL4&lt;&gt;""),AND(IN4&gt;=IR$47,IO4&gt;=IR$51,IN4&lt;&gt;""),AND(JP4&gt;=JT$47,JQ4&gt;=JT$51,JP4&lt;&gt;""),AND(KR4&gt;=KV$47,KS4&gt;=KV$51,KR4&lt;&gt;""),AND(LT4&gt;=LX$47,LU4&gt;=LX$51,LT4&lt;&gt;""),AND(MV4&gt;=MZ$47,MW4&gt;=MZ$51,MV4&lt;&gt;""),AND(NX4&gt;=OB$47,NY4&gt;=OB$51,NX4&lt;&gt;""),AND(OZ4&gt;=PD$47,PA4&gt;=PD$51,OZ4&lt;&gt;""),AND(QB4&gt;=QF$47,QC4&gt;=QF$51,QB4&lt;&gt;"")),"Merit",IF(OR(AND(AU4&gt;=AY$46,AV4&gt;=AY$50,AU4&lt;&gt;"",AQ4=""),AND(BX4&gt;=CB$46,BY4&gt;=CB$50,BX4&lt;&gt;"",BT4=""),AND(DA4&gt;=DE$46,DB4&gt;=DE$50,DA4&lt;&gt;"",CW4=""),AND(EF4&gt;=EJ$46,EG4&gt;=EJ$50,EF4&lt;&gt;""),AND(FH4&gt;=FL$46,FI4&gt;=FL$50,FH4&lt;&gt;""),AND(GJ4&gt;=GN$46,GK4&gt;=GN$50,GJ4&lt;&gt;""),AND(HL4&gt;=HP$46,HM4&gt;=HP$50,HL4&lt;&gt;""),AND(IN4&gt;=IR$46,IO4&gt;=IR$50,IN4&lt;&gt;""),AND(JP4&gt;=JT$46,JQ4&gt;=JT$50,JP4&lt;&gt;""),AND(KR4&gt;=KV$46,KS4&gt;=KV$50,KR4&lt;&gt;""),AND(LT4&gt;=LX$46,LU4&gt;=LX$50,LT4&lt;&gt;""),AND(MV4&gt;=MZ$46,MW4&gt;=MZ$50,MV4&lt;&gt;""),AND(NX4&gt;=OB$46,NY4&gt;=OB$50,NX4&lt;&gt;""),AND(OZ4&gt;=PD$46,PA4&gt;=PD$50,OZ4&lt;&gt;""),AND(QB4&gt;=QF$46,QC4&gt;=QF$50,QB4&lt;&gt;"")),"Excellence",IF(K4="P","Worlds Team",IF(H4="P","National Team","")))))</f>
        <v>National Team</v>
      </c>
      <c r="K4" s="3" t="str">
        <f t="shared" ref="K4:K41" si="3">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P","")</f>
        <v/>
      </c>
      <c r="L4" s="8">
        <f>IF(COUNT(AS4,BV4,CY4)&gt;0,LARGE((AS4,BV4,CY4),1),0)</f>
        <v>60.5</v>
      </c>
      <c r="M4" s="8" t="str">
        <f t="shared" ref="M4:M41" si="4">IF(L4=0,"",IF(L4=CY4,$CC$1,IF(L4=BV4,$AZ$1,IF(L4=AS4,$W$1,""))))</f>
        <v>2023 Nationals</v>
      </c>
      <c r="N4" s="8">
        <f>IF(COUNT(AS4,BV4,CY4)&gt;1,LARGE((AS4,BV4,CY4),2),0)</f>
        <v>57.9</v>
      </c>
      <c r="O4" s="8" t="str">
        <f t="shared" ref="O4:O41" si="5">IF(N4=0,"",IF(N4=CY4,$CC$1,IF(N4=BV4,$AZ$1,IF(N4=AS4,$W$1,""))))</f>
        <v>2024 Elite Canada</v>
      </c>
      <c r="P4" s="8">
        <f>IF(COUNT(AT4,BW4,CZ4)&gt;0,LARGE((AT4,BW4,CZ4),1),0)</f>
        <v>29.4</v>
      </c>
      <c r="Q4" s="8" t="str">
        <f t="shared" ref="Q4:Q41" si="6">IF(P4=0,"",IF(P4=CZ4,$CC$1,IF(P4=BW4,$AZ$1,IF(P4=AT4,$W$1,""))))</f>
        <v>2023 3rd Domestic Trial</v>
      </c>
      <c r="R4" s="8">
        <f t="shared" ref="R4:R41" si="7">IF(MAX(AX4,CA4,DD4)&gt;0,MAX(AX4,CA4,DD4),0)</f>
        <v>59.400000000000006</v>
      </c>
      <c r="S4" s="8" t="str">
        <f t="shared" ref="S4:S41" si="8">IF(R4=0,"",IF(R4=DD4,$CC$1,IF(R4=CA4,$AZ$1,IF(R4=AX4,$W$1,""))))</f>
        <v>2023 Nationals</v>
      </c>
      <c r="T4" s="8" t="str">
        <f t="shared" ref="T4:T41" si="9">IF(MAX(DF4:DH4)&gt;0,MAX(DF4:DH4),"")</f>
        <v/>
      </c>
      <c r="U4" s="11" t="str">
        <f t="shared" ref="U4:U41" si="10">IF(T4="","",IF(T4=DF4,"("&amp;DF$2&amp;")",IF(T4=DG4,"("&amp;DG$2&amp;")",IF(T4=DH4,"("&amp;DH$2&amp;")"))))</f>
        <v/>
      </c>
      <c r="V4" s="8" t="str">
        <f t="shared" ref="V4:V41" si="11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19.399999999999999</v>
      </c>
      <c r="X4" s="19">
        <v>10</v>
      </c>
      <c r="Y4" s="19">
        <v>0</v>
      </c>
      <c r="Z4" s="19">
        <v>0.6</v>
      </c>
      <c r="AA4" s="19">
        <v>18.8</v>
      </c>
      <c r="AB4" s="19">
        <v>11.1</v>
      </c>
      <c r="AC4" s="19">
        <v>0</v>
      </c>
      <c r="AD4" s="19">
        <v>0.6</v>
      </c>
      <c r="AE4" s="19">
        <v>18.7</v>
      </c>
      <c r="AF4" s="19">
        <v>9.3000000000000007</v>
      </c>
      <c r="AG4" s="19">
        <v>0.6</v>
      </c>
      <c r="AH4" s="19">
        <v>0.3</v>
      </c>
      <c r="AI4" s="19">
        <v>18</v>
      </c>
      <c r="AJ4" s="19">
        <v>11.6</v>
      </c>
      <c r="AK4" s="19">
        <v>1</v>
      </c>
      <c r="AL4" s="19">
        <v>0.3</v>
      </c>
      <c r="AM4" s="19">
        <v>18.8</v>
      </c>
      <c r="AN4" s="19">
        <v>11.1</v>
      </c>
      <c r="AO4" s="19">
        <v>0</v>
      </c>
      <c r="AP4" s="19">
        <v>0.6</v>
      </c>
      <c r="AQ4" s="27"/>
      <c r="AR4" s="40">
        <f t="shared" ref="AR4:AR41" si="12">IF(SUM(X4,AB4)&gt;0,SUM(X4,AB4),"")</f>
        <v>21.1</v>
      </c>
      <c r="AS4" s="40">
        <f t="shared" ref="AS4:AS41" si="13">IF(SUM(W4:X4,Z4:AB4,AD4)-Y4-AC4&gt;0,SUM(W4:X4,Z4:AB4,AD4)-Y4-AC4,"")</f>
        <v>60.5</v>
      </c>
      <c r="AT4" s="40">
        <f t="shared" ref="AT4:AT41" si="14">IF(SUM(AE4:AF4,AH4)-AG4&gt;0,SUM(AE4:AF4,AH4)-AG4,"")</f>
        <v>27.7</v>
      </c>
      <c r="AU4" s="40">
        <f t="shared" ref="AU4:AU41" si="15">IF(SUM(X4,AB4,AF4)&gt;0,SUM(X4,AB4,AF4),"")</f>
        <v>30.400000000000002</v>
      </c>
      <c r="AV4" s="40">
        <f t="shared" ref="AV4:AV41" si="16">IF(SUM(AS4,AT4)&gt;0,SUM(AS4,AT4),"")</f>
        <v>88.2</v>
      </c>
      <c r="AW4" s="40">
        <f t="shared" ref="AW4:AW41" si="17">IF(SUM(AJ4,AN4)&gt;0,SUM(AJ4,AN4),"")</f>
        <v>22.7</v>
      </c>
      <c r="AX4" s="40">
        <f t="shared" ref="AX4:AX41" si="18">IF(SUM(AI4:AJ4,AL4:AN4,AP4)-SUM(AK4,AO4)&gt;0,SUM(AI4:AJ4,AL4:AN4,AP4)-SUM(AK4,AO4),"")</f>
        <v>59.400000000000006</v>
      </c>
      <c r="AY4" s="40">
        <f t="shared" ref="AY4:AY41" si="19">IF(SUM(AS4,AT4,AX4)&gt;0,SUM(AS4,AT4,AX4),"")</f>
        <v>147.60000000000002</v>
      </c>
      <c r="AZ4" s="18">
        <v>19</v>
      </c>
      <c r="BA4" s="18">
        <v>10</v>
      </c>
      <c r="BB4" s="18">
        <v>0.6</v>
      </c>
      <c r="BC4" s="18">
        <v>0.6</v>
      </c>
      <c r="BD4" s="18">
        <v>18.8</v>
      </c>
      <c r="BE4" s="18">
        <v>8.1</v>
      </c>
      <c r="BF4" s="18">
        <v>0.2</v>
      </c>
      <c r="BG4" s="18">
        <v>0</v>
      </c>
      <c r="BH4" s="18">
        <v>18.3</v>
      </c>
      <c r="BI4" s="18">
        <v>11.1</v>
      </c>
      <c r="BJ4" s="18">
        <v>0.6</v>
      </c>
      <c r="BK4" s="18">
        <v>0.6</v>
      </c>
      <c r="BL4" s="18">
        <v>18.600000000000001</v>
      </c>
      <c r="BM4" s="18">
        <v>10</v>
      </c>
      <c r="BN4" s="18">
        <v>0.6</v>
      </c>
      <c r="BO4" s="18">
        <v>0.6</v>
      </c>
      <c r="BP4" s="18">
        <v>18.7</v>
      </c>
      <c r="BQ4" s="18">
        <v>10.8</v>
      </c>
      <c r="BR4" s="18">
        <v>0.6</v>
      </c>
      <c r="BS4" s="18">
        <v>0.6</v>
      </c>
      <c r="BT4" s="28"/>
      <c r="BU4" s="11">
        <f t="shared" ref="BU4:BU41" si="20">IF(SUM(BA4,BE4)&gt;0,SUM(BA4,BE4),"")</f>
        <v>18.100000000000001</v>
      </c>
      <c r="BV4" s="11">
        <f t="shared" ref="BV4:BV41" si="21">IF(SUM(AZ4:BA4,BC4:BE4,BG4)-BB4-BF4&gt;0,SUM(AZ4:BA4,BC4:BE4,BG4)-BB4-BF4,"")</f>
        <v>55.7</v>
      </c>
      <c r="BW4" s="11">
        <f t="shared" ref="BW4:BW41" si="22">IF(SUM(BH4:BI4,BK4)-BJ4&gt;0,SUM(BH4:BI4,BK4)-BJ4,"")</f>
        <v>29.4</v>
      </c>
      <c r="BX4" s="11">
        <f t="shared" ref="BX4:BX41" si="23">IF(SUM(BA4,BE4,BI4)&gt;0,SUM(BA4,BE4,BI4),"")</f>
        <v>29.200000000000003</v>
      </c>
      <c r="BY4" s="11">
        <f t="shared" ref="BY4:BY41" si="24">IF(SUM(BV4,BW4)&gt;0,SUM(BV4,BW4),"")</f>
        <v>85.1</v>
      </c>
      <c r="BZ4" s="11">
        <f t="shared" ref="BZ4:BZ41" si="25">IF(SUM(BM4,BQ4)&gt;0,SUM(BM4,BQ4),"")</f>
        <v>20.8</v>
      </c>
      <c r="CA4" s="11">
        <f t="shared" ref="CA4:CA41" si="26">IF(SUM(BL4:BM4,BO4:BQ4,BS4)-SUM(BN4,BR4)&gt;0,SUM(BL4:BM4,BO4:BQ4,BS4)-SUM(BN4,BR4),"")</f>
        <v>58.1</v>
      </c>
      <c r="CB4" s="11">
        <f t="shared" ref="CB4:CB41" si="27">IF(SUM(BV4,BW4,CA4)&gt;0,SUM(BV4,BW4,CA4),"")</f>
        <v>143.19999999999999</v>
      </c>
      <c r="CC4" s="19">
        <v>18.600000000000001</v>
      </c>
      <c r="CD4" s="19">
        <v>10</v>
      </c>
      <c r="CE4" s="19">
        <v>0.8</v>
      </c>
      <c r="CF4" s="19">
        <v>0.6</v>
      </c>
      <c r="CG4" s="19">
        <v>18.3</v>
      </c>
      <c r="CH4" s="19">
        <v>10.8</v>
      </c>
      <c r="CI4" s="19">
        <v>0.2</v>
      </c>
      <c r="CJ4" s="19">
        <v>0.6</v>
      </c>
      <c r="CK4" s="19">
        <v>18.600000000000001</v>
      </c>
      <c r="CL4" s="19">
        <v>8.9</v>
      </c>
      <c r="CM4" s="19">
        <v>0.8</v>
      </c>
      <c r="CN4" s="19">
        <v>0.3</v>
      </c>
      <c r="CO4" s="19">
        <v>19.100000000000001</v>
      </c>
      <c r="CP4" s="19">
        <v>10</v>
      </c>
      <c r="CQ4" s="19">
        <v>0</v>
      </c>
      <c r="CR4" s="19">
        <v>0.6</v>
      </c>
      <c r="CS4" s="19">
        <v>18.2</v>
      </c>
      <c r="CT4" s="19">
        <v>10.8</v>
      </c>
      <c r="CU4" s="19">
        <v>0.2</v>
      </c>
      <c r="CV4" s="19">
        <v>0.6</v>
      </c>
      <c r="CW4" s="27"/>
      <c r="CX4" s="40">
        <f t="shared" ref="CX4:CX41" si="28">IF(SUM(CD4,CH4)&gt;0,SUM(CD4,CH4),"")</f>
        <v>20.8</v>
      </c>
      <c r="CY4" s="40">
        <f t="shared" ref="CY4:CY41" si="29">IF(SUM(CC4:CD4,CF4:CH4,CJ4)-CE4-CI4&gt;0,SUM(CC4:CD4,CF4:CH4,CJ4)-CE4-CI4,"")</f>
        <v>57.9</v>
      </c>
      <c r="CZ4" s="40">
        <f t="shared" ref="CZ4:CZ41" si="30">IF(SUM(CK4:CL4,CN4)-CM4&gt;0,SUM(CK4:CL4,CN4)-CM4,"")</f>
        <v>27</v>
      </c>
      <c r="DA4" s="40">
        <f t="shared" ref="DA4:DA41" si="31">IF(SUM(CD4,CH4,CL4)&gt;0,SUM(CD4,CH4,CL4),"")</f>
        <v>29.700000000000003</v>
      </c>
      <c r="DB4" s="40">
        <f t="shared" ref="DB4:DB41" si="32">IF(SUM(CY4,CZ4)&gt;0,SUM(CY4,CZ4),"")</f>
        <v>84.9</v>
      </c>
      <c r="DC4" s="40">
        <f t="shared" ref="DC4:DC41" si="33">IF(SUM(CP4,CT4)&gt;0,SUM(CP4,CT4),"")</f>
        <v>20.8</v>
      </c>
      <c r="DD4" s="40">
        <f t="shared" ref="DD4:DD41" si="34">IF(SUM(CO4:CP4,CR4:CT4,CV4)-SUM(CQ4,CU4)&gt;0,SUM(CO4:CP4,CR4:CT4,CV4)-SUM(CQ4,CU4),"")</f>
        <v>59.1</v>
      </c>
      <c r="DE4" s="40">
        <f t="shared" ref="DE4:DE41" si="35">IF(SUM(CY4,CZ4,DD4)&gt;0,SUM(CY4,CZ4,DD4),"")</f>
        <v>144</v>
      </c>
      <c r="DF4" s="50" t="str">
        <f t="shared" ref="DF4:DF41" si="36">IF(MAX(ED4,FF4,GH4,HJ4,IL4,JN4,KP4,LR4,MT4,NV4,OX4,PZ4)-IF(N4="",0,N4)&gt;0.001,MAX(ED4,FF4,GH4,HJ4,IL4,JN4,KP4,LR4,MT4,NV4,OX4,PZ4)-IF(N4="",0,N4),"")</f>
        <v/>
      </c>
      <c r="DG4" s="50" t="str">
        <f t="shared" ref="DG4:DG41" si="37">IF(MAX(EE4,FG4,GI4,HK4,IM4,JO4,KQ4,LS4,MU4,NW4,OY4,QA4)-IF(P4="",0,P4)&gt;0.001,MAX(EE4,FG4,GI4,HK4,IM4,JO4,KQ4,LS4,MU4,NW4,OY4,QA4)-IF(P4="",0,P4),"")</f>
        <v/>
      </c>
      <c r="DH4" s="50" t="str">
        <f t="shared" ref="DH4:DH41" si="38"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 t="shared" ref="EC4:EC41" si="39">IF(SUM(DJ4,DN4)&gt;0,SUM(DJ4,DN4),"")</f>
        <v/>
      </c>
      <c r="ED4" s="40" t="str">
        <f t="shared" ref="ED4:ED41" si="40">IF(SUM(DI4:DJ4,DL4:DN4,DP4)-DK4-DO4&gt;0,SUM(DI4:DJ4,DL4:DN4,DP4)-DK4-DO4,"")</f>
        <v/>
      </c>
      <c r="EE4" s="40" t="str">
        <f t="shared" ref="EE4:EE41" si="41">IF(SUM(DQ4:DR4,DT4)-DS4&gt;0,SUM(DQ4:DR4,DT4)-DS4,"")</f>
        <v/>
      </c>
      <c r="EF4" s="40" t="str">
        <f t="shared" ref="EF4:EF41" si="42">IF(SUM(DJ4,DN4,DR4)&gt;0,SUM(DJ4,DN4,DR4),"")</f>
        <v/>
      </c>
      <c r="EG4" s="40" t="str">
        <f t="shared" ref="EG4:EG41" si="43">IF(SUM(ED4,EE4)&gt;0,SUM(ED4,EE4),"")</f>
        <v/>
      </c>
      <c r="EH4" s="40" t="str">
        <f t="shared" ref="EH4:EH41" si="44">IF(SUM(DV4,DZ4)&gt;0,SUM(DV4,DZ4),"")</f>
        <v/>
      </c>
      <c r="EI4" s="40" t="str">
        <f t="shared" ref="EI4:EI41" si="45">IF(SUM(DU4:DV4,DX4:DZ4,EB4)-SUM(DW4,EA4)&gt;0,SUM(DU4:DV4,DX4:DZ4,EB4)-SUM(DW4,EA4),"")</f>
        <v/>
      </c>
      <c r="EJ4" s="40" t="str">
        <f t="shared" ref="EJ4:EJ41" si="46"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 t="shared" ref="FE4:FE41" si="47">IF(SUM(EL4,EP4)&gt;0,SUM(EL4,EP4),"")</f>
        <v/>
      </c>
      <c r="FF4" s="11" t="str">
        <f t="shared" ref="FF4:FF41" si="48">IF(SUM(EK4:EL4,EN4:EP4,ER4)-EM4-EQ4&gt;0,SUM(EK4:EL4,EN4:EP4,ER4)-EM4-EQ4,"")</f>
        <v/>
      </c>
      <c r="FG4" s="11" t="str">
        <f t="shared" ref="FG4:FG41" si="49">IF(SUM(ES4:ET4,EV4)-EU4&gt;0,SUM(ES4:ET4,EV4)-EU4,"")</f>
        <v/>
      </c>
      <c r="FH4" s="11" t="str">
        <f t="shared" ref="FH4:FH41" si="50">IF(SUM(EL4,EP4,ET4)&gt;0,SUM(EL4,EP4,ET4),"")</f>
        <v/>
      </c>
      <c r="FI4" s="11" t="str">
        <f t="shared" ref="FI4:FI41" si="51">IF(SUM(FF4,FG4)&gt;0,SUM(FF4,FG4),"")</f>
        <v/>
      </c>
      <c r="FJ4" s="11" t="str">
        <f t="shared" ref="FJ4:FJ41" si="52">IF(SUM(EX4,FB4)&gt;0,SUM(EX4,FB4),"")</f>
        <v/>
      </c>
      <c r="FK4" s="11" t="str">
        <f t="shared" ref="FK4:FK41" si="53">IF(SUM(EW4:EX4,EZ4:FB4,FD4)-SUM(EY4,FC4)&gt;0,SUM(EW4:EX4,EZ4:FB4,FD4)-SUM(EY4,FC4),"")</f>
        <v/>
      </c>
      <c r="FL4" s="11" t="str">
        <f t="shared" ref="FL4:FL41" si="54">IF(SUM(FF4,FG4,FK4)&gt;0,SUM(FF4,FG4,FK4),"")</f>
        <v/>
      </c>
      <c r="FM4" s="17">
        <v>18.8</v>
      </c>
      <c r="FN4" s="17">
        <v>10</v>
      </c>
      <c r="FO4" s="17">
        <v>0.6</v>
      </c>
      <c r="FP4" s="17">
        <v>0</v>
      </c>
      <c r="FQ4" s="17">
        <v>18.5</v>
      </c>
      <c r="FR4" s="17">
        <v>10.8</v>
      </c>
      <c r="FS4" s="17">
        <v>0</v>
      </c>
      <c r="FT4" s="17">
        <v>0</v>
      </c>
      <c r="FU4" s="17"/>
      <c r="FV4" s="17"/>
      <c r="FW4" s="17"/>
      <c r="FX4" s="17"/>
      <c r="FY4" s="17">
        <v>18.8</v>
      </c>
      <c r="FZ4" s="17">
        <v>10</v>
      </c>
      <c r="GA4" s="17">
        <v>0</v>
      </c>
      <c r="GB4" s="17">
        <v>0</v>
      </c>
      <c r="GC4" s="17">
        <v>18.5</v>
      </c>
      <c r="GD4" s="17">
        <v>11.1</v>
      </c>
      <c r="GE4" s="17">
        <v>0.6</v>
      </c>
      <c r="GF4" s="17">
        <v>0</v>
      </c>
      <c r="GG4" s="40">
        <f t="shared" ref="GG4:GG41" si="55">IF(SUM(FN4,FR4)&gt;0,SUM(FN4,FR4),"")</f>
        <v>20.8</v>
      </c>
      <c r="GH4" s="40">
        <f t="shared" ref="GH4:GH41" si="56">IF(SUM(FM4:FN4,FP4:FR4,FT4)-FO4-FS4&gt;0,SUM(FM4:FN4,FP4:FR4,FT4)-FO4-FS4,"")</f>
        <v>57.499999999999993</v>
      </c>
      <c r="GI4" s="40" t="str">
        <f t="shared" ref="GI4:GI41" si="57">IF(SUM(FU4:FV4,FX4)-FW4&gt;0,SUM(FU4:FV4,FX4)-FW4,"")</f>
        <v/>
      </c>
      <c r="GJ4" s="40">
        <f t="shared" ref="GJ4:GJ41" si="58">IF(SUM(FN4,FR4,FV4)&gt;0,SUM(FN4,FR4,FV4),"")</f>
        <v>20.8</v>
      </c>
      <c r="GK4" s="40">
        <f t="shared" ref="GK4:GK41" si="59">IF(SUM(GH4,GI4)&gt;0,SUM(GH4,GI4),"")</f>
        <v>57.499999999999993</v>
      </c>
      <c r="GL4" s="40">
        <f t="shared" ref="GL4:GL41" si="60">IF(SUM(FZ4,GD4)&gt;0,SUM(FZ4,GD4),"")</f>
        <v>21.1</v>
      </c>
      <c r="GM4" s="40">
        <f t="shared" ref="GM4:GM41" si="61">IF(SUM(FY4:FZ4,GB4:GD4,GF4)-SUM(GA4,GE4)&gt;0,SUM(FY4:FZ4,GB4:GD4,GF4)-SUM(GA4,GE4),"")</f>
        <v>57.8</v>
      </c>
      <c r="GN4" s="40">
        <f t="shared" ref="GN4:GN41" si="62">IF(SUM(GH4,GI4,GM4)&gt;0,SUM(GH4,GI4,GM4),"")</f>
        <v>115.29999999999998</v>
      </c>
      <c r="GO4" s="18">
        <v>18.8</v>
      </c>
      <c r="GP4" s="18">
        <v>10</v>
      </c>
      <c r="GQ4" s="18">
        <v>0.6</v>
      </c>
      <c r="GR4" s="18">
        <v>0</v>
      </c>
      <c r="GS4" s="18">
        <v>18.600000000000001</v>
      </c>
      <c r="GT4" s="18">
        <v>10.8</v>
      </c>
      <c r="GU4" s="18">
        <v>0.6</v>
      </c>
      <c r="GV4" s="18">
        <v>0</v>
      </c>
      <c r="GW4" s="18"/>
      <c r="GX4" s="18"/>
      <c r="GY4" s="18"/>
      <c r="GZ4" s="18"/>
      <c r="HA4" s="18">
        <v>18.600000000000001</v>
      </c>
      <c r="HB4" s="18">
        <v>10</v>
      </c>
      <c r="HC4" s="18">
        <v>0</v>
      </c>
      <c r="HD4" s="18">
        <v>0</v>
      </c>
      <c r="HE4" s="18">
        <v>18.3</v>
      </c>
      <c r="HF4" s="18">
        <v>11.1</v>
      </c>
      <c r="HG4" s="18">
        <v>0.8</v>
      </c>
      <c r="HH4" s="18">
        <v>0</v>
      </c>
      <c r="HI4" s="11">
        <f t="shared" ref="HI4:HI41" si="63">IF(SUM(GP4,GT4)&gt;0,SUM(GP4,GT4),"")</f>
        <v>20.8</v>
      </c>
      <c r="HJ4" s="11">
        <f t="shared" ref="HJ4:HJ41" si="64">IF(SUM(GO4:GP4,GR4:GT4,GV4)-GQ4-GU4&gt;0,SUM(GO4:GP4,GR4:GT4,GV4)-GQ4-GU4,"")</f>
        <v>57</v>
      </c>
      <c r="HK4" s="11" t="str">
        <f t="shared" ref="HK4:HK41" si="65">IF(SUM(GW4:GX4,GZ4)-GY4&gt;0,SUM(GW4:GX4,GZ4)-GY4,"")</f>
        <v/>
      </c>
      <c r="HL4" s="11">
        <f t="shared" ref="HL4:HL41" si="66">IF(SUM(GP4,GT4,GX4)&gt;0,SUM(GP4,GT4,GX4),"")</f>
        <v>20.8</v>
      </c>
      <c r="HM4" s="11">
        <f t="shared" ref="HM4:HM41" si="67">IF(SUM(HJ4,HK4)&gt;0,SUM(HJ4,HK4),"")</f>
        <v>57</v>
      </c>
      <c r="HN4" s="11">
        <f t="shared" ref="HN4:HN41" si="68">IF(SUM(HB4,HF4)&gt;0,SUM(HB4,HF4),"")</f>
        <v>21.1</v>
      </c>
      <c r="HO4" s="11">
        <f t="shared" ref="HO4:HO41" si="69">IF(SUM(HA4:HB4,HD4:HF4,HH4)-SUM(HC4,HG4)&gt;0,SUM(HA4:HB4,HD4:HF4,HH4)-SUM(HC4,HG4),"")</f>
        <v>57.20000000000001</v>
      </c>
      <c r="HP4" s="11">
        <f t="shared" ref="HP4:HP41" si="70">IF(SUM(HJ4,HK4,HO4)&gt;0,SUM(HJ4,HK4,HO4),"")</f>
        <v>114.20000000000002</v>
      </c>
      <c r="HQ4" s="17">
        <v>18.600000000000001</v>
      </c>
      <c r="HR4" s="17">
        <v>10</v>
      </c>
      <c r="HS4" s="17">
        <v>0.6</v>
      </c>
      <c r="HT4" s="17">
        <v>0</v>
      </c>
      <c r="HU4" s="17">
        <v>17.2</v>
      </c>
      <c r="HV4" s="17">
        <v>5.0999999999999996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 t="shared" ref="IK4:IK41" si="71">IF(SUM(HR4,HV4)&gt;0,SUM(HR4,HV4),"")</f>
        <v>15.1</v>
      </c>
      <c r="IL4" s="40">
        <f t="shared" ref="IL4:IL41" si="72">IF(SUM(HQ4:HR4,HT4:HV4,HX4)-HS4-HW4&gt;0,SUM(HQ4:HR4,HT4:HV4,HX4)-HS4-HW4,"")</f>
        <v>50.3</v>
      </c>
      <c r="IM4" s="40" t="str">
        <f t="shared" ref="IM4:IM41" si="73">IF(SUM(HY4:HZ4,IB4)-IA4&gt;0,SUM(HY4:HZ4,IB4)-IA4,"")</f>
        <v/>
      </c>
      <c r="IN4" s="40">
        <f t="shared" ref="IN4:IN41" si="74">IF(SUM(HR4,HV4,HZ4)&gt;0,SUM(HR4,HV4,HZ4),"")</f>
        <v>15.1</v>
      </c>
      <c r="IO4" s="40">
        <f t="shared" ref="IO4:IO41" si="75">IF(SUM(IL4,IM4)&gt;0,SUM(IL4,IM4),"")</f>
        <v>50.3</v>
      </c>
      <c r="IP4" s="40" t="str">
        <f t="shared" ref="IP4:IP41" si="76">IF(SUM(ID4,IH4)&gt;0,SUM(ID4,IH4),"")</f>
        <v/>
      </c>
      <c r="IQ4" s="40" t="str">
        <f t="shared" ref="IQ4:IQ41" si="77">IF(SUM(IC4:ID4,IF4:IH4,IJ4)-SUM(IE4,II4)&gt;0,SUM(IC4:ID4,IF4:IH4,IJ4)-SUM(IE4,II4),"")</f>
        <v/>
      </c>
      <c r="IR4" s="40">
        <f t="shared" ref="IR4:IR41" si="78">IF(SUM(IL4,IM4,IQ4)&gt;0,SUM(IL4,IM4,IQ4),"")</f>
        <v>50.3</v>
      </c>
      <c r="IS4" s="18">
        <v>18.3</v>
      </c>
      <c r="IT4" s="18">
        <v>9.3000000000000007</v>
      </c>
      <c r="IU4" s="18">
        <v>0</v>
      </c>
      <c r="IV4" s="18">
        <v>0</v>
      </c>
      <c r="IW4" s="18">
        <v>18.8</v>
      </c>
      <c r="IX4" s="18">
        <v>10</v>
      </c>
      <c r="IY4" s="18">
        <v>0.8</v>
      </c>
      <c r="IZ4" s="18">
        <v>0</v>
      </c>
      <c r="JA4" s="18">
        <v>18.5</v>
      </c>
      <c r="JB4" s="18">
        <v>9.5</v>
      </c>
      <c r="JC4" s="18">
        <v>1</v>
      </c>
      <c r="JD4" s="18">
        <v>0</v>
      </c>
      <c r="JE4" s="18">
        <v>18.399999999999999</v>
      </c>
      <c r="JF4" s="18">
        <v>11.1</v>
      </c>
      <c r="JG4" s="18">
        <v>0.6</v>
      </c>
      <c r="JH4" s="18">
        <v>0</v>
      </c>
      <c r="JI4" s="18">
        <v>18.3</v>
      </c>
      <c r="JJ4" s="18">
        <v>4.5</v>
      </c>
      <c r="JK4" s="18">
        <v>0</v>
      </c>
      <c r="JL4" s="18">
        <v>0</v>
      </c>
      <c r="JM4" s="11">
        <f t="shared" ref="JM4:JM41" si="79">IF(SUM(IT4,IX4)&gt;0,SUM(IT4,IX4),"")</f>
        <v>19.3</v>
      </c>
      <c r="JN4" s="11">
        <f t="shared" ref="JN4:JN41" si="80">IF(SUM(IS4:IT4,IV4:IX4,IZ4)-IU4-IY4&gt;0,SUM(IS4:IT4,IV4:IX4,IZ4)-IU4-IY4,"")</f>
        <v>55.600000000000009</v>
      </c>
      <c r="JO4" s="11">
        <f t="shared" ref="JO4:JO41" si="81">IF(SUM(JA4:JB4,JD4)-JC4&gt;0,SUM(JA4:JB4,JD4)-JC4,"")</f>
        <v>27</v>
      </c>
      <c r="JP4" s="11">
        <f t="shared" ref="JP4:JP41" si="82">IF(SUM(IT4,IX4,JB4)&gt;0,SUM(IT4,IX4,JB4),"")</f>
        <v>28.8</v>
      </c>
      <c r="JQ4" s="11">
        <f t="shared" ref="JQ4:JQ41" si="83">IF(SUM(JN4,JO4)&gt;0,SUM(JN4,JO4),"")</f>
        <v>82.600000000000009</v>
      </c>
      <c r="JR4" s="11">
        <f t="shared" ref="JR4:JR41" si="84">IF(SUM(JF4,JJ4)&gt;0,SUM(JF4,JJ4),"")</f>
        <v>15.6</v>
      </c>
      <c r="JS4" s="11">
        <f t="shared" ref="JS4:JS41" si="85">IF(SUM(JE4:JF4,JH4:JJ4,JL4)-SUM(JG4,JK4)&gt;0,SUM(JE4:JF4,JH4:JJ4,JL4)-SUM(JG4,JK4),"")</f>
        <v>51.699999999999996</v>
      </c>
      <c r="JT4" s="11">
        <f t="shared" ref="JT4:JT41" si="86">IF(SUM(JN4,JO4,JS4)&gt;0,SUM(JN4,JO4,JS4),"")</f>
        <v>134.30000000000001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41" si="87">IF(SUM(JV4,JZ4)&gt;0,SUM(JV4,JZ4),"")</f>
        <v/>
      </c>
      <c r="KP4" s="40" t="str">
        <f t="shared" ref="KP4:KP41" si="88">IF(SUM(JU4:JV4,JX4:JZ4,KB4)-JW4-KA4&gt;0,SUM(JU4:JV4,JX4:JZ4,KB4)-JW4-KA4,"")</f>
        <v/>
      </c>
      <c r="KQ4" s="40" t="str">
        <f t="shared" ref="KQ4:KQ41" si="89">IF(SUM(KC4:KD4,KF4)-KE4&gt;0,SUM(KC4:KD4,KF4)-KE4,"")</f>
        <v/>
      </c>
      <c r="KR4" s="40" t="str">
        <f t="shared" ref="KR4:KR41" si="90">IF(SUM(JV4,JZ4,KD4)&gt;0,SUM(JV4,JZ4,KD4),"")</f>
        <v/>
      </c>
      <c r="KS4" s="40" t="str">
        <f t="shared" ref="KS4:KS41" si="91">IF(SUM(KP4,KQ4)&gt;0,SUM(KP4,KQ4),"")</f>
        <v/>
      </c>
      <c r="KT4" s="40" t="str">
        <f t="shared" ref="KT4:KT41" si="92">IF(SUM(KH4,KL4)&gt;0,SUM(KH4,KL4),"")</f>
        <v/>
      </c>
      <c r="KU4" s="40" t="str">
        <f t="shared" ref="KU4:KU41" si="93">IF(SUM(KG4:KH4,KJ4:KL4,KN4)-SUM(KI4,KM4)&gt;0,SUM(KG4:KH4,KJ4:KL4,KN4)-SUM(KI4,KM4),"")</f>
        <v/>
      </c>
      <c r="KV4" s="40" t="str">
        <f t="shared" ref="KV4:KV41" si="94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41" si="95">IF(SUM(KX4,LB4)&gt;0,SUM(KX4,LB4),"")</f>
        <v/>
      </c>
      <c r="LR4" s="11" t="str">
        <f t="shared" ref="LR4:LR41" si="96">IF(SUM(KW4:KX4,KZ4:LB4,LD4)-KY4-LC4&gt;0,SUM(KW4:KX4,KZ4:LB4,LD4)-KY4-LC4,"")</f>
        <v/>
      </c>
      <c r="LS4" s="11" t="str">
        <f t="shared" ref="LS4:LS41" si="97">IF(SUM(LE4:LF4,LH4)-LG4&gt;0,SUM(LE4:LF4,LH4)-LG4,"")</f>
        <v/>
      </c>
      <c r="LT4" s="11" t="str">
        <f t="shared" ref="LT4:LT41" si="98">IF(SUM(KX4,LB4,LF4)&gt;0,SUM(KX4,LB4,LF4),"")</f>
        <v/>
      </c>
      <c r="LU4" s="11" t="str">
        <f t="shared" ref="LU4:LU41" si="99">IF(SUM(LR4,LS4)&gt;0,SUM(LR4,LS4),"")</f>
        <v/>
      </c>
      <c r="LV4" s="11" t="str">
        <f t="shared" ref="LV4:LV41" si="100">IF(SUM(LJ4,LN4)&gt;0,SUM(LJ4,LN4),"")</f>
        <v/>
      </c>
      <c r="LW4" s="11" t="str">
        <f t="shared" ref="LW4:LW41" si="101">IF(SUM(LI4:LJ4,LL4:LN4,LP4)-SUM(LK4,LO4)&gt;0,SUM(LI4:LJ4,LL4:LN4,LP4)-SUM(LK4,LO4),"")</f>
        <v/>
      </c>
      <c r="LX4" s="11" t="str">
        <f t="shared" ref="LX4:LX41" si="102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41" si="103">IF(SUM(LZ4,MD4)&gt;0,SUM(LZ4,MD4),"")</f>
        <v/>
      </c>
      <c r="MT4" s="40" t="str">
        <f t="shared" ref="MT4:MT41" si="104">IF(SUM(LY4:LZ4,MB4:MD4,MF4)-MA4-ME4&gt;0,SUM(LY4:LZ4,MB4:MD4,MF4)-MA4-ME4,"")</f>
        <v/>
      </c>
      <c r="MU4" s="40" t="str">
        <f t="shared" ref="MU4:MU41" si="105">IF(SUM(MG4:MH4,MJ4)-MI4&gt;0,SUM(MG4:MH4,MJ4)-MI4,"")</f>
        <v/>
      </c>
      <c r="MV4" s="40" t="str">
        <f t="shared" ref="MV4:MV41" si="106">IF(SUM(LZ4,MD4,MH4)&gt;0,SUM(LZ4,MD4,MH4),"")</f>
        <v/>
      </c>
      <c r="MW4" s="40" t="str">
        <f t="shared" ref="MW4:MW41" si="107">IF(SUM(MT4,MU4)&gt;0,SUM(MT4,MU4),"")</f>
        <v/>
      </c>
      <c r="MX4" s="40" t="str">
        <f t="shared" ref="MX4:MX41" si="108">IF(SUM(ML4,MP4)&gt;0,SUM(ML4,MP4),"")</f>
        <v/>
      </c>
      <c r="MY4" s="40" t="str">
        <f t="shared" ref="MY4:MY41" si="109">IF(SUM(MK4:ML4,MN4:MP4,MR4)-SUM(MM4,MQ4)&gt;0,SUM(MK4:ML4,MN4:MP4,MR4)-SUM(MM4,MQ4),"")</f>
        <v/>
      </c>
      <c r="MZ4" s="40" t="str">
        <f t="shared" ref="MZ4:MZ41" si="110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41" si="111">IF(SUM(NB4,NF4)&gt;0,SUM(NB4,NF4),"")</f>
        <v/>
      </c>
      <c r="NV4" s="11" t="str">
        <f t="shared" ref="NV4:NV41" si="112">IF(SUM(NA4:NB4,ND4:NF4,NH4)-NC4-NG4&gt;0,SUM(NA4:NB4,ND4:NF4,NH4)-NC4-NG4,"")</f>
        <v/>
      </c>
      <c r="NW4" s="11" t="str">
        <f t="shared" ref="NW4:NW41" si="113">IF(SUM(NI4:NJ4,NL4)-NK4&gt;0,SUM(NI4:NJ4,NL4)-NK4,"")</f>
        <v/>
      </c>
      <c r="NX4" s="11" t="str">
        <f t="shared" ref="NX4:NX41" si="114">IF(SUM(NB4,NF4,NJ4)&gt;0,SUM(NB4,NF4,NJ4),"")</f>
        <v/>
      </c>
      <c r="NY4" s="11" t="str">
        <f t="shared" ref="NY4:NY41" si="115">IF(SUM(NV4,NW4)&gt;0,SUM(NV4,NW4),"")</f>
        <v/>
      </c>
      <c r="NZ4" s="11" t="str">
        <f t="shared" ref="NZ4:NZ41" si="116">IF(SUM(NN4,NR4)&gt;0,SUM(NN4,NR4),"")</f>
        <v/>
      </c>
      <c r="OA4" s="11" t="str">
        <f t="shared" ref="OA4:OA41" si="117">IF(SUM(NM4:NN4,NP4:NR4,NT4)-SUM(NO4,NS4)&gt;0,SUM(NM4:NN4,NP4:NR4,NT4)-SUM(NO4,NS4),"")</f>
        <v/>
      </c>
      <c r="OB4" s="11" t="str">
        <f t="shared" ref="OB4:OB41" si="118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41" si="119">IF(SUM(OD4,OH4)&gt;0,SUM(OD4,OH4),"")</f>
        <v/>
      </c>
      <c r="OX4" s="40" t="str">
        <f t="shared" ref="OX4:OX41" si="120">IF(SUM(OC4:OD4,OF4:OH4,OJ4)-OE4-OI4&gt;0,SUM(OC4:OD4,OF4:OH4,OJ4)-OE4-OI4,"")</f>
        <v/>
      </c>
      <c r="OY4" s="40" t="str">
        <f t="shared" ref="OY4:OY41" si="121">IF(SUM(OK4:OL4,ON4)-OM4&gt;0,SUM(OK4:OL4,ON4)-OM4,"")</f>
        <v/>
      </c>
      <c r="OZ4" s="40" t="str">
        <f t="shared" ref="OZ4:OZ41" si="122">IF(SUM(OD4,OH4,OL4)&gt;0,SUM(OD4,OH4,OL4),"")</f>
        <v/>
      </c>
      <c r="PA4" s="40" t="str">
        <f t="shared" ref="PA4:PA41" si="123">IF(SUM(OX4,OY4)&gt;0,SUM(OX4,OY4),"")</f>
        <v/>
      </c>
      <c r="PB4" s="40" t="str">
        <f t="shared" ref="PB4:PB41" si="124">IF(SUM(OP4,OT4)&gt;0,SUM(OP4,OT4),"")</f>
        <v/>
      </c>
      <c r="PC4" s="40" t="str">
        <f t="shared" ref="PC4:PC41" si="125">IF(SUM(OO4:OP4,OR4:OT4,OV4)-SUM(OQ4,OU4)&gt;0,SUM(OO4:OP4,OR4:OT4,OV4)-SUM(OQ4,OU4),"")</f>
        <v/>
      </c>
      <c r="PD4" s="40" t="str">
        <f t="shared" ref="PD4:PD41" si="126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41" si="127">IF(SUM(PF4,PJ4)&gt;0,SUM(PF4,PJ4),"")</f>
        <v/>
      </c>
      <c r="PZ4" s="11" t="str">
        <f t="shared" ref="PZ4:PZ41" si="128">IF(SUM(PE4:PF4,PH4:PJ4,PL4)-PG4-PK4&gt;0,SUM(PE4:PF4,PH4:PJ4,PL4)-PG4-PK4,"")</f>
        <v/>
      </c>
      <c r="QA4" s="11" t="str">
        <f t="shared" ref="QA4:QA41" si="129">IF(SUM(PM4:PN4,PP4)-PO4&gt;0,SUM(PM4:PN4,PP4)-PO4,"")</f>
        <v/>
      </c>
      <c r="QB4" s="11" t="str">
        <f t="shared" ref="QB4:QB41" si="130">IF(SUM(PF4,PJ4,PN4)&gt;0,SUM(PF4,PJ4,PN4),"")</f>
        <v/>
      </c>
      <c r="QC4" s="11" t="str">
        <f t="shared" ref="QC4:QC41" si="131">IF(SUM(PZ4,QA4)&gt;0,SUM(PZ4,QA4),"")</f>
        <v/>
      </c>
      <c r="QD4" s="11" t="str">
        <f t="shared" ref="QD4:QD41" si="132">IF(SUM(PR4,PV4)&gt;0,SUM(PR4,PV4),"")</f>
        <v/>
      </c>
      <c r="QE4" s="11" t="str">
        <f t="shared" ref="QE4:QE41" si="133">IF(SUM(PQ4:PR4,PT4:PV4,PX4)-SUM(PS4,PW4)&gt;0,SUM(PQ4:PR4,PT4:PV4,PX4)-SUM(PS4,PW4),"")</f>
        <v/>
      </c>
      <c r="QF4" s="11" t="str">
        <f t="shared" ref="QF4:QF41" si="134">IF(SUM(PZ4,QA4,QE4)&gt;0,SUM(PZ4,QA4,QE4),"")</f>
        <v/>
      </c>
      <c r="QG4" s="22">
        <f t="shared" ref="QG4:QG41" si="135">IF($CW4="P",CC4,(CC4+AZ4)/2)</f>
        <v>18.8</v>
      </c>
      <c r="QH4" s="22">
        <f t="shared" ref="QH4:QH41" si="136">IF($CW4="P",CD4,(CD4+BA4)/2)</f>
        <v>10</v>
      </c>
      <c r="QI4" s="22">
        <f t="shared" ref="QI4:QI41" si="137">IF($CW4="P",CE4,(CE4+BB4)/2)</f>
        <v>0.7</v>
      </c>
      <c r="QJ4" s="22">
        <f t="shared" ref="QJ4:QJ41" si="138">IF($CW4="P",CF4,(CF4+BC4)/2)</f>
        <v>0.6</v>
      </c>
      <c r="QK4" s="22">
        <f t="shared" ref="QK4:QK41" si="139">IF($CW4="P",CG4,(CG4+BD4)/2)</f>
        <v>18.55</v>
      </c>
      <c r="QL4" s="22">
        <f t="shared" ref="QL4:QL41" si="140">IF($CW4="P",CH4,(CH4+BE4)/2)</f>
        <v>9.4499999999999993</v>
      </c>
      <c r="QM4" s="22">
        <f t="shared" ref="QM4:QM41" si="141">IF($CW4="P",CI4,(CI4+BF4)/2)</f>
        <v>0.2</v>
      </c>
      <c r="QN4" s="22">
        <f t="shared" ref="QN4:QN41" si="142">IF($CW4="P",CJ4,(CJ4+BG4)/2)</f>
        <v>0.3</v>
      </c>
      <c r="QO4" s="22">
        <f t="shared" ref="QO4:QO41" si="143">IF($CW4="P",CK4,(CK4+BH4)/2)</f>
        <v>18.450000000000003</v>
      </c>
      <c r="QP4" s="22">
        <f t="shared" ref="QP4:QP41" si="144">IF($CW4="P",CL4,(CL4+BI4)/2)</f>
        <v>10</v>
      </c>
      <c r="QQ4" s="22">
        <f t="shared" ref="QQ4:QQ41" si="145">IF($CW4="P",CM4,(CM4+BJ4)/2)</f>
        <v>0.7</v>
      </c>
      <c r="QR4" s="22">
        <f t="shared" ref="QR4:QR41" si="146">IF($CW4="P",CN4,(CN4+BK4)/2)</f>
        <v>0.44999999999999996</v>
      </c>
      <c r="QS4" s="22">
        <f t="shared" ref="QS4:QS41" si="147">IF($CW4="P",CO4,(CO4+BL4)/2)</f>
        <v>18.850000000000001</v>
      </c>
      <c r="QT4" s="22">
        <f t="shared" ref="QT4:QT41" si="148">IF($CW4="P",CP4,(CP4+BM4)/2)</f>
        <v>10</v>
      </c>
      <c r="QU4" s="22">
        <f t="shared" ref="QU4:QU41" si="149">IF($CW4="P",CQ4,(CQ4+BN4)/2)</f>
        <v>0.3</v>
      </c>
      <c r="QV4" s="22">
        <f t="shared" ref="QV4:QV41" si="150">IF($CW4="P",CR4,(CR4+BO4)/2)</f>
        <v>0.6</v>
      </c>
      <c r="QW4" s="22">
        <f t="shared" ref="QW4:QW41" si="151">IF($CW4="P",CS4,(CS4+BP4)/2)</f>
        <v>18.45</v>
      </c>
      <c r="QX4" s="22">
        <f t="shared" ref="QX4:QX41" si="152">IF($CW4="P",CT4,(CT4+BQ4)/2)</f>
        <v>10.8</v>
      </c>
      <c r="QY4" s="22">
        <f t="shared" ref="QY4:QY41" si="153">IF($CW4="P",CU4,(CU4+BR4)/2)</f>
        <v>0.4</v>
      </c>
      <c r="QZ4" s="22">
        <f t="shared" ref="QZ4:QZ41" si="154">IF($CW4="P",CV4,(CV4+BS4)/2)</f>
        <v>0.6</v>
      </c>
      <c r="RA4" s="27" t="s">
        <v>46</v>
      </c>
      <c r="RB4" s="40">
        <f t="shared" ref="RB4:RB41" si="155">IF(SUM(QH4,QL4)&gt;0,SUM(QH4,QL4),"")</f>
        <v>19.45</v>
      </c>
      <c r="RC4" s="40">
        <f t="shared" ref="RC4:RC41" si="156">IF(SUM(QG4:QH4,QJ4:QL4,QN4)-QI4-QM4&gt;0,SUM(QG4:QH4,QJ4:QL4,QN4)-QI4-QM4,"")</f>
        <v>56.8</v>
      </c>
      <c r="RD4" s="40">
        <f t="shared" ref="RD4:RD41" si="157">IF(SUM(QO4:QP4,QR4)-QQ4&gt;0,SUM(QO4:QP4,QR4)-QQ4,"")</f>
        <v>28.200000000000003</v>
      </c>
      <c r="RE4" s="40">
        <f t="shared" ref="RE4:RE41" si="158">IF(SUM(QH4,QL4,QP4)&gt;0,SUM(QH4,QL4,QP4),"")</f>
        <v>29.45</v>
      </c>
      <c r="RF4" s="40">
        <f t="shared" ref="RF4:RF41" si="159">IF(SUM(RC4,RD4)&gt;0,SUM(RC4,RD4),"")</f>
        <v>85</v>
      </c>
      <c r="RG4" s="40">
        <f t="shared" ref="RG4:RG41" si="160">IF(SUM(QT4,QX4)&gt;0,SUM(QT4,QX4),"")</f>
        <v>20.8</v>
      </c>
      <c r="RH4" s="40">
        <f t="shared" ref="RH4:RH41" si="161">IF(SUM(QS4:QT4,QV4:QX4,QZ4)-SUM(QU4,QY4)&gt;0,SUM(QS4:QT4,QV4:QX4,QZ4)-SUM(QU4,QY4),"")</f>
        <v>58.6</v>
      </c>
      <c r="RI4" s="40">
        <f t="shared" ref="RI4:RI41" si="162">IF(SUM(RC4,RD4,RH4)&gt;0,SUM(RC4,RD4,RH4),"")</f>
        <v>143.6</v>
      </c>
    </row>
    <row r="5" spans="1:477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65</v>
      </c>
      <c r="D5" s="4" t="s">
        <v>4</v>
      </c>
      <c r="E5" s="4">
        <v>2003</v>
      </c>
      <c r="F5" s="9">
        <f t="shared" ref="F5:F41" si="163">SUM(L5:T5)+SUM(L5:Q5)*0.0000001+SUM(L5)*0.0000000000001</f>
        <v>186.90001326000538</v>
      </c>
      <c r="G5" s="66" t="s">
        <v>46</v>
      </c>
      <c r="H5" s="3" t="str">
        <f t="shared" si="0"/>
        <v>P</v>
      </c>
      <c r="I5" s="3" t="str">
        <f t="shared" si="1"/>
        <v>P</v>
      </c>
      <c r="J5" s="36" t="str">
        <f t="shared" si="2"/>
        <v>National Team</v>
      </c>
      <c r="K5" s="3" t="str">
        <f t="shared" si="3"/>
        <v/>
      </c>
      <c r="L5" s="8">
        <f>IF(COUNT(AS5,BV5,CY5)&gt;0,LARGE((AS5,BV5,CY5),1),0)</f>
        <v>53.6</v>
      </c>
      <c r="M5" s="8" t="str">
        <f t="shared" si="4"/>
        <v>2023 Nationals</v>
      </c>
      <c r="N5" s="8">
        <f>IF(COUNT(AS5,BV5,CY5)&gt;1,LARGE((AS5,BV5,CY5),2),0)</f>
        <v>52.2</v>
      </c>
      <c r="O5" s="8" t="str">
        <f t="shared" si="5"/>
        <v>2024 Elite Canada</v>
      </c>
      <c r="P5" s="8">
        <f>IF(COUNT(AT5,BW5,CZ5)&gt;0,LARGE((AT5,BW5,CZ5),1),0)</f>
        <v>26.8</v>
      </c>
      <c r="Q5" s="8" t="str">
        <f t="shared" si="6"/>
        <v>2023 3rd Domestic Trial</v>
      </c>
      <c r="R5" s="8">
        <f t="shared" si="7"/>
        <v>52.199999999999989</v>
      </c>
      <c r="S5" s="8" t="str">
        <f t="shared" si="8"/>
        <v>2023 3rd Domestic Trial</v>
      </c>
      <c r="T5" s="8">
        <f t="shared" si="9"/>
        <v>2.0999999999999943</v>
      </c>
      <c r="U5" s="11" t="str">
        <f t="shared" si="10"/>
        <v>(Q1)</v>
      </c>
      <c r="V5" s="8" t="str">
        <f t="shared" si="11"/>
        <v>2023 World Cup POR 1 (July 2)</v>
      </c>
      <c r="W5" s="19">
        <v>18.600000000000001</v>
      </c>
      <c r="X5" s="19">
        <v>7.6</v>
      </c>
      <c r="Y5" s="19">
        <v>0.6</v>
      </c>
      <c r="Z5" s="19">
        <v>0</v>
      </c>
      <c r="AA5" s="19">
        <v>18.5</v>
      </c>
      <c r="AB5" s="19">
        <v>9.1999999999999993</v>
      </c>
      <c r="AC5" s="19">
        <v>0</v>
      </c>
      <c r="AD5" s="19">
        <v>0.3</v>
      </c>
      <c r="AE5" s="19">
        <v>18.399999999999999</v>
      </c>
      <c r="AF5" s="19">
        <v>8.4</v>
      </c>
      <c r="AG5" s="19">
        <v>0.6</v>
      </c>
      <c r="AH5" s="19">
        <v>0.3</v>
      </c>
      <c r="AI5" s="19">
        <v>18.600000000000001</v>
      </c>
      <c r="AJ5" s="19">
        <v>6.8</v>
      </c>
      <c r="AK5" s="19">
        <v>1</v>
      </c>
      <c r="AL5" s="19">
        <v>0</v>
      </c>
      <c r="AM5" s="19">
        <v>18.8</v>
      </c>
      <c r="AN5" s="19">
        <v>8</v>
      </c>
      <c r="AO5" s="19">
        <v>0.6</v>
      </c>
      <c r="AP5" s="19">
        <v>0.3</v>
      </c>
      <c r="AQ5" s="27"/>
      <c r="AR5" s="40">
        <f t="shared" si="12"/>
        <v>16.799999999999997</v>
      </c>
      <c r="AS5" s="40">
        <f t="shared" si="13"/>
        <v>53.6</v>
      </c>
      <c r="AT5" s="40">
        <f t="shared" si="14"/>
        <v>26.499999999999996</v>
      </c>
      <c r="AU5" s="40">
        <f t="shared" si="15"/>
        <v>25.199999999999996</v>
      </c>
      <c r="AV5" s="40">
        <f t="shared" si="16"/>
        <v>80.099999999999994</v>
      </c>
      <c r="AW5" s="40">
        <f t="shared" si="17"/>
        <v>14.8</v>
      </c>
      <c r="AX5" s="40">
        <f t="shared" si="18"/>
        <v>50.9</v>
      </c>
      <c r="AY5" s="40">
        <f t="shared" si="19"/>
        <v>131</v>
      </c>
      <c r="AZ5" s="18">
        <v>18.7</v>
      </c>
      <c r="BA5" s="18">
        <v>7.2</v>
      </c>
      <c r="BB5" s="18">
        <v>0.6</v>
      </c>
      <c r="BC5" s="18">
        <v>0</v>
      </c>
      <c r="BD5" s="18">
        <v>18</v>
      </c>
      <c r="BE5" s="18">
        <v>7.6</v>
      </c>
      <c r="BF5" s="18">
        <v>0</v>
      </c>
      <c r="BG5" s="18">
        <v>0</v>
      </c>
      <c r="BH5" s="18">
        <v>18.5</v>
      </c>
      <c r="BI5" s="18">
        <v>8.8000000000000007</v>
      </c>
      <c r="BJ5" s="18">
        <v>0.8</v>
      </c>
      <c r="BK5" s="18">
        <v>0.3</v>
      </c>
      <c r="BL5" s="18">
        <v>18.399999999999999</v>
      </c>
      <c r="BM5" s="18">
        <v>8.4</v>
      </c>
      <c r="BN5" s="18">
        <v>1</v>
      </c>
      <c r="BO5" s="18">
        <v>0</v>
      </c>
      <c r="BP5" s="18">
        <v>18.3</v>
      </c>
      <c r="BQ5" s="18">
        <v>8.4</v>
      </c>
      <c r="BR5" s="18">
        <v>0.6</v>
      </c>
      <c r="BS5" s="18">
        <v>0.3</v>
      </c>
      <c r="BT5" s="28"/>
      <c r="BU5" s="11">
        <f t="shared" si="20"/>
        <v>14.8</v>
      </c>
      <c r="BV5" s="11">
        <f t="shared" si="21"/>
        <v>50.9</v>
      </c>
      <c r="BW5" s="11">
        <f t="shared" si="22"/>
        <v>26.8</v>
      </c>
      <c r="BX5" s="11">
        <f t="shared" si="23"/>
        <v>23.6</v>
      </c>
      <c r="BY5" s="11">
        <f t="shared" si="24"/>
        <v>77.7</v>
      </c>
      <c r="BZ5" s="11">
        <f t="shared" si="25"/>
        <v>16.8</v>
      </c>
      <c r="CA5" s="11">
        <f t="shared" si="26"/>
        <v>52.199999999999989</v>
      </c>
      <c r="CB5" s="11">
        <f t="shared" si="27"/>
        <v>129.89999999999998</v>
      </c>
      <c r="CC5" s="19">
        <v>18.399999999999999</v>
      </c>
      <c r="CD5" s="19">
        <v>7.6</v>
      </c>
      <c r="CE5" s="19">
        <v>0</v>
      </c>
      <c r="CF5" s="19">
        <v>0</v>
      </c>
      <c r="CG5" s="19">
        <v>18.600000000000001</v>
      </c>
      <c r="CH5" s="19">
        <v>7.6</v>
      </c>
      <c r="CI5" s="19">
        <v>0</v>
      </c>
      <c r="CJ5" s="19">
        <v>0</v>
      </c>
      <c r="CK5" s="19">
        <v>17.2</v>
      </c>
      <c r="CL5" s="19">
        <v>3.2</v>
      </c>
      <c r="CM5" s="19">
        <v>0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 t="shared" si="28"/>
        <v>15.2</v>
      </c>
      <c r="CY5" s="40">
        <f t="shared" si="29"/>
        <v>52.2</v>
      </c>
      <c r="CZ5" s="40">
        <f t="shared" si="30"/>
        <v>20.399999999999999</v>
      </c>
      <c r="DA5" s="40">
        <f t="shared" si="31"/>
        <v>18.399999999999999</v>
      </c>
      <c r="DB5" s="40">
        <f t="shared" si="32"/>
        <v>72.599999999999994</v>
      </c>
      <c r="DC5" s="40" t="str">
        <f t="shared" si="33"/>
        <v/>
      </c>
      <c r="DD5" s="40" t="str">
        <f t="shared" si="34"/>
        <v/>
      </c>
      <c r="DE5" s="40">
        <f t="shared" si="35"/>
        <v>72.599999999999994</v>
      </c>
      <c r="DF5" s="50">
        <f t="shared" si="36"/>
        <v>2.0999999999999943</v>
      </c>
      <c r="DG5" s="50" t="str">
        <f t="shared" si="37"/>
        <v/>
      </c>
      <c r="DH5" s="50">
        <f t="shared" si="38"/>
        <v>1.4000000000000128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 t="shared" si="39"/>
        <v/>
      </c>
      <c r="ED5" s="40" t="str">
        <f t="shared" si="40"/>
        <v/>
      </c>
      <c r="EE5" s="40" t="str">
        <f t="shared" si="41"/>
        <v/>
      </c>
      <c r="EF5" s="40" t="str">
        <f t="shared" si="42"/>
        <v/>
      </c>
      <c r="EG5" s="40" t="str">
        <f t="shared" si="43"/>
        <v/>
      </c>
      <c r="EH5" s="40" t="str">
        <f t="shared" si="44"/>
        <v/>
      </c>
      <c r="EI5" s="40" t="str">
        <f t="shared" si="45"/>
        <v/>
      </c>
      <c r="EJ5" s="40" t="str">
        <f t="shared" si="46"/>
        <v/>
      </c>
      <c r="EK5" s="18">
        <v>17.2</v>
      </c>
      <c r="EL5" s="18">
        <v>3.2</v>
      </c>
      <c r="EM5" s="18">
        <v>0</v>
      </c>
      <c r="EN5" s="18">
        <v>0</v>
      </c>
      <c r="EO5" s="18">
        <v>18</v>
      </c>
      <c r="EP5" s="18">
        <v>3.6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 t="shared" si="47"/>
        <v>6.8000000000000007</v>
      </c>
      <c r="FF5" s="11">
        <f t="shared" si="48"/>
        <v>41.4</v>
      </c>
      <c r="FG5" s="11" t="str">
        <f t="shared" si="49"/>
        <v/>
      </c>
      <c r="FH5" s="11">
        <f t="shared" si="50"/>
        <v>6.8000000000000007</v>
      </c>
      <c r="FI5" s="11">
        <f t="shared" si="51"/>
        <v>41.4</v>
      </c>
      <c r="FJ5" s="11" t="str">
        <f t="shared" si="52"/>
        <v/>
      </c>
      <c r="FK5" s="11" t="str">
        <f t="shared" si="53"/>
        <v/>
      </c>
      <c r="FL5" s="11">
        <f t="shared" si="54"/>
        <v>41.4</v>
      </c>
      <c r="FM5" s="17">
        <v>18.899999999999999</v>
      </c>
      <c r="FN5" s="17">
        <v>8.4</v>
      </c>
      <c r="FO5" s="17">
        <v>0</v>
      </c>
      <c r="FP5" s="17">
        <v>0</v>
      </c>
      <c r="FQ5" s="17">
        <v>18.600000000000001</v>
      </c>
      <c r="FR5" s="17">
        <v>8.4</v>
      </c>
      <c r="FS5" s="17">
        <v>0</v>
      </c>
      <c r="FT5" s="17">
        <v>0</v>
      </c>
      <c r="FU5" s="17"/>
      <c r="FV5" s="17"/>
      <c r="FW5" s="17"/>
      <c r="FX5" s="17"/>
      <c r="FY5" s="17">
        <v>18.8</v>
      </c>
      <c r="FZ5" s="17">
        <v>9.1999999999999993</v>
      </c>
      <c r="GA5" s="17">
        <v>0</v>
      </c>
      <c r="GB5" s="17">
        <v>0</v>
      </c>
      <c r="GC5" s="17">
        <v>18.2</v>
      </c>
      <c r="GD5" s="17">
        <v>8</v>
      </c>
      <c r="GE5" s="17">
        <v>0.6</v>
      </c>
      <c r="GF5" s="17">
        <v>0</v>
      </c>
      <c r="GG5" s="40">
        <f t="shared" si="55"/>
        <v>16.8</v>
      </c>
      <c r="GH5" s="40">
        <f t="shared" si="56"/>
        <v>54.3</v>
      </c>
      <c r="GI5" s="40" t="str">
        <f t="shared" si="57"/>
        <v/>
      </c>
      <c r="GJ5" s="40">
        <f t="shared" si="58"/>
        <v>16.8</v>
      </c>
      <c r="GK5" s="40">
        <f t="shared" si="59"/>
        <v>54.3</v>
      </c>
      <c r="GL5" s="40">
        <f t="shared" si="60"/>
        <v>17.2</v>
      </c>
      <c r="GM5" s="40">
        <f t="shared" si="61"/>
        <v>53.6</v>
      </c>
      <c r="GN5" s="40">
        <f t="shared" si="62"/>
        <v>107.9</v>
      </c>
      <c r="GO5" s="18">
        <v>18.100000000000001</v>
      </c>
      <c r="GP5" s="18">
        <v>8</v>
      </c>
      <c r="GQ5" s="18">
        <v>0.8</v>
      </c>
      <c r="GR5" s="18">
        <v>0</v>
      </c>
      <c r="GS5" s="18">
        <v>17.899999999999999</v>
      </c>
      <c r="GT5" s="18">
        <v>8.8000000000000007</v>
      </c>
      <c r="GU5" s="18">
        <v>0.6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 t="shared" si="63"/>
        <v>16.8</v>
      </c>
      <c r="HJ5" s="11">
        <f t="shared" si="64"/>
        <v>51.4</v>
      </c>
      <c r="HK5" s="11" t="str">
        <f t="shared" si="65"/>
        <v/>
      </c>
      <c r="HL5" s="11">
        <f t="shared" si="66"/>
        <v>16.8</v>
      </c>
      <c r="HM5" s="11">
        <f t="shared" si="67"/>
        <v>51.4</v>
      </c>
      <c r="HN5" s="11" t="str">
        <f t="shared" si="68"/>
        <v/>
      </c>
      <c r="HO5" s="11" t="str">
        <f t="shared" si="69"/>
        <v/>
      </c>
      <c r="HP5" s="11">
        <f t="shared" si="70"/>
        <v>51.4</v>
      </c>
      <c r="HQ5" s="17">
        <v>18.399999999999999</v>
      </c>
      <c r="HR5" s="17">
        <v>8.8000000000000007</v>
      </c>
      <c r="HS5" s="17">
        <v>0</v>
      </c>
      <c r="HT5" s="17">
        <v>0</v>
      </c>
      <c r="HU5" s="17">
        <v>18.100000000000001</v>
      </c>
      <c r="HV5" s="17">
        <v>7.2</v>
      </c>
      <c r="HW5" s="17">
        <v>0.6</v>
      </c>
      <c r="HX5" s="17">
        <v>0</v>
      </c>
      <c r="HY5" s="17"/>
      <c r="HZ5" s="17"/>
      <c r="IA5" s="17"/>
      <c r="IB5" s="17"/>
      <c r="IC5" s="17">
        <v>18.600000000000001</v>
      </c>
      <c r="ID5" s="17">
        <v>9.1999999999999993</v>
      </c>
      <c r="IE5" s="17">
        <v>0.6</v>
      </c>
      <c r="IF5" s="17">
        <v>0</v>
      </c>
      <c r="IG5" s="17">
        <v>18.399999999999999</v>
      </c>
      <c r="IH5" s="17">
        <v>8.4</v>
      </c>
      <c r="II5" s="17">
        <v>0.6</v>
      </c>
      <c r="IJ5" s="17">
        <v>0</v>
      </c>
      <c r="IK5" s="40">
        <f t="shared" si="71"/>
        <v>16</v>
      </c>
      <c r="IL5" s="40">
        <f t="shared" si="72"/>
        <v>51.9</v>
      </c>
      <c r="IM5" s="40" t="str">
        <f t="shared" si="73"/>
        <v/>
      </c>
      <c r="IN5" s="40">
        <f t="shared" si="74"/>
        <v>16</v>
      </c>
      <c r="IO5" s="40">
        <f t="shared" si="75"/>
        <v>51.9</v>
      </c>
      <c r="IP5" s="40">
        <f t="shared" si="76"/>
        <v>17.600000000000001</v>
      </c>
      <c r="IQ5" s="40">
        <f t="shared" si="77"/>
        <v>53.4</v>
      </c>
      <c r="IR5" s="40">
        <f t="shared" si="78"/>
        <v>105.3</v>
      </c>
      <c r="IS5" s="18">
        <v>18.100000000000001</v>
      </c>
      <c r="IT5" s="18">
        <v>9.1999999999999993</v>
      </c>
      <c r="IU5" s="18">
        <v>0.6</v>
      </c>
      <c r="IV5" s="18">
        <v>0</v>
      </c>
      <c r="IW5" s="18">
        <v>18.600000000000001</v>
      </c>
      <c r="IX5" s="18">
        <v>8.4</v>
      </c>
      <c r="IY5" s="18">
        <v>0</v>
      </c>
      <c r="IZ5" s="18">
        <v>0</v>
      </c>
      <c r="JA5" s="18">
        <v>18.8</v>
      </c>
      <c r="JB5" s="18">
        <v>7.6</v>
      </c>
      <c r="JC5" s="18">
        <v>0</v>
      </c>
      <c r="JD5" s="18">
        <v>0</v>
      </c>
      <c r="JE5" s="18">
        <v>18.399999999999999</v>
      </c>
      <c r="JF5" s="18">
        <v>7.6</v>
      </c>
      <c r="JG5" s="18">
        <v>0</v>
      </c>
      <c r="JH5" s="18">
        <v>0</v>
      </c>
      <c r="JI5" s="18"/>
      <c r="JJ5" s="18"/>
      <c r="JK5" s="18"/>
      <c r="JL5" s="18"/>
      <c r="JM5" s="11">
        <f t="shared" si="79"/>
        <v>17.600000000000001</v>
      </c>
      <c r="JN5" s="11">
        <f t="shared" si="80"/>
        <v>53.7</v>
      </c>
      <c r="JO5" s="11">
        <f t="shared" si="81"/>
        <v>26.4</v>
      </c>
      <c r="JP5" s="11">
        <f t="shared" si="82"/>
        <v>25.200000000000003</v>
      </c>
      <c r="JQ5" s="11">
        <f t="shared" si="83"/>
        <v>80.099999999999994</v>
      </c>
      <c r="JR5" s="11">
        <f t="shared" si="84"/>
        <v>7.6</v>
      </c>
      <c r="JS5" s="11">
        <f t="shared" si="85"/>
        <v>26</v>
      </c>
      <c r="JT5" s="11">
        <f t="shared" si="86"/>
        <v>106.1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7"/>
        <v/>
      </c>
      <c r="KP5" s="40" t="str">
        <f t="shared" si="88"/>
        <v/>
      </c>
      <c r="KQ5" s="40" t="str">
        <f t="shared" si="89"/>
        <v/>
      </c>
      <c r="KR5" s="40" t="str">
        <f t="shared" si="90"/>
        <v/>
      </c>
      <c r="KS5" s="40" t="str">
        <f t="shared" si="91"/>
        <v/>
      </c>
      <c r="KT5" s="40" t="str">
        <f t="shared" si="92"/>
        <v/>
      </c>
      <c r="KU5" s="40" t="str">
        <f t="shared" si="93"/>
        <v/>
      </c>
      <c r="KV5" s="40" t="str">
        <f t="shared" si="94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5"/>
        <v/>
      </c>
      <c r="LR5" s="11" t="str">
        <f t="shared" si="96"/>
        <v/>
      </c>
      <c r="LS5" s="11" t="str">
        <f t="shared" si="97"/>
        <v/>
      </c>
      <c r="LT5" s="11" t="str">
        <f t="shared" si="98"/>
        <v/>
      </c>
      <c r="LU5" s="11" t="str">
        <f t="shared" si="99"/>
        <v/>
      </c>
      <c r="LV5" s="11" t="str">
        <f t="shared" si="100"/>
        <v/>
      </c>
      <c r="LW5" s="11" t="str">
        <f t="shared" si="101"/>
        <v/>
      </c>
      <c r="LX5" s="11" t="str">
        <f t="shared" si="102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3"/>
        <v/>
      </c>
      <c r="MT5" s="40" t="str">
        <f t="shared" si="104"/>
        <v/>
      </c>
      <c r="MU5" s="40" t="str">
        <f t="shared" si="105"/>
        <v/>
      </c>
      <c r="MV5" s="40" t="str">
        <f t="shared" si="106"/>
        <v/>
      </c>
      <c r="MW5" s="40" t="str">
        <f t="shared" si="107"/>
        <v/>
      </c>
      <c r="MX5" s="40" t="str">
        <f t="shared" si="108"/>
        <v/>
      </c>
      <c r="MY5" s="40" t="str">
        <f t="shared" si="109"/>
        <v/>
      </c>
      <c r="MZ5" s="40" t="str">
        <f t="shared" si="110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1"/>
        <v/>
      </c>
      <c r="NV5" s="11" t="str">
        <f t="shared" si="112"/>
        <v/>
      </c>
      <c r="NW5" s="11" t="str">
        <f t="shared" si="113"/>
        <v/>
      </c>
      <c r="NX5" s="11" t="str">
        <f t="shared" si="114"/>
        <v/>
      </c>
      <c r="NY5" s="11" t="str">
        <f t="shared" si="115"/>
        <v/>
      </c>
      <c r="NZ5" s="11" t="str">
        <f t="shared" si="116"/>
        <v/>
      </c>
      <c r="OA5" s="11" t="str">
        <f t="shared" si="117"/>
        <v/>
      </c>
      <c r="OB5" s="11" t="str">
        <f t="shared" si="118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19"/>
        <v/>
      </c>
      <c r="OX5" s="40" t="str">
        <f t="shared" si="120"/>
        <v/>
      </c>
      <c r="OY5" s="40" t="str">
        <f t="shared" si="121"/>
        <v/>
      </c>
      <c r="OZ5" s="40" t="str">
        <f t="shared" si="122"/>
        <v/>
      </c>
      <c r="PA5" s="40" t="str">
        <f t="shared" si="123"/>
        <v/>
      </c>
      <c r="PB5" s="40" t="str">
        <f t="shared" si="124"/>
        <v/>
      </c>
      <c r="PC5" s="40" t="str">
        <f t="shared" si="125"/>
        <v/>
      </c>
      <c r="PD5" s="40" t="str">
        <f t="shared" si="126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11" t="str">
        <f t="shared" si="132"/>
        <v/>
      </c>
      <c r="QE5" s="11" t="str">
        <f t="shared" si="133"/>
        <v/>
      </c>
      <c r="QF5" s="11" t="str">
        <f t="shared" si="134"/>
        <v/>
      </c>
      <c r="QG5" s="22">
        <f t="shared" si="135"/>
        <v>18.549999999999997</v>
      </c>
      <c r="QH5" s="22">
        <f t="shared" si="136"/>
        <v>7.4</v>
      </c>
      <c r="QI5" s="22">
        <f t="shared" si="137"/>
        <v>0.3</v>
      </c>
      <c r="QJ5" s="22">
        <f t="shared" si="138"/>
        <v>0</v>
      </c>
      <c r="QK5" s="22">
        <f t="shared" si="139"/>
        <v>18.3</v>
      </c>
      <c r="QL5" s="22">
        <f t="shared" si="140"/>
        <v>7.6</v>
      </c>
      <c r="QM5" s="22">
        <f t="shared" si="141"/>
        <v>0</v>
      </c>
      <c r="QN5" s="22">
        <f t="shared" si="142"/>
        <v>0</v>
      </c>
      <c r="QO5" s="22">
        <f t="shared" si="143"/>
        <v>17.850000000000001</v>
      </c>
      <c r="QP5" s="22">
        <f t="shared" si="144"/>
        <v>6</v>
      </c>
      <c r="QQ5" s="22">
        <f t="shared" si="145"/>
        <v>0.4</v>
      </c>
      <c r="QR5" s="22">
        <f t="shared" si="146"/>
        <v>0.15</v>
      </c>
      <c r="QS5" s="22">
        <f t="shared" si="147"/>
        <v>9.1999999999999993</v>
      </c>
      <c r="QT5" s="22">
        <f t="shared" si="148"/>
        <v>4.2</v>
      </c>
      <c r="QU5" s="22">
        <f t="shared" si="149"/>
        <v>0.5</v>
      </c>
      <c r="QV5" s="22">
        <f t="shared" si="150"/>
        <v>0</v>
      </c>
      <c r="QW5" s="22">
        <f t="shared" si="151"/>
        <v>9.15</v>
      </c>
      <c r="QX5" s="22">
        <f t="shared" si="152"/>
        <v>4.2</v>
      </c>
      <c r="QY5" s="22">
        <f t="shared" si="153"/>
        <v>0.3</v>
      </c>
      <c r="QZ5" s="22">
        <f t="shared" si="154"/>
        <v>0.15</v>
      </c>
      <c r="RA5" s="27" t="s">
        <v>46</v>
      </c>
      <c r="RB5" s="40">
        <f t="shared" si="155"/>
        <v>15</v>
      </c>
      <c r="RC5" s="40">
        <f t="shared" si="156"/>
        <v>51.550000000000004</v>
      </c>
      <c r="RD5" s="40">
        <f t="shared" si="157"/>
        <v>23.6</v>
      </c>
      <c r="RE5" s="40">
        <f t="shared" si="158"/>
        <v>21</v>
      </c>
      <c r="RF5" s="40">
        <f t="shared" si="159"/>
        <v>75.150000000000006</v>
      </c>
      <c r="RG5" s="40">
        <f t="shared" si="160"/>
        <v>8.4</v>
      </c>
      <c r="RH5" s="40">
        <f t="shared" si="161"/>
        <v>26.099999999999994</v>
      </c>
      <c r="RI5" s="40">
        <f t="shared" si="162"/>
        <v>101.25</v>
      </c>
    </row>
    <row r="6" spans="1:477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61</v>
      </c>
      <c r="D6" s="4" t="s">
        <v>3</v>
      </c>
      <c r="E6" s="4">
        <v>2003</v>
      </c>
      <c r="F6" s="9">
        <f t="shared" si="163"/>
        <v>186.80001301500516</v>
      </c>
      <c r="G6" s="66" t="s">
        <v>46</v>
      </c>
      <c r="H6" s="3" t="str">
        <f t="shared" si="0"/>
        <v>P</v>
      </c>
      <c r="I6" s="3" t="str">
        <f t="shared" si="1"/>
        <v>P</v>
      </c>
      <c r="J6" s="36" t="str">
        <f t="shared" si="2"/>
        <v>National Team</v>
      </c>
      <c r="K6" s="3" t="str">
        <f t="shared" si="3"/>
        <v/>
      </c>
      <c r="L6" s="8">
        <f>IF(COUNT(AS6,BV6,CY6)&gt;0,LARGE((AS6,BV6,CY6),1),0)</f>
        <v>51.5</v>
      </c>
      <c r="M6" s="8" t="str">
        <f t="shared" si="4"/>
        <v>2023 3rd Domestic Trial</v>
      </c>
      <c r="N6" s="8">
        <f>IF(COUNT(AS6,BV6,CY6)&gt;1,LARGE((AS6,BV6,CY6),2),0)</f>
        <v>51.35</v>
      </c>
      <c r="O6" s="8" t="str">
        <f t="shared" si="5"/>
        <v>2024 Elite Canada</v>
      </c>
      <c r="P6" s="8">
        <f>IF(COUNT(AT6,BW6,CZ6)&gt;0,LARGE((AT6,BW6,CZ6),1),0)</f>
        <v>27.3</v>
      </c>
      <c r="Q6" s="8" t="str">
        <f t="shared" si="6"/>
        <v>2023 3rd Domestic Trial</v>
      </c>
      <c r="R6" s="8">
        <f t="shared" si="7"/>
        <v>52.600000000000009</v>
      </c>
      <c r="S6" s="8" t="str">
        <f t="shared" si="8"/>
        <v>2023 3rd Domestic Trial</v>
      </c>
      <c r="T6" s="8">
        <f t="shared" si="9"/>
        <v>4.0500000000000043</v>
      </c>
      <c r="U6" s="11" t="str">
        <f t="shared" si="10"/>
        <v>(Q1)</v>
      </c>
      <c r="V6" s="8" t="str">
        <f t="shared" si="11"/>
        <v>2023 World Cup POR 2 (July 8)</v>
      </c>
      <c r="W6" s="19">
        <v>19.2</v>
      </c>
      <c r="X6" s="19">
        <v>9.1999999999999993</v>
      </c>
      <c r="Y6" s="19">
        <v>0.2</v>
      </c>
      <c r="Z6" s="19">
        <v>0.3</v>
      </c>
      <c r="AA6" s="19">
        <v>17.600000000000001</v>
      </c>
      <c r="AB6" s="19">
        <v>4.8</v>
      </c>
      <c r="AC6" s="19">
        <v>0</v>
      </c>
      <c r="AD6" s="19">
        <v>0.3</v>
      </c>
      <c r="AE6" s="19">
        <v>17.600000000000001</v>
      </c>
      <c r="AF6" s="19">
        <v>3.6</v>
      </c>
      <c r="AG6" s="19">
        <v>0</v>
      </c>
      <c r="AH6" s="19">
        <v>0</v>
      </c>
      <c r="AI6" s="19"/>
      <c r="AJ6" s="19"/>
      <c r="AK6" s="19"/>
      <c r="AL6" s="19"/>
      <c r="AM6" s="19"/>
      <c r="AN6" s="19"/>
      <c r="AO6" s="19"/>
      <c r="AP6" s="19"/>
      <c r="AQ6" s="27"/>
      <c r="AR6" s="40">
        <f t="shared" si="12"/>
        <v>14</v>
      </c>
      <c r="AS6" s="40">
        <f t="shared" si="13"/>
        <v>51.199999999999989</v>
      </c>
      <c r="AT6" s="40">
        <f t="shared" si="14"/>
        <v>21.200000000000003</v>
      </c>
      <c r="AU6" s="40">
        <f t="shared" si="15"/>
        <v>17.600000000000001</v>
      </c>
      <c r="AV6" s="40">
        <f t="shared" si="16"/>
        <v>72.399999999999991</v>
      </c>
      <c r="AW6" s="40" t="str">
        <f t="shared" si="17"/>
        <v/>
      </c>
      <c r="AX6" s="40" t="str">
        <f t="shared" si="18"/>
        <v/>
      </c>
      <c r="AY6" s="40">
        <f t="shared" si="19"/>
        <v>72.399999999999991</v>
      </c>
      <c r="AZ6" s="18">
        <v>17.100000000000001</v>
      </c>
      <c r="BA6" s="18">
        <v>8</v>
      </c>
      <c r="BB6" s="18">
        <v>1</v>
      </c>
      <c r="BC6" s="18">
        <v>0.3</v>
      </c>
      <c r="BD6" s="18">
        <v>19.100000000000001</v>
      </c>
      <c r="BE6" s="18">
        <v>8.4</v>
      </c>
      <c r="BF6" s="18">
        <v>0.4</v>
      </c>
      <c r="BG6" s="18">
        <v>0</v>
      </c>
      <c r="BH6" s="18">
        <v>19</v>
      </c>
      <c r="BI6" s="18">
        <v>8.4</v>
      </c>
      <c r="BJ6" s="18">
        <v>0.4</v>
      </c>
      <c r="BK6" s="18">
        <v>0.3</v>
      </c>
      <c r="BL6" s="18">
        <v>19.100000000000001</v>
      </c>
      <c r="BM6" s="18">
        <v>8</v>
      </c>
      <c r="BN6" s="18">
        <v>0.6</v>
      </c>
      <c r="BO6" s="18">
        <v>0.3</v>
      </c>
      <c r="BP6" s="18">
        <v>19</v>
      </c>
      <c r="BQ6" s="18">
        <v>7.6</v>
      </c>
      <c r="BR6" s="18">
        <v>0.8</v>
      </c>
      <c r="BS6" s="18">
        <v>0</v>
      </c>
      <c r="BT6" s="28"/>
      <c r="BU6" s="11">
        <f t="shared" si="20"/>
        <v>16.399999999999999</v>
      </c>
      <c r="BV6" s="11">
        <f t="shared" si="21"/>
        <v>51.5</v>
      </c>
      <c r="BW6" s="11">
        <f t="shared" si="22"/>
        <v>27.3</v>
      </c>
      <c r="BX6" s="11">
        <f t="shared" si="23"/>
        <v>24.799999999999997</v>
      </c>
      <c r="BY6" s="11">
        <f t="shared" si="24"/>
        <v>78.8</v>
      </c>
      <c r="BZ6" s="11">
        <f t="shared" si="25"/>
        <v>15.6</v>
      </c>
      <c r="CA6" s="11">
        <f t="shared" si="26"/>
        <v>52.600000000000009</v>
      </c>
      <c r="CB6" s="11">
        <f t="shared" si="27"/>
        <v>131.4</v>
      </c>
      <c r="CC6" s="19">
        <v>18.149999999999999</v>
      </c>
      <c r="CD6" s="19">
        <v>8.6</v>
      </c>
      <c r="CE6" s="19">
        <v>0.6</v>
      </c>
      <c r="CF6" s="19">
        <v>0.3</v>
      </c>
      <c r="CG6" s="19">
        <v>18.350000000000001</v>
      </c>
      <c r="CH6" s="19">
        <v>6.6</v>
      </c>
      <c r="CI6" s="19">
        <v>0.2</v>
      </c>
      <c r="CJ6" s="19">
        <v>0.15</v>
      </c>
      <c r="CK6" s="19">
        <v>18.3</v>
      </c>
      <c r="CL6" s="19">
        <v>6</v>
      </c>
      <c r="CM6" s="19">
        <v>0.2</v>
      </c>
      <c r="CN6" s="19">
        <v>0.15</v>
      </c>
      <c r="CO6" s="19">
        <v>9.5500000000000007</v>
      </c>
      <c r="CP6" s="19">
        <v>4</v>
      </c>
      <c r="CQ6" s="19">
        <v>0.3</v>
      </c>
      <c r="CR6" s="19">
        <v>0.15</v>
      </c>
      <c r="CS6" s="19">
        <v>9.5</v>
      </c>
      <c r="CT6" s="19">
        <v>3.8</v>
      </c>
      <c r="CU6" s="19">
        <v>0.4</v>
      </c>
      <c r="CV6" s="19">
        <v>0</v>
      </c>
      <c r="CW6" s="27" t="s">
        <v>46</v>
      </c>
      <c r="CX6" s="40">
        <f t="shared" si="28"/>
        <v>15.2</v>
      </c>
      <c r="CY6" s="40">
        <f t="shared" si="29"/>
        <v>51.35</v>
      </c>
      <c r="CZ6" s="40">
        <f t="shared" si="30"/>
        <v>24.25</v>
      </c>
      <c r="DA6" s="40">
        <f t="shared" si="31"/>
        <v>21.2</v>
      </c>
      <c r="DB6" s="40">
        <f t="shared" si="32"/>
        <v>75.599999999999994</v>
      </c>
      <c r="DC6" s="40">
        <f t="shared" si="33"/>
        <v>7.8</v>
      </c>
      <c r="DD6" s="40">
        <f t="shared" si="34"/>
        <v>26.300000000000004</v>
      </c>
      <c r="DE6" s="40">
        <f t="shared" si="35"/>
        <v>101.9</v>
      </c>
      <c r="DF6" s="50">
        <f t="shared" si="36"/>
        <v>4.0500000000000043</v>
      </c>
      <c r="DG6" s="50" t="str">
        <f t="shared" si="37"/>
        <v/>
      </c>
      <c r="DH6" s="50" t="str">
        <f t="shared" si="38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39"/>
        <v/>
      </c>
      <c r="ED6" s="40" t="str">
        <f t="shared" si="40"/>
        <v/>
      </c>
      <c r="EE6" s="40" t="str">
        <f t="shared" si="41"/>
        <v/>
      </c>
      <c r="EF6" s="40" t="str">
        <f t="shared" si="42"/>
        <v/>
      </c>
      <c r="EG6" s="40" t="str">
        <f t="shared" si="43"/>
        <v/>
      </c>
      <c r="EH6" s="40" t="str">
        <f t="shared" si="44"/>
        <v/>
      </c>
      <c r="EI6" s="40" t="str">
        <f t="shared" si="45"/>
        <v/>
      </c>
      <c r="EJ6" s="40" t="str">
        <f t="shared" si="46"/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 t="shared" si="47"/>
        <v/>
      </c>
      <c r="FF6" s="11" t="str">
        <f t="shared" si="48"/>
        <v/>
      </c>
      <c r="FG6" s="11" t="str">
        <f t="shared" si="49"/>
        <v/>
      </c>
      <c r="FH6" s="11" t="str">
        <f t="shared" si="50"/>
        <v/>
      </c>
      <c r="FI6" s="11" t="str">
        <f t="shared" si="51"/>
        <v/>
      </c>
      <c r="FJ6" s="11" t="str">
        <f t="shared" si="52"/>
        <v/>
      </c>
      <c r="FK6" s="11" t="str">
        <f t="shared" si="53"/>
        <v/>
      </c>
      <c r="FL6" s="11" t="str">
        <f t="shared" si="54"/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5"/>
        <v/>
      </c>
      <c r="GH6" s="40" t="str">
        <f t="shared" si="56"/>
        <v/>
      </c>
      <c r="GI6" s="40" t="str">
        <f t="shared" si="57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2"/>
        <v/>
      </c>
      <c r="GO6" s="18">
        <v>18.600000000000001</v>
      </c>
      <c r="GP6" s="18">
        <v>9.1999999999999993</v>
      </c>
      <c r="GQ6" s="18">
        <v>0.2</v>
      </c>
      <c r="GR6" s="18">
        <v>0</v>
      </c>
      <c r="GS6" s="18">
        <v>18.600000000000001</v>
      </c>
      <c r="GT6" s="18">
        <v>9.1999999999999993</v>
      </c>
      <c r="GU6" s="18">
        <v>0</v>
      </c>
      <c r="GV6" s="18">
        <v>0</v>
      </c>
      <c r="GW6" s="18"/>
      <c r="GX6" s="18"/>
      <c r="GY6" s="18"/>
      <c r="GZ6" s="18"/>
      <c r="HA6" s="18">
        <v>18.399999999999999</v>
      </c>
      <c r="HB6" s="18">
        <v>10</v>
      </c>
      <c r="HC6" s="18">
        <v>0.6</v>
      </c>
      <c r="HD6" s="18">
        <v>0</v>
      </c>
      <c r="HE6" s="18"/>
      <c r="HF6" s="18"/>
      <c r="HG6" s="18"/>
      <c r="HH6" s="18"/>
      <c r="HI6" s="11">
        <f t="shared" si="63"/>
        <v>18.399999999999999</v>
      </c>
      <c r="HJ6" s="11">
        <f t="shared" si="64"/>
        <v>55.400000000000006</v>
      </c>
      <c r="HK6" s="11" t="str">
        <f t="shared" si="65"/>
        <v/>
      </c>
      <c r="HL6" s="11">
        <f t="shared" si="66"/>
        <v>18.399999999999999</v>
      </c>
      <c r="HM6" s="11">
        <f t="shared" si="67"/>
        <v>55.400000000000006</v>
      </c>
      <c r="HN6" s="11">
        <f t="shared" si="68"/>
        <v>10</v>
      </c>
      <c r="HO6" s="11">
        <f t="shared" si="69"/>
        <v>27.799999999999997</v>
      </c>
      <c r="HP6" s="11">
        <f t="shared" si="70"/>
        <v>83.2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1"/>
        <v/>
      </c>
      <c r="IL6" s="40" t="str">
        <f t="shared" si="72"/>
        <v/>
      </c>
      <c r="IM6" s="40" t="str">
        <f t="shared" si="73"/>
        <v/>
      </c>
      <c r="IN6" s="40" t="str">
        <f t="shared" si="74"/>
        <v/>
      </c>
      <c r="IO6" s="40" t="str">
        <f t="shared" si="75"/>
        <v/>
      </c>
      <c r="IP6" s="40" t="str">
        <f t="shared" si="76"/>
        <v/>
      </c>
      <c r="IQ6" s="40" t="str">
        <f t="shared" si="77"/>
        <v/>
      </c>
      <c r="IR6" s="40" t="str">
        <f t="shared" si="78"/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1" t="str">
        <f t="shared" si="84"/>
        <v/>
      </c>
      <c r="JS6" s="11" t="str">
        <f t="shared" si="85"/>
        <v/>
      </c>
      <c r="JT6" s="11" t="str">
        <f t="shared" si="86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7"/>
        <v/>
      </c>
      <c r="KP6" s="40" t="str">
        <f t="shared" si="88"/>
        <v/>
      </c>
      <c r="KQ6" s="40" t="str">
        <f t="shared" si="89"/>
        <v/>
      </c>
      <c r="KR6" s="40" t="str">
        <f t="shared" si="90"/>
        <v/>
      </c>
      <c r="KS6" s="40" t="str">
        <f t="shared" si="91"/>
        <v/>
      </c>
      <c r="KT6" s="40" t="str">
        <f t="shared" si="92"/>
        <v/>
      </c>
      <c r="KU6" s="40" t="str">
        <f t="shared" si="93"/>
        <v/>
      </c>
      <c r="KV6" s="40" t="str">
        <f t="shared" si="94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5"/>
        <v/>
      </c>
      <c r="LR6" s="11" t="str">
        <f t="shared" si="96"/>
        <v/>
      </c>
      <c r="LS6" s="11" t="str">
        <f t="shared" si="97"/>
        <v/>
      </c>
      <c r="LT6" s="11" t="str">
        <f t="shared" si="98"/>
        <v/>
      </c>
      <c r="LU6" s="11" t="str">
        <f t="shared" si="99"/>
        <v/>
      </c>
      <c r="LV6" s="11" t="str">
        <f t="shared" si="100"/>
        <v/>
      </c>
      <c r="LW6" s="11" t="str">
        <f t="shared" si="101"/>
        <v/>
      </c>
      <c r="LX6" s="11" t="str">
        <f t="shared" si="102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3"/>
        <v/>
      </c>
      <c r="MT6" s="40" t="str">
        <f t="shared" si="104"/>
        <v/>
      </c>
      <c r="MU6" s="40" t="str">
        <f t="shared" si="105"/>
        <v/>
      </c>
      <c r="MV6" s="40" t="str">
        <f t="shared" si="106"/>
        <v/>
      </c>
      <c r="MW6" s="40" t="str">
        <f t="shared" si="107"/>
        <v/>
      </c>
      <c r="MX6" s="40" t="str">
        <f t="shared" si="108"/>
        <v/>
      </c>
      <c r="MY6" s="40" t="str">
        <f t="shared" si="109"/>
        <v/>
      </c>
      <c r="MZ6" s="40" t="str">
        <f t="shared" si="110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1" t="str">
        <f t="shared" si="116"/>
        <v/>
      </c>
      <c r="OA6" s="11" t="str">
        <f t="shared" si="117"/>
        <v/>
      </c>
      <c r="OB6" s="11" t="str">
        <f t="shared" si="118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19"/>
        <v/>
      </c>
      <c r="OX6" s="40" t="str">
        <f t="shared" si="120"/>
        <v/>
      </c>
      <c r="OY6" s="40" t="str">
        <f t="shared" si="121"/>
        <v/>
      </c>
      <c r="OZ6" s="40" t="str">
        <f t="shared" si="122"/>
        <v/>
      </c>
      <c r="PA6" s="40" t="str">
        <f t="shared" si="123"/>
        <v/>
      </c>
      <c r="PB6" s="40" t="str">
        <f t="shared" si="124"/>
        <v/>
      </c>
      <c r="PC6" s="40" t="str">
        <f t="shared" si="125"/>
        <v/>
      </c>
      <c r="PD6" s="40" t="str">
        <f t="shared" si="126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11" t="str">
        <f t="shared" si="132"/>
        <v/>
      </c>
      <c r="QE6" s="11" t="str">
        <f t="shared" si="133"/>
        <v/>
      </c>
      <c r="QF6" s="11" t="str">
        <f t="shared" si="134"/>
        <v/>
      </c>
      <c r="QG6" s="22">
        <f t="shared" si="135"/>
        <v>18.149999999999999</v>
      </c>
      <c r="QH6" s="22">
        <f t="shared" si="136"/>
        <v>8.6</v>
      </c>
      <c r="QI6" s="22">
        <f t="shared" si="137"/>
        <v>0.6</v>
      </c>
      <c r="QJ6" s="22">
        <f t="shared" si="138"/>
        <v>0.3</v>
      </c>
      <c r="QK6" s="22">
        <f t="shared" si="139"/>
        <v>18.350000000000001</v>
      </c>
      <c r="QL6" s="22">
        <f t="shared" si="140"/>
        <v>6.6</v>
      </c>
      <c r="QM6" s="22">
        <f t="shared" si="141"/>
        <v>0.2</v>
      </c>
      <c r="QN6" s="22">
        <f t="shared" si="142"/>
        <v>0.15</v>
      </c>
      <c r="QO6" s="22">
        <f t="shared" si="143"/>
        <v>18.3</v>
      </c>
      <c r="QP6" s="22">
        <f t="shared" si="144"/>
        <v>6</v>
      </c>
      <c r="QQ6" s="22">
        <f t="shared" si="145"/>
        <v>0.2</v>
      </c>
      <c r="QR6" s="22">
        <f t="shared" si="146"/>
        <v>0.15</v>
      </c>
      <c r="QS6" s="22">
        <f t="shared" si="147"/>
        <v>9.5500000000000007</v>
      </c>
      <c r="QT6" s="22">
        <f t="shared" si="148"/>
        <v>4</v>
      </c>
      <c r="QU6" s="22">
        <f t="shared" si="149"/>
        <v>0.3</v>
      </c>
      <c r="QV6" s="22">
        <f t="shared" si="150"/>
        <v>0.15</v>
      </c>
      <c r="QW6" s="22">
        <f t="shared" si="151"/>
        <v>9.5</v>
      </c>
      <c r="QX6" s="22">
        <f t="shared" si="152"/>
        <v>3.8</v>
      </c>
      <c r="QY6" s="22">
        <f t="shared" si="153"/>
        <v>0.4</v>
      </c>
      <c r="QZ6" s="22">
        <f t="shared" si="154"/>
        <v>0</v>
      </c>
      <c r="RA6" s="27" t="s">
        <v>46</v>
      </c>
      <c r="RB6" s="40">
        <f t="shared" si="155"/>
        <v>15.2</v>
      </c>
      <c r="RC6" s="40">
        <f t="shared" si="156"/>
        <v>51.35</v>
      </c>
      <c r="RD6" s="40">
        <f t="shared" si="157"/>
        <v>24.25</v>
      </c>
      <c r="RE6" s="40">
        <f t="shared" si="158"/>
        <v>21.2</v>
      </c>
      <c r="RF6" s="40">
        <f t="shared" si="159"/>
        <v>75.599999999999994</v>
      </c>
      <c r="RG6" s="40">
        <f t="shared" si="160"/>
        <v>7.8</v>
      </c>
      <c r="RH6" s="40">
        <f t="shared" si="161"/>
        <v>26.300000000000004</v>
      </c>
      <c r="RI6" s="40">
        <f t="shared" si="162"/>
        <v>101.9</v>
      </c>
    </row>
    <row r="7" spans="1:477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t="str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/>
      </c>
      <c r="C7" s="5" t="s">
        <v>97</v>
      </c>
      <c r="D7" s="4" t="s">
        <v>4</v>
      </c>
      <c r="E7" s="4">
        <v>2004</v>
      </c>
      <c r="F7" s="9">
        <f t="shared" si="163"/>
        <v>186.40001257000512</v>
      </c>
      <c r="G7" s="66" t="s">
        <v>46</v>
      </c>
      <c r="H7" s="3" t="str">
        <f t="shared" si="0"/>
        <v>P</v>
      </c>
      <c r="I7" s="3" t="str">
        <f t="shared" si="1"/>
        <v>P</v>
      </c>
      <c r="J7" s="36" t="str">
        <f t="shared" si="2"/>
        <v>National Team</v>
      </c>
      <c r="K7" s="3" t="str">
        <f t="shared" si="3"/>
        <v/>
      </c>
      <c r="L7" s="8">
        <f>IF(COUNT(AS7,BV7,CY7)&gt;0,LARGE((AS7,BV7,CY7),1),0)</f>
        <v>51.4</v>
      </c>
      <c r="M7" s="8" t="str">
        <f t="shared" si="4"/>
        <v>2023 3rd Domestic Trial</v>
      </c>
      <c r="N7" s="8">
        <f>IF(COUNT(AS7,BV7,CY7)&gt;1,LARGE((AS7,BV7,CY7),2),0)</f>
        <v>45.999999999999993</v>
      </c>
      <c r="O7" s="8" t="str">
        <f t="shared" si="5"/>
        <v>2024 Elite Canada</v>
      </c>
      <c r="P7" s="8">
        <f>IF(COUNT(AT7,BW7,CZ7)&gt;0,LARGE((AT7,BW7,CZ7),1),0)</f>
        <v>28.3</v>
      </c>
      <c r="Q7" s="8" t="str">
        <f t="shared" si="6"/>
        <v>2024 Elite Canada</v>
      </c>
      <c r="R7" s="8">
        <f t="shared" si="7"/>
        <v>54.29999999999999</v>
      </c>
      <c r="S7" s="8" t="str">
        <f t="shared" si="8"/>
        <v>2023 3rd Domestic Trial</v>
      </c>
      <c r="T7" s="8">
        <f t="shared" si="9"/>
        <v>6.3999999999999986</v>
      </c>
      <c r="U7" s="11" t="str">
        <f t="shared" si="10"/>
        <v>(Q1)</v>
      </c>
      <c r="V7" s="8" t="str">
        <f t="shared" si="11"/>
        <v>2023 World Cup USA (Aug 5)</v>
      </c>
      <c r="W7" s="19">
        <v>17.2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>
        <v>18.600000000000001</v>
      </c>
      <c r="AF7" s="19">
        <v>8.1</v>
      </c>
      <c r="AG7" s="19">
        <v>0.8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 t="shared" si="12"/>
        <v>9.1999999999999993</v>
      </c>
      <c r="AS7" s="40">
        <f t="shared" si="13"/>
        <v>26.5</v>
      </c>
      <c r="AT7" s="40">
        <f t="shared" si="14"/>
        <v>26.200000000000003</v>
      </c>
      <c r="AU7" s="40">
        <f t="shared" si="15"/>
        <v>17.299999999999997</v>
      </c>
      <c r="AV7" s="40">
        <f t="shared" si="16"/>
        <v>52.7</v>
      </c>
      <c r="AW7" s="40" t="str">
        <f t="shared" si="17"/>
        <v/>
      </c>
      <c r="AX7" s="40" t="str">
        <f t="shared" si="18"/>
        <v/>
      </c>
      <c r="AY7" s="40">
        <f t="shared" si="19"/>
        <v>52.7</v>
      </c>
      <c r="AZ7" s="18">
        <v>18.399999999999999</v>
      </c>
      <c r="BA7" s="18">
        <v>7.6</v>
      </c>
      <c r="BB7" s="18">
        <v>1</v>
      </c>
      <c r="BC7" s="18">
        <v>0</v>
      </c>
      <c r="BD7" s="18">
        <v>19</v>
      </c>
      <c r="BE7" s="18">
        <v>8</v>
      </c>
      <c r="BF7" s="18">
        <v>0.6</v>
      </c>
      <c r="BG7" s="18">
        <v>0</v>
      </c>
      <c r="BH7" s="18">
        <v>19.2</v>
      </c>
      <c r="BI7" s="18">
        <v>8</v>
      </c>
      <c r="BJ7" s="18">
        <v>0.6</v>
      </c>
      <c r="BK7" s="18">
        <v>0.3</v>
      </c>
      <c r="BL7" s="18">
        <v>18.399999999999999</v>
      </c>
      <c r="BM7" s="18">
        <v>9.1999999999999993</v>
      </c>
      <c r="BN7" s="18">
        <v>0.6</v>
      </c>
      <c r="BO7" s="18">
        <v>0.3</v>
      </c>
      <c r="BP7" s="18">
        <v>18.399999999999999</v>
      </c>
      <c r="BQ7" s="18">
        <v>8.9</v>
      </c>
      <c r="BR7" s="18">
        <v>0.6</v>
      </c>
      <c r="BS7" s="18">
        <v>0.3</v>
      </c>
      <c r="BT7" s="28"/>
      <c r="BU7" s="11">
        <f t="shared" si="20"/>
        <v>15.6</v>
      </c>
      <c r="BV7" s="11">
        <f t="shared" si="21"/>
        <v>51.4</v>
      </c>
      <c r="BW7" s="11">
        <f t="shared" si="22"/>
        <v>26.9</v>
      </c>
      <c r="BX7" s="11">
        <f t="shared" si="23"/>
        <v>23.6</v>
      </c>
      <c r="BY7" s="11">
        <f t="shared" si="24"/>
        <v>78.3</v>
      </c>
      <c r="BZ7" s="11">
        <f t="shared" si="25"/>
        <v>18.100000000000001</v>
      </c>
      <c r="CA7" s="11">
        <f t="shared" si="26"/>
        <v>54.29999999999999</v>
      </c>
      <c r="CB7" s="11">
        <f t="shared" si="27"/>
        <v>132.6</v>
      </c>
      <c r="CC7" s="19">
        <v>16.8</v>
      </c>
      <c r="CD7" s="19">
        <v>8.1</v>
      </c>
      <c r="CE7" s="19">
        <v>0.2</v>
      </c>
      <c r="CF7" s="19">
        <v>0.3</v>
      </c>
      <c r="CG7" s="19">
        <v>17.399999999999999</v>
      </c>
      <c r="CH7" s="19">
        <v>3.6</v>
      </c>
      <c r="CI7" s="19">
        <v>0</v>
      </c>
      <c r="CJ7" s="19">
        <v>0</v>
      </c>
      <c r="CK7" s="19">
        <v>18.8</v>
      </c>
      <c r="CL7" s="19">
        <v>9.1999999999999993</v>
      </c>
      <c r="CM7" s="19">
        <v>0</v>
      </c>
      <c r="CN7" s="19">
        <v>0.3</v>
      </c>
      <c r="CO7" s="19">
        <v>18.899999999999999</v>
      </c>
      <c r="CP7" s="19">
        <v>9.1999999999999993</v>
      </c>
      <c r="CQ7" s="19">
        <v>0.2</v>
      </c>
      <c r="CR7" s="19">
        <v>0.3</v>
      </c>
      <c r="CS7" s="19">
        <v>16.600000000000001</v>
      </c>
      <c r="CT7" s="19">
        <v>6</v>
      </c>
      <c r="CU7" s="19">
        <v>1</v>
      </c>
      <c r="CV7" s="19">
        <v>0</v>
      </c>
      <c r="CW7" s="27"/>
      <c r="CX7" s="40">
        <f t="shared" si="28"/>
        <v>11.7</v>
      </c>
      <c r="CY7" s="40">
        <f t="shared" si="29"/>
        <v>45.999999999999993</v>
      </c>
      <c r="CZ7" s="40">
        <f t="shared" si="30"/>
        <v>28.3</v>
      </c>
      <c r="DA7" s="40">
        <f t="shared" si="31"/>
        <v>20.9</v>
      </c>
      <c r="DB7" s="40">
        <f t="shared" si="32"/>
        <v>74.3</v>
      </c>
      <c r="DC7" s="40">
        <f t="shared" si="33"/>
        <v>15.2</v>
      </c>
      <c r="DD7" s="40">
        <f t="shared" si="34"/>
        <v>49.8</v>
      </c>
      <c r="DE7" s="40">
        <f t="shared" si="35"/>
        <v>124.1</v>
      </c>
      <c r="DF7" s="50">
        <f t="shared" si="36"/>
        <v>6.3999999999999986</v>
      </c>
      <c r="DG7" s="50" t="str">
        <f t="shared" si="37"/>
        <v/>
      </c>
      <c r="DH7" s="50" t="str">
        <f t="shared" si="38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>
        <v>18.600000000000001</v>
      </c>
      <c r="DV7" s="17">
        <v>8</v>
      </c>
      <c r="DW7" s="17">
        <v>0.8</v>
      </c>
      <c r="DX7" s="17">
        <v>0</v>
      </c>
      <c r="DY7" s="17">
        <v>18.600000000000001</v>
      </c>
      <c r="DZ7" s="17">
        <v>9.1999999999999993</v>
      </c>
      <c r="EA7" s="17">
        <v>0.6</v>
      </c>
      <c r="EB7" s="17">
        <v>0</v>
      </c>
      <c r="EC7" s="40" t="str">
        <f t="shared" si="39"/>
        <v/>
      </c>
      <c r="ED7" s="40" t="str">
        <f t="shared" si="40"/>
        <v/>
      </c>
      <c r="EE7" s="40" t="str">
        <f t="shared" si="41"/>
        <v/>
      </c>
      <c r="EF7" s="40" t="str">
        <f t="shared" si="42"/>
        <v/>
      </c>
      <c r="EG7" s="40" t="str">
        <f t="shared" si="43"/>
        <v/>
      </c>
      <c r="EH7" s="40">
        <f t="shared" si="44"/>
        <v>17.2</v>
      </c>
      <c r="EI7" s="40">
        <f t="shared" si="45"/>
        <v>53.000000000000007</v>
      </c>
      <c r="EJ7" s="40">
        <f t="shared" si="46"/>
        <v>53.000000000000007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1" t="str">
        <f t="shared" si="52"/>
        <v/>
      </c>
      <c r="FK7" s="11" t="str">
        <f t="shared" si="53"/>
        <v/>
      </c>
      <c r="FL7" s="11" t="str">
        <f t="shared" si="54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5"/>
        <v/>
      </c>
      <c r="GH7" s="40" t="str">
        <f t="shared" si="56"/>
        <v/>
      </c>
      <c r="GI7" s="40" t="str">
        <f t="shared" si="57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2"/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3"/>
        <v/>
      </c>
      <c r="HJ7" s="11" t="str">
        <f t="shared" si="64"/>
        <v/>
      </c>
      <c r="HK7" s="11" t="str">
        <f t="shared" si="65"/>
        <v/>
      </c>
      <c r="HL7" s="11" t="str">
        <f t="shared" si="66"/>
        <v/>
      </c>
      <c r="HM7" s="11" t="str">
        <f t="shared" si="67"/>
        <v/>
      </c>
      <c r="HN7" s="11" t="str">
        <f t="shared" si="68"/>
        <v/>
      </c>
      <c r="HO7" s="11" t="str">
        <f t="shared" si="69"/>
        <v/>
      </c>
      <c r="HP7" s="11" t="str">
        <f t="shared" si="70"/>
        <v/>
      </c>
      <c r="HQ7" s="17">
        <v>18.600000000000001</v>
      </c>
      <c r="HR7" s="17">
        <v>9.1999999999999993</v>
      </c>
      <c r="HS7" s="17">
        <v>0.6</v>
      </c>
      <c r="HT7" s="17">
        <v>0</v>
      </c>
      <c r="HU7" s="17">
        <v>16.5</v>
      </c>
      <c r="HV7" s="17">
        <v>8.9</v>
      </c>
      <c r="HW7" s="17">
        <v>0.2</v>
      </c>
      <c r="HX7" s="17">
        <v>0</v>
      </c>
      <c r="HY7" s="17"/>
      <c r="HZ7" s="17"/>
      <c r="IA7" s="17"/>
      <c r="IB7" s="17"/>
      <c r="IC7" s="17">
        <v>18.7</v>
      </c>
      <c r="ID7" s="17">
        <v>9.1999999999999993</v>
      </c>
      <c r="IE7" s="17">
        <v>0.8</v>
      </c>
      <c r="IF7" s="17">
        <v>0</v>
      </c>
      <c r="IG7" s="17">
        <v>0</v>
      </c>
      <c r="IH7" s="17">
        <v>0</v>
      </c>
      <c r="II7" s="17">
        <v>0</v>
      </c>
      <c r="IJ7" s="17">
        <v>0</v>
      </c>
      <c r="IK7" s="40">
        <f t="shared" si="71"/>
        <v>18.100000000000001</v>
      </c>
      <c r="IL7" s="40">
        <f t="shared" si="72"/>
        <v>52.399999999999991</v>
      </c>
      <c r="IM7" s="40" t="str">
        <f t="shared" si="73"/>
        <v/>
      </c>
      <c r="IN7" s="40">
        <f t="shared" si="74"/>
        <v>18.100000000000001</v>
      </c>
      <c r="IO7" s="40">
        <f t="shared" si="75"/>
        <v>52.399999999999991</v>
      </c>
      <c r="IP7" s="40">
        <f t="shared" si="76"/>
        <v>9.1999999999999993</v>
      </c>
      <c r="IQ7" s="40">
        <f t="shared" si="77"/>
        <v>27.099999999999998</v>
      </c>
      <c r="IR7" s="40">
        <f t="shared" si="78"/>
        <v>79.499999999999986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79"/>
        <v/>
      </c>
      <c r="JN7" s="11" t="str">
        <f t="shared" si="80"/>
        <v/>
      </c>
      <c r="JO7" s="11" t="str">
        <f t="shared" si="81"/>
        <v/>
      </c>
      <c r="JP7" s="11" t="str">
        <f t="shared" si="82"/>
        <v/>
      </c>
      <c r="JQ7" s="11" t="str">
        <f t="shared" si="83"/>
        <v/>
      </c>
      <c r="JR7" s="11" t="str">
        <f t="shared" si="84"/>
        <v/>
      </c>
      <c r="JS7" s="11" t="str">
        <f t="shared" si="85"/>
        <v/>
      </c>
      <c r="JT7" s="11" t="str">
        <f t="shared" si="86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7"/>
        <v/>
      </c>
      <c r="KP7" s="40" t="str">
        <f t="shared" si="88"/>
        <v/>
      </c>
      <c r="KQ7" s="40" t="str">
        <f t="shared" si="89"/>
        <v/>
      </c>
      <c r="KR7" s="40" t="str">
        <f t="shared" si="90"/>
        <v/>
      </c>
      <c r="KS7" s="40" t="str">
        <f t="shared" si="91"/>
        <v/>
      </c>
      <c r="KT7" s="40" t="str">
        <f t="shared" si="92"/>
        <v/>
      </c>
      <c r="KU7" s="40" t="str">
        <f t="shared" si="93"/>
        <v/>
      </c>
      <c r="KV7" s="40" t="str">
        <f t="shared" si="94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 t="str">
        <f t="shared" si="98"/>
        <v/>
      </c>
      <c r="LU7" s="11" t="str">
        <f t="shared" si="99"/>
        <v/>
      </c>
      <c r="LV7" s="11" t="str">
        <f t="shared" si="100"/>
        <v/>
      </c>
      <c r="LW7" s="11" t="str">
        <f t="shared" si="101"/>
        <v/>
      </c>
      <c r="LX7" s="11" t="str">
        <f t="shared" si="102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3"/>
        <v/>
      </c>
      <c r="MT7" s="40" t="str">
        <f t="shared" si="104"/>
        <v/>
      </c>
      <c r="MU7" s="40" t="str">
        <f t="shared" si="105"/>
        <v/>
      </c>
      <c r="MV7" s="40" t="str">
        <f t="shared" si="106"/>
        <v/>
      </c>
      <c r="MW7" s="40" t="str">
        <f t="shared" si="107"/>
        <v/>
      </c>
      <c r="MX7" s="40" t="str">
        <f t="shared" si="108"/>
        <v/>
      </c>
      <c r="MY7" s="40" t="str">
        <f t="shared" si="109"/>
        <v/>
      </c>
      <c r="MZ7" s="40" t="str">
        <f t="shared" si="110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1" t="str">
        <f t="shared" si="116"/>
        <v/>
      </c>
      <c r="OA7" s="11" t="str">
        <f t="shared" si="117"/>
        <v/>
      </c>
      <c r="OB7" s="11" t="str">
        <f t="shared" si="118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19"/>
        <v/>
      </c>
      <c r="OX7" s="40" t="str">
        <f t="shared" si="120"/>
        <v/>
      </c>
      <c r="OY7" s="40" t="str">
        <f t="shared" si="121"/>
        <v/>
      </c>
      <c r="OZ7" s="40" t="str">
        <f t="shared" si="122"/>
        <v/>
      </c>
      <c r="PA7" s="40" t="str">
        <f t="shared" si="123"/>
        <v/>
      </c>
      <c r="PB7" s="40" t="str">
        <f t="shared" si="124"/>
        <v/>
      </c>
      <c r="PC7" s="40" t="str">
        <f t="shared" si="125"/>
        <v/>
      </c>
      <c r="PD7" s="40" t="str">
        <f t="shared" si="126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11" t="str">
        <f t="shared" si="132"/>
        <v/>
      </c>
      <c r="QE7" s="11" t="str">
        <f t="shared" si="133"/>
        <v/>
      </c>
      <c r="QF7" s="11" t="str">
        <f t="shared" si="134"/>
        <v/>
      </c>
      <c r="QG7" s="22">
        <f t="shared" si="135"/>
        <v>17.600000000000001</v>
      </c>
      <c r="QH7" s="22">
        <f t="shared" si="136"/>
        <v>7.85</v>
      </c>
      <c r="QI7" s="22">
        <f t="shared" si="137"/>
        <v>0.6</v>
      </c>
      <c r="QJ7" s="22">
        <f t="shared" si="138"/>
        <v>0.15</v>
      </c>
      <c r="QK7" s="22">
        <f t="shared" si="139"/>
        <v>18.2</v>
      </c>
      <c r="QL7" s="22">
        <f t="shared" si="140"/>
        <v>5.8</v>
      </c>
      <c r="QM7" s="22">
        <f t="shared" si="141"/>
        <v>0.3</v>
      </c>
      <c r="QN7" s="22">
        <f t="shared" si="142"/>
        <v>0</v>
      </c>
      <c r="QO7" s="22">
        <f t="shared" si="143"/>
        <v>19</v>
      </c>
      <c r="QP7" s="22">
        <f t="shared" si="144"/>
        <v>8.6</v>
      </c>
      <c r="QQ7" s="22">
        <f t="shared" si="145"/>
        <v>0.3</v>
      </c>
      <c r="QR7" s="22">
        <f t="shared" si="146"/>
        <v>0.3</v>
      </c>
      <c r="QS7" s="22">
        <f t="shared" si="147"/>
        <v>18.649999999999999</v>
      </c>
      <c r="QT7" s="22">
        <f t="shared" si="148"/>
        <v>9.1999999999999993</v>
      </c>
      <c r="QU7" s="22">
        <f t="shared" si="149"/>
        <v>0.4</v>
      </c>
      <c r="QV7" s="22">
        <f t="shared" si="150"/>
        <v>0.3</v>
      </c>
      <c r="QW7" s="22">
        <f t="shared" si="151"/>
        <v>17.5</v>
      </c>
      <c r="QX7" s="22">
        <f t="shared" si="152"/>
        <v>7.45</v>
      </c>
      <c r="QY7" s="22">
        <f t="shared" si="153"/>
        <v>0.8</v>
      </c>
      <c r="QZ7" s="22">
        <f t="shared" si="154"/>
        <v>0.15</v>
      </c>
      <c r="RA7" s="27" t="s">
        <v>46</v>
      </c>
      <c r="RB7" s="40">
        <f t="shared" si="155"/>
        <v>13.649999999999999</v>
      </c>
      <c r="RC7" s="40">
        <f t="shared" si="156"/>
        <v>48.699999999999996</v>
      </c>
      <c r="RD7" s="40">
        <f t="shared" si="157"/>
        <v>27.6</v>
      </c>
      <c r="RE7" s="40">
        <f t="shared" si="158"/>
        <v>22.25</v>
      </c>
      <c r="RF7" s="40">
        <f t="shared" si="159"/>
        <v>76.3</v>
      </c>
      <c r="RG7" s="40">
        <f t="shared" si="160"/>
        <v>16.649999999999999</v>
      </c>
      <c r="RH7" s="40">
        <f t="shared" si="161"/>
        <v>52.05</v>
      </c>
      <c r="RI7" s="40">
        <f t="shared" si="162"/>
        <v>128.35</v>
      </c>
    </row>
    <row r="8" spans="1:477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t="str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/>
      </c>
      <c r="C8" s="5" t="s">
        <v>205</v>
      </c>
      <c r="D8" s="4" t="s">
        <v>5</v>
      </c>
      <c r="E8" s="4">
        <v>2007</v>
      </c>
      <c r="F8" s="9">
        <f t="shared" si="163"/>
        <v>181.40001290000518</v>
      </c>
      <c r="G8" s="66" t="s">
        <v>46</v>
      </c>
      <c r="H8" s="3" t="str">
        <f t="shared" si="0"/>
        <v>P</v>
      </c>
      <c r="I8" s="3" t="str">
        <f t="shared" si="1"/>
        <v>P</v>
      </c>
      <c r="J8" s="36" t="str">
        <f t="shared" si="2"/>
        <v>National Team</v>
      </c>
      <c r="K8" s="3" t="str">
        <f t="shared" si="3"/>
        <v/>
      </c>
      <c r="L8" s="8">
        <f>IF(COUNT(AS8,BV8,CY8)&gt;0,LARGE((AS8,BV8,CY8),1),0)</f>
        <v>51.8</v>
      </c>
      <c r="M8" s="8" t="str">
        <f t="shared" si="4"/>
        <v>2023 Nationals</v>
      </c>
      <c r="N8" s="8">
        <f>IF(COUNT(AS8,BV8,CY8)&gt;1,LARGE((AS8,BV8,CY8),2),0)</f>
        <v>51.1</v>
      </c>
      <c r="O8" s="8" t="str">
        <f t="shared" si="5"/>
        <v>2023 3rd Domestic Trial</v>
      </c>
      <c r="P8" s="8">
        <f>IF(COUNT(AT8,BW8,CZ8)&gt;0,LARGE((AT8,BW8,CZ8),1),0)</f>
        <v>26.099999999999998</v>
      </c>
      <c r="Q8" s="8" t="str">
        <f t="shared" si="6"/>
        <v>2024 Elite Canada</v>
      </c>
      <c r="R8" s="8">
        <f t="shared" si="7"/>
        <v>52.400000000000006</v>
      </c>
      <c r="S8" s="8" t="str">
        <f t="shared" si="8"/>
        <v>2024 Elite Canada</v>
      </c>
      <c r="T8" s="8" t="str">
        <f t="shared" si="9"/>
        <v/>
      </c>
      <c r="U8" s="11" t="str">
        <f t="shared" si="10"/>
        <v/>
      </c>
      <c r="V8" s="8" t="str">
        <f t="shared" si="11"/>
        <v/>
      </c>
      <c r="W8" s="19">
        <v>19.2</v>
      </c>
      <c r="X8" s="19">
        <v>7.2</v>
      </c>
      <c r="Y8" s="19">
        <v>0</v>
      </c>
      <c r="Z8" s="19">
        <v>0</v>
      </c>
      <c r="AA8" s="19">
        <v>19</v>
      </c>
      <c r="AB8" s="19">
        <v>6.4</v>
      </c>
      <c r="AC8" s="19">
        <v>0</v>
      </c>
      <c r="AD8" s="19">
        <v>0</v>
      </c>
      <c r="AE8" s="19">
        <v>18.100000000000001</v>
      </c>
      <c r="AF8" s="19">
        <v>7.7</v>
      </c>
      <c r="AG8" s="19">
        <v>0.2</v>
      </c>
      <c r="AH8" s="19">
        <v>0</v>
      </c>
      <c r="AI8" s="19">
        <v>18.7</v>
      </c>
      <c r="AJ8" s="19">
        <v>6</v>
      </c>
      <c r="AK8" s="19">
        <v>1</v>
      </c>
      <c r="AL8" s="19">
        <v>0</v>
      </c>
      <c r="AM8" s="19">
        <v>19.100000000000001</v>
      </c>
      <c r="AN8" s="19">
        <v>6.4</v>
      </c>
      <c r="AO8" s="19">
        <v>0</v>
      </c>
      <c r="AP8" s="19">
        <v>0</v>
      </c>
      <c r="AQ8" s="27"/>
      <c r="AR8" s="40">
        <f t="shared" si="12"/>
        <v>13.600000000000001</v>
      </c>
      <c r="AS8" s="40">
        <f t="shared" si="13"/>
        <v>51.8</v>
      </c>
      <c r="AT8" s="40">
        <f t="shared" si="14"/>
        <v>25.6</v>
      </c>
      <c r="AU8" s="40">
        <f t="shared" si="15"/>
        <v>21.3</v>
      </c>
      <c r="AV8" s="40">
        <f t="shared" si="16"/>
        <v>77.400000000000006</v>
      </c>
      <c r="AW8" s="40">
        <f t="shared" si="17"/>
        <v>12.4</v>
      </c>
      <c r="AX8" s="40">
        <f t="shared" si="18"/>
        <v>49.199999999999996</v>
      </c>
      <c r="AY8" s="40">
        <f t="shared" si="19"/>
        <v>126.6</v>
      </c>
      <c r="AZ8" s="18">
        <v>19.100000000000001</v>
      </c>
      <c r="BA8" s="18">
        <v>7.2</v>
      </c>
      <c r="BB8" s="18">
        <v>0.6</v>
      </c>
      <c r="BC8" s="18">
        <v>0</v>
      </c>
      <c r="BD8" s="18">
        <v>18.8</v>
      </c>
      <c r="BE8" s="18">
        <v>7.2</v>
      </c>
      <c r="BF8" s="18">
        <v>0.6</v>
      </c>
      <c r="BG8" s="18">
        <v>0</v>
      </c>
      <c r="BH8" s="18">
        <v>17.899999999999999</v>
      </c>
      <c r="BI8" s="18">
        <v>6</v>
      </c>
      <c r="BJ8" s="18">
        <v>1</v>
      </c>
      <c r="BK8" s="18">
        <v>0</v>
      </c>
      <c r="BL8" s="18">
        <v>18.399999999999999</v>
      </c>
      <c r="BM8" s="18">
        <v>7.2</v>
      </c>
      <c r="BN8" s="18">
        <v>0.6</v>
      </c>
      <c r="BO8" s="18">
        <v>0</v>
      </c>
      <c r="BP8" s="18">
        <v>0</v>
      </c>
      <c r="BQ8" s="18">
        <v>0</v>
      </c>
      <c r="BR8" s="18">
        <v>0</v>
      </c>
      <c r="BS8" s="18">
        <v>0</v>
      </c>
      <c r="BT8" s="28"/>
      <c r="BU8" s="11">
        <f t="shared" si="20"/>
        <v>14.4</v>
      </c>
      <c r="BV8" s="11">
        <f t="shared" si="21"/>
        <v>51.1</v>
      </c>
      <c r="BW8" s="11">
        <f t="shared" si="22"/>
        <v>22.9</v>
      </c>
      <c r="BX8" s="11">
        <f t="shared" si="23"/>
        <v>20.399999999999999</v>
      </c>
      <c r="BY8" s="11">
        <f t="shared" si="24"/>
        <v>74</v>
      </c>
      <c r="BZ8" s="11">
        <f t="shared" si="25"/>
        <v>7.2</v>
      </c>
      <c r="CA8" s="11">
        <f t="shared" si="26"/>
        <v>24.999999999999996</v>
      </c>
      <c r="CB8" s="11">
        <f t="shared" si="27"/>
        <v>99</v>
      </c>
      <c r="CC8" s="19">
        <v>18.399999999999999</v>
      </c>
      <c r="CD8" s="19">
        <v>7.2</v>
      </c>
      <c r="CE8" s="19">
        <v>1</v>
      </c>
      <c r="CF8" s="19">
        <v>0</v>
      </c>
      <c r="CG8" s="19">
        <v>18.5</v>
      </c>
      <c r="CH8" s="19">
        <v>7.2</v>
      </c>
      <c r="CI8" s="19">
        <v>0.2</v>
      </c>
      <c r="CJ8" s="19">
        <v>0</v>
      </c>
      <c r="CK8" s="19">
        <v>18.899999999999999</v>
      </c>
      <c r="CL8" s="19">
        <v>7.2</v>
      </c>
      <c r="CM8" s="19">
        <v>0</v>
      </c>
      <c r="CN8" s="19">
        <v>0</v>
      </c>
      <c r="CO8" s="19">
        <v>18.600000000000001</v>
      </c>
      <c r="CP8" s="19">
        <v>7.2</v>
      </c>
      <c r="CQ8" s="19">
        <v>0.2</v>
      </c>
      <c r="CR8" s="19">
        <v>0</v>
      </c>
      <c r="CS8" s="19">
        <v>18.600000000000001</v>
      </c>
      <c r="CT8" s="19">
        <v>8.4</v>
      </c>
      <c r="CU8" s="19">
        <v>0.2</v>
      </c>
      <c r="CV8" s="19">
        <v>0</v>
      </c>
      <c r="CW8" s="27"/>
      <c r="CX8" s="40">
        <f t="shared" si="28"/>
        <v>14.4</v>
      </c>
      <c r="CY8" s="40">
        <f t="shared" si="29"/>
        <v>50.099999999999994</v>
      </c>
      <c r="CZ8" s="40">
        <f t="shared" si="30"/>
        <v>26.099999999999998</v>
      </c>
      <c r="DA8" s="40">
        <f t="shared" si="31"/>
        <v>21.6</v>
      </c>
      <c r="DB8" s="40">
        <f t="shared" si="32"/>
        <v>76.199999999999989</v>
      </c>
      <c r="DC8" s="40">
        <f t="shared" si="33"/>
        <v>15.600000000000001</v>
      </c>
      <c r="DD8" s="40">
        <f t="shared" si="34"/>
        <v>52.400000000000006</v>
      </c>
      <c r="DE8" s="40">
        <f t="shared" si="35"/>
        <v>128.6</v>
      </c>
      <c r="DF8" s="50" t="str">
        <f t="shared" si="36"/>
        <v/>
      </c>
      <c r="DG8" s="50" t="str">
        <f t="shared" si="37"/>
        <v/>
      </c>
      <c r="DH8" s="50" t="str">
        <f t="shared" si="38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39"/>
        <v/>
      </c>
      <c r="ED8" s="40" t="str">
        <f t="shared" si="40"/>
        <v/>
      </c>
      <c r="EE8" s="40" t="str">
        <f t="shared" si="41"/>
        <v/>
      </c>
      <c r="EF8" s="40" t="str">
        <f t="shared" si="42"/>
        <v/>
      </c>
      <c r="EG8" s="40" t="str">
        <f t="shared" si="43"/>
        <v/>
      </c>
      <c r="EH8" s="40" t="str">
        <f t="shared" si="44"/>
        <v/>
      </c>
      <c r="EI8" s="40" t="str">
        <f t="shared" si="45"/>
        <v/>
      </c>
      <c r="EJ8" s="40" t="str">
        <f t="shared" si="46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7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1"/>
        <v/>
      </c>
      <c r="FJ8" s="11" t="str">
        <f t="shared" si="52"/>
        <v/>
      </c>
      <c r="FK8" s="11" t="str">
        <f t="shared" si="53"/>
        <v/>
      </c>
      <c r="FL8" s="11" t="str">
        <f t="shared" si="54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5"/>
        <v/>
      </c>
      <c r="GH8" s="40" t="str">
        <f t="shared" si="56"/>
        <v/>
      </c>
      <c r="GI8" s="40" t="str">
        <f t="shared" si="57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2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1" t="str">
        <f t="shared" si="68"/>
        <v/>
      </c>
      <c r="HO8" s="11" t="str">
        <f t="shared" si="69"/>
        <v/>
      </c>
      <c r="HP8" s="11" t="str">
        <f t="shared" si="70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1"/>
        <v/>
      </c>
      <c r="IL8" s="40" t="str">
        <f t="shared" si="72"/>
        <v/>
      </c>
      <c r="IM8" s="40" t="str">
        <f t="shared" si="73"/>
        <v/>
      </c>
      <c r="IN8" s="40" t="str">
        <f t="shared" si="74"/>
        <v/>
      </c>
      <c r="IO8" s="40" t="str">
        <f t="shared" si="75"/>
        <v/>
      </c>
      <c r="IP8" s="40" t="str">
        <f t="shared" si="76"/>
        <v/>
      </c>
      <c r="IQ8" s="40" t="str">
        <f t="shared" si="77"/>
        <v/>
      </c>
      <c r="IR8" s="40" t="str">
        <f t="shared" si="78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1" t="str">
        <f t="shared" si="84"/>
        <v/>
      </c>
      <c r="JS8" s="11" t="str">
        <f t="shared" si="85"/>
        <v/>
      </c>
      <c r="JT8" s="11" t="str">
        <f t="shared" si="86"/>
        <v/>
      </c>
      <c r="JU8" s="17">
        <v>18.8</v>
      </c>
      <c r="JV8" s="17">
        <v>8</v>
      </c>
      <c r="JW8" s="17">
        <v>0</v>
      </c>
      <c r="JX8" s="17">
        <v>0</v>
      </c>
      <c r="JY8" s="17">
        <v>17.3</v>
      </c>
      <c r="JZ8" s="17">
        <v>4</v>
      </c>
      <c r="KA8" s="17">
        <v>0</v>
      </c>
      <c r="KB8" s="17">
        <v>0</v>
      </c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>
        <f t="shared" si="87"/>
        <v>12</v>
      </c>
      <c r="KP8" s="40">
        <f t="shared" si="88"/>
        <v>48.1</v>
      </c>
      <c r="KQ8" s="40" t="str">
        <f t="shared" si="89"/>
        <v/>
      </c>
      <c r="KR8" s="40">
        <f t="shared" si="90"/>
        <v>12</v>
      </c>
      <c r="KS8" s="40">
        <f t="shared" si="91"/>
        <v>48.1</v>
      </c>
      <c r="KT8" s="40" t="str">
        <f t="shared" si="92"/>
        <v/>
      </c>
      <c r="KU8" s="40" t="str">
        <f t="shared" si="93"/>
        <v/>
      </c>
      <c r="KV8" s="40">
        <f t="shared" si="94"/>
        <v>48.1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1" t="str">
        <f t="shared" si="100"/>
        <v/>
      </c>
      <c r="LW8" s="11" t="str">
        <f t="shared" si="101"/>
        <v/>
      </c>
      <c r="LX8" s="11" t="str">
        <f t="shared" si="102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3"/>
        <v/>
      </c>
      <c r="MT8" s="40" t="str">
        <f t="shared" si="104"/>
        <v/>
      </c>
      <c r="MU8" s="40" t="str">
        <f t="shared" si="105"/>
        <v/>
      </c>
      <c r="MV8" s="40" t="str">
        <f t="shared" si="106"/>
        <v/>
      </c>
      <c r="MW8" s="40" t="str">
        <f t="shared" si="107"/>
        <v/>
      </c>
      <c r="MX8" s="40" t="str">
        <f t="shared" si="108"/>
        <v/>
      </c>
      <c r="MY8" s="40" t="str">
        <f t="shared" si="109"/>
        <v/>
      </c>
      <c r="MZ8" s="40" t="str">
        <f t="shared" si="110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1" t="str">
        <f t="shared" si="116"/>
        <v/>
      </c>
      <c r="OA8" s="11" t="str">
        <f t="shared" si="117"/>
        <v/>
      </c>
      <c r="OB8" s="11" t="str">
        <f t="shared" si="118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19"/>
        <v/>
      </c>
      <c r="OX8" s="40" t="str">
        <f t="shared" si="120"/>
        <v/>
      </c>
      <c r="OY8" s="40" t="str">
        <f t="shared" si="121"/>
        <v/>
      </c>
      <c r="OZ8" s="40" t="str">
        <f t="shared" si="122"/>
        <v/>
      </c>
      <c r="PA8" s="40" t="str">
        <f t="shared" si="123"/>
        <v/>
      </c>
      <c r="PB8" s="40" t="str">
        <f t="shared" si="124"/>
        <v/>
      </c>
      <c r="PC8" s="40" t="str">
        <f t="shared" si="125"/>
        <v/>
      </c>
      <c r="PD8" s="40" t="str">
        <f t="shared" si="126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11" t="str">
        <f t="shared" si="132"/>
        <v/>
      </c>
      <c r="QE8" s="11" t="str">
        <f t="shared" si="133"/>
        <v/>
      </c>
      <c r="QF8" s="11" t="str">
        <f t="shared" si="134"/>
        <v/>
      </c>
      <c r="QG8" s="22">
        <f t="shared" si="135"/>
        <v>18.75</v>
      </c>
      <c r="QH8" s="22">
        <f t="shared" si="136"/>
        <v>7.2</v>
      </c>
      <c r="QI8" s="22">
        <f t="shared" si="137"/>
        <v>0.8</v>
      </c>
      <c r="QJ8" s="22">
        <f t="shared" si="138"/>
        <v>0</v>
      </c>
      <c r="QK8" s="22">
        <f t="shared" si="139"/>
        <v>18.649999999999999</v>
      </c>
      <c r="QL8" s="22">
        <f t="shared" si="140"/>
        <v>7.2</v>
      </c>
      <c r="QM8" s="22">
        <f t="shared" si="141"/>
        <v>0.4</v>
      </c>
      <c r="QN8" s="22">
        <f t="shared" si="142"/>
        <v>0</v>
      </c>
      <c r="QO8" s="22">
        <f t="shared" si="143"/>
        <v>18.399999999999999</v>
      </c>
      <c r="QP8" s="22">
        <f t="shared" si="144"/>
        <v>6.6</v>
      </c>
      <c r="QQ8" s="22">
        <f t="shared" si="145"/>
        <v>0.5</v>
      </c>
      <c r="QR8" s="22">
        <f t="shared" si="146"/>
        <v>0</v>
      </c>
      <c r="QS8" s="22">
        <f t="shared" si="147"/>
        <v>18.5</v>
      </c>
      <c r="QT8" s="22">
        <f t="shared" si="148"/>
        <v>7.2</v>
      </c>
      <c r="QU8" s="22">
        <f t="shared" si="149"/>
        <v>0.4</v>
      </c>
      <c r="QV8" s="22">
        <f t="shared" si="150"/>
        <v>0</v>
      </c>
      <c r="QW8" s="22">
        <f t="shared" si="151"/>
        <v>9.3000000000000007</v>
      </c>
      <c r="QX8" s="22">
        <f t="shared" si="152"/>
        <v>4.2</v>
      </c>
      <c r="QY8" s="22">
        <f t="shared" si="153"/>
        <v>0.1</v>
      </c>
      <c r="QZ8" s="22">
        <f t="shared" si="154"/>
        <v>0</v>
      </c>
      <c r="RA8" s="27" t="s">
        <v>46</v>
      </c>
      <c r="RB8" s="40">
        <f t="shared" si="155"/>
        <v>14.4</v>
      </c>
      <c r="RC8" s="40">
        <f t="shared" si="156"/>
        <v>50.6</v>
      </c>
      <c r="RD8" s="40">
        <f t="shared" si="157"/>
        <v>24.5</v>
      </c>
      <c r="RE8" s="40">
        <f t="shared" si="158"/>
        <v>21</v>
      </c>
      <c r="RF8" s="40">
        <f t="shared" si="159"/>
        <v>75.099999999999994</v>
      </c>
      <c r="RG8" s="40">
        <f t="shared" si="160"/>
        <v>11.4</v>
      </c>
      <c r="RH8" s="40">
        <f t="shared" si="161"/>
        <v>38.700000000000003</v>
      </c>
      <c r="RI8" s="40">
        <f t="shared" si="162"/>
        <v>113.8</v>
      </c>
    </row>
    <row r="9" spans="1:477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t="str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/>
      </c>
      <c r="C9" s="5" t="s">
        <v>96</v>
      </c>
      <c r="D9" s="4" t="s">
        <v>5</v>
      </c>
      <c r="E9" s="4">
        <v>2003</v>
      </c>
      <c r="F9" s="9">
        <f t="shared" si="163"/>
        <v>180.70001291000514</v>
      </c>
      <c r="G9" s="66" t="s">
        <v>46</v>
      </c>
      <c r="H9" s="3" t="str">
        <f t="shared" si="0"/>
        <v>P</v>
      </c>
      <c r="I9" s="3" t="str">
        <f t="shared" si="1"/>
        <v>P</v>
      </c>
      <c r="J9" s="36" t="str">
        <f t="shared" si="2"/>
        <v>National Team</v>
      </c>
      <c r="K9" s="3" t="str">
        <f t="shared" si="3"/>
        <v/>
      </c>
      <c r="L9" s="8">
        <f>IF(COUNT(AS9,BV9,CY9)&gt;0,LARGE((AS9,BV9,CY9),1),0)</f>
        <v>51.4</v>
      </c>
      <c r="M9" s="8" t="str">
        <f t="shared" si="4"/>
        <v>2023 Nationals</v>
      </c>
      <c r="N9" s="8">
        <f>IF(COUNT(AS9,BV9,CY9)&gt;1,LARGE((AS9,BV9,CY9),2),0)</f>
        <v>51.29999999999999</v>
      </c>
      <c r="O9" s="8" t="str">
        <f t="shared" si="5"/>
        <v>2023 3rd Domestic Trial</v>
      </c>
      <c r="P9" s="8">
        <f>IF(COUNT(AT9,BW9,CZ9)&gt;0,LARGE((AT9,BW9,CZ9),1),0)</f>
        <v>26.400000000000002</v>
      </c>
      <c r="Q9" s="8" t="str">
        <f t="shared" si="6"/>
        <v>2024 Elite Canada</v>
      </c>
      <c r="R9" s="8">
        <f t="shared" si="7"/>
        <v>51.6</v>
      </c>
      <c r="S9" s="8" t="str">
        <f t="shared" si="8"/>
        <v>2024 Elite Canada</v>
      </c>
      <c r="T9" s="8" t="str">
        <f t="shared" si="9"/>
        <v/>
      </c>
      <c r="U9" s="11" t="str">
        <f t="shared" si="10"/>
        <v/>
      </c>
      <c r="V9" s="8" t="str">
        <f t="shared" si="11"/>
        <v/>
      </c>
      <c r="W9" s="19">
        <v>18.2</v>
      </c>
      <c r="X9" s="19">
        <v>6.9</v>
      </c>
      <c r="Y9" s="19">
        <v>0.6</v>
      </c>
      <c r="Z9" s="19">
        <v>0</v>
      </c>
      <c r="AA9" s="19">
        <v>18.3</v>
      </c>
      <c r="AB9" s="19">
        <v>8.5</v>
      </c>
      <c r="AC9" s="19">
        <v>0.2</v>
      </c>
      <c r="AD9" s="19">
        <v>0.3</v>
      </c>
      <c r="AE9" s="19">
        <v>18.7</v>
      </c>
      <c r="AF9" s="19">
        <v>7.5</v>
      </c>
      <c r="AG9" s="19">
        <v>0.6</v>
      </c>
      <c r="AH9" s="19">
        <v>0.3</v>
      </c>
      <c r="AI9" s="19">
        <v>18.600000000000001</v>
      </c>
      <c r="AJ9" s="19">
        <v>7.3</v>
      </c>
      <c r="AK9" s="19">
        <v>0</v>
      </c>
      <c r="AL9" s="19">
        <v>0</v>
      </c>
      <c r="AM9" s="19">
        <v>17.2</v>
      </c>
      <c r="AN9" s="19">
        <v>5.0999999999999996</v>
      </c>
      <c r="AO9" s="19">
        <v>0</v>
      </c>
      <c r="AP9" s="19">
        <v>0.3</v>
      </c>
      <c r="AQ9" s="27"/>
      <c r="AR9" s="40">
        <f t="shared" si="12"/>
        <v>15.4</v>
      </c>
      <c r="AS9" s="40">
        <f t="shared" si="13"/>
        <v>51.4</v>
      </c>
      <c r="AT9" s="40">
        <f t="shared" si="14"/>
        <v>25.9</v>
      </c>
      <c r="AU9" s="40">
        <f t="shared" si="15"/>
        <v>22.9</v>
      </c>
      <c r="AV9" s="40">
        <f t="shared" si="16"/>
        <v>77.3</v>
      </c>
      <c r="AW9" s="40">
        <f t="shared" si="17"/>
        <v>12.399999999999999</v>
      </c>
      <c r="AX9" s="40">
        <f t="shared" si="18"/>
        <v>48.5</v>
      </c>
      <c r="AY9" s="40">
        <f t="shared" si="19"/>
        <v>125.8</v>
      </c>
      <c r="AZ9" s="18">
        <v>18.3</v>
      </c>
      <c r="BA9" s="18">
        <v>7.7</v>
      </c>
      <c r="BB9" s="18">
        <v>0.2</v>
      </c>
      <c r="BC9" s="18">
        <v>0.3</v>
      </c>
      <c r="BD9" s="18">
        <v>18.5</v>
      </c>
      <c r="BE9" s="18">
        <v>7.3</v>
      </c>
      <c r="BF9" s="18">
        <v>0.6</v>
      </c>
      <c r="BG9" s="18">
        <v>0</v>
      </c>
      <c r="BH9" s="18">
        <v>17.2</v>
      </c>
      <c r="BI9" s="18">
        <v>5.4</v>
      </c>
      <c r="BJ9" s="18">
        <v>0</v>
      </c>
      <c r="BK9" s="18">
        <v>0.3</v>
      </c>
      <c r="BL9" s="18"/>
      <c r="BM9" s="18"/>
      <c r="BN9" s="18"/>
      <c r="BO9" s="18"/>
      <c r="BP9" s="18"/>
      <c r="BQ9" s="18"/>
      <c r="BR9" s="18"/>
      <c r="BS9" s="18"/>
      <c r="BT9" s="28"/>
      <c r="BU9" s="11">
        <f t="shared" si="20"/>
        <v>15</v>
      </c>
      <c r="BV9" s="11">
        <f t="shared" si="21"/>
        <v>51.29999999999999</v>
      </c>
      <c r="BW9" s="11">
        <f t="shared" si="22"/>
        <v>22.900000000000002</v>
      </c>
      <c r="BX9" s="11">
        <f t="shared" si="23"/>
        <v>20.399999999999999</v>
      </c>
      <c r="BY9" s="11">
        <f t="shared" si="24"/>
        <v>74.199999999999989</v>
      </c>
      <c r="BZ9" s="11" t="str">
        <f t="shared" si="25"/>
        <v/>
      </c>
      <c r="CA9" s="11" t="str">
        <f t="shared" si="26"/>
        <v/>
      </c>
      <c r="CB9" s="11">
        <f t="shared" si="27"/>
        <v>74.199999999999989</v>
      </c>
      <c r="CC9" s="19">
        <v>17.8</v>
      </c>
      <c r="CD9" s="19">
        <v>6.9</v>
      </c>
      <c r="CE9" s="19">
        <v>0.2</v>
      </c>
      <c r="CF9" s="19">
        <v>0</v>
      </c>
      <c r="CG9" s="19">
        <v>18.399999999999999</v>
      </c>
      <c r="CH9" s="19">
        <v>8.1</v>
      </c>
      <c r="CI9" s="19">
        <v>0.2</v>
      </c>
      <c r="CJ9" s="19">
        <v>0.3</v>
      </c>
      <c r="CK9" s="19">
        <v>18.600000000000001</v>
      </c>
      <c r="CL9" s="19">
        <v>7.5</v>
      </c>
      <c r="CM9" s="19">
        <v>0</v>
      </c>
      <c r="CN9" s="19">
        <v>0.3</v>
      </c>
      <c r="CO9" s="19">
        <v>18.600000000000001</v>
      </c>
      <c r="CP9" s="19">
        <v>8.1</v>
      </c>
      <c r="CQ9" s="19">
        <v>0.6</v>
      </c>
      <c r="CR9" s="19">
        <v>0.3</v>
      </c>
      <c r="CS9" s="19">
        <v>16.3</v>
      </c>
      <c r="CT9" s="19">
        <v>9.6</v>
      </c>
      <c r="CU9" s="19">
        <v>1</v>
      </c>
      <c r="CV9" s="19">
        <v>0.3</v>
      </c>
      <c r="CW9" s="27"/>
      <c r="CX9" s="40">
        <f t="shared" si="28"/>
        <v>15</v>
      </c>
      <c r="CY9" s="40">
        <f t="shared" si="29"/>
        <v>51.099999999999994</v>
      </c>
      <c r="CZ9" s="40">
        <f t="shared" si="30"/>
        <v>26.400000000000002</v>
      </c>
      <c r="DA9" s="40">
        <f t="shared" si="31"/>
        <v>22.5</v>
      </c>
      <c r="DB9" s="40">
        <f t="shared" si="32"/>
        <v>77.5</v>
      </c>
      <c r="DC9" s="40">
        <f t="shared" si="33"/>
        <v>17.7</v>
      </c>
      <c r="DD9" s="40">
        <f t="shared" si="34"/>
        <v>51.6</v>
      </c>
      <c r="DE9" s="40">
        <f t="shared" si="35"/>
        <v>129.1</v>
      </c>
      <c r="DF9" s="50" t="str">
        <f t="shared" si="36"/>
        <v/>
      </c>
      <c r="DG9" s="50" t="str">
        <f t="shared" si="37"/>
        <v/>
      </c>
      <c r="DH9" s="50" t="str">
        <f t="shared" si="38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39"/>
        <v/>
      </c>
      <c r="ED9" s="40" t="str">
        <f t="shared" si="40"/>
        <v/>
      </c>
      <c r="EE9" s="40" t="str">
        <f t="shared" si="41"/>
        <v/>
      </c>
      <c r="EF9" s="40" t="str">
        <f t="shared" si="42"/>
        <v/>
      </c>
      <c r="EG9" s="40" t="str">
        <f t="shared" si="43"/>
        <v/>
      </c>
      <c r="EH9" s="40" t="str">
        <f t="shared" si="44"/>
        <v/>
      </c>
      <c r="EI9" s="40" t="str">
        <f t="shared" si="45"/>
        <v/>
      </c>
      <c r="EJ9" s="40" t="str">
        <f t="shared" si="46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7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1"/>
        <v/>
      </c>
      <c r="FJ9" s="11" t="str">
        <f t="shared" si="52"/>
        <v/>
      </c>
      <c r="FK9" s="11" t="str">
        <f t="shared" si="53"/>
        <v/>
      </c>
      <c r="FL9" s="11" t="str">
        <f t="shared" si="54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5"/>
        <v/>
      </c>
      <c r="GH9" s="40" t="str">
        <f t="shared" si="56"/>
        <v/>
      </c>
      <c r="GI9" s="40" t="str">
        <f t="shared" si="57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2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3"/>
        <v/>
      </c>
      <c r="HJ9" s="11" t="str">
        <f t="shared" si="64"/>
        <v/>
      </c>
      <c r="HK9" s="11" t="str">
        <f t="shared" si="65"/>
        <v/>
      </c>
      <c r="HL9" s="11" t="str">
        <f t="shared" si="66"/>
        <v/>
      </c>
      <c r="HM9" s="11" t="str">
        <f t="shared" si="67"/>
        <v/>
      </c>
      <c r="HN9" s="11" t="str">
        <f t="shared" si="68"/>
        <v/>
      </c>
      <c r="HO9" s="11" t="str">
        <f t="shared" si="69"/>
        <v/>
      </c>
      <c r="HP9" s="11" t="str">
        <f t="shared" si="70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1"/>
        <v/>
      </c>
      <c r="IL9" s="40" t="str">
        <f t="shared" si="72"/>
        <v/>
      </c>
      <c r="IM9" s="40" t="str">
        <f t="shared" si="73"/>
        <v/>
      </c>
      <c r="IN9" s="40" t="str">
        <f t="shared" si="74"/>
        <v/>
      </c>
      <c r="IO9" s="40" t="str">
        <f t="shared" si="75"/>
        <v/>
      </c>
      <c r="IP9" s="40" t="str">
        <f t="shared" si="76"/>
        <v/>
      </c>
      <c r="IQ9" s="40" t="str">
        <f t="shared" si="77"/>
        <v/>
      </c>
      <c r="IR9" s="40" t="str">
        <f t="shared" si="78"/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79"/>
        <v/>
      </c>
      <c r="JN9" s="11" t="str">
        <f t="shared" si="80"/>
        <v/>
      </c>
      <c r="JO9" s="11" t="str">
        <f t="shared" si="81"/>
        <v/>
      </c>
      <c r="JP9" s="11" t="str">
        <f t="shared" si="82"/>
        <v/>
      </c>
      <c r="JQ9" s="11" t="str">
        <f t="shared" si="83"/>
        <v/>
      </c>
      <c r="JR9" s="11" t="str">
        <f t="shared" si="84"/>
        <v/>
      </c>
      <c r="JS9" s="11" t="str">
        <f t="shared" si="85"/>
        <v/>
      </c>
      <c r="JT9" s="11" t="str">
        <f t="shared" si="86"/>
        <v/>
      </c>
      <c r="JU9" s="17">
        <v>17.5</v>
      </c>
      <c r="JV9" s="17">
        <v>2.8</v>
      </c>
      <c r="JW9" s="17">
        <v>0</v>
      </c>
      <c r="JX9" s="17">
        <v>0</v>
      </c>
      <c r="JY9" s="17">
        <v>17.2</v>
      </c>
      <c r="JZ9" s="17">
        <v>5.0999999999999996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 t="shared" si="87"/>
        <v>7.8999999999999995</v>
      </c>
      <c r="KP9" s="40">
        <f t="shared" si="88"/>
        <v>42.6</v>
      </c>
      <c r="KQ9" s="40" t="str">
        <f t="shared" si="89"/>
        <v/>
      </c>
      <c r="KR9" s="40">
        <f t="shared" si="90"/>
        <v>7.8999999999999995</v>
      </c>
      <c r="KS9" s="40">
        <f t="shared" si="91"/>
        <v>42.6</v>
      </c>
      <c r="KT9" s="40" t="str">
        <f t="shared" si="92"/>
        <v/>
      </c>
      <c r="KU9" s="40" t="str">
        <f t="shared" si="93"/>
        <v/>
      </c>
      <c r="KV9" s="40">
        <f t="shared" si="94"/>
        <v>42.6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1" t="str">
        <f t="shared" si="100"/>
        <v/>
      </c>
      <c r="LW9" s="11" t="str">
        <f t="shared" si="101"/>
        <v/>
      </c>
      <c r="LX9" s="11" t="str">
        <f t="shared" si="102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3"/>
        <v/>
      </c>
      <c r="MT9" s="40" t="str">
        <f t="shared" si="104"/>
        <v/>
      </c>
      <c r="MU9" s="40" t="str">
        <f t="shared" si="105"/>
        <v/>
      </c>
      <c r="MV9" s="40" t="str">
        <f t="shared" si="106"/>
        <v/>
      </c>
      <c r="MW9" s="40" t="str">
        <f t="shared" si="107"/>
        <v/>
      </c>
      <c r="MX9" s="40" t="str">
        <f t="shared" si="108"/>
        <v/>
      </c>
      <c r="MY9" s="40" t="str">
        <f t="shared" si="109"/>
        <v/>
      </c>
      <c r="MZ9" s="40" t="str">
        <f t="shared" si="110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1" t="str">
        <f t="shared" si="116"/>
        <v/>
      </c>
      <c r="OA9" s="11" t="str">
        <f t="shared" si="117"/>
        <v/>
      </c>
      <c r="OB9" s="11" t="str">
        <f t="shared" si="118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19"/>
        <v/>
      </c>
      <c r="OX9" s="40" t="str">
        <f t="shared" si="120"/>
        <v/>
      </c>
      <c r="OY9" s="40" t="str">
        <f t="shared" si="121"/>
        <v/>
      </c>
      <c r="OZ9" s="40" t="str">
        <f t="shared" si="122"/>
        <v/>
      </c>
      <c r="PA9" s="40" t="str">
        <f t="shared" si="123"/>
        <v/>
      </c>
      <c r="PB9" s="40" t="str">
        <f t="shared" si="124"/>
        <v/>
      </c>
      <c r="PC9" s="40" t="str">
        <f t="shared" si="125"/>
        <v/>
      </c>
      <c r="PD9" s="40" t="str">
        <f t="shared" si="126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11" t="str">
        <f t="shared" si="132"/>
        <v/>
      </c>
      <c r="QE9" s="11" t="str">
        <f t="shared" si="133"/>
        <v/>
      </c>
      <c r="QF9" s="11" t="str">
        <f t="shared" si="134"/>
        <v/>
      </c>
      <c r="QG9" s="22">
        <f t="shared" si="135"/>
        <v>18.05</v>
      </c>
      <c r="QH9" s="22">
        <f t="shared" si="136"/>
        <v>7.3000000000000007</v>
      </c>
      <c r="QI9" s="22">
        <f t="shared" si="137"/>
        <v>0.2</v>
      </c>
      <c r="QJ9" s="22">
        <f t="shared" si="138"/>
        <v>0.15</v>
      </c>
      <c r="QK9" s="22">
        <f t="shared" si="139"/>
        <v>18.45</v>
      </c>
      <c r="QL9" s="22">
        <f t="shared" si="140"/>
        <v>7.6999999999999993</v>
      </c>
      <c r="QM9" s="22">
        <f t="shared" si="141"/>
        <v>0.4</v>
      </c>
      <c r="QN9" s="22">
        <f t="shared" si="142"/>
        <v>0.15</v>
      </c>
      <c r="QO9" s="22">
        <f t="shared" si="143"/>
        <v>17.899999999999999</v>
      </c>
      <c r="QP9" s="22">
        <f t="shared" si="144"/>
        <v>6.45</v>
      </c>
      <c r="QQ9" s="22">
        <f t="shared" si="145"/>
        <v>0</v>
      </c>
      <c r="QR9" s="22">
        <f t="shared" si="146"/>
        <v>0.3</v>
      </c>
      <c r="QS9" s="22">
        <f t="shared" si="147"/>
        <v>9.3000000000000007</v>
      </c>
      <c r="QT9" s="22">
        <f t="shared" si="148"/>
        <v>4.05</v>
      </c>
      <c r="QU9" s="22">
        <f t="shared" si="149"/>
        <v>0.3</v>
      </c>
      <c r="QV9" s="22">
        <f t="shared" si="150"/>
        <v>0.15</v>
      </c>
      <c r="QW9" s="22">
        <f t="shared" si="151"/>
        <v>8.15</v>
      </c>
      <c r="QX9" s="22">
        <f t="shared" si="152"/>
        <v>4.8</v>
      </c>
      <c r="QY9" s="22">
        <f t="shared" si="153"/>
        <v>0.5</v>
      </c>
      <c r="QZ9" s="22">
        <f t="shared" si="154"/>
        <v>0.15</v>
      </c>
      <c r="RA9" s="27" t="s">
        <v>46</v>
      </c>
      <c r="RB9" s="40">
        <f t="shared" si="155"/>
        <v>15</v>
      </c>
      <c r="RC9" s="40">
        <f t="shared" si="156"/>
        <v>51.2</v>
      </c>
      <c r="RD9" s="40">
        <f t="shared" si="157"/>
        <v>24.65</v>
      </c>
      <c r="RE9" s="40">
        <f t="shared" si="158"/>
        <v>21.45</v>
      </c>
      <c r="RF9" s="40">
        <f t="shared" si="159"/>
        <v>75.849999999999994</v>
      </c>
      <c r="RG9" s="40">
        <f t="shared" si="160"/>
        <v>8.85</v>
      </c>
      <c r="RH9" s="40">
        <f t="shared" si="161"/>
        <v>25.8</v>
      </c>
      <c r="RI9" s="40">
        <f t="shared" si="162"/>
        <v>101.64999999999999</v>
      </c>
    </row>
    <row r="10" spans="1:477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1</v>
      </c>
      <c r="C10" s="5" t="s">
        <v>207</v>
      </c>
      <c r="D10" s="4" t="s">
        <v>4</v>
      </c>
      <c r="E10" s="4">
        <v>2007</v>
      </c>
      <c r="F10" s="9">
        <f t="shared" si="163"/>
        <v>179.10001271000519</v>
      </c>
      <c r="G10" s="66"/>
      <c r="H10" s="3" t="str">
        <f t="shared" si="0"/>
        <v>P</v>
      </c>
      <c r="I10" s="3" t="str">
        <f t="shared" si="1"/>
        <v>P</v>
      </c>
      <c r="J10" s="36" t="str">
        <f t="shared" si="2"/>
        <v>National Team</v>
      </c>
      <c r="K10" s="3" t="str">
        <f t="shared" si="3"/>
        <v/>
      </c>
      <c r="L10" s="8">
        <f>IF(COUNT(AS10,BV10,CY10)&gt;0,LARGE((AS10,BV10,CY10),1),0)</f>
        <v>51.7</v>
      </c>
      <c r="M10" s="8" t="str">
        <f t="shared" si="4"/>
        <v>2024 Elite Canada</v>
      </c>
      <c r="N10" s="8">
        <f>IF(COUNT(AS10,BV10,CY10)&gt;1,LARGE((AS10,BV10,CY10),2),0)</f>
        <v>50.199999999999996</v>
      </c>
      <c r="O10" s="8" t="str">
        <f t="shared" si="5"/>
        <v>2023 3rd Domestic Trial</v>
      </c>
      <c r="P10" s="8">
        <f>IF(COUNT(AT10,BW10,CZ10)&gt;0,LARGE((AT10,BW10,CZ10),1),0)</f>
        <v>25.2</v>
      </c>
      <c r="Q10" s="8" t="str">
        <f t="shared" si="6"/>
        <v>2024 Elite Canada</v>
      </c>
      <c r="R10" s="8">
        <f t="shared" si="7"/>
        <v>50.800000000000004</v>
      </c>
      <c r="S10" s="8" t="str">
        <f t="shared" si="8"/>
        <v>2024 Elite Canada</v>
      </c>
      <c r="T10" s="8">
        <f t="shared" si="9"/>
        <v>1.2000000000000099</v>
      </c>
      <c r="U10" s="11" t="str">
        <f t="shared" si="10"/>
        <v>(Q1)</v>
      </c>
      <c r="V10" s="8" t="str">
        <f t="shared" si="11"/>
        <v>2023 WAGC (Nov 17)</v>
      </c>
      <c r="W10" s="19">
        <v>18.100000000000001</v>
      </c>
      <c r="X10" s="19">
        <v>7.6</v>
      </c>
      <c r="Y10" s="19">
        <v>0.6</v>
      </c>
      <c r="Z10" s="19">
        <v>0</v>
      </c>
      <c r="AA10" s="19">
        <v>17.899999999999999</v>
      </c>
      <c r="AB10" s="19">
        <v>6.8</v>
      </c>
      <c r="AC10" s="19">
        <v>0.2</v>
      </c>
      <c r="AD10" s="19">
        <v>0</v>
      </c>
      <c r="AE10" s="19">
        <v>17.2</v>
      </c>
      <c r="AF10" s="19">
        <v>2.8</v>
      </c>
      <c r="AG10" s="19">
        <v>0</v>
      </c>
      <c r="AH10" s="19">
        <v>0</v>
      </c>
      <c r="AI10" s="19">
        <v>18.2</v>
      </c>
      <c r="AJ10" s="19">
        <v>7.6</v>
      </c>
      <c r="AK10" s="19">
        <v>0</v>
      </c>
      <c r="AL10" s="19">
        <v>0</v>
      </c>
      <c r="AM10" s="19">
        <v>18.100000000000001</v>
      </c>
      <c r="AN10" s="19">
        <v>6.8</v>
      </c>
      <c r="AO10" s="19">
        <v>0.6</v>
      </c>
      <c r="AP10" s="19">
        <v>0</v>
      </c>
      <c r="AQ10" s="27"/>
      <c r="AR10" s="40">
        <f t="shared" si="12"/>
        <v>14.399999999999999</v>
      </c>
      <c r="AS10" s="40">
        <f t="shared" si="13"/>
        <v>49.599999999999994</v>
      </c>
      <c r="AT10" s="40">
        <f t="shared" si="14"/>
        <v>20</v>
      </c>
      <c r="AU10" s="40">
        <f t="shared" si="15"/>
        <v>17.2</v>
      </c>
      <c r="AV10" s="40">
        <f t="shared" si="16"/>
        <v>69.599999999999994</v>
      </c>
      <c r="AW10" s="40">
        <f t="shared" si="17"/>
        <v>14.399999999999999</v>
      </c>
      <c r="AX10" s="40">
        <f t="shared" si="18"/>
        <v>50.099999999999994</v>
      </c>
      <c r="AY10" s="40">
        <f t="shared" si="19"/>
        <v>119.69999999999999</v>
      </c>
      <c r="AZ10" s="18">
        <v>18.600000000000001</v>
      </c>
      <c r="BA10" s="18">
        <v>7.2</v>
      </c>
      <c r="BB10" s="18">
        <v>0.6</v>
      </c>
      <c r="BC10" s="18">
        <v>0</v>
      </c>
      <c r="BD10" s="18">
        <v>18.2</v>
      </c>
      <c r="BE10" s="18">
        <v>6.8</v>
      </c>
      <c r="BF10" s="18">
        <v>0</v>
      </c>
      <c r="BG10" s="18">
        <v>0</v>
      </c>
      <c r="BH10" s="18">
        <v>17.7</v>
      </c>
      <c r="BI10" s="18">
        <v>6</v>
      </c>
      <c r="BJ10" s="18">
        <v>0.6</v>
      </c>
      <c r="BK10" s="18">
        <v>0</v>
      </c>
      <c r="BL10" s="18">
        <v>18.2</v>
      </c>
      <c r="BM10" s="18">
        <v>7.2</v>
      </c>
      <c r="BN10" s="18">
        <v>0.8</v>
      </c>
      <c r="BO10" s="18">
        <v>0</v>
      </c>
      <c r="BP10" s="18">
        <v>18</v>
      </c>
      <c r="BQ10" s="18">
        <v>6.8000000000000007</v>
      </c>
      <c r="BR10" s="18">
        <v>0.6</v>
      </c>
      <c r="BS10" s="18">
        <v>0</v>
      </c>
      <c r="BT10" s="28"/>
      <c r="BU10" s="11">
        <f t="shared" si="20"/>
        <v>14</v>
      </c>
      <c r="BV10" s="11">
        <f t="shared" si="21"/>
        <v>50.199999999999996</v>
      </c>
      <c r="BW10" s="11">
        <f t="shared" si="22"/>
        <v>23.099999999999998</v>
      </c>
      <c r="BX10" s="11">
        <f t="shared" si="23"/>
        <v>20</v>
      </c>
      <c r="BY10" s="11">
        <f t="shared" si="24"/>
        <v>73.3</v>
      </c>
      <c r="BZ10" s="11">
        <f t="shared" si="25"/>
        <v>14</v>
      </c>
      <c r="CA10" s="11">
        <f t="shared" si="26"/>
        <v>48.800000000000004</v>
      </c>
      <c r="CB10" s="11">
        <f t="shared" si="27"/>
        <v>122.1</v>
      </c>
      <c r="CC10" s="19">
        <v>18.2</v>
      </c>
      <c r="CD10" s="19">
        <v>8.4</v>
      </c>
      <c r="CE10" s="19">
        <v>0.6</v>
      </c>
      <c r="CF10" s="19">
        <v>0</v>
      </c>
      <c r="CG10" s="19">
        <v>18.5</v>
      </c>
      <c r="CH10" s="19">
        <v>7.2</v>
      </c>
      <c r="CI10" s="19">
        <v>0</v>
      </c>
      <c r="CJ10" s="19">
        <v>0</v>
      </c>
      <c r="CK10" s="19">
        <v>18.100000000000001</v>
      </c>
      <c r="CL10" s="19">
        <v>7.7</v>
      </c>
      <c r="CM10" s="19">
        <v>0.6</v>
      </c>
      <c r="CN10" s="19">
        <v>0</v>
      </c>
      <c r="CO10" s="19">
        <v>18.7</v>
      </c>
      <c r="CP10" s="19">
        <v>8.4</v>
      </c>
      <c r="CQ10" s="19">
        <v>0.6</v>
      </c>
      <c r="CR10" s="19">
        <v>0</v>
      </c>
      <c r="CS10" s="19">
        <v>18.3</v>
      </c>
      <c r="CT10" s="19">
        <v>6.8</v>
      </c>
      <c r="CU10" s="19">
        <v>0.8</v>
      </c>
      <c r="CV10" s="19">
        <v>0</v>
      </c>
      <c r="CW10" s="27"/>
      <c r="CX10" s="40">
        <f t="shared" si="28"/>
        <v>15.600000000000001</v>
      </c>
      <c r="CY10" s="40">
        <f t="shared" si="29"/>
        <v>51.7</v>
      </c>
      <c r="CZ10" s="40">
        <f t="shared" si="30"/>
        <v>25.2</v>
      </c>
      <c r="DA10" s="40">
        <f t="shared" si="31"/>
        <v>23.3</v>
      </c>
      <c r="DB10" s="40">
        <f t="shared" si="32"/>
        <v>76.900000000000006</v>
      </c>
      <c r="DC10" s="40">
        <f t="shared" si="33"/>
        <v>15.2</v>
      </c>
      <c r="DD10" s="40">
        <f t="shared" si="34"/>
        <v>50.800000000000004</v>
      </c>
      <c r="DE10" s="40">
        <f t="shared" si="35"/>
        <v>127.70000000000002</v>
      </c>
      <c r="DF10" s="50">
        <f t="shared" si="36"/>
        <v>1.2000000000000099</v>
      </c>
      <c r="DG10" s="50" t="str">
        <f t="shared" si="37"/>
        <v/>
      </c>
      <c r="DH10" s="50" t="str">
        <f t="shared" si="38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39"/>
        <v/>
      </c>
      <c r="ED10" s="40" t="str">
        <f t="shared" si="40"/>
        <v/>
      </c>
      <c r="EE10" s="40" t="str">
        <f t="shared" si="41"/>
        <v/>
      </c>
      <c r="EF10" s="40" t="str">
        <f t="shared" si="42"/>
        <v/>
      </c>
      <c r="EG10" s="40" t="str">
        <f t="shared" si="43"/>
        <v/>
      </c>
      <c r="EH10" s="40" t="str">
        <f t="shared" si="44"/>
        <v/>
      </c>
      <c r="EI10" s="40" t="str">
        <f t="shared" si="45"/>
        <v/>
      </c>
      <c r="EJ10" s="40" t="str">
        <f t="shared" si="46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1" t="str">
        <f t="shared" si="52"/>
        <v/>
      </c>
      <c r="FK10" s="11" t="str">
        <f t="shared" si="53"/>
        <v/>
      </c>
      <c r="FL10" s="11" t="str">
        <f t="shared" si="54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5"/>
        <v/>
      </c>
      <c r="GH10" s="40" t="str">
        <f t="shared" si="56"/>
        <v/>
      </c>
      <c r="GI10" s="40" t="str">
        <f t="shared" si="57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2"/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3"/>
        <v/>
      </c>
      <c r="HJ10" s="11" t="str">
        <f t="shared" si="64"/>
        <v/>
      </c>
      <c r="HK10" s="11" t="str">
        <f t="shared" si="65"/>
        <v/>
      </c>
      <c r="HL10" s="11" t="str">
        <f t="shared" si="66"/>
        <v/>
      </c>
      <c r="HM10" s="11" t="str">
        <f t="shared" si="67"/>
        <v/>
      </c>
      <c r="HN10" s="11" t="str">
        <f t="shared" si="68"/>
        <v/>
      </c>
      <c r="HO10" s="11" t="str">
        <f t="shared" si="69"/>
        <v/>
      </c>
      <c r="HP10" s="11" t="str">
        <f t="shared" si="70"/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1"/>
        <v/>
      </c>
      <c r="IL10" s="40" t="str">
        <f t="shared" si="72"/>
        <v/>
      </c>
      <c r="IM10" s="40" t="str">
        <f t="shared" si="73"/>
        <v/>
      </c>
      <c r="IN10" s="40" t="str">
        <f t="shared" si="74"/>
        <v/>
      </c>
      <c r="IO10" s="40" t="str">
        <f t="shared" si="75"/>
        <v/>
      </c>
      <c r="IP10" s="40" t="str">
        <f t="shared" si="76"/>
        <v/>
      </c>
      <c r="IQ10" s="40" t="str">
        <f t="shared" si="77"/>
        <v/>
      </c>
      <c r="IR10" s="40" t="str">
        <f t="shared" si="78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79"/>
        <v/>
      </c>
      <c r="JN10" s="11" t="str">
        <f t="shared" si="80"/>
        <v/>
      </c>
      <c r="JO10" s="11" t="str">
        <f t="shared" si="81"/>
        <v/>
      </c>
      <c r="JP10" s="11" t="str">
        <f t="shared" si="82"/>
        <v/>
      </c>
      <c r="JQ10" s="11" t="str">
        <f t="shared" si="83"/>
        <v/>
      </c>
      <c r="JR10" s="11" t="str">
        <f t="shared" si="84"/>
        <v/>
      </c>
      <c r="JS10" s="11" t="str">
        <f t="shared" si="85"/>
        <v/>
      </c>
      <c r="JT10" s="11" t="str">
        <f t="shared" si="86"/>
        <v/>
      </c>
      <c r="JU10" s="17">
        <v>18.5</v>
      </c>
      <c r="JV10" s="17">
        <v>7.6</v>
      </c>
      <c r="JW10" s="17">
        <v>0.6</v>
      </c>
      <c r="JX10" s="17">
        <v>0</v>
      </c>
      <c r="JY10" s="17">
        <v>18.3</v>
      </c>
      <c r="JZ10" s="17">
        <v>7.6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 t="shared" si="87"/>
        <v>15.2</v>
      </c>
      <c r="KP10" s="40">
        <f t="shared" si="88"/>
        <v>51.400000000000006</v>
      </c>
      <c r="KQ10" s="40" t="str">
        <f t="shared" si="89"/>
        <v/>
      </c>
      <c r="KR10" s="40">
        <f t="shared" si="90"/>
        <v>15.2</v>
      </c>
      <c r="KS10" s="40">
        <f t="shared" si="91"/>
        <v>51.400000000000006</v>
      </c>
      <c r="KT10" s="40" t="str">
        <f t="shared" si="92"/>
        <v/>
      </c>
      <c r="KU10" s="40" t="str">
        <f t="shared" si="93"/>
        <v/>
      </c>
      <c r="KV10" s="40">
        <f t="shared" si="94"/>
        <v>51.400000000000006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1" t="str">
        <f t="shared" si="100"/>
        <v/>
      </c>
      <c r="LW10" s="11" t="str">
        <f t="shared" si="101"/>
        <v/>
      </c>
      <c r="LX10" s="11" t="str">
        <f t="shared" si="102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3"/>
        <v/>
      </c>
      <c r="MT10" s="40" t="str">
        <f t="shared" si="104"/>
        <v/>
      </c>
      <c r="MU10" s="40" t="str">
        <f t="shared" si="105"/>
        <v/>
      </c>
      <c r="MV10" s="40" t="str">
        <f t="shared" si="106"/>
        <v/>
      </c>
      <c r="MW10" s="40" t="str">
        <f t="shared" si="107"/>
        <v/>
      </c>
      <c r="MX10" s="40" t="str">
        <f t="shared" si="108"/>
        <v/>
      </c>
      <c r="MY10" s="40" t="str">
        <f t="shared" si="109"/>
        <v/>
      </c>
      <c r="MZ10" s="40" t="str">
        <f t="shared" si="110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1" t="str">
        <f t="shared" si="116"/>
        <v/>
      </c>
      <c r="OA10" s="11" t="str">
        <f t="shared" si="117"/>
        <v/>
      </c>
      <c r="OB10" s="11" t="str">
        <f t="shared" si="118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19"/>
        <v/>
      </c>
      <c r="OX10" s="40" t="str">
        <f t="shared" si="120"/>
        <v/>
      </c>
      <c r="OY10" s="40" t="str">
        <f t="shared" si="121"/>
        <v/>
      </c>
      <c r="OZ10" s="40" t="str">
        <f t="shared" si="122"/>
        <v/>
      </c>
      <c r="PA10" s="40" t="str">
        <f t="shared" si="123"/>
        <v/>
      </c>
      <c r="PB10" s="40" t="str">
        <f t="shared" si="124"/>
        <v/>
      </c>
      <c r="PC10" s="40" t="str">
        <f t="shared" si="125"/>
        <v/>
      </c>
      <c r="PD10" s="40" t="str">
        <f t="shared" si="126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11" t="str">
        <f t="shared" si="132"/>
        <v/>
      </c>
      <c r="QE10" s="11" t="str">
        <f t="shared" si="133"/>
        <v/>
      </c>
      <c r="QF10" s="11" t="str">
        <f t="shared" si="134"/>
        <v/>
      </c>
      <c r="QG10" s="22">
        <f t="shared" si="135"/>
        <v>18.399999999999999</v>
      </c>
      <c r="QH10" s="22">
        <f t="shared" si="136"/>
        <v>7.8000000000000007</v>
      </c>
      <c r="QI10" s="22">
        <f t="shared" si="137"/>
        <v>0.6</v>
      </c>
      <c r="QJ10" s="22">
        <f t="shared" si="138"/>
        <v>0</v>
      </c>
      <c r="QK10" s="22">
        <f t="shared" si="139"/>
        <v>18.350000000000001</v>
      </c>
      <c r="QL10" s="22">
        <f t="shared" si="140"/>
        <v>7</v>
      </c>
      <c r="QM10" s="22">
        <f t="shared" si="141"/>
        <v>0</v>
      </c>
      <c r="QN10" s="22">
        <f t="shared" si="142"/>
        <v>0</v>
      </c>
      <c r="QO10" s="22">
        <f t="shared" si="143"/>
        <v>17.899999999999999</v>
      </c>
      <c r="QP10" s="22">
        <f t="shared" si="144"/>
        <v>6.85</v>
      </c>
      <c r="QQ10" s="22">
        <f t="shared" si="145"/>
        <v>0.6</v>
      </c>
      <c r="QR10" s="22">
        <f t="shared" si="146"/>
        <v>0</v>
      </c>
      <c r="QS10" s="22">
        <f t="shared" si="147"/>
        <v>18.45</v>
      </c>
      <c r="QT10" s="22">
        <f t="shared" si="148"/>
        <v>7.8000000000000007</v>
      </c>
      <c r="QU10" s="22">
        <f t="shared" si="149"/>
        <v>0.7</v>
      </c>
      <c r="QV10" s="22">
        <f t="shared" si="150"/>
        <v>0</v>
      </c>
      <c r="QW10" s="22">
        <f t="shared" si="151"/>
        <v>18.149999999999999</v>
      </c>
      <c r="QX10" s="22">
        <f t="shared" si="152"/>
        <v>6.8000000000000007</v>
      </c>
      <c r="QY10" s="22">
        <f t="shared" si="153"/>
        <v>0.7</v>
      </c>
      <c r="QZ10" s="22">
        <f t="shared" si="154"/>
        <v>0</v>
      </c>
      <c r="RA10" s="27" t="s">
        <v>46</v>
      </c>
      <c r="RB10" s="40">
        <f t="shared" si="155"/>
        <v>14.8</v>
      </c>
      <c r="RC10" s="40">
        <f t="shared" si="156"/>
        <v>50.949999999999996</v>
      </c>
      <c r="RD10" s="40">
        <f t="shared" si="157"/>
        <v>24.15</v>
      </c>
      <c r="RE10" s="40">
        <f t="shared" si="158"/>
        <v>21.65</v>
      </c>
      <c r="RF10" s="40">
        <f t="shared" si="159"/>
        <v>75.099999999999994</v>
      </c>
      <c r="RG10" s="40">
        <f t="shared" si="160"/>
        <v>14.600000000000001</v>
      </c>
      <c r="RH10" s="40">
        <f t="shared" si="161"/>
        <v>49.800000000000004</v>
      </c>
      <c r="RI10" s="40">
        <f t="shared" si="162"/>
        <v>124.9</v>
      </c>
    </row>
    <row r="11" spans="1:477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2</v>
      </c>
      <c r="C11" s="5" t="s">
        <v>100</v>
      </c>
      <c r="D11" s="4" t="s">
        <v>4</v>
      </c>
      <c r="E11" s="4">
        <v>2004</v>
      </c>
      <c r="F11" s="9">
        <f t="shared" si="163"/>
        <v>178.95001278500519</v>
      </c>
      <c r="G11" s="66"/>
      <c r="H11" s="3" t="str">
        <f t="shared" si="0"/>
        <v>P</v>
      </c>
      <c r="I11" s="3" t="str">
        <f t="shared" si="1"/>
        <v>P</v>
      </c>
      <c r="J11" s="36" t="str">
        <f t="shared" si="2"/>
        <v>National Team</v>
      </c>
      <c r="K11" s="3" t="str">
        <f t="shared" si="3"/>
        <v/>
      </c>
      <c r="L11" s="8">
        <f>IF(COUNT(AS11,BV11,CY11)&gt;0,LARGE((AS11,BV11,CY11),1),0)</f>
        <v>52.1</v>
      </c>
      <c r="M11" s="8" t="str">
        <f t="shared" si="4"/>
        <v>2024 Elite Canada</v>
      </c>
      <c r="N11" s="8">
        <f>IF(COUNT(AS11,BV11,CY11)&gt;1,LARGE((AS11,BV11,CY11),2),0)</f>
        <v>50.4</v>
      </c>
      <c r="O11" s="8" t="str">
        <f t="shared" si="5"/>
        <v>2023 Nationals</v>
      </c>
      <c r="P11" s="8">
        <f>IF(COUNT(AT11,BW11,CZ11)&gt;0,LARGE((AT11,BW11,CZ11),1),0)</f>
        <v>25.35</v>
      </c>
      <c r="Q11" s="8" t="str">
        <f t="shared" si="6"/>
        <v>2023 Nationals</v>
      </c>
      <c r="R11" s="8">
        <f t="shared" si="7"/>
        <v>51.099999999999994</v>
      </c>
      <c r="S11" s="8" t="str">
        <f t="shared" si="8"/>
        <v>2023 Nationals</v>
      </c>
      <c r="T11" s="8" t="str">
        <f t="shared" si="9"/>
        <v/>
      </c>
      <c r="U11" s="11" t="str">
        <f t="shared" si="10"/>
        <v/>
      </c>
      <c r="V11" s="8" t="str">
        <f t="shared" si="11"/>
        <v/>
      </c>
      <c r="W11" s="19">
        <v>17.75</v>
      </c>
      <c r="X11" s="19">
        <v>7.65</v>
      </c>
      <c r="Y11" s="19">
        <v>0.4</v>
      </c>
      <c r="Z11" s="19">
        <v>0.15</v>
      </c>
      <c r="AA11" s="19">
        <v>18.350000000000001</v>
      </c>
      <c r="AB11" s="19">
        <v>7.6</v>
      </c>
      <c r="AC11" s="19">
        <v>0.7</v>
      </c>
      <c r="AD11" s="19">
        <v>0</v>
      </c>
      <c r="AE11" s="19">
        <v>18.55</v>
      </c>
      <c r="AF11" s="19">
        <v>7.2</v>
      </c>
      <c r="AG11" s="19">
        <v>0.4</v>
      </c>
      <c r="AH11" s="19">
        <v>0</v>
      </c>
      <c r="AI11" s="19">
        <v>18.600000000000001</v>
      </c>
      <c r="AJ11" s="19">
        <v>7.25</v>
      </c>
      <c r="AK11" s="19">
        <v>0.4</v>
      </c>
      <c r="AL11" s="19">
        <v>0.15</v>
      </c>
      <c r="AM11" s="19">
        <v>18.399999999999999</v>
      </c>
      <c r="AN11" s="19">
        <v>7.8</v>
      </c>
      <c r="AO11" s="19">
        <v>0.7</v>
      </c>
      <c r="AP11" s="19">
        <v>0</v>
      </c>
      <c r="AQ11" s="27" t="s">
        <v>46</v>
      </c>
      <c r="AR11" s="40">
        <f t="shared" si="12"/>
        <v>15.25</v>
      </c>
      <c r="AS11" s="40">
        <f t="shared" si="13"/>
        <v>50.4</v>
      </c>
      <c r="AT11" s="40">
        <f t="shared" si="14"/>
        <v>25.35</v>
      </c>
      <c r="AU11" s="40">
        <f t="shared" si="15"/>
        <v>22.45</v>
      </c>
      <c r="AV11" s="40">
        <f t="shared" si="16"/>
        <v>75.75</v>
      </c>
      <c r="AW11" s="40">
        <f t="shared" si="17"/>
        <v>15.05</v>
      </c>
      <c r="AX11" s="40">
        <f t="shared" si="18"/>
        <v>51.099999999999994</v>
      </c>
      <c r="AY11" s="40">
        <f t="shared" si="19"/>
        <v>126.85</v>
      </c>
      <c r="AZ11" s="18">
        <v>17.2</v>
      </c>
      <c r="BA11" s="18">
        <v>3.6</v>
      </c>
      <c r="BB11" s="18">
        <v>0</v>
      </c>
      <c r="BC11" s="18">
        <v>0</v>
      </c>
      <c r="BD11" s="18">
        <v>18.600000000000001</v>
      </c>
      <c r="BE11" s="18">
        <v>7.6</v>
      </c>
      <c r="BF11" s="18">
        <v>1</v>
      </c>
      <c r="BG11" s="18">
        <v>0</v>
      </c>
      <c r="BH11" s="18">
        <v>17.600000000000001</v>
      </c>
      <c r="BI11" s="18">
        <v>2.8</v>
      </c>
      <c r="BJ11" s="18">
        <v>0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 t="shared" si="20"/>
        <v>11.2</v>
      </c>
      <c r="BV11" s="11">
        <f t="shared" si="21"/>
        <v>46.000000000000007</v>
      </c>
      <c r="BW11" s="11">
        <f t="shared" si="22"/>
        <v>20.400000000000002</v>
      </c>
      <c r="BX11" s="11">
        <f t="shared" si="23"/>
        <v>14</v>
      </c>
      <c r="BY11" s="11">
        <f t="shared" si="24"/>
        <v>66.400000000000006</v>
      </c>
      <c r="BZ11" s="11" t="str">
        <f t="shared" si="25"/>
        <v/>
      </c>
      <c r="CA11" s="11" t="str">
        <f t="shared" si="26"/>
        <v/>
      </c>
      <c r="CB11" s="11">
        <f t="shared" si="27"/>
        <v>66.400000000000006</v>
      </c>
      <c r="CC11" s="19">
        <v>18.5</v>
      </c>
      <c r="CD11" s="19">
        <v>8.4</v>
      </c>
      <c r="CE11" s="19">
        <v>0.6</v>
      </c>
      <c r="CF11" s="19">
        <v>0</v>
      </c>
      <c r="CG11" s="19">
        <v>18.600000000000001</v>
      </c>
      <c r="CH11" s="19">
        <v>7.2</v>
      </c>
      <c r="CI11" s="19">
        <v>0</v>
      </c>
      <c r="CJ11" s="19">
        <v>0</v>
      </c>
      <c r="CK11" s="19">
        <v>16.8</v>
      </c>
      <c r="CL11" s="19">
        <v>8.1</v>
      </c>
      <c r="CM11" s="19">
        <v>0.2</v>
      </c>
      <c r="CN11" s="19">
        <v>0.3</v>
      </c>
      <c r="CO11" s="19">
        <v>16.600000000000001</v>
      </c>
      <c r="CP11" s="19">
        <v>8.4</v>
      </c>
      <c r="CQ11" s="19">
        <v>1</v>
      </c>
      <c r="CR11" s="19">
        <v>0</v>
      </c>
      <c r="CS11" s="19">
        <v>17.100000000000001</v>
      </c>
      <c r="CT11" s="19">
        <v>5.0999999999999996</v>
      </c>
      <c r="CU11" s="19">
        <v>0</v>
      </c>
      <c r="CV11" s="19">
        <v>0.3</v>
      </c>
      <c r="CW11" s="27"/>
      <c r="CX11" s="40">
        <f t="shared" si="28"/>
        <v>15.600000000000001</v>
      </c>
      <c r="CY11" s="40">
        <f t="shared" si="29"/>
        <v>52.1</v>
      </c>
      <c r="CZ11" s="40">
        <f t="shared" si="30"/>
        <v>25</v>
      </c>
      <c r="DA11" s="40">
        <f t="shared" si="31"/>
        <v>23.700000000000003</v>
      </c>
      <c r="DB11" s="40">
        <f t="shared" si="32"/>
        <v>77.099999999999994</v>
      </c>
      <c r="DC11" s="40">
        <f t="shared" si="33"/>
        <v>13.5</v>
      </c>
      <c r="DD11" s="40">
        <f t="shared" si="34"/>
        <v>46.5</v>
      </c>
      <c r="DE11" s="40">
        <f t="shared" si="35"/>
        <v>123.6</v>
      </c>
      <c r="DF11" s="50" t="str">
        <f t="shared" si="36"/>
        <v/>
      </c>
      <c r="DG11" s="50" t="str">
        <f t="shared" si="37"/>
        <v/>
      </c>
      <c r="DH11" s="50" t="str">
        <f t="shared" si="38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39"/>
        <v/>
      </c>
      <c r="ED11" s="40" t="str">
        <f t="shared" si="40"/>
        <v/>
      </c>
      <c r="EE11" s="40" t="str">
        <f t="shared" si="41"/>
        <v/>
      </c>
      <c r="EF11" s="40" t="str">
        <f t="shared" si="42"/>
        <v/>
      </c>
      <c r="EG11" s="40" t="str">
        <f t="shared" si="43"/>
        <v/>
      </c>
      <c r="EH11" s="40" t="str">
        <f t="shared" si="44"/>
        <v/>
      </c>
      <c r="EI11" s="40" t="str">
        <f t="shared" si="45"/>
        <v/>
      </c>
      <c r="EJ11" s="40" t="str">
        <f t="shared" si="46"/>
        <v/>
      </c>
      <c r="EK11" s="18">
        <v>0</v>
      </c>
      <c r="EL11" s="18">
        <v>0</v>
      </c>
      <c r="EM11" s="18">
        <v>0</v>
      </c>
      <c r="EN11" s="18">
        <v>0</v>
      </c>
      <c r="EO11" s="18">
        <v>18</v>
      </c>
      <c r="EP11" s="18">
        <v>5.2</v>
      </c>
      <c r="EQ11" s="18">
        <v>0.6</v>
      </c>
      <c r="ER11" s="18">
        <v>0</v>
      </c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>
        <f t="shared" si="47"/>
        <v>5.2</v>
      </c>
      <c r="FF11" s="11">
        <f t="shared" si="48"/>
        <v>22.599999999999998</v>
      </c>
      <c r="FG11" s="11" t="str">
        <f t="shared" si="49"/>
        <v/>
      </c>
      <c r="FH11" s="11">
        <f t="shared" si="50"/>
        <v>5.2</v>
      </c>
      <c r="FI11" s="11">
        <f t="shared" si="51"/>
        <v>22.599999999999998</v>
      </c>
      <c r="FJ11" s="11" t="str">
        <f t="shared" si="52"/>
        <v/>
      </c>
      <c r="FK11" s="11" t="str">
        <f t="shared" si="53"/>
        <v/>
      </c>
      <c r="FL11" s="11">
        <f t="shared" si="54"/>
        <v>22.599999999999998</v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5"/>
        <v/>
      </c>
      <c r="GH11" s="40" t="str">
        <f t="shared" si="56"/>
        <v/>
      </c>
      <c r="GI11" s="40" t="str">
        <f t="shared" si="57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2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1" t="str">
        <f t="shared" si="68"/>
        <v/>
      </c>
      <c r="HO11" s="11" t="str">
        <f t="shared" si="69"/>
        <v/>
      </c>
      <c r="HP11" s="11" t="str">
        <f t="shared" si="70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1"/>
        <v/>
      </c>
      <c r="IL11" s="40" t="str">
        <f t="shared" si="72"/>
        <v/>
      </c>
      <c r="IM11" s="40" t="str">
        <f t="shared" si="73"/>
        <v/>
      </c>
      <c r="IN11" s="40" t="str">
        <f t="shared" si="74"/>
        <v/>
      </c>
      <c r="IO11" s="40" t="str">
        <f t="shared" si="75"/>
        <v/>
      </c>
      <c r="IP11" s="40" t="str">
        <f t="shared" si="76"/>
        <v/>
      </c>
      <c r="IQ11" s="40" t="str">
        <f t="shared" si="77"/>
        <v/>
      </c>
      <c r="IR11" s="40" t="str">
        <f t="shared" si="78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1" t="str">
        <f t="shared" si="84"/>
        <v/>
      </c>
      <c r="JS11" s="11" t="str">
        <f t="shared" si="85"/>
        <v/>
      </c>
      <c r="JT11" s="11" t="str">
        <f t="shared" si="86"/>
        <v/>
      </c>
      <c r="JU11" s="17">
        <v>17.3</v>
      </c>
      <c r="JV11" s="17">
        <v>2.8</v>
      </c>
      <c r="JW11" s="17">
        <v>0</v>
      </c>
      <c r="JX11" s="17">
        <v>0</v>
      </c>
      <c r="JY11" s="17">
        <v>18.2</v>
      </c>
      <c r="JZ11" s="17">
        <v>8.4</v>
      </c>
      <c r="KA11" s="17">
        <v>1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 t="shared" si="87"/>
        <v>11.2</v>
      </c>
      <c r="KP11" s="40">
        <f t="shared" si="88"/>
        <v>45.699999999999996</v>
      </c>
      <c r="KQ11" s="40" t="str">
        <f t="shared" si="89"/>
        <v/>
      </c>
      <c r="KR11" s="40">
        <f t="shared" si="90"/>
        <v>11.2</v>
      </c>
      <c r="KS11" s="40">
        <f t="shared" si="91"/>
        <v>45.699999999999996</v>
      </c>
      <c r="KT11" s="40" t="str">
        <f t="shared" si="92"/>
        <v/>
      </c>
      <c r="KU11" s="40" t="str">
        <f t="shared" si="93"/>
        <v/>
      </c>
      <c r="KV11" s="40">
        <f t="shared" si="94"/>
        <v>45.699999999999996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1" t="str">
        <f t="shared" si="100"/>
        <v/>
      </c>
      <c r="LW11" s="11" t="str">
        <f t="shared" si="101"/>
        <v/>
      </c>
      <c r="LX11" s="11" t="str">
        <f t="shared" si="102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3"/>
        <v/>
      </c>
      <c r="MT11" s="40" t="str">
        <f t="shared" si="104"/>
        <v/>
      </c>
      <c r="MU11" s="40" t="str">
        <f t="shared" si="105"/>
        <v/>
      </c>
      <c r="MV11" s="40" t="str">
        <f t="shared" si="106"/>
        <v/>
      </c>
      <c r="MW11" s="40" t="str">
        <f t="shared" si="107"/>
        <v/>
      </c>
      <c r="MX11" s="40" t="str">
        <f t="shared" si="108"/>
        <v/>
      </c>
      <c r="MY11" s="40" t="str">
        <f t="shared" si="109"/>
        <v/>
      </c>
      <c r="MZ11" s="40" t="str">
        <f t="shared" si="110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1"/>
        <v/>
      </c>
      <c r="NV11" s="11" t="str">
        <f t="shared" si="112"/>
        <v/>
      </c>
      <c r="NW11" s="11" t="str">
        <f t="shared" si="113"/>
        <v/>
      </c>
      <c r="NX11" s="11" t="str">
        <f t="shared" si="114"/>
        <v/>
      </c>
      <c r="NY11" s="11" t="str">
        <f t="shared" si="115"/>
        <v/>
      </c>
      <c r="NZ11" s="11" t="str">
        <f t="shared" si="116"/>
        <v/>
      </c>
      <c r="OA11" s="11" t="str">
        <f t="shared" si="117"/>
        <v/>
      </c>
      <c r="OB11" s="11" t="str">
        <f t="shared" si="118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19"/>
        <v/>
      </c>
      <c r="OX11" s="40" t="str">
        <f t="shared" si="120"/>
        <v/>
      </c>
      <c r="OY11" s="40" t="str">
        <f t="shared" si="121"/>
        <v/>
      </c>
      <c r="OZ11" s="40" t="str">
        <f t="shared" si="122"/>
        <v/>
      </c>
      <c r="PA11" s="40" t="str">
        <f t="shared" si="123"/>
        <v/>
      </c>
      <c r="PB11" s="40" t="str">
        <f t="shared" si="124"/>
        <v/>
      </c>
      <c r="PC11" s="40" t="str">
        <f t="shared" si="125"/>
        <v/>
      </c>
      <c r="PD11" s="40" t="str">
        <f t="shared" si="126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11" t="str">
        <f t="shared" si="132"/>
        <v/>
      </c>
      <c r="QE11" s="11" t="str">
        <f t="shared" si="133"/>
        <v/>
      </c>
      <c r="QF11" s="11" t="str">
        <f t="shared" si="134"/>
        <v/>
      </c>
      <c r="QG11" s="22">
        <f t="shared" si="135"/>
        <v>17.850000000000001</v>
      </c>
      <c r="QH11" s="22">
        <f t="shared" si="136"/>
        <v>6</v>
      </c>
      <c r="QI11" s="22">
        <f t="shared" si="137"/>
        <v>0.3</v>
      </c>
      <c r="QJ11" s="22">
        <f t="shared" si="138"/>
        <v>0</v>
      </c>
      <c r="QK11" s="22">
        <f t="shared" si="139"/>
        <v>18.600000000000001</v>
      </c>
      <c r="QL11" s="22">
        <f t="shared" si="140"/>
        <v>7.4</v>
      </c>
      <c r="QM11" s="22">
        <f t="shared" si="141"/>
        <v>0.5</v>
      </c>
      <c r="QN11" s="22">
        <f t="shared" si="142"/>
        <v>0</v>
      </c>
      <c r="QO11" s="22">
        <f t="shared" si="143"/>
        <v>17.200000000000003</v>
      </c>
      <c r="QP11" s="22">
        <f t="shared" si="144"/>
        <v>5.4499999999999993</v>
      </c>
      <c r="QQ11" s="22">
        <f t="shared" si="145"/>
        <v>0.1</v>
      </c>
      <c r="QR11" s="22">
        <f t="shared" si="146"/>
        <v>0.15</v>
      </c>
      <c r="QS11" s="22">
        <f t="shared" si="147"/>
        <v>8.3000000000000007</v>
      </c>
      <c r="QT11" s="22">
        <f t="shared" si="148"/>
        <v>4.2</v>
      </c>
      <c r="QU11" s="22">
        <f t="shared" si="149"/>
        <v>0.5</v>
      </c>
      <c r="QV11" s="22">
        <f t="shared" si="150"/>
        <v>0</v>
      </c>
      <c r="QW11" s="22">
        <f t="shared" si="151"/>
        <v>8.5500000000000007</v>
      </c>
      <c r="QX11" s="22">
        <f t="shared" si="152"/>
        <v>2.5499999999999998</v>
      </c>
      <c r="QY11" s="22">
        <f t="shared" si="153"/>
        <v>0</v>
      </c>
      <c r="QZ11" s="22">
        <f t="shared" si="154"/>
        <v>0.15</v>
      </c>
      <c r="RA11" s="27" t="s">
        <v>46</v>
      </c>
      <c r="RB11" s="40">
        <f t="shared" si="155"/>
        <v>13.4</v>
      </c>
      <c r="RC11" s="40">
        <f t="shared" si="156"/>
        <v>49.050000000000004</v>
      </c>
      <c r="RD11" s="40">
        <f t="shared" si="157"/>
        <v>22.7</v>
      </c>
      <c r="RE11" s="40">
        <f t="shared" si="158"/>
        <v>18.850000000000001</v>
      </c>
      <c r="RF11" s="40">
        <f t="shared" si="159"/>
        <v>71.75</v>
      </c>
      <c r="RG11" s="40">
        <f t="shared" si="160"/>
        <v>6.75</v>
      </c>
      <c r="RH11" s="40">
        <f t="shared" si="161"/>
        <v>23.25</v>
      </c>
      <c r="RI11" s="40">
        <f t="shared" si="162"/>
        <v>95</v>
      </c>
    </row>
    <row r="12" spans="1:477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3</v>
      </c>
      <c r="C12" s="5" t="s">
        <v>128</v>
      </c>
      <c r="D12" s="4" t="s">
        <v>107</v>
      </c>
      <c r="E12" s="4">
        <v>2005</v>
      </c>
      <c r="F12" s="9">
        <f t="shared" si="163"/>
        <v>178.50001272000509</v>
      </c>
      <c r="G12" s="66"/>
      <c r="H12" s="3" t="str">
        <f t="shared" si="0"/>
        <v>P</v>
      </c>
      <c r="I12" s="3" t="str">
        <f t="shared" si="1"/>
        <v>P</v>
      </c>
      <c r="J12" s="36" t="str">
        <f t="shared" si="2"/>
        <v>National Team</v>
      </c>
      <c r="K12" s="3" t="str">
        <f t="shared" si="3"/>
        <v/>
      </c>
      <c r="L12" s="8">
        <f>IF(COUNT(AS12,BV12,CY12)&gt;0,LARGE((AS12,BV12,CY12),1),0)</f>
        <v>51</v>
      </c>
      <c r="M12" s="8" t="str">
        <f t="shared" si="4"/>
        <v>2024 Elite Canada</v>
      </c>
      <c r="N12" s="8">
        <f>IF(COUNT(AS12,BV12,CY12)&gt;1,LARGE((AS12,BV12,CY12),2),0)</f>
        <v>50.9</v>
      </c>
      <c r="O12" s="8" t="str">
        <f t="shared" si="5"/>
        <v>2023 Nationals</v>
      </c>
      <c r="P12" s="8">
        <f>IF(COUNT(AT12,BW12,CZ12)&gt;0,LARGE((AT12,BW12,CZ12),1),0)</f>
        <v>25.3</v>
      </c>
      <c r="Q12" s="8" t="str">
        <f t="shared" si="6"/>
        <v>2023 Nationals</v>
      </c>
      <c r="R12" s="8">
        <f t="shared" si="7"/>
        <v>51</v>
      </c>
      <c r="S12" s="8" t="str">
        <f t="shared" si="8"/>
        <v>2023 Nationals</v>
      </c>
      <c r="T12" s="8">
        <f t="shared" si="9"/>
        <v>0.29999999999999716</v>
      </c>
      <c r="U12" s="11" t="str">
        <f t="shared" si="10"/>
        <v>(Q1)</v>
      </c>
      <c r="V12" s="8" t="str">
        <f t="shared" si="11"/>
        <v>2023 WAGC (Nov 17)</v>
      </c>
      <c r="W12" s="19">
        <v>18.5</v>
      </c>
      <c r="X12" s="19">
        <v>6.8</v>
      </c>
      <c r="Y12" s="19">
        <v>0</v>
      </c>
      <c r="Z12" s="19">
        <v>0</v>
      </c>
      <c r="AA12" s="19">
        <v>19</v>
      </c>
      <c r="AB12" s="19">
        <v>7.2</v>
      </c>
      <c r="AC12" s="19">
        <v>0.6</v>
      </c>
      <c r="AD12" s="19">
        <v>0</v>
      </c>
      <c r="AE12" s="19">
        <v>18.600000000000001</v>
      </c>
      <c r="AF12" s="19">
        <v>6.9</v>
      </c>
      <c r="AG12" s="19">
        <v>0.2</v>
      </c>
      <c r="AH12" s="19">
        <v>0</v>
      </c>
      <c r="AI12" s="19">
        <v>18.7</v>
      </c>
      <c r="AJ12" s="19">
        <v>6.8</v>
      </c>
      <c r="AK12" s="19">
        <v>0</v>
      </c>
      <c r="AL12" s="19">
        <v>0</v>
      </c>
      <c r="AM12" s="19">
        <v>18.899999999999999</v>
      </c>
      <c r="AN12" s="19">
        <v>7.2</v>
      </c>
      <c r="AO12" s="19">
        <v>0.6</v>
      </c>
      <c r="AP12" s="19">
        <v>0</v>
      </c>
      <c r="AQ12" s="27"/>
      <c r="AR12" s="40">
        <f t="shared" si="12"/>
        <v>14</v>
      </c>
      <c r="AS12" s="40">
        <f t="shared" si="13"/>
        <v>50.9</v>
      </c>
      <c r="AT12" s="40">
        <f t="shared" si="14"/>
        <v>25.3</v>
      </c>
      <c r="AU12" s="40">
        <f t="shared" si="15"/>
        <v>20.9</v>
      </c>
      <c r="AV12" s="40">
        <f t="shared" si="16"/>
        <v>76.2</v>
      </c>
      <c r="AW12" s="40">
        <f t="shared" si="17"/>
        <v>14</v>
      </c>
      <c r="AX12" s="40">
        <f t="shared" si="18"/>
        <v>51</v>
      </c>
      <c r="AY12" s="40">
        <f t="shared" si="19"/>
        <v>127.2</v>
      </c>
      <c r="AZ12" s="18">
        <v>18.600000000000001</v>
      </c>
      <c r="BA12" s="18">
        <v>6.8000000000000007</v>
      </c>
      <c r="BB12" s="18">
        <v>0</v>
      </c>
      <c r="BC12" s="18">
        <v>0</v>
      </c>
      <c r="BD12" s="18">
        <v>18.600000000000001</v>
      </c>
      <c r="BE12" s="18">
        <v>7.2</v>
      </c>
      <c r="BF12" s="18">
        <v>0.6</v>
      </c>
      <c r="BG12" s="18">
        <v>0</v>
      </c>
      <c r="BH12" s="18">
        <v>17.600000000000001</v>
      </c>
      <c r="BI12" s="18">
        <v>2.4</v>
      </c>
      <c r="BJ12" s="18">
        <v>0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 t="shared" si="20"/>
        <v>14</v>
      </c>
      <c r="BV12" s="11">
        <f t="shared" si="21"/>
        <v>50.6</v>
      </c>
      <c r="BW12" s="11">
        <f t="shared" si="22"/>
        <v>20</v>
      </c>
      <c r="BX12" s="11">
        <f t="shared" si="23"/>
        <v>16.399999999999999</v>
      </c>
      <c r="BY12" s="11">
        <f t="shared" si="24"/>
        <v>70.599999999999994</v>
      </c>
      <c r="BZ12" s="11" t="str">
        <f t="shared" si="25"/>
        <v/>
      </c>
      <c r="CA12" s="11" t="str">
        <f t="shared" si="26"/>
        <v/>
      </c>
      <c r="CB12" s="11">
        <f t="shared" si="27"/>
        <v>70.599999999999994</v>
      </c>
      <c r="CC12" s="19">
        <v>18.3</v>
      </c>
      <c r="CD12" s="19">
        <v>7.6</v>
      </c>
      <c r="CE12" s="19">
        <v>0.6</v>
      </c>
      <c r="CF12" s="19">
        <v>0</v>
      </c>
      <c r="CG12" s="19">
        <v>18.5</v>
      </c>
      <c r="CH12" s="19">
        <v>7.2</v>
      </c>
      <c r="CI12" s="19">
        <v>0</v>
      </c>
      <c r="CJ12" s="19">
        <v>0</v>
      </c>
      <c r="CK12" s="19">
        <v>16.5</v>
      </c>
      <c r="CL12" s="19">
        <v>8</v>
      </c>
      <c r="CM12" s="19">
        <v>0.2</v>
      </c>
      <c r="CN12" s="19">
        <v>0.3</v>
      </c>
      <c r="CO12" s="19">
        <v>16.8</v>
      </c>
      <c r="CP12" s="19">
        <v>8</v>
      </c>
      <c r="CQ12" s="19">
        <v>0.2</v>
      </c>
      <c r="CR12" s="19">
        <v>0.3</v>
      </c>
      <c r="CS12" s="19">
        <v>18.100000000000001</v>
      </c>
      <c r="CT12" s="19">
        <v>7.6</v>
      </c>
      <c r="CU12" s="19">
        <v>0.2</v>
      </c>
      <c r="CV12" s="19">
        <v>0</v>
      </c>
      <c r="CW12" s="27"/>
      <c r="CX12" s="40">
        <f t="shared" si="28"/>
        <v>14.8</v>
      </c>
      <c r="CY12" s="40">
        <f t="shared" si="29"/>
        <v>51</v>
      </c>
      <c r="CZ12" s="40">
        <f t="shared" si="30"/>
        <v>24.6</v>
      </c>
      <c r="DA12" s="40">
        <f t="shared" si="31"/>
        <v>22.8</v>
      </c>
      <c r="DB12" s="40">
        <f t="shared" si="32"/>
        <v>75.599999999999994</v>
      </c>
      <c r="DC12" s="40">
        <f t="shared" si="33"/>
        <v>15.6</v>
      </c>
      <c r="DD12" s="40">
        <f t="shared" si="34"/>
        <v>50.400000000000006</v>
      </c>
      <c r="DE12" s="40">
        <f t="shared" si="35"/>
        <v>126</v>
      </c>
      <c r="DF12" s="50">
        <f t="shared" si="36"/>
        <v>0.29999999999999716</v>
      </c>
      <c r="DG12" s="50" t="str">
        <f t="shared" si="37"/>
        <v/>
      </c>
      <c r="DH12" s="50" t="str">
        <f t="shared" si="38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39"/>
        <v/>
      </c>
      <c r="ED12" s="40" t="str">
        <f t="shared" si="40"/>
        <v/>
      </c>
      <c r="EE12" s="40" t="str">
        <f t="shared" si="41"/>
        <v/>
      </c>
      <c r="EF12" s="40" t="str">
        <f t="shared" si="42"/>
        <v/>
      </c>
      <c r="EG12" s="40" t="str">
        <f t="shared" si="43"/>
        <v/>
      </c>
      <c r="EH12" s="40" t="str">
        <f t="shared" si="44"/>
        <v/>
      </c>
      <c r="EI12" s="40" t="str">
        <f t="shared" si="45"/>
        <v/>
      </c>
      <c r="EJ12" s="40" t="str">
        <f t="shared" si="46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7"/>
        <v/>
      </c>
      <c r="FF12" s="11" t="str">
        <f t="shared" si="48"/>
        <v/>
      </c>
      <c r="FG12" s="11" t="str">
        <f t="shared" si="49"/>
        <v/>
      </c>
      <c r="FH12" s="11" t="str">
        <f t="shared" si="50"/>
        <v/>
      </c>
      <c r="FI12" s="11" t="str">
        <f t="shared" si="51"/>
        <v/>
      </c>
      <c r="FJ12" s="11" t="str">
        <f t="shared" si="52"/>
        <v/>
      </c>
      <c r="FK12" s="11" t="str">
        <f t="shared" si="53"/>
        <v/>
      </c>
      <c r="FL12" s="11" t="str">
        <f t="shared" si="54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5"/>
        <v/>
      </c>
      <c r="GH12" s="40" t="str">
        <f t="shared" si="56"/>
        <v/>
      </c>
      <c r="GI12" s="40" t="str">
        <f t="shared" si="57"/>
        <v/>
      </c>
      <c r="GJ12" s="40" t="str">
        <f t="shared" si="58"/>
        <v/>
      </c>
      <c r="GK12" s="40" t="str">
        <f t="shared" si="59"/>
        <v/>
      </c>
      <c r="GL12" s="40" t="str">
        <f t="shared" si="60"/>
        <v/>
      </c>
      <c r="GM12" s="40" t="str">
        <f t="shared" si="61"/>
        <v/>
      </c>
      <c r="GN12" s="40" t="str">
        <f t="shared" si="62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1" t="str">
        <f t="shared" si="68"/>
        <v/>
      </c>
      <c r="HO12" s="11" t="str">
        <f t="shared" si="69"/>
        <v/>
      </c>
      <c r="HP12" s="11" t="str">
        <f t="shared" si="70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1"/>
        <v/>
      </c>
      <c r="IL12" s="40" t="str">
        <f t="shared" si="72"/>
        <v/>
      </c>
      <c r="IM12" s="40" t="str">
        <f t="shared" si="73"/>
        <v/>
      </c>
      <c r="IN12" s="40" t="str">
        <f t="shared" si="74"/>
        <v/>
      </c>
      <c r="IO12" s="40" t="str">
        <f t="shared" si="75"/>
        <v/>
      </c>
      <c r="IP12" s="40" t="str">
        <f t="shared" si="76"/>
        <v/>
      </c>
      <c r="IQ12" s="40" t="str">
        <f t="shared" si="77"/>
        <v/>
      </c>
      <c r="IR12" s="40" t="str">
        <f t="shared" si="78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1" t="str">
        <f t="shared" si="84"/>
        <v/>
      </c>
      <c r="JS12" s="11" t="str">
        <f t="shared" si="85"/>
        <v/>
      </c>
      <c r="JT12" s="11" t="str">
        <f t="shared" si="86"/>
        <v/>
      </c>
      <c r="JU12" s="17">
        <v>18.7</v>
      </c>
      <c r="JV12" s="17">
        <v>7.6</v>
      </c>
      <c r="JW12" s="17">
        <v>0</v>
      </c>
      <c r="JX12" s="17">
        <v>0</v>
      </c>
      <c r="JY12" s="17">
        <v>18.2</v>
      </c>
      <c r="JZ12" s="17">
        <v>7.3</v>
      </c>
      <c r="KA12" s="17">
        <v>0.6</v>
      </c>
      <c r="KB12" s="17">
        <v>0</v>
      </c>
      <c r="KC12" s="17"/>
      <c r="KD12" s="17"/>
      <c r="KE12" s="17"/>
      <c r="KF12" s="17"/>
      <c r="KG12" s="17">
        <v>18.2</v>
      </c>
      <c r="KH12" s="17">
        <v>6.8</v>
      </c>
      <c r="KI12" s="17">
        <v>0.6</v>
      </c>
      <c r="KJ12" s="17">
        <v>0</v>
      </c>
      <c r="KK12" s="17"/>
      <c r="KL12" s="17"/>
      <c r="KM12" s="17"/>
      <c r="KN12" s="17"/>
      <c r="KO12" s="40">
        <f t="shared" si="87"/>
        <v>14.899999999999999</v>
      </c>
      <c r="KP12" s="40">
        <f t="shared" si="88"/>
        <v>51.199999999999996</v>
      </c>
      <c r="KQ12" s="40" t="str">
        <f t="shared" si="89"/>
        <v/>
      </c>
      <c r="KR12" s="40">
        <f t="shared" si="90"/>
        <v>14.899999999999999</v>
      </c>
      <c r="KS12" s="40">
        <f t="shared" si="91"/>
        <v>51.199999999999996</v>
      </c>
      <c r="KT12" s="40">
        <f t="shared" si="92"/>
        <v>6.8</v>
      </c>
      <c r="KU12" s="40">
        <f t="shared" si="93"/>
        <v>24.4</v>
      </c>
      <c r="KV12" s="40">
        <f t="shared" si="94"/>
        <v>75.599999999999994</v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1" t="str">
        <f t="shared" si="100"/>
        <v/>
      </c>
      <c r="LW12" s="11" t="str">
        <f t="shared" si="101"/>
        <v/>
      </c>
      <c r="LX12" s="11" t="str">
        <f t="shared" si="102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3"/>
        <v/>
      </c>
      <c r="MT12" s="40" t="str">
        <f t="shared" si="104"/>
        <v/>
      </c>
      <c r="MU12" s="40" t="str">
        <f t="shared" si="105"/>
        <v/>
      </c>
      <c r="MV12" s="40" t="str">
        <f t="shared" si="106"/>
        <v/>
      </c>
      <c r="MW12" s="40" t="str">
        <f t="shared" si="107"/>
        <v/>
      </c>
      <c r="MX12" s="40" t="str">
        <f t="shared" si="108"/>
        <v/>
      </c>
      <c r="MY12" s="40" t="str">
        <f t="shared" si="109"/>
        <v/>
      </c>
      <c r="MZ12" s="40" t="str">
        <f t="shared" si="110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1" t="str">
        <f t="shared" si="116"/>
        <v/>
      </c>
      <c r="OA12" s="11" t="str">
        <f t="shared" si="117"/>
        <v/>
      </c>
      <c r="OB12" s="11" t="str">
        <f t="shared" si="118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19"/>
        <v/>
      </c>
      <c r="OX12" s="40" t="str">
        <f t="shared" si="120"/>
        <v/>
      </c>
      <c r="OY12" s="40" t="str">
        <f t="shared" si="121"/>
        <v/>
      </c>
      <c r="OZ12" s="40" t="str">
        <f t="shared" si="122"/>
        <v/>
      </c>
      <c r="PA12" s="40" t="str">
        <f t="shared" si="123"/>
        <v/>
      </c>
      <c r="PB12" s="40" t="str">
        <f t="shared" si="124"/>
        <v/>
      </c>
      <c r="PC12" s="40" t="str">
        <f t="shared" si="125"/>
        <v/>
      </c>
      <c r="PD12" s="40" t="str">
        <f t="shared" si="126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11" t="str">
        <f t="shared" si="132"/>
        <v/>
      </c>
      <c r="QE12" s="11" t="str">
        <f t="shared" si="133"/>
        <v/>
      </c>
      <c r="QF12" s="11" t="str">
        <f t="shared" si="134"/>
        <v/>
      </c>
      <c r="QG12" s="22">
        <f t="shared" si="135"/>
        <v>18.450000000000003</v>
      </c>
      <c r="QH12" s="22">
        <f t="shared" si="136"/>
        <v>7.2</v>
      </c>
      <c r="QI12" s="22">
        <f t="shared" si="137"/>
        <v>0.3</v>
      </c>
      <c r="QJ12" s="22">
        <f t="shared" si="138"/>
        <v>0</v>
      </c>
      <c r="QK12" s="22">
        <f t="shared" si="139"/>
        <v>18.55</v>
      </c>
      <c r="QL12" s="22">
        <f t="shared" si="140"/>
        <v>7.2</v>
      </c>
      <c r="QM12" s="22">
        <f t="shared" si="141"/>
        <v>0.3</v>
      </c>
      <c r="QN12" s="22">
        <f t="shared" si="142"/>
        <v>0</v>
      </c>
      <c r="QO12" s="22">
        <f t="shared" si="143"/>
        <v>17.05</v>
      </c>
      <c r="QP12" s="22">
        <f t="shared" si="144"/>
        <v>5.2</v>
      </c>
      <c r="QQ12" s="22">
        <f t="shared" si="145"/>
        <v>0.1</v>
      </c>
      <c r="QR12" s="22">
        <f t="shared" si="146"/>
        <v>0.15</v>
      </c>
      <c r="QS12" s="22">
        <f t="shared" si="147"/>
        <v>8.4</v>
      </c>
      <c r="QT12" s="22">
        <f t="shared" si="148"/>
        <v>4</v>
      </c>
      <c r="QU12" s="22">
        <f t="shared" si="149"/>
        <v>0.1</v>
      </c>
      <c r="QV12" s="22">
        <f t="shared" si="150"/>
        <v>0.15</v>
      </c>
      <c r="QW12" s="22">
        <f t="shared" si="151"/>
        <v>9.0500000000000007</v>
      </c>
      <c r="QX12" s="22">
        <f t="shared" si="152"/>
        <v>3.8</v>
      </c>
      <c r="QY12" s="22">
        <f t="shared" si="153"/>
        <v>0.1</v>
      </c>
      <c r="QZ12" s="22">
        <f t="shared" si="154"/>
        <v>0</v>
      </c>
      <c r="RA12" s="27" t="s">
        <v>46</v>
      </c>
      <c r="RB12" s="40">
        <f t="shared" si="155"/>
        <v>14.4</v>
      </c>
      <c r="RC12" s="40">
        <f t="shared" si="156"/>
        <v>50.800000000000011</v>
      </c>
      <c r="RD12" s="40">
        <f t="shared" si="157"/>
        <v>22.299999999999997</v>
      </c>
      <c r="RE12" s="40">
        <f t="shared" si="158"/>
        <v>19.600000000000001</v>
      </c>
      <c r="RF12" s="40">
        <f t="shared" si="159"/>
        <v>73.100000000000009</v>
      </c>
      <c r="RG12" s="40">
        <f t="shared" si="160"/>
        <v>7.8</v>
      </c>
      <c r="RH12" s="40">
        <f t="shared" si="161"/>
        <v>25.200000000000003</v>
      </c>
      <c r="RI12" s="40">
        <f t="shared" si="162"/>
        <v>98.300000000000011</v>
      </c>
    </row>
    <row r="13" spans="1:477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4</v>
      </c>
      <c r="C13" s="5" t="s">
        <v>112</v>
      </c>
      <c r="D13" s="4" t="s">
        <v>3</v>
      </c>
      <c r="E13" s="4">
        <v>2005</v>
      </c>
      <c r="F13" s="9">
        <f t="shared" si="163"/>
        <v>176.10001257000505</v>
      </c>
      <c r="G13" s="66"/>
      <c r="H13" s="3" t="str">
        <f t="shared" si="0"/>
        <v>P</v>
      </c>
      <c r="I13" s="3" t="str">
        <f t="shared" si="1"/>
        <v>P</v>
      </c>
      <c r="J13" s="36" t="str">
        <f t="shared" si="2"/>
        <v>National Team</v>
      </c>
      <c r="K13" s="3" t="str">
        <f t="shared" si="3"/>
        <v/>
      </c>
      <c r="L13" s="8">
        <f>IF(COUNT(AS13,BV13,CY13)&gt;0,LARGE((AS13,BV13,CY13),1),0)</f>
        <v>50.599999999999994</v>
      </c>
      <c r="M13" s="8" t="str">
        <f t="shared" si="4"/>
        <v>2023 3rd Domestic Trial</v>
      </c>
      <c r="N13" s="8">
        <f>IF(COUNT(AS13,BV13,CY13)&gt;1,LARGE((AS13,BV13,CY13),2),0)</f>
        <v>49.499999999999993</v>
      </c>
      <c r="O13" s="8" t="str">
        <f t="shared" si="5"/>
        <v>2023 Nationals</v>
      </c>
      <c r="P13" s="8">
        <f>IF(COUNT(AT13,BW13,CZ13)&gt;0,LARGE((AT13,BW13,CZ13),1),0)</f>
        <v>25.6</v>
      </c>
      <c r="Q13" s="8" t="str">
        <f t="shared" si="6"/>
        <v>2024 Elite Canada</v>
      </c>
      <c r="R13" s="8">
        <f t="shared" si="7"/>
        <v>50.4</v>
      </c>
      <c r="S13" s="8" t="str">
        <f t="shared" si="8"/>
        <v>2023 Nationals</v>
      </c>
      <c r="T13" s="8" t="str">
        <f t="shared" si="9"/>
        <v/>
      </c>
      <c r="U13" s="11" t="str">
        <f t="shared" si="10"/>
        <v/>
      </c>
      <c r="V13" s="8" t="str">
        <f t="shared" si="11"/>
        <v/>
      </c>
      <c r="W13" s="19">
        <v>18.7</v>
      </c>
      <c r="X13" s="19">
        <v>6</v>
      </c>
      <c r="Y13" s="19">
        <v>0</v>
      </c>
      <c r="Z13" s="19">
        <v>0</v>
      </c>
      <c r="AA13" s="19">
        <v>18.399999999999999</v>
      </c>
      <c r="AB13" s="19">
        <v>6.4</v>
      </c>
      <c r="AC13" s="19">
        <v>0</v>
      </c>
      <c r="AD13" s="19">
        <v>0</v>
      </c>
      <c r="AE13" s="19">
        <v>18.399999999999999</v>
      </c>
      <c r="AF13" s="19">
        <v>6.4</v>
      </c>
      <c r="AG13" s="19">
        <v>0</v>
      </c>
      <c r="AH13" s="19">
        <v>0</v>
      </c>
      <c r="AI13" s="19">
        <v>18.8</v>
      </c>
      <c r="AJ13" s="19">
        <v>6.4</v>
      </c>
      <c r="AK13" s="19">
        <v>0</v>
      </c>
      <c r="AL13" s="19">
        <v>0</v>
      </c>
      <c r="AM13" s="19">
        <v>18.399999999999999</v>
      </c>
      <c r="AN13" s="19">
        <v>6.8</v>
      </c>
      <c r="AO13" s="19">
        <v>0</v>
      </c>
      <c r="AP13" s="19">
        <v>0</v>
      </c>
      <c r="AQ13" s="27"/>
      <c r="AR13" s="40">
        <f t="shared" si="12"/>
        <v>12.4</v>
      </c>
      <c r="AS13" s="40">
        <f t="shared" si="13"/>
        <v>49.499999999999993</v>
      </c>
      <c r="AT13" s="40">
        <f t="shared" si="14"/>
        <v>24.799999999999997</v>
      </c>
      <c r="AU13" s="40">
        <f t="shared" si="15"/>
        <v>18.8</v>
      </c>
      <c r="AV13" s="40">
        <f t="shared" si="16"/>
        <v>74.299999999999983</v>
      </c>
      <c r="AW13" s="40">
        <f t="shared" si="17"/>
        <v>13.2</v>
      </c>
      <c r="AX13" s="40">
        <f t="shared" si="18"/>
        <v>50.4</v>
      </c>
      <c r="AY13" s="40">
        <f t="shared" si="19"/>
        <v>124.69999999999999</v>
      </c>
      <c r="AZ13" s="18">
        <v>18.8</v>
      </c>
      <c r="BA13" s="18">
        <v>7.2</v>
      </c>
      <c r="BB13" s="18">
        <v>0.6</v>
      </c>
      <c r="BC13" s="18">
        <v>0</v>
      </c>
      <c r="BD13" s="18">
        <v>18.399999999999999</v>
      </c>
      <c r="BE13" s="18">
        <v>6.8</v>
      </c>
      <c r="BF13" s="18">
        <v>0</v>
      </c>
      <c r="BG13" s="18">
        <v>0</v>
      </c>
      <c r="BH13" s="18">
        <v>18.600000000000001</v>
      </c>
      <c r="BI13" s="18">
        <v>6</v>
      </c>
      <c r="BJ13" s="18">
        <v>0.6</v>
      </c>
      <c r="BK13" s="18">
        <v>0</v>
      </c>
      <c r="BL13" s="18">
        <v>18.600000000000001</v>
      </c>
      <c r="BM13" s="18">
        <v>6.4</v>
      </c>
      <c r="BN13" s="18">
        <v>0</v>
      </c>
      <c r="BO13" s="18">
        <v>0</v>
      </c>
      <c r="BP13" s="18">
        <v>17.2</v>
      </c>
      <c r="BQ13" s="18">
        <v>3.2</v>
      </c>
      <c r="BR13" s="18">
        <v>0</v>
      </c>
      <c r="BS13" s="18">
        <v>0</v>
      </c>
      <c r="BT13" s="28"/>
      <c r="BU13" s="11">
        <f t="shared" si="20"/>
        <v>14</v>
      </c>
      <c r="BV13" s="11">
        <f t="shared" si="21"/>
        <v>50.599999999999994</v>
      </c>
      <c r="BW13" s="11">
        <f t="shared" si="22"/>
        <v>24</v>
      </c>
      <c r="BX13" s="11">
        <f t="shared" si="23"/>
        <v>20</v>
      </c>
      <c r="BY13" s="11">
        <f t="shared" si="24"/>
        <v>74.599999999999994</v>
      </c>
      <c r="BZ13" s="11">
        <f t="shared" si="25"/>
        <v>9.6000000000000014</v>
      </c>
      <c r="CA13" s="11">
        <f t="shared" si="26"/>
        <v>45.400000000000006</v>
      </c>
      <c r="CB13" s="11">
        <f t="shared" si="27"/>
        <v>120</v>
      </c>
      <c r="CC13" s="19">
        <v>18.399999999999999</v>
      </c>
      <c r="CD13" s="19">
        <v>7.2</v>
      </c>
      <c r="CE13" s="19">
        <v>0.6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18.8</v>
      </c>
      <c r="CL13" s="19">
        <v>6.8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 t="shared" si="28"/>
        <v>7.2</v>
      </c>
      <c r="CY13" s="40">
        <f t="shared" si="29"/>
        <v>24.999999999999996</v>
      </c>
      <c r="CZ13" s="40">
        <f t="shared" si="30"/>
        <v>25.6</v>
      </c>
      <c r="DA13" s="40">
        <f t="shared" si="31"/>
        <v>14</v>
      </c>
      <c r="DB13" s="40">
        <f t="shared" si="32"/>
        <v>50.599999999999994</v>
      </c>
      <c r="DC13" s="40" t="str">
        <f t="shared" si="33"/>
        <v/>
      </c>
      <c r="DD13" s="40" t="str">
        <f t="shared" si="34"/>
        <v/>
      </c>
      <c r="DE13" s="40">
        <f t="shared" si="35"/>
        <v>50.599999999999994</v>
      </c>
      <c r="DF13" s="50" t="str">
        <f t="shared" si="36"/>
        <v/>
      </c>
      <c r="DG13" s="50" t="str">
        <f t="shared" si="37"/>
        <v/>
      </c>
      <c r="DH13" s="50" t="str">
        <f t="shared" si="38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39"/>
        <v/>
      </c>
      <c r="ED13" s="40" t="str">
        <f t="shared" si="40"/>
        <v/>
      </c>
      <c r="EE13" s="40" t="str">
        <f t="shared" si="41"/>
        <v/>
      </c>
      <c r="EF13" s="40" t="str">
        <f t="shared" si="42"/>
        <v/>
      </c>
      <c r="EG13" s="40" t="str">
        <f t="shared" si="43"/>
        <v/>
      </c>
      <c r="EH13" s="40" t="str">
        <f t="shared" si="44"/>
        <v/>
      </c>
      <c r="EI13" s="40" t="str">
        <f t="shared" si="45"/>
        <v/>
      </c>
      <c r="EJ13" s="40" t="str">
        <f t="shared" si="46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7"/>
        <v/>
      </c>
      <c r="FF13" s="11" t="str">
        <f t="shared" si="48"/>
        <v/>
      </c>
      <c r="FG13" s="11" t="str">
        <f t="shared" si="49"/>
        <v/>
      </c>
      <c r="FH13" s="11" t="str">
        <f t="shared" si="50"/>
        <v/>
      </c>
      <c r="FI13" s="11" t="str">
        <f t="shared" si="51"/>
        <v/>
      </c>
      <c r="FJ13" s="11" t="str">
        <f t="shared" si="52"/>
        <v/>
      </c>
      <c r="FK13" s="11" t="str">
        <f t="shared" si="53"/>
        <v/>
      </c>
      <c r="FL13" s="11" t="str">
        <f t="shared" si="54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5"/>
        <v/>
      </c>
      <c r="GH13" s="40" t="str">
        <f t="shared" si="56"/>
        <v/>
      </c>
      <c r="GI13" s="40" t="str">
        <f t="shared" si="57"/>
        <v/>
      </c>
      <c r="GJ13" s="40" t="str">
        <f t="shared" si="58"/>
        <v/>
      </c>
      <c r="GK13" s="40" t="str">
        <f t="shared" si="59"/>
        <v/>
      </c>
      <c r="GL13" s="40" t="str">
        <f t="shared" si="60"/>
        <v/>
      </c>
      <c r="GM13" s="40" t="str">
        <f t="shared" si="61"/>
        <v/>
      </c>
      <c r="GN13" s="40" t="str">
        <f t="shared" si="62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1" t="str">
        <f t="shared" si="68"/>
        <v/>
      </c>
      <c r="HO13" s="11" t="str">
        <f t="shared" si="69"/>
        <v/>
      </c>
      <c r="HP13" s="11" t="str">
        <f t="shared" si="70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1"/>
        <v/>
      </c>
      <c r="IL13" s="40" t="str">
        <f t="shared" si="72"/>
        <v/>
      </c>
      <c r="IM13" s="40" t="str">
        <f t="shared" si="73"/>
        <v/>
      </c>
      <c r="IN13" s="40" t="str">
        <f t="shared" si="74"/>
        <v/>
      </c>
      <c r="IO13" s="40" t="str">
        <f t="shared" si="75"/>
        <v/>
      </c>
      <c r="IP13" s="40" t="str">
        <f t="shared" si="76"/>
        <v/>
      </c>
      <c r="IQ13" s="40" t="str">
        <f t="shared" si="77"/>
        <v/>
      </c>
      <c r="IR13" s="40" t="str">
        <f t="shared" si="78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1" t="str">
        <f t="shared" si="84"/>
        <v/>
      </c>
      <c r="JS13" s="11" t="str">
        <f t="shared" si="85"/>
        <v/>
      </c>
      <c r="JT13" s="11" t="str">
        <f t="shared" si="86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7"/>
        <v/>
      </c>
      <c r="KP13" s="40" t="str">
        <f t="shared" si="88"/>
        <v/>
      </c>
      <c r="KQ13" s="40" t="str">
        <f t="shared" si="89"/>
        <v/>
      </c>
      <c r="KR13" s="40" t="str">
        <f t="shared" si="90"/>
        <v/>
      </c>
      <c r="KS13" s="40" t="str">
        <f t="shared" si="91"/>
        <v/>
      </c>
      <c r="KT13" s="40" t="str">
        <f t="shared" si="92"/>
        <v/>
      </c>
      <c r="KU13" s="40" t="str">
        <f t="shared" si="93"/>
        <v/>
      </c>
      <c r="KV13" s="40" t="str">
        <f t="shared" si="94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1" t="str">
        <f t="shared" si="100"/>
        <v/>
      </c>
      <c r="LW13" s="11" t="str">
        <f t="shared" si="101"/>
        <v/>
      </c>
      <c r="LX13" s="11" t="str">
        <f t="shared" si="102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3"/>
        <v/>
      </c>
      <c r="MT13" s="40" t="str">
        <f t="shared" si="104"/>
        <v/>
      </c>
      <c r="MU13" s="40" t="str">
        <f t="shared" si="105"/>
        <v/>
      </c>
      <c r="MV13" s="40" t="str">
        <f t="shared" si="106"/>
        <v/>
      </c>
      <c r="MW13" s="40" t="str">
        <f t="shared" si="107"/>
        <v/>
      </c>
      <c r="MX13" s="40" t="str">
        <f t="shared" si="108"/>
        <v/>
      </c>
      <c r="MY13" s="40" t="str">
        <f t="shared" si="109"/>
        <v/>
      </c>
      <c r="MZ13" s="40" t="str">
        <f t="shared" si="110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1"/>
        <v/>
      </c>
      <c r="NV13" s="11" t="str">
        <f t="shared" si="112"/>
        <v/>
      </c>
      <c r="NW13" s="11" t="str">
        <f t="shared" si="113"/>
        <v/>
      </c>
      <c r="NX13" s="11" t="str">
        <f t="shared" si="114"/>
        <v/>
      </c>
      <c r="NY13" s="11" t="str">
        <f t="shared" si="115"/>
        <v/>
      </c>
      <c r="NZ13" s="11" t="str">
        <f t="shared" si="116"/>
        <v/>
      </c>
      <c r="OA13" s="11" t="str">
        <f t="shared" si="117"/>
        <v/>
      </c>
      <c r="OB13" s="11" t="str">
        <f t="shared" si="118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19"/>
        <v/>
      </c>
      <c r="OX13" s="40" t="str">
        <f t="shared" si="120"/>
        <v/>
      </c>
      <c r="OY13" s="40" t="str">
        <f t="shared" si="121"/>
        <v/>
      </c>
      <c r="OZ13" s="40" t="str">
        <f t="shared" si="122"/>
        <v/>
      </c>
      <c r="PA13" s="40" t="str">
        <f t="shared" si="123"/>
        <v/>
      </c>
      <c r="PB13" s="40" t="str">
        <f t="shared" si="124"/>
        <v/>
      </c>
      <c r="PC13" s="40" t="str">
        <f t="shared" si="125"/>
        <v/>
      </c>
      <c r="PD13" s="40" t="str">
        <f t="shared" si="126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11" t="str">
        <f t="shared" si="132"/>
        <v/>
      </c>
      <c r="QE13" s="11" t="str">
        <f t="shared" si="133"/>
        <v/>
      </c>
      <c r="QF13" s="11" t="str">
        <f t="shared" si="134"/>
        <v/>
      </c>
      <c r="QG13" s="22">
        <f t="shared" si="135"/>
        <v>18.600000000000001</v>
      </c>
      <c r="QH13" s="22">
        <f t="shared" si="136"/>
        <v>7.2</v>
      </c>
      <c r="QI13" s="22">
        <f t="shared" si="137"/>
        <v>0.6</v>
      </c>
      <c r="QJ13" s="22">
        <f t="shared" si="138"/>
        <v>0</v>
      </c>
      <c r="QK13" s="22">
        <f t="shared" si="139"/>
        <v>9.1999999999999993</v>
      </c>
      <c r="QL13" s="22">
        <f t="shared" si="140"/>
        <v>3.4</v>
      </c>
      <c r="QM13" s="22">
        <f t="shared" si="141"/>
        <v>0</v>
      </c>
      <c r="QN13" s="22">
        <f t="shared" si="142"/>
        <v>0</v>
      </c>
      <c r="QO13" s="22">
        <f t="shared" si="143"/>
        <v>18.700000000000003</v>
      </c>
      <c r="QP13" s="22">
        <f t="shared" si="144"/>
        <v>6.4</v>
      </c>
      <c r="QQ13" s="22">
        <f t="shared" si="145"/>
        <v>0.3</v>
      </c>
      <c r="QR13" s="22">
        <f t="shared" si="146"/>
        <v>0</v>
      </c>
      <c r="QS13" s="22">
        <f t="shared" si="147"/>
        <v>9.3000000000000007</v>
      </c>
      <c r="QT13" s="22">
        <f t="shared" si="148"/>
        <v>3.2</v>
      </c>
      <c r="QU13" s="22">
        <f t="shared" si="149"/>
        <v>0</v>
      </c>
      <c r="QV13" s="22">
        <f t="shared" si="150"/>
        <v>0</v>
      </c>
      <c r="QW13" s="22">
        <f t="shared" si="151"/>
        <v>8.6</v>
      </c>
      <c r="QX13" s="22">
        <f t="shared" si="152"/>
        <v>1.6</v>
      </c>
      <c r="QY13" s="22">
        <f t="shared" si="153"/>
        <v>0</v>
      </c>
      <c r="QZ13" s="22">
        <f t="shared" si="154"/>
        <v>0</v>
      </c>
      <c r="RA13" s="27" t="s">
        <v>46</v>
      </c>
      <c r="RB13" s="40">
        <f t="shared" si="155"/>
        <v>10.6</v>
      </c>
      <c r="RC13" s="40">
        <f t="shared" si="156"/>
        <v>37.799999999999997</v>
      </c>
      <c r="RD13" s="40">
        <f t="shared" si="157"/>
        <v>24.8</v>
      </c>
      <c r="RE13" s="40">
        <f t="shared" si="158"/>
        <v>17</v>
      </c>
      <c r="RF13" s="40">
        <f t="shared" si="159"/>
        <v>62.599999999999994</v>
      </c>
      <c r="RG13" s="40">
        <f t="shared" si="160"/>
        <v>4.8000000000000007</v>
      </c>
      <c r="RH13" s="40">
        <f t="shared" si="161"/>
        <v>22.700000000000003</v>
      </c>
      <c r="RI13" s="40">
        <f t="shared" si="162"/>
        <v>85.3</v>
      </c>
    </row>
    <row r="14" spans="1:477" x14ac:dyDescent="0.2">
      <c r="A14" s="4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>11</v>
      </c>
      <c r="B14" s="4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>5</v>
      </c>
      <c r="C14" s="5" t="s">
        <v>123</v>
      </c>
      <c r="D14" s="4" t="s">
        <v>4</v>
      </c>
      <c r="E14" s="4">
        <v>2005</v>
      </c>
      <c r="F14" s="9">
        <f t="shared" si="163"/>
        <v>175.15001260500517</v>
      </c>
      <c r="G14" s="66"/>
      <c r="H14" s="3" t="str">
        <f t="shared" si="0"/>
        <v>P</v>
      </c>
      <c r="I14" s="3" t="str">
        <f t="shared" si="1"/>
        <v>P</v>
      </c>
      <c r="J14" s="36" t="str">
        <f t="shared" si="2"/>
        <v>National Team</v>
      </c>
      <c r="K14" s="3" t="str">
        <f t="shared" si="3"/>
        <v/>
      </c>
      <c r="L14" s="8">
        <f>IF(COUNT(AS14,BV14,CY14)&gt;0,LARGE((AS14,BV14,CY14),1),0)</f>
        <v>51.800000000000004</v>
      </c>
      <c r="M14" s="8" t="str">
        <f t="shared" si="4"/>
        <v>2023 3rd Domestic Trial</v>
      </c>
      <c r="N14" s="8">
        <f>IF(COUNT(AS14,BV14,CY14)&gt;1,LARGE((AS14,BV14,CY14),2),0)</f>
        <v>50.75</v>
      </c>
      <c r="O14" s="8" t="str">
        <f t="shared" si="5"/>
        <v>2024 Elite Canada</v>
      </c>
      <c r="P14" s="8">
        <f>IF(COUNT(AT14,BW14,CZ14)&gt;0,LARGE((AT14,BW14,CZ14),1),0)</f>
        <v>23.5</v>
      </c>
      <c r="Q14" s="8" t="str">
        <f t="shared" si="6"/>
        <v>2023 Nationals</v>
      </c>
      <c r="R14" s="8">
        <f t="shared" si="7"/>
        <v>49.1</v>
      </c>
      <c r="S14" s="8" t="str">
        <f t="shared" si="8"/>
        <v>2023 Nationals</v>
      </c>
      <c r="T14" s="8" t="str">
        <f t="shared" si="9"/>
        <v/>
      </c>
      <c r="U14" s="11" t="str">
        <f t="shared" si="10"/>
        <v/>
      </c>
      <c r="V14" s="8" t="str">
        <f t="shared" si="11"/>
        <v/>
      </c>
      <c r="W14" s="19">
        <v>18.3</v>
      </c>
      <c r="X14" s="19">
        <v>6.8</v>
      </c>
      <c r="Y14" s="19">
        <v>0.2</v>
      </c>
      <c r="Z14" s="19">
        <v>0</v>
      </c>
      <c r="AA14" s="19">
        <v>18.3</v>
      </c>
      <c r="AB14" s="19">
        <v>7.3</v>
      </c>
      <c r="AC14" s="19">
        <v>0.8</v>
      </c>
      <c r="AD14" s="19">
        <v>0</v>
      </c>
      <c r="AE14" s="19">
        <v>19.2</v>
      </c>
      <c r="AF14" s="19">
        <v>4.3</v>
      </c>
      <c r="AG14" s="19">
        <v>0</v>
      </c>
      <c r="AH14" s="19">
        <v>0</v>
      </c>
      <c r="AI14" s="19">
        <v>18.600000000000001</v>
      </c>
      <c r="AJ14" s="19">
        <v>6.8</v>
      </c>
      <c r="AK14" s="19">
        <v>0.6</v>
      </c>
      <c r="AL14" s="19">
        <v>0</v>
      </c>
      <c r="AM14" s="19">
        <v>18</v>
      </c>
      <c r="AN14" s="19">
        <v>7.3</v>
      </c>
      <c r="AO14" s="19">
        <v>1</v>
      </c>
      <c r="AP14" s="19">
        <v>0</v>
      </c>
      <c r="AQ14" s="27"/>
      <c r="AR14" s="40">
        <f t="shared" si="12"/>
        <v>14.1</v>
      </c>
      <c r="AS14" s="40">
        <f t="shared" si="13"/>
        <v>49.7</v>
      </c>
      <c r="AT14" s="40">
        <f t="shared" si="14"/>
        <v>23.5</v>
      </c>
      <c r="AU14" s="40">
        <f t="shared" si="15"/>
        <v>18.399999999999999</v>
      </c>
      <c r="AV14" s="40">
        <f t="shared" si="16"/>
        <v>73.2</v>
      </c>
      <c r="AW14" s="40">
        <f t="shared" si="17"/>
        <v>14.1</v>
      </c>
      <c r="AX14" s="40">
        <f t="shared" si="18"/>
        <v>49.1</v>
      </c>
      <c r="AY14" s="40">
        <f t="shared" si="19"/>
        <v>122.30000000000001</v>
      </c>
      <c r="AZ14" s="18">
        <v>18</v>
      </c>
      <c r="BA14" s="18">
        <v>7.7</v>
      </c>
      <c r="BB14" s="18">
        <v>0</v>
      </c>
      <c r="BC14" s="18">
        <v>0.3</v>
      </c>
      <c r="BD14" s="18">
        <v>18.600000000000001</v>
      </c>
      <c r="BE14" s="18">
        <v>7.2</v>
      </c>
      <c r="BF14" s="18">
        <v>0</v>
      </c>
      <c r="BG14" s="18">
        <v>0</v>
      </c>
      <c r="BH14" s="18">
        <v>17</v>
      </c>
      <c r="BI14" s="18">
        <v>3.6</v>
      </c>
      <c r="BJ14" s="18">
        <v>0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 t="shared" si="20"/>
        <v>14.9</v>
      </c>
      <c r="BV14" s="11">
        <f t="shared" si="21"/>
        <v>51.800000000000004</v>
      </c>
      <c r="BW14" s="11">
        <f t="shared" si="22"/>
        <v>20.6</v>
      </c>
      <c r="BX14" s="11">
        <f t="shared" si="23"/>
        <v>18.5</v>
      </c>
      <c r="BY14" s="11">
        <f t="shared" si="24"/>
        <v>72.400000000000006</v>
      </c>
      <c r="BZ14" s="11" t="str">
        <f t="shared" si="25"/>
        <v/>
      </c>
      <c r="CA14" s="11" t="str">
        <f t="shared" si="26"/>
        <v/>
      </c>
      <c r="CB14" s="11">
        <f t="shared" si="27"/>
        <v>72.400000000000006</v>
      </c>
      <c r="CC14" s="19">
        <v>18.149999999999999</v>
      </c>
      <c r="CD14" s="19">
        <v>7.25</v>
      </c>
      <c r="CE14" s="19">
        <v>0.1</v>
      </c>
      <c r="CF14" s="19">
        <v>0.15</v>
      </c>
      <c r="CG14" s="19">
        <v>18.450000000000003</v>
      </c>
      <c r="CH14" s="19">
        <v>7.25</v>
      </c>
      <c r="CI14" s="19">
        <v>0.4</v>
      </c>
      <c r="CJ14" s="19">
        <v>0</v>
      </c>
      <c r="CK14" s="19">
        <v>18.100000000000001</v>
      </c>
      <c r="CL14" s="19">
        <v>3.95</v>
      </c>
      <c r="CM14" s="19">
        <v>0</v>
      </c>
      <c r="CN14" s="19">
        <v>0</v>
      </c>
      <c r="CO14" s="19">
        <v>9.3000000000000007</v>
      </c>
      <c r="CP14" s="19">
        <v>3.4</v>
      </c>
      <c r="CQ14" s="19">
        <v>0.3</v>
      </c>
      <c r="CR14" s="19">
        <v>0</v>
      </c>
      <c r="CS14" s="19">
        <v>9</v>
      </c>
      <c r="CT14" s="19">
        <v>3.65</v>
      </c>
      <c r="CU14" s="19">
        <v>0.5</v>
      </c>
      <c r="CV14" s="19">
        <v>0</v>
      </c>
      <c r="CW14" s="27" t="s">
        <v>46</v>
      </c>
      <c r="CX14" s="40">
        <f t="shared" si="28"/>
        <v>14.5</v>
      </c>
      <c r="CY14" s="40">
        <f t="shared" si="29"/>
        <v>50.75</v>
      </c>
      <c r="CZ14" s="40">
        <f t="shared" si="30"/>
        <v>22.05</v>
      </c>
      <c r="DA14" s="40">
        <f t="shared" si="31"/>
        <v>18.45</v>
      </c>
      <c r="DB14" s="40">
        <f t="shared" si="32"/>
        <v>72.8</v>
      </c>
      <c r="DC14" s="40">
        <f t="shared" si="33"/>
        <v>7.05</v>
      </c>
      <c r="DD14" s="40">
        <f t="shared" si="34"/>
        <v>24.55</v>
      </c>
      <c r="DE14" s="40">
        <f t="shared" si="35"/>
        <v>97.35</v>
      </c>
      <c r="DF14" s="50" t="str">
        <f t="shared" si="36"/>
        <v/>
      </c>
      <c r="DG14" s="50" t="str">
        <f t="shared" si="37"/>
        <v/>
      </c>
      <c r="DH14" s="50" t="str">
        <f t="shared" si="38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39"/>
        <v/>
      </c>
      <c r="ED14" s="40" t="str">
        <f t="shared" si="40"/>
        <v/>
      </c>
      <c r="EE14" s="40" t="str">
        <f t="shared" si="41"/>
        <v/>
      </c>
      <c r="EF14" s="40" t="str">
        <f t="shared" si="42"/>
        <v/>
      </c>
      <c r="EG14" s="40" t="str">
        <f t="shared" si="43"/>
        <v/>
      </c>
      <c r="EH14" s="40" t="str">
        <f t="shared" si="44"/>
        <v/>
      </c>
      <c r="EI14" s="40" t="str">
        <f t="shared" si="45"/>
        <v/>
      </c>
      <c r="EJ14" s="40" t="str">
        <f t="shared" si="46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7"/>
        <v/>
      </c>
      <c r="FF14" s="11" t="str">
        <f t="shared" si="48"/>
        <v/>
      </c>
      <c r="FG14" s="11" t="str">
        <f t="shared" si="49"/>
        <v/>
      </c>
      <c r="FH14" s="11" t="str">
        <f t="shared" si="50"/>
        <v/>
      </c>
      <c r="FI14" s="11" t="str">
        <f t="shared" si="51"/>
        <v/>
      </c>
      <c r="FJ14" s="11" t="str">
        <f t="shared" si="52"/>
        <v/>
      </c>
      <c r="FK14" s="11" t="str">
        <f t="shared" si="53"/>
        <v/>
      </c>
      <c r="FL14" s="11" t="str">
        <f t="shared" si="54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5"/>
        <v/>
      </c>
      <c r="GH14" s="40" t="str">
        <f t="shared" si="56"/>
        <v/>
      </c>
      <c r="GI14" s="40" t="str">
        <f t="shared" si="57"/>
        <v/>
      </c>
      <c r="GJ14" s="40" t="str">
        <f t="shared" si="58"/>
        <v/>
      </c>
      <c r="GK14" s="40" t="str">
        <f t="shared" si="59"/>
        <v/>
      </c>
      <c r="GL14" s="40" t="str">
        <f t="shared" si="60"/>
        <v/>
      </c>
      <c r="GM14" s="40" t="str">
        <f t="shared" si="61"/>
        <v/>
      </c>
      <c r="GN14" s="40" t="str">
        <f t="shared" si="62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3"/>
        <v/>
      </c>
      <c r="HJ14" s="11" t="str">
        <f t="shared" si="64"/>
        <v/>
      </c>
      <c r="HK14" s="11" t="str">
        <f t="shared" si="65"/>
        <v/>
      </c>
      <c r="HL14" s="11" t="str">
        <f t="shared" si="66"/>
        <v/>
      </c>
      <c r="HM14" s="11" t="str">
        <f t="shared" si="67"/>
        <v/>
      </c>
      <c r="HN14" s="11" t="str">
        <f t="shared" si="68"/>
        <v/>
      </c>
      <c r="HO14" s="11" t="str">
        <f t="shared" si="69"/>
        <v/>
      </c>
      <c r="HP14" s="11" t="str">
        <f t="shared" si="70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1"/>
        <v/>
      </c>
      <c r="IL14" s="40" t="str">
        <f t="shared" si="72"/>
        <v/>
      </c>
      <c r="IM14" s="40" t="str">
        <f t="shared" si="73"/>
        <v/>
      </c>
      <c r="IN14" s="40" t="str">
        <f t="shared" si="74"/>
        <v/>
      </c>
      <c r="IO14" s="40" t="str">
        <f t="shared" si="75"/>
        <v/>
      </c>
      <c r="IP14" s="40" t="str">
        <f t="shared" si="76"/>
        <v/>
      </c>
      <c r="IQ14" s="40" t="str">
        <f t="shared" si="77"/>
        <v/>
      </c>
      <c r="IR14" s="40" t="str">
        <f t="shared" si="78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1" t="str">
        <f t="shared" si="84"/>
        <v/>
      </c>
      <c r="JS14" s="11" t="str">
        <f t="shared" si="85"/>
        <v/>
      </c>
      <c r="JT14" s="11" t="str">
        <f t="shared" si="86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7"/>
        <v/>
      </c>
      <c r="KP14" s="40" t="str">
        <f t="shared" si="88"/>
        <v/>
      </c>
      <c r="KQ14" s="40" t="str">
        <f t="shared" si="89"/>
        <v/>
      </c>
      <c r="KR14" s="40" t="str">
        <f t="shared" si="90"/>
        <v/>
      </c>
      <c r="KS14" s="40" t="str">
        <f t="shared" si="91"/>
        <v/>
      </c>
      <c r="KT14" s="40" t="str">
        <f t="shared" si="92"/>
        <v/>
      </c>
      <c r="KU14" s="40" t="str">
        <f t="shared" si="93"/>
        <v/>
      </c>
      <c r="KV14" s="40" t="str">
        <f t="shared" si="94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1" t="str">
        <f t="shared" si="100"/>
        <v/>
      </c>
      <c r="LW14" s="11" t="str">
        <f t="shared" si="101"/>
        <v/>
      </c>
      <c r="LX14" s="11" t="str">
        <f t="shared" si="102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3"/>
        <v/>
      </c>
      <c r="MT14" s="40" t="str">
        <f t="shared" si="104"/>
        <v/>
      </c>
      <c r="MU14" s="40" t="str">
        <f t="shared" si="105"/>
        <v/>
      </c>
      <c r="MV14" s="40" t="str">
        <f t="shared" si="106"/>
        <v/>
      </c>
      <c r="MW14" s="40" t="str">
        <f t="shared" si="107"/>
        <v/>
      </c>
      <c r="MX14" s="40" t="str">
        <f t="shared" si="108"/>
        <v/>
      </c>
      <c r="MY14" s="40" t="str">
        <f t="shared" si="109"/>
        <v/>
      </c>
      <c r="MZ14" s="40" t="str">
        <f t="shared" si="110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1" t="str">
        <f t="shared" si="116"/>
        <v/>
      </c>
      <c r="OA14" s="11" t="str">
        <f t="shared" si="117"/>
        <v/>
      </c>
      <c r="OB14" s="11" t="str">
        <f t="shared" si="118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19"/>
        <v/>
      </c>
      <c r="OX14" s="40" t="str">
        <f t="shared" si="120"/>
        <v/>
      </c>
      <c r="OY14" s="40" t="str">
        <f t="shared" si="121"/>
        <v/>
      </c>
      <c r="OZ14" s="40" t="str">
        <f t="shared" si="122"/>
        <v/>
      </c>
      <c r="PA14" s="40" t="str">
        <f t="shared" si="123"/>
        <v/>
      </c>
      <c r="PB14" s="40" t="str">
        <f t="shared" si="124"/>
        <v/>
      </c>
      <c r="PC14" s="40" t="str">
        <f t="shared" si="125"/>
        <v/>
      </c>
      <c r="PD14" s="40" t="str">
        <f t="shared" si="126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11" t="str">
        <f t="shared" si="132"/>
        <v/>
      </c>
      <c r="QE14" s="11" t="str">
        <f t="shared" si="133"/>
        <v/>
      </c>
      <c r="QF14" s="11" t="str">
        <f t="shared" si="134"/>
        <v/>
      </c>
      <c r="QG14" s="22">
        <f t="shared" si="135"/>
        <v>18.149999999999999</v>
      </c>
      <c r="QH14" s="22">
        <f t="shared" si="136"/>
        <v>7.25</v>
      </c>
      <c r="QI14" s="22">
        <f t="shared" si="137"/>
        <v>0.1</v>
      </c>
      <c r="QJ14" s="22">
        <f t="shared" si="138"/>
        <v>0.15</v>
      </c>
      <c r="QK14" s="22">
        <f t="shared" si="139"/>
        <v>18.450000000000003</v>
      </c>
      <c r="QL14" s="22">
        <f t="shared" si="140"/>
        <v>7.25</v>
      </c>
      <c r="QM14" s="22">
        <f t="shared" si="141"/>
        <v>0.4</v>
      </c>
      <c r="QN14" s="22">
        <f t="shared" si="142"/>
        <v>0</v>
      </c>
      <c r="QO14" s="22">
        <f t="shared" si="143"/>
        <v>18.100000000000001</v>
      </c>
      <c r="QP14" s="22">
        <f t="shared" si="144"/>
        <v>3.95</v>
      </c>
      <c r="QQ14" s="22">
        <f t="shared" si="145"/>
        <v>0</v>
      </c>
      <c r="QR14" s="22">
        <f t="shared" si="146"/>
        <v>0</v>
      </c>
      <c r="QS14" s="22">
        <f t="shared" si="147"/>
        <v>9.3000000000000007</v>
      </c>
      <c r="QT14" s="22">
        <f t="shared" si="148"/>
        <v>3.4</v>
      </c>
      <c r="QU14" s="22">
        <f t="shared" si="149"/>
        <v>0.3</v>
      </c>
      <c r="QV14" s="22">
        <f t="shared" si="150"/>
        <v>0</v>
      </c>
      <c r="QW14" s="22">
        <f t="shared" si="151"/>
        <v>9</v>
      </c>
      <c r="QX14" s="22">
        <f t="shared" si="152"/>
        <v>3.65</v>
      </c>
      <c r="QY14" s="22">
        <f t="shared" si="153"/>
        <v>0.5</v>
      </c>
      <c r="QZ14" s="22">
        <f t="shared" si="154"/>
        <v>0</v>
      </c>
      <c r="RA14" s="27" t="s">
        <v>46</v>
      </c>
      <c r="RB14" s="40">
        <f t="shared" si="155"/>
        <v>14.5</v>
      </c>
      <c r="RC14" s="40">
        <f t="shared" si="156"/>
        <v>50.75</v>
      </c>
      <c r="RD14" s="40">
        <f t="shared" si="157"/>
        <v>22.05</v>
      </c>
      <c r="RE14" s="40">
        <f t="shared" si="158"/>
        <v>18.45</v>
      </c>
      <c r="RF14" s="40">
        <f t="shared" si="159"/>
        <v>72.8</v>
      </c>
      <c r="RG14" s="40">
        <f t="shared" si="160"/>
        <v>7.05</v>
      </c>
      <c r="RH14" s="40">
        <f t="shared" si="161"/>
        <v>24.55</v>
      </c>
      <c r="RI14" s="40">
        <f t="shared" si="162"/>
        <v>97.35</v>
      </c>
    </row>
    <row r="15" spans="1:477" x14ac:dyDescent="0.2">
      <c r="A15" s="4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>12</v>
      </c>
      <c r="B15" s="4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>6</v>
      </c>
      <c r="C15" s="5" t="s">
        <v>208</v>
      </c>
      <c r="D15" s="4" t="s">
        <v>5</v>
      </c>
      <c r="E15" s="4">
        <v>2007</v>
      </c>
      <c r="F15" s="9">
        <f t="shared" si="163"/>
        <v>174.50001239000497</v>
      </c>
      <c r="G15" s="66"/>
      <c r="H15" s="3" t="str">
        <f t="shared" si="0"/>
        <v>P</v>
      </c>
      <c r="I15" s="3" t="str">
        <f t="shared" si="1"/>
        <v>P</v>
      </c>
      <c r="J15" s="36" t="str">
        <f t="shared" si="2"/>
        <v>National Team</v>
      </c>
      <c r="K15" s="3" t="str">
        <f t="shared" si="3"/>
        <v/>
      </c>
      <c r="L15" s="8">
        <f>IF(COUNT(AS15,BV15,CY15)&gt;0,LARGE((AS15,BV15,CY15),1),0)</f>
        <v>49.6</v>
      </c>
      <c r="M15" s="8" t="str">
        <f t="shared" si="4"/>
        <v>2024 Elite Canada</v>
      </c>
      <c r="N15" s="8">
        <f>IF(COUNT(AS15,BV15,CY15)&gt;1,LARGE((AS15,BV15,CY15),2),0)</f>
        <v>48.699999999999996</v>
      </c>
      <c r="O15" s="8" t="str">
        <f t="shared" si="5"/>
        <v>2023 Nationals</v>
      </c>
      <c r="P15" s="8">
        <f>IF(COUNT(AT15,BW15,CZ15)&gt;0,LARGE((AT15,BW15,CZ15),1),0)</f>
        <v>25.599999999999998</v>
      </c>
      <c r="Q15" s="8" t="str">
        <f t="shared" si="6"/>
        <v>2024 Elite Canada</v>
      </c>
      <c r="R15" s="8">
        <f t="shared" si="7"/>
        <v>50.6</v>
      </c>
      <c r="S15" s="8" t="str">
        <f t="shared" si="8"/>
        <v>2024 Elite Canada</v>
      </c>
      <c r="T15" s="8" t="str">
        <f t="shared" si="9"/>
        <v/>
      </c>
      <c r="U15" s="11" t="str">
        <f t="shared" si="10"/>
        <v/>
      </c>
      <c r="V15" s="8" t="str">
        <f t="shared" si="11"/>
        <v/>
      </c>
      <c r="W15" s="19">
        <v>18.2</v>
      </c>
      <c r="X15" s="19">
        <v>6</v>
      </c>
      <c r="Y15" s="19">
        <v>0.6</v>
      </c>
      <c r="Z15" s="19">
        <v>0</v>
      </c>
      <c r="AA15" s="19">
        <v>18</v>
      </c>
      <c r="AB15" s="19">
        <v>7.3</v>
      </c>
      <c r="AC15" s="19">
        <v>0.2</v>
      </c>
      <c r="AD15" s="19">
        <v>0</v>
      </c>
      <c r="AE15" s="19">
        <v>18.600000000000001</v>
      </c>
      <c r="AF15" s="19">
        <v>4.3</v>
      </c>
      <c r="AG15" s="19">
        <v>0.6</v>
      </c>
      <c r="AH15" s="19">
        <v>0</v>
      </c>
      <c r="AI15" s="19">
        <v>18.7</v>
      </c>
      <c r="AJ15" s="19">
        <v>5.6</v>
      </c>
      <c r="AK15" s="19">
        <v>0</v>
      </c>
      <c r="AL15" s="19">
        <v>0</v>
      </c>
      <c r="AM15" s="19">
        <v>18.899999999999999</v>
      </c>
      <c r="AN15" s="19">
        <v>6.4</v>
      </c>
      <c r="AO15" s="19">
        <v>0</v>
      </c>
      <c r="AP15" s="19">
        <v>0</v>
      </c>
      <c r="AQ15" s="27"/>
      <c r="AR15" s="40">
        <f t="shared" si="12"/>
        <v>13.3</v>
      </c>
      <c r="AS15" s="40">
        <f t="shared" si="13"/>
        <v>48.699999999999996</v>
      </c>
      <c r="AT15" s="40">
        <f t="shared" si="14"/>
        <v>22.3</v>
      </c>
      <c r="AU15" s="40">
        <f t="shared" si="15"/>
        <v>17.600000000000001</v>
      </c>
      <c r="AV15" s="40">
        <f t="shared" si="16"/>
        <v>71</v>
      </c>
      <c r="AW15" s="40">
        <f t="shared" si="17"/>
        <v>12</v>
      </c>
      <c r="AX15" s="40">
        <f t="shared" si="18"/>
        <v>49.599999999999994</v>
      </c>
      <c r="AY15" s="40">
        <f t="shared" si="19"/>
        <v>120.6</v>
      </c>
      <c r="AZ15" s="18">
        <v>18.8</v>
      </c>
      <c r="BA15" s="18">
        <v>6</v>
      </c>
      <c r="BB15" s="18">
        <v>0.2</v>
      </c>
      <c r="BC15" s="18">
        <v>0</v>
      </c>
      <c r="BD15" s="18">
        <v>18.5</v>
      </c>
      <c r="BE15" s="18">
        <v>6</v>
      </c>
      <c r="BF15" s="18">
        <v>0.6</v>
      </c>
      <c r="BG15" s="18">
        <v>0</v>
      </c>
      <c r="BH15" s="18">
        <v>18.399999999999999</v>
      </c>
      <c r="BI15" s="18">
        <v>4.3</v>
      </c>
      <c r="BJ15" s="18">
        <v>0.2</v>
      </c>
      <c r="BK15" s="18">
        <v>0</v>
      </c>
      <c r="BL15" s="18">
        <v>18.399999999999999</v>
      </c>
      <c r="BM15" s="18">
        <v>5.6</v>
      </c>
      <c r="BN15" s="18">
        <v>0.6</v>
      </c>
      <c r="BO15" s="18">
        <v>0</v>
      </c>
      <c r="BP15" s="18">
        <v>18.3</v>
      </c>
      <c r="BQ15" s="18">
        <v>7.3</v>
      </c>
      <c r="BR15" s="18">
        <v>0.8</v>
      </c>
      <c r="BS15" s="18">
        <v>0</v>
      </c>
      <c r="BT15" s="28"/>
      <c r="BU15" s="11">
        <f t="shared" si="20"/>
        <v>12</v>
      </c>
      <c r="BV15" s="11">
        <f t="shared" si="21"/>
        <v>48.499999999999993</v>
      </c>
      <c r="BW15" s="11">
        <f t="shared" si="22"/>
        <v>22.5</v>
      </c>
      <c r="BX15" s="11">
        <f t="shared" si="23"/>
        <v>16.3</v>
      </c>
      <c r="BY15" s="11">
        <f t="shared" si="24"/>
        <v>71</v>
      </c>
      <c r="BZ15" s="11">
        <f t="shared" si="25"/>
        <v>12.899999999999999</v>
      </c>
      <c r="CA15" s="11">
        <f t="shared" si="26"/>
        <v>48.199999999999996</v>
      </c>
      <c r="CB15" s="11">
        <f t="shared" si="27"/>
        <v>119.19999999999999</v>
      </c>
      <c r="CC15" s="19">
        <v>18.100000000000001</v>
      </c>
      <c r="CD15" s="19">
        <v>6.8</v>
      </c>
      <c r="CE15" s="19">
        <v>0.6</v>
      </c>
      <c r="CF15" s="19">
        <v>0</v>
      </c>
      <c r="CG15" s="19">
        <v>18.7</v>
      </c>
      <c r="CH15" s="19">
        <v>7.2</v>
      </c>
      <c r="CI15" s="19">
        <v>0.6</v>
      </c>
      <c r="CJ15" s="19">
        <v>0</v>
      </c>
      <c r="CK15" s="19">
        <v>18.399999999999999</v>
      </c>
      <c r="CL15" s="19">
        <v>7.2</v>
      </c>
      <c r="CM15" s="19">
        <v>0</v>
      </c>
      <c r="CN15" s="19">
        <v>0</v>
      </c>
      <c r="CO15" s="19">
        <v>18.3</v>
      </c>
      <c r="CP15" s="19">
        <v>7.2</v>
      </c>
      <c r="CQ15" s="19">
        <v>0.6</v>
      </c>
      <c r="CR15" s="19">
        <v>0</v>
      </c>
      <c r="CS15" s="19">
        <v>18.100000000000001</v>
      </c>
      <c r="CT15" s="19">
        <v>7.6</v>
      </c>
      <c r="CU15" s="19">
        <v>0</v>
      </c>
      <c r="CV15" s="19">
        <v>0</v>
      </c>
      <c r="CW15" s="27"/>
      <c r="CX15" s="40">
        <f t="shared" si="28"/>
        <v>14</v>
      </c>
      <c r="CY15" s="40">
        <f t="shared" si="29"/>
        <v>49.6</v>
      </c>
      <c r="CZ15" s="40">
        <f t="shared" si="30"/>
        <v>25.599999999999998</v>
      </c>
      <c r="DA15" s="40">
        <f t="shared" si="31"/>
        <v>21.2</v>
      </c>
      <c r="DB15" s="40">
        <f t="shared" si="32"/>
        <v>75.2</v>
      </c>
      <c r="DC15" s="40">
        <f t="shared" si="33"/>
        <v>14.8</v>
      </c>
      <c r="DD15" s="40">
        <f t="shared" si="34"/>
        <v>50.6</v>
      </c>
      <c r="DE15" s="40">
        <f t="shared" si="35"/>
        <v>125.80000000000001</v>
      </c>
      <c r="DF15" s="50" t="str">
        <f t="shared" si="36"/>
        <v/>
      </c>
      <c r="DG15" s="50" t="str">
        <f t="shared" si="37"/>
        <v/>
      </c>
      <c r="DH15" s="50" t="str">
        <f t="shared" si="38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39"/>
        <v/>
      </c>
      <c r="ED15" s="40" t="str">
        <f t="shared" si="40"/>
        <v/>
      </c>
      <c r="EE15" s="40" t="str">
        <f t="shared" si="41"/>
        <v/>
      </c>
      <c r="EF15" s="40" t="str">
        <f t="shared" si="42"/>
        <v/>
      </c>
      <c r="EG15" s="40" t="str">
        <f t="shared" si="43"/>
        <v/>
      </c>
      <c r="EH15" s="40" t="str">
        <f t="shared" si="44"/>
        <v/>
      </c>
      <c r="EI15" s="40" t="str">
        <f t="shared" si="45"/>
        <v/>
      </c>
      <c r="EJ15" s="40" t="str">
        <f t="shared" si="46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7"/>
        <v/>
      </c>
      <c r="FF15" s="11" t="str">
        <f t="shared" si="48"/>
        <v/>
      </c>
      <c r="FG15" s="11" t="str">
        <f t="shared" si="49"/>
        <v/>
      </c>
      <c r="FH15" s="11" t="str">
        <f t="shared" si="50"/>
        <v/>
      </c>
      <c r="FI15" s="11" t="str">
        <f t="shared" si="51"/>
        <v/>
      </c>
      <c r="FJ15" s="11" t="str">
        <f t="shared" si="52"/>
        <v/>
      </c>
      <c r="FK15" s="11" t="str">
        <f t="shared" si="53"/>
        <v/>
      </c>
      <c r="FL15" s="11" t="str">
        <f t="shared" si="54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5"/>
        <v/>
      </c>
      <c r="GH15" s="40" t="str">
        <f t="shared" si="56"/>
        <v/>
      </c>
      <c r="GI15" s="40" t="str">
        <f t="shared" si="57"/>
        <v/>
      </c>
      <c r="GJ15" s="40" t="str">
        <f t="shared" si="58"/>
        <v/>
      </c>
      <c r="GK15" s="40" t="str">
        <f t="shared" si="59"/>
        <v/>
      </c>
      <c r="GL15" s="40" t="str">
        <f t="shared" si="60"/>
        <v/>
      </c>
      <c r="GM15" s="40" t="str">
        <f t="shared" si="61"/>
        <v/>
      </c>
      <c r="GN15" s="40" t="str">
        <f t="shared" si="62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1" t="str">
        <f t="shared" si="68"/>
        <v/>
      </c>
      <c r="HO15" s="11" t="str">
        <f t="shared" si="69"/>
        <v/>
      </c>
      <c r="HP15" s="11" t="str">
        <f t="shared" si="70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1"/>
        <v/>
      </c>
      <c r="IL15" s="40" t="str">
        <f t="shared" si="72"/>
        <v/>
      </c>
      <c r="IM15" s="40" t="str">
        <f t="shared" si="73"/>
        <v/>
      </c>
      <c r="IN15" s="40" t="str">
        <f t="shared" si="74"/>
        <v/>
      </c>
      <c r="IO15" s="40" t="str">
        <f t="shared" si="75"/>
        <v/>
      </c>
      <c r="IP15" s="40" t="str">
        <f t="shared" si="76"/>
        <v/>
      </c>
      <c r="IQ15" s="40" t="str">
        <f t="shared" si="77"/>
        <v/>
      </c>
      <c r="IR15" s="40" t="str">
        <f t="shared" si="78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1" t="str">
        <f t="shared" si="84"/>
        <v/>
      </c>
      <c r="JS15" s="11" t="str">
        <f t="shared" si="85"/>
        <v/>
      </c>
      <c r="JT15" s="11" t="str">
        <f t="shared" si="86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7"/>
        <v/>
      </c>
      <c r="KP15" s="40" t="str">
        <f t="shared" si="88"/>
        <v/>
      </c>
      <c r="KQ15" s="40" t="str">
        <f t="shared" si="89"/>
        <v/>
      </c>
      <c r="KR15" s="40" t="str">
        <f t="shared" si="90"/>
        <v/>
      </c>
      <c r="KS15" s="40" t="str">
        <f t="shared" si="91"/>
        <v/>
      </c>
      <c r="KT15" s="40" t="str">
        <f t="shared" si="92"/>
        <v/>
      </c>
      <c r="KU15" s="40" t="str">
        <f t="shared" si="93"/>
        <v/>
      </c>
      <c r="KV15" s="40" t="str">
        <f t="shared" si="94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1" t="str">
        <f t="shared" si="100"/>
        <v/>
      </c>
      <c r="LW15" s="11" t="str">
        <f t="shared" si="101"/>
        <v/>
      </c>
      <c r="LX15" s="11" t="str">
        <f t="shared" si="102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3"/>
        <v/>
      </c>
      <c r="MT15" s="40" t="str">
        <f t="shared" si="104"/>
        <v/>
      </c>
      <c r="MU15" s="40" t="str">
        <f t="shared" si="105"/>
        <v/>
      </c>
      <c r="MV15" s="40" t="str">
        <f t="shared" si="106"/>
        <v/>
      </c>
      <c r="MW15" s="40" t="str">
        <f t="shared" si="107"/>
        <v/>
      </c>
      <c r="MX15" s="40" t="str">
        <f t="shared" si="108"/>
        <v/>
      </c>
      <c r="MY15" s="40" t="str">
        <f t="shared" si="109"/>
        <v/>
      </c>
      <c r="MZ15" s="40" t="str">
        <f t="shared" si="110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1" t="str">
        <f t="shared" si="116"/>
        <v/>
      </c>
      <c r="OA15" s="11" t="str">
        <f t="shared" si="117"/>
        <v/>
      </c>
      <c r="OB15" s="11" t="str">
        <f t="shared" si="118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19"/>
        <v/>
      </c>
      <c r="OX15" s="40" t="str">
        <f t="shared" si="120"/>
        <v/>
      </c>
      <c r="OY15" s="40" t="str">
        <f t="shared" si="121"/>
        <v/>
      </c>
      <c r="OZ15" s="40" t="str">
        <f t="shared" si="122"/>
        <v/>
      </c>
      <c r="PA15" s="40" t="str">
        <f t="shared" si="123"/>
        <v/>
      </c>
      <c r="PB15" s="40" t="str">
        <f t="shared" si="124"/>
        <v/>
      </c>
      <c r="PC15" s="40" t="str">
        <f t="shared" si="125"/>
        <v/>
      </c>
      <c r="PD15" s="40" t="str">
        <f t="shared" si="126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11" t="str">
        <f t="shared" si="132"/>
        <v/>
      </c>
      <c r="QE15" s="11" t="str">
        <f t="shared" si="133"/>
        <v/>
      </c>
      <c r="QF15" s="11" t="str">
        <f t="shared" si="134"/>
        <v/>
      </c>
      <c r="QG15" s="22">
        <f t="shared" si="135"/>
        <v>18.450000000000003</v>
      </c>
      <c r="QH15" s="22">
        <f t="shared" si="136"/>
        <v>6.4</v>
      </c>
      <c r="QI15" s="22">
        <f t="shared" si="137"/>
        <v>0.4</v>
      </c>
      <c r="QJ15" s="22">
        <f t="shared" si="138"/>
        <v>0</v>
      </c>
      <c r="QK15" s="22">
        <f t="shared" si="139"/>
        <v>18.600000000000001</v>
      </c>
      <c r="QL15" s="22">
        <f t="shared" si="140"/>
        <v>6.6</v>
      </c>
      <c r="QM15" s="22">
        <f t="shared" si="141"/>
        <v>0.6</v>
      </c>
      <c r="QN15" s="22">
        <f t="shared" si="142"/>
        <v>0</v>
      </c>
      <c r="QO15" s="22">
        <f t="shared" si="143"/>
        <v>18.399999999999999</v>
      </c>
      <c r="QP15" s="22">
        <f t="shared" si="144"/>
        <v>5.75</v>
      </c>
      <c r="QQ15" s="22">
        <f t="shared" si="145"/>
        <v>0.1</v>
      </c>
      <c r="QR15" s="22">
        <f t="shared" si="146"/>
        <v>0</v>
      </c>
      <c r="QS15" s="22">
        <f t="shared" si="147"/>
        <v>18.350000000000001</v>
      </c>
      <c r="QT15" s="22">
        <f t="shared" si="148"/>
        <v>6.4</v>
      </c>
      <c r="QU15" s="22">
        <f t="shared" si="149"/>
        <v>0.6</v>
      </c>
      <c r="QV15" s="22">
        <f t="shared" si="150"/>
        <v>0</v>
      </c>
      <c r="QW15" s="22">
        <f t="shared" si="151"/>
        <v>18.200000000000003</v>
      </c>
      <c r="QX15" s="22">
        <f t="shared" si="152"/>
        <v>7.4499999999999993</v>
      </c>
      <c r="QY15" s="22">
        <f t="shared" si="153"/>
        <v>0.4</v>
      </c>
      <c r="QZ15" s="22">
        <f t="shared" si="154"/>
        <v>0</v>
      </c>
      <c r="RA15" s="27" t="s">
        <v>46</v>
      </c>
      <c r="RB15" s="40">
        <f t="shared" si="155"/>
        <v>13</v>
      </c>
      <c r="RC15" s="40">
        <f t="shared" si="156"/>
        <v>49.050000000000004</v>
      </c>
      <c r="RD15" s="40">
        <f t="shared" si="157"/>
        <v>24.049999999999997</v>
      </c>
      <c r="RE15" s="40">
        <f t="shared" si="158"/>
        <v>18.75</v>
      </c>
      <c r="RF15" s="40">
        <f t="shared" si="159"/>
        <v>73.099999999999994</v>
      </c>
      <c r="RG15" s="40">
        <f t="shared" si="160"/>
        <v>13.85</v>
      </c>
      <c r="RH15" s="40">
        <f t="shared" si="161"/>
        <v>49.400000000000006</v>
      </c>
      <c r="RI15" s="40">
        <f t="shared" si="162"/>
        <v>122.5</v>
      </c>
    </row>
    <row r="16" spans="1:477" x14ac:dyDescent="0.2">
      <c r="A16" s="4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>13</v>
      </c>
      <c r="B16" s="4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>7</v>
      </c>
      <c r="C16" s="5" t="s">
        <v>144</v>
      </c>
      <c r="D16" s="4" t="s">
        <v>3</v>
      </c>
      <c r="E16" s="4">
        <v>2006</v>
      </c>
      <c r="F16" s="9">
        <f t="shared" si="163"/>
        <v>173.90001237000502</v>
      </c>
      <c r="G16" s="66"/>
      <c r="H16" s="3" t="str">
        <f t="shared" si="0"/>
        <v>P</v>
      </c>
      <c r="I16" s="3" t="str">
        <f t="shared" si="1"/>
        <v>P</v>
      </c>
      <c r="J16" s="36" t="str">
        <f t="shared" si="2"/>
        <v>National Team</v>
      </c>
      <c r="K16" s="3" t="str">
        <f t="shared" si="3"/>
        <v/>
      </c>
      <c r="L16" s="8">
        <f>IF(COUNT(AS16,BV16,CY16)&gt;0,LARGE((AS16,BV16,CY16),1),0)</f>
        <v>50.199999999999996</v>
      </c>
      <c r="M16" s="8" t="str">
        <f t="shared" si="4"/>
        <v>2023 3rd Domestic Trial</v>
      </c>
      <c r="N16" s="8">
        <f>IF(COUNT(AS16,BV16,CY16)&gt;1,LARGE((AS16,BV16,CY16),2),0)</f>
        <v>49.399999999999991</v>
      </c>
      <c r="O16" s="8" t="str">
        <f t="shared" si="5"/>
        <v>2023 Nationals</v>
      </c>
      <c r="P16" s="8">
        <f>IF(COUNT(AT16,BW16,CZ16)&gt;0,LARGE((AT16,BW16,CZ16),1),0)</f>
        <v>24.099999999999998</v>
      </c>
      <c r="Q16" s="8" t="str">
        <f t="shared" si="6"/>
        <v>2024 Elite Canada</v>
      </c>
      <c r="R16" s="8">
        <f t="shared" si="7"/>
        <v>50.2</v>
      </c>
      <c r="S16" s="8" t="str">
        <f t="shared" si="8"/>
        <v>2023 Nationals</v>
      </c>
      <c r="T16" s="8" t="str">
        <f t="shared" si="9"/>
        <v/>
      </c>
      <c r="U16" s="11" t="str">
        <f t="shared" si="10"/>
        <v/>
      </c>
      <c r="V16" s="8" t="str">
        <f t="shared" si="11"/>
        <v/>
      </c>
      <c r="W16" s="19">
        <v>18.399999999999999</v>
      </c>
      <c r="X16" s="19">
        <v>6.4</v>
      </c>
      <c r="Y16" s="19">
        <v>0.6</v>
      </c>
      <c r="Z16" s="19">
        <v>0</v>
      </c>
      <c r="AA16" s="19">
        <v>19</v>
      </c>
      <c r="AB16" s="19">
        <v>6.4</v>
      </c>
      <c r="AC16" s="19">
        <v>0.2</v>
      </c>
      <c r="AD16" s="19">
        <v>0</v>
      </c>
      <c r="AE16" s="19">
        <v>18.399999999999999</v>
      </c>
      <c r="AF16" s="19">
        <v>2.8</v>
      </c>
      <c r="AG16" s="19">
        <v>0.7</v>
      </c>
      <c r="AH16" s="19">
        <v>0</v>
      </c>
      <c r="AI16" s="19">
        <v>18.8</v>
      </c>
      <c r="AJ16" s="19">
        <v>6.4</v>
      </c>
      <c r="AK16" s="19">
        <v>0.6</v>
      </c>
      <c r="AL16" s="19">
        <v>0</v>
      </c>
      <c r="AM16" s="19">
        <v>19.2</v>
      </c>
      <c r="AN16" s="19">
        <v>6.4</v>
      </c>
      <c r="AO16" s="19">
        <v>0</v>
      </c>
      <c r="AP16" s="19">
        <v>0</v>
      </c>
      <c r="AQ16" s="27"/>
      <c r="AR16" s="40">
        <f t="shared" si="12"/>
        <v>12.8</v>
      </c>
      <c r="AS16" s="40">
        <f t="shared" si="13"/>
        <v>49.399999999999991</v>
      </c>
      <c r="AT16" s="40">
        <f t="shared" si="14"/>
        <v>20.5</v>
      </c>
      <c r="AU16" s="40">
        <f t="shared" si="15"/>
        <v>15.600000000000001</v>
      </c>
      <c r="AV16" s="40">
        <f t="shared" si="16"/>
        <v>69.899999999999991</v>
      </c>
      <c r="AW16" s="40">
        <f t="shared" si="17"/>
        <v>12.8</v>
      </c>
      <c r="AX16" s="40">
        <f t="shared" si="18"/>
        <v>50.2</v>
      </c>
      <c r="AY16" s="40">
        <f t="shared" si="19"/>
        <v>120.1</v>
      </c>
      <c r="AZ16" s="18">
        <v>18.399999999999999</v>
      </c>
      <c r="BA16" s="18">
        <v>6.4</v>
      </c>
      <c r="BB16" s="18">
        <v>0</v>
      </c>
      <c r="BC16" s="18">
        <v>0</v>
      </c>
      <c r="BD16" s="18">
        <v>19</v>
      </c>
      <c r="BE16" s="18">
        <v>6.4</v>
      </c>
      <c r="BF16" s="18">
        <v>0</v>
      </c>
      <c r="BG16" s="18">
        <v>0</v>
      </c>
      <c r="BH16" s="18">
        <v>18.7</v>
      </c>
      <c r="BI16" s="18">
        <v>6</v>
      </c>
      <c r="BJ16" s="18">
        <v>0.6</v>
      </c>
      <c r="BK16" s="18">
        <v>0</v>
      </c>
      <c r="BL16" s="18">
        <v>18.8</v>
      </c>
      <c r="BM16" s="18">
        <v>6</v>
      </c>
      <c r="BN16" s="18">
        <v>0.2</v>
      </c>
      <c r="BO16" s="18">
        <v>0</v>
      </c>
      <c r="BP16" s="18">
        <v>18.7</v>
      </c>
      <c r="BQ16" s="18">
        <v>6</v>
      </c>
      <c r="BR16" s="18">
        <v>0.6</v>
      </c>
      <c r="BS16" s="18">
        <v>0</v>
      </c>
      <c r="BT16" s="28"/>
      <c r="BU16" s="11">
        <f t="shared" si="20"/>
        <v>12.8</v>
      </c>
      <c r="BV16" s="11">
        <f t="shared" si="21"/>
        <v>50.199999999999996</v>
      </c>
      <c r="BW16" s="11">
        <f t="shared" si="22"/>
        <v>24.099999999999998</v>
      </c>
      <c r="BX16" s="11">
        <f t="shared" si="23"/>
        <v>18.8</v>
      </c>
      <c r="BY16" s="11">
        <f t="shared" si="24"/>
        <v>74.3</v>
      </c>
      <c r="BZ16" s="11">
        <f t="shared" si="25"/>
        <v>12</v>
      </c>
      <c r="CA16" s="11">
        <f t="shared" si="26"/>
        <v>48.7</v>
      </c>
      <c r="CB16" s="11">
        <f t="shared" si="27"/>
        <v>123</v>
      </c>
      <c r="CC16" s="19">
        <v>18.600000000000001</v>
      </c>
      <c r="CD16" s="19">
        <v>5.2</v>
      </c>
      <c r="CE16" s="19">
        <v>0.6</v>
      </c>
      <c r="CF16" s="19">
        <v>0</v>
      </c>
      <c r="CG16" s="19">
        <v>19</v>
      </c>
      <c r="CH16" s="19">
        <v>6.4</v>
      </c>
      <c r="CI16" s="19">
        <v>0</v>
      </c>
      <c r="CJ16" s="19">
        <v>0</v>
      </c>
      <c r="CK16" s="19">
        <v>18.7</v>
      </c>
      <c r="CL16" s="19">
        <v>6</v>
      </c>
      <c r="CM16" s="19">
        <v>0.6</v>
      </c>
      <c r="CN16" s="19">
        <v>0</v>
      </c>
      <c r="CO16" s="19">
        <v>18.3</v>
      </c>
      <c r="CP16" s="19">
        <v>6.4</v>
      </c>
      <c r="CQ16" s="19">
        <v>0.6</v>
      </c>
      <c r="CR16" s="19">
        <v>0</v>
      </c>
      <c r="CS16" s="19">
        <v>18.399999999999999</v>
      </c>
      <c r="CT16" s="19">
        <v>6.8</v>
      </c>
      <c r="CU16" s="19">
        <v>0.6</v>
      </c>
      <c r="CV16" s="19">
        <v>0</v>
      </c>
      <c r="CW16" s="27"/>
      <c r="CX16" s="40">
        <f t="shared" si="28"/>
        <v>11.600000000000001</v>
      </c>
      <c r="CY16" s="40">
        <f t="shared" si="29"/>
        <v>48.599999999999994</v>
      </c>
      <c r="CZ16" s="40">
        <f t="shared" si="30"/>
        <v>24.099999999999998</v>
      </c>
      <c r="DA16" s="40">
        <f t="shared" si="31"/>
        <v>17.600000000000001</v>
      </c>
      <c r="DB16" s="40">
        <f t="shared" si="32"/>
        <v>72.699999999999989</v>
      </c>
      <c r="DC16" s="40">
        <f t="shared" si="33"/>
        <v>13.2</v>
      </c>
      <c r="DD16" s="40">
        <f t="shared" si="34"/>
        <v>48.699999999999996</v>
      </c>
      <c r="DE16" s="40">
        <f t="shared" si="35"/>
        <v>121.39999999999998</v>
      </c>
      <c r="DF16" s="50" t="str">
        <f t="shared" si="36"/>
        <v/>
      </c>
      <c r="DG16" s="50" t="str">
        <f t="shared" si="37"/>
        <v/>
      </c>
      <c r="DH16" s="50" t="str">
        <f t="shared" si="38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39"/>
        <v/>
      </c>
      <c r="ED16" s="40" t="str">
        <f t="shared" si="40"/>
        <v/>
      </c>
      <c r="EE16" s="40" t="str">
        <f t="shared" si="41"/>
        <v/>
      </c>
      <c r="EF16" s="40" t="str">
        <f t="shared" si="42"/>
        <v/>
      </c>
      <c r="EG16" s="40" t="str">
        <f t="shared" si="43"/>
        <v/>
      </c>
      <c r="EH16" s="40" t="str">
        <f t="shared" si="44"/>
        <v/>
      </c>
      <c r="EI16" s="40" t="str">
        <f t="shared" si="45"/>
        <v/>
      </c>
      <c r="EJ16" s="40" t="str">
        <f t="shared" si="46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1" t="str">
        <f t="shared" si="52"/>
        <v/>
      </c>
      <c r="FK16" s="11" t="str">
        <f t="shared" si="53"/>
        <v/>
      </c>
      <c r="FL16" s="11" t="str">
        <f t="shared" si="54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5"/>
        <v/>
      </c>
      <c r="GH16" s="40" t="str">
        <f t="shared" si="56"/>
        <v/>
      </c>
      <c r="GI16" s="40" t="str">
        <f t="shared" si="57"/>
        <v/>
      </c>
      <c r="GJ16" s="40" t="str">
        <f t="shared" si="58"/>
        <v/>
      </c>
      <c r="GK16" s="40" t="str">
        <f t="shared" si="59"/>
        <v/>
      </c>
      <c r="GL16" s="40" t="str">
        <f t="shared" si="60"/>
        <v/>
      </c>
      <c r="GM16" s="40" t="str">
        <f t="shared" si="61"/>
        <v/>
      </c>
      <c r="GN16" s="40" t="str">
        <f t="shared" si="62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3"/>
        <v/>
      </c>
      <c r="HJ16" s="11" t="str">
        <f t="shared" si="64"/>
        <v/>
      </c>
      <c r="HK16" s="11" t="str">
        <f t="shared" si="65"/>
        <v/>
      </c>
      <c r="HL16" s="11" t="str">
        <f t="shared" si="66"/>
        <v/>
      </c>
      <c r="HM16" s="11" t="str">
        <f t="shared" si="67"/>
        <v/>
      </c>
      <c r="HN16" s="11" t="str">
        <f t="shared" si="68"/>
        <v/>
      </c>
      <c r="HO16" s="11" t="str">
        <f t="shared" si="69"/>
        <v/>
      </c>
      <c r="HP16" s="11" t="str">
        <f t="shared" si="70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1"/>
        <v/>
      </c>
      <c r="IL16" s="40" t="str">
        <f t="shared" si="72"/>
        <v/>
      </c>
      <c r="IM16" s="40" t="str">
        <f t="shared" si="73"/>
        <v/>
      </c>
      <c r="IN16" s="40" t="str">
        <f t="shared" si="74"/>
        <v/>
      </c>
      <c r="IO16" s="40" t="str">
        <f t="shared" si="75"/>
        <v/>
      </c>
      <c r="IP16" s="40" t="str">
        <f t="shared" si="76"/>
        <v/>
      </c>
      <c r="IQ16" s="40" t="str">
        <f t="shared" si="77"/>
        <v/>
      </c>
      <c r="IR16" s="40" t="str">
        <f t="shared" si="78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1" t="str">
        <f t="shared" si="84"/>
        <v/>
      </c>
      <c r="JS16" s="11" t="str">
        <f t="shared" si="85"/>
        <v/>
      </c>
      <c r="JT16" s="11" t="str">
        <f t="shared" si="86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7"/>
        <v/>
      </c>
      <c r="KP16" s="40" t="str">
        <f t="shared" si="88"/>
        <v/>
      </c>
      <c r="KQ16" s="40" t="str">
        <f t="shared" si="89"/>
        <v/>
      </c>
      <c r="KR16" s="40" t="str">
        <f t="shared" si="90"/>
        <v/>
      </c>
      <c r="KS16" s="40" t="str">
        <f t="shared" si="91"/>
        <v/>
      </c>
      <c r="KT16" s="40" t="str">
        <f t="shared" si="92"/>
        <v/>
      </c>
      <c r="KU16" s="40" t="str">
        <f t="shared" si="93"/>
        <v/>
      </c>
      <c r="KV16" s="40" t="str">
        <f t="shared" si="94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1" t="str">
        <f t="shared" si="100"/>
        <v/>
      </c>
      <c r="LW16" s="11" t="str">
        <f t="shared" si="101"/>
        <v/>
      </c>
      <c r="LX16" s="11" t="str">
        <f t="shared" si="102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3"/>
        <v/>
      </c>
      <c r="MT16" s="40" t="str">
        <f t="shared" si="104"/>
        <v/>
      </c>
      <c r="MU16" s="40" t="str">
        <f t="shared" si="105"/>
        <v/>
      </c>
      <c r="MV16" s="40" t="str">
        <f t="shared" si="106"/>
        <v/>
      </c>
      <c r="MW16" s="40" t="str">
        <f t="shared" si="107"/>
        <v/>
      </c>
      <c r="MX16" s="40" t="str">
        <f t="shared" si="108"/>
        <v/>
      </c>
      <c r="MY16" s="40" t="str">
        <f t="shared" si="109"/>
        <v/>
      </c>
      <c r="MZ16" s="40" t="str">
        <f t="shared" si="110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1" t="str">
        <f t="shared" si="116"/>
        <v/>
      </c>
      <c r="OA16" s="11" t="str">
        <f t="shared" si="117"/>
        <v/>
      </c>
      <c r="OB16" s="11" t="str">
        <f t="shared" si="118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19"/>
        <v/>
      </c>
      <c r="OX16" s="40" t="str">
        <f t="shared" si="120"/>
        <v/>
      </c>
      <c r="OY16" s="40" t="str">
        <f t="shared" si="121"/>
        <v/>
      </c>
      <c r="OZ16" s="40" t="str">
        <f t="shared" si="122"/>
        <v/>
      </c>
      <c r="PA16" s="40" t="str">
        <f t="shared" si="123"/>
        <v/>
      </c>
      <c r="PB16" s="40" t="str">
        <f t="shared" si="124"/>
        <v/>
      </c>
      <c r="PC16" s="40" t="str">
        <f t="shared" si="125"/>
        <v/>
      </c>
      <c r="PD16" s="40" t="str">
        <f t="shared" si="126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11" t="str">
        <f t="shared" si="132"/>
        <v/>
      </c>
      <c r="QE16" s="11" t="str">
        <f t="shared" si="133"/>
        <v/>
      </c>
      <c r="QF16" s="11" t="str">
        <f t="shared" si="134"/>
        <v/>
      </c>
      <c r="QG16" s="22">
        <f t="shared" si="135"/>
        <v>18.5</v>
      </c>
      <c r="QH16" s="22">
        <f t="shared" si="136"/>
        <v>5.8000000000000007</v>
      </c>
      <c r="QI16" s="22">
        <f t="shared" si="137"/>
        <v>0.3</v>
      </c>
      <c r="QJ16" s="22">
        <f t="shared" si="138"/>
        <v>0</v>
      </c>
      <c r="QK16" s="22">
        <f t="shared" si="139"/>
        <v>19</v>
      </c>
      <c r="QL16" s="22">
        <f t="shared" si="140"/>
        <v>6.4</v>
      </c>
      <c r="QM16" s="22">
        <f t="shared" si="141"/>
        <v>0</v>
      </c>
      <c r="QN16" s="22">
        <f t="shared" si="142"/>
        <v>0</v>
      </c>
      <c r="QO16" s="22">
        <f t="shared" si="143"/>
        <v>18.7</v>
      </c>
      <c r="QP16" s="22">
        <f t="shared" si="144"/>
        <v>6</v>
      </c>
      <c r="QQ16" s="22">
        <f t="shared" si="145"/>
        <v>0.6</v>
      </c>
      <c r="QR16" s="22">
        <f t="shared" si="146"/>
        <v>0</v>
      </c>
      <c r="QS16" s="22">
        <f t="shared" si="147"/>
        <v>18.55</v>
      </c>
      <c r="QT16" s="22">
        <f t="shared" si="148"/>
        <v>6.2</v>
      </c>
      <c r="QU16" s="22">
        <f t="shared" si="149"/>
        <v>0.4</v>
      </c>
      <c r="QV16" s="22">
        <f t="shared" si="150"/>
        <v>0</v>
      </c>
      <c r="QW16" s="22">
        <f t="shared" si="151"/>
        <v>18.549999999999997</v>
      </c>
      <c r="QX16" s="22">
        <f t="shared" si="152"/>
        <v>6.4</v>
      </c>
      <c r="QY16" s="22">
        <f t="shared" si="153"/>
        <v>0.6</v>
      </c>
      <c r="QZ16" s="22">
        <f t="shared" si="154"/>
        <v>0</v>
      </c>
      <c r="RA16" s="27" t="s">
        <v>46</v>
      </c>
      <c r="RB16" s="40">
        <f t="shared" si="155"/>
        <v>12.200000000000001</v>
      </c>
      <c r="RC16" s="40">
        <f t="shared" si="156"/>
        <v>49.4</v>
      </c>
      <c r="RD16" s="40">
        <f t="shared" si="157"/>
        <v>24.099999999999998</v>
      </c>
      <c r="RE16" s="40">
        <f t="shared" si="158"/>
        <v>18.200000000000003</v>
      </c>
      <c r="RF16" s="40">
        <f t="shared" si="159"/>
        <v>73.5</v>
      </c>
      <c r="RG16" s="40">
        <f t="shared" si="160"/>
        <v>12.600000000000001</v>
      </c>
      <c r="RH16" s="40">
        <f t="shared" si="161"/>
        <v>48.699999999999996</v>
      </c>
      <c r="RI16" s="40">
        <f t="shared" si="162"/>
        <v>122.19999999999999</v>
      </c>
    </row>
    <row r="17" spans="1:477" x14ac:dyDescent="0.2">
      <c r="A17" s="4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>14</v>
      </c>
      <c r="B17" s="4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>8</v>
      </c>
      <c r="C17" s="5" t="s">
        <v>145</v>
      </c>
      <c r="D17" s="4" t="s">
        <v>6</v>
      </c>
      <c r="E17" s="4">
        <v>2004</v>
      </c>
      <c r="F17" s="9">
        <f t="shared" si="163"/>
        <v>171.60001239000499</v>
      </c>
      <c r="G17" s="66"/>
      <c r="H17" s="3" t="str">
        <f t="shared" si="0"/>
        <v>P</v>
      </c>
      <c r="I17" s="3" t="str">
        <f t="shared" si="1"/>
        <v>P</v>
      </c>
      <c r="J17" s="36" t="str">
        <f t="shared" si="2"/>
        <v>National Team</v>
      </c>
      <c r="K17" s="3" t="str">
        <f t="shared" si="3"/>
        <v/>
      </c>
      <c r="L17" s="8">
        <f>IF(COUNT(AS17,BV17,CY17)&gt;0,LARGE((AS17,BV17,CY17),1),0)</f>
        <v>49.9</v>
      </c>
      <c r="M17" s="8" t="str">
        <f t="shared" si="4"/>
        <v>2024 Elite Canada</v>
      </c>
      <c r="N17" s="8">
        <f>IF(COUNT(AS17,BV17,CY17)&gt;1,LARGE((AS17,BV17,CY17),2),0)</f>
        <v>49.9</v>
      </c>
      <c r="O17" s="8" t="str">
        <f t="shared" si="5"/>
        <v>2024 Elite Canada</v>
      </c>
      <c r="P17" s="8">
        <f>IF(COUNT(AT17,BW17,CZ17)&gt;0,LARGE((AT17,BW17,CZ17),1),0)</f>
        <v>24.1</v>
      </c>
      <c r="Q17" s="8" t="str">
        <f t="shared" si="6"/>
        <v>2024 Elite Canada</v>
      </c>
      <c r="R17" s="8">
        <f t="shared" si="7"/>
        <v>47.699999999999996</v>
      </c>
      <c r="S17" s="8" t="str">
        <f t="shared" si="8"/>
        <v>2023 Nationals</v>
      </c>
      <c r="T17" s="8" t="str">
        <f t="shared" si="9"/>
        <v/>
      </c>
      <c r="U17" s="11" t="str">
        <f t="shared" si="10"/>
        <v/>
      </c>
      <c r="V17" s="8" t="str">
        <f t="shared" si="11"/>
        <v/>
      </c>
      <c r="W17" s="19">
        <v>18.8</v>
      </c>
      <c r="X17" s="19">
        <v>6.8</v>
      </c>
      <c r="Y17" s="19">
        <v>0.6</v>
      </c>
      <c r="Z17" s="19">
        <v>0</v>
      </c>
      <c r="AA17" s="19">
        <v>18.100000000000001</v>
      </c>
      <c r="AB17" s="19">
        <v>6</v>
      </c>
      <c r="AC17" s="19">
        <v>0.6</v>
      </c>
      <c r="AD17" s="19">
        <v>0</v>
      </c>
      <c r="AE17" s="19">
        <v>18.7</v>
      </c>
      <c r="AF17" s="19">
        <v>4.3</v>
      </c>
      <c r="AG17" s="19">
        <v>0</v>
      </c>
      <c r="AH17" s="19">
        <v>0</v>
      </c>
      <c r="AI17" s="19">
        <v>19</v>
      </c>
      <c r="AJ17" s="19">
        <v>6.8</v>
      </c>
      <c r="AK17" s="19">
        <v>0</v>
      </c>
      <c r="AL17" s="19">
        <v>0</v>
      </c>
      <c r="AM17" s="19">
        <v>16.5</v>
      </c>
      <c r="AN17" s="19">
        <v>6.4</v>
      </c>
      <c r="AO17" s="19">
        <v>1</v>
      </c>
      <c r="AP17" s="19">
        <v>0</v>
      </c>
      <c r="AQ17" s="27"/>
      <c r="AR17" s="40">
        <f t="shared" si="12"/>
        <v>12.8</v>
      </c>
      <c r="AS17" s="40">
        <f t="shared" si="13"/>
        <v>48.5</v>
      </c>
      <c r="AT17" s="40">
        <f t="shared" si="14"/>
        <v>23</v>
      </c>
      <c r="AU17" s="40">
        <f t="shared" si="15"/>
        <v>17.100000000000001</v>
      </c>
      <c r="AV17" s="40">
        <f t="shared" si="16"/>
        <v>71.5</v>
      </c>
      <c r="AW17" s="40">
        <f t="shared" si="17"/>
        <v>13.2</v>
      </c>
      <c r="AX17" s="40">
        <f t="shared" si="18"/>
        <v>47.699999999999996</v>
      </c>
      <c r="AY17" s="40">
        <f t="shared" si="19"/>
        <v>119.19999999999999</v>
      </c>
      <c r="AZ17" s="18">
        <v>19</v>
      </c>
      <c r="BA17" s="18">
        <v>6.8000000000000007</v>
      </c>
      <c r="BB17" s="18">
        <v>0</v>
      </c>
      <c r="BC17" s="18">
        <v>0</v>
      </c>
      <c r="BD17" s="18">
        <v>18.5</v>
      </c>
      <c r="BE17" s="18">
        <v>6.4</v>
      </c>
      <c r="BF17" s="18">
        <v>0.8</v>
      </c>
      <c r="BG17" s="18">
        <v>0</v>
      </c>
      <c r="BH17" s="18">
        <v>18.8</v>
      </c>
      <c r="BI17" s="18">
        <v>3.9000000000000004</v>
      </c>
      <c r="BJ17" s="18">
        <v>0</v>
      </c>
      <c r="BK17" s="18">
        <v>0</v>
      </c>
      <c r="BL17" s="18">
        <v>19</v>
      </c>
      <c r="BM17" s="18">
        <v>6.8000000000000007</v>
      </c>
      <c r="BN17" s="18">
        <v>0.6</v>
      </c>
      <c r="BO17" s="18">
        <v>0</v>
      </c>
      <c r="BP17" s="18">
        <v>18.2</v>
      </c>
      <c r="BQ17" s="18">
        <v>3.6</v>
      </c>
      <c r="BR17" s="18">
        <v>0.6</v>
      </c>
      <c r="BS17" s="18">
        <v>0</v>
      </c>
      <c r="BT17" s="28"/>
      <c r="BU17" s="11">
        <f t="shared" si="20"/>
        <v>13.200000000000001</v>
      </c>
      <c r="BV17" s="11">
        <f t="shared" si="21"/>
        <v>49.9</v>
      </c>
      <c r="BW17" s="11">
        <f t="shared" si="22"/>
        <v>22.700000000000003</v>
      </c>
      <c r="BX17" s="11">
        <f t="shared" si="23"/>
        <v>17.100000000000001</v>
      </c>
      <c r="BY17" s="11">
        <f t="shared" si="24"/>
        <v>72.599999999999994</v>
      </c>
      <c r="BZ17" s="11">
        <f t="shared" si="25"/>
        <v>10.4</v>
      </c>
      <c r="CA17" s="11">
        <f t="shared" si="26"/>
        <v>46.4</v>
      </c>
      <c r="CB17" s="11">
        <f t="shared" si="27"/>
        <v>119</v>
      </c>
      <c r="CC17" s="19">
        <v>18.600000000000001</v>
      </c>
      <c r="CD17" s="19">
        <v>6.8</v>
      </c>
      <c r="CE17" s="19">
        <v>0.2</v>
      </c>
      <c r="CF17" s="19">
        <v>0</v>
      </c>
      <c r="CG17" s="19">
        <v>18.5</v>
      </c>
      <c r="CH17" s="19">
        <v>6.4</v>
      </c>
      <c r="CI17" s="19">
        <v>0.2</v>
      </c>
      <c r="CJ17" s="19">
        <v>0</v>
      </c>
      <c r="CK17" s="19">
        <v>18.3</v>
      </c>
      <c r="CL17" s="19">
        <v>6</v>
      </c>
      <c r="CM17" s="19">
        <v>0.2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27"/>
      <c r="CX17" s="40">
        <f t="shared" si="28"/>
        <v>13.2</v>
      </c>
      <c r="CY17" s="40">
        <f t="shared" si="29"/>
        <v>49.9</v>
      </c>
      <c r="CZ17" s="40">
        <f t="shared" si="30"/>
        <v>24.1</v>
      </c>
      <c r="DA17" s="40">
        <f t="shared" si="31"/>
        <v>19.2</v>
      </c>
      <c r="DB17" s="40">
        <f t="shared" si="32"/>
        <v>74</v>
      </c>
      <c r="DC17" s="40" t="str">
        <f t="shared" si="33"/>
        <v/>
      </c>
      <c r="DD17" s="40" t="str">
        <f t="shared" si="34"/>
        <v/>
      </c>
      <c r="DE17" s="40">
        <f t="shared" si="35"/>
        <v>74</v>
      </c>
      <c r="DF17" s="50" t="str">
        <f t="shared" si="36"/>
        <v/>
      </c>
      <c r="DG17" s="50" t="str">
        <f t="shared" si="37"/>
        <v/>
      </c>
      <c r="DH17" s="50" t="str">
        <f t="shared" si="38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39"/>
        <v/>
      </c>
      <c r="ED17" s="40" t="str">
        <f t="shared" si="40"/>
        <v/>
      </c>
      <c r="EE17" s="40" t="str">
        <f t="shared" si="41"/>
        <v/>
      </c>
      <c r="EF17" s="40" t="str">
        <f t="shared" si="42"/>
        <v/>
      </c>
      <c r="EG17" s="40" t="str">
        <f t="shared" si="43"/>
        <v/>
      </c>
      <c r="EH17" s="40" t="str">
        <f t="shared" si="44"/>
        <v/>
      </c>
      <c r="EI17" s="40" t="str">
        <f t="shared" si="45"/>
        <v/>
      </c>
      <c r="EJ17" s="40" t="str">
        <f t="shared" si="46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1" t="str">
        <f t="shared" si="52"/>
        <v/>
      </c>
      <c r="FK17" s="11" t="str">
        <f t="shared" si="53"/>
        <v/>
      </c>
      <c r="FL17" s="11" t="str">
        <f t="shared" si="54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5"/>
        <v/>
      </c>
      <c r="GH17" s="40" t="str">
        <f t="shared" si="56"/>
        <v/>
      </c>
      <c r="GI17" s="40" t="str">
        <f t="shared" si="57"/>
        <v/>
      </c>
      <c r="GJ17" s="40" t="str">
        <f t="shared" si="58"/>
        <v/>
      </c>
      <c r="GK17" s="40" t="str">
        <f t="shared" si="59"/>
        <v/>
      </c>
      <c r="GL17" s="40" t="str">
        <f t="shared" si="60"/>
        <v/>
      </c>
      <c r="GM17" s="40" t="str">
        <f t="shared" si="61"/>
        <v/>
      </c>
      <c r="GN17" s="40" t="str">
        <f t="shared" si="62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1" t="str">
        <f t="shared" si="68"/>
        <v/>
      </c>
      <c r="HO17" s="11" t="str">
        <f t="shared" si="69"/>
        <v/>
      </c>
      <c r="HP17" s="11" t="str">
        <f t="shared" si="70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1"/>
        <v/>
      </c>
      <c r="IL17" s="40" t="str">
        <f t="shared" si="72"/>
        <v/>
      </c>
      <c r="IM17" s="40" t="str">
        <f t="shared" si="73"/>
        <v/>
      </c>
      <c r="IN17" s="40" t="str">
        <f t="shared" si="74"/>
        <v/>
      </c>
      <c r="IO17" s="40" t="str">
        <f t="shared" si="75"/>
        <v/>
      </c>
      <c r="IP17" s="40" t="str">
        <f t="shared" si="76"/>
        <v/>
      </c>
      <c r="IQ17" s="40" t="str">
        <f t="shared" si="77"/>
        <v/>
      </c>
      <c r="IR17" s="40" t="str">
        <f t="shared" si="78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1" t="str">
        <f t="shared" si="84"/>
        <v/>
      </c>
      <c r="JS17" s="11" t="str">
        <f t="shared" si="85"/>
        <v/>
      </c>
      <c r="JT17" s="11" t="str">
        <f t="shared" si="86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7"/>
        <v/>
      </c>
      <c r="KP17" s="40" t="str">
        <f t="shared" si="88"/>
        <v/>
      </c>
      <c r="KQ17" s="40" t="str">
        <f t="shared" si="89"/>
        <v/>
      </c>
      <c r="KR17" s="40" t="str">
        <f t="shared" si="90"/>
        <v/>
      </c>
      <c r="KS17" s="40" t="str">
        <f t="shared" si="91"/>
        <v/>
      </c>
      <c r="KT17" s="40" t="str">
        <f t="shared" si="92"/>
        <v/>
      </c>
      <c r="KU17" s="40" t="str">
        <f t="shared" si="93"/>
        <v/>
      </c>
      <c r="KV17" s="40" t="str">
        <f t="shared" si="94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1" t="str">
        <f t="shared" si="100"/>
        <v/>
      </c>
      <c r="LW17" s="11" t="str">
        <f t="shared" si="101"/>
        <v/>
      </c>
      <c r="LX17" s="11" t="str">
        <f t="shared" si="102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3"/>
        <v/>
      </c>
      <c r="MT17" s="40" t="str">
        <f t="shared" si="104"/>
        <v/>
      </c>
      <c r="MU17" s="40" t="str">
        <f t="shared" si="105"/>
        <v/>
      </c>
      <c r="MV17" s="40" t="str">
        <f t="shared" si="106"/>
        <v/>
      </c>
      <c r="MW17" s="40" t="str">
        <f t="shared" si="107"/>
        <v/>
      </c>
      <c r="MX17" s="40" t="str">
        <f t="shared" si="108"/>
        <v/>
      </c>
      <c r="MY17" s="40" t="str">
        <f t="shared" si="109"/>
        <v/>
      </c>
      <c r="MZ17" s="40" t="str">
        <f t="shared" si="110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1" t="str">
        <f t="shared" si="116"/>
        <v/>
      </c>
      <c r="OA17" s="11" t="str">
        <f t="shared" si="117"/>
        <v/>
      </c>
      <c r="OB17" s="11" t="str">
        <f t="shared" si="118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19"/>
        <v/>
      </c>
      <c r="OX17" s="40" t="str">
        <f t="shared" si="120"/>
        <v/>
      </c>
      <c r="OY17" s="40" t="str">
        <f t="shared" si="121"/>
        <v/>
      </c>
      <c r="OZ17" s="40" t="str">
        <f t="shared" si="122"/>
        <v/>
      </c>
      <c r="PA17" s="40" t="str">
        <f t="shared" si="123"/>
        <v/>
      </c>
      <c r="PB17" s="40" t="str">
        <f t="shared" si="124"/>
        <v/>
      </c>
      <c r="PC17" s="40" t="str">
        <f t="shared" si="125"/>
        <v/>
      </c>
      <c r="PD17" s="40" t="str">
        <f t="shared" si="126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11" t="str">
        <f t="shared" si="132"/>
        <v/>
      </c>
      <c r="QE17" s="11" t="str">
        <f t="shared" si="133"/>
        <v/>
      </c>
      <c r="QF17" s="11" t="str">
        <f t="shared" si="134"/>
        <v/>
      </c>
      <c r="QG17" s="22">
        <f t="shared" si="135"/>
        <v>18.8</v>
      </c>
      <c r="QH17" s="22">
        <f t="shared" si="136"/>
        <v>6.8000000000000007</v>
      </c>
      <c r="QI17" s="22">
        <f t="shared" si="137"/>
        <v>0.1</v>
      </c>
      <c r="QJ17" s="22">
        <f t="shared" si="138"/>
        <v>0</v>
      </c>
      <c r="QK17" s="22">
        <f t="shared" si="139"/>
        <v>18.5</v>
      </c>
      <c r="QL17" s="22">
        <f t="shared" si="140"/>
        <v>6.4</v>
      </c>
      <c r="QM17" s="22">
        <f t="shared" si="141"/>
        <v>0.5</v>
      </c>
      <c r="QN17" s="22">
        <f t="shared" si="142"/>
        <v>0</v>
      </c>
      <c r="QO17" s="22">
        <f t="shared" si="143"/>
        <v>18.55</v>
      </c>
      <c r="QP17" s="22">
        <f t="shared" si="144"/>
        <v>4.95</v>
      </c>
      <c r="QQ17" s="22">
        <f t="shared" si="145"/>
        <v>0.1</v>
      </c>
      <c r="QR17" s="22">
        <f t="shared" si="146"/>
        <v>0</v>
      </c>
      <c r="QS17" s="22">
        <f t="shared" si="147"/>
        <v>9.5</v>
      </c>
      <c r="QT17" s="22">
        <f t="shared" si="148"/>
        <v>3.4000000000000004</v>
      </c>
      <c r="QU17" s="22">
        <f t="shared" si="149"/>
        <v>0.3</v>
      </c>
      <c r="QV17" s="22">
        <f t="shared" si="150"/>
        <v>0</v>
      </c>
      <c r="QW17" s="22">
        <f t="shared" si="151"/>
        <v>9.1</v>
      </c>
      <c r="QX17" s="22">
        <f t="shared" si="152"/>
        <v>1.8</v>
      </c>
      <c r="QY17" s="22">
        <f t="shared" si="153"/>
        <v>0.3</v>
      </c>
      <c r="QZ17" s="22">
        <f t="shared" si="154"/>
        <v>0</v>
      </c>
      <c r="RA17" s="27" t="s">
        <v>46</v>
      </c>
      <c r="RB17" s="40">
        <f t="shared" si="155"/>
        <v>13.200000000000001</v>
      </c>
      <c r="RC17" s="40">
        <f t="shared" si="156"/>
        <v>49.9</v>
      </c>
      <c r="RD17" s="40">
        <f t="shared" si="157"/>
        <v>23.4</v>
      </c>
      <c r="RE17" s="40">
        <f t="shared" si="158"/>
        <v>18.150000000000002</v>
      </c>
      <c r="RF17" s="40">
        <f t="shared" si="159"/>
        <v>73.3</v>
      </c>
      <c r="RG17" s="40">
        <f t="shared" si="160"/>
        <v>5.2</v>
      </c>
      <c r="RH17" s="40">
        <f t="shared" si="161"/>
        <v>23.2</v>
      </c>
      <c r="RI17" s="40">
        <f t="shared" si="162"/>
        <v>96.5</v>
      </c>
    </row>
    <row r="18" spans="1:477" x14ac:dyDescent="0.2">
      <c r="A18" s="4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>15</v>
      </c>
      <c r="B18" s="4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>9</v>
      </c>
      <c r="C18" s="5" t="s">
        <v>155</v>
      </c>
      <c r="D18" s="4" t="s">
        <v>5</v>
      </c>
      <c r="E18" s="4">
        <v>2006</v>
      </c>
      <c r="F18" s="9">
        <f t="shared" si="163"/>
        <v>169.40001206000494</v>
      </c>
      <c r="G18" s="66"/>
      <c r="H18" s="3" t="str">
        <f t="shared" si="0"/>
        <v>P</v>
      </c>
      <c r="I18" s="3" t="str">
        <f t="shared" si="1"/>
        <v>P</v>
      </c>
      <c r="J18" s="36" t="str">
        <f t="shared" si="2"/>
        <v>National Team</v>
      </c>
      <c r="K18" s="3" t="str">
        <f t="shared" si="3"/>
        <v/>
      </c>
      <c r="L18" s="8">
        <f>IF(COUNT(AS18,BV18,CY18)&gt;0,LARGE((AS18,BV18,CY18),1),0)</f>
        <v>49.5</v>
      </c>
      <c r="M18" s="8" t="str">
        <f t="shared" si="4"/>
        <v>2023 3rd Domestic Trial</v>
      </c>
      <c r="N18" s="8">
        <f>IF(COUNT(AS18,BV18,CY18)&gt;1,LARGE((AS18,BV18,CY18),2),0)</f>
        <v>48.499999999999993</v>
      </c>
      <c r="O18" s="8" t="str">
        <f t="shared" si="5"/>
        <v>2023 Nationals</v>
      </c>
      <c r="P18" s="8">
        <f>IF(COUNT(AT18,BW18,CZ18)&gt;0,LARGE((AT18,BW18,CZ18),1),0)</f>
        <v>22.6</v>
      </c>
      <c r="Q18" s="8" t="str">
        <f t="shared" si="6"/>
        <v>2023 Nationals</v>
      </c>
      <c r="R18" s="8">
        <f t="shared" si="7"/>
        <v>48.800000000000004</v>
      </c>
      <c r="S18" s="8" t="str">
        <f t="shared" si="8"/>
        <v>2023 3rd Domestic Trial</v>
      </c>
      <c r="T18" s="8" t="str">
        <f t="shared" si="9"/>
        <v/>
      </c>
      <c r="U18" s="11" t="str">
        <f t="shared" si="10"/>
        <v/>
      </c>
      <c r="V18" s="8" t="str">
        <f t="shared" si="11"/>
        <v/>
      </c>
      <c r="W18" s="19">
        <v>18.399999999999999</v>
      </c>
      <c r="X18" s="19">
        <v>6.8</v>
      </c>
      <c r="Y18" s="19">
        <v>0</v>
      </c>
      <c r="Z18" s="19">
        <v>0</v>
      </c>
      <c r="AA18" s="19">
        <v>16.2</v>
      </c>
      <c r="AB18" s="19">
        <v>7.3</v>
      </c>
      <c r="AC18" s="19">
        <v>0.2</v>
      </c>
      <c r="AD18" s="19">
        <v>0</v>
      </c>
      <c r="AE18" s="19">
        <v>18.5</v>
      </c>
      <c r="AF18" s="19">
        <v>4.3</v>
      </c>
      <c r="AG18" s="19">
        <v>0.2</v>
      </c>
      <c r="AH18" s="19">
        <v>0</v>
      </c>
      <c r="AI18" s="19">
        <v>18.8</v>
      </c>
      <c r="AJ18" s="19">
        <v>6.4</v>
      </c>
      <c r="AK18" s="19">
        <v>0.2</v>
      </c>
      <c r="AL18" s="19">
        <v>0</v>
      </c>
      <c r="AM18" s="19">
        <v>16.3</v>
      </c>
      <c r="AN18" s="19">
        <v>7.7</v>
      </c>
      <c r="AO18" s="19">
        <v>1</v>
      </c>
      <c r="AP18" s="19">
        <v>0</v>
      </c>
      <c r="AQ18" s="27"/>
      <c r="AR18" s="40">
        <f t="shared" si="12"/>
        <v>14.1</v>
      </c>
      <c r="AS18" s="40">
        <f t="shared" si="13"/>
        <v>48.499999999999993</v>
      </c>
      <c r="AT18" s="40">
        <f t="shared" si="14"/>
        <v>22.6</v>
      </c>
      <c r="AU18" s="40">
        <f t="shared" si="15"/>
        <v>18.399999999999999</v>
      </c>
      <c r="AV18" s="40">
        <f t="shared" si="16"/>
        <v>71.099999999999994</v>
      </c>
      <c r="AW18" s="40">
        <f t="shared" si="17"/>
        <v>14.100000000000001</v>
      </c>
      <c r="AX18" s="40">
        <f t="shared" si="18"/>
        <v>48</v>
      </c>
      <c r="AY18" s="40">
        <f t="shared" si="19"/>
        <v>119.1</v>
      </c>
      <c r="AZ18" s="18">
        <v>18.2</v>
      </c>
      <c r="BA18" s="18">
        <v>6.8000000000000007</v>
      </c>
      <c r="BB18" s="18">
        <v>0</v>
      </c>
      <c r="BC18" s="18">
        <v>0</v>
      </c>
      <c r="BD18" s="18">
        <v>18.5</v>
      </c>
      <c r="BE18" s="18">
        <v>6</v>
      </c>
      <c r="BF18" s="18">
        <v>0</v>
      </c>
      <c r="BG18" s="18">
        <v>0</v>
      </c>
      <c r="BH18" s="18">
        <v>18.2</v>
      </c>
      <c r="BI18" s="18">
        <v>2.7</v>
      </c>
      <c r="BJ18" s="18">
        <v>1.6</v>
      </c>
      <c r="BK18" s="18">
        <v>0</v>
      </c>
      <c r="BL18" s="18">
        <v>18.600000000000001</v>
      </c>
      <c r="BM18" s="18">
        <v>6.8000000000000007</v>
      </c>
      <c r="BN18" s="18">
        <v>0</v>
      </c>
      <c r="BO18" s="18">
        <v>0</v>
      </c>
      <c r="BP18" s="18">
        <v>18</v>
      </c>
      <c r="BQ18" s="18">
        <v>6</v>
      </c>
      <c r="BR18" s="18">
        <v>0.6</v>
      </c>
      <c r="BS18" s="18">
        <v>0</v>
      </c>
      <c r="BT18" s="28"/>
      <c r="BU18" s="11">
        <f t="shared" si="20"/>
        <v>12.8</v>
      </c>
      <c r="BV18" s="11">
        <f t="shared" si="21"/>
        <v>49.5</v>
      </c>
      <c r="BW18" s="11">
        <f t="shared" si="22"/>
        <v>19.299999999999997</v>
      </c>
      <c r="BX18" s="11">
        <f t="shared" si="23"/>
        <v>15.5</v>
      </c>
      <c r="BY18" s="11">
        <f t="shared" si="24"/>
        <v>68.8</v>
      </c>
      <c r="BZ18" s="11">
        <f t="shared" si="25"/>
        <v>12.8</v>
      </c>
      <c r="CA18" s="11">
        <f t="shared" si="26"/>
        <v>48.800000000000004</v>
      </c>
      <c r="CB18" s="11">
        <f t="shared" si="27"/>
        <v>117.6</v>
      </c>
      <c r="CC18" s="19">
        <v>17.7</v>
      </c>
      <c r="CD18" s="19">
        <v>3.4</v>
      </c>
      <c r="CE18" s="19">
        <v>1.2</v>
      </c>
      <c r="CF18" s="19">
        <v>0</v>
      </c>
      <c r="CG18" s="19">
        <v>17.5</v>
      </c>
      <c r="CH18" s="19">
        <v>8.1</v>
      </c>
      <c r="CI18" s="19">
        <v>0.8</v>
      </c>
      <c r="CJ18" s="19">
        <v>0</v>
      </c>
      <c r="CK18" s="19">
        <v>17.3</v>
      </c>
      <c r="CL18" s="19">
        <v>2.4</v>
      </c>
      <c r="CM18" s="19">
        <v>0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 t="shared" si="28"/>
        <v>11.5</v>
      </c>
      <c r="CY18" s="40">
        <f t="shared" si="29"/>
        <v>44.699999999999996</v>
      </c>
      <c r="CZ18" s="40">
        <f t="shared" si="30"/>
        <v>19.7</v>
      </c>
      <c r="DA18" s="40">
        <f t="shared" si="31"/>
        <v>13.9</v>
      </c>
      <c r="DB18" s="40">
        <f t="shared" si="32"/>
        <v>64.399999999999991</v>
      </c>
      <c r="DC18" s="40" t="str">
        <f t="shared" si="33"/>
        <v/>
      </c>
      <c r="DD18" s="40" t="str">
        <f t="shared" si="34"/>
        <v/>
      </c>
      <c r="DE18" s="40">
        <f t="shared" si="35"/>
        <v>64.399999999999991</v>
      </c>
      <c r="DF18" s="50" t="str">
        <f t="shared" si="36"/>
        <v/>
      </c>
      <c r="DG18" s="50" t="str">
        <f t="shared" si="37"/>
        <v/>
      </c>
      <c r="DH18" s="50" t="str">
        <f t="shared" si="38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39"/>
        <v/>
      </c>
      <c r="ED18" s="40" t="str">
        <f t="shared" si="40"/>
        <v/>
      </c>
      <c r="EE18" s="40" t="str">
        <f t="shared" si="41"/>
        <v/>
      </c>
      <c r="EF18" s="40" t="str">
        <f t="shared" si="42"/>
        <v/>
      </c>
      <c r="EG18" s="40" t="str">
        <f t="shared" si="43"/>
        <v/>
      </c>
      <c r="EH18" s="40" t="str">
        <f t="shared" si="44"/>
        <v/>
      </c>
      <c r="EI18" s="40" t="str">
        <f t="shared" si="45"/>
        <v/>
      </c>
      <c r="EJ18" s="40" t="str">
        <f t="shared" si="46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1" t="str">
        <f t="shared" si="52"/>
        <v/>
      </c>
      <c r="FK18" s="11" t="str">
        <f t="shared" si="53"/>
        <v/>
      </c>
      <c r="FL18" s="11" t="str">
        <f t="shared" si="54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5"/>
        <v/>
      </c>
      <c r="GH18" s="40" t="str">
        <f t="shared" si="56"/>
        <v/>
      </c>
      <c r="GI18" s="40" t="str">
        <f t="shared" si="57"/>
        <v/>
      </c>
      <c r="GJ18" s="40" t="str">
        <f t="shared" si="58"/>
        <v/>
      </c>
      <c r="GK18" s="40" t="str">
        <f t="shared" si="59"/>
        <v/>
      </c>
      <c r="GL18" s="40" t="str">
        <f t="shared" si="60"/>
        <v/>
      </c>
      <c r="GM18" s="40" t="str">
        <f t="shared" si="61"/>
        <v/>
      </c>
      <c r="GN18" s="40" t="str">
        <f t="shared" si="62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1" t="str">
        <f t="shared" si="68"/>
        <v/>
      </c>
      <c r="HO18" s="11" t="str">
        <f t="shared" si="69"/>
        <v/>
      </c>
      <c r="HP18" s="11" t="str">
        <f t="shared" si="70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1"/>
        <v/>
      </c>
      <c r="IL18" s="40" t="str">
        <f t="shared" si="72"/>
        <v/>
      </c>
      <c r="IM18" s="40" t="str">
        <f t="shared" si="73"/>
        <v/>
      </c>
      <c r="IN18" s="40" t="str">
        <f t="shared" si="74"/>
        <v/>
      </c>
      <c r="IO18" s="40" t="str">
        <f t="shared" si="75"/>
        <v/>
      </c>
      <c r="IP18" s="40" t="str">
        <f t="shared" si="76"/>
        <v/>
      </c>
      <c r="IQ18" s="40" t="str">
        <f t="shared" si="77"/>
        <v/>
      </c>
      <c r="IR18" s="40" t="str">
        <f t="shared" si="78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1" t="str">
        <f t="shared" si="84"/>
        <v/>
      </c>
      <c r="JS18" s="11" t="str">
        <f t="shared" si="85"/>
        <v/>
      </c>
      <c r="JT18" s="11" t="str">
        <f t="shared" si="86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7"/>
        <v/>
      </c>
      <c r="KP18" s="40" t="str">
        <f t="shared" si="88"/>
        <v/>
      </c>
      <c r="KQ18" s="40" t="str">
        <f t="shared" si="89"/>
        <v/>
      </c>
      <c r="KR18" s="40" t="str">
        <f t="shared" si="90"/>
        <v/>
      </c>
      <c r="KS18" s="40" t="str">
        <f t="shared" si="91"/>
        <v/>
      </c>
      <c r="KT18" s="40" t="str">
        <f t="shared" si="92"/>
        <v/>
      </c>
      <c r="KU18" s="40" t="str">
        <f t="shared" si="93"/>
        <v/>
      </c>
      <c r="KV18" s="40" t="str">
        <f t="shared" si="94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1" t="str">
        <f t="shared" si="100"/>
        <v/>
      </c>
      <c r="LW18" s="11" t="str">
        <f t="shared" si="101"/>
        <v/>
      </c>
      <c r="LX18" s="11" t="str">
        <f t="shared" si="102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3"/>
        <v/>
      </c>
      <c r="MT18" s="40" t="str">
        <f t="shared" si="104"/>
        <v/>
      </c>
      <c r="MU18" s="40" t="str">
        <f t="shared" si="105"/>
        <v/>
      </c>
      <c r="MV18" s="40" t="str">
        <f t="shared" si="106"/>
        <v/>
      </c>
      <c r="MW18" s="40" t="str">
        <f t="shared" si="107"/>
        <v/>
      </c>
      <c r="MX18" s="40" t="str">
        <f t="shared" si="108"/>
        <v/>
      </c>
      <c r="MY18" s="40" t="str">
        <f t="shared" si="109"/>
        <v/>
      </c>
      <c r="MZ18" s="40" t="str">
        <f t="shared" si="110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1" t="str">
        <f t="shared" si="116"/>
        <v/>
      </c>
      <c r="OA18" s="11" t="str">
        <f t="shared" si="117"/>
        <v/>
      </c>
      <c r="OB18" s="11" t="str">
        <f t="shared" si="118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19"/>
        <v/>
      </c>
      <c r="OX18" s="40" t="str">
        <f t="shared" si="120"/>
        <v/>
      </c>
      <c r="OY18" s="40" t="str">
        <f t="shared" si="121"/>
        <v/>
      </c>
      <c r="OZ18" s="40" t="str">
        <f t="shared" si="122"/>
        <v/>
      </c>
      <c r="PA18" s="40" t="str">
        <f t="shared" si="123"/>
        <v/>
      </c>
      <c r="PB18" s="40" t="str">
        <f t="shared" si="124"/>
        <v/>
      </c>
      <c r="PC18" s="40" t="str">
        <f t="shared" si="125"/>
        <v/>
      </c>
      <c r="PD18" s="40" t="str">
        <f t="shared" si="126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11" t="str">
        <f t="shared" si="132"/>
        <v/>
      </c>
      <c r="QE18" s="11" t="str">
        <f t="shared" si="133"/>
        <v/>
      </c>
      <c r="QF18" s="11" t="str">
        <f t="shared" si="134"/>
        <v/>
      </c>
      <c r="QG18" s="22">
        <f t="shared" si="135"/>
        <v>17.95</v>
      </c>
      <c r="QH18" s="22">
        <f t="shared" si="136"/>
        <v>5.1000000000000005</v>
      </c>
      <c r="QI18" s="22">
        <f t="shared" si="137"/>
        <v>0.6</v>
      </c>
      <c r="QJ18" s="22">
        <f t="shared" si="138"/>
        <v>0</v>
      </c>
      <c r="QK18" s="22">
        <f t="shared" si="139"/>
        <v>18</v>
      </c>
      <c r="QL18" s="22">
        <f t="shared" si="140"/>
        <v>7.05</v>
      </c>
      <c r="QM18" s="22">
        <f t="shared" si="141"/>
        <v>0.4</v>
      </c>
      <c r="QN18" s="22">
        <f t="shared" si="142"/>
        <v>0</v>
      </c>
      <c r="QO18" s="22">
        <f t="shared" si="143"/>
        <v>17.75</v>
      </c>
      <c r="QP18" s="22">
        <f t="shared" si="144"/>
        <v>2.5499999999999998</v>
      </c>
      <c r="QQ18" s="22">
        <f t="shared" si="145"/>
        <v>0.8</v>
      </c>
      <c r="QR18" s="22">
        <f t="shared" si="146"/>
        <v>0</v>
      </c>
      <c r="QS18" s="22">
        <f t="shared" si="147"/>
        <v>9.3000000000000007</v>
      </c>
      <c r="QT18" s="22">
        <f t="shared" si="148"/>
        <v>3.4000000000000004</v>
      </c>
      <c r="QU18" s="22">
        <f t="shared" si="149"/>
        <v>0</v>
      </c>
      <c r="QV18" s="22">
        <f t="shared" si="150"/>
        <v>0</v>
      </c>
      <c r="QW18" s="22">
        <f t="shared" si="151"/>
        <v>9</v>
      </c>
      <c r="QX18" s="22">
        <f t="shared" si="152"/>
        <v>3</v>
      </c>
      <c r="QY18" s="22">
        <f t="shared" si="153"/>
        <v>0.3</v>
      </c>
      <c r="QZ18" s="22">
        <f t="shared" si="154"/>
        <v>0</v>
      </c>
      <c r="RA18" s="27" t="s">
        <v>46</v>
      </c>
      <c r="RB18" s="40">
        <f t="shared" si="155"/>
        <v>12.15</v>
      </c>
      <c r="RC18" s="40">
        <f t="shared" si="156"/>
        <v>47.099999999999994</v>
      </c>
      <c r="RD18" s="40">
        <f t="shared" si="157"/>
        <v>19.5</v>
      </c>
      <c r="RE18" s="40">
        <f t="shared" si="158"/>
        <v>14.7</v>
      </c>
      <c r="RF18" s="40">
        <f t="shared" si="159"/>
        <v>66.599999999999994</v>
      </c>
      <c r="RG18" s="40">
        <f t="shared" si="160"/>
        <v>6.4</v>
      </c>
      <c r="RH18" s="40">
        <f t="shared" si="161"/>
        <v>24.400000000000002</v>
      </c>
      <c r="RI18" s="40">
        <f t="shared" si="162"/>
        <v>91</v>
      </c>
    </row>
    <row r="19" spans="1:477" x14ac:dyDescent="0.2">
      <c r="A19" s="4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>16</v>
      </c>
      <c r="B19" s="4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>10</v>
      </c>
      <c r="C19" s="5" t="s">
        <v>154</v>
      </c>
      <c r="D19" s="4" t="s">
        <v>3</v>
      </c>
      <c r="E19" s="4">
        <v>2006</v>
      </c>
      <c r="F19" s="9">
        <f t="shared" si="163"/>
        <v>169.40001196000486</v>
      </c>
      <c r="G19" s="66"/>
      <c r="H19" s="3" t="str">
        <f t="shared" si="0"/>
        <v>P</v>
      </c>
      <c r="I19" s="3" t="str">
        <f t="shared" si="1"/>
        <v>P</v>
      </c>
      <c r="J19" s="36" t="str">
        <f t="shared" si="2"/>
        <v>National Team</v>
      </c>
      <c r="K19" s="3" t="str">
        <f t="shared" si="3"/>
        <v/>
      </c>
      <c r="L19" s="8">
        <f>IF(COUNT(AS19,BV19,CY19)&gt;0,LARGE((AS19,BV19,CY19),1),0)</f>
        <v>48.800000000000004</v>
      </c>
      <c r="M19" s="8" t="str">
        <f t="shared" si="4"/>
        <v>2023 3rd Domestic Trial</v>
      </c>
      <c r="N19" s="8">
        <f>IF(COUNT(AS19,BV19,CY19)&gt;1,LARGE((AS19,BV19,CY19),2),0)</f>
        <v>48.7</v>
      </c>
      <c r="O19" s="8" t="str">
        <f t="shared" si="5"/>
        <v>2023 Nationals</v>
      </c>
      <c r="P19" s="8">
        <f>IF(COUNT(AT19,BW19,CZ19)&gt;0,LARGE((AT19,BW19,CZ19),1),0)</f>
        <v>22.1</v>
      </c>
      <c r="Q19" s="8" t="str">
        <f t="shared" si="6"/>
        <v>2023 3rd Domestic Trial</v>
      </c>
      <c r="R19" s="8">
        <f t="shared" si="7"/>
        <v>49.8</v>
      </c>
      <c r="S19" s="8" t="str">
        <f t="shared" si="8"/>
        <v>2023 Nationals</v>
      </c>
      <c r="T19" s="8" t="str">
        <f t="shared" si="9"/>
        <v/>
      </c>
      <c r="U19" s="11" t="str">
        <f t="shared" si="10"/>
        <v/>
      </c>
      <c r="V19" s="8" t="str">
        <f t="shared" si="11"/>
        <v/>
      </c>
      <c r="W19" s="19">
        <v>18.3</v>
      </c>
      <c r="X19" s="19">
        <v>6.4</v>
      </c>
      <c r="Y19" s="19">
        <v>0.8</v>
      </c>
      <c r="Z19" s="19">
        <v>0</v>
      </c>
      <c r="AA19" s="19">
        <v>18.600000000000001</v>
      </c>
      <c r="AB19" s="19">
        <v>6.8</v>
      </c>
      <c r="AC19" s="19">
        <v>0.6</v>
      </c>
      <c r="AD19" s="19">
        <v>0</v>
      </c>
      <c r="AE19" s="19">
        <v>17.399999999999999</v>
      </c>
      <c r="AF19" s="19">
        <v>3.2</v>
      </c>
      <c r="AG19" s="19">
        <v>0</v>
      </c>
      <c r="AH19" s="19">
        <v>0</v>
      </c>
      <c r="AI19" s="19">
        <v>18.399999999999999</v>
      </c>
      <c r="AJ19" s="19">
        <v>7.2</v>
      </c>
      <c r="AK19" s="19">
        <v>0.2</v>
      </c>
      <c r="AL19" s="19">
        <v>0</v>
      </c>
      <c r="AM19" s="19">
        <v>18.2</v>
      </c>
      <c r="AN19" s="19">
        <v>6.8</v>
      </c>
      <c r="AO19" s="19">
        <v>0.6</v>
      </c>
      <c r="AP19" s="19">
        <v>0</v>
      </c>
      <c r="AQ19" s="27"/>
      <c r="AR19" s="40">
        <f t="shared" si="12"/>
        <v>13.2</v>
      </c>
      <c r="AS19" s="40">
        <f t="shared" si="13"/>
        <v>48.7</v>
      </c>
      <c r="AT19" s="40">
        <f t="shared" si="14"/>
        <v>20.599999999999998</v>
      </c>
      <c r="AU19" s="40">
        <f t="shared" si="15"/>
        <v>16.399999999999999</v>
      </c>
      <c r="AV19" s="40">
        <f t="shared" si="16"/>
        <v>69.3</v>
      </c>
      <c r="AW19" s="40">
        <f t="shared" si="17"/>
        <v>14</v>
      </c>
      <c r="AX19" s="40">
        <f t="shared" si="18"/>
        <v>49.8</v>
      </c>
      <c r="AY19" s="40">
        <f t="shared" si="19"/>
        <v>119.1</v>
      </c>
      <c r="AZ19" s="18">
        <v>18.399999999999999</v>
      </c>
      <c r="BA19" s="18">
        <v>6.4</v>
      </c>
      <c r="BB19" s="18">
        <v>0.6</v>
      </c>
      <c r="BC19" s="18">
        <v>0</v>
      </c>
      <c r="BD19" s="18">
        <v>18.600000000000001</v>
      </c>
      <c r="BE19" s="18">
        <v>6.8000000000000007</v>
      </c>
      <c r="BF19" s="18">
        <v>0.8</v>
      </c>
      <c r="BG19" s="18">
        <v>0</v>
      </c>
      <c r="BH19" s="18">
        <v>16.100000000000001</v>
      </c>
      <c r="BI19" s="18">
        <v>6.8000000000000007</v>
      </c>
      <c r="BJ19" s="18">
        <v>0.8</v>
      </c>
      <c r="BK19" s="18">
        <v>0</v>
      </c>
      <c r="BL19" s="18">
        <v>18</v>
      </c>
      <c r="BM19" s="18">
        <v>6.4</v>
      </c>
      <c r="BN19" s="18">
        <v>0</v>
      </c>
      <c r="BO19" s="18">
        <v>0</v>
      </c>
      <c r="BP19" s="18">
        <v>17.399999999999999</v>
      </c>
      <c r="BQ19" s="18">
        <v>2.4</v>
      </c>
      <c r="BR19" s="18">
        <v>0</v>
      </c>
      <c r="BS19" s="18">
        <v>0</v>
      </c>
      <c r="BT19" s="28"/>
      <c r="BU19" s="11">
        <f t="shared" si="20"/>
        <v>13.200000000000001</v>
      </c>
      <c r="BV19" s="11">
        <f t="shared" si="21"/>
        <v>48.800000000000004</v>
      </c>
      <c r="BW19" s="11">
        <f t="shared" si="22"/>
        <v>22.1</v>
      </c>
      <c r="BX19" s="11">
        <f t="shared" si="23"/>
        <v>20</v>
      </c>
      <c r="BY19" s="11">
        <f t="shared" si="24"/>
        <v>70.900000000000006</v>
      </c>
      <c r="BZ19" s="11">
        <f t="shared" si="25"/>
        <v>8.8000000000000007</v>
      </c>
      <c r="CA19" s="11">
        <f t="shared" si="26"/>
        <v>44.199999999999996</v>
      </c>
      <c r="CB19" s="11">
        <f t="shared" si="27"/>
        <v>115.1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8"/>
        <v/>
      </c>
      <c r="CY19" s="40" t="str">
        <f t="shared" si="29"/>
        <v/>
      </c>
      <c r="CZ19" s="40" t="str">
        <f t="shared" si="30"/>
        <v/>
      </c>
      <c r="DA19" s="40" t="str">
        <f t="shared" si="31"/>
        <v/>
      </c>
      <c r="DB19" s="40" t="str">
        <f t="shared" si="32"/>
        <v/>
      </c>
      <c r="DC19" s="40" t="str">
        <f t="shared" si="33"/>
        <v/>
      </c>
      <c r="DD19" s="40" t="str">
        <f t="shared" si="34"/>
        <v/>
      </c>
      <c r="DE19" s="40" t="str">
        <f t="shared" si="35"/>
        <v/>
      </c>
      <c r="DF19" s="50" t="str">
        <f t="shared" si="36"/>
        <v/>
      </c>
      <c r="DG19" s="50" t="str">
        <f t="shared" si="37"/>
        <v/>
      </c>
      <c r="DH19" s="50" t="str">
        <f t="shared" si="38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39"/>
        <v/>
      </c>
      <c r="ED19" s="40" t="str">
        <f t="shared" si="40"/>
        <v/>
      </c>
      <c r="EE19" s="40" t="str">
        <f t="shared" si="41"/>
        <v/>
      </c>
      <c r="EF19" s="40" t="str">
        <f t="shared" si="42"/>
        <v/>
      </c>
      <c r="EG19" s="40" t="str">
        <f t="shared" si="43"/>
        <v/>
      </c>
      <c r="EH19" s="40" t="str">
        <f t="shared" si="44"/>
        <v/>
      </c>
      <c r="EI19" s="40" t="str">
        <f t="shared" si="45"/>
        <v/>
      </c>
      <c r="EJ19" s="40" t="str">
        <f t="shared" si="46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1" t="str">
        <f t="shared" si="52"/>
        <v/>
      </c>
      <c r="FK19" s="11" t="str">
        <f t="shared" si="53"/>
        <v/>
      </c>
      <c r="FL19" s="11" t="str">
        <f t="shared" si="54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5"/>
        <v/>
      </c>
      <c r="GH19" s="40" t="str">
        <f t="shared" si="56"/>
        <v/>
      </c>
      <c r="GI19" s="40" t="str">
        <f t="shared" si="57"/>
        <v/>
      </c>
      <c r="GJ19" s="40" t="str">
        <f t="shared" si="58"/>
        <v/>
      </c>
      <c r="GK19" s="40" t="str">
        <f t="shared" si="59"/>
        <v/>
      </c>
      <c r="GL19" s="40" t="str">
        <f t="shared" si="60"/>
        <v/>
      </c>
      <c r="GM19" s="40" t="str">
        <f t="shared" si="61"/>
        <v/>
      </c>
      <c r="GN19" s="40" t="str">
        <f t="shared" si="62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3"/>
        <v/>
      </c>
      <c r="HJ19" s="11" t="str">
        <f t="shared" si="64"/>
        <v/>
      </c>
      <c r="HK19" s="11" t="str">
        <f t="shared" si="65"/>
        <v/>
      </c>
      <c r="HL19" s="11" t="str">
        <f t="shared" si="66"/>
        <v/>
      </c>
      <c r="HM19" s="11" t="str">
        <f t="shared" si="67"/>
        <v/>
      </c>
      <c r="HN19" s="11" t="str">
        <f t="shared" si="68"/>
        <v/>
      </c>
      <c r="HO19" s="11" t="str">
        <f t="shared" si="69"/>
        <v/>
      </c>
      <c r="HP19" s="11" t="str">
        <f t="shared" si="70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1"/>
        <v/>
      </c>
      <c r="IL19" s="40" t="str">
        <f t="shared" si="72"/>
        <v/>
      </c>
      <c r="IM19" s="40" t="str">
        <f t="shared" si="73"/>
        <v/>
      </c>
      <c r="IN19" s="40" t="str">
        <f t="shared" si="74"/>
        <v/>
      </c>
      <c r="IO19" s="40" t="str">
        <f t="shared" si="75"/>
        <v/>
      </c>
      <c r="IP19" s="40" t="str">
        <f t="shared" si="76"/>
        <v/>
      </c>
      <c r="IQ19" s="40" t="str">
        <f t="shared" si="77"/>
        <v/>
      </c>
      <c r="IR19" s="40" t="str">
        <f t="shared" si="78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1" t="str">
        <f t="shared" si="84"/>
        <v/>
      </c>
      <c r="JS19" s="11" t="str">
        <f t="shared" si="85"/>
        <v/>
      </c>
      <c r="JT19" s="11" t="str">
        <f t="shared" si="86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7"/>
        <v/>
      </c>
      <c r="KP19" s="40" t="str">
        <f t="shared" si="88"/>
        <v/>
      </c>
      <c r="KQ19" s="40" t="str">
        <f t="shared" si="89"/>
        <v/>
      </c>
      <c r="KR19" s="40" t="str">
        <f t="shared" si="90"/>
        <v/>
      </c>
      <c r="KS19" s="40" t="str">
        <f t="shared" si="91"/>
        <v/>
      </c>
      <c r="KT19" s="40" t="str">
        <f t="shared" si="92"/>
        <v/>
      </c>
      <c r="KU19" s="40" t="str">
        <f t="shared" si="93"/>
        <v/>
      </c>
      <c r="KV19" s="40" t="str">
        <f t="shared" si="94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1" t="str">
        <f t="shared" si="100"/>
        <v/>
      </c>
      <c r="LW19" s="11" t="str">
        <f t="shared" si="101"/>
        <v/>
      </c>
      <c r="LX19" s="11" t="str">
        <f t="shared" si="102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3"/>
        <v/>
      </c>
      <c r="MT19" s="40" t="str">
        <f t="shared" si="104"/>
        <v/>
      </c>
      <c r="MU19" s="40" t="str">
        <f t="shared" si="105"/>
        <v/>
      </c>
      <c r="MV19" s="40" t="str">
        <f t="shared" si="106"/>
        <v/>
      </c>
      <c r="MW19" s="40" t="str">
        <f t="shared" si="107"/>
        <v/>
      </c>
      <c r="MX19" s="40" t="str">
        <f t="shared" si="108"/>
        <v/>
      </c>
      <c r="MY19" s="40" t="str">
        <f t="shared" si="109"/>
        <v/>
      </c>
      <c r="MZ19" s="40" t="str">
        <f t="shared" si="110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1"/>
        <v/>
      </c>
      <c r="NV19" s="11" t="str">
        <f t="shared" si="112"/>
        <v/>
      </c>
      <c r="NW19" s="11" t="str">
        <f t="shared" si="113"/>
        <v/>
      </c>
      <c r="NX19" s="11" t="str">
        <f t="shared" si="114"/>
        <v/>
      </c>
      <c r="NY19" s="11" t="str">
        <f t="shared" si="115"/>
        <v/>
      </c>
      <c r="NZ19" s="11" t="str">
        <f t="shared" si="116"/>
        <v/>
      </c>
      <c r="OA19" s="11" t="str">
        <f t="shared" si="117"/>
        <v/>
      </c>
      <c r="OB19" s="11" t="str">
        <f t="shared" si="118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19"/>
        <v/>
      </c>
      <c r="OX19" s="40" t="str">
        <f t="shared" si="120"/>
        <v/>
      </c>
      <c r="OY19" s="40" t="str">
        <f t="shared" si="121"/>
        <v/>
      </c>
      <c r="OZ19" s="40" t="str">
        <f t="shared" si="122"/>
        <v/>
      </c>
      <c r="PA19" s="40" t="str">
        <f t="shared" si="123"/>
        <v/>
      </c>
      <c r="PB19" s="40" t="str">
        <f t="shared" si="124"/>
        <v/>
      </c>
      <c r="PC19" s="40" t="str">
        <f t="shared" si="125"/>
        <v/>
      </c>
      <c r="PD19" s="40" t="str">
        <f t="shared" si="126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11" t="str">
        <f t="shared" si="132"/>
        <v/>
      </c>
      <c r="QE19" s="11" t="str">
        <f t="shared" si="133"/>
        <v/>
      </c>
      <c r="QF19" s="11" t="str">
        <f t="shared" si="134"/>
        <v/>
      </c>
      <c r="QG19" s="22">
        <f t="shared" si="135"/>
        <v>9.1999999999999993</v>
      </c>
      <c r="QH19" s="22">
        <f t="shared" si="136"/>
        <v>3.2</v>
      </c>
      <c r="QI19" s="22">
        <f t="shared" si="137"/>
        <v>0.3</v>
      </c>
      <c r="QJ19" s="22">
        <f t="shared" si="138"/>
        <v>0</v>
      </c>
      <c r="QK19" s="22">
        <f t="shared" si="139"/>
        <v>9.3000000000000007</v>
      </c>
      <c r="QL19" s="22">
        <f t="shared" si="140"/>
        <v>3.4000000000000004</v>
      </c>
      <c r="QM19" s="22">
        <f t="shared" si="141"/>
        <v>0.4</v>
      </c>
      <c r="QN19" s="22">
        <f t="shared" si="142"/>
        <v>0</v>
      </c>
      <c r="QO19" s="22">
        <f t="shared" si="143"/>
        <v>8.0500000000000007</v>
      </c>
      <c r="QP19" s="22">
        <f t="shared" si="144"/>
        <v>3.4000000000000004</v>
      </c>
      <c r="QQ19" s="22">
        <f t="shared" si="145"/>
        <v>0.4</v>
      </c>
      <c r="QR19" s="22">
        <f t="shared" si="146"/>
        <v>0</v>
      </c>
      <c r="QS19" s="22">
        <f t="shared" si="147"/>
        <v>9</v>
      </c>
      <c r="QT19" s="22">
        <f t="shared" si="148"/>
        <v>3.2</v>
      </c>
      <c r="QU19" s="22">
        <f t="shared" si="149"/>
        <v>0</v>
      </c>
      <c r="QV19" s="22">
        <f t="shared" si="150"/>
        <v>0</v>
      </c>
      <c r="QW19" s="22">
        <f t="shared" si="151"/>
        <v>8.6999999999999993</v>
      </c>
      <c r="QX19" s="22">
        <f t="shared" si="152"/>
        <v>1.2</v>
      </c>
      <c r="QY19" s="22">
        <f t="shared" si="153"/>
        <v>0</v>
      </c>
      <c r="QZ19" s="22">
        <f t="shared" si="154"/>
        <v>0</v>
      </c>
      <c r="RA19" s="27" t="s">
        <v>46</v>
      </c>
      <c r="RB19" s="40">
        <f t="shared" si="155"/>
        <v>6.6000000000000005</v>
      </c>
      <c r="RC19" s="40">
        <f t="shared" si="156"/>
        <v>24.400000000000002</v>
      </c>
      <c r="RD19" s="40">
        <f t="shared" si="157"/>
        <v>11.05</v>
      </c>
      <c r="RE19" s="40">
        <f t="shared" si="158"/>
        <v>10</v>
      </c>
      <c r="RF19" s="40">
        <f t="shared" si="159"/>
        <v>35.450000000000003</v>
      </c>
      <c r="RG19" s="40">
        <f t="shared" si="160"/>
        <v>4.4000000000000004</v>
      </c>
      <c r="RH19" s="40">
        <f t="shared" si="161"/>
        <v>22.099999999999998</v>
      </c>
      <c r="RI19" s="40">
        <f t="shared" si="162"/>
        <v>57.55</v>
      </c>
    </row>
    <row r="20" spans="1:477" x14ac:dyDescent="0.2">
      <c r="A20" s="4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>17</v>
      </c>
      <c r="B20" s="4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>11</v>
      </c>
      <c r="C20" s="5" t="s">
        <v>200</v>
      </c>
      <c r="D20" s="4" t="s">
        <v>4</v>
      </c>
      <c r="E20" s="4">
        <v>2007</v>
      </c>
      <c r="F20" s="9">
        <f t="shared" si="163"/>
        <v>168.50001211000495</v>
      </c>
      <c r="G20" s="66"/>
      <c r="H20" s="3" t="str">
        <f t="shared" si="0"/>
        <v>P</v>
      </c>
      <c r="I20" s="3" t="str">
        <f t="shared" si="1"/>
        <v>P</v>
      </c>
      <c r="J20" s="36" t="str">
        <f t="shared" si="2"/>
        <v>National Team</v>
      </c>
      <c r="K20" s="3" t="str">
        <f t="shared" si="3"/>
        <v/>
      </c>
      <c r="L20" s="8">
        <f>IF(COUNT(AS20,BV20,CY20)&gt;0,LARGE((AS20,BV20,CY20),1),0)</f>
        <v>49.399999999999991</v>
      </c>
      <c r="M20" s="8" t="str">
        <f t="shared" si="4"/>
        <v>2023 Nationals</v>
      </c>
      <c r="N20" s="8">
        <f>IF(COUNT(AS20,BV20,CY20)&gt;1,LARGE((AS20,BV20,CY20),2),0)</f>
        <v>46.8</v>
      </c>
      <c r="O20" s="8" t="str">
        <f t="shared" si="5"/>
        <v>2024 Elite Canada</v>
      </c>
      <c r="P20" s="8">
        <f>IF(COUNT(AT20,BW20,CZ20)&gt;0,LARGE((AT20,BW20,CZ20),1),0)</f>
        <v>24.9</v>
      </c>
      <c r="Q20" s="8" t="str">
        <f t="shared" si="6"/>
        <v>2023 Nationals</v>
      </c>
      <c r="R20" s="8">
        <f t="shared" si="7"/>
        <v>47.4</v>
      </c>
      <c r="S20" s="8" t="str">
        <f t="shared" si="8"/>
        <v>2023 Nationals</v>
      </c>
      <c r="T20" s="8" t="str">
        <f t="shared" si="9"/>
        <v/>
      </c>
      <c r="U20" s="11" t="str">
        <f t="shared" si="10"/>
        <v/>
      </c>
      <c r="V20" s="8" t="str">
        <f t="shared" si="11"/>
        <v/>
      </c>
      <c r="W20" s="19">
        <v>18.7</v>
      </c>
      <c r="X20" s="19">
        <v>6.4</v>
      </c>
      <c r="Y20" s="19">
        <v>0.6</v>
      </c>
      <c r="Z20" s="19">
        <v>0</v>
      </c>
      <c r="AA20" s="19">
        <v>18.7</v>
      </c>
      <c r="AB20" s="19">
        <v>6.4</v>
      </c>
      <c r="AC20" s="19">
        <v>0.2</v>
      </c>
      <c r="AD20" s="19">
        <v>0</v>
      </c>
      <c r="AE20" s="19">
        <v>18.5</v>
      </c>
      <c r="AF20" s="19">
        <v>6.4</v>
      </c>
      <c r="AG20" s="19">
        <v>0</v>
      </c>
      <c r="AH20" s="19">
        <v>0</v>
      </c>
      <c r="AI20" s="19">
        <v>18.600000000000001</v>
      </c>
      <c r="AJ20" s="19">
        <v>5.2</v>
      </c>
      <c r="AK20" s="19">
        <v>1</v>
      </c>
      <c r="AL20" s="19">
        <v>0</v>
      </c>
      <c r="AM20" s="19">
        <v>18.399999999999999</v>
      </c>
      <c r="AN20" s="19">
        <v>6.4</v>
      </c>
      <c r="AO20" s="19">
        <v>0.2</v>
      </c>
      <c r="AP20" s="19">
        <v>0</v>
      </c>
      <c r="AQ20" s="27"/>
      <c r="AR20" s="40">
        <f t="shared" si="12"/>
        <v>12.8</v>
      </c>
      <c r="AS20" s="40">
        <f t="shared" si="13"/>
        <v>49.399999999999991</v>
      </c>
      <c r="AT20" s="40">
        <f t="shared" si="14"/>
        <v>24.9</v>
      </c>
      <c r="AU20" s="40">
        <f t="shared" si="15"/>
        <v>19.200000000000003</v>
      </c>
      <c r="AV20" s="40">
        <f t="shared" si="16"/>
        <v>74.299999999999983</v>
      </c>
      <c r="AW20" s="40">
        <f t="shared" si="17"/>
        <v>11.600000000000001</v>
      </c>
      <c r="AX20" s="40">
        <f t="shared" si="18"/>
        <v>47.4</v>
      </c>
      <c r="AY20" s="40">
        <f t="shared" si="19"/>
        <v>121.69999999999999</v>
      </c>
      <c r="AZ20" s="18">
        <v>18.600000000000001</v>
      </c>
      <c r="BA20" s="18">
        <v>6.4</v>
      </c>
      <c r="BB20" s="18">
        <v>0.6</v>
      </c>
      <c r="BC20" s="18">
        <v>0</v>
      </c>
      <c r="BD20" s="18">
        <v>17.2</v>
      </c>
      <c r="BE20" s="18">
        <v>3.6</v>
      </c>
      <c r="BF20" s="18">
        <v>0</v>
      </c>
      <c r="BG20" s="18">
        <v>0</v>
      </c>
      <c r="BH20" s="18">
        <v>18.8</v>
      </c>
      <c r="BI20" s="18">
        <v>5.6</v>
      </c>
      <c r="BJ20" s="18">
        <v>0</v>
      </c>
      <c r="BK20" s="18">
        <v>0</v>
      </c>
      <c r="BL20" s="18">
        <v>18.600000000000001</v>
      </c>
      <c r="BM20" s="18">
        <v>6.8000000000000007</v>
      </c>
      <c r="BN20" s="18">
        <v>0.2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 t="shared" si="20"/>
        <v>10</v>
      </c>
      <c r="BV20" s="11">
        <f t="shared" si="21"/>
        <v>45.2</v>
      </c>
      <c r="BW20" s="11">
        <f t="shared" si="22"/>
        <v>24.4</v>
      </c>
      <c r="BX20" s="11">
        <f t="shared" si="23"/>
        <v>15.6</v>
      </c>
      <c r="BY20" s="11">
        <f t="shared" si="24"/>
        <v>69.599999999999994</v>
      </c>
      <c r="BZ20" s="11">
        <f t="shared" si="25"/>
        <v>6.8000000000000007</v>
      </c>
      <c r="CA20" s="11">
        <f t="shared" si="26"/>
        <v>25.200000000000003</v>
      </c>
      <c r="CB20" s="11">
        <f t="shared" si="27"/>
        <v>94.8</v>
      </c>
      <c r="CC20" s="19">
        <v>18.8</v>
      </c>
      <c r="CD20" s="19">
        <v>4.8</v>
      </c>
      <c r="CE20" s="19">
        <v>1.6</v>
      </c>
      <c r="CF20" s="19">
        <v>0</v>
      </c>
      <c r="CG20" s="19">
        <v>18.600000000000001</v>
      </c>
      <c r="CH20" s="19">
        <v>6.4</v>
      </c>
      <c r="CI20" s="19">
        <v>0.2</v>
      </c>
      <c r="CJ20" s="19">
        <v>0</v>
      </c>
      <c r="CK20" s="19">
        <v>18.899999999999999</v>
      </c>
      <c r="CL20" s="19">
        <v>5.6</v>
      </c>
      <c r="CM20" s="19">
        <v>1.2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 t="shared" si="28"/>
        <v>11.2</v>
      </c>
      <c r="CY20" s="40">
        <f t="shared" si="29"/>
        <v>46.8</v>
      </c>
      <c r="CZ20" s="40">
        <f t="shared" si="30"/>
        <v>23.3</v>
      </c>
      <c r="DA20" s="40">
        <f t="shared" si="31"/>
        <v>16.799999999999997</v>
      </c>
      <c r="DB20" s="40">
        <f t="shared" si="32"/>
        <v>70.099999999999994</v>
      </c>
      <c r="DC20" s="40" t="str">
        <f t="shared" si="33"/>
        <v/>
      </c>
      <c r="DD20" s="40" t="str">
        <f t="shared" si="34"/>
        <v/>
      </c>
      <c r="DE20" s="40">
        <f t="shared" si="35"/>
        <v>70.099999999999994</v>
      </c>
      <c r="DF20" s="50" t="str">
        <f t="shared" si="36"/>
        <v/>
      </c>
      <c r="DG20" s="50" t="str">
        <f t="shared" si="37"/>
        <v/>
      </c>
      <c r="DH20" s="50" t="str">
        <f t="shared" si="38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39"/>
        <v/>
      </c>
      <c r="ED20" s="40" t="str">
        <f t="shared" si="40"/>
        <v/>
      </c>
      <c r="EE20" s="40" t="str">
        <f t="shared" si="41"/>
        <v/>
      </c>
      <c r="EF20" s="40" t="str">
        <f t="shared" si="42"/>
        <v/>
      </c>
      <c r="EG20" s="40" t="str">
        <f t="shared" si="43"/>
        <v/>
      </c>
      <c r="EH20" s="40" t="str">
        <f t="shared" si="44"/>
        <v/>
      </c>
      <c r="EI20" s="40" t="str">
        <f t="shared" si="45"/>
        <v/>
      </c>
      <c r="EJ20" s="40" t="str">
        <f t="shared" si="46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1" t="str">
        <f t="shared" si="52"/>
        <v/>
      </c>
      <c r="FK20" s="11" t="str">
        <f t="shared" si="53"/>
        <v/>
      </c>
      <c r="FL20" s="11" t="str">
        <f t="shared" si="54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5"/>
        <v/>
      </c>
      <c r="GH20" s="40" t="str">
        <f t="shared" si="56"/>
        <v/>
      </c>
      <c r="GI20" s="40" t="str">
        <f t="shared" si="57"/>
        <v/>
      </c>
      <c r="GJ20" s="40" t="str">
        <f t="shared" si="58"/>
        <v/>
      </c>
      <c r="GK20" s="40" t="str">
        <f t="shared" si="59"/>
        <v/>
      </c>
      <c r="GL20" s="40" t="str">
        <f t="shared" si="60"/>
        <v/>
      </c>
      <c r="GM20" s="40" t="str">
        <f t="shared" si="61"/>
        <v/>
      </c>
      <c r="GN20" s="40" t="str">
        <f t="shared" si="62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1" t="str">
        <f t="shared" si="68"/>
        <v/>
      </c>
      <c r="HO20" s="11" t="str">
        <f t="shared" si="69"/>
        <v/>
      </c>
      <c r="HP20" s="11" t="str">
        <f t="shared" si="70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1"/>
        <v/>
      </c>
      <c r="IL20" s="40" t="str">
        <f t="shared" si="72"/>
        <v/>
      </c>
      <c r="IM20" s="40" t="str">
        <f t="shared" si="73"/>
        <v/>
      </c>
      <c r="IN20" s="40" t="str">
        <f t="shared" si="74"/>
        <v/>
      </c>
      <c r="IO20" s="40" t="str">
        <f t="shared" si="75"/>
        <v/>
      </c>
      <c r="IP20" s="40" t="str">
        <f t="shared" si="76"/>
        <v/>
      </c>
      <c r="IQ20" s="40" t="str">
        <f t="shared" si="77"/>
        <v/>
      </c>
      <c r="IR20" s="40" t="str">
        <f t="shared" si="78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1" t="str">
        <f t="shared" si="84"/>
        <v/>
      </c>
      <c r="JS20" s="11" t="str">
        <f t="shared" si="85"/>
        <v/>
      </c>
      <c r="JT20" s="11" t="str">
        <f t="shared" si="86"/>
        <v/>
      </c>
      <c r="JU20" s="17">
        <v>18.399999999999999</v>
      </c>
      <c r="JV20" s="17">
        <v>5.2</v>
      </c>
      <c r="JW20" s="17">
        <v>0</v>
      </c>
      <c r="JX20" s="17">
        <v>0</v>
      </c>
      <c r="JY20" s="17">
        <v>16.5</v>
      </c>
      <c r="JZ20" s="17">
        <v>6.4</v>
      </c>
      <c r="KA20" s="17">
        <v>0.2</v>
      </c>
      <c r="KB20" s="17">
        <v>0</v>
      </c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>
        <f t="shared" si="87"/>
        <v>11.600000000000001</v>
      </c>
      <c r="KP20" s="40">
        <f t="shared" si="88"/>
        <v>46.29999999999999</v>
      </c>
      <c r="KQ20" s="40" t="str">
        <f t="shared" si="89"/>
        <v/>
      </c>
      <c r="KR20" s="40">
        <f t="shared" si="90"/>
        <v>11.600000000000001</v>
      </c>
      <c r="KS20" s="40">
        <f t="shared" si="91"/>
        <v>46.29999999999999</v>
      </c>
      <c r="KT20" s="40" t="str">
        <f t="shared" si="92"/>
        <v/>
      </c>
      <c r="KU20" s="40" t="str">
        <f t="shared" si="93"/>
        <v/>
      </c>
      <c r="KV20" s="40">
        <f t="shared" si="94"/>
        <v>46.29999999999999</v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1" t="str">
        <f t="shared" si="100"/>
        <v/>
      </c>
      <c r="LW20" s="11" t="str">
        <f t="shared" si="101"/>
        <v/>
      </c>
      <c r="LX20" s="11" t="str">
        <f t="shared" si="102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3"/>
        <v/>
      </c>
      <c r="MT20" s="40" t="str">
        <f t="shared" si="104"/>
        <v/>
      </c>
      <c r="MU20" s="40" t="str">
        <f t="shared" si="105"/>
        <v/>
      </c>
      <c r="MV20" s="40" t="str">
        <f t="shared" si="106"/>
        <v/>
      </c>
      <c r="MW20" s="40" t="str">
        <f t="shared" si="107"/>
        <v/>
      </c>
      <c r="MX20" s="40" t="str">
        <f t="shared" si="108"/>
        <v/>
      </c>
      <c r="MY20" s="40" t="str">
        <f t="shared" si="109"/>
        <v/>
      </c>
      <c r="MZ20" s="40" t="str">
        <f t="shared" si="110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1" t="str">
        <f t="shared" si="116"/>
        <v/>
      </c>
      <c r="OA20" s="11" t="str">
        <f t="shared" si="117"/>
        <v/>
      </c>
      <c r="OB20" s="11" t="str">
        <f t="shared" si="118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19"/>
        <v/>
      </c>
      <c r="OX20" s="40" t="str">
        <f t="shared" si="120"/>
        <v/>
      </c>
      <c r="OY20" s="40" t="str">
        <f t="shared" si="121"/>
        <v/>
      </c>
      <c r="OZ20" s="40" t="str">
        <f t="shared" si="122"/>
        <v/>
      </c>
      <c r="PA20" s="40" t="str">
        <f t="shared" si="123"/>
        <v/>
      </c>
      <c r="PB20" s="40" t="str">
        <f t="shared" si="124"/>
        <v/>
      </c>
      <c r="PC20" s="40" t="str">
        <f t="shared" si="125"/>
        <v/>
      </c>
      <c r="PD20" s="40" t="str">
        <f t="shared" si="126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11" t="str">
        <f t="shared" si="132"/>
        <v/>
      </c>
      <c r="QE20" s="11" t="str">
        <f t="shared" si="133"/>
        <v/>
      </c>
      <c r="QF20" s="11" t="str">
        <f t="shared" si="134"/>
        <v/>
      </c>
      <c r="QG20" s="22">
        <f t="shared" si="135"/>
        <v>18.700000000000003</v>
      </c>
      <c r="QH20" s="22">
        <f t="shared" si="136"/>
        <v>5.6</v>
      </c>
      <c r="QI20" s="22">
        <f t="shared" si="137"/>
        <v>1.1000000000000001</v>
      </c>
      <c r="QJ20" s="22">
        <f t="shared" si="138"/>
        <v>0</v>
      </c>
      <c r="QK20" s="22">
        <f t="shared" si="139"/>
        <v>17.899999999999999</v>
      </c>
      <c r="QL20" s="22">
        <f t="shared" si="140"/>
        <v>5</v>
      </c>
      <c r="QM20" s="22">
        <f t="shared" si="141"/>
        <v>0.1</v>
      </c>
      <c r="QN20" s="22">
        <f t="shared" si="142"/>
        <v>0</v>
      </c>
      <c r="QO20" s="22">
        <f t="shared" si="143"/>
        <v>18.850000000000001</v>
      </c>
      <c r="QP20" s="22">
        <f t="shared" si="144"/>
        <v>5.6</v>
      </c>
      <c r="QQ20" s="22">
        <f t="shared" si="145"/>
        <v>0.6</v>
      </c>
      <c r="QR20" s="22">
        <f t="shared" si="146"/>
        <v>0</v>
      </c>
      <c r="QS20" s="22">
        <f t="shared" si="147"/>
        <v>9.3000000000000007</v>
      </c>
      <c r="QT20" s="22">
        <f t="shared" si="148"/>
        <v>3.4000000000000004</v>
      </c>
      <c r="QU20" s="22">
        <f t="shared" si="149"/>
        <v>0.1</v>
      </c>
      <c r="QV20" s="22">
        <f t="shared" si="150"/>
        <v>0</v>
      </c>
      <c r="QW20" s="22">
        <f t="shared" si="151"/>
        <v>0</v>
      </c>
      <c r="QX20" s="22">
        <f t="shared" si="152"/>
        <v>0</v>
      </c>
      <c r="QY20" s="22">
        <f t="shared" si="153"/>
        <v>0</v>
      </c>
      <c r="QZ20" s="22">
        <f t="shared" si="154"/>
        <v>0</v>
      </c>
      <c r="RA20" s="27" t="s">
        <v>46</v>
      </c>
      <c r="RB20" s="40">
        <f t="shared" si="155"/>
        <v>10.6</v>
      </c>
      <c r="RC20" s="40">
        <f t="shared" si="156"/>
        <v>46</v>
      </c>
      <c r="RD20" s="40">
        <f t="shared" si="157"/>
        <v>23.85</v>
      </c>
      <c r="RE20" s="40">
        <f t="shared" si="158"/>
        <v>16.2</v>
      </c>
      <c r="RF20" s="40">
        <f t="shared" si="159"/>
        <v>69.849999999999994</v>
      </c>
      <c r="RG20" s="40">
        <f t="shared" si="160"/>
        <v>3.4000000000000004</v>
      </c>
      <c r="RH20" s="40">
        <f t="shared" si="161"/>
        <v>12.600000000000001</v>
      </c>
      <c r="RI20" s="40">
        <f t="shared" si="162"/>
        <v>82.449999999999989</v>
      </c>
    </row>
    <row r="21" spans="1:477" x14ac:dyDescent="0.2">
      <c r="A21" s="4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>18</v>
      </c>
      <c r="B21" s="4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>12</v>
      </c>
      <c r="C21" s="5" t="s">
        <v>201</v>
      </c>
      <c r="D21" s="4" t="s">
        <v>4</v>
      </c>
      <c r="E21" s="4">
        <v>2007</v>
      </c>
      <c r="F21" s="9">
        <f t="shared" si="163"/>
        <v>167.20001169000469</v>
      </c>
      <c r="G21" s="66"/>
      <c r="H21" s="3" t="str">
        <f t="shared" si="0"/>
        <v>P</v>
      </c>
      <c r="I21" s="3" t="str">
        <f t="shared" si="1"/>
        <v>P</v>
      </c>
      <c r="J21" s="36" t="str">
        <f t="shared" si="2"/>
        <v>National Team</v>
      </c>
      <c r="K21" s="3" t="str">
        <f t="shared" si="3"/>
        <v/>
      </c>
      <c r="L21" s="8">
        <f>IF(COUNT(AS21,BV21,CY21)&gt;0,LARGE((AS21,BV21,CY21),1),0)</f>
        <v>46.8</v>
      </c>
      <c r="M21" s="8" t="str">
        <f t="shared" si="4"/>
        <v>2024 Elite Canada</v>
      </c>
      <c r="N21" s="8">
        <f>IF(COUNT(AS21,BV21,CY21)&gt;1,LARGE((AS21,BV21,CY21),2),0)</f>
        <v>45.5</v>
      </c>
      <c r="O21" s="8" t="str">
        <f t="shared" si="5"/>
        <v>2023 Nationals</v>
      </c>
      <c r="P21" s="8">
        <f>IF(COUNT(AT21,BW21,CZ21)&gt;0,LARGE((AT21,BW21,CZ21),1),0)</f>
        <v>24.6</v>
      </c>
      <c r="Q21" s="8" t="str">
        <f t="shared" si="6"/>
        <v>2023 3rd Domestic Trial</v>
      </c>
      <c r="R21" s="8">
        <f t="shared" si="7"/>
        <v>50.29999999999999</v>
      </c>
      <c r="S21" s="8" t="str">
        <f t="shared" si="8"/>
        <v>2023 3rd Domestic Trial</v>
      </c>
      <c r="T21" s="8" t="str">
        <f t="shared" si="9"/>
        <v/>
      </c>
      <c r="U21" s="11" t="str">
        <f t="shared" si="10"/>
        <v/>
      </c>
      <c r="V21" s="8" t="str">
        <f t="shared" si="11"/>
        <v/>
      </c>
      <c r="W21" s="19">
        <v>16.399999999999999</v>
      </c>
      <c r="X21" s="19">
        <v>6.4</v>
      </c>
      <c r="Y21" s="19">
        <v>1</v>
      </c>
      <c r="Z21" s="19">
        <v>0</v>
      </c>
      <c r="AA21" s="19">
        <v>18.5</v>
      </c>
      <c r="AB21" s="19">
        <v>6</v>
      </c>
      <c r="AC21" s="19">
        <v>0.8</v>
      </c>
      <c r="AD21" s="19">
        <v>0</v>
      </c>
      <c r="AE21" s="19">
        <v>18.399999999999999</v>
      </c>
      <c r="AF21" s="19">
        <v>6</v>
      </c>
      <c r="AG21" s="19">
        <v>0.8</v>
      </c>
      <c r="AH21" s="19">
        <v>0</v>
      </c>
      <c r="AI21" s="19">
        <v>16.600000000000001</v>
      </c>
      <c r="AJ21" s="19">
        <v>7.2</v>
      </c>
      <c r="AK21" s="19">
        <v>0.8</v>
      </c>
      <c r="AL21" s="19">
        <v>0</v>
      </c>
      <c r="AM21" s="19">
        <v>19.100000000000001</v>
      </c>
      <c r="AN21" s="19">
        <v>6</v>
      </c>
      <c r="AO21" s="19">
        <v>0</v>
      </c>
      <c r="AP21" s="19">
        <v>0</v>
      </c>
      <c r="AQ21" s="27"/>
      <c r="AR21" s="40">
        <f t="shared" si="12"/>
        <v>12.4</v>
      </c>
      <c r="AS21" s="40">
        <f t="shared" si="13"/>
        <v>45.5</v>
      </c>
      <c r="AT21" s="40">
        <f t="shared" si="14"/>
        <v>23.599999999999998</v>
      </c>
      <c r="AU21" s="40">
        <f t="shared" si="15"/>
        <v>18.399999999999999</v>
      </c>
      <c r="AV21" s="40">
        <f t="shared" si="16"/>
        <v>69.099999999999994</v>
      </c>
      <c r="AW21" s="40">
        <f t="shared" si="17"/>
        <v>13.2</v>
      </c>
      <c r="AX21" s="40">
        <f t="shared" si="18"/>
        <v>48.100000000000009</v>
      </c>
      <c r="AY21" s="40">
        <f t="shared" si="19"/>
        <v>117.2</v>
      </c>
      <c r="AZ21" s="18">
        <v>16.7</v>
      </c>
      <c r="BA21" s="18">
        <v>3.4</v>
      </c>
      <c r="BB21" s="18">
        <v>1.7000000000000002</v>
      </c>
      <c r="BC21" s="18">
        <v>0</v>
      </c>
      <c r="BD21" s="18">
        <v>18.8</v>
      </c>
      <c r="BE21" s="18">
        <v>6.8000000000000007</v>
      </c>
      <c r="BF21" s="18">
        <v>0.6</v>
      </c>
      <c r="BG21" s="18">
        <v>0</v>
      </c>
      <c r="BH21" s="18">
        <v>18.600000000000001</v>
      </c>
      <c r="BI21" s="18">
        <v>6</v>
      </c>
      <c r="BJ21" s="18">
        <v>0</v>
      </c>
      <c r="BK21" s="18">
        <v>0</v>
      </c>
      <c r="BL21" s="18">
        <v>18.399999999999999</v>
      </c>
      <c r="BM21" s="18">
        <v>7.2</v>
      </c>
      <c r="BN21" s="18">
        <v>0</v>
      </c>
      <c r="BO21" s="18">
        <v>0</v>
      </c>
      <c r="BP21" s="18">
        <v>18.5</v>
      </c>
      <c r="BQ21" s="18">
        <v>6.8000000000000007</v>
      </c>
      <c r="BR21" s="18">
        <v>0.6</v>
      </c>
      <c r="BS21" s="18">
        <v>0</v>
      </c>
      <c r="BT21" s="28"/>
      <c r="BU21" s="11">
        <f t="shared" si="20"/>
        <v>10.200000000000001</v>
      </c>
      <c r="BV21" s="11">
        <f t="shared" si="21"/>
        <v>43.4</v>
      </c>
      <c r="BW21" s="11">
        <f t="shared" si="22"/>
        <v>24.6</v>
      </c>
      <c r="BX21" s="11">
        <f t="shared" si="23"/>
        <v>16.200000000000003</v>
      </c>
      <c r="BY21" s="11">
        <f t="shared" si="24"/>
        <v>68</v>
      </c>
      <c r="BZ21" s="11">
        <f t="shared" si="25"/>
        <v>14</v>
      </c>
      <c r="CA21" s="11">
        <f t="shared" si="26"/>
        <v>50.29999999999999</v>
      </c>
      <c r="CB21" s="11">
        <f t="shared" si="27"/>
        <v>118.29999999999998</v>
      </c>
      <c r="CC21" s="19">
        <v>18.399999999999999</v>
      </c>
      <c r="CD21" s="19">
        <v>7.2</v>
      </c>
      <c r="CE21" s="19">
        <v>0.6</v>
      </c>
      <c r="CF21" s="19">
        <v>0</v>
      </c>
      <c r="CG21" s="19">
        <v>16.8</v>
      </c>
      <c r="CH21" s="19">
        <v>6</v>
      </c>
      <c r="CI21" s="19">
        <v>1</v>
      </c>
      <c r="CJ21" s="19">
        <v>0</v>
      </c>
      <c r="CK21" s="19">
        <v>18.600000000000001</v>
      </c>
      <c r="CL21" s="19">
        <v>6</v>
      </c>
      <c r="CM21" s="19">
        <v>0.8</v>
      </c>
      <c r="CN21" s="19">
        <v>0</v>
      </c>
      <c r="CO21" s="19">
        <v>18.8</v>
      </c>
      <c r="CP21" s="19">
        <v>7.2</v>
      </c>
      <c r="CQ21" s="19">
        <v>1</v>
      </c>
      <c r="CR21" s="19">
        <v>0</v>
      </c>
      <c r="CS21" s="19">
        <v>18.600000000000001</v>
      </c>
      <c r="CT21" s="19">
        <v>6.8</v>
      </c>
      <c r="CU21" s="19">
        <v>0.8</v>
      </c>
      <c r="CV21" s="19">
        <v>0</v>
      </c>
      <c r="CW21" s="27"/>
      <c r="CX21" s="40">
        <f t="shared" si="28"/>
        <v>13.2</v>
      </c>
      <c r="CY21" s="40">
        <f t="shared" si="29"/>
        <v>46.8</v>
      </c>
      <c r="CZ21" s="40">
        <f t="shared" si="30"/>
        <v>23.8</v>
      </c>
      <c r="DA21" s="40">
        <f t="shared" si="31"/>
        <v>19.2</v>
      </c>
      <c r="DB21" s="40">
        <f t="shared" si="32"/>
        <v>70.599999999999994</v>
      </c>
      <c r="DC21" s="40">
        <f t="shared" si="33"/>
        <v>14</v>
      </c>
      <c r="DD21" s="40">
        <f t="shared" si="34"/>
        <v>49.6</v>
      </c>
      <c r="DE21" s="40">
        <f t="shared" si="35"/>
        <v>120.19999999999999</v>
      </c>
      <c r="DF21" s="50" t="str">
        <f t="shared" si="36"/>
        <v/>
      </c>
      <c r="DG21" s="50" t="str">
        <f t="shared" si="37"/>
        <v/>
      </c>
      <c r="DH21" s="50" t="str">
        <f t="shared" si="38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39"/>
        <v/>
      </c>
      <c r="ED21" s="40" t="str">
        <f t="shared" si="40"/>
        <v/>
      </c>
      <c r="EE21" s="40" t="str">
        <f t="shared" si="41"/>
        <v/>
      </c>
      <c r="EF21" s="40" t="str">
        <f t="shared" si="42"/>
        <v/>
      </c>
      <c r="EG21" s="40" t="str">
        <f t="shared" si="43"/>
        <v/>
      </c>
      <c r="EH21" s="40" t="str">
        <f t="shared" si="44"/>
        <v/>
      </c>
      <c r="EI21" s="40" t="str">
        <f t="shared" si="45"/>
        <v/>
      </c>
      <c r="EJ21" s="40" t="str">
        <f t="shared" si="46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>
        <v>18.8</v>
      </c>
      <c r="EX21" s="18">
        <v>6</v>
      </c>
      <c r="EY21" s="18">
        <v>0.2</v>
      </c>
      <c r="EZ21" s="18">
        <v>0</v>
      </c>
      <c r="FA21" s="18">
        <v>18.2</v>
      </c>
      <c r="FB21" s="18">
        <v>7.2</v>
      </c>
      <c r="FC21" s="18">
        <v>0.2</v>
      </c>
      <c r="FD21" s="18">
        <v>0</v>
      </c>
      <c r="FE21" s="11" t="str">
        <f t="shared" si="47"/>
        <v/>
      </c>
      <c r="FF21" s="11" t="str">
        <f t="shared" si="48"/>
        <v/>
      </c>
      <c r="FG21" s="11" t="str">
        <f t="shared" si="49"/>
        <v/>
      </c>
      <c r="FH21" s="11" t="str">
        <f t="shared" si="50"/>
        <v/>
      </c>
      <c r="FI21" s="11" t="str">
        <f t="shared" si="51"/>
        <v/>
      </c>
      <c r="FJ21" s="11">
        <f t="shared" si="52"/>
        <v>13.2</v>
      </c>
      <c r="FK21" s="11">
        <f t="shared" si="53"/>
        <v>49.800000000000004</v>
      </c>
      <c r="FL21" s="11">
        <f t="shared" si="54"/>
        <v>49.800000000000004</v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5"/>
        <v/>
      </c>
      <c r="GH21" s="40" t="str">
        <f t="shared" si="56"/>
        <v/>
      </c>
      <c r="GI21" s="40" t="str">
        <f t="shared" si="57"/>
        <v/>
      </c>
      <c r="GJ21" s="40" t="str">
        <f t="shared" si="58"/>
        <v/>
      </c>
      <c r="GK21" s="40" t="str">
        <f t="shared" si="59"/>
        <v/>
      </c>
      <c r="GL21" s="40" t="str">
        <f t="shared" si="60"/>
        <v/>
      </c>
      <c r="GM21" s="40" t="str">
        <f t="shared" si="61"/>
        <v/>
      </c>
      <c r="GN21" s="40" t="str">
        <f t="shared" si="62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3"/>
        <v/>
      </c>
      <c r="HJ21" s="11" t="str">
        <f t="shared" si="64"/>
        <v/>
      </c>
      <c r="HK21" s="11" t="str">
        <f t="shared" si="65"/>
        <v/>
      </c>
      <c r="HL21" s="11" t="str">
        <f t="shared" si="66"/>
        <v/>
      </c>
      <c r="HM21" s="11" t="str">
        <f t="shared" si="67"/>
        <v/>
      </c>
      <c r="HN21" s="11" t="str">
        <f t="shared" si="68"/>
        <v/>
      </c>
      <c r="HO21" s="11" t="str">
        <f t="shared" si="69"/>
        <v/>
      </c>
      <c r="HP21" s="11" t="str">
        <f t="shared" si="70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1"/>
        <v/>
      </c>
      <c r="IL21" s="40" t="str">
        <f t="shared" si="72"/>
        <v/>
      </c>
      <c r="IM21" s="40" t="str">
        <f t="shared" si="73"/>
        <v/>
      </c>
      <c r="IN21" s="40" t="str">
        <f t="shared" si="74"/>
        <v/>
      </c>
      <c r="IO21" s="40" t="str">
        <f t="shared" si="75"/>
        <v/>
      </c>
      <c r="IP21" s="40" t="str">
        <f t="shared" si="76"/>
        <v/>
      </c>
      <c r="IQ21" s="40" t="str">
        <f t="shared" si="77"/>
        <v/>
      </c>
      <c r="IR21" s="40" t="str">
        <f t="shared" si="78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79"/>
        <v/>
      </c>
      <c r="JN21" s="11" t="str">
        <f t="shared" si="80"/>
        <v/>
      </c>
      <c r="JO21" s="11" t="str">
        <f t="shared" si="81"/>
        <v/>
      </c>
      <c r="JP21" s="11" t="str">
        <f t="shared" si="82"/>
        <v/>
      </c>
      <c r="JQ21" s="11" t="str">
        <f t="shared" si="83"/>
        <v/>
      </c>
      <c r="JR21" s="11" t="str">
        <f t="shared" si="84"/>
        <v/>
      </c>
      <c r="JS21" s="11" t="str">
        <f t="shared" si="85"/>
        <v/>
      </c>
      <c r="JT21" s="11" t="str">
        <f t="shared" si="86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7"/>
        <v/>
      </c>
      <c r="KP21" s="40" t="str">
        <f t="shared" si="88"/>
        <v/>
      </c>
      <c r="KQ21" s="40" t="str">
        <f t="shared" si="89"/>
        <v/>
      </c>
      <c r="KR21" s="40" t="str">
        <f t="shared" si="90"/>
        <v/>
      </c>
      <c r="KS21" s="40" t="str">
        <f t="shared" si="91"/>
        <v/>
      </c>
      <c r="KT21" s="40" t="str">
        <f t="shared" si="92"/>
        <v/>
      </c>
      <c r="KU21" s="40" t="str">
        <f t="shared" si="93"/>
        <v/>
      </c>
      <c r="KV21" s="40" t="str">
        <f t="shared" si="94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5"/>
        <v/>
      </c>
      <c r="LR21" s="11" t="str">
        <f t="shared" si="96"/>
        <v/>
      </c>
      <c r="LS21" s="11" t="str">
        <f t="shared" si="97"/>
        <v/>
      </c>
      <c r="LT21" s="11" t="str">
        <f t="shared" si="98"/>
        <v/>
      </c>
      <c r="LU21" s="11" t="str">
        <f t="shared" si="99"/>
        <v/>
      </c>
      <c r="LV21" s="11" t="str">
        <f t="shared" si="100"/>
        <v/>
      </c>
      <c r="LW21" s="11" t="str">
        <f t="shared" si="101"/>
        <v/>
      </c>
      <c r="LX21" s="11" t="str">
        <f t="shared" si="102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3"/>
        <v/>
      </c>
      <c r="MT21" s="40" t="str">
        <f t="shared" si="104"/>
        <v/>
      </c>
      <c r="MU21" s="40" t="str">
        <f t="shared" si="105"/>
        <v/>
      </c>
      <c r="MV21" s="40" t="str">
        <f t="shared" si="106"/>
        <v/>
      </c>
      <c r="MW21" s="40" t="str">
        <f t="shared" si="107"/>
        <v/>
      </c>
      <c r="MX21" s="40" t="str">
        <f t="shared" si="108"/>
        <v/>
      </c>
      <c r="MY21" s="40" t="str">
        <f t="shared" si="109"/>
        <v/>
      </c>
      <c r="MZ21" s="40" t="str">
        <f t="shared" si="110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1"/>
        <v/>
      </c>
      <c r="NV21" s="11" t="str">
        <f t="shared" si="112"/>
        <v/>
      </c>
      <c r="NW21" s="11" t="str">
        <f t="shared" si="113"/>
        <v/>
      </c>
      <c r="NX21" s="11" t="str">
        <f t="shared" si="114"/>
        <v/>
      </c>
      <c r="NY21" s="11" t="str">
        <f t="shared" si="115"/>
        <v/>
      </c>
      <c r="NZ21" s="11" t="str">
        <f t="shared" si="116"/>
        <v/>
      </c>
      <c r="OA21" s="11" t="str">
        <f t="shared" si="117"/>
        <v/>
      </c>
      <c r="OB21" s="11" t="str">
        <f t="shared" si="118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19"/>
        <v/>
      </c>
      <c r="OX21" s="40" t="str">
        <f t="shared" si="120"/>
        <v/>
      </c>
      <c r="OY21" s="40" t="str">
        <f t="shared" si="121"/>
        <v/>
      </c>
      <c r="OZ21" s="40" t="str">
        <f t="shared" si="122"/>
        <v/>
      </c>
      <c r="PA21" s="40" t="str">
        <f t="shared" si="123"/>
        <v/>
      </c>
      <c r="PB21" s="40" t="str">
        <f t="shared" si="124"/>
        <v/>
      </c>
      <c r="PC21" s="40" t="str">
        <f t="shared" si="125"/>
        <v/>
      </c>
      <c r="PD21" s="40" t="str">
        <f t="shared" si="126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7"/>
        <v/>
      </c>
      <c r="PZ21" s="11" t="str">
        <f t="shared" si="128"/>
        <v/>
      </c>
      <c r="QA21" s="11" t="str">
        <f t="shared" si="129"/>
        <v/>
      </c>
      <c r="QB21" s="11" t="str">
        <f t="shared" si="130"/>
        <v/>
      </c>
      <c r="QC21" s="11" t="str">
        <f t="shared" si="131"/>
        <v/>
      </c>
      <c r="QD21" s="11" t="str">
        <f t="shared" si="132"/>
        <v/>
      </c>
      <c r="QE21" s="11" t="str">
        <f t="shared" si="133"/>
        <v/>
      </c>
      <c r="QF21" s="11" t="str">
        <f t="shared" si="134"/>
        <v/>
      </c>
      <c r="QG21" s="22">
        <f t="shared" si="135"/>
        <v>17.549999999999997</v>
      </c>
      <c r="QH21" s="22">
        <f t="shared" si="136"/>
        <v>5.3</v>
      </c>
      <c r="QI21" s="22">
        <f t="shared" si="137"/>
        <v>1.1500000000000001</v>
      </c>
      <c r="QJ21" s="22">
        <f t="shared" si="138"/>
        <v>0</v>
      </c>
      <c r="QK21" s="22">
        <f t="shared" si="139"/>
        <v>17.8</v>
      </c>
      <c r="QL21" s="22">
        <f t="shared" si="140"/>
        <v>6.4</v>
      </c>
      <c r="QM21" s="22">
        <f t="shared" si="141"/>
        <v>0.8</v>
      </c>
      <c r="QN21" s="22">
        <f t="shared" si="142"/>
        <v>0</v>
      </c>
      <c r="QO21" s="22">
        <f t="shared" si="143"/>
        <v>18.600000000000001</v>
      </c>
      <c r="QP21" s="22">
        <f t="shared" si="144"/>
        <v>6</v>
      </c>
      <c r="QQ21" s="22">
        <f t="shared" si="145"/>
        <v>0.4</v>
      </c>
      <c r="QR21" s="22">
        <f t="shared" si="146"/>
        <v>0</v>
      </c>
      <c r="QS21" s="22">
        <f t="shared" si="147"/>
        <v>18.600000000000001</v>
      </c>
      <c r="QT21" s="22">
        <f t="shared" si="148"/>
        <v>7.2</v>
      </c>
      <c r="QU21" s="22">
        <f t="shared" si="149"/>
        <v>0.5</v>
      </c>
      <c r="QV21" s="22">
        <f t="shared" si="150"/>
        <v>0</v>
      </c>
      <c r="QW21" s="22">
        <f t="shared" si="151"/>
        <v>18.55</v>
      </c>
      <c r="QX21" s="22">
        <f t="shared" si="152"/>
        <v>6.8000000000000007</v>
      </c>
      <c r="QY21" s="22">
        <f t="shared" si="153"/>
        <v>0.7</v>
      </c>
      <c r="QZ21" s="22">
        <f t="shared" si="154"/>
        <v>0</v>
      </c>
      <c r="RA21" s="27" t="s">
        <v>46</v>
      </c>
      <c r="RB21" s="40">
        <f t="shared" si="155"/>
        <v>11.7</v>
      </c>
      <c r="RC21" s="40">
        <f t="shared" si="156"/>
        <v>45.1</v>
      </c>
      <c r="RD21" s="40">
        <f t="shared" si="157"/>
        <v>24.200000000000003</v>
      </c>
      <c r="RE21" s="40">
        <f t="shared" si="158"/>
        <v>17.7</v>
      </c>
      <c r="RF21" s="40">
        <f t="shared" si="159"/>
        <v>69.300000000000011</v>
      </c>
      <c r="RG21" s="40">
        <f t="shared" si="160"/>
        <v>14</v>
      </c>
      <c r="RH21" s="40">
        <f t="shared" si="161"/>
        <v>49.95</v>
      </c>
      <c r="RI21" s="40">
        <f t="shared" si="162"/>
        <v>119.25000000000001</v>
      </c>
    </row>
    <row r="22" spans="1:477" x14ac:dyDescent="0.2">
      <c r="A22" s="4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>19</v>
      </c>
      <c r="B22" s="4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>13</v>
      </c>
      <c r="C22" s="5" t="s">
        <v>237</v>
      </c>
      <c r="D22" s="4" t="s">
        <v>107</v>
      </c>
      <c r="E22" s="4">
        <v>2007</v>
      </c>
      <c r="F22" s="9">
        <f t="shared" si="163"/>
        <v>167.0000119500049</v>
      </c>
      <c r="G22" s="66"/>
      <c r="H22" s="3" t="str">
        <f t="shared" si="0"/>
        <v>P</v>
      </c>
      <c r="I22" s="3" t="str">
        <f t="shared" si="1"/>
        <v>P</v>
      </c>
      <c r="J22" s="36" t="str">
        <f t="shared" si="2"/>
        <v>National Team</v>
      </c>
      <c r="K22" s="3" t="str">
        <f t="shared" si="3"/>
        <v/>
      </c>
      <c r="L22" s="8">
        <f>IF(COUNT(AS22,BV22,CY22)&gt;0,LARGE((AS22,BV22,CY22),1),0)</f>
        <v>49.1</v>
      </c>
      <c r="M22" s="8" t="str">
        <f t="shared" si="4"/>
        <v>2024 Elite Canada</v>
      </c>
      <c r="N22" s="8">
        <f>IF(COUNT(AS22,BV22,CY22)&gt;1,LARGE((AS22,BV22,CY22),2),0)</f>
        <v>46.399999999999991</v>
      </c>
      <c r="O22" s="8" t="str">
        <f t="shared" si="5"/>
        <v>2023 Nationals</v>
      </c>
      <c r="P22" s="8">
        <f>IF(COUNT(AT22,BW22,CZ22)&gt;0,LARGE((AT22,BW22,CZ22),1),0)</f>
        <v>24</v>
      </c>
      <c r="Q22" s="8" t="str">
        <f t="shared" si="6"/>
        <v>2024 Elite Canada</v>
      </c>
      <c r="R22" s="8">
        <f t="shared" si="7"/>
        <v>47.5</v>
      </c>
      <c r="S22" s="8" t="str">
        <f t="shared" si="8"/>
        <v>2024 Elite Canada</v>
      </c>
      <c r="T22" s="8" t="str">
        <f t="shared" si="9"/>
        <v/>
      </c>
      <c r="U22" s="11" t="str">
        <f t="shared" si="10"/>
        <v/>
      </c>
      <c r="V22" s="8" t="str">
        <f t="shared" si="11"/>
        <v/>
      </c>
      <c r="W22" s="19">
        <v>18.399999999999999</v>
      </c>
      <c r="X22" s="19">
        <v>5.2</v>
      </c>
      <c r="Y22" s="19">
        <v>0.6</v>
      </c>
      <c r="Z22" s="19">
        <v>0</v>
      </c>
      <c r="AA22" s="19">
        <v>18</v>
      </c>
      <c r="AB22" s="19">
        <v>5.6</v>
      </c>
      <c r="AC22" s="19">
        <v>0.2</v>
      </c>
      <c r="AD22" s="19">
        <v>0</v>
      </c>
      <c r="AE22" s="19"/>
      <c r="AF22" s="19"/>
      <c r="AG22" s="19"/>
      <c r="AH22" s="19"/>
      <c r="AI22" s="19">
        <v>17.600000000000001</v>
      </c>
      <c r="AJ22" s="19">
        <v>1.2</v>
      </c>
      <c r="AK22" s="19">
        <v>0.2</v>
      </c>
      <c r="AL22" s="19">
        <v>0</v>
      </c>
      <c r="AM22" s="19">
        <v>18.5</v>
      </c>
      <c r="AN22" s="19">
        <v>4.4000000000000004</v>
      </c>
      <c r="AO22" s="19">
        <v>1</v>
      </c>
      <c r="AP22" s="19">
        <v>0</v>
      </c>
      <c r="AQ22" s="27"/>
      <c r="AR22" s="40">
        <f t="shared" si="12"/>
        <v>10.8</v>
      </c>
      <c r="AS22" s="40">
        <f t="shared" si="13"/>
        <v>46.399999999999991</v>
      </c>
      <c r="AT22" s="40" t="str">
        <f t="shared" si="14"/>
        <v/>
      </c>
      <c r="AU22" s="40">
        <f t="shared" si="15"/>
        <v>10.8</v>
      </c>
      <c r="AV22" s="40">
        <f t="shared" si="16"/>
        <v>46.399999999999991</v>
      </c>
      <c r="AW22" s="40">
        <f t="shared" si="17"/>
        <v>5.6000000000000005</v>
      </c>
      <c r="AX22" s="40">
        <f t="shared" si="18"/>
        <v>40.499999999999993</v>
      </c>
      <c r="AY22" s="40">
        <f t="shared" si="19"/>
        <v>86.899999999999977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 t="shared" si="20"/>
        <v/>
      </c>
      <c r="BV22" s="11" t="str">
        <f t="shared" si="21"/>
        <v/>
      </c>
      <c r="BW22" s="11" t="str">
        <f t="shared" si="22"/>
        <v/>
      </c>
      <c r="BX22" s="11" t="str">
        <f t="shared" si="23"/>
        <v/>
      </c>
      <c r="BY22" s="11" t="str">
        <f t="shared" si="24"/>
        <v/>
      </c>
      <c r="BZ22" s="11" t="str">
        <f t="shared" si="25"/>
        <v/>
      </c>
      <c r="CA22" s="11" t="str">
        <f t="shared" si="26"/>
        <v/>
      </c>
      <c r="CB22" s="11" t="str">
        <f t="shared" si="27"/>
        <v/>
      </c>
      <c r="CC22" s="19">
        <v>18.5</v>
      </c>
      <c r="CD22" s="19">
        <v>6</v>
      </c>
      <c r="CE22" s="19">
        <v>0</v>
      </c>
      <c r="CF22" s="19">
        <v>0</v>
      </c>
      <c r="CG22" s="19">
        <v>18.600000000000001</v>
      </c>
      <c r="CH22" s="19">
        <v>6</v>
      </c>
      <c r="CI22" s="19">
        <v>0</v>
      </c>
      <c r="CJ22" s="19">
        <v>0</v>
      </c>
      <c r="CK22" s="19">
        <v>18.399999999999999</v>
      </c>
      <c r="CL22" s="19">
        <v>5.6</v>
      </c>
      <c r="CM22" s="19">
        <v>0</v>
      </c>
      <c r="CN22" s="19">
        <v>0</v>
      </c>
      <c r="CO22" s="19">
        <v>18.100000000000001</v>
      </c>
      <c r="CP22" s="19">
        <v>5.2</v>
      </c>
      <c r="CQ22" s="19">
        <v>0</v>
      </c>
      <c r="CR22" s="19">
        <v>0</v>
      </c>
      <c r="CS22" s="19">
        <v>18.399999999999999</v>
      </c>
      <c r="CT22" s="19">
        <v>6</v>
      </c>
      <c r="CU22" s="19">
        <v>0.2</v>
      </c>
      <c r="CV22" s="19">
        <v>0</v>
      </c>
      <c r="CW22" s="27"/>
      <c r="CX22" s="40">
        <f t="shared" si="28"/>
        <v>12</v>
      </c>
      <c r="CY22" s="40">
        <f t="shared" si="29"/>
        <v>49.1</v>
      </c>
      <c r="CZ22" s="40">
        <f t="shared" si="30"/>
        <v>24</v>
      </c>
      <c r="DA22" s="40">
        <f t="shared" si="31"/>
        <v>17.600000000000001</v>
      </c>
      <c r="DB22" s="40">
        <f t="shared" si="32"/>
        <v>73.099999999999994</v>
      </c>
      <c r="DC22" s="40">
        <f t="shared" si="33"/>
        <v>11.2</v>
      </c>
      <c r="DD22" s="40">
        <f t="shared" si="34"/>
        <v>47.5</v>
      </c>
      <c r="DE22" s="40">
        <f t="shared" si="35"/>
        <v>120.6</v>
      </c>
      <c r="DF22" s="50" t="str">
        <f t="shared" si="36"/>
        <v/>
      </c>
      <c r="DG22" s="50" t="str">
        <f t="shared" si="37"/>
        <v/>
      </c>
      <c r="DH22" s="50" t="str">
        <f t="shared" si="38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39"/>
        <v/>
      </c>
      <c r="ED22" s="40" t="str">
        <f t="shared" si="40"/>
        <v/>
      </c>
      <c r="EE22" s="40" t="str">
        <f t="shared" si="41"/>
        <v/>
      </c>
      <c r="EF22" s="40" t="str">
        <f t="shared" si="42"/>
        <v/>
      </c>
      <c r="EG22" s="40" t="str">
        <f t="shared" si="43"/>
        <v/>
      </c>
      <c r="EH22" s="40" t="str">
        <f t="shared" si="44"/>
        <v/>
      </c>
      <c r="EI22" s="40" t="str">
        <f t="shared" si="45"/>
        <v/>
      </c>
      <c r="EJ22" s="40" t="str">
        <f t="shared" si="46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7"/>
        <v/>
      </c>
      <c r="FF22" s="11" t="str">
        <f t="shared" si="48"/>
        <v/>
      </c>
      <c r="FG22" s="11" t="str">
        <f t="shared" si="49"/>
        <v/>
      </c>
      <c r="FH22" s="11" t="str">
        <f t="shared" si="50"/>
        <v/>
      </c>
      <c r="FI22" s="11" t="str">
        <f t="shared" si="51"/>
        <v/>
      </c>
      <c r="FJ22" s="11" t="str">
        <f t="shared" si="52"/>
        <v/>
      </c>
      <c r="FK22" s="11" t="str">
        <f t="shared" si="53"/>
        <v/>
      </c>
      <c r="FL22" s="11" t="str">
        <f t="shared" si="54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5"/>
        <v/>
      </c>
      <c r="GH22" s="40" t="str">
        <f t="shared" si="56"/>
        <v/>
      </c>
      <c r="GI22" s="40" t="str">
        <f t="shared" si="57"/>
        <v/>
      </c>
      <c r="GJ22" s="40" t="str">
        <f t="shared" si="58"/>
        <v/>
      </c>
      <c r="GK22" s="40" t="str">
        <f t="shared" si="59"/>
        <v/>
      </c>
      <c r="GL22" s="40" t="str">
        <f t="shared" si="60"/>
        <v/>
      </c>
      <c r="GM22" s="40" t="str">
        <f t="shared" si="61"/>
        <v/>
      </c>
      <c r="GN22" s="40" t="str">
        <f t="shared" si="62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3"/>
        <v/>
      </c>
      <c r="HJ22" s="11" t="str">
        <f t="shared" si="64"/>
        <v/>
      </c>
      <c r="HK22" s="11" t="str">
        <f t="shared" si="65"/>
        <v/>
      </c>
      <c r="HL22" s="11" t="str">
        <f t="shared" si="66"/>
        <v/>
      </c>
      <c r="HM22" s="11" t="str">
        <f t="shared" si="67"/>
        <v/>
      </c>
      <c r="HN22" s="11" t="str">
        <f t="shared" si="68"/>
        <v/>
      </c>
      <c r="HO22" s="11" t="str">
        <f t="shared" si="69"/>
        <v/>
      </c>
      <c r="HP22" s="11" t="str">
        <f t="shared" si="70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1"/>
        <v/>
      </c>
      <c r="IL22" s="40" t="str">
        <f t="shared" si="72"/>
        <v/>
      </c>
      <c r="IM22" s="40" t="str">
        <f t="shared" si="73"/>
        <v/>
      </c>
      <c r="IN22" s="40" t="str">
        <f t="shared" si="74"/>
        <v/>
      </c>
      <c r="IO22" s="40" t="str">
        <f t="shared" si="75"/>
        <v/>
      </c>
      <c r="IP22" s="40" t="str">
        <f t="shared" si="76"/>
        <v/>
      </c>
      <c r="IQ22" s="40" t="str">
        <f t="shared" si="77"/>
        <v/>
      </c>
      <c r="IR22" s="40" t="str">
        <f t="shared" si="78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79"/>
        <v/>
      </c>
      <c r="JN22" s="11" t="str">
        <f t="shared" si="80"/>
        <v/>
      </c>
      <c r="JO22" s="11" t="str">
        <f t="shared" si="81"/>
        <v/>
      </c>
      <c r="JP22" s="11" t="str">
        <f t="shared" si="82"/>
        <v/>
      </c>
      <c r="JQ22" s="11" t="str">
        <f t="shared" si="83"/>
        <v/>
      </c>
      <c r="JR22" s="11" t="str">
        <f t="shared" si="84"/>
        <v/>
      </c>
      <c r="JS22" s="11" t="str">
        <f t="shared" si="85"/>
        <v/>
      </c>
      <c r="JT22" s="11" t="str">
        <f t="shared" si="86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7"/>
        <v/>
      </c>
      <c r="KP22" s="40" t="str">
        <f t="shared" si="88"/>
        <v/>
      </c>
      <c r="KQ22" s="40" t="str">
        <f t="shared" si="89"/>
        <v/>
      </c>
      <c r="KR22" s="40" t="str">
        <f t="shared" si="90"/>
        <v/>
      </c>
      <c r="KS22" s="40" t="str">
        <f t="shared" si="91"/>
        <v/>
      </c>
      <c r="KT22" s="40" t="str">
        <f t="shared" si="92"/>
        <v/>
      </c>
      <c r="KU22" s="40" t="str">
        <f t="shared" si="93"/>
        <v/>
      </c>
      <c r="KV22" s="40" t="str">
        <f t="shared" si="94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5"/>
        <v/>
      </c>
      <c r="LR22" s="11" t="str">
        <f t="shared" si="96"/>
        <v/>
      </c>
      <c r="LS22" s="11" t="str">
        <f t="shared" si="97"/>
        <v/>
      </c>
      <c r="LT22" s="11" t="str">
        <f t="shared" si="98"/>
        <v/>
      </c>
      <c r="LU22" s="11" t="str">
        <f t="shared" si="99"/>
        <v/>
      </c>
      <c r="LV22" s="11" t="str">
        <f t="shared" si="100"/>
        <v/>
      </c>
      <c r="LW22" s="11" t="str">
        <f t="shared" si="101"/>
        <v/>
      </c>
      <c r="LX22" s="11" t="str">
        <f t="shared" si="102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3"/>
        <v/>
      </c>
      <c r="MT22" s="40" t="str">
        <f t="shared" si="104"/>
        <v/>
      </c>
      <c r="MU22" s="40" t="str">
        <f t="shared" si="105"/>
        <v/>
      </c>
      <c r="MV22" s="40" t="str">
        <f t="shared" si="106"/>
        <v/>
      </c>
      <c r="MW22" s="40" t="str">
        <f t="shared" si="107"/>
        <v/>
      </c>
      <c r="MX22" s="40" t="str">
        <f t="shared" si="108"/>
        <v/>
      </c>
      <c r="MY22" s="40" t="str">
        <f t="shared" si="109"/>
        <v/>
      </c>
      <c r="MZ22" s="40" t="str">
        <f t="shared" si="110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1"/>
        <v/>
      </c>
      <c r="NV22" s="11" t="str">
        <f t="shared" si="112"/>
        <v/>
      </c>
      <c r="NW22" s="11" t="str">
        <f t="shared" si="113"/>
        <v/>
      </c>
      <c r="NX22" s="11" t="str">
        <f t="shared" si="114"/>
        <v/>
      </c>
      <c r="NY22" s="11" t="str">
        <f t="shared" si="115"/>
        <v/>
      </c>
      <c r="NZ22" s="11" t="str">
        <f t="shared" si="116"/>
        <v/>
      </c>
      <c r="OA22" s="11" t="str">
        <f t="shared" si="117"/>
        <v/>
      </c>
      <c r="OB22" s="11" t="str">
        <f t="shared" si="118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19"/>
        <v/>
      </c>
      <c r="OX22" s="40" t="str">
        <f t="shared" si="120"/>
        <v/>
      </c>
      <c r="OY22" s="40" t="str">
        <f t="shared" si="121"/>
        <v/>
      </c>
      <c r="OZ22" s="40" t="str">
        <f t="shared" si="122"/>
        <v/>
      </c>
      <c r="PA22" s="40" t="str">
        <f t="shared" si="123"/>
        <v/>
      </c>
      <c r="PB22" s="40" t="str">
        <f t="shared" si="124"/>
        <v/>
      </c>
      <c r="PC22" s="40" t="str">
        <f t="shared" si="125"/>
        <v/>
      </c>
      <c r="PD22" s="40" t="str">
        <f t="shared" si="126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7"/>
        <v/>
      </c>
      <c r="PZ22" s="11" t="str">
        <f t="shared" si="128"/>
        <v/>
      </c>
      <c r="QA22" s="11" t="str">
        <f t="shared" si="129"/>
        <v/>
      </c>
      <c r="QB22" s="11" t="str">
        <f t="shared" si="130"/>
        <v/>
      </c>
      <c r="QC22" s="11" t="str">
        <f t="shared" si="131"/>
        <v/>
      </c>
      <c r="QD22" s="11" t="str">
        <f t="shared" si="132"/>
        <v/>
      </c>
      <c r="QE22" s="11" t="str">
        <f t="shared" si="133"/>
        <v/>
      </c>
      <c r="QF22" s="11" t="str">
        <f t="shared" si="134"/>
        <v/>
      </c>
      <c r="QG22" s="22">
        <f t="shared" si="135"/>
        <v>9.25</v>
      </c>
      <c r="QH22" s="22">
        <f t="shared" si="136"/>
        <v>3</v>
      </c>
      <c r="QI22" s="22">
        <f t="shared" si="137"/>
        <v>0</v>
      </c>
      <c r="QJ22" s="22">
        <f t="shared" si="138"/>
        <v>0</v>
      </c>
      <c r="QK22" s="22">
        <f t="shared" si="139"/>
        <v>9.3000000000000007</v>
      </c>
      <c r="QL22" s="22">
        <f t="shared" si="140"/>
        <v>3</v>
      </c>
      <c r="QM22" s="22">
        <f t="shared" si="141"/>
        <v>0</v>
      </c>
      <c r="QN22" s="22">
        <f t="shared" si="142"/>
        <v>0</v>
      </c>
      <c r="QO22" s="22">
        <f t="shared" si="143"/>
        <v>9.1999999999999993</v>
      </c>
      <c r="QP22" s="22">
        <f t="shared" si="144"/>
        <v>2.8</v>
      </c>
      <c r="QQ22" s="22">
        <f t="shared" si="145"/>
        <v>0</v>
      </c>
      <c r="QR22" s="22">
        <f t="shared" si="146"/>
        <v>0</v>
      </c>
      <c r="QS22" s="22">
        <f t="shared" si="147"/>
        <v>9.0500000000000007</v>
      </c>
      <c r="QT22" s="22">
        <f t="shared" si="148"/>
        <v>2.6</v>
      </c>
      <c r="QU22" s="22">
        <f t="shared" si="149"/>
        <v>0</v>
      </c>
      <c r="QV22" s="22">
        <f t="shared" si="150"/>
        <v>0</v>
      </c>
      <c r="QW22" s="22">
        <f t="shared" si="151"/>
        <v>9.1999999999999993</v>
      </c>
      <c r="QX22" s="22">
        <f t="shared" si="152"/>
        <v>3</v>
      </c>
      <c r="QY22" s="22">
        <f t="shared" si="153"/>
        <v>0.1</v>
      </c>
      <c r="QZ22" s="22">
        <f t="shared" si="154"/>
        <v>0</v>
      </c>
      <c r="RA22" s="27" t="s">
        <v>46</v>
      </c>
      <c r="RB22" s="40">
        <f t="shared" si="155"/>
        <v>6</v>
      </c>
      <c r="RC22" s="40">
        <f t="shared" si="156"/>
        <v>24.55</v>
      </c>
      <c r="RD22" s="40">
        <f t="shared" si="157"/>
        <v>12</v>
      </c>
      <c r="RE22" s="40">
        <f t="shared" si="158"/>
        <v>8.8000000000000007</v>
      </c>
      <c r="RF22" s="40">
        <f t="shared" si="159"/>
        <v>36.549999999999997</v>
      </c>
      <c r="RG22" s="40">
        <f t="shared" si="160"/>
        <v>5.6</v>
      </c>
      <c r="RH22" s="40">
        <f t="shared" si="161"/>
        <v>23.75</v>
      </c>
      <c r="RI22" s="40">
        <f t="shared" si="162"/>
        <v>60.3</v>
      </c>
    </row>
    <row r="23" spans="1:477" x14ac:dyDescent="0.2">
      <c r="A23" s="4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>20</v>
      </c>
      <c r="B23" s="4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>14</v>
      </c>
      <c r="C23" s="5" t="s">
        <v>166</v>
      </c>
      <c r="D23" s="4" t="s">
        <v>5</v>
      </c>
      <c r="E23" s="4">
        <v>2005</v>
      </c>
      <c r="F23" s="9">
        <f t="shared" si="163"/>
        <v>162.00001196000488</v>
      </c>
      <c r="G23" s="66"/>
      <c r="H23" s="3" t="str">
        <f t="shared" si="0"/>
        <v>P</v>
      </c>
      <c r="I23" s="3" t="str">
        <f t="shared" si="1"/>
        <v>P</v>
      </c>
      <c r="J23" s="36" t="str">
        <f t="shared" si="2"/>
        <v>National Team</v>
      </c>
      <c r="K23" s="3" t="str">
        <f t="shared" si="3"/>
        <v/>
      </c>
      <c r="L23" s="8">
        <f>IF(COUNT(AS23,BV23,CY23)&gt;0,LARGE((AS23,BV23,CY23),1),0)</f>
        <v>49</v>
      </c>
      <c r="M23" s="8" t="str">
        <f t="shared" si="4"/>
        <v>2023 3rd Domestic Trial</v>
      </c>
      <c r="N23" s="8">
        <f>IF(COUNT(AS23,BV23,CY23)&gt;1,LARGE((AS23,BV23,CY23),2),0)</f>
        <v>48.399999999999991</v>
      </c>
      <c r="O23" s="8" t="str">
        <f t="shared" si="5"/>
        <v>2023 Nationals</v>
      </c>
      <c r="P23" s="8">
        <f>IF(COUNT(AT23,BW23,CZ23)&gt;0,LARGE((AT23,BW23,CZ23),1),0)</f>
        <v>22.2</v>
      </c>
      <c r="Q23" s="8" t="str">
        <f t="shared" si="6"/>
        <v>2023 Nationals</v>
      </c>
      <c r="R23" s="8">
        <f t="shared" si="7"/>
        <v>42.399999999999991</v>
      </c>
      <c r="S23" s="8" t="str">
        <f t="shared" si="8"/>
        <v>2023 3rd Domestic Trial</v>
      </c>
      <c r="T23" s="8" t="str">
        <f t="shared" si="9"/>
        <v/>
      </c>
      <c r="U23" s="11" t="str">
        <f t="shared" si="10"/>
        <v/>
      </c>
      <c r="V23" s="8" t="str">
        <f t="shared" si="11"/>
        <v/>
      </c>
      <c r="W23" s="19">
        <v>17.5</v>
      </c>
      <c r="X23" s="19">
        <v>6.9</v>
      </c>
      <c r="Y23" s="19">
        <v>0.6</v>
      </c>
      <c r="Z23" s="19">
        <v>0</v>
      </c>
      <c r="AA23" s="19">
        <v>18.399999999999999</v>
      </c>
      <c r="AB23" s="19">
        <v>6.4</v>
      </c>
      <c r="AC23" s="19">
        <v>0.2</v>
      </c>
      <c r="AD23" s="19">
        <v>0</v>
      </c>
      <c r="AE23" s="19">
        <v>18.7</v>
      </c>
      <c r="AF23" s="19">
        <v>3.5</v>
      </c>
      <c r="AG23" s="19">
        <v>0</v>
      </c>
      <c r="AH23" s="19">
        <v>0</v>
      </c>
      <c r="AI23" s="19">
        <v>17.3</v>
      </c>
      <c r="AJ23" s="19">
        <v>2.4</v>
      </c>
      <c r="AK23" s="19">
        <v>0</v>
      </c>
      <c r="AL23" s="19">
        <v>0</v>
      </c>
      <c r="AM23" s="19">
        <v>17.399999999999999</v>
      </c>
      <c r="AN23" s="19">
        <v>2.8</v>
      </c>
      <c r="AO23" s="19">
        <v>0</v>
      </c>
      <c r="AP23" s="19">
        <v>0</v>
      </c>
      <c r="AQ23" s="27"/>
      <c r="AR23" s="40">
        <f t="shared" si="12"/>
        <v>13.3</v>
      </c>
      <c r="AS23" s="40">
        <f t="shared" si="13"/>
        <v>48.399999999999991</v>
      </c>
      <c r="AT23" s="40">
        <f t="shared" si="14"/>
        <v>22.2</v>
      </c>
      <c r="AU23" s="40">
        <f t="shared" si="15"/>
        <v>16.8</v>
      </c>
      <c r="AV23" s="40">
        <f t="shared" si="16"/>
        <v>70.599999999999994</v>
      </c>
      <c r="AW23" s="40">
        <f t="shared" si="17"/>
        <v>5.1999999999999993</v>
      </c>
      <c r="AX23" s="40">
        <f t="shared" si="18"/>
        <v>39.899999999999991</v>
      </c>
      <c r="AY23" s="40">
        <f t="shared" si="19"/>
        <v>110.49999999999999</v>
      </c>
      <c r="AZ23" s="18">
        <v>18.2</v>
      </c>
      <c r="BA23" s="18">
        <v>6</v>
      </c>
      <c r="BB23" s="18">
        <v>0.8</v>
      </c>
      <c r="BC23" s="18">
        <v>0</v>
      </c>
      <c r="BD23" s="18">
        <v>18.600000000000001</v>
      </c>
      <c r="BE23" s="18">
        <v>7.2</v>
      </c>
      <c r="BF23" s="18">
        <v>0.2</v>
      </c>
      <c r="BG23" s="18">
        <v>0</v>
      </c>
      <c r="BH23" s="18">
        <v>17.399999999999999</v>
      </c>
      <c r="BI23" s="18">
        <v>2.4</v>
      </c>
      <c r="BJ23" s="18">
        <v>0</v>
      </c>
      <c r="BK23" s="18">
        <v>0</v>
      </c>
      <c r="BL23" s="18">
        <v>17.2</v>
      </c>
      <c r="BM23" s="18">
        <v>4</v>
      </c>
      <c r="BN23" s="18">
        <v>0</v>
      </c>
      <c r="BO23" s="18">
        <v>0</v>
      </c>
      <c r="BP23" s="18">
        <v>18.399999999999999</v>
      </c>
      <c r="BQ23" s="18">
        <v>3.4</v>
      </c>
      <c r="BR23" s="18">
        <v>0.6</v>
      </c>
      <c r="BS23" s="18">
        <v>0</v>
      </c>
      <c r="BT23" s="28"/>
      <c r="BU23" s="11">
        <f t="shared" si="20"/>
        <v>13.2</v>
      </c>
      <c r="BV23" s="11">
        <f t="shared" si="21"/>
        <v>49</v>
      </c>
      <c r="BW23" s="11">
        <f t="shared" si="22"/>
        <v>19.799999999999997</v>
      </c>
      <c r="BX23" s="11">
        <f t="shared" si="23"/>
        <v>15.6</v>
      </c>
      <c r="BY23" s="11">
        <f t="shared" si="24"/>
        <v>68.8</v>
      </c>
      <c r="BZ23" s="11">
        <f t="shared" si="25"/>
        <v>7.4</v>
      </c>
      <c r="CA23" s="11">
        <f t="shared" si="26"/>
        <v>42.399999999999991</v>
      </c>
      <c r="CB23" s="11">
        <f t="shared" si="27"/>
        <v>111.19999999999999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 t="shared" si="28"/>
        <v/>
      </c>
      <c r="CY23" s="40" t="str">
        <f t="shared" si="29"/>
        <v/>
      </c>
      <c r="CZ23" s="40" t="str">
        <f t="shared" si="30"/>
        <v/>
      </c>
      <c r="DA23" s="40" t="str">
        <f t="shared" si="31"/>
        <v/>
      </c>
      <c r="DB23" s="40" t="str">
        <f t="shared" si="32"/>
        <v/>
      </c>
      <c r="DC23" s="40" t="str">
        <f t="shared" si="33"/>
        <v/>
      </c>
      <c r="DD23" s="40" t="str">
        <f t="shared" si="34"/>
        <v/>
      </c>
      <c r="DE23" s="40" t="str">
        <f t="shared" si="35"/>
        <v/>
      </c>
      <c r="DF23" s="50" t="str">
        <f t="shared" si="36"/>
        <v/>
      </c>
      <c r="DG23" s="50" t="str">
        <f t="shared" si="37"/>
        <v/>
      </c>
      <c r="DH23" s="50" t="str">
        <f t="shared" si="38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39"/>
        <v/>
      </c>
      <c r="ED23" s="40" t="str">
        <f t="shared" si="40"/>
        <v/>
      </c>
      <c r="EE23" s="40" t="str">
        <f t="shared" si="41"/>
        <v/>
      </c>
      <c r="EF23" s="40" t="str">
        <f t="shared" si="42"/>
        <v/>
      </c>
      <c r="EG23" s="40" t="str">
        <f t="shared" si="43"/>
        <v/>
      </c>
      <c r="EH23" s="40" t="str">
        <f t="shared" si="44"/>
        <v/>
      </c>
      <c r="EI23" s="40" t="str">
        <f t="shared" si="45"/>
        <v/>
      </c>
      <c r="EJ23" s="40" t="str">
        <f t="shared" si="46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7"/>
        <v/>
      </c>
      <c r="FF23" s="11" t="str">
        <f t="shared" si="48"/>
        <v/>
      </c>
      <c r="FG23" s="11" t="str">
        <f t="shared" si="49"/>
        <v/>
      </c>
      <c r="FH23" s="11" t="str">
        <f t="shared" si="50"/>
        <v/>
      </c>
      <c r="FI23" s="11" t="str">
        <f t="shared" si="51"/>
        <v/>
      </c>
      <c r="FJ23" s="11" t="str">
        <f t="shared" si="52"/>
        <v/>
      </c>
      <c r="FK23" s="11" t="str">
        <f t="shared" si="53"/>
        <v/>
      </c>
      <c r="FL23" s="11" t="str">
        <f t="shared" si="54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5"/>
        <v/>
      </c>
      <c r="GH23" s="40" t="str">
        <f t="shared" si="56"/>
        <v/>
      </c>
      <c r="GI23" s="40" t="str">
        <f t="shared" si="57"/>
        <v/>
      </c>
      <c r="GJ23" s="40" t="str">
        <f t="shared" si="58"/>
        <v/>
      </c>
      <c r="GK23" s="40" t="str">
        <f t="shared" si="59"/>
        <v/>
      </c>
      <c r="GL23" s="40" t="str">
        <f t="shared" si="60"/>
        <v/>
      </c>
      <c r="GM23" s="40" t="str">
        <f t="shared" si="61"/>
        <v/>
      </c>
      <c r="GN23" s="40" t="str">
        <f t="shared" si="62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3"/>
        <v/>
      </c>
      <c r="HJ23" s="11" t="str">
        <f t="shared" si="64"/>
        <v/>
      </c>
      <c r="HK23" s="11" t="str">
        <f t="shared" si="65"/>
        <v/>
      </c>
      <c r="HL23" s="11" t="str">
        <f t="shared" si="66"/>
        <v/>
      </c>
      <c r="HM23" s="11" t="str">
        <f t="shared" si="67"/>
        <v/>
      </c>
      <c r="HN23" s="11" t="str">
        <f t="shared" si="68"/>
        <v/>
      </c>
      <c r="HO23" s="11" t="str">
        <f t="shared" si="69"/>
        <v/>
      </c>
      <c r="HP23" s="11" t="str">
        <f t="shared" si="70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1"/>
        <v/>
      </c>
      <c r="IL23" s="40" t="str">
        <f t="shared" si="72"/>
        <v/>
      </c>
      <c r="IM23" s="40" t="str">
        <f t="shared" si="73"/>
        <v/>
      </c>
      <c r="IN23" s="40" t="str">
        <f t="shared" si="74"/>
        <v/>
      </c>
      <c r="IO23" s="40" t="str">
        <f t="shared" si="75"/>
        <v/>
      </c>
      <c r="IP23" s="40" t="str">
        <f t="shared" si="76"/>
        <v/>
      </c>
      <c r="IQ23" s="40" t="str">
        <f t="shared" si="77"/>
        <v/>
      </c>
      <c r="IR23" s="40" t="str">
        <f t="shared" si="78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79"/>
        <v/>
      </c>
      <c r="JN23" s="11" t="str">
        <f t="shared" si="80"/>
        <v/>
      </c>
      <c r="JO23" s="11" t="str">
        <f t="shared" si="81"/>
        <v/>
      </c>
      <c r="JP23" s="11" t="str">
        <f t="shared" si="82"/>
        <v/>
      </c>
      <c r="JQ23" s="11" t="str">
        <f t="shared" si="83"/>
        <v/>
      </c>
      <c r="JR23" s="11" t="str">
        <f t="shared" si="84"/>
        <v/>
      </c>
      <c r="JS23" s="11" t="str">
        <f t="shared" si="85"/>
        <v/>
      </c>
      <c r="JT23" s="11" t="str">
        <f t="shared" si="86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7"/>
        <v/>
      </c>
      <c r="KP23" s="40" t="str">
        <f t="shared" si="88"/>
        <v/>
      </c>
      <c r="KQ23" s="40" t="str">
        <f t="shared" si="89"/>
        <v/>
      </c>
      <c r="KR23" s="40" t="str">
        <f t="shared" si="90"/>
        <v/>
      </c>
      <c r="KS23" s="40" t="str">
        <f t="shared" si="91"/>
        <v/>
      </c>
      <c r="KT23" s="40" t="str">
        <f t="shared" si="92"/>
        <v/>
      </c>
      <c r="KU23" s="40" t="str">
        <f t="shared" si="93"/>
        <v/>
      </c>
      <c r="KV23" s="40" t="str">
        <f t="shared" si="94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5"/>
        <v/>
      </c>
      <c r="LR23" s="11" t="str">
        <f t="shared" si="96"/>
        <v/>
      </c>
      <c r="LS23" s="11" t="str">
        <f t="shared" si="97"/>
        <v/>
      </c>
      <c r="LT23" s="11" t="str">
        <f t="shared" si="98"/>
        <v/>
      </c>
      <c r="LU23" s="11" t="str">
        <f t="shared" si="99"/>
        <v/>
      </c>
      <c r="LV23" s="11" t="str">
        <f t="shared" si="100"/>
        <v/>
      </c>
      <c r="LW23" s="11" t="str">
        <f t="shared" si="101"/>
        <v/>
      </c>
      <c r="LX23" s="11" t="str">
        <f t="shared" si="102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3"/>
        <v/>
      </c>
      <c r="MT23" s="40" t="str">
        <f t="shared" si="104"/>
        <v/>
      </c>
      <c r="MU23" s="40" t="str">
        <f t="shared" si="105"/>
        <v/>
      </c>
      <c r="MV23" s="40" t="str">
        <f t="shared" si="106"/>
        <v/>
      </c>
      <c r="MW23" s="40" t="str">
        <f t="shared" si="107"/>
        <v/>
      </c>
      <c r="MX23" s="40" t="str">
        <f t="shared" si="108"/>
        <v/>
      </c>
      <c r="MY23" s="40" t="str">
        <f t="shared" si="109"/>
        <v/>
      </c>
      <c r="MZ23" s="40" t="str">
        <f t="shared" si="110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1"/>
        <v/>
      </c>
      <c r="NV23" s="11" t="str">
        <f t="shared" si="112"/>
        <v/>
      </c>
      <c r="NW23" s="11" t="str">
        <f t="shared" si="113"/>
        <v/>
      </c>
      <c r="NX23" s="11" t="str">
        <f t="shared" si="114"/>
        <v/>
      </c>
      <c r="NY23" s="11" t="str">
        <f t="shared" si="115"/>
        <v/>
      </c>
      <c r="NZ23" s="11" t="str">
        <f t="shared" si="116"/>
        <v/>
      </c>
      <c r="OA23" s="11" t="str">
        <f t="shared" si="117"/>
        <v/>
      </c>
      <c r="OB23" s="11" t="str">
        <f t="shared" si="118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19"/>
        <v/>
      </c>
      <c r="OX23" s="40" t="str">
        <f t="shared" si="120"/>
        <v/>
      </c>
      <c r="OY23" s="40" t="str">
        <f t="shared" si="121"/>
        <v/>
      </c>
      <c r="OZ23" s="40" t="str">
        <f t="shared" si="122"/>
        <v/>
      </c>
      <c r="PA23" s="40" t="str">
        <f t="shared" si="123"/>
        <v/>
      </c>
      <c r="PB23" s="40" t="str">
        <f t="shared" si="124"/>
        <v/>
      </c>
      <c r="PC23" s="40" t="str">
        <f t="shared" si="125"/>
        <v/>
      </c>
      <c r="PD23" s="40" t="str">
        <f t="shared" si="126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7"/>
        <v/>
      </c>
      <c r="PZ23" s="11" t="str">
        <f t="shared" si="128"/>
        <v/>
      </c>
      <c r="QA23" s="11" t="str">
        <f t="shared" si="129"/>
        <v/>
      </c>
      <c r="QB23" s="11" t="str">
        <f t="shared" si="130"/>
        <v/>
      </c>
      <c r="QC23" s="11" t="str">
        <f t="shared" si="131"/>
        <v/>
      </c>
      <c r="QD23" s="11" t="str">
        <f t="shared" si="132"/>
        <v/>
      </c>
      <c r="QE23" s="11" t="str">
        <f t="shared" si="133"/>
        <v/>
      </c>
      <c r="QF23" s="11" t="str">
        <f t="shared" si="134"/>
        <v/>
      </c>
      <c r="QG23" s="22">
        <f t="shared" si="135"/>
        <v>9.1</v>
      </c>
      <c r="QH23" s="22">
        <f t="shared" si="136"/>
        <v>3</v>
      </c>
      <c r="QI23" s="22">
        <f t="shared" si="137"/>
        <v>0.4</v>
      </c>
      <c r="QJ23" s="22">
        <f t="shared" si="138"/>
        <v>0</v>
      </c>
      <c r="QK23" s="22">
        <f t="shared" si="139"/>
        <v>9.3000000000000007</v>
      </c>
      <c r="QL23" s="22">
        <f t="shared" si="140"/>
        <v>3.6</v>
      </c>
      <c r="QM23" s="22">
        <f t="shared" si="141"/>
        <v>0.1</v>
      </c>
      <c r="QN23" s="22">
        <f t="shared" si="142"/>
        <v>0</v>
      </c>
      <c r="QO23" s="22">
        <f t="shared" si="143"/>
        <v>8.6999999999999993</v>
      </c>
      <c r="QP23" s="22">
        <f t="shared" si="144"/>
        <v>1.2</v>
      </c>
      <c r="QQ23" s="22">
        <f t="shared" si="145"/>
        <v>0</v>
      </c>
      <c r="QR23" s="22">
        <f t="shared" si="146"/>
        <v>0</v>
      </c>
      <c r="QS23" s="22">
        <f t="shared" si="147"/>
        <v>8.6</v>
      </c>
      <c r="QT23" s="22">
        <f t="shared" si="148"/>
        <v>2</v>
      </c>
      <c r="QU23" s="22">
        <f t="shared" si="149"/>
        <v>0</v>
      </c>
      <c r="QV23" s="22">
        <f t="shared" si="150"/>
        <v>0</v>
      </c>
      <c r="QW23" s="22">
        <f t="shared" si="151"/>
        <v>9.1999999999999993</v>
      </c>
      <c r="QX23" s="22">
        <f t="shared" si="152"/>
        <v>1.7</v>
      </c>
      <c r="QY23" s="22">
        <f t="shared" si="153"/>
        <v>0.3</v>
      </c>
      <c r="QZ23" s="22">
        <f t="shared" si="154"/>
        <v>0</v>
      </c>
      <c r="RA23" s="27" t="s">
        <v>46</v>
      </c>
      <c r="RB23" s="40">
        <f t="shared" si="155"/>
        <v>6.6</v>
      </c>
      <c r="RC23" s="40">
        <f t="shared" si="156"/>
        <v>24.5</v>
      </c>
      <c r="RD23" s="40">
        <f t="shared" si="157"/>
        <v>9.8999999999999986</v>
      </c>
      <c r="RE23" s="40">
        <f t="shared" si="158"/>
        <v>7.8</v>
      </c>
      <c r="RF23" s="40">
        <f t="shared" si="159"/>
        <v>34.4</v>
      </c>
      <c r="RG23" s="40">
        <f t="shared" si="160"/>
        <v>3.7</v>
      </c>
      <c r="RH23" s="40">
        <f t="shared" si="161"/>
        <v>21.199999999999996</v>
      </c>
      <c r="RI23" s="40">
        <f t="shared" si="162"/>
        <v>55.599999999999994</v>
      </c>
    </row>
    <row r="24" spans="1:477" x14ac:dyDescent="0.2">
      <c r="A24" s="4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>21</v>
      </c>
      <c r="B24" s="4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>15</v>
      </c>
      <c r="C24" s="5" t="s">
        <v>209</v>
      </c>
      <c r="D24" s="4" t="s">
        <v>5</v>
      </c>
      <c r="E24" s="4">
        <v>2007</v>
      </c>
      <c r="F24" s="9">
        <f t="shared" si="163"/>
        <v>159.5000114300048</v>
      </c>
      <c r="G24" s="66"/>
      <c r="H24" s="3" t="str">
        <f t="shared" si="0"/>
        <v>P</v>
      </c>
      <c r="I24" s="3" t="str">
        <f t="shared" si="1"/>
        <v>P</v>
      </c>
      <c r="J24" s="36" t="str">
        <f t="shared" si="2"/>
        <v>National Team</v>
      </c>
      <c r="K24" s="3" t="str">
        <f t="shared" si="3"/>
        <v/>
      </c>
      <c r="L24" s="8">
        <f>IF(COUNT(AS24,BV24,CY24)&gt;0,LARGE((AS24,BV24,CY24),1),0)</f>
        <v>48</v>
      </c>
      <c r="M24" s="8" t="str">
        <f t="shared" si="4"/>
        <v>2023 3rd Domestic Trial</v>
      </c>
      <c r="N24" s="8">
        <f>IF(COUNT(AS24,BV24,CY24)&gt;1,LARGE((AS24,BV24,CY24),2),0)</f>
        <v>43.6</v>
      </c>
      <c r="O24" s="8" t="str">
        <f t="shared" si="5"/>
        <v>2023 Nationals</v>
      </c>
      <c r="P24" s="8">
        <f>IF(COUNT(AT24,BW24,CZ24)&gt;0,LARGE((AT24,BW24,CZ24),1),0)</f>
        <v>22.700000000000003</v>
      </c>
      <c r="Q24" s="8" t="str">
        <f t="shared" si="6"/>
        <v>2023 Nationals</v>
      </c>
      <c r="R24" s="8">
        <f t="shared" si="7"/>
        <v>45.2</v>
      </c>
      <c r="S24" s="8" t="str">
        <f t="shared" si="8"/>
        <v>2023 Nationals</v>
      </c>
      <c r="T24" s="8" t="str">
        <f t="shared" si="9"/>
        <v/>
      </c>
      <c r="U24" s="11" t="str">
        <f t="shared" si="10"/>
        <v/>
      </c>
      <c r="V24" s="8" t="str">
        <f t="shared" si="11"/>
        <v/>
      </c>
      <c r="W24" s="19">
        <v>17.600000000000001</v>
      </c>
      <c r="X24" s="19">
        <v>2.4</v>
      </c>
      <c r="Y24" s="19">
        <v>0</v>
      </c>
      <c r="Z24" s="19">
        <v>0</v>
      </c>
      <c r="AA24" s="19">
        <v>18</v>
      </c>
      <c r="AB24" s="19">
        <v>6.4</v>
      </c>
      <c r="AC24" s="19">
        <v>0.8</v>
      </c>
      <c r="AD24" s="19">
        <v>0</v>
      </c>
      <c r="AE24" s="19">
        <v>18.600000000000001</v>
      </c>
      <c r="AF24" s="19">
        <v>4.3</v>
      </c>
      <c r="AG24" s="19">
        <v>0.2</v>
      </c>
      <c r="AH24" s="19">
        <v>0</v>
      </c>
      <c r="AI24" s="19">
        <v>18</v>
      </c>
      <c r="AJ24" s="19">
        <v>5.6</v>
      </c>
      <c r="AK24" s="19">
        <v>0.2</v>
      </c>
      <c r="AL24" s="19">
        <v>0</v>
      </c>
      <c r="AM24" s="19">
        <v>16.600000000000001</v>
      </c>
      <c r="AN24" s="19">
        <v>6</v>
      </c>
      <c r="AO24" s="19">
        <v>0.8</v>
      </c>
      <c r="AP24" s="19">
        <v>0</v>
      </c>
      <c r="AQ24" s="27"/>
      <c r="AR24" s="40">
        <f t="shared" si="12"/>
        <v>8.8000000000000007</v>
      </c>
      <c r="AS24" s="40">
        <f t="shared" si="13"/>
        <v>43.6</v>
      </c>
      <c r="AT24" s="40">
        <f t="shared" si="14"/>
        <v>22.700000000000003</v>
      </c>
      <c r="AU24" s="40">
        <f t="shared" si="15"/>
        <v>13.100000000000001</v>
      </c>
      <c r="AV24" s="40">
        <f t="shared" si="16"/>
        <v>66.300000000000011</v>
      </c>
      <c r="AW24" s="40">
        <f t="shared" si="17"/>
        <v>11.6</v>
      </c>
      <c r="AX24" s="40">
        <f t="shared" si="18"/>
        <v>45.2</v>
      </c>
      <c r="AY24" s="40">
        <f t="shared" si="19"/>
        <v>111.50000000000001</v>
      </c>
      <c r="AZ24" s="18">
        <v>18.8</v>
      </c>
      <c r="BA24" s="18">
        <v>5.1999999999999993</v>
      </c>
      <c r="BB24" s="18">
        <v>0</v>
      </c>
      <c r="BC24" s="18">
        <v>0</v>
      </c>
      <c r="BD24" s="18">
        <v>18</v>
      </c>
      <c r="BE24" s="18">
        <v>6</v>
      </c>
      <c r="BF24" s="18">
        <v>0</v>
      </c>
      <c r="BG24" s="18">
        <v>0</v>
      </c>
      <c r="BH24" s="18">
        <v>18.600000000000001</v>
      </c>
      <c r="BI24" s="18">
        <v>1.2999999999999998</v>
      </c>
      <c r="BJ24" s="18">
        <v>3.6</v>
      </c>
      <c r="BK24" s="18">
        <v>0</v>
      </c>
      <c r="BL24" s="18">
        <v>18.8</v>
      </c>
      <c r="BM24" s="18">
        <v>5.1999999999999993</v>
      </c>
      <c r="BN24" s="18">
        <v>0.8</v>
      </c>
      <c r="BO24" s="18">
        <v>0</v>
      </c>
      <c r="BP24" s="18">
        <v>17.100000000000001</v>
      </c>
      <c r="BQ24" s="18">
        <v>3.2</v>
      </c>
      <c r="BR24" s="18">
        <v>0</v>
      </c>
      <c r="BS24" s="18">
        <v>0</v>
      </c>
      <c r="BT24" s="28"/>
      <c r="BU24" s="11">
        <f t="shared" si="20"/>
        <v>11.2</v>
      </c>
      <c r="BV24" s="11">
        <f t="shared" si="21"/>
        <v>48</v>
      </c>
      <c r="BW24" s="11">
        <f t="shared" si="22"/>
        <v>16.3</v>
      </c>
      <c r="BX24" s="11">
        <f t="shared" si="23"/>
        <v>12.5</v>
      </c>
      <c r="BY24" s="11">
        <f t="shared" si="24"/>
        <v>64.3</v>
      </c>
      <c r="BZ24" s="11">
        <f t="shared" si="25"/>
        <v>8.3999999999999986</v>
      </c>
      <c r="CA24" s="11">
        <f t="shared" si="26"/>
        <v>43.500000000000007</v>
      </c>
      <c r="CB24" s="11">
        <f t="shared" si="27"/>
        <v>107.80000000000001</v>
      </c>
      <c r="CC24" s="19">
        <v>16.399999999999999</v>
      </c>
      <c r="CD24" s="19">
        <v>6.8</v>
      </c>
      <c r="CE24" s="19">
        <v>0.8</v>
      </c>
      <c r="CF24" s="19">
        <v>0</v>
      </c>
      <c r="CG24" s="19">
        <v>18</v>
      </c>
      <c r="CH24" s="19">
        <v>3.4</v>
      </c>
      <c r="CI24" s="19">
        <v>1.8</v>
      </c>
      <c r="CJ24" s="19">
        <v>0</v>
      </c>
      <c r="CK24" s="19">
        <v>18</v>
      </c>
      <c r="CL24" s="19">
        <v>4.4000000000000004</v>
      </c>
      <c r="CM24" s="19">
        <v>1.8</v>
      </c>
      <c r="CN24" s="19">
        <v>0</v>
      </c>
      <c r="CO24" s="19"/>
      <c r="CP24" s="19"/>
      <c r="CQ24" s="19"/>
      <c r="CR24" s="19"/>
      <c r="CS24" s="19"/>
      <c r="CT24" s="19"/>
      <c r="CU24" s="19"/>
      <c r="CV24" s="19"/>
      <c r="CW24" s="27"/>
      <c r="CX24" s="40">
        <f t="shared" si="28"/>
        <v>10.199999999999999</v>
      </c>
      <c r="CY24" s="40">
        <f t="shared" si="29"/>
        <v>42.000000000000007</v>
      </c>
      <c r="CZ24" s="40">
        <f t="shared" si="30"/>
        <v>20.599999999999998</v>
      </c>
      <c r="DA24" s="40">
        <f t="shared" si="31"/>
        <v>14.6</v>
      </c>
      <c r="DB24" s="40">
        <f t="shared" si="32"/>
        <v>62.600000000000009</v>
      </c>
      <c r="DC24" s="40" t="str">
        <f t="shared" si="33"/>
        <v/>
      </c>
      <c r="DD24" s="40" t="str">
        <f t="shared" si="34"/>
        <v/>
      </c>
      <c r="DE24" s="40">
        <f t="shared" si="35"/>
        <v>62.600000000000009</v>
      </c>
      <c r="DF24" s="50" t="str">
        <f t="shared" si="36"/>
        <v/>
      </c>
      <c r="DG24" s="50" t="str">
        <f t="shared" si="37"/>
        <v/>
      </c>
      <c r="DH24" s="50" t="str">
        <f t="shared" si="38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39"/>
        <v/>
      </c>
      <c r="ED24" s="40" t="str">
        <f t="shared" si="40"/>
        <v/>
      </c>
      <c r="EE24" s="40" t="str">
        <f t="shared" si="41"/>
        <v/>
      </c>
      <c r="EF24" s="40" t="str">
        <f t="shared" si="42"/>
        <v/>
      </c>
      <c r="EG24" s="40" t="str">
        <f t="shared" si="43"/>
        <v/>
      </c>
      <c r="EH24" s="40" t="str">
        <f t="shared" si="44"/>
        <v/>
      </c>
      <c r="EI24" s="40" t="str">
        <f t="shared" si="45"/>
        <v/>
      </c>
      <c r="EJ24" s="40" t="str">
        <f t="shared" si="46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7"/>
        <v/>
      </c>
      <c r="FF24" s="11" t="str">
        <f t="shared" si="48"/>
        <v/>
      </c>
      <c r="FG24" s="11" t="str">
        <f t="shared" si="49"/>
        <v/>
      </c>
      <c r="FH24" s="11" t="str">
        <f t="shared" si="50"/>
        <v/>
      </c>
      <c r="FI24" s="11" t="str">
        <f t="shared" si="51"/>
        <v/>
      </c>
      <c r="FJ24" s="11" t="str">
        <f t="shared" si="52"/>
        <v/>
      </c>
      <c r="FK24" s="11" t="str">
        <f t="shared" si="53"/>
        <v/>
      </c>
      <c r="FL24" s="11" t="str">
        <f t="shared" si="54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5"/>
        <v/>
      </c>
      <c r="GH24" s="40" t="str">
        <f t="shared" si="56"/>
        <v/>
      </c>
      <c r="GI24" s="40" t="str">
        <f t="shared" si="57"/>
        <v/>
      </c>
      <c r="GJ24" s="40" t="str">
        <f t="shared" si="58"/>
        <v/>
      </c>
      <c r="GK24" s="40" t="str">
        <f t="shared" si="59"/>
        <v/>
      </c>
      <c r="GL24" s="40" t="str">
        <f t="shared" si="60"/>
        <v/>
      </c>
      <c r="GM24" s="40" t="str">
        <f t="shared" si="61"/>
        <v/>
      </c>
      <c r="GN24" s="40" t="str">
        <f t="shared" si="62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3"/>
        <v/>
      </c>
      <c r="HJ24" s="11" t="str">
        <f t="shared" si="64"/>
        <v/>
      </c>
      <c r="HK24" s="11" t="str">
        <f t="shared" si="65"/>
        <v/>
      </c>
      <c r="HL24" s="11" t="str">
        <f t="shared" si="66"/>
        <v/>
      </c>
      <c r="HM24" s="11" t="str">
        <f t="shared" si="67"/>
        <v/>
      </c>
      <c r="HN24" s="11" t="str">
        <f t="shared" si="68"/>
        <v/>
      </c>
      <c r="HO24" s="11" t="str">
        <f t="shared" si="69"/>
        <v/>
      </c>
      <c r="HP24" s="11" t="str">
        <f t="shared" si="70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1"/>
        <v/>
      </c>
      <c r="IL24" s="40" t="str">
        <f t="shared" si="72"/>
        <v/>
      </c>
      <c r="IM24" s="40" t="str">
        <f t="shared" si="73"/>
        <v/>
      </c>
      <c r="IN24" s="40" t="str">
        <f t="shared" si="74"/>
        <v/>
      </c>
      <c r="IO24" s="40" t="str">
        <f t="shared" si="75"/>
        <v/>
      </c>
      <c r="IP24" s="40" t="str">
        <f t="shared" si="76"/>
        <v/>
      </c>
      <c r="IQ24" s="40" t="str">
        <f t="shared" si="77"/>
        <v/>
      </c>
      <c r="IR24" s="40" t="str">
        <f t="shared" si="78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79"/>
        <v/>
      </c>
      <c r="JN24" s="11" t="str">
        <f t="shared" si="80"/>
        <v/>
      </c>
      <c r="JO24" s="11" t="str">
        <f t="shared" si="81"/>
        <v/>
      </c>
      <c r="JP24" s="11" t="str">
        <f t="shared" si="82"/>
        <v/>
      </c>
      <c r="JQ24" s="11" t="str">
        <f t="shared" si="83"/>
        <v/>
      </c>
      <c r="JR24" s="11" t="str">
        <f t="shared" si="84"/>
        <v/>
      </c>
      <c r="JS24" s="11" t="str">
        <f t="shared" si="85"/>
        <v/>
      </c>
      <c r="JT24" s="11" t="str">
        <f t="shared" si="86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7"/>
        <v/>
      </c>
      <c r="KP24" s="40" t="str">
        <f t="shared" si="88"/>
        <v/>
      </c>
      <c r="KQ24" s="40" t="str">
        <f t="shared" si="89"/>
        <v/>
      </c>
      <c r="KR24" s="40" t="str">
        <f t="shared" si="90"/>
        <v/>
      </c>
      <c r="KS24" s="40" t="str">
        <f t="shared" si="91"/>
        <v/>
      </c>
      <c r="KT24" s="40" t="str">
        <f t="shared" si="92"/>
        <v/>
      </c>
      <c r="KU24" s="40" t="str">
        <f t="shared" si="93"/>
        <v/>
      </c>
      <c r="KV24" s="40" t="str">
        <f t="shared" si="94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5"/>
        <v/>
      </c>
      <c r="LR24" s="11" t="str">
        <f t="shared" si="96"/>
        <v/>
      </c>
      <c r="LS24" s="11" t="str">
        <f t="shared" si="97"/>
        <v/>
      </c>
      <c r="LT24" s="11" t="str">
        <f t="shared" si="98"/>
        <v/>
      </c>
      <c r="LU24" s="11" t="str">
        <f t="shared" si="99"/>
        <v/>
      </c>
      <c r="LV24" s="11" t="str">
        <f t="shared" si="100"/>
        <v/>
      </c>
      <c r="LW24" s="11" t="str">
        <f t="shared" si="101"/>
        <v/>
      </c>
      <c r="LX24" s="11" t="str">
        <f t="shared" si="102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3"/>
        <v/>
      </c>
      <c r="MT24" s="40" t="str">
        <f t="shared" si="104"/>
        <v/>
      </c>
      <c r="MU24" s="40" t="str">
        <f t="shared" si="105"/>
        <v/>
      </c>
      <c r="MV24" s="40" t="str">
        <f t="shared" si="106"/>
        <v/>
      </c>
      <c r="MW24" s="40" t="str">
        <f t="shared" si="107"/>
        <v/>
      </c>
      <c r="MX24" s="40" t="str">
        <f t="shared" si="108"/>
        <v/>
      </c>
      <c r="MY24" s="40" t="str">
        <f t="shared" si="109"/>
        <v/>
      </c>
      <c r="MZ24" s="40" t="str">
        <f t="shared" si="110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1"/>
        <v/>
      </c>
      <c r="NV24" s="11" t="str">
        <f t="shared" si="112"/>
        <v/>
      </c>
      <c r="NW24" s="11" t="str">
        <f t="shared" si="113"/>
        <v/>
      </c>
      <c r="NX24" s="11" t="str">
        <f t="shared" si="114"/>
        <v/>
      </c>
      <c r="NY24" s="11" t="str">
        <f t="shared" si="115"/>
        <v/>
      </c>
      <c r="NZ24" s="11" t="str">
        <f t="shared" si="116"/>
        <v/>
      </c>
      <c r="OA24" s="11" t="str">
        <f t="shared" si="117"/>
        <v/>
      </c>
      <c r="OB24" s="11" t="str">
        <f t="shared" si="118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19"/>
        <v/>
      </c>
      <c r="OX24" s="40" t="str">
        <f t="shared" si="120"/>
        <v/>
      </c>
      <c r="OY24" s="40" t="str">
        <f t="shared" si="121"/>
        <v/>
      </c>
      <c r="OZ24" s="40" t="str">
        <f t="shared" si="122"/>
        <v/>
      </c>
      <c r="PA24" s="40" t="str">
        <f t="shared" si="123"/>
        <v/>
      </c>
      <c r="PB24" s="40" t="str">
        <f t="shared" si="124"/>
        <v/>
      </c>
      <c r="PC24" s="40" t="str">
        <f t="shared" si="125"/>
        <v/>
      </c>
      <c r="PD24" s="40" t="str">
        <f t="shared" si="126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7"/>
        <v/>
      </c>
      <c r="PZ24" s="11" t="str">
        <f t="shared" si="128"/>
        <v/>
      </c>
      <c r="QA24" s="11" t="str">
        <f t="shared" si="129"/>
        <v/>
      </c>
      <c r="QB24" s="11" t="str">
        <f t="shared" si="130"/>
        <v/>
      </c>
      <c r="QC24" s="11" t="str">
        <f t="shared" si="131"/>
        <v/>
      </c>
      <c r="QD24" s="11" t="str">
        <f t="shared" si="132"/>
        <v/>
      </c>
      <c r="QE24" s="11" t="str">
        <f t="shared" si="133"/>
        <v/>
      </c>
      <c r="QF24" s="11" t="str">
        <f t="shared" si="134"/>
        <v/>
      </c>
      <c r="QG24" s="22">
        <f t="shared" si="135"/>
        <v>17.600000000000001</v>
      </c>
      <c r="QH24" s="22">
        <f t="shared" si="136"/>
        <v>6</v>
      </c>
      <c r="QI24" s="22">
        <f t="shared" si="137"/>
        <v>0.4</v>
      </c>
      <c r="QJ24" s="22">
        <f t="shared" si="138"/>
        <v>0</v>
      </c>
      <c r="QK24" s="22">
        <f t="shared" si="139"/>
        <v>18</v>
      </c>
      <c r="QL24" s="22">
        <f t="shared" si="140"/>
        <v>4.7</v>
      </c>
      <c r="QM24" s="22">
        <f t="shared" si="141"/>
        <v>0.9</v>
      </c>
      <c r="QN24" s="22">
        <f t="shared" si="142"/>
        <v>0</v>
      </c>
      <c r="QO24" s="22">
        <f t="shared" si="143"/>
        <v>18.3</v>
      </c>
      <c r="QP24" s="22">
        <f t="shared" si="144"/>
        <v>2.85</v>
      </c>
      <c r="QQ24" s="22">
        <f t="shared" si="145"/>
        <v>2.7</v>
      </c>
      <c r="QR24" s="22">
        <f t="shared" si="146"/>
        <v>0</v>
      </c>
      <c r="QS24" s="22">
        <f t="shared" si="147"/>
        <v>9.4</v>
      </c>
      <c r="QT24" s="22">
        <f t="shared" si="148"/>
        <v>2.5999999999999996</v>
      </c>
      <c r="QU24" s="22">
        <f t="shared" si="149"/>
        <v>0.4</v>
      </c>
      <c r="QV24" s="22">
        <f t="shared" si="150"/>
        <v>0</v>
      </c>
      <c r="QW24" s="22">
        <f t="shared" si="151"/>
        <v>8.5500000000000007</v>
      </c>
      <c r="QX24" s="22">
        <f t="shared" si="152"/>
        <v>1.6</v>
      </c>
      <c r="QY24" s="22">
        <f t="shared" si="153"/>
        <v>0</v>
      </c>
      <c r="QZ24" s="22">
        <f t="shared" si="154"/>
        <v>0</v>
      </c>
      <c r="RA24" s="27" t="s">
        <v>46</v>
      </c>
      <c r="RB24" s="40">
        <f t="shared" si="155"/>
        <v>10.7</v>
      </c>
      <c r="RC24" s="40">
        <f t="shared" si="156"/>
        <v>45.000000000000007</v>
      </c>
      <c r="RD24" s="40">
        <f t="shared" si="157"/>
        <v>18.450000000000003</v>
      </c>
      <c r="RE24" s="40">
        <f t="shared" si="158"/>
        <v>13.549999999999999</v>
      </c>
      <c r="RF24" s="40">
        <f t="shared" si="159"/>
        <v>63.45000000000001</v>
      </c>
      <c r="RG24" s="40">
        <f t="shared" si="160"/>
        <v>4.1999999999999993</v>
      </c>
      <c r="RH24" s="40">
        <f t="shared" si="161"/>
        <v>21.750000000000004</v>
      </c>
      <c r="RI24" s="40">
        <f t="shared" si="162"/>
        <v>85.200000000000017</v>
      </c>
    </row>
    <row r="25" spans="1:477" x14ac:dyDescent="0.2">
      <c r="A25" s="4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>22</v>
      </c>
      <c r="B25" s="4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>16</v>
      </c>
      <c r="C25" s="5" t="s">
        <v>126</v>
      </c>
      <c r="D25" s="4" t="s">
        <v>4</v>
      </c>
      <c r="E25" s="4">
        <v>2004</v>
      </c>
      <c r="F25" s="9">
        <f t="shared" si="163"/>
        <v>135.80000878000439</v>
      </c>
      <c r="G25" s="66"/>
      <c r="H25" s="3" t="str">
        <f t="shared" si="0"/>
        <v>P</v>
      </c>
      <c r="I25" s="3" t="str">
        <f t="shared" si="1"/>
        <v>P</v>
      </c>
      <c r="J25" s="36" t="str">
        <f t="shared" si="2"/>
        <v>National Team</v>
      </c>
      <c r="K25" s="3" t="str">
        <f t="shared" si="3"/>
        <v/>
      </c>
      <c r="L25" s="8">
        <f>IF(COUNT(AS25,BV25,CY25)&gt;0,LARGE((AS25,BV25,CY25),1),0)</f>
        <v>43.999999999999993</v>
      </c>
      <c r="M25" s="8" t="str">
        <f t="shared" si="4"/>
        <v>2023 3rd Domestic Trial</v>
      </c>
      <c r="N25" s="8">
        <f>IF(COUNT(AS25,BV25,CY25)&gt;1,LARGE((AS25,BV25,CY25),2),0)</f>
        <v>19.799999999999997</v>
      </c>
      <c r="O25" s="8" t="str">
        <f t="shared" si="5"/>
        <v>2023 Nationals</v>
      </c>
      <c r="P25" s="8">
        <f>IF(COUNT(AT25,BW25,CZ25)&gt;0,LARGE((AT25,BW25,CZ25),1),0)</f>
        <v>23.999999999999996</v>
      </c>
      <c r="Q25" s="8" t="str">
        <f t="shared" si="6"/>
        <v>2023 Nationals</v>
      </c>
      <c r="R25" s="8">
        <f t="shared" si="7"/>
        <v>48</v>
      </c>
      <c r="S25" s="8" t="str">
        <f t="shared" si="8"/>
        <v>2023 3rd Domestic Trial</v>
      </c>
      <c r="T25" s="8" t="str">
        <f t="shared" si="9"/>
        <v/>
      </c>
      <c r="U25" s="11" t="str">
        <f t="shared" si="10"/>
        <v/>
      </c>
      <c r="V25" s="8" t="str">
        <f t="shared" si="11"/>
        <v/>
      </c>
      <c r="W25" s="19">
        <v>17.399999999999999</v>
      </c>
      <c r="X25" s="19">
        <v>2.4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18.399999999999999</v>
      </c>
      <c r="AF25" s="19">
        <v>6.4</v>
      </c>
      <c r="AG25" s="19">
        <v>0.8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 t="shared" si="12"/>
        <v>2.4</v>
      </c>
      <c r="AS25" s="40">
        <f t="shared" si="13"/>
        <v>19.799999999999997</v>
      </c>
      <c r="AT25" s="40">
        <f t="shared" si="14"/>
        <v>23.999999999999996</v>
      </c>
      <c r="AU25" s="40">
        <f t="shared" si="15"/>
        <v>8.8000000000000007</v>
      </c>
      <c r="AV25" s="40">
        <f t="shared" si="16"/>
        <v>43.8</v>
      </c>
      <c r="AW25" s="40" t="str">
        <f t="shared" si="17"/>
        <v/>
      </c>
      <c r="AX25" s="40" t="str">
        <f t="shared" si="18"/>
        <v/>
      </c>
      <c r="AY25" s="40">
        <f t="shared" si="19"/>
        <v>43.8</v>
      </c>
      <c r="AZ25" s="18">
        <v>18.399999999999999</v>
      </c>
      <c r="BA25" s="18">
        <v>6</v>
      </c>
      <c r="BB25" s="18">
        <v>0.6</v>
      </c>
      <c r="BC25" s="18">
        <v>0</v>
      </c>
      <c r="BD25" s="18">
        <v>17.399999999999999</v>
      </c>
      <c r="BE25" s="18">
        <v>2.8</v>
      </c>
      <c r="BF25" s="18">
        <v>0</v>
      </c>
      <c r="BG25" s="18">
        <v>0</v>
      </c>
      <c r="BH25" s="18">
        <v>19.2</v>
      </c>
      <c r="BI25" s="18">
        <v>3.5</v>
      </c>
      <c r="BJ25" s="18">
        <v>0</v>
      </c>
      <c r="BK25" s="18">
        <v>0</v>
      </c>
      <c r="BL25" s="18">
        <v>18.600000000000001</v>
      </c>
      <c r="BM25" s="18">
        <v>6</v>
      </c>
      <c r="BN25" s="18">
        <v>0.2</v>
      </c>
      <c r="BO25" s="18">
        <v>0</v>
      </c>
      <c r="BP25" s="18">
        <v>18.399999999999999</v>
      </c>
      <c r="BQ25" s="18">
        <v>6</v>
      </c>
      <c r="BR25" s="18">
        <v>0.8</v>
      </c>
      <c r="BS25" s="18">
        <v>0</v>
      </c>
      <c r="BT25" s="28"/>
      <c r="BU25" s="11">
        <f t="shared" si="20"/>
        <v>8.8000000000000007</v>
      </c>
      <c r="BV25" s="11">
        <f t="shared" si="21"/>
        <v>43.999999999999993</v>
      </c>
      <c r="BW25" s="11">
        <f t="shared" si="22"/>
        <v>22.7</v>
      </c>
      <c r="BX25" s="11">
        <f t="shared" si="23"/>
        <v>12.3</v>
      </c>
      <c r="BY25" s="11">
        <f t="shared" si="24"/>
        <v>66.699999999999989</v>
      </c>
      <c r="BZ25" s="11">
        <f t="shared" si="25"/>
        <v>12</v>
      </c>
      <c r="CA25" s="11">
        <f t="shared" si="26"/>
        <v>48</v>
      </c>
      <c r="CB25" s="11">
        <f t="shared" si="27"/>
        <v>114.69999999999999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 t="shared" si="28"/>
        <v/>
      </c>
      <c r="CY25" s="40" t="str">
        <f t="shared" si="29"/>
        <v/>
      </c>
      <c r="CZ25" s="40" t="str">
        <f t="shared" si="30"/>
        <v/>
      </c>
      <c r="DA25" s="40" t="str">
        <f t="shared" si="31"/>
        <v/>
      </c>
      <c r="DB25" s="40" t="str">
        <f t="shared" si="32"/>
        <v/>
      </c>
      <c r="DC25" s="40" t="str">
        <f t="shared" si="33"/>
        <v/>
      </c>
      <c r="DD25" s="40" t="str">
        <f t="shared" si="34"/>
        <v/>
      </c>
      <c r="DE25" s="40" t="str">
        <f t="shared" si="35"/>
        <v/>
      </c>
      <c r="DF25" s="50" t="str">
        <f t="shared" si="36"/>
        <v/>
      </c>
      <c r="DG25" s="50" t="str">
        <f t="shared" si="37"/>
        <v/>
      </c>
      <c r="DH25" s="50" t="str">
        <f t="shared" si="38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39"/>
        <v/>
      </c>
      <c r="ED25" s="40" t="str">
        <f t="shared" si="40"/>
        <v/>
      </c>
      <c r="EE25" s="40" t="str">
        <f t="shared" si="41"/>
        <v/>
      </c>
      <c r="EF25" s="40" t="str">
        <f t="shared" si="42"/>
        <v/>
      </c>
      <c r="EG25" s="40" t="str">
        <f t="shared" si="43"/>
        <v/>
      </c>
      <c r="EH25" s="40" t="str">
        <f t="shared" si="44"/>
        <v/>
      </c>
      <c r="EI25" s="40" t="str">
        <f t="shared" si="45"/>
        <v/>
      </c>
      <c r="EJ25" s="40" t="str">
        <f t="shared" si="46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7"/>
        <v/>
      </c>
      <c r="FF25" s="11" t="str">
        <f t="shared" si="48"/>
        <v/>
      </c>
      <c r="FG25" s="11" t="str">
        <f t="shared" si="49"/>
        <v/>
      </c>
      <c r="FH25" s="11" t="str">
        <f t="shared" si="50"/>
        <v/>
      </c>
      <c r="FI25" s="11" t="str">
        <f t="shared" si="51"/>
        <v/>
      </c>
      <c r="FJ25" s="11" t="str">
        <f t="shared" si="52"/>
        <v/>
      </c>
      <c r="FK25" s="11" t="str">
        <f t="shared" si="53"/>
        <v/>
      </c>
      <c r="FL25" s="11" t="str">
        <f t="shared" si="54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5"/>
        <v/>
      </c>
      <c r="GH25" s="40" t="str">
        <f t="shared" si="56"/>
        <v/>
      </c>
      <c r="GI25" s="40" t="str">
        <f t="shared" si="57"/>
        <v/>
      </c>
      <c r="GJ25" s="40" t="str">
        <f t="shared" si="58"/>
        <v/>
      </c>
      <c r="GK25" s="40" t="str">
        <f t="shared" si="59"/>
        <v/>
      </c>
      <c r="GL25" s="40" t="str">
        <f t="shared" si="60"/>
        <v/>
      </c>
      <c r="GM25" s="40" t="str">
        <f t="shared" si="61"/>
        <v/>
      </c>
      <c r="GN25" s="40" t="str">
        <f t="shared" si="62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3"/>
        <v/>
      </c>
      <c r="HJ25" s="11" t="str">
        <f t="shared" si="64"/>
        <v/>
      </c>
      <c r="HK25" s="11" t="str">
        <f t="shared" si="65"/>
        <v/>
      </c>
      <c r="HL25" s="11" t="str">
        <f t="shared" si="66"/>
        <v/>
      </c>
      <c r="HM25" s="11" t="str">
        <f t="shared" si="67"/>
        <v/>
      </c>
      <c r="HN25" s="11" t="str">
        <f t="shared" si="68"/>
        <v/>
      </c>
      <c r="HO25" s="11" t="str">
        <f t="shared" si="69"/>
        <v/>
      </c>
      <c r="HP25" s="11" t="str">
        <f t="shared" si="70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1"/>
        <v/>
      </c>
      <c r="IL25" s="40" t="str">
        <f t="shared" si="72"/>
        <v/>
      </c>
      <c r="IM25" s="40" t="str">
        <f t="shared" si="73"/>
        <v/>
      </c>
      <c r="IN25" s="40" t="str">
        <f t="shared" si="74"/>
        <v/>
      </c>
      <c r="IO25" s="40" t="str">
        <f t="shared" si="75"/>
        <v/>
      </c>
      <c r="IP25" s="40" t="str">
        <f t="shared" si="76"/>
        <v/>
      </c>
      <c r="IQ25" s="40" t="str">
        <f t="shared" si="77"/>
        <v/>
      </c>
      <c r="IR25" s="40" t="str">
        <f t="shared" si="78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79"/>
        <v/>
      </c>
      <c r="JN25" s="11" t="str">
        <f t="shared" si="80"/>
        <v/>
      </c>
      <c r="JO25" s="11" t="str">
        <f t="shared" si="81"/>
        <v/>
      </c>
      <c r="JP25" s="11" t="str">
        <f t="shared" si="82"/>
        <v/>
      </c>
      <c r="JQ25" s="11" t="str">
        <f t="shared" si="83"/>
        <v/>
      </c>
      <c r="JR25" s="11" t="str">
        <f t="shared" si="84"/>
        <v/>
      </c>
      <c r="JS25" s="11" t="str">
        <f t="shared" si="85"/>
        <v/>
      </c>
      <c r="JT25" s="11" t="str">
        <f t="shared" si="86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7"/>
        <v/>
      </c>
      <c r="KP25" s="40" t="str">
        <f t="shared" si="88"/>
        <v/>
      </c>
      <c r="KQ25" s="40" t="str">
        <f t="shared" si="89"/>
        <v/>
      </c>
      <c r="KR25" s="40" t="str">
        <f t="shared" si="90"/>
        <v/>
      </c>
      <c r="KS25" s="40" t="str">
        <f t="shared" si="91"/>
        <v/>
      </c>
      <c r="KT25" s="40" t="str">
        <f t="shared" si="92"/>
        <v/>
      </c>
      <c r="KU25" s="40" t="str">
        <f t="shared" si="93"/>
        <v/>
      </c>
      <c r="KV25" s="40" t="str">
        <f t="shared" si="94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5"/>
        <v/>
      </c>
      <c r="LR25" s="11" t="str">
        <f t="shared" si="96"/>
        <v/>
      </c>
      <c r="LS25" s="11" t="str">
        <f t="shared" si="97"/>
        <v/>
      </c>
      <c r="LT25" s="11" t="str">
        <f t="shared" si="98"/>
        <v/>
      </c>
      <c r="LU25" s="11" t="str">
        <f t="shared" si="99"/>
        <v/>
      </c>
      <c r="LV25" s="11" t="str">
        <f t="shared" si="100"/>
        <v/>
      </c>
      <c r="LW25" s="11" t="str">
        <f t="shared" si="101"/>
        <v/>
      </c>
      <c r="LX25" s="11" t="str">
        <f t="shared" si="102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3"/>
        <v/>
      </c>
      <c r="MT25" s="40" t="str">
        <f t="shared" si="104"/>
        <v/>
      </c>
      <c r="MU25" s="40" t="str">
        <f t="shared" si="105"/>
        <v/>
      </c>
      <c r="MV25" s="40" t="str">
        <f t="shared" si="106"/>
        <v/>
      </c>
      <c r="MW25" s="40" t="str">
        <f t="shared" si="107"/>
        <v/>
      </c>
      <c r="MX25" s="40" t="str">
        <f t="shared" si="108"/>
        <v/>
      </c>
      <c r="MY25" s="40" t="str">
        <f t="shared" si="109"/>
        <v/>
      </c>
      <c r="MZ25" s="40" t="str">
        <f t="shared" si="110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1"/>
        <v/>
      </c>
      <c r="NV25" s="11" t="str">
        <f t="shared" si="112"/>
        <v/>
      </c>
      <c r="NW25" s="11" t="str">
        <f t="shared" si="113"/>
        <v/>
      </c>
      <c r="NX25" s="11" t="str">
        <f t="shared" si="114"/>
        <v/>
      </c>
      <c r="NY25" s="11" t="str">
        <f t="shared" si="115"/>
        <v/>
      </c>
      <c r="NZ25" s="11" t="str">
        <f t="shared" si="116"/>
        <v/>
      </c>
      <c r="OA25" s="11" t="str">
        <f t="shared" si="117"/>
        <v/>
      </c>
      <c r="OB25" s="11" t="str">
        <f t="shared" si="118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19"/>
        <v/>
      </c>
      <c r="OX25" s="40" t="str">
        <f t="shared" si="120"/>
        <v/>
      </c>
      <c r="OY25" s="40" t="str">
        <f t="shared" si="121"/>
        <v/>
      </c>
      <c r="OZ25" s="40" t="str">
        <f t="shared" si="122"/>
        <v/>
      </c>
      <c r="PA25" s="40" t="str">
        <f t="shared" si="123"/>
        <v/>
      </c>
      <c r="PB25" s="40" t="str">
        <f t="shared" si="124"/>
        <v/>
      </c>
      <c r="PC25" s="40" t="str">
        <f t="shared" si="125"/>
        <v/>
      </c>
      <c r="PD25" s="40" t="str">
        <f t="shared" si="126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7"/>
        <v/>
      </c>
      <c r="PZ25" s="11" t="str">
        <f t="shared" si="128"/>
        <v/>
      </c>
      <c r="QA25" s="11" t="str">
        <f t="shared" si="129"/>
        <v/>
      </c>
      <c r="QB25" s="11" t="str">
        <f t="shared" si="130"/>
        <v/>
      </c>
      <c r="QC25" s="11" t="str">
        <f t="shared" si="131"/>
        <v/>
      </c>
      <c r="QD25" s="11" t="str">
        <f t="shared" si="132"/>
        <v/>
      </c>
      <c r="QE25" s="11" t="str">
        <f t="shared" si="133"/>
        <v/>
      </c>
      <c r="QF25" s="11" t="str">
        <f t="shared" si="134"/>
        <v/>
      </c>
      <c r="QG25" s="22">
        <f t="shared" si="135"/>
        <v>9.1999999999999993</v>
      </c>
      <c r="QH25" s="22">
        <f t="shared" si="136"/>
        <v>3</v>
      </c>
      <c r="QI25" s="22">
        <f t="shared" si="137"/>
        <v>0.3</v>
      </c>
      <c r="QJ25" s="22">
        <f t="shared" si="138"/>
        <v>0</v>
      </c>
      <c r="QK25" s="22">
        <f t="shared" si="139"/>
        <v>8.6999999999999993</v>
      </c>
      <c r="QL25" s="22">
        <f t="shared" si="140"/>
        <v>1.4</v>
      </c>
      <c r="QM25" s="22">
        <f t="shared" si="141"/>
        <v>0</v>
      </c>
      <c r="QN25" s="22">
        <f t="shared" si="142"/>
        <v>0</v>
      </c>
      <c r="QO25" s="22">
        <f t="shared" si="143"/>
        <v>9.6</v>
      </c>
      <c r="QP25" s="22">
        <f t="shared" si="144"/>
        <v>1.75</v>
      </c>
      <c r="QQ25" s="22">
        <f t="shared" si="145"/>
        <v>0</v>
      </c>
      <c r="QR25" s="22">
        <f t="shared" si="146"/>
        <v>0</v>
      </c>
      <c r="QS25" s="22">
        <f t="shared" si="147"/>
        <v>9.3000000000000007</v>
      </c>
      <c r="QT25" s="22">
        <f t="shared" si="148"/>
        <v>3</v>
      </c>
      <c r="QU25" s="22">
        <f t="shared" si="149"/>
        <v>0.1</v>
      </c>
      <c r="QV25" s="22">
        <f t="shared" si="150"/>
        <v>0</v>
      </c>
      <c r="QW25" s="22">
        <f t="shared" si="151"/>
        <v>9.1999999999999993</v>
      </c>
      <c r="QX25" s="22">
        <f t="shared" si="152"/>
        <v>3</v>
      </c>
      <c r="QY25" s="22">
        <f t="shared" si="153"/>
        <v>0.4</v>
      </c>
      <c r="QZ25" s="22">
        <f t="shared" si="154"/>
        <v>0</v>
      </c>
      <c r="RA25" s="27" t="s">
        <v>46</v>
      </c>
      <c r="RB25" s="40">
        <f t="shared" si="155"/>
        <v>4.4000000000000004</v>
      </c>
      <c r="RC25" s="40">
        <f t="shared" si="156"/>
        <v>21.999999999999996</v>
      </c>
      <c r="RD25" s="40">
        <f t="shared" si="157"/>
        <v>11.35</v>
      </c>
      <c r="RE25" s="40">
        <f t="shared" si="158"/>
        <v>6.15</v>
      </c>
      <c r="RF25" s="40">
        <f t="shared" si="159"/>
        <v>33.349999999999994</v>
      </c>
      <c r="RG25" s="40">
        <f t="shared" si="160"/>
        <v>6</v>
      </c>
      <c r="RH25" s="40">
        <f t="shared" si="161"/>
        <v>24</v>
      </c>
      <c r="RI25" s="40">
        <f t="shared" si="162"/>
        <v>57.349999999999994</v>
      </c>
    </row>
    <row r="26" spans="1:477" x14ac:dyDescent="0.2">
      <c r="A26" s="4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>23</v>
      </c>
      <c r="B26" s="4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>17</v>
      </c>
      <c r="C26" s="5" t="s">
        <v>138</v>
      </c>
      <c r="D26" s="4" t="s">
        <v>6</v>
      </c>
      <c r="E26" s="4">
        <v>2006</v>
      </c>
      <c r="F26" s="9">
        <f t="shared" si="163"/>
        <v>122.20001222000511</v>
      </c>
      <c r="G26" s="66"/>
      <c r="H26" s="3" t="str">
        <f t="shared" si="0"/>
        <v>P</v>
      </c>
      <c r="I26" s="3" t="str">
        <f t="shared" si="1"/>
        <v>P</v>
      </c>
      <c r="J26" s="36" t="str">
        <f t="shared" si="2"/>
        <v>National Team</v>
      </c>
      <c r="K26" s="3" t="str">
        <f t="shared" si="3"/>
        <v/>
      </c>
      <c r="L26" s="8">
        <f>IF(COUNT(AS26,BV26,CY26)&gt;0,LARGE((AS26,BV26,CY26),1),0)</f>
        <v>51</v>
      </c>
      <c r="M26" s="8" t="str">
        <f t="shared" si="4"/>
        <v>2024 Elite Canada</v>
      </c>
      <c r="N26" s="8">
        <f>IF(COUNT(AS26,BV26,CY26)&gt;1,LARGE((AS26,BV26,CY26),2),0)</f>
        <v>46</v>
      </c>
      <c r="O26" s="8" t="str">
        <f t="shared" si="5"/>
        <v>2023 3rd Domestic Trial</v>
      </c>
      <c r="P26" s="8">
        <f>IF(COUNT(AT26,BW26,CZ26)&gt;0,LARGE((AT26,BW26,CZ26),1),0)</f>
        <v>25.2</v>
      </c>
      <c r="Q26" s="8" t="str">
        <f t="shared" si="6"/>
        <v>2023 Nationals</v>
      </c>
      <c r="R26" s="8">
        <f t="shared" si="7"/>
        <v>0</v>
      </c>
      <c r="S26" s="8" t="str">
        <f t="shared" si="8"/>
        <v/>
      </c>
      <c r="T26" s="8" t="str">
        <f t="shared" si="9"/>
        <v/>
      </c>
      <c r="U26" s="11" t="str">
        <f t="shared" si="10"/>
        <v/>
      </c>
      <c r="V26" s="8" t="str">
        <f t="shared" si="11"/>
        <v/>
      </c>
      <c r="W26" s="19">
        <v>0</v>
      </c>
      <c r="X26" s="19">
        <v>0</v>
      </c>
      <c r="Y26" s="19">
        <v>0</v>
      </c>
      <c r="Z26" s="19">
        <v>0</v>
      </c>
      <c r="AA26" s="19">
        <v>18.2</v>
      </c>
      <c r="AB26" s="19">
        <v>7.6</v>
      </c>
      <c r="AC26" s="19">
        <v>0.6</v>
      </c>
      <c r="AD26" s="19">
        <v>0</v>
      </c>
      <c r="AE26" s="19">
        <v>18.5</v>
      </c>
      <c r="AF26" s="19">
        <v>7.3</v>
      </c>
      <c r="AG26" s="19">
        <v>0.6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 t="shared" si="12"/>
        <v>7.6</v>
      </c>
      <c r="AS26" s="40">
        <f t="shared" si="13"/>
        <v>25.199999999999996</v>
      </c>
      <c r="AT26" s="40">
        <f t="shared" si="14"/>
        <v>25.2</v>
      </c>
      <c r="AU26" s="40">
        <f t="shared" si="15"/>
        <v>14.899999999999999</v>
      </c>
      <c r="AV26" s="40">
        <f t="shared" si="16"/>
        <v>50.399999999999991</v>
      </c>
      <c r="AW26" s="40" t="str">
        <f t="shared" si="17"/>
        <v/>
      </c>
      <c r="AX26" s="40" t="str">
        <f t="shared" si="18"/>
        <v/>
      </c>
      <c r="AY26" s="40">
        <f t="shared" si="19"/>
        <v>50.399999999999991</v>
      </c>
      <c r="AZ26" s="18">
        <v>18.600000000000001</v>
      </c>
      <c r="BA26" s="18">
        <v>7.6</v>
      </c>
      <c r="BB26" s="18">
        <v>0</v>
      </c>
      <c r="BC26" s="18">
        <v>0</v>
      </c>
      <c r="BD26" s="18">
        <v>17.8</v>
      </c>
      <c r="BE26" s="18">
        <v>3.2</v>
      </c>
      <c r="BF26" s="18">
        <v>1.2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 t="shared" si="20"/>
        <v>10.8</v>
      </c>
      <c r="BV26" s="11">
        <f t="shared" si="21"/>
        <v>46</v>
      </c>
      <c r="BW26" s="11" t="str">
        <f t="shared" si="22"/>
        <v/>
      </c>
      <c r="BX26" s="11">
        <f t="shared" si="23"/>
        <v>10.8</v>
      </c>
      <c r="BY26" s="11">
        <f t="shared" si="24"/>
        <v>46</v>
      </c>
      <c r="BZ26" s="11" t="str">
        <f t="shared" si="25"/>
        <v/>
      </c>
      <c r="CA26" s="11" t="str">
        <f t="shared" si="26"/>
        <v/>
      </c>
      <c r="CB26" s="11">
        <f t="shared" si="27"/>
        <v>46</v>
      </c>
      <c r="CC26" s="19">
        <v>18.7</v>
      </c>
      <c r="CD26" s="19">
        <v>7.6</v>
      </c>
      <c r="CE26" s="19">
        <v>0.6</v>
      </c>
      <c r="CF26" s="19">
        <v>0</v>
      </c>
      <c r="CG26" s="19">
        <v>18.5</v>
      </c>
      <c r="CH26" s="19">
        <v>7.6</v>
      </c>
      <c r="CI26" s="19">
        <v>0.8</v>
      </c>
      <c r="CJ26" s="19">
        <v>0</v>
      </c>
      <c r="CK26" s="19">
        <v>16.399999999999999</v>
      </c>
      <c r="CL26" s="19">
        <v>7.3</v>
      </c>
      <c r="CM26" s="19">
        <v>0.8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 t="shared" si="28"/>
        <v>15.2</v>
      </c>
      <c r="CY26" s="40">
        <f t="shared" si="29"/>
        <v>51</v>
      </c>
      <c r="CZ26" s="40">
        <f t="shared" si="30"/>
        <v>22.9</v>
      </c>
      <c r="DA26" s="40">
        <f t="shared" si="31"/>
        <v>22.5</v>
      </c>
      <c r="DB26" s="40">
        <f t="shared" si="32"/>
        <v>73.900000000000006</v>
      </c>
      <c r="DC26" s="40" t="str">
        <f t="shared" si="33"/>
        <v/>
      </c>
      <c r="DD26" s="40" t="str">
        <f t="shared" si="34"/>
        <v/>
      </c>
      <c r="DE26" s="40">
        <f t="shared" si="35"/>
        <v>73.900000000000006</v>
      </c>
      <c r="DF26" s="50" t="str">
        <f t="shared" si="36"/>
        <v/>
      </c>
      <c r="DG26" s="50" t="str">
        <f t="shared" si="37"/>
        <v/>
      </c>
      <c r="DH26" s="50" t="str">
        <f t="shared" si="38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39"/>
        <v/>
      </c>
      <c r="ED26" s="40" t="str">
        <f t="shared" si="40"/>
        <v/>
      </c>
      <c r="EE26" s="40" t="str">
        <f t="shared" si="41"/>
        <v/>
      </c>
      <c r="EF26" s="40" t="str">
        <f t="shared" si="42"/>
        <v/>
      </c>
      <c r="EG26" s="40" t="str">
        <f t="shared" si="43"/>
        <v/>
      </c>
      <c r="EH26" s="40" t="str">
        <f t="shared" si="44"/>
        <v/>
      </c>
      <c r="EI26" s="40" t="str">
        <f t="shared" si="45"/>
        <v/>
      </c>
      <c r="EJ26" s="40" t="str">
        <f t="shared" si="46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7"/>
        <v/>
      </c>
      <c r="FF26" s="11" t="str">
        <f t="shared" si="48"/>
        <v/>
      </c>
      <c r="FG26" s="11" t="str">
        <f t="shared" si="49"/>
        <v/>
      </c>
      <c r="FH26" s="11" t="str">
        <f t="shared" si="50"/>
        <v/>
      </c>
      <c r="FI26" s="11" t="str">
        <f t="shared" si="51"/>
        <v/>
      </c>
      <c r="FJ26" s="11" t="str">
        <f t="shared" si="52"/>
        <v/>
      </c>
      <c r="FK26" s="11" t="str">
        <f t="shared" si="53"/>
        <v/>
      </c>
      <c r="FL26" s="11" t="str">
        <f t="shared" si="54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5"/>
        <v/>
      </c>
      <c r="GH26" s="40" t="str">
        <f t="shared" si="56"/>
        <v/>
      </c>
      <c r="GI26" s="40" t="str">
        <f t="shared" si="57"/>
        <v/>
      </c>
      <c r="GJ26" s="40" t="str">
        <f t="shared" si="58"/>
        <v/>
      </c>
      <c r="GK26" s="40" t="str">
        <f t="shared" si="59"/>
        <v/>
      </c>
      <c r="GL26" s="40" t="str">
        <f t="shared" si="60"/>
        <v/>
      </c>
      <c r="GM26" s="40" t="str">
        <f t="shared" si="61"/>
        <v/>
      </c>
      <c r="GN26" s="40" t="str">
        <f t="shared" si="62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3"/>
        <v/>
      </c>
      <c r="HJ26" s="11" t="str">
        <f t="shared" si="64"/>
        <v/>
      </c>
      <c r="HK26" s="11" t="str">
        <f t="shared" si="65"/>
        <v/>
      </c>
      <c r="HL26" s="11" t="str">
        <f t="shared" si="66"/>
        <v/>
      </c>
      <c r="HM26" s="11" t="str">
        <f t="shared" si="67"/>
        <v/>
      </c>
      <c r="HN26" s="11" t="str">
        <f t="shared" si="68"/>
        <v/>
      </c>
      <c r="HO26" s="11" t="str">
        <f t="shared" si="69"/>
        <v/>
      </c>
      <c r="HP26" s="11" t="str">
        <f t="shared" si="70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1"/>
        <v/>
      </c>
      <c r="IL26" s="40" t="str">
        <f t="shared" si="72"/>
        <v/>
      </c>
      <c r="IM26" s="40" t="str">
        <f t="shared" si="73"/>
        <v/>
      </c>
      <c r="IN26" s="40" t="str">
        <f t="shared" si="74"/>
        <v/>
      </c>
      <c r="IO26" s="40" t="str">
        <f t="shared" si="75"/>
        <v/>
      </c>
      <c r="IP26" s="40" t="str">
        <f t="shared" si="76"/>
        <v/>
      </c>
      <c r="IQ26" s="40" t="str">
        <f t="shared" si="77"/>
        <v/>
      </c>
      <c r="IR26" s="40" t="str">
        <f t="shared" si="78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79"/>
        <v/>
      </c>
      <c r="JN26" s="11" t="str">
        <f t="shared" si="80"/>
        <v/>
      </c>
      <c r="JO26" s="11" t="str">
        <f t="shared" si="81"/>
        <v/>
      </c>
      <c r="JP26" s="11" t="str">
        <f t="shared" si="82"/>
        <v/>
      </c>
      <c r="JQ26" s="11" t="str">
        <f t="shared" si="83"/>
        <v/>
      </c>
      <c r="JR26" s="11" t="str">
        <f t="shared" si="84"/>
        <v/>
      </c>
      <c r="JS26" s="11" t="str">
        <f t="shared" si="85"/>
        <v/>
      </c>
      <c r="JT26" s="11" t="str">
        <f t="shared" si="86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7"/>
        <v/>
      </c>
      <c r="KP26" s="40" t="str">
        <f t="shared" si="88"/>
        <v/>
      </c>
      <c r="KQ26" s="40" t="str">
        <f t="shared" si="89"/>
        <v/>
      </c>
      <c r="KR26" s="40" t="str">
        <f t="shared" si="90"/>
        <v/>
      </c>
      <c r="KS26" s="40" t="str">
        <f t="shared" si="91"/>
        <v/>
      </c>
      <c r="KT26" s="40" t="str">
        <f t="shared" si="92"/>
        <v/>
      </c>
      <c r="KU26" s="40" t="str">
        <f t="shared" si="93"/>
        <v/>
      </c>
      <c r="KV26" s="40" t="str">
        <f t="shared" si="94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5"/>
        <v/>
      </c>
      <c r="LR26" s="11" t="str">
        <f t="shared" si="96"/>
        <v/>
      </c>
      <c r="LS26" s="11" t="str">
        <f t="shared" si="97"/>
        <v/>
      </c>
      <c r="LT26" s="11" t="str">
        <f t="shared" si="98"/>
        <v/>
      </c>
      <c r="LU26" s="11" t="str">
        <f t="shared" si="99"/>
        <v/>
      </c>
      <c r="LV26" s="11" t="str">
        <f t="shared" si="100"/>
        <v/>
      </c>
      <c r="LW26" s="11" t="str">
        <f t="shared" si="101"/>
        <v/>
      </c>
      <c r="LX26" s="11" t="str">
        <f t="shared" si="102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3"/>
        <v/>
      </c>
      <c r="MT26" s="40" t="str">
        <f t="shared" si="104"/>
        <v/>
      </c>
      <c r="MU26" s="40" t="str">
        <f t="shared" si="105"/>
        <v/>
      </c>
      <c r="MV26" s="40" t="str">
        <f t="shared" si="106"/>
        <v/>
      </c>
      <c r="MW26" s="40" t="str">
        <f t="shared" si="107"/>
        <v/>
      </c>
      <c r="MX26" s="40" t="str">
        <f t="shared" si="108"/>
        <v/>
      </c>
      <c r="MY26" s="40" t="str">
        <f t="shared" si="109"/>
        <v/>
      </c>
      <c r="MZ26" s="40" t="str">
        <f t="shared" si="110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1"/>
        <v/>
      </c>
      <c r="NV26" s="11" t="str">
        <f t="shared" si="112"/>
        <v/>
      </c>
      <c r="NW26" s="11" t="str">
        <f t="shared" si="113"/>
        <v/>
      </c>
      <c r="NX26" s="11" t="str">
        <f t="shared" si="114"/>
        <v/>
      </c>
      <c r="NY26" s="11" t="str">
        <f t="shared" si="115"/>
        <v/>
      </c>
      <c r="NZ26" s="11" t="str">
        <f t="shared" si="116"/>
        <v/>
      </c>
      <c r="OA26" s="11" t="str">
        <f t="shared" si="117"/>
        <v/>
      </c>
      <c r="OB26" s="11" t="str">
        <f t="shared" si="118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19"/>
        <v/>
      </c>
      <c r="OX26" s="40" t="str">
        <f t="shared" si="120"/>
        <v/>
      </c>
      <c r="OY26" s="40" t="str">
        <f t="shared" si="121"/>
        <v/>
      </c>
      <c r="OZ26" s="40" t="str">
        <f t="shared" si="122"/>
        <v/>
      </c>
      <c r="PA26" s="40" t="str">
        <f t="shared" si="123"/>
        <v/>
      </c>
      <c r="PB26" s="40" t="str">
        <f t="shared" si="124"/>
        <v/>
      </c>
      <c r="PC26" s="40" t="str">
        <f t="shared" si="125"/>
        <v/>
      </c>
      <c r="PD26" s="40" t="str">
        <f t="shared" si="126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7"/>
        <v/>
      </c>
      <c r="PZ26" s="11" t="str">
        <f t="shared" si="128"/>
        <v/>
      </c>
      <c r="QA26" s="11" t="str">
        <f t="shared" si="129"/>
        <v/>
      </c>
      <c r="QB26" s="11" t="str">
        <f t="shared" si="130"/>
        <v/>
      </c>
      <c r="QC26" s="11" t="str">
        <f t="shared" si="131"/>
        <v/>
      </c>
      <c r="QD26" s="11" t="str">
        <f t="shared" si="132"/>
        <v/>
      </c>
      <c r="QE26" s="11" t="str">
        <f t="shared" si="133"/>
        <v/>
      </c>
      <c r="QF26" s="11" t="str">
        <f t="shared" si="134"/>
        <v/>
      </c>
      <c r="QG26" s="22">
        <f t="shared" si="135"/>
        <v>18.649999999999999</v>
      </c>
      <c r="QH26" s="22">
        <f t="shared" si="136"/>
        <v>7.6</v>
      </c>
      <c r="QI26" s="22">
        <f t="shared" si="137"/>
        <v>0.3</v>
      </c>
      <c r="QJ26" s="22">
        <f t="shared" si="138"/>
        <v>0</v>
      </c>
      <c r="QK26" s="22">
        <f t="shared" si="139"/>
        <v>18.149999999999999</v>
      </c>
      <c r="QL26" s="22">
        <f t="shared" si="140"/>
        <v>5.4</v>
      </c>
      <c r="QM26" s="22">
        <f t="shared" si="141"/>
        <v>1</v>
      </c>
      <c r="QN26" s="22">
        <f t="shared" si="142"/>
        <v>0</v>
      </c>
      <c r="QO26" s="22">
        <f t="shared" si="143"/>
        <v>8.1999999999999993</v>
      </c>
      <c r="QP26" s="22">
        <f t="shared" si="144"/>
        <v>3.65</v>
      </c>
      <c r="QQ26" s="22">
        <f t="shared" si="145"/>
        <v>0.4</v>
      </c>
      <c r="QR26" s="22">
        <f t="shared" si="146"/>
        <v>0</v>
      </c>
      <c r="QS26" s="22">
        <f t="shared" si="147"/>
        <v>0</v>
      </c>
      <c r="QT26" s="22">
        <f t="shared" si="148"/>
        <v>0</v>
      </c>
      <c r="QU26" s="22">
        <f t="shared" si="149"/>
        <v>0</v>
      </c>
      <c r="QV26" s="22">
        <f t="shared" si="150"/>
        <v>0</v>
      </c>
      <c r="QW26" s="22">
        <f t="shared" si="151"/>
        <v>0</v>
      </c>
      <c r="QX26" s="22">
        <f t="shared" si="152"/>
        <v>0</v>
      </c>
      <c r="QY26" s="22">
        <f t="shared" si="153"/>
        <v>0</v>
      </c>
      <c r="QZ26" s="22">
        <f t="shared" si="154"/>
        <v>0</v>
      </c>
      <c r="RA26" s="27" t="s">
        <v>46</v>
      </c>
      <c r="RB26" s="40">
        <f t="shared" si="155"/>
        <v>13</v>
      </c>
      <c r="RC26" s="40">
        <f t="shared" si="156"/>
        <v>48.5</v>
      </c>
      <c r="RD26" s="40">
        <f t="shared" si="157"/>
        <v>11.45</v>
      </c>
      <c r="RE26" s="40">
        <f t="shared" si="158"/>
        <v>16.649999999999999</v>
      </c>
      <c r="RF26" s="40">
        <f t="shared" si="159"/>
        <v>59.95</v>
      </c>
      <c r="RG26" s="40" t="str">
        <f t="shared" si="160"/>
        <v/>
      </c>
      <c r="RH26" s="40" t="str">
        <f t="shared" si="161"/>
        <v/>
      </c>
      <c r="RI26" s="40">
        <f t="shared" si="162"/>
        <v>59.95</v>
      </c>
    </row>
    <row r="27" spans="1:477" x14ac:dyDescent="0.2">
      <c r="A27" s="4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>24</v>
      </c>
      <c r="B27" s="4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>18</v>
      </c>
      <c r="C27" s="5" t="s">
        <v>127</v>
      </c>
      <c r="D27" s="4" t="s">
        <v>6</v>
      </c>
      <c r="E27" s="4">
        <v>2004</v>
      </c>
      <c r="F27" s="9">
        <f t="shared" si="163"/>
        <v>121.10000717000494</v>
      </c>
      <c r="G27" s="66"/>
      <c r="H27" s="3" t="str">
        <f t="shared" si="0"/>
        <v>P</v>
      </c>
      <c r="I27" s="3" t="str">
        <f t="shared" si="1"/>
        <v>P</v>
      </c>
      <c r="J27" s="36" t="str">
        <f t="shared" si="2"/>
        <v>National Team</v>
      </c>
      <c r="K27" s="3" t="str">
        <f t="shared" si="3"/>
        <v/>
      </c>
      <c r="L27" s="8">
        <f>IF(COUNT(AS27,BV27,CY27)&gt;0,LARGE((AS27,BV27,CY27),1),0)</f>
        <v>49.4</v>
      </c>
      <c r="M27" s="8" t="str">
        <f t="shared" si="4"/>
        <v>2023 Nationals</v>
      </c>
      <c r="N27" s="8">
        <f>IF(COUNT(AS27,BV27,CY27)&gt;1,LARGE((AS27,BV27,CY27),2),0)</f>
        <v>0</v>
      </c>
      <c r="O27" s="8" t="str">
        <f t="shared" si="5"/>
        <v/>
      </c>
      <c r="P27" s="8">
        <f>IF(COUNT(AT27,BW27,CZ27)&gt;0,LARGE((AT27,BW27,CZ27),1),0)</f>
        <v>22.299999999999997</v>
      </c>
      <c r="Q27" s="8" t="str">
        <f t="shared" si="6"/>
        <v>2023 Nationals</v>
      </c>
      <c r="R27" s="8">
        <f t="shared" si="7"/>
        <v>49.4</v>
      </c>
      <c r="S27" s="8" t="str">
        <f t="shared" si="8"/>
        <v>2023 Nationals</v>
      </c>
      <c r="T27" s="8" t="str">
        <f t="shared" si="9"/>
        <v/>
      </c>
      <c r="U27" s="11" t="str">
        <f t="shared" si="10"/>
        <v/>
      </c>
      <c r="V27" s="8" t="str">
        <f t="shared" si="11"/>
        <v/>
      </c>
      <c r="W27" s="19">
        <v>19.2</v>
      </c>
      <c r="X27" s="19">
        <v>6</v>
      </c>
      <c r="Y27" s="19">
        <v>0</v>
      </c>
      <c r="Z27" s="19">
        <v>0</v>
      </c>
      <c r="AA27" s="19">
        <v>19.2</v>
      </c>
      <c r="AB27" s="19">
        <v>5.6</v>
      </c>
      <c r="AC27" s="19">
        <v>0.6</v>
      </c>
      <c r="AD27" s="19">
        <v>0</v>
      </c>
      <c r="AE27" s="19">
        <v>19.399999999999999</v>
      </c>
      <c r="AF27" s="19">
        <v>3.5</v>
      </c>
      <c r="AG27" s="19">
        <v>0.6</v>
      </c>
      <c r="AH27" s="19">
        <v>0</v>
      </c>
      <c r="AI27" s="19">
        <v>19.600000000000001</v>
      </c>
      <c r="AJ27" s="19">
        <v>6</v>
      </c>
      <c r="AK27" s="19">
        <v>0</v>
      </c>
      <c r="AL27" s="19">
        <v>0</v>
      </c>
      <c r="AM27" s="19">
        <v>19</v>
      </c>
      <c r="AN27" s="19">
        <v>4.8</v>
      </c>
      <c r="AO27" s="19">
        <v>0</v>
      </c>
      <c r="AP27" s="19">
        <v>0</v>
      </c>
      <c r="AQ27" s="27"/>
      <c r="AR27" s="40">
        <f t="shared" si="12"/>
        <v>11.6</v>
      </c>
      <c r="AS27" s="40">
        <f t="shared" si="13"/>
        <v>49.4</v>
      </c>
      <c r="AT27" s="40">
        <f t="shared" si="14"/>
        <v>22.299999999999997</v>
      </c>
      <c r="AU27" s="40">
        <f t="shared" si="15"/>
        <v>15.1</v>
      </c>
      <c r="AV27" s="40">
        <f t="shared" si="16"/>
        <v>71.699999999999989</v>
      </c>
      <c r="AW27" s="40">
        <f t="shared" si="17"/>
        <v>10.8</v>
      </c>
      <c r="AX27" s="40">
        <f t="shared" si="18"/>
        <v>49.4</v>
      </c>
      <c r="AY27" s="40">
        <f t="shared" si="19"/>
        <v>121.1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 t="shared" si="20"/>
        <v/>
      </c>
      <c r="BV27" s="11" t="str">
        <f t="shared" si="21"/>
        <v/>
      </c>
      <c r="BW27" s="11" t="str">
        <f t="shared" si="22"/>
        <v/>
      </c>
      <c r="BX27" s="11" t="str">
        <f t="shared" si="23"/>
        <v/>
      </c>
      <c r="BY27" s="11" t="str">
        <f t="shared" si="24"/>
        <v/>
      </c>
      <c r="BZ27" s="11" t="str">
        <f t="shared" si="25"/>
        <v/>
      </c>
      <c r="CA27" s="11" t="str">
        <f t="shared" si="26"/>
        <v/>
      </c>
      <c r="CB27" s="11" t="str">
        <f t="shared" si="27"/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 t="shared" si="28"/>
        <v/>
      </c>
      <c r="CY27" s="40" t="str">
        <f t="shared" si="29"/>
        <v/>
      </c>
      <c r="CZ27" s="40" t="str">
        <f t="shared" si="30"/>
        <v/>
      </c>
      <c r="DA27" s="40" t="str">
        <f t="shared" si="31"/>
        <v/>
      </c>
      <c r="DB27" s="40" t="str">
        <f t="shared" si="32"/>
        <v/>
      </c>
      <c r="DC27" s="40" t="str">
        <f t="shared" si="33"/>
        <v/>
      </c>
      <c r="DD27" s="40" t="str">
        <f t="shared" si="34"/>
        <v/>
      </c>
      <c r="DE27" s="40" t="str">
        <f t="shared" si="35"/>
        <v/>
      </c>
      <c r="DF27" s="50" t="str">
        <f t="shared" si="36"/>
        <v/>
      </c>
      <c r="DG27" s="50" t="str">
        <f t="shared" si="37"/>
        <v/>
      </c>
      <c r="DH27" s="50" t="str">
        <f t="shared" si="38"/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 t="shared" si="39"/>
        <v/>
      </c>
      <c r="ED27" s="40" t="str">
        <f t="shared" si="40"/>
        <v/>
      </c>
      <c r="EE27" s="40" t="str">
        <f t="shared" si="41"/>
        <v/>
      </c>
      <c r="EF27" s="40" t="str">
        <f t="shared" si="42"/>
        <v/>
      </c>
      <c r="EG27" s="40" t="str">
        <f t="shared" si="43"/>
        <v/>
      </c>
      <c r="EH27" s="40" t="str">
        <f t="shared" si="44"/>
        <v/>
      </c>
      <c r="EI27" s="40" t="str">
        <f t="shared" si="45"/>
        <v/>
      </c>
      <c r="EJ27" s="40" t="str">
        <f t="shared" si="46"/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 t="shared" si="47"/>
        <v/>
      </c>
      <c r="FF27" s="11" t="str">
        <f t="shared" si="48"/>
        <v/>
      </c>
      <c r="FG27" s="11" t="str">
        <f t="shared" si="49"/>
        <v/>
      </c>
      <c r="FH27" s="11" t="str">
        <f t="shared" si="50"/>
        <v/>
      </c>
      <c r="FI27" s="11" t="str">
        <f t="shared" si="51"/>
        <v/>
      </c>
      <c r="FJ27" s="11" t="str">
        <f t="shared" si="52"/>
        <v/>
      </c>
      <c r="FK27" s="11" t="str">
        <f t="shared" si="53"/>
        <v/>
      </c>
      <c r="FL27" s="11" t="str">
        <f t="shared" si="54"/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 t="shared" si="55"/>
        <v/>
      </c>
      <c r="GH27" s="40" t="str">
        <f t="shared" si="56"/>
        <v/>
      </c>
      <c r="GI27" s="40" t="str">
        <f t="shared" si="57"/>
        <v/>
      </c>
      <c r="GJ27" s="40" t="str">
        <f t="shared" si="58"/>
        <v/>
      </c>
      <c r="GK27" s="40" t="str">
        <f t="shared" si="59"/>
        <v/>
      </c>
      <c r="GL27" s="40" t="str">
        <f t="shared" si="60"/>
        <v/>
      </c>
      <c r="GM27" s="40" t="str">
        <f t="shared" si="61"/>
        <v/>
      </c>
      <c r="GN27" s="40" t="str">
        <f t="shared" si="62"/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 t="shared" si="63"/>
        <v/>
      </c>
      <c r="HJ27" s="11" t="str">
        <f t="shared" si="64"/>
        <v/>
      </c>
      <c r="HK27" s="11" t="str">
        <f t="shared" si="65"/>
        <v/>
      </c>
      <c r="HL27" s="11" t="str">
        <f t="shared" si="66"/>
        <v/>
      </c>
      <c r="HM27" s="11" t="str">
        <f t="shared" si="67"/>
        <v/>
      </c>
      <c r="HN27" s="11" t="str">
        <f t="shared" si="68"/>
        <v/>
      </c>
      <c r="HO27" s="11" t="str">
        <f t="shared" si="69"/>
        <v/>
      </c>
      <c r="HP27" s="11" t="str">
        <f t="shared" si="70"/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 t="shared" si="71"/>
        <v/>
      </c>
      <c r="IL27" s="40" t="str">
        <f t="shared" si="72"/>
        <v/>
      </c>
      <c r="IM27" s="40" t="str">
        <f t="shared" si="73"/>
        <v/>
      </c>
      <c r="IN27" s="40" t="str">
        <f t="shared" si="74"/>
        <v/>
      </c>
      <c r="IO27" s="40" t="str">
        <f t="shared" si="75"/>
        <v/>
      </c>
      <c r="IP27" s="40" t="str">
        <f t="shared" si="76"/>
        <v/>
      </c>
      <c r="IQ27" s="40" t="str">
        <f t="shared" si="77"/>
        <v/>
      </c>
      <c r="IR27" s="40" t="str">
        <f t="shared" si="78"/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 t="shared" si="79"/>
        <v/>
      </c>
      <c r="JN27" s="11" t="str">
        <f t="shared" si="80"/>
        <v/>
      </c>
      <c r="JO27" s="11" t="str">
        <f t="shared" si="81"/>
        <v/>
      </c>
      <c r="JP27" s="11" t="str">
        <f t="shared" si="82"/>
        <v/>
      </c>
      <c r="JQ27" s="11" t="str">
        <f t="shared" si="83"/>
        <v/>
      </c>
      <c r="JR27" s="11" t="str">
        <f t="shared" si="84"/>
        <v/>
      </c>
      <c r="JS27" s="11" t="str">
        <f t="shared" si="85"/>
        <v/>
      </c>
      <c r="JT27" s="11" t="str">
        <f t="shared" si="86"/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 t="shared" si="87"/>
        <v/>
      </c>
      <c r="KP27" s="40" t="str">
        <f t="shared" si="88"/>
        <v/>
      </c>
      <c r="KQ27" s="40" t="str">
        <f t="shared" si="89"/>
        <v/>
      </c>
      <c r="KR27" s="40" t="str">
        <f t="shared" si="90"/>
        <v/>
      </c>
      <c r="KS27" s="40" t="str">
        <f t="shared" si="91"/>
        <v/>
      </c>
      <c r="KT27" s="40" t="str">
        <f t="shared" si="92"/>
        <v/>
      </c>
      <c r="KU27" s="40" t="str">
        <f t="shared" si="93"/>
        <v/>
      </c>
      <c r="KV27" s="40" t="str">
        <f t="shared" si="94"/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 t="shared" si="95"/>
        <v/>
      </c>
      <c r="LR27" s="11" t="str">
        <f t="shared" si="96"/>
        <v/>
      </c>
      <c r="LS27" s="11" t="str">
        <f t="shared" si="97"/>
        <v/>
      </c>
      <c r="LT27" s="11" t="str">
        <f t="shared" si="98"/>
        <v/>
      </c>
      <c r="LU27" s="11" t="str">
        <f t="shared" si="99"/>
        <v/>
      </c>
      <c r="LV27" s="11" t="str">
        <f t="shared" si="100"/>
        <v/>
      </c>
      <c r="LW27" s="11" t="str">
        <f t="shared" si="101"/>
        <v/>
      </c>
      <c r="LX27" s="11" t="str">
        <f t="shared" si="102"/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 t="shared" si="103"/>
        <v/>
      </c>
      <c r="MT27" s="40" t="str">
        <f t="shared" si="104"/>
        <v/>
      </c>
      <c r="MU27" s="40" t="str">
        <f t="shared" si="105"/>
        <v/>
      </c>
      <c r="MV27" s="40" t="str">
        <f t="shared" si="106"/>
        <v/>
      </c>
      <c r="MW27" s="40" t="str">
        <f t="shared" si="107"/>
        <v/>
      </c>
      <c r="MX27" s="40" t="str">
        <f t="shared" si="108"/>
        <v/>
      </c>
      <c r="MY27" s="40" t="str">
        <f t="shared" si="109"/>
        <v/>
      </c>
      <c r="MZ27" s="40" t="str">
        <f t="shared" si="110"/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 t="shared" si="111"/>
        <v/>
      </c>
      <c r="NV27" s="11" t="str">
        <f t="shared" si="112"/>
        <v/>
      </c>
      <c r="NW27" s="11" t="str">
        <f t="shared" si="113"/>
        <v/>
      </c>
      <c r="NX27" s="11" t="str">
        <f t="shared" si="114"/>
        <v/>
      </c>
      <c r="NY27" s="11" t="str">
        <f t="shared" si="115"/>
        <v/>
      </c>
      <c r="NZ27" s="11" t="str">
        <f t="shared" si="116"/>
        <v/>
      </c>
      <c r="OA27" s="11" t="str">
        <f t="shared" si="117"/>
        <v/>
      </c>
      <c r="OB27" s="11" t="str">
        <f t="shared" si="118"/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 t="shared" si="119"/>
        <v/>
      </c>
      <c r="OX27" s="40" t="str">
        <f t="shared" si="120"/>
        <v/>
      </c>
      <c r="OY27" s="40" t="str">
        <f t="shared" si="121"/>
        <v/>
      </c>
      <c r="OZ27" s="40" t="str">
        <f t="shared" si="122"/>
        <v/>
      </c>
      <c r="PA27" s="40" t="str">
        <f t="shared" si="123"/>
        <v/>
      </c>
      <c r="PB27" s="40" t="str">
        <f t="shared" si="124"/>
        <v/>
      </c>
      <c r="PC27" s="40" t="str">
        <f t="shared" si="125"/>
        <v/>
      </c>
      <c r="PD27" s="40" t="str">
        <f t="shared" si="126"/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 t="shared" si="127"/>
        <v/>
      </c>
      <c r="PZ27" s="11" t="str">
        <f t="shared" si="128"/>
        <v/>
      </c>
      <c r="QA27" s="11" t="str">
        <f t="shared" si="129"/>
        <v/>
      </c>
      <c r="QB27" s="11" t="str">
        <f t="shared" si="130"/>
        <v/>
      </c>
      <c r="QC27" s="11" t="str">
        <f t="shared" si="131"/>
        <v/>
      </c>
      <c r="QD27" s="11" t="str">
        <f t="shared" si="132"/>
        <v/>
      </c>
      <c r="QE27" s="11" t="str">
        <f t="shared" si="133"/>
        <v/>
      </c>
      <c r="QF27" s="11" t="str">
        <f t="shared" si="134"/>
        <v/>
      </c>
      <c r="QG27" s="22">
        <f t="shared" si="135"/>
        <v>0</v>
      </c>
      <c r="QH27" s="22">
        <f t="shared" si="136"/>
        <v>0</v>
      </c>
      <c r="QI27" s="22">
        <f t="shared" si="137"/>
        <v>0</v>
      </c>
      <c r="QJ27" s="22">
        <f t="shared" si="138"/>
        <v>0</v>
      </c>
      <c r="QK27" s="22">
        <f t="shared" si="139"/>
        <v>0</v>
      </c>
      <c r="QL27" s="22">
        <f t="shared" si="140"/>
        <v>0</v>
      </c>
      <c r="QM27" s="22">
        <f t="shared" si="141"/>
        <v>0</v>
      </c>
      <c r="QN27" s="22">
        <f t="shared" si="142"/>
        <v>0</v>
      </c>
      <c r="QO27" s="22">
        <f t="shared" si="143"/>
        <v>0</v>
      </c>
      <c r="QP27" s="22">
        <f t="shared" si="144"/>
        <v>0</v>
      </c>
      <c r="QQ27" s="22">
        <f t="shared" si="145"/>
        <v>0</v>
      </c>
      <c r="QR27" s="22">
        <f t="shared" si="146"/>
        <v>0</v>
      </c>
      <c r="QS27" s="22">
        <f t="shared" si="147"/>
        <v>0</v>
      </c>
      <c r="QT27" s="22">
        <f t="shared" si="148"/>
        <v>0</v>
      </c>
      <c r="QU27" s="22">
        <f t="shared" si="149"/>
        <v>0</v>
      </c>
      <c r="QV27" s="22">
        <f t="shared" si="150"/>
        <v>0</v>
      </c>
      <c r="QW27" s="22">
        <f t="shared" si="151"/>
        <v>0</v>
      </c>
      <c r="QX27" s="22">
        <f t="shared" si="152"/>
        <v>0</v>
      </c>
      <c r="QY27" s="22">
        <f t="shared" si="153"/>
        <v>0</v>
      </c>
      <c r="QZ27" s="22">
        <f t="shared" si="154"/>
        <v>0</v>
      </c>
      <c r="RA27" s="27" t="s">
        <v>46</v>
      </c>
      <c r="RB27" s="40" t="str">
        <f t="shared" si="155"/>
        <v/>
      </c>
      <c r="RC27" s="40" t="str">
        <f t="shared" si="156"/>
        <v/>
      </c>
      <c r="RD27" s="40" t="str">
        <f t="shared" si="157"/>
        <v/>
      </c>
      <c r="RE27" s="40" t="str">
        <f t="shared" si="158"/>
        <v/>
      </c>
      <c r="RF27" s="40" t="str">
        <f t="shared" si="159"/>
        <v/>
      </c>
      <c r="RG27" s="40" t="str">
        <f t="shared" si="160"/>
        <v/>
      </c>
      <c r="RH27" s="40" t="str">
        <f t="shared" si="161"/>
        <v/>
      </c>
      <c r="RI27" s="40" t="str">
        <f t="shared" si="162"/>
        <v/>
      </c>
    </row>
    <row r="28" spans="1:477" x14ac:dyDescent="0.2">
      <c r="A28" s="4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>25</v>
      </c>
      <c r="B28" s="4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>19</v>
      </c>
      <c r="C28" s="5" t="s">
        <v>113</v>
      </c>
      <c r="D28" s="4" t="s">
        <v>5</v>
      </c>
      <c r="E28" s="4">
        <v>2005</v>
      </c>
      <c r="F28" s="9">
        <f t="shared" si="163"/>
        <v>119.50001195000489</v>
      </c>
      <c r="G28" s="66"/>
      <c r="H28" s="3" t="str">
        <f t="shared" si="0"/>
        <v>P</v>
      </c>
      <c r="I28" s="3" t="str">
        <f t="shared" si="1"/>
        <v>P</v>
      </c>
      <c r="J28" s="36" t="str">
        <f t="shared" si="2"/>
        <v>National Team</v>
      </c>
      <c r="K28" s="3" t="str">
        <f t="shared" si="3"/>
        <v/>
      </c>
      <c r="L28" s="8">
        <f>IF(COUNT(AS28,BV28,CY28)&gt;0,LARGE((AS28,BV28,CY28),1),0)</f>
        <v>48.9</v>
      </c>
      <c r="M28" s="8" t="str">
        <f t="shared" si="4"/>
        <v>2024 Elite Canada</v>
      </c>
      <c r="N28" s="8">
        <f>IF(COUNT(AS28,BV28,CY28)&gt;1,LARGE((AS28,BV28,CY28),2),0)</f>
        <v>44.300000000000004</v>
      </c>
      <c r="O28" s="8" t="str">
        <f t="shared" si="5"/>
        <v>2023 3rd Domestic Trial</v>
      </c>
      <c r="P28" s="8">
        <f>IF(COUNT(AT28,BW28,CZ28)&gt;0,LARGE((AT28,BW28,CZ28),1),0)</f>
        <v>26.299999999999997</v>
      </c>
      <c r="Q28" s="8" t="str">
        <f t="shared" si="6"/>
        <v>2023 3rd Domestic Trial</v>
      </c>
      <c r="R28" s="8">
        <f t="shared" si="7"/>
        <v>0</v>
      </c>
      <c r="S28" s="8" t="str">
        <f t="shared" si="8"/>
        <v/>
      </c>
      <c r="T28" s="8" t="str">
        <f t="shared" si="9"/>
        <v/>
      </c>
      <c r="U28" s="11" t="str">
        <f t="shared" si="10"/>
        <v/>
      </c>
      <c r="V28" s="8" t="str">
        <f t="shared" si="11"/>
        <v/>
      </c>
      <c r="W28" s="19">
        <v>16.8</v>
      </c>
      <c r="X28" s="19">
        <v>3.4</v>
      </c>
      <c r="Y28" s="19">
        <v>1.8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 t="shared" si="12"/>
        <v>3.4</v>
      </c>
      <c r="AS28" s="40">
        <f t="shared" si="13"/>
        <v>18.399999999999999</v>
      </c>
      <c r="AT28" s="40" t="str">
        <f t="shared" si="14"/>
        <v/>
      </c>
      <c r="AU28" s="40">
        <f t="shared" si="15"/>
        <v>3.4</v>
      </c>
      <c r="AV28" s="40">
        <f t="shared" si="16"/>
        <v>18.399999999999999</v>
      </c>
      <c r="AW28" s="40" t="str">
        <f t="shared" si="17"/>
        <v/>
      </c>
      <c r="AX28" s="40" t="str">
        <f t="shared" si="18"/>
        <v/>
      </c>
      <c r="AY28" s="40">
        <f t="shared" si="19"/>
        <v>18.399999999999999</v>
      </c>
      <c r="AZ28" s="18">
        <v>18.100000000000001</v>
      </c>
      <c r="BA28" s="18">
        <v>6.8</v>
      </c>
      <c r="BB28" s="18">
        <v>0</v>
      </c>
      <c r="BC28" s="18">
        <v>0</v>
      </c>
      <c r="BD28" s="18">
        <v>17</v>
      </c>
      <c r="BE28" s="18">
        <v>2.4</v>
      </c>
      <c r="BF28" s="18">
        <v>0</v>
      </c>
      <c r="BG28" s="18">
        <v>0</v>
      </c>
      <c r="BH28" s="18">
        <v>18.2</v>
      </c>
      <c r="BI28" s="18">
        <v>8.1</v>
      </c>
      <c r="BJ28" s="18">
        <v>0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 t="shared" si="20"/>
        <v>9.1999999999999993</v>
      </c>
      <c r="BV28" s="11">
        <f t="shared" si="21"/>
        <v>44.300000000000004</v>
      </c>
      <c r="BW28" s="11">
        <f t="shared" si="22"/>
        <v>26.299999999999997</v>
      </c>
      <c r="BX28" s="11">
        <f t="shared" si="23"/>
        <v>17.299999999999997</v>
      </c>
      <c r="BY28" s="11">
        <f t="shared" si="24"/>
        <v>70.599999999999994</v>
      </c>
      <c r="BZ28" s="11" t="str">
        <f t="shared" si="25"/>
        <v/>
      </c>
      <c r="CA28" s="11" t="str">
        <f t="shared" si="26"/>
        <v/>
      </c>
      <c r="CB28" s="11">
        <f t="shared" si="27"/>
        <v>70.599999999999994</v>
      </c>
      <c r="CC28" s="19">
        <v>16.7</v>
      </c>
      <c r="CD28" s="19">
        <v>8</v>
      </c>
      <c r="CE28" s="19">
        <v>0.8</v>
      </c>
      <c r="CF28" s="19">
        <v>0.3</v>
      </c>
      <c r="CG28" s="19">
        <v>17.899999999999999</v>
      </c>
      <c r="CH28" s="19">
        <v>6.8</v>
      </c>
      <c r="CI28" s="19">
        <v>0</v>
      </c>
      <c r="CJ28" s="19">
        <v>0</v>
      </c>
      <c r="CK28" s="19">
        <v>18</v>
      </c>
      <c r="CL28" s="19">
        <v>6.4</v>
      </c>
      <c r="CM28" s="19">
        <v>0.8</v>
      </c>
      <c r="CN28" s="19">
        <v>0</v>
      </c>
      <c r="CO28" s="19"/>
      <c r="CP28" s="19"/>
      <c r="CQ28" s="19"/>
      <c r="CR28" s="19"/>
      <c r="CS28" s="19"/>
      <c r="CT28" s="19"/>
      <c r="CU28" s="19"/>
      <c r="CV28" s="19"/>
      <c r="CW28" s="27"/>
      <c r="CX28" s="40">
        <f t="shared" si="28"/>
        <v>14.8</v>
      </c>
      <c r="CY28" s="40">
        <f t="shared" si="29"/>
        <v>48.9</v>
      </c>
      <c r="CZ28" s="40">
        <f t="shared" si="30"/>
        <v>23.599999999999998</v>
      </c>
      <c r="DA28" s="40">
        <f t="shared" si="31"/>
        <v>21.200000000000003</v>
      </c>
      <c r="DB28" s="40">
        <f t="shared" si="32"/>
        <v>72.5</v>
      </c>
      <c r="DC28" s="40" t="str">
        <f t="shared" si="33"/>
        <v/>
      </c>
      <c r="DD28" s="40" t="str">
        <f t="shared" si="34"/>
        <v/>
      </c>
      <c r="DE28" s="40">
        <f t="shared" si="35"/>
        <v>72.5</v>
      </c>
      <c r="DF28" s="50" t="str">
        <f t="shared" si="36"/>
        <v/>
      </c>
      <c r="DG28" s="50" t="str">
        <f t="shared" si="37"/>
        <v/>
      </c>
      <c r="DH28" s="50" t="str">
        <f t="shared" si="38"/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 t="shared" si="39"/>
        <v/>
      </c>
      <c r="ED28" s="40" t="str">
        <f t="shared" si="40"/>
        <v/>
      </c>
      <c r="EE28" s="40" t="str">
        <f t="shared" si="41"/>
        <v/>
      </c>
      <c r="EF28" s="40" t="str">
        <f t="shared" si="42"/>
        <v/>
      </c>
      <c r="EG28" s="40" t="str">
        <f t="shared" si="43"/>
        <v/>
      </c>
      <c r="EH28" s="40" t="str">
        <f t="shared" si="44"/>
        <v/>
      </c>
      <c r="EI28" s="40" t="str">
        <f t="shared" si="45"/>
        <v/>
      </c>
      <c r="EJ28" s="40" t="str">
        <f t="shared" si="46"/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 t="shared" si="47"/>
        <v/>
      </c>
      <c r="FF28" s="11" t="str">
        <f t="shared" si="48"/>
        <v/>
      </c>
      <c r="FG28" s="11" t="str">
        <f t="shared" si="49"/>
        <v/>
      </c>
      <c r="FH28" s="11" t="str">
        <f t="shared" si="50"/>
        <v/>
      </c>
      <c r="FI28" s="11" t="str">
        <f t="shared" si="51"/>
        <v/>
      </c>
      <c r="FJ28" s="11" t="str">
        <f t="shared" si="52"/>
        <v/>
      </c>
      <c r="FK28" s="11" t="str">
        <f t="shared" si="53"/>
        <v/>
      </c>
      <c r="FL28" s="11" t="str">
        <f t="shared" si="54"/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 t="shared" si="55"/>
        <v/>
      </c>
      <c r="GH28" s="40" t="str">
        <f t="shared" si="56"/>
        <v/>
      </c>
      <c r="GI28" s="40" t="str">
        <f t="shared" si="57"/>
        <v/>
      </c>
      <c r="GJ28" s="40" t="str">
        <f t="shared" si="58"/>
        <v/>
      </c>
      <c r="GK28" s="40" t="str">
        <f t="shared" si="59"/>
        <v/>
      </c>
      <c r="GL28" s="40" t="str">
        <f t="shared" si="60"/>
        <v/>
      </c>
      <c r="GM28" s="40" t="str">
        <f t="shared" si="61"/>
        <v/>
      </c>
      <c r="GN28" s="40" t="str">
        <f t="shared" si="62"/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 t="shared" si="63"/>
        <v/>
      </c>
      <c r="HJ28" s="11" t="str">
        <f t="shared" si="64"/>
        <v/>
      </c>
      <c r="HK28" s="11" t="str">
        <f t="shared" si="65"/>
        <v/>
      </c>
      <c r="HL28" s="11" t="str">
        <f t="shared" si="66"/>
        <v/>
      </c>
      <c r="HM28" s="11" t="str">
        <f t="shared" si="67"/>
        <v/>
      </c>
      <c r="HN28" s="11" t="str">
        <f t="shared" si="68"/>
        <v/>
      </c>
      <c r="HO28" s="11" t="str">
        <f t="shared" si="69"/>
        <v/>
      </c>
      <c r="HP28" s="11" t="str">
        <f t="shared" si="70"/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 t="shared" si="71"/>
        <v/>
      </c>
      <c r="IL28" s="40" t="str">
        <f t="shared" si="72"/>
        <v/>
      </c>
      <c r="IM28" s="40" t="str">
        <f t="shared" si="73"/>
        <v/>
      </c>
      <c r="IN28" s="40" t="str">
        <f t="shared" si="74"/>
        <v/>
      </c>
      <c r="IO28" s="40" t="str">
        <f t="shared" si="75"/>
        <v/>
      </c>
      <c r="IP28" s="40" t="str">
        <f t="shared" si="76"/>
        <v/>
      </c>
      <c r="IQ28" s="40" t="str">
        <f t="shared" si="77"/>
        <v/>
      </c>
      <c r="IR28" s="40" t="str">
        <f t="shared" si="78"/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 t="shared" si="79"/>
        <v/>
      </c>
      <c r="JN28" s="11" t="str">
        <f t="shared" si="80"/>
        <v/>
      </c>
      <c r="JO28" s="11" t="str">
        <f t="shared" si="81"/>
        <v/>
      </c>
      <c r="JP28" s="11" t="str">
        <f t="shared" si="82"/>
        <v/>
      </c>
      <c r="JQ28" s="11" t="str">
        <f t="shared" si="83"/>
        <v/>
      </c>
      <c r="JR28" s="11" t="str">
        <f t="shared" si="84"/>
        <v/>
      </c>
      <c r="JS28" s="11" t="str">
        <f t="shared" si="85"/>
        <v/>
      </c>
      <c r="JT28" s="11" t="str">
        <f t="shared" si="86"/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 t="shared" si="87"/>
        <v/>
      </c>
      <c r="KP28" s="40" t="str">
        <f t="shared" si="88"/>
        <v/>
      </c>
      <c r="KQ28" s="40" t="str">
        <f t="shared" si="89"/>
        <v/>
      </c>
      <c r="KR28" s="40" t="str">
        <f t="shared" si="90"/>
        <v/>
      </c>
      <c r="KS28" s="40" t="str">
        <f t="shared" si="91"/>
        <v/>
      </c>
      <c r="KT28" s="40" t="str">
        <f t="shared" si="92"/>
        <v/>
      </c>
      <c r="KU28" s="40" t="str">
        <f t="shared" si="93"/>
        <v/>
      </c>
      <c r="KV28" s="40" t="str">
        <f t="shared" si="94"/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 t="shared" si="95"/>
        <v/>
      </c>
      <c r="LR28" s="11" t="str">
        <f t="shared" si="96"/>
        <v/>
      </c>
      <c r="LS28" s="11" t="str">
        <f t="shared" si="97"/>
        <v/>
      </c>
      <c r="LT28" s="11" t="str">
        <f t="shared" si="98"/>
        <v/>
      </c>
      <c r="LU28" s="11" t="str">
        <f t="shared" si="99"/>
        <v/>
      </c>
      <c r="LV28" s="11" t="str">
        <f t="shared" si="100"/>
        <v/>
      </c>
      <c r="LW28" s="11" t="str">
        <f t="shared" si="101"/>
        <v/>
      </c>
      <c r="LX28" s="11" t="str">
        <f t="shared" si="102"/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 t="shared" si="103"/>
        <v/>
      </c>
      <c r="MT28" s="40" t="str">
        <f t="shared" si="104"/>
        <v/>
      </c>
      <c r="MU28" s="40" t="str">
        <f t="shared" si="105"/>
        <v/>
      </c>
      <c r="MV28" s="40" t="str">
        <f t="shared" si="106"/>
        <v/>
      </c>
      <c r="MW28" s="40" t="str">
        <f t="shared" si="107"/>
        <v/>
      </c>
      <c r="MX28" s="40" t="str">
        <f t="shared" si="108"/>
        <v/>
      </c>
      <c r="MY28" s="40" t="str">
        <f t="shared" si="109"/>
        <v/>
      </c>
      <c r="MZ28" s="40" t="str">
        <f t="shared" si="110"/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 t="shared" si="111"/>
        <v/>
      </c>
      <c r="NV28" s="11" t="str">
        <f t="shared" si="112"/>
        <v/>
      </c>
      <c r="NW28" s="11" t="str">
        <f t="shared" si="113"/>
        <v/>
      </c>
      <c r="NX28" s="11" t="str">
        <f t="shared" si="114"/>
        <v/>
      </c>
      <c r="NY28" s="11" t="str">
        <f t="shared" si="115"/>
        <v/>
      </c>
      <c r="NZ28" s="11" t="str">
        <f t="shared" si="116"/>
        <v/>
      </c>
      <c r="OA28" s="11" t="str">
        <f t="shared" si="117"/>
        <v/>
      </c>
      <c r="OB28" s="11" t="str">
        <f t="shared" si="118"/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 t="shared" si="119"/>
        <v/>
      </c>
      <c r="OX28" s="40" t="str">
        <f t="shared" si="120"/>
        <v/>
      </c>
      <c r="OY28" s="40" t="str">
        <f t="shared" si="121"/>
        <v/>
      </c>
      <c r="OZ28" s="40" t="str">
        <f t="shared" si="122"/>
        <v/>
      </c>
      <c r="PA28" s="40" t="str">
        <f t="shared" si="123"/>
        <v/>
      </c>
      <c r="PB28" s="40" t="str">
        <f t="shared" si="124"/>
        <v/>
      </c>
      <c r="PC28" s="40" t="str">
        <f t="shared" si="125"/>
        <v/>
      </c>
      <c r="PD28" s="40" t="str">
        <f t="shared" si="126"/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 t="shared" si="127"/>
        <v/>
      </c>
      <c r="PZ28" s="11" t="str">
        <f t="shared" si="128"/>
        <v/>
      </c>
      <c r="QA28" s="11" t="str">
        <f t="shared" si="129"/>
        <v/>
      </c>
      <c r="QB28" s="11" t="str">
        <f t="shared" si="130"/>
        <v/>
      </c>
      <c r="QC28" s="11" t="str">
        <f t="shared" si="131"/>
        <v/>
      </c>
      <c r="QD28" s="11" t="str">
        <f t="shared" si="132"/>
        <v/>
      </c>
      <c r="QE28" s="11" t="str">
        <f t="shared" si="133"/>
        <v/>
      </c>
      <c r="QF28" s="11" t="str">
        <f t="shared" si="134"/>
        <v/>
      </c>
      <c r="QG28" s="22">
        <f t="shared" si="135"/>
        <v>17.399999999999999</v>
      </c>
      <c r="QH28" s="22">
        <f t="shared" si="136"/>
        <v>7.4</v>
      </c>
      <c r="QI28" s="22">
        <f t="shared" si="137"/>
        <v>0.4</v>
      </c>
      <c r="QJ28" s="22">
        <f t="shared" si="138"/>
        <v>0.15</v>
      </c>
      <c r="QK28" s="22">
        <f t="shared" si="139"/>
        <v>17.45</v>
      </c>
      <c r="QL28" s="22">
        <f t="shared" si="140"/>
        <v>4.5999999999999996</v>
      </c>
      <c r="QM28" s="22">
        <f t="shared" si="141"/>
        <v>0</v>
      </c>
      <c r="QN28" s="22">
        <f t="shared" si="142"/>
        <v>0</v>
      </c>
      <c r="QO28" s="22">
        <f t="shared" si="143"/>
        <v>18.100000000000001</v>
      </c>
      <c r="QP28" s="22">
        <f t="shared" si="144"/>
        <v>7.25</v>
      </c>
      <c r="QQ28" s="22">
        <f t="shared" si="145"/>
        <v>0.4</v>
      </c>
      <c r="QR28" s="22">
        <f t="shared" si="146"/>
        <v>0</v>
      </c>
      <c r="QS28" s="22">
        <f t="shared" si="147"/>
        <v>0</v>
      </c>
      <c r="QT28" s="22">
        <f t="shared" si="148"/>
        <v>0</v>
      </c>
      <c r="QU28" s="22">
        <f t="shared" si="149"/>
        <v>0</v>
      </c>
      <c r="QV28" s="22">
        <f t="shared" si="150"/>
        <v>0</v>
      </c>
      <c r="QW28" s="22">
        <f t="shared" si="151"/>
        <v>0</v>
      </c>
      <c r="QX28" s="22">
        <f t="shared" si="152"/>
        <v>0</v>
      </c>
      <c r="QY28" s="22">
        <f t="shared" si="153"/>
        <v>0</v>
      </c>
      <c r="QZ28" s="22">
        <f t="shared" si="154"/>
        <v>0</v>
      </c>
      <c r="RA28" s="27" t="s">
        <v>46</v>
      </c>
      <c r="RB28" s="40">
        <f t="shared" si="155"/>
        <v>12</v>
      </c>
      <c r="RC28" s="40">
        <f t="shared" si="156"/>
        <v>46.599999999999994</v>
      </c>
      <c r="RD28" s="40">
        <f t="shared" si="157"/>
        <v>24.950000000000003</v>
      </c>
      <c r="RE28" s="40">
        <f t="shared" si="158"/>
        <v>19.25</v>
      </c>
      <c r="RF28" s="40">
        <f t="shared" si="159"/>
        <v>71.55</v>
      </c>
      <c r="RG28" s="40" t="str">
        <f t="shared" si="160"/>
        <v/>
      </c>
      <c r="RH28" s="40" t="str">
        <f t="shared" si="161"/>
        <v/>
      </c>
      <c r="RI28" s="40">
        <f t="shared" si="162"/>
        <v>71.55</v>
      </c>
    </row>
    <row r="29" spans="1:477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215</v>
      </c>
      <c r="D29" s="4" t="s">
        <v>5</v>
      </c>
      <c r="E29" s="4">
        <v>2007</v>
      </c>
      <c r="F29" s="9">
        <f t="shared" si="163"/>
        <v>161.60001176000472</v>
      </c>
      <c r="G29" s="66"/>
      <c r="H29" s="3" t="str">
        <f t="shared" si="0"/>
        <v/>
      </c>
      <c r="I29" s="3" t="str">
        <f t="shared" si="1"/>
        <v/>
      </c>
      <c r="J29" s="36" t="str">
        <f t="shared" si="2"/>
        <v/>
      </c>
      <c r="K29" s="3" t="str">
        <f t="shared" si="3"/>
        <v/>
      </c>
      <c r="L29" s="8">
        <f>IF(COUNT(AS29,BV29,CY29)&gt;0,LARGE((AS29,BV29,CY29),1),0)</f>
        <v>47.300000000000004</v>
      </c>
      <c r="M29" s="8" t="str">
        <f t="shared" si="4"/>
        <v>2024 Elite Canada</v>
      </c>
      <c r="N29" s="8">
        <f>IF(COUNT(AS29,BV29,CY29)&gt;1,LARGE((AS29,BV29,CY29),2),0)</f>
        <v>46.2</v>
      </c>
      <c r="O29" s="8" t="str">
        <f t="shared" si="5"/>
        <v>2023 Nationals</v>
      </c>
      <c r="P29" s="8">
        <f>IF(COUNT(AT29,BW29,CZ29)&gt;0,LARGE((AT29,BW29,CZ29),1),0)</f>
        <v>24.1</v>
      </c>
      <c r="Q29" s="8" t="str">
        <f t="shared" si="6"/>
        <v>2024 Elite Canada</v>
      </c>
      <c r="R29" s="8">
        <f t="shared" si="7"/>
        <v>43.999999999999993</v>
      </c>
      <c r="S29" s="8" t="str">
        <f t="shared" si="8"/>
        <v>2023 Nationals</v>
      </c>
      <c r="T29" s="8" t="str">
        <f t="shared" si="9"/>
        <v/>
      </c>
      <c r="U29" s="11" t="str">
        <f t="shared" si="10"/>
        <v/>
      </c>
      <c r="V29" s="8" t="str">
        <f t="shared" si="11"/>
        <v/>
      </c>
      <c r="W29" s="19">
        <v>18.399999999999999</v>
      </c>
      <c r="X29" s="19">
        <v>5.6</v>
      </c>
      <c r="Y29" s="19">
        <v>1</v>
      </c>
      <c r="Z29" s="19">
        <v>0</v>
      </c>
      <c r="AA29" s="19">
        <v>18.600000000000001</v>
      </c>
      <c r="AB29" s="19">
        <v>5.6</v>
      </c>
      <c r="AC29" s="19">
        <v>1</v>
      </c>
      <c r="AD29" s="19">
        <v>0</v>
      </c>
      <c r="AE29" s="19"/>
      <c r="AF29" s="19"/>
      <c r="AG29" s="19"/>
      <c r="AH29" s="19"/>
      <c r="AI29" s="19">
        <v>18.399999999999999</v>
      </c>
      <c r="AJ29" s="19">
        <v>3.5</v>
      </c>
      <c r="AK29" s="19">
        <v>0.8</v>
      </c>
      <c r="AL29" s="19">
        <v>0</v>
      </c>
      <c r="AM29" s="19">
        <v>19.2</v>
      </c>
      <c r="AN29" s="19">
        <v>4.3</v>
      </c>
      <c r="AO29" s="19">
        <v>0.6</v>
      </c>
      <c r="AP29" s="19">
        <v>0</v>
      </c>
      <c r="AQ29" s="27"/>
      <c r="AR29" s="40">
        <f t="shared" si="12"/>
        <v>11.2</v>
      </c>
      <c r="AS29" s="40">
        <f t="shared" si="13"/>
        <v>46.2</v>
      </c>
      <c r="AT29" s="40" t="str">
        <f t="shared" si="14"/>
        <v/>
      </c>
      <c r="AU29" s="40">
        <f t="shared" si="15"/>
        <v>11.2</v>
      </c>
      <c r="AV29" s="40">
        <f t="shared" si="16"/>
        <v>46.2</v>
      </c>
      <c r="AW29" s="40">
        <f t="shared" si="17"/>
        <v>7.8</v>
      </c>
      <c r="AX29" s="40">
        <f t="shared" si="18"/>
        <v>43.999999999999993</v>
      </c>
      <c r="AY29" s="40">
        <f t="shared" si="19"/>
        <v>90.199999999999989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 t="shared" si="20"/>
        <v/>
      </c>
      <c r="BV29" s="11" t="str">
        <f t="shared" si="21"/>
        <v/>
      </c>
      <c r="BW29" s="11" t="str">
        <f t="shared" si="22"/>
        <v/>
      </c>
      <c r="BX29" s="11" t="str">
        <f t="shared" si="23"/>
        <v/>
      </c>
      <c r="BY29" s="11" t="str">
        <f t="shared" si="24"/>
        <v/>
      </c>
      <c r="BZ29" s="11" t="str">
        <f t="shared" si="25"/>
        <v/>
      </c>
      <c r="CA29" s="11" t="str">
        <f t="shared" si="26"/>
        <v/>
      </c>
      <c r="CB29" s="11" t="str">
        <f t="shared" si="27"/>
        <v/>
      </c>
      <c r="CC29" s="19">
        <v>18.600000000000001</v>
      </c>
      <c r="CD29" s="19">
        <v>6</v>
      </c>
      <c r="CE29" s="19">
        <v>0.6</v>
      </c>
      <c r="CF29" s="19">
        <v>0</v>
      </c>
      <c r="CG29" s="19">
        <v>18.100000000000001</v>
      </c>
      <c r="CH29" s="19">
        <v>6</v>
      </c>
      <c r="CI29" s="19">
        <v>0.8</v>
      </c>
      <c r="CJ29" s="19">
        <v>0</v>
      </c>
      <c r="CK29" s="19">
        <v>18.100000000000001</v>
      </c>
      <c r="CL29" s="19">
        <v>6</v>
      </c>
      <c r="CM29" s="19">
        <v>0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 t="shared" si="28"/>
        <v>12</v>
      </c>
      <c r="CY29" s="40">
        <f t="shared" si="29"/>
        <v>47.300000000000004</v>
      </c>
      <c r="CZ29" s="40">
        <f t="shared" si="30"/>
        <v>24.1</v>
      </c>
      <c r="DA29" s="40">
        <f t="shared" si="31"/>
        <v>18</v>
      </c>
      <c r="DB29" s="40">
        <f t="shared" si="32"/>
        <v>71.400000000000006</v>
      </c>
      <c r="DC29" s="40" t="str">
        <f t="shared" si="33"/>
        <v/>
      </c>
      <c r="DD29" s="40" t="str">
        <f t="shared" si="34"/>
        <v/>
      </c>
      <c r="DE29" s="40">
        <f t="shared" si="35"/>
        <v>71.400000000000006</v>
      </c>
      <c r="DF29" s="50" t="str">
        <f t="shared" si="36"/>
        <v/>
      </c>
      <c r="DG29" s="50" t="str">
        <f t="shared" si="37"/>
        <v/>
      </c>
      <c r="DH29" s="50" t="str">
        <f t="shared" si="38"/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 t="shared" si="39"/>
        <v/>
      </c>
      <c r="ED29" s="40" t="str">
        <f t="shared" si="40"/>
        <v/>
      </c>
      <c r="EE29" s="40" t="str">
        <f t="shared" si="41"/>
        <v/>
      </c>
      <c r="EF29" s="40" t="str">
        <f t="shared" si="42"/>
        <v/>
      </c>
      <c r="EG29" s="40" t="str">
        <f t="shared" si="43"/>
        <v/>
      </c>
      <c r="EH29" s="40" t="str">
        <f t="shared" si="44"/>
        <v/>
      </c>
      <c r="EI29" s="40" t="str">
        <f t="shared" si="45"/>
        <v/>
      </c>
      <c r="EJ29" s="40" t="str">
        <f t="shared" si="46"/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 t="shared" si="47"/>
        <v/>
      </c>
      <c r="FF29" s="11" t="str">
        <f t="shared" si="48"/>
        <v/>
      </c>
      <c r="FG29" s="11" t="str">
        <f t="shared" si="49"/>
        <v/>
      </c>
      <c r="FH29" s="11" t="str">
        <f t="shared" si="50"/>
        <v/>
      </c>
      <c r="FI29" s="11" t="str">
        <f t="shared" si="51"/>
        <v/>
      </c>
      <c r="FJ29" s="11" t="str">
        <f t="shared" si="52"/>
        <v/>
      </c>
      <c r="FK29" s="11" t="str">
        <f t="shared" si="53"/>
        <v/>
      </c>
      <c r="FL29" s="11" t="str">
        <f t="shared" si="54"/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 t="shared" si="55"/>
        <v/>
      </c>
      <c r="GH29" s="40" t="str">
        <f t="shared" si="56"/>
        <v/>
      </c>
      <c r="GI29" s="40" t="str">
        <f t="shared" si="57"/>
        <v/>
      </c>
      <c r="GJ29" s="40" t="str">
        <f t="shared" si="58"/>
        <v/>
      </c>
      <c r="GK29" s="40" t="str">
        <f t="shared" si="59"/>
        <v/>
      </c>
      <c r="GL29" s="40" t="str">
        <f t="shared" si="60"/>
        <v/>
      </c>
      <c r="GM29" s="40" t="str">
        <f t="shared" si="61"/>
        <v/>
      </c>
      <c r="GN29" s="40" t="str">
        <f t="shared" si="62"/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 t="shared" si="63"/>
        <v/>
      </c>
      <c r="HJ29" s="11" t="str">
        <f t="shared" si="64"/>
        <v/>
      </c>
      <c r="HK29" s="11" t="str">
        <f t="shared" si="65"/>
        <v/>
      </c>
      <c r="HL29" s="11" t="str">
        <f t="shared" si="66"/>
        <v/>
      </c>
      <c r="HM29" s="11" t="str">
        <f t="shared" si="67"/>
        <v/>
      </c>
      <c r="HN29" s="11" t="str">
        <f t="shared" si="68"/>
        <v/>
      </c>
      <c r="HO29" s="11" t="str">
        <f t="shared" si="69"/>
        <v/>
      </c>
      <c r="HP29" s="11" t="str">
        <f t="shared" si="70"/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 t="shared" si="71"/>
        <v/>
      </c>
      <c r="IL29" s="40" t="str">
        <f t="shared" si="72"/>
        <v/>
      </c>
      <c r="IM29" s="40" t="str">
        <f t="shared" si="73"/>
        <v/>
      </c>
      <c r="IN29" s="40" t="str">
        <f t="shared" si="74"/>
        <v/>
      </c>
      <c r="IO29" s="40" t="str">
        <f t="shared" si="75"/>
        <v/>
      </c>
      <c r="IP29" s="40" t="str">
        <f t="shared" si="76"/>
        <v/>
      </c>
      <c r="IQ29" s="40" t="str">
        <f t="shared" si="77"/>
        <v/>
      </c>
      <c r="IR29" s="40" t="str">
        <f t="shared" si="78"/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 t="shared" si="79"/>
        <v/>
      </c>
      <c r="JN29" s="11" t="str">
        <f t="shared" si="80"/>
        <v/>
      </c>
      <c r="JO29" s="11" t="str">
        <f t="shared" si="81"/>
        <v/>
      </c>
      <c r="JP29" s="11" t="str">
        <f t="shared" si="82"/>
        <v/>
      </c>
      <c r="JQ29" s="11" t="str">
        <f t="shared" si="83"/>
        <v/>
      </c>
      <c r="JR29" s="11" t="str">
        <f t="shared" si="84"/>
        <v/>
      </c>
      <c r="JS29" s="11" t="str">
        <f t="shared" si="85"/>
        <v/>
      </c>
      <c r="JT29" s="11" t="str">
        <f t="shared" si="86"/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 t="shared" si="87"/>
        <v/>
      </c>
      <c r="KP29" s="40" t="str">
        <f t="shared" si="88"/>
        <v/>
      </c>
      <c r="KQ29" s="40" t="str">
        <f t="shared" si="89"/>
        <v/>
      </c>
      <c r="KR29" s="40" t="str">
        <f t="shared" si="90"/>
        <v/>
      </c>
      <c r="KS29" s="40" t="str">
        <f t="shared" si="91"/>
        <v/>
      </c>
      <c r="KT29" s="40" t="str">
        <f t="shared" si="92"/>
        <v/>
      </c>
      <c r="KU29" s="40" t="str">
        <f t="shared" si="93"/>
        <v/>
      </c>
      <c r="KV29" s="40" t="str">
        <f t="shared" si="94"/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 t="shared" si="95"/>
        <v/>
      </c>
      <c r="LR29" s="11" t="str">
        <f t="shared" si="96"/>
        <v/>
      </c>
      <c r="LS29" s="11" t="str">
        <f t="shared" si="97"/>
        <v/>
      </c>
      <c r="LT29" s="11" t="str">
        <f t="shared" si="98"/>
        <v/>
      </c>
      <c r="LU29" s="11" t="str">
        <f t="shared" si="99"/>
        <v/>
      </c>
      <c r="LV29" s="11" t="str">
        <f t="shared" si="100"/>
        <v/>
      </c>
      <c r="LW29" s="11" t="str">
        <f t="shared" si="101"/>
        <v/>
      </c>
      <c r="LX29" s="11" t="str">
        <f t="shared" si="102"/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 t="shared" si="103"/>
        <v/>
      </c>
      <c r="MT29" s="40" t="str">
        <f t="shared" si="104"/>
        <v/>
      </c>
      <c r="MU29" s="40" t="str">
        <f t="shared" si="105"/>
        <v/>
      </c>
      <c r="MV29" s="40" t="str">
        <f t="shared" si="106"/>
        <v/>
      </c>
      <c r="MW29" s="40" t="str">
        <f t="shared" si="107"/>
        <v/>
      </c>
      <c r="MX29" s="40" t="str">
        <f t="shared" si="108"/>
        <v/>
      </c>
      <c r="MY29" s="40" t="str">
        <f t="shared" si="109"/>
        <v/>
      </c>
      <c r="MZ29" s="40" t="str">
        <f t="shared" si="110"/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 t="shared" si="111"/>
        <v/>
      </c>
      <c r="NV29" s="11" t="str">
        <f t="shared" si="112"/>
        <v/>
      </c>
      <c r="NW29" s="11" t="str">
        <f t="shared" si="113"/>
        <v/>
      </c>
      <c r="NX29" s="11" t="str">
        <f t="shared" si="114"/>
        <v/>
      </c>
      <c r="NY29" s="11" t="str">
        <f t="shared" si="115"/>
        <v/>
      </c>
      <c r="NZ29" s="11" t="str">
        <f t="shared" si="116"/>
        <v/>
      </c>
      <c r="OA29" s="11" t="str">
        <f t="shared" si="117"/>
        <v/>
      </c>
      <c r="OB29" s="11" t="str">
        <f t="shared" si="118"/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 t="shared" si="119"/>
        <v/>
      </c>
      <c r="OX29" s="40" t="str">
        <f t="shared" si="120"/>
        <v/>
      </c>
      <c r="OY29" s="40" t="str">
        <f t="shared" si="121"/>
        <v/>
      </c>
      <c r="OZ29" s="40" t="str">
        <f t="shared" si="122"/>
        <v/>
      </c>
      <c r="PA29" s="40" t="str">
        <f t="shared" si="123"/>
        <v/>
      </c>
      <c r="PB29" s="40" t="str">
        <f t="shared" si="124"/>
        <v/>
      </c>
      <c r="PC29" s="40" t="str">
        <f t="shared" si="125"/>
        <v/>
      </c>
      <c r="PD29" s="40" t="str">
        <f t="shared" si="126"/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 t="shared" si="127"/>
        <v/>
      </c>
      <c r="PZ29" s="11" t="str">
        <f t="shared" si="128"/>
        <v/>
      </c>
      <c r="QA29" s="11" t="str">
        <f t="shared" si="129"/>
        <v/>
      </c>
      <c r="QB29" s="11" t="str">
        <f t="shared" si="130"/>
        <v/>
      </c>
      <c r="QC29" s="11" t="str">
        <f t="shared" si="131"/>
        <v/>
      </c>
      <c r="QD29" s="11" t="str">
        <f t="shared" si="132"/>
        <v/>
      </c>
      <c r="QE29" s="11" t="str">
        <f t="shared" si="133"/>
        <v/>
      </c>
      <c r="QF29" s="11" t="str">
        <f t="shared" si="134"/>
        <v/>
      </c>
      <c r="QG29" s="22">
        <f t="shared" si="135"/>
        <v>9.3000000000000007</v>
      </c>
      <c r="QH29" s="22">
        <f t="shared" si="136"/>
        <v>3</v>
      </c>
      <c r="QI29" s="22">
        <f t="shared" si="137"/>
        <v>0.3</v>
      </c>
      <c r="QJ29" s="22">
        <f t="shared" si="138"/>
        <v>0</v>
      </c>
      <c r="QK29" s="22">
        <f t="shared" si="139"/>
        <v>9.0500000000000007</v>
      </c>
      <c r="QL29" s="22">
        <f t="shared" si="140"/>
        <v>3</v>
      </c>
      <c r="QM29" s="22">
        <f t="shared" si="141"/>
        <v>0.4</v>
      </c>
      <c r="QN29" s="22">
        <f t="shared" si="142"/>
        <v>0</v>
      </c>
      <c r="QO29" s="22">
        <f t="shared" si="143"/>
        <v>9.0500000000000007</v>
      </c>
      <c r="QP29" s="22">
        <f t="shared" si="144"/>
        <v>3</v>
      </c>
      <c r="QQ29" s="22">
        <f t="shared" si="145"/>
        <v>0</v>
      </c>
      <c r="QR29" s="22">
        <f t="shared" si="146"/>
        <v>0</v>
      </c>
      <c r="QS29" s="22">
        <f t="shared" si="147"/>
        <v>0</v>
      </c>
      <c r="QT29" s="22">
        <f t="shared" si="148"/>
        <v>0</v>
      </c>
      <c r="QU29" s="22">
        <f t="shared" si="149"/>
        <v>0</v>
      </c>
      <c r="QV29" s="22">
        <f t="shared" si="150"/>
        <v>0</v>
      </c>
      <c r="QW29" s="22">
        <f t="shared" si="151"/>
        <v>0</v>
      </c>
      <c r="QX29" s="22">
        <f t="shared" si="152"/>
        <v>0</v>
      </c>
      <c r="QY29" s="22">
        <f t="shared" si="153"/>
        <v>0</v>
      </c>
      <c r="QZ29" s="22">
        <f t="shared" si="154"/>
        <v>0</v>
      </c>
      <c r="RA29" s="27" t="s">
        <v>46</v>
      </c>
      <c r="RB29" s="40">
        <f t="shared" si="155"/>
        <v>6</v>
      </c>
      <c r="RC29" s="40">
        <f t="shared" si="156"/>
        <v>23.650000000000002</v>
      </c>
      <c r="RD29" s="40">
        <f t="shared" si="157"/>
        <v>12.05</v>
      </c>
      <c r="RE29" s="40">
        <f t="shared" si="158"/>
        <v>9</v>
      </c>
      <c r="RF29" s="40">
        <f t="shared" si="159"/>
        <v>35.700000000000003</v>
      </c>
      <c r="RG29" s="40" t="str">
        <f t="shared" si="160"/>
        <v/>
      </c>
      <c r="RH29" s="40" t="str">
        <f t="shared" si="161"/>
        <v/>
      </c>
      <c r="RI29" s="40">
        <f t="shared" si="162"/>
        <v>35.700000000000003</v>
      </c>
    </row>
    <row r="30" spans="1:477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238</v>
      </c>
      <c r="D30" s="4" t="s">
        <v>4</v>
      </c>
      <c r="E30" s="4">
        <v>2005</v>
      </c>
      <c r="F30" s="9">
        <f t="shared" si="163"/>
        <v>158.70001119000455</v>
      </c>
      <c r="G30" s="66"/>
      <c r="H30" s="3" t="str">
        <f t="shared" si="0"/>
        <v/>
      </c>
      <c r="I30" s="3" t="str">
        <f t="shared" si="1"/>
        <v/>
      </c>
      <c r="J30" s="36" t="str">
        <f t="shared" si="2"/>
        <v/>
      </c>
      <c r="K30" s="3" t="str">
        <f t="shared" si="3"/>
        <v/>
      </c>
      <c r="L30" s="8">
        <f>IF(COUNT(AS30,BV30,CY30)&gt;0,LARGE((AS30,BV30,CY30),1),0)</f>
        <v>45.399999999999991</v>
      </c>
      <c r="M30" s="8" t="str">
        <f t="shared" si="4"/>
        <v>2024 Elite Canada</v>
      </c>
      <c r="N30" s="8">
        <f>IF(COUNT(AS30,BV30,CY30)&gt;1,LARGE((AS30,BV30,CY30),2),0)</f>
        <v>42.9</v>
      </c>
      <c r="O30" s="8" t="str">
        <f t="shared" si="5"/>
        <v>2023 Nationals</v>
      </c>
      <c r="P30" s="8">
        <f>IF(COUNT(AT30,BW30,CZ30)&gt;0,LARGE((AT30,BW30,CZ30),1),0)</f>
        <v>23.599999999999998</v>
      </c>
      <c r="Q30" s="8" t="str">
        <f t="shared" si="6"/>
        <v>2024 Elite Canada</v>
      </c>
      <c r="R30" s="8">
        <f t="shared" si="7"/>
        <v>46.8</v>
      </c>
      <c r="S30" s="8" t="str">
        <f t="shared" si="8"/>
        <v>2024 Elite Canada</v>
      </c>
      <c r="T30" s="8" t="str">
        <f t="shared" si="9"/>
        <v/>
      </c>
      <c r="U30" s="11" t="str">
        <f t="shared" si="10"/>
        <v/>
      </c>
      <c r="V30" s="8" t="str">
        <f t="shared" si="11"/>
        <v/>
      </c>
      <c r="W30" s="19">
        <v>18.600000000000001</v>
      </c>
      <c r="X30" s="19">
        <v>5.2</v>
      </c>
      <c r="Y30" s="19">
        <v>0.6</v>
      </c>
      <c r="Z30" s="19">
        <v>0</v>
      </c>
      <c r="AA30" s="19">
        <v>17.3</v>
      </c>
      <c r="AB30" s="19">
        <v>2.4</v>
      </c>
      <c r="AC30" s="19">
        <v>0</v>
      </c>
      <c r="AD30" s="19">
        <v>0</v>
      </c>
      <c r="AE30" s="19">
        <v>17.600000000000001</v>
      </c>
      <c r="AF30" s="19">
        <v>3.5</v>
      </c>
      <c r="AG30" s="19">
        <v>0.6</v>
      </c>
      <c r="AH30" s="19">
        <v>0</v>
      </c>
      <c r="AI30" s="19"/>
      <c r="AJ30" s="19"/>
      <c r="AK30" s="19"/>
      <c r="AL30" s="19"/>
      <c r="AM30" s="19"/>
      <c r="AN30" s="19"/>
      <c r="AO30" s="19"/>
      <c r="AP30" s="19"/>
      <c r="AQ30" s="27"/>
      <c r="AR30" s="40">
        <f t="shared" si="12"/>
        <v>7.6</v>
      </c>
      <c r="AS30" s="40">
        <f t="shared" si="13"/>
        <v>42.9</v>
      </c>
      <c r="AT30" s="40">
        <f t="shared" si="14"/>
        <v>20.5</v>
      </c>
      <c r="AU30" s="40">
        <f t="shared" si="15"/>
        <v>11.1</v>
      </c>
      <c r="AV30" s="40">
        <f t="shared" si="16"/>
        <v>63.4</v>
      </c>
      <c r="AW30" s="40" t="str">
        <f t="shared" si="17"/>
        <v/>
      </c>
      <c r="AX30" s="40" t="str">
        <f t="shared" si="18"/>
        <v/>
      </c>
      <c r="AY30" s="40">
        <f t="shared" si="19"/>
        <v>63.4</v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 t="shared" si="20"/>
        <v/>
      </c>
      <c r="BV30" s="11" t="str">
        <f t="shared" si="21"/>
        <v/>
      </c>
      <c r="BW30" s="11" t="str">
        <f t="shared" si="22"/>
        <v/>
      </c>
      <c r="BX30" s="11" t="str">
        <f t="shared" si="23"/>
        <v/>
      </c>
      <c r="BY30" s="11" t="str">
        <f t="shared" si="24"/>
        <v/>
      </c>
      <c r="BZ30" s="11" t="str">
        <f t="shared" si="25"/>
        <v/>
      </c>
      <c r="CA30" s="11" t="str">
        <f t="shared" si="26"/>
        <v/>
      </c>
      <c r="CB30" s="11" t="str">
        <f t="shared" si="27"/>
        <v/>
      </c>
      <c r="CC30" s="19">
        <v>18.399999999999999</v>
      </c>
      <c r="CD30" s="19">
        <v>5.2</v>
      </c>
      <c r="CE30" s="19">
        <v>0</v>
      </c>
      <c r="CF30" s="19">
        <v>0</v>
      </c>
      <c r="CG30" s="19">
        <v>18.5</v>
      </c>
      <c r="CH30" s="19">
        <v>3.5</v>
      </c>
      <c r="CI30" s="19">
        <v>0.2</v>
      </c>
      <c r="CJ30" s="19">
        <v>0</v>
      </c>
      <c r="CK30" s="19">
        <v>18.399999999999999</v>
      </c>
      <c r="CL30" s="19">
        <v>5.2</v>
      </c>
      <c r="CM30" s="19">
        <v>0</v>
      </c>
      <c r="CN30" s="19">
        <v>0</v>
      </c>
      <c r="CO30" s="19">
        <v>18.600000000000001</v>
      </c>
      <c r="CP30" s="19">
        <v>4.3</v>
      </c>
      <c r="CQ30" s="19">
        <v>0</v>
      </c>
      <c r="CR30" s="19">
        <v>0</v>
      </c>
      <c r="CS30" s="19">
        <v>18.899999999999999</v>
      </c>
      <c r="CT30" s="19">
        <v>5.2</v>
      </c>
      <c r="CU30" s="19">
        <v>0.2</v>
      </c>
      <c r="CV30" s="19">
        <v>0</v>
      </c>
      <c r="CW30" s="27"/>
      <c r="CX30" s="40">
        <f t="shared" si="28"/>
        <v>8.6999999999999993</v>
      </c>
      <c r="CY30" s="40">
        <f t="shared" si="29"/>
        <v>45.399999999999991</v>
      </c>
      <c r="CZ30" s="40">
        <f t="shared" si="30"/>
        <v>23.599999999999998</v>
      </c>
      <c r="DA30" s="40">
        <f t="shared" si="31"/>
        <v>13.899999999999999</v>
      </c>
      <c r="DB30" s="40">
        <f t="shared" si="32"/>
        <v>68.999999999999986</v>
      </c>
      <c r="DC30" s="40">
        <f t="shared" si="33"/>
        <v>9.5</v>
      </c>
      <c r="DD30" s="40">
        <f t="shared" si="34"/>
        <v>46.8</v>
      </c>
      <c r="DE30" s="40">
        <f t="shared" si="35"/>
        <v>115.79999999999998</v>
      </c>
      <c r="DF30" s="50" t="str">
        <f t="shared" si="36"/>
        <v/>
      </c>
      <c r="DG30" s="50" t="str">
        <f t="shared" si="37"/>
        <v/>
      </c>
      <c r="DH30" s="50" t="str">
        <f t="shared" si="38"/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 t="shared" si="39"/>
        <v/>
      </c>
      <c r="ED30" s="40" t="str">
        <f t="shared" si="40"/>
        <v/>
      </c>
      <c r="EE30" s="40" t="str">
        <f t="shared" si="41"/>
        <v/>
      </c>
      <c r="EF30" s="40" t="str">
        <f t="shared" si="42"/>
        <v/>
      </c>
      <c r="EG30" s="40" t="str">
        <f t="shared" si="43"/>
        <v/>
      </c>
      <c r="EH30" s="40" t="str">
        <f t="shared" si="44"/>
        <v/>
      </c>
      <c r="EI30" s="40" t="str">
        <f t="shared" si="45"/>
        <v/>
      </c>
      <c r="EJ30" s="40" t="str">
        <f t="shared" si="46"/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 t="shared" si="47"/>
        <v/>
      </c>
      <c r="FF30" s="11" t="str">
        <f t="shared" si="48"/>
        <v/>
      </c>
      <c r="FG30" s="11" t="str">
        <f t="shared" si="49"/>
        <v/>
      </c>
      <c r="FH30" s="11" t="str">
        <f t="shared" si="50"/>
        <v/>
      </c>
      <c r="FI30" s="11" t="str">
        <f t="shared" si="51"/>
        <v/>
      </c>
      <c r="FJ30" s="11" t="str">
        <f t="shared" si="52"/>
        <v/>
      </c>
      <c r="FK30" s="11" t="str">
        <f t="shared" si="53"/>
        <v/>
      </c>
      <c r="FL30" s="11" t="str">
        <f t="shared" si="54"/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 t="shared" si="55"/>
        <v/>
      </c>
      <c r="GH30" s="40" t="str">
        <f t="shared" si="56"/>
        <v/>
      </c>
      <c r="GI30" s="40" t="str">
        <f t="shared" si="57"/>
        <v/>
      </c>
      <c r="GJ30" s="40" t="str">
        <f t="shared" si="58"/>
        <v/>
      </c>
      <c r="GK30" s="40" t="str">
        <f t="shared" si="59"/>
        <v/>
      </c>
      <c r="GL30" s="40" t="str">
        <f t="shared" si="60"/>
        <v/>
      </c>
      <c r="GM30" s="40" t="str">
        <f t="shared" si="61"/>
        <v/>
      </c>
      <c r="GN30" s="40" t="str">
        <f t="shared" si="62"/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 t="shared" si="63"/>
        <v/>
      </c>
      <c r="HJ30" s="11" t="str">
        <f t="shared" si="64"/>
        <v/>
      </c>
      <c r="HK30" s="11" t="str">
        <f t="shared" si="65"/>
        <v/>
      </c>
      <c r="HL30" s="11" t="str">
        <f t="shared" si="66"/>
        <v/>
      </c>
      <c r="HM30" s="11" t="str">
        <f t="shared" si="67"/>
        <v/>
      </c>
      <c r="HN30" s="11" t="str">
        <f t="shared" si="68"/>
        <v/>
      </c>
      <c r="HO30" s="11" t="str">
        <f t="shared" si="69"/>
        <v/>
      </c>
      <c r="HP30" s="11" t="str">
        <f t="shared" si="70"/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 t="shared" si="71"/>
        <v/>
      </c>
      <c r="IL30" s="40" t="str">
        <f t="shared" si="72"/>
        <v/>
      </c>
      <c r="IM30" s="40" t="str">
        <f t="shared" si="73"/>
        <v/>
      </c>
      <c r="IN30" s="40" t="str">
        <f t="shared" si="74"/>
        <v/>
      </c>
      <c r="IO30" s="40" t="str">
        <f t="shared" si="75"/>
        <v/>
      </c>
      <c r="IP30" s="40" t="str">
        <f t="shared" si="76"/>
        <v/>
      </c>
      <c r="IQ30" s="40" t="str">
        <f t="shared" si="77"/>
        <v/>
      </c>
      <c r="IR30" s="40" t="str">
        <f t="shared" si="78"/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 t="shared" si="79"/>
        <v/>
      </c>
      <c r="JN30" s="11" t="str">
        <f t="shared" si="80"/>
        <v/>
      </c>
      <c r="JO30" s="11" t="str">
        <f t="shared" si="81"/>
        <v/>
      </c>
      <c r="JP30" s="11" t="str">
        <f t="shared" si="82"/>
        <v/>
      </c>
      <c r="JQ30" s="11" t="str">
        <f t="shared" si="83"/>
        <v/>
      </c>
      <c r="JR30" s="11" t="str">
        <f t="shared" si="84"/>
        <v/>
      </c>
      <c r="JS30" s="11" t="str">
        <f t="shared" si="85"/>
        <v/>
      </c>
      <c r="JT30" s="11" t="str">
        <f t="shared" si="86"/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 t="shared" si="87"/>
        <v/>
      </c>
      <c r="KP30" s="40" t="str">
        <f t="shared" si="88"/>
        <v/>
      </c>
      <c r="KQ30" s="40" t="str">
        <f t="shared" si="89"/>
        <v/>
      </c>
      <c r="KR30" s="40" t="str">
        <f t="shared" si="90"/>
        <v/>
      </c>
      <c r="KS30" s="40" t="str">
        <f t="shared" si="91"/>
        <v/>
      </c>
      <c r="KT30" s="40" t="str">
        <f t="shared" si="92"/>
        <v/>
      </c>
      <c r="KU30" s="40" t="str">
        <f t="shared" si="93"/>
        <v/>
      </c>
      <c r="KV30" s="40" t="str">
        <f t="shared" si="94"/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 t="shared" si="95"/>
        <v/>
      </c>
      <c r="LR30" s="11" t="str">
        <f t="shared" si="96"/>
        <v/>
      </c>
      <c r="LS30" s="11" t="str">
        <f t="shared" si="97"/>
        <v/>
      </c>
      <c r="LT30" s="11" t="str">
        <f t="shared" si="98"/>
        <v/>
      </c>
      <c r="LU30" s="11" t="str">
        <f t="shared" si="99"/>
        <v/>
      </c>
      <c r="LV30" s="11" t="str">
        <f t="shared" si="100"/>
        <v/>
      </c>
      <c r="LW30" s="11" t="str">
        <f t="shared" si="101"/>
        <v/>
      </c>
      <c r="LX30" s="11" t="str">
        <f t="shared" si="102"/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 t="shared" si="103"/>
        <v/>
      </c>
      <c r="MT30" s="40" t="str">
        <f t="shared" si="104"/>
        <v/>
      </c>
      <c r="MU30" s="40" t="str">
        <f t="shared" si="105"/>
        <v/>
      </c>
      <c r="MV30" s="40" t="str">
        <f t="shared" si="106"/>
        <v/>
      </c>
      <c r="MW30" s="40" t="str">
        <f t="shared" si="107"/>
        <v/>
      </c>
      <c r="MX30" s="40" t="str">
        <f t="shared" si="108"/>
        <v/>
      </c>
      <c r="MY30" s="40" t="str">
        <f t="shared" si="109"/>
        <v/>
      </c>
      <c r="MZ30" s="40" t="str">
        <f t="shared" si="110"/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 t="shared" si="111"/>
        <v/>
      </c>
      <c r="NV30" s="11" t="str">
        <f t="shared" si="112"/>
        <v/>
      </c>
      <c r="NW30" s="11" t="str">
        <f t="shared" si="113"/>
        <v/>
      </c>
      <c r="NX30" s="11" t="str">
        <f t="shared" si="114"/>
        <v/>
      </c>
      <c r="NY30" s="11" t="str">
        <f t="shared" si="115"/>
        <v/>
      </c>
      <c r="NZ30" s="11" t="str">
        <f t="shared" si="116"/>
        <v/>
      </c>
      <c r="OA30" s="11" t="str">
        <f t="shared" si="117"/>
        <v/>
      </c>
      <c r="OB30" s="11" t="str">
        <f t="shared" si="118"/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 t="shared" si="119"/>
        <v/>
      </c>
      <c r="OX30" s="40" t="str">
        <f t="shared" si="120"/>
        <v/>
      </c>
      <c r="OY30" s="40" t="str">
        <f t="shared" si="121"/>
        <v/>
      </c>
      <c r="OZ30" s="40" t="str">
        <f t="shared" si="122"/>
        <v/>
      </c>
      <c r="PA30" s="40" t="str">
        <f t="shared" si="123"/>
        <v/>
      </c>
      <c r="PB30" s="40" t="str">
        <f t="shared" si="124"/>
        <v/>
      </c>
      <c r="PC30" s="40" t="str">
        <f t="shared" si="125"/>
        <v/>
      </c>
      <c r="PD30" s="40" t="str">
        <f t="shared" si="126"/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 t="shared" si="127"/>
        <v/>
      </c>
      <c r="PZ30" s="11" t="str">
        <f t="shared" si="128"/>
        <v/>
      </c>
      <c r="QA30" s="11" t="str">
        <f t="shared" si="129"/>
        <v/>
      </c>
      <c r="QB30" s="11" t="str">
        <f t="shared" si="130"/>
        <v/>
      </c>
      <c r="QC30" s="11" t="str">
        <f t="shared" si="131"/>
        <v/>
      </c>
      <c r="QD30" s="11" t="str">
        <f t="shared" si="132"/>
        <v/>
      </c>
      <c r="QE30" s="11" t="str">
        <f t="shared" si="133"/>
        <v/>
      </c>
      <c r="QF30" s="11" t="str">
        <f t="shared" si="134"/>
        <v/>
      </c>
      <c r="QG30" s="22">
        <f t="shared" si="135"/>
        <v>9.1999999999999993</v>
      </c>
      <c r="QH30" s="22">
        <f t="shared" si="136"/>
        <v>2.6</v>
      </c>
      <c r="QI30" s="22">
        <f t="shared" si="137"/>
        <v>0</v>
      </c>
      <c r="QJ30" s="22">
        <f t="shared" si="138"/>
        <v>0</v>
      </c>
      <c r="QK30" s="22">
        <f t="shared" si="139"/>
        <v>9.25</v>
      </c>
      <c r="QL30" s="22">
        <f t="shared" si="140"/>
        <v>1.75</v>
      </c>
      <c r="QM30" s="22">
        <f t="shared" si="141"/>
        <v>0.1</v>
      </c>
      <c r="QN30" s="22">
        <f t="shared" si="142"/>
        <v>0</v>
      </c>
      <c r="QO30" s="22">
        <f t="shared" si="143"/>
        <v>9.1999999999999993</v>
      </c>
      <c r="QP30" s="22">
        <f t="shared" si="144"/>
        <v>2.6</v>
      </c>
      <c r="QQ30" s="22">
        <f t="shared" si="145"/>
        <v>0</v>
      </c>
      <c r="QR30" s="22">
        <f t="shared" si="146"/>
        <v>0</v>
      </c>
      <c r="QS30" s="22">
        <f t="shared" si="147"/>
        <v>9.3000000000000007</v>
      </c>
      <c r="QT30" s="22">
        <f t="shared" si="148"/>
        <v>2.15</v>
      </c>
      <c r="QU30" s="22">
        <f t="shared" si="149"/>
        <v>0</v>
      </c>
      <c r="QV30" s="22">
        <f t="shared" si="150"/>
        <v>0</v>
      </c>
      <c r="QW30" s="22">
        <f t="shared" si="151"/>
        <v>9.4499999999999993</v>
      </c>
      <c r="QX30" s="22">
        <f t="shared" si="152"/>
        <v>2.6</v>
      </c>
      <c r="QY30" s="22">
        <f t="shared" si="153"/>
        <v>0.1</v>
      </c>
      <c r="QZ30" s="22">
        <f t="shared" si="154"/>
        <v>0</v>
      </c>
      <c r="RA30" s="27" t="s">
        <v>46</v>
      </c>
      <c r="RB30" s="40">
        <f t="shared" si="155"/>
        <v>4.3499999999999996</v>
      </c>
      <c r="RC30" s="40">
        <f t="shared" si="156"/>
        <v>22.699999999999996</v>
      </c>
      <c r="RD30" s="40">
        <f t="shared" si="157"/>
        <v>11.799999999999999</v>
      </c>
      <c r="RE30" s="40">
        <f t="shared" si="158"/>
        <v>6.9499999999999993</v>
      </c>
      <c r="RF30" s="40">
        <f t="shared" si="159"/>
        <v>34.499999999999993</v>
      </c>
      <c r="RG30" s="40">
        <f t="shared" si="160"/>
        <v>4.75</v>
      </c>
      <c r="RH30" s="40">
        <f t="shared" si="161"/>
        <v>23.4</v>
      </c>
      <c r="RI30" s="40">
        <f t="shared" si="162"/>
        <v>57.899999999999991</v>
      </c>
    </row>
    <row r="31" spans="1:477" x14ac:dyDescent="0.2">
      <c r="A31" s="4" t="str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/>
      </c>
      <c r="B31" s="4" t="str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/>
      </c>
      <c r="C31" s="5" t="s">
        <v>165</v>
      </c>
      <c r="D31" s="4" t="s">
        <v>3</v>
      </c>
      <c r="E31" s="4">
        <v>2006</v>
      </c>
      <c r="F31" s="9">
        <f t="shared" si="163"/>
        <v>158.40001109000454</v>
      </c>
      <c r="G31" s="66"/>
      <c r="H31" s="3" t="str">
        <f t="shared" si="0"/>
        <v/>
      </c>
      <c r="I31" s="3" t="str">
        <f t="shared" si="1"/>
        <v/>
      </c>
      <c r="J31" s="36" t="str">
        <f t="shared" si="2"/>
        <v/>
      </c>
      <c r="K31" s="3" t="str">
        <f t="shared" si="3"/>
        <v/>
      </c>
      <c r="L31" s="8">
        <f>IF(COUNT(AS31,BV31,CY31)&gt;0,LARGE((AS31,BV31,CY31),1),0)</f>
        <v>45.7</v>
      </c>
      <c r="M31" s="8" t="str">
        <f t="shared" si="4"/>
        <v>2023 Nationals</v>
      </c>
      <c r="N31" s="8">
        <f>IF(COUNT(AS31,BV31,CY31)&gt;1,LARGE((AS31,BV31,CY31),2),0)</f>
        <v>42.899999999999991</v>
      </c>
      <c r="O31" s="8" t="str">
        <f t="shared" si="5"/>
        <v>2023 3rd Domestic Trial</v>
      </c>
      <c r="P31" s="8">
        <f>IF(COUNT(AT31,BW31,CZ31)&gt;0,LARGE((AT31,BW31,CZ31),1),0)</f>
        <v>22.3</v>
      </c>
      <c r="Q31" s="8" t="str">
        <f t="shared" si="6"/>
        <v>2023 Nationals</v>
      </c>
      <c r="R31" s="8">
        <f t="shared" si="7"/>
        <v>47.5</v>
      </c>
      <c r="S31" s="8" t="str">
        <f t="shared" si="8"/>
        <v>2023 Nationals</v>
      </c>
      <c r="T31" s="8" t="str">
        <f t="shared" si="9"/>
        <v/>
      </c>
      <c r="U31" s="11" t="str">
        <f t="shared" si="10"/>
        <v/>
      </c>
      <c r="V31" s="8" t="str">
        <f t="shared" si="11"/>
        <v/>
      </c>
      <c r="W31" s="19">
        <v>18.3</v>
      </c>
      <c r="X31" s="19">
        <v>5.6</v>
      </c>
      <c r="Y31" s="19">
        <v>0.2</v>
      </c>
      <c r="Z31" s="19">
        <v>0</v>
      </c>
      <c r="AA31" s="19">
        <v>17.8</v>
      </c>
      <c r="AB31" s="19">
        <v>5.2</v>
      </c>
      <c r="AC31" s="19">
        <v>1</v>
      </c>
      <c r="AD31" s="19">
        <v>0</v>
      </c>
      <c r="AE31" s="19">
        <v>18.7</v>
      </c>
      <c r="AF31" s="19">
        <v>3.6</v>
      </c>
      <c r="AG31" s="19">
        <v>0</v>
      </c>
      <c r="AH31" s="19">
        <v>0</v>
      </c>
      <c r="AI31" s="19">
        <v>18.7</v>
      </c>
      <c r="AJ31" s="19">
        <v>5.2</v>
      </c>
      <c r="AK31" s="19">
        <v>0.2</v>
      </c>
      <c r="AL31" s="19">
        <v>0</v>
      </c>
      <c r="AM31" s="19">
        <v>18.600000000000001</v>
      </c>
      <c r="AN31" s="19">
        <v>5.2</v>
      </c>
      <c r="AO31" s="19">
        <v>0</v>
      </c>
      <c r="AP31" s="19">
        <v>0</v>
      </c>
      <c r="AQ31" s="27"/>
      <c r="AR31" s="40">
        <f t="shared" si="12"/>
        <v>10.8</v>
      </c>
      <c r="AS31" s="40">
        <f t="shared" si="13"/>
        <v>45.7</v>
      </c>
      <c r="AT31" s="40">
        <f t="shared" si="14"/>
        <v>22.3</v>
      </c>
      <c r="AU31" s="40">
        <f t="shared" si="15"/>
        <v>14.4</v>
      </c>
      <c r="AV31" s="40">
        <f t="shared" si="16"/>
        <v>68</v>
      </c>
      <c r="AW31" s="40">
        <f t="shared" si="17"/>
        <v>10.4</v>
      </c>
      <c r="AX31" s="40">
        <f t="shared" si="18"/>
        <v>47.5</v>
      </c>
      <c r="AY31" s="40">
        <f t="shared" si="19"/>
        <v>115.5</v>
      </c>
      <c r="AZ31" s="18">
        <v>18.2</v>
      </c>
      <c r="BA31" s="18">
        <v>5.6</v>
      </c>
      <c r="BB31" s="18">
        <v>1</v>
      </c>
      <c r="BC31" s="18">
        <v>0</v>
      </c>
      <c r="BD31" s="18">
        <v>18.399999999999999</v>
      </c>
      <c r="BE31" s="18">
        <v>2.8</v>
      </c>
      <c r="BF31" s="18">
        <v>1.1000000000000001</v>
      </c>
      <c r="BG31" s="18">
        <v>0</v>
      </c>
      <c r="BH31" s="18">
        <v>17.8</v>
      </c>
      <c r="BI31" s="18">
        <v>4</v>
      </c>
      <c r="BJ31" s="18">
        <v>1</v>
      </c>
      <c r="BK31" s="18">
        <v>0</v>
      </c>
      <c r="BL31" s="18">
        <v>18.399999999999999</v>
      </c>
      <c r="BM31" s="18">
        <v>5.6</v>
      </c>
      <c r="BN31" s="18">
        <v>0.6</v>
      </c>
      <c r="BO31" s="18">
        <v>0</v>
      </c>
      <c r="BP31" s="18">
        <v>17.899999999999999</v>
      </c>
      <c r="BQ31" s="18">
        <v>6</v>
      </c>
      <c r="BR31" s="18">
        <v>0.4</v>
      </c>
      <c r="BS31" s="18">
        <v>0</v>
      </c>
      <c r="BT31" s="28"/>
      <c r="BU31" s="11">
        <f t="shared" si="20"/>
        <v>8.3999999999999986</v>
      </c>
      <c r="BV31" s="11">
        <f t="shared" si="21"/>
        <v>42.899999999999991</v>
      </c>
      <c r="BW31" s="11">
        <f t="shared" si="22"/>
        <v>20.8</v>
      </c>
      <c r="BX31" s="11">
        <f t="shared" si="23"/>
        <v>12.399999999999999</v>
      </c>
      <c r="BY31" s="11">
        <f t="shared" si="24"/>
        <v>63.699999999999989</v>
      </c>
      <c r="BZ31" s="11">
        <f t="shared" si="25"/>
        <v>11.6</v>
      </c>
      <c r="CA31" s="11">
        <f t="shared" si="26"/>
        <v>46.9</v>
      </c>
      <c r="CB31" s="11">
        <f t="shared" si="27"/>
        <v>110.6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 t="shared" si="28"/>
        <v/>
      </c>
      <c r="CY31" s="40" t="str">
        <f t="shared" si="29"/>
        <v/>
      </c>
      <c r="CZ31" s="40" t="str">
        <f t="shared" si="30"/>
        <v/>
      </c>
      <c r="DA31" s="40" t="str">
        <f t="shared" si="31"/>
        <v/>
      </c>
      <c r="DB31" s="40" t="str">
        <f t="shared" si="32"/>
        <v/>
      </c>
      <c r="DC31" s="40" t="str">
        <f t="shared" si="33"/>
        <v/>
      </c>
      <c r="DD31" s="40" t="str">
        <f t="shared" si="34"/>
        <v/>
      </c>
      <c r="DE31" s="40" t="str">
        <f t="shared" si="35"/>
        <v/>
      </c>
      <c r="DF31" s="50" t="str">
        <f t="shared" si="36"/>
        <v/>
      </c>
      <c r="DG31" s="50" t="str">
        <f t="shared" si="37"/>
        <v/>
      </c>
      <c r="DH31" s="50" t="str">
        <f t="shared" si="38"/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 t="shared" si="39"/>
        <v/>
      </c>
      <c r="ED31" s="40" t="str">
        <f t="shared" si="40"/>
        <v/>
      </c>
      <c r="EE31" s="40" t="str">
        <f t="shared" si="41"/>
        <v/>
      </c>
      <c r="EF31" s="40" t="str">
        <f t="shared" si="42"/>
        <v/>
      </c>
      <c r="EG31" s="40" t="str">
        <f t="shared" si="43"/>
        <v/>
      </c>
      <c r="EH31" s="40" t="str">
        <f t="shared" si="44"/>
        <v/>
      </c>
      <c r="EI31" s="40" t="str">
        <f t="shared" si="45"/>
        <v/>
      </c>
      <c r="EJ31" s="40" t="str">
        <f t="shared" si="46"/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 t="shared" si="47"/>
        <v/>
      </c>
      <c r="FF31" s="11" t="str">
        <f t="shared" si="48"/>
        <v/>
      </c>
      <c r="FG31" s="11" t="str">
        <f t="shared" si="49"/>
        <v/>
      </c>
      <c r="FH31" s="11" t="str">
        <f t="shared" si="50"/>
        <v/>
      </c>
      <c r="FI31" s="11" t="str">
        <f t="shared" si="51"/>
        <v/>
      </c>
      <c r="FJ31" s="11" t="str">
        <f t="shared" si="52"/>
        <v/>
      </c>
      <c r="FK31" s="11" t="str">
        <f t="shared" si="53"/>
        <v/>
      </c>
      <c r="FL31" s="11" t="str">
        <f t="shared" si="54"/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 t="shared" si="55"/>
        <v/>
      </c>
      <c r="GH31" s="40" t="str">
        <f t="shared" si="56"/>
        <v/>
      </c>
      <c r="GI31" s="40" t="str">
        <f t="shared" si="57"/>
        <v/>
      </c>
      <c r="GJ31" s="40" t="str">
        <f t="shared" si="58"/>
        <v/>
      </c>
      <c r="GK31" s="40" t="str">
        <f t="shared" si="59"/>
        <v/>
      </c>
      <c r="GL31" s="40" t="str">
        <f t="shared" si="60"/>
        <v/>
      </c>
      <c r="GM31" s="40" t="str">
        <f t="shared" si="61"/>
        <v/>
      </c>
      <c r="GN31" s="40" t="str">
        <f t="shared" si="62"/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 t="shared" si="63"/>
        <v/>
      </c>
      <c r="HJ31" s="11" t="str">
        <f t="shared" si="64"/>
        <v/>
      </c>
      <c r="HK31" s="11" t="str">
        <f t="shared" si="65"/>
        <v/>
      </c>
      <c r="HL31" s="11" t="str">
        <f t="shared" si="66"/>
        <v/>
      </c>
      <c r="HM31" s="11" t="str">
        <f t="shared" si="67"/>
        <v/>
      </c>
      <c r="HN31" s="11" t="str">
        <f t="shared" si="68"/>
        <v/>
      </c>
      <c r="HO31" s="11" t="str">
        <f t="shared" si="69"/>
        <v/>
      </c>
      <c r="HP31" s="11" t="str">
        <f t="shared" si="70"/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 t="shared" si="71"/>
        <v/>
      </c>
      <c r="IL31" s="40" t="str">
        <f t="shared" si="72"/>
        <v/>
      </c>
      <c r="IM31" s="40" t="str">
        <f t="shared" si="73"/>
        <v/>
      </c>
      <c r="IN31" s="40" t="str">
        <f t="shared" si="74"/>
        <v/>
      </c>
      <c r="IO31" s="40" t="str">
        <f t="shared" si="75"/>
        <v/>
      </c>
      <c r="IP31" s="40" t="str">
        <f t="shared" si="76"/>
        <v/>
      </c>
      <c r="IQ31" s="40" t="str">
        <f t="shared" si="77"/>
        <v/>
      </c>
      <c r="IR31" s="40" t="str">
        <f t="shared" si="78"/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 t="shared" si="79"/>
        <v/>
      </c>
      <c r="JN31" s="11" t="str">
        <f t="shared" si="80"/>
        <v/>
      </c>
      <c r="JO31" s="11" t="str">
        <f t="shared" si="81"/>
        <v/>
      </c>
      <c r="JP31" s="11" t="str">
        <f t="shared" si="82"/>
        <v/>
      </c>
      <c r="JQ31" s="11" t="str">
        <f t="shared" si="83"/>
        <v/>
      </c>
      <c r="JR31" s="11" t="str">
        <f t="shared" si="84"/>
        <v/>
      </c>
      <c r="JS31" s="11" t="str">
        <f t="shared" si="85"/>
        <v/>
      </c>
      <c r="JT31" s="11" t="str">
        <f t="shared" si="86"/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 t="shared" si="87"/>
        <v/>
      </c>
      <c r="KP31" s="40" t="str">
        <f t="shared" si="88"/>
        <v/>
      </c>
      <c r="KQ31" s="40" t="str">
        <f t="shared" si="89"/>
        <v/>
      </c>
      <c r="KR31" s="40" t="str">
        <f t="shared" si="90"/>
        <v/>
      </c>
      <c r="KS31" s="40" t="str">
        <f t="shared" si="91"/>
        <v/>
      </c>
      <c r="KT31" s="40" t="str">
        <f t="shared" si="92"/>
        <v/>
      </c>
      <c r="KU31" s="40" t="str">
        <f t="shared" si="93"/>
        <v/>
      </c>
      <c r="KV31" s="40" t="str">
        <f t="shared" si="94"/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 t="shared" si="95"/>
        <v/>
      </c>
      <c r="LR31" s="11" t="str">
        <f t="shared" si="96"/>
        <v/>
      </c>
      <c r="LS31" s="11" t="str">
        <f t="shared" si="97"/>
        <v/>
      </c>
      <c r="LT31" s="11" t="str">
        <f t="shared" si="98"/>
        <v/>
      </c>
      <c r="LU31" s="11" t="str">
        <f t="shared" si="99"/>
        <v/>
      </c>
      <c r="LV31" s="11" t="str">
        <f t="shared" si="100"/>
        <v/>
      </c>
      <c r="LW31" s="11" t="str">
        <f t="shared" si="101"/>
        <v/>
      </c>
      <c r="LX31" s="11" t="str">
        <f t="shared" si="102"/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 t="shared" si="103"/>
        <v/>
      </c>
      <c r="MT31" s="40" t="str">
        <f t="shared" si="104"/>
        <v/>
      </c>
      <c r="MU31" s="40" t="str">
        <f t="shared" si="105"/>
        <v/>
      </c>
      <c r="MV31" s="40" t="str">
        <f t="shared" si="106"/>
        <v/>
      </c>
      <c r="MW31" s="40" t="str">
        <f t="shared" si="107"/>
        <v/>
      </c>
      <c r="MX31" s="40" t="str">
        <f t="shared" si="108"/>
        <v/>
      </c>
      <c r="MY31" s="40" t="str">
        <f t="shared" si="109"/>
        <v/>
      </c>
      <c r="MZ31" s="40" t="str">
        <f t="shared" si="110"/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 t="shared" si="111"/>
        <v/>
      </c>
      <c r="NV31" s="11" t="str">
        <f t="shared" si="112"/>
        <v/>
      </c>
      <c r="NW31" s="11" t="str">
        <f t="shared" si="113"/>
        <v/>
      </c>
      <c r="NX31" s="11" t="str">
        <f t="shared" si="114"/>
        <v/>
      </c>
      <c r="NY31" s="11" t="str">
        <f t="shared" si="115"/>
        <v/>
      </c>
      <c r="NZ31" s="11" t="str">
        <f t="shared" si="116"/>
        <v/>
      </c>
      <c r="OA31" s="11" t="str">
        <f t="shared" si="117"/>
        <v/>
      </c>
      <c r="OB31" s="11" t="str">
        <f t="shared" si="118"/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 t="shared" si="119"/>
        <v/>
      </c>
      <c r="OX31" s="40" t="str">
        <f t="shared" si="120"/>
        <v/>
      </c>
      <c r="OY31" s="40" t="str">
        <f t="shared" si="121"/>
        <v/>
      </c>
      <c r="OZ31" s="40" t="str">
        <f t="shared" si="122"/>
        <v/>
      </c>
      <c r="PA31" s="40" t="str">
        <f t="shared" si="123"/>
        <v/>
      </c>
      <c r="PB31" s="40" t="str">
        <f t="shared" si="124"/>
        <v/>
      </c>
      <c r="PC31" s="40" t="str">
        <f t="shared" si="125"/>
        <v/>
      </c>
      <c r="PD31" s="40" t="str">
        <f t="shared" si="126"/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 t="shared" si="127"/>
        <v/>
      </c>
      <c r="PZ31" s="11" t="str">
        <f t="shared" si="128"/>
        <v/>
      </c>
      <c r="QA31" s="11" t="str">
        <f t="shared" si="129"/>
        <v/>
      </c>
      <c r="QB31" s="11" t="str">
        <f t="shared" si="130"/>
        <v/>
      </c>
      <c r="QC31" s="11" t="str">
        <f t="shared" si="131"/>
        <v/>
      </c>
      <c r="QD31" s="11" t="str">
        <f t="shared" si="132"/>
        <v/>
      </c>
      <c r="QE31" s="11" t="str">
        <f t="shared" si="133"/>
        <v/>
      </c>
      <c r="QF31" s="11" t="str">
        <f t="shared" si="134"/>
        <v/>
      </c>
      <c r="QG31" s="22">
        <f t="shared" si="135"/>
        <v>9.1</v>
      </c>
      <c r="QH31" s="22">
        <f t="shared" si="136"/>
        <v>2.8</v>
      </c>
      <c r="QI31" s="22">
        <f t="shared" si="137"/>
        <v>0.5</v>
      </c>
      <c r="QJ31" s="22">
        <f t="shared" si="138"/>
        <v>0</v>
      </c>
      <c r="QK31" s="22">
        <f t="shared" si="139"/>
        <v>9.1999999999999993</v>
      </c>
      <c r="QL31" s="22">
        <f t="shared" si="140"/>
        <v>1.4</v>
      </c>
      <c r="QM31" s="22">
        <f t="shared" si="141"/>
        <v>0.55000000000000004</v>
      </c>
      <c r="QN31" s="22">
        <f t="shared" si="142"/>
        <v>0</v>
      </c>
      <c r="QO31" s="22">
        <f t="shared" si="143"/>
        <v>8.9</v>
      </c>
      <c r="QP31" s="22">
        <f t="shared" si="144"/>
        <v>2</v>
      </c>
      <c r="QQ31" s="22">
        <f t="shared" si="145"/>
        <v>0.5</v>
      </c>
      <c r="QR31" s="22">
        <f t="shared" si="146"/>
        <v>0</v>
      </c>
      <c r="QS31" s="22">
        <f t="shared" si="147"/>
        <v>9.1999999999999993</v>
      </c>
      <c r="QT31" s="22">
        <f t="shared" si="148"/>
        <v>2.8</v>
      </c>
      <c r="QU31" s="22">
        <f t="shared" si="149"/>
        <v>0.3</v>
      </c>
      <c r="QV31" s="22">
        <f t="shared" si="150"/>
        <v>0</v>
      </c>
      <c r="QW31" s="22">
        <f t="shared" si="151"/>
        <v>8.9499999999999993</v>
      </c>
      <c r="QX31" s="22">
        <f t="shared" si="152"/>
        <v>3</v>
      </c>
      <c r="QY31" s="22">
        <f t="shared" si="153"/>
        <v>0.2</v>
      </c>
      <c r="QZ31" s="22">
        <f t="shared" si="154"/>
        <v>0</v>
      </c>
      <c r="RA31" s="27" t="s">
        <v>46</v>
      </c>
      <c r="RB31" s="40">
        <f t="shared" si="155"/>
        <v>4.1999999999999993</v>
      </c>
      <c r="RC31" s="40">
        <f t="shared" si="156"/>
        <v>21.449999999999996</v>
      </c>
      <c r="RD31" s="40">
        <f t="shared" si="157"/>
        <v>10.4</v>
      </c>
      <c r="RE31" s="40">
        <f t="shared" si="158"/>
        <v>6.1999999999999993</v>
      </c>
      <c r="RF31" s="40">
        <f t="shared" si="159"/>
        <v>31.849999999999994</v>
      </c>
      <c r="RG31" s="40">
        <f t="shared" si="160"/>
        <v>5.8</v>
      </c>
      <c r="RH31" s="40">
        <f t="shared" si="161"/>
        <v>23.45</v>
      </c>
      <c r="RI31" s="40">
        <f t="shared" si="162"/>
        <v>55.3</v>
      </c>
    </row>
    <row r="32" spans="1:477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190</v>
      </c>
      <c r="D32" s="4" t="s">
        <v>3</v>
      </c>
      <c r="E32" s="4">
        <v>2008</v>
      </c>
      <c r="F32" s="9">
        <f t="shared" si="163"/>
        <v>116.90000701000471</v>
      </c>
      <c r="G32" s="66"/>
      <c r="H32" s="3" t="str">
        <f t="shared" si="0"/>
        <v/>
      </c>
      <c r="I32" s="3" t="str">
        <f t="shared" si="1"/>
        <v/>
      </c>
      <c r="J32" s="36" t="str">
        <f t="shared" si="2"/>
        <v/>
      </c>
      <c r="K32" s="3" t="str">
        <f t="shared" si="3"/>
        <v/>
      </c>
      <c r="L32" s="8">
        <f>IF(COUNT(AS32,BV32,CY32)&gt;0,LARGE((AS32,BV32,CY32),1),0)</f>
        <v>47.099999999999994</v>
      </c>
      <c r="M32" s="8" t="str">
        <f t="shared" si="4"/>
        <v>2023 3rd Domestic Trial</v>
      </c>
      <c r="N32" s="8">
        <f>IF(COUNT(AS32,BV32,CY32)&gt;1,LARGE((AS32,BV32,CY32),2),0)</f>
        <v>0</v>
      </c>
      <c r="O32" s="8" t="str">
        <f t="shared" si="5"/>
        <v/>
      </c>
      <c r="P32" s="8">
        <f>IF(COUNT(AT32,BW32,CZ32)&gt;0,LARGE((AT32,BW32,CZ32),1),0)</f>
        <v>23</v>
      </c>
      <c r="Q32" s="8" t="str">
        <f t="shared" si="6"/>
        <v>2023 3rd Domestic Trial</v>
      </c>
      <c r="R32" s="8">
        <f t="shared" si="7"/>
        <v>46.800000000000004</v>
      </c>
      <c r="S32" s="8" t="str">
        <f t="shared" si="8"/>
        <v>2023 3rd Domestic Trial</v>
      </c>
      <c r="T32" s="8" t="str">
        <f t="shared" si="9"/>
        <v/>
      </c>
      <c r="U32" s="11" t="str">
        <f t="shared" si="10"/>
        <v/>
      </c>
      <c r="V32" s="8" t="str">
        <f t="shared" si="11"/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 t="shared" si="12"/>
        <v/>
      </c>
      <c r="AS32" s="40" t="str">
        <f t="shared" si="13"/>
        <v/>
      </c>
      <c r="AT32" s="40" t="str">
        <f t="shared" si="14"/>
        <v/>
      </c>
      <c r="AU32" s="40" t="str">
        <f t="shared" si="15"/>
        <v/>
      </c>
      <c r="AV32" s="40" t="str">
        <f t="shared" si="16"/>
        <v/>
      </c>
      <c r="AW32" s="40" t="str">
        <f t="shared" si="17"/>
        <v/>
      </c>
      <c r="AX32" s="40" t="str">
        <f t="shared" si="18"/>
        <v/>
      </c>
      <c r="AY32" s="40" t="str">
        <f t="shared" si="19"/>
        <v/>
      </c>
      <c r="AZ32" s="18">
        <v>18.2</v>
      </c>
      <c r="BA32" s="18">
        <v>5.1999999999999993</v>
      </c>
      <c r="BB32" s="18">
        <v>0</v>
      </c>
      <c r="BC32" s="18">
        <v>0</v>
      </c>
      <c r="BD32" s="18">
        <v>18.5</v>
      </c>
      <c r="BE32" s="18">
        <v>5.1999999999999993</v>
      </c>
      <c r="BF32" s="18">
        <v>0</v>
      </c>
      <c r="BG32" s="18">
        <v>0</v>
      </c>
      <c r="BH32" s="18">
        <v>19</v>
      </c>
      <c r="BI32" s="18">
        <v>4</v>
      </c>
      <c r="BJ32" s="18">
        <v>0</v>
      </c>
      <c r="BK32" s="18">
        <v>0</v>
      </c>
      <c r="BL32" s="18">
        <v>18.8</v>
      </c>
      <c r="BM32" s="18">
        <v>5.1999999999999993</v>
      </c>
      <c r="BN32" s="18">
        <v>0</v>
      </c>
      <c r="BO32" s="18">
        <v>0</v>
      </c>
      <c r="BP32" s="18">
        <v>18.2</v>
      </c>
      <c r="BQ32" s="18">
        <v>5.1999999999999993</v>
      </c>
      <c r="BR32" s="18">
        <v>0.6</v>
      </c>
      <c r="BS32" s="18">
        <v>0</v>
      </c>
      <c r="BT32" s="28"/>
      <c r="BU32" s="11">
        <f t="shared" si="20"/>
        <v>10.399999999999999</v>
      </c>
      <c r="BV32" s="11">
        <f t="shared" si="21"/>
        <v>47.099999999999994</v>
      </c>
      <c r="BW32" s="11">
        <f t="shared" si="22"/>
        <v>23</v>
      </c>
      <c r="BX32" s="11">
        <f t="shared" si="23"/>
        <v>14.399999999999999</v>
      </c>
      <c r="BY32" s="11">
        <f t="shared" si="24"/>
        <v>70.099999999999994</v>
      </c>
      <c r="BZ32" s="11">
        <f t="shared" si="25"/>
        <v>10.399999999999999</v>
      </c>
      <c r="CA32" s="11">
        <f t="shared" si="26"/>
        <v>46.800000000000004</v>
      </c>
      <c r="CB32" s="11">
        <f t="shared" si="27"/>
        <v>116.9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 t="shared" si="28"/>
        <v/>
      </c>
      <c r="CY32" s="40" t="str">
        <f t="shared" si="29"/>
        <v/>
      </c>
      <c r="CZ32" s="40" t="str">
        <f t="shared" si="30"/>
        <v/>
      </c>
      <c r="DA32" s="40" t="str">
        <f t="shared" si="31"/>
        <v/>
      </c>
      <c r="DB32" s="40" t="str">
        <f t="shared" si="32"/>
        <v/>
      </c>
      <c r="DC32" s="40" t="str">
        <f t="shared" si="33"/>
        <v/>
      </c>
      <c r="DD32" s="40" t="str">
        <f t="shared" si="34"/>
        <v/>
      </c>
      <c r="DE32" s="40" t="str">
        <f t="shared" si="35"/>
        <v/>
      </c>
      <c r="DF32" s="50" t="str">
        <f t="shared" si="36"/>
        <v/>
      </c>
      <c r="DG32" s="50" t="str">
        <f t="shared" si="37"/>
        <v/>
      </c>
      <c r="DH32" s="50" t="str">
        <f t="shared" si="38"/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 t="shared" si="39"/>
        <v/>
      </c>
      <c r="ED32" s="40" t="str">
        <f t="shared" si="40"/>
        <v/>
      </c>
      <c r="EE32" s="40" t="str">
        <f t="shared" si="41"/>
        <v/>
      </c>
      <c r="EF32" s="40" t="str">
        <f t="shared" si="42"/>
        <v/>
      </c>
      <c r="EG32" s="40" t="str">
        <f t="shared" si="43"/>
        <v/>
      </c>
      <c r="EH32" s="40" t="str">
        <f t="shared" si="44"/>
        <v/>
      </c>
      <c r="EI32" s="40" t="str">
        <f t="shared" si="45"/>
        <v/>
      </c>
      <c r="EJ32" s="40" t="str">
        <f t="shared" si="46"/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 t="shared" si="47"/>
        <v/>
      </c>
      <c r="FF32" s="11" t="str">
        <f t="shared" si="48"/>
        <v/>
      </c>
      <c r="FG32" s="11" t="str">
        <f t="shared" si="49"/>
        <v/>
      </c>
      <c r="FH32" s="11" t="str">
        <f t="shared" si="50"/>
        <v/>
      </c>
      <c r="FI32" s="11" t="str">
        <f t="shared" si="51"/>
        <v/>
      </c>
      <c r="FJ32" s="11" t="str">
        <f t="shared" si="52"/>
        <v/>
      </c>
      <c r="FK32" s="11" t="str">
        <f t="shared" si="53"/>
        <v/>
      </c>
      <c r="FL32" s="11" t="str">
        <f t="shared" si="54"/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 t="shared" si="55"/>
        <v/>
      </c>
      <c r="GH32" s="40" t="str">
        <f t="shared" si="56"/>
        <v/>
      </c>
      <c r="GI32" s="40" t="str">
        <f t="shared" si="57"/>
        <v/>
      </c>
      <c r="GJ32" s="40" t="str">
        <f t="shared" si="58"/>
        <v/>
      </c>
      <c r="GK32" s="40" t="str">
        <f t="shared" si="59"/>
        <v/>
      </c>
      <c r="GL32" s="40" t="str">
        <f t="shared" si="60"/>
        <v/>
      </c>
      <c r="GM32" s="40" t="str">
        <f t="shared" si="61"/>
        <v/>
      </c>
      <c r="GN32" s="40" t="str">
        <f t="shared" si="62"/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 t="shared" si="63"/>
        <v/>
      </c>
      <c r="HJ32" s="11" t="str">
        <f t="shared" si="64"/>
        <v/>
      </c>
      <c r="HK32" s="11" t="str">
        <f t="shared" si="65"/>
        <v/>
      </c>
      <c r="HL32" s="11" t="str">
        <f t="shared" si="66"/>
        <v/>
      </c>
      <c r="HM32" s="11" t="str">
        <f t="shared" si="67"/>
        <v/>
      </c>
      <c r="HN32" s="11" t="str">
        <f t="shared" si="68"/>
        <v/>
      </c>
      <c r="HO32" s="11" t="str">
        <f t="shared" si="69"/>
        <v/>
      </c>
      <c r="HP32" s="11" t="str">
        <f t="shared" si="70"/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 t="shared" si="71"/>
        <v/>
      </c>
      <c r="IL32" s="40" t="str">
        <f t="shared" si="72"/>
        <v/>
      </c>
      <c r="IM32" s="40" t="str">
        <f t="shared" si="73"/>
        <v/>
      </c>
      <c r="IN32" s="40" t="str">
        <f t="shared" si="74"/>
        <v/>
      </c>
      <c r="IO32" s="40" t="str">
        <f t="shared" si="75"/>
        <v/>
      </c>
      <c r="IP32" s="40" t="str">
        <f t="shared" si="76"/>
        <v/>
      </c>
      <c r="IQ32" s="40" t="str">
        <f t="shared" si="77"/>
        <v/>
      </c>
      <c r="IR32" s="40" t="str">
        <f t="shared" si="78"/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 t="shared" si="79"/>
        <v/>
      </c>
      <c r="JN32" s="11" t="str">
        <f t="shared" si="80"/>
        <v/>
      </c>
      <c r="JO32" s="11" t="str">
        <f t="shared" si="81"/>
        <v/>
      </c>
      <c r="JP32" s="11" t="str">
        <f t="shared" si="82"/>
        <v/>
      </c>
      <c r="JQ32" s="11" t="str">
        <f t="shared" si="83"/>
        <v/>
      </c>
      <c r="JR32" s="11" t="str">
        <f t="shared" si="84"/>
        <v/>
      </c>
      <c r="JS32" s="11" t="str">
        <f t="shared" si="85"/>
        <v/>
      </c>
      <c r="JT32" s="11" t="str">
        <f t="shared" si="86"/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 t="shared" si="87"/>
        <v/>
      </c>
      <c r="KP32" s="40" t="str">
        <f t="shared" si="88"/>
        <v/>
      </c>
      <c r="KQ32" s="40" t="str">
        <f t="shared" si="89"/>
        <v/>
      </c>
      <c r="KR32" s="40" t="str">
        <f t="shared" si="90"/>
        <v/>
      </c>
      <c r="KS32" s="40" t="str">
        <f t="shared" si="91"/>
        <v/>
      </c>
      <c r="KT32" s="40" t="str">
        <f t="shared" si="92"/>
        <v/>
      </c>
      <c r="KU32" s="40" t="str">
        <f t="shared" si="93"/>
        <v/>
      </c>
      <c r="KV32" s="40" t="str">
        <f t="shared" si="94"/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 t="shared" si="95"/>
        <v/>
      </c>
      <c r="LR32" s="11" t="str">
        <f t="shared" si="96"/>
        <v/>
      </c>
      <c r="LS32" s="11" t="str">
        <f t="shared" si="97"/>
        <v/>
      </c>
      <c r="LT32" s="11" t="str">
        <f t="shared" si="98"/>
        <v/>
      </c>
      <c r="LU32" s="11" t="str">
        <f t="shared" si="99"/>
        <v/>
      </c>
      <c r="LV32" s="11" t="str">
        <f t="shared" si="100"/>
        <v/>
      </c>
      <c r="LW32" s="11" t="str">
        <f t="shared" si="101"/>
        <v/>
      </c>
      <c r="LX32" s="11" t="str">
        <f t="shared" si="102"/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 t="shared" si="103"/>
        <v/>
      </c>
      <c r="MT32" s="40" t="str">
        <f t="shared" si="104"/>
        <v/>
      </c>
      <c r="MU32" s="40" t="str">
        <f t="shared" si="105"/>
        <v/>
      </c>
      <c r="MV32" s="40" t="str">
        <f t="shared" si="106"/>
        <v/>
      </c>
      <c r="MW32" s="40" t="str">
        <f t="shared" si="107"/>
        <v/>
      </c>
      <c r="MX32" s="40" t="str">
        <f t="shared" si="108"/>
        <v/>
      </c>
      <c r="MY32" s="40" t="str">
        <f t="shared" si="109"/>
        <v/>
      </c>
      <c r="MZ32" s="40" t="str">
        <f t="shared" si="110"/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 t="shared" si="111"/>
        <v/>
      </c>
      <c r="NV32" s="11" t="str">
        <f t="shared" si="112"/>
        <v/>
      </c>
      <c r="NW32" s="11" t="str">
        <f t="shared" si="113"/>
        <v/>
      </c>
      <c r="NX32" s="11" t="str">
        <f t="shared" si="114"/>
        <v/>
      </c>
      <c r="NY32" s="11" t="str">
        <f t="shared" si="115"/>
        <v/>
      </c>
      <c r="NZ32" s="11" t="str">
        <f t="shared" si="116"/>
        <v/>
      </c>
      <c r="OA32" s="11" t="str">
        <f t="shared" si="117"/>
        <v/>
      </c>
      <c r="OB32" s="11" t="str">
        <f t="shared" si="118"/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 t="shared" si="119"/>
        <v/>
      </c>
      <c r="OX32" s="40" t="str">
        <f t="shared" si="120"/>
        <v/>
      </c>
      <c r="OY32" s="40" t="str">
        <f t="shared" si="121"/>
        <v/>
      </c>
      <c r="OZ32" s="40" t="str">
        <f t="shared" si="122"/>
        <v/>
      </c>
      <c r="PA32" s="40" t="str">
        <f t="shared" si="123"/>
        <v/>
      </c>
      <c r="PB32" s="40" t="str">
        <f t="shared" si="124"/>
        <v/>
      </c>
      <c r="PC32" s="40" t="str">
        <f t="shared" si="125"/>
        <v/>
      </c>
      <c r="PD32" s="40" t="str">
        <f t="shared" si="126"/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 t="shared" si="127"/>
        <v/>
      </c>
      <c r="PZ32" s="11" t="str">
        <f t="shared" si="128"/>
        <v/>
      </c>
      <c r="QA32" s="11" t="str">
        <f t="shared" si="129"/>
        <v/>
      </c>
      <c r="QB32" s="11" t="str">
        <f t="shared" si="130"/>
        <v/>
      </c>
      <c r="QC32" s="11" t="str">
        <f t="shared" si="131"/>
        <v/>
      </c>
      <c r="QD32" s="11" t="str">
        <f t="shared" si="132"/>
        <v/>
      </c>
      <c r="QE32" s="11" t="str">
        <f t="shared" si="133"/>
        <v/>
      </c>
      <c r="QF32" s="11" t="str">
        <f t="shared" si="134"/>
        <v/>
      </c>
      <c r="QG32" s="22">
        <f t="shared" si="135"/>
        <v>9.1</v>
      </c>
      <c r="QH32" s="22">
        <f t="shared" si="136"/>
        <v>2.5999999999999996</v>
      </c>
      <c r="QI32" s="22">
        <f t="shared" si="137"/>
        <v>0</v>
      </c>
      <c r="QJ32" s="22">
        <f t="shared" si="138"/>
        <v>0</v>
      </c>
      <c r="QK32" s="22">
        <f t="shared" si="139"/>
        <v>9.25</v>
      </c>
      <c r="QL32" s="22">
        <f t="shared" si="140"/>
        <v>2.5999999999999996</v>
      </c>
      <c r="QM32" s="22">
        <f t="shared" si="141"/>
        <v>0</v>
      </c>
      <c r="QN32" s="22">
        <f t="shared" si="142"/>
        <v>0</v>
      </c>
      <c r="QO32" s="22">
        <f t="shared" si="143"/>
        <v>9.5</v>
      </c>
      <c r="QP32" s="22">
        <f t="shared" si="144"/>
        <v>2</v>
      </c>
      <c r="QQ32" s="22">
        <f t="shared" si="145"/>
        <v>0</v>
      </c>
      <c r="QR32" s="22">
        <f t="shared" si="146"/>
        <v>0</v>
      </c>
      <c r="QS32" s="22">
        <f t="shared" si="147"/>
        <v>9.4</v>
      </c>
      <c r="QT32" s="22">
        <f t="shared" si="148"/>
        <v>2.5999999999999996</v>
      </c>
      <c r="QU32" s="22">
        <f t="shared" si="149"/>
        <v>0</v>
      </c>
      <c r="QV32" s="22">
        <f t="shared" si="150"/>
        <v>0</v>
      </c>
      <c r="QW32" s="22">
        <f t="shared" si="151"/>
        <v>9.1</v>
      </c>
      <c r="QX32" s="22">
        <f t="shared" si="152"/>
        <v>2.5999999999999996</v>
      </c>
      <c r="QY32" s="22">
        <f t="shared" si="153"/>
        <v>0.3</v>
      </c>
      <c r="QZ32" s="22">
        <f t="shared" si="154"/>
        <v>0</v>
      </c>
      <c r="RA32" s="27" t="s">
        <v>46</v>
      </c>
      <c r="RB32" s="40">
        <f t="shared" si="155"/>
        <v>5.1999999999999993</v>
      </c>
      <c r="RC32" s="40">
        <f t="shared" si="156"/>
        <v>23.549999999999997</v>
      </c>
      <c r="RD32" s="40">
        <f t="shared" si="157"/>
        <v>11.5</v>
      </c>
      <c r="RE32" s="40">
        <f t="shared" si="158"/>
        <v>7.1999999999999993</v>
      </c>
      <c r="RF32" s="40">
        <f t="shared" si="159"/>
        <v>35.049999999999997</v>
      </c>
      <c r="RG32" s="40">
        <f t="shared" si="160"/>
        <v>5.1999999999999993</v>
      </c>
      <c r="RH32" s="40">
        <f t="shared" si="161"/>
        <v>23.400000000000002</v>
      </c>
      <c r="RI32" s="40">
        <f t="shared" si="162"/>
        <v>58.45</v>
      </c>
    </row>
    <row r="33" spans="1:477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146</v>
      </c>
      <c r="D33" s="4" t="s">
        <v>3</v>
      </c>
      <c r="E33" s="4">
        <v>2003</v>
      </c>
      <c r="F33" s="9">
        <f t="shared" si="163"/>
        <v>115.5000068200046</v>
      </c>
      <c r="G33" s="66"/>
      <c r="H33" s="3" t="str">
        <f t="shared" si="0"/>
        <v/>
      </c>
      <c r="I33" s="3" t="str">
        <f t="shared" si="1"/>
        <v/>
      </c>
      <c r="J33" s="36" t="str">
        <f t="shared" si="2"/>
        <v/>
      </c>
      <c r="K33" s="3" t="str">
        <f t="shared" si="3"/>
        <v/>
      </c>
      <c r="L33" s="8">
        <f>IF(COUNT(AS33,BV33,CY33)&gt;0,LARGE((AS33,BV33,CY33),1),0)</f>
        <v>45.999999999999993</v>
      </c>
      <c r="M33" s="8" t="str">
        <f t="shared" si="4"/>
        <v>2023 Nationals</v>
      </c>
      <c r="N33" s="8">
        <f>IF(COUNT(AS33,BV33,CY33)&gt;1,LARGE((AS33,BV33,CY33),2),0)</f>
        <v>0</v>
      </c>
      <c r="O33" s="8" t="str">
        <f t="shared" si="5"/>
        <v/>
      </c>
      <c r="P33" s="8">
        <f>IF(COUNT(AT33,BW33,CZ33)&gt;0,LARGE((AT33,BW33,CZ33),1),0)</f>
        <v>22.200000000000003</v>
      </c>
      <c r="Q33" s="8" t="str">
        <f t="shared" si="6"/>
        <v>2023 Nationals</v>
      </c>
      <c r="R33" s="8">
        <f t="shared" si="7"/>
        <v>47.300000000000004</v>
      </c>
      <c r="S33" s="8" t="str">
        <f t="shared" si="8"/>
        <v>2023 Nationals</v>
      </c>
      <c r="T33" s="8" t="str">
        <f t="shared" si="9"/>
        <v/>
      </c>
      <c r="U33" s="11" t="str">
        <f t="shared" si="10"/>
        <v/>
      </c>
      <c r="V33" s="8" t="str">
        <f t="shared" si="11"/>
        <v/>
      </c>
      <c r="W33" s="19">
        <v>19</v>
      </c>
      <c r="X33" s="19">
        <v>4.8</v>
      </c>
      <c r="Y33" s="19">
        <v>0.6</v>
      </c>
      <c r="Z33" s="19">
        <v>0</v>
      </c>
      <c r="AA33" s="19">
        <v>18.2</v>
      </c>
      <c r="AB33" s="19">
        <v>4.8</v>
      </c>
      <c r="AC33" s="19">
        <v>0.2</v>
      </c>
      <c r="AD33" s="19">
        <v>0</v>
      </c>
      <c r="AE33" s="19">
        <v>19.100000000000001</v>
      </c>
      <c r="AF33" s="19">
        <v>3.5</v>
      </c>
      <c r="AG33" s="19">
        <v>0.4</v>
      </c>
      <c r="AH33" s="19">
        <v>0</v>
      </c>
      <c r="AI33" s="19">
        <v>18.8</v>
      </c>
      <c r="AJ33" s="19">
        <v>5.2</v>
      </c>
      <c r="AK33" s="19">
        <v>0.8</v>
      </c>
      <c r="AL33" s="19">
        <v>0</v>
      </c>
      <c r="AM33" s="19">
        <v>18.899999999999999</v>
      </c>
      <c r="AN33" s="19">
        <v>5.2</v>
      </c>
      <c r="AO33" s="19">
        <v>0</v>
      </c>
      <c r="AP33" s="19">
        <v>0</v>
      </c>
      <c r="AQ33" s="27"/>
      <c r="AR33" s="40">
        <f t="shared" si="12"/>
        <v>9.6</v>
      </c>
      <c r="AS33" s="40">
        <f t="shared" si="13"/>
        <v>45.999999999999993</v>
      </c>
      <c r="AT33" s="40">
        <f t="shared" si="14"/>
        <v>22.200000000000003</v>
      </c>
      <c r="AU33" s="40">
        <f t="shared" si="15"/>
        <v>13.1</v>
      </c>
      <c r="AV33" s="40">
        <f t="shared" si="16"/>
        <v>68.199999999999989</v>
      </c>
      <c r="AW33" s="40">
        <f t="shared" si="17"/>
        <v>10.4</v>
      </c>
      <c r="AX33" s="40">
        <f t="shared" si="18"/>
        <v>47.300000000000004</v>
      </c>
      <c r="AY33" s="40">
        <f t="shared" si="19"/>
        <v>115.5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 t="shared" si="20"/>
        <v/>
      </c>
      <c r="BV33" s="11" t="str">
        <f t="shared" si="21"/>
        <v/>
      </c>
      <c r="BW33" s="11" t="str">
        <f t="shared" si="22"/>
        <v/>
      </c>
      <c r="BX33" s="11" t="str">
        <f t="shared" si="23"/>
        <v/>
      </c>
      <c r="BY33" s="11" t="str">
        <f t="shared" si="24"/>
        <v/>
      </c>
      <c r="BZ33" s="11" t="str">
        <f t="shared" si="25"/>
        <v/>
      </c>
      <c r="CA33" s="11" t="str">
        <f t="shared" si="26"/>
        <v/>
      </c>
      <c r="CB33" s="11" t="str">
        <f t="shared" si="27"/>
        <v/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 t="shared" si="28"/>
        <v/>
      </c>
      <c r="CY33" s="40" t="str">
        <f t="shared" si="29"/>
        <v/>
      </c>
      <c r="CZ33" s="40" t="str">
        <f t="shared" si="30"/>
        <v/>
      </c>
      <c r="DA33" s="40" t="str">
        <f t="shared" si="31"/>
        <v/>
      </c>
      <c r="DB33" s="40" t="str">
        <f t="shared" si="32"/>
        <v/>
      </c>
      <c r="DC33" s="40" t="str">
        <f t="shared" si="33"/>
        <v/>
      </c>
      <c r="DD33" s="40" t="str">
        <f t="shared" si="34"/>
        <v/>
      </c>
      <c r="DE33" s="40" t="str">
        <f t="shared" si="35"/>
        <v/>
      </c>
      <c r="DF33" s="50" t="str">
        <f t="shared" si="36"/>
        <v/>
      </c>
      <c r="DG33" s="50" t="str">
        <f t="shared" si="37"/>
        <v/>
      </c>
      <c r="DH33" s="50" t="str">
        <f t="shared" si="38"/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 t="shared" si="39"/>
        <v/>
      </c>
      <c r="ED33" s="40" t="str">
        <f t="shared" si="40"/>
        <v/>
      </c>
      <c r="EE33" s="40" t="str">
        <f t="shared" si="41"/>
        <v/>
      </c>
      <c r="EF33" s="40" t="str">
        <f t="shared" si="42"/>
        <v/>
      </c>
      <c r="EG33" s="40" t="str">
        <f t="shared" si="43"/>
        <v/>
      </c>
      <c r="EH33" s="40" t="str">
        <f t="shared" si="44"/>
        <v/>
      </c>
      <c r="EI33" s="40" t="str">
        <f t="shared" si="45"/>
        <v/>
      </c>
      <c r="EJ33" s="40" t="str">
        <f t="shared" si="46"/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 t="shared" si="47"/>
        <v/>
      </c>
      <c r="FF33" s="11" t="str">
        <f t="shared" si="48"/>
        <v/>
      </c>
      <c r="FG33" s="11" t="str">
        <f t="shared" si="49"/>
        <v/>
      </c>
      <c r="FH33" s="11" t="str">
        <f t="shared" si="50"/>
        <v/>
      </c>
      <c r="FI33" s="11" t="str">
        <f t="shared" si="51"/>
        <v/>
      </c>
      <c r="FJ33" s="11" t="str">
        <f t="shared" si="52"/>
        <v/>
      </c>
      <c r="FK33" s="11" t="str">
        <f t="shared" si="53"/>
        <v/>
      </c>
      <c r="FL33" s="11" t="str">
        <f t="shared" si="54"/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 t="shared" si="55"/>
        <v/>
      </c>
      <c r="GH33" s="40" t="str">
        <f t="shared" si="56"/>
        <v/>
      </c>
      <c r="GI33" s="40" t="str">
        <f t="shared" si="57"/>
        <v/>
      </c>
      <c r="GJ33" s="40" t="str">
        <f t="shared" si="58"/>
        <v/>
      </c>
      <c r="GK33" s="40" t="str">
        <f t="shared" si="59"/>
        <v/>
      </c>
      <c r="GL33" s="40" t="str">
        <f t="shared" si="60"/>
        <v/>
      </c>
      <c r="GM33" s="40" t="str">
        <f t="shared" si="61"/>
        <v/>
      </c>
      <c r="GN33" s="40" t="str">
        <f t="shared" si="62"/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 t="shared" si="63"/>
        <v/>
      </c>
      <c r="HJ33" s="11" t="str">
        <f t="shared" si="64"/>
        <v/>
      </c>
      <c r="HK33" s="11" t="str">
        <f t="shared" si="65"/>
        <v/>
      </c>
      <c r="HL33" s="11" t="str">
        <f t="shared" si="66"/>
        <v/>
      </c>
      <c r="HM33" s="11" t="str">
        <f t="shared" si="67"/>
        <v/>
      </c>
      <c r="HN33" s="11" t="str">
        <f t="shared" si="68"/>
        <v/>
      </c>
      <c r="HO33" s="11" t="str">
        <f t="shared" si="69"/>
        <v/>
      </c>
      <c r="HP33" s="11" t="str">
        <f t="shared" si="70"/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 t="shared" si="71"/>
        <v/>
      </c>
      <c r="IL33" s="40" t="str">
        <f t="shared" si="72"/>
        <v/>
      </c>
      <c r="IM33" s="40" t="str">
        <f t="shared" si="73"/>
        <v/>
      </c>
      <c r="IN33" s="40" t="str">
        <f t="shared" si="74"/>
        <v/>
      </c>
      <c r="IO33" s="40" t="str">
        <f t="shared" si="75"/>
        <v/>
      </c>
      <c r="IP33" s="40" t="str">
        <f t="shared" si="76"/>
        <v/>
      </c>
      <c r="IQ33" s="40" t="str">
        <f t="shared" si="77"/>
        <v/>
      </c>
      <c r="IR33" s="40" t="str">
        <f t="shared" si="78"/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 t="shared" si="79"/>
        <v/>
      </c>
      <c r="JN33" s="11" t="str">
        <f t="shared" si="80"/>
        <v/>
      </c>
      <c r="JO33" s="11" t="str">
        <f t="shared" si="81"/>
        <v/>
      </c>
      <c r="JP33" s="11" t="str">
        <f t="shared" si="82"/>
        <v/>
      </c>
      <c r="JQ33" s="11" t="str">
        <f t="shared" si="83"/>
        <v/>
      </c>
      <c r="JR33" s="11" t="str">
        <f t="shared" si="84"/>
        <v/>
      </c>
      <c r="JS33" s="11" t="str">
        <f t="shared" si="85"/>
        <v/>
      </c>
      <c r="JT33" s="11" t="str">
        <f t="shared" si="86"/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 t="shared" si="87"/>
        <v/>
      </c>
      <c r="KP33" s="40" t="str">
        <f t="shared" si="88"/>
        <v/>
      </c>
      <c r="KQ33" s="40" t="str">
        <f t="shared" si="89"/>
        <v/>
      </c>
      <c r="KR33" s="40" t="str">
        <f t="shared" si="90"/>
        <v/>
      </c>
      <c r="KS33" s="40" t="str">
        <f t="shared" si="91"/>
        <v/>
      </c>
      <c r="KT33" s="40" t="str">
        <f t="shared" si="92"/>
        <v/>
      </c>
      <c r="KU33" s="40" t="str">
        <f t="shared" si="93"/>
        <v/>
      </c>
      <c r="KV33" s="40" t="str">
        <f t="shared" si="94"/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 t="shared" si="95"/>
        <v/>
      </c>
      <c r="LR33" s="11" t="str">
        <f t="shared" si="96"/>
        <v/>
      </c>
      <c r="LS33" s="11" t="str">
        <f t="shared" si="97"/>
        <v/>
      </c>
      <c r="LT33" s="11" t="str">
        <f t="shared" si="98"/>
        <v/>
      </c>
      <c r="LU33" s="11" t="str">
        <f t="shared" si="99"/>
        <v/>
      </c>
      <c r="LV33" s="11" t="str">
        <f t="shared" si="100"/>
        <v/>
      </c>
      <c r="LW33" s="11" t="str">
        <f t="shared" si="101"/>
        <v/>
      </c>
      <c r="LX33" s="11" t="str">
        <f t="shared" si="102"/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 t="shared" si="103"/>
        <v/>
      </c>
      <c r="MT33" s="40" t="str">
        <f t="shared" si="104"/>
        <v/>
      </c>
      <c r="MU33" s="40" t="str">
        <f t="shared" si="105"/>
        <v/>
      </c>
      <c r="MV33" s="40" t="str">
        <f t="shared" si="106"/>
        <v/>
      </c>
      <c r="MW33" s="40" t="str">
        <f t="shared" si="107"/>
        <v/>
      </c>
      <c r="MX33" s="40" t="str">
        <f t="shared" si="108"/>
        <v/>
      </c>
      <c r="MY33" s="40" t="str">
        <f t="shared" si="109"/>
        <v/>
      </c>
      <c r="MZ33" s="40" t="str">
        <f t="shared" si="110"/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 t="shared" si="111"/>
        <v/>
      </c>
      <c r="NV33" s="11" t="str">
        <f t="shared" si="112"/>
        <v/>
      </c>
      <c r="NW33" s="11" t="str">
        <f t="shared" si="113"/>
        <v/>
      </c>
      <c r="NX33" s="11" t="str">
        <f t="shared" si="114"/>
        <v/>
      </c>
      <c r="NY33" s="11" t="str">
        <f t="shared" si="115"/>
        <v/>
      </c>
      <c r="NZ33" s="11" t="str">
        <f t="shared" si="116"/>
        <v/>
      </c>
      <c r="OA33" s="11" t="str">
        <f t="shared" si="117"/>
        <v/>
      </c>
      <c r="OB33" s="11" t="str">
        <f t="shared" si="118"/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 t="shared" si="119"/>
        <v/>
      </c>
      <c r="OX33" s="40" t="str">
        <f t="shared" si="120"/>
        <v/>
      </c>
      <c r="OY33" s="40" t="str">
        <f t="shared" si="121"/>
        <v/>
      </c>
      <c r="OZ33" s="40" t="str">
        <f t="shared" si="122"/>
        <v/>
      </c>
      <c r="PA33" s="40" t="str">
        <f t="shared" si="123"/>
        <v/>
      </c>
      <c r="PB33" s="40" t="str">
        <f t="shared" si="124"/>
        <v/>
      </c>
      <c r="PC33" s="40" t="str">
        <f t="shared" si="125"/>
        <v/>
      </c>
      <c r="PD33" s="40" t="str">
        <f t="shared" si="126"/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 t="shared" si="127"/>
        <v/>
      </c>
      <c r="PZ33" s="11" t="str">
        <f t="shared" si="128"/>
        <v/>
      </c>
      <c r="QA33" s="11" t="str">
        <f t="shared" si="129"/>
        <v/>
      </c>
      <c r="QB33" s="11" t="str">
        <f t="shared" si="130"/>
        <v/>
      </c>
      <c r="QC33" s="11" t="str">
        <f t="shared" si="131"/>
        <v/>
      </c>
      <c r="QD33" s="11" t="str">
        <f t="shared" si="132"/>
        <v/>
      </c>
      <c r="QE33" s="11" t="str">
        <f t="shared" si="133"/>
        <v/>
      </c>
      <c r="QF33" s="11" t="str">
        <f t="shared" si="134"/>
        <v/>
      </c>
      <c r="QG33" s="22">
        <f t="shared" si="135"/>
        <v>0</v>
      </c>
      <c r="QH33" s="22">
        <f t="shared" si="136"/>
        <v>0</v>
      </c>
      <c r="QI33" s="22">
        <f t="shared" si="137"/>
        <v>0</v>
      </c>
      <c r="QJ33" s="22">
        <f t="shared" si="138"/>
        <v>0</v>
      </c>
      <c r="QK33" s="22">
        <f t="shared" si="139"/>
        <v>0</v>
      </c>
      <c r="QL33" s="22">
        <f t="shared" si="140"/>
        <v>0</v>
      </c>
      <c r="QM33" s="22">
        <f t="shared" si="141"/>
        <v>0</v>
      </c>
      <c r="QN33" s="22">
        <f t="shared" si="142"/>
        <v>0</v>
      </c>
      <c r="QO33" s="22">
        <f t="shared" si="143"/>
        <v>0</v>
      </c>
      <c r="QP33" s="22">
        <f t="shared" si="144"/>
        <v>0</v>
      </c>
      <c r="QQ33" s="22">
        <f t="shared" si="145"/>
        <v>0</v>
      </c>
      <c r="QR33" s="22">
        <f t="shared" si="146"/>
        <v>0</v>
      </c>
      <c r="QS33" s="22">
        <f t="shared" si="147"/>
        <v>0</v>
      </c>
      <c r="QT33" s="22">
        <f t="shared" si="148"/>
        <v>0</v>
      </c>
      <c r="QU33" s="22">
        <f t="shared" si="149"/>
        <v>0</v>
      </c>
      <c r="QV33" s="22">
        <f t="shared" si="150"/>
        <v>0</v>
      </c>
      <c r="QW33" s="22">
        <f t="shared" si="151"/>
        <v>0</v>
      </c>
      <c r="QX33" s="22">
        <f t="shared" si="152"/>
        <v>0</v>
      </c>
      <c r="QY33" s="22">
        <f t="shared" si="153"/>
        <v>0</v>
      </c>
      <c r="QZ33" s="22">
        <f t="shared" si="154"/>
        <v>0</v>
      </c>
      <c r="RA33" s="27" t="s">
        <v>46</v>
      </c>
      <c r="RB33" s="40" t="str">
        <f t="shared" si="155"/>
        <v/>
      </c>
      <c r="RC33" s="40" t="str">
        <f t="shared" si="156"/>
        <v/>
      </c>
      <c r="RD33" s="40" t="str">
        <f t="shared" si="157"/>
        <v/>
      </c>
      <c r="RE33" s="40" t="str">
        <f t="shared" si="158"/>
        <v/>
      </c>
      <c r="RF33" s="40" t="str">
        <f t="shared" si="159"/>
        <v/>
      </c>
      <c r="RG33" s="40" t="str">
        <f t="shared" si="160"/>
        <v/>
      </c>
      <c r="RH33" s="40" t="str">
        <f t="shared" si="161"/>
        <v/>
      </c>
      <c r="RI33" s="40" t="str">
        <f t="shared" si="162"/>
        <v/>
      </c>
    </row>
    <row r="34" spans="1:477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239</v>
      </c>
      <c r="D34" s="4" t="s">
        <v>6</v>
      </c>
      <c r="E34" s="4">
        <v>2005</v>
      </c>
      <c r="F34" s="9">
        <f t="shared" si="163"/>
        <v>107.2000063100043</v>
      </c>
      <c r="G34" s="66"/>
      <c r="H34" s="3" t="str">
        <f t="shared" si="0"/>
        <v/>
      </c>
      <c r="I34" s="3" t="str">
        <f t="shared" si="1"/>
        <v/>
      </c>
      <c r="J34" s="36" t="str">
        <f t="shared" si="2"/>
        <v/>
      </c>
      <c r="K34" s="3" t="str">
        <f t="shared" si="3"/>
        <v/>
      </c>
      <c r="L34" s="8">
        <f>IF(COUNT(AS34,BV34,CY34)&gt;0,LARGE((AS34,BV34,CY34),1),0)</f>
        <v>42.900000000000006</v>
      </c>
      <c r="M34" s="8" t="str">
        <f t="shared" si="4"/>
        <v>2024 Elite Canada</v>
      </c>
      <c r="N34" s="8">
        <f>IF(COUNT(AS34,BV34,CY34)&gt;1,LARGE((AS34,BV34,CY34),2),0)</f>
        <v>0</v>
      </c>
      <c r="O34" s="8" t="str">
        <f t="shared" si="5"/>
        <v/>
      </c>
      <c r="P34" s="8">
        <f>IF(COUNT(AT34,BW34,CZ34)&gt;0,LARGE((AT34,BW34,CZ34),1),0)</f>
        <v>20.2</v>
      </c>
      <c r="Q34" s="8" t="str">
        <f t="shared" si="6"/>
        <v>2024 Elite Canada</v>
      </c>
      <c r="R34" s="8">
        <f t="shared" si="7"/>
        <v>44.099999999999994</v>
      </c>
      <c r="S34" s="8" t="str">
        <f t="shared" si="8"/>
        <v>2024 Elite Canada</v>
      </c>
      <c r="T34" s="8" t="str">
        <f t="shared" si="9"/>
        <v/>
      </c>
      <c r="U34" s="11" t="str">
        <f t="shared" si="10"/>
        <v/>
      </c>
      <c r="V34" s="8" t="str">
        <f t="shared" si="11"/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 t="shared" si="12"/>
        <v/>
      </c>
      <c r="AS34" s="40" t="str">
        <f t="shared" si="13"/>
        <v/>
      </c>
      <c r="AT34" s="40" t="str">
        <f t="shared" si="14"/>
        <v/>
      </c>
      <c r="AU34" s="40" t="str">
        <f t="shared" si="15"/>
        <v/>
      </c>
      <c r="AV34" s="40" t="str">
        <f t="shared" si="16"/>
        <v/>
      </c>
      <c r="AW34" s="40" t="str">
        <f t="shared" si="17"/>
        <v/>
      </c>
      <c r="AX34" s="40" t="str">
        <f t="shared" si="18"/>
        <v/>
      </c>
      <c r="AY34" s="40" t="str">
        <f t="shared" si="19"/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 t="shared" si="20"/>
        <v/>
      </c>
      <c r="BV34" s="11" t="str">
        <f t="shared" si="21"/>
        <v/>
      </c>
      <c r="BW34" s="11" t="str">
        <f t="shared" si="22"/>
        <v/>
      </c>
      <c r="BX34" s="11" t="str">
        <f t="shared" si="23"/>
        <v/>
      </c>
      <c r="BY34" s="11" t="str">
        <f t="shared" si="24"/>
        <v/>
      </c>
      <c r="BZ34" s="11" t="str">
        <f t="shared" si="25"/>
        <v/>
      </c>
      <c r="CA34" s="11" t="str">
        <f t="shared" si="26"/>
        <v/>
      </c>
      <c r="CB34" s="11" t="str">
        <f t="shared" si="27"/>
        <v/>
      </c>
      <c r="CC34" s="19">
        <v>18.600000000000001</v>
      </c>
      <c r="CD34" s="19">
        <v>5.2</v>
      </c>
      <c r="CE34" s="19">
        <v>0</v>
      </c>
      <c r="CF34" s="19">
        <v>0</v>
      </c>
      <c r="CG34" s="19">
        <v>16.600000000000001</v>
      </c>
      <c r="CH34" s="19">
        <v>3.5</v>
      </c>
      <c r="CI34" s="19">
        <v>1</v>
      </c>
      <c r="CJ34" s="19">
        <v>0</v>
      </c>
      <c r="CK34" s="19">
        <v>17.399999999999999</v>
      </c>
      <c r="CL34" s="19">
        <v>2.8</v>
      </c>
      <c r="CM34" s="19">
        <v>0</v>
      </c>
      <c r="CN34" s="19">
        <v>0</v>
      </c>
      <c r="CO34" s="19">
        <v>18.7</v>
      </c>
      <c r="CP34" s="19">
        <v>3.5</v>
      </c>
      <c r="CQ34" s="19">
        <v>0</v>
      </c>
      <c r="CR34" s="19">
        <v>0</v>
      </c>
      <c r="CS34" s="19">
        <v>18.600000000000001</v>
      </c>
      <c r="CT34" s="19">
        <v>3.5</v>
      </c>
      <c r="CU34" s="19">
        <v>0.2</v>
      </c>
      <c r="CV34" s="19">
        <v>0</v>
      </c>
      <c r="CW34" s="27"/>
      <c r="CX34" s="40">
        <f t="shared" si="28"/>
        <v>8.6999999999999993</v>
      </c>
      <c r="CY34" s="40">
        <f t="shared" si="29"/>
        <v>42.900000000000006</v>
      </c>
      <c r="CZ34" s="40">
        <f t="shared" si="30"/>
        <v>20.2</v>
      </c>
      <c r="DA34" s="40">
        <f t="shared" si="31"/>
        <v>11.5</v>
      </c>
      <c r="DB34" s="40">
        <f t="shared" si="32"/>
        <v>63.100000000000009</v>
      </c>
      <c r="DC34" s="40">
        <f t="shared" si="33"/>
        <v>7</v>
      </c>
      <c r="DD34" s="40">
        <f t="shared" si="34"/>
        <v>44.099999999999994</v>
      </c>
      <c r="DE34" s="40">
        <f t="shared" si="35"/>
        <v>107.2</v>
      </c>
      <c r="DF34" s="50" t="str">
        <f t="shared" si="36"/>
        <v/>
      </c>
      <c r="DG34" s="50" t="str">
        <f t="shared" si="37"/>
        <v/>
      </c>
      <c r="DH34" s="50" t="str">
        <f t="shared" si="38"/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 t="shared" si="39"/>
        <v/>
      </c>
      <c r="ED34" s="40" t="str">
        <f t="shared" si="40"/>
        <v/>
      </c>
      <c r="EE34" s="40" t="str">
        <f t="shared" si="41"/>
        <v/>
      </c>
      <c r="EF34" s="40" t="str">
        <f t="shared" si="42"/>
        <v/>
      </c>
      <c r="EG34" s="40" t="str">
        <f t="shared" si="43"/>
        <v/>
      </c>
      <c r="EH34" s="40" t="str">
        <f t="shared" si="44"/>
        <v/>
      </c>
      <c r="EI34" s="40" t="str">
        <f t="shared" si="45"/>
        <v/>
      </c>
      <c r="EJ34" s="40" t="str">
        <f t="shared" si="46"/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 t="shared" si="47"/>
        <v/>
      </c>
      <c r="FF34" s="11" t="str">
        <f t="shared" si="48"/>
        <v/>
      </c>
      <c r="FG34" s="11" t="str">
        <f t="shared" si="49"/>
        <v/>
      </c>
      <c r="FH34" s="11" t="str">
        <f t="shared" si="50"/>
        <v/>
      </c>
      <c r="FI34" s="11" t="str">
        <f t="shared" si="51"/>
        <v/>
      </c>
      <c r="FJ34" s="11" t="str">
        <f t="shared" si="52"/>
        <v/>
      </c>
      <c r="FK34" s="11" t="str">
        <f t="shared" si="53"/>
        <v/>
      </c>
      <c r="FL34" s="11" t="str">
        <f t="shared" si="54"/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 t="shared" si="55"/>
        <v/>
      </c>
      <c r="GH34" s="40" t="str">
        <f t="shared" si="56"/>
        <v/>
      </c>
      <c r="GI34" s="40" t="str">
        <f t="shared" si="57"/>
        <v/>
      </c>
      <c r="GJ34" s="40" t="str">
        <f t="shared" si="58"/>
        <v/>
      </c>
      <c r="GK34" s="40" t="str">
        <f t="shared" si="59"/>
        <v/>
      </c>
      <c r="GL34" s="40" t="str">
        <f t="shared" si="60"/>
        <v/>
      </c>
      <c r="GM34" s="40" t="str">
        <f t="shared" si="61"/>
        <v/>
      </c>
      <c r="GN34" s="40" t="str">
        <f t="shared" si="62"/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 t="shared" si="63"/>
        <v/>
      </c>
      <c r="HJ34" s="11" t="str">
        <f t="shared" si="64"/>
        <v/>
      </c>
      <c r="HK34" s="11" t="str">
        <f t="shared" si="65"/>
        <v/>
      </c>
      <c r="HL34" s="11" t="str">
        <f t="shared" si="66"/>
        <v/>
      </c>
      <c r="HM34" s="11" t="str">
        <f t="shared" si="67"/>
        <v/>
      </c>
      <c r="HN34" s="11" t="str">
        <f t="shared" si="68"/>
        <v/>
      </c>
      <c r="HO34" s="11" t="str">
        <f t="shared" si="69"/>
        <v/>
      </c>
      <c r="HP34" s="11" t="str">
        <f t="shared" si="70"/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 t="shared" si="71"/>
        <v/>
      </c>
      <c r="IL34" s="40" t="str">
        <f t="shared" si="72"/>
        <v/>
      </c>
      <c r="IM34" s="40" t="str">
        <f t="shared" si="73"/>
        <v/>
      </c>
      <c r="IN34" s="40" t="str">
        <f t="shared" si="74"/>
        <v/>
      </c>
      <c r="IO34" s="40" t="str">
        <f t="shared" si="75"/>
        <v/>
      </c>
      <c r="IP34" s="40" t="str">
        <f t="shared" si="76"/>
        <v/>
      </c>
      <c r="IQ34" s="40" t="str">
        <f t="shared" si="77"/>
        <v/>
      </c>
      <c r="IR34" s="40" t="str">
        <f t="shared" si="78"/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 t="shared" si="79"/>
        <v/>
      </c>
      <c r="JN34" s="11" t="str">
        <f t="shared" si="80"/>
        <v/>
      </c>
      <c r="JO34" s="11" t="str">
        <f t="shared" si="81"/>
        <v/>
      </c>
      <c r="JP34" s="11" t="str">
        <f t="shared" si="82"/>
        <v/>
      </c>
      <c r="JQ34" s="11" t="str">
        <f t="shared" si="83"/>
        <v/>
      </c>
      <c r="JR34" s="11" t="str">
        <f t="shared" si="84"/>
        <v/>
      </c>
      <c r="JS34" s="11" t="str">
        <f t="shared" si="85"/>
        <v/>
      </c>
      <c r="JT34" s="11" t="str">
        <f t="shared" si="86"/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 t="shared" si="87"/>
        <v/>
      </c>
      <c r="KP34" s="40" t="str">
        <f t="shared" si="88"/>
        <v/>
      </c>
      <c r="KQ34" s="40" t="str">
        <f t="shared" si="89"/>
        <v/>
      </c>
      <c r="KR34" s="40" t="str">
        <f t="shared" si="90"/>
        <v/>
      </c>
      <c r="KS34" s="40" t="str">
        <f t="shared" si="91"/>
        <v/>
      </c>
      <c r="KT34" s="40" t="str">
        <f t="shared" si="92"/>
        <v/>
      </c>
      <c r="KU34" s="40" t="str">
        <f t="shared" si="93"/>
        <v/>
      </c>
      <c r="KV34" s="40" t="str">
        <f t="shared" si="94"/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 t="shared" si="95"/>
        <v/>
      </c>
      <c r="LR34" s="11" t="str">
        <f t="shared" si="96"/>
        <v/>
      </c>
      <c r="LS34" s="11" t="str">
        <f t="shared" si="97"/>
        <v/>
      </c>
      <c r="LT34" s="11" t="str">
        <f t="shared" si="98"/>
        <v/>
      </c>
      <c r="LU34" s="11" t="str">
        <f t="shared" si="99"/>
        <v/>
      </c>
      <c r="LV34" s="11" t="str">
        <f t="shared" si="100"/>
        <v/>
      </c>
      <c r="LW34" s="11" t="str">
        <f t="shared" si="101"/>
        <v/>
      </c>
      <c r="LX34" s="11" t="str">
        <f t="shared" si="102"/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 t="shared" si="103"/>
        <v/>
      </c>
      <c r="MT34" s="40" t="str">
        <f t="shared" si="104"/>
        <v/>
      </c>
      <c r="MU34" s="40" t="str">
        <f t="shared" si="105"/>
        <v/>
      </c>
      <c r="MV34" s="40" t="str">
        <f t="shared" si="106"/>
        <v/>
      </c>
      <c r="MW34" s="40" t="str">
        <f t="shared" si="107"/>
        <v/>
      </c>
      <c r="MX34" s="40" t="str">
        <f t="shared" si="108"/>
        <v/>
      </c>
      <c r="MY34" s="40" t="str">
        <f t="shared" si="109"/>
        <v/>
      </c>
      <c r="MZ34" s="40" t="str">
        <f t="shared" si="110"/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 t="shared" si="111"/>
        <v/>
      </c>
      <c r="NV34" s="11" t="str">
        <f t="shared" si="112"/>
        <v/>
      </c>
      <c r="NW34" s="11" t="str">
        <f t="shared" si="113"/>
        <v/>
      </c>
      <c r="NX34" s="11" t="str">
        <f t="shared" si="114"/>
        <v/>
      </c>
      <c r="NY34" s="11" t="str">
        <f t="shared" si="115"/>
        <v/>
      </c>
      <c r="NZ34" s="11" t="str">
        <f t="shared" si="116"/>
        <v/>
      </c>
      <c r="OA34" s="11" t="str">
        <f t="shared" si="117"/>
        <v/>
      </c>
      <c r="OB34" s="11" t="str">
        <f t="shared" si="118"/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 t="shared" si="119"/>
        <v/>
      </c>
      <c r="OX34" s="40" t="str">
        <f t="shared" si="120"/>
        <v/>
      </c>
      <c r="OY34" s="40" t="str">
        <f t="shared" si="121"/>
        <v/>
      </c>
      <c r="OZ34" s="40" t="str">
        <f t="shared" si="122"/>
        <v/>
      </c>
      <c r="PA34" s="40" t="str">
        <f t="shared" si="123"/>
        <v/>
      </c>
      <c r="PB34" s="40" t="str">
        <f t="shared" si="124"/>
        <v/>
      </c>
      <c r="PC34" s="40" t="str">
        <f t="shared" si="125"/>
        <v/>
      </c>
      <c r="PD34" s="40" t="str">
        <f t="shared" si="126"/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 t="shared" si="127"/>
        <v/>
      </c>
      <c r="PZ34" s="11" t="str">
        <f t="shared" si="128"/>
        <v/>
      </c>
      <c r="QA34" s="11" t="str">
        <f t="shared" si="129"/>
        <v/>
      </c>
      <c r="QB34" s="11" t="str">
        <f t="shared" si="130"/>
        <v/>
      </c>
      <c r="QC34" s="11" t="str">
        <f t="shared" si="131"/>
        <v/>
      </c>
      <c r="QD34" s="11" t="str">
        <f t="shared" si="132"/>
        <v/>
      </c>
      <c r="QE34" s="11" t="str">
        <f t="shared" si="133"/>
        <v/>
      </c>
      <c r="QF34" s="11" t="str">
        <f t="shared" si="134"/>
        <v/>
      </c>
      <c r="QG34" s="22">
        <f t="shared" si="135"/>
        <v>9.3000000000000007</v>
      </c>
      <c r="QH34" s="22">
        <f t="shared" si="136"/>
        <v>2.6</v>
      </c>
      <c r="QI34" s="22">
        <f t="shared" si="137"/>
        <v>0</v>
      </c>
      <c r="QJ34" s="22">
        <f t="shared" si="138"/>
        <v>0</v>
      </c>
      <c r="QK34" s="22">
        <f t="shared" si="139"/>
        <v>8.3000000000000007</v>
      </c>
      <c r="QL34" s="22">
        <f t="shared" si="140"/>
        <v>1.75</v>
      </c>
      <c r="QM34" s="22">
        <f t="shared" si="141"/>
        <v>0.5</v>
      </c>
      <c r="QN34" s="22">
        <f t="shared" si="142"/>
        <v>0</v>
      </c>
      <c r="QO34" s="22">
        <f t="shared" si="143"/>
        <v>8.6999999999999993</v>
      </c>
      <c r="QP34" s="22">
        <f t="shared" si="144"/>
        <v>1.4</v>
      </c>
      <c r="QQ34" s="22">
        <f t="shared" si="145"/>
        <v>0</v>
      </c>
      <c r="QR34" s="22">
        <f t="shared" si="146"/>
        <v>0</v>
      </c>
      <c r="QS34" s="22">
        <f t="shared" si="147"/>
        <v>9.35</v>
      </c>
      <c r="QT34" s="22">
        <f t="shared" si="148"/>
        <v>1.75</v>
      </c>
      <c r="QU34" s="22">
        <f t="shared" si="149"/>
        <v>0</v>
      </c>
      <c r="QV34" s="22">
        <f t="shared" si="150"/>
        <v>0</v>
      </c>
      <c r="QW34" s="22">
        <f t="shared" si="151"/>
        <v>9.3000000000000007</v>
      </c>
      <c r="QX34" s="22">
        <f t="shared" si="152"/>
        <v>1.75</v>
      </c>
      <c r="QY34" s="22">
        <f t="shared" si="153"/>
        <v>0.1</v>
      </c>
      <c r="QZ34" s="22">
        <f t="shared" si="154"/>
        <v>0</v>
      </c>
      <c r="RA34" s="27" t="s">
        <v>46</v>
      </c>
      <c r="RB34" s="40">
        <f t="shared" si="155"/>
        <v>4.3499999999999996</v>
      </c>
      <c r="RC34" s="40">
        <f t="shared" si="156"/>
        <v>21.450000000000003</v>
      </c>
      <c r="RD34" s="40">
        <f t="shared" si="157"/>
        <v>10.1</v>
      </c>
      <c r="RE34" s="40">
        <f t="shared" si="158"/>
        <v>5.75</v>
      </c>
      <c r="RF34" s="40">
        <f t="shared" si="159"/>
        <v>31.550000000000004</v>
      </c>
      <c r="RG34" s="40">
        <f t="shared" si="160"/>
        <v>3.5</v>
      </c>
      <c r="RH34" s="40">
        <f t="shared" si="161"/>
        <v>22.049999999999997</v>
      </c>
      <c r="RI34" s="40">
        <f t="shared" si="162"/>
        <v>53.6</v>
      </c>
    </row>
    <row r="35" spans="1:477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240</v>
      </c>
      <c r="D35" s="4" t="s">
        <v>4</v>
      </c>
      <c r="E35" s="4">
        <v>2006</v>
      </c>
      <c r="F35" s="9">
        <f t="shared" si="163"/>
        <v>90.30000663000456</v>
      </c>
      <c r="G35" s="66"/>
      <c r="H35" s="3" t="str">
        <f t="shared" si="0"/>
        <v/>
      </c>
      <c r="I35" s="3" t="str">
        <f t="shared" si="1"/>
        <v/>
      </c>
      <c r="J35" s="36" t="str">
        <f t="shared" si="2"/>
        <v/>
      </c>
      <c r="K35" s="3" t="str">
        <f t="shared" si="3"/>
        <v/>
      </c>
      <c r="L35" s="8">
        <f>IF(COUNT(AS35,BV35,CY35)&gt;0,LARGE((AS35,BV35,CY35),1),0)</f>
        <v>45.599999999999994</v>
      </c>
      <c r="M35" s="8" t="str">
        <f t="shared" si="4"/>
        <v>2024 Elite Canada</v>
      </c>
      <c r="N35" s="8">
        <f>IF(COUNT(AS35,BV35,CY35)&gt;1,LARGE((AS35,BV35,CY35),2),0)</f>
        <v>0</v>
      </c>
      <c r="O35" s="8" t="str">
        <f t="shared" si="5"/>
        <v/>
      </c>
      <c r="P35" s="8">
        <f>IF(COUNT(AT35,BW35,CZ35)&gt;0,LARGE((AT35,BW35,CZ35),1),0)</f>
        <v>20.7</v>
      </c>
      <c r="Q35" s="8" t="str">
        <f t="shared" si="6"/>
        <v>2024 Elite Canada</v>
      </c>
      <c r="R35" s="8">
        <f t="shared" si="7"/>
        <v>24</v>
      </c>
      <c r="S35" s="8" t="str">
        <f t="shared" si="8"/>
        <v>2024 Elite Canada</v>
      </c>
      <c r="T35" s="8" t="str">
        <f t="shared" si="9"/>
        <v/>
      </c>
      <c r="U35" s="11" t="str">
        <f t="shared" si="10"/>
        <v/>
      </c>
      <c r="V35" s="8" t="str">
        <f t="shared" si="11"/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 t="shared" si="12"/>
        <v/>
      </c>
      <c r="AS35" s="40" t="str">
        <f t="shared" si="13"/>
        <v/>
      </c>
      <c r="AT35" s="40" t="str">
        <f t="shared" si="14"/>
        <v/>
      </c>
      <c r="AU35" s="40" t="str">
        <f t="shared" si="15"/>
        <v/>
      </c>
      <c r="AV35" s="40" t="str">
        <f t="shared" si="16"/>
        <v/>
      </c>
      <c r="AW35" s="40" t="str">
        <f t="shared" si="17"/>
        <v/>
      </c>
      <c r="AX35" s="40" t="str">
        <f t="shared" si="18"/>
        <v/>
      </c>
      <c r="AY35" s="40" t="str">
        <f t="shared" si="19"/>
        <v/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 t="shared" si="20"/>
        <v/>
      </c>
      <c r="BV35" s="11" t="str">
        <f t="shared" si="21"/>
        <v/>
      </c>
      <c r="BW35" s="11" t="str">
        <f t="shared" si="22"/>
        <v/>
      </c>
      <c r="BX35" s="11" t="str">
        <f t="shared" si="23"/>
        <v/>
      </c>
      <c r="BY35" s="11" t="str">
        <f t="shared" si="24"/>
        <v/>
      </c>
      <c r="BZ35" s="11" t="str">
        <f t="shared" si="25"/>
        <v/>
      </c>
      <c r="CA35" s="11" t="str">
        <f t="shared" si="26"/>
        <v/>
      </c>
      <c r="CB35" s="11" t="str">
        <f t="shared" si="27"/>
        <v/>
      </c>
      <c r="CC35" s="19">
        <v>18.2</v>
      </c>
      <c r="CD35" s="19">
        <v>4.8</v>
      </c>
      <c r="CE35" s="19">
        <v>0</v>
      </c>
      <c r="CF35" s="19">
        <v>0</v>
      </c>
      <c r="CG35" s="19">
        <v>18.399999999999999</v>
      </c>
      <c r="CH35" s="19">
        <v>4.8</v>
      </c>
      <c r="CI35" s="19">
        <v>0.6</v>
      </c>
      <c r="CJ35" s="19">
        <v>0</v>
      </c>
      <c r="CK35" s="19">
        <v>18</v>
      </c>
      <c r="CL35" s="19">
        <v>3.5</v>
      </c>
      <c r="CM35" s="19">
        <v>0.8</v>
      </c>
      <c r="CN35" s="19">
        <v>0</v>
      </c>
      <c r="CO35" s="19">
        <v>18.2</v>
      </c>
      <c r="CP35" s="19">
        <v>6</v>
      </c>
      <c r="CQ35" s="19">
        <v>0.2</v>
      </c>
      <c r="CR35" s="19">
        <v>0</v>
      </c>
      <c r="CS35" s="19">
        <v>0</v>
      </c>
      <c r="CT35" s="19">
        <v>0</v>
      </c>
      <c r="CU35" s="19">
        <v>0</v>
      </c>
      <c r="CV35" s="19">
        <v>0</v>
      </c>
      <c r="CW35" s="27"/>
      <c r="CX35" s="40">
        <f t="shared" si="28"/>
        <v>9.6</v>
      </c>
      <c r="CY35" s="40">
        <f t="shared" si="29"/>
        <v>45.599999999999994</v>
      </c>
      <c r="CZ35" s="40">
        <f t="shared" si="30"/>
        <v>20.7</v>
      </c>
      <c r="DA35" s="40">
        <f t="shared" si="31"/>
        <v>13.1</v>
      </c>
      <c r="DB35" s="40">
        <f t="shared" si="32"/>
        <v>66.3</v>
      </c>
      <c r="DC35" s="40">
        <f t="shared" si="33"/>
        <v>6</v>
      </c>
      <c r="DD35" s="40">
        <f t="shared" si="34"/>
        <v>24</v>
      </c>
      <c r="DE35" s="40">
        <f t="shared" si="35"/>
        <v>90.3</v>
      </c>
      <c r="DF35" s="50" t="str">
        <f t="shared" si="36"/>
        <v/>
      </c>
      <c r="DG35" s="50" t="str">
        <f t="shared" si="37"/>
        <v/>
      </c>
      <c r="DH35" s="50" t="str">
        <f t="shared" si="38"/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 t="shared" si="39"/>
        <v/>
      </c>
      <c r="ED35" s="40" t="str">
        <f t="shared" si="40"/>
        <v/>
      </c>
      <c r="EE35" s="40" t="str">
        <f t="shared" si="41"/>
        <v/>
      </c>
      <c r="EF35" s="40" t="str">
        <f t="shared" si="42"/>
        <v/>
      </c>
      <c r="EG35" s="40" t="str">
        <f t="shared" si="43"/>
        <v/>
      </c>
      <c r="EH35" s="40" t="str">
        <f t="shared" si="44"/>
        <v/>
      </c>
      <c r="EI35" s="40" t="str">
        <f t="shared" si="45"/>
        <v/>
      </c>
      <c r="EJ35" s="40" t="str">
        <f t="shared" si="46"/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 t="shared" si="47"/>
        <v/>
      </c>
      <c r="FF35" s="11" t="str">
        <f t="shared" si="48"/>
        <v/>
      </c>
      <c r="FG35" s="11" t="str">
        <f t="shared" si="49"/>
        <v/>
      </c>
      <c r="FH35" s="11" t="str">
        <f t="shared" si="50"/>
        <v/>
      </c>
      <c r="FI35" s="11" t="str">
        <f t="shared" si="51"/>
        <v/>
      </c>
      <c r="FJ35" s="11" t="str">
        <f t="shared" si="52"/>
        <v/>
      </c>
      <c r="FK35" s="11" t="str">
        <f t="shared" si="53"/>
        <v/>
      </c>
      <c r="FL35" s="11" t="str">
        <f t="shared" si="54"/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 t="shared" si="55"/>
        <v/>
      </c>
      <c r="GH35" s="40" t="str">
        <f t="shared" si="56"/>
        <v/>
      </c>
      <c r="GI35" s="40" t="str">
        <f t="shared" si="57"/>
        <v/>
      </c>
      <c r="GJ35" s="40" t="str">
        <f t="shared" si="58"/>
        <v/>
      </c>
      <c r="GK35" s="40" t="str">
        <f t="shared" si="59"/>
        <v/>
      </c>
      <c r="GL35" s="40" t="str">
        <f t="shared" si="60"/>
        <v/>
      </c>
      <c r="GM35" s="40" t="str">
        <f t="shared" si="61"/>
        <v/>
      </c>
      <c r="GN35" s="40" t="str">
        <f t="shared" si="62"/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 t="shared" si="63"/>
        <v/>
      </c>
      <c r="HJ35" s="11" t="str">
        <f t="shared" si="64"/>
        <v/>
      </c>
      <c r="HK35" s="11" t="str">
        <f t="shared" si="65"/>
        <v/>
      </c>
      <c r="HL35" s="11" t="str">
        <f t="shared" si="66"/>
        <v/>
      </c>
      <c r="HM35" s="11" t="str">
        <f t="shared" si="67"/>
        <v/>
      </c>
      <c r="HN35" s="11" t="str">
        <f t="shared" si="68"/>
        <v/>
      </c>
      <c r="HO35" s="11" t="str">
        <f t="shared" si="69"/>
        <v/>
      </c>
      <c r="HP35" s="11" t="str">
        <f t="shared" si="70"/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 t="shared" si="71"/>
        <v/>
      </c>
      <c r="IL35" s="40" t="str">
        <f t="shared" si="72"/>
        <v/>
      </c>
      <c r="IM35" s="40" t="str">
        <f t="shared" si="73"/>
        <v/>
      </c>
      <c r="IN35" s="40" t="str">
        <f t="shared" si="74"/>
        <v/>
      </c>
      <c r="IO35" s="40" t="str">
        <f t="shared" si="75"/>
        <v/>
      </c>
      <c r="IP35" s="40" t="str">
        <f t="shared" si="76"/>
        <v/>
      </c>
      <c r="IQ35" s="40" t="str">
        <f t="shared" si="77"/>
        <v/>
      </c>
      <c r="IR35" s="40" t="str">
        <f t="shared" si="78"/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 t="shared" si="79"/>
        <v/>
      </c>
      <c r="JN35" s="11" t="str">
        <f t="shared" si="80"/>
        <v/>
      </c>
      <c r="JO35" s="11" t="str">
        <f t="shared" si="81"/>
        <v/>
      </c>
      <c r="JP35" s="11" t="str">
        <f t="shared" si="82"/>
        <v/>
      </c>
      <c r="JQ35" s="11" t="str">
        <f t="shared" si="83"/>
        <v/>
      </c>
      <c r="JR35" s="11" t="str">
        <f t="shared" si="84"/>
        <v/>
      </c>
      <c r="JS35" s="11" t="str">
        <f t="shared" si="85"/>
        <v/>
      </c>
      <c r="JT35" s="11" t="str">
        <f t="shared" si="86"/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 t="shared" si="87"/>
        <v/>
      </c>
      <c r="KP35" s="40" t="str">
        <f t="shared" si="88"/>
        <v/>
      </c>
      <c r="KQ35" s="40" t="str">
        <f t="shared" si="89"/>
        <v/>
      </c>
      <c r="KR35" s="40" t="str">
        <f t="shared" si="90"/>
        <v/>
      </c>
      <c r="KS35" s="40" t="str">
        <f t="shared" si="91"/>
        <v/>
      </c>
      <c r="KT35" s="40" t="str">
        <f t="shared" si="92"/>
        <v/>
      </c>
      <c r="KU35" s="40" t="str">
        <f t="shared" si="93"/>
        <v/>
      </c>
      <c r="KV35" s="40" t="str">
        <f t="shared" si="94"/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 t="shared" si="95"/>
        <v/>
      </c>
      <c r="LR35" s="11" t="str">
        <f t="shared" si="96"/>
        <v/>
      </c>
      <c r="LS35" s="11" t="str">
        <f t="shared" si="97"/>
        <v/>
      </c>
      <c r="LT35" s="11" t="str">
        <f t="shared" si="98"/>
        <v/>
      </c>
      <c r="LU35" s="11" t="str">
        <f t="shared" si="99"/>
        <v/>
      </c>
      <c r="LV35" s="11" t="str">
        <f t="shared" si="100"/>
        <v/>
      </c>
      <c r="LW35" s="11" t="str">
        <f t="shared" si="101"/>
        <v/>
      </c>
      <c r="LX35" s="11" t="str">
        <f t="shared" si="102"/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 t="shared" si="103"/>
        <v/>
      </c>
      <c r="MT35" s="40" t="str">
        <f t="shared" si="104"/>
        <v/>
      </c>
      <c r="MU35" s="40" t="str">
        <f t="shared" si="105"/>
        <v/>
      </c>
      <c r="MV35" s="40" t="str">
        <f t="shared" si="106"/>
        <v/>
      </c>
      <c r="MW35" s="40" t="str">
        <f t="shared" si="107"/>
        <v/>
      </c>
      <c r="MX35" s="40" t="str">
        <f t="shared" si="108"/>
        <v/>
      </c>
      <c r="MY35" s="40" t="str">
        <f t="shared" si="109"/>
        <v/>
      </c>
      <c r="MZ35" s="40" t="str">
        <f t="shared" si="110"/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 t="shared" si="111"/>
        <v/>
      </c>
      <c r="NV35" s="11" t="str">
        <f t="shared" si="112"/>
        <v/>
      </c>
      <c r="NW35" s="11" t="str">
        <f t="shared" si="113"/>
        <v/>
      </c>
      <c r="NX35" s="11" t="str">
        <f t="shared" si="114"/>
        <v/>
      </c>
      <c r="NY35" s="11" t="str">
        <f t="shared" si="115"/>
        <v/>
      </c>
      <c r="NZ35" s="11" t="str">
        <f t="shared" si="116"/>
        <v/>
      </c>
      <c r="OA35" s="11" t="str">
        <f t="shared" si="117"/>
        <v/>
      </c>
      <c r="OB35" s="11" t="str">
        <f t="shared" si="118"/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 t="shared" si="119"/>
        <v/>
      </c>
      <c r="OX35" s="40" t="str">
        <f t="shared" si="120"/>
        <v/>
      </c>
      <c r="OY35" s="40" t="str">
        <f t="shared" si="121"/>
        <v/>
      </c>
      <c r="OZ35" s="40" t="str">
        <f t="shared" si="122"/>
        <v/>
      </c>
      <c r="PA35" s="40" t="str">
        <f t="shared" si="123"/>
        <v/>
      </c>
      <c r="PB35" s="40" t="str">
        <f t="shared" si="124"/>
        <v/>
      </c>
      <c r="PC35" s="40" t="str">
        <f t="shared" si="125"/>
        <v/>
      </c>
      <c r="PD35" s="40" t="str">
        <f t="shared" si="126"/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 t="shared" si="127"/>
        <v/>
      </c>
      <c r="PZ35" s="11" t="str">
        <f t="shared" si="128"/>
        <v/>
      </c>
      <c r="QA35" s="11" t="str">
        <f t="shared" si="129"/>
        <v/>
      </c>
      <c r="QB35" s="11" t="str">
        <f t="shared" si="130"/>
        <v/>
      </c>
      <c r="QC35" s="11" t="str">
        <f t="shared" si="131"/>
        <v/>
      </c>
      <c r="QD35" s="11" t="str">
        <f t="shared" si="132"/>
        <v/>
      </c>
      <c r="QE35" s="11" t="str">
        <f t="shared" si="133"/>
        <v/>
      </c>
      <c r="QF35" s="11" t="str">
        <f t="shared" si="134"/>
        <v/>
      </c>
      <c r="QG35" s="22">
        <f t="shared" si="135"/>
        <v>9.1</v>
      </c>
      <c r="QH35" s="22">
        <f t="shared" si="136"/>
        <v>2.4</v>
      </c>
      <c r="QI35" s="22">
        <f t="shared" si="137"/>
        <v>0</v>
      </c>
      <c r="QJ35" s="22">
        <f t="shared" si="138"/>
        <v>0</v>
      </c>
      <c r="QK35" s="22">
        <f t="shared" si="139"/>
        <v>9.1999999999999993</v>
      </c>
      <c r="QL35" s="22">
        <f t="shared" si="140"/>
        <v>2.4</v>
      </c>
      <c r="QM35" s="22">
        <f t="shared" si="141"/>
        <v>0.3</v>
      </c>
      <c r="QN35" s="22">
        <f t="shared" si="142"/>
        <v>0</v>
      </c>
      <c r="QO35" s="22">
        <f t="shared" si="143"/>
        <v>9</v>
      </c>
      <c r="QP35" s="22">
        <f t="shared" si="144"/>
        <v>1.75</v>
      </c>
      <c r="QQ35" s="22">
        <f t="shared" si="145"/>
        <v>0.4</v>
      </c>
      <c r="QR35" s="22">
        <f t="shared" si="146"/>
        <v>0</v>
      </c>
      <c r="QS35" s="22">
        <f t="shared" si="147"/>
        <v>9.1</v>
      </c>
      <c r="QT35" s="22">
        <f t="shared" si="148"/>
        <v>3</v>
      </c>
      <c r="QU35" s="22">
        <f t="shared" si="149"/>
        <v>0.1</v>
      </c>
      <c r="QV35" s="22">
        <f t="shared" si="150"/>
        <v>0</v>
      </c>
      <c r="QW35" s="22">
        <f t="shared" si="151"/>
        <v>0</v>
      </c>
      <c r="QX35" s="22">
        <f t="shared" si="152"/>
        <v>0</v>
      </c>
      <c r="QY35" s="22">
        <f t="shared" si="153"/>
        <v>0</v>
      </c>
      <c r="QZ35" s="22">
        <f t="shared" si="154"/>
        <v>0</v>
      </c>
      <c r="RA35" s="27" t="s">
        <v>46</v>
      </c>
      <c r="RB35" s="40">
        <f t="shared" si="155"/>
        <v>4.8</v>
      </c>
      <c r="RC35" s="40">
        <f t="shared" si="156"/>
        <v>22.799999999999997</v>
      </c>
      <c r="RD35" s="40">
        <f t="shared" si="157"/>
        <v>10.35</v>
      </c>
      <c r="RE35" s="40">
        <f t="shared" si="158"/>
        <v>6.55</v>
      </c>
      <c r="RF35" s="40">
        <f t="shared" si="159"/>
        <v>33.15</v>
      </c>
      <c r="RG35" s="40">
        <f t="shared" si="160"/>
        <v>3</v>
      </c>
      <c r="RH35" s="40">
        <f t="shared" si="161"/>
        <v>12</v>
      </c>
      <c r="RI35" s="40">
        <f t="shared" si="162"/>
        <v>45.15</v>
      </c>
    </row>
    <row r="36" spans="1:477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167</v>
      </c>
      <c r="D36" s="4" t="s">
        <v>4</v>
      </c>
      <c r="E36" s="4">
        <v>2005</v>
      </c>
      <c r="F36" s="9">
        <f t="shared" si="163"/>
        <v>65.400006540004327</v>
      </c>
      <c r="H36" s="3" t="str">
        <f t="shared" si="0"/>
        <v/>
      </c>
      <c r="I36" s="3" t="str">
        <f t="shared" si="1"/>
        <v/>
      </c>
      <c r="J36" s="36" t="str">
        <f t="shared" si="2"/>
        <v/>
      </c>
      <c r="K36" s="3" t="str">
        <f t="shared" si="3"/>
        <v/>
      </c>
      <c r="L36" s="8">
        <f>IF(COUNT(AS36,BV36,CY36)&gt;0,LARGE((AS36,BV36,CY36),1),0)</f>
        <v>43.2</v>
      </c>
      <c r="M36" s="8" t="str">
        <f t="shared" si="4"/>
        <v>2023 Nationals</v>
      </c>
      <c r="N36" s="8">
        <f>IF(COUNT(AS36,BV36,CY36)&gt;1,LARGE((AS36,BV36,CY36),2),0)</f>
        <v>0</v>
      </c>
      <c r="O36" s="8" t="str">
        <f t="shared" si="5"/>
        <v/>
      </c>
      <c r="P36" s="8">
        <f>IF(COUNT(AT36,BW36,CZ36)&gt;0,LARGE((AT36,BW36,CZ36),1),0)</f>
        <v>22.2</v>
      </c>
      <c r="Q36" s="8" t="str">
        <f t="shared" si="6"/>
        <v>2023 Nationals</v>
      </c>
      <c r="R36" s="8">
        <f t="shared" si="7"/>
        <v>0</v>
      </c>
      <c r="S36" s="8" t="str">
        <f t="shared" si="8"/>
        <v/>
      </c>
      <c r="T36" s="8" t="str">
        <f t="shared" si="9"/>
        <v/>
      </c>
      <c r="U36" s="11" t="str">
        <f t="shared" si="10"/>
        <v/>
      </c>
      <c r="V36" s="8" t="str">
        <f t="shared" si="11"/>
        <v/>
      </c>
      <c r="W36" s="19">
        <v>18.399999999999999</v>
      </c>
      <c r="X36" s="19">
        <v>5.6</v>
      </c>
      <c r="Y36" s="19">
        <v>0.8</v>
      </c>
      <c r="Z36" s="19">
        <v>0</v>
      </c>
      <c r="AA36" s="19">
        <v>17.600000000000001</v>
      </c>
      <c r="AB36" s="19">
        <v>2.4</v>
      </c>
      <c r="AC36" s="19">
        <v>0</v>
      </c>
      <c r="AD36" s="19">
        <v>0</v>
      </c>
      <c r="AE36" s="19">
        <v>19.3</v>
      </c>
      <c r="AF36" s="19">
        <v>3.5</v>
      </c>
      <c r="AG36" s="19">
        <v>0.6</v>
      </c>
      <c r="AH36" s="19">
        <v>0</v>
      </c>
      <c r="AI36" s="19"/>
      <c r="AJ36" s="19"/>
      <c r="AK36" s="19"/>
      <c r="AL36" s="19"/>
      <c r="AM36" s="19"/>
      <c r="AN36" s="19"/>
      <c r="AO36" s="19"/>
      <c r="AP36" s="19"/>
      <c r="AQ36" s="27"/>
      <c r="AR36" s="40">
        <f t="shared" si="12"/>
        <v>8</v>
      </c>
      <c r="AS36" s="40">
        <f t="shared" si="13"/>
        <v>43.2</v>
      </c>
      <c r="AT36" s="40">
        <f t="shared" si="14"/>
        <v>22.2</v>
      </c>
      <c r="AU36" s="40">
        <f t="shared" si="15"/>
        <v>11.5</v>
      </c>
      <c r="AV36" s="40">
        <f t="shared" si="16"/>
        <v>65.400000000000006</v>
      </c>
      <c r="AW36" s="40" t="str">
        <f t="shared" si="17"/>
        <v/>
      </c>
      <c r="AX36" s="40" t="str">
        <f t="shared" si="18"/>
        <v/>
      </c>
      <c r="AY36" s="40">
        <f t="shared" si="19"/>
        <v>65.400000000000006</v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 t="shared" si="20"/>
        <v/>
      </c>
      <c r="BV36" s="11" t="str">
        <f t="shared" si="21"/>
        <v/>
      </c>
      <c r="BW36" s="11" t="str">
        <f t="shared" si="22"/>
        <v/>
      </c>
      <c r="BX36" s="11" t="str">
        <f t="shared" si="23"/>
        <v/>
      </c>
      <c r="BY36" s="11" t="str">
        <f t="shared" si="24"/>
        <v/>
      </c>
      <c r="BZ36" s="11" t="str">
        <f t="shared" si="25"/>
        <v/>
      </c>
      <c r="CA36" s="11" t="str">
        <f t="shared" si="26"/>
        <v/>
      </c>
      <c r="CB36" s="11" t="str">
        <f t="shared" si="27"/>
        <v/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 t="shared" si="28"/>
        <v/>
      </c>
      <c r="CY36" s="40" t="str">
        <f t="shared" si="29"/>
        <v/>
      </c>
      <c r="CZ36" s="40" t="str">
        <f t="shared" si="30"/>
        <v/>
      </c>
      <c r="DA36" s="40" t="str">
        <f t="shared" si="31"/>
        <v/>
      </c>
      <c r="DB36" s="40" t="str">
        <f t="shared" si="32"/>
        <v/>
      </c>
      <c r="DC36" s="40" t="str">
        <f t="shared" si="33"/>
        <v/>
      </c>
      <c r="DD36" s="40" t="str">
        <f t="shared" si="34"/>
        <v/>
      </c>
      <c r="DE36" s="40" t="str">
        <f t="shared" si="35"/>
        <v/>
      </c>
      <c r="DF36" s="50" t="str">
        <f t="shared" si="36"/>
        <v/>
      </c>
      <c r="DG36" s="50" t="str">
        <f t="shared" si="37"/>
        <v/>
      </c>
      <c r="DH36" s="50" t="str">
        <f t="shared" si="38"/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 t="shared" si="39"/>
        <v/>
      </c>
      <c r="ED36" s="40" t="str">
        <f t="shared" si="40"/>
        <v/>
      </c>
      <c r="EE36" s="40" t="str">
        <f t="shared" si="41"/>
        <v/>
      </c>
      <c r="EF36" s="40" t="str">
        <f t="shared" si="42"/>
        <v/>
      </c>
      <c r="EG36" s="40" t="str">
        <f t="shared" si="43"/>
        <v/>
      </c>
      <c r="EH36" s="40" t="str">
        <f t="shared" si="44"/>
        <v/>
      </c>
      <c r="EI36" s="40" t="str">
        <f t="shared" si="45"/>
        <v/>
      </c>
      <c r="EJ36" s="40" t="str">
        <f t="shared" si="46"/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 t="shared" si="47"/>
        <v/>
      </c>
      <c r="FF36" s="11" t="str">
        <f t="shared" si="48"/>
        <v/>
      </c>
      <c r="FG36" s="11" t="str">
        <f t="shared" si="49"/>
        <v/>
      </c>
      <c r="FH36" s="11" t="str">
        <f t="shared" si="50"/>
        <v/>
      </c>
      <c r="FI36" s="11" t="str">
        <f t="shared" si="51"/>
        <v/>
      </c>
      <c r="FJ36" s="11" t="str">
        <f t="shared" si="52"/>
        <v/>
      </c>
      <c r="FK36" s="11" t="str">
        <f t="shared" si="53"/>
        <v/>
      </c>
      <c r="FL36" s="11" t="str">
        <f t="shared" si="54"/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 t="shared" si="55"/>
        <v/>
      </c>
      <c r="GH36" s="40" t="str">
        <f t="shared" si="56"/>
        <v/>
      </c>
      <c r="GI36" s="40" t="str">
        <f t="shared" si="57"/>
        <v/>
      </c>
      <c r="GJ36" s="40" t="str">
        <f t="shared" si="58"/>
        <v/>
      </c>
      <c r="GK36" s="40" t="str">
        <f t="shared" si="59"/>
        <v/>
      </c>
      <c r="GL36" s="40" t="str">
        <f t="shared" si="60"/>
        <v/>
      </c>
      <c r="GM36" s="40" t="str">
        <f t="shared" si="61"/>
        <v/>
      </c>
      <c r="GN36" s="40" t="str">
        <f t="shared" si="62"/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 t="shared" si="63"/>
        <v/>
      </c>
      <c r="HJ36" s="11" t="str">
        <f t="shared" si="64"/>
        <v/>
      </c>
      <c r="HK36" s="11" t="str">
        <f t="shared" si="65"/>
        <v/>
      </c>
      <c r="HL36" s="11" t="str">
        <f t="shared" si="66"/>
        <v/>
      </c>
      <c r="HM36" s="11" t="str">
        <f t="shared" si="67"/>
        <v/>
      </c>
      <c r="HN36" s="11" t="str">
        <f t="shared" si="68"/>
        <v/>
      </c>
      <c r="HO36" s="11" t="str">
        <f t="shared" si="69"/>
        <v/>
      </c>
      <c r="HP36" s="11" t="str">
        <f t="shared" si="70"/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 t="shared" si="71"/>
        <v/>
      </c>
      <c r="IL36" s="40" t="str">
        <f t="shared" si="72"/>
        <v/>
      </c>
      <c r="IM36" s="40" t="str">
        <f t="shared" si="73"/>
        <v/>
      </c>
      <c r="IN36" s="40" t="str">
        <f t="shared" si="74"/>
        <v/>
      </c>
      <c r="IO36" s="40" t="str">
        <f t="shared" si="75"/>
        <v/>
      </c>
      <c r="IP36" s="40" t="str">
        <f t="shared" si="76"/>
        <v/>
      </c>
      <c r="IQ36" s="40" t="str">
        <f t="shared" si="77"/>
        <v/>
      </c>
      <c r="IR36" s="40" t="str">
        <f t="shared" si="78"/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 t="shared" si="79"/>
        <v/>
      </c>
      <c r="JN36" s="11" t="str">
        <f t="shared" si="80"/>
        <v/>
      </c>
      <c r="JO36" s="11" t="str">
        <f t="shared" si="81"/>
        <v/>
      </c>
      <c r="JP36" s="11" t="str">
        <f t="shared" si="82"/>
        <v/>
      </c>
      <c r="JQ36" s="11" t="str">
        <f t="shared" si="83"/>
        <v/>
      </c>
      <c r="JR36" s="11" t="str">
        <f t="shared" si="84"/>
        <v/>
      </c>
      <c r="JS36" s="11" t="str">
        <f t="shared" si="85"/>
        <v/>
      </c>
      <c r="JT36" s="11" t="str">
        <f t="shared" si="86"/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 t="shared" si="87"/>
        <v/>
      </c>
      <c r="KP36" s="40" t="str">
        <f t="shared" si="88"/>
        <v/>
      </c>
      <c r="KQ36" s="40" t="str">
        <f t="shared" si="89"/>
        <v/>
      </c>
      <c r="KR36" s="40" t="str">
        <f t="shared" si="90"/>
        <v/>
      </c>
      <c r="KS36" s="40" t="str">
        <f t="shared" si="91"/>
        <v/>
      </c>
      <c r="KT36" s="40" t="str">
        <f t="shared" si="92"/>
        <v/>
      </c>
      <c r="KU36" s="40" t="str">
        <f t="shared" si="93"/>
        <v/>
      </c>
      <c r="KV36" s="40" t="str">
        <f t="shared" si="94"/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 t="shared" si="95"/>
        <v/>
      </c>
      <c r="LR36" s="11" t="str">
        <f t="shared" si="96"/>
        <v/>
      </c>
      <c r="LS36" s="11" t="str">
        <f t="shared" si="97"/>
        <v/>
      </c>
      <c r="LT36" s="11" t="str">
        <f t="shared" si="98"/>
        <v/>
      </c>
      <c r="LU36" s="11" t="str">
        <f t="shared" si="99"/>
        <v/>
      </c>
      <c r="LV36" s="11" t="str">
        <f t="shared" si="100"/>
        <v/>
      </c>
      <c r="LW36" s="11" t="str">
        <f t="shared" si="101"/>
        <v/>
      </c>
      <c r="LX36" s="11" t="str">
        <f t="shared" si="102"/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 t="shared" si="103"/>
        <v/>
      </c>
      <c r="MT36" s="40" t="str">
        <f t="shared" si="104"/>
        <v/>
      </c>
      <c r="MU36" s="40" t="str">
        <f t="shared" si="105"/>
        <v/>
      </c>
      <c r="MV36" s="40" t="str">
        <f t="shared" si="106"/>
        <v/>
      </c>
      <c r="MW36" s="40" t="str">
        <f t="shared" si="107"/>
        <v/>
      </c>
      <c r="MX36" s="40" t="str">
        <f t="shared" si="108"/>
        <v/>
      </c>
      <c r="MY36" s="40" t="str">
        <f t="shared" si="109"/>
        <v/>
      </c>
      <c r="MZ36" s="40" t="str">
        <f t="shared" si="110"/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 t="shared" si="111"/>
        <v/>
      </c>
      <c r="NV36" s="11" t="str">
        <f t="shared" si="112"/>
        <v/>
      </c>
      <c r="NW36" s="11" t="str">
        <f t="shared" si="113"/>
        <v/>
      </c>
      <c r="NX36" s="11" t="str">
        <f t="shared" si="114"/>
        <v/>
      </c>
      <c r="NY36" s="11" t="str">
        <f t="shared" si="115"/>
        <v/>
      </c>
      <c r="NZ36" s="11" t="str">
        <f t="shared" si="116"/>
        <v/>
      </c>
      <c r="OA36" s="11" t="str">
        <f t="shared" si="117"/>
        <v/>
      </c>
      <c r="OB36" s="11" t="str">
        <f t="shared" si="118"/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 t="shared" si="119"/>
        <v/>
      </c>
      <c r="OX36" s="40" t="str">
        <f t="shared" si="120"/>
        <v/>
      </c>
      <c r="OY36" s="40" t="str">
        <f t="shared" si="121"/>
        <v/>
      </c>
      <c r="OZ36" s="40" t="str">
        <f t="shared" si="122"/>
        <v/>
      </c>
      <c r="PA36" s="40" t="str">
        <f t="shared" si="123"/>
        <v/>
      </c>
      <c r="PB36" s="40" t="str">
        <f t="shared" si="124"/>
        <v/>
      </c>
      <c r="PC36" s="40" t="str">
        <f t="shared" si="125"/>
        <v/>
      </c>
      <c r="PD36" s="40" t="str">
        <f t="shared" si="126"/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 t="shared" si="127"/>
        <v/>
      </c>
      <c r="PZ36" s="11" t="str">
        <f t="shared" si="128"/>
        <v/>
      </c>
      <c r="QA36" s="11" t="str">
        <f t="shared" si="129"/>
        <v/>
      </c>
      <c r="QB36" s="11" t="str">
        <f t="shared" si="130"/>
        <v/>
      </c>
      <c r="QC36" s="11" t="str">
        <f t="shared" si="131"/>
        <v/>
      </c>
      <c r="QD36" s="11" t="str">
        <f t="shared" si="132"/>
        <v/>
      </c>
      <c r="QE36" s="11" t="str">
        <f t="shared" si="133"/>
        <v/>
      </c>
      <c r="QF36" s="11" t="str">
        <f t="shared" si="134"/>
        <v/>
      </c>
      <c r="QG36" s="22">
        <f t="shared" si="135"/>
        <v>0</v>
      </c>
      <c r="QH36" s="22">
        <f t="shared" si="136"/>
        <v>0</v>
      </c>
      <c r="QI36" s="22">
        <f t="shared" si="137"/>
        <v>0</v>
      </c>
      <c r="QJ36" s="22">
        <f t="shared" si="138"/>
        <v>0</v>
      </c>
      <c r="QK36" s="22">
        <f t="shared" si="139"/>
        <v>0</v>
      </c>
      <c r="QL36" s="22">
        <f t="shared" si="140"/>
        <v>0</v>
      </c>
      <c r="QM36" s="22">
        <f t="shared" si="141"/>
        <v>0</v>
      </c>
      <c r="QN36" s="22">
        <f t="shared" si="142"/>
        <v>0</v>
      </c>
      <c r="QO36" s="22">
        <f t="shared" si="143"/>
        <v>0</v>
      </c>
      <c r="QP36" s="22">
        <f t="shared" si="144"/>
        <v>0</v>
      </c>
      <c r="QQ36" s="22">
        <f t="shared" si="145"/>
        <v>0</v>
      </c>
      <c r="QR36" s="22">
        <f t="shared" si="146"/>
        <v>0</v>
      </c>
      <c r="QS36" s="22">
        <f t="shared" si="147"/>
        <v>0</v>
      </c>
      <c r="QT36" s="22">
        <f t="shared" si="148"/>
        <v>0</v>
      </c>
      <c r="QU36" s="22">
        <f t="shared" si="149"/>
        <v>0</v>
      </c>
      <c r="QV36" s="22">
        <f t="shared" si="150"/>
        <v>0</v>
      </c>
      <c r="QW36" s="22">
        <f t="shared" si="151"/>
        <v>0</v>
      </c>
      <c r="QX36" s="22">
        <f t="shared" si="152"/>
        <v>0</v>
      </c>
      <c r="QY36" s="22">
        <f t="shared" si="153"/>
        <v>0</v>
      </c>
      <c r="QZ36" s="22">
        <f t="shared" si="154"/>
        <v>0</v>
      </c>
      <c r="RA36" s="27" t="s">
        <v>46</v>
      </c>
      <c r="RB36" s="40" t="str">
        <f t="shared" si="155"/>
        <v/>
      </c>
      <c r="RC36" s="40" t="str">
        <f t="shared" si="156"/>
        <v/>
      </c>
      <c r="RD36" s="40" t="str">
        <f t="shared" si="157"/>
        <v/>
      </c>
      <c r="RE36" s="40" t="str">
        <f t="shared" si="158"/>
        <v/>
      </c>
      <c r="RF36" s="40" t="str">
        <f t="shared" si="159"/>
        <v/>
      </c>
      <c r="RG36" s="40" t="str">
        <f t="shared" si="160"/>
        <v/>
      </c>
      <c r="RH36" s="40" t="str">
        <f t="shared" si="161"/>
        <v/>
      </c>
      <c r="RI36" s="40" t="str">
        <f t="shared" si="162"/>
        <v/>
      </c>
    </row>
    <row r="37" spans="1:477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168</v>
      </c>
      <c r="D37" s="4" t="s">
        <v>4</v>
      </c>
      <c r="E37" s="4">
        <v>2004</v>
      </c>
      <c r="F37" s="9">
        <f t="shared" si="163"/>
        <v>64.600006460004437</v>
      </c>
      <c r="H37" s="3" t="str">
        <f t="shared" si="0"/>
        <v/>
      </c>
      <c r="I37" s="3" t="str">
        <f t="shared" si="1"/>
        <v/>
      </c>
      <c r="J37" s="36" t="str">
        <f t="shared" si="2"/>
        <v/>
      </c>
      <c r="K37" s="3" t="str">
        <f t="shared" si="3"/>
        <v/>
      </c>
      <c r="L37" s="8">
        <f>IF(COUNT(AS37,BV37,CY37)&gt;0,LARGE((AS37,BV37,CY37),1),0)</f>
        <v>44.400000000000006</v>
      </c>
      <c r="M37" s="8" t="str">
        <f t="shared" si="4"/>
        <v>2023 Nationals</v>
      </c>
      <c r="N37" s="8">
        <f>IF(COUNT(AS37,BV37,CY37)&gt;1,LARGE((AS37,BV37,CY37),2),0)</f>
        <v>0</v>
      </c>
      <c r="O37" s="8" t="str">
        <f t="shared" si="5"/>
        <v/>
      </c>
      <c r="P37" s="8">
        <f>IF(COUNT(AT37,BW37,CZ37)&gt;0,LARGE((AT37,BW37,CZ37),1),0)</f>
        <v>20.2</v>
      </c>
      <c r="Q37" s="8" t="str">
        <f t="shared" si="6"/>
        <v>2023 Nationals</v>
      </c>
      <c r="R37" s="8">
        <f t="shared" si="7"/>
        <v>0</v>
      </c>
      <c r="S37" s="8" t="str">
        <f t="shared" si="8"/>
        <v/>
      </c>
      <c r="T37" s="8" t="str">
        <f t="shared" si="9"/>
        <v/>
      </c>
      <c r="U37" s="11" t="str">
        <f t="shared" si="10"/>
        <v/>
      </c>
      <c r="V37" s="8" t="str">
        <f t="shared" si="11"/>
        <v/>
      </c>
      <c r="W37" s="19">
        <v>18.2</v>
      </c>
      <c r="X37" s="19">
        <v>4.3</v>
      </c>
      <c r="Y37" s="19">
        <v>0.8</v>
      </c>
      <c r="Z37" s="19">
        <v>0</v>
      </c>
      <c r="AA37" s="19">
        <v>17.899999999999999</v>
      </c>
      <c r="AB37" s="19">
        <v>5.6</v>
      </c>
      <c r="AC37" s="19">
        <v>0.8</v>
      </c>
      <c r="AD37" s="19">
        <v>0</v>
      </c>
      <c r="AE37" s="19">
        <v>18.5</v>
      </c>
      <c r="AF37" s="19">
        <v>2.8</v>
      </c>
      <c r="AG37" s="19">
        <v>1.1000000000000001</v>
      </c>
      <c r="AH37" s="19">
        <v>0</v>
      </c>
      <c r="AI37" s="19"/>
      <c r="AJ37" s="19"/>
      <c r="AK37" s="19"/>
      <c r="AL37" s="19"/>
      <c r="AM37" s="19"/>
      <c r="AN37" s="19"/>
      <c r="AO37" s="19"/>
      <c r="AP37" s="19"/>
      <c r="AQ37" s="27"/>
      <c r="AR37" s="40">
        <f t="shared" si="12"/>
        <v>9.8999999999999986</v>
      </c>
      <c r="AS37" s="40">
        <f t="shared" si="13"/>
        <v>44.400000000000006</v>
      </c>
      <c r="AT37" s="40">
        <f t="shared" si="14"/>
        <v>20.2</v>
      </c>
      <c r="AU37" s="40">
        <f t="shared" si="15"/>
        <v>12.7</v>
      </c>
      <c r="AV37" s="40">
        <f t="shared" si="16"/>
        <v>64.600000000000009</v>
      </c>
      <c r="AW37" s="40" t="str">
        <f t="shared" si="17"/>
        <v/>
      </c>
      <c r="AX37" s="40" t="str">
        <f t="shared" si="18"/>
        <v/>
      </c>
      <c r="AY37" s="40">
        <f t="shared" si="19"/>
        <v>64.600000000000009</v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 t="shared" si="20"/>
        <v/>
      </c>
      <c r="BV37" s="11" t="str">
        <f t="shared" si="21"/>
        <v/>
      </c>
      <c r="BW37" s="11" t="str">
        <f t="shared" si="22"/>
        <v/>
      </c>
      <c r="BX37" s="11" t="str">
        <f t="shared" si="23"/>
        <v/>
      </c>
      <c r="BY37" s="11" t="str">
        <f t="shared" si="24"/>
        <v/>
      </c>
      <c r="BZ37" s="11" t="str">
        <f t="shared" si="25"/>
        <v/>
      </c>
      <c r="CA37" s="11" t="str">
        <f t="shared" si="26"/>
        <v/>
      </c>
      <c r="CB37" s="11" t="str">
        <f t="shared" si="27"/>
        <v/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 t="shared" si="28"/>
        <v/>
      </c>
      <c r="CY37" s="40" t="str">
        <f t="shared" si="29"/>
        <v/>
      </c>
      <c r="CZ37" s="40" t="str">
        <f t="shared" si="30"/>
        <v/>
      </c>
      <c r="DA37" s="40" t="str">
        <f t="shared" si="31"/>
        <v/>
      </c>
      <c r="DB37" s="40" t="str">
        <f t="shared" si="32"/>
        <v/>
      </c>
      <c r="DC37" s="40" t="str">
        <f t="shared" si="33"/>
        <v/>
      </c>
      <c r="DD37" s="40" t="str">
        <f t="shared" si="34"/>
        <v/>
      </c>
      <c r="DE37" s="40" t="str">
        <f t="shared" si="35"/>
        <v/>
      </c>
      <c r="DF37" s="50" t="str">
        <f t="shared" si="36"/>
        <v/>
      </c>
      <c r="DG37" s="50" t="str">
        <f t="shared" si="37"/>
        <v/>
      </c>
      <c r="DH37" s="50" t="str">
        <f t="shared" si="38"/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 t="shared" si="39"/>
        <v/>
      </c>
      <c r="ED37" s="40" t="str">
        <f t="shared" si="40"/>
        <v/>
      </c>
      <c r="EE37" s="40" t="str">
        <f t="shared" si="41"/>
        <v/>
      </c>
      <c r="EF37" s="40" t="str">
        <f t="shared" si="42"/>
        <v/>
      </c>
      <c r="EG37" s="40" t="str">
        <f t="shared" si="43"/>
        <v/>
      </c>
      <c r="EH37" s="40" t="str">
        <f t="shared" si="44"/>
        <v/>
      </c>
      <c r="EI37" s="40" t="str">
        <f t="shared" si="45"/>
        <v/>
      </c>
      <c r="EJ37" s="40" t="str">
        <f t="shared" si="46"/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 t="shared" si="47"/>
        <v/>
      </c>
      <c r="FF37" s="11" t="str">
        <f t="shared" si="48"/>
        <v/>
      </c>
      <c r="FG37" s="11" t="str">
        <f t="shared" si="49"/>
        <v/>
      </c>
      <c r="FH37" s="11" t="str">
        <f t="shared" si="50"/>
        <v/>
      </c>
      <c r="FI37" s="11" t="str">
        <f t="shared" si="51"/>
        <v/>
      </c>
      <c r="FJ37" s="11" t="str">
        <f t="shared" si="52"/>
        <v/>
      </c>
      <c r="FK37" s="11" t="str">
        <f t="shared" si="53"/>
        <v/>
      </c>
      <c r="FL37" s="11" t="str">
        <f t="shared" si="54"/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 t="shared" si="55"/>
        <v/>
      </c>
      <c r="GH37" s="40" t="str">
        <f t="shared" si="56"/>
        <v/>
      </c>
      <c r="GI37" s="40" t="str">
        <f t="shared" si="57"/>
        <v/>
      </c>
      <c r="GJ37" s="40" t="str">
        <f t="shared" si="58"/>
        <v/>
      </c>
      <c r="GK37" s="40" t="str">
        <f t="shared" si="59"/>
        <v/>
      </c>
      <c r="GL37" s="40" t="str">
        <f t="shared" si="60"/>
        <v/>
      </c>
      <c r="GM37" s="40" t="str">
        <f t="shared" si="61"/>
        <v/>
      </c>
      <c r="GN37" s="40" t="str">
        <f t="shared" si="62"/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 t="shared" si="63"/>
        <v/>
      </c>
      <c r="HJ37" s="11" t="str">
        <f t="shared" si="64"/>
        <v/>
      </c>
      <c r="HK37" s="11" t="str">
        <f t="shared" si="65"/>
        <v/>
      </c>
      <c r="HL37" s="11" t="str">
        <f t="shared" si="66"/>
        <v/>
      </c>
      <c r="HM37" s="11" t="str">
        <f t="shared" si="67"/>
        <v/>
      </c>
      <c r="HN37" s="11" t="str">
        <f t="shared" si="68"/>
        <v/>
      </c>
      <c r="HO37" s="11" t="str">
        <f t="shared" si="69"/>
        <v/>
      </c>
      <c r="HP37" s="11" t="str">
        <f t="shared" si="70"/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 t="shared" si="71"/>
        <v/>
      </c>
      <c r="IL37" s="40" t="str">
        <f t="shared" si="72"/>
        <v/>
      </c>
      <c r="IM37" s="40" t="str">
        <f t="shared" si="73"/>
        <v/>
      </c>
      <c r="IN37" s="40" t="str">
        <f t="shared" si="74"/>
        <v/>
      </c>
      <c r="IO37" s="40" t="str">
        <f t="shared" si="75"/>
        <v/>
      </c>
      <c r="IP37" s="40" t="str">
        <f t="shared" si="76"/>
        <v/>
      </c>
      <c r="IQ37" s="40" t="str">
        <f t="shared" si="77"/>
        <v/>
      </c>
      <c r="IR37" s="40" t="str">
        <f t="shared" si="78"/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 t="shared" si="79"/>
        <v/>
      </c>
      <c r="JN37" s="11" t="str">
        <f t="shared" si="80"/>
        <v/>
      </c>
      <c r="JO37" s="11" t="str">
        <f t="shared" si="81"/>
        <v/>
      </c>
      <c r="JP37" s="11" t="str">
        <f t="shared" si="82"/>
        <v/>
      </c>
      <c r="JQ37" s="11" t="str">
        <f t="shared" si="83"/>
        <v/>
      </c>
      <c r="JR37" s="11" t="str">
        <f t="shared" si="84"/>
        <v/>
      </c>
      <c r="JS37" s="11" t="str">
        <f t="shared" si="85"/>
        <v/>
      </c>
      <c r="JT37" s="11" t="str">
        <f t="shared" si="86"/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 t="shared" si="87"/>
        <v/>
      </c>
      <c r="KP37" s="40" t="str">
        <f t="shared" si="88"/>
        <v/>
      </c>
      <c r="KQ37" s="40" t="str">
        <f t="shared" si="89"/>
        <v/>
      </c>
      <c r="KR37" s="40" t="str">
        <f t="shared" si="90"/>
        <v/>
      </c>
      <c r="KS37" s="40" t="str">
        <f t="shared" si="91"/>
        <v/>
      </c>
      <c r="KT37" s="40" t="str">
        <f t="shared" si="92"/>
        <v/>
      </c>
      <c r="KU37" s="40" t="str">
        <f t="shared" si="93"/>
        <v/>
      </c>
      <c r="KV37" s="40" t="str">
        <f t="shared" si="94"/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 t="shared" si="95"/>
        <v/>
      </c>
      <c r="LR37" s="11" t="str">
        <f t="shared" si="96"/>
        <v/>
      </c>
      <c r="LS37" s="11" t="str">
        <f t="shared" si="97"/>
        <v/>
      </c>
      <c r="LT37" s="11" t="str">
        <f t="shared" si="98"/>
        <v/>
      </c>
      <c r="LU37" s="11" t="str">
        <f t="shared" si="99"/>
        <v/>
      </c>
      <c r="LV37" s="11" t="str">
        <f t="shared" si="100"/>
        <v/>
      </c>
      <c r="LW37" s="11" t="str">
        <f t="shared" si="101"/>
        <v/>
      </c>
      <c r="LX37" s="11" t="str">
        <f t="shared" si="102"/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 t="shared" si="103"/>
        <v/>
      </c>
      <c r="MT37" s="40" t="str">
        <f t="shared" si="104"/>
        <v/>
      </c>
      <c r="MU37" s="40" t="str">
        <f t="shared" si="105"/>
        <v/>
      </c>
      <c r="MV37" s="40" t="str">
        <f t="shared" si="106"/>
        <v/>
      </c>
      <c r="MW37" s="40" t="str">
        <f t="shared" si="107"/>
        <v/>
      </c>
      <c r="MX37" s="40" t="str">
        <f t="shared" si="108"/>
        <v/>
      </c>
      <c r="MY37" s="40" t="str">
        <f t="shared" si="109"/>
        <v/>
      </c>
      <c r="MZ37" s="40" t="str">
        <f t="shared" si="110"/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 t="shared" si="111"/>
        <v/>
      </c>
      <c r="NV37" s="11" t="str">
        <f t="shared" si="112"/>
        <v/>
      </c>
      <c r="NW37" s="11" t="str">
        <f t="shared" si="113"/>
        <v/>
      </c>
      <c r="NX37" s="11" t="str">
        <f t="shared" si="114"/>
        <v/>
      </c>
      <c r="NY37" s="11" t="str">
        <f t="shared" si="115"/>
        <v/>
      </c>
      <c r="NZ37" s="11" t="str">
        <f t="shared" si="116"/>
        <v/>
      </c>
      <c r="OA37" s="11" t="str">
        <f t="shared" si="117"/>
        <v/>
      </c>
      <c r="OB37" s="11" t="str">
        <f t="shared" si="118"/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 t="shared" si="119"/>
        <v/>
      </c>
      <c r="OX37" s="40" t="str">
        <f t="shared" si="120"/>
        <v/>
      </c>
      <c r="OY37" s="40" t="str">
        <f t="shared" si="121"/>
        <v/>
      </c>
      <c r="OZ37" s="40" t="str">
        <f t="shared" si="122"/>
        <v/>
      </c>
      <c r="PA37" s="40" t="str">
        <f t="shared" si="123"/>
        <v/>
      </c>
      <c r="PB37" s="40" t="str">
        <f t="shared" si="124"/>
        <v/>
      </c>
      <c r="PC37" s="40" t="str">
        <f t="shared" si="125"/>
        <v/>
      </c>
      <c r="PD37" s="40" t="str">
        <f t="shared" si="126"/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 t="shared" si="127"/>
        <v/>
      </c>
      <c r="PZ37" s="11" t="str">
        <f t="shared" si="128"/>
        <v/>
      </c>
      <c r="QA37" s="11" t="str">
        <f t="shared" si="129"/>
        <v/>
      </c>
      <c r="QB37" s="11" t="str">
        <f t="shared" si="130"/>
        <v/>
      </c>
      <c r="QC37" s="11" t="str">
        <f t="shared" si="131"/>
        <v/>
      </c>
      <c r="QD37" s="11" t="str">
        <f t="shared" si="132"/>
        <v/>
      </c>
      <c r="QE37" s="11" t="str">
        <f t="shared" si="133"/>
        <v/>
      </c>
      <c r="QF37" s="11" t="str">
        <f t="shared" si="134"/>
        <v/>
      </c>
      <c r="QG37" s="22">
        <f t="shared" si="135"/>
        <v>0</v>
      </c>
      <c r="QH37" s="22">
        <f t="shared" si="136"/>
        <v>0</v>
      </c>
      <c r="QI37" s="22">
        <f t="shared" si="137"/>
        <v>0</v>
      </c>
      <c r="QJ37" s="22">
        <f t="shared" si="138"/>
        <v>0</v>
      </c>
      <c r="QK37" s="22">
        <f t="shared" si="139"/>
        <v>0</v>
      </c>
      <c r="QL37" s="22">
        <f t="shared" si="140"/>
        <v>0</v>
      </c>
      <c r="QM37" s="22">
        <f t="shared" si="141"/>
        <v>0</v>
      </c>
      <c r="QN37" s="22">
        <f t="shared" si="142"/>
        <v>0</v>
      </c>
      <c r="QO37" s="22">
        <f t="shared" si="143"/>
        <v>0</v>
      </c>
      <c r="QP37" s="22">
        <f t="shared" si="144"/>
        <v>0</v>
      </c>
      <c r="QQ37" s="22">
        <f t="shared" si="145"/>
        <v>0</v>
      </c>
      <c r="QR37" s="22">
        <f t="shared" si="146"/>
        <v>0</v>
      </c>
      <c r="QS37" s="22">
        <f t="shared" si="147"/>
        <v>0</v>
      </c>
      <c r="QT37" s="22">
        <f t="shared" si="148"/>
        <v>0</v>
      </c>
      <c r="QU37" s="22">
        <f t="shared" si="149"/>
        <v>0</v>
      </c>
      <c r="QV37" s="22">
        <f t="shared" si="150"/>
        <v>0</v>
      </c>
      <c r="QW37" s="22">
        <f t="shared" si="151"/>
        <v>0</v>
      </c>
      <c r="QX37" s="22">
        <f t="shared" si="152"/>
        <v>0</v>
      </c>
      <c r="QY37" s="22">
        <f t="shared" si="153"/>
        <v>0</v>
      </c>
      <c r="QZ37" s="22">
        <f t="shared" si="154"/>
        <v>0</v>
      </c>
      <c r="RA37" s="27" t="s">
        <v>46</v>
      </c>
      <c r="RB37" s="40" t="str">
        <f t="shared" si="155"/>
        <v/>
      </c>
      <c r="RC37" s="40" t="str">
        <f t="shared" si="156"/>
        <v/>
      </c>
      <c r="RD37" s="40" t="str">
        <f t="shared" si="157"/>
        <v/>
      </c>
      <c r="RE37" s="40" t="str">
        <f t="shared" si="158"/>
        <v/>
      </c>
      <c r="RF37" s="40" t="str">
        <f t="shared" si="159"/>
        <v/>
      </c>
      <c r="RG37" s="40" t="str">
        <f t="shared" si="160"/>
        <v/>
      </c>
      <c r="RH37" s="40" t="str">
        <f t="shared" si="161"/>
        <v/>
      </c>
      <c r="RI37" s="40" t="str">
        <f t="shared" si="162"/>
        <v/>
      </c>
    </row>
    <row r="38" spans="1:477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129</v>
      </c>
      <c r="D38" s="4" t="s">
        <v>5</v>
      </c>
      <c r="E38" s="4">
        <v>2004</v>
      </c>
      <c r="F38" s="9">
        <f t="shared" si="163"/>
        <v>63.200006320003865</v>
      </c>
      <c r="H38" s="3" t="str">
        <f t="shared" si="0"/>
        <v/>
      </c>
      <c r="I38" s="3" t="str">
        <f t="shared" si="1"/>
        <v/>
      </c>
      <c r="J38" s="36" t="str">
        <f t="shared" si="2"/>
        <v/>
      </c>
      <c r="K38" s="3" t="str">
        <f t="shared" si="3"/>
        <v/>
      </c>
      <c r="L38" s="8">
        <f>IF(COUNT(AS38,BV38,CY38)&gt;0,LARGE((AS38,BV38,CY38),1),0)</f>
        <v>38.600000000000009</v>
      </c>
      <c r="M38" s="8" t="str">
        <f t="shared" si="4"/>
        <v>2023 Nationals</v>
      </c>
      <c r="N38" s="8">
        <f>IF(COUNT(AS38,BV38,CY38)&gt;1,LARGE((AS38,BV38,CY38),2),0)</f>
        <v>0</v>
      </c>
      <c r="O38" s="8" t="str">
        <f t="shared" si="5"/>
        <v/>
      </c>
      <c r="P38" s="8">
        <f>IF(COUNT(AT38,BW38,CZ38)&gt;0,LARGE((AT38,BW38,CZ38),1),0)</f>
        <v>24.6</v>
      </c>
      <c r="Q38" s="8" t="str">
        <f t="shared" si="6"/>
        <v>2023 Nationals</v>
      </c>
      <c r="R38" s="8">
        <f t="shared" si="7"/>
        <v>0</v>
      </c>
      <c r="S38" s="8" t="str">
        <f t="shared" si="8"/>
        <v/>
      </c>
      <c r="T38" s="8" t="str">
        <f t="shared" si="9"/>
        <v/>
      </c>
      <c r="U38" s="11" t="str">
        <f t="shared" si="10"/>
        <v/>
      </c>
      <c r="V38" s="8" t="str">
        <f t="shared" si="11"/>
        <v/>
      </c>
      <c r="W38" s="19">
        <v>18</v>
      </c>
      <c r="X38" s="19">
        <v>5.2</v>
      </c>
      <c r="Y38" s="19">
        <v>0.8</v>
      </c>
      <c r="Z38" s="19">
        <v>0</v>
      </c>
      <c r="AA38" s="19">
        <v>18</v>
      </c>
      <c r="AB38" s="19">
        <v>0</v>
      </c>
      <c r="AC38" s="19">
        <v>1.8</v>
      </c>
      <c r="AD38" s="19">
        <v>0</v>
      </c>
      <c r="AE38" s="19">
        <v>18.600000000000001</v>
      </c>
      <c r="AF38" s="19">
        <v>6</v>
      </c>
      <c r="AG38" s="19">
        <v>0</v>
      </c>
      <c r="AH38" s="19">
        <v>0</v>
      </c>
      <c r="AI38" s="19"/>
      <c r="AJ38" s="19"/>
      <c r="AK38" s="19"/>
      <c r="AL38" s="19"/>
      <c r="AM38" s="19"/>
      <c r="AN38" s="19"/>
      <c r="AO38" s="19"/>
      <c r="AP38" s="19"/>
      <c r="AQ38" s="27"/>
      <c r="AR38" s="40">
        <f t="shared" si="12"/>
        <v>5.2</v>
      </c>
      <c r="AS38" s="40">
        <f t="shared" si="13"/>
        <v>38.600000000000009</v>
      </c>
      <c r="AT38" s="40">
        <f t="shared" si="14"/>
        <v>24.6</v>
      </c>
      <c r="AU38" s="40">
        <f t="shared" si="15"/>
        <v>11.2</v>
      </c>
      <c r="AV38" s="40">
        <f t="shared" si="16"/>
        <v>63.20000000000001</v>
      </c>
      <c r="AW38" s="40" t="str">
        <f t="shared" si="17"/>
        <v/>
      </c>
      <c r="AX38" s="40" t="str">
        <f t="shared" si="18"/>
        <v/>
      </c>
      <c r="AY38" s="40">
        <f t="shared" si="19"/>
        <v>63.20000000000001</v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 t="shared" si="20"/>
        <v/>
      </c>
      <c r="BV38" s="11" t="str">
        <f t="shared" si="21"/>
        <v/>
      </c>
      <c r="BW38" s="11" t="str">
        <f t="shared" si="22"/>
        <v/>
      </c>
      <c r="BX38" s="11" t="str">
        <f t="shared" si="23"/>
        <v/>
      </c>
      <c r="BY38" s="11" t="str">
        <f t="shared" si="24"/>
        <v/>
      </c>
      <c r="BZ38" s="11" t="str">
        <f t="shared" si="25"/>
        <v/>
      </c>
      <c r="CA38" s="11" t="str">
        <f t="shared" si="26"/>
        <v/>
      </c>
      <c r="CB38" s="11" t="str">
        <f t="shared" si="27"/>
        <v/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 t="shared" si="28"/>
        <v/>
      </c>
      <c r="CY38" s="40" t="str">
        <f t="shared" si="29"/>
        <v/>
      </c>
      <c r="CZ38" s="40" t="str">
        <f t="shared" si="30"/>
        <v/>
      </c>
      <c r="DA38" s="40" t="str">
        <f t="shared" si="31"/>
        <v/>
      </c>
      <c r="DB38" s="40" t="str">
        <f t="shared" si="32"/>
        <v/>
      </c>
      <c r="DC38" s="40" t="str">
        <f t="shared" si="33"/>
        <v/>
      </c>
      <c r="DD38" s="40" t="str">
        <f t="shared" si="34"/>
        <v/>
      </c>
      <c r="DE38" s="40" t="str">
        <f t="shared" si="35"/>
        <v/>
      </c>
      <c r="DF38" s="50" t="str">
        <f t="shared" si="36"/>
        <v/>
      </c>
      <c r="DG38" s="50" t="str">
        <f t="shared" si="37"/>
        <v/>
      </c>
      <c r="DH38" s="50" t="str">
        <f t="shared" si="38"/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 t="shared" si="39"/>
        <v/>
      </c>
      <c r="ED38" s="40" t="str">
        <f t="shared" si="40"/>
        <v/>
      </c>
      <c r="EE38" s="40" t="str">
        <f t="shared" si="41"/>
        <v/>
      </c>
      <c r="EF38" s="40" t="str">
        <f t="shared" si="42"/>
        <v/>
      </c>
      <c r="EG38" s="40" t="str">
        <f t="shared" si="43"/>
        <v/>
      </c>
      <c r="EH38" s="40" t="str">
        <f t="shared" si="44"/>
        <v/>
      </c>
      <c r="EI38" s="40" t="str">
        <f t="shared" si="45"/>
        <v/>
      </c>
      <c r="EJ38" s="40" t="str">
        <f t="shared" si="46"/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 t="shared" si="47"/>
        <v/>
      </c>
      <c r="FF38" s="11" t="str">
        <f t="shared" si="48"/>
        <v/>
      </c>
      <c r="FG38" s="11" t="str">
        <f t="shared" si="49"/>
        <v/>
      </c>
      <c r="FH38" s="11" t="str">
        <f t="shared" si="50"/>
        <v/>
      </c>
      <c r="FI38" s="11" t="str">
        <f t="shared" si="51"/>
        <v/>
      </c>
      <c r="FJ38" s="11" t="str">
        <f t="shared" si="52"/>
        <v/>
      </c>
      <c r="FK38" s="11" t="str">
        <f t="shared" si="53"/>
        <v/>
      </c>
      <c r="FL38" s="11" t="str">
        <f t="shared" si="54"/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 t="shared" si="55"/>
        <v/>
      </c>
      <c r="GH38" s="40" t="str">
        <f t="shared" si="56"/>
        <v/>
      </c>
      <c r="GI38" s="40" t="str">
        <f t="shared" si="57"/>
        <v/>
      </c>
      <c r="GJ38" s="40" t="str">
        <f t="shared" si="58"/>
        <v/>
      </c>
      <c r="GK38" s="40" t="str">
        <f t="shared" si="59"/>
        <v/>
      </c>
      <c r="GL38" s="40" t="str">
        <f t="shared" si="60"/>
        <v/>
      </c>
      <c r="GM38" s="40" t="str">
        <f t="shared" si="61"/>
        <v/>
      </c>
      <c r="GN38" s="40" t="str">
        <f t="shared" si="62"/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 t="shared" si="63"/>
        <v/>
      </c>
      <c r="HJ38" s="11" t="str">
        <f t="shared" si="64"/>
        <v/>
      </c>
      <c r="HK38" s="11" t="str">
        <f t="shared" si="65"/>
        <v/>
      </c>
      <c r="HL38" s="11" t="str">
        <f t="shared" si="66"/>
        <v/>
      </c>
      <c r="HM38" s="11" t="str">
        <f t="shared" si="67"/>
        <v/>
      </c>
      <c r="HN38" s="11" t="str">
        <f t="shared" si="68"/>
        <v/>
      </c>
      <c r="HO38" s="11" t="str">
        <f t="shared" si="69"/>
        <v/>
      </c>
      <c r="HP38" s="11" t="str">
        <f t="shared" si="70"/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 t="shared" si="71"/>
        <v/>
      </c>
      <c r="IL38" s="40" t="str">
        <f t="shared" si="72"/>
        <v/>
      </c>
      <c r="IM38" s="40" t="str">
        <f t="shared" si="73"/>
        <v/>
      </c>
      <c r="IN38" s="40" t="str">
        <f t="shared" si="74"/>
        <v/>
      </c>
      <c r="IO38" s="40" t="str">
        <f t="shared" si="75"/>
        <v/>
      </c>
      <c r="IP38" s="40" t="str">
        <f t="shared" si="76"/>
        <v/>
      </c>
      <c r="IQ38" s="40" t="str">
        <f t="shared" si="77"/>
        <v/>
      </c>
      <c r="IR38" s="40" t="str">
        <f t="shared" si="78"/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 t="shared" si="79"/>
        <v/>
      </c>
      <c r="JN38" s="11" t="str">
        <f t="shared" si="80"/>
        <v/>
      </c>
      <c r="JO38" s="11" t="str">
        <f t="shared" si="81"/>
        <v/>
      </c>
      <c r="JP38" s="11" t="str">
        <f t="shared" si="82"/>
        <v/>
      </c>
      <c r="JQ38" s="11" t="str">
        <f t="shared" si="83"/>
        <v/>
      </c>
      <c r="JR38" s="11" t="str">
        <f t="shared" si="84"/>
        <v/>
      </c>
      <c r="JS38" s="11" t="str">
        <f t="shared" si="85"/>
        <v/>
      </c>
      <c r="JT38" s="11" t="str">
        <f t="shared" si="86"/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 t="shared" si="87"/>
        <v/>
      </c>
      <c r="KP38" s="40" t="str">
        <f t="shared" si="88"/>
        <v/>
      </c>
      <c r="KQ38" s="40" t="str">
        <f t="shared" si="89"/>
        <v/>
      </c>
      <c r="KR38" s="40" t="str">
        <f t="shared" si="90"/>
        <v/>
      </c>
      <c r="KS38" s="40" t="str">
        <f t="shared" si="91"/>
        <v/>
      </c>
      <c r="KT38" s="40" t="str">
        <f t="shared" si="92"/>
        <v/>
      </c>
      <c r="KU38" s="40" t="str">
        <f t="shared" si="93"/>
        <v/>
      </c>
      <c r="KV38" s="40" t="str">
        <f t="shared" si="94"/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 t="shared" si="95"/>
        <v/>
      </c>
      <c r="LR38" s="11" t="str">
        <f t="shared" si="96"/>
        <v/>
      </c>
      <c r="LS38" s="11" t="str">
        <f t="shared" si="97"/>
        <v/>
      </c>
      <c r="LT38" s="11" t="str">
        <f t="shared" si="98"/>
        <v/>
      </c>
      <c r="LU38" s="11" t="str">
        <f t="shared" si="99"/>
        <v/>
      </c>
      <c r="LV38" s="11" t="str">
        <f t="shared" si="100"/>
        <v/>
      </c>
      <c r="LW38" s="11" t="str">
        <f t="shared" si="101"/>
        <v/>
      </c>
      <c r="LX38" s="11" t="str">
        <f t="shared" si="102"/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 t="shared" si="103"/>
        <v/>
      </c>
      <c r="MT38" s="40" t="str">
        <f t="shared" si="104"/>
        <v/>
      </c>
      <c r="MU38" s="40" t="str">
        <f t="shared" si="105"/>
        <v/>
      </c>
      <c r="MV38" s="40" t="str">
        <f t="shared" si="106"/>
        <v/>
      </c>
      <c r="MW38" s="40" t="str">
        <f t="shared" si="107"/>
        <v/>
      </c>
      <c r="MX38" s="40" t="str">
        <f t="shared" si="108"/>
        <v/>
      </c>
      <c r="MY38" s="40" t="str">
        <f t="shared" si="109"/>
        <v/>
      </c>
      <c r="MZ38" s="40" t="str">
        <f t="shared" si="110"/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 t="shared" si="111"/>
        <v/>
      </c>
      <c r="NV38" s="11" t="str">
        <f t="shared" si="112"/>
        <v/>
      </c>
      <c r="NW38" s="11" t="str">
        <f t="shared" si="113"/>
        <v/>
      </c>
      <c r="NX38" s="11" t="str">
        <f t="shared" si="114"/>
        <v/>
      </c>
      <c r="NY38" s="11" t="str">
        <f t="shared" si="115"/>
        <v/>
      </c>
      <c r="NZ38" s="11" t="str">
        <f t="shared" si="116"/>
        <v/>
      </c>
      <c r="OA38" s="11" t="str">
        <f t="shared" si="117"/>
        <v/>
      </c>
      <c r="OB38" s="11" t="str">
        <f t="shared" si="118"/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 t="shared" si="119"/>
        <v/>
      </c>
      <c r="OX38" s="40" t="str">
        <f t="shared" si="120"/>
        <v/>
      </c>
      <c r="OY38" s="40" t="str">
        <f t="shared" si="121"/>
        <v/>
      </c>
      <c r="OZ38" s="40" t="str">
        <f t="shared" si="122"/>
        <v/>
      </c>
      <c r="PA38" s="40" t="str">
        <f t="shared" si="123"/>
        <v/>
      </c>
      <c r="PB38" s="40" t="str">
        <f t="shared" si="124"/>
        <v/>
      </c>
      <c r="PC38" s="40" t="str">
        <f t="shared" si="125"/>
        <v/>
      </c>
      <c r="PD38" s="40" t="str">
        <f t="shared" si="126"/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 t="shared" si="127"/>
        <v/>
      </c>
      <c r="PZ38" s="11" t="str">
        <f t="shared" si="128"/>
        <v/>
      </c>
      <c r="QA38" s="11" t="str">
        <f t="shared" si="129"/>
        <v/>
      </c>
      <c r="QB38" s="11" t="str">
        <f t="shared" si="130"/>
        <v/>
      </c>
      <c r="QC38" s="11" t="str">
        <f t="shared" si="131"/>
        <v/>
      </c>
      <c r="QD38" s="11" t="str">
        <f t="shared" si="132"/>
        <v/>
      </c>
      <c r="QE38" s="11" t="str">
        <f t="shared" si="133"/>
        <v/>
      </c>
      <c r="QF38" s="11" t="str">
        <f t="shared" si="134"/>
        <v/>
      </c>
      <c r="QG38" s="22">
        <f t="shared" si="135"/>
        <v>0</v>
      </c>
      <c r="QH38" s="22">
        <f t="shared" si="136"/>
        <v>0</v>
      </c>
      <c r="QI38" s="22">
        <f t="shared" si="137"/>
        <v>0</v>
      </c>
      <c r="QJ38" s="22">
        <f t="shared" si="138"/>
        <v>0</v>
      </c>
      <c r="QK38" s="22">
        <f t="shared" si="139"/>
        <v>0</v>
      </c>
      <c r="QL38" s="22">
        <f t="shared" si="140"/>
        <v>0</v>
      </c>
      <c r="QM38" s="22">
        <f t="shared" si="141"/>
        <v>0</v>
      </c>
      <c r="QN38" s="22">
        <f t="shared" si="142"/>
        <v>0</v>
      </c>
      <c r="QO38" s="22">
        <f t="shared" si="143"/>
        <v>0</v>
      </c>
      <c r="QP38" s="22">
        <f t="shared" si="144"/>
        <v>0</v>
      </c>
      <c r="QQ38" s="22">
        <f t="shared" si="145"/>
        <v>0</v>
      </c>
      <c r="QR38" s="22">
        <f t="shared" si="146"/>
        <v>0</v>
      </c>
      <c r="QS38" s="22">
        <f t="shared" si="147"/>
        <v>0</v>
      </c>
      <c r="QT38" s="22">
        <f t="shared" si="148"/>
        <v>0</v>
      </c>
      <c r="QU38" s="22">
        <f t="shared" si="149"/>
        <v>0</v>
      </c>
      <c r="QV38" s="22">
        <f t="shared" si="150"/>
        <v>0</v>
      </c>
      <c r="QW38" s="22">
        <f t="shared" si="151"/>
        <v>0</v>
      </c>
      <c r="QX38" s="22">
        <f t="shared" si="152"/>
        <v>0</v>
      </c>
      <c r="QY38" s="22">
        <f t="shared" si="153"/>
        <v>0</v>
      </c>
      <c r="QZ38" s="22">
        <f t="shared" si="154"/>
        <v>0</v>
      </c>
      <c r="RA38" s="27" t="s">
        <v>46</v>
      </c>
      <c r="RB38" s="40" t="str">
        <f t="shared" si="155"/>
        <v/>
      </c>
      <c r="RC38" s="40" t="str">
        <f t="shared" si="156"/>
        <v/>
      </c>
      <c r="RD38" s="40" t="str">
        <f t="shared" si="157"/>
        <v/>
      </c>
      <c r="RE38" s="40" t="str">
        <f t="shared" si="158"/>
        <v/>
      </c>
      <c r="RF38" s="40" t="str">
        <f t="shared" si="159"/>
        <v/>
      </c>
      <c r="RG38" s="40" t="str">
        <f t="shared" si="160"/>
        <v/>
      </c>
      <c r="RH38" s="40" t="str">
        <f t="shared" si="161"/>
        <v/>
      </c>
      <c r="RI38" s="40" t="str">
        <f t="shared" si="162"/>
        <v/>
      </c>
    </row>
    <row r="39" spans="1:477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130</v>
      </c>
      <c r="D39" s="4" t="s">
        <v>5</v>
      </c>
      <c r="E39" s="4">
        <v>2005</v>
      </c>
      <c r="F39" s="9">
        <f t="shared" si="163"/>
        <v>62.700006270004302</v>
      </c>
      <c r="G39" s="66"/>
      <c r="H39" s="3" t="str">
        <f t="shared" si="0"/>
        <v/>
      </c>
      <c r="I39" s="3" t="str">
        <f t="shared" si="1"/>
        <v/>
      </c>
      <c r="J39" s="36" t="str">
        <f t="shared" si="2"/>
        <v/>
      </c>
      <c r="K39" s="3" t="str">
        <f t="shared" si="3"/>
        <v/>
      </c>
      <c r="L39" s="8">
        <f>IF(COUNT(AS39,BV39,CY39)&gt;0,LARGE((AS39,BV39,CY39),1),0)</f>
        <v>43</v>
      </c>
      <c r="M39" s="8" t="str">
        <f t="shared" si="4"/>
        <v>2023 Nationals</v>
      </c>
      <c r="N39" s="8">
        <f>IF(COUNT(AS39,BV39,CY39)&gt;1,LARGE((AS39,BV39,CY39),2),0)</f>
        <v>0</v>
      </c>
      <c r="O39" s="8" t="str">
        <f t="shared" si="5"/>
        <v/>
      </c>
      <c r="P39" s="8">
        <f>IF(COUNT(AT39,BW39,CZ39)&gt;0,LARGE((AT39,BW39,CZ39),1),0)</f>
        <v>19.700000000000003</v>
      </c>
      <c r="Q39" s="8" t="str">
        <f t="shared" si="6"/>
        <v>2023 Nationals</v>
      </c>
      <c r="R39" s="8">
        <f t="shared" si="7"/>
        <v>0</v>
      </c>
      <c r="S39" s="8" t="str">
        <f t="shared" si="8"/>
        <v/>
      </c>
      <c r="T39" s="8" t="str">
        <f t="shared" si="9"/>
        <v/>
      </c>
      <c r="U39" s="11" t="str">
        <f t="shared" si="10"/>
        <v/>
      </c>
      <c r="V39" s="8" t="str">
        <f t="shared" si="11"/>
        <v/>
      </c>
      <c r="W39" s="19">
        <v>17.600000000000001</v>
      </c>
      <c r="X39" s="19">
        <v>2.4</v>
      </c>
      <c r="Y39" s="19">
        <v>0</v>
      </c>
      <c r="Z39" s="19">
        <v>0</v>
      </c>
      <c r="AA39" s="19">
        <v>18.399999999999999</v>
      </c>
      <c r="AB39" s="19">
        <v>5.2</v>
      </c>
      <c r="AC39" s="19">
        <v>0.6</v>
      </c>
      <c r="AD39" s="19">
        <v>0</v>
      </c>
      <c r="AE39" s="19">
        <v>16.3</v>
      </c>
      <c r="AF39" s="19">
        <v>4.4000000000000004</v>
      </c>
      <c r="AG39" s="19">
        <v>1</v>
      </c>
      <c r="AH39" s="19">
        <v>0</v>
      </c>
      <c r="AI39" s="19"/>
      <c r="AJ39" s="19"/>
      <c r="AK39" s="19"/>
      <c r="AL39" s="19"/>
      <c r="AM39" s="19"/>
      <c r="AN39" s="19"/>
      <c r="AO39" s="19"/>
      <c r="AP39" s="19"/>
      <c r="AQ39" s="27"/>
      <c r="AR39" s="40">
        <f t="shared" si="12"/>
        <v>7.6</v>
      </c>
      <c r="AS39" s="40">
        <f t="shared" si="13"/>
        <v>43</v>
      </c>
      <c r="AT39" s="40">
        <f t="shared" si="14"/>
        <v>19.700000000000003</v>
      </c>
      <c r="AU39" s="40">
        <f t="shared" si="15"/>
        <v>12</v>
      </c>
      <c r="AV39" s="40">
        <f t="shared" si="16"/>
        <v>62.7</v>
      </c>
      <c r="AW39" s="40" t="str">
        <f t="shared" si="17"/>
        <v/>
      </c>
      <c r="AX39" s="40" t="str">
        <f t="shared" si="18"/>
        <v/>
      </c>
      <c r="AY39" s="40">
        <f t="shared" si="19"/>
        <v>62.7</v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 t="shared" si="20"/>
        <v/>
      </c>
      <c r="BV39" s="11" t="str">
        <f t="shared" si="21"/>
        <v/>
      </c>
      <c r="BW39" s="11" t="str">
        <f t="shared" si="22"/>
        <v/>
      </c>
      <c r="BX39" s="11" t="str">
        <f t="shared" si="23"/>
        <v/>
      </c>
      <c r="BY39" s="11" t="str">
        <f t="shared" si="24"/>
        <v/>
      </c>
      <c r="BZ39" s="11" t="str">
        <f t="shared" si="25"/>
        <v/>
      </c>
      <c r="CA39" s="11" t="str">
        <f t="shared" si="26"/>
        <v/>
      </c>
      <c r="CB39" s="11" t="str">
        <f t="shared" si="27"/>
        <v/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 t="shared" si="28"/>
        <v/>
      </c>
      <c r="CY39" s="40" t="str">
        <f t="shared" si="29"/>
        <v/>
      </c>
      <c r="CZ39" s="40" t="str">
        <f t="shared" si="30"/>
        <v/>
      </c>
      <c r="DA39" s="40" t="str">
        <f t="shared" si="31"/>
        <v/>
      </c>
      <c r="DB39" s="40" t="str">
        <f t="shared" si="32"/>
        <v/>
      </c>
      <c r="DC39" s="40" t="str">
        <f t="shared" si="33"/>
        <v/>
      </c>
      <c r="DD39" s="40" t="str">
        <f t="shared" si="34"/>
        <v/>
      </c>
      <c r="DE39" s="40" t="str">
        <f t="shared" si="35"/>
        <v/>
      </c>
      <c r="DF39" s="50" t="str">
        <f t="shared" si="36"/>
        <v/>
      </c>
      <c r="DG39" s="50" t="str">
        <f t="shared" si="37"/>
        <v/>
      </c>
      <c r="DH39" s="50" t="str">
        <f t="shared" si="38"/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 t="shared" si="39"/>
        <v/>
      </c>
      <c r="ED39" s="40" t="str">
        <f t="shared" si="40"/>
        <v/>
      </c>
      <c r="EE39" s="40" t="str">
        <f t="shared" si="41"/>
        <v/>
      </c>
      <c r="EF39" s="40" t="str">
        <f t="shared" si="42"/>
        <v/>
      </c>
      <c r="EG39" s="40" t="str">
        <f t="shared" si="43"/>
        <v/>
      </c>
      <c r="EH39" s="40" t="str">
        <f t="shared" si="44"/>
        <v/>
      </c>
      <c r="EI39" s="40" t="str">
        <f t="shared" si="45"/>
        <v/>
      </c>
      <c r="EJ39" s="40" t="str">
        <f t="shared" si="46"/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 t="shared" si="47"/>
        <v/>
      </c>
      <c r="FF39" s="11" t="str">
        <f t="shared" si="48"/>
        <v/>
      </c>
      <c r="FG39" s="11" t="str">
        <f t="shared" si="49"/>
        <v/>
      </c>
      <c r="FH39" s="11" t="str">
        <f t="shared" si="50"/>
        <v/>
      </c>
      <c r="FI39" s="11" t="str">
        <f t="shared" si="51"/>
        <v/>
      </c>
      <c r="FJ39" s="11" t="str">
        <f t="shared" si="52"/>
        <v/>
      </c>
      <c r="FK39" s="11" t="str">
        <f t="shared" si="53"/>
        <v/>
      </c>
      <c r="FL39" s="11" t="str">
        <f t="shared" si="54"/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 t="shared" si="55"/>
        <v/>
      </c>
      <c r="GH39" s="40" t="str">
        <f t="shared" si="56"/>
        <v/>
      </c>
      <c r="GI39" s="40" t="str">
        <f t="shared" si="57"/>
        <v/>
      </c>
      <c r="GJ39" s="40" t="str">
        <f t="shared" si="58"/>
        <v/>
      </c>
      <c r="GK39" s="40" t="str">
        <f t="shared" si="59"/>
        <v/>
      </c>
      <c r="GL39" s="40" t="str">
        <f t="shared" si="60"/>
        <v/>
      </c>
      <c r="GM39" s="40" t="str">
        <f t="shared" si="61"/>
        <v/>
      </c>
      <c r="GN39" s="40" t="str">
        <f t="shared" si="62"/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 t="shared" si="63"/>
        <v/>
      </c>
      <c r="HJ39" s="11" t="str">
        <f t="shared" si="64"/>
        <v/>
      </c>
      <c r="HK39" s="11" t="str">
        <f t="shared" si="65"/>
        <v/>
      </c>
      <c r="HL39" s="11" t="str">
        <f t="shared" si="66"/>
        <v/>
      </c>
      <c r="HM39" s="11" t="str">
        <f t="shared" si="67"/>
        <v/>
      </c>
      <c r="HN39" s="11" t="str">
        <f t="shared" si="68"/>
        <v/>
      </c>
      <c r="HO39" s="11" t="str">
        <f t="shared" si="69"/>
        <v/>
      </c>
      <c r="HP39" s="11" t="str">
        <f t="shared" si="70"/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 t="shared" si="71"/>
        <v/>
      </c>
      <c r="IL39" s="40" t="str">
        <f t="shared" si="72"/>
        <v/>
      </c>
      <c r="IM39" s="40" t="str">
        <f t="shared" si="73"/>
        <v/>
      </c>
      <c r="IN39" s="40" t="str">
        <f t="shared" si="74"/>
        <v/>
      </c>
      <c r="IO39" s="40" t="str">
        <f t="shared" si="75"/>
        <v/>
      </c>
      <c r="IP39" s="40" t="str">
        <f t="shared" si="76"/>
        <v/>
      </c>
      <c r="IQ39" s="40" t="str">
        <f t="shared" si="77"/>
        <v/>
      </c>
      <c r="IR39" s="40" t="str">
        <f t="shared" si="78"/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 t="shared" si="79"/>
        <v/>
      </c>
      <c r="JN39" s="11" t="str">
        <f t="shared" si="80"/>
        <v/>
      </c>
      <c r="JO39" s="11" t="str">
        <f t="shared" si="81"/>
        <v/>
      </c>
      <c r="JP39" s="11" t="str">
        <f t="shared" si="82"/>
        <v/>
      </c>
      <c r="JQ39" s="11" t="str">
        <f t="shared" si="83"/>
        <v/>
      </c>
      <c r="JR39" s="11" t="str">
        <f t="shared" si="84"/>
        <v/>
      </c>
      <c r="JS39" s="11" t="str">
        <f t="shared" si="85"/>
        <v/>
      </c>
      <c r="JT39" s="11" t="str">
        <f t="shared" si="86"/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 t="shared" si="87"/>
        <v/>
      </c>
      <c r="KP39" s="40" t="str">
        <f t="shared" si="88"/>
        <v/>
      </c>
      <c r="KQ39" s="40" t="str">
        <f t="shared" si="89"/>
        <v/>
      </c>
      <c r="KR39" s="40" t="str">
        <f t="shared" si="90"/>
        <v/>
      </c>
      <c r="KS39" s="40" t="str">
        <f t="shared" si="91"/>
        <v/>
      </c>
      <c r="KT39" s="40" t="str">
        <f t="shared" si="92"/>
        <v/>
      </c>
      <c r="KU39" s="40" t="str">
        <f t="shared" si="93"/>
        <v/>
      </c>
      <c r="KV39" s="40" t="str">
        <f t="shared" si="94"/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 t="shared" si="95"/>
        <v/>
      </c>
      <c r="LR39" s="11" t="str">
        <f t="shared" si="96"/>
        <v/>
      </c>
      <c r="LS39" s="11" t="str">
        <f t="shared" si="97"/>
        <v/>
      </c>
      <c r="LT39" s="11" t="str">
        <f t="shared" si="98"/>
        <v/>
      </c>
      <c r="LU39" s="11" t="str">
        <f t="shared" si="99"/>
        <v/>
      </c>
      <c r="LV39" s="11" t="str">
        <f t="shared" si="100"/>
        <v/>
      </c>
      <c r="LW39" s="11" t="str">
        <f t="shared" si="101"/>
        <v/>
      </c>
      <c r="LX39" s="11" t="str">
        <f t="shared" si="102"/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 t="shared" si="103"/>
        <v/>
      </c>
      <c r="MT39" s="40" t="str">
        <f t="shared" si="104"/>
        <v/>
      </c>
      <c r="MU39" s="40" t="str">
        <f t="shared" si="105"/>
        <v/>
      </c>
      <c r="MV39" s="40" t="str">
        <f t="shared" si="106"/>
        <v/>
      </c>
      <c r="MW39" s="40" t="str">
        <f t="shared" si="107"/>
        <v/>
      </c>
      <c r="MX39" s="40" t="str">
        <f t="shared" si="108"/>
        <v/>
      </c>
      <c r="MY39" s="40" t="str">
        <f t="shared" si="109"/>
        <v/>
      </c>
      <c r="MZ39" s="40" t="str">
        <f t="shared" si="110"/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 t="shared" si="111"/>
        <v/>
      </c>
      <c r="NV39" s="11" t="str">
        <f t="shared" si="112"/>
        <v/>
      </c>
      <c r="NW39" s="11" t="str">
        <f t="shared" si="113"/>
        <v/>
      </c>
      <c r="NX39" s="11" t="str">
        <f t="shared" si="114"/>
        <v/>
      </c>
      <c r="NY39" s="11" t="str">
        <f t="shared" si="115"/>
        <v/>
      </c>
      <c r="NZ39" s="11" t="str">
        <f t="shared" si="116"/>
        <v/>
      </c>
      <c r="OA39" s="11" t="str">
        <f t="shared" si="117"/>
        <v/>
      </c>
      <c r="OB39" s="11" t="str">
        <f t="shared" si="118"/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 t="shared" si="119"/>
        <v/>
      </c>
      <c r="OX39" s="40" t="str">
        <f t="shared" si="120"/>
        <v/>
      </c>
      <c r="OY39" s="40" t="str">
        <f t="shared" si="121"/>
        <v/>
      </c>
      <c r="OZ39" s="40" t="str">
        <f t="shared" si="122"/>
        <v/>
      </c>
      <c r="PA39" s="40" t="str">
        <f t="shared" si="123"/>
        <v/>
      </c>
      <c r="PB39" s="40" t="str">
        <f t="shared" si="124"/>
        <v/>
      </c>
      <c r="PC39" s="40" t="str">
        <f t="shared" si="125"/>
        <v/>
      </c>
      <c r="PD39" s="40" t="str">
        <f t="shared" si="126"/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 t="shared" si="127"/>
        <v/>
      </c>
      <c r="PZ39" s="11" t="str">
        <f t="shared" si="128"/>
        <v/>
      </c>
      <c r="QA39" s="11" t="str">
        <f t="shared" si="129"/>
        <v/>
      </c>
      <c r="QB39" s="11" t="str">
        <f t="shared" si="130"/>
        <v/>
      </c>
      <c r="QC39" s="11" t="str">
        <f t="shared" si="131"/>
        <v/>
      </c>
      <c r="QD39" s="11" t="str">
        <f t="shared" si="132"/>
        <v/>
      </c>
      <c r="QE39" s="11" t="str">
        <f t="shared" si="133"/>
        <v/>
      </c>
      <c r="QF39" s="11" t="str">
        <f t="shared" si="134"/>
        <v/>
      </c>
      <c r="QG39" s="22">
        <f t="shared" si="135"/>
        <v>0</v>
      </c>
      <c r="QH39" s="22">
        <f t="shared" si="136"/>
        <v>0</v>
      </c>
      <c r="QI39" s="22">
        <f t="shared" si="137"/>
        <v>0</v>
      </c>
      <c r="QJ39" s="22">
        <f t="shared" si="138"/>
        <v>0</v>
      </c>
      <c r="QK39" s="22">
        <f t="shared" si="139"/>
        <v>0</v>
      </c>
      <c r="QL39" s="22">
        <f t="shared" si="140"/>
        <v>0</v>
      </c>
      <c r="QM39" s="22">
        <f t="shared" si="141"/>
        <v>0</v>
      </c>
      <c r="QN39" s="22">
        <f t="shared" si="142"/>
        <v>0</v>
      </c>
      <c r="QO39" s="22">
        <f t="shared" si="143"/>
        <v>0</v>
      </c>
      <c r="QP39" s="22">
        <f t="shared" si="144"/>
        <v>0</v>
      </c>
      <c r="QQ39" s="22">
        <f t="shared" si="145"/>
        <v>0</v>
      </c>
      <c r="QR39" s="22">
        <f t="shared" si="146"/>
        <v>0</v>
      </c>
      <c r="QS39" s="22">
        <f t="shared" si="147"/>
        <v>0</v>
      </c>
      <c r="QT39" s="22">
        <f t="shared" si="148"/>
        <v>0</v>
      </c>
      <c r="QU39" s="22">
        <f t="shared" si="149"/>
        <v>0</v>
      </c>
      <c r="QV39" s="22">
        <f t="shared" si="150"/>
        <v>0</v>
      </c>
      <c r="QW39" s="22">
        <f t="shared" si="151"/>
        <v>0</v>
      </c>
      <c r="QX39" s="22">
        <f t="shared" si="152"/>
        <v>0</v>
      </c>
      <c r="QY39" s="22">
        <f t="shared" si="153"/>
        <v>0</v>
      </c>
      <c r="QZ39" s="22">
        <f t="shared" si="154"/>
        <v>0</v>
      </c>
      <c r="RA39" s="27" t="s">
        <v>46</v>
      </c>
      <c r="RB39" s="40" t="str">
        <f t="shared" si="155"/>
        <v/>
      </c>
      <c r="RC39" s="40" t="str">
        <f t="shared" si="156"/>
        <v/>
      </c>
      <c r="RD39" s="40" t="str">
        <f t="shared" si="157"/>
        <v/>
      </c>
      <c r="RE39" s="40" t="str">
        <f t="shared" si="158"/>
        <v/>
      </c>
      <c r="RF39" s="40" t="str">
        <f t="shared" si="159"/>
        <v/>
      </c>
      <c r="RG39" s="40" t="str">
        <f t="shared" si="160"/>
        <v/>
      </c>
      <c r="RH39" s="40" t="str">
        <f t="shared" si="161"/>
        <v/>
      </c>
      <c r="RI39" s="40" t="str">
        <f t="shared" si="162"/>
        <v/>
      </c>
    </row>
    <row r="40" spans="1:477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164</v>
      </c>
      <c r="D40" s="4" t="s">
        <v>6</v>
      </c>
      <c r="E40" s="4">
        <v>2005</v>
      </c>
      <c r="F40" s="9">
        <f t="shared" si="163"/>
        <v>60.900006090004723</v>
      </c>
      <c r="G40" s="66"/>
      <c r="H40" s="3" t="str">
        <f t="shared" si="0"/>
        <v/>
      </c>
      <c r="I40" s="3" t="str">
        <f t="shared" si="1"/>
        <v/>
      </c>
      <c r="J40" s="36" t="str">
        <f t="shared" si="2"/>
        <v/>
      </c>
      <c r="K40" s="3" t="str">
        <f t="shared" si="3"/>
        <v/>
      </c>
      <c r="L40" s="8">
        <f>IF(COUNT(AS40,BV40,CY40)&gt;0,LARGE((AS40,BV40,CY40),1),0)</f>
        <v>47.2</v>
      </c>
      <c r="M40" s="8" t="str">
        <f t="shared" si="4"/>
        <v>2023 Nationals</v>
      </c>
      <c r="N40" s="8">
        <f>IF(COUNT(AS40,BV40,CY40)&gt;1,LARGE((AS40,BV40,CY40),2),0)</f>
        <v>0</v>
      </c>
      <c r="O40" s="8" t="str">
        <f t="shared" si="5"/>
        <v/>
      </c>
      <c r="P40" s="8">
        <f>IF(COUNT(AT40,BW40,CZ40)&gt;0,LARGE((AT40,BW40,CZ40),1),0)</f>
        <v>13.7</v>
      </c>
      <c r="Q40" s="8" t="str">
        <f t="shared" si="6"/>
        <v>2023 Nationals</v>
      </c>
      <c r="R40" s="8">
        <f t="shared" si="7"/>
        <v>0</v>
      </c>
      <c r="S40" s="8" t="str">
        <f t="shared" si="8"/>
        <v/>
      </c>
      <c r="T40" s="8" t="str">
        <f t="shared" si="9"/>
        <v/>
      </c>
      <c r="U40" s="11" t="str">
        <f t="shared" si="10"/>
        <v/>
      </c>
      <c r="V40" s="8" t="str">
        <f t="shared" si="11"/>
        <v/>
      </c>
      <c r="W40" s="19">
        <v>18.8</v>
      </c>
      <c r="X40" s="19">
        <v>4.8</v>
      </c>
      <c r="Y40" s="19">
        <v>0</v>
      </c>
      <c r="Z40" s="19">
        <v>0</v>
      </c>
      <c r="AA40" s="19">
        <v>18.8</v>
      </c>
      <c r="AB40" s="19">
        <v>4.8</v>
      </c>
      <c r="AC40" s="19">
        <v>0</v>
      </c>
      <c r="AD40" s="19">
        <v>0</v>
      </c>
      <c r="AE40" s="19">
        <v>16.3</v>
      </c>
      <c r="AF40" s="19">
        <v>1.4</v>
      </c>
      <c r="AG40" s="19">
        <v>4</v>
      </c>
      <c r="AH40" s="19">
        <v>0</v>
      </c>
      <c r="AI40" s="19"/>
      <c r="AJ40" s="19"/>
      <c r="AK40" s="19"/>
      <c r="AL40" s="19"/>
      <c r="AM40" s="19"/>
      <c r="AN40" s="19"/>
      <c r="AO40" s="19"/>
      <c r="AP40" s="19"/>
      <c r="AQ40" s="27"/>
      <c r="AR40" s="40">
        <f t="shared" si="12"/>
        <v>9.6</v>
      </c>
      <c r="AS40" s="40">
        <f t="shared" si="13"/>
        <v>47.2</v>
      </c>
      <c r="AT40" s="40">
        <f t="shared" si="14"/>
        <v>13.7</v>
      </c>
      <c r="AU40" s="40">
        <f t="shared" si="15"/>
        <v>11</v>
      </c>
      <c r="AV40" s="40">
        <f t="shared" si="16"/>
        <v>60.900000000000006</v>
      </c>
      <c r="AW40" s="40" t="str">
        <f t="shared" si="17"/>
        <v/>
      </c>
      <c r="AX40" s="40" t="str">
        <f t="shared" si="18"/>
        <v/>
      </c>
      <c r="AY40" s="40">
        <f t="shared" si="19"/>
        <v>60.900000000000006</v>
      </c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28"/>
      <c r="BU40" s="11" t="str">
        <f t="shared" si="20"/>
        <v/>
      </c>
      <c r="BV40" s="11" t="str">
        <f t="shared" si="21"/>
        <v/>
      </c>
      <c r="BW40" s="11" t="str">
        <f t="shared" si="22"/>
        <v/>
      </c>
      <c r="BX40" s="11" t="str">
        <f t="shared" si="23"/>
        <v/>
      </c>
      <c r="BY40" s="11" t="str">
        <f t="shared" si="24"/>
        <v/>
      </c>
      <c r="BZ40" s="11" t="str">
        <f t="shared" si="25"/>
        <v/>
      </c>
      <c r="CA40" s="11" t="str">
        <f t="shared" si="26"/>
        <v/>
      </c>
      <c r="CB40" s="11" t="str">
        <f t="shared" si="27"/>
        <v/>
      </c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7"/>
      <c r="CX40" s="40" t="str">
        <f t="shared" si="28"/>
        <v/>
      </c>
      <c r="CY40" s="40" t="str">
        <f t="shared" si="29"/>
        <v/>
      </c>
      <c r="CZ40" s="40" t="str">
        <f t="shared" si="30"/>
        <v/>
      </c>
      <c r="DA40" s="40" t="str">
        <f t="shared" si="31"/>
        <v/>
      </c>
      <c r="DB40" s="40" t="str">
        <f t="shared" si="32"/>
        <v/>
      </c>
      <c r="DC40" s="40" t="str">
        <f t="shared" si="33"/>
        <v/>
      </c>
      <c r="DD40" s="40" t="str">
        <f t="shared" si="34"/>
        <v/>
      </c>
      <c r="DE40" s="40" t="str">
        <f t="shared" si="35"/>
        <v/>
      </c>
      <c r="DF40" s="50" t="str">
        <f t="shared" si="36"/>
        <v/>
      </c>
      <c r="DG40" s="50" t="str">
        <f t="shared" si="37"/>
        <v/>
      </c>
      <c r="DH40" s="50" t="str">
        <f t="shared" si="38"/>
        <v/>
      </c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40" t="str">
        <f t="shared" si="39"/>
        <v/>
      </c>
      <c r="ED40" s="40" t="str">
        <f t="shared" si="40"/>
        <v/>
      </c>
      <c r="EE40" s="40" t="str">
        <f t="shared" si="41"/>
        <v/>
      </c>
      <c r="EF40" s="40" t="str">
        <f t="shared" si="42"/>
        <v/>
      </c>
      <c r="EG40" s="40" t="str">
        <f t="shared" si="43"/>
        <v/>
      </c>
      <c r="EH40" s="40" t="str">
        <f t="shared" si="44"/>
        <v/>
      </c>
      <c r="EI40" s="40" t="str">
        <f t="shared" si="45"/>
        <v/>
      </c>
      <c r="EJ40" s="40" t="str">
        <f t="shared" si="46"/>
        <v/>
      </c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1" t="str">
        <f t="shared" si="47"/>
        <v/>
      </c>
      <c r="FF40" s="11" t="str">
        <f t="shared" si="48"/>
        <v/>
      </c>
      <c r="FG40" s="11" t="str">
        <f t="shared" si="49"/>
        <v/>
      </c>
      <c r="FH40" s="11" t="str">
        <f t="shared" si="50"/>
        <v/>
      </c>
      <c r="FI40" s="11" t="str">
        <f t="shared" si="51"/>
        <v/>
      </c>
      <c r="FJ40" s="11" t="str">
        <f t="shared" si="52"/>
        <v/>
      </c>
      <c r="FK40" s="11" t="str">
        <f t="shared" si="53"/>
        <v/>
      </c>
      <c r="FL40" s="11" t="str">
        <f t="shared" si="54"/>
        <v/>
      </c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40" t="str">
        <f t="shared" si="55"/>
        <v/>
      </c>
      <c r="GH40" s="40" t="str">
        <f t="shared" si="56"/>
        <v/>
      </c>
      <c r="GI40" s="40" t="str">
        <f t="shared" si="57"/>
        <v/>
      </c>
      <c r="GJ40" s="40" t="str">
        <f t="shared" si="58"/>
        <v/>
      </c>
      <c r="GK40" s="40" t="str">
        <f t="shared" si="59"/>
        <v/>
      </c>
      <c r="GL40" s="40" t="str">
        <f t="shared" si="60"/>
        <v/>
      </c>
      <c r="GM40" s="40" t="str">
        <f t="shared" si="61"/>
        <v/>
      </c>
      <c r="GN40" s="40" t="str">
        <f t="shared" si="62"/>
        <v/>
      </c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1" t="str">
        <f t="shared" si="63"/>
        <v/>
      </c>
      <c r="HJ40" s="11" t="str">
        <f t="shared" si="64"/>
        <v/>
      </c>
      <c r="HK40" s="11" t="str">
        <f t="shared" si="65"/>
        <v/>
      </c>
      <c r="HL40" s="11" t="str">
        <f t="shared" si="66"/>
        <v/>
      </c>
      <c r="HM40" s="11" t="str">
        <f t="shared" si="67"/>
        <v/>
      </c>
      <c r="HN40" s="11" t="str">
        <f t="shared" si="68"/>
        <v/>
      </c>
      <c r="HO40" s="11" t="str">
        <f t="shared" si="69"/>
        <v/>
      </c>
      <c r="HP40" s="11" t="str">
        <f t="shared" si="70"/>
        <v/>
      </c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40" t="str">
        <f t="shared" si="71"/>
        <v/>
      </c>
      <c r="IL40" s="40" t="str">
        <f t="shared" si="72"/>
        <v/>
      </c>
      <c r="IM40" s="40" t="str">
        <f t="shared" si="73"/>
        <v/>
      </c>
      <c r="IN40" s="40" t="str">
        <f t="shared" si="74"/>
        <v/>
      </c>
      <c r="IO40" s="40" t="str">
        <f t="shared" si="75"/>
        <v/>
      </c>
      <c r="IP40" s="40" t="str">
        <f t="shared" si="76"/>
        <v/>
      </c>
      <c r="IQ40" s="40" t="str">
        <f t="shared" si="77"/>
        <v/>
      </c>
      <c r="IR40" s="40" t="str">
        <f t="shared" si="78"/>
        <v/>
      </c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1" t="str">
        <f t="shared" si="79"/>
        <v/>
      </c>
      <c r="JN40" s="11" t="str">
        <f t="shared" si="80"/>
        <v/>
      </c>
      <c r="JO40" s="11" t="str">
        <f t="shared" si="81"/>
        <v/>
      </c>
      <c r="JP40" s="11" t="str">
        <f t="shared" si="82"/>
        <v/>
      </c>
      <c r="JQ40" s="11" t="str">
        <f t="shared" si="83"/>
        <v/>
      </c>
      <c r="JR40" s="11" t="str">
        <f t="shared" si="84"/>
        <v/>
      </c>
      <c r="JS40" s="11" t="str">
        <f t="shared" si="85"/>
        <v/>
      </c>
      <c r="JT40" s="11" t="str">
        <f t="shared" si="86"/>
        <v/>
      </c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17"/>
      <c r="KN40" s="17"/>
      <c r="KO40" s="40" t="str">
        <f t="shared" si="87"/>
        <v/>
      </c>
      <c r="KP40" s="40" t="str">
        <f t="shared" si="88"/>
        <v/>
      </c>
      <c r="KQ40" s="40" t="str">
        <f t="shared" si="89"/>
        <v/>
      </c>
      <c r="KR40" s="40" t="str">
        <f t="shared" si="90"/>
        <v/>
      </c>
      <c r="KS40" s="40" t="str">
        <f t="shared" si="91"/>
        <v/>
      </c>
      <c r="KT40" s="40" t="str">
        <f t="shared" si="92"/>
        <v/>
      </c>
      <c r="KU40" s="40" t="str">
        <f t="shared" si="93"/>
        <v/>
      </c>
      <c r="KV40" s="40" t="str">
        <f t="shared" si="94"/>
        <v/>
      </c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1" t="str">
        <f t="shared" si="95"/>
        <v/>
      </c>
      <c r="LR40" s="11" t="str">
        <f t="shared" si="96"/>
        <v/>
      </c>
      <c r="LS40" s="11" t="str">
        <f t="shared" si="97"/>
        <v/>
      </c>
      <c r="LT40" s="11" t="str">
        <f t="shared" si="98"/>
        <v/>
      </c>
      <c r="LU40" s="11" t="str">
        <f t="shared" si="99"/>
        <v/>
      </c>
      <c r="LV40" s="11" t="str">
        <f t="shared" si="100"/>
        <v/>
      </c>
      <c r="LW40" s="11" t="str">
        <f t="shared" si="101"/>
        <v/>
      </c>
      <c r="LX40" s="11" t="str">
        <f t="shared" si="102"/>
        <v/>
      </c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17"/>
      <c r="MR40" s="17"/>
      <c r="MS40" s="40" t="str">
        <f t="shared" si="103"/>
        <v/>
      </c>
      <c r="MT40" s="40" t="str">
        <f t="shared" si="104"/>
        <v/>
      </c>
      <c r="MU40" s="40" t="str">
        <f t="shared" si="105"/>
        <v/>
      </c>
      <c r="MV40" s="40" t="str">
        <f t="shared" si="106"/>
        <v/>
      </c>
      <c r="MW40" s="40" t="str">
        <f t="shared" si="107"/>
        <v/>
      </c>
      <c r="MX40" s="40" t="str">
        <f t="shared" si="108"/>
        <v/>
      </c>
      <c r="MY40" s="40" t="str">
        <f t="shared" si="109"/>
        <v/>
      </c>
      <c r="MZ40" s="40" t="str">
        <f t="shared" si="110"/>
        <v/>
      </c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1" t="str">
        <f t="shared" si="111"/>
        <v/>
      </c>
      <c r="NV40" s="11" t="str">
        <f t="shared" si="112"/>
        <v/>
      </c>
      <c r="NW40" s="11" t="str">
        <f t="shared" si="113"/>
        <v/>
      </c>
      <c r="NX40" s="11" t="str">
        <f t="shared" si="114"/>
        <v/>
      </c>
      <c r="NY40" s="11" t="str">
        <f t="shared" si="115"/>
        <v/>
      </c>
      <c r="NZ40" s="11" t="str">
        <f t="shared" si="116"/>
        <v/>
      </c>
      <c r="OA40" s="11" t="str">
        <f t="shared" si="117"/>
        <v/>
      </c>
      <c r="OB40" s="11" t="str">
        <f t="shared" si="118"/>
        <v/>
      </c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17"/>
      <c r="OV40" s="17"/>
      <c r="OW40" s="40" t="str">
        <f t="shared" si="119"/>
        <v/>
      </c>
      <c r="OX40" s="40" t="str">
        <f t="shared" si="120"/>
        <v/>
      </c>
      <c r="OY40" s="40" t="str">
        <f t="shared" si="121"/>
        <v/>
      </c>
      <c r="OZ40" s="40" t="str">
        <f t="shared" si="122"/>
        <v/>
      </c>
      <c r="PA40" s="40" t="str">
        <f t="shared" si="123"/>
        <v/>
      </c>
      <c r="PB40" s="40" t="str">
        <f t="shared" si="124"/>
        <v/>
      </c>
      <c r="PC40" s="40" t="str">
        <f t="shared" si="125"/>
        <v/>
      </c>
      <c r="PD40" s="40" t="str">
        <f t="shared" si="126"/>
        <v/>
      </c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1" t="str">
        <f t="shared" si="127"/>
        <v/>
      </c>
      <c r="PZ40" s="11" t="str">
        <f t="shared" si="128"/>
        <v/>
      </c>
      <c r="QA40" s="11" t="str">
        <f t="shared" si="129"/>
        <v/>
      </c>
      <c r="QB40" s="11" t="str">
        <f t="shared" si="130"/>
        <v/>
      </c>
      <c r="QC40" s="11" t="str">
        <f t="shared" si="131"/>
        <v/>
      </c>
      <c r="QD40" s="11" t="str">
        <f t="shared" si="132"/>
        <v/>
      </c>
      <c r="QE40" s="11" t="str">
        <f t="shared" si="133"/>
        <v/>
      </c>
      <c r="QF40" s="11" t="str">
        <f t="shared" si="134"/>
        <v/>
      </c>
      <c r="QG40" s="22">
        <f t="shared" si="135"/>
        <v>0</v>
      </c>
      <c r="QH40" s="22">
        <f t="shared" si="136"/>
        <v>0</v>
      </c>
      <c r="QI40" s="22">
        <f t="shared" si="137"/>
        <v>0</v>
      </c>
      <c r="QJ40" s="22">
        <f t="shared" si="138"/>
        <v>0</v>
      </c>
      <c r="QK40" s="22">
        <f t="shared" si="139"/>
        <v>0</v>
      </c>
      <c r="QL40" s="22">
        <f t="shared" si="140"/>
        <v>0</v>
      </c>
      <c r="QM40" s="22">
        <f t="shared" si="141"/>
        <v>0</v>
      </c>
      <c r="QN40" s="22">
        <f t="shared" si="142"/>
        <v>0</v>
      </c>
      <c r="QO40" s="22">
        <f t="shared" si="143"/>
        <v>0</v>
      </c>
      <c r="QP40" s="22">
        <f t="shared" si="144"/>
        <v>0</v>
      </c>
      <c r="QQ40" s="22">
        <f t="shared" si="145"/>
        <v>0</v>
      </c>
      <c r="QR40" s="22">
        <f t="shared" si="146"/>
        <v>0</v>
      </c>
      <c r="QS40" s="22">
        <f t="shared" si="147"/>
        <v>0</v>
      </c>
      <c r="QT40" s="22">
        <f t="shared" si="148"/>
        <v>0</v>
      </c>
      <c r="QU40" s="22">
        <f t="shared" si="149"/>
        <v>0</v>
      </c>
      <c r="QV40" s="22">
        <f t="shared" si="150"/>
        <v>0</v>
      </c>
      <c r="QW40" s="22">
        <f t="shared" si="151"/>
        <v>0</v>
      </c>
      <c r="QX40" s="22">
        <f t="shared" si="152"/>
        <v>0</v>
      </c>
      <c r="QY40" s="22">
        <f t="shared" si="153"/>
        <v>0</v>
      </c>
      <c r="QZ40" s="22">
        <f t="shared" si="154"/>
        <v>0</v>
      </c>
      <c r="RA40" s="27" t="s">
        <v>46</v>
      </c>
      <c r="RB40" s="40" t="str">
        <f t="shared" si="155"/>
        <v/>
      </c>
      <c r="RC40" s="40" t="str">
        <f t="shared" si="156"/>
        <v/>
      </c>
      <c r="RD40" s="40" t="str">
        <f t="shared" si="157"/>
        <v/>
      </c>
      <c r="RE40" s="40" t="str">
        <f t="shared" si="158"/>
        <v/>
      </c>
      <c r="RF40" s="40" t="str">
        <f t="shared" si="159"/>
        <v/>
      </c>
      <c r="RG40" s="40" t="str">
        <f t="shared" si="160"/>
        <v/>
      </c>
      <c r="RH40" s="40" t="str">
        <f t="shared" si="161"/>
        <v/>
      </c>
      <c r="RI40" s="40" t="str">
        <f t="shared" si="162"/>
        <v/>
      </c>
    </row>
    <row r="41" spans="1:477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114</v>
      </c>
      <c r="D41" s="4" t="s">
        <v>5</v>
      </c>
      <c r="E41" s="4">
        <v>2003</v>
      </c>
      <c r="F41" s="9">
        <f t="shared" si="163"/>
        <v>60.800006080003818</v>
      </c>
      <c r="H41" s="3" t="str">
        <f t="shared" si="0"/>
        <v/>
      </c>
      <c r="I41" s="3" t="str">
        <f t="shared" si="1"/>
        <v/>
      </c>
      <c r="J41" s="36" t="str">
        <f t="shared" si="2"/>
        <v/>
      </c>
      <c r="K41" s="3" t="str">
        <f t="shared" si="3"/>
        <v/>
      </c>
      <c r="L41" s="8">
        <f>IF(COUNT(AS41,BV41,CY41)&gt;0,LARGE((AS41,BV41,CY41),1),0)</f>
        <v>38.199999999999996</v>
      </c>
      <c r="M41" s="8" t="str">
        <f t="shared" si="4"/>
        <v>2023 Nationals</v>
      </c>
      <c r="N41" s="8">
        <f>IF(COUNT(AS41,BV41,CY41)&gt;1,LARGE((AS41,BV41,CY41),2),0)</f>
        <v>0</v>
      </c>
      <c r="O41" s="8" t="str">
        <f t="shared" si="5"/>
        <v/>
      </c>
      <c r="P41" s="8">
        <f>IF(COUNT(AT41,BW41,CZ41)&gt;0,LARGE((AT41,BW41,CZ41),1),0)</f>
        <v>22.6</v>
      </c>
      <c r="Q41" s="8" t="str">
        <f t="shared" si="6"/>
        <v>2023 Nationals</v>
      </c>
      <c r="R41" s="8">
        <f t="shared" si="7"/>
        <v>0</v>
      </c>
      <c r="S41" s="8" t="str">
        <f t="shared" si="8"/>
        <v/>
      </c>
      <c r="T41" s="8" t="str">
        <f t="shared" si="9"/>
        <v/>
      </c>
      <c r="U41" s="11" t="str">
        <f t="shared" si="10"/>
        <v/>
      </c>
      <c r="V41" s="8" t="str">
        <f t="shared" si="11"/>
        <v/>
      </c>
      <c r="W41" s="19">
        <v>17.8</v>
      </c>
      <c r="X41" s="19">
        <v>1.2</v>
      </c>
      <c r="Y41" s="19">
        <v>3.6</v>
      </c>
      <c r="Z41" s="19">
        <v>0</v>
      </c>
      <c r="AA41" s="19">
        <v>18.8</v>
      </c>
      <c r="AB41" s="19">
        <v>4</v>
      </c>
      <c r="AC41" s="19">
        <v>0</v>
      </c>
      <c r="AD41" s="19">
        <v>0</v>
      </c>
      <c r="AE41" s="19">
        <v>18.8</v>
      </c>
      <c r="AF41" s="19">
        <v>4.4000000000000004</v>
      </c>
      <c r="AG41" s="19">
        <v>0.6</v>
      </c>
      <c r="AH41" s="19">
        <v>0</v>
      </c>
      <c r="AI41" s="19"/>
      <c r="AJ41" s="19"/>
      <c r="AK41" s="19"/>
      <c r="AL41" s="19"/>
      <c r="AM41" s="19"/>
      <c r="AN41" s="19"/>
      <c r="AO41" s="19"/>
      <c r="AP41" s="19"/>
      <c r="AQ41" s="27"/>
      <c r="AR41" s="40">
        <f t="shared" si="12"/>
        <v>5.2</v>
      </c>
      <c r="AS41" s="40">
        <f t="shared" si="13"/>
        <v>38.199999999999996</v>
      </c>
      <c r="AT41" s="40">
        <f t="shared" si="14"/>
        <v>22.6</v>
      </c>
      <c r="AU41" s="40">
        <f t="shared" si="15"/>
        <v>9.6000000000000014</v>
      </c>
      <c r="AV41" s="40">
        <f t="shared" si="16"/>
        <v>60.8</v>
      </c>
      <c r="AW41" s="40" t="str">
        <f t="shared" si="17"/>
        <v/>
      </c>
      <c r="AX41" s="40" t="str">
        <f t="shared" si="18"/>
        <v/>
      </c>
      <c r="AY41" s="40">
        <f t="shared" si="19"/>
        <v>60.8</v>
      </c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28"/>
      <c r="BU41" s="11" t="str">
        <f t="shared" si="20"/>
        <v/>
      </c>
      <c r="BV41" s="11" t="str">
        <f t="shared" si="21"/>
        <v/>
      </c>
      <c r="BW41" s="11" t="str">
        <f t="shared" si="22"/>
        <v/>
      </c>
      <c r="BX41" s="11" t="str">
        <f t="shared" si="23"/>
        <v/>
      </c>
      <c r="BY41" s="11" t="str">
        <f t="shared" si="24"/>
        <v/>
      </c>
      <c r="BZ41" s="11" t="str">
        <f t="shared" si="25"/>
        <v/>
      </c>
      <c r="CA41" s="11" t="str">
        <f t="shared" si="26"/>
        <v/>
      </c>
      <c r="CB41" s="11" t="str">
        <f t="shared" si="27"/>
        <v/>
      </c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27"/>
      <c r="CX41" s="40" t="str">
        <f t="shared" si="28"/>
        <v/>
      </c>
      <c r="CY41" s="40" t="str">
        <f t="shared" si="29"/>
        <v/>
      </c>
      <c r="CZ41" s="40" t="str">
        <f t="shared" si="30"/>
        <v/>
      </c>
      <c r="DA41" s="40" t="str">
        <f t="shared" si="31"/>
        <v/>
      </c>
      <c r="DB41" s="40" t="str">
        <f t="shared" si="32"/>
        <v/>
      </c>
      <c r="DC41" s="40" t="str">
        <f t="shared" si="33"/>
        <v/>
      </c>
      <c r="DD41" s="40" t="str">
        <f t="shared" si="34"/>
        <v/>
      </c>
      <c r="DE41" s="40" t="str">
        <f t="shared" si="35"/>
        <v/>
      </c>
      <c r="DF41" s="50" t="str">
        <f t="shared" si="36"/>
        <v/>
      </c>
      <c r="DG41" s="50" t="str">
        <f t="shared" si="37"/>
        <v/>
      </c>
      <c r="DH41" s="50" t="str">
        <f t="shared" si="38"/>
        <v/>
      </c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40" t="str">
        <f t="shared" si="39"/>
        <v/>
      </c>
      <c r="ED41" s="40" t="str">
        <f t="shared" si="40"/>
        <v/>
      </c>
      <c r="EE41" s="40" t="str">
        <f t="shared" si="41"/>
        <v/>
      </c>
      <c r="EF41" s="40" t="str">
        <f t="shared" si="42"/>
        <v/>
      </c>
      <c r="EG41" s="40" t="str">
        <f t="shared" si="43"/>
        <v/>
      </c>
      <c r="EH41" s="40" t="str">
        <f t="shared" si="44"/>
        <v/>
      </c>
      <c r="EI41" s="40" t="str">
        <f t="shared" si="45"/>
        <v/>
      </c>
      <c r="EJ41" s="40" t="str">
        <f t="shared" si="46"/>
        <v/>
      </c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1" t="str">
        <f t="shared" si="47"/>
        <v/>
      </c>
      <c r="FF41" s="11" t="str">
        <f t="shared" si="48"/>
        <v/>
      </c>
      <c r="FG41" s="11" t="str">
        <f t="shared" si="49"/>
        <v/>
      </c>
      <c r="FH41" s="11" t="str">
        <f t="shared" si="50"/>
        <v/>
      </c>
      <c r="FI41" s="11" t="str">
        <f t="shared" si="51"/>
        <v/>
      </c>
      <c r="FJ41" s="11" t="str">
        <f t="shared" si="52"/>
        <v/>
      </c>
      <c r="FK41" s="11" t="str">
        <f t="shared" si="53"/>
        <v/>
      </c>
      <c r="FL41" s="11" t="str">
        <f t="shared" si="54"/>
        <v/>
      </c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40" t="str">
        <f t="shared" si="55"/>
        <v/>
      </c>
      <c r="GH41" s="40" t="str">
        <f t="shared" si="56"/>
        <v/>
      </c>
      <c r="GI41" s="40" t="str">
        <f t="shared" si="57"/>
        <v/>
      </c>
      <c r="GJ41" s="40" t="str">
        <f t="shared" si="58"/>
        <v/>
      </c>
      <c r="GK41" s="40" t="str">
        <f t="shared" si="59"/>
        <v/>
      </c>
      <c r="GL41" s="40" t="str">
        <f t="shared" si="60"/>
        <v/>
      </c>
      <c r="GM41" s="40" t="str">
        <f t="shared" si="61"/>
        <v/>
      </c>
      <c r="GN41" s="40" t="str">
        <f t="shared" si="62"/>
        <v/>
      </c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8"/>
      <c r="HG41" s="18"/>
      <c r="HH41" s="18"/>
      <c r="HI41" s="11" t="str">
        <f t="shared" si="63"/>
        <v/>
      </c>
      <c r="HJ41" s="11" t="str">
        <f t="shared" si="64"/>
        <v/>
      </c>
      <c r="HK41" s="11" t="str">
        <f t="shared" si="65"/>
        <v/>
      </c>
      <c r="HL41" s="11" t="str">
        <f t="shared" si="66"/>
        <v/>
      </c>
      <c r="HM41" s="11" t="str">
        <f t="shared" si="67"/>
        <v/>
      </c>
      <c r="HN41" s="11" t="str">
        <f t="shared" si="68"/>
        <v/>
      </c>
      <c r="HO41" s="11" t="str">
        <f t="shared" si="69"/>
        <v/>
      </c>
      <c r="HP41" s="11" t="str">
        <f t="shared" si="70"/>
        <v/>
      </c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40" t="str">
        <f t="shared" si="71"/>
        <v/>
      </c>
      <c r="IL41" s="40" t="str">
        <f t="shared" si="72"/>
        <v/>
      </c>
      <c r="IM41" s="40" t="str">
        <f t="shared" si="73"/>
        <v/>
      </c>
      <c r="IN41" s="40" t="str">
        <f t="shared" si="74"/>
        <v/>
      </c>
      <c r="IO41" s="40" t="str">
        <f t="shared" si="75"/>
        <v/>
      </c>
      <c r="IP41" s="40" t="str">
        <f t="shared" si="76"/>
        <v/>
      </c>
      <c r="IQ41" s="40" t="str">
        <f t="shared" si="77"/>
        <v/>
      </c>
      <c r="IR41" s="40" t="str">
        <f t="shared" si="78"/>
        <v/>
      </c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8"/>
      <c r="JK41" s="18"/>
      <c r="JL41" s="18"/>
      <c r="JM41" s="11" t="str">
        <f t="shared" si="79"/>
        <v/>
      </c>
      <c r="JN41" s="11" t="str">
        <f t="shared" si="80"/>
        <v/>
      </c>
      <c r="JO41" s="11" t="str">
        <f t="shared" si="81"/>
        <v/>
      </c>
      <c r="JP41" s="11" t="str">
        <f t="shared" si="82"/>
        <v/>
      </c>
      <c r="JQ41" s="11" t="str">
        <f t="shared" si="83"/>
        <v/>
      </c>
      <c r="JR41" s="11" t="str">
        <f t="shared" si="84"/>
        <v/>
      </c>
      <c r="JS41" s="11" t="str">
        <f t="shared" si="85"/>
        <v/>
      </c>
      <c r="JT41" s="11" t="str">
        <f t="shared" si="86"/>
        <v/>
      </c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17"/>
      <c r="KN41" s="17"/>
      <c r="KO41" s="40" t="str">
        <f t="shared" si="87"/>
        <v/>
      </c>
      <c r="KP41" s="40" t="str">
        <f t="shared" si="88"/>
        <v/>
      </c>
      <c r="KQ41" s="40" t="str">
        <f t="shared" si="89"/>
        <v/>
      </c>
      <c r="KR41" s="40" t="str">
        <f t="shared" si="90"/>
        <v/>
      </c>
      <c r="KS41" s="40" t="str">
        <f t="shared" si="91"/>
        <v/>
      </c>
      <c r="KT41" s="40" t="str">
        <f t="shared" si="92"/>
        <v/>
      </c>
      <c r="KU41" s="40" t="str">
        <f t="shared" si="93"/>
        <v/>
      </c>
      <c r="KV41" s="40" t="str">
        <f t="shared" si="94"/>
        <v/>
      </c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8"/>
      <c r="LO41" s="18"/>
      <c r="LP41" s="18"/>
      <c r="LQ41" s="11" t="str">
        <f t="shared" si="95"/>
        <v/>
      </c>
      <c r="LR41" s="11" t="str">
        <f t="shared" si="96"/>
        <v/>
      </c>
      <c r="LS41" s="11" t="str">
        <f t="shared" si="97"/>
        <v/>
      </c>
      <c r="LT41" s="11" t="str">
        <f t="shared" si="98"/>
        <v/>
      </c>
      <c r="LU41" s="11" t="str">
        <f t="shared" si="99"/>
        <v/>
      </c>
      <c r="LV41" s="11" t="str">
        <f t="shared" si="100"/>
        <v/>
      </c>
      <c r="LW41" s="11" t="str">
        <f t="shared" si="101"/>
        <v/>
      </c>
      <c r="LX41" s="11" t="str">
        <f t="shared" si="102"/>
        <v/>
      </c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17"/>
      <c r="MQ41" s="17"/>
      <c r="MR41" s="17"/>
      <c r="MS41" s="40" t="str">
        <f t="shared" si="103"/>
        <v/>
      </c>
      <c r="MT41" s="40" t="str">
        <f t="shared" si="104"/>
        <v/>
      </c>
      <c r="MU41" s="40" t="str">
        <f t="shared" si="105"/>
        <v/>
      </c>
      <c r="MV41" s="40" t="str">
        <f t="shared" si="106"/>
        <v/>
      </c>
      <c r="MW41" s="40" t="str">
        <f t="shared" si="107"/>
        <v/>
      </c>
      <c r="MX41" s="40" t="str">
        <f t="shared" si="108"/>
        <v/>
      </c>
      <c r="MY41" s="40" t="str">
        <f t="shared" si="109"/>
        <v/>
      </c>
      <c r="MZ41" s="40" t="str">
        <f t="shared" si="110"/>
        <v/>
      </c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8"/>
      <c r="NS41" s="18"/>
      <c r="NT41" s="18"/>
      <c r="NU41" s="11" t="str">
        <f t="shared" si="111"/>
        <v/>
      </c>
      <c r="NV41" s="11" t="str">
        <f t="shared" si="112"/>
        <v/>
      </c>
      <c r="NW41" s="11" t="str">
        <f t="shared" si="113"/>
        <v/>
      </c>
      <c r="NX41" s="11" t="str">
        <f t="shared" si="114"/>
        <v/>
      </c>
      <c r="NY41" s="11" t="str">
        <f t="shared" si="115"/>
        <v/>
      </c>
      <c r="NZ41" s="11" t="str">
        <f t="shared" si="116"/>
        <v/>
      </c>
      <c r="OA41" s="11" t="str">
        <f t="shared" si="117"/>
        <v/>
      </c>
      <c r="OB41" s="11" t="str">
        <f t="shared" si="118"/>
        <v/>
      </c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17"/>
      <c r="OU41" s="17"/>
      <c r="OV41" s="17"/>
      <c r="OW41" s="40" t="str">
        <f t="shared" si="119"/>
        <v/>
      </c>
      <c r="OX41" s="40" t="str">
        <f t="shared" si="120"/>
        <v/>
      </c>
      <c r="OY41" s="40" t="str">
        <f t="shared" si="121"/>
        <v/>
      </c>
      <c r="OZ41" s="40" t="str">
        <f t="shared" si="122"/>
        <v/>
      </c>
      <c r="PA41" s="40" t="str">
        <f t="shared" si="123"/>
        <v/>
      </c>
      <c r="PB41" s="40" t="str">
        <f t="shared" si="124"/>
        <v/>
      </c>
      <c r="PC41" s="40" t="str">
        <f t="shared" si="125"/>
        <v/>
      </c>
      <c r="PD41" s="40" t="str">
        <f t="shared" si="126"/>
        <v/>
      </c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8"/>
      <c r="PW41" s="18"/>
      <c r="PX41" s="18"/>
      <c r="PY41" s="11" t="str">
        <f t="shared" si="127"/>
        <v/>
      </c>
      <c r="PZ41" s="11" t="str">
        <f t="shared" si="128"/>
        <v/>
      </c>
      <c r="QA41" s="11" t="str">
        <f t="shared" si="129"/>
        <v/>
      </c>
      <c r="QB41" s="11" t="str">
        <f t="shared" si="130"/>
        <v/>
      </c>
      <c r="QC41" s="11" t="str">
        <f t="shared" si="131"/>
        <v/>
      </c>
      <c r="QD41" s="11" t="str">
        <f t="shared" si="132"/>
        <v/>
      </c>
      <c r="QE41" s="11" t="str">
        <f t="shared" si="133"/>
        <v/>
      </c>
      <c r="QF41" s="11" t="str">
        <f t="shared" si="134"/>
        <v/>
      </c>
      <c r="QG41" s="22">
        <f t="shared" si="135"/>
        <v>0</v>
      </c>
      <c r="QH41" s="22">
        <f t="shared" si="136"/>
        <v>0</v>
      </c>
      <c r="QI41" s="22">
        <f t="shared" si="137"/>
        <v>0</v>
      </c>
      <c r="QJ41" s="22">
        <f t="shared" si="138"/>
        <v>0</v>
      </c>
      <c r="QK41" s="22">
        <f t="shared" si="139"/>
        <v>0</v>
      </c>
      <c r="QL41" s="22">
        <f t="shared" si="140"/>
        <v>0</v>
      </c>
      <c r="QM41" s="22">
        <f t="shared" si="141"/>
        <v>0</v>
      </c>
      <c r="QN41" s="22">
        <f t="shared" si="142"/>
        <v>0</v>
      </c>
      <c r="QO41" s="22">
        <f t="shared" si="143"/>
        <v>0</v>
      </c>
      <c r="QP41" s="22">
        <f t="shared" si="144"/>
        <v>0</v>
      </c>
      <c r="QQ41" s="22">
        <f t="shared" si="145"/>
        <v>0</v>
      </c>
      <c r="QR41" s="22">
        <f t="shared" si="146"/>
        <v>0</v>
      </c>
      <c r="QS41" s="22">
        <f t="shared" si="147"/>
        <v>0</v>
      </c>
      <c r="QT41" s="22">
        <f t="shared" si="148"/>
        <v>0</v>
      </c>
      <c r="QU41" s="22">
        <f t="shared" si="149"/>
        <v>0</v>
      </c>
      <c r="QV41" s="22">
        <f t="shared" si="150"/>
        <v>0</v>
      </c>
      <c r="QW41" s="22">
        <f t="shared" si="151"/>
        <v>0</v>
      </c>
      <c r="QX41" s="22">
        <f t="shared" si="152"/>
        <v>0</v>
      </c>
      <c r="QY41" s="22">
        <f t="shared" si="153"/>
        <v>0</v>
      </c>
      <c r="QZ41" s="22">
        <f t="shared" si="154"/>
        <v>0</v>
      </c>
      <c r="RA41" s="27" t="s">
        <v>46</v>
      </c>
      <c r="RB41" s="40" t="str">
        <f t="shared" si="155"/>
        <v/>
      </c>
      <c r="RC41" s="40" t="str">
        <f t="shared" si="156"/>
        <v/>
      </c>
      <c r="RD41" s="40" t="str">
        <f t="shared" si="157"/>
        <v/>
      </c>
      <c r="RE41" s="40" t="str">
        <f t="shared" si="158"/>
        <v/>
      </c>
      <c r="RF41" s="40" t="str">
        <f t="shared" si="159"/>
        <v/>
      </c>
      <c r="RG41" s="40" t="str">
        <f t="shared" si="160"/>
        <v/>
      </c>
      <c r="RH41" s="40" t="str">
        <f t="shared" si="161"/>
        <v/>
      </c>
      <c r="RI41" s="40" t="str">
        <f t="shared" si="162"/>
        <v/>
      </c>
    </row>
    <row r="42" spans="1:477" ht="17" x14ac:dyDescent="0.2">
      <c r="T42" s="10"/>
      <c r="U42" s="10"/>
      <c r="V42" s="10"/>
    </row>
    <row r="43" spans="1:477" ht="17" x14ac:dyDescent="0.2">
      <c r="T43" s="10"/>
      <c r="U43" s="10"/>
      <c r="V43" s="10"/>
    </row>
    <row r="44" spans="1:477" ht="17" x14ac:dyDescent="0.2">
      <c r="C44" s="23" t="s">
        <v>44</v>
      </c>
      <c r="T44" s="10"/>
      <c r="U44" s="10"/>
      <c r="V44" s="10"/>
      <c r="AR44" s="4"/>
      <c r="AY44" s="42">
        <v>11.2</v>
      </c>
      <c r="BU44" s="4"/>
      <c r="CB44" s="42">
        <v>11.2</v>
      </c>
      <c r="CX44" s="4"/>
      <c r="DE44" s="42">
        <v>11.2</v>
      </c>
      <c r="EC44" s="4"/>
      <c r="EJ44" s="42">
        <v>11.2</v>
      </c>
      <c r="FE44" s="4"/>
      <c r="FL44" s="42">
        <v>11.2</v>
      </c>
      <c r="GG44" s="4"/>
      <c r="GN44" s="42">
        <v>11.2</v>
      </c>
      <c r="HI44" s="4"/>
      <c r="HP44" s="42">
        <v>11.2</v>
      </c>
      <c r="IK44" s="4"/>
      <c r="IR44" s="42">
        <v>11.2</v>
      </c>
      <c r="JM44" s="4"/>
      <c r="JT44" s="42">
        <v>11.2</v>
      </c>
      <c r="KO44" s="4"/>
      <c r="KV44" s="42">
        <v>11.2</v>
      </c>
      <c r="LQ44" s="4"/>
      <c r="LX44" s="42">
        <v>11.2</v>
      </c>
      <c r="MS44" s="4"/>
      <c r="MZ44" s="42">
        <v>11.2</v>
      </c>
      <c r="NU44" s="4"/>
      <c r="OB44" s="42">
        <v>11.2</v>
      </c>
      <c r="OW44" s="4"/>
      <c r="PD44" s="42">
        <v>11.2</v>
      </c>
      <c r="PY44" s="4"/>
      <c r="QF44" s="42">
        <v>11.2</v>
      </c>
    </row>
    <row r="45" spans="1:477" ht="17" hidden="1" x14ac:dyDescent="0.2">
      <c r="C45" s="30" t="s">
        <v>43</v>
      </c>
      <c r="T45" s="10"/>
      <c r="U45" s="10"/>
      <c r="V45" s="10"/>
      <c r="AR45" s="4"/>
      <c r="AY45" s="51">
        <v>1000</v>
      </c>
      <c r="BU45" s="4"/>
      <c r="CB45" s="51">
        <v>1000</v>
      </c>
      <c r="CX45" s="4"/>
      <c r="DE45" s="51">
        <v>1000</v>
      </c>
      <c r="EC45" s="4"/>
      <c r="EJ45" s="51">
        <v>1000</v>
      </c>
      <c r="FE45" s="4"/>
      <c r="FL45" s="51">
        <v>1000</v>
      </c>
      <c r="GG45" s="4"/>
      <c r="GN45" s="51">
        <v>1000</v>
      </c>
      <c r="HI45" s="4"/>
      <c r="HP45" s="51">
        <v>1000</v>
      </c>
      <c r="IK45" s="4"/>
      <c r="IR45" s="51">
        <v>1000</v>
      </c>
      <c r="JM45" s="4"/>
      <c r="JT45" s="51">
        <v>1000</v>
      </c>
      <c r="KO45" s="4"/>
      <c r="KV45" s="51">
        <v>1000</v>
      </c>
      <c r="LQ45" s="4"/>
      <c r="LX45" s="51">
        <v>1000</v>
      </c>
      <c r="MS45" s="4"/>
      <c r="MZ45" s="51">
        <v>1000</v>
      </c>
      <c r="NU45" s="4"/>
      <c r="OB45" s="51">
        <v>1000</v>
      </c>
      <c r="OW45" s="4"/>
      <c r="PD45" s="51">
        <v>1000</v>
      </c>
      <c r="PY45" s="4"/>
      <c r="QF45" s="51">
        <v>1000</v>
      </c>
    </row>
    <row r="46" spans="1:477" ht="17" hidden="1" x14ac:dyDescent="0.2">
      <c r="A46" s="5"/>
      <c r="B46" s="5"/>
      <c r="C46" s="31" t="s">
        <v>55</v>
      </c>
      <c r="D46" s="20"/>
      <c r="T46" s="10"/>
      <c r="U46" s="10"/>
      <c r="V46" s="10"/>
      <c r="AR46" s="4"/>
      <c r="AY46" s="43">
        <v>1000</v>
      </c>
      <c r="BU46" s="4"/>
      <c r="CB46" s="43">
        <v>1000</v>
      </c>
      <c r="CX46" s="4"/>
      <c r="DE46" s="43">
        <v>1000</v>
      </c>
      <c r="EC46" s="4"/>
      <c r="EJ46" s="43">
        <v>1000</v>
      </c>
      <c r="FE46" s="4"/>
      <c r="FL46" s="43">
        <v>1000</v>
      </c>
      <c r="GG46" s="4"/>
      <c r="GN46" s="43">
        <v>1000</v>
      </c>
      <c r="HI46" s="4"/>
      <c r="HP46" s="43">
        <v>1000</v>
      </c>
      <c r="IK46" s="4"/>
      <c r="IR46" s="43">
        <v>1000</v>
      </c>
      <c r="JM46" s="4"/>
      <c r="JT46" s="43">
        <v>1000</v>
      </c>
      <c r="KO46" s="4"/>
      <c r="KV46" s="43">
        <v>1000</v>
      </c>
      <c r="LQ46" s="4"/>
      <c r="LX46" s="43">
        <v>1000</v>
      </c>
      <c r="MS46" s="4"/>
      <c r="MZ46" s="43">
        <v>1000</v>
      </c>
      <c r="NU46" s="4"/>
      <c r="OB46" s="43">
        <v>1000</v>
      </c>
      <c r="OW46" s="4"/>
      <c r="PD46" s="43">
        <v>1000</v>
      </c>
      <c r="PY46" s="4"/>
      <c r="QF46" s="43">
        <v>1000</v>
      </c>
    </row>
    <row r="47" spans="1:477" ht="17" hidden="1" x14ac:dyDescent="0.2">
      <c r="A47" s="5"/>
      <c r="B47" s="5"/>
      <c r="C47" s="35" t="s">
        <v>62</v>
      </c>
      <c r="D47" s="20"/>
      <c r="T47" s="10"/>
      <c r="U47" s="10"/>
      <c r="V47" s="10"/>
      <c r="AR47" s="4"/>
      <c r="AY47" s="62">
        <v>1000</v>
      </c>
      <c r="BU47" s="4"/>
      <c r="CB47" s="62">
        <v>1000</v>
      </c>
      <c r="CX47" s="4"/>
      <c r="DE47" s="62">
        <v>1000</v>
      </c>
      <c r="EC47" s="4"/>
      <c r="EJ47" s="62">
        <v>1000</v>
      </c>
      <c r="FE47" s="4"/>
      <c r="FL47" s="62">
        <v>1000</v>
      </c>
      <c r="GG47" s="4"/>
      <c r="GN47" s="62">
        <v>1000</v>
      </c>
      <c r="HI47" s="4"/>
      <c r="HP47" s="62">
        <v>1000</v>
      </c>
      <c r="IK47" s="4"/>
      <c r="IR47" s="62">
        <v>1000</v>
      </c>
      <c r="JM47" s="4"/>
      <c r="JT47" s="62">
        <v>1000</v>
      </c>
      <c r="KO47" s="4"/>
      <c r="KV47" s="62">
        <v>1000</v>
      </c>
      <c r="LQ47" s="4"/>
      <c r="LX47" s="62">
        <v>1000</v>
      </c>
      <c r="MS47" s="4"/>
      <c r="MZ47" s="62">
        <v>1000</v>
      </c>
      <c r="NU47" s="4"/>
      <c r="OB47" s="62">
        <v>1000</v>
      </c>
      <c r="OW47" s="4"/>
      <c r="PD47" s="62">
        <v>1000</v>
      </c>
      <c r="PY47" s="4"/>
      <c r="QF47" s="62">
        <v>1000</v>
      </c>
    </row>
    <row r="48" spans="1:477" ht="17" x14ac:dyDescent="0.2">
      <c r="A48" s="5"/>
      <c r="B48" s="5"/>
      <c r="C48" s="34" t="s">
        <v>41</v>
      </c>
      <c r="D48" s="20"/>
      <c r="T48" s="10"/>
      <c r="U48" s="10"/>
      <c r="V48" s="10"/>
      <c r="AR48" s="4"/>
      <c r="AY48" s="63">
        <v>48</v>
      </c>
      <c r="BU48" s="4"/>
      <c r="CB48" s="63">
        <v>48</v>
      </c>
      <c r="CX48" s="4"/>
      <c r="DE48" s="63">
        <v>48</v>
      </c>
      <c r="EC48" s="4"/>
      <c r="EJ48" s="63">
        <v>48</v>
      </c>
      <c r="FE48" s="4"/>
      <c r="FL48" s="63">
        <v>48</v>
      </c>
      <c r="GG48" s="4"/>
      <c r="GN48" s="63">
        <v>48</v>
      </c>
      <c r="HI48" s="4"/>
      <c r="HP48" s="63">
        <v>48</v>
      </c>
      <c r="IK48" s="4"/>
      <c r="IR48" s="63">
        <v>48</v>
      </c>
      <c r="JM48" s="4"/>
      <c r="JT48" s="63">
        <v>48</v>
      </c>
      <c r="KO48" s="4"/>
      <c r="KV48" s="63">
        <v>48</v>
      </c>
      <c r="LQ48" s="4"/>
      <c r="LX48" s="63">
        <v>48</v>
      </c>
      <c r="MS48" s="4"/>
      <c r="MZ48" s="63">
        <v>48</v>
      </c>
      <c r="NU48" s="4"/>
      <c r="OB48" s="63">
        <v>48</v>
      </c>
      <c r="OW48" s="4"/>
      <c r="PD48" s="63">
        <v>48</v>
      </c>
      <c r="PY48" s="4"/>
      <c r="QF48" s="63">
        <v>48</v>
      </c>
    </row>
    <row r="49" spans="1:458" ht="17" hidden="1" x14ac:dyDescent="0.2">
      <c r="A49" s="5"/>
      <c r="B49" s="5"/>
      <c r="C49" s="24" t="s">
        <v>42</v>
      </c>
      <c r="D49" s="20"/>
      <c r="T49" s="10"/>
      <c r="U49" s="10"/>
      <c r="V49" s="10"/>
      <c r="AR49" s="4"/>
      <c r="AY49" s="46">
        <v>1000</v>
      </c>
      <c r="BU49" s="4"/>
      <c r="CB49" s="46">
        <v>1000</v>
      </c>
      <c r="CX49" s="4"/>
      <c r="DE49" s="46">
        <v>1000</v>
      </c>
      <c r="EC49" s="4"/>
      <c r="EJ49" s="46">
        <v>1000</v>
      </c>
      <c r="FE49" s="4"/>
      <c r="FL49" s="46">
        <v>1000</v>
      </c>
      <c r="GG49" s="4"/>
      <c r="GN49" s="46">
        <v>1000</v>
      </c>
      <c r="HI49" s="4"/>
      <c r="HP49" s="46">
        <v>1000</v>
      </c>
      <c r="IK49" s="4"/>
      <c r="IR49" s="46">
        <v>1000</v>
      </c>
      <c r="JM49" s="4"/>
      <c r="JT49" s="46">
        <v>1000</v>
      </c>
      <c r="KO49" s="4"/>
      <c r="KV49" s="46">
        <v>1000</v>
      </c>
      <c r="LQ49" s="4"/>
      <c r="LX49" s="46">
        <v>1000</v>
      </c>
      <c r="MS49" s="4"/>
      <c r="MZ49" s="46">
        <v>1000</v>
      </c>
      <c r="NU49" s="4"/>
      <c r="OB49" s="46">
        <v>1000</v>
      </c>
      <c r="OW49" s="4"/>
      <c r="PD49" s="46">
        <v>1000</v>
      </c>
      <c r="PY49" s="4"/>
      <c r="QF49" s="46">
        <v>1000</v>
      </c>
    </row>
    <row r="50" spans="1:458" ht="17" hidden="1" x14ac:dyDescent="0.2">
      <c r="A50" s="5"/>
      <c r="B50" s="5"/>
      <c r="C50" s="33" t="s">
        <v>54</v>
      </c>
      <c r="D50" s="20"/>
      <c r="T50" s="10"/>
      <c r="U50" s="10"/>
      <c r="V50" s="10"/>
      <c r="AR50" s="4"/>
      <c r="AY50" s="47">
        <v>1000</v>
      </c>
      <c r="BU50" s="4"/>
      <c r="CB50" s="47">
        <v>1000</v>
      </c>
      <c r="CX50" s="4"/>
      <c r="DE50" s="47">
        <v>1000</v>
      </c>
      <c r="EC50" s="4"/>
      <c r="EJ50" s="47">
        <v>1000</v>
      </c>
      <c r="FE50" s="4"/>
      <c r="FL50" s="47">
        <v>1000</v>
      </c>
      <c r="GG50" s="4"/>
      <c r="GN50" s="47">
        <v>1000</v>
      </c>
      <c r="HI50" s="4"/>
      <c r="HP50" s="47">
        <v>1000</v>
      </c>
      <c r="IK50" s="4"/>
      <c r="IR50" s="47">
        <v>1000</v>
      </c>
      <c r="JM50" s="4"/>
      <c r="JT50" s="47">
        <v>1000</v>
      </c>
      <c r="KO50" s="4"/>
      <c r="KV50" s="47">
        <v>1000</v>
      </c>
      <c r="LQ50" s="4"/>
      <c r="LX50" s="47">
        <v>1000</v>
      </c>
      <c r="MS50" s="4"/>
      <c r="MZ50" s="47">
        <v>1000</v>
      </c>
      <c r="NU50" s="4"/>
      <c r="OB50" s="47">
        <v>1000</v>
      </c>
      <c r="OW50" s="4"/>
      <c r="PD50" s="47">
        <v>1000</v>
      </c>
      <c r="PY50" s="4"/>
      <c r="QF50" s="47">
        <v>1000</v>
      </c>
    </row>
    <row r="51" spans="1:458" ht="17" hidden="1" x14ac:dyDescent="0.2">
      <c r="A51" s="5"/>
      <c r="B51" s="5"/>
      <c r="C51" s="25" t="s">
        <v>27</v>
      </c>
      <c r="D51" s="20"/>
      <c r="T51" s="10"/>
      <c r="U51" s="10"/>
      <c r="V51" s="10"/>
      <c r="AR51" s="4"/>
      <c r="AY51" s="48">
        <v>1000</v>
      </c>
      <c r="BU51" s="4"/>
      <c r="CB51" s="48">
        <v>1000</v>
      </c>
      <c r="CX51" s="4"/>
      <c r="DE51" s="48">
        <v>1000</v>
      </c>
      <c r="EC51" s="4"/>
      <c r="EJ51" s="48">
        <v>1000</v>
      </c>
      <c r="FE51" s="4"/>
      <c r="FL51" s="48">
        <v>1000</v>
      </c>
      <c r="GG51" s="4"/>
      <c r="GN51" s="48">
        <v>1000</v>
      </c>
      <c r="HI51" s="4"/>
      <c r="HP51" s="48">
        <v>1000</v>
      </c>
      <c r="IK51" s="4"/>
      <c r="IR51" s="48">
        <v>1000</v>
      </c>
      <c r="JM51" s="4"/>
      <c r="JT51" s="48">
        <v>1000</v>
      </c>
      <c r="KO51" s="4"/>
      <c r="KV51" s="48">
        <v>1000</v>
      </c>
      <c r="LQ51" s="4"/>
      <c r="LX51" s="48">
        <v>1000</v>
      </c>
      <c r="MS51" s="4"/>
      <c r="MZ51" s="48">
        <v>1000</v>
      </c>
      <c r="NU51" s="4"/>
      <c r="OB51" s="48">
        <v>1000</v>
      </c>
      <c r="OW51" s="4"/>
      <c r="PD51" s="48">
        <v>1000</v>
      </c>
      <c r="PY51" s="4"/>
      <c r="QF51" s="48">
        <v>1000</v>
      </c>
    </row>
    <row r="52" spans="1:458" x14ac:dyDescent="0.2">
      <c r="C52" s="29" t="s">
        <v>47</v>
      </c>
      <c r="D52" s="2"/>
    </row>
    <row r="53" spans="1:458" x14ac:dyDescent="0.2">
      <c r="A53" s="5"/>
      <c r="B53" s="5"/>
      <c r="C53" s="5"/>
      <c r="D53" s="20"/>
      <c r="QH53" s="2"/>
      <c r="QI53" s="2"/>
      <c r="QJ53" s="2"/>
      <c r="QK53" s="2"/>
      <c r="QL53" s="2"/>
      <c r="QM53" s="2"/>
      <c r="QN53" s="2"/>
      <c r="QO53" s="2"/>
      <c r="QP53" s="2"/>
    </row>
    <row r="54" spans="1:458" x14ac:dyDescent="0.2">
      <c r="A54" s="5"/>
      <c r="B54" s="5"/>
      <c r="C54" s="5"/>
      <c r="D54" s="20"/>
    </row>
    <row r="55" spans="1:458" x14ac:dyDescent="0.2">
      <c r="A55" s="5"/>
      <c r="B55" s="5"/>
      <c r="C55" s="5"/>
      <c r="D55" s="20"/>
    </row>
    <row r="56" spans="1:458" x14ac:dyDescent="0.2">
      <c r="A56" s="5"/>
      <c r="B56" s="5"/>
      <c r="C56" s="5"/>
      <c r="D56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41">
      <sortCondition descending="1" ref="H1:H42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41">
    <cfRule type="expression" dxfId="59" priority="7" stopIfTrue="1">
      <formula>IF($AQ4&lt;&gt;"",1,0)</formula>
    </cfRule>
  </conditionalFormatting>
  <conditionalFormatting sqref="AZ4:CB41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41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2:AV1048576 BY52:BY1048576 EG52:EG1048576 FI52:FI1048576 BY1:BY50 DB1:DB1048576 EG1:EG50 FI1:FI50 GK1:GK1048576 HM1:HM1048576 IO1:IO1048576 JQ1:JQ1048576 KS1:KS1048576 LU1:LU1048576 MW1:MW1048576 NY1:NY1048576 PA1:PA1048576 QC1:QC1048576 AV1:AV50">
    <cfRule type="cellIs" dxfId="46" priority="59088" operator="between">
      <formula>AY$51</formula>
      <formula>1000</formula>
    </cfRule>
    <cfRule type="cellIs" dxfId="45" priority="59089" operator="between">
      <formula>AY$50</formula>
      <formula>AY$51</formula>
    </cfRule>
    <cfRule type="cellIs" dxfId="44" priority="59090" operator="between">
      <formula>AY$49</formula>
      <formula>AY$50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3147" operator="between">
      <formula>AY$44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43192" operator="between">
      <formula>AY$48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43237" operator="between">
      <formula>AY$44</formula>
      <formula>AY$45</formula>
    </cfRule>
    <cfRule type="cellIs" dxfId="39" priority="143238" operator="between">
      <formula>AY$45</formula>
      <formula>AY$46</formula>
    </cfRule>
    <cfRule type="cellIs" dxfId="38" priority="143239" operator="between">
      <formula>AY$46</formula>
      <formula>AY$47</formula>
    </cfRule>
    <cfRule type="cellIs" dxfId="37" priority="143240" operator="between">
      <formula>AY$47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43417" operator="between">
      <formula>AY$48</formula>
      <formula>AY$49</formula>
    </cfRule>
    <cfRule type="cellIs" dxfId="35" priority="143418" operator="between">
      <formula>AY$49</formula>
      <formula>AY$50</formula>
    </cfRule>
    <cfRule type="cellIs" dxfId="34" priority="143419" operator="between">
      <formula>AY$50</formula>
      <formula>AY$51</formula>
    </cfRule>
    <cfRule type="cellIs" dxfId="33" priority="143420" operator="between">
      <formula>AY$51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43597" operator="between">
      <formula>AY$47</formula>
      <formula>1000</formula>
    </cfRule>
    <cfRule type="cellIs" dxfId="31" priority="143598" operator="between">
      <formula>AY$46</formula>
      <formula>AY$47</formula>
    </cfRule>
    <cfRule type="cellIs" dxfId="30" priority="143599" operator="between">
      <formula>AY$45</formula>
      <formula>AY$46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162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212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158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160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161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188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197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199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210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DD"),SUMPRODUCT((J$4:J$32&lt;&gt;"")*(J$4:J$32&lt;&gt;"No DD")*(F$4:F$32&gt;F4))+1,IF(J4="No DD",SUMPRODUCT((J$4:J$32="No DD")*(F$4:F$32&gt;F4))+1+SUMPRODUCT((J$4:J$32&lt;&gt;"")*(J$4:J$32&lt;&gt;"No DD")),""))</f>
        <v>1</v>
      </c>
      <c r="B4" s="4" t="str" cm="1">
        <f t="array" ref="B4">IF(AND(J4&lt;&gt;"",J4&lt;&gt;"No DD",G4=""),SUMPRODUCT((J$4:J$32&lt;&gt;"")*(J$4:J$32&lt;&gt;"No DD")*(G$4:G$32="")*(F$4:F$32&gt;F4))+1,IF(J4="No DD",SUMPRODUCT((J$4:J$32="No DD")*(F$4:F$32&gt;F4)*(G$4:G$32=""))+1+SUMPRODUCT((J$4:J$32&lt;&gt;"")*(G$4:G$32="")*(J$4:J$32&lt;&gt;"No DD")),""))</f>
        <v/>
      </c>
      <c r="C4" s="5" t="s">
        <v>204</v>
      </c>
      <c r="D4" s="4" t="s">
        <v>5</v>
      </c>
      <c r="E4" s="4">
        <v>2007</v>
      </c>
      <c r="F4" s="9">
        <f t="shared" ref="F4:F31" si="0">SUM(L4:T4)+SUM(L4:P4)*0.0000001+SUM(L4)*0.0000000000001</f>
        <v>176.10001237000503</v>
      </c>
      <c r="G4" s="66" t="s">
        <v>46</v>
      </c>
      <c r="H4" s="3" t="str">
        <f t="shared" ref="H4:H31" si="1">IF(OR(AND(AR4&gt;=AY$34,AS4&gt;=AY$38,AR4&lt;&gt;"",AQ4=""),AND(AW4&gt;=AY$34,AX4&gt;=AY$38,AW4&lt;&gt;"",AQ4=""),AND(BU4&gt;=CB$34,BV4&gt;=CB$38,BU4&lt;&gt;"",BT4=""),AND(BZ4&gt;=CB$34,CA4&gt;=CB$38,BZ4&lt;&gt;"",BT4=""),AND(CX4&gt;=DE$34,CY4&gt;=DE$38,CX4&lt;&gt;"",CW4=""),AND(DC4&gt;=DE$34,DD4&gt;=DE$38,DC4&lt;&gt;""),AND(EC4&gt;=EJ$34,ED4&gt;=EJ$38,EC4&lt;&gt;""),AND(EH4&gt;=EJ$34,EI4&gt;=EJ$38,EH4&lt;&gt;""),AND(FE4&gt;=FL$34,FF4&gt;=FL$38,FE4&lt;&gt;""),AND(FJ4&gt;=FL$34,FK4&gt;=FL$38,FJ4&lt;&gt;""),AND(GG4&gt;=GN$34,GH4&gt;=GN$38,GG4&lt;&gt;""),AND(GL4&gt;=GN$34,GM4&gt;=GN$38,GL4&lt;&gt;""),AND(HI4&gt;=HP$34,HJ4&gt;=HP$38,HI4&lt;&gt;""),AND(HN4&gt;=HP$34,HO4&gt;=HP$38,HN4&lt;&gt;""),AND(IK4&gt;=IR$34,IL4&gt;=IR$38,IK4&lt;&gt;""),AND(IP4&gt;=IR$34,IQ4&gt;=IR$38,IP4&lt;&gt;""),AND(JM4&gt;=JT$34,JN4&gt;=JT$38,JM4&lt;&gt;""),AND(JR4&gt;=JT$34,JS4&gt;=JT$38,JR4&lt;&gt;""),AND(KO4&gt;=KV$34,KP4&gt;=KV$38,KO4&lt;&gt;""),AND(KT4&gt;=KV$34,KU4&gt;=KV$38,KT4&lt;&gt;""),AND(LQ4&gt;=LX$34,LR4&gt;=LX$38,LQ4&lt;&gt;""),AND(LV4&gt;=LX$34,LW4&gt;=LX$38,LV4&lt;&gt;""),AND(MS4&gt;=MZ$34,MT4&gt;=MZ$38,MS4&lt;&gt;""),AND(MX4&gt;=MZ$34,MY4&gt;=MZ$38,MX4&lt;&gt;""),AND(NU4&gt;=OB$34,NV4&gt;=OB$38,NU4&lt;&gt;""),AND(NZ4&gt;=OB$34,OA4&gt;=OB$38,NZ4&lt;&gt;""),AND(OW4&gt;=PD$34,OX4&gt;=PD$38,OW4&lt;&gt;""),AND(PB4&gt;=PD$34,PC4&gt;=PD$38,PB4&lt;&gt;""),AND(PY4&gt;=QF$34,PZ4&gt;=QF$38,PY4&lt;&gt;""),AND(QD4&gt;=QF$34,QE4&gt;=QF$38,QD4&lt;&gt;"")),"P","")</f>
        <v>P</v>
      </c>
      <c r="I4" s="3" t="str">
        <f t="shared" ref="I4:I31" si="2">IF(OR(AND(AS4&gt;=AY$38,AS4&lt;&gt;"",AQ4=""),AND(AX4&gt;=AY$38,AX4&lt;&gt;"",AQ4=""),AND(BV4&gt;=CB$38,BV4&lt;&gt;"",BT4=""),AND(CA4&gt;=CB$38,CA4&lt;&gt;"",BT4=""),AND(CY4&gt;=DE$38,CY4&lt;&gt;"",CW4=""),AND(DD4&gt;=DE$38,DD4&lt;&gt;"",CW4=""),AND(ED4&gt;=EJ$38,ED4&lt;&gt;""),AND(EI4&gt;=EJ$38,EI4&lt;&gt;""),AND(FF4&gt;=FL$38,FF4&lt;&gt;""),AND(FK4&gt;=FL$38,FK4&lt;&gt;""),AND(GH4&gt;=GN$38,GH4&lt;&gt;""),AND(GM4&gt;=GN$38,GM4&lt;&gt;""),AND(HJ4&gt;=HP$38,HJ4&lt;&gt;""),AND(HO4&gt;=HP$38,HO4&lt;&gt;""),AND(IL4&gt;=IR$38,IL4&lt;&gt;""),AND(IQ4&gt;=IR$38,IQ4&lt;&gt;""),AND(JN4&gt;=JT$38,JN4&lt;&gt;""),AND(JS4&gt;=JT$38,JS4&lt;&gt;""),AND(KP4&gt;=KV$38,KP4&lt;&gt;""),AND(KU4&gt;=KV$38,KU4&lt;&gt;""),AND(LR4&gt;=LX$38,LR4&lt;&gt;""),AND(LW4&gt;=LX$38,LW4&lt;&gt;""),AND(MT4&gt;=MZ$38,MT4&lt;&gt;""),AND(MY4&gt;=MZ$38,MY4&lt;&gt;""),AND(NV4&gt;=OB$38,NV4&lt;&gt;""),AND(OA4&gt;=OB$38,OA4&lt;&gt;""),AND(OX4&gt;=PD$38,OX4&lt;&gt;""),AND(PC4&gt;=PD$38,PC4&lt;&gt;""),AND(PZ4&gt;=QF$38,PZ4&lt;&gt;""),AND(QE4&gt;=QF$38,QE4&lt;&gt;"")),"P","")</f>
        <v>P</v>
      </c>
      <c r="J4" s="36" t="str">
        <f t="shared" ref="J4:J31" si="3">IF(AND(I4="P",H4=""),"No DD",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Merit",IF(OR(AND(AU4&gt;=AY$36,AV4&gt;=AY$40,AU4&lt;&gt;"",AQ4=""),AND(BX4&gt;=CB$36,BY4&gt;=CB$40,BX4&lt;&gt;"",BT4=""),AND(DA4&gt;=DE$36,DB4&gt;=DE$40,DA4&lt;&gt;"",CW4=""),AND(EF4&gt;=EJ$36,EG4&gt;=EJ$40,EF4&lt;&gt;""),AND(FH4&gt;=FL$36,FI4&gt;=FL$40,FH4&lt;&gt;""),AND(GJ4&gt;=GN$36,GK4&gt;=GN$40,GJ4&lt;&gt;""),AND(HL4&gt;=HP$36,HM4&gt;=HP$40,HL4&lt;&gt;""),AND(IN4&gt;=IR$36,IO4&gt;=IR$40,IN4&lt;&gt;""),AND(JP4&gt;=JT$36,JQ4&gt;=JT$40,JP4&lt;&gt;""),AND(KR4&gt;=KV$36,KS4&gt;=KV$40,KR4&lt;&gt;""),AND(LT4&gt;=LX$36,LU4&gt;=LX$40,LT4&lt;&gt;""),AND(MV4&gt;=MZ$36,MW4&gt;=MZ$40,MV4&lt;&gt;""),AND(NX4&gt;=OB$36,NY4&gt;=OB$40,NX4&lt;&gt;""),AND(OZ4&gt;=PD$36,PA4&gt;=PD$40,OZ4&lt;&gt;""),AND(QB4&gt;=QF$36,QC4&gt;=QF$40,QB4&lt;&gt;"")),"Excellence",IF(K4="P","Worlds Team",IF(H4="P","National Team","")))))</f>
        <v>National Team</v>
      </c>
      <c r="K4" s="3" t="str">
        <f t="shared" ref="K4:K31" si="4">IF(OR(AND(AU4&gt;=AY$35,AV4&gt;=AY$39,AU4&lt;&gt;"",AQ4=""),AND(BX4&gt;=CB$35,BY4&gt;=CB$39,BX4&lt;&gt;"",BT4=""),AND(DA4&gt;=DE$35,DB4&gt;=DE$39,DA4&lt;&gt;"",CW4=""),AND(EF4&gt;=EJ$35,EG4&gt;=EJ$39,EF4&lt;&gt;""),AND(FH4&gt;=FL$35,FI4&gt;=FL$39,FH4&lt;&gt;""),AND(GJ4&gt;=GN$35,GK4&gt;=GN$39,GJ4&lt;&gt;""),AND(HL4&gt;=HP$35,HM4&gt;=HP$39,HL4&lt;&gt;""),AND(IN4&gt;=IR$35,IO4&gt;=IR$39,IN4&lt;&gt;""),AND(JP4&gt;=JT$35,JQ4&gt;=JT$39,JP4&lt;&gt;""),AND(KR4&gt;=KV$35,KS4&gt;=KV$39,KR4&lt;&gt;""),AND(LT4&gt;=LX$35,LU4&gt;=LX$39,LT4&lt;&gt;""),AND(MV4&gt;=MZ$35,MW4&gt;=MZ$39,MV4&lt;&gt;""),AND(NX4&gt;=OB$35,NY4&gt;=OB$39,NX4&lt;&gt;""),AND(OZ4&gt;=PD$35,PA4&gt;=PD$39,OZ4&lt;&gt;""),AND(QB4&gt;=QF$35,QC4&gt;=QF$39,QB4&lt;&gt;"")),"P","")</f>
        <v/>
      </c>
      <c r="L4" s="8">
        <f>IF(COUNT(AS4,BV4,CY4)&gt;0,LARGE((AS4,BV4,CY4),1),0)</f>
        <v>50.3</v>
      </c>
      <c r="M4" s="8" t="str">
        <f t="shared" ref="M4:M31" si="5">IF(L4=0,"",IF(L4=CY4,$CC$1,IF(L4=BV4,$AZ$1,IF(L4=AS4,$W$1,""))))</f>
        <v>2024 Elite Canada</v>
      </c>
      <c r="N4" s="8">
        <f>IF(COUNT(AS4,BV4,CY4)&gt;1,LARGE((AS4,BV4,CY4),2),0)</f>
        <v>49.300000000000004</v>
      </c>
      <c r="O4" s="8" t="str">
        <f t="shared" ref="O4:O31" si="6">IF(N4=0,"",IF(N4=CY4,$CC$1,IF(N4=BV4,$AZ$1,IF(N4=AS4,$W$1,""))))</f>
        <v>2023 Nationals</v>
      </c>
      <c r="P4" s="8">
        <f>IF(COUNT(AT4,BW4,CZ4)&gt;0,LARGE((AT4,BW4,CZ4),1),0)</f>
        <v>24.099999999999998</v>
      </c>
      <c r="Q4" s="8" t="str">
        <f t="shared" ref="Q4:Q31" si="7">IF(P4=0,"",IF(P4=CZ4,$CC$1,IF(P4=BW4,$AZ$1,IF(P4=AT4,$W$1,""))))</f>
        <v>2024 Elite Canada</v>
      </c>
      <c r="R4" s="8">
        <f t="shared" ref="R4:R31" si="8">IF(MAX(AX4,CA4,DD4)&gt;0,MAX(AX4,CA4,DD4),0)</f>
        <v>51.5</v>
      </c>
      <c r="S4" s="8" t="str">
        <f t="shared" ref="S4:S31" si="9">IF(R4=0,"",IF(R4=DD4,$CC$1,IF(R4=CA4,$AZ$1,IF(R4=AX4,$W$1,""))))</f>
        <v>2024 Elite Canada</v>
      </c>
      <c r="T4" s="8">
        <f t="shared" ref="T4:T31" si="10">IF(MAX(DF4:DH4)&gt;0,MAX(DF4:DH4),"")</f>
        <v>0.90000000000000213</v>
      </c>
      <c r="U4" s="11" t="str">
        <f t="shared" ref="U4:U31" si="11">IF(T4="","",IF(T4=DF4,"("&amp;DF$2&amp;")",IF(T4=DG4,"("&amp;DG$2&amp;")",IF(T4=DH4,"("&amp;DH$2&amp;")"))))</f>
        <v>(Q2)</v>
      </c>
      <c r="V4" s="8" t="str">
        <f t="shared" ref="V4:V31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18.3</v>
      </c>
      <c r="X4" s="19">
        <v>6</v>
      </c>
      <c r="Y4" s="19">
        <v>0</v>
      </c>
      <c r="Z4" s="19">
        <v>0</v>
      </c>
      <c r="AA4" s="19">
        <v>18.600000000000001</v>
      </c>
      <c r="AB4" s="19">
        <v>6.4</v>
      </c>
      <c r="AC4" s="19">
        <v>0</v>
      </c>
      <c r="AD4" s="19">
        <v>0</v>
      </c>
      <c r="AE4" s="19">
        <v>17.899999999999999</v>
      </c>
      <c r="AF4" s="19">
        <v>5.2</v>
      </c>
      <c r="AG4" s="19">
        <v>0.2</v>
      </c>
      <c r="AH4" s="19">
        <v>0</v>
      </c>
      <c r="AI4" s="19">
        <v>18.5</v>
      </c>
      <c r="AJ4" s="19">
        <v>6</v>
      </c>
      <c r="AK4" s="19">
        <v>0.6</v>
      </c>
      <c r="AL4" s="19">
        <v>0</v>
      </c>
      <c r="AM4" s="19">
        <v>19</v>
      </c>
      <c r="AN4" s="19">
        <v>5.6</v>
      </c>
      <c r="AO4" s="19">
        <v>0</v>
      </c>
      <c r="AP4" s="19">
        <v>0</v>
      </c>
      <c r="AQ4" s="27"/>
      <c r="AR4" s="40">
        <f t="shared" ref="AR4:AR31" si="13">IF(SUM(X4,AB4)&gt;0,SUM(X4,AB4),"")</f>
        <v>12.4</v>
      </c>
      <c r="AS4" s="40">
        <f t="shared" ref="AS4:AS31" si="14">IF(SUM(W4:X4,Z4:AB4,AD4)-Y4-AC4&gt;0,SUM(W4:X4,Z4:AB4,AD4)-Y4-AC4,"")</f>
        <v>49.300000000000004</v>
      </c>
      <c r="AT4" s="40">
        <f t="shared" ref="AT4:AT31" si="15">IF(SUM(AE4:AF4,AH4)-AG4&gt;0,SUM(AE4:AF4,AH4)-AG4,"")</f>
        <v>22.9</v>
      </c>
      <c r="AU4" s="40">
        <f t="shared" ref="AU4:AU31" si="16">IF(SUM(X4,AB4,AF4)&gt;0,SUM(X4,AB4,AF4),"")</f>
        <v>17.600000000000001</v>
      </c>
      <c r="AV4" s="40">
        <f t="shared" ref="AV4:AV31" si="17">IF(SUM(AS4,AT4)&gt;0,SUM(AS4,AT4),"")</f>
        <v>72.2</v>
      </c>
      <c r="AW4" s="40">
        <f t="shared" ref="AW4:AW31" si="18">IF(SUM(AJ4,AN4)&gt;0,SUM(AJ4,AN4),"")</f>
        <v>11.6</v>
      </c>
      <c r="AX4" s="40">
        <f t="shared" ref="AX4:AX31" si="19">IF(SUM(AI4:AJ4,AL4:AN4,AP4)-SUM(AK4,AO4)&gt;0,SUM(AI4:AJ4,AL4:AN4,AP4)-SUM(AK4,AO4),"")</f>
        <v>48.5</v>
      </c>
      <c r="AY4" s="40">
        <f t="shared" ref="AY4:AY31" si="20">IF(SUM(AS4,AT4,AX4)&gt;0,SUM(AS4,AT4,AX4),"")</f>
        <v>120.7</v>
      </c>
      <c r="AZ4" s="18">
        <v>18.2</v>
      </c>
      <c r="BA4" s="18">
        <v>5.1999999999999993</v>
      </c>
      <c r="BB4" s="18">
        <v>0</v>
      </c>
      <c r="BC4" s="18">
        <v>0</v>
      </c>
      <c r="BD4" s="18">
        <v>18.2</v>
      </c>
      <c r="BE4" s="18">
        <v>5.1999999999999993</v>
      </c>
      <c r="BF4" s="18">
        <v>0.2</v>
      </c>
      <c r="BG4" s="18">
        <v>0</v>
      </c>
      <c r="BH4" s="18">
        <v>17</v>
      </c>
      <c r="BI4" s="18">
        <v>3.2</v>
      </c>
      <c r="BJ4" s="18">
        <v>0</v>
      </c>
      <c r="BK4" s="18">
        <v>0</v>
      </c>
      <c r="BL4" s="18">
        <v>18.7</v>
      </c>
      <c r="BM4" s="18">
        <v>6</v>
      </c>
      <c r="BN4" s="18">
        <v>0.2</v>
      </c>
      <c r="BO4" s="18">
        <v>0</v>
      </c>
      <c r="BP4" s="18">
        <v>18.600000000000001</v>
      </c>
      <c r="BQ4" s="18">
        <v>5.6</v>
      </c>
      <c r="BR4" s="18">
        <v>0</v>
      </c>
      <c r="BS4" s="18">
        <v>0</v>
      </c>
      <c r="BT4" s="28"/>
      <c r="BU4" s="11">
        <f t="shared" ref="BU4:BU31" si="21">IF(SUM(BA4,BE4)&gt;0,SUM(BA4,BE4),"")</f>
        <v>10.399999999999999</v>
      </c>
      <c r="BV4" s="11">
        <f t="shared" ref="BV4:BV31" si="22">IF(SUM(AZ4:BA4,BC4:BE4,BG4)-BB4-BF4&gt;0,SUM(AZ4:BA4,BC4:BE4,BG4)-BB4-BF4,"")</f>
        <v>46.599999999999994</v>
      </c>
      <c r="BW4" s="11">
        <f t="shared" ref="BW4:BW31" si="23">IF(SUM(BH4:BI4,BK4)-BJ4&gt;0,SUM(BH4:BI4,BK4)-BJ4,"")</f>
        <v>20.2</v>
      </c>
      <c r="BX4" s="11">
        <f t="shared" ref="BX4:BX31" si="24">IF(SUM(BA4,BE4,BI4)&gt;0,SUM(BA4,BE4,BI4),"")</f>
        <v>13.599999999999998</v>
      </c>
      <c r="BY4" s="11">
        <f t="shared" ref="BY4:BY31" si="25">IF(SUM(BV4,BW4)&gt;0,SUM(BV4,BW4),"")</f>
        <v>66.8</v>
      </c>
      <c r="BZ4" s="11">
        <f t="shared" ref="BZ4:BZ31" si="26">IF(SUM(BM4,BQ4)&gt;0,SUM(BM4,BQ4),"")</f>
        <v>11.6</v>
      </c>
      <c r="CA4" s="11">
        <f t="shared" ref="CA4:CA31" si="27">IF(SUM(BL4:BM4,BO4:BQ4,BS4)-SUM(BN4,BR4)&gt;0,SUM(BL4:BM4,BO4:BQ4,BS4)-SUM(BN4,BR4),"")</f>
        <v>48.699999999999996</v>
      </c>
      <c r="CB4" s="11">
        <f t="shared" ref="CB4:CB31" si="28">IF(SUM(BV4,BW4,CA4)&gt;0,SUM(BV4,BW4,CA4),"")</f>
        <v>115.5</v>
      </c>
      <c r="CC4" s="19">
        <v>18.8</v>
      </c>
      <c r="CD4" s="19">
        <v>6.8</v>
      </c>
      <c r="CE4" s="19">
        <v>0</v>
      </c>
      <c r="CF4" s="19">
        <v>0.3</v>
      </c>
      <c r="CG4" s="19">
        <v>18.600000000000001</v>
      </c>
      <c r="CH4" s="19">
        <v>6.4</v>
      </c>
      <c r="CI4" s="19">
        <v>0.6</v>
      </c>
      <c r="CJ4" s="19">
        <v>0</v>
      </c>
      <c r="CK4" s="19">
        <v>18.399999999999999</v>
      </c>
      <c r="CL4" s="19">
        <v>6</v>
      </c>
      <c r="CM4" s="19">
        <v>0.6</v>
      </c>
      <c r="CN4" s="19">
        <v>0.3</v>
      </c>
      <c r="CO4" s="19">
        <v>19</v>
      </c>
      <c r="CP4" s="19">
        <v>6.8</v>
      </c>
      <c r="CQ4" s="19">
        <v>0</v>
      </c>
      <c r="CR4" s="19">
        <v>0.3</v>
      </c>
      <c r="CS4" s="19">
        <v>19</v>
      </c>
      <c r="CT4" s="19">
        <v>6.4</v>
      </c>
      <c r="CU4" s="19">
        <v>0</v>
      </c>
      <c r="CV4" s="19">
        <v>0</v>
      </c>
      <c r="CW4" s="27"/>
      <c r="CX4" s="40">
        <f t="shared" ref="CX4:CX31" si="29">IF(SUM(CD4,CH4)&gt;0,SUM(CD4,CH4),"")</f>
        <v>13.2</v>
      </c>
      <c r="CY4" s="40">
        <f t="shared" ref="CY4:CY31" si="30">IF(SUM(CC4:CD4,CF4:CH4,CJ4)-CE4-CI4&gt;0,SUM(CC4:CD4,CF4:CH4,CJ4)-CE4-CI4,"")</f>
        <v>50.3</v>
      </c>
      <c r="CZ4" s="40">
        <f t="shared" ref="CZ4:CZ31" si="31">IF(SUM(CK4:CL4,CN4)-CM4&gt;0,SUM(CK4:CL4,CN4)-CM4,"")</f>
        <v>24.099999999999998</v>
      </c>
      <c r="DA4" s="40">
        <f t="shared" ref="DA4:DA31" si="32">IF(SUM(CD4,CH4,CL4)&gt;0,SUM(CD4,CH4,CL4),"")</f>
        <v>19.2</v>
      </c>
      <c r="DB4" s="40">
        <f t="shared" ref="DB4:DB31" si="33">IF(SUM(CY4,CZ4)&gt;0,SUM(CY4,CZ4),"")</f>
        <v>74.399999999999991</v>
      </c>
      <c r="DC4" s="40">
        <f t="shared" ref="DC4:DC31" si="34">IF(SUM(CP4,CT4)&gt;0,SUM(CP4,CT4),"")</f>
        <v>13.2</v>
      </c>
      <c r="DD4" s="40">
        <f t="shared" ref="DD4:DD31" si="35">IF(SUM(CO4:CP4,CR4:CT4,CV4)-SUM(CQ4,CU4)&gt;0,SUM(CO4:CP4,CR4:CT4,CV4)-SUM(CQ4,CU4),"")</f>
        <v>51.5</v>
      </c>
      <c r="DE4" s="40">
        <f t="shared" ref="DE4:DE31" si="36">IF(SUM(CY4,CZ4,DD4)&gt;0,SUM(CY4,CZ4,DD4),"")</f>
        <v>125.89999999999999</v>
      </c>
      <c r="DF4" s="50" t="str">
        <f t="shared" ref="DF4:DF31" si="37">IF(MAX(ED4,FF4,GH4,HJ4,IL4,JN4,KP4,LR4,MT4,NV4,OX4,PZ4)-IF(N4="",0,N4)&gt;0.001,MAX(ED4,FF4,GH4,HJ4,IL4,JN4,KP4,LR4,MT4,NV4,OX4,PZ4)-IF(N4="",0,N4),"")</f>
        <v/>
      </c>
      <c r="DG4" s="50">
        <f t="shared" ref="DG4:DG31" si="38">IF(MAX(EE4,FG4,GI4,HK4,IM4,JO4,KQ4,LS4,MU4,NW4,OY4,QA4)-IF(P4="",0,P4)&gt;0.001,MAX(EE4,FG4,GI4,HK4,IM4,JO4,KQ4,LS4,MU4,NW4,OY4,QA4)-IF(P4="",0,P4),"")</f>
        <v>0.90000000000000213</v>
      </c>
      <c r="DH4" s="50" t="str">
        <f t="shared" ref="DH4:DH31" si="39"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 t="shared" ref="EC4:EC31" si="40">IF(SUM(DJ4,DN4)&gt;0,SUM(DJ4,DN4),"")</f>
        <v/>
      </c>
      <c r="ED4" s="40" t="str">
        <f t="shared" ref="ED4:ED31" si="41">IF(SUM(DI4:DJ4,DL4:DN4,DP4)-DK4-DO4&gt;0,SUM(DI4:DJ4,DL4:DN4,DP4)-DK4-DO4,"")</f>
        <v/>
      </c>
      <c r="EE4" s="40" t="str">
        <f t="shared" ref="EE4:EE31" si="42">IF(SUM(DQ4:DR4,DT4)-DS4&gt;0,SUM(DQ4:DR4,DT4)-DS4,"")</f>
        <v/>
      </c>
      <c r="EF4" s="40" t="str">
        <f t="shared" ref="EF4:EF31" si="43">IF(SUM(DJ4,DN4,DR4)&gt;0,SUM(DJ4,DN4,DR4),"")</f>
        <v/>
      </c>
      <c r="EG4" s="40" t="str">
        <f t="shared" ref="EG4:EG31" si="44">IF(SUM(ED4,EE4)&gt;0,SUM(ED4,EE4),"")</f>
        <v/>
      </c>
      <c r="EH4" s="40" t="str">
        <f t="shared" ref="EH4:EH31" si="45">IF(SUM(DV4,DZ4)&gt;0,SUM(DV4,DZ4),"")</f>
        <v/>
      </c>
      <c r="EI4" s="40" t="str">
        <f t="shared" ref="EI4:EI31" si="46">IF(SUM(DU4:DV4,DX4:DZ4,EB4)-SUM(DW4,EA4)&gt;0,SUM(DU4:DV4,DX4:DZ4,EB4)-SUM(DW4,EA4),"")</f>
        <v/>
      </c>
      <c r="EJ4" s="40" t="str">
        <f t="shared" ref="EJ4:EJ31" si="47"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 t="shared" ref="FE4:FE31" si="48">IF(SUM(EL4,EP4)&gt;0,SUM(EL4,EP4),"")</f>
        <v/>
      </c>
      <c r="FF4" s="11" t="str">
        <f t="shared" ref="FF4:FF31" si="49">IF(SUM(EK4:EL4,EN4:EP4,ER4)-EM4-EQ4&gt;0,SUM(EK4:EL4,EN4:EP4,ER4)-EM4-EQ4,"")</f>
        <v/>
      </c>
      <c r="FG4" s="11" t="str">
        <f t="shared" ref="FG4:FG31" si="50">IF(SUM(ES4:ET4,EV4)-EU4&gt;0,SUM(ES4:ET4,EV4)-EU4,"")</f>
        <v/>
      </c>
      <c r="FH4" s="11" t="str">
        <f t="shared" ref="FH4:FH31" si="51">IF(SUM(EL4,EP4,ET4)&gt;0,SUM(EL4,EP4,ET4),"")</f>
        <v/>
      </c>
      <c r="FI4" s="11" t="str">
        <f t="shared" ref="FI4:FI31" si="52">IF(SUM(FF4,FG4)&gt;0,SUM(FF4,FG4),"")</f>
        <v/>
      </c>
      <c r="FJ4" s="11" t="str">
        <f t="shared" ref="FJ4:FJ31" si="53">IF(SUM(EX4,FB4)&gt;0,SUM(EX4,FB4),"")</f>
        <v/>
      </c>
      <c r="FK4" s="11" t="str">
        <f t="shared" ref="FK4:FK31" si="54">IF(SUM(EW4:EX4,EZ4:FB4,FD4)-SUM(EY4,FC4)&gt;0,SUM(EW4:EX4,EZ4:FB4,FD4)-SUM(EY4,FC4),"")</f>
        <v/>
      </c>
      <c r="FL4" s="11" t="str">
        <f t="shared" ref="FL4:FL31" si="55"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 t="shared" ref="GG4:GG31" si="56">IF(SUM(FN4,FR4)&gt;0,SUM(FN4,FR4),"")</f>
        <v/>
      </c>
      <c r="GH4" s="40" t="str">
        <f t="shared" ref="GH4:GH31" si="57">IF(SUM(FM4:FN4,FP4:FR4,FT4)-FO4-FS4&gt;0,SUM(FM4:FN4,FP4:FR4,FT4)-FO4-FS4,"")</f>
        <v/>
      </c>
      <c r="GI4" s="40" t="str">
        <f t="shared" ref="GI4:GI31" si="58">IF(SUM(FU4:FV4,FX4)-FW4&gt;0,SUM(FU4:FV4,FX4)-FW4,"")</f>
        <v/>
      </c>
      <c r="GJ4" s="40" t="str">
        <f t="shared" ref="GJ4:GJ31" si="59">IF(SUM(FN4,FR4,FV4)&gt;0,SUM(FN4,FR4,FV4),"")</f>
        <v/>
      </c>
      <c r="GK4" s="40" t="str">
        <f t="shared" ref="GK4:GK31" si="60">IF(SUM(GH4,GI4)&gt;0,SUM(GH4,GI4),"")</f>
        <v/>
      </c>
      <c r="GL4" s="40" t="str">
        <f t="shared" ref="GL4:GL31" si="61">IF(SUM(FZ4,GD4)&gt;0,SUM(FZ4,GD4),"")</f>
        <v/>
      </c>
      <c r="GM4" s="40" t="str">
        <f t="shared" ref="GM4:GM31" si="62">IF(SUM(FY4:FZ4,GB4:GD4,GF4)-SUM(GA4,GE4)&gt;0,SUM(FY4:FZ4,GB4:GD4,GF4)-SUM(GA4,GE4),"")</f>
        <v/>
      </c>
      <c r="GN4" s="40" t="str">
        <f t="shared" ref="GN4:GN31" si="63"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31" si="64">IF(SUM(GP4,GT4)&gt;0,SUM(GP4,GT4),"")</f>
        <v/>
      </c>
      <c r="HJ4" s="11" t="str">
        <f t="shared" ref="HJ4:HJ31" si="65">IF(SUM(GO4:GP4,GR4:GT4,GV4)-GQ4-GU4&gt;0,SUM(GO4:GP4,GR4:GT4,GV4)-GQ4-GU4,"")</f>
        <v/>
      </c>
      <c r="HK4" s="11" t="str">
        <f t="shared" ref="HK4:HK31" si="66">IF(SUM(GW4:GX4,GZ4)-GY4&gt;0,SUM(GW4:GX4,GZ4)-GY4,"")</f>
        <v/>
      </c>
      <c r="HL4" s="11" t="str">
        <f t="shared" ref="HL4:HL31" si="67">IF(SUM(GP4,GT4,GX4)&gt;0,SUM(GP4,GT4,GX4),"")</f>
        <v/>
      </c>
      <c r="HM4" s="11" t="str">
        <f t="shared" ref="HM4:HM31" si="68">IF(SUM(HJ4,HK4)&gt;0,SUM(HJ4,HK4),"")</f>
        <v/>
      </c>
      <c r="HN4" s="11" t="str">
        <f t="shared" ref="HN4:HN31" si="69">IF(SUM(HB4,HF4)&gt;0,SUM(HB4,HF4),"")</f>
        <v/>
      </c>
      <c r="HO4" s="11" t="str">
        <f t="shared" ref="HO4:HO31" si="70">IF(SUM(HA4:HB4,HD4:HF4,HH4)-SUM(HC4,HG4)&gt;0,SUM(HA4:HB4,HD4:HF4,HH4)-SUM(HC4,HG4),"")</f>
        <v/>
      </c>
      <c r="HP4" s="11" t="str">
        <f t="shared" ref="HP4:HP31" si="71"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31" si="72">IF(SUM(HR4,HV4)&gt;0,SUM(HR4,HV4),"")</f>
        <v/>
      </c>
      <c r="IL4" s="40" t="str">
        <f t="shared" ref="IL4:IL31" si="73">IF(SUM(HQ4:HR4,HT4:HV4,HX4)-HS4-HW4&gt;0,SUM(HQ4:HR4,HT4:HV4,HX4)-HS4-HW4,"")</f>
        <v/>
      </c>
      <c r="IM4" s="40" t="str">
        <f t="shared" ref="IM4:IM31" si="74">IF(SUM(HY4:HZ4,IB4)-IA4&gt;0,SUM(HY4:HZ4,IB4)-IA4,"")</f>
        <v/>
      </c>
      <c r="IN4" s="40" t="str">
        <f t="shared" ref="IN4:IN31" si="75">IF(SUM(HR4,HV4,HZ4)&gt;0,SUM(HR4,HV4,HZ4),"")</f>
        <v/>
      </c>
      <c r="IO4" s="40" t="str">
        <f t="shared" ref="IO4:IO31" si="76">IF(SUM(IL4,IM4)&gt;0,SUM(IL4,IM4),"")</f>
        <v/>
      </c>
      <c r="IP4" s="40" t="str">
        <f t="shared" ref="IP4:IP31" si="77">IF(SUM(ID4,IH4)&gt;0,SUM(ID4,IH4),"")</f>
        <v/>
      </c>
      <c r="IQ4" s="40" t="str">
        <f t="shared" ref="IQ4:IQ31" si="78">IF(SUM(IC4:ID4,IF4:IH4,IJ4)-SUM(IE4,II4)&gt;0,SUM(IC4:ID4,IF4:IH4,IJ4)-SUM(IE4,II4),"")</f>
        <v/>
      </c>
      <c r="IR4" s="40" t="str">
        <f t="shared" ref="IR4:IR31" si="79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31" si="80">IF(SUM(IT4,IX4)&gt;0,SUM(IT4,IX4),"")</f>
        <v/>
      </c>
      <c r="JN4" s="11" t="str">
        <f t="shared" ref="JN4:JN31" si="81">IF(SUM(IS4:IT4,IV4:IX4,IZ4)-IU4-IY4&gt;0,SUM(IS4:IT4,IV4:IX4,IZ4)-IU4-IY4,"")</f>
        <v/>
      </c>
      <c r="JO4" s="11" t="str">
        <f t="shared" ref="JO4:JO31" si="82">IF(SUM(JA4:JB4,JD4)-JC4&gt;0,SUM(JA4:JB4,JD4)-JC4,"")</f>
        <v/>
      </c>
      <c r="JP4" s="11" t="str">
        <f t="shared" ref="JP4:JP31" si="83">IF(SUM(IT4,IX4,JB4)&gt;0,SUM(IT4,IX4,JB4),"")</f>
        <v/>
      </c>
      <c r="JQ4" s="11" t="str">
        <f t="shared" ref="JQ4:JQ31" si="84">IF(SUM(JN4,JO4)&gt;0,SUM(JN4,JO4),"")</f>
        <v/>
      </c>
      <c r="JR4" s="11" t="str">
        <f t="shared" ref="JR4:JR31" si="85">IF(SUM(JF4,JJ4)&gt;0,SUM(JF4,JJ4),"")</f>
        <v/>
      </c>
      <c r="JS4" s="11" t="str">
        <f t="shared" ref="JS4:JS31" si="86">IF(SUM(JE4:JF4,JH4:JJ4,JL4)-SUM(JG4,JK4)&gt;0,SUM(JE4:JF4,JH4:JJ4,JL4)-SUM(JG4,JK4),"")</f>
        <v/>
      </c>
      <c r="JT4" s="11" t="str">
        <f t="shared" ref="JT4:JT31" si="87"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>
        <v>18.600000000000001</v>
      </c>
      <c r="KD4" s="17">
        <v>6.4</v>
      </c>
      <c r="KE4" s="17">
        <v>0</v>
      </c>
      <c r="KF4" s="17">
        <v>0</v>
      </c>
      <c r="KG4" s="17">
        <v>18.8</v>
      </c>
      <c r="KH4" s="17">
        <v>5.6</v>
      </c>
      <c r="KI4" s="17">
        <v>0</v>
      </c>
      <c r="KJ4" s="17">
        <v>0</v>
      </c>
      <c r="KK4" s="17">
        <v>18.399999999999999</v>
      </c>
      <c r="KL4" s="17">
        <v>6</v>
      </c>
      <c r="KM4" s="17">
        <v>0</v>
      </c>
      <c r="KN4" s="17">
        <v>0</v>
      </c>
      <c r="KO4" s="40" t="str">
        <f t="shared" ref="KO4:KO31" si="88">IF(SUM(JV4,JZ4)&gt;0,SUM(JV4,JZ4),"")</f>
        <v/>
      </c>
      <c r="KP4" s="40" t="str">
        <f t="shared" ref="KP4:KP31" si="89">IF(SUM(JU4:JV4,JX4:JZ4,KB4)-JW4-KA4&gt;0,SUM(JU4:JV4,JX4:JZ4,KB4)-JW4-KA4,"")</f>
        <v/>
      </c>
      <c r="KQ4" s="40">
        <f t="shared" ref="KQ4:KQ31" si="90">IF(SUM(KC4:KD4,KF4)-KE4&gt;0,SUM(KC4:KD4,KF4)-KE4,"")</f>
        <v>25</v>
      </c>
      <c r="KR4" s="40">
        <f t="shared" ref="KR4:KR31" si="91">IF(SUM(JV4,JZ4,KD4)&gt;0,SUM(JV4,JZ4,KD4),"")</f>
        <v>6.4</v>
      </c>
      <c r="KS4" s="40">
        <f t="shared" ref="KS4:KS31" si="92">IF(SUM(KP4,KQ4)&gt;0,SUM(KP4,KQ4),"")</f>
        <v>25</v>
      </c>
      <c r="KT4" s="40">
        <f t="shared" ref="KT4:KT31" si="93">IF(SUM(KH4,KL4)&gt;0,SUM(KH4,KL4),"")</f>
        <v>11.6</v>
      </c>
      <c r="KU4" s="40">
        <f t="shared" ref="KU4:KU31" si="94">IF(SUM(KG4:KH4,KJ4:KL4,KN4)-SUM(KI4,KM4)&gt;0,SUM(KG4:KH4,KJ4:KL4,KN4)-SUM(KI4,KM4),"")</f>
        <v>48.8</v>
      </c>
      <c r="KV4" s="40">
        <f t="shared" ref="KV4:KV31" si="95">IF(SUM(KP4,KQ4,KU4)&gt;0,SUM(KP4,KQ4,KU4),"")</f>
        <v>73.8</v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31" si="96">IF(SUM(KX4,LB4)&gt;0,SUM(KX4,LB4),"")</f>
        <v/>
      </c>
      <c r="LR4" s="11" t="str">
        <f t="shared" ref="LR4:LR31" si="97">IF(SUM(KW4:KX4,KZ4:LB4,LD4)-KY4-LC4&gt;0,SUM(KW4:KX4,KZ4:LB4,LD4)-KY4-LC4,"")</f>
        <v/>
      </c>
      <c r="LS4" s="11" t="str">
        <f t="shared" ref="LS4:LS31" si="98">IF(SUM(LE4:LF4,LH4)-LG4&gt;0,SUM(LE4:LF4,LH4)-LG4,"")</f>
        <v/>
      </c>
      <c r="LT4" s="11" t="str">
        <f t="shared" ref="LT4:LT31" si="99">IF(SUM(KX4,LB4,LF4)&gt;0,SUM(KX4,LB4,LF4),"")</f>
        <v/>
      </c>
      <c r="LU4" s="11" t="str">
        <f t="shared" ref="LU4:LU31" si="100">IF(SUM(LR4,LS4)&gt;0,SUM(LR4,LS4),"")</f>
        <v/>
      </c>
      <c r="LV4" s="11" t="str">
        <f t="shared" ref="LV4:LV31" si="101">IF(SUM(LJ4,LN4)&gt;0,SUM(LJ4,LN4),"")</f>
        <v/>
      </c>
      <c r="LW4" s="11" t="str">
        <f t="shared" ref="LW4:LW31" si="102">IF(SUM(LI4:LJ4,LL4:LN4,LP4)-SUM(LK4,LO4)&gt;0,SUM(LI4:LJ4,LL4:LN4,LP4)-SUM(LK4,LO4),"")</f>
        <v/>
      </c>
      <c r="LX4" s="11" t="str">
        <f t="shared" ref="LX4:LX31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31" si="104">IF(SUM(LZ4,MD4)&gt;0,SUM(LZ4,MD4),"")</f>
        <v/>
      </c>
      <c r="MT4" s="40" t="str">
        <f t="shared" ref="MT4:MT31" si="105">IF(SUM(LY4:LZ4,MB4:MD4,MF4)-MA4-ME4&gt;0,SUM(LY4:LZ4,MB4:MD4,MF4)-MA4-ME4,"")</f>
        <v/>
      </c>
      <c r="MU4" s="40" t="str">
        <f t="shared" ref="MU4:MU31" si="106">IF(SUM(MG4:MH4,MJ4)-MI4&gt;0,SUM(MG4:MH4,MJ4)-MI4,"")</f>
        <v/>
      </c>
      <c r="MV4" s="40" t="str">
        <f t="shared" ref="MV4:MV31" si="107">IF(SUM(LZ4,MD4,MH4)&gt;0,SUM(LZ4,MD4,MH4),"")</f>
        <v/>
      </c>
      <c r="MW4" s="40" t="str">
        <f t="shared" ref="MW4:MW31" si="108">IF(SUM(MT4,MU4)&gt;0,SUM(MT4,MU4),"")</f>
        <v/>
      </c>
      <c r="MX4" s="40" t="str">
        <f t="shared" ref="MX4:MX31" si="109">IF(SUM(ML4,MP4)&gt;0,SUM(ML4,MP4),"")</f>
        <v/>
      </c>
      <c r="MY4" s="40" t="str">
        <f t="shared" ref="MY4:MY31" si="110">IF(SUM(MK4:ML4,MN4:MP4,MR4)-SUM(MM4,MQ4)&gt;0,SUM(MK4:ML4,MN4:MP4,MR4)-SUM(MM4,MQ4),"")</f>
        <v/>
      </c>
      <c r="MZ4" s="40" t="str">
        <f t="shared" ref="MZ4:MZ31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31" si="112">IF(SUM(NB4,NF4)&gt;0,SUM(NB4,NF4),"")</f>
        <v/>
      </c>
      <c r="NV4" s="11" t="str">
        <f t="shared" ref="NV4:NV31" si="113">IF(SUM(NA4:NB4,ND4:NF4,NH4)-NC4-NG4&gt;0,SUM(NA4:NB4,ND4:NF4,NH4)-NC4-NG4,"")</f>
        <v/>
      </c>
      <c r="NW4" s="11" t="str">
        <f t="shared" ref="NW4:NW31" si="114">IF(SUM(NI4:NJ4,NL4)-NK4&gt;0,SUM(NI4:NJ4,NL4)-NK4,"")</f>
        <v/>
      </c>
      <c r="NX4" s="11" t="str">
        <f t="shared" ref="NX4:NX31" si="115">IF(SUM(NB4,NF4,NJ4)&gt;0,SUM(NB4,NF4,NJ4),"")</f>
        <v/>
      </c>
      <c r="NY4" s="11" t="str">
        <f t="shared" ref="NY4:NY31" si="116">IF(SUM(NV4,NW4)&gt;0,SUM(NV4,NW4),"")</f>
        <v/>
      </c>
      <c r="NZ4" s="11" t="str">
        <f t="shared" ref="NZ4:NZ31" si="117">IF(SUM(NN4,NR4)&gt;0,SUM(NN4,NR4),"")</f>
        <v/>
      </c>
      <c r="OA4" s="11" t="str">
        <f t="shared" ref="OA4:OA31" si="118">IF(SUM(NM4:NN4,NP4:NR4,NT4)-SUM(NO4,NS4)&gt;0,SUM(NM4:NN4,NP4:NR4,NT4)-SUM(NO4,NS4),"")</f>
        <v/>
      </c>
      <c r="OB4" s="11" t="str">
        <f t="shared" ref="OB4:OB31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31" si="120">IF(SUM(OD4,OH4)&gt;0,SUM(OD4,OH4),"")</f>
        <v/>
      </c>
      <c r="OX4" s="40" t="str">
        <f t="shared" ref="OX4:OX31" si="121">IF(SUM(OC4:OD4,OF4:OH4,OJ4)-OE4-OI4&gt;0,SUM(OC4:OD4,OF4:OH4,OJ4)-OE4-OI4,"")</f>
        <v/>
      </c>
      <c r="OY4" s="40" t="str">
        <f t="shared" ref="OY4:OY31" si="122">IF(SUM(OK4:OL4,ON4)-OM4&gt;0,SUM(OK4:OL4,ON4)-OM4,"")</f>
        <v/>
      </c>
      <c r="OZ4" s="40" t="str">
        <f t="shared" ref="OZ4:OZ31" si="123">IF(SUM(OD4,OH4,OL4)&gt;0,SUM(OD4,OH4,OL4),"")</f>
        <v/>
      </c>
      <c r="PA4" s="40" t="str">
        <f t="shared" ref="PA4:PA31" si="124">IF(SUM(OX4,OY4)&gt;0,SUM(OX4,OY4),"")</f>
        <v/>
      </c>
      <c r="PB4" s="40" t="str">
        <f t="shared" ref="PB4:PB31" si="125">IF(SUM(OP4,OT4)&gt;0,SUM(OP4,OT4),"")</f>
        <v/>
      </c>
      <c r="PC4" s="40" t="str">
        <f t="shared" ref="PC4:PC31" si="126">IF(SUM(OO4:OP4,OR4:OT4,OV4)-SUM(OQ4,OU4)&gt;0,SUM(OO4:OP4,OR4:OT4,OV4)-SUM(OQ4,OU4),"")</f>
        <v/>
      </c>
      <c r="PD4" s="40" t="str">
        <f t="shared" ref="PD4:PD31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31" si="128">IF(SUM(PF4,PJ4)&gt;0,SUM(PF4,PJ4),"")</f>
        <v/>
      </c>
      <c r="PZ4" s="11" t="str">
        <f t="shared" ref="PZ4:PZ31" si="129">IF(SUM(PE4:PF4,PH4:PJ4,PL4)-PG4-PK4&gt;0,SUM(PE4:PF4,PH4:PJ4,PL4)-PG4-PK4,"")</f>
        <v/>
      </c>
      <c r="QA4" s="11" t="str">
        <f t="shared" ref="QA4:QA31" si="130">IF(SUM(PM4:PN4,PP4)-PO4&gt;0,SUM(PM4:PN4,PP4)-PO4,"")</f>
        <v/>
      </c>
      <c r="QB4" s="11" t="str">
        <f t="shared" ref="QB4:QB31" si="131">IF(SUM(PF4,PJ4,PN4)&gt;0,SUM(PF4,PJ4,PN4),"")</f>
        <v/>
      </c>
      <c r="QC4" s="11" t="str">
        <f t="shared" ref="QC4:QC31" si="132">IF(SUM(PZ4,QA4)&gt;0,SUM(PZ4,QA4),"")</f>
        <v/>
      </c>
      <c r="QD4" s="11" t="str">
        <f t="shared" ref="QD4:QD31" si="133">IF(SUM(PR4,PV4)&gt;0,SUM(PR4,PV4),"")</f>
        <v/>
      </c>
      <c r="QE4" s="11" t="str">
        <f t="shared" ref="QE4:QE31" si="134">IF(SUM(PQ4:PR4,PT4:PV4,PX4)-SUM(PS4,PW4)&gt;0,SUM(PQ4:PR4,PT4:PV4,PX4)-SUM(PS4,PW4),"")</f>
        <v/>
      </c>
      <c r="QF4" s="11" t="str">
        <f t="shared" ref="QF4:QF31" si="135">IF(SUM(PZ4,QA4,QE4)&gt;0,SUM(PZ4,QA4,QE4),"")</f>
        <v/>
      </c>
      <c r="QG4" s="22">
        <f t="shared" ref="QG4:QG31" si="136">IF($CW4="P",CC4,(CC4+AZ4)/2)</f>
        <v>18.5</v>
      </c>
      <c r="QH4" s="22">
        <f t="shared" ref="QH4:QH31" si="137">IF($CW4="P",CD4,(CD4+BA4)/2)</f>
        <v>6</v>
      </c>
      <c r="QI4" s="22">
        <f t="shared" ref="QI4:QI31" si="138">IF($CW4="P",CE4,(CE4+BB4)/2)</f>
        <v>0</v>
      </c>
      <c r="QJ4" s="22">
        <f t="shared" ref="QJ4:QJ31" si="139">IF($CW4="P",CF4,(CF4+BC4)/2)</f>
        <v>0.15</v>
      </c>
      <c r="QK4" s="22">
        <f t="shared" ref="QK4:QK31" si="140">IF($CW4="P",CG4,(CG4+BD4)/2)</f>
        <v>18.399999999999999</v>
      </c>
      <c r="QL4" s="22">
        <f t="shared" ref="QL4:QL31" si="141">IF($CW4="P",CH4,(CH4+BE4)/2)</f>
        <v>5.8</v>
      </c>
      <c r="QM4" s="22">
        <f t="shared" ref="QM4:QM31" si="142">IF($CW4="P",CI4,(CI4+BF4)/2)</f>
        <v>0.4</v>
      </c>
      <c r="QN4" s="22">
        <f t="shared" ref="QN4:QN31" si="143">IF($CW4="P",CJ4,(CJ4+BG4)/2)</f>
        <v>0</v>
      </c>
      <c r="QO4" s="22">
        <f t="shared" ref="QO4:QO31" si="144">IF($CW4="P",CK4,(CK4+BH4)/2)</f>
        <v>17.7</v>
      </c>
      <c r="QP4" s="22">
        <f t="shared" ref="QP4:QP31" si="145">IF($CW4="P",CL4,(CL4+BI4)/2)</f>
        <v>4.5999999999999996</v>
      </c>
      <c r="QQ4" s="22">
        <f t="shared" ref="QQ4:QQ31" si="146">IF($CW4="P",CM4,(CM4+BJ4)/2)</f>
        <v>0.3</v>
      </c>
      <c r="QR4" s="22">
        <f t="shared" ref="QR4:QR31" si="147">IF($CW4="P",CN4,(CN4+BK4)/2)</f>
        <v>0.15</v>
      </c>
      <c r="QS4" s="22">
        <f t="shared" ref="QS4:QS31" si="148">IF($CW4="P",CO4,(CO4+BL4)/2)</f>
        <v>18.850000000000001</v>
      </c>
      <c r="QT4" s="22">
        <f t="shared" ref="QT4:QT31" si="149">IF($CW4="P",CP4,(CP4+BM4)/2)</f>
        <v>6.4</v>
      </c>
      <c r="QU4" s="22">
        <f t="shared" ref="QU4:QU31" si="150">IF($CW4="P",CQ4,(CQ4+BN4)/2)</f>
        <v>0.1</v>
      </c>
      <c r="QV4" s="22">
        <f t="shared" ref="QV4:QV31" si="151">IF($CW4="P",CR4,(CR4+BO4)/2)</f>
        <v>0.15</v>
      </c>
      <c r="QW4" s="22">
        <f t="shared" ref="QW4:QW31" si="152">IF($CW4="P",CS4,(CS4+BP4)/2)</f>
        <v>18.8</v>
      </c>
      <c r="QX4" s="22">
        <f t="shared" ref="QX4:QX31" si="153">IF($CW4="P",CT4,(CT4+BQ4)/2)</f>
        <v>6</v>
      </c>
      <c r="QY4" s="22">
        <f t="shared" ref="QY4:QY31" si="154">IF($CW4="P",CU4,(CU4+BR4)/2)</f>
        <v>0</v>
      </c>
      <c r="QZ4" s="22">
        <f t="shared" ref="QZ4:QZ31" si="155">IF($CW4="P",CV4,(CV4+BS4)/2)</f>
        <v>0</v>
      </c>
      <c r="RA4" s="27" t="s">
        <v>46</v>
      </c>
      <c r="RB4" s="40">
        <f t="shared" ref="RB4:RB31" si="156">IF(SUM(QH4,QL4)&gt;0,SUM(QH4,QL4),"")</f>
        <v>11.8</v>
      </c>
      <c r="RC4" s="40">
        <f t="shared" ref="RC4:RC31" si="157">IF(SUM(QG4:QH4,QJ4:QL4,QN4)-QI4-QM4&gt;0,SUM(QG4:QH4,QJ4:QL4,QN4)-QI4-QM4,"")</f>
        <v>48.449999999999996</v>
      </c>
      <c r="RD4" s="40">
        <f t="shared" ref="RD4:RD31" si="158">IF(SUM(QO4:QP4,QR4)-QQ4&gt;0,SUM(QO4:QP4,QR4)-QQ4,"")</f>
        <v>22.149999999999995</v>
      </c>
      <c r="RE4" s="40">
        <f t="shared" ref="RE4:RE31" si="159">IF(SUM(QH4,QL4,QP4)&gt;0,SUM(QH4,QL4,QP4),"")</f>
        <v>16.399999999999999</v>
      </c>
      <c r="RF4" s="40">
        <f t="shared" ref="RF4:RF31" si="160">IF(SUM(RC4,RD4)&gt;0,SUM(RC4,RD4),"")</f>
        <v>70.599999999999994</v>
      </c>
      <c r="RG4" s="40">
        <f t="shared" ref="RG4:RG31" si="161">IF(SUM(QT4,QX4)&gt;0,SUM(QT4,QX4),"")</f>
        <v>12.4</v>
      </c>
      <c r="RH4" s="40">
        <f t="shared" ref="RH4:RH31" si="162">IF(SUM(QS4:QT4,QV4:QX4,QZ4)-SUM(QU4,QY4)&gt;0,SUM(QS4:QT4,QV4:QX4,QZ4)-SUM(QU4,QY4),"")</f>
        <v>50.1</v>
      </c>
      <c r="RI4" s="40">
        <f t="shared" ref="RI4:RI31" si="163">IF(SUM(RC4,RD4,RH4)&gt;0,SUM(RC4,RD4,RH4),"")</f>
        <v>120.69999999999999</v>
      </c>
    </row>
    <row r="5" spans="1:477" x14ac:dyDescent="0.2">
      <c r="A5" s="4" cm="1">
        <f t="array" ref="A5">IF(AND(J5&lt;&gt;"",J5&lt;&gt;"No DD"),SUMPRODUCT((J$4:J$32&lt;&gt;"")*(J$4:J$32&lt;&gt;"No DD")*(F$4:F$32&gt;F5))+1,IF(J5="No DD",SUMPRODUCT((J$4:J$32="No DD")*(F$4:F$32&gt;F5))+1+SUMPRODUCT((J$4:J$32&lt;&gt;"")*(J$4:J$32&lt;&gt;"No DD")),""))</f>
        <v>2</v>
      </c>
      <c r="B5" s="4" t="str" cm="1">
        <f t="array" ref="B5">IF(AND(J5&lt;&gt;"",J5&lt;&gt;"No DD",G5=""),SUMPRODUCT((J$4:J$32&lt;&gt;"")*(J$4:J$32&lt;&gt;"No DD")*(G$4:G$32="")*(F$4:F$32&gt;F5))+1,IF(J5="No DD",SUMPRODUCT((J$4:J$32="No DD")*(F$4:F$32&gt;F5)*(G$4:G$32=""))+1+SUMPRODUCT((J$4:J$32&lt;&gt;"")*(G$4:G$32="")*(J$4:J$32&lt;&gt;"No DD")),""))</f>
        <v/>
      </c>
      <c r="C5" s="5" t="s">
        <v>64</v>
      </c>
      <c r="D5" s="4" t="s">
        <v>4</v>
      </c>
      <c r="E5" s="4">
        <v>2003</v>
      </c>
      <c r="F5" s="9">
        <f t="shared" si="0"/>
        <v>173.10001223000492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49.3</v>
      </c>
      <c r="M5" s="8" t="str">
        <f t="shared" si="5"/>
        <v>2023 Nationals</v>
      </c>
      <c r="N5" s="8">
        <f>IF(COUNT(AS5,BV5,CY5)&gt;1,LARGE((AS5,BV5,CY5),2),0)</f>
        <v>48.300000000000004</v>
      </c>
      <c r="O5" s="8" t="str">
        <f t="shared" si="6"/>
        <v>2023 3rd Domestic Trial</v>
      </c>
      <c r="P5" s="8">
        <f>IF(COUNT(AT5,BW5,CZ5)&gt;0,LARGE((AT5,BW5,CZ5),1),0)</f>
        <v>24.700000000000003</v>
      </c>
      <c r="Q5" s="8" t="str">
        <f t="shared" si="7"/>
        <v>2023 3rd Domestic Trial</v>
      </c>
      <c r="R5" s="8">
        <f t="shared" si="8"/>
        <v>49.7</v>
      </c>
      <c r="S5" s="8" t="str">
        <f t="shared" si="9"/>
        <v>2023 3rd Domestic Trial</v>
      </c>
      <c r="T5" s="8">
        <f t="shared" si="10"/>
        <v>1.0999999999999943</v>
      </c>
      <c r="U5" s="11" t="str">
        <f t="shared" si="11"/>
        <v>(Q1)</v>
      </c>
      <c r="V5" s="8" t="str">
        <f t="shared" si="12"/>
        <v>2023 World Championships (Nov 11)</v>
      </c>
      <c r="W5" s="19">
        <v>18.600000000000001</v>
      </c>
      <c r="X5" s="19">
        <v>6.4</v>
      </c>
      <c r="Y5" s="19">
        <v>0</v>
      </c>
      <c r="Z5" s="19">
        <v>0</v>
      </c>
      <c r="AA5" s="19">
        <v>18.2</v>
      </c>
      <c r="AB5" s="19">
        <v>6</v>
      </c>
      <c r="AC5" s="19">
        <v>0.2</v>
      </c>
      <c r="AD5" s="19">
        <v>0.3</v>
      </c>
      <c r="AE5" s="19">
        <v>18</v>
      </c>
      <c r="AF5" s="19">
        <v>5.2</v>
      </c>
      <c r="AG5" s="19">
        <v>0.2</v>
      </c>
      <c r="AH5" s="19">
        <v>0</v>
      </c>
      <c r="AI5" s="19">
        <v>18.600000000000001</v>
      </c>
      <c r="AJ5" s="19">
        <v>6.4</v>
      </c>
      <c r="AK5" s="19">
        <v>0</v>
      </c>
      <c r="AL5" s="19">
        <v>0</v>
      </c>
      <c r="AM5" s="19">
        <v>16.3</v>
      </c>
      <c r="AN5" s="19">
        <v>2.9</v>
      </c>
      <c r="AO5" s="19">
        <v>1.8</v>
      </c>
      <c r="AP5" s="19">
        <v>0</v>
      </c>
      <c r="AQ5" s="27"/>
      <c r="AR5" s="40">
        <f t="shared" si="13"/>
        <v>12.4</v>
      </c>
      <c r="AS5" s="40">
        <f t="shared" si="14"/>
        <v>49.3</v>
      </c>
      <c r="AT5" s="40">
        <f t="shared" si="15"/>
        <v>23</v>
      </c>
      <c r="AU5" s="40">
        <f t="shared" si="16"/>
        <v>17.600000000000001</v>
      </c>
      <c r="AV5" s="40">
        <f t="shared" si="17"/>
        <v>72.3</v>
      </c>
      <c r="AW5" s="40">
        <f t="shared" si="18"/>
        <v>9.3000000000000007</v>
      </c>
      <c r="AX5" s="40">
        <f t="shared" si="19"/>
        <v>42.4</v>
      </c>
      <c r="AY5" s="40">
        <f t="shared" si="20"/>
        <v>114.69999999999999</v>
      </c>
      <c r="AZ5" s="18">
        <v>18</v>
      </c>
      <c r="BA5" s="18">
        <v>6</v>
      </c>
      <c r="BB5" s="18">
        <v>0</v>
      </c>
      <c r="BC5" s="18">
        <v>0.3</v>
      </c>
      <c r="BD5" s="18">
        <v>18.8</v>
      </c>
      <c r="BE5" s="18">
        <v>5.2</v>
      </c>
      <c r="BF5" s="18">
        <v>0</v>
      </c>
      <c r="BG5" s="18">
        <v>0</v>
      </c>
      <c r="BH5" s="18">
        <v>18.3</v>
      </c>
      <c r="BI5" s="18">
        <v>6.4</v>
      </c>
      <c r="BJ5" s="18">
        <v>0</v>
      </c>
      <c r="BK5" s="18">
        <v>0</v>
      </c>
      <c r="BL5" s="18">
        <v>18.399999999999999</v>
      </c>
      <c r="BM5" s="18">
        <v>7.2</v>
      </c>
      <c r="BN5" s="18">
        <v>0.2</v>
      </c>
      <c r="BO5" s="18">
        <v>0.3</v>
      </c>
      <c r="BP5" s="18">
        <v>18.600000000000001</v>
      </c>
      <c r="BQ5" s="18">
        <v>6</v>
      </c>
      <c r="BR5" s="18">
        <v>0.6</v>
      </c>
      <c r="BS5" s="18">
        <v>0</v>
      </c>
      <c r="BT5" s="28"/>
      <c r="BU5" s="11">
        <f t="shared" si="21"/>
        <v>11.2</v>
      </c>
      <c r="BV5" s="11">
        <f t="shared" si="22"/>
        <v>48.300000000000004</v>
      </c>
      <c r="BW5" s="11">
        <f t="shared" si="23"/>
        <v>24.700000000000003</v>
      </c>
      <c r="BX5" s="11">
        <f t="shared" si="24"/>
        <v>17.600000000000001</v>
      </c>
      <c r="BY5" s="11">
        <f t="shared" si="25"/>
        <v>73</v>
      </c>
      <c r="BZ5" s="11">
        <f t="shared" si="26"/>
        <v>13.2</v>
      </c>
      <c r="CA5" s="11">
        <f t="shared" si="27"/>
        <v>49.7</v>
      </c>
      <c r="CB5" s="11">
        <f t="shared" si="28"/>
        <v>122.7</v>
      </c>
      <c r="CC5" s="19">
        <v>18.5</v>
      </c>
      <c r="CD5" s="19">
        <v>6.4</v>
      </c>
      <c r="CE5" s="19">
        <v>0.6</v>
      </c>
      <c r="CF5" s="19">
        <v>0</v>
      </c>
      <c r="CG5" s="19">
        <v>17.2</v>
      </c>
      <c r="CH5" s="19">
        <v>2.4</v>
      </c>
      <c r="CI5" s="19">
        <v>0</v>
      </c>
      <c r="CJ5" s="19">
        <v>0</v>
      </c>
      <c r="CK5" s="19">
        <v>16.399999999999999</v>
      </c>
      <c r="CL5" s="19">
        <v>5.2</v>
      </c>
      <c r="CM5" s="19">
        <v>0.8</v>
      </c>
      <c r="CN5" s="19">
        <v>0.3</v>
      </c>
      <c r="CO5" s="19">
        <v>18.399999999999999</v>
      </c>
      <c r="CP5" s="19">
        <v>6.4</v>
      </c>
      <c r="CQ5" s="19">
        <v>0</v>
      </c>
      <c r="CR5" s="19">
        <v>0.3</v>
      </c>
      <c r="CS5" s="19">
        <v>16.100000000000001</v>
      </c>
      <c r="CT5" s="19">
        <v>4.4000000000000004</v>
      </c>
      <c r="CU5" s="19">
        <v>0.8</v>
      </c>
      <c r="CV5" s="19">
        <v>0</v>
      </c>
      <c r="CW5" s="27"/>
      <c r="CX5" s="40">
        <f t="shared" si="29"/>
        <v>8.8000000000000007</v>
      </c>
      <c r="CY5" s="40">
        <f t="shared" si="30"/>
        <v>43.899999999999991</v>
      </c>
      <c r="CZ5" s="40">
        <f t="shared" si="31"/>
        <v>21.099999999999998</v>
      </c>
      <c r="DA5" s="40">
        <f t="shared" si="32"/>
        <v>14</v>
      </c>
      <c r="DB5" s="40">
        <f t="shared" si="33"/>
        <v>64.999999999999986</v>
      </c>
      <c r="DC5" s="40">
        <f t="shared" si="34"/>
        <v>10.8</v>
      </c>
      <c r="DD5" s="40">
        <f t="shared" si="35"/>
        <v>44.800000000000004</v>
      </c>
      <c r="DE5" s="40">
        <f t="shared" si="36"/>
        <v>109.79999999999998</v>
      </c>
      <c r="DF5" s="50">
        <f t="shared" si="37"/>
        <v>1.0999999999999943</v>
      </c>
      <c r="DG5" s="50" t="str">
        <f t="shared" si="38"/>
        <v/>
      </c>
      <c r="DH5" s="50" t="str">
        <f t="shared" si="39"/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 t="shared" si="40"/>
        <v/>
      </c>
      <c r="ED5" s="40" t="str">
        <f t="shared" si="41"/>
        <v/>
      </c>
      <c r="EE5" s="40" t="str">
        <f t="shared" si="42"/>
        <v/>
      </c>
      <c r="EF5" s="40" t="str">
        <f t="shared" si="43"/>
        <v/>
      </c>
      <c r="EG5" s="40" t="str">
        <f t="shared" si="44"/>
        <v/>
      </c>
      <c r="EH5" s="40" t="str">
        <f t="shared" si="45"/>
        <v/>
      </c>
      <c r="EI5" s="40" t="str">
        <f t="shared" si="46"/>
        <v/>
      </c>
      <c r="EJ5" s="40" t="str">
        <f t="shared" si="47"/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1" t="str">
        <f t="shared" si="54"/>
        <v/>
      </c>
      <c r="FL5" s="11" t="str">
        <f t="shared" si="55"/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9"/>
        <v/>
      </c>
      <c r="GK5" s="40" t="str">
        <f t="shared" si="60"/>
        <v/>
      </c>
      <c r="GL5" s="40" t="str">
        <f t="shared" si="61"/>
        <v/>
      </c>
      <c r="GM5" s="40" t="str">
        <f t="shared" si="62"/>
        <v/>
      </c>
      <c r="GN5" s="40" t="str">
        <f t="shared" si="63"/>
        <v/>
      </c>
      <c r="GO5" s="18">
        <v>18.100000000000001</v>
      </c>
      <c r="GP5" s="18">
        <v>6.4</v>
      </c>
      <c r="GQ5" s="18">
        <v>0</v>
      </c>
      <c r="GR5" s="18">
        <v>0</v>
      </c>
      <c r="GS5" s="18">
        <v>18.3</v>
      </c>
      <c r="GT5" s="18">
        <v>5.2</v>
      </c>
      <c r="GU5" s="18">
        <v>0.8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 t="shared" si="64"/>
        <v>11.600000000000001</v>
      </c>
      <c r="HJ5" s="11">
        <f t="shared" si="65"/>
        <v>47.2</v>
      </c>
      <c r="HK5" s="11" t="str">
        <f t="shared" si="66"/>
        <v/>
      </c>
      <c r="HL5" s="11">
        <f t="shared" si="67"/>
        <v>11.600000000000001</v>
      </c>
      <c r="HM5" s="11">
        <f t="shared" si="68"/>
        <v>47.2</v>
      </c>
      <c r="HN5" s="11" t="str">
        <f t="shared" si="69"/>
        <v/>
      </c>
      <c r="HO5" s="11" t="str">
        <f t="shared" si="70"/>
        <v/>
      </c>
      <c r="HP5" s="11">
        <f t="shared" si="71"/>
        <v>47.2</v>
      </c>
      <c r="HQ5" s="17">
        <v>18.399999999999999</v>
      </c>
      <c r="HR5" s="17">
        <v>7.2</v>
      </c>
      <c r="HS5" s="17">
        <v>0</v>
      </c>
      <c r="HT5" s="17">
        <v>0</v>
      </c>
      <c r="HU5" s="17">
        <v>18.399999999999999</v>
      </c>
      <c r="HV5" s="17">
        <v>6</v>
      </c>
      <c r="HW5" s="17">
        <v>0.6</v>
      </c>
      <c r="HX5" s="17">
        <v>0</v>
      </c>
      <c r="HY5" s="17">
        <v>18.100000000000001</v>
      </c>
      <c r="HZ5" s="17">
        <v>6</v>
      </c>
      <c r="IA5" s="17">
        <v>0</v>
      </c>
      <c r="IB5" s="17">
        <v>0</v>
      </c>
      <c r="IC5" s="17">
        <v>18.399999999999999</v>
      </c>
      <c r="ID5" s="17">
        <v>6.4</v>
      </c>
      <c r="IE5" s="17">
        <v>0</v>
      </c>
      <c r="IF5" s="17">
        <v>0</v>
      </c>
      <c r="IG5" s="17"/>
      <c r="IH5" s="17"/>
      <c r="II5" s="17"/>
      <c r="IJ5" s="17"/>
      <c r="IK5" s="40">
        <f t="shared" si="72"/>
        <v>13.2</v>
      </c>
      <c r="IL5" s="40">
        <f t="shared" si="73"/>
        <v>49.4</v>
      </c>
      <c r="IM5" s="40">
        <f t="shared" si="74"/>
        <v>24.1</v>
      </c>
      <c r="IN5" s="40">
        <f t="shared" si="75"/>
        <v>19.2</v>
      </c>
      <c r="IO5" s="40">
        <f t="shared" si="76"/>
        <v>73.5</v>
      </c>
      <c r="IP5" s="40">
        <f t="shared" si="77"/>
        <v>6.4</v>
      </c>
      <c r="IQ5" s="40">
        <f t="shared" si="78"/>
        <v>24.799999999999997</v>
      </c>
      <c r="IR5" s="40">
        <f t="shared" si="79"/>
        <v>98.3</v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1" t="str">
        <f t="shared" si="86"/>
        <v/>
      </c>
      <c r="JT5" s="11" t="str">
        <f t="shared" si="87"/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18.25</v>
      </c>
      <c r="QH5" s="22">
        <f t="shared" si="137"/>
        <v>6.2</v>
      </c>
      <c r="QI5" s="22">
        <f t="shared" si="138"/>
        <v>0.3</v>
      </c>
      <c r="QJ5" s="22">
        <f t="shared" si="139"/>
        <v>0.15</v>
      </c>
      <c r="QK5" s="22">
        <f t="shared" si="140"/>
        <v>18</v>
      </c>
      <c r="QL5" s="22">
        <f t="shared" si="141"/>
        <v>3.8</v>
      </c>
      <c r="QM5" s="22">
        <f t="shared" si="142"/>
        <v>0</v>
      </c>
      <c r="QN5" s="22">
        <f t="shared" si="143"/>
        <v>0</v>
      </c>
      <c r="QO5" s="22">
        <f t="shared" si="144"/>
        <v>17.350000000000001</v>
      </c>
      <c r="QP5" s="22">
        <f t="shared" si="145"/>
        <v>5.8000000000000007</v>
      </c>
      <c r="QQ5" s="22">
        <f t="shared" si="146"/>
        <v>0.4</v>
      </c>
      <c r="QR5" s="22">
        <f t="shared" si="147"/>
        <v>0.15</v>
      </c>
      <c r="QS5" s="22">
        <f t="shared" si="148"/>
        <v>18.399999999999999</v>
      </c>
      <c r="QT5" s="22">
        <f t="shared" si="149"/>
        <v>6.8000000000000007</v>
      </c>
      <c r="QU5" s="22">
        <f t="shared" si="150"/>
        <v>0.1</v>
      </c>
      <c r="QV5" s="22">
        <f t="shared" si="151"/>
        <v>0.3</v>
      </c>
      <c r="QW5" s="22">
        <f t="shared" si="152"/>
        <v>17.350000000000001</v>
      </c>
      <c r="QX5" s="22">
        <f t="shared" si="153"/>
        <v>5.2</v>
      </c>
      <c r="QY5" s="22">
        <f t="shared" si="154"/>
        <v>0.7</v>
      </c>
      <c r="QZ5" s="22">
        <f t="shared" si="155"/>
        <v>0</v>
      </c>
      <c r="RA5" s="27" t="s">
        <v>46</v>
      </c>
      <c r="RB5" s="40">
        <f t="shared" si="156"/>
        <v>10</v>
      </c>
      <c r="RC5" s="40">
        <f t="shared" si="157"/>
        <v>46.099999999999994</v>
      </c>
      <c r="RD5" s="40">
        <f t="shared" si="158"/>
        <v>22.900000000000002</v>
      </c>
      <c r="RE5" s="40">
        <f t="shared" si="159"/>
        <v>15.8</v>
      </c>
      <c r="RF5" s="40">
        <f t="shared" si="160"/>
        <v>69</v>
      </c>
      <c r="RG5" s="40">
        <f t="shared" si="161"/>
        <v>12</v>
      </c>
      <c r="RH5" s="40">
        <f t="shared" si="162"/>
        <v>47.250000000000007</v>
      </c>
      <c r="RI5" s="40">
        <f t="shared" si="163"/>
        <v>116.25</v>
      </c>
    </row>
    <row r="6" spans="1:477" x14ac:dyDescent="0.2">
      <c r="A6" s="4" cm="1">
        <f t="array" ref="A6">IF(AND(J6&lt;&gt;"",J6&lt;&gt;"No DD"),SUMPRODUCT((J$4:J$32&lt;&gt;"")*(J$4:J$32&lt;&gt;"No DD")*(F$4:F$32&gt;F6))+1,IF(J6="No DD",SUMPRODUCT((J$4:J$32="No DD")*(F$4:F$32&gt;F6))+1+SUMPRODUCT((J$4:J$32&lt;&gt;"")*(J$4:J$32&lt;&gt;"No DD")),""))</f>
        <v>3</v>
      </c>
      <c r="B6" s="4" cm="1">
        <f t="array" ref="B6">IF(AND(J6&lt;&gt;"",J6&lt;&gt;"No DD",G6=""),SUMPRODUCT((J$4:J$32&lt;&gt;"")*(J$4:J$32&lt;&gt;"No DD")*(G$4:G$32="")*(F$4:F$32&gt;F6))+1,IF(J6="No DD",SUMPRODUCT((J$4:J$32="No DD")*(F$4:F$32&gt;F6)*(G$4:G$32=""))+1+SUMPRODUCT((J$4:J$32&lt;&gt;"")*(G$4:G$32="")*(J$4:J$32&lt;&gt;"No DD")),""))</f>
        <v>1</v>
      </c>
      <c r="C6" s="5" t="s">
        <v>70</v>
      </c>
      <c r="D6" s="4" t="s">
        <v>5</v>
      </c>
      <c r="E6" s="4">
        <v>2004</v>
      </c>
      <c r="F6" s="9">
        <f t="shared" si="0"/>
        <v>169.30001207000498</v>
      </c>
      <c r="G6" s="66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49.699999999999996</v>
      </c>
      <c r="M6" s="8" t="str">
        <f t="shared" si="5"/>
        <v>2024 Elite Canada</v>
      </c>
      <c r="N6" s="8">
        <f>IF(COUNT(AS6,BV6,CY6)&gt;1,LARGE((AS6,BV6,CY6),2),0)</f>
        <v>47.100000000000009</v>
      </c>
      <c r="O6" s="8" t="str">
        <f t="shared" si="6"/>
        <v>2023 Nationals</v>
      </c>
      <c r="P6" s="8">
        <f>IF(COUNT(AT6,BW6,CZ6)&gt;0,LARGE((AT6,BW6,CZ6),1),0)</f>
        <v>23.9</v>
      </c>
      <c r="Q6" s="8" t="str">
        <f t="shared" si="7"/>
        <v>2023 Nationals</v>
      </c>
      <c r="R6" s="8">
        <f t="shared" si="8"/>
        <v>47.5</v>
      </c>
      <c r="S6" s="8" t="str">
        <f t="shared" si="9"/>
        <v>2024 Elite Canada</v>
      </c>
      <c r="T6" s="8">
        <f t="shared" si="10"/>
        <v>1.0999999999999872</v>
      </c>
      <c r="U6" s="11" t="str">
        <f t="shared" si="11"/>
        <v>(Q1)</v>
      </c>
      <c r="V6" s="8" t="str">
        <f t="shared" si="12"/>
        <v>2023 World Cup POR 2 (July 8)</v>
      </c>
      <c r="W6" s="19">
        <v>17</v>
      </c>
      <c r="X6" s="19">
        <v>6.4</v>
      </c>
      <c r="Y6" s="19">
        <v>0.8</v>
      </c>
      <c r="Z6" s="19">
        <v>0</v>
      </c>
      <c r="AA6" s="19">
        <v>19.3</v>
      </c>
      <c r="AB6" s="19">
        <v>5.2</v>
      </c>
      <c r="AC6" s="19">
        <v>0</v>
      </c>
      <c r="AD6" s="19">
        <v>0</v>
      </c>
      <c r="AE6" s="19">
        <v>18.7</v>
      </c>
      <c r="AF6" s="19">
        <v>5.2</v>
      </c>
      <c r="AG6" s="19">
        <v>0</v>
      </c>
      <c r="AH6" s="19">
        <v>0</v>
      </c>
      <c r="AI6" s="19">
        <v>17.600000000000001</v>
      </c>
      <c r="AJ6" s="19">
        <v>2.8</v>
      </c>
      <c r="AK6" s="19">
        <v>0</v>
      </c>
      <c r="AL6" s="19">
        <v>0</v>
      </c>
      <c r="AM6" s="19">
        <v>18.600000000000001</v>
      </c>
      <c r="AN6" s="19">
        <v>6</v>
      </c>
      <c r="AO6" s="19">
        <v>0.6</v>
      </c>
      <c r="AP6" s="19">
        <v>0</v>
      </c>
      <c r="AQ6" s="27"/>
      <c r="AR6" s="40">
        <f t="shared" si="13"/>
        <v>11.600000000000001</v>
      </c>
      <c r="AS6" s="40">
        <f t="shared" si="14"/>
        <v>47.100000000000009</v>
      </c>
      <c r="AT6" s="40">
        <f t="shared" si="15"/>
        <v>23.9</v>
      </c>
      <c r="AU6" s="40">
        <f t="shared" si="16"/>
        <v>16.8</v>
      </c>
      <c r="AV6" s="40">
        <f t="shared" si="17"/>
        <v>71</v>
      </c>
      <c r="AW6" s="40">
        <f t="shared" si="18"/>
        <v>8.8000000000000007</v>
      </c>
      <c r="AX6" s="40">
        <f t="shared" si="19"/>
        <v>44.4</v>
      </c>
      <c r="AY6" s="40">
        <f t="shared" si="20"/>
        <v>115.4</v>
      </c>
      <c r="AZ6" s="18">
        <v>18.600000000000001</v>
      </c>
      <c r="BA6" s="18">
        <v>6.4</v>
      </c>
      <c r="BB6" s="18">
        <v>0</v>
      </c>
      <c r="BC6" s="18">
        <v>0</v>
      </c>
      <c r="BD6" s="18">
        <v>18.100000000000001</v>
      </c>
      <c r="BE6" s="18">
        <v>4.4000000000000004</v>
      </c>
      <c r="BF6" s="18">
        <v>0.6</v>
      </c>
      <c r="BG6" s="18">
        <v>0</v>
      </c>
      <c r="BH6" s="18">
        <v>18.100000000000001</v>
      </c>
      <c r="BI6" s="18">
        <v>5.2</v>
      </c>
      <c r="BJ6" s="18">
        <v>0.6</v>
      </c>
      <c r="BK6" s="18">
        <v>0</v>
      </c>
      <c r="BL6" s="18">
        <v>18</v>
      </c>
      <c r="BM6" s="18">
        <v>6.4</v>
      </c>
      <c r="BN6" s="18">
        <v>0.6</v>
      </c>
      <c r="BO6" s="18">
        <v>0</v>
      </c>
      <c r="BP6" s="18">
        <v>0</v>
      </c>
      <c r="BQ6" s="18">
        <v>0</v>
      </c>
      <c r="BR6" s="18">
        <v>0</v>
      </c>
      <c r="BS6" s="18">
        <v>0</v>
      </c>
      <c r="BT6" s="28"/>
      <c r="BU6" s="11">
        <f t="shared" si="21"/>
        <v>10.8</v>
      </c>
      <c r="BV6" s="11">
        <f t="shared" si="22"/>
        <v>46.9</v>
      </c>
      <c r="BW6" s="11">
        <f t="shared" si="23"/>
        <v>22.7</v>
      </c>
      <c r="BX6" s="11">
        <f t="shared" si="24"/>
        <v>16</v>
      </c>
      <c r="BY6" s="11">
        <f t="shared" si="25"/>
        <v>69.599999999999994</v>
      </c>
      <c r="BZ6" s="11">
        <f t="shared" si="26"/>
        <v>6.4</v>
      </c>
      <c r="CA6" s="11">
        <f t="shared" si="27"/>
        <v>23.799999999999997</v>
      </c>
      <c r="CB6" s="11">
        <f t="shared" si="28"/>
        <v>93.399999999999991</v>
      </c>
      <c r="CC6" s="19">
        <v>18.600000000000001</v>
      </c>
      <c r="CD6" s="19">
        <v>6.4</v>
      </c>
      <c r="CE6" s="19">
        <v>0.8</v>
      </c>
      <c r="CF6" s="19">
        <v>0</v>
      </c>
      <c r="CG6" s="19">
        <v>18.600000000000001</v>
      </c>
      <c r="CH6" s="19">
        <v>6.8</v>
      </c>
      <c r="CI6" s="19">
        <v>0.2</v>
      </c>
      <c r="CJ6" s="19">
        <v>0.3</v>
      </c>
      <c r="CK6" s="19">
        <v>18.8</v>
      </c>
      <c r="CL6" s="19">
        <v>5.6</v>
      </c>
      <c r="CM6" s="19">
        <v>0.6</v>
      </c>
      <c r="CN6" s="19">
        <v>0</v>
      </c>
      <c r="CO6" s="19">
        <v>18</v>
      </c>
      <c r="CP6" s="19">
        <v>5.6</v>
      </c>
      <c r="CQ6" s="19">
        <v>0.8</v>
      </c>
      <c r="CR6" s="19">
        <v>0</v>
      </c>
      <c r="CS6" s="19">
        <v>18.399999999999999</v>
      </c>
      <c r="CT6" s="19">
        <v>6</v>
      </c>
      <c r="CU6" s="19">
        <v>0</v>
      </c>
      <c r="CV6" s="19">
        <v>0.3</v>
      </c>
      <c r="CW6" s="27"/>
      <c r="CX6" s="40">
        <f t="shared" si="29"/>
        <v>13.2</v>
      </c>
      <c r="CY6" s="40">
        <f t="shared" si="30"/>
        <v>49.699999999999996</v>
      </c>
      <c r="CZ6" s="40">
        <f t="shared" si="31"/>
        <v>23.799999999999997</v>
      </c>
      <c r="DA6" s="40">
        <f t="shared" si="32"/>
        <v>18.799999999999997</v>
      </c>
      <c r="DB6" s="40">
        <f t="shared" si="33"/>
        <v>73.5</v>
      </c>
      <c r="DC6" s="40">
        <f t="shared" si="34"/>
        <v>11.6</v>
      </c>
      <c r="DD6" s="40">
        <f t="shared" si="35"/>
        <v>47.5</v>
      </c>
      <c r="DE6" s="40">
        <f t="shared" si="36"/>
        <v>121</v>
      </c>
      <c r="DF6" s="50">
        <f t="shared" si="37"/>
        <v>1.0999999999999872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>
        <v>16.7</v>
      </c>
      <c r="DV6" s="17">
        <v>6.9</v>
      </c>
      <c r="DW6" s="17">
        <v>0.2</v>
      </c>
      <c r="DX6" s="17">
        <v>0</v>
      </c>
      <c r="DY6" s="17">
        <v>17.600000000000001</v>
      </c>
      <c r="DZ6" s="17">
        <v>2.8</v>
      </c>
      <c r="EA6" s="17">
        <v>0</v>
      </c>
      <c r="EB6" s="17">
        <v>0</v>
      </c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>
        <f t="shared" si="45"/>
        <v>9.6999999999999993</v>
      </c>
      <c r="EI6" s="40">
        <f t="shared" si="46"/>
        <v>43.8</v>
      </c>
      <c r="EJ6" s="40">
        <f t="shared" si="47"/>
        <v>43.8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 t="shared" si="48"/>
        <v/>
      </c>
      <c r="FF6" s="11" t="str">
        <f t="shared" si="49"/>
        <v/>
      </c>
      <c r="FG6" s="11" t="str">
        <f t="shared" si="50"/>
        <v/>
      </c>
      <c r="FH6" s="11" t="str">
        <f t="shared" si="51"/>
        <v/>
      </c>
      <c r="FI6" s="11" t="str">
        <f t="shared" si="52"/>
        <v/>
      </c>
      <c r="FJ6" s="11" t="str">
        <f t="shared" si="53"/>
        <v/>
      </c>
      <c r="FK6" s="11" t="str">
        <f t="shared" si="54"/>
        <v/>
      </c>
      <c r="FL6" s="11" t="str">
        <f t="shared" si="55"/>
        <v/>
      </c>
      <c r="FM6" s="17">
        <v>18.7</v>
      </c>
      <c r="FN6" s="17">
        <v>6.4</v>
      </c>
      <c r="FO6" s="17">
        <v>0.2</v>
      </c>
      <c r="FP6" s="17">
        <v>0</v>
      </c>
      <c r="FQ6" s="17">
        <v>16.600000000000001</v>
      </c>
      <c r="FR6" s="17">
        <v>6.9</v>
      </c>
      <c r="FS6" s="17">
        <v>0.2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 t="shared" si="56"/>
        <v>13.3</v>
      </c>
      <c r="GH6" s="40">
        <f t="shared" si="57"/>
        <v>48.199999999999996</v>
      </c>
      <c r="GI6" s="40" t="str">
        <f t="shared" si="58"/>
        <v/>
      </c>
      <c r="GJ6" s="40">
        <f t="shared" si="59"/>
        <v>13.3</v>
      </c>
      <c r="GK6" s="40">
        <f t="shared" si="60"/>
        <v>48.199999999999996</v>
      </c>
      <c r="GL6" s="40" t="str">
        <f t="shared" si="61"/>
        <v/>
      </c>
      <c r="GM6" s="40" t="str">
        <f t="shared" si="62"/>
        <v/>
      </c>
      <c r="GN6" s="40">
        <f t="shared" si="63"/>
        <v>48.199999999999996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1" t="str">
        <f t="shared" si="70"/>
        <v/>
      </c>
      <c r="HP6" s="11" t="str">
        <f t="shared" si="71"/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>
        <v>0</v>
      </c>
      <c r="IT6" s="18">
        <v>0</v>
      </c>
      <c r="IU6" s="18">
        <v>0</v>
      </c>
      <c r="IV6" s="18">
        <v>0</v>
      </c>
      <c r="IW6" s="18">
        <v>17.399999999999999</v>
      </c>
      <c r="IX6" s="18">
        <v>2.8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 t="shared" si="80"/>
        <v>2.8</v>
      </c>
      <c r="JN6" s="11">
        <f t="shared" si="81"/>
        <v>20.2</v>
      </c>
      <c r="JO6" s="11" t="str">
        <f t="shared" si="82"/>
        <v/>
      </c>
      <c r="JP6" s="11">
        <f t="shared" si="83"/>
        <v>2.8</v>
      </c>
      <c r="JQ6" s="11">
        <f t="shared" si="84"/>
        <v>20.2</v>
      </c>
      <c r="JR6" s="11" t="str">
        <f t="shared" si="85"/>
        <v/>
      </c>
      <c r="JS6" s="11" t="str">
        <f t="shared" si="86"/>
        <v/>
      </c>
      <c r="JT6" s="11">
        <f t="shared" si="87"/>
        <v>20.2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18.600000000000001</v>
      </c>
      <c r="QH6" s="22">
        <f t="shared" si="137"/>
        <v>6.4</v>
      </c>
      <c r="QI6" s="22">
        <f t="shared" si="138"/>
        <v>0.4</v>
      </c>
      <c r="QJ6" s="22">
        <f t="shared" si="139"/>
        <v>0</v>
      </c>
      <c r="QK6" s="22">
        <f t="shared" si="140"/>
        <v>18.350000000000001</v>
      </c>
      <c r="QL6" s="22">
        <f t="shared" si="141"/>
        <v>5.6</v>
      </c>
      <c r="QM6" s="22">
        <f t="shared" si="142"/>
        <v>0.4</v>
      </c>
      <c r="QN6" s="22">
        <f t="shared" si="143"/>
        <v>0.15</v>
      </c>
      <c r="QO6" s="22">
        <f t="shared" si="144"/>
        <v>18.450000000000003</v>
      </c>
      <c r="QP6" s="22">
        <f t="shared" si="145"/>
        <v>5.4</v>
      </c>
      <c r="QQ6" s="22">
        <f t="shared" si="146"/>
        <v>0.6</v>
      </c>
      <c r="QR6" s="22">
        <f t="shared" si="147"/>
        <v>0</v>
      </c>
      <c r="QS6" s="22">
        <f t="shared" si="148"/>
        <v>18</v>
      </c>
      <c r="QT6" s="22">
        <f t="shared" si="149"/>
        <v>6</v>
      </c>
      <c r="QU6" s="22">
        <f t="shared" si="150"/>
        <v>0.7</v>
      </c>
      <c r="QV6" s="22">
        <f t="shared" si="151"/>
        <v>0</v>
      </c>
      <c r="QW6" s="22">
        <f t="shared" si="152"/>
        <v>9.1999999999999993</v>
      </c>
      <c r="QX6" s="22">
        <f t="shared" si="153"/>
        <v>3</v>
      </c>
      <c r="QY6" s="22">
        <f t="shared" si="154"/>
        <v>0</v>
      </c>
      <c r="QZ6" s="22">
        <f t="shared" si="155"/>
        <v>0.15</v>
      </c>
      <c r="RA6" s="27" t="s">
        <v>46</v>
      </c>
      <c r="RB6" s="40">
        <f t="shared" si="156"/>
        <v>12</v>
      </c>
      <c r="RC6" s="40">
        <f t="shared" si="157"/>
        <v>48.300000000000004</v>
      </c>
      <c r="RD6" s="40">
        <f t="shared" si="158"/>
        <v>23.25</v>
      </c>
      <c r="RE6" s="40">
        <f t="shared" si="159"/>
        <v>17.399999999999999</v>
      </c>
      <c r="RF6" s="40">
        <f t="shared" si="160"/>
        <v>71.550000000000011</v>
      </c>
      <c r="RG6" s="40">
        <f t="shared" si="161"/>
        <v>9</v>
      </c>
      <c r="RH6" s="40">
        <f t="shared" si="162"/>
        <v>35.65</v>
      </c>
      <c r="RI6" s="40">
        <f t="shared" si="163"/>
        <v>107.20000000000002</v>
      </c>
    </row>
    <row r="7" spans="1:477" x14ac:dyDescent="0.2">
      <c r="A7" s="4" cm="1">
        <f t="array" ref="A7">IF(AND(J7&lt;&gt;"",J7&lt;&gt;"No DD"),SUMPRODUCT((J$4:J$32&lt;&gt;"")*(J$4:J$32&lt;&gt;"No DD")*(F$4:F$32&gt;F7))+1,IF(J7="No DD",SUMPRODUCT((J$4:J$32="No DD")*(F$4:F$32&gt;F7))+1+SUMPRODUCT((J$4:J$32&lt;&gt;"")*(J$4:J$32&lt;&gt;"No DD")),""))</f>
        <v>4</v>
      </c>
      <c r="B7" s="4" cm="1">
        <f t="array" ref="B7">IF(AND(J7&lt;&gt;"",J7&lt;&gt;"No DD",G7=""),SUMPRODUCT((J$4:J$32&lt;&gt;"")*(J$4:J$32&lt;&gt;"No DD")*(G$4:G$32="")*(F$4:F$32&gt;F7))+1,IF(J7="No DD",SUMPRODUCT((J$4:J$32="No DD")*(F$4:F$32&gt;F7)*(G$4:G$32=""))+1+SUMPRODUCT((J$4:J$32&lt;&gt;"")*(G$4:G$32="")*(J$4:J$32&lt;&gt;"No DD")),""))</f>
        <v>2</v>
      </c>
      <c r="C7" s="5" t="s">
        <v>149</v>
      </c>
      <c r="D7" s="4" t="s">
        <v>4</v>
      </c>
      <c r="E7" s="4">
        <v>2005</v>
      </c>
      <c r="F7" s="9">
        <f t="shared" si="0"/>
        <v>166.50000961000472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47.199999999999996</v>
      </c>
      <c r="M7" s="8" t="str">
        <f t="shared" si="5"/>
        <v>2023 Nationals</v>
      </c>
      <c r="N7" s="8">
        <f>IF(COUNT(AS7,BV7,CY7)&gt;1,LARGE((AS7,BV7,CY7),2),0)</f>
        <v>24.7</v>
      </c>
      <c r="O7" s="8" t="str">
        <f t="shared" si="6"/>
        <v>2024 Elite Canada</v>
      </c>
      <c r="P7" s="8">
        <f>IF(COUNT(AT7,BW7,CZ7)&gt;0,LARGE((AT7,BW7,CZ7),1),0)</f>
        <v>24.2</v>
      </c>
      <c r="Q7" s="8" t="str">
        <f t="shared" si="7"/>
        <v>2024 Elite Canada</v>
      </c>
      <c r="R7" s="8">
        <f t="shared" si="8"/>
        <v>47.300000000000004</v>
      </c>
      <c r="S7" s="8" t="str">
        <f t="shared" si="9"/>
        <v>2024 Elite Canada</v>
      </c>
      <c r="T7" s="8">
        <f t="shared" si="10"/>
        <v>23.100000000000005</v>
      </c>
      <c r="U7" s="11" t="str">
        <f t="shared" si="11"/>
        <v>(Q1)</v>
      </c>
      <c r="V7" s="8" t="str">
        <f t="shared" si="12"/>
        <v>2023 WAGC (Nov 17)</v>
      </c>
      <c r="W7" s="19">
        <v>18.399999999999999</v>
      </c>
      <c r="X7" s="19">
        <v>6</v>
      </c>
      <c r="Y7" s="19">
        <v>0.6</v>
      </c>
      <c r="Z7" s="19">
        <v>0</v>
      </c>
      <c r="AA7" s="19">
        <v>18.5</v>
      </c>
      <c r="AB7" s="19">
        <v>5.6</v>
      </c>
      <c r="AC7" s="19">
        <v>1</v>
      </c>
      <c r="AD7" s="19">
        <v>0.3</v>
      </c>
      <c r="AE7" s="19">
        <v>17.2</v>
      </c>
      <c r="AF7" s="19">
        <v>2.4</v>
      </c>
      <c r="AG7" s="19">
        <v>0</v>
      </c>
      <c r="AH7" s="19">
        <v>0</v>
      </c>
      <c r="AI7" s="19">
        <v>18.399999999999999</v>
      </c>
      <c r="AJ7" s="19">
        <v>6</v>
      </c>
      <c r="AK7" s="19">
        <v>1</v>
      </c>
      <c r="AL7" s="19">
        <v>0</v>
      </c>
      <c r="AM7" s="19">
        <v>18.600000000000001</v>
      </c>
      <c r="AN7" s="19">
        <v>5.6</v>
      </c>
      <c r="AO7" s="19">
        <v>0.6</v>
      </c>
      <c r="AP7" s="19" t="s">
        <v>211</v>
      </c>
      <c r="AQ7" s="27"/>
      <c r="AR7" s="40">
        <f t="shared" si="13"/>
        <v>11.6</v>
      </c>
      <c r="AS7" s="40">
        <f t="shared" si="14"/>
        <v>47.199999999999996</v>
      </c>
      <c r="AT7" s="40">
        <f t="shared" si="15"/>
        <v>19.599999999999998</v>
      </c>
      <c r="AU7" s="40">
        <f t="shared" si="16"/>
        <v>14</v>
      </c>
      <c r="AV7" s="40">
        <f t="shared" si="17"/>
        <v>66.8</v>
      </c>
      <c r="AW7" s="40">
        <f t="shared" si="18"/>
        <v>11.6</v>
      </c>
      <c r="AX7" s="40">
        <f t="shared" si="19"/>
        <v>47</v>
      </c>
      <c r="AY7" s="40">
        <f t="shared" si="20"/>
        <v>113.8</v>
      </c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28"/>
      <c r="BU7" s="11" t="str">
        <f t="shared" si="21"/>
        <v/>
      </c>
      <c r="BV7" s="11" t="str">
        <f t="shared" si="22"/>
        <v/>
      </c>
      <c r="BW7" s="11" t="str">
        <f t="shared" si="23"/>
        <v/>
      </c>
      <c r="BX7" s="11" t="str">
        <f t="shared" si="24"/>
        <v/>
      </c>
      <c r="BY7" s="11" t="str">
        <f t="shared" si="25"/>
        <v/>
      </c>
      <c r="BZ7" s="11" t="str">
        <f t="shared" si="26"/>
        <v/>
      </c>
      <c r="CA7" s="11" t="str">
        <f t="shared" si="27"/>
        <v/>
      </c>
      <c r="CB7" s="11" t="str">
        <f t="shared" si="28"/>
        <v/>
      </c>
      <c r="CC7" s="19">
        <v>0</v>
      </c>
      <c r="CD7" s="19">
        <v>0</v>
      </c>
      <c r="CE7" s="19">
        <v>0</v>
      </c>
      <c r="CF7" s="19">
        <v>0</v>
      </c>
      <c r="CG7" s="19">
        <v>18.399999999999999</v>
      </c>
      <c r="CH7" s="19">
        <v>6.8</v>
      </c>
      <c r="CI7" s="19">
        <v>0.8</v>
      </c>
      <c r="CJ7" s="19">
        <v>0.3</v>
      </c>
      <c r="CK7" s="19">
        <v>18.600000000000001</v>
      </c>
      <c r="CL7" s="19">
        <v>6.4</v>
      </c>
      <c r="CM7" s="19">
        <v>0.8</v>
      </c>
      <c r="CN7" s="19">
        <v>0</v>
      </c>
      <c r="CO7" s="19">
        <v>16.600000000000001</v>
      </c>
      <c r="CP7" s="19">
        <v>6.8</v>
      </c>
      <c r="CQ7" s="19">
        <v>0.8</v>
      </c>
      <c r="CR7" s="19">
        <v>0.3</v>
      </c>
      <c r="CS7" s="19">
        <v>18.600000000000001</v>
      </c>
      <c r="CT7" s="19">
        <v>6.4</v>
      </c>
      <c r="CU7" s="19">
        <v>0.6</v>
      </c>
      <c r="CV7" s="19">
        <v>0</v>
      </c>
      <c r="CW7" s="27"/>
      <c r="CX7" s="40">
        <f t="shared" si="29"/>
        <v>6.8</v>
      </c>
      <c r="CY7" s="40">
        <f t="shared" si="30"/>
        <v>24.7</v>
      </c>
      <c r="CZ7" s="40">
        <f t="shared" si="31"/>
        <v>24.2</v>
      </c>
      <c r="DA7" s="40">
        <f t="shared" si="32"/>
        <v>13.2</v>
      </c>
      <c r="DB7" s="40">
        <f t="shared" si="33"/>
        <v>48.9</v>
      </c>
      <c r="DC7" s="40">
        <f t="shared" si="34"/>
        <v>13.2</v>
      </c>
      <c r="DD7" s="40">
        <f t="shared" si="35"/>
        <v>47.300000000000004</v>
      </c>
      <c r="DE7" s="40">
        <f t="shared" si="36"/>
        <v>96.2</v>
      </c>
      <c r="DF7" s="50">
        <f t="shared" si="37"/>
        <v>23.100000000000005</v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9"/>
        <v/>
      </c>
      <c r="GK7" s="40" t="str">
        <f t="shared" si="60"/>
        <v/>
      </c>
      <c r="GL7" s="40" t="str">
        <f t="shared" si="61"/>
        <v/>
      </c>
      <c r="GM7" s="40" t="str">
        <f t="shared" si="62"/>
        <v/>
      </c>
      <c r="GN7" s="40" t="str">
        <f t="shared" si="63"/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>
        <v>18.3</v>
      </c>
      <c r="IT7" s="18">
        <v>6</v>
      </c>
      <c r="IU7" s="18">
        <v>0.8</v>
      </c>
      <c r="IV7" s="18">
        <v>0</v>
      </c>
      <c r="IW7" s="18">
        <v>18.7</v>
      </c>
      <c r="IX7" s="18">
        <v>5.6</v>
      </c>
      <c r="IY7" s="18">
        <v>0</v>
      </c>
      <c r="IZ7" s="18">
        <v>0</v>
      </c>
      <c r="JA7" s="18"/>
      <c r="JB7" s="18"/>
      <c r="JC7" s="18"/>
      <c r="JD7" s="18"/>
      <c r="JE7" s="18">
        <v>18.2</v>
      </c>
      <c r="JF7" s="18">
        <v>6</v>
      </c>
      <c r="JG7" s="18">
        <v>0.8</v>
      </c>
      <c r="JH7" s="18">
        <v>0</v>
      </c>
      <c r="JI7" s="18"/>
      <c r="JJ7" s="18"/>
      <c r="JK7" s="18"/>
      <c r="JL7" s="18"/>
      <c r="JM7" s="11">
        <f t="shared" si="80"/>
        <v>11.6</v>
      </c>
      <c r="JN7" s="11">
        <f t="shared" si="81"/>
        <v>47.800000000000004</v>
      </c>
      <c r="JO7" s="11" t="str">
        <f t="shared" si="82"/>
        <v/>
      </c>
      <c r="JP7" s="11">
        <f t="shared" si="83"/>
        <v>11.6</v>
      </c>
      <c r="JQ7" s="11">
        <f t="shared" si="84"/>
        <v>47.800000000000004</v>
      </c>
      <c r="JR7" s="11">
        <f t="shared" si="85"/>
        <v>6</v>
      </c>
      <c r="JS7" s="11">
        <f t="shared" si="86"/>
        <v>23.4</v>
      </c>
      <c r="JT7" s="11">
        <f t="shared" si="87"/>
        <v>71.2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0</v>
      </c>
      <c r="QH7" s="22">
        <f t="shared" si="137"/>
        <v>0</v>
      </c>
      <c r="QI7" s="22">
        <f t="shared" si="138"/>
        <v>0</v>
      </c>
      <c r="QJ7" s="22">
        <f t="shared" si="139"/>
        <v>0</v>
      </c>
      <c r="QK7" s="22">
        <f t="shared" si="140"/>
        <v>9.1999999999999993</v>
      </c>
      <c r="QL7" s="22">
        <f t="shared" si="141"/>
        <v>3.4</v>
      </c>
      <c r="QM7" s="22">
        <f t="shared" si="142"/>
        <v>0.4</v>
      </c>
      <c r="QN7" s="22">
        <f t="shared" si="143"/>
        <v>0.15</v>
      </c>
      <c r="QO7" s="22">
        <f t="shared" si="144"/>
        <v>9.3000000000000007</v>
      </c>
      <c r="QP7" s="22">
        <f t="shared" si="145"/>
        <v>3.2</v>
      </c>
      <c r="QQ7" s="22">
        <f t="shared" si="146"/>
        <v>0.4</v>
      </c>
      <c r="QR7" s="22">
        <f t="shared" si="147"/>
        <v>0</v>
      </c>
      <c r="QS7" s="22">
        <f t="shared" si="148"/>
        <v>8.3000000000000007</v>
      </c>
      <c r="QT7" s="22">
        <f t="shared" si="149"/>
        <v>3.4</v>
      </c>
      <c r="QU7" s="22">
        <f t="shared" si="150"/>
        <v>0.4</v>
      </c>
      <c r="QV7" s="22">
        <f t="shared" si="151"/>
        <v>0.15</v>
      </c>
      <c r="QW7" s="22">
        <f t="shared" si="152"/>
        <v>9.3000000000000007</v>
      </c>
      <c r="QX7" s="22">
        <f t="shared" si="153"/>
        <v>3.2</v>
      </c>
      <c r="QY7" s="22">
        <f t="shared" si="154"/>
        <v>0.3</v>
      </c>
      <c r="QZ7" s="22">
        <f t="shared" si="155"/>
        <v>0</v>
      </c>
      <c r="RA7" s="27" t="s">
        <v>46</v>
      </c>
      <c r="RB7" s="40">
        <f t="shared" si="156"/>
        <v>3.4</v>
      </c>
      <c r="RC7" s="40">
        <f t="shared" si="157"/>
        <v>12.35</v>
      </c>
      <c r="RD7" s="40">
        <f t="shared" si="158"/>
        <v>12.1</v>
      </c>
      <c r="RE7" s="40">
        <f t="shared" si="159"/>
        <v>6.6</v>
      </c>
      <c r="RF7" s="40">
        <f t="shared" si="160"/>
        <v>24.45</v>
      </c>
      <c r="RG7" s="40">
        <f t="shared" si="161"/>
        <v>6.6</v>
      </c>
      <c r="RH7" s="40">
        <f t="shared" si="162"/>
        <v>23.650000000000002</v>
      </c>
      <c r="RI7" s="40">
        <f t="shared" si="163"/>
        <v>48.1</v>
      </c>
    </row>
    <row r="8" spans="1:477" x14ac:dyDescent="0.2">
      <c r="A8" s="4" cm="1">
        <f t="array" ref="A8">IF(AND(J8&lt;&gt;"",J8&lt;&gt;"No DD"),SUMPRODUCT((J$4:J$32&lt;&gt;"")*(J$4:J$32&lt;&gt;"No DD")*(F$4:F$32&gt;F8))+1,IF(J8="No DD",SUMPRODUCT((J$4:J$32="No DD")*(F$4:F$32&gt;F8))+1+SUMPRODUCT((J$4:J$32&lt;&gt;"")*(J$4:J$32&lt;&gt;"No DD")),""))</f>
        <v>5</v>
      </c>
      <c r="B8" s="4" cm="1">
        <f t="array" ref="B8">IF(AND(J8&lt;&gt;"",J8&lt;&gt;"No DD",G8=""),SUMPRODUCT((J$4:J$32&lt;&gt;"")*(J$4:J$32&lt;&gt;"No DD")*(G$4:G$32="")*(F$4:F$32&gt;F8))+1,IF(J8="No DD",SUMPRODUCT((J$4:J$32="No DD")*(F$4:F$32&gt;F8)*(G$4:G$32=""))+1+SUMPRODUCT((J$4:J$32&lt;&gt;"")*(G$4:G$32="")*(J$4:J$32&lt;&gt;"No DD")),""))</f>
        <v>3</v>
      </c>
      <c r="C8" s="5" t="s">
        <v>148</v>
      </c>
      <c r="D8" s="4" t="s">
        <v>4</v>
      </c>
      <c r="E8" s="4">
        <v>2006</v>
      </c>
      <c r="F8" s="9">
        <f t="shared" si="0"/>
        <v>166.30001186000484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48.599999999999994</v>
      </c>
      <c r="M8" s="8" t="str">
        <f t="shared" si="5"/>
        <v>2023 3rd Domestic Trial</v>
      </c>
      <c r="N8" s="8">
        <f>IF(COUNT(AS8,BV8,CY8)&gt;1,LARGE((AS8,BV8,CY8),2),0)</f>
        <v>47.6</v>
      </c>
      <c r="O8" s="8" t="str">
        <f t="shared" si="6"/>
        <v>2024 Elite Canada</v>
      </c>
      <c r="P8" s="8">
        <f>IF(COUNT(AT8,BW8,CZ8)&gt;0,LARGE((AT8,BW8,CZ8),1),0)</f>
        <v>22.4</v>
      </c>
      <c r="Q8" s="8" t="str">
        <f t="shared" si="7"/>
        <v>2023 Nationals</v>
      </c>
      <c r="R8" s="8">
        <f t="shared" si="8"/>
        <v>47.699999999999996</v>
      </c>
      <c r="S8" s="8" t="str">
        <f t="shared" si="9"/>
        <v>2023 3rd Domestic Trial</v>
      </c>
      <c r="T8" s="8" t="str">
        <f t="shared" si="10"/>
        <v/>
      </c>
      <c r="U8" s="11" t="str">
        <f t="shared" si="11"/>
        <v/>
      </c>
      <c r="V8" s="8" t="str">
        <f t="shared" si="12"/>
        <v/>
      </c>
      <c r="W8" s="19">
        <v>18.399999999999999</v>
      </c>
      <c r="X8" s="19">
        <v>5.6</v>
      </c>
      <c r="Y8" s="19">
        <v>0.8</v>
      </c>
      <c r="Z8" s="19">
        <v>0</v>
      </c>
      <c r="AA8" s="19">
        <v>18.399999999999999</v>
      </c>
      <c r="AB8" s="19">
        <v>6</v>
      </c>
      <c r="AC8" s="19">
        <v>1</v>
      </c>
      <c r="AD8" s="19">
        <v>0</v>
      </c>
      <c r="AE8" s="19">
        <v>17.7</v>
      </c>
      <c r="AF8" s="19">
        <v>5.2</v>
      </c>
      <c r="AG8" s="19">
        <v>0.8</v>
      </c>
      <c r="AH8" s="19">
        <v>0.3</v>
      </c>
      <c r="AI8" s="19">
        <v>18</v>
      </c>
      <c r="AJ8" s="19">
        <v>4.8</v>
      </c>
      <c r="AK8" s="19">
        <v>0.2</v>
      </c>
      <c r="AL8" s="19">
        <v>0</v>
      </c>
      <c r="AM8" s="19">
        <v>18</v>
      </c>
      <c r="AN8" s="19">
        <v>5.2</v>
      </c>
      <c r="AO8" s="19">
        <v>0.8</v>
      </c>
      <c r="AP8" s="19">
        <v>0</v>
      </c>
      <c r="AQ8" s="27"/>
      <c r="AR8" s="40">
        <f t="shared" si="13"/>
        <v>11.6</v>
      </c>
      <c r="AS8" s="40">
        <f t="shared" si="14"/>
        <v>46.6</v>
      </c>
      <c r="AT8" s="40">
        <f t="shared" si="15"/>
        <v>22.4</v>
      </c>
      <c r="AU8" s="40">
        <f t="shared" si="16"/>
        <v>16.8</v>
      </c>
      <c r="AV8" s="40">
        <f t="shared" si="17"/>
        <v>69</v>
      </c>
      <c r="AW8" s="40">
        <f t="shared" si="18"/>
        <v>10</v>
      </c>
      <c r="AX8" s="40">
        <f t="shared" si="19"/>
        <v>45</v>
      </c>
      <c r="AY8" s="40">
        <f t="shared" si="20"/>
        <v>114</v>
      </c>
      <c r="AZ8" s="18">
        <v>18.7</v>
      </c>
      <c r="BA8" s="18">
        <v>5.6</v>
      </c>
      <c r="BB8" s="18">
        <v>0</v>
      </c>
      <c r="BC8" s="18">
        <v>0</v>
      </c>
      <c r="BD8" s="18">
        <v>18.3</v>
      </c>
      <c r="BE8" s="18">
        <v>6</v>
      </c>
      <c r="BF8" s="18">
        <v>0</v>
      </c>
      <c r="BG8" s="18">
        <v>0</v>
      </c>
      <c r="BH8" s="18">
        <v>17.2</v>
      </c>
      <c r="BI8" s="18">
        <v>2</v>
      </c>
      <c r="BJ8" s="18">
        <v>0</v>
      </c>
      <c r="BK8" s="18">
        <v>0</v>
      </c>
      <c r="BL8" s="18">
        <v>18.3</v>
      </c>
      <c r="BM8" s="18">
        <v>5.6</v>
      </c>
      <c r="BN8" s="18">
        <v>0</v>
      </c>
      <c r="BO8" s="18">
        <v>0</v>
      </c>
      <c r="BP8" s="18">
        <v>18.399999999999999</v>
      </c>
      <c r="BQ8" s="18">
        <v>6</v>
      </c>
      <c r="BR8" s="18">
        <v>0.6</v>
      </c>
      <c r="BS8" s="18">
        <v>0</v>
      </c>
      <c r="BT8" s="28"/>
      <c r="BU8" s="11">
        <f t="shared" si="21"/>
        <v>11.6</v>
      </c>
      <c r="BV8" s="11">
        <f t="shared" si="22"/>
        <v>48.599999999999994</v>
      </c>
      <c r="BW8" s="11">
        <f t="shared" si="23"/>
        <v>19.2</v>
      </c>
      <c r="BX8" s="11">
        <f t="shared" si="24"/>
        <v>13.6</v>
      </c>
      <c r="BY8" s="11">
        <f t="shared" si="25"/>
        <v>67.8</v>
      </c>
      <c r="BZ8" s="11">
        <f t="shared" si="26"/>
        <v>11.6</v>
      </c>
      <c r="CA8" s="11">
        <f t="shared" si="27"/>
        <v>47.699999999999996</v>
      </c>
      <c r="CB8" s="11">
        <f t="shared" si="28"/>
        <v>115.5</v>
      </c>
      <c r="CC8" s="19">
        <v>18.549999999999997</v>
      </c>
      <c r="CD8" s="19">
        <v>5.6</v>
      </c>
      <c r="CE8" s="19">
        <v>0.4</v>
      </c>
      <c r="CF8" s="19">
        <v>0</v>
      </c>
      <c r="CG8" s="19">
        <v>18.350000000000001</v>
      </c>
      <c r="CH8" s="19">
        <v>6</v>
      </c>
      <c r="CI8" s="19">
        <v>0.5</v>
      </c>
      <c r="CJ8" s="19">
        <v>0</v>
      </c>
      <c r="CK8" s="19">
        <v>17.45</v>
      </c>
      <c r="CL8" s="19">
        <v>3.6</v>
      </c>
      <c r="CM8" s="19">
        <v>0.4</v>
      </c>
      <c r="CN8" s="19">
        <v>0.15</v>
      </c>
      <c r="CO8" s="19">
        <v>18.149999999999999</v>
      </c>
      <c r="CP8" s="19">
        <v>5.1999999999999993</v>
      </c>
      <c r="CQ8" s="19">
        <v>0.1</v>
      </c>
      <c r="CR8" s="19">
        <v>0</v>
      </c>
      <c r="CS8" s="19">
        <v>18.2</v>
      </c>
      <c r="CT8" s="19">
        <v>5.6</v>
      </c>
      <c r="CU8" s="19">
        <v>0.7</v>
      </c>
      <c r="CV8" s="19">
        <v>0</v>
      </c>
      <c r="CW8" s="27" t="s">
        <v>46</v>
      </c>
      <c r="CX8" s="40">
        <f t="shared" si="29"/>
        <v>11.6</v>
      </c>
      <c r="CY8" s="40">
        <f t="shared" si="30"/>
        <v>47.6</v>
      </c>
      <c r="CZ8" s="40">
        <f t="shared" si="31"/>
        <v>20.8</v>
      </c>
      <c r="DA8" s="40">
        <f t="shared" si="32"/>
        <v>15.2</v>
      </c>
      <c r="DB8" s="40">
        <f t="shared" si="33"/>
        <v>68.400000000000006</v>
      </c>
      <c r="DC8" s="40">
        <f t="shared" si="34"/>
        <v>10.799999999999999</v>
      </c>
      <c r="DD8" s="40">
        <f t="shared" si="35"/>
        <v>46.35</v>
      </c>
      <c r="DE8" s="40">
        <f t="shared" si="36"/>
        <v>114.75</v>
      </c>
      <c r="DF8" s="50" t="str">
        <f t="shared" si="37"/>
        <v/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4"/>
        <v/>
      </c>
      <c r="HJ8" s="11" t="str">
        <f t="shared" si="65"/>
        <v/>
      </c>
      <c r="HK8" s="11" t="str">
        <f t="shared" si="66"/>
        <v/>
      </c>
      <c r="HL8" s="11" t="str">
        <f t="shared" si="67"/>
        <v/>
      </c>
      <c r="HM8" s="11" t="str">
        <f t="shared" si="68"/>
        <v/>
      </c>
      <c r="HN8" s="11" t="str">
        <f t="shared" si="69"/>
        <v/>
      </c>
      <c r="HO8" s="11" t="str">
        <f t="shared" si="70"/>
        <v/>
      </c>
      <c r="HP8" s="11" t="str">
        <f t="shared" si="71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18.549999999999997</v>
      </c>
      <c r="QH8" s="22">
        <f t="shared" si="137"/>
        <v>5.6</v>
      </c>
      <c r="QI8" s="22">
        <f t="shared" si="138"/>
        <v>0.4</v>
      </c>
      <c r="QJ8" s="22">
        <f t="shared" si="139"/>
        <v>0</v>
      </c>
      <c r="QK8" s="22">
        <f t="shared" si="140"/>
        <v>18.350000000000001</v>
      </c>
      <c r="QL8" s="22">
        <f t="shared" si="141"/>
        <v>6</v>
      </c>
      <c r="QM8" s="22">
        <f t="shared" si="142"/>
        <v>0.5</v>
      </c>
      <c r="QN8" s="22">
        <f t="shared" si="143"/>
        <v>0</v>
      </c>
      <c r="QO8" s="22">
        <f t="shared" si="144"/>
        <v>17.45</v>
      </c>
      <c r="QP8" s="22">
        <f t="shared" si="145"/>
        <v>3.6</v>
      </c>
      <c r="QQ8" s="22">
        <f t="shared" si="146"/>
        <v>0.4</v>
      </c>
      <c r="QR8" s="22">
        <f t="shared" si="147"/>
        <v>0.15</v>
      </c>
      <c r="QS8" s="22">
        <f t="shared" si="148"/>
        <v>18.149999999999999</v>
      </c>
      <c r="QT8" s="22">
        <f t="shared" si="149"/>
        <v>5.1999999999999993</v>
      </c>
      <c r="QU8" s="22">
        <f t="shared" si="150"/>
        <v>0.1</v>
      </c>
      <c r="QV8" s="22">
        <f t="shared" si="151"/>
        <v>0</v>
      </c>
      <c r="QW8" s="22">
        <f t="shared" si="152"/>
        <v>18.2</v>
      </c>
      <c r="QX8" s="22">
        <f t="shared" si="153"/>
        <v>5.6</v>
      </c>
      <c r="QY8" s="22">
        <f t="shared" si="154"/>
        <v>0.7</v>
      </c>
      <c r="QZ8" s="22">
        <f t="shared" si="155"/>
        <v>0</v>
      </c>
      <c r="RA8" s="27" t="s">
        <v>46</v>
      </c>
      <c r="RB8" s="40">
        <f t="shared" si="156"/>
        <v>11.6</v>
      </c>
      <c r="RC8" s="40">
        <f t="shared" si="157"/>
        <v>47.6</v>
      </c>
      <c r="RD8" s="40">
        <f t="shared" si="158"/>
        <v>20.8</v>
      </c>
      <c r="RE8" s="40">
        <f t="shared" si="159"/>
        <v>15.2</v>
      </c>
      <c r="RF8" s="40">
        <f t="shared" si="160"/>
        <v>68.400000000000006</v>
      </c>
      <c r="RG8" s="40">
        <f t="shared" si="161"/>
        <v>10.799999999999999</v>
      </c>
      <c r="RH8" s="40">
        <f t="shared" si="162"/>
        <v>46.35</v>
      </c>
      <c r="RI8" s="40">
        <f t="shared" si="163"/>
        <v>114.75</v>
      </c>
    </row>
    <row r="9" spans="1:477" x14ac:dyDescent="0.2">
      <c r="A9" s="4" cm="1">
        <f t="array" ref="A9">IF(AND(J9&lt;&gt;"",J9&lt;&gt;"No DD"),SUMPRODUCT((J$4:J$32&lt;&gt;"")*(J$4:J$32&lt;&gt;"No DD")*(F$4:F$32&gt;F9))+1,IF(J9="No DD",SUMPRODUCT((J$4:J$32="No DD")*(F$4:F$32&gt;F9))+1+SUMPRODUCT((J$4:J$32&lt;&gt;"")*(J$4:J$32&lt;&gt;"No DD")),""))</f>
        <v>6</v>
      </c>
      <c r="B9" s="4" cm="1">
        <f t="array" ref="B9">IF(AND(J9&lt;&gt;"",J9&lt;&gt;"No DD",G9=""),SUMPRODUCT((J$4:J$32&lt;&gt;"")*(J$4:J$32&lt;&gt;"No DD")*(G$4:G$32="")*(F$4:F$32&gt;F9))+1,IF(J9="No DD",SUMPRODUCT((J$4:J$32="No DD")*(F$4:F$32&gt;F9)*(G$4:G$32=""))+1+SUMPRODUCT((J$4:J$32&lt;&gt;"")*(G$4:G$32="")*(J$4:J$32&lt;&gt;"No DD")),""))</f>
        <v>4</v>
      </c>
      <c r="C9" s="5" t="s">
        <v>163</v>
      </c>
      <c r="D9" s="4" t="s">
        <v>5</v>
      </c>
      <c r="E9" s="4">
        <v>2005</v>
      </c>
      <c r="F9" s="9">
        <f t="shared" si="0"/>
        <v>161.10001153000468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47</v>
      </c>
      <c r="M9" s="8" t="str">
        <f t="shared" si="5"/>
        <v>2023 3rd Domestic Trial</v>
      </c>
      <c r="N9" s="8">
        <f>IF(COUNT(AS9,BV9,CY9)&gt;1,LARGE((AS9,BV9,CY9),2),0)</f>
        <v>46.6</v>
      </c>
      <c r="O9" s="8" t="str">
        <f t="shared" si="6"/>
        <v>2023 Nationals</v>
      </c>
      <c r="P9" s="8">
        <f>IF(COUNT(AT9,BW9,CZ9)&gt;0,LARGE((AT9,BW9,CZ9),1),0)</f>
        <v>21.7</v>
      </c>
      <c r="Q9" s="8" t="str">
        <f t="shared" si="7"/>
        <v>2023 Nationals</v>
      </c>
      <c r="R9" s="8">
        <f t="shared" si="8"/>
        <v>45.8</v>
      </c>
      <c r="S9" s="8" t="str">
        <f t="shared" si="9"/>
        <v>2023 Nationals</v>
      </c>
      <c r="T9" s="8" t="str">
        <f t="shared" si="10"/>
        <v/>
      </c>
      <c r="U9" s="11" t="str">
        <f t="shared" si="11"/>
        <v/>
      </c>
      <c r="V9" s="8" t="str">
        <f t="shared" si="12"/>
        <v/>
      </c>
      <c r="W9" s="19">
        <v>18.600000000000001</v>
      </c>
      <c r="X9" s="19">
        <v>5.2</v>
      </c>
      <c r="Y9" s="19">
        <v>0.2</v>
      </c>
      <c r="Z9" s="19">
        <v>0</v>
      </c>
      <c r="AA9" s="19">
        <v>18.3</v>
      </c>
      <c r="AB9" s="19">
        <v>5.2</v>
      </c>
      <c r="AC9" s="19">
        <v>0.8</v>
      </c>
      <c r="AD9" s="19">
        <v>0.3</v>
      </c>
      <c r="AE9" s="19">
        <v>18.8</v>
      </c>
      <c r="AF9" s="19">
        <v>3.7</v>
      </c>
      <c r="AG9" s="19">
        <v>0.8</v>
      </c>
      <c r="AH9" s="19">
        <v>0</v>
      </c>
      <c r="AI9" s="19">
        <v>17.5</v>
      </c>
      <c r="AJ9" s="19">
        <v>5.2</v>
      </c>
      <c r="AK9" s="19">
        <v>0.8</v>
      </c>
      <c r="AL9" s="19">
        <v>0</v>
      </c>
      <c r="AM9" s="19">
        <v>18.8</v>
      </c>
      <c r="AN9" s="19">
        <v>5.6</v>
      </c>
      <c r="AO9" s="19">
        <v>0.8</v>
      </c>
      <c r="AP9" s="19">
        <v>0.3</v>
      </c>
      <c r="AQ9" s="27"/>
      <c r="AR9" s="40">
        <f t="shared" si="13"/>
        <v>10.4</v>
      </c>
      <c r="AS9" s="40">
        <f t="shared" si="14"/>
        <v>46.6</v>
      </c>
      <c r="AT9" s="40">
        <f t="shared" si="15"/>
        <v>21.7</v>
      </c>
      <c r="AU9" s="40">
        <f t="shared" si="16"/>
        <v>14.100000000000001</v>
      </c>
      <c r="AV9" s="40">
        <f t="shared" si="17"/>
        <v>68.3</v>
      </c>
      <c r="AW9" s="40">
        <f t="shared" si="18"/>
        <v>10.8</v>
      </c>
      <c r="AX9" s="40">
        <f t="shared" si="19"/>
        <v>45.8</v>
      </c>
      <c r="AY9" s="40">
        <f t="shared" si="20"/>
        <v>114.1</v>
      </c>
      <c r="AZ9" s="18">
        <v>18.600000000000001</v>
      </c>
      <c r="BA9" s="18">
        <v>5.1999999999999993</v>
      </c>
      <c r="BB9" s="18">
        <v>0.2</v>
      </c>
      <c r="BC9" s="18">
        <v>0</v>
      </c>
      <c r="BD9" s="18">
        <v>18.7</v>
      </c>
      <c r="BE9" s="18">
        <v>5.1999999999999993</v>
      </c>
      <c r="BF9" s="18">
        <v>0.8</v>
      </c>
      <c r="BG9" s="18">
        <v>0.3</v>
      </c>
      <c r="BH9" s="18">
        <v>16.8</v>
      </c>
      <c r="BI9" s="18">
        <v>3.3</v>
      </c>
      <c r="BJ9" s="18">
        <v>1</v>
      </c>
      <c r="BK9" s="18">
        <v>0</v>
      </c>
      <c r="BL9" s="18">
        <v>16.8</v>
      </c>
      <c r="BM9" s="18">
        <v>5.1999999999999993</v>
      </c>
      <c r="BN9" s="18">
        <v>0.8</v>
      </c>
      <c r="BO9" s="18">
        <v>0</v>
      </c>
      <c r="BP9" s="18">
        <v>0</v>
      </c>
      <c r="BQ9" s="18">
        <v>0</v>
      </c>
      <c r="BR9" s="18">
        <v>0</v>
      </c>
      <c r="BS9" s="18">
        <v>0</v>
      </c>
      <c r="BT9" s="28"/>
      <c r="BU9" s="11">
        <f t="shared" si="21"/>
        <v>10.399999999999999</v>
      </c>
      <c r="BV9" s="11">
        <f t="shared" si="22"/>
        <v>47</v>
      </c>
      <c r="BW9" s="11">
        <f t="shared" si="23"/>
        <v>19.100000000000001</v>
      </c>
      <c r="BX9" s="11">
        <f t="shared" si="24"/>
        <v>13.7</v>
      </c>
      <c r="BY9" s="11">
        <f t="shared" si="25"/>
        <v>66.099999999999994</v>
      </c>
      <c r="BZ9" s="11">
        <f t="shared" si="26"/>
        <v>5.1999999999999993</v>
      </c>
      <c r="CA9" s="11">
        <f t="shared" si="27"/>
        <v>21.2</v>
      </c>
      <c r="CB9" s="11">
        <f t="shared" si="28"/>
        <v>87.3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 t="shared" si="29"/>
        <v/>
      </c>
      <c r="CY9" s="40" t="str">
        <f t="shared" si="30"/>
        <v/>
      </c>
      <c r="CZ9" s="40" t="str">
        <f t="shared" si="31"/>
        <v/>
      </c>
      <c r="DA9" s="40" t="str">
        <f t="shared" si="32"/>
        <v/>
      </c>
      <c r="DB9" s="40" t="str">
        <f t="shared" si="33"/>
        <v/>
      </c>
      <c r="DC9" s="40" t="str">
        <f t="shared" si="34"/>
        <v/>
      </c>
      <c r="DD9" s="40" t="str">
        <f t="shared" si="35"/>
        <v/>
      </c>
      <c r="DE9" s="40" t="str">
        <f t="shared" si="36"/>
        <v/>
      </c>
      <c r="DF9" s="50" t="str">
        <f t="shared" si="37"/>
        <v/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2"/>
        <v/>
      </c>
      <c r="IL9" s="40" t="str">
        <f t="shared" si="73"/>
        <v/>
      </c>
      <c r="IM9" s="40" t="str">
        <f t="shared" si="74"/>
        <v/>
      </c>
      <c r="IN9" s="40" t="str">
        <f t="shared" si="75"/>
        <v/>
      </c>
      <c r="IO9" s="40" t="str">
        <f t="shared" si="76"/>
        <v/>
      </c>
      <c r="IP9" s="40" t="str">
        <f t="shared" si="77"/>
        <v/>
      </c>
      <c r="IQ9" s="40" t="str">
        <f t="shared" si="78"/>
        <v/>
      </c>
      <c r="IR9" s="40" t="str">
        <f t="shared" si="79"/>
        <v/>
      </c>
      <c r="IS9" s="18">
        <v>16.8</v>
      </c>
      <c r="IT9" s="18">
        <v>5.2</v>
      </c>
      <c r="IU9" s="18">
        <v>0.8</v>
      </c>
      <c r="IV9" s="18">
        <v>0</v>
      </c>
      <c r="IW9" s="18">
        <v>16.7</v>
      </c>
      <c r="IX9" s="18">
        <v>5.2</v>
      </c>
      <c r="IY9" s="18">
        <v>0.2</v>
      </c>
      <c r="IZ9" s="18">
        <v>0</v>
      </c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>
        <f t="shared" si="80"/>
        <v>10.4</v>
      </c>
      <c r="JN9" s="11">
        <f t="shared" si="81"/>
        <v>42.900000000000006</v>
      </c>
      <c r="JO9" s="11" t="str">
        <f t="shared" si="82"/>
        <v/>
      </c>
      <c r="JP9" s="11">
        <f t="shared" si="83"/>
        <v>10.4</v>
      </c>
      <c r="JQ9" s="11">
        <f t="shared" si="84"/>
        <v>42.900000000000006</v>
      </c>
      <c r="JR9" s="11" t="str">
        <f t="shared" si="85"/>
        <v/>
      </c>
      <c r="JS9" s="11" t="str">
        <f t="shared" si="86"/>
        <v/>
      </c>
      <c r="JT9" s="11">
        <f t="shared" si="87"/>
        <v>42.900000000000006</v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9.3000000000000007</v>
      </c>
      <c r="QH9" s="22">
        <f t="shared" si="137"/>
        <v>2.5999999999999996</v>
      </c>
      <c r="QI9" s="22">
        <f t="shared" si="138"/>
        <v>0.1</v>
      </c>
      <c r="QJ9" s="22">
        <f t="shared" si="139"/>
        <v>0</v>
      </c>
      <c r="QK9" s="22">
        <f t="shared" si="140"/>
        <v>9.35</v>
      </c>
      <c r="QL9" s="22">
        <f t="shared" si="141"/>
        <v>2.5999999999999996</v>
      </c>
      <c r="QM9" s="22">
        <f t="shared" si="142"/>
        <v>0.4</v>
      </c>
      <c r="QN9" s="22">
        <f t="shared" si="143"/>
        <v>0.15</v>
      </c>
      <c r="QO9" s="22">
        <f t="shared" si="144"/>
        <v>8.4</v>
      </c>
      <c r="QP9" s="22">
        <f t="shared" si="145"/>
        <v>1.65</v>
      </c>
      <c r="QQ9" s="22">
        <f t="shared" si="146"/>
        <v>0.5</v>
      </c>
      <c r="QR9" s="22">
        <f t="shared" si="147"/>
        <v>0</v>
      </c>
      <c r="QS9" s="22">
        <f t="shared" si="148"/>
        <v>8.4</v>
      </c>
      <c r="QT9" s="22">
        <f t="shared" si="149"/>
        <v>2.5999999999999996</v>
      </c>
      <c r="QU9" s="22">
        <f t="shared" si="150"/>
        <v>0.4</v>
      </c>
      <c r="QV9" s="22">
        <f t="shared" si="151"/>
        <v>0</v>
      </c>
      <c r="QW9" s="22">
        <f t="shared" si="152"/>
        <v>0</v>
      </c>
      <c r="QX9" s="22">
        <f t="shared" si="153"/>
        <v>0</v>
      </c>
      <c r="QY9" s="22">
        <f t="shared" si="154"/>
        <v>0</v>
      </c>
      <c r="QZ9" s="22">
        <f t="shared" si="155"/>
        <v>0</v>
      </c>
      <c r="RA9" s="27" t="s">
        <v>46</v>
      </c>
      <c r="RB9" s="40">
        <f t="shared" si="156"/>
        <v>5.1999999999999993</v>
      </c>
      <c r="RC9" s="40">
        <f t="shared" si="157"/>
        <v>23.5</v>
      </c>
      <c r="RD9" s="40">
        <f t="shared" si="158"/>
        <v>9.5500000000000007</v>
      </c>
      <c r="RE9" s="40">
        <f t="shared" si="159"/>
        <v>6.85</v>
      </c>
      <c r="RF9" s="40">
        <f t="shared" si="160"/>
        <v>33.049999999999997</v>
      </c>
      <c r="RG9" s="40">
        <f t="shared" si="161"/>
        <v>2.5999999999999996</v>
      </c>
      <c r="RH9" s="40">
        <f t="shared" si="162"/>
        <v>10.6</v>
      </c>
      <c r="RI9" s="40">
        <f t="shared" si="163"/>
        <v>43.65</v>
      </c>
    </row>
    <row r="10" spans="1:477" x14ac:dyDescent="0.2">
      <c r="A10" s="4" cm="1">
        <f t="array" ref="A10">IF(AND(J10&lt;&gt;"",J10&lt;&gt;"No DD"),SUMPRODUCT((J$4:J$32&lt;&gt;"")*(J$4:J$32&lt;&gt;"No DD")*(F$4:F$32&gt;F10))+1,IF(J10="No DD",SUMPRODUCT((J$4:J$32="No DD")*(F$4:F$32&gt;F10))+1+SUMPRODUCT((J$4:J$32&lt;&gt;"")*(J$4:J$32&lt;&gt;"No DD")),""))</f>
        <v>7</v>
      </c>
      <c r="B10" s="4" cm="1">
        <f t="array" ref="B10">IF(AND(J10&lt;&gt;"",J10&lt;&gt;"No DD",G10=""),SUMPRODUCT((J$4:J$32&lt;&gt;"")*(J$4:J$32&lt;&gt;"No DD")*(G$4:G$32="")*(F$4:F$32&gt;F10))+1,IF(J10="No DD",SUMPRODUCT((J$4:J$32="No DD")*(F$4:F$32&gt;F10)*(G$4:G$32=""))+1+SUMPRODUCT((J$4:J$32&lt;&gt;"")*(G$4:G$32="")*(J$4:J$32&lt;&gt;"No DD")),""))</f>
        <v>5</v>
      </c>
      <c r="C10" s="5" t="s">
        <v>119</v>
      </c>
      <c r="D10" s="4" t="s">
        <v>31</v>
      </c>
      <c r="E10" s="4">
        <v>2003</v>
      </c>
      <c r="F10" s="9">
        <f t="shared" si="0"/>
        <v>157.10001105000464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46.4</v>
      </c>
      <c r="M10" s="8" t="str">
        <f t="shared" si="5"/>
        <v>2024 Elite Canada</v>
      </c>
      <c r="N10" s="8">
        <f>IF(COUNT(AS10,BV10,CY10)&gt;1,LARGE((AS10,BV10,CY10),2),0)</f>
        <v>41.8</v>
      </c>
      <c r="O10" s="8" t="str">
        <f t="shared" si="6"/>
        <v>2023 3rd Domestic Trial</v>
      </c>
      <c r="P10" s="8">
        <f>IF(COUNT(AT10,BW10,CZ10)&gt;0,LARGE((AT10,BW10,CZ10),1),0)</f>
        <v>22.3</v>
      </c>
      <c r="Q10" s="8" t="str">
        <f t="shared" si="7"/>
        <v>2023 3rd Domestic Trial</v>
      </c>
      <c r="R10" s="8">
        <f t="shared" si="8"/>
        <v>46.6</v>
      </c>
      <c r="S10" s="8" t="str">
        <f t="shared" si="9"/>
        <v>2024 Elite Canada</v>
      </c>
      <c r="T10" s="8" t="str">
        <f t="shared" si="10"/>
        <v/>
      </c>
      <c r="U10" s="11" t="str">
        <f t="shared" si="11"/>
        <v/>
      </c>
      <c r="V10" s="8" t="str">
        <f t="shared" si="12"/>
        <v/>
      </c>
      <c r="W10" s="19">
        <v>17.3</v>
      </c>
      <c r="X10" s="19">
        <v>2.8</v>
      </c>
      <c r="Y10" s="19">
        <v>0</v>
      </c>
      <c r="Z10" s="19">
        <v>0.3</v>
      </c>
      <c r="AA10" s="19">
        <v>17.2</v>
      </c>
      <c r="AB10" s="19">
        <v>2.4</v>
      </c>
      <c r="AC10" s="19">
        <v>0</v>
      </c>
      <c r="AD10" s="19">
        <v>0</v>
      </c>
      <c r="AE10" s="19">
        <v>17.399999999999999</v>
      </c>
      <c r="AF10" s="19">
        <v>0.9</v>
      </c>
      <c r="AG10" s="19">
        <v>0</v>
      </c>
      <c r="AH10" s="19">
        <v>0</v>
      </c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 t="shared" si="13"/>
        <v>5.1999999999999993</v>
      </c>
      <c r="AS10" s="40">
        <f t="shared" si="14"/>
        <v>40</v>
      </c>
      <c r="AT10" s="40">
        <f t="shared" si="15"/>
        <v>18.299999999999997</v>
      </c>
      <c r="AU10" s="40">
        <f t="shared" si="16"/>
        <v>6.1</v>
      </c>
      <c r="AV10" s="40">
        <f t="shared" si="17"/>
        <v>58.3</v>
      </c>
      <c r="AW10" s="40" t="str">
        <f t="shared" si="18"/>
        <v/>
      </c>
      <c r="AX10" s="40" t="str">
        <f t="shared" si="19"/>
        <v/>
      </c>
      <c r="AY10" s="40">
        <f t="shared" si="20"/>
        <v>58.3</v>
      </c>
      <c r="AZ10" s="18">
        <v>17.600000000000001</v>
      </c>
      <c r="BA10" s="18">
        <v>5.1999999999999993</v>
      </c>
      <c r="BB10" s="18">
        <v>0.8</v>
      </c>
      <c r="BC10" s="18">
        <v>0</v>
      </c>
      <c r="BD10" s="18">
        <v>17.2</v>
      </c>
      <c r="BE10" s="18">
        <v>2.8</v>
      </c>
      <c r="BF10" s="18">
        <v>0.2</v>
      </c>
      <c r="BG10" s="18">
        <v>0</v>
      </c>
      <c r="BH10" s="18">
        <v>18.600000000000001</v>
      </c>
      <c r="BI10" s="18">
        <v>3.6999999999999997</v>
      </c>
      <c r="BJ10" s="18">
        <v>0</v>
      </c>
      <c r="BK10" s="18">
        <v>0</v>
      </c>
      <c r="BL10" s="18">
        <v>18.2</v>
      </c>
      <c r="BM10" s="18">
        <v>4.4000000000000004</v>
      </c>
      <c r="BN10" s="18">
        <v>0.4</v>
      </c>
      <c r="BO10" s="18">
        <v>0</v>
      </c>
      <c r="BP10" s="18">
        <v>17.2</v>
      </c>
      <c r="BQ10" s="18">
        <v>0</v>
      </c>
      <c r="BR10" s="18">
        <v>0</v>
      </c>
      <c r="BS10" s="18">
        <v>0</v>
      </c>
      <c r="BT10" s="28"/>
      <c r="BU10" s="11">
        <f t="shared" si="21"/>
        <v>7.9999999999999991</v>
      </c>
      <c r="BV10" s="11">
        <f t="shared" si="22"/>
        <v>41.8</v>
      </c>
      <c r="BW10" s="11">
        <f t="shared" si="23"/>
        <v>22.3</v>
      </c>
      <c r="BX10" s="11">
        <f t="shared" si="24"/>
        <v>11.7</v>
      </c>
      <c r="BY10" s="11">
        <f t="shared" si="25"/>
        <v>64.099999999999994</v>
      </c>
      <c r="BZ10" s="11">
        <f t="shared" si="26"/>
        <v>4.4000000000000004</v>
      </c>
      <c r="CA10" s="11">
        <f t="shared" si="27"/>
        <v>39.4</v>
      </c>
      <c r="CB10" s="11">
        <f t="shared" si="28"/>
        <v>103.5</v>
      </c>
      <c r="CC10" s="19">
        <v>18.100000000000001</v>
      </c>
      <c r="CD10" s="19">
        <v>5.2</v>
      </c>
      <c r="CE10" s="19">
        <v>0</v>
      </c>
      <c r="CF10" s="19">
        <v>0</v>
      </c>
      <c r="CG10" s="19">
        <v>17.8</v>
      </c>
      <c r="CH10" s="19">
        <v>5.2</v>
      </c>
      <c r="CI10" s="19">
        <v>0.2</v>
      </c>
      <c r="CJ10" s="19">
        <v>0.3</v>
      </c>
      <c r="CK10" s="19">
        <v>18</v>
      </c>
      <c r="CL10" s="19">
        <v>3.7</v>
      </c>
      <c r="CM10" s="19">
        <v>0.8</v>
      </c>
      <c r="CN10" s="19">
        <v>0</v>
      </c>
      <c r="CO10" s="19">
        <v>18.3</v>
      </c>
      <c r="CP10" s="19">
        <v>5.2</v>
      </c>
      <c r="CQ10" s="19">
        <v>0.2</v>
      </c>
      <c r="CR10" s="19">
        <v>0</v>
      </c>
      <c r="CS10" s="19">
        <v>18</v>
      </c>
      <c r="CT10" s="19">
        <v>5.2</v>
      </c>
      <c r="CU10" s="19">
        <v>0.2</v>
      </c>
      <c r="CV10" s="19">
        <v>0.3</v>
      </c>
      <c r="CW10" s="27"/>
      <c r="CX10" s="40">
        <f t="shared" si="29"/>
        <v>10.4</v>
      </c>
      <c r="CY10" s="40">
        <f t="shared" si="30"/>
        <v>46.4</v>
      </c>
      <c r="CZ10" s="40">
        <f t="shared" si="31"/>
        <v>20.9</v>
      </c>
      <c r="DA10" s="40">
        <f t="shared" si="32"/>
        <v>14.100000000000001</v>
      </c>
      <c r="DB10" s="40">
        <f t="shared" si="33"/>
        <v>67.3</v>
      </c>
      <c r="DC10" s="40">
        <f t="shared" si="34"/>
        <v>10.4</v>
      </c>
      <c r="DD10" s="40">
        <f t="shared" si="35"/>
        <v>46.6</v>
      </c>
      <c r="DE10" s="40">
        <f t="shared" si="36"/>
        <v>113.9</v>
      </c>
      <c r="DF10" s="50" t="str">
        <f t="shared" si="37"/>
        <v/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1" t="str">
        <f t="shared" si="70"/>
        <v/>
      </c>
      <c r="HP10" s="11" t="str">
        <f t="shared" si="71"/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17.850000000000001</v>
      </c>
      <c r="QH10" s="22">
        <f t="shared" si="137"/>
        <v>5.1999999999999993</v>
      </c>
      <c r="QI10" s="22">
        <f t="shared" si="138"/>
        <v>0.4</v>
      </c>
      <c r="QJ10" s="22">
        <f t="shared" si="139"/>
        <v>0</v>
      </c>
      <c r="QK10" s="22">
        <f t="shared" si="140"/>
        <v>17.5</v>
      </c>
      <c r="QL10" s="22">
        <f t="shared" si="141"/>
        <v>4</v>
      </c>
      <c r="QM10" s="22">
        <f t="shared" si="142"/>
        <v>0.2</v>
      </c>
      <c r="QN10" s="22">
        <f t="shared" si="143"/>
        <v>0.15</v>
      </c>
      <c r="QO10" s="22">
        <f t="shared" si="144"/>
        <v>18.3</v>
      </c>
      <c r="QP10" s="22">
        <f t="shared" si="145"/>
        <v>3.7</v>
      </c>
      <c r="QQ10" s="22">
        <f t="shared" si="146"/>
        <v>0.4</v>
      </c>
      <c r="QR10" s="22">
        <f t="shared" si="147"/>
        <v>0</v>
      </c>
      <c r="QS10" s="22">
        <f t="shared" si="148"/>
        <v>18.25</v>
      </c>
      <c r="QT10" s="22">
        <f t="shared" si="149"/>
        <v>4.8000000000000007</v>
      </c>
      <c r="QU10" s="22">
        <f t="shared" si="150"/>
        <v>0.30000000000000004</v>
      </c>
      <c r="QV10" s="22">
        <f t="shared" si="151"/>
        <v>0</v>
      </c>
      <c r="QW10" s="22">
        <f t="shared" si="152"/>
        <v>17.600000000000001</v>
      </c>
      <c r="QX10" s="22">
        <f t="shared" si="153"/>
        <v>2.6</v>
      </c>
      <c r="QY10" s="22">
        <f t="shared" si="154"/>
        <v>0.1</v>
      </c>
      <c r="QZ10" s="22">
        <f t="shared" si="155"/>
        <v>0.15</v>
      </c>
      <c r="RA10" s="27" t="s">
        <v>46</v>
      </c>
      <c r="RB10" s="40">
        <f t="shared" si="156"/>
        <v>9.1999999999999993</v>
      </c>
      <c r="RC10" s="40">
        <f t="shared" si="157"/>
        <v>44.099999999999994</v>
      </c>
      <c r="RD10" s="40">
        <f t="shared" si="158"/>
        <v>21.6</v>
      </c>
      <c r="RE10" s="40">
        <f t="shared" si="159"/>
        <v>12.899999999999999</v>
      </c>
      <c r="RF10" s="40">
        <f t="shared" si="160"/>
        <v>65.699999999999989</v>
      </c>
      <c r="RG10" s="40">
        <f t="shared" si="161"/>
        <v>7.4</v>
      </c>
      <c r="RH10" s="40">
        <f t="shared" si="162"/>
        <v>43.000000000000007</v>
      </c>
      <c r="RI10" s="40">
        <f t="shared" si="163"/>
        <v>108.69999999999999</v>
      </c>
    </row>
    <row r="11" spans="1:477" x14ac:dyDescent="0.2">
      <c r="A11" s="4" t="str" cm="1">
        <f t="array" ref="A11">IF(AND(J11&lt;&gt;"",J11&lt;&gt;"No DD"),SUMPRODUCT((J$4:J$32&lt;&gt;"")*(J$4:J$32&lt;&gt;"No DD")*(F$4:F$32&gt;F11))+1,IF(J11="No DD",SUMPRODUCT((J$4:J$32="No DD")*(F$4:F$32&gt;F11))+1+SUMPRODUCT((J$4:J$32&lt;&gt;"")*(J$4:J$32&lt;&gt;"No DD")),""))</f>
        <v/>
      </c>
      <c r="B11" s="4" t="str" cm="1">
        <f t="array" ref="B11">IF(AND(J11&lt;&gt;"",J11&lt;&gt;"No DD",G11=""),SUMPRODUCT((J$4:J$32&lt;&gt;"")*(J$4:J$32&lt;&gt;"No DD")*(G$4:G$32="")*(F$4:F$32&gt;F11))+1,IF(J11="No DD",SUMPRODUCT((J$4:J$32="No DD")*(F$4:F$32&gt;F11)*(G$4:G$32=""))+1+SUMPRODUCT((J$4:J$32&lt;&gt;"")*(G$4:G$32="")*(J$4:J$32&lt;&gt;"No DD")),""))</f>
        <v/>
      </c>
      <c r="C11" s="5" t="s">
        <v>157</v>
      </c>
      <c r="D11" s="4" t="s">
        <v>5</v>
      </c>
      <c r="E11" s="4">
        <v>2006</v>
      </c>
      <c r="F11" s="9">
        <f t="shared" si="0"/>
        <v>157.70001115000454</v>
      </c>
      <c r="G11" s="66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IF(COUNT(AS11,BV11,CY11)&gt;0,LARGE((AS11,BV11,CY11),1),0)</f>
        <v>45.599999999999994</v>
      </c>
      <c r="M11" s="8" t="str">
        <f t="shared" si="5"/>
        <v>2024 Elite Canada</v>
      </c>
      <c r="N11" s="8">
        <f>IF(COUNT(AS11,BV11,CY11)&gt;1,LARGE((AS11,BV11,CY11),2),0)</f>
        <v>43.599999999999987</v>
      </c>
      <c r="O11" s="8" t="str">
        <f t="shared" si="6"/>
        <v>2023 3rd Domestic Trial</v>
      </c>
      <c r="P11" s="8">
        <f>IF(COUNT(AT11,BW11,CZ11)&gt;0,LARGE((AT11,BW11,CZ11),1),0)</f>
        <v>22.3</v>
      </c>
      <c r="Q11" s="8" t="str">
        <f t="shared" si="7"/>
        <v>2023 Nationals</v>
      </c>
      <c r="R11" s="8">
        <f t="shared" si="8"/>
        <v>46.199999999999996</v>
      </c>
      <c r="S11" s="8" t="str">
        <f t="shared" si="9"/>
        <v>2024 Elite Canada</v>
      </c>
      <c r="T11" s="8" t="str">
        <f t="shared" si="10"/>
        <v/>
      </c>
      <c r="U11" s="11" t="str">
        <f t="shared" si="11"/>
        <v/>
      </c>
      <c r="V11" s="8" t="str">
        <f t="shared" si="12"/>
        <v/>
      </c>
      <c r="W11" s="19">
        <v>16.899999999999999</v>
      </c>
      <c r="X11" s="19">
        <v>4.8</v>
      </c>
      <c r="Y11" s="19">
        <v>0.2</v>
      </c>
      <c r="Z11" s="19">
        <v>0</v>
      </c>
      <c r="AA11" s="19">
        <v>17.2</v>
      </c>
      <c r="AB11" s="19">
        <v>2.8</v>
      </c>
      <c r="AC11" s="19">
        <v>0</v>
      </c>
      <c r="AD11" s="19">
        <v>0.3</v>
      </c>
      <c r="AE11" s="19">
        <v>19</v>
      </c>
      <c r="AF11" s="19">
        <v>3.5</v>
      </c>
      <c r="AG11" s="19">
        <v>0.2</v>
      </c>
      <c r="AH11" s="19">
        <v>0</v>
      </c>
      <c r="AI11" s="19">
        <v>18.100000000000001</v>
      </c>
      <c r="AJ11" s="19">
        <v>4.4000000000000004</v>
      </c>
      <c r="AK11" s="19">
        <v>0.2</v>
      </c>
      <c r="AL11" s="19">
        <v>0</v>
      </c>
      <c r="AM11" s="19">
        <v>18.3</v>
      </c>
      <c r="AN11" s="19">
        <v>2.8</v>
      </c>
      <c r="AO11" s="19">
        <v>0.4</v>
      </c>
      <c r="AP11" s="19">
        <v>0.3</v>
      </c>
      <c r="AQ11" s="27"/>
      <c r="AR11" s="40">
        <f t="shared" si="13"/>
        <v>7.6</v>
      </c>
      <c r="AS11" s="40">
        <f t="shared" si="14"/>
        <v>41.79999999999999</v>
      </c>
      <c r="AT11" s="40">
        <f t="shared" si="15"/>
        <v>22.3</v>
      </c>
      <c r="AU11" s="40">
        <f t="shared" si="16"/>
        <v>11.1</v>
      </c>
      <c r="AV11" s="40">
        <f t="shared" si="17"/>
        <v>64.099999999999994</v>
      </c>
      <c r="AW11" s="40">
        <f t="shared" si="18"/>
        <v>7.2</v>
      </c>
      <c r="AX11" s="40">
        <f t="shared" si="19"/>
        <v>43.29999999999999</v>
      </c>
      <c r="AY11" s="40">
        <f t="shared" si="20"/>
        <v>107.39999999999998</v>
      </c>
      <c r="AZ11" s="18">
        <v>18.5</v>
      </c>
      <c r="BA11" s="18">
        <v>4.4000000000000004</v>
      </c>
      <c r="BB11" s="18">
        <v>0.2</v>
      </c>
      <c r="BC11" s="18">
        <v>0</v>
      </c>
      <c r="BD11" s="18">
        <v>18</v>
      </c>
      <c r="BE11" s="18">
        <v>2.8</v>
      </c>
      <c r="BF11" s="18">
        <v>0.2</v>
      </c>
      <c r="BG11" s="18">
        <v>0.3</v>
      </c>
      <c r="BH11" s="18">
        <v>19.100000000000001</v>
      </c>
      <c r="BI11" s="18">
        <v>1.2999999999999998</v>
      </c>
      <c r="BJ11" s="18">
        <v>3.6</v>
      </c>
      <c r="BK11" s="18">
        <v>0</v>
      </c>
      <c r="BL11" s="18">
        <v>0</v>
      </c>
      <c r="BM11" s="18">
        <v>0</v>
      </c>
      <c r="BN11" s="18">
        <v>0</v>
      </c>
      <c r="BO11" s="18">
        <v>0</v>
      </c>
      <c r="BP11" s="18">
        <v>0</v>
      </c>
      <c r="BQ11" s="18">
        <v>0</v>
      </c>
      <c r="BR11" s="18">
        <v>0</v>
      </c>
      <c r="BS11" s="18">
        <v>0</v>
      </c>
      <c r="BT11" s="28"/>
      <c r="BU11" s="11">
        <f t="shared" si="21"/>
        <v>7.2</v>
      </c>
      <c r="BV11" s="11">
        <f t="shared" si="22"/>
        <v>43.599999999999987</v>
      </c>
      <c r="BW11" s="11">
        <f t="shared" si="23"/>
        <v>16.8</v>
      </c>
      <c r="BX11" s="11">
        <f t="shared" si="24"/>
        <v>8.5</v>
      </c>
      <c r="BY11" s="11">
        <f t="shared" si="25"/>
        <v>60.399999999999991</v>
      </c>
      <c r="BZ11" s="11" t="str">
        <f t="shared" si="26"/>
        <v/>
      </c>
      <c r="CA11" s="11" t="str">
        <f t="shared" si="27"/>
        <v/>
      </c>
      <c r="CB11" s="11">
        <f t="shared" si="28"/>
        <v>60.399999999999991</v>
      </c>
      <c r="CC11" s="19">
        <v>18.8</v>
      </c>
      <c r="CD11" s="19">
        <v>5.2</v>
      </c>
      <c r="CE11" s="19">
        <v>0.6</v>
      </c>
      <c r="CF11" s="19">
        <v>0</v>
      </c>
      <c r="CG11" s="19">
        <v>17.899999999999999</v>
      </c>
      <c r="CH11" s="19">
        <v>4.8</v>
      </c>
      <c r="CI11" s="19">
        <v>0.8</v>
      </c>
      <c r="CJ11" s="19">
        <v>0.3</v>
      </c>
      <c r="CK11" s="19">
        <v>17.8</v>
      </c>
      <c r="CL11" s="19">
        <v>0.7</v>
      </c>
      <c r="CM11" s="19">
        <v>0</v>
      </c>
      <c r="CN11" s="19">
        <v>0</v>
      </c>
      <c r="CO11" s="19">
        <v>18.399999999999999</v>
      </c>
      <c r="CP11" s="19">
        <v>4.4000000000000004</v>
      </c>
      <c r="CQ11" s="19">
        <v>0</v>
      </c>
      <c r="CR11" s="19">
        <v>0</v>
      </c>
      <c r="CS11" s="19">
        <v>18.3</v>
      </c>
      <c r="CT11" s="19">
        <v>5.6</v>
      </c>
      <c r="CU11" s="19">
        <v>0.8</v>
      </c>
      <c r="CV11" s="19">
        <v>0.3</v>
      </c>
      <c r="CW11" s="27"/>
      <c r="CX11" s="40">
        <f t="shared" si="29"/>
        <v>10</v>
      </c>
      <c r="CY11" s="40">
        <f t="shared" si="30"/>
        <v>45.599999999999994</v>
      </c>
      <c r="CZ11" s="40">
        <f t="shared" si="31"/>
        <v>18.5</v>
      </c>
      <c r="DA11" s="40">
        <f t="shared" si="32"/>
        <v>10.7</v>
      </c>
      <c r="DB11" s="40">
        <f t="shared" si="33"/>
        <v>64.099999999999994</v>
      </c>
      <c r="DC11" s="40">
        <f t="shared" si="34"/>
        <v>10</v>
      </c>
      <c r="DD11" s="40">
        <f t="shared" si="35"/>
        <v>46.199999999999996</v>
      </c>
      <c r="DE11" s="40">
        <f t="shared" si="36"/>
        <v>110.29999999999998</v>
      </c>
      <c r="DF11" s="50" t="str">
        <f t="shared" si="37"/>
        <v/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1" t="str">
        <f t="shared" si="70"/>
        <v/>
      </c>
      <c r="HP11" s="11" t="str">
        <f t="shared" si="71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18.649999999999999</v>
      </c>
      <c r="QH11" s="22">
        <f t="shared" si="137"/>
        <v>4.8000000000000007</v>
      </c>
      <c r="QI11" s="22">
        <f t="shared" si="138"/>
        <v>0.4</v>
      </c>
      <c r="QJ11" s="22">
        <f t="shared" si="139"/>
        <v>0</v>
      </c>
      <c r="QK11" s="22">
        <f t="shared" si="140"/>
        <v>17.95</v>
      </c>
      <c r="QL11" s="22">
        <f t="shared" si="141"/>
        <v>3.8</v>
      </c>
      <c r="QM11" s="22">
        <f t="shared" si="142"/>
        <v>0.5</v>
      </c>
      <c r="QN11" s="22">
        <f t="shared" si="143"/>
        <v>0.3</v>
      </c>
      <c r="QO11" s="22">
        <f t="shared" si="144"/>
        <v>18.450000000000003</v>
      </c>
      <c r="QP11" s="22">
        <f t="shared" si="145"/>
        <v>0.99999999999999989</v>
      </c>
      <c r="QQ11" s="22">
        <f t="shared" si="146"/>
        <v>1.8</v>
      </c>
      <c r="QR11" s="22">
        <f t="shared" si="147"/>
        <v>0</v>
      </c>
      <c r="QS11" s="22">
        <f t="shared" si="148"/>
        <v>9.1999999999999993</v>
      </c>
      <c r="QT11" s="22">
        <f t="shared" si="149"/>
        <v>2.2000000000000002</v>
      </c>
      <c r="QU11" s="22">
        <f t="shared" si="150"/>
        <v>0</v>
      </c>
      <c r="QV11" s="22">
        <f t="shared" si="151"/>
        <v>0</v>
      </c>
      <c r="QW11" s="22">
        <f t="shared" si="152"/>
        <v>9.15</v>
      </c>
      <c r="QX11" s="22">
        <f t="shared" si="153"/>
        <v>2.8</v>
      </c>
      <c r="QY11" s="22">
        <f t="shared" si="154"/>
        <v>0.4</v>
      </c>
      <c r="QZ11" s="22">
        <f t="shared" si="155"/>
        <v>0.15</v>
      </c>
      <c r="RA11" s="27" t="s">
        <v>46</v>
      </c>
      <c r="RB11" s="40">
        <f t="shared" si="156"/>
        <v>8.6000000000000014</v>
      </c>
      <c r="RC11" s="40">
        <f t="shared" si="157"/>
        <v>44.599999999999994</v>
      </c>
      <c r="RD11" s="40">
        <f t="shared" si="158"/>
        <v>17.650000000000002</v>
      </c>
      <c r="RE11" s="40">
        <f t="shared" si="159"/>
        <v>9.6000000000000014</v>
      </c>
      <c r="RF11" s="40">
        <f t="shared" si="160"/>
        <v>62.25</v>
      </c>
      <c r="RG11" s="40">
        <f t="shared" si="161"/>
        <v>5</v>
      </c>
      <c r="RH11" s="40">
        <f t="shared" si="162"/>
        <v>23.099999999999998</v>
      </c>
      <c r="RI11" s="40">
        <f t="shared" si="163"/>
        <v>85.35</v>
      </c>
    </row>
    <row r="12" spans="1:477" x14ac:dyDescent="0.2">
      <c r="A12" s="4" t="str" cm="1">
        <f t="array" ref="A12">IF(AND(J12&lt;&gt;"",J12&lt;&gt;"No DD"),SUMPRODUCT((J$4:J$32&lt;&gt;"")*(J$4:J$32&lt;&gt;"No DD")*(F$4:F$32&gt;F12))+1,IF(J12="No DD",SUMPRODUCT((J$4:J$32="No DD")*(F$4:F$32&gt;F12))+1+SUMPRODUCT((J$4:J$32&lt;&gt;"")*(J$4:J$32&lt;&gt;"No DD")),""))</f>
        <v/>
      </c>
      <c r="B12" s="4" t="str" cm="1">
        <f t="array" ref="B12">IF(AND(J12&lt;&gt;"",J12&lt;&gt;"No DD",G12=""),SUMPRODUCT((J$4:J$32&lt;&gt;"")*(J$4:J$32&lt;&gt;"No DD")*(G$4:G$32="")*(F$4:F$32&gt;F12))+1,IF(J12="No DD",SUMPRODUCT((J$4:J$32="No DD")*(F$4:F$32&gt;F12)*(G$4:G$32=""))+1+SUMPRODUCT((J$4:J$32&lt;&gt;"")*(G$4:G$32="")*(J$4:J$32&lt;&gt;"No DD")),""))</f>
        <v/>
      </c>
      <c r="C12" s="5" t="s">
        <v>156</v>
      </c>
      <c r="D12" s="4" t="s">
        <v>31</v>
      </c>
      <c r="E12" s="4">
        <v>2006</v>
      </c>
      <c r="F12" s="9">
        <f t="shared" si="0"/>
        <v>156.20001113000444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IF(COUNT(AS12,BV12,CY12)&gt;0,LARGE((AS12,BV12,CY12),1),0)</f>
        <v>44.400000000000006</v>
      </c>
      <c r="M12" s="8" t="str">
        <f t="shared" si="5"/>
        <v>2024 Elite Canada</v>
      </c>
      <c r="N12" s="8">
        <f>IF(COUNT(AS12,BV12,CY12)&gt;1,LARGE((AS12,BV12,CY12),2),0)</f>
        <v>44.2</v>
      </c>
      <c r="O12" s="8" t="str">
        <f t="shared" si="6"/>
        <v>2023 Nationals</v>
      </c>
      <c r="P12" s="8">
        <f>IF(COUNT(AT12,BW12,CZ12)&gt;0,LARGE((AT12,BW12,CZ12),1),0)</f>
        <v>22.7</v>
      </c>
      <c r="Q12" s="8" t="str">
        <f t="shared" si="7"/>
        <v>2023 Nationals</v>
      </c>
      <c r="R12" s="8">
        <f t="shared" si="8"/>
        <v>44.900000000000006</v>
      </c>
      <c r="S12" s="8" t="str">
        <f t="shared" si="9"/>
        <v>2023 Nationals</v>
      </c>
      <c r="T12" s="8" t="str">
        <f t="shared" si="10"/>
        <v/>
      </c>
      <c r="U12" s="11" t="str">
        <f t="shared" si="11"/>
        <v/>
      </c>
      <c r="V12" s="8" t="str">
        <f t="shared" si="12"/>
        <v/>
      </c>
      <c r="W12" s="19">
        <v>18.5</v>
      </c>
      <c r="X12" s="19">
        <v>3.6</v>
      </c>
      <c r="Y12" s="19">
        <v>0.2</v>
      </c>
      <c r="Z12" s="19">
        <v>0</v>
      </c>
      <c r="AA12" s="19">
        <v>18.8</v>
      </c>
      <c r="AB12" s="19">
        <v>3.5</v>
      </c>
      <c r="AC12" s="19">
        <v>0</v>
      </c>
      <c r="AD12" s="19">
        <v>0</v>
      </c>
      <c r="AE12" s="19">
        <v>19</v>
      </c>
      <c r="AF12" s="19">
        <v>3.7</v>
      </c>
      <c r="AG12" s="19">
        <v>0</v>
      </c>
      <c r="AH12" s="19">
        <v>0</v>
      </c>
      <c r="AI12" s="19">
        <v>19.100000000000001</v>
      </c>
      <c r="AJ12" s="19">
        <v>3.5</v>
      </c>
      <c r="AK12" s="19">
        <v>0</v>
      </c>
      <c r="AL12" s="19">
        <v>0</v>
      </c>
      <c r="AM12" s="19">
        <v>18.600000000000001</v>
      </c>
      <c r="AN12" s="19">
        <v>3.7</v>
      </c>
      <c r="AO12" s="19">
        <v>0</v>
      </c>
      <c r="AP12" s="19">
        <v>0</v>
      </c>
      <c r="AQ12" s="27"/>
      <c r="AR12" s="40">
        <f t="shared" si="13"/>
        <v>7.1</v>
      </c>
      <c r="AS12" s="40">
        <f t="shared" si="14"/>
        <v>44.2</v>
      </c>
      <c r="AT12" s="40">
        <f t="shared" si="15"/>
        <v>22.7</v>
      </c>
      <c r="AU12" s="40">
        <f t="shared" si="16"/>
        <v>10.8</v>
      </c>
      <c r="AV12" s="40">
        <f t="shared" si="17"/>
        <v>66.900000000000006</v>
      </c>
      <c r="AW12" s="40">
        <f t="shared" si="18"/>
        <v>7.2</v>
      </c>
      <c r="AX12" s="40">
        <f t="shared" si="19"/>
        <v>44.900000000000006</v>
      </c>
      <c r="AY12" s="40">
        <f t="shared" si="20"/>
        <v>111.80000000000001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 t="shared" si="21"/>
        <v/>
      </c>
      <c r="BV12" s="11" t="str">
        <f t="shared" si="22"/>
        <v/>
      </c>
      <c r="BW12" s="11" t="str">
        <f t="shared" si="23"/>
        <v/>
      </c>
      <c r="BX12" s="11" t="str">
        <f t="shared" si="24"/>
        <v/>
      </c>
      <c r="BY12" s="11" t="str">
        <f t="shared" si="25"/>
        <v/>
      </c>
      <c r="BZ12" s="11" t="str">
        <f t="shared" si="26"/>
        <v/>
      </c>
      <c r="CA12" s="11" t="str">
        <f t="shared" si="27"/>
        <v/>
      </c>
      <c r="CB12" s="11" t="str">
        <f t="shared" si="28"/>
        <v/>
      </c>
      <c r="CC12" s="19">
        <v>18.600000000000001</v>
      </c>
      <c r="CD12" s="19">
        <v>3.6</v>
      </c>
      <c r="CE12" s="19">
        <v>0</v>
      </c>
      <c r="CF12" s="19">
        <v>0</v>
      </c>
      <c r="CG12" s="19">
        <v>18.7</v>
      </c>
      <c r="CH12" s="19">
        <v>3.5</v>
      </c>
      <c r="CI12" s="19">
        <v>0</v>
      </c>
      <c r="CJ12" s="19">
        <v>0</v>
      </c>
      <c r="CK12" s="19">
        <v>18.7</v>
      </c>
      <c r="CL12" s="19">
        <v>3.7</v>
      </c>
      <c r="CM12" s="19">
        <v>0</v>
      </c>
      <c r="CN12" s="19">
        <v>0</v>
      </c>
      <c r="CO12" s="19">
        <v>18.8</v>
      </c>
      <c r="CP12" s="19">
        <v>3.5</v>
      </c>
      <c r="CQ12" s="19">
        <v>0.6</v>
      </c>
      <c r="CR12" s="19">
        <v>0</v>
      </c>
      <c r="CS12" s="19">
        <v>0</v>
      </c>
      <c r="CT12" s="19">
        <v>0</v>
      </c>
      <c r="CU12" s="19">
        <v>0</v>
      </c>
      <c r="CV12" s="19">
        <v>0</v>
      </c>
      <c r="CW12" s="27"/>
      <c r="CX12" s="40">
        <f t="shared" si="29"/>
        <v>7.1</v>
      </c>
      <c r="CY12" s="40">
        <f t="shared" si="30"/>
        <v>44.400000000000006</v>
      </c>
      <c r="CZ12" s="40">
        <f t="shared" si="31"/>
        <v>22.4</v>
      </c>
      <c r="DA12" s="40">
        <f t="shared" si="32"/>
        <v>10.8</v>
      </c>
      <c r="DB12" s="40">
        <f t="shared" si="33"/>
        <v>66.800000000000011</v>
      </c>
      <c r="DC12" s="40">
        <f t="shared" si="34"/>
        <v>3.5</v>
      </c>
      <c r="DD12" s="40">
        <f t="shared" si="35"/>
        <v>21.7</v>
      </c>
      <c r="DE12" s="40">
        <f t="shared" si="36"/>
        <v>88.500000000000014</v>
      </c>
      <c r="DF12" s="50" t="str">
        <f t="shared" si="37"/>
        <v/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6"/>
        <v/>
      </c>
      <c r="GH12" s="40" t="str">
        <f t="shared" si="57"/>
        <v/>
      </c>
      <c r="GI12" s="40" t="str">
        <f t="shared" si="58"/>
        <v/>
      </c>
      <c r="GJ12" s="40" t="str">
        <f t="shared" si="59"/>
        <v/>
      </c>
      <c r="GK12" s="40" t="str">
        <f t="shared" si="60"/>
        <v/>
      </c>
      <c r="GL12" s="40" t="str">
        <f t="shared" si="61"/>
        <v/>
      </c>
      <c r="GM12" s="40" t="str">
        <f t="shared" si="62"/>
        <v/>
      </c>
      <c r="GN12" s="40" t="str">
        <f t="shared" si="63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9.3000000000000007</v>
      </c>
      <c r="QH12" s="22">
        <f t="shared" si="137"/>
        <v>1.8</v>
      </c>
      <c r="QI12" s="22">
        <f t="shared" si="138"/>
        <v>0</v>
      </c>
      <c r="QJ12" s="22">
        <f t="shared" si="139"/>
        <v>0</v>
      </c>
      <c r="QK12" s="22">
        <f t="shared" si="140"/>
        <v>9.35</v>
      </c>
      <c r="QL12" s="22">
        <f t="shared" si="141"/>
        <v>1.75</v>
      </c>
      <c r="QM12" s="22">
        <f t="shared" si="142"/>
        <v>0</v>
      </c>
      <c r="QN12" s="22">
        <f t="shared" si="143"/>
        <v>0</v>
      </c>
      <c r="QO12" s="22">
        <f t="shared" si="144"/>
        <v>9.35</v>
      </c>
      <c r="QP12" s="22">
        <f t="shared" si="145"/>
        <v>1.85</v>
      </c>
      <c r="QQ12" s="22">
        <f t="shared" si="146"/>
        <v>0</v>
      </c>
      <c r="QR12" s="22">
        <f t="shared" si="147"/>
        <v>0</v>
      </c>
      <c r="QS12" s="22">
        <f t="shared" si="148"/>
        <v>9.4</v>
      </c>
      <c r="QT12" s="22">
        <f t="shared" si="149"/>
        <v>1.75</v>
      </c>
      <c r="QU12" s="22">
        <f t="shared" si="150"/>
        <v>0.3</v>
      </c>
      <c r="QV12" s="22">
        <f t="shared" si="151"/>
        <v>0</v>
      </c>
      <c r="QW12" s="22">
        <f t="shared" si="152"/>
        <v>0</v>
      </c>
      <c r="QX12" s="22">
        <f t="shared" si="153"/>
        <v>0</v>
      </c>
      <c r="QY12" s="22">
        <f t="shared" si="154"/>
        <v>0</v>
      </c>
      <c r="QZ12" s="22">
        <f t="shared" si="155"/>
        <v>0</v>
      </c>
      <c r="RA12" s="27" t="s">
        <v>46</v>
      </c>
      <c r="RB12" s="40">
        <f t="shared" si="156"/>
        <v>3.55</v>
      </c>
      <c r="RC12" s="40">
        <f t="shared" si="157"/>
        <v>22.200000000000003</v>
      </c>
      <c r="RD12" s="40">
        <f t="shared" si="158"/>
        <v>11.2</v>
      </c>
      <c r="RE12" s="40">
        <f t="shared" si="159"/>
        <v>5.4</v>
      </c>
      <c r="RF12" s="40">
        <f t="shared" si="160"/>
        <v>33.400000000000006</v>
      </c>
      <c r="RG12" s="40">
        <f t="shared" si="161"/>
        <v>1.75</v>
      </c>
      <c r="RH12" s="40">
        <f t="shared" si="162"/>
        <v>10.85</v>
      </c>
      <c r="RI12" s="40">
        <f t="shared" si="163"/>
        <v>44.250000000000007</v>
      </c>
    </row>
    <row r="13" spans="1:477" x14ac:dyDescent="0.2">
      <c r="A13" s="4" t="str" cm="1">
        <f t="array" ref="A13">IF(AND(J13&lt;&gt;"",J13&lt;&gt;"No DD"),SUMPRODUCT((J$4:J$32&lt;&gt;"")*(J$4:J$32&lt;&gt;"No DD")*(F$4:F$32&gt;F13))+1,IF(J13="No DD",SUMPRODUCT((J$4:J$32="No DD")*(F$4:F$32&gt;F13))+1+SUMPRODUCT((J$4:J$32&lt;&gt;"")*(J$4:J$32&lt;&gt;"No DD")),""))</f>
        <v/>
      </c>
      <c r="B13" s="4" t="str" cm="1">
        <f t="array" ref="B13">IF(AND(J13&lt;&gt;"",J13&lt;&gt;"No DD",G13=""),SUMPRODUCT((J$4:J$32&lt;&gt;"")*(J$4:J$32&lt;&gt;"No DD")*(G$4:G$32="")*(F$4:F$32&gt;F13))+1,IF(J13="No DD",SUMPRODUCT((J$4:J$32="No DD")*(F$4:F$32&gt;F13)*(G$4:G$32=""))+1+SUMPRODUCT((J$4:J$32&lt;&gt;"")*(G$4:G$32="")*(J$4:J$32&lt;&gt;"No DD")),""))</f>
        <v/>
      </c>
      <c r="C13" s="5" t="s">
        <v>133</v>
      </c>
      <c r="D13" s="4" t="s">
        <v>31</v>
      </c>
      <c r="E13" s="4">
        <v>2005</v>
      </c>
      <c r="F13" s="9">
        <f t="shared" si="0"/>
        <v>155.40001118000467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IF(COUNT(AS13,BV13,CY13)&gt;0,LARGE((AS13,BV13,CY13),1),0)</f>
        <v>46.2</v>
      </c>
      <c r="M13" s="8" t="str">
        <f t="shared" si="5"/>
        <v>2024 Elite Canada</v>
      </c>
      <c r="N13" s="8">
        <f>IF(COUNT(AS13,BV13,CY13)&gt;1,LARGE((AS13,BV13,CY13),2),0)</f>
        <v>43.5</v>
      </c>
      <c r="O13" s="8" t="str">
        <f t="shared" si="6"/>
        <v>2023 Nationals</v>
      </c>
      <c r="P13" s="8">
        <f>IF(COUNT(AT13,BW13,CZ13)&gt;0,LARGE((AT13,BW13,CZ13),1),0)</f>
        <v>22.1</v>
      </c>
      <c r="Q13" s="8" t="str">
        <f t="shared" si="7"/>
        <v>2024 Elite Canada</v>
      </c>
      <c r="R13" s="8">
        <f t="shared" si="8"/>
        <v>43.600000000000009</v>
      </c>
      <c r="S13" s="8" t="str">
        <f t="shared" si="9"/>
        <v>2024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>
        <v>16.2</v>
      </c>
      <c r="X13" s="19">
        <v>5.2</v>
      </c>
      <c r="Y13" s="19">
        <v>1</v>
      </c>
      <c r="Z13" s="19">
        <v>0.3</v>
      </c>
      <c r="AA13" s="19">
        <v>18.399999999999999</v>
      </c>
      <c r="AB13" s="19">
        <v>5.2</v>
      </c>
      <c r="AC13" s="19">
        <v>0.8</v>
      </c>
      <c r="AD13" s="19">
        <v>0</v>
      </c>
      <c r="AE13" s="19">
        <v>18.600000000000001</v>
      </c>
      <c r="AF13" s="19">
        <v>3.5</v>
      </c>
      <c r="AG13" s="19">
        <v>0.2</v>
      </c>
      <c r="AH13" s="19">
        <v>0</v>
      </c>
      <c r="AI13" s="19">
        <v>18</v>
      </c>
      <c r="AJ13" s="19">
        <v>5.2</v>
      </c>
      <c r="AK13" s="19">
        <v>0.8</v>
      </c>
      <c r="AL13" s="19">
        <v>0</v>
      </c>
      <c r="AM13" s="19">
        <v>16.399999999999999</v>
      </c>
      <c r="AN13" s="19">
        <v>3.5</v>
      </c>
      <c r="AO13" s="19">
        <v>0.2</v>
      </c>
      <c r="AP13" s="19">
        <v>0</v>
      </c>
      <c r="AQ13" s="27"/>
      <c r="AR13" s="40">
        <f t="shared" si="13"/>
        <v>10.4</v>
      </c>
      <c r="AS13" s="40">
        <f t="shared" si="14"/>
        <v>43.5</v>
      </c>
      <c r="AT13" s="40">
        <f t="shared" si="15"/>
        <v>21.900000000000002</v>
      </c>
      <c r="AU13" s="40">
        <f t="shared" si="16"/>
        <v>13.9</v>
      </c>
      <c r="AV13" s="40">
        <f t="shared" si="17"/>
        <v>65.400000000000006</v>
      </c>
      <c r="AW13" s="40">
        <f t="shared" si="18"/>
        <v>8.6999999999999993</v>
      </c>
      <c r="AX13" s="40">
        <f t="shared" si="19"/>
        <v>42.099999999999994</v>
      </c>
      <c r="AY13" s="40">
        <f t="shared" si="20"/>
        <v>107.5</v>
      </c>
      <c r="AZ13" s="18">
        <v>18</v>
      </c>
      <c r="BA13" s="18">
        <v>5.1999999999999993</v>
      </c>
      <c r="BB13" s="18">
        <v>0.6</v>
      </c>
      <c r="BC13" s="18">
        <v>0</v>
      </c>
      <c r="BD13" s="18">
        <v>16.2</v>
      </c>
      <c r="BE13" s="18">
        <v>2</v>
      </c>
      <c r="BF13" s="18">
        <v>2</v>
      </c>
      <c r="BG13" s="18">
        <v>0</v>
      </c>
      <c r="BH13" s="18">
        <v>18.100000000000001</v>
      </c>
      <c r="BI13" s="18">
        <v>3.5</v>
      </c>
      <c r="BJ13" s="18">
        <v>0.6</v>
      </c>
      <c r="BK13" s="18">
        <v>0</v>
      </c>
      <c r="BL13" s="18">
        <v>0</v>
      </c>
      <c r="BM13" s="18">
        <v>0</v>
      </c>
      <c r="BN13" s="18">
        <v>0</v>
      </c>
      <c r="BO13" s="18">
        <v>0</v>
      </c>
      <c r="BP13" s="18">
        <v>0</v>
      </c>
      <c r="BQ13" s="18">
        <v>0</v>
      </c>
      <c r="BR13" s="18">
        <v>0</v>
      </c>
      <c r="BS13" s="18">
        <v>0</v>
      </c>
      <c r="BT13" s="28"/>
      <c r="BU13" s="11">
        <f t="shared" si="21"/>
        <v>7.1999999999999993</v>
      </c>
      <c r="BV13" s="11">
        <f t="shared" si="22"/>
        <v>38.799999999999997</v>
      </c>
      <c r="BW13" s="11">
        <f t="shared" si="23"/>
        <v>21</v>
      </c>
      <c r="BX13" s="11">
        <f t="shared" si="24"/>
        <v>10.7</v>
      </c>
      <c r="BY13" s="11">
        <f t="shared" si="25"/>
        <v>59.8</v>
      </c>
      <c r="BZ13" s="11" t="str">
        <f t="shared" si="26"/>
        <v/>
      </c>
      <c r="CA13" s="11" t="str">
        <f t="shared" si="27"/>
        <v/>
      </c>
      <c r="CB13" s="11">
        <f t="shared" si="28"/>
        <v>59.8</v>
      </c>
      <c r="CC13" s="19">
        <v>18.100000000000001</v>
      </c>
      <c r="CD13" s="19">
        <v>5.2</v>
      </c>
      <c r="CE13" s="19">
        <v>0</v>
      </c>
      <c r="CF13" s="19">
        <v>0</v>
      </c>
      <c r="CG13" s="19">
        <v>17.8</v>
      </c>
      <c r="CH13" s="19">
        <v>5.6</v>
      </c>
      <c r="CI13" s="19">
        <v>0.8</v>
      </c>
      <c r="CJ13" s="19">
        <v>0.3</v>
      </c>
      <c r="CK13" s="19">
        <v>19</v>
      </c>
      <c r="CL13" s="19">
        <v>3.1</v>
      </c>
      <c r="CM13" s="19">
        <v>0</v>
      </c>
      <c r="CN13" s="19">
        <v>0</v>
      </c>
      <c r="CO13" s="19">
        <v>17.100000000000001</v>
      </c>
      <c r="CP13" s="19">
        <v>2.8</v>
      </c>
      <c r="CQ13" s="19">
        <v>0</v>
      </c>
      <c r="CR13" s="19">
        <v>0.3</v>
      </c>
      <c r="CS13" s="19">
        <v>18.2</v>
      </c>
      <c r="CT13" s="19">
        <v>5.2</v>
      </c>
      <c r="CU13" s="19">
        <v>0</v>
      </c>
      <c r="CV13" s="19">
        <v>0</v>
      </c>
      <c r="CW13" s="27"/>
      <c r="CX13" s="40">
        <f t="shared" si="29"/>
        <v>10.8</v>
      </c>
      <c r="CY13" s="40">
        <f t="shared" si="30"/>
        <v>46.2</v>
      </c>
      <c r="CZ13" s="40">
        <f t="shared" si="31"/>
        <v>22.1</v>
      </c>
      <c r="DA13" s="40">
        <f t="shared" si="32"/>
        <v>13.9</v>
      </c>
      <c r="DB13" s="40">
        <f t="shared" si="33"/>
        <v>68.300000000000011</v>
      </c>
      <c r="DC13" s="40">
        <f t="shared" si="34"/>
        <v>8</v>
      </c>
      <c r="DD13" s="40">
        <f t="shared" si="35"/>
        <v>43.600000000000009</v>
      </c>
      <c r="DE13" s="40">
        <f t="shared" si="36"/>
        <v>111.90000000000002</v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18.05</v>
      </c>
      <c r="QH13" s="22">
        <f t="shared" si="137"/>
        <v>5.1999999999999993</v>
      </c>
      <c r="QI13" s="22">
        <f t="shared" si="138"/>
        <v>0.3</v>
      </c>
      <c r="QJ13" s="22">
        <f t="shared" si="139"/>
        <v>0</v>
      </c>
      <c r="QK13" s="22">
        <f t="shared" si="140"/>
        <v>17</v>
      </c>
      <c r="QL13" s="22">
        <f t="shared" si="141"/>
        <v>3.8</v>
      </c>
      <c r="QM13" s="22">
        <f t="shared" si="142"/>
        <v>1.4</v>
      </c>
      <c r="QN13" s="22">
        <f t="shared" si="143"/>
        <v>0.15</v>
      </c>
      <c r="QO13" s="22">
        <f t="shared" si="144"/>
        <v>18.55</v>
      </c>
      <c r="QP13" s="22">
        <f t="shared" si="145"/>
        <v>3.3</v>
      </c>
      <c r="QQ13" s="22">
        <f t="shared" si="146"/>
        <v>0.3</v>
      </c>
      <c r="QR13" s="22">
        <f t="shared" si="147"/>
        <v>0</v>
      </c>
      <c r="QS13" s="22">
        <f t="shared" si="148"/>
        <v>8.5500000000000007</v>
      </c>
      <c r="QT13" s="22">
        <f t="shared" si="149"/>
        <v>1.4</v>
      </c>
      <c r="QU13" s="22">
        <f t="shared" si="150"/>
        <v>0</v>
      </c>
      <c r="QV13" s="22">
        <f t="shared" si="151"/>
        <v>0.15</v>
      </c>
      <c r="QW13" s="22">
        <f t="shared" si="152"/>
        <v>9.1</v>
      </c>
      <c r="QX13" s="22">
        <f t="shared" si="153"/>
        <v>2.6</v>
      </c>
      <c r="QY13" s="22">
        <f t="shared" si="154"/>
        <v>0</v>
      </c>
      <c r="QZ13" s="22">
        <f t="shared" si="155"/>
        <v>0</v>
      </c>
      <c r="RA13" s="27" t="s">
        <v>46</v>
      </c>
      <c r="RB13" s="40">
        <f t="shared" si="156"/>
        <v>9</v>
      </c>
      <c r="RC13" s="40">
        <f t="shared" si="157"/>
        <v>42.5</v>
      </c>
      <c r="RD13" s="40">
        <f t="shared" si="158"/>
        <v>21.55</v>
      </c>
      <c r="RE13" s="40">
        <f t="shared" si="159"/>
        <v>12.3</v>
      </c>
      <c r="RF13" s="40">
        <f t="shared" si="160"/>
        <v>64.05</v>
      </c>
      <c r="RG13" s="40">
        <f t="shared" si="161"/>
        <v>4</v>
      </c>
      <c r="RH13" s="40">
        <f t="shared" si="162"/>
        <v>21.800000000000004</v>
      </c>
      <c r="RI13" s="40">
        <f t="shared" si="163"/>
        <v>85.85</v>
      </c>
    </row>
    <row r="14" spans="1:477" x14ac:dyDescent="0.2">
      <c r="A14" s="4" t="str" cm="1">
        <f t="array" ref="A14">IF(AND(J14&lt;&gt;"",J14&lt;&gt;"No DD"),SUMPRODUCT((J$4:J$32&lt;&gt;"")*(J$4:J$32&lt;&gt;"No DD")*(F$4:F$32&gt;F14))+1,IF(J14="No DD",SUMPRODUCT((J$4:J$32="No DD")*(F$4:F$32&gt;F14))+1+SUMPRODUCT((J$4:J$32&lt;&gt;"")*(J$4:J$32&lt;&gt;"No DD")),""))</f>
        <v/>
      </c>
      <c r="B14" s="4" t="str" cm="1">
        <f t="array" ref="B14">IF(AND(J14&lt;&gt;"",J14&lt;&gt;"No DD",G14=""),SUMPRODUCT((J$4:J$32&lt;&gt;"")*(J$4:J$32&lt;&gt;"No DD")*(G$4:G$32="")*(F$4:F$32&gt;F14))+1,IF(J14="No DD",SUMPRODUCT((J$4:J$32="No DD")*(F$4:F$32&gt;F14)*(G$4:G$32=""))+1+SUMPRODUCT((J$4:J$32&lt;&gt;"")*(G$4:G$32="")*(J$4:J$32&lt;&gt;"No DD")),""))</f>
        <v/>
      </c>
      <c r="C14" s="5" t="s">
        <v>131</v>
      </c>
      <c r="D14" s="4" t="s">
        <v>5</v>
      </c>
      <c r="E14" s="4">
        <v>2005</v>
      </c>
      <c r="F14" s="9">
        <f t="shared" si="0"/>
        <v>148.80001068000445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44.3</v>
      </c>
      <c r="M14" s="8" t="str">
        <f t="shared" si="5"/>
        <v>2023 3rd Domestic Trial</v>
      </c>
      <c r="N14" s="8">
        <f>IF(COUNT(AS14,BV14,CY14)&gt;1,LARGE((AS14,BV14,CY14),2),0)</f>
        <v>43.6</v>
      </c>
      <c r="O14" s="8" t="str">
        <f t="shared" si="6"/>
        <v>2023 Nationals</v>
      </c>
      <c r="P14" s="8">
        <f>IF(COUNT(AT14,BW14,CZ14)&gt;0,LARGE((AT14,BW14,CZ14),1),0)</f>
        <v>18.899999999999999</v>
      </c>
      <c r="Q14" s="8" t="str">
        <f t="shared" si="7"/>
        <v>2023 Nationals</v>
      </c>
      <c r="R14" s="8">
        <f t="shared" si="8"/>
        <v>41.999999999999993</v>
      </c>
      <c r="S14" s="8" t="str">
        <f t="shared" si="9"/>
        <v>2023 Nationals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18.3</v>
      </c>
      <c r="X14" s="19">
        <v>3.1</v>
      </c>
      <c r="Y14" s="19">
        <v>0</v>
      </c>
      <c r="Z14" s="19">
        <v>0</v>
      </c>
      <c r="AA14" s="19">
        <v>17.8</v>
      </c>
      <c r="AB14" s="19">
        <v>4.4000000000000004</v>
      </c>
      <c r="AC14" s="19">
        <v>0</v>
      </c>
      <c r="AD14" s="19">
        <v>0</v>
      </c>
      <c r="AE14" s="19">
        <v>18.899999999999999</v>
      </c>
      <c r="AF14" s="19">
        <v>1.2</v>
      </c>
      <c r="AG14" s="19">
        <v>1.2</v>
      </c>
      <c r="AH14" s="19">
        <v>0</v>
      </c>
      <c r="AI14" s="19">
        <v>17.7</v>
      </c>
      <c r="AJ14" s="19">
        <v>4.4000000000000004</v>
      </c>
      <c r="AK14" s="19">
        <v>0.4</v>
      </c>
      <c r="AL14" s="19">
        <v>0</v>
      </c>
      <c r="AM14" s="19">
        <v>17.2</v>
      </c>
      <c r="AN14" s="19">
        <v>2.8</v>
      </c>
      <c r="AO14" s="19">
        <v>0</v>
      </c>
      <c r="AP14" s="19">
        <v>0.3</v>
      </c>
      <c r="AQ14" s="27"/>
      <c r="AR14" s="40">
        <f t="shared" si="13"/>
        <v>7.5</v>
      </c>
      <c r="AS14" s="40">
        <f t="shared" si="14"/>
        <v>43.6</v>
      </c>
      <c r="AT14" s="40">
        <f t="shared" si="15"/>
        <v>18.899999999999999</v>
      </c>
      <c r="AU14" s="40">
        <f t="shared" si="16"/>
        <v>8.6999999999999993</v>
      </c>
      <c r="AV14" s="40">
        <f t="shared" si="17"/>
        <v>62.5</v>
      </c>
      <c r="AW14" s="40">
        <f t="shared" si="18"/>
        <v>7.2</v>
      </c>
      <c r="AX14" s="40">
        <f t="shared" si="19"/>
        <v>41.999999999999993</v>
      </c>
      <c r="AY14" s="40">
        <f t="shared" si="20"/>
        <v>104.5</v>
      </c>
      <c r="AZ14" s="18">
        <v>18.2</v>
      </c>
      <c r="BA14" s="18">
        <v>4.4000000000000004</v>
      </c>
      <c r="BB14" s="18">
        <v>0.8</v>
      </c>
      <c r="BC14" s="18">
        <v>0</v>
      </c>
      <c r="BD14" s="18">
        <v>17.2</v>
      </c>
      <c r="BE14" s="18">
        <v>5.1999999999999993</v>
      </c>
      <c r="BF14" s="18">
        <v>0.2</v>
      </c>
      <c r="BG14" s="18">
        <v>0.3</v>
      </c>
      <c r="BH14" s="18">
        <v>17.5</v>
      </c>
      <c r="BI14" s="18">
        <v>1.2</v>
      </c>
      <c r="BJ14" s="18">
        <v>0</v>
      </c>
      <c r="BK14" s="18">
        <v>0</v>
      </c>
      <c r="BL14" s="18">
        <v>18.399999999999999</v>
      </c>
      <c r="BM14" s="18">
        <v>3.2</v>
      </c>
      <c r="BN14" s="18">
        <v>0.2</v>
      </c>
      <c r="BO14" s="18">
        <v>0</v>
      </c>
      <c r="BP14" s="18">
        <v>17</v>
      </c>
      <c r="BQ14" s="18">
        <v>2.4</v>
      </c>
      <c r="BR14" s="18">
        <v>0</v>
      </c>
      <c r="BS14" s="18">
        <v>0</v>
      </c>
      <c r="BT14" s="28"/>
      <c r="BU14" s="11">
        <f t="shared" si="21"/>
        <v>9.6</v>
      </c>
      <c r="BV14" s="11">
        <f t="shared" si="22"/>
        <v>44.3</v>
      </c>
      <c r="BW14" s="11">
        <f t="shared" si="23"/>
        <v>18.7</v>
      </c>
      <c r="BX14" s="11">
        <f t="shared" si="24"/>
        <v>10.799999999999999</v>
      </c>
      <c r="BY14" s="11">
        <f t="shared" si="25"/>
        <v>63</v>
      </c>
      <c r="BZ14" s="11">
        <f t="shared" si="26"/>
        <v>5.6</v>
      </c>
      <c r="CA14" s="11">
        <f t="shared" si="27"/>
        <v>40.79999999999999</v>
      </c>
      <c r="CB14" s="11">
        <f t="shared" si="28"/>
        <v>103.79999999999998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 t="shared" si="29"/>
        <v/>
      </c>
      <c r="CY14" s="40" t="str">
        <f t="shared" si="30"/>
        <v/>
      </c>
      <c r="CZ14" s="40" t="str">
        <f t="shared" si="31"/>
        <v/>
      </c>
      <c r="DA14" s="40" t="str">
        <f t="shared" si="32"/>
        <v/>
      </c>
      <c r="DB14" s="40" t="str">
        <f t="shared" si="33"/>
        <v/>
      </c>
      <c r="DC14" s="40" t="str">
        <f t="shared" si="34"/>
        <v/>
      </c>
      <c r="DD14" s="40" t="str">
        <f t="shared" si="35"/>
        <v/>
      </c>
      <c r="DE14" s="40" t="str">
        <f t="shared" si="36"/>
        <v/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9.1</v>
      </c>
      <c r="QH14" s="22">
        <f t="shared" si="137"/>
        <v>2.2000000000000002</v>
      </c>
      <c r="QI14" s="22">
        <f t="shared" si="138"/>
        <v>0.4</v>
      </c>
      <c r="QJ14" s="22">
        <f t="shared" si="139"/>
        <v>0</v>
      </c>
      <c r="QK14" s="22">
        <f t="shared" si="140"/>
        <v>8.6</v>
      </c>
      <c r="QL14" s="22">
        <f t="shared" si="141"/>
        <v>2.5999999999999996</v>
      </c>
      <c r="QM14" s="22">
        <f t="shared" si="142"/>
        <v>0.1</v>
      </c>
      <c r="QN14" s="22">
        <f t="shared" si="143"/>
        <v>0.15</v>
      </c>
      <c r="QO14" s="22">
        <f t="shared" si="144"/>
        <v>8.75</v>
      </c>
      <c r="QP14" s="22">
        <f t="shared" si="145"/>
        <v>0.6</v>
      </c>
      <c r="QQ14" s="22">
        <f t="shared" si="146"/>
        <v>0</v>
      </c>
      <c r="QR14" s="22">
        <f t="shared" si="147"/>
        <v>0</v>
      </c>
      <c r="QS14" s="22">
        <f t="shared" si="148"/>
        <v>9.1999999999999993</v>
      </c>
      <c r="QT14" s="22">
        <f t="shared" si="149"/>
        <v>1.6</v>
      </c>
      <c r="QU14" s="22">
        <f t="shared" si="150"/>
        <v>0.1</v>
      </c>
      <c r="QV14" s="22">
        <f t="shared" si="151"/>
        <v>0</v>
      </c>
      <c r="QW14" s="22">
        <f t="shared" si="152"/>
        <v>8.5</v>
      </c>
      <c r="QX14" s="22">
        <f t="shared" si="153"/>
        <v>1.2</v>
      </c>
      <c r="QY14" s="22">
        <f t="shared" si="154"/>
        <v>0</v>
      </c>
      <c r="QZ14" s="22">
        <f t="shared" si="155"/>
        <v>0</v>
      </c>
      <c r="RA14" s="27" t="s">
        <v>46</v>
      </c>
      <c r="RB14" s="40">
        <f t="shared" si="156"/>
        <v>4.8</v>
      </c>
      <c r="RC14" s="40">
        <f t="shared" si="157"/>
        <v>22.15</v>
      </c>
      <c r="RD14" s="40">
        <f t="shared" si="158"/>
        <v>9.35</v>
      </c>
      <c r="RE14" s="40">
        <f t="shared" si="159"/>
        <v>5.3999999999999995</v>
      </c>
      <c r="RF14" s="40">
        <f t="shared" si="160"/>
        <v>31.5</v>
      </c>
      <c r="RG14" s="40">
        <f t="shared" si="161"/>
        <v>2.8</v>
      </c>
      <c r="RH14" s="40">
        <f t="shared" si="162"/>
        <v>20.399999999999995</v>
      </c>
      <c r="RI14" s="40">
        <f t="shared" si="163"/>
        <v>51.899999999999991</v>
      </c>
    </row>
    <row r="15" spans="1:477" x14ac:dyDescent="0.2">
      <c r="A15" s="4" t="str" cm="1">
        <f t="array" ref="A15">IF(AND(J15&lt;&gt;"",J15&lt;&gt;"No DD"),SUMPRODUCT((J$4:J$32&lt;&gt;"")*(J$4:J$32&lt;&gt;"No DD")*(F$4:F$32&gt;F15))+1,IF(J15="No DD",SUMPRODUCT((J$4:J$32="No DD")*(F$4:F$32&gt;F15))+1+SUMPRODUCT((J$4:J$32&lt;&gt;"")*(J$4:J$32&lt;&gt;"No DD")),""))</f>
        <v/>
      </c>
      <c r="B15" s="4" t="str" cm="1">
        <f t="array" ref="B15">IF(AND(J15&lt;&gt;"",J15&lt;&gt;"No DD",G15=""),SUMPRODUCT((J$4:J$32&lt;&gt;"")*(J$4:J$32&lt;&gt;"No DD")*(G$4:G$32="")*(F$4:F$32&gt;F15))+1,IF(J15="No DD",SUMPRODUCT((J$4:J$32="No DD")*(F$4:F$32&gt;F15)*(G$4:G$32=""))+1+SUMPRODUCT((J$4:J$32&lt;&gt;"")*(G$4:G$32="")*(J$4:J$32&lt;&gt;"No DD")),""))</f>
        <v/>
      </c>
      <c r="C15" s="5" t="s">
        <v>235</v>
      </c>
      <c r="D15" s="4" t="s">
        <v>5</v>
      </c>
      <c r="E15" s="4">
        <v>2005</v>
      </c>
      <c r="F15" s="9">
        <f t="shared" si="0"/>
        <v>110.50000657000437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43.8</v>
      </c>
      <c r="M15" s="8" t="str">
        <f t="shared" si="5"/>
        <v>2024 Elite Canada</v>
      </c>
      <c r="N15" s="8">
        <f>IF(COUNT(AS15,BV15,CY15)&gt;1,LARGE((AS15,BV15,CY15),2),0)</f>
        <v>0</v>
      </c>
      <c r="O15" s="8" t="str">
        <f t="shared" si="6"/>
        <v/>
      </c>
      <c r="P15" s="8">
        <f>IF(COUNT(AT15,BW15,CZ15)&gt;0,LARGE((AT15,BW15,CZ15),1),0)</f>
        <v>21.900000000000002</v>
      </c>
      <c r="Q15" s="8" t="str">
        <f t="shared" si="7"/>
        <v>2024 Elite Canada</v>
      </c>
      <c r="R15" s="8">
        <f t="shared" si="8"/>
        <v>44.8</v>
      </c>
      <c r="S15" s="8" t="str">
        <f t="shared" si="9"/>
        <v>2024 Elite Canada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 t="shared" si="13"/>
        <v/>
      </c>
      <c r="AS15" s="40" t="str">
        <f t="shared" si="14"/>
        <v/>
      </c>
      <c r="AT15" s="40" t="str">
        <f t="shared" si="15"/>
        <v/>
      </c>
      <c r="AU15" s="40" t="str">
        <f t="shared" si="16"/>
        <v/>
      </c>
      <c r="AV15" s="40" t="str">
        <f t="shared" si="17"/>
        <v/>
      </c>
      <c r="AW15" s="40" t="str">
        <f t="shared" si="18"/>
        <v/>
      </c>
      <c r="AX15" s="40" t="str">
        <f t="shared" si="19"/>
        <v/>
      </c>
      <c r="AY15" s="40" t="str">
        <f t="shared" si="20"/>
        <v/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 t="shared" si="21"/>
        <v/>
      </c>
      <c r="BV15" s="11" t="str">
        <f t="shared" si="22"/>
        <v/>
      </c>
      <c r="BW15" s="11" t="str">
        <f t="shared" si="23"/>
        <v/>
      </c>
      <c r="BX15" s="11" t="str">
        <f t="shared" si="24"/>
        <v/>
      </c>
      <c r="BY15" s="11" t="str">
        <f t="shared" si="25"/>
        <v/>
      </c>
      <c r="BZ15" s="11" t="str">
        <f t="shared" si="26"/>
        <v/>
      </c>
      <c r="CA15" s="11" t="str">
        <f t="shared" si="27"/>
        <v/>
      </c>
      <c r="CB15" s="11" t="str">
        <f t="shared" si="28"/>
        <v/>
      </c>
      <c r="CC15" s="19">
        <v>18</v>
      </c>
      <c r="CD15" s="19">
        <v>4.8</v>
      </c>
      <c r="CE15" s="19">
        <v>0.2</v>
      </c>
      <c r="CF15" s="19">
        <v>0</v>
      </c>
      <c r="CG15" s="19">
        <v>16.100000000000001</v>
      </c>
      <c r="CH15" s="19">
        <v>4.8</v>
      </c>
      <c r="CI15" s="19">
        <v>0</v>
      </c>
      <c r="CJ15" s="19">
        <v>0.3</v>
      </c>
      <c r="CK15" s="19">
        <v>18.600000000000001</v>
      </c>
      <c r="CL15" s="19">
        <v>3.5</v>
      </c>
      <c r="CM15" s="19">
        <v>0.2</v>
      </c>
      <c r="CN15" s="19">
        <v>0</v>
      </c>
      <c r="CO15" s="19">
        <v>18</v>
      </c>
      <c r="CP15" s="19">
        <v>4.8</v>
      </c>
      <c r="CQ15" s="19">
        <v>0.2</v>
      </c>
      <c r="CR15" s="19">
        <v>0</v>
      </c>
      <c r="CS15" s="19">
        <v>17.899999999999999</v>
      </c>
      <c r="CT15" s="19">
        <v>4.8</v>
      </c>
      <c r="CU15" s="19">
        <v>0.8</v>
      </c>
      <c r="CV15" s="19">
        <v>0.3</v>
      </c>
      <c r="CW15" s="27"/>
      <c r="CX15" s="40">
        <f t="shared" si="29"/>
        <v>9.6</v>
      </c>
      <c r="CY15" s="40">
        <f t="shared" si="30"/>
        <v>43.8</v>
      </c>
      <c r="CZ15" s="40">
        <f t="shared" si="31"/>
        <v>21.900000000000002</v>
      </c>
      <c r="DA15" s="40">
        <f t="shared" si="32"/>
        <v>13.1</v>
      </c>
      <c r="DB15" s="40">
        <f t="shared" si="33"/>
        <v>65.7</v>
      </c>
      <c r="DC15" s="40">
        <f t="shared" si="34"/>
        <v>9.6</v>
      </c>
      <c r="DD15" s="40">
        <f t="shared" si="35"/>
        <v>44.8</v>
      </c>
      <c r="DE15" s="40">
        <f t="shared" si="36"/>
        <v>110.5</v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9</v>
      </c>
      <c r="QH15" s="22">
        <f t="shared" si="137"/>
        <v>2.4</v>
      </c>
      <c r="QI15" s="22">
        <f t="shared" si="138"/>
        <v>0.1</v>
      </c>
      <c r="QJ15" s="22">
        <f t="shared" si="139"/>
        <v>0</v>
      </c>
      <c r="QK15" s="22">
        <f t="shared" si="140"/>
        <v>8.0500000000000007</v>
      </c>
      <c r="QL15" s="22">
        <f t="shared" si="141"/>
        <v>2.4</v>
      </c>
      <c r="QM15" s="22">
        <f t="shared" si="142"/>
        <v>0</v>
      </c>
      <c r="QN15" s="22">
        <f t="shared" si="143"/>
        <v>0.15</v>
      </c>
      <c r="QO15" s="22">
        <f t="shared" si="144"/>
        <v>9.3000000000000007</v>
      </c>
      <c r="QP15" s="22">
        <f t="shared" si="145"/>
        <v>1.75</v>
      </c>
      <c r="QQ15" s="22">
        <f t="shared" si="146"/>
        <v>0.1</v>
      </c>
      <c r="QR15" s="22">
        <f t="shared" si="147"/>
        <v>0</v>
      </c>
      <c r="QS15" s="22">
        <f t="shared" si="148"/>
        <v>9</v>
      </c>
      <c r="QT15" s="22">
        <f t="shared" si="149"/>
        <v>2.4</v>
      </c>
      <c r="QU15" s="22">
        <f t="shared" si="150"/>
        <v>0.1</v>
      </c>
      <c r="QV15" s="22">
        <f t="shared" si="151"/>
        <v>0</v>
      </c>
      <c r="QW15" s="22">
        <f t="shared" si="152"/>
        <v>8.9499999999999993</v>
      </c>
      <c r="QX15" s="22">
        <f t="shared" si="153"/>
        <v>2.4</v>
      </c>
      <c r="QY15" s="22">
        <f t="shared" si="154"/>
        <v>0.4</v>
      </c>
      <c r="QZ15" s="22">
        <f t="shared" si="155"/>
        <v>0.15</v>
      </c>
      <c r="RA15" s="27" t="s">
        <v>46</v>
      </c>
      <c r="RB15" s="40">
        <f t="shared" si="156"/>
        <v>4.8</v>
      </c>
      <c r="RC15" s="40">
        <f t="shared" si="157"/>
        <v>21.9</v>
      </c>
      <c r="RD15" s="40">
        <f t="shared" si="158"/>
        <v>10.950000000000001</v>
      </c>
      <c r="RE15" s="40">
        <f t="shared" si="159"/>
        <v>6.55</v>
      </c>
      <c r="RF15" s="40">
        <f t="shared" si="160"/>
        <v>32.85</v>
      </c>
      <c r="RG15" s="40">
        <f t="shared" si="161"/>
        <v>4.8</v>
      </c>
      <c r="RH15" s="40">
        <f t="shared" si="162"/>
        <v>22.4</v>
      </c>
      <c r="RI15" s="40">
        <f t="shared" si="163"/>
        <v>55.25</v>
      </c>
    </row>
    <row r="16" spans="1:477" x14ac:dyDescent="0.2">
      <c r="A16" s="4" t="str" cm="1">
        <f t="array" ref="A16">IF(AND(J16&lt;&gt;"",J16&lt;&gt;"No DD"),SUMPRODUCT((J$4:J$32&lt;&gt;"")*(J$4:J$32&lt;&gt;"No DD")*(F$4:F$32&gt;F16))+1,IF(J16="No DD",SUMPRODUCT((J$4:J$32="No DD")*(F$4:F$32&gt;F16))+1+SUMPRODUCT((J$4:J$32&lt;&gt;"")*(J$4:J$32&lt;&gt;"No DD")),""))</f>
        <v/>
      </c>
      <c r="B16" s="4" t="str" cm="1">
        <f t="array" ref="B16">IF(AND(J16&lt;&gt;"",J16&lt;&gt;"No DD",G16=""),SUMPRODUCT((J$4:J$32&lt;&gt;"")*(J$4:J$32&lt;&gt;"No DD")*(G$4:G$32="")*(F$4:F$32&gt;F16))+1,IF(J16="No DD",SUMPRODUCT((J$4:J$32="No DD")*(F$4:F$32&gt;F16)*(G$4:G$32=""))+1+SUMPRODUCT((J$4:J$32&lt;&gt;"")*(G$4:G$32="")*(J$4:J$32&lt;&gt;"No DD")),""))</f>
        <v/>
      </c>
      <c r="C16" s="5" t="s">
        <v>234</v>
      </c>
      <c r="D16" s="4" t="s">
        <v>4</v>
      </c>
      <c r="E16" s="4">
        <v>2007</v>
      </c>
      <c r="F16" s="9">
        <f t="shared" si="0"/>
        <v>109.40000672000453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45.199999999999996</v>
      </c>
      <c r="M16" s="8" t="str">
        <f t="shared" si="5"/>
        <v>2023 Nationals</v>
      </c>
      <c r="N16" s="8">
        <f>IF(COUNT(AS16,BV16,CY16)&gt;1,LARGE((AS16,BV16,CY16),2),0)</f>
        <v>22.000000000000004</v>
      </c>
      <c r="O16" s="8" t="str">
        <f t="shared" si="6"/>
        <v>2024 Elite Canada</v>
      </c>
      <c r="P16" s="8">
        <f>IF(COUNT(AT16,BW16,CZ16)&gt;0,LARGE((AT16,BW16,CZ16),1),0)</f>
        <v>0</v>
      </c>
      <c r="Q16" s="8" t="str">
        <f t="shared" si="7"/>
        <v/>
      </c>
      <c r="R16" s="8">
        <f t="shared" si="8"/>
        <v>42.199999999999996</v>
      </c>
      <c r="S16" s="8" t="str">
        <f t="shared" si="9"/>
        <v>2023 Nationals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18.3</v>
      </c>
      <c r="X16" s="19">
        <v>5.2</v>
      </c>
      <c r="Y16" s="19">
        <v>0</v>
      </c>
      <c r="Z16" s="19">
        <v>0</v>
      </c>
      <c r="AA16" s="19">
        <v>17.899999999999999</v>
      </c>
      <c r="AB16" s="19">
        <v>4.8</v>
      </c>
      <c r="AC16" s="19">
        <v>1</v>
      </c>
      <c r="AD16" s="19">
        <v>0</v>
      </c>
      <c r="AE16" s="19"/>
      <c r="AF16" s="19"/>
      <c r="AG16" s="19"/>
      <c r="AH16" s="19"/>
      <c r="AI16" s="19">
        <v>17.100000000000001</v>
      </c>
      <c r="AJ16" s="19">
        <v>2.8</v>
      </c>
      <c r="AK16" s="19">
        <v>0</v>
      </c>
      <c r="AL16" s="19">
        <v>0.3</v>
      </c>
      <c r="AM16" s="19">
        <v>18.3</v>
      </c>
      <c r="AN16" s="19">
        <v>3.9</v>
      </c>
      <c r="AO16" s="19">
        <v>0.2</v>
      </c>
      <c r="AP16" s="19">
        <v>0</v>
      </c>
      <c r="AQ16" s="27"/>
      <c r="AR16" s="40">
        <f t="shared" si="13"/>
        <v>10</v>
      </c>
      <c r="AS16" s="40">
        <f t="shared" si="14"/>
        <v>45.199999999999996</v>
      </c>
      <c r="AT16" s="40" t="str">
        <f t="shared" si="15"/>
        <v/>
      </c>
      <c r="AU16" s="40">
        <f t="shared" si="16"/>
        <v>10</v>
      </c>
      <c r="AV16" s="40">
        <f t="shared" si="17"/>
        <v>45.199999999999996</v>
      </c>
      <c r="AW16" s="40">
        <f t="shared" si="18"/>
        <v>6.6999999999999993</v>
      </c>
      <c r="AX16" s="40">
        <f t="shared" si="19"/>
        <v>42.199999999999996</v>
      </c>
      <c r="AY16" s="40">
        <f t="shared" si="20"/>
        <v>87.399999999999991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 t="shared" si="21"/>
        <v/>
      </c>
      <c r="BV16" s="11" t="str">
        <f t="shared" si="22"/>
        <v/>
      </c>
      <c r="BW16" s="11" t="str">
        <f t="shared" si="23"/>
        <v/>
      </c>
      <c r="BX16" s="11" t="str">
        <f t="shared" si="24"/>
        <v/>
      </c>
      <c r="BY16" s="11" t="str">
        <f t="shared" si="25"/>
        <v/>
      </c>
      <c r="BZ16" s="11" t="str">
        <f t="shared" si="26"/>
        <v/>
      </c>
      <c r="CA16" s="11" t="str">
        <f t="shared" si="27"/>
        <v/>
      </c>
      <c r="CB16" s="11" t="str">
        <f t="shared" si="28"/>
        <v/>
      </c>
      <c r="CC16" s="19">
        <v>16.600000000000001</v>
      </c>
      <c r="CD16" s="19">
        <v>5.6</v>
      </c>
      <c r="CE16" s="19">
        <v>0.2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 t="shared" si="29"/>
        <v>5.6</v>
      </c>
      <c r="CY16" s="40">
        <f t="shared" si="30"/>
        <v>22.000000000000004</v>
      </c>
      <c r="CZ16" s="40" t="str">
        <f t="shared" si="31"/>
        <v/>
      </c>
      <c r="DA16" s="40">
        <f t="shared" si="32"/>
        <v>5.6</v>
      </c>
      <c r="DB16" s="40">
        <f t="shared" si="33"/>
        <v>22.000000000000004</v>
      </c>
      <c r="DC16" s="40" t="str">
        <f t="shared" si="34"/>
        <v/>
      </c>
      <c r="DD16" s="40" t="str">
        <f t="shared" si="35"/>
        <v/>
      </c>
      <c r="DE16" s="40">
        <f t="shared" si="36"/>
        <v>22.000000000000004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8.3000000000000007</v>
      </c>
      <c r="QH16" s="22">
        <f t="shared" si="137"/>
        <v>2.8</v>
      </c>
      <c r="QI16" s="22">
        <f t="shared" si="138"/>
        <v>0.1</v>
      </c>
      <c r="QJ16" s="22">
        <f t="shared" si="139"/>
        <v>0</v>
      </c>
      <c r="QK16" s="22">
        <f t="shared" si="140"/>
        <v>0</v>
      </c>
      <c r="QL16" s="22">
        <f t="shared" si="141"/>
        <v>0</v>
      </c>
      <c r="QM16" s="22">
        <f t="shared" si="142"/>
        <v>0</v>
      </c>
      <c r="QN16" s="22">
        <f t="shared" si="143"/>
        <v>0</v>
      </c>
      <c r="QO16" s="22">
        <f t="shared" si="144"/>
        <v>0</v>
      </c>
      <c r="QP16" s="22">
        <f t="shared" si="145"/>
        <v>0</v>
      </c>
      <c r="QQ16" s="22">
        <f t="shared" si="146"/>
        <v>0</v>
      </c>
      <c r="QR16" s="22">
        <f t="shared" si="147"/>
        <v>0</v>
      </c>
      <c r="QS16" s="22">
        <f t="shared" si="148"/>
        <v>0</v>
      </c>
      <c r="QT16" s="22">
        <f t="shared" si="149"/>
        <v>0</v>
      </c>
      <c r="QU16" s="22">
        <f t="shared" si="150"/>
        <v>0</v>
      </c>
      <c r="QV16" s="22">
        <f t="shared" si="151"/>
        <v>0</v>
      </c>
      <c r="QW16" s="22">
        <f t="shared" si="152"/>
        <v>0</v>
      </c>
      <c r="QX16" s="22">
        <f t="shared" si="153"/>
        <v>0</v>
      </c>
      <c r="QY16" s="22">
        <f t="shared" si="154"/>
        <v>0</v>
      </c>
      <c r="QZ16" s="22">
        <f t="shared" si="155"/>
        <v>0</v>
      </c>
      <c r="RA16" s="27" t="s">
        <v>46</v>
      </c>
      <c r="RB16" s="40">
        <f t="shared" si="156"/>
        <v>2.8</v>
      </c>
      <c r="RC16" s="40">
        <f t="shared" si="157"/>
        <v>11.000000000000002</v>
      </c>
      <c r="RD16" s="40" t="str">
        <f t="shared" si="158"/>
        <v/>
      </c>
      <c r="RE16" s="40">
        <f t="shared" si="159"/>
        <v>2.8</v>
      </c>
      <c r="RF16" s="40">
        <f t="shared" si="160"/>
        <v>11.000000000000002</v>
      </c>
      <c r="RG16" s="40" t="str">
        <f t="shared" si="161"/>
        <v/>
      </c>
      <c r="RH16" s="40" t="str">
        <f t="shared" si="162"/>
        <v/>
      </c>
      <c r="RI16" s="40">
        <f t="shared" si="163"/>
        <v>11.000000000000002</v>
      </c>
    </row>
    <row r="17" spans="1:477" x14ac:dyDescent="0.2">
      <c r="A17" s="4" t="str" cm="1">
        <f t="array" ref="A17">IF(AND(J17&lt;&gt;"",J17&lt;&gt;"No DD"),SUMPRODUCT((J$4:J$32&lt;&gt;"")*(J$4:J$32&lt;&gt;"No DD")*(F$4:F$32&gt;F17))+1,IF(J17="No DD",SUMPRODUCT((J$4:J$32="No DD")*(F$4:F$32&gt;F17))+1+SUMPRODUCT((J$4:J$32&lt;&gt;"")*(J$4:J$32&lt;&gt;"No DD")),""))</f>
        <v/>
      </c>
      <c r="B17" s="4" t="str" cm="1">
        <f t="array" ref="B17">IF(AND(J17&lt;&gt;"",J17&lt;&gt;"No DD",G17=""),SUMPRODUCT((J$4:J$32&lt;&gt;"")*(J$4:J$32&lt;&gt;"No DD")*(G$4:G$32="")*(F$4:F$32&gt;F17))+1,IF(J17="No DD",SUMPRODUCT((J$4:J$32="No DD")*(F$4:F$32&gt;F17)*(G$4:G$32=""))+1+SUMPRODUCT((J$4:J$32&lt;&gt;"")*(G$4:G$32="")*(J$4:J$32&lt;&gt;"No DD")),""))</f>
        <v/>
      </c>
      <c r="C17" s="5" t="s">
        <v>242</v>
      </c>
      <c r="D17" s="4" t="s">
        <v>4</v>
      </c>
      <c r="E17" s="4">
        <v>2007</v>
      </c>
      <c r="F17" s="9">
        <f t="shared" si="0"/>
        <v>108.70000644000427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42.6</v>
      </c>
      <c r="M17" s="8" t="str">
        <f t="shared" si="5"/>
        <v>2024 Elite Canada</v>
      </c>
      <c r="N17" s="8">
        <f>IF(COUNT(AS17,BV17,CY17)&gt;1,LARGE((AS17,BV17,CY17),2),0)</f>
        <v>0</v>
      </c>
      <c r="O17" s="8" t="str">
        <f t="shared" si="6"/>
        <v/>
      </c>
      <c r="P17" s="8">
        <f>IF(COUNT(AT17,BW17,CZ17)&gt;0,LARGE((AT17,BW17,CZ17),1),0)</f>
        <v>21.8</v>
      </c>
      <c r="Q17" s="8" t="str">
        <f t="shared" si="7"/>
        <v>2024 Elite Canada</v>
      </c>
      <c r="R17" s="8">
        <f t="shared" si="8"/>
        <v>44.3</v>
      </c>
      <c r="S17" s="8" t="str">
        <f t="shared" si="9"/>
        <v>2024 Elite Canada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 t="shared" si="13"/>
        <v/>
      </c>
      <c r="AS17" s="40" t="str">
        <f t="shared" si="14"/>
        <v/>
      </c>
      <c r="AT17" s="40" t="str">
        <f t="shared" si="15"/>
        <v/>
      </c>
      <c r="AU17" s="40" t="str">
        <f t="shared" si="16"/>
        <v/>
      </c>
      <c r="AV17" s="40" t="str">
        <f t="shared" si="17"/>
        <v/>
      </c>
      <c r="AW17" s="40" t="str">
        <f t="shared" si="18"/>
        <v/>
      </c>
      <c r="AX17" s="40" t="str">
        <f t="shared" si="19"/>
        <v/>
      </c>
      <c r="AY17" s="40" t="str">
        <f t="shared" si="20"/>
        <v/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 t="shared" si="21"/>
        <v/>
      </c>
      <c r="BV17" s="11" t="str">
        <f t="shared" si="22"/>
        <v/>
      </c>
      <c r="BW17" s="11" t="str">
        <f t="shared" si="23"/>
        <v/>
      </c>
      <c r="BX17" s="11" t="str">
        <f t="shared" si="24"/>
        <v/>
      </c>
      <c r="BY17" s="11" t="str">
        <f t="shared" si="25"/>
        <v/>
      </c>
      <c r="BZ17" s="11" t="str">
        <f t="shared" si="26"/>
        <v/>
      </c>
      <c r="CA17" s="11" t="str">
        <f t="shared" si="27"/>
        <v/>
      </c>
      <c r="CB17" s="11" t="str">
        <f t="shared" si="28"/>
        <v/>
      </c>
      <c r="CC17" s="19">
        <v>18.100000000000001</v>
      </c>
      <c r="CD17" s="19">
        <v>3.2</v>
      </c>
      <c r="CE17" s="19">
        <v>0.2</v>
      </c>
      <c r="CF17" s="19">
        <v>0</v>
      </c>
      <c r="CG17" s="19">
        <v>18.600000000000001</v>
      </c>
      <c r="CH17" s="19">
        <v>3.1</v>
      </c>
      <c r="CI17" s="19">
        <v>0.2</v>
      </c>
      <c r="CJ17" s="19">
        <v>0</v>
      </c>
      <c r="CK17" s="19">
        <v>18.5</v>
      </c>
      <c r="CL17" s="19">
        <v>3.3</v>
      </c>
      <c r="CM17" s="19">
        <v>0</v>
      </c>
      <c r="CN17" s="19">
        <v>0</v>
      </c>
      <c r="CO17" s="19">
        <v>18.5</v>
      </c>
      <c r="CP17" s="19">
        <v>3.2</v>
      </c>
      <c r="CQ17" s="19">
        <v>0</v>
      </c>
      <c r="CR17" s="19">
        <v>0</v>
      </c>
      <c r="CS17" s="19">
        <v>19.100000000000001</v>
      </c>
      <c r="CT17" s="19">
        <v>3.5</v>
      </c>
      <c r="CU17" s="19">
        <v>0</v>
      </c>
      <c r="CV17" s="19">
        <v>0</v>
      </c>
      <c r="CW17" s="27"/>
      <c r="CX17" s="40">
        <f t="shared" si="29"/>
        <v>6.3000000000000007</v>
      </c>
      <c r="CY17" s="40">
        <f t="shared" si="30"/>
        <v>42.6</v>
      </c>
      <c r="CZ17" s="40">
        <f t="shared" si="31"/>
        <v>21.8</v>
      </c>
      <c r="DA17" s="40">
        <f t="shared" si="32"/>
        <v>9.6000000000000014</v>
      </c>
      <c r="DB17" s="40">
        <f t="shared" si="33"/>
        <v>64.400000000000006</v>
      </c>
      <c r="DC17" s="40">
        <f t="shared" si="34"/>
        <v>6.7</v>
      </c>
      <c r="DD17" s="40">
        <f t="shared" si="35"/>
        <v>44.3</v>
      </c>
      <c r="DE17" s="40">
        <f t="shared" si="36"/>
        <v>108.7</v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9.0500000000000007</v>
      </c>
      <c r="QH17" s="22">
        <f t="shared" si="137"/>
        <v>1.6</v>
      </c>
      <c r="QI17" s="22">
        <f t="shared" si="138"/>
        <v>0.1</v>
      </c>
      <c r="QJ17" s="22">
        <f t="shared" si="139"/>
        <v>0</v>
      </c>
      <c r="QK17" s="22">
        <f t="shared" si="140"/>
        <v>9.3000000000000007</v>
      </c>
      <c r="QL17" s="22">
        <f t="shared" si="141"/>
        <v>1.55</v>
      </c>
      <c r="QM17" s="22">
        <f t="shared" si="142"/>
        <v>0.1</v>
      </c>
      <c r="QN17" s="22">
        <f t="shared" si="143"/>
        <v>0</v>
      </c>
      <c r="QO17" s="22">
        <f t="shared" si="144"/>
        <v>9.25</v>
      </c>
      <c r="QP17" s="22">
        <f t="shared" si="145"/>
        <v>1.65</v>
      </c>
      <c r="QQ17" s="22">
        <f t="shared" si="146"/>
        <v>0</v>
      </c>
      <c r="QR17" s="22">
        <f t="shared" si="147"/>
        <v>0</v>
      </c>
      <c r="QS17" s="22">
        <f t="shared" si="148"/>
        <v>9.25</v>
      </c>
      <c r="QT17" s="22">
        <f t="shared" si="149"/>
        <v>1.6</v>
      </c>
      <c r="QU17" s="22">
        <f t="shared" si="150"/>
        <v>0</v>
      </c>
      <c r="QV17" s="22">
        <f t="shared" si="151"/>
        <v>0</v>
      </c>
      <c r="QW17" s="22">
        <f t="shared" si="152"/>
        <v>9.5500000000000007</v>
      </c>
      <c r="QX17" s="22">
        <f t="shared" si="153"/>
        <v>1.75</v>
      </c>
      <c r="QY17" s="22">
        <f t="shared" si="154"/>
        <v>0</v>
      </c>
      <c r="QZ17" s="22">
        <f t="shared" si="155"/>
        <v>0</v>
      </c>
      <c r="RA17" s="27" t="s">
        <v>46</v>
      </c>
      <c r="RB17" s="40">
        <f t="shared" si="156"/>
        <v>3.1500000000000004</v>
      </c>
      <c r="RC17" s="40">
        <f t="shared" si="157"/>
        <v>21.3</v>
      </c>
      <c r="RD17" s="40">
        <f t="shared" si="158"/>
        <v>10.9</v>
      </c>
      <c r="RE17" s="40">
        <f t="shared" si="159"/>
        <v>4.8000000000000007</v>
      </c>
      <c r="RF17" s="40">
        <f t="shared" si="160"/>
        <v>32.200000000000003</v>
      </c>
      <c r="RG17" s="40">
        <f t="shared" si="161"/>
        <v>3.35</v>
      </c>
      <c r="RH17" s="40">
        <f t="shared" si="162"/>
        <v>22.15</v>
      </c>
      <c r="RI17" s="40">
        <f t="shared" si="163"/>
        <v>54.35</v>
      </c>
    </row>
    <row r="18" spans="1:477" x14ac:dyDescent="0.2">
      <c r="A18" s="4" t="str" cm="1">
        <f t="array" ref="A18">IF(AND(J18&lt;&gt;"",J18&lt;&gt;"No DD"),SUMPRODUCT((J$4:J$32&lt;&gt;"")*(J$4:J$32&lt;&gt;"No DD")*(F$4:F$32&gt;F18))+1,IF(J18="No DD",SUMPRODUCT((J$4:J$32="No DD")*(F$4:F$32&gt;F18))+1+SUMPRODUCT((J$4:J$32&lt;&gt;"")*(J$4:J$32&lt;&gt;"No DD")),""))</f>
        <v/>
      </c>
      <c r="B18" s="4" t="str" cm="1">
        <f t="array" ref="B18">IF(AND(J18&lt;&gt;"",J18&lt;&gt;"No DD",G18=""),SUMPRODUCT((J$4:J$32&lt;&gt;"")*(J$4:J$32&lt;&gt;"No DD")*(G$4:G$32="")*(F$4:F$32&gt;F18))+1,IF(J18="No DD",SUMPRODUCT((J$4:J$32="No DD")*(F$4:F$32&gt;F18)*(G$4:G$32=""))+1+SUMPRODUCT((J$4:J$32&lt;&gt;"")*(G$4:G$32="")*(J$4:J$32&lt;&gt;"No DD")),""))</f>
        <v/>
      </c>
      <c r="C18" s="5" t="s">
        <v>241</v>
      </c>
      <c r="D18" s="4" t="s">
        <v>31</v>
      </c>
      <c r="E18" s="4">
        <v>2005</v>
      </c>
      <c r="F18" s="9">
        <f t="shared" si="0"/>
        <v>108.70000636000432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43.2</v>
      </c>
      <c r="M18" s="8" t="str">
        <f t="shared" si="5"/>
        <v>2024 Elite Canada</v>
      </c>
      <c r="N18" s="8">
        <f>IF(COUNT(AS18,BV18,CY18)&gt;1,LARGE((AS18,BV18,CY18),2),0)</f>
        <v>0</v>
      </c>
      <c r="O18" s="8" t="str">
        <f t="shared" si="6"/>
        <v/>
      </c>
      <c r="P18" s="8">
        <f>IF(COUNT(AT18,BW18,CZ18)&gt;0,LARGE((AT18,BW18,CZ18),1),0)</f>
        <v>20.399999999999999</v>
      </c>
      <c r="Q18" s="8" t="str">
        <f t="shared" si="7"/>
        <v>2024 Elite Canada</v>
      </c>
      <c r="R18" s="8">
        <f t="shared" si="8"/>
        <v>45.1</v>
      </c>
      <c r="S18" s="8" t="str">
        <f t="shared" si="9"/>
        <v>2024 Elite Canada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 t="shared" si="13"/>
        <v/>
      </c>
      <c r="AS18" s="40" t="str">
        <f t="shared" si="14"/>
        <v/>
      </c>
      <c r="AT18" s="40" t="str">
        <f t="shared" si="15"/>
        <v/>
      </c>
      <c r="AU18" s="40" t="str">
        <f t="shared" si="16"/>
        <v/>
      </c>
      <c r="AV18" s="40" t="str">
        <f t="shared" si="17"/>
        <v/>
      </c>
      <c r="AW18" s="40" t="str">
        <f t="shared" si="18"/>
        <v/>
      </c>
      <c r="AX18" s="40" t="str">
        <f t="shared" si="19"/>
        <v/>
      </c>
      <c r="AY18" s="40" t="str">
        <f t="shared" si="20"/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 t="shared" si="21"/>
        <v/>
      </c>
      <c r="BV18" s="11" t="str">
        <f t="shared" si="22"/>
        <v/>
      </c>
      <c r="BW18" s="11" t="str">
        <f t="shared" si="23"/>
        <v/>
      </c>
      <c r="BX18" s="11" t="str">
        <f t="shared" si="24"/>
        <v/>
      </c>
      <c r="BY18" s="11" t="str">
        <f t="shared" si="25"/>
        <v/>
      </c>
      <c r="BZ18" s="11" t="str">
        <f t="shared" si="26"/>
        <v/>
      </c>
      <c r="CA18" s="11" t="str">
        <f t="shared" si="27"/>
        <v/>
      </c>
      <c r="CB18" s="11" t="str">
        <f t="shared" si="28"/>
        <v/>
      </c>
      <c r="CC18" s="19">
        <v>18.100000000000001</v>
      </c>
      <c r="CD18" s="19">
        <v>3.6</v>
      </c>
      <c r="CE18" s="19">
        <v>0</v>
      </c>
      <c r="CF18" s="19">
        <v>0</v>
      </c>
      <c r="CG18" s="19">
        <v>18.600000000000001</v>
      </c>
      <c r="CH18" s="19">
        <v>3.5</v>
      </c>
      <c r="CI18" s="19">
        <v>0.6</v>
      </c>
      <c r="CJ18" s="19">
        <v>0</v>
      </c>
      <c r="CK18" s="19">
        <v>18</v>
      </c>
      <c r="CL18" s="19">
        <v>2.7</v>
      </c>
      <c r="CM18" s="19">
        <v>0.3</v>
      </c>
      <c r="CN18" s="19">
        <v>0</v>
      </c>
      <c r="CO18" s="19">
        <v>18.8</v>
      </c>
      <c r="CP18" s="19">
        <v>3.6</v>
      </c>
      <c r="CQ18" s="19">
        <v>0</v>
      </c>
      <c r="CR18" s="19">
        <v>0</v>
      </c>
      <c r="CS18" s="19">
        <v>19.2</v>
      </c>
      <c r="CT18" s="19">
        <v>3.5</v>
      </c>
      <c r="CU18" s="19">
        <v>0</v>
      </c>
      <c r="CV18" s="19">
        <v>0</v>
      </c>
      <c r="CW18" s="27"/>
      <c r="CX18" s="40">
        <f t="shared" si="29"/>
        <v>7.1</v>
      </c>
      <c r="CY18" s="40">
        <f t="shared" si="30"/>
        <v>43.2</v>
      </c>
      <c r="CZ18" s="40">
        <f t="shared" si="31"/>
        <v>20.399999999999999</v>
      </c>
      <c r="DA18" s="40">
        <f t="shared" si="32"/>
        <v>9.8000000000000007</v>
      </c>
      <c r="DB18" s="40">
        <f t="shared" si="33"/>
        <v>63.6</v>
      </c>
      <c r="DC18" s="40">
        <f t="shared" si="34"/>
        <v>7.1</v>
      </c>
      <c r="DD18" s="40">
        <f t="shared" si="35"/>
        <v>45.1</v>
      </c>
      <c r="DE18" s="40">
        <f t="shared" si="36"/>
        <v>108.7</v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9.0500000000000007</v>
      </c>
      <c r="QH18" s="22">
        <f t="shared" si="137"/>
        <v>1.8</v>
      </c>
      <c r="QI18" s="22">
        <f t="shared" si="138"/>
        <v>0</v>
      </c>
      <c r="QJ18" s="22">
        <f t="shared" si="139"/>
        <v>0</v>
      </c>
      <c r="QK18" s="22">
        <f t="shared" si="140"/>
        <v>9.3000000000000007</v>
      </c>
      <c r="QL18" s="22">
        <f t="shared" si="141"/>
        <v>1.75</v>
      </c>
      <c r="QM18" s="22">
        <f t="shared" si="142"/>
        <v>0.3</v>
      </c>
      <c r="QN18" s="22">
        <f t="shared" si="143"/>
        <v>0</v>
      </c>
      <c r="QO18" s="22">
        <f t="shared" si="144"/>
        <v>9</v>
      </c>
      <c r="QP18" s="22">
        <f t="shared" si="145"/>
        <v>1.35</v>
      </c>
      <c r="QQ18" s="22">
        <f t="shared" si="146"/>
        <v>0.15</v>
      </c>
      <c r="QR18" s="22">
        <f t="shared" si="147"/>
        <v>0</v>
      </c>
      <c r="QS18" s="22">
        <f t="shared" si="148"/>
        <v>9.4</v>
      </c>
      <c r="QT18" s="22">
        <f t="shared" si="149"/>
        <v>1.8</v>
      </c>
      <c r="QU18" s="22">
        <f t="shared" si="150"/>
        <v>0</v>
      </c>
      <c r="QV18" s="22">
        <f t="shared" si="151"/>
        <v>0</v>
      </c>
      <c r="QW18" s="22">
        <f t="shared" si="152"/>
        <v>9.6</v>
      </c>
      <c r="QX18" s="22">
        <f t="shared" si="153"/>
        <v>1.75</v>
      </c>
      <c r="QY18" s="22">
        <f t="shared" si="154"/>
        <v>0</v>
      </c>
      <c r="QZ18" s="22">
        <f t="shared" si="155"/>
        <v>0</v>
      </c>
      <c r="RA18" s="27" t="s">
        <v>46</v>
      </c>
      <c r="RB18" s="40">
        <f t="shared" si="156"/>
        <v>3.55</v>
      </c>
      <c r="RC18" s="40">
        <f t="shared" si="157"/>
        <v>21.6</v>
      </c>
      <c r="RD18" s="40">
        <f t="shared" si="158"/>
        <v>10.199999999999999</v>
      </c>
      <c r="RE18" s="40">
        <f t="shared" si="159"/>
        <v>4.9000000000000004</v>
      </c>
      <c r="RF18" s="40">
        <f t="shared" si="160"/>
        <v>31.8</v>
      </c>
      <c r="RG18" s="40">
        <f t="shared" si="161"/>
        <v>3.55</v>
      </c>
      <c r="RH18" s="40">
        <f t="shared" si="162"/>
        <v>22.55</v>
      </c>
      <c r="RI18" s="40">
        <f t="shared" si="163"/>
        <v>54.35</v>
      </c>
    </row>
    <row r="19" spans="1:477" x14ac:dyDescent="0.2">
      <c r="A19" s="4" t="str" cm="1">
        <f t="array" ref="A19">IF(AND(J19&lt;&gt;"",J19&lt;&gt;"No DD"),SUMPRODUCT((J$4:J$32&lt;&gt;"")*(J$4:J$32&lt;&gt;"No DD")*(F$4:F$32&gt;F19))+1,IF(J19="No DD",SUMPRODUCT((J$4:J$32="No DD")*(F$4:F$32&gt;F19))+1+SUMPRODUCT((J$4:J$32&lt;&gt;"")*(J$4:J$32&lt;&gt;"No DD")),""))</f>
        <v/>
      </c>
      <c r="B19" s="4" t="str" cm="1">
        <f t="array" ref="B19">IF(AND(J19&lt;&gt;"",J19&lt;&gt;"No DD",G19=""),SUMPRODUCT((J$4:J$32&lt;&gt;"")*(J$4:J$32&lt;&gt;"No DD")*(G$4:G$32="")*(F$4:F$32&gt;F19))+1,IF(J19="No DD",SUMPRODUCT((J$4:J$32="No DD")*(F$4:F$32&gt;F19)*(G$4:G$32=""))+1+SUMPRODUCT((J$4:J$32&lt;&gt;"")*(G$4:G$32="")*(J$4:J$32&lt;&gt;"No DD")),""))</f>
        <v/>
      </c>
      <c r="C19" s="5" t="s">
        <v>143</v>
      </c>
      <c r="D19" s="4" t="s">
        <v>31</v>
      </c>
      <c r="E19" s="4">
        <v>2006</v>
      </c>
      <c r="F19" s="9">
        <f t="shared" si="0"/>
        <v>108.10000645000426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42.6</v>
      </c>
      <c r="M19" s="8" t="str">
        <f t="shared" si="5"/>
        <v>2023 Nationals</v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21.900000000000002</v>
      </c>
      <c r="Q19" s="8" t="str">
        <f t="shared" si="7"/>
        <v>2023 Nationals</v>
      </c>
      <c r="R19" s="8">
        <f t="shared" si="8"/>
        <v>43.599999999999994</v>
      </c>
      <c r="S19" s="8" t="str">
        <f t="shared" si="9"/>
        <v>2023 Nationals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>
        <v>18.600000000000001</v>
      </c>
      <c r="X19" s="19">
        <v>3.2</v>
      </c>
      <c r="Y19" s="19">
        <v>0.6</v>
      </c>
      <c r="Z19" s="19">
        <v>0</v>
      </c>
      <c r="AA19" s="19">
        <v>18.3</v>
      </c>
      <c r="AB19" s="19">
        <v>3.1</v>
      </c>
      <c r="AC19" s="19">
        <v>0</v>
      </c>
      <c r="AD19" s="19">
        <v>0</v>
      </c>
      <c r="AE19" s="19">
        <v>18.600000000000001</v>
      </c>
      <c r="AF19" s="19">
        <v>3.3</v>
      </c>
      <c r="AG19" s="19">
        <v>0</v>
      </c>
      <c r="AH19" s="19">
        <v>0</v>
      </c>
      <c r="AI19" s="19">
        <v>18.399999999999999</v>
      </c>
      <c r="AJ19" s="19">
        <v>3.2</v>
      </c>
      <c r="AK19" s="19">
        <v>0</v>
      </c>
      <c r="AL19" s="19">
        <v>0</v>
      </c>
      <c r="AM19" s="19">
        <v>18.7</v>
      </c>
      <c r="AN19" s="19">
        <v>3.3</v>
      </c>
      <c r="AO19" s="19">
        <v>0</v>
      </c>
      <c r="AP19" s="19">
        <v>0</v>
      </c>
      <c r="AQ19" s="27"/>
      <c r="AR19" s="40">
        <f t="shared" si="13"/>
        <v>6.3000000000000007</v>
      </c>
      <c r="AS19" s="40">
        <f t="shared" si="14"/>
        <v>42.6</v>
      </c>
      <c r="AT19" s="40">
        <f t="shared" si="15"/>
        <v>21.900000000000002</v>
      </c>
      <c r="AU19" s="40">
        <f t="shared" si="16"/>
        <v>9.6000000000000014</v>
      </c>
      <c r="AV19" s="40">
        <f t="shared" si="17"/>
        <v>64.5</v>
      </c>
      <c r="AW19" s="40">
        <f t="shared" si="18"/>
        <v>6.5</v>
      </c>
      <c r="AX19" s="40">
        <f t="shared" si="19"/>
        <v>43.599999999999994</v>
      </c>
      <c r="AY19" s="40">
        <f t="shared" si="20"/>
        <v>108.1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0</v>
      </c>
      <c r="QH19" s="22">
        <f t="shared" si="137"/>
        <v>0</v>
      </c>
      <c r="QI19" s="22">
        <f t="shared" si="138"/>
        <v>0</v>
      </c>
      <c r="QJ19" s="22">
        <f t="shared" si="139"/>
        <v>0</v>
      </c>
      <c r="QK19" s="22">
        <f t="shared" si="140"/>
        <v>0</v>
      </c>
      <c r="QL19" s="22">
        <f t="shared" si="141"/>
        <v>0</v>
      </c>
      <c r="QM19" s="22">
        <f t="shared" si="142"/>
        <v>0</v>
      </c>
      <c r="QN19" s="22">
        <f t="shared" si="143"/>
        <v>0</v>
      </c>
      <c r="QO19" s="22">
        <f t="shared" si="144"/>
        <v>0</v>
      </c>
      <c r="QP19" s="22">
        <f t="shared" si="145"/>
        <v>0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 t="str">
        <f t="shared" si="156"/>
        <v/>
      </c>
      <c r="RC19" s="40" t="str">
        <f t="shared" si="157"/>
        <v/>
      </c>
      <c r="RD19" s="40" t="str">
        <f t="shared" si="158"/>
        <v/>
      </c>
      <c r="RE19" s="40" t="str">
        <f t="shared" si="159"/>
        <v/>
      </c>
      <c r="RF19" s="40" t="str">
        <f t="shared" si="160"/>
        <v/>
      </c>
      <c r="RG19" s="40" t="str">
        <f t="shared" si="161"/>
        <v/>
      </c>
      <c r="RH19" s="40" t="str">
        <f t="shared" si="162"/>
        <v/>
      </c>
      <c r="RI19" s="40" t="str">
        <f t="shared" si="163"/>
        <v/>
      </c>
    </row>
    <row r="20" spans="1:477" x14ac:dyDescent="0.2">
      <c r="A20" s="4" t="str" cm="1">
        <f t="array" ref="A20">IF(AND(J20&lt;&gt;"",J20&lt;&gt;"No DD"),SUMPRODUCT((J$4:J$32&lt;&gt;"")*(J$4:J$32&lt;&gt;"No DD")*(F$4:F$32&gt;F20))+1,IF(J20="No DD",SUMPRODUCT((J$4:J$32="No DD")*(F$4:F$32&gt;F20))+1+SUMPRODUCT((J$4:J$32&lt;&gt;"")*(J$4:J$32&lt;&gt;"No DD")),""))</f>
        <v/>
      </c>
      <c r="B20" s="4" t="str" cm="1">
        <f t="array" ref="B20">IF(AND(J20&lt;&gt;"",J20&lt;&gt;"No DD",G20=""),SUMPRODUCT((J$4:J$32&lt;&gt;"")*(J$4:J$32&lt;&gt;"No DD")*(G$4:G$32="")*(F$4:F$32&gt;F20))+1,IF(J20="No DD",SUMPRODUCT((J$4:J$32="No DD")*(F$4:F$32&gt;F20)*(G$4:G$32=""))+1+SUMPRODUCT((J$4:J$32&lt;&gt;"")*(G$4:G$32="")*(J$4:J$32&lt;&gt;"No DD")),""))</f>
        <v/>
      </c>
      <c r="C20" s="5" t="s">
        <v>236</v>
      </c>
      <c r="D20" s="4" t="s">
        <v>5</v>
      </c>
      <c r="E20" s="4">
        <v>2007</v>
      </c>
      <c r="F20" s="9">
        <f t="shared" si="0"/>
        <v>105.9000062400043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42.9</v>
      </c>
      <c r="M20" s="8" t="str">
        <f t="shared" si="5"/>
        <v>2024 Elite Canada</v>
      </c>
      <c r="N20" s="8">
        <f>IF(COUNT(AS20,BV20,CY20)&gt;1,LARGE((AS20,BV20,CY20),2),0)</f>
        <v>0</v>
      </c>
      <c r="O20" s="8" t="str">
        <f t="shared" si="6"/>
        <v/>
      </c>
      <c r="P20" s="8">
        <f>IF(COUNT(AT20,BW20,CZ20)&gt;0,LARGE((AT20,BW20,CZ20),1),0)</f>
        <v>19.5</v>
      </c>
      <c r="Q20" s="8" t="str">
        <f t="shared" si="7"/>
        <v>2024 Elite Canada</v>
      </c>
      <c r="R20" s="8">
        <f t="shared" si="8"/>
        <v>43.5</v>
      </c>
      <c r="S20" s="8" t="str">
        <f t="shared" si="9"/>
        <v>2024 Elite Canada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 t="shared" si="13"/>
        <v/>
      </c>
      <c r="AS20" s="40" t="str">
        <f t="shared" si="14"/>
        <v/>
      </c>
      <c r="AT20" s="40" t="str">
        <f t="shared" si="15"/>
        <v/>
      </c>
      <c r="AU20" s="40" t="str">
        <f t="shared" si="16"/>
        <v/>
      </c>
      <c r="AV20" s="40" t="str">
        <f t="shared" si="17"/>
        <v/>
      </c>
      <c r="AW20" s="40" t="str">
        <f t="shared" si="18"/>
        <v/>
      </c>
      <c r="AX20" s="40" t="str">
        <f t="shared" si="19"/>
        <v/>
      </c>
      <c r="AY20" s="40" t="str">
        <f t="shared" si="20"/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 t="shared" si="21"/>
        <v/>
      </c>
      <c r="BV20" s="11" t="str">
        <f t="shared" si="22"/>
        <v/>
      </c>
      <c r="BW20" s="11" t="str">
        <f t="shared" si="23"/>
        <v/>
      </c>
      <c r="BX20" s="11" t="str">
        <f t="shared" si="24"/>
        <v/>
      </c>
      <c r="BY20" s="11" t="str">
        <f t="shared" si="25"/>
        <v/>
      </c>
      <c r="BZ20" s="11" t="str">
        <f t="shared" si="26"/>
        <v/>
      </c>
      <c r="CA20" s="11" t="str">
        <f t="shared" si="27"/>
        <v/>
      </c>
      <c r="CB20" s="11" t="str">
        <f t="shared" si="28"/>
        <v/>
      </c>
      <c r="CC20" s="19">
        <v>18.8</v>
      </c>
      <c r="CD20" s="19">
        <v>3.5</v>
      </c>
      <c r="CE20" s="19">
        <v>0.2</v>
      </c>
      <c r="CF20" s="19">
        <v>0</v>
      </c>
      <c r="CG20" s="19">
        <v>18</v>
      </c>
      <c r="CH20" s="19">
        <v>3.6</v>
      </c>
      <c r="CI20" s="19">
        <v>0.8</v>
      </c>
      <c r="CJ20" s="19">
        <v>0</v>
      </c>
      <c r="CK20" s="19">
        <v>17.100000000000001</v>
      </c>
      <c r="CL20" s="19">
        <v>2.4</v>
      </c>
      <c r="CM20" s="19">
        <v>0</v>
      </c>
      <c r="CN20" s="19">
        <v>0</v>
      </c>
      <c r="CO20" s="19">
        <v>18.399999999999999</v>
      </c>
      <c r="CP20" s="19">
        <v>3.5</v>
      </c>
      <c r="CQ20" s="19">
        <v>0.2</v>
      </c>
      <c r="CR20" s="19">
        <v>0</v>
      </c>
      <c r="CS20" s="19">
        <v>18.399999999999999</v>
      </c>
      <c r="CT20" s="19">
        <v>3.6</v>
      </c>
      <c r="CU20" s="19">
        <v>0.2</v>
      </c>
      <c r="CV20" s="19">
        <v>0</v>
      </c>
      <c r="CW20" s="27"/>
      <c r="CX20" s="40">
        <f t="shared" si="29"/>
        <v>7.1</v>
      </c>
      <c r="CY20" s="40">
        <f t="shared" si="30"/>
        <v>42.9</v>
      </c>
      <c r="CZ20" s="40">
        <f t="shared" si="31"/>
        <v>19.5</v>
      </c>
      <c r="DA20" s="40">
        <f t="shared" si="32"/>
        <v>9.5</v>
      </c>
      <c r="DB20" s="40">
        <f t="shared" si="33"/>
        <v>62.4</v>
      </c>
      <c r="DC20" s="40">
        <f t="shared" si="34"/>
        <v>7.1</v>
      </c>
      <c r="DD20" s="40">
        <f t="shared" si="35"/>
        <v>43.5</v>
      </c>
      <c r="DE20" s="40">
        <f t="shared" si="36"/>
        <v>105.9</v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9.4</v>
      </c>
      <c r="QH20" s="22">
        <f t="shared" si="137"/>
        <v>1.75</v>
      </c>
      <c r="QI20" s="22">
        <f t="shared" si="138"/>
        <v>0.1</v>
      </c>
      <c r="QJ20" s="22">
        <f t="shared" si="139"/>
        <v>0</v>
      </c>
      <c r="QK20" s="22">
        <f t="shared" si="140"/>
        <v>9</v>
      </c>
      <c r="QL20" s="22">
        <f t="shared" si="141"/>
        <v>1.8</v>
      </c>
      <c r="QM20" s="22">
        <f t="shared" si="142"/>
        <v>0.4</v>
      </c>
      <c r="QN20" s="22">
        <f t="shared" si="143"/>
        <v>0</v>
      </c>
      <c r="QO20" s="22">
        <f t="shared" si="144"/>
        <v>8.5500000000000007</v>
      </c>
      <c r="QP20" s="22">
        <f t="shared" si="145"/>
        <v>1.2</v>
      </c>
      <c r="QQ20" s="22">
        <f t="shared" si="146"/>
        <v>0</v>
      </c>
      <c r="QR20" s="22">
        <f t="shared" si="147"/>
        <v>0</v>
      </c>
      <c r="QS20" s="22">
        <f t="shared" si="148"/>
        <v>9.1999999999999993</v>
      </c>
      <c r="QT20" s="22">
        <f t="shared" si="149"/>
        <v>1.75</v>
      </c>
      <c r="QU20" s="22">
        <f t="shared" si="150"/>
        <v>0.1</v>
      </c>
      <c r="QV20" s="22">
        <f t="shared" si="151"/>
        <v>0</v>
      </c>
      <c r="QW20" s="22">
        <f t="shared" si="152"/>
        <v>9.1999999999999993</v>
      </c>
      <c r="QX20" s="22">
        <f t="shared" si="153"/>
        <v>1.8</v>
      </c>
      <c r="QY20" s="22">
        <f t="shared" si="154"/>
        <v>0.1</v>
      </c>
      <c r="QZ20" s="22">
        <f t="shared" si="155"/>
        <v>0</v>
      </c>
      <c r="RA20" s="27" t="s">
        <v>46</v>
      </c>
      <c r="RB20" s="40">
        <f t="shared" si="156"/>
        <v>3.55</v>
      </c>
      <c r="RC20" s="40">
        <f t="shared" si="157"/>
        <v>21.45</v>
      </c>
      <c r="RD20" s="40">
        <f t="shared" si="158"/>
        <v>9.75</v>
      </c>
      <c r="RE20" s="40">
        <f t="shared" si="159"/>
        <v>4.75</v>
      </c>
      <c r="RF20" s="40">
        <f t="shared" si="160"/>
        <v>31.2</v>
      </c>
      <c r="RG20" s="40">
        <f t="shared" si="161"/>
        <v>3.55</v>
      </c>
      <c r="RH20" s="40">
        <f t="shared" si="162"/>
        <v>21.75</v>
      </c>
      <c r="RI20" s="40">
        <f t="shared" si="163"/>
        <v>52.95</v>
      </c>
    </row>
    <row r="21" spans="1:477" x14ac:dyDescent="0.2">
      <c r="A21" s="4" t="str" cm="1">
        <f t="array" ref="A21">IF(AND(J21&lt;&gt;"",J21&lt;&gt;"No DD"),SUMPRODUCT((J$4:J$32&lt;&gt;"")*(J$4:J$32&lt;&gt;"No DD")*(F$4:F$32&gt;F21))+1,IF(J21="No DD",SUMPRODUCT((J$4:J$32="No DD")*(F$4:F$32&gt;F21))+1+SUMPRODUCT((J$4:J$32&lt;&gt;"")*(J$4:J$32&lt;&gt;"No DD")),""))</f>
        <v/>
      </c>
      <c r="B21" s="4" t="str" cm="1">
        <f t="array" ref="B21">IF(AND(J21&lt;&gt;"",J21&lt;&gt;"No DD",G21=""),SUMPRODUCT((J$4:J$32&lt;&gt;"")*(J$4:J$32&lt;&gt;"No DD")*(G$4:G$32="")*(F$4:F$32&gt;F21))+1,IF(J21="No DD",SUMPRODUCT((J$4:J$32="No DD")*(F$4:F$32&gt;F21)*(G$4:G$32=""))+1+SUMPRODUCT((J$4:J$32&lt;&gt;"")*(G$4:G$32="")*(J$4:J$32&lt;&gt;"No DD")),""))</f>
        <v/>
      </c>
      <c r="C21" s="5" t="s">
        <v>135</v>
      </c>
      <c r="D21" s="4" t="s">
        <v>4</v>
      </c>
      <c r="E21" s="4">
        <v>2005</v>
      </c>
      <c r="F21" s="9">
        <f t="shared" si="0"/>
        <v>105.70000624000424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42.3</v>
      </c>
      <c r="M21" s="8" t="str">
        <f t="shared" si="5"/>
        <v>2024 Elite Canada</v>
      </c>
      <c r="N21" s="8">
        <f>IF(COUNT(AS21,BV21,CY21)&gt;1,LARGE((AS21,BV21,CY21),2),0)</f>
        <v>0</v>
      </c>
      <c r="O21" s="8" t="str">
        <f t="shared" si="6"/>
        <v/>
      </c>
      <c r="P21" s="8">
        <f>IF(COUNT(AT21,BW21,CZ21)&gt;0,LARGE((AT21,BW21,CZ21),1),0)</f>
        <v>20.100000000000001</v>
      </c>
      <c r="Q21" s="8" t="str">
        <f t="shared" si="7"/>
        <v>2024 Elite Canada</v>
      </c>
      <c r="R21" s="8">
        <f t="shared" si="8"/>
        <v>43.300000000000004</v>
      </c>
      <c r="S21" s="8" t="str">
        <f t="shared" si="9"/>
        <v>2024 Elite Canada</v>
      </c>
      <c r="T21" s="8" t="str">
        <f t="shared" si="10"/>
        <v/>
      </c>
      <c r="U21" s="11" t="str">
        <f t="shared" si="11"/>
        <v/>
      </c>
      <c r="V21" s="8" t="str">
        <f t="shared" si="12"/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 t="shared" si="13"/>
        <v/>
      </c>
      <c r="AS21" s="40" t="str">
        <f t="shared" si="14"/>
        <v/>
      </c>
      <c r="AT21" s="40" t="str">
        <f t="shared" si="15"/>
        <v/>
      </c>
      <c r="AU21" s="40" t="str">
        <f t="shared" si="16"/>
        <v/>
      </c>
      <c r="AV21" s="40" t="str">
        <f t="shared" si="17"/>
        <v/>
      </c>
      <c r="AW21" s="40" t="str">
        <f t="shared" si="18"/>
        <v/>
      </c>
      <c r="AX21" s="40" t="str">
        <f t="shared" si="19"/>
        <v/>
      </c>
      <c r="AY21" s="40" t="str">
        <f t="shared" si="20"/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1"/>
        <v/>
      </c>
      <c r="BV21" s="11" t="str">
        <f t="shared" si="22"/>
        <v/>
      </c>
      <c r="BW21" s="11" t="str">
        <f t="shared" si="23"/>
        <v/>
      </c>
      <c r="BX21" s="11" t="str">
        <f t="shared" si="24"/>
        <v/>
      </c>
      <c r="BY21" s="11" t="str">
        <f t="shared" si="25"/>
        <v/>
      </c>
      <c r="BZ21" s="11" t="str">
        <f t="shared" si="26"/>
        <v/>
      </c>
      <c r="CA21" s="11" t="str">
        <f t="shared" si="27"/>
        <v/>
      </c>
      <c r="CB21" s="11" t="str">
        <f t="shared" si="28"/>
        <v/>
      </c>
      <c r="CC21" s="19">
        <v>18.2</v>
      </c>
      <c r="CD21" s="19">
        <v>3.3</v>
      </c>
      <c r="CE21" s="19">
        <v>0.6</v>
      </c>
      <c r="CF21" s="19">
        <v>0</v>
      </c>
      <c r="CG21" s="19">
        <v>18.399999999999999</v>
      </c>
      <c r="CH21" s="19">
        <v>3.2</v>
      </c>
      <c r="CI21" s="19">
        <v>0.2</v>
      </c>
      <c r="CJ21" s="19">
        <v>0</v>
      </c>
      <c r="CK21" s="19">
        <v>16.8</v>
      </c>
      <c r="CL21" s="19">
        <v>3.5</v>
      </c>
      <c r="CM21" s="19">
        <v>0.2</v>
      </c>
      <c r="CN21" s="19">
        <v>0</v>
      </c>
      <c r="CO21" s="19">
        <v>18.8</v>
      </c>
      <c r="CP21" s="19">
        <v>3.5</v>
      </c>
      <c r="CQ21" s="19">
        <v>0.2</v>
      </c>
      <c r="CR21" s="19">
        <v>0</v>
      </c>
      <c r="CS21" s="19">
        <v>18.2</v>
      </c>
      <c r="CT21" s="19">
        <v>3.2</v>
      </c>
      <c r="CU21" s="19">
        <v>0.2</v>
      </c>
      <c r="CV21" s="19">
        <v>0</v>
      </c>
      <c r="CW21" s="27"/>
      <c r="CX21" s="40">
        <f t="shared" si="29"/>
        <v>6.5</v>
      </c>
      <c r="CY21" s="40">
        <f t="shared" si="30"/>
        <v>42.3</v>
      </c>
      <c r="CZ21" s="40">
        <f t="shared" si="31"/>
        <v>20.100000000000001</v>
      </c>
      <c r="DA21" s="40">
        <f t="shared" si="32"/>
        <v>10</v>
      </c>
      <c r="DB21" s="40">
        <f t="shared" si="33"/>
        <v>62.4</v>
      </c>
      <c r="DC21" s="40">
        <f t="shared" si="34"/>
        <v>6.7</v>
      </c>
      <c r="DD21" s="40">
        <f t="shared" si="35"/>
        <v>43.300000000000004</v>
      </c>
      <c r="DE21" s="40">
        <f t="shared" si="36"/>
        <v>105.7</v>
      </c>
      <c r="DF21" s="50" t="str">
        <f t="shared" si="37"/>
        <v/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6"/>
        <v/>
      </c>
      <c r="GH21" s="40" t="str">
        <f t="shared" si="57"/>
        <v/>
      </c>
      <c r="GI21" s="40" t="str">
        <f t="shared" si="58"/>
        <v/>
      </c>
      <c r="GJ21" s="40" t="str">
        <f t="shared" si="59"/>
        <v/>
      </c>
      <c r="GK21" s="40" t="str">
        <f t="shared" si="60"/>
        <v/>
      </c>
      <c r="GL21" s="40" t="str">
        <f t="shared" si="61"/>
        <v/>
      </c>
      <c r="GM21" s="40" t="str">
        <f t="shared" si="62"/>
        <v/>
      </c>
      <c r="GN21" s="40" t="str">
        <f t="shared" si="63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9.1</v>
      </c>
      <c r="QH21" s="22">
        <f t="shared" si="137"/>
        <v>1.65</v>
      </c>
      <c r="QI21" s="22">
        <f t="shared" si="138"/>
        <v>0.3</v>
      </c>
      <c r="QJ21" s="22">
        <f t="shared" si="139"/>
        <v>0</v>
      </c>
      <c r="QK21" s="22">
        <f t="shared" si="140"/>
        <v>9.1999999999999993</v>
      </c>
      <c r="QL21" s="22">
        <f t="shared" si="141"/>
        <v>1.6</v>
      </c>
      <c r="QM21" s="22">
        <f t="shared" si="142"/>
        <v>0.1</v>
      </c>
      <c r="QN21" s="22">
        <f t="shared" si="143"/>
        <v>0</v>
      </c>
      <c r="QO21" s="22">
        <f t="shared" si="144"/>
        <v>8.4</v>
      </c>
      <c r="QP21" s="22">
        <f t="shared" si="145"/>
        <v>1.75</v>
      </c>
      <c r="QQ21" s="22">
        <f t="shared" si="146"/>
        <v>0.1</v>
      </c>
      <c r="QR21" s="22">
        <f t="shared" si="147"/>
        <v>0</v>
      </c>
      <c r="QS21" s="22">
        <f t="shared" si="148"/>
        <v>9.4</v>
      </c>
      <c r="QT21" s="22">
        <f t="shared" si="149"/>
        <v>1.75</v>
      </c>
      <c r="QU21" s="22">
        <f t="shared" si="150"/>
        <v>0.1</v>
      </c>
      <c r="QV21" s="22">
        <f t="shared" si="151"/>
        <v>0</v>
      </c>
      <c r="QW21" s="22">
        <f t="shared" si="152"/>
        <v>9.1</v>
      </c>
      <c r="QX21" s="22">
        <f t="shared" si="153"/>
        <v>1.6</v>
      </c>
      <c r="QY21" s="22">
        <f t="shared" si="154"/>
        <v>0.1</v>
      </c>
      <c r="QZ21" s="22">
        <f t="shared" si="155"/>
        <v>0</v>
      </c>
      <c r="RA21" s="27" t="s">
        <v>46</v>
      </c>
      <c r="RB21" s="40">
        <f t="shared" si="156"/>
        <v>3.25</v>
      </c>
      <c r="RC21" s="40">
        <f t="shared" si="157"/>
        <v>21.15</v>
      </c>
      <c r="RD21" s="40">
        <f t="shared" si="158"/>
        <v>10.050000000000001</v>
      </c>
      <c r="RE21" s="40">
        <f t="shared" si="159"/>
        <v>5</v>
      </c>
      <c r="RF21" s="40">
        <f t="shared" si="160"/>
        <v>31.2</v>
      </c>
      <c r="RG21" s="40">
        <f t="shared" si="161"/>
        <v>3.35</v>
      </c>
      <c r="RH21" s="40">
        <f t="shared" si="162"/>
        <v>21.650000000000002</v>
      </c>
      <c r="RI21" s="40">
        <f t="shared" si="163"/>
        <v>52.85</v>
      </c>
    </row>
    <row r="22" spans="1:477" x14ac:dyDescent="0.2">
      <c r="A22" s="4" t="str" cm="1">
        <f t="array" ref="A22">IF(AND(J22&lt;&gt;"",J22&lt;&gt;"No DD"),SUMPRODUCT((J$4:J$32&lt;&gt;"")*(J$4:J$32&lt;&gt;"No DD")*(F$4:F$32&gt;F22))+1,IF(J22="No DD",SUMPRODUCT((J$4:J$32="No DD")*(F$4:F$32&gt;F22))+1+SUMPRODUCT((J$4:J$32&lt;&gt;"")*(J$4:J$32&lt;&gt;"No DD")),""))</f>
        <v/>
      </c>
      <c r="B22" s="4" t="str" cm="1">
        <f t="array" ref="B22">IF(AND(J22&lt;&gt;"",J22&lt;&gt;"No DD",G22=""),SUMPRODUCT((J$4:J$32&lt;&gt;"")*(J$4:J$32&lt;&gt;"No DD")*(G$4:G$32="")*(F$4:F$32&gt;F22))+1,IF(J22="No DD",SUMPRODUCT((J$4:J$32="No DD")*(F$4:F$32&gt;F22)*(G$4:G$32=""))+1+SUMPRODUCT((J$4:J$32&lt;&gt;"")*(G$4:G$32="")*(J$4:J$32&lt;&gt;"No DD")),""))</f>
        <v/>
      </c>
      <c r="C22" s="5" t="s">
        <v>134</v>
      </c>
      <c r="D22" s="4" t="s">
        <v>4</v>
      </c>
      <c r="E22" s="4">
        <v>2003</v>
      </c>
      <c r="F22" s="9">
        <f t="shared" si="0"/>
        <v>102.40001024000411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IF(COUNT(AS22,BV22,CY22)&gt;0,LARGE((AS22,BV22,CY22),1),0)</f>
        <v>41.000000000000007</v>
      </c>
      <c r="M22" s="8" t="str">
        <f t="shared" si="5"/>
        <v>2023 Nationals</v>
      </c>
      <c r="N22" s="8">
        <f>IF(COUNT(AS22,BV22,CY22)&gt;1,LARGE((AS22,BV22,CY22),2),0)</f>
        <v>40.299999999999997</v>
      </c>
      <c r="O22" s="8" t="str">
        <f t="shared" si="6"/>
        <v>2024 Elite Canada</v>
      </c>
      <c r="P22" s="8">
        <f>IF(COUNT(AT22,BW22,CZ22)&gt;0,LARGE((AT22,BW22,CZ22),1),0)</f>
        <v>21.099999999999998</v>
      </c>
      <c r="Q22" s="8" t="str">
        <f t="shared" si="7"/>
        <v>2024 Elite Canada</v>
      </c>
      <c r="R22" s="8">
        <f t="shared" si="8"/>
        <v>0</v>
      </c>
      <c r="S22" s="8" t="str">
        <f t="shared" si="9"/>
        <v/>
      </c>
      <c r="T22" s="8" t="str">
        <f t="shared" si="10"/>
        <v/>
      </c>
      <c r="U22" s="11" t="str">
        <f t="shared" si="11"/>
        <v/>
      </c>
      <c r="V22" s="8" t="str">
        <f t="shared" si="12"/>
        <v/>
      </c>
      <c r="W22" s="19">
        <v>18.8</v>
      </c>
      <c r="X22" s="19">
        <v>3</v>
      </c>
      <c r="Y22" s="19">
        <v>0</v>
      </c>
      <c r="Z22" s="19">
        <v>0</v>
      </c>
      <c r="AA22" s="19">
        <v>17.600000000000001</v>
      </c>
      <c r="AB22" s="19">
        <v>2.5</v>
      </c>
      <c r="AC22" s="19">
        <v>0.9</v>
      </c>
      <c r="AD22" s="19">
        <v>0</v>
      </c>
      <c r="AE22" s="19">
        <v>17.5</v>
      </c>
      <c r="AF22" s="19">
        <v>0.7</v>
      </c>
      <c r="AG22" s="19">
        <v>0</v>
      </c>
      <c r="AH22" s="19">
        <v>0</v>
      </c>
      <c r="AI22" s="19"/>
      <c r="AJ22" s="19"/>
      <c r="AK22" s="19"/>
      <c r="AL22" s="19"/>
      <c r="AM22" s="19"/>
      <c r="AN22" s="19"/>
      <c r="AO22" s="19"/>
      <c r="AP22" s="19"/>
      <c r="AQ22" s="27"/>
      <c r="AR22" s="40">
        <f t="shared" si="13"/>
        <v>5.5</v>
      </c>
      <c r="AS22" s="40">
        <f t="shared" si="14"/>
        <v>41.000000000000007</v>
      </c>
      <c r="AT22" s="40">
        <f t="shared" si="15"/>
        <v>18.2</v>
      </c>
      <c r="AU22" s="40">
        <f t="shared" si="16"/>
        <v>6.2</v>
      </c>
      <c r="AV22" s="40">
        <f t="shared" si="17"/>
        <v>59.2</v>
      </c>
      <c r="AW22" s="40" t="str">
        <f t="shared" si="18"/>
        <v/>
      </c>
      <c r="AX22" s="40" t="str">
        <f t="shared" si="19"/>
        <v/>
      </c>
      <c r="AY22" s="40">
        <f t="shared" si="20"/>
        <v>59.2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 t="shared" si="21"/>
        <v/>
      </c>
      <c r="BV22" s="11" t="str">
        <f t="shared" si="22"/>
        <v/>
      </c>
      <c r="BW22" s="11" t="str">
        <f t="shared" si="23"/>
        <v/>
      </c>
      <c r="BX22" s="11" t="str">
        <f t="shared" si="24"/>
        <v/>
      </c>
      <c r="BY22" s="11" t="str">
        <f t="shared" si="25"/>
        <v/>
      </c>
      <c r="BZ22" s="11" t="str">
        <f t="shared" si="26"/>
        <v/>
      </c>
      <c r="CA22" s="11" t="str">
        <f t="shared" si="27"/>
        <v/>
      </c>
      <c r="CB22" s="11" t="str">
        <f t="shared" si="28"/>
        <v/>
      </c>
      <c r="CC22" s="19">
        <v>17.399999999999999</v>
      </c>
      <c r="CD22" s="19">
        <v>0.7</v>
      </c>
      <c r="CE22" s="19">
        <v>0</v>
      </c>
      <c r="CF22" s="19">
        <v>0</v>
      </c>
      <c r="CG22" s="19">
        <v>18.7</v>
      </c>
      <c r="CH22" s="19">
        <v>3.5</v>
      </c>
      <c r="CI22" s="19">
        <v>0</v>
      </c>
      <c r="CJ22" s="19">
        <v>0</v>
      </c>
      <c r="CK22" s="19">
        <v>18.7</v>
      </c>
      <c r="CL22" s="19">
        <v>3</v>
      </c>
      <c r="CM22" s="19">
        <v>0.6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 t="shared" si="29"/>
        <v>4.2</v>
      </c>
      <c r="CY22" s="40">
        <f t="shared" si="30"/>
        <v>40.299999999999997</v>
      </c>
      <c r="CZ22" s="40">
        <f t="shared" si="31"/>
        <v>21.099999999999998</v>
      </c>
      <c r="DA22" s="40">
        <f t="shared" si="32"/>
        <v>7.2</v>
      </c>
      <c r="DB22" s="40">
        <f t="shared" si="33"/>
        <v>61.399999999999991</v>
      </c>
      <c r="DC22" s="40" t="str">
        <f t="shared" si="34"/>
        <v/>
      </c>
      <c r="DD22" s="40" t="str">
        <f t="shared" si="35"/>
        <v/>
      </c>
      <c r="DE22" s="40">
        <f t="shared" si="36"/>
        <v>61.399999999999991</v>
      </c>
      <c r="DF22" s="50" t="str">
        <f t="shared" si="37"/>
        <v/>
      </c>
      <c r="DG22" s="50" t="str">
        <f t="shared" si="38"/>
        <v/>
      </c>
      <c r="DH22" s="50" t="str">
        <f t="shared" si="39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40"/>
        <v/>
      </c>
      <c r="ED22" s="40" t="str">
        <f t="shared" si="41"/>
        <v/>
      </c>
      <c r="EE22" s="40" t="str">
        <f t="shared" si="42"/>
        <v/>
      </c>
      <c r="EF22" s="40" t="str">
        <f t="shared" si="43"/>
        <v/>
      </c>
      <c r="EG22" s="40" t="str">
        <f t="shared" si="44"/>
        <v/>
      </c>
      <c r="EH22" s="40" t="str">
        <f t="shared" si="45"/>
        <v/>
      </c>
      <c r="EI22" s="40" t="str">
        <f t="shared" si="46"/>
        <v/>
      </c>
      <c r="EJ22" s="40" t="str">
        <f t="shared" si="47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8"/>
        <v/>
      </c>
      <c r="FF22" s="11" t="str">
        <f t="shared" si="49"/>
        <v/>
      </c>
      <c r="FG22" s="11" t="str">
        <f t="shared" si="50"/>
        <v/>
      </c>
      <c r="FH22" s="11" t="str">
        <f t="shared" si="51"/>
        <v/>
      </c>
      <c r="FI22" s="11" t="str">
        <f t="shared" si="52"/>
        <v/>
      </c>
      <c r="FJ22" s="11" t="str">
        <f t="shared" si="53"/>
        <v/>
      </c>
      <c r="FK22" s="11" t="str">
        <f t="shared" si="54"/>
        <v/>
      </c>
      <c r="FL22" s="11" t="str">
        <f t="shared" si="55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6"/>
        <v/>
      </c>
      <c r="GH22" s="40" t="str">
        <f t="shared" si="57"/>
        <v/>
      </c>
      <c r="GI22" s="40" t="str">
        <f t="shared" si="58"/>
        <v/>
      </c>
      <c r="GJ22" s="40" t="str">
        <f t="shared" si="59"/>
        <v/>
      </c>
      <c r="GK22" s="40" t="str">
        <f t="shared" si="60"/>
        <v/>
      </c>
      <c r="GL22" s="40" t="str">
        <f t="shared" si="61"/>
        <v/>
      </c>
      <c r="GM22" s="40" t="str">
        <f t="shared" si="62"/>
        <v/>
      </c>
      <c r="GN22" s="40" t="str">
        <f t="shared" si="63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4"/>
        <v/>
      </c>
      <c r="HJ22" s="11" t="str">
        <f t="shared" si="65"/>
        <v/>
      </c>
      <c r="HK22" s="11" t="str">
        <f t="shared" si="66"/>
        <v/>
      </c>
      <c r="HL22" s="11" t="str">
        <f t="shared" si="67"/>
        <v/>
      </c>
      <c r="HM22" s="11" t="str">
        <f t="shared" si="68"/>
        <v/>
      </c>
      <c r="HN22" s="11" t="str">
        <f t="shared" si="69"/>
        <v/>
      </c>
      <c r="HO22" s="11" t="str">
        <f t="shared" si="70"/>
        <v/>
      </c>
      <c r="HP22" s="11" t="str">
        <f t="shared" si="71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2"/>
        <v/>
      </c>
      <c r="IL22" s="40" t="str">
        <f t="shared" si="73"/>
        <v/>
      </c>
      <c r="IM22" s="40" t="str">
        <f t="shared" si="74"/>
        <v/>
      </c>
      <c r="IN22" s="40" t="str">
        <f t="shared" si="75"/>
        <v/>
      </c>
      <c r="IO22" s="40" t="str">
        <f t="shared" si="76"/>
        <v/>
      </c>
      <c r="IP22" s="40" t="str">
        <f t="shared" si="77"/>
        <v/>
      </c>
      <c r="IQ22" s="40" t="str">
        <f t="shared" si="78"/>
        <v/>
      </c>
      <c r="IR22" s="40" t="str">
        <f t="shared" si="79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80"/>
        <v/>
      </c>
      <c r="JN22" s="11" t="str">
        <f t="shared" si="81"/>
        <v/>
      </c>
      <c r="JO22" s="11" t="str">
        <f t="shared" si="82"/>
        <v/>
      </c>
      <c r="JP22" s="11" t="str">
        <f t="shared" si="83"/>
        <v/>
      </c>
      <c r="JQ22" s="11" t="str">
        <f t="shared" si="84"/>
        <v/>
      </c>
      <c r="JR22" s="11" t="str">
        <f t="shared" si="85"/>
        <v/>
      </c>
      <c r="JS22" s="11" t="str">
        <f t="shared" si="86"/>
        <v/>
      </c>
      <c r="JT22" s="11" t="str">
        <f t="shared" si="87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8"/>
        <v/>
      </c>
      <c r="KP22" s="40" t="str">
        <f t="shared" si="89"/>
        <v/>
      </c>
      <c r="KQ22" s="40" t="str">
        <f t="shared" si="90"/>
        <v/>
      </c>
      <c r="KR22" s="40" t="str">
        <f t="shared" si="91"/>
        <v/>
      </c>
      <c r="KS22" s="40" t="str">
        <f t="shared" si="92"/>
        <v/>
      </c>
      <c r="KT22" s="40" t="str">
        <f t="shared" si="93"/>
        <v/>
      </c>
      <c r="KU22" s="40" t="str">
        <f t="shared" si="94"/>
        <v/>
      </c>
      <c r="KV22" s="40" t="str">
        <f t="shared" si="95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6"/>
        <v/>
      </c>
      <c r="LR22" s="11" t="str">
        <f t="shared" si="97"/>
        <v/>
      </c>
      <c r="LS22" s="11" t="str">
        <f t="shared" si="98"/>
        <v/>
      </c>
      <c r="LT22" s="11" t="str">
        <f t="shared" si="99"/>
        <v/>
      </c>
      <c r="LU22" s="11" t="str">
        <f t="shared" si="100"/>
        <v/>
      </c>
      <c r="LV22" s="11" t="str">
        <f t="shared" si="101"/>
        <v/>
      </c>
      <c r="LW22" s="11" t="str">
        <f t="shared" si="102"/>
        <v/>
      </c>
      <c r="LX22" s="11" t="str">
        <f t="shared" si="103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4"/>
        <v/>
      </c>
      <c r="MT22" s="40" t="str">
        <f t="shared" si="105"/>
        <v/>
      </c>
      <c r="MU22" s="40" t="str">
        <f t="shared" si="106"/>
        <v/>
      </c>
      <c r="MV22" s="40" t="str">
        <f t="shared" si="107"/>
        <v/>
      </c>
      <c r="MW22" s="40" t="str">
        <f t="shared" si="108"/>
        <v/>
      </c>
      <c r="MX22" s="40" t="str">
        <f t="shared" si="109"/>
        <v/>
      </c>
      <c r="MY22" s="40" t="str">
        <f t="shared" si="110"/>
        <v/>
      </c>
      <c r="MZ22" s="40" t="str">
        <f t="shared" si="111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2"/>
        <v/>
      </c>
      <c r="NV22" s="11" t="str">
        <f t="shared" si="113"/>
        <v/>
      </c>
      <c r="NW22" s="11" t="str">
        <f t="shared" si="114"/>
        <v/>
      </c>
      <c r="NX22" s="11" t="str">
        <f t="shared" si="115"/>
        <v/>
      </c>
      <c r="NY22" s="11" t="str">
        <f t="shared" si="116"/>
        <v/>
      </c>
      <c r="NZ22" s="11" t="str">
        <f t="shared" si="117"/>
        <v/>
      </c>
      <c r="OA22" s="11" t="str">
        <f t="shared" si="118"/>
        <v/>
      </c>
      <c r="OB22" s="11" t="str">
        <f t="shared" si="119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20"/>
        <v/>
      </c>
      <c r="OX22" s="40" t="str">
        <f t="shared" si="121"/>
        <v/>
      </c>
      <c r="OY22" s="40" t="str">
        <f t="shared" si="122"/>
        <v/>
      </c>
      <c r="OZ22" s="40" t="str">
        <f t="shared" si="123"/>
        <v/>
      </c>
      <c r="PA22" s="40" t="str">
        <f t="shared" si="124"/>
        <v/>
      </c>
      <c r="PB22" s="40" t="str">
        <f t="shared" si="125"/>
        <v/>
      </c>
      <c r="PC22" s="40" t="str">
        <f t="shared" si="126"/>
        <v/>
      </c>
      <c r="PD22" s="40" t="str">
        <f t="shared" si="127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8"/>
        <v/>
      </c>
      <c r="PZ22" s="11" t="str">
        <f t="shared" si="129"/>
        <v/>
      </c>
      <c r="QA22" s="11" t="str">
        <f t="shared" si="130"/>
        <v/>
      </c>
      <c r="QB22" s="11" t="str">
        <f t="shared" si="131"/>
        <v/>
      </c>
      <c r="QC22" s="11" t="str">
        <f t="shared" si="132"/>
        <v/>
      </c>
      <c r="QD22" s="11" t="str">
        <f t="shared" si="133"/>
        <v/>
      </c>
      <c r="QE22" s="11" t="str">
        <f t="shared" si="134"/>
        <v/>
      </c>
      <c r="QF22" s="11" t="str">
        <f t="shared" si="135"/>
        <v/>
      </c>
      <c r="QG22" s="22">
        <f t="shared" si="136"/>
        <v>8.6999999999999993</v>
      </c>
      <c r="QH22" s="22">
        <f t="shared" si="137"/>
        <v>0.35</v>
      </c>
      <c r="QI22" s="22">
        <f t="shared" si="138"/>
        <v>0</v>
      </c>
      <c r="QJ22" s="22">
        <f t="shared" si="139"/>
        <v>0</v>
      </c>
      <c r="QK22" s="22">
        <f t="shared" si="140"/>
        <v>9.35</v>
      </c>
      <c r="QL22" s="22">
        <f t="shared" si="141"/>
        <v>1.75</v>
      </c>
      <c r="QM22" s="22">
        <f t="shared" si="142"/>
        <v>0</v>
      </c>
      <c r="QN22" s="22">
        <f t="shared" si="143"/>
        <v>0</v>
      </c>
      <c r="QO22" s="22">
        <f t="shared" si="144"/>
        <v>9.35</v>
      </c>
      <c r="QP22" s="22">
        <f t="shared" si="145"/>
        <v>1.5</v>
      </c>
      <c r="QQ22" s="22">
        <f t="shared" si="146"/>
        <v>0.3</v>
      </c>
      <c r="QR22" s="22">
        <f t="shared" si="147"/>
        <v>0</v>
      </c>
      <c r="QS22" s="22">
        <f t="shared" si="148"/>
        <v>0</v>
      </c>
      <c r="QT22" s="22">
        <f t="shared" si="149"/>
        <v>0</v>
      </c>
      <c r="QU22" s="22">
        <f t="shared" si="150"/>
        <v>0</v>
      </c>
      <c r="QV22" s="22">
        <f t="shared" si="151"/>
        <v>0</v>
      </c>
      <c r="QW22" s="22">
        <f t="shared" si="152"/>
        <v>0</v>
      </c>
      <c r="QX22" s="22">
        <f t="shared" si="153"/>
        <v>0</v>
      </c>
      <c r="QY22" s="22">
        <f t="shared" si="154"/>
        <v>0</v>
      </c>
      <c r="QZ22" s="22">
        <f t="shared" si="155"/>
        <v>0</v>
      </c>
      <c r="RA22" s="27" t="s">
        <v>46</v>
      </c>
      <c r="RB22" s="40">
        <f t="shared" si="156"/>
        <v>2.1</v>
      </c>
      <c r="RC22" s="40">
        <f t="shared" si="157"/>
        <v>20.149999999999999</v>
      </c>
      <c r="RD22" s="40">
        <f t="shared" si="158"/>
        <v>10.549999999999999</v>
      </c>
      <c r="RE22" s="40">
        <f t="shared" si="159"/>
        <v>3.6</v>
      </c>
      <c r="RF22" s="40">
        <f t="shared" si="160"/>
        <v>30.699999999999996</v>
      </c>
      <c r="RG22" s="40" t="str">
        <f t="shared" si="161"/>
        <v/>
      </c>
      <c r="RH22" s="40" t="str">
        <f t="shared" si="162"/>
        <v/>
      </c>
      <c r="RI22" s="40">
        <f t="shared" si="163"/>
        <v>30.699999999999996</v>
      </c>
    </row>
    <row r="23" spans="1:477" x14ac:dyDescent="0.2">
      <c r="A23" s="4" t="str" cm="1">
        <f t="array" ref="A23">IF(AND(J23&lt;&gt;"",J23&lt;&gt;"No DD"),SUMPRODUCT((J$4:J$32&lt;&gt;"")*(J$4:J$32&lt;&gt;"No DD")*(F$4:F$32&gt;F23))+1,IF(J23="No DD",SUMPRODUCT((J$4:J$32="No DD")*(F$4:F$32&gt;F23))+1+SUMPRODUCT((J$4:J$32&lt;&gt;"")*(J$4:J$32&lt;&gt;"No DD")),""))</f>
        <v/>
      </c>
      <c r="B23" s="4" t="str" cm="1">
        <f t="array" ref="B23">IF(AND(J23&lt;&gt;"",J23&lt;&gt;"No DD",G23=""),SUMPRODUCT((J$4:J$32&lt;&gt;"")*(J$4:J$32&lt;&gt;"No DD")*(G$4:G$32="")*(F$4:F$32&gt;F23))+1,IF(J23="No DD",SUMPRODUCT((J$4:J$32="No DD")*(F$4:F$32&gt;F23)*(G$4:G$32=""))+1+SUMPRODUCT((J$4:J$32&lt;&gt;"")*(G$4:G$32="")*(J$4:J$32&lt;&gt;"No DD")),""))</f>
        <v/>
      </c>
      <c r="C23" s="5" t="s">
        <v>68</v>
      </c>
      <c r="D23" s="4" t="s">
        <v>5</v>
      </c>
      <c r="E23" s="4">
        <v>2003</v>
      </c>
      <c r="F23" s="9">
        <f t="shared" si="0"/>
        <v>88.500008850004505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IF(COUNT(AS23,BV23,CY23)&gt;0,LARGE((AS23,BV23,CY23),1),0)</f>
        <v>45.099999999999994</v>
      </c>
      <c r="M23" s="8" t="str">
        <f t="shared" si="5"/>
        <v>2023 Nationals</v>
      </c>
      <c r="N23" s="8">
        <f>IF(COUNT(AS23,BV23,CY23)&gt;1,LARGE((AS23,BV23,CY23),2),0)</f>
        <v>20.799999999999997</v>
      </c>
      <c r="O23" s="8" t="str">
        <f t="shared" si="6"/>
        <v>2023 3rd Domestic Trial</v>
      </c>
      <c r="P23" s="8">
        <f>IF(COUNT(AT23,BW23,CZ23)&gt;0,LARGE((AT23,BW23,CZ23),1),0)</f>
        <v>22.6</v>
      </c>
      <c r="Q23" s="8" t="str">
        <f t="shared" si="7"/>
        <v>2023 Nationals</v>
      </c>
      <c r="R23" s="8">
        <f t="shared" si="8"/>
        <v>0</v>
      </c>
      <c r="S23" s="8" t="str">
        <f t="shared" si="9"/>
        <v/>
      </c>
      <c r="T23" s="8" t="str">
        <f t="shared" si="10"/>
        <v/>
      </c>
      <c r="U23" s="11" t="str">
        <f t="shared" si="11"/>
        <v/>
      </c>
      <c r="V23" s="8" t="str">
        <f t="shared" si="12"/>
        <v/>
      </c>
      <c r="W23" s="19">
        <v>18</v>
      </c>
      <c r="X23" s="19">
        <v>5.6</v>
      </c>
      <c r="Y23" s="19">
        <v>0.2</v>
      </c>
      <c r="Z23" s="19">
        <v>0</v>
      </c>
      <c r="AA23" s="19">
        <v>16.2</v>
      </c>
      <c r="AB23" s="19">
        <v>6</v>
      </c>
      <c r="AC23" s="19">
        <v>0.8</v>
      </c>
      <c r="AD23" s="19">
        <v>0.3</v>
      </c>
      <c r="AE23" s="19">
        <v>18</v>
      </c>
      <c r="AF23" s="19">
        <v>4.8</v>
      </c>
      <c r="AG23" s="19">
        <v>0.2</v>
      </c>
      <c r="AH23" s="19">
        <v>0</v>
      </c>
      <c r="AI23" s="19"/>
      <c r="AJ23" s="19"/>
      <c r="AK23" s="19"/>
      <c r="AL23" s="19"/>
      <c r="AM23" s="19"/>
      <c r="AN23" s="19"/>
      <c r="AO23" s="19"/>
      <c r="AP23" s="19"/>
      <c r="AQ23" s="27"/>
      <c r="AR23" s="40">
        <f t="shared" si="13"/>
        <v>11.6</v>
      </c>
      <c r="AS23" s="40">
        <f t="shared" si="14"/>
        <v>45.099999999999994</v>
      </c>
      <c r="AT23" s="40">
        <f t="shared" si="15"/>
        <v>22.6</v>
      </c>
      <c r="AU23" s="40">
        <f t="shared" si="16"/>
        <v>16.399999999999999</v>
      </c>
      <c r="AV23" s="40">
        <f t="shared" si="17"/>
        <v>67.699999999999989</v>
      </c>
      <c r="AW23" s="40" t="str">
        <f t="shared" si="18"/>
        <v/>
      </c>
      <c r="AX23" s="40" t="str">
        <f t="shared" si="19"/>
        <v/>
      </c>
      <c r="AY23" s="40">
        <f t="shared" si="20"/>
        <v>67.699999999999989</v>
      </c>
      <c r="AZ23" s="18">
        <v>16.399999999999999</v>
      </c>
      <c r="BA23" s="18">
        <v>5.2</v>
      </c>
      <c r="BB23" s="18">
        <v>0.8</v>
      </c>
      <c r="BC23" s="18">
        <v>0</v>
      </c>
      <c r="BD23" s="18">
        <v>0</v>
      </c>
      <c r="BE23" s="18">
        <v>0</v>
      </c>
      <c r="BF23" s="18">
        <v>0</v>
      </c>
      <c r="BG23" s="18">
        <v>0</v>
      </c>
      <c r="BH23" s="18">
        <v>0</v>
      </c>
      <c r="BI23" s="18">
        <v>0</v>
      </c>
      <c r="BJ23" s="18">
        <v>0</v>
      </c>
      <c r="BK23" s="18">
        <v>0</v>
      </c>
      <c r="BL23" s="18"/>
      <c r="BM23" s="18"/>
      <c r="BN23" s="18"/>
      <c r="BO23" s="18"/>
      <c r="BP23" s="18"/>
      <c r="BQ23" s="18"/>
      <c r="BR23" s="18"/>
      <c r="BS23" s="18"/>
      <c r="BT23" s="28"/>
      <c r="BU23" s="11">
        <f t="shared" si="21"/>
        <v>5.2</v>
      </c>
      <c r="BV23" s="11">
        <f t="shared" si="22"/>
        <v>20.799999999999997</v>
      </c>
      <c r="BW23" s="11" t="str">
        <f t="shared" si="23"/>
        <v/>
      </c>
      <c r="BX23" s="11">
        <f t="shared" si="24"/>
        <v>5.2</v>
      </c>
      <c r="BY23" s="11">
        <f t="shared" si="25"/>
        <v>20.799999999999997</v>
      </c>
      <c r="BZ23" s="11" t="str">
        <f t="shared" si="26"/>
        <v/>
      </c>
      <c r="CA23" s="11" t="str">
        <f t="shared" si="27"/>
        <v/>
      </c>
      <c r="CB23" s="11">
        <f t="shared" si="28"/>
        <v>20.799999999999997</v>
      </c>
      <c r="CC23" s="19">
        <v>17</v>
      </c>
      <c r="CD23" s="19">
        <v>2.8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>
        <f t="shared" si="29"/>
        <v>2.8</v>
      </c>
      <c r="CY23" s="40">
        <f t="shared" si="30"/>
        <v>19.8</v>
      </c>
      <c r="CZ23" s="40" t="str">
        <f t="shared" si="31"/>
        <v/>
      </c>
      <c r="DA23" s="40">
        <f t="shared" si="32"/>
        <v>2.8</v>
      </c>
      <c r="DB23" s="40">
        <f t="shared" si="33"/>
        <v>19.8</v>
      </c>
      <c r="DC23" s="40" t="str">
        <f t="shared" si="34"/>
        <v/>
      </c>
      <c r="DD23" s="40" t="str">
        <f t="shared" si="35"/>
        <v/>
      </c>
      <c r="DE23" s="40">
        <f t="shared" si="36"/>
        <v>19.8</v>
      </c>
      <c r="DF23" s="50" t="str">
        <f t="shared" si="37"/>
        <v/>
      </c>
      <c r="DG23" s="50" t="str">
        <f t="shared" si="38"/>
        <v/>
      </c>
      <c r="DH23" s="50" t="str">
        <f t="shared" si="39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40"/>
        <v/>
      </c>
      <c r="ED23" s="40" t="str">
        <f t="shared" si="41"/>
        <v/>
      </c>
      <c r="EE23" s="40" t="str">
        <f t="shared" si="42"/>
        <v/>
      </c>
      <c r="EF23" s="40" t="str">
        <f t="shared" si="43"/>
        <v/>
      </c>
      <c r="EG23" s="40" t="str">
        <f t="shared" si="44"/>
        <v/>
      </c>
      <c r="EH23" s="40" t="str">
        <f t="shared" si="45"/>
        <v/>
      </c>
      <c r="EI23" s="40" t="str">
        <f t="shared" si="46"/>
        <v/>
      </c>
      <c r="EJ23" s="40" t="str">
        <f t="shared" si="47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8"/>
        <v/>
      </c>
      <c r="FF23" s="11" t="str">
        <f t="shared" si="49"/>
        <v/>
      </c>
      <c r="FG23" s="11" t="str">
        <f t="shared" si="50"/>
        <v/>
      </c>
      <c r="FH23" s="11" t="str">
        <f t="shared" si="51"/>
        <v/>
      </c>
      <c r="FI23" s="11" t="str">
        <f t="shared" si="52"/>
        <v/>
      </c>
      <c r="FJ23" s="11" t="str">
        <f t="shared" si="53"/>
        <v/>
      </c>
      <c r="FK23" s="11" t="str">
        <f t="shared" si="54"/>
        <v/>
      </c>
      <c r="FL23" s="11" t="str">
        <f t="shared" si="55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6"/>
        <v/>
      </c>
      <c r="GH23" s="40" t="str">
        <f t="shared" si="57"/>
        <v/>
      </c>
      <c r="GI23" s="40" t="str">
        <f t="shared" si="58"/>
        <v/>
      </c>
      <c r="GJ23" s="40" t="str">
        <f t="shared" si="59"/>
        <v/>
      </c>
      <c r="GK23" s="40" t="str">
        <f t="shared" si="60"/>
        <v/>
      </c>
      <c r="GL23" s="40" t="str">
        <f t="shared" si="61"/>
        <v/>
      </c>
      <c r="GM23" s="40" t="str">
        <f t="shared" si="62"/>
        <v/>
      </c>
      <c r="GN23" s="40" t="str">
        <f t="shared" si="63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4"/>
        <v/>
      </c>
      <c r="HJ23" s="11" t="str">
        <f t="shared" si="65"/>
        <v/>
      </c>
      <c r="HK23" s="11" t="str">
        <f t="shared" si="66"/>
        <v/>
      </c>
      <c r="HL23" s="11" t="str">
        <f t="shared" si="67"/>
        <v/>
      </c>
      <c r="HM23" s="11" t="str">
        <f t="shared" si="68"/>
        <v/>
      </c>
      <c r="HN23" s="11" t="str">
        <f t="shared" si="69"/>
        <v/>
      </c>
      <c r="HO23" s="11" t="str">
        <f t="shared" si="70"/>
        <v/>
      </c>
      <c r="HP23" s="11" t="str">
        <f t="shared" si="71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2"/>
        <v/>
      </c>
      <c r="IL23" s="40" t="str">
        <f t="shared" si="73"/>
        <v/>
      </c>
      <c r="IM23" s="40" t="str">
        <f t="shared" si="74"/>
        <v/>
      </c>
      <c r="IN23" s="40" t="str">
        <f t="shared" si="75"/>
        <v/>
      </c>
      <c r="IO23" s="40" t="str">
        <f t="shared" si="76"/>
        <v/>
      </c>
      <c r="IP23" s="40" t="str">
        <f t="shared" si="77"/>
        <v/>
      </c>
      <c r="IQ23" s="40" t="str">
        <f t="shared" si="78"/>
        <v/>
      </c>
      <c r="IR23" s="40" t="str">
        <f t="shared" si="79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80"/>
        <v/>
      </c>
      <c r="JN23" s="11" t="str">
        <f t="shared" si="81"/>
        <v/>
      </c>
      <c r="JO23" s="11" t="str">
        <f t="shared" si="82"/>
        <v/>
      </c>
      <c r="JP23" s="11" t="str">
        <f t="shared" si="83"/>
        <v/>
      </c>
      <c r="JQ23" s="11" t="str">
        <f t="shared" si="84"/>
        <v/>
      </c>
      <c r="JR23" s="11" t="str">
        <f t="shared" si="85"/>
        <v/>
      </c>
      <c r="JS23" s="11" t="str">
        <f t="shared" si="86"/>
        <v/>
      </c>
      <c r="JT23" s="11" t="str">
        <f t="shared" si="87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8"/>
        <v/>
      </c>
      <c r="KP23" s="40" t="str">
        <f t="shared" si="89"/>
        <v/>
      </c>
      <c r="KQ23" s="40" t="str">
        <f t="shared" si="90"/>
        <v/>
      </c>
      <c r="KR23" s="40" t="str">
        <f t="shared" si="91"/>
        <v/>
      </c>
      <c r="KS23" s="40" t="str">
        <f t="shared" si="92"/>
        <v/>
      </c>
      <c r="KT23" s="40" t="str">
        <f t="shared" si="93"/>
        <v/>
      </c>
      <c r="KU23" s="40" t="str">
        <f t="shared" si="94"/>
        <v/>
      </c>
      <c r="KV23" s="40" t="str">
        <f t="shared" si="95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6"/>
        <v/>
      </c>
      <c r="LR23" s="11" t="str">
        <f t="shared" si="97"/>
        <v/>
      </c>
      <c r="LS23" s="11" t="str">
        <f t="shared" si="98"/>
        <v/>
      </c>
      <c r="LT23" s="11" t="str">
        <f t="shared" si="99"/>
        <v/>
      </c>
      <c r="LU23" s="11" t="str">
        <f t="shared" si="100"/>
        <v/>
      </c>
      <c r="LV23" s="11" t="str">
        <f t="shared" si="101"/>
        <v/>
      </c>
      <c r="LW23" s="11" t="str">
        <f t="shared" si="102"/>
        <v/>
      </c>
      <c r="LX23" s="11" t="str">
        <f t="shared" si="103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4"/>
        <v/>
      </c>
      <c r="MT23" s="40" t="str">
        <f t="shared" si="105"/>
        <v/>
      </c>
      <c r="MU23" s="40" t="str">
        <f t="shared" si="106"/>
        <v/>
      </c>
      <c r="MV23" s="40" t="str">
        <f t="shared" si="107"/>
        <v/>
      </c>
      <c r="MW23" s="40" t="str">
        <f t="shared" si="108"/>
        <v/>
      </c>
      <c r="MX23" s="40" t="str">
        <f t="shared" si="109"/>
        <v/>
      </c>
      <c r="MY23" s="40" t="str">
        <f t="shared" si="110"/>
        <v/>
      </c>
      <c r="MZ23" s="40" t="str">
        <f t="shared" si="111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2"/>
        <v/>
      </c>
      <c r="NV23" s="11" t="str">
        <f t="shared" si="113"/>
        <v/>
      </c>
      <c r="NW23" s="11" t="str">
        <f t="shared" si="114"/>
        <v/>
      </c>
      <c r="NX23" s="11" t="str">
        <f t="shared" si="115"/>
        <v/>
      </c>
      <c r="NY23" s="11" t="str">
        <f t="shared" si="116"/>
        <v/>
      </c>
      <c r="NZ23" s="11" t="str">
        <f t="shared" si="117"/>
        <v/>
      </c>
      <c r="OA23" s="11" t="str">
        <f t="shared" si="118"/>
        <v/>
      </c>
      <c r="OB23" s="11" t="str">
        <f t="shared" si="119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20"/>
        <v/>
      </c>
      <c r="OX23" s="40" t="str">
        <f t="shared" si="121"/>
        <v/>
      </c>
      <c r="OY23" s="40" t="str">
        <f t="shared" si="122"/>
        <v/>
      </c>
      <c r="OZ23" s="40" t="str">
        <f t="shared" si="123"/>
        <v/>
      </c>
      <c r="PA23" s="40" t="str">
        <f t="shared" si="124"/>
        <v/>
      </c>
      <c r="PB23" s="40" t="str">
        <f t="shared" si="125"/>
        <v/>
      </c>
      <c r="PC23" s="40" t="str">
        <f t="shared" si="126"/>
        <v/>
      </c>
      <c r="PD23" s="40" t="str">
        <f t="shared" si="127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8"/>
        <v/>
      </c>
      <c r="PZ23" s="11" t="str">
        <f t="shared" si="129"/>
        <v/>
      </c>
      <c r="QA23" s="11" t="str">
        <f t="shared" si="130"/>
        <v/>
      </c>
      <c r="QB23" s="11" t="str">
        <f t="shared" si="131"/>
        <v/>
      </c>
      <c r="QC23" s="11" t="str">
        <f t="shared" si="132"/>
        <v/>
      </c>
      <c r="QD23" s="11" t="str">
        <f t="shared" si="133"/>
        <v/>
      </c>
      <c r="QE23" s="11" t="str">
        <f t="shared" si="134"/>
        <v/>
      </c>
      <c r="QF23" s="11" t="str">
        <f t="shared" si="135"/>
        <v/>
      </c>
      <c r="QG23" s="22">
        <f t="shared" si="136"/>
        <v>16.7</v>
      </c>
      <c r="QH23" s="22">
        <f t="shared" si="137"/>
        <v>4</v>
      </c>
      <c r="QI23" s="22">
        <f t="shared" si="138"/>
        <v>0.4</v>
      </c>
      <c r="QJ23" s="22">
        <f t="shared" si="139"/>
        <v>0</v>
      </c>
      <c r="QK23" s="22">
        <f t="shared" si="140"/>
        <v>0</v>
      </c>
      <c r="QL23" s="22">
        <f t="shared" si="141"/>
        <v>0</v>
      </c>
      <c r="QM23" s="22">
        <f t="shared" si="142"/>
        <v>0</v>
      </c>
      <c r="QN23" s="22">
        <f t="shared" si="143"/>
        <v>0</v>
      </c>
      <c r="QO23" s="22">
        <f t="shared" si="144"/>
        <v>0</v>
      </c>
      <c r="QP23" s="22">
        <f t="shared" si="145"/>
        <v>0</v>
      </c>
      <c r="QQ23" s="22">
        <f t="shared" si="146"/>
        <v>0</v>
      </c>
      <c r="QR23" s="22">
        <f t="shared" si="147"/>
        <v>0</v>
      </c>
      <c r="QS23" s="22">
        <f t="shared" si="148"/>
        <v>0</v>
      </c>
      <c r="QT23" s="22">
        <f t="shared" si="149"/>
        <v>0</v>
      </c>
      <c r="QU23" s="22">
        <f t="shared" si="150"/>
        <v>0</v>
      </c>
      <c r="QV23" s="22">
        <f t="shared" si="151"/>
        <v>0</v>
      </c>
      <c r="QW23" s="22">
        <f t="shared" si="152"/>
        <v>0</v>
      </c>
      <c r="QX23" s="22">
        <f t="shared" si="153"/>
        <v>0</v>
      </c>
      <c r="QY23" s="22">
        <f t="shared" si="154"/>
        <v>0</v>
      </c>
      <c r="QZ23" s="22">
        <f t="shared" si="155"/>
        <v>0</v>
      </c>
      <c r="RA23" s="27" t="s">
        <v>46</v>
      </c>
      <c r="RB23" s="40">
        <f t="shared" si="156"/>
        <v>4</v>
      </c>
      <c r="RC23" s="40">
        <f t="shared" si="157"/>
        <v>20.3</v>
      </c>
      <c r="RD23" s="40" t="str">
        <f t="shared" si="158"/>
        <v/>
      </c>
      <c r="RE23" s="40">
        <f t="shared" si="159"/>
        <v>4</v>
      </c>
      <c r="RF23" s="40">
        <f t="shared" si="160"/>
        <v>20.3</v>
      </c>
      <c r="RG23" s="40" t="str">
        <f t="shared" si="161"/>
        <v/>
      </c>
      <c r="RH23" s="40" t="str">
        <f t="shared" si="162"/>
        <v/>
      </c>
      <c r="RI23" s="40">
        <f t="shared" si="163"/>
        <v>20.3</v>
      </c>
    </row>
    <row r="24" spans="1:477" x14ac:dyDescent="0.2">
      <c r="A24" s="4" t="str" cm="1">
        <f t="array" ref="A24">IF(AND(J24&lt;&gt;"",J24&lt;&gt;"No DD"),SUMPRODUCT((J$4:J$32&lt;&gt;"")*(J$4:J$32&lt;&gt;"No DD")*(F$4:F$32&gt;F24))+1,IF(J24="No DD",SUMPRODUCT((J$4:J$32="No DD")*(F$4:F$32&gt;F24))+1+SUMPRODUCT((J$4:J$32&lt;&gt;"")*(J$4:J$32&lt;&gt;"No DD")),""))</f>
        <v/>
      </c>
      <c r="B24" s="4" t="str" cm="1">
        <f t="array" ref="B24">IF(AND(J24&lt;&gt;"",J24&lt;&gt;"No DD",G24=""),SUMPRODUCT((J$4:J$32&lt;&gt;"")*(J$4:J$32&lt;&gt;"No DD")*(G$4:G$32="")*(F$4:F$32&gt;F24))+1,IF(J24="No DD",SUMPRODUCT((J$4:J$32="No DD")*(F$4:F$32&gt;F24)*(G$4:G$32=""))+1+SUMPRODUCT((J$4:J$32&lt;&gt;"")*(G$4:G$32="")*(J$4:J$32&lt;&gt;"No DD")),""))</f>
        <v/>
      </c>
      <c r="C24" s="5" t="s">
        <v>224</v>
      </c>
      <c r="D24" s="4" t="s">
        <v>31</v>
      </c>
      <c r="E24" s="4">
        <v>2007</v>
      </c>
      <c r="F24" s="9">
        <f t="shared" si="0"/>
        <v>88.100004380004364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IF(COUNT(AS24,BV24,CY24)&gt;0,LARGE((AS24,BV24,CY24),1),0)</f>
        <v>43.800000000000004</v>
      </c>
      <c r="M24" s="8" t="str">
        <f t="shared" si="5"/>
        <v>2023 Nationals</v>
      </c>
      <c r="N24" s="8">
        <f>IF(COUNT(AS24,BV24,CY24)&gt;1,LARGE((AS24,BV24,CY24),2),0)</f>
        <v>0</v>
      </c>
      <c r="O24" s="8" t="str">
        <f t="shared" si="6"/>
        <v/>
      </c>
      <c r="P24" s="8">
        <f>IF(COUNT(AT24,BW24,CZ24)&gt;0,LARGE((AT24,BW24,CZ24),1),0)</f>
        <v>0</v>
      </c>
      <c r="Q24" s="8" t="str">
        <f t="shared" si="7"/>
        <v/>
      </c>
      <c r="R24" s="8">
        <f t="shared" si="8"/>
        <v>44.3</v>
      </c>
      <c r="S24" s="8" t="str">
        <f t="shared" si="9"/>
        <v>2023 Nationals</v>
      </c>
      <c r="T24" s="8" t="str">
        <f t="shared" si="10"/>
        <v/>
      </c>
      <c r="U24" s="11" t="str">
        <f t="shared" si="11"/>
        <v/>
      </c>
      <c r="V24" s="8" t="str">
        <f t="shared" si="12"/>
        <v/>
      </c>
      <c r="W24" s="19">
        <v>18.7</v>
      </c>
      <c r="X24" s="19">
        <v>3.2</v>
      </c>
      <c r="Y24" s="19">
        <v>0</v>
      </c>
      <c r="Z24" s="19">
        <v>0</v>
      </c>
      <c r="AA24" s="19">
        <v>18.8</v>
      </c>
      <c r="AB24" s="19">
        <v>3.1</v>
      </c>
      <c r="AC24" s="19">
        <v>0</v>
      </c>
      <c r="AD24" s="19">
        <v>0</v>
      </c>
      <c r="AE24" s="19"/>
      <c r="AF24" s="19"/>
      <c r="AG24" s="19"/>
      <c r="AH24" s="19"/>
      <c r="AI24" s="19">
        <v>18.7</v>
      </c>
      <c r="AJ24" s="19">
        <v>3.3</v>
      </c>
      <c r="AK24" s="19">
        <v>0</v>
      </c>
      <c r="AL24" s="19">
        <v>0</v>
      </c>
      <c r="AM24" s="19">
        <v>18.8</v>
      </c>
      <c r="AN24" s="19">
        <v>3.5</v>
      </c>
      <c r="AO24" s="19">
        <v>0</v>
      </c>
      <c r="AP24" s="19">
        <v>0</v>
      </c>
      <c r="AQ24" s="27"/>
      <c r="AR24" s="40">
        <f t="shared" si="13"/>
        <v>6.3000000000000007</v>
      </c>
      <c r="AS24" s="40">
        <f t="shared" si="14"/>
        <v>43.800000000000004</v>
      </c>
      <c r="AT24" s="40" t="str">
        <f t="shared" si="15"/>
        <v/>
      </c>
      <c r="AU24" s="40">
        <f t="shared" si="16"/>
        <v>6.3000000000000007</v>
      </c>
      <c r="AV24" s="40">
        <f t="shared" si="17"/>
        <v>43.800000000000004</v>
      </c>
      <c r="AW24" s="40">
        <f t="shared" si="18"/>
        <v>6.8</v>
      </c>
      <c r="AX24" s="40">
        <f t="shared" si="19"/>
        <v>44.3</v>
      </c>
      <c r="AY24" s="40">
        <f t="shared" si="20"/>
        <v>88.1</v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 t="shared" si="21"/>
        <v/>
      </c>
      <c r="BV24" s="11" t="str">
        <f t="shared" si="22"/>
        <v/>
      </c>
      <c r="BW24" s="11" t="str">
        <f t="shared" si="23"/>
        <v/>
      </c>
      <c r="BX24" s="11" t="str">
        <f t="shared" si="24"/>
        <v/>
      </c>
      <c r="BY24" s="11" t="str">
        <f t="shared" si="25"/>
        <v/>
      </c>
      <c r="BZ24" s="11" t="str">
        <f t="shared" si="26"/>
        <v/>
      </c>
      <c r="CA24" s="11" t="str">
        <f t="shared" si="27"/>
        <v/>
      </c>
      <c r="CB24" s="11" t="str">
        <f t="shared" si="28"/>
        <v/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 t="shared" si="29"/>
        <v/>
      </c>
      <c r="CY24" s="40" t="str">
        <f t="shared" si="30"/>
        <v/>
      </c>
      <c r="CZ24" s="40" t="str">
        <f t="shared" si="31"/>
        <v/>
      </c>
      <c r="DA24" s="40" t="str">
        <f t="shared" si="32"/>
        <v/>
      </c>
      <c r="DB24" s="40" t="str">
        <f t="shared" si="33"/>
        <v/>
      </c>
      <c r="DC24" s="40" t="str">
        <f t="shared" si="34"/>
        <v/>
      </c>
      <c r="DD24" s="40" t="str">
        <f t="shared" si="35"/>
        <v/>
      </c>
      <c r="DE24" s="40" t="str">
        <f t="shared" si="36"/>
        <v/>
      </c>
      <c r="DF24" s="50" t="str">
        <f t="shared" si="37"/>
        <v/>
      </c>
      <c r="DG24" s="50" t="str">
        <f t="shared" si="38"/>
        <v/>
      </c>
      <c r="DH24" s="50" t="str">
        <f t="shared" si="39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40"/>
        <v/>
      </c>
      <c r="ED24" s="40" t="str">
        <f t="shared" si="41"/>
        <v/>
      </c>
      <c r="EE24" s="40" t="str">
        <f t="shared" si="42"/>
        <v/>
      </c>
      <c r="EF24" s="40" t="str">
        <f t="shared" si="43"/>
        <v/>
      </c>
      <c r="EG24" s="40" t="str">
        <f t="shared" si="44"/>
        <v/>
      </c>
      <c r="EH24" s="40" t="str">
        <f t="shared" si="45"/>
        <v/>
      </c>
      <c r="EI24" s="40" t="str">
        <f t="shared" si="46"/>
        <v/>
      </c>
      <c r="EJ24" s="40" t="str">
        <f t="shared" si="47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8"/>
        <v/>
      </c>
      <c r="FF24" s="11" t="str">
        <f t="shared" si="49"/>
        <v/>
      </c>
      <c r="FG24" s="11" t="str">
        <f t="shared" si="50"/>
        <v/>
      </c>
      <c r="FH24" s="11" t="str">
        <f t="shared" si="51"/>
        <v/>
      </c>
      <c r="FI24" s="11" t="str">
        <f t="shared" si="52"/>
        <v/>
      </c>
      <c r="FJ24" s="11" t="str">
        <f t="shared" si="53"/>
        <v/>
      </c>
      <c r="FK24" s="11" t="str">
        <f t="shared" si="54"/>
        <v/>
      </c>
      <c r="FL24" s="11" t="str">
        <f t="shared" si="55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6"/>
        <v/>
      </c>
      <c r="GH24" s="40" t="str">
        <f t="shared" si="57"/>
        <v/>
      </c>
      <c r="GI24" s="40" t="str">
        <f t="shared" si="58"/>
        <v/>
      </c>
      <c r="GJ24" s="40" t="str">
        <f t="shared" si="59"/>
        <v/>
      </c>
      <c r="GK24" s="40" t="str">
        <f t="shared" si="60"/>
        <v/>
      </c>
      <c r="GL24" s="40" t="str">
        <f t="shared" si="61"/>
        <v/>
      </c>
      <c r="GM24" s="40" t="str">
        <f t="shared" si="62"/>
        <v/>
      </c>
      <c r="GN24" s="40" t="str">
        <f t="shared" si="63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4"/>
        <v/>
      </c>
      <c r="HJ24" s="11" t="str">
        <f t="shared" si="65"/>
        <v/>
      </c>
      <c r="HK24" s="11" t="str">
        <f t="shared" si="66"/>
        <v/>
      </c>
      <c r="HL24" s="11" t="str">
        <f t="shared" si="67"/>
        <v/>
      </c>
      <c r="HM24" s="11" t="str">
        <f t="shared" si="68"/>
        <v/>
      </c>
      <c r="HN24" s="11" t="str">
        <f t="shared" si="69"/>
        <v/>
      </c>
      <c r="HO24" s="11" t="str">
        <f t="shared" si="70"/>
        <v/>
      </c>
      <c r="HP24" s="11" t="str">
        <f t="shared" si="71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2"/>
        <v/>
      </c>
      <c r="IL24" s="40" t="str">
        <f t="shared" si="73"/>
        <v/>
      </c>
      <c r="IM24" s="40" t="str">
        <f t="shared" si="74"/>
        <v/>
      </c>
      <c r="IN24" s="40" t="str">
        <f t="shared" si="75"/>
        <v/>
      </c>
      <c r="IO24" s="40" t="str">
        <f t="shared" si="76"/>
        <v/>
      </c>
      <c r="IP24" s="40" t="str">
        <f t="shared" si="77"/>
        <v/>
      </c>
      <c r="IQ24" s="40" t="str">
        <f t="shared" si="78"/>
        <v/>
      </c>
      <c r="IR24" s="40" t="str">
        <f t="shared" si="79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80"/>
        <v/>
      </c>
      <c r="JN24" s="11" t="str">
        <f t="shared" si="81"/>
        <v/>
      </c>
      <c r="JO24" s="11" t="str">
        <f t="shared" si="82"/>
        <v/>
      </c>
      <c r="JP24" s="11" t="str">
        <f t="shared" si="83"/>
        <v/>
      </c>
      <c r="JQ24" s="11" t="str">
        <f t="shared" si="84"/>
        <v/>
      </c>
      <c r="JR24" s="11" t="str">
        <f t="shared" si="85"/>
        <v/>
      </c>
      <c r="JS24" s="11" t="str">
        <f t="shared" si="86"/>
        <v/>
      </c>
      <c r="JT24" s="11" t="str">
        <f t="shared" si="87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8"/>
        <v/>
      </c>
      <c r="KP24" s="40" t="str">
        <f t="shared" si="89"/>
        <v/>
      </c>
      <c r="KQ24" s="40" t="str">
        <f t="shared" si="90"/>
        <v/>
      </c>
      <c r="KR24" s="40" t="str">
        <f t="shared" si="91"/>
        <v/>
      </c>
      <c r="KS24" s="40" t="str">
        <f t="shared" si="92"/>
        <v/>
      </c>
      <c r="KT24" s="40" t="str">
        <f t="shared" si="93"/>
        <v/>
      </c>
      <c r="KU24" s="40" t="str">
        <f t="shared" si="94"/>
        <v/>
      </c>
      <c r="KV24" s="40" t="str">
        <f t="shared" si="95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6"/>
        <v/>
      </c>
      <c r="LR24" s="11" t="str">
        <f t="shared" si="97"/>
        <v/>
      </c>
      <c r="LS24" s="11" t="str">
        <f t="shared" si="98"/>
        <v/>
      </c>
      <c r="LT24" s="11" t="str">
        <f t="shared" si="99"/>
        <v/>
      </c>
      <c r="LU24" s="11" t="str">
        <f t="shared" si="100"/>
        <v/>
      </c>
      <c r="LV24" s="11" t="str">
        <f t="shared" si="101"/>
        <v/>
      </c>
      <c r="LW24" s="11" t="str">
        <f t="shared" si="102"/>
        <v/>
      </c>
      <c r="LX24" s="11" t="str">
        <f t="shared" si="103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4"/>
        <v/>
      </c>
      <c r="MT24" s="40" t="str">
        <f t="shared" si="105"/>
        <v/>
      </c>
      <c r="MU24" s="40" t="str">
        <f t="shared" si="106"/>
        <v/>
      </c>
      <c r="MV24" s="40" t="str">
        <f t="shared" si="107"/>
        <v/>
      </c>
      <c r="MW24" s="40" t="str">
        <f t="shared" si="108"/>
        <v/>
      </c>
      <c r="MX24" s="40" t="str">
        <f t="shared" si="109"/>
        <v/>
      </c>
      <c r="MY24" s="40" t="str">
        <f t="shared" si="110"/>
        <v/>
      </c>
      <c r="MZ24" s="40" t="str">
        <f t="shared" si="111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2"/>
        <v/>
      </c>
      <c r="NV24" s="11" t="str">
        <f t="shared" si="113"/>
        <v/>
      </c>
      <c r="NW24" s="11" t="str">
        <f t="shared" si="114"/>
        <v/>
      </c>
      <c r="NX24" s="11" t="str">
        <f t="shared" si="115"/>
        <v/>
      </c>
      <c r="NY24" s="11" t="str">
        <f t="shared" si="116"/>
        <v/>
      </c>
      <c r="NZ24" s="11" t="str">
        <f t="shared" si="117"/>
        <v/>
      </c>
      <c r="OA24" s="11" t="str">
        <f t="shared" si="118"/>
        <v/>
      </c>
      <c r="OB24" s="11" t="str">
        <f t="shared" si="119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20"/>
        <v/>
      </c>
      <c r="OX24" s="40" t="str">
        <f t="shared" si="121"/>
        <v/>
      </c>
      <c r="OY24" s="40" t="str">
        <f t="shared" si="122"/>
        <v/>
      </c>
      <c r="OZ24" s="40" t="str">
        <f t="shared" si="123"/>
        <v/>
      </c>
      <c r="PA24" s="40" t="str">
        <f t="shared" si="124"/>
        <v/>
      </c>
      <c r="PB24" s="40" t="str">
        <f t="shared" si="125"/>
        <v/>
      </c>
      <c r="PC24" s="40" t="str">
        <f t="shared" si="126"/>
        <v/>
      </c>
      <c r="PD24" s="40" t="str">
        <f t="shared" si="127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8"/>
        <v/>
      </c>
      <c r="PZ24" s="11" t="str">
        <f t="shared" si="129"/>
        <v/>
      </c>
      <c r="QA24" s="11" t="str">
        <f t="shared" si="130"/>
        <v/>
      </c>
      <c r="QB24" s="11" t="str">
        <f t="shared" si="131"/>
        <v/>
      </c>
      <c r="QC24" s="11" t="str">
        <f t="shared" si="132"/>
        <v/>
      </c>
      <c r="QD24" s="11" t="str">
        <f t="shared" si="133"/>
        <v/>
      </c>
      <c r="QE24" s="11" t="str">
        <f t="shared" si="134"/>
        <v/>
      </c>
      <c r="QF24" s="11" t="str">
        <f t="shared" si="135"/>
        <v/>
      </c>
      <c r="QG24" s="22">
        <f t="shared" si="136"/>
        <v>0</v>
      </c>
      <c r="QH24" s="22">
        <f t="shared" si="137"/>
        <v>0</v>
      </c>
      <c r="QI24" s="22">
        <f t="shared" si="138"/>
        <v>0</v>
      </c>
      <c r="QJ24" s="22">
        <f t="shared" si="139"/>
        <v>0</v>
      </c>
      <c r="QK24" s="22">
        <f t="shared" si="140"/>
        <v>0</v>
      </c>
      <c r="QL24" s="22">
        <f t="shared" si="141"/>
        <v>0</v>
      </c>
      <c r="QM24" s="22">
        <f t="shared" si="142"/>
        <v>0</v>
      </c>
      <c r="QN24" s="22">
        <f t="shared" si="143"/>
        <v>0</v>
      </c>
      <c r="QO24" s="22">
        <f t="shared" si="144"/>
        <v>0</v>
      </c>
      <c r="QP24" s="22">
        <f t="shared" si="145"/>
        <v>0</v>
      </c>
      <c r="QQ24" s="22">
        <f t="shared" si="146"/>
        <v>0</v>
      </c>
      <c r="QR24" s="22">
        <f t="shared" si="147"/>
        <v>0</v>
      </c>
      <c r="QS24" s="22">
        <f t="shared" si="148"/>
        <v>0</v>
      </c>
      <c r="QT24" s="22">
        <f t="shared" si="149"/>
        <v>0</v>
      </c>
      <c r="QU24" s="22">
        <f t="shared" si="150"/>
        <v>0</v>
      </c>
      <c r="QV24" s="22">
        <f t="shared" si="151"/>
        <v>0</v>
      </c>
      <c r="QW24" s="22">
        <f t="shared" si="152"/>
        <v>0</v>
      </c>
      <c r="QX24" s="22">
        <f t="shared" si="153"/>
        <v>0</v>
      </c>
      <c r="QY24" s="22">
        <f t="shared" si="154"/>
        <v>0</v>
      </c>
      <c r="QZ24" s="22">
        <f t="shared" si="155"/>
        <v>0</v>
      </c>
      <c r="RA24" s="27" t="s">
        <v>46</v>
      </c>
      <c r="RB24" s="40" t="str">
        <f t="shared" si="156"/>
        <v/>
      </c>
      <c r="RC24" s="40" t="str">
        <f t="shared" si="157"/>
        <v/>
      </c>
      <c r="RD24" s="40" t="str">
        <f t="shared" si="158"/>
        <v/>
      </c>
      <c r="RE24" s="40" t="str">
        <f t="shared" si="159"/>
        <v/>
      </c>
      <c r="RF24" s="40" t="str">
        <f t="shared" si="160"/>
        <v/>
      </c>
      <c r="RG24" s="40" t="str">
        <f t="shared" si="161"/>
        <v/>
      </c>
      <c r="RH24" s="40" t="str">
        <f t="shared" si="162"/>
        <v/>
      </c>
      <c r="RI24" s="40" t="str">
        <f t="shared" si="163"/>
        <v/>
      </c>
    </row>
    <row r="25" spans="1:477" x14ac:dyDescent="0.2">
      <c r="A25" s="4" t="str" cm="1">
        <f t="array" ref="A25">IF(AND(J25&lt;&gt;"",J25&lt;&gt;"No DD"),SUMPRODUCT((J$4:J$32&lt;&gt;"")*(J$4:J$32&lt;&gt;"No DD")*(F$4:F$32&gt;F25))+1,IF(J25="No DD",SUMPRODUCT((J$4:J$32="No DD")*(F$4:F$32&gt;F25))+1+SUMPRODUCT((J$4:J$32&lt;&gt;"")*(J$4:J$32&lt;&gt;"No DD")),""))</f>
        <v/>
      </c>
      <c r="B25" s="4" t="str" cm="1">
        <f t="array" ref="B25">IF(AND(J25&lt;&gt;"",J25&lt;&gt;"No DD",G25=""),SUMPRODUCT((J$4:J$32&lt;&gt;"")*(J$4:J$32&lt;&gt;"No DD")*(G$4:G$32="")*(F$4:F$32&gt;F25))+1,IF(J25="No DD",SUMPRODUCT((J$4:J$32="No DD")*(F$4:F$32&gt;F25)*(G$4:G$32=""))+1+SUMPRODUCT((J$4:J$32&lt;&gt;"")*(G$4:G$32="")*(J$4:J$32&lt;&gt;"No DD")),""))</f>
        <v/>
      </c>
      <c r="C25" s="5" t="s">
        <v>243</v>
      </c>
      <c r="D25" s="4" t="s">
        <v>5</v>
      </c>
      <c r="E25" s="4">
        <v>2006</v>
      </c>
      <c r="F25" s="9">
        <f t="shared" si="0"/>
        <v>61.600006160004021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IF(COUNT(AS25,BV25,CY25)&gt;0,LARGE((AS25,BV25,CY25),1),0)</f>
        <v>40.200000000000003</v>
      </c>
      <c r="M25" s="8" t="str">
        <f t="shared" si="5"/>
        <v>2024 Elite Canada</v>
      </c>
      <c r="N25" s="8">
        <f>IF(COUNT(AS25,BV25,CY25)&gt;1,LARGE((AS25,BV25,CY25),2),0)</f>
        <v>0</v>
      </c>
      <c r="O25" s="8" t="str">
        <f t="shared" si="6"/>
        <v/>
      </c>
      <c r="P25" s="8">
        <f>IF(COUNT(AT25,BW25,CZ25)&gt;0,LARGE((AT25,BW25,CZ25),1),0)</f>
        <v>21.4</v>
      </c>
      <c r="Q25" s="8" t="str">
        <f t="shared" si="7"/>
        <v>2024 Elite Canada</v>
      </c>
      <c r="R25" s="8">
        <f t="shared" si="8"/>
        <v>0</v>
      </c>
      <c r="S25" s="8" t="str">
        <f t="shared" si="9"/>
        <v/>
      </c>
      <c r="T25" s="8" t="str">
        <f t="shared" si="10"/>
        <v/>
      </c>
      <c r="U25" s="11" t="str">
        <f t="shared" si="11"/>
        <v/>
      </c>
      <c r="V25" s="8" t="str">
        <f t="shared" si="12"/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 t="shared" si="13"/>
        <v/>
      </c>
      <c r="AS25" s="40" t="str">
        <f t="shared" si="14"/>
        <v/>
      </c>
      <c r="AT25" s="40" t="str">
        <f t="shared" si="15"/>
        <v/>
      </c>
      <c r="AU25" s="40" t="str">
        <f t="shared" si="16"/>
        <v/>
      </c>
      <c r="AV25" s="40" t="str">
        <f t="shared" si="17"/>
        <v/>
      </c>
      <c r="AW25" s="40" t="str">
        <f t="shared" si="18"/>
        <v/>
      </c>
      <c r="AX25" s="40" t="str">
        <f t="shared" si="19"/>
        <v/>
      </c>
      <c r="AY25" s="40" t="str">
        <f t="shared" si="20"/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 t="shared" si="21"/>
        <v/>
      </c>
      <c r="BV25" s="11" t="str">
        <f t="shared" si="22"/>
        <v/>
      </c>
      <c r="BW25" s="11" t="str">
        <f t="shared" si="23"/>
        <v/>
      </c>
      <c r="BX25" s="11" t="str">
        <f t="shared" si="24"/>
        <v/>
      </c>
      <c r="BY25" s="11" t="str">
        <f t="shared" si="25"/>
        <v/>
      </c>
      <c r="BZ25" s="11" t="str">
        <f t="shared" si="26"/>
        <v/>
      </c>
      <c r="CA25" s="11" t="str">
        <f t="shared" si="27"/>
        <v/>
      </c>
      <c r="CB25" s="11" t="str">
        <f t="shared" si="28"/>
        <v/>
      </c>
      <c r="CC25" s="19">
        <v>18.600000000000001</v>
      </c>
      <c r="CD25" s="19">
        <v>3.5</v>
      </c>
      <c r="CE25" s="19">
        <v>0</v>
      </c>
      <c r="CF25" s="19">
        <v>0</v>
      </c>
      <c r="CG25" s="19">
        <v>17.399999999999999</v>
      </c>
      <c r="CH25" s="19">
        <v>0.7</v>
      </c>
      <c r="CI25" s="19">
        <v>0</v>
      </c>
      <c r="CJ25" s="19">
        <v>0</v>
      </c>
      <c r="CK25" s="19">
        <v>18.100000000000001</v>
      </c>
      <c r="CL25" s="19">
        <v>3.9</v>
      </c>
      <c r="CM25" s="19">
        <v>0.6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 t="shared" si="29"/>
        <v>4.2</v>
      </c>
      <c r="CY25" s="40">
        <f t="shared" si="30"/>
        <v>40.200000000000003</v>
      </c>
      <c r="CZ25" s="40">
        <f t="shared" si="31"/>
        <v>21.4</v>
      </c>
      <c r="DA25" s="40">
        <f t="shared" si="32"/>
        <v>8.1</v>
      </c>
      <c r="DB25" s="40">
        <f t="shared" si="33"/>
        <v>61.6</v>
      </c>
      <c r="DC25" s="40" t="str">
        <f t="shared" si="34"/>
        <v/>
      </c>
      <c r="DD25" s="40" t="str">
        <f t="shared" si="35"/>
        <v/>
      </c>
      <c r="DE25" s="40">
        <f t="shared" si="36"/>
        <v>61.6</v>
      </c>
      <c r="DF25" s="50" t="str">
        <f t="shared" si="37"/>
        <v/>
      </c>
      <c r="DG25" s="50" t="str">
        <f t="shared" si="38"/>
        <v/>
      </c>
      <c r="DH25" s="50" t="str">
        <f t="shared" si="39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40"/>
        <v/>
      </c>
      <c r="ED25" s="40" t="str">
        <f t="shared" si="41"/>
        <v/>
      </c>
      <c r="EE25" s="40" t="str">
        <f t="shared" si="42"/>
        <v/>
      </c>
      <c r="EF25" s="40" t="str">
        <f t="shared" si="43"/>
        <v/>
      </c>
      <c r="EG25" s="40" t="str">
        <f t="shared" si="44"/>
        <v/>
      </c>
      <c r="EH25" s="40" t="str">
        <f t="shared" si="45"/>
        <v/>
      </c>
      <c r="EI25" s="40" t="str">
        <f t="shared" si="46"/>
        <v/>
      </c>
      <c r="EJ25" s="40" t="str">
        <f t="shared" si="47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8"/>
        <v/>
      </c>
      <c r="FF25" s="11" t="str">
        <f t="shared" si="49"/>
        <v/>
      </c>
      <c r="FG25" s="11" t="str">
        <f t="shared" si="50"/>
        <v/>
      </c>
      <c r="FH25" s="11" t="str">
        <f t="shared" si="51"/>
        <v/>
      </c>
      <c r="FI25" s="11" t="str">
        <f t="shared" si="52"/>
        <v/>
      </c>
      <c r="FJ25" s="11" t="str">
        <f t="shared" si="53"/>
        <v/>
      </c>
      <c r="FK25" s="11" t="str">
        <f t="shared" si="54"/>
        <v/>
      </c>
      <c r="FL25" s="11" t="str">
        <f t="shared" si="55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6"/>
        <v/>
      </c>
      <c r="GH25" s="40" t="str">
        <f t="shared" si="57"/>
        <v/>
      </c>
      <c r="GI25" s="40" t="str">
        <f t="shared" si="58"/>
        <v/>
      </c>
      <c r="GJ25" s="40" t="str">
        <f t="shared" si="59"/>
        <v/>
      </c>
      <c r="GK25" s="40" t="str">
        <f t="shared" si="60"/>
        <v/>
      </c>
      <c r="GL25" s="40" t="str">
        <f t="shared" si="61"/>
        <v/>
      </c>
      <c r="GM25" s="40" t="str">
        <f t="shared" si="62"/>
        <v/>
      </c>
      <c r="GN25" s="40" t="str">
        <f t="shared" si="63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4"/>
        <v/>
      </c>
      <c r="HJ25" s="11" t="str">
        <f t="shared" si="65"/>
        <v/>
      </c>
      <c r="HK25" s="11" t="str">
        <f t="shared" si="66"/>
        <v/>
      </c>
      <c r="HL25" s="11" t="str">
        <f t="shared" si="67"/>
        <v/>
      </c>
      <c r="HM25" s="11" t="str">
        <f t="shared" si="68"/>
        <v/>
      </c>
      <c r="HN25" s="11" t="str">
        <f t="shared" si="69"/>
        <v/>
      </c>
      <c r="HO25" s="11" t="str">
        <f t="shared" si="70"/>
        <v/>
      </c>
      <c r="HP25" s="11" t="str">
        <f t="shared" si="71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2"/>
        <v/>
      </c>
      <c r="IL25" s="40" t="str">
        <f t="shared" si="73"/>
        <v/>
      </c>
      <c r="IM25" s="40" t="str">
        <f t="shared" si="74"/>
        <v/>
      </c>
      <c r="IN25" s="40" t="str">
        <f t="shared" si="75"/>
        <v/>
      </c>
      <c r="IO25" s="40" t="str">
        <f t="shared" si="76"/>
        <v/>
      </c>
      <c r="IP25" s="40" t="str">
        <f t="shared" si="77"/>
        <v/>
      </c>
      <c r="IQ25" s="40" t="str">
        <f t="shared" si="78"/>
        <v/>
      </c>
      <c r="IR25" s="40" t="str">
        <f t="shared" si="79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80"/>
        <v/>
      </c>
      <c r="JN25" s="11" t="str">
        <f t="shared" si="81"/>
        <v/>
      </c>
      <c r="JO25" s="11" t="str">
        <f t="shared" si="82"/>
        <v/>
      </c>
      <c r="JP25" s="11" t="str">
        <f t="shared" si="83"/>
        <v/>
      </c>
      <c r="JQ25" s="11" t="str">
        <f t="shared" si="84"/>
        <v/>
      </c>
      <c r="JR25" s="11" t="str">
        <f t="shared" si="85"/>
        <v/>
      </c>
      <c r="JS25" s="11" t="str">
        <f t="shared" si="86"/>
        <v/>
      </c>
      <c r="JT25" s="11" t="str">
        <f t="shared" si="87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8"/>
        <v/>
      </c>
      <c r="KP25" s="40" t="str">
        <f t="shared" si="89"/>
        <v/>
      </c>
      <c r="KQ25" s="40" t="str">
        <f t="shared" si="90"/>
        <v/>
      </c>
      <c r="KR25" s="40" t="str">
        <f t="shared" si="91"/>
        <v/>
      </c>
      <c r="KS25" s="40" t="str">
        <f t="shared" si="92"/>
        <v/>
      </c>
      <c r="KT25" s="40" t="str">
        <f t="shared" si="93"/>
        <v/>
      </c>
      <c r="KU25" s="40" t="str">
        <f t="shared" si="94"/>
        <v/>
      </c>
      <c r="KV25" s="40" t="str">
        <f t="shared" si="95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6"/>
        <v/>
      </c>
      <c r="LR25" s="11" t="str">
        <f t="shared" si="97"/>
        <v/>
      </c>
      <c r="LS25" s="11" t="str">
        <f t="shared" si="98"/>
        <v/>
      </c>
      <c r="LT25" s="11" t="str">
        <f t="shared" si="99"/>
        <v/>
      </c>
      <c r="LU25" s="11" t="str">
        <f t="shared" si="100"/>
        <v/>
      </c>
      <c r="LV25" s="11" t="str">
        <f t="shared" si="101"/>
        <v/>
      </c>
      <c r="LW25" s="11" t="str">
        <f t="shared" si="102"/>
        <v/>
      </c>
      <c r="LX25" s="11" t="str">
        <f t="shared" si="103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4"/>
        <v/>
      </c>
      <c r="MT25" s="40" t="str">
        <f t="shared" si="105"/>
        <v/>
      </c>
      <c r="MU25" s="40" t="str">
        <f t="shared" si="106"/>
        <v/>
      </c>
      <c r="MV25" s="40" t="str">
        <f t="shared" si="107"/>
        <v/>
      </c>
      <c r="MW25" s="40" t="str">
        <f t="shared" si="108"/>
        <v/>
      </c>
      <c r="MX25" s="40" t="str">
        <f t="shared" si="109"/>
        <v/>
      </c>
      <c r="MY25" s="40" t="str">
        <f t="shared" si="110"/>
        <v/>
      </c>
      <c r="MZ25" s="40" t="str">
        <f t="shared" si="111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2"/>
        <v/>
      </c>
      <c r="NV25" s="11" t="str">
        <f t="shared" si="113"/>
        <v/>
      </c>
      <c r="NW25" s="11" t="str">
        <f t="shared" si="114"/>
        <v/>
      </c>
      <c r="NX25" s="11" t="str">
        <f t="shared" si="115"/>
        <v/>
      </c>
      <c r="NY25" s="11" t="str">
        <f t="shared" si="116"/>
        <v/>
      </c>
      <c r="NZ25" s="11" t="str">
        <f t="shared" si="117"/>
        <v/>
      </c>
      <c r="OA25" s="11" t="str">
        <f t="shared" si="118"/>
        <v/>
      </c>
      <c r="OB25" s="11" t="str">
        <f t="shared" si="119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20"/>
        <v/>
      </c>
      <c r="OX25" s="40" t="str">
        <f t="shared" si="121"/>
        <v/>
      </c>
      <c r="OY25" s="40" t="str">
        <f t="shared" si="122"/>
        <v/>
      </c>
      <c r="OZ25" s="40" t="str">
        <f t="shared" si="123"/>
        <v/>
      </c>
      <c r="PA25" s="40" t="str">
        <f t="shared" si="124"/>
        <v/>
      </c>
      <c r="PB25" s="40" t="str">
        <f t="shared" si="125"/>
        <v/>
      </c>
      <c r="PC25" s="40" t="str">
        <f t="shared" si="126"/>
        <v/>
      </c>
      <c r="PD25" s="40" t="str">
        <f t="shared" si="127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8"/>
        <v/>
      </c>
      <c r="PZ25" s="11" t="str">
        <f t="shared" si="129"/>
        <v/>
      </c>
      <c r="QA25" s="11" t="str">
        <f t="shared" si="130"/>
        <v/>
      </c>
      <c r="QB25" s="11" t="str">
        <f t="shared" si="131"/>
        <v/>
      </c>
      <c r="QC25" s="11" t="str">
        <f t="shared" si="132"/>
        <v/>
      </c>
      <c r="QD25" s="11" t="str">
        <f t="shared" si="133"/>
        <v/>
      </c>
      <c r="QE25" s="11" t="str">
        <f t="shared" si="134"/>
        <v/>
      </c>
      <c r="QF25" s="11" t="str">
        <f t="shared" si="135"/>
        <v/>
      </c>
      <c r="QG25" s="22">
        <f t="shared" si="136"/>
        <v>9.3000000000000007</v>
      </c>
      <c r="QH25" s="22">
        <f t="shared" si="137"/>
        <v>1.75</v>
      </c>
      <c r="QI25" s="22">
        <f t="shared" si="138"/>
        <v>0</v>
      </c>
      <c r="QJ25" s="22">
        <f t="shared" si="139"/>
        <v>0</v>
      </c>
      <c r="QK25" s="22">
        <f t="shared" si="140"/>
        <v>8.6999999999999993</v>
      </c>
      <c r="QL25" s="22">
        <f t="shared" si="141"/>
        <v>0.35</v>
      </c>
      <c r="QM25" s="22">
        <f t="shared" si="142"/>
        <v>0</v>
      </c>
      <c r="QN25" s="22">
        <f t="shared" si="143"/>
        <v>0</v>
      </c>
      <c r="QO25" s="22">
        <f t="shared" si="144"/>
        <v>9.0500000000000007</v>
      </c>
      <c r="QP25" s="22">
        <f t="shared" si="145"/>
        <v>1.95</v>
      </c>
      <c r="QQ25" s="22">
        <f t="shared" si="146"/>
        <v>0.3</v>
      </c>
      <c r="QR25" s="22">
        <f t="shared" si="147"/>
        <v>0</v>
      </c>
      <c r="QS25" s="22">
        <f t="shared" si="148"/>
        <v>0</v>
      </c>
      <c r="QT25" s="22">
        <f t="shared" si="149"/>
        <v>0</v>
      </c>
      <c r="QU25" s="22">
        <f t="shared" si="150"/>
        <v>0</v>
      </c>
      <c r="QV25" s="22">
        <f t="shared" si="151"/>
        <v>0</v>
      </c>
      <c r="QW25" s="22">
        <f t="shared" si="152"/>
        <v>0</v>
      </c>
      <c r="QX25" s="22">
        <f t="shared" si="153"/>
        <v>0</v>
      </c>
      <c r="QY25" s="22">
        <f t="shared" si="154"/>
        <v>0</v>
      </c>
      <c r="QZ25" s="22">
        <f t="shared" si="155"/>
        <v>0</v>
      </c>
      <c r="RA25" s="27" t="s">
        <v>46</v>
      </c>
      <c r="RB25" s="40">
        <f t="shared" si="156"/>
        <v>2.1</v>
      </c>
      <c r="RC25" s="40">
        <f t="shared" si="157"/>
        <v>20.100000000000001</v>
      </c>
      <c r="RD25" s="40">
        <f t="shared" si="158"/>
        <v>10.7</v>
      </c>
      <c r="RE25" s="40">
        <f t="shared" si="159"/>
        <v>4.05</v>
      </c>
      <c r="RF25" s="40">
        <f t="shared" si="160"/>
        <v>30.8</v>
      </c>
      <c r="RG25" s="40" t="str">
        <f t="shared" si="161"/>
        <v/>
      </c>
      <c r="RH25" s="40" t="str">
        <f t="shared" si="162"/>
        <v/>
      </c>
      <c r="RI25" s="40">
        <f t="shared" si="163"/>
        <v>30.8</v>
      </c>
    </row>
    <row r="26" spans="1:477" x14ac:dyDescent="0.2">
      <c r="A26" s="4" t="str" cm="1">
        <f t="array" ref="A26">IF(AND(J26&lt;&gt;"",J26&lt;&gt;"No DD"),SUMPRODUCT((J$4:J$32&lt;&gt;"")*(J$4:J$32&lt;&gt;"No DD")*(F$4:F$32&gt;F26))+1,IF(J26="No DD",SUMPRODUCT((J$4:J$32="No DD")*(F$4:F$32&gt;F26))+1+SUMPRODUCT((J$4:J$32&lt;&gt;"")*(J$4:J$32&lt;&gt;"No DD")),""))</f>
        <v/>
      </c>
      <c r="B26" s="4" t="str" cm="1">
        <f t="array" ref="B26">IF(AND(J26&lt;&gt;"",J26&lt;&gt;"No DD",G26=""),SUMPRODUCT((J$4:J$32&lt;&gt;"")*(J$4:J$32&lt;&gt;"No DD")*(G$4:G$32="")*(F$4:F$32&gt;F26))+1,IF(J26="No DD",SUMPRODUCT((J$4:J$32="No DD")*(F$4:F$32&gt;F26)*(G$4:G$32=""))+1+SUMPRODUCT((J$4:J$32&lt;&gt;"")*(G$4:G$32="")*(J$4:J$32&lt;&gt;"No DD")),""))</f>
        <v/>
      </c>
      <c r="C26" s="5" t="s">
        <v>132</v>
      </c>
      <c r="D26" s="4" t="s">
        <v>5</v>
      </c>
      <c r="E26" s="4">
        <v>2004</v>
      </c>
      <c r="F26" s="9">
        <f t="shared" si="0"/>
        <v>60.900006090004268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IF(COUNT(AS26,BV26,CY26)&gt;0,LARGE((AS26,BV26,CY26),1),0)</f>
        <v>42.6</v>
      </c>
      <c r="M26" s="8" t="str">
        <f t="shared" si="5"/>
        <v>2023 Nationals</v>
      </c>
      <c r="N26" s="8">
        <f>IF(COUNT(AS26,BV26,CY26)&gt;1,LARGE((AS26,BV26,CY26),2),0)</f>
        <v>0</v>
      </c>
      <c r="O26" s="8" t="str">
        <f t="shared" si="6"/>
        <v/>
      </c>
      <c r="P26" s="8">
        <f>IF(COUNT(AT26,BW26,CZ26)&gt;0,LARGE((AT26,BW26,CZ26),1),0)</f>
        <v>18.3</v>
      </c>
      <c r="Q26" s="8" t="str">
        <f t="shared" si="7"/>
        <v>2023 Nationals</v>
      </c>
      <c r="R26" s="8">
        <f t="shared" si="8"/>
        <v>0</v>
      </c>
      <c r="S26" s="8" t="str">
        <f t="shared" si="9"/>
        <v/>
      </c>
      <c r="T26" s="8" t="str">
        <f t="shared" si="10"/>
        <v/>
      </c>
      <c r="U26" s="11" t="str">
        <f t="shared" si="11"/>
        <v/>
      </c>
      <c r="V26" s="8" t="str">
        <f t="shared" si="12"/>
        <v/>
      </c>
      <c r="W26" s="19">
        <v>18.8</v>
      </c>
      <c r="X26" s="19">
        <v>2.7</v>
      </c>
      <c r="Y26" s="19">
        <v>0.9</v>
      </c>
      <c r="Z26" s="19">
        <v>0</v>
      </c>
      <c r="AA26" s="19">
        <v>18.399999999999999</v>
      </c>
      <c r="AB26" s="19">
        <v>3.6</v>
      </c>
      <c r="AC26" s="19">
        <v>0</v>
      </c>
      <c r="AD26" s="19">
        <v>0</v>
      </c>
      <c r="AE26" s="19">
        <v>17.600000000000001</v>
      </c>
      <c r="AF26" s="19">
        <v>0.7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 t="shared" si="13"/>
        <v>6.3000000000000007</v>
      </c>
      <c r="AS26" s="40">
        <f t="shared" si="14"/>
        <v>42.6</v>
      </c>
      <c r="AT26" s="40">
        <f t="shared" si="15"/>
        <v>18.3</v>
      </c>
      <c r="AU26" s="40">
        <f t="shared" si="16"/>
        <v>7.0000000000000009</v>
      </c>
      <c r="AV26" s="40">
        <f t="shared" si="17"/>
        <v>60.900000000000006</v>
      </c>
      <c r="AW26" s="40" t="str">
        <f t="shared" si="18"/>
        <v/>
      </c>
      <c r="AX26" s="40" t="str">
        <f t="shared" si="19"/>
        <v/>
      </c>
      <c r="AY26" s="40">
        <f t="shared" si="20"/>
        <v>60.900000000000006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 t="shared" si="21"/>
        <v/>
      </c>
      <c r="BV26" s="11" t="str">
        <f t="shared" si="22"/>
        <v/>
      </c>
      <c r="BW26" s="11" t="str">
        <f t="shared" si="23"/>
        <v/>
      </c>
      <c r="BX26" s="11" t="str">
        <f t="shared" si="24"/>
        <v/>
      </c>
      <c r="BY26" s="11" t="str">
        <f t="shared" si="25"/>
        <v/>
      </c>
      <c r="BZ26" s="11" t="str">
        <f t="shared" si="26"/>
        <v/>
      </c>
      <c r="CA26" s="11" t="str">
        <f t="shared" si="27"/>
        <v/>
      </c>
      <c r="CB26" s="11" t="str">
        <f t="shared" si="28"/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 t="shared" si="29"/>
        <v/>
      </c>
      <c r="CY26" s="40" t="str">
        <f t="shared" si="30"/>
        <v/>
      </c>
      <c r="CZ26" s="40" t="str">
        <f t="shared" si="31"/>
        <v/>
      </c>
      <c r="DA26" s="40" t="str">
        <f t="shared" si="32"/>
        <v/>
      </c>
      <c r="DB26" s="40" t="str">
        <f t="shared" si="33"/>
        <v/>
      </c>
      <c r="DC26" s="40" t="str">
        <f t="shared" si="34"/>
        <v/>
      </c>
      <c r="DD26" s="40" t="str">
        <f t="shared" si="35"/>
        <v/>
      </c>
      <c r="DE26" s="40" t="str">
        <f t="shared" si="36"/>
        <v/>
      </c>
      <c r="DF26" s="50" t="str">
        <f t="shared" si="37"/>
        <v/>
      </c>
      <c r="DG26" s="50" t="str">
        <f t="shared" si="38"/>
        <v/>
      </c>
      <c r="DH26" s="50" t="str">
        <f t="shared" si="39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40"/>
        <v/>
      </c>
      <c r="ED26" s="40" t="str">
        <f t="shared" si="41"/>
        <v/>
      </c>
      <c r="EE26" s="40" t="str">
        <f t="shared" si="42"/>
        <v/>
      </c>
      <c r="EF26" s="40" t="str">
        <f t="shared" si="43"/>
        <v/>
      </c>
      <c r="EG26" s="40" t="str">
        <f t="shared" si="44"/>
        <v/>
      </c>
      <c r="EH26" s="40" t="str">
        <f t="shared" si="45"/>
        <v/>
      </c>
      <c r="EI26" s="40" t="str">
        <f t="shared" si="46"/>
        <v/>
      </c>
      <c r="EJ26" s="40" t="str">
        <f t="shared" si="47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8"/>
        <v/>
      </c>
      <c r="FF26" s="11" t="str">
        <f t="shared" si="49"/>
        <v/>
      </c>
      <c r="FG26" s="11" t="str">
        <f t="shared" si="50"/>
        <v/>
      </c>
      <c r="FH26" s="11" t="str">
        <f t="shared" si="51"/>
        <v/>
      </c>
      <c r="FI26" s="11" t="str">
        <f t="shared" si="52"/>
        <v/>
      </c>
      <c r="FJ26" s="11" t="str">
        <f t="shared" si="53"/>
        <v/>
      </c>
      <c r="FK26" s="11" t="str">
        <f t="shared" si="54"/>
        <v/>
      </c>
      <c r="FL26" s="11" t="str">
        <f t="shared" si="55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6"/>
        <v/>
      </c>
      <c r="GH26" s="40" t="str">
        <f t="shared" si="57"/>
        <v/>
      </c>
      <c r="GI26" s="40" t="str">
        <f t="shared" si="58"/>
        <v/>
      </c>
      <c r="GJ26" s="40" t="str">
        <f t="shared" si="59"/>
        <v/>
      </c>
      <c r="GK26" s="40" t="str">
        <f t="shared" si="60"/>
        <v/>
      </c>
      <c r="GL26" s="40" t="str">
        <f t="shared" si="61"/>
        <v/>
      </c>
      <c r="GM26" s="40" t="str">
        <f t="shared" si="62"/>
        <v/>
      </c>
      <c r="GN26" s="40" t="str">
        <f t="shared" si="63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4"/>
        <v/>
      </c>
      <c r="HJ26" s="11" t="str">
        <f t="shared" si="65"/>
        <v/>
      </c>
      <c r="HK26" s="11" t="str">
        <f t="shared" si="66"/>
        <v/>
      </c>
      <c r="HL26" s="11" t="str">
        <f t="shared" si="67"/>
        <v/>
      </c>
      <c r="HM26" s="11" t="str">
        <f t="shared" si="68"/>
        <v/>
      </c>
      <c r="HN26" s="11" t="str">
        <f t="shared" si="69"/>
        <v/>
      </c>
      <c r="HO26" s="11" t="str">
        <f t="shared" si="70"/>
        <v/>
      </c>
      <c r="HP26" s="11" t="str">
        <f t="shared" si="71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2"/>
        <v/>
      </c>
      <c r="IL26" s="40" t="str">
        <f t="shared" si="73"/>
        <v/>
      </c>
      <c r="IM26" s="40" t="str">
        <f t="shared" si="74"/>
        <v/>
      </c>
      <c r="IN26" s="40" t="str">
        <f t="shared" si="75"/>
        <v/>
      </c>
      <c r="IO26" s="40" t="str">
        <f t="shared" si="76"/>
        <v/>
      </c>
      <c r="IP26" s="40" t="str">
        <f t="shared" si="77"/>
        <v/>
      </c>
      <c r="IQ26" s="40" t="str">
        <f t="shared" si="78"/>
        <v/>
      </c>
      <c r="IR26" s="40" t="str">
        <f t="shared" si="79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80"/>
        <v/>
      </c>
      <c r="JN26" s="11" t="str">
        <f t="shared" si="81"/>
        <v/>
      </c>
      <c r="JO26" s="11" t="str">
        <f t="shared" si="82"/>
        <v/>
      </c>
      <c r="JP26" s="11" t="str">
        <f t="shared" si="83"/>
        <v/>
      </c>
      <c r="JQ26" s="11" t="str">
        <f t="shared" si="84"/>
        <v/>
      </c>
      <c r="JR26" s="11" t="str">
        <f t="shared" si="85"/>
        <v/>
      </c>
      <c r="JS26" s="11" t="str">
        <f t="shared" si="86"/>
        <v/>
      </c>
      <c r="JT26" s="11" t="str">
        <f t="shared" si="87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8"/>
        <v/>
      </c>
      <c r="KP26" s="40" t="str">
        <f t="shared" si="89"/>
        <v/>
      </c>
      <c r="KQ26" s="40" t="str">
        <f t="shared" si="90"/>
        <v/>
      </c>
      <c r="KR26" s="40" t="str">
        <f t="shared" si="91"/>
        <v/>
      </c>
      <c r="KS26" s="40" t="str">
        <f t="shared" si="92"/>
        <v/>
      </c>
      <c r="KT26" s="40" t="str">
        <f t="shared" si="93"/>
        <v/>
      </c>
      <c r="KU26" s="40" t="str">
        <f t="shared" si="94"/>
        <v/>
      </c>
      <c r="KV26" s="40" t="str">
        <f t="shared" si="95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6"/>
        <v/>
      </c>
      <c r="LR26" s="11" t="str">
        <f t="shared" si="97"/>
        <v/>
      </c>
      <c r="LS26" s="11" t="str">
        <f t="shared" si="98"/>
        <v/>
      </c>
      <c r="LT26" s="11" t="str">
        <f t="shared" si="99"/>
        <v/>
      </c>
      <c r="LU26" s="11" t="str">
        <f t="shared" si="100"/>
        <v/>
      </c>
      <c r="LV26" s="11" t="str">
        <f t="shared" si="101"/>
        <v/>
      </c>
      <c r="LW26" s="11" t="str">
        <f t="shared" si="102"/>
        <v/>
      </c>
      <c r="LX26" s="11" t="str">
        <f t="shared" si="103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4"/>
        <v/>
      </c>
      <c r="MT26" s="40" t="str">
        <f t="shared" si="105"/>
        <v/>
      </c>
      <c r="MU26" s="40" t="str">
        <f t="shared" si="106"/>
        <v/>
      </c>
      <c r="MV26" s="40" t="str">
        <f t="shared" si="107"/>
        <v/>
      </c>
      <c r="MW26" s="40" t="str">
        <f t="shared" si="108"/>
        <v/>
      </c>
      <c r="MX26" s="40" t="str">
        <f t="shared" si="109"/>
        <v/>
      </c>
      <c r="MY26" s="40" t="str">
        <f t="shared" si="110"/>
        <v/>
      </c>
      <c r="MZ26" s="40" t="str">
        <f t="shared" si="111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2"/>
        <v/>
      </c>
      <c r="NV26" s="11" t="str">
        <f t="shared" si="113"/>
        <v/>
      </c>
      <c r="NW26" s="11" t="str">
        <f t="shared" si="114"/>
        <v/>
      </c>
      <c r="NX26" s="11" t="str">
        <f t="shared" si="115"/>
        <v/>
      </c>
      <c r="NY26" s="11" t="str">
        <f t="shared" si="116"/>
        <v/>
      </c>
      <c r="NZ26" s="11" t="str">
        <f t="shared" si="117"/>
        <v/>
      </c>
      <c r="OA26" s="11" t="str">
        <f t="shared" si="118"/>
        <v/>
      </c>
      <c r="OB26" s="11" t="str">
        <f t="shared" si="119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20"/>
        <v/>
      </c>
      <c r="OX26" s="40" t="str">
        <f t="shared" si="121"/>
        <v/>
      </c>
      <c r="OY26" s="40" t="str">
        <f t="shared" si="122"/>
        <v/>
      </c>
      <c r="OZ26" s="40" t="str">
        <f t="shared" si="123"/>
        <v/>
      </c>
      <c r="PA26" s="40" t="str">
        <f t="shared" si="124"/>
        <v/>
      </c>
      <c r="PB26" s="40" t="str">
        <f t="shared" si="125"/>
        <v/>
      </c>
      <c r="PC26" s="40" t="str">
        <f t="shared" si="126"/>
        <v/>
      </c>
      <c r="PD26" s="40" t="str">
        <f t="shared" si="127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8"/>
        <v/>
      </c>
      <c r="PZ26" s="11" t="str">
        <f t="shared" si="129"/>
        <v/>
      </c>
      <c r="QA26" s="11" t="str">
        <f t="shared" si="130"/>
        <v/>
      </c>
      <c r="QB26" s="11" t="str">
        <f t="shared" si="131"/>
        <v/>
      </c>
      <c r="QC26" s="11" t="str">
        <f t="shared" si="132"/>
        <v/>
      </c>
      <c r="QD26" s="11" t="str">
        <f t="shared" si="133"/>
        <v/>
      </c>
      <c r="QE26" s="11" t="str">
        <f t="shared" si="134"/>
        <v/>
      </c>
      <c r="QF26" s="11" t="str">
        <f t="shared" si="135"/>
        <v/>
      </c>
      <c r="QG26" s="22">
        <f t="shared" si="136"/>
        <v>0</v>
      </c>
      <c r="QH26" s="22">
        <f t="shared" si="137"/>
        <v>0</v>
      </c>
      <c r="QI26" s="22">
        <f t="shared" si="138"/>
        <v>0</v>
      </c>
      <c r="QJ26" s="22">
        <f t="shared" si="139"/>
        <v>0</v>
      </c>
      <c r="QK26" s="22">
        <f t="shared" si="140"/>
        <v>0</v>
      </c>
      <c r="QL26" s="22">
        <f t="shared" si="141"/>
        <v>0</v>
      </c>
      <c r="QM26" s="22">
        <f t="shared" si="142"/>
        <v>0</v>
      </c>
      <c r="QN26" s="22">
        <f t="shared" si="143"/>
        <v>0</v>
      </c>
      <c r="QO26" s="22">
        <f t="shared" si="144"/>
        <v>0</v>
      </c>
      <c r="QP26" s="22">
        <f t="shared" si="145"/>
        <v>0</v>
      </c>
      <c r="QQ26" s="22">
        <f t="shared" si="146"/>
        <v>0</v>
      </c>
      <c r="QR26" s="22">
        <f t="shared" si="147"/>
        <v>0</v>
      </c>
      <c r="QS26" s="22">
        <f t="shared" si="148"/>
        <v>0</v>
      </c>
      <c r="QT26" s="22">
        <f t="shared" si="149"/>
        <v>0</v>
      </c>
      <c r="QU26" s="22">
        <f t="shared" si="150"/>
        <v>0</v>
      </c>
      <c r="QV26" s="22">
        <f t="shared" si="151"/>
        <v>0</v>
      </c>
      <c r="QW26" s="22">
        <f t="shared" si="152"/>
        <v>0</v>
      </c>
      <c r="QX26" s="22">
        <f t="shared" si="153"/>
        <v>0</v>
      </c>
      <c r="QY26" s="22">
        <f t="shared" si="154"/>
        <v>0</v>
      </c>
      <c r="QZ26" s="22">
        <f t="shared" si="155"/>
        <v>0</v>
      </c>
      <c r="RA26" s="27" t="s">
        <v>46</v>
      </c>
      <c r="RB26" s="40" t="str">
        <f t="shared" si="156"/>
        <v/>
      </c>
      <c r="RC26" s="40" t="str">
        <f t="shared" si="157"/>
        <v/>
      </c>
      <c r="RD26" s="40" t="str">
        <f t="shared" si="158"/>
        <v/>
      </c>
      <c r="RE26" s="40" t="str">
        <f t="shared" si="159"/>
        <v/>
      </c>
      <c r="RF26" s="40" t="str">
        <f t="shared" si="160"/>
        <v/>
      </c>
      <c r="RG26" s="40" t="str">
        <f t="shared" si="161"/>
        <v/>
      </c>
      <c r="RH26" s="40" t="str">
        <f t="shared" si="162"/>
        <v/>
      </c>
      <c r="RI26" s="40" t="str">
        <f t="shared" si="163"/>
        <v/>
      </c>
    </row>
    <row r="27" spans="1:477" x14ac:dyDescent="0.2">
      <c r="A27" s="4" t="str" cm="1">
        <f t="array" ref="A27">IF(AND(J27&lt;&gt;"",J27&lt;&gt;"No DD"),SUMPRODUCT((J$4:J$32&lt;&gt;"")*(J$4:J$32&lt;&gt;"No DD")*(F$4:F$32&gt;F27))+1,IF(J27="No DD",SUMPRODUCT((J$4:J$32="No DD")*(F$4:F$32&gt;F27))+1+SUMPRODUCT((J$4:J$32&lt;&gt;"")*(J$4:J$32&lt;&gt;"No DD")),""))</f>
        <v/>
      </c>
      <c r="B27" s="4" t="str" cm="1">
        <f t="array" ref="B27">IF(AND(J27&lt;&gt;"",J27&lt;&gt;"No DD",G27=""),SUMPRODUCT((J$4:J$32&lt;&gt;"")*(J$4:J$32&lt;&gt;"No DD")*(G$4:G$32="")*(F$4:F$32&gt;F27))+1,IF(J27="No DD",SUMPRODUCT((J$4:J$32="No DD")*(F$4:F$32&gt;F27)*(G$4:G$32=""))+1+SUMPRODUCT((J$4:J$32&lt;&gt;"")*(G$4:G$32="")*(J$4:J$32&lt;&gt;"No DD")),""))</f>
        <v/>
      </c>
      <c r="C27" s="5" t="s">
        <v>244</v>
      </c>
      <c r="D27" s="4" t="s">
        <v>5</v>
      </c>
      <c r="E27" s="4">
        <v>2005</v>
      </c>
      <c r="F27" s="9">
        <f t="shared" si="0"/>
        <v>59.500005950003903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IF(COUNT(AS27,BV27,CY27)&gt;0,LARGE((AS27,BV27,CY27),1),0)</f>
        <v>39</v>
      </c>
      <c r="M27" s="8" t="str">
        <f t="shared" si="5"/>
        <v>2024 Elite Canada</v>
      </c>
      <c r="N27" s="8">
        <f>IF(COUNT(AS27,BV27,CY27)&gt;1,LARGE((AS27,BV27,CY27),2),0)</f>
        <v>0</v>
      </c>
      <c r="O27" s="8" t="str">
        <f t="shared" si="6"/>
        <v/>
      </c>
      <c r="P27" s="8">
        <f>IF(COUNT(AT27,BW27,CZ27)&gt;0,LARGE((AT27,BW27,CZ27),1),0)</f>
        <v>20.5</v>
      </c>
      <c r="Q27" s="8" t="str">
        <f t="shared" si="7"/>
        <v>2024 Elite Canada</v>
      </c>
      <c r="R27" s="8">
        <f t="shared" si="8"/>
        <v>0</v>
      </c>
      <c r="S27" s="8" t="str">
        <f t="shared" si="9"/>
        <v/>
      </c>
      <c r="T27" s="8" t="str">
        <f t="shared" si="10"/>
        <v/>
      </c>
      <c r="U27" s="11" t="str">
        <f t="shared" si="11"/>
        <v/>
      </c>
      <c r="V27" s="8" t="str">
        <f t="shared" si="12"/>
        <v/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 t="shared" si="13"/>
        <v/>
      </c>
      <c r="AS27" s="40" t="str">
        <f t="shared" si="14"/>
        <v/>
      </c>
      <c r="AT27" s="40" t="str">
        <f t="shared" si="15"/>
        <v/>
      </c>
      <c r="AU27" s="40" t="str">
        <f t="shared" si="16"/>
        <v/>
      </c>
      <c r="AV27" s="40" t="str">
        <f t="shared" si="17"/>
        <v/>
      </c>
      <c r="AW27" s="40" t="str">
        <f t="shared" si="18"/>
        <v/>
      </c>
      <c r="AX27" s="40" t="str">
        <f t="shared" si="19"/>
        <v/>
      </c>
      <c r="AY27" s="40" t="str">
        <f t="shared" si="20"/>
        <v/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 t="shared" si="21"/>
        <v/>
      </c>
      <c r="BV27" s="11" t="str">
        <f t="shared" si="22"/>
        <v/>
      </c>
      <c r="BW27" s="11" t="str">
        <f t="shared" si="23"/>
        <v/>
      </c>
      <c r="BX27" s="11" t="str">
        <f t="shared" si="24"/>
        <v/>
      </c>
      <c r="BY27" s="11" t="str">
        <f t="shared" si="25"/>
        <v/>
      </c>
      <c r="BZ27" s="11" t="str">
        <f t="shared" si="26"/>
        <v/>
      </c>
      <c r="CA27" s="11" t="str">
        <f t="shared" si="27"/>
        <v/>
      </c>
      <c r="CB27" s="11" t="str">
        <f t="shared" si="28"/>
        <v/>
      </c>
      <c r="CC27" s="19">
        <v>16.2</v>
      </c>
      <c r="CD27" s="19">
        <v>3.1</v>
      </c>
      <c r="CE27" s="19">
        <v>0.8</v>
      </c>
      <c r="CF27" s="19">
        <v>0</v>
      </c>
      <c r="CG27" s="19">
        <v>18</v>
      </c>
      <c r="CH27" s="19">
        <v>3.3</v>
      </c>
      <c r="CI27" s="19">
        <v>0.8</v>
      </c>
      <c r="CJ27" s="19">
        <v>0</v>
      </c>
      <c r="CK27" s="19">
        <v>18.3</v>
      </c>
      <c r="CL27" s="19">
        <v>3</v>
      </c>
      <c r="CM27" s="19">
        <v>0.8</v>
      </c>
      <c r="CN27" s="19">
        <v>0</v>
      </c>
      <c r="CO27" s="19"/>
      <c r="CP27" s="19"/>
      <c r="CQ27" s="19"/>
      <c r="CR27" s="19"/>
      <c r="CS27" s="19"/>
      <c r="CT27" s="19"/>
      <c r="CU27" s="19"/>
      <c r="CV27" s="19"/>
      <c r="CW27" s="27"/>
      <c r="CX27" s="40">
        <f t="shared" si="29"/>
        <v>6.4</v>
      </c>
      <c r="CY27" s="40">
        <f t="shared" si="30"/>
        <v>39</v>
      </c>
      <c r="CZ27" s="40">
        <f t="shared" si="31"/>
        <v>20.5</v>
      </c>
      <c r="DA27" s="40">
        <f t="shared" si="32"/>
        <v>9.4</v>
      </c>
      <c r="DB27" s="40">
        <f t="shared" si="33"/>
        <v>59.5</v>
      </c>
      <c r="DC27" s="40" t="str">
        <f t="shared" si="34"/>
        <v/>
      </c>
      <c r="DD27" s="40" t="str">
        <f t="shared" si="35"/>
        <v/>
      </c>
      <c r="DE27" s="40">
        <f t="shared" si="36"/>
        <v>59.5</v>
      </c>
      <c r="DF27" s="50" t="str">
        <f t="shared" si="37"/>
        <v/>
      </c>
      <c r="DG27" s="50" t="str">
        <f t="shared" si="38"/>
        <v/>
      </c>
      <c r="DH27" s="50" t="str">
        <f t="shared" si="39"/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 t="shared" si="40"/>
        <v/>
      </c>
      <c r="ED27" s="40" t="str">
        <f t="shared" si="41"/>
        <v/>
      </c>
      <c r="EE27" s="40" t="str">
        <f t="shared" si="42"/>
        <v/>
      </c>
      <c r="EF27" s="40" t="str">
        <f t="shared" si="43"/>
        <v/>
      </c>
      <c r="EG27" s="40" t="str">
        <f t="shared" si="44"/>
        <v/>
      </c>
      <c r="EH27" s="40" t="str">
        <f t="shared" si="45"/>
        <v/>
      </c>
      <c r="EI27" s="40" t="str">
        <f t="shared" si="46"/>
        <v/>
      </c>
      <c r="EJ27" s="40" t="str">
        <f t="shared" si="47"/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 t="shared" si="48"/>
        <v/>
      </c>
      <c r="FF27" s="11" t="str">
        <f t="shared" si="49"/>
        <v/>
      </c>
      <c r="FG27" s="11" t="str">
        <f t="shared" si="50"/>
        <v/>
      </c>
      <c r="FH27" s="11" t="str">
        <f t="shared" si="51"/>
        <v/>
      </c>
      <c r="FI27" s="11" t="str">
        <f t="shared" si="52"/>
        <v/>
      </c>
      <c r="FJ27" s="11" t="str">
        <f t="shared" si="53"/>
        <v/>
      </c>
      <c r="FK27" s="11" t="str">
        <f t="shared" si="54"/>
        <v/>
      </c>
      <c r="FL27" s="11" t="str">
        <f t="shared" si="55"/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 t="shared" si="56"/>
        <v/>
      </c>
      <c r="GH27" s="40" t="str">
        <f t="shared" si="57"/>
        <v/>
      </c>
      <c r="GI27" s="40" t="str">
        <f t="shared" si="58"/>
        <v/>
      </c>
      <c r="GJ27" s="40" t="str">
        <f t="shared" si="59"/>
        <v/>
      </c>
      <c r="GK27" s="40" t="str">
        <f t="shared" si="60"/>
        <v/>
      </c>
      <c r="GL27" s="40" t="str">
        <f t="shared" si="61"/>
        <v/>
      </c>
      <c r="GM27" s="40" t="str">
        <f t="shared" si="62"/>
        <v/>
      </c>
      <c r="GN27" s="40" t="str">
        <f t="shared" si="63"/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 t="shared" si="64"/>
        <v/>
      </c>
      <c r="HJ27" s="11" t="str">
        <f t="shared" si="65"/>
        <v/>
      </c>
      <c r="HK27" s="11" t="str">
        <f t="shared" si="66"/>
        <v/>
      </c>
      <c r="HL27" s="11" t="str">
        <f t="shared" si="67"/>
        <v/>
      </c>
      <c r="HM27" s="11" t="str">
        <f t="shared" si="68"/>
        <v/>
      </c>
      <c r="HN27" s="11" t="str">
        <f t="shared" si="69"/>
        <v/>
      </c>
      <c r="HO27" s="11" t="str">
        <f t="shared" si="70"/>
        <v/>
      </c>
      <c r="HP27" s="11" t="str">
        <f t="shared" si="71"/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 t="shared" si="72"/>
        <v/>
      </c>
      <c r="IL27" s="40" t="str">
        <f t="shared" si="73"/>
        <v/>
      </c>
      <c r="IM27" s="40" t="str">
        <f t="shared" si="74"/>
        <v/>
      </c>
      <c r="IN27" s="40" t="str">
        <f t="shared" si="75"/>
        <v/>
      </c>
      <c r="IO27" s="40" t="str">
        <f t="shared" si="76"/>
        <v/>
      </c>
      <c r="IP27" s="40" t="str">
        <f t="shared" si="77"/>
        <v/>
      </c>
      <c r="IQ27" s="40" t="str">
        <f t="shared" si="78"/>
        <v/>
      </c>
      <c r="IR27" s="40" t="str">
        <f t="shared" si="79"/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 t="shared" si="80"/>
        <v/>
      </c>
      <c r="JN27" s="11" t="str">
        <f t="shared" si="81"/>
        <v/>
      </c>
      <c r="JO27" s="11" t="str">
        <f t="shared" si="82"/>
        <v/>
      </c>
      <c r="JP27" s="11" t="str">
        <f t="shared" si="83"/>
        <v/>
      </c>
      <c r="JQ27" s="11" t="str">
        <f t="shared" si="84"/>
        <v/>
      </c>
      <c r="JR27" s="11" t="str">
        <f t="shared" si="85"/>
        <v/>
      </c>
      <c r="JS27" s="11" t="str">
        <f t="shared" si="86"/>
        <v/>
      </c>
      <c r="JT27" s="11" t="str">
        <f t="shared" si="87"/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 t="shared" si="88"/>
        <v/>
      </c>
      <c r="KP27" s="40" t="str">
        <f t="shared" si="89"/>
        <v/>
      </c>
      <c r="KQ27" s="40" t="str">
        <f t="shared" si="90"/>
        <v/>
      </c>
      <c r="KR27" s="40" t="str">
        <f t="shared" si="91"/>
        <v/>
      </c>
      <c r="KS27" s="40" t="str">
        <f t="shared" si="92"/>
        <v/>
      </c>
      <c r="KT27" s="40" t="str">
        <f t="shared" si="93"/>
        <v/>
      </c>
      <c r="KU27" s="40" t="str">
        <f t="shared" si="94"/>
        <v/>
      </c>
      <c r="KV27" s="40" t="str">
        <f t="shared" si="95"/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 t="shared" si="96"/>
        <v/>
      </c>
      <c r="LR27" s="11" t="str">
        <f t="shared" si="97"/>
        <v/>
      </c>
      <c r="LS27" s="11" t="str">
        <f t="shared" si="98"/>
        <v/>
      </c>
      <c r="LT27" s="11" t="str">
        <f t="shared" si="99"/>
        <v/>
      </c>
      <c r="LU27" s="11" t="str">
        <f t="shared" si="100"/>
        <v/>
      </c>
      <c r="LV27" s="11" t="str">
        <f t="shared" si="101"/>
        <v/>
      </c>
      <c r="LW27" s="11" t="str">
        <f t="shared" si="102"/>
        <v/>
      </c>
      <c r="LX27" s="11" t="str">
        <f t="shared" si="103"/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 t="shared" si="104"/>
        <v/>
      </c>
      <c r="MT27" s="40" t="str">
        <f t="shared" si="105"/>
        <v/>
      </c>
      <c r="MU27" s="40" t="str">
        <f t="shared" si="106"/>
        <v/>
      </c>
      <c r="MV27" s="40" t="str">
        <f t="shared" si="107"/>
        <v/>
      </c>
      <c r="MW27" s="40" t="str">
        <f t="shared" si="108"/>
        <v/>
      </c>
      <c r="MX27" s="40" t="str">
        <f t="shared" si="109"/>
        <v/>
      </c>
      <c r="MY27" s="40" t="str">
        <f t="shared" si="110"/>
        <v/>
      </c>
      <c r="MZ27" s="40" t="str">
        <f t="shared" si="111"/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 t="shared" si="112"/>
        <v/>
      </c>
      <c r="NV27" s="11" t="str">
        <f t="shared" si="113"/>
        <v/>
      </c>
      <c r="NW27" s="11" t="str">
        <f t="shared" si="114"/>
        <v/>
      </c>
      <c r="NX27" s="11" t="str">
        <f t="shared" si="115"/>
        <v/>
      </c>
      <c r="NY27" s="11" t="str">
        <f t="shared" si="116"/>
        <v/>
      </c>
      <c r="NZ27" s="11" t="str">
        <f t="shared" si="117"/>
        <v/>
      </c>
      <c r="OA27" s="11" t="str">
        <f t="shared" si="118"/>
        <v/>
      </c>
      <c r="OB27" s="11" t="str">
        <f t="shared" si="119"/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 t="shared" si="120"/>
        <v/>
      </c>
      <c r="OX27" s="40" t="str">
        <f t="shared" si="121"/>
        <v/>
      </c>
      <c r="OY27" s="40" t="str">
        <f t="shared" si="122"/>
        <v/>
      </c>
      <c r="OZ27" s="40" t="str">
        <f t="shared" si="123"/>
        <v/>
      </c>
      <c r="PA27" s="40" t="str">
        <f t="shared" si="124"/>
        <v/>
      </c>
      <c r="PB27" s="40" t="str">
        <f t="shared" si="125"/>
        <v/>
      </c>
      <c r="PC27" s="40" t="str">
        <f t="shared" si="126"/>
        <v/>
      </c>
      <c r="PD27" s="40" t="str">
        <f t="shared" si="127"/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 t="shared" si="128"/>
        <v/>
      </c>
      <c r="PZ27" s="11" t="str">
        <f t="shared" si="129"/>
        <v/>
      </c>
      <c r="QA27" s="11" t="str">
        <f t="shared" si="130"/>
        <v/>
      </c>
      <c r="QB27" s="11" t="str">
        <f t="shared" si="131"/>
        <v/>
      </c>
      <c r="QC27" s="11" t="str">
        <f t="shared" si="132"/>
        <v/>
      </c>
      <c r="QD27" s="11" t="str">
        <f t="shared" si="133"/>
        <v/>
      </c>
      <c r="QE27" s="11" t="str">
        <f t="shared" si="134"/>
        <v/>
      </c>
      <c r="QF27" s="11" t="str">
        <f t="shared" si="135"/>
        <v/>
      </c>
      <c r="QG27" s="22">
        <f t="shared" si="136"/>
        <v>8.1</v>
      </c>
      <c r="QH27" s="22">
        <f t="shared" si="137"/>
        <v>1.55</v>
      </c>
      <c r="QI27" s="22">
        <f t="shared" si="138"/>
        <v>0.4</v>
      </c>
      <c r="QJ27" s="22">
        <f t="shared" si="139"/>
        <v>0</v>
      </c>
      <c r="QK27" s="22">
        <f t="shared" si="140"/>
        <v>9</v>
      </c>
      <c r="QL27" s="22">
        <f t="shared" si="141"/>
        <v>1.65</v>
      </c>
      <c r="QM27" s="22">
        <f t="shared" si="142"/>
        <v>0.4</v>
      </c>
      <c r="QN27" s="22">
        <f t="shared" si="143"/>
        <v>0</v>
      </c>
      <c r="QO27" s="22">
        <f t="shared" si="144"/>
        <v>9.15</v>
      </c>
      <c r="QP27" s="22">
        <f t="shared" si="145"/>
        <v>1.5</v>
      </c>
      <c r="QQ27" s="22">
        <f t="shared" si="146"/>
        <v>0.4</v>
      </c>
      <c r="QR27" s="22">
        <f t="shared" si="147"/>
        <v>0</v>
      </c>
      <c r="QS27" s="22">
        <f t="shared" si="148"/>
        <v>0</v>
      </c>
      <c r="QT27" s="22">
        <f t="shared" si="149"/>
        <v>0</v>
      </c>
      <c r="QU27" s="22">
        <f t="shared" si="150"/>
        <v>0</v>
      </c>
      <c r="QV27" s="22">
        <f t="shared" si="151"/>
        <v>0</v>
      </c>
      <c r="QW27" s="22">
        <f t="shared" si="152"/>
        <v>0</v>
      </c>
      <c r="QX27" s="22">
        <f t="shared" si="153"/>
        <v>0</v>
      </c>
      <c r="QY27" s="22">
        <f t="shared" si="154"/>
        <v>0</v>
      </c>
      <c r="QZ27" s="22">
        <f t="shared" si="155"/>
        <v>0</v>
      </c>
      <c r="RA27" s="27" t="s">
        <v>46</v>
      </c>
      <c r="RB27" s="40">
        <f t="shared" si="156"/>
        <v>3.2</v>
      </c>
      <c r="RC27" s="40">
        <f t="shared" si="157"/>
        <v>19.5</v>
      </c>
      <c r="RD27" s="40">
        <f t="shared" si="158"/>
        <v>10.25</v>
      </c>
      <c r="RE27" s="40">
        <f t="shared" si="159"/>
        <v>4.7</v>
      </c>
      <c r="RF27" s="40">
        <f t="shared" si="160"/>
        <v>29.75</v>
      </c>
      <c r="RG27" s="40" t="str">
        <f t="shared" si="161"/>
        <v/>
      </c>
      <c r="RH27" s="40" t="str">
        <f t="shared" si="162"/>
        <v/>
      </c>
      <c r="RI27" s="40">
        <f t="shared" si="163"/>
        <v>29.75</v>
      </c>
    </row>
    <row r="28" spans="1:477" x14ac:dyDescent="0.2">
      <c r="A28" s="4" t="str" cm="1">
        <f t="array" ref="A28">IF(AND(J28&lt;&gt;"",J28&lt;&gt;"No DD"),SUMPRODUCT((J$4:J$32&lt;&gt;"")*(J$4:J$32&lt;&gt;"No DD")*(F$4:F$32&gt;F28))+1,IF(J28="No DD",SUMPRODUCT((J$4:J$32="No DD")*(F$4:F$32&gt;F28))+1+SUMPRODUCT((J$4:J$32&lt;&gt;"")*(J$4:J$32&lt;&gt;"No DD")),""))</f>
        <v/>
      </c>
      <c r="B28" s="4" t="str" cm="1">
        <f t="array" ref="B28">IF(AND(J28&lt;&gt;"",J28&lt;&gt;"No DD",G28=""),SUMPRODUCT((J$4:J$32&lt;&gt;"")*(J$4:J$32&lt;&gt;"No DD")*(G$4:G$32="")*(F$4:F$32&gt;F28))+1,IF(J28="No DD",SUMPRODUCT((J$4:J$32="No DD")*(F$4:F$32&gt;F28)*(G$4:G$32=""))+1+SUMPRODUCT((J$4:J$32&lt;&gt;"")*(G$4:G$32="")*(J$4:J$32&lt;&gt;"No DD")),""))</f>
        <v/>
      </c>
      <c r="C28" s="5" t="s">
        <v>118</v>
      </c>
      <c r="D28" s="4" t="s">
        <v>4</v>
      </c>
      <c r="E28" s="4">
        <v>2004</v>
      </c>
      <c r="F28" s="9">
        <f t="shared" si="0"/>
        <v>59.400005940003737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IF(COUNT(AS28,BV28,CY28)&gt;0,LARGE((AS28,BV28,CY28),1),0)</f>
        <v>37.300000000000004</v>
      </c>
      <c r="M28" s="8" t="str">
        <f t="shared" si="5"/>
        <v>2023 Nationals</v>
      </c>
      <c r="N28" s="8">
        <f>IF(COUNT(AS28,BV28,CY28)&gt;1,LARGE((AS28,BV28,CY28),2),0)</f>
        <v>0</v>
      </c>
      <c r="O28" s="8" t="str">
        <f t="shared" si="6"/>
        <v/>
      </c>
      <c r="P28" s="8">
        <f>IF(COUNT(AT28,BW28,CZ28)&gt;0,LARGE((AT28,BW28,CZ28),1),0)</f>
        <v>22.1</v>
      </c>
      <c r="Q28" s="8" t="str">
        <f t="shared" si="7"/>
        <v>2023 Nationals</v>
      </c>
      <c r="R28" s="8">
        <f t="shared" si="8"/>
        <v>0</v>
      </c>
      <c r="S28" s="8" t="str">
        <f t="shared" si="9"/>
        <v/>
      </c>
      <c r="T28" s="8" t="str">
        <f t="shared" si="10"/>
        <v/>
      </c>
      <c r="U28" s="11" t="str">
        <f t="shared" si="11"/>
        <v/>
      </c>
      <c r="V28" s="8" t="str">
        <f t="shared" si="12"/>
        <v/>
      </c>
      <c r="W28" s="19">
        <v>17.8</v>
      </c>
      <c r="X28" s="19">
        <v>0.7</v>
      </c>
      <c r="Y28" s="19">
        <v>0</v>
      </c>
      <c r="Z28" s="19">
        <v>0</v>
      </c>
      <c r="AA28" s="19">
        <v>17.600000000000001</v>
      </c>
      <c r="AB28" s="19">
        <v>1.2</v>
      </c>
      <c r="AC28" s="19">
        <v>0</v>
      </c>
      <c r="AD28" s="19">
        <v>0</v>
      </c>
      <c r="AE28" s="19">
        <v>18.8</v>
      </c>
      <c r="AF28" s="19">
        <v>3.3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 t="shared" si="13"/>
        <v>1.9</v>
      </c>
      <c r="AS28" s="40">
        <f t="shared" si="14"/>
        <v>37.300000000000004</v>
      </c>
      <c r="AT28" s="40">
        <f t="shared" si="15"/>
        <v>22.1</v>
      </c>
      <c r="AU28" s="40">
        <f t="shared" si="16"/>
        <v>5.1999999999999993</v>
      </c>
      <c r="AV28" s="40">
        <f t="shared" si="17"/>
        <v>59.400000000000006</v>
      </c>
      <c r="AW28" s="40" t="str">
        <f t="shared" si="18"/>
        <v/>
      </c>
      <c r="AX28" s="40" t="str">
        <f t="shared" si="19"/>
        <v/>
      </c>
      <c r="AY28" s="40">
        <f t="shared" si="20"/>
        <v>59.400000000000006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 t="shared" si="21"/>
        <v/>
      </c>
      <c r="BV28" s="11" t="str">
        <f t="shared" si="22"/>
        <v/>
      </c>
      <c r="BW28" s="11" t="str">
        <f t="shared" si="23"/>
        <v/>
      </c>
      <c r="BX28" s="11" t="str">
        <f t="shared" si="24"/>
        <v/>
      </c>
      <c r="BY28" s="11" t="str">
        <f t="shared" si="25"/>
        <v/>
      </c>
      <c r="BZ28" s="11" t="str">
        <f t="shared" si="26"/>
        <v/>
      </c>
      <c r="CA28" s="11" t="str">
        <f t="shared" si="27"/>
        <v/>
      </c>
      <c r="CB28" s="11" t="str">
        <f t="shared" si="28"/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 t="shared" si="29"/>
        <v/>
      </c>
      <c r="CY28" s="40" t="str">
        <f t="shared" si="30"/>
        <v/>
      </c>
      <c r="CZ28" s="40" t="str">
        <f t="shared" si="31"/>
        <v/>
      </c>
      <c r="DA28" s="40" t="str">
        <f t="shared" si="32"/>
        <v/>
      </c>
      <c r="DB28" s="40" t="str">
        <f t="shared" si="33"/>
        <v/>
      </c>
      <c r="DC28" s="40" t="str">
        <f t="shared" si="34"/>
        <v/>
      </c>
      <c r="DD28" s="40" t="str">
        <f t="shared" si="35"/>
        <v/>
      </c>
      <c r="DE28" s="40" t="str">
        <f t="shared" si="36"/>
        <v/>
      </c>
      <c r="DF28" s="50" t="str">
        <f t="shared" si="37"/>
        <v/>
      </c>
      <c r="DG28" s="50" t="str">
        <f t="shared" si="38"/>
        <v/>
      </c>
      <c r="DH28" s="50" t="str">
        <f t="shared" si="39"/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 t="shared" si="40"/>
        <v/>
      </c>
      <c r="ED28" s="40" t="str">
        <f t="shared" si="41"/>
        <v/>
      </c>
      <c r="EE28" s="40" t="str">
        <f t="shared" si="42"/>
        <v/>
      </c>
      <c r="EF28" s="40" t="str">
        <f t="shared" si="43"/>
        <v/>
      </c>
      <c r="EG28" s="40" t="str">
        <f t="shared" si="44"/>
        <v/>
      </c>
      <c r="EH28" s="40" t="str">
        <f t="shared" si="45"/>
        <v/>
      </c>
      <c r="EI28" s="40" t="str">
        <f t="shared" si="46"/>
        <v/>
      </c>
      <c r="EJ28" s="40" t="str">
        <f t="shared" si="47"/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 t="shared" si="48"/>
        <v/>
      </c>
      <c r="FF28" s="11" t="str">
        <f t="shared" si="49"/>
        <v/>
      </c>
      <c r="FG28" s="11" t="str">
        <f t="shared" si="50"/>
        <v/>
      </c>
      <c r="FH28" s="11" t="str">
        <f t="shared" si="51"/>
        <v/>
      </c>
      <c r="FI28" s="11" t="str">
        <f t="shared" si="52"/>
        <v/>
      </c>
      <c r="FJ28" s="11" t="str">
        <f t="shared" si="53"/>
        <v/>
      </c>
      <c r="FK28" s="11" t="str">
        <f t="shared" si="54"/>
        <v/>
      </c>
      <c r="FL28" s="11" t="str">
        <f t="shared" si="55"/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 t="shared" si="56"/>
        <v/>
      </c>
      <c r="GH28" s="40" t="str">
        <f t="shared" si="57"/>
        <v/>
      </c>
      <c r="GI28" s="40" t="str">
        <f t="shared" si="58"/>
        <v/>
      </c>
      <c r="GJ28" s="40" t="str">
        <f t="shared" si="59"/>
        <v/>
      </c>
      <c r="GK28" s="40" t="str">
        <f t="shared" si="60"/>
        <v/>
      </c>
      <c r="GL28" s="40" t="str">
        <f t="shared" si="61"/>
        <v/>
      </c>
      <c r="GM28" s="40" t="str">
        <f t="shared" si="62"/>
        <v/>
      </c>
      <c r="GN28" s="40" t="str">
        <f t="shared" si="63"/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 t="shared" si="64"/>
        <v/>
      </c>
      <c r="HJ28" s="11" t="str">
        <f t="shared" si="65"/>
        <v/>
      </c>
      <c r="HK28" s="11" t="str">
        <f t="shared" si="66"/>
        <v/>
      </c>
      <c r="HL28" s="11" t="str">
        <f t="shared" si="67"/>
        <v/>
      </c>
      <c r="HM28" s="11" t="str">
        <f t="shared" si="68"/>
        <v/>
      </c>
      <c r="HN28" s="11" t="str">
        <f t="shared" si="69"/>
        <v/>
      </c>
      <c r="HO28" s="11" t="str">
        <f t="shared" si="70"/>
        <v/>
      </c>
      <c r="HP28" s="11" t="str">
        <f t="shared" si="71"/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 t="shared" si="72"/>
        <v/>
      </c>
      <c r="IL28" s="40" t="str">
        <f t="shared" si="73"/>
        <v/>
      </c>
      <c r="IM28" s="40" t="str">
        <f t="shared" si="74"/>
        <v/>
      </c>
      <c r="IN28" s="40" t="str">
        <f t="shared" si="75"/>
        <v/>
      </c>
      <c r="IO28" s="40" t="str">
        <f t="shared" si="76"/>
        <v/>
      </c>
      <c r="IP28" s="40" t="str">
        <f t="shared" si="77"/>
        <v/>
      </c>
      <c r="IQ28" s="40" t="str">
        <f t="shared" si="78"/>
        <v/>
      </c>
      <c r="IR28" s="40" t="str">
        <f t="shared" si="79"/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 t="shared" si="80"/>
        <v/>
      </c>
      <c r="JN28" s="11" t="str">
        <f t="shared" si="81"/>
        <v/>
      </c>
      <c r="JO28" s="11" t="str">
        <f t="shared" si="82"/>
        <v/>
      </c>
      <c r="JP28" s="11" t="str">
        <f t="shared" si="83"/>
        <v/>
      </c>
      <c r="JQ28" s="11" t="str">
        <f t="shared" si="84"/>
        <v/>
      </c>
      <c r="JR28" s="11" t="str">
        <f t="shared" si="85"/>
        <v/>
      </c>
      <c r="JS28" s="11" t="str">
        <f t="shared" si="86"/>
        <v/>
      </c>
      <c r="JT28" s="11" t="str">
        <f t="shared" si="87"/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 t="shared" si="88"/>
        <v/>
      </c>
      <c r="KP28" s="40" t="str">
        <f t="shared" si="89"/>
        <v/>
      </c>
      <c r="KQ28" s="40" t="str">
        <f t="shared" si="90"/>
        <v/>
      </c>
      <c r="KR28" s="40" t="str">
        <f t="shared" si="91"/>
        <v/>
      </c>
      <c r="KS28" s="40" t="str">
        <f t="shared" si="92"/>
        <v/>
      </c>
      <c r="KT28" s="40" t="str">
        <f t="shared" si="93"/>
        <v/>
      </c>
      <c r="KU28" s="40" t="str">
        <f t="shared" si="94"/>
        <v/>
      </c>
      <c r="KV28" s="40" t="str">
        <f t="shared" si="95"/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 t="shared" si="96"/>
        <v/>
      </c>
      <c r="LR28" s="11" t="str">
        <f t="shared" si="97"/>
        <v/>
      </c>
      <c r="LS28" s="11" t="str">
        <f t="shared" si="98"/>
        <v/>
      </c>
      <c r="LT28" s="11" t="str">
        <f t="shared" si="99"/>
        <v/>
      </c>
      <c r="LU28" s="11" t="str">
        <f t="shared" si="100"/>
        <v/>
      </c>
      <c r="LV28" s="11" t="str">
        <f t="shared" si="101"/>
        <v/>
      </c>
      <c r="LW28" s="11" t="str">
        <f t="shared" si="102"/>
        <v/>
      </c>
      <c r="LX28" s="11" t="str">
        <f t="shared" si="103"/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 t="shared" si="104"/>
        <v/>
      </c>
      <c r="MT28" s="40" t="str">
        <f t="shared" si="105"/>
        <v/>
      </c>
      <c r="MU28" s="40" t="str">
        <f t="shared" si="106"/>
        <v/>
      </c>
      <c r="MV28" s="40" t="str">
        <f t="shared" si="107"/>
        <v/>
      </c>
      <c r="MW28" s="40" t="str">
        <f t="shared" si="108"/>
        <v/>
      </c>
      <c r="MX28" s="40" t="str">
        <f t="shared" si="109"/>
        <v/>
      </c>
      <c r="MY28" s="40" t="str">
        <f t="shared" si="110"/>
        <v/>
      </c>
      <c r="MZ28" s="40" t="str">
        <f t="shared" si="111"/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 t="shared" si="112"/>
        <v/>
      </c>
      <c r="NV28" s="11" t="str">
        <f t="shared" si="113"/>
        <v/>
      </c>
      <c r="NW28" s="11" t="str">
        <f t="shared" si="114"/>
        <v/>
      </c>
      <c r="NX28" s="11" t="str">
        <f t="shared" si="115"/>
        <v/>
      </c>
      <c r="NY28" s="11" t="str">
        <f t="shared" si="116"/>
        <v/>
      </c>
      <c r="NZ28" s="11" t="str">
        <f t="shared" si="117"/>
        <v/>
      </c>
      <c r="OA28" s="11" t="str">
        <f t="shared" si="118"/>
        <v/>
      </c>
      <c r="OB28" s="11" t="str">
        <f t="shared" si="119"/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 t="shared" si="120"/>
        <v/>
      </c>
      <c r="OX28" s="40" t="str">
        <f t="shared" si="121"/>
        <v/>
      </c>
      <c r="OY28" s="40" t="str">
        <f t="shared" si="122"/>
        <v/>
      </c>
      <c r="OZ28" s="40" t="str">
        <f t="shared" si="123"/>
        <v/>
      </c>
      <c r="PA28" s="40" t="str">
        <f t="shared" si="124"/>
        <v/>
      </c>
      <c r="PB28" s="40" t="str">
        <f t="shared" si="125"/>
        <v/>
      </c>
      <c r="PC28" s="40" t="str">
        <f t="shared" si="126"/>
        <v/>
      </c>
      <c r="PD28" s="40" t="str">
        <f t="shared" si="127"/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 t="shared" si="128"/>
        <v/>
      </c>
      <c r="PZ28" s="11" t="str">
        <f t="shared" si="129"/>
        <v/>
      </c>
      <c r="QA28" s="11" t="str">
        <f t="shared" si="130"/>
        <v/>
      </c>
      <c r="QB28" s="11" t="str">
        <f t="shared" si="131"/>
        <v/>
      </c>
      <c r="QC28" s="11" t="str">
        <f t="shared" si="132"/>
        <v/>
      </c>
      <c r="QD28" s="11" t="str">
        <f t="shared" si="133"/>
        <v/>
      </c>
      <c r="QE28" s="11" t="str">
        <f t="shared" si="134"/>
        <v/>
      </c>
      <c r="QF28" s="11" t="str">
        <f t="shared" si="135"/>
        <v/>
      </c>
      <c r="QG28" s="22">
        <f t="shared" si="136"/>
        <v>0</v>
      </c>
      <c r="QH28" s="22">
        <f t="shared" si="137"/>
        <v>0</v>
      </c>
      <c r="QI28" s="22">
        <f t="shared" si="138"/>
        <v>0</v>
      </c>
      <c r="QJ28" s="22">
        <f t="shared" si="139"/>
        <v>0</v>
      </c>
      <c r="QK28" s="22">
        <f t="shared" si="140"/>
        <v>0</v>
      </c>
      <c r="QL28" s="22">
        <f t="shared" si="141"/>
        <v>0</v>
      </c>
      <c r="QM28" s="22">
        <f t="shared" si="142"/>
        <v>0</v>
      </c>
      <c r="QN28" s="22">
        <f t="shared" si="143"/>
        <v>0</v>
      </c>
      <c r="QO28" s="22">
        <f t="shared" si="144"/>
        <v>0</v>
      </c>
      <c r="QP28" s="22">
        <f t="shared" si="145"/>
        <v>0</v>
      </c>
      <c r="QQ28" s="22">
        <f t="shared" si="146"/>
        <v>0</v>
      </c>
      <c r="QR28" s="22">
        <f t="shared" si="147"/>
        <v>0</v>
      </c>
      <c r="QS28" s="22">
        <f t="shared" si="148"/>
        <v>0</v>
      </c>
      <c r="QT28" s="22">
        <f t="shared" si="149"/>
        <v>0</v>
      </c>
      <c r="QU28" s="22">
        <f t="shared" si="150"/>
        <v>0</v>
      </c>
      <c r="QV28" s="22">
        <f t="shared" si="151"/>
        <v>0</v>
      </c>
      <c r="QW28" s="22">
        <f t="shared" si="152"/>
        <v>0</v>
      </c>
      <c r="QX28" s="22">
        <f t="shared" si="153"/>
        <v>0</v>
      </c>
      <c r="QY28" s="22">
        <f t="shared" si="154"/>
        <v>0</v>
      </c>
      <c r="QZ28" s="22">
        <f t="shared" si="155"/>
        <v>0</v>
      </c>
      <c r="RA28" s="27" t="s">
        <v>46</v>
      </c>
      <c r="RB28" s="40" t="str">
        <f t="shared" si="156"/>
        <v/>
      </c>
      <c r="RC28" s="40" t="str">
        <f t="shared" si="157"/>
        <v/>
      </c>
      <c r="RD28" s="40" t="str">
        <f t="shared" si="158"/>
        <v/>
      </c>
      <c r="RE28" s="40" t="str">
        <f t="shared" si="159"/>
        <v/>
      </c>
      <c r="RF28" s="40" t="str">
        <f t="shared" si="160"/>
        <v/>
      </c>
      <c r="RG28" s="40" t="str">
        <f t="shared" si="161"/>
        <v/>
      </c>
      <c r="RH28" s="40" t="str">
        <f t="shared" si="162"/>
        <v/>
      </c>
      <c r="RI28" s="40" t="str">
        <f t="shared" si="163"/>
        <v/>
      </c>
    </row>
    <row r="29" spans="1:477" x14ac:dyDescent="0.2">
      <c r="A29" s="4" t="str" cm="1">
        <f t="array" ref="A29">IF(AND(J29&lt;&gt;"",J29&lt;&gt;"No DD"),SUMPRODUCT((J$4:J$32&lt;&gt;"")*(J$4:J$32&lt;&gt;"No DD")*(F$4:F$32&gt;F29))+1,IF(J29="No DD",SUMPRODUCT((J$4:J$32="No DD")*(F$4:F$32&gt;F29))+1+SUMPRODUCT((J$4:J$32&lt;&gt;"")*(J$4:J$32&lt;&gt;"No DD")),""))</f>
        <v/>
      </c>
      <c r="B29" s="4" t="str" cm="1">
        <f t="array" ref="B29">IF(AND(J29&lt;&gt;"",J29&lt;&gt;"No DD",G29=""),SUMPRODUCT((J$4:J$32&lt;&gt;"")*(J$4:J$32&lt;&gt;"No DD")*(G$4:G$32="")*(F$4:F$32&gt;F29))+1,IF(J29="No DD",SUMPRODUCT((J$4:J$32="No DD")*(F$4:F$32&gt;F29)*(G$4:G$32=""))+1+SUMPRODUCT((J$4:J$32&lt;&gt;"")*(G$4:G$32="")*(J$4:J$32&lt;&gt;"No DD")),""))</f>
        <v/>
      </c>
      <c r="C29" s="5" t="s">
        <v>116</v>
      </c>
      <c r="D29" s="4" t="s">
        <v>4</v>
      </c>
      <c r="E29" s="4">
        <v>2005</v>
      </c>
      <c r="F29" s="9">
        <f t="shared" si="0"/>
        <v>45.10000451000451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IF(COUNT(AS29,BV29,CY29)&gt;0,LARGE((AS29,BV29,CY29),1),0)</f>
        <v>45.1</v>
      </c>
      <c r="M29" s="8" t="str">
        <f t="shared" si="5"/>
        <v>2023 Nationals</v>
      </c>
      <c r="N29" s="8">
        <f>IF(COUNT(AS29,BV29,CY29)&gt;1,LARGE((AS29,BV29,CY29),2),0)</f>
        <v>0</v>
      </c>
      <c r="O29" s="8" t="str">
        <f t="shared" si="6"/>
        <v/>
      </c>
      <c r="P29" s="8">
        <f>IF(COUNT(AT29,BW29,CZ29)&gt;0,LARGE((AT29,BW29,CZ29),1),0)</f>
        <v>0</v>
      </c>
      <c r="Q29" s="8" t="str">
        <f t="shared" si="7"/>
        <v/>
      </c>
      <c r="R29" s="8">
        <f t="shared" si="8"/>
        <v>0</v>
      </c>
      <c r="S29" s="8" t="str">
        <f t="shared" si="9"/>
        <v/>
      </c>
      <c r="T29" s="8" t="str">
        <f t="shared" si="10"/>
        <v/>
      </c>
      <c r="U29" s="11" t="str">
        <f t="shared" si="11"/>
        <v/>
      </c>
      <c r="V29" s="8" t="str">
        <f t="shared" si="12"/>
        <v/>
      </c>
      <c r="W29" s="19">
        <v>19.2</v>
      </c>
      <c r="X29" s="19">
        <v>3.5</v>
      </c>
      <c r="Y29" s="19">
        <v>0</v>
      </c>
      <c r="Z29" s="19">
        <v>0</v>
      </c>
      <c r="AA29" s="19">
        <v>18.8</v>
      </c>
      <c r="AB29" s="19">
        <v>3.6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 t="shared" si="13"/>
        <v>7.1</v>
      </c>
      <c r="AS29" s="40">
        <f t="shared" si="14"/>
        <v>45.1</v>
      </c>
      <c r="AT29" s="40" t="str">
        <f t="shared" si="15"/>
        <v/>
      </c>
      <c r="AU29" s="40">
        <f t="shared" si="16"/>
        <v>7.1</v>
      </c>
      <c r="AV29" s="40">
        <f t="shared" si="17"/>
        <v>45.1</v>
      </c>
      <c r="AW29" s="40" t="str">
        <f t="shared" si="18"/>
        <v/>
      </c>
      <c r="AX29" s="40" t="str">
        <f t="shared" si="19"/>
        <v/>
      </c>
      <c r="AY29" s="40">
        <f t="shared" si="20"/>
        <v>45.1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 t="shared" si="21"/>
        <v/>
      </c>
      <c r="BV29" s="11" t="str">
        <f t="shared" si="22"/>
        <v/>
      </c>
      <c r="BW29" s="11" t="str">
        <f t="shared" si="23"/>
        <v/>
      </c>
      <c r="BX29" s="11" t="str">
        <f t="shared" si="24"/>
        <v/>
      </c>
      <c r="BY29" s="11" t="str">
        <f t="shared" si="25"/>
        <v/>
      </c>
      <c r="BZ29" s="11" t="str">
        <f t="shared" si="26"/>
        <v/>
      </c>
      <c r="CA29" s="11" t="str">
        <f t="shared" si="27"/>
        <v/>
      </c>
      <c r="CB29" s="11" t="str">
        <f t="shared" si="28"/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 t="shared" si="29"/>
        <v/>
      </c>
      <c r="CY29" s="40" t="str">
        <f t="shared" si="30"/>
        <v/>
      </c>
      <c r="CZ29" s="40" t="str">
        <f t="shared" si="31"/>
        <v/>
      </c>
      <c r="DA29" s="40" t="str">
        <f t="shared" si="32"/>
        <v/>
      </c>
      <c r="DB29" s="40" t="str">
        <f t="shared" si="33"/>
        <v/>
      </c>
      <c r="DC29" s="40" t="str">
        <f t="shared" si="34"/>
        <v/>
      </c>
      <c r="DD29" s="40" t="str">
        <f t="shared" si="35"/>
        <v/>
      </c>
      <c r="DE29" s="40" t="str">
        <f t="shared" si="36"/>
        <v/>
      </c>
      <c r="DF29" s="50" t="str">
        <f t="shared" si="37"/>
        <v/>
      </c>
      <c r="DG29" s="50" t="str">
        <f t="shared" si="38"/>
        <v/>
      </c>
      <c r="DH29" s="50" t="str">
        <f t="shared" si="39"/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 t="shared" si="40"/>
        <v/>
      </c>
      <c r="ED29" s="40" t="str">
        <f t="shared" si="41"/>
        <v/>
      </c>
      <c r="EE29" s="40" t="str">
        <f t="shared" si="42"/>
        <v/>
      </c>
      <c r="EF29" s="40" t="str">
        <f t="shared" si="43"/>
        <v/>
      </c>
      <c r="EG29" s="40" t="str">
        <f t="shared" si="44"/>
        <v/>
      </c>
      <c r="EH29" s="40" t="str">
        <f t="shared" si="45"/>
        <v/>
      </c>
      <c r="EI29" s="40" t="str">
        <f t="shared" si="46"/>
        <v/>
      </c>
      <c r="EJ29" s="40" t="str">
        <f t="shared" si="47"/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 t="shared" si="48"/>
        <v/>
      </c>
      <c r="FF29" s="11" t="str">
        <f t="shared" si="49"/>
        <v/>
      </c>
      <c r="FG29" s="11" t="str">
        <f t="shared" si="50"/>
        <v/>
      </c>
      <c r="FH29" s="11" t="str">
        <f t="shared" si="51"/>
        <v/>
      </c>
      <c r="FI29" s="11" t="str">
        <f t="shared" si="52"/>
        <v/>
      </c>
      <c r="FJ29" s="11" t="str">
        <f t="shared" si="53"/>
        <v/>
      </c>
      <c r="FK29" s="11" t="str">
        <f t="shared" si="54"/>
        <v/>
      </c>
      <c r="FL29" s="11" t="str">
        <f t="shared" si="55"/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 t="shared" si="56"/>
        <v/>
      </c>
      <c r="GH29" s="40" t="str">
        <f t="shared" si="57"/>
        <v/>
      </c>
      <c r="GI29" s="40" t="str">
        <f t="shared" si="58"/>
        <v/>
      </c>
      <c r="GJ29" s="40" t="str">
        <f t="shared" si="59"/>
        <v/>
      </c>
      <c r="GK29" s="40" t="str">
        <f t="shared" si="60"/>
        <v/>
      </c>
      <c r="GL29" s="40" t="str">
        <f t="shared" si="61"/>
        <v/>
      </c>
      <c r="GM29" s="40" t="str">
        <f t="shared" si="62"/>
        <v/>
      </c>
      <c r="GN29" s="40" t="str">
        <f t="shared" si="63"/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 t="shared" si="64"/>
        <v/>
      </c>
      <c r="HJ29" s="11" t="str">
        <f t="shared" si="65"/>
        <v/>
      </c>
      <c r="HK29" s="11" t="str">
        <f t="shared" si="66"/>
        <v/>
      </c>
      <c r="HL29" s="11" t="str">
        <f t="shared" si="67"/>
        <v/>
      </c>
      <c r="HM29" s="11" t="str">
        <f t="shared" si="68"/>
        <v/>
      </c>
      <c r="HN29" s="11" t="str">
        <f t="shared" si="69"/>
        <v/>
      </c>
      <c r="HO29" s="11" t="str">
        <f t="shared" si="70"/>
        <v/>
      </c>
      <c r="HP29" s="11" t="str">
        <f t="shared" si="71"/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 t="shared" si="72"/>
        <v/>
      </c>
      <c r="IL29" s="40" t="str">
        <f t="shared" si="73"/>
        <v/>
      </c>
      <c r="IM29" s="40" t="str">
        <f t="shared" si="74"/>
        <v/>
      </c>
      <c r="IN29" s="40" t="str">
        <f t="shared" si="75"/>
        <v/>
      </c>
      <c r="IO29" s="40" t="str">
        <f t="shared" si="76"/>
        <v/>
      </c>
      <c r="IP29" s="40" t="str">
        <f t="shared" si="77"/>
        <v/>
      </c>
      <c r="IQ29" s="40" t="str">
        <f t="shared" si="78"/>
        <v/>
      </c>
      <c r="IR29" s="40" t="str">
        <f t="shared" si="79"/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 t="shared" si="80"/>
        <v/>
      </c>
      <c r="JN29" s="11" t="str">
        <f t="shared" si="81"/>
        <v/>
      </c>
      <c r="JO29" s="11" t="str">
        <f t="shared" si="82"/>
        <v/>
      </c>
      <c r="JP29" s="11" t="str">
        <f t="shared" si="83"/>
        <v/>
      </c>
      <c r="JQ29" s="11" t="str">
        <f t="shared" si="84"/>
        <v/>
      </c>
      <c r="JR29" s="11" t="str">
        <f t="shared" si="85"/>
        <v/>
      </c>
      <c r="JS29" s="11" t="str">
        <f t="shared" si="86"/>
        <v/>
      </c>
      <c r="JT29" s="11" t="str">
        <f t="shared" si="87"/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 t="shared" si="88"/>
        <v/>
      </c>
      <c r="KP29" s="40" t="str">
        <f t="shared" si="89"/>
        <v/>
      </c>
      <c r="KQ29" s="40" t="str">
        <f t="shared" si="90"/>
        <v/>
      </c>
      <c r="KR29" s="40" t="str">
        <f t="shared" si="91"/>
        <v/>
      </c>
      <c r="KS29" s="40" t="str">
        <f t="shared" si="92"/>
        <v/>
      </c>
      <c r="KT29" s="40" t="str">
        <f t="shared" si="93"/>
        <v/>
      </c>
      <c r="KU29" s="40" t="str">
        <f t="shared" si="94"/>
        <v/>
      </c>
      <c r="KV29" s="40" t="str">
        <f t="shared" si="95"/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 t="shared" si="96"/>
        <v/>
      </c>
      <c r="LR29" s="11" t="str">
        <f t="shared" si="97"/>
        <v/>
      </c>
      <c r="LS29" s="11" t="str">
        <f t="shared" si="98"/>
        <v/>
      </c>
      <c r="LT29" s="11" t="str">
        <f t="shared" si="99"/>
        <v/>
      </c>
      <c r="LU29" s="11" t="str">
        <f t="shared" si="100"/>
        <v/>
      </c>
      <c r="LV29" s="11" t="str">
        <f t="shared" si="101"/>
        <v/>
      </c>
      <c r="LW29" s="11" t="str">
        <f t="shared" si="102"/>
        <v/>
      </c>
      <c r="LX29" s="11" t="str">
        <f t="shared" si="103"/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 t="shared" si="104"/>
        <v/>
      </c>
      <c r="MT29" s="40" t="str">
        <f t="shared" si="105"/>
        <v/>
      </c>
      <c r="MU29" s="40" t="str">
        <f t="shared" si="106"/>
        <v/>
      </c>
      <c r="MV29" s="40" t="str">
        <f t="shared" si="107"/>
        <v/>
      </c>
      <c r="MW29" s="40" t="str">
        <f t="shared" si="108"/>
        <v/>
      </c>
      <c r="MX29" s="40" t="str">
        <f t="shared" si="109"/>
        <v/>
      </c>
      <c r="MY29" s="40" t="str">
        <f t="shared" si="110"/>
        <v/>
      </c>
      <c r="MZ29" s="40" t="str">
        <f t="shared" si="111"/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 t="shared" si="112"/>
        <v/>
      </c>
      <c r="NV29" s="11" t="str">
        <f t="shared" si="113"/>
        <v/>
      </c>
      <c r="NW29" s="11" t="str">
        <f t="shared" si="114"/>
        <v/>
      </c>
      <c r="NX29" s="11" t="str">
        <f t="shared" si="115"/>
        <v/>
      </c>
      <c r="NY29" s="11" t="str">
        <f t="shared" si="116"/>
        <v/>
      </c>
      <c r="NZ29" s="11" t="str">
        <f t="shared" si="117"/>
        <v/>
      </c>
      <c r="OA29" s="11" t="str">
        <f t="shared" si="118"/>
        <v/>
      </c>
      <c r="OB29" s="11" t="str">
        <f t="shared" si="119"/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 t="shared" si="120"/>
        <v/>
      </c>
      <c r="OX29" s="40" t="str">
        <f t="shared" si="121"/>
        <v/>
      </c>
      <c r="OY29" s="40" t="str">
        <f t="shared" si="122"/>
        <v/>
      </c>
      <c r="OZ29" s="40" t="str">
        <f t="shared" si="123"/>
        <v/>
      </c>
      <c r="PA29" s="40" t="str">
        <f t="shared" si="124"/>
        <v/>
      </c>
      <c r="PB29" s="40" t="str">
        <f t="shared" si="125"/>
        <v/>
      </c>
      <c r="PC29" s="40" t="str">
        <f t="shared" si="126"/>
        <v/>
      </c>
      <c r="PD29" s="40" t="str">
        <f t="shared" si="127"/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 t="shared" si="128"/>
        <v/>
      </c>
      <c r="PZ29" s="11" t="str">
        <f t="shared" si="129"/>
        <v/>
      </c>
      <c r="QA29" s="11" t="str">
        <f t="shared" si="130"/>
        <v/>
      </c>
      <c r="QB29" s="11" t="str">
        <f t="shared" si="131"/>
        <v/>
      </c>
      <c r="QC29" s="11" t="str">
        <f t="shared" si="132"/>
        <v/>
      </c>
      <c r="QD29" s="11" t="str">
        <f t="shared" si="133"/>
        <v/>
      </c>
      <c r="QE29" s="11" t="str">
        <f t="shared" si="134"/>
        <v/>
      </c>
      <c r="QF29" s="11" t="str">
        <f t="shared" si="135"/>
        <v/>
      </c>
      <c r="QG29" s="22">
        <f t="shared" si="136"/>
        <v>0</v>
      </c>
      <c r="QH29" s="22">
        <f t="shared" si="137"/>
        <v>0</v>
      </c>
      <c r="QI29" s="22">
        <f t="shared" si="138"/>
        <v>0</v>
      </c>
      <c r="QJ29" s="22">
        <f t="shared" si="139"/>
        <v>0</v>
      </c>
      <c r="QK29" s="22">
        <f t="shared" si="140"/>
        <v>0</v>
      </c>
      <c r="QL29" s="22">
        <f t="shared" si="141"/>
        <v>0</v>
      </c>
      <c r="QM29" s="22">
        <f t="shared" si="142"/>
        <v>0</v>
      </c>
      <c r="QN29" s="22">
        <f t="shared" si="143"/>
        <v>0</v>
      </c>
      <c r="QO29" s="22">
        <f t="shared" si="144"/>
        <v>0</v>
      </c>
      <c r="QP29" s="22">
        <f t="shared" si="145"/>
        <v>0</v>
      </c>
      <c r="QQ29" s="22">
        <f t="shared" si="146"/>
        <v>0</v>
      </c>
      <c r="QR29" s="22">
        <f t="shared" si="147"/>
        <v>0</v>
      </c>
      <c r="QS29" s="22">
        <f t="shared" si="148"/>
        <v>0</v>
      </c>
      <c r="QT29" s="22">
        <f t="shared" si="149"/>
        <v>0</v>
      </c>
      <c r="QU29" s="22">
        <f t="shared" si="150"/>
        <v>0</v>
      </c>
      <c r="QV29" s="22">
        <f t="shared" si="151"/>
        <v>0</v>
      </c>
      <c r="QW29" s="22">
        <f t="shared" si="152"/>
        <v>0</v>
      </c>
      <c r="QX29" s="22">
        <f t="shared" si="153"/>
        <v>0</v>
      </c>
      <c r="QY29" s="22">
        <f t="shared" si="154"/>
        <v>0</v>
      </c>
      <c r="QZ29" s="22">
        <f t="shared" si="155"/>
        <v>0</v>
      </c>
      <c r="RA29" s="27" t="s">
        <v>46</v>
      </c>
      <c r="RB29" s="40" t="str">
        <f t="shared" si="156"/>
        <v/>
      </c>
      <c r="RC29" s="40" t="str">
        <f t="shared" si="157"/>
        <v/>
      </c>
      <c r="RD29" s="40" t="str">
        <f t="shared" si="158"/>
        <v/>
      </c>
      <c r="RE29" s="40" t="str">
        <f t="shared" si="159"/>
        <v/>
      </c>
      <c r="RF29" s="40" t="str">
        <f t="shared" si="160"/>
        <v/>
      </c>
      <c r="RG29" s="40" t="str">
        <f t="shared" si="161"/>
        <v/>
      </c>
      <c r="RH29" s="40" t="str">
        <f t="shared" si="162"/>
        <v/>
      </c>
      <c r="RI29" s="40" t="str">
        <f t="shared" si="163"/>
        <v/>
      </c>
    </row>
    <row r="30" spans="1:477" x14ac:dyDescent="0.2">
      <c r="A30" s="4" t="str" cm="1">
        <f t="array" ref="A30">IF(AND(J30&lt;&gt;"",J30&lt;&gt;"No DD"),SUMPRODUCT((J$4:J$32&lt;&gt;"")*(J$4:J$32&lt;&gt;"No DD")*(F$4:F$32&gt;F30))+1,IF(J30="No DD",SUMPRODUCT((J$4:J$32="No DD")*(F$4:F$32&gt;F30))+1+SUMPRODUCT((J$4:J$32&lt;&gt;"")*(J$4:J$32&lt;&gt;"No DD")),""))</f>
        <v/>
      </c>
      <c r="B30" s="4" t="str" cm="1">
        <f t="array" ref="B30">IF(AND(J30&lt;&gt;"",J30&lt;&gt;"No DD",G30=""),SUMPRODUCT((J$4:J$32&lt;&gt;"")*(J$4:J$32&lt;&gt;"No DD")*(G$4:G$32="")*(F$4:F$32&gt;F30))+1,IF(J30="No DD",SUMPRODUCT((J$4:J$32="No DD")*(F$4:F$32&gt;F30)*(G$4:G$32=""))+1+SUMPRODUCT((J$4:J$32&lt;&gt;"")*(G$4:G$32="")*(J$4:J$32&lt;&gt;"No DD")),""))</f>
        <v/>
      </c>
      <c r="C30" s="5" t="s">
        <v>245</v>
      </c>
      <c r="D30" s="4" t="s">
        <v>31</v>
      </c>
      <c r="E30" s="4">
        <v>2005</v>
      </c>
      <c r="F30" s="9">
        <f t="shared" si="0"/>
        <v>21.200002120002122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IF(COUNT(AS30,BV30,CY30)&gt;0,LARGE((AS30,BV30,CY30),1),0)</f>
        <v>21.2</v>
      </c>
      <c r="M30" s="8" t="str">
        <f t="shared" si="5"/>
        <v>2024 Elite Canada</v>
      </c>
      <c r="N30" s="8">
        <f>IF(COUNT(AS30,BV30,CY30)&gt;1,LARGE((AS30,BV30,CY30),2),0)</f>
        <v>0</v>
      </c>
      <c r="O30" s="8" t="str">
        <f t="shared" si="6"/>
        <v/>
      </c>
      <c r="P30" s="8">
        <f>IF(COUNT(AT30,BW30,CZ30)&gt;0,LARGE((AT30,BW30,CZ30),1),0)</f>
        <v>0</v>
      </c>
      <c r="Q30" s="8" t="str">
        <f t="shared" si="7"/>
        <v/>
      </c>
      <c r="R30" s="8">
        <f t="shared" si="8"/>
        <v>0</v>
      </c>
      <c r="S30" s="8" t="str">
        <f t="shared" si="9"/>
        <v/>
      </c>
      <c r="T30" s="8" t="str">
        <f t="shared" si="10"/>
        <v/>
      </c>
      <c r="U30" s="11" t="str">
        <f t="shared" si="11"/>
        <v/>
      </c>
      <c r="V30" s="8" t="str">
        <f t="shared" si="12"/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 t="shared" si="13"/>
        <v/>
      </c>
      <c r="AS30" s="40" t="str">
        <f t="shared" si="14"/>
        <v/>
      </c>
      <c r="AT30" s="40" t="str">
        <f t="shared" si="15"/>
        <v/>
      </c>
      <c r="AU30" s="40" t="str">
        <f t="shared" si="16"/>
        <v/>
      </c>
      <c r="AV30" s="40" t="str">
        <f t="shared" si="17"/>
        <v/>
      </c>
      <c r="AW30" s="40" t="str">
        <f t="shared" si="18"/>
        <v/>
      </c>
      <c r="AX30" s="40" t="str">
        <f t="shared" si="19"/>
        <v/>
      </c>
      <c r="AY30" s="40" t="str">
        <f t="shared" si="20"/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 t="shared" si="21"/>
        <v/>
      </c>
      <c r="BV30" s="11" t="str">
        <f t="shared" si="22"/>
        <v/>
      </c>
      <c r="BW30" s="11" t="str">
        <f t="shared" si="23"/>
        <v/>
      </c>
      <c r="BX30" s="11" t="str">
        <f t="shared" si="24"/>
        <v/>
      </c>
      <c r="BY30" s="11" t="str">
        <f t="shared" si="25"/>
        <v/>
      </c>
      <c r="BZ30" s="11" t="str">
        <f t="shared" si="26"/>
        <v/>
      </c>
      <c r="CA30" s="11" t="str">
        <f t="shared" si="27"/>
        <v/>
      </c>
      <c r="CB30" s="11" t="str">
        <f t="shared" si="28"/>
        <v/>
      </c>
      <c r="CC30" s="19">
        <v>16.399999999999999</v>
      </c>
      <c r="CD30" s="19">
        <v>4.8</v>
      </c>
      <c r="CE30" s="19">
        <v>0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 t="shared" si="29"/>
        <v>4.8</v>
      </c>
      <c r="CY30" s="40">
        <f t="shared" si="30"/>
        <v>21.2</v>
      </c>
      <c r="CZ30" s="40" t="str">
        <f t="shared" si="31"/>
        <v/>
      </c>
      <c r="DA30" s="40">
        <f t="shared" si="32"/>
        <v>4.8</v>
      </c>
      <c r="DB30" s="40">
        <f t="shared" si="33"/>
        <v>21.2</v>
      </c>
      <c r="DC30" s="40" t="str">
        <f t="shared" si="34"/>
        <v/>
      </c>
      <c r="DD30" s="40" t="str">
        <f t="shared" si="35"/>
        <v/>
      </c>
      <c r="DE30" s="40">
        <f t="shared" si="36"/>
        <v>21.2</v>
      </c>
      <c r="DF30" s="50" t="str">
        <f t="shared" si="37"/>
        <v/>
      </c>
      <c r="DG30" s="50" t="str">
        <f t="shared" si="38"/>
        <v/>
      </c>
      <c r="DH30" s="50" t="str">
        <f t="shared" si="39"/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 t="shared" si="40"/>
        <v/>
      </c>
      <c r="ED30" s="40" t="str">
        <f t="shared" si="41"/>
        <v/>
      </c>
      <c r="EE30" s="40" t="str">
        <f t="shared" si="42"/>
        <v/>
      </c>
      <c r="EF30" s="40" t="str">
        <f t="shared" si="43"/>
        <v/>
      </c>
      <c r="EG30" s="40" t="str">
        <f t="shared" si="44"/>
        <v/>
      </c>
      <c r="EH30" s="40" t="str">
        <f t="shared" si="45"/>
        <v/>
      </c>
      <c r="EI30" s="40" t="str">
        <f t="shared" si="46"/>
        <v/>
      </c>
      <c r="EJ30" s="40" t="str">
        <f t="shared" si="47"/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 t="shared" si="48"/>
        <v/>
      </c>
      <c r="FF30" s="11" t="str">
        <f t="shared" si="49"/>
        <v/>
      </c>
      <c r="FG30" s="11" t="str">
        <f t="shared" si="50"/>
        <v/>
      </c>
      <c r="FH30" s="11" t="str">
        <f t="shared" si="51"/>
        <v/>
      </c>
      <c r="FI30" s="11" t="str">
        <f t="shared" si="52"/>
        <v/>
      </c>
      <c r="FJ30" s="11" t="str">
        <f t="shared" si="53"/>
        <v/>
      </c>
      <c r="FK30" s="11" t="str">
        <f t="shared" si="54"/>
        <v/>
      </c>
      <c r="FL30" s="11" t="str">
        <f t="shared" si="55"/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 t="shared" si="56"/>
        <v/>
      </c>
      <c r="GH30" s="40" t="str">
        <f t="shared" si="57"/>
        <v/>
      </c>
      <c r="GI30" s="40" t="str">
        <f t="shared" si="58"/>
        <v/>
      </c>
      <c r="GJ30" s="40" t="str">
        <f t="shared" si="59"/>
        <v/>
      </c>
      <c r="GK30" s="40" t="str">
        <f t="shared" si="60"/>
        <v/>
      </c>
      <c r="GL30" s="40" t="str">
        <f t="shared" si="61"/>
        <v/>
      </c>
      <c r="GM30" s="40" t="str">
        <f t="shared" si="62"/>
        <v/>
      </c>
      <c r="GN30" s="40" t="str">
        <f t="shared" si="63"/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 t="shared" si="64"/>
        <v/>
      </c>
      <c r="HJ30" s="11" t="str">
        <f t="shared" si="65"/>
        <v/>
      </c>
      <c r="HK30" s="11" t="str">
        <f t="shared" si="66"/>
        <v/>
      </c>
      <c r="HL30" s="11" t="str">
        <f t="shared" si="67"/>
        <v/>
      </c>
      <c r="HM30" s="11" t="str">
        <f t="shared" si="68"/>
        <v/>
      </c>
      <c r="HN30" s="11" t="str">
        <f t="shared" si="69"/>
        <v/>
      </c>
      <c r="HO30" s="11" t="str">
        <f t="shared" si="70"/>
        <v/>
      </c>
      <c r="HP30" s="11" t="str">
        <f t="shared" si="71"/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 t="shared" si="72"/>
        <v/>
      </c>
      <c r="IL30" s="40" t="str">
        <f t="shared" si="73"/>
        <v/>
      </c>
      <c r="IM30" s="40" t="str">
        <f t="shared" si="74"/>
        <v/>
      </c>
      <c r="IN30" s="40" t="str">
        <f t="shared" si="75"/>
        <v/>
      </c>
      <c r="IO30" s="40" t="str">
        <f t="shared" si="76"/>
        <v/>
      </c>
      <c r="IP30" s="40" t="str">
        <f t="shared" si="77"/>
        <v/>
      </c>
      <c r="IQ30" s="40" t="str">
        <f t="shared" si="78"/>
        <v/>
      </c>
      <c r="IR30" s="40" t="str">
        <f t="shared" si="79"/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 t="shared" si="80"/>
        <v/>
      </c>
      <c r="JN30" s="11" t="str">
        <f t="shared" si="81"/>
        <v/>
      </c>
      <c r="JO30" s="11" t="str">
        <f t="shared" si="82"/>
        <v/>
      </c>
      <c r="JP30" s="11" t="str">
        <f t="shared" si="83"/>
        <v/>
      </c>
      <c r="JQ30" s="11" t="str">
        <f t="shared" si="84"/>
        <v/>
      </c>
      <c r="JR30" s="11" t="str">
        <f t="shared" si="85"/>
        <v/>
      </c>
      <c r="JS30" s="11" t="str">
        <f t="shared" si="86"/>
        <v/>
      </c>
      <c r="JT30" s="11" t="str">
        <f t="shared" si="87"/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 t="shared" si="88"/>
        <v/>
      </c>
      <c r="KP30" s="40" t="str">
        <f t="shared" si="89"/>
        <v/>
      </c>
      <c r="KQ30" s="40" t="str">
        <f t="shared" si="90"/>
        <v/>
      </c>
      <c r="KR30" s="40" t="str">
        <f t="shared" si="91"/>
        <v/>
      </c>
      <c r="KS30" s="40" t="str">
        <f t="shared" si="92"/>
        <v/>
      </c>
      <c r="KT30" s="40" t="str">
        <f t="shared" si="93"/>
        <v/>
      </c>
      <c r="KU30" s="40" t="str">
        <f t="shared" si="94"/>
        <v/>
      </c>
      <c r="KV30" s="40" t="str">
        <f t="shared" si="95"/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 t="shared" si="96"/>
        <v/>
      </c>
      <c r="LR30" s="11" t="str">
        <f t="shared" si="97"/>
        <v/>
      </c>
      <c r="LS30" s="11" t="str">
        <f t="shared" si="98"/>
        <v/>
      </c>
      <c r="LT30" s="11" t="str">
        <f t="shared" si="99"/>
        <v/>
      </c>
      <c r="LU30" s="11" t="str">
        <f t="shared" si="100"/>
        <v/>
      </c>
      <c r="LV30" s="11" t="str">
        <f t="shared" si="101"/>
        <v/>
      </c>
      <c r="LW30" s="11" t="str">
        <f t="shared" si="102"/>
        <v/>
      </c>
      <c r="LX30" s="11" t="str">
        <f t="shared" si="103"/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 t="shared" si="104"/>
        <v/>
      </c>
      <c r="MT30" s="40" t="str">
        <f t="shared" si="105"/>
        <v/>
      </c>
      <c r="MU30" s="40" t="str">
        <f t="shared" si="106"/>
        <v/>
      </c>
      <c r="MV30" s="40" t="str">
        <f t="shared" si="107"/>
        <v/>
      </c>
      <c r="MW30" s="40" t="str">
        <f t="shared" si="108"/>
        <v/>
      </c>
      <c r="MX30" s="40" t="str">
        <f t="shared" si="109"/>
        <v/>
      </c>
      <c r="MY30" s="40" t="str">
        <f t="shared" si="110"/>
        <v/>
      </c>
      <c r="MZ30" s="40" t="str">
        <f t="shared" si="111"/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 t="shared" si="112"/>
        <v/>
      </c>
      <c r="NV30" s="11" t="str">
        <f t="shared" si="113"/>
        <v/>
      </c>
      <c r="NW30" s="11" t="str">
        <f t="shared" si="114"/>
        <v/>
      </c>
      <c r="NX30" s="11" t="str">
        <f t="shared" si="115"/>
        <v/>
      </c>
      <c r="NY30" s="11" t="str">
        <f t="shared" si="116"/>
        <v/>
      </c>
      <c r="NZ30" s="11" t="str">
        <f t="shared" si="117"/>
        <v/>
      </c>
      <c r="OA30" s="11" t="str">
        <f t="shared" si="118"/>
        <v/>
      </c>
      <c r="OB30" s="11" t="str">
        <f t="shared" si="119"/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 t="shared" si="120"/>
        <v/>
      </c>
      <c r="OX30" s="40" t="str">
        <f t="shared" si="121"/>
        <v/>
      </c>
      <c r="OY30" s="40" t="str">
        <f t="shared" si="122"/>
        <v/>
      </c>
      <c r="OZ30" s="40" t="str">
        <f t="shared" si="123"/>
        <v/>
      </c>
      <c r="PA30" s="40" t="str">
        <f t="shared" si="124"/>
        <v/>
      </c>
      <c r="PB30" s="40" t="str">
        <f t="shared" si="125"/>
        <v/>
      </c>
      <c r="PC30" s="40" t="str">
        <f t="shared" si="126"/>
        <v/>
      </c>
      <c r="PD30" s="40" t="str">
        <f t="shared" si="127"/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 t="shared" si="128"/>
        <v/>
      </c>
      <c r="PZ30" s="11" t="str">
        <f t="shared" si="129"/>
        <v/>
      </c>
      <c r="QA30" s="11" t="str">
        <f t="shared" si="130"/>
        <v/>
      </c>
      <c r="QB30" s="11" t="str">
        <f t="shared" si="131"/>
        <v/>
      </c>
      <c r="QC30" s="11" t="str">
        <f t="shared" si="132"/>
        <v/>
      </c>
      <c r="QD30" s="11" t="str">
        <f t="shared" si="133"/>
        <v/>
      </c>
      <c r="QE30" s="11" t="str">
        <f t="shared" si="134"/>
        <v/>
      </c>
      <c r="QF30" s="11" t="str">
        <f t="shared" si="135"/>
        <v/>
      </c>
      <c r="QG30" s="22">
        <f t="shared" si="136"/>
        <v>8.1999999999999993</v>
      </c>
      <c r="QH30" s="22">
        <f t="shared" si="137"/>
        <v>2.4</v>
      </c>
      <c r="QI30" s="22">
        <f t="shared" si="138"/>
        <v>0</v>
      </c>
      <c r="QJ30" s="22">
        <f t="shared" si="139"/>
        <v>0</v>
      </c>
      <c r="QK30" s="22">
        <f t="shared" si="140"/>
        <v>0</v>
      </c>
      <c r="QL30" s="22">
        <f t="shared" si="141"/>
        <v>0</v>
      </c>
      <c r="QM30" s="22">
        <f t="shared" si="142"/>
        <v>0</v>
      </c>
      <c r="QN30" s="22">
        <f t="shared" si="143"/>
        <v>0</v>
      </c>
      <c r="QO30" s="22">
        <f t="shared" si="144"/>
        <v>0</v>
      </c>
      <c r="QP30" s="22">
        <f t="shared" si="145"/>
        <v>0</v>
      </c>
      <c r="QQ30" s="22">
        <f t="shared" si="146"/>
        <v>0</v>
      </c>
      <c r="QR30" s="22">
        <f t="shared" si="147"/>
        <v>0</v>
      </c>
      <c r="QS30" s="22">
        <f t="shared" si="148"/>
        <v>0</v>
      </c>
      <c r="QT30" s="22">
        <f t="shared" si="149"/>
        <v>0</v>
      </c>
      <c r="QU30" s="22">
        <f t="shared" si="150"/>
        <v>0</v>
      </c>
      <c r="QV30" s="22">
        <f t="shared" si="151"/>
        <v>0</v>
      </c>
      <c r="QW30" s="22">
        <f t="shared" si="152"/>
        <v>0</v>
      </c>
      <c r="QX30" s="22">
        <f t="shared" si="153"/>
        <v>0</v>
      </c>
      <c r="QY30" s="22">
        <f t="shared" si="154"/>
        <v>0</v>
      </c>
      <c r="QZ30" s="22">
        <f t="shared" si="155"/>
        <v>0</v>
      </c>
      <c r="RA30" s="27" t="s">
        <v>46</v>
      </c>
      <c r="RB30" s="40">
        <f t="shared" si="156"/>
        <v>2.4</v>
      </c>
      <c r="RC30" s="40">
        <f t="shared" si="157"/>
        <v>10.6</v>
      </c>
      <c r="RD30" s="40" t="str">
        <f t="shared" si="158"/>
        <v/>
      </c>
      <c r="RE30" s="40">
        <f t="shared" si="159"/>
        <v>2.4</v>
      </c>
      <c r="RF30" s="40">
        <f t="shared" si="160"/>
        <v>10.6</v>
      </c>
      <c r="RG30" s="40" t="str">
        <f t="shared" si="161"/>
        <v/>
      </c>
      <c r="RH30" s="40" t="str">
        <f t="shared" si="162"/>
        <v/>
      </c>
      <c r="RI30" s="40">
        <f t="shared" si="163"/>
        <v>10.6</v>
      </c>
    </row>
    <row r="31" spans="1:477" x14ac:dyDescent="0.2">
      <c r="A31" s="4" t="str" cm="1">
        <f t="array" ref="A31">IF(AND(J31&lt;&gt;"",J31&lt;&gt;"No DD"),SUMPRODUCT((J$4:J$32&lt;&gt;"")*(J$4:J$32&lt;&gt;"No DD")*(F$4:F$32&gt;F31))+1,IF(J31="No DD",SUMPRODUCT((J$4:J$32="No DD")*(F$4:F$32&gt;F31))+1+SUMPRODUCT((J$4:J$32&lt;&gt;"")*(J$4:J$32&lt;&gt;"No DD")),""))</f>
        <v/>
      </c>
      <c r="B31" s="4" t="str" cm="1">
        <f t="array" ref="B31">IF(AND(J31&lt;&gt;"",J31&lt;&gt;"No DD",G31=""),SUMPRODUCT((J$4:J$32&lt;&gt;"")*(J$4:J$32&lt;&gt;"No DD")*(G$4:G$32="")*(F$4:F$32&gt;F31))+1,IF(J31="No DD",SUMPRODUCT((J$4:J$32="No DD")*(F$4:F$32&gt;F31)*(G$4:G$32=""))+1+SUMPRODUCT((J$4:J$32&lt;&gt;"")*(G$4:G$32="")*(J$4:J$32&lt;&gt;"No DD")),""))</f>
        <v/>
      </c>
      <c r="C31" s="5" t="s">
        <v>246</v>
      </c>
      <c r="D31" s="4" t="s">
        <v>4</v>
      </c>
      <c r="E31" s="4">
        <v>2006</v>
      </c>
      <c r="F31" s="9">
        <f t="shared" si="0"/>
        <v>0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IF(COUNT(AS31,BV31,CY31)&gt;0,LARGE((AS31,BV31,CY31),1),0)</f>
        <v>0</v>
      </c>
      <c r="M31" s="8" t="str">
        <f t="shared" si="5"/>
        <v/>
      </c>
      <c r="N31" s="8">
        <f>IF(COUNT(AS31,BV31,CY31)&gt;1,LARGE((AS31,BV31,CY31),2),0)</f>
        <v>0</v>
      </c>
      <c r="O31" s="8" t="str">
        <f t="shared" si="6"/>
        <v/>
      </c>
      <c r="P31" s="8">
        <f>IF(COUNT(AT31,BW31,CZ31)&gt;0,LARGE((AT31,BW31,CZ31),1),0)</f>
        <v>0</v>
      </c>
      <c r="Q31" s="8" t="str">
        <f t="shared" si="7"/>
        <v/>
      </c>
      <c r="R31" s="8">
        <f t="shared" si="8"/>
        <v>0</v>
      </c>
      <c r="S31" s="8" t="str">
        <f t="shared" si="9"/>
        <v/>
      </c>
      <c r="T31" s="8" t="str">
        <f t="shared" si="10"/>
        <v/>
      </c>
      <c r="U31" s="11" t="str">
        <f t="shared" si="11"/>
        <v/>
      </c>
      <c r="V31" s="8" t="str">
        <f t="shared" si="12"/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 t="shared" si="13"/>
        <v/>
      </c>
      <c r="AS31" s="40" t="str">
        <f t="shared" si="14"/>
        <v/>
      </c>
      <c r="AT31" s="40" t="str">
        <f t="shared" si="15"/>
        <v/>
      </c>
      <c r="AU31" s="40" t="str">
        <f t="shared" si="16"/>
        <v/>
      </c>
      <c r="AV31" s="40" t="str">
        <f t="shared" si="17"/>
        <v/>
      </c>
      <c r="AW31" s="40" t="str">
        <f t="shared" si="18"/>
        <v/>
      </c>
      <c r="AX31" s="40" t="str">
        <f t="shared" si="19"/>
        <v/>
      </c>
      <c r="AY31" s="40" t="str">
        <f t="shared" si="20"/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 t="shared" si="21"/>
        <v/>
      </c>
      <c r="BV31" s="11" t="str">
        <f t="shared" si="22"/>
        <v/>
      </c>
      <c r="BW31" s="11" t="str">
        <f t="shared" si="23"/>
        <v/>
      </c>
      <c r="BX31" s="11" t="str">
        <f t="shared" si="24"/>
        <v/>
      </c>
      <c r="BY31" s="11" t="str">
        <f t="shared" si="25"/>
        <v/>
      </c>
      <c r="BZ31" s="11" t="str">
        <f t="shared" si="26"/>
        <v/>
      </c>
      <c r="CA31" s="11" t="str">
        <f t="shared" si="27"/>
        <v/>
      </c>
      <c r="CB31" s="11" t="str">
        <f t="shared" si="28"/>
        <v/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 t="shared" si="29"/>
        <v/>
      </c>
      <c r="CY31" s="40" t="str">
        <f t="shared" si="30"/>
        <v/>
      </c>
      <c r="CZ31" s="40" t="str">
        <f t="shared" si="31"/>
        <v/>
      </c>
      <c r="DA31" s="40" t="str">
        <f t="shared" si="32"/>
        <v/>
      </c>
      <c r="DB31" s="40" t="str">
        <f t="shared" si="33"/>
        <v/>
      </c>
      <c r="DC31" s="40" t="str">
        <f t="shared" si="34"/>
        <v/>
      </c>
      <c r="DD31" s="40" t="str">
        <f t="shared" si="35"/>
        <v/>
      </c>
      <c r="DE31" s="40" t="str">
        <f t="shared" si="36"/>
        <v/>
      </c>
      <c r="DF31" s="50" t="str">
        <f t="shared" si="37"/>
        <v/>
      </c>
      <c r="DG31" s="50" t="str">
        <f t="shared" si="38"/>
        <v/>
      </c>
      <c r="DH31" s="50" t="str">
        <f t="shared" si="39"/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 t="shared" si="40"/>
        <v/>
      </c>
      <c r="ED31" s="40" t="str">
        <f t="shared" si="41"/>
        <v/>
      </c>
      <c r="EE31" s="40" t="str">
        <f t="shared" si="42"/>
        <v/>
      </c>
      <c r="EF31" s="40" t="str">
        <f t="shared" si="43"/>
        <v/>
      </c>
      <c r="EG31" s="40" t="str">
        <f t="shared" si="44"/>
        <v/>
      </c>
      <c r="EH31" s="40" t="str">
        <f t="shared" si="45"/>
        <v/>
      </c>
      <c r="EI31" s="40" t="str">
        <f t="shared" si="46"/>
        <v/>
      </c>
      <c r="EJ31" s="40" t="str">
        <f t="shared" si="47"/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 t="shared" si="48"/>
        <v/>
      </c>
      <c r="FF31" s="11" t="str">
        <f t="shared" si="49"/>
        <v/>
      </c>
      <c r="FG31" s="11" t="str">
        <f t="shared" si="50"/>
        <v/>
      </c>
      <c r="FH31" s="11" t="str">
        <f t="shared" si="51"/>
        <v/>
      </c>
      <c r="FI31" s="11" t="str">
        <f t="shared" si="52"/>
        <v/>
      </c>
      <c r="FJ31" s="11" t="str">
        <f t="shared" si="53"/>
        <v/>
      </c>
      <c r="FK31" s="11" t="str">
        <f t="shared" si="54"/>
        <v/>
      </c>
      <c r="FL31" s="11" t="str">
        <f t="shared" si="55"/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 t="shared" si="56"/>
        <v/>
      </c>
      <c r="GH31" s="40" t="str">
        <f t="shared" si="57"/>
        <v/>
      </c>
      <c r="GI31" s="40" t="str">
        <f t="shared" si="58"/>
        <v/>
      </c>
      <c r="GJ31" s="40" t="str">
        <f t="shared" si="59"/>
        <v/>
      </c>
      <c r="GK31" s="40" t="str">
        <f t="shared" si="60"/>
        <v/>
      </c>
      <c r="GL31" s="40" t="str">
        <f t="shared" si="61"/>
        <v/>
      </c>
      <c r="GM31" s="40" t="str">
        <f t="shared" si="62"/>
        <v/>
      </c>
      <c r="GN31" s="40" t="str">
        <f t="shared" si="63"/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 t="shared" si="64"/>
        <v/>
      </c>
      <c r="HJ31" s="11" t="str">
        <f t="shared" si="65"/>
        <v/>
      </c>
      <c r="HK31" s="11" t="str">
        <f t="shared" si="66"/>
        <v/>
      </c>
      <c r="HL31" s="11" t="str">
        <f t="shared" si="67"/>
        <v/>
      </c>
      <c r="HM31" s="11" t="str">
        <f t="shared" si="68"/>
        <v/>
      </c>
      <c r="HN31" s="11" t="str">
        <f t="shared" si="69"/>
        <v/>
      </c>
      <c r="HO31" s="11" t="str">
        <f t="shared" si="70"/>
        <v/>
      </c>
      <c r="HP31" s="11" t="str">
        <f t="shared" si="71"/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 t="shared" si="72"/>
        <v/>
      </c>
      <c r="IL31" s="40" t="str">
        <f t="shared" si="73"/>
        <v/>
      </c>
      <c r="IM31" s="40" t="str">
        <f t="shared" si="74"/>
        <v/>
      </c>
      <c r="IN31" s="40" t="str">
        <f t="shared" si="75"/>
        <v/>
      </c>
      <c r="IO31" s="40" t="str">
        <f t="shared" si="76"/>
        <v/>
      </c>
      <c r="IP31" s="40" t="str">
        <f t="shared" si="77"/>
        <v/>
      </c>
      <c r="IQ31" s="40" t="str">
        <f t="shared" si="78"/>
        <v/>
      </c>
      <c r="IR31" s="40" t="str">
        <f t="shared" si="79"/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 t="shared" si="80"/>
        <v/>
      </c>
      <c r="JN31" s="11" t="str">
        <f t="shared" si="81"/>
        <v/>
      </c>
      <c r="JO31" s="11" t="str">
        <f t="shared" si="82"/>
        <v/>
      </c>
      <c r="JP31" s="11" t="str">
        <f t="shared" si="83"/>
        <v/>
      </c>
      <c r="JQ31" s="11" t="str">
        <f t="shared" si="84"/>
        <v/>
      </c>
      <c r="JR31" s="11" t="str">
        <f t="shared" si="85"/>
        <v/>
      </c>
      <c r="JS31" s="11" t="str">
        <f t="shared" si="86"/>
        <v/>
      </c>
      <c r="JT31" s="11" t="str">
        <f t="shared" si="87"/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 t="shared" si="88"/>
        <v/>
      </c>
      <c r="KP31" s="40" t="str">
        <f t="shared" si="89"/>
        <v/>
      </c>
      <c r="KQ31" s="40" t="str">
        <f t="shared" si="90"/>
        <v/>
      </c>
      <c r="KR31" s="40" t="str">
        <f t="shared" si="91"/>
        <v/>
      </c>
      <c r="KS31" s="40" t="str">
        <f t="shared" si="92"/>
        <v/>
      </c>
      <c r="KT31" s="40" t="str">
        <f t="shared" si="93"/>
        <v/>
      </c>
      <c r="KU31" s="40" t="str">
        <f t="shared" si="94"/>
        <v/>
      </c>
      <c r="KV31" s="40" t="str">
        <f t="shared" si="95"/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 t="shared" si="96"/>
        <v/>
      </c>
      <c r="LR31" s="11" t="str">
        <f t="shared" si="97"/>
        <v/>
      </c>
      <c r="LS31" s="11" t="str">
        <f t="shared" si="98"/>
        <v/>
      </c>
      <c r="LT31" s="11" t="str">
        <f t="shared" si="99"/>
        <v/>
      </c>
      <c r="LU31" s="11" t="str">
        <f t="shared" si="100"/>
        <v/>
      </c>
      <c r="LV31" s="11" t="str">
        <f t="shared" si="101"/>
        <v/>
      </c>
      <c r="LW31" s="11" t="str">
        <f t="shared" si="102"/>
        <v/>
      </c>
      <c r="LX31" s="11" t="str">
        <f t="shared" si="103"/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 t="shared" si="104"/>
        <v/>
      </c>
      <c r="MT31" s="40" t="str">
        <f t="shared" si="105"/>
        <v/>
      </c>
      <c r="MU31" s="40" t="str">
        <f t="shared" si="106"/>
        <v/>
      </c>
      <c r="MV31" s="40" t="str">
        <f t="shared" si="107"/>
        <v/>
      </c>
      <c r="MW31" s="40" t="str">
        <f t="shared" si="108"/>
        <v/>
      </c>
      <c r="MX31" s="40" t="str">
        <f t="shared" si="109"/>
        <v/>
      </c>
      <c r="MY31" s="40" t="str">
        <f t="shared" si="110"/>
        <v/>
      </c>
      <c r="MZ31" s="40" t="str">
        <f t="shared" si="111"/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 t="shared" si="112"/>
        <v/>
      </c>
      <c r="NV31" s="11" t="str">
        <f t="shared" si="113"/>
        <v/>
      </c>
      <c r="NW31" s="11" t="str">
        <f t="shared" si="114"/>
        <v/>
      </c>
      <c r="NX31" s="11" t="str">
        <f t="shared" si="115"/>
        <v/>
      </c>
      <c r="NY31" s="11" t="str">
        <f t="shared" si="116"/>
        <v/>
      </c>
      <c r="NZ31" s="11" t="str">
        <f t="shared" si="117"/>
        <v/>
      </c>
      <c r="OA31" s="11" t="str">
        <f t="shared" si="118"/>
        <v/>
      </c>
      <c r="OB31" s="11" t="str">
        <f t="shared" si="119"/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 t="shared" si="120"/>
        <v/>
      </c>
      <c r="OX31" s="40" t="str">
        <f t="shared" si="121"/>
        <v/>
      </c>
      <c r="OY31" s="40" t="str">
        <f t="shared" si="122"/>
        <v/>
      </c>
      <c r="OZ31" s="40" t="str">
        <f t="shared" si="123"/>
        <v/>
      </c>
      <c r="PA31" s="40" t="str">
        <f t="shared" si="124"/>
        <v/>
      </c>
      <c r="PB31" s="40" t="str">
        <f t="shared" si="125"/>
        <v/>
      </c>
      <c r="PC31" s="40" t="str">
        <f t="shared" si="126"/>
        <v/>
      </c>
      <c r="PD31" s="40" t="str">
        <f t="shared" si="127"/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 t="shared" si="128"/>
        <v/>
      </c>
      <c r="PZ31" s="11" t="str">
        <f t="shared" si="129"/>
        <v/>
      </c>
      <c r="QA31" s="11" t="str">
        <f t="shared" si="130"/>
        <v/>
      </c>
      <c r="QB31" s="11" t="str">
        <f t="shared" si="131"/>
        <v/>
      </c>
      <c r="QC31" s="11" t="str">
        <f t="shared" si="132"/>
        <v/>
      </c>
      <c r="QD31" s="11" t="str">
        <f t="shared" si="133"/>
        <v/>
      </c>
      <c r="QE31" s="11" t="str">
        <f t="shared" si="134"/>
        <v/>
      </c>
      <c r="QF31" s="11" t="str">
        <f t="shared" si="135"/>
        <v/>
      </c>
      <c r="QG31" s="22">
        <f t="shared" si="136"/>
        <v>0</v>
      </c>
      <c r="QH31" s="22">
        <f t="shared" si="137"/>
        <v>0</v>
      </c>
      <c r="QI31" s="22">
        <f t="shared" si="138"/>
        <v>0</v>
      </c>
      <c r="QJ31" s="22">
        <f t="shared" si="139"/>
        <v>0</v>
      </c>
      <c r="QK31" s="22">
        <f t="shared" si="140"/>
        <v>0</v>
      </c>
      <c r="QL31" s="22">
        <f t="shared" si="141"/>
        <v>0</v>
      </c>
      <c r="QM31" s="22">
        <f t="shared" si="142"/>
        <v>0</v>
      </c>
      <c r="QN31" s="22">
        <f t="shared" si="143"/>
        <v>0</v>
      </c>
      <c r="QO31" s="22">
        <f t="shared" si="144"/>
        <v>0</v>
      </c>
      <c r="QP31" s="22">
        <f t="shared" si="145"/>
        <v>0</v>
      </c>
      <c r="QQ31" s="22">
        <f t="shared" si="146"/>
        <v>0</v>
      </c>
      <c r="QR31" s="22">
        <f t="shared" si="147"/>
        <v>0</v>
      </c>
      <c r="QS31" s="22">
        <f t="shared" si="148"/>
        <v>0</v>
      </c>
      <c r="QT31" s="22">
        <f t="shared" si="149"/>
        <v>0</v>
      </c>
      <c r="QU31" s="22">
        <f t="shared" si="150"/>
        <v>0</v>
      </c>
      <c r="QV31" s="22">
        <f t="shared" si="151"/>
        <v>0</v>
      </c>
      <c r="QW31" s="22">
        <f t="shared" si="152"/>
        <v>0</v>
      </c>
      <c r="QX31" s="22">
        <f t="shared" si="153"/>
        <v>0</v>
      </c>
      <c r="QY31" s="22">
        <f t="shared" si="154"/>
        <v>0</v>
      </c>
      <c r="QZ31" s="22">
        <f t="shared" si="155"/>
        <v>0</v>
      </c>
      <c r="RA31" s="27" t="s">
        <v>46</v>
      </c>
      <c r="RB31" s="40" t="str">
        <f t="shared" si="156"/>
        <v/>
      </c>
      <c r="RC31" s="40" t="str">
        <f t="shared" si="157"/>
        <v/>
      </c>
      <c r="RD31" s="40" t="str">
        <f t="shared" si="158"/>
        <v/>
      </c>
      <c r="RE31" s="40" t="str">
        <f t="shared" si="159"/>
        <v/>
      </c>
      <c r="RF31" s="40" t="str">
        <f t="shared" si="160"/>
        <v/>
      </c>
      <c r="RG31" s="40" t="str">
        <f t="shared" si="161"/>
        <v/>
      </c>
      <c r="RH31" s="40" t="str">
        <f t="shared" si="162"/>
        <v/>
      </c>
      <c r="RI31" s="40" t="str">
        <f t="shared" si="163"/>
        <v/>
      </c>
    </row>
    <row r="32" spans="1:477" ht="17" x14ac:dyDescent="0.2">
      <c r="G32" s="66"/>
      <c r="T32" s="10"/>
      <c r="U32" s="10"/>
      <c r="V32" s="10"/>
    </row>
    <row r="33" spans="1:458" ht="17" x14ac:dyDescent="0.2">
      <c r="G33" s="66"/>
      <c r="T33" s="10"/>
      <c r="U33" s="10"/>
      <c r="V33" s="10"/>
    </row>
    <row r="34" spans="1:458" ht="17" x14ac:dyDescent="0.2">
      <c r="C34" s="23" t="s">
        <v>44</v>
      </c>
      <c r="G34" s="66"/>
      <c r="T34" s="10"/>
      <c r="U34" s="10"/>
      <c r="V34" s="10"/>
      <c r="AR34" s="4"/>
      <c r="AY34" s="42">
        <v>9.6</v>
      </c>
      <c r="BU34" s="4"/>
      <c r="CB34" s="42">
        <v>9.6</v>
      </c>
      <c r="CX34" s="4"/>
      <c r="DE34" s="42">
        <v>9.6</v>
      </c>
      <c r="EC34" s="4"/>
      <c r="EJ34" s="42">
        <v>9.6</v>
      </c>
      <c r="FE34" s="4"/>
      <c r="FL34" s="42">
        <v>9.6</v>
      </c>
      <c r="GG34" s="4"/>
      <c r="GN34" s="42">
        <v>9.6</v>
      </c>
      <c r="HI34" s="4"/>
      <c r="HP34" s="42">
        <v>9.6</v>
      </c>
      <c r="IK34" s="4"/>
      <c r="IR34" s="42">
        <v>9.6</v>
      </c>
      <c r="JM34" s="4"/>
      <c r="JT34" s="42">
        <v>9.6</v>
      </c>
      <c r="KO34" s="4"/>
      <c r="KV34" s="42">
        <v>9.6</v>
      </c>
      <c r="LQ34" s="4"/>
      <c r="LX34" s="42">
        <v>9.6</v>
      </c>
      <c r="MS34" s="4"/>
      <c r="MZ34" s="42">
        <v>9.6</v>
      </c>
      <c r="NU34" s="4"/>
      <c r="OB34" s="42">
        <v>9.6</v>
      </c>
      <c r="OW34" s="4"/>
      <c r="PD34" s="42">
        <v>9.6</v>
      </c>
      <c r="PY34" s="4"/>
      <c r="QF34" s="42">
        <v>9.6</v>
      </c>
    </row>
    <row r="35" spans="1:458" ht="17" hidden="1" x14ac:dyDescent="0.2">
      <c r="C35" s="30" t="s">
        <v>43</v>
      </c>
      <c r="G35" s="66"/>
      <c r="T35" s="10"/>
      <c r="U35" s="10"/>
      <c r="V35" s="10"/>
      <c r="AR35" s="4"/>
      <c r="AY35" s="51">
        <v>1000</v>
      </c>
      <c r="BU35" s="4"/>
      <c r="CB35" s="51">
        <v>1000</v>
      </c>
      <c r="CX35" s="4"/>
      <c r="DE35" s="51">
        <v>1000</v>
      </c>
      <c r="EC35" s="4"/>
      <c r="EJ35" s="51">
        <v>1000</v>
      </c>
      <c r="FE35" s="4"/>
      <c r="FL35" s="51">
        <v>1000</v>
      </c>
      <c r="GG35" s="4"/>
      <c r="GN35" s="51">
        <v>1000</v>
      </c>
      <c r="HI35" s="4"/>
      <c r="HP35" s="51">
        <v>1000</v>
      </c>
      <c r="IK35" s="4"/>
      <c r="IR35" s="51">
        <v>1000</v>
      </c>
      <c r="JM35" s="4"/>
      <c r="JT35" s="51">
        <v>1000</v>
      </c>
      <c r="KO35" s="4"/>
      <c r="KV35" s="51">
        <v>1000</v>
      </c>
      <c r="LQ35" s="4"/>
      <c r="LX35" s="51">
        <v>1000</v>
      </c>
      <c r="MS35" s="4"/>
      <c r="MZ35" s="51">
        <v>1000</v>
      </c>
      <c r="NU35" s="4"/>
      <c r="OB35" s="51">
        <v>1000</v>
      </c>
      <c r="OW35" s="4"/>
      <c r="PD35" s="51">
        <v>1000</v>
      </c>
      <c r="PY35" s="4"/>
      <c r="QF35" s="51">
        <v>1000</v>
      </c>
    </row>
    <row r="36" spans="1:458" ht="17" hidden="1" x14ac:dyDescent="0.2">
      <c r="A36" s="5"/>
      <c r="B36" s="5"/>
      <c r="C36" s="31" t="s">
        <v>55</v>
      </c>
      <c r="D36" s="20"/>
      <c r="G36" s="66"/>
      <c r="T36" s="10"/>
      <c r="U36" s="10"/>
      <c r="V36" s="10"/>
      <c r="AR36" s="4"/>
      <c r="AY36" s="43">
        <v>1000</v>
      </c>
      <c r="BU36" s="4"/>
      <c r="CB36" s="43">
        <v>1000</v>
      </c>
      <c r="CX36" s="4"/>
      <c r="DE36" s="43">
        <v>1000</v>
      </c>
      <c r="EC36" s="4"/>
      <c r="EJ36" s="43">
        <v>1000</v>
      </c>
      <c r="FE36" s="4"/>
      <c r="FL36" s="43">
        <v>1000</v>
      </c>
      <c r="GG36" s="4"/>
      <c r="GN36" s="43">
        <v>1000</v>
      </c>
      <c r="HI36" s="4"/>
      <c r="HP36" s="43">
        <v>1000</v>
      </c>
      <c r="IK36" s="4"/>
      <c r="IR36" s="43">
        <v>1000</v>
      </c>
      <c r="JM36" s="4"/>
      <c r="JT36" s="43">
        <v>1000</v>
      </c>
      <c r="KO36" s="4"/>
      <c r="KV36" s="43">
        <v>1000</v>
      </c>
      <c r="LQ36" s="4"/>
      <c r="LX36" s="43">
        <v>1000</v>
      </c>
      <c r="MS36" s="4"/>
      <c r="MZ36" s="43">
        <v>1000</v>
      </c>
      <c r="NU36" s="4"/>
      <c r="OB36" s="43">
        <v>1000</v>
      </c>
      <c r="OW36" s="4"/>
      <c r="PD36" s="43">
        <v>1000</v>
      </c>
      <c r="PY36" s="4"/>
      <c r="QF36" s="43">
        <v>1000</v>
      </c>
    </row>
    <row r="37" spans="1:458" ht="17" hidden="1" x14ac:dyDescent="0.2">
      <c r="A37" s="5"/>
      <c r="B37" s="5"/>
      <c r="C37" s="35" t="s">
        <v>62</v>
      </c>
      <c r="D37" s="20"/>
      <c r="G37" s="66"/>
      <c r="T37" s="10"/>
      <c r="U37" s="10"/>
      <c r="V37" s="10"/>
      <c r="AR37" s="4"/>
      <c r="AY37" s="62">
        <v>1000</v>
      </c>
      <c r="BU37" s="4"/>
      <c r="CB37" s="62">
        <v>1000</v>
      </c>
      <c r="CX37" s="4"/>
      <c r="DE37" s="62">
        <v>1000</v>
      </c>
      <c r="EC37" s="4"/>
      <c r="EJ37" s="62">
        <v>1000</v>
      </c>
      <c r="FE37" s="4"/>
      <c r="FL37" s="62">
        <v>1000</v>
      </c>
      <c r="GG37" s="4"/>
      <c r="GN37" s="62">
        <v>1000</v>
      </c>
      <c r="HI37" s="4"/>
      <c r="HP37" s="62">
        <v>1000</v>
      </c>
      <c r="IK37" s="4"/>
      <c r="IR37" s="62">
        <v>1000</v>
      </c>
      <c r="JM37" s="4"/>
      <c r="JT37" s="62">
        <v>1000</v>
      </c>
      <c r="KO37" s="4"/>
      <c r="KV37" s="62">
        <v>1000</v>
      </c>
      <c r="LQ37" s="4"/>
      <c r="LX37" s="62">
        <v>1000</v>
      </c>
      <c r="MS37" s="4"/>
      <c r="MZ37" s="62">
        <v>1000</v>
      </c>
      <c r="NU37" s="4"/>
      <c r="OB37" s="62">
        <v>1000</v>
      </c>
      <c r="OW37" s="4"/>
      <c r="PD37" s="62">
        <v>1000</v>
      </c>
      <c r="PY37" s="4"/>
      <c r="QF37" s="62">
        <v>1000</v>
      </c>
    </row>
    <row r="38" spans="1:458" ht="17" x14ac:dyDescent="0.2">
      <c r="A38" s="5"/>
      <c r="B38" s="5"/>
      <c r="C38" s="34" t="s">
        <v>41</v>
      </c>
      <c r="D38" s="20"/>
      <c r="G38" s="66"/>
      <c r="T38" s="10"/>
      <c r="U38" s="10"/>
      <c r="V38" s="10"/>
      <c r="AR38" s="4"/>
      <c r="AY38" s="63">
        <v>46.5</v>
      </c>
      <c r="BU38" s="4"/>
      <c r="CB38" s="63">
        <v>46.5</v>
      </c>
      <c r="CX38" s="4"/>
      <c r="DE38" s="63">
        <v>46.5</v>
      </c>
      <c r="EC38" s="4"/>
      <c r="EJ38" s="63">
        <v>46.5</v>
      </c>
      <c r="FE38" s="4"/>
      <c r="FL38" s="63">
        <v>46.5</v>
      </c>
      <c r="GG38" s="4"/>
      <c r="GN38" s="63">
        <v>46.5</v>
      </c>
      <c r="HI38" s="4"/>
      <c r="HP38" s="63">
        <v>46.5</v>
      </c>
      <c r="IK38" s="4"/>
      <c r="IR38" s="63">
        <v>46.5</v>
      </c>
      <c r="JM38" s="4"/>
      <c r="JT38" s="63">
        <v>46.5</v>
      </c>
      <c r="KO38" s="4"/>
      <c r="KV38" s="63">
        <v>46.5</v>
      </c>
      <c r="LQ38" s="4"/>
      <c r="LX38" s="63">
        <v>46.5</v>
      </c>
      <c r="MS38" s="4"/>
      <c r="MZ38" s="63">
        <v>46.5</v>
      </c>
      <c r="NU38" s="4"/>
      <c r="OB38" s="63">
        <v>46.5</v>
      </c>
      <c r="OW38" s="4"/>
      <c r="PD38" s="63">
        <v>46.5</v>
      </c>
      <c r="PY38" s="4"/>
      <c r="QF38" s="63">
        <v>46.5</v>
      </c>
    </row>
    <row r="39" spans="1:458" ht="17" hidden="1" x14ac:dyDescent="0.2">
      <c r="A39" s="5"/>
      <c r="B39" s="5"/>
      <c r="C39" s="24" t="s">
        <v>42</v>
      </c>
      <c r="D39" s="20"/>
      <c r="T39" s="10"/>
      <c r="U39" s="10"/>
      <c r="V39" s="10"/>
      <c r="AR39" s="4"/>
      <c r="AY39" s="46">
        <v>1000</v>
      </c>
      <c r="BU39" s="4"/>
      <c r="CB39" s="46">
        <v>1000</v>
      </c>
      <c r="CX39" s="4"/>
      <c r="DE39" s="46">
        <v>1000</v>
      </c>
      <c r="EC39" s="4"/>
      <c r="EJ39" s="46">
        <v>1000</v>
      </c>
      <c r="FE39" s="4"/>
      <c r="FL39" s="46">
        <v>1000</v>
      </c>
      <c r="GG39" s="4"/>
      <c r="GN39" s="46">
        <v>1000</v>
      </c>
      <c r="HI39" s="4"/>
      <c r="HP39" s="46">
        <v>1000</v>
      </c>
      <c r="IK39" s="4"/>
      <c r="IR39" s="46">
        <v>1000</v>
      </c>
      <c r="JM39" s="4"/>
      <c r="JT39" s="46">
        <v>1000</v>
      </c>
      <c r="KO39" s="4"/>
      <c r="KV39" s="46">
        <v>1000</v>
      </c>
      <c r="LQ39" s="4"/>
      <c r="LX39" s="46">
        <v>1000</v>
      </c>
      <c r="MS39" s="4"/>
      <c r="MZ39" s="46">
        <v>1000</v>
      </c>
      <c r="NU39" s="4"/>
      <c r="OB39" s="46">
        <v>1000</v>
      </c>
      <c r="OW39" s="4"/>
      <c r="PD39" s="46">
        <v>1000</v>
      </c>
      <c r="PY39" s="4"/>
      <c r="QF39" s="46">
        <v>1000</v>
      </c>
    </row>
    <row r="40" spans="1:458" ht="17" hidden="1" x14ac:dyDescent="0.2">
      <c r="A40" s="5"/>
      <c r="B40" s="5"/>
      <c r="C40" s="33" t="s">
        <v>54</v>
      </c>
      <c r="D40" s="20"/>
      <c r="T40" s="10"/>
      <c r="U40" s="10"/>
      <c r="V40" s="10"/>
      <c r="AR40" s="4"/>
      <c r="AY40" s="47">
        <v>1000</v>
      </c>
      <c r="BU40" s="4"/>
      <c r="CB40" s="47">
        <v>1000</v>
      </c>
      <c r="CX40" s="4"/>
      <c r="DE40" s="47">
        <v>1000</v>
      </c>
      <c r="EC40" s="4"/>
      <c r="EJ40" s="47">
        <v>1000</v>
      </c>
      <c r="FE40" s="4"/>
      <c r="FL40" s="47">
        <v>1000</v>
      </c>
      <c r="GG40" s="4"/>
      <c r="GN40" s="47">
        <v>1000</v>
      </c>
      <c r="HI40" s="4"/>
      <c r="HP40" s="47">
        <v>1000</v>
      </c>
      <c r="IK40" s="4"/>
      <c r="IR40" s="47">
        <v>1000</v>
      </c>
      <c r="JM40" s="4"/>
      <c r="JT40" s="47">
        <v>1000</v>
      </c>
      <c r="KO40" s="4"/>
      <c r="KV40" s="47">
        <v>1000</v>
      </c>
      <c r="LQ40" s="4"/>
      <c r="LX40" s="47">
        <v>1000</v>
      </c>
      <c r="MS40" s="4"/>
      <c r="MZ40" s="47">
        <v>1000</v>
      </c>
      <c r="NU40" s="4"/>
      <c r="OB40" s="47">
        <v>1000</v>
      </c>
      <c r="OW40" s="4"/>
      <c r="PD40" s="47">
        <v>1000</v>
      </c>
      <c r="PY40" s="4"/>
      <c r="QF40" s="47">
        <v>1000</v>
      </c>
    </row>
    <row r="41" spans="1:458" ht="17" hidden="1" x14ac:dyDescent="0.2">
      <c r="A41" s="5"/>
      <c r="B41" s="5"/>
      <c r="C41" s="25" t="s">
        <v>27</v>
      </c>
      <c r="D41" s="20"/>
      <c r="T41" s="10"/>
      <c r="U41" s="10"/>
      <c r="V41" s="10"/>
      <c r="AR41" s="4"/>
      <c r="AY41" s="48">
        <v>1000</v>
      </c>
      <c r="BU41" s="4"/>
      <c r="CB41" s="48">
        <v>1000</v>
      </c>
      <c r="CX41" s="4"/>
      <c r="DE41" s="48">
        <v>1000</v>
      </c>
      <c r="EC41" s="4"/>
      <c r="EJ41" s="48">
        <v>1000</v>
      </c>
      <c r="FE41" s="4"/>
      <c r="FL41" s="48">
        <v>1000</v>
      </c>
      <c r="GG41" s="4"/>
      <c r="GN41" s="48">
        <v>1000</v>
      </c>
      <c r="HI41" s="4"/>
      <c r="HP41" s="48">
        <v>1000</v>
      </c>
      <c r="IK41" s="4"/>
      <c r="IR41" s="48">
        <v>1000</v>
      </c>
      <c r="JM41" s="4"/>
      <c r="JT41" s="48">
        <v>1000</v>
      </c>
      <c r="KO41" s="4"/>
      <c r="KV41" s="48">
        <v>1000</v>
      </c>
      <c r="LQ41" s="4"/>
      <c r="LX41" s="48">
        <v>1000</v>
      </c>
      <c r="MS41" s="4"/>
      <c r="MZ41" s="48">
        <v>1000</v>
      </c>
      <c r="NU41" s="4"/>
      <c r="OB41" s="48">
        <v>1000</v>
      </c>
      <c r="OW41" s="4"/>
      <c r="PD41" s="48">
        <v>1000</v>
      </c>
      <c r="PY41" s="4"/>
      <c r="QF41" s="48">
        <v>1000</v>
      </c>
    </row>
    <row r="42" spans="1:458" x14ac:dyDescent="0.2">
      <c r="C42" s="29" t="s">
        <v>47</v>
      </c>
      <c r="D42" s="2"/>
    </row>
    <row r="43" spans="1:458" x14ac:dyDescent="0.2">
      <c r="A43" s="5"/>
      <c r="B43" s="5"/>
      <c r="C43" s="5"/>
      <c r="D43" s="20"/>
      <c r="G43" s="66"/>
      <c r="QH43" s="2"/>
      <c r="QI43" s="2"/>
      <c r="QJ43" s="2"/>
      <c r="QK43" s="2"/>
      <c r="QL43" s="2"/>
      <c r="QM43" s="2"/>
      <c r="QN43" s="2"/>
      <c r="QO43" s="2"/>
      <c r="QP43" s="2"/>
    </row>
    <row r="44" spans="1:458" x14ac:dyDescent="0.2">
      <c r="A44" s="5"/>
      <c r="B44" s="5"/>
      <c r="C44" s="5"/>
      <c r="D44" s="20"/>
      <c r="G44" s="66"/>
    </row>
    <row r="45" spans="1:458" x14ac:dyDescent="0.2">
      <c r="A45" s="5"/>
      <c r="B45" s="5"/>
      <c r="C45" s="5"/>
      <c r="D45" s="20"/>
    </row>
    <row r="46" spans="1:458" x14ac:dyDescent="0.2">
      <c r="A46" s="5"/>
      <c r="B46" s="5"/>
      <c r="C46" s="5"/>
      <c r="D46" s="5"/>
    </row>
    <row r="48" spans="1:458" x14ac:dyDescent="0.2">
      <c r="H48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31">
      <sortCondition descending="1" ref="H1:H32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31">
    <cfRule type="expression" dxfId="29" priority="7" stopIfTrue="1">
      <formula>IF($AQ4&lt;&gt;"",1,0)</formula>
    </cfRule>
  </conditionalFormatting>
  <conditionalFormatting sqref="AZ4:CB31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1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2:AV1048576 BY42:BY1048576 EG42:EG1048576 BY1:BY40 DB1:DB1048576 EG1:EG40 FI1:FI1048576 GK1:GK1048576 HM1:HM1048576 IO1:IO1048576 JQ1:JQ1048576 KS1:KS1048576 LU1:LU1048576 MW1:MW1048576 NY1:NY1048576 PA1:PA1048576 QC1:QC1048576 AV1:AV40">
    <cfRule type="cellIs" dxfId="16" priority="60354" operator="between">
      <formula>AY$41</formula>
      <formula>1000</formula>
    </cfRule>
    <cfRule type="cellIs" dxfId="15" priority="60355" operator="between">
      <formula>AY$40</formula>
      <formula>AY$41</formula>
    </cfRule>
    <cfRule type="cellIs" dxfId="14" priority="60356" operator="between">
      <formula>AY$39</formula>
      <formula>AY$40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41233" operator="between">
      <formula>AY$34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41278" operator="between">
      <formula>AY$38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41323" operator="between">
      <formula>AY$34</formula>
      <formula>AY$35</formula>
    </cfRule>
    <cfRule type="cellIs" dxfId="9" priority="141324" operator="between">
      <formula>AY$35</formula>
      <formula>AY$36</formula>
    </cfRule>
    <cfRule type="cellIs" dxfId="8" priority="141325" operator="between">
      <formula>AY$36</formula>
      <formula>AY$37</formula>
    </cfRule>
    <cfRule type="cellIs" dxfId="7" priority="141326" operator="between">
      <formula>AY$37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41503" operator="between">
      <formula>AY$38</formula>
      <formula>AY$39</formula>
    </cfRule>
    <cfRule type="cellIs" dxfId="5" priority="141504" operator="between">
      <formula>AY$39</formula>
      <formula>AY$40</formula>
    </cfRule>
    <cfRule type="cellIs" dxfId="4" priority="141505" operator="between">
      <formula>AY$40</formula>
      <formula>AY$41</formula>
    </cfRule>
    <cfRule type="cellIs" dxfId="3" priority="141506" operator="between">
      <formula>AY$41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41683" operator="between">
      <formula>AY$37</formula>
      <formula>1000</formula>
    </cfRule>
    <cfRule type="cellIs" dxfId="1" priority="141684" operator="between">
      <formula>AY$36</formula>
      <formula>AY$37</formula>
    </cfRule>
    <cfRule type="cellIs" dxfId="0" priority="141685" operator="between">
      <formula>AY$35</formula>
      <formula>AY$36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2024-04-09T14:33:08Z</dcterms:modified>
</cp:coreProperties>
</file>