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2CB0B957-9716-9140-BA83-A2A4D00B0A5E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'DMT-M'!$A$1:$MT$12</definedName>
    <definedName name="_xlnm._FilterDatabase" localSheetId="6" hidden="1">'DMT-W'!$A$1:$MT$5</definedName>
    <definedName name="_xlnm._FilterDatabase" localSheetId="1" hidden="1">'TRA-M'!$A$1:$OQ$11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B19" i="12" l="1"/>
  <c r="LA19" i="12"/>
  <c r="KZ19" i="12"/>
  <c r="LC19" i="12" s="1"/>
  <c r="KY19" i="12"/>
  <c r="LB20" i="12"/>
  <c r="LA20" i="12"/>
  <c r="KZ20" i="12"/>
  <c r="LC20" i="12" s="1"/>
  <c r="KY20" i="12"/>
  <c r="LB18" i="12"/>
  <c r="LA18" i="12"/>
  <c r="KZ18" i="12"/>
  <c r="KY18" i="12"/>
  <c r="LB17" i="12"/>
  <c r="LA17" i="12"/>
  <c r="KZ17" i="12"/>
  <c r="LC17" i="12" s="1"/>
  <c r="KY17" i="12"/>
  <c r="LB16" i="12"/>
  <c r="LA16" i="12"/>
  <c r="KZ16" i="12"/>
  <c r="KY16" i="12"/>
  <c r="LB15" i="12"/>
  <c r="LA15" i="12"/>
  <c r="KZ15" i="12"/>
  <c r="LC15" i="12" s="1"/>
  <c r="KY15" i="12"/>
  <c r="LB13" i="12"/>
  <c r="LA13" i="12"/>
  <c r="KZ13" i="12"/>
  <c r="KY13" i="12"/>
  <c r="LB12" i="12"/>
  <c r="LA12" i="12"/>
  <c r="KZ12" i="12"/>
  <c r="LC12" i="12" s="1"/>
  <c r="KY12" i="12"/>
  <c r="LB14" i="12"/>
  <c r="LA14" i="12"/>
  <c r="KZ14" i="12"/>
  <c r="KY14" i="12"/>
  <c r="LB11" i="12"/>
  <c r="LA11" i="12"/>
  <c r="KZ11" i="12"/>
  <c r="LC11" i="12" s="1"/>
  <c r="KY11" i="12"/>
  <c r="LB9" i="12"/>
  <c r="LA9" i="12"/>
  <c r="KZ9" i="12"/>
  <c r="KY9" i="12"/>
  <c r="LB7" i="12"/>
  <c r="LA7" i="12"/>
  <c r="KZ7" i="12"/>
  <c r="LC7" i="12" s="1"/>
  <c r="KY7" i="12"/>
  <c r="LB6" i="12"/>
  <c r="LA6" i="12"/>
  <c r="KZ6" i="12"/>
  <c r="LC6" i="12" s="1"/>
  <c r="KY6" i="12"/>
  <c r="LB4" i="12"/>
  <c r="LA4" i="12"/>
  <c r="KZ4" i="12"/>
  <c r="LC4" i="12" s="1"/>
  <c r="KY4" i="12"/>
  <c r="LB8" i="12"/>
  <c r="LA8" i="12"/>
  <c r="KZ8" i="12"/>
  <c r="KY8" i="12"/>
  <c r="LB5" i="12"/>
  <c r="LA5" i="12"/>
  <c r="KZ5" i="12"/>
  <c r="LC5" i="12" s="1"/>
  <c r="KY5" i="12"/>
  <c r="LB10" i="12"/>
  <c r="LA10" i="12"/>
  <c r="KZ10" i="12"/>
  <c r="LC10" i="12" s="1"/>
  <c r="KY10" i="12"/>
  <c r="KG19" i="12"/>
  <c r="KF19" i="12"/>
  <c r="KE19" i="12"/>
  <c r="KH19" i="12" s="1"/>
  <c r="KD19" i="12"/>
  <c r="KG20" i="12"/>
  <c r="KF20" i="12"/>
  <c r="KE20" i="12"/>
  <c r="KD20" i="12"/>
  <c r="KG18" i="12"/>
  <c r="KF18" i="12"/>
  <c r="KE18" i="12"/>
  <c r="KH18" i="12" s="1"/>
  <c r="KD18" i="12"/>
  <c r="KH17" i="12"/>
  <c r="KG17" i="12"/>
  <c r="KF17" i="12"/>
  <c r="KE17" i="12"/>
  <c r="KD17" i="12"/>
  <c r="KG16" i="12"/>
  <c r="KF16" i="12"/>
  <c r="KE16" i="12"/>
  <c r="KH16" i="12" s="1"/>
  <c r="KD16" i="12"/>
  <c r="KG15" i="12"/>
  <c r="KF15" i="12"/>
  <c r="KE15" i="12"/>
  <c r="KD15" i="12"/>
  <c r="KG13" i="12"/>
  <c r="KF13" i="12"/>
  <c r="KE13" i="12"/>
  <c r="KD13" i="12"/>
  <c r="KG12" i="12"/>
  <c r="KF12" i="12"/>
  <c r="KE12" i="12"/>
  <c r="KD12" i="12"/>
  <c r="KG14" i="12"/>
  <c r="KF14" i="12"/>
  <c r="KE14" i="12"/>
  <c r="KH14" i="12" s="1"/>
  <c r="KD14" i="12"/>
  <c r="KG11" i="12"/>
  <c r="KH11" i="12" s="1"/>
  <c r="KF11" i="12"/>
  <c r="KE11" i="12"/>
  <c r="KD11" i="12"/>
  <c r="KG9" i="12"/>
  <c r="KF9" i="12"/>
  <c r="KE9" i="12"/>
  <c r="KH9" i="12" s="1"/>
  <c r="KD9" i="12"/>
  <c r="KG7" i="12"/>
  <c r="KF7" i="12"/>
  <c r="KE7" i="12"/>
  <c r="KD7" i="12"/>
  <c r="KG6" i="12"/>
  <c r="KF6" i="12"/>
  <c r="KE6" i="12"/>
  <c r="KD6" i="12"/>
  <c r="KG4" i="12"/>
  <c r="KF4" i="12"/>
  <c r="KE4" i="12"/>
  <c r="KD4" i="12"/>
  <c r="KG8" i="12"/>
  <c r="KF8" i="12"/>
  <c r="KE8" i="12"/>
  <c r="KD8" i="12"/>
  <c r="KG5" i="12"/>
  <c r="KF5" i="12"/>
  <c r="KE5" i="12"/>
  <c r="KD5" i="12"/>
  <c r="KG10" i="12"/>
  <c r="KF10" i="12"/>
  <c r="KE10" i="12"/>
  <c r="KD10" i="12"/>
  <c r="JL19" i="12"/>
  <c r="JK19" i="12"/>
  <c r="JJ19" i="12"/>
  <c r="JI19" i="12"/>
  <c r="JL20" i="12"/>
  <c r="JK20" i="12"/>
  <c r="JJ20" i="12"/>
  <c r="JI20" i="12"/>
  <c r="JL18" i="12"/>
  <c r="JK18" i="12"/>
  <c r="JJ18" i="12"/>
  <c r="JI18" i="12"/>
  <c r="JL17" i="12"/>
  <c r="JK17" i="12"/>
  <c r="JJ17" i="12"/>
  <c r="JM17" i="12" s="1"/>
  <c r="JI17" i="12"/>
  <c r="JL16" i="12"/>
  <c r="JK16" i="12"/>
  <c r="JJ16" i="12"/>
  <c r="JI16" i="12"/>
  <c r="JL15" i="12"/>
  <c r="JK15" i="12"/>
  <c r="JJ15" i="12"/>
  <c r="JI15" i="12"/>
  <c r="JL13" i="12"/>
  <c r="JK13" i="12"/>
  <c r="JJ13" i="12"/>
  <c r="JI13" i="12"/>
  <c r="JL12" i="12"/>
  <c r="JK12" i="12"/>
  <c r="JJ12" i="12"/>
  <c r="JI12" i="12"/>
  <c r="JL14" i="12"/>
  <c r="JK14" i="12"/>
  <c r="JJ14" i="12"/>
  <c r="JI14" i="12"/>
  <c r="JL11" i="12"/>
  <c r="JK11" i="12"/>
  <c r="JJ11" i="12"/>
  <c r="JI11" i="12"/>
  <c r="JL9" i="12"/>
  <c r="JK9" i="12"/>
  <c r="JJ9" i="12"/>
  <c r="JI9" i="12"/>
  <c r="JL7" i="12"/>
  <c r="JK7" i="12"/>
  <c r="JJ7" i="12"/>
  <c r="JM7" i="12" s="1"/>
  <c r="JI7" i="12"/>
  <c r="JL6" i="12"/>
  <c r="JK6" i="12"/>
  <c r="JJ6" i="12"/>
  <c r="JI6" i="12"/>
  <c r="JL4" i="12"/>
  <c r="JK4" i="12"/>
  <c r="JJ4" i="12"/>
  <c r="JM4" i="12" s="1"/>
  <c r="JI4" i="12"/>
  <c r="JL8" i="12"/>
  <c r="JK8" i="12"/>
  <c r="JJ8" i="12"/>
  <c r="JI8" i="12"/>
  <c r="JL5" i="12"/>
  <c r="JK5" i="12"/>
  <c r="JJ5" i="12"/>
  <c r="JM5" i="12" s="1"/>
  <c r="JI5" i="12"/>
  <c r="JL10" i="12"/>
  <c r="JK10" i="12"/>
  <c r="JJ10" i="12"/>
  <c r="JI10" i="12"/>
  <c r="IQ19" i="12"/>
  <c r="IP19" i="12"/>
  <c r="IO19" i="12"/>
  <c r="IR19" i="12" s="1"/>
  <c r="IN19" i="12"/>
  <c r="IQ20" i="12"/>
  <c r="IP20" i="12"/>
  <c r="IO20" i="12"/>
  <c r="IN20" i="12"/>
  <c r="IQ18" i="12"/>
  <c r="IP18" i="12"/>
  <c r="IO18" i="12"/>
  <c r="IR18" i="12" s="1"/>
  <c r="IN18" i="12"/>
  <c r="IQ17" i="12"/>
  <c r="IP17" i="12"/>
  <c r="IO17" i="12"/>
  <c r="IR17" i="12" s="1"/>
  <c r="IN17" i="12"/>
  <c r="IQ16" i="12"/>
  <c r="IP16" i="12"/>
  <c r="IO16" i="12"/>
  <c r="IN16" i="12"/>
  <c r="IQ15" i="12"/>
  <c r="IP15" i="12"/>
  <c r="IO15" i="12"/>
  <c r="IR15" i="12" s="1"/>
  <c r="IN15" i="12"/>
  <c r="IQ13" i="12"/>
  <c r="IP13" i="12"/>
  <c r="IO13" i="12"/>
  <c r="IN13" i="12"/>
  <c r="IQ12" i="12"/>
  <c r="IP12" i="12"/>
  <c r="IO12" i="12"/>
  <c r="IR12" i="12" s="1"/>
  <c r="IN12" i="12"/>
  <c r="IQ14" i="12"/>
  <c r="IP14" i="12"/>
  <c r="IO14" i="12"/>
  <c r="IN14" i="12"/>
  <c r="IQ11" i="12"/>
  <c r="IP11" i="12"/>
  <c r="IO11" i="12"/>
  <c r="IN11" i="12"/>
  <c r="IQ9" i="12"/>
  <c r="IP9" i="12"/>
  <c r="IO9" i="12"/>
  <c r="IN9" i="12"/>
  <c r="IQ7" i="12"/>
  <c r="IP7" i="12"/>
  <c r="IO7" i="12"/>
  <c r="IR7" i="12" s="1"/>
  <c r="IN7" i="12"/>
  <c r="IQ6" i="12"/>
  <c r="IP6" i="12"/>
  <c r="IO6" i="12"/>
  <c r="IR6" i="12" s="1"/>
  <c r="IN6" i="12"/>
  <c r="IQ4" i="12"/>
  <c r="IP4" i="12"/>
  <c r="IO4" i="12"/>
  <c r="IN4" i="12"/>
  <c r="IQ8" i="12"/>
  <c r="IP8" i="12"/>
  <c r="IO8" i="12"/>
  <c r="IN8" i="12"/>
  <c r="IQ5" i="12"/>
  <c r="IP5" i="12"/>
  <c r="IO5" i="12"/>
  <c r="IN5" i="12"/>
  <c r="IQ10" i="12"/>
  <c r="IP10" i="12"/>
  <c r="IO10" i="12"/>
  <c r="IR10" i="12" s="1"/>
  <c r="IN10" i="12"/>
  <c r="HV19" i="12"/>
  <c r="HU19" i="12"/>
  <c r="HT19" i="12"/>
  <c r="HW19" i="12" s="1"/>
  <c r="HS19" i="12"/>
  <c r="HV20" i="12"/>
  <c r="HU20" i="12"/>
  <c r="HT20" i="12"/>
  <c r="HS20" i="12"/>
  <c r="HV18" i="12"/>
  <c r="HU18" i="12"/>
  <c r="HT18" i="12"/>
  <c r="HS18" i="12"/>
  <c r="HV17" i="12"/>
  <c r="HU17" i="12"/>
  <c r="HT17" i="12"/>
  <c r="HS17" i="12"/>
  <c r="HV16" i="12"/>
  <c r="HU16" i="12"/>
  <c r="HT16" i="12"/>
  <c r="HW16" i="12" s="1"/>
  <c r="HS16" i="12"/>
  <c r="HV15" i="12"/>
  <c r="HU15" i="12"/>
  <c r="HT15" i="12"/>
  <c r="HS15" i="12"/>
  <c r="HV13" i="12"/>
  <c r="HU13" i="12"/>
  <c r="HT13" i="12"/>
  <c r="HS13" i="12"/>
  <c r="HV12" i="12"/>
  <c r="HU12" i="12"/>
  <c r="HT12" i="12"/>
  <c r="HS12" i="12"/>
  <c r="HV14" i="12"/>
  <c r="HU14" i="12"/>
  <c r="HT14" i="12"/>
  <c r="HW14" i="12" s="1"/>
  <c r="HS14" i="12"/>
  <c r="HV11" i="12"/>
  <c r="HU11" i="12"/>
  <c r="HT11" i="12"/>
  <c r="HS11" i="12"/>
  <c r="HV9" i="12"/>
  <c r="HU9" i="12"/>
  <c r="HT9" i="12"/>
  <c r="HS9" i="12"/>
  <c r="HV7" i="12"/>
  <c r="HU7" i="12"/>
  <c r="HT7" i="12"/>
  <c r="HS7" i="12"/>
  <c r="HV6" i="12"/>
  <c r="HU6" i="12"/>
  <c r="HT6" i="12"/>
  <c r="HW6" i="12" s="1"/>
  <c r="HS6" i="12"/>
  <c r="HV4" i="12"/>
  <c r="HU4" i="12"/>
  <c r="HT4" i="12"/>
  <c r="HS4" i="12"/>
  <c r="HV8" i="12"/>
  <c r="HU8" i="12"/>
  <c r="HT8" i="12"/>
  <c r="HS8" i="12"/>
  <c r="HV5" i="12"/>
  <c r="HU5" i="12"/>
  <c r="HT5" i="12"/>
  <c r="HS5" i="12"/>
  <c r="HV10" i="12"/>
  <c r="HU10" i="12"/>
  <c r="HT10" i="12"/>
  <c r="HW10" i="12" s="1"/>
  <c r="HS10" i="12"/>
  <c r="HA19" i="12"/>
  <c r="GZ19" i="12"/>
  <c r="GY19" i="12"/>
  <c r="GX19" i="12"/>
  <c r="HA20" i="12"/>
  <c r="GZ20" i="12"/>
  <c r="GY20" i="12"/>
  <c r="GX20" i="12"/>
  <c r="HA18" i="12"/>
  <c r="GZ18" i="12"/>
  <c r="GY18" i="12"/>
  <c r="GX18" i="12"/>
  <c r="HA17" i="12"/>
  <c r="GZ17" i="12"/>
  <c r="GY17" i="12"/>
  <c r="HB17" i="12" s="1"/>
  <c r="GX17" i="12"/>
  <c r="HA16" i="12"/>
  <c r="GZ16" i="12"/>
  <c r="GY16" i="12"/>
  <c r="GX16" i="12"/>
  <c r="HA15" i="12"/>
  <c r="GZ15" i="12"/>
  <c r="GY15" i="12"/>
  <c r="HB15" i="12" s="1"/>
  <c r="GX15" i="12"/>
  <c r="HA13" i="12"/>
  <c r="GZ13" i="12"/>
  <c r="GY13" i="12"/>
  <c r="GX13" i="12"/>
  <c r="HA12" i="12"/>
  <c r="GZ12" i="12"/>
  <c r="GY12" i="12"/>
  <c r="HB12" i="12" s="1"/>
  <c r="GX12" i="12"/>
  <c r="HA14" i="12"/>
  <c r="GZ14" i="12"/>
  <c r="GY14" i="12"/>
  <c r="GX14" i="12"/>
  <c r="HA11" i="12"/>
  <c r="GZ11" i="12"/>
  <c r="GY11" i="12"/>
  <c r="GX11" i="12"/>
  <c r="HA9" i="12"/>
  <c r="GZ9" i="12"/>
  <c r="GY9" i="12"/>
  <c r="GX9" i="12"/>
  <c r="HA7" i="12"/>
  <c r="GZ7" i="12"/>
  <c r="GY7" i="12"/>
  <c r="HB7" i="12" s="1"/>
  <c r="GX7" i="12"/>
  <c r="HA6" i="12"/>
  <c r="GZ6" i="12"/>
  <c r="GY6" i="12"/>
  <c r="GX6" i="12"/>
  <c r="HA4" i="12"/>
  <c r="GZ4" i="12"/>
  <c r="GY4" i="12"/>
  <c r="HB4" i="12" s="1"/>
  <c r="GX4" i="12"/>
  <c r="HA8" i="12"/>
  <c r="HB8" i="12" s="1"/>
  <c r="GZ8" i="12"/>
  <c r="GY8" i="12"/>
  <c r="GX8" i="12"/>
  <c r="HA5" i="12"/>
  <c r="GZ5" i="12"/>
  <c r="GY5" i="12"/>
  <c r="HB5" i="12" s="1"/>
  <c r="GX5" i="12"/>
  <c r="HA10" i="12"/>
  <c r="GZ10" i="12"/>
  <c r="GY10" i="12"/>
  <c r="GX10" i="12"/>
  <c r="GF19" i="12"/>
  <c r="GE19" i="12"/>
  <c r="GD19" i="12"/>
  <c r="GG19" i="12" s="1"/>
  <c r="GC19" i="12"/>
  <c r="GF20" i="12"/>
  <c r="GE20" i="12"/>
  <c r="GD20" i="12"/>
  <c r="GC20" i="12"/>
  <c r="GF18" i="12"/>
  <c r="GE18" i="12"/>
  <c r="GD18" i="12"/>
  <c r="GC18" i="12"/>
  <c r="GG17" i="12"/>
  <c r="GF17" i="12"/>
  <c r="GE17" i="12"/>
  <c r="GD17" i="12"/>
  <c r="GC17" i="12"/>
  <c r="GF16" i="12"/>
  <c r="GE16" i="12"/>
  <c r="GD16" i="12"/>
  <c r="GC16" i="12"/>
  <c r="GF15" i="12"/>
  <c r="GE15" i="12"/>
  <c r="GD15" i="12"/>
  <c r="GG15" i="12" s="1"/>
  <c r="GC15" i="12"/>
  <c r="GF13" i="12"/>
  <c r="GG13" i="12" s="1"/>
  <c r="GE13" i="12"/>
  <c r="GD13" i="12"/>
  <c r="GC13" i="12"/>
  <c r="GF12" i="12"/>
  <c r="GE12" i="12"/>
  <c r="GD12" i="12"/>
  <c r="GG12" i="12" s="1"/>
  <c r="GC12" i="12"/>
  <c r="GF14" i="12"/>
  <c r="GE14" i="12"/>
  <c r="GD14" i="12"/>
  <c r="GC14" i="12"/>
  <c r="GF11" i="12"/>
  <c r="GE11" i="12"/>
  <c r="GD11" i="12"/>
  <c r="GG11" i="12" s="1"/>
  <c r="GC11" i="12"/>
  <c r="GF9" i="12"/>
  <c r="GE9" i="12"/>
  <c r="GD9" i="12"/>
  <c r="GC9" i="12"/>
  <c r="GF7" i="12"/>
  <c r="GE7" i="12"/>
  <c r="GD7" i="12"/>
  <c r="GG7" i="12" s="1"/>
  <c r="GC7" i="12"/>
  <c r="GF6" i="12"/>
  <c r="GE6" i="12"/>
  <c r="GD6" i="12"/>
  <c r="GC6" i="12"/>
  <c r="GF4" i="12"/>
  <c r="GE4" i="12"/>
  <c r="GD4" i="12"/>
  <c r="GC4" i="12"/>
  <c r="GF8" i="12"/>
  <c r="GE8" i="12"/>
  <c r="GD8" i="12"/>
  <c r="GC8" i="12"/>
  <c r="GF5" i="12"/>
  <c r="GE5" i="12"/>
  <c r="GD5" i="12"/>
  <c r="GC5" i="12"/>
  <c r="GG10" i="12"/>
  <c r="GF10" i="12"/>
  <c r="GE10" i="12"/>
  <c r="GD10" i="12"/>
  <c r="GC10" i="12"/>
  <c r="FK19" i="12"/>
  <c r="FJ19" i="12"/>
  <c r="FI19" i="12"/>
  <c r="FH19" i="12"/>
  <c r="FK20" i="12"/>
  <c r="FJ20" i="12"/>
  <c r="FI20" i="12"/>
  <c r="FH20" i="12"/>
  <c r="FK18" i="12"/>
  <c r="FJ18" i="12"/>
  <c r="FI18" i="12"/>
  <c r="FL18" i="12" s="1"/>
  <c r="FH18" i="12"/>
  <c r="FK17" i="12"/>
  <c r="FJ17" i="12"/>
  <c r="FI17" i="12"/>
  <c r="FH17" i="12"/>
  <c r="FK16" i="12"/>
  <c r="FJ16" i="12"/>
  <c r="FI16" i="12"/>
  <c r="FL16" i="12" s="1"/>
  <c r="FH16" i="12"/>
  <c r="FK15" i="12"/>
  <c r="FJ15" i="12"/>
  <c r="FI15" i="12"/>
  <c r="FH15" i="12"/>
  <c r="FK13" i="12"/>
  <c r="FJ13" i="12"/>
  <c r="FI13" i="12"/>
  <c r="FH13" i="12"/>
  <c r="FK12" i="12"/>
  <c r="FJ12" i="12"/>
  <c r="FI12" i="12"/>
  <c r="FL12" i="12" s="1"/>
  <c r="FH12" i="12"/>
  <c r="FK14" i="12"/>
  <c r="FJ14" i="12"/>
  <c r="FI14" i="12"/>
  <c r="FL14" i="12" s="1"/>
  <c r="FH14" i="12"/>
  <c r="FK11" i="12"/>
  <c r="FJ11" i="12"/>
  <c r="FI11" i="12"/>
  <c r="FH11" i="12"/>
  <c r="FK9" i="12"/>
  <c r="FJ9" i="12"/>
  <c r="FI9" i="12"/>
  <c r="FL9" i="12" s="1"/>
  <c r="FH9" i="12"/>
  <c r="FK7" i="12"/>
  <c r="FJ7" i="12"/>
  <c r="FI7" i="12"/>
  <c r="FL7" i="12" s="1"/>
  <c r="FH7" i="12"/>
  <c r="FK6" i="12"/>
  <c r="FJ6" i="12"/>
  <c r="FI6" i="12"/>
  <c r="FH6" i="12"/>
  <c r="FK4" i="12"/>
  <c r="FJ4" i="12"/>
  <c r="FI4" i="12"/>
  <c r="FH4" i="12"/>
  <c r="FK8" i="12"/>
  <c r="FJ8" i="12"/>
  <c r="FI8" i="12"/>
  <c r="FH8" i="12"/>
  <c r="FK5" i="12"/>
  <c r="FJ5" i="12"/>
  <c r="FI5" i="12"/>
  <c r="FH5" i="12"/>
  <c r="FK10" i="12"/>
  <c r="FJ10" i="12"/>
  <c r="FI10" i="12"/>
  <c r="FH10" i="12"/>
  <c r="EP19" i="12"/>
  <c r="EO19" i="12"/>
  <c r="EN19" i="12"/>
  <c r="EM19" i="12"/>
  <c r="EP20" i="12"/>
  <c r="EO20" i="12"/>
  <c r="EN20" i="12"/>
  <c r="EQ20" i="12" s="1"/>
  <c r="EM20" i="12"/>
  <c r="EP18" i="12"/>
  <c r="EO18" i="12"/>
  <c r="EN18" i="12"/>
  <c r="EM18" i="12"/>
  <c r="EP17" i="12"/>
  <c r="EQ17" i="12" s="1"/>
  <c r="EO17" i="12"/>
  <c r="EN17" i="12"/>
  <c r="EM17" i="12"/>
  <c r="EP16" i="12"/>
  <c r="EO16" i="12"/>
  <c r="EN16" i="12"/>
  <c r="EM16" i="12"/>
  <c r="EP15" i="12"/>
  <c r="EO15" i="12"/>
  <c r="EN15" i="12"/>
  <c r="EM15" i="12"/>
  <c r="EP13" i="12"/>
  <c r="EO13" i="12"/>
  <c r="EN13" i="12"/>
  <c r="EM13" i="12"/>
  <c r="EP12" i="12"/>
  <c r="EO12" i="12"/>
  <c r="EN12" i="12"/>
  <c r="EM12" i="12"/>
  <c r="EP14" i="12"/>
  <c r="EO14" i="12"/>
  <c r="EN14" i="12"/>
  <c r="EM14" i="12"/>
  <c r="EP11" i="12"/>
  <c r="EO11" i="12"/>
  <c r="EN11" i="12"/>
  <c r="EM11" i="12"/>
  <c r="EP9" i="12"/>
  <c r="EO9" i="12"/>
  <c r="EN9" i="12"/>
  <c r="EQ9" i="12" s="1"/>
  <c r="EM9" i="12"/>
  <c r="EP7" i="12"/>
  <c r="EO7" i="12"/>
  <c r="EN7" i="12"/>
  <c r="EQ7" i="12" s="1"/>
  <c r="EM7" i="12"/>
  <c r="EP6" i="12"/>
  <c r="EO6" i="12"/>
  <c r="EN6" i="12"/>
  <c r="EM6" i="12"/>
  <c r="EP4" i="12"/>
  <c r="EO4" i="12"/>
  <c r="EN4" i="12"/>
  <c r="EM4" i="12"/>
  <c r="EP8" i="12"/>
  <c r="EO8" i="12"/>
  <c r="EN8" i="12"/>
  <c r="EM8" i="12"/>
  <c r="EP5" i="12"/>
  <c r="EO5" i="12"/>
  <c r="EN5" i="12"/>
  <c r="EM5" i="12"/>
  <c r="EP10" i="12"/>
  <c r="EO10" i="12"/>
  <c r="EN10" i="12"/>
  <c r="EM10" i="12"/>
  <c r="DU19" i="12"/>
  <c r="DT19" i="12"/>
  <c r="DS19" i="12"/>
  <c r="DR19" i="12"/>
  <c r="DU20" i="12"/>
  <c r="DT20" i="12"/>
  <c r="DS20" i="12"/>
  <c r="DV20" i="12" s="1"/>
  <c r="DR20" i="12"/>
  <c r="DU18" i="12"/>
  <c r="DT18" i="12"/>
  <c r="DS18" i="12"/>
  <c r="DR18" i="12"/>
  <c r="DU17" i="12"/>
  <c r="DT17" i="12"/>
  <c r="DS17" i="12"/>
  <c r="DV17" i="12" s="1"/>
  <c r="DR17" i="12"/>
  <c r="DU16" i="12"/>
  <c r="DT16" i="12"/>
  <c r="DS16" i="12"/>
  <c r="DR16" i="12"/>
  <c r="DU15" i="12"/>
  <c r="DT15" i="12"/>
  <c r="DS15" i="12"/>
  <c r="DV15" i="12" s="1"/>
  <c r="DR15" i="12"/>
  <c r="DU13" i="12"/>
  <c r="DT13" i="12"/>
  <c r="DS13" i="12"/>
  <c r="DR13" i="12"/>
  <c r="DU12" i="12"/>
  <c r="DT12" i="12"/>
  <c r="DS12" i="12"/>
  <c r="DV12" i="12" s="1"/>
  <c r="DR12" i="12"/>
  <c r="DU14" i="12"/>
  <c r="DT14" i="12"/>
  <c r="DS14" i="12"/>
  <c r="DR14" i="12"/>
  <c r="DU11" i="12"/>
  <c r="DT11" i="12"/>
  <c r="DS11" i="12"/>
  <c r="DV11" i="12" s="1"/>
  <c r="DR11" i="12"/>
  <c r="DU9" i="12"/>
  <c r="DT9" i="12"/>
  <c r="DS9" i="12"/>
  <c r="DV9" i="12" s="1"/>
  <c r="DR9" i="12"/>
  <c r="DU7" i="12"/>
  <c r="DT7" i="12"/>
  <c r="DS7" i="12"/>
  <c r="DV7" i="12" s="1"/>
  <c r="DR7" i="12"/>
  <c r="DU6" i="12"/>
  <c r="DT6" i="12"/>
  <c r="DS6" i="12"/>
  <c r="DR6" i="12"/>
  <c r="DU4" i="12"/>
  <c r="DT4" i="12"/>
  <c r="DS4" i="12"/>
  <c r="DV4" i="12" s="1"/>
  <c r="DR4" i="12"/>
  <c r="DU8" i="12"/>
  <c r="DV8" i="12" s="1"/>
  <c r="DT8" i="12"/>
  <c r="DS8" i="12"/>
  <c r="DR8" i="12"/>
  <c r="DU5" i="12"/>
  <c r="DT5" i="12"/>
  <c r="DS5" i="12"/>
  <c r="DV5" i="12" s="1"/>
  <c r="DR5" i="12"/>
  <c r="DU10" i="12"/>
  <c r="DT10" i="12"/>
  <c r="DS10" i="12"/>
  <c r="DR10" i="12"/>
  <c r="CZ19" i="12"/>
  <c r="CY19" i="12"/>
  <c r="CX19" i="12"/>
  <c r="DA19" i="12" s="1"/>
  <c r="CW19" i="12"/>
  <c r="CZ20" i="12"/>
  <c r="DA20" i="12" s="1"/>
  <c r="CY20" i="12"/>
  <c r="CX20" i="12"/>
  <c r="CW20" i="12"/>
  <c r="CZ18" i="12"/>
  <c r="CY18" i="12"/>
  <c r="CX18" i="12"/>
  <c r="DA18" i="12" s="1"/>
  <c r="CW18" i="12"/>
  <c r="CZ17" i="12"/>
  <c r="CY17" i="12"/>
  <c r="CX17" i="12"/>
  <c r="CW17" i="12"/>
  <c r="CZ16" i="12"/>
  <c r="CY16" i="12"/>
  <c r="CX16" i="12"/>
  <c r="CW16" i="12"/>
  <c r="CZ15" i="12"/>
  <c r="CY15" i="12"/>
  <c r="CX15" i="12"/>
  <c r="CW15" i="12"/>
  <c r="CZ13" i="12"/>
  <c r="CY13" i="12"/>
  <c r="CX13" i="12"/>
  <c r="CW13" i="12"/>
  <c r="CZ12" i="12"/>
  <c r="CY12" i="12"/>
  <c r="CX12" i="12"/>
  <c r="CW12" i="12"/>
  <c r="DA14" i="12"/>
  <c r="CZ14" i="12"/>
  <c r="CY14" i="12"/>
  <c r="CX14" i="12"/>
  <c r="CW14" i="12"/>
  <c r="CZ11" i="12"/>
  <c r="CY11" i="12"/>
  <c r="CX11" i="12"/>
  <c r="CW11" i="12"/>
  <c r="CZ9" i="12"/>
  <c r="CY9" i="12"/>
  <c r="CX9" i="12"/>
  <c r="CW9" i="12"/>
  <c r="CZ7" i="12"/>
  <c r="CY7" i="12"/>
  <c r="CX7" i="12"/>
  <c r="DA7" i="12" s="1"/>
  <c r="CW7" i="12"/>
  <c r="CZ6" i="12"/>
  <c r="CY6" i="12"/>
  <c r="CX6" i="12"/>
  <c r="CW6" i="12"/>
  <c r="CZ4" i="12"/>
  <c r="CY4" i="12"/>
  <c r="CX4" i="12"/>
  <c r="DA4" i="12" s="1"/>
  <c r="CW4" i="12"/>
  <c r="CZ8" i="12"/>
  <c r="CY8" i="12"/>
  <c r="CX8" i="12"/>
  <c r="CW8" i="12"/>
  <c r="CZ5" i="12"/>
  <c r="CY5" i="12"/>
  <c r="CX5" i="12"/>
  <c r="DA5" i="12" s="1"/>
  <c r="CW5" i="12"/>
  <c r="CZ10" i="12"/>
  <c r="DA10" i="12" s="1"/>
  <c r="CY10" i="12"/>
  <c r="CX10" i="12"/>
  <c r="CW10" i="12"/>
  <c r="LB23" i="6"/>
  <c r="LA23" i="6"/>
  <c r="KZ23" i="6"/>
  <c r="LC23" i="6" s="1"/>
  <c r="KY23" i="6"/>
  <c r="LB22" i="6"/>
  <c r="LC22" i="6" s="1"/>
  <c r="LA22" i="6"/>
  <c r="KZ22" i="6"/>
  <c r="KY22" i="6"/>
  <c r="LB17" i="6"/>
  <c r="LA17" i="6"/>
  <c r="KZ17" i="6"/>
  <c r="LC17" i="6" s="1"/>
  <c r="KY17" i="6"/>
  <c r="LB16" i="6"/>
  <c r="LA16" i="6"/>
  <c r="KZ16" i="6"/>
  <c r="KY16" i="6"/>
  <c r="LB21" i="6"/>
  <c r="LA21" i="6"/>
  <c r="KZ21" i="6"/>
  <c r="LC21" i="6" s="1"/>
  <c r="KY21" i="6"/>
  <c r="LB18" i="6"/>
  <c r="LA18" i="6"/>
  <c r="KZ18" i="6"/>
  <c r="LC18" i="6" s="1"/>
  <c r="KY18" i="6"/>
  <c r="LB20" i="6"/>
  <c r="LC20" i="6" s="1"/>
  <c r="LA20" i="6"/>
  <c r="KZ20" i="6"/>
  <c r="KY20" i="6"/>
  <c r="LB19" i="6"/>
  <c r="LA19" i="6"/>
  <c r="KZ19" i="6"/>
  <c r="LC19" i="6" s="1"/>
  <c r="KY19" i="6"/>
  <c r="LB15" i="6"/>
  <c r="LA15" i="6"/>
  <c r="KZ15" i="6"/>
  <c r="KY15" i="6"/>
  <c r="LB13" i="6"/>
  <c r="LA13" i="6"/>
  <c r="KZ13" i="6"/>
  <c r="KY13" i="6"/>
  <c r="LB14" i="6"/>
  <c r="LA14" i="6"/>
  <c r="KZ14" i="6"/>
  <c r="KY14" i="6"/>
  <c r="LB12" i="6"/>
  <c r="LA12" i="6"/>
  <c r="KZ12" i="6"/>
  <c r="LC12" i="6" s="1"/>
  <c r="KY12" i="6"/>
  <c r="LB11" i="6"/>
  <c r="LA11" i="6"/>
  <c r="KZ11" i="6"/>
  <c r="KY11" i="6"/>
  <c r="LB8" i="6"/>
  <c r="LA8" i="6"/>
  <c r="KZ8" i="6"/>
  <c r="LC8" i="6" s="1"/>
  <c r="KY8" i="6"/>
  <c r="LB7" i="6"/>
  <c r="LC7" i="6" s="1"/>
  <c r="LA7" i="6"/>
  <c r="KZ7" i="6"/>
  <c r="KY7" i="6"/>
  <c r="LB10" i="6"/>
  <c r="LA10" i="6"/>
  <c r="KZ10" i="6"/>
  <c r="LC10" i="6" s="1"/>
  <c r="KY10" i="6"/>
  <c r="LB6" i="6"/>
  <c r="LA6" i="6"/>
  <c r="KZ6" i="6"/>
  <c r="KY6" i="6"/>
  <c r="LB9" i="6"/>
  <c r="LA9" i="6"/>
  <c r="KZ9" i="6"/>
  <c r="KY9" i="6"/>
  <c r="LB5" i="6"/>
  <c r="LA5" i="6"/>
  <c r="KZ5" i="6"/>
  <c r="KY5" i="6"/>
  <c r="LC4" i="6"/>
  <c r="LB4" i="6"/>
  <c r="LA4" i="6"/>
  <c r="KZ4" i="6"/>
  <c r="KY4" i="6"/>
  <c r="KG23" i="6"/>
  <c r="KF23" i="6"/>
  <c r="KE23" i="6"/>
  <c r="KD23" i="6"/>
  <c r="KG22" i="6"/>
  <c r="KF22" i="6"/>
  <c r="KE22" i="6"/>
  <c r="KD22" i="6"/>
  <c r="KG17" i="6"/>
  <c r="KF17" i="6"/>
  <c r="KE17" i="6"/>
  <c r="KD17" i="6"/>
  <c r="KG16" i="6"/>
  <c r="KF16" i="6"/>
  <c r="KE16" i="6"/>
  <c r="KD16" i="6"/>
  <c r="KG21" i="6"/>
  <c r="KF21" i="6"/>
  <c r="KE21" i="6"/>
  <c r="KD21" i="6"/>
  <c r="KG18" i="6"/>
  <c r="KF18" i="6"/>
  <c r="KE18" i="6"/>
  <c r="KD18" i="6"/>
  <c r="KG20" i="6"/>
  <c r="KF20" i="6"/>
  <c r="KE20" i="6"/>
  <c r="KD20" i="6"/>
  <c r="KG19" i="6"/>
  <c r="KF19" i="6"/>
  <c r="KE19" i="6"/>
  <c r="KD19" i="6"/>
  <c r="KG15" i="6"/>
  <c r="KF15" i="6"/>
  <c r="KE15" i="6"/>
  <c r="KD15" i="6"/>
  <c r="KG13" i="6"/>
  <c r="KF13" i="6"/>
  <c r="KE13" i="6"/>
  <c r="KD13" i="6"/>
  <c r="KG14" i="6"/>
  <c r="KF14" i="6"/>
  <c r="KE14" i="6"/>
  <c r="KD14" i="6"/>
  <c r="KG12" i="6"/>
  <c r="KF12" i="6"/>
  <c r="KE12" i="6"/>
  <c r="KH12" i="6" s="1"/>
  <c r="KD12" i="6"/>
  <c r="KG11" i="6"/>
  <c r="KF11" i="6"/>
  <c r="KE11" i="6"/>
  <c r="KH11" i="6" s="1"/>
  <c r="KD11" i="6"/>
  <c r="KG8" i="6"/>
  <c r="KF8" i="6"/>
  <c r="KE8" i="6"/>
  <c r="KH8" i="6" s="1"/>
  <c r="KD8" i="6"/>
  <c r="KG7" i="6"/>
  <c r="KF7" i="6"/>
  <c r="KE7" i="6"/>
  <c r="KD7" i="6"/>
  <c r="KG10" i="6"/>
  <c r="KF10" i="6"/>
  <c r="KE10" i="6"/>
  <c r="KH10" i="6" s="1"/>
  <c r="KD10" i="6"/>
  <c r="KG6" i="6"/>
  <c r="KF6" i="6"/>
  <c r="KE6" i="6"/>
  <c r="KH6" i="6" s="1"/>
  <c r="KD6" i="6"/>
  <c r="KG9" i="6"/>
  <c r="KF9" i="6"/>
  <c r="KE9" i="6"/>
  <c r="KD9" i="6"/>
  <c r="KG5" i="6"/>
  <c r="KF5" i="6"/>
  <c r="KE5" i="6"/>
  <c r="KH5" i="6" s="1"/>
  <c r="KD5" i="6"/>
  <c r="KG4" i="6"/>
  <c r="KF4" i="6"/>
  <c r="KE4" i="6"/>
  <c r="KH4" i="6" s="1"/>
  <c r="KD4" i="6"/>
  <c r="JL23" i="6"/>
  <c r="JK23" i="6"/>
  <c r="JJ23" i="6"/>
  <c r="JM23" i="6" s="1"/>
  <c r="JI23" i="6"/>
  <c r="JL22" i="6"/>
  <c r="JK22" i="6"/>
  <c r="JJ22" i="6"/>
  <c r="JI22" i="6"/>
  <c r="JL17" i="6"/>
  <c r="JK17" i="6"/>
  <c r="JJ17" i="6"/>
  <c r="JM17" i="6" s="1"/>
  <c r="JI17" i="6"/>
  <c r="JL16" i="6"/>
  <c r="JK16" i="6"/>
  <c r="JJ16" i="6"/>
  <c r="JI16" i="6"/>
  <c r="JL21" i="6"/>
  <c r="JK21" i="6"/>
  <c r="JJ21" i="6"/>
  <c r="JI21" i="6"/>
  <c r="JL18" i="6"/>
  <c r="JK18" i="6"/>
  <c r="JJ18" i="6"/>
  <c r="JI18" i="6"/>
  <c r="JL20" i="6"/>
  <c r="JK20" i="6"/>
  <c r="JJ20" i="6"/>
  <c r="JI20" i="6"/>
  <c r="JL19" i="6"/>
  <c r="JK19" i="6"/>
  <c r="JJ19" i="6"/>
  <c r="JI19" i="6"/>
  <c r="JL15" i="6"/>
  <c r="JK15" i="6"/>
  <c r="JJ15" i="6"/>
  <c r="JI15" i="6"/>
  <c r="JL13" i="6"/>
  <c r="JK13" i="6"/>
  <c r="JJ13" i="6"/>
  <c r="JI13" i="6"/>
  <c r="JL14" i="6"/>
  <c r="JK14" i="6"/>
  <c r="JJ14" i="6"/>
  <c r="JI14" i="6"/>
  <c r="JM12" i="6"/>
  <c r="JL12" i="6"/>
  <c r="JK12" i="6"/>
  <c r="JJ12" i="6"/>
  <c r="JI12" i="6"/>
  <c r="JL11" i="6"/>
  <c r="JK11" i="6"/>
  <c r="JJ11" i="6"/>
  <c r="JI11" i="6"/>
  <c r="JL8" i="6"/>
  <c r="JK8" i="6"/>
  <c r="JJ8" i="6"/>
  <c r="JM8" i="6" s="1"/>
  <c r="JI8" i="6"/>
  <c r="JL7" i="6"/>
  <c r="JM7" i="6" s="1"/>
  <c r="JK7" i="6"/>
  <c r="JJ7" i="6"/>
  <c r="JI7" i="6"/>
  <c r="JL10" i="6"/>
  <c r="JK10" i="6"/>
  <c r="JJ10" i="6"/>
  <c r="JM10" i="6" s="1"/>
  <c r="JI10" i="6"/>
  <c r="JL6" i="6"/>
  <c r="JK6" i="6"/>
  <c r="JJ6" i="6"/>
  <c r="JI6" i="6"/>
  <c r="JL9" i="6"/>
  <c r="JK9" i="6"/>
  <c r="JJ9" i="6"/>
  <c r="JI9" i="6"/>
  <c r="JL5" i="6"/>
  <c r="JK5" i="6"/>
  <c r="JJ5" i="6"/>
  <c r="JI5" i="6"/>
  <c r="JL4" i="6"/>
  <c r="JK4" i="6"/>
  <c r="JJ4" i="6"/>
  <c r="JM4" i="6" s="1"/>
  <c r="JI4" i="6"/>
  <c r="IQ23" i="6"/>
  <c r="IP23" i="6"/>
  <c r="IO23" i="6"/>
  <c r="IN23" i="6"/>
  <c r="IQ22" i="6"/>
  <c r="IP22" i="6"/>
  <c r="IO22" i="6"/>
  <c r="IR22" i="6" s="1"/>
  <c r="IN22" i="6"/>
  <c r="IQ17" i="6"/>
  <c r="IP17" i="6"/>
  <c r="IO17" i="6"/>
  <c r="IN17" i="6"/>
  <c r="IQ16" i="6"/>
  <c r="IP16" i="6"/>
  <c r="IO16" i="6"/>
  <c r="IR16" i="6" s="1"/>
  <c r="IN16" i="6"/>
  <c r="IQ21" i="6"/>
  <c r="IP21" i="6"/>
  <c r="IO21" i="6"/>
  <c r="IN21" i="6"/>
  <c r="IQ18" i="6"/>
  <c r="IP18" i="6"/>
  <c r="IO18" i="6"/>
  <c r="IR18" i="6" s="1"/>
  <c r="IN18" i="6"/>
  <c r="IQ20" i="6"/>
  <c r="IP20" i="6"/>
  <c r="IO20" i="6"/>
  <c r="IN20" i="6"/>
  <c r="IQ19" i="6"/>
  <c r="IP19" i="6"/>
  <c r="IO19" i="6"/>
  <c r="IR19" i="6" s="1"/>
  <c r="IN19" i="6"/>
  <c r="IQ15" i="6"/>
  <c r="IP15" i="6"/>
  <c r="IO15" i="6"/>
  <c r="IN15" i="6"/>
  <c r="IQ13" i="6"/>
  <c r="IP13" i="6"/>
  <c r="IO13" i="6"/>
  <c r="IN13" i="6"/>
  <c r="IQ14" i="6"/>
  <c r="IP14" i="6"/>
  <c r="IO14" i="6"/>
  <c r="IN14" i="6"/>
  <c r="IQ12" i="6"/>
  <c r="IP12" i="6"/>
  <c r="IO12" i="6"/>
  <c r="IR12" i="6" s="1"/>
  <c r="IN12" i="6"/>
  <c r="IQ11" i="6"/>
  <c r="IP11" i="6"/>
  <c r="IO11" i="6"/>
  <c r="IN11" i="6"/>
  <c r="IQ8" i="6"/>
  <c r="IP8" i="6"/>
  <c r="IO8" i="6"/>
  <c r="IN8" i="6"/>
  <c r="IQ7" i="6"/>
  <c r="IP7" i="6"/>
  <c r="IO7" i="6"/>
  <c r="IN7" i="6"/>
  <c r="IQ10" i="6"/>
  <c r="IP10" i="6"/>
  <c r="IO10" i="6"/>
  <c r="IN10" i="6"/>
  <c r="IQ6" i="6"/>
  <c r="IP6" i="6"/>
  <c r="IO6" i="6"/>
  <c r="IN6" i="6"/>
  <c r="IQ9" i="6"/>
  <c r="IP9" i="6"/>
  <c r="IO9" i="6"/>
  <c r="IN9" i="6"/>
  <c r="IQ5" i="6"/>
  <c r="IP5" i="6"/>
  <c r="IO5" i="6"/>
  <c r="IR5" i="6" s="1"/>
  <c r="IN5" i="6"/>
  <c r="IR4" i="6"/>
  <c r="IQ4" i="6"/>
  <c r="IP4" i="6"/>
  <c r="IO4" i="6"/>
  <c r="IN4" i="6"/>
  <c r="HV23" i="6"/>
  <c r="HU23" i="6"/>
  <c r="HT23" i="6"/>
  <c r="HS23" i="6"/>
  <c r="HV22" i="6"/>
  <c r="HU22" i="6"/>
  <c r="HT22" i="6"/>
  <c r="HS22" i="6"/>
  <c r="HV17" i="6"/>
  <c r="HU17" i="6"/>
  <c r="HT17" i="6"/>
  <c r="HS17" i="6"/>
  <c r="HV16" i="6"/>
  <c r="HW16" i="6" s="1"/>
  <c r="HU16" i="6"/>
  <c r="HT16" i="6"/>
  <c r="HS16" i="6"/>
  <c r="HV21" i="6"/>
  <c r="HU21" i="6"/>
  <c r="HT21" i="6"/>
  <c r="HW21" i="6" s="1"/>
  <c r="HS21" i="6"/>
  <c r="HV18" i="6"/>
  <c r="HU18" i="6"/>
  <c r="HT18" i="6"/>
  <c r="HS18" i="6"/>
  <c r="HV20" i="6"/>
  <c r="HU20" i="6"/>
  <c r="HT20" i="6"/>
  <c r="HS20" i="6"/>
  <c r="HV19" i="6"/>
  <c r="HU19" i="6"/>
  <c r="HT19" i="6"/>
  <c r="HS19" i="6"/>
  <c r="HV15" i="6"/>
  <c r="HU15" i="6"/>
  <c r="HT15" i="6"/>
  <c r="HW15" i="6" s="1"/>
  <c r="HS15" i="6"/>
  <c r="HV13" i="6"/>
  <c r="HW13" i="6" s="1"/>
  <c r="HU13" i="6"/>
  <c r="HT13" i="6"/>
  <c r="HS13" i="6"/>
  <c r="HV14" i="6"/>
  <c r="HU14" i="6"/>
  <c r="HT14" i="6"/>
  <c r="HW14" i="6" s="1"/>
  <c r="HS14" i="6"/>
  <c r="HW12" i="6"/>
  <c r="HV12" i="6"/>
  <c r="HU12" i="6"/>
  <c r="HT12" i="6"/>
  <c r="HS12" i="6"/>
  <c r="HV11" i="6"/>
  <c r="HU11" i="6"/>
  <c r="HT11" i="6"/>
  <c r="HS11" i="6"/>
  <c r="HV8" i="6"/>
  <c r="HU8" i="6"/>
  <c r="HT8" i="6"/>
  <c r="HS8" i="6"/>
  <c r="HV7" i="6"/>
  <c r="HU7" i="6"/>
  <c r="HT7" i="6"/>
  <c r="HS7" i="6"/>
  <c r="HV10" i="6"/>
  <c r="HU10" i="6"/>
  <c r="HT10" i="6"/>
  <c r="HS10" i="6"/>
  <c r="HV6" i="6"/>
  <c r="HU6" i="6"/>
  <c r="HT6" i="6"/>
  <c r="HS6" i="6"/>
  <c r="HV9" i="6"/>
  <c r="HU9" i="6"/>
  <c r="HT9" i="6"/>
  <c r="HS9" i="6"/>
  <c r="HV5" i="6"/>
  <c r="HU5" i="6"/>
  <c r="HT5" i="6"/>
  <c r="HW5" i="6" s="1"/>
  <c r="HS5" i="6"/>
  <c r="HV4" i="6"/>
  <c r="HU4" i="6"/>
  <c r="HT4" i="6"/>
  <c r="HW4" i="6" s="1"/>
  <c r="HS4" i="6"/>
  <c r="HA23" i="6"/>
  <c r="GZ23" i="6"/>
  <c r="GY23" i="6"/>
  <c r="GX23" i="6"/>
  <c r="HA22" i="6"/>
  <c r="GZ22" i="6"/>
  <c r="GY22" i="6"/>
  <c r="GX22" i="6"/>
  <c r="HA17" i="6"/>
  <c r="GZ17" i="6"/>
  <c r="GY17" i="6"/>
  <c r="GX17" i="6"/>
  <c r="HA16" i="6"/>
  <c r="GZ16" i="6"/>
  <c r="GY16" i="6"/>
  <c r="HB16" i="6" s="1"/>
  <c r="GX16" i="6"/>
  <c r="HA21" i="6"/>
  <c r="GZ21" i="6"/>
  <c r="GY21" i="6"/>
  <c r="HB21" i="6" s="1"/>
  <c r="GX21" i="6"/>
  <c r="HA18" i="6"/>
  <c r="GZ18" i="6"/>
  <c r="GY18" i="6"/>
  <c r="GX18" i="6"/>
  <c r="HA20" i="6"/>
  <c r="GZ20" i="6"/>
  <c r="GY20" i="6"/>
  <c r="GX20" i="6"/>
  <c r="HA19" i="6"/>
  <c r="GZ19" i="6"/>
  <c r="GY19" i="6"/>
  <c r="GX19" i="6"/>
  <c r="HA15" i="6"/>
  <c r="GZ15" i="6"/>
  <c r="GY15" i="6"/>
  <c r="HB15" i="6" s="1"/>
  <c r="GX15" i="6"/>
  <c r="HA13" i="6"/>
  <c r="GZ13" i="6"/>
  <c r="GY13" i="6"/>
  <c r="GX13" i="6"/>
  <c r="HA14" i="6"/>
  <c r="GZ14" i="6"/>
  <c r="GY14" i="6"/>
  <c r="HB14" i="6" s="1"/>
  <c r="GX14" i="6"/>
  <c r="HA12" i="6"/>
  <c r="GZ12" i="6"/>
  <c r="GY12" i="6"/>
  <c r="HB12" i="6" s="1"/>
  <c r="GX12" i="6"/>
  <c r="HA11" i="6"/>
  <c r="GZ11" i="6"/>
  <c r="GY11" i="6"/>
  <c r="GX11" i="6"/>
  <c r="HA8" i="6"/>
  <c r="GZ8" i="6"/>
  <c r="GY8" i="6"/>
  <c r="HB8" i="6" s="1"/>
  <c r="GX8" i="6"/>
  <c r="HA7" i="6"/>
  <c r="GZ7" i="6"/>
  <c r="GY7" i="6"/>
  <c r="GX7" i="6"/>
  <c r="HA10" i="6"/>
  <c r="GZ10" i="6"/>
  <c r="GY10" i="6"/>
  <c r="HB10" i="6" s="1"/>
  <c r="GX10" i="6"/>
  <c r="HA6" i="6"/>
  <c r="GZ6" i="6"/>
  <c r="GY6" i="6"/>
  <c r="GX6" i="6"/>
  <c r="HA9" i="6"/>
  <c r="GZ9" i="6"/>
  <c r="GY9" i="6"/>
  <c r="GX9" i="6"/>
  <c r="HA5" i="6"/>
  <c r="GZ5" i="6"/>
  <c r="GY5" i="6"/>
  <c r="GX5" i="6"/>
  <c r="HB4" i="6"/>
  <c r="HA4" i="6"/>
  <c r="GZ4" i="6"/>
  <c r="GY4" i="6"/>
  <c r="GX4" i="6"/>
  <c r="GF23" i="6"/>
  <c r="GE23" i="6"/>
  <c r="GD23" i="6"/>
  <c r="GC23" i="6"/>
  <c r="GF22" i="6"/>
  <c r="GE22" i="6"/>
  <c r="GD22" i="6"/>
  <c r="GC22" i="6"/>
  <c r="GF17" i="6"/>
  <c r="GE17" i="6"/>
  <c r="GD17" i="6"/>
  <c r="GG17" i="6" s="1"/>
  <c r="GC17" i="6"/>
  <c r="GF16" i="6"/>
  <c r="GE16" i="6"/>
  <c r="GD16" i="6"/>
  <c r="GG16" i="6" s="1"/>
  <c r="GC16" i="6"/>
  <c r="GF21" i="6"/>
  <c r="GE21" i="6"/>
  <c r="GD21" i="6"/>
  <c r="GC21" i="6"/>
  <c r="GF18" i="6"/>
  <c r="GE18" i="6"/>
  <c r="GD18" i="6"/>
  <c r="GG18" i="6" s="1"/>
  <c r="GC18" i="6"/>
  <c r="GF20" i="6"/>
  <c r="GG20" i="6" s="1"/>
  <c r="GE20" i="6"/>
  <c r="GD20" i="6"/>
  <c r="GC20" i="6"/>
  <c r="GF19" i="6"/>
  <c r="GE19" i="6"/>
  <c r="GD19" i="6"/>
  <c r="GG19" i="6" s="1"/>
  <c r="GC19" i="6"/>
  <c r="GF15" i="6"/>
  <c r="GE15" i="6"/>
  <c r="GD15" i="6"/>
  <c r="GC15" i="6"/>
  <c r="GF13" i="6"/>
  <c r="GE13" i="6"/>
  <c r="GD13" i="6"/>
  <c r="GC13" i="6"/>
  <c r="GF14" i="6"/>
  <c r="GE14" i="6"/>
  <c r="GD14" i="6"/>
  <c r="GC14" i="6"/>
  <c r="GF12" i="6"/>
  <c r="GE12" i="6"/>
  <c r="GD12" i="6"/>
  <c r="GG12" i="6" s="1"/>
  <c r="GC12" i="6"/>
  <c r="GF11" i="6"/>
  <c r="GE11" i="6"/>
  <c r="GD11" i="6"/>
  <c r="GC11" i="6"/>
  <c r="GF8" i="6"/>
  <c r="GE8" i="6"/>
  <c r="GD8" i="6"/>
  <c r="GC8" i="6"/>
  <c r="GF7" i="6"/>
  <c r="GG7" i="6" s="1"/>
  <c r="GE7" i="6"/>
  <c r="GD7" i="6"/>
  <c r="GC7" i="6"/>
  <c r="GF10" i="6"/>
  <c r="GE10" i="6"/>
  <c r="GD10" i="6"/>
  <c r="GG10" i="6" s="1"/>
  <c r="GC10" i="6"/>
  <c r="GF6" i="6"/>
  <c r="GE6" i="6"/>
  <c r="GD6" i="6"/>
  <c r="GC6" i="6"/>
  <c r="GG9" i="6"/>
  <c r="GF9" i="6"/>
  <c r="GE9" i="6"/>
  <c r="GD9" i="6"/>
  <c r="GC9" i="6"/>
  <c r="GF5" i="6"/>
  <c r="GE5" i="6"/>
  <c r="GD5" i="6"/>
  <c r="GC5" i="6"/>
  <c r="GF4" i="6"/>
  <c r="GE4" i="6"/>
  <c r="GD4" i="6"/>
  <c r="GG4" i="6" s="1"/>
  <c r="GC4" i="6"/>
  <c r="FK23" i="6"/>
  <c r="FJ23" i="6"/>
  <c r="FI23" i="6"/>
  <c r="FH23" i="6"/>
  <c r="FK22" i="6"/>
  <c r="FJ22" i="6"/>
  <c r="FI22" i="6"/>
  <c r="FH22" i="6"/>
  <c r="FK17" i="6"/>
  <c r="FJ17" i="6"/>
  <c r="FI17" i="6"/>
  <c r="FH17" i="6"/>
  <c r="FK16" i="6"/>
  <c r="FJ16" i="6"/>
  <c r="FI16" i="6"/>
  <c r="FL16" i="6" s="1"/>
  <c r="FH16" i="6"/>
  <c r="FK21" i="6"/>
  <c r="FJ21" i="6"/>
  <c r="FI21" i="6"/>
  <c r="FH21" i="6"/>
  <c r="FK18" i="6"/>
  <c r="FJ18" i="6"/>
  <c r="FI18" i="6"/>
  <c r="FL18" i="6" s="1"/>
  <c r="FH18" i="6"/>
  <c r="FK20" i="6"/>
  <c r="FL20" i="6" s="1"/>
  <c r="FJ20" i="6"/>
  <c r="FI20" i="6"/>
  <c r="FH20" i="6"/>
  <c r="FK19" i="6"/>
  <c r="FJ19" i="6"/>
  <c r="FI19" i="6"/>
  <c r="FL19" i="6" s="1"/>
  <c r="FH19" i="6"/>
  <c r="FK15" i="6"/>
  <c r="FJ15" i="6"/>
  <c r="FI15" i="6"/>
  <c r="FH15" i="6"/>
  <c r="FK13" i="6"/>
  <c r="FJ13" i="6"/>
  <c r="FI13" i="6"/>
  <c r="FH13" i="6"/>
  <c r="FK14" i="6"/>
  <c r="FJ14" i="6"/>
  <c r="FI14" i="6"/>
  <c r="FH14" i="6"/>
  <c r="FK12" i="6"/>
  <c r="FJ12" i="6"/>
  <c r="FI12" i="6"/>
  <c r="FL12" i="6" s="1"/>
  <c r="FH12" i="6"/>
  <c r="FK11" i="6"/>
  <c r="FJ11" i="6"/>
  <c r="FI11" i="6"/>
  <c r="FL11" i="6" s="1"/>
  <c r="FH11" i="6"/>
  <c r="FK8" i="6"/>
  <c r="FJ8" i="6"/>
  <c r="FI8" i="6"/>
  <c r="FH8" i="6"/>
  <c r="FK7" i="6"/>
  <c r="FJ7" i="6"/>
  <c r="FI7" i="6"/>
  <c r="FH7" i="6"/>
  <c r="FK10" i="6"/>
  <c r="FJ10" i="6"/>
  <c r="FI10" i="6"/>
  <c r="FL10" i="6" s="1"/>
  <c r="FH10" i="6"/>
  <c r="FK6" i="6"/>
  <c r="FJ6" i="6"/>
  <c r="FI6" i="6"/>
  <c r="FL6" i="6" s="1"/>
  <c r="FH6" i="6"/>
  <c r="FK9" i="6"/>
  <c r="FJ9" i="6"/>
  <c r="FI9" i="6"/>
  <c r="FH9" i="6"/>
  <c r="FK5" i="6"/>
  <c r="FJ5" i="6"/>
  <c r="FI5" i="6"/>
  <c r="FL5" i="6" s="1"/>
  <c r="FH5" i="6"/>
  <c r="FK4" i="6"/>
  <c r="FJ4" i="6"/>
  <c r="FI4" i="6"/>
  <c r="FL4" i="6" s="1"/>
  <c r="FH4" i="6"/>
  <c r="EP23" i="6"/>
  <c r="EO23" i="6"/>
  <c r="EN23" i="6"/>
  <c r="EQ23" i="6" s="1"/>
  <c r="EM23" i="6"/>
  <c r="EP22" i="6"/>
  <c r="EO22" i="6"/>
  <c r="EN22" i="6"/>
  <c r="EM22" i="6"/>
  <c r="EP17" i="6"/>
  <c r="EO17" i="6"/>
  <c r="EN17" i="6"/>
  <c r="EQ17" i="6" s="1"/>
  <c r="EM17" i="6"/>
  <c r="EQ16" i="6"/>
  <c r="EP16" i="6"/>
  <c r="EO16" i="6"/>
  <c r="EN16" i="6"/>
  <c r="EM16" i="6"/>
  <c r="EP21" i="6"/>
  <c r="EO21" i="6"/>
  <c r="EN21" i="6"/>
  <c r="EM21" i="6"/>
  <c r="EP18" i="6"/>
  <c r="EO18" i="6"/>
  <c r="EN18" i="6"/>
  <c r="EQ18" i="6" s="1"/>
  <c r="EM18" i="6"/>
  <c r="EP20" i="6"/>
  <c r="EQ20" i="6" s="1"/>
  <c r="EO20" i="6"/>
  <c r="EN20" i="6"/>
  <c r="EM20" i="6"/>
  <c r="EP19" i="6"/>
  <c r="EO19" i="6"/>
  <c r="EN19" i="6"/>
  <c r="EQ19" i="6" s="1"/>
  <c r="EM19" i="6"/>
  <c r="EP15" i="6"/>
  <c r="EO15" i="6"/>
  <c r="EN15" i="6"/>
  <c r="EM15" i="6"/>
  <c r="EP13" i="6"/>
  <c r="EO13" i="6"/>
  <c r="EN13" i="6"/>
  <c r="EM13" i="6"/>
  <c r="EP14" i="6"/>
  <c r="EO14" i="6"/>
  <c r="EN14" i="6"/>
  <c r="EM14" i="6"/>
  <c r="EP12" i="6"/>
  <c r="EO12" i="6"/>
  <c r="EN12" i="6"/>
  <c r="EM12" i="6"/>
  <c r="EP11" i="6"/>
  <c r="EO11" i="6"/>
  <c r="EN11" i="6"/>
  <c r="EM11" i="6"/>
  <c r="EP8" i="6"/>
  <c r="EO8" i="6"/>
  <c r="EN8" i="6"/>
  <c r="EM8" i="6"/>
  <c r="EP7" i="6"/>
  <c r="EO7" i="6"/>
  <c r="EN7" i="6"/>
  <c r="EM7" i="6"/>
  <c r="EP10" i="6"/>
  <c r="EO10" i="6"/>
  <c r="EN10" i="6"/>
  <c r="EM10" i="6"/>
  <c r="EP6" i="6"/>
  <c r="EO6" i="6"/>
  <c r="EN6" i="6"/>
  <c r="EM6" i="6"/>
  <c r="EP9" i="6"/>
  <c r="EO9" i="6"/>
  <c r="EN9" i="6"/>
  <c r="EM9" i="6"/>
  <c r="EP5" i="6"/>
  <c r="EO5" i="6"/>
  <c r="EN5" i="6"/>
  <c r="EM5" i="6"/>
  <c r="EP4" i="6"/>
  <c r="EO4" i="6"/>
  <c r="EN4" i="6"/>
  <c r="EQ4" i="6" s="1"/>
  <c r="EM4" i="6"/>
  <c r="DU23" i="6"/>
  <c r="DT23" i="6"/>
  <c r="DS23" i="6"/>
  <c r="DV23" i="6" s="1"/>
  <c r="DR23" i="6"/>
  <c r="DU22" i="6"/>
  <c r="DT22" i="6"/>
  <c r="DS22" i="6"/>
  <c r="DV22" i="6" s="1"/>
  <c r="DR22" i="6"/>
  <c r="DU17" i="6"/>
  <c r="DT17" i="6"/>
  <c r="DS17" i="6"/>
  <c r="DR17" i="6"/>
  <c r="DU16" i="6"/>
  <c r="DT16" i="6"/>
  <c r="DS16" i="6"/>
  <c r="DR16" i="6"/>
  <c r="DU21" i="6"/>
  <c r="DT21" i="6"/>
  <c r="DS21" i="6"/>
  <c r="DV21" i="6" s="1"/>
  <c r="DR21" i="6"/>
  <c r="DU18" i="6"/>
  <c r="DT18" i="6"/>
  <c r="DS18" i="6"/>
  <c r="DR18" i="6"/>
  <c r="DU20" i="6"/>
  <c r="DT20" i="6"/>
  <c r="DS20" i="6"/>
  <c r="DR20" i="6"/>
  <c r="DU19" i="6"/>
  <c r="DT19" i="6"/>
  <c r="DS19" i="6"/>
  <c r="DR19" i="6"/>
  <c r="DU15" i="6"/>
  <c r="DT15" i="6"/>
  <c r="DS15" i="6"/>
  <c r="DV15" i="6" s="1"/>
  <c r="DR15" i="6"/>
  <c r="DU13" i="6"/>
  <c r="DT13" i="6"/>
  <c r="DS13" i="6"/>
  <c r="DR13" i="6"/>
  <c r="DU14" i="6"/>
  <c r="DT14" i="6"/>
  <c r="DS14" i="6"/>
  <c r="DR14" i="6"/>
  <c r="DU12" i="6"/>
  <c r="DT12" i="6"/>
  <c r="DS12" i="6"/>
  <c r="DR12" i="6"/>
  <c r="DU11" i="6"/>
  <c r="DT11" i="6"/>
  <c r="DS11" i="6"/>
  <c r="DR11" i="6"/>
  <c r="DU8" i="6"/>
  <c r="DT8" i="6"/>
  <c r="DS8" i="6"/>
  <c r="DR8" i="6"/>
  <c r="DU7" i="6"/>
  <c r="DT7" i="6"/>
  <c r="DS7" i="6"/>
  <c r="DR7" i="6"/>
  <c r="DU10" i="6"/>
  <c r="DT10" i="6"/>
  <c r="DS10" i="6"/>
  <c r="DR10" i="6"/>
  <c r="DU6" i="6"/>
  <c r="DT6" i="6"/>
  <c r="DS6" i="6"/>
  <c r="DR6" i="6"/>
  <c r="DU9" i="6"/>
  <c r="DV9" i="6" s="1"/>
  <c r="DT9" i="6"/>
  <c r="DS9" i="6"/>
  <c r="DR9" i="6"/>
  <c r="DU5" i="6"/>
  <c r="DT5" i="6"/>
  <c r="DS5" i="6"/>
  <c r="DV5" i="6" s="1"/>
  <c r="DR5" i="6"/>
  <c r="DV4" i="6"/>
  <c r="DU4" i="6"/>
  <c r="DT4" i="6"/>
  <c r="DS4" i="6"/>
  <c r="DR4" i="6"/>
  <c r="CZ23" i="6"/>
  <c r="CY23" i="6"/>
  <c r="CX23" i="6"/>
  <c r="DA23" i="6" s="1"/>
  <c r="CW23" i="6"/>
  <c r="CZ22" i="6"/>
  <c r="DA22" i="6" s="1"/>
  <c r="CY22" i="6"/>
  <c r="CX22" i="6"/>
  <c r="CW22" i="6"/>
  <c r="CZ17" i="6"/>
  <c r="CY17" i="6"/>
  <c r="CX17" i="6"/>
  <c r="DA17" i="6" s="1"/>
  <c r="CW17" i="6"/>
  <c r="CZ16" i="6"/>
  <c r="CY16" i="6"/>
  <c r="CX16" i="6"/>
  <c r="CW16" i="6"/>
  <c r="CZ21" i="6"/>
  <c r="CY21" i="6"/>
  <c r="CX21" i="6"/>
  <c r="DA21" i="6" s="1"/>
  <c r="CW21" i="6"/>
  <c r="CZ18" i="6"/>
  <c r="CY18" i="6"/>
  <c r="CX18" i="6"/>
  <c r="CW18" i="6"/>
  <c r="CZ20" i="6"/>
  <c r="CY20" i="6"/>
  <c r="CX20" i="6"/>
  <c r="CW20" i="6"/>
  <c r="CZ19" i="6"/>
  <c r="CY19" i="6"/>
  <c r="CX19" i="6"/>
  <c r="CW19" i="6"/>
  <c r="CZ15" i="6"/>
  <c r="CY15" i="6"/>
  <c r="CX15" i="6"/>
  <c r="CW15" i="6"/>
  <c r="CZ13" i="6"/>
  <c r="CY13" i="6"/>
  <c r="CX13" i="6"/>
  <c r="CW13" i="6"/>
  <c r="CZ14" i="6"/>
  <c r="CY14" i="6"/>
  <c r="CX14" i="6"/>
  <c r="CW14" i="6"/>
  <c r="CZ12" i="6"/>
  <c r="CY12" i="6"/>
  <c r="CX12" i="6"/>
  <c r="CW12" i="6"/>
  <c r="CZ11" i="6"/>
  <c r="CY11" i="6"/>
  <c r="CX11" i="6"/>
  <c r="DA11" i="6" s="1"/>
  <c r="CW11" i="6"/>
  <c r="CZ8" i="6"/>
  <c r="CY8" i="6"/>
  <c r="CX8" i="6"/>
  <c r="CW8" i="6"/>
  <c r="CZ7" i="6"/>
  <c r="CY7" i="6"/>
  <c r="CX7" i="6"/>
  <c r="CW7" i="6"/>
  <c r="CZ10" i="6"/>
  <c r="CY10" i="6"/>
  <c r="CX10" i="6"/>
  <c r="CW10" i="6"/>
  <c r="CZ6" i="6"/>
  <c r="CY6" i="6"/>
  <c r="CX6" i="6"/>
  <c r="DA6" i="6" s="1"/>
  <c r="CW6" i="6"/>
  <c r="CZ9" i="6"/>
  <c r="CY9" i="6"/>
  <c r="CX9" i="6"/>
  <c r="DA9" i="6" s="1"/>
  <c r="CW9" i="6"/>
  <c r="CZ5" i="6"/>
  <c r="CY5" i="6"/>
  <c r="CX5" i="6"/>
  <c r="CW5" i="6"/>
  <c r="CZ4" i="6"/>
  <c r="CY4" i="6"/>
  <c r="CX4" i="6"/>
  <c r="CW4" i="6"/>
  <c r="LB10" i="8"/>
  <c r="LA10" i="8"/>
  <c r="KZ10" i="8"/>
  <c r="LC10" i="8" s="1"/>
  <c r="KY10" i="8"/>
  <c r="LB9" i="8"/>
  <c r="LC9" i="8" s="1"/>
  <c r="LA9" i="8"/>
  <c r="KZ9" i="8"/>
  <c r="KY9" i="8"/>
  <c r="LB8" i="8"/>
  <c r="LA8" i="8"/>
  <c r="KZ8" i="8"/>
  <c r="LC8" i="8" s="1"/>
  <c r="KY8" i="8"/>
  <c r="LB7" i="8"/>
  <c r="LA7" i="8"/>
  <c r="KZ7" i="8"/>
  <c r="KY7" i="8"/>
  <c r="LB6" i="8"/>
  <c r="LA6" i="8"/>
  <c r="KZ6" i="8"/>
  <c r="LC6" i="8" s="1"/>
  <c r="KY6" i="8"/>
  <c r="LB5" i="8"/>
  <c r="LA5" i="8"/>
  <c r="KZ5" i="8"/>
  <c r="KY5" i="8"/>
  <c r="LB4" i="8"/>
  <c r="LA4" i="8"/>
  <c r="KZ4" i="8"/>
  <c r="KY4" i="8"/>
  <c r="KH10" i="8"/>
  <c r="KG10" i="8"/>
  <c r="KF10" i="8"/>
  <c r="KE10" i="8"/>
  <c r="KD10" i="8"/>
  <c r="KG9" i="8"/>
  <c r="KF9" i="8"/>
  <c r="KE9" i="8"/>
  <c r="KH9" i="8" s="1"/>
  <c r="KD9" i="8"/>
  <c r="KG8" i="8"/>
  <c r="KF8" i="8"/>
  <c r="KE8" i="8"/>
  <c r="KD8" i="8"/>
  <c r="KG7" i="8"/>
  <c r="KF7" i="8"/>
  <c r="KE7" i="8"/>
  <c r="KH7" i="8" s="1"/>
  <c r="KD7" i="8"/>
  <c r="KG6" i="8"/>
  <c r="KF6" i="8"/>
  <c r="KE6" i="8"/>
  <c r="KD6" i="8"/>
  <c r="KG5" i="8"/>
  <c r="KF5" i="8"/>
  <c r="KE5" i="8"/>
  <c r="KD5" i="8"/>
  <c r="KG4" i="8"/>
  <c r="KF4" i="8"/>
  <c r="KE4" i="8"/>
  <c r="KD4" i="8"/>
  <c r="JL10" i="8"/>
  <c r="JK10" i="8"/>
  <c r="JJ10" i="8"/>
  <c r="JM10" i="8" s="1"/>
  <c r="JI10" i="8"/>
  <c r="JL9" i="8"/>
  <c r="JK9" i="8"/>
  <c r="JJ9" i="8"/>
  <c r="JM9" i="8" s="1"/>
  <c r="JI9" i="8"/>
  <c r="JL8" i="8"/>
  <c r="JK8" i="8"/>
  <c r="JJ8" i="8"/>
  <c r="JM8" i="8" s="1"/>
  <c r="JI8" i="8"/>
  <c r="JL7" i="8"/>
  <c r="JK7" i="8"/>
  <c r="JJ7" i="8"/>
  <c r="JM7" i="8" s="1"/>
  <c r="JI7" i="8"/>
  <c r="JL6" i="8"/>
  <c r="JK6" i="8"/>
  <c r="JJ6" i="8"/>
  <c r="JM6" i="8" s="1"/>
  <c r="JI6" i="8"/>
  <c r="JL5" i="8"/>
  <c r="JK5" i="8"/>
  <c r="JJ5" i="8"/>
  <c r="JM5" i="8" s="1"/>
  <c r="JI5" i="8"/>
  <c r="JL4" i="8"/>
  <c r="JK4" i="8"/>
  <c r="JJ4" i="8"/>
  <c r="JI4" i="8"/>
  <c r="IQ10" i="8"/>
  <c r="IP10" i="8"/>
  <c r="IO10" i="8"/>
  <c r="IR10" i="8" s="1"/>
  <c r="IN10" i="8"/>
  <c r="IQ9" i="8"/>
  <c r="IP9" i="8"/>
  <c r="IO9" i="8"/>
  <c r="IN9" i="8"/>
  <c r="IQ8" i="8"/>
  <c r="IP8" i="8"/>
  <c r="IO8" i="8"/>
  <c r="IR8" i="8" s="1"/>
  <c r="IN8" i="8"/>
  <c r="IQ7" i="8"/>
  <c r="IP7" i="8"/>
  <c r="IO7" i="8"/>
  <c r="IR7" i="8" s="1"/>
  <c r="IN7" i="8"/>
  <c r="IQ6" i="8"/>
  <c r="IP6" i="8"/>
  <c r="IO6" i="8"/>
  <c r="IR6" i="8" s="1"/>
  <c r="IN6" i="8"/>
  <c r="IQ5" i="8"/>
  <c r="IP5" i="8"/>
  <c r="IO5" i="8"/>
  <c r="IN5" i="8"/>
  <c r="IQ4" i="8"/>
  <c r="IP4" i="8"/>
  <c r="IO4" i="8"/>
  <c r="IN4" i="8"/>
  <c r="HV10" i="8"/>
  <c r="HU10" i="8"/>
  <c r="HT10" i="8"/>
  <c r="HS10" i="8"/>
  <c r="HV9" i="8"/>
  <c r="HU9" i="8"/>
  <c r="HT9" i="8"/>
  <c r="HS9" i="8"/>
  <c r="HV8" i="8"/>
  <c r="HU8" i="8"/>
  <c r="HT8" i="8"/>
  <c r="HW8" i="8" s="1"/>
  <c r="HS8" i="8"/>
  <c r="HV7" i="8"/>
  <c r="HU7" i="8"/>
  <c r="HT7" i="8"/>
  <c r="HW7" i="8" s="1"/>
  <c r="HS7" i="8"/>
  <c r="HV6" i="8"/>
  <c r="HU6" i="8"/>
  <c r="HT6" i="8"/>
  <c r="HW6" i="8" s="1"/>
  <c r="HS6" i="8"/>
  <c r="HV5" i="8"/>
  <c r="HU5" i="8"/>
  <c r="HT5" i="8"/>
  <c r="HW5" i="8" s="1"/>
  <c r="HS5" i="8"/>
  <c r="HV4" i="8"/>
  <c r="HU4" i="8"/>
  <c r="HT4" i="8"/>
  <c r="HS4" i="8"/>
  <c r="HA10" i="8"/>
  <c r="GZ10" i="8"/>
  <c r="GY10" i="8"/>
  <c r="HB10" i="8" s="1"/>
  <c r="GX10" i="8"/>
  <c r="HA9" i="8"/>
  <c r="GZ9" i="8"/>
  <c r="GY9" i="8"/>
  <c r="GX9" i="8"/>
  <c r="HA8" i="8"/>
  <c r="GZ8" i="8"/>
  <c r="GY8" i="8"/>
  <c r="HB8" i="8" s="1"/>
  <c r="GX8" i="8"/>
  <c r="HA7" i="8"/>
  <c r="GZ7" i="8"/>
  <c r="GY7" i="8"/>
  <c r="HB7" i="8" s="1"/>
  <c r="GX7" i="8"/>
  <c r="HA6" i="8"/>
  <c r="GZ6" i="8"/>
  <c r="GY6" i="8"/>
  <c r="HB6" i="8" s="1"/>
  <c r="GX6" i="8"/>
  <c r="HA5" i="8"/>
  <c r="GZ5" i="8"/>
  <c r="GY5" i="8"/>
  <c r="HB5" i="8" s="1"/>
  <c r="GX5" i="8"/>
  <c r="HA4" i="8"/>
  <c r="GZ4" i="8"/>
  <c r="GY4" i="8"/>
  <c r="GX4" i="8"/>
  <c r="GF10" i="8"/>
  <c r="GE10" i="8"/>
  <c r="GD10" i="8"/>
  <c r="GG10" i="8" s="1"/>
  <c r="GC10" i="8"/>
  <c r="GF9" i="8"/>
  <c r="GE9" i="8"/>
  <c r="GD9" i="8"/>
  <c r="GC9" i="8"/>
  <c r="GF8" i="8"/>
  <c r="GE8" i="8"/>
  <c r="GD8" i="8"/>
  <c r="GG8" i="8" s="1"/>
  <c r="GC8" i="8"/>
  <c r="GF7" i="8"/>
  <c r="GE7" i="8"/>
  <c r="GD7" i="8"/>
  <c r="GG7" i="8" s="1"/>
  <c r="GC7" i="8"/>
  <c r="GF6" i="8"/>
  <c r="GE6" i="8"/>
  <c r="GD6" i="8"/>
  <c r="GC6" i="8"/>
  <c r="GF5" i="8"/>
  <c r="GE5" i="8"/>
  <c r="GD5" i="8"/>
  <c r="GC5" i="8"/>
  <c r="GF4" i="8"/>
  <c r="GG4" i="8" s="1"/>
  <c r="GE4" i="8"/>
  <c r="GD4" i="8"/>
  <c r="GC4" i="8"/>
  <c r="FK10" i="8"/>
  <c r="FJ10" i="8"/>
  <c r="FI10" i="8"/>
  <c r="FH10" i="8"/>
  <c r="FK9" i="8"/>
  <c r="FJ9" i="8"/>
  <c r="FI9" i="8"/>
  <c r="FH9" i="8"/>
  <c r="FK8" i="8"/>
  <c r="FJ8" i="8"/>
  <c r="FI8" i="8"/>
  <c r="FH8" i="8"/>
  <c r="FL7" i="8"/>
  <c r="FK7" i="8"/>
  <c r="FJ7" i="8"/>
  <c r="FI7" i="8"/>
  <c r="FH7" i="8"/>
  <c r="FK6" i="8"/>
  <c r="FJ6" i="8"/>
  <c r="FI6" i="8"/>
  <c r="FH6" i="8"/>
  <c r="FK5" i="8"/>
  <c r="FJ5" i="8"/>
  <c r="FI5" i="8"/>
  <c r="FH5" i="8"/>
  <c r="FK4" i="8"/>
  <c r="FJ4" i="8"/>
  <c r="FI4" i="8"/>
  <c r="FL4" i="8" s="1"/>
  <c r="FH4" i="8"/>
  <c r="EP10" i="8"/>
  <c r="EO10" i="8"/>
  <c r="EN10" i="8"/>
  <c r="EM10" i="8"/>
  <c r="EP9" i="8"/>
  <c r="EO9" i="8"/>
  <c r="EN9" i="8"/>
  <c r="EM9" i="8"/>
  <c r="EP8" i="8"/>
  <c r="EO8" i="8"/>
  <c r="EN8" i="8"/>
  <c r="EM8" i="8"/>
  <c r="EP7" i="8"/>
  <c r="EO7" i="8"/>
  <c r="EN7" i="8"/>
  <c r="EQ7" i="8" s="1"/>
  <c r="EM7" i="8"/>
  <c r="EP6" i="8"/>
  <c r="EO6" i="8"/>
  <c r="EN6" i="8"/>
  <c r="EM6" i="8"/>
  <c r="EP5" i="8"/>
  <c r="EO5" i="8"/>
  <c r="EN5" i="8"/>
  <c r="EQ5" i="8" s="1"/>
  <c r="EM5" i="8"/>
  <c r="EP4" i="8"/>
  <c r="EO4" i="8"/>
  <c r="EN4" i="8"/>
  <c r="EM4" i="8"/>
  <c r="DU10" i="8"/>
  <c r="DT10" i="8"/>
  <c r="DS10" i="8"/>
  <c r="DV10" i="8" s="1"/>
  <c r="DR10" i="8"/>
  <c r="DU9" i="8"/>
  <c r="DT9" i="8"/>
  <c r="DS9" i="8"/>
  <c r="DR9" i="8"/>
  <c r="DU8" i="8"/>
  <c r="DT8" i="8"/>
  <c r="DS8" i="8"/>
  <c r="DV8" i="8" s="1"/>
  <c r="DR8" i="8"/>
  <c r="DU7" i="8"/>
  <c r="DT7" i="8"/>
  <c r="DS7" i="8"/>
  <c r="DV7" i="8" s="1"/>
  <c r="DR7" i="8"/>
  <c r="DU6" i="8"/>
  <c r="DT6" i="8"/>
  <c r="DS6" i="8"/>
  <c r="DR6" i="8"/>
  <c r="DU5" i="8"/>
  <c r="DT5" i="8"/>
  <c r="DS5" i="8"/>
  <c r="DV5" i="8" s="1"/>
  <c r="DR5" i="8"/>
  <c r="DU4" i="8"/>
  <c r="DT4" i="8"/>
  <c r="DS4" i="8"/>
  <c r="DR4" i="8"/>
  <c r="CZ10" i="8"/>
  <c r="CY10" i="8"/>
  <c r="CX10" i="8"/>
  <c r="DA10" i="8" s="1"/>
  <c r="CW10" i="8"/>
  <c r="CZ9" i="8"/>
  <c r="CY9" i="8"/>
  <c r="CX9" i="8"/>
  <c r="DA9" i="8" s="1"/>
  <c r="CW9" i="8"/>
  <c r="CZ8" i="8"/>
  <c r="CY8" i="8"/>
  <c r="CX8" i="8"/>
  <c r="CW8" i="8"/>
  <c r="CZ7" i="8"/>
  <c r="CY7" i="8"/>
  <c r="CX7" i="8"/>
  <c r="DA7" i="8" s="1"/>
  <c r="CW7" i="8"/>
  <c r="CZ6" i="8"/>
  <c r="CY6" i="8"/>
  <c r="CX6" i="8"/>
  <c r="DA6" i="8" s="1"/>
  <c r="CW6" i="8"/>
  <c r="CZ5" i="8"/>
  <c r="CY5" i="8"/>
  <c r="CX5" i="8"/>
  <c r="DA5" i="8" s="1"/>
  <c r="CW5" i="8"/>
  <c r="CZ4" i="8"/>
  <c r="CY4" i="8"/>
  <c r="CX4" i="8"/>
  <c r="CW4" i="8"/>
  <c r="LB10" i="7"/>
  <c r="LA10" i="7"/>
  <c r="KZ10" i="7"/>
  <c r="LC10" i="7" s="1"/>
  <c r="KY10" i="7"/>
  <c r="LB9" i="7"/>
  <c r="LA9" i="7"/>
  <c r="KZ9" i="7"/>
  <c r="KY9" i="7"/>
  <c r="LB8" i="7"/>
  <c r="LA8" i="7"/>
  <c r="KZ8" i="7"/>
  <c r="LC8" i="7" s="1"/>
  <c r="KY8" i="7"/>
  <c r="LB7" i="7"/>
  <c r="LA7" i="7"/>
  <c r="KZ7" i="7"/>
  <c r="LC7" i="7" s="1"/>
  <c r="KY7" i="7"/>
  <c r="LB6" i="7"/>
  <c r="LA6" i="7"/>
  <c r="KZ6" i="7"/>
  <c r="KY6" i="7"/>
  <c r="LB5" i="7"/>
  <c r="LA5" i="7"/>
  <c r="KZ5" i="7"/>
  <c r="KY5" i="7"/>
  <c r="LB4" i="7"/>
  <c r="LA4" i="7"/>
  <c r="KZ4" i="7"/>
  <c r="KY4" i="7"/>
  <c r="KG10" i="7"/>
  <c r="KF10" i="7"/>
  <c r="KE10" i="7"/>
  <c r="KD10" i="7"/>
  <c r="KG9" i="7"/>
  <c r="KF9" i="7"/>
  <c r="KE9" i="7"/>
  <c r="KH9" i="7" s="1"/>
  <c r="KD9" i="7"/>
  <c r="KG8" i="7"/>
  <c r="KF8" i="7"/>
  <c r="KE8" i="7"/>
  <c r="KH8" i="7" s="1"/>
  <c r="KD8" i="7"/>
  <c r="KG7" i="7"/>
  <c r="KF7" i="7"/>
  <c r="KE7" i="7"/>
  <c r="KH7" i="7" s="1"/>
  <c r="KD7" i="7"/>
  <c r="KG6" i="7"/>
  <c r="KF6" i="7"/>
  <c r="KE6" i="7"/>
  <c r="KD6" i="7"/>
  <c r="KG5" i="7"/>
  <c r="KF5" i="7"/>
  <c r="KE5" i="7"/>
  <c r="KH5" i="7" s="1"/>
  <c r="KD5" i="7"/>
  <c r="KG4" i="7"/>
  <c r="KF4" i="7"/>
  <c r="KE4" i="7"/>
  <c r="KD4" i="7"/>
  <c r="JL10" i="7"/>
  <c r="JK10" i="7"/>
  <c r="JJ10" i="7"/>
  <c r="JM10" i="7" s="1"/>
  <c r="JI10" i="7"/>
  <c r="JL9" i="7"/>
  <c r="JM9" i="7" s="1"/>
  <c r="JK9" i="7"/>
  <c r="JJ9" i="7"/>
  <c r="JI9" i="7"/>
  <c r="JL8" i="7"/>
  <c r="JK8" i="7"/>
  <c r="JJ8" i="7"/>
  <c r="JM8" i="7" s="1"/>
  <c r="JI8" i="7"/>
  <c r="JL7" i="7"/>
  <c r="JM7" i="7" s="1"/>
  <c r="JK7" i="7"/>
  <c r="JJ7" i="7"/>
  <c r="JI7" i="7"/>
  <c r="JL6" i="7"/>
  <c r="JK6" i="7"/>
  <c r="JJ6" i="7"/>
  <c r="JI6" i="7"/>
  <c r="JL5" i="7"/>
  <c r="JK5" i="7"/>
  <c r="JJ5" i="7"/>
  <c r="JI5" i="7"/>
  <c r="JL4" i="7"/>
  <c r="JM4" i="7" s="1"/>
  <c r="JK4" i="7"/>
  <c r="JJ4" i="7"/>
  <c r="JI4" i="7"/>
  <c r="IQ10" i="7"/>
  <c r="IO10" i="7"/>
  <c r="IN10" i="7"/>
  <c r="IQ9" i="7"/>
  <c r="IO9" i="7"/>
  <c r="IR9" i="7" s="1"/>
  <c r="IN9" i="7"/>
  <c r="IQ8" i="7"/>
  <c r="IO8" i="7"/>
  <c r="IR8" i="7" s="1"/>
  <c r="IN8" i="7"/>
  <c r="IQ7" i="7"/>
  <c r="IO7" i="7"/>
  <c r="IN7" i="7"/>
  <c r="IQ6" i="7"/>
  <c r="IO6" i="7"/>
  <c r="IN6" i="7"/>
  <c r="IQ5" i="7"/>
  <c r="IP5" i="7"/>
  <c r="IO5" i="7"/>
  <c r="IN5" i="7"/>
  <c r="IQ4" i="7"/>
  <c r="IO4" i="7"/>
  <c r="IR4" i="7" s="1"/>
  <c r="IN4" i="7"/>
  <c r="HV10" i="7"/>
  <c r="HU10" i="7"/>
  <c r="HT10" i="7"/>
  <c r="HS10" i="7"/>
  <c r="HV9" i="7"/>
  <c r="HU9" i="7"/>
  <c r="HT9" i="7"/>
  <c r="HS9" i="7"/>
  <c r="HV8" i="7"/>
  <c r="HU8" i="7"/>
  <c r="HT8" i="7"/>
  <c r="HS8" i="7"/>
  <c r="HW7" i="7"/>
  <c r="HV7" i="7"/>
  <c r="HU7" i="7"/>
  <c r="HT7" i="7"/>
  <c r="HS7" i="7"/>
  <c r="HV6" i="7"/>
  <c r="HU6" i="7"/>
  <c r="HT6" i="7"/>
  <c r="HS6" i="7"/>
  <c r="HV5" i="7"/>
  <c r="HU5" i="7"/>
  <c r="HT5" i="7"/>
  <c r="HS5" i="7"/>
  <c r="HV4" i="7"/>
  <c r="HU4" i="7"/>
  <c r="HT4" i="7"/>
  <c r="HS4" i="7"/>
  <c r="HA10" i="7"/>
  <c r="GZ10" i="7"/>
  <c r="GY10" i="7"/>
  <c r="GX10" i="7"/>
  <c r="HA9" i="7"/>
  <c r="GZ9" i="7"/>
  <c r="GY9" i="7"/>
  <c r="GX9" i="7"/>
  <c r="HA8" i="7"/>
  <c r="GZ8" i="7"/>
  <c r="GY8" i="7"/>
  <c r="GX8" i="7"/>
  <c r="HA7" i="7"/>
  <c r="HB7" i="7" s="1"/>
  <c r="GZ7" i="7"/>
  <c r="GY7" i="7"/>
  <c r="GX7" i="7"/>
  <c r="HA6" i="7"/>
  <c r="GZ6" i="7"/>
  <c r="GY6" i="7"/>
  <c r="GX6" i="7"/>
  <c r="HA5" i="7"/>
  <c r="GZ5" i="7"/>
  <c r="GY5" i="7"/>
  <c r="GX5" i="7"/>
  <c r="HA4" i="7"/>
  <c r="HB4" i="7" s="1"/>
  <c r="GZ4" i="7"/>
  <c r="GY4" i="7"/>
  <c r="GX4" i="7"/>
  <c r="GF10" i="7"/>
  <c r="GE10" i="7"/>
  <c r="GD10" i="7"/>
  <c r="GC10" i="7"/>
  <c r="GF9" i="7"/>
  <c r="GE9" i="7"/>
  <c r="GD9" i="7"/>
  <c r="GC9" i="7"/>
  <c r="GF8" i="7"/>
  <c r="GE8" i="7"/>
  <c r="GD8" i="7"/>
  <c r="GC8" i="7"/>
  <c r="GF7" i="7"/>
  <c r="GG7" i="7" s="1"/>
  <c r="GE7" i="7"/>
  <c r="GD7" i="7"/>
  <c r="GC7" i="7"/>
  <c r="GF6" i="7"/>
  <c r="GE6" i="7"/>
  <c r="GD6" i="7"/>
  <c r="GC6" i="7"/>
  <c r="GF5" i="7"/>
  <c r="GE5" i="7"/>
  <c r="GD5" i="7"/>
  <c r="GC5" i="7"/>
  <c r="GF4" i="7"/>
  <c r="GE4" i="7"/>
  <c r="GD4" i="7"/>
  <c r="GC4" i="7"/>
  <c r="FK10" i="7"/>
  <c r="FJ10" i="7"/>
  <c r="FI10" i="7"/>
  <c r="FH10" i="7"/>
  <c r="FK9" i="7"/>
  <c r="FJ9" i="7"/>
  <c r="FI9" i="7"/>
  <c r="FH9" i="7"/>
  <c r="FK8" i="7"/>
  <c r="FJ8" i="7"/>
  <c r="FI8" i="7"/>
  <c r="FH8" i="7"/>
  <c r="FK7" i="7"/>
  <c r="FJ7" i="7"/>
  <c r="FI7" i="7"/>
  <c r="FL7" i="7" s="1"/>
  <c r="FH7" i="7"/>
  <c r="FK6" i="7"/>
  <c r="FJ6" i="7"/>
  <c r="FI6" i="7"/>
  <c r="FH6" i="7"/>
  <c r="FK5" i="7"/>
  <c r="FJ5" i="7"/>
  <c r="FI5" i="7"/>
  <c r="FL5" i="7" s="1"/>
  <c r="FH5" i="7"/>
  <c r="FK4" i="7"/>
  <c r="FJ4" i="7"/>
  <c r="FI4" i="7"/>
  <c r="FH4" i="7"/>
  <c r="EP10" i="7"/>
  <c r="EO10" i="7"/>
  <c r="EN10" i="7"/>
  <c r="EQ10" i="7" s="1"/>
  <c r="EM10" i="7"/>
  <c r="EP9" i="7"/>
  <c r="EO9" i="7"/>
  <c r="EN9" i="7"/>
  <c r="EM9" i="7"/>
  <c r="EP8" i="7"/>
  <c r="EO8" i="7"/>
  <c r="EN8" i="7"/>
  <c r="EM8" i="7"/>
  <c r="EQ7" i="7"/>
  <c r="EP7" i="7"/>
  <c r="EO7" i="7"/>
  <c r="EN7" i="7"/>
  <c r="EM7" i="7"/>
  <c r="EP6" i="7"/>
  <c r="EO6" i="7"/>
  <c r="EN6" i="7"/>
  <c r="EQ6" i="7" s="1"/>
  <c r="EM6" i="7"/>
  <c r="EP5" i="7"/>
  <c r="EO5" i="7"/>
  <c r="EN5" i="7"/>
  <c r="EM5" i="7"/>
  <c r="EP4" i="7"/>
  <c r="EO4" i="7"/>
  <c r="EN4" i="7"/>
  <c r="EM4" i="7"/>
  <c r="DU10" i="7"/>
  <c r="DT10" i="7"/>
  <c r="DS10" i="7"/>
  <c r="DR10" i="7"/>
  <c r="DU9" i="7"/>
  <c r="DT9" i="7"/>
  <c r="DS9" i="7"/>
  <c r="DV9" i="7" s="1"/>
  <c r="DR9" i="7"/>
  <c r="DU8" i="7"/>
  <c r="DT8" i="7"/>
  <c r="DS8" i="7"/>
  <c r="DR8" i="7"/>
  <c r="DU7" i="7"/>
  <c r="DV7" i="7" s="1"/>
  <c r="DT7" i="7"/>
  <c r="DS7" i="7"/>
  <c r="DR7" i="7"/>
  <c r="DU6" i="7"/>
  <c r="DT6" i="7"/>
  <c r="DS6" i="7"/>
  <c r="DR6" i="7"/>
  <c r="DU5" i="7"/>
  <c r="DT5" i="7"/>
  <c r="DS5" i="7"/>
  <c r="DR5" i="7"/>
  <c r="DU4" i="7"/>
  <c r="DT4" i="7"/>
  <c r="DS4" i="7"/>
  <c r="DR4" i="7"/>
  <c r="CZ10" i="7"/>
  <c r="CY10" i="7"/>
  <c r="CX10" i="7"/>
  <c r="CW10" i="7"/>
  <c r="CZ9" i="7"/>
  <c r="CY9" i="7"/>
  <c r="CX9" i="7"/>
  <c r="CW9" i="7"/>
  <c r="CZ8" i="7"/>
  <c r="CY8" i="7"/>
  <c r="CX8" i="7"/>
  <c r="CW8" i="7"/>
  <c r="CZ7" i="7"/>
  <c r="CY7" i="7"/>
  <c r="CX7" i="7"/>
  <c r="CW7" i="7"/>
  <c r="CZ6" i="7"/>
  <c r="CY6" i="7"/>
  <c r="CX6" i="7"/>
  <c r="CW6" i="7"/>
  <c r="CZ5" i="7"/>
  <c r="CY5" i="7"/>
  <c r="CX5" i="7"/>
  <c r="CW5" i="7"/>
  <c r="CZ4" i="7"/>
  <c r="CY4" i="7"/>
  <c r="CX4" i="7"/>
  <c r="CW4" i="7"/>
  <c r="MR22" i="14"/>
  <c r="MQ22" i="14"/>
  <c r="MO22" i="14"/>
  <c r="MN22" i="14"/>
  <c r="MP22" i="14" s="1"/>
  <c r="MS22" i="14" s="1"/>
  <c r="MM22" i="14"/>
  <c r="MR21" i="14"/>
  <c r="MQ21" i="14"/>
  <c r="MO21" i="14"/>
  <c r="MN21" i="14"/>
  <c r="MM21" i="14"/>
  <c r="MR20" i="14"/>
  <c r="MQ20" i="14"/>
  <c r="MO20" i="14"/>
  <c r="MN20" i="14"/>
  <c r="MM20" i="14"/>
  <c r="MR19" i="14"/>
  <c r="MQ19" i="14"/>
  <c r="MO19" i="14"/>
  <c r="MN19" i="14"/>
  <c r="MP19" i="14" s="1"/>
  <c r="MS19" i="14" s="1"/>
  <c r="MM19" i="14"/>
  <c r="MR18" i="14"/>
  <c r="MQ18" i="14"/>
  <c r="MO18" i="14"/>
  <c r="MN18" i="14"/>
  <c r="MM18" i="14"/>
  <c r="MR17" i="14"/>
  <c r="MQ17" i="14"/>
  <c r="MO17" i="14"/>
  <c r="MN17" i="14"/>
  <c r="MM17" i="14"/>
  <c r="MR16" i="14"/>
  <c r="MQ16" i="14"/>
  <c r="MO16" i="14"/>
  <c r="MN16" i="14"/>
  <c r="MM16" i="14"/>
  <c r="MR15" i="14"/>
  <c r="MQ15" i="14"/>
  <c r="MO15" i="14"/>
  <c r="MN15" i="14"/>
  <c r="MM15" i="14"/>
  <c r="MR14" i="14"/>
  <c r="MQ14" i="14"/>
  <c r="MO14" i="14"/>
  <c r="MN14" i="14"/>
  <c r="MP14" i="14" s="1"/>
  <c r="MS14" i="14" s="1"/>
  <c r="MM14" i="14"/>
  <c r="MR13" i="14"/>
  <c r="MQ13" i="14"/>
  <c r="MO13" i="14"/>
  <c r="MN13" i="14"/>
  <c r="MM13" i="14"/>
  <c r="MR12" i="14"/>
  <c r="MQ12" i="14"/>
  <c r="MO12" i="14"/>
  <c r="MN12" i="14"/>
  <c r="MP12" i="14" s="1"/>
  <c r="MS12" i="14" s="1"/>
  <c r="MM12" i="14"/>
  <c r="MR11" i="14"/>
  <c r="MQ11" i="14"/>
  <c r="MO11" i="14"/>
  <c r="MN11" i="14"/>
  <c r="MM11" i="14"/>
  <c r="MR10" i="14"/>
  <c r="MQ10" i="14"/>
  <c r="MO10" i="14"/>
  <c r="MN10" i="14"/>
  <c r="MM10" i="14"/>
  <c r="MR9" i="14"/>
  <c r="MQ9" i="14"/>
  <c r="MO9" i="14"/>
  <c r="MN9" i="14"/>
  <c r="MM9" i="14"/>
  <c r="MR8" i="14"/>
  <c r="MQ8" i="14"/>
  <c r="MO8" i="14"/>
  <c r="MN8" i="14"/>
  <c r="MM8" i="14"/>
  <c r="MR7" i="14"/>
  <c r="MQ7" i="14"/>
  <c r="MO7" i="14"/>
  <c r="MN7" i="14"/>
  <c r="MM7" i="14"/>
  <c r="MR5" i="14"/>
  <c r="MQ5" i="14"/>
  <c r="MO5" i="14"/>
  <c r="MN5" i="14"/>
  <c r="MP5" i="14" s="1"/>
  <c r="MM5" i="14"/>
  <c r="MR6" i="14"/>
  <c r="MQ6" i="14"/>
  <c r="MO6" i="14"/>
  <c r="MN6" i="14"/>
  <c r="MM6" i="14"/>
  <c r="MR4" i="14"/>
  <c r="MQ4" i="14"/>
  <c r="MO4" i="14"/>
  <c r="MN4" i="14"/>
  <c r="MP4" i="14" s="1"/>
  <c r="MS4" i="14" s="1"/>
  <c r="MM4" i="14"/>
  <c r="LV22" i="14"/>
  <c r="LU22" i="14"/>
  <c r="LS22" i="14"/>
  <c r="LR22" i="14"/>
  <c r="LQ22" i="14"/>
  <c r="LV21" i="14"/>
  <c r="LU21" i="14"/>
  <c r="LS21" i="14"/>
  <c r="LR21" i="14"/>
  <c r="LQ21" i="14"/>
  <c r="LV20" i="14"/>
  <c r="LU20" i="14"/>
  <c r="LS20" i="14"/>
  <c r="LR20" i="14"/>
  <c r="LQ20" i="14"/>
  <c r="LV19" i="14"/>
  <c r="LU19" i="14"/>
  <c r="LS19" i="14"/>
  <c r="LR19" i="14"/>
  <c r="LQ19" i="14"/>
  <c r="LV18" i="14"/>
  <c r="LU18" i="14"/>
  <c r="LS18" i="14"/>
  <c r="LR18" i="14"/>
  <c r="LQ18" i="14"/>
  <c r="LV17" i="14"/>
  <c r="LU17" i="14"/>
  <c r="LS17" i="14"/>
  <c r="LR17" i="14"/>
  <c r="LT17" i="14" s="1"/>
  <c r="LW17" i="14" s="1"/>
  <c r="LQ17" i="14"/>
  <c r="LV16" i="14"/>
  <c r="LU16" i="14"/>
  <c r="LS16" i="14"/>
  <c r="LR16" i="14"/>
  <c r="LQ16" i="14"/>
  <c r="LV15" i="14"/>
  <c r="LU15" i="14"/>
  <c r="LS15" i="14"/>
  <c r="LR15" i="14"/>
  <c r="LT15" i="14" s="1"/>
  <c r="LW15" i="14" s="1"/>
  <c r="LQ15" i="14"/>
  <c r="LV14" i="14"/>
  <c r="LU14" i="14"/>
  <c r="LS14" i="14"/>
  <c r="LR14" i="14"/>
  <c r="LT14" i="14" s="1"/>
  <c r="LW14" i="14" s="1"/>
  <c r="LQ14" i="14"/>
  <c r="LV13" i="14"/>
  <c r="LU13" i="14"/>
  <c r="LS13" i="14"/>
  <c r="LR13" i="14"/>
  <c r="LT13" i="14" s="1"/>
  <c r="LQ13" i="14"/>
  <c r="LV12" i="14"/>
  <c r="LU12" i="14"/>
  <c r="LS12" i="14"/>
  <c r="LR12" i="14"/>
  <c r="LQ12" i="14"/>
  <c r="LV11" i="14"/>
  <c r="LU11" i="14"/>
  <c r="LS11" i="14"/>
  <c r="LR11" i="14"/>
  <c r="LT11" i="14" s="1"/>
  <c r="LW11" i="14" s="1"/>
  <c r="LQ11" i="14"/>
  <c r="LV10" i="14"/>
  <c r="LU10" i="14"/>
  <c r="LS10" i="14"/>
  <c r="LR10" i="14"/>
  <c r="LQ10" i="14"/>
  <c r="LV9" i="14"/>
  <c r="LU9" i="14"/>
  <c r="LS9" i="14"/>
  <c r="LR9" i="14"/>
  <c r="LT9" i="14" s="1"/>
  <c r="LW9" i="14" s="1"/>
  <c r="LQ9" i="14"/>
  <c r="LV8" i="14"/>
  <c r="LU8" i="14"/>
  <c r="LS8" i="14"/>
  <c r="LT8" i="14" s="1"/>
  <c r="LR8" i="14"/>
  <c r="LQ8" i="14"/>
  <c r="LV7" i="14"/>
  <c r="LU7" i="14"/>
  <c r="LS7" i="14"/>
  <c r="LR7" i="14"/>
  <c r="LQ7" i="14"/>
  <c r="LV5" i="14"/>
  <c r="LU5" i="14"/>
  <c r="LS5" i="14"/>
  <c r="LR5" i="14"/>
  <c r="LT5" i="14" s="1"/>
  <c r="LW5" i="14" s="1"/>
  <c r="LQ5" i="14"/>
  <c r="LV6" i="14"/>
  <c r="LU6" i="14"/>
  <c r="LS6" i="14"/>
  <c r="LR6" i="14"/>
  <c r="LQ6" i="14"/>
  <c r="LV4" i="14"/>
  <c r="LU4" i="14"/>
  <c r="LS4" i="14"/>
  <c r="LR4" i="14"/>
  <c r="LQ4" i="14"/>
  <c r="KZ22" i="14"/>
  <c r="KY22" i="14"/>
  <c r="KW22" i="14"/>
  <c r="KV22" i="14"/>
  <c r="KU22" i="14"/>
  <c r="KZ21" i="14"/>
  <c r="KY21" i="14"/>
  <c r="KW21" i="14"/>
  <c r="KV21" i="14"/>
  <c r="KU21" i="14"/>
  <c r="KZ20" i="14"/>
  <c r="KY20" i="14"/>
  <c r="KW20" i="14"/>
  <c r="KV20" i="14"/>
  <c r="KU20" i="14"/>
  <c r="KZ19" i="14"/>
  <c r="KY19" i="14"/>
  <c r="KW19" i="14"/>
  <c r="KV19" i="14"/>
  <c r="KU19" i="14"/>
  <c r="KZ18" i="14"/>
  <c r="KY18" i="14"/>
  <c r="KW18" i="14"/>
  <c r="KV18" i="14"/>
  <c r="KU18" i="14"/>
  <c r="KZ17" i="14"/>
  <c r="KY17" i="14"/>
  <c r="KW17" i="14"/>
  <c r="KV17" i="14"/>
  <c r="KX17" i="14" s="1"/>
  <c r="LA17" i="14" s="1"/>
  <c r="KU17" i="14"/>
  <c r="KZ16" i="14"/>
  <c r="KY16" i="14"/>
  <c r="KW16" i="14"/>
  <c r="KV16" i="14"/>
  <c r="KU16" i="14"/>
  <c r="KZ15" i="14"/>
  <c r="KY15" i="14"/>
  <c r="KW15" i="14"/>
  <c r="KV15" i="14"/>
  <c r="KU15" i="14"/>
  <c r="KZ14" i="14"/>
  <c r="KY14" i="14"/>
  <c r="KW14" i="14"/>
  <c r="KV14" i="14"/>
  <c r="KU14" i="14"/>
  <c r="KZ13" i="14"/>
  <c r="KY13" i="14"/>
  <c r="KW13" i="14"/>
  <c r="KV13" i="14"/>
  <c r="KU13" i="14"/>
  <c r="KZ12" i="14"/>
  <c r="KY12" i="14"/>
  <c r="KW12" i="14"/>
  <c r="KV12" i="14"/>
  <c r="KU12" i="14"/>
  <c r="KZ11" i="14"/>
  <c r="KY11" i="14"/>
  <c r="KW11" i="14"/>
  <c r="KV11" i="14"/>
  <c r="KU11" i="14"/>
  <c r="KZ10" i="14"/>
  <c r="KY10" i="14"/>
  <c r="KW10" i="14"/>
  <c r="KV10" i="14"/>
  <c r="KU10" i="14"/>
  <c r="KZ9" i="14"/>
  <c r="KY9" i="14"/>
  <c r="KW9" i="14"/>
  <c r="KV9" i="14"/>
  <c r="KU9" i="14"/>
  <c r="KZ8" i="14"/>
  <c r="KY8" i="14"/>
  <c r="KW8" i="14"/>
  <c r="KV8" i="14"/>
  <c r="KU8" i="14"/>
  <c r="KZ7" i="14"/>
  <c r="KY7" i="14"/>
  <c r="KW7" i="14"/>
  <c r="KV7" i="14"/>
  <c r="KU7" i="14"/>
  <c r="KZ5" i="14"/>
  <c r="KY5" i="14"/>
  <c r="KW5" i="14"/>
  <c r="KV5" i="14"/>
  <c r="KU5" i="14"/>
  <c r="KZ6" i="14"/>
  <c r="KY6" i="14"/>
  <c r="KW6" i="14"/>
  <c r="KV6" i="14"/>
  <c r="KU6" i="14"/>
  <c r="KZ4" i="14"/>
  <c r="KY4" i="14"/>
  <c r="KW4" i="14"/>
  <c r="KV4" i="14"/>
  <c r="KU4" i="14"/>
  <c r="KD22" i="14"/>
  <c r="KC22" i="14"/>
  <c r="KA22" i="14"/>
  <c r="JZ22" i="14"/>
  <c r="JY22" i="14"/>
  <c r="KD21" i="14"/>
  <c r="KC21" i="14"/>
  <c r="KA21" i="14"/>
  <c r="JZ21" i="14"/>
  <c r="JY21" i="14"/>
  <c r="KD20" i="14"/>
  <c r="KC20" i="14"/>
  <c r="KA20" i="14"/>
  <c r="JZ20" i="14"/>
  <c r="JY20" i="14"/>
  <c r="KD19" i="14"/>
  <c r="KC19" i="14"/>
  <c r="KA19" i="14"/>
  <c r="JZ19" i="14"/>
  <c r="JY19" i="14"/>
  <c r="KD18" i="14"/>
  <c r="KC18" i="14"/>
  <c r="KA18" i="14"/>
  <c r="JZ18" i="14"/>
  <c r="JY18" i="14"/>
  <c r="KD17" i="14"/>
  <c r="KC17" i="14"/>
  <c r="KA17" i="14"/>
  <c r="JZ17" i="14"/>
  <c r="JY17" i="14"/>
  <c r="KD16" i="14"/>
  <c r="KC16" i="14"/>
  <c r="KA16" i="14"/>
  <c r="JZ16" i="14"/>
  <c r="JY16" i="14"/>
  <c r="KD15" i="14"/>
  <c r="KC15" i="14"/>
  <c r="KA15" i="14"/>
  <c r="JZ15" i="14"/>
  <c r="JY15" i="14"/>
  <c r="KD14" i="14"/>
  <c r="KC14" i="14"/>
  <c r="KA14" i="14"/>
  <c r="JZ14" i="14"/>
  <c r="JY14" i="14"/>
  <c r="KD13" i="14"/>
  <c r="KC13" i="14"/>
  <c r="KA13" i="14"/>
  <c r="JZ13" i="14"/>
  <c r="JY13" i="14"/>
  <c r="KD12" i="14"/>
  <c r="KC12" i="14"/>
  <c r="KA12" i="14"/>
  <c r="JZ12" i="14"/>
  <c r="JY12" i="14"/>
  <c r="KD11" i="14"/>
  <c r="KC11" i="14"/>
  <c r="KA11" i="14"/>
  <c r="KB11" i="14" s="1"/>
  <c r="KE11" i="14" s="1"/>
  <c r="JZ11" i="14"/>
  <c r="JY11" i="14"/>
  <c r="KD10" i="14"/>
  <c r="KC10" i="14"/>
  <c r="KA10" i="14"/>
  <c r="JZ10" i="14"/>
  <c r="JY10" i="14"/>
  <c r="KD9" i="14"/>
  <c r="KC9" i="14"/>
  <c r="KA9" i="14"/>
  <c r="JZ9" i="14"/>
  <c r="JY9" i="14"/>
  <c r="KD8" i="14"/>
  <c r="KC8" i="14"/>
  <c r="KA8" i="14"/>
  <c r="JZ8" i="14"/>
  <c r="JY8" i="14"/>
  <c r="KD7" i="14"/>
  <c r="KC7" i="14"/>
  <c r="KA7" i="14"/>
  <c r="JZ7" i="14"/>
  <c r="JY7" i="14"/>
  <c r="KD5" i="14"/>
  <c r="KC5" i="14"/>
  <c r="KA5" i="14"/>
  <c r="JZ5" i="14"/>
  <c r="KB5" i="14" s="1"/>
  <c r="JY5" i="14"/>
  <c r="KD6" i="14"/>
  <c r="KC6" i="14"/>
  <c r="KA6" i="14"/>
  <c r="JZ6" i="14"/>
  <c r="JY6" i="14"/>
  <c r="KD4" i="14"/>
  <c r="KC4" i="14"/>
  <c r="KA4" i="14"/>
  <c r="JZ4" i="14"/>
  <c r="JY4" i="14"/>
  <c r="JH22" i="14"/>
  <c r="JG22" i="14"/>
  <c r="JE22" i="14"/>
  <c r="JD22" i="14"/>
  <c r="JC22" i="14"/>
  <c r="JH21" i="14"/>
  <c r="JG21" i="14"/>
  <c r="JE21" i="14"/>
  <c r="JD21" i="14"/>
  <c r="JC21" i="14"/>
  <c r="JH20" i="14"/>
  <c r="JG20" i="14"/>
  <c r="JE20" i="14"/>
  <c r="JD20" i="14"/>
  <c r="JF20" i="14" s="1"/>
  <c r="JC20" i="14"/>
  <c r="JH19" i="14"/>
  <c r="JG19" i="14"/>
  <c r="JE19" i="14"/>
  <c r="JD19" i="14"/>
  <c r="JC19" i="14"/>
  <c r="JH18" i="14"/>
  <c r="JG18" i="14"/>
  <c r="JE18" i="14"/>
  <c r="JD18" i="14"/>
  <c r="JC18" i="14"/>
  <c r="JH17" i="14"/>
  <c r="JG17" i="14"/>
  <c r="JE17" i="14"/>
  <c r="JD17" i="14"/>
  <c r="JC17" i="14"/>
  <c r="JH16" i="14"/>
  <c r="JG16" i="14"/>
  <c r="JE16" i="14"/>
  <c r="JD16" i="14"/>
  <c r="JC16" i="14"/>
  <c r="JH15" i="14"/>
  <c r="JG15" i="14"/>
  <c r="JE15" i="14"/>
  <c r="JD15" i="14"/>
  <c r="JC15" i="14"/>
  <c r="JH14" i="14"/>
  <c r="JG14" i="14"/>
  <c r="JE14" i="14"/>
  <c r="JD14" i="14"/>
  <c r="JC14" i="14"/>
  <c r="JH13" i="14"/>
  <c r="JG13" i="14"/>
  <c r="JE13" i="14"/>
  <c r="JD13" i="14"/>
  <c r="JC13" i="14"/>
  <c r="JH12" i="14"/>
  <c r="JG12" i="14"/>
  <c r="JE12" i="14"/>
  <c r="JD12" i="14"/>
  <c r="JF12" i="14" s="1"/>
  <c r="JC12" i="14"/>
  <c r="JH11" i="14"/>
  <c r="JG11" i="14"/>
  <c r="JE11" i="14"/>
  <c r="JD11" i="14"/>
  <c r="JC11" i="14"/>
  <c r="JH10" i="14"/>
  <c r="JG10" i="14"/>
  <c r="JE10" i="14"/>
  <c r="JD10" i="14"/>
  <c r="JC10" i="14"/>
  <c r="JH9" i="14"/>
  <c r="JG9" i="14"/>
  <c r="JE9" i="14"/>
  <c r="JD9" i="14"/>
  <c r="JC9" i="14"/>
  <c r="JH8" i="14"/>
  <c r="JG8" i="14"/>
  <c r="JE8" i="14"/>
  <c r="JD8" i="14"/>
  <c r="JC8" i="14"/>
  <c r="JH7" i="14"/>
  <c r="JG7" i="14"/>
  <c r="JE7" i="14"/>
  <c r="JD7" i="14"/>
  <c r="JC7" i="14"/>
  <c r="JH5" i="14"/>
  <c r="JG5" i="14"/>
  <c r="JE5" i="14"/>
  <c r="JD5" i="14"/>
  <c r="JC5" i="14"/>
  <c r="JH6" i="14"/>
  <c r="JG6" i="14"/>
  <c r="JE6" i="14"/>
  <c r="JD6" i="14"/>
  <c r="JC6" i="14"/>
  <c r="JH4" i="14"/>
  <c r="JG4" i="14"/>
  <c r="JE4" i="14"/>
  <c r="JD4" i="14"/>
  <c r="JF4" i="14" s="1"/>
  <c r="JC4" i="14"/>
  <c r="IL22" i="14"/>
  <c r="IK22" i="14"/>
  <c r="II22" i="14"/>
  <c r="IH22" i="14"/>
  <c r="IJ22" i="14" s="1"/>
  <c r="IM22" i="14" s="1"/>
  <c r="IG22" i="14"/>
  <c r="IL21" i="14"/>
  <c r="IK21" i="14"/>
  <c r="II21" i="14"/>
  <c r="IH21" i="14"/>
  <c r="IG21" i="14"/>
  <c r="IL20" i="14"/>
  <c r="IK20" i="14"/>
  <c r="II20" i="14"/>
  <c r="IH20" i="14"/>
  <c r="IJ20" i="14" s="1"/>
  <c r="IG20" i="14"/>
  <c r="IL19" i="14"/>
  <c r="IK19" i="14"/>
  <c r="II19" i="14"/>
  <c r="IJ19" i="14" s="1"/>
  <c r="IM19" i="14" s="1"/>
  <c r="IH19" i="14"/>
  <c r="IG19" i="14"/>
  <c r="IL18" i="14"/>
  <c r="IK18" i="14"/>
  <c r="II18" i="14"/>
  <c r="IJ18" i="14" s="1"/>
  <c r="IM18" i="14" s="1"/>
  <c r="IH18" i="14"/>
  <c r="IG18" i="14"/>
  <c r="IL17" i="14"/>
  <c r="IK17" i="14"/>
  <c r="II17" i="14"/>
  <c r="IH17" i="14"/>
  <c r="IG17" i="14"/>
  <c r="IL16" i="14"/>
  <c r="IK16" i="14"/>
  <c r="II16" i="14"/>
  <c r="IH16" i="14"/>
  <c r="IJ16" i="14" s="1"/>
  <c r="IM16" i="14" s="1"/>
  <c r="IG16" i="14"/>
  <c r="IL15" i="14"/>
  <c r="IK15" i="14"/>
  <c r="II15" i="14"/>
  <c r="IH15" i="14"/>
  <c r="IG15" i="14"/>
  <c r="IL14" i="14"/>
  <c r="IK14" i="14"/>
  <c r="II14" i="14"/>
  <c r="IH14" i="14"/>
  <c r="IJ14" i="14" s="1"/>
  <c r="IG14" i="14"/>
  <c r="IL13" i="14"/>
  <c r="IK13" i="14"/>
  <c r="II13" i="14"/>
  <c r="IH13" i="14"/>
  <c r="IG13" i="14"/>
  <c r="IL12" i="14"/>
  <c r="IK12" i="14"/>
  <c r="II12" i="14"/>
  <c r="IH12" i="14"/>
  <c r="IJ12" i="14" s="1"/>
  <c r="IG12" i="14"/>
  <c r="IL11" i="14"/>
  <c r="IK11" i="14"/>
  <c r="II11" i="14"/>
  <c r="IH11" i="14"/>
  <c r="IG11" i="14"/>
  <c r="IL10" i="14"/>
  <c r="IK10" i="14"/>
  <c r="II10" i="14"/>
  <c r="IH10" i="14"/>
  <c r="IG10" i="14"/>
  <c r="IL9" i="14"/>
  <c r="IK9" i="14"/>
  <c r="II9" i="14"/>
  <c r="IH9" i="14"/>
  <c r="IG9" i="14"/>
  <c r="IL8" i="14"/>
  <c r="IK8" i="14"/>
  <c r="II8" i="14"/>
  <c r="IH8" i="14"/>
  <c r="IJ8" i="14" s="1"/>
  <c r="IM8" i="14" s="1"/>
  <c r="IG8" i="14"/>
  <c r="IL7" i="14"/>
  <c r="IK7" i="14"/>
  <c r="II7" i="14"/>
  <c r="IH7" i="14"/>
  <c r="IG7" i="14"/>
  <c r="IL5" i="14"/>
  <c r="IK5" i="14"/>
  <c r="II5" i="14"/>
  <c r="IH5" i="14"/>
  <c r="IG5" i="14"/>
  <c r="IL6" i="14"/>
  <c r="IK6" i="14"/>
  <c r="II6" i="14"/>
  <c r="IH6" i="14"/>
  <c r="IG6" i="14"/>
  <c r="IL4" i="14"/>
  <c r="IK4" i="14"/>
  <c r="II4" i="14"/>
  <c r="IH4" i="14"/>
  <c r="IJ4" i="14" s="1"/>
  <c r="IM4" i="14" s="1"/>
  <c r="IG4" i="14"/>
  <c r="HP22" i="14"/>
  <c r="HO22" i="14"/>
  <c r="HM22" i="14"/>
  <c r="HL22" i="14"/>
  <c r="HK22" i="14"/>
  <c r="HP21" i="14"/>
  <c r="HO21" i="14"/>
  <c r="HM21" i="14"/>
  <c r="HL21" i="14"/>
  <c r="HK21" i="14"/>
  <c r="HP20" i="14"/>
  <c r="HO20" i="14"/>
  <c r="HM20" i="14"/>
  <c r="HL20" i="14"/>
  <c r="HK20" i="14"/>
  <c r="HP19" i="14"/>
  <c r="HO19" i="14"/>
  <c r="HM19" i="14"/>
  <c r="HL19" i="14"/>
  <c r="HN19" i="14" s="1"/>
  <c r="HQ19" i="14" s="1"/>
  <c r="HK19" i="14"/>
  <c r="HP18" i="14"/>
  <c r="HO18" i="14"/>
  <c r="HM18" i="14"/>
  <c r="HL18" i="14"/>
  <c r="HK18" i="14"/>
  <c r="HP17" i="14"/>
  <c r="HO17" i="14"/>
  <c r="HM17" i="14"/>
  <c r="HL17" i="14"/>
  <c r="HN17" i="14" s="1"/>
  <c r="HQ17" i="14" s="1"/>
  <c r="HK17" i="14"/>
  <c r="HP16" i="14"/>
  <c r="HO16" i="14"/>
  <c r="HM16" i="14"/>
  <c r="HL16" i="14"/>
  <c r="HK16" i="14"/>
  <c r="HP15" i="14"/>
  <c r="HO15" i="14"/>
  <c r="HM15" i="14"/>
  <c r="HL15" i="14"/>
  <c r="HN15" i="14" s="1"/>
  <c r="HK15" i="14"/>
  <c r="HP14" i="14"/>
  <c r="HO14" i="14"/>
  <c r="HM14" i="14"/>
  <c r="HL14" i="14"/>
  <c r="HK14" i="14"/>
  <c r="HP13" i="14"/>
  <c r="HO13" i="14"/>
  <c r="HM13" i="14"/>
  <c r="HL13" i="14"/>
  <c r="HK13" i="14"/>
  <c r="HP12" i="14"/>
  <c r="HO12" i="14"/>
  <c r="HM12" i="14"/>
  <c r="HL12" i="14"/>
  <c r="HK12" i="14"/>
  <c r="HP11" i="14"/>
  <c r="HO11" i="14"/>
  <c r="HM11" i="14"/>
  <c r="HL11" i="14"/>
  <c r="HK11" i="14"/>
  <c r="HP10" i="14"/>
  <c r="HO10" i="14"/>
  <c r="HM10" i="14"/>
  <c r="HL10" i="14"/>
  <c r="HK10" i="14"/>
  <c r="HP9" i="14"/>
  <c r="HO9" i="14"/>
  <c r="HM9" i="14"/>
  <c r="HL9" i="14"/>
  <c r="HK9" i="14"/>
  <c r="HP8" i="14"/>
  <c r="HO8" i="14"/>
  <c r="HM8" i="14"/>
  <c r="HL8" i="14"/>
  <c r="HN8" i="14" s="1"/>
  <c r="HQ8" i="14" s="1"/>
  <c r="HK8" i="14"/>
  <c r="HP7" i="14"/>
  <c r="HO7" i="14"/>
  <c r="HM7" i="14"/>
  <c r="HL7" i="14"/>
  <c r="HK7" i="14"/>
  <c r="HP5" i="14"/>
  <c r="HO5" i="14"/>
  <c r="HM5" i="14"/>
  <c r="HL5" i="14"/>
  <c r="HK5" i="14"/>
  <c r="HP6" i="14"/>
  <c r="HO6" i="14"/>
  <c r="HM6" i="14"/>
  <c r="HN6" i="14" s="1"/>
  <c r="HL6" i="14"/>
  <c r="HK6" i="14"/>
  <c r="HP4" i="14"/>
  <c r="HO4" i="14"/>
  <c r="HM4" i="14"/>
  <c r="HL4" i="14"/>
  <c r="HK4" i="14"/>
  <c r="GT22" i="14"/>
  <c r="GS22" i="14"/>
  <c r="GQ22" i="14"/>
  <c r="GP22" i="14"/>
  <c r="GO22" i="14"/>
  <c r="GT21" i="14"/>
  <c r="GS21" i="14"/>
  <c r="GQ21" i="14"/>
  <c r="GP21" i="14"/>
  <c r="GO21" i="14"/>
  <c r="GT20" i="14"/>
  <c r="GS20" i="14"/>
  <c r="GQ20" i="14"/>
  <c r="GP20" i="14"/>
  <c r="GO20" i="14"/>
  <c r="GT19" i="14"/>
  <c r="GS19" i="14"/>
  <c r="GQ19" i="14"/>
  <c r="GP19" i="14"/>
  <c r="GO19" i="14"/>
  <c r="GT18" i="14"/>
  <c r="GS18" i="14"/>
  <c r="GQ18" i="14"/>
  <c r="GP18" i="14"/>
  <c r="GO18" i="14"/>
  <c r="GT17" i="14"/>
  <c r="GS17" i="14"/>
  <c r="GQ17" i="14"/>
  <c r="GP17" i="14"/>
  <c r="GO17" i="14"/>
  <c r="GT16" i="14"/>
  <c r="GS16" i="14"/>
  <c r="GQ16" i="14"/>
  <c r="GP16" i="14"/>
  <c r="GO16" i="14"/>
  <c r="GT15" i="14"/>
  <c r="GS15" i="14"/>
  <c r="GQ15" i="14"/>
  <c r="GP15" i="14"/>
  <c r="GO15" i="14"/>
  <c r="GT14" i="14"/>
  <c r="GS14" i="14"/>
  <c r="GQ14" i="14"/>
  <c r="GP14" i="14"/>
  <c r="GO14" i="14"/>
  <c r="GT13" i="14"/>
  <c r="GS13" i="14"/>
  <c r="GQ13" i="14"/>
  <c r="GP13" i="14"/>
  <c r="GO13" i="14"/>
  <c r="GT12" i="14"/>
  <c r="GS12" i="14"/>
  <c r="GQ12" i="14"/>
  <c r="GP12" i="14"/>
  <c r="GO12" i="14"/>
  <c r="GT11" i="14"/>
  <c r="GS11" i="14"/>
  <c r="GQ11" i="14"/>
  <c r="GP11" i="14"/>
  <c r="GR11" i="14" s="1"/>
  <c r="GU11" i="14" s="1"/>
  <c r="GO11" i="14"/>
  <c r="GT10" i="14"/>
  <c r="GS10" i="14"/>
  <c r="GQ10" i="14"/>
  <c r="GP10" i="14"/>
  <c r="GO10" i="14"/>
  <c r="GT9" i="14"/>
  <c r="GS9" i="14"/>
  <c r="GQ9" i="14"/>
  <c r="GP9" i="14"/>
  <c r="GO9" i="14"/>
  <c r="GT8" i="14"/>
  <c r="GS8" i="14"/>
  <c r="GQ8" i="14"/>
  <c r="GP8" i="14"/>
  <c r="GO8" i="14"/>
  <c r="GT7" i="14"/>
  <c r="GS7" i="14"/>
  <c r="GQ7" i="14"/>
  <c r="GP7" i="14"/>
  <c r="GO7" i="14"/>
  <c r="GT5" i="14"/>
  <c r="GS5" i="14"/>
  <c r="GQ5" i="14"/>
  <c r="GP5" i="14"/>
  <c r="GR5" i="14" s="1"/>
  <c r="GO5" i="14"/>
  <c r="GT6" i="14"/>
  <c r="GS6" i="14"/>
  <c r="GQ6" i="14"/>
  <c r="GP6" i="14"/>
  <c r="GO6" i="14"/>
  <c r="GT4" i="14"/>
  <c r="GS4" i="14"/>
  <c r="GQ4" i="14"/>
  <c r="GP4" i="14"/>
  <c r="GR4" i="14" s="1"/>
  <c r="GU4" i="14" s="1"/>
  <c r="GO4" i="14"/>
  <c r="FX22" i="14"/>
  <c r="FW22" i="14"/>
  <c r="FU22" i="14"/>
  <c r="FT22" i="14"/>
  <c r="FS22" i="14"/>
  <c r="FX21" i="14"/>
  <c r="FW21" i="14"/>
  <c r="FU21" i="14"/>
  <c r="FT21" i="14"/>
  <c r="FS21" i="14"/>
  <c r="FX20" i="14"/>
  <c r="FW20" i="14"/>
  <c r="FU20" i="14"/>
  <c r="FT20" i="14"/>
  <c r="FS20" i="14"/>
  <c r="FX19" i="14"/>
  <c r="FW19" i="14"/>
  <c r="FU19" i="14"/>
  <c r="FT19" i="14"/>
  <c r="FS19" i="14"/>
  <c r="FX18" i="14"/>
  <c r="FW18" i="14"/>
  <c r="FU18" i="14"/>
  <c r="FT18" i="14"/>
  <c r="FS18" i="14"/>
  <c r="FX17" i="14"/>
  <c r="FW17" i="14"/>
  <c r="FU17" i="14"/>
  <c r="FT17" i="14"/>
  <c r="FS17" i="14"/>
  <c r="FX16" i="14"/>
  <c r="FW16" i="14"/>
  <c r="FU16" i="14"/>
  <c r="FT16" i="14"/>
  <c r="FS16" i="14"/>
  <c r="FX15" i="14"/>
  <c r="FW15" i="14"/>
  <c r="FU15" i="14"/>
  <c r="FT15" i="14"/>
  <c r="FS15" i="14"/>
  <c r="FX14" i="14"/>
  <c r="FW14" i="14"/>
  <c r="FU14" i="14"/>
  <c r="FT14" i="14"/>
  <c r="FV14" i="14" s="1"/>
  <c r="FS14" i="14"/>
  <c r="FX13" i="14"/>
  <c r="FW13" i="14"/>
  <c r="FU13" i="14"/>
  <c r="FT13" i="14"/>
  <c r="FS13" i="14"/>
  <c r="FX12" i="14"/>
  <c r="FW12" i="14"/>
  <c r="FU12" i="14"/>
  <c r="FT12" i="14"/>
  <c r="FS12" i="14"/>
  <c r="FX11" i="14"/>
  <c r="FW11" i="14"/>
  <c r="FU11" i="14"/>
  <c r="FT11" i="14"/>
  <c r="FS11" i="14"/>
  <c r="FX10" i="14"/>
  <c r="FW10" i="14"/>
  <c r="FU10" i="14"/>
  <c r="FT10" i="14"/>
  <c r="FS10" i="14"/>
  <c r="FX9" i="14"/>
  <c r="FW9" i="14"/>
  <c r="FU9" i="14"/>
  <c r="FT9" i="14"/>
  <c r="FS9" i="14"/>
  <c r="FX8" i="14"/>
  <c r="FW8" i="14"/>
  <c r="FU8" i="14"/>
  <c r="FT8" i="14"/>
  <c r="FS8" i="14"/>
  <c r="FX7" i="14"/>
  <c r="FW7" i="14"/>
  <c r="FU7" i="14"/>
  <c r="FT7" i="14"/>
  <c r="FS7" i="14"/>
  <c r="FX5" i="14"/>
  <c r="FW5" i="14"/>
  <c r="FU5" i="14"/>
  <c r="FT5" i="14"/>
  <c r="FS5" i="14"/>
  <c r="FX6" i="14"/>
  <c r="FW6" i="14"/>
  <c r="FU6" i="14"/>
  <c r="FT6" i="14"/>
  <c r="FS6" i="14"/>
  <c r="FX4" i="14"/>
  <c r="FW4" i="14"/>
  <c r="FU4" i="14"/>
  <c r="FT4" i="14"/>
  <c r="FS4" i="14"/>
  <c r="FB22" i="14"/>
  <c r="FA22" i="14"/>
  <c r="EY22" i="14"/>
  <c r="EX22" i="14"/>
  <c r="EW22" i="14"/>
  <c r="FB21" i="14"/>
  <c r="FA21" i="14"/>
  <c r="EY21" i="14"/>
  <c r="EX21" i="14"/>
  <c r="EW21" i="14"/>
  <c r="FB20" i="14"/>
  <c r="FA20" i="14"/>
  <c r="EY20" i="14"/>
  <c r="EX20" i="14"/>
  <c r="EZ20" i="14" s="1"/>
  <c r="EW20" i="14"/>
  <c r="FB19" i="14"/>
  <c r="FA19" i="14"/>
  <c r="EY19" i="14"/>
  <c r="EX19" i="14"/>
  <c r="EZ19" i="14" s="1"/>
  <c r="EW19" i="14"/>
  <c r="FB18" i="14"/>
  <c r="FA18" i="14"/>
  <c r="EY18" i="14"/>
  <c r="EX18" i="14"/>
  <c r="EW18" i="14"/>
  <c r="FB17" i="14"/>
  <c r="FA17" i="14"/>
  <c r="EY17" i="14"/>
  <c r="EX17" i="14"/>
  <c r="EZ17" i="14" s="1"/>
  <c r="FC17" i="14" s="1"/>
  <c r="EW17" i="14"/>
  <c r="FB16" i="14"/>
  <c r="FA16" i="14"/>
  <c r="EY16" i="14"/>
  <c r="EX16" i="14"/>
  <c r="EW16" i="14"/>
  <c r="FB15" i="14"/>
  <c r="FA15" i="14"/>
  <c r="EY15" i="14"/>
  <c r="EX15" i="14"/>
  <c r="EW15" i="14"/>
  <c r="FB14" i="14"/>
  <c r="FA14" i="14"/>
  <c r="EY14" i="14"/>
  <c r="EX14" i="14"/>
  <c r="EW14" i="14"/>
  <c r="FB13" i="14"/>
  <c r="FA13" i="14"/>
  <c r="EY13" i="14"/>
  <c r="EX13" i="14"/>
  <c r="EW13" i="14"/>
  <c r="FB12" i="14"/>
  <c r="FA12" i="14"/>
  <c r="EY12" i="14"/>
  <c r="EX12" i="14"/>
  <c r="EW12" i="14"/>
  <c r="FB11" i="14"/>
  <c r="FA11" i="14"/>
  <c r="EY11" i="14"/>
  <c r="EX11" i="14"/>
  <c r="EW11" i="14"/>
  <c r="FB10" i="14"/>
  <c r="FA10" i="14"/>
  <c r="EY10" i="14"/>
  <c r="EX10" i="14"/>
  <c r="EW10" i="14"/>
  <c r="FB9" i="14"/>
  <c r="FA9" i="14"/>
  <c r="EY9" i="14"/>
  <c r="EX9" i="14"/>
  <c r="EW9" i="14"/>
  <c r="FB8" i="14"/>
  <c r="FA8" i="14"/>
  <c r="EY8" i="14"/>
  <c r="EX8" i="14"/>
  <c r="EW8" i="14"/>
  <c r="FB7" i="14"/>
  <c r="FA7" i="14"/>
  <c r="EY7" i="14"/>
  <c r="EX7" i="14"/>
  <c r="EW7" i="14"/>
  <c r="FB5" i="14"/>
  <c r="FA5" i="14"/>
  <c r="EY5" i="14"/>
  <c r="EX5" i="14"/>
  <c r="EW5" i="14"/>
  <c r="FB6" i="14"/>
  <c r="FA6" i="14"/>
  <c r="EY6" i="14"/>
  <c r="EX6" i="14"/>
  <c r="EW6" i="14"/>
  <c r="FB4" i="14"/>
  <c r="FA4" i="14"/>
  <c r="EY4" i="14"/>
  <c r="EX4" i="14"/>
  <c r="EZ4" i="14" s="1"/>
  <c r="EW4" i="14"/>
  <c r="EF22" i="14"/>
  <c r="EE22" i="14"/>
  <c r="EC22" i="14"/>
  <c r="EB22" i="14"/>
  <c r="EA22" i="14"/>
  <c r="EF21" i="14"/>
  <c r="EE21" i="14"/>
  <c r="EC21" i="14"/>
  <c r="EB21" i="14"/>
  <c r="EA21" i="14"/>
  <c r="EF20" i="14"/>
  <c r="EE20" i="14"/>
  <c r="EC20" i="14"/>
  <c r="EB20" i="14"/>
  <c r="ED20" i="14" s="1"/>
  <c r="EA20" i="14"/>
  <c r="EF19" i="14"/>
  <c r="EE19" i="14"/>
  <c r="EC19" i="14"/>
  <c r="EB19" i="14"/>
  <c r="EA19" i="14"/>
  <c r="EF18" i="14"/>
  <c r="EE18" i="14"/>
  <c r="EC18" i="14"/>
  <c r="EB18" i="14"/>
  <c r="EA18" i="14"/>
  <c r="EF17" i="14"/>
  <c r="EE17" i="14"/>
  <c r="EC17" i="14"/>
  <c r="EB17" i="14"/>
  <c r="EA17" i="14"/>
  <c r="EF16" i="14"/>
  <c r="EE16" i="14"/>
  <c r="EC16" i="14"/>
  <c r="EB16" i="14"/>
  <c r="EA16" i="14"/>
  <c r="EF15" i="14"/>
  <c r="EE15" i="14"/>
  <c r="EC15" i="14"/>
  <c r="EB15" i="14"/>
  <c r="EA15" i="14"/>
  <c r="EF14" i="14"/>
  <c r="EE14" i="14"/>
  <c r="EC14" i="14"/>
  <c r="EB14" i="14"/>
  <c r="EA14" i="14"/>
  <c r="EF13" i="14"/>
  <c r="EE13" i="14"/>
  <c r="EC13" i="14"/>
  <c r="EB13" i="14"/>
  <c r="EA13" i="14"/>
  <c r="EF12" i="14"/>
  <c r="EE12" i="14"/>
  <c r="EC12" i="14"/>
  <c r="EB12" i="14"/>
  <c r="EA12" i="14"/>
  <c r="EF11" i="14"/>
  <c r="EE11" i="14"/>
  <c r="EC11" i="14"/>
  <c r="EB11" i="14"/>
  <c r="EA11" i="14"/>
  <c r="EF10" i="14"/>
  <c r="EE10" i="14"/>
  <c r="EC10" i="14"/>
  <c r="EB10" i="14"/>
  <c r="EA10" i="14"/>
  <c r="EF9" i="14"/>
  <c r="EE9" i="14"/>
  <c r="EC9" i="14"/>
  <c r="EB9" i="14"/>
  <c r="EA9" i="14"/>
  <c r="EF8" i="14"/>
  <c r="EE8" i="14"/>
  <c r="EC8" i="14"/>
  <c r="EB8" i="14"/>
  <c r="EA8" i="14"/>
  <c r="EF7" i="14"/>
  <c r="EE7" i="14"/>
  <c r="EC7" i="14"/>
  <c r="EB7" i="14"/>
  <c r="ED7" i="14" s="1"/>
  <c r="EA7" i="14"/>
  <c r="EF5" i="14"/>
  <c r="EE5" i="14"/>
  <c r="EC5" i="14"/>
  <c r="EB5" i="14"/>
  <c r="ED5" i="14" s="1"/>
  <c r="EA5" i="14"/>
  <c r="EF6" i="14"/>
  <c r="EE6" i="14"/>
  <c r="EC6" i="14"/>
  <c r="EB6" i="14"/>
  <c r="EA6" i="14"/>
  <c r="EF4" i="14"/>
  <c r="EE4" i="14"/>
  <c r="EC4" i="14"/>
  <c r="EB4" i="14"/>
  <c r="EA4" i="14"/>
  <c r="MR21" i="4"/>
  <c r="MQ21" i="4"/>
  <c r="MO21" i="4"/>
  <c r="MN21" i="4"/>
  <c r="MP21" i="4" s="1"/>
  <c r="MM21" i="4"/>
  <c r="MR20" i="4"/>
  <c r="MQ20" i="4"/>
  <c r="MO20" i="4"/>
  <c r="MN20" i="4"/>
  <c r="MP20" i="4" s="1"/>
  <c r="MS20" i="4" s="1"/>
  <c r="MM20" i="4"/>
  <c r="MR19" i="4"/>
  <c r="MQ19" i="4"/>
  <c r="MO19" i="4"/>
  <c r="MP19" i="4" s="1"/>
  <c r="MS19" i="4" s="1"/>
  <c r="MN19" i="4"/>
  <c r="MM19" i="4"/>
  <c r="MR18" i="4"/>
  <c r="MQ18" i="4"/>
  <c r="MO18" i="4"/>
  <c r="MN18" i="4"/>
  <c r="MP18" i="4" s="1"/>
  <c r="MS18" i="4" s="1"/>
  <c r="MM18" i="4"/>
  <c r="MR17" i="4"/>
  <c r="MQ17" i="4"/>
  <c r="MO17" i="4"/>
  <c r="MN17" i="4"/>
  <c r="MP17" i="4" s="1"/>
  <c r="MS17" i="4" s="1"/>
  <c r="MM17" i="4"/>
  <c r="MR16" i="4"/>
  <c r="MQ16" i="4"/>
  <c r="MO16" i="4"/>
  <c r="MN16" i="4"/>
  <c r="MM16" i="4"/>
  <c r="MR15" i="4"/>
  <c r="MQ15" i="4"/>
  <c r="MO15" i="4"/>
  <c r="MN15" i="4"/>
  <c r="MP15" i="4" s="1"/>
  <c r="MS15" i="4" s="1"/>
  <c r="MM15" i="4"/>
  <c r="MR14" i="4"/>
  <c r="MQ14" i="4"/>
  <c r="MO14" i="4"/>
  <c r="MN14" i="4"/>
  <c r="MM14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P11" i="4" s="1"/>
  <c r="MM11" i="4"/>
  <c r="MR10" i="4"/>
  <c r="MQ10" i="4"/>
  <c r="MO10" i="4"/>
  <c r="MN10" i="4"/>
  <c r="MP10" i="4" s="1"/>
  <c r="MM10" i="4"/>
  <c r="MR9" i="4"/>
  <c r="MQ9" i="4"/>
  <c r="MO9" i="4"/>
  <c r="MN9" i="4"/>
  <c r="MM9" i="4"/>
  <c r="MR8" i="4"/>
  <c r="MQ8" i="4"/>
  <c r="MO8" i="4"/>
  <c r="MN8" i="4"/>
  <c r="MM8" i="4"/>
  <c r="MR7" i="4"/>
  <c r="MQ7" i="4"/>
  <c r="MO7" i="4"/>
  <c r="MN7" i="4"/>
  <c r="MM7" i="4"/>
  <c r="MR6" i="4"/>
  <c r="MQ6" i="4"/>
  <c r="MO6" i="4"/>
  <c r="MN6" i="4"/>
  <c r="MM6" i="4"/>
  <c r="MR5" i="4"/>
  <c r="MQ5" i="4"/>
  <c r="MO5" i="4"/>
  <c r="MN5" i="4"/>
  <c r="MM5" i="4"/>
  <c r="MR4" i="4"/>
  <c r="MQ4" i="4"/>
  <c r="MO4" i="4"/>
  <c r="MN4" i="4"/>
  <c r="MM4" i="4"/>
  <c r="LV21" i="4"/>
  <c r="LU21" i="4"/>
  <c r="LS21" i="4"/>
  <c r="LR21" i="4"/>
  <c r="LT21" i="4" s="1"/>
  <c r="LQ21" i="4"/>
  <c r="LV20" i="4"/>
  <c r="LU20" i="4"/>
  <c r="LS20" i="4"/>
  <c r="LR20" i="4"/>
  <c r="LT20" i="4" s="1"/>
  <c r="LQ20" i="4"/>
  <c r="LV19" i="4"/>
  <c r="LU19" i="4"/>
  <c r="LS19" i="4"/>
  <c r="LR19" i="4"/>
  <c r="LQ19" i="4"/>
  <c r="LV18" i="4"/>
  <c r="LU18" i="4"/>
  <c r="LS18" i="4"/>
  <c r="LR18" i="4"/>
  <c r="LQ18" i="4"/>
  <c r="LV17" i="4"/>
  <c r="LU17" i="4"/>
  <c r="LS17" i="4"/>
  <c r="LR17" i="4"/>
  <c r="LT17" i="4" s="1"/>
  <c r="LW17" i="4" s="1"/>
  <c r="LQ17" i="4"/>
  <c r="LV16" i="4"/>
  <c r="LU16" i="4"/>
  <c r="LS16" i="4"/>
  <c r="LT16" i="4" s="1"/>
  <c r="LR16" i="4"/>
  <c r="LQ16" i="4"/>
  <c r="LV15" i="4"/>
  <c r="LU15" i="4"/>
  <c r="LS15" i="4"/>
  <c r="LR15" i="4"/>
  <c r="LQ15" i="4"/>
  <c r="LV14" i="4"/>
  <c r="LU14" i="4"/>
  <c r="LS14" i="4"/>
  <c r="LR14" i="4"/>
  <c r="LQ14" i="4"/>
  <c r="LV13" i="4"/>
  <c r="LU13" i="4"/>
  <c r="LS13" i="4"/>
  <c r="LR13" i="4"/>
  <c r="LT13" i="4" s="1"/>
  <c r="LQ13" i="4"/>
  <c r="LV12" i="4"/>
  <c r="LU12" i="4"/>
  <c r="LS12" i="4"/>
  <c r="LR12" i="4"/>
  <c r="LQ12" i="4"/>
  <c r="LV11" i="4"/>
  <c r="LU11" i="4"/>
  <c r="LS11" i="4"/>
  <c r="LR11" i="4"/>
  <c r="LT11" i="4" s="1"/>
  <c r="LW11" i="4" s="1"/>
  <c r="LQ11" i="4"/>
  <c r="LV10" i="4"/>
  <c r="LU10" i="4"/>
  <c r="LS10" i="4"/>
  <c r="LR10" i="4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6" i="4"/>
  <c r="LU6" i="4"/>
  <c r="LS6" i="4"/>
  <c r="LR6" i="4"/>
  <c r="LQ6" i="4"/>
  <c r="LV5" i="4"/>
  <c r="LU5" i="4"/>
  <c r="LS5" i="4"/>
  <c r="LR5" i="4"/>
  <c r="LQ5" i="4"/>
  <c r="LV4" i="4"/>
  <c r="LU4" i="4"/>
  <c r="LS4" i="4"/>
  <c r="LR4" i="4"/>
  <c r="LT4" i="4" s="1"/>
  <c r="LQ4" i="4"/>
  <c r="KZ21" i="4"/>
  <c r="KY21" i="4"/>
  <c r="KW21" i="4"/>
  <c r="KV21" i="4"/>
  <c r="KU21" i="4"/>
  <c r="KZ20" i="4"/>
  <c r="KY20" i="4"/>
  <c r="KW20" i="4"/>
  <c r="KV20" i="4"/>
  <c r="KU20" i="4"/>
  <c r="KZ19" i="4"/>
  <c r="KY19" i="4"/>
  <c r="KW19" i="4"/>
  <c r="KV19" i="4"/>
  <c r="KU19" i="4"/>
  <c r="KZ18" i="4"/>
  <c r="KY18" i="4"/>
  <c r="KW18" i="4"/>
  <c r="KV18" i="4"/>
  <c r="KU18" i="4"/>
  <c r="KZ17" i="4"/>
  <c r="KY17" i="4"/>
  <c r="KW17" i="4"/>
  <c r="KX17" i="4" s="1"/>
  <c r="LA17" i="4" s="1"/>
  <c r="KV17" i="4"/>
  <c r="KU17" i="4"/>
  <c r="KZ16" i="4"/>
  <c r="KY16" i="4"/>
  <c r="KW16" i="4"/>
  <c r="KV16" i="4"/>
  <c r="KU16" i="4"/>
  <c r="KZ15" i="4"/>
  <c r="KY15" i="4"/>
  <c r="KW15" i="4"/>
  <c r="KV15" i="4"/>
  <c r="KU15" i="4"/>
  <c r="KZ14" i="4"/>
  <c r="KY14" i="4"/>
  <c r="KW14" i="4"/>
  <c r="KV14" i="4"/>
  <c r="KX14" i="4" s="1"/>
  <c r="KU14" i="4"/>
  <c r="KZ13" i="4"/>
  <c r="KY13" i="4"/>
  <c r="KW13" i="4"/>
  <c r="KV13" i="4"/>
  <c r="KU13" i="4"/>
  <c r="KZ12" i="4"/>
  <c r="KY12" i="4"/>
  <c r="KW12" i="4"/>
  <c r="KV12" i="4"/>
  <c r="KU12" i="4"/>
  <c r="KZ11" i="4"/>
  <c r="KY11" i="4"/>
  <c r="KW11" i="4"/>
  <c r="KV11" i="4"/>
  <c r="KU11" i="4"/>
  <c r="KZ10" i="4"/>
  <c r="KY10" i="4"/>
  <c r="KW10" i="4"/>
  <c r="KV10" i="4"/>
  <c r="KU10" i="4"/>
  <c r="KZ9" i="4"/>
  <c r="KY9" i="4"/>
  <c r="KW9" i="4"/>
  <c r="KV9" i="4"/>
  <c r="KU9" i="4"/>
  <c r="KZ8" i="4"/>
  <c r="KY8" i="4"/>
  <c r="KW8" i="4"/>
  <c r="KV8" i="4"/>
  <c r="KU8" i="4"/>
  <c r="KZ7" i="4"/>
  <c r="KY7" i="4"/>
  <c r="KW7" i="4"/>
  <c r="KV7" i="4"/>
  <c r="KU7" i="4"/>
  <c r="KZ6" i="4"/>
  <c r="KY6" i="4"/>
  <c r="KW6" i="4"/>
  <c r="KV6" i="4"/>
  <c r="KX6" i="4" s="1"/>
  <c r="KU6" i="4"/>
  <c r="KZ5" i="4"/>
  <c r="KY5" i="4"/>
  <c r="KW5" i="4"/>
  <c r="KV5" i="4"/>
  <c r="KX5" i="4" s="1"/>
  <c r="LA5" i="4" s="1"/>
  <c r="KU5" i="4"/>
  <c r="KZ4" i="4"/>
  <c r="KY4" i="4"/>
  <c r="KW4" i="4"/>
  <c r="KV4" i="4"/>
  <c r="KU4" i="4"/>
  <c r="KD21" i="4"/>
  <c r="KC21" i="4"/>
  <c r="KA21" i="4"/>
  <c r="JZ21" i="4"/>
  <c r="JY21" i="4"/>
  <c r="KD20" i="4"/>
  <c r="KC20" i="4"/>
  <c r="KA20" i="4"/>
  <c r="JZ20" i="4"/>
  <c r="JY20" i="4"/>
  <c r="KD19" i="4"/>
  <c r="KC19" i="4"/>
  <c r="KA19" i="4"/>
  <c r="JZ19" i="4"/>
  <c r="JY19" i="4"/>
  <c r="KD18" i="4"/>
  <c r="KC18" i="4"/>
  <c r="KA18" i="4"/>
  <c r="JZ18" i="4"/>
  <c r="JY18" i="4"/>
  <c r="KD17" i="4"/>
  <c r="KC17" i="4"/>
  <c r="KA17" i="4"/>
  <c r="JZ17" i="4"/>
  <c r="KB17" i="4" s="1"/>
  <c r="JY17" i="4"/>
  <c r="KD16" i="4"/>
  <c r="KC16" i="4"/>
  <c r="KA16" i="4"/>
  <c r="JZ16" i="4"/>
  <c r="JY16" i="4"/>
  <c r="KD15" i="4"/>
  <c r="KC15" i="4"/>
  <c r="KA15" i="4"/>
  <c r="JZ15" i="4"/>
  <c r="KB15" i="4" s="1"/>
  <c r="KE15" i="4" s="1"/>
  <c r="JY15" i="4"/>
  <c r="KD14" i="4"/>
  <c r="KC14" i="4"/>
  <c r="KA14" i="4"/>
  <c r="JZ14" i="4"/>
  <c r="JY14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KB9" i="4" s="1"/>
  <c r="JY9" i="4"/>
  <c r="KD8" i="4"/>
  <c r="KC8" i="4"/>
  <c r="KA8" i="4"/>
  <c r="JZ8" i="4"/>
  <c r="JY8" i="4"/>
  <c r="KD7" i="4"/>
  <c r="KC7" i="4"/>
  <c r="KA7" i="4"/>
  <c r="JZ7" i="4"/>
  <c r="JY7" i="4"/>
  <c r="KD6" i="4"/>
  <c r="KC6" i="4"/>
  <c r="KA6" i="4"/>
  <c r="JZ6" i="4"/>
  <c r="JY6" i="4"/>
  <c r="KD5" i="4"/>
  <c r="KC5" i="4"/>
  <c r="KA5" i="4"/>
  <c r="JZ5" i="4"/>
  <c r="JY5" i="4"/>
  <c r="KD4" i="4"/>
  <c r="KC4" i="4"/>
  <c r="KA4" i="4"/>
  <c r="JZ4" i="4"/>
  <c r="JY4" i="4"/>
  <c r="JH21" i="4"/>
  <c r="JG21" i="4"/>
  <c r="JE21" i="4"/>
  <c r="JD21" i="4"/>
  <c r="JC21" i="4"/>
  <c r="JH20" i="4"/>
  <c r="JG20" i="4"/>
  <c r="JE20" i="4"/>
  <c r="JD20" i="4"/>
  <c r="JC20" i="4"/>
  <c r="JH19" i="4"/>
  <c r="JG19" i="4"/>
  <c r="JE19" i="4"/>
  <c r="JD19" i="4"/>
  <c r="JF19" i="4" s="1"/>
  <c r="JC19" i="4"/>
  <c r="JH18" i="4"/>
  <c r="JG18" i="4"/>
  <c r="JE18" i="4"/>
  <c r="JD18" i="4"/>
  <c r="JF18" i="4" s="1"/>
  <c r="JC18" i="4"/>
  <c r="JH17" i="4"/>
  <c r="JG17" i="4"/>
  <c r="JE17" i="4"/>
  <c r="JD17" i="4"/>
  <c r="JF17" i="4" s="1"/>
  <c r="JI17" i="4" s="1"/>
  <c r="JC17" i="4"/>
  <c r="JH16" i="4"/>
  <c r="JG16" i="4"/>
  <c r="JE16" i="4"/>
  <c r="JD16" i="4"/>
  <c r="JC16" i="4"/>
  <c r="JH15" i="4"/>
  <c r="JG15" i="4"/>
  <c r="JE15" i="4"/>
  <c r="JD15" i="4"/>
  <c r="JC15" i="4"/>
  <c r="JH14" i="4"/>
  <c r="JG14" i="4"/>
  <c r="JE14" i="4"/>
  <c r="JD14" i="4"/>
  <c r="JC14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F11" i="4" s="1"/>
  <c r="JC11" i="4"/>
  <c r="JH10" i="4"/>
  <c r="JG10" i="4"/>
  <c r="JE10" i="4"/>
  <c r="JD10" i="4"/>
  <c r="JC10" i="4"/>
  <c r="JH9" i="4"/>
  <c r="JG9" i="4"/>
  <c r="JE9" i="4"/>
  <c r="JD9" i="4"/>
  <c r="JF9" i="4" s="1"/>
  <c r="JI9" i="4" s="1"/>
  <c r="JC9" i="4"/>
  <c r="JH8" i="4"/>
  <c r="JG8" i="4"/>
  <c r="JE8" i="4"/>
  <c r="JD8" i="4"/>
  <c r="JC8" i="4"/>
  <c r="JH7" i="4"/>
  <c r="JG7" i="4"/>
  <c r="JE7" i="4"/>
  <c r="JD7" i="4"/>
  <c r="JC7" i="4"/>
  <c r="JH6" i="4"/>
  <c r="JG6" i="4"/>
  <c r="JE6" i="4"/>
  <c r="JD6" i="4"/>
  <c r="JC6" i="4"/>
  <c r="JH5" i="4"/>
  <c r="JG5" i="4"/>
  <c r="JE5" i="4"/>
  <c r="JD5" i="4"/>
  <c r="JC5" i="4"/>
  <c r="JH4" i="4"/>
  <c r="JG4" i="4"/>
  <c r="JE4" i="4"/>
  <c r="JD4" i="4"/>
  <c r="JC4" i="4"/>
  <c r="IL21" i="4"/>
  <c r="IK21" i="4"/>
  <c r="II21" i="4"/>
  <c r="IH21" i="4"/>
  <c r="IG21" i="4"/>
  <c r="IL20" i="4"/>
  <c r="IK20" i="4"/>
  <c r="II20" i="4"/>
  <c r="IH20" i="4"/>
  <c r="IJ20" i="4" s="1"/>
  <c r="IG20" i="4"/>
  <c r="IL19" i="4"/>
  <c r="IK19" i="4"/>
  <c r="II19" i="4"/>
  <c r="IH19" i="4"/>
  <c r="IJ19" i="4" s="1"/>
  <c r="IM19" i="4" s="1"/>
  <c r="IG19" i="4"/>
  <c r="IL18" i="4"/>
  <c r="IK18" i="4"/>
  <c r="II18" i="4"/>
  <c r="IH18" i="4"/>
  <c r="IG18" i="4"/>
  <c r="IL17" i="4"/>
  <c r="IK17" i="4"/>
  <c r="II17" i="4"/>
  <c r="IH17" i="4"/>
  <c r="IJ17" i="4" s="1"/>
  <c r="IG17" i="4"/>
  <c r="IL16" i="4"/>
  <c r="IK16" i="4"/>
  <c r="II16" i="4"/>
  <c r="IH16" i="4"/>
  <c r="IG16" i="4"/>
  <c r="IL15" i="4"/>
  <c r="IK15" i="4"/>
  <c r="II15" i="4"/>
  <c r="IH15" i="4"/>
  <c r="IG15" i="4"/>
  <c r="IL14" i="4"/>
  <c r="IK14" i="4"/>
  <c r="II14" i="4"/>
  <c r="IH14" i="4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J9" i="4" s="1"/>
  <c r="IG9" i="4"/>
  <c r="IL8" i="4"/>
  <c r="IK8" i="4"/>
  <c r="II8" i="4"/>
  <c r="IH8" i="4"/>
  <c r="IG8" i="4"/>
  <c r="IL7" i="4"/>
  <c r="IK7" i="4"/>
  <c r="II7" i="4"/>
  <c r="IH7" i="4"/>
  <c r="IG7" i="4"/>
  <c r="IL6" i="4"/>
  <c r="IK6" i="4"/>
  <c r="II6" i="4"/>
  <c r="IH6" i="4"/>
  <c r="IG6" i="4"/>
  <c r="IL5" i="4"/>
  <c r="IK5" i="4"/>
  <c r="II5" i="4"/>
  <c r="IH5" i="4"/>
  <c r="IG5" i="4"/>
  <c r="IL4" i="4"/>
  <c r="IK4" i="4"/>
  <c r="II4" i="4"/>
  <c r="IH4" i="4"/>
  <c r="IG4" i="4"/>
  <c r="HP21" i="4"/>
  <c r="HO21" i="4"/>
  <c r="HM21" i="4"/>
  <c r="HL21" i="4"/>
  <c r="HK21" i="4"/>
  <c r="HP20" i="4"/>
  <c r="HO20" i="4"/>
  <c r="HM20" i="4"/>
  <c r="HL20" i="4"/>
  <c r="HN20" i="4" s="1"/>
  <c r="HK20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M17" i="4"/>
  <c r="HL17" i="4"/>
  <c r="HN17" i="4" s="1"/>
  <c r="HK17" i="4"/>
  <c r="HP16" i="4"/>
  <c r="HO16" i="4"/>
  <c r="HM16" i="4"/>
  <c r="HL16" i="4"/>
  <c r="HK16" i="4"/>
  <c r="HP15" i="4"/>
  <c r="HO15" i="4"/>
  <c r="HM15" i="4"/>
  <c r="HL15" i="4"/>
  <c r="HN15" i="4" s="1"/>
  <c r="HQ15" i="4" s="1"/>
  <c r="HK15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10" i="4"/>
  <c r="HO10" i="4"/>
  <c r="HM10" i="4"/>
  <c r="HL10" i="4"/>
  <c r="HK10" i="4"/>
  <c r="HP9" i="4"/>
  <c r="HO9" i="4"/>
  <c r="HM9" i="4"/>
  <c r="HL9" i="4"/>
  <c r="HN9" i="4" s="1"/>
  <c r="HK9" i="4"/>
  <c r="HP8" i="4"/>
  <c r="HO8" i="4"/>
  <c r="HM8" i="4"/>
  <c r="HL8" i="4"/>
  <c r="HK8" i="4"/>
  <c r="HP7" i="4"/>
  <c r="HO7" i="4"/>
  <c r="HM7" i="4"/>
  <c r="HL7" i="4"/>
  <c r="HK7" i="4"/>
  <c r="HP6" i="4"/>
  <c r="HO6" i="4"/>
  <c r="HM6" i="4"/>
  <c r="HL6" i="4"/>
  <c r="HK6" i="4"/>
  <c r="HP5" i="4"/>
  <c r="HO5" i="4"/>
  <c r="HM5" i="4"/>
  <c r="HL5" i="4"/>
  <c r="HK5" i="4"/>
  <c r="HP4" i="4"/>
  <c r="HO4" i="4"/>
  <c r="HM4" i="4"/>
  <c r="HL4" i="4"/>
  <c r="HK4" i="4"/>
  <c r="GT21" i="4"/>
  <c r="GS21" i="4"/>
  <c r="GQ21" i="4"/>
  <c r="GP21" i="4"/>
  <c r="GO21" i="4"/>
  <c r="GT20" i="4"/>
  <c r="GS20" i="4"/>
  <c r="GQ20" i="4"/>
  <c r="GP20" i="4"/>
  <c r="GO20" i="4"/>
  <c r="GT19" i="4"/>
  <c r="GS19" i="4"/>
  <c r="GQ19" i="4"/>
  <c r="GP19" i="4"/>
  <c r="GR19" i="4" s="1"/>
  <c r="GO19" i="4"/>
  <c r="GT18" i="4"/>
  <c r="GS18" i="4"/>
  <c r="GQ18" i="4"/>
  <c r="GP18" i="4"/>
  <c r="GR18" i="4" s="1"/>
  <c r="GO18" i="4"/>
  <c r="GT17" i="4"/>
  <c r="GS17" i="4"/>
  <c r="GQ17" i="4"/>
  <c r="GP17" i="4"/>
  <c r="GO17" i="4"/>
  <c r="GT16" i="4"/>
  <c r="GS16" i="4"/>
  <c r="GQ16" i="4"/>
  <c r="GP16" i="4"/>
  <c r="GO16" i="4"/>
  <c r="GT15" i="4"/>
  <c r="GS15" i="4"/>
  <c r="GQ15" i="4"/>
  <c r="GP15" i="4"/>
  <c r="GO15" i="4"/>
  <c r="GT14" i="4"/>
  <c r="GS14" i="4"/>
  <c r="GQ14" i="4"/>
  <c r="GP14" i="4"/>
  <c r="GO14" i="4"/>
  <c r="GT13" i="4"/>
  <c r="GS13" i="4"/>
  <c r="GQ13" i="4"/>
  <c r="GP13" i="4"/>
  <c r="GO13" i="4"/>
  <c r="GT12" i="4"/>
  <c r="GS12" i="4"/>
  <c r="GQ12" i="4"/>
  <c r="GP12" i="4"/>
  <c r="GO12" i="4"/>
  <c r="GT11" i="4"/>
  <c r="GS11" i="4"/>
  <c r="GQ11" i="4"/>
  <c r="GP11" i="4"/>
  <c r="GO11" i="4"/>
  <c r="GT10" i="4"/>
  <c r="GS10" i="4"/>
  <c r="GQ10" i="4"/>
  <c r="GP10" i="4"/>
  <c r="GR10" i="4" s="1"/>
  <c r="GO10" i="4"/>
  <c r="GT9" i="4"/>
  <c r="GS9" i="4"/>
  <c r="GQ9" i="4"/>
  <c r="GP9" i="4"/>
  <c r="GR9" i="4" s="1"/>
  <c r="GU9" i="4" s="1"/>
  <c r="GO9" i="4"/>
  <c r="GT8" i="4"/>
  <c r="GS8" i="4"/>
  <c r="GQ8" i="4"/>
  <c r="GP8" i="4"/>
  <c r="GO8" i="4"/>
  <c r="GT7" i="4"/>
  <c r="GS7" i="4"/>
  <c r="GQ7" i="4"/>
  <c r="GP7" i="4"/>
  <c r="GO7" i="4"/>
  <c r="GT6" i="4"/>
  <c r="GS6" i="4"/>
  <c r="GQ6" i="4"/>
  <c r="GP6" i="4"/>
  <c r="GO6" i="4"/>
  <c r="GT5" i="4"/>
  <c r="GS5" i="4"/>
  <c r="GQ5" i="4"/>
  <c r="GP5" i="4"/>
  <c r="GO5" i="4"/>
  <c r="GT4" i="4"/>
  <c r="GS4" i="4"/>
  <c r="GQ4" i="4"/>
  <c r="GP4" i="4"/>
  <c r="GO4" i="4"/>
  <c r="FX21" i="4"/>
  <c r="FW21" i="4"/>
  <c r="FU21" i="4"/>
  <c r="FT21" i="4"/>
  <c r="FS21" i="4"/>
  <c r="FX20" i="4"/>
  <c r="FW20" i="4"/>
  <c r="FU20" i="4"/>
  <c r="FT20" i="4"/>
  <c r="FV20" i="4" s="1"/>
  <c r="FS20" i="4"/>
  <c r="FX19" i="4"/>
  <c r="FW19" i="4"/>
  <c r="FU19" i="4"/>
  <c r="FT19" i="4"/>
  <c r="FV19" i="4" s="1"/>
  <c r="FS19" i="4"/>
  <c r="FX18" i="4"/>
  <c r="FW18" i="4"/>
  <c r="FU18" i="4"/>
  <c r="FT18" i="4"/>
  <c r="FS18" i="4"/>
  <c r="FX17" i="4"/>
  <c r="FW17" i="4"/>
  <c r="FU17" i="4"/>
  <c r="FT17" i="4"/>
  <c r="FS17" i="4"/>
  <c r="FX16" i="4"/>
  <c r="FW16" i="4"/>
  <c r="FU16" i="4"/>
  <c r="FV16" i="4" s="1"/>
  <c r="FT16" i="4"/>
  <c r="FS16" i="4"/>
  <c r="FX15" i="4"/>
  <c r="FW15" i="4"/>
  <c r="FU15" i="4"/>
  <c r="FT15" i="4"/>
  <c r="FS15" i="4"/>
  <c r="FX14" i="4"/>
  <c r="FW14" i="4"/>
  <c r="FU14" i="4"/>
  <c r="FT14" i="4"/>
  <c r="FS14" i="4"/>
  <c r="FX13" i="4"/>
  <c r="FW13" i="4"/>
  <c r="FU13" i="4"/>
  <c r="FT13" i="4"/>
  <c r="FV13" i="4" s="1"/>
  <c r="FS13" i="4"/>
  <c r="FX12" i="4"/>
  <c r="FW12" i="4"/>
  <c r="FU12" i="4"/>
  <c r="FT12" i="4"/>
  <c r="FV12" i="4" s="1"/>
  <c r="FY12" i="4" s="1"/>
  <c r="FS12" i="4"/>
  <c r="FX11" i="4"/>
  <c r="FW11" i="4"/>
  <c r="FV11" i="4"/>
  <c r="FU11" i="4"/>
  <c r="FT11" i="4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6" i="4"/>
  <c r="FW6" i="4"/>
  <c r="FU6" i="4"/>
  <c r="FT6" i="4"/>
  <c r="FV6" i="4" s="1"/>
  <c r="FS6" i="4"/>
  <c r="FX5" i="4"/>
  <c r="FW5" i="4"/>
  <c r="FU5" i="4"/>
  <c r="FT5" i="4"/>
  <c r="FS5" i="4"/>
  <c r="FX4" i="4"/>
  <c r="FW4" i="4"/>
  <c r="FU4" i="4"/>
  <c r="FT4" i="4"/>
  <c r="FS4" i="4"/>
  <c r="FB21" i="4"/>
  <c r="FA21" i="4"/>
  <c r="EY21" i="4"/>
  <c r="EX21" i="4"/>
  <c r="EW21" i="4"/>
  <c r="FB20" i="4"/>
  <c r="FA20" i="4"/>
  <c r="EY20" i="4"/>
  <c r="EX20" i="4"/>
  <c r="EW20" i="4"/>
  <c r="FB19" i="4"/>
  <c r="FA19" i="4"/>
  <c r="EY19" i="4"/>
  <c r="EX19" i="4"/>
  <c r="EW19" i="4"/>
  <c r="FB18" i="4"/>
  <c r="FA18" i="4"/>
  <c r="EY18" i="4"/>
  <c r="EX18" i="4"/>
  <c r="EW18" i="4"/>
  <c r="FB17" i="4"/>
  <c r="FA17" i="4"/>
  <c r="EY17" i="4"/>
  <c r="EX17" i="4"/>
  <c r="EZ17" i="4" s="1"/>
  <c r="FC17" i="4" s="1"/>
  <c r="EW17" i="4"/>
  <c r="FB16" i="4"/>
  <c r="FA16" i="4"/>
  <c r="EY16" i="4"/>
  <c r="EZ16" i="4" s="1"/>
  <c r="EX16" i="4"/>
  <c r="EW16" i="4"/>
  <c r="FB15" i="4"/>
  <c r="FA15" i="4"/>
  <c r="EY15" i="4"/>
  <c r="EX15" i="4"/>
  <c r="EW15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W12" i="4"/>
  <c r="FB11" i="4"/>
  <c r="FA11" i="4"/>
  <c r="EY11" i="4"/>
  <c r="EX11" i="4"/>
  <c r="EW11" i="4"/>
  <c r="FB10" i="4"/>
  <c r="FA10" i="4"/>
  <c r="EY10" i="4"/>
  <c r="EX10" i="4"/>
  <c r="EW10" i="4"/>
  <c r="FB9" i="4"/>
  <c r="FA9" i="4"/>
  <c r="EY9" i="4"/>
  <c r="EX9" i="4"/>
  <c r="EW9" i="4"/>
  <c r="FB8" i="4"/>
  <c r="FA8" i="4"/>
  <c r="EY8" i="4"/>
  <c r="EX8" i="4"/>
  <c r="EW8" i="4"/>
  <c r="FB7" i="4"/>
  <c r="FA7" i="4"/>
  <c r="EY7" i="4"/>
  <c r="EX7" i="4"/>
  <c r="EW7" i="4"/>
  <c r="FB6" i="4"/>
  <c r="FA6" i="4"/>
  <c r="EY6" i="4"/>
  <c r="EX6" i="4"/>
  <c r="EZ6" i="4" s="1"/>
  <c r="EW6" i="4"/>
  <c r="FB5" i="4"/>
  <c r="FA5" i="4"/>
  <c r="EY5" i="4"/>
  <c r="EX5" i="4"/>
  <c r="EW5" i="4"/>
  <c r="FB4" i="4"/>
  <c r="FA4" i="4"/>
  <c r="EY4" i="4"/>
  <c r="EX4" i="4"/>
  <c r="EZ4" i="4" s="1"/>
  <c r="FC4" i="4" s="1"/>
  <c r="EW4" i="4"/>
  <c r="EF21" i="4"/>
  <c r="EE21" i="4"/>
  <c r="EC21" i="4"/>
  <c r="EB21" i="4"/>
  <c r="EA21" i="4"/>
  <c r="EF20" i="4"/>
  <c r="EE20" i="4"/>
  <c r="EC20" i="4"/>
  <c r="EB20" i="4"/>
  <c r="EA20" i="4"/>
  <c r="EF19" i="4"/>
  <c r="EE19" i="4"/>
  <c r="EC19" i="4"/>
  <c r="EB19" i="4"/>
  <c r="ED19" i="4" s="1"/>
  <c r="EA19" i="4"/>
  <c r="EF18" i="4"/>
  <c r="EE18" i="4"/>
  <c r="EC18" i="4"/>
  <c r="ED18" i="4" s="1"/>
  <c r="EG18" i="4" s="1"/>
  <c r="EB18" i="4"/>
  <c r="EA18" i="4"/>
  <c r="EF17" i="4"/>
  <c r="EE17" i="4"/>
  <c r="ED17" i="4"/>
  <c r="EG17" i="4" s="1"/>
  <c r="EC17" i="4"/>
  <c r="EB17" i="4"/>
  <c r="EA17" i="4"/>
  <c r="EF16" i="4"/>
  <c r="EE16" i="4"/>
  <c r="EC16" i="4"/>
  <c r="EB16" i="4"/>
  <c r="EA16" i="4"/>
  <c r="EF15" i="4"/>
  <c r="EE15" i="4"/>
  <c r="EC15" i="4"/>
  <c r="EB15" i="4"/>
  <c r="EA15" i="4"/>
  <c r="EF14" i="4"/>
  <c r="EE14" i="4"/>
  <c r="EC14" i="4"/>
  <c r="EB14" i="4"/>
  <c r="EA14" i="4"/>
  <c r="EF13" i="4"/>
  <c r="EE13" i="4"/>
  <c r="EC13" i="4"/>
  <c r="EB13" i="4"/>
  <c r="EA13" i="4"/>
  <c r="EF12" i="4"/>
  <c r="EE12" i="4"/>
  <c r="EC12" i="4"/>
  <c r="EB12" i="4"/>
  <c r="ED12" i="4" s="1"/>
  <c r="EA12" i="4"/>
  <c r="EF11" i="4"/>
  <c r="EE11" i="4"/>
  <c r="EC11" i="4"/>
  <c r="EB11" i="4"/>
  <c r="EA11" i="4"/>
  <c r="EF10" i="4"/>
  <c r="EE10" i="4"/>
  <c r="EC10" i="4"/>
  <c r="EB10" i="4"/>
  <c r="EA10" i="4"/>
  <c r="EF9" i="4"/>
  <c r="EE9" i="4"/>
  <c r="EC9" i="4"/>
  <c r="EB9" i="4"/>
  <c r="ED9" i="4" s="1"/>
  <c r="EA9" i="4"/>
  <c r="EF8" i="4"/>
  <c r="EE8" i="4"/>
  <c r="EC8" i="4"/>
  <c r="EB8" i="4"/>
  <c r="EA8" i="4"/>
  <c r="EF7" i="4"/>
  <c r="EE7" i="4"/>
  <c r="EC7" i="4"/>
  <c r="EB7" i="4"/>
  <c r="EA7" i="4"/>
  <c r="EF6" i="4"/>
  <c r="EE6" i="4"/>
  <c r="EC6" i="4"/>
  <c r="EB6" i="4"/>
  <c r="EA6" i="4"/>
  <c r="EF5" i="4"/>
  <c r="EE5" i="4"/>
  <c r="EC5" i="4"/>
  <c r="EB5" i="4"/>
  <c r="EA5" i="4"/>
  <c r="EF4" i="4"/>
  <c r="EE4" i="4"/>
  <c r="EC4" i="4"/>
  <c r="EB4" i="4"/>
  <c r="ED4" i="4" s="1"/>
  <c r="EA4" i="4"/>
  <c r="AH10" i="8"/>
  <c r="AI10" i="8"/>
  <c r="AJ10" i="8"/>
  <c r="AK10" i="8"/>
  <c r="BD10" i="8"/>
  <c r="BE10" i="8"/>
  <c r="BG10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AH7" i="8"/>
  <c r="AI7" i="8"/>
  <c r="AJ7" i="8"/>
  <c r="AK7" i="8"/>
  <c r="BD7" i="8"/>
  <c r="BE7" i="8"/>
  <c r="BG7" i="8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AH8" i="8"/>
  <c r="AI8" i="8"/>
  <c r="AJ8" i="8"/>
  <c r="AK8" i="8"/>
  <c r="BD8" i="8"/>
  <c r="BE8" i="8"/>
  <c r="BG8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AH9" i="8"/>
  <c r="AI9" i="8"/>
  <c r="AJ9" i="8"/>
  <c r="AK9" i="8"/>
  <c r="BD9" i="8"/>
  <c r="BE9" i="8"/>
  <c r="BG9" i="8"/>
  <c r="BZ9" i="8"/>
  <c r="CA9" i="8"/>
  <c r="CC9" i="8"/>
  <c r="LT9" i="8"/>
  <c r="LU9" i="8"/>
  <c r="LV9" i="8"/>
  <c r="LW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AH8" i="7"/>
  <c r="AI8" i="7"/>
  <c r="AJ8" i="7"/>
  <c r="AK8" i="7"/>
  <c r="BD8" i="7"/>
  <c r="BE8" i="7"/>
  <c r="BF8" i="7"/>
  <c r="BG8" i="7"/>
  <c r="BH8" i="7" s="1"/>
  <c r="BZ8" i="7"/>
  <c r="CA8" i="7"/>
  <c r="CB8" i="7"/>
  <c r="CC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AH7" i="7"/>
  <c r="AI7" i="7"/>
  <c r="AJ7" i="7"/>
  <c r="AK7" i="7"/>
  <c r="BD7" i="7"/>
  <c r="BE7" i="7"/>
  <c r="BF7" i="7"/>
  <c r="BG7" i="7"/>
  <c r="BH7" i="7" s="1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AH4" i="7"/>
  <c r="AI4" i="7"/>
  <c r="AJ4" i="7"/>
  <c r="AK4" i="7"/>
  <c r="BD4" i="7"/>
  <c r="BE4" i="7"/>
  <c r="BF4" i="7"/>
  <c r="BG4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AQ21" i="14"/>
  <c r="AR21" i="14"/>
  <c r="AS21" i="14"/>
  <c r="AT21" i="14"/>
  <c r="AU21" i="14"/>
  <c r="AW21" i="14"/>
  <c r="AX21" i="14"/>
  <c r="BU21" i="14"/>
  <c r="BV21" i="14"/>
  <c r="BW21" i="14"/>
  <c r="BX21" i="14"/>
  <c r="BY21" i="14"/>
  <c r="CA21" i="14"/>
  <c r="CB21" i="14"/>
  <c r="CY21" i="14"/>
  <c r="CZ21" i="14"/>
  <c r="DA21" i="14"/>
  <c r="DB21" i="14"/>
  <c r="DC21" i="14"/>
  <c r="DE21" i="14"/>
  <c r="DF21" i="14"/>
  <c r="NI21" i="14"/>
  <c r="NJ21" i="14"/>
  <c r="NK21" i="14"/>
  <c r="NM21" i="14"/>
  <c r="NN21" i="14"/>
  <c r="NP21" i="14"/>
  <c r="NQ21" i="14"/>
  <c r="NR21" i="14"/>
  <c r="NS21" i="14"/>
  <c r="NT21" i="14"/>
  <c r="NU21" i="14"/>
  <c r="NV21" i="14"/>
  <c r="NW21" i="14"/>
  <c r="OL21" i="14" s="1"/>
  <c r="NX21" i="14"/>
  <c r="NY21" i="14"/>
  <c r="NZ21" i="14"/>
  <c r="OA21" i="14"/>
  <c r="OB21" i="14"/>
  <c r="ON21" i="14" s="1"/>
  <c r="OC21" i="14"/>
  <c r="OD21" i="14"/>
  <c r="OE21" i="14"/>
  <c r="OF21" i="14"/>
  <c r="OG21" i="14"/>
  <c r="OQ21" i="14" s="1"/>
  <c r="OH21" i="14"/>
  <c r="OI21" i="14"/>
  <c r="AQ19" i="14"/>
  <c r="AR19" i="14"/>
  <c r="AS19" i="14"/>
  <c r="AT19" i="14"/>
  <c r="AU19" i="14"/>
  <c r="AW19" i="14"/>
  <c r="AX19" i="14"/>
  <c r="BU19" i="14"/>
  <c r="BV19" i="14"/>
  <c r="BW19" i="14"/>
  <c r="BX19" i="14"/>
  <c r="BY19" i="14"/>
  <c r="CA19" i="14"/>
  <c r="CB19" i="14"/>
  <c r="CY19" i="14"/>
  <c r="CZ19" i="14"/>
  <c r="DA19" i="14"/>
  <c r="DB19" i="14"/>
  <c r="DC19" i="14"/>
  <c r="DE19" i="14"/>
  <c r="DF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AQ17" i="14"/>
  <c r="AR17" i="14"/>
  <c r="AS17" i="14"/>
  <c r="AT17" i="14"/>
  <c r="AU17" i="14"/>
  <c r="AW17" i="14"/>
  <c r="AX17" i="14"/>
  <c r="BU17" i="14"/>
  <c r="BV17" i="14"/>
  <c r="BW17" i="14"/>
  <c r="BX17" i="14"/>
  <c r="BY17" i="14"/>
  <c r="CA17" i="14"/>
  <c r="CB17" i="14"/>
  <c r="CY17" i="14"/>
  <c r="CZ17" i="14"/>
  <c r="DA17" i="14"/>
  <c r="DB17" i="14"/>
  <c r="DC17" i="14"/>
  <c r="DE17" i="14"/>
  <c r="DF17" i="14"/>
  <c r="NI17" i="14"/>
  <c r="NJ17" i="14"/>
  <c r="NK17" i="14"/>
  <c r="NM17" i="14"/>
  <c r="NN17" i="14"/>
  <c r="NP17" i="14"/>
  <c r="NQ17" i="14"/>
  <c r="NR17" i="14"/>
  <c r="NS17" i="14"/>
  <c r="NT17" i="14"/>
  <c r="NU17" i="14"/>
  <c r="NV17" i="14"/>
  <c r="NW17" i="14"/>
  <c r="OL17" i="14" s="1"/>
  <c r="NX17" i="14"/>
  <c r="NY17" i="14"/>
  <c r="NZ17" i="14"/>
  <c r="OA17" i="14"/>
  <c r="OB17" i="14"/>
  <c r="ON17" i="14" s="1"/>
  <c r="OC17" i="14"/>
  <c r="OD17" i="14"/>
  <c r="OE17" i="14"/>
  <c r="OF17" i="14"/>
  <c r="OG17" i="14"/>
  <c r="OQ17" i="14" s="1"/>
  <c r="OH17" i="14"/>
  <c r="OI17" i="14"/>
  <c r="AQ15" i="14"/>
  <c r="AR15" i="14"/>
  <c r="AS15" i="14"/>
  <c r="AT15" i="14"/>
  <c r="AU15" i="14"/>
  <c r="AW15" i="14"/>
  <c r="AX15" i="14"/>
  <c r="BU15" i="14"/>
  <c r="BV15" i="14"/>
  <c r="BW15" i="14"/>
  <c r="BX15" i="14"/>
  <c r="BY15" i="14"/>
  <c r="CA15" i="14"/>
  <c r="CB15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AQ18" i="4"/>
  <c r="AR18" i="4"/>
  <c r="AS18" i="4"/>
  <c r="AT18" i="4"/>
  <c r="AU18" i="4"/>
  <c r="AW18" i="4"/>
  <c r="AX18" i="4"/>
  <c r="BU18" i="4"/>
  <c r="BV18" i="4"/>
  <c r="BW18" i="4"/>
  <c r="BX18" i="4"/>
  <c r="BY18" i="4"/>
  <c r="CA18" i="4"/>
  <c r="CB18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AH20" i="12"/>
  <c r="AI20" i="12"/>
  <c r="AL20" i="12" s="1"/>
  <c r="AJ20" i="12"/>
  <c r="AK20" i="12"/>
  <c r="BD20" i="12"/>
  <c r="BE20" i="12"/>
  <c r="BH20" i="12" s="1"/>
  <c r="BF20" i="12"/>
  <c r="BG20" i="12"/>
  <c r="BZ20" i="12"/>
  <c r="CA20" i="12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AH18" i="12"/>
  <c r="AI18" i="12"/>
  <c r="AJ18" i="12"/>
  <c r="AK18" i="12"/>
  <c r="BD18" i="12"/>
  <c r="BE18" i="12"/>
  <c r="BF18" i="12"/>
  <c r="BG18" i="12"/>
  <c r="BZ18" i="12"/>
  <c r="CA18" i="12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AH17" i="12"/>
  <c r="AI17" i="12"/>
  <c r="AJ17" i="12"/>
  <c r="AK17" i="12"/>
  <c r="BD17" i="12"/>
  <c r="BE17" i="12"/>
  <c r="BF17" i="12"/>
  <c r="BG17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AH12" i="12"/>
  <c r="AI12" i="12"/>
  <c r="J12" i="12" s="1"/>
  <c r="AJ12" i="12"/>
  <c r="AK12" i="12"/>
  <c r="BD12" i="12"/>
  <c r="BE12" i="12"/>
  <c r="BF12" i="12"/>
  <c r="BG12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DA13" i="12" l="1"/>
  <c r="FL8" i="12"/>
  <c r="IR13" i="12"/>
  <c r="LC13" i="12"/>
  <c r="J17" i="12"/>
  <c r="K17" i="12" s="1"/>
  <c r="J18" i="12"/>
  <c r="K18" i="12" s="1"/>
  <c r="DA12" i="12"/>
  <c r="DA15" i="12"/>
  <c r="DA17" i="12"/>
  <c r="EQ8" i="12"/>
  <c r="EQ19" i="12"/>
  <c r="FL5" i="12"/>
  <c r="FL4" i="12"/>
  <c r="JM11" i="12"/>
  <c r="EQ13" i="12"/>
  <c r="FL15" i="12"/>
  <c r="FL17" i="12"/>
  <c r="HB9" i="12"/>
  <c r="HB14" i="12"/>
  <c r="HB16" i="12"/>
  <c r="JM10" i="12"/>
  <c r="JM6" i="12"/>
  <c r="JM20" i="12"/>
  <c r="KH8" i="12"/>
  <c r="DV19" i="12"/>
  <c r="EQ5" i="12"/>
  <c r="EQ4" i="12"/>
  <c r="GG6" i="12"/>
  <c r="HW7" i="12"/>
  <c r="JM9" i="12"/>
  <c r="JM14" i="12"/>
  <c r="JM16" i="12"/>
  <c r="DA6" i="12"/>
  <c r="DV13" i="12"/>
  <c r="EQ11" i="12"/>
  <c r="EQ12" i="12"/>
  <c r="EQ15" i="12"/>
  <c r="GG14" i="12"/>
  <c r="HW12" i="12"/>
  <c r="HW15" i="12"/>
  <c r="HW17" i="12"/>
  <c r="JM18" i="12"/>
  <c r="JM19" i="12"/>
  <c r="KH5" i="12"/>
  <c r="KH4" i="12"/>
  <c r="KH7" i="12"/>
  <c r="K12" i="12"/>
  <c r="CE12" i="12"/>
  <c r="DA11" i="12"/>
  <c r="DV10" i="12"/>
  <c r="DV6" i="12"/>
  <c r="EQ10" i="12"/>
  <c r="EQ6" i="12"/>
  <c r="FL10" i="12"/>
  <c r="FL6" i="12"/>
  <c r="FL20" i="12"/>
  <c r="GG9" i="12"/>
  <c r="HB10" i="12"/>
  <c r="HB6" i="12"/>
  <c r="HB20" i="12"/>
  <c r="HW9" i="12"/>
  <c r="HW20" i="12"/>
  <c r="IR9" i="12"/>
  <c r="IR14" i="12"/>
  <c r="IR16" i="12"/>
  <c r="JM13" i="12"/>
  <c r="KH12" i="12"/>
  <c r="KH15" i="12"/>
  <c r="GG8" i="12"/>
  <c r="GG20" i="12"/>
  <c r="HW8" i="12"/>
  <c r="IR8" i="12"/>
  <c r="DA9" i="12"/>
  <c r="DV14" i="12"/>
  <c r="DV16" i="12"/>
  <c r="EQ14" i="12"/>
  <c r="EQ16" i="12"/>
  <c r="FL19" i="12"/>
  <c r="GG16" i="12"/>
  <c r="HB18" i="12"/>
  <c r="HB19" i="12"/>
  <c r="HW18" i="12"/>
  <c r="JM12" i="12"/>
  <c r="JM15" i="12"/>
  <c r="LC9" i="12"/>
  <c r="J20" i="12"/>
  <c r="DA8" i="12"/>
  <c r="DA16" i="12"/>
  <c r="DV18" i="12"/>
  <c r="EQ18" i="12"/>
  <c r="FL13" i="12"/>
  <c r="GG5" i="12"/>
  <c r="GG4" i="12"/>
  <c r="GG18" i="12"/>
  <c r="HB13" i="12"/>
  <c r="HW5" i="12"/>
  <c r="HW4" i="12"/>
  <c r="HW13" i="12"/>
  <c r="IR5" i="12"/>
  <c r="IR4" i="12"/>
  <c r="KH10" i="12"/>
  <c r="KH6" i="12"/>
  <c r="KH20" i="12"/>
  <c r="LC8" i="12"/>
  <c r="LC14" i="12"/>
  <c r="LC16" i="12"/>
  <c r="LC18" i="12"/>
  <c r="HW11" i="12"/>
  <c r="IR11" i="12"/>
  <c r="KH13" i="12"/>
  <c r="FL11" i="12"/>
  <c r="HB11" i="12"/>
  <c r="IR20" i="12"/>
  <c r="JM8" i="12"/>
  <c r="DA15" i="6"/>
  <c r="EQ5" i="6"/>
  <c r="EQ6" i="6"/>
  <c r="EQ11" i="6"/>
  <c r="FL22" i="6"/>
  <c r="GG22" i="6"/>
  <c r="IR17" i="6"/>
  <c r="IR23" i="6"/>
  <c r="KH13" i="6"/>
  <c r="LC16" i="6"/>
  <c r="DV7" i="6"/>
  <c r="GG13" i="6"/>
  <c r="DA12" i="6"/>
  <c r="DA16" i="6"/>
  <c r="FL17" i="6"/>
  <c r="FL23" i="6"/>
  <c r="KH14" i="6"/>
  <c r="KH15" i="6"/>
  <c r="KH21" i="6"/>
  <c r="DA4" i="6"/>
  <c r="DV10" i="6"/>
  <c r="DV8" i="6"/>
  <c r="DV12" i="6"/>
  <c r="DV13" i="6"/>
  <c r="DV16" i="6"/>
  <c r="GG14" i="6"/>
  <c r="HB13" i="6"/>
  <c r="HW9" i="6"/>
  <c r="IR9" i="6"/>
  <c r="JM20" i="6"/>
  <c r="LC11" i="6"/>
  <c r="EQ9" i="6"/>
  <c r="EQ12" i="6"/>
  <c r="KH16" i="6"/>
  <c r="EQ22" i="6"/>
  <c r="HB7" i="6"/>
  <c r="HW7" i="6"/>
  <c r="JM13" i="6"/>
  <c r="JM16" i="6"/>
  <c r="JM22" i="6"/>
  <c r="DA10" i="6"/>
  <c r="DA8" i="6"/>
  <c r="DA20" i="6"/>
  <c r="DV19" i="6"/>
  <c r="DV18" i="6"/>
  <c r="EQ14" i="6"/>
  <c r="EQ15" i="6"/>
  <c r="EQ21" i="6"/>
  <c r="FL9" i="6"/>
  <c r="GG15" i="6"/>
  <c r="GG21" i="6"/>
  <c r="HB19" i="6"/>
  <c r="HB18" i="6"/>
  <c r="HW17" i="6"/>
  <c r="HW23" i="6"/>
  <c r="KH22" i="6"/>
  <c r="EQ7" i="6"/>
  <c r="FL13" i="6"/>
  <c r="HB9" i="6"/>
  <c r="HW20" i="6"/>
  <c r="IR13" i="6"/>
  <c r="LC9" i="6"/>
  <c r="DA5" i="6"/>
  <c r="DA19" i="6"/>
  <c r="DA18" i="6"/>
  <c r="DV6" i="6"/>
  <c r="DV11" i="6"/>
  <c r="GG8" i="6"/>
  <c r="GG23" i="6"/>
  <c r="HW10" i="6"/>
  <c r="HW8" i="6"/>
  <c r="IR6" i="6"/>
  <c r="IR7" i="6"/>
  <c r="IR11" i="6"/>
  <c r="JM19" i="6"/>
  <c r="JM18" i="6"/>
  <c r="KH7" i="6"/>
  <c r="KH17" i="6"/>
  <c r="KH23" i="6"/>
  <c r="DA13" i="6"/>
  <c r="DV14" i="6"/>
  <c r="EQ10" i="6"/>
  <c r="EQ8" i="6"/>
  <c r="FL14" i="6"/>
  <c r="FL15" i="6"/>
  <c r="FL21" i="6"/>
  <c r="HB5" i="6"/>
  <c r="HB6" i="6"/>
  <c r="HB11" i="6"/>
  <c r="HB22" i="6"/>
  <c r="HW19" i="6"/>
  <c r="HW18" i="6"/>
  <c r="IR14" i="6"/>
  <c r="IR15" i="6"/>
  <c r="IR20" i="6"/>
  <c r="IR21" i="6"/>
  <c r="JM9" i="6"/>
  <c r="KH20" i="6"/>
  <c r="LC5" i="6"/>
  <c r="LC6" i="6"/>
  <c r="LC13" i="6"/>
  <c r="FL7" i="6"/>
  <c r="DA14" i="6"/>
  <c r="DV17" i="6"/>
  <c r="GG5" i="6"/>
  <c r="HB17" i="6"/>
  <c r="HB23" i="6"/>
  <c r="JM5" i="6"/>
  <c r="JM6" i="6"/>
  <c r="JM11" i="6"/>
  <c r="KH19" i="6"/>
  <c r="KH18" i="6"/>
  <c r="LC14" i="6"/>
  <c r="LC15" i="6"/>
  <c r="DA7" i="6"/>
  <c r="DV20" i="6"/>
  <c r="EQ13" i="6"/>
  <c r="FL8" i="6"/>
  <c r="GG6" i="6"/>
  <c r="GG11" i="6"/>
  <c r="HB20" i="6"/>
  <c r="HW6" i="6"/>
  <c r="HW11" i="6"/>
  <c r="HW22" i="6"/>
  <c r="IR10" i="6"/>
  <c r="IR8" i="6"/>
  <c r="JM14" i="6"/>
  <c r="JM15" i="6"/>
  <c r="JM21" i="6"/>
  <c r="KH9" i="6"/>
  <c r="LX10" i="8"/>
  <c r="DV4" i="8"/>
  <c r="FL8" i="8"/>
  <c r="FL10" i="8"/>
  <c r="GG5" i="8"/>
  <c r="EQ9" i="8"/>
  <c r="KH6" i="8"/>
  <c r="EQ6" i="8"/>
  <c r="EQ8" i="8"/>
  <c r="EQ10" i="8"/>
  <c r="FL5" i="8"/>
  <c r="GG9" i="8"/>
  <c r="DV9" i="8"/>
  <c r="HW9" i="8"/>
  <c r="LC5" i="8"/>
  <c r="LC7" i="8"/>
  <c r="FL6" i="8"/>
  <c r="IR4" i="8"/>
  <c r="LX7" i="8"/>
  <c r="DV6" i="8"/>
  <c r="EQ4" i="8"/>
  <c r="HB9" i="8"/>
  <c r="HW4" i="8"/>
  <c r="HW10" i="8"/>
  <c r="IR5" i="8"/>
  <c r="KH8" i="8"/>
  <c r="LC4" i="8"/>
  <c r="KH4" i="8"/>
  <c r="DA8" i="8"/>
  <c r="FL9" i="8"/>
  <c r="GG6" i="8"/>
  <c r="HB4" i="8"/>
  <c r="IR9" i="8"/>
  <c r="JM4" i="8"/>
  <c r="KH5" i="8"/>
  <c r="DA4" i="8"/>
  <c r="HW9" i="7"/>
  <c r="DA7" i="7"/>
  <c r="DV6" i="7"/>
  <c r="HB9" i="7"/>
  <c r="HW6" i="7"/>
  <c r="IR5" i="7"/>
  <c r="FL9" i="7"/>
  <c r="GG4" i="7"/>
  <c r="IR10" i="7"/>
  <c r="KH4" i="7"/>
  <c r="DA6" i="7"/>
  <c r="FL4" i="7"/>
  <c r="HB10" i="7"/>
  <c r="HW5" i="7"/>
  <c r="IR6" i="7"/>
  <c r="LC9" i="7"/>
  <c r="GG9" i="7"/>
  <c r="HB6" i="7"/>
  <c r="HW4" i="7"/>
  <c r="JM5" i="7"/>
  <c r="DA5" i="7"/>
  <c r="EQ8" i="7"/>
  <c r="HB8" i="7"/>
  <c r="KH6" i="7"/>
  <c r="LC4" i="7"/>
  <c r="EQ4" i="7"/>
  <c r="DV8" i="7"/>
  <c r="GG6" i="7"/>
  <c r="KH10" i="7"/>
  <c r="LC5" i="7"/>
  <c r="DA9" i="7"/>
  <c r="DV4" i="7"/>
  <c r="DV10" i="7"/>
  <c r="EQ5" i="7"/>
  <c r="GG8" i="7"/>
  <c r="GG10" i="7"/>
  <c r="HB5" i="7"/>
  <c r="JM6" i="7"/>
  <c r="DA8" i="7"/>
  <c r="DA10" i="7"/>
  <c r="DV5" i="7"/>
  <c r="FL6" i="7"/>
  <c r="IR7" i="7"/>
  <c r="DA4" i="7"/>
  <c r="EQ9" i="7"/>
  <c r="FL8" i="7"/>
  <c r="FL10" i="7"/>
  <c r="GG5" i="7"/>
  <c r="HW8" i="7"/>
  <c r="HW10" i="7"/>
  <c r="LC6" i="7"/>
  <c r="FV19" i="14"/>
  <c r="FY19" i="14" s="1"/>
  <c r="EG5" i="14"/>
  <c r="FC19" i="14"/>
  <c r="FV8" i="14"/>
  <c r="IJ7" i="14"/>
  <c r="IM7" i="14" s="1"/>
  <c r="IM12" i="14"/>
  <c r="IM20" i="14"/>
  <c r="GR15" i="14"/>
  <c r="GU15" i="14" s="1"/>
  <c r="GR18" i="14"/>
  <c r="GU18" i="14" s="1"/>
  <c r="HN4" i="14"/>
  <c r="HN12" i="14"/>
  <c r="JF5" i="14"/>
  <c r="JI5" i="14" s="1"/>
  <c r="JF14" i="14"/>
  <c r="JI14" i="14" s="1"/>
  <c r="JF22" i="14"/>
  <c r="KB22" i="14"/>
  <c r="KE22" i="14" s="1"/>
  <c r="KX11" i="14"/>
  <c r="LA11" i="14" s="1"/>
  <c r="KX19" i="14"/>
  <c r="LA19" i="14" s="1"/>
  <c r="MP13" i="14"/>
  <c r="MS13" i="14" s="1"/>
  <c r="LT21" i="14"/>
  <c r="LW21" i="14" s="1"/>
  <c r="EZ7" i="14"/>
  <c r="FC7" i="14" s="1"/>
  <c r="EZ10" i="14"/>
  <c r="FC10" i="14" s="1"/>
  <c r="EZ15" i="14"/>
  <c r="FC15" i="14" s="1"/>
  <c r="FV12" i="14"/>
  <c r="FY12" i="14" s="1"/>
  <c r="GR17" i="14"/>
  <c r="JF8" i="14"/>
  <c r="JI8" i="14" s="1"/>
  <c r="JF16" i="14"/>
  <c r="JF19" i="14"/>
  <c r="JI19" i="14" s="1"/>
  <c r="KB16" i="14"/>
  <c r="KE16" i="14" s="1"/>
  <c r="KX6" i="14"/>
  <c r="LA6" i="14" s="1"/>
  <c r="KX21" i="14"/>
  <c r="KX7" i="14"/>
  <c r="KX10" i="14"/>
  <c r="LA10" i="14" s="1"/>
  <c r="KX15" i="14"/>
  <c r="LT7" i="14"/>
  <c r="LW7" i="14" s="1"/>
  <c r="ED10" i="14"/>
  <c r="EG10" i="14" s="1"/>
  <c r="FC4" i="14"/>
  <c r="FC20" i="14"/>
  <c r="FV9" i="14"/>
  <c r="FY9" i="14" s="1"/>
  <c r="GR20" i="14"/>
  <c r="HN9" i="14"/>
  <c r="HQ9" i="14" s="1"/>
  <c r="HN20" i="14"/>
  <c r="IJ17" i="14"/>
  <c r="JF9" i="14"/>
  <c r="JI9" i="14" s="1"/>
  <c r="KB20" i="14"/>
  <c r="KX5" i="14"/>
  <c r="LA5" i="14" s="1"/>
  <c r="KX14" i="14"/>
  <c r="LA14" i="14" s="1"/>
  <c r="LT19" i="14"/>
  <c r="LW19" i="14" s="1"/>
  <c r="MP8" i="14"/>
  <c r="MS8" i="14" s="1"/>
  <c r="MP11" i="14"/>
  <c r="MS11" i="14" s="1"/>
  <c r="MP16" i="14"/>
  <c r="MS16" i="14" s="1"/>
  <c r="ED12" i="14"/>
  <c r="ED17" i="14"/>
  <c r="EG17" i="14" s="1"/>
  <c r="EZ5" i="14"/>
  <c r="FC5" i="14" s="1"/>
  <c r="EZ22" i="14"/>
  <c r="FC22" i="14" s="1"/>
  <c r="FV11" i="14"/>
  <c r="FY11" i="14" s="1"/>
  <c r="FV22" i="14"/>
  <c r="GR14" i="14"/>
  <c r="HN11" i="14"/>
  <c r="HQ11" i="14" s="1"/>
  <c r="HN14" i="14"/>
  <c r="HQ14" i="14" s="1"/>
  <c r="HN22" i="14"/>
  <c r="HQ22" i="14" s="1"/>
  <c r="IJ11" i="14"/>
  <c r="JF11" i="14"/>
  <c r="JI11" i="14" s="1"/>
  <c r="KB19" i="14"/>
  <c r="KE19" i="14" s="1"/>
  <c r="KX16" i="14"/>
  <c r="LA16" i="14" s="1"/>
  <c r="LW8" i="14"/>
  <c r="MP21" i="14"/>
  <c r="MS21" i="14" s="1"/>
  <c r="ED11" i="14"/>
  <c r="EG11" i="14" s="1"/>
  <c r="ED19" i="14"/>
  <c r="EG19" i="14" s="1"/>
  <c r="EZ8" i="14"/>
  <c r="FC8" i="14" s="1"/>
  <c r="EZ11" i="14"/>
  <c r="FC11" i="14" s="1"/>
  <c r="EZ16" i="14"/>
  <c r="FV13" i="14"/>
  <c r="FY13" i="14" s="1"/>
  <c r="GR6" i="14"/>
  <c r="GU6" i="14" s="1"/>
  <c r="GR16" i="14"/>
  <c r="GU16" i="14" s="1"/>
  <c r="GR19" i="14"/>
  <c r="GU19" i="14" s="1"/>
  <c r="HN16" i="14"/>
  <c r="HQ16" i="14" s="1"/>
  <c r="IJ6" i="14"/>
  <c r="IJ13" i="14"/>
  <c r="IM13" i="14" s="1"/>
  <c r="KB6" i="14"/>
  <c r="KB13" i="14"/>
  <c r="KB21" i="14"/>
  <c r="MP7" i="14"/>
  <c r="MS7" i="14" s="1"/>
  <c r="MP10" i="14"/>
  <c r="MS10" i="14" s="1"/>
  <c r="MP15" i="14"/>
  <c r="MP18" i="14"/>
  <c r="EZ6" i="14"/>
  <c r="EZ21" i="14"/>
  <c r="FC21" i="14" s="1"/>
  <c r="FV21" i="14"/>
  <c r="FY21" i="14" s="1"/>
  <c r="GR13" i="14"/>
  <c r="GU13" i="14" s="1"/>
  <c r="HQ6" i="14"/>
  <c r="MP20" i="14"/>
  <c r="MS20" i="14" s="1"/>
  <c r="ED6" i="14"/>
  <c r="ED13" i="14"/>
  <c r="FV7" i="14"/>
  <c r="FY7" i="14" s="1"/>
  <c r="IJ15" i="14"/>
  <c r="IM15" i="14" s="1"/>
  <c r="JF7" i="14"/>
  <c r="JF15" i="14"/>
  <c r="JI15" i="14" s="1"/>
  <c r="JF18" i="14"/>
  <c r="JI18" i="14" s="1"/>
  <c r="KX20" i="14"/>
  <c r="LA20" i="14" s="1"/>
  <c r="LT12" i="14"/>
  <c r="LW12" i="14" s="1"/>
  <c r="LT20" i="14"/>
  <c r="LW20" i="14" s="1"/>
  <c r="MP17" i="14"/>
  <c r="MS17" i="14" s="1"/>
  <c r="ED5" i="4"/>
  <c r="EG5" i="4" s="1"/>
  <c r="ED8" i="4"/>
  <c r="EG8" i="4" s="1"/>
  <c r="EZ9" i="4"/>
  <c r="FC9" i="4" s="1"/>
  <c r="EZ20" i="4"/>
  <c r="FC20" i="4" s="1"/>
  <c r="GR6" i="4"/>
  <c r="GU6" i="4" s="1"/>
  <c r="GR14" i="4"/>
  <c r="GU14" i="4" s="1"/>
  <c r="GR17" i="4"/>
  <c r="GU17" i="4" s="1"/>
  <c r="HN4" i="4"/>
  <c r="HQ4" i="4" s="1"/>
  <c r="HN12" i="4"/>
  <c r="HQ12" i="4" s="1"/>
  <c r="IJ5" i="4"/>
  <c r="IM5" i="4" s="1"/>
  <c r="JF6" i="4"/>
  <c r="JI6" i="4" s="1"/>
  <c r="KB4" i="4"/>
  <c r="KE4" i="4" s="1"/>
  <c r="KB12" i="4"/>
  <c r="KE12" i="4" s="1"/>
  <c r="KB20" i="4"/>
  <c r="KE20" i="4" s="1"/>
  <c r="KX10" i="4"/>
  <c r="LA10" i="4" s="1"/>
  <c r="KX18" i="4"/>
  <c r="MP6" i="4"/>
  <c r="MS6" i="4" s="1"/>
  <c r="MP9" i="4"/>
  <c r="MS9" i="4" s="1"/>
  <c r="FC6" i="4"/>
  <c r="FY13" i="4"/>
  <c r="FY16" i="4"/>
  <c r="GU19" i="4"/>
  <c r="HQ9" i="4"/>
  <c r="HQ20" i="4"/>
  <c r="JI11" i="4"/>
  <c r="JI19" i="4"/>
  <c r="KE9" i="4"/>
  <c r="KE17" i="4"/>
  <c r="LW13" i="4"/>
  <c r="LW16" i="4"/>
  <c r="LW21" i="4"/>
  <c r="MS11" i="4"/>
  <c r="ED10" i="4"/>
  <c r="EZ11" i="4"/>
  <c r="FC11" i="4" s="1"/>
  <c r="FV4" i="4"/>
  <c r="FY4" i="4" s="1"/>
  <c r="HN6" i="4"/>
  <c r="HQ6" i="4" s="1"/>
  <c r="IJ10" i="4"/>
  <c r="IJ18" i="4"/>
  <c r="IM18" i="4" s="1"/>
  <c r="KB6" i="4"/>
  <c r="KE6" i="4" s="1"/>
  <c r="KX4" i="4"/>
  <c r="LA4" i="4" s="1"/>
  <c r="KX12" i="4"/>
  <c r="LA12" i="4" s="1"/>
  <c r="KX20" i="4"/>
  <c r="LA20" i="4" s="1"/>
  <c r="LT10" i="4"/>
  <c r="LW10" i="4" s="1"/>
  <c r="LT18" i="4"/>
  <c r="LW18" i="4" s="1"/>
  <c r="EG4" i="4"/>
  <c r="EG12" i="4"/>
  <c r="EG19" i="4"/>
  <c r="FV9" i="4"/>
  <c r="FY9" i="4" s="1"/>
  <c r="GR13" i="4"/>
  <c r="GU13" i="4" s="1"/>
  <c r="HN11" i="4"/>
  <c r="HQ11" i="4" s="1"/>
  <c r="IJ4" i="4"/>
  <c r="IM4" i="4" s="1"/>
  <c r="IJ12" i="4"/>
  <c r="IM12" i="4" s="1"/>
  <c r="JF5" i="4"/>
  <c r="JI5" i="4" s="1"/>
  <c r="JF13" i="4"/>
  <c r="JI13" i="4" s="1"/>
  <c r="KB11" i="4"/>
  <c r="KE11" i="4" s="1"/>
  <c r="KX9" i="4"/>
  <c r="LA9" i="4" s="1"/>
  <c r="LT7" i="4"/>
  <c r="LW7" i="4" s="1"/>
  <c r="LT15" i="4"/>
  <c r="LW15" i="4" s="1"/>
  <c r="MP13" i="4"/>
  <c r="MS13" i="4" s="1"/>
  <c r="DD18" i="4"/>
  <c r="EG9" i="4"/>
  <c r="FC16" i="4"/>
  <c r="FY6" i="4"/>
  <c r="FY20" i="4"/>
  <c r="IM9" i="4"/>
  <c r="IM17" i="4"/>
  <c r="IM20" i="4"/>
  <c r="JI18" i="4"/>
  <c r="LA14" i="4"/>
  <c r="LW4" i="4"/>
  <c r="LW20" i="4"/>
  <c r="MS10" i="4"/>
  <c r="MS21" i="4"/>
  <c r="ED6" i="4"/>
  <c r="EZ10" i="4"/>
  <c r="FC10" i="4" s="1"/>
  <c r="EZ21" i="4"/>
  <c r="FC21" i="4" s="1"/>
  <c r="FV17" i="4"/>
  <c r="FY17" i="4" s="1"/>
  <c r="GR7" i="4"/>
  <c r="GU7" i="4" s="1"/>
  <c r="HN13" i="4"/>
  <c r="HQ13" i="4" s="1"/>
  <c r="HN16" i="4"/>
  <c r="HQ16" i="4" s="1"/>
  <c r="IJ14" i="4"/>
  <c r="IM14" i="4" s="1"/>
  <c r="JF15" i="4"/>
  <c r="JI15" i="4" s="1"/>
  <c r="KB13" i="4"/>
  <c r="KE13" i="4" s="1"/>
  <c r="KB16" i="4"/>
  <c r="KX11" i="4"/>
  <c r="LA11" i="4" s="1"/>
  <c r="LT9" i="4"/>
  <c r="LW9" i="4" s="1"/>
  <c r="ED11" i="4"/>
  <c r="EZ7" i="4"/>
  <c r="FC7" i="4" s="1"/>
  <c r="EZ15" i="4"/>
  <c r="FC15" i="4" s="1"/>
  <c r="EZ18" i="4"/>
  <c r="FC18" i="4" s="1"/>
  <c r="FV14" i="4"/>
  <c r="FY14" i="4" s="1"/>
  <c r="GR4" i="4"/>
  <c r="GU4" i="4" s="1"/>
  <c r="GR12" i="4"/>
  <c r="GU12" i="4" s="1"/>
  <c r="GR20" i="4"/>
  <c r="GU20" i="4" s="1"/>
  <c r="IJ11" i="4"/>
  <c r="IM11" i="4" s="1"/>
  <c r="JF4" i="4"/>
  <c r="JI4" i="4" s="1"/>
  <c r="JF20" i="4"/>
  <c r="JI20" i="4" s="1"/>
  <c r="LT6" i="4"/>
  <c r="LW6" i="4" s="1"/>
  <c r="MP4" i="4"/>
  <c r="MS4" i="4" s="1"/>
  <c r="MP12" i="4"/>
  <c r="MS12" i="4" s="1"/>
  <c r="EG10" i="4"/>
  <c r="EG11" i="4"/>
  <c r="FY19" i="4"/>
  <c r="HQ17" i="4"/>
  <c r="IM10" i="4"/>
  <c r="ED15" i="4"/>
  <c r="EG15" i="4" s="1"/>
  <c r="ED21" i="4"/>
  <c r="EG21" i="4" s="1"/>
  <c r="EZ14" i="4"/>
  <c r="FC14" i="4" s="1"/>
  <c r="FV5" i="4"/>
  <c r="FY5" i="4" s="1"/>
  <c r="FV8" i="4"/>
  <c r="FY8" i="4" s="1"/>
  <c r="FV21" i="4"/>
  <c r="FY21" i="4" s="1"/>
  <c r="GU10" i="4"/>
  <c r="HN5" i="4"/>
  <c r="HQ5" i="4" s="1"/>
  <c r="HN8" i="4"/>
  <c r="HQ8" i="4" s="1"/>
  <c r="HN19" i="4"/>
  <c r="HQ19" i="4" s="1"/>
  <c r="IJ16" i="4"/>
  <c r="IM16" i="4" s="1"/>
  <c r="JF12" i="4"/>
  <c r="JI12" i="4" s="1"/>
  <c r="KB5" i="4"/>
  <c r="KE5" i="4" s="1"/>
  <c r="KB8" i="4"/>
  <c r="KE8" i="4" s="1"/>
  <c r="KB19" i="4"/>
  <c r="KE19" i="4" s="1"/>
  <c r="KX15" i="4"/>
  <c r="LA15" i="4" s="1"/>
  <c r="KX21" i="4"/>
  <c r="LA21" i="4" s="1"/>
  <c r="LT14" i="4"/>
  <c r="LW14" i="4" s="1"/>
  <c r="MP7" i="4"/>
  <c r="MS7" i="4" s="1"/>
  <c r="KE16" i="4"/>
  <c r="LA6" i="4"/>
  <c r="MP16" i="4"/>
  <c r="MS16" i="4" s="1"/>
  <c r="EG6" i="4"/>
  <c r="EZ5" i="4"/>
  <c r="FC5" i="4" s="1"/>
  <c r="EZ8" i="4"/>
  <c r="FC8" i="4" s="1"/>
  <c r="EZ19" i="4"/>
  <c r="FC19" i="4" s="1"/>
  <c r="FV7" i="4"/>
  <c r="FY7" i="4" s="1"/>
  <c r="FV10" i="4"/>
  <c r="FY10" i="4" s="1"/>
  <c r="GR5" i="4"/>
  <c r="GU5" i="4" s="1"/>
  <c r="GR8" i="4"/>
  <c r="GU8" i="4" s="1"/>
  <c r="GR11" i="4"/>
  <c r="GU11" i="4" s="1"/>
  <c r="GU18" i="4"/>
  <c r="HN7" i="4"/>
  <c r="HQ7" i="4" s="1"/>
  <c r="HN10" i="4"/>
  <c r="HQ10" i="4" s="1"/>
  <c r="HN21" i="4"/>
  <c r="HQ21" i="4" s="1"/>
  <c r="IJ6" i="4"/>
  <c r="IM6" i="4" s="1"/>
  <c r="IJ15" i="4"/>
  <c r="IM15" i="4" s="1"/>
  <c r="IJ21" i="4"/>
  <c r="IM21" i="4" s="1"/>
  <c r="JF14" i="4"/>
  <c r="JI14" i="4" s="1"/>
  <c r="KB7" i="4"/>
  <c r="KE7" i="4" s="1"/>
  <c r="KB10" i="4"/>
  <c r="KE10" i="4" s="1"/>
  <c r="KB21" i="4"/>
  <c r="KE21" i="4" s="1"/>
  <c r="LT5" i="4"/>
  <c r="LW5" i="4" s="1"/>
  <c r="LT8" i="4"/>
  <c r="LW8" i="4" s="1"/>
  <c r="LT19" i="4"/>
  <c r="LW19" i="4" s="1"/>
  <c r="ED14" i="4"/>
  <c r="EG14" i="4" s="1"/>
  <c r="ED20" i="4"/>
  <c r="EG20" i="4" s="1"/>
  <c r="EZ13" i="4"/>
  <c r="FC13" i="4" s="1"/>
  <c r="FY11" i="4"/>
  <c r="HN18" i="4"/>
  <c r="HQ18" i="4" s="1"/>
  <c r="KB18" i="4"/>
  <c r="KE18" i="4" s="1"/>
  <c r="GR16" i="4"/>
  <c r="GU16" i="4" s="1"/>
  <c r="IJ8" i="4"/>
  <c r="IM8" i="4" s="1"/>
  <c r="JF8" i="4"/>
  <c r="JI8" i="4" s="1"/>
  <c r="KX8" i="4"/>
  <c r="LA8" i="4" s="1"/>
  <c r="LA18" i="4"/>
  <c r="JF16" i="4"/>
  <c r="JI16" i="4" s="1"/>
  <c r="OO18" i="4"/>
  <c r="BZ18" i="4"/>
  <c r="CC18" i="4" s="1"/>
  <c r="ED7" i="4"/>
  <c r="EG7" i="4" s="1"/>
  <c r="ED13" i="4"/>
  <c r="EG13" i="4" s="1"/>
  <c r="ED16" i="4"/>
  <c r="EG16" i="4" s="1"/>
  <c r="EZ12" i="4"/>
  <c r="FC12" i="4" s="1"/>
  <c r="FV15" i="4"/>
  <c r="FY15" i="4" s="1"/>
  <c r="FV18" i="4"/>
  <c r="FY18" i="4" s="1"/>
  <c r="GR15" i="4"/>
  <c r="GU15" i="4" s="1"/>
  <c r="GR21" i="4"/>
  <c r="GU21" i="4" s="1"/>
  <c r="HN14" i="4"/>
  <c r="HQ14" i="4" s="1"/>
  <c r="IJ7" i="4"/>
  <c r="IM7" i="4" s="1"/>
  <c r="IJ13" i="4"/>
  <c r="IM13" i="4" s="1"/>
  <c r="JF7" i="4"/>
  <c r="JI7" i="4" s="1"/>
  <c r="JF10" i="4"/>
  <c r="JI10" i="4" s="1"/>
  <c r="JF21" i="4"/>
  <c r="JI21" i="4" s="1"/>
  <c r="KB14" i="4"/>
  <c r="KE14" i="4" s="1"/>
  <c r="KX7" i="4"/>
  <c r="LA7" i="4" s="1"/>
  <c r="KX13" i="4"/>
  <c r="LA13" i="4" s="1"/>
  <c r="KX16" i="4"/>
  <c r="LA16" i="4" s="1"/>
  <c r="KX19" i="4"/>
  <c r="LA19" i="4" s="1"/>
  <c r="LT12" i="4"/>
  <c r="LW12" i="4" s="1"/>
  <c r="MP5" i="4"/>
  <c r="MS5" i="4" s="1"/>
  <c r="MP8" i="4"/>
  <c r="MS8" i="4" s="1"/>
  <c r="MP14" i="4"/>
  <c r="MS14" i="4" s="1"/>
  <c r="EZ18" i="14"/>
  <c r="FC18" i="14" s="1"/>
  <c r="FV10" i="14"/>
  <c r="FY10" i="14" s="1"/>
  <c r="JF21" i="14"/>
  <c r="JI21" i="14" s="1"/>
  <c r="LT18" i="14"/>
  <c r="LW18" i="14" s="1"/>
  <c r="HQ4" i="14"/>
  <c r="OO21" i="14"/>
  <c r="ED8" i="14"/>
  <c r="EG8" i="14" s="1"/>
  <c r="ED14" i="14"/>
  <c r="EG14" i="14" s="1"/>
  <c r="EZ9" i="14"/>
  <c r="FC9" i="14" s="1"/>
  <c r="EZ12" i="14"/>
  <c r="FC12" i="14" s="1"/>
  <c r="FV4" i="14"/>
  <c r="FY4" i="14" s="1"/>
  <c r="FV15" i="14"/>
  <c r="FY15" i="14" s="1"/>
  <c r="FV18" i="14"/>
  <c r="FY18" i="14" s="1"/>
  <c r="GR7" i="14"/>
  <c r="GU7" i="14" s="1"/>
  <c r="GR10" i="14"/>
  <c r="GU10" i="14" s="1"/>
  <c r="GR21" i="14"/>
  <c r="GU21" i="14" s="1"/>
  <c r="HQ12" i="14"/>
  <c r="IJ5" i="14"/>
  <c r="IM5" i="14" s="1"/>
  <c r="IJ10" i="14"/>
  <c r="IM10" i="14" s="1"/>
  <c r="JI4" i="14"/>
  <c r="JF17" i="14"/>
  <c r="JI17" i="14" s="1"/>
  <c r="KB4" i="14"/>
  <c r="KE4" i="14" s="1"/>
  <c r="KB7" i="14"/>
  <c r="KE7" i="14" s="1"/>
  <c r="KB10" i="14"/>
  <c r="KE10" i="14" s="1"/>
  <c r="KX8" i="14"/>
  <c r="LA8" i="14" s="1"/>
  <c r="KX22" i="14"/>
  <c r="LA22" i="14" s="1"/>
  <c r="MP6" i="14"/>
  <c r="MS6" i="14" s="1"/>
  <c r="EG12" i="14"/>
  <c r="KE6" i="14"/>
  <c r="ED16" i="14"/>
  <c r="EG16" i="14" s="1"/>
  <c r="ED22" i="14"/>
  <c r="EG22" i="14" s="1"/>
  <c r="EZ14" i="14"/>
  <c r="FC14" i="14" s="1"/>
  <c r="FV5" i="14"/>
  <c r="FY5" i="14" s="1"/>
  <c r="FV17" i="14"/>
  <c r="FY17" i="14" s="1"/>
  <c r="FV20" i="14"/>
  <c r="FY20" i="14" s="1"/>
  <c r="GR9" i="14"/>
  <c r="GU9" i="14" s="1"/>
  <c r="GR12" i="14"/>
  <c r="GU12" i="14" s="1"/>
  <c r="HN7" i="14"/>
  <c r="HQ7" i="14" s="1"/>
  <c r="HN10" i="14"/>
  <c r="HQ10" i="14" s="1"/>
  <c r="HN13" i="14"/>
  <c r="HQ13" i="14" s="1"/>
  <c r="HQ20" i="14"/>
  <c r="IJ9" i="14"/>
  <c r="IM9" i="14" s="1"/>
  <c r="IJ21" i="14"/>
  <c r="IM21" i="14" s="1"/>
  <c r="JF6" i="14"/>
  <c r="JI6" i="14" s="1"/>
  <c r="JI12" i="14"/>
  <c r="KB9" i="14"/>
  <c r="KE9" i="14" s="1"/>
  <c r="KB12" i="14"/>
  <c r="KE12" i="14" s="1"/>
  <c r="KB15" i="14"/>
  <c r="KE15" i="14" s="1"/>
  <c r="KB18" i="14"/>
  <c r="KE18" i="14" s="1"/>
  <c r="KX13" i="14"/>
  <c r="LA13" i="14" s="1"/>
  <c r="LT6" i="14"/>
  <c r="LW6" i="14" s="1"/>
  <c r="EG7" i="14"/>
  <c r="EG13" i="14"/>
  <c r="EG20" i="14"/>
  <c r="FY14" i="14"/>
  <c r="GU5" i="14"/>
  <c r="GU17" i="14"/>
  <c r="GU20" i="14"/>
  <c r="IM6" i="14"/>
  <c r="IM14" i="14"/>
  <c r="IM17" i="14"/>
  <c r="JI16" i="14"/>
  <c r="JI22" i="14"/>
  <c r="KE5" i="14"/>
  <c r="KE13" i="14"/>
  <c r="LA7" i="14"/>
  <c r="LA21" i="14"/>
  <c r="LT22" i="14"/>
  <c r="LW22" i="14" s="1"/>
  <c r="MP9" i="14"/>
  <c r="MS9" i="14" s="1"/>
  <c r="ED4" i="14"/>
  <c r="EG4" i="14" s="1"/>
  <c r="EG6" i="14"/>
  <c r="FC6" i="14"/>
  <c r="FC16" i="14"/>
  <c r="FY8" i="14"/>
  <c r="FY22" i="14"/>
  <c r="GU14" i="14"/>
  <c r="HQ15" i="14"/>
  <c r="HN18" i="14"/>
  <c r="HQ18" i="14" s="1"/>
  <c r="IM11" i="14"/>
  <c r="JI7" i="14"/>
  <c r="JF10" i="14"/>
  <c r="JI10" i="14" s="1"/>
  <c r="JF13" i="14"/>
  <c r="JI13" i="14" s="1"/>
  <c r="JI20" i="14"/>
  <c r="KB17" i="14"/>
  <c r="KE17" i="14" s="1"/>
  <c r="KX4" i="14"/>
  <c r="LA4" i="14" s="1"/>
  <c r="LA15" i="14"/>
  <c r="KX18" i="14"/>
  <c r="LA18" i="14" s="1"/>
  <c r="LW13" i="14"/>
  <c r="MS5" i="14"/>
  <c r="MS15" i="14"/>
  <c r="MS18" i="14"/>
  <c r="ED9" i="14"/>
  <c r="EG9" i="14" s="1"/>
  <c r="ED15" i="14"/>
  <c r="EG15" i="14" s="1"/>
  <c r="ED18" i="14"/>
  <c r="EG18" i="14" s="1"/>
  <c r="ED21" i="14"/>
  <c r="EG21" i="14" s="1"/>
  <c r="EZ13" i="14"/>
  <c r="FC13" i="14" s="1"/>
  <c r="FV6" i="14"/>
  <c r="FY6" i="14" s="1"/>
  <c r="FV16" i="14"/>
  <c r="FY16" i="14" s="1"/>
  <c r="GR8" i="14"/>
  <c r="GU8" i="14" s="1"/>
  <c r="GR22" i="14"/>
  <c r="GU22" i="14" s="1"/>
  <c r="HN5" i="14"/>
  <c r="HQ5" i="14" s="1"/>
  <c r="HN21" i="14"/>
  <c r="HQ21" i="14" s="1"/>
  <c r="KB8" i="14"/>
  <c r="KE8" i="14" s="1"/>
  <c r="KB14" i="14"/>
  <c r="KE14" i="14" s="1"/>
  <c r="KE20" i="14"/>
  <c r="KE21" i="14"/>
  <c r="KX9" i="14"/>
  <c r="LA9" i="14" s="1"/>
  <c r="KX12" i="14"/>
  <c r="LA12" i="14" s="1"/>
  <c r="LT4" i="14"/>
  <c r="LW4" i="14" s="1"/>
  <c r="LT10" i="14"/>
  <c r="LW10" i="14" s="1"/>
  <c r="LT16" i="14"/>
  <c r="LW16" i="14" s="1"/>
  <c r="NL21" i="14"/>
  <c r="NO21" i="14" s="1"/>
  <c r="BH8" i="8"/>
  <c r="AL10" i="8"/>
  <c r="BH10" i="8"/>
  <c r="BH7" i="8"/>
  <c r="MR10" i="8"/>
  <c r="BH4" i="7"/>
  <c r="MP8" i="7"/>
  <c r="DD15" i="14"/>
  <c r="NL17" i="14"/>
  <c r="NO17" i="14" s="1"/>
  <c r="DD17" i="14"/>
  <c r="DG17" i="14" s="1"/>
  <c r="BZ19" i="14"/>
  <c r="CC19" i="14" s="1"/>
  <c r="BZ15" i="14"/>
  <c r="CC15" i="14" s="1"/>
  <c r="DD19" i="14"/>
  <c r="DG19" i="14" s="1"/>
  <c r="BZ21" i="14"/>
  <c r="CC21" i="14" s="1"/>
  <c r="DD21" i="14"/>
  <c r="DG21" i="14" s="1"/>
  <c r="OO15" i="14"/>
  <c r="NL18" i="4"/>
  <c r="NO18" i="4" s="1"/>
  <c r="MP10" i="8"/>
  <c r="CD10" i="8"/>
  <c r="MQ10" i="8"/>
  <c r="MS10" i="8"/>
  <c r="L10" i="8"/>
  <c r="CF10" i="8" s="1"/>
  <c r="F10" i="8"/>
  <c r="J10" i="8"/>
  <c r="G10" i="8"/>
  <c r="LX8" i="8"/>
  <c r="AL7" i="8"/>
  <c r="CD7" i="8"/>
  <c r="MS7" i="8"/>
  <c r="MQ7" i="8"/>
  <c r="MR7" i="8"/>
  <c r="MP7" i="8"/>
  <c r="L7" i="8"/>
  <c r="CF7" i="8" s="1"/>
  <c r="F7" i="8"/>
  <c r="J7" i="8"/>
  <c r="G7" i="8"/>
  <c r="BH9" i="8"/>
  <c r="AL8" i="8"/>
  <c r="CD9" i="8"/>
  <c r="MQ8" i="8"/>
  <c r="CD8" i="8"/>
  <c r="MR8" i="8"/>
  <c r="MP8" i="8"/>
  <c r="L8" i="8"/>
  <c r="CF8" i="8" s="1"/>
  <c r="MS8" i="8"/>
  <c r="F8" i="8"/>
  <c r="J8" i="8"/>
  <c r="G8" i="8"/>
  <c r="LX9" i="8"/>
  <c r="MQ9" i="8"/>
  <c r="L9" i="8"/>
  <c r="CF9" i="8" s="1"/>
  <c r="MR9" i="8"/>
  <c r="MP9" i="8"/>
  <c r="MS9" i="8"/>
  <c r="AL9" i="8"/>
  <c r="F9" i="8"/>
  <c r="J9" i="8"/>
  <c r="G9" i="8"/>
  <c r="LX8" i="7"/>
  <c r="MQ8" i="7"/>
  <c r="CD8" i="7"/>
  <c r="L8" i="7"/>
  <c r="CF8" i="7" s="1"/>
  <c r="MR8" i="7"/>
  <c r="MS8" i="7"/>
  <c r="F8" i="7"/>
  <c r="AL8" i="7"/>
  <c r="J8" i="7"/>
  <c r="G8" i="7"/>
  <c r="AL7" i="7"/>
  <c r="LX7" i="7"/>
  <c r="CD7" i="7"/>
  <c r="MP7" i="7"/>
  <c r="L7" i="7"/>
  <c r="CF7" i="7" s="1"/>
  <c r="MR7" i="7"/>
  <c r="MS7" i="7"/>
  <c r="MQ7" i="7"/>
  <c r="F7" i="7"/>
  <c r="J7" i="7"/>
  <c r="G7" i="7"/>
  <c r="AL4" i="7"/>
  <c r="LX4" i="7"/>
  <c r="CD4" i="7"/>
  <c r="MR4" i="7"/>
  <c r="MP4" i="7"/>
  <c r="L4" i="7"/>
  <c r="CF4" i="7" s="1"/>
  <c r="MS4" i="7"/>
  <c r="MQ4" i="7"/>
  <c r="F4" i="7"/>
  <c r="J4" i="7"/>
  <c r="G4" i="7"/>
  <c r="OM21" i="14"/>
  <c r="OK21" i="14"/>
  <c r="O21" i="14"/>
  <c r="DI21" i="14" s="1"/>
  <c r="G21" i="14"/>
  <c r="J21" i="14" s="1"/>
  <c r="AV21" i="14"/>
  <c r="AY21" i="14" s="1"/>
  <c r="Q21" i="14"/>
  <c r="H21" i="14"/>
  <c r="BZ17" i="14"/>
  <c r="CC17" i="14" s="1"/>
  <c r="NL19" i="14"/>
  <c r="NO19" i="14" s="1"/>
  <c r="OO19" i="14"/>
  <c r="OM19" i="14"/>
  <c r="OK19" i="14"/>
  <c r="O19" i="14"/>
  <c r="DI19" i="14" s="1"/>
  <c r="G19" i="14"/>
  <c r="J19" i="14" s="1"/>
  <c r="AV19" i="14"/>
  <c r="AY19" i="14" s="1"/>
  <c r="Q19" i="14"/>
  <c r="H19" i="14"/>
  <c r="OO17" i="14"/>
  <c r="OM17" i="14"/>
  <c r="OK17" i="14"/>
  <c r="OR21" i="14"/>
  <c r="O17" i="14"/>
  <c r="DI17" i="14" s="1"/>
  <c r="G17" i="14"/>
  <c r="F17" i="14" s="1"/>
  <c r="AV17" i="14"/>
  <c r="AY17" i="14" s="1"/>
  <c r="Q17" i="14"/>
  <c r="H17" i="14"/>
  <c r="NL15" i="14"/>
  <c r="NO15" i="14" s="1"/>
  <c r="DG15" i="14"/>
  <c r="OM15" i="14"/>
  <c r="OK15" i="14"/>
  <c r="AV15" i="14"/>
  <c r="AY15" i="14" s="1"/>
  <c r="G15" i="14"/>
  <c r="J15" i="14" s="1"/>
  <c r="Q15" i="14"/>
  <c r="H15" i="14"/>
  <c r="O15" i="14"/>
  <c r="DG18" i="4"/>
  <c r="OM18" i="4"/>
  <c r="OK18" i="4"/>
  <c r="O18" i="4"/>
  <c r="P18" i="4" s="1"/>
  <c r="G18" i="4"/>
  <c r="J18" i="4" s="1"/>
  <c r="AV18" i="4"/>
  <c r="AY18" i="4" s="1"/>
  <c r="Q18" i="4"/>
  <c r="H18" i="4"/>
  <c r="CD20" i="12"/>
  <c r="LX20" i="12"/>
  <c r="MS20" i="12"/>
  <c r="MQ20" i="12"/>
  <c r="MR20" i="12"/>
  <c r="MP20" i="12"/>
  <c r="F20" i="12"/>
  <c r="G20" i="12"/>
  <c r="BH18" i="12"/>
  <c r="AL18" i="12"/>
  <c r="L18" i="12" s="1"/>
  <c r="MR18" i="12"/>
  <c r="MP18" i="12"/>
  <c r="LX18" i="12"/>
  <c r="CD18" i="12"/>
  <c r="MS18" i="12"/>
  <c r="MQ18" i="12"/>
  <c r="F18" i="12"/>
  <c r="G18" i="12"/>
  <c r="BH17" i="12"/>
  <c r="CD17" i="12"/>
  <c r="LX17" i="12"/>
  <c r="MS17" i="12"/>
  <c r="MQ17" i="12"/>
  <c r="MP17" i="12"/>
  <c r="MR17" i="12"/>
  <c r="AL17" i="12"/>
  <c r="L17" i="12" s="1"/>
  <c r="F17" i="12"/>
  <c r="G17" i="12"/>
  <c r="LX12" i="12"/>
  <c r="BH12" i="12"/>
  <c r="MP12" i="12"/>
  <c r="MR12" i="12"/>
  <c r="CD12" i="12"/>
  <c r="MQ12" i="12"/>
  <c r="MS12" i="12"/>
  <c r="AL12" i="12"/>
  <c r="F12" i="12"/>
  <c r="G12" i="12"/>
  <c r="AH20" i="6"/>
  <c r="AI20" i="6"/>
  <c r="AJ20" i="6"/>
  <c r="AK20" i="6"/>
  <c r="BD20" i="6"/>
  <c r="BE20" i="6"/>
  <c r="BF20" i="6"/>
  <c r="BG20" i="6"/>
  <c r="BZ20" i="6"/>
  <c r="CA20" i="6"/>
  <c r="CB20" i="6"/>
  <c r="CC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AH19" i="6"/>
  <c r="AI19" i="6"/>
  <c r="AJ19" i="6"/>
  <c r="AK19" i="6"/>
  <c r="BD19" i="6"/>
  <c r="BE19" i="6"/>
  <c r="BF19" i="6"/>
  <c r="BG19" i="6"/>
  <c r="BZ19" i="6"/>
  <c r="CA19" i="6"/>
  <c r="CB19" i="6"/>
  <c r="CC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AH12" i="6"/>
  <c r="AI12" i="6"/>
  <c r="AJ12" i="6"/>
  <c r="AK12" i="6"/>
  <c r="BD12" i="6"/>
  <c r="BE12" i="6"/>
  <c r="BF12" i="6"/>
  <c r="BG12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CE18" i="12" l="1"/>
  <c r="CE17" i="12"/>
  <c r="L12" i="12"/>
  <c r="CF17" i="12"/>
  <c r="M17" i="12"/>
  <c r="M12" i="12"/>
  <c r="CF12" i="12"/>
  <c r="CF18" i="12"/>
  <c r="N18" i="12" s="1"/>
  <c r="M18" i="12"/>
  <c r="CE20" i="12"/>
  <c r="K20" i="12"/>
  <c r="L20" i="12"/>
  <c r="N17" i="12"/>
  <c r="N12" i="12"/>
  <c r="J12" i="6"/>
  <c r="J19" i="6"/>
  <c r="J20" i="6"/>
  <c r="K15" i="14"/>
  <c r="K18" i="4"/>
  <c r="DJ18" i="4" s="1"/>
  <c r="K19" i="14"/>
  <c r="MR19" i="6"/>
  <c r="BH19" i="6"/>
  <c r="BH20" i="6"/>
  <c r="LX20" i="6"/>
  <c r="BH12" i="6"/>
  <c r="OP17" i="14"/>
  <c r="K21" i="14"/>
  <c r="DJ21" i="14" s="1"/>
  <c r="K17" i="14"/>
  <c r="MT10" i="8"/>
  <c r="H10" i="8"/>
  <c r="I10" i="8" s="1"/>
  <c r="CE10" i="8"/>
  <c r="N10" i="8" s="1"/>
  <c r="K10" i="8"/>
  <c r="A10" i="8"/>
  <c r="M10" i="8"/>
  <c r="MT7" i="8"/>
  <c r="H7" i="8"/>
  <c r="I7" i="8" s="1"/>
  <c r="CE7" i="8"/>
  <c r="N7" i="8" s="1"/>
  <c r="K7" i="8"/>
  <c r="A7" i="8"/>
  <c r="M7" i="8"/>
  <c r="M8" i="8"/>
  <c r="MT8" i="8"/>
  <c r="H8" i="8"/>
  <c r="I8" i="8" s="1"/>
  <c r="CE8" i="8"/>
  <c r="N8" i="8" s="1"/>
  <c r="K8" i="8"/>
  <c r="A8" i="8"/>
  <c r="M9" i="8"/>
  <c r="H9" i="8"/>
  <c r="I9" i="8" s="1"/>
  <c r="MT9" i="8"/>
  <c r="CE9" i="8"/>
  <c r="N9" i="8" s="1"/>
  <c r="K9" i="8"/>
  <c r="M8" i="7"/>
  <c r="MT8" i="7"/>
  <c r="MT7" i="7"/>
  <c r="MT4" i="7"/>
  <c r="H8" i="7"/>
  <c r="I8" i="7" s="1"/>
  <c r="CE8" i="7"/>
  <c r="N8" i="7" s="1"/>
  <c r="K8" i="7"/>
  <c r="A8" i="7"/>
  <c r="M7" i="7"/>
  <c r="H7" i="7"/>
  <c r="I7" i="7" s="1"/>
  <c r="CE7" i="7"/>
  <c r="N7" i="7" s="1"/>
  <c r="K7" i="7"/>
  <c r="A7" i="7"/>
  <c r="M4" i="7"/>
  <c r="H4" i="7"/>
  <c r="I4" i="7" s="1"/>
  <c r="CE4" i="7"/>
  <c r="N4" i="7" s="1"/>
  <c r="K4" i="7"/>
  <c r="OP21" i="14"/>
  <c r="P21" i="14"/>
  <c r="F21" i="14"/>
  <c r="A21" i="14" a="1"/>
  <c r="A21" i="14" s="1"/>
  <c r="DK21" i="14"/>
  <c r="S21" i="14" s="1"/>
  <c r="R21" i="14"/>
  <c r="I21" i="14"/>
  <c r="P19" i="14"/>
  <c r="OP19" i="14"/>
  <c r="F19" i="14"/>
  <c r="I19" i="14"/>
  <c r="DJ19" i="14"/>
  <c r="L19" i="14"/>
  <c r="M19" i="14"/>
  <c r="A19" i="14" a="1"/>
  <c r="A19" i="14" s="1"/>
  <c r="DK19" i="14"/>
  <c r="S19" i="14" s="1"/>
  <c r="R19" i="14"/>
  <c r="OS21" i="14"/>
  <c r="P17" i="14"/>
  <c r="A17" i="14" a="1"/>
  <c r="A17" i="14" s="1"/>
  <c r="J17" i="14"/>
  <c r="DJ17" i="14"/>
  <c r="L17" i="14"/>
  <c r="M17" i="14"/>
  <c r="I17" i="14"/>
  <c r="DK17" i="14"/>
  <c r="S17" i="14" s="1"/>
  <c r="R17" i="14"/>
  <c r="OP15" i="14"/>
  <c r="I15" i="14"/>
  <c r="F15" i="14"/>
  <c r="A15" i="14" a="1"/>
  <c r="A15" i="14" s="1"/>
  <c r="DK15" i="14"/>
  <c r="R15" i="14"/>
  <c r="P15" i="14"/>
  <c r="DI15" i="14"/>
  <c r="DJ15" i="14"/>
  <c r="L15" i="14"/>
  <c r="M15" i="14"/>
  <c r="OP18" i="4"/>
  <c r="DI18" i="4"/>
  <c r="F18" i="4"/>
  <c r="I18" i="4"/>
  <c r="DK18" i="4"/>
  <c r="R18" i="4"/>
  <c r="MT20" i="12"/>
  <c r="H20" i="12"/>
  <c r="I20" i="12" s="1"/>
  <c r="A20" i="12"/>
  <c r="MT18" i="12"/>
  <c r="H18" i="12"/>
  <c r="I18" i="12" s="1"/>
  <c r="A18" i="12"/>
  <c r="MT17" i="12"/>
  <c r="H17" i="12"/>
  <c r="I17" i="12" s="1"/>
  <c r="A17" i="12"/>
  <c r="MT12" i="12"/>
  <c r="H12" i="12"/>
  <c r="I12" i="12" s="1"/>
  <c r="A12" i="12"/>
  <c r="MR20" i="6"/>
  <c r="CD20" i="6"/>
  <c r="MP20" i="6"/>
  <c r="MS20" i="6"/>
  <c r="MQ20" i="6"/>
  <c r="AL20" i="6"/>
  <c r="F20" i="6"/>
  <c r="G20" i="6"/>
  <c r="LX19" i="6"/>
  <c r="MP19" i="6"/>
  <c r="CD19" i="6"/>
  <c r="MS19" i="6"/>
  <c r="MQ19" i="6"/>
  <c r="AL19" i="6"/>
  <c r="F19" i="6"/>
  <c r="G19" i="6"/>
  <c r="MR12" i="6"/>
  <c r="CD12" i="6"/>
  <c r="MP12" i="6"/>
  <c r="LX12" i="6"/>
  <c r="MQ12" i="6"/>
  <c r="MS12" i="6"/>
  <c r="AL12" i="6"/>
  <c r="F12" i="6"/>
  <c r="G12" i="6"/>
  <c r="AQ12" i="4"/>
  <c r="AR12" i="4"/>
  <c r="AS12" i="4"/>
  <c r="AT12" i="4"/>
  <c r="AU12" i="4"/>
  <c r="AW12" i="4"/>
  <c r="AX12" i="4"/>
  <c r="BU12" i="4"/>
  <c r="BV12" i="4"/>
  <c r="BW12" i="4"/>
  <c r="BX12" i="4"/>
  <c r="BY12" i="4"/>
  <c r="CA12" i="4"/>
  <c r="CB12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C12" i="4"/>
  <c r="OD12" i="4"/>
  <c r="OE12" i="4"/>
  <c r="OF12" i="4"/>
  <c r="OG12" i="4"/>
  <c r="OQ12" i="4" s="1"/>
  <c r="OH12" i="4"/>
  <c r="OI12" i="4"/>
  <c r="ON12" i="4"/>
  <c r="AH14" i="12"/>
  <c r="AI14" i="12"/>
  <c r="AJ14" i="12"/>
  <c r="AK14" i="12"/>
  <c r="BD14" i="12"/>
  <c r="BE14" i="12"/>
  <c r="BF14" i="12"/>
  <c r="BG14" i="12"/>
  <c r="BZ14" i="12"/>
  <c r="CA14" i="12"/>
  <c r="CB14" i="12"/>
  <c r="CC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AH21" i="6"/>
  <c r="AI21" i="6"/>
  <c r="AJ21" i="6"/>
  <c r="AK21" i="6"/>
  <c r="BD21" i="6"/>
  <c r="BE21" i="6"/>
  <c r="BF21" i="6"/>
  <c r="BG21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AH7" i="6"/>
  <c r="AI7" i="6"/>
  <c r="AJ7" i="6"/>
  <c r="AK7" i="6"/>
  <c r="BD7" i="6"/>
  <c r="BE7" i="6"/>
  <c r="BF7" i="6"/>
  <c r="BG7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G13" i="12"/>
  <c r="BF13" i="12"/>
  <c r="BE13" i="12"/>
  <c r="BD13" i="12"/>
  <c r="BG15" i="12"/>
  <c r="BF15" i="12"/>
  <c r="BE15" i="12"/>
  <c r="BD15" i="12"/>
  <c r="BG11" i="12"/>
  <c r="BF11" i="12"/>
  <c r="BE11" i="12"/>
  <c r="BD11" i="12"/>
  <c r="BG4" i="12"/>
  <c r="BF4" i="12"/>
  <c r="BE4" i="12"/>
  <c r="BD4" i="12"/>
  <c r="BG16" i="12"/>
  <c r="BF16" i="12"/>
  <c r="BE16" i="12"/>
  <c r="BD16" i="12"/>
  <c r="BG9" i="12"/>
  <c r="BF9" i="12"/>
  <c r="BE9" i="12"/>
  <c r="BD9" i="12"/>
  <c r="BG19" i="12"/>
  <c r="BF19" i="12"/>
  <c r="BE19" i="12"/>
  <c r="BD19" i="12"/>
  <c r="BG7" i="12"/>
  <c r="BF7" i="12"/>
  <c r="BE7" i="12"/>
  <c r="BD7" i="12"/>
  <c r="BG5" i="12"/>
  <c r="BF5" i="12"/>
  <c r="BE5" i="12"/>
  <c r="BD5" i="12"/>
  <c r="BG6" i="12"/>
  <c r="BF6" i="12"/>
  <c r="BE6" i="12"/>
  <c r="BD6" i="12"/>
  <c r="BG8" i="12"/>
  <c r="BF8" i="12"/>
  <c r="BE8" i="12"/>
  <c r="BD8" i="12"/>
  <c r="BG10" i="12"/>
  <c r="BF10" i="12"/>
  <c r="BE10" i="12"/>
  <c r="BD10" i="12"/>
  <c r="AK13" i="12"/>
  <c r="AJ13" i="12"/>
  <c r="AI13" i="12"/>
  <c r="AH13" i="12"/>
  <c r="AK15" i="12"/>
  <c r="AJ15" i="12"/>
  <c r="AI15" i="12"/>
  <c r="AH15" i="12"/>
  <c r="AK11" i="12"/>
  <c r="AJ11" i="12"/>
  <c r="AI11" i="12"/>
  <c r="AH11" i="12"/>
  <c r="AK4" i="12"/>
  <c r="AJ4" i="12"/>
  <c r="AI4" i="12"/>
  <c r="AH4" i="12"/>
  <c r="AK16" i="12"/>
  <c r="AJ16" i="12"/>
  <c r="AI16" i="12"/>
  <c r="AH16" i="12"/>
  <c r="AK9" i="12"/>
  <c r="AJ9" i="12"/>
  <c r="AI9" i="12"/>
  <c r="J9" i="12" s="1"/>
  <c r="AH9" i="12"/>
  <c r="AK19" i="12"/>
  <c r="AJ19" i="12"/>
  <c r="AI19" i="12"/>
  <c r="AH19" i="12"/>
  <c r="AK7" i="12"/>
  <c r="AJ7" i="12"/>
  <c r="AI7" i="12"/>
  <c r="J7" i="12" s="1"/>
  <c r="AH7" i="12"/>
  <c r="AK5" i="12"/>
  <c r="AJ5" i="12"/>
  <c r="AI5" i="12"/>
  <c r="AH5" i="12"/>
  <c r="AK6" i="12"/>
  <c r="AJ6" i="12"/>
  <c r="AI6" i="12"/>
  <c r="AH6" i="12"/>
  <c r="AK8" i="12"/>
  <c r="AJ8" i="12"/>
  <c r="AI8" i="12"/>
  <c r="AH8" i="12"/>
  <c r="AK10" i="12"/>
  <c r="AJ10" i="12"/>
  <c r="AI10" i="12"/>
  <c r="J10" i="12" s="1"/>
  <c r="AH10" i="12"/>
  <c r="BG18" i="6"/>
  <c r="BF18" i="6"/>
  <c r="BE18" i="6"/>
  <c r="BD18" i="6"/>
  <c r="BG14" i="6"/>
  <c r="BF14" i="6"/>
  <c r="BE14" i="6"/>
  <c r="BD14" i="6"/>
  <c r="BG23" i="6"/>
  <c r="BF23" i="6"/>
  <c r="BE23" i="6"/>
  <c r="BD23" i="6"/>
  <c r="BG15" i="6"/>
  <c r="BF15" i="6"/>
  <c r="BE15" i="6"/>
  <c r="BD15" i="6"/>
  <c r="BG8" i="6"/>
  <c r="BF8" i="6"/>
  <c r="BE8" i="6"/>
  <c r="BD8" i="6"/>
  <c r="BG16" i="6"/>
  <c r="BF16" i="6"/>
  <c r="BE16" i="6"/>
  <c r="BD16" i="6"/>
  <c r="BG17" i="6"/>
  <c r="BF17" i="6"/>
  <c r="BE17" i="6"/>
  <c r="BD17" i="6"/>
  <c r="BG13" i="6"/>
  <c r="BF13" i="6"/>
  <c r="BE13" i="6"/>
  <c r="BD13" i="6"/>
  <c r="BG22" i="6"/>
  <c r="BF22" i="6"/>
  <c r="BE22" i="6"/>
  <c r="BD22" i="6"/>
  <c r="BG6" i="6"/>
  <c r="BF6" i="6"/>
  <c r="BE6" i="6"/>
  <c r="BD6" i="6"/>
  <c r="BG11" i="6"/>
  <c r="BF11" i="6"/>
  <c r="BE11" i="6"/>
  <c r="BD11" i="6"/>
  <c r="BG10" i="6"/>
  <c r="BF10" i="6"/>
  <c r="BE10" i="6"/>
  <c r="BD10" i="6"/>
  <c r="BG5" i="6"/>
  <c r="BF5" i="6"/>
  <c r="BE5" i="6"/>
  <c r="BD5" i="6"/>
  <c r="BG9" i="6"/>
  <c r="BF9" i="6"/>
  <c r="BE9" i="6"/>
  <c r="BD9" i="6"/>
  <c r="BG4" i="6"/>
  <c r="BF4" i="6"/>
  <c r="BE4" i="6"/>
  <c r="BD4" i="6"/>
  <c r="AK18" i="6"/>
  <c r="AJ18" i="6"/>
  <c r="AI18" i="6"/>
  <c r="AH18" i="6"/>
  <c r="AK14" i="6"/>
  <c r="AJ14" i="6"/>
  <c r="AI14" i="6"/>
  <c r="AH14" i="6"/>
  <c r="AK23" i="6"/>
  <c r="AJ23" i="6"/>
  <c r="AI23" i="6"/>
  <c r="AH23" i="6"/>
  <c r="AK15" i="6"/>
  <c r="AJ15" i="6"/>
  <c r="AI15" i="6"/>
  <c r="AH15" i="6"/>
  <c r="AK8" i="6"/>
  <c r="AJ8" i="6"/>
  <c r="AI8" i="6"/>
  <c r="AH8" i="6"/>
  <c r="AK16" i="6"/>
  <c r="AJ16" i="6"/>
  <c r="AI16" i="6"/>
  <c r="AH16" i="6"/>
  <c r="AK17" i="6"/>
  <c r="AJ17" i="6"/>
  <c r="AI17" i="6"/>
  <c r="AH17" i="6"/>
  <c r="AK13" i="6"/>
  <c r="AJ13" i="6"/>
  <c r="AI13" i="6"/>
  <c r="AH13" i="6"/>
  <c r="AK22" i="6"/>
  <c r="AJ22" i="6"/>
  <c r="AI22" i="6"/>
  <c r="AH22" i="6"/>
  <c r="AK6" i="6"/>
  <c r="AJ6" i="6"/>
  <c r="AI6" i="6"/>
  <c r="AH6" i="6"/>
  <c r="AK11" i="6"/>
  <c r="AJ11" i="6"/>
  <c r="AI11" i="6"/>
  <c r="AH11" i="6"/>
  <c r="AK10" i="6"/>
  <c r="AJ10" i="6"/>
  <c r="AI10" i="6"/>
  <c r="AH10" i="6"/>
  <c r="AK5" i="6"/>
  <c r="AJ5" i="6"/>
  <c r="AI5" i="6"/>
  <c r="AH5" i="6"/>
  <c r="AK9" i="6"/>
  <c r="AJ9" i="6"/>
  <c r="AI9" i="6"/>
  <c r="AH9" i="6"/>
  <c r="AK4" i="6"/>
  <c r="AJ4" i="6"/>
  <c r="AI4" i="6"/>
  <c r="AH4" i="6"/>
  <c r="BG6" i="8"/>
  <c r="BE6" i="8"/>
  <c r="BD6" i="8"/>
  <c r="BG5" i="8"/>
  <c r="BE5" i="8"/>
  <c r="BD5" i="8"/>
  <c r="BG4" i="8"/>
  <c r="BF4" i="8"/>
  <c r="BE4" i="8"/>
  <c r="BD4" i="8"/>
  <c r="AK6" i="8"/>
  <c r="AJ6" i="8"/>
  <c r="AI6" i="8"/>
  <c r="AH6" i="8"/>
  <c r="AK5" i="8"/>
  <c r="AJ5" i="8"/>
  <c r="AI5" i="8"/>
  <c r="AH5" i="8"/>
  <c r="AK4" i="8"/>
  <c r="AJ4" i="8"/>
  <c r="AI4" i="8"/>
  <c r="AH4" i="8"/>
  <c r="BG9" i="7"/>
  <c r="BF9" i="7"/>
  <c r="BE9" i="7"/>
  <c r="BD9" i="7"/>
  <c r="BG10" i="7"/>
  <c r="BF10" i="7"/>
  <c r="BE10" i="7"/>
  <c r="BD10" i="7"/>
  <c r="BG6" i="7"/>
  <c r="BF6" i="7"/>
  <c r="BE6" i="7"/>
  <c r="BD6" i="7"/>
  <c r="BG5" i="7"/>
  <c r="BF5" i="7"/>
  <c r="BE5" i="7"/>
  <c r="BD5" i="7"/>
  <c r="AK9" i="7"/>
  <c r="AJ9" i="7"/>
  <c r="AI9" i="7"/>
  <c r="AH9" i="7"/>
  <c r="AK10" i="7"/>
  <c r="AJ10" i="7"/>
  <c r="AI10" i="7"/>
  <c r="AH10" i="7"/>
  <c r="AK6" i="7"/>
  <c r="AJ6" i="7"/>
  <c r="AI6" i="7"/>
  <c r="AH6" i="7"/>
  <c r="AK5" i="7"/>
  <c r="AJ5" i="7"/>
  <c r="AI5" i="7"/>
  <c r="AH5" i="7"/>
  <c r="CB20" i="14"/>
  <c r="CA20" i="14"/>
  <c r="BY20" i="14"/>
  <c r="BX20" i="14"/>
  <c r="BW20" i="14"/>
  <c r="BV20" i="14"/>
  <c r="BU20" i="14"/>
  <c r="CB18" i="14"/>
  <c r="CA18" i="14"/>
  <c r="BY18" i="14"/>
  <c r="BX18" i="14"/>
  <c r="BW18" i="14"/>
  <c r="BV18" i="14"/>
  <c r="BU18" i="14"/>
  <c r="CB14" i="14"/>
  <c r="CA14" i="14"/>
  <c r="BY14" i="14"/>
  <c r="BX14" i="14"/>
  <c r="BW14" i="14"/>
  <c r="BV14" i="14"/>
  <c r="BU14" i="14"/>
  <c r="CB12" i="14"/>
  <c r="CA12" i="14"/>
  <c r="BY12" i="14"/>
  <c r="BX12" i="14"/>
  <c r="BW12" i="14"/>
  <c r="BV12" i="14"/>
  <c r="BU12" i="14"/>
  <c r="CB11" i="14"/>
  <c r="CA11" i="14"/>
  <c r="BY11" i="14"/>
  <c r="BX11" i="14"/>
  <c r="BW11" i="14"/>
  <c r="BV11" i="14"/>
  <c r="BU11" i="14"/>
  <c r="CB9" i="14"/>
  <c r="CA9" i="14"/>
  <c r="BY9" i="14"/>
  <c r="BX9" i="14"/>
  <c r="BW9" i="14"/>
  <c r="BV9" i="14"/>
  <c r="BU9" i="14"/>
  <c r="CB10" i="14"/>
  <c r="CA10" i="14"/>
  <c r="BY10" i="14"/>
  <c r="BX10" i="14"/>
  <c r="BW10" i="14"/>
  <c r="BV10" i="14"/>
  <c r="BU10" i="14"/>
  <c r="CB13" i="14"/>
  <c r="CA13" i="14"/>
  <c r="BY13" i="14"/>
  <c r="BX13" i="14"/>
  <c r="BW13" i="14"/>
  <c r="BV13" i="14"/>
  <c r="BU13" i="14"/>
  <c r="CB16" i="14"/>
  <c r="CA16" i="14"/>
  <c r="BY16" i="14"/>
  <c r="BX16" i="14"/>
  <c r="BW16" i="14"/>
  <c r="BV16" i="14"/>
  <c r="BU16" i="14"/>
  <c r="CB8" i="14"/>
  <c r="CA8" i="14"/>
  <c r="BY8" i="14"/>
  <c r="BX8" i="14"/>
  <c r="BW8" i="14"/>
  <c r="BV8" i="14"/>
  <c r="BU8" i="14"/>
  <c r="CB22" i="14"/>
  <c r="CA22" i="14"/>
  <c r="BY22" i="14"/>
  <c r="BX22" i="14"/>
  <c r="BW22" i="14"/>
  <c r="BV22" i="14"/>
  <c r="BU22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20" i="14"/>
  <c r="AW20" i="14"/>
  <c r="AU20" i="14"/>
  <c r="AT20" i="14"/>
  <c r="AS20" i="14"/>
  <c r="AR20" i="14"/>
  <c r="AQ20" i="14"/>
  <c r="AX18" i="14"/>
  <c r="AW18" i="14"/>
  <c r="AU18" i="14"/>
  <c r="AT18" i="14"/>
  <c r="AS18" i="14"/>
  <c r="AR18" i="14"/>
  <c r="AQ18" i="14"/>
  <c r="AX14" i="14"/>
  <c r="AW14" i="14"/>
  <c r="AU14" i="14"/>
  <c r="AT14" i="14"/>
  <c r="AS14" i="14"/>
  <c r="AR14" i="14"/>
  <c r="AQ14" i="14"/>
  <c r="AX12" i="14"/>
  <c r="AW12" i="14"/>
  <c r="AU12" i="14"/>
  <c r="AT12" i="14"/>
  <c r="AS12" i="14"/>
  <c r="AR12" i="14"/>
  <c r="AQ12" i="14"/>
  <c r="AX11" i="14"/>
  <c r="AW11" i="14"/>
  <c r="AU11" i="14"/>
  <c r="AT11" i="14"/>
  <c r="AS11" i="14"/>
  <c r="AR11" i="14"/>
  <c r="AQ11" i="14"/>
  <c r="AX9" i="14"/>
  <c r="AW9" i="14"/>
  <c r="AU9" i="14"/>
  <c r="AT9" i="14"/>
  <c r="AS9" i="14"/>
  <c r="AR9" i="14"/>
  <c r="AQ9" i="14"/>
  <c r="AX10" i="14"/>
  <c r="AW10" i="14"/>
  <c r="AU10" i="14"/>
  <c r="AT10" i="14"/>
  <c r="AS10" i="14"/>
  <c r="AR10" i="14"/>
  <c r="AQ10" i="14"/>
  <c r="AX13" i="14"/>
  <c r="AW13" i="14"/>
  <c r="AU13" i="14"/>
  <c r="AT13" i="14"/>
  <c r="AS13" i="14"/>
  <c r="AR13" i="14"/>
  <c r="AQ13" i="14"/>
  <c r="AX16" i="14"/>
  <c r="AW16" i="14"/>
  <c r="AU16" i="14"/>
  <c r="AT16" i="14"/>
  <c r="AS16" i="14"/>
  <c r="AR16" i="14"/>
  <c r="AQ16" i="14"/>
  <c r="AX8" i="14"/>
  <c r="AW8" i="14"/>
  <c r="AU8" i="14"/>
  <c r="AT8" i="14"/>
  <c r="AS8" i="14"/>
  <c r="AR8" i="14"/>
  <c r="AQ8" i="14"/>
  <c r="AX22" i="14"/>
  <c r="AW22" i="14"/>
  <c r="AU22" i="14"/>
  <c r="AT22" i="14"/>
  <c r="AS22" i="14"/>
  <c r="AR22" i="14"/>
  <c r="AQ22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20" i="4"/>
  <c r="CA20" i="4"/>
  <c r="BY20" i="4"/>
  <c r="BX20" i="4"/>
  <c r="BW20" i="4"/>
  <c r="BV20" i="4"/>
  <c r="BU20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6" i="4"/>
  <c r="CA16" i="4"/>
  <c r="BY16" i="4"/>
  <c r="BX16" i="4"/>
  <c r="BW16" i="4"/>
  <c r="BV16" i="4"/>
  <c r="BU16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1" i="4"/>
  <c r="CA11" i="4"/>
  <c r="BY11" i="4"/>
  <c r="BX11" i="4"/>
  <c r="BW11" i="4"/>
  <c r="BV11" i="4"/>
  <c r="BU11" i="4"/>
  <c r="CB7" i="4"/>
  <c r="CA7" i="4"/>
  <c r="BY7" i="4"/>
  <c r="BX7" i="4"/>
  <c r="BW7" i="4"/>
  <c r="BV7" i="4"/>
  <c r="BU7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21" i="4"/>
  <c r="CA21" i="4"/>
  <c r="BY21" i="4"/>
  <c r="BX21" i="4"/>
  <c r="BW21" i="4"/>
  <c r="BV21" i="4"/>
  <c r="BU21" i="4"/>
  <c r="CB6" i="4"/>
  <c r="CA6" i="4"/>
  <c r="BY6" i="4"/>
  <c r="BX6" i="4"/>
  <c r="BW6" i="4"/>
  <c r="BV6" i="4"/>
  <c r="BU6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20" i="4"/>
  <c r="AW20" i="4"/>
  <c r="AU20" i="4"/>
  <c r="AT20" i="4"/>
  <c r="AS20" i="4"/>
  <c r="AR20" i="4"/>
  <c r="AQ20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6" i="4"/>
  <c r="AW16" i="4"/>
  <c r="AU16" i="4"/>
  <c r="AT16" i="4"/>
  <c r="AS16" i="4"/>
  <c r="AR16" i="4"/>
  <c r="AQ16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1" i="4"/>
  <c r="AW11" i="4"/>
  <c r="AU11" i="4"/>
  <c r="AT11" i="4"/>
  <c r="AS11" i="4"/>
  <c r="AR11" i="4"/>
  <c r="AQ11" i="4"/>
  <c r="AX7" i="4"/>
  <c r="AW7" i="4"/>
  <c r="AU7" i="4"/>
  <c r="AT7" i="4"/>
  <c r="AS7" i="4"/>
  <c r="AR7" i="4"/>
  <c r="AQ7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21" i="4"/>
  <c r="AW21" i="4"/>
  <c r="AU21" i="4"/>
  <c r="AT21" i="4"/>
  <c r="AS21" i="4"/>
  <c r="AR21" i="4"/>
  <c r="AQ21" i="4"/>
  <c r="AX6" i="4"/>
  <c r="AW6" i="4"/>
  <c r="AU6" i="4"/>
  <c r="AT6" i="4"/>
  <c r="AS6" i="4"/>
  <c r="AR6" i="4"/>
  <c r="AQ6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BZ9" i="12"/>
  <c r="CA9" i="12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CY7" i="4"/>
  <c r="CZ7" i="4"/>
  <c r="DA7" i="4"/>
  <c r="DB7" i="4"/>
  <c r="DC7" i="4"/>
  <c r="DE7" i="4"/>
  <c r="DF7" i="4"/>
  <c r="NI7" i="4"/>
  <c r="NJ7" i="4"/>
  <c r="NK7" i="4"/>
  <c r="NM7" i="4"/>
  <c r="NN7" i="4"/>
  <c r="NP7" i="4"/>
  <c r="NQ7" i="4"/>
  <c r="NR7" i="4"/>
  <c r="NS7" i="4"/>
  <c r="NT7" i="4"/>
  <c r="NU7" i="4"/>
  <c r="NV7" i="4"/>
  <c r="NW7" i="4"/>
  <c r="OL7" i="4" s="1"/>
  <c r="NX7" i="4"/>
  <c r="NY7" i="4"/>
  <c r="NZ7" i="4"/>
  <c r="OA7" i="4"/>
  <c r="OB7" i="4"/>
  <c r="OC7" i="4"/>
  <c r="OD7" i="4"/>
  <c r="OE7" i="4"/>
  <c r="OF7" i="4"/>
  <c r="OG7" i="4"/>
  <c r="OQ7" i="4" s="1"/>
  <c r="OH7" i="4"/>
  <c r="OI7" i="4"/>
  <c r="ON7" i="4"/>
  <c r="CY9" i="4"/>
  <c r="CZ9" i="4"/>
  <c r="DA9" i="4"/>
  <c r="DB9" i="4"/>
  <c r="DC9" i="4"/>
  <c r="DE9" i="4"/>
  <c r="DF9" i="4"/>
  <c r="NI9" i="4"/>
  <c r="NJ9" i="4"/>
  <c r="NK9" i="4"/>
  <c r="NM9" i="4"/>
  <c r="NN9" i="4"/>
  <c r="NP9" i="4"/>
  <c r="NQ9" i="4"/>
  <c r="NR9" i="4"/>
  <c r="NS9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6" i="14"/>
  <c r="CZ6" i="14"/>
  <c r="DA6" i="14"/>
  <c r="DB6" i="14"/>
  <c r="DC6" i="14"/>
  <c r="DE6" i="14"/>
  <c r="DF6" i="14"/>
  <c r="NI6" i="14"/>
  <c r="NJ6" i="14"/>
  <c r="NK6" i="14"/>
  <c r="NM6" i="14"/>
  <c r="NN6" i="14"/>
  <c r="NP6" i="14"/>
  <c r="NQ6" i="14"/>
  <c r="NR6" i="14"/>
  <c r="NS6" i="14"/>
  <c r="NT6" i="14"/>
  <c r="NU6" i="14"/>
  <c r="NV6" i="14"/>
  <c r="NW6" i="14"/>
  <c r="OL6" i="14" s="1"/>
  <c r="NX6" i="14"/>
  <c r="NY6" i="14"/>
  <c r="NZ6" i="14"/>
  <c r="OA6" i="14"/>
  <c r="OB6" i="14"/>
  <c r="ON6" i="14" s="1"/>
  <c r="OC6" i="14"/>
  <c r="OD6" i="14"/>
  <c r="OE6" i="14"/>
  <c r="OF6" i="14"/>
  <c r="OG6" i="14"/>
  <c r="OQ6" i="14" s="1"/>
  <c r="OH6" i="14"/>
  <c r="OI6" i="14"/>
  <c r="O18" i="12" l="1"/>
  <c r="P18" i="12"/>
  <c r="K9" i="12"/>
  <c r="CE9" i="12"/>
  <c r="CE10" i="12"/>
  <c r="K10" i="12"/>
  <c r="P12" i="12"/>
  <c r="O12" i="12"/>
  <c r="J16" i="12"/>
  <c r="O17" i="12"/>
  <c r="P17" i="12"/>
  <c r="J14" i="12"/>
  <c r="M20" i="12"/>
  <c r="CF20" i="12"/>
  <c r="N20" i="12" s="1"/>
  <c r="K7" i="12"/>
  <c r="CE7" i="12"/>
  <c r="AL14" i="6"/>
  <c r="BH4" i="6"/>
  <c r="J9" i="6"/>
  <c r="J10" i="6"/>
  <c r="J7" i="6"/>
  <c r="J21" i="6"/>
  <c r="J18" i="6"/>
  <c r="CE20" i="6"/>
  <c r="L20" i="6"/>
  <c r="K20" i="6"/>
  <c r="K19" i="6"/>
  <c r="L19" i="6"/>
  <c r="CE19" i="6"/>
  <c r="K12" i="6"/>
  <c r="L12" i="6"/>
  <c r="CE12" i="6"/>
  <c r="M21" i="14"/>
  <c r="M18" i="4"/>
  <c r="L18" i="4"/>
  <c r="AV14" i="4"/>
  <c r="AY14" i="4" s="1"/>
  <c r="AV13" i="4"/>
  <c r="AY13" i="4" s="1"/>
  <c r="L21" i="14"/>
  <c r="AL11" i="12"/>
  <c r="AL13" i="12"/>
  <c r="BH17" i="6"/>
  <c r="AL6" i="7"/>
  <c r="AV16" i="4"/>
  <c r="AY16" i="4" s="1"/>
  <c r="S18" i="4"/>
  <c r="T18" i="4" s="1"/>
  <c r="BZ16" i="4"/>
  <c r="CC16" i="4" s="1"/>
  <c r="BZ17" i="4"/>
  <c r="CC17" i="4" s="1"/>
  <c r="BZ6" i="4"/>
  <c r="CC6" i="4" s="1"/>
  <c r="BZ15" i="4"/>
  <c r="AV7" i="4"/>
  <c r="AY7" i="4" s="1"/>
  <c r="BZ5" i="4"/>
  <c r="CC5" i="4" s="1"/>
  <c r="BZ19" i="4"/>
  <c r="CC19" i="4" s="1"/>
  <c r="E10" i="8"/>
  <c r="O10" i="8"/>
  <c r="P10" i="8"/>
  <c r="E7" i="8"/>
  <c r="O7" i="8"/>
  <c r="P7" i="8"/>
  <c r="AL4" i="8"/>
  <c r="AL6" i="8"/>
  <c r="E8" i="8"/>
  <c r="O8" i="8"/>
  <c r="P8" i="8"/>
  <c r="BH5" i="8"/>
  <c r="BH6" i="8"/>
  <c r="AL5" i="8"/>
  <c r="BH4" i="8"/>
  <c r="E9" i="8"/>
  <c r="A9" i="8" s="1"/>
  <c r="O9" i="8"/>
  <c r="P9" i="8"/>
  <c r="E8" i="7"/>
  <c r="O8" i="7"/>
  <c r="P8" i="7"/>
  <c r="AL5" i="7"/>
  <c r="E7" i="7"/>
  <c r="O7" i="7"/>
  <c r="P7" i="7"/>
  <c r="AL9" i="7"/>
  <c r="BH5" i="7"/>
  <c r="BH10" i="7"/>
  <c r="E4" i="7"/>
  <c r="O4" i="7"/>
  <c r="P4" i="7"/>
  <c r="AL10" i="7"/>
  <c r="BH6" i="7"/>
  <c r="BH9" i="7"/>
  <c r="E21" i="14"/>
  <c r="T21" i="14"/>
  <c r="U21" i="14"/>
  <c r="N21" i="14"/>
  <c r="DH21" i="14"/>
  <c r="AV20" i="14"/>
  <c r="AY20" i="14" s="1"/>
  <c r="AV18" i="14"/>
  <c r="AY18" i="14" s="1"/>
  <c r="BZ10" i="14"/>
  <c r="CC10" i="14" s="1"/>
  <c r="BZ22" i="14"/>
  <c r="CC22" i="14" s="1"/>
  <c r="BZ13" i="14"/>
  <c r="CC13" i="14" s="1"/>
  <c r="E19" i="14"/>
  <c r="T19" i="14"/>
  <c r="U19" i="14"/>
  <c r="N19" i="14"/>
  <c r="DH19" i="14"/>
  <c r="BZ7" i="14"/>
  <c r="CC7" i="14" s="1"/>
  <c r="AV14" i="14"/>
  <c r="AY14" i="14" s="1"/>
  <c r="BZ11" i="14"/>
  <c r="CC11" i="14" s="1"/>
  <c r="BZ9" i="14"/>
  <c r="CC9" i="14" s="1"/>
  <c r="S15" i="14"/>
  <c r="E15" i="14" s="1"/>
  <c r="E17" i="14"/>
  <c r="T17" i="14"/>
  <c r="U17" i="14"/>
  <c r="N17" i="14"/>
  <c r="DH17" i="14"/>
  <c r="AV4" i="14"/>
  <c r="AY4" i="14" s="1"/>
  <c r="AV12" i="14"/>
  <c r="AY12" i="14" s="1"/>
  <c r="AV11" i="14"/>
  <c r="AY11" i="14" s="1"/>
  <c r="BZ18" i="14"/>
  <c r="CC18" i="14" s="1"/>
  <c r="AV22" i="14"/>
  <c r="AY22" i="14" s="1"/>
  <c r="AV9" i="14"/>
  <c r="AY9" i="14" s="1"/>
  <c r="BZ14" i="14"/>
  <c r="CC14" i="14" s="1"/>
  <c r="AV5" i="14"/>
  <c r="AY5" i="14" s="1"/>
  <c r="AV7" i="14"/>
  <c r="AY7" i="14" s="1"/>
  <c r="BZ12" i="14"/>
  <c r="CC12" i="14" s="1"/>
  <c r="N15" i="14"/>
  <c r="DH15" i="14"/>
  <c r="AV6" i="14"/>
  <c r="AY6" i="14" s="1"/>
  <c r="BZ4" i="14"/>
  <c r="CC4" i="14" s="1"/>
  <c r="AV10" i="14"/>
  <c r="AY10" i="14" s="1"/>
  <c r="BZ16" i="14"/>
  <c r="CC16" i="14" s="1"/>
  <c r="AV13" i="14"/>
  <c r="AY13" i="14" s="1"/>
  <c r="BZ8" i="14"/>
  <c r="CC8" i="14" s="1"/>
  <c r="AV16" i="14"/>
  <c r="AY16" i="14" s="1"/>
  <c r="BZ6" i="14"/>
  <c r="CC6" i="14" s="1"/>
  <c r="AV8" i="14"/>
  <c r="AY8" i="14" s="1"/>
  <c r="BZ5" i="14"/>
  <c r="CC5" i="14" s="1"/>
  <c r="BZ20" i="14"/>
  <c r="CC20" i="14" s="1"/>
  <c r="N18" i="4"/>
  <c r="DH18" i="4"/>
  <c r="BZ9" i="4"/>
  <c r="CC9" i="4" s="1"/>
  <c r="BZ21" i="4"/>
  <c r="CC21" i="4" s="1"/>
  <c r="AV8" i="4"/>
  <c r="AY8" i="4" s="1"/>
  <c r="BZ4" i="4"/>
  <c r="CC4" i="4" s="1"/>
  <c r="BZ12" i="4"/>
  <c r="CC12" i="4" s="1"/>
  <c r="AV9" i="4"/>
  <c r="AY9" i="4" s="1"/>
  <c r="NL12" i="4"/>
  <c r="NO12" i="4" s="1"/>
  <c r="AV21" i="4"/>
  <c r="AY21" i="4" s="1"/>
  <c r="BZ14" i="4"/>
  <c r="CC14" i="4" s="1"/>
  <c r="AV6" i="4"/>
  <c r="AV5" i="4"/>
  <c r="AY5" i="4" s="1"/>
  <c r="AL10" i="12"/>
  <c r="AL4" i="12"/>
  <c r="BH14" i="12"/>
  <c r="AL6" i="12"/>
  <c r="BH19" i="12"/>
  <c r="LX14" i="12"/>
  <c r="BH10" i="12"/>
  <c r="BH6" i="12"/>
  <c r="BH7" i="12"/>
  <c r="BH9" i="12"/>
  <c r="L9" i="12" s="1"/>
  <c r="BH4" i="12"/>
  <c r="BH15" i="12"/>
  <c r="AL8" i="12"/>
  <c r="AL5" i="12"/>
  <c r="AL16" i="12"/>
  <c r="MT20" i="6"/>
  <c r="H20" i="6"/>
  <c r="I20" i="6" s="1"/>
  <c r="A20" i="6"/>
  <c r="MR21" i="6"/>
  <c r="MP21" i="6"/>
  <c r="AL11" i="6"/>
  <c r="AL8" i="6"/>
  <c r="AL23" i="6"/>
  <c r="AL18" i="6"/>
  <c r="BH9" i="6"/>
  <c r="BH10" i="6"/>
  <c r="BH13" i="6"/>
  <c r="BH16" i="6"/>
  <c r="BH15" i="6"/>
  <c r="MT19" i="6"/>
  <c r="H19" i="6"/>
  <c r="I19" i="6" s="1"/>
  <c r="A19" i="6"/>
  <c r="BH21" i="6"/>
  <c r="MT12" i="6"/>
  <c r="H12" i="6"/>
  <c r="I12" i="6" s="1"/>
  <c r="A12" i="6"/>
  <c r="BH7" i="6"/>
  <c r="OO12" i="4"/>
  <c r="DD12" i="4"/>
  <c r="DG12" i="4" s="1"/>
  <c r="OM12" i="4"/>
  <c r="OK12" i="4"/>
  <c r="O12" i="4"/>
  <c r="P12" i="4" s="1"/>
  <c r="G12" i="4"/>
  <c r="AV12" i="4"/>
  <c r="AY12" i="4" s="1"/>
  <c r="Q12" i="4"/>
  <c r="H12" i="4"/>
  <c r="AY6" i="4"/>
  <c r="AV11" i="4"/>
  <c r="AY11" i="4" s="1"/>
  <c r="CC15" i="4"/>
  <c r="BZ8" i="4"/>
  <c r="CC8" i="4" s="1"/>
  <c r="AV4" i="4"/>
  <c r="AY4" i="4" s="1"/>
  <c r="AV17" i="4"/>
  <c r="AY17" i="4" s="1"/>
  <c r="BZ10" i="4"/>
  <c r="CC10" i="4" s="1"/>
  <c r="AV15" i="4"/>
  <c r="AY15" i="4" s="1"/>
  <c r="AV20" i="4"/>
  <c r="AY20" i="4" s="1"/>
  <c r="BZ11" i="4"/>
  <c r="CC11" i="4" s="1"/>
  <c r="BZ13" i="4"/>
  <c r="CC13" i="4" s="1"/>
  <c r="AV19" i="4"/>
  <c r="AY19" i="4" s="1"/>
  <c r="BZ7" i="4"/>
  <c r="CC7" i="4" s="1"/>
  <c r="AV10" i="4"/>
  <c r="AY10" i="4" s="1"/>
  <c r="BZ20" i="4"/>
  <c r="CC20" i="4" s="1"/>
  <c r="MR14" i="12"/>
  <c r="CD14" i="12"/>
  <c r="MP14" i="12"/>
  <c r="AL14" i="12"/>
  <c r="F14" i="12"/>
  <c r="MS14" i="12"/>
  <c r="MQ14" i="12"/>
  <c r="G14" i="12"/>
  <c r="AL15" i="12"/>
  <c r="AL19" i="12"/>
  <c r="BH8" i="12"/>
  <c r="BH5" i="12"/>
  <c r="BH16" i="12"/>
  <c r="AL7" i="12"/>
  <c r="AL9" i="12"/>
  <c r="BH11" i="12"/>
  <c r="BH13" i="12"/>
  <c r="LX21" i="6"/>
  <c r="MS21" i="6"/>
  <c r="MQ21" i="6"/>
  <c r="CD21" i="6"/>
  <c r="F21" i="6"/>
  <c r="AL21" i="6"/>
  <c r="G21" i="6"/>
  <c r="AL4" i="6"/>
  <c r="AL9" i="6"/>
  <c r="AL10" i="6"/>
  <c r="AL13" i="6"/>
  <c r="AL16" i="6"/>
  <c r="AL15" i="6"/>
  <c r="AL7" i="6"/>
  <c r="LX7" i="6"/>
  <c r="CD7" i="6"/>
  <c r="MS7" i="6"/>
  <c r="MQ7" i="6"/>
  <c r="MR7" i="6"/>
  <c r="MP7" i="6"/>
  <c r="F7" i="6"/>
  <c r="G7" i="6"/>
  <c r="AL22" i="6"/>
  <c r="AL17" i="6"/>
  <c r="BH6" i="6"/>
  <c r="BH5" i="6"/>
  <c r="BH14" i="6"/>
  <c r="AL6" i="6"/>
  <c r="BH11" i="6"/>
  <c r="BH22" i="6"/>
  <c r="BH8" i="6"/>
  <c r="AL5" i="6"/>
  <c r="BH23" i="6"/>
  <c r="BH18" i="6"/>
  <c r="NL7" i="4"/>
  <c r="NO7" i="4" s="1"/>
  <c r="DD6" i="14"/>
  <c r="DG6" i="14" s="1"/>
  <c r="DD9" i="4"/>
  <c r="DG9" i="4" s="1"/>
  <c r="DD7" i="4"/>
  <c r="DG7" i="4" s="1"/>
  <c r="MP7" i="12"/>
  <c r="CD9" i="12"/>
  <c r="CD18" i="6"/>
  <c r="CD7" i="12"/>
  <c r="MR9" i="12"/>
  <c r="MQ9" i="12"/>
  <c r="LX9" i="12"/>
  <c r="MS9" i="12"/>
  <c r="MP9" i="12"/>
  <c r="F9" i="12"/>
  <c r="G9" i="12"/>
  <c r="LX7" i="12"/>
  <c r="MQ7" i="12"/>
  <c r="MR7" i="12"/>
  <c r="F7" i="12"/>
  <c r="MS7" i="12"/>
  <c r="G7" i="12"/>
  <c r="LX16" i="12"/>
  <c r="MR16" i="12"/>
  <c r="CD16" i="12"/>
  <c r="MS16" i="12"/>
  <c r="MQ16" i="12"/>
  <c r="MP16" i="12"/>
  <c r="F16" i="12"/>
  <c r="G16" i="12"/>
  <c r="MR10" i="12"/>
  <c r="LX10" i="12"/>
  <c r="CD10" i="12"/>
  <c r="MS10" i="12"/>
  <c r="MQ10" i="12"/>
  <c r="MP10" i="12"/>
  <c r="F10" i="12"/>
  <c r="G10" i="12"/>
  <c r="MR18" i="6"/>
  <c r="LX18" i="6"/>
  <c r="MS18" i="6"/>
  <c r="MQ18" i="6"/>
  <c r="MP18" i="6"/>
  <c r="F18" i="6"/>
  <c r="G18" i="6"/>
  <c r="MS9" i="6"/>
  <c r="MR10" i="6"/>
  <c r="LX10" i="6"/>
  <c r="CD10" i="6"/>
  <c r="MS10" i="6"/>
  <c r="MQ10" i="6"/>
  <c r="MP10" i="6"/>
  <c r="F10" i="6"/>
  <c r="G10" i="6"/>
  <c r="MR9" i="6"/>
  <c r="LX9" i="6"/>
  <c r="CD9" i="6"/>
  <c r="MQ9" i="6"/>
  <c r="MP9" i="6"/>
  <c r="F9" i="6"/>
  <c r="G9" i="6"/>
  <c r="OO7" i="4"/>
  <c r="Q7" i="4"/>
  <c r="DK7" i="4" s="1"/>
  <c r="OM7" i="4"/>
  <c r="OK7" i="4"/>
  <c r="G7" i="4"/>
  <c r="H7" i="4"/>
  <c r="O7" i="4"/>
  <c r="NL9" i="4"/>
  <c r="NO9" i="4" s="1"/>
  <c r="DD4" i="4"/>
  <c r="DG4" i="4" s="1"/>
  <c r="NL5" i="4"/>
  <c r="NO5" i="4" s="1"/>
  <c r="NL4" i="4"/>
  <c r="NO4" i="4" s="1"/>
  <c r="OO9" i="4"/>
  <c r="DD6" i="4"/>
  <c r="DG6" i="4" s="1"/>
  <c r="DD5" i="4"/>
  <c r="DG5" i="4" s="1"/>
  <c r="OM9" i="4"/>
  <c r="OK9" i="4"/>
  <c r="G9" i="4"/>
  <c r="J9" i="4" s="1"/>
  <c r="Q9" i="4"/>
  <c r="H9" i="4"/>
  <c r="O9" i="4"/>
  <c r="OO4" i="4"/>
  <c r="OM4" i="4"/>
  <c r="OK4" i="4"/>
  <c r="G4" i="4"/>
  <c r="J4" i="4" s="1"/>
  <c r="Q4" i="4"/>
  <c r="H4" i="4"/>
  <c r="O4" i="4"/>
  <c r="NL6" i="4"/>
  <c r="NO6" i="4" s="1"/>
  <c r="OO5" i="4"/>
  <c r="OM5" i="4"/>
  <c r="OK5" i="4"/>
  <c r="Q5" i="4"/>
  <c r="R5" i="4" s="1"/>
  <c r="O5" i="4"/>
  <c r="P5" i="4" s="1"/>
  <c r="G5" i="4"/>
  <c r="F5" i="4" s="1"/>
  <c r="H5" i="4"/>
  <c r="OO6" i="4"/>
  <c r="OK6" i="4"/>
  <c r="O6" i="4"/>
  <c r="P6" i="4" s="1"/>
  <c r="G6" i="4"/>
  <c r="F6" i="4" s="1"/>
  <c r="Q6" i="4"/>
  <c r="H6" i="4"/>
  <c r="OM6" i="4"/>
  <c r="NL6" i="14"/>
  <c r="NO6" i="14" s="1"/>
  <c r="OO6" i="14"/>
  <c r="OM6" i="14"/>
  <c r="OK6" i="14"/>
  <c r="G6" i="14"/>
  <c r="Q6" i="14"/>
  <c r="H6" i="14"/>
  <c r="O6" i="14"/>
  <c r="L7" i="12" l="1"/>
  <c r="L10" i="12"/>
  <c r="M10" i="12" s="1"/>
  <c r="CF9" i="12"/>
  <c r="M9" i="12"/>
  <c r="M7" i="12"/>
  <c r="CF7" i="12"/>
  <c r="N7" i="12" s="1"/>
  <c r="CE14" i="12"/>
  <c r="K14" i="12"/>
  <c r="L14" i="12"/>
  <c r="P20" i="12"/>
  <c r="O20" i="12"/>
  <c r="N9" i="12"/>
  <c r="CE16" i="12"/>
  <c r="K16" i="12"/>
  <c r="L16" i="12"/>
  <c r="CE7" i="6"/>
  <c r="K7" i="6"/>
  <c r="L7" i="6"/>
  <c r="M20" i="6"/>
  <c r="CF20" i="6"/>
  <c r="M19" i="6"/>
  <c r="CF19" i="6"/>
  <c r="K18" i="6"/>
  <c r="CE18" i="6"/>
  <c r="L18" i="6"/>
  <c r="K10" i="6"/>
  <c r="CE10" i="6"/>
  <c r="L10" i="6"/>
  <c r="M12" i="6"/>
  <c r="CF12" i="6"/>
  <c r="CE21" i="6"/>
  <c r="K21" i="6"/>
  <c r="L21" i="6"/>
  <c r="K9" i="6"/>
  <c r="CE9" i="6"/>
  <c r="L9" i="6"/>
  <c r="K12" i="4"/>
  <c r="M12" i="4" s="1"/>
  <c r="DI12" i="4"/>
  <c r="N20" i="6"/>
  <c r="E17" i="12"/>
  <c r="E18" i="4"/>
  <c r="A18" i="4" s="1" a="1"/>
  <c r="A18" i="4" s="1"/>
  <c r="U18" i="4"/>
  <c r="U15" i="14"/>
  <c r="T15" i="14"/>
  <c r="E20" i="12"/>
  <c r="E18" i="12"/>
  <c r="MT21" i="6"/>
  <c r="J12" i="4"/>
  <c r="OP12" i="4"/>
  <c r="F12" i="4"/>
  <c r="A12" i="4" a="1"/>
  <c r="A12" i="4" s="1"/>
  <c r="DJ12" i="4"/>
  <c r="L12" i="4"/>
  <c r="I12" i="4"/>
  <c r="DK12" i="4"/>
  <c r="S12" i="4" s="1"/>
  <c r="R12" i="4"/>
  <c r="MT14" i="12"/>
  <c r="A14" i="12"/>
  <c r="H14" i="12"/>
  <c r="I14" i="12" s="1"/>
  <c r="H21" i="6"/>
  <c r="I21" i="6" s="1"/>
  <c r="MT7" i="6"/>
  <c r="H7" i="6"/>
  <c r="I7" i="6" s="1"/>
  <c r="MT10" i="12"/>
  <c r="MT16" i="12"/>
  <c r="K6" i="14"/>
  <c r="L6" i="14" s="1"/>
  <c r="K7" i="4"/>
  <c r="L7" i="4" s="1"/>
  <c r="K9" i="4"/>
  <c r="L9" i="4" s="1"/>
  <c r="MT18" i="6"/>
  <c r="MT9" i="12"/>
  <c r="H9" i="12"/>
  <c r="I9" i="12" s="1"/>
  <c r="MT7" i="12"/>
  <c r="H7" i="12"/>
  <c r="I7" i="12" s="1"/>
  <c r="H16" i="12"/>
  <c r="I16" i="12" s="1"/>
  <c r="H10" i="12"/>
  <c r="I10" i="12" s="1"/>
  <c r="MT9" i="6"/>
  <c r="H18" i="6"/>
  <c r="I18" i="6" s="1"/>
  <c r="A18" i="6"/>
  <c r="H10" i="6"/>
  <c r="I10" i="6" s="1"/>
  <c r="MT10" i="6"/>
  <c r="H9" i="6"/>
  <c r="I9" i="6" s="1"/>
  <c r="OP7" i="4"/>
  <c r="K6" i="4"/>
  <c r="M6" i="4" s="1"/>
  <c r="I7" i="4"/>
  <c r="R7" i="4"/>
  <c r="F7" i="4"/>
  <c r="J7" i="4"/>
  <c r="P7" i="4"/>
  <c r="DI7" i="4"/>
  <c r="S7" i="4" s="1"/>
  <c r="K5" i="4"/>
  <c r="M5" i="4" s="1"/>
  <c r="OP9" i="4"/>
  <c r="F9" i="4"/>
  <c r="DK9" i="4"/>
  <c r="R9" i="4"/>
  <c r="I9" i="4"/>
  <c r="P9" i="4"/>
  <c r="DI9" i="4"/>
  <c r="K4" i="4"/>
  <c r="M4" i="4" s="1"/>
  <c r="DI6" i="4"/>
  <c r="OP5" i="4"/>
  <c r="OP4" i="4"/>
  <c r="DK5" i="4"/>
  <c r="F4" i="4"/>
  <c r="DK4" i="4"/>
  <c r="R4" i="4"/>
  <c r="I4" i="4"/>
  <c r="P4" i="4"/>
  <c r="DI4" i="4"/>
  <c r="DI5" i="4"/>
  <c r="I5" i="4"/>
  <c r="J5" i="4"/>
  <c r="OP6" i="4"/>
  <c r="J6" i="4"/>
  <c r="I6" i="4"/>
  <c r="DK6" i="4"/>
  <c r="R6" i="4"/>
  <c r="J6" i="14"/>
  <c r="OP6" i="14"/>
  <c r="F6" i="14"/>
  <c r="DK6" i="14"/>
  <c r="R6" i="14"/>
  <c r="I6" i="14"/>
  <c r="P6" i="14"/>
  <c r="DI6" i="14"/>
  <c r="CF14" i="12" l="1"/>
  <c r="N14" i="12" s="1"/>
  <c r="M14" i="12"/>
  <c r="M16" i="12"/>
  <c r="CF16" i="12"/>
  <c r="N16" i="12" s="1"/>
  <c r="O7" i="12"/>
  <c r="P7" i="12"/>
  <c r="O9" i="12"/>
  <c r="P9" i="12"/>
  <c r="M9" i="6"/>
  <c r="CF9" i="6"/>
  <c r="M10" i="6"/>
  <c r="CF10" i="6"/>
  <c r="CF7" i="6"/>
  <c r="M7" i="6"/>
  <c r="CF21" i="6"/>
  <c r="N21" i="6" s="1"/>
  <c r="M21" i="6"/>
  <c r="CF18" i="6"/>
  <c r="M18" i="6"/>
  <c r="O20" i="6"/>
  <c r="P20" i="6"/>
  <c r="E20" i="6"/>
  <c r="N19" i="6"/>
  <c r="E12" i="12"/>
  <c r="N12" i="6"/>
  <c r="T12" i="4"/>
  <c r="U12" i="4"/>
  <c r="E12" i="4"/>
  <c r="N12" i="4"/>
  <c r="DH12" i="4"/>
  <c r="DJ6" i="4"/>
  <c r="M7" i="4"/>
  <c r="DH7" i="4" s="1"/>
  <c r="DJ7" i="4"/>
  <c r="M6" i="14"/>
  <c r="DH6" i="14" s="1"/>
  <c r="DJ6" i="14"/>
  <c r="DJ9" i="4"/>
  <c r="M9" i="4"/>
  <c r="N9" i="4" s="1"/>
  <c r="DJ5" i="4"/>
  <c r="L6" i="4"/>
  <c r="N6" i="4" s="1"/>
  <c r="L5" i="4"/>
  <c r="N5" i="4" s="1"/>
  <c r="E7" i="4"/>
  <c r="T7" i="4"/>
  <c r="U7" i="4"/>
  <c r="L4" i="4"/>
  <c r="N4" i="4" s="1"/>
  <c r="DJ4" i="4"/>
  <c r="S6" i="4"/>
  <c r="E6" i="4" s="1"/>
  <c r="S4" i="4"/>
  <c r="E4" i="4" s="1"/>
  <c r="S9" i="4"/>
  <c r="E9" i="4" s="1"/>
  <c r="S5" i="4"/>
  <c r="E5" i="4" s="1"/>
  <c r="DH4" i="4"/>
  <c r="DH5" i="4"/>
  <c r="DH6" i="4"/>
  <c r="S6" i="14"/>
  <c r="E6" i="14" s="1"/>
  <c r="O16" i="12" l="1"/>
  <c r="P16" i="12"/>
  <c r="O14" i="12"/>
  <c r="P14" i="12"/>
  <c r="CF10" i="12"/>
  <c r="N10" i="12" s="1"/>
  <c r="O12" i="6"/>
  <c r="P12" i="6"/>
  <c r="O19" i="6"/>
  <c r="P19" i="6"/>
  <c r="P21" i="6"/>
  <c r="O21" i="6"/>
  <c r="N9" i="6"/>
  <c r="N7" i="6"/>
  <c r="N10" i="6"/>
  <c r="N18" i="6"/>
  <c r="E19" i="6"/>
  <c r="N7" i="4"/>
  <c r="E12" i="6"/>
  <c r="E21" i="6"/>
  <c r="A21" i="6" s="1"/>
  <c r="E14" i="12"/>
  <c r="N6" i="14"/>
  <c r="DH9" i="4"/>
  <c r="E9" i="12"/>
  <c r="E10" i="6"/>
  <c r="U6" i="4"/>
  <c r="T6" i="4"/>
  <c r="T4" i="4"/>
  <c r="T5" i="4"/>
  <c r="U5" i="4"/>
  <c r="U4" i="4"/>
  <c r="U9" i="4"/>
  <c r="T9" i="4"/>
  <c r="U6" i="14"/>
  <c r="T6" i="14"/>
  <c r="O10" i="12" l="1"/>
  <c r="P10" i="12"/>
  <c r="O7" i="6"/>
  <c r="P7" i="6"/>
  <c r="O9" i="6"/>
  <c r="P9" i="6"/>
  <c r="O18" i="6"/>
  <c r="P18" i="6"/>
  <c r="O10" i="6"/>
  <c r="P10" i="6"/>
  <c r="E7" i="6"/>
  <c r="E10" i="12"/>
  <c r="E16" i="12"/>
  <c r="A16" i="12" s="1"/>
  <c r="E18" i="6"/>
  <c r="E7" i="12"/>
  <c r="E9" i="6"/>
  <c r="BZ13" i="12" l="1"/>
  <c r="CA13" i="12"/>
  <c r="J13" i="12" s="1"/>
  <c r="CB13" i="12"/>
  <c r="CC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15" i="12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1" i="12"/>
  <c r="CA11" i="12"/>
  <c r="J11" i="12" s="1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6" i="6"/>
  <c r="CA16" i="6"/>
  <c r="J16" i="6" s="1"/>
  <c r="CB16" i="6"/>
  <c r="CC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14" i="6"/>
  <c r="CA14" i="6"/>
  <c r="J14" i="6" s="1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13" i="6"/>
  <c r="CA13" i="6"/>
  <c r="J13" i="6" s="1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C12" i="14"/>
  <c r="OD12" i="14"/>
  <c r="OE12" i="14"/>
  <c r="OF12" i="14"/>
  <c r="OG12" i="14"/>
  <c r="OQ12" i="14" s="1"/>
  <c r="OH12" i="14"/>
  <c r="OI12" i="14"/>
  <c r="ON12" i="14"/>
  <c r="CY13" i="14"/>
  <c r="CZ13" i="14"/>
  <c r="DA13" i="14"/>
  <c r="DB13" i="14"/>
  <c r="DC13" i="14"/>
  <c r="DE13" i="14"/>
  <c r="DF13" i="14"/>
  <c r="NI13" i="14"/>
  <c r="NJ13" i="14"/>
  <c r="NK13" i="14"/>
  <c r="NM13" i="14"/>
  <c r="NN13" i="14"/>
  <c r="NP13" i="14"/>
  <c r="NQ13" i="14"/>
  <c r="NR13" i="14"/>
  <c r="NS13" i="14"/>
  <c r="NT13" i="14"/>
  <c r="NU13" i="14"/>
  <c r="NV13" i="14"/>
  <c r="NW13" i="14"/>
  <c r="OL13" i="14" s="1"/>
  <c r="NX13" i="14"/>
  <c r="NY13" i="14"/>
  <c r="NZ13" i="14"/>
  <c r="OA13" i="14"/>
  <c r="OB13" i="14"/>
  <c r="OC13" i="14"/>
  <c r="OD13" i="14"/>
  <c r="OE13" i="14"/>
  <c r="OF13" i="14"/>
  <c r="OG13" i="14"/>
  <c r="OQ13" i="14" s="1"/>
  <c r="OH13" i="14"/>
  <c r="OI13" i="14"/>
  <c r="ON13" i="14"/>
  <c r="CY8" i="14"/>
  <c r="CZ8" i="14"/>
  <c r="DA8" i="14"/>
  <c r="DB8" i="14"/>
  <c r="DC8" i="14"/>
  <c r="DE8" i="14"/>
  <c r="DF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C10" i="14"/>
  <c r="OD10" i="14"/>
  <c r="OE10" i="14"/>
  <c r="OF10" i="14"/>
  <c r="OG10" i="14"/>
  <c r="OQ10" i="14" s="1"/>
  <c r="OH10" i="14"/>
  <c r="OI10" i="14"/>
  <c r="ON10" i="14"/>
  <c r="CY9" i="14"/>
  <c r="CZ9" i="14"/>
  <c r="DA9" i="14"/>
  <c r="DB9" i="14"/>
  <c r="DC9" i="14"/>
  <c r="DE9" i="14"/>
  <c r="DF9" i="14"/>
  <c r="NI9" i="14"/>
  <c r="NJ9" i="14"/>
  <c r="NK9" i="14"/>
  <c r="NM9" i="14"/>
  <c r="NN9" i="14"/>
  <c r="NP9" i="14"/>
  <c r="NQ9" i="14"/>
  <c r="NR9" i="14"/>
  <c r="NS9" i="14"/>
  <c r="NT9" i="14"/>
  <c r="NU9" i="14"/>
  <c r="NV9" i="14"/>
  <c r="NW9" i="14"/>
  <c r="OL9" i="14" s="1"/>
  <c r="NX9" i="14"/>
  <c r="NY9" i="14"/>
  <c r="NZ9" i="14"/>
  <c r="OA9" i="14"/>
  <c r="OB9" i="14"/>
  <c r="ON9" i="14" s="1"/>
  <c r="OC9" i="14"/>
  <c r="OD9" i="14"/>
  <c r="OE9" i="14"/>
  <c r="OF9" i="14"/>
  <c r="OG9" i="14"/>
  <c r="OQ9" i="14" s="1"/>
  <c r="OH9" i="14"/>
  <c r="OI9" i="14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C4" i="14"/>
  <c r="OD4" i="14"/>
  <c r="OE4" i="14"/>
  <c r="OF4" i="14"/>
  <c r="OG4" i="14"/>
  <c r="OQ4" i="14" s="1"/>
  <c r="OH4" i="14"/>
  <c r="OI4" i="14"/>
  <c r="ON4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6" i="4"/>
  <c r="CZ16" i="4"/>
  <c r="DA16" i="4"/>
  <c r="DB16" i="4"/>
  <c r="DC16" i="4"/>
  <c r="DE16" i="4"/>
  <c r="DF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C14" i="4"/>
  <c r="OD14" i="4"/>
  <c r="OE14" i="4"/>
  <c r="OF14" i="4"/>
  <c r="OG14" i="4"/>
  <c r="OQ14" i="4" s="1"/>
  <c r="OH14" i="4"/>
  <c r="OI14" i="4"/>
  <c r="ON14" i="4"/>
  <c r="OI14" i="14"/>
  <c r="OH14" i="14"/>
  <c r="OG14" i="14"/>
  <c r="OQ14" i="14" s="1"/>
  <c r="OF14" i="14"/>
  <c r="OE14" i="14"/>
  <c r="OD14" i="14"/>
  <c r="OC14" i="14"/>
  <c r="OB14" i="14"/>
  <c r="ON14" i="14" s="1"/>
  <c r="OA14" i="14"/>
  <c r="NZ14" i="14"/>
  <c r="NY14" i="14"/>
  <c r="NX14" i="14"/>
  <c r="NW14" i="14"/>
  <c r="OL14" i="14" s="1"/>
  <c r="NV14" i="14"/>
  <c r="NU14" i="14"/>
  <c r="NT14" i="14"/>
  <c r="NS14" i="14"/>
  <c r="NR14" i="14"/>
  <c r="NQ14" i="14"/>
  <c r="NP14" i="14"/>
  <c r="NN14" i="14"/>
  <c r="NM14" i="14"/>
  <c r="NK14" i="14"/>
  <c r="NJ14" i="14"/>
  <c r="NI14" i="14"/>
  <c r="DF14" i="14"/>
  <c r="DE14" i="14"/>
  <c r="DC14" i="14"/>
  <c r="DB14" i="14"/>
  <c r="DA14" i="14"/>
  <c r="CZ14" i="14"/>
  <c r="CY14" i="14"/>
  <c r="OI22" i="14"/>
  <c r="OH22" i="14"/>
  <c r="OG22" i="14"/>
  <c r="OQ22" i="14" s="1"/>
  <c r="OF22" i="14"/>
  <c r="OE22" i="14"/>
  <c r="OD22" i="14"/>
  <c r="OC22" i="14"/>
  <c r="OB22" i="14"/>
  <c r="ON22" i="14" s="1"/>
  <c r="OA22" i="14"/>
  <c r="NZ22" i="14"/>
  <c r="NY22" i="14"/>
  <c r="NX22" i="14"/>
  <c r="NW22" i="14"/>
  <c r="OL22" i="14" s="1"/>
  <c r="NV22" i="14"/>
  <c r="NU22" i="14"/>
  <c r="NT22" i="14"/>
  <c r="NS22" i="14"/>
  <c r="NR22" i="14"/>
  <c r="NQ22" i="14"/>
  <c r="NP22" i="14"/>
  <c r="NN22" i="14"/>
  <c r="NM22" i="14"/>
  <c r="NK22" i="14"/>
  <c r="NJ22" i="14"/>
  <c r="NI22" i="14"/>
  <c r="DF22" i="14"/>
  <c r="DE22" i="14"/>
  <c r="DC22" i="14"/>
  <c r="DB22" i="14"/>
  <c r="DA22" i="14"/>
  <c r="CZ22" i="14"/>
  <c r="CY22" i="14"/>
  <c r="OI16" i="14"/>
  <c r="OH16" i="14"/>
  <c r="OG16" i="14"/>
  <c r="OQ16" i="14" s="1"/>
  <c r="OF16" i="14"/>
  <c r="OE16" i="14"/>
  <c r="OD16" i="14"/>
  <c r="OC16" i="14"/>
  <c r="OB16" i="14"/>
  <c r="ON16" i="14" s="1"/>
  <c r="OA16" i="14"/>
  <c r="NZ16" i="14"/>
  <c r="NY16" i="14"/>
  <c r="NX16" i="14"/>
  <c r="NW16" i="14"/>
  <c r="OL16" i="14" s="1"/>
  <c r="NV16" i="14"/>
  <c r="NU16" i="14"/>
  <c r="NT16" i="14"/>
  <c r="NS16" i="14"/>
  <c r="NR16" i="14"/>
  <c r="NQ16" i="14"/>
  <c r="NP16" i="14"/>
  <c r="NN16" i="14"/>
  <c r="NM16" i="14"/>
  <c r="NK16" i="14"/>
  <c r="NJ16" i="14"/>
  <c r="NI16" i="14"/>
  <c r="DF16" i="14"/>
  <c r="DE16" i="14"/>
  <c r="DC16" i="14"/>
  <c r="DB16" i="14"/>
  <c r="DA16" i="14"/>
  <c r="CZ16" i="14"/>
  <c r="CY16" i="14"/>
  <c r="OI5" i="14"/>
  <c r="OH5" i="14"/>
  <c r="OG5" i="14"/>
  <c r="OQ5" i="14" s="1"/>
  <c r="OF5" i="14"/>
  <c r="OE5" i="14"/>
  <c r="OD5" i="14"/>
  <c r="OC5" i="14"/>
  <c r="OB5" i="14"/>
  <c r="ON5" i="14" s="1"/>
  <c r="OA5" i="14"/>
  <c r="NZ5" i="14"/>
  <c r="NY5" i="14"/>
  <c r="NX5" i="14"/>
  <c r="NW5" i="14"/>
  <c r="OL5" i="14" s="1"/>
  <c r="NV5" i="14"/>
  <c r="NU5" i="14"/>
  <c r="NT5" i="14"/>
  <c r="NS5" i="14"/>
  <c r="NR5" i="14"/>
  <c r="NQ5" i="14"/>
  <c r="NP5" i="14"/>
  <c r="NN5" i="14"/>
  <c r="NM5" i="14"/>
  <c r="NK5" i="14"/>
  <c r="NJ5" i="14"/>
  <c r="NI5" i="14"/>
  <c r="DF5" i="14"/>
  <c r="DE5" i="14"/>
  <c r="DC5" i="14"/>
  <c r="DB5" i="14"/>
  <c r="DA5" i="14"/>
  <c r="CZ5" i="14"/>
  <c r="CY5" i="14"/>
  <c r="OI7" i="14"/>
  <c r="OH7" i="14"/>
  <c r="OG7" i="14"/>
  <c r="OQ7" i="14" s="1"/>
  <c r="OF7" i="14"/>
  <c r="OE7" i="14"/>
  <c r="OD7" i="14"/>
  <c r="OC7" i="14"/>
  <c r="OB7" i="14"/>
  <c r="ON7" i="14" s="1"/>
  <c r="OA7" i="14"/>
  <c r="NZ7" i="14"/>
  <c r="NY7" i="14"/>
  <c r="NX7" i="14"/>
  <c r="NW7" i="14"/>
  <c r="OL7" i="14" s="1"/>
  <c r="NV7" i="14"/>
  <c r="NU7" i="14"/>
  <c r="NT7" i="14"/>
  <c r="NS7" i="14"/>
  <c r="NR7" i="14"/>
  <c r="NQ7" i="14"/>
  <c r="NP7" i="14"/>
  <c r="NN7" i="14"/>
  <c r="NM7" i="14"/>
  <c r="NK7" i="14"/>
  <c r="NJ7" i="14"/>
  <c r="NI7" i="14"/>
  <c r="DF7" i="14"/>
  <c r="DE7" i="14"/>
  <c r="DC7" i="14"/>
  <c r="DB7" i="14"/>
  <c r="DA7" i="14"/>
  <c r="CZ7" i="14"/>
  <c r="CY7" i="14"/>
  <c r="NZ10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R20" i="4" s="1"/>
  <c r="OF20" i="4"/>
  <c r="OG20" i="4"/>
  <c r="OQ20" i="4" s="1"/>
  <c r="OH20" i="4"/>
  <c r="OI20" i="4"/>
  <c r="NU10" i="4"/>
  <c r="NV10" i="4"/>
  <c r="NW10" i="4"/>
  <c r="OL10" i="4" s="1"/>
  <c r="NX10" i="4"/>
  <c r="NY10" i="4"/>
  <c r="OA10" i="4"/>
  <c r="OB10" i="4"/>
  <c r="ON10" i="4" s="1"/>
  <c r="OC10" i="4"/>
  <c r="OD10" i="4"/>
  <c r="OE10" i="4"/>
  <c r="OF10" i="4"/>
  <c r="OG10" i="4"/>
  <c r="OQ10" i="4" s="1"/>
  <c r="OH10" i="4"/>
  <c r="OI10" i="4"/>
  <c r="CY11" i="4"/>
  <c r="CZ11" i="4"/>
  <c r="DA11" i="4"/>
  <c r="DB11" i="4"/>
  <c r="DC11" i="4"/>
  <c r="DE11" i="4"/>
  <c r="DF11" i="4"/>
  <c r="CY8" i="4"/>
  <c r="CZ8" i="4"/>
  <c r="DA8" i="4"/>
  <c r="DB8" i="4"/>
  <c r="DC8" i="4"/>
  <c r="DE8" i="4"/>
  <c r="DF8" i="4"/>
  <c r="CY19" i="4"/>
  <c r="CZ19" i="4"/>
  <c r="DA19" i="4"/>
  <c r="DB19" i="4"/>
  <c r="DC19" i="4"/>
  <c r="DE19" i="4"/>
  <c r="DF19" i="4"/>
  <c r="CY21" i="4"/>
  <c r="CZ21" i="4"/>
  <c r="DA21" i="4"/>
  <c r="DB21" i="4"/>
  <c r="DC21" i="4"/>
  <c r="DE21" i="4"/>
  <c r="DF21" i="4"/>
  <c r="CY17" i="4"/>
  <c r="CZ17" i="4"/>
  <c r="DA17" i="4"/>
  <c r="DB17" i="4"/>
  <c r="DC17" i="4"/>
  <c r="DE17" i="4"/>
  <c r="DF17" i="4"/>
  <c r="CY13" i="4"/>
  <c r="CZ13" i="4"/>
  <c r="DA13" i="4"/>
  <c r="DB13" i="4"/>
  <c r="DC13" i="4"/>
  <c r="DE13" i="4"/>
  <c r="DF13" i="4"/>
  <c r="CY20" i="4"/>
  <c r="CZ20" i="4"/>
  <c r="DA20" i="4"/>
  <c r="DB20" i="4"/>
  <c r="DC20" i="4"/>
  <c r="DE20" i="4"/>
  <c r="DF20" i="4"/>
  <c r="DC10" i="4"/>
  <c r="DB10" i="4"/>
  <c r="CZ10" i="4"/>
  <c r="DA10" i="4"/>
  <c r="CY10" i="4"/>
  <c r="LT19" i="12"/>
  <c r="LU19" i="12"/>
  <c r="LV19" i="12"/>
  <c r="LW19" i="12"/>
  <c r="LV4" i="12"/>
  <c r="CB19" i="12"/>
  <c r="CB4" i="12"/>
  <c r="LV5" i="6"/>
  <c r="LV6" i="6"/>
  <c r="LV11" i="6"/>
  <c r="LV17" i="6"/>
  <c r="LV23" i="6"/>
  <c r="LV22" i="6"/>
  <c r="LV8" i="6"/>
  <c r="LV15" i="6"/>
  <c r="LV4" i="6"/>
  <c r="CB5" i="6"/>
  <c r="CB6" i="6"/>
  <c r="CB11" i="6"/>
  <c r="CB17" i="6"/>
  <c r="CB23" i="6"/>
  <c r="CB22" i="6"/>
  <c r="CB8" i="6"/>
  <c r="CB15" i="6"/>
  <c r="CB4" i="6"/>
  <c r="LV5" i="8"/>
  <c r="LV6" i="8"/>
  <c r="LV4" i="8"/>
  <c r="CB4" i="8"/>
  <c r="LV10" i="7"/>
  <c r="LV5" i="7"/>
  <c r="CB5" i="7"/>
  <c r="CB10" i="7"/>
  <c r="BZ5" i="7"/>
  <c r="K11" i="12" l="1"/>
  <c r="L11" i="12"/>
  <c r="CE11" i="12"/>
  <c r="K5" i="12"/>
  <c r="CE5" i="12"/>
  <c r="L5" i="12"/>
  <c r="K8" i="12"/>
  <c r="CE8" i="12"/>
  <c r="CE6" i="12"/>
  <c r="K6" i="12"/>
  <c r="CE15" i="12"/>
  <c r="K15" i="12"/>
  <c r="K13" i="12"/>
  <c r="CE13" i="12"/>
  <c r="L13" i="12"/>
  <c r="MR16" i="6"/>
  <c r="K13" i="6"/>
  <c r="CE13" i="6"/>
  <c r="L13" i="6"/>
  <c r="K14" i="6"/>
  <c r="CE14" i="6"/>
  <c r="L14" i="6"/>
  <c r="K16" i="6"/>
  <c r="CE16" i="6"/>
  <c r="OR22" i="14"/>
  <c r="OR20" i="14"/>
  <c r="OR21" i="4"/>
  <c r="OR17" i="4"/>
  <c r="OR19" i="14"/>
  <c r="OR18" i="4"/>
  <c r="NL12" i="14"/>
  <c r="NO12" i="14" s="1"/>
  <c r="DD15" i="4"/>
  <c r="DG15" i="4" s="1"/>
  <c r="OR15" i="4"/>
  <c r="OR16" i="4"/>
  <c r="OR19" i="4"/>
  <c r="MR6" i="12"/>
  <c r="MS16" i="6"/>
  <c r="CD16" i="6"/>
  <c r="L16" i="6" s="1"/>
  <c r="MR9" i="7"/>
  <c r="MP9" i="7"/>
  <c r="CD9" i="7"/>
  <c r="NL14" i="4"/>
  <c r="NO14" i="4" s="1"/>
  <c r="NL15" i="4"/>
  <c r="NO15" i="4" s="1"/>
  <c r="DD13" i="14"/>
  <c r="DG13" i="14" s="1"/>
  <c r="DD12" i="14"/>
  <c r="DG12" i="14" s="1"/>
  <c r="DD16" i="4"/>
  <c r="DG16" i="4" s="1"/>
  <c r="NL16" i="4"/>
  <c r="NO16" i="4" s="1"/>
  <c r="OO16" i="4"/>
  <c r="DD14" i="4"/>
  <c r="DG14" i="4" s="1"/>
  <c r="MR13" i="12"/>
  <c r="LX13" i="12"/>
  <c r="CD13" i="12"/>
  <c r="MS13" i="12"/>
  <c r="MQ13" i="12"/>
  <c r="MP13" i="12"/>
  <c r="F13" i="12"/>
  <c r="G13" i="12"/>
  <c r="MR15" i="12"/>
  <c r="MS6" i="12"/>
  <c r="LX15" i="12"/>
  <c r="CD15" i="12"/>
  <c r="L15" i="12" s="1"/>
  <c r="MS15" i="12"/>
  <c r="MQ15" i="12"/>
  <c r="MP15" i="12"/>
  <c r="F15" i="12"/>
  <c r="G15" i="12"/>
  <c r="LX6" i="12"/>
  <c r="CD6" i="12"/>
  <c r="L6" i="12" s="1"/>
  <c r="MQ6" i="12"/>
  <c r="MP6" i="12"/>
  <c r="F6" i="12"/>
  <c r="G6" i="12"/>
  <c r="MR8" i="12"/>
  <c r="LX8" i="12"/>
  <c r="MS8" i="12"/>
  <c r="CD8" i="12"/>
  <c r="L8" i="12" s="1"/>
  <c r="MQ8" i="12"/>
  <c r="MP8" i="12"/>
  <c r="F8" i="12"/>
  <c r="G8" i="12"/>
  <c r="CD5" i="12"/>
  <c r="LX5" i="12"/>
  <c r="MR5" i="12"/>
  <c r="MS5" i="12"/>
  <c r="MQ5" i="12"/>
  <c r="MP5" i="12"/>
  <c r="F5" i="12"/>
  <c r="G5" i="12"/>
  <c r="MR11" i="12"/>
  <c r="MQ11" i="12"/>
  <c r="LX11" i="12"/>
  <c r="MS11" i="12"/>
  <c r="CD11" i="12"/>
  <c r="MP11" i="12"/>
  <c r="F11" i="12"/>
  <c r="G11" i="12"/>
  <c r="LX16" i="6"/>
  <c r="MQ16" i="6"/>
  <c r="MP16" i="6"/>
  <c r="F16" i="6"/>
  <c r="G16" i="6"/>
  <c r="MR14" i="6"/>
  <c r="MP14" i="6"/>
  <c r="LX14" i="6"/>
  <c r="CD14" i="6"/>
  <c r="MS14" i="6"/>
  <c r="MQ14" i="6"/>
  <c r="F14" i="6"/>
  <c r="G14" i="6"/>
  <c r="MR13" i="6"/>
  <c r="LX13" i="6"/>
  <c r="CD13" i="6"/>
  <c r="MQ13" i="6"/>
  <c r="MP13" i="6"/>
  <c r="F13" i="6"/>
  <c r="MS13" i="6"/>
  <c r="G13" i="6"/>
  <c r="LX9" i="7"/>
  <c r="MQ9" i="7"/>
  <c r="L9" i="7"/>
  <c r="CF9" i="7" s="1"/>
  <c r="MS9" i="7"/>
  <c r="F9" i="7"/>
  <c r="J9" i="7"/>
  <c r="G9" i="7"/>
  <c r="MR6" i="7"/>
  <c r="MP6" i="7"/>
  <c r="LX6" i="7"/>
  <c r="CD6" i="7"/>
  <c r="MS6" i="7"/>
  <c r="L6" i="7"/>
  <c r="MQ6" i="7"/>
  <c r="F6" i="7"/>
  <c r="J6" i="7"/>
  <c r="G6" i="7"/>
  <c r="OM12" i="14"/>
  <c r="OK12" i="14"/>
  <c r="OR18" i="14"/>
  <c r="OO12" i="14"/>
  <c r="O12" i="14"/>
  <c r="P12" i="14" s="1"/>
  <c r="G12" i="14"/>
  <c r="F12" i="14" s="1"/>
  <c r="Q12" i="14"/>
  <c r="H12" i="14"/>
  <c r="NL13" i="14"/>
  <c r="NO13" i="14" s="1"/>
  <c r="DD8" i="14"/>
  <c r="DG8" i="14" s="1"/>
  <c r="OO13" i="14"/>
  <c r="OM13" i="14"/>
  <c r="OK13" i="14"/>
  <c r="OR17" i="14"/>
  <c r="O13" i="14"/>
  <c r="P13" i="14" s="1"/>
  <c r="Q13" i="14"/>
  <c r="R13" i="14" s="1"/>
  <c r="G13" i="14"/>
  <c r="F13" i="14" s="1"/>
  <c r="H13" i="14"/>
  <c r="DD9" i="14"/>
  <c r="DG9" i="14" s="1"/>
  <c r="DD10" i="14"/>
  <c r="DG10" i="14" s="1"/>
  <c r="OO8" i="14"/>
  <c r="NL8" i="14"/>
  <c r="NO8" i="14" s="1"/>
  <c r="OM8" i="14"/>
  <c r="OK8" i="14"/>
  <c r="OR16" i="14"/>
  <c r="O8" i="14"/>
  <c r="DI8" i="14" s="1"/>
  <c r="G8" i="14"/>
  <c r="F8" i="14" s="1"/>
  <c r="Q8" i="14"/>
  <c r="H8" i="14"/>
  <c r="NL10" i="14"/>
  <c r="NO10" i="14" s="1"/>
  <c r="OM10" i="14"/>
  <c r="OK10" i="14"/>
  <c r="OR15" i="14"/>
  <c r="OO10" i="14"/>
  <c r="O10" i="14"/>
  <c r="DI10" i="14" s="1"/>
  <c r="G10" i="14"/>
  <c r="F10" i="14" s="1"/>
  <c r="Q10" i="14"/>
  <c r="H10" i="14"/>
  <c r="NL18" i="14"/>
  <c r="NO18" i="14" s="1"/>
  <c r="DD11" i="14"/>
  <c r="DG11" i="14" s="1"/>
  <c r="NL4" i="14"/>
  <c r="NO4" i="14" s="1"/>
  <c r="NL9" i="14"/>
  <c r="NO9" i="14" s="1"/>
  <c r="OM9" i="14"/>
  <c r="OK9" i="14"/>
  <c r="OO9" i="14"/>
  <c r="O9" i="14"/>
  <c r="P9" i="14" s="1"/>
  <c r="G9" i="14"/>
  <c r="F9" i="14" s="1"/>
  <c r="Q9" i="14"/>
  <c r="H9" i="14"/>
  <c r="OR14" i="14"/>
  <c r="NL11" i="14"/>
  <c r="NO11" i="14" s="1"/>
  <c r="DD18" i="14"/>
  <c r="DG18" i="14" s="1"/>
  <c r="OM11" i="14"/>
  <c r="G11" i="14"/>
  <c r="F11" i="14" s="1"/>
  <c r="OK11" i="14"/>
  <c r="OR13" i="14"/>
  <c r="OO11" i="14"/>
  <c r="O11" i="14"/>
  <c r="P11" i="14" s="1"/>
  <c r="Q11" i="14"/>
  <c r="H11" i="14"/>
  <c r="OO20" i="14"/>
  <c r="DD20" i="14"/>
  <c r="DG20" i="14" s="1"/>
  <c r="DD4" i="14"/>
  <c r="DG4" i="14" s="1"/>
  <c r="OM18" i="14"/>
  <c r="OK18" i="14"/>
  <c r="OR12" i="14"/>
  <c r="OO18" i="14"/>
  <c r="O18" i="14"/>
  <c r="P18" i="14" s="1"/>
  <c r="G18" i="14"/>
  <c r="Q18" i="14"/>
  <c r="H18" i="14"/>
  <c r="OM4" i="14"/>
  <c r="OK4" i="14"/>
  <c r="OR11" i="14"/>
  <c r="OO4" i="14"/>
  <c r="O4" i="14"/>
  <c r="P4" i="14" s="1"/>
  <c r="Q4" i="14"/>
  <c r="DK4" i="14" s="1"/>
  <c r="H4" i="14"/>
  <c r="G4" i="14"/>
  <c r="OR10" i="14"/>
  <c r="NL20" i="14"/>
  <c r="NO20" i="14" s="1"/>
  <c r="OM20" i="14"/>
  <c r="OK20" i="14"/>
  <c r="O20" i="14"/>
  <c r="P20" i="14" s="1"/>
  <c r="G20" i="14"/>
  <c r="Q20" i="14"/>
  <c r="H20" i="14"/>
  <c r="Q14" i="14"/>
  <c r="R14" i="14" s="1"/>
  <c r="Q16" i="14"/>
  <c r="OK15" i="4"/>
  <c r="OM15" i="4"/>
  <c r="Q15" i="4"/>
  <c r="R15" i="4" s="1"/>
  <c r="OR14" i="4"/>
  <c r="O15" i="4"/>
  <c r="P15" i="4" s="1"/>
  <c r="G15" i="4"/>
  <c r="OO15" i="4"/>
  <c r="H15" i="4"/>
  <c r="OM16" i="4"/>
  <c r="OK16" i="4"/>
  <c r="OR13" i="4"/>
  <c r="Q16" i="4"/>
  <c r="R16" i="4" s="1"/>
  <c r="O16" i="4"/>
  <c r="P16" i="4" s="1"/>
  <c r="G16" i="4"/>
  <c r="F16" i="4" s="1"/>
  <c r="H16" i="4"/>
  <c r="OK14" i="4"/>
  <c r="OO14" i="4"/>
  <c r="OR12" i="4"/>
  <c r="OM14" i="4"/>
  <c r="Q14" i="4"/>
  <c r="R14" i="4" s="1"/>
  <c r="O14" i="4"/>
  <c r="P14" i="4" s="1"/>
  <c r="G14" i="4"/>
  <c r="F14" i="4" s="1"/>
  <c r="H14" i="4"/>
  <c r="Q7" i="14"/>
  <c r="DK7" i="14" s="1"/>
  <c r="Q22" i="14"/>
  <c r="R22" i="14" s="1"/>
  <c r="Q5" i="14"/>
  <c r="DK5" i="14" s="1"/>
  <c r="DD5" i="14"/>
  <c r="DG5" i="14" s="1"/>
  <c r="OM7" i="14"/>
  <c r="NL22" i="14"/>
  <c r="NO22" i="14" s="1"/>
  <c r="DD16" i="14"/>
  <c r="DG16" i="14" s="1"/>
  <c r="NL7" i="14"/>
  <c r="NO7" i="14" s="1"/>
  <c r="NL5" i="14"/>
  <c r="NO5" i="14" s="1"/>
  <c r="DD22" i="14"/>
  <c r="DG22" i="14" s="1"/>
  <c r="OR4" i="14"/>
  <c r="OK22" i="14"/>
  <c r="OK5" i="14"/>
  <c r="OM22" i="14"/>
  <c r="OM5" i="14"/>
  <c r="OO5" i="14"/>
  <c r="O14" i="14"/>
  <c r="DI14" i="14" s="1"/>
  <c r="O5" i="14"/>
  <c r="DI5" i="14" s="1"/>
  <c r="OR7" i="14"/>
  <c r="OM14" i="14"/>
  <c r="OO14" i="14"/>
  <c r="G7" i="14"/>
  <c r="OK7" i="14"/>
  <c r="G22" i="14"/>
  <c r="F22" i="14" s="1"/>
  <c r="OR8" i="14"/>
  <c r="O16" i="14"/>
  <c r="DI16" i="14" s="1"/>
  <c r="OM16" i="14"/>
  <c r="OO22" i="14"/>
  <c r="DD14" i="14"/>
  <c r="DG14" i="14" s="1"/>
  <c r="H7" i="14"/>
  <c r="OO7" i="14"/>
  <c r="G16" i="14"/>
  <c r="F16" i="14" s="1"/>
  <c r="OO16" i="14"/>
  <c r="OR6" i="14"/>
  <c r="OR9" i="14"/>
  <c r="DD7" i="14"/>
  <c r="DG7" i="14" s="1"/>
  <c r="G5" i="14"/>
  <c r="OR5" i="14"/>
  <c r="NL16" i="14"/>
  <c r="NO16" i="14" s="1"/>
  <c r="OK16" i="14"/>
  <c r="G14" i="14"/>
  <c r="NL14" i="14"/>
  <c r="NO14" i="14" s="1"/>
  <c r="OK14" i="14"/>
  <c r="O7" i="14"/>
  <c r="H14" i="14"/>
  <c r="O22" i="14"/>
  <c r="H22" i="14"/>
  <c r="H5" i="14"/>
  <c r="H16" i="14"/>
  <c r="OO21" i="4"/>
  <c r="OO19" i="4"/>
  <c r="OO8" i="4"/>
  <c r="OO11" i="4"/>
  <c r="OR11" i="4"/>
  <c r="OR10" i="4"/>
  <c r="OR9" i="4"/>
  <c r="OR8" i="4"/>
  <c r="OR7" i="4"/>
  <c r="OR6" i="4"/>
  <c r="OR5" i="4"/>
  <c r="OR4" i="4"/>
  <c r="OO20" i="4"/>
  <c r="OM13" i="4"/>
  <c r="OM17" i="4"/>
  <c r="OM21" i="4"/>
  <c r="OM19" i="4"/>
  <c r="OM8" i="4"/>
  <c r="OM11" i="4"/>
  <c r="OM10" i="4"/>
  <c r="DD10" i="4"/>
  <c r="OO13" i="4"/>
  <c r="OO17" i="4"/>
  <c r="OM20" i="4"/>
  <c r="OO10" i="4"/>
  <c r="DD11" i="4"/>
  <c r="DG11" i="4" s="1"/>
  <c r="DD19" i="4"/>
  <c r="DG19" i="4" s="1"/>
  <c r="DD21" i="4"/>
  <c r="DG21" i="4" s="1"/>
  <c r="DD17" i="4"/>
  <c r="DG17" i="4" s="1"/>
  <c r="DD13" i="4"/>
  <c r="DG13" i="4" s="1"/>
  <c r="DD8" i="4"/>
  <c r="DG8" i="4" s="1"/>
  <c r="DD20" i="4"/>
  <c r="DG20" i="4" s="1"/>
  <c r="LX19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LY19" i="12"/>
  <c r="LY4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10" i="4"/>
  <c r="CC19" i="12"/>
  <c r="CA19" i="12"/>
  <c r="J19" i="12" s="1"/>
  <c r="BZ19" i="12"/>
  <c r="CC4" i="12"/>
  <c r="CA4" i="12"/>
  <c r="J4" i="12" s="1"/>
  <c r="BZ4" i="12"/>
  <c r="CC15" i="6"/>
  <c r="CA15" i="6"/>
  <c r="J15" i="6" s="1"/>
  <c r="BZ15" i="6"/>
  <c r="CC8" i="6"/>
  <c r="CA8" i="6"/>
  <c r="J8" i="6" s="1"/>
  <c r="BZ8" i="6"/>
  <c r="CC22" i="6"/>
  <c r="CA22" i="6"/>
  <c r="J22" i="6" s="1"/>
  <c r="BZ22" i="6"/>
  <c r="CC23" i="6"/>
  <c r="CA23" i="6"/>
  <c r="J23" i="6" s="1"/>
  <c r="BZ23" i="6"/>
  <c r="CC17" i="6"/>
  <c r="CA17" i="6"/>
  <c r="J17" i="6" s="1"/>
  <c r="BZ17" i="6"/>
  <c r="CC11" i="6"/>
  <c r="CA11" i="6"/>
  <c r="J11" i="6" s="1"/>
  <c r="BZ11" i="6"/>
  <c r="CC6" i="6"/>
  <c r="CA6" i="6"/>
  <c r="J6" i="6" s="1"/>
  <c r="BZ6" i="6"/>
  <c r="CC5" i="6"/>
  <c r="CA5" i="6"/>
  <c r="J5" i="6" s="1"/>
  <c r="BZ5" i="6"/>
  <c r="CC4" i="6"/>
  <c r="CA4" i="6"/>
  <c r="J4" i="6" s="1"/>
  <c r="BZ4" i="6"/>
  <c r="CC6" i="8"/>
  <c r="CA6" i="8"/>
  <c r="BZ6" i="8"/>
  <c r="CC5" i="8"/>
  <c r="CA5" i="8"/>
  <c r="BZ5" i="8"/>
  <c r="CC4" i="8"/>
  <c r="CA4" i="8"/>
  <c r="BZ4" i="8"/>
  <c r="CC10" i="7"/>
  <c r="CA10" i="7"/>
  <c r="BZ10" i="7"/>
  <c r="CC5" i="7"/>
  <c r="CA5" i="7"/>
  <c r="NQ10" i="4"/>
  <c r="NR10" i="4"/>
  <c r="NS10" i="4"/>
  <c r="NT10" i="4"/>
  <c r="NQ11" i="4"/>
  <c r="NR11" i="4"/>
  <c r="NS11" i="4"/>
  <c r="NQ8" i="4"/>
  <c r="NR8" i="4"/>
  <c r="NS8" i="4"/>
  <c r="NQ19" i="4"/>
  <c r="NR19" i="4"/>
  <c r="NS19" i="4"/>
  <c r="NQ21" i="4"/>
  <c r="NR21" i="4"/>
  <c r="NS21" i="4"/>
  <c r="NQ17" i="4"/>
  <c r="NR17" i="4"/>
  <c r="NS17" i="4"/>
  <c r="NQ13" i="4"/>
  <c r="NR13" i="4"/>
  <c r="NS13" i="4"/>
  <c r="NQ20" i="4"/>
  <c r="NR20" i="4"/>
  <c r="NS20" i="4"/>
  <c r="NP11" i="4"/>
  <c r="NP8" i="4"/>
  <c r="NP19" i="4"/>
  <c r="NP21" i="4"/>
  <c r="NP17" i="4"/>
  <c r="NP13" i="4"/>
  <c r="NP20" i="4"/>
  <c r="M15" i="12" l="1"/>
  <c r="CF15" i="12"/>
  <c r="N15" i="12" s="1"/>
  <c r="M6" i="12"/>
  <c r="CF6" i="12"/>
  <c r="N6" i="12" s="1"/>
  <c r="M8" i="12"/>
  <c r="CF8" i="12"/>
  <c r="N8" i="12" s="1"/>
  <c r="K19" i="12"/>
  <c r="CE19" i="12"/>
  <c r="M5" i="12"/>
  <c r="CF5" i="12"/>
  <c r="N5" i="12" s="1"/>
  <c r="M13" i="12"/>
  <c r="CF13" i="12"/>
  <c r="N13" i="12" s="1"/>
  <c r="M11" i="12"/>
  <c r="CF11" i="12"/>
  <c r="N11" i="12" s="1"/>
  <c r="L4" i="12"/>
  <c r="K4" i="12"/>
  <c r="M16" i="6"/>
  <c r="CF16" i="6"/>
  <c r="K22" i="6"/>
  <c r="K5" i="6"/>
  <c r="L5" i="6"/>
  <c r="M14" i="6"/>
  <c r="CF14" i="6"/>
  <c r="L6" i="6"/>
  <c r="K6" i="6"/>
  <c r="M13" i="6"/>
  <c r="CF13" i="6"/>
  <c r="K17" i="6"/>
  <c r="K8" i="6"/>
  <c r="L8" i="6"/>
  <c r="K4" i="6"/>
  <c r="L15" i="6"/>
  <c r="K15" i="6"/>
  <c r="K23" i="6"/>
  <c r="K11" i="6"/>
  <c r="K13" i="14"/>
  <c r="L13" i="14" s="1"/>
  <c r="M6" i="7"/>
  <c r="K14" i="4"/>
  <c r="M14" i="4" s="1"/>
  <c r="K15" i="4"/>
  <c r="M15" i="4" s="1"/>
  <c r="MT6" i="7"/>
  <c r="MT6" i="12"/>
  <c r="MT13" i="12"/>
  <c r="MT15" i="12"/>
  <c r="MT14" i="6"/>
  <c r="MT16" i="6"/>
  <c r="M9" i="7"/>
  <c r="CF6" i="7"/>
  <c r="MT9" i="7"/>
  <c r="K16" i="4"/>
  <c r="DJ16" i="4" s="1"/>
  <c r="K12" i="14"/>
  <c r="M12" i="14" s="1"/>
  <c r="K20" i="14"/>
  <c r="DJ20" i="14" s="1"/>
  <c r="K8" i="14"/>
  <c r="L8" i="14" s="1"/>
  <c r="OP9" i="14"/>
  <c r="OP15" i="4"/>
  <c r="J15" i="4"/>
  <c r="DK16" i="4"/>
  <c r="DK15" i="4"/>
  <c r="A13" i="12"/>
  <c r="H13" i="12"/>
  <c r="I13" i="12" s="1"/>
  <c r="H15" i="12"/>
  <c r="I15" i="12" s="1"/>
  <c r="A15" i="12"/>
  <c r="MT8" i="12"/>
  <c r="H6" i="12"/>
  <c r="I6" i="12" s="1"/>
  <c r="MT5" i="12"/>
  <c r="H8" i="12"/>
  <c r="I8" i="12" s="1"/>
  <c r="H5" i="12"/>
  <c r="I5" i="12" s="1"/>
  <c r="MT11" i="12"/>
  <c r="H11" i="12"/>
  <c r="I11" i="12" s="1"/>
  <c r="A11" i="12"/>
  <c r="H16" i="6"/>
  <c r="I16" i="6" s="1"/>
  <c r="A16" i="6"/>
  <c r="H14" i="6"/>
  <c r="I14" i="6" s="1"/>
  <c r="A14" i="6"/>
  <c r="MT13" i="6"/>
  <c r="H13" i="6"/>
  <c r="I13" i="6" s="1"/>
  <c r="A13" i="6"/>
  <c r="H9" i="7"/>
  <c r="I9" i="7" s="1"/>
  <c r="CE9" i="7"/>
  <c r="N9" i="7" s="1"/>
  <c r="K9" i="7"/>
  <c r="A9" i="7"/>
  <c r="H6" i="7"/>
  <c r="I6" i="7" s="1"/>
  <c r="A6" i="7"/>
  <c r="CE6" i="7"/>
  <c r="K6" i="7"/>
  <c r="OP12" i="14"/>
  <c r="J12" i="14"/>
  <c r="DI12" i="14"/>
  <c r="A12" i="14" a="1"/>
  <c r="A12" i="14" s="1"/>
  <c r="I12" i="14"/>
  <c r="DK12" i="14"/>
  <c r="R12" i="14"/>
  <c r="OP13" i="14"/>
  <c r="DI13" i="14"/>
  <c r="DK13" i="14"/>
  <c r="I13" i="14"/>
  <c r="J13" i="14"/>
  <c r="A13" i="14" a="1"/>
  <c r="A13" i="14" s="1"/>
  <c r="DJ13" i="14"/>
  <c r="K10" i="14"/>
  <c r="DJ10" i="14" s="1"/>
  <c r="OP7" i="14"/>
  <c r="P16" i="14"/>
  <c r="OP10" i="14"/>
  <c r="OP8" i="14"/>
  <c r="P8" i="14"/>
  <c r="J8" i="14"/>
  <c r="I8" i="14"/>
  <c r="DK8" i="14"/>
  <c r="S8" i="14" s="1"/>
  <c r="R8" i="14"/>
  <c r="OP20" i="14"/>
  <c r="OS20" i="14" s="1"/>
  <c r="K18" i="14"/>
  <c r="L18" i="14" s="1"/>
  <c r="DI9" i="14"/>
  <c r="P10" i="14"/>
  <c r="A10" i="14" a="1"/>
  <c r="A10" i="14" s="1"/>
  <c r="J10" i="14"/>
  <c r="I10" i="14"/>
  <c r="DK10" i="14"/>
  <c r="S10" i="14" s="1"/>
  <c r="R10" i="14"/>
  <c r="K4" i="14"/>
  <c r="DJ4" i="14" s="1"/>
  <c r="K9" i="14"/>
  <c r="DJ9" i="14" s="1"/>
  <c r="A9" i="14" a="1"/>
  <c r="A9" i="14" s="1"/>
  <c r="J9" i="14"/>
  <c r="I9" i="14"/>
  <c r="DK9" i="14"/>
  <c r="R9" i="14"/>
  <c r="J14" i="14"/>
  <c r="K11" i="14"/>
  <c r="DJ11" i="14" s="1"/>
  <c r="J18" i="14"/>
  <c r="J11" i="14"/>
  <c r="A11" i="14" a="1"/>
  <c r="A11" i="14" s="1"/>
  <c r="DI11" i="14"/>
  <c r="OP11" i="14"/>
  <c r="I11" i="14"/>
  <c r="DK11" i="14"/>
  <c r="R11" i="14"/>
  <c r="OP5" i="14"/>
  <c r="P5" i="14"/>
  <c r="P14" i="14"/>
  <c r="DI18" i="14"/>
  <c r="OP18" i="14"/>
  <c r="F18" i="14"/>
  <c r="A18" i="14" a="1"/>
  <c r="A18" i="14" s="1"/>
  <c r="I18" i="14"/>
  <c r="DK18" i="14"/>
  <c r="R18" i="14"/>
  <c r="J20" i="14"/>
  <c r="OP4" i="14"/>
  <c r="R4" i="14"/>
  <c r="DI4" i="14"/>
  <c r="S4" i="14" s="1"/>
  <c r="J4" i="14"/>
  <c r="I4" i="14"/>
  <c r="F4" i="14"/>
  <c r="DK22" i="14"/>
  <c r="DI20" i="14"/>
  <c r="F20" i="14"/>
  <c r="A20" i="14" a="1"/>
  <c r="A20" i="14" s="1"/>
  <c r="I20" i="14"/>
  <c r="DK20" i="14"/>
  <c r="R20" i="14"/>
  <c r="OP16" i="14"/>
  <c r="DI15" i="4"/>
  <c r="F15" i="4"/>
  <c r="A15" i="4" a="1"/>
  <c r="A15" i="4" s="1"/>
  <c r="I15" i="4"/>
  <c r="OP14" i="4"/>
  <c r="DI16" i="4"/>
  <c r="OP16" i="4"/>
  <c r="J16" i="4"/>
  <c r="A16" i="4" a="1"/>
  <c r="A16" i="4" s="1"/>
  <c r="I16" i="4"/>
  <c r="DK14" i="4"/>
  <c r="DI14" i="4"/>
  <c r="A14" i="4" a="1"/>
  <c r="A14" i="4" s="1"/>
  <c r="J14" i="4"/>
  <c r="I14" i="4"/>
  <c r="DJ14" i="4"/>
  <c r="L14" i="4"/>
  <c r="K7" i="14"/>
  <c r="DJ7" i="14" s="1"/>
  <c r="K22" i="14"/>
  <c r="M22" i="14" s="1"/>
  <c r="OP22" i="14"/>
  <c r="OS22" i="14" s="1"/>
  <c r="I5" i="14"/>
  <c r="DK14" i="14"/>
  <c r="S14" i="14" s="1"/>
  <c r="U14" i="14" s="1"/>
  <c r="S5" i="14"/>
  <c r="A14" i="14" a="1"/>
  <c r="A14" i="14" s="1"/>
  <c r="K14" i="14"/>
  <c r="M14" i="14" s="1"/>
  <c r="F7" i="14"/>
  <c r="F14" i="14"/>
  <c r="I7" i="14"/>
  <c r="J7" i="14"/>
  <c r="OP14" i="14"/>
  <c r="J22" i="14"/>
  <c r="F5" i="14"/>
  <c r="R7" i="14"/>
  <c r="R5" i="14"/>
  <c r="J5" i="14"/>
  <c r="K5" i="14"/>
  <c r="M5" i="14" s="1"/>
  <c r="K16" i="14"/>
  <c r="J16" i="14"/>
  <c r="DK16" i="14"/>
  <c r="S16" i="14" s="1"/>
  <c r="R16" i="14"/>
  <c r="I22" i="14"/>
  <c r="DI7" i="14"/>
  <c r="S7" i="14" s="1"/>
  <c r="P7" i="14"/>
  <c r="DI22" i="14"/>
  <c r="P22" i="14"/>
  <c r="I16" i="14"/>
  <c r="I14" i="14"/>
  <c r="OK13" i="4"/>
  <c r="OP13" i="4" s="1"/>
  <c r="CD22" i="6"/>
  <c r="L22" i="6" s="1"/>
  <c r="OK20" i="4"/>
  <c r="OP20" i="4" s="1"/>
  <c r="OS20" i="4" s="1"/>
  <c r="MR4" i="12"/>
  <c r="OK17" i="4"/>
  <c r="OP17" i="4" s="1"/>
  <c r="OK19" i="4"/>
  <c r="OP19" i="4" s="1"/>
  <c r="OK10" i="4"/>
  <c r="OP10" i="4" s="1"/>
  <c r="OK8" i="4"/>
  <c r="OP8" i="4" s="1"/>
  <c r="OK21" i="4"/>
  <c r="OP21" i="4" s="1"/>
  <c r="OS21" i="4" s="1"/>
  <c r="OK11" i="4"/>
  <c r="OP11" i="4" s="1"/>
  <c r="MR6" i="8"/>
  <c r="MR5" i="8"/>
  <c r="MR4" i="8"/>
  <c r="MR10" i="7"/>
  <c r="MR5" i="7"/>
  <c r="MP5" i="7"/>
  <c r="CD17" i="6"/>
  <c r="L17" i="6" s="1"/>
  <c r="MR15" i="6"/>
  <c r="MR8" i="6"/>
  <c r="MR22" i="6"/>
  <c r="MR23" i="6"/>
  <c r="MR17" i="6"/>
  <c r="MR11" i="6"/>
  <c r="MR6" i="6"/>
  <c r="MR5" i="6"/>
  <c r="MR4" i="6"/>
  <c r="MQ19" i="12"/>
  <c r="MR19" i="12"/>
  <c r="MP19" i="12"/>
  <c r="MS19" i="12"/>
  <c r="CD19" i="12"/>
  <c r="L19" i="12" s="1"/>
  <c r="CD5" i="6"/>
  <c r="CD15" i="6"/>
  <c r="CD6" i="6"/>
  <c r="CD11" i="6"/>
  <c r="L11" i="6" s="1"/>
  <c r="CD4" i="6"/>
  <c r="L4" i="6" s="1"/>
  <c r="M4" i="6" s="1"/>
  <c r="CD6" i="8"/>
  <c r="CD4" i="8"/>
  <c r="CD5" i="8"/>
  <c r="CD10" i="7"/>
  <c r="CD4" i="12"/>
  <c r="CD23" i="6"/>
  <c r="L23" i="6" s="1"/>
  <c r="CD8" i="6"/>
  <c r="CD5" i="7"/>
  <c r="DF10" i="4"/>
  <c r="DE10" i="4"/>
  <c r="LT23" i="6"/>
  <c r="LU23" i="6"/>
  <c r="CE23" i="6" s="1"/>
  <c r="LW23" i="6"/>
  <c r="LT5" i="8"/>
  <c r="LU5" i="8"/>
  <c r="LW5" i="8"/>
  <c r="LT6" i="8"/>
  <c r="LU6" i="8"/>
  <c r="LW6" i="8"/>
  <c r="M19" i="12" l="1"/>
  <c r="CF19" i="12"/>
  <c r="O11" i="12"/>
  <c r="P11" i="12"/>
  <c r="O13" i="12"/>
  <c r="P13" i="12"/>
  <c r="O8" i="12"/>
  <c r="P8" i="12"/>
  <c r="O6" i="12"/>
  <c r="P6" i="12"/>
  <c r="P15" i="12"/>
  <c r="O15" i="12"/>
  <c r="O5" i="12"/>
  <c r="P5" i="12"/>
  <c r="M4" i="12"/>
  <c r="N19" i="12"/>
  <c r="M17" i="6"/>
  <c r="M22" i="6"/>
  <c r="M23" i="6"/>
  <c r="M11" i="6"/>
  <c r="M15" i="6"/>
  <c r="M5" i="6"/>
  <c r="M8" i="6"/>
  <c r="M6" i="6"/>
  <c r="OS10" i="14"/>
  <c r="OS14" i="14"/>
  <c r="OS16" i="4"/>
  <c r="OS11" i="14"/>
  <c r="M13" i="14"/>
  <c r="DH13" i="14" s="1"/>
  <c r="OS15" i="14"/>
  <c r="OS4" i="14"/>
  <c r="OS17" i="4"/>
  <c r="OS18" i="4"/>
  <c r="L15" i="4"/>
  <c r="N15" i="4" s="1"/>
  <c r="M20" i="14"/>
  <c r="DH20" i="14" s="1"/>
  <c r="L20" i="14"/>
  <c r="DJ8" i="14"/>
  <c r="DJ15" i="4"/>
  <c r="M16" i="4"/>
  <c r="L16" i="4"/>
  <c r="L12" i="14"/>
  <c r="N12" i="14" s="1"/>
  <c r="OS12" i="14"/>
  <c r="OS13" i="14"/>
  <c r="DJ12" i="14"/>
  <c r="S16" i="4"/>
  <c r="U16" i="4" s="1"/>
  <c r="N6" i="7"/>
  <c r="P6" i="7" s="1"/>
  <c r="S9" i="14"/>
  <c r="T9" i="14" s="1"/>
  <c r="OS7" i="14"/>
  <c r="OS17" i="14"/>
  <c r="OS16" i="14"/>
  <c r="OS18" i="14"/>
  <c r="OS19" i="14"/>
  <c r="M8" i="14"/>
  <c r="N8" i="14" s="1"/>
  <c r="OS9" i="14"/>
  <c r="OS13" i="4"/>
  <c r="OS15" i="4"/>
  <c r="OS12" i="4"/>
  <c r="OS19" i="4"/>
  <c r="OS14" i="4"/>
  <c r="N13" i="6"/>
  <c r="M10" i="14"/>
  <c r="L10" i="14"/>
  <c r="M11" i="14"/>
  <c r="L11" i="14"/>
  <c r="S18" i="14"/>
  <c r="E18" i="14" s="1"/>
  <c r="M18" i="14"/>
  <c r="DH18" i="14" s="1"/>
  <c r="DJ18" i="14"/>
  <c r="S15" i="4"/>
  <c r="E15" i="4" s="1"/>
  <c r="S14" i="4"/>
  <c r="E14" i="4" s="1"/>
  <c r="E9" i="7"/>
  <c r="O9" i="7"/>
  <c r="P9" i="7"/>
  <c r="S12" i="14"/>
  <c r="T12" i="14" s="1"/>
  <c r="DH12" i="14"/>
  <c r="S22" i="14"/>
  <c r="T22" i="14" s="1"/>
  <c r="S13" i="14"/>
  <c r="E13" i="14" s="1"/>
  <c r="N13" i="14"/>
  <c r="M4" i="14"/>
  <c r="DH4" i="14" s="1"/>
  <c r="L4" i="14"/>
  <c r="DJ5" i="14"/>
  <c r="T8" i="14"/>
  <c r="U8" i="14"/>
  <c r="E8" i="14"/>
  <c r="M9" i="14"/>
  <c r="L9" i="14"/>
  <c r="E10" i="14"/>
  <c r="T10" i="14"/>
  <c r="U10" i="14"/>
  <c r="S11" i="14"/>
  <c r="T11" i="14" s="1"/>
  <c r="L7" i="14"/>
  <c r="M7" i="14"/>
  <c r="DH7" i="14" s="1"/>
  <c r="OS6" i="14"/>
  <c r="OS8" i="14"/>
  <c r="T4" i="14"/>
  <c r="U4" i="14"/>
  <c r="E4" i="14"/>
  <c r="S20" i="14"/>
  <c r="E20" i="14" s="1"/>
  <c r="L22" i="14"/>
  <c r="N22" i="14" s="1"/>
  <c r="L5" i="14"/>
  <c r="N5" i="14" s="1"/>
  <c r="DJ22" i="14"/>
  <c r="DH15" i="4"/>
  <c r="OS5" i="4"/>
  <c r="N14" i="4"/>
  <c r="DH14" i="4"/>
  <c r="E5" i="14"/>
  <c r="OS5" i="14"/>
  <c r="OS6" i="4"/>
  <c r="OS4" i="4"/>
  <c r="E16" i="14"/>
  <c r="E7" i="14"/>
  <c r="L14" i="14"/>
  <c r="DJ14" i="14"/>
  <c r="E14" i="14"/>
  <c r="T14" i="14"/>
  <c r="A16" i="14" a="1"/>
  <c r="A16" i="14" s="1"/>
  <c r="DH5" i="14"/>
  <c r="U16" i="14"/>
  <c r="T16" i="14"/>
  <c r="M16" i="14"/>
  <c r="L16" i="14"/>
  <c r="DJ16" i="14"/>
  <c r="DH22" i="14"/>
  <c r="U7" i="14"/>
  <c r="T7" i="14"/>
  <c r="N14" i="14"/>
  <c r="DH14" i="14"/>
  <c r="G23" i="6"/>
  <c r="F23" i="6"/>
  <c r="OS7" i="4"/>
  <c r="OS8" i="4"/>
  <c r="OS9" i="4"/>
  <c r="OS10" i="4"/>
  <c r="OS11" i="4"/>
  <c r="DG10" i="4"/>
  <c r="MT19" i="12"/>
  <c r="F5" i="8"/>
  <c r="G6" i="8"/>
  <c r="J6" i="8"/>
  <c r="K6" i="8" s="1"/>
  <c r="L6" i="8"/>
  <c r="F6" i="8"/>
  <c r="L5" i="8"/>
  <c r="G5" i="8"/>
  <c r="J5" i="8"/>
  <c r="K5" i="8" s="1"/>
  <c r="LX23" i="6"/>
  <c r="CF23" i="6" s="1"/>
  <c r="LX6" i="8"/>
  <c r="MP6" i="8"/>
  <c r="MP5" i="8"/>
  <c r="LX5" i="8"/>
  <c r="MQ6" i="8"/>
  <c r="MS6" i="8"/>
  <c r="MQ5" i="8"/>
  <c r="MS5" i="8"/>
  <c r="O19" i="12" l="1"/>
  <c r="P19" i="12"/>
  <c r="O13" i="6"/>
  <c r="P13" i="6"/>
  <c r="N16" i="6"/>
  <c r="N16" i="4"/>
  <c r="DH16" i="4"/>
  <c r="N20" i="14"/>
  <c r="N9" i="14"/>
  <c r="N11" i="14"/>
  <c r="DH11" i="14"/>
  <c r="E9" i="14"/>
  <c r="E16" i="4"/>
  <c r="T16" i="4"/>
  <c r="O6" i="7"/>
  <c r="E6" i="7"/>
  <c r="N10" i="14"/>
  <c r="U9" i="14"/>
  <c r="DH10" i="14"/>
  <c r="E22" i="14"/>
  <c r="U22" i="14"/>
  <c r="U18" i="14"/>
  <c r="DH8" i="14"/>
  <c r="N18" i="14"/>
  <c r="T18" i="14"/>
  <c r="N4" i="14"/>
  <c r="DH9" i="14"/>
  <c r="T15" i="4"/>
  <c r="U15" i="4"/>
  <c r="T14" i="4"/>
  <c r="U14" i="4"/>
  <c r="E12" i="14"/>
  <c r="U12" i="14"/>
  <c r="T13" i="14"/>
  <c r="U13" i="14"/>
  <c r="N7" i="14"/>
  <c r="E11" i="14"/>
  <c r="U11" i="14"/>
  <c r="U20" i="14"/>
  <c r="T20" i="14"/>
  <c r="U5" i="14"/>
  <c r="T5" i="14"/>
  <c r="N16" i="14"/>
  <c r="DH16" i="14"/>
  <c r="H5" i="8"/>
  <c r="I5" i="8" s="1"/>
  <c r="H6" i="8"/>
  <c r="I6" i="8" s="1"/>
  <c r="H23" i="6"/>
  <c r="I23" i="6" s="1"/>
  <c r="M5" i="8"/>
  <c r="M6" i="8"/>
  <c r="CF5" i="8"/>
  <c r="MT6" i="8"/>
  <c r="CE5" i="8"/>
  <c r="CF6" i="8"/>
  <c r="MT5" i="8"/>
  <c r="CE6" i="8"/>
  <c r="O16" i="6" l="1"/>
  <c r="P16" i="6"/>
  <c r="N14" i="6"/>
  <c r="E16" i="6"/>
  <c r="A8" i="14" a="1"/>
  <c r="A8" i="14" s="1"/>
  <c r="E15" i="12"/>
  <c r="A5" i="14" a="1"/>
  <c r="A5" i="14" s="1"/>
  <c r="E13" i="6"/>
  <c r="A6" i="14" a="1"/>
  <c r="A6" i="14" s="1"/>
  <c r="E13" i="12"/>
  <c r="E6" i="12"/>
  <c r="E8" i="12"/>
  <c r="E11" i="12"/>
  <c r="A4" i="14" a="1"/>
  <c r="A4" i="14" s="1"/>
  <c r="E5" i="12"/>
  <c r="A7" i="14" a="1"/>
  <c r="A7" i="14" s="1"/>
  <c r="A22" i="14" a="1"/>
  <c r="A22" i="14" s="1"/>
  <c r="N5" i="8"/>
  <c r="E5" i="8" s="1"/>
  <c r="N6" i="8"/>
  <c r="E6" i="8" s="1"/>
  <c r="O14" i="6" l="1"/>
  <c r="P14" i="6"/>
  <c r="E14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5" i="8"/>
  <c r="O5" i="8"/>
  <c r="O6" i="8"/>
  <c r="P6" i="8"/>
  <c r="N23" i="6" l="1"/>
  <c r="LT5" i="6"/>
  <c r="LU5" i="6"/>
  <c r="CE5" i="6" s="1"/>
  <c r="LW5" i="6"/>
  <c r="O23" i="6" l="1"/>
  <c r="P23" i="6"/>
  <c r="E23" i="6"/>
  <c r="G5" i="6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10" i="4" l="1"/>
  <c r="K21" i="4"/>
  <c r="K13" i="4" l="1"/>
  <c r="K20" i="4"/>
  <c r="K19" i="4"/>
  <c r="K8" i="4"/>
  <c r="K17" i="4"/>
  <c r="K11" i="4"/>
  <c r="M10" i="4"/>
  <c r="NM13" i="4" l="1"/>
  <c r="NM20" i="4"/>
  <c r="NM17" i="4"/>
  <c r="NM19" i="4"/>
  <c r="NM21" i="4"/>
  <c r="NM8" i="4"/>
  <c r="NM11" i="4"/>
  <c r="NM10" i="4"/>
  <c r="MP6" i="6" l="1"/>
  <c r="MP5" i="6"/>
  <c r="MP4" i="8"/>
  <c r="MQ4" i="12"/>
  <c r="MS4" i="12"/>
  <c r="MS17" i="6"/>
  <c r="MP22" i="6"/>
  <c r="MP23" i="6"/>
  <c r="MP17" i="6"/>
  <c r="MS22" i="6"/>
  <c r="MQ22" i="6"/>
  <c r="MP11" i="6"/>
  <c r="MS6" i="6"/>
  <c r="MS5" i="6"/>
  <c r="MP4" i="6"/>
  <c r="MP15" i="6"/>
  <c r="MP8" i="6"/>
  <c r="MS8" i="6"/>
  <c r="MQ8" i="6"/>
  <c r="MS11" i="6"/>
  <c r="MQ11" i="6"/>
  <c r="MQ6" i="6"/>
  <c r="MQ4" i="6"/>
  <c r="MQ5" i="6"/>
  <c r="MS4" i="6"/>
  <c r="MS15" i="6"/>
  <c r="MS23" i="6"/>
  <c r="MQ17" i="6"/>
  <c r="MQ4" i="8"/>
  <c r="MS4" i="8"/>
  <c r="MQ10" i="7"/>
  <c r="MQ5" i="7"/>
  <c r="MP10" i="7"/>
  <c r="MS10" i="7"/>
  <c r="MS5" i="7"/>
  <c r="MP4" i="12"/>
  <c r="MQ23" i="6"/>
  <c r="MQ15" i="6"/>
  <c r="MT11" i="6" l="1"/>
  <c r="MT5" i="6"/>
  <c r="MT4" i="12"/>
  <c r="MT6" i="6"/>
  <c r="MT8" i="6"/>
  <c r="MT5" i="7"/>
  <c r="MT10" i="7"/>
  <c r="MT22" i="6"/>
  <c r="MT17" i="6"/>
  <c r="MT4" i="8"/>
  <c r="MT4" i="6"/>
  <c r="MT15" i="6"/>
  <c r="MT23" i="6"/>
  <c r="LT11" i="6"/>
  <c r="LT22" i="6"/>
  <c r="LT17" i="6"/>
  <c r="LT6" i="6"/>
  <c r="LT8" i="6"/>
  <c r="LT4" i="6"/>
  <c r="LT15" i="6"/>
  <c r="LT4" i="12" l="1"/>
  <c r="LU4" i="8" l="1"/>
  <c r="LU10" i="7"/>
  <c r="G19" i="12"/>
  <c r="LW4" i="12"/>
  <c r="LU4" i="12"/>
  <c r="CE4" i="12" s="1"/>
  <c r="G4" i="8" l="1"/>
  <c r="G4" i="12"/>
  <c r="F4" i="12"/>
  <c r="F19" i="12"/>
  <c r="J10" i="7"/>
  <c r="K10" i="7" s="1"/>
  <c r="G10" i="7"/>
  <c r="J4" i="8"/>
  <c r="K4" i="8" s="1"/>
  <c r="LX4" i="12"/>
  <c r="CF4" i="12" s="1"/>
  <c r="N4" i="12" s="1"/>
  <c r="O4" i="12" l="1"/>
  <c r="P4" i="12"/>
  <c r="H4" i="12"/>
  <c r="I4" i="12" s="1"/>
  <c r="H19" i="12"/>
  <c r="I19" i="12" s="1"/>
  <c r="E19" i="12" l="1"/>
  <c r="E4" i="12"/>
  <c r="A6" i="12" l="1"/>
  <c r="A8" i="12"/>
  <c r="A5" i="12"/>
  <c r="A9" i="12"/>
  <c r="A7" i="12"/>
  <c r="A10" i="12"/>
  <c r="A4" i="12"/>
  <c r="A19" i="12"/>
  <c r="LW22" i="6"/>
  <c r="LU22" i="6"/>
  <c r="CE22" i="6" s="1"/>
  <c r="LW11" i="6"/>
  <c r="LU11" i="6"/>
  <c r="CE11" i="6" s="1"/>
  <c r="LW8" i="6"/>
  <c r="LU8" i="6"/>
  <c r="CE8" i="6" s="1"/>
  <c r="LW6" i="6"/>
  <c r="LU6" i="6"/>
  <c r="CE6" i="6" s="1"/>
  <c r="LW17" i="6"/>
  <c r="LU17" i="6"/>
  <c r="CE17" i="6" s="1"/>
  <c r="LW15" i="6"/>
  <c r="LU15" i="6"/>
  <c r="CE15" i="6" s="1"/>
  <c r="LW4" i="6"/>
  <c r="LU4" i="6"/>
  <c r="CE4" i="6" s="1"/>
  <c r="C42" i="11" l="1"/>
  <c r="C49" i="11"/>
  <c r="C43" i="11"/>
  <c r="C44" i="11"/>
  <c r="C45" i="11"/>
  <c r="C46" i="11"/>
  <c r="C47" i="11"/>
  <c r="C48" i="11"/>
  <c r="G22" i="6"/>
  <c r="F22" i="6"/>
  <c r="G17" i="6"/>
  <c r="F17" i="6"/>
  <c r="G11" i="6"/>
  <c r="F11" i="6"/>
  <c r="G15" i="6"/>
  <c r="F15" i="6"/>
  <c r="G6" i="6"/>
  <c r="F6" i="6"/>
  <c r="G4" i="6"/>
  <c r="F4" i="6"/>
  <c r="G8" i="6"/>
  <c r="F8" i="6"/>
  <c r="D43" i="11"/>
  <c r="D48" i="11"/>
  <c r="D49" i="11"/>
  <c r="D42" i="11"/>
  <c r="D44" i="11"/>
  <c r="D45" i="11"/>
  <c r="D46" i="11"/>
  <c r="D47" i="11"/>
  <c r="LX4" i="6"/>
  <c r="CF4" i="6" s="1"/>
  <c r="LX8" i="6"/>
  <c r="CF8" i="6" s="1"/>
  <c r="LX15" i="6"/>
  <c r="CF15" i="6" s="1"/>
  <c r="LX17" i="6"/>
  <c r="CF17" i="6" s="1"/>
  <c r="LX11" i="6"/>
  <c r="CF11" i="6" s="1"/>
  <c r="LX6" i="6"/>
  <c r="CF6" i="6" s="1"/>
  <c r="LX22" i="6"/>
  <c r="CF22" i="6" s="1"/>
  <c r="H15" i="6" l="1"/>
  <c r="I15" i="6" s="1"/>
  <c r="H6" i="6"/>
  <c r="I6" i="6" s="1"/>
  <c r="H11" i="6"/>
  <c r="I11" i="6" s="1"/>
  <c r="H8" i="6"/>
  <c r="I8" i="6" s="1"/>
  <c r="H17" i="6"/>
  <c r="I17" i="6" s="1"/>
  <c r="H4" i="6"/>
  <c r="I4" i="6" s="1"/>
  <c r="H22" i="6"/>
  <c r="I22" i="6" s="1"/>
  <c r="NI10" i="4"/>
  <c r="G10" i="4" s="1"/>
  <c r="F10" i="4" s="1"/>
  <c r="NI11" i="4"/>
  <c r="G11" i="4" s="1"/>
  <c r="F11" i="4" s="1"/>
  <c r="NI8" i="4"/>
  <c r="G8" i="4" s="1"/>
  <c r="F8" i="4" s="1"/>
  <c r="NI17" i="4"/>
  <c r="G17" i="4" s="1"/>
  <c r="F17" i="4" s="1"/>
  <c r="NI21" i="4"/>
  <c r="G21" i="4" s="1"/>
  <c r="NI20" i="4"/>
  <c r="G20" i="4" s="1"/>
  <c r="F20" i="4" s="1"/>
  <c r="NI19" i="4"/>
  <c r="G19" i="4" s="1"/>
  <c r="F19" i="4" s="1"/>
  <c r="NI13" i="4"/>
  <c r="G13" i="4" s="1"/>
  <c r="F13" i="4" s="1"/>
  <c r="F21" i="4" l="1"/>
  <c r="L4" i="8"/>
  <c r="M4" i="8" s="1"/>
  <c r="L10" i="7"/>
  <c r="M10" i="7" s="1"/>
  <c r="Q21" i="4" l="1"/>
  <c r="R21" i="4" s="1"/>
  <c r="O21" i="4"/>
  <c r="O20" i="4"/>
  <c r="Q20" i="4"/>
  <c r="R20" i="4" s="1"/>
  <c r="O13" i="4"/>
  <c r="Q13" i="4"/>
  <c r="R13" i="4" s="1"/>
  <c r="Q19" i="4"/>
  <c r="R19" i="4" s="1"/>
  <c r="O19" i="4"/>
  <c r="Q10" i="4"/>
  <c r="O10" i="4"/>
  <c r="Q11" i="4"/>
  <c r="R11" i="4" s="1"/>
  <c r="O11" i="4"/>
  <c r="Q8" i="4"/>
  <c r="R8" i="4" s="1"/>
  <c r="O8" i="4"/>
  <c r="O17" i="4"/>
  <c r="Q17" i="4"/>
  <c r="R17" i="4" s="1"/>
  <c r="R10" i="4" l="1"/>
  <c r="P13" i="4"/>
  <c r="P19" i="4"/>
  <c r="P8" i="4"/>
  <c r="P11" i="4"/>
  <c r="P20" i="4"/>
  <c r="P10" i="4"/>
  <c r="P21" i="4"/>
  <c r="P17" i="4"/>
  <c r="CE10" i="7"/>
  <c r="CE4" i="8"/>
  <c r="M19" i="4" l="1"/>
  <c r="L19" i="4"/>
  <c r="L21" i="4"/>
  <c r="M21" i="4"/>
  <c r="M17" i="4"/>
  <c r="L17" i="4"/>
  <c r="L10" i="4"/>
  <c r="M8" i="4"/>
  <c r="L8" i="4"/>
  <c r="M13" i="4"/>
  <c r="L13" i="4"/>
  <c r="M20" i="4"/>
  <c r="L20" i="4"/>
  <c r="L11" i="4"/>
  <c r="M11" i="4"/>
  <c r="N21" i="4" l="1"/>
  <c r="N11" i="4"/>
  <c r="N8" i="4"/>
  <c r="N10" i="4"/>
  <c r="N17" i="4"/>
  <c r="N20" i="4"/>
  <c r="N13" i="4"/>
  <c r="N19" i="4"/>
  <c r="N8" i="6" l="1"/>
  <c r="O8" i="6" l="1"/>
  <c r="P8" i="6"/>
  <c r="E8" i="6"/>
  <c r="NJ10" i="4"/>
  <c r="NK10" i="4"/>
  <c r="NN10" i="4"/>
  <c r="DK10" i="4" s="1"/>
  <c r="H10" i="4" l="1"/>
  <c r="DI10" i="4"/>
  <c r="S10" i="4" s="1"/>
  <c r="DH10" i="4"/>
  <c r="NL10" i="4"/>
  <c r="J10" i="4" s="1"/>
  <c r="I10" i="4" l="1"/>
  <c r="NO10" i="4"/>
  <c r="DJ10" i="4"/>
  <c r="U10" i="4" l="1"/>
  <c r="E10" i="4"/>
  <c r="T10" i="4"/>
  <c r="LW10" i="7" l="1"/>
  <c r="LT10" i="7"/>
  <c r="LW4" i="8"/>
  <c r="LT4" i="8"/>
  <c r="F10" i="7" l="1"/>
  <c r="F4" i="8"/>
  <c r="H4" i="8" s="1"/>
  <c r="CF4" i="8"/>
  <c r="CF10" i="7"/>
  <c r="LX10" i="7"/>
  <c r="LX4" i="8"/>
  <c r="NN21" i="4"/>
  <c r="NK21" i="4"/>
  <c r="NJ21" i="4"/>
  <c r="NN20" i="4"/>
  <c r="NK20" i="4"/>
  <c r="NJ20" i="4"/>
  <c r="H21" i="4" l="1"/>
  <c r="DI21" i="4"/>
  <c r="H20" i="4"/>
  <c r="DI20" i="4"/>
  <c r="H10" i="7"/>
  <c r="I10" i="7" s="1"/>
  <c r="I4" i="8"/>
  <c r="DH20" i="4"/>
  <c r="DK20" i="4"/>
  <c r="N10" i="7"/>
  <c r="P10" i="7" s="1"/>
  <c r="DH21" i="4"/>
  <c r="DK21" i="4"/>
  <c r="NL21" i="4"/>
  <c r="NL20" i="4"/>
  <c r="J20" i="4" s="1"/>
  <c r="S21" i="4" l="1"/>
  <c r="S20" i="4"/>
  <c r="I21" i="4"/>
  <c r="J21" i="4"/>
  <c r="I20" i="4"/>
  <c r="NO21" i="4"/>
  <c r="NO20" i="4"/>
  <c r="N17" i="6"/>
  <c r="O10" i="7"/>
  <c r="N11" i="6"/>
  <c r="E10" i="7"/>
  <c r="A4" i="7" s="1"/>
  <c r="DJ21" i="4"/>
  <c r="DJ20" i="4"/>
  <c r="O17" i="6" l="1"/>
  <c r="P17" i="6"/>
  <c r="P11" i="6"/>
  <c r="O11" i="6"/>
  <c r="N4" i="8"/>
  <c r="P4" i="8" s="1"/>
  <c r="E17" i="6"/>
  <c r="NJ11" i="4"/>
  <c r="NK11" i="4"/>
  <c r="NN11" i="4"/>
  <c r="NJ17" i="4"/>
  <c r="NK17" i="4"/>
  <c r="NN17" i="4"/>
  <c r="NJ8" i="4"/>
  <c r="NK8" i="4"/>
  <c r="NN8" i="4"/>
  <c r="NJ19" i="4"/>
  <c r="NK19" i="4"/>
  <c r="NN19" i="4"/>
  <c r="NJ13" i="4"/>
  <c r="NK13" i="4"/>
  <c r="NN13" i="4"/>
  <c r="H8" i="4" l="1"/>
  <c r="DI8" i="4"/>
  <c r="H13" i="4"/>
  <c r="DI13" i="4"/>
  <c r="H17" i="4"/>
  <c r="DI17" i="4"/>
  <c r="H19" i="4"/>
  <c r="DI19" i="4"/>
  <c r="H11" i="4"/>
  <c r="DI11" i="4"/>
  <c r="U20" i="4"/>
  <c r="E20" i="4"/>
  <c r="O4" i="8"/>
  <c r="DK8" i="4"/>
  <c r="DH8" i="4"/>
  <c r="DK11" i="4"/>
  <c r="DH11" i="4"/>
  <c r="DH17" i="4"/>
  <c r="DK13" i="4"/>
  <c r="DH13" i="4"/>
  <c r="DK19" i="4"/>
  <c r="DH19" i="4"/>
  <c r="DK17" i="4"/>
  <c r="T20" i="4"/>
  <c r="E4" i="8"/>
  <c r="E11" i="6"/>
  <c r="NL13" i="4"/>
  <c r="NL8" i="4"/>
  <c r="NL19" i="4"/>
  <c r="NL17" i="4"/>
  <c r="NL11" i="4"/>
  <c r="S11" i="4" l="1"/>
  <c r="S8" i="4"/>
  <c r="S17" i="4"/>
  <c r="S13" i="4"/>
  <c r="S19" i="4"/>
  <c r="U21" i="4"/>
  <c r="E21" i="4"/>
  <c r="I19" i="4"/>
  <c r="J19" i="4"/>
  <c r="I13" i="4"/>
  <c r="J13" i="4"/>
  <c r="I8" i="4"/>
  <c r="J8" i="4"/>
  <c r="I11" i="4"/>
  <c r="J11" i="4"/>
  <c r="I17" i="4"/>
  <c r="J17" i="4"/>
  <c r="NO19" i="4"/>
  <c r="NO17" i="4"/>
  <c r="NO8" i="4"/>
  <c r="NO11" i="4"/>
  <c r="NO13" i="4"/>
  <c r="N22" i="6"/>
  <c r="N6" i="6"/>
  <c r="N15" i="6"/>
  <c r="DJ8" i="4"/>
  <c r="DJ17" i="4"/>
  <c r="DJ13" i="4"/>
  <c r="DJ11" i="4"/>
  <c r="DJ19" i="4"/>
  <c r="T21" i="4"/>
  <c r="O6" i="6" l="1"/>
  <c r="P6" i="6"/>
  <c r="O22" i="6"/>
  <c r="P22" i="6"/>
  <c r="O15" i="6"/>
  <c r="P15" i="6"/>
  <c r="N4" i="6"/>
  <c r="P4" i="6" l="1"/>
  <c r="O4" i="6"/>
  <c r="E4" i="6"/>
  <c r="E15" i="6"/>
  <c r="E6" i="6"/>
  <c r="A7" i="6" l="1"/>
  <c r="A10" i="6"/>
  <c r="U19" i="4"/>
  <c r="E19" i="4"/>
  <c r="U8" i="4"/>
  <c r="E8" i="4"/>
  <c r="U13" i="4"/>
  <c r="E13" i="4"/>
  <c r="T8" i="4"/>
  <c r="T19" i="4"/>
  <c r="T13" i="4"/>
  <c r="E22" i="6"/>
  <c r="A5" i="6" s="1"/>
  <c r="A9" i="6" l="1"/>
  <c r="U17" i="4"/>
  <c r="E17" i="4"/>
  <c r="U11" i="4"/>
  <c r="E11" i="4"/>
  <c r="A5" i="4" s="1" a="1"/>
  <c r="A5" i="4" s="1"/>
  <c r="A23" i="6"/>
  <c r="A6" i="8"/>
  <c r="A5" i="8"/>
  <c r="A11" i="6"/>
  <c r="A22" i="6"/>
  <c r="A6" i="6"/>
  <c r="A17" i="6"/>
  <c r="A4" i="6"/>
  <c r="A15" i="6"/>
  <c r="A8" i="6"/>
  <c r="A5" i="7"/>
  <c r="T17" i="4"/>
  <c r="T11" i="4"/>
  <c r="A8" i="4" a="1"/>
  <c r="A8" i="4" s="1"/>
  <c r="A4" i="4" l="1" a="1"/>
  <c r="A4" i="4" s="1"/>
  <c r="A7" i="4" a="1"/>
  <c r="A7" i="4" s="1"/>
  <c r="A9" i="4" a="1"/>
  <c r="A9" i="4" s="1"/>
  <c r="A6" i="4" a="1"/>
  <c r="A6" i="4" s="1"/>
  <c r="A17" i="4" a="1"/>
  <c r="A17" i="4" s="1"/>
  <c r="A13" i="4" a="1"/>
  <c r="A13" i="4" s="1"/>
  <c r="A10" i="4" a="1"/>
  <c r="A10" i="4" s="1"/>
  <c r="A19" i="4" a="1"/>
  <c r="A19" i="4" s="1"/>
  <c r="C34" i="11"/>
  <c r="C35" i="11"/>
  <c r="C36" i="11"/>
  <c r="C37" i="11"/>
  <c r="C38" i="11"/>
  <c r="C39" i="11"/>
  <c r="C40" i="11"/>
  <c r="C41" i="11"/>
  <c r="A20" i="4" a="1"/>
  <c r="A20" i="4" s="1"/>
  <c r="A11" i="4" a="1"/>
  <c r="A11" i="4" s="1"/>
  <c r="A21" i="4" a="1"/>
  <c r="A21" i="4" s="1"/>
  <c r="D35" i="11"/>
  <c r="D36" i="11"/>
  <c r="D37" i="11"/>
  <c r="D41" i="11"/>
  <c r="D34" i="11"/>
  <c r="D38" i="11"/>
  <c r="D39" i="11"/>
  <c r="D40" i="11"/>
  <c r="A4" i="8"/>
  <c r="A10" i="7"/>
  <c r="C18" i="11" s="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<sst xmlns="http://schemas.openxmlformats.org/spreadsheetml/2006/main" count="2983" uniqueCount="154">
  <si>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</si>
  <si>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</si>
  <si>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</si>
  <si>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</si>
  <si>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</si>
  <si>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</si>
  <si>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</si>
  <si>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</si>
  <si>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</si>
  <si>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</si>
  <si>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</si>
  <si>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</si>
  <si>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</si>
  <si>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</si>
  <si>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</si>
  <si>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</si>
  <si>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</si>
  <si>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</si>
  <si>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</si>
  <si>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</si>
  <si>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</si>
  <si>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</si>
  <si>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</si>
  <si>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</si>
  <si>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</si>
  <si>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</si>
  <si>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</si>
  <si>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</si>
  <si>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</si>
  <si>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</si>
  <si>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</si>
  <si>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</si>
  <si>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</si>
  <si>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</si>
  <si>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</si>
  <si>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</si>
  <si>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</si>
  <si>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</si>
  <si>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</si>
  <si>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</si>
  <si>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</si>
  <si>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</si>
  <si>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</si>
  <si>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</si>
  <si>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</si>
  <si>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</si>
  <si>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</si>
  <si>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</si>
  <si>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</si>
  <si>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</si>
  <si>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</si>
  <si>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</si>
  <si>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</si>
  <si>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</si>
  <si>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</si>
  <si>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</si>
  <si>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</si>
  <si>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</si>
  <si>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</si>
  <si>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</si>
  <si>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</si>
  <si>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</si>
  <si>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</si>
  <si>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</si>
  <si>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</si>
  <si>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</si>
  <si>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2019 Nationals</t>
  </si>
  <si>
    <t>Delete oldest international competitions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</si>
  <si>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</si>
  <si>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</si>
  <si>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</si>
  <si>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</si>
  <si>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</si>
  <si>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</si>
  <si>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</si>
  <si>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</si>
  <si>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</si>
  <si>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</si>
  <si>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</si>
  <si>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</si>
  <si>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</si>
  <si>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</si>
  <si>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ARRUDA, Erik</t>
  </si>
  <si>
    <t>DON, Alex</t>
  </si>
  <si>
    <t>LEVASSEUR, Nathan</t>
  </si>
  <si>
    <t>PERREAULT, Mathieu</t>
  </si>
  <si>
    <t>CARLSON, Roman</t>
  </si>
  <si>
    <t>NAGANO, Mariko</t>
  </si>
  <si>
    <t>BONHAM, Maja</t>
  </si>
  <si>
    <t>BRIAND-BRIÈRE, Gabrielle</t>
  </si>
  <si>
    <t>BOUCHER, Alex</t>
  </si>
  <si>
    <t>MAJOR, Lilyclaire</t>
  </si>
  <si>
    <t>PEDERSEN, Mitchel</t>
  </si>
  <si>
    <t>STANNARD, Adam</t>
  </si>
  <si>
    <t>SPENCE, Abby</t>
  </si>
  <si>
    <t>ZUREK, Nolan</t>
  </si>
  <si>
    <t>KLASSEN, Isaiah</t>
  </si>
  <si>
    <t>MB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</si>
  <si>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</si>
  <si>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</si>
  <si>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</si>
  <si>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</si>
  <si>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</si>
  <si>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</si>
  <si>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</si>
  <si>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</si>
  <si>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</si>
  <si>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</si>
  <si>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</si>
  <si>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</si>
  <si>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</si>
  <si>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</si>
  <si>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</si>
  <si>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</si>
  <si>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</si>
  <si>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</si>
  <si>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</si>
  <si>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</si>
  <si>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</si>
  <si>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</si>
  <si>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</si>
  <si>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</si>
  <si>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</si>
  <si>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</si>
  <si>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NS</t>
  </si>
  <si>
    <t>DWYER, Kai</t>
  </si>
  <si>
    <t>AUBIN, Rémi</t>
  </si>
  <si>
    <t>FRIGON, Charles</t>
  </si>
  <si>
    <t>NB</t>
  </si>
  <si>
    <t>RICHARD, Dexter</t>
  </si>
  <si>
    <t>FERNANDES, Antonio</t>
  </si>
  <si>
    <t>DAWSON, David</t>
  </si>
  <si>
    <t>MOULD, Blake</t>
  </si>
  <si>
    <t>FOREST, Alexandra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</si>
  <si>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</si>
  <si>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</si>
  <si>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</si>
  <si>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</si>
  <si>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</si>
  <si>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</si>
  <si>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</si>
  <si>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</si>
  <si>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2021 2nd Technical Trial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</si>
  <si>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</si>
  <si>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</si>
  <si>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</si>
  <si>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</si>
  <si>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</si>
  <si>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</si>
  <si>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</si>
  <si>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</si>
  <si>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</si>
  <si>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</si>
  <si>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 xml:space="preserve">Fixed DMT Calculation Error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</si>
</sst>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DWYER, Kai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RICHARD, Dexter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FRIGON, Charles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LOVE, Ethan</v>
      </c>
      <c r="D8" s="112" t="str">
        <f>IF(B8&gt;MAX('TRA-M'!A:A),"",INDEX('TRA-M'!I:I,MATCH(B8,'TRA-M'!A:A,0)))</f>
        <v>National Team</v>
      </c>
      <c r="G8" s="46"/>
    </row>
    <row r="9" spans="1:12" x14ac:dyDescent="0.2">
      <c r="A9" s="10"/>
      <c r="B9" s="10">
        <v>8</v>
      </c>
      <c r="C9" s="10" t="str">
        <f>IF(B9&gt;MAX('TRA-M'!A:A),"",INDEX('TRA-M'!B:B,MATCH(B9,'TRA-M'!A:A,0)))</f>
        <v>LUPISH, Kieran</v>
      </c>
      <c r="D9" s="112" t="str">
        <f>IF(B9&gt;MAX('TRA-M'!A:A),"",INDEX('TRA-M'!I:I,MATCH(B9,'TRA-M'!A:A,0)))</f>
        <v>National Team</v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BONHAM, Maja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FLYNN, Gabby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NAGANO, Mariko</v>
      </c>
      <c r="D13" s="119" t="str">
        <f>IF(B5&gt;MAX('TRA-W'!A:A),"",INDEX('TRA-W'!I:I,MATCH(B5,'TRA-W'!A:A,0)))</f>
        <v>National Team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ANDERSON, Julie</v>
      </c>
      <c r="D14" s="119" t="str">
        <f>IF(B6&gt;MAX('TRA-W'!A:A),"",INDEX('TRA-W'!I:I,MATCH(B6,'TRA-W'!A:A,0)))</f>
        <v>No DD</v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9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9" t="str">
        <f>IF(B8&gt;MAX('TRA-W'!A:A),"",INDEX('TRA-W'!I:I,MATCH(B8,'TRA-W'!A:A,0)))</f>
        <v/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PILLINGER, Taylor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SPENCE, Abby</v>
      </c>
      <c r="D27" s="113" t="str">
        <f>IF(B3&gt;MAX('TUM-W'!A:A),"",INDEX('TUM-W'!H:H,MATCH(B3,'TUM-W'!A:A,0)))</f>
        <v>National Team</v>
      </c>
    </row>
    <row r="28" spans="1:10" x14ac:dyDescent="0.2">
      <c r="A28" s="13"/>
      <c r="B28" s="13">
        <v>3</v>
      </c>
      <c r="C28" s="13" t="str">
        <f>IF(B4&gt;MAX('TUM-W'!A:A),"",INDEX('TUM-W'!B:B,MATCH(B4,'TUM-W'!A:A,0)))</f>
        <v>HARRISON, Emily</v>
      </c>
      <c r="D28" s="113" t="str">
        <f>IF(B4&gt;MAX('TUM-W'!A:A),"",INDEX('TUM-W'!H:H,MATCH(B4,'TUM-W'!A:A,0)))</f>
        <v>National Team</v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ZUREK, Nolan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POLEGATO, Andrew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PEDERSEN, Mitchel</v>
      </c>
      <c r="D38" s="112" t="str">
        <f>IF(B6&gt;MAX('DMT-M'!A:A),"",INDEX('DMT-M'!H:H,MATCH(B6,'DMT-M'!A:A,0)))</f>
        <v>National Team</v>
      </c>
    </row>
    <row r="39" spans="1:4" x14ac:dyDescent="0.2">
      <c r="A39" s="10"/>
      <c r="B39" s="10">
        <v>6</v>
      </c>
      <c r="C39" s="10" t="str">
        <f>IF(B7&gt;MAX('DMT-M'!A:A),"",INDEX('DMT-M'!B:B,MATCH(B7,'DMT-M'!A:A,0)))</f>
        <v>FERNANDES, Antonio</v>
      </c>
      <c r="D39" s="112" t="str">
        <f>IF(B7&gt;MAX('DMT-M'!A:A),"",INDEX('DMT-M'!H:H,MATCH(B7,'DMT-M'!A:A,0)))</f>
        <v>National Team</v>
      </c>
    </row>
    <row r="40" spans="1:4" x14ac:dyDescent="0.2">
      <c r="A40" s="10"/>
      <c r="B40" s="10">
        <v>7</v>
      </c>
      <c r="C40" s="10" t="str">
        <f>IF(B8&gt;MAX('DMT-M'!A:A),"",INDEX('DMT-M'!B:B,MATCH(B8,'DMT-M'!A:A,0)))</f>
        <v>DAWSON, David</v>
      </c>
      <c r="D40" s="112" t="str">
        <f>IF(B8&gt;MAX('DMT-M'!A:A),"",INDEX('DMT-M'!H:H,MATCH(B8,'DMT-M'!A:A,0)))</f>
        <v>National Team</v>
      </c>
    </row>
    <row r="41" spans="1:4" x14ac:dyDescent="0.2">
      <c r="A41" s="10"/>
      <c r="B41" s="10">
        <v>8</v>
      </c>
      <c r="C41" s="10" t="str">
        <f>IF(B9&gt;MAX('DMT-M'!A:A),"",INDEX('DMT-M'!B:B,MATCH(B9,'DMT-M'!A:A,0)))</f>
        <v>KLASSEN, Isaiah</v>
      </c>
      <c r="D41" s="112" t="str">
        <f>IF(B9&gt;MAX('DMT-M'!A:A),"",INDEX('DMT-M'!H:H,MATCH(B9,'DMT-M'!A:A,0)))</f>
        <v>National Team</v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PHANEUF, Zoe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THOMPSON, 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DODD, Kristina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METHERAL, Hannah</v>
      </c>
      <c r="D46" s="113" t="str">
        <f>IF(B6&gt;MAX('DMT-W'!A:A),"",INDEX('DMT-W'!H:H,MATCH(B6,'DMT-W'!A:A,0)))</f>
        <v>National Team</v>
      </c>
    </row>
    <row r="47" spans="1:4" x14ac:dyDescent="0.2">
      <c r="A47" s="13"/>
      <c r="B47" s="13">
        <v>6</v>
      </c>
      <c r="C47" s="13" t="str">
        <f>IF(B7&gt;MAX('DMT-W'!A:A),"",INDEX('DMT-W'!B:B,MATCH(B7,'DMT-W'!A:A,0)))</f>
        <v>KYFIUK, MacKenzie</v>
      </c>
      <c r="D47" s="113" t="str">
        <f>IF(B7&gt;MAX('DMT-W'!A:A),"",INDEX('DMT-W'!H:H,MATCH(B7,'DMT-W'!A:A,0)))</f>
        <v>National Team</v>
      </c>
    </row>
    <row r="48" spans="1:4" x14ac:dyDescent="0.2">
      <c r="A48" s="13"/>
      <c r="B48" s="13">
        <v>7</v>
      </c>
      <c r="C48" s="13" t="str">
        <f>IF(B8&gt;MAX('DMT-W'!A:A),"",INDEX('DMT-W'!B:B,MATCH(B8,'DMT-W'!A:A,0)))</f>
        <v>FLYNN, Gabby</v>
      </c>
      <c r="D48" s="113" t="str">
        <f>IF(B8&gt;MAX('DMT-W'!A:A),"",INDEX('DMT-W'!H:H,MATCH(B8,'DMT-W'!A:A,0)))</f>
        <v>National Team</v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67</v>
      </c>
      <c r="D57" s="45"/>
    </row>
    <row r="58" spans="1:5" x14ac:dyDescent="0.2">
      <c r="A58" t="s">
        <v>41</v>
      </c>
      <c r="B58" s="121">
        <v>44317</v>
      </c>
      <c r="C58" s="121"/>
    </row>
    <row r="59" spans="1:5" x14ac:dyDescent="0.2">
      <c r="B59" s="99" t="s">
        <v>142</v>
      </c>
    </row>
    <row r="60" spans="1:5" x14ac:dyDescent="0.2">
      <c r="B60" s="99" t="s">
        <v>153</v>
      </c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79</v>
      </c>
      <c r="G1" s="127" t="s">
        <v>77</v>
      </c>
      <c r="H1" s="127" t="s">
        <v>78</v>
      </c>
      <c r="I1" s="127" t="s">
        <v>9</v>
      </c>
      <c r="J1" s="127" t="s">
        <v>136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101</v>
      </c>
      <c r="P1" s="128" t="s">
        <v>32</v>
      </c>
      <c r="Q1" s="129" t="s">
        <v>102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66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71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137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73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69"/>
      <c r="AQ2" s="9" t="s">
        <v>20</v>
      </c>
      <c r="AR2" s="9" t="s">
        <v>75</v>
      </c>
      <c r="AS2" s="9" t="s">
        <v>21</v>
      </c>
      <c r="AT2" s="9" t="s">
        <v>76</v>
      </c>
      <c r="AU2" s="9" t="s">
        <v>74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73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68"/>
      <c r="BU2" s="12" t="s">
        <v>20</v>
      </c>
      <c r="BV2" s="12" t="s">
        <v>75</v>
      </c>
      <c r="BW2" s="12" t="s">
        <v>21</v>
      </c>
      <c r="BX2" s="12" t="s">
        <v>76</v>
      </c>
      <c r="BY2" s="12" t="s">
        <v>74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73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01"/>
      <c r="CY2" s="9" t="s">
        <v>20</v>
      </c>
      <c r="CZ2" s="9" t="s">
        <v>75</v>
      </c>
      <c r="DA2" s="9" t="s">
        <v>21</v>
      </c>
      <c r="DB2" s="9" t="s">
        <v>76</v>
      </c>
      <c r="DC2" s="9" t="s">
        <v>74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73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94"/>
      <c r="OK2" s="9" t="s">
        <v>20</v>
      </c>
      <c r="OL2" s="9" t="s">
        <v>75</v>
      </c>
      <c r="OM2" s="9" t="s">
        <v>21</v>
      </c>
      <c r="ON2" s="9" t="s">
        <v>76</v>
      </c>
      <c r="OO2" s="9" t="s">
        <v>74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126</v>
      </c>
      <c r="C4" s="7" t="s">
        <v>6</v>
      </c>
      <c r="D4" s="26">
        <v>2001</v>
      </c>
      <c r="E4" s="15">
        <f>SUM(O4:S4)</f>
        <v>114.78999999999999</v>
      </c>
      <c r="F4" s="3" t="str">
        <f>IF(G4&lt;&gt;"","P","")</f>
        <v>P</v>
      </c>
      <c r="G4" s="115" t="str">
        <f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>IF(MAX(AV4,BZ4,DD4)&gt;0,MAX(AV4,BZ4,DD4),0)</f>
        <v>107.22499999999999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48.730000000000004</v>
      </c>
      <c r="N4" s="14" t="str">
        <f>IF(M4=0,"",IF(AND(M4=CY4,$L4&lt;&gt;$CD$1),$CD$1,IF(AND(M4=BU4,$L4&lt;&gt;$AZ$1),$AZ$1,IF(AND(M4=AQ4,$L4&lt;&gt;$V$1),$V$1,""))))</f>
        <v>2019 Nationals</v>
      </c>
      <c r="O4" s="14">
        <f>MAX(AS4,AU4,AX4,BW4,BY4,CB4,DA4,DC4,DF4)</f>
        <v>57.58</v>
      </c>
      <c r="P4" s="14" t="str">
        <f>IF(O4=0,"",IF(OR(O4=DC4,O4=DA4,O4=DF4),$CD$1,IF(OR(O4=BY4,O4=BW4,O4=CB4),$AZ$1,IF(OR(O4=AU4,O4=AS4,O4=AX4),$V$1,""))))</f>
        <v>2021 2nd Virtual Technical Trial</v>
      </c>
      <c r="Q4" s="14">
        <f>IF(COUNT(AS4,AU4,AX4,BW4,BY4,CB4,DA4,DC4,DF4)&gt;1,LARGE((AS4,AU4,AX4,BW4,BY4,CB4,DA4,DC4,DF4),2),0)</f>
        <v>57.21</v>
      </c>
      <c r="R4" s="14" t="str">
        <f>IF(Q4=0,"",IF(OR(Q4=DC4,Q4=DA4,Q4=DF4),$CD$1,IF(OR(Q4=BY4,Q4=BW4,Q4=CB4),$AZ$1,IF(OR(Q4=AU4,Q4=AS4,Q4=AX4),$V$1,""))))</f>
        <v>2021 2nd Virtual Technical Trial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18.600000000000001</v>
      </c>
      <c r="W4" s="61">
        <v>9.6</v>
      </c>
      <c r="X4" s="61">
        <v>3.2</v>
      </c>
      <c r="Y4" s="61">
        <v>17.329999999999998</v>
      </c>
      <c r="Z4" s="61">
        <v>0</v>
      </c>
      <c r="AA4" s="61">
        <v>9.6999999999999993</v>
      </c>
      <c r="AB4" s="61">
        <v>5.3</v>
      </c>
      <c r="AC4" s="61">
        <v>9.4</v>
      </c>
      <c r="AD4" s="61">
        <v>9.83</v>
      </c>
      <c r="AE4" s="61">
        <v>0</v>
      </c>
      <c r="AF4" s="61"/>
      <c r="AG4" s="61"/>
      <c r="AH4" s="61"/>
      <c r="AI4" s="61"/>
      <c r="AJ4" s="61"/>
      <c r="AK4" s="61">
        <v>6.32</v>
      </c>
      <c r="AL4" s="61">
        <v>3.5</v>
      </c>
      <c r="AM4" s="61">
        <v>6.7</v>
      </c>
      <c r="AN4" s="61">
        <v>6.65</v>
      </c>
      <c r="AO4" s="61">
        <v>0</v>
      </c>
      <c r="AP4" s="72"/>
      <c r="AQ4" s="11">
        <f>IF(SUM(V4:Y4)-Z4&gt;0,SUM(V4:Y4)-Z4,"")</f>
        <v>48.730000000000004</v>
      </c>
      <c r="AR4" s="11">
        <f>IF(AC4&gt;0,AC4,"")</f>
        <v>9.4</v>
      </c>
      <c r="AS4" s="11">
        <f>IF(SUM(AA4:AD4)-AE4&gt;0,SUM(AA4:AD4)-AE4,"")</f>
        <v>34.229999999999997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82.960000000000008</v>
      </c>
      <c r="AW4" s="11">
        <f>IF(AM4&gt;0,AM4,"")</f>
        <v>6.7</v>
      </c>
      <c r="AX4" s="11">
        <f>IF(SUM(AK4:AN4)-AO4&gt;0,SUM(AK4:AN4)-AO4,"")</f>
        <v>23.17</v>
      </c>
      <c r="AY4" s="11">
        <f>IF(SUM(AV4,AX4)&gt;0,SUM(AV4,AX4),"")</f>
        <v>106.13000000000001</v>
      </c>
      <c r="AZ4" s="67">
        <v>18</v>
      </c>
      <c r="BA4" s="67">
        <v>9.75</v>
      </c>
      <c r="BB4" s="67">
        <v>4.8</v>
      </c>
      <c r="BC4" s="67">
        <v>17.895</v>
      </c>
      <c r="BD4" s="67">
        <v>0</v>
      </c>
      <c r="BE4" s="67">
        <v>14.8</v>
      </c>
      <c r="BF4" s="67">
        <v>8.75</v>
      </c>
      <c r="BG4" s="67">
        <v>13.5</v>
      </c>
      <c r="BH4" s="67">
        <v>16.91</v>
      </c>
      <c r="BI4" s="67">
        <v>0</v>
      </c>
      <c r="BJ4" s="67">
        <v>16.7</v>
      </c>
      <c r="BK4" s="67">
        <v>8.9</v>
      </c>
      <c r="BL4" s="67">
        <v>13.9</v>
      </c>
      <c r="BM4" s="67">
        <v>17.28</v>
      </c>
      <c r="BN4" s="67">
        <v>0</v>
      </c>
      <c r="BO4" s="67">
        <v>1.7</v>
      </c>
      <c r="BP4" s="67">
        <v>0.9</v>
      </c>
      <c r="BQ4" s="67">
        <v>1.7</v>
      </c>
      <c r="BR4" s="67">
        <v>1.8149999999999999</v>
      </c>
      <c r="BS4" s="67">
        <v>0</v>
      </c>
      <c r="BT4" s="73"/>
      <c r="BU4" s="14">
        <f>IF(SUM(AZ4:BC4)-BD4&gt;0,SUM(AZ4:BC4)-BD4,"")</f>
        <v>50.444999999999993</v>
      </c>
      <c r="BV4" s="14">
        <f>IF(BG4&gt;0,BG4,"")</f>
        <v>13.5</v>
      </c>
      <c r="BW4" s="14">
        <f>IF(SUM(BE4:BH4)-BI4&gt;0,SUM(BE4:BH4)-BI4,"")</f>
        <v>53.959999999999994</v>
      </c>
      <c r="BX4" s="14">
        <f>IF(BL4&gt;0,BL4,"")</f>
        <v>13.9</v>
      </c>
      <c r="BY4" s="14">
        <f>IF(SUM(BJ4:BM4)-BN4&gt;0,SUM(BJ4:BM4)-BN4,"")</f>
        <v>56.78</v>
      </c>
      <c r="BZ4" s="14">
        <f>IF(BU4="",IF(MAX(BW4,BY4)&gt;0,MAX(BW4,BY4),""),MAX(BW4,BY4)+BU4)</f>
        <v>107.22499999999999</v>
      </c>
      <c r="CA4" s="14">
        <f>IF(BQ4&gt;0,BQ4,"")</f>
        <v>1.7</v>
      </c>
      <c r="CB4" s="14">
        <f>IF(SUM(BO4:BR4)-BS4&gt;0,SUM(BO4:BR4)-BS4,"")</f>
        <v>6.1150000000000002</v>
      </c>
      <c r="CC4" s="14">
        <f>IF(SUM(BZ4,CB4)&gt;0,SUM(BZ4,CB4),"")</f>
        <v>113.33999999999999</v>
      </c>
      <c r="CD4" s="61">
        <v>17.7</v>
      </c>
      <c r="CE4" s="61">
        <v>8.9</v>
      </c>
      <c r="CF4" s="61">
        <v>4.4000000000000004</v>
      </c>
      <c r="CG4" s="61">
        <v>17.36</v>
      </c>
      <c r="CH4" s="61">
        <v>0</v>
      </c>
      <c r="CI4" s="61">
        <v>15.5</v>
      </c>
      <c r="CJ4" s="61">
        <v>8.5</v>
      </c>
      <c r="CK4" s="61">
        <v>14.8</v>
      </c>
      <c r="CL4" s="61">
        <v>17.079999999999998</v>
      </c>
      <c r="CM4" s="61">
        <v>0</v>
      </c>
      <c r="CN4" s="61">
        <v>15.7</v>
      </c>
      <c r="CO4" s="61">
        <v>9.4</v>
      </c>
      <c r="CP4" s="61">
        <v>15</v>
      </c>
      <c r="CQ4" s="61">
        <v>17.11</v>
      </c>
      <c r="CR4" s="61">
        <v>0</v>
      </c>
      <c r="CS4" s="61">
        <v>16.2</v>
      </c>
      <c r="CT4" s="61">
        <v>9.4</v>
      </c>
      <c r="CU4" s="61">
        <v>14.6</v>
      </c>
      <c r="CV4" s="61">
        <v>17.38</v>
      </c>
      <c r="CW4" s="61">
        <v>0</v>
      </c>
      <c r="CX4" s="72"/>
      <c r="CY4" s="11">
        <f>IF(SUM(CD4:CG4)-CH4&gt;0,SUM(CD4:CG4)-CH4,"")</f>
        <v>48.36</v>
      </c>
      <c r="CZ4" s="11">
        <f>IF(CK4&gt;0,CK4,"")</f>
        <v>14.8</v>
      </c>
      <c r="DA4" s="11">
        <f>IF(SUM(CI4:CL4)-CM4&gt;0,SUM(CI4:CL4)-CM4,"")</f>
        <v>55.879999999999995</v>
      </c>
      <c r="DB4" s="11">
        <f>IF(CP4&gt;0,CP4,"")</f>
        <v>15</v>
      </c>
      <c r="DC4" s="11">
        <f>IF(SUM(CN4:CQ4)-CR4&gt;0,SUM(CN4:CQ4)-CR4,"")</f>
        <v>57.21</v>
      </c>
      <c r="DD4" s="11">
        <f>IF(CY4="",IF(MAX(DA4,DC4)&gt;0,MAX(DA4,DC4),""),MAX(DA4,DC4)+CY4)</f>
        <v>105.57</v>
      </c>
      <c r="DE4" s="11">
        <f>IF(CU4&gt;0,CU4,"")</f>
        <v>14.6</v>
      </c>
      <c r="DF4" s="11">
        <f>IF(SUM(CS4:CV4)-CW4&gt;0,SUM(CS4:CV4)-CW4,"")</f>
        <v>57.58</v>
      </c>
      <c r="DG4" s="11">
        <f>IF(SUM(DD4,DF4)&gt;0,SUM(DD4,DF4),"")</f>
        <v>163.14999999999998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17.850000000000001</v>
      </c>
      <c r="NQ4" s="61">
        <f>IF($CX4="P",CE4,(CE4+BA4)/2)</f>
        <v>9.3249999999999993</v>
      </c>
      <c r="NR4" s="61">
        <f>IF($CX4="P",CF4,(CF4+BB4)/2)</f>
        <v>4.5999999999999996</v>
      </c>
      <c r="NS4" s="61">
        <f>IF($CX4="P",CG4,(CG4+BC4)/2)</f>
        <v>17.627499999999998</v>
      </c>
      <c r="NT4" s="61">
        <f>IF($CX4="P",CH4,(CH4+BD4)/2)</f>
        <v>0</v>
      </c>
      <c r="NU4" s="61">
        <f>IF($CX4="P",CI4,(CI4+BE4)/2)</f>
        <v>15.15</v>
      </c>
      <c r="NV4" s="61">
        <f>IF($CX4="P",CJ4,(CJ4+BF4)/2)</f>
        <v>8.625</v>
      </c>
      <c r="NW4" s="61">
        <f>IF($CX4="P",CK4,(CK4+BG4)/2)</f>
        <v>14.15</v>
      </c>
      <c r="NX4" s="61">
        <f>IF($CX4="P",CL4,(CL4+BH4)/2)</f>
        <v>16.994999999999997</v>
      </c>
      <c r="NY4" s="61">
        <f>IF($CX4="P",CM4,(CM4+BI4)/2)</f>
        <v>0</v>
      </c>
      <c r="NZ4" s="61">
        <f>IF($CX4="P",CN4,(CN4+BJ4)/2)</f>
        <v>16.2</v>
      </c>
      <c r="OA4" s="61">
        <f>IF($CX4="P",CO4,(CO4+BK4)/2)</f>
        <v>9.15</v>
      </c>
      <c r="OB4" s="61">
        <f>IF($CX4="P",CP4,(CP4+BL4)/2)</f>
        <v>14.45</v>
      </c>
      <c r="OC4" s="61">
        <f>IF($CX4="P",CQ4,(CQ4+BM4)/2)</f>
        <v>17.195</v>
      </c>
      <c r="OD4" s="61">
        <f>IF($CX4="P",CR4,(CR4+BN4)/2)</f>
        <v>0</v>
      </c>
      <c r="OE4" s="61">
        <f>IF($CX4="P",CS4,(CS4+BO4)/2)</f>
        <v>8.9499999999999993</v>
      </c>
      <c r="OF4" s="61">
        <f>IF($CX4="P",CT4,(CT4+BP4)/2)</f>
        <v>5.15</v>
      </c>
      <c r="OG4" s="61">
        <f>IF($CX4="P",CU4,(CU4+BQ4)/2)</f>
        <v>8.15</v>
      </c>
      <c r="OH4" s="61">
        <f>IF($CX4="P",CV4,(CV4+BR4)/2)</f>
        <v>9.5975000000000001</v>
      </c>
      <c r="OI4" s="61">
        <f>IF($CX4="P",CW4,(CW4+BS4)/2)</f>
        <v>0</v>
      </c>
      <c r="OJ4" s="72" t="s">
        <v>52</v>
      </c>
      <c r="OK4" s="11">
        <f>IF(SUM(NP4:NS4)-NT4&gt;0,SUM(NP4:NS4)-NT4,"")</f>
        <v>49.402499999999996</v>
      </c>
      <c r="OL4" s="11">
        <f>IF(NW4&gt;0,NW4,"")</f>
        <v>14.15</v>
      </c>
      <c r="OM4" s="11">
        <f>IF(SUM(NU4:NX4)-NY4&gt;0,SUM(NU4:NX4)-NY4,"")</f>
        <v>54.919999999999995</v>
      </c>
      <c r="ON4" s="11">
        <f>IF(OB4&gt;0,OB4,"")</f>
        <v>14.45</v>
      </c>
      <c r="OO4" s="11">
        <f>IF(SUM(NZ4:OC4)-OD4&gt;0,SUM(NZ4:OC4)-OD4,"")</f>
        <v>56.994999999999997</v>
      </c>
      <c r="OP4" s="11">
        <f>IF(OR(OK4&lt;&gt;"",OM4&lt;&gt;"",OO4&lt;&gt;""),OK4+MAX(OM4,OO4),"")</f>
        <v>106.39749999999999</v>
      </c>
      <c r="OQ4" s="11">
        <f>IF(OG4&gt;0,OG4,"")</f>
        <v>8.15</v>
      </c>
      <c r="OR4" s="11">
        <f t="shared" ref="OR4:OR11" si="0">IF(SUM(OE4:OH4)-OI4&gt;0,SUM(OE4:OH4)-OI4,"")</f>
        <v>31.8475</v>
      </c>
      <c r="OS4" s="11">
        <f>IF(SUM(OP4,OR4)&gt;0,SUM(OP4,OR4),"")</f>
        <v>138.245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125</v>
      </c>
      <c r="C5" s="7" t="s">
        <v>124</v>
      </c>
      <c r="D5" s="26">
        <v>2001</v>
      </c>
      <c r="E5" s="15">
        <f>SUM(O5:S5)</f>
        <v>110.59</v>
      </c>
      <c r="F5" s="3" t="str">
        <f>IF(G5&lt;&gt;"","P","")</f>
        <v>P</v>
      </c>
      <c r="G5" s="115" t="str">
        <f>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Merit",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Excellence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Worlds Team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National Team",""))))</f>
        <v>National Team</v>
      </c>
      <c r="H5" s="115" t="str">
        <f>IF(OR(AND(AS5&gt;=AY$28,AS5&lt;&gt;"",AP5=""),AND(AU5&gt;=AY$28,AU5&lt;&gt;"",AP5=""),AND(AX5&gt;=AY$28,AX5&lt;&gt;"",AP5=""),AND(BW5&gt;=CC$28,BW5&lt;&gt;"",BT5=""),AND(BY5&gt;=CC$28,BY5&lt;&gt;"",BT5=""),AND(CB5&gt;=CC$28,CB5&lt;&gt;"",BT5=""),AND(DA5&gt;=DG$28,DA5&lt;&gt;"",CX5=""),AND(DC5&gt;=DG$28,DC5&lt;&gt;"",CX5=""),AND(DF5&gt;=DG$28,DF5&lt;&gt;"",CX5=""),AND(EC5&gt;=EG$28,EC5&lt;&gt;""),AND(EF5&gt;=EG$28,EF5&lt;&gt;""),AND(EY5&gt;=FC$28,EY5&lt;&gt;""),AND(FB5&gt;=FC$28,FB5&lt;&gt;""),AND(FU5&gt;=FY$28,FU5&lt;&gt;""),AND(FX5&gt;=FY$28,FX5&lt;&gt;""),AND(GQ5&gt;=GU$28,GQ5&lt;&gt;""),AND(GT5&gt;=GU$28,GT5&lt;&gt;""),AND(HM5&gt;=HQ$28,HM5&lt;&gt;""),AND(HP5&gt;=HQ$28,HP5&lt;&gt;""),AND(II5&gt;=IM$28,II5&lt;&gt;""),AND(IL5&gt;=IM$28,IL5&lt;&gt;""),AND(JE5&gt;=JI$28,JE5&lt;&gt;""),AND(JH5&gt;=JI$28,JH5&lt;&gt;""),AND(KA5&gt;=KE$28,KA5&lt;&gt;""),AND(KD5&gt;=KE$28,KD5&lt;&gt;""),AND(KW5&gt;=LA$28,KW5&lt;&gt;""),AND(KZ5&gt;=LA$28,KZ5&lt;&gt;""),AND(LS5&gt;=LW$28,LS5&lt;&gt;""),AND(LV5&gt;=LW$28,LV5&lt;&gt;""),AND(MO5&gt;=MS$28,MO5&lt;&gt;""),AND(MR5&gt;=MS$28,MR5&lt;&gt;""),AND(NK5&gt;=NO$28,NK5&lt;&gt;""),AND(NN5&gt;=NO$28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$29,AV5&lt;&gt;"",AP5=""),AND(BZ5&gt;=CC$29,BZ5&lt;&gt;"",BT5=""),AND(DD5&gt;=DG$29,DD5&lt;&gt;"",CX5=""),AND(ED5&gt;=EG$29,ED5&lt;&gt;""),AND(EZ5&gt;=FC$29,EZ5&lt;&gt;""),AND(FV5&gt;=FY$29,FV5&lt;&gt;""),AND(GR5&gt;=GU$29,GR5&lt;&gt;""),AND(HN5&gt;=HQ$29,HN5&lt;&gt;""),AND(IJ5&gt;=IM$29,IJ5&lt;&gt;""),AND(JF5&gt;=JI$29,JF5&lt;&gt;""),AND(KB5&gt;=KE$29,KB5&lt;&gt;""),AND(KX5&gt;=LA$29,KX5&lt;&gt;""),AND(LT5&gt;=LW$29,LT5&lt;&gt;""),AND(MP5&gt;=MS$29,MP5&lt;&gt;""),AND(NL5&gt;=NO$29,NL5&lt;&gt;"")),OR(G5="Worlds Team",G5="Excellence",G5="Merit")),"P","")</f>
        <v/>
      </c>
      <c r="K5" s="14">
        <f>IF(MAX(AV5,BZ5,DD5)&gt;0,MAX(AV5,BZ5,DD5),0)</f>
        <v>103.205</v>
      </c>
      <c r="L5" s="14" t="str">
        <f>IF(K5=0,"",IF(K5=DD5,$CD$1,IF(K5=BZ5,$AZ$1,IF(K5=AV5,$V$1,""))))</f>
        <v>2019 Nationals</v>
      </c>
      <c r="M5" s="14">
        <f>IF($K5=$AV5,MAX(BU5,CY5),IF($K5=$BZ5,MAX(AQ5,CY5),IF($K5=$DD5,MAX(AQ5,BU5),MAX(AQ5,BU5,CY5))))</f>
        <v>0</v>
      </c>
      <c r="N5" s="14" t="str">
        <f>IF(M5=0,"",IF(AND(M5=CY5,$L5&lt;&gt;$CD$1),$CD$1,IF(AND(M5=BU5,$L5&lt;&gt;$AZ$1),$AZ$1,IF(AND(M5=AQ5,$L5&lt;&gt;$V$1),$V$1,""))))</f>
        <v/>
      </c>
      <c r="O5" s="14">
        <f>MAX(AS5,AU5,AX5,BW5,BY5,CB5,DA5,DC5,DF5)</f>
        <v>55.464999999999996</v>
      </c>
      <c r="P5" s="14" t="str">
        <f>IF(O5=0,"",IF(OR(O5=DC5,O5=DA5,O5=DF5),$CD$1,IF(OR(O5=BY5,O5=BW5,O5=CB5),$AZ$1,IF(OR(O5=AU5,O5=AS5,O5=AX5),$V$1,""))))</f>
        <v>2019 Nationals</v>
      </c>
      <c r="Q5" s="14">
        <f>IF(COUNT(AS5,AU5,AX5,BW5,BY5,CB5,DA5,DC5,DF5)&gt;1,LARGE((AS5,AU5,AX5,BW5,BY5,CB5,DA5,DC5,DF5),2),0)</f>
        <v>55.125</v>
      </c>
      <c r="R5" s="14" t="str">
        <f>IF(Q5=0,"",IF(OR(Q5=DC5,Q5=DA5,Q5=DF5),$CD$1,IF(OR(Q5=BY5,Q5=BW5,Q5=CB5),$AZ$1,IF(OR(Q5=AU5,Q5=AS5,Q5=AX5),$V$1,""))))</f>
        <v>2019 Nationals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15.6</v>
      </c>
      <c r="W5" s="61">
        <v>9.6</v>
      </c>
      <c r="X5" s="61">
        <v>5.4</v>
      </c>
      <c r="Y5" s="61">
        <v>17.48</v>
      </c>
      <c r="Z5" s="61">
        <v>0</v>
      </c>
      <c r="AA5" s="61">
        <v>15.1</v>
      </c>
      <c r="AB5" s="61">
        <v>8.8000000000000007</v>
      </c>
      <c r="AC5" s="61">
        <v>15</v>
      </c>
      <c r="AD5" s="61">
        <v>16.225000000000001</v>
      </c>
      <c r="AE5" s="61">
        <v>0</v>
      </c>
      <c r="AF5" s="61"/>
      <c r="AG5" s="61"/>
      <c r="AH5" s="61"/>
      <c r="AI5" s="61"/>
      <c r="AJ5" s="61"/>
      <c r="AK5" s="61">
        <v>15.14</v>
      </c>
      <c r="AL5" s="61">
        <v>9.1</v>
      </c>
      <c r="AM5" s="61">
        <v>15.2</v>
      </c>
      <c r="AN5" s="61">
        <v>16.024999999999999</v>
      </c>
      <c r="AO5" s="61">
        <v>0</v>
      </c>
      <c r="AP5" s="72"/>
      <c r="AQ5" s="11">
        <f>IF(SUM(V5:Y5)-Z5&gt;0,SUM(V5:Y5)-Z5,"")</f>
        <v>48.08</v>
      </c>
      <c r="AR5" s="11">
        <f>IF(AC5&gt;0,AC5,"")</f>
        <v>15</v>
      </c>
      <c r="AS5" s="11">
        <f>IF(SUM(AA5:AD5)-AE5&gt;0,SUM(AA5:AD5)-AE5,"")</f>
        <v>55.125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103.205</v>
      </c>
      <c r="AW5" s="11">
        <f>IF(AM5&gt;0,AM5,"")</f>
        <v>15.2</v>
      </c>
      <c r="AX5" s="11">
        <f>IF(SUM(AK5:AN5)-AO5&gt;0,SUM(AK5:AN5)-AO5,"")</f>
        <v>55.464999999999996</v>
      </c>
      <c r="AY5" s="11">
        <f>IF(SUM(AV5,AX5)&gt;0,SUM(AV5,AX5),"")</f>
        <v>158.66999999999999</v>
      </c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73"/>
      <c r="BU5" s="14" t="str">
        <f>IF(SUM(AZ5:BC5)-BD5&gt;0,SUM(AZ5:BC5)-BD5,"")</f>
        <v/>
      </c>
      <c r="BV5" s="14" t="str">
        <f>IF(BG5&gt;0,BG5,"")</f>
        <v/>
      </c>
      <c r="BW5" s="14" t="str">
        <f>IF(SUM(BE5:BH5)-BI5&gt;0,SUM(BE5:BH5)-BI5,"")</f>
        <v/>
      </c>
      <c r="BX5" s="14" t="str">
        <f>IF(BL5&gt;0,BL5,"")</f>
        <v/>
      </c>
      <c r="BY5" s="14" t="str">
        <f>IF(SUM(BJ5:BM5)-BN5&gt;0,SUM(BJ5:BM5)-BN5,"")</f>
        <v/>
      </c>
      <c r="BZ5" s="14" t="str">
        <f>IF(BU5="",IF(MAX(BW5,BY5)&gt;0,MAX(BW5,BY5),""),MAX(BW5,BY5)+BU5)</f>
        <v/>
      </c>
      <c r="CA5" s="14" t="str">
        <f>IF(BQ5&gt;0,BQ5,"")</f>
        <v/>
      </c>
      <c r="CB5" s="14" t="str">
        <f>IF(SUM(BO5:BR5)-BS5&gt;0,SUM(BO5:BR5)-BS5,"")</f>
        <v/>
      </c>
      <c r="CC5" s="14" t="str">
        <f>IF(SUM(BZ5,CB5)&gt;0,SUM(BZ5,CB5),"")</f>
        <v/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0</v>
      </c>
      <c r="NQ5" s="61">
        <f>IF($CX5="P",CE5,(CE5+BA5)/2)</f>
        <v>0</v>
      </c>
      <c r="NR5" s="61">
        <f>IF($CX5="P",CF5,(CF5+BB5)/2)</f>
        <v>0</v>
      </c>
      <c r="NS5" s="61">
        <f>IF($CX5="P",CG5,(CG5+BC5)/2)</f>
        <v>0</v>
      </c>
      <c r="NT5" s="61">
        <f>IF($CX5="P",CH5,(CH5+BD5)/2)</f>
        <v>0</v>
      </c>
      <c r="NU5" s="61">
        <f>IF($CX5="P",CI5,(CI5+BE5)/2)</f>
        <v>0</v>
      </c>
      <c r="NV5" s="61">
        <f>IF($CX5="P",CJ5,(CJ5+BF5)/2)</f>
        <v>0</v>
      </c>
      <c r="NW5" s="61">
        <f>IF($CX5="P",CK5,(CK5+BG5)/2)</f>
        <v>0</v>
      </c>
      <c r="NX5" s="61">
        <f>IF($CX5="P",CL5,(CL5+BH5)/2)</f>
        <v>0</v>
      </c>
      <c r="NY5" s="61">
        <f>IF($CX5="P",CM5,(CM5+BI5)/2)</f>
        <v>0</v>
      </c>
      <c r="NZ5" s="61">
        <f>IF($CX5="P",CN5,(CN5+BJ5)/2)</f>
        <v>0</v>
      </c>
      <c r="OA5" s="61">
        <f>IF($CX5="P",CO5,(CO5+BK5)/2)</f>
        <v>0</v>
      </c>
      <c r="OB5" s="61">
        <f>IF($CX5="P",CP5,(CP5+BL5)/2)</f>
        <v>0</v>
      </c>
      <c r="OC5" s="61">
        <f>IF($CX5="P",CQ5,(CQ5+BM5)/2)</f>
        <v>0</v>
      </c>
      <c r="OD5" s="61">
        <f>IF($CX5="P",CR5,(CR5+BN5)/2)</f>
        <v>0</v>
      </c>
      <c r="OE5" s="61">
        <f>IF($CX5="P",CS5,(CS5+BO5)/2)</f>
        <v>0</v>
      </c>
      <c r="OF5" s="61">
        <f>IF($CX5="P",CT5,(CT5+BP5)/2)</f>
        <v>0</v>
      </c>
      <c r="OG5" s="61">
        <f>IF($CX5="P",CU5,(CU5+BQ5)/2)</f>
        <v>0</v>
      </c>
      <c r="OH5" s="61">
        <f>IF($CX5="P",CV5,(CV5+BR5)/2)</f>
        <v>0</v>
      </c>
      <c r="OI5" s="61">
        <f>IF($CX5="P",CW5,(CW5+BS5)/2)</f>
        <v>0</v>
      </c>
      <c r="OJ5" s="72" t="s">
        <v>52</v>
      </c>
      <c r="OK5" s="11" t="str">
        <f>IF(SUM(NP5:NS5)-NT5&gt;0,SUM(NP5:NS5)-NT5,"")</f>
        <v/>
      </c>
      <c r="OL5" s="11" t="str">
        <f>IF(NW5&gt;0,NW5,"")</f>
        <v/>
      </c>
      <c r="OM5" s="11" t="str">
        <f>IF(SUM(NU5:NX5)-NY5&gt;0,SUM(NU5:NX5)-NY5,"")</f>
        <v/>
      </c>
      <c r="ON5" s="11" t="str">
        <f>IF(OB5&gt;0,OB5,"")</f>
        <v/>
      </c>
      <c r="OO5" s="11" t="str">
        <f>IF(SUM(NZ5:OC5)-OD5&gt;0,SUM(NZ5:OC5)-OD5,"")</f>
        <v/>
      </c>
      <c r="OP5" s="11" t="str">
        <f>IF(OR(OK5&lt;&gt;"",OM5&lt;&gt;"",OO5&lt;&gt;""),OK5+MAX(OM5,OO5),"")</f>
        <v/>
      </c>
      <c r="OQ5" s="11" t="str">
        <f>IF(OG5&gt;0,OG5,"")</f>
        <v/>
      </c>
      <c r="OR5" s="11" t="str">
        <f t="shared" si="0"/>
        <v/>
      </c>
      <c r="OS5" s="11" t="str">
        <f t="shared" ref="OS5:OS11" si="1">IF(SUM(OP5,OR5)&gt;0,SUM(OP5,OR5),"")</f>
        <v/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123</v>
      </c>
      <c r="C6" s="7" t="s">
        <v>6</v>
      </c>
      <c r="D6" s="26">
        <v>2000</v>
      </c>
      <c r="E6" s="15">
        <f>SUM(O6:S6)</f>
        <v>110.07</v>
      </c>
      <c r="F6" s="3" t="str">
        <f>IF(G6&lt;&gt;"","P","")</f>
        <v>P</v>
      </c>
      <c r="G6" s="115" t="str">
        <f>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Merit",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Excellence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Worlds Team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National Team",""))))</f>
        <v>National Team</v>
      </c>
      <c r="H6" s="115" t="str">
        <f>IF(OR(AND(AS6&gt;=AY$28,AS6&lt;&gt;"",AP6=""),AND(AU6&gt;=AY$28,AU6&lt;&gt;"",AP6=""),AND(AX6&gt;=AY$28,AX6&lt;&gt;"",AP6=""),AND(BW6&gt;=CC$28,BW6&lt;&gt;"",BT6=""),AND(BY6&gt;=CC$28,BY6&lt;&gt;"",BT6=""),AND(CB6&gt;=CC$28,CB6&lt;&gt;"",BT6=""),AND(DA6&gt;=DG$28,DA6&lt;&gt;"",CX6=""),AND(DC6&gt;=DG$28,DC6&lt;&gt;"",CX6=""),AND(DF6&gt;=DG$28,DF6&lt;&gt;"",CX6=""),AND(EC6&gt;=EG$28,EC6&lt;&gt;""),AND(EF6&gt;=EG$28,EF6&lt;&gt;""),AND(EY6&gt;=FC$28,EY6&lt;&gt;""),AND(FB6&gt;=FC$28,FB6&lt;&gt;""),AND(FU6&gt;=FY$28,FU6&lt;&gt;""),AND(FX6&gt;=FY$28,FX6&lt;&gt;""),AND(GQ6&gt;=GU$28,GQ6&lt;&gt;""),AND(GT6&gt;=GU$28,GT6&lt;&gt;""),AND(HM6&gt;=HQ$28,HM6&lt;&gt;""),AND(HP6&gt;=HQ$28,HP6&lt;&gt;""),AND(II6&gt;=IM$28,II6&lt;&gt;""),AND(IL6&gt;=IM$28,IL6&lt;&gt;""),AND(JE6&gt;=JI$28,JE6&lt;&gt;""),AND(JH6&gt;=JI$28,JH6&lt;&gt;""),AND(KA6&gt;=KE$28,KA6&lt;&gt;""),AND(KD6&gt;=KE$28,KD6&lt;&gt;""),AND(KW6&gt;=LA$28,KW6&lt;&gt;""),AND(KZ6&gt;=LA$28,KZ6&lt;&gt;""),AND(LS6&gt;=LW$28,LS6&lt;&gt;""),AND(LV6&gt;=LW$28,LV6&lt;&gt;""),AND(MO6&gt;=MS$28,MO6&lt;&gt;""),AND(MR6&gt;=MS$28,MR6&lt;&gt;""),AND(NK6&gt;=NO$28,NK6&lt;&gt;""),AND(NN6&gt;=NO$28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$29,AV6&lt;&gt;"",AP6=""),AND(BZ6&gt;=CC$29,BZ6&lt;&gt;"",BT6=""),AND(DD6&gt;=DG$29,DD6&lt;&gt;"",CX6=""),AND(ED6&gt;=EG$29,ED6&lt;&gt;""),AND(EZ6&gt;=FC$29,EZ6&lt;&gt;""),AND(FV6&gt;=FY$29,FV6&lt;&gt;""),AND(GR6&gt;=GU$29,GR6&lt;&gt;""),AND(HN6&gt;=HQ$29,HN6&lt;&gt;""),AND(IJ6&gt;=IM$29,IJ6&lt;&gt;""),AND(JF6&gt;=JI$29,JF6&lt;&gt;""),AND(KB6&gt;=KE$29,KB6&lt;&gt;""),AND(KX6&gt;=LA$29,KX6&lt;&gt;""),AND(LT6&gt;=LW$29,LT6&lt;&gt;""),AND(MP6&gt;=MS$29,MP6&lt;&gt;""),AND(NL6&gt;=NO$29,NL6&lt;&gt;"")),OR(G6="Worlds Team",G6="Excellence",G6="Merit")),"P","")</f>
        <v/>
      </c>
      <c r="K6" s="14">
        <f>IF(MAX(AV6,BZ6,DD6)&gt;0,MAX(AV6,BZ6,DD6),0)</f>
        <v>105.15</v>
      </c>
      <c r="L6" s="14" t="str">
        <f>IF(K6=0,"",IF(K6=DD6,$CD$1,IF(K6=BZ6,$AZ$1,IF(K6=AV6,$V$1,""))))</f>
        <v>2021 1st Virtual Technical Trial</v>
      </c>
      <c r="M6" s="14">
        <f>IF($K6=$AV6,MAX(BU6,CY6),IF($K6=$BZ6,MAX(AQ6,CY6),IF($K6=$DD6,MAX(AQ6,BU6),MAX(AQ6,BU6,CY6))))</f>
        <v>49.41</v>
      </c>
      <c r="N6" s="14" t="str">
        <f>IF(M6=0,"",IF(AND(M6=CY6,$L6&lt;&gt;$CD$1),$CD$1,IF(AND(M6=BU6,$L6&lt;&gt;$AZ$1),$AZ$1,IF(AND(M6=AQ6,$L6&lt;&gt;$V$1),$V$1,""))))</f>
        <v>2019 Nationals</v>
      </c>
      <c r="O6" s="14">
        <f>MAX(AS6,AU6,AX6,BW6,BY6,CB6,DA6,DC6,DF6)</f>
        <v>55.209999999999994</v>
      </c>
      <c r="P6" s="14" t="str">
        <f>IF(O6=0,"",IF(OR(O6=DC6,O6=DA6,O6=DF6),$CD$1,IF(OR(O6=BY6,O6=BW6,O6=CB6),$AZ$1,IF(OR(O6=AU6,O6=AS6,O6=AX6),$V$1,""))))</f>
        <v>2021 2nd Virtual Technical Trial</v>
      </c>
      <c r="Q6" s="14">
        <f>IF(COUNT(AS6,AU6,AX6,BW6,BY6,CB6,DA6,DC6,DF6)&gt;1,LARGE((AS6,AU6,AX6,BW6,BY6,CB6,DA6,DC6,DF6),2),0)</f>
        <v>54.86</v>
      </c>
      <c r="R6" s="14" t="str">
        <f>IF(Q6=0,"",IF(OR(Q6=DC6,Q6=DA6,Q6=DF6),$CD$1,IF(OR(Q6=BY6,Q6=BW6,Q6=CB6),$AZ$1,IF(OR(Q6=AU6,Q6=AS6,Q6=AX6),$V$1,""))))</f>
        <v>2021 1st Virtual Technical Trial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17.600000000000001</v>
      </c>
      <c r="W6" s="61">
        <v>9.1</v>
      </c>
      <c r="X6" s="61">
        <v>5.4</v>
      </c>
      <c r="Y6" s="61">
        <v>17.309999999999999</v>
      </c>
      <c r="Z6" s="61">
        <v>0</v>
      </c>
      <c r="AA6" s="61">
        <v>16</v>
      </c>
      <c r="AB6" s="61">
        <v>9.1</v>
      </c>
      <c r="AC6" s="61">
        <v>11.7</v>
      </c>
      <c r="AD6" s="61">
        <v>15.77</v>
      </c>
      <c r="AE6" s="61">
        <v>1.8</v>
      </c>
      <c r="AF6" s="61"/>
      <c r="AG6" s="61"/>
      <c r="AH6" s="61"/>
      <c r="AI6" s="61"/>
      <c r="AJ6" s="61"/>
      <c r="AK6" s="61">
        <v>13.58</v>
      </c>
      <c r="AL6" s="61">
        <v>9.4</v>
      </c>
      <c r="AM6" s="61">
        <v>14.4</v>
      </c>
      <c r="AN6" s="61">
        <v>15.55</v>
      </c>
      <c r="AO6" s="61">
        <v>0</v>
      </c>
      <c r="AP6" s="72"/>
      <c r="AQ6" s="11">
        <f>IF(SUM(V6:Y6)-Z6&gt;0,SUM(V6:Y6)-Z6,"")</f>
        <v>49.41</v>
      </c>
      <c r="AR6" s="11">
        <f>IF(AC6&gt;0,AC6,"")</f>
        <v>11.7</v>
      </c>
      <c r="AS6" s="11">
        <f>IF(SUM(AA6:AD6)-AE6&gt;0,SUM(AA6:AD6)-AE6,"")</f>
        <v>50.769999999999996</v>
      </c>
      <c r="AT6" s="11" t="str">
        <f>IF(AH6&gt;0,AH6,"")</f>
        <v/>
      </c>
      <c r="AU6" s="11" t="str">
        <f>IF(SUM(AF6:AI6)-AJ6&gt;0,SUM(AF6:AI6)-AJ6,"")</f>
        <v/>
      </c>
      <c r="AV6" s="11">
        <f>IF(AQ6="",IF(MAX(AS6,AU6)&gt;0,MAX(AS6,AU6),""),MAX(AS6,AU6)+AQ6)</f>
        <v>100.17999999999999</v>
      </c>
      <c r="AW6" s="11">
        <f>IF(AM6&gt;0,AM6,"")</f>
        <v>14.4</v>
      </c>
      <c r="AX6" s="11">
        <f>IF(SUM(AK6:AN6)-AO6&gt;0,SUM(AK6:AN6)-AO6,"")</f>
        <v>52.930000000000007</v>
      </c>
      <c r="AY6" s="11">
        <f>IF(SUM(AV6,AX6)&gt;0,SUM(AV6,AX6),"")</f>
        <v>153.11000000000001</v>
      </c>
      <c r="AZ6" s="67">
        <v>17.8</v>
      </c>
      <c r="BA6" s="67">
        <v>9.4499999999999993</v>
      </c>
      <c r="BB6" s="67">
        <v>5</v>
      </c>
      <c r="BC6" s="67">
        <v>18.04</v>
      </c>
      <c r="BD6" s="67">
        <v>0</v>
      </c>
      <c r="BE6" s="67">
        <v>8.4</v>
      </c>
      <c r="BF6" s="67">
        <v>4.3499999999999996</v>
      </c>
      <c r="BG6" s="67">
        <v>7.3</v>
      </c>
      <c r="BH6" s="67">
        <v>8.8000000000000007</v>
      </c>
      <c r="BI6" s="67">
        <v>0</v>
      </c>
      <c r="BJ6" s="67">
        <v>16.66</v>
      </c>
      <c r="BK6" s="67">
        <v>9.3000000000000007</v>
      </c>
      <c r="BL6" s="67">
        <v>12.8</v>
      </c>
      <c r="BM6" s="67">
        <v>16.8</v>
      </c>
      <c r="BN6" s="67">
        <v>0.7</v>
      </c>
      <c r="BO6" s="67">
        <v>14.8</v>
      </c>
      <c r="BP6" s="67">
        <v>9.15</v>
      </c>
      <c r="BQ6" s="67">
        <v>13.7</v>
      </c>
      <c r="BR6" s="67">
        <v>16.920000000000002</v>
      </c>
      <c r="BS6" s="67">
        <v>0</v>
      </c>
      <c r="BT6" s="73"/>
      <c r="BU6" s="14">
        <f>IF(SUM(AZ6:BC6)-BD6&gt;0,SUM(AZ6:BC6)-BD6,"")</f>
        <v>50.29</v>
      </c>
      <c r="BV6" s="14">
        <f>IF(BG6&gt;0,BG6,"")</f>
        <v>7.3</v>
      </c>
      <c r="BW6" s="14">
        <f>IF(SUM(BE6:BH6)-BI6&gt;0,SUM(BE6:BH6)-BI6,"")</f>
        <v>28.85</v>
      </c>
      <c r="BX6" s="14">
        <f>IF(BL6&gt;0,BL6,"")</f>
        <v>12.8</v>
      </c>
      <c r="BY6" s="14">
        <f>IF(SUM(BJ6:BM6)-BN6&gt;0,SUM(BJ6:BM6)-BN6,"")</f>
        <v>54.86</v>
      </c>
      <c r="BZ6" s="14">
        <f>IF(BU6="",IF(MAX(BW6,BY6)&gt;0,MAX(BW6,BY6),""),MAX(BW6,BY6)+BU6)</f>
        <v>105.15</v>
      </c>
      <c r="CA6" s="14">
        <f>IF(BQ6&gt;0,BQ6,"")</f>
        <v>13.7</v>
      </c>
      <c r="CB6" s="14">
        <f>IF(SUM(BO6:BR6)-BS6&gt;0,SUM(BO6:BR6)-BS6,"")</f>
        <v>54.570000000000007</v>
      </c>
      <c r="CC6" s="14">
        <f>IF(SUM(BZ6,CB6)&gt;0,SUM(BZ6,CB6),"")</f>
        <v>159.72000000000003</v>
      </c>
      <c r="CD6" s="61">
        <v>17.7</v>
      </c>
      <c r="CE6" s="61">
        <v>9</v>
      </c>
      <c r="CF6" s="61">
        <v>4.0999999999999996</v>
      </c>
      <c r="CG6" s="61">
        <v>17.745000000000001</v>
      </c>
      <c r="CH6" s="61">
        <v>0</v>
      </c>
      <c r="CI6" s="61">
        <v>16.2</v>
      </c>
      <c r="CJ6" s="61">
        <v>8.6</v>
      </c>
      <c r="CK6" s="61">
        <v>12.2</v>
      </c>
      <c r="CL6" s="61">
        <v>16.559999999999999</v>
      </c>
      <c r="CM6" s="61">
        <v>1.3</v>
      </c>
      <c r="CN6" s="61">
        <v>4.9000000000000004</v>
      </c>
      <c r="CO6" s="61">
        <v>2.2000000000000002</v>
      </c>
      <c r="CP6" s="61">
        <v>3.5</v>
      </c>
      <c r="CQ6" s="61">
        <v>5.1950000000000003</v>
      </c>
      <c r="CR6" s="61">
        <v>0</v>
      </c>
      <c r="CS6" s="61">
        <v>16.2</v>
      </c>
      <c r="CT6" s="61">
        <v>8.6999999999999993</v>
      </c>
      <c r="CU6" s="61">
        <v>13.7</v>
      </c>
      <c r="CV6" s="61">
        <v>16.61</v>
      </c>
      <c r="CW6" s="61">
        <v>0</v>
      </c>
      <c r="CX6" s="72"/>
      <c r="CY6" s="11">
        <f>IF(SUM(CD6:CG6)-CH6&gt;0,SUM(CD6:CG6)-CH6,"")</f>
        <v>48.545000000000002</v>
      </c>
      <c r="CZ6" s="11">
        <f>IF(CK6&gt;0,CK6,"")</f>
        <v>12.2</v>
      </c>
      <c r="DA6" s="11">
        <f>IF(SUM(CI6:CL6)-CM6&gt;0,SUM(CI6:CL6)-CM6,"")</f>
        <v>52.260000000000005</v>
      </c>
      <c r="DB6" s="11">
        <f>IF(CP6&gt;0,CP6,"")</f>
        <v>3.5</v>
      </c>
      <c r="DC6" s="11">
        <f>IF(SUM(CN6:CQ6)-CR6&gt;0,SUM(CN6:CQ6)-CR6,"")</f>
        <v>15.795000000000002</v>
      </c>
      <c r="DD6" s="11">
        <f>IF(CY6="",IF(MAX(DA6,DC6)&gt;0,MAX(DA6,DC6),""),MAX(DA6,DC6)+CY6)</f>
        <v>100.80500000000001</v>
      </c>
      <c r="DE6" s="11">
        <f>IF(CU6&gt;0,CU6,"")</f>
        <v>13.7</v>
      </c>
      <c r="DF6" s="11">
        <f>IF(SUM(CS6:CV6)-CW6&gt;0,SUM(CS6:CV6)-CW6,"")</f>
        <v>55.209999999999994</v>
      </c>
      <c r="DG6" s="11">
        <f>IF(SUM(DD6,DF6)&gt;0,SUM(DD6,DF6),"")</f>
        <v>156.01499999999999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17.75</v>
      </c>
      <c r="NQ6" s="61">
        <f>IF($CX6="P",CE6,(CE6+BA6)/2)</f>
        <v>9.2249999999999996</v>
      </c>
      <c r="NR6" s="61">
        <f>IF($CX6="P",CF6,(CF6+BB6)/2)</f>
        <v>4.55</v>
      </c>
      <c r="NS6" s="61">
        <f>IF($CX6="P",CG6,(CG6+BC6)/2)</f>
        <v>17.892499999999998</v>
      </c>
      <c r="NT6" s="61">
        <f>IF($CX6="P",CH6,(CH6+BD6)/2)</f>
        <v>0</v>
      </c>
      <c r="NU6" s="61">
        <f>IF($CX6="P",CI6,(CI6+BE6)/2)</f>
        <v>12.3</v>
      </c>
      <c r="NV6" s="61">
        <f>IF($CX6="P",CJ6,(CJ6+BF6)/2)</f>
        <v>6.4749999999999996</v>
      </c>
      <c r="NW6" s="61">
        <f>IF($CX6="P",CK6,(CK6+BG6)/2)</f>
        <v>9.75</v>
      </c>
      <c r="NX6" s="61">
        <f>IF($CX6="P",CL6,(CL6+BH6)/2)</f>
        <v>12.68</v>
      </c>
      <c r="NY6" s="61">
        <f>IF($CX6="P",CM6,(CM6+BI6)/2)</f>
        <v>0.65</v>
      </c>
      <c r="NZ6" s="61">
        <f>IF($CX6="P",CN6,(CN6+BJ6)/2)</f>
        <v>10.780000000000001</v>
      </c>
      <c r="OA6" s="61">
        <f>IF($CX6="P",CO6,(CO6+BK6)/2)</f>
        <v>5.75</v>
      </c>
      <c r="OB6" s="61">
        <f>IF($CX6="P",CP6,(CP6+BL6)/2)</f>
        <v>8.15</v>
      </c>
      <c r="OC6" s="61">
        <f>IF($CX6="P",CQ6,(CQ6+BM6)/2)</f>
        <v>10.9975</v>
      </c>
      <c r="OD6" s="61">
        <f>IF($CX6="P",CR6,(CR6+BN6)/2)</f>
        <v>0.35</v>
      </c>
      <c r="OE6" s="61">
        <f>IF($CX6="P",CS6,(CS6+BO6)/2)</f>
        <v>15.5</v>
      </c>
      <c r="OF6" s="61">
        <f>IF($CX6="P",CT6,(CT6+BP6)/2)</f>
        <v>8.9250000000000007</v>
      </c>
      <c r="OG6" s="61">
        <f>IF($CX6="P",CU6,(CU6+BQ6)/2)</f>
        <v>13.7</v>
      </c>
      <c r="OH6" s="61">
        <f>IF($CX6="P",CV6,(CV6+BR6)/2)</f>
        <v>16.765000000000001</v>
      </c>
      <c r="OI6" s="61">
        <f>IF($CX6="P",CW6,(CW6+BS6)/2)</f>
        <v>0</v>
      </c>
      <c r="OJ6" s="72" t="s">
        <v>52</v>
      </c>
      <c r="OK6" s="11">
        <f>IF(SUM(NP6:NS6)-NT6&gt;0,SUM(NP6:NS6)-NT6,"")</f>
        <v>49.417500000000004</v>
      </c>
      <c r="OL6" s="11">
        <f>IF(NW6&gt;0,NW6,"")</f>
        <v>9.75</v>
      </c>
      <c r="OM6" s="11">
        <f>IF(SUM(NU6:NX6)-NY6&gt;0,SUM(NU6:NX6)-NY6,"")</f>
        <v>40.555</v>
      </c>
      <c r="ON6" s="11">
        <f>IF(OB6&gt;0,OB6,"")</f>
        <v>8.15</v>
      </c>
      <c r="OO6" s="11">
        <f>IF(SUM(NZ6:OC6)-OD6&gt;0,SUM(NZ6:OC6)-OD6,"")</f>
        <v>35.327500000000001</v>
      </c>
      <c r="OP6" s="11">
        <f>IF(OR(OK6&lt;&gt;"",OM6&lt;&gt;"",OO6&lt;&gt;""),OK6+MAX(OM6,OO6),"")</f>
        <v>89.972499999999997</v>
      </c>
      <c r="OQ6" s="11">
        <f>IF(OG6&gt;0,OG6,"")</f>
        <v>13.7</v>
      </c>
      <c r="OR6" s="11">
        <f t="shared" si="0"/>
        <v>54.89</v>
      </c>
      <c r="OS6" s="11">
        <f t="shared" si="1"/>
        <v>144.86250000000001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129</v>
      </c>
      <c r="C7" s="7" t="s">
        <v>128</v>
      </c>
      <c r="D7" s="26">
        <v>2001</v>
      </c>
      <c r="E7" s="15">
        <f>SUM(O7:S7)</f>
        <v>107.53</v>
      </c>
      <c r="F7" s="3" t="str">
        <f>IF(G7&lt;&gt;"","P","")</f>
        <v>P</v>
      </c>
      <c r="G7" s="115" t="str">
        <f>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Merit",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Excellence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Worlds Team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National Team",""))))</f>
        <v>National Team</v>
      </c>
      <c r="H7" s="115" t="str">
        <f>IF(OR(AND(AS7&gt;=AY$28,AS7&lt;&gt;"",AP7=""),AND(AU7&gt;=AY$28,AU7&lt;&gt;"",AP7=""),AND(AX7&gt;=AY$28,AX7&lt;&gt;"",AP7=""),AND(BW7&gt;=CC$28,BW7&lt;&gt;"",BT7=""),AND(BY7&gt;=CC$28,BY7&lt;&gt;"",BT7=""),AND(CB7&gt;=CC$28,CB7&lt;&gt;"",BT7=""),AND(DA7&gt;=DG$28,DA7&lt;&gt;"",CX7=""),AND(DC7&gt;=DG$28,DC7&lt;&gt;"",CX7=""),AND(DF7&gt;=DG$28,DF7&lt;&gt;"",CX7=""),AND(EC7&gt;=EG$28,EC7&lt;&gt;""),AND(EF7&gt;=EG$28,EF7&lt;&gt;""),AND(EY7&gt;=FC$28,EY7&lt;&gt;""),AND(FB7&gt;=FC$28,FB7&lt;&gt;""),AND(FU7&gt;=FY$28,FU7&lt;&gt;""),AND(FX7&gt;=FY$28,FX7&lt;&gt;""),AND(GQ7&gt;=GU$28,GQ7&lt;&gt;""),AND(GT7&gt;=GU$28,GT7&lt;&gt;""),AND(HM7&gt;=HQ$28,HM7&lt;&gt;""),AND(HP7&gt;=HQ$28,HP7&lt;&gt;""),AND(II7&gt;=IM$28,II7&lt;&gt;""),AND(IL7&gt;=IM$28,IL7&lt;&gt;""),AND(JE7&gt;=JI$28,JE7&lt;&gt;""),AND(JH7&gt;=JI$28,JH7&lt;&gt;""),AND(KA7&gt;=KE$28,KA7&lt;&gt;""),AND(KD7&gt;=KE$28,KD7&lt;&gt;""),AND(KW7&gt;=LA$28,KW7&lt;&gt;""),AND(KZ7&gt;=LA$28,KZ7&lt;&gt;""),AND(LS7&gt;=LW$28,LS7&lt;&gt;""),AND(LV7&gt;=LW$28,LV7&lt;&gt;""),AND(MO7&gt;=MS$28,MO7&lt;&gt;""),AND(MR7&gt;=MS$28,MR7&lt;&gt;""),AND(NK7&gt;=NO$28,NK7&lt;&gt;""),AND(NN7&gt;=NO$28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$29,AV7&lt;&gt;"",AP7=""),AND(BZ7&gt;=CC$29,BZ7&lt;&gt;"",BT7=""),AND(DD7&gt;=DG$29,DD7&lt;&gt;"",CX7=""),AND(ED7&gt;=EG$29,ED7&lt;&gt;""),AND(EZ7&gt;=FC$29,EZ7&lt;&gt;""),AND(FV7&gt;=FY$29,FV7&lt;&gt;""),AND(GR7&gt;=GU$29,GR7&lt;&gt;""),AND(HN7&gt;=HQ$29,HN7&lt;&gt;""),AND(IJ7&gt;=IM$29,IJ7&lt;&gt;""),AND(JF7&gt;=JI$29,JF7&lt;&gt;""),AND(KB7&gt;=KE$29,KB7&lt;&gt;""),AND(KX7&gt;=LA$29,KX7&lt;&gt;""),AND(LT7&gt;=LW$29,LT7&lt;&gt;""),AND(MP7&gt;=MS$29,MP7&lt;&gt;""),AND(NL7&gt;=NO$29,NL7&lt;&gt;"")),OR(G7="Worlds Team",G7="Excellence",G7="Merit")),"P","")</f>
        <v/>
      </c>
      <c r="K7" s="14">
        <f>IF(MAX(AV7,BZ7,DD7)&gt;0,MAX(AV7,BZ7,DD7),0)</f>
        <v>100.07</v>
      </c>
      <c r="L7" s="14" t="str">
        <f>IF(K7=0,"",IF(K7=DD7,$CD$1,IF(K7=BZ7,$AZ$1,IF(K7=AV7,$V$1,""))))</f>
        <v>2021 1st Virtual Technical Trial</v>
      </c>
      <c r="M7" s="14">
        <f>IF($K7=$AV7,MAX(BU7,CY7),IF($K7=$BZ7,MAX(AQ7,CY7),IF($K7=$DD7,MAX(AQ7,BU7),MAX(AQ7,BU7,CY7))))</f>
        <v>48.059999999999995</v>
      </c>
      <c r="N7" s="14" t="str">
        <f>IF(M7=0,"",IF(AND(M7=CY7,$L7&lt;&gt;$CD$1),$CD$1,IF(AND(M7=BU7,$L7&lt;&gt;$AZ$1),$AZ$1,IF(AND(M7=AQ7,$L7&lt;&gt;$V$1),$V$1,""))))</f>
        <v>2019 Nationals</v>
      </c>
      <c r="O7" s="14">
        <f>MAX(AS7,AU7,AX7,BW7,BY7,CB7,DA7,DC7,DF7)</f>
        <v>54.325000000000003</v>
      </c>
      <c r="P7" s="14" t="str">
        <f>IF(O7=0,"",IF(OR(O7=DC7,O7=DA7,O7=DF7),$CD$1,IF(OR(O7=BY7,O7=BW7,O7=CB7),$AZ$1,IF(OR(O7=AU7,O7=AS7,O7=AX7),$V$1,""))))</f>
        <v>2021 2nd Virtual Technical Trial</v>
      </c>
      <c r="Q7" s="14">
        <f>IF(COUNT(AS7,AU7,AX7,BW7,BY7,CB7,DA7,DC7,DF7)&gt;1,LARGE((AS7,AU7,AX7,BW7,BY7,CB7,DA7,DC7,DF7),2),0)</f>
        <v>53.204999999999998</v>
      </c>
      <c r="R7" s="14" t="str">
        <f>IF(Q7=0,"",IF(OR(Q7=DC7,Q7=DA7,Q7=DF7),$CD$1,IF(OR(Q7=BY7,Q7=BW7,Q7=CB7),$AZ$1,IF(OR(Q7=AU7,Q7=AS7,Q7=AX7),$V$1,""))))</f>
        <v>2021 2nd Virtual Technical Trial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17.399999999999999</v>
      </c>
      <c r="W7" s="61">
        <v>9.6999999999999993</v>
      </c>
      <c r="X7" s="61">
        <v>5</v>
      </c>
      <c r="Y7" s="61">
        <v>15.96</v>
      </c>
      <c r="Z7" s="61">
        <v>0</v>
      </c>
      <c r="AA7" s="61">
        <v>12.5</v>
      </c>
      <c r="AB7" s="61">
        <v>7.7</v>
      </c>
      <c r="AC7" s="61">
        <v>13</v>
      </c>
      <c r="AD7" s="61">
        <v>13.635</v>
      </c>
      <c r="AE7" s="61">
        <v>0.2</v>
      </c>
      <c r="AF7" s="61"/>
      <c r="AG7" s="61"/>
      <c r="AH7" s="61"/>
      <c r="AI7" s="61"/>
      <c r="AJ7" s="61"/>
      <c r="AK7" s="61">
        <v>12.16</v>
      </c>
      <c r="AL7" s="61">
        <v>8.6999999999999993</v>
      </c>
      <c r="AM7" s="61">
        <v>13.7</v>
      </c>
      <c r="AN7" s="61">
        <v>14.824999999999999</v>
      </c>
      <c r="AO7" s="61">
        <v>0</v>
      </c>
      <c r="AP7" s="72"/>
      <c r="AQ7" s="11">
        <f>IF(SUM(V7:Y7)-Z7&gt;0,SUM(V7:Y7)-Z7,"")</f>
        <v>48.059999999999995</v>
      </c>
      <c r="AR7" s="11">
        <f>IF(AC7&gt;0,AC7,"")</f>
        <v>13</v>
      </c>
      <c r="AS7" s="11">
        <f>IF(SUM(AA7:AD7)-AE7&gt;0,SUM(AA7:AD7)-AE7,"")</f>
        <v>46.634999999999998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94.694999999999993</v>
      </c>
      <c r="AW7" s="11">
        <f>IF(AM7&gt;0,AM7,"")</f>
        <v>13.7</v>
      </c>
      <c r="AX7" s="11">
        <f>IF(SUM(AK7:AN7)-AO7&gt;0,SUM(AK7:AN7)-AO7,"")</f>
        <v>49.385000000000005</v>
      </c>
      <c r="AY7" s="11">
        <f>IF(SUM(AV7,AX7)&gt;0,SUM(AV7,AX7),"")</f>
        <v>144.07999999999998</v>
      </c>
      <c r="AZ7" s="67">
        <v>17.5</v>
      </c>
      <c r="BA7" s="67">
        <v>9.65</v>
      </c>
      <c r="BB7" s="67">
        <v>4.4000000000000004</v>
      </c>
      <c r="BC7" s="67">
        <v>16.059999999999999</v>
      </c>
      <c r="BD7" s="67">
        <v>0</v>
      </c>
      <c r="BE7" s="67">
        <v>14.3</v>
      </c>
      <c r="BF7" s="67">
        <v>9.1999999999999993</v>
      </c>
      <c r="BG7" s="67">
        <v>13.9</v>
      </c>
      <c r="BH7" s="67">
        <v>15.06</v>
      </c>
      <c r="BI7" s="67">
        <v>0</v>
      </c>
      <c r="BJ7" s="67">
        <v>12.9</v>
      </c>
      <c r="BK7" s="67">
        <v>8.6999999999999993</v>
      </c>
      <c r="BL7" s="67">
        <v>13.3</v>
      </c>
      <c r="BM7" s="67">
        <v>14.61</v>
      </c>
      <c r="BN7" s="67">
        <v>0.2</v>
      </c>
      <c r="BO7" s="67">
        <v>14.7</v>
      </c>
      <c r="BP7" s="67">
        <v>9.35</v>
      </c>
      <c r="BQ7" s="67">
        <v>13.9</v>
      </c>
      <c r="BR7" s="67">
        <v>15.21</v>
      </c>
      <c r="BS7" s="67">
        <v>0</v>
      </c>
      <c r="BT7" s="73"/>
      <c r="BU7" s="14">
        <f>IF(SUM(AZ7:BC7)-BD7&gt;0,SUM(AZ7:BC7)-BD7,"")</f>
        <v>47.61</v>
      </c>
      <c r="BV7" s="14">
        <f>IF(BG7&gt;0,BG7,"")</f>
        <v>13.9</v>
      </c>
      <c r="BW7" s="14">
        <f>IF(SUM(BE7:BH7)-BI7&gt;0,SUM(BE7:BH7)-BI7,"")</f>
        <v>52.46</v>
      </c>
      <c r="BX7" s="14">
        <f>IF(BL7&gt;0,BL7,"")</f>
        <v>13.3</v>
      </c>
      <c r="BY7" s="14">
        <f>IF(SUM(BJ7:BM7)-BN7&gt;0,SUM(BJ7:BM7)-BN7,"")</f>
        <v>49.31</v>
      </c>
      <c r="BZ7" s="14">
        <f>IF(BU7="",IF(MAX(BW7,BY7)&gt;0,MAX(BW7,BY7),""),MAX(BW7,BY7)+BU7)</f>
        <v>100.07</v>
      </c>
      <c r="CA7" s="14">
        <f>IF(BQ7&gt;0,BQ7,"")</f>
        <v>13.9</v>
      </c>
      <c r="CB7" s="14">
        <f>IF(SUM(BO7:BR7)-BS7&gt;0,SUM(BO7:BR7)-BS7,"")</f>
        <v>53.16</v>
      </c>
      <c r="CC7" s="14">
        <f>IF(SUM(BZ7,CB7)&gt;0,SUM(BZ7,CB7),"")</f>
        <v>153.22999999999999</v>
      </c>
      <c r="CD7" s="61">
        <v>13</v>
      </c>
      <c r="CE7" s="61">
        <v>6.8</v>
      </c>
      <c r="CF7" s="61">
        <v>2.1</v>
      </c>
      <c r="CG7" s="61">
        <v>13.39</v>
      </c>
      <c r="CH7" s="61">
        <v>0</v>
      </c>
      <c r="CI7" s="61">
        <v>14</v>
      </c>
      <c r="CJ7" s="61">
        <v>8.9</v>
      </c>
      <c r="CK7" s="61">
        <v>15</v>
      </c>
      <c r="CL7" s="61">
        <v>15.305</v>
      </c>
      <c r="CM7" s="61">
        <v>0</v>
      </c>
      <c r="CN7" s="61">
        <v>12.2</v>
      </c>
      <c r="CO7" s="61">
        <v>9.1999999999999993</v>
      </c>
      <c r="CP7" s="61">
        <v>15</v>
      </c>
      <c r="CQ7" s="61">
        <v>15.455</v>
      </c>
      <c r="CR7" s="61">
        <v>0</v>
      </c>
      <c r="CS7" s="61">
        <v>15.2</v>
      </c>
      <c r="CT7" s="61">
        <v>9.3000000000000007</v>
      </c>
      <c r="CU7" s="61">
        <v>14.4</v>
      </c>
      <c r="CV7" s="61">
        <v>15.425000000000001</v>
      </c>
      <c r="CW7" s="61">
        <v>0</v>
      </c>
      <c r="CX7" s="72"/>
      <c r="CY7" s="11">
        <f>IF(SUM(CD7:CG7)-CH7&gt;0,SUM(CD7:CG7)-CH7,"")</f>
        <v>35.290000000000006</v>
      </c>
      <c r="CZ7" s="11">
        <f>IF(CK7&gt;0,CK7,"")</f>
        <v>15</v>
      </c>
      <c r="DA7" s="11">
        <f>IF(SUM(CI7:CL7)-CM7&gt;0,SUM(CI7:CL7)-CM7,"")</f>
        <v>53.204999999999998</v>
      </c>
      <c r="DB7" s="11">
        <f>IF(CP7&gt;0,CP7,"")</f>
        <v>15</v>
      </c>
      <c r="DC7" s="11">
        <f>IF(SUM(CN7:CQ7)-CR7&gt;0,SUM(CN7:CQ7)-CR7,"")</f>
        <v>51.854999999999997</v>
      </c>
      <c r="DD7" s="11">
        <f>IF(CY7="",IF(MAX(DA7,DC7)&gt;0,MAX(DA7,DC7),""),MAX(DA7,DC7)+CY7)</f>
        <v>88.495000000000005</v>
      </c>
      <c r="DE7" s="11">
        <f>IF(CU7&gt;0,CU7,"")</f>
        <v>14.4</v>
      </c>
      <c r="DF7" s="11">
        <f>IF(SUM(CS7:CV7)-CW7&gt;0,SUM(CS7:CV7)-CW7,"")</f>
        <v>54.325000000000003</v>
      </c>
      <c r="DG7" s="11">
        <f>IF(SUM(DD7,DF7)&gt;0,SUM(DD7,DF7),"")</f>
        <v>142.82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15.25</v>
      </c>
      <c r="NQ7" s="61">
        <f>IF($CX7="P",CE7,(CE7+BA7)/2)</f>
        <v>8.2249999999999996</v>
      </c>
      <c r="NR7" s="61">
        <f>IF($CX7="P",CF7,(CF7+BB7)/2)</f>
        <v>3.25</v>
      </c>
      <c r="NS7" s="61">
        <f>IF($CX7="P",CG7,(CG7+BC7)/2)</f>
        <v>14.725</v>
      </c>
      <c r="NT7" s="61">
        <f>IF($CX7="P",CH7,(CH7+BD7)/2)</f>
        <v>0</v>
      </c>
      <c r="NU7" s="61">
        <f>IF($CX7="P",CI7,(CI7+BE7)/2)</f>
        <v>14.15</v>
      </c>
      <c r="NV7" s="61">
        <f>IF($CX7="P",CJ7,(CJ7+BF7)/2)</f>
        <v>9.0500000000000007</v>
      </c>
      <c r="NW7" s="61">
        <f>IF($CX7="P",CK7,(CK7+BG7)/2)</f>
        <v>14.45</v>
      </c>
      <c r="NX7" s="61">
        <f>IF($CX7="P",CL7,(CL7+BH7)/2)</f>
        <v>15.182500000000001</v>
      </c>
      <c r="NY7" s="61">
        <f>IF($CX7="P",CM7,(CM7+BI7)/2)</f>
        <v>0</v>
      </c>
      <c r="NZ7" s="61">
        <f>IF($CX7="P",CN7,(CN7+BJ7)/2)</f>
        <v>12.55</v>
      </c>
      <c r="OA7" s="61">
        <f>IF($CX7="P",CO7,(CO7+BK7)/2)</f>
        <v>8.9499999999999993</v>
      </c>
      <c r="OB7" s="61">
        <f>IF($CX7="P",CP7,(CP7+BL7)/2)</f>
        <v>14.15</v>
      </c>
      <c r="OC7" s="61">
        <f>IF($CX7="P",CQ7,(CQ7+BM7)/2)</f>
        <v>15.032499999999999</v>
      </c>
      <c r="OD7" s="61">
        <f>IF($CX7="P",CR7,(CR7+BN7)/2)</f>
        <v>0.1</v>
      </c>
      <c r="OE7" s="61">
        <f>IF($CX7="P",CS7,(CS7+BO7)/2)</f>
        <v>14.95</v>
      </c>
      <c r="OF7" s="61">
        <f>IF($CX7="P",CT7,(CT7+BP7)/2)</f>
        <v>9.3249999999999993</v>
      </c>
      <c r="OG7" s="61">
        <f>IF($CX7="P",CU7,(CU7+BQ7)/2)</f>
        <v>14.15</v>
      </c>
      <c r="OH7" s="61">
        <f>IF($CX7="P",CV7,(CV7+BR7)/2)</f>
        <v>15.317500000000001</v>
      </c>
      <c r="OI7" s="61">
        <f>IF($CX7="P",CW7,(CW7+BS7)/2)</f>
        <v>0</v>
      </c>
      <c r="OJ7" s="72" t="s">
        <v>52</v>
      </c>
      <c r="OK7" s="11">
        <f>IF(SUM(NP7:NS7)-NT7&gt;0,SUM(NP7:NS7)-NT7,"")</f>
        <v>41.45</v>
      </c>
      <c r="OL7" s="11">
        <f>IF(NW7&gt;0,NW7,"")</f>
        <v>14.45</v>
      </c>
      <c r="OM7" s="11">
        <f>IF(SUM(NU7:NX7)-NY7&gt;0,SUM(NU7:NX7)-NY7,"")</f>
        <v>52.83250000000001</v>
      </c>
      <c r="ON7" s="11">
        <f>IF(OB7&gt;0,OB7,"")</f>
        <v>14.15</v>
      </c>
      <c r="OO7" s="11">
        <f>IF(SUM(NZ7:OC7)-OD7&gt;0,SUM(NZ7:OC7)-OD7,"")</f>
        <v>50.582499999999996</v>
      </c>
      <c r="OP7" s="11">
        <f>IF(OR(OK7&lt;&gt;"",OM7&lt;&gt;"",OO7&lt;&gt;""),OK7+MAX(OM7,OO7),"")</f>
        <v>94.282500000000013</v>
      </c>
      <c r="OQ7" s="11">
        <f>IF(OG7&gt;0,OG7,"")</f>
        <v>14.15</v>
      </c>
      <c r="OR7" s="11">
        <f t="shared" si="0"/>
        <v>53.7425</v>
      </c>
      <c r="OS7" s="11">
        <f t="shared" si="1"/>
        <v>148.02500000000001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81</v>
      </c>
      <c r="C8" s="7" t="s">
        <v>5</v>
      </c>
      <c r="D8" s="5">
        <v>2003</v>
      </c>
      <c r="E8" s="15">
        <f>SUM(O8:S8)</f>
        <v>106.75</v>
      </c>
      <c r="F8" s="3" t="str">
        <f>IF(G8&lt;&gt;"","P","")</f>
        <v>P</v>
      </c>
      <c r="G8" s="115" t="str">
        <f>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Merit",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Excellence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Worlds Team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National Team",""))))</f>
        <v>National Team</v>
      </c>
      <c r="H8" s="115" t="str">
        <f>IF(OR(AND(AS8&gt;=AY$28,AS8&lt;&gt;"",AP8=""),AND(AU8&gt;=AY$28,AU8&lt;&gt;"",AP8=""),AND(AX8&gt;=AY$28,AX8&lt;&gt;"",AP8=""),AND(BW8&gt;=CC$28,BW8&lt;&gt;"",BT8=""),AND(BY8&gt;=CC$28,BY8&lt;&gt;"",BT8=""),AND(CB8&gt;=CC$28,CB8&lt;&gt;"",BT8=""),AND(DA8&gt;=DG$28,DA8&lt;&gt;"",CX8=""),AND(DC8&gt;=DG$28,DC8&lt;&gt;"",CX8=""),AND(DF8&gt;=DG$28,DF8&lt;&gt;"",CX8=""),AND(EC8&gt;=EG$28,EC8&lt;&gt;""),AND(EF8&gt;=EG$28,EF8&lt;&gt;""),AND(EY8&gt;=FC$28,EY8&lt;&gt;""),AND(FB8&gt;=FC$28,FB8&lt;&gt;""),AND(FU8&gt;=FY$28,FU8&lt;&gt;""),AND(FX8&gt;=FY$28,FX8&lt;&gt;""),AND(GQ8&gt;=GU$28,GQ8&lt;&gt;""),AND(GT8&gt;=GU$28,GT8&lt;&gt;""),AND(HM8&gt;=HQ$28,HM8&lt;&gt;""),AND(HP8&gt;=HQ$28,HP8&lt;&gt;""),AND(II8&gt;=IM$28,II8&lt;&gt;""),AND(IL8&gt;=IM$28,IL8&lt;&gt;""),AND(JE8&gt;=JI$28,JE8&lt;&gt;""),AND(JH8&gt;=JI$28,JH8&lt;&gt;""),AND(KA8&gt;=KE$28,KA8&lt;&gt;""),AND(KD8&gt;=KE$28,KD8&lt;&gt;""),AND(KW8&gt;=LA$28,KW8&lt;&gt;""),AND(KZ8&gt;=LA$28,KZ8&lt;&gt;""),AND(LS8&gt;=LW$28,LS8&lt;&gt;""),AND(LV8&gt;=LW$28,LV8&lt;&gt;""),AND(MO8&gt;=MS$28,MO8&lt;&gt;""),AND(MR8&gt;=MS$28,MR8&lt;&gt;""),AND(NK8&gt;=NO$28,NK8&lt;&gt;""),AND(NN8&gt;=NO$28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$29,AV8&lt;&gt;"",AP8=""),AND(BZ8&gt;=CC$29,BZ8&lt;&gt;"",BT8=""),AND(DD8&gt;=DG$29,DD8&lt;&gt;"",CX8=""),AND(ED8&gt;=EG$29,ED8&lt;&gt;""),AND(EZ8&gt;=FC$29,EZ8&lt;&gt;""),AND(FV8&gt;=FY$29,FV8&lt;&gt;""),AND(GR8&gt;=GU$29,GR8&lt;&gt;""),AND(HN8&gt;=HQ$29,HN8&lt;&gt;""),AND(IJ8&gt;=IM$29,IJ8&lt;&gt;""),AND(JF8&gt;=JI$29,JF8&lt;&gt;""),AND(KB8&gt;=KE$29,KB8&lt;&gt;""),AND(KX8&gt;=LA$29,KX8&lt;&gt;""),AND(LT8&gt;=LW$29,LT8&lt;&gt;""),AND(MP8&gt;=MS$29,MP8&lt;&gt;""),AND(NL8&gt;=NO$29,NL8&lt;&gt;"")),OR(G8="Worlds Team",G8="Excellence",G8="Merit")),"P","")</f>
        <v/>
      </c>
      <c r="K8" s="14">
        <f>IF(MAX(AV8,BZ8,DD8)&gt;0,MAX(AV8,BZ8,DD8),0)</f>
        <v>98.55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45.704999999999998</v>
      </c>
      <c r="N8" s="14" t="str">
        <f>IF(M8=0,"",IF(AND(M8=CY8,$L8&lt;&gt;$CD$1),$CD$1,IF(AND(M8=BU8,$L8&lt;&gt;$AZ$1),$AZ$1,IF(AND(M8=AQ8,$L8&lt;&gt;$V$1),$V$1,""))))</f>
        <v>2019 Nationals</v>
      </c>
      <c r="O8" s="14">
        <f>MAX(AS8,AU8,AX8,BW8,BY8,CB8,DA8,DC8,DF8)</f>
        <v>54.64</v>
      </c>
      <c r="P8" s="14" t="str">
        <f>IF(O8=0,"",IF(OR(O8=DC8,O8=DA8,O8=DF8),$CD$1,IF(OR(O8=BY8,O8=BW8,O8=CB8),$AZ$1,IF(OR(O8=AU8,O8=AS8,O8=AX8),$V$1,""))))</f>
        <v>2021 2nd Virtual Technical Trial</v>
      </c>
      <c r="Q8" s="14">
        <f>IF(COUNT(AS8,AU8,AX8,BW8,BY8,CB8,DA8,DC8,DF8)&gt;1,LARGE((AS8,AU8,AX8,BW8,BY8,CB8,DA8,DC8,DF8),2),0)</f>
        <v>52.11</v>
      </c>
      <c r="R8" s="14" t="str">
        <f>IF(Q8=0,"",IF(OR(Q8=DC8,Q8=DA8,Q8=DF8),$CD$1,IF(OR(Q8=BY8,Q8=BW8,Q8=CB8),$AZ$1,IF(OR(Q8=AU8,Q8=AS8,Q8=AX8),$V$1,""))))</f>
        <v>2021 2nd Virtual Technical Trial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16.2</v>
      </c>
      <c r="W8" s="61">
        <v>8.8000000000000007</v>
      </c>
      <c r="X8" s="61">
        <v>4.8</v>
      </c>
      <c r="Y8" s="61">
        <v>15.904999999999999</v>
      </c>
      <c r="Z8" s="61">
        <v>0</v>
      </c>
      <c r="AA8" s="61">
        <v>9.3000000000000007</v>
      </c>
      <c r="AB8" s="61">
        <v>5.5</v>
      </c>
      <c r="AC8" s="61">
        <v>8.9</v>
      </c>
      <c r="AD8" s="61">
        <v>9.2249999999999996</v>
      </c>
      <c r="AE8" s="61">
        <v>0</v>
      </c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>
        <f>IF(SUM(V8:Y8)-Z8&gt;0,SUM(V8:Y8)-Z8,"")</f>
        <v>45.704999999999998</v>
      </c>
      <c r="AR8" s="11">
        <f>IF(AC8&gt;0,AC8,"")</f>
        <v>8.9</v>
      </c>
      <c r="AS8" s="11">
        <f>IF(SUM(AA8:AD8)-AE8&gt;0,SUM(AA8:AD8)-AE8,"")</f>
        <v>32.925000000000004</v>
      </c>
      <c r="AT8" s="11" t="str">
        <f>IF(AH8&gt;0,AH8,"")</f>
        <v/>
      </c>
      <c r="AU8" s="11" t="str">
        <f>IF(SUM(AF8:AI8)-AJ8&gt;0,SUM(AF8:AI8)-AJ8,"")</f>
        <v/>
      </c>
      <c r="AV8" s="11">
        <f>IF(AQ8="",IF(MAX(AS8,AU8)&gt;0,MAX(AS8,AU8),""),MAX(AS8,AU8)+AQ8)</f>
        <v>78.63</v>
      </c>
      <c r="AW8" s="11" t="str">
        <f>IF(AM8&gt;0,AM8,"")</f>
        <v/>
      </c>
      <c r="AX8" s="11" t="str">
        <f>IF(SUM(AK8:AN8)-AO8&gt;0,SUM(AK8:AN8)-AO8,"")</f>
        <v/>
      </c>
      <c r="AY8" s="11">
        <f>IF(SUM(AV8,AX8)&gt;0,SUM(AV8,AX8),"")</f>
        <v>78.63</v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>IF(SUM(AZ8:BC8)-BD8&gt;0,SUM(AZ8:BC8)-BD8,"")</f>
        <v/>
      </c>
      <c r="BV8" s="14" t="str">
        <f>IF(BG8&gt;0,BG8,"")</f>
        <v/>
      </c>
      <c r="BW8" s="14" t="str">
        <f>IF(SUM(BE8:BH8)-BI8&gt;0,SUM(BE8:BH8)-BI8,"")</f>
        <v/>
      </c>
      <c r="BX8" s="14" t="str">
        <f>IF(BL8&gt;0,BL8,"")</f>
        <v/>
      </c>
      <c r="BY8" s="14" t="str">
        <f>IF(SUM(BJ8:BM8)-BN8&gt;0,SUM(BJ8:BM8)-BN8,"")</f>
        <v/>
      </c>
      <c r="BZ8" s="14" t="str">
        <f>IF(BU8="",IF(MAX(BW8,BY8)&gt;0,MAX(BW8,BY8),""),MAX(BW8,BY8)+BU8)</f>
        <v/>
      </c>
      <c r="CA8" s="14" t="str">
        <f>IF(BQ8&gt;0,BQ8,"")</f>
        <v/>
      </c>
      <c r="CB8" s="14" t="str">
        <f>IF(SUM(BO8:BR8)-BS8&gt;0,SUM(BO8:BR8)-BS8,"")</f>
        <v/>
      </c>
      <c r="CC8" s="14" t="str">
        <f>IF(SUM(BZ8,CB8)&gt;0,SUM(BZ8,CB8),"")</f>
        <v/>
      </c>
      <c r="CD8" s="61">
        <v>17.5</v>
      </c>
      <c r="CE8" s="61">
        <v>9.6</v>
      </c>
      <c r="CF8" s="61">
        <v>2.9</v>
      </c>
      <c r="CG8" s="61">
        <v>16.440000000000001</v>
      </c>
      <c r="CH8" s="61">
        <v>0</v>
      </c>
      <c r="CI8" s="61">
        <v>15</v>
      </c>
      <c r="CJ8" s="61">
        <v>8.4</v>
      </c>
      <c r="CK8" s="61">
        <v>13</v>
      </c>
      <c r="CL8" s="61">
        <v>15.71</v>
      </c>
      <c r="CM8" s="61">
        <v>0</v>
      </c>
      <c r="CN8" s="61"/>
      <c r="CO8" s="61"/>
      <c r="CP8" s="61"/>
      <c r="CQ8" s="61"/>
      <c r="CR8" s="61"/>
      <c r="CS8" s="61">
        <v>15.8</v>
      </c>
      <c r="CT8" s="61">
        <v>9.5</v>
      </c>
      <c r="CU8" s="61">
        <v>13.5</v>
      </c>
      <c r="CV8" s="61">
        <v>15.84</v>
      </c>
      <c r="CW8" s="61">
        <v>0</v>
      </c>
      <c r="CX8" s="72"/>
      <c r="CY8" s="11">
        <f>IF(SUM(CD8:CG8)-CH8&gt;0,SUM(CD8:CG8)-CH8,"")</f>
        <v>46.44</v>
      </c>
      <c r="CZ8" s="11">
        <f>IF(CK8&gt;0,CK8,"")</f>
        <v>13</v>
      </c>
      <c r="DA8" s="11">
        <f>IF(SUM(CI8:CL8)-CM8&gt;0,SUM(CI8:CL8)-CM8,"")</f>
        <v>52.11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98.55</v>
      </c>
      <c r="DE8" s="11">
        <f>IF(CU8&gt;0,CU8,"")</f>
        <v>13.5</v>
      </c>
      <c r="DF8" s="11">
        <f>IF(SUM(CS8:CV8)-CW8&gt;0,SUM(CS8:CV8)-CW8,"")</f>
        <v>54.64</v>
      </c>
      <c r="DG8" s="11">
        <f>IF(SUM(DD8,DF8)&gt;0,SUM(DD8,DF8),"")</f>
        <v>153.19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8.75</v>
      </c>
      <c r="NQ8" s="61">
        <f>IF($CX8="P",CE8,(CE8+BA8)/2)</f>
        <v>4.8</v>
      </c>
      <c r="NR8" s="61">
        <f>IF($CX8="P",CF8,(CF8+BB8)/2)</f>
        <v>1.45</v>
      </c>
      <c r="NS8" s="61">
        <f>IF($CX8="P",CG8,(CG8+BC8)/2)</f>
        <v>8.2200000000000006</v>
      </c>
      <c r="NT8" s="61">
        <f>IF($CX8="P",CH8,(CH8+BD8)/2)</f>
        <v>0</v>
      </c>
      <c r="NU8" s="61">
        <f>IF($CX8="P",CI8,(CI8+BE8)/2)</f>
        <v>7.5</v>
      </c>
      <c r="NV8" s="61">
        <f>IF($CX8="P",CJ8,(CJ8+BF8)/2)</f>
        <v>4.2</v>
      </c>
      <c r="NW8" s="61">
        <f>IF($CX8="P",CK8,(CK8+BG8)/2)</f>
        <v>6.5</v>
      </c>
      <c r="NX8" s="61">
        <f>IF($CX8="P",CL8,(CL8+BH8)/2)</f>
        <v>7.8550000000000004</v>
      </c>
      <c r="NY8" s="61">
        <f>IF($CX8="P",CM8,(CM8+BI8)/2)</f>
        <v>0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7.9</v>
      </c>
      <c r="OF8" s="61">
        <f>IF($CX8="P",CT8,(CT8+BP8)/2)</f>
        <v>4.75</v>
      </c>
      <c r="OG8" s="61">
        <f>IF($CX8="P",CU8,(CU8+BQ8)/2)</f>
        <v>6.75</v>
      </c>
      <c r="OH8" s="61">
        <f>IF($CX8="P",CV8,(CV8+BR8)/2)</f>
        <v>7.92</v>
      </c>
      <c r="OI8" s="61">
        <f>IF($CX8="P",CW8,(CW8+BS8)/2)</f>
        <v>0</v>
      </c>
      <c r="OJ8" s="72" t="s">
        <v>52</v>
      </c>
      <c r="OK8" s="11">
        <f>IF(SUM(NP8:NS8)-NT8&gt;0,SUM(NP8:NS8)-NT8,"")</f>
        <v>23.22</v>
      </c>
      <c r="OL8" s="11">
        <f>IF(NW8&gt;0,NW8,"")</f>
        <v>6.5</v>
      </c>
      <c r="OM8" s="11">
        <f>IF(SUM(NU8:NX8)-NY8&gt;0,SUM(NU8:NX8)-NY8,"")</f>
        <v>26.055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49.274999999999999</v>
      </c>
      <c r="OQ8" s="11">
        <f>IF(OG8&gt;0,OG8,"")</f>
        <v>6.75</v>
      </c>
      <c r="OR8" s="11">
        <f t="shared" si="0"/>
        <v>27.32</v>
      </c>
      <c r="OS8" s="11">
        <f t="shared" si="1"/>
        <v>76.594999999999999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127</v>
      </c>
      <c r="C9" s="7" t="s">
        <v>6</v>
      </c>
      <c r="D9" s="26">
        <v>2000</v>
      </c>
      <c r="E9" s="15">
        <f>SUM(O9:S9)</f>
        <v>106.51000000000002</v>
      </c>
      <c r="F9" s="3" t="str">
        <f>IF(G9&lt;&gt;"","P","")</f>
        <v>P</v>
      </c>
      <c r="G9" s="115" t="str">
        <f>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Merit",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Excellence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Worlds Team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National Team",""))))</f>
        <v>National Team</v>
      </c>
      <c r="H9" s="115" t="str">
        <f>IF(OR(AND(AS9&gt;=AY$28,AS9&lt;&gt;"",AP9=""),AND(AU9&gt;=AY$28,AU9&lt;&gt;"",AP9=""),AND(AX9&gt;=AY$28,AX9&lt;&gt;"",AP9=""),AND(BW9&gt;=CC$28,BW9&lt;&gt;"",BT9=""),AND(BY9&gt;=CC$28,BY9&lt;&gt;"",BT9=""),AND(CB9&gt;=CC$28,CB9&lt;&gt;"",BT9=""),AND(DA9&gt;=DG$28,DA9&lt;&gt;"",CX9=""),AND(DC9&gt;=DG$28,DC9&lt;&gt;"",CX9=""),AND(DF9&gt;=DG$28,DF9&lt;&gt;"",CX9=""),AND(EC9&gt;=EG$28,EC9&lt;&gt;""),AND(EF9&gt;=EG$28,EF9&lt;&gt;""),AND(EY9&gt;=FC$28,EY9&lt;&gt;""),AND(FB9&gt;=FC$28,FB9&lt;&gt;""),AND(FU9&gt;=FY$28,FU9&lt;&gt;""),AND(FX9&gt;=FY$28,FX9&lt;&gt;""),AND(GQ9&gt;=GU$28,GQ9&lt;&gt;""),AND(GT9&gt;=GU$28,GT9&lt;&gt;""),AND(HM9&gt;=HQ$28,HM9&lt;&gt;""),AND(HP9&gt;=HQ$28,HP9&lt;&gt;""),AND(II9&gt;=IM$28,II9&lt;&gt;""),AND(IL9&gt;=IM$28,IL9&lt;&gt;""),AND(JE9&gt;=JI$28,JE9&lt;&gt;""),AND(JH9&gt;=JI$28,JH9&lt;&gt;""),AND(KA9&gt;=KE$28,KA9&lt;&gt;""),AND(KD9&gt;=KE$28,KD9&lt;&gt;""),AND(KW9&gt;=LA$28,KW9&lt;&gt;""),AND(KZ9&gt;=LA$28,KZ9&lt;&gt;""),AND(LS9&gt;=LW$28,LS9&lt;&gt;""),AND(LV9&gt;=LW$28,LV9&lt;&gt;""),AND(MO9&gt;=MS$28,MO9&lt;&gt;""),AND(MR9&gt;=MS$28,MR9&lt;&gt;""),AND(NK9&gt;=NO$28,NK9&lt;&gt;""),AND(NN9&gt;=NO$28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$29,AV9&lt;&gt;"",AP9=""),AND(BZ9&gt;=CC$29,BZ9&lt;&gt;"",BT9=""),AND(DD9&gt;=DG$29,DD9&lt;&gt;"",CX9=""),AND(ED9&gt;=EG$29,ED9&lt;&gt;""),AND(EZ9&gt;=FC$29,EZ9&lt;&gt;""),AND(FV9&gt;=FY$29,FV9&lt;&gt;""),AND(GR9&gt;=GU$29,GR9&lt;&gt;""),AND(HN9&gt;=HQ$29,HN9&lt;&gt;""),AND(IJ9&gt;=IM$29,IJ9&lt;&gt;""),AND(JF9&gt;=JI$29,JF9&lt;&gt;""),AND(KB9&gt;=KE$29,KB9&lt;&gt;""),AND(KX9&gt;=LA$29,KX9&lt;&gt;""),AND(LT9&gt;=LW$29,LT9&lt;&gt;""),AND(MP9&gt;=MS$29,MP9&lt;&gt;""),AND(NL9&gt;=NO$29,NL9&lt;&gt;"")),OR(G9="Worlds Team",G9="Excellence",G9="Merit")),"P","")</f>
        <v/>
      </c>
      <c r="K9" s="14">
        <f>IF(MAX(AV9,BZ9,DD9)&gt;0,MAX(AV9,BZ9,DD9),0)</f>
        <v>100.81</v>
      </c>
      <c r="L9" s="14" t="str">
        <f>IF(K9=0,"",IF(K9=DD9,$CD$1,IF(K9=BZ9,$AZ$1,IF(K9=AV9,$V$1,""))))</f>
        <v>2021 1st Virtual Technical Trial</v>
      </c>
      <c r="M9" s="14">
        <f>IF($K9=$AV9,MAX(BU9,CY9),IF($K9=$BZ9,MAX(AQ9,CY9),IF($K9=$DD9,MAX(AQ9,BU9),MAX(AQ9,BU9,CY9))))</f>
        <v>45.234999999999999</v>
      </c>
      <c r="N9" s="14" t="str">
        <f>IF(M9=0,"",IF(AND(M9=CY9,$L9&lt;&gt;$CD$1),$CD$1,IF(AND(M9=BU9,$L9&lt;&gt;$AZ$1),$AZ$1,IF(AND(M9=AQ9,$L9&lt;&gt;$V$1),$V$1,""))))</f>
        <v>2019 Nationals</v>
      </c>
      <c r="O9" s="14">
        <f>MAX(AS9,AU9,AX9,BW9,BY9,CB9,DA9,DC9,DF9)</f>
        <v>54.430000000000007</v>
      </c>
      <c r="P9" s="14" t="str">
        <f>IF(O9=0,"",IF(OR(O9=DC9,O9=DA9,O9=DF9),$CD$1,IF(OR(O9=BY9,O9=BW9,O9=CB9),$AZ$1,IF(OR(O9=AU9,O9=AS9,O9=AX9),$V$1,""))))</f>
        <v>2021 1st Virtual Technical Trial</v>
      </c>
      <c r="Q9" s="14">
        <f>IF(COUNT(AS9,AU9,AX9,BW9,BY9,CB9,DA9,DC9,DF9)&gt;1,LARGE((AS9,AU9,AX9,BW9,BY9,CB9,DA9,DC9,DF9),2),0)</f>
        <v>52.080000000000005</v>
      </c>
      <c r="R9" s="14" t="str">
        <f>IF(Q9=0,"",IF(OR(Q9=DC9,Q9=DA9,Q9=DF9),$CD$1,IF(OR(Q9=BY9,Q9=BW9,Q9=CB9),$AZ$1,IF(OR(Q9=AU9,Q9=AS9,Q9=AX9),$V$1,""))))</f>
        <v>2021 1st Virtual Technical Trial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15.335000000000001</v>
      </c>
      <c r="W9" s="61">
        <v>17.399999999999999</v>
      </c>
      <c r="X9" s="61">
        <v>9.3000000000000007</v>
      </c>
      <c r="Y9" s="61">
        <v>3.2</v>
      </c>
      <c r="Z9" s="61">
        <v>0</v>
      </c>
      <c r="AA9" s="61">
        <v>10.7</v>
      </c>
      <c r="AB9" s="61">
        <v>6.2</v>
      </c>
      <c r="AC9" s="61">
        <v>8.3000000000000007</v>
      </c>
      <c r="AD9" s="61">
        <v>10.215</v>
      </c>
      <c r="AE9" s="61">
        <v>0</v>
      </c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>
        <f>IF(SUM(V9:Y9)-Z9&gt;0,SUM(V9:Y9)-Z9,"")</f>
        <v>45.234999999999999</v>
      </c>
      <c r="AR9" s="11">
        <f>IF(AC9&gt;0,AC9,"")</f>
        <v>8.3000000000000007</v>
      </c>
      <c r="AS9" s="11">
        <f>IF(SUM(AA9:AD9)-AE9&gt;0,SUM(AA9:AD9)-AE9,"")</f>
        <v>35.414999999999999</v>
      </c>
      <c r="AT9" s="11" t="str">
        <f>IF(AH9&gt;0,AH9,"")</f>
        <v/>
      </c>
      <c r="AU9" s="11" t="str">
        <f>IF(SUM(AF9:AI9)-AJ9&gt;0,SUM(AF9:AI9)-AJ9,"")</f>
        <v/>
      </c>
      <c r="AV9" s="11">
        <f>IF(AQ9="",IF(MAX(AS9,AU9)&gt;0,MAX(AS9,AU9),""),MAX(AS9,AU9)+AQ9)</f>
        <v>80.650000000000006</v>
      </c>
      <c r="AW9" s="11" t="str">
        <f>IF(AM9&gt;0,AM9,"")</f>
        <v/>
      </c>
      <c r="AX9" s="11" t="str">
        <f>IF(SUM(AK9:AN9)-AO9&gt;0,SUM(AK9:AN9)-AO9,"")</f>
        <v/>
      </c>
      <c r="AY9" s="11">
        <f>IF(SUM(AV9,AX9)&gt;0,SUM(AV9,AX9),"")</f>
        <v>80.650000000000006</v>
      </c>
      <c r="AZ9" s="67">
        <v>17.899999999999999</v>
      </c>
      <c r="BA9" s="67">
        <v>9.3000000000000007</v>
      </c>
      <c r="BB9" s="67">
        <v>3.4</v>
      </c>
      <c r="BC9" s="67">
        <v>15.78</v>
      </c>
      <c r="BD9" s="67">
        <v>0</v>
      </c>
      <c r="BE9" s="67">
        <v>14.4</v>
      </c>
      <c r="BF9" s="67">
        <v>9.3000000000000007</v>
      </c>
      <c r="BG9" s="67">
        <v>13.5</v>
      </c>
      <c r="BH9" s="67">
        <v>14.88</v>
      </c>
      <c r="BI9" s="67">
        <v>0</v>
      </c>
      <c r="BJ9" s="67">
        <v>16.2</v>
      </c>
      <c r="BK9" s="67">
        <v>9.5</v>
      </c>
      <c r="BL9" s="67">
        <v>13.5</v>
      </c>
      <c r="BM9" s="67">
        <v>15.23</v>
      </c>
      <c r="BN9" s="67">
        <v>0</v>
      </c>
      <c r="BO9" s="67">
        <v>14.3</v>
      </c>
      <c r="BP9" s="67">
        <v>8.8000000000000007</v>
      </c>
      <c r="BQ9" s="67">
        <v>13.3</v>
      </c>
      <c r="BR9" s="67">
        <v>14.555</v>
      </c>
      <c r="BS9" s="67">
        <v>0.4</v>
      </c>
      <c r="BT9" s="73"/>
      <c r="BU9" s="14">
        <f>IF(SUM(AZ9:BC9)-BD9&gt;0,SUM(AZ9:BC9)-BD9,"")</f>
        <v>46.379999999999995</v>
      </c>
      <c r="BV9" s="14">
        <f>IF(BG9&gt;0,BG9,"")</f>
        <v>13.5</v>
      </c>
      <c r="BW9" s="14">
        <f>IF(SUM(BE9:BH9)-BI9&gt;0,SUM(BE9:BH9)-BI9,"")</f>
        <v>52.080000000000005</v>
      </c>
      <c r="BX9" s="14">
        <f>IF(BL9&gt;0,BL9,"")</f>
        <v>13.5</v>
      </c>
      <c r="BY9" s="14">
        <f>IF(SUM(BJ9:BM9)-BN9&gt;0,SUM(BJ9:BM9)-BN9,"")</f>
        <v>54.430000000000007</v>
      </c>
      <c r="BZ9" s="14">
        <f>IF(BU9="",IF(MAX(BW9,BY9)&gt;0,MAX(BW9,BY9),""),MAX(BW9,BY9)+BU9)</f>
        <v>100.81</v>
      </c>
      <c r="CA9" s="14">
        <f>IF(BQ9&gt;0,BQ9,"")</f>
        <v>13.3</v>
      </c>
      <c r="CB9" s="14">
        <f>IF(SUM(BO9:BR9)-BS9&gt;0,SUM(BO9:BR9)-BS9,"")</f>
        <v>50.555000000000007</v>
      </c>
      <c r="CC9" s="14">
        <f>IF(SUM(BZ9,CB9)&gt;0,SUM(BZ9,CB9),"")</f>
        <v>151.36500000000001</v>
      </c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72"/>
      <c r="CY9" s="11" t="str">
        <f>IF(SUM(CD9:CG9)-CH9&gt;0,SUM(CD9:CG9)-CH9,"")</f>
        <v/>
      </c>
      <c r="CZ9" s="11" t="str">
        <f>IF(CK9&gt;0,CK9,"")</f>
        <v/>
      </c>
      <c r="DA9" s="11" t="str">
        <f>IF(SUM(CI9:CL9)-CM9&gt;0,SUM(CI9:CL9)-CM9,"")</f>
        <v/>
      </c>
      <c r="DB9" s="11" t="str">
        <f>IF(CP9&gt;0,CP9,"")</f>
        <v/>
      </c>
      <c r="DC9" s="11" t="str">
        <f>IF(SUM(CN9:CQ9)-CR9&gt;0,SUM(CN9:CQ9)-CR9,"")</f>
        <v/>
      </c>
      <c r="DD9" s="11" t="str">
        <f>IF(CY9="",IF(MAX(DA9,DC9)&gt;0,MAX(DA9,DC9),""),MAX(DA9,DC9)+CY9)</f>
        <v/>
      </c>
      <c r="DE9" s="11" t="str">
        <f>IF(CU9&gt;0,CU9,"")</f>
        <v/>
      </c>
      <c r="DF9" s="11" t="str">
        <f>IF(SUM(CS9:CV9)-CW9&gt;0,SUM(CS9:CV9)-CW9,"")</f>
        <v/>
      </c>
      <c r="DG9" s="11" t="str">
        <f>IF(SUM(DD9,DF9)&gt;0,SUM(DD9,DF9),"")</f>
        <v/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8.9499999999999993</v>
      </c>
      <c r="NQ9" s="61">
        <f>IF($CX9="P",CE9,(CE9+BA9)/2)</f>
        <v>4.6500000000000004</v>
      </c>
      <c r="NR9" s="61">
        <f>IF($CX9="P",CF9,(CF9+BB9)/2)</f>
        <v>1.7</v>
      </c>
      <c r="NS9" s="61">
        <f>IF($CX9="P",CG9,(CG9+BC9)/2)</f>
        <v>7.89</v>
      </c>
      <c r="NT9" s="61">
        <f>IF($CX9="P",CH9,(CH9+BD9)/2)</f>
        <v>0</v>
      </c>
      <c r="NU9" s="61">
        <f>IF($CX9="P",CI9,(CI9+BE9)/2)</f>
        <v>7.2</v>
      </c>
      <c r="NV9" s="61">
        <f>IF($CX9="P",CJ9,(CJ9+BF9)/2)</f>
        <v>4.6500000000000004</v>
      </c>
      <c r="NW9" s="61">
        <f>IF($CX9="P",CK9,(CK9+BG9)/2)</f>
        <v>6.75</v>
      </c>
      <c r="NX9" s="61">
        <f>IF($CX9="P",CL9,(CL9+BH9)/2)</f>
        <v>7.44</v>
      </c>
      <c r="NY9" s="61">
        <f>IF($CX9="P",CM9,(CM9+BI9)/2)</f>
        <v>0</v>
      </c>
      <c r="NZ9" s="61">
        <f>IF($CX9="P",CN9,(CN9+BJ9)/2)</f>
        <v>8.1</v>
      </c>
      <c r="OA9" s="61">
        <f>IF($CX9="P",CO9,(CO9+BK9)/2)</f>
        <v>4.75</v>
      </c>
      <c r="OB9" s="61">
        <f>IF($CX9="P",CP9,(CP9+BL9)/2)</f>
        <v>6.75</v>
      </c>
      <c r="OC9" s="61">
        <f>IF($CX9="P",CQ9,(CQ9+BM9)/2)</f>
        <v>7.6150000000000002</v>
      </c>
      <c r="OD9" s="61">
        <f>IF($CX9="P",CR9,(CR9+BN9)/2)</f>
        <v>0</v>
      </c>
      <c r="OE9" s="61">
        <f>IF($CX9="P",CS9,(CS9+BO9)/2)</f>
        <v>7.15</v>
      </c>
      <c r="OF9" s="61">
        <f>IF($CX9="P",CT9,(CT9+BP9)/2)</f>
        <v>4.4000000000000004</v>
      </c>
      <c r="OG9" s="61">
        <f>IF($CX9="P",CU9,(CU9+BQ9)/2)</f>
        <v>6.65</v>
      </c>
      <c r="OH9" s="61">
        <f>IF($CX9="P",CV9,(CV9+BR9)/2)</f>
        <v>7.2774999999999999</v>
      </c>
      <c r="OI9" s="61">
        <f>IF($CX9="P",CW9,(CW9+BS9)/2)</f>
        <v>0.2</v>
      </c>
      <c r="OJ9" s="72" t="s">
        <v>52</v>
      </c>
      <c r="OK9" s="11">
        <f>IF(SUM(NP9:NS9)-NT9&gt;0,SUM(NP9:NS9)-NT9,"")</f>
        <v>23.189999999999998</v>
      </c>
      <c r="OL9" s="11">
        <f>IF(NW9&gt;0,NW9,"")</f>
        <v>6.75</v>
      </c>
      <c r="OM9" s="11">
        <f>IF(SUM(NU9:NX9)-NY9&gt;0,SUM(NU9:NX9)-NY9,"")</f>
        <v>26.040000000000003</v>
      </c>
      <c r="ON9" s="11">
        <f>IF(OB9&gt;0,OB9,"")</f>
        <v>6.75</v>
      </c>
      <c r="OO9" s="11">
        <f>IF(SUM(NZ9:OC9)-OD9&gt;0,SUM(NZ9:OC9)-OD9,"")</f>
        <v>27.215000000000003</v>
      </c>
      <c r="OP9" s="11">
        <f>IF(OR(OK9&lt;&gt;"",OM9&lt;&gt;"",OO9&lt;&gt;""),OK9+MAX(OM9,OO9),"")</f>
        <v>50.405000000000001</v>
      </c>
      <c r="OQ9" s="11">
        <f>IF(OG9&gt;0,OG9,"")</f>
        <v>6.65</v>
      </c>
      <c r="OR9" s="11">
        <f t="shared" si="0"/>
        <v>25.277500000000003</v>
      </c>
      <c r="OS9" s="11">
        <f t="shared" si="1"/>
        <v>75.682500000000005</v>
      </c>
    </row>
    <row r="10" spans="1:409" x14ac:dyDescent="0.2">
      <c r="A10" s="5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>7</v>
      </c>
      <c r="B10" s="6" t="s">
        <v>80</v>
      </c>
      <c r="C10" s="7" t="s">
        <v>3</v>
      </c>
      <c r="D10" s="7">
        <v>2003</v>
      </c>
      <c r="E10" s="15">
        <f>SUM(O10:S10)</f>
        <v>105.715</v>
      </c>
      <c r="F10" s="3" t="str">
        <f>IF(G10&lt;&gt;"","P","")</f>
        <v>P</v>
      </c>
      <c r="G10" s="115" t="str">
        <f>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Merit",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Excellence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Worlds Team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National Team",""))))</f>
        <v>National Team</v>
      </c>
      <c r="H10" s="115" t="str">
        <f>IF(OR(AND(AS10&gt;=AY$28,AS10&lt;&gt;"",AP10=""),AND(AU10&gt;=AY$28,AU10&lt;&gt;"",AP10=""),AND(AX10&gt;=AY$28,AX10&lt;&gt;"",AP10=""),AND(BW10&gt;=CC$28,BW10&lt;&gt;"",BT10=""),AND(BY10&gt;=CC$28,BY10&lt;&gt;"",BT10=""),AND(CB10&gt;=CC$28,CB10&lt;&gt;"",BT10=""),AND(DA10&gt;=DG$28,DA10&lt;&gt;"",CX10=""),AND(DC10&gt;=DG$28,DC10&lt;&gt;"",CX10=""),AND(DF10&gt;=DG$28,DF10&lt;&gt;"",CX10=""),AND(EC10&gt;=EG$28,EC10&lt;&gt;""),AND(EF10&gt;=EG$28,EF10&lt;&gt;""),AND(EY10&gt;=FC$28,EY10&lt;&gt;""),AND(FB10&gt;=FC$28,FB10&lt;&gt;""),AND(FU10&gt;=FY$28,FU10&lt;&gt;""),AND(FX10&gt;=FY$28,FX10&lt;&gt;""),AND(GQ10&gt;=GU$28,GQ10&lt;&gt;""),AND(GT10&gt;=GU$28,GT10&lt;&gt;""),AND(HM10&gt;=HQ$28,HM10&lt;&gt;""),AND(HP10&gt;=HQ$28,HP10&lt;&gt;""),AND(II10&gt;=IM$28,II10&lt;&gt;""),AND(IL10&gt;=IM$28,IL10&lt;&gt;""),AND(JE10&gt;=JI$28,JE10&lt;&gt;""),AND(JH10&gt;=JI$28,JH10&lt;&gt;""),AND(KA10&gt;=KE$28,KA10&lt;&gt;""),AND(KD10&gt;=KE$28,KD10&lt;&gt;""),AND(KW10&gt;=LA$28,KW10&lt;&gt;""),AND(KZ10&gt;=LA$28,KZ10&lt;&gt;""),AND(LS10&gt;=LW$28,LS10&lt;&gt;""),AND(LV10&gt;=LW$28,LV10&lt;&gt;""),AND(MO10&gt;=MS$28,MO10&lt;&gt;""),AND(MR10&gt;=MS$28,MR10&lt;&gt;""),AND(NK10&gt;=NO$28,NK10&lt;&gt;""),AND(NN10&gt;=NO$28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$29,AV10&lt;&gt;"",AP10=""),AND(BZ10&gt;=CC$29,BZ10&lt;&gt;"",BT10=""),AND(DD10&gt;=DG$29,DD10&lt;&gt;"",CX10=""),AND(ED10&gt;=EG$29,ED10&lt;&gt;""),AND(EZ10&gt;=FC$29,EZ10&lt;&gt;""),AND(FV10&gt;=FY$29,FV10&lt;&gt;""),AND(GR10&gt;=GU$29,GR10&lt;&gt;""),AND(HN10&gt;=HQ$29,HN10&lt;&gt;""),AND(IJ10&gt;=IM$29,IJ10&lt;&gt;""),AND(JF10&gt;=JI$29,JF10&lt;&gt;""),AND(KB10&gt;=KE$29,KB10&lt;&gt;""),AND(KX10&gt;=LA$29,KX10&lt;&gt;""),AND(LT10&gt;=LW$29,LT10&lt;&gt;""),AND(MP10&gt;=MS$29,MP10&lt;&gt;""),AND(NL10&gt;=NO$29,NL10&lt;&gt;"")),OR(G10="Worlds Team",G10="Excellence",G10="Merit")),"P","")</f>
        <v/>
      </c>
      <c r="K10" s="14">
        <f>IF(MAX(AV10,BZ10,DD10)&gt;0,MAX(AV10,BZ10,DD10),0)</f>
        <v>100.485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47.539999999999992</v>
      </c>
      <c r="N10" s="14" t="str">
        <f>IF(M10=0,"",IF(AND(M10=CY10,$L10&lt;&gt;$CD$1),$CD$1,IF(AND(M10=BU10,$L10&lt;&gt;$AZ$1),$AZ$1,IF(AND(M10=AQ10,$L10&lt;&gt;$V$1),$V$1,""))))</f>
        <v>2021 1st Virtual Technical Trial</v>
      </c>
      <c r="O10" s="14">
        <f>MAX(AS10,AU10,AX10,BW10,BY10,CB10,DA10,DC10,DF10)</f>
        <v>53.075000000000003</v>
      </c>
      <c r="P10" s="14" t="str">
        <f>IF(O10=0,"",IF(OR(O10=DC10,O10=DA10,O10=DF10),$CD$1,IF(OR(O10=BY10,O10=BW10,O10=CB10),$AZ$1,IF(OR(O10=AU10,O10=AS10,O10=AX10),$V$1,""))))</f>
        <v>2021 2nd Virtual Technical Trial</v>
      </c>
      <c r="Q10" s="14">
        <f>IF(COUNT(AS10,AU10,AX10,BW10,BY10,CB10,DA10,DC10,DF10)&gt;1,LARGE((AS10,AU10,AX10,BW10,BY10,CB10,DA10,DC10,DF10),2),0)</f>
        <v>52.64</v>
      </c>
      <c r="R10" s="14" t="str">
        <f>IF(Q10=0,"",IF(OR(Q10=DC10,Q10=DA10,Q10=DF10),$CD$1,IF(OR(Q10=BY10,Q10=BW10,Q10=CB10),$AZ$1,IF(OR(Q10=AU10,Q10=AS10,Q10=AX10),$V$1,""))))</f>
        <v>2021 1st Virtual Technical Trial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17.7</v>
      </c>
      <c r="W10" s="61">
        <v>8.9</v>
      </c>
      <c r="X10" s="61">
        <v>3.9</v>
      </c>
      <c r="Y10" s="61">
        <v>15.935</v>
      </c>
      <c r="Z10" s="61">
        <v>0</v>
      </c>
      <c r="AA10" s="61">
        <v>13.7</v>
      </c>
      <c r="AB10" s="61">
        <v>8.6999999999999993</v>
      </c>
      <c r="AC10" s="61">
        <v>13.8</v>
      </c>
      <c r="AD10" s="61">
        <v>15.404999999999999</v>
      </c>
      <c r="AE10" s="61">
        <v>0</v>
      </c>
      <c r="AF10" s="61"/>
      <c r="AG10" s="61"/>
      <c r="AH10" s="61"/>
      <c r="AI10" s="61"/>
      <c r="AJ10" s="61"/>
      <c r="AK10" s="61">
        <v>5.44</v>
      </c>
      <c r="AL10" s="61">
        <v>3.5</v>
      </c>
      <c r="AM10" s="61">
        <v>6.1</v>
      </c>
      <c r="AN10" s="61">
        <v>6.1749999999999998</v>
      </c>
      <c r="AO10" s="61">
        <v>0</v>
      </c>
      <c r="AP10" s="72"/>
      <c r="AQ10" s="11">
        <f>IF(SUM(V10:Y10)-Z10&gt;0,SUM(V10:Y10)-Z10,"")</f>
        <v>46.435000000000002</v>
      </c>
      <c r="AR10" s="11">
        <f>IF(AC10&gt;0,AC10,"")</f>
        <v>13.8</v>
      </c>
      <c r="AS10" s="11">
        <f>IF(SUM(AA10:AD10)-AE10&gt;0,SUM(AA10:AD10)-AE10,"")</f>
        <v>51.605000000000004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98.04</v>
      </c>
      <c r="AW10" s="11">
        <f>IF(AM10&gt;0,AM10,"")</f>
        <v>6.1</v>
      </c>
      <c r="AX10" s="11">
        <f>IF(SUM(AK10:AN10)-AO10&gt;0,SUM(AK10:AN10)-AO10,"")</f>
        <v>21.215</v>
      </c>
      <c r="AY10" s="11">
        <f>IF(SUM(AV10,AX10)&gt;0,SUM(AV10,AX10),"")</f>
        <v>119.25500000000001</v>
      </c>
      <c r="AZ10" s="67">
        <v>17.7</v>
      </c>
      <c r="BA10" s="67">
        <v>9.6</v>
      </c>
      <c r="BB10" s="67">
        <v>3.9</v>
      </c>
      <c r="BC10" s="67">
        <v>16.34</v>
      </c>
      <c r="BD10" s="67">
        <v>0</v>
      </c>
      <c r="BE10" s="67">
        <v>14.3</v>
      </c>
      <c r="BF10" s="67">
        <v>8.9</v>
      </c>
      <c r="BG10" s="67">
        <v>13.6</v>
      </c>
      <c r="BH10" s="67">
        <v>14.59</v>
      </c>
      <c r="BI10" s="67">
        <v>0</v>
      </c>
      <c r="BJ10" s="67">
        <v>14.6</v>
      </c>
      <c r="BK10" s="67">
        <v>9.1</v>
      </c>
      <c r="BL10" s="67">
        <v>13.8</v>
      </c>
      <c r="BM10" s="67">
        <v>15.14</v>
      </c>
      <c r="BN10" s="67">
        <v>0</v>
      </c>
      <c r="BO10" s="67">
        <v>13</v>
      </c>
      <c r="BP10" s="67">
        <v>8.9</v>
      </c>
      <c r="BQ10" s="67">
        <v>13.8</v>
      </c>
      <c r="BR10" s="67">
        <v>14.96</v>
      </c>
      <c r="BS10" s="67">
        <v>0</v>
      </c>
      <c r="BT10" s="73"/>
      <c r="BU10" s="14">
        <f>IF(SUM(AZ10:BC10)-BD10&gt;0,SUM(AZ10:BC10)-BD10,"")</f>
        <v>47.539999999999992</v>
      </c>
      <c r="BV10" s="14">
        <f>IF(BG10&gt;0,BG10,"")</f>
        <v>13.6</v>
      </c>
      <c r="BW10" s="14">
        <f>IF(SUM(BE10:BH10)-BI10&gt;0,SUM(BE10:BH10)-BI10,"")</f>
        <v>51.39</v>
      </c>
      <c r="BX10" s="14">
        <f>IF(BL10&gt;0,BL10,"")</f>
        <v>13.8</v>
      </c>
      <c r="BY10" s="14">
        <f>IF(SUM(BJ10:BM10)-BN10&gt;0,SUM(BJ10:BM10)-BN10,"")</f>
        <v>52.64</v>
      </c>
      <c r="BZ10" s="14">
        <f>IF(BU10="",IF(MAX(BW10,BY10)&gt;0,MAX(BW10,BY10),""),MAX(BW10,BY10)+BU10)</f>
        <v>100.17999999999999</v>
      </c>
      <c r="CA10" s="14">
        <f>IF(BQ10&gt;0,BQ10,"")</f>
        <v>13.8</v>
      </c>
      <c r="CB10" s="14">
        <f>IF(SUM(BO10:BR10)-BS10&gt;0,SUM(BO10:BR10)-BS10,"")</f>
        <v>50.660000000000004</v>
      </c>
      <c r="CC10" s="14">
        <f>IF(SUM(BZ10,CB10)&gt;0,SUM(BZ10,CB10),"")</f>
        <v>150.84</v>
      </c>
      <c r="CD10" s="61">
        <v>16.899999999999999</v>
      </c>
      <c r="CE10" s="61">
        <v>9.1999999999999993</v>
      </c>
      <c r="CF10" s="61">
        <v>5.2</v>
      </c>
      <c r="CG10" s="61">
        <v>16.11</v>
      </c>
      <c r="CH10" s="61">
        <v>0</v>
      </c>
      <c r="CI10" s="61">
        <v>13.8</v>
      </c>
      <c r="CJ10" s="61">
        <v>9.1999999999999993</v>
      </c>
      <c r="CK10" s="61">
        <v>14.4</v>
      </c>
      <c r="CL10" s="61">
        <v>15.675000000000001</v>
      </c>
      <c r="CM10" s="61">
        <v>0</v>
      </c>
      <c r="CN10" s="61">
        <v>4</v>
      </c>
      <c r="CO10" s="61">
        <v>2.4</v>
      </c>
      <c r="CP10" s="61">
        <v>5.0999999999999996</v>
      </c>
      <c r="CQ10" s="61">
        <v>5</v>
      </c>
      <c r="CR10" s="61">
        <v>0</v>
      </c>
      <c r="CS10" s="61">
        <v>4</v>
      </c>
      <c r="CT10" s="61">
        <v>2.5</v>
      </c>
      <c r="CU10" s="61">
        <v>5.0999999999999996</v>
      </c>
      <c r="CV10" s="61">
        <v>4.8849999999999998</v>
      </c>
      <c r="CW10" s="61">
        <v>0</v>
      </c>
      <c r="CX10" s="72"/>
      <c r="CY10" s="11">
        <f>IF(SUM(CD10:CG10)-CH10&gt;0,SUM(CD10:CG10)-CH10,"")</f>
        <v>47.41</v>
      </c>
      <c r="CZ10" s="11">
        <f>IF(CK10&gt;0,CK10,"")</f>
        <v>14.4</v>
      </c>
      <c r="DA10" s="11">
        <f>IF(SUM(CI10:CL10)-CM10&gt;0,SUM(CI10:CL10)-CM10,"")</f>
        <v>53.075000000000003</v>
      </c>
      <c r="DB10" s="11">
        <f>IF(CP10&gt;0,CP10,"")</f>
        <v>5.0999999999999996</v>
      </c>
      <c r="DC10" s="11">
        <f>IF(SUM(CN10:CQ10)-CR10&gt;0,SUM(CN10:CQ10)-CR10,"")</f>
        <v>16.5</v>
      </c>
      <c r="DD10" s="11">
        <f>IF(CY10="",IF(MAX(DA10,DC10)&gt;0,MAX(DA10,DC10),""),MAX(DA10,DC10)+CY10)</f>
        <v>100.485</v>
      </c>
      <c r="DE10" s="11">
        <f>IF(CU10&gt;0,CU10,"")</f>
        <v>5.0999999999999996</v>
      </c>
      <c r="DF10" s="11">
        <f>IF(SUM(CS10:CV10)-CW10&gt;0,SUM(CS10:CV10)-CW10,"")</f>
        <v>16.484999999999999</v>
      </c>
      <c r="DG10" s="11">
        <f>IF(SUM(DD10,DF10)&gt;0,SUM(DD10,DF10),"")</f>
        <v>116.97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17.299999999999997</v>
      </c>
      <c r="NQ10" s="61">
        <f>IF($CX10="P",CE10,(CE10+BA10)/2)</f>
        <v>9.3999999999999986</v>
      </c>
      <c r="NR10" s="61">
        <f>IF($CX10="P",CF10,(CF10+BB10)/2)</f>
        <v>4.55</v>
      </c>
      <c r="NS10" s="61">
        <f>IF($CX10="P",CG10,(CG10+BC10)/2)</f>
        <v>16.225000000000001</v>
      </c>
      <c r="NT10" s="61">
        <f>IF($CX10="P",CH10,(CH10+BD10)/2)</f>
        <v>0</v>
      </c>
      <c r="NU10" s="61">
        <f>IF($CX10="P",CI10,(CI10+BE10)/2)</f>
        <v>14.05</v>
      </c>
      <c r="NV10" s="61">
        <f>IF($CX10="P",CJ10,(CJ10+BF10)/2)</f>
        <v>9.0500000000000007</v>
      </c>
      <c r="NW10" s="61">
        <f>IF($CX10="P",CK10,(CK10+BG10)/2)</f>
        <v>14</v>
      </c>
      <c r="NX10" s="61">
        <f>IF($CX10="P",CL10,(CL10+BH10)/2)</f>
        <v>15.1325</v>
      </c>
      <c r="NY10" s="61">
        <f>IF($CX10="P",CM10,(CM10+BI10)/2)</f>
        <v>0</v>
      </c>
      <c r="NZ10" s="61">
        <f>IF($CX10="P",CN10,(CN10+BJ10)/2)</f>
        <v>9.3000000000000007</v>
      </c>
      <c r="OA10" s="61">
        <f>IF($CX10="P",CO10,(CO10+BK10)/2)</f>
        <v>5.75</v>
      </c>
      <c r="OB10" s="61">
        <f>IF($CX10="P",CP10,(CP10+BL10)/2)</f>
        <v>9.4499999999999993</v>
      </c>
      <c r="OC10" s="61">
        <f>IF($CX10="P",CQ10,(CQ10+BM10)/2)</f>
        <v>10.07</v>
      </c>
      <c r="OD10" s="61">
        <f>IF($CX10="P",CR10,(CR10+BN10)/2)</f>
        <v>0</v>
      </c>
      <c r="OE10" s="61">
        <f>IF($CX10="P",CS10,(CS10+BO10)/2)</f>
        <v>8.5</v>
      </c>
      <c r="OF10" s="61">
        <f>IF($CX10="P",CT10,(CT10+BP10)/2)</f>
        <v>5.7</v>
      </c>
      <c r="OG10" s="61">
        <f>IF($CX10="P",CU10,(CU10+BQ10)/2)</f>
        <v>9.4499999999999993</v>
      </c>
      <c r="OH10" s="61">
        <f>IF($CX10="P",CV10,(CV10+BR10)/2)</f>
        <v>9.9224999999999994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47.474999999999994</v>
      </c>
      <c r="OL10" s="11">
        <f>IF(NW10&gt;0,NW10,"")</f>
        <v>14</v>
      </c>
      <c r="OM10" s="11">
        <f>IF(SUM(NU10:NX10)-NY10&gt;0,SUM(NU10:NX10)-NY10,"")</f>
        <v>52.232500000000002</v>
      </c>
      <c r="ON10" s="11">
        <f>IF(OB10&gt;0,OB10,"")</f>
        <v>9.4499999999999993</v>
      </c>
      <c r="OO10" s="11">
        <f>IF(SUM(NZ10:OC10)-OD10&gt;0,SUM(NZ10:OC10)-OD10,"")</f>
        <v>34.57</v>
      </c>
      <c r="OP10" s="11">
        <f>IF(OR(OK10&lt;&gt;"",OM10&lt;&gt;"",OO10&lt;&gt;""),OK10+MAX(OM10,OO10),"")</f>
        <v>99.707499999999996</v>
      </c>
      <c r="OQ10" s="11">
        <f>IF(OG10&gt;0,OG10,"")</f>
        <v>9.4499999999999993</v>
      </c>
      <c r="OR10" s="11">
        <f t="shared" si="0"/>
        <v>33.572499999999998</v>
      </c>
      <c r="OS10" s="11">
        <f t="shared" si="1"/>
        <v>133.28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8</v>
      </c>
      <c r="B11" s="8" t="s">
        <v>70</v>
      </c>
      <c r="C11" s="4" t="s">
        <v>3</v>
      </c>
      <c r="D11" s="5">
        <v>2003</v>
      </c>
      <c r="E11" s="15">
        <f>SUM(O11:S11)</f>
        <v>105.435</v>
      </c>
      <c r="F11" s="3" t="str">
        <f>IF(G11&lt;&gt;"","P","")</f>
        <v>P</v>
      </c>
      <c r="G11" s="115" t="str">
        <f>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Merit",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Excellence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Worlds Team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National Team",""))))</f>
        <v>National Team</v>
      </c>
      <c r="H11" s="115" t="str">
        <f>IF(OR(AND(AS11&gt;=AY$28,AS11&lt;&gt;"",AP11=""),AND(AU11&gt;=AY$28,AU11&lt;&gt;"",AP11=""),AND(AX11&gt;=AY$28,AX11&lt;&gt;"",AP11=""),AND(BW11&gt;=CC$28,BW11&lt;&gt;"",BT11=""),AND(BY11&gt;=CC$28,BY11&lt;&gt;"",BT11=""),AND(CB11&gt;=CC$28,CB11&lt;&gt;"",BT11=""),AND(DA11&gt;=DG$28,DA11&lt;&gt;"",CX11=""),AND(DC11&gt;=DG$28,DC11&lt;&gt;"",CX11=""),AND(DF11&gt;=DG$28,DF11&lt;&gt;"",CX11=""),AND(EC11&gt;=EG$28,EC11&lt;&gt;""),AND(EF11&gt;=EG$28,EF11&lt;&gt;""),AND(EY11&gt;=FC$28,EY11&lt;&gt;""),AND(FB11&gt;=FC$28,FB11&lt;&gt;""),AND(FU11&gt;=FY$28,FU11&lt;&gt;""),AND(FX11&gt;=FY$28,FX11&lt;&gt;""),AND(GQ11&gt;=GU$28,GQ11&lt;&gt;""),AND(GT11&gt;=GU$28,GT11&lt;&gt;""),AND(HM11&gt;=HQ$28,HM11&lt;&gt;""),AND(HP11&gt;=HQ$28,HP11&lt;&gt;""),AND(II11&gt;=IM$28,II11&lt;&gt;""),AND(IL11&gt;=IM$28,IL11&lt;&gt;""),AND(JE11&gt;=JI$28,JE11&lt;&gt;""),AND(JH11&gt;=JI$28,JH11&lt;&gt;""),AND(KA11&gt;=KE$28,KA11&lt;&gt;""),AND(KD11&gt;=KE$28,KD11&lt;&gt;""),AND(KW11&gt;=LA$28,KW11&lt;&gt;""),AND(KZ11&gt;=LA$28,KZ11&lt;&gt;""),AND(LS11&gt;=LW$28,LS11&lt;&gt;""),AND(LV11&gt;=LW$28,LV11&lt;&gt;""),AND(MO11&gt;=MS$28,MO11&lt;&gt;""),AND(MR11&gt;=MS$28,MR11&lt;&gt;""),AND(NK11&gt;=NO$28,NK11&lt;&gt;""),AND(NN11&gt;=NO$28,NN11&lt;&gt;"")),"National Team","")</f>
        <v>National Team</v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$29,AV11&lt;&gt;"",AP11=""),AND(BZ11&gt;=CC$29,BZ11&lt;&gt;"",BT11=""),AND(DD11&gt;=DG$29,DD11&lt;&gt;"",CX11=""),AND(ED11&gt;=EG$29,ED11&lt;&gt;""),AND(EZ11&gt;=FC$29,EZ11&lt;&gt;""),AND(FV11&gt;=FY$29,FV11&lt;&gt;""),AND(GR11&gt;=GU$29,GR11&lt;&gt;""),AND(HN11&gt;=HQ$29,HN11&lt;&gt;""),AND(IJ11&gt;=IM$29,IJ11&lt;&gt;""),AND(JF11&gt;=JI$29,JF11&lt;&gt;""),AND(KB11&gt;=KE$29,KB11&lt;&gt;""),AND(KX11&gt;=LA$29,KX11&lt;&gt;""),AND(LT11&gt;=LW$29,LT11&lt;&gt;""),AND(MP11&gt;=MS$29,MP11&lt;&gt;""),AND(NL11&gt;=NO$29,NL11&lt;&gt;"")),OR(G11="Worlds Team",G11="Excellence",G11="Merit")),"P","")</f>
        <v/>
      </c>
      <c r="K11" s="14">
        <f>IF(MAX(AV11,BZ11,DD11)&gt;0,MAX(AV11,BZ11,DD11),0)</f>
        <v>99.490000000000009</v>
      </c>
      <c r="L11" s="14" t="str">
        <f>IF(K11=0,"",IF(K11=DD11,$CD$1,IF(K11=BZ11,$AZ$1,IF(K11=AV11,$V$1,""))))</f>
        <v>2021 1st Virtual Technical Trial</v>
      </c>
      <c r="M11" s="14">
        <f>IF($K11=$AV11,MAX(BU11,CY11),IF($K11=$BZ11,MAX(AQ11,CY11),IF($K11=$DD11,MAX(AQ11,BU11),MAX(AQ11,BU11,CY11))))</f>
        <v>46.39</v>
      </c>
      <c r="N11" s="14" t="str">
        <f>IF(M11=0,"",IF(AND(M11=CY11,$L11&lt;&gt;$CD$1),$CD$1,IF(AND(M11=BU11,$L11&lt;&gt;$AZ$1),$AZ$1,IF(AND(M11=AQ11,$L11&lt;&gt;$V$1),$V$1,""))))</f>
        <v>2019 Nationals</v>
      </c>
      <c r="O11" s="14">
        <f>MAX(AS11,AU11,AX11,BW11,BY11,CB11,DA11,DC11,DF11)</f>
        <v>52.825000000000003</v>
      </c>
      <c r="P11" s="14" t="str">
        <f>IF(O11=0,"",IF(OR(O11=DC11,O11=DA11,O11=DF11),$CD$1,IF(OR(O11=BY11,O11=BW11,O11=CB11),$AZ$1,IF(OR(O11=AU11,O11=AS11,O11=AX11),$V$1,""))))</f>
        <v>2019 Nationals</v>
      </c>
      <c r="Q11" s="14">
        <f>IF(COUNT(AS11,AU11,AX11,BW11,BY11,CB11,DA11,DC11,DF11)&gt;1,LARGE((AS11,AU11,AX11,BW11,BY11,CB11,DA11,DC11,DF11),2),0)</f>
        <v>52.610000000000007</v>
      </c>
      <c r="R11" s="14" t="str">
        <f>IF(Q11=0,"",IF(OR(Q11=DC11,Q11=DA11,Q11=DF11),$CD$1,IF(OR(Q11=BY11,Q11=BW11,Q11=CB11),$AZ$1,IF(OR(Q11=AU11,Q11=AS11,Q11=AX11),$V$1,""))))</f>
        <v>2021 1st Virtual Technical Trial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17.100000000000001</v>
      </c>
      <c r="W11" s="61">
        <v>9.5</v>
      </c>
      <c r="X11" s="61">
        <v>3.9</v>
      </c>
      <c r="Y11" s="61">
        <v>15.89</v>
      </c>
      <c r="Z11" s="61">
        <v>0</v>
      </c>
      <c r="AA11" s="61">
        <v>13.7</v>
      </c>
      <c r="AB11" s="61">
        <v>9.3000000000000007</v>
      </c>
      <c r="AC11" s="61">
        <v>13.5</v>
      </c>
      <c r="AD11" s="61">
        <v>14.85</v>
      </c>
      <c r="AE11" s="61">
        <v>0</v>
      </c>
      <c r="AF11" s="61"/>
      <c r="AG11" s="61"/>
      <c r="AH11" s="61"/>
      <c r="AI11" s="61"/>
      <c r="AJ11" s="61"/>
      <c r="AK11" s="61">
        <v>14.36</v>
      </c>
      <c r="AL11" s="61">
        <v>9.5</v>
      </c>
      <c r="AM11" s="61">
        <v>13.7</v>
      </c>
      <c r="AN11" s="61">
        <v>15.265000000000001</v>
      </c>
      <c r="AO11" s="61">
        <v>0</v>
      </c>
      <c r="AP11" s="72"/>
      <c r="AQ11" s="11">
        <f>IF(SUM(V11:Y11)-Z11&gt;0,SUM(V11:Y11)-Z11,"")</f>
        <v>46.39</v>
      </c>
      <c r="AR11" s="11">
        <f>IF(AC11&gt;0,AC11,"")</f>
        <v>13.5</v>
      </c>
      <c r="AS11" s="11">
        <f>IF(SUM(AA11:AD11)-AE11&gt;0,SUM(AA11:AD11)-AE11,"")</f>
        <v>51.35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97.740000000000009</v>
      </c>
      <c r="AW11" s="11">
        <f>IF(AM11&gt;0,AM11,"")</f>
        <v>13.7</v>
      </c>
      <c r="AX11" s="11">
        <f>IF(SUM(AK11:AN11)-AO11&gt;0,SUM(AK11:AN11)-AO11,"")</f>
        <v>52.825000000000003</v>
      </c>
      <c r="AY11" s="11">
        <f>IF(SUM(AV11,AX11)&gt;0,SUM(AV11,AX11),"")</f>
        <v>150.565</v>
      </c>
      <c r="AZ11" s="67">
        <v>16.600000000000001</v>
      </c>
      <c r="BA11" s="67">
        <v>9.1999999999999993</v>
      </c>
      <c r="BB11" s="67">
        <v>5.6</v>
      </c>
      <c r="BC11" s="67">
        <v>15.48</v>
      </c>
      <c r="BD11" s="67">
        <v>0</v>
      </c>
      <c r="BE11" s="67">
        <v>14.8</v>
      </c>
      <c r="BF11" s="67">
        <v>9.15</v>
      </c>
      <c r="BG11" s="67">
        <v>13.7</v>
      </c>
      <c r="BH11" s="67">
        <v>14.96</v>
      </c>
      <c r="BI11" s="67">
        <v>0</v>
      </c>
      <c r="BJ11" s="67">
        <v>0</v>
      </c>
      <c r="BK11" s="67">
        <v>0</v>
      </c>
      <c r="BL11" s="67">
        <v>0</v>
      </c>
      <c r="BM11" s="67">
        <v>0</v>
      </c>
      <c r="BN11" s="67">
        <v>0</v>
      </c>
      <c r="BO11" s="67">
        <v>0</v>
      </c>
      <c r="BP11" s="67">
        <v>0</v>
      </c>
      <c r="BQ11" s="67">
        <v>0</v>
      </c>
      <c r="BR11" s="67">
        <v>0</v>
      </c>
      <c r="BS11" s="67">
        <v>0</v>
      </c>
      <c r="BT11" s="73"/>
      <c r="BU11" s="14">
        <f>IF(SUM(AZ11:BC11)-BD11&gt;0,SUM(AZ11:BC11)-BD11,"")</f>
        <v>46.879999999999995</v>
      </c>
      <c r="BV11" s="14">
        <f>IF(BG11&gt;0,BG11,"")</f>
        <v>13.7</v>
      </c>
      <c r="BW11" s="14">
        <f>IF(SUM(BE11:BH11)-BI11&gt;0,SUM(BE11:BH11)-BI11,"")</f>
        <v>52.610000000000007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99.490000000000009</v>
      </c>
      <c r="CA11" s="14" t="str">
        <f>IF(BQ11&gt;0,BQ11,"")</f>
        <v/>
      </c>
      <c r="CB11" s="14" t="str">
        <f>IF(SUM(BO11:BR11)-BS11&gt;0,SUM(BO11:BR11)-BS11,"")</f>
        <v/>
      </c>
      <c r="CC11" s="14">
        <f>IF(SUM(BZ11,CB11)&gt;0,SUM(BZ11,CB11),"")</f>
        <v>99.490000000000009</v>
      </c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72"/>
      <c r="CY11" s="11" t="str">
        <f>IF(SUM(CD11:CG11)-CH11&gt;0,SUM(CD11:CG11)-CH11,"")</f>
        <v/>
      </c>
      <c r="CZ11" s="11" t="str">
        <f>IF(CK11&gt;0,CK11,"")</f>
        <v/>
      </c>
      <c r="DA11" s="11" t="str">
        <f>IF(SUM(CI11:CL11)-CM11&gt;0,SUM(CI11:CL11)-CM11,"")</f>
        <v/>
      </c>
      <c r="DB11" s="11" t="str">
        <f>IF(CP11&gt;0,CP11,"")</f>
        <v/>
      </c>
      <c r="DC11" s="11" t="str">
        <f>IF(SUM(CN11:CQ11)-CR11&gt;0,SUM(CN11:CQ11)-CR11,"")</f>
        <v/>
      </c>
      <c r="DD11" s="11" t="str">
        <f>IF(CY11="",IF(MAX(DA11,DC11)&gt;0,MAX(DA11,DC11),""),MAX(DA11,DC11)+CY11)</f>
        <v/>
      </c>
      <c r="DE11" s="11" t="str">
        <f>IF(CU11&gt;0,CU11,"")</f>
        <v/>
      </c>
      <c r="DF11" s="11" t="str">
        <f>IF(SUM(CS11:CV11)-CW11&gt;0,SUM(CS11:CV11)-CW11,"")</f>
        <v/>
      </c>
      <c r="DG11" s="11" t="str">
        <f>IF(SUM(DD11,DF11)&gt;0,SUM(DD11,DF11),"")</f>
        <v/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100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8.3000000000000007</v>
      </c>
      <c r="NQ11" s="61">
        <f>IF($CX11="P",CE11,(CE11+BA11)/2)</f>
        <v>4.5999999999999996</v>
      </c>
      <c r="NR11" s="61">
        <f>IF($CX11="P",CF11,(CF11+BB11)/2)</f>
        <v>2.8</v>
      </c>
      <c r="NS11" s="61">
        <f>IF($CX11="P",CG11,(CG11+BC11)/2)</f>
        <v>7.74</v>
      </c>
      <c r="NT11" s="61">
        <f>IF($CX11="P",CH11,(CH11+BD11)/2)</f>
        <v>0</v>
      </c>
      <c r="NU11" s="61">
        <f>IF($CX11="P",CI11,(CI11+BE11)/2)</f>
        <v>7.4</v>
      </c>
      <c r="NV11" s="61">
        <f>IF($CX11="P",CJ11,(CJ11+BF11)/2)</f>
        <v>4.5750000000000002</v>
      </c>
      <c r="NW11" s="61">
        <f>IF($CX11="P",CK11,(CK11+BG11)/2)</f>
        <v>6.85</v>
      </c>
      <c r="NX11" s="61">
        <f>IF($CX11="P",CL11,(CL11+BH11)/2)</f>
        <v>7.48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0</v>
      </c>
      <c r="OF11" s="61">
        <f>IF($CX11="P",CT11,(CT11+BP11)/2)</f>
        <v>0</v>
      </c>
      <c r="OG11" s="61">
        <f>IF($CX11="P",CU11,(CU11+BQ11)/2)</f>
        <v>0</v>
      </c>
      <c r="OH11" s="61">
        <f>IF($CX11="P",CV11,(CV11+BR11)/2)</f>
        <v>0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23.439999999999998</v>
      </c>
      <c r="OL11" s="11">
        <f>IF(NW11&gt;0,NW11,"")</f>
        <v>6.85</v>
      </c>
      <c r="OM11" s="11">
        <f>IF(SUM(NU11:NX11)-NY11&gt;0,SUM(NU11:NX11)-NY11,"")</f>
        <v>26.305000000000003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49.745000000000005</v>
      </c>
      <c r="OQ11" s="11" t="str">
        <f>IF(OG11&gt;0,OG11,"")</f>
        <v/>
      </c>
      <c r="OR11" s="11" t="str">
        <f t="shared" si="0"/>
        <v/>
      </c>
      <c r="OS11" s="11">
        <f t="shared" si="1"/>
        <v>49.745000000000005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141</v>
      </c>
      <c r="C12" s="7" t="s">
        <v>5</v>
      </c>
      <c r="D12" s="26">
        <v>2001</v>
      </c>
      <c r="E12" s="15">
        <f>SUM(O12:S12)</f>
        <v>104.46000000000001</v>
      </c>
      <c r="F12" s="3" t="str">
        <f>IF(G12&lt;&gt;"","P","")</f>
        <v>P</v>
      </c>
      <c r="G12" s="115" t="str">
        <f>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Merit",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Excellence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Worlds Team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National Team",""))))</f>
        <v>National Team</v>
      </c>
      <c r="H12" s="115" t="str">
        <f>IF(OR(AND(AS12&gt;=AY$28,AS12&lt;&gt;"",AP12=""),AND(AU12&gt;=AY$28,AU12&lt;&gt;"",AP12=""),AND(AX12&gt;=AY$28,AX12&lt;&gt;"",AP12=""),AND(BW12&gt;=CC$28,BW12&lt;&gt;"",BT12=""),AND(BY12&gt;=CC$28,BY12&lt;&gt;"",BT12=""),AND(CB12&gt;=CC$28,CB12&lt;&gt;"",BT12=""),AND(DA12&gt;=DG$28,DA12&lt;&gt;"",CX12=""),AND(DC12&gt;=DG$28,DC12&lt;&gt;"",CX12=""),AND(DF12&gt;=DG$28,DF12&lt;&gt;"",CX12=""),AND(EC12&gt;=EG$28,EC12&lt;&gt;""),AND(EF12&gt;=EG$28,EF12&lt;&gt;""),AND(EY12&gt;=FC$28,EY12&lt;&gt;""),AND(FB12&gt;=FC$28,FB12&lt;&gt;""),AND(FU12&gt;=FY$28,FU12&lt;&gt;""),AND(FX12&gt;=FY$28,FX12&lt;&gt;""),AND(GQ12&gt;=GU$28,GQ12&lt;&gt;""),AND(GT12&gt;=GU$28,GT12&lt;&gt;""),AND(HM12&gt;=HQ$28,HM12&lt;&gt;""),AND(HP12&gt;=HQ$28,HP12&lt;&gt;""),AND(II12&gt;=IM$28,II12&lt;&gt;""),AND(IL12&gt;=IM$28,IL12&lt;&gt;""),AND(JE12&gt;=JI$28,JE12&lt;&gt;""),AND(JH12&gt;=JI$28,JH12&lt;&gt;""),AND(KA12&gt;=KE$28,KA12&lt;&gt;""),AND(KD12&gt;=KE$28,KD12&lt;&gt;""),AND(KW12&gt;=LA$28,KW12&lt;&gt;""),AND(KZ12&gt;=LA$28,KZ12&lt;&gt;""),AND(LS12&gt;=LW$28,LS12&lt;&gt;""),AND(LV12&gt;=LW$28,LV12&lt;&gt;""),AND(MO12&gt;=MS$28,MO12&lt;&gt;""),AND(MR12&gt;=MS$28,MR12&lt;&gt;""),AND(NK12&gt;=NO$28,NK12&lt;&gt;""),AND(NN12&gt;=NO$28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$29,AV12&lt;&gt;"",AP12=""),AND(BZ12&gt;=CC$29,BZ12&lt;&gt;"",BT12=""),AND(DD12&gt;=DG$29,DD12&lt;&gt;"",CX12=""),AND(ED12&gt;=EG$29,ED12&lt;&gt;""),AND(EZ12&gt;=FC$29,EZ12&lt;&gt;""),AND(FV12&gt;=FY$29,FV12&lt;&gt;""),AND(GR12&gt;=GU$29,GR12&lt;&gt;""),AND(HN12&gt;=HQ$29,HN12&lt;&gt;""),AND(IJ12&gt;=IM$29,IJ12&lt;&gt;""),AND(JF12&gt;=JI$29,JF12&lt;&gt;""),AND(KB12&gt;=KE$29,KB12&lt;&gt;""),AND(KX12&gt;=LA$29,KX12&lt;&gt;""),AND(LT12&gt;=LW$29,LT12&lt;&gt;""),AND(MP12&gt;=MS$29,MP12&lt;&gt;""),AND(NL12&gt;=NO$29,NL12&lt;&gt;"")),OR(G12="Worlds Team",G12="Excellence",G12="Merit")),"P","")</f>
        <v/>
      </c>
      <c r="K12" s="14">
        <f>IF(MAX(AV12,BZ12,DD12)&gt;0,MAX(AV12,BZ12,DD12),0)</f>
        <v>89.94</v>
      </c>
      <c r="L12" s="14" t="str">
        <f>IF(K12=0,"",IF(K12=DD12,$CD$1,IF(K12=BZ12,$AZ$1,IF(K12=AV12,$V$1,""))))</f>
        <v>2021 2nd Virtual Technical Trial</v>
      </c>
      <c r="M12" s="14">
        <f>IF($K12=$AV12,MAX(BU12,CY12),IF($K12=$BZ12,MAX(AQ12,CY12),IF($K12=$DD12,MAX(AQ12,BU12),MAX(AQ12,BU12,CY12))))</f>
        <v>0</v>
      </c>
      <c r="N12" s="14" t="str">
        <f>IF(M12=0,"",IF(AND(M12=CY12,$L12&lt;&gt;$CD$1),$CD$1,IF(AND(M12=BU12,$L12&lt;&gt;$AZ$1),$AZ$1,IF(AND(M12=AQ12,$L12&lt;&gt;$V$1),$V$1,""))))</f>
        <v/>
      </c>
      <c r="O12" s="14">
        <f>MAX(AS12,AU12,AX12,BW12,BY12,CB12,DA12,DC12,DF12)</f>
        <v>52.29</v>
      </c>
      <c r="P12" s="14" t="str">
        <f>IF(O12=0,"",IF(OR(O12=DC12,O12=DA12,O12=DF12),$CD$1,IF(OR(O12=BY12,O12=BW12,O12=CB12),$AZ$1,IF(OR(O12=AU12,O12=AS12,O12=AX12),$V$1,""))))</f>
        <v>2021 2nd Virtual Technical Trial</v>
      </c>
      <c r="Q12" s="14">
        <f>IF(COUNT(AS12,AU12,AX12,BW12,BY12,CB12,DA12,DC12,DF12)&gt;1,LARGE((AS12,AU12,AX12,BW12,BY12,CB12,DA12,DC12,DF12),2),0)</f>
        <v>52.17</v>
      </c>
      <c r="R12" s="14" t="str">
        <f>IF(Q12=0,"",IF(OR(Q12=DC12,Q12=DA12,Q12=DF12),$CD$1,IF(OR(Q12=BY12,Q12=BW12,Q12=CB12),$AZ$1,IF(OR(Q12=AU12,Q12=AS12,Q12=AX12),$V$1,""))))</f>
        <v>2021 2nd Virtual Technical Trial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72"/>
      <c r="AQ12" s="11" t="str">
        <f>IF(SUM(V12:Y12)-Z12&gt;0,SUM(V12:Y12)-Z12,"")</f>
        <v/>
      </c>
      <c r="AR12" s="11" t="str">
        <f>IF(AC12&gt;0,AC12,"")</f>
        <v/>
      </c>
      <c r="AS12" s="11" t="str">
        <f>IF(SUM(AA12:AD12)-AE12&gt;0,SUM(AA12:AD12)-AE12,"")</f>
        <v/>
      </c>
      <c r="AT12" s="11" t="str">
        <f>IF(AH12&gt;0,AH12,"")</f>
        <v/>
      </c>
      <c r="AU12" s="11" t="str">
        <f>IF(SUM(AF12:AI12)-AJ12&gt;0,SUM(AF12:AI12)-AJ12,"")</f>
        <v/>
      </c>
      <c r="AV12" s="11" t="str">
        <f>IF(AQ12="",IF(MAX(AS12,AU12)&gt;0,MAX(AS12,AU12),""),MAX(AS12,AU12)+AQ12)</f>
        <v/>
      </c>
      <c r="AW12" s="11" t="str">
        <f>IF(AM12&gt;0,AM12,"")</f>
        <v/>
      </c>
      <c r="AX12" s="11" t="str">
        <f>IF(SUM(AK12:AN12)-AO12&gt;0,SUM(AK12:AN12)-AO12,"")</f>
        <v/>
      </c>
      <c r="AY12" s="11" t="str">
        <f>IF(SUM(AV12,AX12)&gt;0,SUM(AV12,AX12),"")</f>
        <v/>
      </c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73"/>
      <c r="BU12" s="14" t="str">
        <f>IF(SUM(AZ12:BC12)-BD12&gt;0,SUM(AZ12:BC12)-BD12,"")</f>
        <v/>
      </c>
      <c r="BV12" s="14" t="str">
        <f>IF(BG12&gt;0,BG12,"")</f>
        <v/>
      </c>
      <c r="BW12" s="14" t="str">
        <f>IF(SUM(BE12:BH12)-BI12&gt;0,SUM(BE12:BH12)-BI12,"")</f>
        <v/>
      </c>
      <c r="BX12" s="14" t="str">
        <f>IF(BL12&gt;0,BL12,"")</f>
        <v/>
      </c>
      <c r="BY12" s="14" t="str">
        <f>IF(SUM(BJ12:BM12)-BN12&gt;0,SUM(BJ12:BM12)-BN12,"")</f>
        <v/>
      </c>
      <c r="BZ12" s="14" t="str">
        <f>IF(BU12="",IF(MAX(BW12,BY12)&gt;0,MAX(BW12,BY12),""),MAX(BW12,BY12)+BU12)</f>
        <v/>
      </c>
      <c r="CA12" s="14" t="str">
        <f>IF(BQ12&gt;0,BQ12,"")</f>
        <v/>
      </c>
      <c r="CB12" s="14" t="str">
        <f>IF(SUM(BO12:BR12)-BS12&gt;0,SUM(BO12:BR12)-BS12,"")</f>
        <v/>
      </c>
      <c r="CC12" s="14" t="str">
        <f>IF(SUM(BZ12,CB12)&gt;0,SUM(BZ12,CB12),"")</f>
        <v/>
      </c>
      <c r="CD12" s="61">
        <v>14.6</v>
      </c>
      <c r="CE12" s="61">
        <v>8.3000000000000007</v>
      </c>
      <c r="CF12" s="61">
        <v>1.7</v>
      </c>
      <c r="CG12" s="61">
        <v>15.17</v>
      </c>
      <c r="CH12" s="61">
        <v>2</v>
      </c>
      <c r="CI12" s="61">
        <v>12.9</v>
      </c>
      <c r="CJ12" s="61">
        <v>9.4</v>
      </c>
      <c r="CK12" s="61">
        <v>13.8</v>
      </c>
      <c r="CL12" s="61">
        <v>16.07</v>
      </c>
      <c r="CM12" s="61">
        <v>0</v>
      </c>
      <c r="CN12" s="61">
        <v>2.2999999999999998</v>
      </c>
      <c r="CO12" s="61">
        <v>1.6</v>
      </c>
      <c r="CP12" s="61">
        <v>3.2</v>
      </c>
      <c r="CQ12" s="61">
        <v>3.5649999999999999</v>
      </c>
      <c r="CR12" s="61">
        <v>0</v>
      </c>
      <c r="CS12" s="61">
        <v>13.5</v>
      </c>
      <c r="CT12" s="61">
        <v>9.1999999999999993</v>
      </c>
      <c r="CU12" s="61">
        <v>13.8</v>
      </c>
      <c r="CV12" s="61">
        <v>15.79</v>
      </c>
      <c r="CW12" s="61">
        <v>0</v>
      </c>
      <c r="CX12" s="72"/>
      <c r="CY12" s="11">
        <f>IF(SUM(CD12:CG12)-CH12&gt;0,SUM(CD12:CG12)-CH12,"")</f>
        <v>37.769999999999996</v>
      </c>
      <c r="CZ12" s="11">
        <f>IF(CK12&gt;0,CK12,"")</f>
        <v>13.8</v>
      </c>
      <c r="DA12" s="11">
        <f>IF(SUM(CI12:CL12)-CM12&gt;0,SUM(CI12:CL12)-CM12,"")</f>
        <v>52.17</v>
      </c>
      <c r="DB12" s="11">
        <f>IF(CP12&gt;0,CP12,"")</f>
        <v>3.2</v>
      </c>
      <c r="DC12" s="11">
        <f>IF(SUM(CN12:CQ12)-CR12&gt;0,SUM(CN12:CQ12)-CR12,"")</f>
        <v>10.664999999999999</v>
      </c>
      <c r="DD12" s="11">
        <f>IF(CY12="",IF(MAX(DA12,DC12)&gt;0,MAX(DA12,DC12),""),MAX(DA12,DC12)+CY12)</f>
        <v>89.94</v>
      </c>
      <c r="DE12" s="11">
        <f>IF(CU12&gt;0,CU12,"")</f>
        <v>13.8</v>
      </c>
      <c r="DF12" s="11">
        <f>IF(SUM(CS12:CV12)-CW12&gt;0,SUM(CS12:CV12)-CW12,"")</f>
        <v>52.29</v>
      </c>
      <c r="DG12" s="11">
        <f>IF(SUM(DD12,DF12)&gt;0,SUM(DD12,DF12),"")</f>
        <v>142.22999999999999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7.3</v>
      </c>
      <c r="NQ12" s="61">
        <f>IF($CX12="P",CE12,(CE12+BA12)/2)</f>
        <v>4.1500000000000004</v>
      </c>
      <c r="NR12" s="61">
        <f>IF($CX12="P",CF12,(CF12+BB12)/2)</f>
        <v>0.85</v>
      </c>
      <c r="NS12" s="61">
        <f>IF($CX12="P",CG12,(CG12+BC12)/2)</f>
        <v>7.585</v>
      </c>
      <c r="NT12" s="61">
        <f>IF($CX12="P",CH12,(CH12+BD12)/2)</f>
        <v>1</v>
      </c>
      <c r="NU12" s="61">
        <f>IF($CX12="P",CI12,(CI12+BE12)/2)</f>
        <v>6.45</v>
      </c>
      <c r="NV12" s="61">
        <f>IF($CX12="P",CJ12,(CJ12+BF12)/2)</f>
        <v>4.7</v>
      </c>
      <c r="NW12" s="61">
        <f>IF($CX12="P",CK12,(CK12+BG12)/2)</f>
        <v>6.9</v>
      </c>
      <c r="NX12" s="61">
        <f>IF($CX12="P",CL12,(CL12+BH12)/2)</f>
        <v>8.0350000000000001</v>
      </c>
      <c r="NY12" s="61">
        <f>IF($CX12="P",CM12,(CM12+BI12)/2)</f>
        <v>0</v>
      </c>
      <c r="NZ12" s="61">
        <f>IF($CX12="P",CN12,(CN12+BJ12)/2)</f>
        <v>1.1499999999999999</v>
      </c>
      <c r="OA12" s="61">
        <f>IF($CX12="P",CO12,(CO12+BK12)/2)</f>
        <v>0.8</v>
      </c>
      <c r="OB12" s="61">
        <f>IF($CX12="P",CP12,(CP12+BL12)/2)</f>
        <v>1.6</v>
      </c>
      <c r="OC12" s="61">
        <f>IF($CX12="P",CQ12,(CQ12+BM12)/2)</f>
        <v>1.7825</v>
      </c>
      <c r="OD12" s="61">
        <f>IF($CX12="P",CR12,(CR12+BN12)/2)</f>
        <v>0</v>
      </c>
      <c r="OE12" s="61">
        <f>IF($CX12="P",CS12,(CS12+BO12)/2)</f>
        <v>6.75</v>
      </c>
      <c r="OF12" s="61">
        <f>IF($CX12="P",CT12,(CT12+BP12)/2)</f>
        <v>4.5999999999999996</v>
      </c>
      <c r="OG12" s="61">
        <f>IF($CX12="P",CU12,(CU12+BQ12)/2)</f>
        <v>6.9</v>
      </c>
      <c r="OH12" s="61">
        <f>IF($CX12="P",CV12,(CV12+BR12)/2)</f>
        <v>7.8949999999999996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18.884999999999998</v>
      </c>
      <c r="OL12" s="11">
        <f>IF(NW12&gt;0,NW12,"")</f>
        <v>6.9</v>
      </c>
      <c r="OM12" s="11">
        <f>IF(SUM(NU12:NX12)-NY12&gt;0,SUM(NU12:NX12)-NY12,"")</f>
        <v>26.085000000000001</v>
      </c>
      <c r="ON12" s="11">
        <f>IF(OB12&gt;0,OB12,"")</f>
        <v>1.6</v>
      </c>
      <c r="OO12" s="11">
        <f>IF(SUM(NZ12:OC12)-OD12&gt;0,SUM(NZ12:OC12)-OD12,"")</f>
        <v>5.3324999999999996</v>
      </c>
      <c r="OP12" s="11">
        <f>IF(OR(OK12&lt;&gt;"",OM12&lt;&gt;"",OO12&lt;&gt;""),OK12+MAX(OM12,OO12),"")</f>
        <v>44.97</v>
      </c>
      <c r="OQ12" s="11">
        <f>IF(OG12&gt;0,OG12,"")</f>
        <v>6.9</v>
      </c>
      <c r="OR12" s="11">
        <f t="shared" ref="OR12" si="2">IF(SUM(OE12:OH12)-OI12&gt;0,SUM(OE12:OH12)-OI12,"")</f>
        <v>26.145</v>
      </c>
      <c r="OS12" s="11">
        <f t="shared" ref="OS12" si="3">IF(SUM(OP12,OR12)&gt;0,SUM(OP12,OR12),"")</f>
        <v>71.114999999999995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85</v>
      </c>
      <c r="C13" s="7" t="s">
        <v>6</v>
      </c>
      <c r="D13" s="5">
        <v>2003</v>
      </c>
      <c r="E13" s="15">
        <f>SUM(O13:S13)</f>
        <v>100.345</v>
      </c>
      <c r="F13" s="3" t="str">
        <f>IF(G13&lt;&gt;"","P","")</f>
        <v/>
      </c>
      <c r="G13" s="115" t="str">
        <f>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Merit",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Excellence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Worlds Team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National Team",""))))</f>
        <v/>
      </c>
      <c r="H13" s="115" t="str">
        <f>IF(OR(AND(AS13&gt;=AY$28,AS13&lt;&gt;"",AP13=""),AND(AU13&gt;=AY$28,AU13&lt;&gt;"",AP13=""),AND(AX13&gt;=AY$28,AX13&lt;&gt;"",AP13=""),AND(BW13&gt;=CC$28,BW13&lt;&gt;"",BT13=""),AND(BY13&gt;=CC$28,BY13&lt;&gt;"",BT13=""),AND(CB13&gt;=CC$28,CB13&lt;&gt;"",BT13=""),AND(DA13&gt;=DG$28,DA13&lt;&gt;"",CX13=""),AND(DC13&gt;=DG$28,DC13&lt;&gt;"",CX13=""),AND(DF13&gt;=DG$28,DF13&lt;&gt;"",CX13=""),AND(EC13&gt;=EG$28,EC13&lt;&gt;""),AND(EF13&gt;=EG$28,EF13&lt;&gt;""),AND(EY13&gt;=FC$28,EY13&lt;&gt;""),AND(FB13&gt;=FC$28,FB13&lt;&gt;""),AND(FU13&gt;=FY$28,FU13&lt;&gt;""),AND(FX13&gt;=FY$28,FX13&lt;&gt;""),AND(GQ13&gt;=GU$28,GQ13&lt;&gt;""),AND(GT13&gt;=GU$28,GT13&lt;&gt;""),AND(HM13&gt;=HQ$28,HM13&lt;&gt;""),AND(HP13&gt;=HQ$28,HP13&lt;&gt;""),AND(II13&gt;=IM$28,II13&lt;&gt;""),AND(IL13&gt;=IM$28,IL13&lt;&gt;""),AND(JE13&gt;=JI$28,JE13&lt;&gt;""),AND(JH13&gt;=JI$28,JH13&lt;&gt;""),AND(KA13&gt;=KE$28,KA13&lt;&gt;""),AND(KD13&gt;=KE$28,KD13&lt;&gt;""),AND(KW13&gt;=LA$28,KW13&lt;&gt;""),AND(KZ13&gt;=LA$28,KZ13&lt;&gt;""),AND(LS13&gt;=LW$28,LS13&lt;&gt;""),AND(LV13&gt;=LW$28,LV13&lt;&gt;""),AND(MO13&gt;=MS$28,MO13&lt;&gt;""),AND(MR13&gt;=MS$28,MR13&lt;&gt;""),AND(NK13&gt;=NO$28,NK13&lt;&gt;""),AND(NN13&gt;=NO$28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$29,AV13&lt;&gt;"",AP13=""),AND(BZ13&gt;=CC$29,BZ13&lt;&gt;"",BT13=""),AND(DD13&gt;=DG$29,DD13&lt;&gt;"",CX13=""),AND(ED13&gt;=EG$29,ED13&lt;&gt;""),AND(EZ13&gt;=FC$29,EZ13&lt;&gt;""),AND(FV13&gt;=FY$29,FV13&lt;&gt;""),AND(GR13&gt;=GU$29,GR13&lt;&gt;""),AND(HN13&gt;=HQ$29,HN13&lt;&gt;""),AND(IJ13&gt;=IM$29,IJ13&lt;&gt;""),AND(JF13&gt;=JI$29,JF13&lt;&gt;""),AND(KB13&gt;=KE$29,KB13&lt;&gt;""),AND(KX13&gt;=LA$29,KX13&lt;&gt;""),AND(LT13&gt;=LW$29,LT13&lt;&gt;""),AND(MP13&gt;=MS$29,MP13&lt;&gt;""),AND(NL13&gt;=NO$29,NL13&lt;&gt;"")),OR(G13="Worlds Team",G13="Excellence",G13="Merit")),"P","")</f>
        <v/>
      </c>
      <c r="K13" s="14">
        <f>IF(MAX(AV13,BZ13,DD13)&gt;0,MAX(AV13,BZ13,DD13),0)</f>
        <v>96.77</v>
      </c>
      <c r="L13" s="14" t="str">
        <f>IF(K13=0,"",IF(K13=DD13,$CD$1,IF(K13=BZ13,$AZ$1,IF(K13=AV13,$V$1,""))))</f>
        <v>2019 Nationals</v>
      </c>
      <c r="M13" s="14">
        <f>IF($K13=$AV13,MAX(BU13,CY13),IF($K13=$BZ13,MAX(AQ13,CY13),IF($K13=$DD13,MAX(AQ13,BU13),MAX(AQ13,BU13,CY13))))</f>
        <v>0</v>
      </c>
      <c r="N13" s="14" t="str">
        <f>IF(M13=0,"",IF(AND(M13=CY13,$L13&lt;&gt;$CD$1),$CD$1,IF(AND(M13=BU13,$L13&lt;&gt;$AZ$1),$AZ$1,IF(AND(M13=AQ13,$L13&lt;&gt;$V$1),$V$1,""))))</f>
        <v/>
      </c>
      <c r="O13" s="14">
        <f>MAX(AS13,AU13,AX13,BW13,BY13,CB13,DA13,DC13,DF13)</f>
        <v>50.809999999999995</v>
      </c>
      <c r="P13" s="14" t="str">
        <f>IF(O13=0,"",IF(OR(O13=DC13,O13=DA13,O13=DF13),$CD$1,IF(OR(O13=BY13,O13=BW13,O13=CB13),$AZ$1,IF(OR(O13=AU13,O13=AS13,O13=AX13),$V$1,""))))</f>
        <v>2019 Nationals</v>
      </c>
      <c r="Q13" s="14">
        <f>IF(COUNT(AS13,AU13,AX13,BW13,BY13,CB13,DA13,DC13,DF13)&gt;1,LARGE((AS13,AU13,AX13,BW13,BY13,CB13,DA13,DC13,DF13),2),0)</f>
        <v>49.535000000000004</v>
      </c>
      <c r="R13" s="14" t="str">
        <f>IF(Q13=0,"",IF(OR(Q13=DC13,Q13=DA13,Q13=DF13),$CD$1,IF(OR(Q13=BY13,Q13=BW13,Q13=CB13),$AZ$1,IF(OR(Q13=AU13,Q13=AS13,Q13=AX13),$V$1,""))))</f>
        <v>2019 Nationals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17.5</v>
      </c>
      <c r="W13" s="61">
        <v>9.6</v>
      </c>
      <c r="X13" s="61">
        <v>3.4</v>
      </c>
      <c r="Y13" s="61">
        <v>15.46</v>
      </c>
      <c r="Z13" s="61">
        <v>0</v>
      </c>
      <c r="AA13" s="61">
        <v>15.7</v>
      </c>
      <c r="AB13" s="61">
        <v>9.4</v>
      </c>
      <c r="AC13" s="61">
        <v>11.2</v>
      </c>
      <c r="AD13" s="61">
        <v>14.51</v>
      </c>
      <c r="AE13" s="61">
        <v>0</v>
      </c>
      <c r="AF13" s="61"/>
      <c r="AG13" s="61"/>
      <c r="AH13" s="61"/>
      <c r="AI13" s="61"/>
      <c r="AJ13" s="61"/>
      <c r="AK13" s="61">
        <v>14.74</v>
      </c>
      <c r="AL13" s="61">
        <v>9.4</v>
      </c>
      <c r="AM13" s="61">
        <v>11.2</v>
      </c>
      <c r="AN13" s="61">
        <v>14.195</v>
      </c>
      <c r="AO13" s="61">
        <v>0</v>
      </c>
      <c r="AP13" s="72"/>
      <c r="AQ13" s="11">
        <f>IF(SUM(V13:Y13)-Z13&gt;0,SUM(V13:Y13)-Z13,"")</f>
        <v>45.96</v>
      </c>
      <c r="AR13" s="11">
        <f>IF(AC13&gt;0,AC13,"")</f>
        <v>11.2</v>
      </c>
      <c r="AS13" s="11">
        <f>IF(SUM(AA13:AD13)-AE13&gt;0,SUM(AA13:AD13)-AE13,"")</f>
        <v>50.809999999999995</v>
      </c>
      <c r="AT13" s="11" t="str">
        <f>IF(AH13&gt;0,AH13,"")</f>
        <v/>
      </c>
      <c r="AU13" s="11" t="str">
        <f>IF(SUM(AF13:AI13)-AJ13&gt;0,SUM(AF13:AI13)-AJ13,"")</f>
        <v/>
      </c>
      <c r="AV13" s="11">
        <f>IF(AQ13="",IF(MAX(AS13,AU13)&gt;0,MAX(AS13,AU13),""),MAX(AS13,AU13)+AQ13)</f>
        <v>96.77</v>
      </c>
      <c r="AW13" s="11">
        <f>IF(AM13&gt;0,AM13,"")</f>
        <v>11.2</v>
      </c>
      <c r="AX13" s="11">
        <f>IF(SUM(AK13:AN13)-AO13&gt;0,SUM(AK13:AN13)-AO13,"")</f>
        <v>49.535000000000004</v>
      </c>
      <c r="AY13" s="11">
        <f>IF(SUM(AV13,AX13)&gt;0,SUM(AV13,AX13),"")</f>
        <v>146.30500000000001</v>
      </c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73"/>
      <c r="BU13" s="14" t="str">
        <f>IF(SUM(AZ13:BC13)-BD13&gt;0,SUM(AZ13:BC13)-BD13,"")</f>
        <v/>
      </c>
      <c r="BV13" s="14" t="str">
        <f>IF(BG13&gt;0,BG13,"")</f>
        <v/>
      </c>
      <c r="BW13" s="14" t="str">
        <f>IF(SUM(BE13:BH13)-BI13&gt;0,SUM(BE13:BH13)-BI13,"")</f>
        <v/>
      </c>
      <c r="BX13" s="14" t="str">
        <f>IF(BL13&gt;0,BL13,"")</f>
        <v/>
      </c>
      <c r="BY13" s="14" t="str">
        <f>IF(SUM(BJ13:BM13)-BN13&gt;0,SUM(BJ13:BM13)-BN13,"")</f>
        <v/>
      </c>
      <c r="BZ13" s="14" t="str">
        <f>IF(BU13="",IF(MAX(BW13,BY13)&gt;0,MAX(BW13,BY13),""),MAX(BW13,BY13)+BU13)</f>
        <v/>
      </c>
      <c r="CA13" s="14" t="str">
        <f>IF(BQ13&gt;0,BQ13,"")</f>
        <v/>
      </c>
      <c r="CB13" s="14" t="str">
        <f>IF(SUM(BO13:BR13)-BS13&gt;0,SUM(BO13:BR13)-BS13,"")</f>
        <v/>
      </c>
      <c r="CC13" s="14" t="str">
        <f>IF(SUM(BZ13,CB13)&gt;0,SUM(BZ13,CB13),"")</f>
        <v/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>IF(SUM(CD13:CG13)-CH13&gt;0,SUM(CD13:CG13)-CH13,"")</f>
        <v/>
      </c>
      <c r="CZ13" s="11" t="str">
        <f>IF(CK13&gt;0,CK13,"")</f>
        <v/>
      </c>
      <c r="DA13" s="11" t="str">
        <f>IF(SUM(CI13:CL13)-CM13&gt;0,SUM(CI13:CL13)-CM13,"")</f>
        <v/>
      </c>
      <c r="DB13" s="11" t="str">
        <f>IF(CP13&gt;0,CP13,"")</f>
        <v/>
      </c>
      <c r="DC13" s="11" t="str">
        <f>IF(SUM(CN13:CQ13)-CR13&gt;0,SUM(CN13:CQ13)-CR13,"")</f>
        <v/>
      </c>
      <c r="DD13" s="11" t="str">
        <f>IF(CY13="",IF(MAX(DA13,DC13)&gt;0,MAX(DA13,DC13),""),MAX(DA13,DC13)+CY13)</f>
        <v/>
      </c>
      <c r="DE13" s="11" t="str">
        <f>IF(CU13&gt;0,CU13,"")</f>
        <v/>
      </c>
      <c r="DF13" s="11" t="str">
        <f>IF(SUM(CS13:CV13)-CW13&gt;0,SUM(CS13:CV13)-CW13,"")</f>
        <v/>
      </c>
      <c r="DG13" s="11" t="str">
        <f>IF(SUM(DD13,DF13)&gt;0,SUM(DD13,DF13),"")</f>
        <v/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0</v>
      </c>
      <c r="NQ13" s="61">
        <f>IF($CX13="P",CE13,(CE13+BA13)/2)</f>
        <v>0</v>
      </c>
      <c r="NR13" s="61">
        <f>IF($CX13="P",CF13,(CF13+BB13)/2)</f>
        <v>0</v>
      </c>
      <c r="NS13" s="61">
        <f>IF($CX13="P",CG13,(CG13+BC13)/2)</f>
        <v>0</v>
      </c>
      <c r="NT13" s="61">
        <f>IF($CX13="P",CH13,(CH13+BD13)/2)</f>
        <v>0</v>
      </c>
      <c r="NU13" s="61">
        <f>IF($CX13="P",CI13,(CI13+BE13)/2)</f>
        <v>0</v>
      </c>
      <c r="NV13" s="61">
        <f>IF($CX13="P",CJ13,(CJ13+BF13)/2)</f>
        <v>0</v>
      </c>
      <c r="NW13" s="61">
        <f>IF($CX13="P",CK13,(CK13+BG13)/2)</f>
        <v>0</v>
      </c>
      <c r="NX13" s="61">
        <f>IF($CX13="P",CL13,(CL13+BH13)/2)</f>
        <v>0</v>
      </c>
      <c r="NY13" s="61">
        <f>IF($CX13="P",CM13,(CM13+BI13)/2)</f>
        <v>0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0</v>
      </c>
      <c r="OF13" s="61">
        <f>IF($CX13="P",CT13,(CT13+BP13)/2)</f>
        <v>0</v>
      </c>
      <c r="OG13" s="61">
        <f>IF($CX13="P",CU13,(CU13+BQ13)/2)</f>
        <v>0</v>
      </c>
      <c r="OH13" s="61">
        <f>IF($CX13="P",CV13,(CV13+BR13)/2)</f>
        <v>0</v>
      </c>
      <c r="OI13" s="61">
        <f>IF($CX13="P",CW13,(CW13+BS13)/2)</f>
        <v>0</v>
      </c>
      <c r="OJ13" s="72" t="s">
        <v>52</v>
      </c>
      <c r="OK13" s="11" t="str">
        <f>IF(SUM(NP13:NS13)-NT13&gt;0,SUM(NP13:NS13)-NT13,"")</f>
        <v/>
      </c>
      <c r="OL13" s="11" t="str">
        <f>IF(NW13&gt;0,NW13,"")</f>
        <v/>
      </c>
      <c r="OM13" s="11" t="str">
        <f>IF(SUM(NU13:NX13)-NY13&gt;0,SUM(NU13:NX13)-NY13,"")</f>
        <v/>
      </c>
      <c r="ON13" s="11" t="str">
        <f>IF(OB13&gt;0,OB13,"")</f>
        <v/>
      </c>
      <c r="OO13" s="11" t="str">
        <f>IF(SUM(NZ13:OC13)-OD13&gt;0,SUM(NZ13:OC13)-OD13,"")</f>
        <v/>
      </c>
      <c r="OP13" s="11" t="str">
        <f>IF(OR(OK13&lt;&gt;"",OM13&lt;&gt;"",OO13&lt;&gt;""),OK13+MAX(OM13,OO13),"")</f>
        <v/>
      </c>
      <c r="OQ13" s="11" t="str">
        <f>IF(OG13&gt;0,OG13,"")</f>
        <v/>
      </c>
      <c r="OR13" s="11" t="str">
        <f t="shared" ref="OR13" si="4">IF(SUM(OE13:OH13)-OI13&gt;0,SUM(OE13:OH13)-OI13,"")</f>
        <v/>
      </c>
      <c r="OS13" s="11" t="str">
        <f t="shared" ref="OS13" si="5">IF(SUM(OP13,OR13)&gt;0,SUM(OP13,OR13),"")</f>
        <v/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103</v>
      </c>
      <c r="C14" s="7" t="s">
        <v>4</v>
      </c>
      <c r="D14" s="26">
        <v>2002</v>
      </c>
      <c r="E14" s="15">
        <f>SUM(O14:S14)</f>
        <v>100.25</v>
      </c>
      <c r="F14" s="3" t="str">
        <f>IF(G14&lt;&gt;"","P","")</f>
        <v/>
      </c>
      <c r="G14" s="115" t="str">
        <f>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Merit",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Excellence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Worlds Team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National Team",""))))</f>
        <v/>
      </c>
      <c r="H14" s="115" t="str">
        <f>IF(OR(AND(AS14&gt;=AY$28,AS14&lt;&gt;"",AP14=""),AND(AU14&gt;=AY$28,AU14&lt;&gt;"",AP14=""),AND(AX14&gt;=AY$28,AX14&lt;&gt;"",AP14=""),AND(BW14&gt;=CC$28,BW14&lt;&gt;"",BT14=""),AND(BY14&gt;=CC$28,BY14&lt;&gt;"",BT14=""),AND(CB14&gt;=CC$28,CB14&lt;&gt;"",BT14=""),AND(DA14&gt;=DG$28,DA14&lt;&gt;"",CX14=""),AND(DC14&gt;=DG$28,DC14&lt;&gt;"",CX14=""),AND(DF14&gt;=DG$28,DF14&lt;&gt;"",CX14=""),AND(EC14&gt;=EG$28,EC14&lt;&gt;""),AND(EF14&gt;=EG$28,EF14&lt;&gt;""),AND(EY14&gt;=FC$28,EY14&lt;&gt;""),AND(FB14&gt;=FC$28,FB14&lt;&gt;""),AND(FU14&gt;=FY$28,FU14&lt;&gt;""),AND(FX14&gt;=FY$28,FX14&lt;&gt;""),AND(GQ14&gt;=GU$28,GQ14&lt;&gt;""),AND(GT14&gt;=GU$28,GT14&lt;&gt;""),AND(HM14&gt;=HQ$28,HM14&lt;&gt;""),AND(HP14&gt;=HQ$28,HP14&lt;&gt;""),AND(II14&gt;=IM$28,II14&lt;&gt;""),AND(IL14&gt;=IM$28,IL14&lt;&gt;""),AND(JE14&gt;=JI$28,JE14&lt;&gt;""),AND(JH14&gt;=JI$28,JH14&lt;&gt;""),AND(KA14&gt;=KE$28,KA14&lt;&gt;""),AND(KD14&gt;=KE$28,KD14&lt;&gt;""),AND(KW14&gt;=LA$28,KW14&lt;&gt;""),AND(KZ14&gt;=LA$28,KZ14&lt;&gt;""),AND(LS14&gt;=LW$28,LS14&lt;&gt;""),AND(LV14&gt;=LW$28,LV14&lt;&gt;""),AND(MO14&gt;=MS$28,MO14&lt;&gt;""),AND(MR14&gt;=MS$28,MR14&lt;&gt;""),AND(NK14&gt;=NO$28,NK14&lt;&gt;""),AND(NN14&gt;=NO$28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$29,AV14&lt;&gt;"",AP14=""),AND(BZ14&gt;=CC$29,BZ14&lt;&gt;"",BT14=""),AND(DD14&gt;=DG$29,DD14&lt;&gt;"",CX14=""),AND(ED14&gt;=EG$29,ED14&lt;&gt;""),AND(EZ14&gt;=FC$29,EZ14&lt;&gt;""),AND(FV14&gt;=FY$29,FV14&lt;&gt;""),AND(GR14&gt;=GU$29,GR14&lt;&gt;""),AND(HN14&gt;=HQ$29,HN14&lt;&gt;""),AND(IJ14&gt;=IM$29,IJ14&lt;&gt;""),AND(JF14&gt;=JI$29,JF14&lt;&gt;""),AND(KB14&gt;=KE$29,KB14&lt;&gt;""),AND(KX14&gt;=LA$29,KX14&lt;&gt;""),AND(LT14&gt;=LW$29,LT14&lt;&gt;""),AND(MP14&gt;=MS$29,MP14&lt;&gt;""),AND(NL14&gt;=NO$29,NL14&lt;&gt;"")),OR(G14="Worlds Team",G14="Excellence",G14="Merit")),"P","")</f>
        <v/>
      </c>
      <c r="K14" s="14">
        <f>IF(MAX(AV14,BZ14,DD14)&gt;0,MAX(AV14,BZ14,DD14),0)</f>
        <v>92.22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8.76</v>
      </c>
      <c r="N14" s="14" t="str">
        <f>IF(M14=0,"",IF(AND(M14=CY14,$L14&lt;&gt;$CD$1),$CD$1,IF(AND(M14=BU14,$L14&lt;&gt;$AZ$1),$AZ$1,IF(AND(M14=AQ14,$L14&lt;&gt;$V$1),$V$1,""))))</f>
        <v>2021 1st Virtual Technical Trial</v>
      </c>
      <c r="O14" s="14">
        <f>MAX(AS14,AU14,AX14,BW14,BY14,CB14,DA14,DC14,DF14)</f>
        <v>50.36</v>
      </c>
      <c r="P14" s="14" t="str">
        <f>IF(O14=0,"",IF(OR(O14=DC14,O14=DA14,O14=DF14),$CD$1,IF(OR(O14=BY14,O14=BW14,O14=CB14),$AZ$1,IF(OR(O14=AU14,O14=AS14,O14=AX14),$V$1,""))))</f>
        <v>2021 2nd Virtual Technical Trial</v>
      </c>
      <c r="Q14" s="14">
        <f>IF(COUNT(AS14,AU14,AX14,BW14,BY14,CB14,DA14,DC14,DF14)&gt;1,LARGE((AS14,AU14,AX14,BW14,BY14,CB14,DA14,DC14,DF14),2),0)</f>
        <v>49.89</v>
      </c>
      <c r="R14" s="14" t="str">
        <f>IF(Q14=0,"",IF(OR(Q14=DC14,Q14=DA14,Q14=DF14),$CD$1,IF(OR(Q14=BY14,Q14=BW14,Q14=CB14),$AZ$1,IF(OR(Q14=AU14,Q14=AS14,Q14=AX14),$V$1,""))))</f>
        <v>2021 1st Virtual Technical Trial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72"/>
      <c r="AQ14" s="11" t="str">
        <f>IF(SUM(V14:Y14)-Z14&gt;0,SUM(V14:Y14)-Z14,"")</f>
        <v/>
      </c>
      <c r="AR14" s="11" t="str">
        <f>IF(AC14&gt;0,AC14,"")</f>
        <v/>
      </c>
      <c r="AS14" s="11" t="str">
        <f>IF(SUM(AA14:AD14)-AE14&gt;0,SUM(AA14:AD14)-AE14,"")</f>
        <v/>
      </c>
      <c r="AT14" s="11" t="str">
        <f>IF(AH14&gt;0,AH14,"")</f>
        <v/>
      </c>
      <c r="AU14" s="11" t="str">
        <f>IF(SUM(AF14:AI14)-AJ14&gt;0,SUM(AF14:AI14)-AJ14,"")</f>
        <v/>
      </c>
      <c r="AV14" s="11" t="str">
        <f>IF(AQ14="",IF(MAX(AS14,AU14)&gt;0,MAX(AS14,AU14),""),MAX(AS14,AU14)+AQ14)</f>
        <v/>
      </c>
      <c r="AW14" s="11" t="str">
        <f>IF(AM14&gt;0,AM14,"")</f>
        <v/>
      </c>
      <c r="AX14" s="11" t="str">
        <f>IF(SUM(AK14:AN14)-AO14&gt;0,SUM(AK14:AN14)-AO14,"")</f>
        <v/>
      </c>
      <c r="AY14" s="11" t="str">
        <f>IF(SUM(AV14,AX14)&gt;0,SUM(AV14,AX14),"")</f>
        <v/>
      </c>
      <c r="AZ14" s="67">
        <v>2.5</v>
      </c>
      <c r="BA14" s="67">
        <v>1.8</v>
      </c>
      <c r="BB14" s="67">
        <v>1.3</v>
      </c>
      <c r="BC14" s="67">
        <v>3.16</v>
      </c>
      <c r="BD14" s="67">
        <v>0</v>
      </c>
      <c r="BE14" s="67">
        <v>15.2</v>
      </c>
      <c r="BF14" s="67">
        <v>9.75</v>
      </c>
      <c r="BG14" s="67">
        <v>10.3</v>
      </c>
      <c r="BH14" s="67">
        <v>14.64</v>
      </c>
      <c r="BI14" s="67">
        <v>0</v>
      </c>
      <c r="BJ14" s="67"/>
      <c r="BK14" s="67"/>
      <c r="BL14" s="67"/>
      <c r="BM14" s="67"/>
      <c r="BN14" s="67"/>
      <c r="BO14" s="67">
        <v>14.6</v>
      </c>
      <c r="BP14" s="67">
        <v>9.5</v>
      </c>
      <c r="BQ14" s="67">
        <v>10.3</v>
      </c>
      <c r="BR14" s="67">
        <v>14.4</v>
      </c>
      <c r="BS14" s="67">
        <v>0</v>
      </c>
      <c r="BT14" s="73"/>
      <c r="BU14" s="14">
        <f>IF(SUM(AZ14:BC14)-BD14&gt;0,SUM(AZ14:BC14)-BD14,"")</f>
        <v>8.76</v>
      </c>
      <c r="BV14" s="14">
        <f>IF(BG14&gt;0,BG14,"")</f>
        <v>10.3</v>
      </c>
      <c r="BW14" s="14">
        <f>IF(SUM(BE14:BH14)-BI14&gt;0,SUM(BE14:BH14)-BI14,"")</f>
        <v>49.89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58.65</v>
      </c>
      <c r="CA14" s="14">
        <f>IF(BQ14&gt;0,BQ14,"")</f>
        <v>10.3</v>
      </c>
      <c r="CB14" s="14">
        <f>IF(SUM(BO14:BR14)-BS14&gt;0,SUM(BO14:BR14)-BS14,"")</f>
        <v>48.800000000000004</v>
      </c>
      <c r="CC14" s="14">
        <f>IF(SUM(BZ14,CB14)&gt;0,SUM(BZ14,CB14),"")</f>
        <v>107.45</v>
      </c>
      <c r="CD14" s="61">
        <v>15</v>
      </c>
      <c r="CE14" s="61">
        <v>8.5</v>
      </c>
      <c r="CF14" s="61">
        <v>2.9</v>
      </c>
      <c r="CG14" s="61">
        <v>15.46</v>
      </c>
      <c r="CH14" s="61">
        <v>0</v>
      </c>
      <c r="CI14" s="61">
        <v>15.4</v>
      </c>
      <c r="CJ14" s="61">
        <v>9.1</v>
      </c>
      <c r="CK14" s="61">
        <v>10.5</v>
      </c>
      <c r="CL14" s="61">
        <v>15.36</v>
      </c>
      <c r="CM14" s="61">
        <v>0</v>
      </c>
      <c r="CN14" s="61"/>
      <c r="CO14" s="61"/>
      <c r="CP14" s="61"/>
      <c r="CQ14" s="61"/>
      <c r="CR14" s="61"/>
      <c r="CS14" s="61">
        <v>14.5</v>
      </c>
      <c r="CT14" s="61">
        <v>9</v>
      </c>
      <c r="CU14" s="61">
        <v>10.3</v>
      </c>
      <c r="CV14" s="61">
        <v>14.725</v>
      </c>
      <c r="CW14" s="61">
        <v>0</v>
      </c>
      <c r="CX14" s="72"/>
      <c r="CY14" s="11">
        <f>IF(SUM(CD14:CG14)-CH14&gt;0,SUM(CD14:CG14)-CH14,"")</f>
        <v>41.86</v>
      </c>
      <c r="CZ14" s="11">
        <f>IF(CK14&gt;0,CK14,"")</f>
        <v>10.5</v>
      </c>
      <c r="DA14" s="11">
        <f>IF(SUM(CI14:CL14)-CM14&gt;0,SUM(CI14:CL14)-CM14,"")</f>
        <v>50.36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92.22</v>
      </c>
      <c r="DE14" s="11">
        <f>IF(CU14&gt;0,CU14,"")</f>
        <v>10.3</v>
      </c>
      <c r="DF14" s="11">
        <f>IF(SUM(CS14:CV14)-CW14&gt;0,SUM(CS14:CV14)-CW14,"")</f>
        <v>48.524999999999999</v>
      </c>
      <c r="DG14" s="11">
        <f>IF(SUM(DD14,DF14)&gt;0,SUM(DD14,DF14),"")</f>
        <v>140.745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8.75</v>
      </c>
      <c r="NQ14" s="61">
        <f>IF($CX14="P",CE14,(CE14+BA14)/2)</f>
        <v>5.15</v>
      </c>
      <c r="NR14" s="61">
        <f>IF($CX14="P",CF14,(CF14+BB14)/2)</f>
        <v>2.1</v>
      </c>
      <c r="NS14" s="61">
        <f>IF($CX14="P",CG14,(CG14+BC14)/2)</f>
        <v>9.31</v>
      </c>
      <c r="NT14" s="61">
        <f>IF($CX14="P",CH14,(CH14+BD14)/2)</f>
        <v>0</v>
      </c>
      <c r="NU14" s="61">
        <f>IF($CX14="P",CI14,(CI14+BE14)/2)</f>
        <v>15.3</v>
      </c>
      <c r="NV14" s="61">
        <f>IF($CX14="P",CJ14,(CJ14+BF14)/2)</f>
        <v>9.4250000000000007</v>
      </c>
      <c r="NW14" s="61">
        <f>IF($CX14="P",CK14,(CK14+BG14)/2)</f>
        <v>10.4</v>
      </c>
      <c r="NX14" s="61">
        <f>IF($CX14="P",CL14,(CL14+BH14)/2)</f>
        <v>15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14.55</v>
      </c>
      <c r="OF14" s="61">
        <f>IF($CX14="P",CT14,(CT14+BP14)/2)</f>
        <v>9.25</v>
      </c>
      <c r="OG14" s="61">
        <f>IF($CX14="P",CU14,(CU14+BQ14)/2)</f>
        <v>10.3</v>
      </c>
      <c r="OH14" s="61">
        <f>IF($CX14="P",CV14,(CV14+BR14)/2)</f>
        <v>14.5625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25.310000000000002</v>
      </c>
      <c r="OL14" s="11">
        <f>IF(NW14&gt;0,NW14,"")</f>
        <v>10.4</v>
      </c>
      <c r="OM14" s="11">
        <f>IF(SUM(NU14:NX14)-NY14&gt;0,SUM(NU14:NX14)-NY14,"")</f>
        <v>50.125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75.435000000000002</v>
      </c>
      <c r="OQ14" s="11">
        <f>IF(OG14&gt;0,OG14,"")</f>
        <v>10.3</v>
      </c>
      <c r="OR14" s="11">
        <f t="shared" ref="OR14" si="6">IF(SUM(OE14:OH14)-OI14&gt;0,SUM(OE14:OH14)-OI14,"")</f>
        <v>48.662500000000001</v>
      </c>
      <c r="OS14" s="11">
        <f t="shared" ref="OS14" si="7">IF(SUM(OP14,OR14)&gt;0,SUM(OP14,OR14),"")</f>
        <v>124.0975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104</v>
      </c>
      <c r="C15" s="7" t="s">
        <v>5</v>
      </c>
      <c r="D15" s="26">
        <v>2002</v>
      </c>
      <c r="E15" s="15">
        <f>SUM(O15:S15)</f>
        <v>99.91</v>
      </c>
      <c r="F15" s="3" t="str">
        <f>IF(G15&lt;&gt;"","P","")</f>
        <v/>
      </c>
      <c r="G15" s="115" t="str">
        <f>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Merit",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Excellence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Worlds Team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National Team",""))))</f>
        <v/>
      </c>
      <c r="H15" s="115" t="str">
        <f>IF(OR(AND(AS15&gt;=AY$28,AS15&lt;&gt;"",AP15=""),AND(AU15&gt;=AY$28,AU15&lt;&gt;"",AP15=""),AND(AX15&gt;=AY$28,AX15&lt;&gt;"",AP15=""),AND(BW15&gt;=CC$28,BW15&lt;&gt;"",BT15=""),AND(BY15&gt;=CC$28,BY15&lt;&gt;"",BT15=""),AND(CB15&gt;=CC$28,CB15&lt;&gt;"",BT15=""),AND(DA15&gt;=DG$28,DA15&lt;&gt;"",CX15=""),AND(DC15&gt;=DG$28,DC15&lt;&gt;"",CX15=""),AND(DF15&gt;=DG$28,DF15&lt;&gt;"",CX15=""),AND(EC15&gt;=EG$28,EC15&lt;&gt;""),AND(EF15&gt;=EG$28,EF15&lt;&gt;""),AND(EY15&gt;=FC$28,EY15&lt;&gt;""),AND(FB15&gt;=FC$28,FB15&lt;&gt;""),AND(FU15&gt;=FY$28,FU15&lt;&gt;""),AND(FX15&gt;=FY$28,FX15&lt;&gt;""),AND(GQ15&gt;=GU$28,GQ15&lt;&gt;""),AND(GT15&gt;=GU$28,GT15&lt;&gt;""),AND(HM15&gt;=HQ$28,HM15&lt;&gt;""),AND(HP15&gt;=HQ$28,HP15&lt;&gt;""),AND(II15&gt;=IM$28,II15&lt;&gt;""),AND(IL15&gt;=IM$28,IL15&lt;&gt;""),AND(JE15&gt;=JI$28,JE15&lt;&gt;""),AND(JH15&gt;=JI$28,JH15&lt;&gt;""),AND(KA15&gt;=KE$28,KA15&lt;&gt;""),AND(KD15&gt;=KE$28,KD15&lt;&gt;""),AND(KW15&gt;=LA$28,KW15&lt;&gt;""),AND(KZ15&gt;=LA$28,KZ15&lt;&gt;""),AND(LS15&gt;=LW$28,LS15&lt;&gt;""),AND(LV15&gt;=LW$28,LV15&lt;&gt;""),AND(MO15&gt;=MS$28,MO15&lt;&gt;""),AND(MR15&gt;=MS$28,MR15&lt;&gt;""),AND(NK15&gt;=NO$28,NK15&lt;&gt;""),AND(NN15&gt;=NO$28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$29,AV15&lt;&gt;"",AP15=""),AND(BZ15&gt;=CC$29,BZ15&lt;&gt;"",BT15=""),AND(DD15&gt;=DG$29,DD15&lt;&gt;"",CX15=""),AND(ED15&gt;=EG$29,ED15&lt;&gt;""),AND(EZ15&gt;=FC$29,EZ15&lt;&gt;""),AND(FV15&gt;=FY$29,FV15&lt;&gt;""),AND(GR15&gt;=GU$29,GR15&lt;&gt;""),AND(HN15&gt;=HQ$29,HN15&lt;&gt;""),AND(IJ15&gt;=IM$29,IJ15&lt;&gt;""),AND(JF15&gt;=JI$29,JF15&lt;&gt;""),AND(KB15&gt;=KE$29,KB15&lt;&gt;""),AND(KX15&gt;=LA$29,KX15&lt;&gt;""),AND(LT15&gt;=LW$29,LT15&lt;&gt;""),AND(MP15&gt;=MS$29,MP15&lt;&gt;""),AND(NL15&gt;=NO$29,NL15&lt;&gt;"")),OR(G15="Worlds Team",G15="Excellence",G15="Merit")),"P","")</f>
        <v/>
      </c>
      <c r="K15" s="14">
        <f>IF(MAX(AV15,BZ15,DD15)&gt;0,MAX(AV15,BZ15,DD15),0)</f>
        <v>90.995000000000005</v>
      </c>
      <c r="L15" s="14" t="str">
        <f>IF(K15=0,"",IF(K15=DD15,$CD$1,IF(K15=BZ15,$AZ$1,IF(K15=AV15,$V$1,""))))</f>
        <v>2021 1st Virtual Technical Trial</v>
      </c>
      <c r="M15" s="14">
        <f>IF($K15=$AV15,MAX(BU15,CY15),IF($K15=$BZ15,MAX(AQ15,CY15),IF($K15=$DD15,MAX(AQ15,BU15),MAX(AQ15,BU15,CY15))))</f>
        <v>43.515000000000001</v>
      </c>
      <c r="N15" s="14" t="str">
        <f>IF(M15=0,"",IF(AND(M15=CY15,$L15&lt;&gt;$CD$1),$CD$1,IF(AND(M15=BU15,$L15&lt;&gt;$AZ$1),$AZ$1,IF(AND(M15=AQ15,$L15&lt;&gt;$V$1),$V$1,""))))</f>
        <v>2019 Nationals</v>
      </c>
      <c r="O15" s="14">
        <f>MAX(AS15,AU15,AX15,BW15,BY15,CB15,DA15,DC15,DF15)</f>
        <v>51.305</v>
      </c>
      <c r="P15" s="14" t="str">
        <f>IF(O15=0,"",IF(OR(O15=DC15,O15=DA15,O15=DF15),$CD$1,IF(OR(O15=BY15,O15=BW15,O15=CB15),$AZ$1,IF(OR(O15=AU15,O15=AS15,O15=AX15),$V$1,""))))</f>
        <v>2019 Nationals</v>
      </c>
      <c r="Q15" s="14">
        <f>IF(COUNT(AS15,AU15,AX15,BW15,BY15,CB15,DA15,DC15,DF15)&gt;1,LARGE((AS15,AU15,AX15,BW15,BY15,CB15,DA15,DC15,DF15),2),0)</f>
        <v>48.604999999999997</v>
      </c>
      <c r="R15" s="14" t="str">
        <f>IF(Q15=0,"",IF(OR(Q15=DC15,Q15=DA15,Q15=DF15),$CD$1,IF(OR(Q15=BY15,Q15=BW15,Q15=CB15),$AZ$1,IF(OR(Q15=AU15,Q15=AS15,Q15=AX15),$V$1,""))))</f>
        <v>2021 1st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>
        <v>16.7</v>
      </c>
      <c r="W15" s="61">
        <v>9.4</v>
      </c>
      <c r="X15" s="61">
        <v>2</v>
      </c>
      <c r="Y15" s="61">
        <v>15.414999999999999</v>
      </c>
      <c r="Z15" s="61">
        <v>0</v>
      </c>
      <c r="AA15" s="61">
        <v>11.8</v>
      </c>
      <c r="AB15" s="61">
        <v>8.8000000000000007</v>
      </c>
      <c r="AC15" s="61">
        <v>10.4</v>
      </c>
      <c r="AD15" s="61">
        <v>14.69</v>
      </c>
      <c r="AE15" s="61">
        <v>0</v>
      </c>
      <c r="AF15" s="61"/>
      <c r="AG15" s="61"/>
      <c r="AH15" s="61"/>
      <c r="AI15" s="61"/>
      <c r="AJ15" s="61"/>
      <c r="AK15" s="61">
        <v>14.96</v>
      </c>
      <c r="AL15" s="61">
        <v>8.9</v>
      </c>
      <c r="AM15" s="61">
        <v>12</v>
      </c>
      <c r="AN15" s="61">
        <v>15.445</v>
      </c>
      <c r="AO15" s="61">
        <v>0</v>
      </c>
      <c r="AP15" s="72"/>
      <c r="AQ15" s="11">
        <f>IF(SUM(V15:Y15)-Z15&gt;0,SUM(V15:Y15)-Z15,"")</f>
        <v>43.515000000000001</v>
      </c>
      <c r="AR15" s="11">
        <f>IF(AC15&gt;0,AC15,"")</f>
        <v>10.4</v>
      </c>
      <c r="AS15" s="11">
        <f>IF(SUM(AA15:AD15)-AE15&gt;0,SUM(AA15:AD15)-AE15,"")</f>
        <v>45.69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89.204999999999998</v>
      </c>
      <c r="AW15" s="11">
        <f>IF(AM15&gt;0,AM15,"")</f>
        <v>12</v>
      </c>
      <c r="AX15" s="11">
        <f>IF(SUM(AK15:AN15)-AO15&gt;0,SUM(AK15:AN15)-AO15,"")</f>
        <v>51.305</v>
      </c>
      <c r="AY15" s="11">
        <f>IF(SUM(AV15,AX15)&gt;0,SUM(AV15,AX15),"")</f>
        <v>140.51</v>
      </c>
      <c r="AZ15" s="67">
        <v>15.4</v>
      </c>
      <c r="BA15" s="67">
        <v>9.3000000000000007</v>
      </c>
      <c r="BB15" s="67">
        <v>2</v>
      </c>
      <c r="BC15" s="67">
        <v>15.69</v>
      </c>
      <c r="BD15" s="67">
        <v>0</v>
      </c>
      <c r="BE15" s="67">
        <v>14</v>
      </c>
      <c r="BF15" s="67">
        <v>8.4</v>
      </c>
      <c r="BG15" s="67">
        <v>10</v>
      </c>
      <c r="BH15" s="67">
        <v>16.204999999999998</v>
      </c>
      <c r="BI15" s="67">
        <v>0</v>
      </c>
      <c r="BJ15" s="67"/>
      <c r="BK15" s="67"/>
      <c r="BL15" s="67"/>
      <c r="BM15" s="67"/>
      <c r="BN15" s="67"/>
      <c r="BO15" s="67">
        <v>11</v>
      </c>
      <c r="BP15" s="67">
        <v>6.85</v>
      </c>
      <c r="BQ15" s="67">
        <v>8.5</v>
      </c>
      <c r="BR15" s="67">
        <v>12.625</v>
      </c>
      <c r="BS15" s="67">
        <v>0</v>
      </c>
      <c r="BT15" s="73"/>
      <c r="BU15" s="14">
        <f>IF(SUM(AZ15:BC15)-BD15&gt;0,SUM(AZ15:BC15)-BD15,"")</f>
        <v>42.39</v>
      </c>
      <c r="BV15" s="14">
        <f>IF(BG15&gt;0,BG15,"")</f>
        <v>10</v>
      </c>
      <c r="BW15" s="14">
        <f>IF(SUM(BE15:BH15)-BI15&gt;0,SUM(BE15:BH15)-BI15,"")</f>
        <v>48.604999999999997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90.995000000000005</v>
      </c>
      <c r="CA15" s="14">
        <f>IF(BQ15&gt;0,BQ15,"")</f>
        <v>8.5</v>
      </c>
      <c r="CB15" s="14">
        <f>IF(SUM(BO15:BR15)-BS15&gt;0,SUM(BO15:BR15)-BS15,"")</f>
        <v>38.975000000000001</v>
      </c>
      <c r="CC15" s="14">
        <f>IF(SUM(BZ15,CB15)&gt;0,SUM(BZ15,CB15),"")</f>
        <v>129.97</v>
      </c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7.7</v>
      </c>
      <c r="NQ15" s="61">
        <f>IF($CX15="P",CE15,(CE15+BA15)/2)</f>
        <v>4.6500000000000004</v>
      </c>
      <c r="NR15" s="61">
        <f>IF($CX15="P",CF15,(CF15+BB15)/2)</f>
        <v>1</v>
      </c>
      <c r="NS15" s="61">
        <f>IF($CX15="P",CG15,(CG15+BC15)/2)</f>
        <v>7.8449999999999998</v>
      </c>
      <c r="NT15" s="61">
        <f>IF($CX15="P",CH15,(CH15+BD15)/2)</f>
        <v>0</v>
      </c>
      <c r="NU15" s="61">
        <f>IF($CX15="P",CI15,(CI15+BE15)/2)</f>
        <v>7</v>
      </c>
      <c r="NV15" s="61">
        <f>IF($CX15="P",CJ15,(CJ15+BF15)/2)</f>
        <v>4.2</v>
      </c>
      <c r="NW15" s="61">
        <f>IF($CX15="P",CK15,(CK15+BG15)/2)</f>
        <v>5</v>
      </c>
      <c r="NX15" s="61">
        <f>IF($CX15="P",CL15,(CL15+BH15)/2)</f>
        <v>8.1024999999999991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5.5</v>
      </c>
      <c r="OF15" s="61">
        <f>IF($CX15="P",CT15,(CT15+BP15)/2)</f>
        <v>3.4249999999999998</v>
      </c>
      <c r="OG15" s="61">
        <f>IF($CX15="P",CU15,(CU15+BQ15)/2)</f>
        <v>4.25</v>
      </c>
      <c r="OH15" s="61">
        <f>IF($CX15="P",CV15,(CV15+BR15)/2)</f>
        <v>6.3125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21.195</v>
      </c>
      <c r="OL15" s="11">
        <f>IF(NW15&gt;0,NW15,"")</f>
        <v>5</v>
      </c>
      <c r="OM15" s="11">
        <f>IF(SUM(NU15:NX15)-NY15&gt;0,SUM(NU15:NX15)-NY15,"")</f>
        <v>24.302499999999998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45.497500000000002</v>
      </c>
      <c r="OQ15" s="11">
        <f>IF(OG15&gt;0,OG15,"")</f>
        <v>4.25</v>
      </c>
      <c r="OR15" s="11">
        <f t="shared" ref="OR15" si="8">IF(SUM(OE15:OH15)-OI15&gt;0,SUM(OE15:OH15)-OI15,"")</f>
        <v>19.487500000000001</v>
      </c>
      <c r="OS15" s="11">
        <f t="shared" ref="OS15" si="9">IF(SUM(OP15,OR15)&gt;0,SUM(OP15,OR15),"")</f>
        <v>64.984999999999999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95</v>
      </c>
      <c r="C16" s="7" t="s">
        <v>4</v>
      </c>
      <c r="D16" s="26">
        <v>2003</v>
      </c>
      <c r="E16" s="15">
        <f>SUM(O16:S16)</f>
        <v>99.585000000000008</v>
      </c>
      <c r="F16" s="3" t="str">
        <f>IF(G16&lt;&gt;"","P","")</f>
        <v/>
      </c>
      <c r="G16" s="115" t="str">
        <f>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Merit",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Excellence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Worlds Team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National Team",""))))</f>
        <v/>
      </c>
      <c r="H16" s="115" t="str">
        <f>IF(OR(AND(AS16&gt;=AY$28,AS16&lt;&gt;"",AP16=""),AND(AU16&gt;=AY$28,AU16&lt;&gt;"",AP16=""),AND(AX16&gt;=AY$28,AX16&lt;&gt;"",AP16=""),AND(BW16&gt;=CC$28,BW16&lt;&gt;"",BT16=""),AND(BY16&gt;=CC$28,BY16&lt;&gt;"",BT16=""),AND(CB16&gt;=CC$28,CB16&lt;&gt;"",BT16=""),AND(DA16&gt;=DG$28,DA16&lt;&gt;"",CX16=""),AND(DC16&gt;=DG$28,DC16&lt;&gt;"",CX16=""),AND(DF16&gt;=DG$28,DF16&lt;&gt;"",CX16=""),AND(EC16&gt;=EG$28,EC16&lt;&gt;""),AND(EF16&gt;=EG$28,EF16&lt;&gt;""),AND(EY16&gt;=FC$28,EY16&lt;&gt;""),AND(FB16&gt;=FC$28,FB16&lt;&gt;""),AND(FU16&gt;=FY$28,FU16&lt;&gt;""),AND(FX16&gt;=FY$28,FX16&lt;&gt;""),AND(GQ16&gt;=GU$28,GQ16&lt;&gt;""),AND(GT16&gt;=GU$28,GT16&lt;&gt;""),AND(HM16&gt;=HQ$28,HM16&lt;&gt;""),AND(HP16&gt;=HQ$28,HP16&lt;&gt;""),AND(II16&gt;=IM$28,II16&lt;&gt;""),AND(IL16&gt;=IM$28,IL16&lt;&gt;""),AND(JE16&gt;=JI$28,JE16&lt;&gt;""),AND(JH16&gt;=JI$28,JH16&lt;&gt;""),AND(KA16&gt;=KE$28,KA16&lt;&gt;""),AND(KD16&gt;=KE$28,KD16&lt;&gt;""),AND(KW16&gt;=LA$28,KW16&lt;&gt;""),AND(KZ16&gt;=LA$28,KZ16&lt;&gt;""),AND(LS16&gt;=LW$28,LS16&lt;&gt;""),AND(LV16&gt;=LW$28,LV16&lt;&gt;""),AND(MO16&gt;=MS$28,MO16&lt;&gt;""),AND(MR16&gt;=MS$28,MR16&lt;&gt;""),AND(NK16&gt;=NO$28,NK16&lt;&gt;""),AND(NN16&gt;=NO$28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$29,AV16&lt;&gt;"",AP16=""),AND(BZ16&gt;=CC$29,BZ16&lt;&gt;"",BT16=""),AND(DD16&gt;=DG$29,DD16&lt;&gt;"",CX16=""),AND(ED16&gt;=EG$29,ED16&lt;&gt;""),AND(EZ16&gt;=FC$29,EZ16&lt;&gt;""),AND(FV16&gt;=FY$29,FV16&lt;&gt;""),AND(GR16&gt;=GU$29,GR16&lt;&gt;""),AND(HN16&gt;=HQ$29,HN16&lt;&gt;""),AND(IJ16&gt;=IM$29,IJ16&lt;&gt;""),AND(JF16&gt;=JI$29,JF16&lt;&gt;""),AND(KB16&gt;=KE$29,KB16&lt;&gt;""),AND(KX16&gt;=LA$29,KX16&lt;&gt;""),AND(LT16&gt;=LW$29,LT16&lt;&gt;""),AND(MP16&gt;=MS$29,MP16&lt;&gt;""),AND(NL16&gt;=NO$29,NL16&lt;&gt;"")),OR(G16="Worlds Team",G16="Excellence",G16="Merit")),"P","")</f>
        <v/>
      </c>
      <c r="K16" s="14">
        <f>IF(MAX(AV16,BZ16,DD16)&gt;0,MAX(AV16,BZ16,DD16),0)</f>
        <v>91.199999999999989</v>
      </c>
      <c r="L16" s="14" t="str">
        <f>IF(K16=0,"",IF(K16=DD16,$CD$1,IF(K16=BZ16,$AZ$1,IF(K16=AV16,$V$1,""))))</f>
        <v>2019 Nationals</v>
      </c>
      <c r="M16" s="14">
        <f>IF($K16=$AV16,MAX(BU16,CY16),IF($K16=$BZ16,MAX(AQ16,CY16),IF($K16=$DD16,MAX(AQ16,BU16),MAX(AQ16,BU16,CY16))))</f>
        <v>44.86</v>
      </c>
      <c r="N16" s="14" t="str">
        <f>IF(M16=0,"",IF(AND(M16=CY16,$L16&lt;&gt;$CD$1),$CD$1,IF(AND(M16=BU16,$L16&lt;&gt;$AZ$1),$AZ$1,IF(AND(M16=AQ16,$L16&lt;&gt;$V$1),$V$1,""))))</f>
        <v>2021 2nd Virtual Technical Trial</v>
      </c>
      <c r="O16" s="14">
        <f>MAX(AS16,AU16,AX16,BW16,BY16,CB16,DA16,DC16,DF16)</f>
        <v>49.995000000000005</v>
      </c>
      <c r="P16" s="14" t="str">
        <f>IF(O16=0,"",IF(OR(O16=DC16,O16=DA16,O16=DF16),$CD$1,IF(OR(O16=BY16,O16=BW16,O16=CB16),$AZ$1,IF(OR(O16=AU16,O16=AS16,O16=AX16),$V$1,""))))</f>
        <v>2019 Nationals</v>
      </c>
      <c r="Q16" s="14">
        <f>IF(COUNT(AS16,AU16,AX16,BW16,BY16,CB16,DA16,DC16,DF16)&gt;1,LARGE((AS16,AU16,AX16,BW16,BY16,CB16,DA16,DC16,DF16),2),0)</f>
        <v>49.589999999999996</v>
      </c>
      <c r="R16" s="14" t="str">
        <f>IF(Q16=0,"",IF(OR(Q16=DC16,Q16=DA16,Q16=DF16),$CD$1,IF(OR(Q16=BY16,Q16=BW16,Q16=CB16),$AZ$1,IF(OR(Q16=AU16,Q16=AS16,Q16=AX16),$V$1,""))))</f>
        <v>2019 Nationals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>
        <v>14.8</v>
      </c>
      <c r="W16" s="61">
        <v>9.1999999999999993</v>
      </c>
      <c r="X16" s="61">
        <v>2.7</v>
      </c>
      <c r="Y16" s="61">
        <v>14.91</v>
      </c>
      <c r="Z16" s="61">
        <v>0</v>
      </c>
      <c r="AA16" s="61">
        <v>14.8</v>
      </c>
      <c r="AB16" s="61">
        <v>9.1999999999999993</v>
      </c>
      <c r="AC16" s="61">
        <v>11.4</v>
      </c>
      <c r="AD16" s="61">
        <v>14.19</v>
      </c>
      <c r="AE16" s="61">
        <v>0</v>
      </c>
      <c r="AF16" s="61"/>
      <c r="AG16" s="61"/>
      <c r="AH16" s="61"/>
      <c r="AI16" s="61"/>
      <c r="AJ16" s="61"/>
      <c r="AK16" s="61">
        <v>14.68</v>
      </c>
      <c r="AL16" s="61">
        <v>9.6</v>
      </c>
      <c r="AM16" s="61">
        <v>11.2</v>
      </c>
      <c r="AN16" s="61">
        <v>14.515000000000001</v>
      </c>
      <c r="AO16" s="61">
        <v>0</v>
      </c>
      <c r="AP16" s="72"/>
      <c r="AQ16" s="11">
        <f>IF(SUM(V16:Y16)-Z16&gt;0,SUM(V16:Y16)-Z16,"")</f>
        <v>41.61</v>
      </c>
      <c r="AR16" s="11">
        <f>IF(AC16&gt;0,AC16,"")</f>
        <v>11.4</v>
      </c>
      <c r="AS16" s="11">
        <f>IF(SUM(AA16:AD16)-AE16&gt;0,SUM(AA16:AD16)-AE16,"")</f>
        <v>49.589999999999996</v>
      </c>
      <c r="AT16" s="11" t="str">
        <f>IF(AH16&gt;0,AH16,"")</f>
        <v/>
      </c>
      <c r="AU16" s="11" t="str">
        <f>IF(SUM(AF16:AI16)-AJ16&gt;0,SUM(AF16:AI16)-AJ16,"")</f>
        <v/>
      </c>
      <c r="AV16" s="11">
        <f>IF(AQ16="",IF(MAX(AS16,AU16)&gt;0,MAX(AS16,AU16),""),MAX(AS16,AU16)+AQ16)</f>
        <v>91.199999999999989</v>
      </c>
      <c r="AW16" s="11">
        <f>IF(AM16&gt;0,AM16,"")</f>
        <v>11.2</v>
      </c>
      <c r="AX16" s="11">
        <f>IF(SUM(AK16:AN16)-AO16&gt;0,SUM(AK16:AN16)-AO16,"")</f>
        <v>49.995000000000005</v>
      </c>
      <c r="AY16" s="11">
        <f>IF(SUM(AV16,AX16)&gt;0,SUM(AV16,AX16),"")</f>
        <v>141.19499999999999</v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>IF(SUM(AZ16:BC16)-BD16&gt;0,SUM(AZ16:BC16)-BD16,"")</f>
        <v/>
      </c>
      <c r="BV16" s="14" t="str">
        <f>IF(BG16&gt;0,BG16,"")</f>
        <v/>
      </c>
      <c r="BW16" s="14" t="str">
        <f>IF(SUM(BE16:BH16)-BI16&gt;0,SUM(BE16:BH16)-BI16,"")</f>
        <v/>
      </c>
      <c r="BX16" s="14" t="str">
        <f>IF(BL16&gt;0,BL16,"")</f>
        <v/>
      </c>
      <c r="BY16" s="14" t="str">
        <f>IF(SUM(BJ16:BM16)-BN16&gt;0,SUM(BJ16:BM16)-BN16,"")</f>
        <v/>
      </c>
      <c r="BZ16" s="14" t="str">
        <f>IF(BU16="",IF(MAX(BW16,BY16)&gt;0,MAX(BW16,BY16),""),MAX(BW16,BY16)+BU16)</f>
        <v/>
      </c>
      <c r="CA16" s="14" t="str">
        <f>IF(BQ16&gt;0,BQ16,"")</f>
        <v/>
      </c>
      <c r="CB16" s="14" t="str">
        <f>IF(SUM(BO16:BR16)-BS16&gt;0,SUM(BO16:BR16)-BS16,"")</f>
        <v/>
      </c>
      <c r="CC16" s="14" t="str">
        <f>IF(SUM(BZ16,CB16)&gt;0,SUM(BZ16,CB16),"")</f>
        <v/>
      </c>
      <c r="CD16" s="61">
        <v>17.3</v>
      </c>
      <c r="CE16" s="61">
        <v>9.6999999999999993</v>
      </c>
      <c r="CF16" s="61">
        <v>2.9</v>
      </c>
      <c r="CG16" s="61">
        <v>14.96</v>
      </c>
      <c r="CH16" s="61">
        <v>0</v>
      </c>
      <c r="CI16" s="61">
        <v>8.3000000000000007</v>
      </c>
      <c r="CJ16" s="61">
        <v>5.5</v>
      </c>
      <c r="CK16" s="61">
        <v>8.3000000000000007</v>
      </c>
      <c r="CL16" s="61">
        <v>8.68</v>
      </c>
      <c r="CM16" s="61">
        <v>0</v>
      </c>
      <c r="CN16" s="61"/>
      <c r="CO16" s="61"/>
      <c r="CP16" s="61"/>
      <c r="CQ16" s="61"/>
      <c r="CR16" s="61"/>
      <c r="CS16" s="61">
        <v>8.6</v>
      </c>
      <c r="CT16" s="61">
        <v>5.7</v>
      </c>
      <c r="CU16" s="61">
        <v>8.3000000000000007</v>
      </c>
      <c r="CV16" s="61">
        <v>8.76</v>
      </c>
      <c r="CW16" s="61">
        <v>0</v>
      </c>
      <c r="CX16" s="72"/>
      <c r="CY16" s="11">
        <f>IF(SUM(CD16:CG16)-CH16&gt;0,SUM(CD16:CG16)-CH16,"")</f>
        <v>44.86</v>
      </c>
      <c r="CZ16" s="11">
        <f>IF(CK16&gt;0,CK16,"")</f>
        <v>8.3000000000000007</v>
      </c>
      <c r="DA16" s="11">
        <f>IF(SUM(CI16:CL16)-CM16&gt;0,SUM(CI16:CL16)-CM16,"")</f>
        <v>30.78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75.64</v>
      </c>
      <c r="DE16" s="11">
        <f>IF(CU16&gt;0,CU16,"")</f>
        <v>8.3000000000000007</v>
      </c>
      <c r="DF16" s="11">
        <f>IF(SUM(CS16:CV16)-CW16&gt;0,SUM(CS16:CV16)-CW16,"")</f>
        <v>31.36</v>
      </c>
      <c r="DG16" s="11">
        <f>IF(SUM(DD16,DF16)&gt;0,SUM(DD16,DF16),"")</f>
        <v>107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8.65</v>
      </c>
      <c r="NQ16" s="61">
        <f>IF($CX16="P",CE16,(CE16+BA16)/2)</f>
        <v>4.8499999999999996</v>
      </c>
      <c r="NR16" s="61">
        <f>IF($CX16="P",CF16,(CF16+BB16)/2)</f>
        <v>1.45</v>
      </c>
      <c r="NS16" s="61">
        <f>IF($CX16="P",CG16,(CG16+BC16)/2)</f>
        <v>7.48</v>
      </c>
      <c r="NT16" s="61">
        <f>IF($CX16="P",CH16,(CH16+BD16)/2)</f>
        <v>0</v>
      </c>
      <c r="NU16" s="61">
        <f>IF($CX16="P",CI16,(CI16+BE16)/2)</f>
        <v>4.1500000000000004</v>
      </c>
      <c r="NV16" s="61">
        <f>IF($CX16="P",CJ16,(CJ16+BF16)/2)</f>
        <v>2.75</v>
      </c>
      <c r="NW16" s="61">
        <f>IF($CX16="P",CK16,(CK16+BG16)/2)</f>
        <v>4.1500000000000004</v>
      </c>
      <c r="NX16" s="61">
        <f>IF($CX16="P",CL16,(CL16+BH16)/2)</f>
        <v>4.34</v>
      </c>
      <c r="NY16" s="61">
        <f>IF($CX16="P",CM16,(CM16+BI16)/2)</f>
        <v>0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4.3</v>
      </c>
      <c r="OF16" s="61">
        <f>IF($CX16="P",CT16,(CT16+BP16)/2)</f>
        <v>2.85</v>
      </c>
      <c r="OG16" s="61">
        <f>IF($CX16="P",CU16,(CU16+BQ16)/2)</f>
        <v>4.1500000000000004</v>
      </c>
      <c r="OH16" s="61">
        <f>IF($CX16="P",CV16,(CV16+BR16)/2)</f>
        <v>4.38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22.43</v>
      </c>
      <c r="OL16" s="11">
        <f>IF(NW16&gt;0,NW16,"")</f>
        <v>4.1500000000000004</v>
      </c>
      <c r="OM16" s="11">
        <f>IF(SUM(NU16:NX16)-NY16&gt;0,SUM(NU16:NX16)-NY16,"")</f>
        <v>15.39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37.82</v>
      </c>
      <c r="OQ16" s="11">
        <f>IF(OG16&gt;0,OG16,"")</f>
        <v>4.1500000000000004</v>
      </c>
      <c r="OR16" s="11">
        <f t="shared" ref="OR16" si="10">IF(SUM(OE16:OH16)-OI16&gt;0,SUM(OE16:OH16)-OI16,"")</f>
        <v>15.68</v>
      </c>
      <c r="OS16" s="11">
        <f t="shared" ref="OS16" si="11">IF(SUM(OP16,OR16)&gt;0,SUM(OP16,OR16),"")</f>
        <v>53.5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8" t="s">
        <v>84</v>
      </c>
      <c r="C17" s="4" t="s">
        <v>6</v>
      </c>
      <c r="D17" s="26">
        <v>2004</v>
      </c>
      <c r="E17" s="15">
        <f>SUM(O17:S17)</f>
        <v>81.02</v>
      </c>
      <c r="F17" s="3" t="str">
        <f>IF(G17&lt;&gt;"","P","")</f>
        <v/>
      </c>
      <c r="G17" s="115" t="str">
        <f>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Merit",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Excellence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Worlds Team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National Team",""))))</f>
        <v/>
      </c>
      <c r="H17" s="115" t="str">
        <f>IF(OR(AND(AS17&gt;=AY$28,AS17&lt;&gt;"",AP17=""),AND(AU17&gt;=AY$28,AU17&lt;&gt;"",AP17=""),AND(AX17&gt;=AY$28,AX17&lt;&gt;"",AP17=""),AND(BW17&gt;=CC$28,BW17&lt;&gt;"",BT17=""),AND(BY17&gt;=CC$28,BY17&lt;&gt;"",BT17=""),AND(CB17&gt;=CC$28,CB17&lt;&gt;"",BT17=""),AND(DA17&gt;=DG$28,DA17&lt;&gt;"",CX17=""),AND(DC17&gt;=DG$28,DC17&lt;&gt;"",CX17=""),AND(DF17&gt;=DG$28,DF17&lt;&gt;"",CX17=""),AND(EC17&gt;=EG$28,EC17&lt;&gt;""),AND(EF17&gt;=EG$28,EF17&lt;&gt;""),AND(EY17&gt;=FC$28,EY17&lt;&gt;""),AND(FB17&gt;=FC$28,FB17&lt;&gt;""),AND(FU17&gt;=FY$28,FU17&lt;&gt;""),AND(FX17&gt;=FY$28,FX17&lt;&gt;""),AND(GQ17&gt;=GU$28,GQ17&lt;&gt;""),AND(GT17&gt;=GU$28,GT17&lt;&gt;""),AND(HM17&gt;=HQ$28,HM17&lt;&gt;""),AND(HP17&gt;=HQ$28,HP17&lt;&gt;""),AND(II17&gt;=IM$28,II17&lt;&gt;""),AND(IL17&gt;=IM$28,IL17&lt;&gt;""),AND(JE17&gt;=JI$28,JE17&lt;&gt;""),AND(JH17&gt;=JI$28,JH17&lt;&gt;""),AND(KA17&gt;=KE$28,KA17&lt;&gt;""),AND(KD17&gt;=KE$28,KD17&lt;&gt;""),AND(KW17&gt;=LA$28,KW17&lt;&gt;""),AND(KZ17&gt;=LA$28,KZ17&lt;&gt;""),AND(LS17&gt;=LW$28,LS17&lt;&gt;""),AND(LV17&gt;=LW$28,LV17&lt;&gt;""),AND(MO17&gt;=MS$28,MO17&lt;&gt;""),AND(MR17&gt;=MS$28,MR17&lt;&gt;""),AND(NK17&gt;=NO$28,NK17&lt;&gt;""),AND(NN17&gt;=NO$28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$29,AV17&lt;&gt;"",AP17=""),AND(BZ17&gt;=CC$29,BZ17&lt;&gt;"",BT17=""),AND(DD17&gt;=DG$29,DD17&lt;&gt;"",CX17=""),AND(ED17&gt;=EG$29,ED17&lt;&gt;""),AND(EZ17&gt;=FC$29,EZ17&lt;&gt;""),AND(FV17&gt;=FY$29,FV17&lt;&gt;""),AND(GR17&gt;=GU$29,GR17&lt;&gt;""),AND(HN17&gt;=HQ$29,HN17&lt;&gt;""),AND(IJ17&gt;=IM$29,IJ17&lt;&gt;""),AND(JF17&gt;=JI$29,JF17&lt;&gt;""),AND(KB17&gt;=KE$29,KB17&lt;&gt;""),AND(KX17&gt;=LA$29,KX17&lt;&gt;""),AND(LT17&gt;=LW$29,LT17&lt;&gt;""),AND(MP17&gt;=MS$29,MP17&lt;&gt;""),AND(NL17&gt;=NO$29,NL17&lt;&gt;"")),OR(G17="Worlds Team",G17="Excellence",G17="Merit")),"P","")</f>
        <v/>
      </c>
      <c r="K17" s="14">
        <f>IF(MAX(AV17,BZ17,DD17)&gt;0,MAX(AV17,BZ17,DD17),0)</f>
        <v>84.52</v>
      </c>
      <c r="L17" s="14" t="str">
        <f>IF(K17=0,"",IF(K17=DD17,$CD$1,IF(K17=BZ17,$AZ$1,IF(K17=AV17,$V$1,""))))</f>
        <v>2019 Nationals</v>
      </c>
      <c r="M17" s="14">
        <f>IF($K17=$AV17,MAX(BU17,CY17),IF($K17=$BZ17,MAX(AQ17,CY17),IF($K17=$DD17,MAX(AQ17,BU17),MAX(AQ17,BU17,CY17))))</f>
        <v>45.739999999999995</v>
      </c>
      <c r="N17" s="14" t="str">
        <f>IF(M17=0,"",IF(AND(M17=CY17,$L17&lt;&gt;$CD$1),$CD$1,IF(AND(M17=BU17,$L17&lt;&gt;$AZ$1),$AZ$1,IF(AND(M17=AQ17,$L17&lt;&gt;$V$1),$V$1,""))))</f>
        <v>2021 2nd Virtual Technical Trial</v>
      </c>
      <c r="O17" s="14">
        <f>MAX(AS17,AU17,AX17,BW17,BY17,CB17,DA17,DC17,DF17)</f>
        <v>43.53</v>
      </c>
      <c r="P17" s="14" t="str">
        <f>IF(O17=0,"",IF(OR(O17=DC17,O17=DA17,O17=DF17),$CD$1,IF(OR(O17=BY17,O17=BW17,O17=CB17),$AZ$1,IF(OR(O17=AU17,O17=AS17,O17=AX17),$V$1,""))))</f>
        <v>2019 Nationals</v>
      </c>
      <c r="Q17" s="14">
        <f>IF(COUNT(AS17,AU17,AX17,BW17,BY17,CB17,DA17,DC17,DF17)&gt;1,LARGE((AS17,AU17,AX17,BW17,BY17,CB17,DA17,DC17,DF17),2),0)</f>
        <v>37.489999999999995</v>
      </c>
      <c r="R17" s="14" t="str">
        <f>IF(Q17=0,"",IF(OR(Q17=DC17,Q17=DA17,Q17=DF17),$CD$1,IF(OR(Q17=BY17,Q17=BW17,Q17=CB17),$AZ$1,IF(OR(Q17=AU17,Q17=AS17,Q17=AX17),$V$1,""))))</f>
        <v>2021 2nd Virtual Technical Trial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>
        <v>15.8</v>
      </c>
      <c r="W17" s="61">
        <v>9.1</v>
      </c>
      <c r="X17" s="61">
        <v>3.4</v>
      </c>
      <c r="Y17" s="61">
        <v>14.69</v>
      </c>
      <c r="Z17" s="61">
        <v>2</v>
      </c>
      <c r="AA17" s="61">
        <v>13.4</v>
      </c>
      <c r="AB17" s="61">
        <v>8.3000000000000007</v>
      </c>
      <c r="AC17" s="61">
        <v>9.3000000000000007</v>
      </c>
      <c r="AD17" s="61">
        <v>12.53</v>
      </c>
      <c r="AE17" s="61">
        <v>0</v>
      </c>
      <c r="AF17" s="61"/>
      <c r="AG17" s="61"/>
      <c r="AH17" s="61"/>
      <c r="AI17" s="61"/>
      <c r="AJ17" s="61"/>
      <c r="AK17" s="61">
        <v>1.44</v>
      </c>
      <c r="AL17" s="61">
        <v>1</v>
      </c>
      <c r="AM17" s="61">
        <v>1.5</v>
      </c>
      <c r="AN17" s="61">
        <v>1.52</v>
      </c>
      <c r="AO17" s="61">
        <v>0</v>
      </c>
      <c r="AP17" s="72"/>
      <c r="AQ17" s="11">
        <f>IF(SUM(V17:Y17)-Z17&gt;0,SUM(V17:Y17)-Z17,"")</f>
        <v>40.989999999999995</v>
      </c>
      <c r="AR17" s="11">
        <f>IF(AC17&gt;0,AC17,"")</f>
        <v>9.3000000000000007</v>
      </c>
      <c r="AS17" s="11">
        <f>IF(SUM(AA17:AD17)-AE17&gt;0,SUM(AA17:AD17)-AE17,"")</f>
        <v>43.53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84.52</v>
      </c>
      <c r="AW17" s="11">
        <f>IF(AM17&gt;0,AM17,"")</f>
        <v>1.5</v>
      </c>
      <c r="AX17" s="11">
        <f>IF(SUM(AK17:AN17)-AO17&gt;0,SUM(AK17:AN17)-AO17,"")</f>
        <v>5.46</v>
      </c>
      <c r="AY17" s="11">
        <f>IF(SUM(AV17,AX17)&gt;0,SUM(AV17,AX17),"")</f>
        <v>89.97999999999999</v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>IF(SUM(AZ17:BC17)-BD17&gt;0,SUM(AZ17:BC17)-BD17,"")</f>
        <v/>
      </c>
      <c r="BV17" s="14" t="str">
        <f>IF(BG17&gt;0,BG17,"")</f>
        <v/>
      </c>
      <c r="BW17" s="14" t="str">
        <f>IF(SUM(BE17:BH17)-BI17&gt;0,SUM(BE17:BH17)-BI17,"")</f>
        <v/>
      </c>
      <c r="BX17" s="14" t="str">
        <f>IF(BL17&gt;0,BL17,"")</f>
        <v/>
      </c>
      <c r="BY17" s="14" t="str">
        <f>IF(SUM(BJ17:BM17)-BN17&gt;0,SUM(BJ17:BM17)-BN17,"")</f>
        <v/>
      </c>
      <c r="BZ17" s="14" t="str">
        <f>IF(BU17="",IF(MAX(BW17,BY17)&gt;0,MAX(BW17,BY17),""),MAX(BW17,BY17)+BU17)</f>
        <v/>
      </c>
      <c r="CA17" s="14" t="str">
        <f>IF(BQ17&gt;0,BQ17,"")</f>
        <v/>
      </c>
      <c r="CB17" s="14" t="str">
        <f>IF(SUM(BO17:BR17)-BS17&gt;0,SUM(BO17:BR17)-BS17,"")</f>
        <v/>
      </c>
      <c r="CC17" s="14" t="str">
        <f>IF(SUM(BZ17,CB17)&gt;0,SUM(BZ17,CB17),"")</f>
        <v/>
      </c>
      <c r="CD17" s="61">
        <v>16.899999999999999</v>
      </c>
      <c r="CE17" s="61">
        <v>9.4</v>
      </c>
      <c r="CF17" s="61">
        <v>3.5</v>
      </c>
      <c r="CG17" s="61">
        <v>15.94</v>
      </c>
      <c r="CH17" s="61">
        <v>0</v>
      </c>
      <c r="CI17" s="61">
        <v>1.6</v>
      </c>
      <c r="CJ17" s="61">
        <v>0.9</v>
      </c>
      <c r="CK17" s="61">
        <v>1.7</v>
      </c>
      <c r="CL17" s="61">
        <v>1.615</v>
      </c>
      <c r="CM17" s="61">
        <v>0</v>
      </c>
      <c r="CN17" s="61">
        <v>5.8</v>
      </c>
      <c r="CO17" s="61">
        <v>3.4</v>
      </c>
      <c r="CP17" s="61">
        <v>5.4</v>
      </c>
      <c r="CQ17" s="61">
        <v>6.03</v>
      </c>
      <c r="CR17" s="61">
        <v>0</v>
      </c>
      <c r="CS17" s="61">
        <v>10.9</v>
      </c>
      <c r="CT17" s="61">
        <v>6.5</v>
      </c>
      <c r="CU17" s="61">
        <v>9.4</v>
      </c>
      <c r="CV17" s="61">
        <v>10.69</v>
      </c>
      <c r="CW17" s="61">
        <v>0</v>
      </c>
      <c r="CX17" s="72"/>
      <c r="CY17" s="11">
        <f>IF(SUM(CD17:CG17)-CH17&gt;0,SUM(CD17:CG17)-CH17,"")</f>
        <v>45.739999999999995</v>
      </c>
      <c r="CZ17" s="11">
        <f>IF(CK17&gt;0,CK17,"")</f>
        <v>1.7</v>
      </c>
      <c r="DA17" s="11">
        <f>IF(SUM(CI17:CL17)-CM17&gt;0,SUM(CI17:CL17)-CM17,"")</f>
        <v>5.8150000000000004</v>
      </c>
      <c r="DB17" s="11">
        <f>IF(CP17&gt;0,CP17,"")</f>
        <v>5.4</v>
      </c>
      <c r="DC17" s="11">
        <f>IF(SUM(CN17:CQ17)-CR17&gt;0,SUM(CN17:CQ17)-CR17,"")</f>
        <v>20.63</v>
      </c>
      <c r="DD17" s="11">
        <f>IF(CY17="",IF(MAX(DA17,DC17)&gt;0,MAX(DA17,DC17),""),MAX(DA17,DC17)+CY17)</f>
        <v>66.36999999999999</v>
      </c>
      <c r="DE17" s="11">
        <f>IF(CU17&gt;0,CU17,"")</f>
        <v>9.4</v>
      </c>
      <c r="DF17" s="11">
        <f>IF(SUM(CS17:CV17)-CW17&gt;0,SUM(CS17:CV17)-CW17,"")</f>
        <v>37.489999999999995</v>
      </c>
      <c r="DG17" s="11">
        <f>IF(SUM(DD17,DF17)&gt;0,SUM(DD17,DF17),"")</f>
        <v>103.85999999999999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8.4499999999999993</v>
      </c>
      <c r="NQ17" s="61">
        <f>IF($CX17="P",CE17,(CE17+BA17)/2)</f>
        <v>4.7</v>
      </c>
      <c r="NR17" s="61">
        <f>IF($CX17="P",CF17,(CF17+BB17)/2)</f>
        <v>1.75</v>
      </c>
      <c r="NS17" s="61">
        <f>IF($CX17="P",CG17,(CG17+BC17)/2)</f>
        <v>7.97</v>
      </c>
      <c r="NT17" s="61">
        <f>IF($CX17="P",CH17,(CH17+BD17)/2)</f>
        <v>0</v>
      </c>
      <c r="NU17" s="61">
        <f>IF($CX17="P",CI17,(CI17+BE17)/2)</f>
        <v>0.8</v>
      </c>
      <c r="NV17" s="61">
        <f>IF($CX17="P",CJ17,(CJ17+BF17)/2)</f>
        <v>0.45</v>
      </c>
      <c r="NW17" s="61">
        <f>IF($CX17="P",CK17,(CK17+BG17)/2)</f>
        <v>0.85</v>
      </c>
      <c r="NX17" s="61">
        <f>IF($CX17="P",CL17,(CL17+BH17)/2)</f>
        <v>0.8075</v>
      </c>
      <c r="NY17" s="61">
        <f>IF($CX17="P",CM17,(CM17+BI17)/2)</f>
        <v>0</v>
      </c>
      <c r="NZ17" s="61">
        <f>IF($CX17="P",CN17,(CN17+BJ17)/2)</f>
        <v>2.9</v>
      </c>
      <c r="OA17" s="61">
        <f>IF($CX17="P",CO17,(CO17+BK17)/2)</f>
        <v>1.7</v>
      </c>
      <c r="OB17" s="61">
        <f>IF($CX17="P",CP17,(CP17+BL17)/2)</f>
        <v>2.7</v>
      </c>
      <c r="OC17" s="61">
        <f>IF($CX17="P",CQ17,(CQ17+BM17)/2)</f>
        <v>3.0150000000000001</v>
      </c>
      <c r="OD17" s="61">
        <f>IF($CX17="P",CR17,(CR17+BN17)/2)</f>
        <v>0</v>
      </c>
      <c r="OE17" s="61">
        <f>IF($CX17="P",CS17,(CS17+BO17)/2)</f>
        <v>5.45</v>
      </c>
      <c r="OF17" s="61">
        <f>IF($CX17="P",CT17,(CT17+BP17)/2)</f>
        <v>3.25</v>
      </c>
      <c r="OG17" s="61">
        <f>IF($CX17="P",CU17,(CU17+BQ17)/2)</f>
        <v>4.7</v>
      </c>
      <c r="OH17" s="61">
        <f>IF($CX17="P",CV17,(CV17+BR17)/2)</f>
        <v>5.3449999999999998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22.869999999999997</v>
      </c>
      <c r="OL17" s="11">
        <f>IF(NW17&gt;0,NW17,"")</f>
        <v>0.85</v>
      </c>
      <c r="OM17" s="11">
        <f>IF(SUM(NU17:NX17)-NY17&gt;0,SUM(NU17:NX17)-NY17,"")</f>
        <v>2.9075000000000002</v>
      </c>
      <c r="ON17" s="11">
        <f>IF(OB17&gt;0,OB17,"")</f>
        <v>2.7</v>
      </c>
      <c r="OO17" s="11">
        <f>IF(SUM(NZ17:OC17)-OD17&gt;0,SUM(NZ17:OC17)-OD17,"")</f>
        <v>10.315</v>
      </c>
      <c r="OP17" s="11">
        <f>IF(OR(OK17&lt;&gt;"",OM17&lt;&gt;"",OO17&lt;&gt;""),OK17+MAX(OM17,OO17),"")</f>
        <v>33.184999999999995</v>
      </c>
      <c r="OQ17" s="11">
        <f>IF(OG17&gt;0,OG17,"")</f>
        <v>4.7</v>
      </c>
      <c r="OR17" s="11">
        <f t="shared" ref="OR17" si="12">IF(SUM(OE17:OH17)-OI17&gt;0,SUM(OE17:OH17)-OI17,"")</f>
        <v>18.744999999999997</v>
      </c>
      <c r="OS17" s="11">
        <f t="shared" ref="OS17" si="13">IF(SUM(OP17,OR17)&gt;0,SUM(OP17,OR17),"")</f>
        <v>51.929999999999993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117</v>
      </c>
      <c r="C18" s="7" t="s">
        <v>4</v>
      </c>
      <c r="D18" s="26">
        <v>2004</v>
      </c>
      <c r="E18" s="15">
        <f>SUM(O18:S18)</f>
        <v>51.84</v>
      </c>
      <c r="F18" s="3" t="str">
        <f>IF(G18&lt;&gt;"","P","")</f>
        <v/>
      </c>
      <c r="G18" s="115" t="str">
        <f>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Merit",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Excellence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Worlds Team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National Team",""))))</f>
        <v/>
      </c>
      <c r="H18" s="115" t="str">
        <f>IF(OR(AND(AS18&gt;=AY$28,AS18&lt;&gt;"",AP18=""),AND(AU18&gt;=AY$28,AU18&lt;&gt;"",AP18=""),AND(AX18&gt;=AY$28,AX18&lt;&gt;"",AP18=""),AND(BW18&gt;=CC$28,BW18&lt;&gt;"",BT18=""),AND(BY18&gt;=CC$28,BY18&lt;&gt;"",BT18=""),AND(CB18&gt;=CC$28,CB18&lt;&gt;"",BT18=""),AND(DA18&gt;=DG$28,DA18&lt;&gt;"",CX18=""),AND(DC18&gt;=DG$28,DC18&lt;&gt;"",CX18=""),AND(DF18&gt;=DG$28,DF18&lt;&gt;"",CX18=""),AND(EC18&gt;=EG$28,EC18&lt;&gt;""),AND(EF18&gt;=EG$28,EF18&lt;&gt;""),AND(EY18&gt;=FC$28,EY18&lt;&gt;""),AND(FB18&gt;=FC$28,FB18&lt;&gt;""),AND(FU18&gt;=FY$28,FU18&lt;&gt;""),AND(FX18&gt;=FY$28,FX18&lt;&gt;""),AND(GQ18&gt;=GU$28,GQ18&lt;&gt;""),AND(GT18&gt;=GU$28,GT18&lt;&gt;""),AND(HM18&gt;=HQ$28,HM18&lt;&gt;""),AND(HP18&gt;=HQ$28,HP18&lt;&gt;""),AND(II18&gt;=IM$28,II18&lt;&gt;""),AND(IL18&gt;=IM$28,IL18&lt;&gt;""),AND(JE18&gt;=JI$28,JE18&lt;&gt;""),AND(JH18&gt;=JI$28,JH18&lt;&gt;""),AND(KA18&gt;=KE$28,KA18&lt;&gt;""),AND(KD18&gt;=KE$28,KD18&lt;&gt;""),AND(KW18&gt;=LA$28,KW18&lt;&gt;""),AND(KZ18&gt;=LA$28,KZ18&lt;&gt;""),AND(LS18&gt;=LW$28,LS18&lt;&gt;""),AND(LV18&gt;=LW$28,LV18&lt;&gt;""),AND(MO18&gt;=MS$28,MO18&lt;&gt;""),AND(MR18&gt;=MS$28,MR18&lt;&gt;""),AND(NK18&gt;=NO$28,NK18&lt;&gt;""),AND(NN18&gt;=NO$28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$29,AV18&lt;&gt;"",AP18=""),AND(BZ18&gt;=CC$29,BZ18&lt;&gt;"",BT18=""),AND(DD18&gt;=DG$29,DD18&lt;&gt;"",CX18=""),AND(ED18&gt;=EG$29,ED18&lt;&gt;""),AND(EZ18&gt;=FC$29,EZ18&lt;&gt;""),AND(FV18&gt;=FY$29,FV18&lt;&gt;""),AND(GR18&gt;=GU$29,GR18&lt;&gt;""),AND(HN18&gt;=HQ$29,HN18&lt;&gt;""),AND(IJ18&gt;=IM$29,IJ18&lt;&gt;""),AND(JF18&gt;=JI$29,JF18&lt;&gt;""),AND(KB18&gt;=KE$29,KB18&lt;&gt;""),AND(KX18&gt;=LA$29,KX18&lt;&gt;""),AND(LT18&gt;=LW$29,LT18&lt;&gt;""),AND(MP18&gt;=MS$29,MP18&lt;&gt;""),AND(NL18&gt;=NO$29,NL18&lt;&gt;"")),OR(G18="Worlds Team",G18="Excellence",G18="Merit")),"P","")</f>
        <v/>
      </c>
      <c r="K18" s="14">
        <f>IF(MAX(AV18,BZ18,DD18)&gt;0,MAX(AV18,BZ18,DD18),0)</f>
        <v>78.259999999999991</v>
      </c>
      <c r="L18" s="14" t="str">
        <f>IF(K18=0,"",IF(K18=DD18,$CD$1,IF(K18=BZ18,$AZ$1,IF(K18=AV18,$V$1,""))))</f>
        <v>2021 2nd Virtual Technical Trial</v>
      </c>
      <c r="M18" s="14">
        <f>IF($K18=$AV18,MAX(BU18,CY18),IF($K18=$BZ18,MAX(AQ18,CY18),IF($K18=$DD18,MAX(AQ18,BU18),MAX(AQ18,BU18,CY18))))</f>
        <v>0</v>
      </c>
      <c r="N18" s="14" t="str">
        <f>IF(M18=0,"",IF(AND(M18=CY18,$L18&lt;&gt;$CD$1),$CD$1,IF(AND(M18=BU18,$L18&lt;&gt;$AZ$1),$AZ$1,IF(AND(M18=AQ18,$L18&lt;&gt;$V$1),$V$1,""))))</f>
        <v/>
      </c>
      <c r="O18" s="14">
        <f>MAX(AS18,AU18,AX18,BW18,BY18,CB18,DA18,DC18,DF18)</f>
        <v>38.055</v>
      </c>
      <c r="P18" s="14" t="str">
        <f>IF(O18=0,"",IF(OR(O18=DC18,O18=DA18,O18=DF18),$CD$1,IF(OR(O18=BY18,O18=BW18,O18=CB18),$AZ$1,IF(OR(O18=AU18,O18=AS18,O18=AX18),$V$1,""))))</f>
        <v>2021 2nd Virtual Technical Trial</v>
      </c>
      <c r="Q18" s="14">
        <f>IF(COUNT(AS18,AU18,AX18,BW18,BY18,CB18,DA18,DC18,DF18)&gt;1,LARGE((AS18,AU18,AX18,BW18,BY18,CB18,DA18,DC18,DF18),2),0)</f>
        <v>13.785</v>
      </c>
      <c r="R18" s="14" t="str">
        <f>IF(Q18=0,"",IF(OR(Q18=DC18,Q18=DA18,Q18=DF18),$CD$1,IF(OR(Q18=BY18,Q18=BW18,Q18=CB18),$AZ$1,IF(OR(Q18=AU18,Q18=AS18,Q18=AX18),$V$1,""))))</f>
        <v>2021 2nd Virtual Technical Trial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IF(AQ18="",IF(MAX(AS18,AU18)&gt;0,MAX(AS18,AU18),""),MAX(AS18,AU18)+AQ18)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1">
        <v>14</v>
      </c>
      <c r="CE18" s="61">
        <v>8.9</v>
      </c>
      <c r="CF18" s="61">
        <v>2.5</v>
      </c>
      <c r="CG18" s="61">
        <v>14.805</v>
      </c>
      <c r="CH18" s="61">
        <v>0</v>
      </c>
      <c r="CI18" s="61">
        <v>12.8</v>
      </c>
      <c r="CJ18" s="61">
        <v>8.1999999999999993</v>
      </c>
      <c r="CK18" s="61">
        <v>6.5</v>
      </c>
      <c r="CL18" s="61">
        <v>13.654999999999999</v>
      </c>
      <c r="CM18" s="61">
        <v>3.1</v>
      </c>
      <c r="CN18" s="61"/>
      <c r="CO18" s="61"/>
      <c r="CP18" s="61"/>
      <c r="CQ18" s="61"/>
      <c r="CR18" s="61"/>
      <c r="CS18" s="61">
        <v>3.4</v>
      </c>
      <c r="CT18" s="61">
        <v>2.4</v>
      </c>
      <c r="CU18" s="61">
        <v>3.2</v>
      </c>
      <c r="CV18" s="61">
        <v>4.7850000000000001</v>
      </c>
      <c r="CW18" s="61">
        <v>0</v>
      </c>
      <c r="CX18" s="72"/>
      <c r="CY18" s="11">
        <f>IF(SUM(CD18:CG18)-CH18&gt;0,SUM(CD18:CG18)-CH18,"")</f>
        <v>40.204999999999998</v>
      </c>
      <c r="CZ18" s="11">
        <f>IF(CK18&gt;0,CK18,"")</f>
        <v>6.5</v>
      </c>
      <c r="DA18" s="11">
        <f>IF(SUM(CI18:CL18)-CM18&gt;0,SUM(CI18:CL18)-CM18,"")</f>
        <v>38.055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78.259999999999991</v>
      </c>
      <c r="DE18" s="11">
        <f>IF(CU18&gt;0,CU18,"")</f>
        <v>3.2</v>
      </c>
      <c r="DF18" s="11">
        <f>IF(SUM(CS18:CV18)-CW18&gt;0,SUM(CS18:CV18)-CW18,"")</f>
        <v>13.785</v>
      </c>
      <c r="DG18" s="11">
        <f>IF(SUM(DD18,DF18)&gt;0,SUM(DD18,DF18),"")</f>
        <v>92.044999999999987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7</v>
      </c>
      <c r="NQ18" s="61">
        <f>IF($CX18="P",CE18,(CE18+BA18)/2)</f>
        <v>4.45</v>
      </c>
      <c r="NR18" s="61">
        <f>IF($CX18="P",CF18,(CF18+BB18)/2)</f>
        <v>1.25</v>
      </c>
      <c r="NS18" s="61">
        <f>IF($CX18="P",CG18,(CG18+BC18)/2)</f>
        <v>7.4024999999999999</v>
      </c>
      <c r="NT18" s="61">
        <f>IF($CX18="P",CH18,(CH18+BD18)/2)</f>
        <v>0</v>
      </c>
      <c r="NU18" s="61">
        <f>IF($CX18="P",CI18,(CI18+BE18)/2)</f>
        <v>6.4</v>
      </c>
      <c r="NV18" s="61">
        <f>IF($CX18="P",CJ18,(CJ18+BF18)/2)</f>
        <v>4.0999999999999996</v>
      </c>
      <c r="NW18" s="61">
        <f>IF($CX18="P",CK18,(CK18+BG18)/2)</f>
        <v>3.25</v>
      </c>
      <c r="NX18" s="61">
        <f>IF($CX18="P",CL18,(CL18+BH18)/2)</f>
        <v>6.8274999999999997</v>
      </c>
      <c r="NY18" s="61">
        <f>IF($CX18="P",CM18,(CM18+BI18)/2)</f>
        <v>1.55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1.7</v>
      </c>
      <c r="OF18" s="61">
        <f>IF($CX18="P",CT18,(CT18+BP18)/2)</f>
        <v>1.2</v>
      </c>
      <c r="OG18" s="61">
        <f>IF($CX18="P",CU18,(CU18+BQ18)/2)</f>
        <v>1.6</v>
      </c>
      <c r="OH18" s="61">
        <f>IF($CX18="P",CV18,(CV18+BR18)/2)</f>
        <v>2.3925000000000001</v>
      </c>
      <c r="OI18" s="61">
        <f>IF($CX18="P",CW18,(CW18+BS18)/2)</f>
        <v>0</v>
      </c>
      <c r="OJ18" s="72" t="s">
        <v>52</v>
      </c>
      <c r="OK18" s="11">
        <f>IF(SUM(NP18:NS18)-NT18&gt;0,SUM(NP18:NS18)-NT18,"")</f>
        <v>20.102499999999999</v>
      </c>
      <c r="OL18" s="11">
        <f>IF(NW18&gt;0,NW18,"")</f>
        <v>3.25</v>
      </c>
      <c r="OM18" s="11">
        <f>IF(SUM(NU18:NX18)-NY18&gt;0,SUM(NU18:NX18)-NY18,"")</f>
        <v>19.0275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39.129999999999995</v>
      </c>
      <c r="OQ18" s="11">
        <f>IF(OG18&gt;0,OG18,"")</f>
        <v>1.6</v>
      </c>
      <c r="OR18" s="11">
        <f t="shared" ref="OR18" si="14">IF(SUM(OE18:OH18)-OI18&gt;0,SUM(OE18:OH18)-OI18,"")</f>
        <v>6.8925000000000001</v>
      </c>
      <c r="OS18" s="11">
        <f t="shared" ref="OS18" si="15">IF(SUM(OP18,OR18)&gt;0,SUM(OP18,OR18),"")</f>
        <v>46.022499999999994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6" t="s">
        <v>82</v>
      </c>
      <c r="C19" s="7" t="s">
        <v>3</v>
      </c>
      <c r="D19" s="26">
        <v>2002</v>
      </c>
      <c r="E19" s="15">
        <f>SUM(O19:S19)</f>
        <v>25.395</v>
      </c>
      <c r="F19" s="3" t="str">
        <f>IF(G19&lt;&gt;"","P","")</f>
        <v/>
      </c>
      <c r="G19" s="115" t="str">
        <f>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Merit",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Excellence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Worlds Team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National Team",""))))</f>
        <v/>
      </c>
      <c r="H19" s="115" t="str">
        <f>IF(OR(AND(AS19&gt;=AY$28,AS19&lt;&gt;"",AP19=""),AND(AU19&gt;=AY$28,AU19&lt;&gt;"",AP19=""),AND(AX19&gt;=AY$28,AX19&lt;&gt;"",AP19=""),AND(BW19&gt;=CC$28,BW19&lt;&gt;"",BT19=""),AND(BY19&gt;=CC$28,BY19&lt;&gt;"",BT19=""),AND(CB19&gt;=CC$28,CB19&lt;&gt;"",BT19=""),AND(DA19&gt;=DG$28,DA19&lt;&gt;"",CX19=""),AND(DC19&gt;=DG$28,DC19&lt;&gt;"",CX19=""),AND(DF19&gt;=DG$28,DF19&lt;&gt;"",CX19=""),AND(EC19&gt;=EG$28,EC19&lt;&gt;""),AND(EF19&gt;=EG$28,EF19&lt;&gt;""),AND(EY19&gt;=FC$28,EY19&lt;&gt;""),AND(FB19&gt;=FC$28,FB19&lt;&gt;""),AND(FU19&gt;=FY$28,FU19&lt;&gt;""),AND(FX19&gt;=FY$28,FX19&lt;&gt;""),AND(GQ19&gt;=GU$28,GQ19&lt;&gt;""),AND(GT19&gt;=GU$28,GT19&lt;&gt;""),AND(HM19&gt;=HQ$28,HM19&lt;&gt;""),AND(HP19&gt;=HQ$28,HP19&lt;&gt;""),AND(II19&gt;=IM$28,II19&lt;&gt;""),AND(IL19&gt;=IM$28,IL19&lt;&gt;""),AND(JE19&gt;=JI$28,JE19&lt;&gt;""),AND(JH19&gt;=JI$28,JH19&lt;&gt;""),AND(KA19&gt;=KE$28,KA19&lt;&gt;""),AND(KD19&gt;=KE$28,KD19&lt;&gt;""),AND(KW19&gt;=LA$28,KW19&lt;&gt;""),AND(KZ19&gt;=LA$28,KZ19&lt;&gt;""),AND(LS19&gt;=LW$28,LS19&lt;&gt;""),AND(LV19&gt;=LW$28,LV19&lt;&gt;""),AND(MO19&gt;=MS$28,MO19&lt;&gt;""),AND(MR19&gt;=MS$28,MR19&lt;&gt;""),AND(NK19&gt;=NO$28,NK19&lt;&gt;""),AND(NN19&gt;=NO$28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$29,AV19&lt;&gt;"",AP19=""),AND(BZ19&gt;=CC$29,BZ19&lt;&gt;"",BT19=""),AND(DD19&gt;=DG$29,DD19&lt;&gt;"",CX19=""),AND(ED19&gt;=EG$29,ED19&lt;&gt;""),AND(EZ19&gt;=FC$29,EZ19&lt;&gt;""),AND(FV19&gt;=FY$29,FV19&lt;&gt;""),AND(GR19&gt;=GU$29,GR19&lt;&gt;""),AND(HN19&gt;=HQ$29,HN19&lt;&gt;""),AND(IJ19&gt;=IM$29,IJ19&lt;&gt;""),AND(JF19&gt;=JI$29,JF19&lt;&gt;""),AND(KB19&gt;=KE$29,KB19&lt;&gt;""),AND(KX19&gt;=LA$29,KX19&lt;&gt;""),AND(LT19&gt;=LW$29,LT19&lt;&gt;""),AND(MP19&gt;=MS$29,MP19&lt;&gt;""),AND(NL19&gt;=NO$29,NL19&lt;&gt;"")),OR(G19="Worlds Team",G19="Excellence",G19="Merit")),"P","")</f>
        <v/>
      </c>
      <c r="K19" s="14">
        <f>IF(MAX(AV19,BZ19,DD19)&gt;0,MAX(AV19,BZ19,DD19),0)</f>
        <v>72.954999999999998</v>
      </c>
      <c r="L19" s="14" t="str">
        <f>IF(K19=0,"",IF(K19=DD19,$CD$1,IF(K19=BZ19,$AZ$1,IF(K19=AV19,$V$1,""))))</f>
        <v>2019 Nationals</v>
      </c>
      <c r="M19" s="14">
        <f>IF($K19=$AV19,MAX(BU19,CY19),IF($K19=$BZ19,MAX(AQ19,CY19),IF($K19=$DD19,MAX(AQ19,BU19),MAX(AQ19,BU19,CY19))))</f>
        <v>0</v>
      </c>
      <c r="N19" s="14" t="str">
        <f>IF(M19=0,"",IF(AND(M19=CY19,$L19&lt;&gt;$CD$1),$CD$1,IF(AND(M19=BU19,$L19&lt;&gt;$AZ$1),$AZ$1,IF(AND(M19=AQ19,$L19&lt;&gt;$V$1),$V$1,""))))</f>
        <v/>
      </c>
      <c r="O19" s="14">
        <f>MAX(AS19,AU19,AX19,BW19,BY19,CB19,DA19,DC19,DF19)</f>
        <v>25.395</v>
      </c>
      <c r="P19" s="14" t="str">
        <f>IF(O19=0,"",IF(OR(O19=DC19,O19=DA19,O19=DF19),$CD$1,IF(OR(O19=BY19,O19=BW19,O19=CB19),$AZ$1,IF(OR(O19=AU19,O19=AS19,O19=AX19),$V$1,""))))</f>
        <v>2019 Nationals</v>
      </c>
      <c r="Q19" s="14">
        <f>IF(COUNT(AS19,AU19,AX19,BW19,BY19,CB19,DA19,DC19,DF19)&gt;1,LARGE((AS19,AU19,AX19,BW19,BY19,CB19,DA19,DC19,DF19),2),0)</f>
        <v>0</v>
      </c>
      <c r="R19" s="14" t="str">
        <f>IF(Q19=0,"",IF(OR(Q19=DC19,Q19=DA19,Q19=DF19),$CD$1,IF(OR(Q19=BY19,Q19=BW19,Q19=CB19),$AZ$1,IF(OR(Q19=AU19,Q19=AS19,Q19=AX19),$V$1,""))))</f>
        <v/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>
        <v>17.5</v>
      </c>
      <c r="W19" s="61">
        <v>9.6</v>
      </c>
      <c r="X19" s="61">
        <v>3.9</v>
      </c>
      <c r="Y19" s="61">
        <v>16.559999999999999</v>
      </c>
      <c r="Z19" s="61">
        <v>0</v>
      </c>
      <c r="AA19" s="61">
        <v>7.5</v>
      </c>
      <c r="AB19" s="61">
        <v>4.4000000000000004</v>
      </c>
      <c r="AC19" s="61">
        <v>6.4</v>
      </c>
      <c r="AD19" s="61">
        <v>7.0949999999999998</v>
      </c>
      <c r="AE19" s="61">
        <v>0</v>
      </c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>
        <f>IF(SUM(V19:Y19)-Z19&gt;0,SUM(V19:Y19)-Z19,"")</f>
        <v>47.56</v>
      </c>
      <c r="AR19" s="11">
        <f>IF(AC19&gt;0,AC19,"")</f>
        <v>6.4</v>
      </c>
      <c r="AS19" s="11">
        <f>IF(SUM(AA19:AD19)-AE19&gt;0,SUM(AA19:AD19)-AE19,"")</f>
        <v>25.395</v>
      </c>
      <c r="AT19" s="11" t="str">
        <f>IF(AH19&gt;0,AH19,"")</f>
        <v/>
      </c>
      <c r="AU19" s="11" t="str">
        <f>IF(SUM(AF19:AI19)-AJ19&gt;0,SUM(AF19:AI19)-AJ19,"")</f>
        <v/>
      </c>
      <c r="AV19" s="11">
        <f>IF(AQ19="",IF(MAX(AS19,AU19)&gt;0,MAX(AS19,AU19),""),MAX(AS19,AU19)+AQ19)</f>
        <v>72.954999999999998</v>
      </c>
      <c r="AW19" s="11" t="str">
        <f>IF(AM19&gt;0,AM19,"")</f>
        <v/>
      </c>
      <c r="AX19" s="11" t="str">
        <f>IF(SUM(AK19:AN19)-AO19&gt;0,SUM(AK19:AN19)-AO19,"")</f>
        <v/>
      </c>
      <c r="AY19" s="11">
        <f>IF(SUM(AV19,AX19)&gt;0,SUM(AV19,AX19),"")</f>
        <v>72.954999999999998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72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0</v>
      </c>
      <c r="NQ19" s="61">
        <f>IF($CX19="P",CE19,(CE19+BA19)/2)</f>
        <v>0</v>
      </c>
      <c r="NR19" s="61">
        <f>IF($CX19="P",CF19,(CF19+BB19)/2)</f>
        <v>0</v>
      </c>
      <c r="NS19" s="61">
        <f>IF($CX19="P",CG19,(CG19+BC19)/2)</f>
        <v>0</v>
      </c>
      <c r="NT19" s="61">
        <f>IF($CX19="P",CH19,(CH19+BD19)/2)</f>
        <v>0</v>
      </c>
      <c r="NU19" s="61">
        <f>IF($CX19="P",CI19,(CI19+BE19)/2)</f>
        <v>0</v>
      </c>
      <c r="NV19" s="61">
        <f>IF($CX19="P",CJ19,(CJ19+BF19)/2)</f>
        <v>0</v>
      </c>
      <c r="NW19" s="61">
        <f>IF($CX19="P",CK19,(CK19+BG19)/2)</f>
        <v>0</v>
      </c>
      <c r="NX19" s="61">
        <f>IF($CX19="P",CL19,(CL19+BH19)/2)</f>
        <v>0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0</v>
      </c>
      <c r="OF19" s="61">
        <f>IF($CX19="P",CT19,(CT19+BP19)/2)</f>
        <v>0</v>
      </c>
      <c r="OG19" s="61">
        <f>IF($CX19="P",CU19,(CU19+BQ19)/2)</f>
        <v>0</v>
      </c>
      <c r="OH19" s="61">
        <f>IF($CX19="P",CV19,(CV19+BR19)/2)</f>
        <v>0</v>
      </c>
      <c r="OI19" s="61">
        <f>IF($CX19="P",CW19,(CW19+BS19)/2)</f>
        <v>0</v>
      </c>
      <c r="OJ19" s="72" t="s">
        <v>52</v>
      </c>
      <c r="OK19" s="11" t="str">
        <f>IF(SUM(NP19:NS19)-NT19&gt;0,SUM(NP19:NS19)-NT19,"")</f>
        <v/>
      </c>
      <c r="OL19" s="11" t="str">
        <f>IF(NW19&gt;0,NW19,"")</f>
        <v/>
      </c>
      <c r="OM19" s="11" t="str">
        <f>IF(SUM(NU19:NX19)-NY19&gt;0,SUM(NU19:NX19)-NY19,"")</f>
        <v/>
      </c>
      <c r="ON19" s="11" t="str">
        <f>IF(OB19&gt;0,OB19,"")</f>
        <v/>
      </c>
      <c r="OO19" s="11" t="str">
        <f>IF(SUM(NZ19:OC19)-OD19&gt;0,SUM(NZ19:OC19)-OD19,"")</f>
        <v/>
      </c>
      <c r="OP19" s="11" t="str">
        <f>IF(OR(OK19&lt;&gt;"",OM19&lt;&gt;"",OO19&lt;&gt;""),OK19+MAX(OM19,OO19),"")</f>
        <v/>
      </c>
      <c r="OQ19" s="11" t="str">
        <f>IF(OG19&gt;0,OG19,"")</f>
        <v/>
      </c>
      <c r="OR19" s="11" t="str">
        <f t="shared" ref="OR19" si="16">IF(SUM(OE19:OH19)-OI19&gt;0,SUM(OE19:OH19)-OI19,"")</f>
        <v/>
      </c>
      <c r="OS19" s="11" t="str">
        <f t="shared" ref="OS19" si="17">IF(SUM(OP19,OR19)&gt;0,SUM(OP19,OR19),"")</f>
        <v/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86</v>
      </c>
      <c r="C20" s="7" t="s">
        <v>4</v>
      </c>
      <c r="D20" s="26">
        <v>2002</v>
      </c>
      <c r="E20" s="15">
        <f>SUM(O20:S20)</f>
        <v>11.16</v>
      </c>
      <c r="F20" s="3" t="str">
        <f>IF(G20&lt;&gt;"","P","")</f>
        <v/>
      </c>
      <c r="G20" s="115" t="str">
        <f>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Merit",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Excellence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Worlds Team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National Team",""))))</f>
        <v/>
      </c>
      <c r="H20" s="115" t="str">
        <f>IF(OR(AND(AS20&gt;=AY$28,AS20&lt;&gt;"",AP20=""),AND(AU20&gt;=AY$28,AU20&lt;&gt;"",AP20=""),AND(AX20&gt;=AY$28,AX20&lt;&gt;"",AP20=""),AND(BW20&gt;=CC$28,BW20&lt;&gt;"",BT20=""),AND(BY20&gt;=CC$28,BY20&lt;&gt;"",BT20=""),AND(CB20&gt;=CC$28,CB20&lt;&gt;"",BT20=""),AND(DA20&gt;=DG$28,DA20&lt;&gt;"",CX20=""),AND(DC20&gt;=DG$28,DC20&lt;&gt;"",CX20=""),AND(DF20&gt;=DG$28,DF20&lt;&gt;"",CX20=""),AND(EC20&gt;=EG$28,EC20&lt;&gt;""),AND(EF20&gt;=EG$28,EF20&lt;&gt;""),AND(EY20&gt;=FC$28,EY20&lt;&gt;""),AND(FB20&gt;=FC$28,FB20&lt;&gt;""),AND(FU20&gt;=FY$28,FU20&lt;&gt;""),AND(FX20&gt;=FY$28,FX20&lt;&gt;""),AND(GQ20&gt;=GU$28,GQ20&lt;&gt;""),AND(GT20&gt;=GU$28,GT20&lt;&gt;""),AND(HM20&gt;=HQ$28,HM20&lt;&gt;""),AND(HP20&gt;=HQ$28,HP20&lt;&gt;""),AND(II20&gt;=IM$28,II20&lt;&gt;""),AND(IL20&gt;=IM$28,IL20&lt;&gt;""),AND(JE20&gt;=JI$28,JE20&lt;&gt;""),AND(JH20&gt;=JI$28,JH20&lt;&gt;""),AND(KA20&gt;=KE$28,KA20&lt;&gt;""),AND(KD20&gt;=KE$28,KD20&lt;&gt;""),AND(KW20&gt;=LA$28,KW20&lt;&gt;""),AND(KZ20&gt;=LA$28,KZ20&lt;&gt;""),AND(LS20&gt;=LW$28,LS20&lt;&gt;""),AND(LV20&gt;=LW$28,LV20&lt;&gt;""),AND(MO20&gt;=MS$28,MO20&lt;&gt;""),AND(MR20&gt;=MS$28,MR20&lt;&gt;""),AND(NK20&gt;=NO$28,NK20&lt;&gt;""),AND(NN20&gt;=NO$28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$29,AV20&lt;&gt;"",AP20=""),AND(BZ20&gt;=CC$29,BZ20&lt;&gt;"",BT20=""),AND(DD20&gt;=DG$29,DD20&lt;&gt;"",CX20=""),AND(ED20&gt;=EG$29,ED20&lt;&gt;""),AND(EZ20&gt;=FC$29,EZ20&lt;&gt;""),AND(FV20&gt;=FY$29,FV20&lt;&gt;""),AND(GR20&gt;=GU$29,GR20&lt;&gt;""),AND(HN20&gt;=HQ$29,HN20&lt;&gt;""),AND(IJ20&gt;=IM$29,IJ20&lt;&gt;""),AND(JF20&gt;=JI$29,JF20&lt;&gt;""),AND(KB20&gt;=KE$29,KB20&lt;&gt;""),AND(KX20&gt;=LA$29,KX20&lt;&gt;""),AND(LT20&gt;=LW$29,LT20&lt;&gt;""),AND(MP20&gt;=MS$29,MP20&lt;&gt;""),AND(NL20&gt;=NO$29,NL20&lt;&gt;"")),OR(G20="Worlds Team",G20="Excellence",G20="Merit")),"P","")</f>
        <v/>
      </c>
      <c r="K20" s="14">
        <f>IF(MAX(AV20,BZ20,DD20)&gt;0,MAX(AV20,BZ20,DD20),0)</f>
        <v>58.614999999999995</v>
      </c>
      <c r="L20" s="14" t="str">
        <f>IF(K20=0,"",IF(K20=DD20,$CD$1,IF(K20=BZ20,$AZ$1,IF(K20=AV20,$V$1,""))))</f>
        <v>2019 Nationals</v>
      </c>
      <c r="M20" s="14">
        <f>IF($K20=$AV20,MAX(BU20,CY20),IF($K20=$BZ20,MAX(AQ20,CY20),IF($K20=$DD20,MAX(AQ20,BU20),MAX(AQ20,BU20,CY20))))</f>
        <v>0</v>
      </c>
      <c r="N20" s="14" t="str">
        <f>IF(M20=0,"",IF(AND(M20=CY20,$L20&lt;&gt;$CD$1),$CD$1,IF(AND(M20=BU20,$L20&lt;&gt;$AZ$1),$AZ$1,IF(AND(M20=AQ20,$L20&lt;&gt;$V$1),$V$1,""))))</f>
        <v/>
      </c>
      <c r="O20" s="14">
        <f>MAX(AS20,AU20,AX20,BW20,BY20,CB20,DA20,DC20,DF20)</f>
        <v>11.16</v>
      </c>
      <c r="P20" s="14" t="str">
        <f>IF(O20=0,"",IF(OR(O20=DC20,O20=DA20,O20=DF20),$CD$1,IF(OR(O20=BY20,O20=BW20,O20=CB20),$AZ$1,IF(OR(O20=AU20,O20=AS20,O20=AX20),$V$1,""))))</f>
        <v>2019 Nationals</v>
      </c>
      <c r="Q20" s="14">
        <f>IF(COUNT(AS20,AU20,AX20,BW20,BY20,CB20,DA20,DC20,DF20)&gt;1,LARGE((AS20,AU20,AX20,BW20,BY20,CB20,DA20,DC20,DF20),2),0)</f>
        <v>0</v>
      </c>
      <c r="R20" s="14" t="str">
        <f>IF(Q20=0,"",IF(OR(Q20=DC20,Q20=DA20,Q20=DF20),$CD$1,IF(OR(Q20=BY20,Q20=BW20,Q20=CB20),$AZ$1,IF(OR(Q20=AU20,Q20=AS20,Q20=AX20),$V$1,""))))</f>
        <v/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>
        <v>17.8</v>
      </c>
      <c r="W20" s="61">
        <v>9.5</v>
      </c>
      <c r="X20" s="61">
        <v>4</v>
      </c>
      <c r="Y20" s="61">
        <v>16.155000000000001</v>
      </c>
      <c r="Z20" s="61">
        <v>0</v>
      </c>
      <c r="AA20" s="61">
        <v>3</v>
      </c>
      <c r="AB20" s="61">
        <v>1.7</v>
      </c>
      <c r="AC20" s="61">
        <v>3.1</v>
      </c>
      <c r="AD20" s="61">
        <v>3.36</v>
      </c>
      <c r="AE20" s="61">
        <v>0</v>
      </c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>
        <f>IF(SUM(V20:Y20)-Z20&gt;0,SUM(V20:Y20)-Z20,"")</f>
        <v>47.454999999999998</v>
      </c>
      <c r="AR20" s="11">
        <f>IF(AC20&gt;0,AC20,"")</f>
        <v>3.1</v>
      </c>
      <c r="AS20" s="11">
        <f>IF(SUM(AA20:AD20)-AE20&gt;0,SUM(AA20:AD20)-AE20,"")</f>
        <v>11.16</v>
      </c>
      <c r="AT20" s="11" t="str">
        <f>IF(AH20&gt;0,AH20,"")</f>
        <v/>
      </c>
      <c r="AU20" s="11" t="str">
        <f>IF(SUM(AF20:AI20)-AJ20&gt;0,SUM(AF20:AI20)-AJ20,"")</f>
        <v/>
      </c>
      <c r="AV20" s="11">
        <f>IF(AQ20="",IF(MAX(AS20,AU20)&gt;0,MAX(AS20,AU20),""),MAX(AS20,AU20)+AQ20)</f>
        <v>58.614999999999995</v>
      </c>
      <c r="AW20" s="11" t="str">
        <f>IF(AM20&gt;0,AM20,"")</f>
        <v/>
      </c>
      <c r="AX20" s="11" t="str">
        <f>IF(SUM(AK20:AN20)-AO20&gt;0,SUM(AK20:AN20)-AO20,"")</f>
        <v/>
      </c>
      <c r="AY20" s="11">
        <f>IF(SUM(AV20,AX20)&gt;0,SUM(AV20,AX20),"")</f>
        <v>58.614999999999995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>IF(SUM(AZ20:BC20)-BD20&gt;0,SUM(AZ20:BC20)-BD20,"")</f>
        <v/>
      </c>
      <c r="BV20" s="14" t="str">
        <f>IF(BG20&gt;0,BG20,"")</f>
        <v/>
      </c>
      <c r="BW20" s="14" t="str">
        <f>IF(SUM(BE20:BH20)-BI20&gt;0,SUM(BE20:BH20)-BI20,"")</f>
        <v/>
      </c>
      <c r="BX20" s="14" t="str">
        <f>IF(BL20&gt;0,BL20,"")</f>
        <v/>
      </c>
      <c r="BY20" s="14" t="str">
        <f>IF(SUM(BJ20:BM20)-BN20&gt;0,SUM(BJ20:BM20)-BN20,"")</f>
        <v/>
      </c>
      <c r="BZ20" s="14" t="str">
        <f>IF(BU20="",IF(MAX(BW20,BY20)&gt;0,MAX(BW20,BY20),""),MAX(BW20,BY20)+BU20)</f>
        <v/>
      </c>
      <c r="CA20" s="14" t="str">
        <f>IF(BQ20&gt;0,BQ20,"")</f>
        <v/>
      </c>
      <c r="CB20" s="14" t="str">
        <f>IF(SUM(BO20:BR20)-BS20&gt;0,SUM(BO20:BR20)-BS20,"")</f>
        <v/>
      </c>
      <c r="CC20" s="14" t="str">
        <f>IF(SUM(BZ20,CB20)&gt;0,SUM(BZ20,CB20),"")</f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0</v>
      </c>
      <c r="NQ20" s="61">
        <f>IF($CX20="P",CE20,(CE20+BA20)/2)</f>
        <v>0</v>
      </c>
      <c r="NR20" s="61">
        <f>IF($CX20="P",CF20,(CF20+BB20)/2)</f>
        <v>0</v>
      </c>
      <c r="NS20" s="61">
        <f>IF($CX20="P",CG20,(CG20+BC20)/2)</f>
        <v>0</v>
      </c>
      <c r="NT20" s="61">
        <f>IF($CX20="P",CH20,(CH20+BD20)/2)</f>
        <v>0</v>
      </c>
      <c r="NU20" s="61">
        <f>IF($CX20="P",CI20,(CI20+BE20)/2)</f>
        <v>0</v>
      </c>
      <c r="NV20" s="61">
        <f>IF($CX20="P",CJ20,(CJ20+BF20)/2)</f>
        <v>0</v>
      </c>
      <c r="NW20" s="61">
        <f>IF($CX20="P",CK20,(CK20+BG20)/2)</f>
        <v>0</v>
      </c>
      <c r="NX20" s="61">
        <f>IF($CX20="P",CL20,(CL20+BH20)/2)</f>
        <v>0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0</v>
      </c>
      <c r="OF20" s="61">
        <f>IF($CX20="P",CT20,(CT20+BP20)/2)</f>
        <v>0</v>
      </c>
      <c r="OG20" s="61">
        <f>IF($CX20="P",CU20,(CU20+BQ20)/2)</f>
        <v>0</v>
      </c>
      <c r="OH20" s="61">
        <f>IF($CX20="P",CV20,(CV20+BR20)/2)</f>
        <v>0</v>
      </c>
      <c r="OI20" s="61">
        <f>IF($CX20="P",CW20,(CW20+BS20)/2)</f>
        <v>0</v>
      </c>
      <c r="OJ20" s="72" t="s">
        <v>52</v>
      </c>
      <c r="OK20" s="11" t="str">
        <f>IF(SUM(NP20:NS20)-NT20&gt;0,SUM(NP20:NS20)-NT20,"")</f>
        <v/>
      </c>
      <c r="OL20" s="11" t="str">
        <f>IF(NW20&gt;0,NW20,"")</f>
        <v/>
      </c>
      <c r="OM20" s="11" t="str">
        <f>IF(SUM(NU20:NX20)-NY20&gt;0,SUM(NU20:NX20)-NY20,"")</f>
        <v/>
      </c>
      <c r="ON20" s="11" t="str">
        <f>IF(OB20&gt;0,OB20,"")</f>
        <v/>
      </c>
      <c r="OO20" s="11" t="str">
        <f>IF(SUM(NZ20:OC20)-OD20&gt;0,SUM(NZ20:OC20)-OD20,"")</f>
        <v/>
      </c>
      <c r="OP20" s="11" t="str">
        <f>IF(OR(OK20&lt;&gt;"",OM20&lt;&gt;"",OO20&lt;&gt;""),OK20+MAX(OM20,OO20),"")</f>
        <v/>
      </c>
      <c r="OQ20" s="11" t="str">
        <f>IF(OG20&gt;0,OG20,"")</f>
        <v/>
      </c>
      <c r="OR20" s="11" t="str">
        <f t="shared" ref="OR20" si="18">IF(SUM(OE20:OH20)-OI20&gt;0,SUM(OE20:OH20)-OI20,"")</f>
        <v/>
      </c>
      <c r="OS20" s="11" t="str">
        <f t="shared" ref="OS20" si="19">IF(SUM(OP20,OR20)&gt;0,SUM(OP20,OR20),"")</f>
        <v/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83</v>
      </c>
      <c r="C21" s="7" t="s">
        <v>3</v>
      </c>
      <c r="D21" s="26">
        <v>2002</v>
      </c>
      <c r="E21" s="15">
        <f>SUM(O21:S21)</f>
        <v>5.835</v>
      </c>
      <c r="F21" s="3" t="str">
        <f>IF(G21&lt;&gt;"","P","")</f>
        <v/>
      </c>
      <c r="G21" s="115" t="str">
        <f>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Merit",IF(OR(AND(AR21&gt;=AY$26,AR21&lt;&gt;"",AP21=""),AND(AT21&gt;=AY$26,AT21&lt;&gt;"",AP21=""),AND(AW21&gt;=AY$26,AW21&lt;&gt;"",AP21=""),AND(BV21&gt;=CC$26,BV21&lt;&gt;"",BT21=""),AND(BX21&gt;=CC$26,BX21&lt;&gt;"",BT21=""),AND(CA21&gt;=CC$26,CA21&lt;&gt;"",BT21=""),AND(CZ21&gt;=DG$26,CZ21&lt;&gt;"",CX21=""),AND(DB21&gt;=DG$26,DB21&lt;&gt;"",CX21=""),AND(DE21&gt;=DG$26,DE21&lt;&gt;"",CX21=""),AND(EA21&gt;=EG$26,EA21&lt;&gt;""),AND(EE21&gt;=EG$26,EE21&lt;&gt;""),AND(EW21&gt;=FC$26,EW21&lt;&gt;""),AND(FA21&gt;=FC$26,FA21&lt;&gt;""),AND(FS21&gt;=FY$26,FS21&lt;&gt;""),AND(FW21&gt;=FY$26,FW21&lt;&gt;""),AND(GO21&gt;=GU$26,GO21&lt;&gt;""),AND(GS21&gt;=GU$26,GS21&lt;&gt;""),AND(HK21&gt;=HQ$26,HK21&lt;&gt;""),AND(HO21&gt;=HQ$26,HO21&lt;&gt;""),AND(IG21&gt;=IM$26,IG21&lt;&gt;""),AND(IK21&gt;=IM$26,IK21&lt;&gt;""),AND(JC21&gt;=JI$26,JC21&lt;&gt;""),AND(JG21&gt;=JI$26,JG21&lt;&gt;""),AND(JY21&gt;=KE$26,JY21&lt;&gt;""),AND(KC21&gt;=KE$26,KC21&lt;&gt;""),AND(KU21&gt;=LA$26,KU21&lt;&gt;""),AND(KY21&gt;=LA$26,KY21&lt;&gt;""),AND(LQ21&gt;=LW$26,LQ21&lt;&gt;""),AND(LU21&gt;=LW$26,LU21&lt;&gt;""),AND(MM21&gt;=MS$26,MM21&lt;&gt;""),AND(MQ21&gt;=MS$26,MQ21&lt;&gt;""),AND(NI21&gt;=NO$26,NI21&lt;&gt;""),AND(NM21&gt;=NO$26,NM21&lt;&gt;"")),"Excellence",IF(OR(AND(AR21&gt;=AY$25,AR21&lt;&gt;"",AP21=""),AND(AT21&gt;=AY$25,AT21&lt;&gt;"",AP21=""),AND(AW21&gt;=AY$25,AW21&lt;&gt;"",AP21=""),AND(BV21&gt;=CC$25,BV21&lt;&gt;"",BT21=""),AND(BX21&gt;=CC$25,BX21&lt;&gt;"",BT21=""),AND(CA21&gt;=CC$25,CA21&lt;&gt;"",BT21=""),AND(CZ21&gt;=DG$25,CZ21&lt;&gt;"",CX21=""),AND(DB21&gt;=DG$25,DB21&lt;&gt;"",CX21=""),AND(DE21&gt;=DG$25,DE21&lt;&gt;"",CX21=""),AND(EA21&gt;=EG$25,EA21&lt;&gt;""),AND(EE21&gt;=EG$25,EE21&lt;&gt;""),AND(EW21&gt;=FC$25,EW21&lt;&gt;""),AND(FA21&gt;=FC$25,FA21&lt;&gt;""),AND(FS21&gt;=FY$25,FS21&lt;&gt;""),AND(FW21&gt;=FY$25,FW21&lt;&gt;""),AND(GO21&gt;=GU$25,GO21&lt;&gt;""),AND(GS21&gt;=GU$25,GS21&lt;&gt;""),AND(HK21&gt;=HQ$25,HK21&lt;&gt;""),AND(HO21&gt;=HQ$25,HO21&lt;&gt;""),AND(IG21&gt;=IM$25,IG21&lt;&gt;""),AND(IK21&gt;=IM$25,IK21&lt;&gt;""),AND(JC21&gt;=JI$25,JC21&lt;&gt;""),AND(JG21&gt;=JI$25,JG21&lt;&gt;""),AND(JY21&gt;=KE$25,JY21&lt;&gt;""),AND(KC21&gt;=KE$25,KC21&lt;&gt;""),AND(KU21&gt;=LA$25,KU21&lt;&gt;""),AND(KY21&gt;=LA$25,KY21&lt;&gt;""),AND(LQ21&gt;=LW$25,LQ21&lt;&gt;""),AND(LU21&gt;=LW$25,LU21&lt;&gt;""),AND(MM21&gt;=MS$25,MM21&lt;&gt;""),AND(MQ21&gt;=MS$25,MQ21&lt;&gt;""),AND(NI21&gt;=NO$25,NI21&lt;&gt;""),AND(NM21&gt;=NO$25,NM21&lt;&gt;"")),"Worlds Team",IF(OR(AND(AR21&gt;=AY$24,AR21&lt;&gt;"",AP21=""),AND(AT21&gt;=AY$24,AT21&lt;&gt;"",AP21=""),AND(AW21&gt;=AY$24,AW21&lt;&gt;"",AP21=""),AND(BV21&gt;=CC$24,BV21&lt;&gt;"",BT21=""),AND(BX21&gt;=CC$24,BX21&lt;&gt;"",BT21=""),AND(CA21&gt;=CC$24,CA21&lt;&gt;"",BT21=""),AND(CZ21&gt;=DG$24,CZ21&lt;&gt;"",CX21=""),AND(DB21&gt;=DG$24,DB21&lt;&gt;"",CX21=""),AND(DE21&gt;=DG$24,DE21&lt;&gt;"",CX21=""),AND(EA21&gt;=EG$24,EA21&lt;&gt;""),AND(EE21&gt;=EG$24,EE21&lt;&gt;""),AND(EW21&gt;=FC$24,EW21&lt;&gt;""),AND(FA21&gt;=FC$24,FA21&lt;&gt;""),AND(FS21&gt;=FY$24,FS21&lt;&gt;""),AND(FW21&gt;=FY$24,FW21&lt;&gt;""),AND(GO21&gt;=GU$24,GO21&lt;&gt;""),AND(GS21&gt;=GU$24,GS21&lt;&gt;""),AND(HK21&gt;=HQ$24,HK21&lt;&gt;""),AND(HO21&gt;=HQ$24,HO21&lt;&gt;""),AND(IG21&gt;=IM$24,IG21&lt;&gt;""),AND(IK21&gt;=IM$24,IK21&lt;&gt;""),AND(JC21&gt;=JI$24,JC21&lt;&gt;""),AND(JG21&gt;=JI$24,JG21&lt;&gt;""),AND(JY21&gt;=KE$24,JY21&lt;&gt;""),AND(KC21&gt;=KE$24,KC21&lt;&gt;""),AND(KU21&gt;=LA$24,KU21&lt;&gt;""),AND(KY21&gt;=LA$24,KY21&lt;&gt;""),AND(LQ21&gt;=LW$24,LQ21&lt;&gt;""),AND(LU21&gt;=LW$24,LU21&lt;&gt;""),AND(MM21&gt;=MS$24,MM21&lt;&gt;""),AND(MQ21&gt;=MS$24,MQ21&lt;&gt;""),AND(NI21&gt;=NO$24,NI21&lt;&gt;""),AND(NM21&gt;=NO$24,NM21&lt;&gt;"")),"National Team",""))))</f>
        <v/>
      </c>
      <c r="H21" s="115" t="str">
        <f>IF(OR(AND(AS21&gt;=AY$28,AS21&lt;&gt;"",AP21=""),AND(AU21&gt;=AY$28,AU21&lt;&gt;"",AP21=""),AND(AX21&gt;=AY$28,AX21&lt;&gt;"",AP21=""),AND(BW21&gt;=CC$28,BW21&lt;&gt;"",BT21=""),AND(BY21&gt;=CC$28,BY21&lt;&gt;"",BT21=""),AND(CB21&gt;=CC$28,CB21&lt;&gt;"",BT21=""),AND(DA21&gt;=DG$28,DA21&lt;&gt;"",CX21=""),AND(DC21&gt;=DG$28,DC21&lt;&gt;"",CX21=""),AND(DF21&gt;=DG$28,DF21&lt;&gt;"",CX21=""),AND(EC21&gt;=EG$28,EC21&lt;&gt;""),AND(EF21&gt;=EG$28,EF21&lt;&gt;""),AND(EY21&gt;=FC$28,EY21&lt;&gt;""),AND(FB21&gt;=FC$28,FB21&lt;&gt;""),AND(FU21&gt;=FY$28,FU21&lt;&gt;""),AND(FX21&gt;=FY$28,FX21&lt;&gt;""),AND(GQ21&gt;=GU$28,GQ21&lt;&gt;""),AND(GT21&gt;=GU$28,GT21&lt;&gt;""),AND(HM21&gt;=HQ$28,HM21&lt;&gt;""),AND(HP21&gt;=HQ$28,HP21&lt;&gt;""),AND(II21&gt;=IM$28,II21&lt;&gt;""),AND(IL21&gt;=IM$28,IL21&lt;&gt;""),AND(JE21&gt;=JI$28,JE21&lt;&gt;""),AND(JH21&gt;=JI$28,JH21&lt;&gt;""),AND(KA21&gt;=KE$28,KA21&lt;&gt;""),AND(KD21&gt;=KE$28,KD21&lt;&gt;""),AND(KW21&gt;=LA$28,KW21&lt;&gt;""),AND(KZ21&gt;=LA$28,KZ21&lt;&gt;""),AND(LS21&gt;=LW$28,LS21&lt;&gt;""),AND(LV21&gt;=LW$28,LV21&lt;&gt;""),AND(MO21&gt;=MS$28,MO21&lt;&gt;""),AND(MR21&gt;=MS$28,MR21&lt;&gt;""),AND(NK21&gt;=NO$28,NK21&lt;&gt;""),AND(NN21&gt;=NO$28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$29,AV21&lt;&gt;"",AP21=""),AND(BZ21&gt;=CC$29,BZ21&lt;&gt;"",BT21=""),AND(DD21&gt;=DG$29,DD21&lt;&gt;"",CX21=""),AND(ED21&gt;=EG$29,ED21&lt;&gt;""),AND(EZ21&gt;=FC$29,EZ21&lt;&gt;""),AND(FV21&gt;=FY$29,FV21&lt;&gt;""),AND(GR21&gt;=GU$29,GR21&lt;&gt;""),AND(HN21&gt;=HQ$29,HN21&lt;&gt;""),AND(IJ21&gt;=IM$29,IJ21&lt;&gt;""),AND(JF21&gt;=JI$29,JF21&lt;&gt;""),AND(KB21&gt;=KE$29,KB21&lt;&gt;""),AND(KX21&gt;=LA$29,KX21&lt;&gt;""),AND(LT21&gt;=LW$29,LT21&lt;&gt;""),AND(MP21&gt;=MS$29,MP21&lt;&gt;""),AND(NL21&gt;=NO$29,NL21&lt;&gt;"")),OR(G21="Worlds Team",G21="Excellence",G21="Merit")),"P","")</f>
        <v/>
      </c>
      <c r="K21" s="14">
        <f>IF(MAX(AV21,BZ21,DD21)&gt;0,MAX(AV21,BZ21,DD21),0)</f>
        <v>49.625</v>
      </c>
      <c r="L21" s="14" t="str">
        <f>IF(K21=0,"",IF(K21=DD21,$CD$1,IF(K21=BZ21,$AZ$1,IF(K21=AV21,$V$1,""))))</f>
        <v>2019 Nationals</v>
      </c>
      <c r="M21" s="14">
        <f>IF($K21=$AV21,MAX(BU21,CY21),IF($K21=$BZ21,MAX(AQ21,CY21),IF($K21=$DD21,MAX(AQ21,BU21),MAX(AQ21,BU21,CY21))))</f>
        <v>0</v>
      </c>
      <c r="N21" s="14" t="str">
        <f>IF(M21=0,"",IF(AND(M21=CY21,$L21&lt;&gt;$CD$1),$CD$1,IF(AND(M21=BU21,$L21&lt;&gt;$AZ$1),$AZ$1,IF(AND(M21=AQ21,$L21&lt;&gt;$V$1),$V$1,""))))</f>
        <v/>
      </c>
      <c r="O21" s="14">
        <f>MAX(AS21,AU21,AX21,BW21,BY21,CB21,DA21,DC21,DF21)</f>
        <v>5.835</v>
      </c>
      <c r="P21" s="14" t="str">
        <f>IF(O21=0,"",IF(OR(O21=DC21,O21=DA21,O21=DF21),$CD$1,IF(OR(O21=BY21,O21=BW21,O21=CB21),$AZ$1,IF(OR(O21=AU21,O21=AS21,O21=AX21),$V$1,""))))</f>
        <v>2019 Nationals</v>
      </c>
      <c r="Q21" s="14">
        <f>IF(COUNT(AS21,AU21,AX21,BW21,BY21,CB21,DA21,DC21,DF21)&gt;1,LARGE((AS21,AU21,AX21,BW21,BY21,CB21,DA21,DC21,DF21),2),0)</f>
        <v>0</v>
      </c>
      <c r="R21" s="14" t="str">
        <f>IF(Q21=0,"",IF(OR(Q21=DC21,Q21=DA21,Q21=DF21),$CD$1,IF(OR(Q21=BY21,Q21=BW21,Q21=CB21),$AZ$1,IF(OR(Q21=AU21,Q21=AS21,Q21=AX21),$V$1,""))))</f>
        <v/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>
        <v>14.9</v>
      </c>
      <c r="W21" s="61">
        <v>8.6999999999999993</v>
      </c>
      <c r="X21" s="61">
        <v>3.9</v>
      </c>
      <c r="Y21" s="61">
        <v>16.29</v>
      </c>
      <c r="Z21" s="61">
        <v>0</v>
      </c>
      <c r="AA21" s="61">
        <v>1.5</v>
      </c>
      <c r="AB21" s="61">
        <v>0.9</v>
      </c>
      <c r="AC21" s="61">
        <v>1.7</v>
      </c>
      <c r="AD21" s="61">
        <v>1.7350000000000001</v>
      </c>
      <c r="AE21" s="61">
        <v>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>
        <f>IF(SUM(V21:Y21)-Z21&gt;0,SUM(V21:Y21)-Z21,"")</f>
        <v>43.79</v>
      </c>
      <c r="AR21" s="11">
        <f>IF(AC21&gt;0,AC21,"")</f>
        <v>1.7</v>
      </c>
      <c r="AS21" s="11">
        <f>IF(SUM(AA21:AD21)-AE21&gt;0,SUM(AA21:AD21)-AE21,"")</f>
        <v>5.835</v>
      </c>
      <c r="AT21" s="11" t="str">
        <f>IF(AH21&gt;0,AH21,"")</f>
        <v/>
      </c>
      <c r="AU21" s="11" t="str">
        <f>IF(SUM(AF21:AI21)-AJ21&gt;0,SUM(AF21:AI21)-AJ21,"")</f>
        <v/>
      </c>
      <c r="AV21" s="11">
        <f>IF(AQ21="",IF(MAX(AS21,AU21)&gt;0,MAX(AS21,AU21),""),MAX(AS21,AU21)+AQ21)</f>
        <v>49.625</v>
      </c>
      <c r="AW21" s="11" t="str">
        <f>IF(AM21&gt;0,AM21,"")</f>
        <v/>
      </c>
      <c r="AX21" s="11" t="str">
        <f>IF(SUM(AK21:AN21)-AO21&gt;0,SUM(AK21:AN21)-AO21,"")</f>
        <v/>
      </c>
      <c r="AY21" s="11">
        <f>IF(SUM(AV21,AX21)&gt;0,SUM(AV21,AX21),"")</f>
        <v>49.625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>IF(SUM(AZ21:BC21)-BD21&gt;0,SUM(AZ21:BC21)-BD21,"")</f>
        <v/>
      </c>
      <c r="BV21" s="14" t="str">
        <f>IF(BG21&gt;0,BG21,"")</f>
        <v/>
      </c>
      <c r="BW21" s="14" t="str">
        <f>IF(SUM(BE21:BH21)-BI21&gt;0,SUM(BE21:BH21)-BI21,"")</f>
        <v/>
      </c>
      <c r="BX21" s="14" t="str">
        <f>IF(BL21&gt;0,BL21,"")</f>
        <v/>
      </c>
      <c r="BY21" s="14" t="str">
        <f>IF(SUM(BJ21:BM21)-BN21&gt;0,SUM(BJ21:BM21)-BN21,"")</f>
        <v/>
      </c>
      <c r="BZ21" s="14" t="str">
        <f>IF(BU21="",IF(MAX(BW21,BY21)&gt;0,MAX(BW21,BY21),""),MAX(BW21,BY21)+BU21)</f>
        <v/>
      </c>
      <c r="CA21" s="14" t="str">
        <f>IF(BQ21&gt;0,BQ21,"")</f>
        <v/>
      </c>
      <c r="CB21" s="14" t="str">
        <f>IF(SUM(BO21:BR21)-BS21&gt;0,SUM(BO21:BR21)-BS21,"")</f>
        <v/>
      </c>
      <c r="CC21" s="14" t="str">
        <f>IF(SUM(BZ21,CB21)&gt;0,SUM(BZ21,CB21),"")</f>
        <v/>
      </c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 t="str">
        <f>IF(SUM(CD21:CG21)-CH21&gt;0,SUM(CD21:CG21)-CH21,"")</f>
        <v/>
      </c>
      <c r="CZ21" s="11" t="str">
        <f>IF(CK21&gt;0,CK21,"")</f>
        <v/>
      </c>
      <c r="DA21" s="11" t="str">
        <f>IF(SUM(CI21:CL21)-CM21&gt;0,SUM(CI21:CL21)-CM21,"")</f>
        <v/>
      </c>
      <c r="DB21" s="11" t="str">
        <f>IF(CP21&gt;0,CP21,"")</f>
        <v/>
      </c>
      <c r="DC21" s="11" t="str">
        <f>IF(SUM(CN21:CQ21)-CR21&gt;0,SUM(CN21:CQ21)-CR21,"")</f>
        <v/>
      </c>
      <c r="DD21" s="11" t="str">
        <f>IF(CY21="",IF(MAX(DA21,DC21)&gt;0,MAX(DA21,DC21),""),MAX(DA21,DC21)+CY21)</f>
        <v/>
      </c>
      <c r="DE21" s="11" t="str">
        <f>IF(CU21&gt;0,CU21,"")</f>
        <v/>
      </c>
      <c r="DF21" s="11" t="str">
        <f>IF(SUM(CS21:CV21)-CW21&gt;0,SUM(CS21:CV21)-CW21,"")</f>
        <v/>
      </c>
      <c r="DG21" s="11" t="str">
        <f>IF(SUM(DD21,DF21)&gt;0,SUM(DD21,DF21),"")</f>
        <v/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0</v>
      </c>
      <c r="NQ21" s="61">
        <f>IF($CX21="P",CE21,(CE21+BA21)/2)</f>
        <v>0</v>
      </c>
      <c r="NR21" s="61">
        <f>IF($CX21="P",CF21,(CF21+BB21)/2)</f>
        <v>0</v>
      </c>
      <c r="NS21" s="61">
        <f>IF($CX21="P",CG21,(CG21+BC21)/2)</f>
        <v>0</v>
      </c>
      <c r="NT21" s="61">
        <f>IF($CX21="P",CH21,(CH21+BD21)/2)</f>
        <v>0</v>
      </c>
      <c r="NU21" s="61">
        <f>IF($CX21="P",CI21,(CI21+BE21)/2)</f>
        <v>0</v>
      </c>
      <c r="NV21" s="61">
        <f>IF($CX21="P",CJ21,(CJ21+BF21)/2)</f>
        <v>0</v>
      </c>
      <c r="NW21" s="61">
        <f>IF($CX21="P",CK21,(CK21+BG21)/2)</f>
        <v>0</v>
      </c>
      <c r="NX21" s="61">
        <f>IF($CX21="P",CL21,(CL21+BH21)/2)</f>
        <v>0</v>
      </c>
      <c r="NY21" s="61">
        <f>IF($CX21="P",CM21,(CM21+BI21)/2)</f>
        <v>0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0</v>
      </c>
      <c r="OF21" s="61">
        <f>IF($CX21="P",CT21,(CT21+BP21)/2)</f>
        <v>0</v>
      </c>
      <c r="OG21" s="61">
        <f>IF($CX21="P",CU21,(CU21+BQ21)/2)</f>
        <v>0</v>
      </c>
      <c r="OH21" s="61">
        <f>IF($CX21="P",CV21,(CV21+BR21)/2)</f>
        <v>0</v>
      </c>
      <c r="OI21" s="61">
        <f>IF($CX21="P",CW21,(CW21+BS21)/2)</f>
        <v>0</v>
      </c>
      <c r="OJ21" s="72" t="s">
        <v>52</v>
      </c>
      <c r="OK21" s="11" t="str">
        <f>IF(SUM(NP21:NS21)-NT21&gt;0,SUM(NP21:NS21)-NT21,"")</f>
        <v/>
      </c>
      <c r="OL21" s="11" t="str">
        <f>IF(NW21&gt;0,NW21,"")</f>
        <v/>
      </c>
      <c r="OM21" s="11" t="str">
        <f>IF(SUM(NU21:NX21)-NY21&gt;0,SUM(NU21:NX21)-NY21,"")</f>
        <v/>
      </c>
      <c r="ON21" s="11" t="str">
        <f>IF(OB21&gt;0,OB21,"")</f>
        <v/>
      </c>
      <c r="OO21" s="11" t="str">
        <f>IF(SUM(NZ21:OC21)-OD21&gt;0,SUM(NZ21:OC21)-OD21,"")</f>
        <v/>
      </c>
      <c r="OP21" s="11" t="str">
        <f>IF(OR(OK21&lt;&gt;"",OM21&lt;&gt;"",OO21&lt;&gt;""),OK21+MAX(OM21,OO21),"")</f>
        <v/>
      </c>
      <c r="OQ21" s="11" t="str">
        <f>IF(OG21&gt;0,OG21,"")</f>
        <v/>
      </c>
      <c r="OR21" s="11" t="str">
        <f t="shared" ref="OR21" si="20">IF(SUM(OE21:OH21)-OI21&gt;0,SUM(OE21:OH21)-OI21,"")</f>
        <v/>
      </c>
      <c r="OS21" s="11" t="str">
        <f t="shared" ref="OS21" si="21">IF(SUM(OP21,OR21)&gt;0,SUM(OP21,OR21),"")</f>
        <v/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72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1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2769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2814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2859" operator="between">
      <formula>EG$27</formula>
      <formula>1000</formula>
    </cfRule>
    <cfRule type="cellIs" dxfId="126" priority="42860" operator="between">
      <formula>EG$26</formula>
      <formula>EG$27</formula>
    </cfRule>
    <cfRule type="cellIs" dxfId="125" priority="42861" operator="between">
      <formula>EG$25</formula>
      <formula>EG$26</formula>
    </cfRule>
    <cfRule type="cellIs" dxfId="124" priority="42862" operator="between">
      <formula>EG$24</formula>
      <formula>EG$25</formula>
    </cfRule>
  </conditionalFormatting>
  <conditionalFormatting sqref="AR1:AR1048576 BV1:BV1048576 CZ1:CZ1048576">
    <cfRule type="cellIs" dxfId="123" priority="43003" operator="between">
      <formula>AY$27</formula>
      <formula>1000</formula>
    </cfRule>
    <cfRule type="cellIs" dxfId="122" priority="43004" operator="between">
      <formula>AY$26</formula>
      <formula>AY$27</formula>
    </cfRule>
    <cfRule type="cellIs" dxfId="121" priority="43005" operator="between">
      <formula>AY$25</formula>
      <formula>AY$26</formula>
    </cfRule>
    <cfRule type="cellIs" dxfId="120" priority="43006" operator="between">
      <formula>AY$24</formula>
      <formula>AY$25</formula>
    </cfRule>
  </conditionalFormatting>
  <conditionalFormatting sqref="AS1:AS1048576 BW1:BW1048576 DA1:DA1048576">
    <cfRule type="cellIs" dxfId="119" priority="43039" operator="between">
      <formula>AY$28</formula>
      <formula>1000</formula>
    </cfRule>
  </conditionalFormatting>
  <conditionalFormatting sqref="AT1:AT1048576 BX1:BX1048576 DB1:DB1048576">
    <cfRule type="cellIs" dxfId="118" priority="43048" operator="between">
      <formula>AY$27</formula>
      <formula>1000</formula>
    </cfRule>
    <cfRule type="cellIs" dxfId="117" priority="43049" operator="between">
      <formula>AY$26</formula>
      <formula>AY$27</formula>
    </cfRule>
    <cfRule type="cellIs" dxfId="116" priority="43050" operator="between">
      <formula>AY$25</formula>
      <formula>AY$26</formula>
    </cfRule>
    <cfRule type="cellIs" dxfId="115" priority="43051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3084" operator="between">
      <formula>AY$27</formula>
      <formula>1000</formula>
    </cfRule>
    <cfRule type="cellIs" dxfId="113" priority="43085" operator="between">
      <formula>AY$26</formula>
      <formula>AY$27</formula>
    </cfRule>
    <cfRule type="cellIs" dxfId="112" priority="43086" operator="between">
      <formula>AY$25</formula>
      <formula>AY$26</formula>
    </cfRule>
    <cfRule type="cellIs" dxfId="111" priority="43087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79</v>
      </c>
      <c r="G1" s="127" t="s">
        <v>77</v>
      </c>
      <c r="H1" s="127" t="s">
        <v>78</v>
      </c>
      <c r="I1" s="127" t="s">
        <v>9</v>
      </c>
      <c r="J1" s="127" t="s">
        <v>136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101</v>
      </c>
      <c r="P1" s="128" t="s">
        <v>32</v>
      </c>
      <c r="Q1" s="129" t="s">
        <v>102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66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71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137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73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120"/>
      <c r="AQ2" s="9" t="s">
        <v>20</v>
      </c>
      <c r="AR2" s="9" t="s">
        <v>75</v>
      </c>
      <c r="AS2" s="9" t="s">
        <v>21</v>
      </c>
      <c r="AT2" s="9" t="s">
        <v>76</v>
      </c>
      <c r="AU2" s="9" t="s">
        <v>74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73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119"/>
      <c r="BU2" s="12" t="s">
        <v>20</v>
      </c>
      <c r="BV2" s="12" t="s">
        <v>75</v>
      </c>
      <c r="BW2" s="12" t="s">
        <v>21</v>
      </c>
      <c r="BX2" s="12" t="s">
        <v>76</v>
      </c>
      <c r="BY2" s="12" t="s">
        <v>74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73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20"/>
      <c r="CY2" s="9" t="s">
        <v>20</v>
      </c>
      <c r="CZ2" s="9" t="s">
        <v>75</v>
      </c>
      <c r="DA2" s="9" t="s">
        <v>21</v>
      </c>
      <c r="DB2" s="9" t="s">
        <v>76</v>
      </c>
      <c r="DC2" s="9" t="s">
        <v>74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73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120"/>
      <c r="OK2" s="9" t="s">
        <v>20</v>
      </c>
      <c r="OL2" s="9" t="s">
        <v>75</v>
      </c>
      <c r="OM2" s="9" t="s">
        <v>21</v>
      </c>
      <c r="ON2" s="9" t="s">
        <v>76</v>
      </c>
      <c r="OO2" s="9" t="s">
        <v>74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IF(AND(G4&lt;&gt;"",H4&lt;&gt;""),SUMPRODUCT((G$4:G$23&lt;&gt;"")*(H$4:H$23&lt;&gt;"")*(E$4:E$23&gt;E4))+1,IF(H4&lt;&gt;"",SUMPRODUCT((I$4:I$23="No DD")*(E$4:E$23&gt;E4))+1+SUMPRODUCT((G$4:G$23&lt;&gt;"")*(H$4:H$23&lt;&gt;"")),""))</f>
        <v>1</v>
      </c>
      <c r="B4" s="8" t="s">
        <v>106</v>
      </c>
      <c r="C4" s="4" t="s">
        <v>6</v>
      </c>
      <c r="D4" s="26">
        <v>2000</v>
      </c>
      <c r="E4" s="15">
        <f>SUM(O4:S4)</f>
        <v>103.35</v>
      </c>
      <c r="F4" s="3" t="str">
        <f>IF(G4&lt;&gt;"","P","")</f>
        <v>P</v>
      </c>
      <c r="G4" s="115" t="str">
        <f>IF(OR(AND(AR4&gt;=AY$28,AR4&lt;&gt;"",AP4=""),AND(AT4&gt;=AY$28,AT4&lt;&gt;"",AP4=""),AND(AW4&gt;=AY$28,AW4&lt;&gt;"",AP4=""),AND(BV4&gt;=CC$28,BV4&lt;&gt;"",BT4=""),AND(BX4&gt;=CC$28,BX4&lt;&gt;"",BT4=""),AND(CA4&gt;=CC$28,CA4&lt;&gt;"",BT4=""),AND(CZ4&gt;=DG$28,CZ4&lt;&gt;"",CX4=""),AND(DB4&gt;=DG$28,DB4&lt;&gt;"",CX4=""),AND(DE4&gt;=DG$28,DE4&lt;&gt;"",CX4=""),AND(EA4&gt;=EG$28,EA4&lt;&gt;""),AND(EE4&gt;=EG$28,EE4&lt;&gt;""),AND(EW4&gt;=FC$28,EW4&lt;&gt;""),AND(FA4&gt;=FC$28,FA4&lt;&gt;""),AND(FS4&gt;=FY$28,FS4&lt;&gt;""),AND(FW4&gt;=FY$28,FW4&lt;&gt;""),AND(GO4&gt;=GU$28,GO4&lt;&gt;""),AND(GS4&gt;=GU$28,GS4&lt;&gt;""),AND(HK4&gt;=HQ$28,HK4&lt;&gt;""),AND(HO4&gt;=HQ$28,HO4&lt;&gt;""),AND(IG4&gt;=IM$28,IG4&lt;&gt;""),AND(IK4&gt;=IM$28,IK4&lt;&gt;""),AND(JC4&gt;=JI$28,JC4&lt;&gt;""),AND(JG4&gt;=JI$28,JG4&lt;&gt;""),AND(JY4&gt;=KE$28,JY4&lt;&gt;""),AND(KC4&gt;=KE$28,KC4&lt;&gt;""),AND(KU4&gt;=LA$28,KU4&lt;&gt;""),AND(KY4&gt;=LA$28,KY4&lt;&gt;""),AND(LQ4&gt;=LW$28,LQ4&lt;&gt;""),AND(LU4&gt;=LW$28,LU4&lt;&gt;""),AND(MM4&gt;=MS$28,MM4&lt;&gt;""),AND(MQ4&gt;=MS$28,MQ4&lt;&gt;""),AND(NI4&gt;=NO$28,NI4&lt;&gt;""),AND(NM4&gt;=NO$28,NM4&lt;&gt;"")),"Merit",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Excellence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Worlds Team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National Team",""))))</f>
        <v>National Team</v>
      </c>
      <c r="H4" s="115" t="str">
        <f>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$30,AV4&lt;&gt;"",AP4=""),AND(BZ4&gt;=CC$30,BZ4&lt;&gt;"",BT4=""),AND(DD4&gt;=DG$30,DD4&lt;&gt;"",CX4=""),AND(ED4&gt;=EG$30,ED4&lt;&gt;""),AND(EZ4&gt;=FC$30,EZ4&lt;&gt;""),AND(FV4&gt;=FY$30,FV4&lt;&gt;""),AND(GR4&gt;=GU$30,GR4&lt;&gt;""),AND(HN4&gt;=HQ$30,HN4&lt;&gt;""),AND(IJ4&gt;=IM$30,IJ4&lt;&gt;""),AND(JF4&gt;=JI$30,JF4&lt;&gt;""),AND(KB4&gt;=KE$30,KB4&lt;&gt;""),AND(KX4&gt;=LA$30,KX4&lt;&gt;""),AND(LT4&gt;=LW$30,LT4&lt;&gt;""),AND(MP4&gt;=MS$30,MP4&lt;&gt;""),AND(NL4&gt;=NO$30,NL4&lt;&gt;"")),OR(G4="Worlds Team",G4="Excellence",G4="Merit")),"P","")</f>
        <v/>
      </c>
      <c r="K4" s="14">
        <f>IF(MAX(AV4,BZ4,DD4)&gt;0,MAX(AV4,BZ4,DD4),0)</f>
        <v>98.289999999999992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45.424999999999997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MAX(AS4,AU4,AX4,BW4,BY4,CB4,DA4,DC4,DF4)</f>
        <v>51.81</v>
      </c>
      <c r="P4" s="14" t="str">
        <f>IF(O4=0,"",IF(OR(O4=DC4,O4=DA4,O4=DF4),$CD$1,IF(OR(O4=BY4,O4=BW4,O4=CB4),$AZ$1,IF(OR(O4=AU4,O4=AS4,O4=AX4),$V$1,""))))</f>
        <v>2021 1st Virtual Technical Trial</v>
      </c>
      <c r="Q4" s="14">
        <f>IF(COUNT(AS4,AU4,AX4,BW4,BY4,CB4,DA4,DC4,DF4)&gt;1,LARGE((AS4,AU4,AX4,BW4,BY4,CB4,DA4,DC4,DF4),2),0)</f>
        <v>51.54</v>
      </c>
      <c r="R4" s="14" t="str">
        <f>IF(Q4=0,"",IF(OR(Q4=DC4,Q4=DA4,Q4=DF4),$CD$1,IF(OR(Q4=BY4,Q4=BW4,Q4=CB4),$AZ$1,IF(OR(Q4=AU4,Q4=AS4,Q4=AX4),$V$1,""))))</f>
        <v>2021 1st Virtual Technical Trial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16.399999999999999</v>
      </c>
      <c r="W4" s="61">
        <v>8.9</v>
      </c>
      <c r="X4" s="61">
        <v>1.9</v>
      </c>
      <c r="Y4" s="61">
        <v>14.125</v>
      </c>
      <c r="Z4" s="61">
        <v>0</v>
      </c>
      <c r="AA4" s="61">
        <v>14.2</v>
      </c>
      <c r="AB4" s="61">
        <v>9.3000000000000007</v>
      </c>
      <c r="AC4" s="61">
        <v>10</v>
      </c>
      <c r="AD4" s="61">
        <v>13.775</v>
      </c>
      <c r="AE4" s="61">
        <v>1.2</v>
      </c>
      <c r="AF4" s="61"/>
      <c r="AG4" s="61"/>
      <c r="AH4" s="61"/>
      <c r="AI4" s="61"/>
      <c r="AJ4" s="61"/>
      <c r="AK4" s="61">
        <v>6.36</v>
      </c>
      <c r="AL4" s="61">
        <v>3.8</v>
      </c>
      <c r="AM4" s="61">
        <v>5</v>
      </c>
      <c r="AN4" s="61">
        <v>6.08</v>
      </c>
      <c r="AO4" s="61"/>
      <c r="AP4" s="72"/>
      <c r="AQ4" s="11">
        <f>IF(SUM(V4:Y4)-Z4&gt;0,SUM(V4:Y4)-Z4,"")</f>
        <v>41.324999999999996</v>
      </c>
      <c r="AR4" s="11">
        <f>IF(AC4&gt;0,AC4,"")</f>
        <v>10</v>
      </c>
      <c r="AS4" s="11">
        <f>IF(SUM(AA4:AD4)-AE4&gt;0,SUM(AA4:AD4)-AE4,"")</f>
        <v>46.074999999999996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87.399999999999991</v>
      </c>
      <c r="AW4" s="11">
        <f>IF(AM4&gt;0,AM4,"")</f>
        <v>5</v>
      </c>
      <c r="AX4" s="11">
        <f>IF(SUM(AK4:AN4)-AO4&gt;0,SUM(AK4:AN4)-AO4,"")</f>
        <v>21.240000000000002</v>
      </c>
      <c r="AY4" s="11">
        <f>IF(SUM(AV4,AX4)&gt;0,SUM(AV4,AX4),"")</f>
        <v>108.63999999999999</v>
      </c>
      <c r="AZ4" s="67">
        <v>17.5</v>
      </c>
      <c r="BA4" s="67">
        <v>9.5</v>
      </c>
      <c r="BB4" s="67">
        <v>3.4</v>
      </c>
      <c r="BC4" s="67">
        <v>16.079999999999998</v>
      </c>
      <c r="BD4" s="67">
        <v>0</v>
      </c>
      <c r="BE4" s="67">
        <v>14.1</v>
      </c>
      <c r="BF4" s="67">
        <v>9.65</v>
      </c>
      <c r="BG4" s="67">
        <v>11.5</v>
      </c>
      <c r="BH4" s="67">
        <v>15.24</v>
      </c>
      <c r="BI4" s="67">
        <v>0</v>
      </c>
      <c r="BJ4" s="67">
        <v>15.8</v>
      </c>
      <c r="BK4" s="67">
        <v>9.35</v>
      </c>
      <c r="BL4" s="67">
        <v>11.5</v>
      </c>
      <c r="BM4" s="67">
        <v>15.16</v>
      </c>
      <c r="BN4" s="67">
        <v>0</v>
      </c>
      <c r="BO4" s="67">
        <v>15.3</v>
      </c>
      <c r="BP4" s="67">
        <v>9</v>
      </c>
      <c r="BQ4" s="67">
        <v>12.2</v>
      </c>
      <c r="BR4" s="67">
        <v>15.04</v>
      </c>
      <c r="BS4" s="67">
        <v>0</v>
      </c>
      <c r="BT4" s="73"/>
      <c r="BU4" s="14">
        <f>IF(SUM(AZ4:BC4)-BD4&gt;0,SUM(AZ4:BC4)-BD4,"")</f>
        <v>46.48</v>
      </c>
      <c r="BV4" s="14">
        <f>IF(BG4&gt;0,BG4,"")</f>
        <v>11.5</v>
      </c>
      <c r="BW4" s="14">
        <f>IF(SUM(BE4:BH4)-BI4&gt;0,SUM(BE4:BH4)-BI4,"")</f>
        <v>50.49</v>
      </c>
      <c r="BX4" s="14">
        <f>IF(BL4&gt;0,BL4,"")</f>
        <v>11.5</v>
      </c>
      <c r="BY4" s="14">
        <f>IF(SUM(BJ4:BM4)-BN4&gt;0,SUM(BJ4:BM4)-BN4,"")</f>
        <v>51.81</v>
      </c>
      <c r="BZ4" s="14">
        <f>IF(BU4="",IF(MAX(BW4,BY4)&gt;0,MAX(BW4,BY4),""),MAX(BW4,BY4)+BU4)</f>
        <v>98.289999999999992</v>
      </c>
      <c r="CA4" s="14">
        <f>IF(BQ4&gt;0,BQ4,"")</f>
        <v>12.2</v>
      </c>
      <c r="CB4" s="14">
        <f>IF(SUM(BO4:BR4)-BS4&gt;0,SUM(BO4:BR4)-BS4,"")</f>
        <v>51.54</v>
      </c>
      <c r="CC4" s="14">
        <f>IF(SUM(BZ4,CB4)&gt;0,SUM(BZ4,CB4),"")</f>
        <v>149.82999999999998</v>
      </c>
      <c r="CD4" s="61">
        <v>17.3</v>
      </c>
      <c r="CE4" s="61">
        <v>9.1999999999999993</v>
      </c>
      <c r="CF4" s="61">
        <v>3.2</v>
      </c>
      <c r="CG4" s="61">
        <v>15.725</v>
      </c>
      <c r="CH4" s="61">
        <v>0</v>
      </c>
      <c r="CI4" s="61">
        <v>15.2</v>
      </c>
      <c r="CJ4" s="61">
        <v>9.1</v>
      </c>
      <c r="CK4" s="61">
        <v>11.5</v>
      </c>
      <c r="CL4" s="61">
        <v>14.595000000000001</v>
      </c>
      <c r="CM4" s="61">
        <v>0</v>
      </c>
      <c r="CN4" s="61">
        <v>14.9</v>
      </c>
      <c r="CO4" s="61">
        <v>9</v>
      </c>
      <c r="CP4" s="61">
        <v>11.3</v>
      </c>
      <c r="CQ4" s="61">
        <v>14.61</v>
      </c>
      <c r="CR4" s="61">
        <v>0.6</v>
      </c>
      <c r="CS4" s="61">
        <v>9.4</v>
      </c>
      <c r="CT4" s="61">
        <v>4.8</v>
      </c>
      <c r="CU4" s="61">
        <v>7.9</v>
      </c>
      <c r="CV4" s="61">
        <v>9.0150000000000006</v>
      </c>
      <c r="CW4" s="61">
        <v>0</v>
      </c>
      <c r="CX4" s="72"/>
      <c r="CY4" s="11">
        <f>IF(SUM(CD4:CG4)-CH4&gt;0,SUM(CD4:CG4)-CH4,"")</f>
        <v>45.424999999999997</v>
      </c>
      <c r="CZ4" s="11">
        <f>IF(CK4&gt;0,CK4,"")</f>
        <v>11.5</v>
      </c>
      <c r="DA4" s="11">
        <f>IF(SUM(CI4:CL4)-CM4&gt;0,SUM(CI4:CL4)-CM4,"")</f>
        <v>50.394999999999996</v>
      </c>
      <c r="DB4" s="11">
        <f>IF(CP4&gt;0,CP4,"")</f>
        <v>11.3</v>
      </c>
      <c r="DC4" s="11">
        <f>IF(SUM(CN4:CQ4)-CR4&gt;0,SUM(CN4:CQ4)-CR4,"")</f>
        <v>49.21</v>
      </c>
      <c r="DD4" s="11">
        <f>IF(CY4="",IF(MAX(DA4,DC4)&gt;0,MAX(DA4,DC4),""),MAX(DA4,DC4)+CY4)</f>
        <v>95.82</v>
      </c>
      <c r="DE4" s="11">
        <f>IF(CU4&gt;0,CU4,"")</f>
        <v>7.9</v>
      </c>
      <c r="DF4" s="11">
        <f>IF(SUM(CS4:CV4)-CW4&gt;0,SUM(CS4:CV4)-CW4,"")</f>
        <v>31.115000000000002</v>
      </c>
      <c r="DG4" s="11">
        <f>IF(SUM(DD4,DF4)&gt;0,SUM(DD4,DF4),"")</f>
        <v>126.935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17.399999999999999</v>
      </c>
      <c r="NQ4" s="61">
        <f>IF($CX4="P",CE4,(CE4+BA4)/2)</f>
        <v>9.35</v>
      </c>
      <c r="NR4" s="61">
        <f>IF($CX4="P",CF4,(CF4+BB4)/2)</f>
        <v>3.3</v>
      </c>
      <c r="NS4" s="61">
        <f>IF($CX4="P",CG4,(CG4+BC4)/2)</f>
        <v>15.9025</v>
      </c>
      <c r="NT4" s="61">
        <f>IF($CX4="P",CH4,(CH4+BD4)/2)</f>
        <v>0</v>
      </c>
      <c r="NU4" s="61">
        <f>IF($CX4="P",CI4,(CI4+BE4)/2)</f>
        <v>14.649999999999999</v>
      </c>
      <c r="NV4" s="61">
        <f>IF($CX4="P",CJ4,(CJ4+BF4)/2)</f>
        <v>9.375</v>
      </c>
      <c r="NW4" s="61">
        <f>IF($CX4="P",CK4,(CK4+BG4)/2)</f>
        <v>11.5</v>
      </c>
      <c r="NX4" s="61">
        <f>IF($CX4="P",CL4,(CL4+BH4)/2)</f>
        <v>14.9175</v>
      </c>
      <c r="NY4" s="61">
        <f>IF($CX4="P",CM4,(CM4+BI4)/2)</f>
        <v>0</v>
      </c>
      <c r="NZ4" s="61">
        <f>IF($CX4="P",CN4,(CN4+BJ4)/2)</f>
        <v>15.350000000000001</v>
      </c>
      <c r="OA4" s="61">
        <f>IF($CX4="P",CO4,(CO4+BK4)/2)</f>
        <v>9.1750000000000007</v>
      </c>
      <c r="OB4" s="61">
        <f>IF($CX4="P",CP4,(CP4+BL4)/2)</f>
        <v>11.4</v>
      </c>
      <c r="OC4" s="61">
        <f>IF($CX4="P",CQ4,(CQ4+BM4)/2)</f>
        <v>14.885</v>
      </c>
      <c r="OD4" s="61">
        <f>IF($CX4="P",CR4,(CR4+BN4)/2)</f>
        <v>0.3</v>
      </c>
      <c r="OE4" s="61">
        <f>IF($CX4="P",CS4,(CS4+BO4)/2)</f>
        <v>12.350000000000001</v>
      </c>
      <c r="OF4" s="61">
        <f>IF($CX4="P",CT4,(CT4+BP4)/2)</f>
        <v>6.9</v>
      </c>
      <c r="OG4" s="61">
        <f>IF($CX4="P",CU4,(CU4+BQ4)/2)</f>
        <v>10.050000000000001</v>
      </c>
      <c r="OH4" s="61">
        <f>IF($CX4="P",CV4,(CV4+BR4)/2)</f>
        <v>12.0275</v>
      </c>
      <c r="OI4" s="61">
        <f>IF($CX4="P",CW4,(CW4+BS4)/2)</f>
        <v>0</v>
      </c>
      <c r="OJ4" s="72" t="s">
        <v>52</v>
      </c>
      <c r="OK4" s="11">
        <f>IF(SUM(NP4:NS4)-NT4&gt;0,SUM(NP4:NS4)-NT4,"")</f>
        <v>45.952500000000001</v>
      </c>
      <c r="OL4" s="11">
        <f>IF(NW4&gt;0,NW4,"")</f>
        <v>11.5</v>
      </c>
      <c r="OM4" s="11">
        <f>IF(SUM(NU4:NX4)-NY4&gt;0,SUM(NU4:NX4)-NY4,"")</f>
        <v>50.442499999999995</v>
      </c>
      <c r="ON4" s="11">
        <f>IF(OB4&gt;0,OB4,"")</f>
        <v>11.4</v>
      </c>
      <c r="OO4" s="11">
        <f>IF(SUM(NZ4:OC4)-OD4&gt;0,SUM(NZ4:OC4)-OD4,"")</f>
        <v>50.510000000000005</v>
      </c>
      <c r="OP4" s="11">
        <f>IF(OR(OK4&lt;&gt;"",OM4&lt;&gt;"",OO4&lt;&gt;""),OK4+MAX(OM4,OO4),"")</f>
        <v>96.462500000000006</v>
      </c>
      <c r="OQ4" s="11">
        <f>IF(OG4&gt;0,OG4,"")</f>
        <v>10.050000000000001</v>
      </c>
      <c r="OR4" s="11">
        <f t="shared" ref="OR4:OR9" si="0">IF(SUM(OE4:OH4)-OI4&gt;0,SUM(OE4:OH4)-OI4,"")</f>
        <v>41.327500000000001</v>
      </c>
      <c r="OS4" s="11">
        <f>IF(SUM(OP4,OR4)&gt;0,SUM(OP4,OR4),"")</f>
        <v>137.79000000000002</v>
      </c>
    </row>
    <row r="5" spans="1:409" x14ac:dyDescent="0.2">
      <c r="A5" s="5" cm="1">
        <f t="array" ref="A5">IF(AND(G5&lt;&gt;"",H5&lt;&gt;""),SUMPRODUCT((G$4:G$23&lt;&gt;"")*(H$4:H$23&lt;&gt;"")*(E$4:E$23&gt;E5))+1,IF(H5&lt;&gt;"",SUMPRODUCT((I$4:I$23="No DD")*(E$4:E$23&gt;E5))+1+SUMPRODUCT((G$4:G$23&lt;&gt;"")*(H$4:H$23&lt;&gt;"")),""))</f>
        <v>2</v>
      </c>
      <c r="B5" s="8" t="s">
        <v>88</v>
      </c>
      <c r="C5" s="4" t="s">
        <v>5</v>
      </c>
      <c r="D5" s="5">
        <v>2002</v>
      </c>
      <c r="E5" s="15">
        <f>SUM(O5:S5)</f>
        <v>98.37</v>
      </c>
      <c r="F5" s="3" t="str">
        <f>IF(G5&lt;&gt;"","P","")</f>
        <v>P</v>
      </c>
      <c r="G5" s="115" t="str">
        <f>IF(OR(AND(AR5&gt;=AY$28,AR5&lt;&gt;"",AP5=""),AND(AT5&gt;=AY$28,AT5&lt;&gt;"",AP5=""),AND(AW5&gt;=AY$28,AW5&lt;&gt;"",AP5=""),AND(BV5&gt;=CC$28,BV5&lt;&gt;"",BT5=""),AND(BX5&gt;=CC$28,BX5&lt;&gt;"",BT5=""),AND(CA5&gt;=CC$28,CA5&lt;&gt;"",BT5=""),AND(CZ5&gt;=DG$28,CZ5&lt;&gt;"",CX5=""),AND(DB5&gt;=DG$28,DB5&lt;&gt;"",CX5=""),AND(DE5&gt;=DG$28,DE5&lt;&gt;"",CX5=""),AND(EA5&gt;=EG$28,EA5&lt;&gt;""),AND(EE5&gt;=EG$28,EE5&lt;&gt;""),AND(EW5&gt;=FC$28,EW5&lt;&gt;""),AND(FA5&gt;=FC$28,FA5&lt;&gt;""),AND(FS5&gt;=FY$28,FS5&lt;&gt;""),AND(FW5&gt;=FY$28,FW5&lt;&gt;""),AND(GO5&gt;=GU$28,GO5&lt;&gt;""),AND(GS5&gt;=GU$28,GS5&lt;&gt;""),AND(HK5&gt;=HQ$28,HK5&lt;&gt;""),AND(HO5&gt;=HQ$28,HO5&lt;&gt;""),AND(IG5&gt;=IM$28,IG5&lt;&gt;""),AND(IK5&gt;=IM$28,IK5&lt;&gt;""),AND(JC5&gt;=JI$28,JC5&lt;&gt;""),AND(JG5&gt;=JI$28,JG5&lt;&gt;""),AND(JY5&gt;=KE$28,JY5&lt;&gt;""),AND(KC5&gt;=KE$28,KC5&lt;&gt;""),AND(KU5&gt;=LA$28,KU5&lt;&gt;""),AND(KY5&gt;=LA$28,KY5&lt;&gt;""),AND(LQ5&gt;=LW$28,LQ5&lt;&gt;""),AND(LU5&gt;=LW$28,LU5&lt;&gt;""),AND(MM5&gt;=MS$28,MM5&lt;&gt;""),AND(MQ5&gt;=MS$28,MQ5&lt;&gt;""),AND(NI5&gt;=NO$28,NI5&lt;&gt;""),AND(NM5&gt;=NO$28,NM5&lt;&gt;"")),"Merit",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Excellence",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Worlds Team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National Team",""))))</f>
        <v>National Team</v>
      </c>
      <c r="H5" s="115" t="str">
        <f>IF(OR(AND(AS5&gt;=AY$29,AS5&lt;&gt;"",AP5=""),AND(AU5&gt;=AY$29,AU5&lt;&gt;"",AP5=""),AND(AX5&gt;=AY$29,AX5&lt;&gt;"",AP5=""),AND(BW5&gt;=CC$29,BW5&lt;&gt;"",BT5=""),AND(BY5&gt;=CC$29,BY5&lt;&gt;"",BT5=""),AND(CB5&gt;=CC$29,CB5&lt;&gt;"",BT5=""),AND(DA5&gt;=DG$29,DA5&lt;&gt;"",CX5=""),AND(DC5&gt;=DG$29,DC5&lt;&gt;"",CX5=""),AND(DF5&gt;=DG$29,DF5&lt;&gt;"",CX5=""),AND(EC5&gt;=EG$29,EC5&lt;&gt;""),AND(EF5&gt;=EG$29,EF5&lt;&gt;""),AND(EY5&gt;=FC$29,EY5&lt;&gt;""),AND(FB5&gt;=FC$29,FB5&lt;&gt;""),AND(FU5&gt;=FY$29,FU5&lt;&gt;""),AND(FX5&gt;=FY$29,FX5&lt;&gt;""),AND(GQ5&gt;=GU$29,GQ5&lt;&gt;""),AND(GT5&gt;=GU$29,GT5&lt;&gt;""),AND(HM5&gt;=HQ$29,HM5&lt;&gt;""),AND(HP5&gt;=HQ$29,HP5&lt;&gt;""),AND(II5&gt;=IM$29,II5&lt;&gt;""),AND(IL5&gt;=IM$29,IL5&lt;&gt;""),AND(JE5&gt;=JI$29,JE5&lt;&gt;""),AND(JH5&gt;=JI$29,JH5&lt;&gt;""),AND(KA5&gt;=KE$29,KA5&lt;&gt;""),AND(KD5&gt;=KE$29,KD5&lt;&gt;""),AND(KW5&gt;=LA$29,KW5&lt;&gt;""),AND(KZ5&gt;=LA$29,KZ5&lt;&gt;""),AND(LS5&gt;=LW$29,LS5&lt;&gt;""),AND(LV5&gt;=LW$29,LV5&lt;&gt;""),AND(MO5&gt;=MS$29,MO5&lt;&gt;""),AND(MR5&gt;=MS$29,MR5&lt;&gt;""),AND(NK5&gt;=NO$29,NK5&lt;&gt;""),AND(NN5&gt;=NO$29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$30,AV5&lt;&gt;"",AP5=""),AND(BZ5&gt;=CC$30,BZ5&lt;&gt;"",BT5=""),AND(DD5&gt;=DG$30,DD5&lt;&gt;"",CX5=""),AND(ED5&gt;=EG$30,ED5&lt;&gt;""),AND(EZ5&gt;=FC$30,EZ5&lt;&gt;""),AND(FV5&gt;=FY$30,FV5&lt;&gt;""),AND(GR5&gt;=GU$30,GR5&lt;&gt;""),AND(HN5&gt;=HQ$30,HN5&lt;&gt;""),AND(IJ5&gt;=IM$30,IJ5&lt;&gt;""),AND(JF5&gt;=JI$30,JF5&lt;&gt;""),AND(KB5&gt;=KE$30,KB5&lt;&gt;""),AND(KX5&gt;=LA$30,KX5&lt;&gt;""),AND(LT5&gt;=LW$30,LT5&lt;&gt;""),AND(MP5&gt;=MS$30,MP5&lt;&gt;""),AND(NL5&gt;=NO$30,NL5&lt;&gt;"")),OR(G5="Worlds Team",G5="Excellence",G5="Merit")),"P","")</f>
        <v/>
      </c>
      <c r="K5" s="14">
        <f>IF(MAX(AV5,BZ5,DD5)&gt;0,MAX(AV5,BZ5,DD5),0)</f>
        <v>94.58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45.364999999999995</v>
      </c>
      <c r="N5" s="14" t="str">
        <f>IF(M5=0,"",IF(AND(M5=CY5,$L5&lt;&gt;$CD$1),$CD$1,IF(AND(M5=BU5,$L5&lt;&gt;$AZ$1),$AZ$1,IF(AND(M5=AQ5,$L5&lt;&gt;$V$1),$V$1,""))))</f>
        <v>2019 Nationals</v>
      </c>
      <c r="O5" s="14">
        <f>MAX(AS5,AU5,AX5,BW5,BY5,CB5,DA5,DC5,DF5)</f>
        <v>49.29</v>
      </c>
      <c r="P5" s="14" t="str">
        <f>IF(O5=0,"",IF(OR(O5=DC5,O5=DA5,O5=DF5),$CD$1,IF(OR(O5=BY5,O5=BW5,O5=CB5),$AZ$1,IF(OR(O5=AU5,O5=AS5,O5=AX5),$V$1,""))))</f>
        <v>2021 2nd Virtual Technical Trial</v>
      </c>
      <c r="Q5" s="14">
        <f>IF(COUNT(AS5,AU5,AX5,BW5,BY5,CB5,DA5,DC5,DF5)&gt;1,LARGE((AS5,AU5,AX5,BW5,BY5,CB5,DA5,DC5,DF5),2),0)</f>
        <v>49.08</v>
      </c>
      <c r="R5" s="14" t="str">
        <f>IF(Q5=0,"",IF(OR(Q5=DC5,Q5=DA5,Q5=DF5),$CD$1,IF(OR(Q5=BY5,Q5=BW5,Q5=CB5),$AZ$1,IF(OR(Q5=AU5,Q5=AS5,Q5=AX5),$V$1,""))))</f>
        <v>2019 Nationals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17.5</v>
      </c>
      <c r="W5" s="61">
        <v>9.6999999999999993</v>
      </c>
      <c r="X5" s="61">
        <v>3.2</v>
      </c>
      <c r="Y5" s="61">
        <v>14.965</v>
      </c>
      <c r="Z5" s="61">
        <v>0</v>
      </c>
      <c r="AA5" s="61">
        <v>14.5</v>
      </c>
      <c r="AB5" s="61">
        <v>9</v>
      </c>
      <c r="AC5" s="61">
        <v>11.3</v>
      </c>
      <c r="AD5" s="61">
        <v>14.28</v>
      </c>
      <c r="AE5" s="61">
        <v>0</v>
      </c>
      <c r="AF5" s="61"/>
      <c r="AG5" s="61"/>
      <c r="AH5" s="61"/>
      <c r="AI5" s="61"/>
      <c r="AJ5" s="61"/>
      <c r="AK5" s="61">
        <v>4.5599999999999996</v>
      </c>
      <c r="AL5" s="61">
        <v>2.7</v>
      </c>
      <c r="AM5" s="61">
        <v>3.5</v>
      </c>
      <c r="AN5" s="61">
        <v>4.53</v>
      </c>
      <c r="AO5" s="61">
        <v>0</v>
      </c>
      <c r="AP5" s="72"/>
      <c r="AQ5" s="11">
        <f>IF(SUM(V5:Y5)-Z5&gt;0,SUM(V5:Y5)-Z5,"")</f>
        <v>45.364999999999995</v>
      </c>
      <c r="AR5" s="11">
        <f>IF(AC5&gt;0,AC5,"")</f>
        <v>11.3</v>
      </c>
      <c r="AS5" s="11">
        <f>IF(SUM(AA5:AD5)-AE5&gt;0,SUM(AA5:AD5)-AE5,"")</f>
        <v>49.08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94.444999999999993</v>
      </c>
      <c r="AW5" s="11">
        <f>IF(AM5&gt;0,AM5,"")</f>
        <v>3.5</v>
      </c>
      <c r="AX5" s="11">
        <f>IF(SUM(AK5:AN5)-AO5&gt;0,SUM(AK5:AN5)-AO5,"")</f>
        <v>15.29</v>
      </c>
      <c r="AY5" s="11">
        <f>IF(SUM(AV5,AX5)&gt;0,SUM(AV5,AX5),"")</f>
        <v>109.73499999999999</v>
      </c>
      <c r="AZ5" s="67">
        <v>16.7</v>
      </c>
      <c r="BA5" s="67">
        <v>9.1999999999999993</v>
      </c>
      <c r="BB5" s="67">
        <v>3.7</v>
      </c>
      <c r="BC5" s="67">
        <v>14.74</v>
      </c>
      <c r="BD5" s="67">
        <v>0</v>
      </c>
      <c r="BE5" s="67">
        <v>13.8</v>
      </c>
      <c r="BF5" s="67">
        <v>9.0500000000000007</v>
      </c>
      <c r="BG5" s="67">
        <v>12</v>
      </c>
      <c r="BH5" s="67">
        <v>14.105</v>
      </c>
      <c r="BI5" s="67">
        <v>0</v>
      </c>
      <c r="BJ5" s="67">
        <v>0</v>
      </c>
      <c r="BK5" s="67">
        <v>0</v>
      </c>
      <c r="BL5" s="67">
        <v>0</v>
      </c>
      <c r="BM5" s="67">
        <v>0</v>
      </c>
      <c r="BN5" s="67">
        <v>0</v>
      </c>
      <c r="BO5" s="67">
        <v>14.3</v>
      </c>
      <c r="BP5" s="67">
        <v>9</v>
      </c>
      <c r="BQ5" s="67">
        <v>11.3</v>
      </c>
      <c r="BR5" s="67">
        <v>14.21</v>
      </c>
      <c r="BS5" s="67">
        <v>0</v>
      </c>
      <c r="BT5" s="73"/>
      <c r="BU5" s="14">
        <f>IF(SUM(AZ5:BC5)-BD5&gt;0,SUM(AZ5:BC5)-BD5,"")</f>
        <v>44.339999999999996</v>
      </c>
      <c r="BV5" s="14">
        <f>IF(BG5&gt;0,BG5,"")</f>
        <v>12</v>
      </c>
      <c r="BW5" s="14">
        <f>IF(SUM(BE5:BH5)-BI5&gt;0,SUM(BE5:BH5)-BI5,"")</f>
        <v>48.954999999999998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93.294999999999987</v>
      </c>
      <c r="CA5" s="14">
        <f>IF(BQ5&gt;0,BQ5,"")</f>
        <v>11.3</v>
      </c>
      <c r="CB5" s="14">
        <f>IF(SUM(BO5:BR5)-BS5&gt;0,SUM(BO5:BR5)-BS5,"")</f>
        <v>48.81</v>
      </c>
      <c r="CC5" s="14">
        <f>IF(SUM(BZ5,CB5)&gt;0,SUM(BZ5,CB5),"")</f>
        <v>142.10499999999999</v>
      </c>
      <c r="CD5" s="61">
        <v>16.3</v>
      </c>
      <c r="CE5" s="61">
        <v>9.6</v>
      </c>
      <c r="CF5" s="61">
        <v>4.7</v>
      </c>
      <c r="CG5" s="61">
        <v>14.69</v>
      </c>
      <c r="CH5" s="61">
        <v>0</v>
      </c>
      <c r="CI5" s="61">
        <v>13</v>
      </c>
      <c r="CJ5" s="61">
        <v>9.1</v>
      </c>
      <c r="CK5" s="61">
        <v>12</v>
      </c>
      <c r="CL5" s="61">
        <v>13.96</v>
      </c>
      <c r="CM5" s="61">
        <v>0</v>
      </c>
      <c r="CN5" s="61">
        <v>14.1</v>
      </c>
      <c r="CO5" s="61">
        <v>9</v>
      </c>
      <c r="CP5" s="61">
        <v>12</v>
      </c>
      <c r="CQ5" s="61">
        <v>14.19</v>
      </c>
      <c r="CR5" s="61">
        <v>0</v>
      </c>
      <c r="CS5" s="61">
        <v>13.1</v>
      </c>
      <c r="CT5" s="61">
        <v>9</v>
      </c>
      <c r="CU5" s="61">
        <v>12.7</v>
      </c>
      <c r="CV5" s="61">
        <v>13.89</v>
      </c>
      <c r="CW5" s="61">
        <v>0</v>
      </c>
      <c r="CX5" s="72"/>
      <c r="CY5" s="11">
        <f>IF(SUM(CD5:CG5)-CH5&gt;0,SUM(CD5:CG5)-CH5,"")</f>
        <v>45.29</v>
      </c>
      <c r="CZ5" s="11">
        <f>IF(CK5&gt;0,CK5,"")</f>
        <v>12</v>
      </c>
      <c r="DA5" s="11">
        <f>IF(SUM(CI5:CL5)-CM5&gt;0,SUM(CI5:CL5)-CM5,"")</f>
        <v>48.06</v>
      </c>
      <c r="DB5" s="11">
        <f>IF(CP5&gt;0,CP5,"")</f>
        <v>12</v>
      </c>
      <c r="DC5" s="11">
        <f>IF(SUM(CN5:CQ5)-CR5&gt;0,SUM(CN5:CQ5)-CR5,"")</f>
        <v>49.29</v>
      </c>
      <c r="DD5" s="11">
        <f>IF(CY5="",IF(MAX(DA5,DC5)&gt;0,MAX(DA5,DC5),""),MAX(DA5,DC5)+CY5)</f>
        <v>94.58</v>
      </c>
      <c r="DE5" s="11">
        <f>IF(CU5&gt;0,CU5,"")</f>
        <v>12.7</v>
      </c>
      <c r="DF5" s="11">
        <f>IF(SUM(CS5:CV5)-CW5&gt;0,SUM(CS5:CV5)-CW5,"")</f>
        <v>48.69</v>
      </c>
      <c r="DG5" s="11">
        <f>IF(SUM(DD5,DF5)&gt;0,SUM(DD5,DF5),"")</f>
        <v>143.26999999999998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100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16.5</v>
      </c>
      <c r="NQ5" s="61">
        <f>IF($CX5="P",CE5,(CE5+BA5)/2)</f>
        <v>9.3999999999999986</v>
      </c>
      <c r="NR5" s="61">
        <f>IF($CX5="P",CF5,(CF5+BB5)/2)</f>
        <v>4.2</v>
      </c>
      <c r="NS5" s="61">
        <f>IF($CX5="P",CG5,(CG5+BC5)/2)</f>
        <v>14.715</v>
      </c>
      <c r="NT5" s="61">
        <f>IF($CX5="P",CH5,(CH5+BD5)/2)</f>
        <v>0</v>
      </c>
      <c r="NU5" s="61">
        <f>IF($CX5="P",CI5,(CI5+BE5)/2)</f>
        <v>13.4</v>
      </c>
      <c r="NV5" s="61">
        <f>IF($CX5="P",CJ5,(CJ5+BF5)/2)</f>
        <v>9.0749999999999993</v>
      </c>
      <c r="NW5" s="61">
        <f>IF($CX5="P",CK5,(CK5+BG5)/2)</f>
        <v>12</v>
      </c>
      <c r="NX5" s="61">
        <f>IF($CX5="P",CL5,(CL5+BH5)/2)</f>
        <v>14.032500000000001</v>
      </c>
      <c r="NY5" s="61">
        <f>IF($CX5="P",CM5,(CM5+BI5)/2)</f>
        <v>0</v>
      </c>
      <c r="NZ5" s="61">
        <f>IF($CX5="P",CN5,(CN5+BJ5)/2)</f>
        <v>7.05</v>
      </c>
      <c r="OA5" s="61">
        <f>IF($CX5="P",CO5,(CO5+BK5)/2)</f>
        <v>4.5</v>
      </c>
      <c r="OB5" s="61">
        <f>IF($CX5="P",CP5,(CP5+BL5)/2)</f>
        <v>6</v>
      </c>
      <c r="OC5" s="61">
        <f>IF($CX5="P",CQ5,(CQ5+BM5)/2)</f>
        <v>7.0949999999999998</v>
      </c>
      <c r="OD5" s="61">
        <f>IF($CX5="P",CR5,(CR5+BN5)/2)</f>
        <v>0</v>
      </c>
      <c r="OE5" s="61">
        <f>IF($CX5="P",CS5,(CS5+BO5)/2)</f>
        <v>13.7</v>
      </c>
      <c r="OF5" s="61">
        <f>IF($CX5="P",CT5,(CT5+BP5)/2)</f>
        <v>9</v>
      </c>
      <c r="OG5" s="61">
        <f>IF($CX5="P",CU5,(CU5+BQ5)/2)</f>
        <v>12</v>
      </c>
      <c r="OH5" s="61">
        <f>IF($CX5="P",CV5,(CV5+BR5)/2)</f>
        <v>14.05</v>
      </c>
      <c r="OI5" s="61">
        <f>IF($CX5="P",CW5,(CW5+BS5)/2)</f>
        <v>0</v>
      </c>
      <c r="OJ5" s="72" t="s">
        <v>52</v>
      </c>
      <c r="OK5" s="11">
        <f>IF(SUM(NP5:NS5)-NT5&gt;0,SUM(NP5:NS5)-NT5,"")</f>
        <v>44.814999999999998</v>
      </c>
      <c r="OL5" s="11">
        <f>IF(NW5&gt;0,NW5,"")</f>
        <v>12</v>
      </c>
      <c r="OM5" s="11">
        <f>IF(SUM(NU5:NX5)-NY5&gt;0,SUM(NU5:NX5)-NY5,"")</f>
        <v>48.5075</v>
      </c>
      <c r="ON5" s="11">
        <f>IF(OB5&gt;0,OB5,"")</f>
        <v>6</v>
      </c>
      <c r="OO5" s="11">
        <f>IF(SUM(NZ5:OC5)-OD5&gt;0,SUM(NZ5:OC5)-OD5,"")</f>
        <v>24.645</v>
      </c>
      <c r="OP5" s="11">
        <f>IF(OR(OK5&lt;&gt;"",OM5&lt;&gt;"",OO5&lt;&gt;""),OK5+MAX(OM5,OO5),"")</f>
        <v>93.322499999999991</v>
      </c>
      <c r="OQ5" s="11">
        <f>IF(OG5&gt;0,OG5,"")</f>
        <v>12</v>
      </c>
      <c r="OR5" s="11">
        <f t="shared" si="0"/>
        <v>48.75</v>
      </c>
      <c r="OS5" s="11">
        <f t="shared" ref="OS5:OS9" si="1">IF(SUM(OP5,OR5)&gt;0,SUM(OP5,OR5),"")</f>
        <v>142.07249999999999</v>
      </c>
    </row>
    <row r="6" spans="1:409" x14ac:dyDescent="0.2">
      <c r="A6" s="5" cm="1">
        <f t="array" ref="A6">IF(AND(G6&lt;&gt;"",H6&lt;&gt;""),SUMPRODUCT((G$4:G$23&lt;&gt;"")*(H$4:H$23&lt;&gt;"")*(E$4:E$23&gt;E6))+1,IF(H6&lt;&gt;"",SUMPRODUCT((I$4:I$23="No DD")*(E$4:E$23&gt;E6))+1+SUMPRODUCT((G$4:G$23&lt;&gt;"")*(H$4:H$23&lt;&gt;"")),""))</f>
        <v>3</v>
      </c>
      <c r="B6" s="8" t="s">
        <v>122</v>
      </c>
      <c r="C6" s="4" t="s">
        <v>5</v>
      </c>
      <c r="D6" s="26">
        <v>2001</v>
      </c>
      <c r="E6" s="15">
        <f>SUM(O6:S6)</f>
        <v>97.02</v>
      </c>
      <c r="F6" s="3" t="str">
        <f>IF(G6&lt;&gt;"","P","")</f>
        <v>P</v>
      </c>
      <c r="G6" s="115" t="str">
        <f>IF(OR(AND(AR6&gt;=AY$28,AR6&lt;&gt;"",AP6=""),AND(AT6&gt;=AY$28,AT6&lt;&gt;"",AP6=""),AND(AW6&gt;=AY$28,AW6&lt;&gt;"",AP6=""),AND(BV6&gt;=CC$28,BV6&lt;&gt;"",BT6=""),AND(BX6&gt;=CC$28,BX6&lt;&gt;"",BT6=""),AND(CA6&gt;=CC$28,CA6&lt;&gt;"",BT6=""),AND(CZ6&gt;=DG$28,CZ6&lt;&gt;"",CX6=""),AND(DB6&gt;=DG$28,DB6&lt;&gt;"",CX6=""),AND(DE6&gt;=DG$28,DE6&lt;&gt;"",CX6=""),AND(EA6&gt;=EG$28,EA6&lt;&gt;""),AND(EE6&gt;=EG$28,EE6&lt;&gt;""),AND(EW6&gt;=FC$28,EW6&lt;&gt;""),AND(FA6&gt;=FC$28,FA6&lt;&gt;""),AND(FS6&gt;=FY$28,FS6&lt;&gt;""),AND(FW6&gt;=FY$28,FW6&lt;&gt;""),AND(GO6&gt;=GU$28,GO6&lt;&gt;""),AND(GS6&gt;=GU$28,GS6&lt;&gt;""),AND(HK6&gt;=HQ$28,HK6&lt;&gt;""),AND(HO6&gt;=HQ$28,HO6&lt;&gt;""),AND(IG6&gt;=IM$28,IG6&lt;&gt;""),AND(IK6&gt;=IM$28,IK6&lt;&gt;""),AND(JC6&gt;=JI$28,JC6&lt;&gt;""),AND(JG6&gt;=JI$28,JG6&lt;&gt;""),AND(JY6&gt;=KE$28,JY6&lt;&gt;""),AND(KC6&gt;=KE$28,KC6&lt;&gt;""),AND(KU6&gt;=LA$28,KU6&lt;&gt;""),AND(KY6&gt;=LA$28,KY6&lt;&gt;""),AND(LQ6&gt;=LW$28,LQ6&lt;&gt;""),AND(LU6&gt;=LW$28,LU6&lt;&gt;""),AND(MM6&gt;=MS$28,MM6&lt;&gt;""),AND(MQ6&gt;=MS$28,MQ6&lt;&gt;""),AND(NI6&gt;=NO$28,NI6&lt;&gt;""),AND(NM6&gt;=NO$28,NM6&lt;&gt;"")),"Merit",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Excellence",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Worlds Team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National Team",""))))</f>
        <v>National Team</v>
      </c>
      <c r="H6" s="115" t="str">
        <f>IF(OR(AND(AS6&gt;=AY$29,AS6&lt;&gt;"",AP6=""),AND(AU6&gt;=AY$29,AU6&lt;&gt;"",AP6=""),AND(AX6&gt;=AY$29,AX6&lt;&gt;"",AP6=""),AND(BW6&gt;=CC$29,BW6&lt;&gt;"",BT6=""),AND(BY6&gt;=CC$29,BY6&lt;&gt;"",BT6=""),AND(CB6&gt;=CC$29,CB6&lt;&gt;"",BT6=""),AND(DA6&gt;=DG$29,DA6&lt;&gt;"",CX6=""),AND(DC6&gt;=DG$29,DC6&lt;&gt;"",CX6=""),AND(DF6&gt;=DG$29,DF6&lt;&gt;"",CX6=""),AND(EC6&gt;=EG$29,EC6&lt;&gt;""),AND(EF6&gt;=EG$29,EF6&lt;&gt;""),AND(EY6&gt;=FC$29,EY6&lt;&gt;""),AND(FB6&gt;=FC$29,FB6&lt;&gt;""),AND(FU6&gt;=FY$29,FU6&lt;&gt;""),AND(FX6&gt;=FY$29,FX6&lt;&gt;""),AND(GQ6&gt;=GU$29,GQ6&lt;&gt;""),AND(GT6&gt;=GU$29,GT6&lt;&gt;""),AND(HM6&gt;=HQ$29,HM6&lt;&gt;""),AND(HP6&gt;=HQ$29,HP6&lt;&gt;""),AND(II6&gt;=IM$29,II6&lt;&gt;""),AND(IL6&gt;=IM$29,IL6&lt;&gt;""),AND(JE6&gt;=JI$29,JE6&lt;&gt;""),AND(JH6&gt;=JI$29,JH6&lt;&gt;""),AND(KA6&gt;=KE$29,KA6&lt;&gt;""),AND(KD6&gt;=KE$29,KD6&lt;&gt;""),AND(KW6&gt;=LA$29,KW6&lt;&gt;""),AND(KZ6&gt;=LA$29,KZ6&lt;&gt;""),AND(LS6&gt;=LW$29,LS6&lt;&gt;""),AND(LV6&gt;=LW$29,LV6&lt;&gt;""),AND(MO6&gt;=MS$29,MO6&lt;&gt;""),AND(MR6&gt;=MS$29,MR6&lt;&gt;""),AND(NK6&gt;=NO$29,NK6&lt;&gt;""),AND(NN6&gt;=NO$29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$30,AV6&lt;&gt;"",AP6=""),AND(BZ6&gt;=CC$30,BZ6&lt;&gt;"",BT6=""),AND(DD6&gt;=DG$30,DD6&lt;&gt;"",CX6=""),AND(ED6&gt;=EG$30,ED6&lt;&gt;""),AND(EZ6&gt;=FC$30,EZ6&lt;&gt;""),AND(FV6&gt;=FY$30,FV6&lt;&gt;""),AND(GR6&gt;=GU$30,GR6&lt;&gt;""),AND(HN6&gt;=HQ$30,HN6&lt;&gt;""),AND(IJ6&gt;=IM$30,IJ6&lt;&gt;""),AND(JF6&gt;=JI$30,JF6&lt;&gt;""),AND(KB6&gt;=KE$30,KB6&lt;&gt;""),AND(KX6&gt;=LA$30,KX6&lt;&gt;""),AND(LT6&gt;=LW$30,LT6&lt;&gt;""),AND(MP6&gt;=MS$30,MP6&lt;&gt;""),AND(NL6&gt;=NO$30,NL6&lt;&gt;"")),OR(G6="Worlds Team",G6="Excellence",G6="Merit")),"P","")</f>
        <v/>
      </c>
      <c r="K6" s="14">
        <f>IF(MAX(AV6,BZ6,DD6)&gt;0,MAX(AV6,BZ6,DD6),0)</f>
        <v>93.775000000000006</v>
      </c>
      <c r="L6" s="14" t="str">
        <f>IF(K6=0,"",IF(K6=DD6,$CD$1,IF(K6=BZ6,$AZ$1,IF(K6=AV6,$V$1,""))))</f>
        <v>2019 Nationals</v>
      </c>
      <c r="M6" s="14">
        <f>IF($K6=$AV6,MAX(BU6,CY6),IF($K6=$BZ6,MAX(AQ6,CY6),IF($K6=$DD6,MAX(AQ6,BU6),MAX(AQ6,BU6,CY6))))</f>
        <v>45.625</v>
      </c>
      <c r="N6" s="14" t="str">
        <f>IF(M6=0,"",IF(AND(M6=CY6,$L6&lt;&gt;$CD$1),$CD$1,IF(AND(M6=BU6,$L6&lt;&gt;$AZ$1),$AZ$1,IF(AND(M6=AQ6,$L6&lt;&gt;$V$1),$V$1,""))))</f>
        <v>2021 2nd Virtual Technical Trial</v>
      </c>
      <c r="O6" s="14">
        <f>MAX(AS6,AU6,AX6,BW6,BY6,CB6,DA6,DC6,DF6)</f>
        <v>48.559999999999995</v>
      </c>
      <c r="P6" s="14" t="str">
        <f>IF(O6=0,"",IF(OR(O6=DC6,O6=DA6,O6=DF6),$CD$1,IF(OR(O6=BY6,O6=BW6,O6=CB6),$AZ$1,IF(OR(O6=AU6,O6=AS6,O6=AX6),$V$1,""))))</f>
        <v>2021 1st Virtual Technical Trial</v>
      </c>
      <c r="Q6" s="14">
        <f>IF(COUNT(AS6,AU6,AX6,BW6,BY6,CB6,DA6,DC6,DF6)&gt;1,LARGE((AS6,AU6,AX6,BW6,BY6,CB6,DA6,DC6,DF6),2),0)</f>
        <v>48.46</v>
      </c>
      <c r="R6" s="14" t="str">
        <f>IF(Q6=0,"",IF(OR(Q6=DC6,Q6=DA6,Q6=DF6),$CD$1,IF(OR(Q6=BY6,Q6=BW6,Q6=CB6),$AZ$1,IF(OR(Q6=AU6,Q6=AS6,Q6=AX6),$V$1,""))))</f>
        <v>2019 Nationals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17.2</v>
      </c>
      <c r="W6" s="61">
        <v>9.6</v>
      </c>
      <c r="X6" s="61">
        <v>3.5</v>
      </c>
      <c r="Y6" s="61">
        <v>15.015000000000001</v>
      </c>
      <c r="Z6" s="61">
        <v>0</v>
      </c>
      <c r="AA6" s="61">
        <v>13.2</v>
      </c>
      <c r="AB6" s="61">
        <v>8.3000000000000007</v>
      </c>
      <c r="AC6" s="61">
        <v>13.1</v>
      </c>
      <c r="AD6" s="61">
        <v>14.06</v>
      </c>
      <c r="AE6" s="61">
        <v>0.2</v>
      </c>
      <c r="AF6" s="61"/>
      <c r="AG6" s="61"/>
      <c r="AH6" s="61"/>
      <c r="AI6" s="61"/>
      <c r="AJ6" s="61"/>
      <c r="AK6" s="61">
        <v>2.44</v>
      </c>
      <c r="AL6" s="61">
        <v>1.6</v>
      </c>
      <c r="AM6" s="61">
        <v>3.1</v>
      </c>
      <c r="AN6" s="61">
        <v>2.9449999999999998</v>
      </c>
      <c r="AO6" s="61">
        <v>0</v>
      </c>
      <c r="AP6" s="72"/>
      <c r="AQ6" s="11">
        <f>IF(SUM(V6:Y6)-Z6&gt;0,SUM(V6:Y6)-Z6,"")</f>
        <v>45.314999999999998</v>
      </c>
      <c r="AR6" s="11">
        <f>IF(AC6&gt;0,AC6,"")</f>
        <v>13.1</v>
      </c>
      <c r="AS6" s="11">
        <f>IF(SUM(AA6:AD6)-AE6&gt;0,SUM(AA6:AD6)-AE6,"")</f>
        <v>48.46</v>
      </c>
      <c r="AT6" s="11" t="str">
        <f>IF(AH6&gt;0,AH6,"")</f>
        <v/>
      </c>
      <c r="AU6" s="11" t="str">
        <f>IF(SUM(AF6:AI6)-AJ6&gt;0,SUM(AF6:AI6)-AJ6,"")</f>
        <v/>
      </c>
      <c r="AV6" s="11">
        <f>IF(AQ6="",IF(MAX(AS6,AU6)&gt;0,MAX(AS6,AU6),""),MAX(AS6,AU6)+AQ6)</f>
        <v>93.775000000000006</v>
      </c>
      <c r="AW6" s="11">
        <f>IF(AM6&gt;0,AM6,"")</f>
        <v>3.1</v>
      </c>
      <c r="AX6" s="11">
        <f>IF(SUM(AK6:AN6)-AO6&gt;0,SUM(AK6:AN6)-AO6,"")</f>
        <v>10.085000000000001</v>
      </c>
      <c r="AY6" s="11">
        <f>IF(SUM(AV6,AX6)&gt;0,SUM(AV6,AX6),"")</f>
        <v>103.86000000000001</v>
      </c>
      <c r="AZ6" s="67">
        <v>16.100000000000001</v>
      </c>
      <c r="BA6" s="67">
        <v>9.4</v>
      </c>
      <c r="BB6" s="67">
        <v>3.4</v>
      </c>
      <c r="BC6" s="67">
        <v>15.005000000000001</v>
      </c>
      <c r="BD6" s="67">
        <v>0</v>
      </c>
      <c r="BE6" s="67">
        <v>13.9</v>
      </c>
      <c r="BF6" s="67">
        <v>8.9499999999999993</v>
      </c>
      <c r="BG6" s="67">
        <v>11.2</v>
      </c>
      <c r="BH6" s="67">
        <v>14.51</v>
      </c>
      <c r="BI6" s="67">
        <v>0</v>
      </c>
      <c r="BJ6" s="67">
        <v>12.8</v>
      </c>
      <c r="BK6" s="67">
        <v>8.6999999999999993</v>
      </c>
      <c r="BL6" s="67">
        <v>12</v>
      </c>
      <c r="BM6" s="67">
        <v>14.39</v>
      </c>
      <c r="BN6" s="67">
        <v>0</v>
      </c>
      <c r="BO6" s="67">
        <v>10.6</v>
      </c>
      <c r="BP6" s="67">
        <v>8.5500000000000007</v>
      </c>
      <c r="BQ6" s="67">
        <v>11</v>
      </c>
      <c r="BR6" s="67">
        <v>12.725</v>
      </c>
      <c r="BS6" s="67">
        <v>0.2</v>
      </c>
      <c r="BT6" s="73"/>
      <c r="BU6" s="14">
        <f>IF(SUM(AZ6:BC6)-BD6&gt;0,SUM(AZ6:BC6)-BD6,"")</f>
        <v>43.905000000000001</v>
      </c>
      <c r="BV6" s="14">
        <f>IF(BG6&gt;0,BG6,"")</f>
        <v>11.2</v>
      </c>
      <c r="BW6" s="14">
        <f>IF(SUM(BE6:BH6)-BI6&gt;0,SUM(BE6:BH6)-BI6,"")</f>
        <v>48.559999999999995</v>
      </c>
      <c r="BX6" s="14">
        <f>IF(BL6&gt;0,BL6,"")</f>
        <v>12</v>
      </c>
      <c r="BY6" s="14">
        <f>IF(SUM(BJ6:BM6)-BN6&gt;0,SUM(BJ6:BM6)-BN6,"")</f>
        <v>47.89</v>
      </c>
      <c r="BZ6" s="14">
        <f>IF(BU6="",IF(MAX(BW6,BY6)&gt;0,MAX(BW6,BY6),""),MAX(BW6,BY6)+BU6)</f>
        <v>92.465000000000003</v>
      </c>
      <c r="CA6" s="14">
        <f>IF(BQ6&gt;0,BQ6,"")</f>
        <v>11</v>
      </c>
      <c r="CB6" s="14">
        <f>IF(SUM(BO6:BR6)-BS6&gt;0,SUM(BO6:BR6)-BS6,"")</f>
        <v>42.674999999999997</v>
      </c>
      <c r="CC6" s="14">
        <f>IF(SUM(BZ6,CB6)&gt;0,SUM(BZ6,CB6),"")</f>
        <v>135.13999999999999</v>
      </c>
      <c r="CD6" s="61">
        <v>17.2</v>
      </c>
      <c r="CE6" s="61">
        <v>9.1999999999999993</v>
      </c>
      <c r="CF6" s="61">
        <v>3.9</v>
      </c>
      <c r="CG6" s="61">
        <v>15.324999999999999</v>
      </c>
      <c r="CH6" s="61">
        <v>0</v>
      </c>
      <c r="CI6" s="61">
        <v>2.5</v>
      </c>
      <c r="CJ6" s="61">
        <v>1.9</v>
      </c>
      <c r="CK6" s="61">
        <v>3.1</v>
      </c>
      <c r="CL6" s="61">
        <v>3.18</v>
      </c>
      <c r="CM6" s="61">
        <v>0</v>
      </c>
      <c r="CN6" s="61">
        <v>9</v>
      </c>
      <c r="CO6" s="61">
        <v>6.4</v>
      </c>
      <c r="CP6" s="61">
        <v>8.3000000000000007</v>
      </c>
      <c r="CQ6" s="61">
        <v>10.46</v>
      </c>
      <c r="CR6" s="61">
        <v>0</v>
      </c>
      <c r="CS6" s="61">
        <v>5.8</v>
      </c>
      <c r="CT6" s="61">
        <v>4.4000000000000004</v>
      </c>
      <c r="CU6" s="61">
        <v>6.7</v>
      </c>
      <c r="CV6" s="61">
        <v>7.2249999999999996</v>
      </c>
      <c r="CW6" s="61">
        <v>0</v>
      </c>
      <c r="CX6" s="72"/>
      <c r="CY6" s="11">
        <f>IF(SUM(CD6:CG6)-CH6&gt;0,SUM(CD6:CG6)-CH6,"")</f>
        <v>45.625</v>
      </c>
      <c r="CZ6" s="11">
        <f>IF(CK6&gt;0,CK6,"")</f>
        <v>3.1</v>
      </c>
      <c r="DA6" s="11">
        <f>IF(SUM(CI6:CL6)-CM6&gt;0,SUM(CI6:CL6)-CM6,"")</f>
        <v>10.68</v>
      </c>
      <c r="DB6" s="11">
        <f>IF(CP6&gt;0,CP6,"")</f>
        <v>8.3000000000000007</v>
      </c>
      <c r="DC6" s="11">
        <f>IF(SUM(CN6:CQ6)-CR6&gt;0,SUM(CN6:CQ6)-CR6,"")</f>
        <v>34.160000000000004</v>
      </c>
      <c r="DD6" s="11">
        <f>IF(CY6="",IF(MAX(DA6,DC6)&gt;0,MAX(DA6,DC6),""),MAX(DA6,DC6)+CY6)</f>
        <v>79.784999999999997</v>
      </c>
      <c r="DE6" s="11">
        <f>IF(CU6&gt;0,CU6,"")</f>
        <v>6.7</v>
      </c>
      <c r="DF6" s="11">
        <f>IF(SUM(CS6:CV6)-CW6&gt;0,SUM(CS6:CV6)-CW6,"")</f>
        <v>24.125</v>
      </c>
      <c r="DG6" s="11">
        <f>IF(SUM(DD6,DF6)&gt;0,SUM(DD6,DF6),"")</f>
        <v>103.91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16.649999999999999</v>
      </c>
      <c r="NQ6" s="61">
        <f>IF($CX6="P",CE6,(CE6+BA6)/2)</f>
        <v>9.3000000000000007</v>
      </c>
      <c r="NR6" s="61">
        <f>IF($CX6="P",CF6,(CF6+BB6)/2)</f>
        <v>3.65</v>
      </c>
      <c r="NS6" s="61">
        <f>IF($CX6="P",CG6,(CG6+BC6)/2)</f>
        <v>15.164999999999999</v>
      </c>
      <c r="NT6" s="61">
        <f>IF($CX6="P",CH6,(CH6+BD6)/2)</f>
        <v>0</v>
      </c>
      <c r="NU6" s="61">
        <f>IF($CX6="P",CI6,(CI6+BE6)/2)</f>
        <v>8.1999999999999993</v>
      </c>
      <c r="NV6" s="61">
        <f>IF($CX6="P",CJ6,(CJ6+BF6)/2)</f>
        <v>5.4249999999999998</v>
      </c>
      <c r="NW6" s="61">
        <f>IF($CX6="P",CK6,(CK6+BG6)/2)</f>
        <v>7.1499999999999995</v>
      </c>
      <c r="NX6" s="61">
        <f>IF($CX6="P",CL6,(CL6+BH6)/2)</f>
        <v>8.8450000000000006</v>
      </c>
      <c r="NY6" s="61">
        <f>IF($CX6="P",CM6,(CM6+BI6)/2)</f>
        <v>0</v>
      </c>
      <c r="NZ6" s="61">
        <f>IF($CX6="P",CN6,(CN6+BJ6)/2)</f>
        <v>10.9</v>
      </c>
      <c r="OA6" s="61">
        <f>IF($CX6="P",CO6,(CO6+BK6)/2)</f>
        <v>7.55</v>
      </c>
      <c r="OB6" s="61">
        <f>IF($CX6="P",CP6,(CP6+BL6)/2)</f>
        <v>10.15</v>
      </c>
      <c r="OC6" s="61">
        <f>IF($CX6="P",CQ6,(CQ6+BM6)/2)</f>
        <v>12.425000000000001</v>
      </c>
      <c r="OD6" s="61">
        <f>IF($CX6="P",CR6,(CR6+BN6)/2)</f>
        <v>0</v>
      </c>
      <c r="OE6" s="61">
        <f>IF($CX6="P",CS6,(CS6+BO6)/2)</f>
        <v>8.1999999999999993</v>
      </c>
      <c r="OF6" s="61">
        <f>IF($CX6="P",CT6,(CT6+BP6)/2)</f>
        <v>6.4750000000000005</v>
      </c>
      <c r="OG6" s="61">
        <f>IF($CX6="P",CU6,(CU6+BQ6)/2)</f>
        <v>8.85</v>
      </c>
      <c r="OH6" s="61">
        <f>IF($CX6="P",CV6,(CV6+BR6)/2)</f>
        <v>9.9749999999999996</v>
      </c>
      <c r="OI6" s="61">
        <f>IF($CX6="P",CW6,(CW6+BS6)/2)</f>
        <v>0.1</v>
      </c>
      <c r="OJ6" s="72" t="s">
        <v>52</v>
      </c>
      <c r="OK6" s="11">
        <f>IF(SUM(NP6:NS6)-NT6&gt;0,SUM(NP6:NS6)-NT6,"")</f>
        <v>44.765000000000001</v>
      </c>
      <c r="OL6" s="11">
        <f>IF(NW6&gt;0,NW6,"")</f>
        <v>7.1499999999999995</v>
      </c>
      <c r="OM6" s="11">
        <f>IF(SUM(NU6:NX6)-NY6&gt;0,SUM(NU6:NX6)-NY6,"")</f>
        <v>29.619999999999997</v>
      </c>
      <c r="ON6" s="11">
        <f>IF(OB6&gt;0,OB6,"")</f>
        <v>10.15</v>
      </c>
      <c r="OO6" s="11">
        <f>IF(SUM(NZ6:OC6)-OD6&gt;0,SUM(NZ6:OC6)-OD6,"")</f>
        <v>41.025000000000006</v>
      </c>
      <c r="OP6" s="11">
        <f>IF(OR(OK6&lt;&gt;"",OM6&lt;&gt;"",OO6&lt;&gt;""),OK6+MAX(OM6,OO6),"")</f>
        <v>85.79</v>
      </c>
      <c r="OQ6" s="11">
        <f>IF(OG6&gt;0,OG6,"")</f>
        <v>8.85</v>
      </c>
      <c r="OR6" s="11">
        <f t="shared" si="0"/>
        <v>33.4</v>
      </c>
      <c r="OS6" s="11">
        <f t="shared" si="1"/>
        <v>119.19</v>
      </c>
    </row>
    <row r="7" spans="1:409" x14ac:dyDescent="0.2">
      <c r="A7" s="5" cm="1">
        <f t="array" ref="A7">IF(AND(G7&lt;&gt;"",H7&lt;&gt;""),SUMPRODUCT((G$4:G$23&lt;&gt;"")*(H$4:H$23&lt;&gt;"")*(E$4:E$23&gt;E7))+1,IF(H7&lt;&gt;"",SUMPRODUCT((I$4:I$23="No DD")*(E$4:E$23&gt;E7))+1+SUMPRODUCT((G$4:G$23&lt;&gt;"")*(H$4:H$23&lt;&gt;"")),""))</f>
        <v>4</v>
      </c>
      <c r="B7" s="6" t="s">
        <v>87</v>
      </c>
      <c r="C7" s="7" t="s">
        <v>3</v>
      </c>
      <c r="D7" s="7">
        <v>2002</v>
      </c>
      <c r="E7" s="15">
        <f>SUM(O7:S7)</f>
        <v>96.414999999999992</v>
      </c>
      <c r="F7" s="3" t="str">
        <f>IF(G7&lt;&gt;"","P","")</f>
        <v>P</v>
      </c>
      <c r="G7" s="115" t="str">
        <f>IF(OR(AND(AR7&gt;=AY$28,AR7&lt;&gt;"",AP7=""),AND(AT7&gt;=AY$28,AT7&lt;&gt;"",AP7=""),AND(AW7&gt;=AY$28,AW7&lt;&gt;"",AP7=""),AND(BV7&gt;=CC$28,BV7&lt;&gt;"",BT7=""),AND(BX7&gt;=CC$28,BX7&lt;&gt;"",BT7=""),AND(CA7&gt;=CC$28,CA7&lt;&gt;"",BT7=""),AND(CZ7&gt;=DG$28,CZ7&lt;&gt;"",CX7=""),AND(DB7&gt;=DG$28,DB7&lt;&gt;"",CX7=""),AND(DE7&gt;=DG$28,DE7&lt;&gt;"",CX7=""),AND(EA7&gt;=EG$28,EA7&lt;&gt;""),AND(EE7&gt;=EG$28,EE7&lt;&gt;""),AND(EW7&gt;=FC$28,EW7&lt;&gt;""),AND(FA7&gt;=FC$28,FA7&lt;&gt;""),AND(FS7&gt;=FY$28,FS7&lt;&gt;""),AND(FW7&gt;=FY$28,FW7&lt;&gt;""),AND(GO7&gt;=GU$28,GO7&lt;&gt;""),AND(GS7&gt;=GU$28,GS7&lt;&gt;""),AND(HK7&gt;=HQ$28,HK7&lt;&gt;""),AND(HO7&gt;=HQ$28,HO7&lt;&gt;""),AND(IG7&gt;=IM$28,IG7&lt;&gt;""),AND(IK7&gt;=IM$28,IK7&lt;&gt;""),AND(JC7&gt;=JI$28,JC7&lt;&gt;""),AND(JG7&gt;=JI$28,JG7&lt;&gt;""),AND(JY7&gt;=KE$28,JY7&lt;&gt;""),AND(KC7&gt;=KE$28,KC7&lt;&gt;""),AND(KU7&gt;=LA$28,KU7&lt;&gt;""),AND(KY7&gt;=LA$28,KY7&lt;&gt;""),AND(LQ7&gt;=LW$28,LQ7&lt;&gt;""),AND(LU7&gt;=LW$28,LU7&lt;&gt;""),AND(MM7&gt;=MS$28,MM7&lt;&gt;""),AND(MQ7&gt;=MS$28,MQ7&lt;&gt;""),AND(NI7&gt;=NO$28,NI7&lt;&gt;""),AND(NM7&gt;=NO$28,NM7&lt;&gt;"")),"Merit",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Excellence",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Worlds Team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National Team",""))))</f>
        <v>National Team</v>
      </c>
      <c r="H7" s="115" t="str">
        <f>IF(OR(AND(AS7&gt;=AY$29,AS7&lt;&gt;"",AP7=""),AND(AU7&gt;=AY$29,AU7&lt;&gt;"",AP7=""),AND(AX7&gt;=AY$29,AX7&lt;&gt;"",AP7=""),AND(BW7&gt;=CC$29,BW7&lt;&gt;"",BT7=""),AND(BY7&gt;=CC$29,BY7&lt;&gt;"",BT7=""),AND(CB7&gt;=CC$29,CB7&lt;&gt;"",BT7=""),AND(DA7&gt;=DG$29,DA7&lt;&gt;"",CX7=""),AND(DC7&gt;=DG$29,DC7&lt;&gt;"",CX7=""),AND(DF7&gt;=DG$29,DF7&lt;&gt;"",CX7=""),AND(EC7&gt;=EG$29,EC7&lt;&gt;""),AND(EF7&gt;=EG$29,EF7&lt;&gt;""),AND(EY7&gt;=FC$29,EY7&lt;&gt;""),AND(FB7&gt;=FC$29,FB7&lt;&gt;""),AND(FU7&gt;=FY$29,FU7&lt;&gt;""),AND(FX7&gt;=FY$29,FX7&lt;&gt;""),AND(GQ7&gt;=GU$29,GQ7&lt;&gt;""),AND(GT7&gt;=GU$29,GT7&lt;&gt;""),AND(HM7&gt;=HQ$29,HM7&lt;&gt;""),AND(HP7&gt;=HQ$29,HP7&lt;&gt;""),AND(II7&gt;=IM$29,II7&lt;&gt;""),AND(IL7&gt;=IM$29,IL7&lt;&gt;""),AND(JE7&gt;=JI$29,JE7&lt;&gt;""),AND(JH7&gt;=JI$29,JH7&lt;&gt;""),AND(KA7&gt;=KE$29,KA7&lt;&gt;""),AND(KD7&gt;=KE$29,KD7&lt;&gt;""),AND(KW7&gt;=LA$29,KW7&lt;&gt;""),AND(KZ7&gt;=LA$29,KZ7&lt;&gt;""),AND(LS7&gt;=LW$29,LS7&lt;&gt;""),AND(LV7&gt;=LW$29,LV7&lt;&gt;""),AND(MO7&gt;=MS$29,MO7&lt;&gt;""),AND(MR7&gt;=MS$29,MR7&lt;&gt;""),AND(NK7&gt;=NO$29,NK7&lt;&gt;""),AND(NN7&gt;=NO$29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$30,AV7&lt;&gt;"",AP7=""),AND(BZ7&gt;=CC$30,BZ7&lt;&gt;"",BT7=""),AND(DD7&gt;=DG$30,DD7&lt;&gt;"",CX7=""),AND(ED7&gt;=EG$30,ED7&lt;&gt;""),AND(EZ7&gt;=FC$30,EZ7&lt;&gt;""),AND(FV7&gt;=FY$30,FV7&lt;&gt;""),AND(GR7&gt;=GU$30,GR7&lt;&gt;""),AND(HN7&gt;=HQ$30,HN7&lt;&gt;""),AND(IJ7&gt;=IM$30,IJ7&lt;&gt;""),AND(JF7&gt;=JI$30,JF7&lt;&gt;""),AND(KB7&gt;=KE$30,KB7&lt;&gt;""),AND(KX7&gt;=LA$30,KX7&lt;&gt;""),AND(LT7&gt;=LW$30,LT7&lt;&gt;""),AND(MP7&gt;=MS$30,MP7&lt;&gt;""),AND(NL7&gt;=NO$30,NL7&lt;&gt;"")),OR(G7="Worlds Team",G7="Excellence",G7="Merit")),"P","")</f>
        <v/>
      </c>
      <c r="K7" s="14">
        <f>IF(MAX(AV7,BZ7,DD7)&gt;0,MAX(AV7,BZ7,DD7),0)</f>
        <v>93.284999999999997</v>
      </c>
      <c r="L7" s="14" t="str">
        <f>IF(K7=0,"",IF(K7=DD7,$CD$1,IF(K7=BZ7,$AZ$1,IF(K7=AV7,$V$1,""))))</f>
        <v>2019 Nationals</v>
      </c>
      <c r="M7" s="14">
        <f>IF($K7=$AV7,MAX(BU7,CY7),IF($K7=$BZ7,MAX(AQ7,CY7),IF($K7=$DD7,MAX(AQ7,BU7),MAX(AQ7,BU7,CY7))))</f>
        <v>41.974999999999994</v>
      </c>
      <c r="N7" s="14" t="str">
        <f>IF(M7=0,"",IF(AND(M7=CY7,$L7&lt;&gt;$CD$1),$CD$1,IF(AND(M7=BU7,$L7&lt;&gt;$AZ$1),$AZ$1,IF(AND(M7=AQ7,$L7&lt;&gt;$V$1),$V$1,""))))</f>
        <v>2021 1st Virtual Technical Trial</v>
      </c>
      <c r="O7" s="14">
        <f>MAX(AS7,AU7,AX7,BW7,BY7,CB7,DA7,DC7,DF7)</f>
        <v>48.53</v>
      </c>
      <c r="P7" s="14" t="str">
        <f>IF(O7=0,"",IF(OR(O7=DC7,O7=DA7,O7=DF7),$CD$1,IF(OR(O7=BY7,O7=BW7,O7=CB7),$AZ$1,IF(OR(O7=AU7,O7=AS7,O7=AX7),$V$1,""))))</f>
        <v>2019 Nationals</v>
      </c>
      <c r="Q7" s="14">
        <f>IF(COUNT(AS7,AU7,AX7,BW7,BY7,CB7,DA7,DC7,DF7)&gt;1,LARGE((AS7,AU7,AX7,BW7,BY7,CB7,DA7,DC7,DF7),2),0)</f>
        <v>47.884999999999998</v>
      </c>
      <c r="R7" s="14" t="str">
        <f>IF(Q7=0,"",IF(OR(Q7=DC7,Q7=DA7,Q7=DF7),$CD$1,IF(OR(Q7=BY7,Q7=BW7,Q7=CB7),$AZ$1,IF(OR(Q7=AU7,Q7=AS7,Q7=AX7),$V$1,""))))</f>
        <v>2019 Nationals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17.100000000000001</v>
      </c>
      <c r="W7" s="61">
        <v>9.6</v>
      </c>
      <c r="X7" s="61">
        <v>3.9</v>
      </c>
      <c r="Y7" s="61">
        <v>14.8</v>
      </c>
      <c r="Z7" s="61">
        <v>0</v>
      </c>
      <c r="AA7" s="61">
        <v>12.6</v>
      </c>
      <c r="AB7" s="61">
        <v>9.5</v>
      </c>
      <c r="AC7" s="61">
        <v>11.4</v>
      </c>
      <c r="AD7" s="61">
        <v>14.385</v>
      </c>
      <c r="AE7" s="61">
        <v>0</v>
      </c>
      <c r="AF7" s="61"/>
      <c r="AG7" s="61"/>
      <c r="AH7" s="61"/>
      <c r="AI7" s="61"/>
      <c r="AJ7" s="61"/>
      <c r="AK7" s="61">
        <v>14.9</v>
      </c>
      <c r="AL7" s="61">
        <v>9.1</v>
      </c>
      <c r="AM7" s="61">
        <v>10.5</v>
      </c>
      <c r="AN7" s="61">
        <v>14.03</v>
      </c>
      <c r="AO7" s="61">
        <v>0</v>
      </c>
      <c r="AP7" s="72"/>
      <c r="AQ7" s="11">
        <f>IF(SUM(V7:Y7)-Z7&gt;0,SUM(V7:Y7)-Z7,"")</f>
        <v>45.400000000000006</v>
      </c>
      <c r="AR7" s="11">
        <f>IF(AC7&gt;0,AC7,"")</f>
        <v>11.4</v>
      </c>
      <c r="AS7" s="11">
        <f>IF(SUM(AA7:AD7)-AE7&gt;0,SUM(AA7:AD7)-AE7,"")</f>
        <v>47.884999999999998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93.284999999999997</v>
      </c>
      <c r="AW7" s="11">
        <f>IF(AM7&gt;0,AM7,"")</f>
        <v>10.5</v>
      </c>
      <c r="AX7" s="11">
        <f>IF(SUM(AK7:AN7)-AO7&gt;0,SUM(AK7:AN7)-AO7,"")</f>
        <v>48.53</v>
      </c>
      <c r="AY7" s="11">
        <f>IF(SUM(AV7,AX7)&gt;0,SUM(AV7,AX7),"")</f>
        <v>141.815</v>
      </c>
      <c r="AZ7" s="67">
        <v>15</v>
      </c>
      <c r="BA7" s="67">
        <v>8.9499999999999993</v>
      </c>
      <c r="BB7" s="67">
        <v>3.9</v>
      </c>
      <c r="BC7" s="67">
        <v>14.125</v>
      </c>
      <c r="BD7" s="67">
        <v>0</v>
      </c>
      <c r="BE7" s="67">
        <v>8.1</v>
      </c>
      <c r="BF7" s="67">
        <v>5.4</v>
      </c>
      <c r="BG7" s="67">
        <v>5.9</v>
      </c>
      <c r="BH7" s="67">
        <v>8.6349999999999998</v>
      </c>
      <c r="BI7" s="67">
        <v>0</v>
      </c>
      <c r="BJ7" s="67">
        <v>9.8000000000000007</v>
      </c>
      <c r="BK7" s="67">
        <v>6.8</v>
      </c>
      <c r="BL7" s="67">
        <v>7.2</v>
      </c>
      <c r="BM7" s="67">
        <v>10.19</v>
      </c>
      <c r="BN7" s="67">
        <v>0</v>
      </c>
      <c r="BO7" s="67">
        <v>3.3</v>
      </c>
      <c r="BP7" s="67">
        <v>2.5</v>
      </c>
      <c r="BQ7" s="67">
        <v>2.6</v>
      </c>
      <c r="BR7" s="67">
        <v>4.335</v>
      </c>
      <c r="BS7" s="67">
        <v>0</v>
      </c>
      <c r="BT7" s="73"/>
      <c r="BU7" s="14">
        <f>IF(SUM(AZ7:BC7)-BD7&gt;0,SUM(AZ7:BC7)-BD7,"")</f>
        <v>41.974999999999994</v>
      </c>
      <c r="BV7" s="14">
        <f>IF(BG7&gt;0,BG7,"")</f>
        <v>5.9</v>
      </c>
      <c r="BW7" s="14">
        <f>IF(SUM(BE7:BH7)-BI7&gt;0,SUM(BE7:BH7)-BI7,"")</f>
        <v>28.034999999999997</v>
      </c>
      <c r="BX7" s="14">
        <f>IF(BL7&gt;0,BL7,"")</f>
        <v>7.2</v>
      </c>
      <c r="BY7" s="14">
        <f>IF(SUM(BJ7:BM7)-BN7&gt;0,SUM(BJ7:BM7)-BN7,"")</f>
        <v>33.99</v>
      </c>
      <c r="BZ7" s="14">
        <f>IF(BU7="",IF(MAX(BW7,BY7)&gt;0,MAX(BW7,BY7),""),MAX(BW7,BY7)+BU7)</f>
        <v>75.965000000000003</v>
      </c>
      <c r="CA7" s="14">
        <f>IF(BQ7&gt;0,BQ7,"")</f>
        <v>2.6</v>
      </c>
      <c r="CB7" s="14">
        <f>IF(SUM(BO7:BR7)-BS7&gt;0,SUM(BO7:BR7)-BS7,"")</f>
        <v>12.734999999999999</v>
      </c>
      <c r="CC7" s="14">
        <f>IF(SUM(BZ7,CB7)&gt;0,SUM(BZ7,CB7),"")</f>
        <v>88.7</v>
      </c>
      <c r="CD7" s="61">
        <v>2.9</v>
      </c>
      <c r="CE7" s="61">
        <v>1.6</v>
      </c>
      <c r="CF7" s="61">
        <v>1.5</v>
      </c>
      <c r="CG7" s="61">
        <v>2.85</v>
      </c>
      <c r="CH7" s="61">
        <v>0</v>
      </c>
      <c r="CI7" s="61">
        <v>11.8</v>
      </c>
      <c r="CJ7" s="61">
        <v>7.9</v>
      </c>
      <c r="CK7" s="61">
        <v>9.1</v>
      </c>
      <c r="CL7" s="61">
        <v>12.605</v>
      </c>
      <c r="CM7" s="61">
        <v>0</v>
      </c>
      <c r="CN7" s="61">
        <v>13.7</v>
      </c>
      <c r="CO7" s="61">
        <v>9.1</v>
      </c>
      <c r="CP7" s="61">
        <v>10.5</v>
      </c>
      <c r="CQ7" s="61">
        <v>13.79</v>
      </c>
      <c r="CR7" s="61">
        <v>0.7</v>
      </c>
      <c r="CS7" s="61">
        <v>13.4</v>
      </c>
      <c r="CT7" s="61">
        <v>8.8000000000000007</v>
      </c>
      <c r="CU7" s="61">
        <v>9.8000000000000007</v>
      </c>
      <c r="CV7" s="61">
        <v>13.975</v>
      </c>
      <c r="CW7" s="61">
        <v>1.4</v>
      </c>
      <c r="CX7" s="72"/>
      <c r="CY7" s="11">
        <f>IF(SUM(CD7:CG7)-CH7&gt;0,SUM(CD7:CG7)-CH7,"")</f>
        <v>8.85</v>
      </c>
      <c r="CZ7" s="11">
        <f>IF(CK7&gt;0,CK7,"")</f>
        <v>9.1</v>
      </c>
      <c r="DA7" s="11">
        <f>IF(SUM(CI7:CL7)-CM7&gt;0,SUM(CI7:CL7)-CM7,"")</f>
        <v>41.405000000000001</v>
      </c>
      <c r="DB7" s="11">
        <f>IF(CP7&gt;0,CP7,"")</f>
        <v>10.5</v>
      </c>
      <c r="DC7" s="11">
        <f>IF(SUM(CN7:CQ7)-CR7&gt;0,SUM(CN7:CQ7)-CR7,"")</f>
        <v>46.389999999999993</v>
      </c>
      <c r="DD7" s="11">
        <f>IF(CY7="",IF(MAX(DA7,DC7)&gt;0,MAX(DA7,DC7),""),MAX(DA7,DC7)+CY7)</f>
        <v>55.239999999999995</v>
      </c>
      <c r="DE7" s="11">
        <f>IF(CU7&gt;0,CU7,"")</f>
        <v>9.8000000000000007</v>
      </c>
      <c r="DF7" s="11">
        <f>IF(SUM(CS7:CV7)-CW7&gt;0,SUM(CS7:CV7)-CW7,"")</f>
        <v>44.575000000000003</v>
      </c>
      <c r="DG7" s="11">
        <f>IF(SUM(DD7,DF7)&gt;0,SUM(DD7,DF7),"")</f>
        <v>99.814999999999998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8.9499999999999993</v>
      </c>
      <c r="NQ7" s="61">
        <f>IF($CX7="P",CE7,(CE7+BA7)/2)</f>
        <v>5.2749999999999995</v>
      </c>
      <c r="NR7" s="61">
        <f>IF($CX7="P",CF7,(CF7+BB7)/2)</f>
        <v>2.7</v>
      </c>
      <c r="NS7" s="61">
        <f>IF($CX7="P",CG7,(CG7+BC7)/2)</f>
        <v>8.4875000000000007</v>
      </c>
      <c r="NT7" s="61">
        <f>IF($CX7="P",CH7,(CH7+BD7)/2)</f>
        <v>0</v>
      </c>
      <c r="NU7" s="61">
        <f>IF($CX7="P",CI7,(CI7+BE7)/2)</f>
        <v>9.9499999999999993</v>
      </c>
      <c r="NV7" s="61">
        <f>IF($CX7="P",CJ7,(CJ7+BF7)/2)</f>
        <v>6.65</v>
      </c>
      <c r="NW7" s="61">
        <f>IF($CX7="P",CK7,(CK7+BG7)/2)</f>
        <v>7.5</v>
      </c>
      <c r="NX7" s="61">
        <f>IF($CX7="P",CL7,(CL7+BH7)/2)</f>
        <v>10.620000000000001</v>
      </c>
      <c r="NY7" s="61">
        <f>IF($CX7="P",CM7,(CM7+BI7)/2)</f>
        <v>0</v>
      </c>
      <c r="NZ7" s="61">
        <f>IF($CX7="P",CN7,(CN7+BJ7)/2)</f>
        <v>11.75</v>
      </c>
      <c r="OA7" s="61">
        <f>IF($CX7="P",CO7,(CO7+BK7)/2)</f>
        <v>7.9499999999999993</v>
      </c>
      <c r="OB7" s="61">
        <f>IF($CX7="P",CP7,(CP7+BL7)/2)</f>
        <v>8.85</v>
      </c>
      <c r="OC7" s="61">
        <f>IF($CX7="P",CQ7,(CQ7+BM7)/2)</f>
        <v>11.989999999999998</v>
      </c>
      <c r="OD7" s="61">
        <f>IF($CX7="P",CR7,(CR7+BN7)/2)</f>
        <v>0.35</v>
      </c>
      <c r="OE7" s="61">
        <f>IF($CX7="P",CS7,(CS7+BO7)/2)</f>
        <v>8.35</v>
      </c>
      <c r="OF7" s="61">
        <f>IF($CX7="P",CT7,(CT7+BP7)/2)</f>
        <v>5.65</v>
      </c>
      <c r="OG7" s="61">
        <f>IF($CX7="P",CU7,(CU7+BQ7)/2)</f>
        <v>6.2</v>
      </c>
      <c r="OH7" s="61">
        <f>IF($CX7="P",CV7,(CV7+BR7)/2)</f>
        <v>9.1549999999999994</v>
      </c>
      <c r="OI7" s="61">
        <f>IF($CX7="P",CW7,(CW7+BS7)/2)</f>
        <v>0.7</v>
      </c>
      <c r="OJ7" s="72" t="s">
        <v>52</v>
      </c>
      <c r="OK7" s="11">
        <f>IF(SUM(NP7:NS7)-NT7&gt;0,SUM(NP7:NS7)-NT7,"")</f>
        <v>25.412499999999998</v>
      </c>
      <c r="OL7" s="11">
        <f>IF(NW7&gt;0,NW7,"")</f>
        <v>7.5</v>
      </c>
      <c r="OM7" s="11">
        <f>IF(SUM(NU7:NX7)-NY7&gt;0,SUM(NU7:NX7)-NY7,"")</f>
        <v>34.72</v>
      </c>
      <c r="ON7" s="11">
        <f>IF(OB7&gt;0,OB7,"")</f>
        <v>8.85</v>
      </c>
      <c r="OO7" s="11">
        <f>IF(SUM(NZ7:OC7)-OD7&gt;0,SUM(NZ7:OC7)-OD7,"")</f>
        <v>40.189999999999991</v>
      </c>
      <c r="OP7" s="11">
        <f>IF(OR(OK7&lt;&gt;"",OM7&lt;&gt;"",OO7&lt;&gt;""),OK7+MAX(OM7,OO7),"")</f>
        <v>65.602499999999992</v>
      </c>
      <c r="OQ7" s="11">
        <f>IF(OG7&gt;0,OG7,"")</f>
        <v>6.2</v>
      </c>
      <c r="OR7" s="11">
        <f t="shared" si="0"/>
        <v>28.654999999999998</v>
      </c>
      <c r="OS7" s="11">
        <f t="shared" si="1"/>
        <v>94.257499999999993</v>
      </c>
    </row>
    <row r="8" spans="1:409" x14ac:dyDescent="0.2">
      <c r="A8" s="5" cm="1">
        <f t="array" ref="A8">IF(AND(G8&lt;&gt;"",H8&lt;&gt;""),SUMPRODUCT((G$4:G$23&lt;&gt;"")*(H$4:H$23&lt;&gt;"")*(E$4:E$23&gt;E8))+1,IF(H8&lt;&gt;"",SUMPRODUCT((I$4:I$23="No DD")*(E$4:E$23&gt;E8))+1+SUMPRODUCT((G$4:G$23&lt;&gt;"")*(H$4:H$23&lt;&gt;"")),""))</f>
        <v>5</v>
      </c>
      <c r="B8" s="8" t="s">
        <v>112</v>
      </c>
      <c r="C8" s="4" t="s">
        <v>5</v>
      </c>
      <c r="D8" s="26">
        <v>2003</v>
      </c>
      <c r="E8" s="15">
        <f>SUM(O8:S8)</f>
        <v>96.655000000000001</v>
      </c>
      <c r="F8" s="3" t="str">
        <f>IF(G8&lt;&gt;"","P","")</f>
        <v/>
      </c>
      <c r="G8" s="115" t="str">
        <f>IF(OR(AND(AR8&gt;=AY$28,AR8&lt;&gt;"",AP8=""),AND(AT8&gt;=AY$28,AT8&lt;&gt;"",AP8=""),AND(AW8&gt;=AY$28,AW8&lt;&gt;"",AP8=""),AND(BV8&gt;=CC$28,BV8&lt;&gt;"",BT8=""),AND(BX8&gt;=CC$28,BX8&lt;&gt;"",BT8=""),AND(CA8&gt;=CC$28,CA8&lt;&gt;"",BT8=""),AND(CZ8&gt;=DG$28,CZ8&lt;&gt;"",CX8=""),AND(DB8&gt;=DG$28,DB8&lt;&gt;"",CX8=""),AND(DE8&gt;=DG$28,DE8&lt;&gt;"",CX8=""),AND(EA8&gt;=EG$28,EA8&lt;&gt;""),AND(EE8&gt;=EG$28,EE8&lt;&gt;""),AND(EW8&gt;=FC$28,EW8&lt;&gt;""),AND(FA8&gt;=FC$28,FA8&lt;&gt;""),AND(FS8&gt;=FY$28,FS8&lt;&gt;""),AND(FW8&gt;=FY$28,FW8&lt;&gt;""),AND(GO8&gt;=GU$28,GO8&lt;&gt;""),AND(GS8&gt;=GU$28,GS8&lt;&gt;""),AND(HK8&gt;=HQ$28,HK8&lt;&gt;""),AND(HO8&gt;=HQ$28,HO8&lt;&gt;""),AND(IG8&gt;=IM$28,IG8&lt;&gt;""),AND(IK8&gt;=IM$28,IK8&lt;&gt;""),AND(JC8&gt;=JI$28,JC8&lt;&gt;""),AND(JG8&gt;=JI$28,JG8&lt;&gt;""),AND(JY8&gt;=KE$28,JY8&lt;&gt;""),AND(KC8&gt;=KE$28,KC8&lt;&gt;""),AND(KU8&gt;=LA$28,KU8&lt;&gt;""),AND(KY8&gt;=LA$28,KY8&lt;&gt;""),AND(LQ8&gt;=LW$28,LQ8&lt;&gt;""),AND(LU8&gt;=LW$28,LU8&lt;&gt;""),AND(MM8&gt;=MS$28,MM8&lt;&gt;""),AND(MQ8&gt;=MS$28,MQ8&lt;&gt;""),AND(NI8&gt;=NO$28,NI8&lt;&gt;""),AND(NM8&gt;=NO$28,NM8&lt;&gt;"")),"Merit",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Excellence",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Worlds Team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National Team",""))))</f>
        <v/>
      </c>
      <c r="H8" s="115" t="str">
        <f>IF(OR(AND(AS8&gt;=AY$29,AS8&lt;&gt;"",AP8=""),AND(AU8&gt;=AY$29,AU8&lt;&gt;"",AP8=""),AND(AX8&gt;=AY$29,AX8&lt;&gt;"",AP8=""),AND(BW8&gt;=CC$29,BW8&lt;&gt;"",BT8=""),AND(BY8&gt;=CC$29,BY8&lt;&gt;"",BT8=""),AND(CB8&gt;=CC$29,CB8&lt;&gt;"",BT8=""),AND(DA8&gt;=DG$29,DA8&lt;&gt;"",CX8=""),AND(DC8&gt;=DG$29,DC8&lt;&gt;"",CX8=""),AND(DF8&gt;=DG$29,DF8&lt;&gt;"",CX8=""),AND(EC8&gt;=EG$29,EC8&lt;&gt;""),AND(EF8&gt;=EG$29,EF8&lt;&gt;""),AND(EY8&gt;=FC$29,EY8&lt;&gt;""),AND(FB8&gt;=FC$29,FB8&lt;&gt;""),AND(FU8&gt;=FY$29,FU8&lt;&gt;""),AND(FX8&gt;=FY$29,FX8&lt;&gt;""),AND(GQ8&gt;=GU$29,GQ8&lt;&gt;""),AND(GT8&gt;=GU$29,GT8&lt;&gt;""),AND(HM8&gt;=HQ$29,HM8&lt;&gt;""),AND(HP8&gt;=HQ$29,HP8&lt;&gt;""),AND(II8&gt;=IM$29,II8&lt;&gt;""),AND(IL8&gt;=IM$29,IL8&lt;&gt;""),AND(JE8&gt;=JI$29,JE8&lt;&gt;""),AND(JH8&gt;=JI$29,JH8&lt;&gt;""),AND(KA8&gt;=KE$29,KA8&lt;&gt;""),AND(KD8&gt;=KE$29,KD8&lt;&gt;""),AND(KW8&gt;=LA$29,KW8&lt;&gt;""),AND(KZ8&gt;=LA$29,KZ8&lt;&gt;""),AND(LS8&gt;=LW$29,LS8&lt;&gt;""),AND(LV8&gt;=LW$29,LV8&lt;&gt;""),AND(MO8&gt;=MS$29,MO8&lt;&gt;""),AND(MR8&gt;=MS$29,MR8&lt;&gt;""),AND(NK8&gt;=NO$29,NK8&lt;&gt;""),AND(NN8&gt;=NO$29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V8&gt;=AY$30,AV8&lt;&gt;"",AP8=""),AND(BZ8&gt;=CC$30,BZ8&lt;&gt;"",BT8=""),AND(DD8&gt;=DG$30,DD8&lt;&gt;"",CX8=""),AND(ED8&gt;=EG$30,ED8&lt;&gt;""),AND(EZ8&gt;=FC$30,EZ8&lt;&gt;""),AND(FV8&gt;=FY$30,FV8&lt;&gt;""),AND(GR8&gt;=GU$30,GR8&lt;&gt;""),AND(HN8&gt;=HQ$30,HN8&lt;&gt;""),AND(IJ8&gt;=IM$30,IJ8&lt;&gt;""),AND(JF8&gt;=JI$30,JF8&lt;&gt;""),AND(KB8&gt;=KE$30,KB8&lt;&gt;""),AND(KX8&gt;=LA$30,KX8&lt;&gt;""),AND(LT8&gt;=LW$30,LT8&lt;&gt;""),AND(MP8&gt;=MS$30,MP8&lt;&gt;""),AND(NL8&gt;=NO$30,NL8&lt;&gt;"")),OR(G8="Worlds Team",G8="Excellence",G8="Merit")),"P","")</f>
        <v/>
      </c>
      <c r="K8" s="14">
        <f>IF(MAX(AV8,BZ8,DD8)&gt;0,MAX(AV8,BZ8,DD8),0)</f>
        <v>89.72</v>
      </c>
      <c r="L8" s="14" t="str">
        <f>IF(K8=0,"",IF(K8=DD8,$CD$1,IF(K8=BZ8,$AZ$1,IF(K8=AV8,$V$1,""))))</f>
        <v>2019 Nationals</v>
      </c>
      <c r="M8" s="14">
        <f>IF($K8=$AV8,MAX(BU8,CY8),IF($K8=$BZ8,MAX(AQ8,CY8),IF($K8=$DD8,MAX(AQ8,BU8),MAX(AQ8,BU8,CY8))))</f>
        <v>42.024999999999999</v>
      </c>
      <c r="N8" s="14" t="str">
        <f>IF(M8=0,"",IF(AND(M8=CY8,$L8&lt;&gt;$CD$1),$CD$1,IF(AND(M8=BU8,$L8&lt;&gt;$AZ$1),$AZ$1,IF(AND(M8=AQ8,$L8&lt;&gt;$V$1),$V$1,""))))</f>
        <v>2021 2nd Virtual Technical Trial</v>
      </c>
      <c r="O8" s="14">
        <f>MAX(AS8,AU8,AX8,BW8,BY8,CB8,DA8,DC8,DF8)</f>
        <v>48.56</v>
      </c>
      <c r="P8" s="14" t="str">
        <f>IF(O8=0,"",IF(OR(O8=DC8,O8=DA8,O8=DF8),$CD$1,IF(OR(O8=BY8,O8=BW8,O8=CB8),$AZ$1,IF(OR(O8=AU8,O8=AS8,O8=AX8),$V$1,""))))</f>
        <v>2021 1st Virtual Technical Trial</v>
      </c>
      <c r="Q8" s="14">
        <f>IF(COUNT(AS8,AU8,AX8,BW8,BY8,CB8,DA8,DC8,DF8)&gt;1,LARGE((AS8,AU8,AX8,BW8,BY8,CB8,DA8,DC8,DF8),2),0)</f>
        <v>48.094999999999992</v>
      </c>
      <c r="R8" s="14" t="str">
        <f>IF(Q8=0,"",IF(OR(Q8=DC8,Q8=DA8,Q8=DF8),$CD$1,IF(OR(Q8=BY8,Q8=BW8,Q8=CB8),$AZ$1,IF(OR(Q8=AU8,Q8=AS8,Q8=AX8),$V$1,""))))</f>
        <v>2019 Nationals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16.7</v>
      </c>
      <c r="W8" s="61">
        <v>9.3000000000000007</v>
      </c>
      <c r="X8" s="61">
        <v>1.4</v>
      </c>
      <c r="Y8" s="61">
        <v>14.225</v>
      </c>
      <c r="Z8" s="61">
        <v>0</v>
      </c>
      <c r="AA8" s="61">
        <v>15.4</v>
      </c>
      <c r="AB8" s="61">
        <v>9</v>
      </c>
      <c r="AC8" s="61">
        <v>9.6999999999999993</v>
      </c>
      <c r="AD8" s="61">
        <v>13.994999999999999</v>
      </c>
      <c r="AE8" s="61">
        <v>0</v>
      </c>
      <c r="AF8" s="61"/>
      <c r="AG8" s="61"/>
      <c r="AH8" s="61"/>
      <c r="AI8" s="61"/>
      <c r="AJ8" s="61"/>
      <c r="AK8" s="61">
        <v>12.24</v>
      </c>
      <c r="AL8" s="61">
        <v>8.6999999999999993</v>
      </c>
      <c r="AM8" s="61">
        <v>9.6</v>
      </c>
      <c r="AN8" s="61">
        <v>13.7</v>
      </c>
      <c r="AO8" s="61">
        <v>0</v>
      </c>
      <c r="AP8" s="72"/>
      <c r="AQ8" s="11">
        <f>IF(SUM(V8:Y8)-Z8&gt;0,SUM(V8:Y8)-Z8,"")</f>
        <v>41.625</v>
      </c>
      <c r="AR8" s="11">
        <f>IF(AC8&gt;0,AC8,"")</f>
        <v>9.6999999999999993</v>
      </c>
      <c r="AS8" s="11">
        <f>IF(SUM(AA8:AD8)-AE8&gt;0,SUM(AA8:AD8)-AE8,"")</f>
        <v>48.094999999999992</v>
      </c>
      <c r="AT8" s="11" t="str">
        <f>IF(AH8&gt;0,AH8,"")</f>
        <v/>
      </c>
      <c r="AU8" s="11" t="str">
        <f>IF(SUM(AF8:AI8)-AJ8&gt;0,SUM(AF8:AI8)-AJ8,"")</f>
        <v/>
      </c>
      <c r="AV8" s="11">
        <f>IF(AQ8="",IF(MAX(AS8,AU8)&gt;0,MAX(AS8,AU8),""),MAX(AS8,AU8)+AQ8)</f>
        <v>89.72</v>
      </c>
      <c r="AW8" s="11">
        <f>IF(AM8&gt;0,AM8,"")</f>
        <v>9.6</v>
      </c>
      <c r="AX8" s="11">
        <f>IF(SUM(AK8:AN8)-AO8&gt;0,SUM(AK8:AN8)-AO8,"")</f>
        <v>44.239999999999995</v>
      </c>
      <c r="AY8" s="11">
        <f>IF(SUM(AV8,AX8)&gt;0,SUM(AV8,AX8),"")</f>
        <v>133.95999999999998</v>
      </c>
      <c r="AZ8" s="67">
        <v>16.100000000000001</v>
      </c>
      <c r="BA8" s="67">
        <v>9.5</v>
      </c>
      <c r="BB8" s="67">
        <v>1.5</v>
      </c>
      <c r="BC8" s="67">
        <v>14.14</v>
      </c>
      <c r="BD8" s="67">
        <v>0</v>
      </c>
      <c r="BE8" s="67">
        <v>2.6</v>
      </c>
      <c r="BF8" s="67">
        <v>1.75</v>
      </c>
      <c r="BG8" s="67">
        <v>2.5</v>
      </c>
      <c r="BH8" s="67">
        <v>2.88</v>
      </c>
      <c r="BI8" s="67">
        <v>0</v>
      </c>
      <c r="BJ8" s="67"/>
      <c r="BK8" s="67"/>
      <c r="BL8" s="67"/>
      <c r="BM8" s="67"/>
      <c r="BN8" s="67"/>
      <c r="BO8" s="67">
        <v>15</v>
      </c>
      <c r="BP8" s="67">
        <v>9.65</v>
      </c>
      <c r="BQ8" s="67">
        <v>10</v>
      </c>
      <c r="BR8" s="67">
        <v>13.91</v>
      </c>
      <c r="BS8" s="67">
        <v>0</v>
      </c>
      <c r="BT8" s="73"/>
      <c r="BU8" s="14">
        <f>IF(SUM(AZ8:BC8)-BD8&gt;0,SUM(AZ8:BC8)-BD8,"")</f>
        <v>41.24</v>
      </c>
      <c r="BV8" s="14">
        <f>IF(BG8&gt;0,BG8,"")</f>
        <v>2.5</v>
      </c>
      <c r="BW8" s="14">
        <f>IF(SUM(BE8:BH8)-BI8&gt;0,SUM(BE8:BH8)-BI8,"")</f>
        <v>9.73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50.97</v>
      </c>
      <c r="CA8" s="14">
        <f>IF(BQ8&gt;0,BQ8,"")</f>
        <v>10</v>
      </c>
      <c r="CB8" s="14">
        <f>IF(SUM(BO8:BR8)-BS8&gt;0,SUM(BO8:BR8)-BS8,"")</f>
        <v>48.56</v>
      </c>
      <c r="CC8" s="14">
        <f>IF(SUM(BZ8,CB8)&gt;0,SUM(BZ8,CB8),"")</f>
        <v>99.53</v>
      </c>
      <c r="CD8" s="61">
        <v>16.2</v>
      </c>
      <c r="CE8" s="61">
        <v>9</v>
      </c>
      <c r="CF8" s="61">
        <v>2.1</v>
      </c>
      <c r="CG8" s="61">
        <v>14.725</v>
      </c>
      <c r="CH8" s="61">
        <v>0</v>
      </c>
      <c r="CI8" s="61">
        <v>7.3</v>
      </c>
      <c r="CJ8" s="61">
        <v>4.2</v>
      </c>
      <c r="CK8" s="61">
        <v>4.3</v>
      </c>
      <c r="CL8" s="61">
        <v>7.1449999999999996</v>
      </c>
      <c r="CM8" s="61">
        <v>0</v>
      </c>
      <c r="CN8" s="61"/>
      <c r="CO8" s="61"/>
      <c r="CP8" s="61"/>
      <c r="CQ8" s="61"/>
      <c r="CR8" s="61"/>
      <c r="CS8" s="61">
        <v>3.2</v>
      </c>
      <c r="CT8" s="61">
        <v>1.8</v>
      </c>
      <c r="CU8" s="61">
        <v>2.5</v>
      </c>
      <c r="CV8" s="61">
        <v>2.88</v>
      </c>
      <c r="CW8" s="61">
        <v>0</v>
      </c>
      <c r="CX8" s="72"/>
      <c r="CY8" s="11">
        <f>IF(SUM(CD8:CG8)-CH8&gt;0,SUM(CD8:CG8)-CH8,"")</f>
        <v>42.024999999999999</v>
      </c>
      <c r="CZ8" s="11">
        <f>IF(CK8&gt;0,CK8,"")</f>
        <v>4.3</v>
      </c>
      <c r="DA8" s="11">
        <f>IF(SUM(CI8:CL8)-CM8&gt;0,SUM(CI8:CL8)-CM8,"")</f>
        <v>22.945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64.97</v>
      </c>
      <c r="DE8" s="11">
        <f>IF(CU8&gt;0,CU8,"")</f>
        <v>2.5</v>
      </c>
      <c r="DF8" s="11">
        <f>IF(SUM(CS8:CV8)-CW8&gt;0,SUM(CS8:CV8)-CW8,"")</f>
        <v>10.379999999999999</v>
      </c>
      <c r="DG8" s="11">
        <f>IF(SUM(DD8,DF8)&gt;0,SUM(DD8,DF8),"")</f>
        <v>75.349999999999994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16.149999999999999</v>
      </c>
      <c r="NQ8" s="61">
        <f>IF($CX8="P",CE8,(CE8+BA8)/2)</f>
        <v>9.25</v>
      </c>
      <c r="NR8" s="61">
        <f>IF($CX8="P",CF8,(CF8+BB8)/2)</f>
        <v>1.8</v>
      </c>
      <c r="NS8" s="61">
        <f>IF($CX8="P",CG8,(CG8+BC8)/2)</f>
        <v>14.432500000000001</v>
      </c>
      <c r="NT8" s="61">
        <f>IF($CX8="P",CH8,(CH8+BD8)/2)</f>
        <v>0</v>
      </c>
      <c r="NU8" s="61">
        <f>IF($CX8="P",CI8,(CI8+BE8)/2)</f>
        <v>4.95</v>
      </c>
      <c r="NV8" s="61">
        <f>IF($CX8="P",CJ8,(CJ8+BF8)/2)</f>
        <v>2.9750000000000001</v>
      </c>
      <c r="NW8" s="61">
        <f>IF($CX8="P",CK8,(CK8+BG8)/2)</f>
        <v>3.4</v>
      </c>
      <c r="NX8" s="61">
        <f>IF($CX8="P",CL8,(CL8+BH8)/2)</f>
        <v>5.0124999999999993</v>
      </c>
      <c r="NY8" s="61">
        <f>IF($CX8="P",CM8,(CM8+BI8)/2)</f>
        <v>0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9.1</v>
      </c>
      <c r="OF8" s="61">
        <f>IF($CX8="P",CT8,(CT8+BP8)/2)</f>
        <v>5.7250000000000005</v>
      </c>
      <c r="OG8" s="61">
        <f>IF($CX8="P",CU8,(CU8+BQ8)/2)</f>
        <v>6.25</v>
      </c>
      <c r="OH8" s="61">
        <f>IF($CX8="P",CV8,(CV8+BR8)/2)</f>
        <v>8.3949999999999996</v>
      </c>
      <c r="OI8" s="61">
        <f>IF($CX8="P",CW8,(CW8+BS8)/2)</f>
        <v>0</v>
      </c>
      <c r="OJ8" s="72" t="s">
        <v>52</v>
      </c>
      <c r="OK8" s="11">
        <f>IF(SUM(NP8:NS8)-NT8&gt;0,SUM(NP8:NS8)-NT8,"")</f>
        <v>41.6325</v>
      </c>
      <c r="OL8" s="11">
        <f>IF(NW8&gt;0,NW8,"")</f>
        <v>3.4</v>
      </c>
      <c r="OM8" s="11">
        <f>IF(SUM(NU8:NX8)-NY8&gt;0,SUM(NU8:NX8)-NY8,"")</f>
        <v>16.337499999999999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57.97</v>
      </c>
      <c r="OQ8" s="11">
        <f>IF(OG8&gt;0,OG8,"")</f>
        <v>6.25</v>
      </c>
      <c r="OR8" s="11">
        <f t="shared" si="0"/>
        <v>29.47</v>
      </c>
      <c r="OS8" s="11">
        <f t="shared" si="1"/>
        <v>87.44</v>
      </c>
    </row>
    <row r="9" spans="1:409" x14ac:dyDescent="0.2">
      <c r="A9" s="5" t="str" cm="1">
        <f t="array" ref="A9">IF(AND(G9&lt;&gt;"",H9&lt;&gt;""),SUMPRODUCT((G$4:G$23&lt;&gt;"")*(H$4:H$23&lt;&gt;"")*(E$4:E$23&gt;E9))+1,IF(H9&lt;&gt;"",SUMPRODUCT((I$4:I$23="No DD")*(E$4:E$23&gt;E9))+1+SUMPRODUCT((G$4:G$23&lt;&gt;"")*(H$4:H$23&lt;&gt;"")),""))</f>
        <v/>
      </c>
      <c r="B9" s="8" t="s">
        <v>110</v>
      </c>
      <c r="C9" s="4" t="s">
        <v>4</v>
      </c>
      <c r="D9" s="26">
        <v>2004</v>
      </c>
      <c r="E9" s="15">
        <f>SUM(O9:S9)</f>
        <v>93.699999999999989</v>
      </c>
      <c r="F9" s="3" t="str">
        <f>IF(G9&lt;&gt;"","P","")</f>
        <v/>
      </c>
      <c r="G9" s="115" t="str">
        <f>IF(OR(AND(AR9&gt;=AY$28,AR9&lt;&gt;"",AP9=""),AND(AT9&gt;=AY$28,AT9&lt;&gt;"",AP9=""),AND(AW9&gt;=AY$28,AW9&lt;&gt;"",AP9=""),AND(BV9&gt;=CC$28,BV9&lt;&gt;"",BT9=""),AND(BX9&gt;=CC$28,BX9&lt;&gt;"",BT9=""),AND(CA9&gt;=CC$28,CA9&lt;&gt;"",BT9=""),AND(CZ9&gt;=DG$28,CZ9&lt;&gt;"",CX9=""),AND(DB9&gt;=DG$28,DB9&lt;&gt;"",CX9=""),AND(DE9&gt;=DG$28,DE9&lt;&gt;"",CX9=""),AND(EA9&gt;=EG$28,EA9&lt;&gt;""),AND(EE9&gt;=EG$28,EE9&lt;&gt;""),AND(EW9&gt;=FC$28,EW9&lt;&gt;""),AND(FA9&gt;=FC$28,FA9&lt;&gt;""),AND(FS9&gt;=FY$28,FS9&lt;&gt;""),AND(FW9&gt;=FY$28,FW9&lt;&gt;""),AND(GO9&gt;=GU$28,GO9&lt;&gt;""),AND(GS9&gt;=GU$28,GS9&lt;&gt;""),AND(HK9&gt;=HQ$28,HK9&lt;&gt;""),AND(HO9&gt;=HQ$28,HO9&lt;&gt;""),AND(IG9&gt;=IM$28,IG9&lt;&gt;""),AND(IK9&gt;=IM$28,IK9&lt;&gt;""),AND(JC9&gt;=JI$28,JC9&lt;&gt;""),AND(JG9&gt;=JI$28,JG9&lt;&gt;""),AND(JY9&gt;=KE$28,JY9&lt;&gt;""),AND(KC9&gt;=KE$28,KC9&lt;&gt;""),AND(KU9&gt;=LA$28,KU9&lt;&gt;""),AND(KY9&gt;=LA$28,KY9&lt;&gt;""),AND(LQ9&gt;=LW$28,LQ9&lt;&gt;""),AND(LU9&gt;=LW$28,LU9&lt;&gt;""),AND(MM9&gt;=MS$28,MM9&lt;&gt;""),AND(MQ9&gt;=MS$28,MQ9&lt;&gt;""),AND(NI9&gt;=NO$28,NI9&lt;&gt;""),AND(NM9&gt;=NO$28,NM9&lt;&gt;"")),"Merit",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Excellence",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Worlds Team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National Team",""))))</f>
        <v/>
      </c>
      <c r="H9" s="115" t="str">
        <f>IF(OR(AND(AS9&gt;=AY$29,AS9&lt;&gt;"",AP9=""),AND(AU9&gt;=AY$29,AU9&lt;&gt;"",AP9=""),AND(AX9&gt;=AY$29,AX9&lt;&gt;"",AP9=""),AND(BW9&gt;=CC$29,BW9&lt;&gt;"",BT9=""),AND(BY9&gt;=CC$29,BY9&lt;&gt;"",BT9=""),AND(CB9&gt;=CC$29,CB9&lt;&gt;"",BT9=""),AND(DA9&gt;=DG$29,DA9&lt;&gt;"",CX9=""),AND(DC9&gt;=DG$29,DC9&lt;&gt;"",CX9=""),AND(DF9&gt;=DG$29,DF9&lt;&gt;"",CX9=""),AND(EC9&gt;=EG$29,EC9&lt;&gt;""),AND(EF9&gt;=EG$29,EF9&lt;&gt;""),AND(EY9&gt;=FC$29,EY9&lt;&gt;""),AND(FB9&gt;=FC$29,FB9&lt;&gt;""),AND(FU9&gt;=FY$29,FU9&lt;&gt;""),AND(FX9&gt;=FY$29,FX9&lt;&gt;""),AND(GQ9&gt;=GU$29,GQ9&lt;&gt;""),AND(GT9&gt;=GU$29,GT9&lt;&gt;""),AND(HM9&gt;=HQ$29,HM9&lt;&gt;""),AND(HP9&gt;=HQ$29,HP9&lt;&gt;""),AND(II9&gt;=IM$29,II9&lt;&gt;""),AND(IL9&gt;=IM$29,IL9&lt;&gt;""),AND(JE9&gt;=JI$29,JE9&lt;&gt;""),AND(JH9&gt;=JI$29,JH9&lt;&gt;""),AND(KA9&gt;=KE$29,KA9&lt;&gt;""),AND(KD9&gt;=KE$29,KD9&lt;&gt;""),AND(KW9&gt;=LA$29,KW9&lt;&gt;""),AND(KZ9&gt;=LA$29,KZ9&lt;&gt;""),AND(LS9&gt;=LW$29,LS9&lt;&gt;""),AND(LV9&gt;=LW$29,LV9&lt;&gt;""),AND(MO9&gt;=MS$29,MO9&lt;&gt;""),AND(MR9&gt;=MS$29,MR9&lt;&gt;""),AND(NK9&gt;=NO$29,NK9&lt;&gt;""),AND(NN9&gt;=NO$29,NN9&lt;&gt;"")),"National Team","")</f>
        <v/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/>
      </c>
      <c r="J9" s="3" t="str">
        <f>IF(AND(OR(AND(AV9&gt;=AY$30,AV9&lt;&gt;"",AP9=""),AND(BZ9&gt;=CC$30,BZ9&lt;&gt;"",BT9=""),AND(DD9&gt;=DG$30,DD9&lt;&gt;"",CX9=""),AND(ED9&gt;=EG$30,ED9&lt;&gt;""),AND(EZ9&gt;=FC$30,EZ9&lt;&gt;""),AND(FV9&gt;=FY$30,FV9&lt;&gt;""),AND(GR9&gt;=GU$30,GR9&lt;&gt;""),AND(HN9&gt;=HQ$30,HN9&lt;&gt;""),AND(IJ9&gt;=IM$30,IJ9&lt;&gt;""),AND(JF9&gt;=JI$30,JF9&lt;&gt;""),AND(KB9&gt;=KE$30,KB9&lt;&gt;""),AND(KX9&gt;=LA$30,KX9&lt;&gt;""),AND(LT9&gt;=LW$30,LT9&lt;&gt;""),AND(MP9&gt;=MS$30,MP9&lt;&gt;""),AND(NL9&gt;=NO$30,NL9&lt;&gt;"")),OR(G9="Worlds Team",G9="Excellence",G9="Merit")),"P","")</f>
        <v/>
      </c>
      <c r="K9" s="14">
        <f>IF(MAX(AV9,BZ9,DD9)&gt;0,MAX(AV9,BZ9,DD9),0)</f>
        <v>87.9</v>
      </c>
      <c r="L9" s="14" t="str">
        <f>IF(K9=0,"",IF(K9=DD9,$CD$1,IF(K9=BZ9,$AZ$1,IF(K9=AV9,$V$1,""))))</f>
        <v>2019 Nationals</v>
      </c>
      <c r="M9" s="14">
        <f>IF($K9=$AV9,MAX(BU9,CY9),IF($K9=$BZ9,MAX(AQ9,CY9),IF($K9=$DD9,MAX(AQ9,BU9),MAX(AQ9,BU9,CY9))))</f>
        <v>42.36</v>
      </c>
      <c r="N9" s="14" t="str">
        <f>IF(M9=0,"",IF(AND(M9=CY9,$L9&lt;&gt;$CD$1),$CD$1,IF(AND(M9=BU9,$L9&lt;&gt;$AZ$1),$AZ$1,IF(AND(M9=AQ9,$L9&lt;&gt;$V$1),$V$1,""))))</f>
        <v>2021 2nd Virtual Technical Trial</v>
      </c>
      <c r="O9" s="14">
        <f>MAX(AS9,AU9,AX9,BW9,BY9,CB9,DA9,DC9,DF9)</f>
        <v>46.98</v>
      </c>
      <c r="P9" s="14" t="str">
        <f>IF(O9=0,"",IF(OR(O9=DC9,O9=DA9,O9=DF9),$CD$1,IF(OR(O9=BY9,O9=BW9,O9=CB9),$AZ$1,IF(OR(O9=AU9,O9=AS9,O9=AX9),$V$1,""))))</f>
        <v>2021 2nd Virtual Technical Trial</v>
      </c>
      <c r="Q9" s="14">
        <f>IF(COUNT(AS9,AU9,AX9,BW9,BY9,CB9,DA9,DC9,DF9)&gt;1,LARGE((AS9,AU9,AX9,BW9,BY9,CB9,DA9,DC9,DF9),2),0)</f>
        <v>46.72</v>
      </c>
      <c r="R9" s="14" t="str">
        <f>IF(Q9=0,"",IF(OR(Q9=DC9,Q9=DA9,Q9=DF9),$CD$1,IF(OR(Q9=BY9,Q9=BW9,Q9=CB9),$AZ$1,IF(OR(Q9=AU9,Q9=AS9,Q9=AX9),$V$1,""))))</f>
        <v>2019 Nationals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16.2</v>
      </c>
      <c r="W9" s="61">
        <v>9.4</v>
      </c>
      <c r="X9" s="61">
        <v>1.5</v>
      </c>
      <c r="Y9" s="61">
        <v>14.425000000000001</v>
      </c>
      <c r="Z9" s="61">
        <v>0</v>
      </c>
      <c r="AA9" s="61">
        <v>13.3</v>
      </c>
      <c r="AB9" s="61">
        <v>9.4</v>
      </c>
      <c r="AC9" s="61">
        <v>9.8000000000000007</v>
      </c>
      <c r="AD9" s="61">
        <v>13.875</v>
      </c>
      <c r="AE9" s="61">
        <v>0</v>
      </c>
      <c r="AF9" s="61"/>
      <c r="AG9" s="61"/>
      <c r="AH9" s="61"/>
      <c r="AI9" s="61"/>
      <c r="AJ9" s="61"/>
      <c r="AK9" s="61">
        <v>13.64</v>
      </c>
      <c r="AL9" s="61">
        <v>9.3000000000000007</v>
      </c>
      <c r="AM9" s="61">
        <v>9.8000000000000007</v>
      </c>
      <c r="AN9" s="61">
        <v>13.98</v>
      </c>
      <c r="AO9" s="61">
        <v>0</v>
      </c>
      <c r="AP9" s="72"/>
      <c r="AQ9" s="11">
        <f>IF(SUM(V9:Y9)-Z9&gt;0,SUM(V9:Y9)-Z9,"")</f>
        <v>41.525000000000006</v>
      </c>
      <c r="AR9" s="11">
        <f>IF(AC9&gt;0,AC9,"")</f>
        <v>9.8000000000000007</v>
      </c>
      <c r="AS9" s="11">
        <f>IF(SUM(AA9:AD9)-AE9&gt;0,SUM(AA9:AD9)-AE9,"")</f>
        <v>46.375</v>
      </c>
      <c r="AT9" s="11" t="str">
        <f>IF(AH9&gt;0,AH9,"")</f>
        <v/>
      </c>
      <c r="AU9" s="11" t="str">
        <f>IF(SUM(AF9:AI9)-AJ9&gt;0,SUM(AF9:AI9)-AJ9,"")</f>
        <v/>
      </c>
      <c r="AV9" s="11">
        <f>IF(AQ9="",IF(MAX(AS9,AU9)&gt;0,MAX(AS9,AU9),""),MAX(AS9,AU9)+AQ9)</f>
        <v>87.9</v>
      </c>
      <c r="AW9" s="11">
        <f>IF(AM9&gt;0,AM9,"")</f>
        <v>9.8000000000000007</v>
      </c>
      <c r="AX9" s="11">
        <f>IF(SUM(AK9:AN9)-AO9&gt;0,SUM(AK9:AN9)-AO9,"")</f>
        <v>46.72</v>
      </c>
      <c r="AY9" s="11">
        <f>IF(SUM(AV9,AX9)&gt;0,SUM(AV9,AX9),"")</f>
        <v>134.62</v>
      </c>
      <c r="AZ9" s="67">
        <v>15.3</v>
      </c>
      <c r="BA9" s="67">
        <v>9.75</v>
      </c>
      <c r="BB9" s="67">
        <v>2</v>
      </c>
      <c r="BC9" s="67">
        <v>14.6</v>
      </c>
      <c r="BD9" s="67">
        <v>0</v>
      </c>
      <c r="BE9" s="67">
        <v>12.7</v>
      </c>
      <c r="BF9" s="67">
        <v>8.6</v>
      </c>
      <c r="BG9" s="67">
        <v>8.4</v>
      </c>
      <c r="BH9" s="67">
        <v>13.2</v>
      </c>
      <c r="BI9" s="67">
        <v>0</v>
      </c>
      <c r="BJ9" s="67"/>
      <c r="BK9" s="67"/>
      <c r="BL9" s="67"/>
      <c r="BM9" s="67"/>
      <c r="BN9" s="67"/>
      <c r="BO9" s="67">
        <v>11.1</v>
      </c>
      <c r="BP9" s="67">
        <v>7.6</v>
      </c>
      <c r="BQ9" s="67">
        <v>7.8</v>
      </c>
      <c r="BR9" s="67">
        <v>11.6</v>
      </c>
      <c r="BS9" s="67">
        <v>0</v>
      </c>
      <c r="BT9" s="73"/>
      <c r="BU9" s="14">
        <f>IF(SUM(AZ9:BC9)-BD9&gt;0,SUM(AZ9:BC9)-BD9,"")</f>
        <v>41.65</v>
      </c>
      <c r="BV9" s="14">
        <f>IF(BG9&gt;0,BG9,"")</f>
        <v>8.4</v>
      </c>
      <c r="BW9" s="14">
        <f>IF(SUM(BE9:BH9)-BI9&gt;0,SUM(BE9:BH9)-BI9,"")</f>
        <v>42.899999999999991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84.549999999999983</v>
      </c>
      <c r="CA9" s="14">
        <f>IF(BQ9&gt;0,BQ9,"")</f>
        <v>7.8</v>
      </c>
      <c r="CB9" s="14">
        <f>IF(SUM(BO9:BR9)-BS9&gt;0,SUM(BO9:BR9)-BS9,"")</f>
        <v>38.1</v>
      </c>
      <c r="CC9" s="14">
        <f>IF(SUM(BZ9,CB9)&gt;0,SUM(BZ9,CB9),"")</f>
        <v>122.64999999999998</v>
      </c>
      <c r="CD9" s="61">
        <v>15.7</v>
      </c>
      <c r="CE9" s="61">
        <v>9.3000000000000007</v>
      </c>
      <c r="CF9" s="61">
        <v>2</v>
      </c>
      <c r="CG9" s="61">
        <v>15.36</v>
      </c>
      <c r="CH9" s="61">
        <v>0</v>
      </c>
      <c r="CI9" s="61">
        <v>12.6</v>
      </c>
      <c r="CJ9" s="61">
        <v>8.9</v>
      </c>
      <c r="CK9" s="61">
        <v>8.6999999999999993</v>
      </c>
      <c r="CL9" s="61">
        <v>14.8</v>
      </c>
      <c r="CM9" s="61">
        <v>0.1</v>
      </c>
      <c r="CN9" s="61"/>
      <c r="CO9" s="61"/>
      <c r="CP9" s="61"/>
      <c r="CQ9" s="61"/>
      <c r="CR9" s="61"/>
      <c r="CS9" s="61">
        <v>14</v>
      </c>
      <c r="CT9" s="61">
        <v>8.6999999999999993</v>
      </c>
      <c r="CU9" s="61">
        <v>9.6</v>
      </c>
      <c r="CV9" s="61">
        <v>14.68</v>
      </c>
      <c r="CW9" s="61">
        <v>0</v>
      </c>
      <c r="CX9" s="72"/>
      <c r="CY9" s="11">
        <f>IF(SUM(CD9:CG9)-CH9&gt;0,SUM(CD9:CG9)-CH9,"")</f>
        <v>42.36</v>
      </c>
      <c r="CZ9" s="11">
        <f>IF(CK9&gt;0,CK9,"")</f>
        <v>8.6999999999999993</v>
      </c>
      <c r="DA9" s="11">
        <f>IF(SUM(CI9:CL9)-CM9&gt;0,SUM(CI9:CL9)-CM9,"")</f>
        <v>44.9</v>
      </c>
      <c r="DB9" s="11" t="str">
        <f>IF(CP9&gt;0,CP9,"")</f>
        <v/>
      </c>
      <c r="DC9" s="11" t="str">
        <f>IF(SUM(CN9:CQ9)-CR9&gt;0,SUM(CN9:CQ9)-CR9,"")</f>
        <v/>
      </c>
      <c r="DD9" s="11">
        <f>IF(CY9="",IF(MAX(DA9,DC9)&gt;0,MAX(DA9,DC9),""),MAX(DA9,DC9)+CY9)</f>
        <v>87.259999999999991</v>
      </c>
      <c r="DE9" s="11">
        <f>IF(CU9&gt;0,CU9,"")</f>
        <v>9.6</v>
      </c>
      <c r="DF9" s="11">
        <f>IF(SUM(CS9:CV9)-CW9&gt;0,SUM(CS9:CV9)-CW9,"")</f>
        <v>46.98</v>
      </c>
      <c r="DG9" s="11">
        <f>IF(SUM(DD9,DF9)&gt;0,SUM(DD9,DF9),"")</f>
        <v>134.23999999999998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15.5</v>
      </c>
      <c r="NQ9" s="61">
        <f>IF($CX9="P",CE9,(CE9+BA9)/2)</f>
        <v>9.5250000000000004</v>
      </c>
      <c r="NR9" s="61">
        <f>IF($CX9="P",CF9,(CF9+BB9)/2)</f>
        <v>2</v>
      </c>
      <c r="NS9" s="61">
        <f>IF($CX9="P",CG9,(CG9+BC9)/2)</f>
        <v>14.98</v>
      </c>
      <c r="NT9" s="61">
        <f>IF($CX9="P",CH9,(CH9+BD9)/2)</f>
        <v>0</v>
      </c>
      <c r="NU9" s="61">
        <f>IF($CX9="P",CI9,(CI9+BE9)/2)</f>
        <v>12.649999999999999</v>
      </c>
      <c r="NV9" s="61">
        <f>IF($CX9="P",CJ9,(CJ9+BF9)/2)</f>
        <v>8.75</v>
      </c>
      <c r="NW9" s="61">
        <f>IF($CX9="P",CK9,(CK9+BG9)/2)</f>
        <v>8.5500000000000007</v>
      </c>
      <c r="NX9" s="61">
        <f>IF($CX9="P",CL9,(CL9+BH9)/2)</f>
        <v>14</v>
      </c>
      <c r="NY9" s="61">
        <f>IF($CX9="P",CM9,(CM9+BI9)/2)</f>
        <v>0.05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12.55</v>
      </c>
      <c r="OF9" s="61">
        <f>IF($CX9="P",CT9,(CT9+BP9)/2)</f>
        <v>8.1499999999999986</v>
      </c>
      <c r="OG9" s="61">
        <f>IF($CX9="P",CU9,(CU9+BQ9)/2)</f>
        <v>8.6999999999999993</v>
      </c>
      <c r="OH9" s="61">
        <f>IF($CX9="P",CV9,(CV9+BR9)/2)</f>
        <v>13.14</v>
      </c>
      <c r="OI9" s="61">
        <f>IF($CX9="P",CW9,(CW9+BS9)/2)</f>
        <v>0</v>
      </c>
      <c r="OJ9" s="72" t="s">
        <v>52</v>
      </c>
      <c r="OK9" s="11">
        <f>IF(SUM(NP9:NS9)-NT9&gt;0,SUM(NP9:NS9)-NT9,"")</f>
        <v>42.004999999999995</v>
      </c>
      <c r="OL9" s="11">
        <f>IF(NW9&gt;0,NW9,"")</f>
        <v>8.5500000000000007</v>
      </c>
      <c r="OM9" s="11">
        <f>IF(SUM(NU9:NX9)-NY9&gt;0,SUM(NU9:NX9)-NY9,"")</f>
        <v>43.900000000000006</v>
      </c>
      <c r="ON9" s="11" t="str">
        <f>IF(OB9&gt;0,OB9,"")</f>
        <v/>
      </c>
      <c r="OO9" s="11" t="str">
        <f>IF(SUM(NZ9:OC9)-OD9&gt;0,SUM(NZ9:OC9)-OD9,"")</f>
        <v/>
      </c>
      <c r="OP9" s="11">
        <f>IF(OR(OK9&lt;&gt;"",OM9&lt;&gt;"",OO9&lt;&gt;""),OK9+MAX(OM9,OO9),"")</f>
        <v>85.905000000000001</v>
      </c>
      <c r="OQ9" s="11">
        <f>IF(OG9&gt;0,OG9,"")</f>
        <v>8.6999999999999993</v>
      </c>
      <c r="OR9" s="11">
        <f t="shared" si="0"/>
        <v>42.54</v>
      </c>
      <c r="OS9" s="11">
        <f t="shared" si="1"/>
        <v>128.44499999999999</v>
      </c>
    </row>
    <row r="10" spans="1:409" x14ac:dyDescent="0.2">
      <c r="A10" s="5" t="str" cm="1">
        <f t="array" ref="A10">IF(AND(G10&lt;&gt;"",H10&lt;&gt;""),SUMPRODUCT((G$4:G$23&lt;&gt;"")*(H$4:H$23&lt;&gt;"")*(E$4:E$23&gt;E10))+1,IF(H10&lt;&gt;"",SUMPRODUCT((I$4:I$23="No DD")*(E$4:E$23&gt;E10))+1+SUMPRODUCT((G$4:G$23&lt;&gt;"")*(H$4:H$23&lt;&gt;"")),""))</f>
        <v/>
      </c>
      <c r="B10" s="8" t="s">
        <v>111</v>
      </c>
      <c r="C10" s="4" t="s">
        <v>5</v>
      </c>
      <c r="D10" s="26">
        <v>2000</v>
      </c>
      <c r="E10" s="15">
        <f>SUM(O10:S10)</f>
        <v>93.25</v>
      </c>
      <c r="F10" s="3" t="str">
        <f>IF(G10&lt;&gt;"","P","")</f>
        <v/>
      </c>
      <c r="G10" s="115" t="str">
        <f>IF(OR(AND(AR10&gt;=AY$28,AR10&lt;&gt;"",AP10=""),AND(AT10&gt;=AY$28,AT10&lt;&gt;"",AP10=""),AND(AW10&gt;=AY$28,AW10&lt;&gt;"",AP10=""),AND(BV10&gt;=CC$28,BV10&lt;&gt;"",BT10=""),AND(BX10&gt;=CC$28,BX10&lt;&gt;"",BT10=""),AND(CA10&gt;=CC$28,CA10&lt;&gt;"",BT10=""),AND(CZ10&gt;=DG$28,CZ10&lt;&gt;"",CX10=""),AND(DB10&gt;=DG$28,DB10&lt;&gt;"",CX10=""),AND(DE10&gt;=DG$28,DE10&lt;&gt;"",CX10=""),AND(EA10&gt;=EG$28,EA10&lt;&gt;""),AND(EE10&gt;=EG$28,EE10&lt;&gt;""),AND(EW10&gt;=FC$28,EW10&lt;&gt;""),AND(FA10&gt;=FC$28,FA10&lt;&gt;""),AND(FS10&gt;=FY$28,FS10&lt;&gt;""),AND(FW10&gt;=FY$28,FW10&lt;&gt;""),AND(GO10&gt;=GU$28,GO10&lt;&gt;""),AND(GS10&gt;=GU$28,GS10&lt;&gt;""),AND(HK10&gt;=HQ$28,HK10&lt;&gt;""),AND(HO10&gt;=HQ$28,HO10&lt;&gt;""),AND(IG10&gt;=IM$28,IG10&lt;&gt;""),AND(IK10&gt;=IM$28,IK10&lt;&gt;""),AND(JC10&gt;=JI$28,JC10&lt;&gt;""),AND(JG10&gt;=JI$28,JG10&lt;&gt;""),AND(JY10&gt;=KE$28,JY10&lt;&gt;""),AND(KC10&gt;=KE$28,KC10&lt;&gt;""),AND(KU10&gt;=LA$28,KU10&lt;&gt;""),AND(KY10&gt;=LA$28,KY10&lt;&gt;""),AND(LQ10&gt;=LW$28,LQ10&lt;&gt;""),AND(LU10&gt;=LW$28,LU10&lt;&gt;""),AND(MM10&gt;=MS$28,MM10&lt;&gt;""),AND(MQ10&gt;=MS$28,MQ10&lt;&gt;""),AND(NI10&gt;=NO$28,NI10&lt;&gt;""),AND(NM10&gt;=NO$28,NM10&lt;&gt;"")),"Merit",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Excellence",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Worlds Team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National Team",""))))</f>
        <v/>
      </c>
      <c r="H10" s="115" t="str">
        <f>IF(OR(AND(AS10&gt;=AY$29,AS10&lt;&gt;"",AP10=""),AND(AU10&gt;=AY$29,AU10&lt;&gt;"",AP10=""),AND(AX10&gt;=AY$29,AX10&lt;&gt;"",AP10=""),AND(BW10&gt;=CC$29,BW10&lt;&gt;"",BT10=""),AND(BY10&gt;=CC$29,BY10&lt;&gt;"",BT10=""),AND(CB10&gt;=CC$29,CB10&lt;&gt;"",BT10=""),AND(DA10&gt;=DG$29,DA10&lt;&gt;"",CX10=""),AND(DC10&gt;=DG$29,DC10&lt;&gt;"",CX10=""),AND(DF10&gt;=DG$29,DF10&lt;&gt;"",CX10=""),AND(EC10&gt;=EG$29,EC10&lt;&gt;""),AND(EF10&gt;=EG$29,EF10&lt;&gt;""),AND(EY10&gt;=FC$29,EY10&lt;&gt;""),AND(FB10&gt;=FC$29,FB10&lt;&gt;""),AND(FU10&gt;=FY$29,FU10&lt;&gt;""),AND(FX10&gt;=FY$29,FX10&lt;&gt;""),AND(GQ10&gt;=GU$29,GQ10&lt;&gt;""),AND(GT10&gt;=GU$29,GT10&lt;&gt;""),AND(HM10&gt;=HQ$29,HM10&lt;&gt;""),AND(HP10&gt;=HQ$29,HP10&lt;&gt;""),AND(II10&gt;=IM$29,II10&lt;&gt;""),AND(IL10&gt;=IM$29,IL10&lt;&gt;""),AND(JE10&gt;=JI$29,JE10&lt;&gt;""),AND(JH10&gt;=JI$29,JH10&lt;&gt;""),AND(KA10&gt;=KE$29,KA10&lt;&gt;""),AND(KD10&gt;=KE$29,KD10&lt;&gt;""),AND(KW10&gt;=LA$29,KW10&lt;&gt;""),AND(KZ10&gt;=LA$29,KZ10&lt;&gt;""),AND(LS10&gt;=LW$29,LS10&lt;&gt;""),AND(LV10&gt;=LW$29,LV10&lt;&gt;""),AND(MO10&gt;=MS$29,MO10&lt;&gt;""),AND(MR10&gt;=MS$29,MR10&lt;&gt;""),AND(NK10&gt;=NO$29,NK10&lt;&gt;""),AND(NN10&gt;=NO$29,NN10&lt;&gt;"")),"National Team","")</f>
        <v/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V10&gt;=AY$30,AV10&lt;&gt;"",AP10=""),AND(BZ10&gt;=CC$30,BZ10&lt;&gt;"",BT10=""),AND(DD10&gt;=DG$30,DD10&lt;&gt;"",CX10=""),AND(ED10&gt;=EG$30,ED10&lt;&gt;""),AND(EZ10&gt;=FC$30,EZ10&lt;&gt;""),AND(FV10&gt;=FY$30,FV10&lt;&gt;""),AND(GR10&gt;=GU$30,GR10&lt;&gt;""),AND(HN10&gt;=HQ$30,HN10&lt;&gt;""),AND(IJ10&gt;=IM$30,IJ10&lt;&gt;""),AND(JF10&gt;=JI$30,JF10&lt;&gt;""),AND(KB10&gt;=KE$30,KB10&lt;&gt;""),AND(KX10&gt;=LA$30,KX10&lt;&gt;""),AND(LT10&gt;=LW$30,LT10&lt;&gt;""),AND(MP10&gt;=MS$30,MP10&lt;&gt;""),AND(NL10&gt;=NO$30,NL10&lt;&gt;"")),OR(G10="Worlds Team",G10="Excellence",G10="Merit")),"P","")</f>
        <v/>
      </c>
      <c r="K10" s="14">
        <f>IF(MAX(AV10,BZ10,DD10)&gt;0,MAX(AV10,BZ10,DD10),0)</f>
        <v>87.965000000000003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40.479999999999997</v>
      </c>
      <c r="N10" s="14" t="str">
        <f>IF(M10=0,"",IF(AND(M10=CY10,$L10&lt;&gt;$CD$1),$CD$1,IF(AND(M10=BU10,$L10&lt;&gt;$AZ$1),$AZ$1,IF(AND(M10=AQ10,$L10&lt;&gt;$V$1),$V$1,""))))</f>
        <v>2019 Nationals</v>
      </c>
      <c r="O10" s="14">
        <f>MAX(AS10,AU10,AX10,BW10,BY10,CB10,DA10,DC10,DF10)</f>
        <v>46.775000000000006</v>
      </c>
      <c r="P10" s="14" t="str">
        <f>IF(O10=0,"",IF(OR(O10=DC10,O10=DA10,O10=DF10),$CD$1,IF(OR(O10=BY10,O10=BW10,O10=CB10),$AZ$1,IF(OR(O10=AU10,O10=AS10,O10=AX10),$V$1,""))))</f>
        <v>2021 1st Virtual Technical Trial</v>
      </c>
      <c r="Q10" s="14">
        <f>IF(COUNT(AS10,AU10,AX10,BW10,BY10,CB10,DA10,DC10,DF10)&gt;1,LARGE((AS10,AU10,AX10,BW10,BY10,CB10,DA10,DC10,DF10),2),0)</f>
        <v>46.474999999999994</v>
      </c>
      <c r="R10" s="14" t="str">
        <f>IF(Q10=0,"",IF(OR(Q10=DC10,Q10=DA10,Q10=DF10),$CD$1,IF(OR(Q10=BY10,Q10=BW10,Q10=CB10),$AZ$1,IF(OR(Q10=AU10,Q10=AS10,Q10=AX10),$V$1,""))))</f>
        <v>2021 2nd Virtual Technical Trial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15.7</v>
      </c>
      <c r="W10" s="61">
        <v>9.1</v>
      </c>
      <c r="X10" s="61">
        <v>2</v>
      </c>
      <c r="Y10" s="61">
        <v>13.68</v>
      </c>
      <c r="Z10" s="61">
        <v>0</v>
      </c>
      <c r="AA10" s="61">
        <v>14</v>
      </c>
      <c r="AB10" s="61">
        <v>9</v>
      </c>
      <c r="AC10" s="61">
        <v>8.5</v>
      </c>
      <c r="AD10" s="61">
        <v>13.275</v>
      </c>
      <c r="AE10" s="61">
        <v>0.3</v>
      </c>
      <c r="AF10" s="61"/>
      <c r="AG10" s="61"/>
      <c r="AH10" s="61"/>
      <c r="AI10" s="61"/>
      <c r="AJ10" s="61"/>
      <c r="AK10" s="61">
        <v>11.2</v>
      </c>
      <c r="AL10" s="61">
        <v>7</v>
      </c>
      <c r="AM10" s="61">
        <v>7.3</v>
      </c>
      <c r="AN10" s="61">
        <v>10.545</v>
      </c>
      <c r="AO10" s="61">
        <v>0</v>
      </c>
      <c r="AP10" s="72"/>
      <c r="AQ10" s="11">
        <f>IF(SUM(V10:Y10)-Z10&gt;0,SUM(V10:Y10)-Z10,"")</f>
        <v>40.479999999999997</v>
      </c>
      <c r="AR10" s="11">
        <f>IF(AC10&gt;0,AC10,"")</f>
        <v>8.5</v>
      </c>
      <c r="AS10" s="11">
        <f>IF(SUM(AA10:AD10)-AE10&gt;0,SUM(AA10:AD10)-AE10,"")</f>
        <v>44.475000000000001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84.954999999999998</v>
      </c>
      <c r="AW10" s="11">
        <f>IF(AM10&gt;0,AM10,"")</f>
        <v>7.3</v>
      </c>
      <c r="AX10" s="11">
        <f>IF(SUM(AK10:AN10)-AO10&gt;0,SUM(AK10:AN10)-AO10,"")</f>
        <v>36.045000000000002</v>
      </c>
      <c r="AY10" s="11">
        <f>IF(SUM(AV10,AX10)&gt;0,SUM(AV10,AX10),"")</f>
        <v>121</v>
      </c>
      <c r="AZ10" s="67">
        <v>13.3</v>
      </c>
      <c r="BA10" s="67">
        <v>8.3000000000000007</v>
      </c>
      <c r="BB10" s="67">
        <v>0.8</v>
      </c>
      <c r="BC10" s="67">
        <v>12.445</v>
      </c>
      <c r="BD10" s="67">
        <v>0</v>
      </c>
      <c r="BE10" s="67">
        <v>14.8</v>
      </c>
      <c r="BF10" s="67">
        <v>9.1999999999999993</v>
      </c>
      <c r="BG10" s="67">
        <v>9.1</v>
      </c>
      <c r="BH10" s="67">
        <v>13.275</v>
      </c>
      <c r="BI10" s="67">
        <v>0</v>
      </c>
      <c r="BJ10" s="67"/>
      <c r="BK10" s="67"/>
      <c r="BL10" s="67"/>
      <c r="BM10" s="67"/>
      <c r="BN10" s="67"/>
      <c r="BO10" s="67">
        <v>15.3</v>
      </c>
      <c r="BP10" s="67">
        <v>9.0500000000000007</v>
      </c>
      <c r="BQ10" s="67">
        <v>9.1</v>
      </c>
      <c r="BR10" s="67">
        <v>13.324999999999999</v>
      </c>
      <c r="BS10" s="67">
        <v>0</v>
      </c>
      <c r="BT10" s="73"/>
      <c r="BU10" s="14">
        <f>IF(SUM(AZ10:BC10)-BD10&gt;0,SUM(AZ10:BC10)-BD10,"")</f>
        <v>34.844999999999999</v>
      </c>
      <c r="BV10" s="14">
        <f>IF(BG10&gt;0,BG10,"")</f>
        <v>9.1</v>
      </c>
      <c r="BW10" s="14">
        <f>IF(SUM(BE10:BH10)-BI10&gt;0,SUM(BE10:BH10)-BI10,"")</f>
        <v>46.375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81.22</v>
      </c>
      <c r="CA10" s="14">
        <f>IF(BQ10&gt;0,BQ10,"")</f>
        <v>9.1</v>
      </c>
      <c r="CB10" s="14">
        <f>IF(SUM(BO10:BR10)-BS10&gt;0,SUM(BO10:BR10)-BS10,"")</f>
        <v>46.775000000000006</v>
      </c>
      <c r="CC10" s="14">
        <f>IF(SUM(BZ10,CB10)&gt;0,SUM(BZ10,CB10),"")</f>
        <v>127.995</v>
      </c>
      <c r="CD10" s="61">
        <v>15.9</v>
      </c>
      <c r="CE10" s="61">
        <v>9.6</v>
      </c>
      <c r="CF10" s="61">
        <v>2</v>
      </c>
      <c r="CG10" s="61">
        <v>13.99</v>
      </c>
      <c r="CH10" s="61">
        <v>0</v>
      </c>
      <c r="CI10" s="61">
        <v>14.1</v>
      </c>
      <c r="CJ10" s="61">
        <v>8.9</v>
      </c>
      <c r="CK10" s="61">
        <v>9.8000000000000007</v>
      </c>
      <c r="CL10" s="61">
        <v>13.675000000000001</v>
      </c>
      <c r="CM10" s="61">
        <v>0</v>
      </c>
      <c r="CN10" s="61"/>
      <c r="CO10" s="61"/>
      <c r="CP10" s="61"/>
      <c r="CQ10" s="61"/>
      <c r="CR10" s="61"/>
      <c r="CS10" s="61">
        <v>6.8</v>
      </c>
      <c r="CT10" s="61">
        <v>4.4000000000000004</v>
      </c>
      <c r="CU10" s="61">
        <v>5.2</v>
      </c>
      <c r="CV10" s="61">
        <v>6.6950000000000003</v>
      </c>
      <c r="CW10" s="61">
        <v>0</v>
      </c>
      <c r="CX10" s="72"/>
      <c r="CY10" s="11">
        <f>IF(SUM(CD10:CG10)-CH10&gt;0,SUM(CD10:CG10)-CH10,"")</f>
        <v>41.49</v>
      </c>
      <c r="CZ10" s="11">
        <f>IF(CK10&gt;0,CK10,"")</f>
        <v>9.8000000000000007</v>
      </c>
      <c r="DA10" s="11">
        <f>IF(SUM(CI10:CL10)-CM10&gt;0,SUM(CI10:CL10)-CM10,"")</f>
        <v>46.474999999999994</v>
      </c>
      <c r="DB10" s="11" t="str">
        <f>IF(CP10&gt;0,CP10,"")</f>
        <v/>
      </c>
      <c r="DC10" s="11" t="str">
        <f>IF(SUM(CN10:CQ10)-CR10&gt;0,SUM(CN10:CQ10)-CR10,"")</f>
        <v/>
      </c>
      <c r="DD10" s="11">
        <f>IF(CY10="",IF(MAX(DA10,DC10)&gt;0,MAX(DA10,DC10),""),MAX(DA10,DC10)+CY10)</f>
        <v>87.965000000000003</v>
      </c>
      <c r="DE10" s="11">
        <f>IF(CU10&gt;0,CU10,"")</f>
        <v>5.2</v>
      </c>
      <c r="DF10" s="11">
        <f>IF(SUM(CS10:CV10)-CW10&gt;0,SUM(CS10:CV10)-CW10,"")</f>
        <v>23.094999999999999</v>
      </c>
      <c r="DG10" s="11">
        <f>IF(SUM(DD10,DF10)&gt;0,SUM(DD10,DF10),"")</f>
        <v>111.06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14.600000000000001</v>
      </c>
      <c r="NQ10" s="61">
        <f>IF($CX10="P",CE10,(CE10+BA10)/2)</f>
        <v>8.9499999999999993</v>
      </c>
      <c r="NR10" s="61">
        <f>IF($CX10="P",CF10,(CF10+BB10)/2)</f>
        <v>1.4</v>
      </c>
      <c r="NS10" s="61">
        <f>IF($CX10="P",CG10,(CG10+BC10)/2)</f>
        <v>13.217500000000001</v>
      </c>
      <c r="NT10" s="61">
        <f>IF($CX10="P",CH10,(CH10+BD10)/2)</f>
        <v>0</v>
      </c>
      <c r="NU10" s="61">
        <f>IF($CX10="P",CI10,(CI10+BE10)/2)</f>
        <v>14.45</v>
      </c>
      <c r="NV10" s="61">
        <f>IF($CX10="P",CJ10,(CJ10+BF10)/2)</f>
        <v>9.0500000000000007</v>
      </c>
      <c r="NW10" s="61">
        <f>IF($CX10="P",CK10,(CK10+BG10)/2)</f>
        <v>9.4499999999999993</v>
      </c>
      <c r="NX10" s="61">
        <f>IF($CX10="P",CL10,(CL10+BH10)/2)</f>
        <v>13.475000000000001</v>
      </c>
      <c r="NY10" s="61">
        <f>IF($CX10="P",CM10,(CM10+BI10)/2)</f>
        <v>0</v>
      </c>
      <c r="NZ10" s="61">
        <f>IF($CX10="P",CN10,(CN10+BJ10)/2)</f>
        <v>0</v>
      </c>
      <c r="OA10" s="61">
        <f>IF($CX10="P",CO10,(CO10+BK10)/2)</f>
        <v>0</v>
      </c>
      <c r="OB10" s="61">
        <f>IF($CX10="P",CP10,(CP10+BL10)/2)</f>
        <v>0</v>
      </c>
      <c r="OC10" s="61">
        <f>IF($CX10="P",CQ10,(CQ10+BM10)/2)</f>
        <v>0</v>
      </c>
      <c r="OD10" s="61">
        <f>IF($CX10="P",CR10,(CR10+BN10)/2)</f>
        <v>0</v>
      </c>
      <c r="OE10" s="61">
        <f>IF($CX10="P",CS10,(CS10+BO10)/2)</f>
        <v>11.05</v>
      </c>
      <c r="OF10" s="61">
        <f>IF($CX10="P",CT10,(CT10+BP10)/2)</f>
        <v>6.7250000000000005</v>
      </c>
      <c r="OG10" s="61">
        <f>IF($CX10="P",CU10,(CU10+BQ10)/2)</f>
        <v>7.15</v>
      </c>
      <c r="OH10" s="61">
        <f>IF($CX10="P",CV10,(CV10+BR10)/2)</f>
        <v>10.01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38.167500000000004</v>
      </c>
      <c r="OL10" s="11">
        <f>IF(NW10&gt;0,NW10,"")</f>
        <v>9.4499999999999993</v>
      </c>
      <c r="OM10" s="11">
        <f>IF(SUM(NU10:NX10)-NY10&gt;0,SUM(NU10:NX10)-NY10,"")</f>
        <v>46.425000000000004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84.592500000000001</v>
      </c>
      <c r="OQ10" s="11">
        <f>IF(OG10&gt;0,OG10,"")</f>
        <v>7.15</v>
      </c>
      <c r="OR10" s="11">
        <f t="shared" ref="OR10" si="2">IF(SUM(OE10:OH10)-OI10&gt;0,SUM(OE10:OH10)-OI10,"")</f>
        <v>34.935000000000002</v>
      </c>
      <c r="OS10" s="11">
        <f t="shared" ref="OS10" si="3">IF(SUM(OP10,OR10)&gt;0,SUM(OP10,OR10),"")</f>
        <v>119.5275</v>
      </c>
    </row>
    <row r="11" spans="1:409" x14ac:dyDescent="0.2">
      <c r="A11" s="5" t="str" cm="1">
        <f t="array" ref="A11">IF(AND(G11&lt;&gt;"",H11&lt;&gt;""),SUMPRODUCT((G$4:G$23&lt;&gt;"")*(H$4:H$23&lt;&gt;"")*(E$4:E$23&gt;E11))+1,IF(H11&lt;&gt;"",SUMPRODUCT((I$4:I$23="No DD")*(E$4:E$23&gt;E11))+1+SUMPRODUCT((G$4:G$23&lt;&gt;"")*(H$4:H$23&lt;&gt;"")),""))</f>
        <v/>
      </c>
      <c r="B11" s="8" t="s">
        <v>109</v>
      </c>
      <c r="C11" s="4" t="s">
        <v>107</v>
      </c>
      <c r="D11" s="26">
        <v>2002</v>
      </c>
      <c r="E11" s="15">
        <f>SUM(O11:S11)</f>
        <v>92.12</v>
      </c>
      <c r="F11" s="3" t="str">
        <f>IF(G11&lt;&gt;"","P","")</f>
        <v/>
      </c>
      <c r="G11" s="115" t="str">
        <f>IF(OR(AND(AR11&gt;=AY$28,AR11&lt;&gt;"",AP11=""),AND(AT11&gt;=AY$28,AT11&lt;&gt;"",AP11=""),AND(AW11&gt;=AY$28,AW11&lt;&gt;"",AP11=""),AND(BV11&gt;=CC$28,BV11&lt;&gt;"",BT11=""),AND(BX11&gt;=CC$28,BX11&lt;&gt;"",BT11=""),AND(CA11&gt;=CC$28,CA11&lt;&gt;"",BT11=""),AND(CZ11&gt;=DG$28,CZ11&lt;&gt;"",CX11=""),AND(DB11&gt;=DG$28,DB11&lt;&gt;"",CX11=""),AND(DE11&gt;=DG$28,DE11&lt;&gt;"",CX11=""),AND(EA11&gt;=EG$28,EA11&lt;&gt;""),AND(EE11&gt;=EG$28,EE11&lt;&gt;""),AND(EW11&gt;=FC$28,EW11&lt;&gt;""),AND(FA11&gt;=FC$28,FA11&lt;&gt;""),AND(FS11&gt;=FY$28,FS11&lt;&gt;""),AND(FW11&gt;=FY$28,FW11&lt;&gt;""),AND(GO11&gt;=GU$28,GO11&lt;&gt;""),AND(GS11&gt;=GU$28,GS11&lt;&gt;""),AND(HK11&gt;=HQ$28,HK11&lt;&gt;""),AND(HO11&gt;=HQ$28,HO11&lt;&gt;""),AND(IG11&gt;=IM$28,IG11&lt;&gt;""),AND(IK11&gt;=IM$28,IK11&lt;&gt;""),AND(JC11&gt;=JI$28,JC11&lt;&gt;""),AND(JG11&gt;=JI$28,JG11&lt;&gt;""),AND(JY11&gt;=KE$28,JY11&lt;&gt;""),AND(KC11&gt;=KE$28,KC11&lt;&gt;""),AND(KU11&gt;=LA$28,KU11&lt;&gt;""),AND(KY11&gt;=LA$28,KY11&lt;&gt;""),AND(LQ11&gt;=LW$28,LQ11&lt;&gt;""),AND(LU11&gt;=LW$28,LU11&lt;&gt;""),AND(MM11&gt;=MS$28,MM11&lt;&gt;""),AND(MQ11&gt;=MS$28,MQ11&lt;&gt;""),AND(NI11&gt;=NO$28,NI11&lt;&gt;""),AND(NM11&gt;=NO$28,NM11&lt;&gt;"")),"Merit",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Excellence",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Worlds Team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National Team",""))))</f>
        <v/>
      </c>
      <c r="H11" s="115" t="str">
        <f>IF(OR(AND(AS11&gt;=AY$29,AS11&lt;&gt;"",AP11=""),AND(AU11&gt;=AY$29,AU11&lt;&gt;"",AP11=""),AND(AX11&gt;=AY$29,AX11&lt;&gt;"",AP11=""),AND(BW11&gt;=CC$29,BW11&lt;&gt;"",BT11=""),AND(BY11&gt;=CC$29,BY11&lt;&gt;"",BT11=""),AND(CB11&gt;=CC$29,CB11&lt;&gt;"",BT11=""),AND(DA11&gt;=DG$29,DA11&lt;&gt;"",CX11=""),AND(DC11&gt;=DG$29,DC11&lt;&gt;"",CX11=""),AND(DF11&gt;=DG$29,DF11&lt;&gt;"",CX11=""),AND(EC11&gt;=EG$29,EC11&lt;&gt;""),AND(EF11&gt;=EG$29,EF11&lt;&gt;""),AND(EY11&gt;=FC$29,EY11&lt;&gt;""),AND(FB11&gt;=FC$29,FB11&lt;&gt;""),AND(FU11&gt;=FY$29,FU11&lt;&gt;""),AND(FX11&gt;=FY$29,FX11&lt;&gt;""),AND(GQ11&gt;=GU$29,GQ11&lt;&gt;""),AND(GT11&gt;=GU$29,GT11&lt;&gt;""),AND(HM11&gt;=HQ$29,HM11&lt;&gt;""),AND(HP11&gt;=HQ$29,HP11&lt;&gt;""),AND(II11&gt;=IM$29,II11&lt;&gt;""),AND(IL11&gt;=IM$29,IL11&lt;&gt;""),AND(JE11&gt;=JI$29,JE11&lt;&gt;""),AND(JH11&gt;=JI$29,JH11&lt;&gt;""),AND(KA11&gt;=KE$29,KA11&lt;&gt;""),AND(KD11&gt;=KE$29,KD11&lt;&gt;""),AND(KW11&gt;=LA$29,KW11&lt;&gt;""),AND(KZ11&gt;=LA$29,KZ11&lt;&gt;""),AND(LS11&gt;=LW$29,LS11&lt;&gt;""),AND(LV11&gt;=LW$29,LV11&lt;&gt;""),AND(MO11&gt;=MS$29,MO11&lt;&gt;""),AND(MR11&gt;=MS$29,MR11&lt;&gt;""),AND(NK11&gt;=NO$29,NK11&lt;&gt;""),AND(NN11&gt;=NO$29,NN11&lt;&gt;"")),"National Team","")</f>
        <v/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$30,AV11&lt;&gt;"",AP11=""),AND(BZ11&gt;=CC$30,BZ11&lt;&gt;"",BT11=""),AND(DD11&gt;=DG$30,DD11&lt;&gt;"",CX11=""),AND(ED11&gt;=EG$30,ED11&lt;&gt;""),AND(EZ11&gt;=FC$30,EZ11&lt;&gt;""),AND(FV11&gt;=FY$30,FV11&lt;&gt;""),AND(GR11&gt;=GU$30,GR11&lt;&gt;""),AND(HN11&gt;=HQ$30,HN11&lt;&gt;""),AND(IJ11&gt;=IM$30,IJ11&lt;&gt;""),AND(JF11&gt;=JI$30,JF11&lt;&gt;""),AND(KB11&gt;=KE$30,KB11&lt;&gt;""),AND(KX11&gt;=LA$30,KX11&lt;&gt;""),AND(LT11&gt;=LW$30,LT11&lt;&gt;""),AND(MP11&gt;=MS$30,MP11&lt;&gt;""),AND(NL11&gt;=NO$30,NL11&lt;&gt;"")),OR(G11="Worlds Team",G11="Excellence",G11="Merit")),"P","")</f>
        <v/>
      </c>
      <c r="K11" s="14">
        <f>IF(MAX(AV11,BZ11,DD11)&gt;0,MAX(AV11,BZ11,DD11),0)</f>
        <v>86.685000000000002</v>
      </c>
      <c r="L11" s="14" t="str">
        <f>IF(K11=0,"",IF(K11=DD11,$CD$1,IF(K11=BZ11,$AZ$1,IF(K11=AV11,$V$1,""))))</f>
        <v>2021 1st Virtual Technical Trial</v>
      </c>
      <c r="M11" s="14">
        <f>IF($K11=$AV11,MAX(BU11,CY11),IF($K11=$BZ11,MAX(AQ11,CY11),IF($K11=$DD11,MAX(AQ11,BU11),MAX(AQ11,BU11,CY11))))</f>
        <v>40.745000000000005</v>
      </c>
      <c r="N11" s="14" t="str">
        <f>IF(M11=0,"",IF(AND(M11=CY11,$L11&lt;&gt;$CD$1),$CD$1,IF(AND(M11=BU11,$L11&lt;&gt;$AZ$1),$AZ$1,IF(AND(M11=AQ11,$L11&lt;&gt;$V$1),$V$1,""))))</f>
        <v>2019 Nationals</v>
      </c>
      <c r="O11" s="14">
        <f>MAX(AS11,AU11,AX11,BW11,BY11,CB11,DA11,DC11,DF11)</f>
        <v>46.26</v>
      </c>
      <c r="P11" s="14" t="str">
        <f>IF(O11=0,"",IF(OR(O11=DC11,O11=DA11,O11=DF11),$CD$1,IF(OR(O11=BY11,O11=BW11,O11=CB11),$AZ$1,IF(OR(O11=AU11,O11=AS11,O11=AX11),$V$1,""))))</f>
        <v>2021 2nd Virtual Technical Trial</v>
      </c>
      <c r="Q11" s="14">
        <f>IF(COUNT(AS11,AU11,AX11,BW11,BY11,CB11,DA11,DC11,DF11)&gt;1,LARGE((AS11,AU11,AX11,BW11,BY11,CB11,DA11,DC11,DF11),2),0)</f>
        <v>45.86</v>
      </c>
      <c r="R11" s="14" t="str">
        <f>IF(Q11=0,"",IF(OR(Q11=DC11,Q11=DA11,Q11=DF11),$CD$1,IF(OR(Q11=BY11,Q11=BW11,Q11=CB11),$AZ$1,IF(OR(Q11=AU11,Q11=AS11,Q11=AX11),$V$1,""))))</f>
        <v>2021 1st Virtual Technical Trial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16</v>
      </c>
      <c r="W11" s="61">
        <v>9.3000000000000007</v>
      </c>
      <c r="X11" s="61">
        <v>1.8</v>
      </c>
      <c r="Y11" s="61">
        <v>13.645</v>
      </c>
      <c r="Z11" s="61">
        <v>0</v>
      </c>
      <c r="AA11" s="61">
        <v>3.2</v>
      </c>
      <c r="AB11" s="61">
        <v>1.7</v>
      </c>
      <c r="AC11" s="61">
        <v>1.9</v>
      </c>
      <c r="AD11" s="61">
        <v>2.7450000000000001</v>
      </c>
      <c r="AE11" s="61">
        <v>0</v>
      </c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>
        <f>IF(SUM(V11:Y11)-Z11&gt;0,SUM(V11:Y11)-Z11,"")</f>
        <v>40.745000000000005</v>
      </c>
      <c r="AR11" s="11">
        <f>IF(AC11&gt;0,AC11,"")</f>
        <v>1.9</v>
      </c>
      <c r="AS11" s="11">
        <f>IF(SUM(AA11:AD11)-AE11&gt;0,SUM(AA11:AD11)-AE11,"")</f>
        <v>9.5450000000000017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50.290000000000006</v>
      </c>
      <c r="AW11" s="11" t="str">
        <f>IF(AM11&gt;0,AM11,"")</f>
        <v/>
      </c>
      <c r="AX11" s="11" t="str">
        <f>IF(SUM(AK11:AN11)-AO11&gt;0,SUM(AK11:AN11)-AO11,"")</f>
        <v/>
      </c>
      <c r="AY11" s="11">
        <f>IF(SUM(AV11,AX11)&gt;0,SUM(AV11,AX11),"")</f>
        <v>50.290000000000006</v>
      </c>
      <c r="AZ11" s="67">
        <v>15.7</v>
      </c>
      <c r="BA11" s="67">
        <v>9.6</v>
      </c>
      <c r="BB11" s="67">
        <v>2</v>
      </c>
      <c r="BC11" s="67">
        <v>13.525</v>
      </c>
      <c r="BD11" s="67">
        <v>0</v>
      </c>
      <c r="BE11" s="67">
        <v>14</v>
      </c>
      <c r="BF11" s="67">
        <v>9.1</v>
      </c>
      <c r="BG11" s="67">
        <v>9.6999999999999993</v>
      </c>
      <c r="BH11" s="67">
        <v>13.06</v>
      </c>
      <c r="BI11" s="67">
        <v>0</v>
      </c>
      <c r="BJ11" s="67"/>
      <c r="BK11" s="67"/>
      <c r="BL11" s="67"/>
      <c r="BM11" s="67"/>
      <c r="BN11" s="67"/>
      <c r="BO11" s="67">
        <v>14</v>
      </c>
      <c r="BP11" s="67">
        <v>9.3000000000000007</v>
      </c>
      <c r="BQ11" s="67">
        <v>9.1</v>
      </c>
      <c r="BR11" s="67">
        <v>13.33</v>
      </c>
      <c r="BS11" s="67">
        <v>0</v>
      </c>
      <c r="BT11" s="73"/>
      <c r="BU11" s="14">
        <f>IF(SUM(AZ11:BC11)-BD11&gt;0,SUM(AZ11:BC11)-BD11,"")</f>
        <v>40.824999999999996</v>
      </c>
      <c r="BV11" s="14">
        <f>IF(BG11&gt;0,BG11,"")</f>
        <v>9.6999999999999993</v>
      </c>
      <c r="BW11" s="14">
        <f>IF(SUM(BE11:BH11)-BI11&gt;0,SUM(BE11:BH11)-BI11,"")</f>
        <v>45.86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86.685000000000002</v>
      </c>
      <c r="CA11" s="14">
        <f>IF(BQ11&gt;0,BQ11,"")</f>
        <v>9.1</v>
      </c>
      <c r="CB11" s="14">
        <f>IF(SUM(BO11:BR11)-BS11&gt;0,SUM(BO11:BR11)-BS11,"")</f>
        <v>45.73</v>
      </c>
      <c r="CC11" s="14">
        <f>IF(SUM(BZ11,CB11)&gt;0,SUM(BZ11,CB11),"")</f>
        <v>132.41499999999999</v>
      </c>
      <c r="CD11" s="61">
        <v>15.2</v>
      </c>
      <c r="CE11" s="61">
        <v>8.9</v>
      </c>
      <c r="CF11" s="61">
        <v>2.2000000000000002</v>
      </c>
      <c r="CG11" s="61">
        <v>13.195</v>
      </c>
      <c r="CH11" s="61">
        <v>0</v>
      </c>
      <c r="CI11" s="61">
        <v>2.4</v>
      </c>
      <c r="CJ11" s="61">
        <v>1.7</v>
      </c>
      <c r="CK11" s="61">
        <v>2.2999999999999998</v>
      </c>
      <c r="CL11" s="61">
        <v>2.6949999999999998</v>
      </c>
      <c r="CM11" s="61">
        <v>0</v>
      </c>
      <c r="CN11" s="61"/>
      <c r="CO11" s="61"/>
      <c r="CP11" s="61"/>
      <c r="CQ11" s="61"/>
      <c r="CR11" s="61"/>
      <c r="CS11" s="61">
        <v>13.9</v>
      </c>
      <c r="CT11" s="61">
        <v>9.3000000000000007</v>
      </c>
      <c r="CU11" s="61">
        <v>10.3</v>
      </c>
      <c r="CV11" s="61">
        <v>12.76</v>
      </c>
      <c r="CW11" s="61">
        <v>0</v>
      </c>
      <c r="CX11" s="72"/>
      <c r="CY11" s="11">
        <f>IF(SUM(CD11:CG11)-CH11&gt;0,SUM(CD11:CG11)-CH11,"")</f>
        <v>39.495000000000005</v>
      </c>
      <c r="CZ11" s="11">
        <f>IF(CK11&gt;0,CK11,"")</f>
        <v>2.2999999999999998</v>
      </c>
      <c r="DA11" s="11">
        <f>IF(SUM(CI11:CL11)-CM11&gt;0,SUM(CI11:CL11)-CM11,"")</f>
        <v>9.0949999999999989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48.59</v>
      </c>
      <c r="DE11" s="11">
        <f>IF(CU11&gt;0,CU11,"")</f>
        <v>10.3</v>
      </c>
      <c r="DF11" s="11">
        <f>IF(SUM(CS11:CV11)-CW11&gt;0,SUM(CS11:CV11)-CW11,"")</f>
        <v>46.26</v>
      </c>
      <c r="DG11" s="11">
        <f>IF(SUM(DD11,DF11)&gt;0,SUM(DD11,DF11),"")</f>
        <v>94.85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15.45</v>
      </c>
      <c r="NQ11" s="61">
        <f>IF($CX11="P",CE11,(CE11+BA11)/2)</f>
        <v>9.25</v>
      </c>
      <c r="NR11" s="61">
        <f>IF($CX11="P",CF11,(CF11+BB11)/2)</f>
        <v>2.1</v>
      </c>
      <c r="NS11" s="61">
        <f>IF($CX11="P",CG11,(CG11+BC11)/2)</f>
        <v>13.36</v>
      </c>
      <c r="NT11" s="61">
        <f>IF($CX11="P",CH11,(CH11+BD11)/2)</f>
        <v>0</v>
      </c>
      <c r="NU11" s="61">
        <f>IF($CX11="P",CI11,(CI11+BE11)/2)</f>
        <v>8.1999999999999993</v>
      </c>
      <c r="NV11" s="61">
        <f>IF($CX11="P",CJ11,(CJ11+BF11)/2)</f>
        <v>5.3999999999999995</v>
      </c>
      <c r="NW11" s="61">
        <f>IF($CX11="P",CK11,(CK11+BG11)/2)</f>
        <v>6</v>
      </c>
      <c r="NX11" s="61">
        <f>IF($CX11="P",CL11,(CL11+BH11)/2)</f>
        <v>7.8775000000000004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13.95</v>
      </c>
      <c r="OF11" s="61">
        <f>IF($CX11="P",CT11,(CT11+BP11)/2)</f>
        <v>9.3000000000000007</v>
      </c>
      <c r="OG11" s="61">
        <f>IF($CX11="P",CU11,(CU11+BQ11)/2)</f>
        <v>9.6999999999999993</v>
      </c>
      <c r="OH11" s="61">
        <f>IF($CX11="P",CV11,(CV11+BR11)/2)</f>
        <v>13.045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40.159999999999997</v>
      </c>
      <c r="OL11" s="11">
        <f>IF(NW11&gt;0,NW11,"")</f>
        <v>6</v>
      </c>
      <c r="OM11" s="11">
        <f>IF(SUM(NU11:NX11)-NY11&gt;0,SUM(NU11:NX11)-NY11,"")</f>
        <v>27.477499999999999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67.637499999999989</v>
      </c>
      <c r="OQ11" s="11">
        <f>IF(OG11&gt;0,OG11,"")</f>
        <v>9.6999999999999993</v>
      </c>
      <c r="OR11" s="11">
        <f t="shared" ref="OR11" si="4">IF(SUM(OE11:OH11)-OI11&gt;0,SUM(OE11:OH11)-OI11,"")</f>
        <v>45.995000000000005</v>
      </c>
      <c r="OS11" s="11">
        <f t="shared" ref="OS11" si="5">IF(SUM(OP11,OR11)&gt;0,SUM(OP11,OR11),"")</f>
        <v>113.63249999999999</v>
      </c>
    </row>
    <row r="12" spans="1:409" x14ac:dyDescent="0.2">
      <c r="A12" s="5" t="str" cm="1">
        <f t="array" ref="A12">IF(AND(G12&lt;&gt;"",H12&lt;&gt;""),SUMPRODUCT((G$4:G$23&lt;&gt;"")*(H$4:H$23&lt;&gt;"")*(E$4:E$23&gt;E12))+1,IF(H12&lt;&gt;"",SUMPRODUCT((I$4:I$23="No DD")*(E$4:E$23&gt;E12))+1+SUMPRODUCT((G$4:G$23&lt;&gt;"")*(H$4:H$23&lt;&gt;"")),""))</f>
        <v/>
      </c>
      <c r="B12" s="8" t="s">
        <v>114</v>
      </c>
      <c r="C12" s="4" t="s">
        <v>5</v>
      </c>
      <c r="D12" s="26">
        <v>2003</v>
      </c>
      <c r="E12" s="15">
        <f>SUM(O12:S12)</f>
        <v>91.92</v>
      </c>
      <c r="F12" s="3" t="str">
        <f>IF(G12&lt;&gt;"","P","")</f>
        <v/>
      </c>
      <c r="G12" s="115" t="str">
        <f>IF(OR(AND(AR12&gt;=AY$28,AR12&lt;&gt;"",AP12=""),AND(AT12&gt;=AY$28,AT12&lt;&gt;"",AP12=""),AND(AW12&gt;=AY$28,AW12&lt;&gt;"",AP12=""),AND(BV12&gt;=CC$28,BV12&lt;&gt;"",BT12=""),AND(BX12&gt;=CC$28,BX12&lt;&gt;"",BT12=""),AND(CA12&gt;=CC$28,CA12&lt;&gt;"",BT12=""),AND(CZ12&gt;=DG$28,CZ12&lt;&gt;"",CX12=""),AND(DB12&gt;=DG$28,DB12&lt;&gt;"",CX12=""),AND(DE12&gt;=DG$28,DE12&lt;&gt;"",CX12=""),AND(EA12&gt;=EG$28,EA12&lt;&gt;""),AND(EE12&gt;=EG$28,EE12&lt;&gt;""),AND(EW12&gt;=FC$28,EW12&lt;&gt;""),AND(FA12&gt;=FC$28,FA12&lt;&gt;""),AND(FS12&gt;=FY$28,FS12&lt;&gt;""),AND(FW12&gt;=FY$28,FW12&lt;&gt;""),AND(GO12&gt;=GU$28,GO12&lt;&gt;""),AND(GS12&gt;=GU$28,GS12&lt;&gt;""),AND(HK12&gt;=HQ$28,HK12&lt;&gt;""),AND(HO12&gt;=HQ$28,HO12&lt;&gt;""),AND(IG12&gt;=IM$28,IG12&lt;&gt;""),AND(IK12&gt;=IM$28,IK12&lt;&gt;""),AND(JC12&gt;=JI$28,JC12&lt;&gt;""),AND(JG12&gt;=JI$28,JG12&lt;&gt;""),AND(JY12&gt;=KE$28,JY12&lt;&gt;""),AND(KC12&gt;=KE$28,KC12&lt;&gt;""),AND(KU12&gt;=LA$28,KU12&lt;&gt;""),AND(KY12&gt;=LA$28,KY12&lt;&gt;""),AND(LQ12&gt;=LW$28,LQ12&lt;&gt;""),AND(LU12&gt;=LW$28,LU12&lt;&gt;""),AND(MM12&gt;=MS$28,MM12&lt;&gt;""),AND(MQ12&gt;=MS$28,MQ12&lt;&gt;""),AND(NI12&gt;=NO$28,NI12&lt;&gt;""),AND(NM12&gt;=NO$28,NM12&lt;&gt;"")),"Merit",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Excellence",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Worlds Team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National Team",""))))</f>
        <v/>
      </c>
      <c r="H12" s="115" t="str">
        <f>IF(OR(AND(AS12&gt;=AY$29,AS12&lt;&gt;"",AP12=""),AND(AU12&gt;=AY$29,AU12&lt;&gt;"",AP12=""),AND(AX12&gt;=AY$29,AX12&lt;&gt;"",AP12=""),AND(BW12&gt;=CC$29,BW12&lt;&gt;"",BT12=""),AND(BY12&gt;=CC$29,BY12&lt;&gt;"",BT12=""),AND(CB12&gt;=CC$29,CB12&lt;&gt;"",BT12=""),AND(DA12&gt;=DG$29,DA12&lt;&gt;"",CX12=""),AND(DC12&gt;=DG$29,DC12&lt;&gt;"",CX12=""),AND(DF12&gt;=DG$29,DF12&lt;&gt;"",CX12=""),AND(EC12&gt;=EG$29,EC12&lt;&gt;""),AND(EF12&gt;=EG$29,EF12&lt;&gt;""),AND(EY12&gt;=FC$29,EY12&lt;&gt;""),AND(FB12&gt;=FC$29,FB12&lt;&gt;""),AND(FU12&gt;=FY$29,FU12&lt;&gt;""),AND(FX12&gt;=FY$29,FX12&lt;&gt;""),AND(GQ12&gt;=GU$29,GQ12&lt;&gt;""),AND(GT12&gt;=GU$29,GT12&lt;&gt;""),AND(HM12&gt;=HQ$29,HM12&lt;&gt;""),AND(HP12&gt;=HQ$29,HP12&lt;&gt;""),AND(II12&gt;=IM$29,II12&lt;&gt;""),AND(IL12&gt;=IM$29,IL12&lt;&gt;""),AND(JE12&gt;=JI$29,JE12&lt;&gt;""),AND(JH12&gt;=JI$29,JH12&lt;&gt;""),AND(KA12&gt;=KE$29,KA12&lt;&gt;""),AND(KD12&gt;=KE$29,KD12&lt;&gt;""),AND(KW12&gt;=LA$29,KW12&lt;&gt;""),AND(KZ12&gt;=LA$29,KZ12&lt;&gt;""),AND(LS12&gt;=LW$29,LS12&lt;&gt;""),AND(LV12&gt;=LW$29,LV12&lt;&gt;""),AND(MO12&gt;=MS$29,MO12&lt;&gt;""),AND(MR12&gt;=MS$29,MR12&lt;&gt;""),AND(NK12&gt;=NO$29,NK12&lt;&gt;""),AND(NN12&gt;=NO$29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$30,AV12&lt;&gt;"",AP12=""),AND(BZ12&gt;=CC$30,BZ12&lt;&gt;"",BT12=""),AND(DD12&gt;=DG$30,DD12&lt;&gt;"",CX12=""),AND(ED12&gt;=EG$30,ED12&lt;&gt;""),AND(EZ12&gt;=FC$30,EZ12&lt;&gt;""),AND(FV12&gt;=FY$30,FV12&lt;&gt;""),AND(GR12&gt;=GU$30,GR12&lt;&gt;""),AND(HN12&gt;=HQ$30,HN12&lt;&gt;""),AND(IJ12&gt;=IM$30,IJ12&lt;&gt;""),AND(JF12&gt;=JI$30,JF12&lt;&gt;""),AND(KB12&gt;=KE$30,KB12&lt;&gt;""),AND(KX12&gt;=LA$30,KX12&lt;&gt;""),AND(LT12&gt;=LW$30,LT12&lt;&gt;""),AND(MP12&gt;=MS$30,MP12&lt;&gt;""),AND(NL12&gt;=NO$30,NL12&lt;&gt;"")),OR(G12="Worlds Team",G12="Excellence",G12="Merit")),"P","")</f>
        <v/>
      </c>
      <c r="K12" s="14">
        <f>IF(MAX(AV12,BZ12,DD12)&gt;0,MAX(AV12,BZ12,DD12),0)</f>
        <v>85.134999999999991</v>
      </c>
      <c r="L12" s="14" t="str">
        <f>IF(K12=0,"",IF(K12=DD12,$CD$1,IF(K12=BZ12,$AZ$1,IF(K12=AV12,$V$1,""))))</f>
        <v>2021 2nd Virtual Technical Trial</v>
      </c>
      <c r="M12" s="14">
        <f>IF($K12=$AV12,MAX(BU12,CY12),IF($K12=$BZ12,MAX(AQ12,CY12),IF($K12=$DD12,MAX(AQ12,BU12),MAX(AQ12,BU12,CY12))))</f>
        <v>39.54</v>
      </c>
      <c r="N12" s="14" t="str">
        <f>IF(M12=0,"",IF(AND(M12=CY12,$L12&lt;&gt;$CD$1),$CD$1,IF(AND(M12=BU12,$L12&lt;&gt;$AZ$1),$AZ$1,IF(AND(M12=AQ12,$L12&lt;&gt;$V$1),$V$1,""))))</f>
        <v>2021 1st Virtual Technical Trial</v>
      </c>
      <c r="O12" s="14">
        <f>MAX(AS12,AU12,AX12,BW12,BY12,CB12,DA12,DC12,DF12)</f>
        <v>45.96</v>
      </c>
      <c r="P12" s="14" t="str">
        <f>IF(O12=0,"",IF(OR(O12=DC12,O12=DA12,O12=DF12),$CD$1,IF(OR(O12=BY12,O12=BW12,O12=CB12),$AZ$1,IF(OR(O12=AU12,O12=AS12,O12=AX12),$V$1,""))))</f>
        <v>2021 2nd Virtual Technical Trial</v>
      </c>
      <c r="Q12" s="14">
        <f>IF(COUNT(AS12,AU12,AX12,BW12,BY12,CB12,DA12,DC12,DF12)&gt;1,LARGE((AS12,AU12,AX12,BW12,BY12,CB12,DA12,DC12,DF12),2),0)</f>
        <v>45.96</v>
      </c>
      <c r="R12" s="14" t="str">
        <f>IF(Q12=0,"",IF(OR(Q12=DC12,Q12=DA12,Q12=DF12),$CD$1,IF(OR(Q12=BY12,Q12=BW12,Q12=CB12),$AZ$1,IF(OR(Q12=AU12,Q12=AS12,Q12=AX12),$V$1,""))))</f>
        <v>2021 2nd Virtual Technical Trial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72"/>
      <c r="AQ12" s="11" t="str">
        <f>IF(SUM(V12:Y12)-Z12&gt;0,SUM(V12:Y12)-Z12,"")</f>
        <v/>
      </c>
      <c r="AR12" s="11" t="str">
        <f>IF(AC12&gt;0,AC12,"")</f>
        <v/>
      </c>
      <c r="AS12" s="11" t="str">
        <f>IF(SUM(AA12:AD12)-AE12&gt;0,SUM(AA12:AD12)-AE12,"")</f>
        <v/>
      </c>
      <c r="AT12" s="11" t="str">
        <f>IF(AH12&gt;0,AH12,"")</f>
        <v/>
      </c>
      <c r="AU12" s="11" t="str">
        <f>IF(SUM(AF12:AI12)-AJ12&gt;0,SUM(AF12:AI12)-AJ12,"")</f>
        <v/>
      </c>
      <c r="AV12" s="11" t="str">
        <f>IF(AQ12="",IF(MAX(AS12,AU12)&gt;0,MAX(AS12,AU12),""),MAX(AS12,AU12)+AQ12)</f>
        <v/>
      </c>
      <c r="AW12" s="11" t="str">
        <f>IF(AM12&gt;0,AM12,"")</f>
        <v/>
      </c>
      <c r="AX12" s="11" t="str">
        <f>IF(SUM(AK12:AN12)-AO12&gt;0,SUM(AK12:AN12)-AO12,"")</f>
        <v/>
      </c>
      <c r="AY12" s="11" t="str">
        <f>IF(SUM(AV12,AX12)&gt;0,SUM(AV12,AX12),"")</f>
        <v/>
      </c>
      <c r="AZ12" s="67">
        <v>15.4</v>
      </c>
      <c r="BA12" s="67">
        <v>9.4</v>
      </c>
      <c r="BB12" s="67">
        <v>1.4</v>
      </c>
      <c r="BC12" s="67">
        <v>13.34</v>
      </c>
      <c r="BD12" s="67">
        <v>0</v>
      </c>
      <c r="BE12" s="67">
        <v>14.3</v>
      </c>
      <c r="BF12" s="67">
        <v>9.4</v>
      </c>
      <c r="BG12" s="67">
        <v>8.8000000000000007</v>
      </c>
      <c r="BH12" s="67">
        <v>12.96</v>
      </c>
      <c r="BI12" s="67">
        <v>0</v>
      </c>
      <c r="BJ12" s="67"/>
      <c r="BK12" s="67"/>
      <c r="BL12" s="67"/>
      <c r="BM12" s="67"/>
      <c r="BN12" s="67"/>
      <c r="BO12" s="67">
        <v>13.8</v>
      </c>
      <c r="BP12" s="67">
        <v>9.25</v>
      </c>
      <c r="BQ12" s="67">
        <v>9.6999999999999993</v>
      </c>
      <c r="BR12" s="67">
        <v>13.21</v>
      </c>
      <c r="BS12" s="67">
        <v>0</v>
      </c>
      <c r="BT12" s="73"/>
      <c r="BU12" s="14">
        <f>IF(SUM(AZ12:BC12)-BD12&gt;0,SUM(AZ12:BC12)-BD12,"")</f>
        <v>39.54</v>
      </c>
      <c r="BV12" s="14">
        <f>IF(BG12&gt;0,BG12,"")</f>
        <v>8.8000000000000007</v>
      </c>
      <c r="BW12" s="14">
        <f>IF(SUM(BE12:BH12)-BI12&gt;0,SUM(BE12:BH12)-BI12,"")</f>
        <v>45.46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85</v>
      </c>
      <c r="CA12" s="14">
        <f>IF(BQ12&gt;0,BQ12,"")</f>
        <v>9.6999999999999993</v>
      </c>
      <c r="CB12" s="14">
        <f>IF(SUM(BO12:BR12)-BS12&gt;0,SUM(BO12:BR12)-BS12,"")</f>
        <v>45.96</v>
      </c>
      <c r="CC12" s="14">
        <f>IF(SUM(BZ12,CB12)&gt;0,SUM(BZ12,CB12),"")</f>
        <v>130.96</v>
      </c>
      <c r="CD12" s="61">
        <v>14.7</v>
      </c>
      <c r="CE12" s="61">
        <v>9.6</v>
      </c>
      <c r="CF12" s="61">
        <v>1.4</v>
      </c>
      <c r="CG12" s="61">
        <v>13.475</v>
      </c>
      <c r="CH12" s="61">
        <v>0</v>
      </c>
      <c r="CI12" s="61">
        <v>14</v>
      </c>
      <c r="CJ12" s="61">
        <v>9.1999999999999993</v>
      </c>
      <c r="CK12" s="61">
        <v>9.6999999999999993</v>
      </c>
      <c r="CL12" s="61">
        <v>13.06</v>
      </c>
      <c r="CM12" s="61">
        <v>0</v>
      </c>
      <c r="CN12" s="61"/>
      <c r="CO12" s="61"/>
      <c r="CP12" s="61"/>
      <c r="CQ12" s="61"/>
      <c r="CR12" s="61"/>
      <c r="CS12" s="61">
        <v>12.3</v>
      </c>
      <c r="CT12" s="61">
        <v>8.3000000000000007</v>
      </c>
      <c r="CU12" s="61">
        <v>8.5</v>
      </c>
      <c r="CV12" s="61">
        <v>11.445</v>
      </c>
      <c r="CW12" s="61">
        <v>0</v>
      </c>
      <c r="CX12" s="72"/>
      <c r="CY12" s="11">
        <f>IF(SUM(CD12:CG12)-CH12&gt;0,SUM(CD12:CG12)-CH12,"")</f>
        <v>39.174999999999997</v>
      </c>
      <c r="CZ12" s="11">
        <f>IF(CK12&gt;0,CK12,"")</f>
        <v>9.6999999999999993</v>
      </c>
      <c r="DA12" s="11">
        <f>IF(SUM(CI12:CL12)-CM12&gt;0,SUM(CI12:CL12)-CM12,"")</f>
        <v>45.96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85.134999999999991</v>
      </c>
      <c r="DE12" s="11">
        <f>IF(CU12&gt;0,CU12,"")</f>
        <v>8.5</v>
      </c>
      <c r="DF12" s="11">
        <f>IF(SUM(CS12:CV12)-CW12&gt;0,SUM(CS12:CV12)-CW12,"")</f>
        <v>40.545000000000002</v>
      </c>
      <c r="DG12" s="11">
        <f>IF(SUM(DD12,DF12)&gt;0,SUM(DD12,DF12),"")</f>
        <v>125.67999999999999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15.05</v>
      </c>
      <c r="NQ12" s="61">
        <f>IF($CX12="P",CE12,(CE12+BA12)/2)</f>
        <v>9.5</v>
      </c>
      <c r="NR12" s="61">
        <f>IF($CX12="P",CF12,(CF12+BB12)/2)</f>
        <v>1.4</v>
      </c>
      <c r="NS12" s="61">
        <f>IF($CX12="P",CG12,(CG12+BC12)/2)</f>
        <v>13.407499999999999</v>
      </c>
      <c r="NT12" s="61">
        <f>IF($CX12="P",CH12,(CH12+BD12)/2)</f>
        <v>0</v>
      </c>
      <c r="NU12" s="61">
        <f>IF($CX12="P",CI12,(CI12+BE12)/2)</f>
        <v>14.15</v>
      </c>
      <c r="NV12" s="61">
        <f>IF($CX12="P",CJ12,(CJ12+BF12)/2)</f>
        <v>9.3000000000000007</v>
      </c>
      <c r="NW12" s="61">
        <f>IF($CX12="P",CK12,(CK12+BG12)/2)</f>
        <v>9.25</v>
      </c>
      <c r="NX12" s="61">
        <f>IF($CX12="P",CL12,(CL12+BH12)/2)</f>
        <v>13.010000000000002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13.05</v>
      </c>
      <c r="OF12" s="61">
        <f>IF($CX12="P",CT12,(CT12+BP12)/2)</f>
        <v>8.7750000000000004</v>
      </c>
      <c r="OG12" s="61">
        <f>IF($CX12="P",CU12,(CU12+BQ12)/2)</f>
        <v>9.1</v>
      </c>
      <c r="OH12" s="61">
        <f>IF($CX12="P",CV12,(CV12+BR12)/2)</f>
        <v>12.327500000000001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39.357500000000002</v>
      </c>
      <c r="OL12" s="11">
        <f>IF(NW12&gt;0,NW12,"")</f>
        <v>9.25</v>
      </c>
      <c r="OM12" s="11">
        <f>IF(SUM(NU12:NX12)-NY12&gt;0,SUM(NU12:NX12)-NY12,"")</f>
        <v>45.710000000000008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85.06750000000001</v>
      </c>
      <c r="OQ12" s="11">
        <f>IF(OG12&gt;0,OG12,"")</f>
        <v>9.1</v>
      </c>
      <c r="OR12" s="11">
        <f t="shared" ref="OR12" si="6">IF(SUM(OE12:OH12)-OI12&gt;0,SUM(OE12:OH12)-OI12,"")</f>
        <v>43.252500000000005</v>
      </c>
      <c r="OS12" s="11">
        <f t="shared" ref="OS12" si="7">IF(SUM(OP12,OR12)&gt;0,SUM(OP12,OR12),"")</f>
        <v>128.32000000000002</v>
      </c>
    </row>
    <row r="13" spans="1:409" x14ac:dyDescent="0.2">
      <c r="A13" s="5" t="str" cm="1">
        <f t="array" ref="A13">IF(AND(G13&lt;&gt;"",H13&lt;&gt;""),SUMPRODUCT((G$4:G$23&lt;&gt;"")*(H$4:H$23&lt;&gt;"")*(E$4:E$23&gt;E13))+1,IF(H13&lt;&gt;"",SUMPRODUCT((I$4:I$23="No DD")*(E$4:E$23&gt;E13))+1+SUMPRODUCT((G$4:G$23&lt;&gt;"")*(H$4:H$23&lt;&gt;"")),""))</f>
        <v/>
      </c>
      <c r="B13" s="8" t="s">
        <v>113</v>
      </c>
      <c r="C13" s="4" t="s">
        <v>5</v>
      </c>
      <c r="D13" s="26">
        <v>2004</v>
      </c>
      <c r="E13" s="15">
        <f>SUM(O13:S13)</f>
        <v>91.449999999999989</v>
      </c>
      <c r="F13" s="3" t="str">
        <f>IF(G13&lt;&gt;"","P","")</f>
        <v/>
      </c>
      <c r="G13" s="115" t="str">
        <f>IF(OR(AND(AR13&gt;=AY$28,AR13&lt;&gt;"",AP13=""),AND(AT13&gt;=AY$28,AT13&lt;&gt;"",AP13=""),AND(AW13&gt;=AY$28,AW13&lt;&gt;"",AP13=""),AND(BV13&gt;=CC$28,BV13&lt;&gt;"",BT13=""),AND(BX13&gt;=CC$28,BX13&lt;&gt;"",BT13=""),AND(CA13&gt;=CC$28,CA13&lt;&gt;"",BT13=""),AND(CZ13&gt;=DG$28,CZ13&lt;&gt;"",CX13=""),AND(DB13&gt;=DG$28,DB13&lt;&gt;"",CX13=""),AND(DE13&gt;=DG$28,DE13&lt;&gt;"",CX13=""),AND(EA13&gt;=EG$28,EA13&lt;&gt;""),AND(EE13&gt;=EG$28,EE13&lt;&gt;""),AND(EW13&gt;=FC$28,EW13&lt;&gt;""),AND(FA13&gt;=FC$28,FA13&lt;&gt;""),AND(FS13&gt;=FY$28,FS13&lt;&gt;""),AND(FW13&gt;=FY$28,FW13&lt;&gt;""),AND(GO13&gt;=GU$28,GO13&lt;&gt;""),AND(GS13&gt;=GU$28,GS13&lt;&gt;""),AND(HK13&gt;=HQ$28,HK13&lt;&gt;""),AND(HO13&gt;=HQ$28,HO13&lt;&gt;""),AND(IG13&gt;=IM$28,IG13&lt;&gt;""),AND(IK13&gt;=IM$28,IK13&lt;&gt;""),AND(JC13&gt;=JI$28,JC13&lt;&gt;""),AND(JG13&gt;=JI$28,JG13&lt;&gt;""),AND(JY13&gt;=KE$28,JY13&lt;&gt;""),AND(KC13&gt;=KE$28,KC13&lt;&gt;""),AND(KU13&gt;=LA$28,KU13&lt;&gt;""),AND(KY13&gt;=LA$28,KY13&lt;&gt;""),AND(LQ13&gt;=LW$28,LQ13&lt;&gt;""),AND(LU13&gt;=LW$28,LU13&lt;&gt;""),AND(MM13&gt;=MS$28,MM13&lt;&gt;""),AND(MQ13&gt;=MS$28,MQ13&lt;&gt;""),AND(NI13&gt;=NO$28,NI13&lt;&gt;""),AND(NM13&gt;=NO$28,NM13&lt;&gt;"")),"Merit",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Excellence",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Worlds Team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National Team",""))))</f>
        <v/>
      </c>
      <c r="H13" s="115" t="str">
        <f>IF(OR(AND(AS13&gt;=AY$29,AS13&lt;&gt;"",AP13=""),AND(AU13&gt;=AY$29,AU13&lt;&gt;"",AP13=""),AND(AX13&gt;=AY$29,AX13&lt;&gt;"",AP13=""),AND(BW13&gt;=CC$29,BW13&lt;&gt;"",BT13=""),AND(BY13&gt;=CC$29,BY13&lt;&gt;"",BT13=""),AND(CB13&gt;=CC$29,CB13&lt;&gt;"",BT13=""),AND(DA13&gt;=DG$29,DA13&lt;&gt;"",CX13=""),AND(DC13&gt;=DG$29,DC13&lt;&gt;"",CX13=""),AND(DF13&gt;=DG$29,DF13&lt;&gt;"",CX13=""),AND(EC13&gt;=EG$29,EC13&lt;&gt;""),AND(EF13&gt;=EG$29,EF13&lt;&gt;""),AND(EY13&gt;=FC$29,EY13&lt;&gt;""),AND(FB13&gt;=FC$29,FB13&lt;&gt;""),AND(FU13&gt;=FY$29,FU13&lt;&gt;""),AND(FX13&gt;=FY$29,FX13&lt;&gt;""),AND(GQ13&gt;=GU$29,GQ13&lt;&gt;""),AND(GT13&gt;=GU$29,GT13&lt;&gt;""),AND(HM13&gt;=HQ$29,HM13&lt;&gt;""),AND(HP13&gt;=HQ$29,HP13&lt;&gt;""),AND(II13&gt;=IM$29,II13&lt;&gt;""),AND(IL13&gt;=IM$29,IL13&lt;&gt;""),AND(JE13&gt;=JI$29,JE13&lt;&gt;""),AND(JH13&gt;=JI$29,JH13&lt;&gt;""),AND(KA13&gt;=KE$29,KA13&lt;&gt;""),AND(KD13&gt;=KE$29,KD13&lt;&gt;""),AND(KW13&gt;=LA$29,KW13&lt;&gt;""),AND(KZ13&gt;=LA$29,KZ13&lt;&gt;""),AND(LS13&gt;=LW$29,LS13&lt;&gt;""),AND(LV13&gt;=LW$29,LV13&lt;&gt;""),AND(MO13&gt;=MS$29,MO13&lt;&gt;""),AND(MR13&gt;=MS$29,MR13&lt;&gt;""),AND(NK13&gt;=NO$29,NK13&lt;&gt;""),AND(NN13&gt;=NO$29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$30,AV13&lt;&gt;"",AP13=""),AND(BZ13&gt;=CC$30,BZ13&lt;&gt;"",BT13=""),AND(DD13&gt;=DG$30,DD13&lt;&gt;"",CX13=""),AND(ED13&gt;=EG$30,ED13&lt;&gt;""),AND(EZ13&gt;=FC$30,EZ13&lt;&gt;""),AND(FV13&gt;=FY$30,FV13&lt;&gt;""),AND(GR13&gt;=GU$30,GR13&lt;&gt;""),AND(HN13&gt;=HQ$30,HN13&lt;&gt;""),AND(IJ13&gt;=IM$30,IJ13&lt;&gt;""),AND(JF13&gt;=JI$30,JF13&lt;&gt;""),AND(KB13&gt;=KE$30,KB13&lt;&gt;""),AND(KX13&gt;=LA$30,KX13&lt;&gt;""),AND(LT13&gt;=LW$30,LT13&lt;&gt;""),AND(MP13&gt;=MS$30,MP13&lt;&gt;""),AND(NL13&gt;=NO$30,NL13&lt;&gt;"")),OR(G13="Worlds Team",G13="Excellence",G13="Merit")),"P","")</f>
        <v/>
      </c>
      <c r="K13" s="14">
        <f>IF(MAX(AV13,BZ13,DD13)&gt;0,MAX(AV13,BZ13,DD13),0)</f>
        <v>84.449999999999989</v>
      </c>
      <c r="L13" s="14" t="str">
        <f>IF(K13=0,"",IF(K13=DD13,$CD$1,IF(K13=BZ13,$AZ$1,IF(K13=AV13,$V$1,""))))</f>
        <v>2021 1st Virtual Technical Trial</v>
      </c>
      <c r="M13" s="14">
        <f>IF($K13=$AV13,MAX(BU13,CY13),IF($K13=$BZ13,MAX(AQ13,CY13),IF($K13=$DD13,MAX(AQ13,BU13),MAX(AQ13,BU13,CY13))))</f>
        <v>41.87</v>
      </c>
      <c r="N13" s="14" t="str">
        <f>IF(M13=0,"",IF(AND(M13=CY13,$L13&lt;&gt;$CD$1),$CD$1,IF(AND(M13=BU13,$L13&lt;&gt;$AZ$1),$AZ$1,IF(AND(M13=AQ13,$L13&lt;&gt;$V$1),$V$1,""))))</f>
        <v>2019 Nationals</v>
      </c>
      <c r="O13" s="14">
        <f>MAX(AS13,AU13,AX13,BW13,BY13,CB13,DA13,DC13,DF13)</f>
        <v>47.01</v>
      </c>
      <c r="P13" s="14" t="str">
        <f>IF(O13=0,"",IF(OR(O13=DC13,O13=DA13,O13=DF13),$CD$1,IF(OR(O13=BY13,O13=BW13,O13=CB13),$AZ$1,IF(OR(O13=AU13,O13=AS13,O13=AX13),$V$1,""))))</f>
        <v>2021 1st Virtual Technical Trial</v>
      </c>
      <c r="Q13" s="14">
        <f>IF(COUNT(AS13,AU13,AX13,BW13,BY13,CB13,DA13,DC13,DF13)&gt;1,LARGE((AS13,AU13,AX13,BW13,BY13,CB13,DA13,DC13,DF13),2),0)</f>
        <v>44.44</v>
      </c>
      <c r="R13" s="14" t="str">
        <f>IF(Q13=0,"",IF(OR(Q13=DC13,Q13=DA13,Q13=DF13),$CD$1,IF(OR(Q13=BY13,Q13=BW13,Q13=CB13),$AZ$1,IF(OR(Q13=AU13,Q13=AS13,Q13=AX13),$V$1,""))))</f>
        <v>2021 1st Virtual Technical Trial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17.2</v>
      </c>
      <c r="W13" s="61">
        <v>9.3000000000000007</v>
      </c>
      <c r="X13" s="61">
        <v>1.4</v>
      </c>
      <c r="Y13" s="61">
        <v>13.97</v>
      </c>
      <c r="Z13" s="61">
        <v>0</v>
      </c>
      <c r="AA13" s="61">
        <v>4.5</v>
      </c>
      <c r="AB13" s="61">
        <v>2.8</v>
      </c>
      <c r="AC13" s="61">
        <v>3.1</v>
      </c>
      <c r="AD13" s="61">
        <v>4.25</v>
      </c>
      <c r="AE13" s="61">
        <v>0</v>
      </c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>
        <f>IF(SUM(V13:Y13)-Z13&gt;0,SUM(V13:Y13)-Z13,"")</f>
        <v>41.87</v>
      </c>
      <c r="AR13" s="11">
        <f>IF(AC13&gt;0,AC13,"")</f>
        <v>3.1</v>
      </c>
      <c r="AS13" s="11">
        <f>IF(SUM(AA13:AD13)-AE13&gt;0,SUM(AA13:AD13)-AE13,"")</f>
        <v>14.65</v>
      </c>
      <c r="AT13" s="11" t="str">
        <f>IF(AH13&gt;0,AH13,"")</f>
        <v/>
      </c>
      <c r="AU13" s="11" t="str">
        <f>IF(SUM(AF13:AI13)-AJ13&gt;0,SUM(AF13:AI13)-AJ13,"")</f>
        <v/>
      </c>
      <c r="AV13" s="11">
        <f>IF(AQ13="",IF(MAX(AS13,AU13)&gt;0,MAX(AS13,AU13),""),MAX(AS13,AU13)+AQ13)</f>
        <v>56.519999999999996</v>
      </c>
      <c r="AW13" s="11" t="str">
        <f>IF(AM13&gt;0,AM13,"")</f>
        <v/>
      </c>
      <c r="AX13" s="11" t="str">
        <f>IF(SUM(AK13:AN13)-AO13&gt;0,SUM(AK13:AN13)-AO13,"")</f>
        <v/>
      </c>
      <c r="AY13" s="11">
        <f>IF(SUM(AV13,AX13)&gt;0,SUM(AV13,AX13),"")</f>
        <v>56.519999999999996</v>
      </c>
      <c r="AZ13" s="67">
        <v>15.2</v>
      </c>
      <c r="BA13" s="67">
        <v>9.5500000000000007</v>
      </c>
      <c r="BB13" s="67">
        <v>1.4</v>
      </c>
      <c r="BC13" s="67">
        <v>13.86</v>
      </c>
      <c r="BD13" s="67">
        <v>0</v>
      </c>
      <c r="BE13" s="67">
        <v>15</v>
      </c>
      <c r="BF13" s="67">
        <v>9.3000000000000007</v>
      </c>
      <c r="BG13" s="67">
        <v>7.6</v>
      </c>
      <c r="BH13" s="67">
        <v>13.74</v>
      </c>
      <c r="BI13" s="67">
        <v>1.2</v>
      </c>
      <c r="BJ13" s="67"/>
      <c r="BK13" s="67"/>
      <c r="BL13" s="67"/>
      <c r="BM13" s="67"/>
      <c r="BN13" s="67"/>
      <c r="BO13" s="67">
        <v>16</v>
      </c>
      <c r="BP13" s="67">
        <v>9.5500000000000007</v>
      </c>
      <c r="BQ13" s="67">
        <v>8.1999999999999993</v>
      </c>
      <c r="BR13" s="67">
        <v>13.86</v>
      </c>
      <c r="BS13" s="67">
        <v>0.6</v>
      </c>
      <c r="BT13" s="73"/>
      <c r="BU13" s="14">
        <f>IF(SUM(AZ13:BC13)-BD13&gt;0,SUM(AZ13:BC13)-BD13,"")</f>
        <v>40.01</v>
      </c>
      <c r="BV13" s="14">
        <f>IF(BG13&gt;0,BG13,"")</f>
        <v>7.6</v>
      </c>
      <c r="BW13" s="14">
        <f>IF(SUM(BE13:BH13)-BI13&gt;0,SUM(BE13:BH13)-BI13,"")</f>
        <v>44.44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84.449999999999989</v>
      </c>
      <c r="CA13" s="14">
        <f>IF(BQ13&gt;0,BQ13,"")</f>
        <v>8.1999999999999993</v>
      </c>
      <c r="CB13" s="14">
        <f>IF(SUM(BO13:BR13)-BS13&gt;0,SUM(BO13:BR13)-BS13,"")</f>
        <v>47.01</v>
      </c>
      <c r="CC13" s="14">
        <f>IF(SUM(BZ13,CB13)&gt;0,SUM(BZ13,CB13),"")</f>
        <v>131.45999999999998</v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>IF(SUM(CD13:CG13)-CH13&gt;0,SUM(CD13:CG13)-CH13,"")</f>
        <v/>
      </c>
      <c r="CZ13" s="11" t="str">
        <f>IF(CK13&gt;0,CK13,"")</f>
        <v/>
      </c>
      <c r="DA13" s="11" t="str">
        <f>IF(SUM(CI13:CL13)-CM13&gt;0,SUM(CI13:CL13)-CM13,"")</f>
        <v/>
      </c>
      <c r="DB13" s="11" t="str">
        <f>IF(CP13&gt;0,CP13,"")</f>
        <v/>
      </c>
      <c r="DC13" s="11" t="str">
        <f>IF(SUM(CN13:CQ13)-CR13&gt;0,SUM(CN13:CQ13)-CR13,"")</f>
        <v/>
      </c>
      <c r="DD13" s="11" t="str">
        <f>IF(CY13="",IF(MAX(DA13,DC13)&gt;0,MAX(DA13,DC13),""),MAX(DA13,DC13)+CY13)</f>
        <v/>
      </c>
      <c r="DE13" s="11" t="str">
        <f>IF(CU13&gt;0,CU13,"")</f>
        <v/>
      </c>
      <c r="DF13" s="11" t="str">
        <f>IF(SUM(CS13:CV13)-CW13&gt;0,SUM(CS13:CV13)-CW13,"")</f>
        <v/>
      </c>
      <c r="DG13" s="11" t="str">
        <f>IF(SUM(DD13,DF13)&gt;0,SUM(DD13,DF13),"")</f>
        <v/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7.6</v>
      </c>
      <c r="NQ13" s="61">
        <f>IF($CX13="P",CE13,(CE13+BA13)/2)</f>
        <v>4.7750000000000004</v>
      </c>
      <c r="NR13" s="61">
        <f>IF($CX13="P",CF13,(CF13+BB13)/2)</f>
        <v>0.7</v>
      </c>
      <c r="NS13" s="61">
        <f>IF($CX13="P",CG13,(CG13+BC13)/2)</f>
        <v>6.93</v>
      </c>
      <c r="NT13" s="61">
        <f>IF($CX13="P",CH13,(CH13+BD13)/2)</f>
        <v>0</v>
      </c>
      <c r="NU13" s="61">
        <f>IF($CX13="P",CI13,(CI13+BE13)/2)</f>
        <v>7.5</v>
      </c>
      <c r="NV13" s="61">
        <f>IF($CX13="P",CJ13,(CJ13+BF13)/2)</f>
        <v>4.6500000000000004</v>
      </c>
      <c r="NW13" s="61">
        <f>IF($CX13="P",CK13,(CK13+BG13)/2)</f>
        <v>3.8</v>
      </c>
      <c r="NX13" s="61">
        <f>IF($CX13="P",CL13,(CL13+BH13)/2)</f>
        <v>6.87</v>
      </c>
      <c r="NY13" s="61">
        <f>IF($CX13="P",CM13,(CM13+BI13)/2)</f>
        <v>0.6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8</v>
      </c>
      <c r="OF13" s="61">
        <f>IF($CX13="P",CT13,(CT13+BP13)/2)</f>
        <v>4.7750000000000004</v>
      </c>
      <c r="OG13" s="61">
        <f>IF($CX13="P",CU13,(CU13+BQ13)/2)</f>
        <v>4.0999999999999996</v>
      </c>
      <c r="OH13" s="61">
        <f>IF($CX13="P",CV13,(CV13+BR13)/2)</f>
        <v>6.93</v>
      </c>
      <c r="OI13" s="61">
        <f>IF($CX13="P",CW13,(CW13+BS13)/2)</f>
        <v>0.3</v>
      </c>
      <c r="OJ13" s="72" t="s">
        <v>52</v>
      </c>
      <c r="OK13" s="11">
        <f>IF(SUM(NP13:NS13)-NT13&gt;0,SUM(NP13:NS13)-NT13,"")</f>
        <v>20.004999999999999</v>
      </c>
      <c r="OL13" s="11">
        <f>IF(NW13&gt;0,NW13,"")</f>
        <v>3.8</v>
      </c>
      <c r="OM13" s="11">
        <f>IF(SUM(NU13:NX13)-NY13&gt;0,SUM(NU13:NX13)-NY13,"")</f>
        <v>22.22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42.224999999999994</v>
      </c>
      <c r="OQ13" s="11">
        <f>IF(OG13&gt;0,OG13,"")</f>
        <v>4.0999999999999996</v>
      </c>
      <c r="OR13" s="11">
        <f t="shared" ref="OR13" si="8">IF(SUM(OE13:OH13)-OI13&gt;0,SUM(OE13:OH13)-OI13,"")</f>
        <v>23.504999999999999</v>
      </c>
      <c r="OS13" s="11">
        <f t="shared" ref="OS13" si="9">IF(SUM(OP13,OR13)&gt;0,SUM(OP13,OR13),"")</f>
        <v>65.72999999999999</v>
      </c>
    </row>
    <row r="14" spans="1:409" x14ac:dyDescent="0.2">
      <c r="A14" s="5" t="str" cm="1">
        <f t="array" ref="A14">IF(AND(G14&lt;&gt;"",H14&lt;&gt;""),SUMPRODUCT((G$4:G$23&lt;&gt;"")*(H$4:H$23&lt;&gt;"")*(E$4:E$23&gt;E14))+1,IF(H14&lt;&gt;"",SUMPRODUCT((I$4:I$23="No DD")*(E$4:E$23&gt;E14))+1+SUMPRODUCT((G$4:G$23&lt;&gt;"")*(H$4:H$23&lt;&gt;"")),""))</f>
        <v/>
      </c>
      <c r="B14" s="8" t="s">
        <v>91</v>
      </c>
      <c r="C14" s="4" t="s">
        <v>6</v>
      </c>
      <c r="D14" s="26">
        <v>2002</v>
      </c>
      <c r="E14" s="15">
        <f>SUM(O14:S14)</f>
        <v>89.490000000000009</v>
      </c>
      <c r="F14" s="3" t="str">
        <f>IF(G14&lt;&gt;"","P","")</f>
        <v/>
      </c>
      <c r="G14" s="115" t="str">
        <f>IF(OR(AND(AR14&gt;=AY$28,AR14&lt;&gt;"",AP14=""),AND(AT14&gt;=AY$28,AT14&lt;&gt;"",AP14=""),AND(AW14&gt;=AY$28,AW14&lt;&gt;"",AP14=""),AND(BV14&gt;=CC$28,BV14&lt;&gt;"",BT14=""),AND(BX14&gt;=CC$28,BX14&lt;&gt;"",BT14=""),AND(CA14&gt;=CC$28,CA14&lt;&gt;"",BT14=""),AND(CZ14&gt;=DG$28,CZ14&lt;&gt;"",CX14=""),AND(DB14&gt;=DG$28,DB14&lt;&gt;"",CX14=""),AND(DE14&gt;=DG$28,DE14&lt;&gt;"",CX14=""),AND(EA14&gt;=EG$28,EA14&lt;&gt;""),AND(EE14&gt;=EG$28,EE14&lt;&gt;""),AND(EW14&gt;=FC$28,EW14&lt;&gt;""),AND(FA14&gt;=FC$28,FA14&lt;&gt;""),AND(FS14&gt;=FY$28,FS14&lt;&gt;""),AND(FW14&gt;=FY$28,FW14&lt;&gt;""),AND(GO14&gt;=GU$28,GO14&lt;&gt;""),AND(GS14&gt;=GU$28,GS14&lt;&gt;""),AND(HK14&gt;=HQ$28,HK14&lt;&gt;""),AND(HO14&gt;=HQ$28,HO14&lt;&gt;""),AND(IG14&gt;=IM$28,IG14&lt;&gt;""),AND(IK14&gt;=IM$28,IK14&lt;&gt;""),AND(JC14&gt;=JI$28,JC14&lt;&gt;""),AND(JG14&gt;=JI$28,JG14&lt;&gt;""),AND(JY14&gt;=KE$28,JY14&lt;&gt;""),AND(KC14&gt;=KE$28,KC14&lt;&gt;""),AND(KU14&gt;=LA$28,KU14&lt;&gt;""),AND(KY14&gt;=LA$28,KY14&lt;&gt;""),AND(LQ14&gt;=LW$28,LQ14&lt;&gt;""),AND(LU14&gt;=LW$28,LU14&lt;&gt;""),AND(MM14&gt;=MS$28,MM14&lt;&gt;""),AND(MQ14&gt;=MS$28,MQ14&lt;&gt;""),AND(NI14&gt;=NO$28,NI14&lt;&gt;""),AND(NM14&gt;=NO$28,NM14&lt;&gt;"")),"Merit",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Excellence",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Worlds Team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National Team",""))))</f>
        <v/>
      </c>
      <c r="H14" s="115" t="str">
        <f>IF(OR(AND(AS14&gt;=AY$29,AS14&lt;&gt;"",AP14=""),AND(AU14&gt;=AY$29,AU14&lt;&gt;"",AP14=""),AND(AX14&gt;=AY$29,AX14&lt;&gt;"",AP14=""),AND(BW14&gt;=CC$29,BW14&lt;&gt;"",BT14=""),AND(BY14&gt;=CC$29,BY14&lt;&gt;"",BT14=""),AND(CB14&gt;=CC$29,CB14&lt;&gt;"",BT14=""),AND(DA14&gt;=DG$29,DA14&lt;&gt;"",CX14=""),AND(DC14&gt;=DG$29,DC14&lt;&gt;"",CX14=""),AND(DF14&gt;=DG$29,DF14&lt;&gt;"",CX14=""),AND(EC14&gt;=EG$29,EC14&lt;&gt;""),AND(EF14&gt;=EG$29,EF14&lt;&gt;""),AND(EY14&gt;=FC$29,EY14&lt;&gt;""),AND(FB14&gt;=FC$29,FB14&lt;&gt;""),AND(FU14&gt;=FY$29,FU14&lt;&gt;""),AND(FX14&gt;=FY$29,FX14&lt;&gt;""),AND(GQ14&gt;=GU$29,GQ14&lt;&gt;""),AND(GT14&gt;=GU$29,GT14&lt;&gt;""),AND(HM14&gt;=HQ$29,HM14&lt;&gt;""),AND(HP14&gt;=HQ$29,HP14&lt;&gt;""),AND(II14&gt;=IM$29,II14&lt;&gt;""),AND(IL14&gt;=IM$29,IL14&lt;&gt;""),AND(JE14&gt;=JI$29,JE14&lt;&gt;""),AND(JH14&gt;=JI$29,JH14&lt;&gt;""),AND(KA14&gt;=KE$29,KA14&lt;&gt;""),AND(KD14&gt;=KE$29,KD14&lt;&gt;""),AND(KW14&gt;=LA$29,KW14&lt;&gt;""),AND(KZ14&gt;=LA$29,KZ14&lt;&gt;""),AND(LS14&gt;=LW$29,LS14&lt;&gt;""),AND(LV14&gt;=LW$29,LV14&lt;&gt;""),AND(MO14&gt;=MS$29,MO14&lt;&gt;""),AND(MR14&gt;=MS$29,MR14&lt;&gt;""),AND(NK14&gt;=NO$29,NK14&lt;&gt;""),AND(NN14&gt;=NO$29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$30,AV14&lt;&gt;"",AP14=""),AND(BZ14&gt;=CC$30,BZ14&lt;&gt;"",BT14=""),AND(DD14&gt;=DG$30,DD14&lt;&gt;"",CX14=""),AND(ED14&gt;=EG$30,ED14&lt;&gt;""),AND(EZ14&gt;=FC$30,EZ14&lt;&gt;""),AND(FV14&gt;=FY$30,FV14&lt;&gt;""),AND(GR14&gt;=GU$30,GR14&lt;&gt;""),AND(HN14&gt;=HQ$30,HN14&lt;&gt;""),AND(IJ14&gt;=IM$30,IJ14&lt;&gt;""),AND(JF14&gt;=JI$30,JF14&lt;&gt;""),AND(KB14&gt;=KE$30,KB14&lt;&gt;""),AND(KX14&gt;=LA$30,KX14&lt;&gt;""),AND(LT14&gt;=LW$30,LT14&lt;&gt;""),AND(MP14&gt;=MS$30,MP14&lt;&gt;""),AND(NL14&gt;=NO$30,NL14&lt;&gt;"")),OR(G14="Worlds Team",G14="Excellence",G14="Merit")),"P","")</f>
        <v/>
      </c>
      <c r="K14" s="14">
        <f>IF(MAX(AV14,BZ14,DD14)&gt;0,MAX(AV14,BZ14,DD14),0)</f>
        <v>86.82</v>
      </c>
      <c r="L14" s="14" t="str">
        <f>IF(K14=0,"",IF(K14=DD14,$CD$1,IF(K14=BZ14,$AZ$1,IF(K14=AV14,$V$1,""))))</f>
        <v>2019 Nationals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MAX(AS14,AU14,AX14,BW14,BY14,CB14,DA14,DC14,DF14)</f>
        <v>48.18</v>
      </c>
      <c r="P14" s="14" t="str">
        <f>IF(O14=0,"",IF(OR(O14=DC14,O14=DA14,O14=DF14),$CD$1,IF(OR(O14=BY14,O14=BW14,O14=CB14),$AZ$1,IF(OR(O14=AU14,O14=AS14,O14=AX14),$V$1,""))))</f>
        <v>2019 Nationals</v>
      </c>
      <c r="Q14" s="14">
        <f>IF(COUNT(AS14,AU14,AX14,BW14,BY14,CB14,DA14,DC14,DF14)&gt;1,LARGE((AS14,AU14,AX14,BW14,BY14,CB14,DA14,DC14,DF14),2),0)</f>
        <v>41.31</v>
      </c>
      <c r="R14" s="14" t="str">
        <f>IF(Q14=0,"",IF(OR(Q14=DC14,Q14=DA14,Q14=DF14),$CD$1,IF(OR(Q14=BY14,Q14=BW14,Q14=CB14),$AZ$1,IF(OR(Q14=AU14,Q14=AS14,Q14=AX14),$V$1,""))))</f>
        <v>2019 Nationals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17.5</v>
      </c>
      <c r="W14" s="61">
        <v>9.6</v>
      </c>
      <c r="X14" s="61">
        <v>3.9</v>
      </c>
      <c r="Y14" s="61">
        <v>14.51</v>
      </c>
      <c r="Z14" s="61">
        <v>0</v>
      </c>
      <c r="AA14" s="61">
        <v>12.1</v>
      </c>
      <c r="AB14" s="61">
        <v>8.1999999999999993</v>
      </c>
      <c r="AC14" s="61">
        <v>9.1</v>
      </c>
      <c r="AD14" s="61">
        <v>11.91</v>
      </c>
      <c r="AE14" s="61">
        <v>0</v>
      </c>
      <c r="AF14" s="61"/>
      <c r="AG14" s="61"/>
      <c r="AH14" s="61"/>
      <c r="AI14" s="61"/>
      <c r="AJ14" s="61"/>
      <c r="AK14" s="61">
        <v>14.9</v>
      </c>
      <c r="AL14" s="61">
        <v>9.1999999999999993</v>
      </c>
      <c r="AM14" s="61">
        <v>10.5</v>
      </c>
      <c r="AN14" s="61">
        <v>13.58</v>
      </c>
      <c r="AO14" s="61">
        <v>0</v>
      </c>
      <c r="AP14" s="72"/>
      <c r="AQ14" s="11">
        <f>IF(SUM(V14:Y14)-Z14&gt;0,SUM(V14:Y14)-Z14,"")</f>
        <v>45.51</v>
      </c>
      <c r="AR14" s="11">
        <f>IF(AC14&gt;0,AC14,"")</f>
        <v>9.1</v>
      </c>
      <c r="AS14" s="11">
        <f>IF(SUM(AA14:AD14)-AE14&gt;0,SUM(AA14:AD14)-AE14,"")</f>
        <v>41.31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86.82</v>
      </c>
      <c r="AW14" s="11">
        <f>IF(AM14&gt;0,AM14,"")</f>
        <v>10.5</v>
      </c>
      <c r="AX14" s="11">
        <f>IF(SUM(AK14:AN14)-AO14&gt;0,SUM(AK14:AN14)-AO14,"")</f>
        <v>48.18</v>
      </c>
      <c r="AY14" s="11">
        <f>IF(SUM(AV14,AX14)&gt;0,SUM(AV14,AX14),"")</f>
        <v>135</v>
      </c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73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0</v>
      </c>
      <c r="NQ14" s="61">
        <f>IF($CX14="P",CE14,(CE14+BA14)/2)</f>
        <v>0</v>
      </c>
      <c r="NR14" s="61">
        <f>IF($CX14="P",CF14,(CF14+BB14)/2)</f>
        <v>0</v>
      </c>
      <c r="NS14" s="61">
        <f>IF($CX14="P",CG14,(CG14+BC14)/2)</f>
        <v>0</v>
      </c>
      <c r="NT14" s="61">
        <f>IF($CX14="P",CH14,(CH14+BD14)/2)</f>
        <v>0</v>
      </c>
      <c r="NU14" s="61">
        <f>IF($CX14="P",CI14,(CI14+BE14)/2)</f>
        <v>0</v>
      </c>
      <c r="NV14" s="61">
        <f>IF($CX14="P",CJ14,(CJ14+BF14)/2)</f>
        <v>0</v>
      </c>
      <c r="NW14" s="61">
        <f>IF($CX14="P",CK14,(CK14+BG14)/2)</f>
        <v>0</v>
      </c>
      <c r="NX14" s="61">
        <f>IF($CX14="P",CL14,(CL14+BH14)/2)</f>
        <v>0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0</v>
      </c>
      <c r="OF14" s="61">
        <f>IF($CX14="P",CT14,(CT14+BP14)/2)</f>
        <v>0</v>
      </c>
      <c r="OG14" s="61">
        <f>IF($CX14="P",CU14,(CU14+BQ14)/2)</f>
        <v>0</v>
      </c>
      <c r="OH14" s="61">
        <f>IF($CX14="P",CV14,(CV14+BR14)/2)</f>
        <v>0</v>
      </c>
      <c r="OI14" s="61">
        <f>IF($CX14="P",CW14,(CW14+BS14)/2)</f>
        <v>0</v>
      </c>
      <c r="OJ14" s="72" t="s">
        <v>52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ref="OR14" si="10">IF(SUM(OE14:OH14)-OI14&gt;0,SUM(OE14:OH14)-OI14,"")</f>
        <v/>
      </c>
      <c r="OS14" s="11" t="str">
        <f t="shared" ref="OS14" si="11">IF(SUM(OP14,OR14)&gt;0,SUM(OP14,OR14),"")</f>
        <v/>
      </c>
    </row>
    <row r="15" spans="1:409" x14ac:dyDescent="0.2">
      <c r="A15" s="5" t="str" cm="1">
        <f t="array" ref="A15">IF(AND(G15&lt;&gt;"",H15&lt;&gt;""),SUMPRODUCT((G$4:G$23&lt;&gt;"")*(H$4:H$23&lt;&gt;"")*(E$4:E$23&gt;E15))+1,IF(H15&lt;&gt;"",SUMPRODUCT((I$4:I$23="No DD")*(E$4:E$23&gt;E15))+1+SUMPRODUCT((G$4:G$23&lt;&gt;"")*(H$4:H$23&lt;&gt;"")),""))</f>
        <v/>
      </c>
      <c r="B15" s="8" t="s">
        <v>147</v>
      </c>
      <c r="C15" s="4" t="s">
        <v>4</v>
      </c>
      <c r="D15" s="26">
        <v>2004</v>
      </c>
      <c r="E15" s="15">
        <f>SUM(O15:S15)</f>
        <v>88.03</v>
      </c>
      <c r="F15" s="3" t="str">
        <f>IF(G15&lt;&gt;"","P","")</f>
        <v/>
      </c>
      <c r="G15" s="115" t="str">
        <f>IF(OR(AND(AR15&gt;=AY$28,AR15&lt;&gt;"",AP15=""),AND(AT15&gt;=AY$28,AT15&lt;&gt;"",AP15=""),AND(AW15&gt;=AY$28,AW15&lt;&gt;"",AP15=""),AND(BV15&gt;=CC$28,BV15&lt;&gt;"",BT15=""),AND(BX15&gt;=CC$28,BX15&lt;&gt;"",BT15=""),AND(CA15&gt;=CC$28,CA15&lt;&gt;"",BT15=""),AND(CZ15&gt;=DG$28,CZ15&lt;&gt;"",CX15=""),AND(DB15&gt;=DG$28,DB15&lt;&gt;"",CX15=""),AND(DE15&gt;=DG$28,DE15&lt;&gt;"",CX15=""),AND(EA15&gt;=EG$28,EA15&lt;&gt;""),AND(EE15&gt;=EG$28,EE15&lt;&gt;""),AND(EW15&gt;=FC$28,EW15&lt;&gt;""),AND(FA15&gt;=FC$28,FA15&lt;&gt;""),AND(FS15&gt;=FY$28,FS15&lt;&gt;""),AND(FW15&gt;=FY$28,FW15&lt;&gt;""),AND(GO15&gt;=GU$28,GO15&lt;&gt;""),AND(GS15&gt;=GU$28,GS15&lt;&gt;""),AND(HK15&gt;=HQ$28,HK15&lt;&gt;""),AND(HO15&gt;=HQ$28,HO15&lt;&gt;""),AND(IG15&gt;=IM$28,IG15&lt;&gt;""),AND(IK15&gt;=IM$28,IK15&lt;&gt;""),AND(JC15&gt;=JI$28,JC15&lt;&gt;""),AND(JG15&gt;=JI$28,JG15&lt;&gt;""),AND(JY15&gt;=KE$28,JY15&lt;&gt;""),AND(KC15&gt;=KE$28,KC15&lt;&gt;""),AND(KU15&gt;=LA$28,KU15&lt;&gt;""),AND(KY15&gt;=LA$28,KY15&lt;&gt;""),AND(LQ15&gt;=LW$28,LQ15&lt;&gt;""),AND(LU15&gt;=LW$28,LU15&lt;&gt;""),AND(MM15&gt;=MS$28,MM15&lt;&gt;""),AND(MQ15&gt;=MS$28,MQ15&lt;&gt;""),AND(NI15&gt;=NO$28,NI15&lt;&gt;""),AND(NM15&gt;=NO$28,NM15&lt;&gt;"")),"Merit",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Excellence",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Worlds Team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National Team",""))))</f>
        <v/>
      </c>
      <c r="H15" s="115" t="str">
        <f>IF(OR(AND(AS15&gt;=AY$29,AS15&lt;&gt;"",AP15=""),AND(AU15&gt;=AY$29,AU15&lt;&gt;"",AP15=""),AND(AX15&gt;=AY$29,AX15&lt;&gt;"",AP15=""),AND(BW15&gt;=CC$29,BW15&lt;&gt;"",BT15=""),AND(BY15&gt;=CC$29,BY15&lt;&gt;"",BT15=""),AND(CB15&gt;=CC$29,CB15&lt;&gt;"",BT15=""),AND(DA15&gt;=DG$29,DA15&lt;&gt;"",CX15=""),AND(DC15&gt;=DG$29,DC15&lt;&gt;"",CX15=""),AND(DF15&gt;=DG$29,DF15&lt;&gt;"",CX15=""),AND(EC15&gt;=EG$29,EC15&lt;&gt;""),AND(EF15&gt;=EG$29,EF15&lt;&gt;""),AND(EY15&gt;=FC$29,EY15&lt;&gt;""),AND(FB15&gt;=FC$29,FB15&lt;&gt;""),AND(FU15&gt;=FY$29,FU15&lt;&gt;""),AND(FX15&gt;=FY$29,FX15&lt;&gt;""),AND(GQ15&gt;=GU$29,GQ15&lt;&gt;""),AND(GT15&gt;=GU$29,GT15&lt;&gt;""),AND(HM15&gt;=HQ$29,HM15&lt;&gt;""),AND(HP15&gt;=HQ$29,HP15&lt;&gt;""),AND(II15&gt;=IM$29,II15&lt;&gt;""),AND(IL15&gt;=IM$29,IL15&lt;&gt;""),AND(JE15&gt;=JI$29,JE15&lt;&gt;""),AND(JH15&gt;=JI$29,JH15&lt;&gt;""),AND(KA15&gt;=KE$29,KA15&lt;&gt;""),AND(KD15&gt;=KE$29,KD15&lt;&gt;""),AND(KW15&gt;=LA$29,KW15&lt;&gt;""),AND(KZ15&gt;=LA$29,KZ15&lt;&gt;""),AND(LS15&gt;=LW$29,LS15&lt;&gt;""),AND(LV15&gt;=LW$29,LV15&lt;&gt;""),AND(MO15&gt;=MS$29,MO15&lt;&gt;""),AND(MR15&gt;=MS$29,MR15&lt;&gt;""),AND(NK15&gt;=NO$29,NK15&lt;&gt;""),AND(NN15&gt;=NO$29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$30,AV15&lt;&gt;"",AP15=""),AND(BZ15&gt;=CC$30,BZ15&lt;&gt;"",BT15=""),AND(DD15&gt;=DG$30,DD15&lt;&gt;"",CX15=""),AND(ED15&gt;=EG$30,ED15&lt;&gt;""),AND(EZ15&gt;=FC$30,EZ15&lt;&gt;""),AND(FV15&gt;=FY$30,FV15&lt;&gt;""),AND(GR15&gt;=GU$30,GR15&lt;&gt;""),AND(HN15&gt;=HQ$30,HN15&lt;&gt;""),AND(IJ15&gt;=IM$30,IJ15&lt;&gt;""),AND(JF15&gt;=JI$30,JF15&lt;&gt;""),AND(KB15&gt;=KE$30,KB15&lt;&gt;""),AND(KX15&gt;=LA$30,KX15&lt;&gt;""),AND(LT15&gt;=LW$30,LT15&lt;&gt;""),AND(MP15&gt;=MS$30,MP15&lt;&gt;""),AND(NL15&gt;=NO$30,NL15&lt;&gt;"")),OR(G15="Worlds Team",G15="Excellence",G15="Merit")),"P","")</f>
        <v/>
      </c>
      <c r="K15" s="14">
        <f>IF(MAX(AV15,BZ15,DD15)&gt;0,MAX(AV15,BZ15,DD15),0)</f>
        <v>82.6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0</v>
      </c>
      <c r="N15" s="14" t="str">
        <f>IF(M15=0,"",IF(AND(M15=CY15,$L15&lt;&gt;$CD$1),$CD$1,IF(AND(M15=BU15,$L15&lt;&gt;$AZ$1),$AZ$1,IF(AND(M15=AQ15,$L15&lt;&gt;$V$1),$V$1,""))))</f>
        <v/>
      </c>
      <c r="O15" s="14">
        <f>MAX(AS15,AU15,AX15,BW15,BY15,CB15,DA15,DC15,DF15)</f>
        <v>46.1</v>
      </c>
      <c r="P15" s="14" t="str">
        <f>IF(O15=0,"",IF(OR(O15=DC15,O15=DA15,O15=DF15),$CD$1,IF(OR(O15=BY15,O15=BW15,O15=CB15),$AZ$1,IF(OR(O15=AU15,O15=AS15,O15=AX15),$V$1,""))))</f>
        <v>2021 2nd Virtual Technical Trial</v>
      </c>
      <c r="Q15" s="14">
        <f>IF(COUNT(AS15,AU15,AX15,BW15,BY15,CB15,DA15,DC15,DF15)&gt;1,LARGE((AS15,AU15,AX15,BW15,BY15,CB15,DA15,DC15,DF15),2),0)</f>
        <v>41.93</v>
      </c>
      <c r="R15" s="14" t="str">
        <f>IF(Q15=0,"",IF(OR(Q15=DC15,Q15=DA15,Q15=DF15),$CD$1,IF(OR(Q15=BY15,Q15=BW15,Q15=CB15),$AZ$1,IF(OR(Q15=AU15,Q15=AS15,Q15=AX15),$V$1,""))))</f>
        <v>2021 2nd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>IF(SUM(V15:Y15)-Z15&gt;0,SUM(V15:Y15)-Z15,"")</f>
        <v/>
      </c>
      <c r="AR15" s="11" t="str">
        <f>IF(AC15&gt;0,AC15,"")</f>
        <v/>
      </c>
      <c r="AS15" s="11" t="str">
        <f>IF(SUM(AA15:AD15)-AE15&gt;0,SUM(AA15:AD15)-AE15,"")</f>
        <v/>
      </c>
      <c r="AT15" s="11" t="str">
        <f>IF(AH15&gt;0,AH15,"")</f>
        <v/>
      </c>
      <c r="AU15" s="11" t="str">
        <f>IF(SUM(AF15:AI15)-AJ15&gt;0,SUM(AF15:AI15)-AJ15,"")</f>
        <v/>
      </c>
      <c r="AV15" s="11" t="str">
        <f>IF(AQ15="",IF(MAX(AS15,AU15)&gt;0,MAX(AS15,AU15),""),MAX(AS15,AU15)+AQ15)</f>
        <v/>
      </c>
      <c r="AW15" s="11" t="str">
        <f>IF(AM15&gt;0,AM15,"")</f>
        <v/>
      </c>
      <c r="AX15" s="11" t="str">
        <f>IF(SUM(AK15:AN15)-AO15&gt;0,SUM(AK15:AN15)-AO15,"")</f>
        <v/>
      </c>
      <c r="AY15" s="11" t="str">
        <f>IF(SUM(AV15,AX15)&gt;0,SUM(AV15,AX15),"")</f>
        <v/>
      </c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 t="str">
        <f>IF(SUM(AZ15:BC15)-BD15&gt;0,SUM(AZ15:BC15)-BD15,"")</f>
        <v/>
      </c>
      <c r="BV15" s="14" t="str">
        <f>IF(BG15&gt;0,BG15,"")</f>
        <v/>
      </c>
      <c r="BW15" s="14" t="str">
        <f>IF(SUM(BE15:BH15)-BI15&gt;0,SUM(BE15:BH15)-BI15,"")</f>
        <v/>
      </c>
      <c r="BX15" s="14" t="str">
        <f>IF(BL15&gt;0,BL15,"")</f>
        <v/>
      </c>
      <c r="BY15" s="14" t="str">
        <f>IF(SUM(BJ15:BM15)-BN15&gt;0,SUM(BJ15:BM15)-BN15,"")</f>
        <v/>
      </c>
      <c r="BZ15" s="14" t="str">
        <f>IF(BU15="",IF(MAX(BW15,BY15)&gt;0,MAX(BW15,BY15),""),MAX(BW15,BY15)+BU15)</f>
        <v/>
      </c>
      <c r="CA15" s="14" t="str">
        <f>IF(BQ15&gt;0,BQ15,"")</f>
        <v/>
      </c>
      <c r="CB15" s="14" t="str">
        <f>IF(SUM(BO15:BR15)-BS15&gt;0,SUM(BO15:BR15)-BS15,"")</f>
        <v/>
      </c>
      <c r="CC15" s="14" t="str">
        <f>IF(SUM(BZ15,CB15)&gt;0,SUM(BZ15,CB15),"")</f>
        <v/>
      </c>
      <c r="CD15" s="61">
        <v>15.1</v>
      </c>
      <c r="CE15" s="61">
        <v>9.6</v>
      </c>
      <c r="CF15" s="61">
        <v>2</v>
      </c>
      <c r="CG15" s="61">
        <v>13.97</v>
      </c>
      <c r="CH15" s="61">
        <v>0</v>
      </c>
      <c r="CI15" s="61">
        <v>10.199999999999999</v>
      </c>
      <c r="CJ15" s="61">
        <v>8.4</v>
      </c>
      <c r="CK15" s="61">
        <v>9.6999999999999993</v>
      </c>
      <c r="CL15" s="61">
        <v>13.63</v>
      </c>
      <c r="CM15" s="61">
        <v>0</v>
      </c>
      <c r="CN15" s="61"/>
      <c r="CO15" s="61"/>
      <c r="CP15" s="61"/>
      <c r="CQ15" s="61"/>
      <c r="CR15" s="61"/>
      <c r="CS15" s="61">
        <v>13.9</v>
      </c>
      <c r="CT15" s="61">
        <v>9.3000000000000007</v>
      </c>
      <c r="CU15" s="61">
        <v>9</v>
      </c>
      <c r="CV15" s="61">
        <v>13.9</v>
      </c>
      <c r="CW15" s="61">
        <v>0</v>
      </c>
      <c r="CX15" s="72"/>
      <c r="CY15" s="11">
        <f>IF(SUM(CD15:CG15)-CH15&gt;0,SUM(CD15:CG15)-CH15,"")</f>
        <v>40.67</v>
      </c>
      <c r="CZ15" s="11">
        <f>IF(CK15&gt;0,CK15,"")</f>
        <v>9.6999999999999993</v>
      </c>
      <c r="DA15" s="11">
        <f>IF(SUM(CI15:CL15)-CM15&gt;0,SUM(CI15:CL15)-CM15,"")</f>
        <v>41.93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82.6</v>
      </c>
      <c r="DE15" s="11">
        <f>IF(CU15&gt;0,CU15,"")</f>
        <v>9</v>
      </c>
      <c r="DF15" s="11">
        <f>IF(SUM(CS15:CV15)-CW15&gt;0,SUM(CS15:CV15)-CW15,"")</f>
        <v>46.1</v>
      </c>
      <c r="DG15" s="11">
        <f>IF(SUM(DD15,DF15)&gt;0,SUM(DD15,DF15),"")</f>
        <v>128.69999999999999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7.55</v>
      </c>
      <c r="NQ15" s="61">
        <f>IF($CX15="P",CE15,(CE15+BA15)/2)</f>
        <v>4.8</v>
      </c>
      <c r="NR15" s="61">
        <f>IF($CX15="P",CF15,(CF15+BB15)/2)</f>
        <v>1</v>
      </c>
      <c r="NS15" s="61">
        <f>IF($CX15="P",CG15,(CG15+BC15)/2)</f>
        <v>6.9850000000000003</v>
      </c>
      <c r="NT15" s="61">
        <f>IF($CX15="P",CH15,(CH15+BD15)/2)</f>
        <v>0</v>
      </c>
      <c r="NU15" s="61">
        <f>IF($CX15="P",CI15,(CI15+BE15)/2)</f>
        <v>5.0999999999999996</v>
      </c>
      <c r="NV15" s="61">
        <f>IF($CX15="P",CJ15,(CJ15+BF15)/2)</f>
        <v>4.2</v>
      </c>
      <c r="NW15" s="61">
        <f>IF($CX15="P",CK15,(CK15+BG15)/2)</f>
        <v>4.8499999999999996</v>
      </c>
      <c r="NX15" s="61">
        <f>IF($CX15="P",CL15,(CL15+BH15)/2)</f>
        <v>6.8150000000000004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6.95</v>
      </c>
      <c r="OF15" s="61">
        <f>IF($CX15="P",CT15,(CT15+BP15)/2)</f>
        <v>4.6500000000000004</v>
      </c>
      <c r="OG15" s="61">
        <f>IF($CX15="P",CU15,(CU15+BQ15)/2)</f>
        <v>4.5</v>
      </c>
      <c r="OH15" s="61">
        <f>IF($CX15="P",CV15,(CV15+BR15)/2)</f>
        <v>6.95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20.335000000000001</v>
      </c>
      <c r="OL15" s="11">
        <f>IF(NW15&gt;0,NW15,"")</f>
        <v>4.8499999999999996</v>
      </c>
      <c r="OM15" s="11">
        <f>IF(SUM(NU15:NX15)-NY15&gt;0,SUM(NU15:NX15)-NY15,"")</f>
        <v>20.965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41.3</v>
      </c>
      <c r="OQ15" s="11">
        <f>IF(OG15&gt;0,OG15,"")</f>
        <v>4.5</v>
      </c>
      <c r="OR15" s="11">
        <f t="shared" ref="OR15" si="12">IF(SUM(OE15:OH15)-OI15&gt;0,SUM(OE15:OH15)-OI15,"")</f>
        <v>23.05</v>
      </c>
      <c r="OS15" s="11">
        <f t="shared" ref="OS15" si="13">IF(SUM(OP15,OR15)&gt;0,SUM(OP15,OR15),"")</f>
        <v>64.349999999999994</v>
      </c>
    </row>
    <row r="16" spans="1:409" x14ac:dyDescent="0.2">
      <c r="A16" s="5" t="str" cm="1">
        <f t="array" ref="A16">IF(AND(G16&lt;&gt;"",H16&lt;&gt;""),SUMPRODUCT((G$4:G$23&lt;&gt;"")*(H$4:H$23&lt;&gt;"")*(E$4:E$23&gt;E16))+1,IF(H16&lt;&gt;"",SUMPRODUCT((I$4:I$23="No DD")*(E$4:E$23&gt;E16))+1+SUMPRODUCT((G$4:G$23&lt;&gt;"")*(H$4:H$23&lt;&gt;"")),""))</f>
        <v/>
      </c>
      <c r="B16" s="6" t="s">
        <v>89</v>
      </c>
      <c r="C16" s="7" t="s">
        <v>6</v>
      </c>
      <c r="D16" s="5">
        <v>2003</v>
      </c>
      <c r="E16" s="15">
        <f>SUM(O16:S16)</f>
        <v>84.59</v>
      </c>
      <c r="F16" s="3" t="str">
        <f>IF(G16&lt;&gt;"","P","")</f>
        <v/>
      </c>
      <c r="G16" s="115" t="str">
        <f>IF(OR(AND(AR16&gt;=AY$28,AR16&lt;&gt;"",AP16=""),AND(AT16&gt;=AY$28,AT16&lt;&gt;"",AP16=""),AND(AW16&gt;=AY$28,AW16&lt;&gt;"",AP16=""),AND(BV16&gt;=CC$28,BV16&lt;&gt;"",BT16=""),AND(BX16&gt;=CC$28,BX16&lt;&gt;"",BT16=""),AND(CA16&gt;=CC$28,CA16&lt;&gt;"",BT16=""),AND(CZ16&gt;=DG$28,CZ16&lt;&gt;"",CX16=""),AND(DB16&gt;=DG$28,DB16&lt;&gt;"",CX16=""),AND(DE16&gt;=DG$28,DE16&lt;&gt;"",CX16=""),AND(EA16&gt;=EG$28,EA16&lt;&gt;""),AND(EE16&gt;=EG$28,EE16&lt;&gt;""),AND(EW16&gt;=FC$28,EW16&lt;&gt;""),AND(FA16&gt;=FC$28,FA16&lt;&gt;""),AND(FS16&gt;=FY$28,FS16&lt;&gt;""),AND(FW16&gt;=FY$28,FW16&lt;&gt;""),AND(GO16&gt;=GU$28,GO16&lt;&gt;""),AND(GS16&gt;=GU$28,GS16&lt;&gt;""),AND(HK16&gt;=HQ$28,HK16&lt;&gt;""),AND(HO16&gt;=HQ$28,HO16&lt;&gt;""),AND(IG16&gt;=IM$28,IG16&lt;&gt;""),AND(IK16&gt;=IM$28,IK16&lt;&gt;""),AND(JC16&gt;=JI$28,JC16&lt;&gt;""),AND(JG16&gt;=JI$28,JG16&lt;&gt;""),AND(JY16&gt;=KE$28,JY16&lt;&gt;""),AND(KC16&gt;=KE$28,KC16&lt;&gt;""),AND(KU16&gt;=LA$28,KU16&lt;&gt;""),AND(KY16&gt;=LA$28,KY16&lt;&gt;""),AND(LQ16&gt;=LW$28,LQ16&lt;&gt;""),AND(LU16&gt;=LW$28,LU16&lt;&gt;""),AND(MM16&gt;=MS$28,MM16&lt;&gt;""),AND(MQ16&gt;=MS$28,MQ16&lt;&gt;""),AND(NI16&gt;=NO$28,NI16&lt;&gt;""),AND(NM16&gt;=NO$28,NM16&lt;&gt;"")),"Merit",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Excellence",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Worlds Team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National Team",""))))</f>
        <v/>
      </c>
      <c r="H16" s="115" t="str">
        <f>IF(OR(AND(AS16&gt;=AY$29,AS16&lt;&gt;"",AP16=""),AND(AU16&gt;=AY$29,AU16&lt;&gt;"",AP16=""),AND(AX16&gt;=AY$29,AX16&lt;&gt;"",AP16=""),AND(BW16&gt;=CC$29,BW16&lt;&gt;"",BT16=""),AND(BY16&gt;=CC$29,BY16&lt;&gt;"",BT16=""),AND(CB16&gt;=CC$29,CB16&lt;&gt;"",BT16=""),AND(DA16&gt;=DG$29,DA16&lt;&gt;"",CX16=""),AND(DC16&gt;=DG$29,DC16&lt;&gt;"",CX16=""),AND(DF16&gt;=DG$29,DF16&lt;&gt;"",CX16=""),AND(EC16&gt;=EG$29,EC16&lt;&gt;""),AND(EF16&gt;=EG$29,EF16&lt;&gt;""),AND(EY16&gt;=FC$29,EY16&lt;&gt;""),AND(FB16&gt;=FC$29,FB16&lt;&gt;""),AND(FU16&gt;=FY$29,FU16&lt;&gt;""),AND(FX16&gt;=FY$29,FX16&lt;&gt;""),AND(GQ16&gt;=GU$29,GQ16&lt;&gt;""),AND(GT16&gt;=GU$29,GT16&lt;&gt;""),AND(HM16&gt;=HQ$29,HM16&lt;&gt;""),AND(HP16&gt;=HQ$29,HP16&lt;&gt;""),AND(II16&gt;=IM$29,II16&lt;&gt;""),AND(IL16&gt;=IM$29,IL16&lt;&gt;""),AND(JE16&gt;=JI$29,JE16&lt;&gt;""),AND(JH16&gt;=JI$29,JH16&lt;&gt;""),AND(KA16&gt;=KE$29,KA16&lt;&gt;""),AND(KD16&gt;=KE$29,KD16&lt;&gt;""),AND(KW16&gt;=LA$29,KW16&lt;&gt;""),AND(KZ16&gt;=LA$29,KZ16&lt;&gt;""),AND(LS16&gt;=LW$29,LS16&lt;&gt;""),AND(LV16&gt;=LW$29,LV16&lt;&gt;""),AND(MO16&gt;=MS$29,MO16&lt;&gt;""),AND(MR16&gt;=MS$29,MR16&lt;&gt;""),AND(NK16&gt;=NO$29,NK16&lt;&gt;""),AND(NN16&gt;=NO$29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$30,AV16&lt;&gt;"",AP16=""),AND(BZ16&gt;=CC$30,BZ16&lt;&gt;"",BT16=""),AND(DD16&gt;=DG$30,DD16&lt;&gt;"",CX16=""),AND(ED16&gt;=EG$30,ED16&lt;&gt;""),AND(EZ16&gt;=FC$30,EZ16&lt;&gt;""),AND(FV16&gt;=FY$30,FV16&lt;&gt;""),AND(GR16&gt;=GU$30,GR16&lt;&gt;""),AND(HN16&gt;=HQ$30,HN16&lt;&gt;""),AND(IJ16&gt;=IM$30,IJ16&lt;&gt;""),AND(JF16&gt;=JI$30,JF16&lt;&gt;""),AND(KB16&gt;=KE$30,KB16&lt;&gt;""),AND(KX16&gt;=LA$30,KX16&lt;&gt;""),AND(LT16&gt;=LW$30,LT16&lt;&gt;""),AND(MP16&gt;=MS$30,MP16&lt;&gt;""),AND(NL16&gt;=NO$30,NL16&lt;&gt;"")),OR(G16="Worlds Team",G16="Excellence",G16="Merit")),"P","")</f>
        <v/>
      </c>
      <c r="K16" s="14">
        <f>IF(MAX(AV16,BZ16,DD16)&gt;0,MAX(AV16,BZ16,DD16),0)</f>
        <v>80.039999999999992</v>
      </c>
      <c r="L16" s="14" t="str">
        <f>IF(K16=0,"",IF(K16=DD16,$CD$1,IF(K16=BZ16,$AZ$1,IF(K16=AV16,$V$1,""))))</f>
        <v>2019 Nationals</v>
      </c>
      <c r="M16" s="14">
        <f>IF($K16=$AV16,MAX(BU16,CY16),IF($K16=$BZ16,MAX(AQ16,CY16),IF($K16=$DD16,MAX(AQ16,BU16),MAX(AQ16,BU16,CY16))))</f>
        <v>0</v>
      </c>
      <c r="N16" s="14" t="str">
        <f>IF(M16=0,"",IF(AND(M16=CY16,$L16&lt;&gt;$CD$1),$CD$1,IF(AND(M16=BU16,$L16&lt;&gt;$AZ$1),$AZ$1,IF(AND(M16=AQ16,$L16&lt;&gt;$V$1),$V$1,""))))</f>
        <v/>
      </c>
      <c r="O16" s="14">
        <f>MAX(AS16,AU16,AX16,BW16,BY16,CB16,DA16,DC16,DF16)</f>
        <v>47.215000000000003</v>
      </c>
      <c r="P16" s="14" t="str">
        <f>IF(O16=0,"",IF(OR(O16=DC16,O16=DA16,O16=DF16),$CD$1,IF(OR(O16=BY16,O16=BW16,O16=CB16),$AZ$1,IF(OR(O16=AU16,O16=AS16,O16=AX16),$V$1,""))))</f>
        <v>2019 Nationals</v>
      </c>
      <c r="Q16" s="14">
        <f>IF(COUNT(AS16,AU16,AX16,BW16,BY16,CB16,DA16,DC16,DF16)&gt;1,LARGE((AS16,AU16,AX16,BW16,BY16,CB16,DA16,DC16,DF16),2),0)</f>
        <v>37.375</v>
      </c>
      <c r="R16" s="14" t="str">
        <f>IF(Q16=0,"",IF(OR(Q16=DC16,Q16=DA16,Q16=DF16),$CD$1,IF(OR(Q16=BY16,Q16=BW16,Q16=CB16),$AZ$1,IF(OR(Q16=AU16,Q16=AS16,Q16=AX16),$V$1,""))))</f>
        <v>2019 Nationals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>
        <v>16.7</v>
      </c>
      <c r="W16" s="61">
        <v>8.8000000000000007</v>
      </c>
      <c r="X16" s="61">
        <v>2.2999999999999998</v>
      </c>
      <c r="Y16" s="61">
        <v>14.865</v>
      </c>
      <c r="Z16" s="61">
        <v>0</v>
      </c>
      <c r="AA16" s="61">
        <v>12</v>
      </c>
      <c r="AB16" s="61">
        <v>6.9</v>
      </c>
      <c r="AC16" s="61">
        <v>6.8</v>
      </c>
      <c r="AD16" s="61">
        <v>11.675000000000001</v>
      </c>
      <c r="AE16" s="61">
        <v>0</v>
      </c>
      <c r="AF16" s="61"/>
      <c r="AG16" s="61"/>
      <c r="AH16" s="61"/>
      <c r="AI16" s="61"/>
      <c r="AJ16" s="61"/>
      <c r="AK16" s="61">
        <v>15.5</v>
      </c>
      <c r="AL16" s="61">
        <v>9</v>
      </c>
      <c r="AM16" s="61">
        <v>8.6</v>
      </c>
      <c r="AN16" s="61">
        <v>15.015000000000001</v>
      </c>
      <c r="AO16" s="61">
        <v>0.9</v>
      </c>
      <c r="AP16" s="72"/>
      <c r="AQ16" s="11">
        <f>IF(SUM(V16:Y16)-Z16&gt;0,SUM(V16:Y16)-Z16,"")</f>
        <v>42.664999999999999</v>
      </c>
      <c r="AR16" s="11">
        <f>IF(AC16&gt;0,AC16,"")</f>
        <v>6.8</v>
      </c>
      <c r="AS16" s="11">
        <f>IF(SUM(AA16:AD16)-AE16&gt;0,SUM(AA16:AD16)-AE16,"")</f>
        <v>37.375</v>
      </c>
      <c r="AT16" s="11" t="str">
        <f>IF(AH16&gt;0,AH16,"")</f>
        <v/>
      </c>
      <c r="AU16" s="11" t="str">
        <f>IF(SUM(AF16:AI16)-AJ16&gt;0,SUM(AF16:AI16)-AJ16,"")</f>
        <v/>
      </c>
      <c r="AV16" s="11">
        <f>IF(AQ16="",IF(MAX(AS16,AU16)&gt;0,MAX(AS16,AU16),""),MAX(AS16,AU16)+AQ16)</f>
        <v>80.039999999999992</v>
      </c>
      <c r="AW16" s="11">
        <f>IF(AM16&gt;0,AM16,"")</f>
        <v>8.6</v>
      </c>
      <c r="AX16" s="11">
        <f>IF(SUM(AK16:AN16)-AO16&gt;0,SUM(AK16:AN16)-AO16,"")</f>
        <v>47.215000000000003</v>
      </c>
      <c r="AY16" s="11">
        <f>IF(SUM(AV16,AX16)&gt;0,SUM(AV16,AX16),"")</f>
        <v>127.255</v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>IF(SUM(AZ16:BC16)-BD16&gt;0,SUM(AZ16:BC16)-BD16,"")</f>
        <v/>
      </c>
      <c r="BV16" s="14" t="str">
        <f>IF(BG16&gt;0,BG16,"")</f>
        <v/>
      </c>
      <c r="BW16" s="14" t="str">
        <f>IF(SUM(BE16:BH16)-BI16&gt;0,SUM(BE16:BH16)-BI16,"")</f>
        <v/>
      </c>
      <c r="BX16" s="14" t="str">
        <f>IF(BL16&gt;0,BL16,"")</f>
        <v/>
      </c>
      <c r="BY16" s="14" t="str">
        <f>IF(SUM(BJ16:BM16)-BN16&gt;0,SUM(BJ16:BM16)-BN16,"")</f>
        <v/>
      </c>
      <c r="BZ16" s="14" t="str">
        <f>IF(BU16="",IF(MAX(BW16,BY16)&gt;0,MAX(BW16,BY16),""),MAX(BW16,BY16)+BU16)</f>
        <v/>
      </c>
      <c r="CA16" s="14" t="str">
        <f>IF(BQ16&gt;0,BQ16,"")</f>
        <v/>
      </c>
      <c r="CB16" s="14" t="str">
        <f>IF(SUM(BO16:BR16)-BS16&gt;0,SUM(BO16:BR16)-BS16,"")</f>
        <v/>
      </c>
      <c r="CC16" s="14" t="str">
        <f>IF(SUM(BZ16,CB16)&gt;0,SUM(BZ16,CB16),"")</f>
        <v/>
      </c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72"/>
      <c r="CY16" s="11" t="str">
        <f>IF(SUM(CD16:CG16)-CH16&gt;0,SUM(CD16:CG16)-CH16,"")</f>
        <v/>
      </c>
      <c r="CZ16" s="11" t="str">
        <f>IF(CK16&gt;0,CK16,"")</f>
        <v/>
      </c>
      <c r="DA16" s="11" t="str">
        <f>IF(SUM(CI16:CL16)-CM16&gt;0,SUM(CI16:CL16)-CM16,"")</f>
        <v/>
      </c>
      <c r="DB16" s="11" t="str">
        <f>IF(CP16&gt;0,CP16,"")</f>
        <v/>
      </c>
      <c r="DC16" s="11" t="str">
        <f>IF(SUM(CN16:CQ16)-CR16&gt;0,SUM(CN16:CQ16)-CR16,"")</f>
        <v/>
      </c>
      <c r="DD16" s="11" t="str">
        <f>IF(CY16="",IF(MAX(DA16,DC16)&gt;0,MAX(DA16,DC16),""),MAX(DA16,DC16)+CY16)</f>
        <v/>
      </c>
      <c r="DE16" s="11" t="str">
        <f>IF(CU16&gt;0,CU16,"")</f>
        <v/>
      </c>
      <c r="DF16" s="11" t="str">
        <f>IF(SUM(CS16:CV16)-CW16&gt;0,SUM(CS16:CV16)-CW16,"")</f>
        <v/>
      </c>
      <c r="DG16" s="11" t="str">
        <f>IF(SUM(DD16,DF16)&gt;0,SUM(DD16,DF16),"")</f>
        <v/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0</v>
      </c>
      <c r="NQ16" s="61">
        <f>IF($CX16="P",CE16,(CE16+BA16)/2)</f>
        <v>0</v>
      </c>
      <c r="NR16" s="61">
        <f>IF($CX16="P",CF16,(CF16+BB16)/2)</f>
        <v>0</v>
      </c>
      <c r="NS16" s="61">
        <f>IF($CX16="P",CG16,(CG16+BC16)/2)</f>
        <v>0</v>
      </c>
      <c r="NT16" s="61">
        <f>IF($CX16="P",CH16,(CH16+BD16)/2)</f>
        <v>0</v>
      </c>
      <c r="NU16" s="61">
        <f>IF($CX16="P",CI16,(CI16+BE16)/2)</f>
        <v>0</v>
      </c>
      <c r="NV16" s="61">
        <f>IF($CX16="P",CJ16,(CJ16+BF16)/2)</f>
        <v>0</v>
      </c>
      <c r="NW16" s="61">
        <f>IF($CX16="P",CK16,(CK16+BG16)/2)</f>
        <v>0</v>
      </c>
      <c r="NX16" s="61">
        <f>IF($CX16="P",CL16,(CL16+BH16)/2)</f>
        <v>0</v>
      </c>
      <c r="NY16" s="61">
        <f>IF($CX16="P",CM16,(CM16+BI16)/2)</f>
        <v>0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0</v>
      </c>
      <c r="OF16" s="61">
        <f>IF($CX16="P",CT16,(CT16+BP16)/2)</f>
        <v>0</v>
      </c>
      <c r="OG16" s="61">
        <f>IF($CX16="P",CU16,(CU16+BQ16)/2)</f>
        <v>0</v>
      </c>
      <c r="OH16" s="61">
        <f>IF($CX16="P",CV16,(CV16+BR16)/2)</f>
        <v>0</v>
      </c>
      <c r="OI16" s="61">
        <f>IF($CX16="P",CW16,(CW16+BS16)/2)</f>
        <v>0</v>
      </c>
      <c r="OJ16" s="72" t="s">
        <v>52</v>
      </c>
      <c r="OK16" s="11" t="str">
        <f>IF(SUM(NP16:NS16)-NT16&gt;0,SUM(NP16:NS16)-NT16,"")</f>
        <v/>
      </c>
      <c r="OL16" s="11" t="str">
        <f>IF(NW16&gt;0,NW16,"")</f>
        <v/>
      </c>
      <c r="OM16" s="11" t="str">
        <f>IF(SUM(NU16:NX16)-NY16&gt;0,SUM(NU16:NX16)-NY16,"")</f>
        <v/>
      </c>
      <c r="ON16" s="11" t="str">
        <f>IF(OB16&gt;0,OB16,"")</f>
        <v/>
      </c>
      <c r="OO16" s="11" t="str">
        <f>IF(SUM(NZ16:OC16)-OD16&gt;0,SUM(NZ16:OC16)-OD16,"")</f>
        <v/>
      </c>
      <c r="OP16" s="11" t="str">
        <f>IF(OR(OK16&lt;&gt;"",OM16&lt;&gt;"",OO16&lt;&gt;""),OK16+MAX(OM16,OO16),"")</f>
        <v/>
      </c>
      <c r="OQ16" s="11" t="str">
        <f>IF(OG16&gt;0,OG16,"")</f>
        <v/>
      </c>
      <c r="OR16" s="11" t="str">
        <f t="shared" ref="OR16" si="14">IF(SUM(OE16:OH16)-OI16&gt;0,SUM(OE16:OH16)-OI16,"")</f>
        <v/>
      </c>
      <c r="OS16" s="11" t="str">
        <f t="shared" ref="OS16" si="15">IF(SUM(OP16,OR16)&gt;0,SUM(OP16,OR16),"")</f>
        <v/>
      </c>
    </row>
    <row r="17" spans="1:409" x14ac:dyDescent="0.2">
      <c r="A17" s="5" t="str" cm="1">
        <f t="array" ref="A17">IF(AND(G17&lt;&gt;"",H17&lt;&gt;""),SUMPRODUCT((G$4:G$23&lt;&gt;"")*(H$4:H$23&lt;&gt;"")*(E$4:E$23&gt;E17))+1,IF(H17&lt;&gt;"",SUMPRODUCT((I$4:I$23="No DD")*(E$4:E$23&gt;E17))+1+SUMPRODUCT((G$4:G$23&lt;&gt;"")*(H$4:H$23&lt;&gt;"")),""))</f>
        <v/>
      </c>
      <c r="B17" s="8" t="s">
        <v>105</v>
      </c>
      <c r="C17" s="4" t="s">
        <v>4</v>
      </c>
      <c r="D17" s="26">
        <v>2004</v>
      </c>
      <c r="E17" s="15">
        <f>SUM(O17:S17)</f>
        <v>83.91</v>
      </c>
      <c r="F17" s="3" t="str">
        <f>IF(G17&lt;&gt;"","P","")</f>
        <v/>
      </c>
      <c r="G17" s="115" t="str">
        <f>IF(OR(AND(AR17&gt;=AY$28,AR17&lt;&gt;"",AP17=""),AND(AT17&gt;=AY$28,AT17&lt;&gt;"",AP17=""),AND(AW17&gt;=AY$28,AW17&lt;&gt;"",AP17=""),AND(BV17&gt;=CC$28,BV17&lt;&gt;"",BT17=""),AND(BX17&gt;=CC$28,BX17&lt;&gt;"",BT17=""),AND(CA17&gt;=CC$28,CA17&lt;&gt;"",BT17=""),AND(CZ17&gt;=DG$28,CZ17&lt;&gt;"",CX17=""),AND(DB17&gt;=DG$28,DB17&lt;&gt;"",CX17=""),AND(DE17&gt;=DG$28,DE17&lt;&gt;"",CX17=""),AND(EA17&gt;=EG$28,EA17&lt;&gt;""),AND(EE17&gt;=EG$28,EE17&lt;&gt;""),AND(EW17&gt;=FC$28,EW17&lt;&gt;""),AND(FA17&gt;=FC$28,FA17&lt;&gt;""),AND(FS17&gt;=FY$28,FS17&lt;&gt;""),AND(FW17&gt;=FY$28,FW17&lt;&gt;""),AND(GO17&gt;=GU$28,GO17&lt;&gt;""),AND(GS17&gt;=GU$28,GS17&lt;&gt;""),AND(HK17&gt;=HQ$28,HK17&lt;&gt;""),AND(HO17&gt;=HQ$28,HO17&lt;&gt;""),AND(IG17&gt;=IM$28,IG17&lt;&gt;""),AND(IK17&gt;=IM$28,IK17&lt;&gt;""),AND(JC17&gt;=JI$28,JC17&lt;&gt;""),AND(JG17&gt;=JI$28,JG17&lt;&gt;""),AND(JY17&gt;=KE$28,JY17&lt;&gt;""),AND(KC17&gt;=KE$28,KC17&lt;&gt;""),AND(KU17&gt;=LA$28,KU17&lt;&gt;""),AND(KY17&gt;=LA$28,KY17&lt;&gt;""),AND(LQ17&gt;=LW$28,LQ17&lt;&gt;""),AND(LU17&gt;=LW$28,LU17&lt;&gt;""),AND(MM17&gt;=MS$28,MM17&lt;&gt;""),AND(MQ17&gt;=MS$28,MQ17&lt;&gt;""),AND(NI17&gt;=NO$28,NI17&lt;&gt;""),AND(NM17&gt;=NO$28,NM17&lt;&gt;"")),"Merit",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Excellence",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Worlds Team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National Team",""))))</f>
        <v/>
      </c>
      <c r="H17" s="115" t="str">
        <f>IF(OR(AND(AS17&gt;=AY$29,AS17&lt;&gt;"",AP17=""),AND(AU17&gt;=AY$29,AU17&lt;&gt;"",AP17=""),AND(AX17&gt;=AY$29,AX17&lt;&gt;"",AP17=""),AND(BW17&gt;=CC$29,BW17&lt;&gt;"",BT17=""),AND(BY17&gt;=CC$29,BY17&lt;&gt;"",BT17=""),AND(CB17&gt;=CC$29,CB17&lt;&gt;"",BT17=""),AND(DA17&gt;=DG$29,DA17&lt;&gt;"",CX17=""),AND(DC17&gt;=DG$29,DC17&lt;&gt;"",CX17=""),AND(DF17&gt;=DG$29,DF17&lt;&gt;"",CX17=""),AND(EC17&gt;=EG$29,EC17&lt;&gt;""),AND(EF17&gt;=EG$29,EF17&lt;&gt;""),AND(EY17&gt;=FC$29,EY17&lt;&gt;""),AND(FB17&gt;=FC$29,FB17&lt;&gt;""),AND(FU17&gt;=FY$29,FU17&lt;&gt;""),AND(FX17&gt;=FY$29,FX17&lt;&gt;""),AND(GQ17&gt;=GU$29,GQ17&lt;&gt;""),AND(GT17&gt;=GU$29,GT17&lt;&gt;""),AND(HM17&gt;=HQ$29,HM17&lt;&gt;""),AND(HP17&gt;=HQ$29,HP17&lt;&gt;""),AND(II17&gt;=IM$29,II17&lt;&gt;""),AND(IL17&gt;=IM$29,IL17&lt;&gt;""),AND(JE17&gt;=JI$29,JE17&lt;&gt;""),AND(JH17&gt;=JI$29,JH17&lt;&gt;""),AND(KA17&gt;=KE$29,KA17&lt;&gt;""),AND(KD17&gt;=KE$29,KD17&lt;&gt;""),AND(KW17&gt;=LA$29,KW17&lt;&gt;""),AND(KZ17&gt;=LA$29,KZ17&lt;&gt;""),AND(LS17&gt;=LW$29,LS17&lt;&gt;""),AND(LV17&gt;=LW$29,LV17&lt;&gt;""),AND(MO17&gt;=MS$29,MO17&lt;&gt;""),AND(MR17&gt;=MS$29,MR17&lt;&gt;""),AND(NK17&gt;=NO$29,NK17&lt;&gt;""),AND(NN17&gt;=NO$29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$30,AV17&lt;&gt;"",AP17=""),AND(BZ17&gt;=CC$30,BZ17&lt;&gt;"",BT17=""),AND(DD17&gt;=DG$30,DD17&lt;&gt;"",CX17=""),AND(ED17&gt;=EG$30,ED17&lt;&gt;""),AND(EZ17&gt;=FC$30,EZ17&lt;&gt;""),AND(FV17&gt;=FY$30,FV17&lt;&gt;""),AND(GR17&gt;=GU$30,GR17&lt;&gt;""),AND(HN17&gt;=HQ$30,HN17&lt;&gt;""),AND(IJ17&gt;=IM$30,IJ17&lt;&gt;""),AND(JF17&gt;=JI$30,JF17&lt;&gt;""),AND(KB17&gt;=KE$30,KB17&lt;&gt;""),AND(KX17&gt;=LA$30,KX17&lt;&gt;""),AND(LT17&gt;=LW$30,LT17&lt;&gt;""),AND(MP17&gt;=MS$30,MP17&lt;&gt;""),AND(NL17&gt;=NO$30,NL17&lt;&gt;"")),OR(G17="Worlds Team",G17="Excellence",G17="Merit")),"P","")</f>
        <v/>
      </c>
      <c r="K17" s="14">
        <f>IF(MAX(AV17,BZ17,DD17)&gt;0,MAX(AV17,BZ17,DD17),0)</f>
        <v>79.615000000000009</v>
      </c>
      <c r="L17" s="14" t="str">
        <f>IF(K17=0,"",IF(K17=DD17,$CD$1,IF(K17=BZ17,$AZ$1,IF(K17=AV17,$V$1,""))))</f>
        <v>2021 2nd Virtual Technical Trial</v>
      </c>
      <c r="M17" s="14">
        <f>IF($K17=$AV17,MAX(BU17,CY17),IF($K17=$BZ17,MAX(AQ17,CY17),IF($K17=$DD17,MAX(AQ17,BU17),MAX(AQ17,BU17,CY17))))</f>
        <v>0</v>
      </c>
      <c r="N17" s="14" t="str">
        <f>IF(M17=0,"",IF(AND(M17=CY17,$L17&lt;&gt;$CD$1),$CD$1,IF(AND(M17=BU17,$L17&lt;&gt;$AZ$1),$AZ$1,IF(AND(M17=AQ17,$L17&lt;&gt;$V$1),$V$1,""))))</f>
        <v/>
      </c>
      <c r="O17" s="14">
        <f>MAX(AS17,AU17,AX17,BW17,BY17,CB17,DA17,DC17,DF17)</f>
        <v>43.605000000000004</v>
      </c>
      <c r="P17" s="14" t="str">
        <f>IF(O17=0,"",IF(OR(O17=DC17,O17=DA17,O17=DF17),$CD$1,IF(OR(O17=BY17,O17=BW17,O17=CB17),$AZ$1,IF(OR(O17=AU17,O17=AS17,O17=AX17),$V$1,""))))</f>
        <v>2021 2nd Virtual Technical Trial</v>
      </c>
      <c r="Q17" s="14">
        <f>IF(COUNT(AS17,AU17,AX17,BW17,BY17,CB17,DA17,DC17,DF17)&gt;1,LARGE((AS17,AU17,AX17,BW17,BY17,CB17,DA17,DC17,DF17),2),0)</f>
        <v>40.305</v>
      </c>
      <c r="R17" s="14" t="str">
        <f>IF(Q17=0,"",IF(OR(Q17=DC17,Q17=DA17,Q17=DF17),$CD$1,IF(OR(Q17=BY17,Q17=BW17,Q17=CB17),$AZ$1,IF(OR(Q17=AU17,Q17=AS17,Q17=AX17),$V$1,""))))</f>
        <v>2021 2nd Virtual Technical Trial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>IF(SUM(AZ17:BC17)-BD17&gt;0,SUM(AZ17:BC17)-BD17,"")</f>
        <v/>
      </c>
      <c r="BV17" s="14" t="str">
        <f>IF(BG17&gt;0,BG17,"")</f>
        <v/>
      </c>
      <c r="BW17" s="14" t="str">
        <f>IF(SUM(BE17:BH17)-BI17&gt;0,SUM(BE17:BH17)-BI17,"")</f>
        <v/>
      </c>
      <c r="BX17" s="14" t="str">
        <f>IF(BL17&gt;0,BL17,"")</f>
        <v/>
      </c>
      <c r="BY17" s="14" t="str">
        <f>IF(SUM(BJ17:BM17)-BN17&gt;0,SUM(BJ17:BM17)-BN17,"")</f>
        <v/>
      </c>
      <c r="BZ17" s="14" t="str">
        <f>IF(BU17="",IF(MAX(BW17,BY17)&gt;0,MAX(BW17,BY17),""),MAX(BW17,BY17)+BU17)</f>
        <v/>
      </c>
      <c r="CA17" s="14" t="str">
        <f>IF(BQ17&gt;0,BQ17,"")</f>
        <v/>
      </c>
      <c r="CB17" s="14" t="str">
        <f>IF(SUM(BO17:BR17)-BS17&gt;0,SUM(BO17:BR17)-BS17,"")</f>
        <v/>
      </c>
      <c r="CC17" s="14" t="str">
        <f>IF(SUM(BZ17,CB17)&gt;0,SUM(BZ17,CB17),"")</f>
        <v/>
      </c>
      <c r="CD17" s="61">
        <v>14.3</v>
      </c>
      <c r="CE17" s="61">
        <v>9.3000000000000007</v>
      </c>
      <c r="CF17" s="61">
        <v>2.2000000000000002</v>
      </c>
      <c r="CG17" s="61">
        <v>13.51</v>
      </c>
      <c r="CH17" s="61">
        <v>0</v>
      </c>
      <c r="CI17" s="61">
        <v>12.2</v>
      </c>
      <c r="CJ17" s="61">
        <v>8.6</v>
      </c>
      <c r="CK17" s="61">
        <v>7.8</v>
      </c>
      <c r="CL17" s="61">
        <v>11.705</v>
      </c>
      <c r="CM17" s="61">
        <v>0</v>
      </c>
      <c r="CN17" s="61"/>
      <c r="CO17" s="61"/>
      <c r="CP17" s="61"/>
      <c r="CQ17" s="61"/>
      <c r="CR17" s="61"/>
      <c r="CS17" s="61">
        <v>12.4</v>
      </c>
      <c r="CT17" s="61">
        <v>9.1999999999999993</v>
      </c>
      <c r="CU17" s="61">
        <v>9</v>
      </c>
      <c r="CV17" s="61">
        <v>13.005000000000001</v>
      </c>
      <c r="CW17" s="61">
        <v>0</v>
      </c>
      <c r="CX17" s="72"/>
      <c r="CY17" s="11">
        <f>IF(SUM(CD17:CG17)-CH17&gt;0,SUM(CD17:CG17)-CH17,"")</f>
        <v>39.31</v>
      </c>
      <c r="CZ17" s="11">
        <f>IF(CK17&gt;0,CK17,"")</f>
        <v>7.8</v>
      </c>
      <c r="DA17" s="11">
        <f>IF(SUM(CI17:CL17)-CM17&gt;0,SUM(CI17:CL17)-CM17,"")</f>
        <v>40.305</v>
      </c>
      <c r="DB17" s="11" t="str">
        <f>IF(CP17&gt;0,CP17,"")</f>
        <v/>
      </c>
      <c r="DC17" s="11" t="str">
        <f>IF(SUM(CN17:CQ17)-CR17&gt;0,SUM(CN17:CQ17)-CR17,"")</f>
        <v/>
      </c>
      <c r="DD17" s="11">
        <f>IF(CY17="",IF(MAX(DA17,DC17)&gt;0,MAX(DA17,DC17),""),MAX(DA17,DC17)+CY17)</f>
        <v>79.615000000000009</v>
      </c>
      <c r="DE17" s="11">
        <f>IF(CU17&gt;0,CU17,"")</f>
        <v>9</v>
      </c>
      <c r="DF17" s="11">
        <f>IF(SUM(CS17:CV17)-CW17&gt;0,SUM(CS17:CV17)-CW17,"")</f>
        <v>43.605000000000004</v>
      </c>
      <c r="DG17" s="11">
        <f>IF(SUM(DD17,DF17)&gt;0,SUM(DD17,DF17),"")</f>
        <v>123.22000000000001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7.15</v>
      </c>
      <c r="NQ17" s="61">
        <f>IF($CX17="P",CE17,(CE17+BA17)/2)</f>
        <v>4.6500000000000004</v>
      </c>
      <c r="NR17" s="61">
        <f>IF($CX17="P",CF17,(CF17+BB17)/2)</f>
        <v>1.1000000000000001</v>
      </c>
      <c r="NS17" s="61">
        <f>IF($CX17="P",CG17,(CG17+BC17)/2)</f>
        <v>6.7549999999999999</v>
      </c>
      <c r="NT17" s="61">
        <f>IF($CX17="P",CH17,(CH17+BD17)/2)</f>
        <v>0</v>
      </c>
      <c r="NU17" s="61">
        <f>IF($CX17="P",CI17,(CI17+BE17)/2)</f>
        <v>6.1</v>
      </c>
      <c r="NV17" s="61">
        <f>IF($CX17="P",CJ17,(CJ17+BF17)/2)</f>
        <v>4.3</v>
      </c>
      <c r="NW17" s="61">
        <f>IF($CX17="P",CK17,(CK17+BG17)/2)</f>
        <v>3.9</v>
      </c>
      <c r="NX17" s="61">
        <f>IF($CX17="P",CL17,(CL17+BH17)/2)</f>
        <v>5.8525</v>
      </c>
      <c r="NY17" s="61">
        <f>IF($CX17="P",CM17,(CM17+BI17)/2)</f>
        <v>0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6.2</v>
      </c>
      <c r="OF17" s="61">
        <f>IF($CX17="P",CT17,(CT17+BP17)/2)</f>
        <v>4.5999999999999996</v>
      </c>
      <c r="OG17" s="61">
        <f>IF($CX17="P",CU17,(CU17+BQ17)/2)</f>
        <v>4.5</v>
      </c>
      <c r="OH17" s="61">
        <f>IF($CX17="P",CV17,(CV17+BR17)/2)</f>
        <v>6.5025000000000004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19.655000000000001</v>
      </c>
      <c r="OL17" s="11">
        <f>IF(NW17&gt;0,NW17,"")</f>
        <v>3.9</v>
      </c>
      <c r="OM17" s="11">
        <f>IF(SUM(NU17:NX17)-NY17&gt;0,SUM(NU17:NX17)-NY17,"")</f>
        <v>20.1525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39.807500000000005</v>
      </c>
      <c r="OQ17" s="11">
        <f>IF(OG17&gt;0,OG17,"")</f>
        <v>4.5</v>
      </c>
      <c r="OR17" s="11">
        <f t="shared" ref="OR17" si="16">IF(SUM(OE17:OH17)-OI17&gt;0,SUM(OE17:OH17)-OI17,"")</f>
        <v>21.802500000000002</v>
      </c>
      <c r="OS17" s="11">
        <f t="shared" ref="OS17" si="17">IF(SUM(OP17,OR17)&gt;0,SUM(OP17,OR17),"")</f>
        <v>61.610000000000007</v>
      </c>
    </row>
    <row r="18" spans="1:409" x14ac:dyDescent="0.2">
      <c r="A18" s="5" t="str" cm="1">
        <f t="array" ref="A18">IF(AND(G18&lt;&gt;"",H18&lt;&gt;""),SUMPRODUCT((G$4:G$23&lt;&gt;"")*(H$4:H$23&lt;&gt;"")*(E$4:E$23&gt;E18))+1,IF(H18&lt;&gt;"",SUMPRODUCT((I$4:I$23="No DD")*(E$4:E$23&gt;E18))+1+SUMPRODUCT((G$4:G$23&lt;&gt;"")*(H$4:H$23&lt;&gt;"")),""))</f>
        <v/>
      </c>
      <c r="B18" s="8" t="s">
        <v>108</v>
      </c>
      <c r="C18" s="4" t="s">
        <v>107</v>
      </c>
      <c r="D18" s="26">
        <v>2003</v>
      </c>
      <c r="E18" s="15">
        <f>SUM(O18:S18)</f>
        <v>79.414999999999992</v>
      </c>
      <c r="F18" s="3" t="str">
        <f>IF(G18&lt;&gt;"","P","")</f>
        <v/>
      </c>
      <c r="G18" s="115" t="str">
        <f>IF(OR(AND(AR18&gt;=AY$28,AR18&lt;&gt;"",AP18=""),AND(AT18&gt;=AY$28,AT18&lt;&gt;"",AP18=""),AND(AW18&gt;=AY$28,AW18&lt;&gt;"",AP18=""),AND(BV18&gt;=CC$28,BV18&lt;&gt;"",BT18=""),AND(BX18&gt;=CC$28,BX18&lt;&gt;"",BT18=""),AND(CA18&gt;=CC$28,CA18&lt;&gt;"",BT18=""),AND(CZ18&gt;=DG$28,CZ18&lt;&gt;"",CX18=""),AND(DB18&gt;=DG$28,DB18&lt;&gt;"",CX18=""),AND(DE18&gt;=DG$28,DE18&lt;&gt;"",CX18=""),AND(EA18&gt;=EG$28,EA18&lt;&gt;""),AND(EE18&gt;=EG$28,EE18&lt;&gt;""),AND(EW18&gt;=FC$28,EW18&lt;&gt;""),AND(FA18&gt;=FC$28,FA18&lt;&gt;""),AND(FS18&gt;=FY$28,FS18&lt;&gt;""),AND(FW18&gt;=FY$28,FW18&lt;&gt;""),AND(GO18&gt;=GU$28,GO18&lt;&gt;""),AND(GS18&gt;=GU$28,GS18&lt;&gt;""),AND(HK18&gt;=HQ$28,HK18&lt;&gt;""),AND(HO18&gt;=HQ$28,HO18&lt;&gt;""),AND(IG18&gt;=IM$28,IG18&lt;&gt;""),AND(IK18&gt;=IM$28,IK18&lt;&gt;""),AND(JC18&gt;=JI$28,JC18&lt;&gt;""),AND(JG18&gt;=JI$28,JG18&lt;&gt;""),AND(JY18&gt;=KE$28,JY18&lt;&gt;""),AND(KC18&gt;=KE$28,KC18&lt;&gt;""),AND(KU18&gt;=LA$28,KU18&lt;&gt;""),AND(KY18&gt;=LA$28,KY18&lt;&gt;""),AND(LQ18&gt;=LW$28,LQ18&lt;&gt;""),AND(LU18&gt;=LW$28,LU18&lt;&gt;""),AND(MM18&gt;=MS$28,MM18&lt;&gt;""),AND(MQ18&gt;=MS$28,MQ18&lt;&gt;""),AND(NI18&gt;=NO$28,NI18&lt;&gt;""),AND(NM18&gt;=NO$28,NM18&lt;&gt;"")),"Merit",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Excellence",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Worlds Team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National Team",""))))</f>
        <v/>
      </c>
      <c r="H18" s="115" t="str">
        <f>IF(OR(AND(AS18&gt;=AY$29,AS18&lt;&gt;"",AP18=""),AND(AU18&gt;=AY$29,AU18&lt;&gt;"",AP18=""),AND(AX18&gt;=AY$29,AX18&lt;&gt;"",AP18=""),AND(BW18&gt;=CC$29,BW18&lt;&gt;"",BT18=""),AND(BY18&gt;=CC$29,BY18&lt;&gt;"",BT18=""),AND(CB18&gt;=CC$29,CB18&lt;&gt;"",BT18=""),AND(DA18&gt;=DG$29,DA18&lt;&gt;"",CX18=""),AND(DC18&gt;=DG$29,DC18&lt;&gt;"",CX18=""),AND(DF18&gt;=DG$29,DF18&lt;&gt;"",CX18=""),AND(EC18&gt;=EG$29,EC18&lt;&gt;""),AND(EF18&gt;=EG$29,EF18&lt;&gt;""),AND(EY18&gt;=FC$29,EY18&lt;&gt;""),AND(FB18&gt;=FC$29,FB18&lt;&gt;""),AND(FU18&gt;=FY$29,FU18&lt;&gt;""),AND(FX18&gt;=FY$29,FX18&lt;&gt;""),AND(GQ18&gt;=GU$29,GQ18&lt;&gt;""),AND(GT18&gt;=GU$29,GT18&lt;&gt;""),AND(HM18&gt;=HQ$29,HM18&lt;&gt;""),AND(HP18&gt;=HQ$29,HP18&lt;&gt;""),AND(II18&gt;=IM$29,II18&lt;&gt;""),AND(IL18&gt;=IM$29,IL18&lt;&gt;""),AND(JE18&gt;=JI$29,JE18&lt;&gt;""),AND(JH18&gt;=JI$29,JH18&lt;&gt;""),AND(KA18&gt;=KE$29,KA18&lt;&gt;""),AND(KD18&gt;=KE$29,KD18&lt;&gt;""),AND(KW18&gt;=LA$29,KW18&lt;&gt;""),AND(KZ18&gt;=LA$29,KZ18&lt;&gt;""),AND(LS18&gt;=LW$29,LS18&lt;&gt;""),AND(LV18&gt;=LW$29,LV18&lt;&gt;""),AND(MO18&gt;=MS$29,MO18&lt;&gt;""),AND(MR18&gt;=MS$29,MR18&lt;&gt;""),AND(NK18&gt;=NO$29,NK18&lt;&gt;""),AND(NN18&gt;=NO$29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$30,AV18&lt;&gt;"",AP18=""),AND(BZ18&gt;=CC$30,BZ18&lt;&gt;"",BT18=""),AND(DD18&gt;=DG$30,DD18&lt;&gt;"",CX18=""),AND(ED18&gt;=EG$30,ED18&lt;&gt;""),AND(EZ18&gt;=FC$30,EZ18&lt;&gt;""),AND(FV18&gt;=FY$30,FV18&lt;&gt;""),AND(GR18&gt;=GU$30,GR18&lt;&gt;""),AND(HN18&gt;=HQ$30,HN18&lt;&gt;""),AND(IJ18&gt;=IM$30,IJ18&lt;&gt;""),AND(JF18&gt;=JI$30,JF18&lt;&gt;""),AND(KB18&gt;=KE$30,KB18&lt;&gt;""),AND(KX18&gt;=LA$30,KX18&lt;&gt;""),AND(LT18&gt;=LW$30,LT18&lt;&gt;""),AND(MP18&gt;=MS$30,MP18&lt;&gt;""),AND(NL18&gt;=NO$30,NL18&lt;&gt;"")),OR(G18="Worlds Team",G18="Excellence",G18="Merit")),"P","")</f>
        <v/>
      </c>
      <c r="K18" s="14">
        <f>IF(MAX(AV18,BZ18,DD18)&gt;0,MAX(AV18,BZ18,DD18),0)</f>
        <v>67.995000000000005</v>
      </c>
      <c r="L18" s="14" t="str">
        <f>IF(K18=0,"",IF(K18=DD18,$CD$1,IF(K18=BZ18,$AZ$1,IF(K18=AV18,$V$1,""))))</f>
        <v>2019 Nationals</v>
      </c>
      <c r="M18" s="14">
        <f>IF($K18=$AV18,MAX(BU18,CY18),IF($K18=$BZ18,MAX(AQ18,CY18),IF($K18=$DD18,MAX(AQ18,BU18),MAX(AQ18,BU18,CY18))))</f>
        <v>40.395000000000003</v>
      </c>
      <c r="N18" s="14" t="str">
        <f>IF(M18=0,"",IF(AND(M18=CY18,$L18&lt;&gt;$CD$1),$CD$1,IF(AND(M18=BU18,$L18&lt;&gt;$AZ$1),$AZ$1,IF(AND(M18=AQ18,$L18&lt;&gt;$V$1),$V$1,""))))</f>
        <v>2021 2nd Virtual Technical Trial</v>
      </c>
      <c r="O18" s="14">
        <f>MAX(AS18,AU18,AX18,BW18,BY18,CB18,DA18,DC18,DF18)</f>
        <v>47.294999999999995</v>
      </c>
      <c r="P18" s="14" t="str">
        <f>IF(O18=0,"",IF(OR(O18=DC18,O18=DA18,O18=DF18),$CD$1,IF(OR(O18=BY18,O18=BW18,O18=CB18),$AZ$1,IF(OR(O18=AU18,O18=AS18,O18=AX18),$V$1,""))))</f>
        <v>2021 1st Virtual Technical Trial</v>
      </c>
      <c r="Q18" s="14">
        <f>IF(COUNT(AS18,AU18,AX18,BW18,BY18,CB18,DA18,DC18,DF18)&gt;1,LARGE((AS18,AU18,AX18,BW18,BY18,CB18,DA18,DC18,DF18),2),0)</f>
        <v>32.119999999999997</v>
      </c>
      <c r="R18" s="14" t="str">
        <f>IF(Q18=0,"",IF(OR(Q18=DC18,Q18=DA18,Q18=DF18),$CD$1,IF(OR(Q18=BY18,Q18=BW18,Q18=CB18),$AZ$1,IF(OR(Q18=AU18,Q18=AS18,Q18=AX18),$V$1,""))))</f>
        <v>2019 Nationals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>
        <v>14.3</v>
      </c>
      <c r="W18" s="61">
        <v>8.4</v>
      </c>
      <c r="X18" s="61">
        <v>0.8</v>
      </c>
      <c r="Y18" s="61">
        <v>12.375</v>
      </c>
      <c r="Z18" s="61">
        <v>0</v>
      </c>
      <c r="AA18" s="61">
        <v>10.1</v>
      </c>
      <c r="AB18" s="61">
        <v>6.1</v>
      </c>
      <c r="AC18" s="61">
        <v>6.8</v>
      </c>
      <c r="AD18" s="61">
        <v>9.1199999999999992</v>
      </c>
      <c r="AE18" s="61">
        <v>0</v>
      </c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>
        <f>IF(SUM(V18:Y18)-Z18&gt;0,SUM(V18:Y18)-Z18,"")</f>
        <v>35.875</v>
      </c>
      <c r="AR18" s="11">
        <f>IF(AC18&gt;0,AC18,"")</f>
        <v>6.8</v>
      </c>
      <c r="AS18" s="11">
        <f>IF(SUM(AA18:AD18)-AE18&gt;0,SUM(AA18:AD18)-AE18,"")</f>
        <v>32.119999999999997</v>
      </c>
      <c r="AT18" s="11" t="str">
        <f>IF(AH18&gt;0,AH18,"")</f>
        <v/>
      </c>
      <c r="AU18" s="11" t="str">
        <f>IF(SUM(AF18:AI18)-AJ18&gt;0,SUM(AF18:AI18)-AJ18,"")</f>
        <v/>
      </c>
      <c r="AV18" s="11">
        <f>IF(AQ18="",IF(MAX(AS18,AU18)&gt;0,MAX(AS18,AU18),""),MAX(AS18,AU18)+AQ18)</f>
        <v>67.995000000000005</v>
      </c>
      <c r="AW18" s="11" t="str">
        <f>IF(AM18&gt;0,AM18,"")</f>
        <v/>
      </c>
      <c r="AX18" s="11" t="str">
        <f>IF(SUM(AK18:AN18)-AO18&gt;0,SUM(AK18:AN18)-AO18,"")</f>
        <v/>
      </c>
      <c r="AY18" s="11">
        <f>IF(SUM(AV18,AX18)&gt;0,SUM(AV18,AX18),"")</f>
        <v>67.995000000000005</v>
      </c>
      <c r="AZ18" s="67">
        <v>15.3</v>
      </c>
      <c r="BA18" s="67">
        <v>9.5</v>
      </c>
      <c r="BB18" s="67">
        <v>1.5</v>
      </c>
      <c r="BC18" s="67">
        <v>13.76</v>
      </c>
      <c r="BD18" s="67">
        <v>0</v>
      </c>
      <c r="BE18" s="67">
        <v>4.8</v>
      </c>
      <c r="BF18" s="67">
        <v>2.95</v>
      </c>
      <c r="BG18" s="67">
        <v>2.5</v>
      </c>
      <c r="BH18" s="67">
        <v>4.3600000000000003</v>
      </c>
      <c r="BI18" s="67">
        <v>0</v>
      </c>
      <c r="BJ18" s="67"/>
      <c r="BK18" s="67"/>
      <c r="BL18" s="67"/>
      <c r="BM18" s="67"/>
      <c r="BN18" s="67"/>
      <c r="BO18" s="67">
        <v>14.5</v>
      </c>
      <c r="BP18" s="67">
        <v>9.4</v>
      </c>
      <c r="BQ18" s="67">
        <v>9.4</v>
      </c>
      <c r="BR18" s="67">
        <v>13.994999999999999</v>
      </c>
      <c r="BS18" s="67">
        <v>0</v>
      </c>
      <c r="BT18" s="73"/>
      <c r="BU18" s="14">
        <f>IF(SUM(AZ18:BC18)-BD18&gt;0,SUM(AZ18:BC18)-BD18,"")</f>
        <v>40.06</v>
      </c>
      <c r="BV18" s="14">
        <f>IF(BG18&gt;0,BG18,"")</f>
        <v>2.5</v>
      </c>
      <c r="BW18" s="14">
        <f>IF(SUM(BE18:BH18)-BI18&gt;0,SUM(BE18:BH18)-BI18,"")</f>
        <v>14.61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54.67</v>
      </c>
      <c r="CA18" s="14">
        <f>IF(BQ18&gt;0,BQ18,"")</f>
        <v>9.4</v>
      </c>
      <c r="CB18" s="14">
        <f>IF(SUM(BO18:BR18)-BS18&gt;0,SUM(BO18:BR18)-BS18,"")</f>
        <v>47.294999999999995</v>
      </c>
      <c r="CC18" s="14">
        <f>IF(SUM(BZ18,CB18)&gt;0,SUM(BZ18,CB18),"")</f>
        <v>101.965</v>
      </c>
      <c r="CD18" s="61">
        <v>15.4</v>
      </c>
      <c r="CE18" s="61">
        <v>9.6999999999999993</v>
      </c>
      <c r="CF18" s="61">
        <v>1.5</v>
      </c>
      <c r="CG18" s="61">
        <v>13.795</v>
      </c>
      <c r="CH18" s="61">
        <v>0</v>
      </c>
      <c r="CI18" s="61">
        <v>7.1</v>
      </c>
      <c r="CJ18" s="61">
        <v>4.5</v>
      </c>
      <c r="CK18" s="61">
        <v>3.6</v>
      </c>
      <c r="CL18" s="61">
        <v>6.8949999999999996</v>
      </c>
      <c r="CM18" s="61">
        <v>0</v>
      </c>
      <c r="CN18" s="61"/>
      <c r="CO18" s="61"/>
      <c r="CP18" s="61"/>
      <c r="CQ18" s="61"/>
      <c r="CR18" s="61"/>
      <c r="CS18" s="61">
        <v>8.3000000000000007</v>
      </c>
      <c r="CT18" s="61">
        <v>5.6</v>
      </c>
      <c r="CU18" s="61">
        <v>5.3</v>
      </c>
      <c r="CV18" s="61">
        <v>8.26</v>
      </c>
      <c r="CW18" s="61">
        <v>0</v>
      </c>
      <c r="CX18" s="72"/>
      <c r="CY18" s="11">
        <f>IF(SUM(CD18:CG18)-CH18&gt;0,SUM(CD18:CG18)-CH18,"")</f>
        <v>40.395000000000003</v>
      </c>
      <c r="CZ18" s="11">
        <f>IF(CK18&gt;0,CK18,"")</f>
        <v>3.6</v>
      </c>
      <c r="DA18" s="11">
        <f>IF(SUM(CI18:CL18)-CM18&gt;0,SUM(CI18:CL18)-CM18,"")</f>
        <v>22.094999999999999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62.49</v>
      </c>
      <c r="DE18" s="11">
        <f>IF(CU18&gt;0,CU18,"")</f>
        <v>5.3</v>
      </c>
      <c r="DF18" s="11">
        <f>IF(SUM(CS18:CV18)-CW18&gt;0,SUM(CS18:CV18)-CW18,"")</f>
        <v>27.46</v>
      </c>
      <c r="DG18" s="11">
        <f>IF(SUM(DD18,DF18)&gt;0,SUM(DD18,DF18),"")</f>
        <v>89.95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15.350000000000001</v>
      </c>
      <c r="NQ18" s="61">
        <f>IF($CX18="P",CE18,(CE18+BA18)/2)</f>
        <v>9.6</v>
      </c>
      <c r="NR18" s="61">
        <f>IF($CX18="P",CF18,(CF18+BB18)/2)</f>
        <v>1.5</v>
      </c>
      <c r="NS18" s="61">
        <f>IF($CX18="P",CG18,(CG18+BC18)/2)</f>
        <v>13.7775</v>
      </c>
      <c r="NT18" s="61">
        <f>IF($CX18="P",CH18,(CH18+BD18)/2)</f>
        <v>0</v>
      </c>
      <c r="NU18" s="61">
        <f>IF($CX18="P",CI18,(CI18+BE18)/2)</f>
        <v>5.9499999999999993</v>
      </c>
      <c r="NV18" s="61">
        <f>IF($CX18="P",CJ18,(CJ18+BF18)/2)</f>
        <v>3.7250000000000001</v>
      </c>
      <c r="NW18" s="61">
        <f>IF($CX18="P",CK18,(CK18+BG18)/2)</f>
        <v>3.05</v>
      </c>
      <c r="NX18" s="61">
        <f>IF($CX18="P",CL18,(CL18+BH18)/2)</f>
        <v>5.6274999999999995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11.4</v>
      </c>
      <c r="OF18" s="61">
        <f>IF($CX18="P",CT18,(CT18+BP18)/2)</f>
        <v>7.5</v>
      </c>
      <c r="OG18" s="61">
        <f>IF($CX18="P",CU18,(CU18+BQ18)/2)</f>
        <v>7.35</v>
      </c>
      <c r="OH18" s="61">
        <f>IF($CX18="P",CV18,(CV18+BR18)/2)</f>
        <v>11.1275</v>
      </c>
      <c r="OI18" s="61">
        <f>IF($CX18="P",CW18,(CW18+BS18)/2)</f>
        <v>0</v>
      </c>
      <c r="OJ18" s="72" t="s">
        <v>52</v>
      </c>
      <c r="OK18" s="11">
        <f>IF(SUM(NP18:NS18)-NT18&gt;0,SUM(NP18:NS18)-NT18,"")</f>
        <v>40.227500000000006</v>
      </c>
      <c r="OL18" s="11">
        <f>IF(NW18&gt;0,NW18,"")</f>
        <v>3.05</v>
      </c>
      <c r="OM18" s="11">
        <f>IF(SUM(NU18:NX18)-NY18&gt;0,SUM(NU18:NX18)-NY18,"")</f>
        <v>18.352499999999999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58.580000000000005</v>
      </c>
      <c r="OQ18" s="11">
        <f>IF(OG18&gt;0,OG18,"")</f>
        <v>7.35</v>
      </c>
      <c r="OR18" s="11">
        <f t="shared" ref="OR18" si="18">IF(SUM(OE18:OH18)-OI18&gt;0,SUM(OE18:OH18)-OI18,"")</f>
        <v>37.377499999999998</v>
      </c>
      <c r="OS18" s="11">
        <f t="shared" ref="OS18" si="19">IF(SUM(OP18,OR18)&gt;0,SUM(OP18,OR18),"")</f>
        <v>95.95750000000001</v>
      </c>
    </row>
    <row r="19" spans="1:409" x14ac:dyDescent="0.2">
      <c r="A19" s="5" t="str" cm="1">
        <f t="array" ref="A19">IF(AND(G19&lt;&gt;"",H19&lt;&gt;""),SUMPRODUCT((G$4:G$23&lt;&gt;"")*(H$4:H$23&lt;&gt;"")*(E$4:E$23&gt;E19))+1,IF(H19&lt;&gt;"",SUMPRODUCT((I$4:I$23="No DD")*(E$4:E$23&gt;E19))+1+SUMPRODUCT((G$4:G$23&lt;&gt;"")*(H$4:H$23&lt;&gt;"")),""))</f>
        <v/>
      </c>
      <c r="B19" s="8" t="s">
        <v>148</v>
      </c>
      <c r="C19" s="4" t="s">
        <v>6</v>
      </c>
      <c r="D19" s="26">
        <v>2004</v>
      </c>
      <c r="E19" s="15">
        <f>SUM(O19:S19)</f>
        <v>61.519999999999996</v>
      </c>
      <c r="F19" s="3" t="str">
        <f>IF(G19&lt;&gt;"","P","")</f>
        <v/>
      </c>
      <c r="G19" s="115" t="str">
        <f>IF(OR(AND(AR19&gt;=AY$28,AR19&lt;&gt;"",AP19=""),AND(AT19&gt;=AY$28,AT19&lt;&gt;"",AP19=""),AND(AW19&gt;=AY$28,AW19&lt;&gt;"",AP19=""),AND(BV19&gt;=CC$28,BV19&lt;&gt;"",BT19=""),AND(BX19&gt;=CC$28,BX19&lt;&gt;"",BT19=""),AND(CA19&gt;=CC$28,CA19&lt;&gt;"",BT19=""),AND(CZ19&gt;=DG$28,CZ19&lt;&gt;"",CX19=""),AND(DB19&gt;=DG$28,DB19&lt;&gt;"",CX19=""),AND(DE19&gt;=DG$28,DE19&lt;&gt;"",CX19=""),AND(EA19&gt;=EG$28,EA19&lt;&gt;""),AND(EE19&gt;=EG$28,EE19&lt;&gt;""),AND(EW19&gt;=FC$28,EW19&lt;&gt;""),AND(FA19&gt;=FC$28,FA19&lt;&gt;""),AND(FS19&gt;=FY$28,FS19&lt;&gt;""),AND(FW19&gt;=FY$28,FW19&lt;&gt;""),AND(GO19&gt;=GU$28,GO19&lt;&gt;""),AND(GS19&gt;=GU$28,GS19&lt;&gt;""),AND(HK19&gt;=HQ$28,HK19&lt;&gt;""),AND(HO19&gt;=HQ$28,HO19&lt;&gt;""),AND(IG19&gt;=IM$28,IG19&lt;&gt;""),AND(IK19&gt;=IM$28,IK19&lt;&gt;""),AND(JC19&gt;=JI$28,JC19&lt;&gt;""),AND(JG19&gt;=JI$28,JG19&lt;&gt;""),AND(JY19&gt;=KE$28,JY19&lt;&gt;""),AND(KC19&gt;=KE$28,KC19&lt;&gt;""),AND(KU19&gt;=LA$28,KU19&lt;&gt;""),AND(KY19&gt;=LA$28,KY19&lt;&gt;""),AND(LQ19&gt;=LW$28,LQ19&lt;&gt;""),AND(LU19&gt;=LW$28,LU19&lt;&gt;""),AND(MM19&gt;=MS$28,MM19&lt;&gt;""),AND(MQ19&gt;=MS$28,MQ19&lt;&gt;""),AND(NI19&gt;=NO$28,NI19&lt;&gt;""),AND(NM19&gt;=NO$28,NM19&lt;&gt;"")),"Merit",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Excellence",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Worlds Team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National Team",""))))</f>
        <v/>
      </c>
      <c r="H19" s="115" t="str">
        <f>IF(OR(AND(AS19&gt;=AY$29,AS19&lt;&gt;"",AP19=""),AND(AU19&gt;=AY$29,AU19&lt;&gt;"",AP19=""),AND(AX19&gt;=AY$29,AX19&lt;&gt;"",AP19=""),AND(BW19&gt;=CC$29,BW19&lt;&gt;"",BT19=""),AND(BY19&gt;=CC$29,BY19&lt;&gt;"",BT19=""),AND(CB19&gt;=CC$29,CB19&lt;&gt;"",BT19=""),AND(DA19&gt;=DG$29,DA19&lt;&gt;"",CX19=""),AND(DC19&gt;=DG$29,DC19&lt;&gt;"",CX19=""),AND(DF19&gt;=DG$29,DF19&lt;&gt;"",CX19=""),AND(EC19&gt;=EG$29,EC19&lt;&gt;""),AND(EF19&gt;=EG$29,EF19&lt;&gt;""),AND(EY19&gt;=FC$29,EY19&lt;&gt;""),AND(FB19&gt;=FC$29,FB19&lt;&gt;""),AND(FU19&gt;=FY$29,FU19&lt;&gt;""),AND(FX19&gt;=FY$29,FX19&lt;&gt;""),AND(GQ19&gt;=GU$29,GQ19&lt;&gt;""),AND(GT19&gt;=GU$29,GT19&lt;&gt;""),AND(HM19&gt;=HQ$29,HM19&lt;&gt;""),AND(HP19&gt;=HQ$29,HP19&lt;&gt;""),AND(II19&gt;=IM$29,II19&lt;&gt;""),AND(IL19&gt;=IM$29,IL19&lt;&gt;""),AND(JE19&gt;=JI$29,JE19&lt;&gt;""),AND(JH19&gt;=JI$29,JH19&lt;&gt;""),AND(KA19&gt;=KE$29,KA19&lt;&gt;""),AND(KD19&gt;=KE$29,KD19&lt;&gt;""),AND(KW19&gt;=LA$29,KW19&lt;&gt;""),AND(KZ19&gt;=LA$29,KZ19&lt;&gt;""),AND(LS19&gt;=LW$29,LS19&lt;&gt;""),AND(LV19&gt;=LW$29,LV19&lt;&gt;""),AND(MO19&gt;=MS$29,MO19&lt;&gt;""),AND(MR19&gt;=MS$29,MR19&lt;&gt;""),AND(NK19&gt;=NO$29,NK19&lt;&gt;""),AND(NN19&gt;=NO$29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$30,AV19&lt;&gt;"",AP19=""),AND(BZ19&gt;=CC$30,BZ19&lt;&gt;"",BT19=""),AND(DD19&gt;=DG$30,DD19&lt;&gt;"",CX19=""),AND(ED19&gt;=EG$30,ED19&lt;&gt;""),AND(EZ19&gt;=FC$30,EZ19&lt;&gt;""),AND(FV19&gt;=FY$30,FV19&lt;&gt;""),AND(GR19&gt;=GU$30,GR19&lt;&gt;""),AND(HN19&gt;=HQ$30,HN19&lt;&gt;""),AND(IJ19&gt;=IM$30,IJ19&lt;&gt;""),AND(JF19&gt;=JI$30,JF19&lt;&gt;""),AND(KB19&gt;=KE$30,KB19&lt;&gt;""),AND(KX19&gt;=LA$30,KX19&lt;&gt;""),AND(LT19&gt;=LW$30,LT19&lt;&gt;""),AND(MP19&gt;=MS$30,MP19&lt;&gt;""),AND(NL19&gt;=NO$30,NL19&lt;&gt;"")),OR(G19="Worlds Team",G19="Excellence",G19="Merit")),"P","")</f>
        <v/>
      </c>
      <c r="K19" s="14">
        <f>IF(MAX(AV19,BZ19,DD19)&gt;0,MAX(AV19,BZ19,DD19),0)</f>
        <v>88.289999999999992</v>
      </c>
      <c r="L19" s="14" t="str">
        <f>IF(K19=0,"",IF(K19=DD19,$CD$1,IF(K19=BZ19,$AZ$1,IF(K19=AV19,$V$1,""))))</f>
        <v>2021 2nd Virtual Technical Trial</v>
      </c>
      <c r="M19" s="14">
        <f>IF($K19=$AV19,MAX(BU19,CY19),IF($K19=$BZ19,MAX(AQ19,CY19),IF($K19=$DD19,MAX(AQ19,BU19),MAX(AQ19,BU19,CY19))))</f>
        <v>0</v>
      </c>
      <c r="N19" s="14" t="str">
        <f>IF(M19=0,"",IF(AND(M19=CY19,$L19&lt;&gt;$CD$1),$CD$1,IF(AND(M19=BU19,$L19&lt;&gt;$AZ$1),$AZ$1,IF(AND(M19=AQ19,$L19&lt;&gt;$V$1),$V$1,""))))</f>
        <v/>
      </c>
      <c r="O19" s="14">
        <f>MAX(AS19,AU19,AX19,BW19,BY19,CB19,DA19,DC19,DF19)</f>
        <v>46.58</v>
      </c>
      <c r="P19" s="14" t="str">
        <f>IF(O19=0,"",IF(OR(O19=DC19,O19=DA19,O19=DF19),$CD$1,IF(OR(O19=BY19,O19=BW19,O19=CB19),$AZ$1,IF(OR(O19=AU19,O19=AS19,O19=AX19),$V$1,""))))</f>
        <v>2021 2nd Virtual Technical Trial</v>
      </c>
      <c r="Q19" s="14">
        <f>IF(COUNT(AS19,AU19,AX19,BW19,BY19,CB19,DA19,DC19,DF19)&gt;1,LARGE((AS19,AU19,AX19,BW19,BY19,CB19,DA19,DC19,DF19),2),0)</f>
        <v>14.94</v>
      </c>
      <c r="R19" s="14" t="str">
        <f>IF(Q19=0,"",IF(OR(Q19=DC19,Q19=DA19,Q19=DF19),$CD$1,IF(OR(Q19=BY19,Q19=BW19,Q19=CB19),$AZ$1,IF(OR(Q19=AU19,Q19=AS19,Q19=AX19),$V$1,""))))</f>
        <v>2021 2nd Virtual Technical Trial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>IF(SUM(V19:Y19)-Z19&gt;0,SUM(V19:Y19)-Z19,"")</f>
        <v/>
      </c>
      <c r="AR19" s="11" t="str">
        <f>IF(AC19&gt;0,AC19,"")</f>
        <v/>
      </c>
      <c r="AS19" s="11" t="str">
        <f>IF(SUM(AA19:AD19)-AE19&gt;0,SUM(AA19:AD19)-AE19,"")</f>
        <v/>
      </c>
      <c r="AT19" s="11" t="str">
        <f>IF(AH19&gt;0,AH19,"")</f>
        <v/>
      </c>
      <c r="AU19" s="11" t="str">
        <f>IF(SUM(AF19:AI19)-AJ19&gt;0,SUM(AF19:AI19)-AJ19,"")</f>
        <v/>
      </c>
      <c r="AV19" s="11" t="str">
        <f>IF(AQ19="",IF(MAX(AS19,AU19)&gt;0,MAX(AS19,AU19),""),MAX(AS19,AU19)+AQ19)</f>
        <v/>
      </c>
      <c r="AW19" s="11" t="str">
        <f>IF(AM19&gt;0,AM19,"")</f>
        <v/>
      </c>
      <c r="AX19" s="11" t="str">
        <f>IF(SUM(AK19:AN19)-AO19&gt;0,SUM(AK19:AN19)-AO19,"")</f>
        <v/>
      </c>
      <c r="AY19" s="11" t="str">
        <f>IF(SUM(AV19,AX19)&gt;0,SUM(AV19,AX19),"")</f>
        <v/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>
        <v>16.5</v>
      </c>
      <c r="CE19" s="61">
        <v>9.1</v>
      </c>
      <c r="CF19" s="61">
        <v>2</v>
      </c>
      <c r="CG19" s="61">
        <v>14.11</v>
      </c>
      <c r="CH19" s="61">
        <v>0</v>
      </c>
      <c r="CI19" s="61">
        <v>13.7</v>
      </c>
      <c r="CJ19" s="61">
        <v>9.5</v>
      </c>
      <c r="CK19" s="61">
        <v>9.6999999999999993</v>
      </c>
      <c r="CL19" s="61">
        <v>13.68</v>
      </c>
      <c r="CM19" s="61">
        <v>0</v>
      </c>
      <c r="CN19" s="61"/>
      <c r="CO19" s="61"/>
      <c r="CP19" s="61"/>
      <c r="CQ19" s="61"/>
      <c r="CR19" s="61"/>
      <c r="CS19" s="61">
        <v>4.4000000000000004</v>
      </c>
      <c r="CT19" s="61">
        <v>2.2999999999999998</v>
      </c>
      <c r="CU19" s="61">
        <v>4</v>
      </c>
      <c r="CV19" s="61">
        <v>4.24</v>
      </c>
      <c r="CW19" s="61">
        <v>0</v>
      </c>
      <c r="CX19" s="72"/>
      <c r="CY19" s="11">
        <f>IF(SUM(CD19:CG19)-CH19&gt;0,SUM(CD19:CG19)-CH19,"")</f>
        <v>41.71</v>
      </c>
      <c r="CZ19" s="11">
        <f>IF(CK19&gt;0,CK19,"")</f>
        <v>9.6999999999999993</v>
      </c>
      <c r="DA19" s="11">
        <f>IF(SUM(CI19:CL19)-CM19&gt;0,SUM(CI19:CL19)-CM19,"")</f>
        <v>46.58</v>
      </c>
      <c r="DB19" s="11" t="str">
        <f>IF(CP19&gt;0,CP19,"")</f>
        <v/>
      </c>
      <c r="DC19" s="11" t="str">
        <f>IF(SUM(CN19:CQ19)-CR19&gt;0,SUM(CN19:CQ19)-CR19,"")</f>
        <v/>
      </c>
      <c r="DD19" s="11">
        <f>IF(CY19="",IF(MAX(DA19,DC19)&gt;0,MAX(DA19,DC19),""),MAX(DA19,DC19)+CY19)</f>
        <v>88.289999999999992</v>
      </c>
      <c r="DE19" s="11">
        <f>IF(CU19&gt;0,CU19,"")</f>
        <v>4</v>
      </c>
      <c r="DF19" s="11">
        <f>IF(SUM(CS19:CV19)-CW19&gt;0,SUM(CS19:CV19)-CW19,"")</f>
        <v>14.94</v>
      </c>
      <c r="DG19" s="11">
        <f>IF(SUM(DD19,DF19)&gt;0,SUM(DD19,DF19),"")</f>
        <v>103.22999999999999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8.25</v>
      </c>
      <c r="NQ19" s="61">
        <f>IF($CX19="P",CE19,(CE19+BA19)/2)</f>
        <v>4.55</v>
      </c>
      <c r="NR19" s="61">
        <f>IF($CX19="P",CF19,(CF19+BB19)/2)</f>
        <v>1</v>
      </c>
      <c r="NS19" s="61">
        <f>IF($CX19="P",CG19,(CG19+BC19)/2)</f>
        <v>7.0549999999999997</v>
      </c>
      <c r="NT19" s="61">
        <f>IF($CX19="P",CH19,(CH19+BD19)/2)</f>
        <v>0</v>
      </c>
      <c r="NU19" s="61">
        <f>IF($CX19="P",CI19,(CI19+BE19)/2)</f>
        <v>6.85</v>
      </c>
      <c r="NV19" s="61">
        <f>IF($CX19="P",CJ19,(CJ19+BF19)/2)</f>
        <v>4.75</v>
      </c>
      <c r="NW19" s="61">
        <f>IF($CX19="P",CK19,(CK19+BG19)/2)</f>
        <v>4.8499999999999996</v>
      </c>
      <c r="NX19" s="61">
        <f>IF($CX19="P",CL19,(CL19+BH19)/2)</f>
        <v>6.84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2.2000000000000002</v>
      </c>
      <c r="OF19" s="61">
        <f>IF($CX19="P",CT19,(CT19+BP19)/2)</f>
        <v>1.1499999999999999</v>
      </c>
      <c r="OG19" s="61">
        <f>IF($CX19="P",CU19,(CU19+BQ19)/2)</f>
        <v>2</v>
      </c>
      <c r="OH19" s="61">
        <f>IF($CX19="P",CV19,(CV19+BR19)/2)</f>
        <v>2.12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20.855</v>
      </c>
      <c r="OL19" s="11">
        <f>IF(NW19&gt;0,NW19,"")</f>
        <v>4.8499999999999996</v>
      </c>
      <c r="OM19" s="11">
        <f>IF(SUM(NU19:NX19)-NY19&gt;0,SUM(NU19:NX19)-NY19,"")</f>
        <v>23.29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44.144999999999996</v>
      </c>
      <c r="OQ19" s="11">
        <f>IF(OG19&gt;0,OG19,"")</f>
        <v>2</v>
      </c>
      <c r="OR19" s="11">
        <f t="shared" ref="OR19" si="20">IF(SUM(OE19:OH19)-OI19&gt;0,SUM(OE19:OH19)-OI19,"")</f>
        <v>7.47</v>
      </c>
      <c r="OS19" s="11">
        <f t="shared" ref="OS19" si="21">IF(SUM(OP19,OR19)&gt;0,SUM(OP19,OR19),"")</f>
        <v>51.614999999999995</v>
      </c>
    </row>
    <row r="20" spans="1:409" x14ac:dyDescent="0.2">
      <c r="A20" s="5" t="str" cm="1">
        <f t="array" ref="A20">IF(AND(G20&lt;&gt;"",H20&lt;&gt;""),SUMPRODUCT((G$4:G$23&lt;&gt;"")*(H$4:H$23&lt;&gt;"")*(E$4:E$23&gt;E20))+1,IF(H20&lt;&gt;"",SUMPRODUCT((I$4:I$23="No DD")*(E$4:E$23&gt;E20))+1+SUMPRODUCT((G$4:G$23&lt;&gt;"")*(H$4:H$23&lt;&gt;"")),""))</f>
        <v/>
      </c>
      <c r="B20" s="8" t="s">
        <v>105</v>
      </c>
      <c r="C20" s="4" t="s">
        <v>4</v>
      </c>
      <c r="D20" s="26">
        <v>2004</v>
      </c>
      <c r="E20" s="15">
        <f>SUM(O20:S20)</f>
        <v>60.54</v>
      </c>
      <c r="F20" s="3" t="str">
        <f>IF(G20&lt;&gt;"","P","")</f>
        <v/>
      </c>
      <c r="G20" s="115" t="str">
        <f>IF(OR(AND(AR20&gt;=AY$28,AR20&lt;&gt;"",AP20=""),AND(AT20&gt;=AY$28,AT20&lt;&gt;"",AP20=""),AND(AW20&gt;=AY$28,AW20&lt;&gt;"",AP20=""),AND(BV20&gt;=CC$28,BV20&lt;&gt;"",BT20=""),AND(BX20&gt;=CC$28,BX20&lt;&gt;"",BT20=""),AND(CA20&gt;=CC$28,CA20&lt;&gt;"",BT20=""),AND(CZ20&gt;=DG$28,CZ20&lt;&gt;"",CX20=""),AND(DB20&gt;=DG$28,DB20&lt;&gt;"",CX20=""),AND(DE20&gt;=DG$28,DE20&lt;&gt;"",CX20=""),AND(EA20&gt;=EG$28,EA20&lt;&gt;""),AND(EE20&gt;=EG$28,EE20&lt;&gt;""),AND(EW20&gt;=FC$28,EW20&lt;&gt;""),AND(FA20&gt;=FC$28,FA20&lt;&gt;""),AND(FS20&gt;=FY$28,FS20&lt;&gt;""),AND(FW20&gt;=FY$28,FW20&lt;&gt;""),AND(GO20&gt;=GU$28,GO20&lt;&gt;""),AND(GS20&gt;=GU$28,GS20&lt;&gt;""),AND(HK20&gt;=HQ$28,HK20&lt;&gt;""),AND(HO20&gt;=HQ$28,HO20&lt;&gt;""),AND(IG20&gt;=IM$28,IG20&lt;&gt;""),AND(IK20&gt;=IM$28,IK20&lt;&gt;""),AND(JC20&gt;=JI$28,JC20&lt;&gt;""),AND(JG20&gt;=JI$28,JG20&lt;&gt;""),AND(JY20&gt;=KE$28,JY20&lt;&gt;""),AND(KC20&gt;=KE$28,KC20&lt;&gt;""),AND(KU20&gt;=LA$28,KU20&lt;&gt;""),AND(KY20&gt;=LA$28,KY20&lt;&gt;""),AND(LQ20&gt;=LW$28,LQ20&lt;&gt;""),AND(LU20&gt;=LW$28,LU20&lt;&gt;""),AND(MM20&gt;=MS$28,MM20&lt;&gt;""),AND(MQ20&gt;=MS$28,MQ20&lt;&gt;""),AND(NI20&gt;=NO$28,NI20&lt;&gt;""),AND(NM20&gt;=NO$28,NM20&lt;&gt;"")),"Merit",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Excellence",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Worlds Team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National Team",""))))</f>
        <v/>
      </c>
      <c r="H20" s="115" t="str">
        <f>IF(OR(AND(AS20&gt;=AY$29,AS20&lt;&gt;"",AP20=""),AND(AU20&gt;=AY$29,AU20&lt;&gt;"",AP20=""),AND(AX20&gt;=AY$29,AX20&lt;&gt;"",AP20=""),AND(BW20&gt;=CC$29,BW20&lt;&gt;"",BT20=""),AND(BY20&gt;=CC$29,BY20&lt;&gt;"",BT20=""),AND(CB20&gt;=CC$29,CB20&lt;&gt;"",BT20=""),AND(DA20&gt;=DG$29,DA20&lt;&gt;"",CX20=""),AND(DC20&gt;=DG$29,DC20&lt;&gt;"",CX20=""),AND(DF20&gt;=DG$29,DF20&lt;&gt;"",CX20=""),AND(EC20&gt;=EG$29,EC20&lt;&gt;""),AND(EF20&gt;=EG$29,EF20&lt;&gt;""),AND(EY20&gt;=FC$29,EY20&lt;&gt;""),AND(FB20&gt;=FC$29,FB20&lt;&gt;""),AND(FU20&gt;=FY$29,FU20&lt;&gt;""),AND(FX20&gt;=FY$29,FX20&lt;&gt;""),AND(GQ20&gt;=GU$29,GQ20&lt;&gt;""),AND(GT20&gt;=GU$29,GT20&lt;&gt;""),AND(HM20&gt;=HQ$29,HM20&lt;&gt;""),AND(HP20&gt;=HQ$29,HP20&lt;&gt;""),AND(II20&gt;=IM$29,II20&lt;&gt;""),AND(IL20&gt;=IM$29,IL20&lt;&gt;""),AND(JE20&gt;=JI$29,JE20&lt;&gt;""),AND(JH20&gt;=JI$29,JH20&lt;&gt;""),AND(KA20&gt;=KE$29,KA20&lt;&gt;""),AND(KD20&gt;=KE$29,KD20&lt;&gt;""),AND(KW20&gt;=LA$29,KW20&lt;&gt;""),AND(KZ20&gt;=LA$29,KZ20&lt;&gt;""),AND(LS20&gt;=LW$29,LS20&lt;&gt;""),AND(LV20&gt;=LW$29,LV20&lt;&gt;""),AND(MO20&gt;=MS$29,MO20&lt;&gt;""),AND(MR20&gt;=MS$29,MR20&lt;&gt;""),AND(NK20&gt;=NO$29,NK20&lt;&gt;""),AND(NN20&gt;=NO$29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$30,AV20&lt;&gt;"",AP20=""),AND(BZ20&gt;=CC$30,BZ20&lt;&gt;"",BT20=""),AND(DD20&gt;=DG$30,DD20&lt;&gt;"",CX20=""),AND(ED20&gt;=EG$30,ED20&lt;&gt;""),AND(EZ20&gt;=FC$30,EZ20&lt;&gt;""),AND(FV20&gt;=FY$30,FV20&lt;&gt;""),AND(GR20&gt;=GU$30,GR20&lt;&gt;""),AND(HN20&gt;=HQ$30,HN20&lt;&gt;""),AND(IJ20&gt;=IM$30,IJ20&lt;&gt;""),AND(JF20&gt;=JI$30,JF20&lt;&gt;""),AND(KB20&gt;=KE$30,KB20&lt;&gt;""),AND(KX20&gt;=LA$30,KX20&lt;&gt;""),AND(LT20&gt;=LW$30,LT20&lt;&gt;""),AND(MP20&gt;=MS$30,MP20&lt;&gt;""),AND(NL20&gt;=NO$30,NL20&lt;&gt;"")),OR(G20="Worlds Team",G20="Excellence",G20="Merit")),"P","")</f>
        <v/>
      </c>
      <c r="K20" s="14">
        <f>IF(MAX(AV20,BZ20,DD20)&gt;0,MAX(AV20,BZ20,DD20),0)</f>
        <v>83.14500000000001</v>
      </c>
      <c r="L20" s="14" t="str">
        <f>IF(K20=0,"",IF(K20=DD20,$CD$1,IF(K20=BZ20,$AZ$1,IF(K20=AV20,$V$1,""))))</f>
        <v>2021 1st Virtual Technical Trial</v>
      </c>
      <c r="M20" s="14">
        <f>IF($K20=$AV20,MAX(BU20,CY20),IF($K20=$BZ20,MAX(AQ20,CY20),IF($K20=$DD20,MAX(AQ20,BU20),MAX(AQ20,BU20,CY20))))</f>
        <v>0</v>
      </c>
      <c r="N20" s="14" t="str">
        <f>IF(M20=0,"",IF(AND(M20=CY20,$L20&lt;&gt;$CD$1),$CD$1,IF(AND(M20=BU20,$L20&lt;&gt;$AZ$1),$AZ$1,IF(AND(M20=AQ20,$L20&lt;&gt;$V$1),$V$1,""))))</f>
        <v/>
      </c>
      <c r="O20" s="14">
        <f>MAX(AS20,AU20,AX20,BW20,BY20,CB20,DA20,DC20,DF20)</f>
        <v>42.99</v>
      </c>
      <c r="P20" s="14" t="str">
        <f>IF(O20=0,"",IF(OR(O20=DC20,O20=DA20,O20=DF20),$CD$1,IF(OR(O20=BY20,O20=BW20,O20=CB20),$AZ$1,IF(OR(O20=AU20,O20=AS20,O20=AX20),$V$1,""))))</f>
        <v>2021 1st Virtual Technical Trial</v>
      </c>
      <c r="Q20" s="14">
        <f>IF(COUNT(AS20,AU20,AX20,BW20,BY20,CB20,DA20,DC20,DF20)&gt;1,LARGE((AS20,AU20,AX20,BW20,BY20,CB20,DA20,DC20,DF20),2),0)</f>
        <v>17.549999999999997</v>
      </c>
      <c r="R20" s="14" t="str">
        <f>IF(Q20=0,"",IF(OR(Q20=DC20,Q20=DA20,Q20=DF20),$CD$1,IF(OR(Q20=BY20,Q20=BW20,Q20=CB20),$AZ$1,IF(OR(Q20=AU20,Q20=AS20,Q20=AX20),$V$1,""))))</f>
        <v>2021 1st Virtual Technical Trial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67">
        <v>15.9</v>
      </c>
      <c r="BA20" s="67">
        <v>9.4499999999999993</v>
      </c>
      <c r="BB20" s="67">
        <v>1.5</v>
      </c>
      <c r="BC20" s="67">
        <v>13.305</v>
      </c>
      <c r="BD20" s="67">
        <v>0</v>
      </c>
      <c r="BE20" s="67">
        <v>13.3</v>
      </c>
      <c r="BF20" s="67">
        <v>8.6999999999999993</v>
      </c>
      <c r="BG20" s="67">
        <v>8.6999999999999993</v>
      </c>
      <c r="BH20" s="67">
        <v>12.39</v>
      </c>
      <c r="BI20" s="67">
        <v>0.1</v>
      </c>
      <c r="BJ20" s="67"/>
      <c r="BK20" s="67"/>
      <c r="BL20" s="67"/>
      <c r="BM20" s="67"/>
      <c r="BN20" s="67"/>
      <c r="BO20" s="67">
        <v>4.8</v>
      </c>
      <c r="BP20" s="67">
        <v>3.3</v>
      </c>
      <c r="BQ20" s="67">
        <v>4.3</v>
      </c>
      <c r="BR20" s="67">
        <v>5.15</v>
      </c>
      <c r="BS20" s="67">
        <v>0</v>
      </c>
      <c r="BT20" s="73"/>
      <c r="BU20" s="14">
        <f>IF(SUM(AZ20:BC20)-BD20&gt;0,SUM(AZ20:BC20)-BD20,"")</f>
        <v>40.155000000000001</v>
      </c>
      <c r="BV20" s="14">
        <f>IF(BG20&gt;0,BG20,"")</f>
        <v>8.6999999999999993</v>
      </c>
      <c r="BW20" s="14">
        <f>IF(SUM(BE20:BH20)-BI20&gt;0,SUM(BE20:BH20)-BI20,"")</f>
        <v>42.99</v>
      </c>
      <c r="BX20" s="14" t="str">
        <f>IF(BL20&gt;0,BL20,"")</f>
        <v/>
      </c>
      <c r="BY20" s="14" t="str">
        <f>IF(SUM(BJ20:BM20)-BN20&gt;0,SUM(BJ20:BM20)-BN20,"")</f>
        <v/>
      </c>
      <c r="BZ20" s="14">
        <f>IF(BU20="",IF(MAX(BW20,BY20)&gt;0,MAX(BW20,BY20),""),MAX(BW20,BY20)+BU20)</f>
        <v>83.14500000000001</v>
      </c>
      <c r="CA20" s="14">
        <f>IF(BQ20&gt;0,BQ20,"")</f>
        <v>4.3</v>
      </c>
      <c r="CB20" s="14">
        <f>IF(SUM(BO20:BR20)-BS20&gt;0,SUM(BO20:BR20)-BS20,"")</f>
        <v>17.549999999999997</v>
      </c>
      <c r="CC20" s="14">
        <f>IF(SUM(BZ20,CB20)&gt;0,SUM(BZ20,CB20),"")</f>
        <v>100.69500000000001</v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7.95</v>
      </c>
      <c r="NQ20" s="61">
        <f>IF($CX20="P",CE20,(CE20+BA20)/2)</f>
        <v>4.7249999999999996</v>
      </c>
      <c r="NR20" s="61">
        <f>IF($CX20="P",CF20,(CF20+BB20)/2)</f>
        <v>0.75</v>
      </c>
      <c r="NS20" s="61">
        <f>IF($CX20="P",CG20,(CG20+BC20)/2)</f>
        <v>6.6524999999999999</v>
      </c>
      <c r="NT20" s="61">
        <f>IF($CX20="P",CH20,(CH20+BD20)/2)</f>
        <v>0</v>
      </c>
      <c r="NU20" s="61">
        <f>IF($CX20="P",CI20,(CI20+BE20)/2)</f>
        <v>6.65</v>
      </c>
      <c r="NV20" s="61">
        <f>IF($CX20="P",CJ20,(CJ20+BF20)/2)</f>
        <v>4.3499999999999996</v>
      </c>
      <c r="NW20" s="61">
        <f>IF($CX20="P",CK20,(CK20+BG20)/2)</f>
        <v>4.3499999999999996</v>
      </c>
      <c r="NX20" s="61">
        <f>IF($CX20="P",CL20,(CL20+BH20)/2)</f>
        <v>6.1950000000000003</v>
      </c>
      <c r="NY20" s="61">
        <f>IF($CX20="P",CM20,(CM20+BI20)/2)</f>
        <v>0.05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2.4</v>
      </c>
      <c r="OF20" s="61">
        <f>IF($CX20="P",CT20,(CT20+BP20)/2)</f>
        <v>1.65</v>
      </c>
      <c r="OG20" s="61">
        <f>IF($CX20="P",CU20,(CU20+BQ20)/2)</f>
        <v>2.15</v>
      </c>
      <c r="OH20" s="61">
        <f>IF($CX20="P",CV20,(CV20+BR20)/2)</f>
        <v>2.5750000000000002</v>
      </c>
      <c r="OI20" s="61">
        <f>IF($CX20="P",CW20,(CW20+BS20)/2)</f>
        <v>0</v>
      </c>
      <c r="OJ20" s="72" t="s">
        <v>52</v>
      </c>
      <c r="OK20" s="11">
        <f>IF(SUM(NP20:NS20)-NT20&gt;0,SUM(NP20:NS20)-NT20,"")</f>
        <v>20.077500000000001</v>
      </c>
      <c r="OL20" s="11">
        <f>IF(NW20&gt;0,NW20,"")</f>
        <v>4.3499999999999996</v>
      </c>
      <c r="OM20" s="11">
        <f>IF(SUM(NU20:NX20)-NY20&gt;0,SUM(NU20:NX20)-NY20,"")</f>
        <v>21.495000000000001</v>
      </c>
      <c r="ON20" s="11" t="str">
        <f>IF(OB20&gt;0,OB20,"")</f>
        <v/>
      </c>
      <c r="OO20" s="11" t="str">
        <f>IF(SUM(NZ20:OC20)-OD20&gt;0,SUM(NZ20:OC20)-OD20,"")</f>
        <v/>
      </c>
      <c r="OP20" s="11">
        <f>IF(OR(OK20&lt;&gt;"",OM20&lt;&gt;"",OO20&lt;&gt;""),OK20+MAX(OM20,OO20),"")</f>
        <v>41.572500000000005</v>
      </c>
      <c r="OQ20" s="11">
        <f>IF(OG20&gt;0,OG20,"")</f>
        <v>2.15</v>
      </c>
      <c r="OR20" s="11">
        <f t="shared" ref="OR20" si="22">IF(SUM(OE20:OH20)-OI20&gt;0,SUM(OE20:OH20)-OI20,"")</f>
        <v>8.7749999999999986</v>
      </c>
      <c r="OS20" s="11">
        <f t="shared" ref="OS20" si="23">IF(SUM(OP20,OR20)&gt;0,SUM(OP20,OR20),"")</f>
        <v>50.347500000000004</v>
      </c>
    </row>
    <row r="21" spans="1:409" x14ac:dyDescent="0.2">
      <c r="A21" s="5" t="str" cm="1">
        <f t="array" ref="A21">IF(AND(G21&lt;&gt;"",H21&lt;&gt;""),SUMPRODUCT((G$4:G$23&lt;&gt;"")*(H$4:H$23&lt;&gt;"")*(E$4:E$23&gt;E21))+1,IF(H21&lt;&gt;"",SUMPRODUCT((I$4:I$23="No DD")*(E$4:E$23&gt;E21))+1+SUMPRODUCT((G$4:G$23&lt;&gt;"")*(H$4:H$23&lt;&gt;"")),""))</f>
        <v/>
      </c>
      <c r="B21" s="8" t="s">
        <v>100</v>
      </c>
      <c r="C21" s="4" t="s">
        <v>4</v>
      </c>
      <c r="D21" s="26">
        <v>2003</v>
      </c>
      <c r="E21" s="15">
        <f>SUM(O21:S21)</f>
        <v>52.305</v>
      </c>
      <c r="F21" s="3" t="str">
        <f>IF(G21&lt;&gt;"","P","")</f>
        <v/>
      </c>
      <c r="G21" s="115" t="str">
        <f>IF(OR(AND(AR21&gt;=AY$28,AR21&lt;&gt;"",AP21=""),AND(AT21&gt;=AY$28,AT21&lt;&gt;"",AP21=""),AND(AW21&gt;=AY$28,AW21&lt;&gt;"",AP21=""),AND(BV21&gt;=CC$28,BV21&lt;&gt;"",BT21=""),AND(BX21&gt;=CC$28,BX21&lt;&gt;"",BT21=""),AND(CA21&gt;=CC$28,CA21&lt;&gt;"",BT21=""),AND(CZ21&gt;=DG$28,CZ21&lt;&gt;"",CX21=""),AND(DB21&gt;=DG$28,DB21&lt;&gt;"",CX21=""),AND(DE21&gt;=DG$28,DE21&lt;&gt;"",CX21=""),AND(EA21&gt;=EG$28,EA21&lt;&gt;""),AND(EE21&gt;=EG$28,EE21&lt;&gt;""),AND(EW21&gt;=FC$28,EW21&lt;&gt;""),AND(FA21&gt;=FC$28,FA21&lt;&gt;""),AND(FS21&gt;=FY$28,FS21&lt;&gt;""),AND(FW21&gt;=FY$28,FW21&lt;&gt;""),AND(GO21&gt;=GU$28,GO21&lt;&gt;""),AND(GS21&gt;=GU$28,GS21&lt;&gt;""),AND(HK21&gt;=HQ$28,HK21&lt;&gt;""),AND(HO21&gt;=HQ$28,HO21&lt;&gt;""),AND(IG21&gt;=IM$28,IG21&lt;&gt;""),AND(IK21&gt;=IM$28,IK21&lt;&gt;""),AND(JC21&gt;=JI$28,JC21&lt;&gt;""),AND(JG21&gt;=JI$28,JG21&lt;&gt;""),AND(JY21&gt;=KE$28,JY21&lt;&gt;""),AND(KC21&gt;=KE$28,KC21&lt;&gt;""),AND(KU21&gt;=LA$28,KU21&lt;&gt;""),AND(KY21&gt;=LA$28,KY21&lt;&gt;""),AND(LQ21&gt;=LW$28,LQ21&lt;&gt;""),AND(LU21&gt;=LW$28,LU21&lt;&gt;""),AND(MM21&gt;=MS$28,MM21&lt;&gt;""),AND(MQ21&gt;=MS$28,MQ21&lt;&gt;""),AND(NI21&gt;=NO$28,NI21&lt;&gt;""),AND(NM21&gt;=NO$28,NM21&lt;&gt;"")),"Merit",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Excellence",IF(OR(AND(AR21&gt;=AY$26,AR21&lt;&gt;"",AP21=""),AND(AT21&gt;=AY$26,AT21&lt;&gt;"",AP21=""),AND(AW21&gt;=AY$26,AW21&lt;&gt;"",AP21=""),AND(BV21&gt;=CC$26,BV21&lt;&gt;"",BT21=""),AND(BX21&gt;=CC$26,BX21&lt;&gt;"",BT21=""),AND(CA21&gt;=CC$26,CA21&lt;&gt;"",BT21=""),AND(CZ21&gt;=DG$26,CZ21&lt;&gt;"",CX21=""),AND(DB21&gt;=DG$26,DB21&lt;&gt;"",CX21=""),AND(DE21&gt;=DG$26,DE21&lt;&gt;"",CX21=""),AND(EA21&gt;=EG$26,EA21&lt;&gt;""),AND(EE21&gt;=EG$26,EE21&lt;&gt;""),AND(EW21&gt;=FC$26,EW21&lt;&gt;""),AND(FA21&gt;=FC$26,FA21&lt;&gt;""),AND(FS21&gt;=FY$26,FS21&lt;&gt;""),AND(FW21&gt;=FY$26,FW21&lt;&gt;""),AND(GO21&gt;=GU$26,GO21&lt;&gt;""),AND(GS21&gt;=GU$26,GS21&lt;&gt;""),AND(HK21&gt;=HQ$26,HK21&lt;&gt;""),AND(HO21&gt;=HQ$26,HO21&lt;&gt;""),AND(IG21&gt;=IM$26,IG21&lt;&gt;""),AND(IK21&gt;=IM$26,IK21&lt;&gt;""),AND(JC21&gt;=JI$26,JC21&lt;&gt;""),AND(JG21&gt;=JI$26,JG21&lt;&gt;""),AND(JY21&gt;=KE$26,JY21&lt;&gt;""),AND(KC21&gt;=KE$26,KC21&lt;&gt;""),AND(KU21&gt;=LA$26,KU21&lt;&gt;""),AND(KY21&gt;=LA$26,KY21&lt;&gt;""),AND(LQ21&gt;=LW$26,LQ21&lt;&gt;""),AND(LU21&gt;=LW$26,LU21&lt;&gt;""),AND(MM21&gt;=MS$26,MM21&lt;&gt;""),AND(MQ21&gt;=MS$26,MQ21&lt;&gt;""),AND(NI21&gt;=NO$26,NI21&lt;&gt;""),AND(NM21&gt;=NO$26,NM21&lt;&gt;"")),"Worlds Team",IF(OR(AND(AR21&gt;=AY$25,AR21&lt;&gt;"",AP21=""),AND(AT21&gt;=AY$25,AT21&lt;&gt;"",AP21=""),AND(AW21&gt;=AY$25,AW21&lt;&gt;"",AP21=""),AND(BV21&gt;=CC$25,BV21&lt;&gt;"",BT21=""),AND(BX21&gt;=CC$25,BX21&lt;&gt;"",BT21=""),AND(CA21&gt;=CC$25,CA21&lt;&gt;"",BT21=""),AND(CZ21&gt;=DG$25,CZ21&lt;&gt;"",CX21=""),AND(DB21&gt;=DG$25,DB21&lt;&gt;"",CX21=""),AND(DE21&gt;=DG$25,DE21&lt;&gt;"",CX21=""),AND(EA21&gt;=EG$25,EA21&lt;&gt;""),AND(EE21&gt;=EG$25,EE21&lt;&gt;""),AND(EW21&gt;=FC$25,EW21&lt;&gt;""),AND(FA21&gt;=FC$25,FA21&lt;&gt;""),AND(FS21&gt;=FY$25,FS21&lt;&gt;""),AND(FW21&gt;=FY$25,FW21&lt;&gt;""),AND(GO21&gt;=GU$25,GO21&lt;&gt;""),AND(GS21&gt;=GU$25,GS21&lt;&gt;""),AND(HK21&gt;=HQ$25,HK21&lt;&gt;""),AND(HO21&gt;=HQ$25,HO21&lt;&gt;""),AND(IG21&gt;=IM$25,IG21&lt;&gt;""),AND(IK21&gt;=IM$25,IK21&lt;&gt;""),AND(JC21&gt;=JI$25,JC21&lt;&gt;""),AND(JG21&gt;=JI$25,JG21&lt;&gt;""),AND(JY21&gt;=KE$25,JY21&lt;&gt;""),AND(KC21&gt;=KE$25,KC21&lt;&gt;""),AND(KU21&gt;=LA$25,KU21&lt;&gt;""),AND(KY21&gt;=LA$25,KY21&lt;&gt;""),AND(LQ21&gt;=LW$25,LQ21&lt;&gt;""),AND(LU21&gt;=LW$25,LU21&lt;&gt;""),AND(MM21&gt;=MS$25,MM21&lt;&gt;""),AND(MQ21&gt;=MS$25,MQ21&lt;&gt;""),AND(NI21&gt;=NO$25,NI21&lt;&gt;""),AND(NM21&gt;=NO$25,NM21&lt;&gt;"")),"National Team",""))))</f>
        <v/>
      </c>
      <c r="H21" s="115" t="str">
        <f>IF(OR(AND(AS21&gt;=AY$29,AS21&lt;&gt;"",AP21=""),AND(AU21&gt;=AY$29,AU21&lt;&gt;"",AP21=""),AND(AX21&gt;=AY$29,AX21&lt;&gt;"",AP21=""),AND(BW21&gt;=CC$29,BW21&lt;&gt;"",BT21=""),AND(BY21&gt;=CC$29,BY21&lt;&gt;"",BT21=""),AND(CB21&gt;=CC$29,CB21&lt;&gt;"",BT21=""),AND(DA21&gt;=DG$29,DA21&lt;&gt;"",CX21=""),AND(DC21&gt;=DG$29,DC21&lt;&gt;"",CX21=""),AND(DF21&gt;=DG$29,DF21&lt;&gt;"",CX21=""),AND(EC21&gt;=EG$29,EC21&lt;&gt;""),AND(EF21&gt;=EG$29,EF21&lt;&gt;""),AND(EY21&gt;=FC$29,EY21&lt;&gt;""),AND(FB21&gt;=FC$29,FB21&lt;&gt;""),AND(FU21&gt;=FY$29,FU21&lt;&gt;""),AND(FX21&gt;=FY$29,FX21&lt;&gt;""),AND(GQ21&gt;=GU$29,GQ21&lt;&gt;""),AND(GT21&gt;=GU$29,GT21&lt;&gt;""),AND(HM21&gt;=HQ$29,HM21&lt;&gt;""),AND(HP21&gt;=HQ$29,HP21&lt;&gt;""),AND(II21&gt;=IM$29,II21&lt;&gt;""),AND(IL21&gt;=IM$29,IL21&lt;&gt;""),AND(JE21&gt;=JI$29,JE21&lt;&gt;""),AND(JH21&gt;=JI$29,JH21&lt;&gt;""),AND(KA21&gt;=KE$29,KA21&lt;&gt;""),AND(KD21&gt;=KE$29,KD21&lt;&gt;""),AND(KW21&gt;=LA$29,KW21&lt;&gt;""),AND(KZ21&gt;=LA$29,KZ21&lt;&gt;""),AND(LS21&gt;=LW$29,LS21&lt;&gt;""),AND(LV21&gt;=LW$29,LV21&lt;&gt;""),AND(MO21&gt;=MS$29,MO21&lt;&gt;""),AND(MR21&gt;=MS$29,MR21&lt;&gt;""),AND(NK21&gt;=NO$29,NK21&lt;&gt;""),AND(NN21&gt;=NO$29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$30,AV21&lt;&gt;"",AP21=""),AND(BZ21&gt;=CC$30,BZ21&lt;&gt;"",BT21=""),AND(DD21&gt;=DG$30,DD21&lt;&gt;"",CX21=""),AND(ED21&gt;=EG$30,ED21&lt;&gt;""),AND(EZ21&gt;=FC$30,EZ21&lt;&gt;""),AND(FV21&gt;=FY$30,FV21&lt;&gt;""),AND(GR21&gt;=GU$30,GR21&lt;&gt;""),AND(HN21&gt;=HQ$30,HN21&lt;&gt;""),AND(IJ21&gt;=IM$30,IJ21&lt;&gt;""),AND(JF21&gt;=JI$30,JF21&lt;&gt;""),AND(KB21&gt;=KE$30,KB21&lt;&gt;""),AND(KX21&gt;=LA$30,KX21&lt;&gt;""),AND(LT21&gt;=LW$30,LT21&lt;&gt;""),AND(MP21&gt;=MS$30,MP21&lt;&gt;""),AND(NL21&gt;=NO$30,NL21&lt;&gt;"")),OR(G21="Worlds Team",G21="Excellence",G21="Merit")),"P","")</f>
        <v/>
      </c>
      <c r="K21" s="14">
        <f>IF(MAX(AV21,BZ21,DD21)&gt;0,MAX(AV21,BZ21,DD21),0)</f>
        <v>63.125</v>
      </c>
      <c r="L21" s="14" t="str">
        <f>IF(K21=0,"",IF(K21=DD21,$CD$1,IF(K21=BZ21,$AZ$1,IF(K21=AV21,$V$1,""))))</f>
        <v>2021 2nd Virtual Technical Trial</v>
      </c>
      <c r="M21" s="14">
        <f>IF($K21=$AV21,MAX(BU21,CY21),IF($K21=$BZ21,MAX(AQ21,CY21),IF($K21=$DD21,MAX(AQ21,BU21),MAX(AQ21,BU21,CY21))))</f>
        <v>40.094999999999999</v>
      </c>
      <c r="N21" s="14" t="str">
        <f>IF(M21=0,"",IF(AND(M21=CY21,$L21&lt;&gt;$CD$1),$CD$1,IF(AND(M21=BU21,$L21&lt;&gt;$AZ$1),$AZ$1,IF(AND(M21=AQ21,$L21&lt;&gt;$V$1),$V$1,""))))</f>
        <v>2019 Nationals</v>
      </c>
      <c r="O21" s="14">
        <f>MAX(AS21,AU21,AX21,BW21,BY21,CB21,DA21,DC21,DF21)</f>
        <v>28.935000000000002</v>
      </c>
      <c r="P21" s="14" t="str">
        <f>IF(O21=0,"",IF(OR(O21=DC21,O21=DA21,O21=DF21),$CD$1,IF(OR(O21=BY21,O21=BW21,O21=CB21),$AZ$1,IF(OR(O21=AU21,O21=AS21,O21=AX21),$V$1,""))))</f>
        <v>2021 2nd Virtual Technical Trial</v>
      </c>
      <c r="Q21" s="14">
        <f>IF(COUNT(AS21,AU21,AX21,BW21,BY21,CB21,DA21,DC21,DF21)&gt;1,LARGE((AS21,AU21,AX21,BW21,BY21,CB21,DA21,DC21,DF21),2),0)</f>
        <v>23.369999999999997</v>
      </c>
      <c r="R21" s="14" t="str">
        <f>IF(Q21=0,"",IF(OR(Q21=DC21,Q21=DA21,Q21=DF21),$CD$1,IF(OR(Q21=BY21,Q21=BW21,Q21=CB21),$AZ$1,IF(OR(Q21=AU21,Q21=AS21,Q21=AX21),$V$1,""))))</f>
        <v>2021 2nd Virtual Technical Trial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>
        <v>15</v>
      </c>
      <c r="W21" s="61">
        <v>9.3000000000000007</v>
      </c>
      <c r="X21" s="61">
        <v>2.2000000000000002</v>
      </c>
      <c r="Y21" s="61">
        <v>13.595000000000001</v>
      </c>
      <c r="Z21" s="61">
        <v>0</v>
      </c>
      <c r="AA21" s="61">
        <v>4.4000000000000004</v>
      </c>
      <c r="AB21" s="61">
        <v>2.6</v>
      </c>
      <c r="AC21" s="61">
        <v>2.7</v>
      </c>
      <c r="AD21" s="61">
        <v>4.08</v>
      </c>
      <c r="AE21" s="61">
        <v>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>
        <f>IF(SUM(V21:Y21)-Z21&gt;0,SUM(V21:Y21)-Z21,"")</f>
        <v>40.094999999999999</v>
      </c>
      <c r="AR21" s="11">
        <f>IF(AC21&gt;0,AC21,"")</f>
        <v>2.7</v>
      </c>
      <c r="AS21" s="11">
        <f>IF(SUM(AA21:AD21)-AE21&gt;0,SUM(AA21:AD21)-AE21,"")</f>
        <v>13.78</v>
      </c>
      <c r="AT21" s="11" t="str">
        <f>IF(AH21&gt;0,AH21,"")</f>
        <v/>
      </c>
      <c r="AU21" s="11" t="str">
        <f>IF(SUM(AF21:AI21)-AJ21&gt;0,SUM(AF21:AI21)-AJ21,"")</f>
        <v/>
      </c>
      <c r="AV21" s="11">
        <f>IF(AQ21="",IF(MAX(AS21,AU21)&gt;0,MAX(AS21,AU21),""),MAX(AS21,AU21)+AQ21)</f>
        <v>53.875</v>
      </c>
      <c r="AW21" s="11" t="str">
        <f>IF(AM21&gt;0,AM21,"")</f>
        <v/>
      </c>
      <c r="AX21" s="11" t="str">
        <f>IF(SUM(AK21:AN21)-AO21&gt;0,SUM(AK21:AN21)-AO21,"")</f>
        <v/>
      </c>
      <c r="AY21" s="11">
        <f>IF(SUM(AV21,AX21)&gt;0,SUM(AV21,AX21),"")</f>
        <v>53.875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>IF(SUM(AZ21:BC21)-BD21&gt;0,SUM(AZ21:BC21)-BD21,"")</f>
        <v/>
      </c>
      <c r="BV21" s="14" t="str">
        <f>IF(BG21&gt;0,BG21,"")</f>
        <v/>
      </c>
      <c r="BW21" s="14" t="str">
        <f>IF(SUM(BE21:BH21)-BI21&gt;0,SUM(BE21:BH21)-BI21,"")</f>
        <v/>
      </c>
      <c r="BX21" s="14" t="str">
        <f>IF(BL21&gt;0,BL21,"")</f>
        <v/>
      </c>
      <c r="BY21" s="14" t="str">
        <f>IF(SUM(BJ21:BM21)-BN21&gt;0,SUM(BJ21:BM21)-BN21,"")</f>
        <v/>
      </c>
      <c r="BZ21" s="14" t="str">
        <f>IF(BU21="",IF(MAX(BW21,BY21)&gt;0,MAX(BW21,BY21),""),MAX(BW21,BY21)+BU21)</f>
        <v/>
      </c>
      <c r="CA21" s="14" t="str">
        <f>IF(BQ21&gt;0,BQ21,"")</f>
        <v/>
      </c>
      <c r="CB21" s="14" t="str">
        <f>IF(SUM(BO21:BR21)-BS21&gt;0,SUM(BO21:BR21)-BS21,"")</f>
        <v/>
      </c>
      <c r="CC21" s="14" t="str">
        <f>IF(SUM(BZ21,CB21)&gt;0,SUM(BZ21,CB21),"")</f>
        <v/>
      </c>
      <c r="CD21" s="61">
        <v>14.3</v>
      </c>
      <c r="CE21" s="61">
        <v>9.3000000000000007</v>
      </c>
      <c r="CF21" s="61">
        <v>2.5</v>
      </c>
      <c r="CG21" s="61">
        <v>13.654999999999999</v>
      </c>
      <c r="CH21" s="61">
        <v>0</v>
      </c>
      <c r="CI21" s="61">
        <v>6.8</v>
      </c>
      <c r="CJ21" s="61">
        <v>4.5</v>
      </c>
      <c r="CK21" s="61">
        <v>5.0999999999999996</v>
      </c>
      <c r="CL21" s="61">
        <v>6.97</v>
      </c>
      <c r="CM21" s="61">
        <v>0</v>
      </c>
      <c r="CN21" s="61"/>
      <c r="CO21" s="61"/>
      <c r="CP21" s="61"/>
      <c r="CQ21" s="61"/>
      <c r="CR21" s="61"/>
      <c r="CS21" s="61">
        <v>8.3000000000000007</v>
      </c>
      <c r="CT21" s="61">
        <v>6.1</v>
      </c>
      <c r="CU21" s="61">
        <v>5.4</v>
      </c>
      <c r="CV21" s="61">
        <v>9.1349999999999998</v>
      </c>
      <c r="CW21" s="61">
        <v>0</v>
      </c>
      <c r="CX21" s="72"/>
      <c r="CY21" s="11">
        <f>IF(SUM(CD21:CG21)-CH21&gt;0,SUM(CD21:CG21)-CH21,"")</f>
        <v>39.755000000000003</v>
      </c>
      <c r="CZ21" s="11">
        <f>IF(CK21&gt;0,CK21,"")</f>
        <v>5.0999999999999996</v>
      </c>
      <c r="DA21" s="11">
        <f>IF(SUM(CI21:CL21)-CM21&gt;0,SUM(CI21:CL21)-CM21,"")</f>
        <v>23.369999999999997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63.125</v>
      </c>
      <c r="DE21" s="11">
        <f>IF(CU21&gt;0,CU21,"")</f>
        <v>5.4</v>
      </c>
      <c r="DF21" s="11">
        <f>IF(SUM(CS21:CV21)-CW21&gt;0,SUM(CS21:CV21)-CW21,"")</f>
        <v>28.935000000000002</v>
      </c>
      <c r="DG21" s="11">
        <f>IF(SUM(DD21,DF21)&gt;0,SUM(DD21,DF21),"")</f>
        <v>92.06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7.15</v>
      </c>
      <c r="NQ21" s="61">
        <f>IF($CX21="P",CE21,(CE21+BA21)/2)</f>
        <v>4.6500000000000004</v>
      </c>
      <c r="NR21" s="61">
        <f>IF($CX21="P",CF21,(CF21+BB21)/2)</f>
        <v>1.25</v>
      </c>
      <c r="NS21" s="61">
        <f>IF($CX21="P",CG21,(CG21+BC21)/2)</f>
        <v>6.8274999999999997</v>
      </c>
      <c r="NT21" s="61">
        <f>IF($CX21="P",CH21,(CH21+BD21)/2)</f>
        <v>0</v>
      </c>
      <c r="NU21" s="61">
        <f>IF($CX21="P",CI21,(CI21+BE21)/2)</f>
        <v>3.4</v>
      </c>
      <c r="NV21" s="61">
        <f>IF($CX21="P",CJ21,(CJ21+BF21)/2)</f>
        <v>2.25</v>
      </c>
      <c r="NW21" s="61">
        <f>IF($CX21="P",CK21,(CK21+BG21)/2)</f>
        <v>2.5499999999999998</v>
      </c>
      <c r="NX21" s="61">
        <f>IF($CX21="P",CL21,(CL21+BH21)/2)</f>
        <v>3.4849999999999999</v>
      </c>
      <c r="NY21" s="61">
        <f>IF($CX21="P",CM21,(CM21+BI21)/2)</f>
        <v>0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4.1500000000000004</v>
      </c>
      <c r="OF21" s="61">
        <f>IF($CX21="P",CT21,(CT21+BP21)/2)</f>
        <v>3.05</v>
      </c>
      <c r="OG21" s="61">
        <f>IF($CX21="P",CU21,(CU21+BQ21)/2)</f>
        <v>2.7</v>
      </c>
      <c r="OH21" s="61">
        <f>IF($CX21="P",CV21,(CV21+BR21)/2)</f>
        <v>4.5674999999999999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19.877500000000001</v>
      </c>
      <c r="OL21" s="11">
        <f>IF(NW21&gt;0,NW21,"")</f>
        <v>2.5499999999999998</v>
      </c>
      <c r="OM21" s="11">
        <f>IF(SUM(NU21:NX21)-NY21&gt;0,SUM(NU21:NX21)-NY21,"")</f>
        <v>11.684999999999999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31.5625</v>
      </c>
      <c r="OQ21" s="11">
        <f>IF(OG21&gt;0,OG21,"")</f>
        <v>2.7</v>
      </c>
      <c r="OR21" s="11">
        <f t="shared" ref="OR21" si="24">IF(SUM(OE21:OH21)-OI21&gt;0,SUM(OE21:OH21)-OI21,"")</f>
        <v>14.467500000000001</v>
      </c>
      <c r="OS21" s="11">
        <f t="shared" ref="OS21" si="25">IF(SUM(OP21,OR21)&gt;0,SUM(OP21,OR21),"")</f>
        <v>46.03</v>
      </c>
    </row>
    <row r="22" spans="1:409" x14ac:dyDescent="0.2">
      <c r="A22" s="5" t="str" cm="1">
        <f t="array" ref="A22">IF(AND(G22&lt;&gt;"",H22&lt;&gt;""),SUMPRODUCT((G$4:G$23&lt;&gt;"")*(H$4:H$23&lt;&gt;"")*(E$4:E$23&gt;E22))+1,IF(H22&lt;&gt;"",SUMPRODUCT((I$4:I$23="No DD")*(E$4:E$23&gt;E22))+1+SUMPRODUCT((G$4:G$23&lt;&gt;"")*(H$4:H$23&lt;&gt;"")),""))</f>
        <v/>
      </c>
      <c r="B22" s="6" t="s">
        <v>90</v>
      </c>
      <c r="C22" s="7" t="s">
        <v>4</v>
      </c>
      <c r="D22" s="26">
        <v>2002</v>
      </c>
      <c r="E22" s="15">
        <f>SUM(O22:S22)</f>
        <v>28.734999999999999</v>
      </c>
      <c r="F22" s="3" t="str">
        <f>IF(G22&lt;&gt;"","P","")</f>
        <v/>
      </c>
      <c r="G22" s="115" t="str">
        <f>IF(OR(AND(AR22&gt;=AY$28,AR22&lt;&gt;"",AP22=""),AND(AT22&gt;=AY$28,AT22&lt;&gt;"",AP22=""),AND(AW22&gt;=AY$28,AW22&lt;&gt;"",AP22=""),AND(BV22&gt;=CC$28,BV22&lt;&gt;"",BT22=""),AND(BX22&gt;=CC$28,BX22&lt;&gt;"",BT22=""),AND(CA22&gt;=CC$28,CA22&lt;&gt;"",BT22=""),AND(CZ22&gt;=DG$28,CZ22&lt;&gt;"",CX22=""),AND(DB22&gt;=DG$28,DB22&lt;&gt;"",CX22=""),AND(DE22&gt;=DG$28,DE22&lt;&gt;"",CX22=""),AND(EA22&gt;=EG$28,EA22&lt;&gt;""),AND(EE22&gt;=EG$28,EE22&lt;&gt;""),AND(EW22&gt;=FC$28,EW22&lt;&gt;""),AND(FA22&gt;=FC$28,FA22&lt;&gt;""),AND(FS22&gt;=FY$28,FS22&lt;&gt;""),AND(FW22&gt;=FY$28,FW22&lt;&gt;""),AND(GO22&gt;=GU$28,GO22&lt;&gt;""),AND(GS22&gt;=GU$28,GS22&lt;&gt;""),AND(HK22&gt;=HQ$28,HK22&lt;&gt;""),AND(HO22&gt;=HQ$28,HO22&lt;&gt;""),AND(IG22&gt;=IM$28,IG22&lt;&gt;""),AND(IK22&gt;=IM$28,IK22&lt;&gt;""),AND(JC22&gt;=JI$28,JC22&lt;&gt;""),AND(JG22&gt;=JI$28,JG22&lt;&gt;""),AND(JY22&gt;=KE$28,JY22&lt;&gt;""),AND(KC22&gt;=KE$28,KC22&lt;&gt;""),AND(KU22&gt;=LA$28,KU22&lt;&gt;""),AND(KY22&gt;=LA$28,KY22&lt;&gt;""),AND(LQ22&gt;=LW$28,LQ22&lt;&gt;""),AND(LU22&gt;=LW$28,LU22&lt;&gt;""),AND(MM22&gt;=MS$28,MM22&lt;&gt;""),AND(MQ22&gt;=MS$28,MQ22&lt;&gt;""),AND(NI22&gt;=NO$28,NI22&lt;&gt;""),AND(NM22&gt;=NO$28,NM22&lt;&gt;"")),"Merit",IF(OR(AND(AR22&gt;=AY$27,AR22&lt;&gt;"",AP22=""),AND(AT22&gt;=AY$27,AT22&lt;&gt;"",AP22=""),AND(AW22&gt;=AY$27,AW22&lt;&gt;"",AP22=""),AND(BV22&gt;=CC$27,BV22&lt;&gt;"",BT22=""),AND(BX22&gt;=CC$27,BX22&lt;&gt;"",BT22=""),AND(CA22&gt;=CC$27,CA22&lt;&gt;"",BT22=""),AND(CZ22&gt;=DG$27,CZ22&lt;&gt;"",CX22=""),AND(DB22&gt;=DG$27,DB22&lt;&gt;"",CX22=""),AND(DE22&gt;=DG$27,DE22&lt;&gt;"",CX22=""),AND(EA22&gt;=EG$27,EA22&lt;&gt;""),AND(EE22&gt;=EG$27,EE22&lt;&gt;""),AND(EW22&gt;=FC$27,EW22&lt;&gt;""),AND(FA22&gt;=FC$27,FA22&lt;&gt;""),AND(FS22&gt;=FY$27,FS22&lt;&gt;""),AND(FW22&gt;=FY$27,FW22&lt;&gt;""),AND(GO22&gt;=GU$27,GO22&lt;&gt;""),AND(GS22&gt;=GU$27,GS22&lt;&gt;""),AND(HK22&gt;=HQ$27,HK22&lt;&gt;""),AND(HO22&gt;=HQ$27,HO22&lt;&gt;""),AND(IG22&gt;=IM$27,IG22&lt;&gt;""),AND(IK22&gt;=IM$27,IK22&lt;&gt;""),AND(JC22&gt;=JI$27,JC22&lt;&gt;""),AND(JG22&gt;=JI$27,JG22&lt;&gt;""),AND(JY22&gt;=KE$27,JY22&lt;&gt;""),AND(KC22&gt;=KE$27,KC22&lt;&gt;""),AND(KU22&gt;=LA$27,KU22&lt;&gt;""),AND(KY22&gt;=LA$27,KY22&lt;&gt;""),AND(LQ22&gt;=LW$27,LQ22&lt;&gt;""),AND(LU22&gt;=LW$27,LU22&lt;&gt;""),AND(MM22&gt;=MS$27,MM22&lt;&gt;""),AND(MQ22&gt;=MS$27,MQ22&lt;&gt;""),AND(NI22&gt;=NO$27,NI22&lt;&gt;""),AND(NM22&gt;=NO$27,NM22&lt;&gt;"")),"Excellence",IF(OR(AND(AR22&gt;=AY$26,AR22&lt;&gt;"",AP22=""),AND(AT22&gt;=AY$26,AT22&lt;&gt;"",AP22=""),AND(AW22&gt;=AY$26,AW22&lt;&gt;"",AP22=""),AND(BV22&gt;=CC$26,BV22&lt;&gt;"",BT22=""),AND(BX22&gt;=CC$26,BX22&lt;&gt;"",BT22=""),AND(CA22&gt;=CC$26,CA22&lt;&gt;"",BT22=""),AND(CZ22&gt;=DG$26,CZ22&lt;&gt;"",CX22=""),AND(DB22&gt;=DG$26,DB22&lt;&gt;"",CX22=""),AND(DE22&gt;=DG$26,DE22&lt;&gt;"",CX22=""),AND(EA22&gt;=EG$26,EA22&lt;&gt;""),AND(EE22&gt;=EG$26,EE22&lt;&gt;""),AND(EW22&gt;=FC$26,EW22&lt;&gt;""),AND(FA22&gt;=FC$26,FA22&lt;&gt;""),AND(FS22&gt;=FY$26,FS22&lt;&gt;""),AND(FW22&gt;=FY$26,FW22&lt;&gt;""),AND(GO22&gt;=GU$26,GO22&lt;&gt;""),AND(GS22&gt;=GU$26,GS22&lt;&gt;""),AND(HK22&gt;=HQ$26,HK22&lt;&gt;""),AND(HO22&gt;=HQ$26,HO22&lt;&gt;""),AND(IG22&gt;=IM$26,IG22&lt;&gt;""),AND(IK22&gt;=IM$26,IK22&lt;&gt;""),AND(JC22&gt;=JI$26,JC22&lt;&gt;""),AND(JG22&gt;=JI$26,JG22&lt;&gt;""),AND(JY22&gt;=KE$26,JY22&lt;&gt;""),AND(KC22&gt;=KE$26,KC22&lt;&gt;""),AND(KU22&gt;=LA$26,KU22&lt;&gt;""),AND(KY22&gt;=LA$26,KY22&lt;&gt;""),AND(LQ22&gt;=LW$26,LQ22&lt;&gt;""),AND(LU22&gt;=LW$26,LU22&lt;&gt;""),AND(MM22&gt;=MS$26,MM22&lt;&gt;""),AND(MQ22&gt;=MS$26,MQ22&lt;&gt;""),AND(NI22&gt;=NO$26,NI22&lt;&gt;""),AND(NM22&gt;=NO$26,NM22&lt;&gt;"")),"Worlds Team",IF(OR(AND(AR22&gt;=AY$25,AR22&lt;&gt;"",AP22=""),AND(AT22&gt;=AY$25,AT22&lt;&gt;"",AP22=""),AND(AW22&gt;=AY$25,AW22&lt;&gt;"",AP22=""),AND(BV22&gt;=CC$25,BV22&lt;&gt;"",BT22=""),AND(BX22&gt;=CC$25,BX22&lt;&gt;"",BT22=""),AND(CA22&gt;=CC$25,CA22&lt;&gt;"",BT22=""),AND(CZ22&gt;=DG$25,CZ22&lt;&gt;"",CX22=""),AND(DB22&gt;=DG$25,DB22&lt;&gt;"",CX22=""),AND(DE22&gt;=DG$25,DE22&lt;&gt;"",CX22=""),AND(EA22&gt;=EG$25,EA22&lt;&gt;""),AND(EE22&gt;=EG$25,EE22&lt;&gt;""),AND(EW22&gt;=FC$25,EW22&lt;&gt;""),AND(FA22&gt;=FC$25,FA22&lt;&gt;""),AND(FS22&gt;=FY$25,FS22&lt;&gt;""),AND(FW22&gt;=FY$25,FW22&lt;&gt;""),AND(GO22&gt;=GU$25,GO22&lt;&gt;""),AND(GS22&gt;=GU$25,GS22&lt;&gt;""),AND(HK22&gt;=HQ$25,HK22&lt;&gt;""),AND(HO22&gt;=HQ$25,HO22&lt;&gt;""),AND(IG22&gt;=IM$25,IG22&lt;&gt;""),AND(IK22&gt;=IM$25,IK22&lt;&gt;""),AND(JC22&gt;=JI$25,JC22&lt;&gt;""),AND(JG22&gt;=JI$25,JG22&lt;&gt;""),AND(JY22&gt;=KE$25,JY22&lt;&gt;""),AND(KC22&gt;=KE$25,KC22&lt;&gt;""),AND(KU22&gt;=LA$25,KU22&lt;&gt;""),AND(KY22&gt;=LA$25,KY22&lt;&gt;""),AND(LQ22&gt;=LW$25,LQ22&lt;&gt;""),AND(LU22&gt;=LW$25,LU22&lt;&gt;""),AND(MM22&gt;=MS$25,MM22&lt;&gt;""),AND(MQ22&gt;=MS$25,MQ22&lt;&gt;""),AND(NI22&gt;=NO$25,NI22&lt;&gt;""),AND(NM22&gt;=NO$25,NM22&lt;&gt;"")),"National Team",""))))</f>
        <v/>
      </c>
      <c r="H22" s="115" t="str">
        <f>IF(OR(AND(AS22&gt;=AY$29,AS22&lt;&gt;"",AP22=""),AND(AU22&gt;=AY$29,AU22&lt;&gt;"",AP22=""),AND(AX22&gt;=AY$29,AX22&lt;&gt;"",AP22=""),AND(BW22&gt;=CC$29,BW22&lt;&gt;"",BT22=""),AND(BY22&gt;=CC$29,BY22&lt;&gt;"",BT22=""),AND(CB22&gt;=CC$29,CB22&lt;&gt;"",BT22=""),AND(DA22&gt;=DG$29,DA22&lt;&gt;"",CX22=""),AND(DC22&gt;=DG$29,DC22&lt;&gt;"",CX22=""),AND(DF22&gt;=DG$29,DF22&lt;&gt;"",CX22=""),AND(EC22&gt;=EG$29,EC22&lt;&gt;""),AND(EF22&gt;=EG$29,EF22&lt;&gt;""),AND(EY22&gt;=FC$29,EY22&lt;&gt;""),AND(FB22&gt;=FC$29,FB22&lt;&gt;""),AND(FU22&gt;=FY$29,FU22&lt;&gt;""),AND(FX22&gt;=FY$29,FX22&lt;&gt;""),AND(GQ22&gt;=GU$29,GQ22&lt;&gt;""),AND(GT22&gt;=GU$29,GT22&lt;&gt;""),AND(HM22&gt;=HQ$29,HM22&lt;&gt;""),AND(HP22&gt;=HQ$29,HP22&lt;&gt;""),AND(II22&gt;=IM$29,II22&lt;&gt;""),AND(IL22&gt;=IM$29,IL22&lt;&gt;""),AND(JE22&gt;=JI$29,JE22&lt;&gt;""),AND(JH22&gt;=JI$29,JH22&lt;&gt;""),AND(KA22&gt;=KE$29,KA22&lt;&gt;""),AND(KD22&gt;=KE$29,KD22&lt;&gt;""),AND(KW22&gt;=LA$29,KW22&lt;&gt;""),AND(KZ22&gt;=LA$29,KZ22&lt;&gt;""),AND(LS22&gt;=LW$29,LS22&lt;&gt;""),AND(LV22&gt;=LW$29,LV22&lt;&gt;""),AND(MO22&gt;=MS$29,MO22&lt;&gt;""),AND(MR22&gt;=MS$29,MR22&lt;&gt;""),AND(NK22&gt;=NO$29,NK22&lt;&gt;""),AND(NN22&gt;=NO$29,NN22&lt;&gt;"")),"National Team","")</f>
        <v/>
      </c>
      <c r="I22" s="11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$30,AV22&lt;&gt;"",AP22=""),AND(BZ22&gt;=CC$30,BZ22&lt;&gt;"",BT22=""),AND(DD22&gt;=DG$30,DD22&lt;&gt;"",CX22=""),AND(ED22&gt;=EG$30,ED22&lt;&gt;""),AND(EZ22&gt;=FC$30,EZ22&lt;&gt;""),AND(FV22&gt;=FY$30,FV22&lt;&gt;""),AND(GR22&gt;=GU$30,GR22&lt;&gt;""),AND(HN22&gt;=HQ$30,HN22&lt;&gt;""),AND(IJ22&gt;=IM$30,IJ22&lt;&gt;""),AND(JF22&gt;=JI$30,JF22&lt;&gt;""),AND(KB22&gt;=KE$30,KB22&lt;&gt;""),AND(KX22&gt;=LA$30,KX22&lt;&gt;""),AND(LT22&gt;=LW$30,LT22&lt;&gt;""),AND(MP22&gt;=MS$30,MP22&lt;&gt;""),AND(NL22&gt;=NO$30,NL22&lt;&gt;"")),OR(G22="Worlds Team",G22="Excellence",G22="Merit")),"P","")</f>
        <v/>
      </c>
      <c r="K22" s="14">
        <f>IF(MAX(AV22,BZ22,DD22)&gt;0,MAX(AV22,BZ22,DD22),0)</f>
        <v>42.480000000000004</v>
      </c>
      <c r="L22" s="14" t="str">
        <f>IF(K22=0,"",IF(K22=DD22,$CD$1,IF(K22=BZ22,$AZ$1,IF(K22=AV22,$V$1,""))))</f>
        <v>2019 Nationals</v>
      </c>
      <c r="M22" s="14">
        <f>IF($K22=$AV22,MAX(BU22,CY22),IF($K22=$BZ22,MAX(AQ22,CY22),IF($K22=$DD22,MAX(AQ22,BU22),MAX(AQ22,BU22,CY22))))</f>
        <v>0</v>
      </c>
      <c r="N22" s="14" t="str">
        <f>IF(M22=0,"",IF(AND(M22=CY22,$L22&lt;&gt;$CD$1),$CD$1,IF(AND(M22=BU22,$L22&lt;&gt;$AZ$1),$AZ$1,IF(AND(M22=AQ22,$L22&lt;&gt;$V$1),$V$1,""))))</f>
        <v/>
      </c>
      <c r="O22" s="14">
        <f>MAX(AS22,AU22,AX22,BW22,BY22,CB22,DA22,DC22,DF22)</f>
        <v>28.734999999999999</v>
      </c>
      <c r="P22" s="14" t="str">
        <f>IF(O22=0,"",IF(OR(O22=DC22,O22=DA22,O22=DF22),$CD$1,IF(OR(O22=BY22,O22=BW22,O22=CB22),$AZ$1,IF(OR(O22=AU22,O22=AS22,O22=AX22),$V$1,""))))</f>
        <v>2019 Nationals</v>
      </c>
      <c r="Q22" s="14">
        <f>IF(COUNT(AS22,AU22,AX22,BW22,BY22,CB22,DA22,DC22,DF22)&gt;1,LARGE((AS22,AU22,AX22,BW22,BY22,CB22,DA22,DC22,DF22),2),0)</f>
        <v>0</v>
      </c>
      <c r="R22" s="14" t="str">
        <f>IF(Q22=0,"",IF(OR(Q22=DC22,Q22=DA22,Q22=DF22),$CD$1,IF(OR(Q22=BY22,Q22=BW22,Q22=CB22),$AZ$1,IF(OR(Q22=AU22,Q22=AS22,Q22=AX22),$V$1,""))))</f>
        <v/>
      </c>
      <c r="S22" s="14" t="str">
        <f>IF(MAX(DI22,DK22)&gt;0,MAX(DI22,DK22),"")</f>
        <v/>
      </c>
      <c r="T22" s="24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1">
        <v>5.3</v>
      </c>
      <c r="W22" s="61">
        <v>2.9</v>
      </c>
      <c r="X22" s="61">
        <v>1.3</v>
      </c>
      <c r="Y22" s="61">
        <v>4.2450000000000001</v>
      </c>
      <c r="Z22" s="61">
        <v>0</v>
      </c>
      <c r="AA22" s="61">
        <v>9.1</v>
      </c>
      <c r="AB22" s="61">
        <v>5.4</v>
      </c>
      <c r="AC22" s="61">
        <v>5.4</v>
      </c>
      <c r="AD22" s="61">
        <v>8.8350000000000009</v>
      </c>
      <c r="AE22" s="61">
        <v>0</v>
      </c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72"/>
      <c r="AQ22" s="11">
        <f>IF(SUM(V22:Y22)-Z22&gt;0,SUM(V22:Y22)-Z22,"")</f>
        <v>13.745000000000001</v>
      </c>
      <c r="AR22" s="11">
        <f>IF(AC22&gt;0,AC22,"")</f>
        <v>5.4</v>
      </c>
      <c r="AS22" s="11">
        <f>IF(SUM(AA22:AD22)-AE22&gt;0,SUM(AA22:AD22)-AE22,"")</f>
        <v>28.734999999999999</v>
      </c>
      <c r="AT22" s="11" t="str">
        <f>IF(AH22&gt;0,AH22,"")</f>
        <v/>
      </c>
      <c r="AU22" s="11" t="str">
        <f>IF(SUM(AF22:AI22)-AJ22&gt;0,SUM(AF22:AI22)-AJ22,"")</f>
        <v/>
      </c>
      <c r="AV22" s="11">
        <f>IF(AQ22="",IF(MAX(AS22,AU22)&gt;0,MAX(AS22,AU22),""),MAX(AS22,AU22)+AQ22)</f>
        <v>42.480000000000004</v>
      </c>
      <c r="AW22" s="11" t="str">
        <f>IF(AM22&gt;0,AM22,"")</f>
        <v/>
      </c>
      <c r="AX22" s="11" t="str">
        <f>IF(SUM(AK22:AN22)-AO22&gt;0,SUM(AK22:AN22)-AO22,"")</f>
        <v/>
      </c>
      <c r="AY22" s="11">
        <f>IF(SUM(AV22,AX22)&gt;0,SUM(AV22,AX22),"")</f>
        <v>42.480000000000004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>IF(SUM(AZ22:BC22)-BD22&gt;0,SUM(AZ22:BC22)-BD22,"")</f>
        <v/>
      </c>
      <c r="BV22" s="14" t="str">
        <f>IF(BG22&gt;0,BG22,"")</f>
        <v/>
      </c>
      <c r="BW22" s="14" t="str">
        <f>IF(SUM(BE22:BH22)-BI22&gt;0,SUM(BE22:BH22)-BI22,"")</f>
        <v/>
      </c>
      <c r="BX22" s="14" t="str">
        <f>IF(BL22&gt;0,BL22,"")</f>
        <v/>
      </c>
      <c r="BY22" s="14" t="str">
        <f>IF(SUM(BJ22:BM22)-BN22&gt;0,SUM(BJ22:BM22)-BN22,"")</f>
        <v/>
      </c>
      <c r="BZ22" s="14" t="str">
        <f>IF(BU22="",IF(MAX(BW22,BY22)&gt;0,MAX(BW22,BY22),""),MAX(BW22,BY22)+BU22)</f>
        <v/>
      </c>
      <c r="CA22" s="14" t="str">
        <f>IF(BQ22&gt;0,BQ22,"")</f>
        <v/>
      </c>
      <c r="CB22" s="14" t="str">
        <f>IF(SUM(BO22:BR22)-BS22&gt;0,SUM(BO22:BR22)-BS22,"")</f>
        <v/>
      </c>
      <c r="CC22" s="14" t="str">
        <f>IF(SUM(BZ22,CB22)&gt;0,SUM(BZ22,CB22),"")</f>
        <v/>
      </c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 t="str">
        <f>IF(SUM(CD22:CG22)-CH22&gt;0,SUM(CD22:CG22)-CH22,"")</f>
        <v/>
      </c>
      <c r="CZ22" s="11" t="str">
        <f>IF(CK22&gt;0,CK22,"")</f>
        <v/>
      </c>
      <c r="DA22" s="11" t="str">
        <f>IF(SUM(CI22:CL22)-CM22&gt;0,SUM(CI22:CL22)-CM22,"")</f>
        <v/>
      </c>
      <c r="DB22" s="11" t="str">
        <f>IF(CP22&gt;0,CP22,"")</f>
        <v/>
      </c>
      <c r="DC22" s="11" t="str">
        <f>IF(SUM(CN22:CQ22)-CR22&gt;0,SUM(CN22:CQ22)-CR22,"")</f>
        <v/>
      </c>
      <c r="DD22" s="11" t="str">
        <f>IF(CY22="",IF(MAX(DA22,DC22)&gt;0,MAX(DA22,DC22),""),MAX(DA22,DC22)+CY22)</f>
        <v/>
      </c>
      <c r="DE22" s="11" t="str">
        <f>IF(CU22&gt;0,CU22,"")</f>
        <v/>
      </c>
      <c r="DF22" s="11" t="str">
        <f>IF(SUM(CS22:CV22)-CW22&gt;0,SUM(CS22:CV22)-CW22,"")</f>
        <v/>
      </c>
      <c r="DG22" s="11" t="str">
        <f>IF(SUM(DD22,DF22)&gt;0,SUM(DD22,DF22),"")</f>
        <v/>
      </c>
      <c r="DH22" s="23" t="str">
        <f>IF(MAX(EB22,EX22,FT22,GP22,HL22,IH22,JD22,JZ22,KV22,LR22,MN22,NJ22)-IF(M22="",0,M22)&gt;0.001,MAX(EB22,EX22,FT22,GP22,HL22,IH22,JD22,JZ22,KV22,LR22,MN22,NJ22)-IF(M22="",0,M22),"")</f>
        <v/>
      </c>
      <c r="DI22" s="23" t="str">
        <f>IF(MAX(EC22,EY22,FU22,GQ22,HM22,II22,JE22,KA22,KW22,LS22,MO22,NK22)-IF(O22="",0,O22)&gt;0.001,MAX(EC22,EY22,FU22,GQ22,HM22,II22,JE22,KA22,KW22,LS22,MO22,NK22)-IF(O22="",0,O22),"")</f>
        <v/>
      </c>
      <c r="DJ22" s="23" t="str">
        <f>IF(MAX(ED22,EZ22,FV22,GR22,HN22,IJ22,JF22,KB22,KX22,LT22,MP22,NL22)-IF(K22="",0,K22)&gt;0.001,MAX(ED22,EZ22,FV22,GR22,HN22,IJ22,JF22,KB22,KX22,LT22,MP22,NL22)-IF(K22="",0,K22),"")</f>
        <v/>
      </c>
      <c r="DK22" s="23" t="str">
        <f>IF(MAX(EF22,FB22,FX22,GT22,HP22,IL22,JH22,KD22,KZ22,LV22,MR22,NN22)-IF(Q22="",0,Q22)&gt;0.001,MAX(EF22,FB22,FX22,GT22,HP22,IL22,JH22,KD22,KZ22,LV22,MR22,NN22)-IF(Q22="",0,Q22),"")</f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1">
        <f>IF($CX22="P",CD22,(CD22+AZ22)/2)</f>
        <v>0</v>
      </c>
      <c r="NQ22" s="61">
        <f>IF($CX22="P",CE22,(CE22+BA22)/2)</f>
        <v>0</v>
      </c>
      <c r="NR22" s="61">
        <f>IF($CX22="P",CF22,(CF22+BB22)/2)</f>
        <v>0</v>
      </c>
      <c r="NS22" s="61">
        <f>IF($CX22="P",CG22,(CG22+BC22)/2)</f>
        <v>0</v>
      </c>
      <c r="NT22" s="61">
        <f>IF($CX22="P",CH22,(CH22+BD22)/2)</f>
        <v>0</v>
      </c>
      <c r="NU22" s="61">
        <f>IF($CX22="P",CI22,(CI22+BE22)/2)</f>
        <v>0</v>
      </c>
      <c r="NV22" s="61">
        <f>IF($CX22="P",CJ22,(CJ22+BF22)/2)</f>
        <v>0</v>
      </c>
      <c r="NW22" s="61">
        <f>IF($CX22="P",CK22,(CK22+BG22)/2)</f>
        <v>0</v>
      </c>
      <c r="NX22" s="61">
        <f>IF($CX22="P",CL22,(CL22+BH22)/2)</f>
        <v>0</v>
      </c>
      <c r="NY22" s="61">
        <f>IF($CX22="P",CM22,(CM22+BI22)/2)</f>
        <v>0</v>
      </c>
      <c r="NZ22" s="61">
        <f>IF($CX22="P",CN22,(CN22+BJ22)/2)</f>
        <v>0</v>
      </c>
      <c r="OA22" s="61">
        <f>IF($CX22="P",CO22,(CO22+BK22)/2)</f>
        <v>0</v>
      </c>
      <c r="OB22" s="61">
        <f>IF($CX22="P",CP22,(CP22+BL22)/2)</f>
        <v>0</v>
      </c>
      <c r="OC22" s="61">
        <f>IF($CX22="P",CQ22,(CQ22+BM22)/2)</f>
        <v>0</v>
      </c>
      <c r="OD22" s="61">
        <f>IF($CX22="P",CR22,(CR22+BN22)/2)</f>
        <v>0</v>
      </c>
      <c r="OE22" s="61">
        <f>IF($CX22="P",CS22,(CS22+BO22)/2)</f>
        <v>0</v>
      </c>
      <c r="OF22" s="61">
        <f>IF($CX22="P",CT22,(CT22+BP22)/2)</f>
        <v>0</v>
      </c>
      <c r="OG22" s="61">
        <f>IF($CX22="P",CU22,(CU22+BQ22)/2)</f>
        <v>0</v>
      </c>
      <c r="OH22" s="61">
        <f>IF($CX22="P",CV22,(CV22+BR22)/2)</f>
        <v>0</v>
      </c>
      <c r="OI22" s="61">
        <f>IF($CX22="P",CW22,(CW22+BS22)/2)</f>
        <v>0</v>
      </c>
      <c r="OJ22" s="72" t="s">
        <v>52</v>
      </c>
      <c r="OK22" s="11" t="str">
        <f>IF(SUM(NP22:NS22)-NT22&gt;0,SUM(NP22:NS22)-NT22,"")</f>
        <v/>
      </c>
      <c r="OL22" s="11" t="str">
        <f>IF(NW22&gt;0,NW22,"")</f>
        <v/>
      </c>
      <c r="OM22" s="11" t="str">
        <f>IF(SUM(NU22:NX22)-NY22&gt;0,SUM(NU22:NX22)-NY22,"")</f>
        <v/>
      </c>
      <c r="ON22" s="11" t="str">
        <f>IF(OB22&gt;0,OB22,"")</f>
        <v/>
      </c>
      <c r="OO22" s="11" t="str">
        <f>IF(SUM(NZ22:OC22)-OD22&gt;0,SUM(NZ22:OC22)-OD22,"")</f>
        <v/>
      </c>
      <c r="OP22" s="11" t="str">
        <f>IF(OR(OK22&lt;&gt;"",OM22&lt;&gt;"",OO22&lt;&gt;""),OK22+MAX(OM22,OO22),"")</f>
        <v/>
      </c>
      <c r="OQ22" s="11" t="str">
        <f>IF(OG22&gt;0,OG22,"")</f>
        <v/>
      </c>
      <c r="OR22" s="11" t="str">
        <f t="shared" ref="OR22" si="26">IF(SUM(OE22:OH22)-OI22&gt;0,SUM(OE22:OH22)-OI22,"")</f>
        <v/>
      </c>
      <c r="OS22" s="11" t="str">
        <f t="shared" ref="OS22" si="27">IF(SUM(OP22,OR22)&gt;0,SUM(OP22,OR22),"")</f>
        <v/>
      </c>
    </row>
    <row r="23" spans="1:409" x14ac:dyDescent="0.2">
      <c r="B23" s="6"/>
      <c r="D23" s="1"/>
    </row>
    <row r="24" spans="1:409" x14ac:dyDescent="0.2">
      <c r="H24" s="115"/>
      <c r="J24" s="115"/>
    </row>
    <row r="25" spans="1:409" x14ac:dyDescent="0.2">
      <c r="B25" s="62" t="s">
        <v>50</v>
      </c>
      <c r="C25" s="49"/>
      <c r="H25" s="3"/>
      <c r="AR25" s="114"/>
      <c r="AS25" s="114"/>
      <c r="AT25" s="114"/>
      <c r="AW25" s="47"/>
      <c r="AY25" s="56">
        <v>11.2</v>
      </c>
      <c r="BV25" s="114"/>
      <c r="BW25" s="114"/>
      <c r="BX25" s="114"/>
      <c r="CA25" s="47"/>
      <c r="CC25" s="56">
        <v>11.2</v>
      </c>
      <c r="CZ25" s="114"/>
      <c r="DA25" s="114"/>
      <c r="DB25" s="114"/>
      <c r="DE25" s="47"/>
      <c r="DG25" s="56">
        <v>11.2</v>
      </c>
      <c r="EA25" s="49"/>
      <c r="EE25" s="47"/>
      <c r="EG25" s="56">
        <v>11.2</v>
      </c>
      <c r="EW25" s="49"/>
      <c r="FA25" s="47"/>
      <c r="FC25" s="56">
        <v>11.2</v>
      </c>
      <c r="FS25" s="49"/>
      <c r="FW25" s="47"/>
      <c r="FY25" s="56">
        <v>11.2</v>
      </c>
      <c r="GO25" s="49"/>
      <c r="GS25" s="47"/>
      <c r="GU25" s="56">
        <v>11.2</v>
      </c>
      <c r="HK25" s="49"/>
      <c r="HO25" s="47"/>
      <c r="HQ25" s="56">
        <v>11.2</v>
      </c>
      <c r="IG25" s="49"/>
      <c r="IK25" s="47"/>
      <c r="IM25" s="56">
        <v>11.2</v>
      </c>
      <c r="JC25" s="49"/>
      <c r="JG25" s="47"/>
      <c r="JI25" s="56">
        <v>11.2</v>
      </c>
      <c r="JY25" s="49"/>
      <c r="KC25" s="47"/>
      <c r="KE25" s="56">
        <v>11.2</v>
      </c>
      <c r="KU25" s="49"/>
      <c r="KY25" s="47"/>
      <c r="LA25" s="56">
        <v>11.2</v>
      </c>
      <c r="LQ25" s="49"/>
      <c r="LU25" s="47"/>
      <c r="LW25" s="56">
        <v>11.2</v>
      </c>
      <c r="MM25" s="49"/>
      <c r="MQ25" s="47"/>
      <c r="MS25" s="56">
        <v>11.2</v>
      </c>
      <c r="NI25" s="49"/>
      <c r="NM25" s="47"/>
      <c r="NO25" s="56">
        <v>11.2</v>
      </c>
    </row>
    <row r="26" spans="1:409" hidden="1" x14ac:dyDescent="0.2">
      <c r="B26" s="83" t="s">
        <v>49</v>
      </c>
      <c r="C26" s="49"/>
      <c r="AR26" s="114"/>
      <c r="AS26" s="114"/>
      <c r="AT26" s="114"/>
      <c r="AW26" s="47"/>
      <c r="AY26" s="98">
        <v>1000</v>
      </c>
      <c r="BV26" s="114"/>
      <c r="BW26" s="114"/>
      <c r="BX26" s="114"/>
      <c r="CA26" s="47"/>
      <c r="CC26" s="98">
        <v>1000</v>
      </c>
      <c r="CZ26" s="114"/>
      <c r="DA26" s="114"/>
      <c r="DB26" s="114"/>
      <c r="DE26" s="47"/>
      <c r="DG26" s="98">
        <v>1000</v>
      </c>
      <c r="EA26" s="49"/>
      <c r="EE26" s="47"/>
      <c r="EG26" s="98">
        <v>1000</v>
      </c>
      <c r="EW26" s="49"/>
      <c r="FA26" s="47"/>
      <c r="FC26" s="98">
        <v>1000</v>
      </c>
      <c r="FS26" s="49"/>
      <c r="FW26" s="47"/>
      <c r="FY26" s="98">
        <v>1000</v>
      </c>
      <c r="GO26" s="49"/>
      <c r="GS26" s="47"/>
      <c r="GU26" s="98">
        <v>1000</v>
      </c>
      <c r="HK26" s="49"/>
      <c r="HO26" s="47"/>
      <c r="HQ26" s="98">
        <v>1000</v>
      </c>
      <c r="IG26" s="49"/>
      <c r="IK26" s="47"/>
      <c r="IM26" s="98">
        <v>1000</v>
      </c>
      <c r="JC26" s="49"/>
      <c r="JG26" s="47"/>
      <c r="JI26" s="98">
        <v>1000</v>
      </c>
      <c r="JY26" s="49"/>
      <c r="KC26" s="47"/>
      <c r="KE26" s="98">
        <v>1000</v>
      </c>
      <c r="KU26" s="49"/>
      <c r="KY26" s="47"/>
      <c r="LA26" s="98">
        <v>1000</v>
      </c>
      <c r="LQ26" s="49"/>
      <c r="LU26" s="47"/>
      <c r="LW26" s="98">
        <v>1000</v>
      </c>
      <c r="MM26" s="49"/>
      <c r="MQ26" s="47"/>
      <c r="MS26" s="98">
        <v>1000</v>
      </c>
      <c r="NI26" s="49"/>
      <c r="NM26" s="47"/>
      <c r="NO26" s="98">
        <v>1000</v>
      </c>
    </row>
    <row r="27" spans="1:409" hidden="1" x14ac:dyDescent="0.2">
      <c r="A27" s="49"/>
      <c r="B27" s="84" t="s">
        <v>62</v>
      </c>
      <c r="C27" s="49"/>
      <c r="AR27" s="114"/>
      <c r="AS27" s="114"/>
      <c r="AT27" s="114"/>
      <c r="AV27" s="47"/>
      <c r="AW27" s="47"/>
      <c r="AX27" s="47"/>
      <c r="AY27" s="86">
        <v>1000</v>
      </c>
      <c r="BV27" s="114"/>
      <c r="BW27" s="114"/>
      <c r="BX27" s="114"/>
      <c r="CA27" s="47"/>
      <c r="CC27" s="86">
        <v>1000</v>
      </c>
      <c r="CZ27" s="114"/>
      <c r="DA27" s="114"/>
      <c r="DB27" s="114"/>
      <c r="DD27" s="47"/>
      <c r="DE27" s="47"/>
      <c r="DF27" s="47"/>
      <c r="DG27" s="86">
        <v>1000</v>
      </c>
      <c r="EA27" s="49"/>
      <c r="EE27" s="47"/>
      <c r="EG27" s="86">
        <v>1000</v>
      </c>
      <c r="EW27" s="49"/>
      <c r="FA27" s="47"/>
      <c r="FC27" s="86">
        <v>1000</v>
      </c>
      <c r="FS27" s="49"/>
      <c r="FW27" s="47"/>
      <c r="FY27" s="86">
        <v>1000</v>
      </c>
      <c r="GO27" s="49"/>
      <c r="GS27" s="47"/>
      <c r="GU27" s="86">
        <v>1000</v>
      </c>
      <c r="HK27" s="49"/>
      <c r="HO27" s="47"/>
      <c r="HQ27" s="86">
        <v>1000</v>
      </c>
      <c r="IG27" s="49"/>
      <c r="IK27" s="47"/>
      <c r="IM27" s="86">
        <v>1000</v>
      </c>
      <c r="JC27" s="49"/>
      <c r="JG27" s="47"/>
      <c r="JI27" s="86">
        <v>1000</v>
      </c>
      <c r="JY27" s="49"/>
      <c r="KC27" s="47"/>
      <c r="KE27" s="86">
        <v>1000</v>
      </c>
      <c r="KU27" s="49"/>
      <c r="KY27" s="47"/>
      <c r="LA27" s="86">
        <v>1000</v>
      </c>
      <c r="LQ27" s="49"/>
      <c r="LU27" s="47"/>
      <c r="LW27" s="86">
        <v>1000</v>
      </c>
      <c r="MM27" s="49"/>
      <c r="MQ27" s="47"/>
      <c r="MS27" s="86">
        <v>1000</v>
      </c>
      <c r="NI27" s="49"/>
      <c r="NM27" s="47"/>
      <c r="NO27" s="86">
        <v>1000</v>
      </c>
    </row>
    <row r="28" spans="1:409" hidden="1" x14ac:dyDescent="0.2">
      <c r="A28" s="49"/>
      <c r="B28" s="110" t="s">
        <v>72</v>
      </c>
      <c r="C28" s="49"/>
      <c r="AR28" s="114"/>
      <c r="AS28" s="114"/>
      <c r="AT28" s="114"/>
      <c r="AV28" s="47"/>
      <c r="AW28" s="47"/>
      <c r="AX28" s="47"/>
      <c r="AY28" s="111">
        <v>1000</v>
      </c>
      <c r="BV28" s="114"/>
      <c r="BW28" s="114"/>
      <c r="BX28" s="114"/>
      <c r="CA28" s="47"/>
      <c r="CC28" s="111">
        <v>1000</v>
      </c>
      <c r="CZ28" s="114"/>
      <c r="DA28" s="114"/>
      <c r="DB28" s="114"/>
      <c r="DD28" s="47"/>
      <c r="DE28" s="47"/>
      <c r="DF28" s="47"/>
      <c r="DG28" s="111">
        <v>1000</v>
      </c>
      <c r="EA28" s="49"/>
      <c r="EE28" s="47"/>
      <c r="EG28" s="111">
        <v>1000</v>
      </c>
      <c r="EW28" s="49"/>
      <c r="FA28" s="47"/>
      <c r="FC28" s="111">
        <v>1000</v>
      </c>
      <c r="FS28" s="49"/>
      <c r="FW28" s="47"/>
      <c r="FY28" s="111">
        <v>1000</v>
      </c>
      <c r="GO28" s="49"/>
      <c r="GS28" s="47"/>
      <c r="GU28" s="111">
        <v>1000</v>
      </c>
      <c r="HK28" s="49"/>
      <c r="HO28" s="47"/>
      <c r="HQ28" s="111">
        <v>1000</v>
      </c>
      <c r="IG28" s="49"/>
      <c r="IK28" s="47"/>
      <c r="IM28" s="111">
        <v>1000</v>
      </c>
      <c r="JC28" s="49"/>
      <c r="JG28" s="47"/>
      <c r="JI28" s="111">
        <v>1000</v>
      </c>
      <c r="JY28" s="49"/>
      <c r="KC28" s="47"/>
      <c r="KE28" s="111">
        <v>1000</v>
      </c>
      <c r="KU28" s="49"/>
      <c r="KY28" s="47"/>
      <c r="LA28" s="111">
        <v>1000</v>
      </c>
      <c r="LQ28" s="49"/>
      <c r="LU28" s="47"/>
      <c r="LW28" s="111">
        <v>1000</v>
      </c>
      <c r="MM28" s="49"/>
      <c r="MQ28" s="47"/>
      <c r="MS28" s="111">
        <v>1000</v>
      </c>
      <c r="NI28" s="49"/>
      <c r="NM28" s="47"/>
      <c r="NO28" s="111">
        <v>1000</v>
      </c>
    </row>
    <row r="29" spans="1:409" x14ac:dyDescent="0.2">
      <c r="A29" s="49"/>
      <c r="B29" s="108" t="s">
        <v>47</v>
      </c>
      <c r="C29" s="49"/>
      <c r="O29" s="2"/>
      <c r="AR29" s="114"/>
      <c r="AS29" s="114"/>
      <c r="AT29" s="114"/>
      <c r="AV29" s="47"/>
      <c r="AW29" s="47"/>
      <c r="AX29" s="47"/>
      <c r="AY29" s="109">
        <v>48.3</v>
      </c>
      <c r="BV29" s="114"/>
      <c r="BW29" s="114"/>
      <c r="BX29" s="114"/>
      <c r="CA29" s="47"/>
      <c r="CC29" s="109">
        <v>48.3</v>
      </c>
      <c r="CZ29" s="114"/>
      <c r="DA29" s="114"/>
      <c r="DB29" s="114"/>
      <c r="DD29" s="47"/>
      <c r="DE29" s="47"/>
      <c r="DF29" s="47"/>
      <c r="DG29" s="109">
        <v>48.3</v>
      </c>
      <c r="EA29" s="49"/>
      <c r="EE29" s="47"/>
      <c r="EG29" s="109">
        <v>48.3</v>
      </c>
      <c r="EW29" s="49"/>
      <c r="FA29" s="47"/>
      <c r="FC29" s="109">
        <v>48.3</v>
      </c>
      <c r="FS29" s="49"/>
      <c r="FW29" s="47"/>
      <c r="FY29" s="109">
        <v>48.3</v>
      </c>
      <c r="GO29" s="49"/>
      <c r="GS29" s="47"/>
      <c r="GU29" s="109">
        <v>48.3</v>
      </c>
      <c r="HK29" s="49"/>
      <c r="HO29" s="47"/>
      <c r="HQ29" s="109">
        <v>48.3</v>
      </c>
      <c r="IG29" s="49"/>
      <c r="IK29" s="47"/>
      <c r="IM29" s="109">
        <v>48.3</v>
      </c>
      <c r="JC29" s="49"/>
      <c r="JG29" s="47"/>
      <c r="JI29" s="109">
        <v>48.3</v>
      </c>
      <c r="JY29" s="49"/>
      <c r="KC29" s="47"/>
      <c r="KE29" s="109">
        <v>48.3</v>
      </c>
      <c r="KU29" s="49"/>
      <c r="KY29" s="47"/>
      <c r="LA29" s="109">
        <v>48.3</v>
      </c>
      <c r="LQ29" s="49"/>
      <c r="LU29" s="47"/>
      <c r="LW29" s="109">
        <v>48.3</v>
      </c>
      <c r="MM29" s="49"/>
      <c r="MQ29" s="47"/>
      <c r="MS29" s="109">
        <v>48.3</v>
      </c>
      <c r="NI29" s="49"/>
      <c r="NM29" s="47"/>
      <c r="NO29" s="109">
        <v>48.3</v>
      </c>
    </row>
    <row r="30" spans="1:409" hidden="1" x14ac:dyDescent="0.2">
      <c r="A30" s="49"/>
      <c r="B30" s="64" t="s">
        <v>48</v>
      </c>
      <c r="C30" s="49"/>
      <c r="O30" s="2"/>
      <c r="AR30" s="114"/>
      <c r="AS30" s="114"/>
      <c r="AT30" s="114"/>
      <c r="AV30" s="47"/>
      <c r="AW30" s="47"/>
      <c r="AX30" s="47"/>
      <c r="AY30" s="58">
        <v>1000</v>
      </c>
      <c r="BV30" s="114"/>
      <c r="BW30" s="114"/>
      <c r="BX30" s="114"/>
      <c r="CA30" s="47"/>
      <c r="CC30" s="58">
        <v>1000</v>
      </c>
      <c r="CZ30" s="114"/>
      <c r="DA30" s="114"/>
      <c r="DB30" s="114"/>
      <c r="DD30" s="47"/>
      <c r="DE30" s="47"/>
      <c r="DF30" s="47"/>
      <c r="DG30" s="58">
        <v>1000</v>
      </c>
      <c r="EA30" s="49"/>
      <c r="EE30" s="47"/>
      <c r="EG30" s="58">
        <v>1000</v>
      </c>
      <c r="EW30" s="49"/>
      <c r="FA30" s="47"/>
      <c r="FC30" s="58">
        <v>1000</v>
      </c>
      <c r="FS30" s="49"/>
      <c r="FW30" s="47"/>
      <c r="FY30" s="58">
        <v>1000</v>
      </c>
      <c r="GO30" s="49"/>
      <c r="GS30" s="47"/>
      <c r="GU30" s="58">
        <v>1000</v>
      </c>
      <c r="HK30" s="49"/>
      <c r="HO30" s="47"/>
      <c r="HQ30" s="58">
        <v>1000</v>
      </c>
      <c r="IG30" s="49"/>
      <c r="IK30" s="47"/>
      <c r="IM30" s="58">
        <v>1000</v>
      </c>
      <c r="JC30" s="49"/>
      <c r="JG30" s="47"/>
      <c r="JI30" s="58">
        <v>1000</v>
      </c>
      <c r="JY30" s="49"/>
      <c r="KC30" s="47"/>
      <c r="KE30" s="58">
        <v>1000</v>
      </c>
      <c r="KU30" s="49"/>
      <c r="KY30" s="47"/>
      <c r="LA30" s="58">
        <v>1000</v>
      </c>
      <c r="LQ30" s="49"/>
      <c r="LU30" s="47"/>
      <c r="LW30" s="58">
        <v>1000</v>
      </c>
      <c r="MM30" s="49"/>
      <c r="MQ30" s="47"/>
      <c r="MS30" s="58">
        <v>1000</v>
      </c>
      <c r="NI30" s="49"/>
      <c r="NM30" s="47"/>
      <c r="NO30" s="58">
        <v>1000</v>
      </c>
    </row>
    <row r="31" spans="1:409" hidden="1" x14ac:dyDescent="0.2">
      <c r="A31" s="49"/>
      <c r="B31" s="106" t="s">
        <v>60</v>
      </c>
      <c r="C31" s="49"/>
      <c r="AR31" s="114"/>
      <c r="AS31" s="114"/>
      <c r="AT31" s="114"/>
      <c r="AV31" s="47"/>
      <c r="AW31" s="47"/>
      <c r="AX31" s="47"/>
      <c r="AY31" s="107">
        <v>1000</v>
      </c>
      <c r="BV31" s="114"/>
      <c r="BW31" s="114"/>
      <c r="BX31" s="114"/>
      <c r="CA31" s="47"/>
      <c r="CB31" s="117"/>
      <c r="CC31" s="107">
        <v>1000</v>
      </c>
      <c r="CZ31" s="114"/>
      <c r="DA31" s="114"/>
      <c r="DB31" s="114"/>
      <c r="DD31" s="47"/>
      <c r="DE31" s="47"/>
      <c r="DF31" s="47"/>
      <c r="DG31" s="107">
        <v>1000</v>
      </c>
      <c r="EA31" s="49"/>
      <c r="EE31" s="47"/>
      <c r="EF31" s="117"/>
      <c r="EG31" s="107">
        <v>1000</v>
      </c>
      <c r="EW31" s="49"/>
      <c r="FA31" s="47"/>
      <c r="FC31" s="107">
        <v>1000</v>
      </c>
      <c r="FS31" s="49"/>
      <c r="FW31" s="47"/>
      <c r="FY31" s="107">
        <v>1000</v>
      </c>
      <c r="GO31" s="49"/>
      <c r="GS31" s="47"/>
      <c r="GT31" s="117"/>
      <c r="GU31" s="107">
        <v>1000</v>
      </c>
      <c r="HK31" s="49"/>
      <c r="HO31" s="47"/>
      <c r="HP31" s="117"/>
      <c r="HQ31" s="107">
        <v>1000</v>
      </c>
      <c r="IG31" s="49"/>
      <c r="IK31" s="47"/>
      <c r="IL31" s="117"/>
      <c r="IM31" s="107">
        <v>1000</v>
      </c>
      <c r="JC31" s="49"/>
      <c r="JG31" s="47"/>
      <c r="JI31" s="107">
        <v>1000</v>
      </c>
      <c r="JY31" s="49"/>
      <c r="KC31" s="47"/>
      <c r="KE31" s="107">
        <v>1000</v>
      </c>
      <c r="KU31" s="49"/>
      <c r="KY31" s="47"/>
      <c r="LA31" s="107">
        <v>1000</v>
      </c>
      <c r="LQ31" s="49"/>
      <c r="LU31" s="47"/>
      <c r="LW31" s="107">
        <v>1000</v>
      </c>
      <c r="MM31" s="49"/>
      <c r="MQ31" s="47"/>
      <c r="MS31" s="107">
        <v>1000</v>
      </c>
      <c r="NI31" s="49"/>
      <c r="NM31" s="47"/>
      <c r="NO31" s="107">
        <v>1000</v>
      </c>
    </row>
    <row r="32" spans="1:409" hidden="1" x14ac:dyDescent="0.2">
      <c r="A32" s="49"/>
      <c r="B32" s="66" t="s">
        <v>34</v>
      </c>
      <c r="C32" s="49"/>
      <c r="O32" s="2"/>
      <c r="AR32" s="114"/>
      <c r="AS32" s="114"/>
      <c r="AT32" s="114"/>
      <c r="AV32" s="47"/>
      <c r="AW32" s="47"/>
      <c r="AX32" s="47"/>
      <c r="AY32" s="60">
        <v>1000</v>
      </c>
      <c r="BV32" s="114"/>
      <c r="BW32" s="114"/>
      <c r="BX32" s="114"/>
      <c r="CA32" s="47"/>
      <c r="CC32" s="60">
        <v>1000</v>
      </c>
      <c r="CZ32" s="114"/>
      <c r="DA32" s="114"/>
      <c r="DB32" s="114"/>
      <c r="DD32" s="47"/>
      <c r="DE32" s="47"/>
      <c r="DF32" s="47"/>
      <c r="DG32" s="60">
        <v>1000</v>
      </c>
      <c r="EA32" s="49"/>
      <c r="EE32" s="47"/>
      <c r="EG32" s="60">
        <v>1000</v>
      </c>
      <c r="EW32" s="49"/>
      <c r="FA32" s="47"/>
      <c r="FC32" s="60">
        <v>1000</v>
      </c>
      <c r="FS32" s="49"/>
      <c r="FW32" s="47"/>
      <c r="FY32" s="60">
        <v>1000</v>
      </c>
      <c r="GO32" s="49"/>
      <c r="GS32" s="47"/>
      <c r="GU32" s="60">
        <v>1000</v>
      </c>
      <c r="HK32" s="49"/>
      <c r="HO32" s="47"/>
      <c r="HQ32" s="60">
        <v>1000</v>
      </c>
      <c r="IG32" s="49"/>
      <c r="IK32" s="47"/>
      <c r="IL32" s="117"/>
      <c r="IM32" s="60">
        <v>1000</v>
      </c>
      <c r="JC32" s="49"/>
      <c r="JG32" s="47"/>
      <c r="JI32" s="60">
        <v>1000</v>
      </c>
      <c r="JY32" s="49"/>
      <c r="KC32" s="47"/>
      <c r="KE32" s="60">
        <v>1000</v>
      </c>
      <c r="KU32" s="49"/>
      <c r="KY32" s="47"/>
      <c r="LA32" s="60">
        <v>1000</v>
      </c>
      <c r="LQ32" s="49"/>
      <c r="LU32" s="47"/>
      <c r="LW32" s="60">
        <v>1000</v>
      </c>
      <c r="MM32" s="49"/>
      <c r="MQ32" s="47"/>
      <c r="MS32" s="60">
        <v>1000</v>
      </c>
      <c r="NI32" s="49"/>
      <c r="NM32" s="47"/>
      <c r="NO32" s="60">
        <v>1000</v>
      </c>
    </row>
    <row r="33" spans="1:154" x14ac:dyDescent="0.2">
      <c r="B33" s="74" t="s">
        <v>53</v>
      </c>
      <c r="C33" s="2"/>
      <c r="AU33" s="47"/>
      <c r="AV33" s="47"/>
      <c r="AX33" s="47"/>
      <c r="DC33" s="47"/>
      <c r="DD33" s="47"/>
      <c r="DF33" s="47"/>
      <c r="EX33" s="47"/>
    </row>
    <row r="34" spans="1:154" x14ac:dyDescent="0.2">
      <c r="A34" s="49"/>
      <c r="B34" s="49"/>
      <c r="C34" s="4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54" ht="17" x14ac:dyDescent="0.2">
      <c r="A35" s="49"/>
      <c r="B35" s="49"/>
      <c r="C35" s="48"/>
      <c r="S35" s="18"/>
      <c r="T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54" ht="17" x14ac:dyDescent="0.2">
      <c r="A36" s="49"/>
      <c r="B36" s="49"/>
      <c r="C36" s="48"/>
      <c r="S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54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54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54" ht="17" x14ac:dyDescent="0.2">
      <c r="S39" s="18"/>
      <c r="T39" s="1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154" ht="17" x14ac:dyDescent="0.2">
      <c r="S40" s="18"/>
      <c r="T40" s="18"/>
      <c r="U40" s="18"/>
    </row>
    <row r="41" spans="1:154" ht="17" x14ac:dyDescent="0.2">
      <c r="S41" s="18"/>
      <c r="T41" s="18"/>
      <c r="U41" s="18"/>
    </row>
    <row r="42" spans="1:154" ht="17" x14ac:dyDescent="0.2">
      <c r="S42" s="18"/>
      <c r="T42" s="18"/>
      <c r="U42" s="18"/>
    </row>
    <row r="43" spans="1:154" ht="17" x14ac:dyDescent="0.2">
      <c r="S43" s="18"/>
      <c r="T43" s="18"/>
      <c r="U43" s="18"/>
    </row>
    <row r="44" spans="1:154" ht="17" x14ac:dyDescent="0.2">
      <c r="S44" s="18"/>
      <c r="T44" s="18"/>
      <c r="U44" s="18"/>
    </row>
    <row r="45" spans="1:154" ht="17" x14ac:dyDescent="0.2">
      <c r="S45" s="18"/>
      <c r="T45" s="18"/>
      <c r="U45" s="18"/>
    </row>
    <row r="46" spans="1:154" ht="17" x14ac:dyDescent="0.2">
      <c r="S46" s="18"/>
      <c r="T46" s="18"/>
      <c r="U46" s="18"/>
    </row>
    <row r="47" spans="1:154" ht="17" x14ac:dyDescent="0.2">
      <c r="S47" s="18"/>
      <c r="T47" s="18"/>
      <c r="U47" s="18"/>
    </row>
    <row r="48" spans="1:154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2">
      <sortCondition descending="1" ref="F1:F23"/>
    </sortState>
  </autoFilter>
  <mergeCells count="90">
    <mergeCell ref="F1:F3"/>
    <mergeCell ref="A1:A3"/>
    <mergeCell ref="B1:B3"/>
    <mergeCell ref="C1:C3"/>
    <mergeCell ref="D1:D3"/>
    <mergeCell ref="E1:E3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CD1:DG1"/>
    <mergeCell ref="CD2:CH2"/>
    <mergeCell ref="CI2:CM2"/>
    <mergeCell ref="CN2:CR2"/>
    <mergeCell ref="CS2:CW2"/>
    <mergeCell ref="S1:S3"/>
    <mergeCell ref="T1:T3"/>
    <mergeCell ref="U1:U3"/>
    <mergeCell ref="V1:AY1"/>
    <mergeCell ref="AZ1:CC1"/>
    <mergeCell ref="LX1:MS1"/>
    <mergeCell ref="DH1:DK1"/>
    <mergeCell ref="DL1:EG1"/>
    <mergeCell ref="EH1:FC1"/>
    <mergeCell ref="FD1:FY1"/>
    <mergeCell ref="FZ1:GU1"/>
    <mergeCell ref="GV1:HQ1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2">
    <cfRule type="expression" dxfId="105" priority="1" stopIfTrue="1">
      <formula>IF($AP4&lt;&gt;"",1,0)</formula>
    </cfRule>
  </conditionalFormatting>
  <conditionalFormatting sqref="AZ4:CC22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2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4269" operator="between">
      <formula>AY$29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4314" operator="between">
      <formula>AY$29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4359" operator="between">
      <formula>EG$28</formula>
      <formula>1000</formula>
    </cfRule>
    <cfRule type="cellIs" dxfId="95" priority="44360" operator="between">
      <formula>EG$27</formula>
      <formula>EG$28</formula>
    </cfRule>
    <cfRule type="cellIs" dxfId="94" priority="44361" operator="between">
      <formula>EG$26</formula>
      <formula>EG$27</formula>
    </cfRule>
    <cfRule type="cellIs" dxfId="93" priority="44362" operator="between">
      <formula>EG$25</formula>
      <formula>EG$26</formula>
    </cfRule>
  </conditionalFormatting>
  <conditionalFormatting sqref="AR1:AR1048576 BV1:BV1048576 CZ1:CZ1048576">
    <cfRule type="cellIs" dxfId="92" priority="44503" operator="between">
      <formula>AY$28</formula>
      <formula>1000</formula>
    </cfRule>
    <cfRule type="cellIs" dxfId="91" priority="44504" operator="between">
      <formula>AY$27</formula>
      <formula>AY$28</formula>
    </cfRule>
    <cfRule type="cellIs" dxfId="90" priority="44505" operator="between">
      <formula>AY$26</formula>
      <formula>AY$27</formula>
    </cfRule>
    <cfRule type="cellIs" dxfId="89" priority="44506" operator="between">
      <formula>AY$25</formula>
      <formula>AY$26</formula>
    </cfRule>
  </conditionalFormatting>
  <conditionalFormatting sqref="AS1:AS1048576 BW1:BW1048576 DA1:DA1048576">
    <cfRule type="cellIs" dxfId="88" priority="44539" operator="between">
      <formula>AY$29</formula>
      <formula>1000</formula>
    </cfRule>
  </conditionalFormatting>
  <conditionalFormatting sqref="AT1:AT1048576 BX1:BX1048576 DB1:DB1048576">
    <cfRule type="cellIs" dxfId="87" priority="44548" operator="between">
      <formula>AY$28</formula>
      <formula>1000</formula>
    </cfRule>
    <cfRule type="cellIs" dxfId="86" priority="44549" operator="between">
      <formula>AY$27</formula>
      <formula>AY$28</formula>
    </cfRule>
    <cfRule type="cellIs" dxfId="85" priority="44550" operator="between">
      <formula>AY$26</formula>
      <formula>AY$27</formula>
    </cfRule>
    <cfRule type="cellIs" dxfId="84" priority="44551" operator="between">
      <formula>AY$25</formula>
      <formula>AY$26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4584" operator="between">
      <formula>AY$28</formula>
      <formula>1000</formula>
    </cfRule>
    <cfRule type="cellIs" dxfId="82" priority="44585" operator="between">
      <formula>AY$27</formula>
      <formula>AY$28</formula>
    </cfRule>
    <cfRule type="cellIs" dxfId="81" priority="44586" operator="between">
      <formula>AY$26</formula>
      <formula>AY$27</formula>
    </cfRule>
    <cfRule type="cellIs" dxfId="80" priority="44587" operator="between">
      <formula>AY$25</formula>
      <formula>AY$26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136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71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8" t="s">
        <v>149</v>
      </c>
      <c r="C4" s="4" t="s">
        <v>3</v>
      </c>
      <c r="D4" s="26">
        <v>2003</v>
      </c>
      <c r="E4" s="15">
        <f>SUM(J4:N4)</f>
        <v>129.19999999999999</v>
      </c>
      <c r="F4" s="3" t="str">
        <f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64.099999999999994</v>
      </c>
      <c r="K4" s="14" t="str">
        <f>IF(J4=0,"",IF(J4=CA4,$BI$1,IF(J4=BE4,$AM$1,IF(J4=AI4,$Q$1,""))))</f>
        <v>2021 2nd Virtual Technical Trial</v>
      </c>
      <c r="L4" s="14">
        <f>MAX(AK4,BG4,CC4)</f>
        <v>65.099999999999994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IF(SUM(Z4,AD4)&gt;0,SUM(R4,V4),"")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>
        <v>26.1</v>
      </c>
      <c r="BJ4" s="61">
        <v>5.9</v>
      </c>
      <c r="BK4" s="61">
        <v>0</v>
      </c>
      <c r="BL4" s="61">
        <v>0.3</v>
      </c>
      <c r="BM4" s="61">
        <v>26</v>
      </c>
      <c r="BN4" s="61">
        <v>5.5</v>
      </c>
      <c r="BO4" s="61">
        <v>0</v>
      </c>
      <c r="BP4" s="61">
        <v>0.3</v>
      </c>
      <c r="BQ4" s="61">
        <v>26.7</v>
      </c>
      <c r="BR4" s="61">
        <v>6.1</v>
      </c>
      <c r="BS4" s="61">
        <v>0</v>
      </c>
      <c r="BT4" s="61">
        <v>0.3</v>
      </c>
      <c r="BU4" s="61">
        <v>26.5</v>
      </c>
      <c r="BV4" s="61">
        <v>5.5</v>
      </c>
      <c r="BW4" s="61">
        <v>0.3</v>
      </c>
      <c r="BX4" s="61">
        <v>0.3</v>
      </c>
      <c r="BY4" s="72"/>
      <c r="BZ4" s="11">
        <f>IF(SUM(BJ4,BN4)&gt;0,SUM(BJ4,BN4),"")</f>
        <v>11.4</v>
      </c>
      <c r="CA4" s="11">
        <f>IF(SUM(BI4:BJ4,BL4:BN4,BP4)-BK4-BO4&gt;0,SUM(BI4:BJ4,BL4:BN4,BP4)-BK4-BO4,"")</f>
        <v>64.099999999999994</v>
      </c>
      <c r="CB4" s="11">
        <f>IF(SUM(BR4,BV4)&gt;0,SUM(BR4,BV4),"")</f>
        <v>11.6</v>
      </c>
      <c r="CC4" s="11">
        <f>IF(SUM(BQ4:BR4,BT4:BV4,BX4)-SUM(BS4,BW4)&gt;0,SUM(BQ4:BR4,BT4:BV4,BX4)-SUM(BS4,BW4),"")</f>
        <v>65.099999999999994</v>
      </c>
      <c r="CD4" s="11">
        <f>IF(SUM(CA4,CC4)&gt;0,SUM(CA4,CC4),"")</f>
        <v>129.19999999999999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/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13.05</v>
      </c>
      <c r="LZ4" s="61">
        <f>IF($BY4="P",BJ4,(BJ4+AN4)/2)</f>
        <v>2.95</v>
      </c>
      <c r="MA4" s="61">
        <f>IF($BY4="P",BK4,(BK4+AO4)/2)</f>
        <v>0</v>
      </c>
      <c r="MB4" s="61">
        <f>IF($BY4="P",BL4,(BL4+AP4)/2)</f>
        <v>0.15</v>
      </c>
      <c r="MC4" s="61">
        <f>IF($BY4="P",BM4,(BM4+AQ4)/2)</f>
        <v>13</v>
      </c>
      <c r="MD4" s="61">
        <f>IF($BY4="P",BN4,(BN4+AR4)/2)</f>
        <v>2.75</v>
      </c>
      <c r="ME4" s="61">
        <f>IF($BY4="P",BO4,(BO4+AS4)/2)</f>
        <v>0</v>
      </c>
      <c r="MF4" s="61">
        <f>IF($BY4="P",BP4,(BP4+AT4)/2)</f>
        <v>0.15</v>
      </c>
      <c r="MG4" s="61">
        <f>IF($BY4="P",BQ4,(BQ4+AU4)/2)</f>
        <v>13.35</v>
      </c>
      <c r="MH4" s="61">
        <f>IF($BY4="P",BR4,(BR4+AV4)/2)</f>
        <v>3.05</v>
      </c>
      <c r="MI4" s="61">
        <f>IF($BY4="P",BS4,(BS4+AW4)/2)</f>
        <v>0</v>
      </c>
      <c r="MJ4" s="61">
        <f>IF($BY4="P",BT4,(BT4+AX4)/2)</f>
        <v>0.15</v>
      </c>
      <c r="MK4" s="61">
        <f>IF($BY4="P",BU4,(BU4+AY4)/2)</f>
        <v>13.25</v>
      </c>
      <c r="ML4" s="61">
        <f>IF($BY4="P",BV4,(BV4+AZ4)/2)</f>
        <v>2.75</v>
      </c>
      <c r="MM4" s="61">
        <f>IF($BY4="P",BW4,(BW4+BA4)/2)</f>
        <v>0.15</v>
      </c>
      <c r="MN4" s="61">
        <f>IF($BY4="P",BX4,(BX4+BB4)/2)</f>
        <v>0.15</v>
      </c>
      <c r="MO4" s="72" t="s">
        <v>52</v>
      </c>
      <c r="MP4" s="11">
        <f>IF(SUM(LZ4,MD4)&gt;0,SUM(LZ4,MD4),"")</f>
        <v>5.7</v>
      </c>
      <c r="MQ4" s="11">
        <f>IF(SUM(LY4:LZ4,MB4:MD4,MF4)-MA4-ME4&gt;0,SUM(LY4:LZ4,MB4:MD4,MF4)-MA4-ME4,"")</f>
        <v>32.049999999999997</v>
      </c>
      <c r="MR4" s="11">
        <f>IF(SUM(MH4,ML4)&gt;0,SUM(MH4,ML4),"")</f>
        <v>5.8</v>
      </c>
      <c r="MS4" s="11">
        <f>IF(SUM(MG4:MH4,MJ4:ML4,MN4)-SUM(MI4,MM4)&gt;0,SUM(MG4:MH4,MJ4:ML4,MN4)-SUM(MI4,MM4),"")</f>
        <v>32.549999999999997</v>
      </c>
      <c r="MT4" s="11">
        <f>IF(SUM(MQ4,MS4)&gt;0,SUM(MQ4,MS4),"")</f>
        <v>64.599999999999994</v>
      </c>
    </row>
    <row r="5" spans="1:358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92</v>
      </c>
      <c r="C5" s="7" t="s">
        <v>4</v>
      </c>
      <c r="D5" s="26">
        <v>2002</v>
      </c>
      <c r="E5" s="15">
        <f>SUM(J5:N5)</f>
        <v>127.10000000000001</v>
      </c>
      <c r="F5" s="3" t="str">
        <f>IF(OR(AND(AH5&gt;=AL$13,AI5&gt;=AL$17,AI5&lt;&gt;"",AG5=""),AND(BD5&gt;=BH$13,BE5&gt;=BH$17,BE5&lt;&gt;"",BC5=""),AND(BZ5&gt;=CD$13,CA5&gt;=CD$17,CA5&lt;&gt;"",BY5=""),AND(CW5&gt;=DA$13,CX5&gt;=DA$17,CX5&lt;&gt;""),AND(DR5&gt;=DV$13,DS5&gt;=DV$17,DS5&lt;&gt;""),AND(EM5&gt;=EQ$13,EN5&gt;=EQ$17,EN5&lt;&gt;""),AND(FH5&gt;=FL$13,FI5&gt;=FL$17,FI5&lt;&gt;""),AND(GC5&gt;=GG$13,GD5&gt;=GG$17,GD5&lt;&gt;""),AND(GX5&gt;=HB$13,GY5&gt;=HB$17,GY5&lt;&gt;""),AND(HS5&gt;=HW$13,HT5&gt;=HW$17,HT5&lt;&gt;""),AND(IN5&gt;=IR$13,IO5&gt;=IR$17,IO5&lt;&gt;""),AND(JI5&gt;=JM$13,JJ5&gt;=JM$17,JJ5&lt;&gt;""),AND(KD5&gt;=KH$13,KE5&gt;=KH$17,KE5&lt;&gt;""),AND(KY5&gt;=LC$13,KZ5&gt;=LC$17,KZ5&lt;&gt;""),AND(LT5&gt;=LX$13,LU5&gt;=LX$17,LU5&lt;&gt;"")),"P","")</f>
        <v>P</v>
      </c>
      <c r="G5" s="3" t="str">
        <f>IF(OR(AND(AI5&gt;=AL$17,AI5&lt;&gt;"",AG5=""),AND(BE5&gt;=BH$17,BE5&lt;&gt;"",BC5=""),AND(CA5&gt;=CD$17,CA5&lt;&gt;"",BY5=""),AND(CX5&gt;=DA$17,CX5&lt;&gt;""),AND(DS5&gt;=DV$17,DS5&lt;&gt;""),AND(EN5&gt;=EQ$17,EN5&lt;&gt;""),AND(FI5&gt;=FL$17,FI5&lt;&gt;""),AND(GD5&gt;=GG$17,GD5&lt;&gt;""),AND(GY5&gt;=HB$17,GY5&lt;&gt;""),AND(HT5&gt;=HW$17,HT5&lt;&gt;""),AND(IO5&gt;=IR$17,IO5&lt;&gt;""),AND(JJ5&gt;=JM$17,JJ5&lt;&gt;""),AND(KE5&gt;=KH$17,KE5&lt;&gt;""),AND(KZ5&gt;=LC$17,KZ5&lt;&gt;""),AND(LU5&gt;=LX$17,LU5&lt;&gt;"")),"P","")</f>
        <v>P</v>
      </c>
      <c r="H5" s="116" t="str">
        <f>IF(AND(G5="P",F5=""),"No DD",IF(OR(AND(AI5&gt;=AL$20,AI5&lt;&gt;"",AH5&gt;=AL$16,AH5&lt;&gt;"",AG5=""),AND(BE5&gt;=BH$20,BE5&lt;&gt;"",BD5&gt;=BH$16,BD5&lt;&gt;"",BC5=""),AND(CA5&gt;=CD$20,CA5&lt;&gt;"",BZ5&gt;=CD$16,BZ5&lt;&gt;"",BY5=""),AND(CX5&gt;=DA$20,CX5&lt;&gt;"",CW5&gt;=DA$16,CW5&lt;&gt;""),AND(DS5&gt;=DV$20,DS5&lt;&gt;"",DR5&gt;=DV$16,DR5&lt;&gt;""),AND(EN5&gt;=EQ$20,EN5&lt;&gt;"",EM5&gt;=EQ$16,EM5&lt;&gt;""),AND(FI5&gt;=FL$20,FI5&lt;&gt;"",FH5&gt;=FL$16,FH5&lt;&gt;""),AND(GD5&gt;=GG$20,GD5&lt;&gt;"",GC5&gt;=GG$16,GC5&lt;&gt;""),AND(GY5&gt;=HB$20,GY5&lt;&gt;"",GX5&gt;=HB$16,GX5&lt;&gt;""),AND(HT5&gt;=HW$20,HT5&lt;&gt;"",HS5&gt;=HW$16,HS5&lt;&gt;""),AND(IO5&gt;=IR$20,IO5&lt;&gt;"",IN5&gt;=IR$16,IN5&lt;&gt;""),AND(JJ5&gt;=JM$20,JJ5&lt;&gt;"",JI5&gt;=JM$16,JI5&lt;&gt;""),AND(KE5&gt;=KH$20,KE5&lt;&gt;"",KD5&gt;=KH$16,KD5&lt;&gt;""),AND(KZ5&gt;=LC$20,KZ5&lt;&gt;"",KY5&gt;=LC$16,KY5&lt;&gt;""),AND(LU5&gt;=LX$20,LU5&lt;&gt;"",LT5&gt;=LX$16,LT5&lt;&gt;"")),"Merit",IF(OR(AND(AI5&gt;=AL$19,AI5&lt;&gt;"",AH5&gt;=AL$15,AH5&lt;&gt;"",AG5=""),AND(BE5&gt;=BH$19,BE5&lt;&gt;"",BD5&gt;=BH$15,BD5&lt;&gt;"",BC5=""),AND(CA5&gt;=CD$19,CA5&lt;&gt;"",BZ5&gt;=CD$15,BZ5&lt;&gt;"",BY5=""),AND(CX5&gt;=DA$19,CX5&lt;&gt;"",CW5&gt;=DA$15,CW5&lt;&gt;""),AND(DS5&gt;=DV$19,DS5&lt;&gt;"",DR5&gt;=DV$15,DR5&lt;&gt;""),AND(EN5&gt;=EQ$19,EN5&lt;&gt;"",EM5&gt;=EQ$15,EM5&lt;&gt;""),AND(FI5&gt;=FL$19,FI5&lt;&gt;"",FH5&gt;=FL$15,FH5&lt;&gt;""),AND(GD5&gt;=GG$19,GD5&lt;&gt;"",GC5&gt;=GG$15,GC5&lt;&gt;""),AND(GY5&gt;=HB$19,GY5&lt;&gt;"",GX5&gt;=HB$15,GX5&lt;&gt;""),AND(HT5&gt;=HW$19,HT5&lt;&gt;"",HS5&gt;=HW$15,HS5&lt;&gt;""),AND(IO5&gt;=IR$19,IO5&lt;&gt;"",IN5&gt;=IR$15,IN5&lt;&gt;""),AND(JJ5&gt;=JM$19,JJ5&lt;&gt;"",JI5&gt;=JM$15,JI5&lt;&gt;""),AND(KE5&gt;=KH$19,KE5&lt;&gt;"",KD5&gt;=KH$15,KD5&lt;&gt;""),AND(KZ5&gt;=LC$19,KZ5&lt;&gt;"",KY5&gt;=LC$15,KY5&lt;&gt;""),AND(LU5&gt;=LX$19,LU5&lt;&gt;"",LT5&gt;=LX$15,LT5&lt;&gt;"")),"Excellence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Worlds Team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63.500000000000007</v>
      </c>
      <c r="K5" s="14" t="str">
        <f>IF(J5=0,"",IF(J5=CA5,$BI$1,IF(J5=BE5,$AM$1,IF(J5=AI5,$Q$1,""))))</f>
        <v>2021 2nd Virtual Technical Trial</v>
      </c>
      <c r="L5" s="14">
        <f>MAX(AK5,BG5,CC5)</f>
        <v>63.6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25.8</v>
      </c>
      <c r="R5" s="41">
        <v>5.5</v>
      </c>
      <c r="S5" s="41">
        <v>0</v>
      </c>
      <c r="T5" s="41">
        <v>0</v>
      </c>
      <c r="U5" s="41">
        <v>25.5</v>
      </c>
      <c r="V5" s="41">
        <v>5.4</v>
      </c>
      <c r="W5" s="41">
        <v>0</v>
      </c>
      <c r="X5" s="41">
        <v>1</v>
      </c>
      <c r="Y5" s="41">
        <v>25.7</v>
      </c>
      <c r="Z5" s="41">
        <v>5.3</v>
      </c>
      <c r="AA5" s="41">
        <v>0.3</v>
      </c>
      <c r="AB5" s="41">
        <v>0</v>
      </c>
      <c r="AC5" s="41">
        <v>25.5</v>
      </c>
      <c r="AD5" s="41">
        <v>6.1</v>
      </c>
      <c r="AE5" s="41">
        <v>0</v>
      </c>
      <c r="AF5" s="41">
        <v>1</v>
      </c>
      <c r="AG5" s="72"/>
      <c r="AH5" s="11">
        <f>IF(SUM(R5,V5)&gt;0,SUM(R5,V5),"")</f>
        <v>10.9</v>
      </c>
      <c r="AI5" s="11">
        <f>IF(SUM(Q5:R5,T5:V5,X5)-S5-W5&gt;0,SUM(Q5:R5,T5:V5,X5)-S5-W5,"")</f>
        <v>63.199999999999996</v>
      </c>
      <c r="AJ5" s="11">
        <f>IF(SUM(Z5,AD5)&gt;0,SUM(R5,V5),"")</f>
        <v>10.9</v>
      </c>
      <c r="AK5" s="11">
        <f>IF(SUM(Y5:Z5,AB5:AD5,AF5)-SUM(AA5,AE5)&gt;0,SUM(Y5:Z5,AB5:AD5,AF5)-SUM(AA5,AE5),"")</f>
        <v>63.300000000000004</v>
      </c>
      <c r="AL5" s="11">
        <f>IF(SUM(AI5,AK5)&gt;0,SUM(AI5,AK5),"")</f>
        <v>126.5</v>
      </c>
      <c r="AM5" s="36">
        <v>23.1</v>
      </c>
      <c r="AN5" s="36">
        <v>4.4000000000000004</v>
      </c>
      <c r="AO5" s="36">
        <v>0.6</v>
      </c>
      <c r="AP5" s="36">
        <v>0</v>
      </c>
      <c r="AQ5" s="36">
        <v>26.2</v>
      </c>
      <c r="AR5" s="36">
        <v>6.1</v>
      </c>
      <c r="AS5" s="36">
        <v>0</v>
      </c>
      <c r="AT5" s="36">
        <v>0</v>
      </c>
      <c r="AU5" s="36">
        <v>22.6</v>
      </c>
      <c r="AV5" s="36">
        <v>5.6</v>
      </c>
      <c r="AW5" s="36">
        <v>0.3</v>
      </c>
      <c r="AX5" s="36">
        <v>0</v>
      </c>
      <c r="AY5" s="36">
        <v>24.8</v>
      </c>
      <c r="AZ5" s="36">
        <v>5.9</v>
      </c>
      <c r="BA5" s="36">
        <v>0</v>
      </c>
      <c r="BB5" s="36">
        <v>0</v>
      </c>
      <c r="BC5" s="73"/>
      <c r="BD5" s="14">
        <f>IF(SUM(AN5,AR5)&gt;0,SUM(AN5,AR5),"")</f>
        <v>10.5</v>
      </c>
      <c r="BE5" s="14">
        <f>IF(SUM(AM5:AN5,AP5:AR5,AT5)-AO5-AS5&gt;0,SUM(AM5:AN5,AP5:AR5,AT5)-AO5-AS5,"")</f>
        <v>59.2</v>
      </c>
      <c r="BF5" s="14">
        <f>IF(SUM(AV5,AZ5)&gt;0,SUM(AV5,AZ5),"")</f>
        <v>11.5</v>
      </c>
      <c r="BG5" s="14">
        <f>IF(SUM(AU5:AV5,AX5:AZ5,BB5)-SUM(AW5,BA5)&gt;0,SUM(AU5:AV5,AX5:AZ5,BB5)-SUM(AW5,BA5),"")</f>
        <v>58.6</v>
      </c>
      <c r="BH5" s="14">
        <f>IF(SUM(BE5,BG5)&gt;0,SUM(BE5,BG5),"")</f>
        <v>117.80000000000001</v>
      </c>
      <c r="BI5" s="41">
        <v>27.2</v>
      </c>
      <c r="BJ5" s="41">
        <v>5.8</v>
      </c>
      <c r="BK5" s="41">
        <v>0</v>
      </c>
      <c r="BL5" s="41">
        <v>0</v>
      </c>
      <c r="BM5" s="41">
        <v>24.7</v>
      </c>
      <c r="BN5" s="41">
        <v>6.1</v>
      </c>
      <c r="BO5" s="41">
        <v>0.3</v>
      </c>
      <c r="BP5" s="41">
        <v>0</v>
      </c>
      <c r="BQ5" s="41">
        <v>25.8</v>
      </c>
      <c r="BR5" s="41">
        <v>5.4</v>
      </c>
      <c r="BS5" s="41">
        <v>0.1</v>
      </c>
      <c r="BT5" s="41">
        <v>0</v>
      </c>
      <c r="BU5" s="41">
        <v>26.4</v>
      </c>
      <c r="BV5" s="41">
        <v>6.1</v>
      </c>
      <c r="BW5" s="41">
        <v>0</v>
      </c>
      <c r="BX5" s="41">
        <v>0</v>
      </c>
      <c r="BY5" s="72"/>
      <c r="BZ5" s="11">
        <f>IF(SUM(BJ5,BN5)&gt;0,SUM(BJ5,BN5),"")</f>
        <v>11.899999999999999</v>
      </c>
      <c r="CA5" s="11">
        <f>IF(SUM(BI5:BJ5,BL5:BN5,BP5)-BK5-BO5&gt;0,SUM(BI5:BJ5,BL5:BN5,BP5)-BK5-BO5,"")</f>
        <v>63.500000000000007</v>
      </c>
      <c r="CB5" s="11">
        <f>IF(SUM(BR5,BV5)&gt;0,SUM(BR5,BV5),"")</f>
        <v>11.5</v>
      </c>
      <c r="CC5" s="11">
        <f>IF(SUM(BQ5:BR5,BT5:BV5,BX5)-SUM(BS5,BW5)&gt;0,SUM(BQ5:BR5,BT5:BV5,BX5)-SUM(BS5,BW5),"")</f>
        <v>63.6</v>
      </c>
      <c r="CD5" s="11">
        <f>IF(SUM(CA5,CC5)&gt;0,SUM(CA5,CC5),"")</f>
        <v>127.10000000000001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25.15</v>
      </c>
      <c r="LZ5" s="61">
        <f>IF($BY5="P",BJ5,(BJ5+AN5)/2)</f>
        <v>5.0999999999999996</v>
      </c>
      <c r="MA5" s="61">
        <f>IF($BY5="P",BK5,(BK5+AO5)/2)</f>
        <v>0.3</v>
      </c>
      <c r="MB5" s="61">
        <f>IF($BY5="P",BL5,(BL5+AP5)/2)</f>
        <v>0</v>
      </c>
      <c r="MC5" s="61">
        <f>IF($BY5="P",BM5,(BM5+AQ5)/2)</f>
        <v>25.45</v>
      </c>
      <c r="MD5" s="61">
        <f>IF($BY5="P",BN5,(BN5+AR5)/2)</f>
        <v>6.1</v>
      </c>
      <c r="ME5" s="61">
        <f>IF($BY5="P",BO5,(BO5+AS5)/2)</f>
        <v>0.15</v>
      </c>
      <c r="MF5" s="61">
        <f>IF($BY5="P",BP5,(BP5+AT5)/2)</f>
        <v>0</v>
      </c>
      <c r="MG5" s="61">
        <f>IF($BY5="P",BQ5,(BQ5+AU5)/2)</f>
        <v>24.200000000000003</v>
      </c>
      <c r="MH5" s="61">
        <f>IF($BY5="P",BR5,(BR5+AV5)/2)</f>
        <v>5.5</v>
      </c>
      <c r="MI5" s="61">
        <f>IF($BY5="P",BS5,(BS5+AW5)/2)</f>
        <v>0.2</v>
      </c>
      <c r="MJ5" s="61">
        <f>IF($BY5="P",BT5,(BT5+AX5)/2)</f>
        <v>0</v>
      </c>
      <c r="MK5" s="61">
        <f>IF($BY5="P",BU5,(BU5+AY5)/2)</f>
        <v>25.6</v>
      </c>
      <c r="ML5" s="61">
        <f>IF($BY5="P",BV5,(BV5+AZ5)/2)</f>
        <v>6</v>
      </c>
      <c r="MM5" s="61">
        <f>IF($BY5="P",BW5,(BW5+BA5)/2)</f>
        <v>0</v>
      </c>
      <c r="MN5" s="61">
        <f>IF($BY5="P",BX5,(BX5+BB5)/2)</f>
        <v>0</v>
      </c>
      <c r="MO5" s="72" t="s">
        <v>52</v>
      </c>
      <c r="MP5" s="11">
        <f>IF(SUM(LZ5,MD5)&gt;0,SUM(LZ5,MD5),"")</f>
        <v>11.2</v>
      </c>
      <c r="MQ5" s="11">
        <f>IF(SUM(LY5:LZ5,MB5:MD5,MF5)-MA5-ME5&gt;0,SUM(LY5:LZ5,MB5:MD5,MF5)-MA5-ME5,"")</f>
        <v>61.350000000000009</v>
      </c>
      <c r="MR5" s="11">
        <f>IF(SUM(MH5,ML5)&gt;0,SUM(MH5,ML5),"")</f>
        <v>11.5</v>
      </c>
      <c r="MS5" s="11">
        <f>IF(SUM(MG5:MH5,MJ5:ML5,MN5)-SUM(MI5,MM5)&gt;0,SUM(MG5:MH5,MJ5:ML5,MN5)-SUM(MI5,MM5),"")</f>
        <v>61.1</v>
      </c>
      <c r="MT5" s="11">
        <f>IF(SUM(MQ5,MS5)&gt;0,SUM(MQ5,MS5),"")</f>
        <v>122.45000000000002</v>
      </c>
    </row>
    <row r="6" spans="1:358" x14ac:dyDescent="0.2">
      <c r="A6" s="5" t="str">
        <f>IF(AND(F6="P",G6="P"),SUMPRODUCT((F$4:F$11="P")*(G$4:G$11="P")*(E$4:E$11&gt;E6))+1,IF(G6="P",SUMPRODUCT((F$4:F$11="")*(G$4:G$11="P")*(E$4:E$11&gt;E6))+1+SUMPRODUCT((F$4:F$11="P")*(G$4:G$11="P")),""))</f>
        <v/>
      </c>
      <c r="B6" s="8" t="s">
        <v>115</v>
      </c>
      <c r="C6" s="4" t="s">
        <v>4</v>
      </c>
      <c r="D6" s="26">
        <v>2004</v>
      </c>
      <c r="E6" s="15">
        <f>SUM(J6:N6)</f>
        <v>113</v>
      </c>
      <c r="F6" s="3" t="str">
        <f>IF(OR(AND(AH6&gt;=AL$13,AI6&gt;=AL$17,AI6&lt;&gt;"",AG6=""),AND(BD6&gt;=BH$13,BE6&gt;=BH$17,BE6&lt;&gt;"",BC6=""),AND(BZ6&gt;=CD$13,CA6&gt;=CD$17,CA6&lt;&gt;"",BY6=""),AND(CW6&gt;=DA$13,CX6&gt;=DA$17,CX6&lt;&gt;""),AND(DR6&gt;=DV$13,DS6&gt;=DV$17,DS6&lt;&gt;""),AND(EM6&gt;=EQ$13,EN6&gt;=EQ$17,EN6&lt;&gt;""),AND(FH6&gt;=FL$13,FI6&gt;=FL$17,FI6&lt;&gt;""),AND(GC6&gt;=GG$13,GD6&gt;=GG$17,GD6&lt;&gt;""),AND(GX6&gt;=HB$13,GY6&gt;=HB$17,GY6&lt;&gt;""),AND(HS6&gt;=HW$13,HT6&gt;=HW$17,HT6&lt;&gt;""),AND(IN6&gt;=IR$13,IO6&gt;=IR$17,IO6&lt;&gt;""),AND(JI6&gt;=JM$13,JJ6&gt;=JM$17,JJ6&lt;&gt;""),AND(KD6&gt;=KH$13,KE6&gt;=KH$17,KE6&lt;&gt;""),AND(KY6&gt;=LC$13,KZ6&gt;=LC$17,KZ6&lt;&gt;""),AND(LT6&gt;=LX$13,LU6&gt;=LX$17,LU6&lt;&gt;"")),"P","")</f>
        <v/>
      </c>
      <c r="G6" s="3" t="str">
        <f>IF(OR(AND(AI6&gt;=AL$17,AI6&lt;&gt;"",AG6=""),AND(BE6&gt;=BH$17,BE6&lt;&gt;"",BC6=""),AND(CA6&gt;=CD$17,CA6&lt;&gt;"",BY6=""),AND(CX6&gt;=DA$17,CX6&lt;&gt;""),AND(DS6&gt;=DV$17,DS6&lt;&gt;""),AND(EN6&gt;=EQ$17,EN6&lt;&gt;""),AND(FI6&gt;=FL$17,FI6&lt;&gt;""),AND(GD6&gt;=GG$17,GD6&lt;&gt;""),AND(GY6&gt;=HB$17,GY6&lt;&gt;""),AND(HT6&gt;=HW$17,HT6&lt;&gt;""),AND(IO6&gt;=IR$17,IO6&lt;&gt;""),AND(JJ6&gt;=JM$17,JJ6&lt;&gt;""),AND(KE6&gt;=KH$17,KE6&lt;&gt;""),AND(KZ6&gt;=LC$17,KZ6&lt;&gt;""),AND(LU6&gt;=LX$17,LU6&lt;&gt;"")),"P","")</f>
        <v/>
      </c>
      <c r="H6" s="116" t="str">
        <f>IF(AND(G6="P",F6=""),"No DD",IF(OR(AND(AI6&gt;=AL$20,AI6&lt;&gt;"",AH6&gt;=AL$16,AH6&lt;&gt;"",AG6=""),AND(BE6&gt;=BH$20,BE6&lt;&gt;"",BD6&gt;=BH$16,BD6&lt;&gt;"",BC6=""),AND(CA6&gt;=CD$20,CA6&lt;&gt;"",BZ6&gt;=CD$16,BZ6&lt;&gt;"",BY6=""),AND(CX6&gt;=DA$20,CX6&lt;&gt;"",CW6&gt;=DA$16,CW6&lt;&gt;""),AND(DS6&gt;=DV$20,DS6&lt;&gt;"",DR6&gt;=DV$16,DR6&lt;&gt;""),AND(EN6&gt;=EQ$20,EN6&lt;&gt;"",EM6&gt;=EQ$16,EM6&lt;&gt;""),AND(FI6&gt;=FL$20,FI6&lt;&gt;"",FH6&gt;=FL$16,FH6&lt;&gt;""),AND(GD6&gt;=GG$20,GD6&lt;&gt;"",GC6&gt;=GG$16,GC6&lt;&gt;""),AND(GY6&gt;=HB$20,GY6&lt;&gt;"",GX6&gt;=HB$16,GX6&lt;&gt;""),AND(HT6&gt;=HW$20,HT6&lt;&gt;"",HS6&gt;=HW$16,HS6&lt;&gt;""),AND(IO6&gt;=IR$20,IO6&lt;&gt;"",IN6&gt;=IR$16,IN6&lt;&gt;""),AND(JJ6&gt;=JM$20,JJ6&lt;&gt;"",JI6&gt;=JM$16,JI6&lt;&gt;""),AND(KE6&gt;=KH$20,KE6&lt;&gt;"",KD6&gt;=KH$16,KD6&lt;&gt;""),AND(KZ6&gt;=LC$20,KZ6&lt;&gt;"",KY6&gt;=LC$16,KY6&lt;&gt;""),AND(LU6&gt;=LX$20,LU6&lt;&gt;"",LT6&gt;=LX$16,LT6&lt;&gt;"")),"Merit",IF(OR(AND(AI6&gt;=AL$19,AI6&lt;&gt;"",AH6&gt;=AL$15,AH6&lt;&gt;"",AG6=""),AND(BE6&gt;=BH$19,BE6&lt;&gt;"",BD6&gt;=BH$15,BD6&lt;&gt;"",BC6=""),AND(CA6&gt;=CD$19,CA6&lt;&gt;"",BZ6&gt;=CD$15,BZ6&lt;&gt;"",BY6=""),AND(CX6&gt;=DA$19,CX6&lt;&gt;"",CW6&gt;=DA$15,CW6&lt;&gt;""),AND(DS6&gt;=DV$19,DS6&lt;&gt;"",DR6&gt;=DV$15,DR6&lt;&gt;""),AND(EN6&gt;=EQ$19,EN6&lt;&gt;"",EM6&gt;=EQ$15,EM6&lt;&gt;""),AND(FI6&gt;=FL$19,FI6&lt;&gt;"",FH6&gt;=FL$15,FH6&lt;&gt;""),AND(GD6&gt;=GG$19,GD6&lt;&gt;"",GC6&gt;=GG$15,GC6&lt;&gt;""),AND(GY6&gt;=HB$19,GY6&lt;&gt;"",GX6&gt;=HB$15,GX6&lt;&gt;""),AND(HT6&gt;=HW$19,HT6&lt;&gt;"",HS6&gt;=HW$15,HS6&lt;&gt;""),AND(IO6&gt;=IR$19,IO6&lt;&gt;"",IN6&gt;=IR$15,IN6&lt;&gt;""),AND(JJ6&gt;=JM$19,JJ6&lt;&gt;"",JI6&gt;=JM$15,JI6&lt;&gt;""),AND(KE6&gt;=KH$19,KE6&lt;&gt;"",KD6&gt;=KH$15,KD6&lt;&gt;""),AND(KZ6&gt;=LC$19,KZ6&lt;&gt;"",KY6&gt;=LC$15,KY6&lt;&gt;""),AND(LU6&gt;=LX$19,LU6&lt;&gt;"",LT6&gt;=LX$15,LT6&lt;&gt;"")),"Excellence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Worlds Team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National Team","")))))</f>
        <v/>
      </c>
      <c r="I6" s="3" t="str">
        <f>IF(OR(H6="Worlds Team",H6="Excellence",H6="Merit"),"P","")</f>
        <v/>
      </c>
      <c r="J6" s="14">
        <f>MAX(AI6,BE6,CA6)</f>
        <v>57.9</v>
      </c>
      <c r="K6" s="14" t="str">
        <f>IF(J6=0,"",IF(J6=CA6,$BI$1,IF(J6=BE6,$AM$1,IF(J6=AI6,$Q$1,""))))</f>
        <v>2021 1st Virtual Technical Trial</v>
      </c>
      <c r="L6" s="14">
        <f>MAX(AK6,BG6,CC6)</f>
        <v>55.1</v>
      </c>
      <c r="M6" s="14" t="str">
        <f>IF(L6=0,"",IF(J6=CC6,$BI$1,IF(L6=BG6,$AM$1,IF(L6=AK6,$Q$1,""))))</f>
        <v>2021 1st Virtual Technical Trial</v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72"/>
      <c r="AH6" s="11" t="str">
        <f>IF(SUM(R6,V6)&gt;0,SUM(R6,V6),"")</f>
        <v/>
      </c>
      <c r="AI6" s="11" t="str">
        <f>IF(SUM(Q6:R6,T6:V6,X6)-S6-W6&gt;0,SUM(Q6:R6,T6:V6,X6)-S6-W6,"")</f>
        <v/>
      </c>
      <c r="AJ6" s="11" t="str">
        <f>IF(SUM(Z6,AD6)&gt;0,SUM(R6,V6),"")</f>
        <v/>
      </c>
      <c r="AK6" s="11" t="str">
        <f>IF(SUM(Y6:Z6,AB6:AD6,AF6)-SUM(AA6,AE6)&gt;0,SUM(Y6:Z6,AB6:AD6,AF6)-SUM(AA6,AE6),"")</f>
        <v/>
      </c>
      <c r="AL6" s="11" t="str">
        <f>IF(SUM(AI6,AK6)&gt;0,SUM(AI6,AK6),"")</f>
        <v/>
      </c>
      <c r="AM6" s="36">
        <v>24</v>
      </c>
      <c r="AN6" s="36">
        <v>4.5999999999999996</v>
      </c>
      <c r="AO6" s="36">
        <v>0</v>
      </c>
      <c r="AP6" s="36">
        <v>0.6</v>
      </c>
      <c r="AQ6" s="36">
        <v>25.3</v>
      </c>
      <c r="AR6" s="36">
        <v>3.4</v>
      </c>
      <c r="AS6" s="36">
        <v>0</v>
      </c>
      <c r="AT6" s="36">
        <v>0</v>
      </c>
      <c r="AU6" s="36">
        <v>25</v>
      </c>
      <c r="AV6" s="36">
        <v>3.9</v>
      </c>
      <c r="AW6" s="36">
        <v>0</v>
      </c>
      <c r="AX6" s="36">
        <v>0</v>
      </c>
      <c r="AY6" s="36">
        <v>22.8</v>
      </c>
      <c r="AZ6" s="36">
        <v>3.4</v>
      </c>
      <c r="BA6" s="36">
        <v>0</v>
      </c>
      <c r="BB6" s="36">
        <v>0</v>
      </c>
      <c r="BC6" s="73"/>
      <c r="BD6" s="14">
        <f>IF(SUM(AN6,AR6)&gt;0,SUM(AN6,AR6),"")</f>
        <v>8</v>
      </c>
      <c r="BE6" s="14">
        <f>IF(SUM(AM6:AN6,AP6:AR6,AT6)-AO6-AS6&gt;0,SUM(AM6:AN6,AP6:AR6,AT6)-AO6-AS6,"")</f>
        <v>57.9</v>
      </c>
      <c r="BF6" s="14">
        <f>IF(SUM(AV6,AZ6)&gt;0,SUM(AV6,AZ6),"")</f>
        <v>7.3</v>
      </c>
      <c r="BG6" s="14">
        <f>IF(SUM(AU6:AV6,AX6:AZ6,BB6)-SUM(AW6,BA6)&gt;0,SUM(AU6:AV6,AX6:AZ6,BB6)-SUM(AW6,BA6),"")</f>
        <v>55.1</v>
      </c>
      <c r="BH6" s="14">
        <f>IF(SUM(BE6,BG6)&gt;0,SUM(BE6,BG6),"")</f>
        <v>113</v>
      </c>
      <c r="BI6" s="61">
        <v>24.6</v>
      </c>
      <c r="BJ6" s="61">
        <v>4.5999999999999996</v>
      </c>
      <c r="BK6" s="61">
        <v>0</v>
      </c>
      <c r="BL6" s="61">
        <v>0.6</v>
      </c>
      <c r="BM6" s="61">
        <v>23.6</v>
      </c>
      <c r="BN6" s="61">
        <v>1.2</v>
      </c>
      <c r="BO6" s="61">
        <v>0</v>
      </c>
      <c r="BP6" s="61">
        <v>0</v>
      </c>
      <c r="BQ6" s="61">
        <v>23.8</v>
      </c>
      <c r="BR6" s="61">
        <v>4.5999999999999996</v>
      </c>
      <c r="BS6" s="61">
        <v>0</v>
      </c>
      <c r="BT6" s="61">
        <v>0.6</v>
      </c>
      <c r="BU6" s="61">
        <v>22.4</v>
      </c>
      <c r="BV6" s="61">
        <v>3.4</v>
      </c>
      <c r="BW6" s="61">
        <v>0.3</v>
      </c>
      <c r="BX6" s="61">
        <v>0</v>
      </c>
      <c r="BY6" s="72"/>
      <c r="BZ6" s="11">
        <f>IF(SUM(BJ6,BN6)&gt;0,SUM(BJ6,BN6),"")</f>
        <v>5.8</v>
      </c>
      <c r="CA6" s="11">
        <f>IF(SUM(BI6:BJ6,BL6:BN6,BP6)-BK6-BO6&gt;0,SUM(BI6:BJ6,BL6:BN6,BP6)-BK6-BO6,"")</f>
        <v>54.600000000000009</v>
      </c>
      <c r="CB6" s="11">
        <f>IF(SUM(BR6,BV6)&gt;0,SUM(BR6,BV6),"")</f>
        <v>8</v>
      </c>
      <c r="CC6" s="11">
        <f>IF(SUM(BQ6:BR6,BT6:BV6,BX6)-SUM(BS6,BW6)&gt;0,SUM(BQ6:BR6,BT6:BV6,BX6)-SUM(BS6,BW6),"")</f>
        <v>54.5</v>
      </c>
      <c r="CD6" s="11">
        <f>IF(SUM(CA6,CC6)&gt;0,SUM(CA6,CC6),"")</f>
        <v>109.10000000000001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/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24.3</v>
      </c>
      <c r="LZ6" s="61">
        <f>IF($BY6="P",BJ6,(BJ6+AN6)/2)</f>
        <v>4.5999999999999996</v>
      </c>
      <c r="MA6" s="61">
        <f>IF($BY6="P",BK6,(BK6+AO6)/2)</f>
        <v>0</v>
      </c>
      <c r="MB6" s="61">
        <f>IF($BY6="P",BL6,(BL6+AP6)/2)</f>
        <v>0.6</v>
      </c>
      <c r="MC6" s="61">
        <f>IF($BY6="P",BM6,(BM6+AQ6)/2)</f>
        <v>24.450000000000003</v>
      </c>
      <c r="MD6" s="61">
        <f>IF($BY6="P",BN6,(BN6+AR6)/2)</f>
        <v>2.2999999999999998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24.4</v>
      </c>
      <c r="MH6" s="61">
        <f>IF($BY6="P",BR6,(BR6+AV6)/2)</f>
        <v>4.25</v>
      </c>
      <c r="MI6" s="61">
        <f>IF($BY6="P",BS6,(BS6+AW6)/2)</f>
        <v>0</v>
      </c>
      <c r="MJ6" s="61">
        <f>IF($BY6="P",BT6,(BT6+AX6)/2)</f>
        <v>0.3</v>
      </c>
      <c r="MK6" s="61">
        <f>IF($BY6="P",BU6,(BU6+AY6)/2)</f>
        <v>22.6</v>
      </c>
      <c r="ML6" s="61">
        <f>IF($BY6="P",BV6,(BV6+AZ6)/2)</f>
        <v>3.4</v>
      </c>
      <c r="MM6" s="61">
        <f>IF($BY6="P",BW6,(BW6+BA6)/2)</f>
        <v>0.15</v>
      </c>
      <c r="MN6" s="61">
        <f>IF($BY6="P",BX6,(BX6+BB6)/2)</f>
        <v>0</v>
      </c>
      <c r="MO6" s="72" t="s">
        <v>52</v>
      </c>
      <c r="MP6" s="11">
        <f>IF(SUM(LZ6,MD6)&gt;0,SUM(LZ6,MD6),"")</f>
        <v>6.8999999999999995</v>
      </c>
      <c r="MQ6" s="11">
        <f>IF(SUM(LY6:LZ6,MB6:MD6,MF6)-MA6-ME6&gt;0,SUM(LY6:LZ6,MB6:MD6,MF6)-MA6-ME6,"")</f>
        <v>56.25</v>
      </c>
      <c r="MR6" s="11">
        <f>IF(SUM(MH6,ML6)&gt;0,SUM(MH6,ML6),"")</f>
        <v>7.65</v>
      </c>
      <c r="MS6" s="11">
        <f>IF(SUM(MG6:MH6,MJ6:ML6,MN6)-SUM(MI6,MM6)&gt;0,SUM(MG6:MH6,MJ6:ML6,MN6)-SUM(MI6,MM6),"")</f>
        <v>54.8</v>
      </c>
      <c r="MT6" s="11">
        <f>IF(SUM(MQ6,MS6)&gt;0,SUM(MQ6,MS6),"")</f>
        <v>111.05</v>
      </c>
    </row>
    <row r="7" spans="1:358" x14ac:dyDescent="0.2">
      <c r="A7" s="5" t="str">
        <f>IF(AND(F7="P",G7="P"),SUMPRODUCT((F$4:F$11="P")*(G$4:G$11="P")*(E$4:E$11&gt;E7))+1,IF(G7="P",SUMPRODUCT((F$4:F$11="")*(G$4:G$11="P")*(E$4:E$11&gt;E7))+1+SUMPRODUCT((F$4:F$11="P")*(G$4:G$11="P")),""))</f>
        <v/>
      </c>
      <c r="B7" s="8" t="s">
        <v>150</v>
      </c>
      <c r="C7" s="4" t="s">
        <v>3</v>
      </c>
      <c r="D7" s="26">
        <v>2003</v>
      </c>
      <c r="E7" s="15">
        <f>SUM(J7:N7)</f>
        <v>107</v>
      </c>
      <c r="F7" s="3" t="str">
        <f>IF(OR(AND(AH7&gt;=AL$13,AI7&gt;=AL$17,AI7&lt;&gt;"",AG7=""),AND(BD7&gt;=BH$13,BE7&gt;=BH$17,BE7&lt;&gt;"",BC7=""),AND(BZ7&gt;=CD$13,CA7&gt;=CD$17,CA7&lt;&gt;"",BY7=""),AND(CW7&gt;=DA$13,CX7&gt;=DA$17,CX7&lt;&gt;""),AND(DR7&gt;=DV$13,DS7&gt;=DV$17,DS7&lt;&gt;""),AND(EM7&gt;=EQ$13,EN7&gt;=EQ$17,EN7&lt;&gt;""),AND(FH7&gt;=FL$13,FI7&gt;=FL$17,FI7&lt;&gt;""),AND(GC7&gt;=GG$13,GD7&gt;=GG$17,GD7&lt;&gt;""),AND(GX7&gt;=HB$13,GY7&gt;=HB$17,GY7&lt;&gt;""),AND(HS7&gt;=HW$13,HT7&gt;=HW$17,HT7&lt;&gt;""),AND(IN7&gt;=IR$13,IO7&gt;=IR$17,IO7&lt;&gt;""),AND(JI7&gt;=JM$13,JJ7&gt;=JM$17,JJ7&lt;&gt;""),AND(KD7&gt;=KH$13,KE7&gt;=KH$17,KE7&lt;&gt;""),AND(KY7&gt;=LC$13,KZ7&gt;=LC$17,KZ7&lt;&gt;""),AND(LT7&gt;=LX$13,LU7&gt;=LX$17,LU7&lt;&gt;"")),"P","")</f>
        <v/>
      </c>
      <c r="G7" s="3" t="str">
        <f>IF(OR(AND(AI7&gt;=AL$17,AI7&lt;&gt;"",AG7=""),AND(BE7&gt;=BH$17,BE7&lt;&gt;"",BC7=""),AND(CA7&gt;=CD$17,CA7&lt;&gt;"",BY7=""),AND(CX7&gt;=DA$17,CX7&lt;&gt;""),AND(DS7&gt;=DV$17,DS7&lt;&gt;""),AND(EN7&gt;=EQ$17,EN7&lt;&gt;""),AND(FI7&gt;=FL$17,FI7&lt;&gt;""),AND(GD7&gt;=GG$17,GD7&lt;&gt;""),AND(GY7&gt;=HB$17,GY7&lt;&gt;""),AND(HT7&gt;=HW$17,HT7&lt;&gt;""),AND(IO7&gt;=IR$17,IO7&lt;&gt;""),AND(JJ7&gt;=JM$17,JJ7&lt;&gt;""),AND(KE7&gt;=KH$17,KE7&lt;&gt;""),AND(KZ7&gt;=LC$17,KZ7&lt;&gt;""),AND(LU7&gt;=LX$17,LU7&lt;&gt;"")),"P","")</f>
        <v/>
      </c>
      <c r="H7" s="116" t="str">
        <f>IF(AND(G7="P",F7=""),"No DD",IF(OR(AND(AI7&gt;=AL$20,AI7&lt;&gt;"",AH7&gt;=AL$16,AH7&lt;&gt;"",AG7=""),AND(BE7&gt;=BH$20,BE7&lt;&gt;"",BD7&gt;=BH$16,BD7&lt;&gt;"",BC7=""),AND(CA7&gt;=CD$20,CA7&lt;&gt;"",BZ7&gt;=CD$16,BZ7&lt;&gt;"",BY7=""),AND(CX7&gt;=DA$20,CX7&lt;&gt;"",CW7&gt;=DA$16,CW7&lt;&gt;""),AND(DS7&gt;=DV$20,DS7&lt;&gt;"",DR7&gt;=DV$16,DR7&lt;&gt;""),AND(EN7&gt;=EQ$20,EN7&lt;&gt;"",EM7&gt;=EQ$16,EM7&lt;&gt;""),AND(FI7&gt;=FL$20,FI7&lt;&gt;"",FH7&gt;=FL$16,FH7&lt;&gt;""),AND(GD7&gt;=GG$20,GD7&lt;&gt;"",GC7&gt;=GG$16,GC7&lt;&gt;""),AND(GY7&gt;=HB$20,GY7&lt;&gt;"",GX7&gt;=HB$16,GX7&lt;&gt;""),AND(HT7&gt;=HW$20,HT7&lt;&gt;"",HS7&gt;=HW$16,HS7&lt;&gt;""),AND(IO7&gt;=IR$20,IO7&lt;&gt;"",IN7&gt;=IR$16,IN7&lt;&gt;""),AND(JJ7&gt;=JM$20,JJ7&lt;&gt;"",JI7&gt;=JM$16,JI7&lt;&gt;""),AND(KE7&gt;=KH$20,KE7&lt;&gt;"",KD7&gt;=KH$16,KD7&lt;&gt;""),AND(KZ7&gt;=LC$20,KZ7&lt;&gt;"",KY7&gt;=LC$16,KY7&lt;&gt;""),AND(LU7&gt;=LX$20,LU7&lt;&gt;"",LT7&gt;=LX$16,LT7&lt;&gt;"")),"Merit",IF(OR(AND(AI7&gt;=AL$19,AI7&lt;&gt;"",AH7&gt;=AL$15,AH7&lt;&gt;"",AG7=""),AND(BE7&gt;=BH$19,BE7&lt;&gt;"",BD7&gt;=BH$15,BD7&lt;&gt;"",BC7=""),AND(CA7&gt;=CD$19,CA7&lt;&gt;"",BZ7&gt;=CD$15,BZ7&lt;&gt;"",BY7=""),AND(CX7&gt;=DA$19,CX7&lt;&gt;"",CW7&gt;=DA$15,CW7&lt;&gt;""),AND(DS7&gt;=DV$19,DS7&lt;&gt;"",DR7&gt;=DV$15,DR7&lt;&gt;""),AND(EN7&gt;=EQ$19,EN7&lt;&gt;"",EM7&gt;=EQ$15,EM7&lt;&gt;""),AND(FI7&gt;=FL$19,FI7&lt;&gt;"",FH7&gt;=FL$15,FH7&lt;&gt;""),AND(GD7&gt;=GG$19,GD7&lt;&gt;"",GC7&gt;=GG$15,GC7&lt;&gt;""),AND(GY7&gt;=HB$19,GY7&lt;&gt;"",GX7&gt;=HB$15,GX7&lt;&gt;""),AND(HT7&gt;=HW$19,HT7&lt;&gt;"",HS7&gt;=HW$15,HS7&lt;&gt;""),AND(IO7&gt;=IR$19,IO7&lt;&gt;"",IN7&gt;=IR$15,IN7&lt;&gt;""),AND(JJ7&gt;=JM$19,JJ7&lt;&gt;"",JI7&gt;=JM$15,JI7&lt;&gt;""),AND(KE7&gt;=KH$19,KE7&lt;&gt;"",KD7&gt;=KH$15,KD7&lt;&gt;""),AND(KZ7&gt;=LC$19,KZ7&lt;&gt;"",KY7&gt;=LC$15,KY7&lt;&gt;""),AND(LU7&gt;=LX$19,LU7&lt;&gt;"",LT7&gt;=LX$15,LT7&lt;&gt;"")),"Excellence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Worlds Team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National Team","")))))</f>
        <v/>
      </c>
      <c r="I7" s="3" t="str">
        <f>IF(OR(H7="Worlds Team",H7="Excellence",H7="Merit"),"P","")</f>
        <v/>
      </c>
      <c r="J7" s="14">
        <f>MAX(AI7,BE7,CA7)</f>
        <v>49.6</v>
      </c>
      <c r="K7" s="14" t="str">
        <f>IF(J7=0,"",IF(J7=CA7,$BI$1,IF(J7=BE7,$AM$1,IF(J7=AI7,$Q$1,""))))</f>
        <v>2021 2nd Virtual Technical Trial</v>
      </c>
      <c r="L7" s="14">
        <f>MAX(AK7,BG7,CC7)</f>
        <v>57.400000000000006</v>
      </c>
      <c r="M7" s="14" t="str">
        <f>IF(L7=0,"",IF(J7=CC7,$BI$1,IF(L7=BG7,$AM$1,IF(L7=AK7,$Q$1,""))))</f>
        <v/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72"/>
      <c r="AH7" s="11" t="str">
        <f>IF(SUM(R7,V7)&gt;0,SUM(R7,V7),"")</f>
        <v/>
      </c>
      <c r="AI7" s="11" t="str">
        <f>IF(SUM(Q7:R7,T7:V7,X7)-S7-W7&gt;0,SUM(Q7:R7,T7:V7,X7)-S7-W7,"")</f>
        <v/>
      </c>
      <c r="AJ7" s="11" t="str">
        <f>IF(SUM(Z7,AD7)&gt;0,SUM(R7,V7),"")</f>
        <v/>
      </c>
      <c r="AK7" s="11" t="str">
        <f>IF(SUM(Y7:Z7,AB7:AD7,AF7)-SUM(AA7,AE7)&gt;0,SUM(Y7:Z7,AB7:AD7,AF7)-SUM(AA7,AE7),"")</f>
        <v/>
      </c>
      <c r="AL7" s="11" t="str">
        <f>IF(SUM(AI7,AK7)&gt;0,SUM(AI7,AK7),"")</f>
        <v/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61">
        <v>19.899999999999999</v>
      </c>
      <c r="BJ7" s="61">
        <v>2.8</v>
      </c>
      <c r="BK7" s="61">
        <v>0</v>
      </c>
      <c r="BL7" s="61">
        <v>0.3</v>
      </c>
      <c r="BM7" s="61">
        <v>23.3</v>
      </c>
      <c r="BN7" s="61">
        <v>3.6</v>
      </c>
      <c r="BO7" s="61">
        <v>0.3</v>
      </c>
      <c r="BP7" s="61">
        <v>0</v>
      </c>
      <c r="BQ7" s="61">
        <v>24.6</v>
      </c>
      <c r="BR7" s="61">
        <v>5.0999999999999996</v>
      </c>
      <c r="BS7" s="61">
        <v>0.3</v>
      </c>
      <c r="BT7" s="61">
        <v>0.3</v>
      </c>
      <c r="BU7" s="61">
        <v>23.6</v>
      </c>
      <c r="BV7" s="61">
        <v>4.4000000000000004</v>
      </c>
      <c r="BW7" s="61">
        <v>0.3</v>
      </c>
      <c r="BX7" s="61">
        <v>0</v>
      </c>
      <c r="BY7" s="72"/>
      <c r="BZ7" s="11">
        <f>IF(SUM(BJ7,BN7)&gt;0,SUM(BJ7,BN7),"")</f>
        <v>6.4</v>
      </c>
      <c r="CA7" s="11">
        <f>IF(SUM(BI7:BJ7,BL7:BN7,BP7)-BK7-BO7&gt;0,SUM(BI7:BJ7,BL7:BN7,BP7)-BK7-BO7,"")</f>
        <v>49.6</v>
      </c>
      <c r="CB7" s="11">
        <f>IF(SUM(BR7,BV7)&gt;0,SUM(BR7,BV7),"")</f>
        <v>9.5</v>
      </c>
      <c r="CC7" s="11">
        <f>IF(SUM(BQ7:BR7,BT7:BV7,BX7)-SUM(BS7,BW7)&gt;0,SUM(BQ7:BR7,BT7:BV7,BX7)-SUM(BS7,BW7),"")</f>
        <v>57.400000000000006</v>
      </c>
      <c r="CD7" s="11">
        <f>IF(SUM(CA7,CC7)&gt;0,SUM(CA7,CC7),"")</f>
        <v>107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/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9.9499999999999993</v>
      </c>
      <c r="LZ7" s="61">
        <f>IF($BY7="P",BJ7,(BJ7+AN7)/2)</f>
        <v>1.4</v>
      </c>
      <c r="MA7" s="61">
        <f>IF($BY7="P",BK7,(BK7+AO7)/2)</f>
        <v>0</v>
      </c>
      <c r="MB7" s="61">
        <f>IF($BY7="P",BL7,(BL7+AP7)/2)</f>
        <v>0.15</v>
      </c>
      <c r="MC7" s="61">
        <f>IF($BY7="P",BM7,(BM7+AQ7)/2)</f>
        <v>11.65</v>
      </c>
      <c r="MD7" s="61">
        <f>IF($BY7="P",BN7,(BN7+AR7)/2)</f>
        <v>1.8</v>
      </c>
      <c r="ME7" s="61">
        <f>IF($BY7="P",BO7,(BO7+AS7)/2)</f>
        <v>0.15</v>
      </c>
      <c r="MF7" s="61">
        <f>IF($BY7="P",BP7,(BP7+AT7)/2)</f>
        <v>0</v>
      </c>
      <c r="MG7" s="61">
        <f>IF($BY7="P",BQ7,(BQ7+AU7)/2)</f>
        <v>12.3</v>
      </c>
      <c r="MH7" s="61">
        <f>IF($BY7="P",BR7,(BR7+AV7)/2)</f>
        <v>2.5499999999999998</v>
      </c>
      <c r="MI7" s="61">
        <f>IF($BY7="P",BS7,(BS7+AW7)/2)</f>
        <v>0.15</v>
      </c>
      <c r="MJ7" s="61">
        <f>IF($BY7="P",BT7,(BT7+AX7)/2)</f>
        <v>0.15</v>
      </c>
      <c r="MK7" s="61">
        <f>IF($BY7="P",BU7,(BU7+AY7)/2)</f>
        <v>11.8</v>
      </c>
      <c r="ML7" s="61">
        <f>IF($BY7="P",BV7,(BV7+AZ7)/2)</f>
        <v>2.2000000000000002</v>
      </c>
      <c r="MM7" s="61">
        <f>IF($BY7="P",BW7,(BW7+BA7)/2)</f>
        <v>0.15</v>
      </c>
      <c r="MN7" s="61">
        <f>IF($BY7="P",BX7,(BX7+BB7)/2)</f>
        <v>0</v>
      </c>
      <c r="MO7" s="72" t="s">
        <v>52</v>
      </c>
      <c r="MP7" s="11">
        <f>IF(SUM(LZ7,MD7)&gt;0,SUM(LZ7,MD7),"")</f>
        <v>3.2</v>
      </c>
      <c r="MQ7" s="11">
        <f>IF(SUM(LY7:LZ7,MB7:MD7,MF7)-MA7-ME7&gt;0,SUM(LY7:LZ7,MB7:MD7,MF7)-MA7-ME7,"")</f>
        <v>24.8</v>
      </c>
      <c r="MR7" s="11">
        <f>IF(SUM(MH7,ML7)&gt;0,SUM(MH7,ML7),"")</f>
        <v>4.75</v>
      </c>
      <c r="MS7" s="11">
        <f>IF(SUM(MG7:MH7,MJ7:ML7,MN7)-SUM(MI7,MM7)&gt;0,SUM(MG7:MH7,MJ7:ML7,MN7)-SUM(MI7,MM7),"")</f>
        <v>28.700000000000003</v>
      </c>
      <c r="MT7" s="11">
        <f>IF(SUM(MQ7,MS7)&gt;0,SUM(MQ7,MS7),"")</f>
        <v>53.5</v>
      </c>
    </row>
    <row r="8" spans="1:358" x14ac:dyDescent="0.2">
      <c r="A8" s="5" t="str">
        <f>IF(AND(F8="P",G8="P"),SUMPRODUCT((F$4:F$11="P")*(G$4:G$11="P")*(E$4:E$11&gt;E8))+1,IF(G8="P",SUMPRODUCT((F$4:F$11="")*(G$4:G$11="P")*(E$4:E$11&gt;E8))+1+SUMPRODUCT((F$4:F$11="P")*(G$4:G$11="P")),""))</f>
        <v/>
      </c>
      <c r="B8" s="8" t="s">
        <v>143</v>
      </c>
      <c r="C8" s="4" t="s">
        <v>4</v>
      </c>
      <c r="D8" s="26">
        <v>2004</v>
      </c>
      <c r="E8" s="15">
        <f>SUM(J8:N8)</f>
        <v>105.5</v>
      </c>
      <c r="F8" s="3" t="str">
        <f>IF(OR(AND(AH8&gt;=AL$13,AI8&gt;=AL$17,AI8&lt;&gt;"",AG8=""),AND(BD8&gt;=BH$13,BE8&gt;=BH$17,BE8&lt;&gt;"",BC8=""),AND(BZ8&gt;=CD$13,CA8&gt;=CD$17,CA8&lt;&gt;"",BY8=""),AND(CW8&gt;=DA$13,CX8&gt;=DA$17,CX8&lt;&gt;""),AND(DR8&gt;=DV$13,DS8&gt;=DV$17,DS8&lt;&gt;""),AND(EM8&gt;=EQ$13,EN8&gt;=EQ$17,EN8&lt;&gt;""),AND(FH8&gt;=FL$13,FI8&gt;=FL$17,FI8&lt;&gt;""),AND(GC8&gt;=GG$13,GD8&gt;=GG$17,GD8&lt;&gt;""),AND(GX8&gt;=HB$13,GY8&gt;=HB$17,GY8&lt;&gt;""),AND(HS8&gt;=HW$13,HT8&gt;=HW$17,HT8&lt;&gt;""),AND(IN8&gt;=IR$13,IO8&gt;=IR$17,IO8&lt;&gt;""),AND(JI8&gt;=JM$13,JJ8&gt;=JM$17,JJ8&lt;&gt;""),AND(KD8&gt;=KH$13,KE8&gt;=KH$17,KE8&lt;&gt;""),AND(KY8&gt;=LC$13,KZ8&gt;=LC$17,KZ8&lt;&gt;""),AND(LT8&gt;=LX$13,LU8&gt;=LX$17,LU8&lt;&gt;"")),"P","")</f>
        <v/>
      </c>
      <c r="G8" s="3" t="str">
        <f>IF(OR(AND(AI8&gt;=AL$17,AI8&lt;&gt;"",AG8=""),AND(BE8&gt;=BH$17,BE8&lt;&gt;"",BC8=""),AND(CA8&gt;=CD$17,CA8&lt;&gt;"",BY8=""),AND(CX8&gt;=DA$17,CX8&lt;&gt;""),AND(DS8&gt;=DV$17,DS8&lt;&gt;""),AND(EN8&gt;=EQ$17,EN8&lt;&gt;""),AND(FI8&gt;=FL$17,FI8&lt;&gt;""),AND(GD8&gt;=GG$17,GD8&lt;&gt;""),AND(GY8&gt;=HB$17,GY8&lt;&gt;""),AND(HT8&gt;=HW$17,HT8&lt;&gt;""),AND(IO8&gt;=IR$17,IO8&lt;&gt;""),AND(JJ8&gt;=JM$17,JJ8&lt;&gt;""),AND(KE8&gt;=KH$17,KE8&lt;&gt;""),AND(KZ8&gt;=LC$17,KZ8&lt;&gt;""),AND(LU8&gt;=LX$17,LU8&lt;&gt;"")),"P","")</f>
        <v/>
      </c>
      <c r="H8" s="116" t="str">
        <f>IF(AND(G8="P",F8=""),"No DD",IF(OR(AND(AI8&gt;=AL$20,AI8&lt;&gt;"",AH8&gt;=AL$16,AH8&lt;&gt;"",AG8=""),AND(BE8&gt;=BH$20,BE8&lt;&gt;"",BD8&gt;=BH$16,BD8&lt;&gt;"",BC8=""),AND(CA8&gt;=CD$20,CA8&lt;&gt;"",BZ8&gt;=CD$16,BZ8&lt;&gt;"",BY8=""),AND(CX8&gt;=DA$20,CX8&lt;&gt;"",CW8&gt;=DA$16,CW8&lt;&gt;""),AND(DS8&gt;=DV$20,DS8&lt;&gt;"",DR8&gt;=DV$16,DR8&lt;&gt;""),AND(EN8&gt;=EQ$20,EN8&lt;&gt;"",EM8&gt;=EQ$16,EM8&lt;&gt;""),AND(FI8&gt;=FL$20,FI8&lt;&gt;"",FH8&gt;=FL$16,FH8&lt;&gt;""),AND(GD8&gt;=GG$20,GD8&lt;&gt;"",GC8&gt;=GG$16,GC8&lt;&gt;""),AND(GY8&gt;=HB$20,GY8&lt;&gt;"",GX8&gt;=HB$16,GX8&lt;&gt;""),AND(HT8&gt;=HW$20,HT8&lt;&gt;"",HS8&gt;=HW$16,HS8&lt;&gt;""),AND(IO8&gt;=IR$20,IO8&lt;&gt;"",IN8&gt;=IR$16,IN8&lt;&gt;""),AND(JJ8&gt;=JM$20,JJ8&lt;&gt;"",JI8&gt;=JM$16,JI8&lt;&gt;""),AND(KE8&gt;=KH$20,KE8&lt;&gt;"",KD8&gt;=KH$16,KD8&lt;&gt;""),AND(KZ8&gt;=LC$20,KZ8&lt;&gt;"",KY8&gt;=LC$16,KY8&lt;&gt;""),AND(LU8&gt;=LX$20,LU8&lt;&gt;"",LT8&gt;=LX$16,LT8&lt;&gt;"")),"Merit",IF(OR(AND(AI8&gt;=AL$19,AI8&lt;&gt;"",AH8&gt;=AL$15,AH8&lt;&gt;"",AG8=""),AND(BE8&gt;=BH$19,BE8&lt;&gt;"",BD8&gt;=BH$15,BD8&lt;&gt;"",BC8=""),AND(CA8&gt;=CD$19,CA8&lt;&gt;"",BZ8&gt;=CD$15,BZ8&lt;&gt;"",BY8=""),AND(CX8&gt;=DA$19,CX8&lt;&gt;"",CW8&gt;=DA$15,CW8&lt;&gt;""),AND(DS8&gt;=DV$19,DS8&lt;&gt;"",DR8&gt;=DV$15,DR8&lt;&gt;""),AND(EN8&gt;=EQ$19,EN8&lt;&gt;"",EM8&gt;=EQ$15,EM8&lt;&gt;""),AND(FI8&gt;=FL$19,FI8&lt;&gt;"",FH8&gt;=FL$15,FH8&lt;&gt;""),AND(GD8&gt;=GG$19,GD8&lt;&gt;"",GC8&gt;=GG$15,GC8&lt;&gt;""),AND(GY8&gt;=HB$19,GY8&lt;&gt;"",GX8&gt;=HB$15,GX8&lt;&gt;""),AND(HT8&gt;=HW$19,HT8&lt;&gt;"",HS8&gt;=HW$15,HS8&lt;&gt;""),AND(IO8&gt;=IR$19,IO8&lt;&gt;"",IN8&gt;=IR$15,IN8&lt;&gt;""),AND(JJ8&gt;=JM$19,JJ8&lt;&gt;"",JI8&gt;=JM$15,JI8&lt;&gt;""),AND(KE8&gt;=KH$19,KE8&lt;&gt;"",KD8&gt;=KH$15,KD8&lt;&gt;""),AND(KZ8&gt;=LC$19,KZ8&lt;&gt;"",KY8&gt;=LC$15,KY8&lt;&gt;""),AND(LU8&gt;=LX$19,LU8&lt;&gt;"",LT8&gt;=LX$15,LT8&lt;&gt;"")),"Excellence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Worlds Team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National Team","")))))</f>
        <v/>
      </c>
      <c r="I8" s="3" t="str">
        <f>IF(OR(H8="Worlds Team",H8="Excellence",H8="Merit"),"P","")</f>
        <v/>
      </c>
      <c r="J8" s="14">
        <f>MAX(AI8,BE8,CA8)</f>
        <v>50</v>
      </c>
      <c r="K8" s="14" t="str">
        <f>IF(J8=0,"",IF(J8=CA8,$BI$1,IF(J8=BE8,$AM$1,IF(J8=AI8,$Q$1,""))))</f>
        <v>2021 2nd Virtual Technical Trial</v>
      </c>
      <c r="L8" s="14">
        <f>MAX(AK8,BG8,CC8)</f>
        <v>55.500000000000007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>IF(SUM(R8,V8)&gt;0,SUM(R8,V8),"")</f>
        <v/>
      </c>
      <c r="AI8" s="11" t="str">
        <f>IF(SUM(Q8:R8,T8:V8,X8)-S8-W8&gt;0,SUM(Q8:R8,T8:V8,X8)-S8-W8,"")</f>
        <v/>
      </c>
      <c r="AJ8" s="11" t="str">
        <f>IF(SUM(Z8,AD8)&gt;0,SUM(R8,V8),"")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>IF(SUM(AN8,AR8)&gt;0,SUM(AN8,AR8),"")</f>
        <v/>
      </c>
      <c r="BE8" s="14" t="str">
        <f>IF(SUM(AM8:AN8,AP8:AR8,AT8)-AO8-AS8&gt;0,SUM(AM8:AN8,AP8:AR8,AT8)-AO8-AS8,"")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1">
        <v>21.8</v>
      </c>
      <c r="BJ8" s="61">
        <v>4.4000000000000004</v>
      </c>
      <c r="BK8" s="61">
        <v>0.6</v>
      </c>
      <c r="BL8" s="61">
        <v>0.3</v>
      </c>
      <c r="BM8" s="61">
        <v>22.8</v>
      </c>
      <c r="BN8" s="61">
        <v>1.3</v>
      </c>
      <c r="BO8" s="61">
        <v>0</v>
      </c>
      <c r="BP8" s="61">
        <v>0</v>
      </c>
      <c r="BQ8" s="61">
        <v>23</v>
      </c>
      <c r="BR8" s="61">
        <v>4</v>
      </c>
      <c r="BS8" s="61">
        <v>0</v>
      </c>
      <c r="BT8" s="61">
        <v>0.3</v>
      </c>
      <c r="BU8" s="61">
        <v>24.9</v>
      </c>
      <c r="BV8" s="61">
        <v>3.6</v>
      </c>
      <c r="BW8" s="61">
        <v>0.3</v>
      </c>
      <c r="BX8" s="61">
        <v>0</v>
      </c>
      <c r="BY8" s="72"/>
      <c r="BZ8" s="11">
        <f>IF(SUM(BJ8,BN8)&gt;0,SUM(BJ8,BN8),"")</f>
        <v>5.7</v>
      </c>
      <c r="CA8" s="11">
        <f>IF(SUM(BI8:BJ8,BL8:BN8,BP8)-BK8-BO8&gt;0,SUM(BI8:BJ8,BL8:BN8,BP8)-BK8-BO8,"")</f>
        <v>50</v>
      </c>
      <c r="CB8" s="11">
        <f>IF(SUM(BR8,BV8)&gt;0,SUM(BR8,BV8),"")</f>
        <v>7.6</v>
      </c>
      <c r="CC8" s="11">
        <f>IF(SUM(BQ8:BR8,BT8:BV8,BX8)-SUM(BS8,BW8)&gt;0,SUM(BQ8:BR8,BT8:BV8,BX8)-SUM(BS8,BW8),"")</f>
        <v>55.500000000000007</v>
      </c>
      <c r="CD8" s="11">
        <f>IF(SUM(CA8,CC8)&gt;0,SUM(CA8,CC8),"")</f>
        <v>105.5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/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10.9</v>
      </c>
      <c r="LZ8" s="61">
        <f>IF($BY8="P",BJ8,(BJ8+AN8)/2)</f>
        <v>2.2000000000000002</v>
      </c>
      <c r="MA8" s="61">
        <f>IF($BY8="P",BK8,(BK8+AO8)/2)</f>
        <v>0.3</v>
      </c>
      <c r="MB8" s="61">
        <f>IF($BY8="P",BL8,(BL8+AP8)/2)</f>
        <v>0.15</v>
      </c>
      <c r="MC8" s="61">
        <f>IF($BY8="P",BM8,(BM8+AQ8)/2)</f>
        <v>11.4</v>
      </c>
      <c r="MD8" s="61">
        <f>IF($BY8="P",BN8,(BN8+AR8)/2)</f>
        <v>0.65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11.5</v>
      </c>
      <c r="MH8" s="61">
        <f>IF($BY8="P",BR8,(BR8+AV8)/2)</f>
        <v>2</v>
      </c>
      <c r="MI8" s="61">
        <f>IF($BY8="P",BS8,(BS8+AW8)/2)</f>
        <v>0</v>
      </c>
      <c r="MJ8" s="61">
        <f>IF($BY8="P",BT8,(BT8+AX8)/2)</f>
        <v>0.15</v>
      </c>
      <c r="MK8" s="61">
        <f>IF($BY8="P",BU8,(BU8+AY8)/2)</f>
        <v>12.45</v>
      </c>
      <c r="ML8" s="61">
        <f>IF($BY8="P",BV8,(BV8+AZ8)/2)</f>
        <v>1.8</v>
      </c>
      <c r="MM8" s="61">
        <f>IF($BY8="P",BW8,(BW8+BA8)/2)</f>
        <v>0.15</v>
      </c>
      <c r="MN8" s="61">
        <f>IF($BY8="P",BX8,(BX8+BB8)/2)</f>
        <v>0</v>
      </c>
      <c r="MO8" s="72" t="s">
        <v>52</v>
      </c>
      <c r="MP8" s="11">
        <f>IF(SUM(LZ8,MD8)&gt;0,SUM(LZ8,MD8),"")</f>
        <v>2.85</v>
      </c>
      <c r="MQ8" s="11">
        <f>IF(SUM(LY8:LZ8,MB8:MD8,MF8)-MA8-ME8&gt;0,SUM(LY8:LZ8,MB8:MD8,MF8)-MA8-ME8,"")</f>
        <v>25</v>
      </c>
      <c r="MR8" s="11">
        <f>IF(SUM(MH8,ML8)&gt;0,SUM(MH8,ML8),"")</f>
        <v>3.8</v>
      </c>
      <c r="MS8" s="11">
        <f>IF(SUM(MG8:MH8,MJ8:ML8,MN8)-SUM(MI8,MM8)&gt;0,SUM(MG8:MH8,MJ8:ML8,MN8)-SUM(MI8,MM8),"")</f>
        <v>27.750000000000004</v>
      </c>
      <c r="MT8" s="11">
        <f>IF(SUM(MQ8,MS8)&gt;0,SUM(MQ8,MS8),"")</f>
        <v>52.75</v>
      </c>
    </row>
    <row r="9" spans="1:358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8" t="s">
        <v>95</v>
      </c>
      <c r="C9" s="4" t="s">
        <v>4</v>
      </c>
      <c r="D9" s="26">
        <v>2003</v>
      </c>
      <c r="E9" s="15">
        <f>SUM(J9:N9)</f>
        <v>50.1</v>
      </c>
      <c r="F9" s="3" t="str">
        <f>IF(OR(AND(AH9&gt;=AL$13,AI9&gt;=AL$17,AI9&lt;&gt;"",AG9=""),AND(BD9&gt;=BH$13,BE9&gt;=BH$17,BE9&lt;&gt;"",BC9=""),AND(BZ9&gt;=CD$13,CA9&gt;=CD$17,CA9&lt;&gt;"",BY9=""),AND(CW9&gt;=DA$13,CX9&gt;=DA$17,CX9&lt;&gt;""),AND(DR9&gt;=DV$13,DS9&gt;=DV$17,DS9&lt;&gt;""),AND(EM9&gt;=EQ$13,EN9&gt;=EQ$17,EN9&lt;&gt;""),AND(FH9&gt;=FL$13,FI9&gt;=FL$17,FI9&lt;&gt;""),AND(GC9&gt;=GG$13,GD9&gt;=GG$17,GD9&lt;&gt;""),AND(GX9&gt;=HB$13,GY9&gt;=HB$17,GY9&lt;&gt;""),AND(HS9&gt;=HW$13,HT9&gt;=HW$17,HT9&lt;&gt;""),AND(IN9&gt;=IR$13,IO9&gt;=IR$17,IO9&lt;&gt;""),AND(JI9&gt;=JM$13,JJ9&gt;=JM$17,JJ9&lt;&gt;""),AND(KD9&gt;=KH$13,KE9&gt;=KH$17,KE9&lt;&gt;""),AND(KY9&gt;=LC$13,KZ9&gt;=LC$17,KZ9&lt;&gt;""),AND(LT9&gt;=LX$13,LU9&gt;=LX$17,LU9&lt;&gt;"")),"P","")</f>
        <v/>
      </c>
      <c r="G9" s="3" t="str">
        <f>IF(OR(AND(AI9&gt;=AL$17,AI9&lt;&gt;"",AG9=""),AND(BE9&gt;=BH$17,BE9&lt;&gt;"",BC9=""),AND(CA9&gt;=CD$17,CA9&lt;&gt;"",BY9=""),AND(CX9&gt;=DA$17,CX9&lt;&gt;""),AND(DS9&gt;=DV$17,DS9&lt;&gt;""),AND(EN9&gt;=EQ$17,EN9&lt;&gt;""),AND(FI9&gt;=FL$17,FI9&lt;&gt;""),AND(GD9&gt;=GG$17,GD9&lt;&gt;""),AND(GY9&gt;=HB$17,GY9&lt;&gt;""),AND(HT9&gt;=HW$17,HT9&lt;&gt;""),AND(IO9&gt;=IR$17,IO9&lt;&gt;""),AND(JJ9&gt;=JM$17,JJ9&lt;&gt;""),AND(KE9&gt;=KH$17,KE9&lt;&gt;""),AND(KZ9&gt;=LC$17,KZ9&lt;&gt;""),AND(LU9&gt;=LX$17,LU9&lt;&gt;"")),"P","")</f>
        <v/>
      </c>
      <c r="H9" s="116" t="str">
        <f>IF(AND(G9="P",F9=""),"No DD",IF(OR(AND(AI9&gt;=AL$20,AI9&lt;&gt;"",AH9&gt;=AL$16,AH9&lt;&gt;"",AG9=""),AND(BE9&gt;=BH$20,BE9&lt;&gt;"",BD9&gt;=BH$16,BD9&lt;&gt;"",BC9=""),AND(CA9&gt;=CD$20,CA9&lt;&gt;"",BZ9&gt;=CD$16,BZ9&lt;&gt;"",BY9=""),AND(CX9&gt;=DA$20,CX9&lt;&gt;"",CW9&gt;=DA$16,CW9&lt;&gt;""),AND(DS9&gt;=DV$20,DS9&lt;&gt;"",DR9&gt;=DV$16,DR9&lt;&gt;""),AND(EN9&gt;=EQ$20,EN9&lt;&gt;"",EM9&gt;=EQ$16,EM9&lt;&gt;""),AND(FI9&gt;=FL$20,FI9&lt;&gt;"",FH9&gt;=FL$16,FH9&lt;&gt;""),AND(GD9&gt;=GG$20,GD9&lt;&gt;"",GC9&gt;=GG$16,GC9&lt;&gt;""),AND(GY9&gt;=HB$20,GY9&lt;&gt;"",GX9&gt;=HB$16,GX9&lt;&gt;""),AND(HT9&gt;=HW$20,HT9&lt;&gt;"",HS9&gt;=HW$16,HS9&lt;&gt;""),AND(IO9&gt;=IR$20,IO9&lt;&gt;"",IN9&gt;=IR$16,IN9&lt;&gt;""),AND(JJ9&gt;=JM$20,JJ9&lt;&gt;"",JI9&gt;=JM$16,JI9&lt;&gt;""),AND(KE9&gt;=KH$20,KE9&lt;&gt;"",KD9&gt;=KH$16,KD9&lt;&gt;""),AND(KZ9&gt;=LC$20,KZ9&lt;&gt;"",KY9&gt;=LC$16,KY9&lt;&gt;""),AND(LU9&gt;=LX$20,LU9&lt;&gt;"",LT9&gt;=LX$16,LT9&lt;&gt;"")),"Merit",IF(OR(AND(AI9&gt;=AL$19,AI9&lt;&gt;"",AH9&gt;=AL$15,AH9&lt;&gt;"",AG9=""),AND(BE9&gt;=BH$19,BE9&lt;&gt;"",BD9&gt;=BH$15,BD9&lt;&gt;"",BC9=""),AND(CA9&gt;=CD$19,CA9&lt;&gt;"",BZ9&gt;=CD$15,BZ9&lt;&gt;"",BY9=""),AND(CX9&gt;=DA$19,CX9&lt;&gt;"",CW9&gt;=DA$15,CW9&lt;&gt;""),AND(DS9&gt;=DV$19,DS9&lt;&gt;"",DR9&gt;=DV$15,DR9&lt;&gt;""),AND(EN9&gt;=EQ$19,EN9&lt;&gt;"",EM9&gt;=EQ$15,EM9&lt;&gt;""),AND(FI9&gt;=FL$19,FI9&lt;&gt;"",FH9&gt;=FL$15,FH9&lt;&gt;""),AND(GD9&gt;=GG$19,GD9&lt;&gt;"",GC9&gt;=GG$15,GC9&lt;&gt;""),AND(GY9&gt;=HB$19,GY9&lt;&gt;"",GX9&gt;=HB$15,GX9&lt;&gt;""),AND(HT9&gt;=HW$19,HT9&lt;&gt;"",HS9&gt;=HW$15,HS9&lt;&gt;""),AND(IO9&gt;=IR$19,IO9&lt;&gt;"",IN9&gt;=IR$15,IN9&lt;&gt;""),AND(JJ9&gt;=JM$19,JJ9&lt;&gt;"",JI9&gt;=JM$15,JI9&lt;&gt;""),AND(KE9&gt;=KH$19,KE9&lt;&gt;"",KD9&gt;=KH$15,KD9&lt;&gt;""),AND(KZ9&gt;=LC$19,KZ9&lt;&gt;"",KY9&gt;=LC$15,KY9&lt;&gt;""),AND(LU9&gt;=LX$19,LU9&lt;&gt;"",LT9&gt;=LX$15,LT9&lt;&gt;"")),"Excellence",IF(OR(AND(AI9&gt;=AL$18,AI9&lt;&gt;"",AH9&gt;=AL$14,AH9&lt;&gt;"",AG9=""),AND(BE9&gt;=BH$18,BE9&lt;&gt;"",BD9&gt;=BH$14,BD9&lt;&gt;"",BC9=""),AND(CA9&gt;=CD$18,CA9&lt;&gt;"",BZ9&gt;=CD$14,BZ9&lt;&gt;"",BY9=""),AND(CX9&gt;=DA$18,CX9&lt;&gt;"",CW9&gt;=DA$14,CW9&lt;&gt;""),AND(DS9&gt;=DV$18,DS9&lt;&gt;"",DR9&gt;=DV$14,DR9&lt;&gt;""),AND(EN9&gt;=EQ$18,EN9&lt;&gt;"",EM9&gt;=EQ$14,EM9&lt;&gt;""),AND(FI9&gt;=FL$18,FI9&lt;&gt;"",FH9&gt;=FL$14,FH9&lt;&gt;""),AND(GD9&gt;=GG$18,GD9&lt;&gt;"",GC9&gt;=GG$14,GC9&lt;&gt;""),AND(GY9&gt;=HB$18,GY9&lt;&gt;"",GX9&gt;=HB$14,GX9&lt;&gt;""),AND(HT9&gt;=HW$18,HT9&lt;&gt;"",HS9&gt;=HW$14,HS9&lt;&gt;""),AND(IO9&gt;=IR$18,IO9&lt;&gt;"",IN9&gt;=IR$14,IN9&lt;&gt;""),AND(JJ9&gt;=JM$18,JJ9&lt;&gt;"",JI9&gt;=JM$14,JI9&lt;&gt;""),AND(KE9&gt;=KH$18,KE9&lt;&gt;"",KD9&gt;=KH$14,KD9&lt;&gt;""),AND(KZ9&gt;=LC$18,KZ9&lt;&gt;"",KY9&gt;=LC$14,KY9&lt;&gt;""),AND(LU9&gt;=LX$18,LU9&lt;&gt;"",LT9&gt;=LX$14,LT9&lt;&gt;"")),"Worlds Team",IF(OR(AND(AI9&gt;=AL$17,AI9&lt;&gt;"",AH9&gt;=AL$13,AH9&lt;&gt;"",AG9=""),AND(BE9&gt;=BH$17,BE9&lt;&gt;"",BD9&gt;=BH$13,BD9&lt;&gt;"",BC9=""),AND(CA9&gt;=CD$17,CA9&lt;&gt;"",BZ9&gt;=CD$13,BZ9&lt;&gt;"",BY9=""),AND(CX9&gt;=DA$17,CX9&lt;&gt;"",CW9&gt;=DA$13,CW9&lt;&gt;""),AND(DS9&gt;=DV$17,DS9&lt;&gt;"",DR9&gt;=DV$13,DR9&lt;&gt;""),AND(EN9&gt;=EQ$17,EN9&lt;&gt;"",EM9&gt;=EQ$13,EM9&lt;&gt;""),AND(FI9&gt;=FL$17,FI9&lt;&gt;"",FH9&gt;=FL$13,FH9&lt;&gt;""),AND(GD9&gt;=GG$17,GD9&lt;&gt;"",GC9&gt;=GG$13,GC9&lt;&gt;""),AND(GY9&gt;=HB$17,GY9&lt;&gt;"",GX9&gt;=HB$13,GX9&lt;&gt;""),AND(HT9&gt;=HW$17,HT9&lt;&gt;"",HS9&gt;=HW$13,HS9&lt;&gt;""),AND(IO9&gt;=IR$17,IO9&lt;&gt;"",IN9&gt;=IR$13,IN9&lt;&gt;""),AND(JJ9&gt;=JM$17,JJ9&lt;&gt;"",JI9&gt;=JM$13,JI9&lt;&gt;""),AND(KE9&gt;=KH$17,KE9&lt;&gt;"",KD9&gt;=KH$13,KD9&lt;&gt;""),AND(KZ9&gt;=LC$17,KZ9&lt;&gt;"",KY9&gt;=LC$13,KY9&lt;&gt;""),AND(LU9&gt;=LX$17,LU9&lt;&gt;"",LT9&gt;=LX$13,LT9&lt;&gt;"")),"National Team","")))))</f>
        <v/>
      </c>
      <c r="I9" s="3" t="str">
        <f>IF(OR(H9="Worlds Team",H9="Excellence",H9="Merit"),"P","")</f>
        <v/>
      </c>
      <c r="J9" s="14">
        <f>MAX(AI9,BE9,CA9)</f>
        <v>50.1</v>
      </c>
      <c r="K9" s="14" t="str">
        <f>IF(J9=0,"",IF(J9=CA9,$BI$1,IF(J9=BE9,$AM$1,IF(J9=AI9,$Q$1,""))))</f>
        <v>2019 Nationals</v>
      </c>
      <c r="L9" s="14">
        <f>MAX(AK9,BG9,CC9)</f>
        <v>0</v>
      </c>
      <c r="M9" s="14" t="str">
        <f>IF(L9=0,"",IF(J9=CC9,$BI$1,IF(L9=BG9,$AM$1,IF(L9=AK9,$Q$1,""))))</f>
        <v/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61">
        <v>25.3</v>
      </c>
      <c r="R9" s="61">
        <v>3.2</v>
      </c>
      <c r="S9" s="61">
        <v>0.3</v>
      </c>
      <c r="T9" s="61">
        <v>0</v>
      </c>
      <c r="U9" s="61">
        <v>24.2</v>
      </c>
      <c r="V9" s="61">
        <v>2.4</v>
      </c>
      <c r="W9" s="61">
        <v>4.7</v>
      </c>
      <c r="X9" s="61">
        <v>0</v>
      </c>
      <c r="Y9" s="61"/>
      <c r="Z9" s="61"/>
      <c r="AA9" s="61"/>
      <c r="AB9" s="61"/>
      <c r="AC9" s="61"/>
      <c r="AD9" s="61"/>
      <c r="AE9" s="61"/>
      <c r="AF9" s="61"/>
      <c r="AG9" s="72"/>
      <c r="AH9" s="11">
        <f>IF(SUM(R9,V9)&gt;0,SUM(R9,V9),"")</f>
        <v>5.6</v>
      </c>
      <c r="AI9" s="11">
        <f>IF(SUM(Q9:R9,T9:V9,X9)-S9-W9&gt;0,SUM(Q9:R9,T9:V9,X9)-S9-W9,"")</f>
        <v>50.1</v>
      </c>
      <c r="AJ9" s="11" t="str">
        <f>IF(SUM(Z9,AD9)&gt;0,SUM(R9,V9),"")</f>
        <v/>
      </c>
      <c r="AK9" s="11" t="str">
        <f>IF(SUM(Y9:Z9,AB9:AD9,AF9)-SUM(AA9,AE9)&gt;0,SUM(Y9:Z9,AB9:AD9,AF9)-SUM(AA9,AE9),"")</f>
        <v/>
      </c>
      <c r="AL9" s="11">
        <f>IF(SUM(AI9,AK9)&gt;0,SUM(AI9,AK9),"")</f>
        <v>50.1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/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IF(AND(F10="P",G10="P"),SUMPRODUCT((F$4:F$11="P")*(G$4:G$11="P")*(E$4:E$11&gt;E10))+1,IF(G10="P",SUMPRODUCT((F$4:F$11="")*(G$4:G$11="P")*(E$4:E$11&gt;E10))+1+SUMPRODUCT((F$4:F$11="P")*(G$4:G$11="P")),""))</f>
        <v/>
      </c>
      <c r="B10" s="8" t="s">
        <v>93</v>
      </c>
      <c r="C10" s="4" t="s">
        <v>4</v>
      </c>
      <c r="D10" s="26">
        <v>2003</v>
      </c>
      <c r="E10" s="15">
        <f>SUM(J10:N10)</f>
        <v>42.8</v>
      </c>
      <c r="F10" s="3" t="str">
        <f>IF(OR(AND(AH10&gt;=AL$13,AI10&gt;=AL$17,AI10&lt;&gt;"",AG10=""),AND(BD10&gt;=BH$13,BE10&gt;=BH$17,BE10&lt;&gt;"",BC10=""),AND(BZ10&gt;=CD$13,CA10&gt;=CD$17,CA10&lt;&gt;"",BY10=""),AND(CW10&gt;=DA$13,CX10&gt;=DA$17,CX10&lt;&gt;""),AND(DR10&gt;=DV$13,DS10&gt;=DV$17,DS10&lt;&gt;""),AND(EM10&gt;=EQ$13,EN10&gt;=EQ$17,EN10&lt;&gt;""),AND(FH10&gt;=FL$13,FI10&gt;=FL$17,FI10&lt;&gt;""),AND(GC10&gt;=GG$13,GD10&gt;=GG$17,GD10&lt;&gt;""),AND(GX10&gt;=HB$13,GY10&gt;=HB$17,GY10&lt;&gt;""),AND(HS10&gt;=HW$13,HT10&gt;=HW$17,HT10&lt;&gt;""),AND(IN10&gt;=IR$13,IO10&gt;=IR$17,IO10&lt;&gt;""),AND(JI10&gt;=JM$13,JJ10&gt;=JM$17,JJ10&lt;&gt;""),AND(KD10&gt;=KH$13,KE10&gt;=KH$17,KE10&lt;&gt;""),AND(KY10&gt;=LC$13,KZ10&gt;=LC$17,KZ10&lt;&gt;""),AND(LT10&gt;=LX$13,LU10&gt;=LX$17,LU10&lt;&gt;"")),"P","")</f>
        <v/>
      </c>
      <c r="G10" s="3" t="str">
        <f>IF(OR(AND(AI10&gt;=AL$17,AI10&lt;&gt;"",AG10=""),AND(BE10&gt;=BH$17,BE10&lt;&gt;"",BC10=""),AND(CA10&gt;=CD$17,CA10&lt;&gt;"",BY10=""),AND(CX10&gt;=DA$17,CX10&lt;&gt;""),AND(DS10&gt;=DV$17,DS10&lt;&gt;""),AND(EN10&gt;=EQ$17,EN10&lt;&gt;""),AND(FI10&gt;=FL$17,FI10&lt;&gt;""),AND(GD10&gt;=GG$17,GD10&lt;&gt;""),AND(GY10&gt;=HB$17,GY10&lt;&gt;""),AND(HT10&gt;=HW$17,HT10&lt;&gt;""),AND(IO10&gt;=IR$17,IO10&lt;&gt;""),AND(JJ10&gt;=JM$17,JJ10&lt;&gt;""),AND(KE10&gt;=KH$17,KE10&lt;&gt;""),AND(KZ10&gt;=LC$17,KZ10&lt;&gt;""),AND(LU10&gt;=LX$17,LU10&lt;&gt;"")),"P","")</f>
        <v/>
      </c>
      <c r="H10" s="116" t="str">
        <f>IF(AND(G10="P",F10=""),"No DD",IF(OR(AND(AI10&gt;=AL$20,AI10&lt;&gt;"",AH10&gt;=AL$16,AH10&lt;&gt;"",AG10=""),AND(BE10&gt;=BH$20,BE10&lt;&gt;"",BD10&gt;=BH$16,BD10&lt;&gt;"",BC10=""),AND(CA10&gt;=CD$20,CA10&lt;&gt;"",BZ10&gt;=CD$16,BZ10&lt;&gt;"",BY10=""),AND(CX10&gt;=DA$20,CX10&lt;&gt;"",CW10&gt;=DA$16,CW10&lt;&gt;""),AND(DS10&gt;=DV$20,DS10&lt;&gt;"",DR10&gt;=DV$16,DR10&lt;&gt;""),AND(EN10&gt;=EQ$20,EN10&lt;&gt;"",EM10&gt;=EQ$16,EM10&lt;&gt;""),AND(FI10&gt;=FL$20,FI10&lt;&gt;"",FH10&gt;=FL$16,FH10&lt;&gt;""),AND(GD10&gt;=GG$20,GD10&lt;&gt;"",GC10&gt;=GG$16,GC10&lt;&gt;""),AND(GY10&gt;=HB$20,GY10&lt;&gt;"",GX10&gt;=HB$16,GX10&lt;&gt;""),AND(HT10&gt;=HW$20,HT10&lt;&gt;"",HS10&gt;=HW$16,HS10&lt;&gt;""),AND(IO10&gt;=IR$20,IO10&lt;&gt;"",IN10&gt;=IR$16,IN10&lt;&gt;""),AND(JJ10&gt;=JM$20,JJ10&lt;&gt;"",JI10&gt;=JM$16,JI10&lt;&gt;""),AND(KE10&gt;=KH$20,KE10&lt;&gt;"",KD10&gt;=KH$16,KD10&lt;&gt;""),AND(KZ10&gt;=LC$20,KZ10&lt;&gt;"",KY10&gt;=LC$16,KY10&lt;&gt;""),AND(LU10&gt;=LX$20,LU10&lt;&gt;"",LT10&gt;=LX$16,LT10&lt;&gt;"")),"Merit",IF(OR(AND(AI10&gt;=AL$19,AI10&lt;&gt;"",AH10&gt;=AL$15,AH10&lt;&gt;"",AG10=""),AND(BE10&gt;=BH$19,BE10&lt;&gt;"",BD10&gt;=BH$15,BD10&lt;&gt;"",BC10=""),AND(CA10&gt;=CD$19,CA10&lt;&gt;"",BZ10&gt;=CD$15,BZ10&lt;&gt;"",BY10=""),AND(CX10&gt;=DA$19,CX10&lt;&gt;"",CW10&gt;=DA$15,CW10&lt;&gt;""),AND(DS10&gt;=DV$19,DS10&lt;&gt;"",DR10&gt;=DV$15,DR10&lt;&gt;""),AND(EN10&gt;=EQ$19,EN10&lt;&gt;"",EM10&gt;=EQ$15,EM10&lt;&gt;""),AND(FI10&gt;=FL$19,FI10&lt;&gt;"",FH10&gt;=FL$15,FH10&lt;&gt;""),AND(GD10&gt;=GG$19,GD10&lt;&gt;"",GC10&gt;=GG$15,GC10&lt;&gt;""),AND(GY10&gt;=HB$19,GY10&lt;&gt;"",GX10&gt;=HB$15,GX10&lt;&gt;""),AND(HT10&gt;=HW$19,HT10&lt;&gt;"",HS10&gt;=HW$15,HS10&lt;&gt;""),AND(IO10&gt;=IR$19,IO10&lt;&gt;"",IN10&gt;=IR$15,IN10&lt;&gt;""),AND(JJ10&gt;=JM$19,JJ10&lt;&gt;"",JI10&gt;=JM$15,JI10&lt;&gt;""),AND(KE10&gt;=KH$19,KE10&lt;&gt;"",KD10&gt;=KH$15,KD10&lt;&gt;""),AND(KZ10&gt;=LC$19,KZ10&lt;&gt;"",KY10&gt;=LC$15,KY10&lt;&gt;""),AND(LU10&gt;=LX$19,LU10&lt;&gt;"",LT10&gt;=LX$15,LT10&lt;&gt;"")),"Excellence",IF(OR(AND(AI10&gt;=AL$18,AI10&lt;&gt;"",AH10&gt;=AL$14,AH10&lt;&gt;"",AG10=""),AND(BE10&gt;=BH$18,BE10&lt;&gt;"",BD10&gt;=BH$14,BD10&lt;&gt;"",BC10=""),AND(CA10&gt;=CD$18,CA10&lt;&gt;"",BZ10&gt;=CD$14,BZ10&lt;&gt;"",BY10=""),AND(CX10&gt;=DA$18,CX10&lt;&gt;"",CW10&gt;=DA$14,CW10&lt;&gt;""),AND(DS10&gt;=DV$18,DS10&lt;&gt;"",DR10&gt;=DV$14,DR10&lt;&gt;""),AND(EN10&gt;=EQ$18,EN10&lt;&gt;"",EM10&gt;=EQ$14,EM10&lt;&gt;""),AND(FI10&gt;=FL$18,FI10&lt;&gt;"",FH10&gt;=FL$14,FH10&lt;&gt;""),AND(GD10&gt;=GG$18,GD10&lt;&gt;"",GC10&gt;=GG$14,GC10&lt;&gt;""),AND(GY10&gt;=HB$18,GY10&lt;&gt;"",GX10&gt;=HB$14,GX10&lt;&gt;""),AND(HT10&gt;=HW$18,HT10&lt;&gt;"",HS10&gt;=HW$14,HS10&lt;&gt;""),AND(IO10&gt;=IR$18,IO10&lt;&gt;"",IN10&gt;=IR$14,IN10&lt;&gt;""),AND(JJ10&gt;=JM$18,JJ10&lt;&gt;"",JI10&gt;=JM$14,JI10&lt;&gt;""),AND(KE10&gt;=KH$18,KE10&lt;&gt;"",KD10&gt;=KH$14,KD10&lt;&gt;""),AND(KZ10&gt;=LC$18,KZ10&lt;&gt;"",KY10&gt;=LC$14,KY10&lt;&gt;""),AND(LU10&gt;=LX$18,LU10&lt;&gt;"",LT10&gt;=LX$14,LT10&lt;&gt;"")),"Worlds Team",IF(OR(AND(AI10&gt;=AL$17,AI10&lt;&gt;"",AH10&gt;=AL$13,AH10&lt;&gt;"",AG10=""),AND(BE10&gt;=BH$17,BE10&lt;&gt;"",BD10&gt;=BH$13,BD10&lt;&gt;"",BC10=""),AND(CA10&gt;=CD$17,CA10&lt;&gt;"",BZ10&gt;=CD$13,BZ10&lt;&gt;"",BY10=""),AND(CX10&gt;=DA$17,CX10&lt;&gt;"",CW10&gt;=DA$13,CW10&lt;&gt;""),AND(DS10&gt;=DV$17,DS10&lt;&gt;"",DR10&gt;=DV$13,DR10&lt;&gt;""),AND(EN10&gt;=EQ$17,EN10&lt;&gt;"",EM10&gt;=EQ$13,EM10&lt;&gt;""),AND(FI10&gt;=FL$17,FI10&lt;&gt;"",FH10&gt;=FL$13,FH10&lt;&gt;""),AND(GD10&gt;=GG$17,GD10&lt;&gt;"",GC10&gt;=GG$13,GC10&lt;&gt;""),AND(GY10&gt;=HB$17,GY10&lt;&gt;"",GX10&gt;=HB$13,GX10&lt;&gt;""),AND(HT10&gt;=HW$17,HT10&lt;&gt;"",HS10&gt;=HW$13,HS10&lt;&gt;""),AND(IO10&gt;=IR$17,IO10&lt;&gt;"",IN10&gt;=IR$13,IN10&lt;&gt;""),AND(JJ10&gt;=JM$17,JJ10&lt;&gt;"",JI10&gt;=JM$13,JI10&lt;&gt;""),AND(KE10&gt;=KH$17,KE10&lt;&gt;"",KD10&gt;=KH$13,KD10&lt;&gt;""),AND(KZ10&gt;=LC$17,KZ10&lt;&gt;"",KY10&gt;=LC$13,KY10&lt;&gt;""),AND(LU10&gt;=LX$17,LU10&lt;&gt;"",LT10&gt;=LX$13,LT10&lt;&gt;"")),"National Team","")))))</f>
        <v/>
      </c>
      <c r="I10" s="3" t="str">
        <f>IF(OR(H10="Worlds Team",H10="Excellence",H10="Merit"),"P","")</f>
        <v/>
      </c>
      <c r="J10" s="14">
        <f>MAX(AI10,BE10,CA10)</f>
        <v>42.8</v>
      </c>
      <c r="K10" s="14" t="str">
        <f>IF(J10=0,"",IF(J10=CA10,$BI$1,IF(J10=BE10,$AM$1,IF(J10=AI10,$Q$1,""))))</f>
        <v>2019 Nationals</v>
      </c>
      <c r="L10" s="14">
        <f>MAX(AK10,BG10,CC10)</f>
        <v>0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61">
        <v>23.6</v>
      </c>
      <c r="R10" s="61">
        <v>5.5</v>
      </c>
      <c r="S10" s="61">
        <v>0</v>
      </c>
      <c r="T10" s="61">
        <v>0</v>
      </c>
      <c r="U10" s="61">
        <v>13.2</v>
      </c>
      <c r="V10" s="61">
        <v>0.5</v>
      </c>
      <c r="W10" s="61">
        <v>0</v>
      </c>
      <c r="X10" s="61">
        <v>0</v>
      </c>
      <c r="Y10" s="61"/>
      <c r="Z10" s="61"/>
      <c r="AA10" s="61"/>
      <c r="AB10" s="61"/>
      <c r="AC10" s="61"/>
      <c r="AD10" s="61"/>
      <c r="AE10" s="61"/>
      <c r="AF10" s="61"/>
      <c r="AG10" s="72"/>
      <c r="AH10" s="11">
        <f>IF(SUM(R10,V10)&gt;0,SUM(R10,V10),"")</f>
        <v>6</v>
      </c>
      <c r="AI10" s="11">
        <f>IF(SUM(Q10:R10,T10:V10,X10)-S10-W10&gt;0,SUM(Q10:R10,T10:V10,X10)-S10-W10,"")</f>
        <v>42.8</v>
      </c>
      <c r="AJ10" s="11" t="str">
        <f>IF(SUM(Z10,AD10)&gt;0,SUM(R10,V10),"")</f>
        <v/>
      </c>
      <c r="AK10" s="11" t="str">
        <f>IF(SUM(Y10:Z10,AB10:AD10,AF10)-SUM(AA10,AE10)&gt;0,SUM(Y10:Z10,AB10:AD10,AF10)-SUM(AA10,AE10),"")</f>
        <v/>
      </c>
      <c r="AL10" s="11">
        <f>IF(SUM(AI10,AK10)&gt;0,SUM(AI10,AK10),"")</f>
        <v>42.8</v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>IF(SUM(AN10,AR10)&gt;0,SUM(AN10,AR10),"")</f>
        <v/>
      </c>
      <c r="BE10" s="14" t="str">
        <f>IF(SUM(AM10:AN10,AP10:AR10,AT10)-AO10-AS10&gt;0,SUM(AM10:AN10,AP10:AR10,AT10)-AO10-AS10,"")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IF(SUM(BI10:BJ10,BL10:BN10,BP10)-BK10-BO10&gt;0,SUM(BI10:BJ10,BL10:BN10,BP10)-BK10-BO10,"")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/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0</v>
      </c>
      <c r="LZ10" s="61">
        <f>IF($BY10="P",BJ10,(BJ10+AN10)/2)</f>
        <v>0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0</v>
      </c>
      <c r="MD10" s="61">
        <f>IF($BY10="P",BN10,(BN10+AR10)/2)</f>
        <v>0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 t="str">
        <f>IF(SUM(LZ10,MD10)&gt;0,SUM(LZ10,MD10),"")</f>
        <v/>
      </c>
      <c r="MQ10" s="11" t="str">
        <f>IF(SUM(LY10:LZ10,MB10:MD10,MF10)-MA10-ME10&gt;0,SUM(LY10:LZ10,MB10:MD10,MF10)-MA10-ME10,"")</f>
        <v/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 t="str">
        <f>IF(SUM(MQ10,MS10)&gt;0,SUM(MQ10,MS10),"")</f>
        <v/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72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0">
      <sortCondition descending="1" ref="F1:F11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127" operator="between">
      <formula>AL$16</formula>
      <formula>1000</formula>
    </cfRule>
    <cfRule type="cellIs" dxfId="66" priority="43128" operator="between">
      <formula>AL$15</formula>
      <formula>AL$16</formula>
    </cfRule>
    <cfRule type="cellIs" dxfId="65" priority="43129" operator="between">
      <formula>AL$14</formula>
      <formula>AL$15</formula>
    </cfRule>
    <cfRule type="cellIs" dxfId="64" priority="43130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307" operator="between">
      <formula>AL$20</formula>
      <formula>1000</formula>
    </cfRule>
    <cfRule type="cellIs" dxfId="62" priority="43308" operator="between">
      <formula>AL$19</formula>
      <formula>AL$20</formula>
    </cfRule>
    <cfRule type="cellIs" dxfId="61" priority="43309" operator="between">
      <formula>AL$18</formula>
      <formula>AL$19</formula>
    </cfRule>
    <cfRule type="cellIs" dxfId="60" priority="43310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136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71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6" t="s">
        <v>68</v>
      </c>
      <c r="C4" s="7" t="s">
        <v>3</v>
      </c>
      <c r="D4" s="26">
        <v>2003</v>
      </c>
      <c r="E4" s="15">
        <f>SUM(J4:N4)</f>
        <v>124.8</v>
      </c>
      <c r="F4" s="3" t="str">
        <f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62.5</v>
      </c>
      <c r="K4" s="14" t="str">
        <f>IF(J4=0,"",IF(J4=CA4,$BI$1,IF(J4=BE4,$AM$1,IF(J4=AI4,$Q$1,""))))</f>
        <v>2019 Nationals</v>
      </c>
      <c r="L4" s="14">
        <f>MAX(AK4,BG4,CC4)</f>
        <v>62.3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>
        <v>26.7</v>
      </c>
      <c r="R4" s="37">
        <v>3.6</v>
      </c>
      <c r="S4" s="37">
        <v>0</v>
      </c>
      <c r="T4" s="37">
        <v>0</v>
      </c>
      <c r="U4" s="37">
        <v>26.9</v>
      </c>
      <c r="V4" s="37">
        <v>4.3</v>
      </c>
      <c r="W4" s="37">
        <v>0</v>
      </c>
      <c r="X4" s="37">
        <v>1</v>
      </c>
      <c r="Y4" s="37">
        <v>27.2</v>
      </c>
      <c r="Z4" s="37">
        <v>3.6</v>
      </c>
      <c r="AA4" s="37">
        <v>0</v>
      </c>
      <c r="AB4" s="37">
        <v>0</v>
      </c>
      <c r="AC4" s="37">
        <v>26.2</v>
      </c>
      <c r="AD4" s="37">
        <v>4.3</v>
      </c>
      <c r="AE4" s="37">
        <v>0</v>
      </c>
      <c r="AF4" s="37">
        <v>1</v>
      </c>
      <c r="AG4" s="72"/>
      <c r="AH4" s="11">
        <f>IF(SUM(R4,V4)&gt;0,SUM(R4,V4),"")</f>
        <v>7.9</v>
      </c>
      <c r="AI4" s="11">
        <f>IF(SUM(Q4:R4,T4:V4,X4)-S4-W4&gt;0,SUM(Q4:R4,T4:V4,X4)-S4-W4,"")</f>
        <v>62.5</v>
      </c>
      <c r="AJ4" s="11">
        <f>IF(SUM(Z4,AD4)&gt;0,SUM(Z4,AD4),"")</f>
        <v>7.9</v>
      </c>
      <c r="AK4" s="11">
        <f>IF(SUM(Y4:Z4,AB4:AD4,AF4)-SUM(AA4,AE4)&gt;0,SUM(Y4:Z4,AB4:AD4,AF4)-SUM(AA4,AE4),"")</f>
        <v>62.3</v>
      </c>
      <c r="AL4" s="11">
        <f>IF(SUM(AI4,AK4)&gt;0,SUM(AI4,AK4),"")</f>
        <v>124.8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>
        <v>26</v>
      </c>
      <c r="BJ4" s="37">
        <v>3.6</v>
      </c>
      <c r="BK4" s="37">
        <v>0</v>
      </c>
      <c r="BL4" s="37">
        <v>0</v>
      </c>
      <c r="BM4" s="37">
        <v>24.2</v>
      </c>
      <c r="BN4" s="37">
        <v>4.5</v>
      </c>
      <c r="BO4" s="37">
        <v>0</v>
      </c>
      <c r="BP4" s="37">
        <v>0.3</v>
      </c>
      <c r="BQ4" s="37">
        <v>25.6</v>
      </c>
      <c r="BR4" s="37">
        <v>3.6</v>
      </c>
      <c r="BS4" s="37">
        <v>0</v>
      </c>
      <c r="BT4" s="37">
        <v>0</v>
      </c>
      <c r="BU4" s="37">
        <v>24.4</v>
      </c>
      <c r="BV4" s="37">
        <v>4.3</v>
      </c>
      <c r="BW4" s="37">
        <v>0</v>
      </c>
      <c r="BX4" s="37">
        <v>0.3</v>
      </c>
      <c r="BY4" s="72"/>
      <c r="BZ4" s="11">
        <f>IF(SUM(BJ4,BN4)&gt;0,SUM(BJ4,BN4),"")</f>
        <v>8.1</v>
      </c>
      <c r="CA4" s="11">
        <f>IF(SUM(BI4:BJ4,BL4:BN4,BP4)-BK4-BO4&gt;0,SUM(BI4:BJ4,BL4:BN4,BP4)-BK4-BO4,"")</f>
        <v>58.599999999999994</v>
      </c>
      <c r="CB4" s="11">
        <f>IF(SUM(BR4,BV4)&gt;0,SUM(BR4,BV4),"")</f>
        <v>7.9</v>
      </c>
      <c r="CC4" s="11">
        <f>IF(SUM(BQ4:BR4,BT4:BV4,BX4)-SUM(BS4,BW4)&gt;0,SUM(BQ4:BR4,BT4:BV4,BX4)-SUM(BS4,BW4),"")</f>
        <v>58.199999999999996</v>
      </c>
      <c r="CD4" s="11">
        <f>IF(SUM(CA4,CC4)&gt;0,SUM(CA4,CC4),"")</f>
        <v>116.79999999999998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13</v>
      </c>
      <c r="LZ4" s="61">
        <f>IF($BY4="P",BJ4,(BJ4+AN4)/2)</f>
        <v>1.8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12.1</v>
      </c>
      <c r="MD4" s="61">
        <f>IF($BY4="P",BN4,(BN4+AR4)/2)</f>
        <v>2.25</v>
      </c>
      <c r="ME4" s="61">
        <f>IF($BY4="P",BO4,(BO4+AS4)/2)</f>
        <v>0</v>
      </c>
      <c r="MF4" s="61">
        <f>IF($BY4="P",BP4,(BP4+AT4)/2)</f>
        <v>0.15</v>
      </c>
      <c r="MG4" s="61">
        <f>IF($BY4="P",BQ4,(BQ4+AU4)/2)</f>
        <v>12.8</v>
      </c>
      <c r="MH4" s="61">
        <f>IF($BY4="P",BR4,(BR4+AV4)/2)</f>
        <v>1.8</v>
      </c>
      <c r="MI4" s="61">
        <f>IF($BY4="P",BS4,(BS4+AW4)/2)</f>
        <v>0</v>
      </c>
      <c r="MJ4" s="61">
        <f>IF($BY4="P",BT4,(BT4+AX4)/2)</f>
        <v>0</v>
      </c>
      <c r="MK4" s="61">
        <f>IF($BY4="P",BU4,(BU4+AY4)/2)</f>
        <v>12.2</v>
      </c>
      <c r="ML4" s="61">
        <f>IF($BY4="P",BV4,(BV4+AZ4)/2)</f>
        <v>2.15</v>
      </c>
      <c r="MM4" s="61">
        <f>IF($BY4="P",BW4,(BW4+BA4)/2)</f>
        <v>0</v>
      </c>
      <c r="MN4" s="61">
        <f>IF($BY4="P",BX4,(BX4+BB4)/2)</f>
        <v>0.15</v>
      </c>
      <c r="MO4" s="72" t="s">
        <v>52</v>
      </c>
      <c r="MP4" s="11">
        <f>IF(SUM(LZ4,MD4)&gt;0,SUM(LZ4,MD4),"")</f>
        <v>4.05</v>
      </c>
      <c r="MQ4" s="11">
        <f>IF(SUM(LY4:LZ4,MB4:MD4,MF4)-MA4-ME4&gt;0,SUM(LY4:LZ4,MB4:MD4,MF4)-MA4-ME4,"")</f>
        <v>29.299999999999997</v>
      </c>
      <c r="MR4" s="11">
        <f>IF(SUM(MH4,ML4)&gt;0,SUM(MH4,ML4),"")</f>
        <v>3.95</v>
      </c>
      <c r="MS4" s="11">
        <f>IF(SUM(MG4:MH4,MJ4:ML4,MN4)-SUM(MI4,MM4)&gt;0,SUM(MG4:MH4,MJ4:ML4,MN4)-SUM(MI4,MM4),"")</f>
        <v>29.099999999999998</v>
      </c>
      <c r="MT4" s="11">
        <f>IF(SUM(MQ4,MS4)&gt;0,SUM(MQ4,MS4),"")</f>
        <v>58.399999999999991</v>
      </c>
    </row>
    <row r="5" spans="1:358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94</v>
      </c>
      <c r="C5" s="7" t="s">
        <v>3</v>
      </c>
      <c r="D5" s="26">
        <v>2004</v>
      </c>
      <c r="E5" s="15">
        <f>SUM(J5:N5)</f>
        <v>123.79999999999998</v>
      </c>
      <c r="F5" s="3" t="str">
        <f>IF(OR(AND(AH5&gt;=AL$13,AI5&gt;=AL$17,AI5&lt;&gt;"",AG5=""),AND(BD5&gt;=BH$13,BE5&gt;=BH$17,BE5&lt;&gt;"",BC5=""),AND(BZ5&gt;=CD$13,CA5&gt;=CD$17,CA5&lt;&gt;"",BY5=""),AND(CW5&gt;=DA$13,CX5&gt;=DA$17,CX5&lt;&gt;""),AND(DR5&gt;=DV$13,DS5&gt;=DV$17,DS5&lt;&gt;""),AND(EM5&gt;=EQ$13,EN5&gt;=EQ$17,EN5&lt;&gt;""),AND(FH5&gt;=FL$13,FI5&gt;=FL$17,FI5&lt;&gt;""),AND(GC5&gt;=GG$13,GD5&gt;=GG$17,GD5&lt;&gt;""),AND(GX5&gt;=HB$13,GY5&gt;=HB$17,GY5&lt;&gt;""),AND(HS5&gt;=HW$13,HT5&gt;=HW$17,HT5&lt;&gt;""),AND(IN5&gt;=IR$13,IO5&gt;=IR$17,IO5&lt;&gt;""),AND(JI5&gt;=JM$13,JJ5&gt;=JM$17,JJ5&lt;&gt;""),AND(KD5&gt;=KH$13,KE5&gt;=KH$17,KE5&lt;&gt;""),AND(KY5&gt;=LC$13,KZ5&gt;=LC$17,KZ5&lt;&gt;""),AND(LT5&gt;=LX$13,LU5&gt;=LX$17,LU5&lt;&gt;"")),"P","")</f>
        <v>P</v>
      </c>
      <c r="G5" s="3" t="str">
        <f>IF(OR(AND(AI5&gt;=AL$17,AI5&lt;&gt;"",AG5=""),AND(BE5&gt;=BH$17,BE5&lt;&gt;"",BC5=""),AND(CA5&gt;=CD$17,CA5&lt;&gt;"",BY5=""),AND(CX5&gt;=DA$17,CX5&lt;&gt;""),AND(DS5&gt;=DV$17,DS5&lt;&gt;""),AND(EN5&gt;=EQ$17,EN5&lt;&gt;""),AND(FI5&gt;=FL$17,FI5&lt;&gt;""),AND(GD5&gt;=GG$17,GD5&lt;&gt;""),AND(GY5&gt;=HB$17,GY5&lt;&gt;""),AND(HT5&gt;=HW$17,HT5&lt;&gt;""),AND(IO5&gt;=IR$17,IO5&lt;&gt;""),AND(JJ5&gt;=JM$17,JJ5&lt;&gt;""),AND(KE5&gt;=KH$17,KE5&lt;&gt;""),AND(KZ5&gt;=LC$17,KZ5&lt;&gt;""),AND(LU5&gt;=LX$17,LU5&lt;&gt;"")),"P","")</f>
        <v>P</v>
      </c>
      <c r="H5" s="116" t="str">
        <f>IF(AND(G5="P",F5=""),"No DD",IF(OR(AND(AI5&gt;=AL$20,AI5&lt;&gt;"",AH5&gt;=AL$16,AH5&lt;&gt;"",AG5=""),AND(BE5&gt;=BH$20,BE5&lt;&gt;"",BD5&gt;=BH$16,BD5&lt;&gt;"",BC5=""),AND(CA5&gt;=CD$20,CA5&lt;&gt;"",BZ5&gt;=CD$16,BZ5&lt;&gt;"",BY5=""),AND(CX5&gt;=DA$20,CX5&lt;&gt;"",CW5&gt;=DA$16,CW5&lt;&gt;""),AND(DS5&gt;=DV$20,DS5&lt;&gt;"",DR5&gt;=DV$16,DR5&lt;&gt;""),AND(EN5&gt;=EQ$20,EN5&lt;&gt;"",EM5&gt;=EQ$16,EM5&lt;&gt;""),AND(FI5&gt;=FL$20,FI5&lt;&gt;"",FH5&gt;=FL$16,FH5&lt;&gt;""),AND(GD5&gt;=GG$20,GD5&lt;&gt;"",GC5&gt;=GG$16,GC5&lt;&gt;""),AND(GY5&gt;=HB$20,GY5&lt;&gt;"",GX5&gt;=HB$16,GX5&lt;&gt;""),AND(HT5&gt;=HW$20,HT5&lt;&gt;"",HS5&gt;=HW$16,HS5&lt;&gt;""),AND(IO5&gt;=IR$20,IO5&lt;&gt;"",IN5&gt;=IR$16,IN5&lt;&gt;""),AND(JJ5&gt;=JM$20,JJ5&lt;&gt;"",JI5&gt;=JM$16,JI5&lt;&gt;""),AND(KE5&gt;=KH$20,KE5&lt;&gt;"",KD5&gt;=KH$16,KD5&lt;&gt;""),AND(KZ5&gt;=LC$20,KZ5&lt;&gt;"",KY5&gt;=LC$16,KY5&lt;&gt;""),AND(LU5&gt;=LX$20,LU5&lt;&gt;"",LT5&gt;=LX$16,LT5&lt;&gt;"")),"Merit",IF(OR(AND(AI5&gt;=AL$19,AI5&lt;&gt;"",AH5&gt;=AL$15,AH5&lt;&gt;"",AG5=""),AND(BE5&gt;=BH$19,BE5&lt;&gt;"",BD5&gt;=BH$15,BD5&lt;&gt;"",BC5=""),AND(CA5&gt;=CD$19,CA5&lt;&gt;"",BZ5&gt;=CD$15,BZ5&lt;&gt;"",BY5=""),AND(CX5&gt;=DA$19,CX5&lt;&gt;"",CW5&gt;=DA$15,CW5&lt;&gt;""),AND(DS5&gt;=DV$19,DS5&lt;&gt;"",DR5&gt;=DV$15,DR5&lt;&gt;""),AND(EN5&gt;=EQ$19,EN5&lt;&gt;"",EM5&gt;=EQ$15,EM5&lt;&gt;""),AND(FI5&gt;=FL$19,FI5&lt;&gt;"",FH5&gt;=FL$15,FH5&lt;&gt;""),AND(GD5&gt;=GG$19,GD5&lt;&gt;"",GC5&gt;=GG$15,GC5&lt;&gt;""),AND(GY5&gt;=HB$19,GY5&lt;&gt;"",GX5&gt;=HB$15,GX5&lt;&gt;""),AND(HT5&gt;=HW$19,HT5&lt;&gt;"",HS5&gt;=HW$15,HS5&lt;&gt;""),AND(IO5&gt;=IR$19,IO5&lt;&gt;"",IN5&gt;=IR$15,IN5&lt;&gt;""),AND(JJ5&gt;=JM$19,JJ5&lt;&gt;"",JI5&gt;=JM$15,JI5&lt;&gt;""),AND(KE5&gt;=KH$19,KE5&lt;&gt;"",KD5&gt;=KH$15,KD5&lt;&gt;""),AND(KZ5&gt;=LC$19,KZ5&lt;&gt;"",KY5&gt;=LC$15,KY5&lt;&gt;""),AND(LU5&gt;=LX$19,LU5&lt;&gt;"",LT5&gt;=LX$15,LT5&lt;&gt;"")),"Excellence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Worlds Team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62.199999999999996</v>
      </c>
      <c r="K5" s="14" t="str">
        <f>IF(J5=0,"",IF(J5=CA5,$BI$1,IF(J5=BE5,$AM$1,IF(J5=AI5,$Q$1,""))))</f>
        <v>2019 Nationals</v>
      </c>
      <c r="L5" s="14">
        <f>MAX(AK5,BG5,CC5)</f>
        <v>61.599999999999994</v>
      </c>
      <c r="M5" s="14" t="str">
        <f>IF(L5=0,"",IF(J5=CC5,$BI$1,IF(L5=BG5,$AM$1,IF(L5=AK5,$Q$1,""))))</f>
        <v>2019 Nationals</v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37">
        <v>26.7</v>
      </c>
      <c r="R5" s="37">
        <v>3.8</v>
      </c>
      <c r="S5" s="37">
        <v>0</v>
      </c>
      <c r="T5" s="37">
        <v>0</v>
      </c>
      <c r="U5" s="37">
        <v>26.4</v>
      </c>
      <c r="V5" s="37">
        <v>4.3</v>
      </c>
      <c r="W5" s="37">
        <v>0</v>
      </c>
      <c r="X5" s="37">
        <v>1</v>
      </c>
      <c r="Y5" s="37">
        <v>27</v>
      </c>
      <c r="Z5" s="37">
        <v>3.6</v>
      </c>
      <c r="AA5" s="37">
        <v>0</v>
      </c>
      <c r="AB5" s="37">
        <v>0</v>
      </c>
      <c r="AC5" s="37">
        <v>25.7</v>
      </c>
      <c r="AD5" s="37">
        <v>4.3</v>
      </c>
      <c r="AE5" s="37">
        <v>0</v>
      </c>
      <c r="AF5" s="37">
        <v>1</v>
      </c>
      <c r="AG5" s="72"/>
      <c r="AH5" s="11">
        <f>IF(SUM(R5,V5)&gt;0,SUM(R5,V5),"")</f>
        <v>8.1</v>
      </c>
      <c r="AI5" s="11">
        <f>IF(SUM(Q5:R5,T5:V5,X5)-S5-W5&gt;0,SUM(Q5:R5,T5:V5,X5)-S5-W5,"")</f>
        <v>62.199999999999996</v>
      </c>
      <c r="AJ5" s="11">
        <f>IF(SUM(Z5,AD5)&gt;0,SUM(Z5,AD5),"")</f>
        <v>7.9</v>
      </c>
      <c r="AK5" s="11">
        <f>IF(SUM(Y5:Z5,AB5:AD5,AF5)-SUM(AA5,AE5)&gt;0,SUM(Y5:Z5,AB5:AD5,AF5)-SUM(AA5,AE5),"")</f>
        <v>61.599999999999994</v>
      </c>
      <c r="AL5" s="11">
        <f>IF(SUM(AI5,AK5)&gt;0,SUM(AI5,AK5),"")</f>
        <v>123.79999999999998</v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/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37">
        <v>25.6</v>
      </c>
      <c r="BJ5" s="37">
        <v>3.6</v>
      </c>
      <c r="BK5" s="37">
        <v>0</v>
      </c>
      <c r="BL5" s="37">
        <v>0</v>
      </c>
      <c r="BM5" s="37">
        <v>23.9</v>
      </c>
      <c r="BN5" s="37">
        <v>4.3</v>
      </c>
      <c r="BO5" s="37">
        <v>0</v>
      </c>
      <c r="BP5" s="37">
        <v>0.3</v>
      </c>
      <c r="BQ5" s="37">
        <v>25.6</v>
      </c>
      <c r="BR5" s="37">
        <v>3.2</v>
      </c>
      <c r="BS5" s="37">
        <v>0.4</v>
      </c>
      <c r="BT5" s="37">
        <v>0</v>
      </c>
      <c r="BU5" s="37">
        <v>24.9</v>
      </c>
      <c r="BV5" s="37">
        <v>4.3</v>
      </c>
      <c r="BW5" s="37">
        <v>0</v>
      </c>
      <c r="BX5" s="37">
        <v>0.3</v>
      </c>
      <c r="BY5" s="72"/>
      <c r="BZ5" s="11">
        <f>IF(SUM(BJ5,BN5)&gt;0,SUM(BJ5,BN5),"")</f>
        <v>7.9</v>
      </c>
      <c r="CA5" s="11">
        <f>IF(SUM(BI5:BJ5,BL5:BN5,BP5)-BK5-BO5&gt;0,SUM(BI5:BJ5,BL5:BN5,BP5)-BK5-BO5,"")</f>
        <v>57.699999999999996</v>
      </c>
      <c r="CB5" s="11"/>
      <c r="CC5" s="11">
        <f>IF(SUM(BQ5:BR5,BT5:BV5,BX5)-SUM(BS5,BW5)&gt;0,SUM(BQ5:BR5,BT5:BV5,BX5)-SUM(BS5,BW5),"")</f>
        <v>57.9</v>
      </c>
      <c r="CD5" s="11">
        <f>IF(SUM(CA5,CC5)&gt;0,SUM(CA5,CC5),"")</f>
        <v>115.6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12.8</v>
      </c>
      <c r="LZ5" s="61">
        <f>IF($BY5="P",BJ5,(BJ5+AN5)/2)</f>
        <v>1.8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11.95</v>
      </c>
      <c r="MD5" s="61">
        <f>IF($BY5="P",BN5,(BN5+AR5)/2)</f>
        <v>2.15</v>
      </c>
      <c r="ME5" s="61">
        <f>IF($BY5="P",BO5,(BO5+AS5)/2)</f>
        <v>0</v>
      </c>
      <c r="MF5" s="61">
        <f>IF($BY5="P",BP5,(BP5+AT5)/2)</f>
        <v>0.15</v>
      </c>
      <c r="MG5" s="61">
        <f>IF($BY5="P",BQ5,(BQ5+AU5)/2)</f>
        <v>12.8</v>
      </c>
      <c r="MH5" s="61">
        <f>IF($BY5="P",BR5,(BR5+AV5)/2)</f>
        <v>1.6</v>
      </c>
      <c r="MI5" s="61">
        <f>IF($BY5="P",BS5,(BS5+AW5)/2)</f>
        <v>0.2</v>
      </c>
      <c r="MJ5" s="61">
        <f>IF($BY5="P",BT5,(BT5+AX5)/2)</f>
        <v>0</v>
      </c>
      <c r="MK5" s="61">
        <f>IF($BY5="P",BU5,(BU5+AY5)/2)</f>
        <v>12.45</v>
      </c>
      <c r="ML5" s="61">
        <f>IF($BY5="P",BV5,(BV5+AZ5)/2)</f>
        <v>2.15</v>
      </c>
      <c r="MM5" s="61">
        <f>IF($BY5="P",BW5,(BW5+BA5)/2)</f>
        <v>0</v>
      </c>
      <c r="MN5" s="61">
        <f>IF($BY5="P",BX5,(BX5+BB5)/2)</f>
        <v>0.15</v>
      </c>
      <c r="MO5" s="72" t="s">
        <v>52</v>
      </c>
      <c r="MP5" s="11">
        <f>IF(SUM(LZ5,MD5)&gt;0,SUM(LZ5,MD5),"")</f>
        <v>3.95</v>
      </c>
      <c r="MQ5" s="11">
        <f>IF(SUM(LY5:LZ5,MB5:MD5,MF5)-MA5-ME5&gt;0,SUM(LY5:LZ5,MB5:MD5,MF5)-MA5-ME5,"")</f>
        <v>28.849999999999998</v>
      </c>
      <c r="MR5" s="11">
        <f>IF(SUM(MH5,ML5)&gt;0,SUM(MH5,ML5),"")</f>
        <v>3.75</v>
      </c>
      <c r="MS5" s="11">
        <f>IF(SUM(MG5:MH5,MJ5:ML5,MN5)-SUM(MI5,MM5)&gt;0,SUM(MG5:MH5,MJ5:ML5,MN5)-SUM(MI5,MM5),"")</f>
        <v>28.95</v>
      </c>
      <c r="MT5" s="11">
        <f>IF(SUM(MQ5,MS5)&gt;0,SUM(MQ5,MS5),"")</f>
        <v>57.8</v>
      </c>
    </row>
    <row r="6" spans="1:358" x14ac:dyDescent="0.2">
      <c r="A6" s="5">
        <f>IF(AND(F6="P",G6="P"),SUMPRODUCT((F$4:F$11="P")*(G$4:G$11="P")*(E$4:E$11&gt;E6))+1,IF(G6="P",SUMPRODUCT((F$4:F$11="")*(G$4:G$11="P")*(E$4:E$11&gt;E6))+1+SUMPRODUCT((F$4:F$11="P")*(G$4:G$11="P")),""))</f>
        <v>3</v>
      </c>
      <c r="B6" s="6" t="s">
        <v>69</v>
      </c>
      <c r="C6" s="7" t="s">
        <v>3</v>
      </c>
      <c r="D6" s="26">
        <v>2003</v>
      </c>
      <c r="E6" s="15">
        <f>SUM(J6:N6)</f>
        <v>89.8</v>
      </c>
      <c r="F6" s="3" t="str">
        <f>IF(OR(AND(AH6&gt;=AL$13,AI6&gt;=AL$17,AI6&lt;&gt;"",AG6=""),AND(BD6&gt;=BH$13,BE6&gt;=BH$17,BE6&lt;&gt;"",BC6=""),AND(BZ6&gt;=CD$13,CA6&gt;=CD$17,CA6&lt;&gt;"",BY6=""),AND(CW6&gt;=DA$13,CX6&gt;=DA$17,CX6&lt;&gt;""),AND(DR6&gt;=DV$13,DS6&gt;=DV$17,DS6&lt;&gt;""),AND(EM6&gt;=EQ$13,EN6&gt;=EQ$17,EN6&lt;&gt;""),AND(FH6&gt;=FL$13,FI6&gt;=FL$17,FI6&lt;&gt;""),AND(GC6&gt;=GG$13,GD6&gt;=GG$17,GD6&lt;&gt;""),AND(GX6&gt;=HB$13,GY6&gt;=HB$17,GY6&lt;&gt;""),AND(HS6&gt;=HW$13,HT6&gt;=HW$17,HT6&lt;&gt;""),AND(IN6&gt;=IR$13,IO6&gt;=IR$17,IO6&lt;&gt;""),AND(JI6&gt;=JM$13,JJ6&gt;=JM$17,JJ6&lt;&gt;""),AND(KD6&gt;=KH$13,KE6&gt;=KH$17,KE6&lt;&gt;""),AND(KY6&gt;=LC$13,KZ6&gt;=LC$17,KZ6&lt;&gt;""),AND(LT6&gt;=LX$13,LU6&gt;=LX$17,LU6&lt;&gt;"")),"P","")</f>
        <v>P</v>
      </c>
      <c r="G6" s="3" t="str">
        <f>IF(OR(AND(AI6&gt;=AL$17,AI6&lt;&gt;"",AG6=""),AND(BE6&gt;=BH$17,BE6&lt;&gt;"",BC6=""),AND(CA6&gt;=CD$17,CA6&lt;&gt;"",BY6=""),AND(CX6&gt;=DA$17,CX6&lt;&gt;""),AND(DS6&gt;=DV$17,DS6&lt;&gt;""),AND(EN6&gt;=EQ$17,EN6&lt;&gt;""),AND(FI6&gt;=FL$17,FI6&lt;&gt;""),AND(GD6&gt;=GG$17,GD6&lt;&gt;""),AND(GY6&gt;=HB$17,GY6&lt;&gt;""),AND(HT6&gt;=HW$17,HT6&lt;&gt;""),AND(IO6&gt;=IR$17,IO6&lt;&gt;""),AND(JJ6&gt;=JM$17,JJ6&lt;&gt;""),AND(KE6&gt;=KH$17,KE6&lt;&gt;""),AND(KZ6&gt;=LC$17,KZ6&lt;&gt;""),AND(LU6&gt;=LX$17,LU6&lt;&gt;"")),"P","")</f>
        <v>P</v>
      </c>
      <c r="H6" s="116" t="str">
        <f>IF(AND(G6="P",F6=""),"No DD",IF(OR(AND(AI6&gt;=AL$20,AI6&lt;&gt;"",AH6&gt;=AL$16,AH6&lt;&gt;"",AG6=""),AND(BE6&gt;=BH$20,BE6&lt;&gt;"",BD6&gt;=BH$16,BD6&lt;&gt;"",BC6=""),AND(CA6&gt;=CD$20,CA6&lt;&gt;"",BZ6&gt;=CD$16,BZ6&lt;&gt;"",BY6=""),AND(CX6&gt;=DA$20,CX6&lt;&gt;"",CW6&gt;=DA$16,CW6&lt;&gt;""),AND(DS6&gt;=DV$20,DS6&lt;&gt;"",DR6&gt;=DV$16,DR6&lt;&gt;""),AND(EN6&gt;=EQ$20,EN6&lt;&gt;"",EM6&gt;=EQ$16,EM6&lt;&gt;""),AND(FI6&gt;=FL$20,FI6&lt;&gt;"",FH6&gt;=FL$16,FH6&lt;&gt;""),AND(GD6&gt;=GG$20,GD6&lt;&gt;"",GC6&gt;=GG$16,GC6&lt;&gt;""),AND(GY6&gt;=HB$20,GY6&lt;&gt;"",GX6&gt;=HB$16,GX6&lt;&gt;""),AND(HT6&gt;=HW$20,HT6&lt;&gt;"",HS6&gt;=HW$16,HS6&lt;&gt;""),AND(IO6&gt;=IR$20,IO6&lt;&gt;"",IN6&gt;=IR$16,IN6&lt;&gt;""),AND(JJ6&gt;=JM$20,JJ6&lt;&gt;"",JI6&gt;=JM$16,JI6&lt;&gt;""),AND(KE6&gt;=KH$20,KE6&lt;&gt;"",KD6&gt;=KH$16,KD6&lt;&gt;""),AND(KZ6&gt;=LC$20,KZ6&lt;&gt;"",KY6&gt;=LC$16,KY6&lt;&gt;""),AND(LU6&gt;=LX$20,LU6&lt;&gt;"",LT6&gt;=LX$16,LT6&lt;&gt;"")),"Merit",IF(OR(AND(AI6&gt;=AL$19,AI6&lt;&gt;"",AH6&gt;=AL$15,AH6&lt;&gt;"",AG6=""),AND(BE6&gt;=BH$19,BE6&lt;&gt;"",BD6&gt;=BH$15,BD6&lt;&gt;"",BC6=""),AND(CA6&gt;=CD$19,CA6&lt;&gt;"",BZ6&gt;=CD$15,BZ6&lt;&gt;"",BY6=""),AND(CX6&gt;=DA$19,CX6&lt;&gt;"",CW6&gt;=DA$15,CW6&lt;&gt;""),AND(DS6&gt;=DV$19,DS6&lt;&gt;"",DR6&gt;=DV$15,DR6&lt;&gt;""),AND(EN6&gt;=EQ$19,EN6&lt;&gt;"",EM6&gt;=EQ$15,EM6&lt;&gt;""),AND(FI6&gt;=FL$19,FI6&lt;&gt;"",FH6&gt;=FL$15,FH6&lt;&gt;""),AND(GD6&gt;=GG$19,GD6&lt;&gt;"",GC6&gt;=GG$15,GC6&lt;&gt;""),AND(GY6&gt;=HB$19,GY6&lt;&gt;"",GX6&gt;=HB$15,GX6&lt;&gt;""),AND(HT6&gt;=HW$19,HT6&lt;&gt;"",HS6&gt;=HW$15,HS6&lt;&gt;""),AND(IO6&gt;=IR$19,IO6&lt;&gt;"",IN6&gt;=IR$15,IN6&lt;&gt;""),AND(JJ6&gt;=JM$19,JJ6&lt;&gt;"",JI6&gt;=JM$15,JI6&lt;&gt;""),AND(KE6&gt;=KH$19,KE6&lt;&gt;"",KD6&gt;=KH$15,KD6&lt;&gt;""),AND(KZ6&gt;=LC$19,KZ6&lt;&gt;"",KY6&gt;=LC$15,KY6&lt;&gt;""),AND(LU6&gt;=LX$19,LU6&lt;&gt;"",LT6&gt;=LX$15,LT6&lt;&gt;"")),"Excellence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Worlds Team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National Team","")))))</f>
        <v>National Team</v>
      </c>
      <c r="I6" s="3" t="str">
        <f>IF(OR(H6="Worlds Team",H6="Excellence",H6="Merit"),"P","")</f>
        <v/>
      </c>
      <c r="J6" s="14">
        <f>MAX(AI6,BE6,CA6)</f>
        <v>63.599999999999994</v>
      </c>
      <c r="K6" s="14" t="str">
        <f>IF(J6=0,"",IF(J6=CA6,$BI$1,IF(J6=BE6,$AM$1,IF(J6=AI6,$Q$1,""))))</f>
        <v>2019 Nationals</v>
      </c>
      <c r="L6" s="14">
        <f>MAX(AK6,BG6,CC6)</f>
        <v>26.2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37">
        <v>25</v>
      </c>
      <c r="R6" s="37">
        <v>6.1</v>
      </c>
      <c r="S6" s="37">
        <v>0</v>
      </c>
      <c r="T6" s="37">
        <v>1</v>
      </c>
      <c r="U6" s="37">
        <v>26.2</v>
      </c>
      <c r="V6" s="37">
        <v>4.3</v>
      </c>
      <c r="W6" s="37">
        <v>0</v>
      </c>
      <c r="X6" s="37">
        <v>1</v>
      </c>
      <c r="Y6" s="37">
        <v>23.3</v>
      </c>
      <c r="Z6" s="37">
        <v>2.9</v>
      </c>
      <c r="AA6" s="37">
        <v>0</v>
      </c>
      <c r="AB6" s="37">
        <v>0</v>
      </c>
      <c r="AC6" s="37"/>
      <c r="AD6" s="37"/>
      <c r="AE6" s="37"/>
      <c r="AF6" s="37"/>
      <c r="AG6" s="72"/>
      <c r="AH6" s="11">
        <f>IF(SUM(R6,V6)&gt;0,SUM(R6,V6),"")</f>
        <v>10.399999999999999</v>
      </c>
      <c r="AI6" s="11">
        <f>IF(SUM(Q6:R6,T6:V6,X6)-S6-W6&gt;0,SUM(Q6:R6,T6:V6,X6)-S6-W6,"")</f>
        <v>63.599999999999994</v>
      </c>
      <c r="AJ6" s="11">
        <f>IF(SUM(Z6,AD6)&gt;0,SUM(Z6,AD6),"")</f>
        <v>2.9</v>
      </c>
      <c r="AK6" s="11">
        <f>IF(SUM(Y6:Z6,AB6:AD6,AF6)-SUM(AA6,AE6)&gt;0,SUM(Y6:Z6,AB6:AD6,AF6)-SUM(AA6,AE6),"")</f>
        <v>26.2</v>
      </c>
      <c r="AL6" s="11">
        <f>IF(SUM(AI6,AK6)&gt;0,SUM(AI6,AK6),"")</f>
        <v>89.8</v>
      </c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73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/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72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/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0</v>
      </c>
      <c r="LZ6" s="61">
        <f>IF($BY6="P",BJ6,(BJ6+AN6)/2)</f>
        <v>0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0</v>
      </c>
      <c r="MD6" s="61">
        <f>IF($BY6="P",BN6,(BN6+AR6)/2)</f>
        <v>0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0</v>
      </c>
      <c r="MH6" s="61">
        <f>IF($BY6="P",BR6,(BR6+AV6)/2)</f>
        <v>0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 t="str">
        <f>IF(AND(F7="P",G7="P"),SUMPRODUCT((F$4:F$11="P")*(G$4:G$11="P")*(E$4:E$11&gt;E7))+1,IF(G7="P",SUMPRODUCT((F$4:F$11="")*(G$4:G$11="P")*(E$4:E$11&gt;E7))+1+SUMPRODUCT((F$4:F$11="P")*(G$4:G$11="P")),""))</f>
        <v/>
      </c>
      <c r="B7" s="6" t="s">
        <v>134</v>
      </c>
      <c r="C7" s="7" t="s">
        <v>5</v>
      </c>
      <c r="D7" s="26">
        <v>2001</v>
      </c>
      <c r="E7" s="15">
        <f>SUM(J7:N7)</f>
        <v>117.79999999999998</v>
      </c>
      <c r="F7" s="3" t="str">
        <f>IF(OR(AND(AH7&gt;=AL$13,AI7&gt;=AL$17,AI7&lt;&gt;"",AG7=""),AND(BD7&gt;=BH$13,BE7&gt;=BH$17,BE7&lt;&gt;"",BC7=""),AND(BZ7&gt;=CD$13,CA7&gt;=CD$17,CA7&lt;&gt;"",BY7=""),AND(CW7&gt;=DA$13,CX7&gt;=DA$17,CX7&lt;&gt;""),AND(DR7&gt;=DV$13,DS7&gt;=DV$17,DS7&lt;&gt;""),AND(EM7&gt;=EQ$13,EN7&gt;=EQ$17,EN7&lt;&gt;""),AND(FH7&gt;=FL$13,FI7&gt;=FL$17,FI7&lt;&gt;""),AND(GC7&gt;=GG$13,GD7&gt;=GG$17,GD7&lt;&gt;""),AND(GX7&gt;=HB$13,GY7&gt;=HB$17,GY7&lt;&gt;""),AND(HS7&gt;=HW$13,HT7&gt;=HW$17,HT7&lt;&gt;""),AND(IN7&gt;=IR$13,IO7&gt;=IR$17,IO7&lt;&gt;""),AND(JI7&gt;=JM$13,JJ7&gt;=JM$17,JJ7&lt;&gt;""),AND(KD7&gt;=KH$13,KE7&gt;=KH$17,KE7&lt;&gt;""),AND(KY7&gt;=LC$13,KZ7&gt;=LC$17,KZ7&lt;&gt;""),AND(LT7&gt;=LX$13,LU7&gt;=LX$17,LU7&lt;&gt;"")),"P","")</f>
        <v/>
      </c>
      <c r="G7" s="3" t="str">
        <f>IF(OR(AND(AI7&gt;=AL$17,AI7&lt;&gt;"",AG7=""),AND(BE7&gt;=BH$17,BE7&lt;&gt;"",BC7=""),AND(CA7&gt;=CD$17,CA7&lt;&gt;"",BY7=""),AND(CX7&gt;=DA$17,CX7&lt;&gt;""),AND(DS7&gt;=DV$17,DS7&lt;&gt;""),AND(EN7&gt;=EQ$17,EN7&lt;&gt;""),AND(FI7&gt;=FL$17,FI7&lt;&gt;""),AND(GD7&gt;=GG$17,GD7&lt;&gt;""),AND(GY7&gt;=HB$17,GY7&lt;&gt;""),AND(HT7&gt;=HW$17,HT7&lt;&gt;""),AND(IO7&gt;=IR$17,IO7&lt;&gt;""),AND(JJ7&gt;=JM$17,JJ7&lt;&gt;""),AND(KE7&gt;=KH$17,KE7&lt;&gt;""),AND(KZ7&gt;=LC$17,KZ7&lt;&gt;""),AND(LU7&gt;=LX$17,LU7&lt;&gt;"")),"P","")</f>
        <v/>
      </c>
      <c r="H7" s="116" t="str">
        <f>IF(AND(G7="P",F7=""),"No DD",IF(OR(AND(AI7&gt;=AL$20,AI7&lt;&gt;"",AH7&gt;=AL$16,AH7&lt;&gt;"",AG7=""),AND(BE7&gt;=BH$20,BE7&lt;&gt;"",BD7&gt;=BH$16,BD7&lt;&gt;"",BC7=""),AND(CA7&gt;=CD$20,CA7&lt;&gt;"",BZ7&gt;=CD$16,BZ7&lt;&gt;"",BY7=""),AND(CX7&gt;=DA$20,CX7&lt;&gt;"",CW7&gt;=DA$16,CW7&lt;&gt;""),AND(DS7&gt;=DV$20,DS7&lt;&gt;"",DR7&gt;=DV$16,DR7&lt;&gt;""),AND(EN7&gt;=EQ$20,EN7&lt;&gt;"",EM7&gt;=EQ$16,EM7&lt;&gt;""),AND(FI7&gt;=FL$20,FI7&lt;&gt;"",FH7&gt;=FL$16,FH7&lt;&gt;""),AND(GD7&gt;=GG$20,GD7&lt;&gt;"",GC7&gt;=GG$16,GC7&lt;&gt;""),AND(GY7&gt;=HB$20,GY7&lt;&gt;"",GX7&gt;=HB$16,GX7&lt;&gt;""),AND(HT7&gt;=HW$20,HT7&lt;&gt;"",HS7&gt;=HW$16,HS7&lt;&gt;""),AND(IO7&gt;=IR$20,IO7&lt;&gt;"",IN7&gt;=IR$16,IN7&lt;&gt;""),AND(JJ7&gt;=JM$20,JJ7&lt;&gt;"",JI7&gt;=JM$16,JI7&lt;&gt;""),AND(KE7&gt;=KH$20,KE7&lt;&gt;"",KD7&gt;=KH$16,KD7&lt;&gt;""),AND(KZ7&gt;=LC$20,KZ7&lt;&gt;"",KY7&gt;=LC$16,KY7&lt;&gt;""),AND(LU7&gt;=LX$20,LU7&lt;&gt;"",LT7&gt;=LX$16,LT7&lt;&gt;"")),"Merit",IF(OR(AND(AI7&gt;=AL$19,AI7&lt;&gt;"",AH7&gt;=AL$15,AH7&lt;&gt;"",AG7=""),AND(BE7&gt;=BH$19,BE7&lt;&gt;"",BD7&gt;=BH$15,BD7&lt;&gt;"",BC7=""),AND(CA7&gt;=CD$19,CA7&lt;&gt;"",BZ7&gt;=CD$15,BZ7&lt;&gt;"",BY7=""),AND(CX7&gt;=DA$19,CX7&lt;&gt;"",CW7&gt;=DA$15,CW7&lt;&gt;""),AND(DS7&gt;=DV$19,DS7&lt;&gt;"",DR7&gt;=DV$15,DR7&lt;&gt;""),AND(EN7&gt;=EQ$19,EN7&lt;&gt;"",EM7&gt;=EQ$15,EM7&lt;&gt;""),AND(FI7&gt;=FL$19,FI7&lt;&gt;"",FH7&gt;=FL$15,FH7&lt;&gt;""),AND(GD7&gt;=GG$19,GD7&lt;&gt;"",GC7&gt;=GG$15,GC7&lt;&gt;""),AND(GY7&gt;=HB$19,GY7&lt;&gt;"",GX7&gt;=HB$15,GX7&lt;&gt;""),AND(HT7&gt;=HW$19,HT7&lt;&gt;"",HS7&gt;=HW$15,HS7&lt;&gt;""),AND(IO7&gt;=IR$19,IO7&lt;&gt;"",IN7&gt;=IR$15,IN7&lt;&gt;""),AND(JJ7&gt;=JM$19,JJ7&lt;&gt;"",JI7&gt;=JM$15,JI7&lt;&gt;""),AND(KE7&gt;=KH$19,KE7&lt;&gt;"",KD7&gt;=KH$15,KD7&lt;&gt;""),AND(KZ7&gt;=LC$19,KZ7&lt;&gt;"",KY7&gt;=LC$15,KY7&lt;&gt;""),AND(LU7&gt;=LX$19,LU7&lt;&gt;"",LT7&gt;=LX$15,LT7&lt;&gt;"")),"Excellence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Worlds Team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National Team","")))))</f>
        <v/>
      </c>
      <c r="I7" s="3" t="str">
        <f>IF(OR(H7="Worlds Team",H7="Excellence",H7="Merit"),"P","")</f>
        <v/>
      </c>
      <c r="J7" s="14">
        <f>MAX(AI7,BE7,CA7)</f>
        <v>58.099999999999994</v>
      </c>
      <c r="K7" s="14" t="str">
        <f>IF(J7=0,"",IF(J7=CA7,$BI$1,IF(J7=BE7,$AM$1,IF(J7=AI7,$Q$1,""))))</f>
        <v>2019 Nationals</v>
      </c>
      <c r="L7" s="14">
        <f>MAX(AK7,BG7,CC7)</f>
        <v>59.699999999999996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37">
        <v>25.9</v>
      </c>
      <c r="R7" s="37">
        <v>3.4</v>
      </c>
      <c r="S7" s="37">
        <v>0</v>
      </c>
      <c r="T7" s="37">
        <v>0</v>
      </c>
      <c r="U7" s="37">
        <v>24.9</v>
      </c>
      <c r="V7" s="37">
        <v>3.9</v>
      </c>
      <c r="W7" s="37">
        <v>0</v>
      </c>
      <c r="X7" s="37">
        <v>0</v>
      </c>
      <c r="Y7" s="37">
        <v>26.8</v>
      </c>
      <c r="Z7" s="37">
        <v>3.4</v>
      </c>
      <c r="AA7" s="37">
        <v>0</v>
      </c>
      <c r="AB7" s="37">
        <v>0</v>
      </c>
      <c r="AC7" s="37">
        <v>25.6</v>
      </c>
      <c r="AD7" s="37">
        <v>3.9</v>
      </c>
      <c r="AE7" s="37">
        <v>0</v>
      </c>
      <c r="AF7" s="37">
        <v>0</v>
      </c>
      <c r="AG7" s="72"/>
      <c r="AH7" s="11">
        <f>IF(SUM(R7,V7)&gt;0,SUM(R7,V7),"")</f>
        <v>7.3</v>
      </c>
      <c r="AI7" s="11">
        <f>IF(SUM(Q7:R7,T7:V7,X7)-S7-W7&gt;0,SUM(Q7:R7,T7:V7,X7)-S7-W7,"")</f>
        <v>58.099999999999994</v>
      </c>
      <c r="AJ7" s="11">
        <f>IF(SUM(Z7,AD7)&gt;0,SUM(Z7,AD7),"")</f>
        <v>7.3</v>
      </c>
      <c r="AK7" s="11">
        <f>IF(SUM(Y7:Z7,AB7:AD7,AF7)-SUM(AA7,AE7)&gt;0,SUM(Y7:Z7,AB7:AD7,AF7)-SUM(AA7,AE7),"")</f>
        <v>59.699999999999996</v>
      </c>
      <c r="AL7" s="11">
        <f>IF(SUM(AI7,AK7)&gt;0,SUM(AI7,AK7),"")</f>
        <v>117.79999999999998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/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37">
        <v>23.3</v>
      </c>
      <c r="BJ7" s="37">
        <v>1.2</v>
      </c>
      <c r="BK7" s="37">
        <v>0</v>
      </c>
      <c r="BL7" s="37">
        <v>0</v>
      </c>
      <c r="BM7" s="37">
        <v>24.2</v>
      </c>
      <c r="BN7" s="37">
        <v>2.5</v>
      </c>
      <c r="BO7" s="37">
        <v>0.5</v>
      </c>
      <c r="BP7" s="37">
        <v>0.3</v>
      </c>
      <c r="BQ7" s="37">
        <v>24.7</v>
      </c>
      <c r="BR7" s="37">
        <v>1.8</v>
      </c>
      <c r="BS7" s="37">
        <v>1.2</v>
      </c>
      <c r="BT7" s="37">
        <v>0</v>
      </c>
      <c r="BU7" s="37">
        <v>24.5</v>
      </c>
      <c r="BV7" s="37">
        <v>2.4</v>
      </c>
      <c r="BW7" s="37">
        <v>0.6</v>
      </c>
      <c r="BX7" s="37">
        <v>0.3</v>
      </c>
      <c r="BY7" s="72"/>
      <c r="BZ7" s="11">
        <f>IF(SUM(BJ7,BN7)&gt;0,SUM(BJ7,BN7),"")</f>
        <v>3.7</v>
      </c>
      <c r="CA7" s="11">
        <f>IF(SUM(BI7:BJ7,BL7:BN7,BP7)-BK7-BO7&gt;0,SUM(BI7:BJ7,BL7:BN7,BP7)-BK7-BO7,"")</f>
        <v>51</v>
      </c>
      <c r="CB7" s="11"/>
      <c r="CC7" s="11">
        <f>IF(SUM(BQ7:BR7,BT7:BV7,BX7)-SUM(BS7,BW7)&gt;0,SUM(BQ7:BR7,BT7:BV7,BX7)-SUM(BS7,BW7),"")</f>
        <v>51.9</v>
      </c>
      <c r="CD7" s="11">
        <f>IF(SUM(CA7,CC7)&gt;0,SUM(CA7,CC7),"")</f>
        <v>102.9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11.65</v>
      </c>
      <c r="LZ7" s="61">
        <f>IF($BY7="P",BJ7,(BJ7+AN7)/2)</f>
        <v>0.6</v>
      </c>
      <c r="MA7" s="61">
        <f>IF($BY7="P",BK7,(BK7+AO7)/2)</f>
        <v>0</v>
      </c>
      <c r="MB7" s="61">
        <f>IF($BY7="P",BL7,(BL7+AP7)/2)</f>
        <v>0</v>
      </c>
      <c r="MC7" s="61">
        <f>IF($BY7="P",BM7,(BM7+AQ7)/2)</f>
        <v>12.1</v>
      </c>
      <c r="MD7" s="61">
        <f>IF($BY7="P",BN7,(BN7+AR7)/2)</f>
        <v>1.25</v>
      </c>
      <c r="ME7" s="61">
        <f>IF($BY7="P",BO7,(BO7+AS7)/2)</f>
        <v>0.25</v>
      </c>
      <c r="MF7" s="61">
        <f>IF($BY7="P",BP7,(BP7+AT7)/2)</f>
        <v>0.15</v>
      </c>
      <c r="MG7" s="61">
        <f>IF($BY7="P",BQ7,(BQ7+AU7)/2)</f>
        <v>12.35</v>
      </c>
      <c r="MH7" s="61">
        <f>IF($BY7="P",BR7,(BR7+AV7)/2)</f>
        <v>0.9</v>
      </c>
      <c r="MI7" s="61">
        <f>IF($BY7="P",BS7,(BS7+AW7)/2)</f>
        <v>0.6</v>
      </c>
      <c r="MJ7" s="61">
        <f>IF($BY7="P",BT7,(BT7+AX7)/2)</f>
        <v>0</v>
      </c>
      <c r="MK7" s="61">
        <f>IF($BY7="P",BU7,(BU7+AY7)/2)</f>
        <v>12.25</v>
      </c>
      <c r="ML7" s="61">
        <f>IF($BY7="P",BV7,(BV7+AZ7)/2)</f>
        <v>1.2</v>
      </c>
      <c r="MM7" s="61">
        <f>IF($BY7="P",BW7,(BW7+BA7)/2)</f>
        <v>0.3</v>
      </c>
      <c r="MN7" s="61">
        <f>IF($BY7="P",BX7,(BX7+BB7)/2)</f>
        <v>0.15</v>
      </c>
      <c r="MO7" s="72" t="s">
        <v>52</v>
      </c>
      <c r="MP7" s="11">
        <f>IF(SUM(LZ7,MD7)&gt;0,SUM(LZ7,MD7),"")</f>
        <v>1.85</v>
      </c>
      <c r="MQ7" s="11">
        <f>IF(SUM(LY7:LZ7,MB7:MD7,MF7)-MA7-ME7&gt;0,SUM(LY7:LZ7,MB7:MD7,MF7)-MA7-ME7,"")</f>
        <v>25.5</v>
      </c>
      <c r="MR7" s="11">
        <f>IF(SUM(MH7,ML7)&gt;0,SUM(MH7,ML7),"")</f>
        <v>2.1</v>
      </c>
      <c r="MS7" s="11">
        <f>IF(SUM(MG7:MH7,MJ7:ML7,MN7)-SUM(MI7,MM7)&gt;0,SUM(MG7:MH7,MJ7:ML7,MN7)-SUM(MI7,MM7),"")</f>
        <v>25.95</v>
      </c>
      <c r="MT7" s="11">
        <f>IF(SUM(MQ7,MS7)&gt;0,SUM(MQ7,MS7),"")</f>
        <v>51.45</v>
      </c>
    </row>
    <row r="8" spans="1:358" x14ac:dyDescent="0.2">
      <c r="A8" s="5" t="str">
        <f>IF(AND(F8="P",G8="P"),SUMPRODUCT((F$4:F$11="P")*(G$4:G$11="P")*(E$4:E$11&gt;E8))+1,IF(G8="P",SUMPRODUCT((F$4:F$11="")*(G$4:G$11="P")*(E$4:E$11&gt;E8))+1+SUMPRODUCT((F$4:F$11="P")*(G$4:G$11="P")),""))</f>
        <v/>
      </c>
      <c r="B8" s="6" t="s">
        <v>144</v>
      </c>
      <c r="C8" s="7" t="s">
        <v>4</v>
      </c>
      <c r="D8" s="26">
        <v>2001</v>
      </c>
      <c r="E8" s="15">
        <f>SUM(J8:N8)</f>
        <v>117.10000000000001</v>
      </c>
      <c r="F8" s="3" t="str">
        <f>IF(OR(AND(AH8&gt;=AL$13,AI8&gt;=AL$17,AI8&lt;&gt;"",AG8=""),AND(BD8&gt;=BH$13,BE8&gt;=BH$17,BE8&lt;&gt;"",BC8=""),AND(BZ8&gt;=CD$13,CA8&gt;=CD$17,CA8&lt;&gt;"",BY8=""),AND(CW8&gt;=DA$13,CX8&gt;=DA$17,CX8&lt;&gt;""),AND(DR8&gt;=DV$13,DS8&gt;=DV$17,DS8&lt;&gt;""),AND(EM8&gt;=EQ$13,EN8&gt;=EQ$17,EN8&lt;&gt;""),AND(FH8&gt;=FL$13,FI8&gt;=FL$17,FI8&lt;&gt;""),AND(GC8&gt;=GG$13,GD8&gt;=GG$17,GD8&lt;&gt;""),AND(GX8&gt;=HB$13,GY8&gt;=HB$17,GY8&lt;&gt;""),AND(HS8&gt;=HW$13,HT8&gt;=HW$17,HT8&lt;&gt;""),AND(IN8&gt;=IR$13,IO8&gt;=IR$17,IO8&lt;&gt;""),AND(JI8&gt;=JM$13,JJ8&gt;=JM$17,JJ8&lt;&gt;""),AND(KD8&gt;=KH$13,KE8&gt;=KH$17,KE8&lt;&gt;""),AND(KY8&gt;=LC$13,KZ8&gt;=LC$17,KZ8&lt;&gt;""),AND(LT8&gt;=LX$13,LU8&gt;=LX$17,LU8&lt;&gt;"")),"P","")</f>
        <v/>
      </c>
      <c r="G8" s="3" t="str">
        <f>IF(OR(AND(AI8&gt;=AL$17,AI8&lt;&gt;"",AG8=""),AND(BE8&gt;=BH$17,BE8&lt;&gt;"",BC8=""),AND(CA8&gt;=CD$17,CA8&lt;&gt;"",BY8=""),AND(CX8&gt;=DA$17,CX8&lt;&gt;""),AND(DS8&gt;=DV$17,DS8&lt;&gt;""),AND(EN8&gt;=EQ$17,EN8&lt;&gt;""),AND(FI8&gt;=FL$17,FI8&lt;&gt;""),AND(GD8&gt;=GG$17,GD8&lt;&gt;""),AND(GY8&gt;=HB$17,GY8&lt;&gt;""),AND(HT8&gt;=HW$17,HT8&lt;&gt;""),AND(IO8&gt;=IR$17,IO8&lt;&gt;""),AND(JJ8&gt;=JM$17,JJ8&lt;&gt;""),AND(KE8&gt;=KH$17,KE8&lt;&gt;""),AND(KZ8&gt;=LC$17,KZ8&lt;&gt;""),AND(LU8&gt;=LX$17,LU8&lt;&gt;"")),"P","")</f>
        <v/>
      </c>
      <c r="H8" s="116" t="str">
        <f>IF(AND(G8="P",F8=""),"No DD",IF(OR(AND(AI8&gt;=AL$20,AI8&lt;&gt;"",AH8&gt;=AL$16,AH8&lt;&gt;"",AG8=""),AND(BE8&gt;=BH$20,BE8&lt;&gt;"",BD8&gt;=BH$16,BD8&lt;&gt;"",BC8=""),AND(CA8&gt;=CD$20,CA8&lt;&gt;"",BZ8&gt;=CD$16,BZ8&lt;&gt;"",BY8=""),AND(CX8&gt;=DA$20,CX8&lt;&gt;"",CW8&gt;=DA$16,CW8&lt;&gt;""),AND(DS8&gt;=DV$20,DS8&lt;&gt;"",DR8&gt;=DV$16,DR8&lt;&gt;""),AND(EN8&gt;=EQ$20,EN8&lt;&gt;"",EM8&gt;=EQ$16,EM8&lt;&gt;""),AND(FI8&gt;=FL$20,FI8&lt;&gt;"",FH8&gt;=FL$16,FH8&lt;&gt;""),AND(GD8&gt;=GG$20,GD8&lt;&gt;"",GC8&gt;=GG$16,GC8&lt;&gt;""),AND(GY8&gt;=HB$20,GY8&lt;&gt;"",GX8&gt;=HB$16,GX8&lt;&gt;""),AND(HT8&gt;=HW$20,HT8&lt;&gt;"",HS8&gt;=HW$16,HS8&lt;&gt;""),AND(IO8&gt;=IR$20,IO8&lt;&gt;"",IN8&gt;=IR$16,IN8&lt;&gt;""),AND(JJ8&gt;=JM$20,JJ8&lt;&gt;"",JI8&gt;=JM$16,JI8&lt;&gt;""),AND(KE8&gt;=KH$20,KE8&lt;&gt;"",KD8&gt;=KH$16,KD8&lt;&gt;""),AND(KZ8&gt;=LC$20,KZ8&lt;&gt;"",KY8&gt;=LC$16,KY8&lt;&gt;""),AND(LU8&gt;=LX$20,LU8&lt;&gt;"",LT8&gt;=LX$16,LT8&lt;&gt;"")),"Merit",IF(OR(AND(AI8&gt;=AL$19,AI8&lt;&gt;"",AH8&gt;=AL$15,AH8&lt;&gt;"",AG8=""),AND(BE8&gt;=BH$19,BE8&lt;&gt;"",BD8&gt;=BH$15,BD8&lt;&gt;"",BC8=""),AND(CA8&gt;=CD$19,CA8&lt;&gt;"",BZ8&gt;=CD$15,BZ8&lt;&gt;"",BY8=""),AND(CX8&gt;=DA$19,CX8&lt;&gt;"",CW8&gt;=DA$15,CW8&lt;&gt;""),AND(DS8&gt;=DV$19,DS8&lt;&gt;"",DR8&gt;=DV$15,DR8&lt;&gt;""),AND(EN8&gt;=EQ$19,EN8&lt;&gt;"",EM8&gt;=EQ$15,EM8&lt;&gt;""),AND(FI8&gt;=FL$19,FI8&lt;&gt;"",FH8&gt;=FL$15,FH8&lt;&gt;""),AND(GD8&gt;=GG$19,GD8&lt;&gt;"",GC8&gt;=GG$15,GC8&lt;&gt;""),AND(GY8&gt;=HB$19,GY8&lt;&gt;"",GX8&gt;=HB$15,GX8&lt;&gt;""),AND(HT8&gt;=HW$19,HT8&lt;&gt;"",HS8&gt;=HW$15,HS8&lt;&gt;""),AND(IO8&gt;=IR$19,IO8&lt;&gt;"",IN8&gt;=IR$15,IN8&lt;&gt;""),AND(JJ8&gt;=JM$19,JJ8&lt;&gt;"",JI8&gt;=JM$15,JI8&lt;&gt;""),AND(KE8&gt;=KH$19,KE8&lt;&gt;"",KD8&gt;=KH$15,KD8&lt;&gt;""),AND(KZ8&gt;=LC$19,KZ8&lt;&gt;"",KY8&gt;=LC$15,KY8&lt;&gt;""),AND(LU8&gt;=LX$19,LU8&lt;&gt;"",LT8&gt;=LX$15,LT8&lt;&gt;"")),"Excellence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Worlds Team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National Team","")))))</f>
        <v/>
      </c>
      <c r="I8" s="3" t="str">
        <f>IF(OR(H8="Worlds Team",H8="Excellence",H8="Merit"),"P","")</f>
        <v/>
      </c>
      <c r="J8" s="14">
        <f>MAX(AI8,BE8,CA8)</f>
        <v>58.400000000000006</v>
      </c>
      <c r="K8" s="14" t="str">
        <f>IF(J8=0,"",IF(J8=CA8,$BI$1,IF(J8=BE8,$AM$1,IF(J8=AI8,$Q$1,""))))</f>
        <v>2019 Nationals</v>
      </c>
      <c r="L8" s="14">
        <f>MAX(AK8,BG8,CC8)</f>
        <v>58.7</v>
      </c>
      <c r="M8" s="14" t="str">
        <f>IF(L8=0,"",IF(J8=CC8,$BI$1,IF(L8=BG8,$AM$1,IF(L8=AK8,$Q$1,""))))</f>
        <v>2019 Nationals</v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37">
        <v>26.5</v>
      </c>
      <c r="R8" s="37">
        <v>3.2</v>
      </c>
      <c r="S8" s="37">
        <v>0</v>
      </c>
      <c r="T8" s="37">
        <v>0</v>
      </c>
      <c r="U8" s="37">
        <v>25.5</v>
      </c>
      <c r="V8" s="37">
        <v>3.2</v>
      </c>
      <c r="W8" s="37">
        <v>0</v>
      </c>
      <c r="X8" s="37">
        <v>0</v>
      </c>
      <c r="Y8" s="37">
        <v>26.8</v>
      </c>
      <c r="Z8" s="37">
        <v>3.2</v>
      </c>
      <c r="AA8" s="37">
        <v>0</v>
      </c>
      <c r="AB8" s="37">
        <v>0</v>
      </c>
      <c r="AC8" s="37">
        <v>25.5</v>
      </c>
      <c r="AD8" s="37">
        <v>3.2</v>
      </c>
      <c r="AE8" s="37">
        <v>0</v>
      </c>
      <c r="AF8" s="37">
        <v>0</v>
      </c>
      <c r="AG8" s="72"/>
      <c r="AH8" s="11">
        <f>IF(SUM(R8,V8)&gt;0,SUM(R8,V8),"")</f>
        <v>6.4</v>
      </c>
      <c r="AI8" s="11">
        <f>IF(SUM(Q8:R8,T8:V8,X8)-S8-W8&gt;0,SUM(Q8:R8,T8:V8,X8)-S8-W8,"")</f>
        <v>58.400000000000006</v>
      </c>
      <c r="AJ8" s="11">
        <f>IF(SUM(Z8,AD8)&gt;0,SUM(Z8,AD8),"")</f>
        <v>6.4</v>
      </c>
      <c r="AK8" s="11">
        <f>IF(SUM(Y8:Z8,AB8:AD8,AF8)-SUM(AA8,AE8)&gt;0,SUM(Y8:Z8,AB8:AD8,AF8)-SUM(AA8,AE8),"")</f>
        <v>58.7</v>
      </c>
      <c r="AL8" s="11">
        <f>IF(SUM(AI8,AK8)&gt;0,SUM(AI8,AK8),"")</f>
        <v>117.10000000000001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>IF(SUM(AN8,AR8)&gt;0,SUM(AN8,AR8),"")</f>
        <v/>
      </c>
      <c r="BE8" s="14" t="str">
        <f>IF(SUM(AM8:AN8,AP8:AR8,AT8)-AO8-AS8&gt;0,SUM(AM8:AN8,AP8:AR8,AT8)-AO8-AS8,"")</f>
        <v/>
      </c>
      <c r="BF8" s="14"/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37">
        <v>24.8</v>
      </c>
      <c r="BJ8" s="37">
        <v>3.4</v>
      </c>
      <c r="BK8" s="37">
        <v>0</v>
      </c>
      <c r="BL8" s="37">
        <v>0</v>
      </c>
      <c r="BM8" s="37">
        <v>23.7</v>
      </c>
      <c r="BN8" s="37">
        <v>3.9</v>
      </c>
      <c r="BO8" s="37">
        <v>0</v>
      </c>
      <c r="BP8" s="37">
        <v>0.3</v>
      </c>
      <c r="BQ8" s="37">
        <v>24.8</v>
      </c>
      <c r="BR8" s="37">
        <v>3.4</v>
      </c>
      <c r="BS8" s="37">
        <v>0</v>
      </c>
      <c r="BT8" s="37">
        <v>0</v>
      </c>
      <c r="BU8" s="37">
        <v>24.8</v>
      </c>
      <c r="BV8" s="37">
        <v>2.8</v>
      </c>
      <c r="BW8" s="37">
        <v>0.2</v>
      </c>
      <c r="BX8" s="37">
        <v>0.3</v>
      </c>
      <c r="BY8" s="72"/>
      <c r="BZ8" s="11">
        <f>IF(SUM(BJ8,BN8)&gt;0,SUM(BJ8,BN8),"")</f>
        <v>7.3</v>
      </c>
      <c r="CA8" s="11">
        <f>IF(SUM(BI8:BJ8,BL8:BN8,BP8)-BK8-BO8&gt;0,SUM(BI8:BJ8,BL8:BN8,BP8)-BK8-BO8,"")</f>
        <v>56.099999999999994</v>
      </c>
      <c r="CB8" s="11"/>
      <c r="CC8" s="11">
        <f>IF(SUM(BQ8:BR8,BT8:BV8,BX8)-SUM(BS8,BW8)&gt;0,SUM(BQ8:BR8,BT8:BV8,BX8)-SUM(BS8,BW8),"")</f>
        <v>55.899999999999991</v>
      </c>
      <c r="CD8" s="11">
        <f>IF(SUM(CA8,CC8)&gt;0,SUM(CA8,CC8),"")</f>
        <v>111.99999999999999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12.4</v>
      </c>
      <c r="LZ8" s="61">
        <f>IF($BY8="P",BJ8,(BJ8+AN8)/2)</f>
        <v>1.7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11.85</v>
      </c>
      <c r="MD8" s="61">
        <f>IF($BY8="P",BN8,(BN8+AR8)/2)</f>
        <v>1.95</v>
      </c>
      <c r="ME8" s="61">
        <f>IF($BY8="P",BO8,(BO8+AS8)/2)</f>
        <v>0</v>
      </c>
      <c r="MF8" s="61">
        <f>IF($BY8="P",BP8,(BP8+AT8)/2)</f>
        <v>0.15</v>
      </c>
      <c r="MG8" s="61">
        <f>IF($BY8="P",BQ8,(BQ8+AU8)/2)</f>
        <v>12.4</v>
      </c>
      <c r="MH8" s="61">
        <f>IF($BY8="P",BR8,(BR8+AV8)/2)</f>
        <v>1.7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12.4</v>
      </c>
      <c r="ML8" s="61">
        <f>IF($BY8="P",BV8,(BV8+AZ8)/2)</f>
        <v>1.4</v>
      </c>
      <c r="MM8" s="61">
        <f>IF($BY8="P",BW8,(BW8+BA8)/2)</f>
        <v>0.1</v>
      </c>
      <c r="MN8" s="61">
        <f>IF($BY8="P",BX8,(BX8+BB8)/2)</f>
        <v>0.15</v>
      </c>
      <c r="MO8" s="72" t="s">
        <v>52</v>
      </c>
      <c r="MP8" s="11">
        <f>IF(SUM(LZ8,MD8)&gt;0,SUM(LZ8,MD8),"")</f>
        <v>3.65</v>
      </c>
      <c r="MQ8" s="11">
        <f>IF(SUM(LY8:LZ8,MB8:MD8,MF8)-MA8-ME8&gt;0,SUM(LY8:LZ8,MB8:MD8,MF8)-MA8-ME8,"")</f>
        <v>28.049999999999997</v>
      </c>
      <c r="MR8" s="11">
        <f>IF(SUM(MH8,ML8)&gt;0,SUM(MH8,ML8),"")</f>
        <v>3.0999999999999996</v>
      </c>
      <c r="MS8" s="11">
        <f>IF(SUM(MG8:MH8,MJ8:ML8,MN8)-SUM(MI8,MM8)&gt;0,SUM(MG8:MH8,MJ8:ML8,MN8)-SUM(MI8,MM8),"")</f>
        <v>27.949999999999996</v>
      </c>
      <c r="MT8" s="11">
        <f>IF(SUM(MQ8,MS8)&gt;0,SUM(MQ8,MS8),"")</f>
        <v>55.999999999999993</v>
      </c>
    </row>
    <row r="9" spans="1:358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6" t="s">
        <v>151</v>
      </c>
      <c r="C9" s="7" t="s">
        <v>4</v>
      </c>
      <c r="D9" s="26">
        <v>2002</v>
      </c>
      <c r="E9" s="15">
        <f>SUM(J9:N9)</f>
        <v>114.5</v>
      </c>
      <c r="F9" s="3" t="str">
        <f>IF(OR(AND(AH9&gt;=AL$13,AI9&gt;=AL$17,AI9&lt;&gt;"",AG9=""),AND(BD9&gt;=BH$13,BE9&gt;=BH$17,BE9&lt;&gt;"",BC9=""),AND(BZ9&gt;=CD$13,CA9&gt;=CD$17,CA9&lt;&gt;"",BY9=""),AND(CW9&gt;=DA$13,CX9&gt;=DA$17,CX9&lt;&gt;""),AND(DR9&gt;=DV$13,DS9&gt;=DV$17,DS9&lt;&gt;""),AND(EM9&gt;=EQ$13,EN9&gt;=EQ$17,EN9&lt;&gt;""),AND(FH9&gt;=FL$13,FI9&gt;=FL$17,FI9&lt;&gt;""),AND(GC9&gt;=GG$13,GD9&gt;=GG$17,GD9&lt;&gt;""),AND(GX9&gt;=HB$13,GY9&gt;=HB$17,GY9&lt;&gt;""),AND(HS9&gt;=HW$13,HT9&gt;=HW$17,HT9&lt;&gt;""),AND(IN9&gt;=IR$13,IO9&gt;=IR$17,IO9&lt;&gt;""),AND(JI9&gt;=JM$13,JJ9&gt;=JM$17,JJ9&lt;&gt;""),AND(KD9&gt;=KH$13,KE9&gt;=KH$17,KE9&lt;&gt;""),AND(KY9&gt;=LC$13,KZ9&gt;=LC$17,KZ9&lt;&gt;""),AND(LT9&gt;=LX$13,LU9&gt;=LX$17,LU9&lt;&gt;"")),"P","")</f>
        <v/>
      </c>
      <c r="G9" s="3" t="str">
        <f>IF(OR(AND(AI9&gt;=AL$17,AI9&lt;&gt;"",AG9=""),AND(BE9&gt;=BH$17,BE9&lt;&gt;"",BC9=""),AND(CA9&gt;=CD$17,CA9&lt;&gt;"",BY9=""),AND(CX9&gt;=DA$17,CX9&lt;&gt;""),AND(DS9&gt;=DV$17,DS9&lt;&gt;""),AND(EN9&gt;=EQ$17,EN9&lt;&gt;""),AND(FI9&gt;=FL$17,FI9&lt;&gt;""),AND(GD9&gt;=GG$17,GD9&lt;&gt;""),AND(GY9&gt;=HB$17,GY9&lt;&gt;""),AND(HT9&gt;=HW$17,HT9&lt;&gt;""),AND(IO9&gt;=IR$17,IO9&lt;&gt;""),AND(JJ9&gt;=JM$17,JJ9&lt;&gt;""),AND(KE9&gt;=KH$17,KE9&lt;&gt;""),AND(KZ9&gt;=LC$17,KZ9&lt;&gt;""),AND(LU9&gt;=LX$17,LU9&lt;&gt;"")),"P","")</f>
        <v/>
      </c>
      <c r="H9" s="116" t="str">
        <f>IF(AND(G9="P",F9=""),"No DD",IF(OR(AND(AI9&gt;=AL$20,AI9&lt;&gt;"",AH9&gt;=AL$16,AH9&lt;&gt;"",AG9=""),AND(BE9&gt;=BH$20,BE9&lt;&gt;"",BD9&gt;=BH$16,BD9&lt;&gt;"",BC9=""),AND(CA9&gt;=CD$20,CA9&lt;&gt;"",BZ9&gt;=CD$16,BZ9&lt;&gt;"",BY9=""),AND(CX9&gt;=DA$20,CX9&lt;&gt;"",CW9&gt;=DA$16,CW9&lt;&gt;""),AND(DS9&gt;=DV$20,DS9&lt;&gt;"",DR9&gt;=DV$16,DR9&lt;&gt;""),AND(EN9&gt;=EQ$20,EN9&lt;&gt;"",EM9&gt;=EQ$16,EM9&lt;&gt;""),AND(FI9&gt;=FL$20,FI9&lt;&gt;"",FH9&gt;=FL$16,FH9&lt;&gt;""),AND(GD9&gt;=GG$20,GD9&lt;&gt;"",GC9&gt;=GG$16,GC9&lt;&gt;""),AND(GY9&gt;=HB$20,GY9&lt;&gt;"",GX9&gt;=HB$16,GX9&lt;&gt;""),AND(HT9&gt;=HW$20,HT9&lt;&gt;"",HS9&gt;=HW$16,HS9&lt;&gt;""),AND(IO9&gt;=IR$20,IO9&lt;&gt;"",IN9&gt;=IR$16,IN9&lt;&gt;""),AND(JJ9&gt;=JM$20,JJ9&lt;&gt;"",JI9&gt;=JM$16,JI9&lt;&gt;""),AND(KE9&gt;=KH$20,KE9&lt;&gt;"",KD9&gt;=KH$16,KD9&lt;&gt;""),AND(KZ9&gt;=LC$20,KZ9&lt;&gt;"",KY9&gt;=LC$16,KY9&lt;&gt;""),AND(LU9&gt;=LX$20,LU9&lt;&gt;"",LT9&gt;=LX$16,LT9&lt;&gt;"")),"Merit",IF(OR(AND(AI9&gt;=AL$19,AI9&lt;&gt;"",AH9&gt;=AL$15,AH9&lt;&gt;"",AG9=""),AND(BE9&gt;=BH$19,BE9&lt;&gt;"",BD9&gt;=BH$15,BD9&lt;&gt;"",BC9=""),AND(CA9&gt;=CD$19,CA9&lt;&gt;"",BZ9&gt;=CD$15,BZ9&lt;&gt;"",BY9=""),AND(CX9&gt;=DA$19,CX9&lt;&gt;"",CW9&gt;=DA$15,CW9&lt;&gt;""),AND(DS9&gt;=DV$19,DS9&lt;&gt;"",DR9&gt;=DV$15,DR9&lt;&gt;""),AND(EN9&gt;=EQ$19,EN9&lt;&gt;"",EM9&gt;=EQ$15,EM9&lt;&gt;""),AND(FI9&gt;=FL$19,FI9&lt;&gt;"",FH9&gt;=FL$15,FH9&lt;&gt;""),AND(GD9&gt;=GG$19,GD9&lt;&gt;"",GC9&gt;=GG$15,GC9&lt;&gt;""),AND(GY9&gt;=HB$19,GY9&lt;&gt;"",GX9&gt;=HB$15,GX9&lt;&gt;""),AND(HT9&gt;=HW$19,HT9&lt;&gt;"",HS9&gt;=HW$15,HS9&lt;&gt;""),AND(IO9&gt;=IR$19,IO9&lt;&gt;"",IN9&gt;=IR$15,IN9&lt;&gt;""),AND(JJ9&gt;=JM$19,JJ9&lt;&gt;"",JI9&gt;=JM$15,JI9&lt;&gt;""),AND(KE9&gt;=KH$19,KE9&lt;&gt;"",KD9&gt;=KH$15,KD9&lt;&gt;""),AND(KZ9&gt;=LC$19,KZ9&lt;&gt;"",KY9&gt;=LC$15,KY9&lt;&gt;""),AND(LU9&gt;=LX$19,LU9&lt;&gt;"",LT9&gt;=LX$15,LT9&lt;&gt;"")),"Excellence",IF(OR(AND(AI9&gt;=AL$18,AI9&lt;&gt;"",AH9&gt;=AL$14,AH9&lt;&gt;"",AG9=""),AND(BE9&gt;=BH$18,BE9&lt;&gt;"",BD9&gt;=BH$14,BD9&lt;&gt;"",BC9=""),AND(CA9&gt;=CD$18,CA9&lt;&gt;"",BZ9&gt;=CD$14,BZ9&lt;&gt;"",BY9=""),AND(CX9&gt;=DA$18,CX9&lt;&gt;"",CW9&gt;=DA$14,CW9&lt;&gt;""),AND(DS9&gt;=DV$18,DS9&lt;&gt;"",DR9&gt;=DV$14,DR9&lt;&gt;""),AND(EN9&gt;=EQ$18,EN9&lt;&gt;"",EM9&gt;=EQ$14,EM9&lt;&gt;""),AND(FI9&gt;=FL$18,FI9&lt;&gt;"",FH9&gt;=FL$14,FH9&lt;&gt;""),AND(GD9&gt;=GG$18,GD9&lt;&gt;"",GC9&gt;=GG$14,GC9&lt;&gt;""),AND(GY9&gt;=HB$18,GY9&lt;&gt;"",GX9&gt;=HB$14,GX9&lt;&gt;""),AND(HT9&gt;=HW$18,HT9&lt;&gt;"",HS9&gt;=HW$14,HS9&lt;&gt;""),AND(IO9&gt;=IR$18,IO9&lt;&gt;"",IN9&gt;=IR$14,IN9&lt;&gt;""),AND(JJ9&gt;=JM$18,JJ9&lt;&gt;"",JI9&gt;=JM$14,JI9&lt;&gt;""),AND(KE9&gt;=KH$18,KE9&lt;&gt;"",KD9&gt;=KH$14,KD9&lt;&gt;""),AND(KZ9&gt;=LC$18,KZ9&lt;&gt;"",KY9&gt;=LC$14,KY9&lt;&gt;""),AND(LU9&gt;=LX$18,LU9&lt;&gt;"",LT9&gt;=LX$14,LT9&lt;&gt;"")),"Worlds Team",IF(OR(AND(AI9&gt;=AL$17,AI9&lt;&gt;"",AH9&gt;=AL$13,AH9&lt;&gt;"",AG9=""),AND(BE9&gt;=BH$17,BE9&lt;&gt;"",BD9&gt;=BH$13,BD9&lt;&gt;"",BC9=""),AND(CA9&gt;=CD$17,CA9&lt;&gt;"",BZ9&gt;=CD$13,BZ9&lt;&gt;"",BY9=""),AND(CX9&gt;=DA$17,CX9&lt;&gt;"",CW9&gt;=DA$13,CW9&lt;&gt;""),AND(DS9&gt;=DV$17,DS9&lt;&gt;"",DR9&gt;=DV$13,DR9&lt;&gt;""),AND(EN9&gt;=EQ$17,EN9&lt;&gt;"",EM9&gt;=EQ$13,EM9&lt;&gt;""),AND(FI9&gt;=FL$17,FI9&lt;&gt;"",FH9&gt;=FL$13,FH9&lt;&gt;""),AND(GD9&gt;=GG$17,GD9&lt;&gt;"",GC9&gt;=GG$13,GC9&lt;&gt;""),AND(GY9&gt;=HB$17,GY9&lt;&gt;"",GX9&gt;=HB$13,GX9&lt;&gt;""),AND(HT9&gt;=HW$17,HT9&lt;&gt;"",HS9&gt;=HW$13,HS9&lt;&gt;""),AND(IO9&gt;=IR$17,IO9&lt;&gt;"",IN9&gt;=IR$13,IN9&lt;&gt;""),AND(JJ9&gt;=JM$17,JJ9&lt;&gt;"",JI9&gt;=JM$13,JI9&lt;&gt;""),AND(KE9&gt;=KH$17,KE9&lt;&gt;"",KD9&gt;=KH$13,KD9&lt;&gt;""),AND(KZ9&gt;=LC$17,KZ9&lt;&gt;"",KY9&gt;=LC$13,KY9&lt;&gt;""),AND(LU9&gt;=LX$17,LU9&lt;&gt;"",LT9&gt;=LX$13,LT9&lt;&gt;"")),"National Team","")))))</f>
        <v/>
      </c>
      <c r="I9" s="3" t="str">
        <f>IF(OR(H9="Worlds Team",H9="Excellence",H9="Merit"),"P","")</f>
        <v/>
      </c>
      <c r="J9" s="14">
        <f>MAX(AI9,BE9,CA9)</f>
        <v>59.4</v>
      </c>
      <c r="K9" s="14" t="str">
        <f>IF(J9=0,"",IF(J9=CA9,$BI$1,IF(J9=BE9,$AM$1,IF(J9=AI9,$Q$1,""))))</f>
        <v>2021 2nd Virtual Technical Trial</v>
      </c>
      <c r="L9" s="14">
        <f>MAX(AK9,BG9,CC9)</f>
        <v>55.1</v>
      </c>
      <c r="M9" s="14" t="str">
        <f>IF(L9=0,"",IF(J9=CC9,$BI$1,IF(L9=BG9,$AM$1,IF(L9=AK9,$Q$1,""))))</f>
        <v/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72"/>
      <c r="AH9" s="11" t="str">
        <f>IF(SUM(R9,V9)&gt;0,SUM(R9,V9),"")</f>
        <v/>
      </c>
      <c r="AI9" s="11" t="str">
        <f>IF(SUM(Q9:R9,T9:V9,X9)-S9-W9&gt;0,SUM(Q9:R9,T9:V9,X9)-S9-W9,"")</f>
        <v/>
      </c>
      <c r="AJ9" s="11" t="str">
        <f>IF(SUM(Z9,AD9)&gt;0,SUM(Z9,AD9),"")</f>
        <v/>
      </c>
      <c r="AK9" s="11" t="str">
        <f>IF(SUM(Y9:Z9,AB9:AD9,AF9)-SUM(AA9,AE9)&gt;0,SUM(Y9:Z9,AB9:AD9,AF9)-SUM(AA9,AE9),"")</f>
        <v/>
      </c>
      <c r="AL9" s="11" t="str">
        <f>IF(SUM(AI9,AK9)&gt;0,SUM(AI9,AK9),"")</f>
        <v/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/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37">
        <v>25</v>
      </c>
      <c r="BJ9" s="37">
        <v>3.9</v>
      </c>
      <c r="BK9" s="37">
        <v>0</v>
      </c>
      <c r="BL9" s="37">
        <v>0.3</v>
      </c>
      <c r="BM9" s="37">
        <v>25.8</v>
      </c>
      <c r="BN9" s="37">
        <v>4.0999999999999996</v>
      </c>
      <c r="BO9" s="37">
        <v>0</v>
      </c>
      <c r="BP9" s="37">
        <v>0.3</v>
      </c>
      <c r="BQ9" s="37">
        <v>26.4</v>
      </c>
      <c r="BR9" s="37">
        <v>1.7</v>
      </c>
      <c r="BS9" s="37">
        <v>1.3</v>
      </c>
      <c r="BT9" s="37">
        <v>0</v>
      </c>
      <c r="BU9" s="37">
        <v>25.4</v>
      </c>
      <c r="BV9" s="37">
        <v>3.2</v>
      </c>
      <c r="BW9" s="37">
        <v>0.3</v>
      </c>
      <c r="BX9" s="37">
        <v>0</v>
      </c>
      <c r="BY9" s="72"/>
      <c r="BZ9" s="11">
        <f>IF(SUM(BJ9,BN9)&gt;0,SUM(BJ9,BN9),"")</f>
        <v>8</v>
      </c>
      <c r="CA9" s="11">
        <f>IF(SUM(BI9:BJ9,BL9:BN9,BP9)-BK9-BO9&gt;0,SUM(BI9:BJ9,BL9:BN9,BP9)-BK9-BO9,"")</f>
        <v>59.4</v>
      </c>
      <c r="CB9" s="11"/>
      <c r="CC9" s="11">
        <f>IF(SUM(BQ9:BR9,BT9:BV9,BX9)-SUM(BS9,BW9)&gt;0,SUM(BQ9:BR9,BT9:BV9,BX9)-SUM(BS9,BW9),"")</f>
        <v>55.1</v>
      </c>
      <c r="CD9" s="11">
        <f>IF(SUM(CA9,CC9)&gt;0,SUM(CA9,CC9),"")</f>
        <v>114.5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12.5</v>
      </c>
      <c r="LZ9" s="61">
        <f>IF($BY9="P",BJ9,(BJ9+AN9)/2)</f>
        <v>1.95</v>
      </c>
      <c r="MA9" s="61">
        <f>IF($BY9="P",BK9,(BK9+AO9)/2)</f>
        <v>0</v>
      </c>
      <c r="MB9" s="61">
        <f>IF($BY9="P",BL9,(BL9+AP9)/2)</f>
        <v>0.15</v>
      </c>
      <c r="MC9" s="61">
        <f>IF($BY9="P",BM9,(BM9+AQ9)/2)</f>
        <v>12.9</v>
      </c>
      <c r="MD9" s="61">
        <f>IF($BY9="P",BN9,(BN9+AR9)/2)</f>
        <v>2.0499999999999998</v>
      </c>
      <c r="ME9" s="61">
        <f>IF($BY9="P",BO9,(BO9+AS9)/2)</f>
        <v>0</v>
      </c>
      <c r="MF9" s="61">
        <f>IF($BY9="P",BP9,(BP9+AT9)/2)</f>
        <v>0.15</v>
      </c>
      <c r="MG9" s="61">
        <f>IF($BY9="P",BQ9,(BQ9+AU9)/2)</f>
        <v>13.2</v>
      </c>
      <c r="MH9" s="61">
        <f>IF($BY9="P",BR9,(BR9+AV9)/2)</f>
        <v>0.85</v>
      </c>
      <c r="MI9" s="61">
        <f>IF($BY9="P",BS9,(BS9+AW9)/2)</f>
        <v>0.65</v>
      </c>
      <c r="MJ9" s="61">
        <f>IF($BY9="P",BT9,(BT9+AX9)/2)</f>
        <v>0</v>
      </c>
      <c r="MK9" s="61">
        <f>IF($BY9="P",BU9,(BU9+AY9)/2)</f>
        <v>12.7</v>
      </c>
      <c r="ML9" s="61">
        <f>IF($BY9="P",BV9,(BV9+AZ9)/2)</f>
        <v>1.6</v>
      </c>
      <c r="MM9" s="61">
        <f>IF($BY9="P",BW9,(BW9+BA9)/2)</f>
        <v>0.15</v>
      </c>
      <c r="MN9" s="61">
        <f>IF($BY9="P",BX9,(BX9+BB9)/2)</f>
        <v>0</v>
      </c>
      <c r="MO9" s="72" t="s">
        <v>52</v>
      </c>
      <c r="MP9" s="11">
        <f>IF(SUM(LZ9,MD9)&gt;0,SUM(LZ9,MD9),"")</f>
        <v>4</v>
      </c>
      <c r="MQ9" s="11">
        <f>IF(SUM(LY9:LZ9,MB9:MD9,MF9)-MA9-ME9&gt;0,SUM(LY9:LZ9,MB9:MD9,MF9)-MA9-ME9,"")</f>
        <v>29.7</v>
      </c>
      <c r="MR9" s="11">
        <f>IF(SUM(MH9,ML9)&gt;0,SUM(MH9,ML9),"")</f>
        <v>2.4500000000000002</v>
      </c>
      <c r="MS9" s="11">
        <f>IF(SUM(MG9:MH9,MJ9:ML9,MN9)-SUM(MI9,MM9)&gt;0,SUM(MG9:MH9,MJ9:ML9,MN9)-SUM(MI9,MM9),"")</f>
        <v>27.55</v>
      </c>
      <c r="MT9" s="11">
        <f>IF(SUM(MQ9,MS9)&gt;0,SUM(MQ9,MS9),"")</f>
        <v>57.25</v>
      </c>
    </row>
    <row r="10" spans="1:358" x14ac:dyDescent="0.2">
      <c r="A10" s="5" t="str">
        <f>IF(AND(F10="P",G10="P"),SUMPRODUCT((F$4:F$11="P")*(G$4:G$11="P")*(E$4:E$11&gt;E10))+1,IF(G10="P",SUMPRODUCT((F$4:F$11="")*(G$4:G$11="P")*(E$4:E$11&gt;E10))+1+SUMPRODUCT((F$4:F$11="P")*(G$4:G$11="P")),""))</f>
        <v/>
      </c>
      <c r="B10" s="6" t="s">
        <v>119</v>
      </c>
      <c r="C10" s="7" t="s">
        <v>5</v>
      </c>
      <c r="D10" s="26">
        <v>2004</v>
      </c>
      <c r="E10" s="15">
        <f>SUM(J10:N10)</f>
        <v>94.699999999999989</v>
      </c>
      <c r="F10" s="3" t="str">
        <f>IF(OR(AND(AH10&gt;=AL$13,AI10&gt;=AL$17,AI10&lt;&gt;"",AG10=""),AND(BD10&gt;=BH$13,BE10&gt;=BH$17,BE10&lt;&gt;"",BC10=""),AND(BZ10&gt;=CD$13,CA10&gt;=CD$17,CA10&lt;&gt;"",BY10=""),AND(CW10&gt;=DA$13,CX10&gt;=DA$17,CX10&lt;&gt;""),AND(DR10&gt;=DV$13,DS10&gt;=DV$17,DS10&lt;&gt;""),AND(EM10&gt;=EQ$13,EN10&gt;=EQ$17,EN10&lt;&gt;""),AND(FH10&gt;=FL$13,FI10&gt;=FL$17,FI10&lt;&gt;""),AND(GC10&gt;=GG$13,GD10&gt;=GG$17,GD10&lt;&gt;""),AND(GX10&gt;=HB$13,GY10&gt;=HB$17,GY10&lt;&gt;""),AND(HS10&gt;=HW$13,HT10&gt;=HW$17,HT10&lt;&gt;""),AND(IN10&gt;=IR$13,IO10&gt;=IR$17,IO10&lt;&gt;""),AND(JI10&gt;=JM$13,JJ10&gt;=JM$17,JJ10&lt;&gt;""),AND(KD10&gt;=KH$13,KE10&gt;=KH$17,KE10&lt;&gt;""),AND(KY10&gt;=LC$13,KZ10&gt;=LC$17,KZ10&lt;&gt;""),AND(LT10&gt;=LX$13,LU10&gt;=LX$17,LU10&lt;&gt;"")),"P","")</f>
        <v/>
      </c>
      <c r="G10" s="3" t="str">
        <f>IF(OR(AND(AI10&gt;=AL$17,AI10&lt;&gt;"",AG10=""),AND(BE10&gt;=BH$17,BE10&lt;&gt;"",BC10=""),AND(CA10&gt;=CD$17,CA10&lt;&gt;"",BY10=""),AND(CX10&gt;=DA$17,CX10&lt;&gt;""),AND(DS10&gt;=DV$17,DS10&lt;&gt;""),AND(EN10&gt;=EQ$17,EN10&lt;&gt;""),AND(FI10&gt;=FL$17,FI10&lt;&gt;""),AND(GD10&gt;=GG$17,GD10&lt;&gt;""),AND(GY10&gt;=HB$17,GY10&lt;&gt;""),AND(HT10&gt;=HW$17,HT10&lt;&gt;""),AND(IO10&gt;=IR$17,IO10&lt;&gt;""),AND(JJ10&gt;=JM$17,JJ10&lt;&gt;""),AND(KE10&gt;=KH$17,KE10&lt;&gt;""),AND(KZ10&gt;=LC$17,KZ10&lt;&gt;""),AND(LU10&gt;=LX$17,LU10&lt;&gt;"")),"P","")</f>
        <v/>
      </c>
      <c r="H10" s="116" t="str">
        <f>IF(AND(G10="P",F10=""),"No DD",IF(OR(AND(AI10&gt;=AL$20,AI10&lt;&gt;"",AH10&gt;=AL$16,AH10&lt;&gt;"",AG10=""),AND(BE10&gt;=BH$20,BE10&lt;&gt;"",BD10&gt;=BH$16,BD10&lt;&gt;"",BC10=""),AND(CA10&gt;=CD$20,CA10&lt;&gt;"",BZ10&gt;=CD$16,BZ10&lt;&gt;"",BY10=""),AND(CX10&gt;=DA$20,CX10&lt;&gt;"",CW10&gt;=DA$16,CW10&lt;&gt;""),AND(DS10&gt;=DV$20,DS10&lt;&gt;"",DR10&gt;=DV$16,DR10&lt;&gt;""),AND(EN10&gt;=EQ$20,EN10&lt;&gt;"",EM10&gt;=EQ$16,EM10&lt;&gt;""),AND(FI10&gt;=FL$20,FI10&lt;&gt;"",FH10&gt;=FL$16,FH10&lt;&gt;""),AND(GD10&gt;=GG$20,GD10&lt;&gt;"",GC10&gt;=GG$16,GC10&lt;&gt;""),AND(GY10&gt;=HB$20,GY10&lt;&gt;"",GX10&gt;=HB$16,GX10&lt;&gt;""),AND(HT10&gt;=HW$20,HT10&lt;&gt;"",HS10&gt;=HW$16,HS10&lt;&gt;""),AND(IO10&gt;=IR$20,IO10&lt;&gt;"",IN10&gt;=IR$16,IN10&lt;&gt;""),AND(JJ10&gt;=JM$20,JJ10&lt;&gt;"",JI10&gt;=JM$16,JI10&lt;&gt;""),AND(KE10&gt;=KH$20,KE10&lt;&gt;"",KD10&gt;=KH$16,KD10&lt;&gt;""),AND(KZ10&gt;=LC$20,KZ10&lt;&gt;"",KY10&gt;=LC$16,KY10&lt;&gt;""),AND(LU10&gt;=LX$20,LU10&lt;&gt;"",LT10&gt;=LX$16,LT10&lt;&gt;"")),"Merit",IF(OR(AND(AI10&gt;=AL$19,AI10&lt;&gt;"",AH10&gt;=AL$15,AH10&lt;&gt;"",AG10=""),AND(BE10&gt;=BH$19,BE10&lt;&gt;"",BD10&gt;=BH$15,BD10&lt;&gt;"",BC10=""),AND(CA10&gt;=CD$19,CA10&lt;&gt;"",BZ10&gt;=CD$15,BZ10&lt;&gt;"",BY10=""),AND(CX10&gt;=DA$19,CX10&lt;&gt;"",CW10&gt;=DA$15,CW10&lt;&gt;""),AND(DS10&gt;=DV$19,DS10&lt;&gt;"",DR10&gt;=DV$15,DR10&lt;&gt;""),AND(EN10&gt;=EQ$19,EN10&lt;&gt;"",EM10&gt;=EQ$15,EM10&lt;&gt;""),AND(FI10&gt;=FL$19,FI10&lt;&gt;"",FH10&gt;=FL$15,FH10&lt;&gt;""),AND(GD10&gt;=GG$19,GD10&lt;&gt;"",GC10&gt;=GG$15,GC10&lt;&gt;""),AND(GY10&gt;=HB$19,GY10&lt;&gt;"",GX10&gt;=HB$15,GX10&lt;&gt;""),AND(HT10&gt;=HW$19,HT10&lt;&gt;"",HS10&gt;=HW$15,HS10&lt;&gt;""),AND(IO10&gt;=IR$19,IO10&lt;&gt;"",IN10&gt;=IR$15,IN10&lt;&gt;""),AND(JJ10&gt;=JM$19,JJ10&lt;&gt;"",JI10&gt;=JM$15,JI10&lt;&gt;""),AND(KE10&gt;=KH$19,KE10&lt;&gt;"",KD10&gt;=KH$15,KD10&lt;&gt;""),AND(KZ10&gt;=LC$19,KZ10&lt;&gt;"",KY10&gt;=LC$15,KY10&lt;&gt;""),AND(LU10&gt;=LX$19,LU10&lt;&gt;"",LT10&gt;=LX$15,LT10&lt;&gt;"")),"Excellence",IF(OR(AND(AI10&gt;=AL$18,AI10&lt;&gt;"",AH10&gt;=AL$14,AH10&lt;&gt;"",AG10=""),AND(BE10&gt;=BH$18,BE10&lt;&gt;"",BD10&gt;=BH$14,BD10&lt;&gt;"",BC10=""),AND(CA10&gt;=CD$18,CA10&lt;&gt;"",BZ10&gt;=CD$14,BZ10&lt;&gt;"",BY10=""),AND(CX10&gt;=DA$18,CX10&lt;&gt;"",CW10&gt;=DA$14,CW10&lt;&gt;""),AND(DS10&gt;=DV$18,DS10&lt;&gt;"",DR10&gt;=DV$14,DR10&lt;&gt;""),AND(EN10&gt;=EQ$18,EN10&lt;&gt;"",EM10&gt;=EQ$14,EM10&lt;&gt;""),AND(FI10&gt;=FL$18,FI10&lt;&gt;"",FH10&gt;=FL$14,FH10&lt;&gt;""),AND(GD10&gt;=GG$18,GD10&lt;&gt;"",GC10&gt;=GG$14,GC10&lt;&gt;""),AND(GY10&gt;=HB$18,GY10&lt;&gt;"",GX10&gt;=HB$14,GX10&lt;&gt;""),AND(HT10&gt;=HW$18,HT10&lt;&gt;"",HS10&gt;=HW$14,HS10&lt;&gt;""),AND(IO10&gt;=IR$18,IO10&lt;&gt;"",IN10&gt;=IR$14,IN10&lt;&gt;""),AND(JJ10&gt;=JM$18,JJ10&lt;&gt;"",JI10&gt;=JM$14,JI10&lt;&gt;""),AND(KE10&gt;=KH$18,KE10&lt;&gt;"",KD10&gt;=KH$14,KD10&lt;&gt;""),AND(KZ10&gt;=LC$18,KZ10&lt;&gt;"",KY10&gt;=LC$14,KY10&lt;&gt;""),AND(LU10&gt;=LX$18,LU10&lt;&gt;"",LT10&gt;=LX$14,LT10&lt;&gt;"")),"Worlds Team",IF(OR(AND(AI10&gt;=AL$17,AI10&lt;&gt;"",AH10&gt;=AL$13,AH10&lt;&gt;"",AG10=""),AND(BE10&gt;=BH$17,BE10&lt;&gt;"",BD10&gt;=BH$13,BD10&lt;&gt;"",BC10=""),AND(CA10&gt;=CD$17,CA10&lt;&gt;"",BZ10&gt;=CD$13,BZ10&lt;&gt;"",BY10=""),AND(CX10&gt;=DA$17,CX10&lt;&gt;"",CW10&gt;=DA$13,CW10&lt;&gt;""),AND(DS10&gt;=DV$17,DS10&lt;&gt;"",DR10&gt;=DV$13,DR10&lt;&gt;""),AND(EN10&gt;=EQ$17,EN10&lt;&gt;"",EM10&gt;=EQ$13,EM10&lt;&gt;""),AND(FI10&gt;=FL$17,FI10&lt;&gt;"",FH10&gt;=FL$13,FH10&lt;&gt;""),AND(GD10&gt;=GG$17,GD10&lt;&gt;"",GC10&gt;=GG$13,GC10&lt;&gt;""),AND(GY10&gt;=HB$17,GY10&lt;&gt;"",GX10&gt;=HB$13,GX10&lt;&gt;""),AND(HT10&gt;=HW$17,HT10&lt;&gt;"",HS10&gt;=HW$13,HS10&lt;&gt;""),AND(IO10&gt;=IR$17,IO10&lt;&gt;"",IN10&gt;=IR$13,IN10&lt;&gt;""),AND(JJ10&gt;=JM$17,JJ10&lt;&gt;"",JI10&gt;=JM$13,JI10&lt;&gt;""),AND(KE10&gt;=KH$17,KE10&lt;&gt;"",KD10&gt;=KH$13,KD10&lt;&gt;""),AND(KZ10&gt;=LC$17,KZ10&lt;&gt;"",KY10&gt;=LC$13,KY10&lt;&gt;""),AND(LU10&gt;=LX$17,LU10&lt;&gt;"",LT10&gt;=LX$13,LT10&lt;&gt;"")),"National Team","")))))</f>
        <v/>
      </c>
      <c r="I10" s="3" t="str">
        <f>IF(OR(H10="Worlds Team",H10="Excellence",H10="Merit"),"P","")</f>
        <v/>
      </c>
      <c r="J10" s="14">
        <f>MAX(AI10,BE10,CA10)</f>
        <v>44.1</v>
      </c>
      <c r="K10" s="14" t="str">
        <f>IF(J10=0,"",IF(J10=CA10,$BI$1,IF(J10=BE10,$AM$1,IF(J10=AI10,$Q$1,""))))</f>
        <v>2021 2nd Virtual Technical Trial</v>
      </c>
      <c r="L10" s="14">
        <f>MAX(AK10,BG10,CC10)</f>
        <v>50.599999999999994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72"/>
      <c r="AH10" s="11" t="str">
        <f>IF(SUM(R10,V10)&gt;0,SUM(R10,V10),"")</f>
        <v/>
      </c>
      <c r="AI10" s="11" t="str">
        <f>IF(SUM(Q10:R10,T10:V10,X10)-S10-W10&gt;0,SUM(Q10:R10,T10:V10,X10)-S10-W10,"")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>IF(SUM(AN10,AR10)&gt;0,SUM(AN10,AR10),"")</f>
        <v/>
      </c>
      <c r="BE10" s="14" t="str">
        <f>IF(SUM(AM10:AN10,AP10:AR10,AT10)-AO10-AS10&gt;0,SUM(AM10:AN10,AP10:AR10,AT10)-AO10-AS10,"")</f>
        <v/>
      </c>
      <c r="BF10" s="14"/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37">
        <v>23.8</v>
      </c>
      <c r="BJ10" s="37">
        <v>1.2</v>
      </c>
      <c r="BK10" s="37">
        <v>0</v>
      </c>
      <c r="BL10" s="37">
        <v>0</v>
      </c>
      <c r="BM10" s="37">
        <v>17.2</v>
      </c>
      <c r="BN10" s="37">
        <v>1.6</v>
      </c>
      <c r="BO10" s="37">
        <v>0</v>
      </c>
      <c r="BP10" s="37">
        <v>0.3</v>
      </c>
      <c r="BQ10" s="37">
        <v>24</v>
      </c>
      <c r="BR10" s="37">
        <v>3.2</v>
      </c>
      <c r="BS10" s="37">
        <v>0</v>
      </c>
      <c r="BT10" s="37">
        <v>0</v>
      </c>
      <c r="BU10" s="37">
        <v>21.2</v>
      </c>
      <c r="BV10" s="37">
        <v>1.9</v>
      </c>
      <c r="BW10" s="37">
        <v>0</v>
      </c>
      <c r="BX10" s="37">
        <v>0.3</v>
      </c>
      <c r="BY10" s="72"/>
      <c r="BZ10" s="11">
        <f>IF(SUM(BJ10,BN10)&gt;0,SUM(BJ10,BN10),"")</f>
        <v>2.8</v>
      </c>
      <c r="CA10" s="11">
        <f>IF(SUM(BI10:BJ10,BL10:BN10,BP10)-BK10-BO10&gt;0,SUM(BI10:BJ10,BL10:BN10,BP10)-BK10-BO10,"")</f>
        <v>44.1</v>
      </c>
      <c r="CB10" s="11"/>
      <c r="CC10" s="11">
        <f>IF(SUM(BQ10:BR10,BT10:BV10,BX10)-SUM(BS10,BW10)&gt;0,SUM(BQ10:BR10,BT10:BV10,BX10)-SUM(BS10,BW10),"")</f>
        <v>50.599999999999994</v>
      </c>
      <c r="CD10" s="11">
        <f>IF(SUM(CA10,CC10)&gt;0,SUM(CA10,CC10),"")</f>
        <v>94.699999999999989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11.9</v>
      </c>
      <c r="LZ10" s="61">
        <f>IF($BY10="P",BJ10,(BJ10+AN10)/2)</f>
        <v>0.6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8.6</v>
      </c>
      <c r="MD10" s="61">
        <f>IF($BY10="P",BN10,(BN10+AR10)/2)</f>
        <v>0.8</v>
      </c>
      <c r="ME10" s="61">
        <f>IF($BY10="P",BO10,(BO10+AS10)/2)</f>
        <v>0</v>
      </c>
      <c r="MF10" s="61">
        <f>IF($BY10="P",BP10,(BP10+AT10)/2)</f>
        <v>0.15</v>
      </c>
      <c r="MG10" s="61">
        <f>IF($BY10="P",BQ10,(BQ10+AU10)/2)</f>
        <v>12</v>
      </c>
      <c r="MH10" s="61">
        <f>IF($BY10="P",BR10,(BR10+AV10)/2)</f>
        <v>1.6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10.6</v>
      </c>
      <c r="ML10" s="61">
        <f>IF($BY10="P",BV10,(BV10+AZ10)/2)</f>
        <v>0.95</v>
      </c>
      <c r="MM10" s="61">
        <f>IF($BY10="P",BW10,(BW10+BA10)/2)</f>
        <v>0</v>
      </c>
      <c r="MN10" s="61">
        <f>IF($BY10="P",BX10,(BX10+BB10)/2)</f>
        <v>0.15</v>
      </c>
      <c r="MO10" s="72" t="s">
        <v>52</v>
      </c>
      <c r="MP10" s="11">
        <f>IF(SUM(LZ10,MD10)&gt;0,SUM(LZ10,MD10),"")</f>
        <v>1.4</v>
      </c>
      <c r="MQ10" s="11">
        <f>IF(SUM(LY10:LZ10,MB10:MD10,MF10)-MA10-ME10&gt;0,SUM(LY10:LZ10,MB10:MD10,MF10)-MA10-ME10,"")</f>
        <v>22.05</v>
      </c>
      <c r="MR10" s="11">
        <f>IF(SUM(MH10,ML10)&gt;0,SUM(MH10,ML10),"")</f>
        <v>2.5499999999999998</v>
      </c>
      <c r="MS10" s="11">
        <f>IF(SUM(MG10:MH10,MJ10:ML10,MN10)-SUM(MI10,MM10)&gt;0,SUM(MG10:MH10,MJ10:ML10,MN10)-SUM(MI10,MM10),"")</f>
        <v>25.299999999999997</v>
      </c>
      <c r="MT10" s="11">
        <f>IF(SUM(MQ10,MS10)&gt;0,SUM(MQ10,MS10),"")</f>
        <v>47.349999999999994</v>
      </c>
    </row>
    <row r="11" spans="1:358" ht="17" x14ac:dyDescent="0.2">
      <c r="N11" s="18"/>
      <c r="O11" s="18"/>
      <c r="P11" s="1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38"/>
      <c r="JZ11" s="38"/>
      <c r="KA11" s="38"/>
      <c r="KB11" s="38"/>
      <c r="KC11" s="38"/>
    </row>
    <row r="12" spans="1:358" ht="17" x14ac:dyDescent="0.2">
      <c r="N12" s="18"/>
      <c r="O12" s="18"/>
      <c r="P12" s="18"/>
    </row>
    <row r="13" spans="1:358" ht="17" x14ac:dyDescent="0.2">
      <c r="B13" s="62" t="s">
        <v>50</v>
      </c>
      <c r="N13" s="18"/>
      <c r="O13" s="18"/>
      <c r="P13" s="18"/>
      <c r="AH13" s="49"/>
      <c r="AL13" s="56">
        <v>7.2</v>
      </c>
      <c r="BD13" s="49"/>
      <c r="BH13" s="56">
        <v>7.2</v>
      </c>
      <c r="BZ13" s="49"/>
      <c r="CD13" s="56">
        <v>7.2</v>
      </c>
      <c r="CW13" s="49"/>
      <c r="DA13" s="56">
        <v>7.2</v>
      </c>
      <c r="DR13" s="49"/>
      <c r="DV13" s="56">
        <v>7.2</v>
      </c>
      <c r="EM13" s="49"/>
      <c r="EQ13" s="56">
        <v>7.2</v>
      </c>
      <c r="FH13" s="49"/>
      <c r="FL13" s="56">
        <v>7.2</v>
      </c>
      <c r="GC13" s="49"/>
      <c r="GG13" s="56">
        <v>7.2</v>
      </c>
      <c r="GX13" s="49"/>
      <c r="HB13" s="56">
        <v>7.2</v>
      </c>
      <c r="HS13" s="49"/>
      <c r="HW13" s="56">
        <v>7.2</v>
      </c>
      <c r="IN13" s="49"/>
      <c r="IR13" s="56">
        <v>7.2</v>
      </c>
      <c r="JI13" s="49"/>
      <c r="JM13" s="56">
        <v>7.2</v>
      </c>
      <c r="KD13" s="49"/>
      <c r="KH13" s="56">
        <v>7.2</v>
      </c>
      <c r="KY13" s="49"/>
      <c r="LC13" s="56">
        <v>7.2</v>
      </c>
      <c r="LT13" s="49"/>
      <c r="LX13" s="56">
        <v>7.2</v>
      </c>
    </row>
    <row r="14" spans="1:358" ht="17" hidden="1" x14ac:dyDescent="0.2">
      <c r="B14" s="83" t="s">
        <v>49</v>
      </c>
      <c r="N14" s="18"/>
      <c r="O14" s="18"/>
      <c r="P14" s="18"/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t="17" hidden="1" x14ac:dyDescent="0.2">
      <c r="A15" s="49"/>
      <c r="B15" s="84" t="s">
        <v>62</v>
      </c>
      <c r="C15" s="48"/>
      <c r="N15" s="18"/>
      <c r="O15" s="18"/>
      <c r="P15" s="1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t="17" hidden="1" x14ac:dyDescent="0.2">
      <c r="A16" s="49"/>
      <c r="B16" s="110" t="s">
        <v>72</v>
      </c>
      <c r="C16" s="48"/>
      <c r="N16" s="18"/>
      <c r="O16" s="18"/>
      <c r="P16" s="1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ht="17" x14ac:dyDescent="0.2">
      <c r="A17" s="49"/>
      <c r="B17" s="108" t="s">
        <v>47</v>
      </c>
      <c r="C17" s="48"/>
      <c r="N17" s="18"/>
      <c r="O17" s="18"/>
      <c r="P17" s="18"/>
      <c r="AH17" s="49"/>
      <c r="AL17" s="109">
        <v>60</v>
      </c>
      <c r="BD17" s="49"/>
      <c r="BH17" s="109">
        <v>60</v>
      </c>
      <c r="BZ17" s="49"/>
      <c r="CD17" s="109">
        <v>60</v>
      </c>
      <c r="CW17" s="49"/>
      <c r="DA17" s="109">
        <v>60</v>
      </c>
      <c r="DR17" s="49"/>
      <c r="DV17" s="109">
        <v>60</v>
      </c>
      <c r="EM17" s="49"/>
      <c r="EQ17" s="109">
        <v>60</v>
      </c>
      <c r="FH17" s="49"/>
      <c r="FL17" s="109">
        <v>60</v>
      </c>
      <c r="GC17" s="49"/>
      <c r="GG17" s="109">
        <v>60</v>
      </c>
      <c r="GX17" s="49"/>
      <c r="HB17" s="109">
        <v>60</v>
      </c>
      <c r="HS17" s="49"/>
      <c r="HW17" s="109">
        <v>60</v>
      </c>
      <c r="IN17" s="49"/>
      <c r="IR17" s="109">
        <v>60</v>
      </c>
      <c r="JI17" s="49"/>
      <c r="JM17" s="109">
        <v>60</v>
      </c>
      <c r="KD17" s="49"/>
      <c r="KH17" s="109">
        <v>60</v>
      </c>
      <c r="KY17" s="49"/>
      <c r="LC17" s="109">
        <v>60</v>
      </c>
      <c r="LT17" s="49"/>
      <c r="LX17" s="109">
        <v>60</v>
      </c>
    </row>
    <row r="18" spans="1:336" ht="17" hidden="1" x14ac:dyDescent="0.2">
      <c r="A18" s="49"/>
      <c r="B18" s="64" t="s">
        <v>48</v>
      </c>
      <c r="C18" s="48"/>
      <c r="N18" s="18"/>
      <c r="O18" s="18"/>
      <c r="P18" s="1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t="17" hidden="1" x14ac:dyDescent="0.2">
      <c r="A19" s="49"/>
      <c r="B19" s="106" t="s">
        <v>60</v>
      </c>
      <c r="C19" s="48"/>
      <c r="N19" s="18"/>
      <c r="O19" s="18"/>
      <c r="P19" s="1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t="17" hidden="1" x14ac:dyDescent="0.2">
      <c r="A20" s="49"/>
      <c r="B20" s="66" t="s">
        <v>34</v>
      </c>
      <c r="C20" s="48"/>
      <c r="N20" s="18"/>
      <c r="O20" s="18"/>
      <c r="P20" s="1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x14ac:dyDescent="0.2">
      <c r="A23" s="49"/>
      <c r="B23" s="49"/>
      <c r="C23" s="48"/>
    </row>
    <row r="24" spans="1:336" x14ac:dyDescent="0.2">
      <c r="A24" s="49"/>
      <c r="B24" s="49"/>
      <c r="C24" s="48"/>
    </row>
    <row r="25" spans="1:336" x14ac:dyDescent="0.2">
      <c r="A25" s="6"/>
      <c r="B25" s="6"/>
      <c r="C25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0">
      <sortCondition descending="1" ref="F1:F11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10">
    <cfRule type="expression" dxfId="59" priority="1" stopIfTrue="1">
      <formula>IF($AG4&lt;&gt;"",1,0)</formula>
    </cfRule>
  </conditionalFormatting>
  <conditionalFormatting sqref="AM4:BH10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0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AL$16</formula>
      <formula>1000</formula>
    </cfRule>
    <cfRule type="cellIs" dxfId="46" priority="40653" operator="between">
      <formula>AL$15</formula>
      <formula>AL$16</formula>
    </cfRule>
    <cfRule type="cellIs" dxfId="45" priority="40654" operator="between">
      <formula>AL$14</formula>
      <formula>AL$15</formula>
    </cfRule>
    <cfRule type="cellIs" dxfId="44" priority="40655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AL$20</formula>
      <formula>1000</formula>
    </cfRule>
    <cfRule type="cellIs" dxfId="42" priority="40835" operator="between">
      <formula>AL$19</formula>
      <formula>AL$20</formula>
    </cfRule>
    <cfRule type="cellIs" dxfId="41" priority="40836" operator="between">
      <formula>AL$18</formula>
      <formula>AL$19</formula>
    </cfRule>
    <cfRule type="cellIs" dxfId="40" priority="40837" operator="between">
      <formula>AL$17</formula>
      <formula>AL$18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136</v>
      </c>
      <c r="J1" s="129" t="s">
        <v>10</v>
      </c>
      <c r="K1" s="128" t="s">
        <v>32</v>
      </c>
      <c r="L1" s="129" t="s">
        <v>152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71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8" t="s">
        <v>70</v>
      </c>
      <c r="C4" s="4" t="s">
        <v>3</v>
      </c>
      <c r="D4" s="5">
        <v>2003</v>
      </c>
      <c r="E4" s="15">
        <f>SUM(J4:N4)</f>
        <v>212.82499999999999</v>
      </c>
      <c r="F4" s="3" t="str">
        <f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73.725000000000009</v>
      </c>
      <c r="K4" s="14" t="str">
        <f>IF(J4=0,"",IF(J4=CA4,$BI$1,IF(J4=BE4,$AM$1,IF(J4=AI4,$Q$1,""))))</f>
        <v>2021 1st Virtual Technical Trial</v>
      </c>
      <c r="L4" s="14">
        <f>IF(J4=AI4,MAX(BH4,CD4),IF(J4=BE4,MAX(AL4,CD4),MAX(AL4,BH4)))</f>
        <v>139.1</v>
      </c>
      <c r="M4" s="14" t="str">
        <f>IF(L4=0,"",IF(AND(J4&lt;&gt;CA4,L4=CD4),$BI$1,IF(AND(J4&lt;&gt;BE4,L4=BH4),$AM$1,IF(L4=AL4,$Q$1,""))))</f>
        <v>2021 2nd Virtual Technical Trial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8.4</v>
      </c>
      <c r="S4" s="61">
        <v>1.2</v>
      </c>
      <c r="T4" s="61">
        <v>0</v>
      </c>
      <c r="U4" s="61">
        <v>27.8</v>
      </c>
      <c r="V4" s="61">
        <v>7.3</v>
      </c>
      <c r="W4" s="61">
        <v>0.9</v>
      </c>
      <c r="X4" s="61">
        <v>0</v>
      </c>
      <c r="Y4" s="61">
        <v>28.6</v>
      </c>
      <c r="Z4" s="61">
        <v>7.6</v>
      </c>
      <c r="AA4" s="61">
        <v>0.9</v>
      </c>
      <c r="AB4" s="61">
        <v>0</v>
      </c>
      <c r="AC4" s="61">
        <v>28.7</v>
      </c>
      <c r="AD4" s="61">
        <v>8</v>
      </c>
      <c r="AE4" s="61">
        <v>0</v>
      </c>
      <c r="AF4" s="61">
        <v>0</v>
      </c>
      <c r="AG4" s="72"/>
      <c r="AH4" s="11">
        <f>IF(SUM(R4,V4)&gt;0,SUM(R4,V4),"")</f>
        <v>15.7</v>
      </c>
      <c r="AI4" s="11">
        <f>IF(SUM(Q4:R4,T4:V4,X4)-SUM(S4,W4)&gt;0,SUM(Q4:R4,T4:V4,X4)-SUM(S4,W4),"")</f>
        <v>66.600000000000009</v>
      </c>
      <c r="AJ4" s="11">
        <f>IF(SUM(Z4,AD4)&gt;0,SUM(Z4,AD4),"")</f>
        <v>15.6</v>
      </c>
      <c r="AK4" s="11">
        <f>IF(SUM(Y4:Z4,AB4:AD4,AF4)-SUM(AA4,AE4)&gt;0,SUM(Y4:Z4,AB4:AD4,AF4)-SUM(AA4,AE4),"")</f>
        <v>72</v>
      </c>
      <c r="AL4" s="11">
        <f>IF(SUM(AI4,AK4)&gt;0,SUM(AI4,AK4),"")</f>
        <v>138.60000000000002</v>
      </c>
      <c r="AM4" s="36">
        <v>28.8</v>
      </c>
      <c r="AN4" s="36">
        <v>8</v>
      </c>
      <c r="AO4" s="36">
        <v>0.3</v>
      </c>
      <c r="AP4" s="36">
        <v>0.3</v>
      </c>
      <c r="AQ4" s="36">
        <v>28.824999999999999</v>
      </c>
      <c r="AR4" s="36">
        <v>8.4</v>
      </c>
      <c r="AS4" s="36">
        <v>0.3</v>
      </c>
      <c r="AT4" s="36">
        <v>0</v>
      </c>
      <c r="AU4" s="36">
        <v>26.774999999999999</v>
      </c>
      <c r="AV4" s="36">
        <v>5.6</v>
      </c>
      <c r="AW4" s="36">
        <v>0.7</v>
      </c>
      <c r="AX4" s="36">
        <v>0</v>
      </c>
      <c r="AY4" s="36">
        <v>28.225000000000001</v>
      </c>
      <c r="AZ4" s="36">
        <v>7.3</v>
      </c>
      <c r="BA4" s="36">
        <v>0.3</v>
      </c>
      <c r="BB4" s="36">
        <v>0</v>
      </c>
      <c r="BC4" s="73"/>
      <c r="BD4" s="14">
        <f>IF(SUM(AN4,AR4)&gt;0,SUM(AN4,AR4),"")</f>
        <v>16.399999999999999</v>
      </c>
      <c r="BE4" s="14">
        <f>IF(SUM(AM4:AN4,AP4:AR4,AT4)-SUM(AO4,AS4)&gt;0,SUM(AM4:AN4,AP4:AR4,AT4)-SUM(AO4,AS4),"")</f>
        <v>73.725000000000009</v>
      </c>
      <c r="BF4" s="14">
        <f>IF(SUM(AV4,AZ4)&gt;0,SUM(AV4,AZ4),"")</f>
        <v>12.899999999999999</v>
      </c>
      <c r="BG4" s="14">
        <f>IF(SUM(AU4:AV4,AX4:AZ4,BB4)-SUM(AW4,BA4)&gt;0,SUM(AU4:AV4,AX4:AZ4,BB4)-SUM(AW4,BA4),"")</f>
        <v>66.900000000000006</v>
      </c>
      <c r="BH4" s="14">
        <f>IF(SUM(BE4,BG4)&gt;0,SUM(BE4,BG4),"")</f>
        <v>140.625</v>
      </c>
      <c r="BI4" s="61">
        <v>25.2</v>
      </c>
      <c r="BJ4" s="61">
        <v>9.1999999999999993</v>
      </c>
      <c r="BK4" s="61">
        <v>1.2</v>
      </c>
      <c r="BL4" s="61">
        <v>0.3</v>
      </c>
      <c r="BM4" s="61">
        <v>27.8</v>
      </c>
      <c r="BN4" s="61">
        <v>9.1999999999999993</v>
      </c>
      <c r="BO4" s="61">
        <v>1.2</v>
      </c>
      <c r="BP4" s="61">
        <v>0.3</v>
      </c>
      <c r="BQ4" s="61">
        <v>25.6</v>
      </c>
      <c r="BR4" s="61">
        <v>8.1</v>
      </c>
      <c r="BS4" s="61">
        <v>0.3</v>
      </c>
      <c r="BT4" s="61">
        <v>0.3</v>
      </c>
      <c r="BU4" s="61">
        <v>27.7</v>
      </c>
      <c r="BV4" s="61">
        <v>8.1</v>
      </c>
      <c r="BW4" s="61">
        <v>0</v>
      </c>
      <c r="BX4" s="61">
        <v>0</v>
      </c>
      <c r="BY4" s="72"/>
      <c r="BZ4" s="11">
        <f>IF(SUM(BJ4,BN4)&gt;0,SUM(BJ4,BN4),"")</f>
        <v>18.399999999999999</v>
      </c>
      <c r="CA4" s="11">
        <f>IF(SUM(BI4:BJ4,BL4:BN4,BP4)-SUM(BK4,BO4)&gt;0,SUM(BI4:BJ4,BL4:BN4,BP4)-SUM(BK4,BO4),"")</f>
        <v>69.599999999999994</v>
      </c>
      <c r="CB4" s="11">
        <f>IF(SUM(BR4,BV4)&gt;0,SUM(BR4,BV4),"")</f>
        <v>16.2</v>
      </c>
      <c r="CC4" s="11">
        <f>IF(SUM(BQ4:BR4,BT4:BV4,BX4)-SUM(BS4,BW4)&gt;0,SUM(BQ4:BR4,BT4:BV4,BX4)-SUM(BS4,BW4),"")</f>
        <v>69.5</v>
      </c>
      <c r="CD4" s="11">
        <f>IF(SUM(CA4,CC4)&gt;0,SUM(CA4,CC4),"")</f>
        <v>139.1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27</v>
      </c>
      <c r="LZ4" s="61">
        <f>IF($BY4="P",BJ4,(BJ4+AN4)/2)</f>
        <v>8.6</v>
      </c>
      <c r="MA4" s="61">
        <f>IF($BY4="P",BK4,(BK4+AO4)/2)</f>
        <v>0.75</v>
      </c>
      <c r="MB4" s="61">
        <f>IF($BY4="P",BL4,(BL4+AP4)/2)</f>
        <v>0.3</v>
      </c>
      <c r="MC4" s="61">
        <f>IF($BY4="P",BM4,(BM4+AQ4)/2)</f>
        <v>28.3125</v>
      </c>
      <c r="MD4" s="61">
        <f>IF($BY4="P",BN4,(BN4+AR4)/2)</f>
        <v>8.8000000000000007</v>
      </c>
      <c r="ME4" s="61">
        <f>IF($BY4="P",BO4,(BO4+AS4)/2)</f>
        <v>0.75</v>
      </c>
      <c r="MF4" s="61">
        <f>IF($BY4="P",BP4,(BP4+AT4)/2)</f>
        <v>0.15</v>
      </c>
      <c r="MG4" s="61">
        <f>IF($BY4="P",BQ4,(BQ4+AU4)/2)</f>
        <v>26.1875</v>
      </c>
      <c r="MH4" s="61">
        <f>IF($BY4="P",BR4,(BR4+AV4)/2)</f>
        <v>6.85</v>
      </c>
      <c r="MI4" s="61">
        <f>IF($BY4="P",BS4,(BS4+AW4)/2)</f>
        <v>0.5</v>
      </c>
      <c r="MJ4" s="61">
        <f>IF($BY4="P",BT4,(BT4+AX4)/2)</f>
        <v>0.15</v>
      </c>
      <c r="MK4" s="61">
        <f>IF($BY4="P",BU4,(BU4+AY4)/2)</f>
        <v>27.962499999999999</v>
      </c>
      <c r="ML4" s="61">
        <f>IF($BY4="P",BV4,(BV4+AZ4)/2)</f>
        <v>7.6999999999999993</v>
      </c>
      <c r="MM4" s="61">
        <f>IF($BY4="P",BW4,(BW4+BA4)/2)</f>
        <v>0.15</v>
      </c>
      <c r="MN4" s="61">
        <f>IF($BY4="P",BX4,(BX4+BB4)/2)</f>
        <v>0</v>
      </c>
      <c r="MO4" s="72" t="s">
        <v>52</v>
      </c>
      <c r="MP4" s="11">
        <f>IF(SUM(LZ4,MD4)&gt;0,SUM(LZ4,MD4),"")</f>
        <v>17.399999999999999</v>
      </c>
      <c r="MQ4" s="11">
        <f>IF(SUM(LY4:LZ4,MB4:MD4,MF4)-SUM(MA4,ME4)&gt;0,SUM(LY4:LZ4,MB4:MD4,MF4)-SUM(MA4,ME4),"")</f>
        <v>71.662500000000009</v>
      </c>
      <c r="MR4" s="11">
        <f>IF(SUM(MH4,ML4)&gt;0,SUM(MH4,ML4),"")</f>
        <v>14.549999999999999</v>
      </c>
      <c r="MS4" s="11">
        <f>IF(SUM(MG4:MH4,MJ4:ML4,MN4)-SUM(MI4,MM4)&gt;0,SUM(MG4:MH4,MJ4:ML4,MN4)-SUM(MI4,MM4),"")</f>
        <v>68.199999999999989</v>
      </c>
      <c r="MT4" s="11">
        <f>IF(SUM(MQ4,MS4)&gt;0,SUM(MQ4,MS4),"")</f>
        <v>139.86250000000001</v>
      </c>
    </row>
    <row r="5" spans="1:358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8" t="s">
        <v>81</v>
      </c>
      <c r="C5" s="4" t="s">
        <v>5</v>
      </c>
      <c r="D5" s="5">
        <v>2003</v>
      </c>
      <c r="E5" s="15">
        <f>SUM(J5:N5)</f>
        <v>211.2</v>
      </c>
      <c r="F5" s="3" t="str">
        <f>IF(OR(AND(AH5&gt;=AL$26,AI5&gt;=AL$30,AI5&lt;&gt;"",AG5=""),AND(BD5&gt;=BH$26,BE5&gt;=BH$30,BE5&lt;&gt;"",BC5=""),AND(BZ5&gt;=CD$26,CA5&gt;=CD$30,CA5&lt;&gt;"",BY5=""),AND(CW5&gt;=DA$26,CX5&gt;=DA$30,CX5&lt;&gt;""),AND(DR5&gt;=DV$26,DS5&gt;=DV$30,DS5&lt;&gt;""),AND(EM5&gt;=EQ$26,EN5&gt;=EQ$30,EN5&lt;&gt;""),AND(FH5&gt;=FL$26,FI5&gt;=FL$30,FI5&lt;&gt;""),AND(GC5&gt;=GG$26,GD5&gt;=GG$30,GD5&lt;&gt;""),AND(GX5&gt;=HB$26,GY5&gt;=HB$30,GY5&lt;&gt;""),AND(HS5&gt;=HW$26,HT5&gt;=HW$30,HT5&lt;&gt;""),AND(IN5&gt;=IR$26,IO5&gt;=IR$30,IO5&lt;&gt;""),AND(JI5&gt;=JM$26,JJ5&gt;=JM$30,JJ5&lt;&gt;""),AND(KD5&gt;=KH$26,KE5&gt;=KH$30,KE5&lt;&gt;""),AND(KY5&gt;=LC$26,KZ5&gt;=LC$30,KZ5&lt;&gt;""),AND(LT5&gt;=LX$26,LU5&gt;=LX$30,LU5&lt;&gt;"")),"P","")</f>
        <v>P</v>
      </c>
      <c r="G5" s="3" t="str">
        <f>IF(OR(AND(AI5&gt;=AL$30,AI5&lt;&gt;"",AG5=""),AND(BE5&gt;=BH$30,BE5&lt;&gt;"",BC5=""),AND(CA5&gt;=CD$30,CA5&lt;&gt;"",BY5=""),AND(CX5&gt;=DA$30,CX5&lt;&gt;""),AND(DS5&gt;=DV$30,DS5&lt;&gt;""),AND(EN5&gt;=EQ$30,EN5&lt;&gt;""),AND(FI5&gt;=FL$30,FI5&lt;&gt;""),AND(GD5&gt;=GG$30,GD5&lt;&gt;""),AND(GY5&gt;=HB$30,GY5&lt;&gt;""),AND(HT5&gt;=HW$30,HT5&lt;&gt;""),AND(IO5&gt;=IR$30,IO5&lt;&gt;""),AND(JJ5&gt;=JM$30,JJ5&lt;&gt;""),AND(KE5&gt;=KH$30,KE5&lt;&gt;""),AND(KZ5&gt;=LC$30,KZ5&lt;&gt;""),AND(LU5&gt;=LX$30,LU5&lt;&gt;"")),"P","")</f>
        <v>P</v>
      </c>
      <c r="H5" s="116" t="str">
        <f>IF(AND(G5="P",F5=""),"No DD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Merit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Excellence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Worlds Team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73.199999999999989</v>
      </c>
      <c r="K5" s="14" t="str">
        <f>IF(J5=0,"",IF(J5=CA5,$BI$1,IF(J5=BE5,$AM$1,IF(J5=AI5,$Q$1,""))))</f>
        <v>2021 2nd Virtual Technical Trial</v>
      </c>
      <c r="L5" s="14">
        <f>IF(J5=AI5,MAX(BH5,CD5),IF(J5=BE5,MAX(AL5,CD5),MAX(AL5,BH5)))</f>
        <v>138</v>
      </c>
      <c r="M5" s="14" t="str">
        <f>IF(L5=0,"",IF(AND(J5&lt;&gt;CA5,L5=CD5),$BI$1,IF(AND(J5&lt;&gt;BE5,L5=BH5),$AM$1,IF(L5=AL5,$Q$1,""))))</f>
        <v>2019 Nationals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27.6</v>
      </c>
      <c r="R5" s="61">
        <v>7.2</v>
      </c>
      <c r="S5" s="61">
        <v>0.9</v>
      </c>
      <c r="T5" s="61">
        <v>0</v>
      </c>
      <c r="U5" s="61">
        <v>28</v>
      </c>
      <c r="V5" s="61">
        <v>7.2</v>
      </c>
      <c r="W5" s="61">
        <v>0</v>
      </c>
      <c r="X5" s="61">
        <v>0</v>
      </c>
      <c r="Y5" s="61">
        <v>27.9</v>
      </c>
      <c r="Z5" s="61">
        <v>7.6</v>
      </c>
      <c r="AA5" s="61">
        <v>0.9</v>
      </c>
      <c r="AB5" s="61">
        <v>0</v>
      </c>
      <c r="AC5" s="61">
        <v>27.6</v>
      </c>
      <c r="AD5" s="61">
        <v>7.6</v>
      </c>
      <c r="AE5" s="61">
        <v>0.9</v>
      </c>
      <c r="AF5" s="61">
        <v>0</v>
      </c>
      <c r="AG5" s="72"/>
      <c r="AH5" s="11">
        <f>IF(SUM(R5,V5)&gt;0,SUM(R5,V5),"")</f>
        <v>14.4</v>
      </c>
      <c r="AI5" s="11">
        <f>IF(SUM(Q5:R5,T5:V5,X5)-SUM(S5,W5)&gt;0,SUM(Q5:R5,T5:V5,X5)-SUM(S5,W5),"")</f>
        <v>69.099999999999994</v>
      </c>
      <c r="AJ5" s="11">
        <f>IF(SUM(Z5,AD5)&gt;0,SUM(Z5,AD5),"")</f>
        <v>15.2</v>
      </c>
      <c r="AK5" s="11">
        <f>IF(SUM(Y5:Z5,AB5:AD5,AF5)-SUM(AA5,AE5)&gt;0,SUM(Y5:Z5,AB5:AD5,AF5)-SUM(AA5,AE5),"")</f>
        <v>68.900000000000006</v>
      </c>
      <c r="AL5" s="11">
        <f>IF(SUM(AI5,AK5)&gt;0,SUM(AI5,AK5),"")</f>
        <v>138</v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>IF(SUM(AN5,AR5)&gt;0,SUM(AN5,AR5),"")</f>
        <v/>
      </c>
      <c r="BE5" s="14" t="str">
        <f>IF(SUM(AM5:AN5,AP5:AR5,AT5)-SUM(AO5,AS5)&gt;0,SUM(AM5:AN5,AP5:AR5,AT5)-SUM(AO5,AS5),"")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61">
        <v>28.8</v>
      </c>
      <c r="BJ5" s="61">
        <v>8</v>
      </c>
      <c r="BK5" s="61">
        <v>0</v>
      </c>
      <c r="BL5" s="61">
        <v>0.3</v>
      </c>
      <c r="BM5" s="61">
        <v>28.6</v>
      </c>
      <c r="BN5" s="61">
        <v>8.4</v>
      </c>
      <c r="BO5" s="61">
        <v>0.9</v>
      </c>
      <c r="BP5" s="61">
        <v>0</v>
      </c>
      <c r="BQ5" s="61">
        <v>27.8</v>
      </c>
      <c r="BR5" s="61">
        <v>8.1</v>
      </c>
      <c r="BS5" s="61">
        <v>0</v>
      </c>
      <c r="BT5" s="61">
        <v>0</v>
      </c>
      <c r="BU5" s="61">
        <v>28</v>
      </c>
      <c r="BV5" s="61">
        <v>8.4</v>
      </c>
      <c r="BW5" s="61">
        <v>0.3</v>
      </c>
      <c r="BX5" s="61">
        <v>0.3</v>
      </c>
      <c r="BY5" s="72"/>
      <c r="BZ5" s="11">
        <f>IF(SUM(BJ5,BN5)&gt;0,SUM(BJ5,BN5),"")</f>
        <v>16.399999999999999</v>
      </c>
      <c r="CA5" s="11">
        <f>IF(SUM(BI5:BJ5,BL5:BN5,BP5)-SUM(BK5,BO5)&gt;0,SUM(BI5:BJ5,BL5:BN5,BP5)-SUM(BK5,BO5),"")</f>
        <v>73.199999999999989</v>
      </c>
      <c r="CB5" s="11">
        <f>IF(SUM(BR5,BV5)&gt;0,SUM(BR5,BV5),"")</f>
        <v>16.5</v>
      </c>
      <c r="CC5" s="11">
        <f>IF(SUM(BQ5:BR5,BT5:BV5,BX5)-SUM(BS5,BW5)&gt;0,SUM(BQ5:BR5,BT5:BV5,BX5)-SUM(BS5,BW5),"")</f>
        <v>72.3</v>
      </c>
      <c r="CD5" s="11">
        <f>IF(SUM(CA5,CC5)&gt;0,SUM(CA5,CC5),"")</f>
        <v>145.5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14.4</v>
      </c>
      <c r="LZ5" s="61">
        <f>IF($BY5="P",BJ5,(BJ5+AN5)/2)</f>
        <v>4</v>
      </c>
      <c r="MA5" s="61">
        <f>IF($BY5="P",BK5,(BK5+AO5)/2)</f>
        <v>0</v>
      </c>
      <c r="MB5" s="61">
        <f>IF($BY5="P",BL5,(BL5+AP5)/2)</f>
        <v>0.15</v>
      </c>
      <c r="MC5" s="61">
        <f>IF($BY5="P",BM5,(BM5+AQ5)/2)</f>
        <v>14.3</v>
      </c>
      <c r="MD5" s="61">
        <f>IF($BY5="P",BN5,(BN5+AR5)/2)</f>
        <v>4.2</v>
      </c>
      <c r="ME5" s="61">
        <f>IF($BY5="P",BO5,(BO5+AS5)/2)</f>
        <v>0.45</v>
      </c>
      <c r="MF5" s="61">
        <f>IF($BY5="P",BP5,(BP5+AT5)/2)</f>
        <v>0</v>
      </c>
      <c r="MG5" s="61">
        <f>IF($BY5="P",BQ5,(BQ5+AU5)/2)</f>
        <v>13.9</v>
      </c>
      <c r="MH5" s="61">
        <f>IF($BY5="P",BR5,(BR5+AV5)/2)</f>
        <v>4.05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14</v>
      </c>
      <c r="ML5" s="61">
        <f>IF($BY5="P",BV5,(BV5+AZ5)/2)</f>
        <v>4.2</v>
      </c>
      <c r="MM5" s="61">
        <f>IF($BY5="P",BW5,(BW5+BA5)/2)</f>
        <v>0.15</v>
      </c>
      <c r="MN5" s="61">
        <f>IF($BY5="P",BX5,(BX5+BB5)/2)</f>
        <v>0.15</v>
      </c>
      <c r="MO5" s="72" t="s">
        <v>52</v>
      </c>
      <c r="MP5" s="11">
        <f>IF(SUM(LZ5,MD5)&gt;0,SUM(LZ5,MD5),"")</f>
        <v>8.1999999999999993</v>
      </c>
      <c r="MQ5" s="11">
        <f>IF(SUM(LY5:LZ5,MB5:MD5,MF5)-SUM(MA5,ME5)&gt;0,SUM(LY5:LZ5,MB5:MD5,MF5)-SUM(MA5,ME5),"")</f>
        <v>36.599999999999994</v>
      </c>
      <c r="MR5" s="11">
        <f>IF(SUM(MH5,ML5)&gt;0,SUM(MH5,ML5),"")</f>
        <v>8.25</v>
      </c>
      <c r="MS5" s="11">
        <f>IF(SUM(MG5:MH5,MJ5:ML5,MN5)-SUM(MI5,MM5)&gt;0,SUM(MG5:MH5,MJ5:ML5,MN5)-SUM(MI5,MM5),"")</f>
        <v>36.15</v>
      </c>
      <c r="MT5" s="11">
        <f>IF(SUM(MQ5,MS5)&gt;0,SUM(MQ5,MS5),"")</f>
        <v>72.75</v>
      </c>
    </row>
    <row r="6" spans="1:358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8" t="s">
        <v>95</v>
      </c>
      <c r="C6" s="4" t="s">
        <v>4</v>
      </c>
      <c r="D6" s="5">
        <v>2003</v>
      </c>
      <c r="E6" s="15">
        <f>SUM(J6:N6)</f>
        <v>206.4</v>
      </c>
      <c r="F6" s="3" t="str">
        <f>IF(OR(AND(AH6&gt;=AL$26,AI6&gt;=AL$30,AI6&lt;&gt;"",AG6=""),AND(BD6&gt;=BH$26,BE6&gt;=BH$30,BE6&lt;&gt;"",BC6=""),AND(BZ6&gt;=CD$26,CA6&gt;=CD$30,CA6&lt;&gt;"",BY6=""),AND(CW6&gt;=DA$26,CX6&gt;=DA$30,CX6&lt;&gt;""),AND(DR6&gt;=DV$26,DS6&gt;=DV$30,DS6&lt;&gt;""),AND(EM6&gt;=EQ$26,EN6&gt;=EQ$30,EN6&lt;&gt;""),AND(FH6&gt;=FL$26,FI6&gt;=FL$30,FI6&lt;&gt;""),AND(GC6&gt;=GG$26,GD6&gt;=GG$30,GD6&lt;&gt;""),AND(GX6&gt;=HB$26,GY6&gt;=HB$30,GY6&lt;&gt;""),AND(HS6&gt;=HW$26,HT6&gt;=HW$30,HT6&lt;&gt;""),AND(IN6&gt;=IR$26,IO6&gt;=IR$30,IO6&lt;&gt;""),AND(JI6&gt;=JM$26,JJ6&gt;=JM$30,JJ6&lt;&gt;""),AND(KD6&gt;=KH$26,KE6&gt;=KH$30,KE6&lt;&gt;""),AND(KY6&gt;=LC$26,KZ6&gt;=LC$30,KZ6&lt;&gt;""),AND(LT6&gt;=LX$26,LU6&gt;=LX$30,LU6&lt;&gt;"")),"P","")</f>
        <v>P</v>
      </c>
      <c r="G6" s="3" t="str">
        <f>IF(OR(AND(AI6&gt;=AL$30,AI6&lt;&gt;"",AG6=""),AND(BE6&gt;=BH$30,BE6&lt;&gt;"",BC6=""),AND(CA6&gt;=CD$30,CA6&lt;&gt;"",BY6=""),AND(CX6&gt;=DA$30,CX6&lt;&gt;""),AND(DS6&gt;=DV$30,DS6&lt;&gt;""),AND(EN6&gt;=EQ$30,EN6&lt;&gt;""),AND(FI6&gt;=FL$30,FI6&lt;&gt;""),AND(GD6&gt;=GG$30,GD6&lt;&gt;""),AND(GY6&gt;=HB$30,GY6&lt;&gt;""),AND(HT6&gt;=HW$30,HT6&lt;&gt;""),AND(IO6&gt;=IR$30,IO6&lt;&gt;""),AND(JJ6&gt;=JM$30,JJ6&lt;&gt;""),AND(KE6&gt;=KH$30,KE6&lt;&gt;""),AND(KZ6&gt;=LC$30,KZ6&lt;&gt;""),AND(LU6&gt;=LX$30,LU6&lt;&gt;"")),"P","")</f>
        <v>P</v>
      </c>
      <c r="H6" s="116" t="str">
        <f>IF(AND(G6="P",F6=""),"No DD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Merit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Excellence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Worlds Team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70.5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135.9</v>
      </c>
      <c r="M6" s="14" t="str">
        <f>IF(L6=0,"",IF(AND(J6&lt;&gt;CA6,L6=CD6),$BI$1,IF(AND(J6&lt;&gt;BE6,L6=BH6),$AM$1,IF(L6=AL6,$Q$1,""))))</f>
        <v>2019 Nationals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28.1</v>
      </c>
      <c r="R6" s="61">
        <v>6.4</v>
      </c>
      <c r="S6" s="61">
        <v>0</v>
      </c>
      <c r="T6" s="61">
        <v>0</v>
      </c>
      <c r="U6" s="61">
        <v>27.9</v>
      </c>
      <c r="V6" s="61">
        <v>6.8</v>
      </c>
      <c r="W6" s="61">
        <v>0</v>
      </c>
      <c r="X6" s="61">
        <v>0</v>
      </c>
      <c r="Y6" s="61">
        <v>27.8</v>
      </c>
      <c r="Z6" s="61">
        <v>6.8</v>
      </c>
      <c r="AA6" s="61">
        <v>0.9</v>
      </c>
      <c r="AB6" s="61">
        <v>0</v>
      </c>
      <c r="AC6" s="61">
        <v>27.9</v>
      </c>
      <c r="AD6" s="61">
        <v>6</v>
      </c>
      <c r="AE6" s="61">
        <v>0.9</v>
      </c>
      <c r="AF6" s="61">
        <v>0</v>
      </c>
      <c r="AG6" s="72"/>
      <c r="AH6" s="11">
        <f>IF(SUM(R6,V6)&gt;0,SUM(R6,V6),"")</f>
        <v>13.2</v>
      </c>
      <c r="AI6" s="11">
        <f>IF(SUM(Q6:R6,T6:V6,X6)-SUM(S6,W6)&gt;0,SUM(Q6:R6,T6:V6,X6)-SUM(S6,W6),"")</f>
        <v>69.2</v>
      </c>
      <c r="AJ6" s="11">
        <f>IF(SUM(Z6,AD6)&gt;0,SUM(Z6,AD6),"")</f>
        <v>12.8</v>
      </c>
      <c r="AK6" s="11">
        <f>IF(SUM(Y6:Z6,AB6:AD6,AF6)-SUM(AA6,AE6)&gt;0,SUM(Y6:Z6,AB6:AD6,AF6)-SUM(AA6,AE6),"")</f>
        <v>66.7</v>
      </c>
      <c r="AL6" s="11">
        <f>IF(SUM(AI6,AK6)&gt;0,SUM(AI6,AK6),"")</f>
        <v>135.9</v>
      </c>
      <c r="AM6" s="36">
        <v>28</v>
      </c>
      <c r="AN6" s="36">
        <v>6.8</v>
      </c>
      <c r="AO6" s="36">
        <v>1.2</v>
      </c>
      <c r="AP6" s="36">
        <v>0</v>
      </c>
      <c r="AQ6" s="36">
        <v>28.1</v>
      </c>
      <c r="AR6" s="36">
        <v>7.2</v>
      </c>
      <c r="AS6" s="36">
        <v>1.2</v>
      </c>
      <c r="AT6" s="36">
        <v>0</v>
      </c>
      <c r="AU6" s="36">
        <v>28.4</v>
      </c>
      <c r="AV6" s="36">
        <v>2.8</v>
      </c>
      <c r="AW6" s="36">
        <v>4.0999999999999996</v>
      </c>
      <c r="AX6" s="36">
        <v>0</v>
      </c>
      <c r="AY6" s="36">
        <v>27.8</v>
      </c>
      <c r="AZ6" s="36">
        <v>6</v>
      </c>
      <c r="BA6" s="36">
        <v>1.5</v>
      </c>
      <c r="BB6" s="36">
        <v>0</v>
      </c>
      <c r="BC6" s="73"/>
      <c r="BD6" s="14">
        <f>IF(SUM(AN6,AR6)&gt;0,SUM(AN6,AR6),"")</f>
        <v>14</v>
      </c>
      <c r="BE6" s="14">
        <f>IF(SUM(AM6:AN6,AP6:AR6,AT6)-SUM(AO6,AS6)&gt;0,SUM(AM6:AN6,AP6:AR6,AT6)-SUM(AO6,AS6),"")</f>
        <v>67.699999999999989</v>
      </c>
      <c r="BF6" s="14">
        <f>IF(SUM(AV6,AZ6)&gt;0,SUM(AV6,AZ6),"")</f>
        <v>8.8000000000000007</v>
      </c>
      <c r="BG6" s="14">
        <f>IF(SUM(AU6:AV6,AX6:AZ6,BB6)-SUM(AW6,BA6)&gt;0,SUM(AU6:AV6,AX6:AZ6,BB6)-SUM(AW6,BA6),"")</f>
        <v>59.4</v>
      </c>
      <c r="BH6" s="14">
        <f>IF(SUM(BE6,BG6)&gt;0,SUM(BE6,BG6),"")</f>
        <v>127.1</v>
      </c>
      <c r="BI6" s="61">
        <v>28.2</v>
      </c>
      <c r="BJ6" s="61">
        <v>7.6</v>
      </c>
      <c r="BK6" s="61">
        <v>1.2</v>
      </c>
      <c r="BL6" s="61">
        <v>0</v>
      </c>
      <c r="BM6" s="61">
        <v>28.7</v>
      </c>
      <c r="BN6" s="61">
        <v>7.2</v>
      </c>
      <c r="BO6" s="61">
        <v>0</v>
      </c>
      <c r="BP6" s="61">
        <v>0</v>
      </c>
      <c r="BQ6" s="61">
        <v>28.4</v>
      </c>
      <c r="BR6" s="61">
        <v>6</v>
      </c>
      <c r="BS6" s="61">
        <v>1.2</v>
      </c>
      <c r="BT6" s="61">
        <v>0</v>
      </c>
      <c r="BU6" s="61">
        <v>27.7</v>
      </c>
      <c r="BV6" s="61">
        <v>6.8</v>
      </c>
      <c r="BW6" s="61">
        <v>0.3</v>
      </c>
      <c r="BX6" s="61">
        <v>0</v>
      </c>
      <c r="BY6" s="72"/>
      <c r="BZ6" s="11">
        <f>IF(SUM(BJ6,BN6)&gt;0,SUM(BJ6,BN6),"")</f>
        <v>14.8</v>
      </c>
      <c r="CA6" s="11">
        <f>IF(SUM(BI6:BJ6,BL6:BN6,BP6)-SUM(BK6,BO6)&gt;0,SUM(BI6:BJ6,BL6:BN6,BP6)-SUM(BK6,BO6),"")</f>
        <v>70.5</v>
      </c>
      <c r="CB6" s="11">
        <f>IF(SUM(BR6,BV6)&gt;0,SUM(BR6,BV6),"")</f>
        <v>12.8</v>
      </c>
      <c r="CC6" s="11">
        <f>IF(SUM(BQ6:BR6,BT6:BV6,BX6)-SUM(BS6,BW6)&gt;0,SUM(BQ6:BR6,BT6:BV6,BX6)-SUM(BS6,BW6),"")</f>
        <v>67.399999999999991</v>
      </c>
      <c r="CD6" s="11">
        <f>IF(SUM(CA6,CC6)&gt;0,SUM(CA6,CC6),"")</f>
        <v>137.89999999999998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28.1</v>
      </c>
      <c r="LZ6" s="61">
        <f>IF($BY6="P",BJ6,(BJ6+AN6)/2)</f>
        <v>7.1999999999999993</v>
      </c>
      <c r="MA6" s="61">
        <f>IF($BY6="P",BK6,(BK6+AO6)/2)</f>
        <v>1.2</v>
      </c>
      <c r="MB6" s="61">
        <f>IF($BY6="P",BL6,(BL6+AP6)/2)</f>
        <v>0</v>
      </c>
      <c r="MC6" s="61">
        <f>IF($BY6="P",BM6,(BM6+AQ6)/2)</f>
        <v>28.4</v>
      </c>
      <c r="MD6" s="61">
        <f>IF($BY6="P",BN6,(BN6+AR6)/2)</f>
        <v>7.2</v>
      </c>
      <c r="ME6" s="61">
        <f>IF($BY6="P",BO6,(BO6+AS6)/2)</f>
        <v>0.6</v>
      </c>
      <c r="MF6" s="61">
        <f>IF($BY6="P",BP6,(BP6+AT6)/2)</f>
        <v>0</v>
      </c>
      <c r="MG6" s="61">
        <f>IF($BY6="P",BQ6,(BQ6+AU6)/2)</f>
        <v>28.4</v>
      </c>
      <c r="MH6" s="61">
        <f>IF($BY6="P",BR6,(BR6+AV6)/2)</f>
        <v>4.4000000000000004</v>
      </c>
      <c r="MI6" s="61">
        <f>IF($BY6="P",BS6,(BS6+AW6)/2)</f>
        <v>2.65</v>
      </c>
      <c r="MJ6" s="61">
        <f>IF($BY6="P",BT6,(BT6+AX6)/2)</f>
        <v>0</v>
      </c>
      <c r="MK6" s="61">
        <f>IF($BY6="P",BU6,(BU6+AY6)/2)</f>
        <v>27.75</v>
      </c>
      <c r="ML6" s="61">
        <f>IF($BY6="P",BV6,(BV6+AZ6)/2)</f>
        <v>6.4</v>
      </c>
      <c r="MM6" s="61">
        <f>IF($BY6="P",BW6,(BW6+BA6)/2)</f>
        <v>0.9</v>
      </c>
      <c r="MN6" s="61">
        <f>IF($BY6="P",BX6,(BX6+BB6)/2)</f>
        <v>0</v>
      </c>
      <c r="MO6" s="72" t="s">
        <v>52</v>
      </c>
      <c r="MP6" s="11">
        <f>IF(SUM(LZ6,MD6)&gt;0,SUM(LZ6,MD6),"")</f>
        <v>14.399999999999999</v>
      </c>
      <c r="MQ6" s="11">
        <f>IF(SUM(LY6:LZ6,MB6:MD6,MF6)-SUM(MA6,ME6)&gt;0,SUM(LY6:LZ6,MB6:MD6,MF6)-SUM(MA6,ME6),"")</f>
        <v>69.099999999999994</v>
      </c>
      <c r="MR6" s="11">
        <f>IF(SUM(MH6,ML6)&gt;0,SUM(MH6,ML6),"")</f>
        <v>10.8</v>
      </c>
      <c r="MS6" s="11">
        <f>IF(SUM(MG6:MH6,MJ6:ML6,MN6)-SUM(MI6,MM6)&gt;0,SUM(MG6:MH6,MJ6:ML6,MN6)-SUM(MI6,MM6),"")</f>
        <v>63.400000000000006</v>
      </c>
      <c r="MT6" s="11">
        <f>IF(SUM(MQ6,MS6)&gt;0,SUM(MQ6,MS6),"")</f>
        <v>132.5</v>
      </c>
    </row>
    <row r="7" spans="1:358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8" t="s">
        <v>138</v>
      </c>
      <c r="C7" s="4" t="s">
        <v>128</v>
      </c>
      <c r="D7" s="5">
        <v>2000</v>
      </c>
      <c r="E7" s="15">
        <f>SUM(J7:N7)</f>
        <v>198.7</v>
      </c>
      <c r="F7" s="3" t="str">
        <f>IF(OR(AND(AH7&gt;=AL$26,AI7&gt;=AL$30,AI7&lt;&gt;"",AG7=""),AND(BD7&gt;=BH$26,BE7&gt;=BH$30,BE7&lt;&gt;"",BC7=""),AND(BZ7&gt;=CD$26,CA7&gt;=CD$30,CA7&lt;&gt;"",BY7=""),AND(CW7&gt;=DA$26,CX7&gt;=DA$30,CX7&lt;&gt;""),AND(DR7&gt;=DV$26,DS7&gt;=DV$30,DS7&lt;&gt;""),AND(EM7&gt;=EQ$26,EN7&gt;=EQ$30,EN7&lt;&gt;""),AND(FH7&gt;=FL$26,FI7&gt;=FL$30,FI7&lt;&gt;""),AND(GC7&gt;=GG$26,GD7&gt;=GG$30,GD7&lt;&gt;""),AND(GX7&gt;=HB$26,GY7&gt;=HB$30,GY7&lt;&gt;""),AND(HS7&gt;=HW$26,HT7&gt;=HW$30,HT7&lt;&gt;""),AND(IN7&gt;=IR$26,IO7&gt;=IR$30,IO7&lt;&gt;""),AND(JI7&gt;=JM$26,JJ7&gt;=JM$30,JJ7&lt;&gt;""),AND(KD7&gt;=KH$26,KE7&gt;=KH$30,KE7&lt;&gt;""),AND(KY7&gt;=LC$26,KZ7&gt;=LC$30,KZ7&lt;&gt;""),AND(LT7&gt;=LX$26,LU7&gt;=LX$30,LU7&lt;&gt;"")),"P","")</f>
        <v>P</v>
      </c>
      <c r="G7" s="3" t="str">
        <f>IF(OR(AND(AI7&gt;=AL$30,AI7&lt;&gt;"",AG7=""),AND(BE7&gt;=BH$30,BE7&lt;&gt;"",BC7=""),AND(CA7&gt;=CD$30,CA7&lt;&gt;"",BY7=""),AND(CX7&gt;=DA$30,CX7&lt;&gt;""),AND(DS7&gt;=DV$30,DS7&lt;&gt;""),AND(EN7&gt;=EQ$30,EN7&lt;&gt;""),AND(FI7&gt;=FL$30,FI7&lt;&gt;""),AND(GD7&gt;=GG$30,GD7&lt;&gt;""),AND(GY7&gt;=HB$30,GY7&lt;&gt;""),AND(HT7&gt;=HW$30,HT7&lt;&gt;""),AND(IO7&gt;=IR$30,IO7&lt;&gt;""),AND(JJ7&gt;=JM$30,JJ7&lt;&gt;""),AND(KE7&gt;=KH$30,KE7&lt;&gt;""),AND(KZ7&gt;=LC$30,KZ7&lt;&gt;""),AND(LU7&gt;=LX$30,LU7&lt;&gt;"")),"P","")</f>
        <v>P</v>
      </c>
      <c r="H7" s="116" t="str">
        <f>IF(AND(G7="P",F7=""),"No DD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Merit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Excellence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Worlds Team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68.599999999999994</v>
      </c>
      <c r="K7" s="14" t="str">
        <f>IF(J7=0,"",IF(J7=CA7,$BI$1,IF(J7=BE7,$AM$1,IF(J7=AI7,$Q$1,""))))</f>
        <v>2019 Nationals</v>
      </c>
      <c r="L7" s="14">
        <f>IF(J7=AI7,MAX(BH7,CD7),IF(J7=BE7,MAX(AL7,CD7),MAX(AL7,BH7)))</f>
        <v>130.1</v>
      </c>
      <c r="M7" s="14" t="str">
        <f>IF(L7=0,"",IF(AND(J7&lt;&gt;CA7,L7=CD7),$BI$1,IF(AND(J7&lt;&gt;BE7,L7=BH7),$AM$1,IF(L7=AL7,$Q$1,""))))</f>
        <v>2021 2nd Virtual Technical Trial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28.5</v>
      </c>
      <c r="R7" s="61">
        <v>6.4</v>
      </c>
      <c r="S7" s="61">
        <v>0.9</v>
      </c>
      <c r="T7" s="61">
        <v>0</v>
      </c>
      <c r="U7" s="61">
        <v>28.2</v>
      </c>
      <c r="V7" s="61">
        <v>6.4</v>
      </c>
      <c r="W7" s="61">
        <v>0</v>
      </c>
      <c r="X7" s="61">
        <v>0</v>
      </c>
      <c r="Y7" s="61">
        <v>27.7</v>
      </c>
      <c r="Z7" s="61">
        <v>6</v>
      </c>
      <c r="AA7" s="61">
        <v>0.9</v>
      </c>
      <c r="AB7" s="61">
        <v>0</v>
      </c>
      <c r="AC7" s="61">
        <v>28.5</v>
      </c>
      <c r="AD7" s="61">
        <v>6</v>
      </c>
      <c r="AE7" s="61">
        <v>0</v>
      </c>
      <c r="AF7" s="61">
        <v>0</v>
      </c>
      <c r="AG7" s="72"/>
      <c r="AH7" s="11">
        <f>IF(SUM(R7,V7)&gt;0,SUM(R7,V7),"")</f>
        <v>12.8</v>
      </c>
      <c r="AI7" s="11">
        <f>IF(SUM(Q7:R7,T7:V7,X7)-SUM(S7,W7)&gt;0,SUM(Q7:R7,T7:V7,X7)-SUM(S7,W7),"")</f>
        <v>68.599999999999994</v>
      </c>
      <c r="AJ7" s="11">
        <f>IF(SUM(Z7,AD7)&gt;0,SUM(Z7,AD7),"")</f>
        <v>12</v>
      </c>
      <c r="AK7" s="11">
        <f>IF(SUM(Y7:Z7,AB7:AD7,AF7)-SUM(AA7,AE7)&gt;0,SUM(Y7:Z7,AB7:AD7,AF7)-SUM(AA7,AE7),"")</f>
        <v>67.3</v>
      </c>
      <c r="AL7" s="11">
        <f>IF(SUM(AI7,AK7)&gt;0,SUM(AI7,AK7),"")</f>
        <v>135.89999999999998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IF(SUM(AM7:AN7,AP7:AR7,AT7)-SUM(AO7,AS7)&gt;0,SUM(AM7:AN7,AP7:AR7,AT7)-SUM(AO7,AS7),"")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61">
        <v>27</v>
      </c>
      <c r="BJ7" s="61">
        <v>5.6</v>
      </c>
      <c r="BK7" s="61">
        <v>1.9</v>
      </c>
      <c r="BL7" s="61">
        <v>0</v>
      </c>
      <c r="BM7" s="61">
        <v>27.9</v>
      </c>
      <c r="BN7" s="61">
        <v>6</v>
      </c>
      <c r="BO7" s="61">
        <v>0.3</v>
      </c>
      <c r="BP7" s="61">
        <v>0</v>
      </c>
      <c r="BQ7" s="61">
        <v>28.4</v>
      </c>
      <c r="BR7" s="61">
        <v>7.2</v>
      </c>
      <c r="BS7" s="61">
        <v>0.3</v>
      </c>
      <c r="BT7" s="61">
        <v>0</v>
      </c>
      <c r="BU7" s="61">
        <v>24.5</v>
      </c>
      <c r="BV7" s="61">
        <v>7.2</v>
      </c>
      <c r="BW7" s="61">
        <v>1.2</v>
      </c>
      <c r="BX7" s="61">
        <v>0</v>
      </c>
      <c r="BY7" s="72"/>
      <c r="BZ7" s="11">
        <f>IF(SUM(BJ7,BN7)&gt;0,SUM(BJ7,BN7),"")</f>
        <v>11.6</v>
      </c>
      <c r="CA7" s="11">
        <f>IF(SUM(BI7:BJ7,BL7:BN7,BP7)-SUM(BK7,BO7)&gt;0,SUM(BI7:BJ7,BL7:BN7,BP7)-SUM(BK7,BO7),"")</f>
        <v>64.3</v>
      </c>
      <c r="CB7" s="11">
        <f>IF(SUM(BR7,BV7)&gt;0,SUM(BR7,BV7),"")</f>
        <v>14.4</v>
      </c>
      <c r="CC7" s="11">
        <f>IF(SUM(BQ7:BR7,BT7:BV7,BX7)-SUM(BS7,BW7)&gt;0,SUM(BQ7:BR7,BT7:BV7,BX7)-SUM(BS7,BW7),"")</f>
        <v>65.8</v>
      </c>
      <c r="CD7" s="11">
        <f>IF(SUM(CA7,CC7)&gt;0,SUM(CA7,CC7),"")</f>
        <v>130.1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13.5</v>
      </c>
      <c r="LZ7" s="61">
        <f>IF($BY7="P",BJ7,(BJ7+AN7)/2)</f>
        <v>2.8</v>
      </c>
      <c r="MA7" s="61">
        <f>IF($BY7="P",BK7,(BK7+AO7)/2)</f>
        <v>0.95</v>
      </c>
      <c r="MB7" s="61">
        <f>IF($BY7="P",BL7,(BL7+AP7)/2)</f>
        <v>0</v>
      </c>
      <c r="MC7" s="61">
        <f>IF($BY7="P",BM7,(BM7+AQ7)/2)</f>
        <v>13.95</v>
      </c>
      <c r="MD7" s="61">
        <f>IF($BY7="P",BN7,(BN7+AR7)/2)</f>
        <v>3</v>
      </c>
      <c r="ME7" s="61">
        <f>IF($BY7="P",BO7,(BO7+AS7)/2)</f>
        <v>0.15</v>
      </c>
      <c r="MF7" s="61">
        <f>IF($BY7="P",BP7,(BP7+AT7)/2)</f>
        <v>0</v>
      </c>
      <c r="MG7" s="61">
        <f>IF($BY7="P",BQ7,(BQ7+AU7)/2)</f>
        <v>14.2</v>
      </c>
      <c r="MH7" s="61">
        <f>IF($BY7="P",BR7,(BR7+AV7)/2)</f>
        <v>3.6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12.25</v>
      </c>
      <c r="ML7" s="61">
        <f>IF($BY7="P",BV7,(BV7+AZ7)/2)</f>
        <v>3.6</v>
      </c>
      <c r="MM7" s="61">
        <f>IF($BY7="P",BW7,(BW7+BA7)/2)</f>
        <v>0.6</v>
      </c>
      <c r="MN7" s="61">
        <f>IF($BY7="P",BX7,(BX7+BB7)/2)</f>
        <v>0</v>
      </c>
      <c r="MO7" s="72" t="s">
        <v>52</v>
      </c>
      <c r="MP7" s="11">
        <f>IF(SUM(LZ7,MD7)&gt;0,SUM(LZ7,MD7),"")</f>
        <v>5.8</v>
      </c>
      <c r="MQ7" s="11">
        <f>IF(SUM(LY7:LZ7,MB7:MD7,MF7)-SUM(MA7,ME7)&gt;0,SUM(LY7:LZ7,MB7:MD7,MF7)-SUM(MA7,ME7),"")</f>
        <v>32.15</v>
      </c>
      <c r="MR7" s="11">
        <f>IF(SUM(MH7,ML7)&gt;0,SUM(MH7,ML7),"")</f>
        <v>7.2</v>
      </c>
      <c r="MS7" s="11">
        <f>IF(SUM(MG7:MH7,MJ7:ML7,MN7)-SUM(MI7,MM7)&gt;0,SUM(MG7:MH7,MJ7:ML7,MN7)-SUM(MI7,MM7),"")</f>
        <v>32.9</v>
      </c>
      <c r="MT7" s="11">
        <f>IF(SUM(MQ7,MS7)&gt;0,SUM(MQ7,MS7),"")</f>
        <v>65.05</v>
      </c>
    </row>
    <row r="8" spans="1:358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8" t="s">
        <v>92</v>
      </c>
      <c r="C8" s="4" t="s">
        <v>4</v>
      </c>
      <c r="D8" s="5">
        <v>2002</v>
      </c>
      <c r="E8" s="15">
        <f>SUM(J8:N8)</f>
        <v>185.60000000000002</v>
      </c>
      <c r="F8" s="3" t="str">
        <f>IF(OR(AND(AH8&gt;=AL$26,AI8&gt;=AL$30,AI8&lt;&gt;"",AG8=""),AND(BD8&gt;=BH$26,BE8&gt;=BH$30,BE8&lt;&gt;"",BC8=""),AND(BZ8&gt;=CD$26,CA8&gt;=CD$30,CA8&lt;&gt;"",BY8=""),AND(CW8&gt;=DA$26,CX8&gt;=DA$30,CX8&lt;&gt;""),AND(DR8&gt;=DV$26,DS8&gt;=DV$30,DS8&lt;&gt;""),AND(EM8&gt;=EQ$26,EN8&gt;=EQ$30,EN8&lt;&gt;""),AND(FH8&gt;=FL$26,FI8&gt;=FL$30,FI8&lt;&gt;""),AND(GC8&gt;=GG$26,GD8&gt;=GG$30,GD8&lt;&gt;""),AND(GX8&gt;=HB$26,GY8&gt;=HB$30,GY8&lt;&gt;""),AND(HS8&gt;=HW$26,HT8&gt;=HW$30,HT8&lt;&gt;""),AND(IN8&gt;=IR$26,IO8&gt;=IR$30,IO8&lt;&gt;""),AND(JI8&gt;=JM$26,JJ8&gt;=JM$30,JJ8&lt;&gt;""),AND(KD8&gt;=KH$26,KE8&gt;=KH$30,KE8&lt;&gt;""),AND(KY8&gt;=LC$26,KZ8&gt;=LC$30,KZ8&lt;&gt;""),AND(LT8&gt;=LX$26,LU8&gt;=LX$30,LU8&lt;&gt;"")),"P","")</f>
        <v>P</v>
      </c>
      <c r="G8" s="3" t="str">
        <f>IF(OR(AND(AI8&gt;=AL$30,AI8&lt;&gt;"",AG8=""),AND(BE8&gt;=BH$30,BE8&lt;&gt;"",BC8=""),AND(CA8&gt;=CD$30,CA8&lt;&gt;"",BY8=""),AND(CX8&gt;=DA$30,CX8&lt;&gt;""),AND(DS8&gt;=DV$30,DS8&lt;&gt;""),AND(EN8&gt;=EQ$30,EN8&lt;&gt;""),AND(FI8&gt;=FL$30,FI8&lt;&gt;""),AND(GD8&gt;=GG$30,GD8&lt;&gt;""),AND(GY8&gt;=HB$30,GY8&lt;&gt;""),AND(HT8&gt;=HW$30,HT8&lt;&gt;""),AND(IO8&gt;=IR$30,IO8&lt;&gt;""),AND(JJ8&gt;=JM$30,JJ8&lt;&gt;""),AND(KE8&gt;=KH$30,KE8&lt;&gt;""),AND(KZ8&gt;=LC$30,KZ8&lt;&gt;""),AND(LU8&gt;=LX$30,LU8&lt;&gt;"")),"P","")</f>
        <v>P</v>
      </c>
      <c r="H8" s="116" t="str">
        <f>IF(AND(G8="P",F8=""),"No DD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Merit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Excellence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Worlds Team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71.400000000000006</v>
      </c>
      <c r="K8" s="14" t="str">
        <f>IF(J8=0,"",IF(J8=CA8,$BI$1,IF(J8=BE8,$AM$1,IF(J8=AI8,$Q$1,""))))</f>
        <v>2021 2nd Virtual Technical Trial</v>
      </c>
      <c r="L8" s="14">
        <f>IF(J8=AI8,MAX(BH8,CD8),IF(J8=BE8,MAX(AL8,CD8),MAX(AL8,BH8)))</f>
        <v>114.20000000000002</v>
      </c>
      <c r="M8" s="14" t="str">
        <f>IF(L8=0,"",IF(AND(J8&lt;&gt;CA8,L8=CD8),$BI$1,IF(AND(J8&lt;&gt;BE8,L8=BH8),$AM$1,IF(L8=AL8,$Q$1,""))))</f>
        <v>2019 Nationals</v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27.4</v>
      </c>
      <c r="R8" s="61">
        <v>7.2</v>
      </c>
      <c r="S8" s="61">
        <v>0.3</v>
      </c>
      <c r="T8" s="61">
        <v>0</v>
      </c>
      <c r="U8" s="61">
        <v>19.8</v>
      </c>
      <c r="V8" s="61">
        <v>3.2</v>
      </c>
      <c r="W8" s="61">
        <v>0.9</v>
      </c>
      <c r="X8" s="61">
        <v>0</v>
      </c>
      <c r="Y8" s="61">
        <v>27.9</v>
      </c>
      <c r="Z8" s="61">
        <v>7.6</v>
      </c>
      <c r="AA8" s="61">
        <v>0.3</v>
      </c>
      <c r="AB8" s="61">
        <v>0</v>
      </c>
      <c r="AC8" s="61">
        <v>20.2</v>
      </c>
      <c r="AD8" s="61">
        <v>2.4</v>
      </c>
      <c r="AE8" s="61">
        <v>0</v>
      </c>
      <c r="AF8" s="61">
        <v>0</v>
      </c>
      <c r="AG8" s="72"/>
      <c r="AH8" s="11">
        <f>IF(SUM(R8,V8)&gt;0,SUM(R8,V8),"")</f>
        <v>10.4</v>
      </c>
      <c r="AI8" s="11">
        <f>IF(SUM(Q8:R8,T8:V8,X8)-SUM(S8,W8)&gt;0,SUM(Q8:R8,T8:V8,X8)-SUM(S8,W8),"")</f>
        <v>56.400000000000006</v>
      </c>
      <c r="AJ8" s="11">
        <f>IF(SUM(Z8,AD8)&gt;0,SUM(Z8,AD8),"")</f>
        <v>10</v>
      </c>
      <c r="AK8" s="11">
        <f>IF(SUM(Y8:Z8,AB8:AD8,AF8)-SUM(AA8,AE8)&gt;0,SUM(Y8:Z8,AB8:AD8,AF8)-SUM(AA8,AE8),"")</f>
        <v>57.800000000000004</v>
      </c>
      <c r="AL8" s="11">
        <f>IF(SUM(AI8,AK8)&gt;0,SUM(AI8,AK8),"")</f>
        <v>114.20000000000002</v>
      </c>
      <c r="AM8" s="36">
        <v>28</v>
      </c>
      <c r="AN8" s="36">
        <v>6.8</v>
      </c>
      <c r="AO8" s="36">
        <v>0</v>
      </c>
      <c r="AP8" s="36">
        <v>0</v>
      </c>
      <c r="AQ8" s="36">
        <v>24.6</v>
      </c>
      <c r="AR8" s="36">
        <v>7.3</v>
      </c>
      <c r="AS8" s="36">
        <v>0.3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73"/>
      <c r="BD8" s="14">
        <f>IF(SUM(AN8,AR8)&gt;0,SUM(AN8,AR8),"")</f>
        <v>14.1</v>
      </c>
      <c r="BE8" s="14">
        <f>IF(SUM(AM8:AN8,AP8:AR8,AT8)-SUM(AO8,AS8)&gt;0,SUM(AM8:AN8,AP8:AR8,AT8)-SUM(AO8,AS8),"")</f>
        <v>66.400000000000006</v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>
        <f>IF(SUM(BE8,BG8)&gt;0,SUM(BE8,BG8),"")</f>
        <v>66.400000000000006</v>
      </c>
      <c r="BI8" s="61">
        <v>28.5</v>
      </c>
      <c r="BJ8" s="61">
        <v>7.2</v>
      </c>
      <c r="BK8" s="61">
        <v>0</v>
      </c>
      <c r="BL8" s="61">
        <v>0</v>
      </c>
      <c r="BM8" s="61">
        <v>28</v>
      </c>
      <c r="BN8" s="61">
        <v>7.7</v>
      </c>
      <c r="BO8" s="61">
        <v>0.3</v>
      </c>
      <c r="BP8" s="61">
        <v>0.3</v>
      </c>
      <c r="BQ8" s="61">
        <v>0</v>
      </c>
      <c r="BR8" s="61">
        <v>0</v>
      </c>
      <c r="BS8" s="61">
        <v>0</v>
      </c>
      <c r="BT8" s="61">
        <v>0</v>
      </c>
      <c r="BU8" s="61">
        <v>27.9</v>
      </c>
      <c r="BV8" s="61">
        <v>8.1</v>
      </c>
      <c r="BW8" s="61">
        <v>0.9</v>
      </c>
      <c r="BX8" s="61">
        <v>0</v>
      </c>
      <c r="BY8" s="72"/>
      <c r="BZ8" s="11">
        <f>IF(SUM(BJ8,BN8)&gt;0,SUM(BJ8,BN8),"")</f>
        <v>14.9</v>
      </c>
      <c r="CA8" s="11">
        <f>IF(SUM(BI8:BJ8,BL8:BN8,BP8)-SUM(BK8,BO8)&gt;0,SUM(BI8:BJ8,BL8:BN8,BP8)-SUM(BK8,BO8),"")</f>
        <v>71.400000000000006</v>
      </c>
      <c r="CB8" s="11">
        <f>IF(SUM(BR8,BV8)&gt;0,SUM(BR8,BV8),"")</f>
        <v>8.1</v>
      </c>
      <c r="CC8" s="11">
        <f>IF(SUM(BQ8:BR8,BT8:BV8,BX8)-SUM(BS8,BW8)&gt;0,SUM(BQ8:BR8,BT8:BV8,BX8)-SUM(BS8,BW8),"")</f>
        <v>35.1</v>
      </c>
      <c r="CD8" s="11">
        <f>IF(SUM(CA8,CC8)&gt;0,SUM(CA8,CC8),"")</f>
        <v>106.5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28.25</v>
      </c>
      <c r="LZ8" s="61">
        <f>IF($BY8="P",BJ8,(BJ8+AN8)/2)</f>
        <v>7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26.3</v>
      </c>
      <c r="MD8" s="61">
        <f>IF($BY8="P",BN8,(BN8+AR8)/2)</f>
        <v>7.5</v>
      </c>
      <c r="ME8" s="61">
        <f>IF($BY8="P",BO8,(BO8+AS8)/2)</f>
        <v>0.3</v>
      </c>
      <c r="MF8" s="61">
        <f>IF($BY8="P",BP8,(BP8+AT8)/2)</f>
        <v>0.15</v>
      </c>
      <c r="MG8" s="61">
        <f>IF($BY8="P",BQ8,(BQ8+AU8)/2)</f>
        <v>0</v>
      </c>
      <c r="MH8" s="61">
        <f>IF($BY8="P",BR8,(BR8+AV8)/2)</f>
        <v>0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13.95</v>
      </c>
      <c r="ML8" s="61">
        <f>IF($BY8="P",BV8,(BV8+AZ8)/2)</f>
        <v>4.05</v>
      </c>
      <c r="MM8" s="61">
        <f>IF($BY8="P",BW8,(BW8+BA8)/2)</f>
        <v>0.45</v>
      </c>
      <c r="MN8" s="61">
        <f>IF($BY8="P",BX8,(BX8+BB8)/2)</f>
        <v>0</v>
      </c>
      <c r="MO8" s="72" t="s">
        <v>52</v>
      </c>
      <c r="MP8" s="11">
        <f>IF(SUM(LZ8,MD8)&gt;0,SUM(LZ8,MD8),"")</f>
        <v>14.5</v>
      </c>
      <c r="MQ8" s="11">
        <f>IF(SUM(LY8:LZ8,MB8:MD8,MF8)-SUM(MA8,ME8)&gt;0,SUM(LY8:LZ8,MB8:MD8,MF8)-SUM(MA8,ME8),"")</f>
        <v>68.900000000000006</v>
      </c>
      <c r="MR8" s="11">
        <f>IF(SUM(MH8,ML8)&gt;0,SUM(MH8,ML8),"")</f>
        <v>4.05</v>
      </c>
      <c r="MS8" s="11">
        <f>IF(SUM(MG8:MH8,MJ8:ML8,MN8)-SUM(MI8,MM8)&gt;0,SUM(MG8:MH8,MJ8:ML8,MN8)-SUM(MI8,MM8),"")</f>
        <v>17.55</v>
      </c>
      <c r="MT8" s="11">
        <f>IF(SUM(MQ8,MS8)&gt;0,SUM(MQ8,MS8),"")</f>
        <v>86.45</v>
      </c>
    </row>
    <row r="9" spans="1:358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8" t="s">
        <v>130</v>
      </c>
      <c r="C9" s="4" t="s">
        <v>4</v>
      </c>
      <c r="D9" s="5">
        <v>2001</v>
      </c>
      <c r="E9" s="15">
        <f>SUM(J9:N9)</f>
        <v>72.3</v>
      </c>
      <c r="F9" s="3" t="str">
        <f>IF(OR(AND(AH9&gt;=AL$26,AI9&gt;=AL$30,AI9&lt;&gt;"",AG9=""),AND(BD9&gt;=BH$26,BE9&gt;=BH$30,BE9&lt;&gt;"",BC9=""),AND(BZ9&gt;=CD$26,CA9&gt;=CD$30,CA9&lt;&gt;"",BY9=""),AND(CW9&gt;=DA$26,CX9&gt;=DA$30,CX9&lt;&gt;""),AND(DR9&gt;=DV$26,DS9&gt;=DV$30,DS9&lt;&gt;""),AND(EM9&gt;=EQ$26,EN9&gt;=EQ$30,EN9&lt;&gt;""),AND(FH9&gt;=FL$26,FI9&gt;=FL$30,FI9&lt;&gt;""),AND(GC9&gt;=GG$26,GD9&gt;=GG$30,GD9&lt;&gt;""),AND(GX9&gt;=HB$26,GY9&gt;=HB$30,GY9&lt;&gt;""),AND(HS9&gt;=HW$26,HT9&gt;=HW$30,HT9&lt;&gt;""),AND(IN9&gt;=IR$26,IO9&gt;=IR$30,IO9&lt;&gt;""),AND(JI9&gt;=JM$26,JJ9&gt;=JM$30,JJ9&lt;&gt;""),AND(KD9&gt;=KH$26,KE9&gt;=KH$30,KE9&lt;&gt;""),AND(KY9&gt;=LC$26,KZ9&gt;=LC$30,KZ9&lt;&gt;""),AND(LT9&gt;=LX$26,LU9&gt;=LX$30,LU9&lt;&gt;"")),"P","")</f>
        <v>P</v>
      </c>
      <c r="G9" s="3" t="str">
        <f>IF(OR(AND(AI9&gt;=AL$30,AI9&lt;&gt;"",AG9=""),AND(BE9&gt;=BH$30,BE9&lt;&gt;"",BC9=""),AND(CA9&gt;=CD$30,CA9&lt;&gt;"",BY9=""),AND(CX9&gt;=DA$30,CX9&lt;&gt;""),AND(DS9&gt;=DV$30,DS9&lt;&gt;""),AND(EN9&gt;=EQ$30,EN9&lt;&gt;""),AND(FI9&gt;=FL$30,FI9&lt;&gt;""),AND(GD9&gt;=GG$30,GD9&lt;&gt;""),AND(GY9&gt;=HB$30,GY9&lt;&gt;""),AND(HT9&gt;=HW$30,HT9&lt;&gt;""),AND(IO9&gt;=IR$30,IO9&lt;&gt;""),AND(JJ9&gt;=JM$30,JJ9&lt;&gt;""),AND(KE9&gt;=KH$30,KE9&lt;&gt;""),AND(KZ9&gt;=LC$30,KZ9&lt;&gt;""),AND(LU9&gt;=LX$30,LU9&lt;&gt;"")),"P","")</f>
        <v>P</v>
      </c>
      <c r="H9" s="116" t="str">
        <f>IF(AND(G9="P",F9=""),"No DD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Merit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Excellence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Worlds Team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National Team","")))))</f>
        <v>National Team</v>
      </c>
      <c r="I9" s="3" t="str">
        <f>IF(OR(H9="Worlds Team",H9="Excellence",H9="Merit"),"P","")</f>
        <v/>
      </c>
      <c r="J9" s="14">
        <f>MAX(AI9,BE9,CA9)</f>
        <v>72.3</v>
      </c>
      <c r="K9" s="14" t="str">
        <f>IF(J9=0,"",IF(J9=CA9,$BI$1,IF(J9=BE9,$AM$1,IF(J9=AI9,$Q$1,""))))</f>
        <v>2019 Nationals</v>
      </c>
      <c r="L9" s="14">
        <f>IF(J9=AI9,MAX(BH9,CD9),IF(J9=BE9,MAX(AL9,CD9),MAX(AL9,BH9)))</f>
        <v>0</v>
      </c>
      <c r="M9" s="14" t="str">
        <f>IF(L9=0,"",IF(AND(J9&lt;&gt;CA9,L9=CD9),$BI$1,IF(AND(J9&lt;&gt;BE9,L9=BH9),$AM$1,IF(L9=AL9,$Q$1,""))))</f>
        <v/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>
        <v>28.5</v>
      </c>
      <c r="R9" s="61">
        <v>8</v>
      </c>
      <c r="S9" s="61">
        <v>0</v>
      </c>
      <c r="T9" s="61">
        <v>0</v>
      </c>
      <c r="U9" s="61">
        <v>28.3</v>
      </c>
      <c r="V9" s="61">
        <v>8.4</v>
      </c>
      <c r="W9" s="61">
        <v>0.9</v>
      </c>
      <c r="X9" s="61">
        <v>0</v>
      </c>
      <c r="Y9" s="61">
        <v>27.9</v>
      </c>
      <c r="Z9" s="61">
        <v>7.2</v>
      </c>
      <c r="AA9" s="61">
        <v>0</v>
      </c>
      <c r="AB9" s="61">
        <v>0</v>
      </c>
      <c r="AC9" s="61">
        <v>28.7</v>
      </c>
      <c r="AD9" s="61">
        <v>7.6</v>
      </c>
      <c r="AE9" s="61">
        <v>0.9</v>
      </c>
      <c r="AF9" s="61">
        <v>0</v>
      </c>
      <c r="AG9" s="72"/>
      <c r="AH9" s="11">
        <f>IF(SUM(R9,V9)&gt;0,SUM(R9,V9),"")</f>
        <v>16.399999999999999</v>
      </c>
      <c r="AI9" s="11">
        <f>IF(SUM(Q9:R9,T9:V9,X9)-SUM(S9,W9)&gt;0,SUM(Q9:R9,T9:V9,X9)-SUM(S9,W9),"")</f>
        <v>72.3</v>
      </c>
      <c r="AJ9" s="11">
        <f>IF(SUM(Z9,AD9)&gt;0,SUM(Z9,AD9),"")</f>
        <v>14.8</v>
      </c>
      <c r="AK9" s="11">
        <f>IF(SUM(Y9:Z9,AB9:AD9,AF9)-SUM(AA9,AE9)&gt;0,SUM(Y9:Z9,AB9:AD9,AF9)-SUM(AA9,AE9),"")</f>
        <v>70.499999999999986</v>
      </c>
      <c r="AL9" s="11">
        <f>IF(SUM(AI9,AK9)&gt;0,SUM(AI9,AK9),"")</f>
        <v>142.79999999999998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IF(SUM(AM9:AN9,AP9:AR9,AT9)-SUM(AO9,AS9)&gt;0,SUM(AM9:AN9,AP9:AR9,AT9)-SUM(AO9,AS9),"")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IF(SUM(BI9:BJ9,BL9:BN9,BP9)-SUM(BK9,BO9)&gt;0,SUM(BI9:BJ9,BL9:BN9,BP9)-SUM(BK9,BO9),"")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IF(SUM(LY9:LZ9,MB9:MD9,MF9)-SUM(MA9,ME9)&gt;0,SUM(LY9:LZ9,MB9:MD9,MF9)-SUM(MA9,ME9),"")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8" t="s">
        <v>131</v>
      </c>
      <c r="C10" s="4" t="s">
        <v>3</v>
      </c>
      <c r="D10" s="5">
        <v>2000</v>
      </c>
      <c r="E10" s="15">
        <f>SUM(J10:N10)</f>
        <v>69.900000000000006</v>
      </c>
      <c r="F10" s="3" t="str">
        <f>IF(OR(AND(AH10&gt;=AL$26,AI10&gt;=AL$30,AI10&lt;&gt;"",AG10=""),AND(BD10&gt;=BH$26,BE10&gt;=BH$30,BE10&lt;&gt;"",BC10=""),AND(BZ10&gt;=CD$26,CA10&gt;=CD$30,CA10&lt;&gt;"",BY10=""),AND(CW10&gt;=DA$26,CX10&gt;=DA$30,CX10&lt;&gt;""),AND(DR10&gt;=DV$26,DS10&gt;=DV$30,DS10&lt;&gt;""),AND(EM10&gt;=EQ$26,EN10&gt;=EQ$30,EN10&lt;&gt;""),AND(FH10&gt;=FL$26,FI10&gt;=FL$30,FI10&lt;&gt;""),AND(GC10&gt;=GG$26,GD10&gt;=GG$30,GD10&lt;&gt;""),AND(GX10&gt;=HB$26,GY10&gt;=HB$30,GY10&lt;&gt;""),AND(HS10&gt;=HW$26,HT10&gt;=HW$30,HT10&lt;&gt;""),AND(IN10&gt;=IR$26,IO10&gt;=IR$30,IO10&lt;&gt;""),AND(JI10&gt;=JM$26,JJ10&gt;=JM$30,JJ10&lt;&gt;""),AND(KD10&gt;=KH$26,KE10&gt;=KH$30,KE10&lt;&gt;""),AND(KY10&gt;=LC$26,KZ10&gt;=LC$30,KZ10&lt;&gt;""),AND(LT10&gt;=LX$26,LU10&gt;=LX$30,LU10&lt;&gt;"")),"P","")</f>
        <v>P</v>
      </c>
      <c r="G10" s="3" t="str">
        <f>IF(OR(AND(AI10&gt;=AL$30,AI10&lt;&gt;"",AG10=""),AND(BE10&gt;=BH$30,BE10&lt;&gt;"",BC10=""),AND(CA10&gt;=CD$30,CA10&lt;&gt;"",BY10=""),AND(CX10&gt;=DA$30,CX10&lt;&gt;""),AND(DS10&gt;=DV$30,DS10&lt;&gt;""),AND(EN10&gt;=EQ$30,EN10&lt;&gt;""),AND(FI10&gt;=FL$30,FI10&lt;&gt;""),AND(GD10&gt;=GG$30,GD10&lt;&gt;""),AND(GY10&gt;=HB$30,GY10&lt;&gt;""),AND(HT10&gt;=HW$30,HT10&lt;&gt;""),AND(IO10&gt;=IR$30,IO10&lt;&gt;""),AND(JJ10&gt;=JM$30,JJ10&lt;&gt;""),AND(KE10&gt;=KH$30,KE10&lt;&gt;""),AND(KZ10&gt;=LC$30,KZ10&lt;&gt;""),AND(LU10&gt;=LX$30,LU10&lt;&gt;"")),"P","")</f>
        <v>P</v>
      </c>
      <c r="H10" s="116" t="str">
        <f>IF(AND(G10="P",F10=""),"No DD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Merit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Excellence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Worlds Team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National Team","")))))</f>
        <v>National Team</v>
      </c>
      <c r="I10" s="3" t="str">
        <f>IF(OR(H10="Worlds Team",H10="Excellence",H10="Merit"),"P","")</f>
        <v/>
      </c>
      <c r="J10" s="14">
        <f>MAX(AI10,BE10,CA10)</f>
        <v>69.900000000000006</v>
      </c>
      <c r="K10" s="14" t="str">
        <f>IF(J10=0,"",IF(J10=CA10,$BI$1,IF(J10=BE10,$AM$1,IF(J10=AI10,$Q$1,""))))</f>
        <v>2019 Nationals</v>
      </c>
      <c r="L10" s="14">
        <f>IF(J10=AI10,MAX(BH10,CD10),IF(J10=BE10,MAX(AL10,CD10),MAX(AL10,BH10)))</f>
        <v>0</v>
      </c>
      <c r="M10" s="14" t="str">
        <f>IF(L10=0,"",IF(AND(J10&lt;&gt;CA10,L10=CD10),$BI$1,IF(AND(J10&lt;&gt;BE10,L10=BH10),$AM$1,IF(L10=AL10,$Q$1,""))))</f>
        <v/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>
        <v>28</v>
      </c>
      <c r="R10" s="61">
        <v>7.2</v>
      </c>
      <c r="S10" s="61">
        <v>0.3</v>
      </c>
      <c r="T10" s="61">
        <v>0</v>
      </c>
      <c r="U10" s="61">
        <v>28.1</v>
      </c>
      <c r="V10" s="61">
        <v>7.2</v>
      </c>
      <c r="W10" s="61">
        <v>0.3</v>
      </c>
      <c r="X10" s="61">
        <v>0</v>
      </c>
      <c r="Y10" s="61">
        <v>28.2</v>
      </c>
      <c r="Z10" s="61">
        <v>7.6</v>
      </c>
      <c r="AA10" s="61">
        <v>1.2</v>
      </c>
      <c r="AB10" s="61">
        <v>0</v>
      </c>
      <c r="AC10" s="61">
        <v>27.4</v>
      </c>
      <c r="AD10" s="61">
        <v>6.8</v>
      </c>
      <c r="AE10" s="61">
        <v>0.3</v>
      </c>
      <c r="AF10" s="61">
        <v>0</v>
      </c>
      <c r="AG10" s="72"/>
      <c r="AH10" s="11">
        <f>IF(SUM(R10,V10)&gt;0,SUM(R10,V10),"")</f>
        <v>14.4</v>
      </c>
      <c r="AI10" s="11">
        <f>IF(SUM(Q10:R10,T10:V10,X10)-SUM(S10,W10)&gt;0,SUM(Q10:R10,T10:V10,X10)-SUM(S10,W10),"")</f>
        <v>69.900000000000006</v>
      </c>
      <c r="AJ10" s="11">
        <f>IF(SUM(Z10,AD10)&gt;0,SUM(Z10,AD10),"")</f>
        <v>14.399999999999999</v>
      </c>
      <c r="AK10" s="11">
        <f>IF(SUM(Y10:Z10,AB10:AD10,AF10)-SUM(AA10,AE10)&gt;0,SUM(Y10:Z10,AB10:AD10,AF10)-SUM(AA10,AE10),"")</f>
        <v>68.5</v>
      </c>
      <c r="AL10" s="11">
        <f>IF(SUM(AI10,AK10)&gt;0,SUM(AI10,AK10),"")</f>
        <v>138.4</v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IF(SUM(BI10:BJ10,BL10:BN10,BP10)-SUM(BK10,BO10)&gt;0,SUM(BI10:BJ10,BL10:BN10,BP10)-SUM(BK10,BO10),"")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0</v>
      </c>
      <c r="LZ10" s="61">
        <f>IF($BY10="P",BJ10,(BJ10+AN10)/2)</f>
        <v>0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0</v>
      </c>
      <c r="MD10" s="61">
        <f>IF($BY10="P",BN10,(BN10+AR10)/2)</f>
        <v>0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 t="str">
        <f>IF(SUM(LZ10,MD10)&gt;0,SUM(LZ10,MD10),"")</f>
        <v/>
      </c>
      <c r="MQ10" s="11" t="str">
        <f>IF(SUM(LY10:LZ10,MB10:MD10,MF10)-SUM(MA10,ME10)&gt;0,SUM(LY10:LZ10,MB10:MD10,MF10)-SUM(MA10,ME10),"")</f>
        <v/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 t="str">
        <f>IF(SUM(MQ10,MS10)&gt;0,SUM(MQ10,MS10),"")</f>
        <v/>
      </c>
    </row>
    <row r="11" spans="1:358" x14ac:dyDescent="0.2">
      <c r="A11" s="5">
        <f>IF(AND(F11="P",G11="P"),SUMPRODUCT((F$4:F$24="P")*(G$4:G$24="P")*(E$4:E$24&gt;E11))+1,IF(G11="P",SUMPRODUCT((F$4:F$24="")*(G$4:G$24="P")*(E$4:E$24&gt;E11))+1+SUMPRODUCT((F$4:F$24="P")*(G$4:G$24="P")),""))</f>
        <v>8</v>
      </c>
      <c r="B11" s="8" t="s">
        <v>96</v>
      </c>
      <c r="C11" s="4" t="s">
        <v>97</v>
      </c>
      <c r="D11" s="5">
        <v>2002</v>
      </c>
      <c r="E11" s="15">
        <f>SUM(J11:N11)</f>
        <v>69.7</v>
      </c>
      <c r="F11" s="3" t="str">
        <f>IF(OR(AND(AH11&gt;=AL$26,AI11&gt;=AL$30,AI11&lt;&gt;"",AG11=""),AND(BD11&gt;=BH$26,BE11&gt;=BH$30,BE11&lt;&gt;"",BC11=""),AND(BZ11&gt;=CD$26,CA11&gt;=CD$30,CA11&lt;&gt;"",BY11=""),AND(CW11&gt;=DA$26,CX11&gt;=DA$30,CX11&lt;&gt;""),AND(DR11&gt;=DV$26,DS11&gt;=DV$30,DS11&lt;&gt;""),AND(EM11&gt;=EQ$26,EN11&gt;=EQ$30,EN11&lt;&gt;""),AND(FH11&gt;=FL$26,FI11&gt;=FL$30,FI11&lt;&gt;""),AND(GC11&gt;=GG$26,GD11&gt;=GG$30,GD11&lt;&gt;""),AND(GX11&gt;=HB$26,GY11&gt;=HB$30,GY11&lt;&gt;""),AND(HS11&gt;=HW$26,HT11&gt;=HW$30,HT11&lt;&gt;""),AND(IN11&gt;=IR$26,IO11&gt;=IR$30,IO11&lt;&gt;""),AND(JI11&gt;=JM$26,JJ11&gt;=JM$30,JJ11&lt;&gt;""),AND(KD11&gt;=KH$26,KE11&gt;=KH$30,KE11&lt;&gt;""),AND(KY11&gt;=LC$26,KZ11&gt;=LC$30,KZ11&lt;&gt;""),AND(LT11&gt;=LX$26,LU11&gt;=LX$30,LU11&lt;&gt;"")),"P","")</f>
        <v>P</v>
      </c>
      <c r="G11" s="3" t="str">
        <f>IF(OR(AND(AI11&gt;=AL$30,AI11&lt;&gt;"",AG11=""),AND(BE11&gt;=BH$30,BE11&lt;&gt;"",BC11=""),AND(CA11&gt;=CD$30,CA11&lt;&gt;"",BY11=""),AND(CX11&gt;=DA$30,CX11&lt;&gt;""),AND(DS11&gt;=DV$30,DS11&lt;&gt;""),AND(EN11&gt;=EQ$30,EN11&lt;&gt;""),AND(FI11&gt;=FL$30,FI11&lt;&gt;""),AND(GD11&gt;=GG$30,GD11&lt;&gt;""),AND(GY11&gt;=HB$30,GY11&lt;&gt;""),AND(HT11&gt;=HW$30,HT11&lt;&gt;""),AND(IO11&gt;=IR$30,IO11&lt;&gt;""),AND(JJ11&gt;=JM$30,JJ11&lt;&gt;""),AND(KE11&gt;=KH$30,KE11&lt;&gt;""),AND(KZ11&gt;=LC$30,KZ11&lt;&gt;""),AND(LU11&gt;=LX$30,LU11&lt;&gt;"")),"P","")</f>
        <v>P</v>
      </c>
      <c r="H11" s="116" t="str">
        <f>IF(AND(G11="P",F11=""),"No DD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Merit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Excellence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Worlds Team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National Team","")))))</f>
        <v>National Team</v>
      </c>
      <c r="I11" s="3" t="str">
        <f>IF(OR(H11="Worlds Team",H11="Excellence",H11="Merit"),"P","")</f>
        <v/>
      </c>
      <c r="J11" s="14">
        <f>MAX(AI11,BE11,CA11)</f>
        <v>69.7</v>
      </c>
      <c r="K11" s="14" t="str">
        <f>IF(J11=0,"",IF(J11=CA11,$BI$1,IF(J11=BE11,$AM$1,IF(J11=AI11,$Q$1,""))))</f>
        <v>2019 Nationals</v>
      </c>
      <c r="L11" s="14">
        <f>IF(J11=AI11,MAX(BH11,CD11),IF(J11=BE11,MAX(AL11,CD11),MAX(AL11,BH11)))</f>
        <v>0</v>
      </c>
      <c r="M11" s="14" t="str">
        <f>IF(L11=0,"",IF(AND(J11&lt;&gt;CA11,L11=CD11),$BI$1,IF(AND(J11&lt;&gt;BE11,L11=BH11),$AM$1,IF(L11=AL11,$Q$1,""))))</f>
        <v/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27.9</v>
      </c>
      <c r="R11" s="61">
        <v>6.4</v>
      </c>
      <c r="S11" s="61">
        <v>0.3</v>
      </c>
      <c r="T11" s="61">
        <v>0</v>
      </c>
      <c r="U11" s="61">
        <v>28.5</v>
      </c>
      <c r="V11" s="61">
        <v>7.2</v>
      </c>
      <c r="W11" s="61">
        <v>0</v>
      </c>
      <c r="X11" s="61">
        <v>0</v>
      </c>
      <c r="Y11" s="61">
        <v>27.9</v>
      </c>
      <c r="Z11" s="61">
        <v>6</v>
      </c>
      <c r="AA11" s="61">
        <v>0</v>
      </c>
      <c r="AB11" s="61">
        <v>0</v>
      </c>
      <c r="AC11" s="61">
        <v>28.4</v>
      </c>
      <c r="AD11" s="61">
        <v>6</v>
      </c>
      <c r="AE11" s="61">
        <v>0.9</v>
      </c>
      <c r="AF11" s="61">
        <v>0</v>
      </c>
      <c r="AG11" s="72"/>
      <c r="AH11" s="11">
        <f>IF(SUM(R11,V11)&gt;0,SUM(R11,V11),"")</f>
        <v>13.600000000000001</v>
      </c>
      <c r="AI11" s="11">
        <f>IF(SUM(Q11:R11,T11:V11,X11)-SUM(S11,W11)&gt;0,SUM(Q11:R11,T11:V11,X11)-SUM(S11,W11),"")</f>
        <v>69.7</v>
      </c>
      <c r="AJ11" s="11">
        <f>IF(SUM(Z11,AD11)&gt;0,SUM(Z11,AD11),"")</f>
        <v>12</v>
      </c>
      <c r="AK11" s="11">
        <f>IF(SUM(Y11:Z11,AB11:AD11,AF11)-SUM(AA11,AE11)&gt;0,SUM(Y11:Z11,AB11:AD11,AF11)-SUM(AA11,AE11),"")</f>
        <v>67.399999999999991</v>
      </c>
      <c r="AL11" s="11">
        <f>IF(SUM(AI11,AK11)&gt;0,SUM(AI11,AK11),"")</f>
        <v>137.1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72"/>
      <c r="BZ11" s="11" t="str">
        <f>IF(SUM(BJ11,BN11)&gt;0,SUM(BJ11,BN11),"")</f>
        <v/>
      </c>
      <c r="CA11" s="11" t="str">
        <f>IF(SUM(BI11:BJ11,BL11:BN11,BP11)-SUM(BK11,BO11)&gt;0,SUM(BI11:BJ11,BL11:BN11,BP11)-SUM(BK11,BO11),"")</f>
        <v/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 t="str">
        <f>IF(SUM(CA11,CC11)&gt;0,SUM(CA11,CC11),"")</f>
        <v/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0</v>
      </c>
      <c r="LZ11" s="61">
        <f>IF($BY11="P",BJ11,(BJ11+AN11)/2)</f>
        <v>0</v>
      </c>
      <c r="MA11" s="61">
        <f>IF($BY11="P",BK11,(BK11+AO11)/2)</f>
        <v>0</v>
      </c>
      <c r="MB11" s="61">
        <f>IF($BY11="P",BL11,(BL11+AP11)/2)</f>
        <v>0</v>
      </c>
      <c r="MC11" s="61">
        <f>IF($BY11="P",BM11,(BM11+AQ11)/2)</f>
        <v>0</v>
      </c>
      <c r="MD11" s="61">
        <f>IF($BY11="P",BN11,(BN11+AR11)/2)</f>
        <v>0</v>
      </c>
      <c r="ME11" s="61">
        <f>IF($BY11="P",BO11,(BO11+AS11)/2)</f>
        <v>0</v>
      </c>
      <c r="MF11" s="61">
        <f>IF($BY11="P",BP11,(BP11+AT11)/2)</f>
        <v>0</v>
      </c>
      <c r="MG11" s="61">
        <f>IF($BY11="P",BQ11,(BQ11+AU11)/2)</f>
        <v>0</v>
      </c>
      <c r="MH11" s="61">
        <f>IF($BY11="P",BR11,(BR11+AV11)/2)</f>
        <v>0</v>
      </c>
      <c r="MI11" s="61">
        <f>IF($BY11="P",BS11,(BS11+AW11)/2)</f>
        <v>0</v>
      </c>
      <c r="MJ11" s="61">
        <f>IF($BY11="P",BT11,(BT11+AX11)/2)</f>
        <v>0</v>
      </c>
      <c r="MK11" s="61">
        <f>IF($BY11="P",BU11,(BU11+AY11)/2)</f>
        <v>0</v>
      </c>
      <c r="ML11" s="61">
        <f>IF($BY11="P",BV11,(BV11+AZ11)/2)</f>
        <v>0</v>
      </c>
      <c r="MM11" s="61">
        <f>IF($BY11="P",BW11,(BW11+BA11)/2)</f>
        <v>0</v>
      </c>
      <c r="MN11" s="61">
        <f>IF($BY11="P",BX11,(BX11+BB11)/2)</f>
        <v>0</v>
      </c>
      <c r="MO11" s="72" t="s">
        <v>52</v>
      </c>
      <c r="MP11" s="11" t="str">
        <f>IF(SUM(LZ11,MD11)&gt;0,SUM(LZ11,MD11),"")</f>
        <v/>
      </c>
      <c r="MQ11" s="11" t="str">
        <f>IF(SUM(LY11:LZ11,MB11:MD11,MF11)-SUM(MA11,ME11)&gt;0,SUM(LY11:LZ11,MB11:MD11,MF11)-SUM(MA11,ME11),"")</f>
        <v/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 t="str">
        <f>IF(SUM(MQ11,MS11)&gt;0,SUM(MQ11,MS11),"")</f>
        <v/>
      </c>
    </row>
    <row r="12" spans="1:358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8" t="s">
        <v>143</v>
      </c>
      <c r="C12" s="4" t="s">
        <v>4</v>
      </c>
      <c r="D12" s="5">
        <v>2004</v>
      </c>
      <c r="E12" s="15">
        <f>SUM(J12:N12)</f>
        <v>196.8</v>
      </c>
      <c r="F12" s="3" t="str">
        <f>IF(OR(AND(AH12&gt;=AL$26,AI12&gt;=AL$30,AI12&lt;&gt;"",AG12=""),AND(BD12&gt;=BH$26,BE12&gt;=BH$30,BE12&lt;&gt;"",BC12=""),AND(BZ12&gt;=CD$26,CA12&gt;=CD$30,CA12&lt;&gt;"",BY12=""),AND(CW12&gt;=DA$26,CX12&gt;=DA$30,CX12&lt;&gt;""),AND(DR12&gt;=DV$26,DS12&gt;=DV$30,DS12&lt;&gt;""),AND(EM12&gt;=EQ$26,EN12&gt;=EQ$30,EN12&lt;&gt;""),AND(FH12&gt;=FL$26,FI12&gt;=FL$30,FI12&lt;&gt;""),AND(GC12&gt;=GG$26,GD12&gt;=GG$30,GD12&lt;&gt;""),AND(GX12&gt;=HB$26,GY12&gt;=HB$30,GY12&lt;&gt;""),AND(HS12&gt;=HW$26,HT12&gt;=HW$30,HT12&lt;&gt;""),AND(IN12&gt;=IR$26,IO12&gt;=IR$30,IO12&lt;&gt;""),AND(JI12&gt;=JM$26,JJ12&gt;=JM$30,JJ12&lt;&gt;""),AND(KD12&gt;=KH$26,KE12&gt;=KH$30,KE12&lt;&gt;""),AND(KY12&gt;=LC$26,KZ12&gt;=LC$30,KZ12&lt;&gt;""),AND(LT12&gt;=LX$26,LU12&gt;=LX$30,LU12&lt;&gt;"")),"P","")</f>
        <v/>
      </c>
      <c r="G12" s="3" t="str">
        <f>IF(OR(AND(AI12&gt;=AL$30,AI12&lt;&gt;"",AG12=""),AND(BE12&gt;=BH$30,BE12&lt;&gt;"",BC12=""),AND(CA12&gt;=CD$30,CA12&lt;&gt;"",BY12=""),AND(CX12&gt;=DA$30,CX12&lt;&gt;""),AND(DS12&gt;=DV$30,DS12&lt;&gt;""),AND(EN12&gt;=EQ$30,EN12&lt;&gt;""),AND(FI12&gt;=FL$30,FI12&lt;&gt;""),AND(GD12&gt;=GG$30,GD12&lt;&gt;""),AND(GY12&gt;=HB$30,GY12&lt;&gt;""),AND(HT12&gt;=HW$30,HT12&lt;&gt;""),AND(IO12&gt;=IR$30,IO12&lt;&gt;""),AND(JJ12&gt;=JM$30,JJ12&lt;&gt;""),AND(KE12&gt;=KH$30,KE12&lt;&gt;""),AND(KZ12&gt;=LC$30,KZ12&lt;&gt;""),AND(LU12&gt;=LX$30,LU12&lt;&gt;"")),"P","")</f>
        <v/>
      </c>
      <c r="H12" s="116" t="str">
        <f>IF(AND(G12="P",F12=""),"No DD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Merit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Excellence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Worlds Team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National Team","")))))</f>
        <v/>
      </c>
      <c r="I12" s="3" t="str">
        <f>IF(OR(H12="Worlds Team",H12="Excellence",H12="Merit"),"P","")</f>
        <v/>
      </c>
      <c r="J12" s="14">
        <f>MAX(AI12,BE12,CA12)</f>
        <v>66.499999999999986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130.30000000000001</v>
      </c>
      <c r="M12" s="14" t="str">
        <f>IF(L12=0,"",IF(AND(J12&lt;&gt;CA12,L12=CD12),$BI$1,IF(AND(J12&lt;&gt;BE12,L12=BH12),$AM$1,IF(L12=AL12,$Q$1,""))))</f>
        <v>2019 Nationals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>
        <v>27.6</v>
      </c>
      <c r="R12" s="61">
        <v>6</v>
      </c>
      <c r="S12" s="61">
        <v>0.3</v>
      </c>
      <c r="T12" s="61">
        <v>0</v>
      </c>
      <c r="U12" s="61">
        <v>27.5</v>
      </c>
      <c r="V12" s="61">
        <v>5.6</v>
      </c>
      <c r="W12" s="61">
        <v>0</v>
      </c>
      <c r="X12" s="61">
        <v>0</v>
      </c>
      <c r="Y12" s="61">
        <v>27.1</v>
      </c>
      <c r="Z12" s="61">
        <v>5.6</v>
      </c>
      <c r="AA12" s="61">
        <v>1.5</v>
      </c>
      <c r="AB12" s="61">
        <v>0</v>
      </c>
      <c r="AC12" s="61">
        <v>27.5</v>
      </c>
      <c r="AD12" s="61">
        <v>5.2</v>
      </c>
      <c r="AE12" s="61">
        <v>0</v>
      </c>
      <c r="AF12" s="61">
        <v>0</v>
      </c>
      <c r="AG12" s="72"/>
      <c r="AH12" s="11">
        <f>IF(SUM(R12,V12)&gt;0,SUM(R12,V12),"")</f>
        <v>11.6</v>
      </c>
      <c r="AI12" s="11">
        <f>IF(SUM(Q12:R12,T12:V12,X12)-SUM(S12,W12)&gt;0,SUM(Q12:R12,T12:V12,X12)-SUM(S12,W12),"")</f>
        <v>66.400000000000006</v>
      </c>
      <c r="AJ12" s="11">
        <f>IF(SUM(Z12,AD12)&gt;0,SUM(Z12,AD12),"")</f>
        <v>10.8</v>
      </c>
      <c r="AK12" s="11">
        <f>IF(SUM(Y12:Z12,AB12:AD12,AF12)-SUM(AA12,AE12)&gt;0,SUM(Y12:Z12,AB12:AD12,AF12)-SUM(AA12,AE12),"")</f>
        <v>63.900000000000006</v>
      </c>
      <c r="AL12" s="11">
        <f>IF(SUM(AI12,AK12)&gt;0,SUM(AI12,AK12),"")</f>
        <v>130.30000000000001</v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1">
        <v>28.1</v>
      </c>
      <c r="BJ12" s="61">
        <v>6</v>
      </c>
      <c r="BK12" s="61">
        <v>0.9</v>
      </c>
      <c r="BL12" s="61">
        <v>0</v>
      </c>
      <c r="BM12" s="61">
        <v>27.7</v>
      </c>
      <c r="BN12" s="61">
        <v>5.6</v>
      </c>
      <c r="BO12" s="61">
        <v>0</v>
      </c>
      <c r="BP12" s="61">
        <v>0</v>
      </c>
      <c r="BQ12" s="61">
        <v>28.2</v>
      </c>
      <c r="BR12" s="61">
        <v>6.4</v>
      </c>
      <c r="BS12" s="61">
        <v>0.9</v>
      </c>
      <c r="BT12" s="61">
        <v>0</v>
      </c>
      <c r="BU12" s="61">
        <v>27.8</v>
      </c>
      <c r="BV12" s="61">
        <v>6</v>
      </c>
      <c r="BW12" s="61">
        <v>0</v>
      </c>
      <c r="BX12" s="61">
        <v>0</v>
      </c>
      <c r="BY12" s="72"/>
      <c r="BZ12" s="11">
        <f>IF(SUM(BJ12,BN12)&gt;0,SUM(BJ12,BN12),"")</f>
        <v>11.6</v>
      </c>
      <c r="CA12" s="11">
        <f>IF(SUM(BI12:BJ12,BL12:BN12,BP12)-SUM(BK12,BO12)&gt;0,SUM(BI12:BJ12,BL12:BN12,BP12)-SUM(BK12,BO12),"")</f>
        <v>66.499999999999986</v>
      </c>
      <c r="CB12" s="11">
        <f>IF(SUM(BR12,BV12)&gt;0,SUM(BR12,BV12),"")</f>
        <v>12.4</v>
      </c>
      <c r="CC12" s="11">
        <f>IF(SUM(BQ12:BR12,BT12:BV12,BX12)-SUM(BS12,BW12)&gt;0,SUM(BQ12:BR12,BT12:BV12,BX12)-SUM(BS12,BW12),"")</f>
        <v>67.5</v>
      </c>
      <c r="CD12" s="11">
        <f>IF(SUM(CA12,CC12)&gt;0,SUM(CA12,CC12),"")</f>
        <v>134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14.05</v>
      </c>
      <c r="LZ12" s="61">
        <f>IF($BY12="P",BJ12,(BJ12+AN12)/2)</f>
        <v>3</v>
      </c>
      <c r="MA12" s="61">
        <f>IF($BY12="P",BK12,(BK12+AO12)/2)</f>
        <v>0.45</v>
      </c>
      <c r="MB12" s="61">
        <f>IF($BY12="P",BL12,(BL12+AP12)/2)</f>
        <v>0</v>
      </c>
      <c r="MC12" s="61">
        <f>IF($BY12="P",BM12,(BM12+AQ12)/2)</f>
        <v>13.85</v>
      </c>
      <c r="MD12" s="61">
        <f>IF($BY12="P",BN12,(BN12+AR12)/2)</f>
        <v>2.8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14.1</v>
      </c>
      <c r="MH12" s="61">
        <f>IF($BY12="P",BR12,(BR12+AV12)/2)</f>
        <v>3.2</v>
      </c>
      <c r="MI12" s="61">
        <f>IF($BY12="P",BS12,(BS12+AW12)/2)</f>
        <v>0.45</v>
      </c>
      <c r="MJ12" s="61">
        <f>IF($BY12="P",BT12,(BT12+AX12)/2)</f>
        <v>0</v>
      </c>
      <c r="MK12" s="61">
        <f>IF($BY12="P",BU12,(BU12+AY12)/2)</f>
        <v>13.9</v>
      </c>
      <c r="ML12" s="61">
        <f>IF($BY12="P",BV12,(BV12+AZ12)/2)</f>
        <v>3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5.8</v>
      </c>
      <c r="MQ12" s="11">
        <f>IF(SUM(LY12:LZ12,MB12:MD12,MF12)-SUM(MA12,ME12)&gt;0,SUM(LY12:LZ12,MB12:MD12,MF12)-SUM(MA12,ME12),"")</f>
        <v>33.249999999999993</v>
      </c>
      <c r="MR12" s="11">
        <f>IF(SUM(MH12,ML12)&gt;0,SUM(MH12,ML12),"")</f>
        <v>6.2</v>
      </c>
      <c r="MS12" s="11">
        <f>IF(SUM(MG12:MH12,MJ12:ML12,MN12)-SUM(MI12,MM12)&gt;0,SUM(MG12:MH12,MJ12:ML12,MN12)-SUM(MI12,MM12),"")</f>
        <v>33.75</v>
      </c>
      <c r="MT12" s="11">
        <f>IF(SUM(MQ12,MS12)&gt;0,SUM(MQ12,MS12),"")</f>
        <v>67</v>
      </c>
    </row>
    <row r="13" spans="1:358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8" t="s">
        <v>116</v>
      </c>
      <c r="C13" s="4" t="s">
        <v>6</v>
      </c>
      <c r="D13" s="5">
        <v>2000</v>
      </c>
      <c r="E13" s="15">
        <f>SUM(J13:N13)</f>
        <v>196.70000000000005</v>
      </c>
      <c r="F13" s="3" t="str">
        <f>IF(OR(AND(AH13&gt;=AL$26,AI13&gt;=AL$30,AI13&lt;&gt;"",AG13=""),AND(BD13&gt;=BH$26,BE13&gt;=BH$30,BE13&lt;&gt;"",BC13=""),AND(BZ13&gt;=CD$26,CA13&gt;=CD$30,CA13&lt;&gt;"",BY13=""),AND(CW13&gt;=DA$26,CX13&gt;=DA$30,CX13&lt;&gt;""),AND(DR13&gt;=DV$26,DS13&gt;=DV$30,DS13&lt;&gt;""),AND(EM13&gt;=EQ$26,EN13&gt;=EQ$30,EN13&lt;&gt;""),AND(FH13&gt;=FL$26,FI13&gt;=FL$30,FI13&lt;&gt;""),AND(GC13&gt;=GG$26,GD13&gt;=GG$30,GD13&lt;&gt;""),AND(GX13&gt;=HB$26,GY13&gt;=HB$30,GY13&lt;&gt;""),AND(HS13&gt;=HW$26,HT13&gt;=HW$30,HT13&lt;&gt;""),AND(IN13&gt;=IR$26,IO13&gt;=IR$30,IO13&lt;&gt;""),AND(JI13&gt;=JM$26,JJ13&gt;=JM$30,JJ13&lt;&gt;""),AND(KD13&gt;=KH$26,KE13&gt;=KH$30,KE13&lt;&gt;""),AND(KY13&gt;=LC$26,KZ13&gt;=LC$30,KZ13&lt;&gt;""),AND(LT13&gt;=LX$26,LU13&gt;=LX$30,LU13&lt;&gt;"")),"P","")</f>
        <v/>
      </c>
      <c r="G13" s="3" t="str">
        <f>IF(OR(AND(AI13&gt;=AL$30,AI13&lt;&gt;"",AG13=""),AND(BE13&gt;=BH$30,BE13&lt;&gt;"",BC13=""),AND(CA13&gt;=CD$30,CA13&lt;&gt;"",BY13=""),AND(CX13&gt;=DA$30,CX13&lt;&gt;""),AND(DS13&gt;=DV$30,DS13&lt;&gt;""),AND(EN13&gt;=EQ$30,EN13&lt;&gt;""),AND(FI13&gt;=FL$30,FI13&lt;&gt;""),AND(GD13&gt;=GG$30,GD13&lt;&gt;""),AND(GY13&gt;=HB$30,GY13&lt;&gt;""),AND(HT13&gt;=HW$30,HT13&lt;&gt;""),AND(IO13&gt;=IR$30,IO13&lt;&gt;""),AND(JJ13&gt;=JM$30,JJ13&lt;&gt;""),AND(KE13&gt;=KH$30,KE13&lt;&gt;""),AND(KZ13&gt;=LC$30,KZ13&lt;&gt;""),AND(LU13&gt;=LX$30,LU13&lt;&gt;"")),"P","")</f>
        <v/>
      </c>
      <c r="H13" s="116" t="str">
        <f>IF(AND(G13="P",F13=""),"No DD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Merit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Excellence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Worlds Team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National Team","")))))</f>
        <v/>
      </c>
      <c r="I13" s="3" t="str">
        <f>IF(OR(H13="Worlds Team",H13="Excellence",H13="Merit"),"P","")</f>
        <v/>
      </c>
      <c r="J13" s="14">
        <f>MAX(AI13,BE13,CA13)</f>
        <v>65.500000000000014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131.20000000000002</v>
      </c>
      <c r="M13" s="14" t="str">
        <f>IF(L13=0,"",IF(AND(J13&lt;&gt;CA13,L13=CD13),$BI$1,IF(AND(J13&lt;&gt;BE13,L13=BH13),$AM$1,IF(L13=AL13,$Q$1,""))))</f>
        <v>2021 1st Virtual Technical Trial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>
        <v>27.9</v>
      </c>
      <c r="R13" s="61">
        <v>4.4000000000000004</v>
      </c>
      <c r="S13" s="61">
        <v>0</v>
      </c>
      <c r="T13" s="61">
        <v>0</v>
      </c>
      <c r="U13" s="61">
        <v>27.3</v>
      </c>
      <c r="V13" s="61">
        <v>5.2</v>
      </c>
      <c r="W13" s="61">
        <v>0</v>
      </c>
      <c r="X13" s="61">
        <v>0</v>
      </c>
      <c r="Y13" s="61">
        <v>28.3</v>
      </c>
      <c r="Z13" s="61">
        <v>3.5</v>
      </c>
      <c r="AA13" s="61">
        <v>0.3</v>
      </c>
      <c r="AB13" s="61">
        <v>0</v>
      </c>
      <c r="AC13" s="61">
        <v>29</v>
      </c>
      <c r="AD13" s="61">
        <v>3.7</v>
      </c>
      <c r="AE13" s="61">
        <v>0.9</v>
      </c>
      <c r="AF13" s="61">
        <v>0</v>
      </c>
      <c r="AG13" s="72"/>
      <c r="AH13" s="11">
        <f>IF(SUM(R13,V13)&gt;0,SUM(R13,V13),"")</f>
        <v>9.6000000000000014</v>
      </c>
      <c r="AI13" s="11">
        <f>IF(SUM(Q13:R13,T13:V13,X13)-SUM(S13,W13)&gt;0,SUM(Q13:R13,T13:V13,X13)-SUM(S13,W13),"")</f>
        <v>64.8</v>
      </c>
      <c r="AJ13" s="11">
        <f>IF(SUM(Z13,AD13)&gt;0,SUM(Z13,AD13),"")</f>
        <v>7.2</v>
      </c>
      <c r="AK13" s="11">
        <f>IF(SUM(Y13:Z13,AB13:AD13,AF13)-SUM(AA13,AE13)&gt;0,SUM(Y13:Z13,AB13:AD13,AF13)-SUM(AA13,AE13),"")</f>
        <v>63.3</v>
      </c>
      <c r="AL13" s="11">
        <f>IF(SUM(AI13,AK13)&gt;0,SUM(AI13,AK13),"")</f>
        <v>128.1</v>
      </c>
      <c r="AM13" s="36">
        <v>28</v>
      </c>
      <c r="AN13" s="36">
        <v>3</v>
      </c>
      <c r="AO13" s="36">
        <v>0.6</v>
      </c>
      <c r="AP13" s="36">
        <v>0</v>
      </c>
      <c r="AQ13" s="36">
        <v>27.2</v>
      </c>
      <c r="AR13" s="36">
        <v>6.4</v>
      </c>
      <c r="AS13" s="36">
        <v>0.3</v>
      </c>
      <c r="AT13" s="36">
        <v>0</v>
      </c>
      <c r="AU13" s="36">
        <v>28.1</v>
      </c>
      <c r="AV13" s="36">
        <v>6.4</v>
      </c>
      <c r="AW13" s="36">
        <v>0.3</v>
      </c>
      <c r="AX13" s="36">
        <v>0</v>
      </c>
      <c r="AY13" s="36">
        <v>28.1</v>
      </c>
      <c r="AZ13" s="36">
        <v>6.4</v>
      </c>
      <c r="BA13" s="36">
        <v>1.2</v>
      </c>
      <c r="BB13" s="36">
        <v>0</v>
      </c>
      <c r="BC13" s="73"/>
      <c r="BD13" s="14">
        <f>IF(SUM(AN13,AR13)&gt;0,SUM(AN13,AR13),"")</f>
        <v>9.4</v>
      </c>
      <c r="BE13" s="14">
        <f>IF(SUM(AM13:AN13,AP13:AR13,AT13)-SUM(AO13,AS13)&gt;0,SUM(AM13:AN13,AP13:AR13,AT13)-SUM(AO13,AS13),"")</f>
        <v>63.70000000000001</v>
      </c>
      <c r="BF13" s="14">
        <f>IF(SUM(AV13,AZ13)&gt;0,SUM(AV13,AZ13),"")</f>
        <v>12.8</v>
      </c>
      <c r="BG13" s="14">
        <f>IF(SUM(AU13:AV13,AX13:AZ13,BB13)-SUM(AW13,BA13)&gt;0,SUM(AU13:AV13,AX13:AZ13,BB13)-SUM(AW13,BA13),"")</f>
        <v>67.5</v>
      </c>
      <c r="BH13" s="14">
        <f>IF(SUM(BE13,BG13)&gt;0,SUM(BE13,BG13),"")</f>
        <v>131.20000000000002</v>
      </c>
      <c r="BI13" s="61">
        <v>25.6</v>
      </c>
      <c r="BJ13" s="61">
        <v>7.6</v>
      </c>
      <c r="BK13" s="61">
        <v>1.5</v>
      </c>
      <c r="BL13" s="61">
        <v>0</v>
      </c>
      <c r="BM13" s="61">
        <v>27.7</v>
      </c>
      <c r="BN13" s="61">
        <v>6.4</v>
      </c>
      <c r="BO13" s="61">
        <v>0.3</v>
      </c>
      <c r="BP13" s="61">
        <v>0</v>
      </c>
      <c r="BQ13" s="61">
        <v>26.8</v>
      </c>
      <c r="BR13" s="61">
        <v>6.4</v>
      </c>
      <c r="BS13" s="61">
        <v>0.3</v>
      </c>
      <c r="BT13" s="61">
        <v>0</v>
      </c>
      <c r="BU13" s="61">
        <v>28</v>
      </c>
      <c r="BV13" s="61">
        <v>2.4</v>
      </c>
      <c r="BW13" s="61">
        <v>3.9</v>
      </c>
      <c r="BX13" s="61">
        <v>0</v>
      </c>
      <c r="BY13" s="72"/>
      <c r="BZ13" s="11">
        <f>IF(SUM(BJ13,BN13)&gt;0,SUM(BJ13,BN13),"")</f>
        <v>14</v>
      </c>
      <c r="CA13" s="11">
        <f>IF(SUM(BI13:BJ13,BL13:BN13,BP13)-SUM(BK13,BO13)&gt;0,SUM(BI13:BJ13,BL13:BN13,BP13)-SUM(BK13,BO13),"")</f>
        <v>65.500000000000014</v>
      </c>
      <c r="CB13" s="11">
        <f>IF(SUM(BR13,BV13)&gt;0,SUM(BR13,BV13),"")</f>
        <v>8.8000000000000007</v>
      </c>
      <c r="CC13" s="11">
        <f>IF(SUM(BQ13:BR13,BT13:BV13,BX13)-SUM(BS13,BW13)&gt;0,SUM(BQ13:BR13,BT13:BV13,BX13)-SUM(BS13,BW13),"")</f>
        <v>59.4</v>
      </c>
      <c r="CD13" s="11">
        <f>IF(SUM(CA13,CC13)&gt;0,SUM(CA13,CC13),"")</f>
        <v>124.9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26.8</v>
      </c>
      <c r="LZ13" s="61">
        <f>IF($BY13="P",BJ13,(BJ13+AN13)/2)</f>
        <v>5.3</v>
      </c>
      <c r="MA13" s="61">
        <f>IF($BY13="P",BK13,(BK13+AO13)/2)</f>
        <v>1.05</v>
      </c>
      <c r="MB13" s="61">
        <f>IF($BY13="P",BL13,(BL13+AP13)/2)</f>
        <v>0</v>
      </c>
      <c r="MC13" s="61">
        <f>IF($BY13="P",BM13,(BM13+AQ13)/2)</f>
        <v>27.45</v>
      </c>
      <c r="MD13" s="61">
        <f>IF($BY13="P",BN13,(BN13+AR13)/2)</f>
        <v>6.4</v>
      </c>
      <c r="ME13" s="61">
        <f>IF($BY13="P",BO13,(BO13+AS13)/2)</f>
        <v>0.3</v>
      </c>
      <c r="MF13" s="61">
        <f>IF($BY13="P",BP13,(BP13+AT13)/2)</f>
        <v>0</v>
      </c>
      <c r="MG13" s="61">
        <f>IF($BY13="P",BQ13,(BQ13+AU13)/2)</f>
        <v>27.450000000000003</v>
      </c>
      <c r="MH13" s="61">
        <f>IF($BY13="P",BR13,(BR13+AV13)/2)</f>
        <v>6.4</v>
      </c>
      <c r="MI13" s="61">
        <f>IF($BY13="P",BS13,(BS13+AW13)/2)</f>
        <v>0.3</v>
      </c>
      <c r="MJ13" s="61">
        <f>IF($BY13="P",BT13,(BT13+AX13)/2)</f>
        <v>0</v>
      </c>
      <c r="MK13" s="61">
        <f>IF($BY13="P",BU13,(BU13+AY13)/2)</f>
        <v>28.05</v>
      </c>
      <c r="ML13" s="61">
        <f>IF($BY13="P",BV13,(BV13+AZ13)/2)</f>
        <v>4.4000000000000004</v>
      </c>
      <c r="MM13" s="61">
        <f>IF($BY13="P",BW13,(BW13+BA13)/2)</f>
        <v>2.5499999999999998</v>
      </c>
      <c r="MN13" s="61">
        <f>IF($BY13="P",BX13,(BX13+BB13)/2)</f>
        <v>0</v>
      </c>
      <c r="MO13" s="72" t="s">
        <v>52</v>
      </c>
      <c r="MP13" s="11">
        <f>IF(SUM(LZ13,MD13)&gt;0,SUM(LZ13,MD13),"")</f>
        <v>11.7</v>
      </c>
      <c r="MQ13" s="11">
        <f>IF(SUM(LY13:LZ13,MB13:MD13,MF13)-SUM(MA13,ME13)&gt;0,SUM(LY13:LZ13,MB13:MD13,MF13)-SUM(MA13,ME13),"")</f>
        <v>64.600000000000009</v>
      </c>
      <c r="MR13" s="11">
        <f>IF(SUM(MH13,ML13)&gt;0,SUM(MH13,ML13),"")</f>
        <v>10.8</v>
      </c>
      <c r="MS13" s="11">
        <f>IF(SUM(MG13:MH13,MJ13:ML13,MN13)-SUM(MI13,MM13)&gt;0,SUM(MG13:MH13,MJ13:ML13,MN13)-SUM(MI13,MM13),"")</f>
        <v>63.45000000000001</v>
      </c>
      <c r="MT13" s="11">
        <f>IF(SUM(MQ13,MS13)&gt;0,SUM(MQ13,MS13),"")</f>
        <v>128.05000000000001</v>
      </c>
    </row>
    <row r="14" spans="1:358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8" t="s">
        <v>117</v>
      </c>
      <c r="C14" s="4" t="s">
        <v>4</v>
      </c>
      <c r="D14" s="5">
        <v>2004</v>
      </c>
      <c r="E14" s="15">
        <f>SUM(J14:N14)</f>
        <v>191.3</v>
      </c>
      <c r="F14" s="3" t="str">
        <f>IF(OR(AND(AH14&gt;=AL$26,AI14&gt;=AL$30,AI14&lt;&gt;"",AG14=""),AND(BD14&gt;=BH$26,BE14&gt;=BH$30,BE14&lt;&gt;"",BC14=""),AND(BZ14&gt;=CD$26,CA14&gt;=CD$30,CA14&lt;&gt;"",BY14=""),AND(CW14&gt;=DA$26,CX14&gt;=DA$30,CX14&lt;&gt;""),AND(DR14&gt;=DV$26,DS14&gt;=DV$30,DS14&lt;&gt;""),AND(EM14&gt;=EQ$26,EN14&gt;=EQ$30,EN14&lt;&gt;""),AND(FH14&gt;=FL$26,FI14&gt;=FL$30,FI14&lt;&gt;""),AND(GC14&gt;=GG$26,GD14&gt;=GG$30,GD14&lt;&gt;""),AND(GX14&gt;=HB$26,GY14&gt;=HB$30,GY14&lt;&gt;""),AND(HS14&gt;=HW$26,HT14&gt;=HW$30,HT14&lt;&gt;""),AND(IN14&gt;=IR$26,IO14&gt;=IR$30,IO14&lt;&gt;""),AND(JI14&gt;=JM$26,JJ14&gt;=JM$30,JJ14&lt;&gt;""),AND(KD14&gt;=KH$26,KE14&gt;=KH$30,KE14&lt;&gt;""),AND(KY14&gt;=LC$26,KZ14&gt;=LC$30,KZ14&lt;&gt;""),AND(LT14&gt;=LX$26,LU14&gt;=LX$30,LU14&lt;&gt;"")),"P","")</f>
        <v/>
      </c>
      <c r="G14" s="3" t="str">
        <f>IF(OR(AND(AI14&gt;=AL$30,AI14&lt;&gt;"",AG14=""),AND(BE14&gt;=BH$30,BE14&lt;&gt;"",BC14=""),AND(CA14&gt;=CD$30,CA14&lt;&gt;"",BY14=""),AND(CX14&gt;=DA$30,CX14&lt;&gt;""),AND(DS14&gt;=DV$30,DS14&lt;&gt;""),AND(EN14&gt;=EQ$30,EN14&lt;&gt;""),AND(FI14&gt;=FL$30,FI14&lt;&gt;""),AND(GD14&gt;=GG$30,GD14&lt;&gt;""),AND(GY14&gt;=HB$30,GY14&lt;&gt;""),AND(HT14&gt;=HW$30,HT14&lt;&gt;""),AND(IO14&gt;=IR$30,IO14&lt;&gt;""),AND(JJ14&gt;=JM$30,JJ14&lt;&gt;""),AND(KE14&gt;=KH$30,KE14&lt;&gt;""),AND(KZ14&gt;=LC$30,KZ14&lt;&gt;""),AND(LU14&gt;=LX$30,LU14&lt;&gt;"")),"P","")</f>
        <v/>
      </c>
      <c r="H14" s="116" t="str">
        <f>IF(AND(G14="P",F14=""),"No DD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Merit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Excellence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Worlds Team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National Team","")))))</f>
        <v/>
      </c>
      <c r="I14" s="3" t="str">
        <f>IF(OR(H14="Worlds Team",H14="Excellence",H14="Merit"),"P","")</f>
        <v/>
      </c>
      <c r="J14" s="14">
        <f>MAX(AI14,BE14,CA14)</f>
        <v>67.3</v>
      </c>
      <c r="K14" s="14" t="str">
        <f>IF(J14=0,"",IF(J14=CA14,$BI$1,IF(J14=BE14,$AM$1,IF(J14=AI14,$Q$1,""))))</f>
        <v>2021 1st Virtual Technical Trial</v>
      </c>
      <c r="L14" s="14">
        <f>IF(J14=AI14,MAX(BH14,CD14),IF(J14=BE14,MAX(AL14,CD14),MAX(AL14,BH14)))</f>
        <v>124</v>
      </c>
      <c r="M14" s="14" t="str">
        <f>IF(L14=0,"",IF(AND(J14&lt;&gt;CA14,L14=CD14),$BI$1,IF(AND(J14&lt;&gt;BE14,L14=BH14),$AM$1,IF(L14=AL14,$Q$1,""))))</f>
        <v>2021 2nd Virtual Technical Trial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28.2</v>
      </c>
      <c r="AN14" s="36">
        <v>6</v>
      </c>
      <c r="AO14" s="36">
        <v>0</v>
      </c>
      <c r="AP14" s="36">
        <v>0</v>
      </c>
      <c r="AQ14" s="36">
        <v>27.5</v>
      </c>
      <c r="AR14" s="36">
        <v>5.6</v>
      </c>
      <c r="AS14" s="36">
        <v>0</v>
      </c>
      <c r="AT14" s="36">
        <v>0</v>
      </c>
      <c r="AU14" s="36">
        <v>27.3</v>
      </c>
      <c r="AV14" s="36">
        <v>5.2</v>
      </c>
      <c r="AW14" s="36">
        <v>0</v>
      </c>
      <c r="AX14" s="36">
        <v>0</v>
      </c>
      <c r="AY14" s="36">
        <v>26.8</v>
      </c>
      <c r="AZ14" s="36">
        <v>5.2</v>
      </c>
      <c r="BA14" s="36">
        <v>0.9</v>
      </c>
      <c r="BB14" s="36">
        <v>0</v>
      </c>
      <c r="BC14" s="73"/>
      <c r="BD14" s="14">
        <f>IF(SUM(AN14,AR14)&gt;0,SUM(AN14,AR14),"")</f>
        <v>11.6</v>
      </c>
      <c r="BE14" s="14">
        <f>IF(SUM(AM14:AN14,AP14:AR14,AT14)-SUM(AO14,AS14)&gt;0,SUM(AM14:AN14,AP14:AR14,AT14)-SUM(AO14,AS14),"")</f>
        <v>67.3</v>
      </c>
      <c r="BF14" s="14">
        <f>IF(SUM(AV14,AZ14)&gt;0,SUM(AV14,AZ14),"")</f>
        <v>10.4</v>
      </c>
      <c r="BG14" s="14">
        <f>IF(SUM(AU14:AV14,AX14:AZ14,BB14)-SUM(AW14,BA14)&gt;0,SUM(AU14:AV14,AX14:AZ14,BB14)-SUM(AW14,BA14),"")</f>
        <v>63.6</v>
      </c>
      <c r="BH14" s="14">
        <f>IF(SUM(BE14,BG14)&gt;0,SUM(BE14,BG14),"")</f>
        <v>130.9</v>
      </c>
      <c r="BI14" s="61">
        <v>20.399999999999999</v>
      </c>
      <c r="BJ14" s="61">
        <v>2.4</v>
      </c>
      <c r="BK14" s="61">
        <v>0</v>
      </c>
      <c r="BL14" s="61">
        <v>0</v>
      </c>
      <c r="BM14" s="61">
        <v>28.4</v>
      </c>
      <c r="BN14" s="61">
        <v>6.4</v>
      </c>
      <c r="BO14" s="61">
        <v>0</v>
      </c>
      <c r="BP14" s="61">
        <v>0</v>
      </c>
      <c r="BQ14" s="61">
        <v>28.2</v>
      </c>
      <c r="BR14" s="61">
        <v>5.2</v>
      </c>
      <c r="BS14" s="61">
        <v>0</v>
      </c>
      <c r="BT14" s="61">
        <v>0</v>
      </c>
      <c r="BU14" s="61">
        <v>27.8</v>
      </c>
      <c r="BV14" s="61">
        <v>5.2</v>
      </c>
      <c r="BW14" s="61">
        <v>0</v>
      </c>
      <c r="BX14" s="61">
        <v>0</v>
      </c>
      <c r="BY14" s="72"/>
      <c r="BZ14" s="11">
        <f>IF(SUM(BJ14,BN14)&gt;0,SUM(BJ14,BN14),"")</f>
        <v>8.8000000000000007</v>
      </c>
      <c r="CA14" s="11">
        <f>IF(SUM(BI14:BJ14,BL14:BN14,BP14)-SUM(BK14,BO14)&gt;0,SUM(BI14:BJ14,BL14:BN14,BP14)-SUM(BK14,BO14),"")</f>
        <v>57.599999999999994</v>
      </c>
      <c r="CB14" s="11">
        <f>IF(SUM(BR14,BV14)&gt;0,SUM(BR14,BV14),"")</f>
        <v>10.4</v>
      </c>
      <c r="CC14" s="11">
        <f>IF(SUM(BQ14:BR14,BT14:BV14,BX14)-SUM(BS14,BW14)&gt;0,SUM(BQ14:BR14,BT14:BV14,BX14)-SUM(BS14,BW14),"")</f>
        <v>66.400000000000006</v>
      </c>
      <c r="CD14" s="11">
        <f>IF(SUM(CA14,CC14)&gt;0,SUM(CA14,CC14),"")</f>
        <v>124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24.299999999999997</v>
      </c>
      <c r="LZ14" s="61">
        <f>IF($BY14="P",BJ14,(BJ14+AN14)/2)</f>
        <v>4.2</v>
      </c>
      <c r="MA14" s="61">
        <f>IF($BY14="P",BK14,(BK14+AO14)/2)</f>
        <v>0</v>
      </c>
      <c r="MB14" s="61">
        <f>IF($BY14="P",BL14,(BL14+AP14)/2)</f>
        <v>0</v>
      </c>
      <c r="MC14" s="61">
        <f>IF($BY14="P",BM14,(BM14+AQ14)/2)</f>
        <v>27.95</v>
      </c>
      <c r="MD14" s="61">
        <f>IF($BY14="P",BN14,(BN14+AR14)/2)</f>
        <v>6</v>
      </c>
      <c r="ME14" s="61">
        <f>IF($BY14="P",BO14,(BO14+AS14)/2)</f>
        <v>0</v>
      </c>
      <c r="MF14" s="61">
        <f>IF($BY14="P",BP14,(BP14+AT14)/2)</f>
        <v>0</v>
      </c>
      <c r="MG14" s="61">
        <f>IF($BY14="P",BQ14,(BQ14+AU14)/2)</f>
        <v>27.75</v>
      </c>
      <c r="MH14" s="61">
        <f>IF($BY14="P",BR14,(BR14+AV14)/2)</f>
        <v>5.2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27.3</v>
      </c>
      <c r="ML14" s="61">
        <f>IF($BY14="P",BV14,(BV14+AZ14)/2)</f>
        <v>5.2</v>
      </c>
      <c r="MM14" s="61">
        <f>IF($BY14="P",BW14,(BW14+BA14)/2)</f>
        <v>0.45</v>
      </c>
      <c r="MN14" s="61">
        <f>IF($BY14="P",BX14,(BX14+BB14)/2)</f>
        <v>0</v>
      </c>
      <c r="MO14" s="72" t="s">
        <v>52</v>
      </c>
      <c r="MP14" s="11">
        <f>IF(SUM(LZ14,MD14)&gt;0,SUM(LZ14,MD14),"")</f>
        <v>10.199999999999999</v>
      </c>
      <c r="MQ14" s="11">
        <f>IF(SUM(LY14:LZ14,MB14:MD14,MF14)-SUM(MA14,ME14)&gt;0,SUM(LY14:LZ14,MB14:MD14,MF14)-SUM(MA14,ME14),"")</f>
        <v>62.449999999999996</v>
      </c>
      <c r="MR14" s="11">
        <f>IF(SUM(MH14,ML14)&gt;0,SUM(MH14,ML14),"")</f>
        <v>10.4</v>
      </c>
      <c r="MS14" s="11">
        <f>IF(SUM(MG14:MH14,MJ14:ML14,MN14)-SUM(MI14,MM14)&gt;0,SUM(MG14:MH14,MJ14:ML14,MN14)-SUM(MI14,MM14),"")</f>
        <v>65</v>
      </c>
      <c r="MT14" s="11">
        <f>IF(SUM(MQ14,MS14)&gt;0,SUM(MQ14,MS14),"")</f>
        <v>127.44999999999999</v>
      </c>
    </row>
    <row r="15" spans="1:358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8" t="s">
        <v>99</v>
      </c>
      <c r="C15" s="4" t="s">
        <v>5</v>
      </c>
      <c r="D15" s="5">
        <v>2003</v>
      </c>
      <c r="E15" s="15">
        <f>SUM(J15:N15)</f>
        <v>191.2</v>
      </c>
      <c r="F15" s="3" t="str">
        <f>IF(OR(AND(AH15&gt;=AL$26,AI15&gt;=AL$30,AI15&lt;&gt;"",AG15=""),AND(BD15&gt;=BH$26,BE15&gt;=BH$30,BE15&lt;&gt;"",BC15=""),AND(BZ15&gt;=CD$26,CA15&gt;=CD$30,CA15&lt;&gt;"",BY15=""),AND(CW15&gt;=DA$26,CX15&gt;=DA$30,CX15&lt;&gt;""),AND(DR15&gt;=DV$26,DS15&gt;=DV$30,DS15&lt;&gt;""),AND(EM15&gt;=EQ$26,EN15&gt;=EQ$30,EN15&lt;&gt;""),AND(FH15&gt;=FL$26,FI15&gt;=FL$30,FI15&lt;&gt;""),AND(GC15&gt;=GG$26,GD15&gt;=GG$30,GD15&lt;&gt;""),AND(GX15&gt;=HB$26,GY15&gt;=HB$30,GY15&lt;&gt;""),AND(HS15&gt;=HW$26,HT15&gt;=HW$30,HT15&lt;&gt;""),AND(IN15&gt;=IR$26,IO15&gt;=IR$30,IO15&lt;&gt;""),AND(JI15&gt;=JM$26,JJ15&gt;=JM$30,JJ15&lt;&gt;""),AND(KD15&gt;=KH$26,KE15&gt;=KH$30,KE15&lt;&gt;""),AND(KY15&gt;=LC$26,KZ15&gt;=LC$30,KZ15&lt;&gt;""),AND(LT15&gt;=LX$26,LU15&gt;=LX$30,LU15&lt;&gt;"")),"P","")</f>
        <v/>
      </c>
      <c r="G15" s="3" t="str">
        <f>IF(OR(AND(AI15&gt;=AL$30,AI15&lt;&gt;"",AG15=""),AND(BE15&gt;=BH$30,BE15&lt;&gt;"",BC15=""),AND(CA15&gt;=CD$30,CA15&lt;&gt;"",BY15=""),AND(CX15&gt;=DA$30,CX15&lt;&gt;""),AND(DS15&gt;=DV$30,DS15&lt;&gt;""),AND(EN15&gt;=EQ$30,EN15&lt;&gt;""),AND(FI15&gt;=FL$30,FI15&lt;&gt;""),AND(GD15&gt;=GG$30,GD15&lt;&gt;""),AND(GY15&gt;=HB$30,GY15&lt;&gt;""),AND(HT15&gt;=HW$30,HT15&lt;&gt;""),AND(IO15&gt;=IR$30,IO15&lt;&gt;""),AND(JJ15&gt;=JM$30,JJ15&lt;&gt;""),AND(KE15&gt;=KH$30,KE15&lt;&gt;""),AND(KZ15&gt;=LC$30,KZ15&lt;&gt;""),AND(LU15&gt;=LX$30,LU15&lt;&gt;"")),"P","")</f>
        <v/>
      </c>
      <c r="H15" s="116" t="str">
        <f>IF(AND(G15="P",F15=""),"No DD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Merit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Excellence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Worlds Team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National Team","")))))</f>
        <v/>
      </c>
      <c r="I15" s="3" t="str">
        <f>IF(OR(H15="Worlds Team",H15="Excellence",H15="Merit"),"P","")</f>
        <v/>
      </c>
      <c r="J15" s="14">
        <f>MAX(AI15,BE15,CA15)</f>
        <v>67.3</v>
      </c>
      <c r="K15" s="14" t="str">
        <f>IF(J15=0,"",IF(J15=CA15,$BI$1,IF(J15=BE15,$AM$1,IF(J15=AI15,$Q$1,""))))</f>
        <v>2019 Nationals</v>
      </c>
      <c r="L15" s="14">
        <f>IF(J15=AI15,MAX(BH15,CD15),IF(J15=BE15,MAX(AL15,CD15),MAX(AL15,BH15)))</f>
        <v>123.9</v>
      </c>
      <c r="M15" s="14" t="str">
        <f>IF(L15=0,"",IF(AND(J15&lt;&gt;CA15,L15=CD15),$BI$1,IF(AND(J15&lt;&gt;BE15,L15=BH15),$AM$1,IF(L15=AL15,$Q$1,""))))</f>
        <v>2021 2nd Virtual Technical Trial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>
        <v>28</v>
      </c>
      <c r="R15" s="61">
        <v>6.4</v>
      </c>
      <c r="S15" s="61">
        <v>0</v>
      </c>
      <c r="T15" s="61">
        <v>0</v>
      </c>
      <c r="U15" s="61">
        <v>27.2</v>
      </c>
      <c r="V15" s="61">
        <v>6</v>
      </c>
      <c r="W15" s="61">
        <v>0.3</v>
      </c>
      <c r="X15" s="61">
        <v>0</v>
      </c>
      <c r="Y15" s="61">
        <v>0</v>
      </c>
      <c r="Z15" s="61">
        <v>0</v>
      </c>
      <c r="AA15" s="61">
        <v>0</v>
      </c>
      <c r="AB15" s="61">
        <v>0</v>
      </c>
      <c r="AC15" s="61">
        <v>24.9</v>
      </c>
      <c r="AD15" s="61">
        <v>6.9</v>
      </c>
      <c r="AE15" s="61">
        <v>0.3</v>
      </c>
      <c r="AF15" s="61">
        <v>0</v>
      </c>
      <c r="AG15" s="72"/>
      <c r="AH15" s="11">
        <f>IF(SUM(R15,V15)&gt;0,SUM(R15,V15),"")</f>
        <v>12.4</v>
      </c>
      <c r="AI15" s="11">
        <f>IF(SUM(Q15:R15,T15:V15,X15)-SUM(S15,W15)&gt;0,SUM(Q15:R15,T15:V15,X15)-SUM(S15,W15),"")</f>
        <v>67.3</v>
      </c>
      <c r="AJ15" s="11">
        <f>IF(SUM(Z15,AD15)&gt;0,SUM(Z15,AD15),"")</f>
        <v>6.9</v>
      </c>
      <c r="AK15" s="11">
        <f>IF(SUM(Y15:Z15,AB15:AD15,AF15)-SUM(AA15,AE15)&gt;0,SUM(Y15:Z15,AB15:AD15,AF15)-SUM(AA15,AE15),"")</f>
        <v>31.499999999999996</v>
      </c>
      <c r="AL15" s="11">
        <f>IF(SUM(AI15,AK15)&gt;0,SUM(AI15,AK15),"")</f>
        <v>98.8</v>
      </c>
      <c r="AM15" s="36">
        <v>25.4</v>
      </c>
      <c r="AN15" s="36">
        <v>4.4000000000000004</v>
      </c>
      <c r="AO15" s="36">
        <v>0.9</v>
      </c>
      <c r="AP15" s="36">
        <v>0</v>
      </c>
      <c r="AQ15" s="36">
        <v>28.5</v>
      </c>
      <c r="AR15" s="36">
        <v>3.1</v>
      </c>
      <c r="AS15" s="36">
        <v>0.3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73"/>
      <c r="BD15" s="14">
        <f>IF(SUM(AN15,AR15)&gt;0,SUM(AN15,AR15),"")</f>
        <v>7.5</v>
      </c>
      <c r="BE15" s="14">
        <f>IF(SUM(AM15:AN15,AP15:AR15,AT15)-SUM(AO15,AS15)&gt;0,SUM(AM15:AN15,AP15:AR15,AT15)-SUM(AO15,AS15),"")</f>
        <v>60.199999999999996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60.199999999999996</v>
      </c>
      <c r="BI15" s="61">
        <v>28.2</v>
      </c>
      <c r="BJ15" s="61">
        <v>7.2</v>
      </c>
      <c r="BK15" s="61">
        <v>0.9</v>
      </c>
      <c r="BL15" s="61">
        <v>0</v>
      </c>
      <c r="BM15" s="61">
        <v>20.100000000000001</v>
      </c>
      <c r="BN15" s="61">
        <v>3.2</v>
      </c>
      <c r="BO15" s="61">
        <v>0</v>
      </c>
      <c r="BP15" s="61">
        <v>0</v>
      </c>
      <c r="BQ15" s="61">
        <v>28</v>
      </c>
      <c r="BR15" s="61">
        <v>6.9</v>
      </c>
      <c r="BS15" s="61">
        <v>0</v>
      </c>
      <c r="BT15" s="61">
        <v>0</v>
      </c>
      <c r="BU15" s="61">
        <v>28.6</v>
      </c>
      <c r="BV15" s="61">
        <v>4.3</v>
      </c>
      <c r="BW15" s="61">
        <v>1.7</v>
      </c>
      <c r="BX15" s="61">
        <v>0</v>
      </c>
      <c r="BY15" s="72"/>
      <c r="BZ15" s="11">
        <f>IF(SUM(BJ15,BN15)&gt;0,SUM(BJ15,BN15),"")</f>
        <v>10.4</v>
      </c>
      <c r="CA15" s="11">
        <f>IF(SUM(BI15:BJ15,BL15:BN15,BP15)-SUM(BK15,BO15)&gt;0,SUM(BI15:BJ15,BL15:BN15,BP15)-SUM(BK15,BO15),"")</f>
        <v>57.800000000000004</v>
      </c>
      <c r="CB15" s="11">
        <f>IF(SUM(BR15,BV15)&gt;0,SUM(BR15,BV15),"")</f>
        <v>11.2</v>
      </c>
      <c r="CC15" s="11">
        <f>IF(SUM(BQ15:BR15,BT15:BV15,BX15)-SUM(BS15,BW15)&gt;0,SUM(BQ15:BR15,BT15:BV15,BX15)-SUM(BS15,BW15),"")</f>
        <v>66.099999999999994</v>
      </c>
      <c r="CD15" s="11">
        <f>IF(SUM(CA15,CC15)&gt;0,SUM(CA15,CC15),"")</f>
        <v>123.9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26.799999999999997</v>
      </c>
      <c r="LZ15" s="61">
        <f>IF($BY15="P",BJ15,(BJ15+AN15)/2)</f>
        <v>5.8000000000000007</v>
      </c>
      <c r="MA15" s="61">
        <f>IF($BY15="P",BK15,(BK15+AO15)/2)</f>
        <v>0.9</v>
      </c>
      <c r="MB15" s="61">
        <f>IF($BY15="P",BL15,(BL15+AP15)/2)</f>
        <v>0</v>
      </c>
      <c r="MC15" s="61">
        <f>IF($BY15="P",BM15,(BM15+AQ15)/2)</f>
        <v>24.3</v>
      </c>
      <c r="MD15" s="61">
        <f>IF($BY15="P",BN15,(BN15+AR15)/2)</f>
        <v>3.1500000000000004</v>
      </c>
      <c r="ME15" s="61">
        <f>IF($BY15="P",BO15,(BO15+AS15)/2)</f>
        <v>0.15</v>
      </c>
      <c r="MF15" s="61">
        <f>IF($BY15="P",BP15,(BP15+AT15)/2)</f>
        <v>0</v>
      </c>
      <c r="MG15" s="61">
        <f>IF($BY15="P",BQ15,(BQ15+AU15)/2)</f>
        <v>14</v>
      </c>
      <c r="MH15" s="61">
        <f>IF($BY15="P",BR15,(BR15+AV15)/2)</f>
        <v>3.45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14.3</v>
      </c>
      <c r="ML15" s="61">
        <f>IF($BY15="P",BV15,(BV15+AZ15)/2)</f>
        <v>2.15</v>
      </c>
      <c r="MM15" s="61">
        <f>IF($BY15="P",BW15,(BW15+BA15)/2)</f>
        <v>0.85</v>
      </c>
      <c r="MN15" s="61">
        <f>IF($BY15="P",BX15,(BX15+BB15)/2)</f>
        <v>0</v>
      </c>
      <c r="MO15" s="72" t="s">
        <v>52</v>
      </c>
      <c r="MP15" s="11">
        <f>IF(SUM(LZ15,MD15)&gt;0,SUM(LZ15,MD15),"")</f>
        <v>8.9500000000000011</v>
      </c>
      <c r="MQ15" s="11">
        <f>IF(SUM(LY15:LZ15,MB15:MD15,MF15)-SUM(MA15,ME15)&gt;0,SUM(LY15:LZ15,MB15:MD15,MF15)-SUM(MA15,ME15),"")</f>
        <v>58.999999999999993</v>
      </c>
      <c r="MR15" s="11">
        <f>IF(SUM(MH15,ML15)&gt;0,SUM(MH15,ML15),"")</f>
        <v>5.6</v>
      </c>
      <c r="MS15" s="11">
        <f>IF(SUM(MG15:MH15,MJ15:ML15,MN15)-SUM(MI15,MM15)&gt;0,SUM(MG15:MH15,MJ15:ML15,MN15)-SUM(MI15,MM15),"")</f>
        <v>33.049999999999997</v>
      </c>
      <c r="MT15" s="11">
        <f>IF(SUM(MQ15,MS15)&gt;0,SUM(MQ15,MS15),"")</f>
        <v>92.049999999999983</v>
      </c>
    </row>
    <row r="16" spans="1:358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8" t="s">
        <v>104</v>
      </c>
      <c r="C16" s="4" t="s">
        <v>5</v>
      </c>
      <c r="D16" s="5">
        <v>2002</v>
      </c>
      <c r="E16" s="15">
        <f>SUM(J16:N16)</f>
        <v>94.4</v>
      </c>
      <c r="F16" s="3" t="str">
        <f>IF(OR(AND(AH16&gt;=AL$26,AI16&gt;=AL$30,AI16&lt;&gt;"",AG16=""),AND(BD16&gt;=BH$26,BE16&gt;=BH$30,BE16&lt;&gt;"",BC16=""),AND(BZ16&gt;=CD$26,CA16&gt;=CD$30,CA16&lt;&gt;"",BY16=""),AND(CW16&gt;=DA$26,CX16&gt;=DA$30,CX16&lt;&gt;""),AND(DR16&gt;=DV$26,DS16&gt;=DV$30,DS16&lt;&gt;""),AND(EM16&gt;=EQ$26,EN16&gt;=EQ$30,EN16&lt;&gt;""),AND(FH16&gt;=FL$26,FI16&gt;=FL$30,FI16&lt;&gt;""),AND(GC16&gt;=GG$26,GD16&gt;=GG$30,GD16&lt;&gt;""),AND(GX16&gt;=HB$26,GY16&gt;=HB$30,GY16&lt;&gt;""),AND(HS16&gt;=HW$26,HT16&gt;=HW$30,HT16&lt;&gt;""),AND(IN16&gt;=IR$26,IO16&gt;=IR$30,IO16&lt;&gt;""),AND(JI16&gt;=JM$26,JJ16&gt;=JM$30,JJ16&lt;&gt;""),AND(KD16&gt;=KH$26,KE16&gt;=KH$30,KE16&lt;&gt;""),AND(KY16&gt;=LC$26,KZ16&gt;=LC$30,KZ16&lt;&gt;""),AND(LT16&gt;=LX$26,LU16&gt;=LX$30,LU16&lt;&gt;"")),"P","")</f>
        <v/>
      </c>
      <c r="G16" s="3" t="str">
        <f>IF(OR(AND(AI16&gt;=AL$30,AI16&lt;&gt;"",AG16=""),AND(BE16&gt;=BH$30,BE16&lt;&gt;"",BC16=""),AND(CA16&gt;=CD$30,CA16&lt;&gt;"",BY16=""),AND(CX16&gt;=DA$30,CX16&lt;&gt;""),AND(DS16&gt;=DV$30,DS16&lt;&gt;""),AND(EN16&gt;=EQ$30,EN16&lt;&gt;""),AND(FI16&gt;=FL$30,FI16&lt;&gt;""),AND(GD16&gt;=GG$30,GD16&lt;&gt;""),AND(GY16&gt;=HB$30,GY16&lt;&gt;""),AND(HT16&gt;=HW$30,HT16&lt;&gt;""),AND(IO16&gt;=IR$30,IO16&lt;&gt;""),AND(JJ16&gt;=JM$30,JJ16&lt;&gt;""),AND(KE16&gt;=KH$30,KE16&lt;&gt;""),AND(KZ16&gt;=LC$30,KZ16&lt;&gt;""),AND(LU16&gt;=LX$30,LU16&lt;&gt;"")),"P","")</f>
        <v/>
      </c>
      <c r="H16" s="116" t="str">
        <f>IF(AND(G16="P",F16=""),"No DD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Merit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Excellence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Worlds Team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National Team","")))))</f>
        <v/>
      </c>
      <c r="I16" s="3" t="str">
        <f>IF(OR(H16="Worlds Team",H16="Excellence",H16="Merit"),"P","")</f>
        <v/>
      </c>
      <c r="J16" s="14">
        <f>MAX(AI16,BE16,CA16)</f>
        <v>61.400000000000006</v>
      </c>
      <c r="K16" s="14" t="str">
        <f>IF(J16=0,"",IF(J16=CA16,$BI$1,IF(J16=BE16,$AM$1,IF(J16=AI16,$Q$1,""))))</f>
        <v>2021 1st Virtual Technical Trial</v>
      </c>
      <c r="L16" s="14">
        <f>IF(J16=AI16,MAX(BH16,CD16),IF(J16=BE16,MAX(AL16,CD16),MAX(AL16,BH16)))</f>
        <v>33</v>
      </c>
      <c r="M16" s="14" t="str">
        <f>IF(L16=0,"",IF(AND(J16&lt;&gt;CA16,L16=CD16),$BI$1,IF(AND(J16&lt;&gt;BE16,L16=BH16),$AM$1,IF(L16=AL16,$Q$1,""))))</f>
        <v>2019 Nationals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>
        <v>0</v>
      </c>
      <c r="R16" s="61">
        <v>0</v>
      </c>
      <c r="S16" s="61">
        <v>0</v>
      </c>
      <c r="T16" s="61">
        <v>0</v>
      </c>
      <c r="U16" s="61">
        <v>28.2</v>
      </c>
      <c r="V16" s="61">
        <v>6</v>
      </c>
      <c r="W16" s="61">
        <v>1.2</v>
      </c>
      <c r="X16" s="61">
        <v>0</v>
      </c>
      <c r="Y16" s="61"/>
      <c r="Z16" s="61"/>
      <c r="AA16" s="61"/>
      <c r="AB16" s="61"/>
      <c r="AC16" s="61"/>
      <c r="AD16" s="61"/>
      <c r="AE16" s="61"/>
      <c r="AF16" s="61"/>
      <c r="AG16" s="72"/>
      <c r="AH16" s="11">
        <f>IF(SUM(R16,V16)&gt;0,SUM(R16,V16),"")</f>
        <v>6</v>
      </c>
      <c r="AI16" s="11">
        <f>IF(SUM(Q16:R16,T16:V16,X16)-SUM(S16,W16)&gt;0,SUM(Q16:R16,T16:V16,X16)-SUM(S16,W16),"")</f>
        <v>33</v>
      </c>
      <c r="AJ16" s="11" t="str">
        <f>IF(SUM(Z16,AD16)&gt;0,SUM(Z16,AD16),"")</f>
        <v/>
      </c>
      <c r="AK16" s="11" t="str">
        <f>IF(SUM(Y16:Z16,AB16:AD16,AF16)-SUM(AA16,AE16)&gt;0,SUM(Y16:Z16,AB16:AD16,AF16)-SUM(AA16,AE16),"")</f>
        <v/>
      </c>
      <c r="AL16" s="11">
        <f>IF(SUM(AI16,AK16)&gt;0,SUM(AI16,AK16),"")</f>
        <v>33</v>
      </c>
      <c r="AM16" s="36">
        <v>27.5</v>
      </c>
      <c r="AN16" s="36">
        <v>6</v>
      </c>
      <c r="AO16" s="36">
        <v>0</v>
      </c>
      <c r="AP16" s="36">
        <v>0</v>
      </c>
      <c r="AQ16" s="36">
        <v>28</v>
      </c>
      <c r="AR16" s="36">
        <v>3.4</v>
      </c>
      <c r="AS16" s="36">
        <v>3.5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>IF(SUM(AN16,AR16)&gt;0,SUM(AN16,AR16),"")</f>
        <v>9.4</v>
      </c>
      <c r="BE16" s="14">
        <f>IF(SUM(AM16:AN16,AP16:AR16,AT16)-SUM(AO16,AS16)&gt;0,SUM(AM16:AN16,AP16:AR16,AT16)-SUM(AO16,AS16),"")</f>
        <v>61.400000000000006</v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>
        <f>IF(SUM(BE16,BG16)&gt;0,SUM(BE16,BG16),"")</f>
        <v>61.400000000000006</v>
      </c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72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13.75</v>
      </c>
      <c r="LZ16" s="61">
        <f>IF($BY16="P",BJ16,(BJ16+AN16)/2)</f>
        <v>3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14</v>
      </c>
      <c r="MD16" s="61">
        <f>IF($BY16="P",BN16,(BN16+AR16)/2)</f>
        <v>1.7</v>
      </c>
      <c r="ME16" s="61">
        <f>IF($BY16="P",BO16,(BO16+AS16)/2)</f>
        <v>1.75</v>
      </c>
      <c r="MF16" s="61">
        <f>IF($BY16="P",BP16,(BP16+AT16)/2)</f>
        <v>0</v>
      </c>
      <c r="MG16" s="61">
        <f>IF($BY16="P",BQ16,(BQ16+AU16)/2)</f>
        <v>0</v>
      </c>
      <c r="MH16" s="61">
        <f>IF($BY16="P",BR16,(BR16+AV16)/2)</f>
        <v>0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>
        <f>IF(SUM(LZ16,MD16)&gt;0,SUM(LZ16,MD16),"")</f>
        <v>4.7</v>
      </c>
      <c r="MQ16" s="11">
        <f>IF(SUM(LY16:LZ16,MB16:MD16,MF16)-SUM(MA16,ME16)&gt;0,SUM(LY16:LZ16,MB16:MD16,MF16)-SUM(MA16,ME16),"")</f>
        <v>30.700000000000003</v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>
        <f>IF(SUM(MQ16,MS16)&gt;0,SUM(MQ16,MS16),"")</f>
        <v>30.700000000000003</v>
      </c>
    </row>
    <row r="17" spans="1:358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8" t="s">
        <v>93</v>
      </c>
      <c r="C17" s="4" t="s">
        <v>4</v>
      </c>
      <c r="D17" s="5">
        <v>2003</v>
      </c>
      <c r="E17" s="15">
        <f>SUM(J17:N17)</f>
        <v>67.400000000000006</v>
      </c>
      <c r="F17" s="3" t="str">
        <f>IF(OR(AND(AH17&gt;=AL$26,AI17&gt;=AL$30,AI17&lt;&gt;"",AG17=""),AND(BD17&gt;=BH$26,BE17&gt;=BH$30,BE17&lt;&gt;"",BC17=""),AND(BZ17&gt;=CD$26,CA17&gt;=CD$30,CA17&lt;&gt;"",BY17=""),AND(CW17&gt;=DA$26,CX17&gt;=DA$30,CX17&lt;&gt;""),AND(DR17&gt;=DV$26,DS17&gt;=DV$30,DS17&lt;&gt;""),AND(EM17&gt;=EQ$26,EN17&gt;=EQ$30,EN17&lt;&gt;""),AND(FH17&gt;=FL$26,FI17&gt;=FL$30,FI17&lt;&gt;""),AND(GC17&gt;=GG$26,GD17&gt;=GG$30,GD17&lt;&gt;""),AND(GX17&gt;=HB$26,GY17&gt;=HB$30,GY17&lt;&gt;""),AND(HS17&gt;=HW$26,HT17&gt;=HW$30,HT17&lt;&gt;""),AND(IN17&gt;=IR$26,IO17&gt;=IR$30,IO17&lt;&gt;""),AND(JI17&gt;=JM$26,JJ17&gt;=JM$30,JJ17&lt;&gt;""),AND(KD17&gt;=KH$26,KE17&gt;=KH$30,KE17&lt;&gt;""),AND(KY17&gt;=LC$26,KZ17&gt;=LC$30,KZ17&lt;&gt;""),AND(LT17&gt;=LX$26,LU17&gt;=LX$30,LU17&lt;&gt;"")),"P","")</f>
        <v/>
      </c>
      <c r="G17" s="3" t="str">
        <f>IF(OR(AND(AI17&gt;=AL$30,AI17&lt;&gt;"",AG17=""),AND(BE17&gt;=BH$30,BE17&lt;&gt;"",BC17=""),AND(CA17&gt;=CD$30,CA17&lt;&gt;"",BY17=""),AND(CX17&gt;=DA$30,CX17&lt;&gt;""),AND(DS17&gt;=DV$30,DS17&lt;&gt;""),AND(EN17&gt;=EQ$30,EN17&lt;&gt;""),AND(FI17&gt;=FL$30,FI17&lt;&gt;""),AND(GD17&gt;=GG$30,GD17&lt;&gt;""),AND(GY17&gt;=HB$30,GY17&lt;&gt;""),AND(HT17&gt;=HW$30,HT17&lt;&gt;""),AND(IO17&gt;=IR$30,IO17&lt;&gt;""),AND(JJ17&gt;=JM$30,JJ17&lt;&gt;""),AND(KE17&gt;=KH$30,KE17&lt;&gt;""),AND(KZ17&gt;=LC$30,KZ17&lt;&gt;""),AND(LU17&gt;=LX$30,LU17&lt;&gt;"")),"P","")</f>
        <v/>
      </c>
      <c r="H17" s="116" t="str">
        <f>IF(AND(G17="P",F17=""),"No DD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Merit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Excellence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Worlds Team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National Team","")))))</f>
        <v/>
      </c>
      <c r="I17" s="3" t="str">
        <f>IF(OR(H17="Worlds Team",H17="Excellence",H17="Merit"),"P","")</f>
        <v/>
      </c>
      <c r="J17" s="14">
        <f>MAX(AI17,BE17,CA17)</f>
        <v>67.400000000000006</v>
      </c>
      <c r="K17" s="14" t="str">
        <f>IF(J17=0,"",IF(J17=CA17,$BI$1,IF(J17=BE17,$AM$1,IF(J17=AI17,$Q$1,""))))</f>
        <v>2019 Nationals</v>
      </c>
      <c r="L17" s="14">
        <f>IF(J17=AI17,MAX(BH17,CD17),IF(J17=BE17,MAX(AL17,CD17),MAX(AL17,BH17)))</f>
        <v>0</v>
      </c>
      <c r="M17" s="14" t="str">
        <f>IF(L17=0,"",IF(AND(J17&lt;&gt;CA17,L17=CD17),$BI$1,IF(AND(J17&lt;&gt;BE17,L17=BH17),$AM$1,IF(L17=AL17,$Q$1,""))))</f>
        <v/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>
        <v>28.6</v>
      </c>
      <c r="R17" s="61">
        <v>6.8</v>
      </c>
      <c r="S17" s="61">
        <v>0.9</v>
      </c>
      <c r="T17" s="61">
        <v>0</v>
      </c>
      <c r="U17" s="61">
        <v>27.4</v>
      </c>
      <c r="V17" s="61">
        <v>6.4</v>
      </c>
      <c r="W17" s="61">
        <v>0.9</v>
      </c>
      <c r="X17" s="61">
        <v>0</v>
      </c>
      <c r="Y17" s="61"/>
      <c r="Z17" s="61"/>
      <c r="AA17" s="61"/>
      <c r="AB17" s="61"/>
      <c r="AC17" s="61"/>
      <c r="AD17" s="61"/>
      <c r="AE17" s="61"/>
      <c r="AF17" s="61"/>
      <c r="AG17" s="72"/>
      <c r="AH17" s="11">
        <f>IF(SUM(R17,V17)&gt;0,SUM(R17,V17),"")</f>
        <v>13.2</v>
      </c>
      <c r="AI17" s="11">
        <f>IF(SUM(Q17:R17,T17:V17,X17)-SUM(S17,W17)&gt;0,SUM(Q17:R17,T17:V17,X17)-SUM(S17,W17),"")</f>
        <v>67.400000000000006</v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>
        <f>IF(SUM(AI17,AK17)&gt;0,SUM(AI17,AK17),"")</f>
        <v>67.400000000000006</v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72"/>
      <c r="BZ17" s="11" t="str">
        <f>IF(SUM(BJ17,BN17)&gt;0,SUM(BJ17,BN17),"")</f>
        <v/>
      </c>
      <c r="CA17" s="11" t="str">
        <f>IF(SUM(BI17:BJ17,BL17:BN17,BP17)-SUM(BK17,BO17)&gt;0,SUM(BI17:BJ17,BL17:BN17,BP17)-SUM(BK17,BO17),"")</f>
        <v/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 t="str">
        <f>IF(SUM(CA17,CC17)&gt;0,SUM(CA17,CC17),"")</f>
        <v/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0</v>
      </c>
      <c r="LZ17" s="61">
        <f>IF($BY17="P",BJ17,(BJ17+AN17)/2)</f>
        <v>0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0</v>
      </c>
      <c r="MD17" s="61">
        <f>IF($BY17="P",BN17,(BN17+AR17)/2)</f>
        <v>0</v>
      </c>
      <c r="ME17" s="61">
        <f>IF($BY17="P",BO17,(BO17+AS17)/2)</f>
        <v>0</v>
      </c>
      <c r="MF17" s="61">
        <f>IF($BY17="P",BP17,(BP17+AT17)/2)</f>
        <v>0</v>
      </c>
      <c r="MG17" s="61">
        <f>IF($BY17="P",BQ17,(BQ17+AU17)/2)</f>
        <v>0</v>
      </c>
      <c r="MH17" s="61">
        <f>IF($BY17="P",BR17,(BR17+AV17)/2)</f>
        <v>0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 t="str">
        <f>IF(SUM(LZ17,MD17)&gt;0,SUM(LZ17,MD17),"")</f>
        <v/>
      </c>
      <c r="MQ17" s="11" t="str">
        <f>IF(SUM(LY17:LZ17,MB17:MD17,MF17)-SUM(MA17,ME17)&gt;0,SUM(LY17:LZ17,MB17:MD17,MF17)-SUM(MA17,ME17),"")</f>
        <v/>
      </c>
      <c r="MR17" s="11" t="str">
        <f>IF(SUM(MH17,ML17)&gt;0,SUM(MH17,ML17),"")</f>
        <v/>
      </c>
      <c r="MS17" s="11" t="str">
        <f>IF(SUM(MG17:MH17,MJ17:ML17,MN17)-SUM(MI17,MM17)&gt;0,SUM(MG17:MH17,MJ17:ML17,MN17)-SUM(MI17,MM17),"")</f>
        <v/>
      </c>
      <c r="MT17" s="11" t="str">
        <f>IF(SUM(MQ17,MS17)&gt;0,SUM(MQ17,MS17),"")</f>
        <v/>
      </c>
    </row>
    <row r="18" spans="1:358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8" t="s">
        <v>132</v>
      </c>
      <c r="C18" s="4" t="s">
        <v>5</v>
      </c>
      <c r="D18" s="5">
        <v>2001</v>
      </c>
      <c r="E18" s="15">
        <f>SUM(J18:N18)</f>
        <v>67.300000000000011</v>
      </c>
      <c r="F18" s="3" t="str">
        <f>IF(OR(AND(AH18&gt;=AL$26,AI18&gt;=AL$30,AI18&lt;&gt;"",AG18=""),AND(BD18&gt;=BH$26,BE18&gt;=BH$30,BE18&lt;&gt;"",BC18=""),AND(BZ18&gt;=CD$26,CA18&gt;=CD$30,CA18&lt;&gt;"",BY18=""),AND(CW18&gt;=DA$26,CX18&gt;=DA$30,CX18&lt;&gt;""),AND(DR18&gt;=DV$26,DS18&gt;=DV$30,DS18&lt;&gt;""),AND(EM18&gt;=EQ$26,EN18&gt;=EQ$30,EN18&lt;&gt;""),AND(FH18&gt;=FL$26,FI18&gt;=FL$30,FI18&lt;&gt;""),AND(GC18&gt;=GG$26,GD18&gt;=GG$30,GD18&lt;&gt;""),AND(GX18&gt;=HB$26,GY18&gt;=HB$30,GY18&lt;&gt;""),AND(HS18&gt;=HW$26,HT18&gt;=HW$30,HT18&lt;&gt;""),AND(IN18&gt;=IR$26,IO18&gt;=IR$30,IO18&lt;&gt;""),AND(JI18&gt;=JM$26,JJ18&gt;=JM$30,JJ18&lt;&gt;""),AND(KD18&gt;=KH$26,KE18&gt;=KH$30,KE18&lt;&gt;""),AND(KY18&gt;=LC$26,KZ18&gt;=LC$30,KZ18&lt;&gt;""),AND(LT18&gt;=LX$26,LU18&gt;=LX$30,LU18&lt;&gt;"")),"P","")</f>
        <v/>
      </c>
      <c r="G18" s="3" t="str">
        <f>IF(OR(AND(AI18&gt;=AL$30,AI18&lt;&gt;"",AG18=""),AND(BE18&gt;=BH$30,BE18&lt;&gt;"",BC18=""),AND(CA18&gt;=CD$30,CA18&lt;&gt;"",BY18=""),AND(CX18&gt;=DA$30,CX18&lt;&gt;""),AND(DS18&gt;=DV$30,DS18&lt;&gt;""),AND(EN18&gt;=EQ$30,EN18&lt;&gt;""),AND(FI18&gt;=FL$30,FI18&lt;&gt;""),AND(GD18&gt;=GG$30,GD18&lt;&gt;""),AND(GY18&gt;=HB$30,GY18&lt;&gt;""),AND(HT18&gt;=HW$30,HT18&lt;&gt;""),AND(IO18&gt;=IR$30,IO18&lt;&gt;""),AND(JJ18&gt;=JM$30,JJ18&lt;&gt;""),AND(KE18&gt;=KH$30,KE18&lt;&gt;""),AND(KZ18&gt;=LC$30,KZ18&lt;&gt;""),AND(LU18&gt;=LX$30,LU18&lt;&gt;"")),"P","")</f>
        <v/>
      </c>
      <c r="H18" s="116" t="str">
        <f>IF(AND(G18="P",F18=""),"No DD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Merit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Excellence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Worlds Team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National Team","")))))</f>
        <v/>
      </c>
      <c r="I18" s="3" t="str">
        <f>IF(OR(H18="Worlds Team",H18="Excellence",H18="Merit"),"P","")</f>
        <v/>
      </c>
      <c r="J18" s="14">
        <f>MAX(AI18,BE18,CA18)</f>
        <v>67.300000000000011</v>
      </c>
      <c r="K18" s="14" t="str">
        <f>IF(J18=0,"",IF(J18=CA18,$BI$1,IF(J18=BE18,$AM$1,IF(J18=AI18,$Q$1,""))))</f>
        <v>2019 Nationals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25.2</v>
      </c>
      <c r="R18" s="61">
        <v>8</v>
      </c>
      <c r="S18" s="61">
        <v>0.9</v>
      </c>
      <c r="T18" s="61">
        <v>0</v>
      </c>
      <c r="U18" s="61">
        <v>27.8</v>
      </c>
      <c r="V18" s="61">
        <v>8.4</v>
      </c>
      <c r="W18" s="61">
        <v>1.2</v>
      </c>
      <c r="X18" s="61">
        <v>0</v>
      </c>
      <c r="Y18" s="61">
        <v>20.6</v>
      </c>
      <c r="Z18" s="61">
        <v>2.4</v>
      </c>
      <c r="AA18" s="61">
        <v>0</v>
      </c>
      <c r="AB18" s="61">
        <v>0</v>
      </c>
      <c r="AC18" s="61">
        <v>24.5</v>
      </c>
      <c r="AD18" s="61">
        <v>7.7</v>
      </c>
      <c r="AE18" s="61">
        <v>1.2</v>
      </c>
      <c r="AF18" s="61">
        <v>0</v>
      </c>
      <c r="AG18" s="72"/>
      <c r="AH18" s="11">
        <f>IF(SUM(R18,V18)&gt;0,SUM(R18,V18),"")</f>
        <v>16.399999999999999</v>
      </c>
      <c r="AI18" s="11">
        <f>IF(SUM(Q18:R18,T18:V18,X18)-SUM(S18,W18)&gt;0,SUM(Q18:R18,T18:V18,X18)-SUM(S18,W18),"")</f>
        <v>67.300000000000011</v>
      </c>
      <c r="AJ18" s="11">
        <f>IF(SUM(Z18,AD18)&gt;0,SUM(Z18,AD18),"")</f>
        <v>10.1</v>
      </c>
      <c r="AK18" s="11">
        <f>IF(SUM(Y18:Z18,AB18:AD18,AF18)-SUM(AA18,AE18)&gt;0,SUM(Y18:Z18,AB18:AD18,AF18)-SUM(AA18,AE18),"")</f>
        <v>54</v>
      </c>
      <c r="AL18" s="11">
        <f>IF(SUM(AI18,AK18)&gt;0,SUM(AI18,AK18),"")</f>
        <v>121.30000000000001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0</v>
      </c>
      <c r="LZ18" s="61">
        <f>IF($BY18="P",BJ18,(BJ18+AN18)/2)</f>
        <v>0</v>
      </c>
      <c r="MA18" s="61">
        <f>IF($BY18="P",BK18,(BK18+AO18)/2)</f>
        <v>0</v>
      </c>
      <c r="MB18" s="61">
        <f>IF($BY18="P",BL18,(BL18+AP18)/2)</f>
        <v>0</v>
      </c>
      <c r="MC18" s="61">
        <f>IF($BY18="P",BM18,(BM18+AQ18)/2)</f>
        <v>0</v>
      </c>
      <c r="MD18" s="61">
        <f>IF($BY18="P",BN18,(BN18+AR18)/2)</f>
        <v>0</v>
      </c>
      <c r="ME18" s="61">
        <f>IF($BY18="P",BO18,(BO18+AS18)/2)</f>
        <v>0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 t="str">
        <f>IF(SUM(LZ18,MD18)&gt;0,SUM(LZ18,MD18),"")</f>
        <v/>
      </c>
      <c r="MQ18" s="11" t="str">
        <f>IF(SUM(LY18:LZ18,MB18:MD18,MF18)-SUM(MA18,ME18)&gt;0,SUM(LY18:LZ18,MB18:MD18,MF18)-SUM(MA18,ME18),"")</f>
        <v/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 t="str">
        <f>IF(SUM(MQ18,MS18)&gt;0,SUM(MQ18,MS18),"")</f>
        <v/>
      </c>
    </row>
    <row r="19" spans="1:358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8" t="s">
        <v>84</v>
      </c>
      <c r="C19" s="4" t="s">
        <v>6</v>
      </c>
      <c r="D19" s="5">
        <v>2004</v>
      </c>
      <c r="E19" s="15">
        <f>SUM(J19:N19)</f>
        <v>65.8</v>
      </c>
      <c r="F19" s="3" t="str">
        <f>IF(OR(AND(AH19&gt;=AL$26,AI19&gt;=AL$30,AI19&lt;&gt;"",AG19=""),AND(BD19&gt;=BH$26,BE19&gt;=BH$30,BE19&lt;&gt;"",BC19=""),AND(BZ19&gt;=CD$26,CA19&gt;=CD$30,CA19&lt;&gt;"",BY19=""),AND(CW19&gt;=DA$26,CX19&gt;=DA$30,CX19&lt;&gt;""),AND(DR19&gt;=DV$26,DS19&gt;=DV$30,DS19&lt;&gt;""),AND(EM19&gt;=EQ$26,EN19&gt;=EQ$30,EN19&lt;&gt;""),AND(FH19&gt;=FL$26,FI19&gt;=FL$30,FI19&lt;&gt;""),AND(GC19&gt;=GG$26,GD19&gt;=GG$30,GD19&lt;&gt;""),AND(GX19&gt;=HB$26,GY19&gt;=HB$30,GY19&lt;&gt;""),AND(HS19&gt;=HW$26,HT19&gt;=HW$30,HT19&lt;&gt;""),AND(IN19&gt;=IR$26,IO19&gt;=IR$30,IO19&lt;&gt;""),AND(JI19&gt;=JM$26,JJ19&gt;=JM$30,JJ19&lt;&gt;""),AND(KD19&gt;=KH$26,KE19&gt;=KH$30,KE19&lt;&gt;""),AND(KY19&gt;=LC$26,KZ19&gt;=LC$30,KZ19&lt;&gt;""),AND(LT19&gt;=LX$26,LU19&gt;=LX$30,LU19&lt;&gt;"")),"P","")</f>
        <v/>
      </c>
      <c r="G19" s="3" t="str">
        <f>IF(OR(AND(AI19&gt;=AL$30,AI19&lt;&gt;"",AG19=""),AND(BE19&gt;=BH$30,BE19&lt;&gt;"",BC19=""),AND(CA19&gt;=CD$30,CA19&lt;&gt;"",BY19=""),AND(CX19&gt;=DA$30,CX19&lt;&gt;""),AND(DS19&gt;=DV$30,DS19&lt;&gt;""),AND(EN19&gt;=EQ$30,EN19&lt;&gt;""),AND(FI19&gt;=FL$30,FI19&lt;&gt;""),AND(GD19&gt;=GG$30,GD19&lt;&gt;""),AND(GY19&gt;=HB$30,GY19&lt;&gt;""),AND(HT19&gt;=HW$30,HT19&lt;&gt;""),AND(IO19&gt;=IR$30,IO19&lt;&gt;""),AND(JJ19&gt;=JM$30,JJ19&lt;&gt;""),AND(KE19&gt;=KH$30,KE19&lt;&gt;""),AND(KZ19&gt;=LC$30,KZ19&lt;&gt;""),AND(LU19&gt;=LX$30,LU19&lt;&gt;"")),"P","")</f>
        <v/>
      </c>
      <c r="H19" s="116" t="str">
        <f>IF(AND(G19="P",F19=""),"No DD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Merit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Excellence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Worlds Team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National Team","")))))</f>
        <v/>
      </c>
      <c r="I19" s="3" t="str">
        <f>IF(OR(H19="Worlds Team",H19="Excellence",H19="Merit"),"P","")</f>
        <v/>
      </c>
      <c r="J19" s="14">
        <f>MAX(AI19,BE19,CA19)</f>
        <v>65.8</v>
      </c>
      <c r="K19" s="14" t="str">
        <f>IF(J19=0,"",IF(J19=CA19,$BI$1,IF(J19=BE19,$AM$1,IF(J19=AI19,$Q$1,""))))</f>
        <v>2021 2nd Virtual Technical Trial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>IF(SUM(R19,V19)&gt;0,SUM(R19,V19),"")</f>
        <v/>
      </c>
      <c r="AI19" s="11" t="str">
        <f>IF(SUM(Q19:R19,T19:V19,X19)-SUM(S19,W19)&gt;0,SUM(Q19:R19,T19:V19,X19)-SUM(S19,W19),"")</f>
        <v/>
      </c>
      <c r="AJ19" s="11" t="str">
        <f>IF(SUM(Z19,AD19)&gt;0,SUM(Z19,AD19),"")</f>
        <v/>
      </c>
      <c r="AK19" s="11" t="str">
        <f>IF(SUM(Y19:Z19,AB19:AD19,AF19)-SUM(AA19,AE19)&gt;0,SUM(Y19:Z19,AB19:AD19,AF19)-SUM(AA19,AE19),"")</f>
        <v/>
      </c>
      <c r="AL19" s="11" t="str">
        <f>IF(SUM(AI19,AK19)&gt;0,SUM(AI19,AK19),"")</f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27.9</v>
      </c>
      <c r="BJ19" s="61">
        <v>4.8</v>
      </c>
      <c r="BK19" s="61">
        <v>0</v>
      </c>
      <c r="BL19" s="61">
        <v>0</v>
      </c>
      <c r="BM19" s="61">
        <v>28.3</v>
      </c>
      <c r="BN19" s="61">
        <v>4.8</v>
      </c>
      <c r="BO19" s="61">
        <v>0</v>
      </c>
      <c r="BP19" s="61">
        <v>0</v>
      </c>
      <c r="BQ19" s="61">
        <v>28.6</v>
      </c>
      <c r="BR19" s="61">
        <v>4.3</v>
      </c>
      <c r="BS19" s="61">
        <v>0</v>
      </c>
      <c r="BT19" s="61">
        <v>0</v>
      </c>
      <c r="BU19" s="61">
        <v>28.5</v>
      </c>
      <c r="BV19" s="61">
        <v>3.5</v>
      </c>
      <c r="BW19" s="61">
        <v>0</v>
      </c>
      <c r="BX19" s="61">
        <v>0</v>
      </c>
      <c r="BY19" s="72"/>
      <c r="BZ19" s="11">
        <f>IF(SUM(BJ19,BN19)&gt;0,SUM(BJ19,BN19),"")</f>
        <v>9.6</v>
      </c>
      <c r="CA19" s="11">
        <f>IF(SUM(BI19:BJ19,BL19:BN19,BP19)-SUM(BK19,BO19)&gt;0,SUM(BI19:BJ19,BL19:BN19,BP19)-SUM(BK19,BO19),"")</f>
        <v>65.8</v>
      </c>
      <c r="CB19" s="11">
        <f>IF(SUM(BR19,BV19)&gt;0,SUM(BR19,BV19),"")</f>
        <v>7.8</v>
      </c>
      <c r="CC19" s="11">
        <f>IF(SUM(BQ19:BR19,BT19:BV19,BX19)-SUM(BS19,BW19)&gt;0,SUM(BQ19:BR19,BT19:BV19,BX19)-SUM(BS19,BW19),"")</f>
        <v>64.900000000000006</v>
      </c>
      <c r="CD19" s="11">
        <f>IF(SUM(CA19,CC19)&gt;0,SUM(CA19,CC19),"")</f>
        <v>130.69999999999999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13.95</v>
      </c>
      <c r="LZ19" s="61">
        <f>IF($BY19="P",BJ19,(BJ19+AN19)/2)</f>
        <v>2.4</v>
      </c>
      <c r="MA19" s="61">
        <f>IF($BY19="P",BK19,(BK19+AO19)/2)</f>
        <v>0</v>
      </c>
      <c r="MB19" s="61">
        <f>IF($BY19="P",BL19,(BL19+AP19)/2)</f>
        <v>0</v>
      </c>
      <c r="MC19" s="61">
        <f>IF($BY19="P",BM19,(BM19+AQ19)/2)</f>
        <v>14.15</v>
      </c>
      <c r="MD19" s="61">
        <f>IF($BY19="P",BN19,(BN19+AR19)/2)</f>
        <v>2.4</v>
      </c>
      <c r="ME19" s="61">
        <f>IF($BY19="P",BO19,(BO19+AS19)/2)</f>
        <v>0</v>
      </c>
      <c r="MF19" s="61">
        <f>IF($BY19="P",BP19,(BP19+AT19)/2)</f>
        <v>0</v>
      </c>
      <c r="MG19" s="61">
        <f>IF($BY19="P",BQ19,(BQ19+AU19)/2)</f>
        <v>14.3</v>
      </c>
      <c r="MH19" s="61">
        <f>IF($BY19="P",BR19,(BR19+AV19)/2)</f>
        <v>2.15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14.25</v>
      </c>
      <c r="ML19" s="61">
        <f>IF($BY19="P",BV19,(BV19+AZ19)/2)</f>
        <v>1.75</v>
      </c>
      <c r="MM19" s="61">
        <f>IF($BY19="P",BW19,(BW19+BA19)/2)</f>
        <v>0</v>
      </c>
      <c r="MN19" s="61">
        <f>IF($BY19="P",BX19,(BX19+BB19)/2)</f>
        <v>0</v>
      </c>
      <c r="MO19" s="72" t="s">
        <v>52</v>
      </c>
      <c r="MP19" s="11">
        <f>IF(SUM(LZ19,MD19)&gt;0,SUM(LZ19,MD19),"")</f>
        <v>4.8</v>
      </c>
      <c r="MQ19" s="11">
        <f>IF(SUM(LY19:LZ19,MB19:MD19,MF19)-SUM(MA19,ME19)&gt;0,SUM(LY19:LZ19,MB19:MD19,MF19)-SUM(MA19,ME19),"")</f>
        <v>32.9</v>
      </c>
      <c r="MR19" s="11">
        <f>IF(SUM(MH19,ML19)&gt;0,SUM(MH19,ML19),"")</f>
        <v>3.9</v>
      </c>
      <c r="MS19" s="11">
        <f>IF(SUM(MG19:MH19,MJ19:ML19,MN19)-SUM(MI19,MM19)&gt;0,SUM(MG19:MH19,MJ19:ML19,MN19)-SUM(MI19,MM19),"")</f>
        <v>32.450000000000003</v>
      </c>
      <c r="MT19" s="11">
        <f>IF(SUM(MQ19,MS19)&gt;0,SUM(MQ19,MS19),"")</f>
        <v>65.349999999999994</v>
      </c>
    </row>
    <row r="20" spans="1:358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8" t="s">
        <v>115</v>
      </c>
      <c r="C20" s="4" t="s">
        <v>4</v>
      </c>
      <c r="D20" s="5">
        <v>2004</v>
      </c>
      <c r="E20" s="15">
        <f>SUM(J20:N20)</f>
        <v>62.800000000000004</v>
      </c>
      <c r="F20" s="3" t="str">
        <f>IF(OR(AND(AH20&gt;=AL$26,AI20&gt;=AL$30,AI20&lt;&gt;"",AG20=""),AND(BD20&gt;=BH$26,BE20&gt;=BH$30,BE20&lt;&gt;"",BC20=""),AND(BZ20&gt;=CD$26,CA20&gt;=CD$30,CA20&lt;&gt;"",BY20=""),AND(CW20&gt;=DA$26,CX20&gt;=DA$30,CX20&lt;&gt;""),AND(DR20&gt;=DV$26,DS20&gt;=DV$30,DS20&lt;&gt;""),AND(EM20&gt;=EQ$26,EN20&gt;=EQ$30,EN20&lt;&gt;""),AND(FH20&gt;=FL$26,FI20&gt;=FL$30,FI20&lt;&gt;""),AND(GC20&gt;=GG$26,GD20&gt;=GG$30,GD20&lt;&gt;""),AND(GX20&gt;=HB$26,GY20&gt;=HB$30,GY20&lt;&gt;""),AND(HS20&gt;=HW$26,HT20&gt;=HW$30,HT20&lt;&gt;""),AND(IN20&gt;=IR$26,IO20&gt;=IR$30,IO20&lt;&gt;""),AND(JI20&gt;=JM$26,JJ20&gt;=JM$30,JJ20&lt;&gt;""),AND(KD20&gt;=KH$26,KE20&gt;=KH$30,KE20&lt;&gt;""),AND(KY20&gt;=LC$26,KZ20&gt;=LC$30,KZ20&lt;&gt;""),AND(LT20&gt;=LX$26,LU20&gt;=LX$30,LU20&lt;&gt;"")),"P","")</f>
        <v/>
      </c>
      <c r="G20" s="3" t="str">
        <f>IF(OR(AND(AI20&gt;=AL$30,AI20&lt;&gt;"",AG20=""),AND(BE20&gt;=BH$30,BE20&lt;&gt;"",BC20=""),AND(CA20&gt;=CD$30,CA20&lt;&gt;"",BY20=""),AND(CX20&gt;=DA$30,CX20&lt;&gt;""),AND(DS20&gt;=DV$30,DS20&lt;&gt;""),AND(EN20&gt;=EQ$30,EN20&lt;&gt;""),AND(FI20&gt;=FL$30,FI20&lt;&gt;""),AND(GD20&gt;=GG$30,GD20&lt;&gt;""),AND(GY20&gt;=HB$30,GY20&lt;&gt;""),AND(HT20&gt;=HW$30,HT20&lt;&gt;""),AND(IO20&gt;=IR$30,IO20&lt;&gt;""),AND(JJ20&gt;=JM$30,JJ20&lt;&gt;""),AND(KE20&gt;=KH$30,KE20&lt;&gt;""),AND(KZ20&gt;=LC$30,KZ20&lt;&gt;""),AND(LU20&gt;=LX$30,LU20&lt;&gt;"")),"P","")</f>
        <v/>
      </c>
      <c r="H20" s="116" t="str">
        <f>IF(AND(G20="P",F20=""),"No DD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Merit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Excellence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Worlds Team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National Team","")))))</f>
        <v/>
      </c>
      <c r="I20" s="3" t="str">
        <f>IF(OR(H20="Worlds Team",H20="Excellence",H20="Merit"),"P","")</f>
        <v/>
      </c>
      <c r="J20" s="14">
        <f>MAX(AI20,BE20,CA20)</f>
        <v>62.800000000000004</v>
      </c>
      <c r="K20" s="14" t="str">
        <f>IF(J20=0,"",IF(J20=CA20,$BI$1,IF(J20=BE20,$AM$1,IF(J20=AI20,$Q$1,""))))</f>
        <v>2021 2nd Virtual Technical Trial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>IF(SUM(R20,V20)&gt;0,SUM(R20,V20),"")</f>
        <v/>
      </c>
      <c r="AI20" s="11" t="str">
        <f>IF(SUM(Q20:R20,T20:V20,X20)-SUM(S20,W20)&gt;0,SUM(Q20:R20,T20:V20,X20)-SUM(S20,W20),"")</f>
        <v/>
      </c>
      <c r="AJ20" s="11" t="str">
        <f>IF(SUM(Z20,AD20)&gt;0,SUM(Z20,AD20),"")</f>
        <v/>
      </c>
      <c r="AK20" s="11" t="str">
        <f>IF(SUM(Y20:Z20,AB20:AD20,AF20)-SUM(AA20,AE20)&gt;0,SUM(Y20:Z20,AB20:AD20,AF20)-SUM(AA20,AE20),"")</f>
        <v/>
      </c>
      <c r="AL20" s="11" t="str">
        <f>IF(SUM(AI20,AK20)&gt;0,SUM(AI20,AK20),"")</f>
        <v/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1">
        <v>28</v>
      </c>
      <c r="BJ20" s="61">
        <v>5.2</v>
      </c>
      <c r="BK20" s="61">
        <v>1.2</v>
      </c>
      <c r="BL20" s="61">
        <v>0</v>
      </c>
      <c r="BM20" s="61">
        <v>28.2</v>
      </c>
      <c r="BN20" s="61">
        <v>3.5</v>
      </c>
      <c r="BO20" s="61">
        <v>0.9</v>
      </c>
      <c r="BP20" s="61">
        <v>0</v>
      </c>
      <c r="BQ20" s="61">
        <v>27.6</v>
      </c>
      <c r="BR20" s="61">
        <v>4.8</v>
      </c>
      <c r="BS20" s="61">
        <v>1.2</v>
      </c>
      <c r="BT20" s="61">
        <v>0</v>
      </c>
      <c r="BU20" s="61">
        <v>29.1</v>
      </c>
      <c r="BV20" s="61">
        <v>3.6</v>
      </c>
      <c r="BW20" s="61">
        <v>0</v>
      </c>
      <c r="BX20" s="61">
        <v>0</v>
      </c>
      <c r="BY20" s="72"/>
      <c r="BZ20" s="11">
        <f>IF(SUM(BJ20,BN20)&gt;0,SUM(BJ20,BN20),"")</f>
        <v>8.6999999999999993</v>
      </c>
      <c r="CA20" s="11">
        <f>IF(SUM(BI20:BJ20,BL20:BN20,BP20)-SUM(BK20,BO20)&gt;0,SUM(BI20:BJ20,BL20:BN20,BP20)-SUM(BK20,BO20),"")</f>
        <v>62.800000000000004</v>
      </c>
      <c r="CB20" s="11">
        <f>IF(SUM(BR20,BV20)&gt;0,SUM(BR20,BV20),"")</f>
        <v>8.4</v>
      </c>
      <c r="CC20" s="11">
        <f>IF(SUM(BQ20:BR20,BT20:BV20,BX20)-SUM(BS20,BW20)&gt;0,SUM(BQ20:BR20,BT20:BV20,BX20)-SUM(BS20,BW20),"")</f>
        <v>63.899999999999991</v>
      </c>
      <c r="CD20" s="11">
        <f>IF(SUM(CA20,CC20)&gt;0,SUM(CA20,CC20),"")</f>
        <v>126.69999999999999</v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14</v>
      </c>
      <c r="LZ20" s="61">
        <f>IF($BY20="P",BJ20,(BJ20+AN20)/2)</f>
        <v>2.6</v>
      </c>
      <c r="MA20" s="61">
        <f>IF($BY20="P",BK20,(BK20+AO20)/2)</f>
        <v>0.6</v>
      </c>
      <c r="MB20" s="61">
        <f>IF($BY20="P",BL20,(BL20+AP20)/2)</f>
        <v>0</v>
      </c>
      <c r="MC20" s="61">
        <f>IF($BY20="P",BM20,(BM20+AQ20)/2)</f>
        <v>14.1</v>
      </c>
      <c r="MD20" s="61">
        <f>IF($BY20="P",BN20,(BN20+AR20)/2)</f>
        <v>1.75</v>
      </c>
      <c r="ME20" s="61">
        <f>IF($BY20="P",BO20,(BO20+AS20)/2)</f>
        <v>0.45</v>
      </c>
      <c r="MF20" s="61">
        <f>IF($BY20="P",BP20,(BP20+AT20)/2)</f>
        <v>0</v>
      </c>
      <c r="MG20" s="61">
        <f>IF($BY20="P",BQ20,(BQ20+AU20)/2)</f>
        <v>13.8</v>
      </c>
      <c r="MH20" s="61">
        <f>IF($BY20="P",BR20,(BR20+AV20)/2)</f>
        <v>2.4</v>
      </c>
      <c r="MI20" s="61">
        <f>IF($BY20="P",BS20,(BS20+AW20)/2)</f>
        <v>0.6</v>
      </c>
      <c r="MJ20" s="61">
        <f>IF($BY20="P",BT20,(BT20+AX20)/2)</f>
        <v>0</v>
      </c>
      <c r="MK20" s="61">
        <f>IF($BY20="P",BU20,(BU20+AY20)/2)</f>
        <v>14.55</v>
      </c>
      <c r="ML20" s="61">
        <f>IF($BY20="P",BV20,(BV20+AZ20)/2)</f>
        <v>1.8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>
        <f>IF(SUM(LZ20,MD20)&gt;0,SUM(LZ20,MD20),"")</f>
        <v>4.3499999999999996</v>
      </c>
      <c r="MQ20" s="11">
        <f>IF(SUM(LY20:LZ20,MB20:MD20,MF20)-SUM(MA20,ME20)&gt;0,SUM(LY20:LZ20,MB20:MD20,MF20)-SUM(MA20,ME20),"")</f>
        <v>31.400000000000002</v>
      </c>
      <c r="MR20" s="11">
        <f>IF(SUM(MH20,ML20)&gt;0,SUM(MH20,ML20),"")</f>
        <v>4.2</v>
      </c>
      <c r="MS20" s="11">
        <f>IF(SUM(MG20:MH20,MJ20:ML20,MN20)-SUM(MI20,MM20)&gt;0,SUM(MG20:MH20,MJ20:ML20,MN20)-SUM(MI20,MM20),"")</f>
        <v>31.949999999999996</v>
      </c>
      <c r="MT20" s="11">
        <f>IF(SUM(MQ20,MS20)&gt;0,SUM(MQ20,MS20),"")</f>
        <v>63.349999999999994</v>
      </c>
    </row>
    <row r="21" spans="1:358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8" t="s">
        <v>139</v>
      </c>
      <c r="C21" s="4" t="s">
        <v>5</v>
      </c>
      <c r="D21" s="5">
        <v>2001</v>
      </c>
      <c r="E21" s="15">
        <f>SUM(J21:N21)</f>
        <v>57.9</v>
      </c>
      <c r="F21" s="3" t="str">
        <f>IF(OR(AND(AH21&gt;=AL$26,AI21&gt;=AL$30,AI21&lt;&gt;"",AG21=""),AND(BD21&gt;=BH$26,BE21&gt;=BH$30,BE21&lt;&gt;"",BC21=""),AND(BZ21&gt;=CD$26,CA21&gt;=CD$30,CA21&lt;&gt;"",BY21=""),AND(CW21&gt;=DA$26,CX21&gt;=DA$30,CX21&lt;&gt;""),AND(DR21&gt;=DV$26,DS21&gt;=DV$30,DS21&lt;&gt;""),AND(EM21&gt;=EQ$26,EN21&gt;=EQ$30,EN21&lt;&gt;""),AND(FH21&gt;=FL$26,FI21&gt;=FL$30,FI21&lt;&gt;""),AND(GC21&gt;=GG$26,GD21&gt;=GG$30,GD21&lt;&gt;""),AND(GX21&gt;=HB$26,GY21&gt;=HB$30,GY21&lt;&gt;""),AND(HS21&gt;=HW$26,HT21&gt;=HW$30,HT21&lt;&gt;""),AND(IN21&gt;=IR$26,IO21&gt;=IR$30,IO21&lt;&gt;""),AND(JI21&gt;=JM$26,JJ21&gt;=JM$30,JJ21&lt;&gt;""),AND(KD21&gt;=KH$26,KE21&gt;=KH$30,KE21&lt;&gt;""),AND(KY21&gt;=LC$26,KZ21&gt;=LC$30,KZ21&lt;&gt;""),AND(LT21&gt;=LX$26,LU21&gt;=LX$30,LU21&lt;&gt;"")),"P","")</f>
        <v/>
      </c>
      <c r="G21" s="3" t="str">
        <f>IF(OR(AND(AI21&gt;=AL$30,AI21&lt;&gt;"",AG21=""),AND(BE21&gt;=BH$30,BE21&lt;&gt;"",BC21=""),AND(CA21&gt;=CD$30,CA21&lt;&gt;"",BY21=""),AND(CX21&gt;=DA$30,CX21&lt;&gt;""),AND(DS21&gt;=DV$30,DS21&lt;&gt;""),AND(EN21&gt;=EQ$30,EN21&lt;&gt;""),AND(FI21&gt;=FL$30,FI21&lt;&gt;""),AND(GD21&gt;=GG$30,GD21&lt;&gt;""),AND(GY21&gt;=HB$30,GY21&lt;&gt;""),AND(HT21&gt;=HW$30,HT21&lt;&gt;""),AND(IO21&gt;=IR$30,IO21&lt;&gt;""),AND(JJ21&gt;=JM$30,JJ21&lt;&gt;""),AND(KE21&gt;=KH$30,KE21&lt;&gt;""),AND(KZ21&gt;=LC$30,KZ21&lt;&gt;""),AND(LU21&gt;=LX$30,LU21&lt;&gt;"")),"P","")</f>
        <v/>
      </c>
      <c r="H21" s="116" t="str">
        <f>IF(AND(G21="P",F21=""),"No DD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Merit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Excellence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Worlds Team",IF(OR(AND(AH21&gt;=AL$26,AH21&lt;&gt;"",AI21&gt;=AL$30,AI21&lt;&gt;"",AG21=""),AND(BD21&gt;=BH$26,BD21&lt;&gt;"",BE21&gt;=BH$30,BE21&lt;&gt;"",BC21=""),AND(BZ21&gt;=CD$26,BZ21&lt;&gt;"",CA21&gt;=CD$30,CA21&lt;&gt;"",BY21=""),AND(CW21&gt;=DA$26,CW21&lt;&gt;"",CX21&gt;=DA$30,CX21&lt;&gt;""),AND(DR21&gt;=DV$26,DR21&lt;&gt;"",DS21&gt;=DV$30,DS21&lt;&gt;""),AND(EM21&gt;=EQ$26,EM21&lt;&gt;"",EN21&gt;=EQ$30,EN21&lt;&gt;""),AND(FH21&gt;=FL$26,FH21&lt;&gt;"",FI21&gt;=FL$30,FI21&lt;&gt;""),AND(GC21&gt;=GG$26,GC21&lt;&gt;"",GD21&gt;=GG$30,GD21&lt;&gt;""),AND(GX21&gt;=HB$26,GX21&lt;&gt;"",GY21&gt;=HB$30,GY21&lt;&gt;""),AND(HS21&gt;=HW$26,HS21&lt;&gt;"",HT21&gt;=HW$30,HT21&lt;&gt;""),AND(IN21&gt;=IR$26,IN21&lt;&gt;"",IO21&gt;=IR$30,IO21&lt;&gt;""),AND(JI21&gt;=JM$26,JI21&lt;&gt;"",JJ21&gt;=JM$30,JJ21&lt;&gt;""),AND(KD21&gt;=KH$26,KD21&lt;&gt;"",KE21&gt;=KH$30,KE21&lt;&gt;""),AND(KY21&gt;=LC$26,KY21&lt;&gt;"",KZ21&gt;=LC$30,KZ21&lt;&gt;""),AND(LT21&gt;=LX$26,LT21&lt;&gt;"",LU21&gt;=LX$30,LU21&lt;&gt;"")),"National Team","")))))</f>
        <v/>
      </c>
      <c r="I21" s="3" t="str">
        <f>IF(OR(H21="Worlds Team",H21="Excellence",H21="Merit"),"P","")</f>
        <v/>
      </c>
      <c r="J21" s="14">
        <f>MAX(AI21,BE21,CA21)</f>
        <v>57.9</v>
      </c>
      <c r="K21" s="14" t="str">
        <f>IF(J21=0,"",IF(J21=CA21,$BI$1,IF(J21=BE21,$AM$1,IF(J21=AI21,$Q$1,""))))</f>
        <v>2021 2nd Virtual Technical Trial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>IF(SUM(R21,V21)&gt;0,SUM(R21,V21),"")</f>
        <v/>
      </c>
      <c r="AI21" s="11" t="str">
        <f>IF(SUM(Q21:R21,T21:V21,X21)-SUM(S21,W21)&gt;0,SUM(Q21:R21,T21:V21,X21)-SUM(S21,W21),"")</f>
        <v/>
      </c>
      <c r="AJ21" s="11" t="str">
        <f>IF(SUM(Z21,AD21)&gt;0,SUM(Z21,AD21),"")</f>
        <v/>
      </c>
      <c r="AK21" s="11" t="str">
        <f>IF(SUM(Y21:Z21,AB21:AD21,AF21)-SUM(AA21,AE21)&gt;0,SUM(Y21:Z21,AB21:AD21,AF21)-SUM(AA21,AE21),"")</f>
        <v/>
      </c>
      <c r="AL21" s="11" t="str">
        <f>IF(SUM(AI21,AK21)&gt;0,SUM(AI21,AK21),"")</f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>
        <v>28.1</v>
      </c>
      <c r="BJ21" s="61">
        <v>4.8</v>
      </c>
      <c r="BK21" s="61">
        <v>2.7</v>
      </c>
      <c r="BL21" s="61">
        <v>0</v>
      </c>
      <c r="BM21" s="61">
        <v>27.6</v>
      </c>
      <c r="BN21" s="61">
        <v>3.8</v>
      </c>
      <c r="BO21" s="61">
        <v>3.7</v>
      </c>
      <c r="BP21" s="61">
        <v>0</v>
      </c>
      <c r="BQ21" s="61">
        <v>20.399999999999999</v>
      </c>
      <c r="BR21" s="61">
        <v>2.4</v>
      </c>
      <c r="BS21" s="61">
        <v>0</v>
      </c>
      <c r="BT21" s="61">
        <v>0</v>
      </c>
      <c r="BU21" s="61">
        <v>20.2</v>
      </c>
      <c r="BV21" s="61">
        <v>4</v>
      </c>
      <c r="BW21" s="61">
        <v>0</v>
      </c>
      <c r="BX21" s="61">
        <v>0</v>
      </c>
      <c r="BY21" s="72"/>
      <c r="BZ21" s="11">
        <f>IF(SUM(BJ21,BN21)&gt;0,SUM(BJ21,BN21),"")</f>
        <v>8.6</v>
      </c>
      <c r="CA21" s="11">
        <f>IF(SUM(BI21:BJ21,BL21:BN21,BP21)-SUM(BK21,BO21)&gt;0,SUM(BI21:BJ21,BL21:BN21,BP21)-SUM(BK21,BO21),"")</f>
        <v>57.9</v>
      </c>
      <c r="CB21" s="11">
        <f>IF(SUM(BR21,BV21)&gt;0,SUM(BR21,BV21),"")</f>
        <v>6.4</v>
      </c>
      <c r="CC21" s="11">
        <f>IF(SUM(BQ21:BR21,BT21:BV21,BX21)-SUM(BS21,BW21)&gt;0,SUM(BQ21:BR21,BT21:BV21,BX21)-SUM(BS21,BW21),"")</f>
        <v>47</v>
      </c>
      <c r="CD21" s="11">
        <f>IF(SUM(CA21,CC21)&gt;0,SUM(CA21,CC21),"")</f>
        <v>104.9</v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14.05</v>
      </c>
      <c r="LZ21" s="61">
        <f>IF($BY21="P",BJ21,(BJ21+AN21)/2)</f>
        <v>2.4</v>
      </c>
      <c r="MA21" s="61">
        <f>IF($BY21="P",BK21,(BK21+AO21)/2)</f>
        <v>1.35</v>
      </c>
      <c r="MB21" s="61">
        <f>IF($BY21="P",BL21,(BL21+AP21)/2)</f>
        <v>0</v>
      </c>
      <c r="MC21" s="61">
        <f>IF($BY21="P",BM21,(BM21+AQ21)/2)</f>
        <v>13.8</v>
      </c>
      <c r="MD21" s="61">
        <f>IF($BY21="P",BN21,(BN21+AR21)/2)</f>
        <v>1.9</v>
      </c>
      <c r="ME21" s="61">
        <f>IF($BY21="P",BO21,(BO21+AS21)/2)</f>
        <v>1.85</v>
      </c>
      <c r="MF21" s="61">
        <f>IF($BY21="P",BP21,(BP21+AT21)/2)</f>
        <v>0</v>
      </c>
      <c r="MG21" s="61">
        <f>IF($BY21="P",BQ21,(BQ21+AU21)/2)</f>
        <v>10.199999999999999</v>
      </c>
      <c r="MH21" s="61">
        <f>IF($BY21="P",BR21,(BR21+AV21)/2)</f>
        <v>1.2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10.1</v>
      </c>
      <c r="ML21" s="61">
        <f>IF($BY21="P",BV21,(BV21+AZ21)/2)</f>
        <v>2</v>
      </c>
      <c r="MM21" s="61">
        <f>IF($BY21="P",BW21,(BW21+BA21)/2)</f>
        <v>0</v>
      </c>
      <c r="MN21" s="61">
        <f>IF($BY21="P",BX21,(BX21+BB21)/2)</f>
        <v>0</v>
      </c>
      <c r="MO21" s="72" t="s">
        <v>52</v>
      </c>
      <c r="MP21" s="11">
        <f>IF(SUM(LZ21,MD21)&gt;0,SUM(LZ21,MD21),"")</f>
        <v>4.3</v>
      </c>
      <c r="MQ21" s="11">
        <f>IF(SUM(LY21:LZ21,MB21:MD21,MF21)-SUM(MA21,ME21)&gt;0,SUM(LY21:LZ21,MB21:MD21,MF21)-SUM(MA21,ME21),"")</f>
        <v>28.95</v>
      </c>
      <c r="MR21" s="11">
        <f>IF(SUM(MH21,ML21)&gt;0,SUM(MH21,ML21),"")</f>
        <v>3.2</v>
      </c>
      <c r="MS21" s="11">
        <f>IF(SUM(MG21:MH21,MJ21:ML21,MN21)-SUM(MI21,MM21)&gt;0,SUM(MG21:MH21,MJ21:ML21,MN21)-SUM(MI21,MM21),"")</f>
        <v>23.5</v>
      </c>
      <c r="MT21" s="11">
        <f>IF(SUM(MQ21,MS21)&gt;0,SUM(MQ21,MS21),"")</f>
        <v>52.45</v>
      </c>
    </row>
    <row r="22" spans="1:358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8" t="s">
        <v>98</v>
      </c>
      <c r="C22" s="4" t="s">
        <v>3</v>
      </c>
      <c r="D22" s="5">
        <v>2004</v>
      </c>
      <c r="E22" s="15">
        <f>SUM(J22:N22)</f>
        <v>28.5</v>
      </c>
      <c r="F22" s="3" t="str">
        <f>IF(OR(AND(AH22&gt;=AL$26,AI22&gt;=AL$30,AI22&lt;&gt;"",AG22=""),AND(BD22&gt;=BH$26,BE22&gt;=BH$30,BE22&lt;&gt;"",BC22=""),AND(BZ22&gt;=CD$26,CA22&gt;=CD$30,CA22&lt;&gt;"",BY22=""),AND(CW22&gt;=DA$26,CX22&gt;=DA$30,CX22&lt;&gt;""),AND(DR22&gt;=DV$26,DS22&gt;=DV$30,DS22&lt;&gt;""),AND(EM22&gt;=EQ$26,EN22&gt;=EQ$30,EN22&lt;&gt;""),AND(FH22&gt;=FL$26,FI22&gt;=FL$30,FI22&lt;&gt;""),AND(GC22&gt;=GG$26,GD22&gt;=GG$30,GD22&lt;&gt;""),AND(GX22&gt;=HB$26,GY22&gt;=HB$30,GY22&lt;&gt;""),AND(HS22&gt;=HW$26,HT22&gt;=HW$30,HT22&lt;&gt;""),AND(IN22&gt;=IR$26,IO22&gt;=IR$30,IO22&lt;&gt;""),AND(JI22&gt;=JM$26,JJ22&gt;=JM$30,JJ22&lt;&gt;""),AND(KD22&gt;=KH$26,KE22&gt;=KH$30,KE22&lt;&gt;""),AND(KY22&gt;=LC$26,KZ22&gt;=LC$30,KZ22&lt;&gt;""),AND(LT22&gt;=LX$26,LU22&gt;=LX$30,LU22&lt;&gt;"")),"P","")</f>
        <v/>
      </c>
      <c r="G22" s="3" t="str">
        <f>IF(OR(AND(AI22&gt;=AL$30,AI22&lt;&gt;"",AG22=""),AND(BE22&gt;=BH$30,BE22&lt;&gt;"",BC22=""),AND(CA22&gt;=CD$30,CA22&lt;&gt;"",BY22=""),AND(CX22&gt;=DA$30,CX22&lt;&gt;""),AND(DS22&gt;=DV$30,DS22&lt;&gt;""),AND(EN22&gt;=EQ$30,EN22&lt;&gt;""),AND(FI22&gt;=FL$30,FI22&lt;&gt;""),AND(GD22&gt;=GG$30,GD22&lt;&gt;""),AND(GY22&gt;=HB$30,GY22&lt;&gt;""),AND(HT22&gt;=HW$30,HT22&lt;&gt;""),AND(IO22&gt;=IR$30,IO22&lt;&gt;""),AND(JJ22&gt;=JM$30,JJ22&lt;&gt;""),AND(KE22&gt;=KH$30,KE22&lt;&gt;""),AND(KZ22&gt;=LC$30,KZ22&lt;&gt;""),AND(LU22&gt;=LX$30,LU22&lt;&gt;"")),"P","")</f>
        <v/>
      </c>
      <c r="H22" s="116" t="str">
        <f>IF(AND(G22="P",F22=""),"No DD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Merit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Excellence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Worlds Team",IF(OR(AND(AH22&gt;=AL$26,AH22&lt;&gt;"",AI22&gt;=AL$30,AI22&lt;&gt;"",AG22=""),AND(BD22&gt;=BH$26,BD22&lt;&gt;"",BE22&gt;=BH$30,BE22&lt;&gt;"",BC22=""),AND(BZ22&gt;=CD$26,BZ22&lt;&gt;"",CA22&gt;=CD$30,CA22&lt;&gt;"",BY22=""),AND(CW22&gt;=DA$26,CW22&lt;&gt;"",CX22&gt;=DA$30,CX22&lt;&gt;""),AND(DR22&gt;=DV$26,DR22&lt;&gt;"",DS22&gt;=DV$30,DS22&lt;&gt;""),AND(EM22&gt;=EQ$26,EM22&lt;&gt;"",EN22&gt;=EQ$30,EN22&lt;&gt;""),AND(FH22&gt;=FL$26,FH22&lt;&gt;"",FI22&gt;=FL$30,FI22&lt;&gt;""),AND(GC22&gt;=GG$26,GC22&lt;&gt;"",GD22&gt;=GG$30,GD22&lt;&gt;""),AND(GX22&gt;=HB$26,GX22&lt;&gt;"",GY22&gt;=HB$30,GY22&lt;&gt;""),AND(HS22&gt;=HW$26,HS22&lt;&gt;"",HT22&gt;=HW$30,HT22&lt;&gt;""),AND(IN22&gt;=IR$26,IN22&lt;&gt;"",IO22&gt;=IR$30,IO22&lt;&gt;""),AND(JI22&gt;=JM$26,JI22&lt;&gt;"",JJ22&gt;=JM$30,JJ22&lt;&gt;""),AND(KD22&gt;=KH$26,KD22&lt;&gt;"",KE22&gt;=KH$30,KE22&lt;&gt;""),AND(KY22&gt;=LC$26,KY22&lt;&gt;"",KZ22&gt;=LC$30,KZ22&lt;&gt;""),AND(LT22&gt;=LX$26,LT22&lt;&gt;"",LU22&gt;=LX$30,LU22&lt;&gt;"")),"National Team","")))))</f>
        <v/>
      </c>
      <c r="I22" s="3" t="str">
        <f>IF(OR(H22="Worlds Team",H22="Excellence",H22="Merit"),"P","")</f>
        <v/>
      </c>
      <c r="J22" s="14">
        <f>MAX(AI22,BE22,CA22)</f>
        <v>28.5</v>
      </c>
      <c r="K22" s="14" t="str">
        <f>IF(J22=0,"",IF(J22=CA22,$BI$1,IF(J22=BE22,$AM$1,IF(J22=AI22,$Q$1,""))))</f>
        <v>2019 Nationals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>
        <v>0</v>
      </c>
      <c r="R22" s="61">
        <v>0</v>
      </c>
      <c r="S22" s="61">
        <v>0</v>
      </c>
      <c r="T22" s="61">
        <v>0</v>
      </c>
      <c r="U22" s="61">
        <v>20.100000000000001</v>
      </c>
      <c r="V22" s="61">
        <v>8.4</v>
      </c>
      <c r="W22" s="61">
        <v>0</v>
      </c>
      <c r="X22" s="61">
        <v>0</v>
      </c>
      <c r="Y22" s="61"/>
      <c r="Z22" s="61"/>
      <c r="AA22" s="61"/>
      <c r="AB22" s="61"/>
      <c r="AC22" s="61"/>
      <c r="AD22" s="61"/>
      <c r="AE22" s="61"/>
      <c r="AF22" s="61"/>
      <c r="AG22" s="72"/>
      <c r="AH22" s="11">
        <f>IF(SUM(R22,V22)&gt;0,SUM(R22,V22),"")</f>
        <v>8.4</v>
      </c>
      <c r="AI22" s="11">
        <f>IF(SUM(Q22:R22,T22:V22,X22)-SUM(S22,W22)&gt;0,SUM(Q22:R22,T22:V22,X22)-SUM(S22,W22),"")</f>
        <v>28.5</v>
      </c>
      <c r="AJ22" s="11" t="str">
        <f>IF(SUM(Z22,AD22)&gt;0,SUM(Z22,AD22),"")</f>
        <v/>
      </c>
      <c r="AK22" s="11" t="str">
        <f>IF(SUM(Y22:Z22,AB22:AD22,AF22)-SUM(AA22,AE22)&gt;0,SUM(Y22:Z22,AB22:AD22,AF22)-SUM(AA22,AE22),"")</f>
        <v/>
      </c>
      <c r="AL22" s="11">
        <f>IF(SUM(AI22,AK22)&gt;0,SUM(AI22,AK22),"")</f>
        <v>28.5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>IF(SUM(BJ22,BN22)&gt;0,SUM(BJ22,BN22),"")</f>
        <v/>
      </c>
      <c r="CA22" s="11" t="str">
        <f>IF(SUM(BI22:BJ22,BL22:BN22,BP22)-SUM(BK22,BO22)&gt;0,SUM(BI22:BJ22,BL22:BN22,BP22)-SUM(BK22,BO22),"")</f>
        <v/>
      </c>
      <c r="CB22" s="11" t="str">
        <f>IF(SUM(BR22,BV22)&gt;0,SUM(BR22,BV22),"")</f>
        <v/>
      </c>
      <c r="CC22" s="11" t="str">
        <f>IF(SUM(BQ22:BR22,BT22:BV22,BX22)-SUM(BS22,BW22)&gt;0,SUM(BQ22:BR22,BT22:BV22,BX22)-SUM(BS22,BW22),"")</f>
        <v/>
      </c>
      <c r="CD22" s="11" t="str">
        <f>IF(SUM(CA22,CC22)&gt;0,SUM(CA22,CC22),"")</f>
        <v/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0</v>
      </c>
      <c r="LZ22" s="61">
        <f>IF($BY22="P",BJ22,(BJ22+AN22)/2)</f>
        <v>0</v>
      </c>
      <c r="MA22" s="61">
        <f>IF($BY22="P",BK22,(BK22+AO22)/2)</f>
        <v>0</v>
      </c>
      <c r="MB22" s="61">
        <f>IF($BY22="P",BL22,(BL22+AP22)/2)</f>
        <v>0</v>
      </c>
      <c r="MC22" s="61">
        <f>IF($BY22="P",BM22,(BM22+AQ22)/2)</f>
        <v>0</v>
      </c>
      <c r="MD22" s="61">
        <f>IF($BY22="P",BN22,(BN22+AR22)/2)</f>
        <v>0</v>
      </c>
      <c r="ME22" s="61">
        <f>IF($BY22="P",BO22,(BO22+AS22)/2)</f>
        <v>0</v>
      </c>
      <c r="MF22" s="61">
        <f>IF($BY22="P",BP22,(BP22+AT22)/2)</f>
        <v>0</v>
      </c>
      <c r="MG22" s="61">
        <f>IF($BY22="P",BQ22,(BQ22+AU22)/2)</f>
        <v>0</v>
      </c>
      <c r="MH22" s="61">
        <f>IF($BY22="P",BR22,(BR22+AV22)/2)</f>
        <v>0</v>
      </c>
      <c r="MI22" s="61">
        <f>IF($BY22="P",BS22,(BS22+AW22)/2)</f>
        <v>0</v>
      </c>
      <c r="MJ22" s="61">
        <f>IF($BY22="P",BT22,(BT22+AX22)/2)</f>
        <v>0</v>
      </c>
      <c r="MK22" s="61">
        <f>IF($BY22="P",BU22,(BU22+AY22)/2)</f>
        <v>0</v>
      </c>
      <c r="ML22" s="61">
        <f>IF($BY22="P",BV22,(BV22+AZ22)/2)</f>
        <v>0</v>
      </c>
      <c r="MM22" s="61">
        <f>IF($BY22="P",BW22,(BW22+BA22)/2)</f>
        <v>0</v>
      </c>
      <c r="MN22" s="61">
        <f>IF($BY22="P",BX22,(BX22+BB22)/2)</f>
        <v>0</v>
      </c>
      <c r="MO22" s="72" t="s">
        <v>52</v>
      </c>
      <c r="MP22" s="11" t="str">
        <f>IF(SUM(LZ22,MD22)&gt;0,SUM(LZ22,MD22),"")</f>
        <v/>
      </c>
      <c r="MQ22" s="11" t="str">
        <f>IF(SUM(LY22:LZ22,MB22:MD22,MF22)-SUM(MA22,ME22)&gt;0,SUM(LY22:LZ22,MB22:MD22,MF22)-SUM(MA22,ME22),"")</f>
        <v/>
      </c>
      <c r="MR22" s="11" t="str">
        <f>IF(SUM(MH22,ML22)&gt;0,SUM(MH22,ML22),"")</f>
        <v/>
      </c>
      <c r="MS22" s="11" t="str">
        <f>IF(SUM(MG22:MH22,MJ22:ML22,MN22)-SUM(MI22,MM22)&gt;0,SUM(MG22:MH22,MJ22:ML22,MN22)-SUM(MI22,MM22),"")</f>
        <v/>
      </c>
      <c r="MT22" s="11" t="str">
        <f>IF(SUM(MQ22,MS22)&gt;0,SUM(MQ22,MS22),"")</f>
        <v/>
      </c>
    </row>
    <row r="23" spans="1:358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8" t="s">
        <v>86</v>
      </c>
      <c r="C23" s="4" t="s">
        <v>4</v>
      </c>
      <c r="D23" s="5">
        <v>2002</v>
      </c>
      <c r="E23" s="15">
        <f>SUM(J23:N23)</f>
        <v>23.099999999999998</v>
      </c>
      <c r="F23" s="3" t="str">
        <f>IF(OR(AND(AH23&gt;=AL$26,AI23&gt;=AL$30,AI23&lt;&gt;"",AG23=""),AND(BD23&gt;=BH$26,BE23&gt;=BH$30,BE23&lt;&gt;"",BC23=""),AND(BZ23&gt;=CD$26,CA23&gt;=CD$30,CA23&lt;&gt;"",BY23=""),AND(CW23&gt;=DA$26,CX23&gt;=DA$30,CX23&lt;&gt;""),AND(DR23&gt;=DV$26,DS23&gt;=DV$30,DS23&lt;&gt;""),AND(EM23&gt;=EQ$26,EN23&gt;=EQ$30,EN23&lt;&gt;""),AND(FH23&gt;=FL$26,FI23&gt;=FL$30,FI23&lt;&gt;""),AND(GC23&gt;=GG$26,GD23&gt;=GG$30,GD23&lt;&gt;""),AND(GX23&gt;=HB$26,GY23&gt;=HB$30,GY23&lt;&gt;""),AND(HS23&gt;=HW$26,HT23&gt;=HW$30,HT23&lt;&gt;""),AND(IN23&gt;=IR$26,IO23&gt;=IR$30,IO23&lt;&gt;""),AND(JI23&gt;=JM$26,JJ23&gt;=JM$30,JJ23&lt;&gt;""),AND(KD23&gt;=KH$26,KE23&gt;=KH$30,KE23&lt;&gt;""),AND(KY23&gt;=LC$26,KZ23&gt;=LC$30,KZ23&lt;&gt;""),AND(LT23&gt;=LX$26,LU23&gt;=LX$30,LU23&lt;&gt;"")),"P","")</f>
        <v/>
      </c>
      <c r="G23" s="3" t="str">
        <f>IF(OR(AND(AI23&gt;=AL$30,AI23&lt;&gt;"",AG23=""),AND(BE23&gt;=BH$30,BE23&lt;&gt;"",BC23=""),AND(CA23&gt;=CD$30,CA23&lt;&gt;"",BY23=""),AND(CX23&gt;=DA$30,CX23&lt;&gt;""),AND(DS23&gt;=DV$30,DS23&lt;&gt;""),AND(EN23&gt;=EQ$30,EN23&lt;&gt;""),AND(FI23&gt;=FL$30,FI23&lt;&gt;""),AND(GD23&gt;=GG$30,GD23&lt;&gt;""),AND(GY23&gt;=HB$30,GY23&lt;&gt;""),AND(HT23&gt;=HW$30,HT23&lt;&gt;""),AND(IO23&gt;=IR$30,IO23&lt;&gt;""),AND(JJ23&gt;=JM$30,JJ23&lt;&gt;""),AND(KE23&gt;=KH$30,KE23&lt;&gt;""),AND(KZ23&gt;=LC$30,KZ23&lt;&gt;""),AND(LU23&gt;=LX$30,LU23&lt;&gt;"")),"P","")</f>
        <v/>
      </c>
      <c r="H23" s="116" t="str">
        <f>IF(AND(G23="P",F23=""),"No DD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Merit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Excellence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Worlds Team",IF(OR(AND(AH23&gt;=AL$26,AH23&lt;&gt;"",AI23&gt;=AL$30,AI23&lt;&gt;"",AG23=""),AND(BD23&gt;=BH$26,BD23&lt;&gt;"",BE23&gt;=BH$30,BE23&lt;&gt;"",BC23=""),AND(BZ23&gt;=CD$26,BZ23&lt;&gt;"",CA23&gt;=CD$30,CA23&lt;&gt;"",BY23=""),AND(CW23&gt;=DA$26,CW23&lt;&gt;"",CX23&gt;=DA$30,CX23&lt;&gt;""),AND(DR23&gt;=DV$26,DR23&lt;&gt;"",DS23&gt;=DV$30,DS23&lt;&gt;""),AND(EM23&gt;=EQ$26,EM23&lt;&gt;"",EN23&gt;=EQ$30,EN23&lt;&gt;""),AND(FH23&gt;=FL$26,FH23&lt;&gt;"",FI23&gt;=FL$30,FI23&lt;&gt;""),AND(GC23&gt;=GG$26,GC23&lt;&gt;"",GD23&gt;=GG$30,GD23&lt;&gt;""),AND(GX23&gt;=HB$26,GX23&lt;&gt;"",GY23&gt;=HB$30,GY23&lt;&gt;""),AND(HS23&gt;=HW$26,HS23&lt;&gt;"",HT23&gt;=HW$30,HT23&lt;&gt;""),AND(IN23&gt;=IR$26,IN23&lt;&gt;"",IO23&gt;=IR$30,IO23&lt;&gt;""),AND(JI23&gt;=JM$26,JI23&lt;&gt;"",JJ23&gt;=JM$30,JJ23&lt;&gt;""),AND(KD23&gt;=KH$26,KD23&lt;&gt;"",KE23&gt;=KH$30,KE23&lt;&gt;""),AND(KY23&gt;=LC$26,KY23&lt;&gt;"",KZ23&gt;=LC$30,KZ23&lt;&gt;""),AND(LT23&gt;=LX$26,LT23&lt;&gt;"",LU23&gt;=LX$30,LU23&lt;&gt;"")),"National Team","")))))</f>
        <v/>
      </c>
      <c r="I23" s="3" t="str">
        <f>IF(OR(H23="Worlds Team",H23="Excellence",H23="Merit"),"P","")</f>
        <v/>
      </c>
      <c r="J23" s="14">
        <f>MAX(AI23,BE23,CA23)</f>
        <v>23.099999999999998</v>
      </c>
      <c r="K23" s="14" t="str">
        <f>IF(J23=0,"",IF(J23=CA23,$BI$1,IF(J23=BE23,$AM$1,IF(J23=AI23,$Q$1,""))))</f>
        <v>2019 Nationals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>
        <v>0</v>
      </c>
      <c r="R23" s="61">
        <v>0</v>
      </c>
      <c r="S23" s="61">
        <v>0</v>
      </c>
      <c r="T23" s="61">
        <v>0</v>
      </c>
      <c r="U23" s="61">
        <v>19.899999999999999</v>
      </c>
      <c r="V23" s="61">
        <v>3.2</v>
      </c>
      <c r="W23" s="61">
        <v>0</v>
      </c>
      <c r="X23" s="61">
        <v>0</v>
      </c>
      <c r="Y23" s="61"/>
      <c r="Z23" s="61"/>
      <c r="AA23" s="61"/>
      <c r="AB23" s="61"/>
      <c r="AC23" s="61"/>
      <c r="AD23" s="61"/>
      <c r="AE23" s="61"/>
      <c r="AF23" s="61"/>
      <c r="AG23" s="72"/>
      <c r="AH23" s="11">
        <f>IF(SUM(R23,V23)&gt;0,SUM(R23,V23),"")</f>
        <v>3.2</v>
      </c>
      <c r="AI23" s="11">
        <f>IF(SUM(Q23:R23,T23:V23,X23)-SUM(S23,W23)&gt;0,SUM(Q23:R23,T23:V23,X23)-SUM(S23,W23),"")</f>
        <v>23.099999999999998</v>
      </c>
      <c r="AJ23" s="11" t="str">
        <f>IF(SUM(Z23,AD23)&gt;0,SUM(Z23,AD23),"")</f>
        <v/>
      </c>
      <c r="AK23" s="11" t="str">
        <f>IF(SUM(Y23:Z23,AB23:AD23,AF23)-SUM(AA23,AE23)&gt;0,SUM(Y23:Z23,AB23:AD23,AF23)-SUM(AA23,AE23),"")</f>
        <v/>
      </c>
      <c r="AL23" s="11">
        <f>IF(SUM(AI23,AK23)&gt;0,SUM(AI23,AK23),"")</f>
        <v>23.099999999999998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>IF(SUM(AN23,AR23)&gt;0,SUM(AN23,AR23),"")</f>
        <v/>
      </c>
      <c r="BE23" s="14" t="str">
        <f>IF(SUM(AM23:AN23,AP23:AR23,AT23)-SUM(AO23,AS23)&gt;0,SUM(AM23:AN23,AP23:AR23,AT23)-SUM(AO23,AS23),"")</f>
        <v/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 t="str">
        <f>IF(SUM(BE23,BG23)&gt;0,SUM(BE23,BG23),"")</f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0</v>
      </c>
      <c r="LZ23" s="61">
        <f>IF($BY23="P",BJ23,(BJ23+AN23)/2)</f>
        <v>0</v>
      </c>
      <c r="MA23" s="61">
        <f>IF($BY23="P",BK23,(BK23+AO23)/2)</f>
        <v>0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 t="str">
        <f>IF(SUM(LZ23,MD23)&gt;0,SUM(LZ23,MD23),"")</f>
        <v/>
      </c>
      <c r="MQ23" s="11" t="str">
        <f>IF(SUM(LY23:LZ23,MB23:MD23,MF23)-SUM(MA23,ME23)&gt;0,SUM(LY23:LZ23,MB23:MD23,MF23)-SUM(MA23,ME23),"")</f>
        <v/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 t="str">
        <f>IF(SUM(MQ23,MS23)&gt;0,SUM(MQ23,MS23),"")</f>
        <v/>
      </c>
    </row>
    <row r="26" spans="1:358" x14ac:dyDescent="0.2">
      <c r="B26" s="62" t="s">
        <v>50</v>
      </c>
      <c r="AH26" s="49"/>
      <c r="AJ26" s="49"/>
      <c r="AL26" s="56">
        <v>12.8</v>
      </c>
      <c r="BD26" s="49"/>
      <c r="BF26" s="49"/>
      <c r="BH26" s="56">
        <v>12.8</v>
      </c>
      <c r="BZ26" s="49"/>
      <c r="CB26" s="49"/>
      <c r="CD26" s="56">
        <v>12.8</v>
      </c>
      <c r="CW26" s="49"/>
      <c r="CY26" s="49"/>
      <c r="DA26" s="56">
        <v>12.8</v>
      </c>
      <c r="DR26" s="49"/>
      <c r="DT26" s="49"/>
      <c r="DV26" s="56">
        <v>12.8</v>
      </c>
      <c r="EM26" s="49"/>
      <c r="EO26" s="49"/>
      <c r="EQ26" s="56">
        <v>12.8</v>
      </c>
      <c r="FH26" s="49"/>
      <c r="FJ26" s="49"/>
      <c r="FL26" s="56">
        <v>12.8</v>
      </c>
      <c r="GC26" s="49"/>
      <c r="GE26" s="49"/>
      <c r="GG26" s="56">
        <v>12.8</v>
      </c>
      <c r="GX26" s="49"/>
      <c r="GZ26" s="49"/>
      <c r="HB26" s="56">
        <v>12.8</v>
      </c>
      <c r="HS26" s="49"/>
      <c r="HU26" s="49"/>
      <c r="HW26" s="56">
        <v>12.8</v>
      </c>
      <c r="IN26" s="49"/>
      <c r="IP26" s="49"/>
      <c r="IR26" s="56">
        <v>12.8</v>
      </c>
      <c r="JI26" s="49"/>
      <c r="JK26" s="49"/>
      <c r="JM26" s="56">
        <v>12.8</v>
      </c>
      <c r="KD26" s="49"/>
      <c r="KF26" s="49"/>
      <c r="KH26" s="56">
        <v>12.8</v>
      </c>
      <c r="KY26" s="49"/>
      <c r="LA26" s="49"/>
      <c r="LC26" s="56">
        <v>12.8</v>
      </c>
      <c r="LT26" s="49"/>
      <c r="LV26" s="49"/>
      <c r="LX26" s="56">
        <v>12.8</v>
      </c>
    </row>
    <row r="27" spans="1:358" hidden="1" x14ac:dyDescent="0.2">
      <c r="B27" s="83" t="s">
        <v>49</v>
      </c>
      <c r="AH27" s="49"/>
      <c r="AJ27" s="49"/>
      <c r="AL27" s="96">
        <v>1000</v>
      </c>
      <c r="BD27" s="49"/>
      <c r="BF27" s="49"/>
      <c r="BH27" s="96">
        <v>1000</v>
      </c>
      <c r="BZ27" s="49"/>
      <c r="CB27" s="49"/>
      <c r="CD27" s="96">
        <v>1000</v>
      </c>
      <c r="CW27" s="49"/>
      <c r="CY27" s="49"/>
      <c r="DA27" s="96">
        <v>1000</v>
      </c>
      <c r="DR27" s="49"/>
      <c r="DT27" s="49"/>
      <c r="DV27" s="96">
        <v>1000</v>
      </c>
      <c r="EM27" s="49"/>
      <c r="EO27" s="49"/>
      <c r="EQ27" s="96">
        <v>1000</v>
      </c>
      <c r="FH27" s="49"/>
      <c r="FJ27" s="49"/>
      <c r="FL27" s="96">
        <v>1000</v>
      </c>
      <c r="GC27" s="49"/>
      <c r="GE27" s="49"/>
      <c r="GG27" s="96">
        <v>1000</v>
      </c>
      <c r="GX27" s="49"/>
      <c r="GZ27" s="49"/>
      <c r="HB27" s="96">
        <v>1000</v>
      </c>
      <c r="HS27" s="49"/>
      <c r="HU27" s="49"/>
      <c r="HW27" s="96">
        <v>1000</v>
      </c>
      <c r="IN27" s="49"/>
      <c r="IP27" s="49"/>
      <c r="IR27" s="96">
        <v>1000</v>
      </c>
      <c r="JI27" s="49"/>
      <c r="JK27" s="49"/>
      <c r="JM27" s="96">
        <v>1000</v>
      </c>
      <c r="KD27" s="49"/>
      <c r="KF27" s="49"/>
      <c r="KH27" s="96">
        <v>1000</v>
      </c>
      <c r="KY27" s="49"/>
      <c r="LA27" s="49"/>
      <c r="LC27" s="96">
        <v>1000</v>
      </c>
      <c r="LT27" s="49"/>
      <c r="LV27" s="49"/>
      <c r="LX27" s="96">
        <v>1000</v>
      </c>
    </row>
    <row r="28" spans="1:358" hidden="1" x14ac:dyDescent="0.2">
      <c r="A28" s="49"/>
      <c r="B28" s="84" t="s">
        <v>62</v>
      </c>
      <c r="C28" s="48"/>
      <c r="AH28" s="49"/>
      <c r="AJ28" s="49"/>
      <c r="AK28" s="117"/>
      <c r="AL28" s="97">
        <v>1000</v>
      </c>
      <c r="BD28" s="49"/>
      <c r="BF28" s="49"/>
      <c r="BG28" s="117"/>
      <c r="BH28" s="97">
        <v>1000</v>
      </c>
      <c r="BZ28" s="49"/>
      <c r="CB28" s="49"/>
      <c r="CD28" s="97">
        <v>1000</v>
      </c>
      <c r="CW28" s="49"/>
      <c r="CY28" s="49"/>
      <c r="CZ28" s="117"/>
      <c r="DA28" s="97">
        <v>1000</v>
      </c>
      <c r="DR28" s="49"/>
      <c r="DT28" s="49"/>
      <c r="DV28" s="97">
        <v>1000</v>
      </c>
      <c r="EM28" s="49"/>
      <c r="EO28" s="49"/>
      <c r="EQ28" s="97">
        <v>1000</v>
      </c>
      <c r="FH28" s="49"/>
      <c r="FJ28" s="49"/>
      <c r="FL28" s="97">
        <v>1000</v>
      </c>
      <c r="GC28" s="49"/>
      <c r="GE28" s="49"/>
      <c r="GG28" s="97">
        <v>1000</v>
      </c>
      <c r="GX28" s="49"/>
      <c r="GZ28" s="49"/>
      <c r="HB28" s="97">
        <v>1000</v>
      </c>
      <c r="HS28" s="49"/>
      <c r="HU28" s="49"/>
      <c r="HW28" s="97">
        <v>1000</v>
      </c>
      <c r="IN28" s="49"/>
      <c r="IP28" s="49"/>
      <c r="IR28" s="97">
        <v>1000</v>
      </c>
      <c r="JI28" s="49"/>
      <c r="JK28" s="49"/>
      <c r="JM28" s="97">
        <v>1000</v>
      </c>
      <c r="KD28" s="49"/>
      <c r="KF28" s="49"/>
      <c r="KH28" s="97">
        <v>1000</v>
      </c>
      <c r="KY28" s="49"/>
      <c r="LA28" s="49"/>
      <c r="LC28" s="97">
        <v>1000</v>
      </c>
      <c r="LT28" s="49"/>
      <c r="LV28" s="49"/>
      <c r="LX28" s="97">
        <v>1000</v>
      </c>
    </row>
    <row r="29" spans="1:358" hidden="1" x14ac:dyDescent="0.2">
      <c r="A29" s="49"/>
      <c r="B29" s="63" t="s">
        <v>72</v>
      </c>
      <c r="C29" s="48"/>
      <c r="AH29" s="49"/>
      <c r="AJ29" s="49"/>
      <c r="AL29" s="57">
        <v>1000</v>
      </c>
      <c r="BD29" s="49"/>
      <c r="BF29" s="49"/>
      <c r="BH29" s="57">
        <v>1000</v>
      </c>
      <c r="BZ29" s="49"/>
      <c r="CB29" s="49"/>
      <c r="CD29" s="57">
        <v>1000</v>
      </c>
      <c r="CW29" s="49"/>
      <c r="CY29" s="49"/>
      <c r="DA29" s="57">
        <v>1000</v>
      </c>
      <c r="DR29" s="49"/>
      <c r="DT29" s="49"/>
      <c r="DV29" s="57">
        <v>1000</v>
      </c>
      <c r="EM29" s="49"/>
      <c r="EO29" s="49"/>
      <c r="EP29" s="117"/>
      <c r="EQ29" s="57">
        <v>1000</v>
      </c>
      <c r="FH29" s="49"/>
      <c r="FJ29" s="49"/>
      <c r="FL29" s="57">
        <v>1000</v>
      </c>
      <c r="GC29" s="49"/>
      <c r="GE29" s="49"/>
      <c r="GG29" s="57">
        <v>1000</v>
      </c>
      <c r="GX29" s="49"/>
      <c r="GZ29" s="49"/>
      <c r="HB29" s="57">
        <v>1000</v>
      </c>
      <c r="HS29" s="49"/>
      <c r="HU29" s="49"/>
      <c r="HW29" s="57">
        <v>1000</v>
      </c>
      <c r="IN29" s="49"/>
      <c r="IP29" s="49"/>
      <c r="IR29" s="57">
        <v>1000</v>
      </c>
      <c r="JI29" s="49"/>
      <c r="JK29" s="49"/>
      <c r="JM29" s="57">
        <v>1000</v>
      </c>
      <c r="KD29" s="49"/>
      <c r="KF29" s="49"/>
      <c r="KH29" s="57">
        <v>1000</v>
      </c>
      <c r="KY29" s="49"/>
      <c r="LA29" s="49"/>
      <c r="LC29" s="57">
        <v>1000</v>
      </c>
      <c r="LT29" s="49"/>
      <c r="LV29" s="49"/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68.599999999999994</v>
      </c>
      <c r="BD30" s="49"/>
      <c r="BF30" s="49"/>
      <c r="BH30" s="59">
        <v>68.599999999999994</v>
      </c>
      <c r="BZ30" s="49"/>
      <c r="CB30" s="49"/>
      <c r="CD30" s="59">
        <v>68.599999999999994</v>
      </c>
      <c r="CW30" s="49"/>
      <c r="CY30" s="49"/>
      <c r="DA30" s="59">
        <v>68.599999999999994</v>
      </c>
      <c r="DR30" s="49"/>
      <c r="DT30" s="49"/>
      <c r="DV30" s="59">
        <v>68.599999999999994</v>
      </c>
      <c r="EM30" s="49"/>
      <c r="EO30" s="49"/>
      <c r="EQ30" s="59">
        <v>68.599999999999994</v>
      </c>
      <c r="FH30" s="49"/>
      <c r="FJ30" s="49"/>
      <c r="FL30" s="59">
        <v>68.599999999999994</v>
      </c>
      <c r="GC30" s="49"/>
      <c r="GE30" s="49"/>
      <c r="GG30" s="59">
        <v>68.599999999999994</v>
      </c>
      <c r="GX30" s="49"/>
      <c r="GZ30" s="49"/>
      <c r="HB30" s="59">
        <v>68.599999999999994</v>
      </c>
      <c r="HS30" s="49"/>
      <c r="HU30" s="49"/>
      <c r="HW30" s="59">
        <v>68.599999999999994</v>
      </c>
      <c r="IN30" s="49"/>
      <c r="IP30" s="49"/>
      <c r="IR30" s="59">
        <v>68.599999999999994</v>
      </c>
      <c r="JI30" s="49"/>
      <c r="JK30" s="49"/>
      <c r="JM30" s="59">
        <v>68.599999999999994</v>
      </c>
      <c r="KD30" s="49"/>
      <c r="KF30" s="49"/>
      <c r="KH30" s="59">
        <v>68.599999999999994</v>
      </c>
      <c r="KY30" s="49"/>
      <c r="LA30" s="49"/>
      <c r="LC30" s="59">
        <v>68.599999999999994</v>
      </c>
      <c r="LT30" s="49"/>
      <c r="LV30" s="49"/>
      <c r="LX30" s="59">
        <v>68.599999999999994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K32" s="117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CZ32" s="117"/>
      <c r="DA32" s="107">
        <v>1000</v>
      </c>
      <c r="DR32" s="49"/>
      <c r="DT32" s="49"/>
      <c r="DV32" s="107">
        <v>1000</v>
      </c>
      <c r="EM32" s="49"/>
      <c r="EO32" s="49"/>
      <c r="EQ32" s="107">
        <v>1000</v>
      </c>
      <c r="FH32" s="49"/>
      <c r="FJ32" s="49"/>
      <c r="FK32" s="117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L33" s="60">
        <v>1000</v>
      </c>
      <c r="BD33" s="49"/>
      <c r="BF33" s="49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P33" s="117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CX34" s="6"/>
      <c r="KE34" s="6"/>
    </row>
    <row r="35" spans="1:336" x14ac:dyDescent="0.2">
      <c r="A35" s="49"/>
      <c r="B35" s="49"/>
      <c r="C35" s="48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</sheetData>
  <sheetProtection sheet="1" formatCells="0" formatColumns="0" formatRows="0"/>
  <autoFilter ref="A1:MT12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3">
      <sortCondition descending="1" ref="F1:F24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23">
    <cfRule type="expression" dxfId="39" priority="3" stopIfTrue="1">
      <formula>IF($BC4&lt;&gt;"",1,0)</formula>
    </cfRule>
  </conditionalFormatting>
  <conditionalFormatting sqref="Q4:AL23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3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4028" operator="between">
      <formula>AL$29</formula>
      <formula>1000</formula>
    </cfRule>
    <cfRule type="cellIs" dxfId="26" priority="44029" operator="between">
      <formula>AL$28</formula>
      <formula>AL$29</formula>
    </cfRule>
    <cfRule type="cellIs" dxfId="25" priority="44030" operator="between">
      <formula>AL$27</formula>
      <formula>AL$28</formula>
    </cfRule>
    <cfRule type="cellIs" dxfId="24" priority="44031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4208" operator="between">
      <formula>AL$33</formula>
      <formula>1000</formula>
    </cfRule>
    <cfRule type="cellIs" dxfId="22" priority="44209" operator="between">
      <formula>AL$32</formula>
      <formula>AL$33</formula>
    </cfRule>
    <cfRule type="cellIs" dxfId="21" priority="44210" operator="between">
      <formula>AL$31</formula>
      <formula>AL$32</formula>
    </cfRule>
    <cfRule type="cellIs" dxfId="20" priority="44211" operator="between">
      <formula>AL$30</formula>
      <formula>AL$31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136</v>
      </c>
      <c r="J1" s="129" t="s">
        <v>10</v>
      </c>
      <c r="K1" s="128" t="s">
        <v>32</v>
      </c>
      <c r="L1" s="129" t="s">
        <v>152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71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IF(AND(F4="P",G4="P"),SUMPRODUCT((F$4:F$21="P")*(G$4:G$21="P")*(E$4:E$21&gt;E4))+1,IF(G4="P",SUMPRODUCT((F$4:F$21="")*(G$4:G$21="P")*(E$4:E$21&gt;E4))+1+SUMPRODUCT((F$4:F$21="P")*(G$4:G$21="P")),""))</f>
        <v>1</v>
      </c>
      <c r="B4" s="8" t="s">
        <v>100</v>
      </c>
      <c r="C4" s="4" t="s">
        <v>4</v>
      </c>
      <c r="D4" s="5">
        <v>2003</v>
      </c>
      <c r="E4" s="15">
        <f>SUM(J4:N4)</f>
        <v>197.70000000000002</v>
      </c>
      <c r="F4" s="3" t="str">
        <f>IF(OR(AND(AH4&gt;=AL$23,AI4&gt;=AL$27,AI4&lt;&gt;"",AG4=""),AND(BD4&gt;=BH$23,BE4&gt;=BH$27,BE4&lt;&gt;"",BC4=""),AND(BZ4&gt;=CD$23,CA4&gt;=CD$27,CA4&lt;&gt;"",BY4=""),AND(CW4&gt;=DA$23,CX4&gt;=DA$27,CX4&lt;&gt;""),AND(DR4&gt;=DV$23,DS4&gt;=DV$27,DS4&lt;&gt;""),AND(EM4&gt;=EQ$23,EN4&gt;=EQ$27,EN4&lt;&gt;""),AND(FH4&gt;=FL$23,FI4&gt;=FL$27,FI4&lt;&gt;""),AND(GC4&gt;=GG$23,GD4&gt;=GG$27,GD4&lt;&gt;""),AND(GX4&gt;=HB$23,GY4&gt;=HB$27,GY4&lt;&gt;""),AND(HS4&gt;=HW$23,HT4&gt;=HW$27,HT4&lt;&gt;""),AND(IN4&gt;=IR$23,IO4&gt;=IR$27,IO4&lt;&gt;""),AND(JI4&gt;=JM$23,JJ4&gt;=JM$27,JJ4&lt;&gt;""),AND(KD4&gt;=KH$23,KE4&gt;=KH$27,KE4&lt;&gt;""),AND(KY4&gt;=LC$23,KZ4&gt;=LC$27,KZ4&lt;&gt;""),AND(LT4&gt;=LX$23,LU4&gt;=LX$27,LU4&lt;&gt;"")),"P","")</f>
        <v>P</v>
      </c>
      <c r="G4" s="3" t="str">
        <f>IF(OR(AND(AI4&gt;=AL$27,AI4&lt;&gt;"",AG4=""),AND(BE4&gt;=BH$27,BE4&lt;&gt;"",BC4=""),AND(CA4&gt;=CD$27,CA4&lt;&gt;"",BY4=""),AND(CX4&gt;=DA$27,CX4&lt;&gt;""),AND(DS4&gt;=DV$27,DS4&lt;&gt;""),AND(EN4&gt;=EQ$27,EN4&lt;&gt;""),AND(FI4&gt;=FL$27,FI4&lt;&gt;""),AND(GD4&gt;=GG$27,GD4&lt;&gt;""),AND(GY4&gt;=HB$27,GY4&lt;&gt;""),AND(HT4&gt;=HW$27,HT4&lt;&gt;""),AND(IO4&gt;=IR$27,IO4&lt;&gt;""),AND(JJ4&gt;=JM$27,JJ4&lt;&gt;""),AND(KE4&gt;=KH$27,KE4&lt;&gt;""),AND(KZ4&gt;=LC$27,KZ4&lt;&gt;""),AND(LU4&gt;=LX$27,LU4&lt;&gt;"")),"P","")</f>
        <v>P</v>
      </c>
      <c r="H4" s="116" t="str">
        <f>IF(AND(G4="P",F4=""),"No DD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Merit",IF(OR(AND(AH4&gt;=AL$25,AH4&lt;&gt;"",AI4&gt;=AL$29,AI4&lt;&gt;"",AG4=""),AND(BD4&gt;=BH$25,BD4&lt;&gt;"",BE4&gt;=BH$29,BE4&lt;&gt;"",BC4=""),AND(BZ4&gt;=CD$25,BZ4&lt;&gt;"",CA4&gt;=CD$29,CA4&lt;&gt;"",BY4=""),AND(CW4&gt;=DA$25,CW4&lt;&gt;"",CX4&gt;=DA$29,CX4&lt;&gt;""),AND(DR4&gt;=DV$25,DR4&lt;&gt;"",DS4&gt;=DV$29,DS4&lt;&gt;""),AND(EM4&gt;=EQ$25,EM4&lt;&gt;"",EN4&gt;=EQ$29,EN4&lt;&gt;""),AND(FH4&gt;=FL$25,FH4&lt;&gt;"",FI4&gt;=FL$29,FI4&lt;&gt;""),AND(GC4&gt;=GG$25,GC4&lt;&gt;"",GD4&gt;=GG$29,GD4&lt;&gt;""),AND(GX4&gt;=HB$25,GX4&lt;&gt;"",GY4&gt;=HB$29,GY4&lt;&gt;""),AND(HS4&gt;=HW$25,HS4&lt;&gt;"",HT4&gt;=HW$29,HT4&lt;&gt;""),AND(IN4&gt;=IR$25,IN4&lt;&gt;"",IO4&gt;=IR$29,IO4&lt;&gt;""),AND(JI4&gt;=JM$25,JI4&lt;&gt;"",JJ4&gt;=JM$29,JJ4&lt;&gt;""),AND(KD4&gt;=KH$25,KD4&lt;&gt;"",KE4&gt;=KH$29,KE4&lt;&gt;""),AND(KY4&gt;=LC$25,KY4&lt;&gt;"",KZ4&gt;=LC$29,KZ4&lt;&gt;""),AND(LT4&gt;=LX$25,LT4&lt;&gt;"",LU4&gt;=LX$29,LU4&lt;&gt;"")),"Excellence",IF(OR(AND(AH4&gt;=AL$24,AH4&lt;&gt;"",AI4&gt;=AL$28,AI4&lt;&gt;"",AG4=""),AND(BD4&gt;=BH$24,BD4&lt;&gt;"",BE4&gt;=BH$28,BE4&lt;&gt;"",BC4=""),AND(BZ4&gt;=CD$24,BZ4&lt;&gt;"",CA4&gt;=CD$28,CA4&lt;&gt;"",BY4=""),AND(CW4&gt;=DA$24,CW4&lt;&gt;"",CX4&gt;=DA$28,CX4&lt;&gt;""),AND(DR4&gt;=DV$24,DR4&lt;&gt;"",DS4&gt;=DV$28,DS4&lt;&gt;""),AND(EM4&gt;=EQ$24,EM4&lt;&gt;"",EN4&gt;=EQ$28,EN4&lt;&gt;""),AND(FH4&gt;=FL$24,FH4&lt;&gt;"",FI4&gt;=FL$28,FI4&lt;&gt;""),AND(GC4&gt;=GG$24,GC4&lt;&gt;"",GD4&gt;=GG$28,GD4&lt;&gt;""),AND(GX4&gt;=HB$24,GX4&lt;&gt;"",GY4&gt;=HB$28,GY4&lt;&gt;""),AND(HS4&gt;=HW$24,HS4&lt;&gt;"",HT4&gt;=HW$28,HT4&lt;&gt;""),AND(IN4&gt;=IR$24,IN4&lt;&gt;"",IO4&gt;=IR$28,IO4&lt;&gt;""),AND(JI4&gt;=JM$24,JI4&lt;&gt;"",JJ4&gt;=JM$28,JJ4&lt;&gt;""),AND(KD4&gt;=KH$24,KD4&lt;&gt;"",KE4&gt;=KH$28,KE4&lt;&gt;""),AND(KY4&gt;=LC$24,KY4&lt;&gt;"",KZ4&gt;=LC$28,KZ4&lt;&gt;""),AND(LT4&gt;=LX$24,LT4&lt;&gt;"",LU4&gt;=LX$28,LU4&lt;&gt;"")),"Worlds Team",IF(OR(AND(AH4&gt;=AL$23,AH4&lt;&gt;"",AI4&gt;=AL$27,AI4&lt;&gt;"",AG4=""),AND(BD4&gt;=BH$23,BD4&lt;&gt;"",BE4&gt;=BH$27,BE4&lt;&gt;"",BC4=""),AND(BZ4&gt;=CD$23,BZ4&lt;&gt;"",CA4&gt;=CD$27,CA4&lt;&gt;"",BY4=""),AND(CW4&gt;=DA$23,CW4&lt;&gt;"",CX4&gt;=DA$27,CX4&lt;&gt;""),AND(DR4&gt;=DV$23,DR4&lt;&gt;"",DS4&gt;=DV$27,DS4&lt;&gt;""),AND(EM4&gt;=EQ$23,EM4&lt;&gt;"",EN4&gt;=EQ$27,EN4&lt;&gt;""),AND(FH4&gt;=FL$23,FH4&lt;&gt;"",FI4&gt;=FL$27,FI4&lt;&gt;""),AND(GC4&gt;=GG$23,GC4&lt;&gt;"",GD4&gt;=GG$27,GD4&lt;&gt;""),AND(GX4&gt;=HB$23,GX4&lt;&gt;"",GY4&gt;=HB$27,GY4&lt;&gt;""),AND(HS4&gt;=HW$23,HS4&lt;&gt;"",HT4&gt;=HW$27,HT4&lt;&gt;""),AND(IN4&gt;=IR$23,IN4&lt;&gt;"",IO4&gt;=IR$27,IO4&lt;&gt;""),AND(JI4&gt;=JM$23,JI4&lt;&gt;"",JJ4&gt;=JM$27,JJ4&lt;&gt;""),AND(KD4&gt;=KH$23,KD4&lt;&gt;"",KE4&gt;=KH$27,KE4&lt;&gt;""),AND(KY4&gt;=LC$23,KY4&lt;&gt;"",KZ4&gt;=LC$27,KZ4&lt;&gt;""),AND(LT4&gt;=LX$23,LT4&lt;&gt;"",LU4&gt;=LX$27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66.900000000000006</v>
      </c>
      <c r="K4" s="14" t="str">
        <f>IF(J4=0,"",IF(J4=CA4,$BI$1,IF(J4=BE4,$AM$1,IF(J4=AI4,$Q$1,""))))</f>
        <v>2021 2nd Virtual Technical Trial</v>
      </c>
      <c r="L4" s="14">
        <f>IF(J4=AI4,MAX(BH4,CD4),IF(J4=BE4,MAX(AL4,CD4),MAX(AL4,BH4)))</f>
        <v>130.80000000000001</v>
      </c>
      <c r="M4" s="14" t="str">
        <f>IF(L4=0,"",IF(AND(J4&lt;&gt;CA4,L4=CD4),$BI$1,IF(AND(J4&lt;&gt;BE4,L4=BH4),$AM$1,IF(L4=AL4,$Q$1,""))))</f>
        <v>2021 1st Virtual Technical Trial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19.8</v>
      </c>
      <c r="R4" s="61">
        <v>2.4</v>
      </c>
      <c r="S4" s="61">
        <v>0</v>
      </c>
      <c r="T4" s="61">
        <v>0</v>
      </c>
      <c r="U4" s="61">
        <v>27.9</v>
      </c>
      <c r="V4" s="61">
        <v>5.6</v>
      </c>
      <c r="W4" s="61">
        <v>0</v>
      </c>
      <c r="X4" s="61">
        <v>0</v>
      </c>
      <c r="Y4" s="61">
        <v>27.6</v>
      </c>
      <c r="Z4" s="61">
        <v>5.6</v>
      </c>
      <c r="AA4" s="61">
        <v>0.9</v>
      </c>
      <c r="AB4" s="61">
        <v>0</v>
      </c>
      <c r="AC4" s="61">
        <v>27.9</v>
      </c>
      <c r="AD4" s="61">
        <v>4.8</v>
      </c>
      <c r="AE4" s="61">
        <v>0</v>
      </c>
      <c r="AF4" s="61">
        <v>0</v>
      </c>
      <c r="AG4" s="72"/>
      <c r="AH4" s="11">
        <f>IF(SUM(R4,V4)&gt;0,SUM(R4,V4),"")</f>
        <v>8</v>
      </c>
      <c r="AI4" s="11">
        <f>IF(SUM(Q4:R4,T4:V4,X4)-SUM(S4,W4)&gt;0,SUM(Q4:R4,T4:V4,X4)-SUM(S4,W4),"")</f>
        <v>55.699999999999996</v>
      </c>
      <c r="AJ4" s="11">
        <f>IF(SUM(Z4,AD4)&gt;0,SUM(Z4,AD4),"")</f>
        <v>10.399999999999999</v>
      </c>
      <c r="AK4" s="11">
        <f>IF(SUM(Y4:Z4,AB4:AD4,AF4)-SUM(AA4,AE4)&gt;0,SUM(Y4:Z4,AB4:AD4,AF4)-SUM(AA4,AE4),"")</f>
        <v>65</v>
      </c>
      <c r="AL4" s="11">
        <f>IF(SUM(AI4,AK4)&gt;0,SUM(AI4,AK4),"")</f>
        <v>120.69999999999999</v>
      </c>
      <c r="AM4" s="36">
        <v>27.7</v>
      </c>
      <c r="AN4" s="36">
        <v>5.6</v>
      </c>
      <c r="AO4" s="36">
        <v>0</v>
      </c>
      <c r="AP4" s="36">
        <v>0</v>
      </c>
      <c r="AQ4" s="36">
        <v>27.1</v>
      </c>
      <c r="AR4" s="36">
        <v>6</v>
      </c>
      <c r="AS4" s="36">
        <v>0.9</v>
      </c>
      <c r="AT4" s="36">
        <v>0</v>
      </c>
      <c r="AU4" s="36">
        <v>27.3</v>
      </c>
      <c r="AV4" s="36">
        <v>5.6</v>
      </c>
      <c r="AW4" s="36">
        <v>0</v>
      </c>
      <c r="AX4" s="36">
        <v>0</v>
      </c>
      <c r="AY4" s="36">
        <v>27.6</v>
      </c>
      <c r="AZ4" s="36">
        <v>4.8</v>
      </c>
      <c r="BA4" s="36">
        <v>0</v>
      </c>
      <c r="BB4" s="36">
        <v>0</v>
      </c>
      <c r="BC4" s="73"/>
      <c r="BD4" s="14">
        <f>IF(SUM(AN4,AR4)&gt;0,SUM(AN4,AR4),"")</f>
        <v>11.6</v>
      </c>
      <c r="BE4" s="14">
        <f>IF(SUM(AM4:AN4,AP4:AR4,AT4)-SUM(AO4,AS4)&gt;0,SUM(AM4:AN4,AP4:AR4,AT4)-SUM(AO4,AS4),"")</f>
        <v>65.5</v>
      </c>
      <c r="BF4" s="14">
        <f>IF(SUM(AV4,AZ4)&gt;0,SUM(AV4,AZ4),"")</f>
        <v>10.399999999999999</v>
      </c>
      <c r="BG4" s="14">
        <f>IF(SUM(AU4:AV4,AX4:AZ4,BB4)-SUM(AW4,BA4)&gt;0,SUM(AU4:AV4,AX4:AZ4,BB4)-SUM(AW4,BA4),"")</f>
        <v>65.3</v>
      </c>
      <c r="BH4" s="14">
        <f>IF(SUM(BE4,BG4)&gt;0,SUM(BE4,BG4),"")</f>
        <v>130.80000000000001</v>
      </c>
      <c r="BI4" s="61">
        <v>28.1</v>
      </c>
      <c r="BJ4" s="61">
        <v>5.6</v>
      </c>
      <c r="BK4" s="61">
        <v>0</v>
      </c>
      <c r="BL4" s="61">
        <v>0</v>
      </c>
      <c r="BM4" s="61">
        <v>27.5</v>
      </c>
      <c r="BN4" s="61">
        <v>6</v>
      </c>
      <c r="BO4" s="61">
        <v>0.3</v>
      </c>
      <c r="BP4" s="61">
        <v>0</v>
      </c>
      <c r="BQ4" s="61">
        <v>27</v>
      </c>
      <c r="BR4" s="61">
        <v>5.6</v>
      </c>
      <c r="BS4" s="61">
        <v>0.9</v>
      </c>
      <c r="BT4" s="61">
        <v>0</v>
      </c>
      <c r="BU4" s="61">
        <v>26.5</v>
      </c>
      <c r="BV4" s="61">
        <v>4.4000000000000004</v>
      </c>
      <c r="BW4" s="61">
        <v>0</v>
      </c>
      <c r="BX4" s="61">
        <v>0</v>
      </c>
      <c r="BY4" s="72"/>
      <c r="BZ4" s="11">
        <f>IF(SUM(BJ4,BN4)&gt;0,SUM(BJ4,BN4),"")</f>
        <v>11.6</v>
      </c>
      <c r="CA4" s="11">
        <f>IF(SUM(BI4:BJ4,BL4:BN4,BP4)-SUM(BK4,BO4)&gt;0,SUM(BI4:BJ4,BL4:BN4,BP4)-SUM(BK4,BO4),"")</f>
        <v>66.900000000000006</v>
      </c>
      <c r="CB4" s="11">
        <f>IF(SUM(BR4,BV4)&gt;0,SUM(BR4,BV4),"")</f>
        <v>10</v>
      </c>
      <c r="CC4" s="11">
        <f>IF(SUM(BQ4:BR4,BT4:BV4,BX4)-SUM(BS4,BW4)&gt;0,SUM(BQ4:BR4,BT4:BV4,BX4)-SUM(BS4,BW4),"")</f>
        <v>62.6</v>
      </c>
      <c r="CD4" s="11">
        <f>IF(SUM(CA4,CC4)&gt;0,SUM(CA4,CC4),"")</f>
        <v>129.5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27.9</v>
      </c>
      <c r="LZ4" s="61">
        <f>IF($BY4="P",BJ4,(BJ4+AN4)/2)</f>
        <v>5.6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27.3</v>
      </c>
      <c r="MD4" s="61">
        <f>IF($BY4="P",BN4,(BN4+AR4)/2)</f>
        <v>6</v>
      </c>
      <c r="ME4" s="61">
        <f>IF($BY4="P",BO4,(BO4+AS4)/2)</f>
        <v>0.6</v>
      </c>
      <c r="MF4" s="61">
        <f>IF($BY4="P",BP4,(BP4+AT4)/2)</f>
        <v>0</v>
      </c>
      <c r="MG4" s="61">
        <f>IF($BY4="P",BQ4,(BQ4+AU4)/2)</f>
        <v>27.15</v>
      </c>
      <c r="MH4" s="61">
        <f>IF($BY4="P",BR4,(BR4+AV4)/2)</f>
        <v>5.6</v>
      </c>
      <c r="MI4" s="61">
        <f>IF($BY4="P",BS4,(BS4+AW4)/2)</f>
        <v>0.45</v>
      </c>
      <c r="MJ4" s="61">
        <f>IF($BY4="P",BT4,(BT4+AX4)/2)</f>
        <v>0</v>
      </c>
      <c r="MK4" s="61">
        <f>IF($BY4="P",BU4,(BU4+AY4)/2)</f>
        <v>27.05</v>
      </c>
      <c r="ML4" s="61">
        <f>IF($BY4="P",BV4,(BV4+AZ4)/2)</f>
        <v>4.5999999999999996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>
        <f>IF(SUM(LZ4,MD4)&gt;0,SUM(LZ4,MD4),"")</f>
        <v>11.6</v>
      </c>
      <c r="MQ4" s="11">
        <f>IF(SUM(LY4:LZ4,MB4:MD4,MF4)-SUM(MA4,ME4)&gt;0,SUM(LY4:LZ4,MB4:MD4,MF4)-SUM(MA4,ME4),"")</f>
        <v>66.2</v>
      </c>
      <c r="MR4" s="11">
        <f>IF(SUM(MH4,ML4)&gt;0,SUM(MH4,ML4),"")</f>
        <v>10.199999999999999</v>
      </c>
      <c r="MS4" s="11">
        <f>IF(SUM(MG4:MH4,MJ4:ML4,MN4)-SUM(MI4,MM4)&gt;0,SUM(MG4:MH4,MJ4:ML4,MN4)-SUM(MI4,MM4),"")</f>
        <v>63.949999999999989</v>
      </c>
      <c r="MT4" s="11">
        <f>IF(SUM(MQ4,MS4)&gt;0,SUM(MQ4,MS4),"")</f>
        <v>130.14999999999998</v>
      </c>
    </row>
    <row r="5" spans="1:358" x14ac:dyDescent="0.2">
      <c r="A5" s="5">
        <f>IF(AND(F5="P",G5="P"),SUMPRODUCT((F$4:F$21="P")*(G$4:G$21="P")*(E$4:E$21&gt;E5))+1,IF(G5="P",SUMPRODUCT((F$4:F$21="")*(G$4:G$21="P")*(E$4:E$21&gt;E5))+1+SUMPRODUCT((F$4:F$21="P")*(G$4:G$21="P")),""))</f>
        <v>2</v>
      </c>
      <c r="B5" s="8" t="s">
        <v>119</v>
      </c>
      <c r="C5" s="4" t="s">
        <v>5</v>
      </c>
      <c r="D5" s="5">
        <v>2004</v>
      </c>
      <c r="E5" s="15">
        <f>SUM(J5:N5)</f>
        <v>197.42500000000001</v>
      </c>
      <c r="F5" s="3" t="str">
        <f>IF(OR(AND(AH5&gt;=AL$23,AI5&gt;=AL$27,AI5&lt;&gt;"",AG5=""),AND(BD5&gt;=BH$23,BE5&gt;=BH$27,BE5&lt;&gt;"",BC5=""),AND(BZ5&gt;=CD$23,CA5&gt;=CD$27,CA5&lt;&gt;"",BY5=""),AND(CW5&gt;=DA$23,CX5&gt;=DA$27,CX5&lt;&gt;""),AND(DR5&gt;=DV$23,DS5&gt;=DV$27,DS5&lt;&gt;""),AND(EM5&gt;=EQ$23,EN5&gt;=EQ$27,EN5&lt;&gt;""),AND(FH5&gt;=FL$23,FI5&gt;=FL$27,FI5&lt;&gt;""),AND(GC5&gt;=GG$23,GD5&gt;=GG$27,GD5&lt;&gt;""),AND(GX5&gt;=HB$23,GY5&gt;=HB$27,GY5&lt;&gt;""),AND(HS5&gt;=HW$23,HT5&gt;=HW$27,HT5&lt;&gt;""),AND(IN5&gt;=IR$23,IO5&gt;=IR$27,IO5&lt;&gt;""),AND(JI5&gt;=JM$23,JJ5&gt;=JM$27,JJ5&lt;&gt;""),AND(KD5&gt;=KH$23,KE5&gt;=KH$27,KE5&lt;&gt;""),AND(KY5&gt;=LC$23,KZ5&gt;=LC$27,KZ5&lt;&gt;""),AND(LT5&gt;=LX$23,LU5&gt;=LX$27,LU5&lt;&gt;"")),"P","")</f>
        <v>P</v>
      </c>
      <c r="G5" s="3" t="str">
        <f>IF(OR(AND(AI5&gt;=AL$27,AI5&lt;&gt;"",AG5=""),AND(BE5&gt;=BH$27,BE5&lt;&gt;"",BC5=""),AND(CA5&gt;=CD$27,CA5&lt;&gt;"",BY5=""),AND(CX5&gt;=DA$27,CX5&lt;&gt;""),AND(DS5&gt;=DV$27,DS5&lt;&gt;""),AND(EN5&gt;=EQ$27,EN5&lt;&gt;""),AND(FI5&gt;=FL$27,FI5&lt;&gt;""),AND(GD5&gt;=GG$27,GD5&lt;&gt;""),AND(GY5&gt;=HB$27,GY5&lt;&gt;""),AND(HT5&gt;=HW$27,HT5&lt;&gt;""),AND(IO5&gt;=IR$27,IO5&lt;&gt;""),AND(JJ5&gt;=JM$27,JJ5&lt;&gt;""),AND(KE5&gt;=KH$27,KE5&lt;&gt;""),AND(KZ5&gt;=LC$27,KZ5&lt;&gt;""),AND(LU5&gt;=LX$27,LU5&lt;&gt;"")),"P","")</f>
        <v>P</v>
      </c>
      <c r="H5" s="116" t="str">
        <f>IF(AND(G5="P",F5=""),"No DD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Merit",IF(OR(AND(AH5&gt;=AL$25,AH5&lt;&gt;"",AI5&gt;=AL$29,AI5&lt;&gt;"",AG5=""),AND(BD5&gt;=BH$25,BD5&lt;&gt;"",BE5&gt;=BH$29,BE5&lt;&gt;"",BC5=""),AND(BZ5&gt;=CD$25,BZ5&lt;&gt;"",CA5&gt;=CD$29,CA5&lt;&gt;"",BY5=""),AND(CW5&gt;=DA$25,CW5&lt;&gt;"",CX5&gt;=DA$29,CX5&lt;&gt;""),AND(DR5&gt;=DV$25,DR5&lt;&gt;"",DS5&gt;=DV$29,DS5&lt;&gt;""),AND(EM5&gt;=EQ$25,EM5&lt;&gt;"",EN5&gt;=EQ$29,EN5&lt;&gt;""),AND(FH5&gt;=FL$25,FH5&lt;&gt;"",FI5&gt;=FL$29,FI5&lt;&gt;""),AND(GC5&gt;=GG$25,GC5&lt;&gt;"",GD5&gt;=GG$29,GD5&lt;&gt;""),AND(GX5&gt;=HB$25,GX5&lt;&gt;"",GY5&gt;=HB$29,GY5&lt;&gt;""),AND(HS5&gt;=HW$25,HS5&lt;&gt;"",HT5&gt;=HW$29,HT5&lt;&gt;""),AND(IN5&gt;=IR$25,IN5&lt;&gt;"",IO5&gt;=IR$29,IO5&lt;&gt;""),AND(JI5&gt;=JM$25,JI5&lt;&gt;"",JJ5&gt;=JM$29,JJ5&lt;&gt;""),AND(KD5&gt;=KH$25,KD5&lt;&gt;"",KE5&gt;=KH$29,KE5&lt;&gt;""),AND(KY5&gt;=LC$25,KY5&lt;&gt;"",KZ5&gt;=LC$29,KZ5&lt;&gt;""),AND(LT5&gt;=LX$25,LT5&lt;&gt;"",LU5&gt;=LX$29,LU5&lt;&gt;"")),"Excellence",IF(OR(AND(AH5&gt;=AL$24,AH5&lt;&gt;"",AI5&gt;=AL$28,AI5&lt;&gt;"",AG5=""),AND(BD5&gt;=BH$24,BD5&lt;&gt;"",BE5&gt;=BH$28,BE5&lt;&gt;"",BC5=""),AND(BZ5&gt;=CD$24,BZ5&lt;&gt;"",CA5&gt;=CD$28,CA5&lt;&gt;"",BY5=""),AND(CW5&gt;=DA$24,CW5&lt;&gt;"",CX5&gt;=DA$28,CX5&lt;&gt;""),AND(DR5&gt;=DV$24,DR5&lt;&gt;"",DS5&gt;=DV$28,DS5&lt;&gt;""),AND(EM5&gt;=EQ$24,EM5&lt;&gt;"",EN5&gt;=EQ$28,EN5&lt;&gt;""),AND(FH5&gt;=FL$24,FH5&lt;&gt;"",FI5&gt;=FL$28,FI5&lt;&gt;""),AND(GC5&gt;=GG$24,GC5&lt;&gt;"",GD5&gt;=GG$28,GD5&lt;&gt;""),AND(GX5&gt;=HB$24,GX5&lt;&gt;"",GY5&gt;=HB$28,GY5&lt;&gt;""),AND(HS5&gt;=HW$24,HS5&lt;&gt;"",HT5&gt;=HW$28,HT5&lt;&gt;""),AND(IN5&gt;=IR$24,IN5&lt;&gt;"",IO5&gt;=IR$28,IO5&lt;&gt;""),AND(JI5&gt;=JM$24,JI5&lt;&gt;"",JJ5&gt;=JM$28,JJ5&lt;&gt;""),AND(KD5&gt;=KH$24,KD5&lt;&gt;"",KE5&gt;=KH$28,KE5&lt;&gt;""),AND(KY5&gt;=LC$24,KY5&lt;&gt;"",KZ5&gt;=LC$28,KZ5&lt;&gt;""),AND(LT5&gt;=LX$24,LT5&lt;&gt;"",LU5&gt;=LX$28,LU5&lt;&gt;"")),"Worlds Team",IF(OR(AND(AH5&gt;=AL$23,AH5&lt;&gt;"",AI5&gt;=AL$27,AI5&lt;&gt;"",AG5=""),AND(BD5&gt;=BH$23,BD5&lt;&gt;"",BE5&gt;=BH$27,BE5&lt;&gt;"",BC5=""),AND(BZ5&gt;=CD$23,BZ5&lt;&gt;"",CA5&gt;=CD$27,CA5&lt;&gt;"",BY5=""),AND(CW5&gt;=DA$23,CW5&lt;&gt;"",CX5&gt;=DA$27,CX5&lt;&gt;""),AND(DR5&gt;=DV$23,DR5&lt;&gt;"",DS5&gt;=DV$27,DS5&lt;&gt;""),AND(EM5&gt;=EQ$23,EM5&lt;&gt;"",EN5&gt;=EQ$27,EN5&lt;&gt;""),AND(FH5&gt;=FL$23,FH5&lt;&gt;"",FI5&gt;=FL$27,FI5&lt;&gt;""),AND(GC5&gt;=GG$23,GC5&lt;&gt;"",GD5&gt;=GG$27,GD5&lt;&gt;""),AND(GX5&gt;=HB$23,GX5&lt;&gt;"",GY5&gt;=HB$27,GY5&lt;&gt;""),AND(HS5&gt;=HW$23,HS5&lt;&gt;"",HT5&gt;=HW$27,HT5&lt;&gt;""),AND(IN5&gt;=IR$23,IN5&lt;&gt;"",IO5&gt;=IR$27,IO5&lt;&gt;""),AND(JI5&gt;=JM$23,JI5&lt;&gt;"",JJ5&gt;=JM$27,JJ5&lt;&gt;""),AND(KD5&gt;=KH$23,KD5&lt;&gt;"",KE5&gt;=KH$27,KE5&lt;&gt;""),AND(KY5&gt;=LC$23,KY5&lt;&gt;"",KZ5&gt;=LC$27,KZ5&lt;&gt;""),AND(LT5&gt;=LX$23,LT5&lt;&gt;"",LU5&gt;=LX$27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67.100000000000009</v>
      </c>
      <c r="K5" s="14" t="str">
        <f>IF(J5=0,"",IF(J5=CA5,$BI$1,IF(J5=BE5,$AM$1,IF(J5=AI5,$Q$1,""))))</f>
        <v>2021 2nd Virtual Technical Trial</v>
      </c>
      <c r="L5" s="14">
        <f>IF(J5=AI5,MAX(BH5,CD5),IF(J5=BE5,MAX(AL5,CD5),MAX(AL5,BH5)))</f>
        <v>130.32500000000002</v>
      </c>
      <c r="M5" s="14" t="str">
        <f>IF(L5=0,"",IF(AND(J5&lt;&gt;CA5,L5=CD5),$BI$1,IF(AND(J5&lt;&gt;BE5,L5=BH5),$AM$1,IF(L5=AL5,$Q$1,""))))</f>
        <v>2021 1st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27.5</v>
      </c>
      <c r="R5" s="61">
        <v>4.8</v>
      </c>
      <c r="S5" s="61">
        <v>0.9</v>
      </c>
      <c r="T5" s="61">
        <v>0.5</v>
      </c>
      <c r="U5" s="61">
        <v>26.6</v>
      </c>
      <c r="V5" s="61">
        <v>5.2</v>
      </c>
      <c r="W5" s="61">
        <v>1.2</v>
      </c>
      <c r="X5" s="61">
        <v>0</v>
      </c>
      <c r="Y5" s="61">
        <v>28.2</v>
      </c>
      <c r="Z5" s="61">
        <v>3.4</v>
      </c>
      <c r="AA5" s="61">
        <v>0</v>
      </c>
      <c r="AB5" s="61">
        <v>0</v>
      </c>
      <c r="AC5" s="61">
        <v>27.8</v>
      </c>
      <c r="AD5" s="61">
        <v>3.3</v>
      </c>
      <c r="AE5" s="61">
        <v>0</v>
      </c>
      <c r="AF5" s="61">
        <v>0</v>
      </c>
      <c r="AG5" s="72"/>
      <c r="AH5" s="11">
        <f>IF(SUM(R5,V5)&gt;0,SUM(R5,V5),"")</f>
        <v>10</v>
      </c>
      <c r="AI5" s="11">
        <f>IF(SUM(Q5:R5,T5:V5,X5)-SUM(S5,W5)&gt;0,SUM(Q5:R5,T5:V5,X5)-SUM(S5,W5),"")</f>
        <v>62.499999999999993</v>
      </c>
      <c r="AJ5" s="11">
        <f>IF(SUM(Z5,AD5)&gt;0,SUM(Z5,AD5),"")</f>
        <v>6.6999999999999993</v>
      </c>
      <c r="AK5" s="11">
        <f>IF(SUM(Y5:Z5,AB5:AD5,AF5)-SUM(AA5,AE5)&gt;0,SUM(Y5:Z5,AB5:AD5,AF5)-SUM(AA5,AE5),"")</f>
        <v>62.699999999999996</v>
      </c>
      <c r="AL5" s="11">
        <f>IF(SUM(AI5,AK5)&gt;0,SUM(AI5,AK5),"")</f>
        <v>125.19999999999999</v>
      </c>
      <c r="AM5" s="36">
        <v>28.4</v>
      </c>
      <c r="AN5" s="36">
        <v>5.2</v>
      </c>
      <c r="AO5" s="36">
        <v>0</v>
      </c>
      <c r="AP5" s="36">
        <v>0</v>
      </c>
      <c r="AQ5" s="36">
        <v>28.225000000000001</v>
      </c>
      <c r="AR5" s="36">
        <v>5.2</v>
      </c>
      <c r="AS5" s="36">
        <v>0.3</v>
      </c>
      <c r="AT5" s="36">
        <v>0.3</v>
      </c>
      <c r="AU5" s="36">
        <v>27.3</v>
      </c>
      <c r="AV5" s="36">
        <v>4.4000000000000004</v>
      </c>
      <c r="AW5" s="36">
        <v>0</v>
      </c>
      <c r="AX5" s="36">
        <v>0</v>
      </c>
      <c r="AY5" s="36">
        <v>27.9</v>
      </c>
      <c r="AZ5" s="36">
        <v>3.7</v>
      </c>
      <c r="BA5" s="36">
        <v>0</v>
      </c>
      <c r="BB5" s="36">
        <v>0</v>
      </c>
      <c r="BC5" s="73"/>
      <c r="BD5" s="14">
        <f>IF(SUM(AN5,AR5)&gt;0,SUM(AN5,AR5),"")</f>
        <v>10.4</v>
      </c>
      <c r="BE5" s="14">
        <f>IF(SUM(AM5:AN5,AP5:AR5,AT5)-SUM(AO5,AS5)&gt;0,SUM(AM5:AN5,AP5:AR5,AT5)-SUM(AO5,AS5),"")</f>
        <v>67.025000000000006</v>
      </c>
      <c r="BF5" s="14">
        <f>IF(SUM(AV5,AZ5)&gt;0,SUM(AV5,AZ5),"")</f>
        <v>8.1000000000000014</v>
      </c>
      <c r="BG5" s="14">
        <f>IF(SUM(AU5:AV5,AX5:AZ5,BB5)-SUM(AW5,BA5)&gt;0,SUM(AU5:AV5,AX5:AZ5,BB5)-SUM(AW5,BA5),"")</f>
        <v>63.300000000000004</v>
      </c>
      <c r="BH5" s="14">
        <f>IF(SUM(BE5,BG5)&gt;0,SUM(BE5,BG5),"")</f>
        <v>130.32500000000002</v>
      </c>
      <c r="BI5" s="61">
        <v>28.5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0.3</v>
      </c>
      <c r="BP5" s="61">
        <v>0</v>
      </c>
      <c r="BQ5" s="61">
        <v>28</v>
      </c>
      <c r="BR5" s="61">
        <v>4.4000000000000004</v>
      </c>
      <c r="BS5" s="61">
        <v>0</v>
      </c>
      <c r="BT5" s="61">
        <v>0</v>
      </c>
      <c r="BU5" s="61">
        <v>28.8</v>
      </c>
      <c r="BV5" s="61">
        <v>3.7</v>
      </c>
      <c r="BW5" s="61">
        <v>0.3</v>
      </c>
      <c r="BX5" s="61">
        <v>0</v>
      </c>
      <c r="BY5" s="72"/>
      <c r="BZ5" s="11">
        <f>IF(SUM(BJ5,BN5)&gt;0,SUM(BJ5,BN5),"")</f>
        <v>10.4</v>
      </c>
      <c r="CA5" s="11">
        <f>IF(SUM(BI5:BJ5,BL5:BN5,BP5)-SUM(BK5,BO5)&gt;0,SUM(BI5:BJ5,BL5:BN5,BP5)-SUM(BK5,BO5),"")</f>
        <v>67.100000000000009</v>
      </c>
      <c r="CB5" s="11">
        <f>IF(SUM(BR5,BV5)&gt;0,SUM(BR5,BV5),"")</f>
        <v>8.1000000000000014</v>
      </c>
      <c r="CC5" s="11">
        <f>IF(SUM(BQ5:BR5,BT5:BV5,BX5)-SUM(BS5,BW5)&gt;0,SUM(BQ5:BR5,BT5:BV5,BX5)-SUM(BS5,BW5),"")</f>
        <v>64.600000000000009</v>
      </c>
      <c r="CD5" s="11">
        <f>IF(SUM(CA5,CC5)&gt;0,SUM(CA5,CC5),"")</f>
        <v>131.70000000000002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28.45</v>
      </c>
      <c r="LZ5" s="61">
        <f>IF($BY5="P",BJ5,(BJ5+AN5)/2)</f>
        <v>5.2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28.362500000000001</v>
      </c>
      <c r="MD5" s="61">
        <f>IF($BY5="P",BN5,(BN5+AR5)/2)</f>
        <v>5.2</v>
      </c>
      <c r="ME5" s="61">
        <f>IF($BY5="P",BO5,(BO5+AS5)/2)</f>
        <v>0.3</v>
      </c>
      <c r="MF5" s="61">
        <f>IF($BY5="P",BP5,(BP5+AT5)/2)</f>
        <v>0.15</v>
      </c>
      <c r="MG5" s="61">
        <f>IF($BY5="P",BQ5,(BQ5+AU5)/2)</f>
        <v>27.65</v>
      </c>
      <c r="MH5" s="61">
        <f>IF($BY5="P",BR5,(BR5+AV5)/2)</f>
        <v>4.4000000000000004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28.35</v>
      </c>
      <c r="ML5" s="61">
        <f>IF($BY5="P",BV5,(BV5+AZ5)/2)</f>
        <v>3.7</v>
      </c>
      <c r="MM5" s="61">
        <f>IF($BY5="P",BW5,(BW5+BA5)/2)</f>
        <v>0.15</v>
      </c>
      <c r="MN5" s="61">
        <f>IF($BY5="P",BX5,(BX5+BB5)/2)</f>
        <v>0</v>
      </c>
      <c r="MO5" s="72" t="s">
        <v>52</v>
      </c>
      <c r="MP5" s="11">
        <f>IF(SUM(LZ5,MD5)&gt;0,SUM(LZ5,MD5),"")</f>
        <v>10.4</v>
      </c>
      <c r="MQ5" s="11">
        <f>IF(SUM(LY5:LZ5,MB5:MD5,MF5)-SUM(MA5,ME5)&gt;0,SUM(LY5:LZ5,MB5:MD5,MF5)-SUM(MA5,ME5),"")</f>
        <v>67.062500000000014</v>
      </c>
      <c r="MR5" s="11">
        <f>IF(SUM(MH5,ML5)&gt;0,SUM(MH5,ML5),"")</f>
        <v>8.1000000000000014</v>
      </c>
      <c r="MS5" s="11">
        <f>IF(SUM(MG5:MH5,MJ5:ML5,MN5)-SUM(MI5,MM5)&gt;0,SUM(MG5:MH5,MJ5:ML5,MN5)-SUM(MI5,MM5),"")</f>
        <v>63.949999999999996</v>
      </c>
      <c r="MT5" s="11">
        <f>IF(SUM(MQ5,MS5)&gt;0,SUM(MQ5,MS5),"")</f>
        <v>131.01250000000002</v>
      </c>
    </row>
    <row r="6" spans="1:358" x14ac:dyDescent="0.2">
      <c r="A6" s="5">
        <f>IF(AND(F6="P",G6="P"),SUMPRODUCT((F$4:F$21="P")*(G$4:G$21="P")*(E$4:E$21&gt;E6))+1,IF(G6="P",SUMPRODUCT((F$4:F$21="")*(G$4:G$21="P")*(E$4:E$21&gt;E6))+1+SUMPRODUCT((F$4:F$21="P")*(G$4:G$21="P")),""))</f>
        <v>3</v>
      </c>
      <c r="B6" s="8" t="s">
        <v>120</v>
      </c>
      <c r="C6" s="4" t="s">
        <v>4</v>
      </c>
      <c r="D6" s="5">
        <v>2003</v>
      </c>
      <c r="E6" s="15">
        <f>SUM(J6:N6)</f>
        <v>195.45</v>
      </c>
      <c r="F6" s="3" t="str">
        <f>IF(OR(AND(AH6&gt;=AL$23,AI6&gt;=AL$27,AI6&lt;&gt;"",AG6=""),AND(BD6&gt;=BH$23,BE6&gt;=BH$27,BE6&lt;&gt;"",BC6=""),AND(BZ6&gt;=CD$23,CA6&gt;=CD$27,CA6&lt;&gt;"",BY6=""),AND(CW6&gt;=DA$23,CX6&gt;=DA$27,CX6&lt;&gt;""),AND(DR6&gt;=DV$23,DS6&gt;=DV$27,DS6&lt;&gt;""),AND(EM6&gt;=EQ$23,EN6&gt;=EQ$27,EN6&lt;&gt;""),AND(FH6&gt;=FL$23,FI6&gt;=FL$27,FI6&lt;&gt;""),AND(GC6&gt;=GG$23,GD6&gt;=GG$27,GD6&lt;&gt;""),AND(GX6&gt;=HB$23,GY6&gt;=HB$27,GY6&lt;&gt;""),AND(HS6&gt;=HW$23,HT6&gt;=HW$27,HT6&lt;&gt;""),AND(IN6&gt;=IR$23,IO6&gt;=IR$27,IO6&lt;&gt;""),AND(JI6&gt;=JM$23,JJ6&gt;=JM$27,JJ6&lt;&gt;""),AND(KD6&gt;=KH$23,KE6&gt;=KH$27,KE6&lt;&gt;""),AND(KY6&gt;=LC$23,KZ6&gt;=LC$27,KZ6&lt;&gt;""),AND(LT6&gt;=LX$23,LU6&gt;=LX$27,LU6&lt;&gt;"")),"P","")</f>
        <v>P</v>
      </c>
      <c r="G6" s="3" t="str">
        <f>IF(OR(AND(AI6&gt;=AL$27,AI6&lt;&gt;"",AG6=""),AND(BE6&gt;=BH$27,BE6&lt;&gt;"",BC6=""),AND(CA6&gt;=CD$27,CA6&lt;&gt;"",BY6=""),AND(CX6&gt;=DA$27,CX6&lt;&gt;""),AND(DS6&gt;=DV$27,DS6&lt;&gt;""),AND(EN6&gt;=EQ$27,EN6&lt;&gt;""),AND(FI6&gt;=FL$27,FI6&lt;&gt;""),AND(GD6&gt;=GG$27,GD6&lt;&gt;""),AND(GY6&gt;=HB$27,GY6&lt;&gt;""),AND(HT6&gt;=HW$27,HT6&lt;&gt;""),AND(IO6&gt;=IR$27,IO6&lt;&gt;""),AND(JJ6&gt;=JM$27,JJ6&lt;&gt;""),AND(KE6&gt;=KH$27,KE6&lt;&gt;""),AND(KZ6&gt;=LC$27,KZ6&lt;&gt;""),AND(LU6&gt;=LX$27,LU6&lt;&gt;"")),"P","")</f>
        <v>P</v>
      </c>
      <c r="H6" s="116" t="str">
        <f>IF(AND(G6="P",F6=""),"No DD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Merit",IF(OR(AND(AH6&gt;=AL$25,AH6&lt;&gt;"",AI6&gt;=AL$29,AI6&lt;&gt;"",AG6=""),AND(BD6&gt;=BH$25,BD6&lt;&gt;"",BE6&gt;=BH$29,BE6&lt;&gt;"",BC6=""),AND(BZ6&gt;=CD$25,BZ6&lt;&gt;"",CA6&gt;=CD$29,CA6&lt;&gt;"",BY6=""),AND(CW6&gt;=DA$25,CW6&lt;&gt;"",CX6&gt;=DA$29,CX6&lt;&gt;""),AND(DR6&gt;=DV$25,DR6&lt;&gt;"",DS6&gt;=DV$29,DS6&lt;&gt;""),AND(EM6&gt;=EQ$25,EM6&lt;&gt;"",EN6&gt;=EQ$29,EN6&lt;&gt;""),AND(FH6&gt;=FL$25,FH6&lt;&gt;"",FI6&gt;=FL$29,FI6&lt;&gt;""),AND(GC6&gt;=GG$25,GC6&lt;&gt;"",GD6&gt;=GG$29,GD6&lt;&gt;""),AND(GX6&gt;=HB$25,GX6&lt;&gt;"",GY6&gt;=HB$29,GY6&lt;&gt;""),AND(HS6&gt;=HW$25,HS6&lt;&gt;"",HT6&gt;=HW$29,HT6&lt;&gt;""),AND(IN6&gt;=IR$25,IN6&lt;&gt;"",IO6&gt;=IR$29,IO6&lt;&gt;""),AND(JI6&gt;=JM$25,JI6&lt;&gt;"",JJ6&gt;=JM$29,JJ6&lt;&gt;""),AND(KD6&gt;=KH$25,KD6&lt;&gt;"",KE6&gt;=KH$29,KE6&lt;&gt;""),AND(KY6&gt;=LC$25,KY6&lt;&gt;"",KZ6&gt;=LC$29,KZ6&lt;&gt;""),AND(LT6&gt;=LX$25,LT6&lt;&gt;"",LU6&gt;=LX$29,LU6&lt;&gt;"")),"Excellence",IF(OR(AND(AH6&gt;=AL$24,AH6&lt;&gt;"",AI6&gt;=AL$28,AI6&lt;&gt;"",AG6=""),AND(BD6&gt;=BH$24,BD6&lt;&gt;"",BE6&gt;=BH$28,BE6&lt;&gt;"",BC6=""),AND(BZ6&gt;=CD$24,BZ6&lt;&gt;"",CA6&gt;=CD$28,CA6&lt;&gt;"",BY6=""),AND(CW6&gt;=DA$24,CW6&lt;&gt;"",CX6&gt;=DA$28,CX6&lt;&gt;""),AND(DR6&gt;=DV$24,DR6&lt;&gt;"",DS6&gt;=DV$28,DS6&lt;&gt;""),AND(EM6&gt;=EQ$24,EM6&lt;&gt;"",EN6&gt;=EQ$28,EN6&lt;&gt;""),AND(FH6&gt;=FL$24,FH6&lt;&gt;"",FI6&gt;=FL$28,FI6&lt;&gt;""),AND(GC6&gt;=GG$24,GC6&lt;&gt;"",GD6&gt;=GG$28,GD6&lt;&gt;""),AND(GX6&gt;=HB$24,GX6&lt;&gt;"",GY6&gt;=HB$28,GY6&lt;&gt;""),AND(HS6&gt;=HW$24,HS6&lt;&gt;"",HT6&gt;=HW$28,HT6&lt;&gt;""),AND(IN6&gt;=IR$24,IN6&lt;&gt;"",IO6&gt;=IR$28,IO6&lt;&gt;""),AND(JI6&gt;=JM$24,JI6&lt;&gt;"",JJ6&gt;=JM$28,JJ6&lt;&gt;""),AND(KD6&gt;=KH$24,KD6&lt;&gt;"",KE6&gt;=KH$28,KE6&lt;&gt;""),AND(KY6&gt;=LC$24,KY6&lt;&gt;"",KZ6&gt;=LC$28,KZ6&lt;&gt;""),AND(LT6&gt;=LX$24,LT6&lt;&gt;"",LU6&gt;=LX$28,LU6&lt;&gt;"")),"Worlds Team",IF(OR(AND(AH6&gt;=AL$23,AH6&lt;&gt;"",AI6&gt;=AL$27,AI6&lt;&gt;"",AG6=""),AND(BD6&gt;=BH$23,BD6&lt;&gt;"",BE6&gt;=BH$27,BE6&lt;&gt;"",BC6=""),AND(BZ6&gt;=CD$23,BZ6&lt;&gt;"",CA6&gt;=CD$27,CA6&lt;&gt;"",BY6=""),AND(CW6&gt;=DA$23,CW6&lt;&gt;"",CX6&gt;=DA$27,CX6&lt;&gt;""),AND(DR6&gt;=DV$23,DR6&lt;&gt;"",DS6&gt;=DV$27,DS6&lt;&gt;""),AND(EM6&gt;=EQ$23,EM6&lt;&gt;"",EN6&gt;=EQ$27,EN6&lt;&gt;""),AND(FH6&gt;=FL$23,FH6&lt;&gt;"",FI6&gt;=FL$27,FI6&lt;&gt;""),AND(GC6&gt;=GG$23,GC6&lt;&gt;"",GD6&gt;=GG$27,GD6&lt;&gt;""),AND(GX6&gt;=HB$23,GX6&lt;&gt;"",GY6&gt;=HB$27,GY6&lt;&gt;""),AND(HS6&gt;=HW$23,HS6&lt;&gt;"",HT6&gt;=HW$27,HT6&lt;&gt;""),AND(IN6&gt;=IR$23,IN6&lt;&gt;"",IO6&gt;=IR$27,IO6&lt;&gt;""),AND(JI6&gt;=JM$23,JI6&lt;&gt;"",JJ6&gt;=JM$27,JJ6&lt;&gt;""),AND(KD6&gt;=KH$23,KD6&lt;&gt;"",KE6&gt;=KH$27,KE6&lt;&gt;""),AND(KY6&gt;=LC$23,KY6&lt;&gt;"",KZ6&gt;=LC$27,KZ6&lt;&gt;""),AND(LT6&gt;=LX$23,LT6&lt;&gt;"",LU6&gt;=LX$27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66.349999999999994</v>
      </c>
      <c r="K6" s="14" t="str">
        <f>IF(J6=0,"",IF(J6=CA6,$BI$1,IF(J6=BE6,$AM$1,IF(J6=AI6,$Q$1,""))))</f>
        <v>2021 1st Virtual Technical Trial</v>
      </c>
      <c r="L6" s="14">
        <f>IF(J6=AI6,MAX(BH6,CD6),IF(J6=BE6,MAX(AL6,CD6),MAX(AL6,BH6)))</f>
        <v>129.1</v>
      </c>
      <c r="M6" s="14" t="str">
        <f>IF(L6=0,"",IF(AND(J6&lt;&gt;CA6,L6=CD6),$BI$1,IF(AND(J6&lt;&gt;BE6,L6=BH6),$AM$1,IF(L6=AL6,$Q$1,""))))</f>
        <v>2019 Nationals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27.6</v>
      </c>
      <c r="R6" s="61">
        <v>5.2</v>
      </c>
      <c r="S6" s="61">
        <v>0</v>
      </c>
      <c r="T6" s="61">
        <v>0</v>
      </c>
      <c r="U6" s="61">
        <v>27.4</v>
      </c>
      <c r="V6" s="61">
        <v>4.8</v>
      </c>
      <c r="W6" s="61">
        <v>0.9</v>
      </c>
      <c r="X6" s="61">
        <v>0.5</v>
      </c>
      <c r="Y6" s="61">
        <v>27.8</v>
      </c>
      <c r="Z6" s="61">
        <v>4.8</v>
      </c>
      <c r="AA6" s="61">
        <v>0</v>
      </c>
      <c r="AB6" s="61">
        <v>0</v>
      </c>
      <c r="AC6" s="61">
        <v>27.9</v>
      </c>
      <c r="AD6" s="61">
        <v>4</v>
      </c>
      <c r="AE6" s="61">
        <v>0</v>
      </c>
      <c r="AF6" s="61">
        <v>0</v>
      </c>
      <c r="AG6" s="72"/>
      <c r="AH6" s="11">
        <f>IF(SUM(R6,V6)&gt;0,SUM(R6,V6),"")</f>
        <v>10</v>
      </c>
      <c r="AI6" s="11">
        <f>IF(SUM(Q6:R6,T6:V6,X6)-SUM(S6,W6)&gt;0,SUM(Q6:R6,T6:V6,X6)-SUM(S6,W6),"")</f>
        <v>64.599999999999994</v>
      </c>
      <c r="AJ6" s="11">
        <f>IF(SUM(Z6,AD6)&gt;0,SUM(Z6,AD6),"")</f>
        <v>8.8000000000000007</v>
      </c>
      <c r="AK6" s="11">
        <f>IF(SUM(Y6:Z6,AB6:AD6,AF6)-SUM(AA6,AE6)&gt;0,SUM(Y6:Z6,AB6:AD6,AF6)-SUM(AA6,AE6),"")</f>
        <v>64.5</v>
      </c>
      <c r="AL6" s="11">
        <f>IF(SUM(AI6,AK6)&gt;0,SUM(AI6,AK6),"")</f>
        <v>129.1</v>
      </c>
      <c r="AM6" s="36">
        <v>27.15</v>
      </c>
      <c r="AN6" s="36">
        <v>6</v>
      </c>
      <c r="AO6" s="36">
        <v>0</v>
      </c>
      <c r="AP6" s="36">
        <v>0</v>
      </c>
      <c r="AQ6" s="36">
        <v>27.6</v>
      </c>
      <c r="AR6" s="36">
        <v>5.6</v>
      </c>
      <c r="AS6" s="36">
        <v>0.3</v>
      </c>
      <c r="AT6" s="36">
        <v>0.3</v>
      </c>
      <c r="AU6" s="36">
        <v>27.8</v>
      </c>
      <c r="AV6" s="36">
        <v>3</v>
      </c>
      <c r="AW6" s="36">
        <v>0</v>
      </c>
      <c r="AX6" s="36">
        <v>0</v>
      </c>
      <c r="AY6" s="36">
        <v>28.4</v>
      </c>
      <c r="AZ6" s="36">
        <v>3.5</v>
      </c>
      <c r="BA6" s="36">
        <v>0.9</v>
      </c>
      <c r="BB6" s="36">
        <v>0</v>
      </c>
      <c r="BC6" s="73"/>
      <c r="BD6" s="14">
        <f>IF(SUM(AN6,AR6)&gt;0,SUM(AN6,AR6),"")</f>
        <v>11.6</v>
      </c>
      <c r="BE6" s="14">
        <f>IF(SUM(AM6:AN6,AP6:AR6,AT6)-SUM(AO6,AS6)&gt;0,SUM(AM6:AN6,AP6:AR6,AT6)-SUM(AO6,AS6),"")</f>
        <v>66.349999999999994</v>
      </c>
      <c r="BF6" s="14">
        <f>IF(SUM(AV6,AZ6)&gt;0,SUM(AV6,AZ6),"")</f>
        <v>6.5</v>
      </c>
      <c r="BG6" s="14">
        <f>IF(SUM(AU6:AV6,AX6:AZ6,BB6)-SUM(AW6,BA6)&gt;0,SUM(AU6:AV6,AX6:AZ6,BB6)-SUM(AW6,BA6),"")</f>
        <v>61.800000000000004</v>
      </c>
      <c r="BH6" s="14">
        <f>IF(SUM(BE6,BG6)&gt;0,SUM(BE6,BG6),"")</f>
        <v>128.15</v>
      </c>
      <c r="BI6" s="61">
        <v>27.375</v>
      </c>
      <c r="BJ6" s="61">
        <v>5.6</v>
      </c>
      <c r="BK6" s="61">
        <v>0</v>
      </c>
      <c r="BL6" s="61">
        <v>0</v>
      </c>
      <c r="BM6" s="61">
        <v>27.5</v>
      </c>
      <c r="BN6" s="61">
        <v>5.1999999999999993</v>
      </c>
      <c r="BO6" s="61">
        <v>0.6</v>
      </c>
      <c r="BP6" s="61">
        <v>0.4</v>
      </c>
      <c r="BQ6" s="61">
        <v>27.8</v>
      </c>
      <c r="BR6" s="61">
        <v>3.9</v>
      </c>
      <c r="BS6" s="61">
        <v>0</v>
      </c>
      <c r="BT6" s="61">
        <v>0</v>
      </c>
      <c r="BU6" s="61">
        <v>28.15</v>
      </c>
      <c r="BV6" s="61">
        <v>3.75</v>
      </c>
      <c r="BW6" s="61">
        <v>0.45</v>
      </c>
      <c r="BX6" s="61">
        <v>0</v>
      </c>
      <c r="BY6" s="72" t="s">
        <v>52</v>
      </c>
      <c r="BZ6" s="11">
        <f>IF(SUM(BJ6,BN6)&gt;0,SUM(BJ6,BN6),"")</f>
        <v>10.799999999999999</v>
      </c>
      <c r="CA6" s="11">
        <f>IF(SUM(BI6:BJ6,BL6:BN6,BP6)-SUM(BK6,BO6)&gt;0,SUM(BI6:BJ6,BL6:BN6,BP6)-SUM(BK6,BO6),"")</f>
        <v>65.475000000000009</v>
      </c>
      <c r="CB6" s="11">
        <f>IF(SUM(BR6,BV6)&gt;0,SUM(BR6,BV6),"")</f>
        <v>7.65</v>
      </c>
      <c r="CC6" s="11">
        <f>IF(SUM(BQ6:BR6,BT6:BV6,BX6)-SUM(BS6,BW6)&gt;0,SUM(BQ6:BR6,BT6:BV6,BX6)-SUM(BS6,BW6),"")</f>
        <v>63.149999999999991</v>
      </c>
      <c r="CD6" s="11">
        <f>IF(SUM(CA6,CC6)&gt;0,SUM(CA6,CC6),"")</f>
        <v>128.625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27.375</v>
      </c>
      <c r="LZ6" s="61">
        <f>IF($BY6="P",BJ6,(BJ6+AN6)/2)</f>
        <v>5.6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27.5</v>
      </c>
      <c r="MD6" s="61">
        <f>IF($BY6="P",BN6,(BN6+AR6)/2)</f>
        <v>5.1999999999999993</v>
      </c>
      <c r="ME6" s="61">
        <f>IF($BY6="P",BO6,(BO6+AS6)/2)</f>
        <v>0.6</v>
      </c>
      <c r="MF6" s="61">
        <f>IF($BY6="P",BP6,(BP6+AT6)/2)</f>
        <v>0.4</v>
      </c>
      <c r="MG6" s="61">
        <f>IF($BY6="P",BQ6,(BQ6+AU6)/2)</f>
        <v>27.8</v>
      </c>
      <c r="MH6" s="61">
        <f>IF($BY6="P",BR6,(BR6+AV6)/2)</f>
        <v>3.9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28.15</v>
      </c>
      <c r="ML6" s="61">
        <f>IF($BY6="P",BV6,(BV6+AZ6)/2)</f>
        <v>3.75</v>
      </c>
      <c r="MM6" s="61">
        <f>IF($BY6="P",BW6,(BW6+BA6)/2)</f>
        <v>0.45</v>
      </c>
      <c r="MN6" s="61">
        <f>IF($BY6="P",BX6,(BX6+BB6)/2)</f>
        <v>0</v>
      </c>
      <c r="MO6" s="72" t="s">
        <v>52</v>
      </c>
      <c r="MP6" s="11">
        <f>IF(SUM(LZ6,MD6)&gt;0,SUM(LZ6,MD6),"")</f>
        <v>10.799999999999999</v>
      </c>
      <c r="MQ6" s="11">
        <f>IF(SUM(LY6:LZ6,MB6:MD6,MF6)-SUM(MA6,ME6)&gt;0,SUM(LY6:LZ6,MB6:MD6,MF6)-SUM(MA6,ME6),"")</f>
        <v>65.475000000000009</v>
      </c>
      <c r="MR6" s="11">
        <f>IF(SUM(MH6,ML6)&gt;0,SUM(MH6,ML6),"")</f>
        <v>7.65</v>
      </c>
      <c r="MS6" s="11">
        <f>IF(SUM(MG6:MH6,MJ6:ML6,MN6)-SUM(MI6,MM6)&gt;0,SUM(MG6:MH6,MJ6:ML6,MN6)-SUM(MI6,MM6),"")</f>
        <v>63.149999999999991</v>
      </c>
      <c r="MT6" s="11">
        <f>IF(SUM(MQ6,MS6)&gt;0,SUM(MQ6,MS6),"")</f>
        <v>128.625</v>
      </c>
    </row>
    <row r="7" spans="1:358" x14ac:dyDescent="0.2">
      <c r="A7" s="5">
        <f>IF(AND(F7="P",G7="P"),SUMPRODUCT((F$4:F$21="P")*(G$4:G$21="P")*(E$4:E$21&gt;E7))+1,IF(G7="P",SUMPRODUCT((F$4:F$21="")*(G$4:G$21="P")*(E$4:E$21&gt;E7))+1+SUMPRODUCT((F$4:F$21="P")*(G$4:G$21="P")),""))</f>
        <v>4</v>
      </c>
      <c r="B7" s="8" t="s">
        <v>134</v>
      </c>
      <c r="C7" s="4" t="s">
        <v>5</v>
      </c>
      <c r="D7" s="5">
        <v>2001</v>
      </c>
      <c r="E7" s="15">
        <f>SUM(J7:N7)</f>
        <v>194.89999999999998</v>
      </c>
      <c r="F7" s="3" t="str">
        <f>IF(OR(AND(AH7&gt;=AL$23,AI7&gt;=AL$27,AI7&lt;&gt;"",AG7=""),AND(BD7&gt;=BH$23,BE7&gt;=BH$27,BE7&lt;&gt;"",BC7=""),AND(BZ7&gt;=CD$23,CA7&gt;=CD$27,CA7&lt;&gt;"",BY7=""),AND(CW7&gt;=DA$23,CX7&gt;=DA$27,CX7&lt;&gt;""),AND(DR7&gt;=DV$23,DS7&gt;=DV$27,DS7&lt;&gt;""),AND(EM7&gt;=EQ$23,EN7&gt;=EQ$27,EN7&lt;&gt;""),AND(FH7&gt;=FL$23,FI7&gt;=FL$27,FI7&lt;&gt;""),AND(GC7&gt;=GG$23,GD7&gt;=GG$27,GD7&lt;&gt;""),AND(GX7&gt;=HB$23,GY7&gt;=HB$27,GY7&lt;&gt;""),AND(HS7&gt;=HW$23,HT7&gt;=HW$27,HT7&lt;&gt;""),AND(IN7&gt;=IR$23,IO7&gt;=IR$27,IO7&lt;&gt;""),AND(JI7&gt;=JM$23,JJ7&gt;=JM$27,JJ7&lt;&gt;""),AND(KD7&gt;=KH$23,KE7&gt;=KH$27,KE7&lt;&gt;""),AND(KY7&gt;=LC$23,KZ7&gt;=LC$27,KZ7&lt;&gt;""),AND(LT7&gt;=LX$23,LU7&gt;=LX$27,LU7&lt;&gt;"")),"P","")</f>
        <v>P</v>
      </c>
      <c r="G7" s="3" t="str">
        <f>IF(OR(AND(AI7&gt;=AL$27,AI7&lt;&gt;"",AG7=""),AND(BE7&gt;=BH$27,BE7&lt;&gt;"",BC7=""),AND(CA7&gt;=CD$27,CA7&lt;&gt;"",BY7=""),AND(CX7&gt;=DA$27,CX7&lt;&gt;""),AND(DS7&gt;=DV$27,DS7&lt;&gt;""),AND(EN7&gt;=EQ$27,EN7&lt;&gt;""),AND(FI7&gt;=FL$27,FI7&lt;&gt;""),AND(GD7&gt;=GG$27,GD7&lt;&gt;""),AND(GY7&gt;=HB$27,GY7&lt;&gt;""),AND(HT7&gt;=HW$27,HT7&lt;&gt;""),AND(IO7&gt;=IR$27,IO7&lt;&gt;""),AND(JJ7&gt;=JM$27,JJ7&lt;&gt;""),AND(KE7&gt;=KH$27,KE7&lt;&gt;""),AND(KZ7&gt;=LC$27,KZ7&lt;&gt;""),AND(LU7&gt;=LX$27,LU7&lt;&gt;"")),"P","")</f>
        <v>P</v>
      </c>
      <c r="H7" s="116" t="str">
        <f>IF(AND(G7="P",F7=""),"No DD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Merit",IF(OR(AND(AH7&gt;=AL$25,AH7&lt;&gt;"",AI7&gt;=AL$29,AI7&lt;&gt;"",AG7=""),AND(BD7&gt;=BH$25,BD7&lt;&gt;"",BE7&gt;=BH$29,BE7&lt;&gt;"",BC7=""),AND(BZ7&gt;=CD$25,BZ7&lt;&gt;"",CA7&gt;=CD$29,CA7&lt;&gt;"",BY7=""),AND(CW7&gt;=DA$25,CW7&lt;&gt;"",CX7&gt;=DA$29,CX7&lt;&gt;""),AND(DR7&gt;=DV$25,DR7&lt;&gt;"",DS7&gt;=DV$29,DS7&lt;&gt;""),AND(EM7&gt;=EQ$25,EM7&lt;&gt;"",EN7&gt;=EQ$29,EN7&lt;&gt;""),AND(FH7&gt;=FL$25,FH7&lt;&gt;"",FI7&gt;=FL$29,FI7&lt;&gt;""),AND(GC7&gt;=GG$25,GC7&lt;&gt;"",GD7&gt;=GG$29,GD7&lt;&gt;""),AND(GX7&gt;=HB$25,GX7&lt;&gt;"",GY7&gt;=HB$29,GY7&lt;&gt;""),AND(HS7&gt;=HW$25,HS7&lt;&gt;"",HT7&gt;=HW$29,HT7&lt;&gt;""),AND(IN7&gt;=IR$25,IN7&lt;&gt;"",IO7&gt;=IR$29,IO7&lt;&gt;""),AND(JI7&gt;=JM$25,JI7&lt;&gt;"",JJ7&gt;=JM$29,JJ7&lt;&gt;""),AND(KD7&gt;=KH$25,KD7&lt;&gt;"",KE7&gt;=KH$29,KE7&lt;&gt;""),AND(KY7&gt;=LC$25,KY7&lt;&gt;"",KZ7&gt;=LC$29,KZ7&lt;&gt;""),AND(LT7&gt;=LX$25,LT7&lt;&gt;"",LU7&gt;=LX$29,LU7&lt;&gt;"")),"Excellence",IF(OR(AND(AH7&gt;=AL$24,AH7&lt;&gt;"",AI7&gt;=AL$28,AI7&lt;&gt;"",AG7=""),AND(BD7&gt;=BH$24,BD7&lt;&gt;"",BE7&gt;=BH$28,BE7&lt;&gt;"",BC7=""),AND(BZ7&gt;=CD$24,BZ7&lt;&gt;"",CA7&gt;=CD$28,CA7&lt;&gt;"",BY7=""),AND(CW7&gt;=DA$24,CW7&lt;&gt;"",CX7&gt;=DA$28,CX7&lt;&gt;""),AND(DR7&gt;=DV$24,DR7&lt;&gt;"",DS7&gt;=DV$28,DS7&lt;&gt;""),AND(EM7&gt;=EQ$24,EM7&lt;&gt;"",EN7&gt;=EQ$28,EN7&lt;&gt;""),AND(FH7&gt;=FL$24,FH7&lt;&gt;"",FI7&gt;=FL$28,FI7&lt;&gt;""),AND(GC7&gt;=GG$24,GC7&lt;&gt;"",GD7&gt;=GG$28,GD7&lt;&gt;""),AND(GX7&gt;=HB$24,GX7&lt;&gt;"",GY7&gt;=HB$28,GY7&lt;&gt;""),AND(HS7&gt;=HW$24,HS7&lt;&gt;"",HT7&gt;=HW$28,HT7&lt;&gt;""),AND(IN7&gt;=IR$24,IN7&lt;&gt;"",IO7&gt;=IR$28,IO7&lt;&gt;""),AND(JI7&gt;=JM$24,JI7&lt;&gt;"",JJ7&gt;=JM$28,JJ7&lt;&gt;""),AND(KD7&gt;=KH$24,KD7&lt;&gt;"",KE7&gt;=KH$28,KE7&lt;&gt;""),AND(KY7&gt;=LC$24,KY7&lt;&gt;"",KZ7&gt;=LC$28,KZ7&lt;&gt;""),AND(LT7&gt;=LX$24,LT7&lt;&gt;"",LU7&gt;=LX$28,LU7&lt;&gt;"")),"Worlds Team",IF(OR(AND(AH7&gt;=AL$23,AH7&lt;&gt;"",AI7&gt;=AL$27,AI7&lt;&gt;"",AG7=""),AND(BD7&gt;=BH$23,BD7&lt;&gt;"",BE7&gt;=BH$27,BE7&lt;&gt;"",BC7=""),AND(BZ7&gt;=CD$23,BZ7&lt;&gt;"",CA7&gt;=CD$27,CA7&lt;&gt;"",BY7=""),AND(CW7&gt;=DA$23,CW7&lt;&gt;"",CX7&gt;=DA$27,CX7&lt;&gt;""),AND(DR7&gt;=DV$23,DR7&lt;&gt;"",DS7&gt;=DV$27,DS7&lt;&gt;""),AND(EM7&gt;=EQ$23,EM7&lt;&gt;"",EN7&gt;=EQ$27,EN7&lt;&gt;""),AND(FH7&gt;=FL$23,FH7&lt;&gt;"",FI7&gt;=FL$27,FI7&lt;&gt;""),AND(GC7&gt;=GG$23,GC7&lt;&gt;"",GD7&gt;=GG$27,GD7&lt;&gt;""),AND(GX7&gt;=HB$23,GX7&lt;&gt;"",GY7&gt;=HB$27,GY7&lt;&gt;""),AND(HS7&gt;=HW$23,HS7&lt;&gt;"",HT7&gt;=HW$27,HT7&lt;&gt;""),AND(IN7&gt;=IR$23,IN7&lt;&gt;"",IO7&gt;=IR$27,IO7&lt;&gt;""),AND(JI7&gt;=JM$23,JI7&lt;&gt;"",JJ7&gt;=JM$27,JJ7&lt;&gt;""),AND(KD7&gt;=KH$23,KD7&lt;&gt;"",KE7&gt;=KH$27,KE7&lt;&gt;""),AND(KY7&gt;=LC$23,KY7&lt;&gt;"",KZ7&gt;=LC$27,KZ7&lt;&gt;""),AND(LT7&gt;=LX$23,LT7&lt;&gt;"",LU7&gt;=LX$27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66.199999999999989</v>
      </c>
      <c r="K7" s="14" t="str">
        <f>IF(J7=0,"",IF(J7=CA7,$BI$1,IF(J7=BE7,$AM$1,IF(J7=AI7,$Q$1,""))))</f>
        <v>2019 Nationals</v>
      </c>
      <c r="L7" s="14">
        <f>IF(J7=AI7,MAX(BH7,CD7),IF(J7=BE7,MAX(AL7,CD7),MAX(AL7,BH7)))</f>
        <v>128.69999999999999</v>
      </c>
      <c r="M7" s="14" t="str">
        <f>IF(L7=0,"",IF(AND(J7&lt;&gt;CA7,L7=CD7),$BI$1,IF(AND(J7&lt;&gt;BE7,L7=BH7),$AM$1,IF(L7=AL7,$Q$1,""))))</f>
        <v>2021 2nd Virtual Technical Trial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27.4</v>
      </c>
      <c r="R7" s="61">
        <v>4.8</v>
      </c>
      <c r="S7" s="61">
        <v>0</v>
      </c>
      <c r="T7" s="61">
        <v>0</v>
      </c>
      <c r="U7" s="61">
        <v>28.4</v>
      </c>
      <c r="V7" s="61">
        <v>5.6</v>
      </c>
      <c r="W7" s="61">
        <v>0</v>
      </c>
      <c r="X7" s="61">
        <v>0</v>
      </c>
      <c r="Y7" s="61">
        <v>27.3</v>
      </c>
      <c r="Z7" s="61">
        <v>4.8</v>
      </c>
      <c r="AA7" s="61">
        <v>0.9</v>
      </c>
      <c r="AB7" s="61">
        <v>0</v>
      </c>
      <c r="AC7" s="61">
        <v>27</v>
      </c>
      <c r="AD7" s="61">
        <v>5.2</v>
      </c>
      <c r="AE7" s="61">
        <v>0.3</v>
      </c>
      <c r="AF7" s="61">
        <v>0</v>
      </c>
      <c r="AG7" s="72"/>
      <c r="AH7" s="11">
        <f>IF(SUM(R7,V7)&gt;0,SUM(R7,V7),"")</f>
        <v>10.399999999999999</v>
      </c>
      <c r="AI7" s="11">
        <f>IF(SUM(Q7:R7,T7:V7,X7)-SUM(S7,W7)&gt;0,SUM(Q7:R7,T7:V7,X7)-SUM(S7,W7),"")</f>
        <v>66.199999999999989</v>
      </c>
      <c r="AJ7" s="11">
        <f>IF(SUM(Z7,AD7)&gt;0,SUM(Z7,AD7),"")</f>
        <v>10</v>
      </c>
      <c r="AK7" s="11">
        <f>IF(SUM(Y7:Z7,AB7:AD7,AF7)-SUM(AA7,AE7)&gt;0,SUM(Y7:Z7,AB7:AD7,AF7)-SUM(AA7,AE7),"")</f>
        <v>63.099999999999994</v>
      </c>
      <c r="AL7" s="11">
        <f>IF(SUM(AI7,AK7)&gt;0,SUM(AI7,AK7),"")</f>
        <v>129.29999999999998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IF(SUM(AM7:AN7,AP7:AR7,AT7)-SUM(AO7,AS7)&gt;0,SUM(AM7:AN7,AP7:AR7,AT7)-SUM(AO7,AS7),"")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61">
        <v>27.9</v>
      </c>
      <c r="BJ7" s="61">
        <v>5.6</v>
      </c>
      <c r="BK7" s="61">
        <v>0.9</v>
      </c>
      <c r="BL7" s="61">
        <v>0</v>
      </c>
      <c r="BM7" s="61">
        <v>27.4</v>
      </c>
      <c r="BN7" s="61">
        <v>5.2</v>
      </c>
      <c r="BO7" s="61">
        <v>0.9</v>
      </c>
      <c r="BP7" s="61">
        <v>0</v>
      </c>
      <c r="BQ7" s="61">
        <v>27.8</v>
      </c>
      <c r="BR7" s="61">
        <v>4.8</v>
      </c>
      <c r="BS7" s="61">
        <v>0.9</v>
      </c>
      <c r="BT7" s="61">
        <v>0</v>
      </c>
      <c r="BU7" s="61">
        <v>27.9</v>
      </c>
      <c r="BV7" s="61">
        <v>4.8</v>
      </c>
      <c r="BW7" s="61">
        <v>0</v>
      </c>
      <c r="BX7" s="61">
        <v>0</v>
      </c>
      <c r="BY7" s="72"/>
      <c r="BZ7" s="11">
        <f>IF(SUM(BJ7,BN7)&gt;0,SUM(BJ7,BN7),"")</f>
        <v>10.8</v>
      </c>
      <c r="CA7" s="11">
        <f>IF(SUM(BI7:BJ7,BL7:BN7,BP7)-SUM(BK7,BO7)&gt;0,SUM(BI7:BJ7,BL7:BN7,BP7)-SUM(BK7,BO7),"")</f>
        <v>64.3</v>
      </c>
      <c r="CB7" s="11">
        <f>IF(SUM(BR7,BV7)&gt;0,SUM(BR7,BV7),"")</f>
        <v>9.6</v>
      </c>
      <c r="CC7" s="11">
        <f>IF(SUM(BQ7:BR7,BT7:BV7,BX7)-SUM(BS7,BW7)&gt;0,SUM(BQ7:BR7,BT7:BV7,BX7)-SUM(BS7,BW7),"")</f>
        <v>64.399999999999991</v>
      </c>
      <c r="CD7" s="11">
        <f>IF(SUM(CA7,CC7)&gt;0,SUM(CA7,CC7),"")</f>
        <v>128.69999999999999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13.95</v>
      </c>
      <c r="LZ7" s="61">
        <f>IF($BY7="P",BJ7,(BJ7+AN7)/2)</f>
        <v>2.8</v>
      </c>
      <c r="MA7" s="61">
        <f>IF($BY7="P",BK7,(BK7+AO7)/2)</f>
        <v>0.45</v>
      </c>
      <c r="MB7" s="61">
        <f>IF($BY7="P",BL7,(BL7+AP7)/2)</f>
        <v>0</v>
      </c>
      <c r="MC7" s="61">
        <f>IF($BY7="P",BM7,(BM7+AQ7)/2)</f>
        <v>13.7</v>
      </c>
      <c r="MD7" s="61">
        <f>IF($BY7="P",BN7,(BN7+AR7)/2)</f>
        <v>2.6</v>
      </c>
      <c r="ME7" s="61">
        <f>IF($BY7="P",BO7,(BO7+AS7)/2)</f>
        <v>0.45</v>
      </c>
      <c r="MF7" s="61">
        <f>IF($BY7="P",BP7,(BP7+AT7)/2)</f>
        <v>0</v>
      </c>
      <c r="MG7" s="61">
        <f>IF($BY7="P",BQ7,(BQ7+AU7)/2)</f>
        <v>13.9</v>
      </c>
      <c r="MH7" s="61">
        <f>IF($BY7="P",BR7,(BR7+AV7)/2)</f>
        <v>2.4</v>
      </c>
      <c r="MI7" s="61">
        <f>IF($BY7="P",BS7,(BS7+AW7)/2)</f>
        <v>0.45</v>
      </c>
      <c r="MJ7" s="61">
        <f>IF($BY7="P",BT7,(BT7+AX7)/2)</f>
        <v>0</v>
      </c>
      <c r="MK7" s="61">
        <f>IF($BY7="P",BU7,(BU7+AY7)/2)</f>
        <v>13.95</v>
      </c>
      <c r="ML7" s="61">
        <f>IF($BY7="P",BV7,(BV7+AZ7)/2)</f>
        <v>2.4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5.4</v>
      </c>
      <c r="MQ7" s="11">
        <f>IF(SUM(LY7:LZ7,MB7:MD7,MF7)-SUM(MA7,ME7)&gt;0,SUM(LY7:LZ7,MB7:MD7,MF7)-SUM(MA7,ME7),"")</f>
        <v>32.15</v>
      </c>
      <c r="MR7" s="11">
        <f>IF(SUM(MH7,ML7)&gt;0,SUM(MH7,ML7),"")</f>
        <v>4.8</v>
      </c>
      <c r="MS7" s="11">
        <f>IF(SUM(MG7:MH7,MJ7:ML7,MN7)-SUM(MI7,MM7)&gt;0,SUM(MG7:MH7,MJ7:ML7,MN7)-SUM(MI7,MM7),"")</f>
        <v>32.199999999999996</v>
      </c>
      <c r="MT7" s="11">
        <f>IF(SUM(MQ7,MS7)&gt;0,SUM(MQ7,MS7),"")</f>
        <v>64.349999999999994</v>
      </c>
    </row>
    <row r="8" spans="1:358" x14ac:dyDescent="0.2">
      <c r="A8" s="5">
        <f>IF(AND(F8="P",G8="P"),SUMPRODUCT((F$4:F$21="P")*(G$4:G$21="P")*(E$4:E$21&gt;E8))+1,IF(G8="P",SUMPRODUCT((F$4:F$21="")*(G$4:G$21="P")*(E$4:E$21&gt;E8))+1+SUMPRODUCT((F$4:F$21="P")*(G$4:G$21="P")),""))</f>
        <v>5</v>
      </c>
      <c r="B8" s="8" t="s">
        <v>109</v>
      </c>
      <c r="C8" s="4" t="s">
        <v>107</v>
      </c>
      <c r="D8" s="5">
        <v>2002</v>
      </c>
      <c r="E8" s="15">
        <f>SUM(J8:N8)</f>
        <v>194.42499999999998</v>
      </c>
      <c r="F8" s="3" t="str">
        <f>IF(OR(AND(AH8&gt;=AL$23,AI8&gt;=AL$27,AI8&lt;&gt;"",AG8=""),AND(BD8&gt;=BH$23,BE8&gt;=BH$27,BE8&lt;&gt;"",BC8=""),AND(BZ8&gt;=CD$23,CA8&gt;=CD$27,CA8&lt;&gt;"",BY8=""),AND(CW8&gt;=DA$23,CX8&gt;=DA$27,CX8&lt;&gt;""),AND(DR8&gt;=DV$23,DS8&gt;=DV$27,DS8&lt;&gt;""),AND(EM8&gt;=EQ$23,EN8&gt;=EQ$27,EN8&lt;&gt;""),AND(FH8&gt;=FL$23,FI8&gt;=FL$27,FI8&lt;&gt;""),AND(GC8&gt;=GG$23,GD8&gt;=GG$27,GD8&lt;&gt;""),AND(GX8&gt;=HB$23,GY8&gt;=HB$27,GY8&lt;&gt;""),AND(HS8&gt;=HW$23,HT8&gt;=HW$27,HT8&lt;&gt;""),AND(IN8&gt;=IR$23,IO8&gt;=IR$27,IO8&lt;&gt;""),AND(JI8&gt;=JM$23,JJ8&gt;=JM$27,JJ8&lt;&gt;""),AND(KD8&gt;=KH$23,KE8&gt;=KH$27,KE8&lt;&gt;""),AND(KY8&gt;=LC$23,KZ8&gt;=LC$27,KZ8&lt;&gt;""),AND(LT8&gt;=LX$23,LU8&gt;=LX$27,LU8&lt;&gt;"")),"P","")</f>
        <v>P</v>
      </c>
      <c r="G8" s="3" t="str">
        <f>IF(OR(AND(AI8&gt;=AL$27,AI8&lt;&gt;"",AG8=""),AND(BE8&gt;=BH$27,BE8&lt;&gt;"",BC8=""),AND(CA8&gt;=CD$27,CA8&lt;&gt;"",BY8=""),AND(CX8&gt;=DA$27,CX8&lt;&gt;""),AND(DS8&gt;=DV$27,DS8&lt;&gt;""),AND(EN8&gt;=EQ$27,EN8&lt;&gt;""),AND(FI8&gt;=FL$27,FI8&lt;&gt;""),AND(GD8&gt;=GG$27,GD8&lt;&gt;""),AND(GY8&gt;=HB$27,GY8&lt;&gt;""),AND(HT8&gt;=HW$27,HT8&lt;&gt;""),AND(IO8&gt;=IR$27,IO8&lt;&gt;""),AND(JJ8&gt;=JM$27,JJ8&lt;&gt;""),AND(KE8&gt;=KH$27,KE8&lt;&gt;""),AND(KZ8&gt;=LC$27,KZ8&lt;&gt;""),AND(LU8&gt;=LX$27,LU8&lt;&gt;"")),"P","")</f>
        <v>P</v>
      </c>
      <c r="H8" s="116" t="str">
        <f>IF(AND(G8="P",F8=""),"No DD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Merit",IF(OR(AND(AH8&gt;=AL$25,AH8&lt;&gt;"",AI8&gt;=AL$29,AI8&lt;&gt;"",AG8=""),AND(BD8&gt;=BH$25,BD8&lt;&gt;"",BE8&gt;=BH$29,BE8&lt;&gt;"",BC8=""),AND(BZ8&gt;=CD$25,BZ8&lt;&gt;"",CA8&gt;=CD$29,CA8&lt;&gt;"",BY8=""),AND(CW8&gt;=DA$25,CW8&lt;&gt;"",CX8&gt;=DA$29,CX8&lt;&gt;""),AND(DR8&gt;=DV$25,DR8&lt;&gt;"",DS8&gt;=DV$29,DS8&lt;&gt;""),AND(EM8&gt;=EQ$25,EM8&lt;&gt;"",EN8&gt;=EQ$29,EN8&lt;&gt;""),AND(FH8&gt;=FL$25,FH8&lt;&gt;"",FI8&gt;=FL$29,FI8&lt;&gt;""),AND(GC8&gt;=GG$25,GC8&lt;&gt;"",GD8&gt;=GG$29,GD8&lt;&gt;""),AND(GX8&gt;=HB$25,GX8&lt;&gt;"",GY8&gt;=HB$29,GY8&lt;&gt;""),AND(HS8&gt;=HW$25,HS8&lt;&gt;"",HT8&gt;=HW$29,HT8&lt;&gt;""),AND(IN8&gt;=IR$25,IN8&lt;&gt;"",IO8&gt;=IR$29,IO8&lt;&gt;""),AND(JI8&gt;=JM$25,JI8&lt;&gt;"",JJ8&gt;=JM$29,JJ8&lt;&gt;""),AND(KD8&gt;=KH$25,KD8&lt;&gt;"",KE8&gt;=KH$29,KE8&lt;&gt;""),AND(KY8&gt;=LC$25,KY8&lt;&gt;"",KZ8&gt;=LC$29,KZ8&lt;&gt;""),AND(LT8&gt;=LX$25,LT8&lt;&gt;"",LU8&gt;=LX$29,LU8&lt;&gt;"")),"Excellence",IF(OR(AND(AH8&gt;=AL$24,AH8&lt;&gt;"",AI8&gt;=AL$28,AI8&lt;&gt;"",AG8=""),AND(BD8&gt;=BH$24,BD8&lt;&gt;"",BE8&gt;=BH$28,BE8&lt;&gt;"",BC8=""),AND(BZ8&gt;=CD$24,BZ8&lt;&gt;"",CA8&gt;=CD$28,CA8&lt;&gt;"",BY8=""),AND(CW8&gt;=DA$24,CW8&lt;&gt;"",CX8&gt;=DA$28,CX8&lt;&gt;""),AND(DR8&gt;=DV$24,DR8&lt;&gt;"",DS8&gt;=DV$28,DS8&lt;&gt;""),AND(EM8&gt;=EQ$24,EM8&lt;&gt;"",EN8&gt;=EQ$28,EN8&lt;&gt;""),AND(FH8&gt;=FL$24,FH8&lt;&gt;"",FI8&gt;=FL$28,FI8&lt;&gt;""),AND(GC8&gt;=GG$24,GC8&lt;&gt;"",GD8&gt;=GG$28,GD8&lt;&gt;""),AND(GX8&gt;=HB$24,GX8&lt;&gt;"",GY8&gt;=HB$28,GY8&lt;&gt;""),AND(HS8&gt;=HW$24,HS8&lt;&gt;"",HT8&gt;=HW$28,HT8&lt;&gt;""),AND(IN8&gt;=IR$24,IN8&lt;&gt;"",IO8&gt;=IR$28,IO8&lt;&gt;""),AND(JI8&gt;=JM$24,JI8&lt;&gt;"",JJ8&gt;=JM$28,JJ8&lt;&gt;""),AND(KD8&gt;=KH$24,KD8&lt;&gt;"",KE8&gt;=KH$28,KE8&lt;&gt;""),AND(KY8&gt;=LC$24,KY8&lt;&gt;"",KZ8&gt;=LC$28,KZ8&lt;&gt;""),AND(LT8&gt;=LX$24,LT8&lt;&gt;"",LU8&gt;=LX$28,LU8&lt;&gt;"")),"Worlds Team",IF(OR(AND(AH8&gt;=AL$23,AH8&lt;&gt;"",AI8&gt;=AL$27,AI8&lt;&gt;"",AG8=""),AND(BD8&gt;=BH$23,BD8&lt;&gt;"",BE8&gt;=BH$27,BE8&lt;&gt;"",BC8=""),AND(BZ8&gt;=CD$23,BZ8&lt;&gt;"",CA8&gt;=CD$27,CA8&lt;&gt;"",BY8=""),AND(CW8&gt;=DA$23,CW8&lt;&gt;"",CX8&gt;=DA$27,CX8&lt;&gt;""),AND(DR8&gt;=DV$23,DR8&lt;&gt;"",DS8&gt;=DV$27,DS8&lt;&gt;""),AND(EM8&gt;=EQ$23,EM8&lt;&gt;"",EN8&gt;=EQ$27,EN8&lt;&gt;""),AND(FH8&gt;=FL$23,FH8&lt;&gt;"",FI8&gt;=FL$27,FI8&lt;&gt;""),AND(GC8&gt;=GG$23,GC8&lt;&gt;"",GD8&gt;=GG$27,GD8&lt;&gt;""),AND(GX8&gt;=HB$23,GX8&lt;&gt;"",GY8&gt;=HB$27,GY8&lt;&gt;""),AND(HS8&gt;=HW$23,HS8&lt;&gt;"",HT8&gt;=HW$27,HT8&lt;&gt;""),AND(IN8&gt;=IR$23,IN8&lt;&gt;"",IO8&gt;=IR$27,IO8&lt;&gt;""),AND(JI8&gt;=JM$23,JI8&lt;&gt;"",JJ8&gt;=JM$27,JJ8&lt;&gt;""),AND(KD8&gt;=KH$23,KD8&lt;&gt;"",KE8&gt;=KH$27,KE8&lt;&gt;""),AND(KY8&gt;=LC$23,KY8&lt;&gt;"",KZ8&gt;=LC$27,KZ8&lt;&gt;""),AND(LT8&gt;=LX$23,LT8&lt;&gt;"",LU8&gt;=LX$27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67.524999999999991</v>
      </c>
      <c r="K8" s="14" t="str">
        <f>IF(J8=0,"",IF(J8=CA8,$BI$1,IF(J8=BE8,$AM$1,IF(J8=AI8,$Q$1,""))))</f>
        <v>2021 1st Virtual Technical Trial</v>
      </c>
      <c r="L8" s="14">
        <f>IF(J8=AI8,MAX(BH8,CD8),IF(J8=BE8,MAX(AL8,CD8),MAX(AL8,BH8)))</f>
        <v>126.89999999999999</v>
      </c>
      <c r="M8" s="14" t="str">
        <f>IF(L8=0,"",IF(AND(J8&lt;&gt;CA8,L8=CD8),$BI$1,IF(AND(J8&lt;&gt;BE8,L8=BH8),$AM$1,IF(L8=AL8,$Q$1,""))))</f>
        <v>2019 Nationals</v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27.8</v>
      </c>
      <c r="R8" s="61">
        <v>3.5</v>
      </c>
      <c r="S8" s="61">
        <v>0.3</v>
      </c>
      <c r="T8" s="61">
        <v>0</v>
      </c>
      <c r="U8" s="61">
        <v>28.8</v>
      </c>
      <c r="V8" s="61">
        <v>4</v>
      </c>
      <c r="W8" s="61">
        <v>0</v>
      </c>
      <c r="X8" s="61">
        <v>0</v>
      </c>
      <c r="Y8" s="61">
        <v>28.5</v>
      </c>
      <c r="Z8" s="61">
        <v>4.3</v>
      </c>
      <c r="AA8" s="61">
        <v>0</v>
      </c>
      <c r="AB8" s="61">
        <v>0</v>
      </c>
      <c r="AC8" s="61">
        <v>27.9</v>
      </c>
      <c r="AD8" s="61">
        <v>3.3</v>
      </c>
      <c r="AE8" s="61">
        <v>0.9</v>
      </c>
      <c r="AF8" s="61">
        <v>0</v>
      </c>
      <c r="AG8" s="72"/>
      <c r="AH8" s="11">
        <f>IF(SUM(R8,V8)&gt;0,SUM(R8,V8),"")</f>
        <v>7.5</v>
      </c>
      <c r="AI8" s="11">
        <f>IF(SUM(Q8:R8,T8:V8,X8)-SUM(S8,W8)&gt;0,SUM(Q8:R8,T8:V8,X8)-SUM(S8,W8),"")</f>
        <v>63.8</v>
      </c>
      <c r="AJ8" s="11">
        <f>IF(SUM(Z8,AD8)&gt;0,SUM(Z8,AD8),"")</f>
        <v>7.6</v>
      </c>
      <c r="AK8" s="11">
        <f>IF(SUM(Y8:Z8,AB8:AD8,AF8)-SUM(AA8,AE8)&gt;0,SUM(Y8:Z8,AB8:AD8,AF8)-SUM(AA8,AE8),"")</f>
        <v>63.099999999999994</v>
      </c>
      <c r="AL8" s="11">
        <f>IF(SUM(AI8,AK8)&gt;0,SUM(AI8,AK8),"")</f>
        <v>126.89999999999999</v>
      </c>
      <c r="AM8" s="36">
        <v>27.9</v>
      </c>
      <c r="AN8" s="36">
        <v>5.6</v>
      </c>
      <c r="AO8" s="36">
        <v>0</v>
      </c>
      <c r="AP8" s="36">
        <v>0.3</v>
      </c>
      <c r="AQ8" s="36">
        <v>28.524999999999999</v>
      </c>
      <c r="AR8" s="36">
        <v>5.2</v>
      </c>
      <c r="AS8" s="36">
        <v>0</v>
      </c>
      <c r="AT8" s="36">
        <v>0</v>
      </c>
      <c r="AU8" s="36">
        <v>28</v>
      </c>
      <c r="AV8" s="36">
        <v>4.4000000000000004</v>
      </c>
      <c r="AW8" s="36">
        <v>0</v>
      </c>
      <c r="AX8" s="36">
        <v>0</v>
      </c>
      <c r="AY8" s="36">
        <v>28.3</v>
      </c>
      <c r="AZ8" s="36">
        <v>4.3</v>
      </c>
      <c r="BA8" s="36">
        <v>0</v>
      </c>
      <c r="BB8" s="36">
        <v>0</v>
      </c>
      <c r="BC8" s="73"/>
      <c r="BD8" s="14">
        <f>IF(SUM(AN8,AR8)&gt;0,SUM(AN8,AR8),"")</f>
        <v>10.8</v>
      </c>
      <c r="BE8" s="14">
        <f>IF(SUM(AM8:AN8,AP8:AR8,AT8)-SUM(AO8,AS8)&gt;0,SUM(AM8:AN8,AP8:AR8,AT8)-SUM(AO8,AS8),"")</f>
        <v>67.524999999999991</v>
      </c>
      <c r="BF8" s="14">
        <f>IF(SUM(AV8,AZ8)&gt;0,SUM(AV8,AZ8),"")</f>
        <v>8.6999999999999993</v>
      </c>
      <c r="BG8" s="14">
        <f>IF(SUM(AU8:AV8,AX8:AZ8,BB8)-SUM(AW8,BA8)&gt;0,SUM(AU8:AV8,AX8:AZ8,BB8)-SUM(AW8,BA8),"")</f>
        <v>65</v>
      </c>
      <c r="BH8" s="14">
        <f>IF(SUM(BE8,BG8)&gt;0,SUM(BE8,BG8),"")</f>
        <v>132.52499999999998</v>
      </c>
      <c r="BI8" s="61">
        <v>27.2</v>
      </c>
      <c r="BJ8" s="61">
        <v>5.6</v>
      </c>
      <c r="BK8" s="61">
        <v>0.3</v>
      </c>
      <c r="BL8" s="61">
        <v>0</v>
      </c>
      <c r="BM8" s="61">
        <v>27.9</v>
      </c>
      <c r="BN8" s="61">
        <v>5.2</v>
      </c>
      <c r="BO8" s="61">
        <v>0.3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28.5</v>
      </c>
      <c r="BV8" s="61">
        <v>4.3</v>
      </c>
      <c r="BW8" s="61">
        <v>0</v>
      </c>
      <c r="BX8" s="61">
        <v>0</v>
      </c>
      <c r="BY8" s="72"/>
      <c r="BZ8" s="11">
        <f>IF(SUM(BJ8,BN8)&gt;0,SUM(BJ8,BN8),"")</f>
        <v>10.8</v>
      </c>
      <c r="CA8" s="11">
        <f>IF(SUM(BI8:BJ8,BL8:BN8,BP8)-SUM(BK8,BO8)&gt;0,SUM(BI8:BJ8,BL8:BN8,BP8)-SUM(BK8,BO8),"")</f>
        <v>65.3</v>
      </c>
      <c r="CB8" s="11">
        <f>IF(SUM(BR8,BV8)&gt;0,SUM(BR8,BV8),"")</f>
        <v>4.3</v>
      </c>
      <c r="CC8" s="11">
        <f>IF(SUM(BQ8:BR8,BT8:BV8,BX8)-SUM(BS8,BW8)&gt;0,SUM(BQ8:BR8,BT8:BV8,BX8)-SUM(BS8,BW8),"")</f>
        <v>32.799999999999997</v>
      </c>
      <c r="CD8" s="11">
        <f>IF(SUM(CA8,CC8)&gt;0,SUM(CA8,CC8),"")</f>
        <v>98.1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27.549999999999997</v>
      </c>
      <c r="LZ8" s="61">
        <f>IF($BY8="P",BJ8,(BJ8+AN8)/2)</f>
        <v>5.6</v>
      </c>
      <c r="MA8" s="61">
        <f>IF($BY8="P",BK8,(BK8+AO8)/2)</f>
        <v>0.15</v>
      </c>
      <c r="MB8" s="61">
        <f>IF($BY8="P",BL8,(BL8+AP8)/2)</f>
        <v>0.15</v>
      </c>
      <c r="MC8" s="61">
        <f>IF($BY8="P",BM8,(BM8+AQ8)/2)</f>
        <v>28.212499999999999</v>
      </c>
      <c r="MD8" s="61">
        <f>IF($BY8="P",BN8,(BN8+AR8)/2)</f>
        <v>5.2</v>
      </c>
      <c r="ME8" s="61">
        <f>IF($BY8="P",BO8,(BO8+AS8)/2)</f>
        <v>0.15</v>
      </c>
      <c r="MF8" s="61">
        <f>IF($BY8="P",BP8,(BP8+AT8)/2)</f>
        <v>0</v>
      </c>
      <c r="MG8" s="61">
        <f>IF($BY8="P",BQ8,(BQ8+AU8)/2)</f>
        <v>14</v>
      </c>
      <c r="MH8" s="61">
        <f>IF($BY8="P",BR8,(BR8+AV8)/2)</f>
        <v>2.2000000000000002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28.4</v>
      </c>
      <c r="ML8" s="61">
        <f>IF($BY8="P",BV8,(BV8+AZ8)/2)</f>
        <v>4.3</v>
      </c>
      <c r="MM8" s="61">
        <f>IF($BY8="P",BW8,(BW8+BA8)/2)</f>
        <v>0</v>
      </c>
      <c r="MN8" s="61">
        <f>IF($BY8="P",BX8,(BX8+BB8)/2)</f>
        <v>0</v>
      </c>
      <c r="MO8" s="72" t="s">
        <v>52</v>
      </c>
      <c r="MP8" s="11">
        <f>IF(SUM(LZ8,MD8)&gt;0,SUM(LZ8,MD8),"")</f>
        <v>10.8</v>
      </c>
      <c r="MQ8" s="11">
        <f>IF(SUM(LY8:LZ8,MB8:MD8,MF8)-SUM(MA8,ME8)&gt;0,SUM(LY8:LZ8,MB8:MD8,MF8)-SUM(MA8,ME8),"")</f>
        <v>66.412499999999994</v>
      </c>
      <c r="MR8" s="11">
        <f>IF(SUM(MH8,ML8)&gt;0,SUM(MH8,ML8),"")</f>
        <v>6.5</v>
      </c>
      <c r="MS8" s="11">
        <f>IF(SUM(MG8:MH8,MJ8:ML8,MN8)-SUM(MI8,MM8)&gt;0,SUM(MG8:MH8,MJ8:ML8,MN8)-SUM(MI8,MM8),"")</f>
        <v>48.899999999999991</v>
      </c>
      <c r="MT8" s="11">
        <f>IF(SUM(MQ8,MS8)&gt;0,SUM(MQ8,MS8),"")</f>
        <v>115.31249999999999</v>
      </c>
    </row>
    <row r="9" spans="1:358" x14ac:dyDescent="0.2">
      <c r="A9" s="5">
        <f>IF(AND(F9="P",G9="P"),SUMPRODUCT((F$4:F$21="P")*(G$4:G$21="P")*(E$4:E$21&gt;E9))+1,IF(G9="P",SUMPRODUCT((F$4:F$21="")*(G$4:G$21="P")*(E$4:E$21&gt;E9))+1+SUMPRODUCT((F$4:F$21="P")*(G$4:G$21="P")),""))</f>
        <v>6</v>
      </c>
      <c r="B9" s="8" t="s">
        <v>135</v>
      </c>
      <c r="C9" s="4" t="s">
        <v>4</v>
      </c>
      <c r="D9" s="5">
        <v>2000</v>
      </c>
      <c r="E9" s="15">
        <f>SUM(J9:N9)</f>
        <v>193.39999999999998</v>
      </c>
      <c r="F9" s="3" t="str">
        <f>IF(OR(AND(AH9&gt;=AL$23,AI9&gt;=AL$27,AI9&lt;&gt;"",AG9=""),AND(BD9&gt;=BH$23,BE9&gt;=BH$27,BE9&lt;&gt;"",BC9=""),AND(BZ9&gt;=CD$23,CA9&gt;=CD$27,CA9&lt;&gt;"",BY9=""),AND(CW9&gt;=DA$23,CX9&gt;=DA$27,CX9&lt;&gt;""),AND(DR9&gt;=DV$23,DS9&gt;=DV$27,DS9&lt;&gt;""),AND(EM9&gt;=EQ$23,EN9&gt;=EQ$27,EN9&lt;&gt;""),AND(FH9&gt;=FL$23,FI9&gt;=FL$27,FI9&lt;&gt;""),AND(GC9&gt;=GG$23,GD9&gt;=GG$27,GD9&lt;&gt;""),AND(GX9&gt;=HB$23,GY9&gt;=HB$27,GY9&lt;&gt;""),AND(HS9&gt;=HW$23,HT9&gt;=HW$27,HT9&lt;&gt;""),AND(IN9&gt;=IR$23,IO9&gt;=IR$27,IO9&lt;&gt;""),AND(JI9&gt;=JM$23,JJ9&gt;=JM$27,JJ9&lt;&gt;""),AND(KD9&gt;=KH$23,KE9&gt;=KH$27,KE9&lt;&gt;""),AND(KY9&gt;=LC$23,KZ9&gt;=LC$27,KZ9&lt;&gt;""),AND(LT9&gt;=LX$23,LU9&gt;=LX$27,LU9&lt;&gt;"")),"P","")</f>
        <v>P</v>
      </c>
      <c r="G9" s="3" t="str">
        <f>IF(OR(AND(AI9&gt;=AL$27,AI9&lt;&gt;"",AG9=""),AND(BE9&gt;=BH$27,BE9&lt;&gt;"",BC9=""),AND(CA9&gt;=CD$27,CA9&lt;&gt;"",BY9=""),AND(CX9&gt;=DA$27,CX9&lt;&gt;""),AND(DS9&gt;=DV$27,DS9&lt;&gt;""),AND(EN9&gt;=EQ$27,EN9&lt;&gt;""),AND(FI9&gt;=FL$27,FI9&lt;&gt;""),AND(GD9&gt;=GG$27,GD9&lt;&gt;""),AND(GY9&gt;=HB$27,GY9&lt;&gt;""),AND(HT9&gt;=HW$27,HT9&lt;&gt;""),AND(IO9&gt;=IR$27,IO9&lt;&gt;""),AND(JJ9&gt;=JM$27,JJ9&lt;&gt;""),AND(KE9&gt;=KH$27,KE9&lt;&gt;""),AND(KZ9&gt;=LC$27,KZ9&lt;&gt;""),AND(LU9&gt;=LX$27,LU9&lt;&gt;"")),"P","")</f>
        <v>P</v>
      </c>
      <c r="H9" s="116" t="str">
        <f>IF(AND(G9="P",F9=""),"No DD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Merit",IF(OR(AND(AH9&gt;=AL$25,AH9&lt;&gt;"",AI9&gt;=AL$29,AI9&lt;&gt;"",AG9=""),AND(BD9&gt;=BH$25,BD9&lt;&gt;"",BE9&gt;=BH$29,BE9&lt;&gt;"",BC9=""),AND(BZ9&gt;=CD$25,BZ9&lt;&gt;"",CA9&gt;=CD$29,CA9&lt;&gt;"",BY9=""),AND(CW9&gt;=DA$25,CW9&lt;&gt;"",CX9&gt;=DA$29,CX9&lt;&gt;""),AND(DR9&gt;=DV$25,DR9&lt;&gt;"",DS9&gt;=DV$29,DS9&lt;&gt;""),AND(EM9&gt;=EQ$25,EM9&lt;&gt;"",EN9&gt;=EQ$29,EN9&lt;&gt;""),AND(FH9&gt;=FL$25,FH9&lt;&gt;"",FI9&gt;=FL$29,FI9&lt;&gt;""),AND(GC9&gt;=GG$25,GC9&lt;&gt;"",GD9&gt;=GG$29,GD9&lt;&gt;""),AND(GX9&gt;=HB$25,GX9&lt;&gt;"",GY9&gt;=HB$29,GY9&lt;&gt;""),AND(HS9&gt;=HW$25,HS9&lt;&gt;"",HT9&gt;=HW$29,HT9&lt;&gt;""),AND(IN9&gt;=IR$25,IN9&lt;&gt;"",IO9&gt;=IR$29,IO9&lt;&gt;""),AND(JI9&gt;=JM$25,JI9&lt;&gt;"",JJ9&gt;=JM$29,JJ9&lt;&gt;""),AND(KD9&gt;=KH$25,KD9&lt;&gt;"",KE9&gt;=KH$29,KE9&lt;&gt;""),AND(KY9&gt;=LC$25,KY9&lt;&gt;"",KZ9&gt;=LC$29,KZ9&lt;&gt;""),AND(LT9&gt;=LX$25,LT9&lt;&gt;"",LU9&gt;=LX$29,LU9&lt;&gt;"")),"Excellence",IF(OR(AND(AH9&gt;=AL$24,AH9&lt;&gt;"",AI9&gt;=AL$28,AI9&lt;&gt;"",AG9=""),AND(BD9&gt;=BH$24,BD9&lt;&gt;"",BE9&gt;=BH$28,BE9&lt;&gt;"",BC9=""),AND(BZ9&gt;=CD$24,BZ9&lt;&gt;"",CA9&gt;=CD$28,CA9&lt;&gt;"",BY9=""),AND(CW9&gt;=DA$24,CW9&lt;&gt;"",CX9&gt;=DA$28,CX9&lt;&gt;""),AND(DR9&gt;=DV$24,DR9&lt;&gt;"",DS9&gt;=DV$28,DS9&lt;&gt;""),AND(EM9&gt;=EQ$24,EM9&lt;&gt;"",EN9&gt;=EQ$28,EN9&lt;&gt;""),AND(FH9&gt;=FL$24,FH9&lt;&gt;"",FI9&gt;=FL$28,FI9&lt;&gt;""),AND(GC9&gt;=GG$24,GC9&lt;&gt;"",GD9&gt;=GG$28,GD9&lt;&gt;""),AND(GX9&gt;=HB$24,GX9&lt;&gt;"",GY9&gt;=HB$28,GY9&lt;&gt;""),AND(HS9&gt;=HW$24,HS9&lt;&gt;"",HT9&gt;=HW$28,HT9&lt;&gt;""),AND(IN9&gt;=IR$24,IN9&lt;&gt;"",IO9&gt;=IR$28,IO9&lt;&gt;""),AND(JI9&gt;=JM$24,JI9&lt;&gt;"",JJ9&gt;=JM$28,JJ9&lt;&gt;""),AND(KD9&gt;=KH$24,KD9&lt;&gt;"",KE9&gt;=KH$28,KE9&lt;&gt;""),AND(KY9&gt;=LC$24,KY9&lt;&gt;"",KZ9&gt;=LC$28,KZ9&lt;&gt;""),AND(LT9&gt;=LX$24,LT9&lt;&gt;"",LU9&gt;=LX$28,LU9&lt;&gt;"")),"Worlds Team",IF(OR(AND(AH9&gt;=AL$23,AH9&lt;&gt;"",AI9&gt;=AL$27,AI9&lt;&gt;"",AG9=""),AND(BD9&gt;=BH$23,BD9&lt;&gt;"",BE9&gt;=BH$27,BE9&lt;&gt;"",BC9=""),AND(BZ9&gt;=CD$23,BZ9&lt;&gt;"",CA9&gt;=CD$27,CA9&lt;&gt;"",BY9=""),AND(CW9&gt;=DA$23,CW9&lt;&gt;"",CX9&gt;=DA$27,CX9&lt;&gt;""),AND(DR9&gt;=DV$23,DR9&lt;&gt;"",DS9&gt;=DV$27,DS9&lt;&gt;""),AND(EM9&gt;=EQ$23,EM9&lt;&gt;"",EN9&gt;=EQ$27,EN9&lt;&gt;""),AND(FH9&gt;=FL$23,FH9&lt;&gt;"",FI9&gt;=FL$27,FI9&lt;&gt;""),AND(GC9&gt;=GG$23,GC9&lt;&gt;"",GD9&gt;=GG$27,GD9&lt;&gt;""),AND(GX9&gt;=HB$23,GX9&lt;&gt;"",GY9&gt;=HB$27,GY9&lt;&gt;""),AND(HS9&gt;=HW$23,HS9&lt;&gt;"",HT9&gt;=HW$27,HT9&lt;&gt;""),AND(IN9&gt;=IR$23,IN9&lt;&gt;"",IO9&gt;=IR$27,IO9&lt;&gt;""),AND(JI9&gt;=JM$23,JI9&lt;&gt;"",JJ9&gt;=JM$27,JJ9&lt;&gt;""),AND(KD9&gt;=KH$23,KD9&lt;&gt;"",KE9&gt;=KH$27,KE9&lt;&gt;""),AND(KY9&gt;=LC$23,KY9&lt;&gt;"",KZ9&gt;=LC$27,KZ9&lt;&gt;""),AND(LT9&gt;=LX$23,LT9&lt;&gt;"",LU9&gt;=LX$27,LU9&lt;&gt;"")),"National Team","")))))</f>
        <v>National Team</v>
      </c>
      <c r="I9" s="3" t="str">
        <f>IF(OR(H9="Worlds Team",H9="Excellence",H9="Merit"),"P","")</f>
        <v/>
      </c>
      <c r="J9" s="14">
        <f>MAX(AI9,BE9,CA9)</f>
        <v>66.7</v>
      </c>
      <c r="K9" s="14" t="str">
        <f>IF(J9=0,"",IF(J9=CA9,$BI$1,IF(J9=BE9,$AM$1,IF(J9=AI9,$Q$1,""))))</f>
        <v>2019 Nationals</v>
      </c>
      <c r="L9" s="14">
        <f>IF(J9=AI9,MAX(BH9,CD9),IF(J9=BE9,MAX(AL9,CD9),MAX(AL9,BH9)))</f>
        <v>126.69999999999999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>
        <v>28.4</v>
      </c>
      <c r="R9" s="61">
        <v>6</v>
      </c>
      <c r="S9" s="61">
        <v>0</v>
      </c>
      <c r="T9" s="61">
        <v>0</v>
      </c>
      <c r="U9" s="61">
        <v>27</v>
      </c>
      <c r="V9" s="61">
        <v>5.6</v>
      </c>
      <c r="W9" s="61">
        <v>0.3</v>
      </c>
      <c r="X9" s="61">
        <v>0</v>
      </c>
      <c r="Y9" s="61">
        <v>19.8</v>
      </c>
      <c r="Z9" s="61">
        <v>2.4</v>
      </c>
      <c r="AA9" s="61">
        <v>0</v>
      </c>
      <c r="AB9" s="61">
        <v>0</v>
      </c>
      <c r="AC9" s="61">
        <v>27</v>
      </c>
      <c r="AD9" s="61">
        <v>2</v>
      </c>
      <c r="AE9" s="61">
        <v>4</v>
      </c>
      <c r="AF9" s="61">
        <v>0</v>
      </c>
      <c r="AG9" s="72"/>
      <c r="AH9" s="11">
        <f>IF(SUM(R9,V9)&gt;0,SUM(R9,V9),"")</f>
        <v>11.6</v>
      </c>
      <c r="AI9" s="11">
        <f>IF(SUM(Q9:R9,T9:V9,X9)-SUM(S9,W9)&gt;0,SUM(Q9:R9,T9:V9,X9)-SUM(S9,W9),"")</f>
        <v>66.7</v>
      </c>
      <c r="AJ9" s="11">
        <f>IF(SUM(Z9,AD9)&gt;0,SUM(Z9,AD9),"")</f>
        <v>4.4000000000000004</v>
      </c>
      <c r="AK9" s="11">
        <f>IF(SUM(Y9:Z9,AB9:AD9,AF9)-SUM(AA9,AE9)&gt;0,SUM(Y9:Z9,AB9:AD9,AF9)-SUM(AA9,AE9),"")</f>
        <v>47.2</v>
      </c>
      <c r="AL9" s="11">
        <f>IF(SUM(AI9,AK9)&gt;0,SUM(AI9,AK9),"")</f>
        <v>113.9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IF(SUM(AM9:AN9,AP9:AR9,AT9)-SUM(AO9,AS9)&gt;0,SUM(AM9:AN9,AP9:AR9,AT9)-SUM(AO9,AS9),"")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>
        <v>27.3</v>
      </c>
      <c r="BJ9" s="61">
        <v>6</v>
      </c>
      <c r="BK9" s="61">
        <v>0.3</v>
      </c>
      <c r="BL9" s="61">
        <v>0</v>
      </c>
      <c r="BM9" s="61">
        <v>27.8</v>
      </c>
      <c r="BN9" s="61">
        <v>5.6</v>
      </c>
      <c r="BO9" s="61">
        <v>0</v>
      </c>
      <c r="BP9" s="61">
        <v>0</v>
      </c>
      <c r="BQ9" s="61">
        <v>28</v>
      </c>
      <c r="BR9" s="61">
        <v>5.2</v>
      </c>
      <c r="BS9" s="61">
        <v>0</v>
      </c>
      <c r="BT9" s="61">
        <v>0</v>
      </c>
      <c r="BU9" s="61">
        <v>27.5</v>
      </c>
      <c r="BV9" s="61">
        <v>2</v>
      </c>
      <c r="BW9" s="61">
        <v>2.4</v>
      </c>
      <c r="BX9" s="61">
        <v>0</v>
      </c>
      <c r="BY9" s="72"/>
      <c r="BZ9" s="11">
        <f>IF(SUM(BJ9,BN9)&gt;0,SUM(BJ9,BN9),"")</f>
        <v>11.6</v>
      </c>
      <c r="CA9" s="11">
        <f>IF(SUM(BI9:BJ9,BL9:BN9,BP9)-SUM(BK9,BO9)&gt;0,SUM(BI9:BJ9,BL9:BN9,BP9)-SUM(BK9,BO9),"")</f>
        <v>66.399999999999991</v>
      </c>
      <c r="CB9" s="11">
        <f>IF(SUM(BR9,BV9)&gt;0,SUM(BR9,BV9),"")</f>
        <v>7.2</v>
      </c>
      <c r="CC9" s="11">
        <f>IF(SUM(BQ9:BR9,BT9:BV9,BX9)-SUM(BS9,BW9)&gt;0,SUM(BQ9:BR9,BT9:BV9,BX9)-SUM(BS9,BW9),"")</f>
        <v>60.300000000000004</v>
      </c>
      <c r="CD9" s="11">
        <f>IF(SUM(CA9,CC9)&gt;0,SUM(CA9,CC9),"")</f>
        <v>126.69999999999999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13.65</v>
      </c>
      <c r="LZ9" s="61">
        <f>IF($BY9="P",BJ9,(BJ9+AN9)/2)</f>
        <v>3</v>
      </c>
      <c r="MA9" s="61">
        <f>IF($BY9="P",BK9,(BK9+AO9)/2)</f>
        <v>0.15</v>
      </c>
      <c r="MB9" s="61">
        <f>IF($BY9="P",BL9,(BL9+AP9)/2)</f>
        <v>0</v>
      </c>
      <c r="MC9" s="61">
        <f>IF($BY9="P",BM9,(BM9+AQ9)/2)</f>
        <v>13.9</v>
      </c>
      <c r="MD9" s="61">
        <f>IF($BY9="P",BN9,(BN9+AR9)/2)</f>
        <v>2.8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14</v>
      </c>
      <c r="MH9" s="61">
        <f>IF($BY9="P",BR9,(BR9+AV9)/2)</f>
        <v>2.6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13.75</v>
      </c>
      <c r="ML9" s="61">
        <f>IF($BY9="P",BV9,(BV9+AZ9)/2)</f>
        <v>1</v>
      </c>
      <c r="MM9" s="61">
        <f>IF($BY9="P",BW9,(BW9+BA9)/2)</f>
        <v>1.2</v>
      </c>
      <c r="MN9" s="61">
        <f>IF($BY9="P",BX9,(BX9+BB9)/2)</f>
        <v>0</v>
      </c>
      <c r="MO9" s="72" t="s">
        <v>52</v>
      </c>
      <c r="MP9" s="11">
        <f>IF(SUM(LZ9,MD9)&gt;0,SUM(LZ9,MD9),"")</f>
        <v>5.8</v>
      </c>
      <c r="MQ9" s="11">
        <f>IF(SUM(LY9:LZ9,MB9:MD9,MF9)-SUM(MA9,ME9)&gt;0,SUM(LY9:LZ9,MB9:MD9,MF9)-SUM(MA9,ME9),"")</f>
        <v>33.199999999999996</v>
      </c>
      <c r="MR9" s="11">
        <f>IF(SUM(MH9,ML9)&gt;0,SUM(MH9,ML9),"")</f>
        <v>3.6</v>
      </c>
      <c r="MS9" s="11">
        <f>IF(SUM(MG9:MH9,MJ9:ML9,MN9)-SUM(MI9,MM9)&gt;0,SUM(MG9:MH9,MJ9:ML9,MN9)-SUM(MI9,MM9),"")</f>
        <v>30.150000000000002</v>
      </c>
      <c r="MT9" s="11">
        <f>IF(SUM(MQ9,MS9)&gt;0,SUM(MQ9,MS9),"")</f>
        <v>63.349999999999994</v>
      </c>
    </row>
    <row r="10" spans="1:358" x14ac:dyDescent="0.2">
      <c r="A10" s="5">
        <f>IF(AND(F10="P",G10="P"),SUMPRODUCT((F$4:F$21="P")*(G$4:G$21="P")*(E$4:E$21&gt;E10))+1,IF(G10="P",SUMPRODUCT((F$4:F$21="")*(G$4:G$21="P")*(E$4:E$21&gt;E10))+1+SUMPRODUCT((F$4:F$21="P")*(G$4:G$21="P")),""))</f>
        <v>7</v>
      </c>
      <c r="B10" s="8" t="s">
        <v>122</v>
      </c>
      <c r="C10" s="4" t="s">
        <v>5</v>
      </c>
      <c r="D10" s="5">
        <v>2001</v>
      </c>
      <c r="E10" s="15">
        <f>SUM(J10:N10)</f>
        <v>176.5</v>
      </c>
      <c r="F10" s="3" t="str">
        <f>IF(OR(AND(AH10&gt;=AL$23,AI10&gt;=AL$27,AI10&lt;&gt;"",AG10=""),AND(BD10&gt;=BH$23,BE10&gt;=BH$27,BE10&lt;&gt;"",BC10=""),AND(BZ10&gt;=CD$23,CA10&gt;=CD$27,CA10&lt;&gt;"",BY10=""),AND(CW10&gt;=DA$23,CX10&gt;=DA$27,CX10&lt;&gt;""),AND(DR10&gt;=DV$23,DS10&gt;=DV$27,DS10&lt;&gt;""),AND(EM10&gt;=EQ$23,EN10&gt;=EQ$27,EN10&lt;&gt;""),AND(FH10&gt;=FL$23,FI10&gt;=FL$27,FI10&lt;&gt;""),AND(GC10&gt;=GG$23,GD10&gt;=GG$27,GD10&lt;&gt;""),AND(GX10&gt;=HB$23,GY10&gt;=HB$27,GY10&lt;&gt;""),AND(HS10&gt;=HW$23,HT10&gt;=HW$27,HT10&lt;&gt;""),AND(IN10&gt;=IR$23,IO10&gt;=IR$27,IO10&lt;&gt;""),AND(JI10&gt;=JM$23,JJ10&gt;=JM$27,JJ10&lt;&gt;""),AND(KD10&gt;=KH$23,KE10&gt;=KH$27,KE10&lt;&gt;""),AND(KY10&gt;=LC$23,KZ10&gt;=LC$27,KZ10&lt;&gt;""),AND(LT10&gt;=LX$23,LU10&gt;=LX$27,LU10&lt;&gt;"")),"P","")</f>
        <v>P</v>
      </c>
      <c r="G10" s="3" t="str">
        <f>IF(OR(AND(AI10&gt;=AL$27,AI10&lt;&gt;"",AG10=""),AND(BE10&gt;=BH$27,BE10&lt;&gt;"",BC10=""),AND(CA10&gt;=CD$27,CA10&lt;&gt;"",BY10=""),AND(CX10&gt;=DA$27,CX10&lt;&gt;""),AND(DS10&gt;=DV$27,DS10&lt;&gt;""),AND(EN10&gt;=EQ$27,EN10&lt;&gt;""),AND(FI10&gt;=FL$27,FI10&lt;&gt;""),AND(GD10&gt;=GG$27,GD10&lt;&gt;""),AND(GY10&gt;=HB$27,GY10&lt;&gt;""),AND(HT10&gt;=HW$27,HT10&lt;&gt;""),AND(IO10&gt;=IR$27,IO10&lt;&gt;""),AND(JJ10&gt;=JM$27,JJ10&lt;&gt;""),AND(KE10&gt;=KH$27,KE10&lt;&gt;""),AND(KZ10&gt;=LC$27,KZ10&lt;&gt;""),AND(LU10&gt;=LX$27,LU10&lt;&gt;"")),"P","")</f>
        <v>P</v>
      </c>
      <c r="H10" s="116" t="str">
        <f>IF(AND(G10="P",F10=""),"No DD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Merit",IF(OR(AND(AH10&gt;=AL$25,AH10&lt;&gt;"",AI10&gt;=AL$29,AI10&lt;&gt;"",AG10=""),AND(BD10&gt;=BH$25,BD10&lt;&gt;"",BE10&gt;=BH$29,BE10&lt;&gt;"",BC10=""),AND(BZ10&gt;=CD$25,BZ10&lt;&gt;"",CA10&gt;=CD$29,CA10&lt;&gt;"",BY10=""),AND(CW10&gt;=DA$25,CW10&lt;&gt;"",CX10&gt;=DA$29,CX10&lt;&gt;""),AND(DR10&gt;=DV$25,DR10&lt;&gt;"",DS10&gt;=DV$29,DS10&lt;&gt;""),AND(EM10&gt;=EQ$25,EM10&lt;&gt;"",EN10&gt;=EQ$29,EN10&lt;&gt;""),AND(FH10&gt;=FL$25,FH10&lt;&gt;"",FI10&gt;=FL$29,FI10&lt;&gt;""),AND(GC10&gt;=GG$25,GC10&lt;&gt;"",GD10&gt;=GG$29,GD10&lt;&gt;""),AND(GX10&gt;=HB$25,GX10&lt;&gt;"",GY10&gt;=HB$29,GY10&lt;&gt;""),AND(HS10&gt;=HW$25,HS10&lt;&gt;"",HT10&gt;=HW$29,HT10&lt;&gt;""),AND(IN10&gt;=IR$25,IN10&lt;&gt;"",IO10&gt;=IR$29,IO10&lt;&gt;""),AND(JI10&gt;=JM$25,JI10&lt;&gt;"",JJ10&gt;=JM$29,JJ10&lt;&gt;""),AND(KD10&gt;=KH$25,KD10&lt;&gt;"",KE10&gt;=KH$29,KE10&lt;&gt;""),AND(KY10&gt;=LC$25,KY10&lt;&gt;"",KZ10&gt;=LC$29,KZ10&lt;&gt;""),AND(LT10&gt;=LX$25,LT10&lt;&gt;"",LU10&gt;=LX$29,LU10&lt;&gt;"")),"Excellence",IF(OR(AND(AH10&gt;=AL$24,AH10&lt;&gt;"",AI10&gt;=AL$28,AI10&lt;&gt;"",AG10=""),AND(BD10&gt;=BH$24,BD10&lt;&gt;"",BE10&gt;=BH$28,BE10&lt;&gt;"",BC10=""),AND(BZ10&gt;=CD$24,BZ10&lt;&gt;"",CA10&gt;=CD$28,CA10&lt;&gt;"",BY10=""),AND(CW10&gt;=DA$24,CW10&lt;&gt;"",CX10&gt;=DA$28,CX10&lt;&gt;""),AND(DR10&gt;=DV$24,DR10&lt;&gt;"",DS10&gt;=DV$28,DS10&lt;&gt;""),AND(EM10&gt;=EQ$24,EM10&lt;&gt;"",EN10&gt;=EQ$28,EN10&lt;&gt;""),AND(FH10&gt;=FL$24,FH10&lt;&gt;"",FI10&gt;=FL$28,FI10&lt;&gt;""),AND(GC10&gt;=GG$24,GC10&lt;&gt;"",GD10&gt;=GG$28,GD10&lt;&gt;""),AND(GX10&gt;=HB$24,GX10&lt;&gt;"",GY10&gt;=HB$28,GY10&lt;&gt;""),AND(HS10&gt;=HW$24,HS10&lt;&gt;"",HT10&gt;=HW$28,HT10&lt;&gt;""),AND(IN10&gt;=IR$24,IN10&lt;&gt;"",IO10&gt;=IR$28,IO10&lt;&gt;""),AND(JI10&gt;=JM$24,JI10&lt;&gt;"",JJ10&gt;=JM$28,JJ10&lt;&gt;""),AND(KD10&gt;=KH$24,KD10&lt;&gt;"",KE10&gt;=KH$28,KE10&lt;&gt;""),AND(KY10&gt;=LC$24,KY10&lt;&gt;"",KZ10&gt;=LC$28,KZ10&lt;&gt;""),AND(LT10&gt;=LX$24,LT10&lt;&gt;"",LU10&gt;=LX$28,LU10&lt;&gt;"")),"Worlds Team",IF(OR(AND(AH10&gt;=AL$23,AH10&lt;&gt;"",AI10&gt;=AL$27,AI10&lt;&gt;"",AG10=""),AND(BD10&gt;=BH$23,BD10&lt;&gt;"",BE10&gt;=BH$27,BE10&lt;&gt;"",BC10=""),AND(BZ10&gt;=CD$23,BZ10&lt;&gt;"",CA10&gt;=CD$27,CA10&lt;&gt;"",BY10=""),AND(CW10&gt;=DA$23,CW10&lt;&gt;"",CX10&gt;=DA$27,CX10&lt;&gt;""),AND(DR10&gt;=DV$23,DR10&lt;&gt;"",DS10&gt;=DV$27,DS10&lt;&gt;""),AND(EM10&gt;=EQ$23,EM10&lt;&gt;"",EN10&gt;=EQ$27,EN10&lt;&gt;""),AND(FH10&gt;=FL$23,FH10&lt;&gt;"",FI10&gt;=FL$27,FI10&lt;&gt;""),AND(GC10&gt;=GG$23,GC10&lt;&gt;"",GD10&gt;=GG$27,GD10&lt;&gt;""),AND(GX10&gt;=HB$23,GX10&lt;&gt;"",GY10&gt;=HB$27,GY10&lt;&gt;""),AND(HS10&gt;=HW$23,HS10&lt;&gt;"",HT10&gt;=HW$27,HT10&lt;&gt;""),AND(IN10&gt;=IR$23,IN10&lt;&gt;"",IO10&gt;=IR$27,IO10&lt;&gt;""),AND(JI10&gt;=JM$23,JI10&lt;&gt;"",JJ10&gt;=JM$27,JJ10&lt;&gt;""),AND(KD10&gt;=KH$23,KD10&lt;&gt;"",KE10&gt;=KH$27,KE10&lt;&gt;""),AND(KY10&gt;=LC$23,KY10&lt;&gt;"",KZ10&gt;=LC$27,KZ10&lt;&gt;""),AND(LT10&gt;=LX$23,LT10&lt;&gt;"",LU10&gt;=LX$27,LU10&lt;&gt;"")),"National Team","")))))</f>
        <v>National Team</v>
      </c>
      <c r="I10" s="3" t="str">
        <f>IF(OR(H10="Worlds Team",H10="Excellence",H10="Merit"),"P","")</f>
        <v/>
      </c>
      <c r="J10" s="14">
        <f>MAX(AI10,BE10,CA10)</f>
        <v>68.100000000000009</v>
      </c>
      <c r="K10" s="14" t="str">
        <f>IF(J10=0,"",IF(J10=CA10,$BI$1,IF(J10=BE10,$AM$1,IF(J10=AI10,$Q$1,""))))</f>
        <v>2019 Nationals</v>
      </c>
      <c r="L10" s="14">
        <f>IF(J10=AI10,MAX(BH10,CD10),IF(J10=BE10,MAX(AL10,CD10),MAX(AL10,BH10)))</f>
        <v>108.39999999999999</v>
      </c>
      <c r="M10" s="14" t="str">
        <f>IF(L10=0,"",IF(AND(J10&lt;&gt;CA10,L10=CD10),$BI$1,IF(AND(J10&lt;&gt;BE10,L10=BH10),$AM$1,IF(L10=AL10,$Q$1,""))))</f>
        <v>2021 2nd Virtual Technical Trial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>
        <v>28.2</v>
      </c>
      <c r="R10" s="61">
        <v>6.8</v>
      </c>
      <c r="S10" s="61">
        <v>0.9</v>
      </c>
      <c r="T10" s="61">
        <v>0</v>
      </c>
      <c r="U10" s="61">
        <v>28.5</v>
      </c>
      <c r="V10" s="61">
        <v>6.4</v>
      </c>
      <c r="W10" s="61">
        <v>0.9</v>
      </c>
      <c r="X10" s="61">
        <v>0</v>
      </c>
      <c r="Y10" s="61">
        <v>26.4</v>
      </c>
      <c r="Z10" s="61">
        <v>4.8</v>
      </c>
      <c r="AA10" s="61">
        <v>0.3</v>
      </c>
      <c r="AB10" s="61">
        <v>0</v>
      </c>
      <c r="AC10" s="61">
        <v>28.1</v>
      </c>
      <c r="AD10" s="61">
        <v>6</v>
      </c>
      <c r="AE10" s="61">
        <v>0.9</v>
      </c>
      <c r="AF10" s="61">
        <v>0</v>
      </c>
      <c r="AG10" s="72"/>
      <c r="AH10" s="11">
        <f>IF(SUM(R10,V10)&gt;0,SUM(R10,V10),"")</f>
        <v>13.2</v>
      </c>
      <c r="AI10" s="11">
        <f>IF(SUM(Q10:R10,T10:V10,X10)-SUM(S10,W10)&gt;0,SUM(Q10:R10,T10:V10,X10)-SUM(S10,W10),"")</f>
        <v>68.100000000000009</v>
      </c>
      <c r="AJ10" s="11">
        <f>IF(SUM(Z10,AD10)&gt;0,SUM(Z10,AD10),"")</f>
        <v>10.8</v>
      </c>
      <c r="AK10" s="11">
        <f>IF(SUM(Y10:Z10,AB10:AD10,AF10)-SUM(AA10,AE10)&gt;0,SUM(Y10:Z10,AB10:AD10,AF10)-SUM(AA10,AE10),"")</f>
        <v>64.099999999999994</v>
      </c>
      <c r="AL10" s="11">
        <f>IF(SUM(AI10,AK10)&gt;0,SUM(AI10,AK10),"")</f>
        <v>132.19999999999999</v>
      </c>
      <c r="AM10" s="36">
        <v>27.8</v>
      </c>
      <c r="AN10" s="36">
        <v>6.4</v>
      </c>
      <c r="AO10" s="36">
        <v>0.3</v>
      </c>
      <c r="AP10" s="36">
        <v>0</v>
      </c>
      <c r="AQ10" s="36">
        <v>27.9</v>
      </c>
      <c r="AR10" s="36">
        <v>5.2</v>
      </c>
      <c r="AS10" s="36">
        <v>0.3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73"/>
      <c r="BD10" s="14">
        <f>IF(SUM(AN10,AR10)&gt;0,SUM(AN10,AR10),"")</f>
        <v>11.600000000000001</v>
      </c>
      <c r="BE10" s="14">
        <f>IF(SUM(AM10:AN10,AP10:AR10,AT10)-SUM(AO10,AS10)&gt;0,SUM(AM10:AN10,AP10:AR10,AT10)-SUM(AO10,AS10),"")</f>
        <v>66.7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66.7</v>
      </c>
      <c r="BI10" s="61">
        <v>19.8</v>
      </c>
      <c r="BJ10" s="61">
        <v>2.4</v>
      </c>
      <c r="BK10" s="61">
        <v>0</v>
      </c>
      <c r="BL10" s="61">
        <v>0</v>
      </c>
      <c r="BM10" s="61">
        <v>19.600000000000001</v>
      </c>
      <c r="BN10" s="61">
        <v>2.8</v>
      </c>
      <c r="BO10" s="61">
        <v>0</v>
      </c>
      <c r="BP10" s="61">
        <v>0</v>
      </c>
      <c r="BQ10" s="61">
        <v>27.9</v>
      </c>
      <c r="BR10" s="61">
        <v>4.3</v>
      </c>
      <c r="BS10" s="61">
        <v>0.4</v>
      </c>
      <c r="BT10" s="61">
        <v>0.3</v>
      </c>
      <c r="BU10" s="61">
        <v>27.1</v>
      </c>
      <c r="BV10" s="61">
        <v>5.2</v>
      </c>
      <c r="BW10" s="61">
        <v>0.9</v>
      </c>
      <c r="BX10" s="61">
        <v>0.3</v>
      </c>
      <c r="BY10" s="72"/>
      <c r="BZ10" s="11">
        <f>IF(SUM(BJ10,BN10)&gt;0,SUM(BJ10,BN10),"")</f>
        <v>5.1999999999999993</v>
      </c>
      <c r="CA10" s="11">
        <f>IF(SUM(BI10:BJ10,BL10:BN10,BP10)-SUM(BK10,BO10)&gt;0,SUM(BI10:BJ10,BL10:BN10,BP10)-SUM(BK10,BO10),"")</f>
        <v>44.599999999999994</v>
      </c>
      <c r="CB10" s="11">
        <f>IF(SUM(BR10,BV10)&gt;0,SUM(BR10,BV10),"")</f>
        <v>9.5</v>
      </c>
      <c r="CC10" s="11">
        <f>IF(SUM(BQ10:BR10,BT10:BV10,BX10)-SUM(BS10,BW10)&gt;0,SUM(BQ10:BR10,BT10:BV10,BX10)-SUM(BS10,BW10),"")</f>
        <v>63.8</v>
      </c>
      <c r="CD10" s="11">
        <f>IF(SUM(CA10,CC10)&gt;0,SUM(CA10,CC10),"")</f>
        <v>108.39999999999999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23.8</v>
      </c>
      <c r="LZ10" s="61">
        <f>IF($BY10="P",BJ10,(BJ10+AN10)/2)</f>
        <v>4.4000000000000004</v>
      </c>
      <c r="MA10" s="61">
        <f>IF($BY10="P",BK10,(BK10+AO10)/2)</f>
        <v>0.15</v>
      </c>
      <c r="MB10" s="61">
        <f>IF($BY10="P",BL10,(BL10+AP10)/2)</f>
        <v>0</v>
      </c>
      <c r="MC10" s="61">
        <f>IF($BY10="P",BM10,(BM10+AQ10)/2)</f>
        <v>23.75</v>
      </c>
      <c r="MD10" s="61">
        <f>IF($BY10="P",BN10,(BN10+AR10)/2)</f>
        <v>4</v>
      </c>
      <c r="ME10" s="61">
        <f>IF($BY10="P",BO10,(BO10+AS10)/2)</f>
        <v>0.15</v>
      </c>
      <c r="MF10" s="61">
        <f>IF($BY10="P",BP10,(BP10+AT10)/2)</f>
        <v>0</v>
      </c>
      <c r="MG10" s="61">
        <f>IF($BY10="P",BQ10,(BQ10+AU10)/2)</f>
        <v>13.95</v>
      </c>
      <c r="MH10" s="61">
        <f>IF($BY10="P",BR10,(BR10+AV10)/2)</f>
        <v>2.15</v>
      </c>
      <c r="MI10" s="61">
        <f>IF($BY10="P",BS10,(BS10+AW10)/2)</f>
        <v>0.2</v>
      </c>
      <c r="MJ10" s="61">
        <f>IF($BY10="P",BT10,(BT10+AX10)/2)</f>
        <v>0.15</v>
      </c>
      <c r="MK10" s="61">
        <f>IF($BY10="P",BU10,(BU10+AY10)/2)</f>
        <v>13.55</v>
      </c>
      <c r="ML10" s="61">
        <f>IF($BY10="P",BV10,(BV10+AZ10)/2)</f>
        <v>2.6</v>
      </c>
      <c r="MM10" s="61">
        <f>IF($BY10="P",BW10,(BW10+BA10)/2)</f>
        <v>0.45</v>
      </c>
      <c r="MN10" s="61">
        <f>IF($BY10="P",BX10,(BX10+BB10)/2)</f>
        <v>0.15</v>
      </c>
      <c r="MO10" s="72" t="s">
        <v>52</v>
      </c>
      <c r="MP10" s="11">
        <f>IF(SUM(LZ10,MD10)&gt;0,SUM(LZ10,MD10),"")</f>
        <v>8.4</v>
      </c>
      <c r="MQ10" s="11">
        <f>IF(SUM(LY10:LZ10,MB10:MD10,MF10)-SUM(MA10,ME10)&gt;0,SUM(LY10:LZ10,MB10:MD10,MF10)-SUM(MA10,ME10),"")</f>
        <v>55.650000000000006</v>
      </c>
      <c r="MR10" s="11">
        <f>IF(SUM(MH10,ML10)&gt;0,SUM(MH10,ML10),"")</f>
        <v>4.75</v>
      </c>
      <c r="MS10" s="11">
        <f>IF(SUM(MG10:MH10,MJ10:ML10,MN10)-SUM(MI10,MM10)&gt;0,SUM(MG10:MH10,MJ10:ML10,MN10)-SUM(MI10,MM10),"")</f>
        <v>31.9</v>
      </c>
      <c r="MT10" s="11">
        <f>IF(SUM(MQ10,MS10)&gt;0,SUM(MQ10,MS10),"")</f>
        <v>87.550000000000011</v>
      </c>
    </row>
    <row r="11" spans="1:358" x14ac:dyDescent="0.2">
      <c r="A11" s="5" t="str">
        <f>IF(AND(F11="P",G11="P"),SUMPRODUCT((F$4:F$21="P")*(G$4:G$21="P")*(E$4:E$21&gt;E11))+1,IF(G11="P",SUMPRODUCT((F$4:F$21="")*(G$4:G$21="P")*(E$4:E$21&gt;E11))+1+SUMPRODUCT((F$4:F$21="P")*(G$4:G$21="P")),""))</f>
        <v/>
      </c>
      <c r="B11" s="8" t="s">
        <v>118</v>
      </c>
      <c r="C11" s="4" t="s">
        <v>5</v>
      </c>
      <c r="D11" s="5">
        <v>2003</v>
      </c>
      <c r="E11" s="15">
        <f>SUM(J11:N11)</f>
        <v>190.5</v>
      </c>
      <c r="F11" s="3" t="str">
        <f>IF(OR(AND(AH11&gt;=AL$23,AI11&gt;=AL$27,AI11&lt;&gt;"",AG11=""),AND(BD11&gt;=BH$23,BE11&gt;=BH$27,BE11&lt;&gt;"",BC11=""),AND(BZ11&gt;=CD$23,CA11&gt;=CD$27,CA11&lt;&gt;"",BY11=""),AND(CW11&gt;=DA$23,CX11&gt;=DA$27,CX11&lt;&gt;""),AND(DR11&gt;=DV$23,DS11&gt;=DV$27,DS11&lt;&gt;""),AND(EM11&gt;=EQ$23,EN11&gt;=EQ$27,EN11&lt;&gt;""),AND(FH11&gt;=FL$23,FI11&gt;=FL$27,FI11&lt;&gt;""),AND(GC11&gt;=GG$23,GD11&gt;=GG$27,GD11&lt;&gt;""),AND(GX11&gt;=HB$23,GY11&gt;=HB$27,GY11&lt;&gt;""),AND(HS11&gt;=HW$23,HT11&gt;=HW$27,HT11&lt;&gt;""),AND(IN11&gt;=IR$23,IO11&gt;=IR$27,IO11&lt;&gt;""),AND(JI11&gt;=JM$23,JJ11&gt;=JM$27,JJ11&lt;&gt;""),AND(KD11&gt;=KH$23,KE11&gt;=KH$27,KE11&lt;&gt;""),AND(KY11&gt;=LC$23,KZ11&gt;=LC$27,KZ11&lt;&gt;""),AND(LT11&gt;=LX$23,LU11&gt;=LX$27,LU11&lt;&gt;"")),"P","")</f>
        <v/>
      </c>
      <c r="G11" s="3" t="str">
        <f>IF(OR(AND(AI11&gt;=AL$27,AI11&lt;&gt;"",AG11=""),AND(BE11&gt;=BH$27,BE11&lt;&gt;"",BC11=""),AND(CA11&gt;=CD$27,CA11&lt;&gt;"",BY11=""),AND(CX11&gt;=DA$27,CX11&lt;&gt;""),AND(DS11&gt;=DV$27,DS11&lt;&gt;""),AND(EN11&gt;=EQ$27,EN11&lt;&gt;""),AND(FI11&gt;=FL$27,FI11&lt;&gt;""),AND(GD11&gt;=GG$27,GD11&lt;&gt;""),AND(GY11&gt;=HB$27,GY11&lt;&gt;""),AND(HT11&gt;=HW$27,HT11&lt;&gt;""),AND(IO11&gt;=IR$27,IO11&lt;&gt;""),AND(JJ11&gt;=JM$27,JJ11&lt;&gt;""),AND(KE11&gt;=KH$27,KE11&lt;&gt;""),AND(KZ11&gt;=LC$27,KZ11&lt;&gt;""),AND(LU11&gt;=LX$27,LU11&lt;&gt;"")),"P","")</f>
        <v/>
      </c>
      <c r="H11" s="116" t="str">
        <f>IF(AND(G11="P",F11=""),"No DD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Merit",IF(OR(AND(AH11&gt;=AL$25,AH11&lt;&gt;"",AI11&gt;=AL$29,AI11&lt;&gt;"",AG11=""),AND(BD11&gt;=BH$25,BD11&lt;&gt;"",BE11&gt;=BH$29,BE11&lt;&gt;"",BC11=""),AND(BZ11&gt;=CD$25,BZ11&lt;&gt;"",CA11&gt;=CD$29,CA11&lt;&gt;"",BY11=""),AND(CW11&gt;=DA$25,CW11&lt;&gt;"",CX11&gt;=DA$29,CX11&lt;&gt;""),AND(DR11&gt;=DV$25,DR11&lt;&gt;"",DS11&gt;=DV$29,DS11&lt;&gt;""),AND(EM11&gt;=EQ$25,EM11&lt;&gt;"",EN11&gt;=EQ$29,EN11&lt;&gt;""),AND(FH11&gt;=FL$25,FH11&lt;&gt;"",FI11&gt;=FL$29,FI11&lt;&gt;""),AND(GC11&gt;=GG$25,GC11&lt;&gt;"",GD11&gt;=GG$29,GD11&lt;&gt;""),AND(GX11&gt;=HB$25,GX11&lt;&gt;"",GY11&gt;=HB$29,GY11&lt;&gt;""),AND(HS11&gt;=HW$25,HS11&lt;&gt;"",HT11&gt;=HW$29,HT11&lt;&gt;""),AND(IN11&gt;=IR$25,IN11&lt;&gt;"",IO11&gt;=IR$29,IO11&lt;&gt;""),AND(JI11&gt;=JM$25,JI11&lt;&gt;"",JJ11&gt;=JM$29,JJ11&lt;&gt;""),AND(KD11&gt;=KH$25,KD11&lt;&gt;"",KE11&gt;=KH$29,KE11&lt;&gt;""),AND(KY11&gt;=LC$25,KY11&lt;&gt;"",KZ11&gt;=LC$29,KZ11&lt;&gt;""),AND(LT11&gt;=LX$25,LT11&lt;&gt;"",LU11&gt;=LX$29,LU11&lt;&gt;"")),"Excellence",IF(OR(AND(AH11&gt;=AL$24,AH11&lt;&gt;"",AI11&gt;=AL$28,AI11&lt;&gt;"",AG11=""),AND(BD11&gt;=BH$24,BD11&lt;&gt;"",BE11&gt;=BH$28,BE11&lt;&gt;"",BC11=""),AND(BZ11&gt;=CD$24,BZ11&lt;&gt;"",CA11&gt;=CD$28,CA11&lt;&gt;"",BY11=""),AND(CW11&gt;=DA$24,CW11&lt;&gt;"",CX11&gt;=DA$28,CX11&lt;&gt;""),AND(DR11&gt;=DV$24,DR11&lt;&gt;"",DS11&gt;=DV$28,DS11&lt;&gt;""),AND(EM11&gt;=EQ$24,EM11&lt;&gt;"",EN11&gt;=EQ$28,EN11&lt;&gt;""),AND(FH11&gt;=FL$24,FH11&lt;&gt;"",FI11&gt;=FL$28,FI11&lt;&gt;""),AND(GC11&gt;=GG$24,GC11&lt;&gt;"",GD11&gt;=GG$28,GD11&lt;&gt;""),AND(GX11&gt;=HB$24,GX11&lt;&gt;"",GY11&gt;=HB$28,GY11&lt;&gt;""),AND(HS11&gt;=HW$24,HS11&lt;&gt;"",HT11&gt;=HW$28,HT11&lt;&gt;""),AND(IN11&gt;=IR$24,IN11&lt;&gt;"",IO11&gt;=IR$28,IO11&lt;&gt;""),AND(JI11&gt;=JM$24,JI11&lt;&gt;"",JJ11&gt;=JM$28,JJ11&lt;&gt;""),AND(KD11&gt;=KH$24,KD11&lt;&gt;"",KE11&gt;=KH$28,KE11&lt;&gt;""),AND(KY11&gt;=LC$24,KY11&lt;&gt;"",KZ11&gt;=LC$28,KZ11&lt;&gt;""),AND(LT11&gt;=LX$24,LT11&lt;&gt;"",LU11&gt;=LX$28,LU11&lt;&gt;"")),"Worlds Team",IF(OR(AND(AH11&gt;=AL$23,AH11&lt;&gt;"",AI11&gt;=AL$27,AI11&lt;&gt;"",AG11=""),AND(BD11&gt;=BH$23,BD11&lt;&gt;"",BE11&gt;=BH$27,BE11&lt;&gt;"",BC11=""),AND(BZ11&gt;=CD$23,BZ11&lt;&gt;"",CA11&gt;=CD$27,CA11&lt;&gt;"",BY11=""),AND(CW11&gt;=DA$23,CW11&lt;&gt;"",CX11&gt;=DA$27,CX11&lt;&gt;""),AND(DR11&gt;=DV$23,DR11&lt;&gt;"",DS11&gt;=DV$27,DS11&lt;&gt;""),AND(EM11&gt;=EQ$23,EM11&lt;&gt;"",EN11&gt;=EQ$27,EN11&lt;&gt;""),AND(FH11&gt;=FL$23,FH11&lt;&gt;"",FI11&gt;=FL$27,FI11&lt;&gt;""),AND(GC11&gt;=GG$23,GC11&lt;&gt;"",GD11&gt;=GG$27,GD11&lt;&gt;""),AND(GX11&gt;=HB$23,GX11&lt;&gt;"",GY11&gt;=HB$27,GY11&lt;&gt;""),AND(HS11&gt;=HW$23,HS11&lt;&gt;"",HT11&gt;=HW$27,HT11&lt;&gt;""),AND(IN11&gt;=IR$23,IN11&lt;&gt;"",IO11&gt;=IR$27,IO11&lt;&gt;""),AND(JI11&gt;=JM$23,JI11&lt;&gt;"",JJ11&gt;=JM$27,JJ11&lt;&gt;""),AND(KD11&gt;=KH$23,KD11&lt;&gt;"",KE11&gt;=KH$27,KE11&lt;&gt;""),AND(KY11&gt;=LC$23,KY11&lt;&gt;"",KZ11&gt;=LC$27,KZ11&lt;&gt;""),AND(LT11&gt;=LX$23,LT11&lt;&gt;"",LU11&gt;=LX$27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127.6</v>
      </c>
      <c r="M11" s="14" t="str">
        <f>IF(L11=0,"",IF(AND(J11&lt;&gt;CA11,L11=CD11),$BI$1,IF(AND(J11&lt;&gt;BE11,L11=BH11),$AM$1,IF(L11=AL11,$Q$1,""))))</f>
        <v>2019 Nationals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27.8</v>
      </c>
      <c r="R11" s="61">
        <v>3.4</v>
      </c>
      <c r="S11" s="61">
        <v>0.3</v>
      </c>
      <c r="T11" s="61">
        <v>0</v>
      </c>
      <c r="U11" s="61">
        <v>28.2</v>
      </c>
      <c r="V11" s="61">
        <v>3.3</v>
      </c>
      <c r="W11" s="61">
        <v>0</v>
      </c>
      <c r="X11" s="61">
        <v>0</v>
      </c>
      <c r="Y11" s="61">
        <v>28.6</v>
      </c>
      <c r="Z11" s="61">
        <v>3.1</v>
      </c>
      <c r="AA11" s="61">
        <v>0</v>
      </c>
      <c r="AB11" s="61">
        <v>0</v>
      </c>
      <c r="AC11" s="61">
        <v>28.3</v>
      </c>
      <c r="AD11" s="61">
        <v>5.2</v>
      </c>
      <c r="AE11" s="61">
        <v>0</v>
      </c>
      <c r="AF11" s="61">
        <v>0</v>
      </c>
      <c r="AG11" s="72"/>
      <c r="AH11" s="11">
        <f>IF(SUM(R11,V11)&gt;0,SUM(R11,V11),"")</f>
        <v>6.6999999999999993</v>
      </c>
      <c r="AI11" s="11">
        <f>IF(SUM(Q11:R11,T11:V11,X11)-SUM(S11,W11)&gt;0,SUM(Q11:R11,T11:V11,X11)-SUM(S11,W11),"")</f>
        <v>62.4</v>
      </c>
      <c r="AJ11" s="11">
        <f>IF(SUM(Z11,AD11)&gt;0,SUM(Z11,AD11),"")</f>
        <v>8.3000000000000007</v>
      </c>
      <c r="AK11" s="11">
        <f>IF(SUM(Y11:Z11,AB11:AD11,AF11)-SUM(AA11,AE11)&gt;0,SUM(Y11:Z11,AB11:AD11,AF11)-SUM(AA11,AE11),"")</f>
        <v>65.2</v>
      </c>
      <c r="AL11" s="11">
        <f>IF(SUM(AI11,AK11)&gt;0,SUM(AI11,AK11),"")</f>
        <v>127.6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1">
        <v>27.3</v>
      </c>
      <c r="BJ11" s="61">
        <v>6</v>
      </c>
      <c r="BK11" s="61">
        <v>0.9</v>
      </c>
      <c r="BL11" s="61">
        <v>0</v>
      </c>
      <c r="BM11" s="61">
        <v>25.2</v>
      </c>
      <c r="BN11" s="61">
        <v>5.6</v>
      </c>
      <c r="BO11" s="61">
        <v>0.3</v>
      </c>
      <c r="BP11" s="61">
        <v>0</v>
      </c>
      <c r="BQ11" s="61">
        <v>27.1</v>
      </c>
      <c r="BR11" s="61">
        <v>4.8</v>
      </c>
      <c r="BS11" s="61">
        <v>0.3</v>
      </c>
      <c r="BT11" s="61">
        <v>0</v>
      </c>
      <c r="BU11" s="61">
        <v>27.4</v>
      </c>
      <c r="BV11" s="61">
        <v>4.8</v>
      </c>
      <c r="BW11" s="61">
        <v>0</v>
      </c>
      <c r="BX11" s="61">
        <v>0</v>
      </c>
      <c r="BY11" s="72"/>
      <c r="BZ11" s="11">
        <f>IF(SUM(BJ11,BN11)&gt;0,SUM(BJ11,BN11),"")</f>
        <v>11.6</v>
      </c>
      <c r="CA11" s="11">
        <f>IF(SUM(BI11:BJ11,BL11:BN11,BP11)-SUM(BK11,BO11)&gt;0,SUM(BI11:BJ11,BL11:BN11,BP11)-SUM(BK11,BO11),"")</f>
        <v>62.899999999999991</v>
      </c>
      <c r="CB11" s="11">
        <f>IF(SUM(BR11,BV11)&gt;0,SUM(BR11,BV11),"")</f>
        <v>9.6</v>
      </c>
      <c r="CC11" s="11">
        <f>IF(SUM(BQ11:BR11,BT11:BV11,BX11)-SUM(BS11,BW11)&gt;0,SUM(BQ11:BR11,BT11:BV11,BX11)-SUM(BS11,BW11),"")</f>
        <v>63.8</v>
      </c>
      <c r="CD11" s="11">
        <f>IF(SUM(CA11,CC11)&gt;0,SUM(CA11,CC11),"")</f>
        <v>126.69999999999999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13.65</v>
      </c>
      <c r="LZ11" s="61">
        <f>IF($BY11="P",BJ11,(BJ11+AN11)/2)</f>
        <v>3</v>
      </c>
      <c r="MA11" s="61">
        <f>IF($BY11="P",BK11,(BK11+AO11)/2)</f>
        <v>0.45</v>
      </c>
      <c r="MB11" s="61">
        <f>IF($BY11="P",BL11,(BL11+AP11)/2)</f>
        <v>0</v>
      </c>
      <c r="MC11" s="61">
        <f>IF($BY11="P",BM11,(BM11+AQ11)/2)</f>
        <v>12.6</v>
      </c>
      <c r="MD11" s="61">
        <f>IF($BY11="P",BN11,(BN11+AR11)/2)</f>
        <v>2.8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13.55</v>
      </c>
      <c r="MH11" s="61">
        <f>IF($BY11="P",BR11,(BR11+AV11)/2)</f>
        <v>2.4</v>
      </c>
      <c r="MI11" s="61">
        <f>IF($BY11="P",BS11,(BS11+AW11)/2)</f>
        <v>0.15</v>
      </c>
      <c r="MJ11" s="61">
        <f>IF($BY11="P",BT11,(BT11+AX11)/2)</f>
        <v>0</v>
      </c>
      <c r="MK11" s="61">
        <f>IF($BY11="P",BU11,(BU11+AY11)/2)</f>
        <v>13.7</v>
      </c>
      <c r="ML11" s="61">
        <f>IF($BY11="P",BV11,(BV11+AZ11)/2)</f>
        <v>2.4</v>
      </c>
      <c r="MM11" s="61">
        <f>IF($BY11="P",BW11,(BW11+BA11)/2)</f>
        <v>0</v>
      </c>
      <c r="MN11" s="61">
        <f>IF($BY11="P",BX11,(BX11+BB11)/2)</f>
        <v>0</v>
      </c>
      <c r="MO11" s="72" t="s">
        <v>52</v>
      </c>
      <c r="MP11" s="11">
        <f>IF(SUM(LZ11,MD11)&gt;0,SUM(LZ11,MD11),"")</f>
        <v>5.8</v>
      </c>
      <c r="MQ11" s="11">
        <f>IF(SUM(LY11:LZ11,MB11:MD11,MF11)-SUM(MA11,ME11)&gt;0,SUM(LY11:LZ11,MB11:MD11,MF11)-SUM(MA11,ME11),"")</f>
        <v>31.449999999999996</v>
      </c>
      <c r="MR11" s="11">
        <f>IF(SUM(MH11,ML11)&gt;0,SUM(MH11,ML11),"")</f>
        <v>4.8</v>
      </c>
      <c r="MS11" s="11">
        <f>IF(SUM(MG11:MH11,MJ11:ML11,MN11)-SUM(MI11,MM11)&gt;0,SUM(MG11:MH11,MJ11:ML11,MN11)-SUM(MI11,MM11),"")</f>
        <v>31.9</v>
      </c>
      <c r="MT11" s="11">
        <f>IF(SUM(MQ11,MS11)&gt;0,SUM(MQ11,MS11),"")</f>
        <v>63.349999999999994</v>
      </c>
    </row>
    <row r="12" spans="1:358" x14ac:dyDescent="0.2">
      <c r="A12" s="5" t="str">
        <f>IF(AND(F12="P",G12="P"),SUMPRODUCT((F$4:F$21="P")*(G$4:G$21="P")*(E$4:E$21&gt;E12))+1,IF(G12="P",SUMPRODUCT((F$4:F$21="")*(G$4:G$21="P")*(E$4:E$21&gt;E12))+1+SUMPRODUCT((F$4:F$21="P")*(G$4:G$21="P")),""))</f>
        <v/>
      </c>
      <c r="B12" s="8" t="s">
        <v>144</v>
      </c>
      <c r="C12" s="4" t="s">
        <v>4</v>
      </c>
      <c r="D12" s="5">
        <v>2001</v>
      </c>
      <c r="E12" s="15">
        <f>SUM(J12:N12)</f>
        <v>187.1</v>
      </c>
      <c r="F12" s="3" t="str">
        <f>IF(OR(AND(AH12&gt;=AL$23,AI12&gt;=AL$27,AI12&lt;&gt;"",AG12=""),AND(BD12&gt;=BH$23,BE12&gt;=BH$27,BE12&lt;&gt;"",BC12=""),AND(BZ12&gt;=CD$23,CA12&gt;=CD$27,CA12&lt;&gt;"",BY12=""),AND(CW12&gt;=DA$23,CX12&gt;=DA$27,CX12&lt;&gt;""),AND(DR12&gt;=DV$23,DS12&gt;=DV$27,DS12&lt;&gt;""),AND(EM12&gt;=EQ$23,EN12&gt;=EQ$27,EN12&lt;&gt;""),AND(FH12&gt;=FL$23,FI12&gt;=FL$27,FI12&lt;&gt;""),AND(GC12&gt;=GG$23,GD12&gt;=GG$27,GD12&lt;&gt;""),AND(GX12&gt;=HB$23,GY12&gt;=HB$27,GY12&lt;&gt;""),AND(HS12&gt;=HW$23,HT12&gt;=HW$27,HT12&lt;&gt;""),AND(IN12&gt;=IR$23,IO12&gt;=IR$27,IO12&lt;&gt;""),AND(JI12&gt;=JM$23,JJ12&gt;=JM$27,JJ12&lt;&gt;""),AND(KD12&gt;=KH$23,KE12&gt;=KH$27,KE12&lt;&gt;""),AND(KY12&gt;=LC$23,KZ12&gt;=LC$27,KZ12&lt;&gt;""),AND(LT12&gt;=LX$23,LU12&gt;=LX$27,LU12&lt;&gt;"")),"P","")</f>
        <v/>
      </c>
      <c r="G12" s="3" t="str">
        <f>IF(OR(AND(AI12&gt;=AL$27,AI12&lt;&gt;"",AG12=""),AND(BE12&gt;=BH$27,BE12&lt;&gt;"",BC12=""),AND(CA12&gt;=CD$27,CA12&lt;&gt;"",BY12=""),AND(CX12&gt;=DA$27,CX12&lt;&gt;""),AND(DS12&gt;=DV$27,DS12&lt;&gt;""),AND(EN12&gt;=EQ$27,EN12&lt;&gt;""),AND(FI12&gt;=FL$27,FI12&lt;&gt;""),AND(GD12&gt;=GG$27,GD12&lt;&gt;""),AND(GY12&gt;=HB$27,GY12&lt;&gt;""),AND(HT12&gt;=HW$27,HT12&lt;&gt;""),AND(IO12&gt;=IR$27,IO12&lt;&gt;""),AND(JJ12&gt;=JM$27,JJ12&lt;&gt;""),AND(KE12&gt;=KH$27,KE12&lt;&gt;""),AND(KZ12&gt;=LC$27,KZ12&lt;&gt;""),AND(LU12&gt;=LX$27,LU12&lt;&gt;"")),"P","")</f>
        <v/>
      </c>
      <c r="H12" s="116" t="str">
        <f>IF(AND(G12="P",F12=""),"No DD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Merit",IF(OR(AND(AH12&gt;=AL$25,AH12&lt;&gt;"",AI12&gt;=AL$29,AI12&lt;&gt;"",AG12=""),AND(BD12&gt;=BH$25,BD12&lt;&gt;"",BE12&gt;=BH$29,BE12&lt;&gt;"",BC12=""),AND(BZ12&gt;=CD$25,BZ12&lt;&gt;"",CA12&gt;=CD$29,CA12&lt;&gt;"",BY12=""),AND(CW12&gt;=DA$25,CW12&lt;&gt;"",CX12&gt;=DA$29,CX12&lt;&gt;""),AND(DR12&gt;=DV$25,DR12&lt;&gt;"",DS12&gt;=DV$29,DS12&lt;&gt;""),AND(EM12&gt;=EQ$25,EM12&lt;&gt;"",EN12&gt;=EQ$29,EN12&lt;&gt;""),AND(FH12&gt;=FL$25,FH12&lt;&gt;"",FI12&gt;=FL$29,FI12&lt;&gt;""),AND(GC12&gt;=GG$25,GC12&lt;&gt;"",GD12&gt;=GG$29,GD12&lt;&gt;""),AND(GX12&gt;=HB$25,GX12&lt;&gt;"",GY12&gt;=HB$29,GY12&lt;&gt;""),AND(HS12&gt;=HW$25,HS12&lt;&gt;"",HT12&gt;=HW$29,HT12&lt;&gt;""),AND(IN12&gt;=IR$25,IN12&lt;&gt;"",IO12&gt;=IR$29,IO12&lt;&gt;""),AND(JI12&gt;=JM$25,JI12&lt;&gt;"",JJ12&gt;=JM$29,JJ12&lt;&gt;""),AND(KD12&gt;=KH$25,KD12&lt;&gt;"",KE12&gt;=KH$29,KE12&lt;&gt;""),AND(KY12&gt;=LC$25,KY12&lt;&gt;"",KZ12&gt;=LC$29,KZ12&lt;&gt;""),AND(LT12&gt;=LX$25,LT12&lt;&gt;"",LU12&gt;=LX$29,LU12&lt;&gt;"")),"Excellence",IF(OR(AND(AH12&gt;=AL$24,AH12&lt;&gt;"",AI12&gt;=AL$28,AI12&lt;&gt;"",AG12=""),AND(BD12&gt;=BH$24,BD12&lt;&gt;"",BE12&gt;=BH$28,BE12&lt;&gt;"",BC12=""),AND(BZ12&gt;=CD$24,BZ12&lt;&gt;"",CA12&gt;=CD$28,CA12&lt;&gt;"",BY12=""),AND(CW12&gt;=DA$24,CW12&lt;&gt;"",CX12&gt;=DA$28,CX12&lt;&gt;""),AND(DR12&gt;=DV$24,DR12&lt;&gt;"",DS12&gt;=DV$28,DS12&lt;&gt;""),AND(EM12&gt;=EQ$24,EM12&lt;&gt;"",EN12&gt;=EQ$28,EN12&lt;&gt;""),AND(FH12&gt;=FL$24,FH12&lt;&gt;"",FI12&gt;=FL$28,FI12&lt;&gt;""),AND(GC12&gt;=GG$24,GC12&lt;&gt;"",GD12&gt;=GG$28,GD12&lt;&gt;""),AND(GX12&gt;=HB$24,GX12&lt;&gt;"",GY12&gt;=HB$28,GY12&lt;&gt;""),AND(HS12&gt;=HW$24,HS12&lt;&gt;"",HT12&gt;=HW$28,HT12&lt;&gt;""),AND(IN12&gt;=IR$24,IN12&lt;&gt;"",IO12&gt;=IR$28,IO12&lt;&gt;""),AND(JI12&gt;=JM$24,JI12&lt;&gt;"",JJ12&gt;=JM$28,JJ12&lt;&gt;""),AND(KD12&gt;=KH$24,KD12&lt;&gt;"",KE12&gt;=KH$28,KE12&lt;&gt;""),AND(KY12&gt;=LC$24,KY12&lt;&gt;"",KZ12&gt;=LC$28,KZ12&lt;&gt;""),AND(LT12&gt;=LX$24,LT12&lt;&gt;"",LU12&gt;=LX$28,LU12&lt;&gt;"")),"Worlds Team",IF(OR(AND(AH12&gt;=AL$23,AH12&lt;&gt;"",AI12&gt;=AL$27,AI12&lt;&gt;"",AG12=""),AND(BD12&gt;=BH$23,BD12&lt;&gt;"",BE12&gt;=BH$27,BE12&lt;&gt;"",BC12=""),AND(BZ12&gt;=CD$23,BZ12&lt;&gt;"",CA12&gt;=CD$27,CA12&lt;&gt;"",BY12=""),AND(CW12&gt;=DA$23,CW12&lt;&gt;"",CX12&gt;=DA$27,CX12&lt;&gt;""),AND(DR12&gt;=DV$23,DR12&lt;&gt;"",DS12&gt;=DV$27,DS12&lt;&gt;""),AND(EM12&gt;=EQ$23,EM12&lt;&gt;"",EN12&gt;=EQ$27,EN12&lt;&gt;""),AND(FH12&gt;=FL$23,FH12&lt;&gt;"",FI12&gt;=FL$27,FI12&lt;&gt;""),AND(GC12&gt;=GG$23,GC12&lt;&gt;"",GD12&gt;=GG$27,GD12&lt;&gt;""),AND(GX12&gt;=HB$23,GX12&lt;&gt;"",GY12&gt;=HB$27,GY12&lt;&gt;""),AND(HS12&gt;=HW$23,HS12&lt;&gt;"",HT12&gt;=HW$27,HT12&lt;&gt;""),AND(IN12&gt;=IR$23,IN12&lt;&gt;"",IO12&gt;=IR$27,IO12&lt;&gt;""),AND(JI12&gt;=JM$23,JI12&lt;&gt;"",JJ12&gt;=JM$27,JJ12&lt;&gt;""),AND(KD12&gt;=KH$23,KD12&lt;&gt;"",KE12&gt;=KH$27,KE12&lt;&gt;""),AND(KY12&gt;=LC$23,KY12&lt;&gt;"",KZ12&gt;=LC$27,KZ12&lt;&gt;""),AND(LT12&gt;=LX$23,LT12&lt;&gt;"",LU12&gt;=LX$27,LU12&lt;&gt;"")),"National Team","")))))</f>
        <v/>
      </c>
      <c r="I12" s="3" t="str">
        <f>IF(OR(H12="Worlds Team",H12="Excellence",H12="Merit"),"P","")</f>
        <v/>
      </c>
      <c r="J12" s="14">
        <f>MAX(AI12,BE12,CA12)</f>
        <v>62.6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124.5</v>
      </c>
      <c r="M12" s="14" t="str">
        <f>IF(L12=0,"",IF(AND(J12&lt;&gt;CA12,L12=CD12),$BI$1,IF(AND(J12&lt;&gt;BE12,L12=BH12),$AM$1,IF(L12=AL12,$Q$1,""))))</f>
        <v>2019 Nationals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>
        <v>26.4</v>
      </c>
      <c r="R12" s="61">
        <v>4.4000000000000004</v>
      </c>
      <c r="S12" s="61">
        <v>0.3</v>
      </c>
      <c r="T12" s="61">
        <v>0</v>
      </c>
      <c r="U12" s="61">
        <v>28.2</v>
      </c>
      <c r="V12" s="61">
        <v>3.5</v>
      </c>
      <c r="W12" s="61">
        <v>0</v>
      </c>
      <c r="X12" s="61">
        <v>0</v>
      </c>
      <c r="Y12" s="61">
        <v>27.5</v>
      </c>
      <c r="Z12" s="61">
        <v>3.7</v>
      </c>
      <c r="AA12" s="61">
        <v>0.9</v>
      </c>
      <c r="AB12" s="61">
        <v>0</v>
      </c>
      <c r="AC12" s="61">
        <v>28</v>
      </c>
      <c r="AD12" s="61">
        <v>4</v>
      </c>
      <c r="AE12" s="61">
        <v>0</v>
      </c>
      <c r="AF12" s="61">
        <v>0</v>
      </c>
      <c r="AG12" s="72"/>
      <c r="AH12" s="11">
        <f>IF(SUM(R12,V12)&gt;0,SUM(R12,V12),"")</f>
        <v>7.9</v>
      </c>
      <c r="AI12" s="11">
        <f>IF(SUM(Q12:R12,T12:V12,X12)-SUM(S12,W12)&gt;0,SUM(Q12:R12,T12:V12,X12)-SUM(S12,W12),"")</f>
        <v>62.2</v>
      </c>
      <c r="AJ12" s="11">
        <f>IF(SUM(Z12,AD12)&gt;0,SUM(Z12,AD12),"")</f>
        <v>7.7</v>
      </c>
      <c r="AK12" s="11">
        <f>IF(SUM(Y12:Z12,AB12:AD12,AF12)-SUM(AA12,AE12)&gt;0,SUM(Y12:Z12,AB12:AD12,AF12)-SUM(AA12,AE12),"")</f>
        <v>62.300000000000004</v>
      </c>
      <c r="AL12" s="11">
        <f>IF(SUM(AI12,AK12)&gt;0,SUM(AI12,AK12),"")</f>
        <v>124.5</v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1">
        <v>26.9</v>
      </c>
      <c r="BJ12" s="61">
        <v>5.2</v>
      </c>
      <c r="BK12" s="61">
        <v>0.3</v>
      </c>
      <c r="BL12" s="61">
        <v>0</v>
      </c>
      <c r="BM12" s="61">
        <v>26.5</v>
      </c>
      <c r="BN12" s="61">
        <v>5.2</v>
      </c>
      <c r="BO12" s="61">
        <v>0.9</v>
      </c>
      <c r="BP12" s="61">
        <v>0</v>
      </c>
      <c r="BQ12" s="61">
        <v>27.6</v>
      </c>
      <c r="BR12" s="61">
        <v>4.4000000000000004</v>
      </c>
      <c r="BS12" s="61">
        <v>0.3</v>
      </c>
      <c r="BT12" s="61">
        <v>0</v>
      </c>
      <c r="BU12" s="61">
        <v>27.6</v>
      </c>
      <c r="BV12" s="61">
        <v>3.9</v>
      </c>
      <c r="BW12" s="61">
        <v>0</v>
      </c>
      <c r="BX12" s="61">
        <v>0</v>
      </c>
      <c r="BY12" s="72"/>
      <c r="BZ12" s="11">
        <f>IF(SUM(BJ12,BN12)&gt;0,SUM(BJ12,BN12),"")</f>
        <v>10.4</v>
      </c>
      <c r="CA12" s="11">
        <f>IF(SUM(BI12:BJ12,BL12:BN12,BP12)-SUM(BK12,BO12)&gt;0,SUM(BI12:BJ12,BL12:BN12,BP12)-SUM(BK12,BO12),"")</f>
        <v>62.6</v>
      </c>
      <c r="CB12" s="11">
        <f>IF(SUM(BR12,BV12)&gt;0,SUM(BR12,BV12),"")</f>
        <v>8.3000000000000007</v>
      </c>
      <c r="CC12" s="11">
        <f>IF(SUM(BQ12:BR12,BT12:BV12,BX12)-SUM(BS12,BW12)&gt;0,SUM(BQ12:BR12,BT12:BV12,BX12)-SUM(BS12,BW12),"")</f>
        <v>63.2</v>
      </c>
      <c r="CD12" s="11">
        <f>IF(SUM(CA12,CC12)&gt;0,SUM(CA12,CC12),"")</f>
        <v>125.80000000000001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13.45</v>
      </c>
      <c r="LZ12" s="61">
        <f>IF($BY12="P",BJ12,(BJ12+AN12)/2)</f>
        <v>2.6</v>
      </c>
      <c r="MA12" s="61">
        <f>IF($BY12="P",BK12,(BK12+AO12)/2)</f>
        <v>0.15</v>
      </c>
      <c r="MB12" s="61">
        <f>IF($BY12="P",BL12,(BL12+AP12)/2)</f>
        <v>0</v>
      </c>
      <c r="MC12" s="61">
        <f>IF($BY12="P",BM12,(BM12+AQ12)/2)</f>
        <v>13.25</v>
      </c>
      <c r="MD12" s="61">
        <f>IF($BY12="P",BN12,(BN12+AR12)/2)</f>
        <v>2.6</v>
      </c>
      <c r="ME12" s="61">
        <f>IF($BY12="P",BO12,(BO12+AS12)/2)</f>
        <v>0.45</v>
      </c>
      <c r="MF12" s="61">
        <f>IF($BY12="P",BP12,(BP12+AT12)/2)</f>
        <v>0</v>
      </c>
      <c r="MG12" s="61">
        <f>IF($BY12="P",BQ12,(BQ12+AU12)/2)</f>
        <v>13.8</v>
      </c>
      <c r="MH12" s="61">
        <f>IF($BY12="P",BR12,(BR12+AV12)/2)</f>
        <v>2.2000000000000002</v>
      </c>
      <c r="MI12" s="61">
        <f>IF($BY12="P",BS12,(BS12+AW12)/2)</f>
        <v>0.15</v>
      </c>
      <c r="MJ12" s="61">
        <f>IF($BY12="P",BT12,(BT12+AX12)/2)</f>
        <v>0</v>
      </c>
      <c r="MK12" s="61">
        <f>IF($BY12="P",BU12,(BU12+AY12)/2)</f>
        <v>13.8</v>
      </c>
      <c r="ML12" s="61">
        <f>IF($BY12="P",BV12,(BV12+AZ12)/2)</f>
        <v>1.95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5.2</v>
      </c>
      <c r="MQ12" s="11">
        <f>IF(SUM(LY12:LZ12,MB12:MD12,MF12)-SUM(MA12,ME12)&gt;0,SUM(LY12:LZ12,MB12:MD12,MF12)-SUM(MA12,ME12),"")</f>
        <v>31.3</v>
      </c>
      <c r="MR12" s="11">
        <f>IF(SUM(MH12,ML12)&gt;0,SUM(MH12,ML12),"")</f>
        <v>4.1500000000000004</v>
      </c>
      <c r="MS12" s="11">
        <f>IF(SUM(MG12:MH12,MJ12:ML12,MN12)-SUM(MI12,MM12)&gt;0,SUM(MG12:MH12,MJ12:ML12,MN12)-SUM(MI12,MM12),"")</f>
        <v>31.6</v>
      </c>
      <c r="MT12" s="11">
        <f>IF(SUM(MQ12,MS12)&gt;0,SUM(MQ12,MS12),"")</f>
        <v>62.900000000000006</v>
      </c>
    </row>
    <row r="13" spans="1:358" x14ac:dyDescent="0.2">
      <c r="A13" s="5" t="str">
        <f>IF(AND(F13="P",G13="P"),SUMPRODUCT((F$4:F$21="P")*(G$4:G$21="P")*(E$4:E$21&gt;E13))+1,IF(G13="P",SUMPRODUCT((F$4:F$21="")*(G$4:G$21="P")*(E$4:E$21&gt;E13))+1+SUMPRODUCT((F$4:F$21="P")*(G$4:G$21="P")),""))</f>
        <v/>
      </c>
      <c r="B13" s="8" t="s">
        <v>121</v>
      </c>
      <c r="C13" s="4" t="s">
        <v>5</v>
      </c>
      <c r="D13" s="5">
        <v>2001</v>
      </c>
      <c r="E13" s="15">
        <f>SUM(J13:N13)</f>
        <v>185.3</v>
      </c>
      <c r="F13" s="3" t="str">
        <f>IF(OR(AND(AH13&gt;=AL$23,AI13&gt;=AL$27,AI13&lt;&gt;"",AG13=""),AND(BD13&gt;=BH$23,BE13&gt;=BH$27,BE13&lt;&gt;"",BC13=""),AND(BZ13&gt;=CD$23,CA13&gt;=CD$27,CA13&lt;&gt;"",BY13=""),AND(CW13&gt;=DA$23,CX13&gt;=DA$27,CX13&lt;&gt;""),AND(DR13&gt;=DV$23,DS13&gt;=DV$27,DS13&lt;&gt;""),AND(EM13&gt;=EQ$23,EN13&gt;=EQ$27,EN13&lt;&gt;""),AND(FH13&gt;=FL$23,FI13&gt;=FL$27,FI13&lt;&gt;""),AND(GC13&gt;=GG$23,GD13&gt;=GG$27,GD13&lt;&gt;""),AND(GX13&gt;=HB$23,GY13&gt;=HB$27,GY13&lt;&gt;""),AND(HS13&gt;=HW$23,HT13&gt;=HW$27,HT13&lt;&gt;""),AND(IN13&gt;=IR$23,IO13&gt;=IR$27,IO13&lt;&gt;""),AND(JI13&gt;=JM$23,JJ13&gt;=JM$27,JJ13&lt;&gt;""),AND(KD13&gt;=KH$23,KE13&gt;=KH$27,KE13&lt;&gt;""),AND(KY13&gt;=LC$23,KZ13&gt;=LC$27,KZ13&lt;&gt;""),AND(LT13&gt;=LX$23,LU13&gt;=LX$27,LU13&lt;&gt;"")),"P","")</f>
        <v/>
      </c>
      <c r="G13" s="3" t="str">
        <f>IF(OR(AND(AI13&gt;=AL$27,AI13&lt;&gt;"",AG13=""),AND(BE13&gt;=BH$27,BE13&lt;&gt;"",BC13=""),AND(CA13&gt;=CD$27,CA13&lt;&gt;"",BY13=""),AND(CX13&gt;=DA$27,CX13&lt;&gt;""),AND(DS13&gt;=DV$27,DS13&lt;&gt;""),AND(EN13&gt;=EQ$27,EN13&lt;&gt;""),AND(FI13&gt;=FL$27,FI13&lt;&gt;""),AND(GD13&gt;=GG$27,GD13&lt;&gt;""),AND(GY13&gt;=HB$27,GY13&lt;&gt;""),AND(HT13&gt;=HW$27,HT13&lt;&gt;""),AND(IO13&gt;=IR$27,IO13&lt;&gt;""),AND(JJ13&gt;=JM$27,JJ13&lt;&gt;""),AND(KE13&gt;=KH$27,KE13&lt;&gt;""),AND(KZ13&gt;=LC$27,KZ13&lt;&gt;""),AND(LU13&gt;=LX$27,LU13&lt;&gt;"")),"P","")</f>
        <v/>
      </c>
      <c r="H13" s="116" t="str">
        <f>IF(AND(G13="P",F13=""),"No DD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Merit",IF(OR(AND(AH13&gt;=AL$25,AH13&lt;&gt;"",AI13&gt;=AL$29,AI13&lt;&gt;"",AG13=""),AND(BD13&gt;=BH$25,BD13&lt;&gt;"",BE13&gt;=BH$29,BE13&lt;&gt;"",BC13=""),AND(BZ13&gt;=CD$25,BZ13&lt;&gt;"",CA13&gt;=CD$29,CA13&lt;&gt;"",BY13=""),AND(CW13&gt;=DA$25,CW13&lt;&gt;"",CX13&gt;=DA$29,CX13&lt;&gt;""),AND(DR13&gt;=DV$25,DR13&lt;&gt;"",DS13&gt;=DV$29,DS13&lt;&gt;""),AND(EM13&gt;=EQ$25,EM13&lt;&gt;"",EN13&gt;=EQ$29,EN13&lt;&gt;""),AND(FH13&gt;=FL$25,FH13&lt;&gt;"",FI13&gt;=FL$29,FI13&lt;&gt;""),AND(GC13&gt;=GG$25,GC13&lt;&gt;"",GD13&gt;=GG$29,GD13&lt;&gt;""),AND(GX13&gt;=HB$25,GX13&lt;&gt;"",GY13&gt;=HB$29,GY13&lt;&gt;""),AND(HS13&gt;=HW$25,HS13&lt;&gt;"",HT13&gt;=HW$29,HT13&lt;&gt;""),AND(IN13&gt;=IR$25,IN13&lt;&gt;"",IO13&gt;=IR$29,IO13&lt;&gt;""),AND(JI13&gt;=JM$25,JI13&lt;&gt;"",JJ13&gt;=JM$29,JJ13&lt;&gt;""),AND(KD13&gt;=KH$25,KD13&lt;&gt;"",KE13&gt;=KH$29,KE13&lt;&gt;""),AND(KY13&gt;=LC$25,KY13&lt;&gt;"",KZ13&gt;=LC$29,KZ13&lt;&gt;""),AND(LT13&gt;=LX$25,LT13&lt;&gt;"",LU13&gt;=LX$29,LU13&lt;&gt;"")),"Excellence",IF(OR(AND(AH13&gt;=AL$24,AH13&lt;&gt;"",AI13&gt;=AL$28,AI13&lt;&gt;"",AG13=""),AND(BD13&gt;=BH$24,BD13&lt;&gt;"",BE13&gt;=BH$28,BE13&lt;&gt;"",BC13=""),AND(BZ13&gt;=CD$24,BZ13&lt;&gt;"",CA13&gt;=CD$28,CA13&lt;&gt;"",BY13=""),AND(CW13&gt;=DA$24,CW13&lt;&gt;"",CX13&gt;=DA$28,CX13&lt;&gt;""),AND(DR13&gt;=DV$24,DR13&lt;&gt;"",DS13&gt;=DV$28,DS13&lt;&gt;""),AND(EM13&gt;=EQ$24,EM13&lt;&gt;"",EN13&gt;=EQ$28,EN13&lt;&gt;""),AND(FH13&gt;=FL$24,FH13&lt;&gt;"",FI13&gt;=FL$28,FI13&lt;&gt;""),AND(GC13&gt;=GG$24,GC13&lt;&gt;"",GD13&gt;=GG$28,GD13&lt;&gt;""),AND(GX13&gt;=HB$24,GX13&lt;&gt;"",GY13&gt;=HB$28,GY13&lt;&gt;""),AND(HS13&gt;=HW$24,HS13&lt;&gt;"",HT13&gt;=HW$28,HT13&lt;&gt;""),AND(IN13&gt;=IR$24,IN13&lt;&gt;"",IO13&gt;=IR$28,IO13&lt;&gt;""),AND(JI13&gt;=JM$24,JI13&lt;&gt;"",JJ13&gt;=JM$28,JJ13&lt;&gt;""),AND(KD13&gt;=KH$24,KD13&lt;&gt;"",KE13&gt;=KH$28,KE13&lt;&gt;""),AND(KY13&gt;=LC$24,KY13&lt;&gt;"",KZ13&gt;=LC$28,KZ13&lt;&gt;""),AND(LT13&gt;=LX$24,LT13&lt;&gt;"",LU13&gt;=LX$28,LU13&lt;&gt;"")),"Worlds Team",IF(OR(AND(AH13&gt;=AL$23,AH13&lt;&gt;"",AI13&gt;=AL$27,AI13&lt;&gt;"",AG13=""),AND(BD13&gt;=BH$23,BD13&lt;&gt;"",BE13&gt;=BH$27,BE13&lt;&gt;"",BC13=""),AND(BZ13&gt;=CD$23,BZ13&lt;&gt;"",CA13&gt;=CD$27,CA13&lt;&gt;"",BY13=""),AND(CW13&gt;=DA$23,CW13&lt;&gt;"",CX13&gt;=DA$27,CX13&lt;&gt;""),AND(DR13&gt;=DV$23,DR13&lt;&gt;"",DS13&gt;=DV$27,DS13&lt;&gt;""),AND(EM13&gt;=EQ$23,EM13&lt;&gt;"",EN13&gt;=EQ$27,EN13&lt;&gt;""),AND(FH13&gt;=FL$23,FH13&lt;&gt;"",FI13&gt;=FL$27,FI13&lt;&gt;""),AND(GC13&gt;=GG$23,GC13&lt;&gt;"",GD13&gt;=GG$27,GD13&lt;&gt;""),AND(GX13&gt;=HB$23,GX13&lt;&gt;"",GY13&gt;=HB$27,GY13&lt;&gt;""),AND(HS13&gt;=HW$23,HS13&lt;&gt;"",HT13&gt;=HW$27,HT13&lt;&gt;""),AND(IN13&gt;=IR$23,IN13&lt;&gt;"",IO13&gt;=IR$27,IO13&lt;&gt;""),AND(JI13&gt;=JM$23,JI13&lt;&gt;"",JJ13&gt;=JM$27,JJ13&lt;&gt;""),AND(KD13&gt;=KH$23,KD13&lt;&gt;"",KE13&gt;=KH$27,KE13&lt;&gt;""),AND(KY13&gt;=LC$23,KY13&lt;&gt;"",KZ13&gt;=LC$27,KZ13&lt;&gt;""),AND(LT13&gt;=LX$23,LT13&lt;&gt;"",LU13&gt;=LX$27,LU13&lt;&gt;"")),"National Team","")))))</f>
        <v/>
      </c>
      <c r="I13" s="3" t="str">
        <f>IF(OR(H13="Worlds Team",H13="Excellence",H13="Merit"),"P","")</f>
        <v/>
      </c>
      <c r="J13" s="14">
        <f>MAX(AI13,BE13,CA13)</f>
        <v>62.2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123.10000000000001</v>
      </c>
      <c r="M13" s="14" t="str">
        <f>IF(L13=0,"",IF(AND(J13&lt;&gt;CA13,L13=CD13),$BI$1,IF(AND(J13&lt;&gt;BE13,L13=BH13),$AM$1,IF(L13=AL13,$Q$1,""))))</f>
        <v>2021 1st Virtual Technical Trial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>
        <v>26.6</v>
      </c>
      <c r="AN13" s="36">
        <v>4.4000000000000004</v>
      </c>
      <c r="AO13" s="36">
        <v>0.3</v>
      </c>
      <c r="AP13" s="36">
        <v>0</v>
      </c>
      <c r="AQ13" s="36">
        <v>28.2</v>
      </c>
      <c r="AR13" s="36">
        <v>3.1</v>
      </c>
      <c r="AS13" s="36">
        <v>0.3</v>
      </c>
      <c r="AT13" s="36">
        <v>0</v>
      </c>
      <c r="AU13" s="36">
        <v>26.6</v>
      </c>
      <c r="AV13" s="36">
        <v>4.8</v>
      </c>
      <c r="AW13" s="36">
        <v>0.3</v>
      </c>
      <c r="AX13" s="36">
        <v>0</v>
      </c>
      <c r="AY13" s="36">
        <v>27</v>
      </c>
      <c r="AZ13" s="36">
        <v>3.6</v>
      </c>
      <c r="BA13" s="36">
        <v>0.3</v>
      </c>
      <c r="BB13" s="36">
        <v>0</v>
      </c>
      <c r="BC13" s="73"/>
      <c r="BD13" s="14">
        <f>IF(SUM(AN13,AR13)&gt;0,SUM(AN13,AR13),"")</f>
        <v>7.5</v>
      </c>
      <c r="BE13" s="14">
        <f>IF(SUM(AM13:AN13,AP13:AR13,AT13)-SUM(AO13,AS13)&gt;0,SUM(AM13:AN13,AP13:AR13,AT13)-SUM(AO13,AS13),"")</f>
        <v>61.7</v>
      </c>
      <c r="BF13" s="14">
        <f>IF(SUM(AV13,AZ13)&gt;0,SUM(AV13,AZ13),"")</f>
        <v>8.4</v>
      </c>
      <c r="BG13" s="14">
        <f>IF(SUM(AU13:AV13,AX13:AZ13,BB13)-SUM(AW13,BA13)&gt;0,SUM(AU13:AV13,AX13:AZ13,BB13)-SUM(AW13,BA13),"")</f>
        <v>61.400000000000006</v>
      </c>
      <c r="BH13" s="14">
        <f>IF(SUM(BE13,BG13)&gt;0,SUM(BE13,BG13),"")</f>
        <v>123.10000000000001</v>
      </c>
      <c r="BI13" s="61">
        <v>27.3</v>
      </c>
      <c r="BJ13" s="61">
        <v>4.4000000000000004</v>
      </c>
      <c r="BK13" s="61">
        <v>1.2</v>
      </c>
      <c r="BL13" s="61">
        <v>0</v>
      </c>
      <c r="BM13" s="61">
        <v>28.2</v>
      </c>
      <c r="BN13" s="61">
        <v>3.5</v>
      </c>
      <c r="BO13" s="61">
        <v>0</v>
      </c>
      <c r="BP13" s="61">
        <v>0</v>
      </c>
      <c r="BQ13" s="61">
        <v>27.3</v>
      </c>
      <c r="BR13" s="61">
        <v>4.8</v>
      </c>
      <c r="BS13" s="61">
        <v>0</v>
      </c>
      <c r="BT13" s="61">
        <v>0</v>
      </c>
      <c r="BU13" s="61">
        <v>28.2</v>
      </c>
      <c r="BV13" s="61">
        <v>1.8</v>
      </c>
      <c r="BW13" s="61">
        <v>4.2</v>
      </c>
      <c r="BX13" s="61">
        <v>0</v>
      </c>
      <c r="BY13" s="72"/>
      <c r="BZ13" s="11">
        <f>IF(SUM(BJ13,BN13)&gt;0,SUM(BJ13,BN13),"")</f>
        <v>7.9</v>
      </c>
      <c r="CA13" s="11">
        <f>IF(SUM(BI13:BJ13,BL13:BN13,BP13)-SUM(BK13,BO13)&gt;0,SUM(BI13:BJ13,BL13:BN13,BP13)-SUM(BK13,BO13),"")</f>
        <v>62.2</v>
      </c>
      <c r="CB13" s="11">
        <f>IF(SUM(BR13,BV13)&gt;0,SUM(BR13,BV13),"")</f>
        <v>6.6</v>
      </c>
      <c r="CC13" s="11">
        <f>IF(SUM(BQ13:BR13,BT13:BV13,BX13)-SUM(BS13,BW13)&gt;0,SUM(BQ13:BR13,BT13:BV13,BX13)-SUM(BS13,BW13),"")</f>
        <v>57.899999999999991</v>
      </c>
      <c r="CD13" s="11">
        <f>IF(SUM(CA13,CC13)&gt;0,SUM(CA13,CC13),"")</f>
        <v>120.1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26.950000000000003</v>
      </c>
      <c r="LZ13" s="61">
        <f>IF($BY13="P",BJ13,(BJ13+AN13)/2)</f>
        <v>4.4000000000000004</v>
      </c>
      <c r="MA13" s="61">
        <f>IF($BY13="P",BK13,(BK13+AO13)/2)</f>
        <v>0.75</v>
      </c>
      <c r="MB13" s="61">
        <f>IF($BY13="P",BL13,(BL13+AP13)/2)</f>
        <v>0</v>
      </c>
      <c r="MC13" s="61">
        <f>IF($BY13="P",BM13,(BM13+AQ13)/2)</f>
        <v>28.2</v>
      </c>
      <c r="MD13" s="61">
        <f>IF($BY13="P",BN13,(BN13+AR13)/2)</f>
        <v>3.3</v>
      </c>
      <c r="ME13" s="61">
        <f>IF($BY13="P",BO13,(BO13+AS13)/2)</f>
        <v>0.15</v>
      </c>
      <c r="MF13" s="61">
        <f>IF($BY13="P",BP13,(BP13+AT13)/2)</f>
        <v>0</v>
      </c>
      <c r="MG13" s="61">
        <f>IF($BY13="P",BQ13,(BQ13+AU13)/2)</f>
        <v>26.950000000000003</v>
      </c>
      <c r="MH13" s="61">
        <f>IF($BY13="P",BR13,(BR13+AV13)/2)</f>
        <v>4.8</v>
      </c>
      <c r="MI13" s="61">
        <f>IF($BY13="P",BS13,(BS13+AW13)/2)</f>
        <v>0.15</v>
      </c>
      <c r="MJ13" s="61">
        <f>IF($BY13="P",BT13,(BT13+AX13)/2)</f>
        <v>0</v>
      </c>
      <c r="MK13" s="61">
        <f>IF($BY13="P",BU13,(BU13+AY13)/2)</f>
        <v>27.6</v>
      </c>
      <c r="ML13" s="61">
        <f>IF($BY13="P",BV13,(BV13+AZ13)/2)</f>
        <v>2.7</v>
      </c>
      <c r="MM13" s="61">
        <f>IF($BY13="P",BW13,(BW13+BA13)/2)</f>
        <v>2.25</v>
      </c>
      <c r="MN13" s="61">
        <f>IF($BY13="P",BX13,(BX13+BB13)/2)</f>
        <v>0</v>
      </c>
      <c r="MO13" s="72" t="s">
        <v>52</v>
      </c>
      <c r="MP13" s="11">
        <f>IF(SUM(LZ13,MD13)&gt;0,SUM(LZ13,MD13),"")</f>
        <v>7.7</v>
      </c>
      <c r="MQ13" s="11">
        <f>IF(SUM(LY13:LZ13,MB13:MD13,MF13)-SUM(MA13,ME13)&gt;0,SUM(LY13:LZ13,MB13:MD13,MF13)-SUM(MA13,ME13),"")</f>
        <v>61.949999999999996</v>
      </c>
      <c r="MR13" s="11">
        <f>IF(SUM(MH13,ML13)&gt;0,SUM(MH13,ML13),"")</f>
        <v>7.5</v>
      </c>
      <c r="MS13" s="11">
        <f>IF(SUM(MG13:MH13,MJ13:ML13,MN13)-SUM(MI13,MM13)&gt;0,SUM(MG13:MH13,MJ13:ML13,MN13)-SUM(MI13,MM13),"")</f>
        <v>59.650000000000013</v>
      </c>
      <c r="MT13" s="11">
        <f>IF(SUM(MQ13,MS13)&gt;0,SUM(MQ13,MS13),"")</f>
        <v>121.60000000000001</v>
      </c>
    </row>
    <row r="14" spans="1:358" x14ac:dyDescent="0.2">
      <c r="A14" s="5" t="str">
        <f>IF(AND(F14="P",G14="P"),SUMPRODUCT((F$4:F$21="P")*(G$4:G$21="P")*(E$4:E$21&gt;E14))+1,IF(G14="P",SUMPRODUCT((F$4:F$21="")*(G$4:G$21="P")*(E$4:E$21&gt;E14))+1+SUMPRODUCT((F$4:F$21="P")*(G$4:G$21="P")),""))</f>
        <v/>
      </c>
      <c r="B14" s="8" t="s">
        <v>140</v>
      </c>
      <c r="C14" s="4" t="s">
        <v>5</v>
      </c>
      <c r="D14" s="5">
        <v>2003</v>
      </c>
      <c r="E14" s="15">
        <f>SUM(J14:N14)</f>
        <v>181.7</v>
      </c>
      <c r="F14" s="3" t="str">
        <f>IF(OR(AND(AH14&gt;=AL$23,AI14&gt;=AL$27,AI14&lt;&gt;"",AG14=""),AND(BD14&gt;=BH$23,BE14&gt;=BH$27,BE14&lt;&gt;"",BC14=""),AND(BZ14&gt;=CD$23,CA14&gt;=CD$27,CA14&lt;&gt;"",BY14=""),AND(CW14&gt;=DA$23,CX14&gt;=DA$27,CX14&lt;&gt;""),AND(DR14&gt;=DV$23,DS14&gt;=DV$27,DS14&lt;&gt;""),AND(EM14&gt;=EQ$23,EN14&gt;=EQ$27,EN14&lt;&gt;""),AND(FH14&gt;=FL$23,FI14&gt;=FL$27,FI14&lt;&gt;""),AND(GC14&gt;=GG$23,GD14&gt;=GG$27,GD14&lt;&gt;""),AND(GX14&gt;=HB$23,GY14&gt;=HB$27,GY14&lt;&gt;""),AND(HS14&gt;=HW$23,HT14&gt;=HW$27,HT14&lt;&gt;""),AND(IN14&gt;=IR$23,IO14&gt;=IR$27,IO14&lt;&gt;""),AND(JI14&gt;=JM$23,JJ14&gt;=JM$27,JJ14&lt;&gt;""),AND(KD14&gt;=KH$23,KE14&gt;=KH$27,KE14&lt;&gt;""),AND(KY14&gt;=LC$23,KZ14&gt;=LC$27,KZ14&lt;&gt;""),AND(LT14&gt;=LX$23,LU14&gt;=LX$27,LU14&lt;&gt;"")),"P","")</f>
        <v/>
      </c>
      <c r="G14" s="3" t="str">
        <f>IF(OR(AND(AI14&gt;=AL$27,AI14&lt;&gt;"",AG14=""),AND(BE14&gt;=BH$27,BE14&lt;&gt;"",BC14=""),AND(CA14&gt;=CD$27,CA14&lt;&gt;"",BY14=""),AND(CX14&gt;=DA$27,CX14&lt;&gt;""),AND(DS14&gt;=DV$27,DS14&lt;&gt;""),AND(EN14&gt;=EQ$27,EN14&lt;&gt;""),AND(FI14&gt;=FL$27,FI14&lt;&gt;""),AND(GD14&gt;=GG$27,GD14&lt;&gt;""),AND(GY14&gt;=HB$27,GY14&lt;&gt;""),AND(HT14&gt;=HW$27,HT14&lt;&gt;""),AND(IO14&gt;=IR$27,IO14&lt;&gt;""),AND(JJ14&gt;=JM$27,JJ14&lt;&gt;""),AND(KE14&gt;=KH$27,KE14&lt;&gt;""),AND(KZ14&gt;=LC$27,KZ14&lt;&gt;""),AND(LU14&gt;=LX$27,LU14&lt;&gt;"")),"P","")</f>
        <v/>
      </c>
      <c r="H14" s="116" t="str">
        <f>IF(AND(G14="P",F14=""),"No DD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Merit",IF(OR(AND(AH14&gt;=AL$25,AH14&lt;&gt;"",AI14&gt;=AL$29,AI14&lt;&gt;"",AG14=""),AND(BD14&gt;=BH$25,BD14&lt;&gt;"",BE14&gt;=BH$29,BE14&lt;&gt;"",BC14=""),AND(BZ14&gt;=CD$25,BZ14&lt;&gt;"",CA14&gt;=CD$29,CA14&lt;&gt;"",BY14=""),AND(CW14&gt;=DA$25,CW14&lt;&gt;"",CX14&gt;=DA$29,CX14&lt;&gt;""),AND(DR14&gt;=DV$25,DR14&lt;&gt;"",DS14&gt;=DV$29,DS14&lt;&gt;""),AND(EM14&gt;=EQ$25,EM14&lt;&gt;"",EN14&gt;=EQ$29,EN14&lt;&gt;""),AND(FH14&gt;=FL$25,FH14&lt;&gt;"",FI14&gt;=FL$29,FI14&lt;&gt;""),AND(GC14&gt;=GG$25,GC14&lt;&gt;"",GD14&gt;=GG$29,GD14&lt;&gt;""),AND(GX14&gt;=HB$25,GX14&lt;&gt;"",GY14&gt;=HB$29,GY14&lt;&gt;""),AND(HS14&gt;=HW$25,HS14&lt;&gt;"",HT14&gt;=HW$29,HT14&lt;&gt;""),AND(IN14&gt;=IR$25,IN14&lt;&gt;"",IO14&gt;=IR$29,IO14&lt;&gt;""),AND(JI14&gt;=JM$25,JI14&lt;&gt;"",JJ14&gt;=JM$29,JJ14&lt;&gt;""),AND(KD14&gt;=KH$25,KD14&lt;&gt;"",KE14&gt;=KH$29,KE14&lt;&gt;""),AND(KY14&gt;=LC$25,KY14&lt;&gt;"",KZ14&gt;=LC$29,KZ14&lt;&gt;""),AND(LT14&gt;=LX$25,LT14&lt;&gt;"",LU14&gt;=LX$29,LU14&lt;&gt;"")),"Excellence",IF(OR(AND(AH14&gt;=AL$24,AH14&lt;&gt;"",AI14&gt;=AL$28,AI14&lt;&gt;"",AG14=""),AND(BD14&gt;=BH$24,BD14&lt;&gt;"",BE14&gt;=BH$28,BE14&lt;&gt;"",BC14=""),AND(BZ14&gt;=CD$24,BZ14&lt;&gt;"",CA14&gt;=CD$28,CA14&lt;&gt;"",BY14=""),AND(CW14&gt;=DA$24,CW14&lt;&gt;"",CX14&gt;=DA$28,CX14&lt;&gt;""),AND(DR14&gt;=DV$24,DR14&lt;&gt;"",DS14&gt;=DV$28,DS14&lt;&gt;""),AND(EM14&gt;=EQ$24,EM14&lt;&gt;"",EN14&gt;=EQ$28,EN14&lt;&gt;""),AND(FH14&gt;=FL$24,FH14&lt;&gt;"",FI14&gt;=FL$28,FI14&lt;&gt;""),AND(GC14&gt;=GG$24,GC14&lt;&gt;"",GD14&gt;=GG$28,GD14&lt;&gt;""),AND(GX14&gt;=HB$24,GX14&lt;&gt;"",GY14&gt;=HB$28,GY14&lt;&gt;""),AND(HS14&gt;=HW$24,HS14&lt;&gt;"",HT14&gt;=HW$28,HT14&lt;&gt;""),AND(IN14&gt;=IR$24,IN14&lt;&gt;"",IO14&gt;=IR$28,IO14&lt;&gt;""),AND(JI14&gt;=JM$24,JI14&lt;&gt;"",JJ14&gt;=JM$28,JJ14&lt;&gt;""),AND(KD14&gt;=KH$24,KD14&lt;&gt;"",KE14&gt;=KH$28,KE14&lt;&gt;""),AND(KY14&gt;=LC$24,KY14&lt;&gt;"",KZ14&gt;=LC$28,KZ14&lt;&gt;""),AND(LT14&gt;=LX$24,LT14&lt;&gt;"",LU14&gt;=LX$28,LU14&lt;&gt;"")),"Worlds Team",IF(OR(AND(AH14&gt;=AL$23,AH14&lt;&gt;"",AI14&gt;=AL$27,AI14&lt;&gt;"",AG14=""),AND(BD14&gt;=BH$23,BD14&lt;&gt;"",BE14&gt;=BH$27,BE14&lt;&gt;"",BC14=""),AND(BZ14&gt;=CD$23,BZ14&lt;&gt;"",CA14&gt;=CD$27,CA14&lt;&gt;"",BY14=""),AND(CW14&gt;=DA$23,CW14&lt;&gt;"",CX14&gt;=DA$27,CX14&lt;&gt;""),AND(DR14&gt;=DV$23,DR14&lt;&gt;"",DS14&gt;=DV$27,DS14&lt;&gt;""),AND(EM14&gt;=EQ$23,EM14&lt;&gt;"",EN14&gt;=EQ$27,EN14&lt;&gt;""),AND(FH14&gt;=FL$23,FH14&lt;&gt;"",FI14&gt;=FL$27,FI14&lt;&gt;""),AND(GC14&gt;=GG$23,GC14&lt;&gt;"",GD14&gt;=GG$27,GD14&lt;&gt;""),AND(GX14&gt;=HB$23,GX14&lt;&gt;"",GY14&gt;=HB$27,GY14&lt;&gt;""),AND(HS14&gt;=HW$23,HS14&lt;&gt;"",HT14&gt;=HW$27,HT14&lt;&gt;""),AND(IN14&gt;=IR$23,IN14&lt;&gt;"",IO14&gt;=IR$27,IO14&lt;&gt;""),AND(JI14&gt;=JM$23,JI14&lt;&gt;"",JJ14&gt;=JM$27,JJ14&lt;&gt;""),AND(KD14&gt;=KH$23,KD14&lt;&gt;"",KE14&gt;=KH$27,KE14&lt;&gt;""),AND(KY14&gt;=LC$23,KY14&lt;&gt;"",KZ14&gt;=LC$27,KZ14&lt;&gt;""),AND(LT14&gt;=LX$23,LT14&lt;&gt;"",LU14&gt;=LX$27,LU14&lt;&gt;"")),"National Team","")))))</f>
        <v/>
      </c>
      <c r="I14" s="3" t="str">
        <f>IF(OR(H14="Worlds Team",H14="Excellence",H14="Merit"),"P","")</f>
        <v/>
      </c>
      <c r="J14" s="14">
        <f>MAX(AI14,BE14,CA14)</f>
        <v>64</v>
      </c>
      <c r="K14" s="14" t="str">
        <f>IF(J14=0,"",IF(J14=CA14,$BI$1,IF(J14=BE14,$AM$1,IF(J14=AI14,$Q$1,""))))</f>
        <v>2019 Nationals</v>
      </c>
      <c r="L14" s="14">
        <f>IF(J14=AI14,MAX(BH14,CD14),IF(J14=BE14,MAX(AL14,CD14),MAX(AL14,BH14)))</f>
        <v>117.69999999999999</v>
      </c>
      <c r="M14" s="14" t="str">
        <f>IF(L14=0,"",IF(AND(J14&lt;&gt;CA14,L14=CD14),$BI$1,IF(AND(J14&lt;&gt;BE14,L14=BH14),$AM$1,IF(L14=AL14,$Q$1,""))))</f>
        <v>2021 2nd Virtual Technical Trial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>
        <v>27.9</v>
      </c>
      <c r="R14" s="61">
        <v>5.2</v>
      </c>
      <c r="S14" s="61">
        <v>0</v>
      </c>
      <c r="T14" s="61">
        <v>0</v>
      </c>
      <c r="U14" s="61">
        <v>27</v>
      </c>
      <c r="V14" s="61">
        <v>5.2</v>
      </c>
      <c r="W14" s="61">
        <v>1.8</v>
      </c>
      <c r="X14" s="61">
        <v>0.5</v>
      </c>
      <c r="Y14" s="61">
        <v>27.6</v>
      </c>
      <c r="Z14" s="61">
        <v>4</v>
      </c>
      <c r="AA14" s="61">
        <v>0.3</v>
      </c>
      <c r="AB14" s="61">
        <v>0</v>
      </c>
      <c r="AC14" s="61">
        <v>27.5</v>
      </c>
      <c r="AD14" s="61">
        <v>3.9</v>
      </c>
      <c r="AE14" s="61">
        <v>0.3</v>
      </c>
      <c r="AF14" s="61">
        <v>0</v>
      </c>
      <c r="AG14" s="72"/>
      <c r="AH14" s="11">
        <f>IF(SUM(R14,V14)&gt;0,SUM(R14,V14),"")</f>
        <v>10.4</v>
      </c>
      <c r="AI14" s="11">
        <f>IF(SUM(Q14:R14,T14:V14,X14)-SUM(S14,W14)&gt;0,SUM(Q14:R14,T14:V14,X14)-SUM(S14,W14),"")</f>
        <v>64</v>
      </c>
      <c r="AJ14" s="11">
        <f>IF(SUM(Z14,AD14)&gt;0,SUM(Z14,AD14),"")</f>
        <v>7.9</v>
      </c>
      <c r="AK14" s="11">
        <f>IF(SUM(Y14:Z14,AB14:AD14,AF14)-SUM(AA14,AE14)&gt;0,SUM(Y14:Z14,AB14:AD14,AF14)-SUM(AA14,AE14),"")</f>
        <v>62.4</v>
      </c>
      <c r="AL14" s="11">
        <f>IF(SUM(AI14,AK14)&gt;0,SUM(AI14,AK14),"")</f>
        <v>126.4</v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1">
        <v>24.9</v>
      </c>
      <c r="BJ14" s="61">
        <v>6</v>
      </c>
      <c r="BK14" s="61">
        <v>1.8</v>
      </c>
      <c r="BL14" s="61">
        <v>0</v>
      </c>
      <c r="BM14" s="61">
        <v>27.9</v>
      </c>
      <c r="BN14" s="61">
        <v>5.6</v>
      </c>
      <c r="BO14" s="61">
        <v>0</v>
      </c>
      <c r="BP14" s="61">
        <v>0</v>
      </c>
      <c r="BQ14" s="61">
        <v>19.8</v>
      </c>
      <c r="BR14" s="61">
        <v>2.4</v>
      </c>
      <c r="BS14" s="61">
        <v>0</v>
      </c>
      <c r="BT14" s="61">
        <v>0</v>
      </c>
      <c r="BU14" s="61">
        <v>27.7</v>
      </c>
      <c r="BV14" s="61">
        <v>5.2</v>
      </c>
      <c r="BW14" s="61">
        <v>0</v>
      </c>
      <c r="BX14" s="61">
        <v>0</v>
      </c>
      <c r="BY14" s="72"/>
      <c r="BZ14" s="11">
        <f>IF(SUM(BJ14,BN14)&gt;0,SUM(BJ14,BN14),"")</f>
        <v>11.6</v>
      </c>
      <c r="CA14" s="11">
        <f>IF(SUM(BI14:BJ14,BL14:BN14,BP14)-SUM(BK14,BO14)&gt;0,SUM(BI14:BJ14,BL14:BN14,BP14)-SUM(BK14,BO14),"")</f>
        <v>62.599999999999994</v>
      </c>
      <c r="CB14" s="11">
        <f>IF(SUM(BR14,BV14)&gt;0,SUM(BR14,BV14),"")</f>
        <v>7.6</v>
      </c>
      <c r="CC14" s="11">
        <f>IF(SUM(BQ14:BR14,BT14:BV14,BX14)-SUM(BS14,BW14)&gt;0,SUM(BQ14:BR14,BT14:BV14,BX14)-SUM(BS14,BW14),"")</f>
        <v>55.1</v>
      </c>
      <c r="CD14" s="11">
        <f>IF(SUM(CA14,CC14)&gt;0,SUM(CA14,CC14),"")</f>
        <v>117.69999999999999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12.45</v>
      </c>
      <c r="LZ14" s="61">
        <f>IF($BY14="P",BJ14,(BJ14+AN14)/2)</f>
        <v>3</v>
      </c>
      <c r="MA14" s="61">
        <f>IF($BY14="P",BK14,(BK14+AO14)/2)</f>
        <v>0.9</v>
      </c>
      <c r="MB14" s="61">
        <f>IF($BY14="P",BL14,(BL14+AP14)/2)</f>
        <v>0</v>
      </c>
      <c r="MC14" s="61">
        <f>IF($BY14="P",BM14,(BM14+AQ14)/2)</f>
        <v>13.95</v>
      </c>
      <c r="MD14" s="61">
        <f>IF($BY14="P",BN14,(BN14+AR14)/2)</f>
        <v>2.8</v>
      </c>
      <c r="ME14" s="61">
        <f>IF($BY14="P",BO14,(BO14+AS14)/2)</f>
        <v>0</v>
      </c>
      <c r="MF14" s="61">
        <f>IF($BY14="P",BP14,(BP14+AT14)/2)</f>
        <v>0</v>
      </c>
      <c r="MG14" s="61">
        <f>IF($BY14="P",BQ14,(BQ14+AU14)/2)</f>
        <v>9.9</v>
      </c>
      <c r="MH14" s="61">
        <f>IF($BY14="P",BR14,(BR14+AV14)/2)</f>
        <v>1.2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13.85</v>
      </c>
      <c r="ML14" s="61">
        <f>IF($BY14="P",BV14,(BV14+AZ14)/2)</f>
        <v>2.6</v>
      </c>
      <c r="MM14" s="61">
        <f>IF($BY14="P",BW14,(BW14+BA14)/2)</f>
        <v>0</v>
      </c>
      <c r="MN14" s="61">
        <f>IF($BY14="P",BX14,(BX14+BB14)/2)</f>
        <v>0</v>
      </c>
      <c r="MO14" s="72" t="s">
        <v>52</v>
      </c>
      <c r="MP14" s="11">
        <f>IF(SUM(LZ14,MD14)&gt;0,SUM(LZ14,MD14),"")</f>
        <v>5.8</v>
      </c>
      <c r="MQ14" s="11">
        <f>IF(SUM(LY14:LZ14,MB14:MD14,MF14)-SUM(MA14,ME14)&gt;0,SUM(LY14:LZ14,MB14:MD14,MF14)-SUM(MA14,ME14),"")</f>
        <v>31.299999999999997</v>
      </c>
      <c r="MR14" s="11">
        <f>IF(SUM(MH14,ML14)&gt;0,SUM(MH14,ML14),"")</f>
        <v>3.8</v>
      </c>
      <c r="MS14" s="11">
        <f>IF(SUM(MG14:MH14,MJ14:ML14,MN14)-SUM(MI14,MM14)&gt;0,SUM(MG14:MH14,MJ14:ML14,MN14)-SUM(MI14,MM14),"")</f>
        <v>27.55</v>
      </c>
      <c r="MT14" s="11">
        <f>IF(SUM(MQ14,MS14)&gt;0,SUM(MQ14,MS14),"")</f>
        <v>58.849999999999994</v>
      </c>
    </row>
    <row r="15" spans="1:358" x14ac:dyDescent="0.2">
      <c r="A15" s="5" t="str">
        <f>IF(AND(F15="P",G15="P"),SUMPRODUCT((F$4:F$21="P")*(G$4:G$21="P")*(E$4:E$21&gt;E15))+1,IF(G15="P",SUMPRODUCT((F$4:F$21="")*(G$4:G$21="P")*(E$4:E$21&gt;E15))+1+SUMPRODUCT((F$4:F$21="P")*(G$4:G$21="P")),""))</f>
        <v/>
      </c>
      <c r="B15" s="8" t="s">
        <v>113</v>
      </c>
      <c r="C15" s="4" t="s">
        <v>5</v>
      </c>
      <c r="D15" s="5">
        <v>2004</v>
      </c>
      <c r="E15" s="15">
        <f>SUM(J15:N15)</f>
        <v>126.30000000000001</v>
      </c>
      <c r="F15" s="3" t="str">
        <f>IF(OR(AND(AH15&gt;=AL$23,AI15&gt;=AL$27,AI15&lt;&gt;"",AG15=""),AND(BD15&gt;=BH$23,BE15&gt;=BH$27,BE15&lt;&gt;"",BC15=""),AND(BZ15&gt;=CD$23,CA15&gt;=CD$27,CA15&lt;&gt;"",BY15=""),AND(CW15&gt;=DA$23,CX15&gt;=DA$27,CX15&lt;&gt;""),AND(DR15&gt;=DV$23,DS15&gt;=DV$27,DS15&lt;&gt;""),AND(EM15&gt;=EQ$23,EN15&gt;=EQ$27,EN15&lt;&gt;""),AND(FH15&gt;=FL$23,FI15&gt;=FL$27,FI15&lt;&gt;""),AND(GC15&gt;=GG$23,GD15&gt;=GG$27,GD15&lt;&gt;""),AND(GX15&gt;=HB$23,GY15&gt;=HB$27,GY15&lt;&gt;""),AND(HS15&gt;=HW$23,HT15&gt;=HW$27,HT15&lt;&gt;""),AND(IN15&gt;=IR$23,IO15&gt;=IR$27,IO15&lt;&gt;""),AND(JI15&gt;=JM$23,JJ15&gt;=JM$27,JJ15&lt;&gt;""),AND(KD15&gt;=KH$23,KE15&gt;=KH$27,KE15&lt;&gt;""),AND(KY15&gt;=LC$23,KZ15&gt;=LC$27,KZ15&lt;&gt;""),AND(LT15&gt;=LX$23,LU15&gt;=LX$27,LU15&lt;&gt;"")),"P","")</f>
        <v/>
      </c>
      <c r="G15" s="3" t="str">
        <f>IF(OR(AND(AI15&gt;=AL$27,AI15&lt;&gt;"",AG15=""),AND(BE15&gt;=BH$27,BE15&lt;&gt;"",BC15=""),AND(CA15&gt;=CD$27,CA15&lt;&gt;"",BY15=""),AND(CX15&gt;=DA$27,CX15&lt;&gt;""),AND(DS15&gt;=DV$27,DS15&lt;&gt;""),AND(EN15&gt;=EQ$27,EN15&lt;&gt;""),AND(FI15&gt;=FL$27,FI15&lt;&gt;""),AND(GD15&gt;=GG$27,GD15&lt;&gt;""),AND(GY15&gt;=HB$27,GY15&lt;&gt;""),AND(HT15&gt;=HW$27,HT15&lt;&gt;""),AND(IO15&gt;=IR$27,IO15&lt;&gt;""),AND(JJ15&gt;=JM$27,JJ15&lt;&gt;""),AND(KE15&gt;=KH$27,KE15&lt;&gt;""),AND(KZ15&gt;=LC$27,KZ15&lt;&gt;""),AND(LU15&gt;=LX$27,LU15&lt;&gt;"")),"P","")</f>
        <v/>
      </c>
      <c r="H15" s="116" t="str">
        <f>IF(AND(G15="P",F15=""),"No DD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Merit",IF(OR(AND(AH15&gt;=AL$25,AH15&lt;&gt;"",AI15&gt;=AL$29,AI15&lt;&gt;"",AG15=""),AND(BD15&gt;=BH$25,BD15&lt;&gt;"",BE15&gt;=BH$29,BE15&lt;&gt;"",BC15=""),AND(BZ15&gt;=CD$25,BZ15&lt;&gt;"",CA15&gt;=CD$29,CA15&lt;&gt;"",BY15=""),AND(CW15&gt;=DA$25,CW15&lt;&gt;"",CX15&gt;=DA$29,CX15&lt;&gt;""),AND(DR15&gt;=DV$25,DR15&lt;&gt;"",DS15&gt;=DV$29,DS15&lt;&gt;""),AND(EM15&gt;=EQ$25,EM15&lt;&gt;"",EN15&gt;=EQ$29,EN15&lt;&gt;""),AND(FH15&gt;=FL$25,FH15&lt;&gt;"",FI15&gt;=FL$29,FI15&lt;&gt;""),AND(GC15&gt;=GG$25,GC15&lt;&gt;"",GD15&gt;=GG$29,GD15&lt;&gt;""),AND(GX15&gt;=HB$25,GX15&lt;&gt;"",GY15&gt;=HB$29,GY15&lt;&gt;""),AND(HS15&gt;=HW$25,HS15&lt;&gt;"",HT15&gt;=HW$29,HT15&lt;&gt;""),AND(IN15&gt;=IR$25,IN15&lt;&gt;"",IO15&gt;=IR$29,IO15&lt;&gt;""),AND(JI15&gt;=JM$25,JI15&lt;&gt;"",JJ15&gt;=JM$29,JJ15&lt;&gt;""),AND(KD15&gt;=KH$25,KD15&lt;&gt;"",KE15&gt;=KH$29,KE15&lt;&gt;""),AND(KY15&gt;=LC$25,KY15&lt;&gt;"",KZ15&gt;=LC$29,KZ15&lt;&gt;""),AND(LT15&gt;=LX$25,LT15&lt;&gt;"",LU15&gt;=LX$29,LU15&lt;&gt;"")),"Excellence",IF(OR(AND(AH15&gt;=AL$24,AH15&lt;&gt;"",AI15&gt;=AL$28,AI15&lt;&gt;"",AG15=""),AND(BD15&gt;=BH$24,BD15&lt;&gt;"",BE15&gt;=BH$28,BE15&lt;&gt;"",BC15=""),AND(BZ15&gt;=CD$24,BZ15&lt;&gt;"",CA15&gt;=CD$28,CA15&lt;&gt;"",BY15=""),AND(CW15&gt;=DA$24,CW15&lt;&gt;"",CX15&gt;=DA$28,CX15&lt;&gt;""),AND(DR15&gt;=DV$24,DR15&lt;&gt;"",DS15&gt;=DV$28,DS15&lt;&gt;""),AND(EM15&gt;=EQ$24,EM15&lt;&gt;"",EN15&gt;=EQ$28,EN15&lt;&gt;""),AND(FH15&gt;=FL$24,FH15&lt;&gt;"",FI15&gt;=FL$28,FI15&lt;&gt;""),AND(GC15&gt;=GG$24,GC15&lt;&gt;"",GD15&gt;=GG$28,GD15&lt;&gt;""),AND(GX15&gt;=HB$24,GX15&lt;&gt;"",GY15&gt;=HB$28,GY15&lt;&gt;""),AND(HS15&gt;=HW$24,HS15&lt;&gt;"",HT15&gt;=HW$28,HT15&lt;&gt;""),AND(IN15&gt;=IR$24,IN15&lt;&gt;"",IO15&gt;=IR$28,IO15&lt;&gt;""),AND(JI15&gt;=JM$24,JI15&lt;&gt;"",JJ15&gt;=JM$28,JJ15&lt;&gt;""),AND(KD15&gt;=KH$24,KD15&lt;&gt;"",KE15&gt;=KH$28,KE15&lt;&gt;""),AND(KY15&gt;=LC$24,KY15&lt;&gt;"",KZ15&gt;=LC$28,KZ15&lt;&gt;""),AND(LT15&gt;=LX$24,LT15&lt;&gt;"",LU15&gt;=LX$28,LU15&lt;&gt;"")),"Worlds Team",IF(OR(AND(AH15&gt;=AL$23,AH15&lt;&gt;"",AI15&gt;=AL$27,AI15&lt;&gt;"",AG15=""),AND(BD15&gt;=BH$23,BD15&lt;&gt;"",BE15&gt;=BH$27,BE15&lt;&gt;"",BC15=""),AND(BZ15&gt;=CD$23,BZ15&lt;&gt;"",CA15&gt;=CD$27,CA15&lt;&gt;"",BY15=""),AND(CW15&gt;=DA$23,CW15&lt;&gt;"",CX15&gt;=DA$27,CX15&lt;&gt;""),AND(DR15&gt;=DV$23,DR15&lt;&gt;"",DS15&gt;=DV$27,DS15&lt;&gt;""),AND(EM15&gt;=EQ$23,EM15&lt;&gt;"",EN15&gt;=EQ$27,EN15&lt;&gt;""),AND(FH15&gt;=FL$23,FH15&lt;&gt;"",FI15&gt;=FL$27,FI15&lt;&gt;""),AND(GC15&gt;=GG$23,GC15&lt;&gt;"",GD15&gt;=GG$27,GD15&lt;&gt;""),AND(GX15&gt;=HB$23,GX15&lt;&gt;"",GY15&gt;=HB$27,GY15&lt;&gt;""),AND(HS15&gt;=HW$23,HS15&lt;&gt;"",HT15&gt;=HW$27,HT15&lt;&gt;""),AND(IN15&gt;=IR$23,IN15&lt;&gt;"",IO15&gt;=IR$27,IO15&lt;&gt;""),AND(JI15&gt;=JM$23,JI15&lt;&gt;"",JJ15&gt;=JM$27,JJ15&lt;&gt;""),AND(KD15&gt;=KH$23,KD15&lt;&gt;"",KE15&gt;=KH$27,KE15&lt;&gt;""),AND(KY15&gt;=LC$23,KY15&lt;&gt;"",KZ15&gt;=LC$27,KZ15&lt;&gt;""),AND(LT15&gt;=LX$23,LT15&lt;&gt;"",LU15&gt;=LX$27,LU15&lt;&gt;"")),"National Team","")))))</f>
        <v/>
      </c>
      <c r="I15" s="3" t="str">
        <f>IF(OR(H15="Worlds Team",H15="Excellence",H15="Merit"),"P","")</f>
        <v/>
      </c>
      <c r="J15" s="14">
        <f>MAX(AI15,BE15,CA15)</f>
        <v>63.6</v>
      </c>
      <c r="K15" s="14" t="str">
        <f>IF(J15=0,"",IF(J15=CA15,$BI$1,IF(J15=BE15,$AM$1,IF(J15=AI15,$Q$1,""))))</f>
        <v>2019 Nationals</v>
      </c>
      <c r="L15" s="14">
        <f>IF(J15=AI15,MAX(BH15,CD15),IF(J15=BE15,MAX(AL15,CD15),MAX(AL15,BH15)))</f>
        <v>62.7</v>
      </c>
      <c r="M15" s="14" t="str">
        <f>IF(L15=0,"",IF(AND(J15&lt;&gt;CA15,L15=CD15),$BI$1,IF(AND(J15&lt;&gt;BE15,L15=BH15),$AM$1,IF(L15=AL15,$Q$1,""))))</f>
        <v>2021 1st Virtual Technical Trial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>
        <v>27.9</v>
      </c>
      <c r="R15" s="61">
        <v>3.6</v>
      </c>
      <c r="S15" s="61">
        <v>0</v>
      </c>
      <c r="T15" s="61">
        <v>0</v>
      </c>
      <c r="U15" s="61">
        <v>28.6</v>
      </c>
      <c r="V15" s="61">
        <v>3.5</v>
      </c>
      <c r="W15" s="61">
        <v>0</v>
      </c>
      <c r="X15" s="61">
        <v>0</v>
      </c>
      <c r="Y15" s="61">
        <v>20.100000000000001</v>
      </c>
      <c r="Z15" s="61">
        <v>1.2</v>
      </c>
      <c r="AA15" s="61">
        <v>0</v>
      </c>
      <c r="AB15" s="61">
        <v>0</v>
      </c>
      <c r="AC15" s="61">
        <v>27.3</v>
      </c>
      <c r="AD15" s="61">
        <v>4.4000000000000004</v>
      </c>
      <c r="AE15" s="61">
        <v>1.2</v>
      </c>
      <c r="AF15" s="61">
        <v>0</v>
      </c>
      <c r="AG15" s="72"/>
      <c r="AH15" s="11">
        <f>IF(SUM(R15,V15)&gt;0,SUM(R15,V15),"")</f>
        <v>7.1</v>
      </c>
      <c r="AI15" s="11">
        <f>IF(SUM(Q15:R15,T15:V15,X15)-SUM(S15,W15)&gt;0,SUM(Q15:R15,T15:V15,X15)-SUM(S15,W15),"")</f>
        <v>63.6</v>
      </c>
      <c r="AJ15" s="11">
        <f>IF(SUM(Z15,AD15)&gt;0,SUM(Z15,AD15),"")</f>
        <v>5.6000000000000005</v>
      </c>
      <c r="AK15" s="11">
        <f>IF(SUM(Y15:Z15,AB15:AD15,AF15)-SUM(AA15,AE15)&gt;0,SUM(Y15:Z15,AB15:AD15,AF15)-SUM(AA15,AE15),"")</f>
        <v>51.8</v>
      </c>
      <c r="AL15" s="11">
        <f>IF(SUM(AI15,AK15)&gt;0,SUM(AI15,AK15),"")</f>
        <v>115.4</v>
      </c>
      <c r="AM15" s="36">
        <v>27.7</v>
      </c>
      <c r="AN15" s="36">
        <v>4.4000000000000004</v>
      </c>
      <c r="AO15" s="36">
        <v>0.9</v>
      </c>
      <c r="AP15" s="36">
        <v>0</v>
      </c>
      <c r="AQ15" s="36">
        <v>28.4</v>
      </c>
      <c r="AR15" s="36">
        <v>3.1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73"/>
      <c r="BD15" s="14">
        <f>IF(SUM(AN15,AR15)&gt;0,SUM(AN15,AR15),"")</f>
        <v>7.5</v>
      </c>
      <c r="BE15" s="14">
        <f>IF(SUM(AM15:AN15,AP15:AR15,AT15)-SUM(AO15,AS15)&gt;0,SUM(AM15:AN15,AP15:AR15,AT15)-SUM(AO15,AS15),"")</f>
        <v>62.7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62.7</v>
      </c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72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13.85</v>
      </c>
      <c r="LZ15" s="61">
        <f>IF($BY15="P",BJ15,(BJ15+AN15)/2)</f>
        <v>2.2000000000000002</v>
      </c>
      <c r="MA15" s="61">
        <f>IF($BY15="P",BK15,(BK15+AO15)/2)</f>
        <v>0.45</v>
      </c>
      <c r="MB15" s="61">
        <f>IF($BY15="P",BL15,(BL15+AP15)/2)</f>
        <v>0</v>
      </c>
      <c r="MC15" s="61">
        <f>IF($BY15="P",BM15,(BM15+AQ15)/2)</f>
        <v>14.2</v>
      </c>
      <c r="MD15" s="61">
        <f>IF($BY15="P",BN15,(BN15+AR15)/2)</f>
        <v>1.55</v>
      </c>
      <c r="ME15" s="61">
        <f>IF($BY15="P",BO15,(BO15+AS15)/2)</f>
        <v>0</v>
      </c>
      <c r="MF15" s="61">
        <f>IF($BY15="P",BP15,(BP15+AT15)/2)</f>
        <v>0</v>
      </c>
      <c r="MG15" s="61">
        <f>IF($BY15="P",BQ15,(BQ15+AU15)/2)</f>
        <v>0</v>
      </c>
      <c r="MH15" s="61">
        <f>IF($BY15="P",BR15,(BR15+AV15)/2)</f>
        <v>0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0</v>
      </c>
      <c r="ML15" s="61">
        <f>IF($BY15="P",BV15,(BV15+AZ15)/2)</f>
        <v>0</v>
      </c>
      <c r="MM15" s="61">
        <f>IF($BY15="P",BW15,(BW15+BA15)/2)</f>
        <v>0</v>
      </c>
      <c r="MN15" s="61">
        <f>IF($BY15="P",BX15,(BX15+BB15)/2)</f>
        <v>0</v>
      </c>
      <c r="MO15" s="72" t="s">
        <v>52</v>
      </c>
      <c r="MP15" s="11">
        <f>IF(SUM(LZ15,MD15)&gt;0,SUM(LZ15,MD15),"")</f>
        <v>3.75</v>
      </c>
      <c r="MQ15" s="11">
        <f>IF(SUM(LY15:LZ15,MB15:MD15,MF15)-SUM(MA15,ME15)&gt;0,SUM(LY15:LZ15,MB15:MD15,MF15)-SUM(MA15,ME15),"")</f>
        <v>31.35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31.35</v>
      </c>
    </row>
    <row r="16" spans="1:358" x14ac:dyDescent="0.2">
      <c r="A16" s="5" t="str">
        <f>IF(AND(F16="P",G16="P"),SUMPRODUCT((F$4:F$21="P")*(G$4:G$21="P")*(E$4:E$21&gt;E16))+1,IF(G16="P",SUMPRODUCT((F$4:F$21="")*(G$4:G$21="P")*(E$4:E$21&gt;E16))+1+SUMPRODUCT((F$4:F$21="P")*(G$4:G$21="P")),""))</f>
        <v/>
      </c>
      <c r="B16" s="8" t="s">
        <v>133</v>
      </c>
      <c r="C16" s="4" t="s">
        <v>4</v>
      </c>
      <c r="D16" s="5">
        <v>2000</v>
      </c>
      <c r="E16" s="15">
        <f>SUM(J16:N16)</f>
        <v>67.599999999999994</v>
      </c>
      <c r="F16" s="3" t="str">
        <f>IF(OR(AND(AH16&gt;=AL$23,AI16&gt;=AL$27,AI16&lt;&gt;"",AG16=""),AND(BD16&gt;=BH$23,BE16&gt;=BH$27,BE16&lt;&gt;"",BC16=""),AND(BZ16&gt;=CD$23,CA16&gt;=CD$27,CA16&lt;&gt;"",BY16=""),AND(CW16&gt;=DA$23,CX16&gt;=DA$27,CX16&lt;&gt;""),AND(DR16&gt;=DV$23,DS16&gt;=DV$27,DS16&lt;&gt;""),AND(EM16&gt;=EQ$23,EN16&gt;=EQ$27,EN16&lt;&gt;""),AND(FH16&gt;=FL$23,FI16&gt;=FL$27,FI16&lt;&gt;""),AND(GC16&gt;=GG$23,GD16&gt;=GG$27,GD16&lt;&gt;""),AND(GX16&gt;=HB$23,GY16&gt;=HB$27,GY16&lt;&gt;""),AND(HS16&gt;=HW$23,HT16&gt;=HW$27,HT16&lt;&gt;""),AND(IN16&gt;=IR$23,IO16&gt;=IR$27,IO16&lt;&gt;""),AND(JI16&gt;=JM$23,JJ16&gt;=JM$27,JJ16&lt;&gt;""),AND(KD16&gt;=KH$23,KE16&gt;=KH$27,KE16&lt;&gt;""),AND(KY16&gt;=LC$23,KZ16&gt;=LC$27,KZ16&lt;&gt;""),AND(LT16&gt;=LX$23,LU16&gt;=LX$27,LU16&lt;&gt;"")),"P","")</f>
        <v/>
      </c>
      <c r="G16" s="3" t="str">
        <f>IF(OR(AND(AI16&gt;=AL$27,AI16&lt;&gt;"",AG16=""),AND(BE16&gt;=BH$27,BE16&lt;&gt;"",BC16=""),AND(CA16&gt;=CD$27,CA16&lt;&gt;"",BY16=""),AND(CX16&gt;=DA$27,CX16&lt;&gt;""),AND(DS16&gt;=DV$27,DS16&lt;&gt;""),AND(EN16&gt;=EQ$27,EN16&lt;&gt;""),AND(FI16&gt;=FL$27,FI16&lt;&gt;""),AND(GD16&gt;=GG$27,GD16&lt;&gt;""),AND(GY16&gt;=HB$27,GY16&lt;&gt;""),AND(HT16&gt;=HW$27,HT16&lt;&gt;""),AND(IO16&gt;=IR$27,IO16&lt;&gt;""),AND(JJ16&gt;=JM$27,JJ16&lt;&gt;""),AND(KE16&gt;=KH$27,KE16&lt;&gt;""),AND(KZ16&gt;=LC$27,KZ16&lt;&gt;""),AND(LU16&gt;=LX$27,LU16&lt;&gt;"")),"P","")</f>
        <v/>
      </c>
      <c r="H16" s="116" t="str">
        <f>IF(AND(G16="P",F16=""),"No DD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Merit",IF(OR(AND(AH16&gt;=AL$25,AH16&lt;&gt;"",AI16&gt;=AL$29,AI16&lt;&gt;"",AG16=""),AND(BD16&gt;=BH$25,BD16&lt;&gt;"",BE16&gt;=BH$29,BE16&lt;&gt;"",BC16=""),AND(BZ16&gt;=CD$25,BZ16&lt;&gt;"",CA16&gt;=CD$29,CA16&lt;&gt;"",BY16=""),AND(CW16&gt;=DA$25,CW16&lt;&gt;"",CX16&gt;=DA$29,CX16&lt;&gt;""),AND(DR16&gt;=DV$25,DR16&lt;&gt;"",DS16&gt;=DV$29,DS16&lt;&gt;""),AND(EM16&gt;=EQ$25,EM16&lt;&gt;"",EN16&gt;=EQ$29,EN16&lt;&gt;""),AND(FH16&gt;=FL$25,FH16&lt;&gt;"",FI16&gt;=FL$29,FI16&lt;&gt;""),AND(GC16&gt;=GG$25,GC16&lt;&gt;"",GD16&gt;=GG$29,GD16&lt;&gt;""),AND(GX16&gt;=HB$25,GX16&lt;&gt;"",GY16&gt;=HB$29,GY16&lt;&gt;""),AND(HS16&gt;=HW$25,HS16&lt;&gt;"",HT16&gt;=HW$29,HT16&lt;&gt;""),AND(IN16&gt;=IR$25,IN16&lt;&gt;"",IO16&gt;=IR$29,IO16&lt;&gt;""),AND(JI16&gt;=JM$25,JI16&lt;&gt;"",JJ16&gt;=JM$29,JJ16&lt;&gt;""),AND(KD16&gt;=KH$25,KD16&lt;&gt;"",KE16&gt;=KH$29,KE16&lt;&gt;""),AND(KY16&gt;=LC$25,KY16&lt;&gt;"",KZ16&gt;=LC$29,KZ16&lt;&gt;""),AND(LT16&gt;=LX$25,LT16&lt;&gt;"",LU16&gt;=LX$29,LU16&lt;&gt;"")),"Excellence",IF(OR(AND(AH16&gt;=AL$24,AH16&lt;&gt;"",AI16&gt;=AL$28,AI16&lt;&gt;"",AG16=""),AND(BD16&gt;=BH$24,BD16&lt;&gt;"",BE16&gt;=BH$28,BE16&lt;&gt;"",BC16=""),AND(BZ16&gt;=CD$24,BZ16&lt;&gt;"",CA16&gt;=CD$28,CA16&lt;&gt;"",BY16=""),AND(CW16&gt;=DA$24,CW16&lt;&gt;"",CX16&gt;=DA$28,CX16&lt;&gt;""),AND(DR16&gt;=DV$24,DR16&lt;&gt;"",DS16&gt;=DV$28,DS16&lt;&gt;""),AND(EM16&gt;=EQ$24,EM16&lt;&gt;"",EN16&gt;=EQ$28,EN16&lt;&gt;""),AND(FH16&gt;=FL$24,FH16&lt;&gt;"",FI16&gt;=FL$28,FI16&lt;&gt;""),AND(GC16&gt;=GG$24,GC16&lt;&gt;"",GD16&gt;=GG$28,GD16&lt;&gt;""),AND(GX16&gt;=HB$24,GX16&lt;&gt;"",GY16&gt;=HB$28,GY16&lt;&gt;""),AND(HS16&gt;=HW$24,HS16&lt;&gt;"",HT16&gt;=HW$28,HT16&lt;&gt;""),AND(IN16&gt;=IR$24,IN16&lt;&gt;"",IO16&gt;=IR$28,IO16&lt;&gt;""),AND(JI16&gt;=JM$24,JI16&lt;&gt;"",JJ16&gt;=JM$28,JJ16&lt;&gt;""),AND(KD16&gt;=KH$24,KD16&lt;&gt;"",KE16&gt;=KH$28,KE16&lt;&gt;""),AND(KY16&gt;=LC$24,KY16&lt;&gt;"",KZ16&gt;=LC$28,KZ16&lt;&gt;""),AND(LT16&gt;=LX$24,LT16&lt;&gt;"",LU16&gt;=LX$28,LU16&lt;&gt;"")),"Worlds Team",IF(OR(AND(AH16&gt;=AL$23,AH16&lt;&gt;"",AI16&gt;=AL$27,AI16&lt;&gt;"",AG16=""),AND(BD16&gt;=BH$23,BD16&lt;&gt;"",BE16&gt;=BH$27,BE16&lt;&gt;"",BC16=""),AND(BZ16&gt;=CD$23,BZ16&lt;&gt;"",CA16&gt;=CD$27,CA16&lt;&gt;"",BY16=""),AND(CW16&gt;=DA$23,CW16&lt;&gt;"",CX16&gt;=DA$27,CX16&lt;&gt;""),AND(DR16&gt;=DV$23,DR16&lt;&gt;"",DS16&gt;=DV$27,DS16&lt;&gt;""),AND(EM16&gt;=EQ$23,EM16&lt;&gt;"",EN16&gt;=EQ$27,EN16&lt;&gt;""),AND(FH16&gt;=FL$23,FH16&lt;&gt;"",FI16&gt;=FL$27,FI16&lt;&gt;""),AND(GC16&gt;=GG$23,GC16&lt;&gt;"",GD16&gt;=GG$27,GD16&lt;&gt;""),AND(GX16&gt;=HB$23,GX16&lt;&gt;"",GY16&gt;=HB$27,GY16&lt;&gt;""),AND(HS16&gt;=HW$23,HS16&lt;&gt;"",HT16&gt;=HW$27,HT16&lt;&gt;""),AND(IN16&gt;=IR$23,IN16&lt;&gt;"",IO16&gt;=IR$27,IO16&lt;&gt;""),AND(JI16&gt;=JM$23,JI16&lt;&gt;"",JJ16&gt;=JM$27,JJ16&lt;&gt;""),AND(KD16&gt;=KH$23,KD16&lt;&gt;"",KE16&gt;=KH$27,KE16&lt;&gt;""),AND(KY16&gt;=LC$23,KY16&lt;&gt;"",KZ16&gt;=LC$27,KZ16&lt;&gt;""),AND(LT16&gt;=LX$23,LT16&lt;&gt;"",LU16&gt;=LX$27,LU16&lt;&gt;"")),"National Team","")))))</f>
        <v/>
      </c>
      <c r="I16" s="3" t="str">
        <f>IF(OR(H16="Worlds Team",H16="Excellence",H16="Merit"),"P","")</f>
        <v/>
      </c>
      <c r="J16" s="14">
        <f>MAX(AI16,BE16,CA16)</f>
        <v>67.599999999999994</v>
      </c>
      <c r="K16" s="14" t="str">
        <f>IF(J16=0,"",IF(J16=CA16,$BI$1,IF(J16=BE16,$AM$1,IF(J16=AI16,$Q$1,""))))</f>
        <v>2019 Nationals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>
        <v>27.85</v>
      </c>
      <c r="R16" s="61">
        <v>6</v>
      </c>
      <c r="S16" s="61">
        <v>0</v>
      </c>
      <c r="T16" s="61">
        <v>0</v>
      </c>
      <c r="U16" s="61">
        <v>28.6</v>
      </c>
      <c r="V16" s="61">
        <v>5.6</v>
      </c>
      <c r="W16" s="61">
        <v>0.45</v>
      </c>
      <c r="X16" s="61">
        <v>0</v>
      </c>
      <c r="Y16" s="61">
        <v>23.950000000000003</v>
      </c>
      <c r="Z16" s="61">
        <v>4</v>
      </c>
      <c r="AA16" s="61">
        <v>0</v>
      </c>
      <c r="AB16" s="61">
        <v>0</v>
      </c>
      <c r="AC16" s="61">
        <v>28.5</v>
      </c>
      <c r="AD16" s="61">
        <v>5.2</v>
      </c>
      <c r="AE16" s="61">
        <v>0</v>
      </c>
      <c r="AF16" s="61">
        <v>0</v>
      </c>
      <c r="AG16" s="72" t="s">
        <v>52</v>
      </c>
      <c r="AH16" s="11">
        <f>IF(SUM(R16,V16)&gt;0,SUM(R16,V16),"")</f>
        <v>11.6</v>
      </c>
      <c r="AI16" s="11">
        <f>IF(SUM(Q16:R16,T16:V16,X16)-SUM(S16,W16)&gt;0,SUM(Q16:R16,T16:V16,X16)-SUM(S16,W16),"")</f>
        <v>67.599999999999994</v>
      </c>
      <c r="AJ16" s="11">
        <f>IF(SUM(Z16,AD16)&gt;0,SUM(Z16,AD16),"")</f>
        <v>9.1999999999999993</v>
      </c>
      <c r="AK16" s="11">
        <f>IF(SUM(Y16:Z16,AB16:AD16,AF16)-SUM(AA16,AE16)&gt;0,SUM(Y16:Z16,AB16:AD16,AF16)-SUM(AA16,AE16),"")</f>
        <v>61.650000000000006</v>
      </c>
      <c r="AL16" s="11">
        <f>IF(SUM(AI16,AK16)&gt;0,SUM(AI16,AK16),"")</f>
        <v>129.25</v>
      </c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73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72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0</v>
      </c>
      <c r="LZ16" s="61">
        <f>IF($BY16="P",BJ16,(BJ16+AN16)/2)</f>
        <v>0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0</v>
      </c>
      <c r="MD16" s="61">
        <f>IF($BY16="P",BN16,(BN16+AR16)/2)</f>
        <v>0</v>
      </c>
      <c r="ME16" s="61">
        <f>IF($BY16="P",BO16,(BO16+AS16)/2)</f>
        <v>0</v>
      </c>
      <c r="MF16" s="61">
        <f>IF($BY16="P",BP16,(BP16+AT16)/2)</f>
        <v>0</v>
      </c>
      <c r="MG16" s="61">
        <f>IF($BY16="P",BQ16,(BQ16+AU16)/2)</f>
        <v>0</v>
      </c>
      <c r="MH16" s="61">
        <f>IF($BY16="P",BR16,(BR16+AV16)/2)</f>
        <v>0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58" x14ac:dyDescent="0.2">
      <c r="A17" s="5" t="str">
        <f>IF(AND(F17="P",G17="P"),SUMPRODUCT((F$4:F$21="P")*(G$4:G$21="P")*(E$4:E$21&gt;E17))+1,IF(G17="P",SUMPRODUCT((F$4:F$21="")*(G$4:G$21="P")*(E$4:E$21&gt;E17))+1+SUMPRODUCT((F$4:F$21="P")*(G$4:G$21="P")),""))</f>
        <v/>
      </c>
      <c r="B17" s="8" t="s">
        <v>145</v>
      </c>
      <c r="C17" s="4" t="s">
        <v>5</v>
      </c>
      <c r="D17" s="5">
        <v>2001</v>
      </c>
      <c r="E17" s="15">
        <f>SUM(J17:N17)</f>
        <v>65.2</v>
      </c>
      <c r="F17" s="3" t="str">
        <f>IF(OR(AND(AH17&gt;=AL$23,AI17&gt;=AL$27,AI17&lt;&gt;"",AG17=""),AND(BD17&gt;=BH$23,BE17&gt;=BH$27,BE17&lt;&gt;"",BC17=""),AND(BZ17&gt;=CD$23,CA17&gt;=CD$27,CA17&lt;&gt;"",BY17=""),AND(CW17&gt;=DA$23,CX17&gt;=DA$27,CX17&lt;&gt;""),AND(DR17&gt;=DV$23,DS17&gt;=DV$27,DS17&lt;&gt;""),AND(EM17&gt;=EQ$23,EN17&gt;=EQ$27,EN17&lt;&gt;""),AND(FH17&gt;=FL$23,FI17&gt;=FL$27,FI17&lt;&gt;""),AND(GC17&gt;=GG$23,GD17&gt;=GG$27,GD17&lt;&gt;""),AND(GX17&gt;=HB$23,GY17&gt;=HB$27,GY17&lt;&gt;""),AND(HS17&gt;=HW$23,HT17&gt;=HW$27,HT17&lt;&gt;""),AND(IN17&gt;=IR$23,IO17&gt;=IR$27,IO17&lt;&gt;""),AND(JI17&gt;=JM$23,JJ17&gt;=JM$27,JJ17&lt;&gt;""),AND(KD17&gt;=KH$23,KE17&gt;=KH$27,KE17&lt;&gt;""),AND(KY17&gt;=LC$23,KZ17&gt;=LC$27,KZ17&lt;&gt;""),AND(LT17&gt;=LX$23,LU17&gt;=LX$27,LU17&lt;&gt;"")),"P","")</f>
        <v/>
      </c>
      <c r="G17" s="3" t="str">
        <f>IF(OR(AND(AI17&gt;=AL$27,AI17&lt;&gt;"",AG17=""),AND(BE17&gt;=BH$27,BE17&lt;&gt;"",BC17=""),AND(CA17&gt;=CD$27,CA17&lt;&gt;"",BY17=""),AND(CX17&gt;=DA$27,CX17&lt;&gt;""),AND(DS17&gt;=DV$27,DS17&lt;&gt;""),AND(EN17&gt;=EQ$27,EN17&lt;&gt;""),AND(FI17&gt;=FL$27,FI17&lt;&gt;""),AND(GD17&gt;=GG$27,GD17&lt;&gt;""),AND(GY17&gt;=HB$27,GY17&lt;&gt;""),AND(HT17&gt;=HW$27,HT17&lt;&gt;""),AND(IO17&gt;=IR$27,IO17&lt;&gt;""),AND(JJ17&gt;=JM$27,JJ17&lt;&gt;""),AND(KE17&gt;=KH$27,KE17&lt;&gt;""),AND(KZ17&gt;=LC$27,KZ17&lt;&gt;""),AND(LU17&gt;=LX$27,LU17&lt;&gt;"")),"P","")</f>
        <v/>
      </c>
      <c r="H17" s="116" t="str">
        <f>IF(AND(G17="P",F17=""),"No DD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Merit",IF(OR(AND(AH17&gt;=AL$25,AH17&lt;&gt;"",AI17&gt;=AL$29,AI17&lt;&gt;"",AG17=""),AND(BD17&gt;=BH$25,BD17&lt;&gt;"",BE17&gt;=BH$29,BE17&lt;&gt;"",BC17=""),AND(BZ17&gt;=CD$25,BZ17&lt;&gt;"",CA17&gt;=CD$29,CA17&lt;&gt;"",BY17=""),AND(CW17&gt;=DA$25,CW17&lt;&gt;"",CX17&gt;=DA$29,CX17&lt;&gt;""),AND(DR17&gt;=DV$25,DR17&lt;&gt;"",DS17&gt;=DV$29,DS17&lt;&gt;""),AND(EM17&gt;=EQ$25,EM17&lt;&gt;"",EN17&gt;=EQ$29,EN17&lt;&gt;""),AND(FH17&gt;=FL$25,FH17&lt;&gt;"",FI17&gt;=FL$29,FI17&lt;&gt;""),AND(GC17&gt;=GG$25,GC17&lt;&gt;"",GD17&gt;=GG$29,GD17&lt;&gt;""),AND(GX17&gt;=HB$25,GX17&lt;&gt;"",GY17&gt;=HB$29,GY17&lt;&gt;""),AND(HS17&gt;=HW$25,HS17&lt;&gt;"",HT17&gt;=HW$29,HT17&lt;&gt;""),AND(IN17&gt;=IR$25,IN17&lt;&gt;"",IO17&gt;=IR$29,IO17&lt;&gt;""),AND(JI17&gt;=JM$25,JI17&lt;&gt;"",JJ17&gt;=JM$29,JJ17&lt;&gt;""),AND(KD17&gt;=KH$25,KD17&lt;&gt;"",KE17&gt;=KH$29,KE17&lt;&gt;""),AND(KY17&gt;=LC$25,KY17&lt;&gt;"",KZ17&gt;=LC$29,KZ17&lt;&gt;""),AND(LT17&gt;=LX$25,LT17&lt;&gt;"",LU17&gt;=LX$29,LU17&lt;&gt;"")),"Excellence",IF(OR(AND(AH17&gt;=AL$24,AH17&lt;&gt;"",AI17&gt;=AL$28,AI17&lt;&gt;"",AG17=""),AND(BD17&gt;=BH$24,BD17&lt;&gt;"",BE17&gt;=BH$28,BE17&lt;&gt;"",BC17=""),AND(BZ17&gt;=CD$24,BZ17&lt;&gt;"",CA17&gt;=CD$28,CA17&lt;&gt;"",BY17=""),AND(CW17&gt;=DA$24,CW17&lt;&gt;"",CX17&gt;=DA$28,CX17&lt;&gt;""),AND(DR17&gt;=DV$24,DR17&lt;&gt;"",DS17&gt;=DV$28,DS17&lt;&gt;""),AND(EM17&gt;=EQ$24,EM17&lt;&gt;"",EN17&gt;=EQ$28,EN17&lt;&gt;""),AND(FH17&gt;=FL$24,FH17&lt;&gt;"",FI17&gt;=FL$28,FI17&lt;&gt;""),AND(GC17&gt;=GG$24,GC17&lt;&gt;"",GD17&gt;=GG$28,GD17&lt;&gt;""),AND(GX17&gt;=HB$24,GX17&lt;&gt;"",GY17&gt;=HB$28,GY17&lt;&gt;""),AND(HS17&gt;=HW$24,HS17&lt;&gt;"",HT17&gt;=HW$28,HT17&lt;&gt;""),AND(IN17&gt;=IR$24,IN17&lt;&gt;"",IO17&gt;=IR$28,IO17&lt;&gt;""),AND(JI17&gt;=JM$24,JI17&lt;&gt;"",JJ17&gt;=JM$28,JJ17&lt;&gt;""),AND(KD17&gt;=KH$24,KD17&lt;&gt;"",KE17&gt;=KH$28,KE17&lt;&gt;""),AND(KY17&gt;=LC$24,KY17&lt;&gt;"",KZ17&gt;=LC$28,KZ17&lt;&gt;""),AND(LT17&gt;=LX$24,LT17&lt;&gt;"",LU17&gt;=LX$28,LU17&lt;&gt;"")),"Worlds Team",IF(OR(AND(AH17&gt;=AL$23,AH17&lt;&gt;"",AI17&gt;=AL$27,AI17&lt;&gt;"",AG17=""),AND(BD17&gt;=BH$23,BD17&lt;&gt;"",BE17&gt;=BH$27,BE17&lt;&gt;"",BC17=""),AND(BZ17&gt;=CD$23,BZ17&lt;&gt;"",CA17&gt;=CD$27,CA17&lt;&gt;"",BY17=""),AND(CW17&gt;=DA$23,CW17&lt;&gt;"",CX17&gt;=DA$27,CX17&lt;&gt;""),AND(DR17&gt;=DV$23,DR17&lt;&gt;"",DS17&gt;=DV$27,DS17&lt;&gt;""),AND(EM17&gt;=EQ$23,EM17&lt;&gt;"",EN17&gt;=EQ$27,EN17&lt;&gt;""),AND(FH17&gt;=FL$23,FH17&lt;&gt;"",FI17&gt;=FL$27,FI17&lt;&gt;""),AND(GC17&gt;=GG$23,GC17&lt;&gt;"",GD17&gt;=GG$27,GD17&lt;&gt;""),AND(GX17&gt;=HB$23,GX17&lt;&gt;"",GY17&gt;=HB$27,GY17&lt;&gt;""),AND(HS17&gt;=HW$23,HS17&lt;&gt;"",HT17&gt;=HW$27,HT17&lt;&gt;""),AND(IN17&gt;=IR$23,IN17&lt;&gt;"",IO17&gt;=IR$27,IO17&lt;&gt;""),AND(JI17&gt;=JM$23,JI17&lt;&gt;"",JJ17&gt;=JM$27,JJ17&lt;&gt;""),AND(KD17&gt;=KH$23,KD17&lt;&gt;"",KE17&gt;=KH$27,KE17&lt;&gt;""),AND(KY17&gt;=LC$23,KY17&lt;&gt;"",KZ17&gt;=LC$27,KZ17&lt;&gt;""),AND(LT17&gt;=LX$23,LT17&lt;&gt;"",LU17&gt;=LX$27,LU17&lt;&gt;"")),"National Team","")))))</f>
        <v/>
      </c>
      <c r="I17" s="3" t="str">
        <f>IF(OR(H17="Worlds Team",H17="Excellence",H17="Merit"),"P","")</f>
        <v/>
      </c>
      <c r="J17" s="14">
        <f>MAX(AI17,BE17,CA17)</f>
        <v>65.2</v>
      </c>
      <c r="K17" s="14" t="str">
        <f>IF(J17=0,"",IF(J17=CA17,$BI$1,IF(J17=BE17,$AM$1,IF(J17=AI17,$Q$1,""))))</f>
        <v>2021 2nd Virtual Technical Trial</v>
      </c>
      <c r="L17" s="14">
        <f>IF(J17=AI17,MAX(BH17,CD17),IF(J17=BE17,MAX(AL17,CD17),MAX(AL17,BH17)))</f>
        <v>0</v>
      </c>
      <c r="M17" s="14" t="str">
        <f>IF(L17=0,"",IF(AND(J17&lt;&gt;CA17,L17=CD17),$BI$1,IF(AND(J17&lt;&gt;BE17,L17=BH17),$AM$1,IF(L17=AL17,$Q$1,""))))</f>
        <v/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>IF(SUM(R17,V17)&gt;0,SUM(R17,V17),"")</f>
        <v/>
      </c>
      <c r="AI17" s="11" t="str">
        <f>IF(SUM(Q17:R17,T17:V17,X17)-SUM(S17,W17)&gt;0,SUM(Q17:R17,T17:V17,X17)-SUM(S17,W17),"")</f>
        <v/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 t="str">
        <f>IF(SUM(AI17,AK17)&gt;0,SUM(AI17,AK17),"")</f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>
        <v>27.5</v>
      </c>
      <c r="BJ17" s="61">
        <v>5.2</v>
      </c>
      <c r="BK17" s="61">
        <v>0.3</v>
      </c>
      <c r="BL17" s="61">
        <v>0</v>
      </c>
      <c r="BM17" s="61">
        <v>27.6</v>
      </c>
      <c r="BN17" s="61">
        <v>5.2</v>
      </c>
      <c r="BO17" s="61">
        <v>0</v>
      </c>
      <c r="BP17" s="61">
        <v>0</v>
      </c>
      <c r="BQ17" s="61">
        <v>28.8</v>
      </c>
      <c r="BR17" s="61">
        <v>3.4</v>
      </c>
      <c r="BS17" s="61">
        <v>0</v>
      </c>
      <c r="BT17" s="61">
        <v>0</v>
      </c>
      <c r="BU17" s="61">
        <v>27.5</v>
      </c>
      <c r="BV17" s="61">
        <v>3.6</v>
      </c>
      <c r="BW17" s="61">
        <v>3</v>
      </c>
      <c r="BX17" s="61">
        <v>0</v>
      </c>
      <c r="BY17" s="72"/>
      <c r="BZ17" s="11">
        <f>IF(SUM(BJ17,BN17)&gt;0,SUM(BJ17,BN17),"")</f>
        <v>10.4</v>
      </c>
      <c r="CA17" s="11">
        <f>IF(SUM(BI17:BJ17,BL17:BN17,BP17)-SUM(BK17,BO17)&gt;0,SUM(BI17:BJ17,BL17:BN17,BP17)-SUM(BK17,BO17),"")</f>
        <v>65.2</v>
      </c>
      <c r="CB17" s="11">
        <f>IF(SUM(BR17,BV17)&gt;0,SUM(BR17,BV17),"")</f>
        <v>7</v>
      </c>
      <c r="CC17" s="11">
        <f>IF(SUM(BQ17:BR17,BT17:BV17,BX17)-SUM(BS17,BW17)&gt;0,SUM(BQ17:BR17,BT17:BV17,BX17)-SUM(BS17,BW17),"")</f>
        <v>60.300000000000004</v>
      </c>
      <c r="CD17" s="11">
        <f>IF(SUM(CA17,CC17)&gt;0,SUM(CA17,CC17),"")</f>
        <v>125.5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13.75</v>
      </c>
      <c r="LZ17" s="61">
        <f>IF($BY17="P",BJ17,(BJ17+AN17)/2)</f>
        <v>2.6</v>
      </c>
      <c r="MA17" s="61">
        <f>IF($BY17="P",BK17,(BK17+AO17)/2)</f>
        <v>0.15</v>
      </c>
      <c r="MB17" s="61">
        <f>IF($BY17="P",BL17,(BL17+AP17)/2)</f>
        <v>0</v>
      </c>
      <c r="MC17" s="61">
        <f>IF($BY17="P",BM17,(BM17+AQ17)/2)</f>
        <v>13.8</v>
      </c>
      <c r="MD17" s="61">
        <f>IF($BY17="P",BN17,(BN17+AR17)/2)</f>
        <v>2.6</v>
      </c>
      <c r="ME17" s="61">
        <f>IF($BY17="P",BO17,(BO17+AS17)/2)</f>
        <v>0</v>
      </c>
      <c r="MF17" s="61">
        <f>IF($BY17="P",BP17,(BP17+AT17)/2)</f>
        <v>0</v>
      </c>
      <c r="MG17" s="61">
        <f>IF($BY17="P",BQ17,(BQ17+AU17)/2)</f>
        <v>14.4</v>
      </c>
      <c r="MH17" s="61">
        <f>IF($BY17="P",BR17,(BR17+AV17)/2)</f>
        <v>1.7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13.75</v>
      </c>
      <c r="ML17" s="61">
        <f>IF($BY17="P",BV17,(BV17+AZ17)/2)</f>
        <v>1.8</v>
      </c>
      <c r="MM17" s="61">
        <f>IF($BY17="P",BW17,(BW17+BA17)/2)</f>
        <v>1.5</v>
      </c>
      <c r="MN17" s="61">
        <f>IF($BY17="P",BX17,(BX17+BB17)/2)</f>
        <v>0</v>
      </c>
      <c r="MO17" s="72" t="s">
        <v>52</v>
      </c>
      <c r="MP17" s="11">
        <f>IF(SUM(LZ17,MD17)&gt;0,SUM(LZ17,MD17),"")</f>
        <v>5.2</v>
      </c>
      <c r="MQ17" s="11">
        <f>IF(SUM(LY17:LZ17,MB17:MD17,MF17)-SUM(MA17,ME17)&gt;0,SUM(LY17:LZ17,MB17:MD17,MF17)-SUM(MA17,ME17),"")</f>
        <v>32.6</v>
      </c>
      <c r="MR17" s="11">
        <f>IF(SUM(MH17,ML17)&gt;0,SUM(MH17,ML17),"")</f>
        <v>3.5</v>
      </c>
      <c r="MS17" s="11">
        <f>IF(SUM(MG17:MH17,MJ17:ML17,MN17)-SUM(MI17,MM17)&gt;0,SUM(MG17:MH17,MJ17:ML17,MN17)-SUM(MI17,MM17),"")</f>
        <v>30.150000000000002</v>
      </c>
      <c r="MT17" s="11">
        <f>IF(SUM(MQ17,MS17)&gt;0,SUM(MQ17,MS17),"")</f>
        <v>62.75</v>
      </c>
    </row>
    <row r="18" spans="1:358" x14ac:dyDescent="0.2">
      <c r="A18" s="5" t="str">
        <f>IF(AND(F18="P",G18="P"),SUMPRODUCT((F$4:F$21="P")*(G$4:G$21="P")*(E$4:E$21&gt;E18))+1,IF(G18="P",SUMPRODUCT((F$4:F$21="")*(G$4:G$21="P")*(E$4:E$21&gt;E18))+1+SUMPRODUCT((F$4:F$21="P")*(G$4:G$21="P")),""))</f>
        <v/>
      </c>
      <c r="B18" s="8" t="s">
        <v>146</v>
      </c>
      <c r="C18" s="4" t="s">
        <v>5</v>
      </c>
      <c r="D18" s="5">
        <v>2003</v>
      </c>
      <c r="E18" s="15">
        <f>SUM(J18:N18)</f>
        <v>62.699999999999996</v>
      </c>
      <c r="F18" s="3" t="str">
        <f>IF(OR(AND(AH18&gt;=AL$23,AI18&gt;=AL$27,AI18&lt;&gt;"",AG18=""),AND(BD18&gt;=BH$23,BE18&gt;=BH$27,BE18&lt;&gt;"",BC18=""),AND(BZ18&gt;=CD$23,CA18&gt;=CD$27,CA18&lt;&gt;"",BY18=""),AND(CW18&gt;=DA$23,CX18&gt;=DA$27,CX18&lt;&gt;""),AND(DR18&gt;=DV$23,DS18&gt;=DV$27,DS18&lt;&gt;""),AND(EM18&gt;=EQ$23,EN18&gt;=EQ$27,EN18&lt;&gt;""),AND(FH18&gt;=FL$23,FI18&gt;=FL$27,FI18&lt;&gt;""),AND(GC18&gt;=GG$23,GD18&gt;=GG$27,GD18&lt;&gt;""),AND(GX18&gt;=HB$23,GY18&gt;=HB$27,GY18&lt;&gt;""),AND(HS18&gt;=HW$23,HT18&gt;=HW$27,HT18&lt;&gt;""),AND(IN18&gt;=IR$23,IO18&gt;=IR$27,IO18&lt;&gt;""),AND(JI18&gt;=JM$23,JJ18&gt;=JM$27,JJ18&lt;&gt;""),AND(KD18&gt;=KH$23,KE18&gt;=KH$27,KE18&lt;&gt;""),AND(KY18&gt;=LC$23,KZ18&gt;=LC$27,KZ18&lt;&gt;""),AND(LT18&gt;=LX$23,LU18&gt;=LX$27,LU18&lt;&gt;"")),"P","")</f>
        <v/>
      </c>
      <c r="G18" s="3" t="str">
        <f>IF(OR(AND(AI18&gt;=AL$27,AI18&lt;&gt;"",AG18=""),AND(BE18&gt;=BH$27,BE18&lt;&gt;"",BC18=""),AND(CA18&gt;=CD$27,CA18&lt;&gt;"",BY18=""),AND(CX18&gt;=DA$27,CX18&lt;&gt;""),AND(DS18&gt;=DV$27,DS18&lt;&gt;""),AND(EN18&gt;=EQ$27,EN18&lt;&gt;""),AND(FI18&gt;=FL$27,FI18&lt;&gt;""),AND(GD18&gt;=GG$27,GD18&lt;&gt;""),AND(GY18&gt;=HB$27,GY18&lt;&gt;""),AND(HT18&gt;=HW$27,HT18&lt;&gt;""),AND(IO18&gt;=IR$27,IO18&lt;&gt;""),AND(JJ18&gt;=JM$27,JJ18&lt;&gt;""),AND(KE18&gt;=KH$27,KE18&lt;&gt;""),AND(KZ18&gt;=LC$27,KZ18&lt;&gt;""),AND(LU18&gt;=LX$27,LU18&lt;&gt;"")),"P","")</f>
        <v/>
      </c>
      <c r="H18" s="116" t="str">
        <f>IF(AND(G18="P",F18=""),"No DD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Merit",IF(OR(AND(AH18&gt;=AL$25,AH18&lt;&gt;"",AI18&gt;=AL$29,AI18&lt;&gt;"",AG18=""),AND(BD18&gt;=BH$25,BD18&lt;&gt;"",BE18&gt;=BH$29,BE18&lt;&gt;"",BC18=""),AND(BZ18&gt;=CD$25,BZ18&lt;&gt;"",CA18&gt;=CD$29,CA18&lt;&gt;"",BY18=""),AND(CW18&gt;=DA$25,CW18&lt;&gt;"",CX18&gt;=DA$29,CX18&lt;&gt;""),AND(DR18&gt;=DV$25,DR18&lt;&gt;"",DS18&gt;=DV$29,DS18&lt;&gt;""),AND(EM18&gt;=EQ$25,EM18&lt;&gt;"",EN18&gt;=EQ$29,EN18&lt;&gt;""),AND(FH18&gt;=FL$25,FH18&lt;&gt;"",FI18&gt;=FL$29,FI18&lt;&gt;""),AND(GC18&gt;=GG$25,GC18&lt;&gt;"",GD18&gt;=GG$29,GD18&lt;&gt;""),AND(GX18&gt;=HB$25,GX18&lt;&gt;"",GY18&gt;=HB$29,GY18&lt;&gt;""),AND(HS18&gt;=HW$25,HS18&lt;&gt;"",HT18&gt;=HW$29,HT18&lt;&gt;""),AND(IN18&gt;=IR$25,IN18&lt;&gt;"",IO18&gt;=IR$29,IO18&lt;&gt;""),AND(JI18&gt;=JM$25,JI18&lt;&gt;"",JJ18&gt;=JM$29,JJ18&lt;&gt;""),AND(KD18&gt;=KH$25,KD18&lt;&gt;"",KE18&gt;=KH$29,KE18&lt;&gt;""),AND(KY18&gt;=LC$25,KY18&lt;&gt;"",KZ18&gt;=LC$29,KZ18&lt;&gt;""),AND(LT18&gt;=LX$25,LT18&lt;&gt;"",LU18&gt;=LX$29,LU18&lt;&gt;"")),"Excellence",IF(OR(AND(AH18&gt;=AL$24,AH18&lt;&gt;"",AI18&gt;=AL$28,AI18&lt;&gt;"",AG18=""),AND(BD18&gt;=BH$24,BD18&lt;&gt;"",BE18&gt;=BH$28,BE18&lt;&gt;"",BC18=""),AND(BZ18&gt;=CD$24,BZ18&lt;&gt;"",CA18&gt;=CD$28,CA18&lt;&gt;"",BY18=""),AND(CW18&gt;=DA$24,CW18&lt;&gt;"",CX18&gt;=DA$28,CX18&lt;&gt;""),AND(DR18&gt;=DV$24,DR18&lt;&gt;"",DS18&gt;=DV$28,DS18&lt;&gt;""),AND(EM18&gt;=EQ$24,EM18&lt;&gt;"",EN18&gt;=EQ$28,EN18&lt;&gt;""),AND(FH18&gt;=FL$24,FH18&lt;&gt;"",FI18&gt;=FL$28,FI18&lt;&gt;""),AND(GC18&gt;=GG$24,GC18&lt;&gt;"",GD18&gt;=GG$28,GD18&lt;&gt;""),AND(GX18&gt;=HB$24,GX18&lt;&gt;"",GY18&gt;=HB$28,GY18&lt;&gt;""),AND(HS18&gt;=HW$24,HS18&lt;&gt;"",HT18&gt;=HW$28,HT18&lt;&gt;""),AND(IN18&gt;=IR$24,IN18&lt;&gt;"",IO18&gt;=IR$28,IO18&lt;&gt;""),AND(JI18&gt;=JM$24,JI18&lt;&gt;"",JJ18&gt;=JM$28,JJ18&lt;&gt;""),AND(KD18&gt;=KH$24,KD18&lt;&gt;"",KE18&gt;=KH$28,KE18&lt;&gt;""),AND(KY18&gt;=LC$24,KY18&lt;&gt;"",KZ18&gt;=LC$28,KZ18&lt;&gt;""),AND(LT18&gt;=LX$24,LT18&lt;&gt;"",LU18&gt;=LX$28,LU18&lt;&gt;"")),"Worlds Team",IF(OR(AND(AH18&gt;=AL$23,AH18&lt;&gt;"",AI18&gt;=AL$27,AI18&lt;&gt;"",AG18=""),AND(BD18&gt;=BH$23,BD18&lt;&gt;"",BE18&gt;=BH$27,BE18&lt;&gt;"",BC18=""),AND(BZ18&gt;=CD$23,BZ18&lt;&gt;"",CA18&gt;=CD$27,CA18&lt;&gt;"",BY18=""),AND(CW18&gt;=DA$23,CW18&lt;&gt;"",CX18&gt;=DA$27,CX18&lt;&gt;""),AND(DR18&gt;=DV$23,DR18&lt;&gt;"",DS18&gt;=DV$27,DS18&lt;&gt;""),AND(EM18&gt;=EQ$23,EM18&lt;&gt;"",EN18&gt;=EQ$27,EN18&lt;&gt;""),AND(FH18&gt;=FL$23,FH18&lt;&gt;"",FI18&gt;=FL$27,FI18&lt;&gt;""),AND(GC18&gt;=GG$23,GC18&lt;&gt;"",GD18&gt;=GG$27,GD18&lt;&gt;""),AND(GX18&gt;=HB$23,GX18&lt;&gt;"",GY18&gt;=HB$27,GY18&lt;&gt;""),AND(HS18&gt;=HW$23,HS18&lt;&gt;"",HT18&gt;=HW$27,HT18&lt;&gt;""),AND(IN18&gt;=IR$23,IN18&lt;&gt;"",IO18&gt;=IR$27,IO18&lt;&gt;""),AND(JI18&gt;=JM$23,JI18&lt;&gt;"",JJ18&gt;=JM$27,JJ18&lt;&gt;""),AND(KD18&gt;=KH$23,KD18&lt;&gt;"",KE18&gt;=KH$27,KE18&lt;&gt;""),AND(KY18&gt;=LC$23,KY18&lt;&gt;"",KZ18&gt;=LC$27,KZ18&lt;&gt;""),AND(LT18&gt;=LX$23,LT18&lt;&gt;"",LU18&gt;=LX$27,LU18&lt;&gt;"")),"National Team","")))))</f>
        <v/>
      </c>
      <c r="I18" s="3" t="str">
        <f>IF(OR(H18="Worlds Team",H18="Excellence",H18="Merit"),"P","")</f>
        <v/>
      </c>
      <c r="J18" s="14">
        <f>MAX(AI18,BE18,CA18)</f>
        <v>62.699999999999996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72"/>
      <c r="AH18" s="11" t="str">
        <f>IF(SUM(R18,V18)&gt;0,SUM(R18,V18),"")</f>
        <v/>
      </c>
      <c r="AI18" s="11" t="str">
        <f>IF(SUM(Q18:R18,T18:V18,X18)-SUM(S18,W18)&gt;0,SUM(Q18:R18,T18:V18,X18)-SUM(S18,W18),"")</f>
        <v/>
      </c>
      <c r="AJ18" s="11" t="str">
        <f>IF(SUM(Z18,AD18)&gt;0,SUM(Z18,AD18),"")</f>
        <v/>
      </c>
      <c r="AK18" s="11" t="str">
        <f>IF(SUM(Y18:Z18,AB18:AD18,AF18)-SUM(AA18,AE18)&gt;0,SUM(Y18:Z18,AB18:AD18,AF18)-SUM(AA18,AE18),"")</f>
        <v/>
      </c>
      <c r="AL18" s="11" t="str">
        <f>IF(SUM(AI18,AK18)&gt;0,SUM(AI18,AK18),"")</f>
        <v/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1">
        <v>27.5</v>
      </c>
      <c r="BJ18" s="61">
        <v>4.4000000000000004</v>
      </c>
      <c r="BK18" s="61">
        <v>0</v>
      </c>
      <c r="BL18" s="61">
        <v>0</v>
      </c>
      <c r="BM18" s="61">
        <v>27.7</v>
      </c>
      <c r="BN18" s="61">
        <v>3.1</v>
      </c>
      <c r="BO18" s="61">
        <v>0</v>
      </c>
      <c r="BP18" s="61">
        <v>0</v>
      </c>
      <c r="BQ18" s="61">
        <v>27.9</v>
      </c>
      <c r="BR18" s="61">
        <v>2.7</v>
      </c>
      <c r="BS18" s="61">
        <v>0.3</v>
      </c>
      <c r="BT18" s="61">
        <v>0</v>
      </c>
      <c r="BU18" s="61">
        <v>27.8</v>
      </c>
      <c r="BV18" s="61">
        <v>3.4</v>
      </c>
      <c r="BW18" s="61">
        <v>0</v>
      </c>
      <c r="BX18" s="61">
        <v>0</v>
      </c>
      <c r="BY18" s="72"/>
      <c r="BZ18" s="11">
        <f>IF(SUM(BJ18,BN18)&gt;0,SUM(BJ18,BN18),"")</f>
        <v>7.5</v>
      </c>
      <c r="CA18" s="11">
        <f>IF(SUM(BI18:BJ18,BL18:BN18,BP18)-SUM(BK18,BO18)&gt;0,SUM(BI18:BJ18,BL18:BN18,BP18)-SUM(BK18,BO18),"")</f>
        <v>62.699999999999996</v>
      </c>
      <c r="CB18" s="11">
        <f>IF(SUM(BR18,BV18)&gt;0,SUM(BR18,BV18),"")</f>
        <v>6.1</v>
      </c>
      <c r="CC18" s="11">
        <f>IF(SUM(BQ18:BR18,BT18:BV18,BX18)-SUM(BS18,BW18)&gt;0,SUM(BQ18:BR18,BT18:BV18,BX18)-SUM(BS18,BW18),"")</f>
        <v>61.5</v>
      </c>
      <c r="CD18" s="11">
        <f>IF(SUM(CA18,CC18)&gt;0,SUM(CA18,CC18),"")</f>
        <v>124.19999999999999</v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13.75</v>
      </c>
      <c r="LZ18" s="61">
        <f>IF($BY18="P",BJ18,(BJ18+AN18)/2)</f>
        <v>2.2000000000000002</v>
      </c>
      <c r="MA18" s="61">
        <f>IF($BY18="P",BK18,(BK18+AO18)/2)</f>
        <v>0</v>
      </c>
      <c r="MB18" s="61">
        <f>IF($BY18="P",BL18,(BL18+AP18)/2)</f>
        <v>0</v>
      </c>
      <c r="MC18" s="61">
        <f>IF($BY18="P",BM18,(BM18+AQ18)/2)</f>
        <v>13.85</v>
      </c>
      <c r="MD18" s="61">
        <f>IF($BY18="P",BN18,(BN18+AR18)/2)</f>
        <v>1.55</v>
      </c>
      <c r="ME18" s="61">
        <f>IF($BY18="P",BO18,(BO18+AS18)/2)</f>
        <v>0</v>
      </c>
      <c r="MF18" s="61">
        <f>IF($BY18="P",BP18,(BP18+AT18)/2)</f>
        <v>0</v>
      </c>
      <c r="MG18" s="61">
        <f>IF($BY18="P",BQ18,(BQ18+AU18)/2)</f>
        <v>13.95</v>
      </c>
      <c r="MH18" s="61">
        <f>IF($BY18="P",BR18,(BR18+AV18)/2)</f>
        <v>1.35</v>
      </c>
      <c r="MI18" s="61">
        <f>IF($BY18="P",BS18,(BS18+AW18)/2)</f>
        <v>0.15</v>
      </c>
      <c r="MJ18" s="61">
        <f>IF($BY18="P",BT18,(BT18+AX18)/2)</f>
        <v>0</v>
      </c>
      <c r="MK18" s="61">
        <f>IF($BY18="P",BU18,(BU18+AY18)/2)</f>
        <v>13.9</v>
      </c>
      <c r="ML18" s="61">
        <f>IF($BY18="P",BV18,(BV18+AZ18)/2)</f>
        <v>1.7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>
        <f>IF(SUM(LZ18,MD18)&gt;0,SUM(LZ18,MD18),"")</f>
        <v>3.75</v>
      </c>
      <c r="MQ18" s="11">
        <f>IF(SUM(LY18:LZ18,MB18:MD18,MF18)-SUM(MA18,ME18)&gt;0,SUM(LY18:LZ18,MB18:MD18,MF18)-SUM(MA18,ME18),"")</f>
        <v>31.349999999999998</v>
      </c>
      <c r="MR18" s="11">
        <f>IF(SUM(MH18,ML18)&gt;0,SUM(MH18,ML18),"")</f>
        <v>3.05</v>
      </c>
      <c r="MS18" s="11">
        <f>IF(SUM(MG18:MH18,MJ18:ML18,MN18)-SUM(MI18,MM18)&gt;0,SUM(MG18:MH18,MJ18:ML18,MN18)-SUM(MI18,MM18),"")</f>
        <v>30.75</v>
      </c>
      <c r="MT18" s="11">
        <f>IF(SUM(MQ18,MS18)&gt;0,SUM(MQ18,MS18),"")</f>
        <v>62.099999999999994</v>
      </c>
    </row>
    <row r="19" spans="1:358" x14ac:dyDescent="0.2">
      <c r="A19" s="5" t="str">
        <f>IF(AND(F19="P",G19="P"),SUMPRODUCT((F$4:F$21="P")*(G$4:G$21="P")*(E$4:E$21&gt;E19))+1,IF(G19="P",SUMPRODUCT((F$4:F$21="")*(G$4:G$21="P")*(E$4:E$21&gt;E19))+1+SUMPRODUCT((F$4:F$21="P")*(G$4:G$21="P")),""))</f>
        <v/>
      </c>
      <c r="B19" s="8" t="s">
        <v>90</v>
      </c>
      <c r="C19" s="4" t="s">
        <v>4</v>
      </c>
      <c r="D19" s="5">
        <v>2002</v>
      </c>
      <c r="E19" s="15">
        <f>SUM(J19:N19)</f>
        <v>53.4</v>
      </c>
      <c r="F19" s="3" t="str">
        <f>IF(OR(AND(AH19&gt;=AL$23,AI19&gt;=AL$27,AI19&lt;&gt;"",AG19=""),AND(BD19&gt;=BH$23,BE19&gt;=BH$27,BE19&lt;&gt;"",BC19=""),AND(BZ19&gt;=CD$23,CA19&gt;=CD$27,CA19&lt;&gt;"",BY19=""),AND(CW19&gt;=DA$23,CX19&gt;=DA$27,CX19&lt;&gt;""),AND(DR19&gt;=DV$23,DS19&gt;=DV$27,DS19&lt;&gt;""),AND(EM19&gt;=EQ$23,EN19&gt;=EQ$27,EN19&lt;&gt;""),AND(FH19&gt;=FL$23,FI19&gt;=FL$27,FI19&lt;&gt;""),AND(GC19&gt;=GG$23,GD19&gt;=GG$27,GD19&lt;&gt;""),AND(GX19&gt;=HB$23,GY19&gt;=HB$27,GY19&lt;&gt;""),AND(HS19&gt;=HW$23,HT19&gt;=HW$27,HT19&lt;&gt;""),AND(IN19&gt;=IR$23,IO19&gt;=IR$27,IO19&lt;&gt;""),AND(JI19&gt;=JM$23,JJ19&gt;=JM$27,JJ19&lt;&gt;""),AND(KD19&gt;=KH$23,KE19&gt;=KH$27,KE19&lt;&gt;""),AND(KY19&gt;=LC$23,KZ19&gt;=LC$27,KZ19&lt;&gt;""),AND(LT19&gt;=LX$23,LU19&gt;=LX$27,LU19&lt;&gt;"")),"P","")</f>
        <v/>
      </c>
      <c r="G19" s="3" t="str">
        <f>IF(OR(AND(AI19&gt;=AL$27,AI19&lt;&gt;"",AG19=""),AND(BE19&gt;=BH$27,BE19&lt;&gt;"",BC19=""),AND(CA19&gt;=CD$27,CA19&lt;&gt;"",BY19=""),AND(CX19&gt;=DA$27,CX19&lt;&gt;""),AND(DS19&gt;=DV$27,DS19&lt;&gt;""),AND(EN19&gt;=EQ$27,EN19&lt;&gt;""),AND(FI19&gt;=FL$27,FI19&lt;&gt;""),AND(GD19&gt;=GG$27,GD19&lt;&gt;""),AND(GY19&gt;=HB$27,GY19&lt;&gt;""),AND(HT19&gt;=HW$27,HT19&lt;&gt;""),AND(IO19&gt;=IR$27,IO19&lt;&gt;""),AND(JJ19&gt;=JM$27,JJ19&lt;&gt;""),AND(KE19&gt;=KH$27,KE19&lt;&gt;""),AND(KZ19&gt;=LC$27,KZ19&lt;&gt;""),AND(LU19&gt;=LX$27,LU19&lt;&gt;"")),"P","")</f>
        <v/>
      </c>
      <c r="H19" s="116" t="str">
        <f>IF(AND(G19="P",F19=""),"No DD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Merit",IF(OR(AND(AH19&gt;=AL$25,AH19&lt;&gt;"",AI19&gt;=AL$29,AI19&lt;&gt;"",AG19=""),AND(BD19&gt;=BH$25,BD19&lt;&gt;"",BE19&gt;=BH$29,BE19&lt;&gt;"",BC19=""),AND(BZ19&gt;=CD$25,BZ19&lt;&gt;"",CA19&gt;=CD$29,CA19&lt;&gt;"",BY19=""),AND(CW19&gt;=DA$25,CW19&lt;&gt;"",CX19&gt;=DA$29,CX19&lt;&gt;""),AND(DR19&gt;=DV$25,DR19&lt;&gt;"",DS19&gt;=DV$29,DS19&lt;&gt;""),AND(EM19&gt;=EQ$25,EM19&lt;&gt;"",EN19&gt;=EQ$29,EN19&lt;&gt;""),AND(FH19&gt;=FL$25,FH19&lt;&gt;"",FI19&gt;=FL$29,FI19&lt;&gt;""),AND(GC19&gt;=GG$25,GC19&lt;&gt;"",GD19&gt;=GG$29,GD19&lt;&gt;""),AND(GX19&gt;=HB$25,GX19&lt;&gt;"",GY19&gt;=HB$29,GY19&lt;&gt;""),AND(HS19&gt;=HW$25,HS19&lt;&gt;"",HT19&gt;=HW$29,HT19&lt;&gt;""),AND(IN19&gt;=IR$25,IN19&lt;&gt;"",IO19&gt;=IR$29,IO19&lt;&gt;""),AND(JI19&gt;=JM$25,JI19&lt;&gt;"",JJ19&gt;=JM$29,JJ19&lt;&gt;""),AND(KD19&gt;=KH$25,KD19&lt;&gt;"",KE19&gt;=KH$29,KE19&lt;&gt;""),AND(KY19&gt;=LC$25,KY19&lt;&gt;"",KZ19&gt;=LC$29,KZ19&lt;&gt;""),AND(LT19&gt;=LX$25,LT19&lt;&gt;"",LU19&gt;=LX$29,LU19&lt;&gt;"")),"Excellence",IF(OR(AND(AH19&gt;=AL$24,AH19&lt;&gt;"",AI19&gt;=AL$28,AI19&lt;&gt;"",AG19=""),AND(BD19&gt;=BH$24,BD19&lt;&gt;"",BE19&gt;=BH$28,BE19&lt;&gt;"",BC19=""),AND(BZ19&gt;=CD$24,BZ19&lt;&gt;"",CA19&gt;=CD$28,CA19&lt;&gt;"",BY19=""),AND(CW19&gt;=DA$24,CW19&lt;&gt;"",CX19&gt;=DA$28,CX19&lt;&gt;""),AND(DR19&gt;=DV$24,DR19&lt;&gt;"",DS19&gt;=DV$28,DS19&lt;&gt;""),AND(EM19&gt;=EQ$24,EM19&lt;&gt;"",EN19&gt;=EQ$28,EN19&lt;&gt;""),AND(FH19&gt;=FL$24,FH19&lt;&gt;"",FI19&gt;=FL$28,FI19&lt;&gt;""),AND(GC19&gt;=GG$24,GC19&lt;&gt;"",GD19&gt;=GG$28,GD19&lt;&gt;""),AND(GX19&gt;=HB$24,GX19&lt;&gt;"",GY19&gt;=HB$28,GY19&lt;&gt;""),AND(HS19&gt;=HW$24,HS19&lt;&gt;"",HT19&gt;=HW$28,HT19&lt;&gt;""),AND(IN19&gt;=IR$24,IN19&lt;&gt;"",IO19&gt;=IR$28,IO19&lt;&gt;""),AND(JI19&gt;=JM$24,JI19&lt;&gt;"",JJ19&gt;=JM$28,JJ19&lt;&gt;""),AND(KD19&gt;=KH$24,KD19&lt;&gt;"",KE19&gt;=KH$28,KE19&lt;&gt;""),AND(KY19&gt;=LC$24,KY19&lt;&gt;"",KZ19&gt;=LC$28,KZ19&lt;&gt;""),AND(LT19&gt;=LX$24,LT19&lt;&gt;"",LU19&gt;=LX$28,LU19&lt;&gt;"")),"Worlds Team",IF(OR(AND(AH19&gt;=AL$23,AH19&lt;&gt;"",AI19&gt;=AL$27,AI19&lt;&gt;"",AG19=""),AND(BD19&gt;=BH$23,BD19&lt;&gt;"",BE19&gt;=BH$27,BE19&lt;&gt;"",BC19=""),AND(BZ19&gt;=CD$23,BZ19&lt;&gt;"",CA19&gt;=CD$27,CA19&lt;&gt;"",BY19=""),AND(CW19&gt;=DA$23,CW19&lt;&gt;"",CX19&gt;=DA$27,CX19&lt;&gt;""),AND(DR19&gt;=DV$23,DR19&lt;&gt;"",DS19&gt;=DV$27,DS19&lt;&gt;""),AND(EM19&gt;=EQ$23,EM19&lt;&gt;"",EN19&gt;=EQ$27,EN19&lt;&gt;""),AND(FH19&gt;=FL$23,FH19&lt;&gt;"",FI19&gt;=FL$27,FI19&lt;&gt;""),AND(GC19&gt;=GG$23,GC19&lt;&gt;"",GD19&gt;=GG$27,GD19&lt;&gt;""),AND(GX19&gt;=HB$23,GX19&lt;&gt;"",GY19&gt;=HB$27,GY19&lt;&gt;""),AND(HS19&gt;=HW$23,HS19&lt;&gt;"",HT19&gt;=HW$27,HT19&lt;&gt;""),AND(IN19&gt;=IR$23,IN19&lt;&gt;"",IO19&gt;=IR$27,IO19&lt;&gt;""),AND(JI19&gt;=JM$23,JI19&lt;&gt;"",JJ19&gt;=JM$27,JJ19&lt;&gt;""),AND(KD19&gt;=KH$23,KD19&lt;&gt;"",KE19&gt;=KH$27,KE19&lt;&gt;""),AND(KY19&gt;=LC$23,KY19&lt;&gt;"",KZ19&gt;=LC$27,KZ19&lt;&gt;""),AND(LT19&gt;=LX$23,LT19&lt;&gt;"",LU19&gt;=LX$27,LU19&lt;&gt;"")),"National Team","")))))</f>
        <v/>
      </c>
      <c r="I19" s="3" t="str">
        <f>IF(OR(H19="Worlds Team",H19="Excellence",H19="Merit"),"P","")</f>
        <v/>
      </c>
      <c r="J19" s="14">
        <f>MAX(AI19,BE19,CA19)</f>
        <v>53.4</v>
      </c>
      <c r="K19" s="14" t="str">
        <f>IF(J19=0,"",IF(J19=CA19,$BI$1,IF(J19=BE19,$AM$1,IF(J19=AI19,$Q$1,""))))</f>
        <v>2019 Nationals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>
        <v>28.5</v>
      </c>
      <c r="R19" s="61">
        <v>3</v>
      </c>
      <c r="S19" s="61">
        <v>1</v>
      </c>
      <c r="T19" s="61">
        <v>0</v>
      </c>
      <c r="U19" s="61">
        <v>20.100000000000001</v>
      </c>
      <c r="V19" s="61">
        <v>2.8</v>
      </c>
      <c r="W19" s="61">
        <v>0</v>
      </c>
      <c r="X19" s="61">
        <v>0</v>
      </c>
      <c r="Y19" s="61"/>
      <c r="Z19" s="61"/>
      <c r="AA19" s="61"/>
      <c r="AB19" s="61"/>
      <c r="AC19" s="61"/>
      <c r="AD19" s="61"/>
      <c r="AE19" s="61"/>
      <c r="AF19" s="61"/>
      <c r="AG19" s="72"/>
      <c r="AH19" s="11">
        <f>IF(SUM(R19,V19)&gt;0,SUM(R19,V19),"")</f>
        <v>5.8</v>
      </c>
      <c r="AI19" s="11">
        <f>IF(SUM(Q19:R19,T19:V19,X19)-SUM(S19,W19)&gt;0,SUM(Q19:R19,T19:V19,X19)-SUM(S19,W19),"")</f>
        <v>53.4</v>
      </c>
      <c r="AJ19" s="11" t="str">
        <f>IF(SUM(Z19,AD19)&gt;0,SUM(Z19,AD19),"")</f>
        <v/>
      </c>
      <c r="AK19" s="11" t="str">
        <f>IF(SUM(Y19:Z19,AB19:AD19,AF19)-SUM(AA19,AE19)&gt;0,SUM(Y19:Z19,AB19:AD19,AF19)-SUM(AA19,AE19),"")</f>
        <v/>
      </c>
      <c r="AL19" s="11">
        <f>IF(SUM(AI19,AK19)&gt;0,SUM(AI19,AK19),"")</f>
        <v>53.4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72"/>
      <c r="BZ19" s="11" t="str">
        <f>IF(SUM(BJ19,BN19)&gt;0,SUM(BJ19,BN19),"")</f>
        <v/>
      </c>
      <c r="CA19" s="11" t="str">
        <f>IF(SUM(BI19:BJ19,BL19:BN19,BP19)-SUM(BK19,BO19)&gt;0,SUM(BI19:BJ19,BL19:BN19,BP19)-SUM(BK19,BO19),"")</f>
        <v/>
      </c>
      <c r="CB19" s="11" t="str">
        <f>IF(SUM(BR19,BV19)&gt;0,SUM(BR19,BV19),"")</f>
        <v/>
      </c>
      <c r="CC19" s="11" t="str">
        <f>IF(SUM(BQ19:BR19,BT19:BV19,BX19)-SUM(BS19,BW19)&gt;0,SUM(BQ19:BR19,BT19:BV19,BX19)-SUM(BS19,BW19),"")</f>
        <v/>
      </c>
      <c r="CD19" s="11" t="str">
        <f>IF(SUM(CA19,CC19)&gt;0,SUM(CA19,CC19),"")</f>
        <v/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0</v>
      </c>
      <c r="LZ19" s="61">
        <f>IF($BY19="P",BJ19,(BJ19+AN19)/2)</f>
        <v>0</v>
      </c>
      <c r="MA19" s="61">
        <f>IF($BY19="P",BK19,(BK19+AO19)/2)</f>
        <v>0</v>
      </c>
      <c r="MB19" s="61">
        <f>IF($BY19="P",BL19,(BL19+AP19)/2)</f>
        <v>0</v>
      </c>
      <c r="MC19" s="61">
        <f>IF($BY19="P",BM19,(BM19+AQ19)/2)</f>
        <v>0</v>
      </c>
      <c r="MD19" s="61">
        <f>IF($BY19="P",BN19,(BN19+AR19)/2)</f>
        <v>0</v>
      </c>
      <c r="ME19" s="61">
        <f>IF($BY19="P",BO19,(BO19+AS19)/2)</f>
        <v>0</v>
      </c>
      <c r="MF19" s="61">
        <f>IF($BY19="P",BP19,(BP19+AT19)/2)</f>
        <v>0</v>
      </c>
      <c r="MG19" s="61">
        <f>IF($BY19="P",BQ19,(BQ19+AU19)/2)</f>
        <v>0</v>
      </c>
      <c r="MH19" s="61">
        <f>IF($BY19="P",BR19,(BR19+AV19)/2)</f>
        <v>0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0</v>
      </c>
      <c r="ML19" s="61">
        <f>IF($BY19="P",BV19,(BV19+AZ19)/2)</f>
        <v>0</v>
      </c>
      <c r="MM19" s="61">
        <f>IF($BY19="P",BW19,(BW19+BA19)/2)</f>
        <v>0</v>
      </c>
      <c r="MN19" s="61">
        <f>IF($BY19="P",BX19,(BX19+BB19)/2)</f>
        <v>0</v>
      </c>
      <c r="MO19" s="72" t="s">
        <v>52</v>
      </c>
      <c r="MP19" s="11" t="str">
        <f>IF(SUM(LZ19,MD19)&gt;0,SUM(LZ19,MD19),"")</f>
        <v/>
      </c>
      <c r="MQ19" s="11" t="str">
        <f>IF(SUM(LY19:LZ19,MB19:MD19,MF19)-SUM(MA19,ME19)&gt;0,SUM(LY19:LZ19,MB19:MD19,MF19)-SUM(MA19,ME19),"")</f>
        <v/>
      </c>
      <c r="MR19" s="11" t="str">
        <f>IF(SUM(MH19,ML19)&gt;0,SUM(MH19,ML19),"")</f>
        <v/>
      </c>
      <c r="MS19" s="11" t="str">
        <f>IF(SUM(MG19:MH19,MJ19:ML19,MN19)-SUM(MI19,MM19)&gt;0,SUM(MG19:MH19,MJ19:ML19,MN19)-SUM(MI19,MM19),"")</f>
        <v/>
      </c>
      <c r="MT19" s="11" t="str">
        <f>IF(SUM(MQ19,MS19)&gt;0,SUM(MQ19,MS19),"")</f>
        <v/>
      </c>
    </row>
    <row r="20" spans="1:358" x14ac:dyDescent="0.2">
      <c r="A20" s="5" t="str">
        <f>IF(AND(F20="P",G20="P"),SUMPRODUCT((F$4:F$21="P")*(G$4:G$21="P")*(E$4:E$21&gt;E20))+1,IF(G20="P",SUMPRODUCT((F$4:F$21="")*(G$4:G$21="P")*(E$4:E$21&gt;E20))+1+SUMPRODUCT((F$4:F$21="P")*(G$4:G$21="P")),""))</f>
        <v/>
      </c>
      <c r="B20" s="8" t="s">
        <v>147</v>
      </c>
      <c r="C20" s="4" t="s">
        <v>4</v>
      </c>
      <c r="D20" s="5">
        <v>2004</v>
      </c>
      <c r="E20" s="15">
        <f>SUM(J20:N20)</f>
        <v>52.900000000000006</v>
      </c>
      <c r="F20" s="3" t="str">
        <f>IF(OR(AND(AH20&gt;=AL$23,AI20&gt;=AL$27,AI20&lt;&gt;"",AG20=""),AND(BD20&gt;=BH$23,BE20&gt;=BH$27,BE20&lt;&gt;"",BC20=""),AND(BZ20&gt;=CD$23,CA20&gt;=CD$27,CA20&lt;&gt;"",BY20=""),AND(CW20&gt;=DA$23,CX20&gt;=DA$27,CX20&lt;&gt;""),AND(DR20&gt;=DV$23,DS20&gt;=DV$27,DS20&lt;&gt;""),AND(EM20&gt;=EQ$23,EN20&gt;=EQ$27,EN20&lt;&gt;""),AND(FH20&gt;=FL$23,FI20&gt;=FL$27,FI20&lt;&gt;""),AND(GC20&gt;=GG$23,GD20&gt;=GG$27,GD20&lt;&gt;""),AND(GX20&gt;=HB$23,GY20&gt;=HB$27,GY20&lt;&gt;""),AND(HS20&gt;=HW$23,HT20&gt;=HW$27,HT20&lt;&gt;""),AND(IN20&gt;=IR$23,IO20&gt;=IR$27,IO20&lt;&gt;""),AND(JI20&gt;=JM$23,JJ20&gt;=JM$27,JJ20&lt;&gt;""),AND(KD20&gt;=KH$23,KE20&gt;=KH$27,KE20&lt;&gt;""),AND(KY20&gt;=LC$23,KZ20&gt;=LC$27,KZ20&lt;&gt;""),AND(LT20&gt;=LX$23,LU20&gt;=LX$27,LU20&lt;&gt;"")),"P","")</f>
        <v/>
      </c>
      <c r="G20" s="3" t="str">
        <f>IF(OR(AND(AI20&gt;=AL$27,AI20&lt;&gt;"",AG20=""),AND(BE20&gt;=BH$27,BE20&lt;&gt;"",BC20=""),AND(CA20&gt;=CD$27,CA20&lt;&gt;"",BY20=""),AND(CX20&gt;=DA$27,CX20&lt;&gt;""),AND(DS20&gt;=DV$27,DS20&lt;&gt;""),AND(EN20&gt;=EQ$27,EN20&lt;&gt;""),AND(FI20&gt;=FL$27,FI20&lt;&gt;""),AND(GD20&gt;=GG$27,GD20&lt;&gt;""),AND(GY20&gt;=HB$27,GY20&lt;&gt;""),AND(HT20&gt;=HW$27,HT20&lt;&gt;""),AND(IO20&gt;=IR$27,IO20&lt;&gt;""),AND(JJ20&gt;=JM$27,JJ20&lt;&gt;""),AND(KE20&gt;=KH$27,KE20&lt;&gt;""),AND(KZ20&gt;=LC$27,KZ20&lt;&gt;""),AND(LU20&gt;=LX$27,LU20&lt;&gt;"")),"P","")</f>
        <v/>
      </c>
      <c r="H20" s="116" t="str">
        <f>IF(AND(G20="P",F20=""),"No DD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Merit",IF(OR(AND(AH20&gt;=AL$25,AH20&lt;&gt;"",AI20&gt;=AL$29,AI20&lt;&gt;"",AG20=""),AND(BD20&gt;=BH$25,BD20&lt;&gt;"",BE20&gt;=BH$29,BE20&lt;&gt;"",BC20=""),AND(BZ20&gt;=CD$25,BZ20&lt;&gt;"",CA20&gt;=CD$29,CA20&lt;&gt;"",BY20=""),AND(CW20&gt;=DA$25,CW20&lt;&gt;"",CX20&gt;=DA$29,CX20&lt;&gt;""),AND(DR20&gt;=DV$25,DR20&lt;&gt;"",DS20&gt;=DV$29,DS20&lt;&gt;""),AND(EM20&gt;=EQ$25,EM20&lt;&gt;"",EN20&gt;=EQ$29,EN20&lt;&gt;""),AND(FH20&gt;=FL$25,FH20&lt;&gt;"",FI20&gt;=FL$29,FI20&lt;&gt;""),AND(GC20&gt;=GG$25,GC20&lt;&gt;"",GD20&gt;=GG$29,GD20&lt;&gt;""),AND(GX20&gt;=HB$25,GX20&lt;&gt;"",GY20&gt;=HB$29,GY20&lt;&gt;""),AND(HS20&gt;=HW$25,HS20&lt;&gt;"",HT20&gt;=HW$29,HT20&lt;&gt;""),AND(IN20&gt;=IR$25,IN20&lt;&gt;"",IO20&gt;=IR$29,IO20&lt;&gt;""),AND(JI20&gt;=JM$25,JI20&lt;&gt;"",JJ20&gt;=JM$29,JJ20&lt;&gt;""),AND(KD20&gt;=KH$25,KD20&lt;&gt;"",KE20&gt;=KH$29,KE20&lt;&gt;""),AND(KY20&gt;=LC$25,KY20&lt;&gt;"",KZ20&gt;=LC$29,KZ20&lt;&gt;""),AND(LT20&gt;=LX$25,LT20&lt;&gt;"",LU20&gt;=LX$29,LU20&lt;&gt;"")),"Excellence",IF(OR(AND(AH20&gt;=AL$24,AH20&lt;&gt;"",AI20&gt;=AL$28,AI20&lt;&gt;"",AG20=""),AND(BD20&gt;=BH$24,BD20&lt;&gt;"",BE20&gt;=BH$28,BE20&lt;&gt;"",BC20=""),AND(BZ20&gt;=CD$24,BZ20&lt;&gt;"",CA20&gt;=CD$28,CA20&lt;&gt;"",BY20=""),AND(CW20&gt;=DA$24,CW20&lt;&gt;"",CX20&gt;=DA$28,CX20&lt;&gt;""),AND(DR20&gt;=DV$24,DR20&lt;&gt;"",DS20&gt;=DV$28,DS20&lt;&gt;""),AND(EM20&gt;=EQ$24,EM20&lt;&gt;"",EN20&gt;=EQ$28,EN20&lt;&gt;""),AND(FH20&gt;=FL$24,FH20&lt;&gt;"",FI20&gt;=FL$28,FI20&lt;&gt;""),AND(GC20&gt;=GG$24,GC20&lt;&gt;"",GD20&gt;=GG$28,GD20&lt;&gt;""),AND(GX20&gt;=HB$24,GX20&lt;&gt;"",GY20&gt;=HB$28,GY20&lt;&gt;""),AND(HS20&gt;=HW$24,HS20&lt;&gt;"",HT20&gt;=HW$28,HT20&lt;&gt;""),AND(IN20&gt;=IR$24,IN20&lt;&gt;"",IO20&gt;=IR$28,IO20&lt;&gt;""),AND(JI20&gt;=JM$24,JI20&lt;&gt;"",JJ20&gt;=JM$28,JJ20&lt;&gt;""),AND(KD20&gt;=KH$24,KD20&lt;&gt;"",KE20&gt;=KH$28,KE20&lt;&gt;""),AND(KY20&gt;=LC$24,KY20&lt;&gt;"",KZ20&gt;=LC$28,KZ20&lt;&gt;""),AND(LT20&gt;=LX$24,LT20&lt;&gt;"",LU20&gt;=LX$28,LU20&lt;&gt;"")),"Worlds Team",IF(OR(AND(AH20&gt;=AL$23,AH20&lt;&gt;"",AI20&gt;=AL$27,AI20&lt;&gt;"",AG20=""),AND(BD20&gt;=BH$23,BD20&lt;&gt;"",BE20&gt;=BH$27,BE20&lt;&gt;"",BC20=""),AND(BZ20&gt;=CD$23,BZ20&lt;&gt;"",CA20&gt;=CD$27,CA20&lt;&gt;"",BY20=""),AND(CW20&gt;=DA$23,CW20&lt;&gt;"",CX20&gt;=DA$27,CX20&lt;&gt;""),AND(DR20&gt;=DV$23,DR20&lt;&gt;"",DS20&gt;=DV$27,DS20&lt;&gt;""),AND(EM20&gt;=EQ$23,EM20&lt;&gt;"",EN20&gt;=EQ$27,EN20&lt;&gt;""),AND(FH20&gt;=FL$23,FH20&lt;&gt;"",FI20&gt;=FL$27,FI20&lt;&gt;""),AND(GC20&gt;=GG$23,GC20&lt;&gt;"",GD20&gt;=GG$27,GD20&lt;&gt;""),AND(GX20&gt;=HB$23,GX20&lt;&gt;"",GY20&gt;=HB$27,GY20&lt;&gt;""),AND(HS20&gt;=HW$23,HS20&lt;&gt;"",HT20&gt;=HW$27,HT20&lt;&gt;""),AND(IN20&gt;=IR$23,IN20&lt;&gt;"",IO20&gt;=IR$27,IO20&lt;&gt;""),AND(JI20&gt;=JM$23,JI20&lt;&gt;"",JJ20&gt;=JM$27,JJ20&lt;&gt;""),AND(KD20&gt;=KH$23,KD20&lt;&gt;"",KE20&gt;=KH$27,KE20&lt;&gt;""),AND(KY20&gt;=LC$23,KY20&lt;&gt;"",KZ20&gt;=LC$27,KZ20&lt;&gt;""),AND(LT20&gt;=LX$23,LT20&lt;&gt;"",LU20&gt;=LX$27,LU20&lt;&gt;"")),"National Team","")))))</f>
        <v/>
      </c>
      <c r="I20" s="3" t="str">
        <f>IF(OR(H20="Worlds Team",H20="Excellence",H20="Merit"),"P","")</f>
        <v/>
      </c>
      <c r="J20" s="14">
        <f>MAX(AI20,BE20,CA20)</f>
        <v>52.900000000000006</v>
      </c>
      <c r="K20" s="14" t="str">
        <f>IF(J20=0,"",IF(J20=CA20,$BI$1,IF(J20=BE20,$AM$1,IF(J20=AI20,$Q$1,""))))</f>
        <v>2021 2nd Virtual Technical Trial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>IF(SUM(R20,V20)&gt;0,SUM(R20,V20),"")</f>
        <v/>
      </c>
      <c r="AI20" s="11" t="str">
        <f>IF(SUM(Q20:R20,T20:V20,X20)-SUM(S20,W20)&gt;0,SUM(Q20:R20,T20:V20,X20)-SUM(S20,W20),"")</f>
        <v/>
      </c>
      <c r="AJ20" s="11" t="str">
        <f>IF(SUM(Z20,AD20)&gt;0,SUM(Z20,AD20),"")</f>
        <v/>
      </c>
      <c r="AK20" s="11" t="str">
        <f>IF(SUM(Y20:Z20,AB20:AD20,AF20)-SUM(AA20,AE20)&gt;0,SUM(Y20:Z20,AB20:AD20,AF20)-SUM(AA20,AE20),"")</f>
        <v/>
      </c>
      <c r="AL20" s="11" t="str">
        <f>IF(SUM(AI20,AK20)&gt;0,SUM(AI20,AK20),"")</f>
        <v/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1">
        <v>27.8</v>
      </c>
      <c r="BJ20" s="61">
        <v>3.7</v>
      </c>
      <c r="BK20" s="61">
        <v>0</v>
      </c>
      <c r="BL20" s="61">
        <v>0</v>
      </c>
      <c r="BM20" s="61">
        <v>20.2</v>
      </c>
      <c r="BN20" s="61">
        <v>1.2</v>
      </c>
      <c r="BO20" s="61">
        <v>0</v>
      </c>
      <c r="BP20" s="61">
        <v>0</v>
      </c>
      <c r="BQ20" s="61">
        <v>27.6</v>
      </c>
      <c r="BR20" s="61">
        <v>3.5</v>
      </c>
      <c r="BS20" s="61">
        <v>0</v>
      </c>
      <c r="BT20" s="61">
        <v>0</v>
      </c>
      <c r="BU20" s="61">
        <v>24.6</v>
      </c>
      <c r="BV20" s="61">
        <v>3.8</v>
      </c>
      <c r="BW20" s="61">
        <v>0.3</v>
      </c>
      <c r="BX20" s="61">
        <v>0</v>
      </c>
      <c r="BY20" s="72"/>
      <c r="BZ20" s="11">
        <f>IF(SUM(BJ20,BN20)&gt;0,SUM(BJ20,BN20),"")</f>
        <v>4.9000000000000004</v>
      </c>
      <c r="CA20" s="11">
        <f>IF(SUM(BI20:BJ20,BL20:BN20,BP20)-SUM(BK20,BO20)&gt;0,SUM(BI20:BJ20,BL20:BN20,BP20)-SUM(BK20,BO20),"")</f>
        <v>52.900000000000006</v>
      </c>
      <c r="CB20" s="11">
        <f>IF(SUM(BR20,BV20)&gt;0,SUM(BR20,BV20),"")</f>
        <v>7.3</v>
      </c>
      <c r="CC20" s="11">
        <f>IF(SUM(BQ20:BR20,BT20:BV20,BX20)-SUM(BS20,BW20)&gt;0,SUM(BQ20:BR20,BT20:BV20,BX20)-SUM(BS20,BW20),"")</f>
        <v>59.2</v>
      </c>
      <c r="CD20" s="11">
        <f>IF(SUM(CA20,CC20)&gt;0,SUM(CA20,CC20),"")</f>
        <v>112.10000000000001</v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13.9</v>
      </c>
      <c r="LZ20" s="61">
        <f>IF($BY20="P",BJ20,(BJ20+AN20)/2)</f>
        <v>1.85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10.1</v>
      </c>
      <c r="MD20" s="61">
        <f>IF($BY20="P",BN20,(BN20+AR20)/2)</f>
        <v>0.6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13.8</v>
      </c>
      <c r="MH20" s="61">
        <f>IF($BY20="P",BR20,(BR20+AV20)/2)</f>
        <v>1.75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12.3</v>
      </c>
      <c r="ML20" s="61">
        <f>IF($BY20="P",BV20,(BV20+AZ20)/2)</f>
        <v>1.9</v>
      </c>
      <c r="MM20" s="61">
        <f>IF($BY20="P",BW20,(BW20+BA20)/2)</f>
        <v>0.15</v>
      </c>
      <c r="MN20" s="61">
        <f>IF($BY20="P",BX20,(BX20+BB20)/2)</f>
        <v>0</v>
      </c>
      <c r="MO20" s="72" t="s">
        <v>52</v>
      </c>
      <c r="MP20" s="11">
        <f>IF(SUM(LZ20,MD20)&gt;0,SUM(LZ20,MD20),"")</f>
        <v>2.4500000000000002</v>
      </c>
      <c r="MQ20" s="11">
        <f>IF(SUM(LY20:LZ20,MB20:MD20,MF20)-SUM(MA20,ME20)&gt;0,SUM(LY20:LZ20,MB20:MD20,MF20)-SUM(MA20,ME20),"")</f>
        <v>26.450000000000003</v>
      </c>
      <c r="MR20" s="11">
        <f>IF(SUM(MH20,ML20)&gt;0,SUM(MH20,ML20),"")</f>
        <v>3.65</v>
      </c>
      <c r="MS20" s="11">
        <f>IF(SUM(MG20:MH20,MJ20:ML20,MN20)-SUM(MI20,MM20)&gt;0,SUM(MG20:MH20,MJ20:ML20,MN20)-SUM(MI20,MM20),"")</f>
        <v>29.6</v>
      </c>
      <c r="MT20" s="11">
        <f>IF(SUM(MQ20,MS20)&gt;0,SUM(MQ20,MS20),"")</f>
        <v>56.050000000000004</v>
      </c>
    </row>
    <row r="21" spans="1:358" s="46" customFormat="1" x14ac:dyDescent="0.2">
      <c r="A21" s="7"/>
      <c r="B21" s="8"/>
      <c r="C21" s="4"/>
      <c r="D21" s="7"/>
      <c r="E21" s="87"/>
      <c r="F21" s="88"/>
      <c r="G21" s="88"/>
      <c r="H21" s="118"/>
      <c r="I21" s="88"/>
      <c r="J21" s="47"/>
      <c r="K21" s="47"/>
      <c r="L21" s="47"/>
      <c r="M21" s="47"/>
      <c r="N21" s="47"/>
      <c r="O21" s="89"/>
      <c r="P21" s="47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1"/>
      <c r="AH21" s="47"/>
      <c r="AI21" s="47"/>
      <c r="AJ21" s="47"/>
      <c r="AK21" s="47"/>
      <c r="AL21" s="47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1"/>
      <c r="BD21" s="47"/>
      <c r="BE21" s="47"/>
      <c r="BF21" s="47"/>
      <c r="BG21" s="47"/>
      <c r="BH21" s="47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1"/>
      <c r="BZ21" s="47"/>
      <c r="CA21" s="47"/>
      <c r="CB21" s="47"/>
      <c r="CC21" s="47"/>
      <c r="CD21" s="47"/>
      <c r="CE21" s="47"/>
      <c r="CF21" s="47"/>
      <c r="CG21" s="93"/>
      <c r="CH21" s="93"/>
      <c r="CI21" s="93"/>
      <c r="CJ21" s="93"/>
      <c r="CK21" s="93"/>
      <c r="CL21" s="93"/>
      <c r="CM21" s="93"/>
      <c r="CN21" s="93"/>
      <c r="CO21" s="93"/>
      <c r="CP21" s="93"/>
      <c r="CQ21" s="93"/>
      <c r="CR21" s="93"/>
      <c r="CS21" s="93"/>
      <c r="CT21" s="93"/>
      <c r="CU21" s="93"/>
      <c r="CV21" s="93"/>
      <c r="CW21" s="47"/>
      <c r="CX21" s="47"/>
      <c r="CY21" s="47"/>
      <c r="CZ21" s="47"/>
      <c r="DA21" s="47"/>
      <c r="DB21" s="93"/>
      <c r="DC21" s="93"/>
      <c r="DD21" s="93"/>
      <c r="DE21" s="93"/>
      <c r="DF21" s="93"/>
      <c r="DG21" s="93"/>
      <c r="DH21" s="93"/>
      <c r="DI21" s="93"/>
      <c r="DJ21" s="93"/>
      <c r="DK21" s="93"/>
      <c r="DL21" s="93"/>
      <c r="DM21" s="93"/>
      <c r="DN21" s="93"/>
      <c r="DO21" s="93"/>
      <c r="DP21" s="93"/>
      <c r="DQ21" s="93"/>
      <c r="DR21" s="47"/>
      <c r="DS21" s="47"/>
      <c r="DT21" s="47"/>
      <c r="DU21" s="47"/>
      <c r="DV21" s="47"/>
      <c r="DW21" s="93"/>
      <c r="DX21" s="93"/>
      <c r="DY21" s="93"/>
      <c r="DZ21" s="93"/>
      <c r="EA21" s="93"/>
      <c r="EB21" s="93"/>
      <c r="EC21" s="93"/>
      <c r="ED21" s="93"/>
      <c r="EE21" s="93"/>
      <c r="EF21" s="93"/>
      <c r="EG21" s="93"/>
      <c r="EH21" s="93"/>
      <c r="EI21" s="93"/>
      <c r="EJ21" s="93"/>
      <c r="EK21" s="93"/>
      <c r="EL21" s="93"/>
      <c r="EM21" s="47"/>
      <c r="EN21" s="47"/>
      <c r="EO21" s="47"/>
      <c r="EP21" s="47"/>
      <c r="EQ21" s="47"/>
      <c r="ER21" s="93"/>
      <c r="ES21" s="93"/>
      <c r="ET21" s="93"/>
      <c r="EU21" s="93"/>
      <c r="EV21" s="93"/>
      <c r="EW21" s="93"/>
      <c r="EX21" s="93"/>
      <c r="EY21" s="93"/>
      <c r="EZ21" s="93"/>
      <c r="FA21" s="93"/>
      <c r="FB21" s="93"/>
      <c r="FC21" s="93"/>
      <c r="FD21" s="93"/>
      <c r="FE21" s="93"/>
      <c r="FF21" s="93"/>
      <c r="FG21" s="93"/>
      <c r="FH21" s="47"/>
      <c r="FI21" s="47"/>
      <c r="FJ21" s="47"/>
      <c r="FK21" s="47"/>
      <c r="FL21" s="47"/>
      <c r="FM21" s="93"/>
      <c r="FN21" s="93"/>
      <c r="FO21" s="93"/>
      <c r="FP21" s="93"/>
      <c r="FQ21" s="93"/>
      <c r="FR21" s="93"/>
      <c r="FS21" s="93"/>
      <c r="FT21" s="93"/>
      <c r="FU21" s="93"/>
      <c r="FV21" s="93"/>
      <c r="FW21" s="93"/>
      <c r="FX21" s="93"/>
      <c r="FY21" s="93"/>
      <c r="FZ21" s="93"/>
      <c r="GA21" s="93"/>
      <c r="GB21" s="93"/>
      <c r="GC21" s="47"/>
      <c r="GD21" s="47"/>
      <c r="GE21" s="47"/>
      <c r="GF21" s="47"/>
      <c r="GG21" s="47"/>
      <c r="GH21" s="93"/>
      <c r="GI21" s="93"/>
      <c r="GJ21" s="93"/>
      <c r="GK21" s="93"/>
      <c r="GL21" s="93"/>
      <c r="GM21" s="93"/>
      <c r="GN21" s="93"/>
      <c r="GO21" s="93"/>
      <c r="GP21" s="93"/>
      <c r="GQ21" s="93"/>
      <c r="GR21" s="93"/>
      <c r="GS21" s="93"/>
      <c r="GT21" s="93"/>
      <c r="GU21" s="93"/>
      <c r="GV21" s="93"/>
      <c r="GW21" s="93"/>
      <c r="GX21" s="47"/>
      <c r="GY21" s="47"/>
      <c r="GZ21" s="47"/>
      <c r="HA21" s="47"/>
      <c r="HB21" s="47"/>
      <c r="HC21" s="93"/>
      <c r="HD21" s="93"/>
      <c r="HE21" s="93"/>
      <c r="HF21" s="93"/>
      <c r="HG21" s="93"/>
      <c r="HH21" s="93"/>
      <c r="HI21" s="93"/>
      <c r="HJ21" s="93"/>
      <c r="HK21" s="93"/>
      <c r="HL21" s="93"/>
      <c r="HM21" s="93"/>
      <c r="HN21" s="93"/>
      <c r="HO21" s="93"/>
      <c r="HP21" s="93"/>
      <c r="HQ21" s="93"/>
      <c r="HR21" s="93"/>
      <c r="HS21" s="47"/>
      <c r="HT21" s="47"/>
      <c r="HU21" s="47"/>
      <c r="HV21" s="47"/>
      <c r="HW21" s="47"/>
      <c r="HX21" s="93"/>
      <c r="HY21" s="93"/>
      <c r="HZ21" s="93"/>
      <c r="IA21" s="93"/>
      <c r="IB21" s="93"/>
      <c r="IC21" s="93"/>
      <c r="ID21" s="93"/>
      <c r="IE21" s="93"/>
      <c r="IF21" s="93"/>
      <c r="IG21" s="93"/>
      <c r="IH21" s="93"/>
      <c r="II21" s="93"/>
      <c r="IJ21" s="93"/>
      <c r="IK21" s="93"/>
      <c r="IL21" s="93"/>
      <c r="IM21" s="93"/>
      <c r="IN21" s="47"/>
      <c r="IO21" s="47"/>
      <c r="IP21" s="47"/>
      <c r="IQ21" s="47"/>
      <c r="IR21" s="47"/>
      <c r="IS21" s="93"/>
      <c r="IT21" s="93"/>
      <c r="IU21" s="93"/>
      <c r="IV21" s="93"/>
      <c r="IW21" s="93"/>
      <c r="IX21" s="93"/>
      <c r="IY21" s="93"/>
      <c r="IZ21" s="93"/>
      <c r="JA21" s="93"/>
      <c r="JB21" s="93"/>
      <c r="JC21" s="93"/>
      <c r="JD21" s="93"/>
      <c r="JE21" s="93"/>
      <c r="JF21" s="93"/>
      <c r="JG21" s="93"/>
      <c r="JH21" s="93"/>
      <c r="JI21" s="47"/>
      <c r="JJ21" s="47"/>
      <c r="JK21" s="47"/>
      <c r="JL21" s="47"/>
      <c r="JM21" s="47"/>
      <c r="JN21" s="93"/>
      <c r="JO21" s="93"/>
      <c r="JP21" s="93"/>
      <c r="JQ21" s="93"/>
      <c r="JR21" s="93"/>
      <c r="JS21" s="93"/>
      <c r="JT21" s="93"/>
      <c r="JU21" s="93"/>
      <c r="JV21" s="93"/>
      <c r="JW21" s="93"/>
      <c r="JX21" s="93"/>
      <c r="JY21" s="93"/>
      <c r="JZ21" s="93"/>
      <c r="KA21" s="93"/>
      <c r="KB21" s="93"/>
      <c r="KC21" s="93"/>
      <c r="KD21" s="47"/>
      <c r="KE21" s="47"/>
      <c r="KF21" s="47"/>
      <c r="KG21" s="47"/>
      <c r="KH21" s="47"/>
      <c r="KI21" s="93"/>
      <c r="KJ21" s="93"/>
      <c r="KK21" s="93"/>
      <c r="KL21" s="93"/>
      <c r="KM21" s="93"/>
      <c r="KN21" s="93"/>
      <c r="KO21" s="93"/>
      <c r="KP21" s="93"/>
      <c r="KQ21" s="93"/>
      <c r="KR21" s="93"/>
      <c r="KS21" s="93"/>
      <c r="KT21" s="93"/>
      <c r="KU21" s="93"/>
      <c r="KV21" s="93"/>
      <c r="KW21" s="93"/>
      <c r="KX21" s="93"/>
      <c r="KY21" s="47"/>
      <c r="KZ21" s="47"/>
      <c r="LA21" s="47"/>
      <c r="LB21" s="47"/>
      <c r="LC21" s="47"/>
      <c r="LD21" s="93"/>
      <c r="LE21" s="93"/>
      <c r="LF21" s="93"/>
      <c r="LG21" s="93"/>
      <c r="LH21" s="93"/>
      <c r="LI21" s="93"/>
      <c r="LJ21" s="93"/>
      <c r="LK21" s="93"/>
      <c r="LL21" s="93"/>
      <c r="LM21" s="93"/>
      <c r="LN21" s="93"/>
      <c r="LO21" s="93"/>
      <c r="LP21" s="93"/>
      <c r="LQ21" s="93"/>
      <c r="LR21" s="93"/>
      <c r="LS21" s="93"/>
      <c r="LT21" s="47"/>
      <c r="LU21" s="47"/>
      <c r="LV21" s="47"/>
      <c r="LW21" s="47"/>
      <c r="LX21" s="47"/>
    </row>
    <row r="22" spans="1:358" x14ac:dyDescent="0.2">
      <c r="AH22" s="47"/>
      <c r="AJ22" s="47"/>
      <c r="BD22" s="47"/>
      <c r="BF22" s="47"/>
      <c r="BZ22" s="47"/>
      <c r="CB22" s="47"/>
      <c r="CW22" s="47"/>
      <c r="CY22" s="47"/>
      <c r="DR22" s="47"/>
      <c r="DT22" s="47"/>
      <c r="EM22" s="47"/>
      <c r="EO22" s="47"/>
      <c r="FH22" s="47"/>
      <c r="FJ22" s="47"/>
      <c r="GC22" s="47"/>
      <c r="GE22" s="47"/>
      <c r="GX22" s="47"/>
      <c r="GZ22" s="47"/>
      <c r="HS22" s="47"/>
      <c r="HU22" s="47"/>
      <c r="IN22" s="47"/>
      <c r="IP22" s="47"/>
      <c r="JI22" s="47"/>
      <c r="JK22" s="47"/>
      <c r="KD22" s="47"/>
      <c r="KF22" s="47"/>
      <c r="KY22" s="47"/>
      <c r="LA22" s="47"/>
      <c r="LT22" s="47"/>
      <c r="LV22" s="47"/>
    </row>
    <row r="23" spans="1:358" x14ac:dyDescent="0.2">
      <c r="B23" s="62" t="s">
        <v>50</v>
      </c>
      <c r="AH23" s="47"/>
      <c r="AJ23" s="47"/>
      <c r="AL23" s="56">
        <v>10.4</v>
      </c>
      <c r="BD23" s="47"/>
      <c r="BF23" s="47"/>
      <c r="BH23" s="56">
        <v>10.4</v>
      </c>
      <c r="BZ23" s="47"/>
      <c r="CB23" s="47"/>
      <c r="CD23" s="56">
        <v>10.4</v>
      </c>
      <c r="CW23" s="47"/>
      <c r="CY23" s="47"/>
      <c r="DA23" s="56">
        <v>10.4</v>
      </c>
      <c r="DR23" s="47"/>
      <c r="DT23" s="47"/>
      <c r="DV23" s="56">
        <v>10.4</v>
      </c>
      <c r="EM23" s="47"/>
      <c r="EO23" s="47"/>
      <c r="EQ23" s="56">
        <v>10.4</v>
      </c>
      <c r="FH23" s="47"/>
      <c r="FJ23" s="47"/>
      <c r="FL23" s="56">
        <v>10.4</v>
      </c>
      <c r="GC23" s="47"/>
      <c r="GE23" s="47"/>
      <c r="GG23" s="56">
        <v>10.4</v>
      </c>
      <c r="GX23" s="47"/>
      <c r="GZ23" s="47"/>
      <c r="HB23" s="56">
        <v>10.4</v>
      </c>
      <c r="HS23" s="47"/>
      <c r="HU23" s="47"/>
      <c r="HW23" s="56">
        <v>10.4</v>
      </c>
      <c r="IN23" s="47"/>
      <c r="IP23" s="47"/>
      <c r="IR23" s="56">
        <v>10.4</v>
      </c>
      <c r="JI23" s="47"/>
      <c r="JK23" s="47"/>
      <c r="JM23" s="56">
        <v>10.4</v>
      </c>
      <c r="KD23" s="47"/>
      <c r="KF23" s="47"/>
      <c r="KH23" s="56">
        <v>10.4</v>
      </c>
      <c r="KY23" s="47"/>
      <c r="LA23" s="47"/>
      <c r="LC23" s="56">
        <v>10.4</v>
      </c>
      <c r="LT23" s="47"/>
      <c r="LV23" s="47"/>
      <c r="LX23" s="56">
        <v>10.4</v>
      </c>
    </row>
    <row r="24" spans="1:358" hidden="1" x14ac:dyDescent="0.2">
      <c r="B24" s="83" t="s">
        <v>49</v>
      </c>
      <c r="AH24" s="47"/>
      <c r="AJ24" s="47"/>
      <c r="AL24" s="85">
        <v>1000</v>
      </c>
      <c r="BD24" s="47"/>
      <c r="BF24" s="47"/>
      <c r="BH24" s="85">
        <v>1000</v>
      </c>
      <c r="BZ24" s="47"/>
      <c r="CB24" s="47"/>
      <c r="CD24" s="85">
        <v>1000</v>
      </c>
      <c r="CW24" s="47"/>
      <c r="CY24" s="47"/>
      <c r="DA24" s="85">
        <v>1000</v>
      </c>
      <c r="DR24" s="47"/>
      <c r="DT24" s="47"/>
      <c r="DV24" s="85">
        <v>1000</v>
      </c>
      <c r="EM24" s="47"/>
      <c r="EO24" s="47"/>
      <c r="EQ24" s="85">
        <v>1000</v>
      </c>
      <c r="FH24" s="47"/>
      <c r="FJ24" s="47"/>
      <c r="FL24" s="85">
        <v>1000</v>
      </c>
      <c r="GC24" s="47"/>
      <c r="GE24" s="47"/>
      <c r="GG24" s="85">
        <v>1000</v>
      </c>
      <c r="GX24" s="47"/>
      <c r="GZ24" s="47"/>
      <c r="HB24" s="85">
        <v>1000</v>
      </c>
      <c r="HS24" s="47"/>
      <c r="HU24" s="47"/>
      <c r="HW24" s="85">
        <v>1000</v>
      </c>
      <c r="IN24" s="47"/>
      <c r="IP24" s="47"/>
      <c r="IR24" s="85">
        <v>1000</v>
      </c>
      <c r="JI24" s="47"/>
      <c r="JK24" s="47"/>
      <c r="JM24" s="85">
        <v>1000</v>
      </c>
      <c r="KD24" s="47"/>
      <c r="KF24" s="47"/>
      <c r="KH24" s="85">
        <v>1000</v>
      </c>
      <c r="KY24" s="47"/>
      <c r="LA24" s="47"/>
      <c r="LC24" s="85">
        <v>1000</v>
      </c>
      <c r="LT24" s="47"/>
      <c r="LV24" s="47"/>
      <c r="LX24" s="85">
        <v>1000</v>
      </c>
    </row>
    <row r="25" spans="1:358" hidden="1" x14ac:dyDescent="0.2">
      <c r="A25" s="49"/>
      <c r="B25" s="84" t="s">
        <v>62</v>
      </c>
      <c r="C25" s="48"/>
      <c r="AL25" s="86">
        <v>1000</v>
      </c>
      <c r="BG25" s="117"/>
      <c r="BH25" s="86">
        <v>1000</v>
      </c>
      <c r="CD25" s="86">
        <v>1000</v>
      </c>
      <c r="DA25" s="86">
        <v>1000</v>
      </c>
      <c r="DU25" s="117"/>
      <c r="DV25" s="86">
        <v>1000</v>
      </c>
      <c r="EQ25" s="86">
        <v>1000</v>
      </c>
      <c r="FL25" s="86">
        <v>1000</v>
      </c>
      <c r="GG25" s="86">
        <v>1000</v>
      </c>
      <c r="HB25" s="86">
        <v>1000</v>
      </c>
      <c r="HW25" s="86">
        <v>1000</v>
      </c>
      <c r="IR25" s="86">
        <v>1000</v>
      </c>
      <c r="JM25" s="86">
        <v>1000</v>
      </c>
      <c r="KH25" s="86">
        <v>1000</v>
      </c>
      <c r="LC25" s="86">
        <v>1000</v>
      </c>
      <c r="LX25" s="86">
        <v>1000</v>
      </c>
    </row>
    <row r="26" spans="1:358" hidden="1" x14ac:dyDescent="0.2">
      <c r="A26" s="49"/>
      <c r="B26" s="63" t="s">
        <v>72</v>
      </c>
      <c r="C26" s="48"/>
      <c r="AK26" s="117"/>
      <c r="AL26" s="57">
        <v>1000</v>
      </c>
      <c r="BG26" s="117"/>
      <c r="BH26" s="57">
        <v>1000</v>
      </c>
      <c r="CD26" s="57">
        <v>1000</v>
      </c>
      <c r="DA26" s="57">
        <v>1000</v>
      </c>
      <c r="DV26" s="57">
        <v>1000</v>
      </c>
      <c r="EQ26" s="57">
        <v>1000</v>
      </c>
      <c r="FL26" s="57">
        <v>1000</v>
      </c>
      <c r="GG26" s="57">
        <v>1000</v>
      </c>
      <c r="HB26" s="57">
        <v>1000</v>
      </c>
      <c r="HW26" s="57">
        <v>1000</v>
      </c>
      <c r="IR26" s="57">
        <v>1000</v>
      </c>
      <c r="JM26" s="57">
        <v>1000</v>
      </c>
      <c r="KH26" s="57">
        <v>1000</v>
      </c>
      <c r="LC26" s="57">
        <v>1000</v>
      </c>
      <c r="LX26" s="57">
        <v>1000</v>
      </c>
    </row>
    <row r="27" spans="1:358" x14ac:dyDescent="0.2">
      <c r="A27" s="49"/>
      <c r="B27" s="65" t="s">
        <v>47</v>
      </c>
      <c r="C27" s="48"/>
      <c r="AH27" s="49"/>
      <c r="AJ27" s="49"/>
      <c r="AL27" s="59">
        <v>66.2</v>
      </c>
      <c r="BD27" s="49"/>
      <c r="BF27" s="49"/>
      <c r="BH27" s="59">
        <v>66.2</v>
      </c>
      <c r="BZ27" s="49"/>
      <c r="CB27" s="49"/>
      <c r="CD27" s="59">
        <v>66.2</v>
      </c>
      <c r="CW27" s="49"/>
      <c r="CY27" s="49"/>
      <c r="DA27" s="59">
        <v>66.2</v>
      </c>
      <c r="DR27" s="49"/>
      <c r="DT27" s="49"/>
      <c r="DV27" s="59">
        <v>66.2</v>
      </c>
      <c r="EM27" s="49"/>
      <c r="EO27" s="49"/>
      <c r="EQ27" s="59">
        <v>66.2</v>
      </c>
      <c r="FH27" s="49"/>
      <c r="FJ27" s="49"/>
      <c r="FL27" s="59">
        <v>66.2</v>
      </c>
      <c r="GC27" s="49"/>
      <c r="GE27" s="49"/>
      <c r="GG27" s="59">
        <v>66.2</v>
      </c>
      <c r="GX27" s="49"/>
      <c r="GZ27" s="49"/>
      <c r="HB27" s="59">
        <v>66.2</v>
      </c>
      <c r="HS27" s="49"/>
      <c r="HU27" s="49"/>
      <c r="HW27" s="59">
        <v>66.2</v>
      </c>
      <c r="IN27" s="49"/>
      <c r="IP27" s="49"/>
      <c r="IR27" s="59">
        <v>66.2</v>
      </c>
      <c r="JI27" s="49"/>
      <c r="JK27" s="49"/>
      <c r="JM27" s="59">
        <v>66.2</v>
      </c>
      <c r="KD27" s="49"/>
      <c r="KF27" s="49"/>
      <c r="KH27" s="59">
        <v>66.2</v>
      </c>
      <c r="KY27" s="49"/>
      <c r="LA27" s="49"/>
      <c r="LC27" s="59">
        <v>66.2</v>
      </c>
      <c r="LT27" s="49"/>
      <c r="LV27" s="49"/>
      <c r="LX27" s="59">
        <v>66.2</v>
      </c>
    </row>
    <row r="28" spans="1:358" hidden="1" x14ac:dyDescent="0.2">
      <c r="A28" s="49"/>
      <c r="B28" s="64" t="s">
        <v>48</v>
      </c>
      <c r="C28" s="48"/>
      <c r="AH28" s="49"/>
      <c r="AJ28" s="49"/>
      <c r="AL28" s="58">
        <v>1000</v>
      </c>
      <c r="BD28" s="49"/>
      <c r="BF28" s="49"/>
      <c r="BH28" s="58">
        <v>1000</v>
      </c>
      <c r="BZ28" s="49"/>
      <c r="CB28" s="49"/>
      <c r="CD28" s="58">
        <v>1000</v>
      </c>
      <c r="CW28" s="49"/>
      <c r="CY28" s="49"/>
      <c r="DA28" s="58">
        <v>1000</v>
      </c>
      <c r="DR28" s="49"/>
      <c r="DT28" s="49"/>
      <c r="DV28" s="58">
        <v>1000</v>
      </c>
      <c r="EM28" s="49"/>
      <c r="EO28" s="49"/>
      <c r="EQ28" s="58">
        <v>1000</v>
      </c>
      <c r="FH28" s="49"/>
      <c r="FJ28" s="49"/>
      <c r="FL28" s="58">
        <v>1000</v>
      </c>
      <c r="GC28" s="49"/>
      <c r="GE28" s="49"/>
      <c r="GG28" s="58">
        <v>1000</v>
      </c>
      <c r="GX28" s="49"/>
      <c r="GZ28" s="49"/>
      <c r="HB28" s="58">
        <v>1000</v>
      </c>
      <c r="HS28" s="49"/>
      <c r="HU28" s="49"/>
      <c r="HW28" s="58">
        <v>1000</v>
      </c>
      <c r="IN28" s="49"/>
      <c r="IP28" s="49"/>
      <c r="IR28" s="58">
        <v>1000</v>
      </c>
      <c r="JI28" s="49"/>
      <c r="JK28" s="49"/>
      <c r="JM28" s="58">
        <v>1000</v>
      </c>
      <c r="KD28" s="49"/>
      <c r="KF28" s="49"/>
      <c r="KH28" s="58">
        <v>1000</v>
      </c>
      <c r="KY28" s="49"/>
      <c r="LA28" s="49"/>
      <c r="LC28" s="58">
        <v>1000</v>
      </c>
      <c r="LT28" s="49"/>
      <c r="LV28" s="49"/>
      <c r="LX28" s="58">
        <v>1000</v>
      </c>
    </row>
    <row r="29" spans="1:358" hidden="1" x14ac:dyDescent="0.2">
      <c r="A29" s="49"/>
      <c r="B29" s="106" t="s">
        <v>60</v>
      </c>
      <c r="C29" s="48"/>
      <c r="AH29" s="49"/>
      <c r="AJ29" s="49"/>
      <c r="AL29" s="107">
        <v>1000</v>
      </c>
      <c r="BD29" s="49"/>
      <c r="BF29" s="49"/>
      <c r="BG29" s="117"/>
      <c r="BH29" s="107">
        <v>1000</v>
      </c>
      <c r="BZ29" s="49"/>
      <c r="CB29" s="49"/>
      <c r="CD29" s="107">
        <v>1000</v>
      </c>
      <c r="CW29" s="49"/>
      <c r="CY29" s="49"/>
      <c r="DA29" s="107">
        <v>1000</v>
      </c>
      <c r="DR29" s="49"/>
      <c r="DT29" s="49"/>
      <c r="DU29" s="117"/>
      <c r="DV29" s="107">
        <v>1000</v>
      </c>
      <c r="EM29" s="49"/>
      <c r="EO29" s="49"/>
      <c r="EQ29" s="107">
        <v>1000</v>
      </c>
      <c r="FH29" s="49"/>
      <c r="FJ29" s="49"/>
      <c r="FL29" s="107">
        <v>1000</v>
      </c>
      <c r="GC29" s="49"/>
      <c r="GE29" s="49"/>
      <c r="GG29" s="107">
        <v>1000</v>
      </c>
      <c r="GX29" s="49"/>
      <c r="GZ29" s="49"/>
      <c r="HB29" s="107">
        <v>1000</v>
      </c>
      <c r="HS29" s="49"/>
      <c r="HU29" s="49"/>
      <c r="HW29" s="107">
        <v>1000</v>
      </c>
      <c r="IN29" s="49"/>
      <c r="IP29" s="49"/>
      <c r="IR29" s="107">
        <v>1000</v>
      </c>
      <c r="JI29" s="49"/>
      <c r="JK29" s="49"/>
      <c r="JM29" s="107">
        <v>1000</v>
      </c>
      <c r="KD29" s="49"/>
      <c r="KF29" s="49"/>
      <c r="KH29" s="107">
        <v>1000</v>
      </c>
      <c r="KY29" s="49"/>
      <c r="LA29" s="49"/>
      <c r="LC29" s="107">
        <v>1000</v>
      </c>
      <c r="LT29" s="49"/>
      <c r="LV29" s="49"/>
      <c r="LX29" s="107">
        <v>1000</v>
      </c>
    </row>
    <row r="30" spans="1:358" hidden="1" x14ac:dyDescent="0.2">
      <c r="A30" s="49"/>
      <c r="B30" s="66" t="s">
        <v>34</v>
      </c>
      <c r="C30" s="48"/>
      <c r="AH30" s="49"/>
      <c r="AJ30" s="49"/>
      <c r="AK30" s="117"/>
      <c r="AL30" s="60">
        <v>1000</v>
      </c>
      <c r="BD30" s="49"/>
      <c r="BF30" s="49"/>
      <c r="BG30" s="117"/>
      <c r="BH30" s="60">
        <v>1000</v>
      </c>
      <c r="BZ30" s="49"/>
      <c r="CB30" s="49"/>
      <c r="CD30" s="60">
        <v>1000</v>
      </c>
      <c r="CW30" s="49"/>
      <c r="CY30" s="49"/>
      <c r="DA30" s="60">
        <v>1000</v>
      </c>
      <c r="DR30" s="49"/>
      <c r="DT30" s="49"/>
      <c r="DV30" s="60">
        <v>1000</v>
      </c>
      <c r="EM30" s="49"/>
      <c r="EO30" s="49"/>
      <c r="EQ30" s="60">
        <v>1000</v>
      </c>
      <c r="FH30" s="49"/>
      <c r="FJ30" s="49"/>
      <c r="FL30" s="60">
        <v>1000</v>
      </c>
      <c r="GC30" s="49"/>
      <c r="GE30" s="49"/>
      <c r="GG30" s="60">
        <v>1000</v>
      </c>
      <c r="GX30" s="49"/>
      <c r="GZ30" s="49"/>
      <c r="HB30" s="60">
        <v>1000</v>
      </c>
      <c r="HS30" s="49"/>
      <c r="HU30" s="49"/>
      <c r="HW30" s="60">
        <v>1000</v>
      </c>
      <c r="IN30" s="49"/>
      <c r="IP30" s="49"/>
      <c r="IR30" s="60">
        <v>1000</v>
      </c>
      <c r="JI30" s="49"/>
      <c r="JK30" s="49"/>
      <c r="JM30" s="60">
        <v>1000</v>
      </c>
      <c r="KD30" s="49"/>
      <c r="KF30" s="49"/>
      <c r="KH30" s="60">
        <v>1000</v>
      </c>
      <c r="KY30" s="49"/>
      <c r="LA30" s="49"/>
      <c r="LC30" s="60">
        <v>1000</v>
      </c>
      <c r="LT30" s="49"/>
      <c r="LV30" s="49"/>
      <c r="LX30" s="60">
        <v>1000</v>
      </c>
    </row>
    <row r="31" spans="1:358" x14ac:dyDescent="0.2">
      <c r="B31" s="74" t="s">
        <v>53</v>
      </c>
      <c r="C31" s="2"/>
      <c r="AH31" s="49"/>
      <c r="AJ31" s="49"/>
      <c r="BD31" s="49"/>
      <c r="BF31" s="49"/>
      <c r="BZ31" s="49"/>
      <c r="CB31" s="49"/>
      <c r="CW31" s="49"/>
      <c r="CX31" s="6"/>
      <c r="CY31" s="49"/>
      <c r="DR31" s="49"/>
      <c r="DT31" s="49"/>
      <c r="EM31" s="49"/>
      <c r="EO31" s="49"/>
      <c r="FH31" s="49"/>
      <c r="FJ31" s="49"/>
      <c r="GC31" s="49"/>
      <c r="GE31" s="49"/>
      <c r="GX31" s="49"/>
      <c r="GZ31" s="49"/>
      <c r="HS31" s="49"/>
      <c r="HU31" s="49"/>
      <c r="IN31" s="49"/>
      <c r="IP31" s="49"/>
      <c r="JI31" s="49"/>
      <c r="JK31" s="49"/>
      <c r="KD31" s="49"/>
      <c r="KE31" s="6"/>
      <c r="KF31" s="49"/>
      <c r="KY31" s="49"/>
      <c r="LA31" s="49"/>
      <c r="LT31" s="49"/>
      <c r="LV31" s="49"/>
    </row>
    <row r="32" spans="1:358" x14ac:dyDescent="0.2">
      <c r="A32" s="49"/>
      <c r="B32" s="49"/>
      <c r="C32" s="48"/>
      <c r="AH32" s="49"/>
      <c r="AJ32" s="49"/>
      <c r="BD32" s="49"/>
      <c r="BF32" s="49"/>
      <c r="BZ32" s="49"/>
      <c r="CB32" s="49"/>
      <c r="CW32" s="49"/>
      <c r="CY32" s="49"/>
      <c r="DR32" s="49"/>
      <c r="DT32" s="49"/>
      <c r="EM32" s="49"/>
      <c r="EO32" s="49"/>
      <c r="FH32" s="49"/>
      <c r="FJ32" s="49"/>
      <c r="GC32" s="49"/>
      <c r="GE32" s="49"/>
      <c r="GX32" s="49"/>
      <c r="GZ32" s="49"/>
      <c r="HS32" s="49"/>
      <c r="HU32" s="49"/>
      <c r="IN32" s="49"/>
      <c r="IP32" s="49"/>
      <c r="JI32" s="49"/>
      <c r="JK32" s="49"/>
      <c r="KD32" s="49"/>
      <c r="KF32" s="49"/>
      <c r="KY32" s="49"/>
      <c r="LA32" s="49"/>
      <c r="LT32" s="49"/>
      <c r="LV32" s="49"/>
    </row>
    <row r="33" spans="1:334" x14ac:dyDescent="0.2">
      <c r="A33" s="49"/>
      <c r="B33" s="49"/>
      <c r="C33" s="48"/>
      <c r="AH33" s="49"/>
      <c r="AJ33" s="49"/>
      <c r="BD33" s="49"/>
      <c r="BF33" s="49"/>
      <c r="BZ33" s="49"/>
      <c r="CB33" s="49"/>
      <c r="CW33" s="49"/>
      <c r="CY33" s="49"/>
      <c r="DR33" s="49"/>
      <c r="DT33" s="49"/>
      <c r="EM33" s="49"/>
      <c r="EO33" s="49"/>
      <c r="FH33" s="49"/>
      <c r="FJ33" s="49"/>
      <c r="GC33" s="49"/>
      <c r="GE33" s="49"/>
      <c r="GX33" s="49"/>
      <c r="GZ33" s="49"/>
      <c r="HS33" s="49"/>
      <c r="HU33" s="49"/>
      <c r="IN33" s="49"/>
      <c r="IP33" s="49"/>
      <c r="JI33" s="49"/>
      <c r="JK33" s="49"/>
      <c r="KD33" s="49"/>
      <c r="KF33" s="49"/>
      <c r="KY33" s="49"/>
      <c r="LA33" s="49"/>
      <c r="LT33" s="49"/>
      <c r="LV33" s="49"/>
    </row>
    <row r="34" spans="1:334" x14ac:dyDescent="0.2">
      <c r="A34" s="49"/>
      <c r="B34" s="49"/>
      <c r="C34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0">
      <sortCondition descending="1" ref="F1:F21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20">
    <cfRule type="expression" dxfId="19" priority="2" stopIfTrue="1">
      <formula>IF($BC4&lt;&gt;"",1,0)</formula>
    </cfRule>
  </conditionalFormatting>
  <conditionalFormatting sqref="Q4:AL20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0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3805" operator="between">
      <formula>AL$26</formula>
      <formula>1000</formula>
    </cfRule>
    <cfRule type="cellIs" dxfId="6" priority="43806" operator="between">
      <formula>AL$25</formula>
      <formula>AL$26</formula>
    </cfRule>
    <cfRule type="cellIs" dxfId="5" priority="43807" operator="between">
      <formula>AL$24</formula>
      <formula>AL$25</formula>
    </cfRule>
    <cfRule type="cellIs" dxfId="4" priority="43808" operator="between">
      <formula>AL$23</formula>
      <formula>AL$24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3985" operator="between">
      <formula>AL$30</formula>
      <formula>1000</formula>
    </cfRule>
    <cfRule type="cellIs" dxfId="2" priority="43986" operator="between">
      <formula>AL$29</formula>
      <formula>AL$30</formula>
    </cfRule>
    <cfRule type="cellIs" dxfId="1" priority="43987" operator="between">
      <formula>AL$28</formula>
      <formula>AL$29</formula>
    </cfRule>
    <cfRule type="cellIs" dxfId="0" priority="43988" operator="between">
      <formula>AL$27</formula>
      <formula>AL$28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2021-05-02T05:07:28Z</dcterms:modified>
</cp:coreProperties>
</file>