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5EACAE6-478F-6B45-9050-8CD57CC3999A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'DMT-W'!$A$1:$RI$12</definedName>
    <definedName name="_xlnm._FilterDatabase" localSheetId="1" hidden="1">'TRA-M'!$A$1:$TV$29</definedName>
    <definedName name="_xlnm._FilterDatabase" localSheetId="2" hidden="1">'TRA-W'!$A$1:$TV$27</definedName>
    <definedName name="_xlnm._FilterDatabase" localSheetId="3" hidden="1">'TUM-M'!$A$1:$RI$13</definedName>
    <definedName name="_xlnm._FilterDatabase" localSheetId="4" hidden="1">'TUM-W'!$A$1:$RI$16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0" i="19" l="1"/>
  <c r="AS30" i="19"/>
  <c r="AT30" i="19"/>
  <c r="AU30" i="19"/>
  <c r="AW30" i="19"/>
  <c r="AX30" i="19"/>
  <c r="BU30" i="19"/>
  <c r="BV30" i="19"/>
  <c r="BW30" i="19"/>
  <c r="BX30" i="19"/>
  <c r="BZ30" i="19"/>
  <c r="CA30" i="19"/>
  <c r="CX30" i="19"/>
  <c r="CY30" i="19"/>
  <c r="CZ30" i="19"/>
  <c r="DA30" i="19"/>
  <c r="DC30" i="19"/>
  <c r="DD30" i="19"/>
  <c r="EC30" i="19"/>
  <c r="ED30" i="19"/>
  <c r="EE30" i="19"/>
  <c r="EF30" i="19"/>
  <c r="EH30" i="19"/>
  <c r="EI30" i="19"/>
  <c r="FE30" i="19"/>
  <c r="FF30" i="19"/>
  <c r="FG30" i="19"/>
  <c r="FH30" i="19"/>
  <c r="FJ30" i="19"/>
  <c r="FK30" i="19"/>
  <c r="GG30" i="19"/>
  <c r="GH30" i="19"/>
  <c r="GI30" i="19"/>
  <c r="GJ30" i="19"/>
  <c r="GL30" i="19"/>
  <c r="GM30" i="19"/>
  <c r="HI30" i="19"/>
  <c r="HJ30" i="19"/>
  <c r="HK30" i="19"/>
  <c r="HL30" i="19"/>
  <c r="HN30" i="19"/>
  <c r="HO30" i="19"/>
  <c r="IK30" i="19"/>
  <c r="IL30" i="19"/>
  <c r="IM30" i="19"/>
  <c r="IN30" i="19"/>
  <c r="IP30" i="19"/>
  <c r="IQ30" i="19"/>
  <c r="JM30" i="19"/>
  <c r="JN30" i="19"/>
  <c r="JO30" i="19"/>
  <c r="JP30" i="19"/>
  <c r="JR30" i="19"/>
  <c r="JS30" i="19"/>
  <c r="KO30" i="19"/>
  <c r="KP30" i="19"/>
  <c r="KQ30" i="19"/>
  <c r="KR30" i="19"/>
  <c r="KT30" i="19"/>
  <c r="KU30" i="19"/>
  <c r="LQ30" i="19"/>
  <c r="LR30" i="19"/>
  <c r="LS30" i="19"/>
  <c r="LT30" i="19"/>
  <c r="LV30" i="19"/>
  <c r="LW30" i="19"/>
  <c r="MS30" i="19"/>
  <c r="MT30" i="19"/>
  <c r="MU30" i="19"/>
  <c r="MV30" i="19"/>
  <c r="MX30" i="19"/>
  <c r="MY30" i="19"/>
  <c r="NU30" i="19"/>
  <c r="NV30" i="19"/>
  <c r="NW30" i="19"/>
  <c r="NX30" i="19"/>
  <c r="NZ30" i="19"/>
  <c r="OA30" i="19"/>
  <c r="OW30" i="19"/>
  <c r="OX30" i="19"/>
  <c r="OY30" i="19"/>
  <c r="OZ30" i="19"/>
  <c r="PB30" i="19"/>
  <c r="PC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AR19" i="26"/>
  <c r="AS19" i="26"/>
  <c r="AT19" i="26"/>
  <c r="AU19" i="26"/>
  <c r="AW19" i="26"/>
  <c r="AX19" i="26"/>
  <c r="BU19" i="26"/>
  <c r="BV19" i="26"/>
  <c r="BW19" i="26"/>
  <c r="BX19" i="26"/>
  <c r="BZ19" i="26"/>
  <c r="CA19" i="26"/>
  <c r="CX19" i="26"/>
  <c r="CY19" i="26"/>
  <c r="CZ19" i="26"/>
  <c r="DA19" i="26"/>
  <c r="DC19" i="26"/>
  <c r="DD19" i="26"/>
  <c r="EC19" i="26"/>
  <c r="ED19" i="26"/>
  <c r="EE19" i="26"/>
  <c r="EF19" i="26"/>
  <c r="EH19" i="26"/>
  <c r="EI19" i="26"/>
  <c r="FE19" i="26"/>
  <c r="FF19" i="26"/>
  <c r="FG19" i="26"/>
  <c r="FH19" i="26"/>
  <c r="FJ19" i="26"/>
  <c r="FK19" i="26"/>
  <c r="GG19" i="26"/>
  <c r="GH19" i="26"/>
  <c r="GI19" i="26"/>
  <c r="GJ19" i="26"/>
  <c r="GL19" i="26"/>
  <c r="GM19" i="26"/>
  <c r="HI19" i="26"/>
  <c r="HJ19" i="26"/>
  <c r="HK19" i="26"/>
  <c r="HL19" i="26"/>
  <c r="HN19" i="26"/>
  <c r="HO19" i="26"/>
  <c r="IK19" i="26"/>
  <c r="IL19" i="26"/>
  <c r="IM19" i="26"/>
  <c r="IN19" i="26"/>
  <c r="IP19" i="26"/>
  <c r="IQ19" i="26"/>
  <c r="JM19" i="26"/>
  <c r="JN19" i="26"/>
  <c r="JO19" i="26"/>
  <c r="JP19" i="26"/>
  <c r="JR19" i="26"/>
  <c r="JS19" i="26"/>
  <c r="KO19" i="26"/>
  <c r="KP19" i="26"/>
  <c r="KQ19" i="26"/>
  <c r="KR19" i="26"/>
  <c r="KT19" i="26"/>
  <c r="KU19" i="26"/>
  <c r="LQ19" i="26"/>
  <c r="LR19" i="26"/>
  <c r="LS19" i="26"/>
  <c r="LT19" i="26"/>
  <c r="LV19" i="26"/>
  <c r="LW19" i="26"/>
  <c r="MS19" i="26"/>
  <c r="MT19" i="26"/>
  <c r="MU19" i="26"/>
  <c r="MV19" i="26"/>
  <c r="MX19" i="26"/>
  <c r="MY19" i="26"/>
  <c r="NU19" i="26"/>
  <c r="NV19" i="26"/>
  <c r="NW19" i="26"/>
  <c r="NX19" i="26"/>
  <c r="NZ19" i="26"/>
  <c r="OA19" i="26"/>
  <c r="OW19" i="26"/>
  <c r="OX19" i="26"/>
  <c r="OY19" i="26"/>
  <c r="OZ19" i="26"/>
  <c r="PB19" i="26"/>
  <c r="PC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KV30" i="19" l="1"/>
  <c r="OB19" i="26"/>
  <c r="FL19" i="26"/>
  <c r="JT19" i="26"/>
  <c r="GN30" i="19"/>
  <c r="MZ30" i="19"/>
  <c r="IR30" i="19"/>
  <c r="PD30" i="19"/>
  <c r="OB30" i="19"/>
  <c r="JT30" i="19"/>
  <c r="FL30" i="19"/>
  <c r="MW19" i="26"/>
  <c r="IR19" i="26"/>
  <c r="EJ19" i="26"/>
  <c r="QF30" i="19"/>
  <c r="LX30" i="19"/>
  <c r="HP30" i="19"/>
  <c r="CB30" i="19"/>
  <c r="AY19" i="26"/>
  <c r="KV19" i="26"/>
  <c r="GN19" i="26"/>
  <c r="CB19" i="26"/>
  <c r="PD19" i="26"/>
  <c r="QF19" i="26"/>
  <c r="LX19" i="26"/>
  <c r="HP19" i="26"/>
  <c r="DE19" i="26"/>
  <c r="MZ19" i="26"/>
  <c r="DE30" i="19"/>
  <c r="EJ30" i="19"/>
  <c r="AY30" i="19"/>
  <c r="LU19" i="26"/>
  <c r="HM19" i="26"/>
  <c r="R19" i="26"/>
  <c r="S19" i="26" s="1"/>
  <c r="AV30" i="19"/>
  <c r="RG30" i="19"/>
  <c r="RB30" i="19"/>
  <c r="MW30" i="19"/>
  <c r="IO30" i="19"/>
  <c r="EG30" i="19"/>
  <c r="NY30" i="19"/>
  <c r="JQ30" i="19"/>
  <c r="KS30" i="19"/>
  <c r="GK30" i="19"/>
  <c r="BY30" i="19"/>
  <c r="JQ19" i="26"/>
  <c r="FI19" i="26"/>
  <c r="KS19" i="26"/>
  <c r="IO19" i="26"/>
  <c r="EG19" i="26"/>
  <c r="GK19" i="26"/>
  <c r="PA19" i="26"/>
  <c r="R30" i="19"/>
  <c r="DH30" i="19" s="1"/>
  <c r="QC30" i="19"/>
  <c r="PA30" i="19"/>
  <c r="LU30" i="19"/>
  <c r="HM30" i="19"/>
  <c r="FI30" i="19"/>
  <c r="RH30" i="19"/>
  <c r="DB30" i="19"/>
  <c r="P30" i="19"/>
  <c r="Q30" i="19" s="1"/>
  <c r="N30" i="19"/>
  <c r="O30" i="19" s="1"/>
  <c r="H30" i="19"/>
  <c r="RD30" i="19"/>
  <c r="RC30" i="19"/>
  <c r="L30" i="19"/>
  <c r="M30" i="19" s="1"/>
  <c r="RE30" i="19"/>
  <c r="I30" i="19"/>
  <c r="RB19" i="26"/>
  <c r="QC19" i="26"/>
  <c r="NY19" i="26"/>
  <c r="RH19" i="26"/>
  <c r="P19" i="26"/>
  <c r="DG19" i="26" s="1"/>
  <c r="RG19" i="26"/>
  <c r="DB19" i="26"/>
  <c r="RD19" i="26"/>
  <c r="BY19" i="26"/>
  <c r="N19" i="26"/>
  <c r="O19" i="26" s="1"/>
  <c r="RC19" i="26"/>
  <c r="AV19" i="26"/>
  <c r="H19" i="26"/>
  <c r="L19" i="26"/>
  <c r="M19" i="26" s="1"/>
  <c r="RE19" i="26"/>
  <c r="I19" i="26"/>
  <c r="RI30" i="19" l="1"/>
  <c r="RI19" i="26"/>
  <c r="DH19" i="26"/>
  <c r="K30" i="19"/>
  <c r="J30" i="19" s="1"/>
  <c r="DF30" i="19"/>
  <c r="S30" i="19"/>
  <c r="K19" i="26"/>
  <c r="J19" i="26" s="1"/>
  <c r="DF19" i="26"/>
  <c r="RF30" i="19"/>
  <c r="DG30" i="19"/>
  <c r="Q19" i="26"/>
  <c r="RF19" i="26"/>
  <c r="T19" i="26" l="1"/>
  <c r="F19" i="26" s="1"/>
  <c r="A30" i="19" a="1"/>
  <c r="A30" i="19" s="1"/>
  <c r="B30" i="19" a="1"/>
  <c r="B30" i="19" s="1"/>
  <c r="A19" i="26" a="1"/>
  <c r="A19" i="26" s="1"/>
  <c r="B19" i="26" a="1"/>
  <c r="B19" i="26" s="1"/>
  <c r="T30" i="19"/>
  <c r="F30" i="19" s="1"/>
  <c r="U19" i="26" l="1"/>
  <c r="V19" i="26"/>
  <c r="V30" i="19"/>
  <c r="U30" i="19"/>
  <c r="AO30" i="4"/>
  <c r="AP30" i="4"/>
  <c r="AQ30" i="4"/>
  <c r="AR30" i="4"/>
  <c r="AS30" i="4"/>
  <c r="AT30" i="4"/>
  <c r="AV30" i="4"/>
  <c r="AW30" i="4"/>
  <c r="AX30" i="4"/>
  <c r="BP30" i="4"/>
  <c r="BQ30" i="4"/>
  <c r="BR30" i="4"/>
  <c r="BV30" i="4" s="1"/>
  <c r="BS30" i="4"/>
  <c r="BT30" i="4"/>
  <c r="BU30" i="4"/>
  <c r="BW30" i="4"/>
  <c r="BX30" i="4"/>
  <c r="BY30" i="4"/>
  <c r="CQ30" i="4"/>
  <c r="CR30" i="4"/>
  <c r="CS30" i="4"/>
  <c r="CT30" i="4"/>
  <c r="CU30" i="4"/>
  <c r="CV30" i="4"/>
  <c r="CX30" i="4"/>
  <c r="CY30" i="4"/>
  <c r="CZ30" i="4"/>
  <c r="DX30" i="4"/>
  <c r="DY30" i="4"/>
  <c r="DZ30" i="4"/>
  <c r="EA30" i="4"/>
  <c r="EB30" i="4"/>
  <c r="EC30" i="4"/>
  <c r="EE30" i="4"/>
  <c r="EF30" i="4"/>
  <c r="EG30" i="4"/>
  <c r="EH30" i="4"/>
  <c r="EI30" i="4"/>
  <c r="EJ30" i="4"/>
  <c r="FF30" i="4"/>
  <c r="FG30" i="4"/>
  <c r="FH30" i="4"/>
  <c r="FI30" i="4"/>
  <c r="FJ30" i="4"/>
  <c r="FK30" i="4"/>
  <c r="FM30" i="4"/>
  <c r="FN30" i="4"/>
  <c r="FO30" i="4"/>
  <c r="FP30" i="4"/>
  <c r="FQ30" i="4"/>
  <c r="FR30" i="4"/>
  <c r="GN30" i="4"/>
  <c r="GO30" i="4"/>
  <c r="GP30" i="4"/>
  <c r="GQ30" i="4"/>
  <c r="GR30" i="4"/>
  <c r="GS30" i="4"/>
  <c r="GU30" i="4"/>
  <c r="GV30" i="4"/>
  <c r="GW30" i="4"/>
  <c r="GX30" i="4"/>
  <c r="GY30" i="4"/>
  <c r="GZ30" i="4"/>
  <c r="HV30" i="4"/>
  <c r="HW30" i="4"/>
  <c r="HX30" i="4"/>
  <c r="HY30" i="4"/>
  <c r="HZ30" i="4"/>
  <c r="IA30" i="4"/>
  <c r="IC30" i="4"/>
  <c r="ID30" i="4"/>
  <c r="IE30" i="4"/>
  <c r="IF30" i="4"/>
  <c r="IG30" i="4"/>
  <c r="IH30" i="4"/>
  <c r="JD30" i="4"/>
  <c r="JE30" i="4"/>
  <c r="JF30" i="4"/>
  <c r="JG30" i="4"/>
  <c r="JH30" i="4"/>
  <c r="JI30" i="4"/>
  <c r="JK30" i="4"/>
  <c r="JL30" i="4"/>
  <c r="JM30" i="4"/>
  <c r="JN30" i="4"/>
  <c r="JO30" i="4"/>
  <c r="JP30" i="4"/>
  <c r="KL30" i="4"/>
  <c r="KM30" i="4"/>
  <c r="KN30" i="4"/>
  <c r="KO30" i="4"/>
  <c r="KP30" i="4"/>
  <c r="KQ30" i="4"/>
  <c r="KS30" i="4"/>
  <c r="KT30" i="4"/>
  <c r="KU30" i="4"/>
  <c r="KV30" i="4"/>
  <c r="KW30" i="4"/>
  <c r="KX30" i="4"/>
  <c r="LT30" i="4"/>
  <c r="LU30" i="4"/>
  <c r="LV30" i="4"/>
  <c r="LW30" i="4"/>
  <c r="LX30" i="4"/>
  <c r="LY30" i="4"/>
  <c r="MA30" i="4"/>
  <c r="MB30" i="4"/>
  <c r="MC30" i="4"/>
  <c r="MD30" i="4"/>
  <c r="ME30" i="4"/>
  <c r="MF30" i="4"/>
  <c r="NB30" i="4"/>
  <c r="NC30" i="4"/>
  <c r="ND30" i="4"/>
  <c r="NE30" i="4"/>
  <c r="NF30" i="4"/>
  <c r="NG30" i="4"/>
  <c r="NI30" i="4"/>
  <c r="NJ30" i="4"/>
  <c r="NK30" i="4"/>
  <c r="NL30" i="4"/>
  <c r="NM30" i="4"/>
  <c r="NN30" i="4"/>
  <c r="OJ30" i="4"/>
  <c r="OK30" i="4"/>
  <c r="OL30" i="4"/>
  <c r="OM30" i="4"/>
  <c r="ON30" i="4"/>
  <c r="OO30" i="4"/>
  <c r="OQ30" i="4"/>
  <c r="OR30" i="4"/>
  <c r="OS30" i="4"/>
  <c r="OT30" i="4"/>
  <c r="OU30" i="4"/>
  <c r="OV30" i="4"/>
  <c r="PR30" i="4"/>
  <c r="PS30" i="4"/>
  <c r="PT30" i="4"/>
  <c r="PU30" i="4"/>
  <c r="PV30" i="4"/>
  <c r="PW30" i="4"/>
  <c r="PY30" i="4"/>
  <c r="PZ30" i="4"/>
  <c r="QA30" i="4"/>
  <c r="QB30" i="4"/>
  <c r="QC30" i="4"/>
  <c r="QD30" i="4"/>
  <c r="QZ30" i="4"/>
  <c r="RA30" i="4"/>
  <c r="RB30" i="4"/>
  <c r="RC30" i="4"/>
  <c r="RD30" i="4"/>
  <c r="RE30" i="4"/>
  <c r="RG30" i="4"/>
  <c r="RH30" i="4"/>
  <c r="RI30" i="4"/>
  <c r="RJ30" i="4"/>
  <c r="RK30" i="4"/>
  <c r="RL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AO27" i="4"/>
  <c r="AP27" i="4"/>
  <c r="AQ27" i="4"/>
  <c r="AR27" i="4"/>
  <c r="AS27" i="4"/>
  <c r="AT27" i="4"/>
  <c r="AV27" i="4"/>
  <c r="AW27" i="4"/>
  <c r="AX27" i="4"/>
  <c r="BP27" i="4"/>
  <c r="BQ27" i="4"/>
  <c r="BR27" i="4"/>
  <c r="BV27" i="4" s="1"/>
  <c r="BS27" i="4"/>
  <c r="BT27" i="4"/>
  <c r="BU27" i="4"/>
  <c r="BW27" i="4"/>
  <c r="BX27" i="4"/>
  <c r="BY27" i="4"/>
  <c r="CQ27" i="4"/>
  <c r="CR27" i="4"/>
  <c r="CS27" i="4"/>
  <c r="CT27" i="4"/>
  <c r="CU27" i="4"/>
  <c r="CV27" i="4"/>
  <c r="CX27" i="4"/>
  <c r="CY27" i="4"/>
  <c r="CZ27" i="4"/>
  <c r="DX27" i="4"/>
  <c r="DY27" i="4"/>
  <c r="DZ27" i="4"/>
  <c r="EA27" i="4"/>
  <c r="EB27" i="4"/>
  <c r="EC27" i="4"/>
  <c r="EE27" i="4"/>
  <c r="EF27" i="4"/>
  <c r="EG27" i="4"/>
  <c r="EH27" i="4"/>
  <c r="EI27" i="4"/>
  <c r="EJ27" i="4"/>
  <c r="FF27" i="4"/>
  <c r="FG27" i="4"/>
  <c r="FH27" i="4"/>
  <c r="FI27" i="4"/>
  <c r="FJ27" i="4"/>
  <c r="FK27" i="4"/>
  <c r="FM27" i="4"/>
  <c r="FN27" i="4"/>
  <c r="FO27" i="4"/>
  <c r="FP27" i="4"/>
  <c r="FQ27" i="4"/>
  <c r="FR27" i="4"/>
  <c r="GN27" i="4"/>
  <c r="GO27" i="4"/>
  <c r="GP27" i="4"/>
  <c r="GQ27" i="4"/>
  <c r="GR27" i="4"/>
  <c r="GS27" i="4"/>
  <c r="GU27" i="4"/>
  <c r="GV27" i="4"/>
  <c r="GW27" i="4"/>
  <c r="GX27" i="4"/>
  <c r="GY27" i="4"/>
  <c r="GZ27" i="4"/>
  <c r="HV27" i="4"/>
  <c r="HW27" i="4"/>
  <c r="HX27" i="4"/>
  <c r="HY27" i="4"/>
  <c r="HZ27" i="4"/>
  <c r="IA27" i="4"/>
  <c r="IC27" i="4"/>
  <c r="ID27" i="4"/>
  <c r="IE27" i="4"/>
  <c r="IF27" i="4"/>
  <c r="IG27" i="4"/>
  <c r="IH27" i="4"/>
  <c r="JD27" i="4"/>
  <c r="JE27" i="4"/>
  <c r="JF27" i="4"/>
  <c r="JG27" i="4"/>
  <c r="JH27" i="4"/>
  <c r="JI27" i="4"/>
  <c r="JK27" i="4"/>
  <c r="JL27" i="4"/>
  <c r="JM27" i="4"/>
  <c r="JN27" i="4"/>
  <c r="JO27" i="4"/>
  <c r="JP27" i="4"/>
  <c r="KL27" i="4"/>
  <c r="KM27" i="4"/>
  <c r="KN27" i="4"/>
  <c r="KO27" i="4"/>
  <c r="KP27" i="4"/>
  <c r="KQ27" i="4"/>
  <c r="KS27" i="4"/>
  <c r="KT27" i="4"/>
  <c r="KU27" i="4"/>
  <c r="KV27" i="4"/>
  <c r="KW27" i="4"/>
  <c r="KX27" i="4"/>
  <c r="LT27" i="4"/>
  <c r="LU27" i="4"/>
  <c r="LV27" i="4"/>
  <c r="LW27" i="4"/>
  <c r="LX27" i="4"/>
  <c r="LY27" i="4"/>
  <c r="MA27" i="4"/>
  <c r="MB27" i="4"/>
  <c r="MC27" i="4"/>
  <c r="MD27" i="4"/>
  <c r="ME27" i="4"/>
  <c r="MF27" i="4"/>
  <c r="NB27" i="4"/>
  <c r="NC27" i="4"/>
  <c r="ND27" i="4"/>
  <c r="NE27" i="4"/>
  <c r="NF27" i="4"/>
  <c r="NG27" i="4"/>
  <c r="NI27" i="4"/>
  <c r="NJ27" i="4"/>
  <c r="NK27" i="4"/>
  <c r="NL27" i="4"/>
  <c r="NM27" i="4"/>
  <c r="NN27" i="4"/>
  <c r="OJ27" i="4"/>
  <c r="OK27" i="4"/>
  <c r="OL27" i="4"/>
  <c r="OM27" i="4"/>
  <c r="ON27" i="4"/>
  <c r="OO27" i="4"/>
  <c r="OQ27" i="4"/>
  <c r="OR27" i="4"/>
  <c r="OS27" i="4"/>
  <c r="OT27" i="4"/>
  <c r="OU27" i="4"/>
  <c r="OV27" i="4"/>
  <c r="PR27" i="4"/>
  <c r="PS27" i="4"/>
  <c r="PT27" i="4"/>
  <c r="PU27" i="4"/>
  <c r="PV27" i="4"/>
  <c r="PW27" i="4"/>
  <c r="PY27" i="4"/>
  <c r="PZ27" i="4"/>
  <c r="QA27" i="4"/>
  <c r="QB27" i="4"/>
  <c r="QC27" i="4"/>
  <c r="QD27" i="4"/>
  <c r="QZ27" i="4"/>
  <c r="RA27" i="4"/>
  <c r="RB27" i="4"/>
  <c r="RC27" i="4"/>
  <c r="RD27" i="4"/>
  <c r="RE27" i="4"/>
  <c r="RG27" i="4"/>
  <c r="RH27" i="4"/>
  <c r="RI27" i="4"/>
  <c r="RJ27" i="4"/>
  <c r="RK27" i="4"/>
  <c r="RL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A26" i="21"/>
  <c r="BZ26" i="21"/>
  <c r="BX26" i="21"/>
  <c r="BW26" i="21"/>
  <c r="BV26" i="21"/>
  <c r="BU26" i="21"/>
  <c r="CA25" i="21"/>
  <c r="BZ25" i="21"/>
  <c r="BX25" i="21"/>
  <c r="BW25" i="21"/>
  <c r="BV25" i="21"/>
  <c r="BU25" i="21"/>
  <c r="CA24" i="21"/>
  <c r="BZ24" i="21"/>
  <c r="BX24" i="21"/>
  <c r="BW24" i="21"/>
  <c r="BV24" i="21"/>
  <c r="BU24" i="21"/>
  <c r="CA11" i="21"/>
  <c r="BZ11" i="21"/>
  <c r="BX11" i="21"/>
  <c r="BW11" i="21"/>
  <c r="BV11" i="21"/>
  <c r="BU11" i="21"/>
  <c r="CA23" i="21"/>
  <c r="BZ23" i="21"/>
  <c r="BX23" i="21"/>
  <c r="BW23" i="21"/>
  <c r="BV23" i="21"/>
  <c r="BU23" i="21"/>
  <c r="CA22" i="21"/>
  <c r="BZ22" i="21"/>
  <c r="BX22" i="21"/>
  <c r="BW22" i="21"/>
  <c r="BV22" i="21"/>
  <c r="BU22" i="21"/>
  <c r="CA21" i="21"/>
  <c r="BZ21" i="21"/>
  <c r="BX21" i="21"/>
  <c r="BW21" i="21"/>
  <c r="BV21" i="21"/>
  <c r="BU21" i="21"/>
  <c r="CA18" i="21"/>
  <c r="BZ18" i="21"/>
  <c r="BX18" i="21"/>
  <c r="BW18" i="21"/>
  <c r="BV18" i="21"/>
  <c r="BU18" i="21"/>
  <c r="CA20" i="21"/>
  <c r="BZ20" i="21"/>
  <c r="BX20" i="21"/>
  <c r="BW20" i="21"/>
  <c r="BV20" i="21"/>
  <c r="BU20" i="21"/>
  <c r="CA16" i="21"/>
  <c r="BZ16" i="21"/>
  <c r="BX16" i="21"/>
  <c r="BW16" i="21"/>
  <c r="BV16" i="21"/>
  <c r="BU16" i="21"/>
  <c r="CA19" i="21"/>
  <c r="BZ19" i="21"/>
  <c r="BX19" i="21"/>
  <c r="BW19" i="21"/>
  <c r="BV19" i="21"/>
  <c r="BU19" i="21"/>
  <c r="CA17" i="21"/>
  <c r="BZ17" i="21"/>
  <c r="BX17" i="21"/>
  <c r="BW17" i="21"/>
  <c r="BV17" i="21"/>
  <c r="BU17" i="21"/>
  <c r="CA15" i="21"/>
  <c r="BZ15" i="21"/>
  <c r="BX15" i="21"/>
  <c r="BW15" i="21"/>
  <c r="BV15" i="21"/>
  <c r="BU15" i="21"/>
  <c r="CA14" i="21"/>
  <c r="BZ14" i="21"/>
  <c r="BX14" i="21"/>
  <c r="BW14" i="21"/>
  <c r="BV14" i="21"/>
  <c r="BU14" i="21"/>
  <c r="CA13" i="21"/>
  <c r="BZ13" i="21"/>
  <c r="BX13" i="21"/>
  <c r="BW13" i="21"/>
  <c r="BV13" i="21"/>
  <c r="BU13" i="21"/>
  <c r="CA12" i="21"/>
  <c r="BZ12" i="21"/>
  <c r="BX12" i="21"/>
  <c r="BW12" i="21"/>
  <c r="BV12" i="21"/>
  <c r="BU12" i="21"/>
  <c r="CA8" i="21"/>
  <c r="BZ8" i="21"/>
  <c r="BX8" i="21"/>
  <c r="BW8" i="21"/>
  <c r="BV8" i="21"/>
  <c r="BU8" i="21"/>
  <c r="CA10" i="21"/>
  <c r="BZ10" i="21"/>
  <c r="BX10" i="21"/>
  <c r="BW10" i="21"/>
  <c r="BV10" i="21"/>
  <c r="BU10" i="21"/>
  <c r="CA9" i="21"/>
  <c r="BZ9" i="21"/>
  <c r="BX9" i="21"/>
  <c r="BW9" i="21"/>
  <c r="BV9" i="21"/>
  <c r="BU9" i="21"/>
  <c r="CA7" i="21"/>
  <c r="BZ7" i="21"/>
  <c r="BX7" i="21"/>
  <c r="BW7" i="21"/>
  <c r="BV7" i="21"/>
  <c r="BU7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26" i="21"/>
  <c r="AW26" i="21"/>
  <c r="AU26" i="21"/>
  <c r="AT26" i="21"/>
  <c r="AS26" i="21"/>
  <c r="AR26" i="21"/>
  <c r="AX25" i="21"/>
  <c r="AW25" i="21"/>
  <c r="AU25" i="21"/>
  <c r="AT25" i="21"/>
  <c r="AS25" i="21"/>
  <c r="AR25" i="21"/>
  <c r="AX24" i="21"/>
  <c r="AW24" i="21"/>
  <c r="AU24" i="21"/>
  <c r="AT24" i="21"/>
  <c r="AS24" i="21"/>
  <c r="AR24" i="21"/>
  <c r="AX11" i="21"/>
  <c r="AW11" i="21"/>
  <c r="AU11" i="21"/>
  <c r="AT11" i="21"/>
  <c r="AS11" i="21"/>
  <c r="AR11" i="21"/>
  <c r="AX23" i="21"/>
  <c r="AW23" i="21"/>
  <c r="AU23" i="21"/>
  <c r="AT23" i="21"/>
  <c r="AS23" i="21"/>
  <c r="AR23" i="21"/>
  <c r="AX22" i="21"/>
  <c r="AW22" i="21"/>
  <c r="AU22" i="21"/>
  <c r="AT22" i="21"/>
  <c r="AS22" i="21"/>
  <c r="AR22" i="21"/>
  <c r="AX21" i="21"/>
  <c r="AW21" i="21"/>
  <c r="AU21" i="21"/>
  <c r="AT21" i="21"/>
  <c r="AS21" i="21"/>
  <c r="AR21" i="21"/>
  <c r="AX18" i="21"/>
  <c r="AW18" i="21"/>
  <c r="AU18" i="21"/>
  <c r="AT18" i="21"/>
  <c r="AS18" i="21"/>
  <c r="AR18" i="21"/>
  <c r="AX20" i="21"/>
  <c r="AW20" i="21"/>
  <c r="AU20" i="21"/>
  <c r="AT20" i="21"/>
  <c r="AS20" i="21"/>
  <c r="AR20" i="21"/>
  <c r="AX16" i="21"/>
  <c r="AW16" i="21"/>
  <c r="AU16" i="21"/>
  <c r="AT16" i="21"/>
  <c r="AS16" i="21"/>
  <c r="AR16" i="21"/>
  <c r="AX19" i="21"/>
  <c r="AW19" i="21"/>
  <c r="AU19" i="21"/>
  <c r="AT19" i="21"/>
  <c r="AS19" i="21"/>
  <c r="AR19" i="21"/>
  <c r="AX17" i="21"/>
  <c r="AW17" i="21"/>
  <c r="AU17" i="21"/>
  <c r="AT17" i="21"/>
  <c r="AS17" i="21"/>
  <c r="AR17" i="21"/>
  <c r="AX15" i="21"/>
  <c r="AW15" i="21"/>
  <c r="AU15" i="21"/>
  <c r="AT15" i="21"/>
  <c r="AS15" i="21"/>
  <c r="AR15" i="21"/>
  <c r="AX14" i="21"/>
  <c r="AW14" i="21"/>
  <c r="AU14" i="21"/>
  <c r="AT14" i="21"/>
  <c r="AS14" i="21"/>
  <c r="AR14" i="21"/>
  <c r="AX13" i="21"/>
  <c r="AW13" i="21"/>
  <c r="AU13" i="21"/>
  <c r="AT13" i="21"/>
  <c r="AS13" i="21"/>
  <c r="AR13" i="21"/>
  <c r="AX12" i="21"/>
  <c r="AW12" i="21"/>
  <c r="AU12" i="21"/>
  <c r="AT12" i="21"/>
  <c r="AS12" i="21"/>
  <c r="AR12" i="21"/>
  <c r="AX8" i="21"/>
  <c r="AW8" i="21"/>
  <c r="AU8" i="21"/>
  <c r="AT8" i="21"/>
  <c r="AS8" i="21"/>
  <c r="AR8" i="21"/>
  <c r="AX10" i="21"/>
  <c r="AW10" i="21"/>
  <c r="AU10" i="21"/>
  <c r="AT10" i="21"/>
  <c r="AS10" i="21"/>
  <c r="AR10" i="21"/>
  <c r="AX9" i="21"/>
  <c r="AW9" i="21"/>
  <c r="AU9" i="21"/>
  <c r="AT9" i="21"/>
  <c r="AS9" i="21"/>
  <c r="AR9" i="21"/>
  <c r="AX7" i="21"/>
  <c r="AW7" i="21"/>
  <c r="AU7" i="21"/>
  <c r="AT7" i="21"/>
  <c r="AS7" i="21"/>
  <c r="AR7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24" i="19"/>
  <c r="BZ24" i="19"/>
  <c r="BX24" i="19"/>
  <c r="BW24" i="19"/>
  <c r="BV24" i="19"/>
  <c r="BU24" i="19"/>
  <c r="CA38" i="19"/>
  <c r="BZ38" i="19"/>
  <c r="BX38" i="19"/>
  <c r="BW38" i="19"/>
  <c r="BV38" i="19"/>
  <c r="BU38" i="19"/>
  <c r="CA37" i="19"/>
  <c r="BZ37" i="19"/>
  <c r="BX37" i="19"/>
  <c r="BW37" i="19"/>
  <c r="BV37" i="19"/>
  <c r="BU37" i="19"/>
  <c r="CA36" i="19"/>
  <c r="BZ36" i="19"/>
  <c r="BX36" i="19"/>
  <c r="BW36" i="19"/>
  <c r="BV36" i="19"/>
  <c r="BU36" i="19"/>
  <c r="CA35" i="19"/>
  <c r="BZ35" i="19"/>
  <c r="BX35" i="19"/>
  <c r="BW35" i="19"/>
  <c r="BV35" i="19"/>
  <c r="BU35" i="19"/>
  <c r="CA34" i="19"/>
  <c r="BZ34" i="19"/>
  <c r="BX34" i="19"/>
  <c r="BW34" i="19"/>
  <c r="BV34" i="19"/>
  <c r="BU34" i="19"/>
  <c r="CA33" i="19"/>
  <c r="BZ33" i="19"/>
  <c r="BX33" i="19"/>
  <c r="BW33" i="19"/>
  <c r="BV33" i="19"/>
  <c r="BU33" i="19"/>
  <c r="CA32" i="19"/>
  <c r="BZ32" i="19"/>
  <c r="BX32" i="19"/>
  <c r="BW32" i="19"/>
  <c r="BV32" i="19"/>
  <c r="BU32" i="19"/>
  <c r="CA31" i="19"/>
  <c r="BZ31" i="19"/>
  <c r="BX31" i="19"/>
  <c r="BW31" i="19"/>
  <c r="BV31" i="19"/>
  <c r="BU31" i="19"/>
  <c r="CA39" i="19"/>
  <c r="BZ39" i="19"/>
  <c r="BX39" i="19"/>
  <c r="BW39" i="19"/>
  <c r="BV39" i="19"/>
  <c r="BU39" i="19"/>
  <c r="CA28" i="19"/>
  <c r="BZ28" i="19"/>
  <c r="BX28" i="19"/>
  <c r="BW28" i="19"/>
  <c r="BV28" i="19"/>
  <c r="BU28" i="19"/>
  <c r="CA29" i="19"/>
  <c r="BZ29" i="19"/>
  <c r="BX29" i="19"/>
  <c r="BW29" i="19"/>
  <c r="BV29" i="19"/>
  <c r="BU29" i="19"/>
  <c r="CA27" i="19"/>
  <c r="BZ27" i="19"/>
  <c r="BX27" i="19"/>
  <c r="BW27" i="19"/>
  <c r="BV27" i="19"/>
  <c r="BU27" i="19"/>
  <c r="CA26" i="19"/>
  <c r="BZ26" i="19"/>
  <c r="BX26" i="19"/>
  <c r="BW26" i="19"/>
  <c r="BV26" i="19"/>
  <c r="BU26" i="19"/>
  <c r="CA23" i="19"/>
  <c r="BZ23" i="19"/>
  <c r="BX23" i="19"/>
  <c r="BW23" i="19"/>
  <c r="BV23" i="19"/>
  <c r="BU23" i="19"/>
  <c r="CA20" i="19"/>
  <c r="BZ20" i="19"/>
  <c r="BX20" i="19"/>
  <c r="BW20" i="19"/>
  <c r="BV20" i="19"/>
  <c r="BU20" i="19"/>
  <c r="CA25" i="19"/>
  <c r="BZ25" i="19"/>
  <c r="BX25" i="19"/>
  <c r="BW25" i="19"/>
  <c r="BV25" i="19"/>
  <c r="BU25" i="19"/>
  <c r="CA17" i="19"/>
  <c r="BZ17" i="19"/>
  <c r="BX17" i="19"/>
  <c r="BW17" i="19"/>
  <c r="BV17" i="19"/>
  <c r="BU17" i="19"/>
  <c r="CA8" i="19"/>
  <c r="BZ8" i="19"/>
  <c r="BX8" i="19"/>
  <c r="BW8" i="19"/>
  <c r="BV8" i="19"/>
  <c r="BU8" i="19"/>
  <c r="CA18" i="19"/>
  <c r="BZ18" i="19"/>
  <c r="BX18" i="19"/>
  <c r="BW18" i="19"/>
  <c r="BV18" i="19"/>
  <c r="BU18" i="19"/>
  <c r="CA22" i="19"/>
  <c r="BZ22" i="19"/>
  <c r="BX22" i="19"/>
  <c r="BW22" i="19"/>
  <c r="BV22" i="19"/>
  <c r="BU22" i="19"/>
  <c r="CA19" i="19"/>
  <c r="BZ19" i="19"/>
  <c r="BX19" i="19"/>
  <c r="BW19" i="19"/>
  <c r="BV19" i="19"/>
  <c r="BU19" i="19"/>
  <c r="CA15" i="19"/>
  <c r="BZ15" i="19"/>
  <c r="BX15" i="19"/>
  <c r="BW15" i="19"/>
  <c r="BV15" i="19"/>
  <c r="BU15" i="19"/>
  <c r="CA21" i="19"/>
  <c r="BZ21" i="19"/>
  <c r="BX21" i="19"/>
  <c r="BW21" i="19"/>
  <c r="BV21" i="19"/>
  <c r="BU21" i="19"/>
  <c r="CA16" i="19"/>
  <c r="BZ16" i="19"/>
  <c r="BX16" i="19"/>
  <c r="BW16" i="19"/>
  <c r="BV16" i="19"/>
  <c r="BU16" i="19"/>
  <c r="CA14" i="19"/>
  <c r="BZ14" i="19"/>
  <c r="BX14" i="19"/>
  <c r="BW14" i="19"/>
  <c r="BV14" i="19"/>
  <c r="BU14" i="19"/>
  <c r="CA11" i="19"/>
  <c r="BZ11" i="19"/>
  <c r="BX11" i="19"/>
  <c r="BW11" i="19"/>
  <c r="BV11" i="19"/>
  <c r="BU11" i="19"/>
  <c r="CA12" i="19"/>
  <c r="BZ12" i="19"/>
  <c r="BX12" i="19"/>
  <c r="BW12" i="19"/>
  <c r="BV12" i="19"/>
  <c r="BU12" i="19"/>
  <c r="CA7" i="19"/>
  <c r="BZ7" i="19"/>
  <c r="BX7" i="19"/>
  <c r="BW7" i="19"/>
  <c r="BV7" i="19"/>
  <c r="BU7" i="19"/>
  <c r="CA13" i="19"/>
  <c r="BZ13" i="19"/>
  <c r="BX13" i="19"/>
  <c r="BW13" i="19"/>
  <c r="BV13" i="19"/>
  <c r="BU13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5" i="19"/>
  <c r="BZ5" i="19"/>
  <c r="BX5" i="19"/>
  <c r="BW5" i="19"/>
  <c r="BV5" i="19"/>
  <c r="BU5" i="19"/>
  <c r="CA6" i="19"/>
  <c r="BZ6" i="19"/>
  <c r="BX6" i="19"/>
  <c r="BW6" i="19"/>
  <c r="BV6" i="19"/>
  <c r="BU6" i="19"/>
  <c r="CA4" i="19"/>
  <c r="BZ4" i="19"/>
  <c r="BX4" i="19"/>
  <c r="BW4" i="19"/>
  <c r="BV4" i="19"/>
  <c r="BU4" i="19"/>
  <c r="AX24" i="19"/>
  <c r="AW24" i="19"/>
  <c r="AU24" i="19"/>
  <c r="AT24" i="19"/>
  <c r="AS24" i="19"/>
  <c r="AR24" i="19"/>
  <c r="AX38" i="19"/>
  <c r="AW38" i="19"/>
  <c r="AU38" i="19"/>
  <c r="AT38" i="19"/>
  <c r="AS38" i="19"/>
  <c r="AR38" i="19"/>
  <c r="AX37" i="19"/>
  <c r="AW37" i="19"/>
  <c r="AU37" i="19"/>
  <c r="AT37" i="19"/>
  <c r="AS37" i="19"/>
  <c r="AR37" i="19"/>
  <c r="AX36" i="19"/>
  <c r="AW36" i="19"/>
  <c r="AU36" i="19"/>
  <c r="AT36" i="19"/>
  <c r="AS36" i="19"/>
  <c r="AR36" i="19"/>
  <c r="AX35" i="19"/>
  <c r="AW35" i="19"/>
  <c r="AU35" i="19"/>
  <c r="AT35" i="19"/>
  <c r="AS35" i="19"/>
  <c r="AR35" i="19"/>
  <c r="AX34" i="19"/>
  <c r="AW34" i="19"/>
  <c r="AU34" i="19"/>
  <c r="AT34" i="19"/>
  <c r="AS34" i="19"/>
  <c r="AR34" i="19"/>
  <c r="AX33" i="19"/>
  <c r="AW33" i="19"/>
  <c r="AU33" i="19"/>
  <c r="AT33" i="19"/>
  <c r="AS33" i="19"/>
  <c r="AR33" i="19"/>
  <c r="AX32" i="19"/>
  <c r="AW32" i="19"/>
  <c r="AU32" i="19"/>
  <c r="AT32" i="19"/>
  <c r="AS32" i="19"/>
  <c r="AR32" i="19"/>
  <c r="AX31" i="19"/>
  <c r="AW31" i="19"/>
  <c r="AU31" i="19"/>
  <c r="AT31" i="19"/>
  <c r="AS31" i="19"/>
  <c r="AR31" i="19"/>
  <c r="AX39" i="19"/>
  <c r="AW39" i="19"/>
  <c r="AU39" i="19"/>
  <c r="AT39" i="19"/>
  <c r="AS39" i="19"/>
  <c r="AR39" i="19"/>
  <c r="AX28" i="19"/>
  <c r="AW28" i="19"/>
  <c r="AU28" i="19"/>
  <c r="AT28" i="19"/>
  <c r="AS28" i="19"/>
  <c r="AR28" i="19"/>
  <c r="AX29" i="19"/>
  <c r="AW29" i="19"/>
  <c r="AU29" i="19"/>
  <c r="AT29" i="19"/>
  <c r="AS29" i="19"/>
  <c r="AR29" i="19"/>
  <c r="AX27" i="19"/>
  <c r="AW27" i="19"/>
  <c r="AU27" i="19"/>
  <c r="AT27" i="19"/>
  <c r="AS27" i="19"/>
  <c r="AR27" i="19"/>
  <c r="AX26" i="19"/>
  <c r="AW26" i="19"/>
  <c r="AU26" i="19"/>
  <c r="AT26" i="19"/>
  <c r="AS26" i="19"/>
  <c r="AR26" i="19"/>
  <c r="AX23" i="19"/>
  <c r="AW23" i="19"/>
  <c r="AU23" i="19"/>
  <c r="AT23" i="19"/>
  <c r="AS23" i="19"/>
  <c r="AR23" i="19"/>
  <c r="AX20" i="19"/>
  <c r="AW20" i="19"/>
  <c r="AU20" i="19"/>
  <c r="AT20" i="19"/>
  <c r="AS20" i="19"/>
  <c r="AR20" i="19"/>
  <c r="AX25" i="19"/>
  <c r="AW25" i="19"/>
  <c r="AU25" i="19"/>
  <c r="AT25" i="19"/>
  <c r="AS25" i="19"/>
  <c r="AR25" i="19"/>
  <c r="AX17" i="19"/>
  <c r="AW17" i="19"/>
  <c r="AU17" i="19"/>
  <c r="AT17" i="19"/>
  <c r="AS17" i="19"/>
  <c r="AR17" i="19"/>
  <c r="AX8" i="19"/>
  <c r="AW8" i="19"/>
  <c r="AU8" i="19"/>
  <c r="AT8" i="19"/>
  <c r="AS8" i="19"/>
  <c r="AR8" i="19"/>
  <c r="AX18" i="19"/>
  <c r="AW18" i="19"/>
  <c r="AU18" i="19"/>
  <c r="AT18" i="19"/>
  <c r="AS18" i="19"/>
  <c r="AR18" i="19"/>
  <c r="AX22" i="19"/>
  <c r="AW22" i="19"/>
  <c r="AU22" i="19"/>
  <c r="AT22" i="19"/>
  <c r="AS22" i="19"/>
  <c r="AR22" i="19"/>
  <c r="AX19" i="19"/>
  <c r="AW19" i="19"/>
  <c r="AU19" i="19"/>
  <c r="AT19" i="19"/>
  <c r="AS19" i="19"/>
  <c r="AR19" i="19"/>
  <c r="AX15" i="19"/>
  <c r="AW15" i="19"/>
  <c r="AU15" i="19"/>
  <c r="AT15" i="19"/>
  <c r="AS15" i="19"/>
  <c r="AR15" i="19"/>
  <c r="AX21" i="19"/>
  <c r="AW21" i="19"/>
  <c r="AU21" i="19"/>
  <c r="AT21" i="19"/>
  <c r="AS21" i="19"/>
  <c r="AR21" i="19"/>
  <c r="AX16" i="19"/>
  <c r="AW16" i="19"/>
  <c r="AU16" i="19"/>
  <c r="AT16" i="19"/>
  <c r="AS16" i="19"/>
  <c r="AR16" i="19"/>
  <c r="AX14" i="19"/>
  <c r="AW14" i="19"/>
  <c r="AU14" i="19"/>
  <c r="AT14" i="19"/>
  <c r="AS14" i="19"/>
  <c r="AR14" i="19"/>
  <c r="AX11" i="19"/>
  <c r="AW11" i="19"/>
  <c r="AU11" i="19"/>
  <c r="AT11" i="19"/>
  <c r="AS11" i="19"/>
  <c r="AR11" i="19"/>
  <c r="AX12" i="19"/>
  <c r="AW12" i="19"/>
  <c r="AU12" i="19"/>
  <c r="AT12" i="19"/>
  <c r="AS12" i="19"/>
  <c r="AR12" i="19"/>
  <c r="AX7" i="19"/>
  <c r="AW7" i="19"/>
  <c r="AU7" i="19"/>
  <c r="AT7" i="19"/>
  <c r="AS7" i="19"/>
  <c r="AR7" i="19"/>
  <c r="AX13" i="19"/>
  <c r="AW13" i="19"/>
  <c r="AU13" i="19"/>
  <c r="AT13" i="19"/>
  <c r="AS13" i="19"/>
  <c r="AR13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5" i="19"/>
  <c r="AW5" i="19"/>
  <c r="AU5" i="19"/>
  <c r="AT5" i="19"/>
  <c r="AS5" i="19"/>
  <c r="AR5" i="19"/>
  <c r="AX6" i="19"/>
  <c r="AW6" i="19"/>
  <c r="AU6" i="19"/>
  <c r="AT6" i="19"/>
  <c r="AS6" i="19"/>
  <c r="AR6" i="19"/>
  <c r="AX4" i="19"/>
  <c r="AW4" i="19"/>
  <c r="AU4" i="19"/>
  <c r="AT4" i="19"/>
  <c r="AS4" i="19"/>
  <c r="AR4" i="19"/>
  <c r="CA18" i="27"/>
  <c r="BZ18" i="27"/>
  <c r="BX18" i="27"/>
  <c r="BW18" i="27"/>
  <c r="BV18" i="27"/>
  <c r="BU18" i="27"/>
  <c r="CA17" i="27"/>
  <c r="BZ17" i="27"/>
  <c r="BX17" i="27"/>
  <c r="BW17" i="27"/>
  <c r="BV17" i="27"/>
  <c r="BU17" i="27"/>
  <c r="CA14" i="27"/>
  <c r="BZ14" i="27"/>
  <c r="BX14" i="27"/>
  <c r="BW14" i="27"/>
  <c r="BV14" i="27"/>
  <c r="BU14" i="27"/>
  <c r="CA15" i="27"/>
  <c r="BZ15" i="27"/>
  <c r="BX15" i="27"/>
  <c r="BW15" i="27"/>
  <c r="BV15" i="27"/>
  <c r="BU15" i="27"/>
  <c r="CA19" i="27"/>
  <c r="BZ19" i="27"/>
  <c r="BX19" i="27"/>
  <c r="BW19" i="27"/>
  <c r="BV19" i="27"/>
  <c r="BU19" i="27"/>
  <c r="CA16" i="27"/>
  <c r="BZ16" i="27"/>
  <c r="BX16" i="27"/>
  <c r="BW16" i="27"/>
  <c r="BV16" i="27"/>
  <c r="BU16" i="27"/>
  <c r="CA13" i="27"/>
  <c r="BZ13" i="27"/>
  <c r="BX13" i="27"/>
  <c r="BW13" i="27"/>
  <c r="BV13" i="27"/>
  <c r="BU13" i="27"/>
  <c r="CA12" i="27"/>
  <c r="BZ12" i="27"/>
  <c r="BX12" i="27"/>
  <c r="BW12" i="27"/>
  <c r="BV12" i="27"/>
  <c r="BU12" i="27"/>
  <c r="CA8" i="27"/>
  <c r="BZ8" i="27"/>
  <c r="BX8" i="27"/>
  <c r="BW8" i="27"/>
  <c r="BV8" i="27"/>
  <c r="BU8" i="27"/>
  <c r="CA11" i="27"/>
  <c r="BZ11" i="27"/>
  <c r="BX11" i="27"/>
  <c r="BW11" i="27"/>
  <c r="BV11" i="27"/>
  <c r="BU11" i="27"/>
  <c r="CA10" i="27"/>
  <c r="BZ10" i="27"/>
  <c r="BX10" i="27"/>
  <c r="BW10" i="27"/>
  <c r="BV10" i="27"/>
  <c r="BU10" i="27"/>
  <c r="CA9" i="27"/>
  <c r="BZ9" i="27"/>
  <c r="BX9" i="27"/>
  <c r="BW9" i="27"/>
  <c r="BV9" i="27"/>
  <c r="BU9" i="27"/>
  <c r="CA5" i="27"/>
  <c r="BZ5" i="27"/>
  <c r="BX5" i="27"/>
  <c r="BW5" i="27"/>
  <c r="BV5" i="27"/>
  <c r="BU5" i="27"/>
  <c r="CA7" i="27"/>
  <c r="BZ7" i="27"/>
  <c r="BX7" i="27"/>
  <c r="BW7" i="27"/>
  <c r="BV7" i="27"/>
  <c r="BU7" i="27"/>
  <c r="CA6" i="27"/>
  <c r="BZ6" i="27"/>
  <c r="BX6" i="27"/>
  <c r="BW6" i="27"/>
  <c r="BV6" i="27"/>
  <c r="BU6" i="27"/>
  <c r="CA4" i="27"/>
  <c r="BZ4" i="27"/>
  <c r="BX4" i="27"/>
  <c r="BW4" i="27"/>
  <c r="BV4" i="27"/>
  <c r="BU4" i="27"/>
  <c r="AX18" i="27"/>
  <c r="AW18" i="27"/>
  <c r="AU18" i="27"/>
  <c r="AT18" i="27"/>
  <c r="AS18" i="27"/>
  <c r="AR18" i="27"/>
  <c r="AX17" i="27"/>
  <c r="AW17" i="27"/>
  <c r="AU17" i="27"/>
  <c r="AT17" i="27"/>
  <c r="AS17" i="27"/>
  <c r="AR17" i="27"/>
  <c r="AX14" i="27"/>
  <c r="AW14" i="27"/>
  <c r="AU14" i="27"/>
  <c r="AT14" i="27"/>
  <c r="AS14" i="27"/>
  <c r="AR14" i="27"/>
  <c r="AX15" i="27"/>
  <c r="AW15" i="27"/>
  <c r="AU15" i="27"/>
  <c r="AT15" i="27"/>
  <c r="AS15" i="27"/>
  <c r="AR15" i="27"/>
  <c r="AX19" i="27"/>
  <c r="AW19" i="27"/>
  <c r="AU19" i="27"/>
  <c r="AT19" i="27"/>
  <c r="AS19" i="27"/>
  <c r="AR19" i="27"/>
  <c r="AX16" i="27"/>
  <c r="AW16" i="27"/>
  <c r="AU16" i="27"/>
  <c r="AT16" i="27"/>
  <c r="AS16" i="27"/>
  <c r="AR16" i="27"/>
  <c r="AX13" i="27"/>
  <c r="AW13" i="27"/>
  <c r="AU13" i="27"/>
  <c r="AT13" i="27"/>
  <c r="AS13" i="27"/>
  <c r="AR13" i="27"/>
  <c r="AX12" i="27"/>
  <c r="AW12" i="27"/>
  <c r="AU12" i="27"/>
  <c r="AT12" i="27"/>
  <c r="AS12" i="27"/>
  <c r="AR12" i="27"/>
  <c r="AX8" i="27"/>
  <c r="AW8" i="27"/>
  <c r="AU8" i="27"/>
  <c r="AT8" i="27"/>
  <c r="AS8" i="27"/>
  <c r="AR8" i="27"/>
  <c r="AX11" i="27"/>
  <c r="AW11" i="27"/>
  <c r="AU11" i="27"/>
  <c r="AT11" i="27"/>
  <c r="AS11" i="27"/>
  <c r="AR11" i="27"/>
  <c r="AX10" i="27"/>
  <c r="AW10" i="27"/>
  <c r="AU10" i="27"/>
  <c r="AT10" i="27"/>
  <c r="AS10" i="27"/>
  <c r="AR10" i="27"/>
  <c r="AX9" i="27"/>
  <c r="AW9" i="27"/>
  <c r="AU9" i="27"/>
  <c r="AT9" i="27"/>
  <c r="AS9" i="27"/>
  <c r="AR9" i="27"/>
  <c r="AX5" i="27"/>
  <c r="AW5" i="27"/>
  <c r="AU5" i="27"/>
  <c r="AT5" i="27"/>
  <c r="AS5" i="27"/>
  <c r="AR5" i="27"/>
  <c r="AX7" i="27"/>
  <c r="AW7" i="27"/>
  <c r="AU7" i="27"/>
  <c r="AT7" i="27"/>
  <c r="AS7" i="27"/>
  <c r="AR7" i="27"/>
  <c r="AX6" i="27"/>
  <c r="AW6" i="27"/>
  <c r="AU6" i="27"/>
  <c r="AT6" i="27"/>
  <c r="AS6" i="27"/>
  <c r="AR6" i="27"/>
  <c r="AX4" i="27"/>
  <c r="AW4" i="27"/>
  <c r="AU4" i="27"/>
  <c r="AT4" i="27"/>
  <c r="AS4" i="27"/>
  <c r="AR4" i="27"/>
  <c r="CA21" i="26"/>
  <c r="BZ21" i="26"/>
  <c r="BX21" i="26"/>
  <c r="BW21" i="26"/>
  <c r="BV21" i="26"/>
  <c r="BU21" i="26"/>
  <c r="CA17" i="26"/>
  <c r="BZ17" i="26"/>
  <c r="BX17" i="26"/>
  <c r="BW17" i="26"/>
  <c r="BV17" i="26"/>
  <c r="BU17" i="26"/>
  <c r="CA20" i="26"/>
  <c r="BZ20" i="26"/>
  <c r="BX20" i="26"/>
  <c r="BW20" i="26"/>
  <c r="BV20" i="26"/>
  <c r="BU20" i="26"/>
  <c r="CA15" i="26"/>
  <c r="BZ15" i="26"/>
  <c r="BX15" i="26"/>
  <c r="BW15" i="26"/>
  <c r="BV15" i="26"/>
  <c r="BU15" i="26"/>
  <c r="CA18" i="26"/>
  <c r="BZ18" i="26"/>
  <c r="BX18" i="26"/>
  <c r="BW18" i="26"/>
  <c r="BV18" i="26"/>
  <c r="BU18" i="26"/>
  <c r="CA16" i="26"/>
  <c r="BZ16" i="26"/>
  <c r="BX16" i="26"/>
  <c r="BW16" i="26"/>
  <c r="BV16" i="26"/>
  <c r="BU16" i="26"/>
  <c r="CA14" i="26"/>
  <c r="BZ14" i="26"/>
  <c r="BX14" i="26"/>
  <c r="BW14" i="26"/>
  <c r="BV14" i="26"/>
  <c r="BU14" i="26"/>
  <c r="CA7" i="26"/>
  <c r="BZ7" i="26"/>
  <c r="BX7" i="26"/>
  <c r="BW7" i="26"/>
  <c r="BV7" i="26"/>
  <c r="BU7" i="26"/>
  <c r="CA6" i="26"/>
  <c r="BZ6" i="26"/>
  <c r="BX6" i="26"/>
  <c r="BW6" i="26"/>
  <c r="BV6" i="26"/>
  <c r="BU6" i="26"/>
  <c r="CA13" i="26"/>
  <c r="BZ13" i="26"/>
  <c r="BX13" i="26"/>
  <c r="BW13" i="26"/>
  <c r="BV13" i="26"/>
  <c r="BU13" i="26"/>
  <c r="CA11" i="26"/>
  <c r="BZ11" i="26"/>
  <c r="BX11" i="26"/>
  <c r="BW11" i="26"/>
  <c r="BV11" i="26"/>
  <c r="BU11" i="26"/>
  <c r="CA12" i="26"/>
  <c r="BZ12" i="26"/>
  <c r="BX12" i="26"/>
  <c r="BW12" i="26"/>
  <c r="BV12" i="26"/>
  <c r="BU12" i="26"/>
  <c r="CA10" i="26"/>
  <c r="BZ10" i="26"/>
  <c r="BX10" i="26"/>
  <c r="BW10" i="26"/>
  <c r="BV10" i="26"/>
  <c r="BU10" i="26"/>
  <c r="CA9" i="26"/>
  <c r="BZ9" i="26"/>
  <c r="BX9" i="26"/>
  <c r="BW9" i="26"/>
  <c r="BV9" i="26"/>
  <c r="BU9" i="26"/>
  <c r="CA8" i="26"/>
  <c r="BZ8" i="26"/>
  <c r="BX8" i="26"/>
  <c r="BW8" i="26"/>
  <c r="BV8" i="26"/>
  <c r="BU8" i="26"/>
  <c r="CA4" i="26"/>
  <c r="BZ4" i="26"/>
  <c r="BX4" i="26"/>
  <c r="BW4" i="26"/>
  <c r="BV4" i="26"/>
  <c r="BU4" i="26"/>
  <c r="CA5" i="26"/>
  <c r="BZ5" i="26"/>
  <c r="BX5" i="26"/>
  <c r="BW5" i="26"/>
  <c r="BV5" i="26"/>
  <c r="BU5" i="26"/>
  <c r="AX21" i="26"/>
  <c r="AW21" i="26"/>
  <c r="AU21" i="26"/>
  <c r="AT21" i="26"/>
  <c r="AS21" i="26"/>
  <c r="AR21" i="26"/>
  <c r="AX17" i="26"/>
  <c r="AW17" i="26"/>
  <c r="AU17" i="26"/>
  <c r="AT17" i="26"/>
  <c r="AS17" i="26"/>
  <c r="AR17" i="26"/>
  <c r="AX20" i="26"/>
  <c r="AW20" i="26"/>
  <c r="AU20" i="26"/>
  <c r="AT20" i="26"/>
  <c r="AS20" i="26"/>
  <c r="AR20" i="26"/>
  <c r="AX15" i="26"/>
  <c r="AW15" i="26"/>
  <c r="AU15" i="26"/>
  <c r="AT15" i="26"/>
  <c r="AS15" i="26"/>
  <c r="AR15" i="26"/>
  <c r="AX18" i="26"/>
  <c r="AW18" i="26"/>
  <c r="AU18" i="26"/>
  <c r="AT18" i="26"/>
  <c r="AS18" i="26"/>
  <c r="AR18" i="26"/>
  <c r="AX16" i="26"/>
  <c r="AW16" i="26"/>
  <c r="AU16" i="26"/>
  <c r="AT16" i="26"/>
  <c r="AS16" i="26"/>
  <c r="AR16" i="26"/>
  <c r="AX14" i="26"/>
  <c r="AW14" i="26"/>
  <c r="AU14" i="26"/>
  <c r="AT14" i="26"/>
  <c r="AS14" i="26"/>
  <c r="AR14" i="26"/>
  <c r="AX7" i="26"/>
  <c r="AW7" i="26"/>
  <c r="AU7" i="26"/>
  <c r="AT7" i="26"/>
  <c r="AS7" i="26"/>
  <c r="AR7" i="26"/>
  <c r="AX6" i="26"/>
  <c r="AW6" i="26"/>
  <c r="AU6" i="26"/>
  <c r="AT6" i="26"/>
  <c r="AS6" i="26"/>
  <c r="AR6" i="26"/>
  <c r="AX13" i="26"/>
  <c r="AW13" i="26"/>
  <c r="AU13" i="26"/>
  <c r="AT13" i="26"/>
  <c r="AS13" i="26"/>
  <c r="AR13" i="26"/>
  <c r="AX11" i="26"/>
  <c r="AW11" i="26"/>
  <c r="AU11" i="26"/>
  <c r="AT11" i="26"/>
  <c r="AS11" i="26"/>
  <c r="AR11" i="26"/>
  <c r="AX12" i="26"/>
  <c r="AW12" i="26"/>
  <c r="AU12" i="26"/>
  <c r="AT12" i="26"/>
  <c r="AS12" i="26"/>
  <c r="AR12" i="26"/>
  <c r="AX10" i="26"/>
  <c r="AW10" i="26"/>
  <c r="AU10" i="26"/>
  <c r="AT10" i="26"/>
  <c r="AS10" i="26"/>
  <c r="AR10" i="26"/>
  <c r="AX9" i="26"/>
  <c r="AW9" i="26"/>
  <c r="AU9" i="26"/>
  <c r="AT9" i="26"/>
  <c r="AS9" i="26"/>
  <c r="AR9" i="26"/>
  <c r="AX8" i="26"/>
  <c r="AW8" i="26"/>
  <c r="AU8" i="26"/>
  <c r="AT8" i="26"/>
  <c r="AS8" i="26"/>
  <c r="AR8" i="26"/>
  <c r="AX4" i="26"/>
  <c r="AW4" i="26"/>
  <c r="AU4" i="26"/>
  <c r="AT4" i="26"/>
  <c r="AS4" i="26"/>
  <c r="AR4" i="26"/>
  <c r="AX5" i="26"/>
  <c r="AW5" i="26"/>
  <c r="AU5" i="26"/>
  <c r="AT5" i="26"/>
  <c r="AS5" i="26"/>
  <c r="AR5" i="26"/>
  <c r="BY33" i="22"/>
  <c r="BX33" i="22"/>
  <c r="BW33" i="22"/>
  <c r="BU33" i="22"/>
  <c r="BT33" i="22"/>
  <c r="BS33" i="22"/>
  <c r="BR33" i="22"/>
  <c r="BQ33" i="22"/>
  <c r="BP33" i="22"/>
  <c r="BY32" i="22"/>
  <c r="BX32" i="22"/>
  <c r="BW32" i="22"/>
  <c r="BU32" i="22"/>
  <c r="BT32" i="22"/>
  <c r="BS32" i="22"/>
  <c r="BR32" i="22"/>
  <c r="BQ32" i="22"/>
  <c r="BP32" i="22"/>
  <c r="BY17" i="22"/>
  <c r="BX17" i="22"/>
  <c r="BW17" i="22"/>
  <c r="BU17" i="22"/>
  <c r="BT17" i="22"/>
  <c r="BS17" i="22"/>
  <c r="BR17" i="22"/>
  <c r="BQ17" i="22"/>
  <c r="BP17" i="22"/>
  <c r="BY30" i="22"/>
  <c r="BX30" i="22"/>
  <c r="BW30" i="22"/>
  <c r="BU30" i="22"/>
  <c r="BT30" i="22"/>
  <c r="BS30" i="22"/>
  <c r="BR30" i="22"/>
  <c r="BQ30" i="22"/>
  <c r="BP30" i="22"/>
  <c r="BY29" i="22"/>
  <c r="BX29" i="22"/>
  <c r="BW29" i="22"/>
  <c r="BU29" i="22"/>
  <c r="BT29" i="22"/>
  <c r="BS29" i="22"/>
  <c r="BR29" i="22"/>
  <c r="BV29" i="22" s="1"/>
  <c r="BQ29" i="22"/>
  <c r="BP29" i="22"/>
  <c r="BY27" i="22"/>
  <c r="BX27" i="22"/>
  <c r="BW27" i="22"/>
  <c r="BU27" i="22"/>
  <c r="BT27" i="22"/>
  <c r="BS27" i="22"/>
  <c r="BR27" i="22"/>
  <c r="BQ27" i="22"/>
  <c r="BP27" i="22"/>
  <c r="BY26" i="22"/>
  <c r="BX26" i="22"/>
  <c r="BW26" i="22"/>
  <c r="BU26" i="22"/>
  <c r="BT26" i="22"/>
  <c r="BS26" i="22"/>
  <c r="BR26" i="22"/>
  <c r="BQ26" i="22"/>
  <c r="BP26" i="22"/>
  <c r="BY25" i="22"/>
  <c r="BX25" i="22"/>
  <c r="BW25" i="22"/>
  <c r="BU25" i="22"/>
  <c r="BT25" i="22"/>
  <c r="BS25" i="22"/>
  <c r="BR25" i="22"/>
  <c r="BQ25" i="22"/>
  <c r="BP25" i="22"/>
  <c r="BY24" i="22"/>
  <c r="BX24" i="22"/>
  <c r="BW24" i="22"/>
  <c r="BU24" i="22"/>
  <c r="BT24" i="22"/>
  <c r="BS24" i="22"/>
  <c r="BR24" i="22"/>
  <c r="BQ24" i="22"/>
  <c r="BP24" i="22"/>
  <c r="BY23" i="22"/>
  <c r="BX23" i="22"/>
  <c r="BW23" i="22"/>
  <c r="BU23" i="22"/>
  <c r="BT23" i="22"/>
  <c r="BS23" i="22"/>
  <c r="BR23" i="22"/>
  <c r="BQ23" i="22"/>
  <c r="BP23" i="22"/>
  <c r="BY22" i="22"/>
  <c r="BX22" i="22"/>
  <c r="BW22" i="22"/>
  <c r="BU22" i="22"/>
  <c r="BT22" i="22"/>
  <c r="BS22" i="22"/>
  <c r="BR22" i="22"/>
  <c r="BQ22" i="22"/>
  <c r="BP22" i="22"/>
  <c r="BY21" i="22"/>
  <c r="BX21" i="22"/>
  <c r="BW21" i="22"/>
  <c r="BU21" i="22"/>
  <c r="BT21" i="22"/>
  <c r="BS21" i="22"/>
  <c r="BR21" i="22"/>
  <c r="BV21" i="22" s="1"/>
  <c r="BQ21" i="22"/>
  <c r="BP21" i="22"/>
  <c r="BY28" i="22"/>
  <c r="BX28" i="22"/>
  <c r="BW28" i="22"/>
  <c r="BU28" i="22"/>
  <c r="BT28" i="22"/>
  <c r="BS28" i="22"/>
  <c r="BR28" i="22"/>
  <c r="BV28" i="22" s="1"/>
  <c r="BQ28" i="22"/>
  <c r="BP28" i="22"/>
  <c r="BY20" i="22"/>
  <c r="BX20" i="22"/>
  <c r="BW20" i="22"/>
  <c r="BU20" i="22"/>
  <c r="BT20" i="22"/>
  <c r="BS20" i="22"/>
  <c r="BR20" i="22"/>
  <c r="BQ20" i="22"/>
  <c r="BP20" i="22"/>
  <c r="BY19" i="22"/>
  <c r="BX19" i="22"/>
  <c r="BW19" i="22"/>
  <c r="BU19" i="22"/>
  <c r="BT19" i="22"/>
  <c r="BS19" i="22"/>
  <c r="BR19" i="22"/>
  <c r="BQ19" i="22"/>
  <c r="BP19" i="22"/>
  <c r="BY15" i="22"/>
  <c r="BX15" i="22"/>
  <c r="BW15" i="22"/>
  <c r="BU15" i="22"/>
  <c r="BT15" i="22"/>
  <c r="BS15" i="22"/>
  <c r="BR15" i="22"/>
  <c r="BQ15" i="22"/>
  <c r="BP15" i="22"/>
  <c r="BY18" i="22"/>
  <c r="BX18" i="22"/>
  <c r="BW18" i="22"/>
  <c r="BU18" i="22"/>
  <c r="BT18" i="22"/>
  <c r="BS18" i="22"/>
  <c r="BR18" i="22"/>
  <c r="BQ18" i="22"/>
  <c r="BP18" i="22"/>
  <c r="BY8" i="22"/>
  <c r="BX8" i="22"/>
  <c r="BW8" i="22"/>
  <c r="BU8" i="22"/>
  <c r="BT8" i="22"/>
  <c r="BS8" i="22"/>
  <c r="BR8" i="22"/>
  <c r="BQ8" i="22"/>
  <c r="BP8" i="22"/>
  <c r="BY13" i="22"/>
  <c r="BX13" i="22"/>
  <c r="BW13" i="22"/>
  <c r="BU13" i="22"/>
  <c r="BT13" i="22"/>
  <c r="BS13" i="22"/>
  <c r="BR13" i="22"/>
  <c r="BQ13" i="22"/>
  <c r="BP13" i="22"/>
  <c r="BY14" i="22"/>
  <c r="BX14" i="22"/>
  <c r="BW14" i="22"/>
  <c r="BU14" i="22"/>
  <c r="BT14" i="22"/>
  <c r="BS14" i="22"/>
  <c r="BR14" i="22"/>
  <c r="BQ14" i="22"/>
  <c r="BP14" i="22"/>
  <c r="BY16" i="22"/>
  <c r="BX16" i="22"/>
  <c r="BW16" i="22"/>
  <c r="BU16" i="22"/>
  <c r="BT16" i="22"/>
  <c r="BS16" i="22"/>
  <c r="BR16" i="22"/>
  <c r="BQ16" i="22"/>
  <c r="BP16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31" i="22"/>
  <c r="BX31" i="22"/>
  <c r="BW31" i="22"/>
  <c r="BU31" i="22"/>
  <c r="BT31" i="22"/>
  <c r="BS31" i="22"/>
  <c r="BR31" i="22"/>
  <c r="BV31" i="22" s="1"/>
  <c r="BQ31" i="22"/>
  <c r="BP31" i="22"/>
  <c r="BY7" i="22"/>
  <c r="BX7" i="22"/>
  <c r="BW7" i="22"/>
  <c r="BU7" i="22"/>
  <c r="BT7" i="22"/>
  <c r="BS7" i="22"/>
  <c r="BR7" i="22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3" i="22"/>
  <c r="AW33" i="22"/>
  <c r="AV33" i="22"/>
  <c r="AT33" i="22"/>
  <c r="AS33" i="22"/>
  <c r="AR33" i="22"/>
  <c r="AQ33" i="22"/>
  <c r="AU33" i="22" s="1"/>
  <c r="AP33" i="22"/>
  <c r="AO33" i="22"/>
  <c r="AX32" i="22"/>
  <c r="AW32" i="22"/>
  <c r="AV32" i="22"/>
  <c r="AT32" i="22"/>
  <c r="AS32" i="22"/>
  <c r="AR32" i="22"/>
  <c r="AQ32" i="22"/>
  <c r="AU32" i="22" s="1"/>
  <c r="AP32" i="22"/>
  <c r="AO32" i="22"/>
  <c r="AX17" i="22"/>
  <c r="AW17" i="22"/>
  <c r="AV17" i="22"/>
  <c r="AT17" i="22"/>
  <c r="AS17" i="22"/>
  <c r="AR17" i="22"/>
  <c r="AQ17" i="22"/>
  <c r="AU17" i="22" s="1"/>
  <c r="AP17" i="22"/>
  <c r="AO17" i="22"/>
  <c r="AX30" i="22"/>
  <c r="AW30" i="22"/>
  <c r="AV30" i="22"/>
  <c r="AT30" i="22"/>
  <c r="AS30" i="22"/>
  <c r="AR30" i="22"/>
  <c r="AQ30" i="22"/>
  <c r="AU30" i="22" s="1"/>
  <c r="AP30" i="22"/>
  <c r="AO30" i="22"/>
  <c r="AX29" i="22"/>
  <c r="AW29" i="22"/>
  <c r="AV29" i="22"/>
  <c r="AT29" i="22"/>
  <c r="AS29" i="22"/>
  <c r="AR29" i="22"/>
  <c r="AQ29" i="22"/>
  <c r="AP29" i="22"/>
  <c r="AO29" i="22"/>
  <c r="AX27" i="22"/>
  <c r="AW27" i="22"/>
  <c r="AV27" i="22"/>
  <c r="AT27" i="22"/>
  <c r="AS27" i="22"/>
  <c r="AR27" i="22"/>
  <c r="AQ27" i="22"/>
  <c r="AP27" i="22"/>
  <c r="AO27" i="22"/>
  <c r="AX26" i="22"/>
  <c r="AW26" i="22"/>
  <c r="AV26" i="22"/>
  <c r="AT26" i="22"/>
  <c r="AS26" i="22"/>
  <c r="AR26" i="22"/>
  <c r="AQ26" i="22"/>
  <c r="AU26" i="22" s="1"/>
  <c r="AP26" i="22"/>
  <c r="AO26" i="22"/>
  <c r="AX25" i="22"/>
  <c r="AW25" i="22"/>
  <c r="AV25" i="22"/>
  <c r="AT25" i="22"/>
  <c r="AS25" i="22"/>
  <c r="AR25" i="22"/>
  <c r="AQ25" i="22"/>
  <c r="AU25" i="22" s="1"/>
  <c r="AP25" i="22"/>
  <c r="AO25" i="22"/>
  <c r="AX24" i="22"/>
  <c r="AW24" i="22"/>
  <c r="AV24" i="22"/>
  <c r="AT24" i="22"/>
  <c r="AS24" i="22"/>
  <c r="AR24" i="22"/>
  <c r="AQ24" i="22"/>
  <c r="AU24" i="22" s="1"/>
  <c r="AP24" i="22"/>
  <c r="AO24" i="22"/>
  <c r="AX23" i="22"/>
  <c r="AW23" i="22"/>
  <c r="AV23" i="22"/>
  <c r="AT23" i="22"/>
  <c r="AS23" i="22"/>
  <c r="AR23" i="22"/>
  <c r="AQ23" i="22"/>
  <c r="AU23" i="22" s="1"/>
  <c r="AP23" i="22"/>
  <c r="AO23" i="22"/>
  <c r="AX22" i="22"/>
  <c r="AW22" i="22"/>
  <c r="AV22" i="22"/>
  <c r="AT22" i="22"/>
  <c r="AS22" i="22"/>
  <c r="AR22" i="22"/>
  <c r="AQ22" i="22"/>
  <c r="AU22" i="22" s="1"/>
  <c r="AP22" i="22"/>
  <c r="AO22" i="22"/>
  <c r="AX21" i="22"/>
  <c r="AW21" i="22"/>
  <c r="AV21" i="22"/>
  <c r="AT21" i="22"/>
  <c r="AS21" i="22"/>
  <c r="AR21" i="22"/>
  <c r="AQ21" i="22"/>
  <c r="AP21" i="22"/>
  <c r="AO21" i="22"/>
  <c r="AX28" i="22"/>
  <c r="AW28" i="22"/>
  <c r="AV28" i="22"/>
  <c r="AT28" i="22"/>
  <c r="AS28" i="22"/>
  <c r="AR28" i="22"/>
  <c r="AQ28" i="22"/>
  <c r="AP28" i="22"/>
  <c r="AO28" i="22"/>
  <c r="AX20" i="22"/>
  <c r="AW20" i="22"/>
  <c r="AV20" i="22"/>
  <c r="AT20" i="22"/>
  <c r="AS20" i="22"/>
  <c r="AR20" i="22"/>
  <c r="AQ20" i="22"/>
  <c r="AU20" i="22" s="1"/>
  <c r="AP20" i="22"/>
  <c r="AO20" i="22"/>
  <c r="AX19" i="22"/>
  <c r="AW19" i="22"/>
  <c r="AV19" i="22"/>
  <c r="AT19" i="22"/>
  <c r="AS19" i="22"/>
  <c r="AR19" i="22"/>
  <c r="AQ19" i="22"/>
  <c r="AP19" i="22"/>
  <c r="AO19" i="22"/>
  <c r="AX15" i="22"/>
  <c r="AW15" i="22"/>
  <c r="AV15" i="22"/>
  <c r="AT15" i="22"/>
  <c r="AS15" i="22"/>
  <c r="AR15" i="22"/>
  <c r="AQ15" i="22"/>
  <c r="AP15" i="22"/>
  <c r="AO15" i="22"/>
  <c r="AX18" i="22"/>
  <c r="AW18" i="22"/>
  <c r="AV18" i="22"/>
  <c r="AT18" i="22"/>
  <c r="AS18" i="22"/>
  <c r="AR18" i="22"/>
  <c r="AQ18" i="22"/>
  <c r="AP18" i="22"/>
  <c r="AO18" i="22"/>
  <c r="AX8" i="22"/>
  <c r="AW8" i="22"/>
  <c r="AV8" i="22"/>
  <c r="AT8" i="22"/>
  <c r="AS8" i="22"/>
  <c r="AR8" i="22"/>
  <c r="AQ8" i="22"/>
  <c r="AU8" i="22" s="1"/>
  <c r="AP8" i="22"/>
  <c r="AO8" i="22"/>
  <c r="AX13" i="22"/>
  <c r="AW13" i="22"/>
  <c r="AV13" i="22"/>
  <c r="AT13" i="22"/>
  <c r="AS13" i="22"/>
  <c r="AR13" i="22"/>
  <c r="AQ13" i="22"/>
  <c r="AP13" i="22"/>
  <c r="AO13" i="22"/>
  <c r="AX14" i="22"/>
  <c r="AW14" i="22"/>
  <c r="AV14" i="22"/>
  <c r="AT14" i="22"/>
  <c r="AS14" i="22"/>
  <c r="AR14" i="22"/>
  <c r="AQ14" i="22"/>
  <c r="AP14" i="22"/>
  <c r="AO14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U9" i="22" s="1"/>
  <c r="AP9" i="22"/>
  <c r="AO9" i="22"/>
  <c r="AX31" i="22"/>
  <c r="AW31" i="22"/>
  <c r="AV31" i="22"/>
  <c r="AT31" i="22"/>
  <c r="AS31" i="22"/>
  <c r="AR31" i="22"/>
  <c r="AQ31" i="22"/>
  <c r="AP31" i="22"/>
  <c r="AO31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3" i="4"/>
  <c r="BX33" i="4"/>
  <c r="BW33" i="4"/>
  <c r="BU33" i="4"/>
  <c r="BT33" i="4"/>
  <c r="BS33" i="4"/>
  <c r="BR33" i="4"/>
  <c r="BQ33" i="4"/>
  <c r="BP33" i="4"/>
  <c r="BY32" i="4"/>
  <c r="BX32" i="4"/>
  <c r="BW32" i="4"/>
  <c r="BU32" i="4"/>
  <c r="BT32" i="4"/>
  <c r="BS32" i="4"/>
  <c r="BR32" i="4"/>
  <c r="BQ32" i="4"/>
  <c r="BP32" i="4"/>
  <c r="BY31" i="4"/>
  <c r="BX31" i="4"/>
  <c r="BW31" i="4"/>
  <c r="BU31" i="4"/>
  <c r="BT31" i="4"/>
  <c r="BS31" i="4"/>
  <c r="BR31" i="4"/>
  <c r="BQ31" i="4"/>
  <c r="BP31" i="4"/>
  <c r="BY29" i="4"/>
  <c r="BX29" i="4"/>
  <c r="BW29" i="4"/>
  <c r="BU29" i="4"/>
  <c r="BT29" i="4"/>
  <c r="BS29" i="4"/>
  <c r="BR29" i="4"/>
  <c r="BQ29" i="4"/>
  <c r="BP29" i="4"/>
  <c r="BY17" i="4"/>
  <c r="BX17" i="4"/>
  <c r="BW17" i="4"/>
  <c r="BU17" i="4"/>
  <c r="BT17" i="4"/>
  <c r="BS17" i="4"/>
  <c r="BR17" i="4"/>
  <c r="BQ17" i="4"/>
  <c r="BP17" i="4"/>
  <c r="BY28" i="4"/>
  <c r="BX28" i="4"/>
  <c r="BW28" i="4"/>
  <c r="BU28" i="4"/>
  <c r="BT28" i="4"/>
  <c r="BS28" i="4"/>
  <c r="BR28" i="4"/>
  <c r="BQ28" i="4"/>
  <c r="BP28" i="4"/>
  <c r="BY14" i="4"/>
  <c r="BX14" i="4"/>
  <c r="BW14" i="4"/>
  <c r="BU14" i="4"/>
  <c r="BT14" i="4"/>
  <c r="BS14" i="4"/>
  <c r="BR14" i="4"/>
  <c r="BQ14" i="4"/>
  <c r="BP14" i="4"/>
  <c r="BY13" i="4"/>
  <c r="BX13" i="4"/>
  <c r="BW13" i="4"/>
  <c r="BU13" i="4"/>
  <c r="BT13" i="4"/>
  <c r="BS13" i="4"/>
  <c r="BR13" i="4"/>
  <c r="BQ13" i="4"/>
  <c r="BP13" i="4"/>
  <c r="BY26" i="4"/>
  <c r="BX26" i="4"/>
  <c r="BW26" i="4"/>
  <c r="BU26" i="4"/>
  <c r="BT26" i="4"/>
  <c r="BS26" i="4"/>
  <c r="BR26" i="4"/>
  <c r="BQ26" i="4"/>
  <c r="BP26" i="4"/>
  <c r="BY25" i="4"/>
  <c r="BX25" i="4"/>
  <c r="BW25" i="4"/>
  <c r="BU25" i="4"/>
  <c r="BT25" i="4"/>
  <c r="BS25" i="4"/>
  <c r="BR25" i="4"/>
  <c r="BQ25" i="4"/>
  <c r="BP25" i="4"/>
  <c r="BY24" i="4"/>
  <c r="BX24" i="4"/>
  <c r="BW24" i="4"/>
  <c r="BU24" i="4"/>
  <c r="BT24" i="4"/>
  <c r="BS24" i="4"/>
  <c r="BR24" i="4"/>
  <c r="BV24" i="4" s="1"/>
  <c r="BQ24" i="4"/>
  <c r="BP24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Q20" i="4"/>
  <c r="BP20" i="4"/>
  <c r="BY19" i="4"/>
  <c r="BX19" i="4"/>
  <c r="BW19" i="4"/>
  <c r="BU19" i="4"/>
  <c r="BT19" i="4"/>
  <c r="BS19" i="4"/>
  <c r="BR19" i="4"/>
  <c r="BQ19" i="4"/>
  <c r="BP19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1" i="4"/>
  <c r="BX11" i="4"/>
  <c r="BW11" i="4"/>
  <c r="BU11" i="4"/>
  <c r="BT11" i="4"/>
  <c r="BS11" i="4"/>
  <c r="BR11" i="4"/>
  <c r="BV11" i="4" s="1"/>
  <c r="BQ11" i="4"/>
  <c r="BP11" i="4"/>
  <c r="BY12" i="4"/>
  <c r="BX12" i="4"/>
  <c r="BW12" i="4"/>
  <c r="BU12" i="4"/>
  <c r="BT12" i="4"/>
  <c r="BS12" i="4"/>
  <c r="BR12" i="4"/>
  <c r="BV12" i="4" s="1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V4" i="4" s="1"/>
  <c r="BQ4" i="4"/>
  <c r="BP4" i="4"/>
  <c r="AX33" i="4"/>
  <c r="AW33" i="4"/>
  <c r="AV33" i="4"/>
  <c r="AT33" i="4"/>
  <c r="AS33" i="4"/>
  <c r="AR33" i="4"/>
  <c r="AQ33" i="4"/>
  <c r="AU33" i="4" s="1"/>
  <c r="AP33" i="4"/>
  <c r="AO33" i="4"/>
  <c r="AX32" i="4"/>
  <c r="AW32" i="4"/>
  <c r="AV32" i="4"/>
  <c r="AT32" i="4"/>
  <c r="AS32" i="4"/>
  <c r="AR32" i="4"/>
  <c r="AQ32" i="4"/>
  <c r="AU32" i="4" s="1"/>
  <c r="AP32" i="4"/>
  <c r="AO32" i="4"/>
  <c r="AX31" i="4"/>
  <c r="AW31" i="4"/>
  <c r="AV31" i="4"/>
  <c r="AT31" i="4"/>
  <c r="AS31" i="4"/>
  <c r="AR31" i="4"/>
  <c r="AQ31" i="4"/>
  <c r="AU31" i="4" s="1"/>
  <c r="AP31" i="4"/>
  <c r="AO31" i="4"/>
  <c r="AX29" i="4"/>
  <c r="AW29" i="4"/>
  <c r="AV29" i="4"/>
  <c r="AT29" i="4"/>
  <c r="AS29" i="4"/>
  <c r="AR29" i="4"/>
  <c r="AQ29" i="4"/>
  <c r="AU29" i="4" s="1"/>
  <c r="AP29" i="4"/>
  <c r="AO29" i="4"/>
  <c r="AX17" i="4"/>
  <c r="AW17" i="4"/>
  <c r="AV17" i="4"/>
  <c r="AT17" i="4"/>
  <c r="AS17" i="4"/>
  <c r="AR17" i="4"/>
  <c r="AQ17" i="4"/>
  <c r="AP17" i="4"/>
  <c r="AO17" i="4"/>
  <c r="AX28" i="4"/>
  <c r="AW28" i="4"/>
  <c r="AV28" i="4"/>
  <c r="AT28" i="4"/>
  <c r="AS28" i="4"/>
  <c r="AR28" i="4"/>
  <c r="AQ28" i="4"/>
  <c r="AP28" i="4"/>
  <c r="AO28" i="4"/>
  <c r="AX14" i="4"/>
  <c r="AW14" i="4"/>
  <c r="AV14" i="4"/>
  <c r="AT14" i="4"/>
  <c r="AS14" i="4"/>
  <c r="AR14" i="4"/>
  <c r="AQ14" i="4"/>
  <c r="AU14" i="4" s="1"/>
  <c r="AP14" i="4"/>
  <c r="AO14" i="4"/>
  <c r="AX13" i="4"/>
  <c r="AW13" i="4"/>
  <c r="AV13" i="4"/>
  <c r="AT13" i="4"/>
  <c r="AS13" i="4"/>
  <c r="AR13" i="4"/>
  <c r="AQ13" i="4"/>
  <c r="AP13" i="4"/>
  <c r="AO13" i="4"/>
  <c r="AX26" i="4"/>
  <c r="AW26" i="4"/>
  <c r="AV26" i="4"/>
  <c r="AT26" i="4"/>
  <c r="AS26" i="4"/>
  <c r="AR26" i="4"/>
  <c r="AQ26" i="4"/>
  <c r="AP26" i="4"/>
  <c r="AO26" i="4"/>
  <c r="AX25" i="4"/>
  <c r="AW25" i="4"/>
  <c r="AV25" i="4"/>
  <c r="AT25" i="4"/>
  <c r="AS25" i="4"/>
  <c r="AR25" i="4"/>
  <c r="AQ25" i="4"/>
  <c r="AP25" i="4"/>
  <c r="AO25" i="4"/>
  <c r="AX24" i="4"/>
  <c r="AW24" i="4"/>
  <c r="AV24" i="4"/>
  <c r="AT24" i="4"/>
  <c r="AS24" i="4"/>
  <c r="AR24" i="4"/>
  <c r="AQ24" i="4"/>
  <c r="AP24" i="4"/>
  <c r="AO24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U15" i="4" s="1"/>
  <c r="AP15" i="4"/>
  <c r="AO15" i="4"/>
  <c r="AX11" i="4"/>
  <c r="AW11" i="4"/>
  <c r="AV11" i="4"/>
  <c r="AT11" i="4"/>
  <c r="AS11" i="4"/>
  <c r="AR11" i="4"/>
  <c r="AQ11" i="4"/>
  <c r="AP11" i="4"/>
  <c r="AO11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DC20" i="26"/>
  <c r="DD20" i="26"/>
  <c r="QM20" i="26"/>
  <c r="DA20" i="26"/>
  <c r="PC24" i="19"/>
  <c r="PB24" i="19"/>
  <c r="OZ24" i="19"/>
  <c r="OY24" i="19"/>
  <c r="OX24" i="19"/>
  <c r="OW24" i="19"/>
  <c r="PC38" i="19"/>
  <c r="PB38" i="19"/>
  <c r="OZ38" i="19"/>
  <c r="OY38" i="19"/>
  <c r="OX38" i="19"/>
  <c r="OW38" i="19"/>
  <c r="PC37" i="19"/>
  <c r="PB37" i="19"/>
  <c r="OZ37" i="19"/>
  <c r="OY37" i="19"/>
  <c r="OX37" i="19"/>
  <c r="OW37" i="19"/>
  <c r="PC36" i="19"/>
  <c r="PB36" i="19"/>
  <c r="OZ36" i="19"/>
  <c r="OY36" i="19"/>
  <c r="OX36" i="19"/>
  <c r="OW36" i="19"/>
  <c r="PC35" i="19"/>
  <c r="PB35" i="19"/>
  <c r="OZ35" i="19"/>
  <c r="OY35" i="19"/>
  <c r="OX35" i="19"/>
  <c r="OW35" i="19"/>
  <c r="PC34" i="19"/>
  <c r="PB34" i="19"/>
  <c r="OZ34" i="19"/>
  <c r="OY34" i="19"/>
  <c r="OX34" i="19"/>
  <c r="OW34" i="19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1" i="19"/>
  <c r="PB31" i="19"/>
  <c r="OZ31" i="19"/>
  <c r="OY31" i="19"/>
  <c r="OX31" i="19"/>
  <c r="OW31" i="19"/>
  <c r="PC39" i="19"/>
  <c r="PB39" i="19"/>
  <c r="OZ39" i="19"/>
  <c r="OY39" i="19"/>
  <c r="OX39" i="19"/>
  <c r="OW39" i="19"/>
  <c r="PC28" i="19"/>
  <c r="PB28" i="19"/>
  <c r="OZ28" i="19"/>
  <c r="OY28" i="19"/>
  <c r="OX28" i="19"/>
  <c r="OW28" i="19"/>
  <c r="PC29" i="19"/>
  <c r="PB29" i="19"/>
  <c r="OZ29" i="19"/>
  <c r="OY29" i="19"/>
  <c r="OX29" i="19"/>
  <c r="OW29" i="19"/>
  <c r="PC27" i="19"/>
  <c r="PB27" i="19"/>
  <c r="OZ27" i="19"/>
  <c r="OY27" i="19"/>
  <c r="OX27" i="19"/>
  <c r="OW27" i="19"/>
  <c r="PC26" i="19"/>
  <c r="PB26" i="19"/>
  <c r="OZ26" i="19"/>
  <c r="OY26" i="19"/>
  <c r="OX26" i="19"/>
  <c r="OW26" i="19"/>
  <c r="PC23" i="19"/>
  <c r="PB23" i="19"/>
  <c r="OZ23" i="19"/>
  <c r="OY23" i="19"/>
  <c r="OX23" i="19"/>
  <c r="OW23" i="19"/>
  <c r="PC20" i="19"/>
  <c r="PB20" i="19"/>
  <c r="OZ20" i="19"/>
  <c r="OY20" i="19"/>
  <c r="OX20" i="19"/>
  <c r="OW20" i="19"/>
  <c r="PC25" i="19"/>
  <c r="PB25" i="19"/>
  <c r="OZ25" i="19"/>
  <c r="OY25" i="19"/>
  <c r="OX25" i="19"/>
  <c r="OW25" i="19"/>
  <c r="PC8" i="19"/>
  <c r="PB8" i="19"/>
  <c r="OZ8" i="19"/>
  <c r="OY8" i="19"/>
  <c r="OX8" i="19"/>
  <c r="OW8" i="19"/>
  <c r="PC17" i="19"/>
  <c r="PB17" i="19"/>
  <c r="OZ17" i="19"/>
  <c r="OY17" i="19"/>
  <c r="OX17" i="19"/>
  <c r="OW17" i="19"/>
  <c r="PC18" i="19"/>
  <c r="PB18" i="19"/>
  <c r="OZ18" i="19"/>
  <c r="OY18" i="19"/>
  <c r="OX18" i="19"/>
  <c r="OW18" i="19"/>
  <c r="PC22" i="19"/>
  <c r="PB22" i="19"/>
  <c r="OZ22" i="19"/>
  <c r="OY22" i="19"/>
  <c r="OX22" i="19"/>
  <c r="OW22" i="19"/>
  <c r="PC19" i="19"/>
  <c r="PB19" i="19"/>
  <c r="OZ19" i="19"/>
  <c r="OY19" i="19"/>
  <c r="OX19" i="19"/>
  <c r="OW19" i="19"/>
  <c r="PC15" i="19"/>
  <c r="PB15" i="19"/>
  <c r="OZ15" i="19"/>
  <c r="OY15" i="19"/>
  <c r="OX15" i="19"/>
  <c r="OW15" i="19"/>
  <c r="PC21" i="19"/>
  <c r="PB21" i="19"/>
  <c r="OZ21" i="19"/>
  <c r="OY21" i="19"/>
  <c r="OX21" i="19"/>
  <c r="OW21" i="19"/>
  <c r="PC16" i="19"/>
  <c r="PB16" i="19"/>
  <c r="OZ16" i="19"/>
  <c r="OY16" i="19"/>
  <c r="OX16" i="19"/>
  <c r="OW16" i="19"/>
  <c r="PC14" i="19"/>
  <c r="PB14" i="19"/>
  <c r="OZ14" i="19"/>
  <c r="OY14" i="19"/>
  <c r="OX14" i="19"/>
  <c r="OW14" i="19"/>
  <c r="PC11" i="19"/>
  <c r="PB11" i="19"/>
  <c r="OZ11" i="19"/>
  <c r="OY11" i="19"/>
  <c r="OX11" i="19"/>
  <c r="OW11" i="19"/>
  <c r="PC12" i="19"/>
  <c r="PB12" i="19"/>
  <c r="OZ12" i="19"/>
  <c r="OY12" i="19"/>
  <c r="OX12" i="19"/>
  <c r="OW12" i="19"/>
  <c r="PC7" i="19"/>
  <c r="PB7" i="19"/>
  <c r="OZ7" i="19"/>
  <c r="OY7" i="19"/>
  <c r="OX7" i="19"/>
  <c r="OW7" i="19"/>
  <c r="PC13" i="19"/>
  <c r="PB13" i="19"/>
  <c r="OZ13" i="19"/>
  <c r="OY13" i="19"/>
  <c r="OX13" i="19"/>
  <c r="OW13" i="19"/>
  <c r="PC9" i="19"/>
  <c r="PB9" i="19"/>
  <c r="OZ9" i="19"/>
  <c r="OY9" i="19"/>
  <c r="OX9" i="19"/>
  <c r="OW9" i="19"/>
  <c r="PC10" i="19"/>
  <c r="PB10" i="19"/>
  <c r="OZ10" i="19"/>
  <c r="OY10" i="19"/>
  <c r="OX10" i="19"/>
  <c r="OW10" i="19"/>
  <c r="PC5" i="19"/>
  <c r="PB5" i="19"/>
  <c r="OZ5" i="19"/>
  <c r="OY5" i="19"/>
  <c r="OX5" i="19"/>
  <c r="OW5" i="19"/>
  <c r="PC6" i="19"/>
  <c r="PB6" i="19"/>
  <c r="OZ6" i="19"/>
  <c r="OY6" i="19"/>
  <c r="OX6" i="19"/>
  <c r="OW6" i="19"/>
  <c r="PC4" i="19"/>
  <c r="PB4" i="19"/>
  <c r="OZ4" i="19"/>
  <c r="OY4" i="19"/>
  <c r="OX4" i="19"/>
  <c r="OW4" i="19"/>
  <c r="OA24" i="19"/>
  <c r="NZ24" i="19"/>
  <c r="NX24" i="19"/>
  <c r="NW24" i="19"/>
  <c r="NV24" i="19"/>
  <c r="NU24" i="19"/>
  <c r="OA38" i="19"/>
  <c r="NZ38" i="19"/>
  <c r="NX38" i="19"/>
  <c r="NW38" i="19"/>
  <c r="NV38" i="19"/>
  <c r="NU38" i="19"/>
  <c r="OA37" i="19"/>
  <c r="NZ37" i="19"/>
  <c r="NX37" i="19"/>
  <c r="NW37" i="19"/>
  <c r="NV37" i="19"/>
  <c r="NU37" i="19"/>
  <c r="OA36" i="19"/>
  <c r="NZ36" i="19"/>
  <c r="NX36" i="19"/>
  <c r="NW36" i="19"/>
  <c r="NV36" i="19"/>
  <c r="NU36" i="19"/>
  <c r="OA35" i="19"/>
  <c r="NZ35" i="19"/>
  <c r="NX35" i="19"/>
  <c r="NW35" i="19"/>
  <c r="NV35" i="19"/>
  <c r="NU35" i="19"/>
  <c r="OA34" i="19"/>
  <c r="NZ34" i="19"/>
  <c r="NX34" i="19"/>
  <c r="NW34" i="19"/>
  <c r="NV34" i="19"/>
  <c r="NU3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1" i="19"/>
  <c r="NZ31" i="19"/>
  <c r="NX31" i="19"/>
  <c r="NW31" i="19"/>
  <c r="NV31" i="19"/>
  <c r="NU31" i="19"/>
  <c r="OA39" i="19"/>
  <c r="NZ39" i="19"/>
  <c r="NX39" i="19"/>
  <c r="NW39" i="19"/>
  <c r="NV39" i="19"/>
  <c r="NU39" i="19"/>
  <c r="OA28" i="19"/>
  <c r="NZ28" i="19"/>
  <c r="NX28" i="19"/>
  <c r="NW28" i="19"/>
  <c r="NV28" i="19"/>
  <c r="NU28" i="19"/>
  <c r="OA29" i="19"/>
  <c r="NZ29" i="19"/>
  <c r="NX29" i="19"/>
  <c r="NW29" i="19"/>
  <c r="NV29" i="19"/>
  <c r="NU29" i="19"/>
  <c r="OA27" i="19"/>
  <c r="NZ27" i="19"/>
  <c r="NX27" i="19"/>
  <c r="NW27" i="19"/>
  <c r="NV27" i="19"/>
  <c r="NU27" i="19"/>
  <c r="OA26" i="19"/>
  <c r="NZ26" i="19"/>
  <c r="NX26" i="19"/>
  <c r="NW26" i="19"/>
  <c r="NV26" i="19"/>
  <c r="NU26" i="19"/>
  <c r="OA23" i="19"/>
  <c r="NZ23" i="19"/>
  <c r="NX23" i="19"/>
  <c r="NW23" i="19"/>
  <c r="NV23" i="19"/>
  <c r="NU23" i="19"/>
  <c r="OA20" i="19"/>
  <c r="NZ20" i="19"/>
  <c r="NX20" i="19"/>
  <c r="NW20" i="19"/>
  <c r="NV20" i="19"/>
  <c r="NU20" i="19"/>
  <c r="OA25" i="19"/>
  <c r="NZ25" i="19"/>
  <c r="NX25" i="19"/>
  <c r="NW25" i="19"/>
  <c r="NV25" i="19"/>
  <c r="NU25" i="19"/>
  <c r="OA8" i="19"/>
  <c r="NZ8" i="19"/>
  <c r="NX8" i="19"/>
  <c r="NW8" i="19"/>
  <c r="NV8" i="19"/>
  <c r="NU8" i="19"/>
  <c r="OA17" i="19"/>
  <c r="NZ17" i="19"/>
  <c r="NX17" i="19"/>
  <c r="NW17" i="19"/>
  <c r="NV17" i="19"/>
  <c r="NU17" i="19"/>
  <c r="OA18" i="19"/>
  <c r="NZ18" i="19"/>
  <c r="NX18" i="19"/>
  <c r="NW18" i="19"/>
  <c r="NV18" i="19"/>
  <c r="NU18" i="19"/>
  <c r="OA22" i="19"/>
  <c r="NZ22" i="19"/>
  <c r="NX22" i="19"/>
  <c r="NW22" i="19"/>
  <c r="NV22" i="19"/>
  <c r="NU22" i="19"/>
  <c r="OA19" i="19"/>
  <c r="NZ19" i="19"/>
  <c r="NX19" i="19"/>
  <c r="NW19" i="19"/>
  <c r="NV19" i="19"/>
  <c r="NU19" i="19"/>
  <c r="OA15" i="19"/>
  <c r="NZ15" i="19"/>
  <c r="NX15" i="19"/>
  <c r="NW15" i="19"/>
  <c r="NV15" i="19"/>
  <c r="NU15" i="19"/>
  <c r="OA21" i="19"/>
  <c r="NZ21" i="19"/>
  <c r="NX21" i="19"/>
  <c r="NW21" i="19"/>
  <c r="NV21" i="19"/>
  <c r="NU21" i="19"/>
  <c r="OA16" i="19"/>
  <c r="NZ16" i="19"/>
  <c r="NX16" i="19"/>
  <c r="NW16" i="19"/>
  <c r="NV16" i="19"/>
  <c r="NU16" i="19"/>
  <c r="OA14" i="19"/>
  <c r="NZ14" i="19"/>
  <c r="NX14" i="19"/>
  <c r="NW14" i="19"/>
  <c r="NV14" i="19"/>
  <c r="NU14" i="19"/>
  <c r="OA11" i="19"/>
  <c r="NZ11" i="19"/>
  <c r="NX11" i="19"/>
  <c r="NW11" i="19"/>
  <c r="NV11" i="19"/>
  <c r="NU11" i="19"/>
  <c r="OA12" i="19"/>
  <c r="NZ12" i="19"/>
  <c r="NX12" i="19"/>
  <c r="NW12" i="19"/>
  <c r="NV12" i="19"/>
  <c r="NU12" i="19"/>
  <c r="OA7" i="19"/>
  <c r="NZ7" i="19"/>
  <c r="NX7" i="19"/>
  <c r="NW7" i="19"/>
  <c r="NV7" i="19"/>
  <c r="NU7" i="19"/>
  <c r="OA13" i="19"/>
  <c r="NZ13" i="19"/>
  <c r="NX13" i="19"/>
  <c r="NW13" i="19"/>
  <c r="NV13" i="19"/>
  <c r="NU13" i="19"/>
  <c r="OA9" i="19"/>
  <c r="NZ9" i="19"/>
  <c r="NX9" i="19"/>
  <c r="NW9" i="19"/>
  <c r="NV9" i="19"/>
  <c r="NU9" i="19"/>
  <c r="OA10" i="19"/>
  <c r="NZ10" i="19"/>
  <c r="NX10" i="19"/>
  <c r="NW10" i="19"/>
  <c r="NV10" i="19"/>
  <c r="NU10" i="19"/>
  <c r="OA5" i="19"/>
  <c r="NZ5" i="19"/>
  <c r="NX5" i="19"/>
  <c r="NW5" i="19"/>
  <c r="NV5" i="19"/>
  <c r="NU5" i="19"/>
  <c r="OA6" i="19"/>
  <c r="NZ6" i="19"/>
  <c r="NX6" i="19"/>
  <c r="NW6" i="19"/>
  <c r="NV6" i="19"/>
  <c r="NU6" i="19"/>
  <c r="OA4" i="19"/>
  <c r="NZ4" i="19"/>
  <c r="NX4" i="19"/>
  <c r="NW4" i="19"/>
  <c r="NV4" i="19"/>
  <c r="NU4" i="19"/>
  <c r="MY24" i="19"/>
  <c r="MX24" i="19"/>
  <c r="MV24" i="19"/>
  <c r="MU24" i="19"/>
  <c r="MT24" i="19"/>
  <c r="MS24" i="19"/>
  <c r="MY38" i="19"/>
  <c r="MX38" i="19"/>
  <c r="MV38" i="19"/>
  <c r="MU38" i="19"/>
  <c r="MT38" i="19"/>
  <c r="MS38" i="19"/>
  <c r="MY37" i="19"/>
  <c r="MX37" i="19"/>
  <c r="MV37" i="19"/>
  <c r="MU37" i="19"/>
  <c r="MT37" i="19"/>
  <c r="MS37" i="19"/>
  <c r="MY36" i="19"/>
  <c r="MX36" i="19"/>
  <c r="MV36" i="19"/>
  <c r="MU36" i="19"/>
  <c r="MT36" i="19"/>
  <c r="MS36" i="19"/>
  <c r="MY35" i="19"/>
  <c r="MX35" i="19"/>
  <c r="MV35" i="19"/>
  <c r="MU35" i="19"/>
  <c r="MT35" i="19"/>
  <c r="MS35" i="19"/>
  <c r="MY34" i="19"/>
  <c r="MX34" i="19"/>
  <c r="MV34" i="19"/>
  <c r="MU34" i="19"/>
  <c r="MT34" i="19"/>
  <c r="MS34" i="19"/>
  <c r="MY33" i="19"/>
  <c r="MX33" i="19"/>
  <c r="MV33" i="19"/>
  <c r="MU33" i="19"/>
  <c r="MT33" i="19"/>
  <c r="MS33" i="19"/>
  <c r="MY32" i="19"/>
  <c r="MX32" i="19"/>
  <c r="MV32" i="19"/>
  <c r="MU32" i="19"/>
  <c r="MT32" i="19"/>
  <c r="MS32" i="19"/>
  <c r="MY31" i="19"/>
  <c r="MX31" i="19"/>
  <c r="MV31" i="19"/>
  <c r="MU31" i="19"/>
  <c r="MT31" i="19"/>
  <c r="MS31" i="19"/>
  <c r="MY39" i="19"/>
  <c r="MX39" i="19"/>
  <c r="MV39" i="19"/>
  <c r="MU39" i="19"/>
  <c r="MT39" i="19"/>
  <c r="MS39" i="19"/>
  <c r="MY28" i="19"/>
  <c r="MX28" i="19"/>
  <c r="MV28" i="19"/>
  <c r="MU28" i="19"/>
  <c r="MT28" i="19"/>
  <c r="MS28" i="19"/>
  <c r="MY29" i="19"/>
  <c r="MX29" i="19"/>
  <c r="MV29" i="19"/>
  <c r="MU29" i="19"/>
  <c r="MT29" i="19"/>
  <c r="MS29" i="19"/>
  <c r="MY27" i="19"/>
  <c r="MX27" i="19"/>
  <c r="MV27" i="19"/>
  <c r="MU27" i="19"/>
  <c r="MT27" i="19"/>
  <c r="MS27" i="19"/>
  <c r="MY26" i="19"/>
  <c r="MX26" i="19"/>
  <c r="MV26" i="19"/>
  <c r="MU26" i="19"/>
  <c r="MT26" i="19"/>
  <c r="MS26" i="19"/>
  <c r="MY23" i="19"/>
  <c r="MX23" i="19"/>
  <c r="MV23" i="19"/>
  <c r="MU23" i="19"/>
  <c r="MT23" i="19"/>
  <c r="MS23" i="19"/>
  <c r="MY20" i="19"/>
  <c r="MX20" i="19"/>
  <c r="MV20" i="19"/>
  <c r="MU20" i="19"/>
  <c r="MT20" i="19"/>
  <c r="MS20" i="19"/>
  <c r="MY25" i="19"/>
  <c r="MX25" i="19"/>
  <c r="MV25" i="19"/>
  <c r="MU25" i="19"/>
  <c r="MT25" i="19"/>
  <c r="MS25" i="19"/>
  <c r="MY8" i="19"/>
  <c r="MX8" i="19"/>
  <c r="MV8" i="19"/>
  <c r="MU8" i="19"/>
  <c r="MT8" i="19"/>
  <c r="MS8" i="19"/>
  <c r="MY17" i="19"/>
  <c r="MX17" i="19"/>
  <c r="MV17" i="19"/>
  <c r="MU17" i="19"/>
  <c r="MT17" i="19"/>
  <c r="MS17" i="19"/>
  <c r="MY18" i="19"/>
  <c r="MX18" i="19"/>
  <c r="MV18" i="19"/>
  <c r="MU18" i="19"/>
  <c r="MT18" i="19"/>
  <c r="MS18" i="19"/>
  <c r="MY22" i="19"/>
  <c r="MX22" i="19"/>
  <c r="MV22" i="19"/>
  <c r="MU22" i="19"/>
  <c r="MT22" i="19"/>
  <c r="MS22" i="19"/>
  <c r="MY19" i="19"/>
  <c r="MX19" i="19"/>
  <c r="MV19" i="19"/>
  <c r="MU19" i="19"/>
  <c r="MT19" i="19"/>
  <c r="MS19" i="19"/>
  <c r="MY15" i="19"/>
  <c r="MX15" i="19"/>
  <c r="MV15" i="19"/>
  <c r="MU15" i="19"/>
  <c r="MT15" i="19"/>
  <c r="MS15" i="19"/>
  <c r="MY21" i="19"/>
  <c r="MX21" i="19"/>
  <c r="MV21" i="19"/>
  <c r="MU21" i="19"/>
  <c r="MT21" i="19"/>
  <c r="MS21" i="19"/>
  <c r="MY16" i="19"/>
  <c r="MX16" i="19"/>
  <c r="MV16" i="19"/>
  <c r="MU16" i="19"/>
  <c r="MT16" i="19"/>
  <c r="MS16" i="19"/>
  <c r="MY14" i="19"/>
  <c r="MX14" i="19"/>
  <c r="MV14" i="19"/>
  <c r="MU14" i="19"/>
  <c r="MT14" i="19"/>
  <c r="MS14" i="19"/>
  <c r="MY11" i="19"/>
  <c r="MX11" i="19"/>
  <c r="MV11" i="19"/>
  <c r="MU11" i="19"/>
  <c r="MT11" i="19"/>
  <c r="MS11" i="19"/>
  <c r="MY12" i="19"/>
  <c r="MX12" i="19"/>
  <c r="MV12" i="19"/>
  <c r="MU12" i="19"/>
  <c r="MT12" i="19"/>
  <c r="MS12" i="19"/>
  <c r="MY7" i="19"/>
  <c r="MX7" i="19"/>
  <c r="MV7" i="19"/>
  <c r="MU7" i="19"/>
  <c r="MT7" i="19"/>
  <c r="MS7" i="19"/>
  <c r="MY13" i="19"/>
  <c r="MX13" i="19"/>
  <c r="MV13" i="19"/>
  <c r="MU13" i="19"/>
  <c r="MT13" i="19"/>
  <c r="MS13" i="19"/>
  <c r="MY9" i="19"/>
  <c r="MX9" i="19"/>
  <c r="MV9" i="19"/>
  <c r="MU9" i="19"/>
  <c r="MT9" i="19"/>
  <c r="MS9" i="19"/>
  <c r="MY10" i="19"/>
  <c r="MX10" i="19"/>
  <c r="MV10" i="19"/>
  <c r="MU10" i="19"/>
  <c r="MT10" i="19"/>
  <c r="MS10" i="19"/>
  <c r="MY5" i="19"/>
  <c r="MX5" i="19"/>
  <c r="MV5" i="19"/>
  <c r="MU5" i="19"/>
  <c r="MT5" i="19"/>
  <c r="MS5" i="19"/>
  <c r="MY6" i="19"/>
  <c r="MX6" i="19"/>
  <c r="MV6" i="19"/>
  <c r="MU6" i="19"/>
  <c r="MT6" i="19"/>
  <c r="MS6" i="19"/>
  <c r="MY4" i="19"/>
  <c r="MX4" i="19"/>
  <c r="MV4" i="19"/>
  <c r="MU4" i="19"/>
  <c r="MT4" i="19"/>
  <c r="MS4" i="19"/>
  <c r="LW24" i="19"/>
  <c r="LV24" i="19"/>
  <c r="LT24" i="19"/>
  <c r="LS24" i="19"/>
  <c r="LR24" i="19"/>
  <c r="LQ24" i="19"/>
  <c r="LW38" i="19"/>
  <c r="LV38" i="19"/>
  <c r="LT38" i="19"/>
  <c r="LS38" i="19"/>
  <c r="LR38" i="19"/>
  <c r="LQ38" i="19"/>
  <c r="LW37" i="19"/>
  <c r="LV37" i="19"/>
  <c r="LT37" i="19"/>
  <c r="LS37" i="19"/>
  <c r="LR37" i="19"/>
  <c r="LQ37" i="19"/>
  <c r="LW36" i="19"/>
  <c r="LV36" i="19"/>
  <c r="LT36" i="19"/>
  <c r="LS36" i="19"/>
  <c r="LR36" i="19"/>
  <c r="LQ36" i="19"/>
  <c r="LW35" i="19"/>
  <c r="LV35" i="19"/>
  <c r="LT35" i="19"/>
  <c r="LS35" i="19"/>
  <c r="LR35" i="19"/>
  <c r="LQ35" i="19"/>
  <c r="LW34" i="19"/>
  <c r="LV34" i="19"/>
  <c r="LT34" i="19"/>
  <c r="LS34" i="19"/>
  <c r="LR34" i="19"/>
  <c r="LQ34" i="19"/>
  <c r="LW33" i="19"/>
  <c r="LV33" i="19"/>
  <c r="LT33" i="19"/>
  <c r="LS33" i="19"/>
  <c r="LR33" i="19"/>
  <c r="LQ33" i="19"/>
  <c r="LW32" i="19"/>
  <c r="LV32" i="19"/>
  <c r="LT32" i="19"/>
  <c r="LS32" i="19"/>
  <c r="LR32" i="19"/>
  <c r="LQ32" i="19"/>
  <c r="LW31" i="19"/>
  <c r="LV31" i="19"/>
  <c r="LT31" i="19"/>
  <c r="LS31" i="19"/>
  <c r="LR31" i="19"/>
  <c r="LQ31" i="19"/>
  <c r="LW39" i="19"/>
  <c r="LV39" i="19"/>
  <c r="LT39" i="19"/>
  <c r="LS39" i="19"/>
  <c r="LR39" i="19"/>
  <c r="LQ39" i="19"/>
  <c r="LW28" i="19"/>
  <c r="LV28" i="19"/>
  <c r="LT28" i="19"/>
  <c r="LS28" i="19"/>
  <c r="LR28" i="19"/>
  <c r="LQ28" i="19"/>
  <c r="LW29" i="19"/>
  <c r="LV29" i="19"/>
  <c r="LT29" i="19"/>
  <c r="LS29" i="19"/>
  <c r="LR29" i="19"/>
  <c r="LQ29" i="19"/>
  <c r="LW27" i="19"/>
  <c r="LV27" i="19"/>
  <c r="LT27" i="19"/>
  <c r="LS27" i="19"/>
  <c r="LR27" i="19"/>
  <c r="LQ27" i="19"/>
  <c r="LW26" i="19"/>
  <c r="LV26" i="19"/>
  <c r="LT26" i="19"/>
  <c r="LS26" i="19"/>
  <c r="LR26" i="19"/>
  <c r="LQ26" i="19"/>
  <c r="LW23" i="19"/>
  <c r="LV23" i="19"/>
  <c r="LT23" i="19"/>
  <c r="LS23" i="19"/>
  <c r="LR23" i="19"/>
  <c r="LQ23" i="19"/>
  <c r="LW20" i="19"/>
  <c r="LV20" i="19"/>
  <c r="LT20" i="19"/>
  <c r="LS20" i="19"/>
  <c r="LR20" i="19"/>
  <c r="LQ20" i="19"/>
  <c r="LW25" i="19"/>
  <c r="LV25" i="19"/>
  <c r="LT25" i="19"/>
  <c r="LS25" i="19"/>
  <c r="LR25" i="19"/>
  <c r="LQ25" i="19"/>
  <c r="LW8" i="19"/>
  <c r="LV8" i="19"/>
  <c r="LT8" i="19"/>
  <c r="LS8" i="19"/>
  <c r="LR8" i="19"/>
  <c r="LQ8" i="19"/>
  <c r="LW17" i="19"/>
  <c r="LV17" i="19"/>
  <c r="LT17" i="19"/>
  <c r="LS17" i="19"/>
  <c r="LR17" i="19"/>
  <c r="LQ17" i="19"/>
  <c r="LW18" i="19"/>
  <c r="LV18" i="19"/>
  <c r="LT18" i="19"/>
  <c r="LS18" i="19"/>
  <c r="LR18" i="19"/>
  <c r="LQ18" i="19"/>
  <c r="LW22" i="19"/>
  <c r="LV22" i="19"/>
  <c r="LT22" i="19"/>
  <c r="LS22" i="19"/>
  <c r="LR22" i="19"/>
  <c r="LQ22" i="19"/>
  <c r="LW19" i="19"/>
  <c r="LV19" i="19"/>
  <c r="LT19" i="19"/>
  <c r="LS19" i="19"/>
  <c r="LR19" i="19"/>
  <c r="LQ19" i="19"/>
  <c r="LW15" i="19"/>
  <c r="LV15" i="19"/>
  <c r="LT15" i="19"/>
  <c r="LS15" i="19"/>
  <c r="LR15" i="19"/>
  <c r="LQ15" i="19"/>
  <c r="LW21" i="19"/>
  <c r="LV21" i="19"/>
  <c r="LT21" i="19"/>
  <c r="LS21" i="19"/>
  <c r="LR21" i="19"/>
  <c r="LQ21" i="19"/>
  <c r="LW16" i="19"/>
  <c r="LV16" i="19"/>
  <c r="LT16" i="19"/>
  <c r="LS16" i="19"/>
  <c r="LR16" i="19"/>
  <c r="LQ16" i="19"/>
  <c r="LW14" i="19"/>
  <c r="LV14" i="19"/>
  <c r="LT14" i="19"/>
  <c r="LS14" i="19"/>
  <c r="LR14" i="19"/>
  <c r="LQ14" i="19"/>
  <c r="LW11" i="19"/>
  <c r="LV11" i="19"/>
  <c r="LT11" i="19"/>
  <c r="LS11" i="19"/>
  <c r="LR11" i="19"/>
  <c r="LQ11" i="19"/>
  <c r="LW12" i="19"/>
  <c r="LV12" i="19"/>
  <c r="LT12" i="19"/>
  <c r="LS12" i="19"/>
  <c r="LR12" i="19"/>
  <c r="LQ12" i="19"/>
  <c r="LW7" i="19"/>
  <c r="LV7" i="19"/>
  <c r="LT7" i="19"/>
  <c r="LS7" i="19"/>
  <c r="LR7" i="19"/>
  <c r="LQ7" i="19"/>
  <c r="LW13" i="19"/>
  <c r="LV13" i="19"/>
  <c r="LT13" i="19"/>
  <c r="LS13" i="19"/>
  <c r="LR13" i="19"/>
  <c r="LQ13" i="19"/>
  <c r="LW9" i="19"/>
  <c r="LV9" i="19"/>
  <c r="LT9" i="19"/>
  <c r="LS9" i="19"/>
  <c r="LR9" i="19"/>
  <c r="LQ9" i="19"/>
  <c r="LW10" i="19"/>
  <c r="LV10" i="19"/>
  <c r="LT10" i="19"/>
  <c r="LS10" i="19"/>
  <c r="LR10" i="19"/>
  <c r="LQ10" i="19"/>
  <c r="LW5" i="19"/>
  <c r="LV5" i="19"/>
  <c r="LT5" i="19"/>
  <c r="LS5" i="19"/>
  <c r="LR5" i="19"/>
  <c r="LQ5" i="19"/>
  <c r="LW6" i="19"/>
  <c r="LV6" i="19"/>
  <c r="LT6" i="19"/>
  <c r="LS6" i="19"/>
  <c r="LR6" i="19"/>
  <c r="LQ6" i="19"/>
  <c r="LW4" i="19"/>
  <c r="LV4" i="19"/>
  <c r="LT4" i="19"/>
  <c r="LS4" i="19"/>
  <c r="LR4" i="19"/>
  <c r="LQ4" i="19"/>
  <c r="KU24" i="19"/>
  <c r="KT24" i="19"/>
  <c r="KR24" i="19"/>
  <c r="KQ24" i="19"/>
  <c r="KP24" i="19"/>
  <c r="KO24" i="19"/>
  <c r="KU38" i="19"/>
  <c r="KT38" i="19"/>
  <c r="KR38" i="19"/>
  <c r="KQ38" i="19"/>
  <c r="KP38" i="19"/>
  <c r="KO38" i="19"/>
  <c r="KU37" i="19"/>
  <c r="KT37" i="19"/>
  <c r="KR37" i="19"/>
  <c r="KQ37" i="19"/>
  <c r="KP37" i="19"/>
  <c r="KO37" i="19"/>
  <c r="KU36" i="19"/>
  <c r="KT36" i="19"/>
  <c r="KR36" i="19"/>
  <c r="KQ36" i="19"/>
  <c r="KP36" i="19"/>
  <c r="KO36" i="19"/>
  <c r="KU35" i="19"/>
  <c r="KT35" i="19"/>
  <c r="KR35" i="19"/>
  <c r="KQ35" i="19"/>
  <c r="KP35" i="19"/>
  <c r="KO35" i="19"/>
  <c r="KU34" i="19"/>
  <c r="KT34" i="19"/>
  <c r="KR34" i="19"/>
  <c r="KQ34" i="19"/>
  <c r="KP34" i="19"/>
  <c r="KO3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1" i="19"/>
  <c r="KT31" i="19"/>
  <c r="KR31" i="19"/>
  <c r="KQ31" i="19"/>
  <c r="KP31" i="19"/>
  <c r="KO31" i="19"/>
  <c r="KU39" i="19"/>
  <c r="KT39" i="19"/>
  <c r="KR39" i="19"/>
  <c r="KQ39" i="19"/>
  <c r="KP39" i="19"/>
  <c r="KO39" i="19"/>
  <c r="KU28" i="19"/>
  <c r="KT28" i="19"/>
  <c r="KR28" i="19"/>
  <c r="KQ28" i="19"/>
  <c r="KP28" i="19"/>
  <c r="KO28" i="19"/>
  <c r="KU29" i="19"/>
  <c r="KT29" i="19"/>
  <c r="KR29" i="19"/>
  <c r="KQ29" i="19"/>
  <c r="KP29" i="19"/>
  <c r="KO29" i="19"/>
  <c r="KU27" i="19"/>
  <c r="KT27" i="19"/>
  <c r="KR27" i="19"/>
  <c r="KQ27" i="19"/>
  <c r="KP27" i="19"/>
  <c r="KO27" i="19"/>
  <c r="KU26" i="19"/>
  <c r="KT26" i="19"/>
  <c r="KR26" i="19"/>
  <c r="KQ26" i="19"/>
  <c r="KP26" i="19"/>
  <c r="KO26" i="19"/>
  <c r="KU23" i="19"/>
  <c r="KT23" i="19"/>
  <c r="KR23" i="19"/>
  <c r="KQ23" i="19"/>
  <c r="KP23" i="19"/>
  <c r="KO23" i="19"/>
  <c r="KU20" i="19"/>
  <c r="KT20" i="19"/>
  <c r="KR20" i="19"/>
  <c r="KQ20" i="19"/>
  <c r="KP20" i="19"/>
  <c r="KO20" i="19"/>
  <c r="KU25" i="19"/>
  <c r="KT25" i="19"/>
  <c r="KR25" i="19"/>
  <c r="KQ25" i="19"/>
  <c r="KP25" i="19"/>
  <c r="KO25" i="19"/>
  <c r="KU8" i="19"/>
  <c r="KT8" i="19"/>
  <c r="KR8" i="19"/>
  <c r="KQ8" i="19"/>
  <c r="KP8" i="19"/>
  <c r="KO8" i="19"/>
  <c r="KU17" i="19"/>
  <c r="KT17" i="19"/>
  <c r="KR17" i="19"/>
  <c r="KQ17" i="19"/>
  <c r="KP17" i="19"/>
  <c r="KO17" i="19"/>
  <c r="KU18" i="19"/>
  <c r="KT18" i="19"/>
  <c r="KR18" i="19"/>
  <c r="KQ18" i="19"/>
  <c r="KP18" i="19"/>
  <c r="KO18" i="19"/>
  <c r="KU22" i="19"/>
  <c r="KT22" i="19"/>
  <c r="KR22" i="19"/>
  <c r="KQ22" i="19"/>
  <c r="KP22" i="19"/>
  <c r="KO22" i="19"/>
  <c r="KU19" i="19"/>
  <c r="KT19" i="19"/>
  <c r="KR19" i="19"/>
  <c r="KQ19" i="19"/>
  <c r="KP19" i="19"/>
  <c r="KO19" i="19"/>
  <c r="KU15" i="19"/>
  <c r="KT15" i="19"/>
  <c r="KR15" i="19"/>
  <c r="KQ15" i="19"/>
  <c r="KP15" i="19"/>
  <c r="KO15" i="19"/>
  <c r="KU21" i="19"/>
  <c r="KT21" i="19"/>
  <c r="KR21" i="19"/>
  <c r="KQ21" i="19"/>
  <c r="KP21" i="19"/>
  <c r="KO21" i="19"/>
  <c r="KU16" i="19"/>
  <c r="KT16" i="19"/>
  <c r="KR16" i="19"/>
  <c r="KQ16" i="19"/>
  <c r="KP16" i="19"/>
  <c r="KO16" i="19"/>
  <c r="KU14" i="19"/>
  <c r="KT14" i="19"/>
  <c r="KR14" i="19"/>
  <c r="KQ14" i="19"/>
  <c r="KP14" i="19"/>
  <c r="KO14" i="19"/>
  <c r="KU11" i="19"/>
  <c r="KT11" i="19"/>
  <c r="KR11" i="19"/>
  <c r="KQ11" i="19"/>
  <c r="KP11" i="19"/>
  <c r="KO11" i="19"/>
  <c r="KU12" i="19"/>
  <c r="KT12" i="19"/>
  <c r="KR12" i="19"/>
  <c r="KQ12" i="19"/>
  <c r="KP12" i="19"/>
  <c r="KO12" i="19"/>
  <c r="KU7" i="19"/>
  <c r="KT7" i="19"/>
  <c r="KR7" i="19"/>
  <c r="KQ7" i="19"/>
  <c r="KP7" i="19"/>
  <c r="KO7" i="19"/>
  <c r="KU13" i="19"/>
  <c r="KT13" i="19"/>
  <c r="KR13" i="19"/>
  <c r="KQ13" i="19"/>
  <c r="KP13" i="19"/>
  <c r="KO13" i="19"/>
  <c r="KU9" i="19"/>
  <c r="KT9" i="19"/>
  <c r="KR9" i="19"/>
  <c r="KQ9" i="19"/>
  <c r="KP9" i="19"/>
  <c r="KO9" i="19"/>
  <c r="KU10" i="19"/>
  <c r="KT10" i="19"/>
  <c r="KR10" i="19"/>
  <c r="KQ10" i="19"/>
  <c r="KP10" i="19"/>
  <c r="KO10" i="19"/>
  <c r="KU5" i="19"/>
  <c r="KT5" i="19"/>
  <c r="KR5" i="19"/>
  <c r="KQ5" i="19"/>
  <c r="KP5" i="19"/>
  <c r="KO5" i="19"/>
  <c r="KU6" i="19"/>
  <c r="KT6" i="19"/>
  <c r="KR6" i="19"/>
  <c r="KQ6" i="19"/>
  <c r="KP6" i="19"/>
  <c r="KO6" i="19"/>
  <c r="KU4" i="19"/>
  <c r="KT4" i="19"/>
  <c r="KR4" i="19"/>
  <c r="KQ4" i="19"/>
  <c r="KP4" i="19"/>
  <c r="KO4" i="19"/>
  <c r="JS24" i="19"/>
  <c r="JR24" i="19"/>
  <c r="JP24" i="19"/>
  <c r="JO24" i="19"/>
  <c r="JN24" i="19"/>
  <c r="JM24" i="19"/>
  <c r="JS38" i="19"/>
  <c r="JR38" i="19"/>
  <c r="JP38" i="19"/>
  <c r="JO38" i="19"/>
  <c r="JN38" i="19"/>
  <c r="JM38" i="19"/>
  <c r="JS37" i="19"/>
  <c r="JR37" i="19"/>
  <c r="JP37" i="19"/>
  <c r="JO37" i="19"/>
  <c r="JN37" i="19"/>
  <c r="JM37" i="19"/>
  <c r="JS36" i="19"/>
  <c r="JR36" i="19"/>
  <c r="JP36" i="19"/>
  <c r="JO36" i="19"/>
  <c r="JN36" i="19"/>
  <c r="JM36" i="19"/>
  <c r="JS35" i="19"/>
  <c r="JR35" i="19"/>
  <c r="JP35" i="19"/>
  <c r="JO35" i="19"/>
  <c r="JN35" i="19"/>
  <c r="JM35" i="19"/>
  <c r="JS34" i="19"/>
  <c r="JR34" i="19"/>
  <c r="JP34" i="19"/>
  <c r="JO34" i="19"/>
  <c r="JN34" i="19"/>
  <c r="JM3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1" i="19"/>
  <c r="JR31" i="19"/>
  <c r="JP31" i="19"/>
  <c r="JO31" i="19"/>
  <c r="JN31" i="19"/>
  <c r="JM31" i="19"/>
  <c r="JS39" i="19"/>
  <c r="JR39" i="19"/>
  <c r="JP39" i="19"/>
  <c r="JO39" i="19"/>
  <c r="JN39" i="19"/>
  <c r="JM39" i="19"/>
  <c r="JS28" i="19"/>
  <c r="JR28" i="19"/>
  <c r="JP28" i="19"/>
  <c r="JO28" i="19"/>
  <c r="JN28" i="19"/>
  <c r="JM28" i="19"/>
  <c r="JS29" i="19"/>
  <c r="JR29" i="19"/>
  <c r="JP29" i="19"/>
  <c r="JO29" i="19"/>
  <c r="JN29" i="19"/>
  <c r="JM29" i="19"/>
  <c r="JS27" i="19"/>
  <c r="JR27" i="19"/>
  <c r="JP27" i="19"/>
  <c r="JO27" i="19"/>
  <c r="JN27" i="19"/>
  <c r="JM27" i="19"/>
  <c r="JS26" i="19"/>
  <c r="JR26" i="19"/>
  <c r="JP26" i="19"/>
  <c r="JO26" i="19"/>
  <c r="JN26" i="19"/>
  <c r="JM26" i="19"/>
  <c r="JS23" i="19"/>
  <c r="JR23" i="19"/>
  <c r="JP23" i="19"/>
  <c r="JO23" i="19"/>
  <c r="JN23" i="19"/>
  <c r="JM23" i="19"/>
  <c r="JS20" i="19"/>
  <c r="JR20" i="19"/>
  <c r="JP20" i="19"/>
  <c r="JO20" i="19"/>
  <c r="JN20" i="19"/>
  <c r="JM20" i="19"/>
  <c r="JS25" i="19"/>
  <c r="JR25" i="19"/>
  <c r="JP25" i="19"/>
  <c r="JO25" i="19"/>
  <c r="JN25" i="19"/>
  <c r="JM25" i="19"/>
  <c r="JS8" i="19"/>
  <c r="JR8" i="19"/>
  <c r="JP8" i="19"/>
  <c r="JO8" i="19"/>
  <c r="JN8" i="19"/>
  <c r="JM8" i="19"/>
  <c r="JS17" i="19"/>
  <c r="JR17" i="19"/>
  <c r="JP17" i="19"/>
  <c r="JO17" i="19"/>
  <c r="JN17" i="19"/>
  <c r="JM17" i="19"/>
  <c r="JS18" i="19"/>
  <c r="JR18" i="19"/>
  <c r="JP18" i="19"/>
  <c r="JO18" i="19"/>
  <c r="JN18" i="19"/>
  <c r="JM18" i="19"/>
  <c r="JS22" i="19"/>
  <c r="JR22" i="19"/>
  <c r="JP22" i="19"/>
  <c r="JO22" i="19"/>
  <c r="JN22" i="19"/>
  <c r="JM22" i="19"/>
  <c r="JS19" i="19"/>
  <c r="JR19" i="19"/>
  <c r="JP19" i="19"/>
  <c r="JO19" i="19"/>
  <c r="JN19" i="19"/>
  <c r="JM19" i="19"/>
  <c r="JS15" i="19"/>
  <c r="JR15" i="19"/>
  <c r="JP15" i="19"/>
  <c r="JO15" i="19"/>
  <c r="JN15" i="19"/>
  <c r="JM15" i="19"/>
  <c r="JS21" i="19"/>
  <c r="JR21" i="19"/>
  <c r="JP21" i="19"/>
  <c r="JO21" i="19"/>
  <c r="JN21" i="19"/>
  <c r="JM21" i="19"/>
  <c r="JS16" i="19"/>
  <c r="JR16" i="19"/>
  <c r="JP16" i="19"/>
  <c r="JO16" i="19"/>
  <c r="JN16" i="19"/>
  <c r="JM16" i="19"/>
  <c r="JS14" i="19"/>
  <c r="JR14" i="19"/>
  <c r="JP14" i="19"/>
  <c r="JO14" i="19"/>
  <c r="JN14" i="19"/>
  <c r="JM14" i="19"/>
  <c r="JS11" i="19"/>
  <c r="JR11" i="19"/>
  <c r="JP11" i="19"/>
  <c r="JO11" i="19"/>
  <c r="JN11" i="19"/>
  <c r="JM11" i="19"/>
  <c r="JS12" i="19"/>
  <c r="JR12" i="19"/>
  <c r="JP12" i="19"/>
  <c r="JO12" i="19"/>
  <c r="JN12" i="19"/>
  <c r="JM12" i="19"/>
  <c r="JS7" i="19"/>
  <c r="JR7" i="19"/>
  <c r="JP7" i="19"/>
  <c r="JO7" i="19"/>
  <c r="JN7" i="19"/>
  <c r="JM7" i="19"/>
  <c r="JS13" i="19"/>
  <c r="JR13" i="19"/>
  <c r="JP13" i="19"/>
  <c r="JO13" i="19"/>
  <c r="JN13" i="19"/>
  <c r="JM13" i="19"/>
  <c r="JS9" i="19"/>
  <c r="JR9" i="19"/>
  <c r="JP9" i="19"/>
  <c r="JO9" i="19"/>
  <c r="JN9" i="19"/>
  <c r="JM9" i="19"/>
  <c r="JS10" i="19"/>
  <c r="JR10" i="19"/>
  <c r="JP10" i="19"/>
  <c r="JO10" i="19"/>
  <c r="JN10" i="19"/>
  <c r="JM10" i="19"/>
  <c r="JS5" i="19"/>
  <c r="JR5" i="19"/>
  <c r="JP5" i="19"/>
  <c r="JO5" i="19"/>
  <c r="JN5" i="19"/>
  <c r="JM5" i="19"/>
  <c r="JS6" i="19"/>
  <c r="JR6" i="19"/>
  <c r="JP6" i="19"/>
  <c r="JO6" i="19"/>
  <c r="JN6" i="19"/>
  <c r="JM6" i="19"/>
  <c r="JS4" i="19"/>
  <c r="JR4" i="19"/>
  <c r="JP4" i="19"/>
  <c r="JO4" i="19"/>
  <c r="JN4" i="19"/>
  <c r="JM4" i="19"/>
  <c r="IQ24" i="19"/>
  <c r="IP24" i="19"/>
  <c r="IN24" i="19"/>
  <c r="IM24" i="19"/>
  <c r="IL24" i="19"/>
  <c r="IK24" i="19"/>
  <c r="IQ38" i="19"/>
  <c r="IP38" i="19"/>
  <c r="IN38" i="19"/>
  <c r="IM38" i="19"/>
  <c r="IL38" i="19"/>
  <c r="IK38" i="19"/>
  <c r="IQ37" i="19"/>
  <c r="IP37" i="19"/>
  <c r="IN37" i="19"/>
  <c r="IM37" i="19"/>
  <c r="IL37" i="19"/>
  <c r="IK37" i="19"/>
  <c r="IQ36" i="19"/>
  <c r="IP36" i="19"/>
  <c r="IN36" i="19"/>
  <c r="IM36" i="19"/>
  <c r="IL36" i="19"/>
  <c r="IK36" i="19"/>
  <c r="IQ35" i="19"/>
  <c r="IP35" i="19"/>
  <c r="IN35" i="19"/>
  <c r="IM35" i="19"/>
  <c r="IL35" i="19"/>
  <c r="IK35" i="19"/>
  <c r="IQ34" i="19"/>
  <c r="IP34" i="19"/>
  <c r="IN34" i="19"/>
  <c r="IM34" i="19"/>
  <c r="IL34" i="19"/>
  <c r="IK3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1" i="19"/>
  <c r="IP31" i="19"/>
  <c r="IN31" i="19"/>
  <c r="IM31" i="19"/>
  <c r="IL31" i="19"/>
  <c r="IK31" i="19"/>
  <c r="IQ39" i="19"/>
  <c r="IP39" i="19"/>
  <c r="IN39" i="19"/>
  <c r="IM39" i="19"/>
  <c r="IL39" i="19"/>
  <c r="IK39" i="19"/>
  <c r="IQ28" i="19"/>
  <c r="IP28" i="19"/>
  <c r="IN28" i="19"/>
  <c r="IM28" i="19"/>
  <c r="IL28" i="19"/>
  <c r="IK28" i="19"/>
  <c r="IQ29" i="19"/>
  <c r="IP29" i="19"/>
  <c r="IN29" i="19"/>
  <c r="IM29" i="19"/>
  <c r="IL29" i="19"/>
  <c r="IK29" i="19"/>
  <c r="IQ27" i="19"/>
  <c r="IP27" i="19"/>
  <c r="IN27" i="19"/>
  <c r="IM27" i="19"/>
  <c r="IL27" i="19"/>
  <c r="IK27" i="19"/>
  <c r="IQ26" i="19"/>
  <c r="IP26" i="19"/>
  <c r="IN26" i="19"/>
  <c r="IM26" i="19"/>
  <c r="IL26" i="19"/>
  <c r="IK26" i="19"/>
  <c r="IQ23" i="19"/>
  <c r="IP23" i="19"/>
  <c r="IN23" i="19"/>
  <c r="IM23" i="19"/>
  <c r="IL23" i="19"/>
  <c r="IK23" i="19"/>
  <c r="IQ20" i="19"/>
  <c r="IP20" i="19"/>
  <c r="IN20" i="19"/>
  <c r="IM20" i="19"/>
  <c r="IL20" i="19"/>
  <c r="IK20" i="19"/>
  <c r="IQ25" i="19"/>
  <c r="IP25" i="19"/>
  <c r="IN25" i="19"/>
  <c r="IM25" i="19"/>
  <c r="IL25" i="19"/>
  <c r="IK25" i="19"/>
  <c r="IQ8" i="19"/>
  <c r="IP8" i="19"/>
  <c r="IN8" i="19"/>
  <c r="IM8" i="19"/>
  <c r="IL8" i="19"/>
  <c r="IK8" i="19"/>
  <c r="IQ17" i="19"/>
  <c r="IP17" i="19"/>
  <c r="IN17" i="19"/>
  <c r="IM17" i="19"/>
  <c r="IL17" i="19"/>
  <c r="IK17" i="19"/>
  <c r="IQ18" i="19"/>
  <c r="IP18" i="19"/>
  <c r="IN18" i="19"/>
  <c r="IM18" i="19"/>
  <c r="IL18" i="19"/>
  <c r="IK18" i="19"/>
  <c r="IQ22" i="19"/>
  <c r="IP22" i="19"/>
  <c r="IN22" i="19"/>
  <c r="IM22" i="19"/>
  <c r="IL22" i="19"/>
  <c r="IK22" i="19"/>
  <c r="IQ19" i="19"/>
  <c r="IP19" i="19"/>
  <c r="IN19" i="19"/>
  <c r="IM19" i="19"/>
  <c r="IL19" i="19"/>
  <c r="IK19" i="19"/>
  <c r="IQ15" i="19"/>
  <c r="IP15" i="19"/>
  <c r="IN15" i="19"/>
  <c r="IM15" i="19"/>
  <c r="IL15" i="19"/>
  <c r="IK15" i="19"/>
  <c r="IQ21" i="19"/>
  <c r="IP21" i="19"/>
  <c r="IN21" i="19"/>
  <c r="IM21" i="19"/>
  <c r="IL21" i="19"/>
  <c r="IK21" i="19"/>
  <c r="IQ16" i="19"/>
  <c r="IP16" i="19"/>
  <c r="IN16" i="19"/>
  <c r="IM16" i="19"/>
  <c r="IL16" i="19"/>
  <c r="IK16" i="19"/>
  <c r="IQ14" i="19"/>
  <c r="IP14" i="19"/>
  <c r="IN14" i="19"/>
  <c r="IM14" i="19"/>
  <c r="IL14" i="19"/>
  <c r="IK14" i="19"/>
  <c r="IQ11" i="19"/>
  <c r="IP11" i="19"/>
  <c r="IN11" i="19"/>
  <c r="IM11" i="19"/>
  <c r="IL11" i="19"/>
  <c r="IK11" i="19"/>
  <c r="IQ12" i="19"/>
  <c r="IP12" i="19"/>
  <c r="IN12" i="19"/>
  <c r="IM12" i="19"/>
  <c r="IL12" i="19"/>
  <c r="IK12" i="19"/>
  <c r="IQ7" i="19"/>
  <c r="IP7" i="19"/>
  <c r="IN7" i="19"/>
  <c r="IM7" i="19"/>
  <c r="IL7" i="19"/>
  <c r="IK7" i="19"/>
  <c r="IQ13" i="19"/>
  <c r="IP13" i="19"/>
  <c r="IN13" i="19"/>
  <c r="IM13" i="19"/>
  <c r="IL13" i="19"/>
  <c r="IK13" i="19"/>
  <c r="IQ9" i="19"/>
  <c r="IP9" i="19"/>
  <c r="IN9" i="19"/>
  <c r="IM9" i="19"/>
  <c r="IL9" i="19"/>
  <c r="IK9" i="19"/>
  <c r="IQ10" i="19"/>
  <c r="IP10" i="19"/>
  <c r="IN10" i="19"/>
  <c r="IM10" i="19"/>
  <c r="IL10" i="19"/>
  <c r="IK10" i="19"/>
  <c r="IQ5" i="19"/>
  <c r="IP5" i="19"/>
  <c r="IN5" i="19"/>
  <c r="IM5" i="19"/>
  <c r="IL5" i="19"/>
  <c r="IK5" i="19"/>
  <c r="IQ6" i="19"/>
  <c r="IP6" i="19"/>
  <c r="IN6" i="19"/>
  <c r="IM6" i="19"/>
  <c r="IL6" i="19"/>
  <c r="IK6" i="19"/>
  <c r="IQ4" i="19"/>
  <c r="IP4" i="19"/>
  <c r="IN4" i="19"/>
  <c r="IM4" i="19"/>
  <c r="IL4" i="19"/>
  <c r="IK4" i="19"/>
  <c r="HO24" i="19"/>
  <c r="HN24" i="19"/>
  <c r="HL24" i="19"/>
  <c r="HK24" i="19"/>
  <c r="HJ24" i="19"/>
  <c r="HI24" i="19"/>
  <c r="HO38" i="19"/>
  <c r="HN38" i="19"/>
  <c r="HL38" i="19"/>
  <c r="HK38" i="19"/>
  <c r="HJ38" i="19"/>
  <c r="HI38" i="19"/>
  <c r="HO37" i="19"/>
  <c r="HN37" i="19"/>
  <c r="HL37" i="19"/>
  <c r="HK37" i="19"/>
  <c r="HJ37" i="19"/>
  <c r="HI37" i="19"/>
  <c r="HO36" i="19"/>
  <c r="HN36" i="19"/>
  <c r="HL36" i="19"/>
  <c r="HK36" i="19"/>
  <c r="HJ36" i="19"/>
  <c r="HI36" i="19"/>
  <c r="HO35" i="19"/>
  <c r="HN35" i="19"/>
  <c r="HL35" i="19"/>
  <c r="HK35" i="19"/>
  <c r="HJ35" i="19"/>
  <c r="HI35" i="19"/>
  <c r="HO34" i="19"/>
  <c r="HN34" i="19"/>
  <c r="HL34" i="19"/>
  <c r="HK34" i="19"/>
  <c r="HJ34" i="19"/>
  <c r="HI3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1" i="19"/>
  <c r="HN31" i="19"/>
  <c r="HL31" i="19"/>
  <c r="HK31" i="19"/>
  <c r="HJ31" i="19"/>
  <c r="HI31" i="19"/>
  <c r="HO39" i="19"/>
  <c r="HN39" i="19"/>
  <c r="HL39" i="19"/>
  <c r="HK39" i="19"/>
  <c r="HJ39" i="19"/>
  <c r="HI39" i="19"/>
  <c r="HO28" i="19"/>
  <c r="HN28" i="19"/>
  <c r="HL28" i="19"/>
  <c r="HK28" i="19"/>
  <c r="HJ28" i="19"/>
  <c r="HI28" i="19"/>
  <c r="HO29" i="19"/>
  <c r="HN29" i="19"/>
  <c r="HL29" i="19"/>
  <c r="HK29" i="19"/>
  <c r="HJ29" i="19"/>
  <c r="HI29" i="19"/>
  <c r="HO27" i="19"/>
  <c r="HN27" i="19"/>
  <c r="HL27" i="19"/>
  <c r="HK27" i="19"/>
  <c r="HJ27" i="19"/>
  <c r="HI27" i="19"/>
  <c r="HO26" i="19"/>
  <c r="HN26" i="19"/>
  <c r="HL26" i="19"/>
  <c r="HK26" i="19"/>
  <c r="HJ26" i="19"/>
  <c r="HI26" i="19"/>
  <c r="HO23" i="19"/>
  <c r="HN23" i="19"/>
  <c r="HL23" i="19"/>
  <c r="HK23" i="19"/>
  <c r="HJ23" i="19"/>
  <c r="HI23" i="19"/>
  <c r="HO20" i="19"/>
  <c r="HN20" i="19"/>
  <c r="HL20" i="19"/>
  <c r="HK20" i="19"/>
  <c r="HJ20" i="19"/>
  <c r="HI20" i="19"/>
  <c r="HO25" i="19"/>
  <c r="HN25" i="19"/>
  <c r="HL25" i="19"/>
  <c r="HK25" i="19"/>
  <c r="HJ25" i="19"/>
  <c r="HI25" i="19"/>
  <c r="HO8" i="19"/>
  <c r="HN8" i="19"/>
  <c r="HL8" i="19"/>
  <c r="HK8" i="19"/>
  <c r="HJ8" i="19"/>
  <c r="HI8" i="19"/>
  <c r="HO17" i="19"/>
  <c r="HN17" i="19"/>
  <c r="HL17" i="19"/>
  <c r="HK17" i="19"/>
  <c r="HJ17" i="19"/>
  <c r="HI17" i="19"/>
  <c r="HO18" i="19"/>
  <c r="HN18" i="19"/>
  <c r="HL18" i="19"/>
  <c r="HK18" i="19"/>
  <c r="HJ18" i="19"/>
  <c r="HI18" i="19"/>
  <c r="HO22" i="19"/>
  <c r="HN22" i="19"/>
  <c r="HL22" i="19"/>
  <c r="HK22" i="19"/>
  <c r="HJ22" i="19"/>
  <c r="HI22" i="19"/>
  <c r="HO19" i="19"/>
  <c r="HN19" i="19"/>
  <c r="HL19" i="19"/>
  <c r="HK19" i="19"/>
  <c r="HJ19" i="19"/>
  <c r="HI19" i="19"/>
  <c r="HO15" i="19"/>
  <c r="HN15" i="19"/>
  <c r="HL15" i="19"/>
  <c r="HK15" i="19"/>
  <c r="HJ15" i="19"/>
  <c r="HI15" i="19"/>
  <c r="HO21" i="19"/>
  <c r="HN21" i="19"/>
  <c r="HL21" i="19"/>
  <c r="HK21" i="19"/>
  <c r="HJ21" i="19"/>
  <c r="HI21" i="19"/>
  <c r="HO16" i="19"/>
  <c r="HN16" i="19"/>
  <c r="HL16" i="19"/>
  <c r="HK16" i="19"/>
  <c r="HJ16" i="19"/>
  <c r="HI16" i="19"/>
  <c r="HO14" i="19"/>
  <c r="HN14" i="19"/>
  <c r="HL14" i="19"/>
  <c r="HK14" i="19"/>
  <c r="HJ14" i="19"/>
  <c r="HI14" i="19"/>
  <c r="HO11" i="19"/>
  <c r="HN11" i="19"/>
  <c r="HL11" i="19"/>
  <c r="HK11" i="19"/>
  <c r="HJ11" i="19"/>
  <c r="HI11" i="19"/>
  <c r="HO12" i="19"/>
  <c r="HN12" i="19"/>
  <c r="HL12" i="19"/>
  <c r="HK12" i="19"/>
  <c r="HJ12" i="19"/>
  <c r="HI12" i="19"/>
  <c r="HO7" i="19"/>
  <c r="HN7" i="19"/>
  <c r="HL7" i="19"/>
  <c r="HK7" i="19"/>
  <c r="HJ7" i="19"/>
  <c r="HI7" i="19"/>
  <c r="HO13" i="19"/>
  <c r="HN13" i="19"/>
  <c r="HL13" i="19"/>
  <c r="HK13" i="19"/>
  <c r="HJ13" i="19"/>
  <c r="HI13" i="19"/>
  <c r="HO9" i="19"/>
  <c r="HN9" i="19"/>
  <c r="HL9" i="19"/>
  <c r="HK9" i="19"/>
  <c r="HJ9" i="19"/>
  <c r="HI9" i="19"/>
  <c r="HO10" i="19"/>
  <c r="HN10" i="19"/>
  <c r="HL10" i="19"/>
  <c r="HK10" i="19"/>
  <c r="HJ10" i="19"/>
  <c r="HI10" i="19"/>
  <c r="HO5" i="19"/>
  <c r="HN5" i="19"/>
  <c r="HL5" i="19"/>
  <c r="HK5" i="19"/>
  <c r="HJ5" i="19"/>
  <c r="HI5" i="19"/>
  <c r="HO6" i="19"/>
  <c r="HN6" i="19"/>
  <c r="HL6" i="19"/>
  <c r="HK6" i="19"/>
  <c r="HJ6" i="19"/>
  <c r="HI6" i="19"/>
  <c r="HO4" i="19"/>
  <c r="HN4" i="19"/>
  <c r="HL4" i="19"/>
  <c r="HK4" i="19"/>
  <c r="HJ4" i="19"/>
  <c r="HI4" i="19"/>
  <c r="GM24" i="19"/>
  <c r="GL24" i="19"/>
  <c r="GJ24" i="19"/>
  <c r="GI24" i="19"/>
  <c r="GH24" i="19"/>
  <c r="GG24" i="19"/>
  <c r="GM38" i="19"/>
  <c r="GL38" i="19"/>
  <c r="GJ38" i="19"/>
  <c r="GI38" i="19"/>
  <c r="GH38" i="19"/>
  <c r="GG38" i="19"/>
  <c r="GM37" i="19"/>
  <c r="GL37" i="19"/>
  <c r="GJ37" i="19"/>
  <c r="GI37" i="19"/>
  <c r="GH37" i="19"/>
  <c r="GG37" i="19"/>
  <c r="GM36" i="19"/>
  <c r="GL36" i="19"/>
  <c r="GJ36" i="19"/>
  <c r="GI36" i="19"/>
  <c r="GH36" i="19"/>
  <c r="GG36" i="19"/>
  <c r="GM35" i="19"/>
  <c r="GL35" i="19"/>
  <c r="GJ35" i="19"/>
  <c r="GI35" i="19"/>
  <c r="GH35" i="19"/>
  <c r="GG35" i="19"/>
  <c r="GM34" i="19"/>
  <c r="GL34" i="19"/>
  <c r="GJ34" i="19"/>
  <c r="GI34" i="19"/>
  <c r="GH34" i="19"/>
  <c r="GG3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1" i="19"/>
  <c r="GL31" i="19"/>
  <c r="GJ31" i="19"/>
  <c r="GI31" i="19"/>
  <c r="GH31" i="19"/>
  <c r="GG31" i="19"/>
  <c r="GM39" i="19"/>
  <c r="GL39" i="19"/>
  <c r="GJ39" i="19"/>
  <c r="GI39" i="19"/>
  <c r="GH39" i="19"/>
  <c r="GG39" i="19"/>
  <c r="GM28" i="19"/>
  <c r="GL28" i="19"/>
  <c r="GJ28" i="19"/>
  <c r="GI28" i="19"/>
  <c r="GH28" i="19"/>
  <c r="GG28" i="19"/>
  <c r="GM29" i="19"/>
  <c r="GL29" i="19"/>
  <c r="GJ29" i="19"/>
  <c r="GI29" i="19"/>
  <c r="GH29" i="19"/>
  <c r="GG29" i="19"/>
  <c r="GM27" i="19"/>
  <c r="GL27" i="19"/>
  <c r="GJ27" i="19"/>
  <c r="GI27" i="19"/>
  <c r="GH27" i="19"/>
  <c r="GG27" i="19"/>
  <c r="GM26" i="19"/>
  <c r="GL26" i="19"/>
  <c r="GJ26" i="19"/>
  <c r="GI26" i="19"/>
  <c r="GH26" i="19"/>
  <c r="GG26" i="19"/>
  <c r="GM23" i="19"/>
  <c r="GL23" i="19"/>
  <c r="GJ23" i="19"/>
  <c r="GI23" i="19"/>
  <c r="GH23" i="19"/>
  <c r="GG23" i="19"/>
  <c r="GM20" i="19"/>
  <c r="GL20" i="19"/>
  <c r="GJ20" i="19"/>
  <c r="GI20" i="19"/>
  <c r="GH20" i="19"/>
  <c r="GG20" i="19"/>
  <c r="GM25" i="19"/>
  <c r="GL25" i="19"/>
  <c r="GJ25" i="19"/>
  <c r="GI25" i="19"/>
  <c r="GH25" i="19"/>
  <c r="GG25" i="19"/>
  <c r="GM8" i="19"/>
  <c r="GL8" i="19"/>
  <c r="GJ8" i="19"/>
  <c r="GI8" i="19"/>
  <c r="GH8" i="19"/>
  <c r="GG8" i="19"/>
  <c r="GM17" i="19"/>
  <c r="GL17" i="19"/>
  <c r="GJ17" i="19"/>
  <c r="GI17" i="19"/>
  <c r="GH17" i="19"/>
  <c r="GG17" i="19"/>
  <c r="GM18" i="19"/>
  <c r="GL18" i="19"/>
  <c r="GJ18" i="19"/>
  <c r="GI18" i="19"/>
  <c r="GH18" i="19"/>
  <c r="GG18" i="19"/>
  <c r="GM22" i="19"/>
  <c r="GL22" i="19"/>
  <c r="GJ22" i="19"/>
  <c r="GI22" i="19"/>
  <c r="GH22" i="19"/>
  <c r="GG22" i="19"/>
  <c r="GM19" i="19"/>
  <c r="GL19" i="19"/>
  <c r="GJ19" i="19"/>
  <c r="GI19" i="19"/>
  <c r="GH19" i="19"/>
  <c r="GG19" i="19"/>
  <c r="GM15" i="19"/>
  <c r="GL15" i="19"/>
  <c r="GJ15" i="19"/>
  <c r="GI15" i="19"/>
  <c r="GH15" i="19"/>
  <c r="GG15" i="19"/>
  <c r="GM21" i="19"/>
  <c r="GL21" i="19"/>
  <c r="GJ21" i="19"/>
  <c r="GI21" i="19"/>
  <c r="GH21" i="19"/>
  <c r="GG21" i="19"/>
  <c r="GM16" i="19"/>
  <c r="GL16" i="19"/>
  <c r="GJ16" i="19"/>
  <c r="GI16" i="19"/>
  <c r="GH16" i="19"/>
  <c r="GG16" i="19"/>
  <c r="GM14" i="19"/>
  <c r="GL14" i="19"/>
  <c r="GJ14" i="19"/>
  <c r="GI14" i="19"/>
  <c r="GH14" i="19"/>
  <c r="GG14" i="19"/>
  <c r="GM11" i="19"/>
  <c r="GL11" i="19"/>
  <c r="GJ11" i="19"/>
  <c r="GI11" i="19"/>
  <c r="GH11" i="19"/>
  <c r="GG11" i="19"/>
  <c r="GM12" i="19"/>
  <c r="GL12" i="19"/>
  <c r="GJ12" i="19"/>
  <c r="GI12" i="19"/>
  <c r="GH12" i="19"/>
  <c r="GG12" i="19"/>
  <c r="GM7" i="19"/>
  <c r="GL7" i="19"/>
  <c r="GJ7" i="19"/>
  <c r="GI7" i="19"/>
  <c r="GH7" i="19"/>
  <c r="GG7" i="19"/>
  <c r="GM13" i="19"/>
  <c r="GL13" i="19"/>
  <c r="GJ13" i="19"/>
  <c r="GI13" i="19"/>
  <c r="GH13" i="19"/>
  <c r="GG13" i="19"/>
  <c r="GM9" i="19"/>
  <c r="GL9" i="19"/>
  <c r="GJ9" i="19"/>
  <c r="GI9" i="19"/>
  <c r="GH9" i="19"/>
  <c r="GG9" i="19"/>
  <c r="GM10" i="19"/>
  <c r="GL10" i="19"/>
  <c r="GJ10" i="19"/>
  <c r="GI10" i="19"/>
  <c r="GH10" i="19"/>
  <c r="GG10" i="19"/>
  <c r="GM5" i="19"/>
  <c r="GL5" i="19"/>
  <c r="GJ5" i="19"/>
  <c r="GI5" i="19"/>
  <c r="GH5" i="19"/>
  <c r="GG5" i="19"/>
  <c r="GM6" i="19"/>
  <c r="GL6" i="19"/>
  <c r="GJ6" i="19"/>
  <c r="GI6" i="19"/>
  <c r="GH6" i="19"/>
  <c r="GG6" i="19"/>
  <c r="GM4" i="19"/>
  <c r="GL4" i="19"/>
  <c r="GJ4" i="19"/>
  <c r="GI4" i="19"/>
  <c r="GH4" i="19"/>
  <c r="GG4" i="19"/>
  <c r="FK24" i="19"/>
  <c r="FJ24" i="19"/>
  <c r="FH24" i="19"/>
  <c r="FG24" i="19"/>
  <c r="FF24" i="19"/>
  <c r="FE24" i="19"/>
  <c r="FK38" i="19"/>
  <c r="FJ38" i="19"/>
  <c r="FH38" i="19"/>
  <c r="FG38" i="19"/>
  <c r="FF38" i="19"/>
  <c r="FE38" i="19"/>
  <c r="FK37" i="19"/>
  <c r="FJ37" i="19"/>
  <c r="FH37" i="19"/>
  <c r="FG37" i="19"/>
  <c r="FF37" i="19"/>
  <c r="FE37" i="19"/>
  <c r="FK36" i="19"/>
  <c r="FJ36" i="19"/>
  <c r="FH36" i="19"/>
  <c r="FG36" i="19"/>
  <c r="FF36" i="19"/>
  <c r="FE36" i="19"/>
  <c r="FK35" i="19"/>
  <c r="FJ35" i="19"/>
  <c r="FH35" i="19"/>
  <c r="FG35" i="19"/>
  <c r="FF35" i="19"/>
  <c r="FE35" i="19"/>
  <c r="FK34" i="19"/>
  <c r="FJ34" i="19"/>
  <c r="FH34" i="19"/>
  <c r="FG34" i="19"/>
  <c r="FF34" i="19"/>
  <c r="FE3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1" i="19"/>
  <c r="FJ31" i="19"/>
  <c r="FH31" i="19"/>
  <c r="FG31" i="19"/>
  <c r="FF31" i="19"/>
  <c r="FE31" i="19"/>
  <c r="FK39" i="19"/>
  <c r="FJ39" i="19"/>
  <c r="FH39" i="19"/>
  <c r="FG39" i="19"/>
  <c r="FF39" i="19"/>
  <c r="FE39" i="19"/>
  <c r="FK28" i="19"/>
  <c r="FJ28" i="19"/>
  <c r="FH28" i="19"/>
  <c r="FG28" i="19"/>
  <c r="FF28" i="19"/>
  <c r="FE28" i="19"/>
  <c r="FK29" i="19"/>
  <c r="FJ29" i="19"/>
  <c r="FH29" i="19"/>
  <c r="FG29" i="19"/>
  <c r="FF29" i="19"/>
  <c r="FE29" i="19"/>
  <c r="FK27" i="19"/>
  <c r="FJ27" i="19"/>
  <c r="FH27" i="19"/>
  <c r="FG27" i="19"/>
  <c r="FF27" i="19"/>
  <c r="FE27" i="19"/>
  <c r="FK26" i="19"/>
  <c r="FJ26" i="19"/>
  <c r="FH26" i="19"/>
  <c r="FG26" i="19"/>
  <c r="FF26" i="19"/>
  <c r="FE26" i="19"/>
  <c r="FK23" i="19"/>
  <c r="FJ23" i="19"/>
  <c r="FH23" i="19"/>
  <c r="FG23" i="19"/>
  <c r="FF23" i="19"/>
  <c r="FE23" i="19"/>
  <c r="FK20" i="19"/>
  <c r="FJ20" i="19"/>
  <c r="FH20" i="19"/>
  <c r="FG20" i="19"/>
  <c r="FF20" i="19"/>
  <c r="FE20" i="19"/>
  <c r="FK25" i="19"/>
  <c r="FJ25" i="19"/>
  <c r="FH25" i="19"/>
  <c r="FG25" i="19"/>
  <c r="FF25" i="19"/>
  <c r="FE25" i="19"/>
  <c r="FK8" i="19"/>
  <c r="FJ8" i="19"/>
  <c r="FH8" i="19"/>
  <c r="FG8" i="19"/>
  <c r="FF8" i="19"/>
  <c r="FE8" i="19"/>
  <c r="FK17" i="19"/>
  <c r="FJ17" i="19"/>
  <c r="FH17" i="19"/>
  <c r="FG17" i="19"/>
  <c r="FF17" i="19"/>
  <c r="FE17" i="19"/>
  <c r="FK18" i="19"/>
  <c r="FJ18" i="19"/>
  <c r="FH18" i="19"/>
  <c r="FG18" i="19"/>
  <c r="FF18" i="19"/>
  <c r="FE18" i="19"/>
  <c r="FK22" i="19"/>
  <c r="FJ22" i="19"/>
  <c r="FH22" i="19"/>
  <c r="FG22" i="19"/>
  <c r="FF22" i="19"/>
  <c r="FE22" i="19"/>
  <c r="FK19" i="19"/>
  <c r="FJ19" i="19"/>
  <c r="FH19" i="19"/>
  <c r="FG19" i="19"/>
  <c r="FF19" i="19"/>
  <c r="FE19" i="19"/>
  <c r="FK15" i="19"/>
  <c r="FJ15" i="19"/>
  <c r="FH15" i="19"/>
  <c r="FG15" i="19"/>
  <c r="FF15" i="19"/>
  <c r="FE15" i="19"/>
  <c r="FK21" i="19"/>
  <c r="FJ21" i="19"/>
  <c r="FH21" i="19"/>
  <c r="FG21" i="19"/>
  <c r="FF21" i="19"/>
  <c r="FE21" i="19"/>
  <c r="FK16" i="19"/>
  <c r="FJ16" i="19"/>
  <c r="FH16" i="19"/>
  <c r="FG16" i="19"/>
  <c r="FF16" i="19"/>
  <c r="FE16" i="19"/>
  <c r="FK14" i="19"/>
  <c r="FJ14" i="19"/>
  <c r="FH14" i="19"/>
  <c r="FG14" i="19"/>
  <c r="FF14" i="19"/>
  <c r="FE14" i="19"/>
  <c r="FK11" i="19"/>
  <c r="FJ11" i="19"/>
  <c r="FH11" i="19"/>
  <c r="FG11" i="19"/>
  <c r="FF11" i="19"/>
  <c r="FE11" i="19"/>
  <c r="FK12" i="19"/>
  <c r="FJ12" i="19"/>
  <c r="FH12" i="19"/>
  <c r="FG12" i="19"/>
  <c r="FF12" i="19"/>
  <c r="FE12" i="19"/>
  <c r="FK7" i="19"/>
  <c r="FJ7" i="19"/>
  <c r="FH7" i="19"/>
  <c r="FG7" i="19"/>
  <c r="FF7" i="19"/>
  <c r="FE7" i="19"/>
  <c r="FK13" i="19"/>
  <c r="FJ13" i="19"/>
  <c r="FH13" i="19"/>
  <c r="FG13" i="19"/>
  <c r="FF13" i="19"/>
  <c r="FE13" i="19"/>
  <c r="FK9" i="19"/>
  <c r="FJ9" i="19"/>
  <c r="FH9" i="19"/>
  <c r="FG9" i="19"/>
  <c r="FF9" i="19"/>
  <c r="FE9" i="19"/>
  <c r="FK10" i="19"/>
  <c r="FJ10" i="19"/>
  <c r="FH10" i="19"/>
  <c r="FG10" i="19"/>
  <c r="FF10" i="19"/>
  <c r="FE10" i="19"/>
  <c r="FK5" i="19"/>
  <c r="FJ5" i="19"/>
  <c r="FH5" i="19"/>
  <c r="FG5" i="19"/>
  <c r="FF5" i="19"/>
  <c r="FE5" i="19"/>
  <c r="FK6" i="19"/>
  <c r="FJ6" i="19"/>
  <c r="FH6" i="19"/>
  <c r="FG6" i="19"/>
  <c r="FF6" i="19"/>
  <c r="FE6" i="19"/>
  <c r="FK4" i="19"/>
  <c r="FJ4" i="19"/>
  <c r="FH4" i="19"/>
  <c r="FG4" i="19"/>
  <c r="FF4" i="19"/>
  <c r="FE4" i="19"/>
  <c r="EI24" i="19"/>
  <c r="EH24" i="19"/>
  <c r="EF24" i="19"/>
  <c r="EE24" i="19"/>
  <c r="ED24" i="19"/>
  <c r="EC24" i="19"/>
  <c r="EI38" i="19"/>
  <c r="EH38" i="19"/>
  <c r="EF38" i="19"/>
  <c r="EE38" i="19"/>
  <c r="ED38" i="19"/>
  <c r="EC38" i="19"/>
  <c r="EI37" i="19"/>
  <c r="EH37" i="19"/>
  <c r="EF37" i="19"/>
  <c r="EE37" i="19"/>
  <c r="ED37" i="19"/>
  <c r="EC37" i="19"/>
  <c r="EI36" i="19"/>
  <c r="EH36" i="19"/>
  <c r="EF36" i="19"/>
  <c r="EE36" i="19"/>
  <c r="ED36" i="19"/>
  <c r="EC36" i="19"/>
  <c r="EI35" i="19"/>
  <c r="EH35" i="19"/>
  <c r="EF35" i="19"/>
  <c r="EE35" i="19"/>
  <c r="ED35" i="19"/>
  <c r="EC35" i="19"/>
  <c r="EI34" i="19"/>
  <c r="EH34" i="19"/>
  <c r="EF34" i="19"/>
  <c r="EE34" i="19"/>
  <c r="ED34" i="19"/>
  <c r="EC3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1" i="19"/>
  <c r="EH31" i="19"/>
  <c r="EF31" i="19"/>
  <c r="EE31" i="19"/>
  <c r="ED31" i="19"/>
  <c r="EC31" i="19"/>
  <c r="EI39" i="19"/>
  <c r="EH39" i="19"/>
  <c r="EF39" i="19"/>
  <c r="EE39" i="19"/>
  <c r="ED39" i="19"/>
  <c r="EC39" i="19"/>
  <c r="EI28" i="19"/>
  <c r="EH28" i="19"/>
  <c r="EF28" i="19"/>
  <c r="EE28" i="19"/>
  <c r="ED28" i="19"/>
  <c r="EC28" i="19"/>
  <c r="EI29" i="19"/>
  <c r="EH29" i="19"/>
  <c r="EF29" i="19"/>
  <c r="EE29" i="19"/>
  <c r="ED29" i="19"/>
  <c r="EC29" i="19"/>
  <c r="EI27" i="19"/>
  <c r="EH27" i="19"/>
  <c r="EF27" i="19"/>
  <c r="EE27" i="19"/>
  <c r="ED27" i="19"/>
  <c r="EC27" i="19"/>
  <c r="EI26" i="19"/>
  <c r="EH26" i="19"/>
  <c r="EF26" i="19"/>
  <c r="EE26" i="19"/>
  <c r="ED26" i="19"/>
  <c r="EC26" i="19"/>
  <c r="EI23" i="19"/>
  <c r="EH23" i="19"/>
  <c r="EF23" i="19"/>
  <c r="EE23" i="19"/>
  <c r="ED23" i="19"/>
  <c r="EC23" i="19"/>
  <c r="EI20" i="19"/>
  <c r="EH20" i="19"/>
  <c r="EF20" i="19"/>
  <c r="EE20" i="19"/>
  <c r="ED20" i="19"/>
  <c r="EC20" i="19"/>
  <c r="EI25" i="19"/>
  <c r="EH25" i="19"/>
  <c r="EF25" i="19"/>
  <c r="EE25" i="19"/>
  <c r="ED25" i="19"/>
  <c r="EC25" i="19"/>
  <c r="EI8" i="19"/>
  <c r="EH8" i="19"/>
  <c r="EF8" i="19"/>
  <c r="EE8" i="19"/>
  <c r="ED8" i="19"/>
  <c r="EC8" i="19"/>
  <c r="EI17" i="19"/>
  <c r="EH17" i="19"/>
  <c r="EF17" i="19"/>
  <c r="EE17" i="19"/>
  <c r="ED17" i="19"/>
  <c r="EC17" i="19"/>
  <c r="EI18" i="19"/>
  <c r="EH18" i="19"/>
  <c r="EF18" i="19"/>
  <c r="EE18" i="19"/>
  <c r="ED18" i="19"/>
  <c r="EC18" i="19"/>
  <c r="EI22" i="19"/>
  <c r="EH22" i="19"/>
  <c r="EF22" i="19"/>
  <c r="EE22" i="19"/>
  <c r="ED22" i="19"/>
  <c r="EC22" i="19"/>
  <c r="EI19" i="19"/>
  <c r="EH19" i="19"/>
  <c r="EF19" i="19"/>
  <c r="EE19" i="19"/>
  <c r="ED19" i="19"/>
  <c r="EC19" i="19"/>
  <c r="EI15" i="19"/>
  <c r="EH15" i="19"/>
  <c r="EF15" i="19"/>
  <c r="EE15" i="19"/>
  <c r="ED15" i="19"/>
  <c r="EC15" i="19"/>
  <c r="EI21" i="19"/>
  <c r="EH21" i="19"/>
  <c r="EF21" i="19"/>
  <c r="EE21" i="19"/>
  <c r="ED21" i="19"/>
  <c r="EC21" i="19"/>
  <c r="EI16" i="19"/>
  <c r="EH16" i="19"/>
  <c r="EF16" i="19"/>
  <c r="EE16" i="19"/>
  <c r="ED16" i="19"/>
  <c r="EC16" i="19"/>
  <c r="EI14" i="19"/>
  <c r="EH14" i="19"/>
  <c r="EF14" i="19"/>
  <c r="EE14" i="19"/>
  <c r="ED14" i="19"/>
  <c r="EC14" i="19"/>
  <c r="EI11" i="19"/>
  <c r="EH11" i="19"/>
  <c r="EF11" i="19"/>
  <c r="EE11" i="19"/>
  <c r="ED11" i="19"/>
  <c r="EC11" i="19"/>
  <c r="EI12" i="19"/>
  <c r="EH12" i="19"/>
  <c r="EF12" i="19"/>
  <c r="EE12" i="19"/>
  <c r="ED12" i="19"/>
  <c r="EC12" i="19"/>
  <c r="EI7" i="19"/>
  <c r="EH7" i="19"/>
  <c r="EF7" i="19"/>
  <c r="EE7" i="19"/>
  <c r="ED7" i="19"/>
  <c r="EC7" i="19"/>
  <c r="EI13" i="19"/>
  <c r="EH13" i="19"/>
  <c r="EF13" i="19"/>
  <c r="EE13" i="19"/>
  <c r="ED13" i="19"/>
  <c r="EC13" i="19"/>
  <c r="EI9" i="19"/>
  <c r="EH9" i="19"/>
  <c r="EF9" i="19"/>
  <c r="EE9" i="19"/>
  <c r="ED9" i="19"/>
  <c r="EC9" i="19"/>
  <c r="EI10" i="19"/>
  <c r="EH10" i="19"/>
  <c r="EF10" i="19"/>
  <c r="EE10" i="19"/>
  <c r="ED10" i="19"/>
  <c r="EC10" i="19"/>
  <c r="EI5" i="19"/>
  <c r="EH5" i="19"/>
  <c r="EF5" i="19"/>
  <c r="EE5" i="19"/>
  <c r="ED5" i="19"/>
  <c r="EC5" i="19"/>
  <c r="EI6" i="19"/>
  <c r="EH6" i="19"/>
  <c r="EF6" i="19"/>
  <c r="EE6" i="19"/>
  <c r="ED6" i="19"/>
  <c r="EC6" i="19"/>
  <c r="EI4" i="19"/>
  <c r="EH4" i="19"/>
  <c r="EF4" i="19"/>
  <c r="EE4" i="19"/>
  <c r="ED4" i="19"/>
  <c r="EC4" i="19"/>
  <c r="PC18" i="27"/>
  <c r="PB18" i="27"/>
  <c r="OZ18" i="27"/>
  <c r="OY18" i="27"/>
  <c r="OX18" i="27"/>
  <c r="OW18" i="27"/>
  <c r="PC17" i="27"/>
  <c r="PB17" i="27"/>
  <c r="OZ17" i="27"/>
  <c r="OY17" i="27"/>
  <c r="OX17" i="27"/>
  <c r="OW17" i="27"/>
  <c r="PC14" i="27"/>
  <c r="PB14" i="27"/>
  <c r="OZ14" i="27"/>
  <c r="OY14" i="27"/>
  <c r="OX14" i="27"/>
  <c r="OW14" i="27"/>
  <c r="PC15" i="27"/>
  <c r="PB15" i="27"/>
  <c r="OZ15" i="27"/>
  <c r="OY15" i="27"/>
  <c r="OX15" i="27"/>
  <c r="OW15" i="27"/>
  <c r="PC19" i="27"/>
  <c r="PB19" i="27"/>
  <c r="OZ19" i="27"/>
  <c r="OY19" i="27"/>
  <c r="OX19" i="27"/>
  <c r="OW19" i="27"/>
  <c r="PC16" i="27"/>
  <c r="PB16" i="27"/>
  <c r="OZ16" i="27"/>
  <c r="OY16" i="27"/>
  <c r="OX16" i="27"/>
  <c r="OW16" i="27"/>
  <c r="PC13" i="27"/>
  <c r="PB13" i="27"/>
  <c r="OZ13" i="27"/>
  <c r="OY13" i="27"/>
  <c r="OX13" i="27"/>
  <c r="OW13" i="27"/>
  <c r="PC12" i="27"/>
  <c r="PB12" i="27"/>
  <c r="OZ12" i="27"/>
  <c r="OY12" i="27"/>
  <c r="OX12" i="27"/>
  <c r="OW12" i="27"/>
  <c r="PC8" i="27"/>
  <c r="PB8" i="27"/>
  <c r="OZ8" i="27"/>
  <c r="OY8" i="27"/>
  <c r="OX8" i="27"/>
  <c r="OW8" i="27"/>
  <c r="PC11" i="27"/>
  <c r="PB11" i="27"/>
  <c r="OZ11" i="27"/>
  <c r="OY11" i="27"/>
  <c r="OX11" i="27"/>
  <c r="OW11" i="27"/>
  <c r="PC10" i="27"/>
  <c r="PB10" i="27"/>
  <c r="OZ10" i="27"/>
  <c r="OY10" i="27"/>
  <c r="OX10" i="27"/>
  <c r="OW10" i="27"/>
  <c r="PC9" i="27"/>
  <c r="PB9" i="27"/>
  <c r="OZ9" i="27"/>
  <c r="OY9" i="27"/>
  <c r="OX9" i="27"/>
  <c r="OW9" i="27"/>
  <c r="PC5" i="27"/>
  <c r="PB5" i="27"/>
  <c r="OZ5" i="27"/>
  <c r="OY5" i="27"/>
  <c r="OX5" i="27"/>
  <c r="OW5" i="27"/>
  <c r="PC7" i="27"/>
  <c r="PB7" i="27"/>
  <c r="OZ7" i="27"/>
  <c r="OY7" i="27"/>
  <c r="OX7" i="27"/>
  <c r="OW7" i="27"/>
  <c r="PC6" i="27"/>
  <c r="PB6" i="27"/>
  <c r="OZ6" i="27"/>
  <c r="OY6" i="27"/>
  <c r="OX6" i="27"/>
  <c r="OW6" i="27"/>
  <c r="PC4" i="27"/>
  <c r="PB4" i="27"/>
  <c r="OZ4" i="27"/>
  <c r="OY4" i="27"/>
  <c r="OX4" i="27"/>
  <c r="OW4" i="27"/>
  <c r="OA18" i="27"/>
  <c r="NZ18" i="27"/>
  <c r="NX18" i="27"/>
  <c r="NW18" i="27"/>
  <c r="NV18" i="27"/>
  <c r="NU18" i="27"/>
  <c r="OA17" i="27"/>
  <c r="NZ17" i="27"/>
  <c r="NX17" i="27"/>
  <c r="NW17" i="27"/>
  <c r="NV17" i="27"/>
  <c r="NU17" i="27"/>
  <c r="OA14" i="27"/>
  <c r="NZ14" i="27"/>
  <c r="NX14" i="27"/>
  <c r="NW14" i="27"/>
  <c r="NV14" i="27"/>
  <c r="NU14" i="27"/>
  <c r="OA15" i="27"/>
  <c r="NZ15" i="27"/>
  <c r="NX15" i="27"/>
  <c r="NW15" i="27"/>
  <c r="NV15" i="27"/>
  <c r="NU15" i="27"/>
  <c r="OA19" i="27"/>
  <c r="NZ19" i="27"/>
  <c r="NX19" i="27"/>
  <c r="NW19" i="27"/>
  <c r="NV19" i="27"/>
  <c r="NU19" i="27"/>
  <c r="OA16" i="27"/>
  <c r="NZ16" i="27"/>
  <c r="NX16" i="27"/>
  <c r="NW16" i="27"/>
  <c r="NV16" i="27"/>
  <c r="NU16" i="27"/>
  <c r="OA13" i="27"/>
  <c r="NZ13" i="27"/>
  <c r="NX13" i="27"/>
  <c r="NW13" i="27"/>
  <c r="NV13" i="27"/>
  <c r="NU13" i="27"/>
  <c r="OA12" i="27"/>
  <c r="NZ12" i="27"/>
  <c r="NX12" i="27"/>
  <c r="NW12" i="27"/>
  <c r="NV12" i="27"/>
  <c r="NU12" i="27"/>
  <c r="OA8" i="27"/>
  <c r="NZ8" i="27"/>
  <c r="NX8" i="27"/>
  <c r="NW8" i="27"/>
  <c r="NV8" i="27"/>
  <c r="NU8" i="27"/>
  <c r="OA11" i="27"/>
  <c r="NZ11" i="27"/>
  <c r="NX11" i="27"/>
  <c r="NW11" i="27"/>
  <c r="NV11" i="27"/>
  <c r="NU11" i="27"/>
  <c r="OA10" i="27"/>
  <c r="NZ10" i="27"/>
  <c r="NX10" i="27"/>
  <c r="NW10" i="27"/>
  <c r="NV10" i="27"/>
  <c r="NU10" i="27"/>
  <c r="OA9" i="27"/>
  <c r="NZ9" i="27"/>
  <c r="NX9" i="27"/>
  <c r="NW9" i="27"/>
  <c r="NV9" i="27"/>
  <c r="NU9" i="27"/>
  <c r="OA5" i="27"/>
  <c r="NZ5" i="27"/>
  <c r="NX5" i="27"/>
  <c r="NW5" i="27"/>
  <c r="NV5" i="27"/>
  <c r="NU5" i="27"/>
  <c r="OA7" i="27"/>
  <c r="NZ7" i="27"/>
  <c r="NX7" i="27"/>
  <c r="NW7" i="27"/>
  <c r="NV7" i="27"/>
  <c r="NU7" i="27"/>
  <c r="OA6" i="27"/>
  <c r="NZ6" i="27"/>
  <c r="NX6" i="27"/>
  <c r="NW6" i="27"/>
  <c r="NV6" i="27"/>
  <c r="NU6" i="27"/>
  <c r="OA4" i="27"/>
  <c r="NZ4" i="27"/>
  <c r="NX4" i="27"/>
  <c r="NW4" i="27"/>
  <c r="NV4" i="27"/>
  <c r="NU4" i="27"/>
  <c r="MY18" i="27"/>
  <c r="MX18" i="27"/>
  <c r="MV18" i="27"/>
  <c r="MU18" i="27"/>
  <c r="MT18" i="27"/>
  <c r="MS18" i="27"/>
  <c r="MY17" i="27"/>
  <c r="MX17" i="27"/>
  <c r="MV17" i="27"/>
  <c r="MU17" i="27"/>
  <c r="MT17" i="27"/>
  <c r="MS17" i="27"/>
  <c r="MY14" i="27"/>
  <c r="MX14" i="27"/>
  <c r="MV14" i="27"/>
  <c r="MU14" i="27"/>
  <c r="MT14" i="27"/>
  <c r="MS14" i="27"/>
  <c r="MY15" i="27"/>
  <c r="MX15" i="27"/>
  <c r="MV15" i="27"/>
  <c r="MU15" i="27"/>
  <c r="MT15" i="27"/>
  <c r="MS15" i="27"/>
  <c r="MY19" i="27"/>
  <c r="MX19" i="27"/>
  <c r="MV19" i="27"/>
  <c r="MU19" i="27"/>
  <c r="MT19" i="27"/>
  <c r="MS19" i="27"/>
  <c r="MY16" i="27"/>
  <c r="MX16" i="27"/>
  <c r="MV16" i="27"/>
  <c r="MU16" i="27"/>
  <c r="MT16" i="27"/>
  <c r="MS16" i="27"/>
  <c r="MY13" i="27"/>
  <c r="MX13" i="27"/>
  <c r="MV13" i="27"/>
  <c r="MU13" i="27"/>
  <c r="MT13" i="27"/>
  <c r="MS13" i="27"/>
  <c r="MY12" i="27"/>
  <c r="MX12" i="27"/>
  <c r="MV12" i="27"/>
  <c r="MU12" i="27"/>
  <c r="MT12" i="27"/>
  <c r="MS12" i="27"/>
  <c r="MY8" i="27"/>
  <c r="MX8" i="27"/>
  <c r="MV8" i="27"/>
  <c r="MU8" i="27"/>
  <c r="MT8" i="27"/>
  <c r="MS8" i="27"/>
  <c r="MY11" i="27"/>
  <c r="MX11" i="27"/>
  <c r="MV11" i="27"/>
  <c r="MU11" i="27"/>
  <c r="MT11" i="27"/>
  <c r="MS11" i="27"/>
  <c r="MY10" i="27"/>
  <c r="MX10" i="27"/>
  <c r="MV10" i="27"/>
  <c r="MU10" i="27"/>
  <c r="MT10" i="27"/>
  <c r="MS10" i="27"/>
  <c r="MY9" i="27"/>
  <c r="MX9" i="27"/>
  <c r="MV9" i="27"/>
  <c r="MU9" i="27"/>
  <c r="MT9" i="27"/>
  <c r="MS9" i="27"/>
  <c r="MY5" i="27"/>
  <c r="MX5" i="27"/>
  <c r="MV5" i="27"/>
  <c r="MU5" i="27"/>
  <c r="MT5" i="27"/>
  <c r="MS5" i="27"/>
  <c r="MY7" i="27"/>
  <c r="MX7" i="27"/>
  <c r="MV7" i="27"/>
  <c r="MU7" i="27"/>
  <c r="MT7" i="27"/>
  <c r="MS7" i="27"/>
  <c r="MY6" i="27"/>
  <c r="MX6" i="27"/>
  <c r="MV6" i="27"/>
  <c r="MU6" i="27"/>
  <c r="MT6" i="27"/>
  <c r="MS6" i="27"/>
  <c r="MY4" i="27"/>
  <c r="MX4" i="27"/>
  <c r="MV4" i="27"/>
  <c r="MU4" i="27"/>
  <c r="MT4" i="27"/>
  <c r="MS4" i="27"/>
  <c r="LW18" i="27"/>
  <c r="LV18" i="27"/>
  <c r="LT18" i="27"/>
  <c r="LS18" i="27"/>
  <c r="LR18" i="27"/>
  <c r="LQ18" i="27"/>
  <c r="LW17" i="27"/>
  <c r="LV17" i="27"/>
  <c r="LT17" i="27"/>
  <c r="LS17" i="27"/>
  <c r="LR17" i="27"/>
  <c r="LQ17" i="27"/>
  <c r="LW14" i="27"/>
  <c r="LV14" i="27"/>
  <c r="LT14" i="27"/>
  <c r="LS14" i="27"/>
  <c r="LR14" i="27"/>
  <c r="LQ14" i="27"/>
  <c r="LW15" i="27"/>
  <c r="LV15" i="27"/>
  <c r="LT15" i="27"/>
  <c r="LS15" i="27"/>
  <c r="LR15" i="27"/>
  <c r="LQ15" i="27"/>
  <c r="LW19" i="27"/>
  <c r="LV19" i="27"/>
  <c r="LT19" i="27"/>
  <c r="LS19" i="27"/>
  <c r="LR19" i="27"/>
  <c r="LQ19" i="27"/>
  <c r="LW16" i="27"/>
  <c r="LV16" i="27"/>
  <c r="LT16" i="27"/>
  <c r="LS16" i="27"/>
  <c r="LR16" i="27"/>
  <c r="LQ16" i="27"/>
  <c r="LW13" i="27"/>
  <c r="LV13" i="27"/>
  <c r="LT13" i="27"/>
  <c r="LS13" i="27"/>
  <c r="LR13" i="27"/>
  <c r="LQ13" i="27"/>
  <c r="LW12" i="27"/>
  <c r="LV12" i="27"/>
  <c r="LT12" i="27"/>
  <c r="LS12" i="27"/>
  <c r="LR12" i="27"/>
  <c r="LQ12" i="27"/>
  <c r="LW8" i="27"/>
  <c r="LV8" i="27"/>
  <c r="LT8" i="27"/>
  <c r="LS8" i="27"/>
  <c r="LR8" i="27"/>
  <c r="LQ8" i="27"/>
  <c r="LW11" i="27"/>
  <c r="LV11" i="27"/>
  <c r="LT11" i="27"/>
  <c r="LS11" i="27"/>
  <c r="LR11" i="27"/>
  <c r="LQ11" i="27"/>
  <c r="LW10" i="27"/>
  <c r="LV10" i="27"/>
  <c r="LT10" i="27"/>
  <c r="LS10" i="27"/>
  <c r="LR10" i="27"/>
  <c r="LQ10" i="27"/>
  <c r="LW9" i="27"/>
  <c r="LV9" i="27"/>
  <c r="LT9" i="27"/>
  <c r="LS9" i="27"/>
  <c r="LR9" i="27"/>
  <c r="LQ9" i="27"/>
  <c r="LW5" i="27"/>
  <c r="LV5" i="27"/>
  <c r="LT5" i="27"/>
  <c r="LS5" i="27"/>
  <c r="LR5" i="27"/>
  <c r="LQ5" i="27"/>
  <c r="LW7" i="27"/>
  <c r="LV7" i="27"/>
  <c r="LT7" i="27"/>
  <c r="LS7" i="27"/>
  <c r="LR7" i="27"/>
  <c r="LQ7" i="27"/>
  <c r="LW6" i="27"/>
  <c r="LV6" i="27"/>
  <c r="LT6" i="27"/>
  <c r="LS6" i="27"/>
  <c r="LR6" i="27"/>
  <c r="LQ6" i="27"/>
  <c r="LW4" i="27"/>
  <c r="LV4" i="27"/>
  <c r="LT4" i="27"/>
  <c r="LS4" i="27"/>
  <c r="LR4" i="27"/>
  <c r="LQ4" i="27"/>
  <c r="KU18" i="27"/>
  <c r="KT18" i="27"/>
  <c r="KR18" i="27"/>
  <c r="KQ18" i="27"/>
  <c r="KP18" i="27"/>
  <c r="KO18" i="27"/>
  <c r="KU17" i="27"/>
  <c r="KT17" i="27"/>
  <c r="KR17" i="27"/>
  <c r="KQ17" i="27"/>
  <c r="KP17" i="27"/>
  <c r="KO17" i="27"/>
  <c r="KU14" i="27"/>
  <c r="KT14" i="27"/>
  <c r="KR14" i="27"/>
  <c r="KQ14" i="27"/>
  <c r="KP14" i="27"/>
  <c r="KO14" i="27"/>
  <c r="KU15" i="27"/>
  <c r="KT15" i="27"/>
  <c r="KR15" i="27"/>
  <c r="KQ15" i="27"/>
  <c r="KP15" i="27"/>
  <c r="KO15" i="27"/>
  <c r="KU19" i="27"/>
  <c r="KT19" i="27"/>
  <c r="KR19" i="27"/>
  <c r="KQ19" i="27"/>
  <c r="KP19" i="27"/>
  <c r="KO19" i="27"/>
  <c r="KU16" i="27"/>
  <c r="KT16" i="27"/>
  <c r="KR16" i="27"/>
  <c r="KQ16" i="27"/>
  <c r="KP16" i="27"/>
  <c r="KO16" i="27"/>
  <c r="KU13" i="27"/>
  <c r="KT13" i="27"/>
  <c r="KR13" i="27"/>
  <c r="KQ13" i="27"/>
  <c r="KP13" i="27"/>
  <c r="KO13" i="27"/>
  <c r="KU12" i="27"/>
  <c r="KT12" i="27"/>
  <c r="KR12" i="27"/>
  <c r="KQ12" i="27"/>
  <c r="KP12" i="27"/>
  <c r="KO12" i="27"/>
  <c r="KU8" i="27"/>
  <c r="KT8" i="27"/>
  <c r="KR8" i="27"/>
  <c r="KQ8" i="27"/>
  <c r="KP8" i="27"/>
  <c r="KO8" i="27"/>
  <c r="KU11" i="27"/>
  <c r="KT11" i="27"/>
  <c r="KR11" i="27"/>
  <c r="KQ11" i="27"/>
  <c r="KP11" i="27"/>
  <c r="KO11" i="27"/>
  <c r="KU10" i="27"/>
  <c r="KT10" i="27"/>
  <c r="KR10" i="27"/>
  <c r="KQ10" i="27"/>
  <c r="KP10" i="27"/>
  <c r="KO10" i="27"/>
  <c r="KU9" i="27"/>
  <c r="KT9" i="27"/>
  <c r="KR9" i="27"/>
  <c r="KQ9" i="27"/>
  <c r="KP9" i="27"/>
  <c r="KO9" i="27"/>
  <c r="KU5" i="27"/>
  <c r="KT5" i="27"/>
  <c r="KR5" i="27"/>
  <c r="KQ5" i="27"/>
  <c r="KP5" i="27"/>
  <c r="KO5" i="27"/>
  <c r="KU7" i="27"/>
  <c r="KT7" i="27"/>
  <c r="KR7" i="27"/>
  <c r="KQ7" i="27"/>
  <c r="KP7" i="27"/>
  <c r="KO7" i="27"/>
  <c r="KU6" i="27"/>
  <c r="KT6" i="27"/>
  <c r="KR6" i="27"/>
  <c r="KQ6" i="27"/>
  <c r="KP6" i="27"/>
  <c r="KO6" i="27"/>
  <c r="KU4" i="27"/>
  <c r="KT4" i="27"/>
  <c r="KR4" i="27"/>
  <c r="KQ4" i="27"/>
  <c r="KP4" i="27"/>
  <c r="KO4" i="27"/>
  <c r="JS18" i="27"/>
  <c r="JR18" i="27"/>
  <c r="JP18" i="27"/>
  <c r="JO18" i="27"/>
  <c r="JN18" i="27"/>
  <c r="JM18" i="27"/>
  <c r="JS17" i="27"/>
  <c r="JR17" i="27"/>
  <c r="JP17" i="27"/>
  <c r="JO17" i="27"/>
  <c r="JN17" i="27"/>
  <c r="JM17" i="27"/>
  <c r="JS14" i="27"/>
  <c r="JR14" i="27"/>
  <c r="JP14" i="27"/>
  <c r="JO14" i="27"/>
  <c r="JN14" i="27"/>
  <c r="JM14" i="27"/>
  <c r="JS15" i="27"/>
  <c r="JR15" i="27"/>
  <c r="JP15" i="27"/>
  <c r="JO15" i="27"/>
  <c r="JN15" i="27"/>
  <c r="JM15" i="27"/>
  <c r="JS19" i="27"/>
  <c r="JR19" i="27"/>
  <c r="JP19" i="27"/>
  <c r="JO19" i="27"/>
  <c r="JN19" i="27"/>
  <c r="JM19" i="27"/>
  <c r="JS16" i="27"/>
  <c r="JR16" i="27"/>
  <c r="JP16" i="27"/>
  <c r="JO16" i="27"/>
  <c r="JN16" i="27"/>
  <c r="JM16" i="27"/>
  <c r="JS13" i="27"/>
  <c r="JR13" i="27"/>
  <c r="JP13" i="27"/>
  <c r="JO13" i="27"/>
  <c r="JN13" i="27"/>
  <c r="JM13" i="27"/>
  <c r="JS12" i="27"/>
  <c r="JR12" i="27"/>
  <c r="JP12" i="27"/>
  <c r="JO12" i="27"/>
  <c r="JN12" i="27"/>
  <c r="JM12" i="27"/>
  <c r="JS8" i="27"/>
  <c r="JR8" i="27"/>
  <c r="JP8" i="27"/>
  <c r="JO8" i="27"/>
  <c r="JN8" i="27"/>
  <c r="JM8" i="27"/>
  <c r="JS11" i="27"/>
  <c r="JR11" i="27"/>
  <c r="JP11" i="27"/>
  <c r="JO11" i="27"/>
  <c r="JN11" i="27"/>
  <c r="JM11" i="27"/>
  <c r="JS10" i="27"/>
  <c r="JR10" i="27"/>
  <c r="JP10" i="27"/>
  <c r="JO10" i="27"/>
  <c r="JN10" i="27"/>
  <c r="JM10" i="27"/>
  <c r="JS9" i="27"/>
  <c r="JR9" i="27"/>
  <c r="JP9" i="27"/>
  <c r="JO9" i="27"/>
  <c r="JN9" i="27"/>
  <c r="JM9" i="27"/>
  <c r="JS5" i="27"/>
  <c r="JR5" i="27"/>
  <c r="JP5" i="27"/>
  <c r="JO5" i="27"/>
  <c r="JN5" i="27"/>
  <c r="JM5" i="27"/>
  <c r="JS7" i="27"/>
  <c r="JR7" i="27"/>
  <c r="JP7" i="27"/>
  <c r="JO7" i="27"/>
  <c r="JN7" i="27"/>
  <c r="JM7" i="27"/>
  <c r="JS6" i="27"/>
  <c r="JR6" i="27"/>
  <c r="JP6" i="27"/>
  <c r="JO6" i="27"/>
  <c r="JN6" i="27"/>
  <c r="JM6" i="27"/>
  <c r="JS4" i="27"/>
  <c r="JR4" i="27"/>
  <c r="JP4" i="27"/>
  <c r="JO4" i="27"/>
  <c r="JN4" i="27"/>
  <c r="JM4" i="27"/>
  <c r="IQ18" i="27"/>
  <c r="IP18" i="27"/>
  <c r="IN18" i="27"/>
  <c r="IM18" i="27"/>
  <c r="IL18" i="27"/>
  <c r="IK18" i="27"/>
  <c r="IQ17" i="27"/>
  <c r="IP17" i="27"/>
  <c r="IN17" i="27"/>
  <c r="IM17" i="27"/>
  <c r="IL17" i="27"/>
  <c r="IK17" i="27"/>
  <c r="IQ14" i="27"/>
  <c r="IP14" i="27"/>
  <c r="IN14" i="27"/>
  <c r="IM14" i="27"/>
  <c r="IL14" i="27"/>
  <c r="IK14" i="27"/>
  <c r="IQ15" i="27"/>
  <c r="IP15" i="27"/>
  <c r="IN15" i="27"/>
  <c r="IM15" i="27"/>
  <c r="IL15" i="27"/>
  <c r="IK15" i="27"/>
  <c r="IQ19" i="27"/>
  <c r="IP19" i="27"/>
  <c r="IN19" i="27"/>
  <c r="IM19" i="27"/>
  <c r="IL19" i="27"/>
  <c r="IK19" i="27"/>
  <c r="IQ16" i="27"/>
  <c r="IP16" i="27"/>
  <c r="IN16" i="27"/>
  <c r="IM16" i="27"/>
  <c r="IL16" i="27"/>
  <c r="IK16" i="27"/>
  <c r="IQ13" i="27"/>
  <c r="IP13" i="27"/>
  <c r="IN13" i="27"/>
  <c r="IM13" i="27"/>
  <c r="IL13" i="27"/>
  <c r="IK13" i="27"/>
  <c r="IQ12" i="27"/>
  <c r="IP12" i="27"/>
  <c r="IN12" i="27"/>
  <c r="IM12" i="27"/>
  <c r="IL12" i="27"/>
  <c r="IK12" i="27"/>
  <c r="IQ8" i="27"/>
  <c r="IP8" i="27"/>
  <c r="IN8" i="27"/>
  <c r="IM8" i="27"/>
  <c r="IL8" i="27"/>
  <c r="IK8" i="27"/>
  <c r="IQ11" i="27"/>
  <c r="IP11" i="27"/>
  <c r="IN11" i="27"/>
  <c r="IM11" i="27"/>
  <c r="IL11" i="27"/>
  <c r="IK11" i="27"/>
  <c r="IQ10" i="27"/>
  <c r="IP10" i="27"/>
  <c r="IN10" i="27"/>
  <c r="IM10" i="27"/>
  <c r="IL10" i="27"/>
  <c r="IK10" i="27"/>
  <c r="IQ9" i="27"/>
  <c r="IP9" i="27"/>
  <c r="IN9" i="27"/>
  <c r="IM9" i="27"/>
  <c r="IL9" i="27"/>
  <c r="IK9" i="27"/>
  <c r="IQ5" i="27"/>
  <c r="IP5" i="27"/>
  <c r="IN5" i="27"/>
  <c r="IM5" i="27"/>
  <c r="IL5" i="27"/>
  <c r="IK5" i="27"/>
  <c r="IQ7" i="27"/>
  <c r="IP7" i="27"/>
  <c r="IN7" i="27"/>
  <c r="IM7" i="27"/>
  <c r="IL7" i="27"/>
  <c r="IK7" i="27"/>
  <c r="IQ6" i="27"/>
  <c r="IP6" i="27"/>
  <c r="IN6" i="27"/>
  <c r="IM6" i="27"/>
  <c r="IL6" i="27"/>
  <c r="IK6" i="27"/>
  <c r="IQ4" i="27"/>
  <c r="IP4" i="27"/>
  <c r="IN4" i="27"/>
  <c r="IM4" i="27"/>
  <c r="IL4" i="27"/>
  <c r="IK4" i="27"/>
  <c r="HO18" i="27"/>
  <c r="HN18" i="27"/>
  <c r="HL18" i="27"/>
  <c r="HK18" i="27"/>
  <c r="HJ18" i="27"/>
  <c r="HI18" i="27"/>
  <c r="HO17" i="27"/>
  <c r="HN17" i="27"/>
  <c r="HL17" i="27"/>
  <c r="HK17" i="27"/>
  <c r="HJ17" i="27"/>
  <c r="HI17" i="27"/>
  <c r="HO14" i="27"/>
  <c r="HN14" i="27"/>
  <c r="HL14" i="27"/>
  <c r="HK14" i="27"/>
  <c r="HJ14" i="27"/>
  <c r="HI14" i="27"/>
  <c r="HO15" i="27"/>
  <c r="HN15" i="27"/>
  <c r="HL15" i="27"/>
  <c r="HK15" i="27"/>
  <c r="HJ15" i="27"/>
  <c r="HI15" i="27"/>
  <c r="HO19" i="27"/>
  <c r="HN19" i="27"/>
  <c r="HL19" i="27"/>
  <c r="HK19" i="27"/>
  <c r="HJ19" i="27"/>
  <c r="HI19" i="27"/>
  <c r="HO16" i="27"/>
  <c r="HN16" i="27"/>
  <c r="HL16" i="27"/>
  <c r="HK16" i="27"/>
  <c r="HJ16" i="27"/>
  <c r="HI16" i="27"/>
  <c r="HO13" i="27"/>
  <c r="HN13" i="27"/>
  <c r="HL13" i="27"/>
  <c r="HK13" i="27"/>
  <c r="HJ13" i="27"/>
  <c r="HI13" i="27"/>
  <c r="HO12" i="27"/>
  <c r="HN12" i="27"/>
  <c r="HL12" i="27"/>
  <c r="HK12" i="27"/>
  <c r="HJ12" i="27"/>
  <c r="HI12" i="27"/>
  <c r="HO8" i="27"/>
  <c r="HN8" i="27"/>
  <c r="HL8" i="27"/>
  <c r="HK8" i="27"/>
  <c r="HJ8" i="27"/>
  <c r="HI8" i="27"/>
  <c r="HO11" i="27"/>
  <c r="HN11" i="27"/>
  <c r="HL11" i="27"/>
  <c r="HK11" i="27"/>
  <c r="HJ11" i="27"/>
  <c r="HI11" i="27"/>
  <c r="HO10" i="27"/>
  <c r="HN10" i="27"/>
  <c r="HL10" i="27"/>
  <c r="HK10" i="27"/>
  <c r="HJ10" i="27"/>
  <c r="HI10" i="27"/>
  <c r="HO9" i="27"/>
  <c r="HN9" i="27"/>
  <c r="HL9" i="27"/>
  <c r="HK9" i="27"/>
  <c r="HJ9" i="27"/>
  <c r="HI9" i="27"/>
  <c r="HO5" i="27"/>
  <c r="HN5" i="27"/>
  <c r="HL5" i="27"/>
  <c r="HK5" i="27"/>
  <c r="HJ5" i="27"/>
  <c r="HI5" i="27"/>
  <c r="HO7" i="27"/>
  <c r="HN7" i="27"/>
  <c r="HL7" i="27"/>
  <c r="HK7" i="27"/>
  <c r="HJ7" i="27"/>
  <c r="HI7" i="27"/>
  <c r="HO6" i="27"/>
  <c r="HN6" i="27"/>
  <c r="HL6" i="27"/>
  <c r="HK6" i="27"/>
  <c r="HJ6" i="27"/>
  <c r="HI6" i="27"/>
  <c r="HO4" i="27"/>
  <c r="HN4" i="27"/>
  <c r="HL4" i="27"/>
  <c r="HK4" i="27"/>
  <c r="HJ4" i="27"/>
  <c r="HI4" i="27"/>
  <c r="GM18" i="27"/>
  <c r="GL18" i="27"/>
  <c r="GJ18" i="27"/>
  <c r="GI18" i="27"/>
  <c r="GH18" i="27"/>
  <c r="GG18" i="27"/>
  <c r="GM17" i="27"/>
  <c r="GL17" i="27"/>
  <c r="GJ17" i="27"/>
  <c r="GI17" i="27"/>
  <c r="GH17" i="27"/>
  <c r="GG17" i="27"/>
  <c r="GM14" i="27"/>
  <c r="GL14" i="27"/>
  <c r="GJ14" i="27"/>
  <c r="GI14" i="27"/>
  <c r="GH14" i="27"/>
  <c r="GG14" i="27"/>
  <c r="GM15" i="27"/>
  <c r="GL15" i="27"/>
  <c r="GJ15" i="27"/>
  <c r="GI15" i="27"/>
  <c r="GH15" i="27"/>
  <c r="GG15" i="27"/>
  <c r="GM19" i="27"/>
  <c r="GL19" i="27"/>
  <c r="GJ19" i="27"/>
  <c r="GI19" i="27"/>
  <c r="GH19" i="27"/>
  <c r="GG19" i="27"/>
  <c r="GM16" i="27"/>
  <c r="GL16" i="27"/>
  <c r="GJ16" i="27"/>
  <c r="GI16" i="27"/>
  <c r="GH16" i="27"/>
  <c r="GG16" i="27"/>
  <c r="GM13" i="27"/>
  <c r="GL13" i="27"/>
  <c r="GJ13" i="27"/>
  <c r="GI13" i="27"/>
  <c r="GH13" i="27"/>
  <c r="GG13" i="27"/>
  <c r="GM12" i="27"/>
  <c r="GL12" i="27"/>
  <c r="GJ12" i="27"/>
  <c r="GI12" i="27"/>
  <c r="GH12" i="27"/>
  <c r="GG12" i="27"/>
  <c r="GM8" i="27"/>
  <c r="GL8" i="27"/>
  <c r="GJ8" i="27"/>
  <c r="GI8" i="27"/>
  <c r="GH8" i="27"/>
  <c r="GG8" i="27"/>
  <c r="GM11" i="27"/>
  <c r="GL11" i="27"/>
  <c r="GJ11" i="27"/>
  <c r="GI11" i="27"/>
  <c r="GH11" i="27"/>
  <c r="GG11" i="27"/>
  <c r="GM10" i="27"/>
  <c r="GL10" i="27"/>
  <c r="GJ10" i="27"/>
  <c r="GI10" i="27"/>
  <c r="GH10" i="27"/>
  <c r="GG10" i="27"/>
  <c r="GM9" i="27"/>
  <c r="GL9" i="27"/>
  <c r="GJ9" i="27"/>
  <c r="GI9" i="27"/>
  <c r="GH9" i="27"/>
  <c r="GG9" i="27"/>
  <c r="GM5" i="27"/>
  <c r="GL5" i="27"/>
  <c r="GJ5" i="27"/>
  <c r="GI5" i="27"/>
  <c r="GH5" i="27"/>
  <c r="GG5" i="27"/>
  <c r="GM7" i="27"/>
  <c r="GL7" i="27"/>
  <c r="GJ7" i="27"/>
  <c r="GI7" i="27"/>
  <c r="GH7" i="27"/>
  <c r="GG7" i="27"/>
  <c r="GM6" i="27"/>
  <c r="GL6" i="27"/>
  <c r="GJ6" i="27"/>
  <c r="GI6" i="27"/>
  <c r="GH6" i="27"/>
  <c r="GG6" i="27"/>
  <c r="GM4" i="27"/>
  <c r="GL4" i="27"/>
  <c r="GJ4" i="27"/>
  <c r="GI4" i="27"/>
  <c r="GH4" i="27"/>
  <c r="GG4" i="27"/>
  <c r="FK18" i="27"/>
  <c r="FJ18" i="27"/>
  <c r="FH18" i="27"/>
  <c r="FG18" i="27"/>
  <c r="FF18" i="27"/>
  <c r="FE18" i="27"/>
  <c r="FK17" i="27"/>
  <c r="FJ17" i="27"/>
  <c r="FH17" i="27"/>
  <c r="FG17" i="27"/>
  <c r="FF17" i="27"/>
  <c r="FE17" i="27"/>
  <c r="FK14" i="27"/>
  <c r="FJ14" i="27"/>
  <c r="FH14" i="27"/>
  <c r="FG14" i="27"/>
  <c r="FF14" i="27"/>
  <c r="FE14" i="27"/>
  <c r="FK15" i="27"/>
  <c r="FJ15" i="27"/>
  <c r="FH15" i="27"/>
  <c r="FG15" i="27"/>
  <c r="FF15" i="27"/>
  <c r="FE15" i="27"/>
  <c r="FK19" i="27"/>
  <c r="FJ19" i="27"/>
  <c r="FH19" i="27"/>
  <c r="FG19" i="27"/>
  <c r="FF19" i="27"/>
  <c r="FE19" i="27"/>
  <c r="FK16" i="27"/>
  <c r="FJ16" i="27"/>
  <c r="FH16" i="27"/>
  <c r="FG16" i="27"/>
  <c r="FF16" i="27"/>
  <c r="FE16" i="27"/>
  <c r="FK13" i="27"/>
  <c r="FJ13" i="27"/>
  <c r="FH13" i="27"/>
  <c r="FG13" i="27"/>
  <c r="FF13" i="27"/>
  <c r="FE13" i="27"/>
  <c r="FK12" i="27"/>
  <c r="FJ12" i="27"/>
  <c r="FH12" i="27"/>
  <c r="FG12" i="27"/>
  <c r="FF12" i="27"/>
  <c r="FE12" i="27"/>
  <c r="FK8" i="27"/>
  <c r="FJ8" i="27"/>
  <c r="FH8" i="27"/>
  <c r="FG8" i="27"/>
  <c r="FF8" i="27"/>
  <c r="FE8" i="27"/>
  <c r="FK11" i="27"/>
  <c r="FJ11" i="27"/>
  <c r="FH11" i="27"/>
  <c r="FG11" i="27"/>
  <c r="FF11" i="27"/>
  <c r="FE11" i="27"/>
  <c r="FK10" i="27"/>
  <c r="FJ10" i="27"/>
  <c r="FH10" i="27"/>
  <c r="FG10" i="27"/>
  <c r="FF10" i="27"/>
  <c r="FE10" i="27"/>
  <c r="FK9" i="27"/>
  <c r="FJ9" i="27"/>
  <c r="FH9" i="27"/>
  <c r="FG9" i="27"/>
  <c r="FF9" i="27"/>
  <c r="FE9" i="27"/>
  <c r="FK5" i="27"/>
  <c r="FJ5" i="27"/>
  <c r="FH5" i="27"/>
  <c r="FG5" i="27"/>
  <c r="FF5" i="27"/>
  <c r="FE5" i="27"/>
  <c r="FK7" i="27"/>
  <c r="FJ7" i="27"/>
  <c r="FH7" i="27"/>
  <c r="FG7" i="27"/>
  <c r="FF7" i="27"/>
  <c r="FE7" i="27"/>
  <c r="FK6" i="27"/>
  <c r="FJ6" i="27"/>
  <c r="FH6" i="27"/>
  <c r="FG6" i="27"/>
  <c r="FF6" i="27"/>
  <c r="FE6" i="27"/>
  <c r="FK4" i="27"/>
  <c r="FJ4" i="27"/>
  <c r="FH4" i="27"/>
  <c r="FG4" i="27"/>
  <c r="FF4" i="27"/>
  <c r="FE4" i="27"/>
  <c r="EI18" i="27"/>
  <c r="EH18" i="27"/>
  <c r="EF18" i="27"/>
  <c r="EE18" i="27"/>
  <c r="ED18" i="27"/>
  <c r="EC18" i="27"/>
  <c r="EI17" i="27"/>
  <c r="EH17" i="27"/>
  <c r="EF17" i="27"/>
  <c r="EE17" i="27"/>
  <c r="ED17" i="27"/>
  <c r="EC17" i="27"/>
  <c r="EI14" i="27"/>
  <c r="EH14" i="27"/>
  <c r="EF14" i="27"/>
  <c r="EE14" i="27"/>
  <c r="ED14" i="27"/>
  <c r="EC14" i="27"/>
  <c r="EI15" i="27"/>
  <c r="EH15" i="27"/>
  <c r="EF15" i="27"/>
  <c r="EE15" i="27"/>
  <c r="ED15" i="27"/>
  <c r="EC15" i="27"/>
  <c r="EI19" i="27"/>
  <c r="EH19" i="27"/>
  <c r="EF19" i="27"/>
  <c r="EE19" i="27"/>
  <c r="ED19" i="27"/>
  <c r="EC19" i="27"/>
  <c r="EI16" i="27"/>
  <c r="EH16" i="27"/>
  <c r="EF16" i="27"/>
  <c r="EE16" i="27"/>
  <c r="ED16" i="27"/>
  <c r="EC16" i="27"/>
  <c r="EI13" i="27"/>
  <c r="EH13" i="27"/>
  <c r="EF13" i="27"/>
  <c r="EE13" i="27"/>
  <c r="ED13" i="27"/>
  <c r="EC13" i="27"/>
  <c r="EI12" i="27"/>
  <c r="EH12" i="27"/>
  <c r="EF12" i="27"/>
  <c r="EE12" i="27"/>
  <c r="ED12" i="27"/>
  <c r="EC12" i="27"/>
  <c r="EI8" i="27"/>
  <c r="EH8" i="27"/>
  <c r="EF8" i="27"/>
  <c r="EE8" i="27"/>
  <c r="ED8" i="27"/>
  <c r="EC8" i="27"/>
  <c r="EI11" i="27"/>
  <c r="EH11" i="27"/>
  <c r="EF11" i="27"/>
  <c r="EE11" i="27"/>
  <c r="ED11" i="27"/>
  <c r="EC11" i="27"/>
  <c r="EI10" i="27"/>
  <c r="EH10" i="27"/>
  <c r="EF10" i="27"/>
  <c r="EE10" i="27"/>
  <c r="ED10" i="27"/>
  <c r="EC10" i="27"/>
  <c r="EI9" i="27"/>
  <c r="EH9" i="27"/>
  <c r="EF9" i="27"/>
  <c r="EE9" i="27"/>
  <c r="ED9" i="27"/>
  <c r="EC9" i="27"/>
  <c r="EI5" i="27"/>
  <c r="EH5" i="27"/>
  <c r="EF5" i="27"/>
  <c r="EE5" i="27"/>
  <c r="ED5" i="27"/>
  <c r="EC5" i="27"/>
  <c r="EI7" i="27"/>
  <c r="EH7" i="27"/>
  <c r="EF7" i="27"/>
  <c r="EE7" i="27"/>
  <c r="ED7" i="27"/>
  <c r="EC7" i="27"/>
  <c r="EI6" i="27"/>
  <c r="EH6" i="27"/>
  <c r="EF6" i="27"/>
  <c r="EE6" i="27"/>
  <c r="ED6" i="27"/>
  <c r="EC6" i="27"/>
  <c r="EI4" i="27"/>
  <c r="EH4" i="27"/>
  <c r="EF4" i="27"/>
  <c r="EE4" i="27"/>
  <c r="ED4" i="27"/>
  <c r="EC4" i="27"/>
  <c r="PC21" i="26"/>
  <c r="PB21" i="26"/>
  <c r="OZ21" i="26"/>
  <c r="OY21" i="26"/>
  <c r="OX21" i="26"/>
  <c r="OW21" i="26"/>
  <c r="PC17" i="26"/>
  <c r="PB17" i="26"/>
  <c r="OZ17" i="26"/>
  <c r="OY17" i="26"/>
  <c r="OX17" i="26"/>
  <c r="OW17" i="26"/>
  <c r="PC20" i="26"/>
  <c r="PB20" i="26"/>
  <c r="OZ20" i="26"/>
  <c r="OY20" i="26"/>
  <c r="OX20" i="26"/>
  <c r="OW20" i="26"/>
  <c r="PC15" i="26"/>
  <c r="PB15" i="26"/>
  <c r="OZ15" i="26"/>
  <c r="OY15" i="26"/>
  <c r="OX15" i="26"/>
  <c r="OW15" i="26"/>
  <c r="PC18" i="26"/>
  <c r="PB18" i="26"/>
  <c r="OZ18" i="26"/>
  <c r="OY18" i="26"/>
  <c r="OX18" i="26"/>
  <c r="PD18" i="26" s="1"/>
  <c r="OW18" i="26"/>
  <c r="PC16" i="26"/>
  <c r="PB16" i="26"/>
  <c r="OZ16" i="26"/>
  <c r="OY16" i="26"/>
  <c r="OX16" i="26"/>
  <c r="OW16" i="26"/>
  <c r="PC14" i="26"/>
  <c r="PB14" i="26"/>
  <c r="OZ14" i="26"/>
  <c r="OY14" i="26"/>
  <c r="OX14" i="26"/>
  <c r="OW14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13" i="26"/>
  <c r="PB13" i="26"/>
  <c r="OZ13" i="26"/>
  <c r="OY13" i="26"/>
  <c r="OX13" i="26"/>
  <c r="OW13" i="26"/>
  <c r="PC11" i="26"/>
  <c r="PB11" i="26"/>
  <c r="OZ11" i="26"/>
  <c r="OY11" i="26"/>
  <c r="OX11" i="26"/>
  <c r="OW11" i="26"/>
  <c r="PC12" i="26"/>
  <c r="PB12" i="26"/>
  <c r="OZ12" i="26"/>
  <c r="OY12" i="26"/>
  <c r="OX12" i="26"/>
  <c r="OW12" i="26"/>
  <c r="PC9" i="26"/>
  <c r="PB9" i="26"/>
  <c r="OZ9" i="26"/>
  <c r="OY9" i="26"/>
  <c r="OX9" i="26"/>
  <c r="OW9" i="26"/>
  <c r="PC10" i="26"/>
  <c r="PB10" i="26"/>
  <c r="OZ10" i="26"/>
  <c r="OY10" i="26"/>
  <c r="OX10" i="26"/>
  <c r="OW10" i="26"/>
  <c r="PC8" i="26"/>
  <c r="PB8" i="26"/>
  <c r="OZ8" i="26"/>
  <c r="OY8" i="26"/>
  <c r="OX8" i="26"/>
  <c r="OW8" i="26"/>
  <c r="PC4" i="26"/>
  <c r="PB4" i="26"/>
  <c r="OZ4" i="26"/>
  <c r="OY4" i="26"/>
  <c r="OX4" i="26"/>
  <c r="OW4" i="26"/>
  <c r="PC5" i="26"/>
  <c r="PB5" i="26"/>
  <c r="OZ5" i="26"/>
  <c r="OY5" i="26"/>
  <c r="OX5" i="26"/>
  <c r="OW5" i="26"/>
  <c r="OA21" i="26"/>
  <c r="NZ21" i="26"/>
  <c r="NX21" i="26"/>
  <c r="NW21" i="26"/>
  <c r="NV21" i="26"/>
  <c r="NU21" i="26"/>
  <c r="OA17" i="26"/>
  <c r="NZ17" i="26"/>
  <c r="NX17" i="26"/>
  <c r="NW17" i="26"/>
  <c r="NV17" i="26"/>
  <c r="NU17" i="26"/>
  <c r="OA20" i="26"/>
  <c r="NZ20" i="26"/>
  <c r="NX20" i="26"/>
  <c r="NW20" i="26"/>
  <c r="NV20" i="26"/>
  <c r="NU20" i="26"/>
  <c r="OA15" i="26"/>
  <c r="NZ15" i="26"/>
  <c r="NX15" i="26"/>
  <c r="NW15" i="26"/>
  <c r="NV15" i="26"/>
  <c r="NU15" i="26"/>
  <c r="OA18" i="26"/>
  <c r="NZ18" i="26"/>
  <c r="NX18" i="26"/>
  <c r="NW18" i="26"/>
  <c r="NV18" i="26"/>
  <c r="NU18" i="26"/>
  <c r="OA16" i="26"/>
  <c r="NZ16" i="26"/>
  <c r="NX16" i="26"/>
  <c r="NW16" i="26"/>
  <c r="NV16" i="26"/>
  <c r="NU16" i="26"/>
  <c r="OA14" i="26"/>
  <c r="NZ14" i="26"/>
  <c r="NX14" i="26"/>
  <c r="NW14" i="26"/>
  <c r="NV14" i="26"/>
  <c r="NU14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13" i="26"/>
  <c r="NZ13" i="26"/>
  <c r="NX13" i="26"/>
  <c r="NW13" i="26"/>
  <c r="NV13" i="26"/>
  <c r="NU13" i="26"/>
  <c r="OA11" i="26"/>
  <c r="NZ11" i="26"/>
  <c r="NX11" i="26"/>
  <c r="NW11" i="26"/>
  <c r="NV11" i="26"/>
  <c r="NU11" i="26"/>
  <c r="OA12" i="26"/>
  <c r="NZ12" i="26"/>
  <c r="NX12" i="26"/>
  <c r="NW12" i="26"/>
  <c r="NV12" i="26"/>
  <c r="NU12" i="26"/>
  <c r="OA9" i="26"/>
  <c r="NZ9" i="26"/>
  <c r="NX9" i="26"/>
  <c r="NW9" i="26"/>
  <c r="NV9" i="26"/>
  <c r="NU9" i="26"/>
  <c r="OA10" i="26"/>
  <c r="NZ10" i="26"/>
  <c r="NX10" i="26"/>
  <c r="NW10" i="26"/>
  <c r="NV10" i="26"/>
  <c r="NU10" i="26"/>
  <c r="OA8" i="26"/>
  <c r="NZ8" i="26"/>
  <c r="NX8" i="26"/>
  <c r="NW8" i="26"/>
  <c r="NV8" i="26"/>
  <c r="NU8" i="26"/>
  <c r="OA4" i="26"/>
  <c r="NZ4" i="26"/>
  <c r="NX4" i="26"/>
  <c r="NW4" i="26"/>
  <c r="NV4" i="26"/>
  <c r="NU4" i="26"/>
  <c r="OA5" i="26"/>
  <c r="NZ5" i="26"/>
  <c r="NX5" i="26"/>
  <c r="NW5" i="26"/>
  <c r="NV5" i="26"/>
  <c r="NU5" i="26"/>
  <c r="MY21" i="26"/>
  <c r="MX21" i="26"/>
  <c r="MV21" i="26"/>
  <c r="MU21" i="26"/>
  <c r="MT21" i="26"/>
  <c r="MS21" i="26"/>
  <c r="MY17" i="26"/>
  <c r="MX17" i="26"/>
  <c r="MV17" i="26"/>
  <c r="MU17" i="26"/>
  <c r="MT17" i="26"/>
  <c r="MS17" i="26"/>
  <c r="MY20" i="26"/>
  <c r="MX20" i="26"/>
  <c r="MV20" i="26"/>
  <c r="MU20" i="26"/>
  <c r="MT20" i="26"/>
  <c r="MS20" i="26"/>
  <c r="MY15" i="26"/>
  <c r="MX15" i="26"/>
  <c r="MV15" i="26"/>
  <c r="MU15" i="26"/>
  <c r="MT15" i="26"/>
  <c r="MS15" i="26"/>
  <c r="MY18" i="26"/>
  <c r="MX18" i="26"/>
  <c r="MV18" i="26"/>
  <c r="MU18" i="26"/>
  <c r="MT18" i="26"/>
  <c r="MS18" i="26"/>
  <c r="MY16" i="26"/>
  <c r="MX16" i="26"/>
  <c r="MV16" i="26"/>
  <c r="MU16" i="26"/>
  <c r="MT16" i="26"/>
  <c r="MS16" i="26"/>
  <c r="MY14" i="26"/>
  <c r="MX14" i="26"/>
  <c r="MV14" i="26"/>
  <c r="MU14" i="26"/>
  <c r="MT14" i="26"/>
  <c r="MS14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13" i="26"/>
  <c r="MX13" i="26"/>
  <c r="MV13" i="26"/>
  <c r="MU13" i="26"/>
  <c r="MT13" i="26"/>
  <c r="MS13" i="26"/>
  <c r="MY11" i="26"/>
  <c r="MX11" i="26"/>
  <c r="MV11" i="26"/>
  <c r="MU11" i="26"/>
  <c r="MT11" i="26"/>
  <c r="MS11" i="26"/>
  <c r="MY12" i="26"/>
  <c r="MX12" i="26"/>
  <c r="MV12" i="26"/>
  <c r="MU12" i="26"/>
  <c r="MT12" i="26"/>
  <c r="MS12" i="26"/>
  <c r="MY9" i="26"/>
  <c r="MX9" i="26"/>
  <c r="MV9" i="26"/>
  <c r="MU9" i="26"/>
  <c r="MT9" i="26"/>
  <c r="MS9" i="26"/>
  <c r="MY10" i="26"/>
  <c r="MX10" i="26"/>
  <c r="MV10" i="26"/>
  <c r="MU10" i="26"/>
  <c r="MT10" i="26"/>
  <c r="MS10" i="26"/>
  <c r="MY8" i="26"/>
  <c r="MX8" i="26"/>
  <c r="MV8" i="26"/>
  <c r="MU8" i="26"/>
  <c r="MT8" i="26"/>
  <c r="MS8" i="26"/>
  <c r="MY4" i="26"/>
  <c r="MX4" i="26"/>
  <c r="MV4" i="26"/>
  <c r="MU4" i="26"/>
  <c r="MT4" i="26"/>
  <c r="MS4" i="26"/>
  <c r="MY5" i="26"/>
  <c r="MX5" i="26"/>
  <c r="MV5" i="26"/>
  <c r="MU5" i="26"/>
  <c r="MT5" i="26"/>
  <c r="MS5" i="26"/>
  <c r="LW21" i="26"/>
  <c r="LV21" i="26"/>
  <c r="LT21" i="26"/>
  <c r="LS21" i="26"/>
  <c r="LR21" i="26"/>
  <c r="LQ21" i="26"/>
  <c r="LW17" i="26"/>
  <c r="LV17" i="26"/>
  <c r="LT17" i="26"/>
  <c r="LS17" i="26"/>
  <c r="LR17" i="26"/>
  <c r="LQ17" i="26"/>
  <c r="LW20" i="26"/>
  <c r="LV20" i="26"/>
  <c r="LT20" i="26"/>
  <c r="LS20" i="26"/>
  <c r="LR20" i="26"/>
  <c r="LQ20" i="26"/>
  <c r="LW15" i="26"/>
  <c r="LV15" i="26"/>
  <c r="LT15" i="26"/>
  <c r="LS15" i="26"/>
  <c r="LR15" i="26"/>
  <c r="LQ15" i="26"/>
  <c r="LW18" i="26"/>
  <c r="LV18" i="26"/>
  <c r="LT18" i="26"/>
  <c r="LS18" i="26"/>
  <c r="LR18" i="26"/>
  <c r="LQ18" i="26"/>
  <c r="LW16" i="26"/>
  <c r="LV16" i="26"/>
  <c r="LT16" i="26"/>
  <c r="LS16" i="26"/>
  <c r="LR16" i="26"/>
  <c r="LQ16" i="26"/>
  <c r="LW14" i="26"/>
  <c r="LV14" i="26"/>
  <c r="LT14" i="26"/>
  <c r="LS14" i="26"/>
  <c r="LR14" i="26"/>
  <c r="LQ14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13" i="26"/>
  <c r="LV13" i="26"/>
  <c r="LT13" i="26"/>
  <c r="LS13" i="26"/>
  <c r="LR13" i="26"/>
  <c r="LQ13" i="26"/>
  <c r="LW11" i="26"/>
  <c r="LV11" i="26"/>
  <c r="LT11" i="26"/>
  <c r="LS11" i="26"/>
  <c r="LR11" i="26"/>
  <c r="LQ11" i="26"/>
  <c r="LW12" i="26"/>
  <c r="LV12" i="26"/>
  <c r="LT12" i="26"/>
  <c r="LS12" i="26"/>
  <c r="LR12" i="26"/>
  <c r="LQ12" i="26"/>
  <c r="LW9" i="26"/>
  <c r="LV9" i="26"/>
  <c r="LT9" i="26"/>
  <c r="LS9" i="26"/>
  <c r="LR9" i="26"/>
  <c r="LQ9" i="26"/>
  <c r="LW10" i="26"/>
  <c r="LV10" i="26"/>
  <c r="LT10" i="26"/>
  <c r="LS10" i="26"/>
  <c r="LR10" i="26"/>
  <c r="LQ10" i="26"/>
  <c r="LW8" i="26"/>
  <c r="LV8" i="26"/>
  <c r="LT8" i="26"/>
  <c r="LS8" i="26"/>
  <c r="LR8" i="26"/>
  <c r="LQ8" i="26"/>
  <c r="LW4" i="26"/>
  <c r="LV4" i="26"/>
  <c r="LT4" i="26"/>
  <c r="LS4" i="26"/>
  <c r="LR4" i="26"/>
  <c r="LQ4" i="26"/>
  <c r="LW5" i="26"/>
  <c r="LV5" i="26"/>
  <c r="LT5" i="26"/>
  <c r="LS5" i="26"/>
  <c r="LR5" i="26"/>
  <c r="LQ5" i="26"/>
  <c r="KU21" i="26"/>
  <c r="KT21" i="26"/>
  <c r="KR21" i="26"/>
  <c r="KQ21" i="26"/>
  <c r="KP21" i="26"/>
  <c r="KO21" i="26"/>
  <c r="KU17" i="26"/>
  <c r="KT17" i="26"/>
  <c r="KR17" i="26"/>
  <c r="KQ17" i="26"/>
  <c r="KP17" i="26"/>
  <c r="KO17" i="26"/>
  <c r="KU20" i="26"/>
  <c r="KT20" i="26"/>
  <c r="KR20" i="26"/>
  <c r="KQ20" i="26"/>
  <c r="KP20" i="26"/>
  <c r="KO20" i="26"/>
  <c r="KU15" i="26"/>
  <c r="KT15" i="26"/>
  <c r="KR15" i="26"/>
  <c r="KQ15" i="26"/>
  <c r="KP15" i="26"/>
  <c r="KO15" i="26"/>
  <c r="KU18" i="26"/>
  <c r="KT18" i="26"/>
  <c r="KR18" i="26"/>
  <c r="KQ18" i="26"/>
  <c r="KP18" i="26"/>
  <c r="KO18" i="26"/>
  <c r="KU16" i="26"/>
  <c r="KT16" i="26"/>
  <c r="KR16" i="26"/>
  <c r="KQ16" i="26"/>
  <c r="KP16" i="26"/>
  <c r="KO16" i="26"/>
  <c r="KU14" i="26"/>
  <c r="KT14" i="26"/>
  <c r="KR14" i="26"/>
  <c r="KQ14" i="26"/>
  <c r="KP14" i="26"/>
  <c r="KO14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13" i="26"/>
  <c r="KT13" i="26"/>
  <c r="KR13" i="26"/>
  <c r="KQ13" i="26"/>
  <c r="KP13" i="26"/>
  <c r="KO13" i="26"/>
  <c r="KU11" i="26"/>
  <c r="KT11" i="26"/>
  <c r="KR11" i="26"/>
  <c r="KQ11" i="26"/>
  <c r="KP11" i="26"/>
  <c r="KO11" i="26"/>
  <c r="KU12" i="26"/>
  <c r="KT12" i="26"/>
  <c r="KR12" i="26"/>
  <c r="KQ12" i="26"/>
  <c r="KP12" i="26"/>
  <c r="KO12" i="26"/>
  <c r="KU9" i="26"/>
  <c r="KT9" i="26"/>
  <c r="KR9" i="26"/>
  <c r="KQ9" i="26"/>
  <c r="KP9" i="26"/>
  <c r="KO9" i="26"/>
  <c r="KU10" i="26"/>
  <c r="KT10" i="26"/>
  <c r="KR10" i="26"/>
  <c r="KQ10" i="26"/>
  <c r="KP10" i="26"/>
  <c r="KO10" i="26"/>
  <c r="KU8" i="26"/>
  <c r="KT8" i="26"/>
  <c r="KR8" i="26"/>
  <c r="KQ8" i="26"/>
  <c r="KP8" i="26"/>
  <c r="KO8" i="26"/>
  <c r="KU4" i="26"/>
  <c r="KT4" i="26"/>
  <c r="KR4" i="26"/>
  <c r="KQ4" i="26"/>
  <c r="KP4" i="26"/>
  <c r="KO4" i="26"/>
  <c r="KU5" i="26"/>
  <c r="KT5" i="26"/>
  <c r="KR5" i="26"/>
  <c r="KQ5" i="26"/>
  <c r="KP5" i="26"/>
  <c r="KO5" i="26"/>
  <c r="JS21" i="26"/>
  <c r="JR21" i="26"/>
  <c r="JP21" i="26"/>
  <c r="JO21" i="26"/>
  <c r="JN21" i="26"/>
  <c r="JM21" i="26"/>
  <c r="JS17" i="26"/>
  <c r="JR17" i="26"/>
  <c r="JP17" i="26"/>
  <c r="JO17" i="26"/>
  <c r="JN17" i="26"/>
  <c r="JM17" i="26"/>
  <c r="JS20" i="26"/>
  <c r="JR20" i="26"/>
  <c r="JP20" i="26"/>
  <c r="JO20" i="26"/>
  <c r="JN20" i="26"/>
  <c r="JM20" i="26"/>
  <c r="JS15" i="26"/>
  <c r="JR15" i="26"/>
  <c r="JP15" i="26"/>
  <c r="JO15" i="26"/>
  <c r="JN15" i="26"/>
  <c r="JM15" i="26"/>
  <c r="JS18" i="26"/>
  <c r="JR18" i="26"/>
  <c r="JP18" i="26"/>
  <c r="JO18" i="26"/>
  <c r="JN18" i="26"/>
  <c r="JM18" i="26"/>
  <c r="JS16" i="26"/>
  <c r="JR16" i="26"/>
  <c r="JP16" i="26"/>
  <c r="JO16" i="26"/>
  <c r="JN16" i="26"/>
  <c r="JM16" i="26"/>
  <c r="JS14" i="26"/>
  <c r="JR14" i="26"/>
  <c r="JP14" i="26"/>
  <c r="JO14" i="26"/>
  <c r="JN14" i="26"/>
  <c r="JM14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13" i="26"/>
  <c r="JR13" i="26"/>
  <c r="JP13" i="26"/>
  <c r="JO13" i="26"/>
  <c r="JN13" i="26"/>
  <c r="JM13" i="26"/>
  <c r="JS11" i="26"/>
  <c r="JR11" i="26"/>
  <c r="JP11" i="26"/>
  <c r="JO11" i="26"/>
  <c r="JN11" i="26"/>
  <c r="JM11" i="26"/>
  <c r="JS12" i="26"/>
  <c r="JR12" i="26"/>
  <c r="JP12" i="26"/>
  <c r="JO12" i="26"/>
  <c r="JN12" i="26"/>
  <c r="JM12" i="26"/>
  <c r="JS9" i="26"/>
  <c r="JR9" i="26"/>
  <c r="JP9" i="26"/>
  <c r="JO9" i="26"/>
  <c r="JN9" i="26"/>
  <c r="JM9" i="26"/>
  <c r="JS10" i="26"/>
  <c r="JR10" i="26"/>
  <c r="JP10" i="26"/>
  <c r="JO10" i="26"/>
  <c r="JN10" i="26"/>
  <c r="JM10" i="26"/>
  <c r="JS8" i="26"/>
  <c r="JR8" i="26"/>
  <c r="JP8" i="26"/>
  <c r="JO8" i="26"/>
  <c r="JN8" i="26"/>
  <c r="JM8" i="26"/>
  <c r="JS4" i="26"/>
  <c r="JR4" i="26"/>
  <c r="JP4" i="26"/>
  <c r="JO4" i="26"/>
  <c r="JN4" i="26"/>
  <c r="JM4" i="26"/>
  <c r="JS5" i="26"/>
  <c r="JR5" i="26"/>
  <c r="JP5" i="26"/>
  <c r="JO5" i="26"/>
  <c r="JN5" i="26"/>
  <c r="JM5" i="26"/>
  <c r="IQ21" i="26"/>
  <c r="IP21" i="26"/>
  <c r="IN21" i="26"/>
  <c r="IM21" i="26"/>
  <c r="IL21" i="26"/>
  <c r="IK21" i="26"/>
  <c r="IQ17" i="26"/>
  <c r="IP17" i="26"/>
  <c r="IN17" i="26"/>
  <c r="IM17" i="26"/>
  <c r="IL17" i="26"/>
  <c r="IK17" i="26"/>
  <c r="IQ20" i="26"/>
  <c r="IP20" i="26"/>
  <c r="IN20" i="26"/>
  <c r="IM20" i="26"/>
  <c r="IL20" i="26"/>
  <c r="IK20" i="26"/>
  <c r="IQ15" i="26"/>
  <c r="IP15" i="26"/>
  <c r="IN15" i="26"/>
  <c r="IM15" i="26"/>
  <c r="IL15" i="26"/>
  <c r="IK15" i="26"/>
  <c r="IQ18" i="26"/>
  <c r="IP18" i="26"/>
  <c r="IN18" i="26"/>
  <c r="IM18" i="26"/>
  <c r="IL18" i="26"/>
  <c r="IK18" i="26"/>
  <c r="IQ16" i="26"/>
  <c r="IP16" i="26"/>
  <c r="IN16" i="26"/>
  <c r="IM16" i="26"/>
  <c r="IL16" i="26"/>
  <c r="IK16" i="26"/>
  <c r="IQ14" i="26"/>
  <c r="IP14" i="26"/>
  <c r="IN14" i="26"/>
  <c r="IM14" i="26"/>
  <c r="IL14" i="26"/>
  <c r="IK14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13" i="26"/>
  <c r="IP13" i="26"/>
  <c r="IN13" i="26"/>
  <c r="IM13" i="26"/>
  <c r="IL13" i="26"/>
  <c r="IK13" i="26"/>
  <c r="IQ11" i="26"/>
  <c r="IP11" i="26"/>
  <c r="IN11" i="26"/>
  <c r="IM11" i="26"/>
  <c r="IL11" i="26"/>
  <c r="IK11" i="26"/>
  <c r="IQ12" i="26"/>
  <c r="IP12" i="26"/>
  <c r="IN12" i="26"/>
  <c r="IM12" i="26"/>
  <c r="IL12" i="26"/>
  <c r="IK12" i="26"/>
  <c r="IQ9" i="26"/>
  <c r="IP9" i="26"/>
  <c r="IN9" i="26"/>
  <c r="IM9" i="26"/>
  <c r="IL9" i="26"/>
  <c r="IK9" i="26"/>
  <c r="IQ10" i="26"/>
  <c r="IP10" i="26"/>
  <c r="IN10" i="26"/>
  <c r="IM10" i="26"/>
  <c r="IL10" i="26"/>
  <c r="IK10" i="26"/>
  <c r="IQ8" i="26"/>
  <c r="IP8" i="26"/>
  <c r="IN8" i="26"/>
  <c r="IM8" i="26"/>
  <c r="IL8" i="26"/>
  <c r="IK8" i="26"/>
  <c r="IQ4" i="26"/>
  <c r="IP4" i="26"/>
  <c r="IN4" i="26"/>
  <c r="IM4" i="26"/>
  <c r="IL4" i="26"/>
  <c r="IK4" i="26"/>
  <c r="IQ5" i="26"/>
  <c r="IP5" i="26"/>
  <c r="IN5" i="26"/>
  <c r="IM5" i="26"/>
  <c r="IL5" i="26"/>
  <c r="IK5" i="26"/>
  <c r="HO21" i="26"/>
  <c r="HN21" i="26"/>
  <c r="HL21" i="26"/>
  <c r="HK21" i="26"/>
  <c r="HJ21" i="26"/>
  <c r="HI21" i="26"/>
  <c r="HO17" i="26"/>
  <c r="HN17" i="26"/>
  <c r="HL17" i="26"/>
  <c r="HK17" i="26"/>
  <c r="HJ17" i="26"/>
  <c r="HI17" i="26"/>
  <c r="HO20" i="26"/>
  <c r="HN20" i="26"/>
  <c r="HL20" i="26"/>
  <c r="HK20" i="26"/>
  <c r="HJ20" i="26"/>
  <c r="HI20" i="26"/>
  <c r="HO15" i="26"/>
  <c r="HN15" i="26"/>
  <c r="HL15" i="26"/>
  <c r="HK15" i="26"/>
  <c r="HJ15" i="26"/>
  <c r="HI15" i="26"/>
  <c r="HO18" i="26"/>
  <c r="HN18" i="26"/>
  <c r="HL18" i="26"/>
  <c r="HK18" i="26"/>
  <c r="HJ18" i="26"/>
  <c r="HI18" i="26"/>
  <c r="HO16" i="26"/>
  <c r="HN16" i="26"/>
  <c r="HL16" i="26"/>
  <c r="HK16" i="26"/>
  <c r="HJ16" i="26"/>
  <c r="HI16" i="26"/>
  <c r="HO14" i="26"/>
  <c r="HN14" i="26"/>
  <c r="HL14" i="26"/>
  <c r="HK14" i="26"/>
  <c r="HJ14" i="26"/>
  <c r="HI14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13" i="26"/>
  <c r="HN13" i="26"/>
  <c r="HL13" i="26"/>
  <c r="HK13" i="26"/>
  <c r="HJ13" i="26"/>
  <c r="HI13" i="26"/>
  <c r="HO11" i="26"/>
  <c r="HN11" i="26"/>
  <c r="HL11" i="26"/>
  <c r="HK11" i="26"/>
  <c r="HJ11" i="26"/>
  <c r="HI11" i="26"/>
  <c r="HO12" i="26"/>
  <c r="HN12" i="26"/>
  <c r="HL12" i="26"/>
  <c r="HK12" i="26"/>
  <c r="HJ12" i="26"/>
  <c r="HI12" i="26"/>
  <c r="HO9" i="26"/>
  <c r="HN9" i="26"/>
  <c r="HL9" i="26"/>
  <c r="HK9" i="26"/>
  <c r="HJ9" i="26"/>
  <c r="HI9" i="26"/>
  <c r="HO10" i="26"/>
  <c r="HN10" i="26"/>
  <c r="HL10" i="26"/>
  <c r="HK10" i="26"/>
  <c r="HJ10" i="26"/>
  <c r="HI10" i="26"/>
  <c r="HO8" i="26"/>
  <c r="HN8" i="26"/>
  <c r="HL8" i="26"/>
  <c r="HK8" i="26"/>
  <c r="HJ8" i="26"/>
  <c r="HI8" i="26"/>
  <c r="HO4" i="26"/>
  <c r="HN4" i="26"/>
  <c r="HL4" i="26"/>
  <c r="HK4" i="26"/>
  <c r="HJ4" i="26"/>
  <c r="HI4" i="26"/>
  <c r="HO5" i="26"/>
  <c r="HN5" i="26"/>
  <c r="HL5" i="26"/>
  <c r="HK5" i="26"/>
  <c r="HJ5" i="26"/>
  <c r="HI5" i="26"/>
  <c r="GM21" i="26"/>
  <c r="GL21" i="26"/>
  <c r="GJ21" i="26"/>
  <c r="GI21" i="26"/>
  <c r="GH21" i="26"/>
  <c r="GG21" i="26"/>
  <c r="GM17" i="26"/>
  <c r="GL17" i="26"/>
  <c r="GJ17" i="26"/>
  <c r="GI17" i="26"/>
  <c r="GH17" i="26"/>
  <c r="GG17" i="26"/>
  <c r="GM20" i="26"/>
  <c r="GL20" i="26"/>
  <c r="GJ20" i="26"/>
  <c r="GI20" i="26"/>
  <c r="GH20" i="26"/>
  <c r="GG20" i="26"/>
  <c r="GM15" i="26"/>
  <c r="GL15" i="26"/>
  <c r="GJ15" i="26"/>
  <c r="GI15" i="26"/>
  <c r="GH15" i="26"/>
  <c r="GG15" i="26"/>
  <c r="GM18" i="26"/>
  <c r="GL18" i="26"/>
  <c r="GJ18" i="26"/>
  <c r="GI18" i="26"/>
  <c r="GH18" i="26"/>
  <c r="GG18" i="26"/>
  <c r="GM16" i="26"/>
  <c r="GL16" i="26"/>
  <c r="GJ16" i="26"/>
  <c r="GI16" i="26"/>
  <c r="GH16" i="26"/>
  <c r="GG16" i="26"/>
  <c r="GM14" i="26"/>
  <c r="GL14" i="26"/>
  <c r="GJ14" i="26"/>
  <c r="GI14" i="26"/>
  <c r="GH14" i="26"/>
  <c r="GG14" i="26"/>
  <c r="GM7" i="26"/>
  <c r="GL7" i="26"/>
  <c r="GJ7" i="26"/>
  <c r="GI7" i="26"/>
  <c r="GH7" i="26"/>
  <c r="GG7" i="26"/>
  <c r="GM6" i="26"/>
  <c r="GL6" i="26"/>
  <c r="GJ6" i="26"/>
  <c r="GI6" i="26"/>
  <c r="GH6" i="26"/>
  <c r="GN6" i="26" s="1"/>
  <c r="GG6" i="26"/>
  <c r="GM13" i="26"/>
  <c r="GL13" i="26"/>
  <c r="GJ13" i="26"/>
  <c r="GI13" i="26"/>
  <c r="GH13" i="26"/>
  <c r="GG13" i="26"/>
  <c r="GM11" i="26"/>
  <c r="GL11" i="26"/>
  <c r="GJ11" i="26"/>
  <c r="GI11" i="26"/>
  <c r="GH11" i="26"/>
  <c r="GG11" i="26"/>
  <c r="GM12" i="26"/>
  <c r="GL12" i="26"/>
  <c r="GJ12" i="26"/>
  <c r="GI12" i="26"/>
  <c r="GH12" i="26"/>
  <c r="GG12" i="26"/>
  <c r="GM9" i="26"/>
  <c r="GL9" i="26"/>
  <c r="GJ9" i="26"/>
  <c r="GI9" i="26"/>
  <c r="GH9" i="26"/>
  <c r="GN9" i="26" s="1"/>
  <c r="GG9" i="26"/>
  <c r="GM10" i="26"/>
  <c r="GL10" i="26"/>
  <c r="GJ10" i="26"/>
  <c r="GI10" i="26"/>
  <c r="GH10" i="26"/>
  <c r="GG10" i="26"/>
  <c r="GM8" i="26"/>
  <c r="GL8" i="26"/>
  <c r="GJ8" i="26"/>
  <c r="GI8" i="26"/>
  <c r="GH8" i="26"/>
  <c r="GG8" i="26"/>
  <c r="GM4" i="26"/>
  <c r="GL4" i="26"/>
  <c r="GJ4" i="26"/>
  <c r="GI4" i="26"/>
  <c r="GH4" i="26"/>
  <c r="GG4" i="26"/>
  <c r="GM5" i="26"/>
  <c r="GL5" i="26"/>
  <c r="GJ5" i="26"/>
  <c r="GI5" i="26"/>
  <c r="GH5" i="26"/>
  <c r="GN5" i="26" s="1"/>
  <c r="GG5" i="26"/>
  <c r="FK21" i="26"/>
  <c r="FJ21" i="26"/>
  <c r="FH21" i="26"/>
  <c r="FG21" i="26"/>
  <c r="FF21" i="26"/>
  <c r="FE21" i="26"/>
  <c r="FK17" i="26"/>
  <c r="FJ17" i="26"/>
  <c r="FH17" i="26"/>
  <c r="FG17" i="26"/>
  <c r="FF17" i="26"/>
  <c r="FE17" i="26"/>
  <c r="FK20" i="26"/>
  <c r="FJ20" i="26"/>
  <c r="FH20" i="26"/>
  <c r="FG20" i="26"/>
  <c r="FF20" i="26"/>
  <c r="FE20" i="26"/>
  <c r="FK15" i="26"/>
  <c r="FJ15" i="26"/>
  <c r="FH15" i="26"/>
  <c r="FG15" i="26"/>
  <c r="FF15" i="26"/>
  <c r="FL15" i="26" s="1"/>
  <c r="FE15" i="26"/>
  <c r="FK18" i="26"/>
  <c r="FJ18" i="26"/>
  <c r="FH18" i="26"/>
  <c r="FG18" i="26"/>
  <c r="FF18" i="26"/>
  <c r="FE18" i="26"/>
  <c r="FK16" i="26"/>
  <c r="FJ16" i="26"/>
  <c r="FH16" i="26"/>
  <c r="FG16" i="26"/>
  <c r="FF16" i="26"/>
  <c r="FE16" i="26"/>
  <c r="FK14" i="26"/>
  <c r="FJ14" i="26"/>
  <c r="FH14" i="26"/>
  <c r="FG14" i="26"/>
  <c r="FF14" i="26"/>
  <c r="FE14" i="26"/>
  <c r="FK7" i="26"/>
  <c r="FJ7" i="26"/>
  <c r="FH7" i="26"/>
  <c r="FG7" i="26"/>
  <c r="FF7" i="26"/>
  <c r="FL7" i="26" s="1"/>
  <c r="FE7" i="26"/>
  <c r="FK6" i="26"/>
  <c r="FJ6" i="26"/>
  <c r="FH6" i="26"/>
  <c r="FG6" i="26"/>
  <c r="FF6" i="26"/>
  <c r="FE6" i="26"/>
  <c r="FK13" i="26"/>
  <c r="FJ13" i="26"/>
  <c r="FH13" i="26"/>
  <c r="FG13" i="26"/>
  <c r="FF13" i="26"/>
  <c r="FE13" i="26"/>
  <c r="FK11" i="26"/>
  <c r="FJ11" i="26"/>
  <c r="FH11" i="26"/>
  <c r="FG11" i="26"/>
  <c r="FF11" i="26"/>
  <c r="FE11" i="26"/>
  <c r="FK12" i="26"/>
  <c r="FJ12" i="26"/>
  <c r="FH12" i="26"/>
  <c r="FG12" i="26"/>
  <c r="FF12" i="26"/>
  <c r="FL12" i="26" s="1"/>
  <c r="FE12" i="26"/>
  <c r="FK9" i="26"/>
  <c r="FJ9" i="26"/>
  <c r="FH9" i="26"/>
  <c r="FG9" i="26"/>
  <c r="FF9" i="26"/>
  <c r="FE9" i="26"/>
  <c r="FK10" i="26"/>
  <c r="FJ10" i="26"/>
  <c r="FH10" i="26"/>
  <c r="FG10" i="26"/>
  <c r="FF10" i="26"/>
  <c r="FE10" i="26"/>
  <c r="FK8" i="26"/>
  <c r="FJ8" i="26"/>
  <c r="FH8" i="26"/>
  <c r="FG8" i="26"/>
  <c r="FF8" i="26"/>
  <c r="FE8" i="26"/>
  <c r="FK4" i="26"/>
  <c r="FJ4" i="26"/>
  <c r="FH4" i="26"/>
  <c r="FG4" i="26"/>
  <c r="FF4" i="26"/>
  <c r="FL4" i="26" s="1"/>
  <c r="FE4" i="26"/>
  <c r="FK5" i="26"/>
  <c r="FJ5" i="26"/>
  <c r="FH5" i="26"/>
  <c r="FG5" i="26"/>
  <c r="FF5" i="26"/>
  <c r="FE5" i="26"/>
  <c r="EI21" i="26"/>
  <c r="EH21" i="26"/>
  <c r="EF21" i="26"/>
  <c r="EE21" i="26"/>
  <c r="ED21" i="26"/>
  <c r="EC21" i="26"/>
  <c r="EI17" i="26"/>
  <c r="EH17" i="26"/>
  <c r="EF17" i="26"/>
  <c r="EE17" i="26"/>
  <c r="ED17" i="26"/>
  <c r="EC17" i="26"/>
  <c r="EI20" i="26"/>
  <c r="EH20" i="26"/>
  <c r="EF20" i="26"/>
  <c r="EE20" i="26"/>
  <c r="ED20" i="26"/>
  <c r="EJ20" i="26" s="1"/>
  <c r="EC20" i="26"/>
  <c r="EI15" i="26"/>
  <c r="EH15" i="26"/>
  <c r="EF15" i="26"/>
  <c r="EE15" i="26"/>
  <c r="ED15" i="26"/>
  <c r="EC15" i="26"/>
  <c r="EI18" i="26"/>
  <c r="EH18" i="26"/>
  <c r="EF18" i="26"/>
  <c r="EE18" i="26"/>
  <c r="ED18" i="26"/>
  <c r="EC18" i="26"/>
  <c r="EI16" i="26"/>
  <c r="EH16" i="26"/>
  <c r="EF16" i="26"/>
  <c r="EE16" i="26"/>
  <c r="ED16" i="26"/>
  <c r="EC16" i="26"/>
  <c r="EI14" i="26"/>
  <c r="EH14" i="26"/>
  <c r="EF14" i="26"/>
  <c r="EE14" i="26"/>
  <c r="ED14" i="26"/>
  <c r="EJ14" i="26" s="1"/>
  <c r="EC14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13" i="26"/>
  <c r="EH13" i="26"/>
  <c r="EF13" i="26"/>
  <c r="EE13" i="26"/>
  <c r="ED13" i="26"/>
  <c r="EC13" i="26"/>
  <c r="EI11" i="26"/>
  <c r="EH11" i="26"/>
  <c r="EF11" i="26"/>
  <c r="EE11" i="26"/>
  <c r="ED11" i="26"/>
  <c r="EJ11" i="26" s="1"/>
  <c r="EC11" i="26"/>
  <c r="EI12" i="26"/>
  <c r="EH12" i="26"/>
  <c r="EF12" i="26"/>
  <c r="EE12" i="26"/>
  <c r="ED12" i="26"/>
  <c r="EC12" i="26"/>
  <c r="EI9" i="26"/>
  <c r="EH9" i="26"/>
  <c r="EF9" i="26"/>
  <c r="EE9" i="26"/>
  <c r="ED9" i="26"/>
  <c r="EC9" i="26"/>
  <c r="EI10" i="26"/>
  <c r="EH10" i="26"/>
  <c r="EF10" i="26"/>
  <c r="EE10" i="26"/>
  <c r="ED10" i="26"/>
  <c r="EC10" i="26"/>
  <c r="EI8" i="26"/>
  <c r="EH8" i="26"/>
  <c r="EF8" i="26"/>
  <c r="EE8" i="26"/>
  <c r="ED8" i="26"/>
  <c r="EJ8" i="26" s="1"/>
  <c r="EC8" i="26"/>
  <c r="EI4" i="26"/>
  <c r="EH4" i="26"/>
  <c r="EF4" i="26"/>
  <c r="EE4" i="26"/>
  <c r="ED4" i="26"/>
  <c r="EC4" i="26"/>
  <c r="EI5" i="26"/>
  <c r="EH5" i="26"/>
  <c r="EF5" i="26"/>
  <c r="EE5" i="26"/>
  <c r="ED5" i="26"/>
  <c r="EC5" i="26"/>
  <c r="CQ32" i="22"/>
  <c r="CR32" i="22"/>
  <c r="CS32" i="22"/>
  <c r="CT32" i="22"/>
  <c r="CU32" i="22"/>
  <c r="CV32" i="22"/>
  <c r="CX32" i="22"/>
  <c r="CY32" i="22"/>
  <c r="CZ32" i="22"/>
  <c r="DX32" i="22"/>
  <c r="DY32" i="22"/>
  <c r="DZ32" i="22"/>
  <c r="EA32" i="22"/>
  <c r="EB32" i="22"/>
  <c r="EC32" i="22"/>
  <c r="EE32" i="22"/>
  <c r="EF32" i="22"/>
  <c r="EG32" i="22"/>
  <c r="EH32" i="22"/>
  <c r="EI32" i="22"/>
  <c r="EJ32" i="22"/>
  <c r="FF32" i="22"/>
  <c r="FG32" i="22"/>
  <c r="FH32" i="22"/>
  <c r="FI32" i="22"/>
  <c r="FJ32" i="22"/>
  <c r="FK32" i="22"/>
  <c r="FM32" i="22"/>
  <c r="FN32" i="22"/>
  <c r="FO32" i="22"/>
  <c r="FP32" i="22"/>
  <c r="FQ32" i="22"/>
  <c r="FR32" i="22"/>
  <c r="GN32" i="22"/>
  <c r="GO32" i="22"/>
  <c r="GP32" i="22"/>
  <c r="GQ32" i="22"/>
  <c r="GR32" i="22"/>
  <c r="GS32" i="22"/>
  <c r="GU32" i="22"/>
  <c r="GV32" i="22"/>
  <c r="GW32" i="22"/>
  <c r="GX32" i="22"/>
  <c r="GY32" i="22"/>
  <c r="GZ32" i="22"/>
  <c r="HV32" i="22"/>
  <c r="HW32" i="22"/>
  <c r="HX32" i="22"/>
  <c r="HY32" i="22"/>
  <c r="HZ32" i="22"/>
  <c r="IA32" i="22"/>
  <c r="IC32" i="22"/>
  <c r="ID32" i="22"/>
  <c r="IE32" i="22"/>
  <c r="IF32" i="22"/>
  <c r="IG32" i="22"/>
  <c r="IH32" i="22"/>
  <c r="JD32" i="22"/>
  <c r="JE32" i="22"/>
  <c r="JF32" i="22"/>
  <c r="JG32" i="22"/>
  <c r="JH32" i="22"/>
  <c r="JI32" i="22"/>
  <c r="JK32" i="22"/>
  <c r="JL32" i="22"/>
  <c r="JM32" i="22"/>
  <c r="JN32" i="22"/>
  <c r="JO32" i="22"/>
  <c r="JP32" i="22"/>
  <c r="KL32" i="22"/>
  <c r="KM32" i="22"/>
  <c r="KN32" i="22"/>
  <c r="KO32" i="22"/>
  <c r="KP32" i="22"/>
  <c r="KQ32" i="22"/>
  <c r="KS32" i="22"/>
  <c r="KT32" i="22"/>
  <c r="KU32" i="22"/>
  <c r="KV32" i="22"/>
  <c r="KW32" i="22"/>
  <c r="KX32" i="22"/>
  <c r="LT32" i="22"/>
  <c r="LU32" i="22"/>
  <c r="LV32" i="22"/>
  <c r="LW32" i="22"/>
  <c r="LX32" i="22"/>
  <c r="LY32" i="22"/>
  <c r="MA32" i="22"/>
  <c r="MB32" i="22"/>
  <c r="MC32" i="22"/>
  <c r="MD32" i="22"/>
  <c r="ME32" i="22"/>
  <c r="MF32" i="22"/>
  <c r="NB32" i="22"/>
  <c r="NC32" i="22"/>
  <c r="ND32" i="22"/>
  <c r="NE32" i="22"/>
  <c r="NF32" i="22"/>
  <c r="NG32" i="22"/>
  <c r="NI32" i="22"/>
  <c r="NJ32" i="22"/>
  <c r="NK32" i="22"/>
  <c r="NL32" i="22"/>
  <c r="NM32" i="22"/>
  <c r="NN32" i="22"/>
  <c r="OJ32" i="22"/>
  <c r="OK32" i="22"/>
  <c r="OL32" i="22"/>
  <c r="OM32" i="22"/>
  <c r="ON32" i="22"/>
  <c r="OO32" i="22"/>
  <c r="OQ32" i="22"/>
  <c r="OR32" i="22"/>
  <c r="OS32" i="22"/>
  <c r="OT32" i="22"/>
  <c r="OU32" i="22"/>
  <c r="OV32" i="22"/>
  <c r="PR32" i="22"/>
  <c r="PS32" i="22"/>
  <c r="PT32" i="22"/>
  <c r="PU32" i="22"/>
  <c r="PV32" i="22"/>
  <c r="PW32" i="22"/>
  <c r="PY32" i="22"/>
  <c r="PZ32" i="22"/>
  <c r="QA32" i="22"/>
  <c r="QB32" i="22"/>
  <c r="QC32" i="22"/>
  <c r="QD32" i="22"/>
  <c r="QZ32" i="22"/>
  <c r="RA32" i="22"/>
  <c r="RB32" i="22"/>
  <c r="RC32" i="22"/>
  <c r="RD32" i="22"/>
  <c r="RE32" i="22"/>
  <c r="RG32" i="22"/>
  <c r="RH32" i="22"/>
  <c r="RI32" i="22"/>
  <c r="RJ32" i="22"/>
  <c r="RK32" i="22"/>
  <c r="RL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3" i="22"/>
  <c r="CR33" i="22"/>
  <c r="CS33" i="22"/>
  <c r="CT33" i="22"/>
  <c r="CU33" i="22"/>
  <c r="CV33" i="22"/>
  <c r="CX33" i="22"/>
  <c r="CY33" i="22"/>
  <c r="CZ33" i="22"/>
  <c r="DX33" i="22"/>
  <c r="DY33" i="22"/>
  <c r="DZ33" i="22"/>
  <c r="EA33" i="22"/>
  <c r="EB33" i="22"/>
  <c r="EC33" i="22"/>
  <c r="EE33" i="22"/>
  <c r="EF33" i="22"/>
  <c r="EG33" i="22"/>
  <c r="EH33" i="22"/>
  <c r="EI33" i="22"/>
  <c r="EJ33" i="22"/>
  <c r="FF33" i="22"/>
  <c r="FG33" i="22"/>
  <c r="FH33" i="22"/>
  <c r="FI33" i="22"/>
  <c r="FJ33" i="22"/>
  <c r="FK33" i="22"/>
  <c r="FM33" i="22"/>
  <c r="FN33" i="22"/>
  <c r="FO33" i="22"/>
  <c r="FP33" i="22"/>
  <c r="FQ33" i="22"/>
  <c r="FR33" i="22"/>
  <c r="GN33" i="22"/>
  <c r="GO33" i="22"/>
  <c r="GP33" i="22"/>
  <c r="GQ33" i="22"/>
  <c r="GR33" i="22"/>
  <c r="GS33" i="22"/>
  <c r="GU33" i="22"/>
  <c r="GV33" i="22"/>
  <c r="GW33" i="22"/>
  <c r="GX33" i="22"/>
  <c r="GY33" i="22"/>
  <c r="GZ33" i="22"/>
  <c r="HV33" i="22"/>
  <c r="HW33" i="22"/>
  <c r="HX33" i="22"/>
  <c r="HY33" i="22"/>
  <c r="HZ33" i="22"/>
  <c r="IA33" i="22"/>
  <c r="IC33" i="22"/>
  <c r="ID33" i="22"/>
  <c r="IE33" i="22"/>
  <c r="IF33" i="22"/>
  <c r="IG33" i="22"/>
  <c r="IH33" i="22"/>
  <c r="JD33" i="22"/>
  <c r="JE33" i="22"/>
  <c r="JF33" i="22"/>
  <c r="JG33" i="22"/>
  <c r="JH33" i="22"/>
  <c r="JI33" i="22"/>
  <c r="JK33" i="22"/>
  <c r="JL33" i="22"/>
  <c r="JM33" i="22"/>
  <c r="JN33" i="22"/>
  <c r="JO33" i="22"/>
  <c r="JP33" i="22"/>
  <c r="KL33" i="22"/>
  <c r="KM33" i="22"/>
  <c r="KN33" i="22"/>
  <c r="KO33" i="22"/>
  <c r="KP33" i="22"/>
  <c r="KQ33" i="22"/>
  <c r="KS33" i="22"/>
  <c r="KT33" i="22"/>
  <c r="KU33" i="22"/>
  <c r="KV33" i="22"/>
  <c r="KW33" i="22"/>
  <c r="KX33" i="22"/>
  <c r="LT33" i="22"/>
  <c r="LU33" i="22"/>
  <c r="LV33" i="22"/>
  <c r="LW33" i="22"/>
  <c r="LX33" i="22"/>
  <c r="LY33" i="22"/>
  <c r="MA33" i="22"/>
  <c r="MB33" i="22"/>
  <c r="MC33" i="22"/>
  <c r="MD33" i="22"/>
  <c r="ME33" i="22"/>
  <c r="MF33" i="22"/>
  <c r="NB33" i="22"/>
  <c r="NC33" i="22"/>
  <c r="ND33" i="22"/>
  <c r="NE33" i="22"/>
  <c r="NF33" i="22"/>
  <c r="NG33" i="22"/>
  <c r="NI33" i="22"/>
  <c r="NJ33" i="22"/>
  <c r="NK33" i="22"/>
  <c r="NL33" i="22"/>
  <c r="NM33" i="22"/>
  <c r="NN33" i="22"/>
  <c r="OJ33" i="22"/>
  <c r="OK33" i="22"/>
  <c r="OL33" i="22"/>
  <c r="OM33" i="22"/>
  <c r="ON33" i="22"/>
  <c r="OO33" i="22"/>
  <c r="OQ33" i="22"/>
  <c r="OR33" i="22"/>
  <c r="OS33" i="22"/>
  <c r="OT33" i="22"/>
  <c r="OU33" i="22"/>
  <c r="OV33" i="22"/>
  <c r="PR33" i="22"/>
  <c r="PS33" i="22"/>
  <c r="PT33" i="22"/>
  <c r="PU33" i="22"/>
  <c r="PV33" i="22"/>
  <c r="PW33" i="22"/>
  <c r="PY33" i="22"/>
  <c r="PZ33" i="22"/>
  <c r="QA33" i="22"/>
  <c r="QB33" i="22"/>
  <c r="QC33" i="22"/>
  <c r="QD33" i="22"/>
  <c r="QZ33" i="22"/>
  <c r="RA33" i="22"/>
  <c r="RB33" i="22"/>
  <c r="RC33" i="22"/>
  <c r="RD33" i="22"/>
  <c r="RE33" i="22"/>
  <c r="RG33" i="22"/>
  <c r="RH33" i="22"/>
  <c r="RI33" i="22"/>
  <c r="RJ33" i="22"/>
  <c r="RK33" i="22"/>
  <c r="RL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I33" i="22"/>
  <c r="TT33" i="22" s="1"/>
  <c r="TJ33" i="22"/>
  <c r="CQ25" i="22"/>
  <c r="CR25" i="22"/>
  <c r="CS25" i="22"/>
  <c r="CT25" i="22"/>
  <c r="CU25" i="22"/>
  <c r="CV25" i="22"/>
  <c r="CX25" i="22"/>
  <c r="CY25" i="22"/>
  <c r="CZ25" i="22"/>
  <c r="DX25" i="22"/>
  <c r="DY25" i="22"/>
  <c r="DZ25" i="22"/>
  <c r="EA25" i="22"/>
  <c r="EB25" i="22"/>
  <c r="EC25" i="22"/>
  <c r="EE25" i="22"/>
  <c r="EF25" i="22"/>
  <c r="EG25" i="22"/>
  <c r="EH25" i="22"/>
  <c r="EI25" i="22"/>
  <c r="EJ25" i="22"/>
  <c r="FF25" i="22"/>
  <c r="FG25" i="22"/>
  <c r="FH25" i="22"/>
  <c r="FI25" i="22"/>
  <c r="FJ25" i="22"/>
  <c r="FK25" i="22"/>
  <c r="FM25" i="22"/>
  <c r="FN25" i="22"/>
  <c r="FO25" i="22"/>
  <c r="FP25" i="22"/>
  <c r="FQ25" i="22"/>
  <c r="FR25" i="22"/>
  <c r="GN25" i="22"/>
  <c r="GO25" i="22"/>
  <c r="GP25" i="22"/>
  <c r="GQ25" i="22"/>
  <c r="GR25" i="22"/>
  <c r="GS25" i="22"/>
  <c r="GU25" i="22"/>
  <c r="GV25" i="22"/>
  <c r="GW25" i="22"/>
  <c r="GX25" i="22"/>
  <c r="GY25" i="22"/>
  <c r="GZ25" i="22"/>
  <c r="HV25" i="22"/>
  <c r="HW25" i="22"/>
  <c r="HX25" i="22"/>
  <c r="HY25" i="22"/>
  <c r="HZ25" i="22"/>
  <c r="IA25" i="22"/>
  <c r="IC25" i="22"/>
  <c r="ID25" i="22"/>
  <c r="IE25" i="22"/>
  <c r="IF25" i="22"/>
  <c r="IG25" i="22"/>
  <c r="IH25" i="22"/>
  <c r="JD25" i="22"/>
  <c r="JE25" i="22"/>
  <c r="JF25" i="22"/>
  <c r="JG25" i="22"/>
  <c r="JH25" i="22"/>
  <c r="JI25" i="22"/>
  <c r="JK25" i="22"/>
  <c r="JL25" i="22"/>
  <c r="JM25" i="22"/>
  <c r="JN25" i="22"/>
  <c r="JO25" i="22"/>
  <c r="JP25" i="22"/>
  <c r="KL25" i="22"/>
  <c r="KM25" i="22"/>
  <c r="KN25" i="22"/>
  <c r="KO25" i="22"/>
  <c r="KP25" i="22"/>
  <c r="KQ25" i="22"/>
  <c r="KS25" i="22"/>
  <c r="KT25" i="22"/>
  <c r="KU25" i="22"/>
  <c r="KV25" i="22"/>
  <c r="KW25" i="22"/>
  <c r="KX25" i="22"/>
  <c r="LT25" i="22"/>
  <c r="LU25" i="22"/>
  <c r="LV25" i="22"/>
  <c r="LW25" i="22"/>
  <c r="LX25" i="22"/>
  <c r="LY25" i="22"/>
  <c r="MA25" i="22"/>
  <c r="MB25" i="22"/>
  <c r="MC25" i="22"/>
  <c r="MD25" i="22"/>
  <c r="ME25" i="22"/>
  <c r="MF25" i="22"/>
  <c r="NB25" i="22"/>
  <c r="NC25" i="22"/>
  <c r="ND25" i="22"/>
  <c r="NE25" i="22"/>
  <c r="NF25" i="22"/>
  <c r="NG25" i="22"/>
  <c r="NI25" i="22"/>
  <c r="NJ25" i="22"/>
  <c r="NK25" i="22"/>
  <c r="NL25" i="22"/>
  <c r="NM25" i="22"/>
  <c r="NN25" i="22"/>
  <c r="OJ25" i="22"/>
  <c r="OK25" i="22"/>
  <c r="OL25" i="22"/>
  <c r="OM25" i="22"/>
  <c r="ON25" i="22"/>
  <c r="OO25" i="22"/>
  <c r="OQ25" i="22"/>
  <c r="OR25" i="22"/>
  <c r="OS25" i="22"/>
  <c r="OT25" i="22"/>
  <c r="OU25" i="22"/>
  <c r="OV25" i="22"/>
  <c r="PR25" i="22"/>
  <c r="PS25" i="22"/>
  <c r="PT25" i="22"/>
  <c r="PU25" i="22"/>
  <c r="PV25" i="22"/>
  <c r="PW25" i="22"/>
  <c r="PY25" i="22"/>
  <c r="PZ25" i="22"/>
  <c r="QA25" i="22"/>
  <c r="QB25" i="22"/>
  <c r="QC25" i="22"/>
  <c r="QD25" i="22"/>
  <c r="QZ25" i="22"/>
  <c r="RA25" i="22"/>
  <c r="RB25" i="22"/>
  <c r="RC25" i="22"/>
  <c r="RD25" i="22"/>
  <c r="RE25" i="22"/>
  <c r="RG25" i="22"/>
  <c r="RH25" i="22"/>
  <c r="RI25" i="22"/>
  <c r="RJ25" i="22"/>
  <c r="RK25" i="22"/>
  <c r="RL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I25" i="22"/>
  <c r="TT25" i="22" s="1"/>
  <c r="TJ25" i="22"/>
  <c r="CQ26" i="22"/>
  <c r="CR26" i="22"/>
  <c r="CS26" i="22"/>
  <c r="CT26" i="22"/>
  <c r="CU26" i="22"/>
  <c r="CV26" i="22"/>
  <c r="CX26" i="22"/>
  <c r="CY26" i="22"/>
  <c r="CZ26" i="22"/>
  <c r="DX26" i="22"/>
  <c r="DY26" i="22"/>
  <c r="DZ26" i="22"/>
  <c r="EA26" i="22"/>
  <c r="EB26" i="22"/>
  <c r="EC26" i="22"/>
  <c r="EE26" i="22"/>
  <c r="EF26" i="22"/>
  <c r="EG26" i="22"/>
  <c r="EH26" i="22"/>
  <c r="EI26" i="22"/>
  <c r="EJ26" i="22"/>
  <c r="FF26" i="22"/>
  <c r="FG26" i="22"/>
  <c r="FH26" i="22"/>
  <c r="FI26" i="22"/>
  <c r="FJ26" i="22"/>
  <c r="FK26" i="22"/>
  <c r="FM26" i="22"/>
  <c r="FN26" i="22"/>
  <c r="FO26" i="22"/>
  <c r="FP26" i="22"/>
  <c r="FQ26" i="22"/>
  <c r="FR26" i="22"/>
  <c r="GN26" i="22"/>
  <c r="GO26" i="22"/>
  <c r="GP26" i="22"/>
  <c r="GQ26" i="22"/>
  <c r="GR26" i="22"/>
  <c r="GS26" i="22"/>
  <c r="GU26" i="22"/>
  <c r="GV26" i="22"/>
  <c r="GW26" i="22"/>
  <c r="GX26" i="22"/>
  <c r="GY26" i="22"/>
  <c r="GZ26" i="22"/>
  <c r="HV26" i="22"/>
  <c r="HW26" i="22"/>
  <c r="HX26" i="22"/>
  <c r="HY26" i="22"/>
  <c r="HZ26" i="22"/>
  <c r="IA26" i="22"/>
  <c r="IC26" i="22"/>
  <c r="ID26" i="22"/>
  <c r="IE26" i="22"/>
  <c r="IF26" i="22"/>
  <c r="IG26" i="22"/>
  <c r="IH26" i="22"/>
  <c r="JD26" i="22"/>
  <c r="JE26" i="22"/>
  <c r="JF26" i="22"/>
  <c r="JG26" i="22"/>
  <c r="JH26" i="22"/>
  <c r="JI26" i="22"/>
  <c r="JK26" i="22"/>
  <c r="JL26" i="22"/>
  <c r="JM26" i="22"/>
  <c r="JN26" i="22"/>
  <c r="JO26" i="22"/>
  <c r="JP26" i="22"/>
  <c r="KL26" i="22"/>
  <c r="KM26" i="22"/>
  <c r="KN26" i="22"/>
  <c r="KO26" i="22"/>
  <c r="KP26" i="22"/>
  <c r="KQ26" i="22"/>
  <c r="KS26" i="22"/>
  <c r="KT26" i="22"/>
  <c r="KU26" i="22"/>
  <c r="KV26" i="22"/>
  <c r="KW26" i="22"/>
  <c r="KX26" i="22"/>
  <c r="LT26" i="22"/>
  <c r="LU26" i="22"/>
  <c r="LV26" i="22"/>
  <c r="LW26" i="22"/>
  <c r="LX26" i="22"/>
  <c r="LY26" i="22"/>
  <c r="MA26" i="22"/>
  <c r="MB26" i="22"/>
  <c r="MC26" i="22"/>
  <c r="MD26" i="22"/>
  <c r="ME26" i="22"/>
  <c r="MF26" i="22"/>
  <c r="NB26" i="22"/>
  <c r="NC26" i="22"/>
  <c r="ND26" i="22"/>
  <c r="NE26" i="22"/>
  <c r="NF26" i="22"/>
  <c r="NG26" i="22"/>
  <c r="NI26" i="22"/>
  <c r="NJ26" i="22"/>
  <c r="NK26" i="22"/>
  <c r="NL26" i="22"/>
  <c r="NM26" i="22"/>
  <c r="NN26" i="22"/>
  <c r="OJ26" i="22"/>
  <c r="OK26" i="22"/>
  <c r="OL26" i="22"/>
  <c r="OM26" i="22"/>
  <c r="ON26" i="22"/>
  <c r="OO26" i="22"/>
  <c r="OQ26" i="22"/>
  <c r="OR26" i="22"/>
  <c r="OS26" i="22"/>
  <c r="OT26" i="22"/>
  <c r="OU26" i="22"/>
  <c r="OV26" i="22"/>
  <c r="PR26" i="22"/>
  <c r="PS26" i="22"/>
  <c r="PT26" i="22"/>
  <c r="PU26" i="22"/>
  <c r="PV26" i="22"/>
  <c r="PW26" i="22"/>
  <c r="PY26" i="22"/>
  <c r="PZ26" i="22"/>
  <c r="QA26" i="22"/>
  <c r="QB26" i="22"/>
  <c r="QC26" i="22"/>
  <c r="QD26" i="22"/>
  <c r="QZ26" i="22"/>
  <c r="RA26" i="22"/>
  <c r="RB26" i="22"/>
  <c r="RC26" i="22"/>
  <c r="RD26" i="22"/>
  <c r="RE26" i="22"/>
  <c r="RG26" i="22"/>
  <c r="RH26" i="22"/>
  <c r="RI26" i="22"/>
  <c r="RJ26" i="22"/>
  <c r="RK26" i="22"/>
  <c r="RL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I26" i="22"/>
  <c r="TT26" i="22" s="1"/>
  <c r="TJ26" i="22"/>
  <c r="CQ30" i="22"/>
  <c r="CR30" i="22"/>
  <c r="CS30" i="22"/>
  <c r="CT30" i="22"/>
  <c r="CU30" i="22"/>
  <c r="CV30" i="22"/>
  <c r="CX30" i="22"/>
  <c r="CY30" i="22"/>
  <c r="CZ30" i="22"/>
  <c r="DX30" i="22"/>
  <c r="DY30" i="22"/>
  <c r="DZ30" i="22"/>
  <c r="EA30" i="22"/>
  <c r="EB30" i="22"/>
  <c r="EC30" i="22"/>
  <c r="EE30" i="22"/>
  <c r="EF30" i="22"/>
  <c r="EG30" i="22"/>
  <c r="EH30" i="22"/>
  <c r="EI30" i="22"/>
  <c r="EJ30" i="22"/>
  <c r="FF30" i="22"/>
  <c r="FG30" i="22"/>
  <c r="FH30" i="22"/>
  <c r="FI30" i="22"/>
  <c r="FJ30" i="22"/>
  <c r="FK30" i="22"/>
  <c r="FM30" i="22"/>
  <c r="FN30" i="22"/>
  <c r="FO30" i="22"/>
  <c r="FP30" i="22"/>
  <c r="FQ30" i="22"/>
  <c r="FR30" i="22"/>
  <c r="GN30" i="22"/>
  <c r="GO30" i="22"/>
  <c r="GP30" i="22"/>
  <c r="GQ30" i="22"/>
  <c r="GR30" i="22"/>
  <c r="GS30" i="22"/>
  <c r="GU30" i="22"/>
  <c r="GV30" i="22"/>
  <c r="GW30" i="22"/>
  <c r="GX30" i="22"/>
  <c r="GY30" i="22"/>
  <c r="GZ30" i="22"/>
  <c r="HV30" i="22"/>
  <c r="HW30" i="22"/>
  <c r="HX30" i="22"/>
  <c r="HY30" i="22"/>
  <c r="HZ30" i="22"/>
  <c r="IA30" i="22"/>
  <c r="IC30" i="22"/>
  <c r="ID30" i="22"/>
  <c r="IE30" i="22"/>
  <c r="IF30" i="22"/>
  <c r="IG30" i="22"/>
  <c r="IH30" i="22"/>
  <c r="JD30" i="22"/>
  <c r="JE30" i="22"/>
  <c r="JF30" i="22"/>
  <c r="JG30" i="22"/>
  <c r="JH30" i="22"/>
  <c r="JI30" i="22"/>
  <c r="JK30" i="22"/>
  <c r="JL30" i="22"/>
  <c r="JM30" i="22"/>
  <c r="JN30" i="22"/>
  <c r="JO30" i="22"/>
  <c r="JP30" i="22"/>
  <c r="KL30" i="22"/>
  <c r="KM30" i="22"/>
  <c r="KN30" i="22"/>
  <c r="KO30" i="22"/>
  <c r="KP30" i="22"/>
  <c r="KQ30" i="22"/>
  <c r="KS30" i="22"/>
  <c r="KT30" i="22"/>
  <c r="KU30" i="22"/>
  <c r="KV30" i="22"/>
  <c r="KW30" i="22"/>
  <c r="KX30" i="22"/>
  <c r="LT30" i="22"/>
  <c r="LU30" i="22"/>
  <c r="LV30" i="22"/>
  <c r="LW30" i="22"/>
  <c r="LX30" i="22"/>
  <c r="LY30" i="22"/>
  <c r="MA30" i="22"/>
  <c r="MB30" i="22"/>
  <c r="MC30" i="22"/>
  <c r="MD30" i="22"/>
  <c r="ME30" i="22"/>
  <c r="MF30" i="22"/>
  <c r="NB30" i="22"/>
  <c r="NC30" i="22"/>
  <c r="ND30" i="22"/>
  <c r="NE30" i="22"/>
  <c r="NF30" i="22"/>
  <c r="NG30" i="22"/>
  <c r="NI30" i="22"/>
  <c r="NJ30" i="22"/>
  <c r="NK30" i="22"/>
  <c r="NL30" i="22"/>
  <c r="NM30" i="22"/>
  <c r="NN30" i="22"/>
  <c r="OJ30" i="22"/>
  <c r="OK30" i="22"/>
  <c r="OL30" i="22"/>
  <c r="OM30" i="22"/>
  <c r="ON30" i="22"/>
  <c r="OO30" i="22"/>
  <c r="OQ30" i="22"/>
  <c r="OR30" i="22"/>
  <c r="OS30" i="22"/>
  <c r="OT30" i="22"/>
  <c r="OU30" i="22"/>
  <c r="OV30" i="22"/>
  <c r="PR30" i="22"/>
  <c r="PS30" i="22"/>
  <c r="PT30" i="22"/>
  <c r="PU30" i="22"/>
  <c r="PV30" i="22"/>
  <c r="PW30" i="22"/>
  <c r="PY30" i="22"/>
  <c r="PZ30" i="22"/>
  <c r="QA30" i="22"/>
  <c r="QB30" i="22"/>
  <c r="QC30" i="22"/>
  <c r="QD30" i="22"/>
  <c r="QZ30" i="22"/>
  <c r="RA30" i="22"/>
  <c r="RB30" i="22"/>
  <c r="RC30" i="22"/>
  <c r="RD30" i="22"/>
  <c r="RE30" i="22"/>
  <c r="RG30" i="22"/>
  <c r="RH30" i="22"/>
  <c r="RI30" i="22"/>
  <c r="RJ30" i="22"/>
  <c r="RK30" i="22"/>
  <c r="RL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17" i="22"/>
  <c r="CR17" i="22"/>
  <c r="CS17" i="22"/>
  <c r="CT17" i="22"/>
  <c r="CU17" i="22"/>
  <c r="CV17" i="22"/>
  <c r="CX17" i="22"/>
  <c r="CY17" i="22"/>
  <c r="CZ17" i="22"/>
  <c r="DX17" i="22"/>
  <c r="DY17" i="22"/>
  <c r="DZ17" i="22"/>
  <c r="EA17" i="22"/>
  <c r="EB17" i="22"/>
  <c r="EC17" i="22"/>
  <c r="EE17" i="22"/>
  <c r="EF17" i="22"/>
  <c r="EG17" i="22"/>
  <c r="EH17" i="22"/>
  <c r="EI17" i="22"/>
  <c r="EJ17" i="22"/>
  <c r="FF17" i="22"/>
  <c r="FG17" i="22"/>
  <c r="FH17" i="22"/>
  <c r="FI17" i="22"/>
  <c r="FJ17" i="22"/>
  <c r="FK17" i="22"/>
  <c r="FM17" i="22"/>
  <c r="FN17" i="22"/>
  <c r="FO17" i="22"/>
  <c r="FP17" i="22"/>
  <c r="FQ17" i="22"/>
  <c r="FR17" i="22"/>
  <c r="GN17" i="22"/>
  <c r="GO17" i="22"/>
  <c r="GP17" i="22"/>
  <c r="GQ17" i="22"/>
  <c r="GR17" i="22"/>
  <c r="GS17" i="22"/>
  <c r="GU17" i="22"/>
  <c r="GV17" i="22"/>
  <c r="GW17" i="22"/>
  <c r="GX17" i="22"/>
  <c r="GY17" i="22"/>
  <c r="GZ17" i="22"/>
  <c r="HV17" i="22"/>
  <c r="HW17" i="22"/>
  <c r="HX17" i="22"/>
  <c r="HY17" i="22"/>
  <c r="HZ17" i="22"/>
  <c r="IA17" i="22"/>
  <c r="IC17" i="22"/>
  <c r="ID17" i="22"/>
  <c r="IE17" i="22"/>
  <c r="IF17" i="22"/>
  <c r="IG17" i="22"/>
  <c r="IH17" i="22"/>
  <c r="JD17" i="22"/>
  <c r="JE17" i="22"/>
  <c r="JF17" i="22"/>
  <c r="JG17" i="22"/>
  <c r="JH17" i="22"/>
  <c r="JI17" i="22"/>
  <c r="JK17" i="22"/>
  <c r="JL17" i="22"/>
  <c r="JM17" i="22"/>
  <c r="JN17" i="22"/>
  <c r="JO17" i="22"/>
  <c r="JP17" i="22"/>
  <c r="KL17" i="22"/>
  <c r="KM17" i="22"/>
  <c r="KN17" i="22"/>
  <c r="KO17" i="22"/>
  <c r="KP17" i="22"/>
  <c r="KQ17" i="22"/>
  <c r="KS17" i="22"/>
  <c r="KT17" i="22"/>
  <c r="KU17" i="22"/>
  <c r="KV17" i="22"/>
  <c r="KW17" i="22"/>
  <c r="KX17" i="22"/>
  <c r="LT17" i="22"/>
  <c r="LU17" i="22"/>
  <c r="LV17" i="22"/>
  <c r="LW17" i="22"/>
  <c r="LX17" i="22"/>
  <c r="LY17" i="22"/>
  <c r="MA17" i="22"/>
  <c r="MB17" i="22"/>
  <c r="MC17" i="22"/>
  <c r="MD17" i="22"/>
  <c r="ME17" i="22"/>
  <c r="MF17" i="22"/>
  <c r="NB17" i="22"/>
  <c r="NC17" i="22"/>
  <c r="ND17" i="22"/>
  <c r="NE17" i="22"/>
  <c r="NF17" i="22"/>
  <c r="NG17" i="22"/>
  <c r="NI17" i="22"/>
  <c r="NJ17" i="22"/>
  <c r="NK17" i="22"/>
  <c r="NL17" i="22"/>
  <c r="NM17" i="22"/>
  <c r="NN17" i="22"/>
  <c r="OJ17" i="22"/>
  <c r="OK17" i="22"/>
  <c r="OL17" i="22"/>
  <c r="OM17" i="22"/>
  <c r="ON17" i="22"/>
  <c r="OO17" i="22"/>
  <c r="OQ17" i="22"/>
  <c r="OR17" i="22"/>
  <c r="OS17" i="22"/>
  <c r="OT17" i="22"/>
  <c r="OU17" i="22"/>
  <c r="OV17" i="22"/>
  <c r="PR17" i="22"/>
  <c r="PS17" i="22"/>
  <c r="PT17" i="22"/>
  <c r="PU17" i="22"/>
  <c r="PV17" i="22"/>
  <c r="PW17" i="22"/>
  <c r="PY17" i="22"/>
  <c r="PZ17" i="22"/>
  <c r="QA17" i="22"/>
  <c r="QB17" i="22"/>
  <c r="QC17" i="22"/>
  <c r="QD17" i="22"/>
  <c r="QZ17" i="22"/>
  <c r="RA17" i="22"/>
  <c r="RB17" i="22"/>
  <c r="RC17" i="22"/>
  <c r="RD17" i="22"/>
  <c r="RE17" i="22"/>
  <c r="RG17" i="22"/>
  <c r="RH17" i="22"/>
  <c r="RI17" i="22"/>
  <c r="RJ17" i="22"/>
  <c r="RK17" i="22"/>
  <c r="RL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4" i="22"/>
  <c r="CR24" i="22"/>
  <c r="CS24" i="22"/>
  <c r="CT24" i="22"/>
  <c r="CU24" i="22"/>
  <c r="CV24" i="22"/>
  <c r="CX24" i="22"/>
  <c r="CY24" i="22"/>
  <c r="CZ24" i="22"/>
  <c r="DX24" i="22"/>
  <c r="DY24" i="22"/>
  <c r="DZ24" i="22"/>
  <c r="EA24" i="22"/>
  <c r="EB24" i="22"/>
  <c r="EC24" i="22"/>
  <c r="EE24" i="22"/>
  <c r="EF24" i="22"/>
  <c r="EG24" i="22"/>
  <c r="EH24" i="22"/>
  <c r="EI24" i="22"/>
  <c r="EJ24" i="22"/>
  <c r="FF24" i="22"/>
  <c r="FG24" i="22"/>
  <c r="FH24" i="22"/>
  <c r="FI24" i="22"/>
  <c r="FJ24" i="22"/>
  <c r="FK24" i="22"/>
  <c r="FM24" i="22"/>
  <c r="FN24" i="22"/>
  <c r="FO24" i="22"/>
  <c r="FP24" i="22"/>
  <c r="FQ24" i="22"/>
  <c r="FR24" i="22"/>
  <c r="GN24" i="22"/>
  <c r="GO24" i="22"/>
  <c r="GP24" i="22"/>
  <c r="GQ24" i="22"/>
  <c r="GR24" i="22"/>
  <c r="GS24" i="22"/>
  <c r="GU24" i="22"/>
  <c r="GV24" i="22"/>
  <c r="GW24" i="22"/>
  <c r="GX24" i="22"/>
  <c r="GY24" i="22"/>
  <c r="GZ24" i="22"/>
  <c r="HV24" i="22"/>
  <c r="HW24" i="22"/>
  <c r="HX24" i="22"/>
  <c r="HY24" i="22"/>
  <c r="HZ24" i="22"/>
  <c r="IA24" i="22"/>
  <c r="IC24" i="22"/>
  <c r="ID24" i="22"/>
  <c r="IE24" i="22"/>
  <c r="IF24" i="22"/>
  <c r="IG24" i="22"/>
  <c r="IH24" i="22"/>
  <c r="JD24" i="22"/>
  <c r="JE24" i="22"/>
  <c r="JF24" i="22"/>
  <c r="JG24" i="22"/>
  <c r="JH24" i="22"/>
  <c r="JI24" i="22"/>
  <c r="JK24" i="22"/>
  <c r="JL24" i="22"/>
  <c r="JM24" i="22"/>
  <c r="JN24" i="22"/>
  <c r="JO24" i="22"/>
  <c r="JP24" i="22"/>
  <c r="KL24" i="22"/>
  <c r="KM24" i="22"/>
  <c r="KN24" i="22"/>
  <c r="KO24" i="22"/>
  <c r="KP24" i="22"/>
  <c r="KQ24" i="22"/>
  <c r="KS24" i="22"/>
  <c r="KT24" i="22"/>
  <c r="KU24" i="22"/>
  <c r="KV24" i="22"/>
  <c r="KW24" i="22"/>
  <c r="KX24" i="22"/>
  <c r="LT24" i="22"/>
  <c r="LU24" i="22"/>
  <c r="LV24" i="22"/>
  <c r="LW24" i="22"/>
  <c r="LX24" i="22"/>
  <c r="LY24" i="22"/>
  <c r="MA24" i="22"/>
  <c r="MB24" i="22"/>
  <c r="MC24" i="22"/>
  <c r="MD24" i="22"/>
  <c r="ME24" i="22"/>
  <c r="MF24" i="22"/>
  <c r="NB24" i="22"/>
  <c r="NC24" i="22"/>
  <c r="ND24" i="22"/>
  <c r="NE24" i="22"/>
  <c r="NF24" i="22"/>
  <c r="NG24" i="22"/>
  <c r="NI24" i="22"/>
  <c r="NJ24" i="22"/>
  <c r="NK24" i="22"/>
  <c r="NL24" i="22"/>
  <c r="NM24" i="22"/>
  <c r="NN24" i="22"/>
  <c r="OJ24" i="22"/>
  <c r="OK24" i="22"/>
  <c r="OL24" i="22"/>
  <c r="OM24" i="22"/>
  <c r="ON24" i="22"/>
  <c r="OO24" i="22"/>
  <c r="OQ24" i="22"/>
  <c r="OR24" i="22"/>
  <c r="OS24" i="22"/>
  <c r="OT24" i="22"/>
  <c r="OU24" i="22"/>
  <c r="OV24" i="22"/>
  <c r="PR24" i="22"/>
  <c r="PS24" i="22"/>
  <c r="PT24" i="22"/>
  <c r="PU24" i="22"/>
  <c r="PV24" i="22"/>
  <c r="PW24" i="22"/>
  <c r="PY24" i="22"/>
  <c r="PZ24" i="22"/>
  <c r="QA24" i="22"/>
  <c r="QB24" i="22"/>
  <c r="QC24" i="22"/>
  <c r="QD24" i="22"/>
  <c r="QZ24" i="22"/>
  <c r="RA24" i="22"/>
  <c r="RB24" i="22"/>
  <c r="RC24" i="22"/>
  <c r="RD24" i="22"/>
  <c r="RE24" i="22"/>
  <c r="RG24" i="22"/>
  <c r="RH24" i="22"/>
  <c r="RI24" i="22"/>
  <c r="RJ24" i="22"/>
  <c r="RK24" i="22"/>
  <c r="RL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2" i="22"/>
  <c r="CR22" i="22"/>
  <c r="CS22" i="22"/>
  <c r="CT22" i="22"/>
  <c r="CU22" i="22"/>
  <c r="CV22" i="22"/>
  <c r="CX22" i="22"/>
  <c r="CY22" i="22"/>
  <c r="CZ22" i="22"/>
  <c r="DX22" i="22"/>
  <c r="DY22" i="22"/>
  <c r="DZ22" i="22"/>
  <c r="EA22" i="22"/>
  <c r="EB22" i="22"/>
  <c r="EC22" i="22"/>
  <c r="EE22" i="22"/>
  <c r="EF22" i="22"/>
  <c r="EG22" i="22"/>
  <c r="EH22" i="22"/>
  <c r="EI22" i="22"/>
  <c r="EJ22" i="22"/>
  <c r="FF22" i="22"/>
  <c r="FG22" i="22"/>
  <c r="FH22" i="22"/>
  <c r="FI22" i="22"/>
  <c r="FJ22" i="22"/>
  <c r="FK22" i="22"/>
  <c r="FM22" i="22"/>
  <c r="FN22" i="22"/>
  <c r="FO22" i="22"/>
  <c r="FP22" i="22"/>
  <c r="FQ22" i="22"/>
  <c r="FR22" i="22"/>
  <c r="GN22" i="22"/>
  <c r="GO22" i="22"/>
  <c r="GP22" i="22"/>
  <c r="GQ22" i="22"/>
  <c r="GR22" i="22"/>
  <c r="GS22" i="22"/>
  <c r="GU22" i="22"/>
  <c r="GV22" i="22"/>
  <c r="GW22" i="22"/>
  <c r="GX22" i="22"/>
  <c r="GY22" i="22"/>
  <c r="GZ22" i="22"/>
  <c r="HV22" i="22"/>
  <c r="HW22" i="22"/>
  <c r="HX22" i="22"/>
  <c r="HY22" i="22"/>
  <c r="HZ22" i="22"/>
  <c r="IA22" i="22"/>
  <c r="IC22" i="22"/>
  <c r="ID22" i="22"/>
  <c r="IE22" i="22"/>
  <c r="IF22" i="22"/>
  <c r="IG22" i="22"/>
  <c r="IH22" i="22"/>
  <c r="JD22" i="22"/>
  <c r="JE22" i="22"/>
  <c r="JF22" i="22"/>
  <c r="JG22" i="22"/>
  <c r="JH22" i="22"/>
  <c r="JI22" i="22"/>
  <c r="JK22" i="22"/>
  <c r="JL22" i="22"/>
  <c r="JM22" i="22"/>
  <c r="JN22" i="22"/>
  <c r="JO22" i="22"/>
  <c r="JP22" i="22"/>
  <c r="KL22" i="22"/>
  <c r="KM22" i="22"/>
  <c r="KN22" i="22"/>
  <c r="KO22" i="22"/>
  <c r="KP22" i="22"/>
  <c r="KQ22" i="22"/>
  <c r="KS22" i="22"/>
  <c r="KT22" i="22"/>
  <c r="KU22" i="22"/>
  <c r="KV22" i="22"/>
  <c r="KW22" i="22"/>
  <c r="KX22" i="22"/>
  <c r="LT22" i="22"/>
  <c r="LU22" i="22"/>
  <c r="LV22" i="22"/>
  <c r="LW22" i="22"/>
  <c r="LX22" i="22"/>
  <c r="LY22" i="22"/>
  <c r="MA22" i="22"/>
  <c r="MB22" i="22"/>
  <c r="MC22" i="22"/>
  <c r="MD22" i="22"/>
  <c r="ME22" i="22"/>
  <c r="MF22" i="22"/>
  <c r="NB22" i="22"/>
  <c r="NC22" i="22"/>
  <c r="ND22" i="22"/>
  <c r="NE22" i="22"/>
  <c r="NF22" i="22"/>
  <c r="NG22" i="22"/>
  <c r="NI22" i="22"/>
  <c r="NJ22" i="22"/>
  <c r="NK22" i="22"/>
  <c r="NL22" i="22"/>
  <c r="NM22" i="22"/>
  <c r="NN22" i="22"/>
  <c r="OJ22" i="22"/>
  <c r="OK22" i="22"/>
  <c r="OL22" i="22"/>
  <c r="OM22" i="22"/>
  <c r="ON22" i="22"/>
  <c r="OO22" i="22"/>
  <c r="OQ22" i="22"/>
  <c r="OR22" i="22"/>
  <c r="OS22" i="22"/>
  <c r="OT22" i="22"/>
  <c r="OU22" i="22"/>
  <c r="OV22" i="22"/>
  <c r="PR22" i="22"/>
  <c r="PS22" i="22"/>
  <c r="PT22" i="22"/>
  <c r="PU22" i="22"/>
  <c r="PV22" i="22"/>
  <c r="PW22" i="22"/>
  <c r="PY22" i="22"/>
  <c r="PZ22" i="22"/>
  <c r="QA22" i="22"/>
  <c r="QB22" i="22"/>
  <c r="QC22" i="22"/>
  <c r="QD22" i="22"/>
  <c r="QZ22" i="22"/>
  <c r="RA22" i="22"/>
  <c r="RB22" i="22"/>
  <c r="RC22" i="22"/>
  <c r="RD22" i="22"/>
  <c r="RE22" i="22"/>
  <c r="RG22" i="22"/>
  <c r="RH22" i="22"/>
  <c r="RI22" i="22"/>
  <c r="RJ22" i="22"/>
  <c r="RK22" i="22"/>
  <c r="RL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20" i="22"/>
  <c r="CR20" i="22"/>
  <c r="CS20" i="22"/>
  <c r="CT20" i="22"/>
  <c r="CU20" i="22"/>
  <c r="CV20" i="22"/>
  <c r="CX20" i="22"/>
  <c r="CY20" i="22"/>
  <c r="CZ20" i="22"/>
  <c r="DX20" i="22"/>
  <c r="DY20" i="22"/>
  <c r="DZ20" i="22"/>
  <c r="EA20" i="22"/>
  <c r="EB20" i="22"/>
  <c r="EC20" i="22"/>
  <c r="EE20" i="22"/>
  <c r="EF20" i="22"/>
  <c r="EG20" i="22"/>
  <c r="EH20" i="22"/>
  <c r="EI20" i="22"/>
  <c r="EJ20" i="22"/>
  <c r="FF20" i="22"/>
  <c r="FG20" i="22"/>
  <c r="FH20" i="22"/>
  <c r="FI20" i="22"/>
  <c r="FJ20" i="22"/>
  <c r="FK20" i="22"/>
  <c r="FM20" i="22"/>
  <c r="FN20" i="22"/>
  <c r="FO20" i="22"/>
  <c r="FP20" i="22"/>
  <c r="FQ20" i="22"/>
  <c r="FR20" i="22"/>
  <c r="GN20" i="22"/>
  <c r="GO20" i="22"/>
  <c r="GP20" i="22"/>
  <c r="GQ20" i="22"/>
  <c r="GR20" i="22"/>
  <c r="GS20" i="22"/>
  <c r="GU20" i="22"/>
  <c r="GV20" i="22"/>
  <c r="GW20" i="22"/>
  <c r="GX20" i="22"/>
  <c r="GY20" i="22"/>
  <c r="GZ20" i="22"/>
  <c r="HV20" i="22"/>
  <c r="HW20" i="22"/>
  <c r="HX20" i="22"/>
  <c r="HY20" i="22"/>
  <c r="HZ20" i="22"/>
  <c r="IA20" i="22"/>
  <c r="IC20" i="22"/>
  <c r="ID20" i="22"/>
  <c r="IE20" i="22"/>
  <c r="IF20" i="22"/>
  <c r="IG20" i="22"/>
  <c r="IH20" i="22"/>
  <c r="JD20" i="22"/>
  <c r="JE20" i="22"/>
  <c r="JF20" i="22"/>
  <c r="JG20" i="22"/>
  <c r="JH20" i="22"/>
  <c r="JI20" i="22"/>
  <c r="JK20" i="22"/>
  <c r="JL20" i="22"/>
  <c r="JM20" i="22"/>
  <c r="JN20" i="22"/>
  <c r="JO20" i="22"/>
  <c r="JP20" i="22"/>
  <c r="KL20" i="22"/>
  <c r="KM20" i="22"/>
  <c r="KN20" i="22"/>
  <c r="KO20" i="22"/>
  <c r="KP20" i="22"/>
  <c r="KQ20" i="22"/>
  <c r="KS20" i="22"/>
  <c r="KT20" i="22"/>
  <c r="KU20" i="22"/>
  <c r="KV20" i="22"/>
  <c r="KW20" i="22"/>
  <c r="KX20" i="22"/>
  <c r="LT20" i="22"/>
  <c r="LU20" i="22"/>
  <c r="LV20" i="22"/>
  <c r="LW20" i="22"/>
  <c r="LX20" i="22"/>
  <c r="LY20" i="22"/>
  <c r="MA20" i="22"/>
  <c r="MB20" i="22"/>
  <c r="MC20" i="22"/>
  <c r="MD20" i="22"/>
  <c r="ME20" i="22"/>
  <c r="MF20" i="22"/>
  <c r="NB20" i="22"/>
  <c r="NC20" i="22"/>
  <c r="ND20" i="22"/>
  <c r="NE20" i="22"/>
  <c r="NF20" i="22"/>
  <c r="NG20" i="22"/>
  <c r="NI20" i="22"/>
  <c r="NJ20" i="22"/>
  <c r="NK20" i="22"/>
  <c r="NL20" i="22"/>
  <c r="NM20" i="22"/>
  <c r="NN20" i="22"/>
  <c r="OJ20" i="22"/>
  <c r="OK20" i="22"/>
  <c r="OL20" i="22"/>
  <c r="OM20" i="22"/>
  <c r="ON20" i="22"/>
  <c r="OO20" i="22"/>
  <c r="OQ20" i="22"/>
  <c r="OR20" i="22"/>
  <c r="OS20" i="22"/>
  <c r="OT20" i="22"/>
  <c r="OU20" i="22"/>
  <c r="OV20" i="22"/>
  <c r="PR20" i="22"/>
  <c r="PS20" i="22"/>
  <c r="PT20" i="22"/>
  <c r="PU20" i="22"/>
  <c r="PV20" i="22"/>
  <c r="PW20" i="22"/>
  <c r="PY20" i="22"/>
  <c r="PZ20" i="22"/>
  <c r="QA20" i="22"/>
  <c r="QB20" i="22"/>
  <c r="QC20" i="22"/>
  <c r="QD20" i="22"/>
  <c r="QZ20" i="22"/>
  <c r="RA20" i="22"/>
  <c r="RB20" i="22"/>
  <c r="RC20" i="22"/>
  <c r="RD20" i="22"/>
  <c r="RE20" i="22"/>
  <c r="RG20" i="22"/>
  <c r="RH20" i="22"/>
  <c r="RI20" i="22"/>
  <c r="RJ20" i="22"/>
  <c r="RK20" i="22"/>
  <c r="RL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9" i="22"/>
  <c r="CR9" i="22"/>
  <c r="CS9" i="22"/>
  <c r="CT9" i="22"/>
  <c r="CU9" i="22"/>
  <c r="CV9" i="22"/>
  <c r="CX9" i="22"/>
  <c r="CY9" i="22"/>
  <c r="CZ9" i="22"/>
  <c r="DX9" i="22"/>
  <c r="DY9" i="22"/>
  <c r="DZ9" i="22"/>
  <c r="EA9" i="22"/>
  <c r="EB9" i="22"/>
  <c r="EC9" i="22"/>
  <c r="EE9" i="22"/>
  <c r="EF9" i="22"/>
  <c r="EG9" i="22"/>
  <c r="EH9" i="22"/>
  <c r="EI9" i="22"/>
  <c r="EJ9" i="22"/>
  <c r="FF9" i="22"/>
  <c r="FG9" i="22"/>
  <c r="FH9" i="22"/>
  <c r="FI9" i="22"/>
  <c r="FJ9" i="22"/>
  <c r="FK9" i="22"/>
  <c r="FM9" i="22"/>
  <c r="FN9" i="22"/>
  <c r="FO9" i="22"/>
  <c r="FP9" i="22"/>
  <c r="FQ9" i="22"/>
  <c r="FR9" i="22"/>
  <c r="GN9" i="22"/>
  <c r="GO9" i="22"/>
  <c r="GP9" i="22"/>
  <c r="GQ9" i="22"/>
  <c r="GR9" i="22"/>
  <c r="GS9" i="22"/>
  <c r="GU9" i="22"/>
  <c r="GV9" i="22"/>
  <c r="GW9" i="22"/>
  <c r="GX9" i="22"/>
  <c r="GY9" i="22"/>
  <c r="GZ9" i="22"/>
  <c r="HV9" i="22"/>
  <c r="HW9" i="22"/>
  <c r="HX9" i="22"/>
  <c r="HY9" i="22"/>
  <c r="HZ9" i="22"/>
  <c r="IA9" i="22"/>
  <c r="IC9" i="22"/>
  <c r="ID9" i="22"/>
  <c r="IE9" i="22"/>
  <c r="IF9" i="22"/>
  <c r="IG9" i="22"/>
  <c r="IH9" i="22"/>
  <c r="JD9" i="22"/>
  <c r="JE9" i="22"/>
  <c r="JF9" i="22"/>
  <c r="JG9" i="22"/>
  <c r="JH9" i="22"/>
  <c r="JI9" i="22"/>
  <c r="JK9" i="22"/>
  <c r="JL9" i="22"/>
  <c r="JM9" i="22"/>
  <c r="JN9" i="22"/>
  <c r="JO9" i="22"/>
  <c r="JP9" i="22"/>
  <c r="KL9" i="22"/>
  <c r="KM9" i="22"/>
  <c r="KN9" i="22"/>
  <c r="KO9" i="22"/>
  <c r="KP9" i="22"/>
  <c r="KQ9" i="22"/>
  <c r="KS9" i="22"/>
  <c r="KT9" i="22"/>
  <c r="KU9" i="22"/>
  <c r="KV9" i="22"/>
  <c r="KW9" i="22"/>
  <c r="KX9" i="22"/>
  <c r="LT9" i="22"/>
  <c r="LU9" i="22"/>
  <c r="LV9" i="22"/>
  <c r="LW9" i="22"/>
  <c r="LX9" i="22"/>
  <c r="LY9" i="22"/>
  <c r="MA9" i="22"/>
  <c r="MB9" i="22"/>
  <c r="MC9" i="22"/>
  <c r="MD9" i="22"/>
  <c r="ME9" i="22"/>
  <c r="MF9" i="22"/>
  <c r="NB9" i="22"/>
  <c r="NC9" i="22"/>
  <c r="ND9" i="22"/>
  <c r="NE9" i="22"/>
  <c r="NF9" i="22"/>
  <c r="NG9" i="22"/>
  <c r="NI9" i="22"/>
  <c r="NJ9" i="22"/>
  <c r="NK9" i="22"/>
  <c r="NL9" i="22"/>
  <c r="NM9" i="22"/>
  <c r="NN9" i="22"/>
  <c r="OJ9" i="22"/>
  <c r="OK9" i="22"/>
  <c r="OL9" i="22"/>
  <c r="OM9" i="22"/>
  <c r="ON9" i="22"/>
  <c r="OO9" i="22"/>
  <c r="OQ9" i="22"/>
  <c r="OR9" i="22"/>
  <c r="OS9" i="22"/>
  <c r="OT9" i="22"/>
  <c r="OU9" i="22"/>
  <c r="OV9" i="22"/>
  <c r="PR9" i="22"/>
  <c r="PS9" i="22"/>
  <c r="PT9" i="22"/>
  <c r="PU9" i="22"/>
  <c r="PV9" i="22"/>
  <c r="PW9" i="22"/>
  <c r="PY9" i="22"/>
  <c r="PZ9" i="22"/>
  <c r="QA9" i="22"/>
  <c r="QB9" i="22"/>
  <c r="QC9" i="22"/>
  <c r="QD9" i="22"/>
  <c r="QZ9" i="22"/>
  <c r="RA9" i="22"/>
  <c r="RB9" i="22"/>
  <c r="RC9" i="22"/>
  <c r="RD9" i="22"/>
  <c r="RE9" i="22"/>
  <c r="RG9" i="22"/>
  <c r="RH9" i="22"/>
  <c r="RI9" i="22"/>
  <c r="RJ9" i="22"/>
  <c r="RK9" i="22"/>
  <c r="RL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31" i="4"/>
  <c r="CR31" i="4"/>
  <c r="CS31" i="4"/>
  <c r="CT31" i="4"/>
  <c r="CU31" i="4"/>
  <c r="CV31" i="4"/>
  <c r="CX31" i="4"/>
  <c r="CY31" i="4"/>
  <c r="CZ31" i="4"/>
  <c r="DX31" i="4"/>
  <c r="DY31" i="4"/>
  <c r="DZ31" i="4"/>
  <c r="EA31" i="4"/>
  <c r="EB31" i="4"/>
  <c r="EC31" i="4"/>
  <c r="EE31" i="4"/>
  <c r="EF31" i="4"/>
  <c r="EG31" i="4"/>
  <c r="EH31" i="4"/>
  <c r="EI31" i="4"/>
  <c r="EJ31" i="4"/>
  <c r="FF31" i="4"/>
  <c r="FG31" i="4"/>
  <c r="FH31" i="4"/>
  <c r="FI31" i="4"/>
  <c r="FJ31" i="4"/>
  <c r="FK31" i="4"/>
  <c r="FM31" i="4"/>
  <c r="FN31" i="4"/>
  <c r="FO31" i="4"/>
  <c r="FP31" i="4"/>
  <c r="FQ31" i="4"/>
  <c r="FR31" i="4"/>
  <c r="GN31" i="4"/>
  <c r="GO31" i="4"/>
  <c r="GP31" i="4"/>
  <c r="GQ31" i="4"/>
  <c r="GR31" i="4"/>
  <c r="GS31" i="4"/>
  <c r="GU31" i="4"/>
  <c r="GV31" i="4"/>
  <c r="GW31" i="4"/>
  <c r="GX31" i="4"/>
  <c r="GY31" i="4"/>
  <c r="GZ31" i="4"/>
  <c r="HV31" i="4"/>
  <c r="HW31" i="4"/>
  <c r="HX31" i="4"/>
  <c r="HY31" i="4"/>
  <c r="HZ31" i="4"/>
  <c r="IA31" i="4"/>
  <c r="IC31" i="4"/>
  <c r="ID31" i="4"/>
  <c r="IE31" i="4"/>
  <c r="IF31" i="4"/>
  <c r="IG31" i="4"/>
  <c r="IH31" i="4"/>
  <c r="JD31" i="4"/>
  <c r="JE31" i="4"/>
  <c r="JF31" i="4"/>
  <c r="JG31" i="4"/>
  <c r="JH31" i="4"/>
  <c r="JI31" i="4"/>
  <c r="JK31" i="4"/>
  <c r="JL31" i="4"/>
  <c r="JM31" i="4"/>
  <c r="JN31" i="4"/>
  <c r="JO31" i="4"/>
  <c r="JP31" i="4"/>
  <c r="KL31" i="4"/>
  <c r="KM31" i="4"/>
  <c r="KN31" i="4"/>
  <c r="KO31" i="4"/>
  <c r="KP31" i="4"/>
  <c r="KQ31" i="4"/>
  <c r="KS31" i="4"/>
  <c r="KT31" i="4"/>
  <c r="KU31" i="4"/>
  <c r="KV31" i="4"/>
  <c r="KW31" i="4"/>
  <c r="KX31" i="4"/>
  <c r="LT31" i="4"/>
  <c r="LU31" i="4"/>
  <c r="LV31" i="4"/>
  <c r="LW31" i="4"/>
  <c r="LX31" i="4"/>
  <c r="LY31" i="4"/>
  <c r="MA31" i="4"/>
  <c r="MB31" i="4"/>
  <c r="MC31" i="4"/>
  <c r="MD31" i="4"/>
  <c r="ME31" i="4"/>
  <c r="MF31" i="4"/>
  <c r="NB31" i="4"/>
  <c r="NC31" i="4"/>
  <c r="ND31" i="4"/>
  <c r="NE31" i="4"/>
  <c r="NF31" i="4"/>
  <c r="NG31" i="4"/>
  <c r="NI31" i="4"/>
  <c r="NJ31" i="4"/>
  <c r="NK31" i="4"/>
  <c r="NL31" i="4"/>
  <c r="NM31" i="4"/>
  <c r="NN31" i="4"/>
  <c r="OJ31" i="4"/>
  <c r="OK31" i="4"/>
  <c r="OL31" i="4"/>
  <c r="OM31" i="4"/>
  <c r="ON31" i="4"/>
  <c r="OO31" i="4"/>
  <c r="OQ31" i="4"/>
  <c r="OR31" i="4"/>
  <c r="OS31" i="4"/>
  <c r="OT31" i="4"/>
  <c r="OU31" i="4"/>
  <c r="OV31" i="4"/>
  <c r="PR31" i="4"/>
  <c r="PS31" i="4"/>
  <c r="PT31" i="4"/>
  <c r="PU31" i="4"/>
  <c r="PV31" i="4"/>
  <c r="PW31" i="4"/>
  <c r="PY31" i="4"/>
  <c r="PZ31" i="4"/>
  <c r="QA31" i="4"/>
  <c r="QB31" i="4"/>
  <c r="QC31" i="4"/>
  <c r="QD31" i="4"/>
  <c r="QZ31" i="4"/>
  <c r="RA31" i="4"/>
  <c r="RB31" i="4"/>
  <c r="RC31" i="4"/>
  <c r="RD31" i="4"/>
  <c r="RE31" i="4"/>
  <c r="RG31" i="4"/>
  <c r="RH31" i="4"/>
  <c r="RI31" i="4"/>
  <c r="RJ31" i="4"/>
  <c r="RK31" i="4"/>
  <c r="RL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29" i="4"/>
  <c r="CR29" i="4"/>
  <c r="CS29" i="4"/>
  <c r="CT29" i="4"/>
  <c r="CU29" i="4"/>
  <c r="CV29" i="4"/>
  <c r="CX29" i="4"/>
  <c r="CY29" i="4"/>
  <c r="CZ29" i="4"/>
  <c r="DX29" i="4"/>
  <c r="DY29" i="4"/>
  <c r="DZ29" i="4"/>
  <c r="EA29" i="4"/>
  <c r="EB29" i="4"/>
  <c r="EC29" i="4"/>
  <c r="EE29" i="4"/>
  <c r="EF29" i="4"/>
  <c r="EG29" i="4"/>
  <c r="EH29" i="4"/>
  <c r="EI29" i="4"/>
  <c r="EJ29" i="4"/>
  <c r="FF29" i="4"/>
  <c r="FG29" i="4"/>
  <c r="FH29" i="4"/>
  <c r="FI29" i="4"/>
  <c r="FJ29" i="4"/>
  <c r="FK29" i="4"/>
  <c r="FM29" i="4"/>
  <c r="FN29" i="4"/>
  <c r="FO29" i="4"/>
  <c r="FP29" i="4"/>
  <c r="FQ29" i="4"/>
  <c r="FR29" i="4"/>
  <c r="GN29" i="4"/>
  <c r="GO29" i="4"/>
  <c r="GP29" i="4"/>
  <c r="GQ29" i="4"/>
  <c r="GR29" i="4"/>
  <c r="GS29" i="4"/>
  <c r="GU29" i="4"/>
  <c r="GV29" i="4"/>
  <c r="GW29" i="4"/>
  <c r="GX29" i="4"/>
  <c r="GY29" i="4"/>
  <c r="GZ29" i="4"/>
  <c r="HV29" i="4"/>
  <c r="HW29" i="4"/>
  <c r="HX29" i="4"/>
  <c r="HY29" i="4"/>
  <c r="HZ29" i="4"/>
  <c r="IA29" i="4"/>
  <c r="IC29" i="4"/>
  <c r="ID29" i="4"/>
  <c r="IE29" i="4"/>
  <c r="IF29" i="4"/>
  <c r="IG29" i="4"/>
  <c r="IH29" i="4"/>
  <c r="JD29" i="4"/>
  <c r="JE29" i="4"/>
  <c r="JF29" i="4"/>
  <c r="JG29" i="4"/>
  <c r="JH29" i="4"/>
  <c r="JI29" i="4"/>
  <c r="JK29" i="4"/>
  <c r="JL29" i="4"/>
  <c r="JM29" i="4"/>
  <c r="JN29" i="4"/>
  <c r="JO29" i="4"/>
  <c r="JP29" i="4"/>
  <c r="KL29" i="4"/>
  <c r="KM29" i="4"/>
  <c r="KN29" i="4"/>
  <c r="KO29" i="4"/>
  <c r="KP29" i="4"/>
  <c r="KQ29" i="4"/>
  <c r="KS29" i="4"/>
  <c r="KT29" i="4"/>
  <c r="KU29" i="4"/>
  <c r="KV29" i="4"/>
  <c r="KW29" i="4"/>
  <c r="KX29" i="4"/>
  <c r="LT29" i="4"/>
  <c r="LU29" i="4"/>
  <c r="LV29" i="4"/>
  <c r="LW29" i="4"/>
  <c r="LX29" i="4"/>
  <c r="LY29" i="4"/>
  <c r="MA29" i="4"/>
  <c r="MB29" i="4"/>
  <c r="MC29" i="4"/>
  <c r="MD29" i="4"/>
  <c r="ME29" i="4"/>
  <c r="MF29" i="4"/>
  <c r="NB29" i="4"/>
  <c r="NC29" i="4"/>
  <c r="ND29" i="4"/>
  <c r="NE29" i="4"/>
  <c r="NF29" i="4"/>
  <c r="NG29" i="4"/>
  <c r="NI29" i="4"/>
  <c r="NJ29" i="4"/>
  <c r="NK29" i="4"/>
  <c r="NL29" i="4"/>
  <c r="NM29" i="4"/>
  <c r="NN29" i="4"/>
  <c r="OJ29" i="4"/>
  <c r="OK29" i="4"/>
  <c r="OL29" i="4"/>
  <c r="OM29" i="4"/>
  <c r="ON29" i="4"/>
  <c r="OO29" i="4"/>
  <c r="OQ29" i="4"/>
  <c r="OR29" i="4"/>
  <c r="OS29" i="4"/>
  <c r="OT29" i="4"/>
  <c r="OU29" i="4"/>
  <c r="OV29" i="4"/>
  <c r="PR29" i="4"/>
  <c r="PS29" i="4"/>
  <c r="PT29" i="4"/>
  <c r="PU29" i="4"/>
  <c r="PV29" i="4"/>
  <c r="PW29" i="4"/>
  <c r="PY29" i="4"/>
  <c r="PZ29" i="4"/>
  <c r="QA29" i="4"/>
  <c r="QB29" i="4"/>
  <c r="QC29" i="4"/>
  <c r="QD29" i="4"/>
  <c r="QZ29" i="4"/>
  <c r="RA29" i="4"/>
  <c r="RB29" i="4"/>
  <c r="RC29" i="4"/>
  <c r="RD29" i="4"/>
  <c r="RE29" i="4"/>
  <c r="RG29" i="4"/>
  <c r="RH29" i="4"/>
  <c r="RI29" i="4"/>
  <c r="RJ29" i="4"/>
  <c r="RK29" i="4"/>
  <c r="RL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I29" i="4"/>
  <c r="TT29" i="4" s="1"/>
  <c r="TJ29" i="4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7"/>
  <c r="CY15" i="27"/>
  <c r="CZ15" i="27"/>
  <c r="DA15" i="27"/>
  <c r="DC15" i="27"/>
  <c r="DD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4" i="27"/>
  <c r="CY14" i="27"/>
  <c r="CZ14" i="27"/>
  <c r="DA14" i="27"/>
  <c r="DC14" i="27"/>
  <c r="DD14" i="27"/>
  <c r="PY14" i="27"/>
  <c r="PZ14" i="27"/>
  <c r="QA14" i="27"/>
  <c r="QB14" i="27"/>
  <c r="QD14" i="27"/>
  <c r="QE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QY14" i="27"/>
  <c r="QZ14" i="27"/>
  <c r="CX18" i="27"/>
  <c r="CY18" i="27"/>
  <c r="CZ18" i="27"/>
  <c r="DA18" i="27"/>
  <c r="DC18" i="27"/>
  <c r="DD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17" i="26"/>
  <c r="CY17" i="26"/>
  <c r="CZ17" i="26"/>
  <c r="DA17" i="26"/>
  <c r="DC17" i="26"/>
  <c r="DD17" i="26"/>
  <c r="PY17" i="26"/>
  <c r="PZ17" i="26"/>
  <c r="QA17" i="26"/>
  <c r="QB17" i="26"/>
  <c r="QD17" i="26"/>
  <c r="QE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QY17" i="26"/>
  <c r="QZ17" i="26"/>
  <c r="CX20" i="26"/>
  <c r="CY20" i="26"/>
  <c r="CZ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CX18" i="26"/>
  <c r="CY18" i="26"/>
  <c r="CZ18" i="26"/>
  <c r="DA18" i="26"/>
  <c r="DC18" i="26"/>
  <c r="DD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37" i="19"/>
  <c r="CY37" i="19"/>
  <c r="CZ37" i="19"/>
  <c r="DA37" i="19"/>
  <c r="DC37" i="19"/>
  <c r="DD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CX35" i="19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34" i="19"/>
  <c r="CY34" i="19"/>
  <c r="CZ34" i="19"/>
  <c r="DA34" i="19"/>
  <c r="DC34" i="19"/>
  <c r="DD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CX23" i="19"/>
  <c r="CY23" i="19"/>
  <c r="CZ23" i="19"/>
  <c r="DA23" i="19"/>
  <c r="DC23" i="19"/>
  <c r="DD23" i="19"/>
  <c r="PY23" i="19"/>
  <c r="PZ23" i="19"/>
  <c r="QA23" i="19"/>
  <c r="QB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BV6" i="22" l="1"/>
  <c r="BV14" i="22"/>
  <c r="FL4" i="19"/>
  <c r="FL9" i="19"/>
  <c r="FL11" i="19"/>
  <c r="FL15" i="19"/>
  <c r="FL17" i="19"/>
  <c r="FL23" i="19"/>
  <c r="FL28" i="19"/>
  <c r="FL33" i="19"/>
  <c r="FL37" i="19"/>
  <c r="GN6" i="19"/>
  <c r="GN13" i="19"/>
  <c r="GN14" i="19"/>
  <c r="GN19" i="19"/>
  <c r="GN8" i="19"/>
  <c r="GN26" i="19"/>
  <c r="GN39" i="19"/>
  <c r="GN34" i="19"/>
  <c r="GN38" i="19"/>
  <c r="HP5" i="19"/>
  <c r="HP7" i="19"/>
  <c r="HP16" i="19"/>
  <c r="HP22" i="19"/>
  <c r="HP25" i="19"/>
  <c r="HP27" i="19"/>
  <c r="HP31" i="19"/>
  <c r="HP35" i="19"/>
  <c r="HP24" i="19"/>
  <c r="IR10" i="19"/>
  <c r="IR12" i="19"/>
  <c r="IR21" i="19"/>
  <c r="IR18" i="19"/>
  <c r="IR20" i="19"/>
  <c r="OB28" i="19"/>
  <c r="OB33" i="19"/>
  <c r="OB37" i="19"/>
  <c r="PD6" i="19"/>
  <c r="PD13" i="19"/>
  <c r="PD14" i="19"/>
  <c r="PD19" i="19"/>
  <c r="PD8" i="19"/>
  <c r="PD26" i="19"/>
  <c r="PD39" i="19"/>
  <c r="PD34" i="19"/>
  <c r="PD38" i="19"/>
  <c r="AY4" i="19"/>
  <c r="AY9" i="19"/>
  <c r="AY11" i="19"/>
  <c r="AY15" i="19"/>
  <c r="AY8" i="19"/>
  <c r="GN18" i="26"/>
  <c r="GN21" i="26"/>
  <c r="HP10" i="26"/>
  <c r="HP13" i="26"/>
  <c r="HP16" i="26"/>
  <c r="HP17" i="26"/>
  <c r="IR8" i="26"/>
  <c r="IR11" i="26"/>
  <c r="IR14" i="26"/>
  <c r="IR20" i="26"/>
  <c r="JT4" i="26"/>
  <c r="AY23" i="19"/>
  <c r="AY28" i="19"/>
  <c r="AY33" i="19"/>
  <c r="AY37" i="19"/>
  <c r="CB6" i="19"/>
  <c r="CB13" i="19"/>
  <c r="CB14" i="19"/>
  <c r="CB19" i="19"/>
  <c r="CB17" i="19"/>
  <c r="CB26" i="19"/>
  <c r="CB39" i="19"/>
  <c r="CB34" i="19"/>
  <c r="CB38" i="19"/>
  <c r="JT12" i="26"/>
  <c r="JT7" i="26"/>
  <c r="JT15" i="26"/>
  <c r="KV5" i="26"/>
  <c r="KV9" i="26"/>
  <c r="KV6" i="26"/>
  <c r="KV18" i="26"/>
  <c r="KV21" i="26"/>
  <c r="LX10" i="26"/>
  <c r="LX13" i="26"/>
  <c r="LX16" i="26"/>
  <c r="LX17" i="26"/>
  <c r="MZ8" i="26"/>
  <c r="MZ11" i="26"/>
  <c r="MZ14" i="26"/>
  <c r="MZ20" i="26"/>
  <c r="OB4" i="26"/>
  <c r="OB12" i="26"/>
  <c r="OB7" i="26"/>
  <c r="OB15" i="26"/>
  <c r="PD5" i="26"/>
  <c r="PD9" i="26"/>
  <c r="PD6" i="26"/>
  <c r="AY33" i="22"/>
  <c r="AY32" i="4"/>
  <c r="PD21" i="26"/>
  <c r="CB7" i="21"/>
  <c r="CB12" i="21"/>
  <c r="CB17" i="21"/>
  <c r="CB18" i="21"/>
  <c r="CB11" i="21"/>
  <c r="IR29" i="19"/>
  <c r="IR32" i="19"/>
  <c r="IR36" i="19"/>
  <c r="JT4" i="19"/>
  <c r="JT9" i="19"/>
  <c r="JT11" i="19"/>
  <c r="JT15" i="19"/>
  <c r="JT17" i="19"/>
  <c r="JT23" i="19"/>
  <c r="JT28" i="19"/>
  <c r="JT33" i="19"/>
  <c r="JT37" i="19"/>
  <c r="KV6" i="19"/>
  <c r="KV13" i="19"/>
  <c r="KV14" i="19"/>
  <c r="KV19" i="19"/>
  <c r="KV8" i="19"/>
  <c r="KV26" i="19"/>
  <c r="KV39" i="19"/>
  <c r="KV34" i="19"/>
  <c r="KV38" i="19"/>
  <c r="LX5" i="19"/>
  <c r="LX7" i="19"/>
  <c r="LX16" i="19"/>
  <c r="LX22" i="19"/>
  <c r="LX25" i="19"/>
  <c r="LX27" i="19"/>
  <c r="LX31" i="19"/>
  <c r="LX35" i="19"/>
  <c r="LX24" i="19"/>
  <c r="MZ10" i="19"/>
  <c r="MZ12" i="19"/>
  <c r="MZ21" i="19"/>
  <c r="MZ18" i="19"/>
  <c r="MZ20" i="19"/>
  <c r="MZ29" i="19"/>
  <c r="MZ32" i="19"/>
  <c r="MZ36" i="19"/>
  <c r="OB4" i="19"/>
  <c r="OB9" i="19"/>
  <c r="OB11" i="19"/>
  <c r="OB15" i="19"/>
  <c r="OB17" i="19"/>
  <c r="OB23" i="19"/>
  <c r="QF23" i="19"/>
  <c r="QF35" i="19"/>
  <c r="QF34" i="19"/>
  <c r="QF31" i="19"/>
  <c r="FL10" i="19"/>
  <c r="FL12" i="19"/>
  <c r="QF37" i="19"/>
  <c r="FL21" i="19"/>
  <c r="FL18" i="19"/>
  <c r="FL20" i="19"/>
  <c r="FL29" i="19"/>
  <c r="FL32" i="19"/>
  <c r="FL36" i="19"/>
  <c r="GN4" i="19"/>
  <c r="GN9" i="19"/>
  <c r="GN11" i="19"/>
  <c r="GN15" i="19"/>
  <c r="GN17" i="19"/>
  <c r="GN23" i="19"/>
  <c r="GN28" i="19"/>
  <c r="GN33" i="19"/>
  <c r="GN37" i="19"/>
  <c r="HP6" i="19"/>
  <c r="HP13" i="19"/>
  <c r="HP14" i="19"/>
  <c r="HP19" i="19"/>
  <c r="HP8" i="19"/>
  <c r="HP26" i="19"/>
  <c r="HP39" i="19"/>
  <c r="HP34" i="19"/>
  <c r="HP38" i="19"/>
  <c r="IR5" i="19"/>
  <c r="IR7" i="19"/>
  <c r="IR16" i="19"/>
  <c r="IR22" i="19"/>
  <c r="IR25" i="19"/>
  <c r="IR27" i="19"/>
  <c r="IR31" i="19"/>
  <c r="IR35" i="19"/>
  <c r="IR24" i="19"/>
  <c r="JT10" i="19"/>
  <c r="JT12" i="19"/>
  <c r="JT21" i="19"/>
  <c r="JT18" i="19"/>
  <c r="JT20" i="19"/>
  <c r="JT29" i="19"/>
  <c r="JT32" i="19"/>
  <c r="JT36" i="19"/>
  <c r="KV4" i="19"/>
  <c r="KV9" i="19"/>
  <c r="KV11" i="19"/>
  <c r="KV15" i="19"/>
  <c r="KV17" i="19"/>
  <c r="KV23" i="19"/>
  <c r="KV28" i="19"/>
  <c r="KV33" i="19"/>
  <c r="KV37" i="19"/>
  <c r="LX6" i="19"/>
  <c r="LX13" i="19"/>
  <c r="LX14" i="19"/>
  <c r="LX19" i="19"/>
  <c r="LX8" i="19"/>
  <c r="LX26" i="19"/>
  <c r="LX39" i="19"/>
  <c r="LX34" i="19"/>
  <c r="LX38" i="19"/>
  <c r="MZ5" i="19"/>
  <c r="MZ7" i="19"/>
  <c r="MZ16" i="19"/>
  <c r="MZ22" i="19"/>
  <c r="MZ25" i="19"/>
  <c r="MZ27" i="19"/>
  <c r="MZ31" i="19"/>
  <c r="MZ35" i="19"/>
  <c r="MZ24" i="19"/>
  <c r="OB10" i="19"/>
  <c r="OB12" i="19"/>
  <c r="OB21" i="19"/>
  <c r="OB18" i="19"/>
  <c r="OB20" i="19"/>
  <c r="OB29" i="19"/>
  <c r="OB32" i="19"/>
  <c r="OB36" i="19"/>
  <c r="PD4" i="19"/>
  <c r="PD9" i="19"/>
  <c r="PD11" i="19"/>
  <c r="PD15" i="19"/>
  <c r="PD17" i="19"/>
  <c r="PD23" i="19"/>
  <c r="PD28" i="19"/>
  <c r="PD33" i="19"/>
  <c r="PD37" i="19"/>
  <c r="AY8" i="26"/>
  <c r="AY11" i="26"/>
  <c r="AY14" i="26"/>
  <c r="AY20" i="26"/>
  <c r="CB4" i="26"/>
  <c r="CB12" i="26"/>
  <c r="CB7" i="26"/>
  <c r="CB15" i="26"/>
  <c r="AY29" i="4"/>
  <c r="BV17" i="4"/>
  <c r="EJ4" i="27"/>
  <c r="EJ9" i="27"/>
  <c r="EJ12" i="27"/>
  <c r="EJ15" i="27"/>
  <c r="FL4" i="27"/>
  <c r="FL9" i="27"/>
  <c r="FL12" i="27"/>
  <c r="FL15" i="27"/>
  <c r="GN4" i="27"/>
  <c r="GN9" i="27"/>
  <c r="GN12" i="27"/>
  <c r="GN15" i="27"/>
  <c r="HP4" i="27"/>
  <c r="HP9" i="27"/>
  <c r="HP12" i="27"/>
  <c r="HP15" i="27"/>
  <c r="IR4" i="27"/>
  <c r="IR9" i="27"/>
  <c r="IR12" i="27"/>
  <c r="IR15" i="27"/>
  <c r="JT4" i="27"/>
  <c r="JT9" i="27"/>
  <c r="JT12" i="27"/>
  <c r="JT15" i="27"/>
  <c r="KV4" i="27"/>
  <c r="KV9" i="27"/>
  <c r="KV12" i="27"/>
  <c r="KV15" i="27"/>
  <c r="LX4" i="27"/>
  <c r="LX9" i="27"/>
  <c r="LX12" i="27"/>
  <c r="LX15" i="27"/>
  <c r="MZ4" i="27"/>
  <c r="MZ9" i="27"/>
  <c r="MZ12" i="27"/>
  <c r="MZ15" i="27"/>
  <c r="OB4" i="27"/>
  <c r="OB9" i="27"/>
  <c r="OB12" i="27"/>
  <c r="OB15" i="27"/>
  <c r="PD4" i="27"/>
  <c r="PD9" i="27"/>
  <c r="PD12" i="27"/>
  <c r="PD15" i="27"/>
  <c r="EJ10" i="26"/>
  <c r="EJ13" i="26"/>
  <c r="EJ16" i="26"/>
  <c r="EJ17" i="26"/>
  <c r="FL8" i="26"/>
  <c r="FL11" i="26"/>
  <c r="FL14" i="26"/>
  <c r="FL20" i="26"/>
  <c r="GN4" i="26"/>
  <c r="GN12" i="26"/>
  <c r="GN7" i="26"/>
  <c r="GN15" i="26"/>
  <c r="HP5" i="26"/>
  <c r="HP9" i="26"/>
  <c r="HP6" i="26"/>
  <c r="HP18" i="26"/>
  <c r="HP21" i="26"/>
  <c r="IR10" i="26"/>
  <c r="IR13" i="26"/>
  <c r="IR16" i="26"/>
  <c r="IR17" i="26"/>
  <c r="JT8" i="26"/>
  <c r="JT11" i="26"/>
  <c r="JT14" i="26"/>
  <c r="JT20" i="26"/>
  <c r="KV4" i="26"/>
  <c r="KV12" i="26"/>
  <c r="KV7" i="26"/>
  <c r="KV15" i="26"/>
  <c r="LX5" i="26"/>
  <c r="LX9" i="26"/>
  <c r="LX6" i="26"/>
  <c r="LX18" i="26"/>
  <c r="LX21" i="26"/>
  <c r="MZ10" i="26"/>
  <c r="MZ13" i="26"/>
  <c r="MZ16" i="26"/>
  <c r="MZ17" i="26"/>
  <c r="OB8" i="26"/>
  <c r="OB11" i="26"/>
  <c r="OB14" i="26"/>
  <c r="OB20" i="26"/>
  <c r="PD4" i="26"/>
  <c r="PD12" i="26"/>
  <c r="PD7" i="26"/>
  <c r="PD15" i="26"/>
  <c r="AY9" i="26"/>
  <c r="AY13" i="26"/>
  <c r="AY16" i="26"/>
  <c r="AY17" i="26"/>
  <c r="CB8" i="26"/>
  <c r="CB11" i="26"/>
  <c r="CB14" i="26"/>
  <c r="CB20" i="26"/>
  <c r="OP25" i="22"/>
  <c r="OW25" i="22" s="1"/>
  <c r="AU4" i="22"/>
  <c r="AY4" i="22" s="1"/>
  <c r="DE7" i="26"/>
  <c r="DE18" i="26"/>
  <c r="EJ26" i="19"/>
  <c r="EJ34" i="19"/>
  <c r="EJ38" i="19"/>
  <c r="FL5" i="19"/>
  <c r="FL7" i="19"/>
  <c r="FL16" i="19"/>
  <c r="FL22" i="19"/>
  <c r="FL25" i="19"/>
  <c r="FL27" i="19"/>
  <c r="FL31" i="19"/>
  <c r="FL35" i="19"/>
  <c r="FL24" i="19"/>
  <c r="GN10" i="19"/>
  <c r="GN12" i="19"/>
  <c r="GN21" i="19"/>
  <c r="GN18" i="19"/>
  <c r="GN20" i="19"/>
  <c r="GN29" i="19"/>
  <c r="GN32" i="19"/>
  <c r="GN36" i="19"/>
  <c r="HP4" i="19"/>
  <c r="HP9" i="19"/>
  <c r="HP11" i="19"/>
  <c r="HP15" i="19"/>
  <c r="HP17" i="19"/>
  <c r="EJ4" i="19"/>
  <c r="EJ9" i="19"/>
  <c r="EJ11" i="19"/>
  <c r="EJ15" i="19"/>
  <c r="EJ17" i="19"/>
  <c r="EJ23" i="19"/>
  <c r="EJ28" i="19"/>
  <c r="EJ33" i="19"/>
  <c r="EJ37" i="19"/>
  <c r="FL6" i="19"/>
  <c r="FL13" i="19"/>
  <c r="FL14" i="19"/>
  <c r="FL19" i="19"/>
  <c r="FL8" i="19"/>
  <c r="FL26" i="19"/>
  <c r="FL39" i="19"/>
  <c r="FL34" i="19"/>
  <c r="FL38" i="19"/>
  <c r="GN5" i="19"/>
  <c r="GN7" i="19"/>
  <c r="GN16" i="19"/>
  <c r="GN22" i="19"/>
  <c r="GN25" i="19"/>
  <c r="GN27" i="19"/>
  <c r="GN31" i="19"/>
  <c r="GN35" i="19"/>
  <c r="GN24" i="19"/>
  <c r="HP10" i="19"/>
  <c r="HP12" i="19"/>
  <c r="HP21" i="19"/>
  <c r="HP23" i="19"/>
  <c r="HP28" i="19"/>
  <c r="HP33" i="19"/>
  <c r="HP37" i="19"/>
  <c r="IR6" i="19"/>
  <c r="IR13" i="19"/>
  <c r="IR14" i="19"/>
  <c r="IR19" i="19"/>
  <c r="IR8" i="19"/>
  <c r="IR26" i="19"/>
  <c r="IR39" i="19"/>
  <c r="IR34" i="19"/>
  <c r="IR38" i="19"/>
  <c r="JT5" i="19"/>
  <c r="JT7" i="19"/>
  <c r="JT16" i="19"/>
  <c r="JT22" i="19"/>
  <c r="JT25" i="19"/>
  <c r="JT27" i="19"/>
  <c r="JT31" i="19"/>
  <c r="JT35" i="19"/>
  <c r="JT24" i="19"/>
  <c r="KV10" i="19"/>
  <c r="KV12" i="19"/>
  <c r="KV21" i="19"/>
  <c r="KV18" i="19"/>
  <c r="KV20" i="19"/>
  <c r="KV29" i="19"/>
  <c r="KV32" i="19"/>
  <c r="KV36" i="19"/>
  <c r="LX4" i="19"/>
  <c r="LX9" i="19"/>
  <c r="LX11" i="19"/>
  <c r="LX15" i="19"/>
  <c r="LX17" i="19"/>
  <c r="LX23" i="19"/>
  <c r="LX28" i="19"/>
  <c r="LX33" i="19"/>
  <c r="LX37" i="19"/>
  <c r="MZ6" i="19"/>
  <c r="MZ13" i="19"/>
  <c r="MZ14" i="19"/>
  <c r="MZ19" i="19"/>
  <c r="MZ8" i="19"/>
  <c r="MZ26" i="19"/>
  <c r="MZ39" i="19"/>
  <c r="MZ34" i="19"/>
  <c r="MZ38" i="19"/>
  <c r="OB5" i="19"/>
  <c r="OB7" i="19"/>
  <c r="OB16" i="19"/>
  <c r="OB22" i="19"/>
  <c r="OB25" i="19"/>
  <c r="OB27" i="19"/>
  <c r="OB31" i="19"/>
  <c r="OB35" i="19"/>
  <c r="OB24" i="19"/>
  <c r="PD10" i="19"/>
  <c r="PD12" i="19"/>
  <c r="PD21" i="19"/>
  <c r="PD18" i="19"/>
  <c r="PD20" i="19"/>
  <c r="PD29" i="19"/>
  <c r="PD32" i="19"/>
  <c r="PD36" i="19"/>
  <c r="HP18" i="19"/>
  <c r="HP20" i="19"/>
  <c r="HP29" i="19"/>
  <c r="HP32" i="19"/>
  <c r="HP36" i="19"/>
  <c r="IR4" i="19"/>
  <c r="IR9" i="19"/>
  <c r="IR11" i="19"/>
  <c r="IR15" i="19"/>
  <c r="IR17" i="19"/>
  <c r="IR23" i="19"/>
  <c r="IR28" i="19"/>
  <c r="IR33" i="19"/>
  <c r="IR37" i="19"/>
  <c r="JT6" i="19"/>
  <c r="JT13" i="19"/>
  <c r="JT14" i="19"/>
  <c r="JT19" i="19"/>
  <c r="JT8" i="19"/>
  <c r="JT26" i="19"/>
  <c r="JT39" i="19"/>
  <c r="JT34" i="19"/>
  <c r="JT38" i="19"/>
  <c r="KV5" i="19"/>
  <c r="KV7" i="19"/>
  <c r="KV16" i="19"/>
  <c r="KV22" i="19"/>
  <c r="KV25" i="19"/>
  <c r="KV27" i="19"/>
  <c r="KV31" i="19"/>
  <c r="KV35" i="19"/>
  <c r="KV24" i="19"/>
  <c r="LX10" i="19"/>
  <c r="LX12" i="19"/>
  <c r="LX21" i="19"/>
  <c r="LX18" i="19"/>
  <c r="LX20" i="19"/>
  <c r="LX29" i="19"/>
  <c r="LX32" i="19"/>
  <c r="LX36" i="19"/>
  <c r="MZ4" i="19"/>
  <c r="MZ9" i="19"/>
  <c r="MZ11" i="19"/>
  <c r="MZ15" i="19"/>
  <c r="MZ17" i="19"/>
  <c r="MZ23" i="19"/>
  <c r="MZ28" i="19"/>
  <c r="MZ33" i="19"/>
  <c r="MZ37" i="19"/>
  <c r="OB6" i="19"/>
  <c r="OB13" i="19"/>
  <c r="OB14" i="19"/>
  <c r="OB19" i="19"/>
  <c r="OB8" i="19"/>
  <c r="OB26" i="19"/>
  <c r="OB39" i="19"/>
  <c r="OB34" i="19"/>
  <c r="OB38" i="19"/>
  <c r="PD5" i="19"/>
  <c r="PD7" i="19"/>
  <c r="PD16" i="19"/>
  <c r="PD22" i="19"/>
  <c r="PD25" i="19"/>
  <c r="PD27" i="19"/>
  <c r="PD31" i="19"/>
  <c r="PD35" i="19"/>
  <c r="PD24" i="19"/>
  <c r="AY6" i="19"/>
  <c r="AY13" i="19"/>
  <c r="AY14" i="19"/>
  <c r="AY19" i="19"/>
  <c r="AY17" i="19"/>
  <c r="AY26" i="19"/>
  <c r="AY39" i="19"/>
  <c r="AY34" i="19"/>
  <c r="AY38" i="19"/>
  <c r="CB5" i="19"/>
  <c r="CB7" i="19"/>
  <c r="CB16" i="19"/>
  <c r="CB22" i="19"/>
  <c r="CB25" i="19"/>
  <c r="CB27" i="19"/>
  <c r="CB31" i="19"/>
  <c r="CB35" i="19"/>
  <c r="CB24" i="19"/>
  <c r="FL19" i="27"/>
  <c r="FL18" i="27"/>
  <c r="GN5" i="27"/>
  <c r="GN8" i="27"/>
  <c r="GN19" i="27"/>
  <c r="GN18" i="27"/>
  <c r="HP5" i="27"/>
  <c r="HP8" i="27"/>
  <c r="HP19" i="27"/>
  <c r="HP18" i="27"/>
  <c r="IR5" i="27"/>
  <c r="IR8" i="27"/>
  <c r="IR19" i="27"/>
  <c r="IR18" i="27"/>
  <c r="JT5" i="27"/>
  <c r="JT8" i="27"/>
  <c r="JT19" i="27"/>
  <c r="JT18" i="27"/>
  <c r="KV5" i="27"/>
  <c r="KV8" i="27"/>
  <c r="KV19" i="27"/>
  <c r="KV18" i="27"/>
  <c r="LX5" i="27"/>
  <c r="LX8" i="27"/>
  <c r="LX19" i="27"/>
  <c r="LX18" i="27"/>
  <c r="MZ5" i="27"/>
  <c r="MZ8" i="27"/>
  <c r="MZ19" i="27"/>
  <c r="MZ18" i="27"/>
  <c r="OB5" i="27"/>
  <c r="OB8" i="27"/>
  <c r="OB19" i="27"/>
  <c r="OB18" i="27"/>
  <c r="PD5" i="27"/>
  <c r="PD8" i="27"/>
  <c r="PD19" i="27"/>
  <c r="PD18" i="27"/>
  <c r="AY4" i="27"/>
  <c r="AY9" i="27"/>
  <c r="AY12" i="27"/>
  <c r="JT7" i="27"/>
  <c r="JT11" i="27"/>
  <c r="JT16" i="27"/>
  <c r="JT17" i="27"/>
  <c r="KV7" i="27"/>
  <c r="KV11" i="27"/>
  <c r="KV16" i="27"/>
  <c r="KV17" i="27"/>
  <c r="LX7" i="27"/>
  <c r="LX11" i="27"/>
  <c r="LX16" i="27"/>
  <c r="LX17" i="27"/>
  <c r="MZ7" i="27"/>
  <c r="MZ11" i="27"/>
  <c r="MZ16" i="27"/>
  <c r="MZ17" i="27"/>
  <c r="OB7" i="27"/>
  <c r="OB11" i="27"/>
  <c r="OB16" i="27"/>
  <c r="OB17" i="27"/>
  <c r="PD7" i="27"/>
  <c r="PD11" i="27"/>
  <c r="PD16" i="27"/>
  <c r="PD17" i="27"/>
  <c r="AY5" i="27"/>
  <c r="AY8" i="27"/>
  <c r="AY19" i="27"/>
  <c r="AY18" i="27"/>
  <c r="CB5" i="27"/>
  <c r="CB8" i="27"/>
  <c r="CB19" i="27"/>
  <c r="CB18" i="27"/>
  <c r="QF18" i="27"/>
  <c r="QF14" i="27"/>
  <c r="QF15" i="27"/>
  <c r="QF8" i="27"/>
  <c r="EJ6" i="27"/>
  <c r="EJ10" i="27"/>
  <c r="EJ13" i="27"/>
  <c r="EJ14" i="27"/>
  <c r="FL6" i="27"/>
  <c r="FL10" i="27"/>
  <c r="FL13" i="27"/>
  <c r="FL14" i="27"/>
  <c r="GN6" i="27"/>
  <c r="GN10" i="27"/>
  <c r="HP6" i="27"/>
  <c r="HP10" i="27"/>
  <c r="HP13" i="27"/>
  <c r="HP14" i="27"/>
  <c r="IR6" i="27"/>
  <c r="IR13" i="27"/>
  <c r="JT6" i="27"/>
  <c r="JT10" i="27"/>
  <c r="JT13" i="27"/>
  <c r="JT14" i="27"/>
  <c r="KV6" i="27"/>
  <c r="KV10" i="27"/>
  <c r="KV13" i="27"/>
  <c r="KV14" i="27"/>
  <c r="LX6" i="27"/>
  <c r="LX10" i="27"/>
  <c r="LX13" i="27"/>
  <c r="LX14" i="27"/>
  <c r="MZ6" i="27"/>
  <c r="MZ10" i="27"/>
  <c r="MZ13" i="27"/>
  <c r="MZ14" i="27"/>
  <c r="OB6" i="27"/>
  <c r="OB10" i="27"/>
  <c r="OB13" i="27"/>
  <c r="OB14" i="27"/>
  <c r="PD6" i="27"/>
  <c r="PD10" i="27"/>
  <c r="PD13" i="27"/>
  <c r="PD14" i="27"/>
  <c r="QF7" i="26"/>
  <c r="DE20" i="26"/>
  <c r="DE17" i="26"/>
  <c r="QF18" i="26"/>
  <c r="EJ4" i="26"/>
  <c r="EJ7" i="26"/>
  <c r="EJ15" i="26"/>
  <c r="FL9" i="26"/>
  <c r="FL6" i="26"/>
  <c r="FL18" i="26"/>
  <c r="FL21" i="26"/>
  <c r="GN10" i="26"/>
  <c r="GN13" i="26"/>
  <c r="GN16" i="26"/>
  <c r="GN17" i="26"/>
  <c r="HP8" i="26"/>
  <c r="HP11" i="26"/>
  <c r="HP14" i="26"/>
  <c r="HP20" i="26"/>
  <c r="IR4" i="26"/>
  <c r="IR12" i="26"/>
  <c r="IR7" i="26"/>
  <c r="IR15" i="26"/>
  <c r="JT5" i="26"/>
  <c r="JT9" i="26"/>
  <c r="JT6" i="26"/>
  <c r="JT18" i="26"/>
  <c r="JT21" i="26"/>
  <c r="KV10" i="26"/>
  <c r="KV13" i="26"/>
  <c r="KV16" i="26"/>
  <c r="KV17" i="26"/>
  <c r="LX8" i="26"/>
  <c r="LX11" i="26"/>
  <c r="LX14" i="26"/>
  <c r="LX20" i="26"/>
  <c r="MZ4" i="26"/>
  <c r="MZ12" i="26"/>
  <c r="MZ7" i="26"/>
  <c r="MZ15" i="26"/>
  <c r="OB5" i="26"/>
  <c r="OB9" i="26"/>
  <c r="OB6" i="26"/>
  <c r="OB18" i="26"/>
  <c r="OB21" i="26"/>
  <c r="PD10" i="26"/>
  <c r="PD13" i="26"/>
  <c r="PD16" i="26"/>
  <c r="PD17" i="26"/>
  <c r="AY4" i="26"/>
  <c r="AY12" i="26"/>
  <c r="AY7" i="26"/>
  <c r="AY15" i="26"/>
  <c r="CB5" i="26"/>
  <c r="CB10" i="26"/>
  <c r="CB6" i="26"/>
  <c r="CB18" i="26"/>
  <c r="CB21" i="26"/>
  <c r="QF20" i="26"/>
  <c r="FL5" i="26"/>
  <c r="QF17" i="26"/>
  <c r="EJ12" i="26"/>
  <c r="EJ5" i="26"/>
  <c r="EJ9" i="26"/>
  <c r="EJ6" i="26"/>
  <c r="EJ18" i="26"/>
  <c r="EJ21" i="26"/>
  <c r="FL10" i="26"/>
  <c r="FL13" i="26"/>
  <c r="FL16" i="26"/>
  <c r="FL17" i="26"/>
  <c r="GN8" i="26"/>
  <c r="GN11" i="26"/>
  <c r="GN14" i="26"/>
  <c r="GN20" i="26"/>
  <c r="HP4" i="26"/>
  <c r="HP12" i="26"/>
  <c r="HP7" i="26"/>
  <c r="HP15" i="26"/>
  <c r="IR5" i="26"/>
  <c r="IR9" i="26"/>
  <c r="IR6" i="26"/>
  <c r="IR18" i="26"/>
  <c r="IR21" i="26"/>
  <c r="JT10" i="26"/>
  <c r="JT13" i="26"/>
  <c r="JT16" i="26"/>
  <c r="JT17" i="26"/>
  <c r="KV8" i="26"/>
  <c r="KV11" i="26"/>
  <c r="KV14" i="26"/>
  <c r="KV20" i="26"/>
  <c r="LX4" i="26"/>
  <c r="LX12" i="26"/>
  <c r="LX7" i="26"/>
  <c r="LX15" i="26"/>
  <c r="MZ5" i="26"/>
  <c r="MZ9" i="26"/>
  <c r="MZ6" i="26"/>
  <c r="MZ18" i="26"/>
  <c r="MZ21" i="26"/>
  <c r="OB10" i="26"/>
  <c r="OB13" i="26"/>
  <c r="OB16" i="26"/>
  <c r="OB17" i="26"/>
  <c r="PD8" i="26"/>
  <c r="PD11" i="26"/>
  <c r="PD14" i="26"/>
  <c r="PD20" i="26"/>
  <c r="AY5" i="26"/>
  <c r="AY10" i="26"/>
  <c r="AY6" i="26"/>
  <c r="AY18" i="26"/>
  <c r="AY21" i="26"/>
  <c r="CB9" i="26"/>
  <c r="CB13" i="26"/>
  <c r="CB16" i="26"/>
  <c r="CB17" i="26"/>
  <c r="AU13" i="22"/>
  <c r="AY13" i="22" s="1"/>
  <c r="AU7" i="22"/>
  <c r="AY7" i="22" s="1"/>
  <c r="AU15" i="22"/>
  <c r="AY15" i="22" s="1"/>
  <c r="AU29" i="22"/>
  <c r="AY29" i="22" s="1"/>
  <c r="BV15" i="22"/>
  <c r="BZ15" i="22" s="1"/>
  <c r="BV25" i="22"/>
  <c r="BZ25" i="22" s="1"/>
  <c r="AU14" i="22"/>
  <c r="AY14" i="22" s="1"/>
  <c r="AU5" i="4"/>
  <c r="AY5" i="4" s="1"/>
  <c r="LZ30" i="4"/>
  <c r="MG30" i="4" s="1"/>
  <c r="GT30" i="4"/>
  <c r="HA30" i="4" s="1"/>
  <c r="AU4" i="4"/>
  <c r="AY4" i="4" s="1"/>
  <c r="AU11" i="4"/>
  <c r="AY11" i="4" s="1"/>
  <c r="AU22" i="4"/>
  <c r="AY22" i="4" s="1"/>
  <c r="SN27" i="4"/>
  <c r="SU27" i="4" s="1"/>
  <c r="CW30" i="4"/>
  <c r="DA30" i="4" s="1"/>
  <c r="AY6" i="21"/>
  <c r="AY8" i="21"/>
  <c r="AY15" i="21"/>
  <c r="AY20" i="21"/>
  <c r="AY23" i="21"/>
  <c r="AY26" i="21"/>
  <c r="AY7" i="21"/>
  <c r="AY12" i="21"/>
  <c r="AY17" i="21"/>
  <c r="AY18" i="21"/>
  <c r="AY11" i="21"/>
  <c r="CB4" i="21"/>
  <c r="CB9" i="21"/>
  <c r="CB13" i="21"/>
  <c r="CB19" i="21"/>
  <c r="CB21" i="21"/>
  <c r="CB24" i="21"/>
  <c r="AY5" i="21"/>
  <c r="AY10" i="21"/>
  <c r="AY14" i="21"/>
  <c r="AY16" i="21"/>
  <c r="AY22" i="21"/>
  <c r="AY25" i="21"/>
  <c r="CB6" i="21"/>
  <c r="CB8" i="21"/>
  <c r="CB15" i="21"/>
  <c r="CB20" i="21"/>
  <c r="CB23" i="21"/>
  <c r="CB26" i="21"/>
  <c r="AY4" i="21"/>
  <c r="AY9" i="21"/>
  <c r="AY13" i="21"/>
  <c r="AY19" i="21"/>
  <c r="AY21" i="21"/>
  <c r="AY24" i="21"/>
  <c r="CB5" i="21"/>
  <c r="CB10" i="21"/>
  <c r="CB14" i="21"/>
  <c r="CB16" i="21"/>
  <c r="CB22" i="21"/>
  <c r="CB25" i="21"/>
  <c r="EJ10" i="19"/>
  <c r="EJ12" i="19"/>
  <c r="EJ21" i="19"/>
  <c r="EJ18" i="19"/>
  <c r="EJ20" i="19"/>
  <c r="EJ29" i="19"/>
  <c r="EJ32" i="19"/>
  <c r="EJ36" i="19"/>
  <c r="EJ5" i="19"/>
  <c r="EJ7" i="19"/>
  <c r="EJ16" i="19"/>
  <c r="EJ22" i="19"/>
  <c r="EJ25" i="19"/>
  <c r="EJ27" i="19"/>
  <c r="EJ31" i="19"/>
  <c r="EJ35" i="19"/>
  <c r="EJ24" i="19"/>
  <c r="AY10" i="19"/>
  <c r="AY12" i="19"/>
  <c r="AY21" i="19"/>
  <c r="AY18" i="19"/>
  <c r="AY20" i="19"/>
  <c r="AY29" i="19"/>
  <c r="AY32" i="19"/>
  <c r="AY36" i="19"/>
  <c r="CB4" i="19"/>
  <c r="CB9" i="19"/>
  <c r="CB11" i="19"/>
  <c r="CB15" i="19"/>
  <c r="CB8" i="19"/>
  <c r="CB23" i="19"/>
  <c r="CB28" i="19"/>
  <c r="CB33" i="19"/>
  <c r="CB37" i="19"/>
  <c r="EJ6" i="19"/>
  <c r="EJ13" i="19"/>
  <c r="EJ14" i="19"/>
  <c r="EJ19" i="19"/>
  <c r="EJ8" i="19"/>
  <c r="EJ39" i="19"/>
  <c r="DE31" i="19"/>
  <c r="DE23" i="19"/>
  <c r="DE34" i="19"/>
  <c r="DE35" i="19"/>
  <c r="DE37" i="19"/>
  <c r="AY5" i="19"/>
  <c r="AY7" i="19"/>
  <c r="AY16" i="19"/>
  <c r="AY22" i="19"/>
  <c r="AY25" i="19"/>
  <c r="AY27" i="19"/>
  <c r="AY31" i="19"/>
  <c r="AY35" i="19"/>
  <c r="AY24" i="19"/>
  <c r="CB10" i="19"/>
  <c r="CB12" i="19"/>
  <c r="CB21" i="19"/>
  <c r="CB18" i="19"/>
  <c r="CB20" i="19"/>
  <c r="CB29" i="19"/>
  <c r="CB32" i="19"/>
  <c r="CB36" i="19"/>
  <c r="AY6" i="27"/>
  <c r="AY10" i="27"/>
  <c r="AY13" i="27"/>
  <c r="AY14" i="27"/>
  <c r="CB6" i="27"/>
  <c r="CB10" i="27"/>
  <c r="CB13" i="27"/>
  <c r="CB14" i="27"/>
  <c r="EJ5" i="27"/>
  <c r="EJ8" i="27"/>
  <c r="EJ19" i="27"/>
  <c r="EJ18" i="27"/>
  <c r="FL5" i="27"/>
  <c r="FL8" i="27"/>
  <c r="DE18" i="27"/>
  <c r="DE14" i="27"/>
  <c r="DE15" i="27"/>
  <c r="DE8" i="27"/>
  <c r="AY15" i="27"/>
  <c r="CB4" i="27"/>
  <c r="CB9" i="27"/>
  <c r="CB12" i="27"/>
  <c r="CB15" i="27"/>
  <c r="EJ7" i="27"/>
  <c r="EJ11" i="27"/>
  <c r="EJ16" i="27"/>
  <c r="EJ17" i="27"/>
  <c r="FL7" i="27"/>
  <c r="FL11" i="27"/>
  <c r="FL16" i="27"/>
  <c r="FL17" i="27"/>
  <c r="GN7" i="27"/>
  <c r="GN11" i="27"/>
  <c r="GN16" i="27"/>
  <c r="GN17" i="27"/>
  <c r="HP7" i="27"/>
  <c r="HP11" i="27"/>
  <c r="HP16" i="27"/>
  <c r="HP17" i="27"/>
  <c r="IR7" i="27"/>
  <c r="IR11" i="27"/>
  <c r="IR16" i="27"/>
  <c r="IR17" i="27"/>
  <c r="GN13" i="27"/>
  <c r="GN14" i="27"/>
  <c r="IR10" i="27"/>
  <c r="IR14" i="27"/>
  <c r="AV7" i="27"/>
  <c r="AY7" i="27"/>
  <c r="AY11" i="27"/>
  <c r="AY16" i="27"/>
  <c r="AY17" i="27"/>
  <c r="CB7" i="27"/>
  <c r="CB11" i="27"/>
  <c r="CB16" i="27"/>
  <c r="CB17" i="27"/>
  <c r="AV5" i="27"/>
  <c r="AV9" i="27"/>
  <c r="AV10" i="27"/>
  <c r="AV11" i="27"/>
  <c r="AV8" i="27"/>
  <c r="AV12" i="27"/>
  <c r="AV13" i="27"/>
  <c r="AV16" i="27"/>
  <c r="AV19" i="27"/>
  <c r="AV15" i="27"/>
  <c r="AV14" i="27"/>
  <c r="AV17" i="27"/>
  <c r="AV18" i="27"/>
  <c r="AV4" i="27"/>
  <c r="AV6" i="27"/>
  <c r="AY20" i="22"/>
  <c r="BZ28" i="22"/>
  <c r="BZ6" i="22"/>
  <c r="BZ14" i="22"/>
  <c r="BV30" i="22"/>
  <c r="BZ30" i="22" s="1"/>
  <c r="AY30" i="22"/>
  <c r="BV4" i="22"/>
  <c r="BZ4" i="22" s="1"/>
  <c r="BV11" i="22"/>
  <c r="BZ11" i="22" s="1"/>
  <c r="BV20" i="22"/>
  <c r="BZ20" i="22" s="1"/>
  <c r="BV27" i="22"/>
  <c r="BZ27" i="22" s="1"/>
  <c r="AU31" i="22"/>
  <c r="AY31" i="22" s="1"/>
  <c r="AU27" i="22"/>
  <c r="AY27" i="22" s="1"/>
  <c r="BV8" i="22"/>
  <c r="BZ8" i="22" s="1"/>
  <c r="BV18" i="22"/>
  <c r="BZ18" i="22" s="1"/>
  <c r="BV24" i="22"/>
  <c r="BZ24" i="22" s="1"/>
  <c r="BV33" i="22"/>
  <c r="BZ33" i="22" s="1"/>
  <c r="AU12" i="22"/>
  <c r="AY12" i="22" s="1"/>
  <c r="AU19" i="22"/>
  <c r="AY19" i="22" s="1"/>
  <c r="AU6" i="22"/>
  <c r="AY6" i="22" s="1"/>
  <c r="AU16" i="22"/>
  <c r="AY16" i="22" s="1"/>
  <c r="BV12" i="22"/>
  <c r="BZ12" i="22" s="1"/>
  <c r="AY9" i="22"/>
  <c r="AY8" i="22"/>
  <c r="AY22" i="22"/>
  <c r="AU18" i="22"/>
  <c r="AY18" i="22" s="1"/>
  <c r="AY23" i="22"/>
  <c r="AY32" i="22"/>
  <c r="BV9" i="22"/>
  <c r="BZ9" i="22" s="1"/>
  <c r="BV23" i="22"/>
  <c r="BZ23" i="22" s="1"/>
  <c r="AY24" i="22"/>
  <c r="AU10" i="22"/>
  <c r="AY10" i="22" s="1"/>
  <c r="AY25" i="22"/>
  <c r="AU9" i="4"/>
  <c r="AY9" i="4" s="1"/>
  <c r="AU26" i="4"/>
  <c r="AY26" i="4" s="1"/>
  <c r="BV15" i="4"/>
  <c r="BZ15" i="4" s="1"/>
  <c r="PX30" i="4"/>
  <c r="QE30" i="4" s="1"/>
  <c r="KR30" i="4"/>
  <c r="KY30" i="4" s="1"/>
  <c r="IB30" i="4"/>
  <c r="II30" i="4" s="1"/>
  <c r="IB27" i="4"/>
  <c r="II27" i="4" s="1"/>
  <c r="BV32" i="4"/>
  <c r="AU8" i="4"/>
  <c r="AY8" i="4" s="1"/>
  <c r="AU19" i="4"/>
  <c r="AY19" i="4" s="1"/>
  <c r="RF30" i="4"/>
  <c r="RM30" i="4" s="1"/>
  <c r="BZ30" i="4"/>
  <c r="L30" i="4"/>
  <c r="M30" i="4" s="1"/>
  <c r="FL30" i="4"/>
  <c r="FS30" i="4" s="1"/>
  <c r="BZ27" i="4"/>
  <c r="RF27" i="4"/>
  <c r="RM27" i="4" s="1"/>
  <c r="OP27" i="4"/>
  <c r="OW27" i="4" s="1"/>
  <c r="LZ27" i="4"/>
  <c r="MG27" i="4" s="1"/>
  <c r="JJ27" i="4"/>
  <c r="JQ27" i="4" s="1"/>
  <c r="GT27" i="4"/>
  <c r="HA27" i="4" s="1"/>
  <c r="ED27" i="4"/>
  <c r="EK27" i="4" s="1"/>
  <c r="BV7" i="22"/>
  <c r="BZ7" i="22" s="1"/>
  <c r="AU28" i="22"/>
  <c r="AY28" i="22" s="1"/>
  <c r="AY26" i="22"/>
  <c r="BV13" i="22"/>
  <c r="BZ13" i="22" s="1"/>
  <c r="BV32" i="22"/>
  <c r="BZ32" i="22" s="1"/>
  <c r="AU5" i="22"/>
  <c r="AY5" i="22" s="1"/>
  <c r="AU21" i="22"/>
  <c r="AY21" i="22" s="1"/>
  <c r="BV10" i="22"/>
  <c r="BZ10" i="22" s="1"/>
  <c r="BV22" i="22"/>
  <c r="BZ22" i="22" s="1"/>
  <c r="BV5" i="22"/>
  <c r="BZ5" i="22" s="1"/>
  <c r="BV19" i="22"/>
  <c r="BZ19" i="22" s="1"/>
  <c r="BV17" i="22"/>
  <c r="BZ17" i="22" s="1"/>
  <c r="BV16" i="22"/>
  <c r="BZ16" i="22" s="1"/>
  <c r="BV26" i="22"/>
  <c r="BZ26" i="22" s="1"/>
  <c r="NH32" i="22"/>
  <c r="NO32" i="22" s="1"/>
  <c r="AY17" i="22"/>
  <c r="BZ31" i="22"/>
  <c r="BZ21" i="22"/>
  <c r="BZ29" i="22"/>
  <c r="AU11" i="22"/>
  <c r="AY11" i="22" s="1"/>
  <c r="CW27" i="4"/>
  <c r="DA27" i="4" s="1"/>
  <c r="SN30" i="4"/>
  <c r="SU30" i="4" s="1"/>
  <c r="OP30" i="4"/>
  <c r="OW30" i="4" s="1"/>
  <c r="NH30" i="4"/>
  <c r="NO30" i="4" s="1"/>
  <c r="JJ30" i="4"/>
  <c r="JQ30" i="4" s="1"/>
  <c r="ED30" i="4"/>
  <c r="EK30" i="4" s="1"/>
  <c r="TQ30" i="4"/>
  <c r="TN30" i="4"/>
  <c r="N30" i="4"/>
  <c r="O30" i="4" s="1"/>
  <c r="R30" i="4"/>
  <c r="S30" i="4" s="1"/>
  <c r="H30" i="4"/>
  <c r="P30" i="4"/>
  <c r="DC30" i="4" s="1"/>
  <c r="T30" i="4"/>
  <c r="U30" i="4" s="1"/>
  <c r="TU30" i="4"/>
  <c r="K30" i="4"/>
  <c r="I30" i="4"/>
  <c r="AU30" i="4"/>
  <c r="AY30" i="4" s="1"/>
  <c r="AU13" i="4"/>
  <c r="AY13" i="4" s="1"/>
  <c r="BV19" i="4"/>
  <c r="BZ19" i="4" s="1"/>
  <c r="BZ22" i="4"/>
  <c r="BV13" i="4"/>
  <c r="BZ13" i="4" s="1"/>
  <c r="AU10" i="4"/>
  <c r="AY10" i="4" s="1"/>
  <c r="AY15" i="4"/>
  <c r="AU17" i="4"/>
  <c r="AY17" i="4" s="1"/>
  <c r="BZ11" i="4"/>
  <c r="BZ17" i="4"/>
  <c r="NH33" i="4"/>
  <c r="NO33" i="4" s="1"/>
  <c r="IB33" i="4"/>
  <c r="II33" i="4" s="1"/>
  <c r="AU6" i="4"/>
  <c r="AY6" i="4" s="1"/>
  <c r="AU25" i="4"/>
  <c r="AY25" i="4" s="1"/>
  <c r="BV10" i="4"/>
  <c r="BZ10" i="4" s="1"/>
  <c r="BV21" i="4"/>
  <c r="BZ21" i="4" s="1"/>
  <c r="BZ24" i="4"/>
  <c r="BV14" i="4"/>
  <c r="BZ14" i="4" s="1"/>
  <c r="TQ27" i="4"/>
  <c r="NH27" i="4"/>
  <c r="NO27" i="4" s="1"/>
  <c r="FL27" i="4"/>
  <c r="FS27" i="4" s="1"/>
  <c r="AU18" i="4"/>
  <c r="AY18" i="4" s="1"/>
  <c r="BV25" i="4"/>
  <c r="BZ25" i="4" s="1"/>
  <c r="AY14" i="4"/>
  <c r="AU7" i="4"/>
  <c r="AY7" i="4" s="1"/>
  <c r="AU24" i="4"/>
  <c r="AY24" i="4" s="1"/>
  <c r="BV5" i="4"/>
  <c r="BZ5" i="4" s="1"/>
  <c r="BV18" i="4"/>
  <c r="BZ18" i="4" s="1"/>
  <c r="BV26" i="4"/>
  <c r="BZ26" i="4" s="1"/>
  <c r="PX27" i="4"/>
  <c r="QE27" i="4" s="1"/>
  <c r="KR27" i="4"/>
  <c r="KY27" i="4" s="1"/>
  <c r="TU27" i="4"/>
  <c r="TN27" i="4"/>
  <c r="N27" i="4"/>
  <c r="O27" i="4" s="1"/>
  <c r="L27" i="4"/>
  <c r="M27" i="4" s="1"/>
  <c r="T27" i="4"/>
  <c r="U27" i="4" s="1"/>
  <c r="H27" i="4"/>
  <c r="K27" i="4"/>
  <c r="R27" i="4"/>
  <c r="S27" i="4" s="1"/>
  <c r="I27" i="4"/>
  <c r="P27" i="4"/>
  <c r="AU27" i="4"/>
  <c r="AY27" i="4" s="1"/>
  <c r="BV7" i="4"/>
  <c r="BZ7" i="4" s="1"/>
  <c r="BV33" i="4"/>
  <c r="BZ33" i="4" s="1"/>
  <c r="AU23" i="4"/>
  <c r="AY23" i="4" s="1"/>
  <c r="BV9" i="4"/>
  <c r="BZ9" i="4" s="1"/>
  <c r="BV31" i="4"/>
  <c r="BZ31" i="4" s="1"/>
  <c r="AU16" i="4"/>
  <c r="AY16" i="4" s="1"/>
  <c r="AU21" i="4"/>
  <c r="AY21" i="4" s="1"/>
  <c r="AU28" i="4"/>
  <c r="AY28" i="4" s="1"/>
  <c r="BV20" i="4"/>
  <c r="BZ20" i="4" s="1"/>
  <c r="BZ4" i="4"/>
  <c r="BV8" i="4"/>
  <c r="BZ8" i="4" s="1"/>
  <c r="BZ12" i="4"/>
  <c r="BV29" i="4"/>
  <c r="BZ29" i="4" s="1"/>
  <c r="AY33" i="4"/>
  <c r="BV6" i="4"/>
  <c r="BZ6" i="4" s="1"/>
  <c r="BV23" i="4"/>
  <c r="BZ23" i="4" s="1"/>
  <c r="AU12" i="4"/>
  <c r="AY12" i="4" s="1"/>
  <c r="AU20" i="4"/>
  <c r="AY20" i="4" s="1"/>
  <c r="AY31" i="4"/>
  <c r="BV16" i="4"/>
  <c r="BZ16" i="4" s="1"/>
  <c r="BV28" i="4"/>
  <c r="BZ28" i="4" s="1"/>
  <c r="BZ32" i="4"/>
  <c r="BY4" i="21"/>
  <c r="BY5" i="21"/>
  <c r="BY6" i="21"/>
  <c r="BY7" i="21"/>
  <c r="BY9" i="21"/>
  <c r="BY10" i="21"/>
  <c r="BY8" i="21"/>
  <c r="BY12" i="21"/>
  <c r="BY13" i="21"/>
  <c r="BY14" i="21"/>
  <c r="BY15" i="21"/>
  <c r="BY17" i="21"/>
  <c r="BY19" i="21"/>
  <c r="BY16" i="21"/>
  <c r="BY20" i="21"/>
  <c r="BY18" i="21"/>
  <c r="BY21" i="21"/>
  <c r="BY22" i="21"/>
  <c r="BY23" i="21"/>
  <c r="BY11" i="21"/>
  <c r="BY24" i="21"/>
  <c r="BY25" i="21"/>
  <c r="BY26" i="21"/>
  <c r="AV4" i="21"/>
  <c r="AV5" i="21"/>
  <c r="AV6" i="21"/>
  <c r="AV7" i="21"/>
  <c r="AV9" i="21"/>
  <c r="AV10" i="21"/>
  <c r="AV8" i="21"/>
  <c r="AV12" i="21"/>
  <c r="AV13" i="21"/>
  <c r="AV14" i="21"/>
  <c r="AV15" i="21"/>
  <c r="AV17" i="21"/>
  <c r="AV19" i="21"/>
  <c r="AV16" i="21"/>
  <c r="AV20" i="21"/>
  <c r="AV18" i="21"/>
  <c r="AV21" i="21"/>
  <c r="AV22" i="21"/>
  <c r="AV23" i="21"/>
  <c r="AV11" i="21"/>
  <c r="AV24" i="21"/>
  <c r="AV25" i="21"/>
  <c r="AV26" i="21"/>
  <c r="BY4" i="19"/>
  <c r="BY6" i="19"/>
  <c r="BY5" i="19"/>
  <c r="BY10" i="19"/>
  <c r="BY9" i="19"/>
  <c r="BY13" i="19"/>
  <c r="BY7" i="19"/>
  <c r="BY12" i="19"/>
  <c r="BY11" i="19"/>
  <c r="BY14" i="19"/>
  <c r="BY16" i="19"/>
  <c r="BY21" i="19"/>
  <c r="BY15" i="19"/>
  <c r="BY19" i="19"/>
  <c r="BY22" i="19"/>
  <c r="BY18" i="19"/>
  <c r="BY8" i="19"/>
  <c r="BY17" i="19"/>
  <c r="BY25" i="19"/>
  <c r="BY20" i="19"/>
  <c r="BY23" i="19"/>
  <c r="BY26" i="19"/>
  <c r="BY27" i="19"/>
  <c r="BY29" i="19"/>
  <c r="BY28" i="19"/>
  <c r="BY39" i="19"/>
  <c r="BY31" i="19"/>
  <c r="BY32" i="19"/>
  <c r="BY33" i="19"/>
  <c r="BY34" i="19"/>
  <c r="BY35" i="19"/>
  <c r="BY36" i="19"/>
  <c r="BY37" i="19"/>
  <c r="BY38" i="19"/>
  <c r="BY24" i="19"/>
  <c r="AV4" i="19"/>
  <c r="AV6" i="19"/>
  <c r="AV5" i="19"/>
  <c r="AV10" i="19"/>
  <c r="AV9" i="19"/>
  <c r="AV13" i="19"/>
  <c r="AV7" i="19"/>
  <c r="AV12" i="19"/>
  <c r="AV11" i="19"/>
  <c r="AV14" i="19"/>
  <c r="AV16" i="19"/>
  <c r="AV21" i="19"/>
  <c r="AV15" i="19"/>
  <c r="AV19" i="19"/>
  <c r="AV22" i="19"/>
  <c r="AV18" i="19"/>
  <c r="AV8" i="19"/>
  <c r="AV17" i="19"/>
  <c r="AV25" i="19"/>
  <c r="AV20" i="19"/>
  <c r="AV23" i="19"/>
  <c r="AV26" i="19"/>
  <c r="AV27" i="19"/>
  <c r="AV29" i="19"/>
  <c r="AV28" i="19"/>
  <c r="AV39" i="19"/>
  <c r="AV31" i="19"/>
  <c r="AV32" i="19"/>
  <c r="AV33" i="19"/>
  <c r="AV34" i="19"/>
  <c r="AV35" i="19"/>
  <c r="AV36" i="19"/>
  <c r="AV37" i="19"/>
  <c r="AV38" i="19"/>
  <c r="AV24" i="19"/>
  <c r="BY4" i="27"/>
  <c r="BY6" i="27"/>
  <c r="BY7" i="27"/>
  <c r="BY5" i="27"/>
  <c r="BY9" i="27"/>
  <c r="BY10" i="27"/>
  <c r="BY11" i="27"/>
  <c r="BY8" i="27"/>
  <c r="BY12" i="27"/>
  <c r="BY13" i="27"/>
  <c r="BY16" i="27"/>
  <c r="BY19" i="27"/>
  <c r="BY15" i="27"/>
  <c r="BY14" i="27"/>
  <c r="BY17" i="27"/>
  <c r="BY18" i="27"/>
  <c r="BY5" i="26"/>
  <c r="BY4" i="26"/>
  <c r="BY8" i="26"/>
  <c r="BY9" i="26"/>
  <c r="BY10" i="26"/>
  <c r="BY12" i="26"/>
  <c r="BY11" i="26"/>
  <c r="BY13" i="26"/>
  <c r="BY6" i="26"/>
  <c r="BY7" i="26"/>
  <c r="BY14" i="26"/>
  <c r="BY16" i="26"/>
  <c r="BY18" i="26"/>
  <c r="BY15" i="26"/>
  <c r="BY20" i="26"/>
  <c r="BY17" i="26"/>
  <c r="BY21" i="26"/>
  <c r="AV5" i="26"/>
  <c r="AV4" i="26"/>
  <c r="AV8" i="26"/>
  <c r="AV9" i="26"/>
  <c r="AV10" i="26"/>
  <c r="AV12" i="26"/>
  <c r="AV11" i="26"/>
  <c r="AV13" i="26"/>
  <c r="AV6" i="26"/>
  <c r="AV7" i="26"/>
  <c r="AV14" i="26"/>
  <c r="AV16" i="26"/>
  <c r="AV18" i="26"/>
  <c r="AV15" i="26"/>
  <c r="AV20" i="26"/>
  <c r="AV17" i="26"/>
  <c r="AV21" i="26"/>
  <c r="CW32" i="22"/>
  <c r="DA32" i="22" s="1"/>
  <c r="H35" i="19"/>
  <c r="I18" i="27"/>
  <c r="H33" i="4"/>
  <c r="I23" i="19"/>
  <c r="H23" i="19"/>
  <c r="I35" i="19"/>
  <c r="I34" i="19"/>
  <c r="I31" i="19"/>
  <c r="H31" i="19"/>
  <c r="H34" i="19"/>
  <c r="I37" i="19"/>
  <c r="H37" i="19"/>
  <c r="H18" i="27"/>
  <c r="I15" i="27"/>
  <c r="H15" i="27"/>
  <c r="I14" i="27"/>
  <c r="I8" i="27"/>
  <c r="H14" i="27"/>
  <c r="H8" i="27"/>
  <c r="I18" i="26"/>
  <c r="I17" i="26"/>
  <c r="H18" i="26"/>
  <c r="H17" i="26"/>
  <c r="I7" i="26"/>
  <c r="I20" i="26"/>
  <c r="H7" i="26"/>
  <c r="H20" i="26"/>
  <c r="H9" i="22"/>
  <c r="I20" i="22"/>
  <c r="H17" i="22"/>
  <c r="I30" i="22"/>
  <c r="H33" i="22"/>
  <c r="I32" i="22"/>
  <c r="H20" i="22"/>
  <c r="I22" i="22"/>
  <c r="H30" i="22"/>
  <c r="I26" i="22"/>
  <c r="H32" i="22"/>
  <c r="H22" i="22"/>
  <c r="I24" i="22"/>
  <c r="H26" i="22"/>
  <c r="I25" i="22"/>
  <c r="RF32" i="22"/>
  <c r="RM32" i="22" s="1"/>
  <c r="LZ32" i="22"/>
  <c r="MG32" i="22" s="1"/>
  <c r="GT32" i="22"/>
  <c r="HA32" i="22" s="1"/>
  <c r="I9" i="22"/>
  <c r="H24" i="22"/>
  <c r="I17" i="22"/>
  <c r="H25" i="22"/>
  <c r="I33" i="22"/>
  <c r="IB26" i="22"/>
  <c r="II26" i="22" s="1"/>
  <c r="NH25" i="22"/>
  <c r="NO25" i="22" s="1"/>
  <c r="I29" i="4"/>
  <c r="I31" i="4"/>
  <c r="H29" i="4"/>
  <c r="H31" i="4"/>
  <c r="I33" i="4"/>
  <c r="SN33" i="4"/>
  <c r="SU33" i="4" s="1"/>
  <c r="QC8" i="27"/>
  <c r="P17" i="26"/>
  <c r="DG17" i="26" s="1"/>
  <c r="RG18" i="26"/>
  <c r="RB18" i="26"/>
  <c r="QC17" i="26"/>
  <c r="PA4" i="19"/>
  <c r="PA6" i="19"/>
  <c r="PA5" i="19"/>
  <c r="PA10" i="19"/>
  <c r="PA9" i="19"/>
  <c r="PA13" i="19"/>
  <c r="PA7" i="19"/>
  <c r="PA12" i="19"/>
  <c r="PA11" i="19"/>
  <c r="PA14" i="19"/>
  <c r="PA16" i="19"/>
  <c r="PA21" i="19"/>
  <c r="PA15" i="19"/>
  <c r="PA19" i="19"/>
  <c r="PA22" i="19"/>
  <c r="PA18" i="19"/>
  <c r="PA17" i="19"/>
  <c r="PA8" i="19"/>
  <c r="PA25" i="19"/>
  <c r="PA20" i="19"/>
  <c r="PA23" i="19"/>
  <c r="PA26" i="19"/>
  <c r="PA27" i="19"/>
  <c r="PA29" i="19"/>
  <c r="PA28" i="19"/>
  <c r="PA39" i="19"/>
  <c r="PA31" i="19"/>
  <c r="PA32" i="19"/>
  <c r="PA33" i="19"/>
  <c r="PA34" i="19"/>
  <c r="PA35" i="19"/>
  <c r="PA36" i="19"/>
  <c r="PA37" i="19"/>
  <c r="PA38" i="19"/>
  <c r="PA24" i="19"/>
  <c r="NY4" i="19"/>
  <c r="NY6" i="19"/>
  <c r="NY5" i="19"/>
  <c r="NY10" i="19"/>
  <c r="NY9" i="19"/>
  <c r="NY13" i="19"/>
  <c r="NY7" i="19"/>
  <c r="NY12" i="19"/>
  <c r="NY11" i="19"/>
  <c r="NY14" i="19"/>
  <c r="NY16" i="19"/>
  <c r="NY21" i="19"/>
  <c r="NY15" i="19"/>
  <c r="NY19" i="19"/>
  <c r="NY22" i="19"/>
  <c r="NY18" i="19"/>
  <c r="NY17" i="19"/>
  <c r="NY8" i="19"/>
  <c r="NY25" i="19"/>
  <c r="NY20" i="19"/>
  <c r="NY23" i="19"/>
  <c r="NY26" i="19"/>
  <c r="NY27" i="19"/>
  <c r="NY29" i="19"/>
  <c r="NY28" i="19"/>
  <c r="NY39" i="19"/>
  <c r="NY31" i="19"/>
  <c r="NY32" i="19"/>
  <c r="NY33" i="19"/>
  <c r="NY34" i="19"/>
  <c r="NY35" i="19"/>
  <c r="NY36" i="19"/>
  <c r="NY37" i="19"/>
  <c r="NY38" i="19"/>
  <c r="NY24" i="19"/>
  <c r="MW4" i="19"/>
  <c r="MW6" i="19"/>
  <c r="MW5" i="19"/>
  <c r="MW10" i="19"/>
  <c r="MW9" i="19"/>
  <c r="MW13" i="19"/>
  <c r="MW7" i="19"/>
  <c r="MW12" i="19"/>
  <c r="MW11" i="19"/>
  <c r="MW14" i="19"/>
  <c r="MW16" i="19"/>
  <c r="MW21" i="19"/>
  <c r="MW15" i="19"/>
  <c r="MW19" i="19"/>
  <c r="MW22" i="19"/>
  <c r="MW18" i="19"/>
  <c r="MW17" i="19"/>
  <c r="MW8" i="19"/>
  <c r="MW25" i="19"/>
  <c r="MW20" i="19"/>
  <c r="MW23" i="19"/>
  <c r="MW26" i="19"/>
  <c r="MW27" i="19"/>
  <c r="MW29" i="19"/>
  <c r="MW28" i="19"/>
  <c r="MW39" i="19"/>
  <c r="MW31" i="19"/>
  <c r="MW32" i="19"/>
  <c r="MW33" i="19"/>
  <c r="MW34" i="19"/>
  <c r="MW35" i="19"/>
  <c r="MW36" i="19"/>
  <c r="MW37" i="19"/>
  <c r="MW38" i="19"/>
  <c r="MW24" i="19"/>
  <c r="LU4" i="19"/>
  <c r="LU6" i="19"/>
  <c r="LU5" i="19"/>
  <c r="LU10" i="19"/>
  <c r="LU9" i="19"/>
  <c r="LU13" i="19"/>
  <c r="LU7" i="19"/>
  <c r="LU12" i="19"/>
  <c r="LU11" i="19"/>
  <c r="LU14" i="19"/>
  <c r="LU16" i="19"/>
  <c r="LU21" i="19"/>
  <c r="LU15" i="19"/>
  <c r="LU19" i="19"/>
  <c r="LU22" i="19"/>
  <c r="LU18" i="19"/>
  <c r="LU17" i="19"/>
  <c r="LU8" i="19"/>
  <c r="LU25" i="19"/>
  <c r="LU20" i="19"/>
  <c r="LU23" i="19"/>
  <c r="LU26" i="19"/>
  <c r="LU27" i="19"/>
  <c r="LU29" i="19"/>
  <c r="LU28" i="19"/>
  <c r="LU39" i="19"/>
  <c r="LU31" i="19"/>
  <c r="LU32" i="19"/>
  <c r="LU33" i="19"/>
  <c r="LU34" i="19"/>
  <c r="LU35" i="19"/>
  <c r="LU36" i="19"/>
  <c r="LU37" i="19"/>
  <c r="LU38" i="19"/>
  <c r="LU24" i="19"/>
  <c r="KS4" i="19"/>
  <c r="KS6" i="19"/>
  <c r="KS5" i="19"/>
  <c r="KS10" i="19"/>
  <c r="KS9" i="19"/>
  <c r="KS13" i="19"/>
  <c r="KS7" i="19"/>
  <c r="KS12" i="19"/>
  <c r="KS11" i="19"/>
  <c r="KS14" i="19"/>
  <c r="KS16" i="19"/>
  <c r="KS21" i="19"/>
  <c r="KS15" i="19"/>
  <c r="KS19" i="19"/>
  <c r="KS22" i="19"/>
  <c r="KS18" i="19"/>
  <c r="KS17" i="19"/>
  <c r="KS8" i="19"/>
  <c r="KS25" i="19"/>
  <c r="KS20" i="19"/>
  <c r="KS23" i="19"/>
  <c r="KS26" i="19"/>
  <c r="KS27" i="19"/>
  <c r="KS29" i="19"/>
  <c r="KS28" i="19"/>
  <c r="KS39" i="19"/>
  <c r="KS31" i="19"/>
  <c r="KS32" i="19"/>
  <c r="KS33" i="19"/>
  <c r="KS34" i="19"/>
  <c r="KS35" i="19"/>
  <c r="KS36" i="19"/>
  <c r="KS37" i="19"/>
  <c r="KS38" i="19"/>
  <c r="KS24" i="19"/>
  <c r="JQ4" i="19"/>
  <c r="JQ6" i="19"/>
  <c r="JQ5" i="19"/>
  <c r="JQ10" i="19"/>
  <c r="JQ9" i="19"/>
  <c r="JQ13" i="19"/>
  <c r="JQ7" i="19"/>
  <c r="JQ12" i="19"/>
  <c r="JQ11" i="19"/>
  <c r="JQ14" i="19"/>
  <c r="JQ16" i="19"/>
  <c r="JQ21" i="19"/>
  <c r="JQ15" i="19"/>
  <c r="JQ19" i="19"/>
  <c r="JQ22" i="19"/>
  <c r="JQ18" i="19"/>
  <c r="JQ17" i="19"/>
  <c r="JQ8" i="19"/>
  <c r="JQ25" i="19"/>
  <c r="JQ20" i="19"/>
  <c r="JQ23" i="19"/>
  <c r="JQ26" i="19"/>
  <c r="JQ27" i="19"/>
  <c r="JQ29" i="19"/>
  <c r="JQ28" i="19"/>
  <c r="JQ39" i="19"/>
  <c r="JQ31" i="19"/>
  <c r="JQ32" i="19"/>
  <c r="JQ33" i="19"/>
  <c r="JQ34" i="19"/>
  <c r="JQ35" i="19"/>
  <c r="JQ36" i="19"/>
  <c r="JQ37" i="19"/>
  <c r="JQ38" i="19"/>
  <c r="JQ24" i="19"/>
  <c r="IO4" i="19"/>
  <c r="IO6" i="19"/>
  <c r="IO5" i="19"/>
  <c r="IO10" i="19"/>
  <c r="IO9" i="19"/>
  <c r="IO13" i="19"/>
  <c r="IO7" i="19"/>
  <c r="IO12" i="19"/>
  <c r="IO11" i="19"/>
  <c r="IO14" i="19"/>
  <c r="IO16" i="19"/>
  <c r="IO21" i="19"/>
  <c r="IO15" i="19"/>
  <c r="IO19" i="19"/>
  <c r="IO22" i="19"/>
  <c r="IO18" i="19"/>
  <c r="IO17" i="19"/>
  <c r="IO8" i="19"/>
  <c r="IO25" i="19"/>
  <c r="IO20" i="19"/>
  <c r="IO23" i="19"/>
  <c r="IO26" i="19"/>
  <c r="IO27" i="19"/>
  <c r="IO29" i="19"/>
  <c r="IO28" i="19"/>
  <c r="IO39" i="19"/>
  <c r="IO31" i="19"/>
  <c r="IO32" i="19"/>
  <c r="IO33" i="19"/>
  <c r="IO34" i="19"/>
  <c r="IO35" i="19"/>
  <c r="IO36" i="19"/>
  <c r="IO37" i="19"/>
  <c r="IO38" i="19"/>
  <c r="IO24" i="19"/>
  <c r="HM4" i="19"/>
  <c r="HM6" i="19"/>
  <c r="HM5" i="19"/>
  <c r="HM10" i="19"/>
  <c r="HM9" i="19"/>
  <c r="HM13" i="19"/>
  <c r="HM7" i="19"/>
  <c r="HM12" i="19"/>
  <c r="HM11" i="19"/>
  <c r="HM14" i="19"/>
  <c r="HM16" i="19"/>
  <c r="HM21" i="19"/>
  <c r="HM15" i="19"/>
  <c r="HM19" i="19"/>
  <c r="HM22" i="19"/>
  <c r="HM18" i="19"/>
  <c r="HM17" i="19"/>
  <c r="HM8" i="19"/>
  <c r="HM25" i="19"/>
  <c r="HM20" i="19"/>
  <c r="HM23" i="19"/>
  <c r="HM26" i="19"/>
  <c r="HM27" i="19"/>
  <c r="HM29" i="19"/>
  <c r="HM28" i="19"/>
  <c r="HM39" i="19"/>
  <c r="HM31" i="19"/>
  <c r="HM32" i="19"/>
  <c r="HM33" i="19"/>
  <c r="HM34" i="19"/>
  <c r="HM35" i="19"/>
  <c r="HM36" i="19"/>
  <c r="HM37" i="19"/>
  <c r="HM38" i="19"/>
  <c r="HM24" i="19"/>
  <c r="GK4" i="19"/>
  <c r="GK6" i="19"/>
  <c r="GK5" i="19"/>
  <c r="GK10" i="19"/>
  <c r="GK9" i="19"/>
  <c r="GK13" i="19"/>
  <c r="GK7" i="19"/>
  <c r="GK12" i="19"/>
  <c r="GK11" i="19"/>
  <c r="GK14" i="19"/>
  <c r="GK16" i="19"/>
  <c r="GK21" i="19"/>
  <c r="GK15" i="19"/>
  <c r="GK19" i="19"/>
  <c r="GK22" i="19"/>
  <c r="GK18" i="19"/>
  <c r="GK17" i="19"/>
  <c r="GK8" i="19"/>
  <c r="GK25" i="19"/>
  <c r="GK20" i="19"/>
  <c r="GK23" i="19"/>
  <c r="GK26" i="19"/>
  <c r="GK27" i="19"/>
  <c r="GK29" i="19"/>
  <c r="GK28" i="19"/>
  <c r="GK39" i="19"/>
  <c r="GK31" i="19"/>
  <c r="GK32" i="19"/>
  <c r="GK33" i="19"/>
  <c r="GK34" i="19"/>
  <c r="GK35" i="19"/>
  <c r="GK36" i="19"/>
  <c r="GK37" i="19"/>
  <c r="GK38" i="19"/>
  <c r="GK24" i="19"/>
  <c r="FI4" i="19"/>
  <c r="FI6" i="19"/>
  <c r="FI5" i="19"/>
  <c r="FI10" i="19"/>
  <c r="FI9" i="19"/>
  <c r="FI13" i="19"/>
  <c r="FI7" i="19"/>
  <c r="FI12" i="19"/>
  <c r="FI11" i="19"/>
  <c r="FI14" i="19"/>
  <c r="FI16" i="19"/>
  <c r="FI21" i="19"/>
  <c r="FI15" i="19"/>
  <c r="FI19" i="19"/>
  <c r="FI22" i="19"/>
  <c r="FI18" i="19"/>
  <c r="FI17" i="19"/>
  <c r="FI8" i="19"/>
  <c r="FI25" i="19"/>
  <c r="FI20" i="19"/>
  <c r="FI23" i="19"/>
  <c r="FI26" i="19"/>
  <c r="FI27" i="19"/>
  <c r="FI29" i="19"/>
  <c r="FI28" i="19"/>
  <c r="FI39" i="19"/>
  <c r="FI31" i="19"/>
  <c r="FI32" i="19"/>
  <c r="FI33" i="19"/>
  <c r="FI34" i="19"/>
  <c r="FI35" i="19"/>
  <c r="FI36" i="19"/>
  <c r="FI37" i="19"/>
  <c r="FI38" i="19"/>
  <c r="FI24" i="19"/>
  <c r="EG4" i="19"/>
  <c r="EG6" i="19"/>
  <c r="EG5" i="19"/>
  <c r="EG10" i="19"/>
  <c r="EG9" i="19"/>
  <c r="EG13" i="19"/>
  <c r="EG7" i="19"/>
  <c r="EG12" i="19"/>
  <c r="EG11" i="19"/>
  <c r="EG14" i="19"/>
  <c r="EG16" i="19"/>
  <c r="EG21" i="19"/>
  <c r="EG15" i="19"/>
  <c r="EG19" i="19"/>
  <c r="EG22" i="19"/>
  <c r="EG18" i="19"/>
  <c r="EG17" i="19"/>
  <c r="EG8" i="19"/>
  <c r="EG25" i="19"/>
  <c r="EG20" i="19"/>
  <c r="EG23" i="19"/>
  <c r="EG26" i="19"/>
  <c r="EG27" i="19"/>
  <c r="EG29" i="19"/>
  <c r="EG28" i="19"/>
  <c r="EG39" i="19"/>
  <c r="EG31" i="19"/>
  <c r="EG32" i="19"/>
  <c r="EG33" i="19"/>
  <c r="EG34" i="19"/>
  <c r="EG35" i="19"/>
  <c r="EG36" i="19"/>
  <c r="EG37" i="19"/>
  <c r="EG38" i="19"/>
  <c r="EG24" i="19"/>
  <c r="PA4" i="27"/>
  <c r="PA6" i="27"/>
  <c r="PA7" i="27"/>
  <c r="PA5" i="27"/>
  <c r="PA9" i="27"/>
  <c r="PA10" i="27"/>
  <c r="PA11" i="27"/>
  <c r="PA8" i="27"/>
  <c r="PA12" i="27"/>
  <c r="PA13" i="27"/>
  <c r="PA16" i="27"/>
  <c r="PA19" i="27"/>
  <c r="PA15" i="27"/>
  <c r="PA14" i="27"/>
  <c r="PA17" i="27"/>
  <c r="PA18" i="27"/>
  <c r="NY4" i="27"/>
  <c r="NY6" i="27"/>
  <c r="NY7" i="27"/>
  <c r="NY5" i="27"/>
  <c r="NY9" i="27"/>
  <c r="NY10" i="27"/>
  <c r="NY11" i="27"/>
  <c r="NY8" i="27"/>
  <c r="NY12" i="27"/>
  <c r="NY13" i="27"/>
  <c r="NY16" i="27"/>
  <c r="NY19" i="27"/>
  <c r="NY15" i="27"/>
  <c r="NY14" i="27"/>
  <c r="NY17" i="27"/>
  <c r="NY18" i="27"/>
  <c r="MW4" i="27"/>
  <c r="MW6" i="27"/>
  <c r="MW7" i="27"/>
  <c r="MW5" i="27"/>
  <c r="MW9" i="27"/>
  <c r="MW10" i="27"/>
  <c r="MW11" i="27"/>
  <c r="MW8" i="27"/>
  <c r="MW12" i="27"/>
  <c r="MW13" i="27"/>
  <c r="MW16" i="27"/>
  <c r="MW19" i="27"/>
  <c r="MW15" i="27"/>
  <c r="MW14" i="27"/>
  <c r="MW17" i="27"/>
  <c r="MW18" i="27"/>
  <c r="LU4" i="27"/>
  <c r="LU6" i="27"/>
  <c r="LU7" i="27"/>
  <c r="LU5" i="27"/>
  <c r="LU9" i="27"/>
  <c r="LU10" i="27"/>
  <c r="LU11" i="27"/>
  <c r="LU8" i="27"/>
  <c r="LU12" i="27"/>
  <c r="LU13" i="27"/>
  <c r="LU16" i="27"/>
  <c r="LU19" i="27"/>
  <c r="LU15" i="27"/>
  <c r="LU14" i="27"/>
  <c r="LU17" i="27"/>
  <c r="LU18" i="27"/>
  <c r="KS4" i="27"/>
  <c r="KS6" i="27"/>
  <c r="KS7" i="27"/>
  <c r="KS5" i="27"/>
  <c r="KS9" i="27"/>
  <c r="KS10" i="27"/>
  <c r="KS11" i="27"/>
  <c r="KS8" i="27"/>
  <c r="KS12" i="27"/>
  <c r="KS13" i="27"/>
  <c r="KS16" i="27"/>
  <c r="KS19" i="27"/>
  <c r="KS15" i="27"/>
  <c r="KS14" i="27"/>
  <c r="KS17" i="27"/>
  <c r="KS18" i="27"/>
  <c r="JQ4" i="27"/>
  <c r="JQ6" i="27"/>
  <c r="JQ7" i="27"/>
  <c r="JQ5" i="27"/>
  <c r="JQ9" i="27"/>
  <c r="JQ10" i="27"/>
  <c r="JQ11" i="27"/>
  <c r="JQ8" i="27"/>
  <c r="JQ12" i="27"/>
  <c r="JQ13" i="27"/>
  <c r="JQ16" i="27"/>
  <c r="JQ19" i="27"/>
  <c r="JQ15" i="27"/>
  <c r="JQ14" i="27"/>
  <c r="JQ17" i="27"/>
  <c r="JQ18" i="27"/>
  <c r="IO4" i="27"/>
  <c r="IO6" i="27"/>
  <c r="IO7" i="27"/>
  <c r="IO5" i="27"/>
  <c r="IO9" i="27"/>
  <c r="IO10" i="27"/>
  <c r="IO11" i="27"/>
  <c r="IO8" i="27"/>
  <c r="IO12" i="27"/>
  <c r="IO13" i="27"/>
  <c r="IO16" i="27"/>
  <c r="IO19" i="27"/>
  <c r="IO15" i="27"/>
  <c r="IO14" i="27"/>
  <c r="IO17" i="27"/>
  <c r="IO18" i="27"/>
  <c r="HM4" i="27"/>
  <c r="HM6" i="27"/>
  <c r="HM7" i="27"/>
  <c r="HM5" i="27"/>
  <c r="HM9" i="27"/>
  <c r="HM10" i="27"/>
  <c r="HM11" i="27"/>
  <c r="HM8" i="27"/>
  <c r="HM12" i="27"/>
  <c r="HM13" i="27"/>
  <c r="HM16" i="27"/>
  <c r="HM19" i="27"/>
  <c r="HM15" i="27"/>
  <c r="HM14" i="27"/>
  <c r="HM17" i="27"/>
  <c r="HM18" i="27"/>
  <c r="GK4" i="27"/>
  <c r="GK6" i="27"/>
  <c r="GK7" i="27"/>
  <c r="GK5" i="27"/>
  <c r="GK9" i="27"/>
  <c r="GK10" i="27"/>
  <c r="GK11" i="27"/>
  <c r="GK8" i="27"/>
  <c r="GK12" i="27"/>
  <c r="GK13" i="27"/>
  <c r="GK16" i="27"/>
  <c r="GK19" i="27"/>
  <c r="GK15" i="27"/>
  <c r="GK14" i="27"/>
  <c r="GK17" i="27"/>
  <c r="GK18" i="27"/>
  <c r="FI4" i="27"/>
  <c r="FI6" i="27"/>
  <c r="FI7" i="27"/>
  <c r="FI5" i="27"/>
  <c r="FI9" i="27"/>
  <c r="FI10" i="27"/>
  <c r="FI11" i="27"/>
  <c r="FI8" i="27"/>
  <c r="FI12" i="27"/>
  <c r="FI13" i="27"/>
  <c r="FI16" i="27"/>
  <c r="FI19" i="27"/>
  <c r="FI15" i="27"/>
  <c r="FI14" i="27"/>
  <c r="FI17" i="27"/>
  <c r="FI18" i="27"/>
  <c r="EG4" i="27"/>
  <c r="EG6" i="27"/>
  <c r="EG7" i="27"/>
  <c r="EG5" i="27"/>
  <c r="EG9" i="27"/>
  <c r="EG10" i="27"/>
  <c r="EG11" i="27"/>
  <c r="EG8" i="27"/>
  <c r="EG12" i="27"/>
  <c r="EG13" i="27"/>
  <c r="EG16" i="27"/>
  <c r="EG19" i="27"/>
  <c r="EG15" i="27"/>
  <c r="EG14" i="27"/>
  <c r="EG17" i="27"/>
  <c r="EG18" i="27"/>
  <c r="QC7" i="26"/>
  <c r="QC20" i="26"/>
  <c r="PA5" i="26"/>
  <c r="PA4" i="26"/>
  <c r="PA8" i="26"/>
  <c r="PA10" i="26"/>
  <c r="PA9" i="26"/>
  <c r="PA12" i="26"/>
  <c r="PA11" i="26"/>
  <c r="PA13" i="26"/>
  <c r="PA6" i="26"/>
  <c r="PA7" i="26"/>
  <c r="PA14" i="26"/>
  <c r="PA16" i="26"/>
  <c r="PA18" i="26"/>
  <c r="PA15" i="26"/>
  <c r="PA20" i="26"/>
  <c r="PA17" i="26"/>
  <c r="PA21" i="26"/>
  <c r="NY5" i="26"/>
  <c r="NY4" i="26"/>
  <c r="NY8" i="26"/>
  <c r="NY10" i="26"/>
  <c r="NY9" i="26"/>
  <c r="NY12" i="26"/>
  <c r="NY11" i="26"/>
  <c r="NY13" i="26"/>
  <c r="NY6" i="26"/>
  <c r="NY7" i="26"/>
  <c r="NY14" i="26"/>
  <c r="NY16" i="26"/>
  <c r="NY18" i="26"/>
  <c r="NY15" i="26"/>
  <c r="NY20" i="26"/>
  <c r="NY17" i="26"/>
  <c r="NY21" i="26"/>
  <c r="MW5" i="26"/>
  <c r="MW4" i="26"/>
  <c r="MW8" i="26"/>
  <c r="MW10" i="26"/>
  <c r="MW9" i="26"/>
  <c r="MW12" i="26"/>
  <c r="MW11" i="26"/>
  <c r="MW13" i="26"/>
  <c r="MW6" i="26"/>
  <c r="MW7" i="26"/>
  <c r="MW14" i="26"/>
  <c r="MW16" i="26"/>
  <c r="MW18" i="26"/>
  <c r="MW15" i="26"/>
  <c r="MW20" i="26"/>
  <c r="MW17" i="26"/>
  <c r="MW21" i="26"/>
  <c r="LU5" i="26"/>
  <c r="LU4" i="26"/>
  <c r="LU8" i="26"/>
  <c r="LU10" i="26"/>
  <c r="LU9" i="26"/>
  <c r="LU12" i="26"/>
  <c r="LU11" i="26"/>
  <c r="LU13" i="26"/>
  <c r="LU6" i="26"/>
  <c r="LU7" i="26"/>
  <c r="LU14" i="26"/>
  <c r="LU16" i="26"/>
  <c r="LU18" i="26"/>
  <c r="LU15" i="26"/>
  <c r="LU20" i="26"/>
  <c r="LU17" i="26"/>
  <c r="LU21" i="26"/>
  <c r="KS5" i="26"/>
  <c r="KS4" i="26"/>
  <c r="KS8" i="26"/>
  <c r="KS10" i="26"/>
  <c r="KS9" i="26"/>
  <c r="KS12" i="26"/>
  <c r="KS11" i="26"/>
  <c r="KS13" i="26"/>
  <c r="KS6" i="26"/>
  <c r="KS7" i="26"/>
  <c r="KS14" i="26"/>
  <c r="KS16" i="26"/>
  <c r="KS18" i="26"/>
  <c r="KS15" i="26"/>
  <c r="KS20" i="26"/>
  <c r="KS17" i="26"/>
  <c r="KS21" i="26"/>
  <c r="JQ5" i="26"/>
  <c r="JQ4" i="26"/>
  <c r="JQ8" i="26"/>
  <c r="JQ10" i="26"/>
  <c r="JQ9" i="26"/>
  <c r="JQ12" i="26"/>
  <c r="JQ11" i="26"/>
  <c r="JQ13" i="26"/>
  <c r="JQ6" i="26"/>
  <c r="JQ7" i="26"/>
  <c r="JQ14" i="26"/>
  <c r="JQ16" i="26"/>
  <c r="JQ18" i="26"/>
  <c r="JQ15" i="26"/>
  <c r="JQ20" i="26"/>
  <c r="JQ17" i="26"/>
  <c r="JQ21" i="26"/>
  <c r="IO5" i="26"/>
  <c r="IO4" i="26"/>
  <c r="IO8" i="26"/>
  <c r="IO10" i="26"/>
  <c r="IO9" i="26"/>
  <c r="IO12" i="26"/>
  <c r="IO11" i="26"/>
  <c r="IO13" i="26"/>
  <c r="IO6" i="26"/>
  <c r="IO7" i="26"/>
  <c r="IO14" i="26"/>
  <c r="IO16" i="26"/>
  <c r="IO18" i="26"/>
  <c r="IO15" i="26"/>
  <c r="IO20" i="26"/>
  <c r="IO17" i="26"/>
  <c r="IO21" i="26"/>
  <c r="HM5" i="26"/>
  <c r="HM4" i="26"/>
  <c r="HM8" i="26"/>
  <c r="HM10" i="26"/>
  <c r="HM9" i="26"/>
  <c r="HM12" i="26"/>
  <c r="HM11" i="26"/>
  <c r="HM13" i="26"/>
  <c r="HM6" i="26"/>
  <c r="HM7" i="26"/>
  <c r="HM14" i="26"/>
  <c r="HM16" i="26"/>
  <c r="HM18" i="26"/>
  <c r="HM15" i="26"/>
  <c r="HM20" i="26"/>
  <c r="HM17" i="26"/>
  <c r="HM21" i="26"/>
  <c r="GK5" i="26"/>
  <c r="GK4" i="26"/>
  <c r="GK8" i="26"/>
  <c r="GK10" i="26"/>
  <c r="GK9" i="26"/>
  <c r="GK12" i="26"/>
  <c r="GK11" i="26"/>
  <c r="GK13" i="26"/>
  <c r="GK6" i="26"/>
  <c r="GK7" i="26"/>
  <c r="GK14" i="26"/>
  <c r="GK16" i="26"/>
  <c r="GK18" i="26"/>
  <c r="GK15" i="26"/>
  <c r="GK20" i="26"/>
  <c r="GK17" i="26"/>
  <c r="GK21" i="26"/>
  <c r="FI5" i="26"/>
  <c r="FI4" i="26"/>
  <c r="FI8" i="26"/>
  <c r="FI10" i="26"/>
  <c r="FI9" i="26"/>
  <c r="FI12" i="26"/>
  <c r="FI11" i="26"/>
  <c r="FI13" i="26"/>
  <c r="FI6" i="26"/>
  <c r="FI7" i="26"/>
  <c r="FI14" i="26"/>
  <c r="FI16" i="26"/>
  <c r="FI18" i="26"/>
  <c r="FI15" i="26"/>
  <c r="FI20" i="26"/>
  <c r="FI17" i="26"/>
  <c r="FI21" i="26"/>
  <c r="EG5" i="26"/>
  <c r="EG4" i="26"/>
  <c r="EG8" i="26"/>
  <c r="EG10" i="26"/>
  <c r="EG9" i="26"/>
  <c r="EG12" i="26"/>
  <c r="EG11" i="26"/>
  <c r="EG13" i="26"/>
  <c r="EG6" i="26"/>
  <c r="EG7" i="26"/>
  <c r="EG14" i="26"/>
  <c r="EG16" i="26"/>
  <c r="EG18" i="26"/>
  <c r="EG15" i="26"/>
  <c r="EG20" i="26"/>
  <c r="EG17" i="26"/>
  <c r="EG21" i="26"/>
  <c r="NH29" i="4"/>
  <c r="NO29" i="4" s="1"/>
  <c r="RE23" i="19"/>
  <c r="RG23" i="19"/>
  <c r="RB37" i="19"/>
  <c r="RG15" i="27"/>
  <c r="RB15" i="27"/>
  <c r="QC14" i="27"/>
  <c r="R14" i="27"/>
  <c r="DH14" i="27" s="1"/>
  <c r="R18" i="27"/>
  <c r="S18" i="27" s="1"/>
  <c r="RG14" i="27"/>
  <c r="RB14" i="27"/>
  <c r="R8" i="27"/>
  <c r="S8" i="27" s="1"/>
  <c r="RB7" i="26"/>
  <c r="QC18" i="26"/>
  <c r="R18" i="26"/>
  <c r="DH18" i="26" s="1"/>
  <c r="R17" i="26"/>
  <c r="DH17" i="26" s="1"/>
  <c r="RG20" i="26"/>
  <c r="RB20" i="26"/>
  <c r="RB17" i="26"/>
  <c r="CW22" i="22"/>
  <c r="DA22" i="22" s="1"/>
  <c r="SN30" i="22"/>
  <c r="SU30" i="22" s="1"/>
  <c r="PX30" i="22"/>
  <c r="QE30" i="22" s="1"/>
  <c r="IB30" i="22"/>
  <c r="II30" i="22" s="1"/>
  <c r="CW26" i="22"/>
  <c r="DA26" i="22" s="1"/>
  <c r="CW24" i="22"/>
  <c r="DA24" i="22" s="1"/>
  <c r="SN17" i="22"/>
  <c r="SU17" i="22" s="1"/>
  <c r="NH17" i="22"/>
  <c r="NO17" i="22" s="1"/>
  <c r="CW9" i="22"/>
  <c r="DA9" i="22" s="1"/>
  <c r="NH26" i="22"/>
  <c r="NO26" i="22" s="1"/>
  <c r="IB17" i="22"/>
  <c r="II17" i="22" s="1"/>
  <c r="CW17" i="22"/>
  <c r="DA17" i="22" s="1"/>
  <c r="CW25" i="22"/>
  <c r="DA25" i="22" s="1"/>
  <c r="RF33" i="22"/>
  <c r="RM33" i="22" s="1"/>
  <c r="OP33" i="22"/>
  <c r="OW33" i="22" s="1"/>
  <c r="LZ33" i="22"/>
  <c r="MG33" i="22" s="1"/>
  <c r="JJ33" i="22"/>
  <c r="JQ33" i="22" s="1"/>
  <c r="GT33" i="22"/>
  <c r="HA33" i="22" s="1"/>
  <c r="ED33" i="22"/>
  <c r="EK33" i="22" s="1"/>
  <c r="SN32" i="22"/>
  <c r="SU32" i="22" s="1"/>
  <c r="IB32" i="22"/>
  <c r="II32" i="22" s="1"/>
  <c r="FL32" i="22"/>
  <c r="FS32" i="22" s="1"/>
  <c r="SN33" i="22"/>
  <c r="SU33" i="22" s="1"/>
  <c r="NH33" i="22"/>
  <c r="NO33" i="22" s="1"/>
  <c r="IB33" i="22"/>
  <c r="II33" i="22" s="1"/>
  <c r="IB25" i="22"/>
  <c r="II25" i="22" s="1"/>
  <c r="OP29" i="4"/>
  <c r="OW29" i="4" s="1"/>
  <c r="SN31" i="4"/>
  <c r="SU31" i="4" s="1"/>
  <c r="NH31" i="4"/>
  <c r="NO31" i="4" s="1"/>
  <c r="LZ33" i="4"/>
  <c r="MG33" i="4" s="1"/>
  <c r="JJ33" i="4"/>
  <c r="JQ33" i="4" s="1"/>
  <c r="GT33" i="4"/>
  <c r="HA33" i="4" s="1"/>
  <c r="ED33" i="4"/>
  <c r="EK33" i="4" s="1"/>
  <c r="RF33" i="4"/>
  <c r="RM33" i="4" s="1"/>
  <c r="IB29" i="4"/>
  <c r="II29" i="4" s="1"/>
  <c r="RF31" i="4"/>
  <c r="RM31" i="4" s="1"/>
  <c r="OP31" i="4"/>
  <c r="OW31" i="4" s="1"/>
  <c r="CW33" i="4"/>
  <c r="DA33" i="4" s="1"/>
  <c r="LZ31" i="4"/>
  <c r="MG31" i="4" s="1"/>
  <c r="JJ31" i="4"/>
  <c r="JQ31" i="4" s="1"/>
  <c r="GT31" i="4"/>
  <c r="HA31" i="4" s="1"/>
  <c r="ED31" i="4"/>
  <c r="EK31" i="4" s="1"/>
  <c r="OP33" i="4"/>
  <c r="OW33" i="4" s="1"/>
  <c r="IB31" i="4"/>
  <c r="II31" i="4" s="1"/>
  <c r="CW20" i="22"/>
  <c r="DA20" i="22" s="1"/>
  <c r="CW30" i="22"/>
  <c r="DA30" i="22" s="1"/>
  <c r="CW33" i="22"/>
  <c r="DA33" i="22" s="1"/>
  <c r="PX32" i="22"/>
  <c r="QE32" i="22" s="1"/>
  <c r="OP32" i="22"/>
  <c r="OW32" i="22" s="1"/>
  <c r="KR32" i="22"/>
  <c r="KY32" i="22" s="1"/>
  <c r="JJ32" i="22"/>
  <c r="JQ32" i="22" s="1"/>
  <c r="ED32" i="22"/>
  <c r="EK32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LZ25" i="22"/>
  <c r="MG25" i="22" s="1"/>
  <c r="JJ25" i="22"/>
  <c r="JQ25" i="22" s="1"/>
  <c r="GT25" i="22"/>
  <c r="HA25" i="22" s="1"/>
  <c r="ED25" i="22"/>
  <c r="EK25" i="22" s="1"/>
  <c r="LZ26" i="22"/>
  <c r="MG26" i="22" s="1"/>
  <c r="JJ26" i="22"/>
  <c r="JQ26" i="22" s="1"/>
  <c r="SN25" i="22"/>
  <c r="SU25" i="22" s="1"/>
  <c r="PX25" i="22"/>
  <c r="QE25" i="22" s="1"/>
  <c r="PX33" i="22"/>
  <c r="QE33" i="22" s="1"/>
  <c r="KR33" i="22"/>
  <c r="KY33" i="22" s="1"/>
  <c r="FL33" i="22"/>
  <c r="FS33" i="22" s="1"/>
  <c r="TU33" i="22"/>
  <c r="TN33" i="22"/>
  <c r="TS33" i="22"/>
  <c r="TQ33" i="22"/>
  <c r="R33" i="22"/>
  <c r="S33" i="22" s="1"/>
  <c r="N33" i="22"/>
  <c r="O33" i="22" s="1"/>
  <c r="L33" i="22"/>
  <c r="M33" i="22" s="1"/>
  <c r="P33" i="22"/>
  <c r="T33" i="22"/>
  <c r="U33" i="22" s="1"/>
  <c r="K33" i="22"/>
  <c r="RF17" i="22"/>
  <c r="RM17" i="22" s="1"/>
  <c r="ED26" i="22"/>
  <c r="EK26" i="22" s="1"/>
  <c r="TN25" i="22"/>
  <c r="OP17" i="22"/>
  <c r="OW17" i="22" s="1"/>
  <c r="TQ25" i="22"/>
  <c r="OP30" i="22"/>
  <c r="OW30" i="22" s="1"/>
  <c r="OP26" i="22"/>
  <c r="OW26" i="22" s="1"/>
  <c r="NH24" i="22"/>
  <c r="NO24" i="22" s="1"/>
  <c r="GT26" i="22"/>
  <c r="HA26" i="22" s="1"/>
  <c r="NH30" i="22"/>
  <c r="NO30" i="22" s="1"/>
  <c r="RF25" i="22"/>
  <c r="RM25" i="22" s="1"/>
  <c r="KR25" i="22"/>
  <c r="KY25" i="22" s="1"/>
  <c r="FL25" i="22"/>
  <c r="FS25" i="22" s="1"/>
  <c r="TU25" i="22"/>
  <c r="TS25" i="22"/>
  <c r="T25" i="22"/>
  <c r="U25" i="22" s="1"/>
  <c r="N25" i="22"/>
  <c r="O25" i="22" s="1"/>
  <c r="L25" i="22"/>
  <c r="M25" i="22" s="1"/>
  <c r="R25" i="22"/>
  <c r="S25" i="22" s="1"/>
  <c r="K25" i="22"/>
  <c r="P25" i="22"/>
  <c r="LZ30" i="22"/>
  <c r="MG30" i="22" s="1"/>
  <c r="JJ30" i="22"/>
  <c r="JQ30" i="22" s="1"/>
  <c r="SN26" i="22"/>
  <c r="SU26" i="22" s="1"/>
  <c r="GT30" i="22"/>
  <c r="HA30" i="22" s="1"/>
  <c r="ED30" i="22"/>
  <c r="EK30" i="22" s="1"/>
  <c r="RF26" i="22"/>
  <c r="RM26" i="22" s="1"/>
  <c r="PX26" i="22"/>
  <c r="QE26" i="22" s="1"/>
  <c r="KR26" i="22"/>
  <c r="KY26" i="22" s="1"/>
  <c r="FL26" i="22"/>
  <c r="FS26" i="22" s="1"/>
  <c r="TU26" i="22"/>
  <c r="TN26" i="22"/>
  <c r="TS26" i="22"/>
  <c r="TQ26" i="22"/>
  <c r="N26" i="22"/>
  <c r="O26" i="22" s="1"/>
  <c r="K26" i="22"/>
  <c r="L26" i="22"/>
  <c r="M26" i="22" s="1"/>
  <c r="R26" i="22"/>
  <c r="S26" i="22" s="1"/>
  <c r="P26" i="22"/>
  <c r="T26" i="22"/>
  <c r="U26" i="22" s="1"/>
  <c r="LZ17" i="22"/>
  <c r="MG17" i="22" s="1"/>
  <c r="JJ17" i="22"/>
  <c r="JQ17" i="22" s="1"/>
  <c r="GT17" i="22"/>
  <c r="HA17" i="22" s="1"/>
  <c r="ED17" i="22"/>
  <c r="EK17" i="22" s="1"/>
  <c r="LZ24" i="22"/>
  <c r="MG24" i="22" s="1"/>
  <c r="JJ24" i="22"/>
  <c r="JQ24" i="22" s="1"/>
  <c r="NH22" i="22"/>
  <c r="NO22" i="22" s="1"/>
  <c r="IB22" i="22"/>
  <c r="II22" i="22" s="1"/>
  <c r="IB24" i="22"/>
  <c r="II24" i="22" s="1"/>
  <c r="IB9" i="22"/>
  <c r="II9" i="22" s="1"/>
  <c r="RF30" i="22"/>
  <c r="RM30" i="22" s="1"/>
  <c r="KR30" i="22"/>
  <c r="KY30" i="22" s="1"/>
  <c r="FL30" i="22"/>
  <c r="FS30" i="22" s="1"/>
  <c r="TU30" i="22"/>
  <c r="TQ30" i="22"/>
  <c r="TN30" i="22"/>
  <c r="N30" i="22"/>
  <c r="O30" i="22" s="1"/>
  <c r="R30" i="22"/>
  <c r="S30" i="22" s="1"/>
  <c r="L30" i="22"/>
  <c r="M30" i="22" s="1"/>
  <c r="T30" i="22"/>
  <c r="U30" i="22" s="1"/>
  <c r="K30" i="22"/>
  <c r="P30" i="22"/>
  <c r="GT24" i="22"/>
  <c r="HA24" i="22" s="1"/>
  <c r="ED24" i="22"/>
  <c r="EK24" i="22" s="1"/>
  <c r="PX17" i="22"/>
  <c r="QE17" i="22" s="1"/>
  <c r="OP22" i="22"/>
  <c r="OW22" i="22" s="1"/>
  <c r="FL17" i="22"/>
  <c r="FS17" i="22" s="1"/>
  <c r="N17" i="22"/>
  <c r="O17" i="22" s="1"/>
  <c r="IB20" i="22"/>
  <c r="II20" i="22" s="1"/>
  <c r="KR17" i="22"/>
  <c r="KY17" i="22" s="1"/>
  <c r="TU17" i="22"/>
  <c r="TN17" i="22"/>
  <c r="T17" i="22"/>
  <c r="U17" i="22" s="1"/>
  <c r="TQ17" i="22"/>
  <c r="L17" i="22"/>
  <c r="M17" i="22" s="1"/>
  <c r="R17" i="22"/>
  <c r="S17" i="22" s="1"/>
  <c r="K17" i="22"/>
  <c r="P17" i="22"/>
  <c r="LZ22" i="22"/>
  <c r="MG22" i="22" s="1"/>
  <c r="GT22" i="22"/>
  <c r="HA22" i="22" s="1"/>
  <c r="ED22" i="22"/>
  <c r="EK22" i="22" s="1"/>
  <c r="JJ22" i="22"/>
  <c r="JQ22" i="22" s="1"/>
  <c r="SN22" i="22"/>
  <c r="SU22" i="22" s="1"/>
  <c r="PX22" i="22"/>
  <c r="QE22" i="22" s="1"/>
  <c r="SN24" i="22"/>
  <c r="SU24" i="22" s="1"/>
  <c r="NH9" i="22"/>
  <c r="NO9" i="22" s="1"/>
  <c r="RF24" i="22"/>
  <c r="RM24" i="22" s="1"/>
  <c r="OP24" i="22"/>
  <c r="OW24" i="22" s="1"/>
  <c r="PX24" i="22"/>
  <c r="QE24" i="22" s="1"/>
  <c r="KR24" i="22"/>
  <c r="KY24" i="22" s="1"/>
  <c r="FL24" i="22"/>
  <c r="FS24" i="22" s="1"/>
  <c r="TN24" i="22"/>
  <c r="TU24" i="22"/>
  <c r="TQ24" i="22"/>
  <c r="R24" i="22"/>
  <c r="S24" i="22" s="1"/>
  <c r="N24" i="22"/>
  <c r="O24" i="22" s="1"/>
  <c r="L24" i="22"/>
  <c r="M24" i="22" s="1"/>
  <c r="T24" i="22"/>
  <c r="U24" i="22" s="1"/>
  <c r="K24" i="22"/>
  <c r="P24" i="22"/>
  <c r="GT20" i="22"/>
  <c r="HA20" i="22" s="1"/>
  <c r="ED20" i="22"/>
  <c r="EK20" i="22" s="1"/>
  <c r="RF9" i="22"/>
  <c r="RM9" i="22" s="1"/>
  <c r="SN20" i="22"/>
  <c r="SU20" i="22" s="1"/>
  <c r="PX20" i="22"/>
  <c r="QE20" i="22" s="1"/>
  <c r="NH20" i="22"/>
  <c r="NO20" i="22" s="1"/>
  <c r="KR20" i="22"/>
  <c r="KY20" i="22" s="1"/>
  <c r="LZ9" i="22"/>
  <c r="MG9" i="22" s="1"/>
  <c r="OP20" i="22"/>
  <c r="OW20" i="22" s="1"/>
  <c r="JJ20" i="22"/>
  <c r="JQ20" i="22" s="1"/>
  <c r="RF22" i="22"/>
  <c r="RM22" i="22" s="1"/>
  <c r="KR22" i="22"/>
  <c r="KY22" i="22" s="1"/>
  <c r="FL22" i="22"/>
  <c r="FS22" i="22" s="1"/>
  <c r="TU22" i="22"/>
  <c r="TN22" i="22"/>
  <c r="TQ22" i="22"/>
  <c r="R22" i="22"/>
  <c r="S22" i="22" s="1"/>
  <c r="N22" i="22"/>
  <c r="O22" i="22" s="1"/>
  <c r="L22" i="22"/>
  <c r="M22" i="22" s="1"/>
  <c r="T22" i="22"/>
  <c r="U22" i="22" s="1"/>
  <c r="K22" i="22"/>
  <c r="P22" i="22"/>
  <c r="GT9" i="22"/>
  <c r="HA9" i="22" s="1"/>
  <c r="SN9" i="22"/>
  <c r="SU9" i="22" s="1"/>
  <c r="TN20" i="22"/>
  <c r="OP9" i="22"/>
  <c r="OW9" i="22" s="1"/>
  <c r="RF20" i="22"/>
  <c r="RM20" i="22" s="1"/>
  <c r="LZ20" i="22"/>
  <c r="MG20" i="22" s="1"/>
  <c r="FL20" i="22"/>
  <c r="FS20" i="22" s="1"/>
  <c r="TU20" i="22"/>
  <c r="N20" i="22"/>
  <c r="O20" i="22" s="1"/>
  <c r="TQ20" i="22"/>
  <c r="L20" i="22"/>
  <c r="K20" i="22"/>
  <c r="R20" i="22"/>
  <c r="S20" i="22" s="1"/>
  <c r="T20" i="22"/>
  <c r="U20" i="22" s="1"/>
  <c r="P20" i="22"/>
  <c r="PX9" i="22"/>
  <c r="QE9" i="22" s="1"/>
  <c r="KR9" i="22"/>
  <c r="KY9" i="22" s="1"/>
  <c r="JJ9" i="22"/>
  <c r="JQ9" i="22" s="1"/>
  <c r="FL9" i="22"/>
  <c r="FS9" i="22" s="1"/>
  <c r="ED9" i="22"/>
  <c r="EK9" i="22" s="1"/>
  <c r="TU9" i="22"/>
  <c r="TQ9" i="22"/>
  <c r="TN9" i="22"/>
  <c r="T9" i="22"/>
  <c r="U9" i="22" s="1"/>
  <c r="N9" i="22"/>
  <c r="O9" i="22" s="1"/>
  <c r="L9" i="22"/>
  <c r="M9" i="22" s="1"/>
  <c r="K9" i="22"/>
  <c r="R9" i="22"/>
  <c r="S9" i="22" s="1"/>
  <c r="P9" i="22"/>
  <c r="CW31" i="4"/>
  <c r="DA31" i="4" s="1"/>
  <c r="CW29" i="4"/>
  <c r="DA29" i="4" s="1"/>
  <c r="PX33" i="4"/>
  <c r="QE33" i="4" s="1"/>
  <c r="KR33" i="4"/>
  <c r="KY33" i="4" s="1"/>
  <c r="FL33" i="4"/>
  <c r="FS33" i="4" s="1"/>
  <c r="TQ33" i="4"/>
  <c r="TU33" i="4"/>
  <c r="TN33" i="4"/>
  <c r="T33" i="4"/>
  <c r="U33" i="4" s="1"/>
  <c r="R33" i="4"/>
  <c r="S33" i="4" s="1"/>
  <c r="N33" i="4"/>
  <c r="O33" i="4" s="1"/>
  <c r="L33" i="4"/>
  <c r="M33" i="4" s="1"/>
  <c r="K33" i="4"/>
  <c r="P33" i="4"/>
  <c r="LZ29" i="4"/>
  <c r="MG29" i="4" s="1"/>
  <c r="GT29" i="4"/>
  <c r="HA29" i="4" s="1"/>
  <c r="ED29" i="4"/>
  <c r="EK29" i="4" s="1"/>
  <c r="SN29" i="4"/>
  <c r="SU29" i="4" s="1"/>
  <c r="PX29" i="4"/>
  <c r="QE29" i="4" s="1"/>
  <c r="TN31" i="4"/>
  <c r="FL31" i="4"/>
  <c r="FS31" i="4" s="1"/>
  <c r="JJ29" i="4"/>
  <c r="JQ29" i="4" s="1"/>
  <c r="PX31" i="4"/>
  <c r="QE31" i="4" s="1"/>
  <c r="KR31" i="4"/>
  <c r="KY31" i="4" s="1"/>
  <c r="TU31" i="4"/>
  <c r="TQ31" i="4"/>
  <c r="R31" i="4"/>
  <c r="S31" i="4" s="1"/>
  <c r="N31" i="4"/>
  <c r="O31" i="4" s="1"/>
  <c r="T31" i="4"/>
  <c r="U31" i="4" s="1"/>
  <c r="L31" i="4"/>
  <c r="M31" i="4" s="1"/>
  <c r="K31" i="4"/>
  <c r="P31" i="4"/>
  <c r="TQ29" i="4"/>
  <c r="TN29" i="4"/>
  <c r="RF29" i="4"/>
  <c r="RM29" i="4" s="1"/>
  <c r="KR29" i="4"/>
  <c r="KY29" i="4" s="1"/>
  <c r="FL29" i="4"/>
  <c r="FS29" i="4" s="1"/>
  <c r="TU29" i="4"/>
  <c r="TS29" i="4"/>
  <c r="T29" i="4"/>
  <c r="U29" i="4" s="1"/>
  <c r="L29" i="4"/>
  <c r="M29" i="4" s="1"/>
  <c r="R29" i="4"/>
  <c r="S29" i="4" s="1"/>
  <c r="P29" i="4"/>
  <c r="N29" i="4"/>
  <c r="K29" i="4"/>
  <c r="RG8" i="27"/>
  <c r="RE8" i="27"/>
  <c r="RD8" i="27"/>
  <c r="P8" i="27"/>
  <c r="DG8" i="27" s="1"/>
  <c r="RH8" i="27"/>
  <c r="RC8" i="27"/>
  <c r="RB8" i="27"/>
  <c r="N8" i="27"/>
  <c r="O8" i="27" s="1"/>
  <c r="L8" i="27"/>
  <c r="M8" i="27" s="1"/>
  <c r="DB8" i="27"/>
  <c r="QC15" i="27"/>
  <c r="P15" i="27"/>
  <c r="Q15" i="27" s="1"/>
  <c r="RE15" i="27"/>
  <c r="RH15" i="27"/>
  <c r="N15" i="27"/>
  <c r="O15" i="27" s="1"/>
  <c r="RD15" i="27"/>
  <c r="RC15" i="27"/>
  <c r="L15" i="27"/>
  <c r="M15" i="27" s="1"/>
  <c r="DB15" i="27"/>
  <c r="R15" i="27"/>
  <c r="RH14" i="27"/>
  <c r="RG18" i="27"/>
  <c r="RB18" i="27"/>
  <c r="P14" i="27"/>
  <c r="Q14" i="27" s="1"/>
  <c r="RD14" i="27"/>
  <c r="RC14" i="27"/>
  <c r="RE14" i="27"/>
  <c r="N14" i="27"/>
  <c r="O14" i="27" s="1"/>
  <c r="L14" i="27"/>
  <c r="M14" i="27" s="1"/>
  <c r="DB14" i="27"/>
  <c r="QC18" i="27"/>
  <c r="RD18" i="27"/>
  <c r="RC18" i="27"/>
  <c r="DB18" i="27"/>
  <c r="P18" i="27"/>
  <c r="Q18" i="27" s="1"/>
  <c r="N18" i="27"/>
  <c r="DF18" i="27" s="1"/>
  <c r="RH18" i="27"/>
  <c r="L18" i="27"/>
  <c r="M18" i="27" s="1"/>
  <c r="RE18" i="27"/>
  <c r="RD17" i="26"/>
  <c r="RC17" i="26"/>
  <c r="RH17" i="26"/>
  <c r="RG17" i="26"/>
  <c r="DB17" i="26"/>
  <c r="N17" i="26"/>
  <c r="DF17" i="26" s="1"/>
  <c r="L17" i="26"/>
  <c r="M17" i="26" s="1"/>
  <c r="RE17" i="26"/>
  <c r="RD20" i="26"/>
  <c r="P7" i="26"/>
  <c r="DG7" i="26" s="1"/>
  <c r="P18" i="26"/>
  <c r="DG18" i="26" s="1"/>
  <c r="RC20" i="26"/>
  <c r="DB20" i="26"/>
  <c r="P20" i="26"/>
  <c r="DG20" i="26" s="1"/>
  <c r="N20" i="26"/>
  <c r="O20" i="26" s="1"/>
  <c r="RH20" i="26"/>
  <c r="L20" i="26"/>
  <c r="M20" i="26" s="1"/>
  <c r="R20" i="26"/>
  <c r="RE20" i="26"/>
  <c r="RD18" i="26"/>
  <c r="RC18" i="26"/>
  <c r="DB18" i="26"/>
  <c r="N18" i="26"/>
  <c r="O18" i="26" s="1"/>
  <c r="RH18" i="26"/>
  <c r="L18" i="26"/>
  <c r="M18" i="26" s="1"/>
  <c r="RE18" i="26"/>
  <c r="RC7" i="26"/>
  <c r="RD7" i="26"/>
  <c r="RG7" i="26"/>
  <c r="DB7" i="26"/>
  <c r="R7" i="26"/>
  <c r="DH7" i="26" s="1"/>
  <c r="N7" i="26"/>
  <c r="O7" i="26" s="1"/>
  <c r="RH7" i="26"/>
  <c r="L7" i="26"/>
  <c r="M7" i="26" s="1"/>
  <c r="RE7" i="26"/>
  <c r="R37" i="19"/>
  <c r="S37" i="19" s="1"/>
  <c r="R34" i="19"/>
  <c r="DH34" i="19" s="1"/>
  <c r="RG35" i="19"/>
  <c r="RB35" i="19"/>
  <c r="QC37" i="19"/>
  <c r="P37" i="19"/>
  <c r="Q37" i="19" s="1"/>
  <c r="RE37" i="19"/>
  <c r="RH37" i="19"/>
  <c r="RC37" i="19"/>
  <c r="RD37" i="19"/>
  <c r="N37" i="19"/>
  <c r="DF37" i="19" s="1"/>
  <c r="RG37" i="19"/>
  <c r="L37" i="19"/>
  <c r="DB37" i="19"/>
  <c r="RG34" i="19"/>
  <c r="QC35" i="19"/>
  <c r="P35" i="19"/>
  <c r="Q35" i="19" s="1"/>
  <c r="RE35" i="19"/>
  <c r="RH35" i="19"/>
  <c r="N35" i="19"/>
  <c r="DF35" i="19" s="1"/>
  <c r="RD35" i="19"/>
  <c r="RC35" i="19"/>
  <c r="L35" i="19"/>
  <c r="M35" i="19" s="1"/>
  <c r="DB35" i="19"/>
  <c r="R35" i="19"/>
  <c r="R23" i="19"/>
  <c r="S23" i="19" s="1"/>
  <c r="R31" i="19"/>
  <c r="S31" i="19" s="1"/>
  <c r="QC34" i="19"/>
  <c r="P34" i="19"/>
  <c r="Q34" i="19" s="1"/>
  <c r="RD34" i="19"/>
  <c r="RC34" i="19"/>
  <c r="RB34" i="19"/>
  <c r="N34" i="19"/>
  <c r="DF34" i="19" s="1"/>
  <c r="RH34" i="19"/>
  <c r="L34" i="19"/>
  <c r="M34" i="19" s="1"/>
  <c r="DB34" i="19"/>
  <c r="RE34" i="19"/>
  <c r="RB31" i="19"/>
  <c r="QC23" i="19"/>
  <c r="P23" i="19"/>
  <c r="Q23" i="19" s="1"/>
  <c r="RC23" i="19"/>
  <c r="RB23" i="19"/>
  <c r="RH23" i="19"/>
  <c r="RD23" i="19"/>
  <c r="N23" i="19"/>
  <c r="DF23" i="19" s="1"/>
  <c r="L23" i="19"/>
  <c r="M23" i="19" s="1"/>
  <c r="DB23" i="19"/>
  <c r="QC31" i="19"/>
  <c r="RD31" i="19"/>
  <c r="RC31" i="19"/>
  <c r="RG31" i="19"/>
  <c r="DB31" i="19"/>
  <c r="N31" i="19"/>
  <c r="O31" i="19" s="1"/>
  <c r="P31" i="19"/>
  <c r="DG31" i="19" s="1"/>
  <c r="RH31" i="19"/>
  <c r="L31" i="19"/>
  <c r="M31" i="19" s="1"/>
  <c r="RE31" i="19"/>
  <c r="CX22" i="21"/>
  <c r="CY22" i="21"/>
  <c r="CZ22" i="21"/>
  <c r="DA22" i="21"/>
  <c r="DC22" i="21"/>
  <c r="DD22" i="21"/>
  <c r="EC22" i="21"/>
  <c r="ED22" i="21"/>
  <c r="EE22" i="21"/>
  <c r="EF22" i="21"/>
  <c r="EH22" i="21"/>
  <c r="EI22" i="21"/>
  <c r="FE22" i="21"/>
  <c r="FF22" i="21"/>
  <c r="FG22" i="21"/>
  <c r="FH22" i="21"/>
  <c r="FJ22" i="21"/>
  <c r="FK22" i="21"/>
  <c r="GG22" i="21"/>
  <c r="GH22" i="21"/>
  <c r="GI22" i="21"/>
  <c r="GJ22" i="21"/>
  <c r="GL22" i="21"/>
  <c r="GM22" i="21"/>
  <c r="HI22" i="21"/>
  <c r="HJ22" i="21"/>
  <c r="HK22" i="21"/>
  <c r="HL22" i="21"/>
  <c r="HN22" i="21"/>
  <c r="HO22" i="21"/>
  <c r="IK22" i="21"/>
  <c r="IL22" i="21"/>
  <c r="IM22" i="21"/>
  <c r="IN22" i="21"/>
  <c r="IP22" i="21"/>
  <c r="IQ22" i="21"/>
  <c r="JM22" i="21"/>
  <c r="JN22" i="21"/>
  <c r="JO22" i="21"/>
  <c r="JP22" i="21"/>
  <c r="JR22" i="21"/>
  <c r="JS22" i="21"/>
  <c r="KO22" i="21"/>
  <c r="KP22" i="21"/>
  <c r="KQ22" i="21"/>
  <c r="KR22" i="21"/>
  <c r="KT22" i="21"/>
  <c r="KU22" i="21"/>
  <c r="LQ22" i="21"/>
  <c r="LR22" i="21"/>
  <c r="LS22" i="21"/>
  <c r="LT22" i="21"/>
  <c r="LV22" i="21"/>
  <c r="LW22" i="21"/>
  <c r="MS22" i="21"/>
  <c r="MT22" i="21"/>
  <c r="MU22" i="21"/>
  <c r="MV22" i="21"/>
  <c r="MX22" i="21"/>
  <c r="MY22" i="21"/>
  <c r="NU22" i="21"/>
  <c r="NV22" i="21"/>
  <c r="NW22" i="21"/>
  <c r="NX22" i="21"/>
  <c r="NZ22" i="21"/>
  <c r="OA22" i="21"/>
  <c r="OW22" i="21"/>
  <c r="OX22" i="21"/>
  <c r="OY22" i="21"/>
  <c r="OZ22" i="21"/>
  <c r="PB22" i="21"/>
  <c r="PC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CX11" i="21"/>
  <c r="CY11" i="21"/>
  <c r="CZ11" i="21"/>
  <c r="DA11" i="21"/>
  <c r="DC11" i="21"/>
  <c r="DD11" i="21"/>
  <c r="EC11" i="21"/>
  <c r="ED11" i="21"/>
  <c r="EE11" i="21"/>
  <c r="EF11" i="21"/>
  <c r="EH11" i="21"/>
  <c r="EI11" i="21"/>
  <c r="FE11" i="21"/>
  <c r="FF11" i="21"/>
  <c r="FG11" i="21"/>
  <c r="FH11" i="21"/>
  <c r="FJ11" i="21"/>
  <c r="FK11" i="21"/>
  <c r="GG11" i="21"/>
  <c r="GH11" i="21"/>
  <c r="GI11" i="21"/>
  <c r="GJ11" i="21"/>
  <c r="GL11" i="21"/>
  <c r="GM11" i="21"/>
  <c r="HI11" i="21"/>
  <c r="HJ11" i="21"/>
  <c r="HK11" i="21"/>
  <c r="HL11" i="21"/>
  <c r="HN11" i="21"/>
  <c r="HO11" i="21"/>
  <c r="IK11" i="21"/>
  <c r="IL11" i="21"/>
  <c r="IM11" i="21"/>
  <c r="IN11" i="21"/>
  <c r="IP11" i="21"/>
  <c r="IQ11" i="21"/>
  <c r="JM11" i="21"/>
  <c r="JN11" i="21"/>
  <c r="JO11" i="21"/>
  <c r="JP11" i="21"/>
  <c r="JR11" i="21"/>
  <c r="JS11" i="21"/>
  <c r="KO11" i="21"/>
  <c r="KP11" i="21"/>
  <c r="KQ11" i="21"/>
  <c r="KR11" i="21"/>
  <c r="KT11" i="21"/>
  <c r="KU11" i="21"/>
  <c r="LQ11" i="21"/>
  <c r="LR11" i="21"/>
  <c r="LS11" i="21"/>
  <c r="LT11" i="21"/>
  <c r="LV11" i="21"/>
  <c r="LW11" i="21"/>
  <c r="MS11" i="21"/>
  <c r="MT11" i="21"/>
  <c r="MU11" i="21"/>
  <c r="MV11" i="21"/>
  <c r="MX11" i="21"/>
  <c r="MY11" i="21"/>
  <c r="NU11" i="21"/>
  <c r="NV11" i="21"/>
  <c r="NW11" i="21"/>
  <c r="NX11" i="21"/>
  <c r="NZ11" i="21"/>
  <c r="OA11" i="21"/>
  <c r="OW11" i="21"/>
  <c r="OX11" i="21"/>
  <c r="OY11" i="21"/>
  <c r="OZ11" i="21"/>
  <c r="PB11" i="21"/>
  <c r="PC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10" i="21"/>
  <c r="CY10" i="21"/>
  <c r="CZ10" i="21"/>
  <c r="DA10" i="21"/>
  <c r="DC10" i="21"/>
  <c r="DD10" i="21"/>
  <c r="EC10" i="21"/>
  <c r="ED10" i="21"/>
  <c r="EE10" i="21"/>
  <c r="EF10" i="21"/>
  <c r="EH10" i="21"/>
  <c r="EI10" i="21"/>
  <c r="FE10" i="21"/>
  <c r="FF10" i="21"/>
  <c r="FG10" i="21"/>
  <c r="FH10" i="21"/>
  <c r="FJ10" i="21"/>
  <c r="FK10" i="21"/>
  <c r="GG10" i="21"/>
  <c r="GH10" i="21"/>
  <c r="GI10" i="21"/>
  <c r="GJ10" i="21"/>
  <c r="GL10" i="21"/>
  <c r="GM10" i="21"/>
  <c r="HI10" i="21"/>
  <c r="HJ10" i="21"/>
  <c r="HK10" i="21"/>
  <c r="HL10" i="21"/>
  <c r="HN10" i="21"/>
  <c r="HO10" i="21"/>
  <c r="IK10" i="21"/>
  <c r="IL10" i="21"/>
  <c r="IM10" i="21"/>
  <c r="IN10" i="21"/>
  <c r="IP10" i="21"/>
  <c r="IQ10" i="21"/>
  <c r="JM10" i="21"/>
  <c r="JN10" i="21"/>
  <c r="JO10" i="21"/>
  <c r="JP10" i="21"/>
  <c r="JR10" i="21"/>
  <c r="JS10" i="21"/>
  <c r="KO10" i="21"/>
  <c r="KP10" i="21"/>
  <c r="KQ10" i="21"/>
  <c r="KR10" i="21"/>
  <c r="KT10" i="21"/>
  <c r="KU10" i="21"/>
  <c r="LQ10" i="21"/>
  <c r="LR10" i="21"/>
  <c r="LS10" i="21"/>
  <c r="LT10" i="21"/>
  <c r="LV10" i="21"/>
  <c r="LW10" i="21"/>
  <c r="MS10" i="21"/>
  <c r="MT10" i="21"/>
  <c r="MU10" i="21"/>
  <c r="MV10" i="21"/>
  <c r="MX10" i="21"/>
  <c r="MY10" i="21"/>
  <c r="NU10" i="21"/>
  <c r="NV10" i="21"/>
  <c r="NW10" i="21"/>
  <c r="NX10" i="21"/>
  <c r="NZ10" i="21"/>
  <c r="OA10" i="21"/>
  <c r="OW10" i="21"/>
  <c r="OX10" i="21"/>
  <c r="OY10" i="21"/>
  <c r="OZ10" i="21"/>
  <c r="PB10" i="21"/>
  <c r="PC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8" i="21"/>
  <c r="CY8" i="21"/>
  <c r="CZ8" i="21"/>
  <c r="DA8" i="21"/>
  <c r="DC8" i="21"/>
  <c r="DD8" i="21"/>
  <c r="EC8" i="21"/>
  <c r="ED8" i="21"/>
  <c r="EE8" i="21"/>
  <c r="EF8" i="21"/>
  <c r="EH8" i="21"/>
  <c r="EI8" i="21"/>
  <c r="FE8" i="21"/>
  <c r="FF8" i="21"/>
  <c r="FG8" i="21"/>
  <c r="FH8" i="21"/>
  <c r="FJ8" i="21"/>
  <c r="FK8" i="21"/>
  <c r="GG8" i="21"/>
  <c r="GH8" i="21"/>
  <c r="GI8" i="21"/>
  <c r="GJ8" i="21"/>
  <c r="GL8" i="21"/>
  <c r="GM8" i="21"/>
  <c r="HI8" i="21"/>
  <c r="HJ8" i="21"/>
  <c r="HK8" i="21"/>
  <c r="HL8" i="21"/>
  <c r="HN8" i="21"/>
  <c r="HO8" i="21"/>
  <c r="IK8" i="21"/>
  <c r="IL8" i="21"/>
  <c r="IM8" i="21"/>
  <c r="IN8" i="21"/>
  <c r="IP8" i="21"/>
  <c r="IQ8" i="21"/>
  <c r="JM8" i="21"/>
  <c r="JN8" i="21"/>
  <c r="JO8" i="21"/>
  <c r="JP8" i="21"/>
  <c r="JR8" i="21"/>
  <c r="JS8" i="21"/>
  <c r="KO8" i="21"/>
  <c r="KP8" i="21"/>
  <c r="KQ8" i="21"/>
  <c r="KR8" i="21"/>
  <c r="KT8" i="21"/>
  <c r="KU8" i="21"/>
  <c r="LQ8" i="21"/>
  <c r="LR8" i="21"/>
  <c r="LS8" i="21"/>
  <c r="LT8" i="21"/>
  <c r="LV8" i="21"/>
  <c r="LW8" i="21"/>
  <c r="MS8" i="21"/>
  <c r="MT8" i="21"/>
  <c r="MU8" i="21"/>
  <c r="MV8" i="21"/>
  <c r="MX8" i="21"/>
  <c r="MY8" i="21"/>
  <c r="NU8" i="21"/>
  <c r="NV8" i="21"/>
  <c r="NW8" i="21"/>
  <c r="NX8" i="21"/>
  <c r="NZ8" i="21"/>
  <c r="OA8" i="21"/>
  <c r="OW8" i="21"/>
  <c r="OX8" i="21"/>
  <c r="OY8" i="21"/>
  <c r="OZ8" i="21"/>
  <c r="PB8" i="21"/>
  <c r="PC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PC18" i="21"/>
  <c r="PB18" i="21"/>
  <c r="OZ18" i="21"/>
  <c r="OY18" i="21"/>
  <c r="OX18" i="21"/>
  <c r="OW18" i="21"/>
  <c r="PC25" i="21"/>
  <c r="PB25" i="21"/>
  <c r="OZ25" i="21"/>
  <c r="OY25" i="21"/>
  <c r="OX25" i="21"/>
  <c r="OW25" i="21"/>
  <c r="PC26" i="21"/>
  <c r="PB26" i="21"/>
  <c r="OZ26" i="21"/>
  <c r="OY26" i="21"/>
  <c r="OX26" i="21"/>
  <c r="OW26" i="21"/>
  <c r="PC21" i="21"/>
  <c r="PB21" i="21"/>
  <c r="OZ21" i="21"/>
  <c r="OY21" i="21"/>
  <c r="OX21" i="21"/>
  <c r="OW21" i="21"/>
  <c r="PC23" i="21"/>
  <c r="PB23" i="21"/>
  <c r="OZ23" i="21"/>
  <c r="OY23" i="21"/>
  <c r="OX23" i="21"/>
  <c r="OW23" i="21"/>
  <c r="PC15" i="21"/>
  <c r="PB15" i="21"/>
  <c r="OZ15" i="21"/>
  <c r="OY15" i="21"/>
  <c r="OX15" i="21"/>
  <c r="OW15" i="21"/>
  <c r="PC24" i="21"/>
  <c r="PB24" i="21"/>
  <c r="OZ24" i="21"/>
  <c r="OY24" i="21"/>
  <c r="OX24" i="21"/>
  <c r="OW24" i="21"/>
  <c r="PC20" i="21"/>
  <c r="PB20" i="21"/>
  <c r="OZ20" i="21"/>
  <c r="OY20" i="21"/>
  <c r="OX20" i="21"/>
  <c r="OW20" i="21"/>
  <c r="PC16" i="21"/>
  <c r="PB16" i="21"/>
  <c r="OZ16" i="21"/>
  <c r="OY16" i="21"/>
  <c r="OX16" i="21"/>
  <c r="OW16" i="21"/>
  <c r="PC19" i="21"/>
  <c r="PB19" i="21"/>
  <c r="OZ19" i="21"/>
  <c r="OY19" i="21"/>
  <c r="OX19" i="21"/>
  <c r="OW19" i="21"/>
  <c r="PC17" i="21"/>
  <c r="PB17" i="21"/>
  <c r="OZ17" i="21"/>
  <c r="OY17" i="21"/>
  <c r="OX17" i="21"/>
  <c r="OW17" i="21"/>
  <c r="PC14" i="21"/>
  <c r="PB14" i="21"/>
  <c r="OZ14" i="21"/>
  <c r="OY14" i="21"/>
  <c r="OX14" i="21"/>
  <c r="OW14" i="21"/>
  <c r="PC13" i="21"/>
  <c r="PB13" i="21"/>
  <c r="OZ13" i="21"/>
  <c r="OY13" i="21"/>
  <c r="OX13" i="21"/>
  <c r="OW13" i="21"/>
  <c r="PC9" i="21"/>
  <c r="PB9" i="21"/>
  <c r="OZ9" i="21"/>
  <c r="OY9" i="21"/>
  <c r="OX9" i="21"/>
  <c r="OW9" i="21"/>
  <c r="PC7" i="21"/>
  <c r="PB7" i="21"/>
  <c r="OZ7" i="21"/>
  <c r="OY7" i="21"/>
  <c r="OX7" i="21"/>
  <c r="OW7" i="21"/>
  <c r="PC12" i="21"/>
  <c r="PB12" i="21"/>
  <c r="OZ12" i="21"/>
  <c r="OY12" i="21"/>
  <c r="OX12" i="21"/>
  <c r="OW12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18" i="21"/>
  <c r="NZ18" i="21"/>
  <c r="NX18" i="21"/>
  <c r="NW18" i="21"/>
  <c r="NV18" i="21"/>
  <c r="NU18" i="21"/>
  <c r="OA25" i="21"/>
  <c r="NZ25" i="21"/>
  <c r="NX25" i="21"/>
  <c r="NW25" i="21"/>
  <c r="NV25" i="21"/>
  <c r="NU25" i="21"/>
  <c r="OA26" i="21"/>
  <c r="NZ26" i="21"/>
  <c r="NX26" i="21"/>
  <c r="NW26" i="21"/>
  <c r="NV26" i="21"/>
  <c r="NU26" i="21"/>
  <c r="OA21" i="21"/>
  <c r="NZ21" i="21"/>
  <c r="NX21" i="21"/>
  <c r="NW21" i="21"/>
  <c r="NV21" i="21"/>
  <c r="NU21" i="21"/>
  <c r="OA23" i="21"/>
  <c r="NZ23" i="21"/>
  <c r="NX23" i="21"/>
  <c r="NW23" i="21"/>
  <c r="NV23" i="21"/>
  <c r="NU23" i="21"/>
  <c r="OA15" i="21"/>
  <c r="NZ15" i="21"/>
  <c r="NX15" i="21"/>
  <c r="NW15" i="21"/>
  <c r="NV15" i="21"/>
  <c r="NU15" i="21"/>
  <c r="OA24" i="21"/>
  <c r="NZ24" i="21"/>
  <c r="NX24" i="21"/>
  <c r="NW24" i="21"/>
  <c r="NV24" i="21"/>
  <c r="NU24" i="21"/>
  <c r="OA20" i="21"/>
  <c r="NZ20" i="21"/>
  <c r="NX20" i="21"/>
  <c r="NW20" i="21"/>
  <c r="NV20" i="21"/>
  <c r="NU20" i="21"/>
  <c r="OA16" i="21"/>
  <c r="NZ16" i="21"/>
  <c r="NX16" i="21"/>
  <c r="NW16" i="21"/>
  <c r="NV16" i="21"/>
  <c r="NU16" i="21"/>
  <c r="OA19" i="21"/>
  <c r="NZ19" i="21"/>
  <c r="NX19" i="21"/>
  <c r="NW19" i="21"/>
  <c r="NV19" i="21"/>
  <c r="NU19" i="21"/>
  <c r="OA17" i="21"/>
  <c r="NZ17" i="21"/>
  <c r="NX17" i="21"/>
  <c r="NW17" i="21"/>
  <c r="NV17" i="21"/>
  <c r="NU17" i="21"/>
  <c r="OA14" i="21"/>
  <c r="NZ14" i="21"/>
  <c r="NX14" i="21"/>
  <c r="NW14" i="21"/>
  <c r="NV14" i="21"/>
  <c r="NU14" i="21"/>
  <c r="OA13" i="21"/>
  <c r="NZ13" i="21"/>
  <c r="NX13" i="21"/>
  <c r="NW13" i="21"/>
  <c r="NV13" i="21"/>
  <c r="NU13" i="21"/>
  <c r="OA9" i="21"/>
  <c r="NZ9" i="21"/>
  <c r="NX9" i="21"/>
  <c r="NW9" i="21"/>
  <c r="NV9" i="21"/>
  <c r="NU9" i="21"/>
  <c r="OA7" i="21"/>
  <c r="NZ7" i="21"/>
  <c r="NX7" i="21"/>
  <c r="NW7" i="21"/>
  <c r="NV7" i="21"/>
  <c r="NU7" i="21"/>
  <c r="OA12" i="21"/>
  <c r="NZ12" i="21"/>
  <c r="NX12" i="21"/>
  <c r="NW12" i="21"/>
  <c r="NV12" i="21"/>
  <c r="NU12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18" i="21"/>
  <c r="MX18" i="21"/>
  <c r="MV18" i="21"/>
  <c r="MU18" i="21"/>
  <c r="MT18" i="21"/>
  <c r="MS18" i="21"/>
  <c r="MY25" i="21"/>
  <c r="MX25" i="21"/>
  <c r="MV25" i="21"/>
  <c r="MU25" i="21"/>
  <c r="MT25" i="21"/>
  <c r="MS25" i="21"/>
  <c r="MY26" i="21"/>
  <c r="MX26" i="21"/>
  <c r="MV26" i="21"/>
  <c r="MU26" i="21"/>
  <c r="MT26" i="21"/>
  <c r="MS26" i="21"/>
  <c r="MY21" i="21"/>
  <c r="MX21" i="21"/>
  <c r="MV21" i="21"/>
  <c r="MU21" i="21"/>
  <c r="MT21" i="21"/>
  <c r="MS21" i="21"/>
  <c r="MY23" i="21"/>
  <c r="MX23" i="21"/>
  <c r="MV23" i="21"/>
  <c r="MU23" i="21"/>
  <c r="MT23" i="21"/>
  <c r="MS23" i="21"/>
  <c r="MY15" i="21"/>
  <c r="MX15" i="21"/>
  <c r="MV15" i="21"/>
  <c r="MU15" i="21"/>
  <c r="MT15" i="21"/>
  <c r="MS15" i="21"/>
  <c r="MY24" i="21"/>
  <c r="MX24" i="21"/>
  <c r="MV24" i="21"/>
  <c r="MU24" i="21"/>
  <c r="MT24" i="21"/>
  <c r="MS24" i="21"/>
  <c r="MY20" i="21"/>
  <c r="MX20" i="21"/>
  <c r="MV20" i="21"/>
  <c r="MU20" i="21"/>
  <c r="MT20" i="21"/>
  <c r="MS20" i="21"/>
  <c r="MY16" i="21"/>
  <c r="MX16" i="21"/>
  <c r="MV16" i="21"/>
  <c r="MU16" i="21"/>
  <c r="MT16" i="21"/>
  <c r="MS16" i="21"/>
  <c r="MY19" i="21"/>
  <c r="MX19" i="21"/>
  <c r="MV19" i="21"/>
  <c r="MU19" i="21"/>
  <c r="MT19" i="21"/>
  <c r="MS19" i="21"/>
  <c r="MY17" i="21"/>
  <c r="MX17" i="21"/>
  <c r="MV17" i="21"/>
  <c r="MU17" i="21"/>
  <c r="MT17" i="21"/>
  <c r="MS17" i="21"/>
  <c r="MY14" i="21"/>
  <c r="MX14" i="21"/>
  <c r="MV14" i="21"/>
  <c r="MU14" i="21"/>
  <c r="MT14" i="21"/>
  <c r="MS14" i="21"/>
  <c r="MY13" i="21"/>
  <c r="MX13" i="21"/>
  <c r="MV13" i="21"/>
  <c r="MU13" i="21"/>
  <c r="MT13" i="21"/>
  <c r="MS13" i="21"/>
  <c r="MY9" i="21"/>
  <c r="MX9" i="21"/>
  <c r="MV9" i="21"/>
  <c r="MU9" i="21"/>
  <c r="MT9" i="21"/>
  <c r="MS9" i="21"/>
  <c r="MY7" i="21"/>
  <c r="MX7" i="21"/>
  <c r="MV7" i="21"/>
  <c r="MU7" i="21"/>
  <c r="MT7" i="21"/>
  <c r="MS7" i="21"/>
  <c r="MY12" i="21"/>
  <c r="MX12" i="21"/>
  <c r="MV12" i="21"/>
  <c r="MU12" i="21"/>
  <c r="MT12" i="21"/>
  <c r="MS12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18" i="21"/>
  <c r="LV18" i="21"/>
  <c r="LT18" i="21"/>
  <c r="LS18" i="21"/>
  <c r="LR18" i="21"/>
  <c r="LQ18" i="21"/>
  <c r="LW25" i="21"/>
  <c r="LV25" i="21"/>
  <c r="LT25" i="21"/>
  <c r="LS25" i="21"/>
  <c r="LR25" i="21"/>
  <c r="LQ25" i="21"/>
  <c r="LW26" i="21"/>
  <c r="LV26" i="21"/>
  <c r="LT26" i="21"/>
  <c r="LS26" i="21"/>
  <c r="LR26" i="21"/>
  <c r="LQ26" i="21"/>
  <c r="LW21" i="21"/>
  <c r="LV21" i="21"/>
  <c r="LT21" i="21"/>
  <c r="LS21" i="21"/>
  <c r="LR21" i="21"/>
  <c r="LQ21" i="21"/>
  <c r="LW23" i="21"/>
  <c r="LV23" i="21"/>
  <c r="LT23" i="21"/>
  <c r="LS23" i="21"/>
  <c r="LR23" i="21"/>
  <c r="LQ23" i="21"/>
  <c r="LW15" i="21"/>
  <c r="LV15" i="21"/>
  <c r="LT15" i="21"/>
  <c r="LS15" i="21"/>
  <c r="LR15" i="21"/>
  <c r="LQ15" i="21"/>
  <c r="LW24" i="21"/>
  <c r="LV24" i="21"/>
  <c r="LT24" i="21"/>
  <c r="LS24" i="21"/>
  <c r="LR24" i="21"/>
  <c r="LQ24" i="21"/>
  <c r="LW20" i="21"/>
  <c r="LV20" i="21"/>
  <c r="LT20" i="21"/>
  <c r="LS20" i="21"/>
  <c r="LR20" i="21"/>
  <c r="LQ20" i="21"/>
  <c r="LW16" i="21"/>
  <c r="LV16" i="21"/>
  <c r="LT16" i="21"/>
  <c r="LS16" i="21"/>
  <c r="LR16" i="21"/>
  <c r="LQ16" i="21"/>
  <c r="LW19" i="21"/>
  <c r="LV19" i="21"/>
  <c r="LT19" i="21"/>
  <c r="LS19" i="21"/>
  <c r="LR19" i="21"/>
  <c r="LQ19" i="21"/>
  <c r="LW17" i="21"/>
  <c r="LV17" i="21"/>
  <c r="LT17" i="21"/>
  <c r="LS17" i="21"/>
  <c r="LR17" i="21"/>
  <c r="LQ17" i="21"/>
  <c r="LW14" i="21"/>
  <c r="LV14" i="21"/>
  <c r="LT14" i="21"/>
  <c r="LS14" i="21"/>
  <c r="LR14" i="21"/>
  <c r="LQ14" i="21"/>
  <c r="LW13" i="21"/>
  <c r="LV13" i="21"/>
  <c r="LT13" i="21"/>
  <c r="LS13" i="21"/>
  <c r="LR13" i="21"/>
  <c r="LQ13" i="21"/>
  <c r="LW9" i="21"/>
  <c r="LV9" i="21"/>
  <c r="LT9" i="21"/>
  <c r="LS9" i="21"/>
  <c r="LR9" i="21"/>
  <c r="LQ9" i="21"/>
  <c r="LW7" i="21"/>
  <c r="LV7" i="21"/>
  <c r="LT7" i="21"/>
  <c r="LS7" i="21"/>
  <c r="LR7" i="21"/>
  <c r="LQ7" i="21"/>
  <c r="LW12" i="21"/>
  <c r="LV12" i="21"/>
  <c r="LT12" i="21"/>
  <c r="LS12" i="21"/>
  <c r="LR12" i="21"/>
  <c r="LQ12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18" i="21"/>
  <c r="KT18" i="21"/>
  <c r="KR18" i="21"/>
  <c r="KQ18" i="21"/>
  <c r="KP18" i="21"/>
  <c r="KO18" i="21"/>
  <c r="KU25" i="21"/>
  <c r="KT25" i="21"/>
  <c r="KR25" i="21"/>
  <c r="KQ25" i="21"/>
  <c r="KP25" i="21"/>
  <c r="KO25" i="21"/>
  <c r="KU26" i="21"/>
  <c r="KT26" i="21"/>
  <c r="KR26" i="21"/>
  <c r="KQ26" i="21"/>
  <c r="KP26" i="21"/>
  <c r="KO26" i="21"/>
  <c r="KU21" i="21"/>
  <c r="KT21" i="21"/>
  <c r="KR21" i="21"/>
  <c r="KQ21" i="21"/>
  <c r="KP21" i="21"/>
  <c r="KO21" i="21"/>
  <c r="KU23" i="21"/>
  <c r="KT23" i="21"/>
  <c r="KR23" i="21"/>
  <c r="KQ23" i="21"/>
  <c r="KP23" i="21"/>
  <c r="KO23" i="21"/>
  <c r="KU15" i="21"/>
  <c r="KT15" i="21"/>
  <c r="KR15" i="21"/>
  <c r="KQ15" i="21"/>
  <c r="KP15" i="21"/>
  <c r="KO15" i="21"/>
  <c r="KU24" i="21"/>
  <c r="KT24" i="21"/>
  <c r="KR24" i="21"/>
  <c r="KQ24" i="21"/>
  <c r="KP24" i="21"/>
  <c r="KO24" i="21"/>
  <c r="KU20" i="21"/>
  <c r="KT20" i="21"/>
  <c r="KR20" i="21"/>
  <c r="KQ20" i="21"/>
  <c r="KP20" i="21"/>
  <c r="KO20" i="21"/>
  <c r="KU16" i="21"/>
  <c r="KT16" i="21"/>
  <c r="KR16" i="21"/>
  <c r="KQ16" i="21"/>
  <c r="KP16" i="21"/>
  <c r="KO16" i="21"/>
  <c r="KU19" i="21"/>
  <c r="KT19" i="21"/>
  <c r="KR19" i="21"/>
  <c r="KQ19" i="21"/>
  <c r="KP19" i="21"/>
  <c r="KO19" i="21"/>
  <c r="KU17" i="21"/>
  <c r="KT17" i="21"/>
  <c r="KR17" i="21"/>
  <c r="KQ17" i="21"/>
  <c r="KP17" i="21"/>
  <c r="KO17" i="21"/>
  <c r="KU14" i="21"/>
  <c r="KT14" i="21"/>
  <c r="KR14" i="21"/>
  <c r="KQ14" i="21"/>
  <c r="KP14" i="21"/>
  <c r="KO14" i="21"/>
  <c r="KU13" i="21"/>
  <c r="KT13" i="21"/>
  <c r="KR13" i="21"/>
  <c r="KQ13" i="21"/>
  <c r="KP13" i="21"/>
  <c r="KO13" i="21"/>
  <c r="KU9" i="21"/>
  <c r="KT9" i="21"/>
  <c r="KR9" i="21"/>
  <c r="KQ9" i="21"/>
  <c r="KP9" i="21"/>
  <c r="KO9" i="21"/>
  <c r="KU7" i="21"/>
  <c r="KT7" i="21"/>
  <c r="KR7" i="21"/>
  <c r="KQ7" i="21"/>
  <c r="KP7" i="21"/>
  <c r="KO7" i="21"/>
  <c r="KU12" i="21"/>
  <c r="KT12" i="21"/>
  <c r="KR12" i="21"/>
  <c r="KQ12" i="21"/>
  <c r="KP12" i="21"/>
  <c r="KO12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18" i="21"/>
  <c r="JR18" i="21"/>
  <c r="JP18" i="21"/>
  <c r="JO18" i="21"/>
  <c r="JN18" i="21"/>
  <c r="JM18" i="21"/>
  <c r="JS25" i="21"/>
  <c r="JR25" i="21"/>
  <c r="JP25" i="21"/>
  <c r="JO25" i="21"/>
  <c r="JN25" i="21"/>
  <c r="JM25" i="21"/>
  <c r="JS26" i="21"/>
  <c r="JR26" i="21"/>
  <c r="JP26" i="21"/>
  <c r="JO26" i="21"/>
  <c r="JN26" i="21"/>
  <c r="JM26" i="21"/>
  <c r="JS21" i="21"/>
  <c r="JR21" i="21"/>
  <c r="JP21" i="21"/>
  <c r="JO21" i="21"/>
  <c r="JN21" i="21"/>
  <c r="JM21" i="21"/>
  <c r="JS23" i="21"/>
  <c r="JR23" i="21"/>
  <c r="JP23" i="21"/>
  <c r="JO23" i="21"/>
  <c r="JN23" i="21"/>
  <c r="JM23" i="21"/>
  <c r="JS15" i="21"/>
  <c r="JR15" i="21"/>
  <c r="JP15" i="21"/>
  <c r="JO15" i="21"/>
  <c r="JN15" i="21"/>
  <c r="JM15" i="21"/>
  <c r="JS24" i="21"/>
  <c r="JR24" i="21"/>
  <c r="JP24" i="21"/>
  <c r="JO24" i="21"/>
  <c r="JN24" i="21"/>
  <c r="JM24" i="21"/>
  <c r="JS20" i="21"/>
  <c r="JR20" i="21"/>
  <c r="JP20" i="21"/>
  <c r="JO20" i="21"/>
  <c r="JN20" i="21"/>
  <c r="JM20" i="21"/>
  <c r="JS16" i="21"/>
  <c r="JR16" i="21"/>
  <c r="JP16" i="21"/>
  <c r="JO16" i="21"/>
  <c r="JN16" i="21"/>
  <c r="JM16" i="21"/>
  <c r="JS19" i="21"/>
  <c r="JR19" i="21"/>
  <c r="JP19" i="21"/>
  <c r="JO19" i="21"/>
  <c r="JN19" i="21"/>
  <c r="JM19" i="21"/>
  <c r="JS17" i="21"/>
  <c r="JR17" i="21"/>
  <c r="JP17" i="21"/>
  <c r="JO17" i="21"/>
  <c r="JN17" i="21"/>
  <c r="JM17" i="21"/>
  <c r="JS14" i="21"/>
  <c r="JR14" i="21"/>
  <c r="JP14" i="21"/>
  <c r="JO14" i="21"/>
  <c r="JN14" i="21"/>
  <c r="JM14" i="21"/>
  <c r="JS13" i="21"/>
  <c r="JR13" i="21"/>
  <c r="JP13" i="21"/>
  <c r="JO13" i="21"/>
  <c r="JN13" i="21"/>
  <c r="JM13" i="21"/>
  <c r="JS9" i="21"/>
  <c r="JR9" i="21"/>
  <c r="JP9" i="21"/>
  <c r="JO9" i="21"/>
  <c r="JN9" i="21"/>
  <c r="JM9" i="21"/>
  <c r="JS7" i="21"/>
  <c r="JR7" i="21"/>
  <c r="JP7" i="21"/>
  <c r="JO7" i="21"/>
  <c r="JN7" i="21"/>
  <c r="JM7" i="21"/>
  <c r="JS12" i="21"/>
  <c r="JR12" i="21"/>
  <c r="JP12" i="21"/>
  <c r="JO12" i="21"/>
  <c r="JN12" i="21"/>
  <c r="JM12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18" i="21"/>
  <c r="IP18" i="21"/>
  <c r="IN18" i="21"/>
  <c r="IM18" i="21"/>
  <c r="IL18" i="21"/>
  <c r="IK18" i="21"/>
  <c r="IQ25" i="21"/>
  <c r="IP25" i="21"/>
  <c r="IN25" i="21"/>
  <c r="IM25" i="21"/>
  <c r="IL25" i="21"/>
  <c r="IK25" i="21"/>
  <c r="IQ26" i="21"/>
  <c r="IP26" i="21"/>
  <c r="IN26" i="21"/>
  <c r="IM26" i="21"/>
  <c r="IL26" i="21"/>
  <c r="IK26" i="21"/>
  <c r="IQ21" i="21"/>
  <c r="IP21" i="21"/>
  <c r="IN21" i="21"/>
  <c r="IM21" i="21"/>
  <c r="IL21" i="21"/>
  <c r="IK21" i="21"/>
  <c r="IQ23" i="21"/>
  <c r="IP23" i="21"/>
  <c r="IN23" i="21"/>
  <c r="IM23" i="21"/>
  <c r="IL23" i="21"/>
  <c r="IK23" i="21"/>
  <c r="IQ15" i="21"/>
  <c r="IP15" i="21"/>
  <c r="IN15" i="21"/>
  <c r="IM15" i="21"/>
  <c r="IL15" i="21"/>
  <c r="IK15" i="21"/>
  <c r="IQ24" i="21"/>
  <c r="IP24" i="21"/>
  <c r="IN24" i="21"/>
  <c r="IM24" i="21"/>
  <c r="IL24" i="21"/>
  <c r="IK24" i="21"/>
  <c r="IQ20" i="21"/>
  <c r="IP20" i="21"/>
  <c r="IN20" i="21"/>
  <c r="IM20" i="21"/>
  <c r="IL20" i="21"/>
  <c r="IK20" i="21"/>
  <c r="IQ16" i="21"/>
  <c r="IP16" i="21"/>
  <c r="IN16" i="21"/>
  <c r="IM16" i="21"/>
  <c r="IL16" i="21"/>
  <c r="IK16" i="21"/>
  <c r="IQ19" i="21"/>
  <c r="IP19" i="21"/>
  <c r="IN19" i="21"/>
  <c r="IM19" i="21"/>
  <c r="IL19" i="21"/>
  <c r="IK19" i="21"/>
  <c r="IQ17" i="21"/>
  <c r="IP17" i="21"/>
  <c r="IN17" i="21"/>
  <c r="IM17" i="21"/>
  <c r="IL17" i="21"/>
  <c r="IK17" i="21"/>
  <c r="IQ14" i="21"/>
  <c r="IP14" i="21"/>
  <c r="IN14" i="21"/>
  <c r="IM14" i="21"/>
  <c r="IL14" i="21"/>
  <c r="IK14" i="21"/>
  <c r="IQ13" i="21"/>
  <c r="IP13" i="21"/>
  <c r="IN13" i="21"/>
  <c r="IM13" i="21"/>
  <c r="IL13" i="21"/>
  <c r="IK13" i="21"/>
  <c r="IQ9" i="21"/>
  <c r="IP9" i="21"/>
  <c r="IN9" i="21"/>
  <c r="IM9" i="21"/>
  <c r="IL9" i="21"/>
  <c r="IK9" i="21"/>
  <c r="IQ7" i="21"/>
  <c r="IP7" i="21"/>
  <c r="IN7" i="21"/>
  <c r="IM7" i="21"/>
  <c r="IL7" i="21"/>
  <c r="IK7" i="21"/>
  <c r="IQ12" i="21"/>
  <c r="IP12" i="21"/>
  <c r="IN12" i="21"/>
  <c r="IM12" i="21"/>
  <c r="IL12" i="21"/>
  <c r="IK12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18" i="21"/>
  <c r="HN18" i="21"/>
  <c r="HL18" i="21"/>
  <c r="HK18" i="21"/>
  <c r="HJ18" i="21"/>
  <c r="HI18" i="21"/>
  <c r="HO25" i="21"/>
  <c r="HN25" i="21"/>
  <c r="HL25" i="21"/>
  <c r="HK25" i="21"/>
  <c r="HJ25" i="21"/>
  <c r="HI25" i="21"/>
  <c r="HO26" i="21"/>
  <c r="HN26" i="21"/>
  <c r="HL26" i="21"/>
  <c r="HK26" i="21"/>
  <c r="HJ26" i="21"/>
  <c r="HI26" i="21"/>
  <c r="HO21" i="21"/>
  <c r="HN21" i="21"/>
  <c r="HL21" i="21"/>
  <c r="HK21" i="21"/>
  <c r="HJ21" i="21"/>
  <c r="HI21" i="21"/>
  <c r="HO23" i="21"/>
  <c r="HN23" i="21"/>
  <c r="HL23" i="21"/>
  <c r="HK23" i="21"/>
  <c r="HJ23" i="21"/>
  <c r="HI23" i="21"/>
  <c r="HO15" i="21"/>
  <c r="HN15" i="21"/>
  <c r="HL15" i="21"/>
  <c r="HK15" i="21"/>
  <c r="HJ15" i="21"/>
  <c r="HI15" i="21"/>
  <c r="HO24" i="21"/>
  <c r="HN24" i="21"/>
  <c r="HL24" i="21"/>
  <c r="HK24" i="21"/>
  <c r="HJ24" i="21"/>
  <c r="HI24" i="21"/>
  <c r="HO20" i="21"/>
  <c r="HN20" i="21"/>
  <c r="HL20" i="21"/>
  <c r="HK20" i="21"/>
  <c r="HJ20" i="21"/>
  <c r="HI20" i="21"/>
  <c r="HO16" i="21"/>
  <c r="HN16" i="21"/>
  <c r="HL16" i="21"/>
  <c r="HK16" i="21"/>
  <c r="HJ16" i="21"/>
  <c r="HI16" i="21"/>
  <c r="HO19" i="21"/>
  <c r="HN19" i="21"/>
  <c r="HL19" i="21"/>
  <c r="HK19" i="21"/>
  <c r="HJ19" i="21"/>
  <c r="HI19" i="21"/>
  <c r="HO17" i="21"/>
  <c r="HN17" i="21"/>
  <c r="HL17" i="21"/>
  <c r="HK17" i="21"/>
  <c r="HJ17" i="21"/>
  <c r="HI17" i="21"/>
  <c r="HO14" i="21"/>
  <c r="HN14" i="21"/>
  <c r="HL14" i="21"/>
  <c r="HK14" i="21"/>
  <c r="HJ14" i="21"/>
  <c r="HI14" i="21"/>
  <c r="HO13" i="21"/>
  <c r="HN13" i="21"/>
  <c r="HL13" i="21"/>
  <c r="HK13" i="21"/>
  <c r="HJ13" i="21"/>
  <c r="HI13" i="21"/>
  <c r="HO9" i="21"/>
  <c r="HN9" i="21"/>
  <c r="HL9" i="21"/>
  <c r="HK9" i="21"/>
  <c r="HJ9" i="21"/>
  <c r="HI9" i="21"/>
  <c r="HO7" i="21"/>
  <c r="HN7" i="21"/>
  <c r="HL7" i="21"/>
  <c r="HK7" i="21"/>
  <c r="HJ7" i="21"/>
  <c r="HI7" i="21"/>
  <c r="HO12" i="21"/>
  <c r="HN12" i="21"/>
  <c r="HL12" i="21"/>
  <c r="HK12" i="21"/>
  <c r="HJ12" i="21"/>
  <c r="HI12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18" i="21"/>
  <c r="GL18" i="21"/>
  <c r="GJ18" i="21"/>
  <c r="GI18" i="21"/>
  <c r="GH18" i="21"/>
  <c r="GG18" i="21"/>
  <c r="GM25" i="21"/>
  <c r="GL25" i="21"/>
  <c r="GJ25" i="21"/>
  <c r="GI25" i="21"/>
  <c r="GH25" i="21"/>
  <c r="GG25" i="21"/>
  <c r="GM26" i="21"/>
  <c r="GL26" i="21"/>
  <c r="GJ26" i="21"/>
  <c r="GI26" i="21"/>
  <c r="GH26" i="21"/>
  <c r="GG26" i="21"/>
  <c r="GM21" i="21"/>
  <c r="GL21" i="21"/>
  <c r="GJ21" i="21"/>
  <c r="GI21" i="21"/>
  <c r="GH21" i="21"/>
  <c r="GG21" i="21"/>
  <c r="GM23" i="21"/>
  <c r="GL23" i="21"/>
  <c r="GJ23" i="21"/>
  <c r="GI23" i="21"/>
  <c r="GH23" i="21"/>
  <c r="GG23" i="21"/>
  <c r="GM15" i="21"/>
  <c r="GL15" i="21"/>
  <c r="GJ15" i="21"/>
  <c r="GI15" i="21"/>
  <c r="GH15" i="21"/>
  <c r="GG15" i="21"/>
  <c r="GM24" i="21"/>
  <c r="GL24" i="21"/>
  <c r="GJ24" i="21"/>
  <c r="GI24" i="21"/>
  <c r="GH24" i="21"/>
  <c r="GG24" i="21"/>
  <c r="GM20" i="21"/>
  <c r="GL20" i="21"/>
  <c r="GJ20" i="21"/>
  <c r="GI20" i="21"/>
  <c r="GH20" i="21"/>
  <c r="GG20" i="21"/>
  <c r="GM16" i="21"/>
  <c r="GL16" i="21"/>
  <c r="GJ16" i="21"/>
  <c r="GI16" i="21"/>
  <c r="GH16" i="21"/>
  <c r="GG16" i="21"/>
  <c r="GM19" i="21"/>
  <c r="GL19" i="21"/>
  <c r="GJ19" i="21"/>
  <c r="GI19" i="21"/>
  <c r="GH19" i="21"/>
  <c r="GG19" i="21"/>
  <c r="GM17" i="21"/>
  <c r="GL17" i="21"/>
  <c r="GJ17" i="21"/>
  <c r="GI17" i="21"/>
  <c r="GH17" i="21"/>
  <c r="GG17" i="21"/>
  <c r="GM14" i="21"/>
  <c r="GL14" i="21"/>
  <c r="GJ14" i="21"/>
  <c r="GI14" i="21"/>
  <c r="GH14" i="21"/>
  <c r="GG14" i="21"/>
  <c r="GM13" i="21"/>
  <c r="GL13" i="21"/>
  <c r="GJ13" i="21"/>
  <c r="GI13" i="21"/>
  <c r="GH13" i="21"/>
  <c r="GG13" i="21"/>
  <c r="GM9" i="21"/>
  <c r="GL9" i="21"/>
  <c r="GJ9" i="21"/>
  <c r="GI9" i="21"/>
  <c r="GH9" i="21"/>
  <c r="GG9" i="21"/>
  <c r="GM7" i="21"/>
  <c r="GL7" i="21"/>
  <c r="GJ7" i="21"/>
  <c r="GI7" i="21"/>
  <c r="GH7" i="21"/>
  <c r="GG7" i="21"/>
  <c r="GM12" i="21"/>
  <c r="GL12" i="21"/>
  <c r="GJ12" i="21"/>
  <c r="GI12" i="21"/>
  <c r="GH12" i="21"/>
  <c r="GG12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18" i="21"/>
  <c r="FJ18" i="21"/>
  <c r="FH18" i="21"/>
  <c r="FG18" i="21"/>
  <c r="FF18" i="21"/>
  <c r="FE18" i="21"/>
  <c r="FK25" i="21"/>
  <c r="FJ25" i="21"/>
  <c r="FH25" i="21"/>
  <c r="FG25" i="21"/>
  <c r="FF25" i="21"/>
  <c r="FE25" i="21"/>
  <c r="FK26" i="21"/>
  <c r="FJ26" i="21"/>
  <c r="FH26" i="21"/>
  <c r="FG26" i="21"/>
  <c r="FF26" i="21"/>
  <c r="FE26" i="21"/>
  <c r="FK21" i="21"/>
  <c r="FJ21" i="21"/>
  <c r="FH21" i="21"/>
  <c r="FG21" i="21"/>
  <c r="FF21" i="21"/>
  <c r="FE21" i="21"/>
  <c r="FK23" i="21"/>
  <c r="FJ23" i="21"/>
  <c r="FH23" i="21"/>
  <c r="FG23" i="21"/>
  <c r="FF23" i="21"/>
  <c r="FE23" i="21"/>
  <c r="FK15" i="21"/>
  <c r="FJ15" i="21"/>
  <c r="FH15" i="21"/>
  <c r="FG15" i="21"/>
  <c r="FF15" i="21"/>
  <c r="FE15" i="21"/>
  <c r="FK24" i="21"/>
  <c r="FJ24" i="21"/>
  <c r="FH24" i="21"/>
  <c r="FG24" i="21"/>
  <c r="FF24" i="21"/>
  <c r="FE24" i="21"/>
  <c r="FK20" i="21"/>
  <c r="FJ20" i="21"/>
  <c r="FH20" i="21"/>
  <c r="FG20" i="21"/>
  <c r="FF20" i="21"/>
  <c r="FE20" i="21"/>
  <c r="FK16" i="21"/>
  <c r="FJ16" i="21"/>
  <c r="FH16" i="21"/>
  <c r="FG16" i="21"/>
  <c r="FF16" i="21"/>
  <c r="FE16" i="21"/>
  <c r="FK19" i="21"/>
  <c r="FJ19" i="21"/>
  <c r="FH19" i="21"/>
  <c r="FG19" i="21"/>
  <c r="FF19" i="21"/>
  <c r="FE19" i="21"/>
  <c r="FK17" i="21"/>
  <c r="FJ17" i="21"/>
  <c r="FH17" i="21"/>
  <c r="FG17" i="21"/>
  <c r="FF17" i="21"/>
  <c r="FE17" i="21"/>
  <c r="FK14" i="21"/>
  <c r="FJ14" i="21"/>
  <c r="FH14" i="21"/>
  <c r="FG14" i="21"/>
  <c r="FF14" i="21"/>
  <c r="FE14" i="21"/>
  <c r="FK13" i="21"/>
  <c r="FJ13" i="21"/>
  <c r="FH13" i="21"/>
  <c r="FG13" i="21"/>
  <c r="FF13" i="21"/>
  <c r="FE13" i="21"/>
  <c r="FK9" i="21"/>
  <c r="FJ9" i="21"/>
  <c r="FH9" i="21"/>
  <c r="FG9" i="21"/>
  <c r="FF9" i="21"/>
  <c r="FE9" i="21"/>
  <c r="FK7" i="21"/>
  <c r="FJ7" i="21"/>
  <c r="FH7" i="21"/>
  <c r="FG7" i="21"/>
  <c r="FF7" i="21"/>
  <c r="FE7" i="21"/>
  <c r="FK12" i="21"/>
  <c r="FJ12" i="21"/>
  <c r="FH12" i="21"/>
  <c r="FG12" i="21"/>
  <c r="FF12" i="21"/>
  <c r="FE12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18" i="21"/>
  <c r="EH18" i="21"/>
  <c r="EF18" i="21"/>
  <c r="EE18" i="21"/>
  <c r="ED18" i="21"/>
  <c r="EC18" i="21"/>
  <c r="EI25" i="21"/>
  <c r="EH25" i="21"/>
  <c r="EF25" i="21"/>
  <c r="EE25" i="21"/>
  <c r="ED25" i="21"/>
  <c r="EC25" i="21"/>
  <c r="EI26" i="21"/>
  <c r="EH26" i="21"/>
  <c r="EF26" i="21"/>
  <c r="EE26" i="21"/>
  <c r="ED26" i="21"/>
  <c r="EC26" i="21"/>
  <c r="EI21" i="21"/>
  <c r="EH21" i="21"/>
  <c r="EF21" i="21"/>
  <c r="EE21" i="21"/>
  <c r="ED21" i="21"/>
  <c r="EC21" i="21"/>
  <c r="EI23" i="21"/>
  <c r="EH23" i="21"/>
  <c r="EF23" i="21"/>
  <c r="EE23" i="21"/>
  <c r="ED23" i="21"/>
  <c r="EC23" i="21"/>
  <c r="EI15" i="21"/>
  <c r="EH15" i="21"/>
  <c r="EF15" i="21"/>
  <c r="EE15" i="21"/>
  <c r="ED15" i="21"/>
  <c r="EC15" i="21"/>
  <c r="EI24" i="21"/>
  <c r="EH24" i="21"/>
  <c r="EF24" i="21"/>
  <c r="EE24" i="21"/>
  <c r="ED24" i="21"/>
  <c r="EC24" i="21"/>
  <c r="EI20" i="21"/>
  <c r="EH20" i="21"/>
  <c r="EF20" i="21"/>
  <c r="EE20" i="21"/>
  <c r="ED20" i="21"/>
  <c r="EC20" i="21"/>
  <c r="EI16" i="21"/>
  <c r="EH16" i="21"/>
  <c r="EF16" i="21"/>
  <c r="EE16" i="21"/>
  <c r="ED16" i="21"/>
  <c r="EC16" i="21"/>
  <c r="EI19" i="21"/>
  <c r="EH19" i="21"/>
  <c r="EF19" i="21"/>
  <c r="EE19" i="21"/>
  <c r="ED19" i="21"/>
  <c r="EC19" i="21"/>
  <c r="EI17" i="21"/>
  <c r="EH17" i="21"/>
  <c r="EF17" i="21"/>
  <c r="EE17" i="21"/>
  <c r="ED17" i="21"/>
  <c r="EC17" i="21"/>
  <c r="EI14" i="21"/>
  <c r="EH14" i="21"/>
  <c r="EF14" i="21"/>
  <c r="EE14" i="21"/>
  <c r="ED14" i="21"/>
  <c r="EC14" i="21"/>
  <c r="EI13" i="21"/>
  <c r="EH13" i="21"/>
  <c r="EF13" i="21"/>
  <c r="EE13" i="21"/>
  <c r="ED13" i="21"/>
  <c r="EC13" i="21"/>
  <c r="EI9" i="21"/>
  <c r="EH9" i="21"/>
  <c r="EF9" i="21"/>
  <c r="EE9" i="21"/>
  <c r="ED9" i="21"/>
  <c r="EC9" i="21"/>
  <c r="EI7" i="21"/>
  <c r="EH7" i="21"/>
  <c r="EF7" i="21"/>
  <c r="EE7" i="21"/>
  <c r="ED7" i="21"/>
  <c r="EC7" i="21"/>
  <c r="EI12" i="21"/>
  <c r="EH12" i="21"/>
  <c r="EF12" i="21"/>
  <c r="EE12" i="21"/>
  <c r="ED12" i="21"/>
  <c r="EC12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M20" i="22" l="1"/>
  <c r="RI14" i="27"/>
  <c r="QF22" i="21"/>
  <c r="RI17" i="26"/>
  <c r="QF11" i="21"/>
  <c r="EJ12" i="21"/>
  <c r="QF8" i="21"/>
  <c r="QF10" i="21"/>
  <c r="EJ14" i="21"/>
  <c r="EJ20" i="21"/>
  <c r="EJ21" i="21"/>
  <c r="RI37" i="19"/>
  <c r="RI31" i="19"/>
  <c r="RI23" i="19"/>
  <c r="RI34" i="19"/>
  <c r="RI35" i="19"/>
  <c r="RI18" i="27"/>
  <c r="RI15" i="27"/>
  <c r="RI8" i="27"/>
  <c r="RI7" i="26"/>
  <c r="RI18" i="26"/>
  <c r="RI20" i="26"/>
  <c r="FL4" i="21"/>
  <c r="FL7" i="21"/>
  <c r="FL17" i="21"/>
  <c r="FL24" i="21"/>
  <c r="FL26" i="21"/>
  <c r="GN5" i="21"/>
  <c r="GN9" i="21"/>
  <c r="GN19" i="21"/>
  <c r="GN15" i="21"/>
  <c r="GN25" i="21"/>
  <c r="HP6" i="21"/>
  <c r="HP13" i="21"/>
  <c r="HP16" i="21"/>
  <c r="HP23" i="21"/>
  <c r="HP18" i="21"/>
  <c r="IR12" i="21"/>
  <c r="IR14" i="21"/>
  <c r="IR20" i="21"/>
  <c r="IR21" i="21"/>
  <c r="JT4" i="21"/>
  <c r="JT7" i="21"/>
  <c r="JT17" i="21"/>
  <c r="JT24" i="21"/>
  <c r="JT26" i="21"/>
  <c r="KV5" i="21"/>
  <c r="KV9" i="21"/>
  <c r="KV19" i="21"/>
  <c r="KV15" i="21"/>
  <c r="KV25" i="21"/>
  <c r="LX6" i="21"/>
  <c r="LX13" i="21"/>
  <c r="LX16" i="21"/>
  <c r="LX23" i="21"/>
  <c r="LX18" i="21"/>
  <c r="MZ12" i="21"/>
  <c r="MZ14" i="21"/>
  <c r="MZ20" i="21"/>
  <c r="MZ21" i="21"/>
  <c r="OB4" i="21"/>
  <c r="OB7" i="21"/>
  <c r="OB17" i="21"/>
  <c r="OB24" i="21"/>
  <c r="OB26" i="21"/>
  <c r="PD5" i="21"/>
  <c r="PD9" i="21"/>
  <c r="PD19" i="21"/>
  <c r="PD15" i="21"/>
  <c r="PD25" i="21"/>
  <c r="MZ6" i="21"/>
  <c r="MZ13" i="21"/>
  <c r="MZ16" i="21"/>
  <c r="MZ23" i="21"/>
  <c r="MZ18" i="21"/>
  <c r="OB12" i="21"/>
  <c r="OB14" i="21"/>
  <c r="OB20" i="21"/>
  <c r="OB21" i="21"/>
  <c r="PD4" i="21"/>
  <c r="PD7" i="21"/>
  <c r="PD17" i="21"/>
  <c r="PD24" i="21"/>
  <c r="PD26" i="21"/>
  <c r="PD10" i="21"/>
  <c r="OB11" i="21"/>
  <c r="MZ22" i="21"/>
  <c r="PD8" i="21"/>
  <c r="MZ5" i="21"/>
  <c r="MZ9" i="21"/>
  <c r="MZ19" i="21"/>
  <c r="MZ15" i="21"/>
  <c r="MZ25" i="21"/>
  <c r="OB6" i="21"/>
  <c r="OB13" i="21"/>
  <c r="OB16" i="21"/>
  <c r="OB23" i="21"/>
  <c r="OB18" i="21"/>
  <c r="PD12" i="21"/>
  <c r="PD14" i="21"/>
  <c r="PD20" i="21"/>
  <c r="PD21" i="21"/>
  <c r="OB10" i="21"/>
  <c r="MZ11" i="21"/>
  <c r="MZ8" i="21"/>
  <c r="PD11" i="21"/>
  <c r="OB22" i="21"/>
  <c r="MZ4" i="21"/>
  <c r="MZ7" i="21"/>
  <c r="MZ17" i="21"/>
  <c r="MZ24" i="21"/>
  <c r="MZ26" i="21"/>
  <c r="OB5" i="21"/>
  <c r="OB9" i="21"/>
  <c r="OB19" i="21"/>
  <c r="OB15" i="21"/>
  <c r="OB25" i="21"/>
  <c r="PD6" i="21"/>
  <c r="PD13" i="21"/>
  <c r="PD16" i="21"/>
  <c r="PD23" i="21"/>
  <c r="PD18" i="21"/>
  <c r="OB8" i="21"/>
  <c r="MZ10" i="21"/>
  <c r="PD22" i="21"/>
  <c r="IR8" i="21"/>
  <c r="EJ8" i="21"/>
  <c r="LX10" i="21"/>
  <c r="HP10" i="21"/>
  <c r="DE10" i="21"/>
  <c r="KV11" i="21"/>
  <c r="GN11" i="21"/>
  <c r="JT22" i="21"/>
  <c r="FL22" i="21"/>
  <c r="EJ4" i="21"/>
  <c r="EJ7" i="21"/>
  <c r="EJ17" i="21"/>
  <c r="EJ24" i="21"/>
  <c r="EJ26" i="21"/>
  <c r="FL5" i="21"/>
  <c r="FL9" i="21"/>
  <c r="FL19" i="21"/>
  <c r="FL15" i="21"/>
  <c r="FL25" i="21"/>
  <c r="GN6" i="21"/>
  <c r="GN13" i="21"/>
  <c r="GN16" i="21"/>
  <c r="GN23" i="21"/>
  <c r="GN18" i="21"/>
  <c r="HP12" i="21"/>
  <c r="HP14" i="21"/>
  <c r="HP20" i="21"/>
  <c r="HP21" i="21"/>
  <c r="IR4" i="21"/>
  <c r="IR7" i="21"/>
  <c r="IR17" i="21"/>
  <c r="IR24" i="21"/>
  <c r="IR26" i="21"/>
  <c r="JT5" i="21"/>
  <c r="JT9" i="21"/>
  <c r="JT19" i="21"/>
  <c r="JT15" i="21"/>
  <c r="JT25" i="21"/>
  <c r="KV6" i="21"/>
  <c r="KV13" i="21"/>
  <c r="KV16" i="21"/>
  <c r="KV23" i="21"/>
  <c r="KV18" i="21"/>
  <c r="LX12" i="21"/>
  <c r="LX14" i="21"/>
  <c r="LX20" i="21"/>
  <c r="LX21" i="21"/>
  <c r="JT8" i="21"/>
  <c r="FL8" i="21"/>
  <c r="IR10" i="21"/>
  <c r="EJ10" i="21"/>
  <c r="LX11" i="21"/>
  <c r="HP11" i="21"/>
  <c r="DE11" i="21"/>
  <c r="KV22" i="21"/>
  <c r="GN22" i="21"/>
  <c r="KV8" i="21"/>
  <c r="GN8" i="21"/>
  <c r="JT10" i="21"/>
  <c r="FL10" i="21"/>
  <c r="IR11" i="21"/>
  <c r="EJ11" i="21"/>
  <c r="LX22" i="21"/>
  <c r="HP22" i="21"/>
  <c r="DE22" i="21"/>
  <c r="EJ6" i="21"/>
  <c r="EJ23" i="21"/>
  <c r="FL12" i="21"/>
  <c r="FL20" i="21"/>
  <c r="FL21" i="21"/>
  <c r="GN24" i="21"/>
  <c r="HP9" i="21"/>
  <c r="HP25" i="21"/>
  <c r="IR6" i="21"/>
  <c r="IR13" i="21"/>
  <c r="IR16" i="21"/>
  <c r="IR23" i="21"/>
  <c r="IR18" i="21"/>
  <c r="JT12" i="21"/>
  <c r="JT14" i="21"/>
  <c r="JT20" i="21"/>
  <c r="JT21" i="21"/>
  <c r="KV4" i="21"/>
  <c r="KV7" i="21"/>
  <c r="KV17" i="21"/>
  <c r="KV24" i="21"/>
  <c r="KV26" i="21"/>
  <c r="LX5" i="21"/>
  <c r="LX9" i="21"/>
  <c r="LX19" i="21"/>
  <c r="LX15" i="21"/>
  <c r="LX25" i="21"/>
  <c r="EJ13" i="21"/>
  <c r="EJ16" i="21"/>
  <c r="EJ18" i="21"/>
  <c r="FL14" i="21"/>
  <c r="GN4" i="21"/>
  <c r="GN7" i="21"/>
  <c r="GN17" i="21"/>
  <c r="GN26" i="21"/>
  <c r="HP5" i="21"/>
  <c r="HP19" i="21"/>
  <c r="HP15" i="21"/>
  <c r="LX8" i="21"/>
  <c r="HP8" i="21"/>
  <c r="DE8" i="21"/>
  <c r="KV10" i="21"/>
  <c r="GN10" i="21"/>
  <c r="JT11" i="21"/>
  <c r="FL11" i="21"/>
  <c r="IR22" i="21"/>
  <c r="EJ22" i="21"/>
  <c r="EJ5" i="21"/>
  <c r="EJ9" i="21"/>
  <c r="EJ19" i="21"/>
  <c r="EJ15" i="21"/>
  <c r="EJ25" i="21"/>
  <c r="FL6" i="21"/>
  <c r="FL13" i="21"/>
  <c r="FL16" i="21"/>
  <c r="FL23" i="21"/>
  <c r="FL18" i="21"/>
  <c r="GN12" i="21"/>
  <c r="GN14" i="21"/>
  <c r="GN20" i="21"/>
  <c r="GN21" i="21"/>
  <c r="HP4" i="21"/>
  <c r="HP7" i="21"/>
  <c r="HP17" i="21"/>
  <c r="HP24" i="21"/>
  <c r="HP26" i="21"/>
  <c r="IR5" i="21"/>
  <c r="IR9" i="21"/>
  <c r="IR19" i="21"/>
  <c r="IR15" i="21"/>
  <c r="IR25" i="21"/>
  <c r="JT6" i="21"/>
  <c r="JT13" i="21"/>
  <c r="JT16" i="21"/>
  <c r="JT23" i="21"/>
  <c r="JT18" i="21"/>
  <c r="KV12" i="21"/>
  <c r="KV14" i="21"/>
  <c r="KV20" i="21"/>
  <c r="KV21" i="21"/>
  <c r="LX4" i="21"/>
  <c r="LX7" i="21"/>
  <c r="LX17" i="21"/>
  <c r="LX24" i="21"/>
  <c r="LX26" i="21"/>
  <c r="TR30" i="4"/>
  <c r="TV30" i="4" s="1"/>
  <c r="TR27" i="4"/>
  <c r="TV27" i="4" s="1"/>
  <c r="J30" i="4"/>
  <c r="Q30" i="4"/>
  <c r="DB30" i="4"/>
  <c r="V30" i="4" s="1"/>
  <c r="F30" i="4" s="1"/>
  <c r="DB27" i="4"/>
  <c r="J27" i="4"/>
  <c r="Q27" i="4"/>
  <c r="DC27" i="4"/>
  <c r="S17" i="26"/>
  <c r="RF15" i="27"/>
  <c r="DB20" i="22"/>
  <c r="I22" i="21"/>
  <c r="H22" i="21"/>
  <c r="I11" i="21"/>
  <c r="H11" i="21"/>
  <c r="H8" i="21"/>
  <c r="I10" i="21"/>
  <c r="H10" i="21"/>
  <c r="I8" i="21"/>
  <c r="RF17" i="26"/>
  <c r="Q17" i="26"/>
  <c r="PA11" i="21"/>
  <c r="KS11" i="21"/>
  <c r="GK11" i="21"/>
  <c r="LU22" i="21"/>
  <c r="RG22" i="21"/>
  <c r="HM22" i="21"/>
  <c r="DG15" i="27"/>
  <c r="J30" i="22"/>
  <c r="J32" i="22"/>
  <c r="J17" i="22"/>
  <c r="J33" i="22"/>
  <c r="J29" i="4"/>
  <c r="PA22" i="21"/>
  <c r="KS22" i="21"/>
  <c r="JQ8" i="21"/>
  <c r="PA10" i="21"/>
  <c r="KS10" i="21"/>
  <c r="GK10" i="21"/>
  <c r="QC11" i="21"/>
  <c r="RF35" i="19"/>
  <c r="DH37" i="19"/>
  <c r="RF37" i="19"/>
  <c r="S34" i="19"/>
  <c r="S18" i="26"/>
  <c r="Q18" i="26"/>
  <c r="DB32" i="22"/>
  <c r="TR29" i="4"/>
  <c r="TV29" i="4" s="1"/>
  <c r="DH8" i="27"/>
  <c r="GK22" i="21"/>
  <c r="IO11" i="21"/>
  <c r="RG11" i="21"/>
  <c r="RE11" i="21"/>
  <c r="EG11" i="21"/>
  <c r="JQ22" i="21"/>
  <c r="MW22" i="21"/>
  <c r="DH23" i="19"/>
  <c r="O35" i="19"/>
  <c r="DG37" i="19"/>
  <c r="DG35" i="19"/>
  <c r="K37" i="19"/>
  <c r="S14" i="27"/>
  <c r="DF14" i="27"/>
  <c r="DH18" i="27"/>
  <c r="DF8" i="27"/>
  <c r="DG18" i="27"/>
  <c r="Q7" i="26"/>
  <c r="O17" i="26"/>
  <c r="K17" i="26"/>
  <c r="RF7" i="26"/>
  <c r="K20" i="26"/>
  <c r="TR32" i="22"/>
  <c r="TV32" i="22" s="1"/>
  <c r="DB25" i="22"/>
  <c r="TR25" i="22"/>
  <c r="TV25" i="22" s="1"/>
  <c r="TR33" i="22"/>
  <c r="TV33" i="22" s="1"/>
  <c r="Q32" i="22"/>
  <c r="DC32" i="22"/>
  <c r="DC33" i="22"/>
  <c r="Q33" i="22"/>
  <c r="DB33" i="22"/>
  <c r="DB30" i="22"/>
  <c r="TR30" i="22"/>
  <c r="TV30" i="22" s="1"/>
  <c r="Q25" i="22"/>
  <c r="DC25" i="22"/>
  <c r="TR26" i="22"/>
  <c r="TV26" i="22" s="1"/>
  <c r="J26" i="22"/>
  <c r="DC26" i="22"/>
  <c r="Q26" i="22"/>
  <c r="DB26" i="22"/>
  <c r="Q30" i="22"/>
  <c r="DC30" i="22"/>
  <c r="TR17" i="22"/>
  <c r="TV17" i="22" s="1"/>
  <c r="TR20" i="22"/>
  <c r="TV20" i="22" s="1"/>
  <c r="TR24" i="22"/>
  <c r="TV24" i="22" s="1"/>
  <c r="Q17" i="22"/>
  <c r="DC17" i="22"/>
  <c r="DB17" i="22"/>
  <c r="DB24" i="22"/>
  <c r="TR22" i="22"/>
  <c r="TV22" i="22" s="1"/>
  <c r="Q24" i="22"/>
  <c r="DC24" i="22"/>
  <c r="J24" i="22"/>
  <c r="DB22" i="22"/>
  <c r="Q22" i="22"/>
  <c r="DC22" i="22"/>
  <c r="J22" i="22"/>
  <c r="TR9" i="22"/>
  <c r="TV9" i="22" s="1"/>
  <c r="J20" i="22"/>
  <c r="DC20" i="22"/>
  <c r="Q20" i="22"/>
  <c r="GT8" i="22"/>
  <c r="HA8" i="22" s="1"/>
  <c r="IB11" i="22"/>
  <c r="II11" i="22" s="1"/>
  <c r="KR12" i="22"/>
  <c r="KY12" i="22" s="1"/>
  <c r="KR28" i="22"/>
  <c r="KY28" i="22" s="1"/>
  <c r="LZ28" i="22"/>
  <c r="MG28" i="22" s="1"/>
  <c r="LZ8" i="22"/>
  <c r="MG8" i="22" s="1"/>
  <c r="PX5" i="22"/>
  <c r="QE5" i="22" s="1"/>
  <c r="ED15" i="22"/>
  <c r="EK15" i="22" s="1"/>
  <c r="ED18" i="22"/>
  <c r="EK18" i="22" s="1"/>
  <c r="ED29" i="22"/>
  <c r="EK29" i="22" s="1"/>
  <c r="ED23" i="22"/>
  <c r="EK23" i="22" s="1"/>
  <c r="GT7" i="22"/>
  <c r="HA7" i="22" s="1"/>
  <c r="GT16" i="22"/>
  <c r="HA16" i="22" s="1"/>
  <c r="GT13" i="22"/>
  <c r="HA13" i="22" s="1"/>
  <c r="GT23" i="22"/>
  <c r="HA23" i="22" s="1"/>
  <c r="IB6" i="22"/>
  <c r="II6" i="22" s="1"/>
  <c r="IB7" i="22"/>
  <c r="II7" i="22" s="1"/>
  <c r="IB16" i="22"/>
  <c r="II16" i="22" s="1"/>
  <c r="IB13" i="22"/>
  <c r="II13" i="22" s="1"/>
  <c r="IB15" i="22"/>
  <c r="II15" i="22" s="1"/>
  <c r="IB18" i="22"/>
  <c r="II18" i="22" s="1"/>
  <c r="JJ6" i="22"/>
  <c r="JQ6" i="22" s="1"/>
  <c r="JJ7" i="22"/>
  <c r="JQ7" i="22" s="1"/>
  <c r="JJ13" i="22"/>
  <c r="JQ13" i="22" s="1"/>
  <c r="JJ15" i="22"/>
  <c r="JQ15" i="22" s="1"/>
  <c r="JJ18" i="22"/>
  <c r="JQ18" i="22" s="1"/>
  <c r="KR6" i="22"/>
  <c r="KY6" i="22" s="1"/>
  <c r="KR7" i="22"/>
  <c r="KY7" i="22" s="1"/>
  <c r="KR16" i="22"/>
  <c r="KY16" i="22" s="1"/>
  <c r="KR13" i="22"/>
  <c r="KY13" i="22" s="1"/>
  <c r="KR18" i="22"/>
  <c r="KY18" i="22" s="1"/>
  <c r="KR23" i="22"/>
  <c r="KY23" i="22" s="1"/>
  <c r="LZ7" i="22"/>
  <c r="MG7" i="22" s="1"/>
  <c r="NH7" i="22"/>
  <c r="NO7" i="22" s="1"/>
  <c r="NH16" i="22"/>
  <c r="NO16" i="22" s="1"/>
  <c r="NH13" i="22"/>
  <c r="NO13" i="22" s="1"/>
  <c r="NH15" i="22"/>
  <c r="NO15" i="22" s="1"/>
  <c r="NH18" i="22"/>
  <c r="NO18" i="22" s="1"/>
  <c r="NH29" i="22"/>
  <c r="NO29" i="22" s="1"/>
  <c r="NH23" i="22"/>
  <c r="NO23" i="22" s="1"/>
  <c r="OP6" i="22"/>
  <c r="OW6" i="22" s="1"/>
  <c r="OP7" i="22"/>
  <c r="OW7" i="22" s="1"/>
  <c r="OP16" i="22"/>
  <c r="OW16" i="22" s="1"/>
  <c r="OP13" i="22"/>
  <c r="OW13" i="22" s="1"/>
  <c r="RF6" i="22"/>
  <c r="RM6" i="22" s="1"/>
  <c r="RF7" i="22"/>
  <c r="RM7" i="22" s="1"/>
  <c r="RF13" i="22"/>
  <c r="RM13" i="22" s="1"/>
  <c r="RF15" i="22"/>
  <c r="RM15" i="22" s="1"/>
  <c r="RF18" i="22"/>
  <c r="RM18" i="22" s="1"/>
  <c r="ED7" i="22"/>
  <c r="EK7" i="22" s="1"/>
  <c r="ED13" i="22"/>
  <c r="EK13" i="22" s="1"/>
  <c r="FL6" i="22"/>
  <c r="FS6" i="22" s="1"/>
  <c r="FL29" i="22"/>
  <c r="FS29" i="22" s="1"/>
  <c r="FL23" i="22"/>
  <c r="FS23" i="22" s="1"/>
  <c r="Q9" i="22"/>
  <c r="DC9" i="22"/>
  <c r="DB9" i="22"/>
  <c r="J9" i="22"/>
  <c r="ED14" i="22"/>
  <c r="EK14" i="22" s="1"/>
  <c r="ED19" i="22"/>
  <c r="EK19" i="22" s="1"/>
  <c r="FL4" i="22"/>
  <c r="FS4" i="22" s="1"/>
  <c r="FL31" i="22"/>
  <c r="FS31" i="22" s="1"/>
  <c r="FL19" i="22"/>
  <c r="FS19" i="22" s="1"/>
  <c r="FL27" i="22"/>
  <c r="FS27" i="22" s="1"/>
  <c r="GT31" i="22"/>
  <c r="HA31" i="22" s="1"/>
  <c r="GT10" i="22"/>
  <c r="HA10" i="22" s="1"/>
  <c r="ED31" i="22"/>
  <c r="EK31" i="22" s="1"/>
  <c r="TR33" i="4"/>
  <c r="TV33" i="4" s="1"/>
  <c r="Q33" i="4"/>
  <c r="DC33" i="4"/>
  <c r="DB33" i="4"/>
  <c r="TR31" i="4"/>
  <c r="TV31" i="4" s="1"/>
  <c r="J31" i="4"/>
  <c r="Q31" i="4"/>
  <c r="DC31" i="4"/>
  <c r="DB31" i="4"/>
  <c r="Q29" i="4"/>
  <c r="DC29" i="4"/>
  <c r="O29" i="4"/>
  <c r="DB29" i="4"/>
  <c r="Q8" i="27"/>
  <c r="RF8" i="27"/>
  <c r="K8" i="27"/>
  <c r="DG14" i="27"/>
  <c r="RF14" i="27"/>
  <c r="O18" i="27"/>
  <c r="DF15" i="27"/>
  <c r="K15" i="27"/>
  <c r="DH15" i="27"/>
  <c r="S15" i="27"/>
  <c r="K18" i="27"/>
  <c r="K14" i="27"/>
  <c r="RF18" i="27"/>
  <c r="RF20" i="26"/>
  <c r="DF20" i="26"/>
  <c r="RF18" i="26"/>
  <c r="Q20" i="26"/>
  <c r="T17" i="26"/>
  <c r="K18" i="26"/>
  <c r="DF7" i="26"/>
  <c r="T7" i="26" s="1"/>
  <c r="S20" i="26"/>
  <c r="DH20" i="26"/>
  <c r="DF18" i="26"/>
  <c r="T18" i="26" s="1"/>
  <c r="K7" i="26"/>
  <c r="S7" i="26"/>
  <c r="RF34" i="19"/>
  <c r="O37" i="19"/>
  <c r="M37" i="19"/>
  <c r="DH35" i="19"/>
  <c r="S35" i="19"/>
  <c r="K35" i="19"/>
  <c r="DG34" i="19"/>
  <c r="T34" i="19" s="1"/>
  <c r="K34" i="19"/>
  <c r="DH31" i="19"/>
  <c r="RF31" i="19"/>
  <c r="RF23" i="19"/>
  <c r="O34" i="19"/>
  <c r="K31" i="19"/>
  <c r="DF31" i="19"/>
  <c r="DG23" i="19"/>
  <c r="K23" i="19"/>
  <c r="O23" i="19"/>
  <c r="Q31" i="19"/>
  <c r="R11" i="21"/>
  <c r="DH11" i="21" s="1"/>
  <c r="QC22" i="21"/>
  <c r="NY22" i="21"/>
  <c r="IO22" i="21"/>
  <c r="FI22" i="21"/>
  <c r="EG22" i="21"/>
  <c r="P22" i="21"/>
  <c r="Q22" i="21" s="1"/>
  <c r="RH22" i="21"/>
  <c r="R22" i="21"/>
  <c r="S22" i="21" s="1"/>
  <c r="RD22" i="21"/>
  <c r="RC22" i="21"/>
  <c r="RE22" i="21"/>
  <c r="RB22" i="21"/>
  <c r="N22" i="21"/>
  <c r="DF22" i="21" s="1"/>
  <c r="L22" i="21"/>
  <c r="M22" i="21" s="1"/>
  <c r="DB22" i="21"/>
  <c r="LU9" i="21"/>
  <c r="LU24" i="21"/>
  <c r="RH10" i="21"/>
  <c r="RG8" i="21"/>
  <c r="R10" i="21"/>
  <c r="DH10" i="21" s="1"/>
  <c r="JQ11" i="21"/>
  <c r="NY11" i="21"/>
  <c r="MW11" i="21"/>
  <c r="LU11" i="21"/>
  <c r="HM11" i="21"/>
  <c r="FI11" i="21"/>
  <c r="P11" i="21"/>
  <c r="DG11" i="21" s="1"/>
  <c r="RH11" i="21"/>
  <c r="RD11" i="21"/>
  <c r="RC11" i="21"/>
  <c r="RB11" i="21"/>
  <c r="N11" i="21"/>
  <c r="O11" i="21" s="1"/>
  <c r="L11" i="21"/>
  <c r="M11" i="21" s="1"/>
  <c r="DB11" i="21"/>
  <c r="GK8" i="21"/>
  <c r="IO10" i="21"/>
  <c r="EG10" i="21"/>
  <c r="KS8" i="21"/>
  <c r="MW8" i="21"/>
  <c r="IO8" i="21"/>
  <c r="NY10" i="21"/>
  <c r="JQ10" i="21"/>
  <c r="PA8" i="21"/>
  <c r="QC10" i="21"/>
  <c r="MW10" i="21"/>
  <c r="LU10" i="21"/>
  <c r="HM10" i="21"/>
  <c r="FI10" i="21"/>
  <c r="RG10" i="21"/>
  <c r="RD10" i="21"/>
  <c r="RB10" i="21"/>
  <c r="P10" i="21"/>
  <c r="Q10" i="21" s="1"/>
  <c r="N10" i="21"/>
  <c r="O10" i="21" s="1"/>
  <c r="RC10" i="21"/>
  <c r="L10" i="21"/>
  <c r="DB10" i="21"/>
  <c r="RE10" i="21"/>
  <c r="LU8" i="21"/>
  <c r="R8" i="21"/>
  <c r="DH8" i="21" s="1"/>
  <c r="EG14" i="21"/>
  <c r="QC8" i="21"/>
  <c r="NY8" i="21"/>
  <c r="HM8" i="21"/>
  <c r="FI8" i="21"/>
  <c r="EG8" i="21"/>
  <c r="RD8" i="21"/>
  <c r="RH8" i="21"/>
  <c r="RC8" i="21"/>
  <c r="RB8" i="21"/>
  <c r="P8" i="21"/>
  <c r="DG8" i="21" s="1"/>
  <c r="N8" i="21"/>
  <c r="O8" i="21" s="1"/>
  <c r="L8" i="21"/>
  <c r="M8" i="21" s="1"/>
  <c r="DB8" i="21"/>
  <c r="RE8" i="21"/>
  <c r="EG19" i="21"/>
  <c r="LU20" i="21"/>
  <c r="LU25" i="21"/>
  <c r="JQ7" i="21"/>
  <c r="JQ20" i="21"/>
  <c r="EG4" i="21"/>
  <c r="LU14" i="21"/>
  <c r="EG17" i="21"/>
  <c r="JQ15" i="21"/>
  <c r="EG6" i="21"/>
  <c r="JQ13" i="21"/>
  <c r="LU12" i="21"/>
  <c r="LU16" i="21"/>
  <c r="EG7" i="21"/>
  <c r="LU18" i="21"/>
  <c r="EG20" i="21"/>
  <c r="EG23" i="21"/>
  <c r="JQ18" i="21"/>
  <c r="LU7" i="21"/>
  <c r="JJ21" i="22"/>
  <c r="JQ21" i="22" s="1"/>
  <c r="FL13" i="22"/>
  <c r="FS13" i="22" s="1"/>
  <c r="GT18" i="22"/>
  <c r="HA18" i="22" s="1"/>
  <c r="IB10" i="22"/>
  <c r="II10" i="22" s="1"/>
  <c r="IB14" i="22"/>
  <c r="II14" i="22" s="1"/>
  <c r="JJ14" i="22"/>
  <c r="JQ14" i="22" s="1"/>
  <c r="JJ19" i="22"/>
  <c r="JQ19" i="22" s="1"/>
  <c r="LZ31" i="22"/>
  <c r="MG31" i="22" s="1"/>
  <c r="NH4" i="22"/>
  <c r="NO4" i="22" s="1"/>
  <c r="NH5" i="22"/>
  <c r="NO5" i="22" s="1"/>
  <c r="NH31" i="22"/>
  <c r="NO31" i="22" s="1"/>
  <c r="NH21" i="22"/>
  <c r="NO21" i="22" s="1"/>
  <c r="NH14" i="22"/>
  <c r="NO14" i="22" s="1"/>
  <c r="NH28" i="22"/>
  <c r="NO28" i="22" s="1"/>
  <c r="NH19" i="22"/>
  <c r="NO19" i="22" s="1"/>
  <c r="NH8" i="22"/>
  <c r="NO8" i="22" s="1"/>
  <c r="NH27" i="22"/>
  <c r="NO27" i="22" s="1"/>
  <c r="NH11" i="22"/>
  <c r="NO11" i="22" s="1"/>
  <c r="OP31" i="22"/>
  <c r="OW31" i="22" s="1"/>
  <c r="OP21" i="22"/>
  <c r="OW21" i="22" s="1"/>
  <c r="OP10" i="22"/>
  <c r="OW10" i="22" s="1"/>
  <c r="OP18" i="22"/>
  <c r="OW18" i="22" s="1"/>
  <c r="PX18" i="22"/>
  <c r="QE18" i="22" s="1"/>
  <c r="PX10" i="22"/>
  <c r="QE10" i="22" s="1"/>
  <c r="PX14" i="22"/>
  <c r="QE14" i="22" s="1"/>
  <c r="PX19" i="22"/>
  <c r="QE19" i="22" s="1"/>
  <c r="RF4" i="22"/>
  <c r="RM4" i="22" s="1"/>
  <c r="RF14" i="22"/>
  <c r="RM14" i="22" s="1"/>
  <c r="RF28" i="22"/>
  <c r="RM28" i="22" s="1"/>
  <c r="RF19" i="22"/>
  <c r="RM19" i="22" s="1"/>
  <c r="RF8" i="22"/>
  <c r="RM8" i="22" s="1"/>
  <c r="FL7" i="22"/>
  <c r="FS7" i="22" s="1"/>
  <c r="FL28" i="22"/>
  <c r="FS28" i="22" s="1"/>
  <c r="LU26" i="21"/>
  <c r="EG21" i="21"/>
  <c r="JQ6" i="21"/>
  <c r="LU4" i="21"/>
  <c r="LU15" i="21"/>
  <c r="EG5" i="21"/>
  <c r="EG25" i="21"/>
  <c r="JQ19" i="21"/>
  <c r="JQ25" i="21"/>
  <c r="EG13" i="21"/>
  <c r="JQ9" i="21"/>
  <c r="JQ24" i="21"/>
  <c r="EG15" i="21"/>
  <c r="EG18" i="21"/>
  <c r="LU6" i="21"/>
  <c r="LU19" i="21"/>
  <c r="EG9" i="21"/>
  <c r="EG24" i="21"/>
  <c r="JQ12" i="21"/>
  <c r="JQ16" i="21"/>
  <c r="JQ26" i="21"/>
  <c r="LU5" i="21"/>
  <c r="LU17" i="21"/>
  <c r="LU21" i="21"/>
  <c r="LU23" i="21"/>
  <c r="EG12" i="21"/>
  <c r="EG16" i="21"/>
  <c r="EG26" i="21"/>
  <c r="JQ5" i="21"/>
  <c r="JQ17" i="21"/>
  <c r="JQ21" i="21"/>
  <c r="LU13" i="21"/>
  <c r="JQ4" i="21"/>
  <c r="JQ14" i="21"/>
  <c r="JQ23" i="21"/>
  <c r="FL18" i="22"/>
  <c r="FS18" i="22" s="1"/>
  <c r="GT5" i="22"/>
  <c r="HA5" i="22" s="1"/>
  <c r="IB19" i="22"/>
  <c r="II19" i="22" s="1"/>
  <c r="LZ16" i="22"/>
  <c r="MG16" i="22" s="1"/>
  <c r="LZ13" i="22"/>
  <c r="MG13" i="22" s="1"/>
  <c r="LZ15" i="22"/>
  <c r="MG15" i="22" s="1"/>
  <c r="LZ18" i="22"/>
  <c r="MG18" i="22" s="1"/>
  <c r="LZ29" i="22"/>
  <c r="MG29" i="22" s="1"/>
  <c r="LZ23" i="22"/>
  <c r="MG23" i="22" s="1"/>
  <c r="NH12" i="22"/>
  <c r="NO12" i="22" s="1"/>
  <c r="OP14" i="22"/>
  <c r="OW14" i="22" s="1"/>
  <c r="OP19" i="22"/>
  <c r="OW19" i="22" s="1"/>
  <c r="OP27" i="22"/>
  <c r="OW27" i="22" s="1"/>
  <c r="PX23" i="22"/>
  <c r="QE23" i="22" s="1"/>
  <c r="JJ4" i="22"/>
  <c r="JQ4" i="22" s="1"/>
  <c r="JJ23" i="22"/>
  <c r="JQ23" i="22" s="1"/>
  <c r="RF23" i="22"/>
  <c r="RM23" i="22" s="1"/>
  <c r="ED4" i="22"/>
  <c r="EK4" i="22" s="1"/>
  <c r="GT29" i="22"/>
  <c r="HA29" i="22" s="1"/>
  <c r="IB5" i="22"/>
  <c r="II5" i="22" s="1"/>
  <c r="IB21" i="22"/>
  <c r="II21" i="22" s="1"/>
  <c r="JJ27" i="22"/>
  <c r="JQ27" i="22" s="1"/>
  <c r="KR4" i="22"/>
  <c r="KY4" i="22" s="1"/>
  <c r="KR31" i="22"/>
  <c r="KY31" i="22" s="1"/>
  <c r="KR19" i="22"/>
  <c r="KY19" i="22" s="1"/>
  <c r="KR27" i="22"/>
  <c r="KY27" i="22" s="1"/>
  <c r="RF27" i="22"/>
  <c r="RM27" i="22" s="1"/>
  <c r="PX21" i="22"/>
  <c r="QE21" i="22" s="1"/>
  <c r="FL10" i="22"/>
  <c r="FS10" i="22" s="1"/>
  <c r="IB23" i="22"/>
  <c r="II23" i="22" s="1"/>
  <c r="JJ12" i="22"/>
  <c r="JQ12" i="22" s="1"/>
  <c r="LZ10" i="22"/>
  <c r="MG10" i="22" s="1"/>
  <c r="LZ27" i="22"/>
  <c r="MG27" i="22" s="1"/>
  <c r="OP29" i="22"/>
  <c r="OW29" i="22" s="1"/>
  <c r="OP23" i="22"/>
  <c r="OW23" i="22" s="1"/>
  <c r="PX6" i="22"/>
  <c r="QE6" i="22" s="1"/>
  <c r="PX7" i="22"/>
  <c r="QE7" i="22" s="1"/>
  <c r="PX16" i="22"/>
  <c r="QE16" i="22" s="1"/>
  <c r="PX13" i="22"/>
  <c r="QE13" i="22" s="1"/>
  <c r="PX15" i="22"/>
  <c r="QE15" i="22" s="1"/>
  <c r="PX11" i="22"/>
  <c r="QE11" i="22" s="1"/>
  <c r="ED6" i="22"/>
  <c r="EK6" i="22" s="1"/>
  <c r="ED12" i="22"/>
  <c r="EK12" i="22" s="1"/>
  <c r="ED11" i="22"/>
  <c r="EK11" i="22" s="1"/>
  <c r="GT14" i="22"/>
  <c r="HA14" i="22" s="1"/>
  <c r="GT27" i="22"/>
  <c r="HA27" i="22" s="1"/>
  <c r="KR29" i="22"/>
  <c r="KY29" i="22" s="1"/>
  <c r="LZ5" i="22"/>
  <c r="MG5" i="22" s="1"/>
  <c r="ED10" i="22"/>
  <c r="EK10" i="22" s="1"/>
  <c r="FL5" i="22"/>
  <c r="FS5" i="22" s="1"/>
  <c r="FL14" i="22"/>
  <c r="FS14" i="22" s="1"/>
  <c r="GT6" i="22"/>
  <c r="HA6" i="22" s="1"/>
  <c r="GT21" i="22"/>
  <c r="HA21" i="22" s="1"/>
  <c r="GT19" i="22"/>
  <c r="HA19" i="22" s="1"/>
  <c r="IB12" i="22"/>
  <c r="II12" i="22" s="1"/>
  <c r="IB27" i="22"/>
  <c r="II27" i="22" s="1"/>
  <c r="JJ16" i="22"/>
  <c r="JQ16" i="22" s="1"/>
  <c r="JJ28" i="22"/>
  <c r="JQ28" i="22" s="1"/>
  <c r="KR15" i="22"/>
  <c r="KY15" i="22" s="1"/>
  <c r="KR8" i="22"/>
  <c r="KY8" i="22" s="1"/>
  <c r="LZ4" i="22"/>
  <c r="MG4" i="22" s="1"/>
  <c r="LZ11" i="22"/>
  <c r="MG11" i="22" s="1"/>
  <c r="PX12" i="22"/>
  <c r="QE12" i="22" s="1"/>
  <c r="PX27" i="22"/>
  <c r="QE27" i="22" s="1"/>
  <c r="RF16" i="22"/>
  <c r="RM16" i="22" s="1"/>
  <c r="ED5" i="22"/>
  <c r="EK5" i="22" s="1"/>
  <c r="FL21" i="22"/>
  <c r="FS21" i="22" s="1"/>
  <c r="GT12" i="22"/>
  <c r="HA12" i="22" s="1"/>
  <c r="IB28" i="22"/>
  <c r="II28" i="22" s="1"/>
  <c r="JJ8" i="22"/>
  <c r="JQ8" i="22" s="1"/>
  <c r="KR11" i="22"/>
  <c r="KY11" i="22" s="1"/>
  <c r="OP12" i="22"/>
  <c r="OW12" i="22" s="1"/>
  <c r="PX28" i="22"/>
  <c r="QE28" i="22" s="1"/>
  <c r="ED21" i="22"/>
  <c r="EK21" i="22" s="1"/>
  <c r="FL12" i="22"/>
  <c r="FS12" i="22" s="1"/>
  <c r="GT28" i="22"/>
  <c r="HA28" i="22" s="1"/>
  <c r="IB8" i="22"/>
  <c r="II8" i="22" s="1"/>
  <c r="JJ11" i="22"/>
  <c r="JQ11" i="22" s="1"/>
  <c r="OP28" i="22"/>
  <c r="OW28" i="22" s="1"/>
  <c r="PX8" i="22"/>
  <c r="QE8" i="22" s="1"/>
  <c r="RF5" i="22"/>
  <c r="RM5" i="22" s="1"/>
  <c r="RF11" i="22"/>
  <c r="RM11" i="22" s="1"/>
  <c r="ED27" i="22"/>
  <c r="EK27" i="22" s="1"/>
  <c r="FL16" i="22"/>
  <c r="FS16" i="22" s="1"/>
  <c r="GT15" i="22"/>
  <c r="HA15" i="22" s="1"/>
  <c r="IB4" i="22"/>
  <c r="II4" i="22" s="1"/>
  <c r="JJ31" i="22"/>
  <c r="JQ31" i="22" s="1"/>
  <c r="JJ29" i="22"/>
  <c r="JQ29" i="22" s="1"/>
  <c r="KR10" i="22"/>
  <c r="KY10" i="22" s="1"/>
  <c r="LZ14" i="22"/>
  <c r="MG14" i="22" s="1"/>
  <c r="NH6" i="22"/>
  <c r="NO6" i="22" s="1"/>
  <c r="NH10" i="22"/>
  <c r="NO10" i="22" s="1"/>
  <c r="OP15" i="22"/>
  <c r="OW15" i="22" s="1"/>
  <c r="OP8" i="22"/>
  <c r="OW8" i="22" s="1"/>
  <c r="PX4" i="22"/>
  <c r="QE4" i="22" s="1"/>
  <c r="RF31" i="22"/>
  <c r="RM31" i="22" s="1"/>
  <c r="RF21" i="22"/>
  <c r="RM21" i="22" s="1"/>
  <c r="RF29" i="22"/>
  <c r="RM29" i="22" s="1"/>
  <c r="ED16" i="22"/>
  <c r="EK16" i="22" s="1"/>
  <c r="ED28" i="22"/>
  <c r="EK28" i="22" s="1"/>
  <c r="FL15" i="22"/>
  <c r="FS15" i="22" s="1"/>
  <c r="FL8" i="22"/>
  <c r="FS8" i="22" s="1"/>
  <c r="GT4" i="22"/>
  <c r="HA4" i="22" s="1"/>
  <c r="GT11" i="22"/>
  <c r="HA11" i="22" s="1"/>
  <c r="IB31" i="22"/>
  <c r="II31" i="22" s="1"/>
  <c r="IB29" i="22"/>
  <c r="II29" i="22" s="1"/>
  <c r="JJ10" i="22"/>
  <c r="JQ10" i="22" s="1"/>
  <c r="KR5" i="22"/>
  <c r="KY5" i="22" s="1"/>
  <c r="KR14" i="22"/>
  <c r="KY14" i="22" s="1"/>
  <c r="LZ6" i="22"/>
  <c r="MG6" i="22" s="1"/>
  <c r="LZ21" i="22"/>
  <c r="MG21" i="22" s="1"/>
  <c r="LZ19" i="22"/>
  <c r="MG19" i="22" s="1"/>
  <c r="OP4" i="22"/>
  <c r="OW4" i="22" s="1"/>
  <c r="OP5" i="22"/>
  <c r="OW5" i="22" s="1"/>
  <c r="OP11" i="22"/>
  <c r="OW11" i="22" s="1"/>
  <c r="PX31" i="22"/>
  <c r="QE31" i="22" s="1"/>
  <c r="PX29" i="22"/>
  <c r="QE29" i="22" s="1"/>
  <c r="RF10" i="22"/>
  <c r="RM10" i="22" s="1"/>
  <c r="RF12" i="22"/>
  <c r="RM12" i="22" s="1"/>
  <c r="ED8" i="22"/>
  <c r="EK8" i="22" s="1"/>
  <c r="FL11" i="22"/>
  <c r="FS11" i="22" s="1"/>
  <c r="JJ5" i="22"/>
  <c r="JQ5" i="22" s="1"/>
  <c r="KR21" i="22"/>
  <c r="KY21" i="22" s="1"/>
  <c r="LZ12" i="22"/>
  <c r="MG12" i="22" s="1"/>
  <c r="PA4" i="21"/>
  <c r="PA5" i="21"/>
  <c r="PA6" i="21"/>
  <c r="PA12" i="21"/>
  <c r="PA7" i="21"/>
  <c r="PA9" i="21"/>
  <c r="PA13" i="21"/>
  <c r="PA14" i="21"/>
  <c r="PA17" i="21"/>
  <c r="PA19" i="21"/>
  <c r="PA16" i="21"/>
  <c r="PA20" i="21"/>
  <c r="PA24" i="21"/>
  <c r="PA15" i="21"/>
  <c r="PA23" i="21"/>
  <c r="PA21" i="21"/>
  <c r="PA26" i="21"/>
  <c r="PA25" i="21"/>
  <c r="PA18" i="21"/>
  <c r="NY4" i="21"/>
  <c r="NY5" i="21"/>
  <c r="NY6" i="21"/>
  <c r="NY12" i="21"/>
  <c r="NY7" i="21"/>
  <c r="NY9" i="21"/>
  <c r="NY13" i="21"/>
  <c r="NY14" i="21"/>
  <c r="NY17" i="21"/>
  <c r="NY19" i="21"/>
  <c r="NY16" i="21"/>
  <c r="NY20" i="21"/>
  <c r="NY24" i="21"/>
  <c r="NY15" i="21"/>
  <c r="NY23" i="21"/>
  <c r="NY21" i="21"/>
  <c r="NY26" i="21"/>
  <c r="NY25" i="21"/>
  <c r="NY18" i="21"/>
  <c r="MW4" i="21"/>
  <c r="MW5" i="21"/>
  <c r="MW6" i="21"/>
  <c r="MW12" i="21"/>
  <c r="MW7" i="21"/>
  <c r="MW9" i="21"/>
  <c r="MW13" i="21"/>
  <c r="MW14" i="21"/>
  <c r="MW17" i="21"/>
  <c r="MW19" i="21"/>
  <c r="MW16" i="21"/>
  <c r="MW20" i="21"/>
  <c r="MW24" i="21"/>
  <c r="MW15" i="21"/>
  <c r="MW23" i="21"/>
  <c r="MW21" i="21"/>
  <c r="MW26" i="21"/>
  <c r="MW25" i="21"/>
  <c r="MW18" i="21"/>
  <c r="KS4" i="21"/>
  <c r="KS5" i="21"/>
  <c r="KS6" i="21"/>
  <c r="KS12" i="21"/>
  <c r="KS7" i="21"/>
  <c r="KS9" i="21"/>
  <c r="KS13" i="21"/>
  <c r="KS14" i="21"/>
  <c r="KS17" i="21"/>
  <c r="KS19" i="21"/>
  <c r="KS16" i="21"/>
  <c r="KS20" i="21"/>
  <c r="KS24" i="21"/>
  <c r="KS15" i="21"/>
  <c r="KS23" i="21"/>
  <c r="KS21" i="21"/>
  <c r="KS26" i="21"/>
  <c r="KS25" i="21"/>
  <c r="KS18" i="21"/>
  <c r="IO4" i="21"/>
  <c r="IO5" i="21"/>
  <c r="IO6" i="21"/>
  <c r="IO12" i="21"/>
  <c r="IO7" i="21"/>
  <c r="IO9" i="21"/>
  <c r="IO13" i="21"/>
  <c r="IO14" i="21"/>
  <c r="IO17" i="21"/>
  <c r="IO19" i="21"/>
  <c r="IO16" i="21"/>
  <c r="IO20" i="21"/>
  <c r="IO24" i="21"/>
  <c r="IO15" i="21"/>
  <c r="IO23" i="21"/>
  <c r="IO21" i="21"/>
  <c r="IO26" i="21"/>
  <c r="IO25" i="21"/>
  <c r="IO18" i="21"/>
  <c r="HM4" i="21"/>
  <c r="HM5" i="21"/>
  <c r="HM6" i="21"/>
  <c r="HM12" i="21"/>
  <c r="HM7" i="21"/>
  <c r="HM9" i="21"/>
  <c r="HM13" i="21"/>
  <c r="HM14" i="21"/>
  <c r="HM17" i="21"/>
  <c r="HM19" i="21"/>
  <c r="HM16" i="21"/>
  <c r="HM20" i="21"/>
  <c r="HM24" i="21"/>
  <c r="HM15" i="21"/>
  <c r="HM23" i="21"/>
  <c r="HM21" i="21"/>
  <c r="HM26" i="21"/>
  <c r="HM25" i="21"/>
  <c r="HM18" i="21"/>
  <c r="GK4" i="21"/>
  <c r="GK5" i="21"/>
  <c r="GK6" i="21"/>
  <c r="GK12" i="21"/>
  <c r="GK7" i="21"/>
  <c r="GK9" i="21"/>
  <c r="GK13" i="21"/>
  <c r="GK14" i="21"/>
  <c r="GK17" i="21"/>
  <c r="GK19" i="21"/>
  <c r="GK16" i="21"/>
  <c r="GK20" i="21"/>
  <c r="GK24" i="21"/>
  <c r="GK15" i="21"/>
  <c r="GK23" i="21"/>
  <c r="GK21" i="21"/>
  <c r="GK26" i="21"/>
  <c r="GK25" i="21"/>
  <c r="GK18" i="21"/>
  <c r="FI4" i="21"/>
  <c r="FI5" i="21"/>
  <c r="FI6" i="21"/>
  <c r="FI12" i="21"/>
  <c r="FI7" i="21"/>
  <c r="FI9" i="21"/>
  <c r="FI13" i="21"/>
  <c r="FI14" i="21"/>
  <c r="FI17" i="21"/>
  <c r="FI19" i="21"/>
  <c r="FI16" i="21"/>
  <c r="FI20" i="21"/>
  <c r="FI24" i="21"/>
  <c r="FI15" i="21"/>
  <c r="FI23" i="21"/>
  <c r="FI21" i="21"/>
  <c r="FI26" i="21"/>
  <c r="FI25" i="21"/>
  <c r="FI18" i="21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9" i="21"/>
  <c r="CY9" i="21"/>
  <c r="CZ9" i="21"/>
  <c r="DA9" i="21"/>
  <c r="DC9" i="21"/>
  <c r="DD9" i="21"/>
  <c r="PY9" i="21"/>
  <c r="PZ9" i="2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27" i="19"/>
  <c r="CY27" i="19"/>
  <c r="CZ27" i="19"/>
  <c r="DA27" i="19"/>
  <c r="DC27" i="19"/>
  <c r="DD27" i="19"/>
  <c r="PY27" i="19"/>
  <c r="PZ27" i="19"/>
  <c r="QA27" i="19"/>
  <c r="QB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A22" i="22" l="1" a="1"/>
  <c r="A22" i="22" s="1"/>
  <c r="B22" i="22" a="1"/>
  <c r="B22" i="22" s="1"/>
  <c r="A9" i="22" a="1"/>
  <c r="A9" i="22" s="1"/>
  <c r="B9" i="22" a="1"/>
  <c r="B9" i="22" s="1"/>
  <c r="A33" i="22" a="1"/>
  <c r="A33" i="22" s="1"/>
  <c r="B33" i="22" a="1"/>
  <c r="B33" i="22" s="1"/>
  <c r="A17" i="22" a="1"/>
  <c r="A17" i="22" s="1"/>
  <c r="B17" i="22" a="1"/>
  <c r="B17" i="22" s="1"/>
  <c r="A26" i="22" a="1"/>
  <c r="A26" i="22" s="1"/>
  <c r="B26" i="22" a="1"/>
  <c r="B26" i="22" s="1"/>
  <c r="A32" i="22" a="1"/>
  <c r="A32" i="22" s="1"/>
  <c r="B32" i="22" a="1"/>
  <c r="B32" i="22" s="1"/>
  <c r="A24" i="22" a="1"/>
  <c r="A24" i="22" s="1"/>
  <c r="B24" i="22" a="1"/>
  <c r="B24" i="22" s="1"/>
  <c r="A30" i="22" a="1"/>
  <c r="A30" i="22" s="1"/>
  <c r="B30" i="22" a="1"/>
  <c r="B30" i="22" s="1"/>
  <c r="A30" i="4" a="1"/>
  <c r="A30" i="4" s="1"/>
  <c r="B30" i="4" a="1"/>
  <c r="B30" i="4" s="1"/>
  <c r="A29" i="4" a="1"/>
  <c r="A29" i="4" s="1"/>
  <c r="B29" i="4" a="1"/>
  <c r="B29" i="4" s="1"/>
  <c r="A31" i="4" a="1"/>
  <c r="A31" i="4" s="1"/>
  <c r="B31" i="4" a="1"/>
  <c r="B31" i="4" s="1"/>
  <c r="A27" i="4" a="1"/>
  <c r="A27" i="4" s="1"/>
  <c r="B27" i="4" a="1"/>
  <c r="B27" i="4" s="1"/>
  <c r="RI10" i="21"/>
  <c r="QF9" i="21"/>
  <c r="QF14" i="21"/>
  <c r="QF23" i="21"/>
  <c r="QF18" i="21"/>
  <c r="RI8" i="21"/>
  <c r="RI11" i="21"/>
  <c r="RI22" i="21"/>
  <c r="QF16" i="19"/>
  <c r="QF27" i="19"/>
  <c r="QF18" i="19"/>
  <c r="QF19" i="19"/>
  <c r="QF4" i="26"/>
  <c r="DE4" i="26"/>
  <c r="DE23" i="21"/>
  <c r="DE9" i="21"/>
  <c r="DE14" i="21"/>
  <c r="DE18" i="21"/>
  <c r="DE18" i="19"/>
  <c r="DE27" i="19"/>
  <c r="DE19" i="19"/>
  <c r="DE16" i="19"/>
  <c r="V27" i="4"/>
  <c r="W27" i="4" s="1"/>
  <c r="X30" i="4"/>
  <c r="W30" i="4"/>
  <c r="V20" i="22"/>
  <c r="X20" i="22" s="1"/>
  <c r="H18" i="19"/>
  <c r="H27" i="19"/>
  <c r="F17" i="26"/>
  <c r="H18" i="21"/>
  <c r="I9" i="21"/>
  <c r="H9" i="21"/>
  <c r="I14" i="21"/>
  <c r="H14" i="21"/>
  <c r="H23" i="21"/>
  <c r="I23" i="21"/>
  <c r="I18" i="21"/>
  <c r="RF22" i="21"/>
  <c r="I18" i="19"/>
  <c r="H16" i="19"/>
  <c r="I19" i="19"/>
  <c r="I27" i="19"/>
  <c r="H19" i="19"/>
  <c r="I16" i="19"/>
  <c r="I4" i="26"/>
  <c r="H4" i="26"/>
  <c r="V32" i="22"/>
  <c r="X32" i="22" s="1"/>
  <c r="J23" i="19"/>
  <c r="T37" i="19"/>
  <c r="U37" i="19" s="1"/>
  <c r="J37" i="19"/>
  <c r="J31" i="19"/>
  <c r="J15" i="27"/>
  <c r="J8" i="27"/>
  <c r="J18" i="27"/>
  <c r="J20" i="26"/>
  <c r="J18" i="26"/>
  <c r="J7" i="26"/>
  <c r="B7" i="26" s="1" a="1"/>
  <c r="B7" i="26" s="1"/>
  <c r="J25" i="22"/>
  <c r="J33" i="4"/>
  <c r="S11" i="21"/>
  <c r="T23" i="19"/>
  <c r="U23" i="19" s="1"/>
  <c r="T35" i="19"/>
  <c r="U35" i="19" s="1"/>
  <c r="T14" i="27"/>
  <c r="F14" i="27" s="1"/>
  <c r="T18" i="27"/>
  <c r="U18" i="27" s="1"/>
  <c r="T8" i="27"/>
  <c r="F8" i="27" s="1"/>
  <c r="T20" i="26"/>
  <c r="V20" i="26" s="1"/>
  <c r="RF8" i="21"/>
  <c r="Q11" i="21"/>
  <c r="DG22" i="21"/>
  <c r="K22" i="21"/>
  <c r="RF11" i="21"/>
  <c r="V25" i="22"/>
  <c r="F25" i="22" s="1"/>
  <c r="V30" i="22"/>
  <c r="W30" i="22" s="1"/>
  <c r="V33" i="22"/>
  <c r="F33" i="22" s="1"/>
  <c r="V26" i="22"/>
  <c r="F26" i="22" s="1"/>
  <c r="V24" i="22"/>
  <c r="W24" i="22" s="1"/>
  <c r="V22" i="22"/>
  <c r="W22" i="22" s="1"/>
  <c r="V17" i="22"/>
  <c r="F17" i="22" s="1"/>
  <c r="V9" i="22"/>
  <c r="V33" i="4"/>
  <c r="F33" i="4" s="1"/>
  <c r="V31" i="4"/>
  <c r="W31" i="4" s="1"/>
  <c r="V29" i="4"/>
  <c r="W29" i="4" s="1"/>
  <c r="T15" i="27"/>
  <c r="F15" i="27" s="1"/>
  <c r="U17" i="26"/>
  <c r="V17" i="26"/>
  <c r="V18" i="26"/>
  <c r="U18" i="26"/>
  <c r="F18" i="26"/>
  <c r="V7" i="26"/>
  <c r="U7" i="26"/>
  <c r="F7" i="26"/>
  <c r="T31" i="19"/>
  <c r="V31" i="19" s="1"/>
  <c r="V34" i="19"/>
  <c r="U34" i="19"/>
  <c r="F34" i="19"/>
  <c r="S10" i="21"/>
  <c r="O22" i="21"/>
  <c r="DH22" i="21"/>
  <c r="DF8" i="21"/>
  <c r="T8" i="21" s="1"/>
  <c r="DF11" i="21"/>
  <c r="T11" i="21" s="1"/>
  <c r="K11" i="21"/>
  <c r="S8" i="21"/>
  <c r="DG10" i="21"/>
  <c r="DF10" i="21"/>
  <c r="RF10" i="21"/>
  <c r="K10" i="21"/>
  <c r="M10" i="21"/>
  <c r="Q8" i="21"/>
  <c r="K8" i="21"/>
  <c r="RG18" i="19"/>
  <c r="R18" i="19"/>
  <c r="DH18" i="19" s="1"/>
  <c r="RG27" i="19"/>
  <c r="RB18" i="19"/>
  <c r="QC18" i="19"/>
  <c r="QC18" i="21"/>
  <c r="R18" i="21"/>
  <c r="DH18" i="21" s="1"/>
  <c r="QC4" i="26"/>
  <c r="RC18" i="21"/>
  <c r="R23" i="21"/>
  <c r="S23" i="21" s="1"/>
  <c r="RG18" i="21"/>
  <c r="RB18" i="21"/>
  <c r="RD18" i="21"/>
  <c r="DB18" i="21"/>
  <c r="N18" i="21"/>
  <c r="DF18" i="21" s="1"/>
  <c r="P18" i="21"/>
  <c r="DG18" i="21" s="1"/>
  <c r="RH18" i="21"/>
  <c r="L18" i="21"/>
  <c r="M18" i="21" s="1"/>
  <c r="RE18" i="21"/>
  <c r="QC14" i="21"/>
  <c r="QC23" i="21"/>
  <c r="QC9" i="21"/>
  <c r="R9" i="21"/>
  <c r="S9" i="21" s="1"/>
  <c r="R14" i="21"/>
  <c r="DH14" i="21" s="1"/>
  <c r="RB9" i="21"/>
  <c r="RB14" i="21"/>
  <c r="RB23" i="21"/>
  <c r="RH23" i="21"/>
  <c r="RG23" i="21"/>
  <c r="DB23" i="21"/>
  <c r="RC23" i="21"/>
  <c r="P23" i="21"/>
  <c r="DG23" i="21" s="1"/>
  <c r="N23" i="21"/>
  <c r="O23" i="21" s="1"/>
  <c r="RD23" i="21"/>
  <c r="L23" i="21"/>
  <c r="M23" i="21" s="1"/>
  <c r="RE23" i="21"/>
  <c r="RD14" i="21"/>
  <c r="RC14" i="21"/>
  <c r="RG14" i="21"/>
  <c r="DB14" i="21"/>
  <c r="P14" i="21"/>
  <c r="Q14" i="21" s="1"/>
  <c r="N14" i="21"/>
  <c r="O14" i="21" s="1"/>
  <c r="RH14" i="21"/>
  <c r="L14" i="21"/>
  <c r="M14" i="21" s="1"/>
  <c r="RE14" i="21"/>
  <c r="RC9" i="21"/>
  <c r="RD9" i="21"/>
  <c r="DB9" i="21"/>
  <c r="N9" i="21"/>
  <c r="O9" i="21" s="1"/>
  <c r="RG9" i="21"/>
  <c r="P9" i="21"/>
  <c r="DG9" i="21" s="1"/>
  <c r="RH9" i="21"/>
  <c r="L9" i="21"/>
  <c r="M9" i="21" s="1"/>
  <c r="RE9" i="21"/>
  <c r="RH18" i="19"/>
  <c r="RE18" i="19"/>
  <c r="P18" i="19"/>
  <c r="DG18" i="19" s="1"/>
  <c r="RD18" i="19"/>
  <c r="N18" i="19"/>
  <c r="O18" i="19" s="1"/>
  <c r="RC18" i="19"/>
  <c r="L18" i="19"/>
  <c r="DB18" i="19"/>
  <c r="QC16" i="19"/>
  <c r="RD16" i="19"/>
  <c r="RC16" i="19"/>
  <c r="RG16" i="19"/>
  <c r="RB16" i="19"/>
  <c r="DB16" i="19"/>
  <c r="P16" i="19"/>
  <c r="DG16" i="19" s="1"/>
  <c r="N16" i="19"/>
  <c r="O16" i="19" s="1"/>
  <c r="RH16" i="19"/>
  <c r="L16" i="19"/>
  <c r="M16" i="19" s="1"/>
  <c r="R16" i="19"/>
  <c r="RE16" i="19"/>
  <c r="QC19" i="19"/>
  <c r="RG19" i="19"/>
  <c r="RB19" i="19"/>
  <c r="QC27" i="19"/>
  <c r="RH27" i="19"/>
  <c r="R27" i="19"/>
  <c r="DH27" i="19" s="1"/>
  <c r="RD27" i="19"/>
  <c r="RC27" i="19"/>
  <c r="RB27" i="19"/>
  <c r="N27" i="19"/>
  <c r="O27" i="19" s="1"/>
  <c r="P27" i="19"/>
  <c r="Q27" i="19" s="1"/>
  <c r="L27" i="19"/>
  <c r="M27" i="19" s="1"/>
  <c r="DB27" i="19"/>
  <c r="RE27" i="19"/>
  <c r="RD19" i="19"/>
  <c r="RC19" i="19"/>
  <c r="R19" i="19"/>
  <c r="DH19" i="19" s="1"/>
  <c r="DB19" i="19"/>
  <c r="N19" i="19"/>
  <c r="O19" i="19" s="1"/>
  <c r="P19" i="19"/>
  <c r="DG19" i="19" s="1"/>
  <c r="RH19" i="19"/>
  <c r="L19" i="19"/>
  <c r="M19" i="19" s="1"/>
  <c r="RE19" i="19"/>
  <c r="RB4" i="26"/>
  <c r="RG4" i="26"/>
  <c r="RH4" i="26"/>
  <c r="DB4" i="26"/>
  <c r="RD4" i="26"/>
  <c r="R4" i="26"/>
  <c r="DH4" i="26" s="1"/>
  <c r="P4" i="26"/>
  <c r="DG4" i="26" s="1"/>
  <c r="N4" i="26"/>
  <c r="O4" i="26" s="1"/>
  <c r="RC4" i="26"/>
  <c r="L4" i="26"/>
  <c r="M4" i="26" s="1"/>
  <c r="RE4" i="26"/>
  <c r="A37" i="19" l="1" a="1"/>
  <c r="A37" i="19" s="1"/>
  <c r="B37" i="19" a="1"/>
  <c r="B37" i="19" s="1"/>
  <c r="A31" i="19" a="1"/>
  <c r="A31" i="19" s="1"/>
  <c r="B31" i="19" a="1"/>
  <c r="B31" i="19" s="1"/>
  <c r="A18" i="27" a="1"/>
  <c r="A18" i="27" s="1"/>
  <c r="B18" i="27" a="1"/>
  <c r="B18" i="27" s="1"/>
  <c r="A15" i="27" a="1"/>
  <c r="A15" i="27" s="1"/>
  <c r="B15" i="27" a="1"/>
  <c r="B15" i="27" s="1"/>
  <c r="A20" i="26" a="1"/>
  <c r="A20" i="26" s="1"/>
  <c r="B20" i="26" a="1"/>
  <c r="B20" i="26" s="1"/>
  <c r="A18" i="26" a="1"/>
  <c r="A18" i="26" s="1"/>
  <c r="B18" i="26" a="1"/>
  <c r="B18" i="26" s="1"/>
  <c r="A25" i="22" a="1"/>
  <c r="A25" i="22" s="1"/>
  <c r="B25" i="22" a="1"/>
  <c r="B25" i="22" s="1"/>
  <c r="F20" i="22"/>
  <c r="A33" i="4" a="1"/>
  <c r="A33" i="4" s="1"/>
  <c r="B33" i="4" a="1"/>
  <c r="B33" i="4" s="1"/>
  <c r="RI18" i="21"/>
  <c r="RI19" i="19"/>
  <c r="RI27" i="19"/>
  <c r="RI23" i="21"/>
  <c r="RI14" i="21"/>
  <c r="RI9" i="21"/>
  <c r="RI16" i="19"/>
  <c r="RI18" i="19"/>
  <c r="RI4" i="26"/>
  <c r="F27" i="4"/>
  <c r="X27" i="4"/>
  <c r="W20" i="22"/>
  <c r="F32" i="22"/>
  <c r="W32" i="22"/>
  <c r="F37" i="19"/>
  <c r="F23" i="19"/>
  <c r="V37" i="19"/>
  <c r="X30" i="22"/>
  <c r="J10" i="21"/>
  <c r="J22" i="21"/>
  <c r="J11" i="21"/>
  <c r="J35" i="19"/>
  <c r="J34" i="19"/>
  <c r="V23" i="19"/>
  <c r="V35" i="19"/>
  <c r="J14" i="27"/>
  <c r="J17" i="26"/>
  <c r="F30" i="22"/>
  <c r="V14" i="27"/>
  <c r="U14" i="27"/>
  <c r="F20" i="26"/>
  <c r="U20" i="26"/>
  <c r="F35" i="19"/>
  <c r="V18" i="27"/>
  <c r="F18" i="27"/>
  <c r="U8" i="27"/>
  <c r="V8" i="27"/>
  <c r="W25" i="22"/>
  <c r="X25" i="22"/>
  <c r="U15" i="27"/>
  <c r="V15" i="27"/>
  <c r="T22" i="21"/>
  <c r="F22" i="21" s="1"/>
  <c r="F31" i="19"/>
  <c r="U31" i="19"/>
  <c r="F22" i="22"/>
  <c r="X22" i="22"/>
  <c r="F24" i="22"/>
  <c r="X33" i="22"/>
  <c r="W33" i="22"/>
  <c r="X24" i="22"/>
  <c r="X26" i="22"/>
  <c r="W26" i="22"/>
  <c r="X17" i="22"/>
  <c r="W17" i="22"/>
  <c r="W9" i="22"/>
  <c r="X9" i="22"/>
  <c r="F9" i="22"/>
  <c r="X33" i="4"/>
  <c r="W33" i="4"/>
  <c r="F31" i="4"/>
  <c r="X31" i="4"/>
  <c r="F29" i="4"/>
  <c r="X29" i="4"/>
  <c r="T10" i="21"/>
  <c r="V10" i="21" s="1"/>
  <c r="V11" i="21"/>
  <c r="U11" i="21"/>
  <c r="F11" i="21"/>
  <c r="S18" i="21"/>
  <c r="V8" i="21"/>
  <c r="U8" i="21"/>
  <c r="F8" i="21"/>
  <c r="RF16" i="19"/>
  <c r="S18" i="19"/>
  <c r="S27" i="19"/>
  <c r="DH23" i="21"/>
  <c r="O18" i="21"/>
  <c r="RF18" i="21"/>
  <c r="K14" i="21"/>
  <c r="RF23" i="21"/>
  <c r="K18" i="21"/>
  <c r="Q18" i="19"/>
  <c r="DH9" i="21"/>
  <c r="DF9" i="21"/>
  <c r="RF9" i="21"/>
  <c r="RF14" i="21"/>
  <c r="Q18" i="21"/>
  <c r="T18" i="21"/>
  <c r="S14" i="21"/>
  <c r="K23" i="21"/>
  <c r="Q23" i="21"/>
  <c r="DF23" i="21"/>
  <c r="K9" i="21"/>
  <c r="DF14" i="21"/>
  <c r="DG14" i="21"/>
  <c r="Q9" i="21"/>
  <c r="DF18" i="19"/>
  <c r="T18" i="19" s="1"/>
  <c r="RF18" i="19"/>
  <c r="K18" i="19"/>
  <c r="M18" i="19"/>
  <c r="K19" i="19"/>
  <c r="Q16" i="19"/>
  <c r="K16" i="19"/>
  <c r="DF16" i="19"/>
  <c r="S16" i="19"/>
  <c r="DH16" i="19"/>
  <c r="DF19" i="19"/>
  <c r="T19" i="19" s="1"/>
  <c r="K27" i="19"/>
  <c r="DG27" i="19"/>
  <c r="RF27" i="19"/>
  <c r="DF27" i="19"/>
  <c r="RF19" i="19"/>
  <c r="S19" i="19"/>
  <c r="Q19" i="19"/>
  <c r="K4" i="26"/>
  <c r="RF4" i="26"/>
  <c r="DF4" i="26"/>
  <c r="T4" i="26" s="1"/>
  <c r="S4" i="26"/>
  <c r="Q4" i="26"/>
  <c r="A22" i="21" l="1" a="1"/>
  <c r="A22" i="21" s="1"/>
  <c r="B22" i="21" a="1"/>
  <c r="B22" i="21" s="1"/>
  <c r="A35" i="19" a="1"/>
  <c r="A35" i="19" s="1"/>
  <c r="B35" i="19" a="1"/>
  <c r="B35" i="19" s="1"/>
  <c r="A34" i="19" a="1"/>
  <c r="A34" i="19" s="1"/>
  <c r="B34" i="19" a="1"/>
  <c r="B34" i="19" s="1"/>
  <c r="A14" i="27" a="1"/>
  <c r="A14" i="27" s="1"/>
  <c r="B14" i="27" a="1"/>
  <c r="B14" i="27" s="1"/>
  <c r="A17" i="26" a="1"/>
  <c r="A17" i="26" s="1"/>
  <c r="B17" i="26" a="1"/>
  <c r="B17" i="26" s="1"/>
  <c r="J8" i="21"/>
  <c r="J14" i="21"/>
  <c r="J9" i="21"/>
  <c r="J23" i="21"/>
  <c r="J16" i="19"/>
  <c r="J4" i="26"/>
  <c r="B4" i="26" s="1" a="1"/>
  <c r="B4" i="26" s="1"/>
  <c r="V22" i="21"/>
  <c r="U22" i="21"/>
  <c r="F10" i="21"/>
  <c r="U10" i="21"/>
  <c r="T23" i="21"/>
  <c r="F23" i="21" s="1"/>
  <c r="T9" i="21"/>
  <c r="V9" i="21" s="1"/>
  <c r="T14" i="21"/>
  <c r="F14" i="21" s="1"/>
  <c r="V18" i="21"/>
  <c r="U18" i="21"/>
  <c r="F18" i="21"/>
  <c r="F18" i="19"/>
  <c r="V18" i="19"/>
  <c r="U18" i="19"/>
  <c r="F19" i="19"/>
  <c r="T16" i="19"/>
  <c r="V16" i="19" s="1"/>
  <c r="T27" i="19"/>
  <c r="F27" i="19" s="1"/>
  <c r="V19" i="19"/>
  <c r="U19" i="19"/>
  <c r="V4" i="26"/>
  <c r="U4" i="26"/>
  <c r="F4" i="26"/>
  <c r="A23" i="21" l="1" a="1"/>
  <c r="A23" i="21" s="1"/>
  <c r="B23" i="21" a="1"/>
  <c r="B23" i="21" s="1"/>
  <c r="A14" i="21" a="1"/>
  <c r="A14" i="21" s="1"/>
  <c r="B14" i="21" a="1"/>
  <c r="B14" i="21" s="1"/>
  <c r="J18" i="21"/>
  <c r="J19" i="19"/>
  <c r="J27" i="19"/>
  <c r="J18" i="19"/>
  <c r="F9" i="21"/>
  <c r="U23" i="21"/>
  <c r="V23" i="21"/>
  <c r="U9" i="21"/>
  <c r="U14" i="21"/>
  <c r="V14" i="21"/>
  <c r="U16" i="19"/>
  <c r="F16" i="19"/>
  <c r="V27" i="19"/>
  <c r="U27" i="19"/>
  <c r="A18" i="21" l="1" a="1"/>
  <c r="A18" i="21" s="1"/>
  <c r="B18" i="21" a="1"/>
  <c r="B18" i="21" s="1"/>
  <c r="A27" i="19" a="1"/>
  <c r="A27" i="19" s="1"/>
  <c r="B27" i="19" a="1"/>
  <c r="B27" i="19" s="1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6" i="4"/>
  <c r="CR6" i="4"/>
  <c r="CS6" i="4"/>
  <c r="CT6" i="4"/>
  <c r="CU6" i="4"/>
  <c r="CV6" i="4"/>
  <c r="CX6" i="4"/>
  <c r="CY6" i="4"/>
  <c r="CZ6" i="4"/>
  <c r="DX6" i="4"/>
  <c r="DY6" i="4"/>
  <c r="DZ6" i="4"/>
  <c r="EA6" i="4"/>
  <c r="EB6" i="4"/>
  <c r="EC6" i="4"/>
  <c r="EE6" i="4"/>
  <c r="EF6" i="4"/>
  <c r="EG6" i="4"/>
  <c r="EH6" i="4"/>
  <c r="EI6" i="4"/>
  <c r="EJ6" i="4"/>
  <c r="FF6" i="4"/>
  <c r="FG6" i="4"/>
  <c r="FH6" i="4"/>
  <c r="FI6" i="4"/>
  <c r="FJ6" i="4"/>
  <c r="FK6" i="4"/>
  <c r="FM6" i="4"/>
  <c r="FN6" i="4"/>
  <c r="FO6" i="4"/>
  <c r="FP6" i="4"/>
  <c r="FQ6" i="4"/>
  <c r="FR6" i="4"/>
  <c r="GN6" i="4"/>
  <c r="GO6" i="4"/>
  <c r="GP6" i="4"/>
  <c r="GQ6" i="4"/>
  <c r="GR6" i="4"/>
  <c r="GS6" i="4"/>
  <c r="GU6" i="4"/>
  <c r="GV6" i="4"/>
  <c r="GW6" i="4"/>
  <c r="GX6" i="4"/>
  <c r="GY6" i="4"/>
  <c r="GZ6" i="4"/>
  <c r="HV6" i="4"/>
  <c r="HW6" i="4"/>
  <c r="HX6" i="4"/>
  <c r="HY6" i="4"/>
  <c r="HZ6" i="4"/>
  <c r="IA6" i="4"/>
  <c r="IC6" i="4"/>
  <c r="ID6" i="4"/>
  <c r="IE6" i="4"/>
  <c r="IF6" i="4"/>
  <c r="IG6" i="4"/>
  <c r="IH6" i="4"/>
  <c r="JD6" i="4"/>
  <c r="JE6" i="4"/>
  <c r="JF6" i="4"/>
  <c r="JG6" i="4"/>
  <c r="JH6" i="4"/>
  <c r="JI6" i="4"/>
  <c r="JK6" i="4"/>
  <c r="JL6" i="4"/>
  <c r="JM6" i="4"/>
  <c r="JN6" i="4"/>
  <c r="JO6" i="4"/>
  <c r="JP6" i="4"/>
  <c r="KL6" i="4"/>
  <c r="KM6" i="4"/>
  <c r="KN6" i="4"/>
  <c r="KO6" i="4"/>
  <c r="KP6" i="4"/>
  <c r="KQ6" i="4"/>
  <c r="KS6" i="4"/>
  <c r="KT6" i="4"/>
  <c r="KU6" i="4"/>
  <c r="KV6" i="4"/>
  <c r="KW6" i="4"/>
  <c r="KX6" i="4"/>
  <c r="LT6" i="4"/>
  <c r="LU6" i="4"/>
  <c r="LV6" i="4"/>
  <c r="LW6" i="4"/>
  <c r="LX6" i="4"/>
  <c r="LY6" i="4"/>
  <c r="MA6" i="4"/>
  <c r="MB6" i="4"/>
  <c r="MC6" i="4"/>
  <c r="MD6" i="4"/>
  <c r="ME6" i="4"/>
  <c r="MF6" i="4"/>
  <c r="NB6" i="4"/>
  <c r="NC6" i="4"/>
  <c r="ND6" i="4"/>
  <c r="NE6" i="4"/>
  <c r="NF6" i="4"/>
  <c r="NG6" i="4"/>
  <c r="NI6" i="4"/>
  <c r="NJ6" i="4"/>
  <c r="NK6" i="4"/>
  <c r="NL6" i="4"/>
  <c r="NM6" i="4"/>
  <c r="NN6" i="4"/>
  <c r="OJ6" i="4"/>
  <c r="OK6" i="4"/>
  <c r="OL6" i="4"/>
  <c r="OM6" i="4"/>
  <c r="ON6" i="4"/>
  <c r="OO6" i="4"/>
  <c r="OQ6" i="4"/>
  <c r="OR6" i="4"/>
  <c r="OS6" i="4"/>
  <c r="OT6" i="4"/>
  <c r="OU6" i="4"/>
  <c r="OV6" i="4"/>
  <c r="PR6" i="4"/>
  <c r="PS6" i="4"/>
  <c r="PT6" i="4"/>
  <c r="PU6" i="4"/>
  <c r="PV6" i="4"/>
  <c r="PW6" i="4"/>
  <c r="PY6" i="4"/>
  <c r="PZ6" i="4"/>
  <c r="QA6" i="4"/>
  <c r="QB6" i="4"/>
  <c r="QC6" i="4"/>
  <c r="QD6" i="4"/>
  <c r="QZ6" i="4"/>
  <c r="RA6" i="4"/>
  <c r="RB6" i="4"/>
  <c r="RC6" i="4"/>
  <c r="RD6" i="4"/>
  <c r="RE6" i="4"/>
  <c r="RG6" i="4"/>
  <c r="RH6" i="4"/>
  <c r="RI6" i="4"/>
  <c r="RJ6" i="4"/>
  <c r="RK6" i="4"/>
  <c r="RL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I5" i="22" l="1"/>
  <c r="H5" i="22"/>
  <c r="I7" i="22"/>
  <c r="H7" i="22"/>
  <c r="I6" i="4"/>
  <c r="H6" i="4"/>
  <c r="P5" i="22"/>
  <c r="Q5" i="22" s="1"/>
  <c r="P7" i="22"/>
  <c r="Q7" i="22" s="1"/>
  <c r="CW6" i="4"/>
  <c r="DA6" i="4" s="1"/>
  <c r="SN7" i="22"/>
  <c r="SU7" i="22" s="1"/>
  <c r="CW7" i="22"/>
  <c r="DA7" i="22" s="1"/>
  <c r="CW5" i="22"/>
  <c r="DA5" i="22" s="1"/>
  <c r="SN5" i="22"/>
  <c r="SU5" i="22" s="1"/>
  <c r="IB6" i="4"/>
  <c r="II6" i="4" s="1"/>
  <c r="SN6" i="4"/>
  <c r="SU6" i="4" s="1"/>
  <c r="NH6" i="4"/>
  <c r="NO6" i="4" s="1"/>
  <c r="RF6" i="4"/>
  <c r="RM6" i="4" s="1"/>
  <c r="LZ6" i="4"/>
  <c r="MG6" i="4" s="1"/>
  <c r="JJ6" i="4"/>
  <c r="JQ6" i="4" s="1"/>
  <c r="GT6" i="4"/>
  <c r="HA6" i="4" s="1"/>
  <c r="ED6" i="4"/>
  <c r="EK6" i="4" s="1"/>
  <c r="TQ7" i="22"/>
  <c r="TN7" i="22"/>
  <c r="TU7" i="22"/>
  <c r="K7" i="22"/>
  <c r="N7" i="22"/>
  <c r="O7" i="22" s="1"/>
  <c r="T7" i="22"/>
  <c r="U7" i="22" s="1"/>
  <c r="L7" i="22"/>
  <c r="R7" i="22"/>
  <c r="S7" i="22" s="1"/>
  <c r="TN5" i="22"/>
  <c r="TU5" i="22"/>
  <c r="TQ5" i="22"/>
  <c r="N5" i="22"/>
  <c r="O5" i="22" s="1"/>
  <c r="T5" i="22"/>
  <c r="U5" i="22" s="1"/>
  <c r="L5" i="22"/>
  <c r="K5" i="22"/>
  <c r="R5" i="22"/>
  <c r="S5" i="22" s="1"/>
  <c r="PX6" i="4"/>
  <c r="QE6" i="4" s="1"/>
  <c r="OP6" i="4"/>
  <c r="OW6" i="4" s="1"/>
  <c r="KR6" i="4"/>
  <c r="KY6" i="4" s="1"/>
  <c r="FL6" i="4"/>
  <c r="FS6" i="4" s="1"/>
  <c r="TQ6" i="4"/>
  <c r="TN6" i="4"/>
  <c r="TU6" i="4"/>
  <c r="N6" i="4"/>
  <c r="O6" i="4" s="1"/>
  <c r="T6" i="4"/>
  <c r="U6" i="4" s="1"/>
  <c r="L6" i="4"/>
  <c r="K6" i="4"/>
  <c r="R6" i="4"/>
  <c r="S6" i="4" s="1"/>
  <c r="P6" i="4"/>
  <c r="J5" i="22" l="1"/>
  <c r="B5" i="22" s="1" a="1"/>
  <c r="B5" i="22" s="1"/>
  <c r="J7" i="22"/>
  <c r="J6" i="4"/>
  <c r="M5" i="22"/>
  <c r="M7" i="22"/>
  <c r="TR6" i="4"/>
  <c r="TV6" i="4" s="1"/>
  <c r="M6" i="4"/>
  <c r="TR7" i="22"/>
  <c r="TV7" i="22" s="1"/>
  <c r="TR5" i="22"/>
  <c r="TV5" i="22" s="1"/>
  <c r="DC7" i="22"/>
  <c r="DB7" i="22"/>
  <c r="DC5" i="22"/>
  <c r="DB5" i="22"/>
  <c r="DB6" i="4"/>
  <c r="Q6" i="4"/>
  <c r="DC6" i="4"/>
  <c r="V6" i="4" l="1"/>
  <c r="F6" i="4" s="1"/>
  <c r="V7" i="22"/>
  <c r="W7" i="22" s="1"/>
  <c r="V5" i="22"/>
  <c r="F5" i="22" s="1"/>
  <c r="X7" i="22" l="1"/>
  <c r="X5" i="22"/>
  <c r="F7" i="22"/>
  <c r="W5" i="22"/>
  <c r="W6" i="4"/>
  <c r="X6" i="4"/>
  <c r="CX11" i="27"/>
  <c r="CY11" i="27"/>
  <c r="CZ11" i="27"/>
  <c r="DA11" i="27"/>
  <c r="DC11" i="27"/>
  <c r="DD11" i="27"/>
  <c r="PY11" i="27"/>
  <c r="PZ11" i="27"/>
  <c r="QA11" i="27"/>
  <c r="QB11" i="27"/>
  <c r="QD11" i="27"/>
  <c r="QE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QY11" i="27"/>
  <c r="QZ11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DE5" i="27" l="1"/>
  <c r="QF5" i="27"/>
  <c r="QF11" i="27"/>
  <c r="I11" i="27"/>
  <c r="DE11" i="27"/>
  <c r="I5" i="27"/>
  <c r="H5" i="27"/>
  <c r="H11" i="27"/>
  <c r="QC11" i="27"/>
  <c r="RB11" i="27"/>
  <c r="RG5" i="27"/>
  <c r="RB5" i="27"/>
  <c r="P11" i="27"/>
  <c r="DG11" i="27" s="1"/>
  <c r="QC5" i="27"/>
  <c r="RD11" i="27"/>
  <c r="RC11" i="27"/>
  <c r="R11" i="27"/>
  <c r="DH11" i="27" s="1"/>
  <c r="RG11" i="27"/>
  <c r="DB11" i="27"/>
  <c r="N11" i="27"/>
  <c r="DF11" i="27" s="1"/>
  <c r="RH11" i="27"/>
  <c r="L11" i="27"/>
  <c r="M11" i="27" s="1"/>
  <c r="RE11" i="27"/>
  <c r="R5" i="27"/>
  <c r="S5" i="27" s="1"/>
  <c r="RC5" i="27"/>
  <c r="RD5" i="27"/>
  <c r="DB5" i="27"/>
  <c r="N5" i="27"/>
  <c r="O5" i="27" s="1"/>
  <c r="P5" i="27"/>
  <c r="DG5" i="27" s="1"/>
  <c r="RH5" i="27"/>
  <c r="L5" i="27"/>
  <c r="M5" i="27" s="1"/>
  <c r="RE5" i="27"/>
  <c r="RI11" i="27" l="1"/>
  <c r="RI5" i="27"/>
  <c r="Q11" i="27"/>
  <c r="RF11" i="27"/>
  <c r="DH5" i="27"/>
  <c r="RF5" i="27"/>
  <c r="S11" i="27"/>
  <c r="K11" i="27"/>
  <c r="O11" i="27"/>
  <c r="T11" i="27"/>
  <c r="Q5" i="27"/>
  <c r="DF5" i="27"/>
  <c r="K5" i="27"/>
  <c r="J11" i="27" l="1"/>
  <c r="T5" i="27"/>
  <c r="V5" i="27" s="1"/>
  <c r="V11" i="27"/>
  <c r="U11" i="27"/>
  <c r="F11" i="27"/>
  <c r="J5" i="27" l="1"/>
  <c r="B5" i="27" s="1" a="1"/>
  <c r="B5" i="27" s="1"/>
  <c r="F5" i="27"/>
  <c r="U5" i="27"/>
  <c r="CX17" i="27"/>
  <c r="CY17" i="27"/>
  <c r="CZ17" i="27"/>
  <c r="DA17" i="27"/>
  <c r="DC17" i="27"/>
  <c r="DD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3" i="26"/>
  <c r="CY13" i="26"/>
  <c r="CZ13" i="26"/>
  <c r="DA13" i="26"/>
  <c r="DC13" i="26"/>
  <c r="DD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CQ22" i="4"/>
  <c r="CR22" i="4"/>
  <c r="CS22" i="4"/>
  <c r="CT22" i="4"/>
  <c r="CU22" i="4"/>
  <c r="CV22" i="4"/>
  <c r="CX22" i="4"/>
  <c r="CY22" i="4"/>
  <c r="CZ22" i="4"/>
  <c r="DX22" i="4"/>
  <c r="DY22" i="4"/>
  <c r="DZ22" i="4"/>
  <c r="EA22" i="4"/>
  <c r="EB22" i="4"/>
  <c r="EC22" i="4"/>
  <c r="EE22" i="4"/>
  <c r="EF22" i="4"/>
  <c r="EG22" i="4"/>
  <c r="EH22" i="4"/>
  <c r="EI22" i="4"/>
  <c r="EJ22" i="4"/>
  <c r="FF22" i="4"/>
  <c r="FG22" i="4"/>
  <c r="FH22" i="4"/>
  <c r="FI22" i="4"/>
  <c r="FJ22" i="4"/>
  <c r="FK22" i="4"/>
  <c r="FM22" i="4"/>
  <c r="FN22" i="4"/>
  <c r="FO22" i="4"/>
  <c r="FP22" i="4"/>
  <c r="FQ22" i="4"/>
  <c r="FR22" i="4"/>
  <c r="GN22" i="4"/>
  <c r="GO22" i="4"/>
  <c r="GP22" i="4"/>
  <c r="GQ22" i="4"/>
  <c r="GR22" i="4"/>
  <c r="GS22" i="4"/>
  <c r="GU22" i="4"/>
  <c r="GV22" i="4"/>
  <c r="GW22" i="4"/>
  <c r="GX22" i="4"/>
  <c r="GY22" i="4"/>
  <c r="GZ22" i="4"/>
  <c r="HV22" i="4"/>
  <c r="HW22" i="4"/>
  <c r="HX22" i="4"/>
  <c r="HY22" i="4"/>
  <c r="HZ22" i="4"/>
  <c r="IA22" i="4"/>
  <c r="IC22" i="4"/>
  <c r="ID22" i="4"/>
  <c r="IE22" i="4"/>
  <c r="IF22" i="4"/>
  <c r="IG22" i="4"/>
  <c r="IH22" i="4"/>
  <c r="JD22" i="4"/>
  <c r="JE22" i="4"/>
  <c r="JF22" i="4"/>
  <c r="JG22" i="4"/>
  <c r="JH22" i="4"/>
  <c r="JI22" i="4"/>
  <c r="JK22" i="4"/>
  <c r="JL22" i="4"/>
  <c r="JM22" i="4"/>
  <c r="JN22" i="4"/>
  <c r="JO22" i="4"/>
  <c r="JP22" i="4"/>
  <c r="KL22" i="4"/>
  <c r="KM22" i="4"/>
  <c r="KN22" i="4"/>
  <c r="KO22" i="4"/>
  <c r="KP22" i="4"/>
  <c r="KQ22" i="4"/>
  <c r="KS22" i="4"/>
  <c r="KT22" i="4"/>
  <c r="KU22" i="4"/>
  <c r="KV22" i="4"/>
  <c r="KW22" i="4"/>
  <c r="KX22" i="4"/>
  <c r="LT22" i="4"/>
  <c r="LU22" i="4"/>
  <c r="LV22" i="4"/>
  <c r="LW22" i="4"/>
  <c r="LX22" i="4"/>
  <c r="LY22" i="4"/>
  <c r="MA22" i="4"/>
  <c r="MB22" i="4"/>
  <c r="MC22" i="4"/>
  <c r="MD22" i="4"/>
  <c r="ME22" i="4"/>
  <c r="MF22" i="4"/>
  <c r="NB22" i="4"/>
  <c r="NC22" i="4"/>
  <c r="ND22" i="4"/>
  <c r="NE22" i="4"/>
  <c r="NF22" i="4"/>
  <c r="NG22" i="4"/>
  <c r="NI22" i="4"/>
  <c r="NJ22" i="4"/>
  <c r="NK22" i="4"/>
  <c r="NL22" i="4"/>
  <c r="NM22" i="4"/>
  <c r="NN22" i="4"/>
  <c r="OJ22" i="4"/>
  <c r="OK22" i="4"/>
  <c r="OL22" i="4"/>
  <c r="OM22" i="4"/>
  <c r="ON22" i="4"/>
  <c r="OO22" i="4"/>
  <c r="OQ22" i="4"/>
  <c r="OR22" i="4"/>
  <c r="OS22" i="4"/>
  <c r="OT22" i="4"/>
  <c r="OU22" i="4"/>
  <c r="OV22" i="4"/>
  <c r="PR22" i="4"/>
  <c r="PS22" i="4"/>
  <c r="PT22" i="4"/>
  <c r="PU22" i="4"/>
  <c r="PV22" i="4"/>
  <c r="PW22" i="4"/>
  <c r="PY22" i="4"/>
  <c r="PZ22" i="4"/>
  <c r="QA22" i="4"/>
  <c r="QB22" i="4"/>
  <c r="QC22" i="4"/>
  <c r="QD22" i="4"/>
  <c r="QZ22" i="4"/>
  <c r="RA22" i="4"/>
  <c r="RB22" i="4"/>
  <c r="RC22" i="4"/>
  <c r="RD22" i="4"/>
  <c r="RE22" i="4"/>
  <c r="RG22" i="4"/>
  <c r="RH22" i="4"/>
  <c r="RI22" i="4"/>
  <c r="RJ22" i="4"/>
  <c r="RK22" i="4"/>
  <c r="RL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I22" i="4"/>
  <c r="TT22" i="4" s="1"/>
  <c r="TJ22" i="4"/>
  <c r="CQ28" i="4"/>
  <c r="CR28" i="4"/>
  <c r="CS28" i="4"/>
  <c r="CT28" i="4"/>
  <c r="CU28" i="4"/>
  <c r="CV28" i="4"/>
  <c r="CX28" i="4"/>
  <c r="CY28" i="4"/>
  <c r="CZ28" i="4"/>
  <c r="DX28" i="4"/>
  <c r="DY28" i="4"/>
  <c r="DZ28" i="4"/>
  <c r="EA28" i="4"/>
  <c r="EB28" i="4"/>
  <c r="EC28" i="4"/>
  <c r="EE28" i="4"/>
  <c r="EF28" i="4"/>
  <c r="EG28" i="4"/>
  <c r="EH28" i="4"/>
  <c r="EI28" i="4"/>
  <c r="EJ28" i="4"/>
  <c r="FF28" i="4"/>
  <c r="FG28" i="4"/>
  <c r="FH28" i="4"/>
  <c r="FI28" i="4"/>
  <c r="FJ28" i="4"/>
  <c r="FK28" i="4"/>
  <c r="FM28" i="4"/>
  <c r="FN28" i="4"/>
  <c r="FO28" i="4"/>
  <c r="FP28" i="4"/>
  <c r="FQ28" i="4"/>
  <c r="FR28" i="4"/>
  <c r="GN28" i="4"/>
  <c r="GO28" i="4"/>
  <c r="GP28" i="4"/>
  <c r="GQ28" i="4"/>
  <c r="GR28" i="4"/>
  <c r="GS28" i="4"/>
  <c r="GU28" i="4"/>
  <c r="GV28" i="4"/>
  <c r="GW28" i="4"/>
  <c r="GX28" i="4"/>
  <c r="GY28" i="4"/>
  <c r="GZ28" i="4"/>
  <c r="HV28" i="4"/>
  <c r="HW28" i="4"/>
  <c r="HX28" i="4"/>
  <c r="HY28" i="4"/>
  <c r="HZ28" i="4"/>
  <c r="IA28" i="4"/>
  <c r="IC28" i="4"/>
  <c r="ID28" i="4"/>
  <c r="IE28" i="4"/>
  <c r="IF28" i="4"/>
  <c r="IG28" i="4"/>
  <c r="IH28" i="4"/>
  <c r="JD28" i="4"/>
  <c r="JE28" i="4"/>
  <c r="JF28" i="4"/>
  <c r="JG28" i="4"/>
  <c r="JH28" i="4"/>
  <c r="JI28" i="4"/>
  <c r="JK28" i="4"/>
  <c r="JL28" i="4"/>
  <c r="JM28" i="4"/>
  <c r="JN28" i="4"/>
  <c r="JO28" i="4"/>
  <c r="JP28" i="4"/>
  <c r="KL28" i="4"/>
  <c r="KM28" i="4"/>
  <c r="KN28" i="4"/>
  <c r="KO28" i="4"/>
  <c r="KP28" i="4"/>
  <c r="KQ28" i="4"/>
  <c r="KS28" i="4"/>
  <c r="KT28" i="4"/>
  <c r="KU28" i="4"/>
  <c r="KV28" i="4"/>
  <c r="KW28" i="4"/>
  <c r="KX28" i="4"/>
  <c r="LT28" i="4"/>
  <c r="LU28" i="4"/>
  <c r="LV28" i="4"/>
  <c r="LW28" i="4"/>
  <c r="LX28" i="4"/>
  <c r="LY28" i="4"/>
  <c r="MA28" i="4"/>
  <c r="MB28" i="4"/>
  <c r="MC28" i="4"/>
  <c r="MD28" i="4"/>
  <c r="ME28" i="4"/>
  <c r="MF28" i="4"/>
  <c r="NB28" i="4"/>
  <c r="NC28" i="4"/>
  <c r="ND28" i="4"/>
  <c r="NE28" i="4"/>
  <c r="NF28" i="4"/>
  <c r="NG28" i="4"/>
  <c r="NI28" i="4"/>
  <c r="NJ28" i="4"/>
  <c r="NK28" i="4"/>
  <c r="NL28" i="4"/>
  <c r="NM28" i="4"/>
  <c r="NN28" i="4"/>
  <c r="OJ28" i="4"/>
  <c r="OK28" i="4"/>
  <c r="OL28" i="4"/>
  <c r="OM28" i="4"/>
  <c r="ON28" i="4"/>
  <c r="OO28" i="4"/>
  <c r="OQ28" i="4"/>
  <c r="OR28" i="4"/>
  <c r="OS28" i="4"/>
  <c r="OT28" i="4"/>
  <c r="OU28" i="4"/>
  <c r="OV28" i="4"/>
  <c r="PR28" i="4"/>
  <c r="PS28" i="4"/>
  <c r="PT28" i="4"/>
  <c r="PU28" i="4"/>
  <c r="PV28" i="4"/>
  <c r="PW28" i="4"/>
  <c r="PY28" i="4"/>
  <c r="PZ28" i="4"/>
  <c r="QA28" i="4"/>
  <c r="QB28" i="4"/>
  <c r="QC28" i="4"/>
  <c r="QD28" i="4"/>
  <c r="QZ28" i="4"/>
  <c r="RA28" i="4"/>
  <c r="RB28" i="4"/>
  <c r="RC28" i="4"/>
  <c r="RD28" i="4"/>
  <c r="RE28" i="4"/>
  <c r="RG28" i="4"/>
  <c r="RH28" i="4"/>
  <c r="RI28" i="4"/>
  <c r="RJ28" i="4"/>
  <c r="RK28" i="4"/>
  <c r="RL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6" i="4"/>
  <c r="CR16" i="4"/>
  <c r="CS16" i="4"/>
  <c r="CT16" i="4"/>
  <c r="CU16" i="4"/>
  <c r="CV16" i="4"/>
  <c r="CX16" i="4"/>
  <c r="CY16" i="4"/>
  <c r="CZ16" i="4"/>
  <c r="DX16" i="4"/>
  <c r="DY16" i="4"/>
  <c r="DZ16" i="4"/>
  <c r="EA16" i="4"/>
  <c r="EB16" i="4"/>
  <c r="EC16" i="4"/>
  <c r="EE16" i="4"/>
  <c r="EF16" i="4"/>
  <c r="EG16" i="4"/>
  <c r="EH16" i="4"/>
  <c r="EI16" i="4"/>
  <c r="EJ16" i="4"/>
  <c r="FF16" i="4"/>
  <c r="FG16" i="4"/>
  <c r="FH16" i="4"/>
  <c r="FI16" i="4"/>
  <c r="FJ16" i="4"/>
  <c r="FK16" i="4"/>
  <c r="FM16" i="4"/>
  <c r="FN16" i="4"/>
  <c r="FO16" i="4"/>
  <c r="FP16" i="4"/>
  <c r="FQ16" i="4"/>
  <c r="FR16" i="4"/>
  <c r="GN16" i="4"/>
  <c r="GO16" i="4"/>
  <c r="GP16" i="4"/>
  <c r="GQ16" i="4"/>
  <c r="GR16" i="4"/>
  <c r="GS16" i="4"/>
  <c r="GU16" i="4"/>
  <c r="GV16" i="4"/>
  <c r="GW16" i="4"/>
  <c r="GX16" i="4"/>
  <c r="GY16" i="4"/>
  <c r="GZ16" i="4"/>
  <c r="HV16" i="4"/>
  <c r="HW16" i="4"/>
  <c r="HX16" i="4"/>
  <c r="HY16" i="4"/>
  <c r="HZ16" i="4"/>
  <c r="IA16" i="4"/>
  <c r="IC16" i="4"/>
  <c r="ID16" i="4"/>
  <c r="IE16" i="4"/>
  <c r="IF16" i="4"/>
  <c r="IG16" i="4"/>
  <c r="IH16" i="4"/>
  <c r="JD16" i="4"/>
  <c r="JE16" i="4"/>
  <c r="JF16" i="4"/>
  <c r="JG16" i="4"/>
  <c r="JH16" i="4"/>
  <c r="JI16" i="4"/>
  <c r="JK16" i="4"/>
  <c r="JL16" i="4"/>
  <c r="JM16" i="4"/>
  <c r="JN16" i="4"/>
  <c r="JO16" i="4"/>
  <c r="JP16" i="4"/>
  <c r="KL16" i="4"/>
  <c r="KM16" i="4"/>
  <c r="KN16" i="4"/>
  <c r="KO16" i="4"/>
  <c r="KP16" i="4"/>
  <c r="KQ16" i="4"/>
  <c r="KS16" i="4"/>
  <c r="KT16" i="4"/>
  <c r="KU16" i="4"/>
  <c r="KV16" i="4"/>
  <c r="KW16" i="4"/>
  <c r="KX16" i="4"/>
  <c r="LT16" i="4"/>
  <c r="LU16" i="4"/>
  <c r="LV16" i="4"/>
  <c r="LW16" i="4"/>
  <c r="LX16" i="4"/>
  <c r="LY16" i="4"/>
  <c r="MA16" i="4"/>
  <c r="MB16" i="4"/>
  <c r="MC16" i="4"/>
  <c r="MD16" i="4"/>
  <c r="ME16" i="4"/>
  <c r="MF16" i="4"/>
  <c r="NB16" i="4"/>
  <c r="NC16" i="4"/>
  <c r="ND16" i="4"/>
  <c r="NE16" i="4"/>
  <c r="NF16" i="4"/>
  <c r="NG16" i="4"/>
  <c r="NI16" i="4"/>
  <c r="NJ16" i="4"/>
  <c r="NK16" i="4"/>
  <c r="NL16" i="4"/>
  <c r="NM16" i="4"/>
  <c r="NN16" i="4"/>
  <c r="OJ16" i="4"/>
  <c r="OK16" i="4"/>
  <c r="OL16" i="4"/>
  <c r="OM16" i="4"/>
  <c r="ON16" i="4"/>
  <c r="OO16" i="4"/>
  <c r="OQ16" i="4"/>
  <c r="OR16" i="4"/>
  <c r="OS16" i="4"/>
  <c r="OT16" i="4"/>
  <c r="OU16" i="4"/>
  <c r="OV16" i="4"/>
  <c r="PR16" i="4"/>
  <c r="PS16" i="4"/>
  <c r="PT16" i="4"/>
  <c r="PU16" i="4"/>
  <c r="PV16" i="4"/>
  <c r="PW16" i="4"/>
  <c r="PY16" i="4"/>
  <c r="PZ16" i="4"/>
  <c r="QA16" i="4"/>
  <c r="QB16" i="4"/>
  <c r="QC16" i="4"/>
  <c r="QD16" i="4"/>
  <c r="QZ16" i="4"/>
  <c r="RA16" i="4"/>
  <c r="RB16" i="4"/>
  <c r="RC16" i="4"/>
  <c r="RD16" i="4"/>
  <c r="RE16" i="4"/>
  <c r="RG16" i="4"/>
  <c r="RH16" i="4"/>
  <c r="RI16" i="4"/>
  <c r="RJ16" i="4"/>
  <c r="RK16" i="4"/>
  <c r="RL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Q24" i="4"/>
  <c r="CR24" i="4"/>
  <c r="CS24" i="4"/>
  <c r="CT24" i="4"/>
  <c r="CU24" i="4"/>
  <c r="CV24" i="4"/>
  <c r="CX24" i="4"/>
  <c r="CY24" i="4"/>
  <c r="CZ24" i="4"/>
  <c r="DX24" i="4"/>
  <c r="DY24" i="4"/>
  <c r="DZ24" i="4"/>
  <c r="EA24" i="4"/>
  <c r="EB24" i="4"/>
  <c r="EC24" i="4"/>
  <c r="EE24" i="4"/>
  <c r="EF24" i="4"/>
  <c r="EG24" i="4"/>
  <c r="EH24" i="4"/>
  <c r="EI24" i="4"/>
  <c r="EJ24" i="4"/>
  <c r="FF24" i="4"/>
  <c r="FG24" i="4"/>
  <c r="FH24" i="4"/>
  <c r="FI24" i="4"/>
  <c r="FJ24" i="4"/>
  <c r="FK24" i="4"/>
  <c r="FM24" i="4"/>
  <c r="FN24" i="4"/>
  <c r="FO24" i="4"/>
  <c r="FP24" i="4"/>
  <c r="FQ24" i="4"/>
  <c r="FR24" i="4"/>
  <c r="GN24" i="4"/>
  <c r="GO24" i="4"/>
  <c r="GP24" i="4"/>
  <c r="GQ24" i="4"/>
  <c r="GR24" i="4"/>
  <c r="GS24" i="4"/>
  <c r="GU24" i="4"/>
  <c r="GV24" i="4"/>
  <c r="GW24" i="4"/>
  <c r="GX24" i="4"/>
  <c r="GY24" i="4"/>
  <c r="GZ24" i="4"/>
  <c r="HV24" i="4"/>
  <c r="HW24" i="4"/>
  <c r="HX24" i="4"/>
  <c r="HY24" i="4"/>
  <c r="HZ24" i="4"/>
  <c r="IA24" i="4"/>
  <c r="IC24" i="4"/>
  <c r="ID24" i="4"/>
  <c r="IE24" i="4"/>
  <c r="IF24" i="4"/>
  <c r="IG24" i="4"/>
  <c r="IH24" i="4"/>
  <c r="JD24" i="4"/>
  <c r="JE24" i="4"/>
  <c r="JF24" i="4"/>
  <c r="JG24" i="4"/>
  <c r="JH24" i="4"/>
  <c r="JI24" i="4"/>
  <c r="JK24" i="4"/>
  <c r="JL24" i="4"/>
  <c r="JM24" i="4"/>
  <c r="JN24" i="4"/>
  <c r="JO24" i="4"/>
  <c r="JP24" i="4"/>
  <c r="KL24" i="4"/>
  <c r="KM24" i="4"/>
  <c r="KN24" i="4"/>
  <c r="KO24" i="4"/>
  <c r="KP24" i="4"/>
  <c r="KQ24" i="4"/>
  <c r="KS24" i="4"/>
  <c r="KT24" i="4"/>
  <c r="KU24" i="4"/>
  <c r="KV24" i="4"/>
  <c r="KW24" i="4"/>
  <c r="KX24" i="4"/>
  <c r="LT24" i="4"/>
  <c r="LU24" i="4"/>
  <c r="LV24" i="4"/>
  <c r="LW24" i="4"/>
  <c r="LX24" i="4"/>
  <c r="LY24" i="4"/>
  <c r="MA24" i="4"/>
  <c r="MB24" i="4"/>
  <c r="MC24" i="4"/>
  <c r="MD24" i="4"/>
  <c r="ME24" i="4"/>
  <c r="MF24" i="4"/>
  <c r="NB24" i="4"/>
  <c r="NC24" i="4"/>
  <c r="ND24" i="4"/>
  <c r="NE24" i="4"/>
  <c r="NF24" i="4"/>
  <c r="NG24" i="4"/>
  <c r="NI24" i="4"/>
  <c r="NJ24" i="4"/>
  <c r="NK24" i="4"/>
  <c r="NL24" i="4"/>
  <c r="NM24" i="4"/>
  <c r="NN24" i="4"/>
  <c r="OJ24" i="4"/>
  <c r="OK24" i="4"/>
  <c r="OL24" i="4"/>
  <c r="OM24" i="4"/>
  <c r="ON24" i="4"/>
  <c r="OO24" i="4"/>
  <c r="OQ24" i="4"/>
  <c r="OR24" i="4"/>
  <c r="OS24" i="4"/>
  <c r="OT24" i="4"/>
  <c r="OU24" i="4"/>
  <c r="OV24" i="4"/>
  <c r="PR24" i="4"/>
  <c r="PS24" i="4"/>
  <c r="PT24" i="4"/>
  <c r="PU24" i="4"/>
  <c r="PV24" i="4"/>
  <c r="PW24" i="4"/>
  <c r="PY24" i="4"/>
  <c r="PZ24" i="4"/>
  <c r="QA24" i="4"/>
  <c r="QB24" i="4"/>
  <c r="QC24" i="4"/>
  <c r="QD24" i="4"/>
  <c r="QZ24" i="4"/>
  <c r="RA24" i="4"/>
  <c r="RB24" i="4"/>
  <c r="RC24" i="4"/>
  <c r="RD24" i="4"/>
  <c r="RE24" i="4"/>
  <c r="RG24" i="4"/>
  <c r="RH24" i="4"/>
  <c r="RI24" i="4"/>
  <c r="RJ24" i="4"/>
  <c r="RK24" i="4"/>
  <c r="RL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I24" i="4"/>
  <c r="TT24" i="4" s="1"/>
  <c r="TJ24" i="4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3" i="2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7" i="19"/>
  <c r="CY7" i="19"/>
  <c r="CZ7" i="19"/>
  <c r="DA7" i="19"/>
  <c r="DC7" i="19"/>
  <c r="DD7" i="19"/>
  <c r="PY7" i="19"/>
  <c r="PZ7" i="19"/>
  <c r="QA7" i="19"/>
  <c r="QB7" i="19"/>
  <c r="QD7" i="19"/>
  <c r="QE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QY7" i="19"/>
  <c r="QZ7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8" i="19"/>
  <c r="CY8" i="19"/>
  <c r="CZ8" i="19"/>
  <c r="DA8" i="19"/>
  <c r="DC8" i="19"/>
  <c r="DD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19" i="27"/>
  <c r="CY19" i="27"/>
  <c r="CZ19" i="27"/>
  <c r="DA19" i="27"/>
  <c r="DC19" i="27"/>
  <c r="DD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12" i="27"/>
  <c r="CY12" i="27"/>
  <c r="CZ12" i="27"/>
  <c r="DA12" i="27"/>
  <c r="DC12" i="27"/>
  <c r="DD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8" i="26"/>
  <c r="CY8" i="26"/>
  <c r="CZ8" i="26"/>
  <c r="DA8" i="26"/>
  <c r="DC8" i="26"/>
  <c r="DD8" i="26"/>
  <c r="PY8" i="26"/>
  <c r="PZ8" i="26"/>
  <c r="QA8" i="26"/>
  <c r="QB8" i="26"/>
  <c r="QD8" i="26"/>
  <c r="QE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QY8" i="26"/>
  <c r="QZ8" i="26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21" i="26"/>
  <c r="CY21" i="26"/>
  <c r="CZ21" i="26"/>
  <c r="DA21" i="26"/>
  <c r="DC21" i="26"/>
  <c r="DD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O28" i="22" s="1"/>
  <c r="TD28" i="22"/>
  <c r="TP28" i="22" s="1"/>
  <c r="TE28" i="22"/>
  <c r="TF28" i="22"/>
  <c r="TG28" i="22"/>
  <c r="TH28" i="22"/>
  <c r="TS28" i="22" s="1"/>
  <c r="TI28" i="22"/>
  <c r="TT28" i="22" s="1"/>
  <c r="TJ28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D23" i="22"/>
  <c r="TP23" i="22" s="1"/>
  <c r="TE23" i="22"/>
  <c r="TF23" i="22"/>
  <c r="TG23" i="22"/>
  <c r="TH23" i="22"/>
  <c r="TS23" i="22" s="1"/>
  <c r="TI23" i="22"/>
  <c r="TT23" i="22" s="1"/>
  <c r="TJ23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4" i="4"/>
  <c r="CR4" i="4"/>
  <c r="CS4" i="4"/>
  <c r="CT4" i="4"/>
  <c r="CU4" i="4"/>
  <c r="CV4" i="4"/>
  <c r="CX4" i="4"/>
  <c r="CY4" i="4"/>
  <c r="CZ4" i="4"/>
  <c r="DX4" i="4"/>
  <c r="DY4" i="4"/>
  <c r="DZ4" i="4"/>
  <c r="EA4" i="4"/>
  <c r="EB4" i="4"/>
  <c r="EC4" i="4"/>
  <c r="EE4" i="4"/>
  <c r="EF4" i="4"/>
  <c r="EG4" i="4"/>
  <c r="EH4" i="4"/>
  <c r="EI4" i="4"/>
  <c r="EJ4" i="4"/>
  <c r="FF4" i="4"/>
  <c r="FG4" i="4"/>
  <c r="FH4" i="4"/>
  <c r="FI4" i="4"/>
  <c r="FJ4" i="4"/>
  <c r="FK4" i="4"/>
  <c r="FM4" i="4"/>
  <c r="FN4" i="4"/>
  <c r="FO4" i="4"/>
  <c r="FP4" i="4"/>
  <c r="FQ4" i="4"/>
  <c r="FR4" i="4"/>
  <c r="GN4" i="4"/>
  <c r="GO4" i="4"/>
  <c r="GP4" i="4"/>
  <c r="GQ4" i="4"/>
  <c r="GR4" i="4"/>
  <c r="GS4" i="4"/>
  <c r="GU4" i="4"/>
  <c r="GV4" i="4"/>
  <c r="GW4" i="4"/>
  <c r="GX4" i="4"/>
  <c r="GY4" i="4"/>
  <c r="GZ4" i="4"/>
  <c r="HV4" i="4"/>
  <c r="HW4" i="4"/>
  <c r="HX4" i="4"/>
  <c r="HY4" i="4"/>
  <c r="HZ4" i="4"/>
  <c r="IA4" i="4"/>
  <c r="IC4" i="4"/>
  <c r="ID4" i="4"/>
  <c r="IE4" i="4"/>
  <c r="IF4" i="4"/>
  <c r="IG4" i="4"/>
  <c r="IH4" i="4"/>
  <c r="JD4" i="4"/>
  <c r="JE4" i="4"/>
  <c r="JF4" i="4"/>
  <c r="JG4" i="4"/>
  <c r="JH4" i="4"/>
  <c r="JI4" i="4"/>
  <c r="JK4" i="4"/>
  <c r="JL4" i="4"/>
  <c r="JM4" i="4"/>
  <c r="JN4" i="4"/>
  <c r="JO4" i="4"/>
  <c r="JP4" i="4"/>
  <c r="KL4" i="4"/>
  <c r="KM4" i="4"/>
  <c r="KN4" i="4"/>
  <c r="KO4" i="4"/>
  <c r="KP4" i="4"/>
  <c r="KQ4" i="4"/>
  <c r="KS4" i="4"/>
  <c r="KT4" i="4"/>
  <c r="KU4" i="4"/>
  <c r="KV4" i="4"/>
  <c r="KW4" i="4"/>
  <c r="KX4" i="4"/>
  <c r="LT4" i="4"/>
  <c r="LU4" i="4"/>
  <c r="LV4" i="4"/>
  <c r="LW4" i="4"/>
  <c r="LX4" i="4"/>
  <c r="LY4" i="4"/>
  <c r="MA4" i="4"/>
  <c r="MB4" i="4"/>
  <c r="MC4" i="4"/>
  <c r="MD4" i="4"/>
  <c r="ME4" i="4"/>
  <c r="MF4" i="4"/>
  <c r="NB4" i="4"/>
  <c r="NC4" i="4"/>
  <c r="ND4" i="4"/>
  <c r="NE4" i="4"/>
  <c r="NF4" i="4"/>
  <c r="NG4" i="4"/>
  <c r="NI4" i="4"/>
  <c r="NJ4" i="4"/>
  <c r="NK4" i="4"/>
  <c r="NL4" i="4"/>
  <c r="NM4" i="4"/>
  <c r="NN4" i="4"/>
  <c r="OJ4" i="4"/>
  <c r="OK4" i="4"/>
  <c r="OL4" i="4"/>
  <c r="OM4" i="4"/>
  <c r="ON4" i="4"/>
  <c r="OO4" i="4"/>
  <c r="OQ4" i="4"/>
  <c r="OR4" i="4"/>
  <c r="OS4" i="4"/>
  <c r="OT4" i="4"/>
  <c r="OU4" i="4"/>
  <c r="OV4" i="4"/>
  <c r="PR4" i="4"/>
  <c r="PS4" i="4"/>
  <c r="PT4" i="4"/>
  <c r="PU4" i="4"/>
  <c r="PV4" i="4"/>
  <c r="PW4" i="4"/>
  <c r="PY4" i="4"/>
  <c r="PZ4" i="4"/>
  <c r="QA4" i="4"/>
  <c r="QB4" i="4"/>
  <c r="QC4" i="4"/>
  <c r="QD4" i="4"/>
  <c r="QZ4" i="4"/>
  <c r="RA4" i="4"/>
  <c r="RB4" i="4"/>
  <c r="RC4" i="4"/>
  <c r="RD4" i="4"/>
  <c r="RE4" i="4"/>
  <c r="RG4" i="4"/>
  <c r="RH4" i="4"/>
  <c r="RI4" i="4"/>
  <c r="RJ4" i="4"/>
  <c r="RK4" i="4"/>
  <c r="RL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5" i="4"/>
  <c r="CR5" i="4"/>
  <c r="CS5" i="4"/>
  <c r="CT5" i="4"/>
  <c r="CU5" i="4"/>
  <c r="CV5" i="4"/>
  <c r="CX5" i="4"/>
  <c r="CY5" i="4"/>
  <c r="CZ5" i="4"/>
  <c r="DX5" i="4"/>
  <c r="DY5" i="4"/>
  <c r="DZ5" i="4"/>
  <c r="EA5" i="4"/>
  <c r="EB5" i="4"/>
  <c r="EC5" i="4"/>
  <c r="EE5" i="4"/>
  <c r="EF5" i="4"/>
  <c r="EG5" i="4"/>
  <c r="EH5" i="4"/>
  <c r="EI5" i="4"/>
  <c r="EJ5" i="4"/>
  <c r="FF5" i="4"/>
  <c r="FG5" i="4"/>
  <c r="FH5" i="4"/>
  <c r="FI5" i="4"/>
  <c r="FJ5" i="4"/>
  <c r="FK5" i="4"/>
  <c r="FM5" i="4"/>
  <c r="FN5" i="4"/>
  <c r="FO5" i="4"/>
  <c r="FP5" i="4"/>
  <c r="FQ5" i="4"/>
  <c r="FR5" i="4"/>
  <c r="GN5" i="4"/>
  <c r="GO5" i="4"/>
  <c r="GP5" i="4"/>
  <c r="GQ5" i="4"/>
  <c r="GR5" i="4"/>
  <c r="GS5" i="4"/>
  <c r="GU5" i="4"/>
  <c r="GV5" i="4"/>
  <c r="GW5" i="4"/>
  <c r="GX5" i="4"/>
  <c r="GY5" i="4"/>
  <c r="GZ5" i="4"/>
  <c r="HV5" i="4"/>
  <c r="HW5" i="4"/>
  <c r="HX5" i="4"/>
  <c r="HY5" i="4"/>
  <c r="HZ5" i="4"/>
  <c r="IA5" i="4"/>
  <c r="IC5" i="4"/>
  <c r="ID5" i="4"/>
  <c r="IE5" i="4"/>
  <c r="IF5" i="4"/>
  <c r="IG5" i="4"/>
  <c r="IH5" i="4"/>
  <c r="JD5" i="4"/>
  <c r="JE5" i="4"/>
  <c r="JF5" i="4"/>
  <c r="JG5" i="4"/>
  <c r="JH5" i="4"/>
  <c r="JI5" i="4"/>
  <c r="JK5" i="4"/>
  <c r="JL5" i="4"/>
  <c r="JM5" i="4"/>
  <c r="JN5" i="4"/>
  <c r="JO5" i="4"/>
  <c r="JP5" i="4"/>
  <c r="KL5" i="4"/>
  <c r="KM5" i="4"/>
  <c r="KN5" i="4"/>
  <c r="KO5" i="4"/>
  <c r="KP5" i="4"/>
  <c r="KQ5" i="4"/>
  <c r="KS5" i="4"/>
  <c r="KT5" i="4"/>
  <c r="KU5" i="4"/>
  <c r="KV5" i="4"/>
  <c r="KW5" i="4"/>
  <c r="KX5" i="4"/>
  <c r="LT5" i="4"/>
  <c r="LU5" i="4"/>
  <c r="LV5" i="4"/>
  <c r="LW5" i="4"/>
  <c r="LX5" i="4"/>
  <c r="LY5" i="4"/>
  <c r="MA5" i="4"/>
  <c r="MB5" i="4"/>
  <c r="MC5" i="4"/>
  <c r="MD5" i="4"/>
  <c r="ME5" i="4"/>
  <c r="MF5" i="4"/>
  <c r="NB5" i="4"/>
  <c r="NC5" i="4"/>
  <c r="ND5" i="4"/>
  <c r="NE5" i="4"/>
  <c r="NF5" i="4"/>
  <c r="NG5" i="4"/>
  <c r="NI5" i="4"/>
  <c r="NJ5" i="4"/>
  <c r="NK5" i="4"/>
  <c r="NL5" i="4"/>
  <c r="NM5" i="4"/>
  <c r="NN5" i="4"/>
  <c r="OJ5" i="4"/>
  <c r="OK5" i="4"/>
  <c r="OL5" i="4"/>
  <c r="OM5" i="4"/>
  <c r="ON5" i="4"/>
  <c r="OO5" i="4"/>
  <c r="OQ5" i="4"/>
  <c r="OR5" i="4"/>
  <c r="OS5" i="4"/>
  <c r="OT5" i="4"/>
  <c r="OU5" i="4"/>
  <c r="OV5" i="4"/>
  <c r="PR5" i="4"/>
  <c r="PS5" i="4"/>
  <c r="PT5" i="4"/>
  <c r="PU5" i="4"/>
  <c r="PV5" i="4"/>
  <c r="PW5" i="4"/>
  <c r="PY5" i="4"/>
  <c r="PZ5" i="4"/>
  <c r="QA5" i="4"/>
  <c r="QB5" i="4"/>
  <c r="QC5" i="4"/>
  <c r="QD5" i="4"/>
  <c r="QZ5" i="4"/>
  <c r="RA5" i="4"/>
  <c r="RB5" i="4"/>
  <c r="RC5" i="4"/>
  <c r="RD5" i="4"/>
  <c r="RE5" i="4"/>
  <c r="RG5" i="4"/>
  <c r="RH5" i="4"/>
  <c r="RI5" i="4"/>
  <c r="RJ5" i="4"/>
  <c r="RK5" i="4"/>
  <c r="RL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D5" i="4"/>
  <c r="TP5" i="4" s="1"/>
  <c r="TE5" i="4"/>
  <c r="TF5" i="4"/>
  <c r="TG5" i="4"/>
  <c r="TH5" i="4"/>
  <c r="TS5" i="4" s="1"/>
  <c r="TI5" i="4"/>
  <c r="TT5" i="4" s="1"/>
  <c r="TJ5" i="4"/>
  <c r="CQ7" i="4"/>
  <c r="CR7" i="4"/>
  <c r="CS7" i="4"/>
  <c r="CT7" i="4"/>
  <c r="CU7" i="4"/>
  <c r="CV7" i="4"/>
  <c r="CX7" i="4"/>
  <c r="CY7" i="4"/>
  <c r="CZ7" i="4"/>
  <c r="DX7" i="4"/>
  <c r="DY7" i="4"/>
  <c r="DZ7" i="4"/>
  <c r="EA7" i="4"/>
  <c r="EB7" i="4"/>
  <c r="EC7" i="4"/>
  <c r="EE7" i="4"/>
  <c r="EF7" i="4"/>
  <c r="EG7" i="4"/>
  <c r="EH7" i="4"/>
  <c r="EI7" i="4"/>
  <c r="EJ7" i="4"/>
  <c r="FF7" i="4"/>
  <c r="FG7" i="4"/>
  <c r="FH7" i="4"/>
  <c r="FI7" i="4"/>
  <c r="FJ7" i="4"/>
  <c r="FK7" i="4"/>
  <c r="FM7" i="4"/>
  <c r="FN7" i="4"/>
  <c r="FO7" i="4"/>
  <c r="FP7" i="4"/>
  <c r="FQ7" i="4"/>
  <c r="FR7" i="4"/>
  <c r="GN7" i="4"/>
  <c r="GO7" i="4"/>
  <c r="GP7" i="4"/>
  <c r="GQ7" i="4"/>
  <c r="GR7" i="4"/>
  <c r="GS7" i="4"/>
  <c r="GU7" i="4"/>
  <c r="GV7" i="4"/>
  <c r="GW7" i="4"/>
  <c r="GX7" i="4"/>
  <c r="GY7" i="4"/>
  <c r="GZ7" i="4"/>
  <c r="HV7" i="4"/>
  <c r="HW7" i="4"/>
  <c r="HX7" i="4"/>
  <c r="HY7" i="4"/>
  <c r="HZ7" i="4"/>
  <c r="IA7" i="4"/>
  <c r="IC7" i="4"/>
  <c r="ID7" i="4"/>
  <c r="IE7" i="4"/>
  <c r="IF7" i="4"/>
  <c r="IG7" i="4"/>
  <c r="IH7" i="4"/>
  <c r="JD7" i="4"/>
  <c r="JE7" i="4"/>
  <c r="JF7" i="4"/>
  <c r="JG7" i="4"/>
  <c r="JH7" i="4"/>
  <c r="JI7" i="4"/>
  <c r="JK7" i="4"/>
  <c r="JL7" i="4"/>
  <c r="JM7" i="4"/>
  <c r="JN7" i="4"/>
  <c r="JO7" i="4"/>
  <c r="JP7" i="4"/>
  <c r="KL7" i="4"/>
  <c r="KM7" i="4"/>
  <c r="KN7" i="4"/>
  <c r="KO7" i="4"/>
  <c r="KP7" i="4"/>
  <c r="KQ7" i="4"/>
  <c r="KS7" i="4"/>
  <c r="KT7" i="4"/>
  <c r="KU7" i="4"/>
  <c r="KV7" i="4"/>
  <c r="KW7" i="4"/>
  <c r="KX7" i="4"/>
  <c r="LT7" i="4"/>
  <c r="LU7" i="4"/>
  <c r="LV7" i="4"/>
  <c r="LW7" i="4"/>
  <c r="LX7" i="4"/>
  <c r="LY7" i="4"/>
  <c r="MA7" i="4"/>
  <c r="MB7" i="4"/>
  <c r="MC7" i="4"/>
  <c r="MD7" i="4"/>
  <c r="ME7" i="4"/>
  <c r="MF7" i="4"/>
  <c r="NB7" i="4"/>
  <c r="NC7" i="4"/>
  <c r="ND7" i="4"/>
  <c r="NE7" i="4"/>
  <c r="NF7" i="4"/>
  <c r="NG7" i="4"/>
  <c r="NI7" i="4"/>
  <c r="NJ7" i="4"/>
  <c r="NK7" i="4"/>
  <c r="NL7" i="4"/>
  <c r="NM7" i="4"/>
  <c r="NN7" i="4"/>
  <c r="OJ7" i="4"/>
  <c r="OK7" i="4"/>
  <c r="OL7" i="4"/>
  <c r="OM7" i="4"/>
  <c r="ON7" i="4"/>
  <c r="OO7" i="4"/>
  <c r="OQ7" i="4"/>
  <c r="OR7" i="4"/>
  <c r="OS7" i="4"/>
  <c r="OT7" i="4"/>
  <c r="OU7" i="4"/>
  <c r="OV7" i="4"/>
  <c r="PR7" i="4"/>
  <c r="PS7" i="4"/>
  <c r="PT7" i="4"/>
  <c r="PU7" i="4"/>
  <c r="PV7" i="4"/>
  <c r="PW7" i="4"/>
  <c r="PY7" i="4"/>
  <c r="PZ7" i="4"/>
  <c r="QA7" i="4"/>
  <c r="QB7" i="4"/>
  <c r="QC7" i="4"/>
  <c r="QD7" i="4"/>
  <c r="QZ7" i="4"/>
  <c r="RA7" i="4"/>
  <c r="RB7" i="4"/>
  <c r="RC7" i="4"/>
  <c r="RD7" i="4"/>
  <c r="RE7" i="4"/>
  <c r="RG7" i="4"/>
  <c r="RH7" i="4"/>
  <c r="RI7" i="4"/>
  <c r="RJ7" i="4"/>
  <c r="RK7" i="4"/>
  <c r="RL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10" i="4"/>
  <c r="CR10" i="4"/>
  <c r="CS10" i="4"/>
  <c r="CT10" i="4"/>
  <c r="CU10" i="4"/>
  <c r="CV10" i="4"/>
  <c r="CX10" i="4"/>
  <c r="CY10" i="4"/>
  <c r="CZ10" i="4"/>
  <c r="DX10" i="4"/>
  <c r="DY10" i="4"/>
  <c r="DZ10" i="4"/>
  <c r="EA10" i="4"/>
  <c r="EB10" i="4"/>
  <c r="EC10" i="4"/>
  <c r="EE10" i="4"/>
  <c r="EF10" i="4"/>
  <c r="EG10" i="4"/>
  <c r="EH10" i="4"/>
  <c r="EI10" i="4"/>
  <c r="EJ10" i="4"/>
  <c r="FF10" i="4"/>
  <c r="FG10" i="4"/>
  <c r="FH10" i="4"/>
  <c r="FI10" i="4"/>
  <c r="FJ10" i="4"/>
  <c r="FK10" i="4"/>
  <c r="FM10" i="4"/>
  <c r="FN10" i="4"/>
  <c r="FO10" i="4"/>
  <c r="FP10" i="4"/>
  <c r="FQ10" i="4"/>
  <c r="FR10" i="4"/>
  <c r="GN10" i="4"/>
  <c r="GO10" i="4"/>
  <c r="GP10" i="4"/>
  <c r="GQ10" i="4"/>
  <c r="GR10" i="4"/>
  <c r="GS10" i="4"/>
  <c r="GU10" i="4"/>
  <c r="GV10" i="4"/>
  <c r="GW10" i="4"/>
  <c r="GX10" i="4"/>
  <c r="GY10" i="4"/>
  <c r="GZ10" i="4"/>
  <c r="HV10" i="4"/>
  <c r="HW10" i="4"/>
  <c r="HX10" i="4"/>
  <c r="HY10" i="4"/>
  <c r="HZ10" i="4"/>
  <c r="IA10" i="4"/>
  <c r="IC10" i="4"/>
  <c r="ID10" i="4"/>
  <c r="IE10" i="4"/>
  <c r="IF10" i="4"/>
  <c r="IG10" i="4"/>
  <c r="IH10" i="4"/>
  <c r="JD10" i="4"/>
  <c r="JE10" i="4"/>
  <c r="JF10" i="4"/>
  <c r="JG10" i="4"/>
  <c r="JH10" i="4"/>
  <c r="JI10" i="4"/>
  <c r="JK10" i="4"/>
  <c r="JL10" i="4"/>
  <c r="JM10" i="4"/>
  <c r="JN10" i="4"/>
  <c r="JO10" i="4"/>
  <c r="JP10" i="4"/>
  <c r="KL10" i="4"/>
  <c r="KM10" i="4"/>
  <c r="KN10" i="4"/>
  <c r="KO10" i="4"/>
  <c r="KP10" i="4"/>
  <c r="KQ10" i="4"/>
  <c r="KS10" i="4"/>
  <c r="KT10" i="4"/>
  <c r="KU10" i="4"/>
  <c r="KV10" i="4"/>
  <c r="KW10" i="4"/>
  <c r="KX10" i="4"/>
  <c r="LT10" i="4"/>
  <c r="LU10" i="4"/>
  <c r="LV10" i="4"/>
  <c r="LW10" i="4"/>
  <c r="LX10" i="4"/>
  <c r="LY10" i="4"/>
  <c r="MA10" i="4"/>
  <c r="MB10" i="4"/>
  <c r="MC10" i="4"/>
  <c r="MD10" i="4"/>
  <c r="ME10" i="4"/>
  <c r="MF10" i="4"/>
  <c r="NB10" i="4"/>
  <c r="NC10" i="4"/>
  <c r="ND10" i="4"/>
  <c r="NE10" i="4"/>
  <c r="NF10" i="4"/>
  <c r="NG10" i="4"/>
  <c r="NI10" i="4"/>
  <c r="NJ10" i="4"/>
  <c r="NK10" i="4"/>
  <c r="NL10" i="4"/>
  <c r="NM10" i="4"/>
  <c r="NN10" i="4"/>
  <c r="OJ10" i="4"/>
  <c r="OK10" i="4"/>
  <c r="OL10" i="4"/>
  <c r="OM10" i="4"/>
  <c r="ON10" i="4"/>
  <c r="OO10" i="4"/>
  <c r="OQ10" i="4"/>
  <c r="OR10" i="4"/>
  <c r="OS10" i="4"/>
  <c r="OT10" i="4"/>
  <c r="OU10" i="4"/>
  <c r="OV10" i="4"/>
  <c r="PR10" i="4"/>
  <c r="PS10" i="4"/>
  <c r="PT10" i="4"/>
  <c r="PU10" i="4"/>
  <c r="PV10" i="4"/>
  <c r="PW10" i="4"/>
  <c r="PY10" i="4"/>
  <c r="PZ10" i="4"/>
  <c r="QA10" i="4"/>
  <c r="QB10" i="4"/>
  <c r="QC10" i="4"/>
  <c r="QD10" i="4"/>
  <c r="QZ10" i="4"/>
  <c r="RA10" i="4"/>
  <c r="RB10" i="4"/>
  <c r="RC10" i="4"/>
  <c r="RD10" i="4"/>
  <c r="RE10" i="4"/>
  <c r="RG10" i="4"/>
  <c r="RH10" i="4"/>
  <c r="RI10" i="4"/>
  <c r="RJ10" i="4"/>
  <c r="RK10" i="4"/>
  <c r="RL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9" i="4"/>
  <c r="CR9" i="4"/>
  <c r="CS9" i="4"/>
  <c r="CT9" i="4"/>
  <c r="CU9" i="4"/>
  <c r="CV9" i="4"/>
  <c r="CX9" i="4"/>
  <c r="CY9" i="4"/>
  <c r="CZ9" i="4"/>
  <c r="DX9" i="4"/>
  <c r="DY9" i="4"/>
  <c r="DZ9" i="4"/>
  <c r="EA9" i="4"/>
  <c r="EB9" i="4"/>
  <c r="EC9" i="4"/>
  <c r="EE9" i="4"/>
  <c r="EF9" i="4"/>
  <c r="EG9" i="4"/>
  <c r="EH9" i="4"/>
  <c r="EI9" i="4"/>
  <c r="EJ9" i="4"/>
  <c r="FF9" i="4"/>
  <c r="FG9" i="4"/>
  <c r="FH9" i="4"/>
  <c r="FI9" i="4"/>
  <c r="FJ9" i="4"/>
  <c r="FK9" i="4"/>
  <c r="FM9" i="4"/>
  <c r="FN9" i="4"/>
  <c r="FO9" i="4"/>
  <c r="FP9" i="4"/>
  <c r="FQ9" i="4"/>
  <c r="FR9" i="4"/>
  <c r="GN9" i="4"/>
  <c r="GO9" i="4"/>
  <c r="GP9" i="4"/>
  <c r="GQ9" i="4"/>
  <c r="GR9" i="4"/>
  <c r="GS9" i="4"/>
  <c r="GU9" i="4"/>
  <c r="GV9" i="4"/>
  <c r="GW9" i="4"/>
  <c r="GX9" i="4"/>
  <c r="GY9" i="4"/>
  <c r="GZ9" i="4"/>
  <c r="HV9" i="4"/>
  <c r="HW9" i="4"/>
  <c r="HX9" i="4"/>
  <c r="HY9" i="4"/>
  <c r="HZ9" i="4"/>
  <c r="IA9" i="4"/>
  <c r="IC9" i="4"/>
  <c r="ID9" i="4"/>
  <c r="IE9" i="4"/>
  <c r="IF9" i="4"/>
  <c r="IG9" i="4"/>
  <c r="IH9" i="4"/>
  <c r="JD9" i="4"/>
  <c r="JE9" i="4"/>
  <c r="JF9" i="4"/>
  <c r="JG9" i="4"/>
  <c r="JH9" i="4"/>
  <c r="JI9" i="4"/>
  <c r="JK9" i="4"/>
  <c r="JL9" i="4"/>
  <c r="JM9" i="4"/>
  <c r="JN9" i="4"/>
  <c r="JO9" i="4"/>
  <c r="JP9" i="4"/>
  <c r="KL9" i="4"/>
  <c r="KM9" i="4"/>
  <c r="KN9" i="4"/>
  <c r="KO9" i="4"/>
  <c r="KP9" i="4"/>
  <c r="KQ9" i="4"/>
  <c r="KS9" i="4"/>
  <c r="KT9" i="4"/>
  <c r="KU9" i="4"/>
  <c r="KV9" i="4"/>
  <c r="KW9" i="4"/>
  <c r="KX9" i="4"/>
  <c r="LT9" i="4"/>
  <c r="LU9" i="4"/>
  <c r="LV9" i="4"/>
  <c r="LW9" i="4"/>
  <c r="LX9" i="4"/>
  <c r="LY9" i="4"/>
  <c r="MA9" i="4"/>
  <c r="MB9" i="4"/>
  <c r="MC9" i="4"/>
  <c r="MD9" i="4"/>
  <c r="ME9" i="4"/>
  <c r="MF9" i="4"/>
  <c r="NB9" i="4"/>
  <c r="NC9" i="4"/>
  <c r="ND9" i="4"/>
  <c r="NE9" i="4"/>
  <c r="NF9" i="4"/>
  <c r="NG9" i="4"/>
  <c r="NI9" i="4"/>
  <c r="NJ9" i="4"/>
  <c r="NK9" i="4"/>
  <c r="NL9" i="4"/>
  <c r="NM9" i="4"/>
  <c r="NN9" i="4"/>
  <c r="OJ9" i="4"/>
  <c r="OK9" i="4"/>
  <c r="OL9" i="4"/>
  <c r="OM9" i="4"/>
  <c r="ON9" i="4"/>
  <c r="OO9" i="4"/>
  <c r="OQ9" i="4"/>
  <c r="OR9" i="4"/>
  <c r="OS9" i="4"/>
  <c r="OT9" i="4"/>
  <c r="OU9" i="4"/>
  <c r="OV9" i="4"/>
  <c r="PR9" i="4"/>
  <c r="PS9" i="4"/>
  <c r="PT9" i="4"/>
  <c r="PU9" i="4"/>
  <c r="PV9" i="4"/>
  <c r="PW9" i="4"/>
  <c r="PY9" i="4"/>
  <c r="PZ9" i="4"/>
  <c r="QA9" i="4"/>
  <c r="QB9" i="4"/>
  <c r="QC9" i="4"/>
  <c r="QD9" i="4"/>
  <c r="QZ9" i="4"/>
  <c r="RA9" i="4"/>
  <c r="RB9" i="4"/>
  <c r="RC9" i="4"/>
  <c r="RD9" i="4"/>
  <c r="RE9" i="4"/>
  <c r="RG9" i="4"/>
  <c r="RH9" i="4"/>
  <c r="RI9" i="4"/>
  <c r="RJ9" i="4"/>
  <c r="RK9" i="4"/>
  <c r="RL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DX26" i="4"/>
  <c r="DY26" i="4"/>
  <c r="DZ26" i="4"/>
  <c r="EA26" i="4"/>
  <c r="EB26" i="4"/>
  <c r="EC26" i="4"/>
  <c r="EE26" i="4"/>
  <c r="EF26" i="4"/>
  <c r="EG26" i="4"/>
  <c r="EH26" i="4"/>
  <c r="EI26" i="4"/>
  <c r="EJ26" i="4"/>
  <c r="FF26" i="4"/>
  <c r="FG26" i="4"/>
  <c r="FH26" i="4"/>
  <c r="FI26" i="4"/>
  <c r="FJ26" i="4"/>
  <c r="FK26" i="4"/>
  <c r="FM26" i="4"/>
  <c r="FN26" i="4"/>
  <c r="FO26" i="4"/>
  <c r="FP26" i="4"/>
  <c r="FQ26" i="4"/>
  <c r="FR26" i="4"/>
  <c r="GN26" i="4"/>
  <c r="GO26" i="4"/>
  <c r="GP26" i="4"/>
  <c r="GQ26" i="4"/>
  <c r="GR26" i="4"/>
  <c r="GS26" i="4"/>
  <c r="GU26" i="4"/>
  <c r="GV26" i="4"/>
  <c r="GW26" i="4"/>
  <c r="GX26" i="4"/>
  <c r="GY26" i="4"/>
  <c r="GZ26" i="4"/>
  <c r="HV26" i="4"/>
  <c r="HW26" i="4"/>
  <c r="HX26" i="4"/>
  <c r="HY26" i="4"/>
  <c r="HZ26" i="4"/>
  <c r="IA26" i="4"/>
  <c r="IC26" i="4"/>
  <c r="ID26" i="4"/>
  <c r="IE26" i="4"/>
  <c r="IF26" i="4"/>
  <c r="IG26" i="4"/>
  <c r="IH26" i="4"/>
  <c r="JD26" i="4"/>
  <c r="JE26" i="4"/>
  <c r="JF26" i="4"/>
  <c r="JG26" i="4"/>
  <c r="JH26" i="4"/>
  <c r="JI26" i="4"/>
  <c r="JK26" i="4"/>
  <c r="JL26" i="4"/>
  <c r="JM26" i="4"/>
  <c r="JN26" i="4"/>
  <c r="JO26" i="4"/>
  <c r="JP26" i="4"/>
  <c r="KL26" i="4"/>
  <c r="KM26" i="4"/>
  <c r="KN26" i="4"/>
  <c r="KO26" i="4"/>
  <c r="KP26" i="4"/>
  <c r="KQ26" i="4"/>
  <c r="KS26" i="4"/>
  <c r="KT26" i="4"/>
  <c r="KU26" i="4"/>
  <c r="KV26" i="4"/>
  <c r="KW26" i="4"/>
  <c r="KX26" i="4"/>
  <c r="LT26" i="4"/>
  <c r="LU26" i="4"/>
  <c r="LV26" i="4"/>
  <c r="LW26" i="4"/>
  <c r="LX26" i="4"/>
  <c r="LY26" i="4"/>
  <c r="MA26" i="4"/>
  <c r="MB26" i="4"/>
  <c r="MC26" i="4"/>
  <c r="MD26" i="4"/>
  <c r="ME26" i="4"/>
  <c r="MF26" i="4"/>
  <c r="NB26" i="4"/>
  <c r="NC26" i="4"/>
  <c r="ND26" i="4"/>
  <c r="NE26" i="4"/>
  <c r="NF26" i="4"/>
  <c r="NG26" i="4"/>
  <c r="NI26" i="4"/>
  <c r="NJ26" i="4"/>
  <c r="NK26" i="4"/>
  <c r="NL26" i="4"/>
  <c r="NM26" i="4"/>
  <c r="NN26" i="4"/>
  <c r="OJ26" i="4"/>
  <c r="OK26" i="4"/>
  <c r="OL26" i="4"/>
  <c r="OM26" i="4"/>
  <c r="ON26" i="4"/>
  <c r="OO26" i="4"/>
  <c r="OQ26" i="4"/>
  <c r="OR26" i="4"/>
  <c r="OS26" i="4"/>
  <c r="OT26" i="4"/>
  <c r="OU26" i="4"/>
  <c r="OV26" i="4"/>
  <c r="PR26" i="4"/>
  <c r="PS26" i="4"/>
  <c r="PT26" i="4"/>
  <c r="PU26" i="4"/>
  <c r="PV26" i="4"/>
  <c r="PW26" i="4"/>
  <c r="PY26" i="4"/>
  <c r="PZ26" i="4"/>
  <c r="QA26" i="4"/>
  <c r="QB26" i="4"/>
  <c r="QC26" i="4"/>
  <c r="QD26" i="4"/>
  <c r="QZ26" i="4"/>
  <c r="RA26" i="4"/>
  <c r="RB26" i="4"/>
  <c r="RC26" i="4"/>
  <c r="RD26" i="4"/>
  <c r="RE26" i="4"/>
  <c r="RG26" i="4"/>
  <c r="RH26" i="4"/>
  <c r="RI26" i="4"/>
  <c r="RJ26" i="4"/>
  <c r="RK26" i="4"/>
  <c r="RL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D26" i="4"/>
  <c r="TP26" i="4" s="1"/>
  <c r="TE26" i="4"/>
  <c r="TF26" i="4"/>
  <c r="TG26" i="4"/>
  <c r="TH26" i="4"/>
  <c r="TS26" i="4" s="1"/>
  <c r="TI26" i="4"/>
  <c r="TT26" i="4" s="1"/>
  <c r="TJ26" i="4"/>
  <c r="CQ8" i="4"/>
  <c r="CR8" i="4"/>
  <c r="CS8" i="4"/>
  <c r="CT8" i="4"/>
  <c r="CU8" i="4"/>
  <c r="CV8" i="4"/>
  <c r="CX8" i="4"/>
  <c r="CY8" i="4"/>
  <c r="CZ8" i="4"/>
  <c r="DX8" i="4"/>
  <c r="DY8" i="4"/>
  <c r="DZ8" i="4"/>
  <c r="EA8" i="4"/>
  <c r="EB8" i="4"/>
  <c r="EC8" i="4"/>
  <c r="EE8" i="4"/>
  <c r="EF8" i="4"/>
  <c r="EG8" i="4"/>
  <c r="EH8" i="4"/>
  <c r="EI8" i="4"/>
  <c r="EJ8" i="4"/>
  <c r="FF8" i="4"/>
  <c r="FG8" i="4"/>
  <c r="FH8" i="4"/>
  <c r="FI8" i="4"/>
  <c r="FJ8" i="4"/>
  <c r="FK8" i="4"/>
  <c r="FM8" i="4"/>
  <c r="FN8" i="4"/>
  <c r="FO8" i="4"/>
  <c r="FP8" i="4"/>
  <c r="FQ8" i="4"/>
  <c r="FR8" i="4"/>
  <c r="GN8" i="4"/>
  <c r="GO8" i="4"/>
  <c r="GP8" i="4"/>
  <c r="GQ8" i="4"/>
  <c r="GR8" i="4"/>
  <c r="GS8" i="4"/>
  <c r="GU8" i="4"/>
  <c r="GV8" i="4"/>
  <c r="GW8" i="4"/>
  <c r="GX8" i="4"/>
  <c r="GY8" i="4"/>
  <c r="GZ8" i="4"/>
  <c r="HV8" i="4"/>
  <c r="HW8" i="4"/>
  <c r="HX8" i="4"/>
  <c r="HY8" i="4"/>
  <c r="HZ8" i="4"/>
  <c r="IA8" i="4"/>
  <c r="IC8" i="4"/>
  <c r="ID8" i="4"/>
  <c r="IE8" i="4"/>
  <c r="IF8" i="4"/>
  <c r="IG8" i="4"/>
  <c r="IH8" i="4"/>
  <c r="JD8" i="4"/>
  <c r="JE8" i="4"/>
  <c r="JF8" i="4"/>
  <c r="JG8" i="4"/>
  <c r="JH8" i="4"/>
  <c r="JI8" i="4"/>
  <c r="JK8" i="4"/>
  <c r="JL8" i="4"/>
  <c r="JM8" i="4"/>
  <c r="JN8" i="4"/>
  <c r="JO8" i="4"/>
  <c r="JP8" i="4"/>
  <c r="KL8" i="4"/>
  <c r="KM8" i="4"/>
  <c r="KN8" i="4"/>
  <c r="KO8" i="4"/>
  <c r="KP8" i="4"/>
  <c r="KQ8" i="4"/>
  <c r="KS8" i="4"/>
  <c r="KT8" i="4"/>
  <c r="KU8" i="4"/>
  <c r="KV8" i="4"/>
  <c r="KW8" i="4"/>
  <c r="KX8" i="4"/>
  <c r="LT8" i="4"/>
  <c r="LU8" i="4"/>
  <c r="LV8" i="4"/>
  <c r="LW8" i="4"/>
  <c r="LX8" i="4"/>
  <c r="LY8" i="4"/>
  <c r="MA8" i="4"/>
  <c r="MB8" i="4"/>
  <c r="MC8" i="4"/>
  <c r="MD8" i="4"/>
  <c r="ME8" i="4"/>
  <c r="MF8" i="4"/>
  <c r="NB8" i="4"/>
  <c r="NC8" i="4"/>
  <c r="ND8" i="4"/>
  <c r="NE8" i="4"/>
  <c r="NF8" i="4"/>
  <c r="NG8" i="4"/>
  <c r="NI8" i="4"/>
  <c r="NJ8" i="4"/>
  <c r="NK8" i="4"/>
  <c r="NL8" i="4"/>
  <c r="NM8" i="4"/>
  <c r="NN8" i="4"/>
  <c r="OJ8" i="4"/>
  <c r="OK8" i="4"/>
  <c r="OL8" i="4"/>
  <c r="OM8" i="4"/>
  <c r="ON8" i="4"/>
  <c r="OO8" i="4"/>
  <c r="OQ8" i="4"/>
  <c r="OR8" i="4"/>
  <c r="OS8" i="4"/>
  <c r="OT8" i="4"/>
  <c r="OU8" i="4"/>
  <c r="OV8" i="4"/>
  <c r="PR8" i="4"/>
  <c r="PS8" i="4"/>
  <c r="PT8" i="4"/>
  <c r="PU8" i="4"/>
  <c r="PV8" i="4"/>
  <c r="PW8" i="4"/>
  <c r="PY8" i="4"/>
  <c r="PZ8" i="4"/>
  <c r="QA8" i="4"/>
  <c r="QB8" i="4"/>
  <c r="QC8" i="4"/>
  <c r="QD8" i="4"/>
  <c r="QZ8" i="4"/>
  <c r="RA8" i="4"/>
  <c r="RB8" i="4"/>
  <c r="RC8" i="4"/>
  <c r="RD8" i="4"/>
  <c r="RE8" i="4"/>
  <c r="RG8" i="4"/>
  <c r="RH8" i="4"/>
  <c r="RI8" i="4"/>
  <c r="RJ8" i="4"/>
  <c r="RK8" i="4"/>
  <c r="RL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Q20" i="4"/>
  <c r="CR20" i="4"/>
  <c r="CS20" i="4"/>
  <c r="CT20" i="4"/>
  <c r="CU20" i="4"/>
  <c r="CV20" i="4"/>
  <c r="CX20" i="4"/>
  <c r="CY20" i="4"/>
  <c r="CZ20" i="4"/>
  <c r="DX20" i="4"/>
  <c r="DY20" i="4"/>
  <c r="DZ20" i="4"/>
  <c r="EA20" i="4"/>
  <c r="EB20" i="4"/>
  <c r="EC20" i="4"/>
  <c r="EE20" i="4"/>
  <c r="EF20" i="4"/>
  <c r="EG20" i="4"/>
  <c r="EH20" i="4"/>
  <c r="EI20" i="4"/>
  <c r="EJ20" i="4"/>
  <c r="FF20" i="4"/>
  <c r="FG20" i="4"/>
  <c r="FH20" i="4"/>
  <c r="FI20" i="4"/>
  <c r="FJ20" i="4"/>
  <c r="FK20" i="4"/>
  <c r="FM20" i="4"/>
  <c r="FN20" i="4"/>
  <c r="FO20" i="4"/>
  <c r="FP20" i="4"/>
  <c r="FQ20" i="4"/>
  <c r="FR20" i="4"/>
  <c r="GN20" i="4"/>
  <c r="GO20" i="4"/>
  <c r="GP20" i="4"/>
  <c r="GQ20" i="4"/>
  <c r="GR20" i="4"/>
  <c r="GS20" i="4"/>
  <c r="GU20" i="4"/>
  <c r="GV20" i="4"/>
  <c r="GW20" i="4"/>
  <c r="GX20" i="4"/>
  <c r="GY20" i="4"/>
  <c r="GZ20" i="4"/>
  <c r="HV20" i="4"/>
  <c r="HW20" i="4"/>
  <c r="HX20" i="4"/>
  <c r="HY20" i="4"/>
  <c r="HZ20" i="4"/>
  <c r="IA20" i="4"/>
  <c r="IC20" i="4"/>
  <c r="ID20" i="4"/>
  <c r="IE20" i="4"/>
  <c r="IF20" i="4"/>
  <c r="IG20" i="4"/>
  <c r="IH20" i="4"/>
  <c r="JD20" i="4"/>
  <c r="JE20" i="4"/>
  <c r="JF20" i="4"/>
  <c r="JG20" i="4"/>
  <c r="JH20" i="4"/>
  <c r="JI20" i="4"/>
  <c r="JK20" i="4"/>
  <c r="JL20" i="4"/>
  <c r="JM20" i="4"/>
  <c r="JN20" i="4"/>
  <c r="JO20" i="4"/>
  <c r="JP20" i="4"/>
  <c r="KL20" i="4"/>
  <c r="KM20" i="4"/>
  <c r="KN20" i="4"/>
  <c r="KO20" i="4"/>
  <c r="KP20" i="4"/>
  <c r="KQ20" i="4"/>
  <c r="KS20" i="4"/>
  <c r="KT20" i="4"/>
  <c r="KU20" i="4"/>
  <c r="KV20" i="4"/>
  <c r="KW20" i="4"/>
  <c r="KX20" i="4"/>
  <c r="LT20" i="4"/>
  <c r="LU20" i="4"/>
  <c r="LV20" i="4"/>
  <c r="LW20" i="4"/>
  <c r="LX20" i="4"/>
  <c r="LY20" i="4"/>
  <c r="MA20" i="4"/>
  <c r="MB20" i="4"/>
  <c r="MC20" i="4"/>
  <c r="MD20" i="4"/>
  <c r="ME20" i="4"/>
  <c r="MF20" i="4"/>
  <c r="NB20" i="4"/>
  <c r="NC20" i="4"/>
  <c r="ND20" i="4"/>
  <c r="NE20" i="4"/>
  <c r="NF20" i="4"/>
  <c r="NG20" i="4"/>
  <c r="NI20" i="4"/>
  <c r="NJ20" i="4"/>
  <c r="NK20" i="4"/>
  <c r="NL20" i="4"/>
  <c r="NM20" i="4"/>
  <c r="NN20" i="4"/>
  <c r="OJ20" i="4"/>
  <c r="OK20" i="4"/>
  <c r="OL20" i="4"/>
  <c r="OM20" i="4"/>
  <c r="ON20" i="4"/>
  <c r="OO20" i="4"/>
  <c r="OQ20" i="4"/>
  <c r="OR20" i="4"/>
  <c r="OS20" i="4"/>
  <c r="OT20" i="4"/>
  <c r="OU20" i="4"/>
  <c r="OV20" i="4"/>
  <c r="PR20" i="4"/>
  <c r="PS20" i="4"/>
  <c r="PT20" i="4"/>
  <c r="PU20" i="4"/>
  <c r="PV20" i="4"/>
  <c r="PW20" i="4"/>
  <c r="PY20" i="4"/>
  <c r="PZ20" i="4"/>
  <c r="QA20" i="4"/>
  <c r="QB20" i="4"/>
  <c r="QC20" i="4"/>
  <c r="QD20" i="4"/>
  <c r="QZ20" i="4"/>
  <c r="RA20" i="4"/>
  <c r="RB20" i="4"/>
  <c r="RC20" i="4"/>
  <c r="RD20" i="4"/>
  <c r="RE20" i="4"/>
  <c r="RG20" i="4"/>
  <c r="RH20" i="4"/>
  <c r="RI20" i="4"/>
  <c r="RJ20" i="4"/>
  <c r="RK20" i="4"/>
  <c r="RL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2" i="4"/>
  <c r="CR12" i="4"/>
  <c r="CS12" i="4"/>
  <c r="CT12" i="4"/>
  <c r="CU12" i="4"/>
  <c r="CV12" i="4"/>
  <c r="CX12" i="4"/>
  <c r="CY12" i="4"/>
  <c r="CZ12" i="4"/>
  <c r="DX12" i="4"/>
  <c r="DY12" i="4"/>
  <c r="DZ12" i="4"/>
  <c r="EA12" i="4"/>
  <c r="EB12" i="4"/>
  <c r="EC12" i="4"/>
  <c r="EE12" i="4"/>
  <c r="EF12" i="4"/>
  <c r="EG12" i="4"/>
  <c r="EH12" i="4"/>
  <c r="EI12" i="4"/>
  <c r="EJ12" i="4"/>
  <c r="FF12" i="4"/>
  <c r="FG12" i="4"/>
  <c r="FH12" i="4"/>
  <c r="FI12" i="4"/>
  <c r="FJ12" i="4"/>
  <c r="FK12" i="4"/>
  <c r="FM12" i="4"/>
  <c r="FN12" i="4"/>
  <c r="FO12" i="4"/>
  <c r="FP12" i="4"/>
  <c r="FQ12" i="4"/>
  <c r="FR12" i="4"/>
  <c r="GN12" i="4"/>
  <c r="GO12" i="4"/>
  <c r="GP12" i="4"/>
  <c r="GQ12" i="4"/>
  <c r="GR12" i="4"/>
  <c r="GS12" i="4"/>
  <c r="GU12" i="4"/>
  <c r="GV12" i="4"/>
  <c r="GW12" i="4"/>
  <c r="GX12" i="4"/>
  <c r="GY12" i="4"/>
  <c r="GZ12" i="4"/>
  <c r="HV12" i="4"/>
  <c r="HW12" i="4"/>
  <c r="HX12" i="4"/>
  <c r="HY12" i="4"/>
  <c r="HZ12" i="4"/>
  <c r="IA12" i="4"/>
  <c r="IC12" i="4"/>
  <c r="ID12" i="4"/>
  <c r="IE12" i="4"/>
  <c r="IF12" i="4"/>
  <c r="IG12" i="4"/>
  <c r="IH12" i="4"/>
  <c r="JD12" i="4"/>
  <c r="JE12" i="4"/>
  <c r="JF12" i="4"/>
  <c r="JG12" i="4"/>
  <c r="JH12" i="4"/>
  <c r="JI12" i="4"/>
  <c r="JK12" i="4"/>
  <c r="JL12" i="4"/>
  <c r="JM12" i="4"/>
  <c r="JN12" i="4"/>
  <c r="JO12" i="4"/>
  <c r="JP12" i="4"/>
  <c r="KL12" i="4"/>
  <c r="KM12" i="4"/>
  <c r="KN12" i="4"/>
  <c r="KO12" i="4"/>
  <c r="KP12" i="4"/>
  <c r="KQ12" i="4"/>
  <c r="KS12" i="4"/>
  <c r="KT12" i="4"/>
  <c r="KU12" i="4"/>
  <c r="KV12" i="4"/>
  <c r="KW12" i="4"/>
  <c r="KX12" i="4"/>
  <c r="LT12" i="4"/>
  <c r="LU12" i="4"/>
  <c r="LV12" i="4"/>
  <c r="LW12" i="4"/>
  <c r="LX12" i="4"/>
  <c r="LY12" i="4"/>
  <c r="MA12" i="4"/>
  <c r="MB12" i="4"/>
  <c r="MC12" i="4"/>
  <c r="MD12" i="4"/>
  <c r="ME12" i="4"/>
  <c r="MF12" i="4"/>
  <c r="NB12" i="4"/>
  <c r="NC12" i="4"/>
  <c r="ND12" i="4"/>
  <c r="NE12" i="4"/>
  <c r="NF12" i="4"/>
  <c r="NG12" i="4"/>
  <c r="NI12" i="4"/>
  <c r="NJ12" i="4"/>
  <c r="NK12" i="4"/>
  <c r="NL12" i="4"/>
  <c r="NM12" i="4"/>
  <c r="NN12" i="4"/>
  <c r="OJ12" i="4"/>
  <c r="OK12" i="4"/>
  <c r="OL12" i="4"/>
  <c r="OM12" i="4"/>
  <c r="ON12" i="4"/>
  <c r="OO12" i="4"/>
  <c r="OQ12" i="4"/>
  <c r="OR12" i="4"/>
  <c r="OS12" i="4"/>
  <c r="OT12" i="4"/>
  <c r="OU12" i="4"/>
  <c r="OV12" i="4"/>
  <c r="PR12" i="4"/>
  <c r="PS12" i="4"/>
  <c r="PT12" i="4"/>
  <c r="PU12" i="4"/>
  <c r="PV12" i="4"/>
  <c r="PW12" i="4"/>
  <c r="PY12" i="4"/>
  <c r="PZ12" i="4"/>
  <c r="QA12" i="4"/>
  <c r="QB12" i="4"/>
  <c r="QC12" i="4"/>
  <c r="QD12" i="4"/>
  <c r="QZ12" i="4"/>
  <c r="RA12" i="4"/>
  <c r="RB12" i="4"/>
  <c r="RC12" i="4"/>
  <c r="RD12" i="4"/>
  <c r="RE12" i="4"/>
  <c r="RG12" i="4"/>
  <c r="RH12" i="4"/>
  <c r="RI12" i="4"/>
  <c r="RJ12" i="4"/>
  <c r="RK12" i="4"/>
  <c r="RL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H12" i="27" l="1"/>
  <c r="H16" i="27"/>
  <c r="H10" i="27"/>
  <c r="H4" i="27"/>
  <c r="H7" i="27"/>
  <c r="H19" i="27"/>
  <c r="H6" i="27"/>
  <c r="QF21" i="21"/>
  <c r="QF19" i="21"/>
  <c r="QF7" i="21"/>
  <c r="QF16" i="21"/>
  <c r="QF13" i="21"/>
  <c r="QF20" i="21"/>
  <c r="QF12" i="21"/>
  <c r="QF6" i="21"/>
  <c r="QF5" i="21"/>
  <c r="QF4" i="21"/>
  <c r="H21" i="19"/>
  <c r="H8" i="19"/>
  <c r="H32" i="19"/>
  <c r="QF32" i="19"/>
  <c r="QF7" i="19"/>
  <c r="QF17" i="19"/>
  <c r="QF21" i="19"/>
  <c r="QF33" i="19"/>
  <c r="QF8" i="19"/>
  <c r="QF13" i="19"/>
  <c r="QF12" i="27"/>
  <c r="QF16" i="27"/>
  <c r="QF10" i="27"/>
  <c r="QF4" i="27"/>
  <c r="QF7" i="27"/>
  <c r="QF19" i="27"/>
  <c r="QF6" i="27"/>
  <c r="QF17" i="27"/>
  <c r="QF10" i="26"/>
  <c r="DE14" i="26"/>
  <c r="DE13" i="26"/>
  <c r="QF8" i="26"/>
  <c r="QF12" i="26"/>
  <c r="QF14" i="26"/>
  <c r="QF13" i="26"/>
  <c r="QF11" i="26"/>
  <c r="QF21" i="26"/>
  <c r="QF15" i="26"/>
  <c r="QF9" i="26"/>
  <c r="DE11" i="26"/>
  <c r="DE12" i="26"/>
  <c r="DE15" i="26"/>
  <c r="DE10" i="26"/>
  <c r="DE21" i="26"/>
  <c r="DE9" i="26"/>
  <c r="DE8" i="26"/>
  <c r="H21" i="21"/>
  <c r="H19" i="21"/>
  <c r="H7" i="21"/>
  <c r="H16" i="21"/>
  <c r="H13" i="21"/>
  <c r="H20" i="21"/>
  <c r="H12" i="21"/>
  <c r="H6" i="21"/>
  <c r="DE21" i="21"/>
  <c r="DE19" i="21"/>
  <c r="DE7" i="21"/>
  <c r="DE16" i="21"/>
  <c r="DE13" i="21"/>
  <c r="DE20" i="21"/>
  <c r="DE12" i="21"/>
  <c r="DE6" i="21"/>
  <c r="DE5" i="21"/>
  <c r="DE4" i="21"/>
  <c r="DE21" i="19"/>
  <c r="DE8" i="19"/>
  <c r="DE13" i="19"/>
  <c r="DE17" i="19"/>
  <c r="DE33" i="19"/>
  <c r="DE7" i="19"/>
  <c r="DE32" i="19"/>
  <c r="DE17" i="27"/>
  <c r="DE12" i="27"/>
  <c r="DE16" i="27"/>
  <c r="DE10" i="27"/>
  <c r="DE4" i="27"/>
  <c r="DE7" i="27"/>
  <c r="DE19" i="27"/>
  <c r="DE6" i="27"/>
  <c r="H13" i="19"/>
  <c r="H5" i="21"/>
  <c r="H4" i="21"/>
  <c r="H17" i="19"/>
  <c r="H7" i="19"/>
  <c r="I21" i="21"/>
  <c r="I19" i="21"/>
  <c r="I7" i="21"/>
  <c r="I16" i="21"/>
  <c r="I13" i="21"/>
  <c r="I20" i="21"/>
  <c r="I12" i="21"/>
  <c r="I6" i="21"/>
  <c r="I5" i="21"/>
  <c r="I4" i="21"/>
  <c r="I21" i="19"/>
  <c r="I8" i="19"/>
  <c r="I13" i="19"/>
  <c r="I7" i="19"/>
  <c r="I33" i="19"/>
  <c r="H33" i="19"/>
  <c r="I17" i="19"/>
  <c r="I32" i="19"/>
  <c r="I17" i="27"/>
  <c r="H17" i="27"/>
  <c r="I12" i="27"/>
  <c r="I16" i="27"/>
  <c r="I10" i="27"/>
  <c r="I4" i="27"/>
  <c r="I7" i="27"/>
  <c r="I19" i="27"/>
  <c r="I6" i="27"/>
  <c r="I14" i="26"/>
  <c r="I13" i="26"/>
  <c r="H11" i="26"/>
  <c r="H12" i="26"/>
  <c r="H15" i="26"/>
  <c r="H10" i="26"/>
  <c r="H21" i="26"/>
  <c r="H9" i="26"/>
  <c r="H8" i="26"/>
  <c r="H14" i="26"/>
  <c r="H13" i="26"/>
  <c r="I11" i="26"/>
  <c r="I12" i="26"/>
  <c r="I15" i="26"/>
  <c r="I10" i="26"/>
  <c r="I21" i="26"/>
  <c r="I9" i="26"/>
  <c r="I8" i="26"/>
  <c r="H16" i="22"/>
  <c r="H29" i="22"/>
  <c r="H14" i="22"/>
  <c r="H23" i="22"/>
  <c r="H15" i="22"/>
  <c r="H12" i="22"/>
  <c r="H4" i="22"/>
  <c r="H19" i="22"/>
  <c r="I11" i="22"/>
  <c r="I13" i="22"/>
  <c r="I27" i="22"/>
  <c r="I28" i="22"/>
  <c r="I21" i="22"/>
  <c r="I8" i="22"/>
  <c r="I31" i="22"/>
  <c r="I10" i="22"/>
  <c r="I18" i="22"/>
  <c r="H11" i="22"/>
  <c r="H13" i="22"/>
  <c r="H27" i="22"/>
  <c r="H28" i="22"/>
  <c r="H21" i="22"/>
  <c r="H8" i="22"/>
  <c r="H31" i="22"/>
  <c r="H10" i="22"/>
  <c r="H18" i="22"/>
  <c r="I16" i="22"/>
  <c r="I29" i="22"/>
  <c r="I14" i="22"/>
  <c r="I23" i="22"/>
  <c r="I15" i="22"/>
  <c r="I12" i="22"/>
  <c r="I4" i="22"/>
  <c r="I19" i="22"/>
  <c r="I12" i="4"/>
  <c r="I10" i="4"/>
  <c r="I7" i="4"/>
  <c r="I28" i="4"/>
  <c r="I22" i="4"/>
  <c r="H25" i="4"/>
  <c r="H9" i="4"/>
  <c r="H10" i="4"/>
  <c r="H7" i="4"/>
  <c r="H5" i="4"/>
  <c r="H4" i="4"/>
  <c r="H24" i="4"/>
  <c r="H16" i="4"/>
  <c r="H21" i="4"/>
  <c r="H13" i="4"/>
  <c r="H28" i="4"/>
  <c r="H22" i="4"/>
  <c r="I8" i="4"/>
  <c r="I25" i="4"/>
  <c r="I4" i="4"/>
  <c r="H8" i="4"/>
  <c r="I26" i="4"/>
  <c r="I9" i="4"/>
  <c r="I16" i="4"/>
  <c r="H12" i="4"/>
  <c r="H20" i="4"/>
  <c r="I20" i="4"/>
  <c r="I5" i="4"/>
  <c r="I24" i="4"/>
  <c r="I21" i="4"/>
  <c r="I13" i="4"/>
  <c r="H26" i="4"/>
  <c r="CW8" i="22"/>
  <c r="DA8" i="22" s="1"/>
  <c r="IB22" i="4"/>
  <c r="II22" i="4" s="1"/>
  <c r="P31" i="22"/>
  <c r="Q31" i="22" s="1"/>
  <c r="P15" i="22"/>
  <c r="Q15" i="22" s="1"/>
  <c r="P13" i="22"/>
  <c r="Q13" i="22" s="1"/>
  <c r="P18" i="22"/>
  <c r="Q18" i="22" s="1"/>
  <c r="P8" i="22"/>
  <c r="Q8" i="22" s="1"/>
  <c r="P21" i="22"/>
  <c r="Q21" i="22" s="1"/>
  <c r="P28" i="22"/>
  <c r="Q28" i="22" s="1"/>
  <c r="P29" i="22"/>
  <c r="Q29" i="22" s="1"/>
  <c r="P14" i="22"/>
  <c r="Q14" i="22" s="1"/>
  <c r="P11" i="22"/>
  <c r="Q11" i="22" s="1"/>
  <c r="P16" i="22"/>
  <c r="Q16" i="22" s="1"/>
  <c r="P12" i="22"/>
  <c r="Q12" i="22" s="1"/>
  <c r="P23" i="22"/>
  <c r="Q23" i="22" s="1"/>
  <c r="P10" i="22"/>
  <c r="Q10" i="22" s="1"/>
  <c r="P27" i="22"/>
  <c r="Q27" i="22" s="1"/>
  <c r="P4" i="22"/>
  <c r="Q4" i="22" s="1"/>
  <c r="P19" i="22"/>
  <c r="Q19" i="22" s="1"/>
  <c r="CW19" i="22"/>
  <c r="DA19" i="22" s="1"/>
  <c r="OP22" i="4"/>
  <c r="OW22" i="4" s="1"/>
  <c r="LZ22" i="4"/>
  <c r="MG22" i="4" s="1"/>
  <c r="QC14" i="26"/>
  <c r="CW18" i="22"/>
  <c r="DA18" i="22" s="1"/>
  <c r="JJ22" i="4"/>
  <c r="JQ22" i="4" s="1"/>
  <c r="NH22" i="4"/>
  <c r="NO22" i="4" s="1"/>
  <c r="CW24" i="4"/>
  <c r="DA24" i="4" s="1"/>
  <c r="CW16" i="4"/>
  <c r="DA16" i="4" s="1"/>
  <c r="GT22" i="4"/>
  <c r="HA22" i="4" s="1"/>
  <c r="ED22" i="4"/>
  <c r="EK22" i="4" s="1"/>
  <c r="RG17" i="27"/>
  <c r="RB17" i="27"/>
  <c r="QC17" i="27"/>
  <c r="QC13" i="26"/>
  <c r="RB13" i="26"/>
  <c r="CW10" i="22"/>
  <c r="DA10" i="22" s="1"/>
  <c r="IB28" i="4"/>
  <c r="II28" i="4" s="1"/>
  <c r="OP28" i="4"/>
  <c r="OW28" i="4" s="1"/>
  <c r="LZ28" i="4"/>
  <c r="MG28" i="4" s="1"/>
  <c r="JJ28" i="4"/>
  <c r="JQ28" i="4" s="1"/>
  <c r="CW21" i="4"/>
  <c r="DA21" i="4" s="1"/>
  <c r="CW22" i="4"/>
  <c r="DA22" i="4" s="1"/>
  <c r="OP13" i="4"/>
  <c r="OW13" i="4" s="1"/>
  <c r="SN22" i="4"/>
  <c r="SU22" i="4" s="1"/>
  <c r="PX22" i="4"/>
  <c r="QE22" i="4" s="1"/>
  <c r="CW13" i="4"/>
  <c r="DA13" i="4" s="1"/>
  <c r="RD13" i="26"/>
  <c r="DB13" i="26"/>
  <c r="RC13" i="26"/>
  <c r="P13" i="26"/>
  <c r="Q13" i="26" s="1"/>
  <c r="CW29" i="22"/>
  <c r="DA29" i="22" s="1"/>
  <c r="CW13" i="22"/>
  <c r="DA13" i="22" s="1"/>
  <c r="CW14" i="22"/>
  <c r="DA14" i="22" s="1"/>
  <c r="CW15" i="22"/>
  <c r="DA15" i="22" s="1"/>
  <c r="CW21" i="22"/>
  <c r="DA21" i="22" s="1"/>
  <c r="CW20" i="4"/>
  <c r="DA20" i="4" s="1"/>
  <c r="CW25" i="4"/>
  <c r="DA25" i="4" s="1"/>
  <c r="CW11" i="22"/>
  <c r="DA11" i="22" s="1"/>
  <c r="CW27" i="22"/>
  <c r="DA27" i="22" s="1"/>
  <c r="CW28" i="4"/>
  <c r="DA28" i="4" s="1"/>
  <c r="CW26" i="4"/>
  <c r="DA26" i="4" s="1"/>
  <c r="R17" i="27"/>
  <c r="DH17" i="27" s="1"/>
  <c r="RD17" i="27"/>
  <c r="RC17" i="27"/>
  <c r="DB17" i="27"/>
  <c r="N17" i="27"/>
  <c r="O17" i="27" s="1"/>
  <c r="P17" i="27"/>
  <c r="DG17" i="27" s="1"/>
  <c r="RH17" i="27"/>
  <c r="L17" i="27"/>
  <c r="M17" i="27" s="1"/>
  <c r="RE17" i="27"/>
  <c r="DB16" i="27"/>
  <c r="RG13" i="26"/>
  <c r="N13" i="26"/>
  <c r="O13" i="26" s="1"/>
  <c r="RH13" i="26"/>
  <c r="L13" i="26"/>
  <c r="M13" i="26" s="1"/>
  <c r="R13" i="26"/>
  <c r="RE13" i="26"/>
  <c r="RG14" i="26"/>
  <c r="RB14" i="26"/>
  <c r="RD14" i="26"/>
  <c r="RC14" i="26"/>
  <c r="QC11" i="26"/>
  <c r="DB14" i="26"/>
  <c r="N14" i="26"/>
  <c r="O14" i="26" s="1"/>
  <c r="P14" i="26"/>
  <c r="DG14" i="26" s="1"/>
  <c r="RH14" i="26"/>
  <c r="L14" i="26"/>
  <c r="M14" i="26" s="1"/>
  <c r="R14" i="26"/>
  <c r="RE14" i="26"/>
  <c r="RG33" i="19"/>
  <c r="RB33" i="19"/>
  <c r="QC33" i="19"/>
  <c r="SN19" i="22"/>
  <c r="SU19" i="22" s="1"/>
  <c r="NH28" i="4"/>
  <c r="NO28" i="4" s="1"/>
  <c r="GT28" i="4"/>
  <c r="HA28" i="4" s="1"/>
  <c r="NH13" i="4"/>
  <c r="NO13" i="4" s="1"/>
  <c r="IB13" i="4"/>
  <c r="II13" i="4" s="1"/>
  <c r="ED28" i="4"/>
  <c r="EK28" i="4" s="1"/>
  <c r="TQ22" i="4"/>
  <c r="LZ13" i="4"/>
  <c r="MG13" i="4" s="1"/>
  <c r="JJ13" i="4"/>
  <c r="JQ13" i="4" s="1"/>
  <c r="SN28" i="4"/>
  <c r="SU28" i="4" s="1"/>
  <c r="PX28" i="4"/>
  <c r="QE28" i="4" s="1"/>
  <c r="TU22" i="4"/>
  <c r="TN22" i="4"/>
  <c r="SN21" i="4"/>
  <c r="SU21" i="4" s="1"/>
  <c r="RF22" i="4"/>
  <c r="RM22" i="4" s="1"/>
  <c r="KR22" i="4"/>
  <c r="KY22" i="4" s="1"/>
  <c r="FL22" i="4"/>
  <c r="FS22" i="4" s="1"/>
  <c r="TS22" i="4"/>
  <c r="R22" i="4"/>
  <c r="S22" i="4" s="1"/>
  <c r="L22" i="4"/>
  <c r="P22" i="4"/>
  <c r="N22" i="4"/>
  <c r="T22" i="4"/>
  <c r="U22" i="4" s="1"/>
  <c r="K22" i="4"/>
  <c r="SN13" i="4"/>
  <c r="SU13" i="4" s="1"/>
  <c r="PX13" i="4"/>
  <c r="QE13" i="4" s="1"/>
  <c r="TN28" i="4"/>
  <c r="GT13" i="4"/>
  <c r="HA13" i="4" s="1"/>
  <c r="ED13" i="4"/>
  <c r="EK13" i="4" s="1"/>
  <c r="TQ28" i="4"/>
  <c r="RF28" i="4"/>
  <c r="RM28" i="4" s="1"/>
  <c r="KR28" i="4"/>
  <c r="KY28" i="4" s="1"/>
  <c r="FL28" i="4"/>
  <c r="FS28" i="4" s="1"/>
  <c r="TU28" i="4"/>
  <c r="TS28" i="4"/>
  <c r="T28" i="4"/>
  <c r="U28" i="4" s="1"/>
  <c r="N28" i="4"/>
  <c r="O28" i="4" s="1"/>
  <c r="L28" i="4"/>
  <c r="K28" i="4"/>
  <c r="R28" i="4"/>
  <c r="S28" i="4" s="1"/>
  <c r="P28" i="4"/>
  <c r="RF21" i="4"/>
  <c r="RM21" i="4" s="1"/>
  <c r="OP21" i="4"/>
  <c r="OW21" i="4" s="1"/>
  <c r="LZ21" i="4"/>
  <c r="MG21" i="4" s="1"/>
  <c r="JJ21" i="4"/>
  <c r="JQ21" i="4" s="1"/>
  <c r="GT21" i="4"/>
  <c r="HA21" i="4" s="1"/>
  <c r="ED21" i="4"/>
  <c r="EK21" i="4" s="1"/>
  <c r="TQ13" i="4"/>
  <c r="SN16" i="4"/>
  <c r="SU16" i="4" s="1"/>
  <c r="NH16" i="4"/>
  <c r="NO16" i="4" s="1"/>
  <c r="TN13" i="4"/>
  <c r="RF13" i="4"/>
  <c r="RM13" i="4" s="1"/>
  <c r="KR13" i="4"/>
  <c r="KY13" i="4" s="1"/>
  <c r="FL13" i="4"/>
  <c r="FS13" i="4" s="1"/>
  <c r="TU13" i="4"/>
  <c r="R13" i="4"/>
  <c r="S13" i="4" s="1"/>
  <c r="N13" i="4"/>
  <c r="O13" i="4" s="1"/>
  <c r="L13" i="4"/>
  <c r="P13" i="4"/>
  <c r="T13" i="4"/>
  <c r="U13" i="4" s="1"/>
  <c r="K13" i="4"/>
  <c r="TN24" i="4"/>
  <c r="RF16" i="4"/>
  <c r="RM16" i="4" s="1"/>
  <c r="OP16" i="4"/>
  <c r="OW16" i="4" s="1"/>
  <c r="LZ16" i="4"/>
  <c r="MG16" i="4" s="1"/>
  <c r="JJ16" i="4"/>
  <c r="JQ16" i="4" s="1"/>
  <c r="GT16" i="4"/>
  <c r="HA16" i="4" s="1"/>
  <c r="ED16" i="4"/>
  <c r="EK16" i="4" s="1"/>
  <c r="NH21" i="4"/>
  <c r="NO21" i="4" s="1"/>
  <c r="KR21" i="4"/>
  <c r="KY21" i="4" s="1"/>
  <c r="IB21" i="4"/>
  <c r="II21" i="4" s="1"/>
  <c r="IB16" i="4"/>
  <c r="II16" i="4" s="1"/>
  <c r="PX21" i="4"/>
  <c r="QE21" i="4" s="1"/>
  <c r="FL21" i="4"/>
  <c r="FS21" i="4" s="1"/>
  <c r="TU21" i="4"/>
  <c r="TQ21" i="4"/>
  <c r="TN21" i="4"/>
  <c r="R21" i="4"/>
  <c r="S21" i="4" s="1"/>
  <c r="N21" i="4"/>
  <c r="O21" i="4" s="1"/>
  <c r="L21" i="4"/>
  <c r="K21" i="4"/>
  <c r="T21" i="4"/>
  <c r="U21" i="4" s="1"/>
  <c r="P21" i="4"/>
  <c r="TQ16" i="4"/>
  <c r="TN16" i="4"/>
  <c r="KR16" i="4"/>
  <c r="KY16" i="4" s="1"/>
  <c r="PX24" i="4"/>
  <c r="QE24" i="4" s="1"/>
  <c r="KR24" i="4"/>
  <c r="KY24" i="4" s="1"/>
  <c r="IB24" i="4"/>
  <c r="II24" i="4" s="1"/>
  <c r="PX16" i="4"/>
  <c r="QE16" i="4" s="1"/>
  <c r="FL16" i="4"/>
  <c r="FS16" i="4" s="1"/>
  <c r="TU16" i="4"/>
  <c r="T16" i="4"/>
  <c r="U16" i="4" s="1"/>
  <c r="N16" i="4"/>
  <c r="O16" i="4" s="1"/>
  <c r="L16" i="4"/>
  <c r="K16" i="4"/>
  <c r="R16" i="4"/>
  <c r="S16" i="4" s="1"/>
  <c r="P16" i="4"/>
  <c r="TQ24" i="4"/>
  <c r="RF24" i="4"/>
  <c r="RM24" i="4" s="1"/>
  <c r="OP24" i="4"/>
  <c r="OW24" i="4" s="1"/>
  <c r="LZ24" i="4"/>
  <c r="MG24" i="4" s="1"/>
  <c r="JJ24" i="4"/>
  <c r="JQ24" i="4" s="1"/>
  <c r="SN24" i="4"/>
  <c r="SU24" i="4" s="1"/>
  <c r="NH24" i="4"/>
  <c r="NO24" i="4" s="1"/>
  <c r="GT24" i="4"/>
  <c r="HA24" i="4" s="1"/>
  <c r="ED24" i="4"/>
  <c r="EK24" i="4" s="1"/>
  <c r="RD33" i="19"/>
  <c r="RH33" i="19"/>
  <c r="R33" i="19"/>
  <c r="DH33" i="19" s="1"/>
  <c r="RC33" i="19"/>
  <c r="RE33" i="19"/>
  <c r="P33" i="19"/>
  <c r="DG33" i="19" s="1"/>
  <c r="N33" i="19"/>
  <c r="DF33" i="19" s="1"/>
  <c r="L33" i="19"/>
  <c r="DB33" i="19"/>
  <c r="RG32" i="19"/>
  <c r="DB32" i="19"/>
  <c r="FL24" i="4"/>
  <c r="FS24" i="4" s="1"/>
  <c r="TU24" i="4"/>
  <c r="TS24" i="4"/>
  <c r="R24" i="4"/>
  <c r="S24" i="4" s="1"/>
  <c r="L24" i="4"/>
  <c r="T24" i="4"/>
  <c r="U24" i="4" s="1"/>
  <c r="P24" i="4"/>
  <c r="N24" i="4"/>
  <c r="K24" i="4"/>
  <c r="T4" i="4"/>
  <c r="U4" i="4" s="1"/>
  <c r="SN18" i="22"/>
  <c r="SU18" i="22" s="1"/>
  <c r="TQ18" i="22"/>
  <c r="TN18" i="22"/>
  <c r="TU18" i="22"/>
  <c r="R18" i="22"/>
  <c r="S18" i="22" s="1"/>
  <c r="N18" i="22"/>
  <c r="O18" i="22" s="1"/>
  <c r="T18" i="22"/>
  <c r="U18" i="22" s="1"/>
  <c r="L18" i="22"/>
  <c r="K18" i="22"/>
  <c r="SN10" i="22"/>
  <c r="SU10" i="22" s="1"/>
  <c r="TN19" i="22"/>
  <c r="TU19" i="22"/>
  <c r="R19" i="22"/>
  <c r="S19" i="22" s="1"/>
  <c r="TQ19" i="22"/>
  <c r="N19" i="22"/>
  <c r="O19" i="22" s="1"/>
  <c r="T19" i="22"/>
  <c r="U19" i="22" s="1"/>
  <c r="L19" i="22"/>
  <c r="K19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23" i="22"/>
  <c r="U23" i="22" s="1"/>
  <c r="T11" i="22"/>
  <c r="U11" i="22" s="1"/>
  <c r="T29" i="22"/>
  <c r="U29" i="22" s="1"/>
  <c r="T21" i="22"/>
  <c r="U21" i="22" s="1"/>
  <c r="T31" i="22"/>
  <c r="U31" i="22" s="1"/>
  <c r="T15" i="22"/>
  <c r="U15" i="22" s="1"/>
  <c r="T28" i="22"/>
  <c r="U28" i="22" s="1"/>
  <c r="T13" i="22"/>
  <c r="U13" i="22" s="1"/>
  <c r="T27" i="22"/>
  <c r="U27" i="22" s="1"/>
  <c r="T4" i="22"/>
  <c r="U4" i="22" s="1"/>
  <c r="T16" i="22"/>
  <c r="U16" i="22" s="1"/>
  <c r="T12" i="22"/>
  <c r="U12" i="22" s="1"/>
  <c r="T14" i="22"/>
  <c r="U14" i="22" s="1"/>
  <c r="T8" i="22"/>
  <c r="U8" i="22" s="1"/>
  <c r="T26" i="4"/>
  <c r="U26" i="4" s="1"/>
  <c r="T9" i="4"/>
  <c r="U9" i="4" s="1"/>
  <c r="T8" i="4"/>
  <c r="U8" i="4" s="1"/>
  <c r="T20" i="4"/>
  <c r="U20" i="4" s="1"/>
  <c r="T7" i="4"/>
  <c r="U7" i="4" s="1"/>
  <c r="T10" i="4"/>
  <c r="U10" i="4" s="1"/>
  <c r="T5" i="4"/>
  <c r="U5" i="4" s="1"/>
  <c r="T25" i="4"/>
  <c r="U25" i="4" s="1"/>
  <c r="T12" i="4"/>
  <c r="U12" i="4" s="1"/>
  <c r="QC32" i="19"/>
  <c r="P32" i="19"/>
  <c r="DG32" i="19" s="1"/>
  <c r="RD32" i="19"/>
  <c r="RC32" i="19"/>
  <c r="RH32" i="19"/>
  <c r="RB32" i="19"/>
  <c r="N32" i="19"/>
  <c r="O32" i="19" s="1"/>
  <c r="L32" i="19"/>
  <c r="M32" i="19" s="1"/>
  <c r="R32" i="19"/>
  <c r="RE32" i="19"/>
  <c r="R17" i="19"/>
  <c r="DH17" i="19" s="1"/>
  <c r="RB17" i="19"/>
  <c r="QC17" i="19"/>
  <c r="RD17" i="19"/>
  <c r="RC17" i="19"/>
  <c r="P17" i="19"/>
  <c r="Q17" i="19" s="1"/>
  <c r="RG17" i="19"/>
  <c r="DB17" i="19"/>
  <c r="N17" i="19"/>
  <c r="O17" i="19" s="1"/>
  <c r="RH17" i="19"/>
  <c r="L17" i="19"/>
  <c r="M17" i="19" s="1"/>
  <c r="RE17" i="19"/>
  <c r="RG13" i="19"/>
  <c r="QC13" i="21"/>
  <c r="QC20" i="21"/>
  <c r="P5" i="21"/>
  <c r="Q5" i="21" s="1"/>
  <c r="RB12" i="21"/>
  <c r="DB21" i="19"/>
  <c r="RD7" i="19"/>
  <c r="DB7" i="19"/>
  <c r="N6" i="27"/>
  <c r="O6" i="27" s="1"/>
  <c r="RG9" i="26"/>
  <c r="RB9" i="26"/>
  <c r="SN4" i="22"/>
  <c r="SU4" i="22" s="1"/>
  <c r="SN15" i="22"/>
  <c r="SU15" i="22" s="1"/>
  <c r="N4" i="22"/>
  <c r="O4" i="22" s="1"/>
  <c r="OP12" i="4"/>
  <c r="OW12" i="4" s="1"/>
  <c r="RF5" i="4"/>
  <c r="RM5" i="4" s="1"/>
  <c r="LZ5" i="4"/>
  <c r="MG5" i="4" s="1"/>
  <c r="NH9" i="4"/>
  <c r="NO9" i="4" s="1"/>
  <c r="QC7" i="21"/>
  <c r="R19" i="21"/>
  <c r="S19" i="21" s="1"/>
  <c r="QC21" i="21"/>
  <c r="R20" i="21"/>
  <c r="S20" i="21" s="1"/>
  <c r="R13" i="19"/>
  <c r="S13" i="19" s="1"/>
  <c r="DB8" i="19"/>
  <c r="RE13" i="19"/>
  <c r="RB13" i="19"/>
  <c r="P21" i="19"/>
  <c r="Q21" i="19" s="1"/>
  <c r="P8" i="19"/>
  <c r="Q8" i="19" s="1"/>
  <c r="RG7" i="19"/>
  <c r="RG16" i="27"/>
  <c r="RB16" i="27"/>
  <c r="RD6" i="27"/>
  <c r="RG10" i="26"/>
  <c r="RE10" i="26"/>
  <c r="RB10" i="26"/>
  <c r="QC15" i="26"/>
  <c r="P12" i="26"/>
  <c r="Q12" i="26" s="1"/>
  <c r="DB11" i="26"/>
  <c r="DB9" i="26"/>
  <c r="DB21" i="26"/>
  <c r="RD8" i="26"/>
  <c r="DB8" i="26"/>
  <c r="QC12" i="26"/>
  <c r="P11" i="26"/>
  <c r="Q11" i="26" s="1"/>
  <c r="RH21" i="26"/>
  <c r="RD15" i="26"/>
  <c r="RD11" i="26"/>
  <c r="SN8" i="22"/>
  <c r="SU8" i="22" s="1"/>
  <c r="SN12" i="22"/>
  <c r="SU12" i="22" s="1"/>
  <c r="PX5" i="4"/>
  <c r="QE5" i="4" s="1"/>
  <c r="KR5" i="4"/>
  <c r="KY5" i="4" s="1"/>
  <c r="FL5" i="4"/>
  <c r="FS5" i="4" s="1"/>
  <c r="IB20" i="4"/>
  <c r="II20" i="4" s="1"/>
  <c r="CW5" i="4"/>
  <c r="DA5" i="4" s="1"/>
  <c r="LZ8" i="4"/>
  <c r="MG8" i="4" s="1"/>
  <c r="JJ8" i="4"/>
  <c r="JQ8" i="4" s="1"/>
  <c r="ED8" i="4"/>
  <c r="EK8" i="4" s="1"/>
  <c r="LZ9" i="4"/>
  <c r="MG9" i="4" s="1"/>
  <c r="JJ9" i="4"/>
  <c r="JQ9" i="4" s="1"/>
  <c r="GT9" i="4"/>
  <c r="HA9" i="4" s="1"/>
  <c r="ED9" i="4"/>
  <c r="EK9" i="4" s="1"/>
  <c r="KR7" i="4"/>
  <c r="KY7" i="4" s="1"/>
  <c r="FL7" i="4"/>
  <c r="FS7" i="4" s="1"/>
  <c r="LZ4" i="4"/>
  <c r="MG4" i="4" s="1"/>
  <c r="NH12" i="4"/>
  <c r="NO12" i="4" s="1"/>
  <c r="TQ15" i="22"/>
  <c r="SN28" i="22"/>
  <c r="SU28" i="22" s="1"/>
  <c r="P8" i="4"/>
  <c r="Q8" i="4" s="1"/>
  <c r="CW8" i="4"/>
  <c r="DA8" i="4" s="1"/>
  <c r="NH20" i="4"/>
  <c r="NO20" i="4" s="1"/>
  <c r="SN25" i="4"/>
  <c r="SU25" i="4" s="1"/>
  <c r="RF7" i="4"/>
  <c r="RM7" i="4" s="1"/>
  <c r="SN12" i="4"/>
  <c r="SU12" i="4" s="1"/>
  <c r="PX12" i="4"/>
  <c r="QE12" i="4" s="1"/>
  <c r="IB12" i="4"/>
  <c r="II12" i="4" s="1"/>
  <c r="P12" i="4"/>
  <c r="Q12" i="4" s="1"/>
  <c r="P10" i="4"/>
  <c r="Q10" i="4" s="1"/>
  <c r="P7" i="4"/>
  <c r="DC7" i="4" s="1"/>
  <c r="ED20" i="4"/>
  <c r="EK20" i="4" s="1"/>
  <c r="NH25" i="4"/>
  <c r="NO25" i="4" s="1"/>
  <c r="IB25" i="4"/>
  <c r="II25" i="4" s="1"/>
  <c r="SN9" i="4"/>
  <c r="SU9" i="4" s="1"/>
  <c r="OP10" i="4"/>
  <c r="OW10" i="4" s="1"/>
  <c r="JJ10" i="4"/>
  <c r="JQ10" i="4" s="1"/>
  <c r="ED10" i="4"/>
  <c r="EK10" i="4" s="1"/>
  <c r="OP7" i="4"/>
  <c r="OW7" i="4" s="1"/>
  <c r="JJ7" i="4"/>
  <c r="JQ7" i="4" s="1"/>
  <c r="ED7" i="4"/>
  <c r="EK7" i="4" s="1"/>
  <c r="JJ4" i="4"/>
  <c r="JQ4" i="4" s="1"/>
  <c r="GT4" i="4"/>
  <c r="HA4" i="4" s="1"/>
  <c r="ED4" i="4"/>
  <c r="EK4" i="4" s="1"/>
  <c r="SN8" i="4"/>
  <c r="SU8" i="4" s="1"/>
  <c r="PX8" i="4"/>
  <c r="QE8" i="4" s="1"/>
  <c r="NH8" i="4"/>
  <c r="NO8" i="4" s="1"/>
  <c r="RF9" i="4"/>
  <c r="RM9" i="4" s="1"/>
  <c r="CW4" i="4"/>
  <c r="DA4" i="4" s="1"/>
  <c r="P4" i="4"/>
  <c r="DC4" i="4" s="1"/>
  <c r="GT12" i="4"/>
  <c r="HA12" i="4" s="1"/>
  <c r="RF8" i="4"/>
  <c r="RM8" i="4" s="1"/>
  <c r="RF26" i="4"/>
  <c r="RM26" i="4" s="1"/>
  <c r="OP26" i="4"/>
  <c r="OW26" i="4" s="1"/>
  <c r="LZ26" i="4"/>
  <c r="MG26" i="4" s="1"/>
  <c r="JJ26" i="4"/>
  <c r="JQ26" i="4" s="1"/>
  <c r="GT26" i="4"/>
  <c r="HA26" i="4" s="1"/>
  <c r="P26" i="4"/>
  <c r="DC26" i="4" s="1"/>
  <c r="P9" i="4"/>
  <c r="DC9" i="4" s="1"/>
  <c r="P5" i="4"/>
  <c r="Q5" i="4" s="1"/>
  <c r="ED12" i="4"/>
  <c r="EK12" i="4" s="1"/>
  <c r="SN20" i="4"/>
  <c r="SU20" i="4" s="1"/>
  <c r="PX26" i="4"/>
  <c r="QE26" i="4" s="1"/>
  <c r="KR26" i="4"/>
  <c r="KY26" i="4" s="1"/>
  <c r="FL26" i="4"/>
  <c r="FS26" i="4" s="1"/>
  <c r="SN4" i="4"/>
  <c r="SU4" i="4" s="1"/>
  <c r="NH4" i="4"/>
  <c r="NO4" i="4" s="1"/>
  <c r="RF20" i="4"/>
  <c r="RM20" i="4" s="1"/>
  <c r="OP25" i="4"/>
  <c r="OW25" i="4" s="1"/>
  <c r="ED25" i="4"/>
  <c r="EK25" i="4" s="1"/>
  <c r="PX10" i="4"/>
  <c r="QE10" i="4" s="1"/>
  <c r="PX7" i="4"/>
  <c r="QE7" i="4" s="1"/>
  <c r="RF4" i="4"/>
  <c r="RM4" i="4" s="1"/>
  <c r="IB4" i="4"/>
  <c r="II4" i="4" s="1"/>
  <c r="P20" i="4"/>
  <c r="DC20" i="4" s="1"/>
  <c r="TN5" i="4"/>
  <c r="KR12" i="4"/>
  <c r="KY12" i="4" s="1"/>
  <c r="PX20" i="4"/>
  <c r="QE20" i="4" s="1"/>
  <c r="SN26" i="4"/>
  <c r="SU26" i="4" s="1"/>
  <c r="PX25" i="4"/>
  <c r="QE25" i="4" s="1"/>
  <c r="KR25" i="4"/>
  <c r="KY25" i="4" s="1"/>
  <c r="FL25" i="4"/>
  <c r="FS25" i="4" s="1"/>
  <c r="PX9" i="4"/>
  <c r="QE9" i="4" s="1"/>
  <c r="SN10" i="4"/>
  <c r="SU10" i="4" s="1"/>
  <c r="NH10" i="4"/>
  <c r="NO10" i="4" s="1"/>
  <c r="LZ7" i="4"/>
  <c r="MG7" i="4" s="1"/>
  <c r="NH26" i="4"/>
  <c r="NO26" i="4" s="1"/>
  <c r="GT7" i="4"/>
  <c r="HA7" i="4" s="1"/>
  <c r="SN5" i="4"/>
  <c r="SU5" i="4" s="1"/>
  <c r="OP5" i="4"/>
  <c r="OW5" i="4" s="1"/>
  <c r="KR20" i="4"/>
  <c r="KY20" i="4" s="1"/>
  <c r="RF12" i="4"/>
  <c r="RM12" i="4" s="1"/>
  <c r="LZ20" i="4"/>
  <c r="MG20" i="4" s="1"/>
  <c r="FL20" i="4"/>
  <c r="FS20" i="4" s="1"/>
  <c r="KR8" i="4"/>
  <c r="KY8" i="4" s="1"/>
  <c r="IB8" i="4"/>
  <c r="II8" i="4" s="1"/>
  <c r="FL8" i="4"/>
  <c r="FS8" i="4" s="1"/>
  <c r="IB26" i="4"/>
  <c r="II26" i="4" s="1"/>
  <c r="KR9" i="4"/>
  <c r="KY9" i="4" s="1"/>
  <c r="IB9" i="4"/>
  <c r="II9" i="4" s="1"/>
  <c r="NH5" i="4"/>
  <c r="NO5" i="4" s="1"/>
  <c r="JJ5" i="4"/>
  <c r="JQ5" i="4" s="1"/>
  <c r="GT5" i="4"/>
  <c r="HA5" i="4" s="1"/>
  <c r="ED5" i="4"/>
  <c r="EK5" i="4" s="1"/>
  <c r="OP4" i="4"/>
  <c r="OW4" i="4" s="1"/>
  <c r="P25" i="4"/>
  <c r="GT20" i="4"/>
  <c r="HA20" i="4" s="1"/>
  <c r="OP8" i="4"/>
  <c r="OW8" i="4" s="1"/>
  <c r="GT8" i="4"/>
  <c r="HA8" i="4" s="1"/>
  <c r="SN7" i="4"/>
  <c r="SU7" i="4" s="1"/>
  <c r="IB5" i="4"/>
  <c r="II5" i="4" s="1"/>
  <c r="PX4" i="4"/>
  <c r="QE4" i="4" s="1"/>
  <c r="FL12" i="4"/>
  <c r="FS12" i="4" s="1"/>
  <c r="LZ12" i="4"/>
  <c r="MG12" i="4" s="1"/>
  <c r="JJ12" i="4"/>
  <c r="JQ12" i="4" s="1"/>
  <c r="OP20" i="4"/>
  <c r="OW20" i="4" s="1"/>
  <c r="RF25" i="4"/>
  <c r="RM25" i="4" s="1"/>
  <c r="LZ25" i="4"/>
  <c r="MG25" i="4" s="1"/>
  <c r="OP9" i="4"/>
  <c r="OW9" i="4" s="1"/>
  <c r="RF10" i="4"/>
  <c r="RM10" i="4" s="1"/>
  <c r="LZ10" i="4"/>
  <c r="MG10" i="4" s="1"/>
  <c r="NH7" i="4"/>
  <c r="NO7" i="4" s="1"/>
  <c r="KR4" i="4"/>
  <c r="KY4" i="4" s="1"/>
  <c r="FL4" i="4"/>
  <c r="FS4" i="4" s="1"/>
  <c r="RD13" i="21"/>
  <c r="P21" i="21"/>
  <c r="DG21" i="21" s="1"/>
  <c r="DB6" i="21"/>
  <c r="RG13" i="21"/>
  <c r="RB13" i="21"/>
  <c r="R16" i="21"/>
  <c r="S16" i="21" s="1"/>
  <c r="L5" i="21"/>
  <c r="M5" i="21" s="1"/>
  <c r="P19" i="21"/>
  <c r="Q19" i="21" s="1"/>
  <c r="RB16" i="21"/>
  <c r="P20" i="21"/>
  <c r="Q20" i="21" s="1"/>
  <c r="RD20" i="21"/>
  <c r="RH12" i="21"/>
  <c r="RG6" i="21"/>
  <c r="R4" i="21"/>
  <c r="S4" i="21" s="1"/>
  <c r="RG20" i="21"/>
  <c r="RB20" i="21"/>
  <c r="R7" i="21"/>
  <c r="DH7" i="21" s="1"/>
  <c r="P12" i="21"/>
  <c r="Q12" i="21" s="1"/>
  <c r="P16" i="21"/>
  <c r="Q16" i="21" s="1"/>
  <c r="QC19" i="21"/>
  <c r="RD16" i="21"/>
  <c r="P6" i="21"/>
  <c r="Q6" i="21" s="1"/>
  <c r="RE19" i="21"/>
  <c r="P13" i="21"/>
  <c r="Q13" i="21" s="1"/>
  <c r="RD12" i="21"/>
  <c r="RD19" i="21"/>
  <c r="P7" i="21"/>
  <c r="Q7" i="21" s="1"/>
  <c r="RG16" i="21"/>
  <c r="R13" i="21"/>
  <c r="S13" i="21" s="1"/>
  <c r="R5" i="21"/>
  <c r="S5" i="21" s="1"/>
  <c r="RG4" i="21"/>
  <c r="QC12" i="21"/>
  <c r="RC7" i="21"/>
  <c r="RG7" i="21"/>
  <c r="RB7" i="21"/>
  <c r="RC13" i="21"/>
  <c r="RD21" i="21"/>
  <c r="RC20" i="21"/>
  <c r="RH13" i="21"/>
  <c r="L4" i="21"/>
  <c r="M4" i="21" s="1"/>
  <c r="DB12" i="21"/>
  <c r="RC19" i="21"/>
  <c r="RH16" i="21"/>
  <c r="RH20" i="21"/>
  <c r="DB19" i="21"/>
  <c r="DB21" i="21"/>
  <c r="RG19" i="21"/>
  <c r="RB19" i="21"/>
  <c r="RD7" i="21"/>
  <c r="RH6" i="21"/>
  <c r="R21" i="21"/>
  <c r="S21" i="21" s="1"/>
  <c r="N19" i="21"/>
  <c r="O19" i="21" s="1"/>
  <c r="RC16" i="21"/>
  <c r="RC12" i="21"/>
  <c r="DB4" i="21"/>
  <c r="P4" i="21"/>
  <c r="DG4" i="21" s="1"/>
  <c r="RD4" i="21"/>
  <c r="RC21" i="21"/>
  <c r="RG21" i="21"/>
  <c r="RB21" i="21"/>
  <c r="RH19" i="21"/>
  <c r="DB7" i="21"/>
  <c r="RG12" i="21"/>
  <c r="N4" i="21"/>
  <c r="O4" i="21" s="1"/>
  <c r="RD8" i="19"/>
  <c r="RE8" i="19"/>
  <c r="P13" i="19"/>
  <c r="Q13" i="19" s="1"/>
  <c r="DB13" i="19"/>
  <c r="L7" i="19"/>
  <c r="M7" i="19" s="1"/>
  <c r="RD21" i="19"/>
  <c r="R8" i="19"/>
  <c r="S8" i="19" s="1"/>
  <c r="RG21" i="19"/>
  <c r="RH7" i="19"/>
  <c r="RH13" i="19"/>
  <c r="RD13" i="19"/>
  <c r="P7" i="19"/>
  <c r="DG7" i="19" s="1"/>
  <c r="N7" i="19"/>
  <c r="O7" i="19" s="1"/>
  <c r="R21" i="19"/>
  <c r="DH21" i="19" s="1"/>
  <c r="L21" i="19"/>
  <c r="M21" i="19" s="1"/>
  <c r="RE19" i="27"/>
  <c r="RG6" i="27"/>
  <c r="RB6" i="27"/>
  <c r="DB10" i="27"/>
  <c r="QC16" i="27"/>
  <c r="DB7" i="27"/>
  <c r="RG12" i="27"/>
  <c r="P10" i="27"/>
  <c r="Q10" i="27" s="1"/>
  <c r="P16" i="27"/>
  <c r="Q16" i="27" s="1"/>
  <c r="DB12" i="27"/>
  <c r="R12" i="27"/>
  <c r="DH12" i="27" s="1"/>
  <c r="RC4" i="27"/>
  <c r="RH7" i="27"/>
  <c r="RD19" i="27"/>
  <c r="P7" i="27"/>
  <c r="DG7" i="27" s="1"/>
  <c r="L19" i="27"/>
  <c r="M19" i="27" s="1"/>
  <c r="L4" i="27"/>
  <c r="M4" i="27" s="1"/>
  <c r="RG7" i="27"/>
  <c r="R6" i="27"/>
  <c r="S6" i="27" s="1"/>
  <c r="RD12" i="27"/>
  <c r="P12" i="27"/>
  <c r="Q12" i="27" s="1"/>
  <c r="RD10" i="27"/>
  <c r="P4" i="27"/>
  <c r="Q4" i="27" s="1"/>
  <c r="L6" i="27"/>
  <c r="M6" i="27" s="1"/>
  <c r="RH6" i="27"/>
  <c r="RC12" i="27"/>
  <c r="RG10" i="27"/>
  <c r="RB10" i="27"/>
  <c r="QC10" i="27"/>
  <c r="RH4" i="27"/>
  <c r="RC7" i="27"/>
  <c r="RD16" i="27"/>
  <c r="RC16" i="27"/>
  <c r="RD4" i="27"/>
  <c r="R19" i="27"/>
  <c r="S19" i="27" s="1"/>
  <c r="RE6" i="27"/>
  <c r="RH12" i="27"/>
  <c r="RG4" i="27"/>
  <c r="RB4" i="27"/>
  <c r="DB6" i="27"/>
  <c r="P6" i="27"/>
  <c r="DG6" i="27" s="1"/>
  <c r="RD9" i="26"/>
  <c r="P9" i="26"/>
  <c r="DG9" i="26" s="1"/>
  <c r="P8" i="26"/>
  <c r="Q8" i="26" s="1"/>
  <c r="RC10" i="26"/>
  <c r="N8" i="26"/>
  <c r="O8" i="26" s="1"/>
  <c r="RD12" i="26"/>
  <c r="R21" i="26"/>
  <c r="DH21" i="26" s="1"/>
  <c r="RG15" i="26"/>
  <c r="RB15" i="26"/>
  <c r="P15" i="26"/>
  <c r="DG15" i="26" s="1"/>
  <c r="RG21" i="26"/>
  <c r="RB21" i="26"/>
  <c r="RH11" i="26"/>
  <c r="DB15" i="26"/>
  <c r="L15" i="26"/>
  <c r="M15" i="26" s="1"/>
  <c r="RG12" i="26"/>
  <c r="RB12" i="26"/>
  <c r="R12" i="26"/>
  <c r="DH12" i="26" s="1"/>
  <c r="RC12" i="26"/>
  <c r="RH12" i="26"/>
  <c r="RD21" i="26"/>
  <c r="P21" i="26"/>
  <c r="DG21" i="26" s="1"/>
  <c r="RC15" i="26"/>
  <c r="R11" i="26"/>
  <c r="DH11" i="26" s="1"/>
  <c r="P10" i="26"/>
  <c r="Q10" i="26" s="1"/>
  <c r="RE11" i="26"/>
  <c r="RH15" i="26"/>
  <c r="RC11" i="26"/>
  <c r="RE15" i="26"/>
  <c r="RH10" i="26"/>
  <c r="RC21" i="26"/>
  <c r="RG11" i="26"/>
  <c r="RB11" i="26"/>
  <c r="RE12" i="26"/>
  <c r="R15" i="26"/>
  <c r="S15" i="26" s="1"/>
  <c r="RD10" i="26"/>
  <c r="RG8" i="26"/>
  <c r="RB8" i="26"/>
  <c r="R8" i="26"/>
  <c r="S8" i="26" s="1"/>
  <c r="L8" i="26"/>
  <c r="M8" i="26" s="1"/>
  <c r="SN16" i="22"/>
  <c r="SU16" i="22" s="1"/>
  <c r="TQ11" i="22"/>
  <c r="SN11" i="22"/>
  <c r="SU11" i="22" s="1"/>
  <c r="SN29" i="22"/>
  <c r="SU29" i="22" s="1"/>
  <c r="CW31" i="22"/>
  <c r="DA31" i="22" s="1"/>
  <c r="SN31" i="22"/>
  <c r="SU31" i="22" s="1"/>
  <c r="TU14" i="22"/>
  <c r="CW12" i="22"/>
  <c r="DA12" i="22" s="1"/>
  <c r="SN13" i="22"/>
  <c r="SU13" i="22" s="1"/>
  <c r="CW28" i="22"/>
  <c r="DA28" i="22" s="1"/>
  <c r="SN14" i="22"/>
  <c r="SU14" i="22" s="1"/>
  <c r="TU21" i="22"/>
  <c r="SN23" i="22"/>
  <c r="SU23" i="22" s="1"/>
  <c r="TN28" i="22"/>
  <c r="SN27" i="22"/>
  <c r="SU27" i="22" s="1"/>
  <c r="TU12" i="22"/>
  <c r="TU13" i="22"/>
  <c r="TQ16" i="22"/>
  <c r="TU4" i="22"/>
  <c r="TQ13" i="22"/>
  <c r="TQ21" i="22"/>
  <c r="TU28" i="22"/>
  <c r="TN31" i="22"/>
  <c r="TN15" i="22"/>
  <c r="CW16" i="22"/>
  <c r="DA16" i="22" s="1"/>
  <c r="TU16" i="22"/>
  <c r="TN29" i="22"/>
  <c r="TU8" i="22"/>
  <c r="TN27" i="22"/>
  <c r="TL29" i="22"/>
  <c r="TQ23" i="22"/>
  <c r="TU29" i="22"/>
  <c r="TU31" i="22"/>
  <c r="TN13" i="22"/>
  <c r="TN14" i="22"/>
  <c r="TQ27" i="22"/>
  <c r="N28" i="22"/>
  <c r="TU15" i="22"/>
  <c r="L15" i="22"/>
  <c r="TQ31" i="22"/>
  <c r="N12" i="22"/>
  <c r="L31" i="22"/>
  <c r="K13" i="22"/>
  <c r="KR10" i="4"/>
  <c r="KY10" i="4" s="1"/>
  <c r="JJ25" i="4"/>
  <c r="JQ25" i="4" s="1"/>
  <c r="JJ20" i="4"/>
  <c r="JQ20" i="4" s="1"/>
  <c r="IB7" i="4"/>
  <c r="II7" i="4" s="1"/>
  <c r="IB10" i="4"/>
  <c r="II10" i="4" s="1"/>
  <c r="GT10" i="4"/>
  <c r="HA10" i="4" s="1"/>
  <c r="GT25" i="4"/>
  <c r="HA25" i="4" s="1"/>
  <c r="FL9" i="4"/>
  <c r="FS9" i="4" s="1"/>
  <c r="ED26" i="4"/>
  <c r="EK26" i="4" s="1"/>
  <c r="TQ20" i="4"/>
  <c r="TN20" i="4"/>
  <c r="CW12" i="4"/>
  <c r="DA12" i="4" s="1"/>
  <c r="TN25" i="4"/>
  <c r="TQ26" i="4"/>
  <c r="TQ10" i="4"/>
  <c r="CW10" i="4"/>
  <c r="DA10" i="4" s="1"/>
  <c r="TQ12" i="4"/>
  <c r="CW7" i="4"/>
  <c r="DA7" i="4" s="1"/>
  <c r="TN26" i="4"/>
  <c r="TU9" i="4"/>
  <c r="TU10" i="4"/>
  <c r="TQ7" i="4"/>
  <c r="TO26" i="4"/>
  <c r="TU20" i="4"/>
  <c r="TQ25" i="4"/>
  <c r="TQ9" i="4"/>
  <c r="TU7" i="4"/>
  <c r="TU5" i="4"/>
  <c r="TU4" i="4"/>
  <c r="TQ4" i="4"/>
  <c r="TN9" i="4"/>
  <c r="TN12" i="4"/>
  <c r="TN7" i="4"/>
  <c r="TN4" i="4"/>
  <c r="N8" i="4"/>
  <c r="TU25" i="4"/>
  <c r="N9" i="4"/>
  <c r="TN10" i="4"/>
  <c r="TQ5" i="4"/>
  <c r="L5" i="4"/>
  <c r="TU12" i="4"/>
  <c r="TU8" i="4"/>
  <c r="TQ8" i="4"/>
  <c r="L9" i="4"/>
  <c r="K5" i="4"/>
  <c r="R20" i="4"/>
  <c r="S20" i="4" s="1"/>
  <c r="L12" i="4"/>
  <c r="N10" i="4"/>
  <c r="N4" i="4"/>
  <c r="K20" i="4"/>
  <c r="R5" i="4"/>
  <c r="S5" i="4" s="1"/>
  <c r="L20" i="4"/>
  <c r="N26" i="4"/>
  <c r="R4" i="4"/>
  <c r="S4" i="4" s="1"/>
  <c r="R12" i="4"/>
  <c r="S12" i="4" s="1"/>
  <c r="N20" i="4"/>
  <c r="K9" i="4"/>
  <c r="N12" i="4"/>
  <c r="L19" i="21"/>
  <c r="L12" i="21"/>
  <c r="RH21" i="21"/>
  <c r="RH7" i="21"/>
  <c r="N21" i="21"/>
  <c r="RE21" i="21"/>
  <c r="N7" i="21"/>
  <c r="QC5" i="21"/>
  <c r="DB5" i="21"/>
  <c r="L21" i="21"/>
  <c r="L7" i="21"/>
  <c r="QC16" i="21"/>
  <c r="N12" i="21"/>
  <c r="RD5" i="21"/>
  <c r="RC5" i="21"/>
  <c r="DB16" i="21"/>
  <c r="DB13" i="21"/>
  <c r="DB20" i="21"/>
  <c r="RG5" i="21"/>
  <c r="RH5" i="21"/>
  <c r="RB5" i="21"/>
  <c r="RE5" i="21"/>
  <c r="L16" i="21"/>
  <c r="N16" i="21"/>
  <c r="L13" i="21"/>
  <c r="N13" i="21"/>
  <c r="L20" i="21"/>
  <c r="N20" i="21"/>
  <c r="R6" i="21"/>
  <c r="RB6" i="21"/>
  <c r="RE6" i="21"/>
  <c r="N5" i="21"/>
  <c r="RC4" i="21"/>
  <c r="RD6" i="21"/>
  <c r="RB4" i="21"/>
  <c r="RE4" i="21"/>
  <c r="RE7" i="21"/>
  <c r="RE16" i="21"/>
  <c r="RE13" i="21"/>
  <c r="RE20" i="21"/>
  <c r="R12" i="21"/>
  <c r="RH4" i="21"/>
  <c r="RE12" i="21"/>
  <c r="RC6" i="21"/>
  <c r="N6" i="21"/>
  <c r="L6" i="21"/>
  <c r="QC6" i="21"/>
  <c r="QC4" i="21"/>
  <c r="RE21" i="19"/>
  <c r="N8" i="19"/>
  <c r="RH21" i="19"/>
  <c r="RC8" i="19"/>
  <c r="RC21" i="19"/>
  <c r="QC21" i="19"/>
  <c r="RG8" i="19"/>
  <c r="RH8" i="19"/>
  <c r="L8" i="19"/>
  <c r="RB21" i="19"/>
  <c r="N21" i="19"/>
  <c r="N13" i="19"/>
  <c r="L13" i="19"/>
  <c r="QC7" i="19"/>
  <c r="RC7" i="19"/>
  <c r="QC8" i="19"/>
  <c r="RB7" i="19"/>
  <c r="RE7" i="19"/>
  <c r="R7" i="19"/>
  <c r="RB8" i="19"/>
  <c r="RC13" i="19"/>
  <c r="QC13" i="19"/>
  <c r="L12" i="27"/>
  <c r="L10" i="27"/>
  <c r="N10" i="27"/>
  <c r="RE12" i="27"/>
  <c r="R16" i="27"/>
  <c r="R7" i="27"/>
  <c r="RH10" i="27"/>
  <c r="RH16" i="27"/>
  <c r="RE10" i="27"/>
  <c r="R10" i="27"/>
  <c r="RC19" i="27"/>
  <c r="P19" i="27"/>
  <c r="N12" i="27"/>
  <c r="L16" i="27"/>
  <c r="N16" i="27"/>
  <c r="RB7" i="27"/>
  <c r="RE7" i="27"/>
  <c r="RG19" i="27"/>
  <c r="RH19" i="27"/>
  <c r="N19" i="27"/>
  <c r="RC10" i="27"/>
  <c r="QC12" i="27"/>
  <c r="RD7" i="27"/>
  <c r="RB12" i="27"/>
  <c r="RE16" i="27"/>
  <c r="DB4" i="27"/>
  <c r="QC4" i="27"/>
  <c r="R4" i="27"/>
  <c r="N7" i="27"/>
  <c r="QC19" i="27"/>
  <c r="RB19" i="27"/>
  <c r="RC6" i="27"/>
  <c r="QC6" i="27"/>
  <c r="RE4" i="27"/>
  <c r="L7" i="27"/>
  <c r="N4" i="27"/>
  <c r="QC7" i="27"/>
  <c r="DB19" i="27"/>
  <c r="QC9" i="26"/>
  <c r="QC10" i="26"/>
  <c r="RE21" i="26"/>
  <c r="RH9" i="26"/>
  <c r="L10" i="26"/>
  <c r="QC8" i="26"/>
  <c r="R9" i="26"/>
  <c r="RC8" i="26"/>
  <c r="L11" i="26"/>
  <c r="L12" i="26"/>
  <c r="R10" i="26"/>
  <c r="N21" i="26"/>
  <c r="RH8" i="26"/>
  <c r="RC9" i="26"/>
  <c r="N15" i="26"/>
  <c r="DB12" i="26"/>
  <c r="L21" i="26"/>
  <c r="N9" i="26"/>
  <c r="N11" i="26"/>
  <c r="DB10" i="26"/>
  <c r="RE9" i="26"/>
  <c r="L9" i="26"/>
  <c r="N12" i="26"/>
  <c r="N10" i="26"/>
  <c r="QC21" i="26"/>
  <c r="RE8" i="26"/>
  <c r="R16" i="22"/>
  <c r="S16" i="22" s="1"/>
  <c r="K11" i="22"/>
  <c r="L13" i="22"/>
  <c r="TQ14" i="22"/>
  <c r="TN16" i="22"/>
  <c r="L16" i="22"/>
  <c r="N16" i="22"/>
  <c r="R11" i="22"/>
  <c r="S11" i="22" s="1"/>
  <c r="R14" i="22"/>
  <c r="S14" i="22" s="1"/>
  <c r="L23" i="22"/>
  <c r="N23" i="22"/>
  <c r="TU11" i="22"/>
  <c r="R29" i="22"/>
  <c r="S29" i="22" s="1"/>
  <c r="K27" i="22"/>
  <c r="TQ29" i="22"/>
  <c r="N29" i="22"/>
  <c r="TN11" i="22"/>
  <c r="L29" i="22"/>
  <c r="TU27" i="22"/>
  <c r="TO23" i="22"/>
  <c r="N13" i="22"/>
  <c r="L11" i="22"/>
  <c r="K29" i="22"/>
  <c r="R13" i="22"/>
  <c r="S13" i="22" s="1"/>
  <c r="L14" i="22"/>
  <c r="N14" i="22"/>
  <c r="L27" i="22"/>
  <c r="TU23" i="22"/>
  <c r="R23" i="22"/>
  <c r="S23" i="22" s="1"/>
  <c r="R28" i="22"/>
  <c r="S28" i="22" s="1"/>
  <c r="K16" i="22"/>
  <c r="N11" i="22"/>
  <c r="N27" i="22"/>
  <c r="R27" i="22"/>
  <c r="S27" i="22" s="1"/>
  <c r="CW23" i="22"/>
  <c r="DA23" i="22" s="1"/>
  <c r="K8" i="22"/>
  <c r="R8" i="22"/>
  <c r="S8" i="22" s="1"/>
  <c r="K14" i="22"/>
  <c r="TN23" i="22"/>
  <c r="K15" i="22"/>
  <c r="R15" i="22"/>
  <c r="S15" i="22" s="1"/>
  <c r="R21" i="22"/>
  <c r="S21" i="22" s="1"/>
  <c r="K23" i="22"/>
  <c r="K21" i="22"/>
  <c r="TQ4" i="22"/>
  <c r="L8" i="22"/>
  <c r="L28" i="22"/>
  <c r="N15" i="22"/>
  <c r="SN21" i="22"/>
  <c r="SU21" i="22" s="1"/>
  <c r="TQ12" i="22"/>
  <c r="R31" i="22"/>
  <c r="S31" i="22" s="1"/>
  <c r="K31" i="22"/>
  <c r="K28" i="22"/>
  <c r="TN21" i="22"/>
  <c r="TN12" i="22"/>
  <c r="TQ28" i="22"/>
  <c r="N21" i="22"/>
  <c r="L21" i="22"/>
  <c r="TQ8" i="22"/>
  <c r="R4" i="22"/>
  <c r="S4" i="22" s="1"/>
  <c r="L12" i="22"/>
  <c r="K12" i="22"/>
  <c r="N8" i="22"/>
  <c r="TN4" i="22"/>
  <c r="R12" i="22"/>
  <c r="S12" i="22" s="1"/>
  <c r="TN8" i="22"/>
  <c r="CW4" i="22"/>
  <c r="DA4" i="22" s="1"/>
  <c r="L4" i="22"/>
  <c r="K4" i="22"/>
  <c r="N31" i="22"/>
  <c r="K8" i="4"/>
  <c r="K12" i="4"/>
  <c r="TN8" i="4"/>
  <c r="R26" i="4"/>
  <c r="S26" i="4" s="1"/>
  <c r="R8" i="4"/>
  <c r="S8" i="4" s="1"/>
  <c r="TU26" i="4"/>
  <c r="L8" i="4"/>
  <c r="L26" i="4"/>
  <c r="N7" i="4"/>
  <c r="L4" i="4"/>
  <c r="K26" i="4"/>
  <c r="N25" i="4"/>
  <c r="R10" i="4"/>
  <c r="S10" i="4" s="1"/>
  <c r="L10" i="4"/>
  <c r="TO5" i="4"/>
  <c r="K4" i="4"/>
  <c r="K10" i="4"/>
  <c r="R7" i="4"/>
  <c r="S7" i="4" s="1"/>
  <c r="L7" i="4"/>
  <c r="R25" i="4"/>
  <c r="S25" i="4" s="1"/>
  <c r="L25" i="4"/>
  <c r="CW9" i="4"/>
  <c r="DA9" i="4" s="1"/>
  <c r="FL10" i="4"/>
  <c r="FS10" i="4" s="1"/>
  <c r="K7" i="4"/>
  <c r="N5" i="4"/>
  <c r="K25" i="4"/>
  <c r="R9" i="4"/>
  <c r="S9" i="4" s="1"/>
  <c r="RI16" i="21" l="1"/>
  <c r="RI6" i="27"/>
  <c r="RI8" i="19"/>
  <c r="RI21" i="19"/>
  <c r="RI19" i="27"/>
  <c r="RI17" i="27"/>
  <c r="RI4" i="27"/>
  <c r="RI11" i="26"/>
  <c r="RI12" i="26"/>
  <c r="RI14" i="26"/>
  <c r="RI13" i="26"/>
  <c r="RI4" i="21"/>
  <c r="RI12" i="21"/>
  <c r="RI20" i="21"/>
  <c r="RI5" i="21"/>
  <c r="RI13" i="21"/>
  <c r="RI21" i="21"/>
  <c r="RI19" i="21"/>
  <c r="RI7" i="21"/>
  <c r="RI6" i="21"/>
  <c r="RI7" i="19"/>
  <c r="RI32" i="19"/>
  <c r="RI13" i="19"/>
  <c r="RI17" i="19"/>
  <c r="RI33" i="19"/>
  <c r="RI12" i="27"/>
  <c r="RI10" i="27"/>
  <c r="RI16" i="27"/>
  <c r="RI7" i="27"/>
  <c r="RI8" i="26"/>
  <c r="RI15" i="26"/>
  <c r="RI21" i="26"/>
  <c r="RI9" i="26"/>
  <c r="RI10" i="26"/>
  <c r="DC31" i="22"/>
  <c r="DC29" i="22"/>
  <c r="J13" i="22"/>
  <c r="J23" i="22"/>
  <c r="J15" i="22"/>
  <c r="J28" i="22"/>
  <c r="DC15" i="22"/>
  <c r="J16" i="22"/>
  <c r="J27" i="22"/>
  <c r="J11" i="22"/>
  <c r="J5" i="4"/>
  <c r="J26" i="4"/>
  <c r="J9" i="4"/>
  <c r="J10" i="4"/>
  <c r="J12" i="4"/>
  <c r="J16" i="4"/>
  <c r="DC12" i="22"/>
  <c r="DC23" i="22"/>
  <c r="DC14" i="22"/>
  <c r="DC28" i="22"/>
  <c r="DC11" i="22"/>
  <c r="DC27" i="22"/>
  <c r="DC8" i="22"/>
  <c r="DC4" i="22"/>
  <c r="DC21" i="22"/>
  <c r="DC13" i="22"/>
  <c r="DC16" i="22"/>
  <c r="M15" i="22"/>
  <c r="M31" i="22"/>
  <c r="M10" i="22"/>
  <c r="M19" i="22"/>
  <c r="M20" i="4"/>
  <c r="M22" i="4"/>
  <c r="M5" i="4"/>
  <c r="M16" i="4"/>
  <c r="M9" i="4"/>
  <c r="M13" i="4"/>
  <c r="M28" i="4"/>
  <c r="M21" i="4"/>
  <c r="M12" i="4"/>
  <c r="M24" i="4"/>
  <c r="DH5" i="21"/>
  <c r="RF15" i="26"/>
  <c r="RF17" i="19"/>
  <c r="S33" i="19"/>
  <c r="DF6" i="27"/>
  <c r="S17" i="27"/>
  <c r="DF13" i="26"/>
  <c r="K13" i="26"/>
  <c r="DG13" i="26"/>
  <c r="DG13" i="21"/>
  <c r="Q9" i="26"/>
  <c r="RF13" i="26"/>
  <c r="DF17" i="27"/>
  <c r="T17" i="27" s="1"/>
  <c r="K17" i="27"/>
  <c r="RF17" i="27"/>
  <c r="DF14" i="26"/>
  <c r="TR13" i="4"/>
  <c r="TV13" i="4" s="1"/>
  <c r="Q17" i="27"/>
  <c r="DH13" i="26"/>
  <c r="S13" i="26"/>
  <c r="RF14" i="26"/>
  <c r="Q14" i="26"/>
  <c r="K14" i="26"/>
  <c r="DH14" i="26"/>
  <c r="S14" i="26"/>
  <c r="RF33" i="19"/>
  <c r="S17" i="19"/>
  <c r="RF32" i="19"/>
  <c r="DG8" i="26"/>
  <c r="DB27" i="22"/>
  <c r="TR19" i="22"/>
  <c r="TV19" i="22" s="1"/>
  <c r="DB18" i="22"/>
  <c r="TR18" i="22"/>
  <c r="TV18" i="22" s="1"/>
  <c r="TR22" i="4"/>
  <c r="TV22" i="4" s="1"/>
  <c r="TR28" i="4"/>
  <c r="TV28" i="4" s="1"/>
  <c r="DB28" i="4"/>
  <c r="O22" i="4"/>
  <c r="DB22" i="4"/>
  <c r="DC22" i="4"/>
  <c r="Q22" i="4"/>
  <c r="DB16" i="4"/>
  <c r="TR21" i="4"/>
  <c r="TV21" i="4" s="1"/>
  <c r="Q28" i="4"/>
  <c r="DC28" i="4"/>
  <c r="J28" i="4"/>
  <c r="TR24" i="4"/>
  <c r="TV24" i="4" s="1"/>
  <c r="TR16" i="4"/>
  <c r="TV16" i="4" s="1"/>
  <c r="J13" i="4"/>
  <c r="Q13" i="4"/>
  <c r="DC13" i="4"/>
  <c r="DB13" i="4"/>
  <c r="J21" i="4"/>
  <c r="DB21" i="4"/>
  <c r="Q21" i="4"/>
  <c r="DC21" i="4"/>
  <c r="Q16" i="4"/>
  <c r="DC16" i="4"/>
  <c r="DB25" i="4"/>
  <c r="O33" i="19"/>
  <c r="Q33" i="19"/>
  <c r="T33" i="19"/>
  <c r="U33" i="19" s="1"/>
  <c r="M33" i="19"/>
  <c r="K33" i="19"/>
  <c r="K32" i="19"/>
  <c r="K17" i="19"/>
  <c r="J24" i="4"/>
  <c r="DB24" i="4"/>
  <c r="O24" i="4"/>
  <c r="DC24" i="4"/>
  <c r="Q24" i="4"/>
  <c r="DB20" i="4"/>
  <c r="V20" i="4" s="1"/>
  <c r="J18" i="22"/>
  <c r="DC18" i="22"/>
  <c r="M18" i="22"/>
  <c r="J19" i="22"/>
  <c r="DC19" i="22"/>
  <c r="DB19" i="22"/>
  <c r="TR10" i="22"/>
  <c r="TV10" i="22" s="1"/>
  <c r="DB10" i="22"/>
  <c r="DC10" i="22"/>
  <c r="DG17" i="19"/>
  <c r="DF7" i="19"/>
  <c r="DF32" i="19"/>
  <c r="DF17" i="19"/>
  <c r="Q32" i="19"/>
  <c r="DB26" i="4"/>
  <c r="V26" i="4" s="1"/>
  <c r="X26" i="4" s="1"/>
  <c r="DB7" i="4"/>
  <c r="V7" i="4" s="1"/>
  <c r="TR5" i="4"/>
  <c r="TV5" i="4" s="1"/>
  <c r="DB8" i="4"/>
  <c r="DH32" i="19"/>
  <c r="S32" i="19"/>
  <c r="DG13" i="19"/>
  <c r="DG6" i="21"/>
  <c r="DH16" i="21"/>
  <c r="DG8" i="19"/>
  <c r="Q7" i="19"/>
  <c r="S21" i="19"/>
  <c r="DB15" i="22"/>
  <c r="DB31" i="22"/>
  <c r="V31" i="22" s="1"/>
  <c r="DB4" i="4"/>
  <c r="V4" i="4" s="1"/>
  <c r="X4" i="4" s="1"/>
  <c r="DC12" i="4"/>
  <c r="DG12" i="21"/>
  <c r="DG5" i="21"/>
  <c r="RF21" i="21"/>
  <c r="S7" i="21"/>
  <c r="Q21" i="21"/>
  <c r="DG20" i="21"/>
  <c r="RF13" i="21"/>
  <c r="DH20" i="21"/>
  <c r="DH4" i="21"/>
  <c r="DH19" i="21"/>
  <c r="DG16" i="21"/>
  <c r="RF7" i="21"/>
  <c r="RF12" i="21"/>
  <c r="DH13" i="19"/>
  <c r="Q7" i="27"/>
  <c r="S12" i="26"/>
  <c r="DF8" i="26"/>
  <c r="DB16" i="22"/>
  <c r="DB14" i="22"/>
  <c r="DB23" i="22"/>
  <c r="DB4" i="22"/>
  <c r="DB29" i="22"/>
  <c r="DB8" i="22"/>
  <c r="DB11" i="22"/>
  <c r="DB13" i="22"/>
  <c r="DB21" i="22"/>
  <c r="TR11" i="22"/>
  <c r="TV11" i="22" s="1"/>
  <c r="TR14" i="22"/>
  <c r="TV14" i="22" s="1"/>
  <c r="DB28" i="22"/>
  <c r="DB12" i="22"/>
  <c r="TR15" i="22"/>
  <c r="TV15" i="22" s="1"/>
  <c r="DB9" i="4"/>
  <c r="DB5" i="4"/>
  <c r="TR12" i="4"/>
  <c r="TV12" i="4" s="1"/>
  <c r="TR26" i="4"/>
  <c r="TV26" i="4" s="1"/>
  <c r="DB12" i="4"/>
  <c r="DB10" i="4"/>
  <c r="Q4" i="21"/>
  <c r="DF4" i="21"/>
  <c r="DG7" i="21"/>
  <c r="DG21" i="19"/>
  <c r="DG12" i="26"/>
  <c r="S21" i="26"/>
  <c r="RF11" i="26"/>
  <c r="RF21" i="26"/>
  <c r="RF12" i="26"/>
  <c r="DH8" i="26"/>
  <c r="Q15" i="26"/>
  <c r="DG11" i="26"/>
  <c r="K11" i="26"/>
  <c r="O21" i="22"/>
  <c r="O15" i="22"/>
  <c r="O29" i="22"/>
  <c r="O16" i="22"/>
  <c r="O12" i="22"/>
  <c r="O27" i="22"/>
  <c r="TR13" i="22"/>
  <c r="TV13" i="22" s="1"/>
  <c r="O28" i="22"/>
  <c r="O14" i="22"/>
  <c r="O13" i="22"/>
  <c r="O8" i="22"/>
  <c r="O31" i="22"/>
  <c r="O11" i="22"/>
  <c r="O23" i="22"/>
  <c r="TR20" i="4"/>
  <c r="TV20" i="4" s="1"/>
  <c r="Q26" i="4"/>
  <c r="DC8" i="4"/>
  <c r="Q7" i="4"/>
  <c r="Q4" i="4"/>
  <c r="TR31" i="22"/>
  <c r="TV31" i="22" s="1"/>
  <c r="TR7" i="4"/>
  <c r="TV7" i="4" s="1"/>
  <c r="Q20" i="4"/>
  <c r="TR9" i="4"/>
  <c r="TV9" i="4" s="1"/>
  <c r="Q9" i="4"/>
  <c r="TR25" i="4"/>
  <c r="TV25" i="4" s="1"/>
  <c r="DC10" i="4"/>
  <c r="DC5" i="4"/>
  <c r="O12" i="4"/>
  <c r="O10" i="4"/>
  <c r="O7" i="4"/>
  <c r="TR10" i="4"/>
  <c r="TV10" i="4" s="1"/>
  <c r="DC25" i="4"/>
  <c r="Q25" i="4"/>
  <c r="O4" i="4"/>
  <c r="O9" i="4"/>
  <c r="O20" i="4"/>
  <c r="O26" i="4"/>
  <c r="O8" i="4"/>
  <c r="O5" i="4"/>
  <c r="O25" i="4"/>
  <c r="TR8" i="4"/>
  <c r="TV8" i="4" s="1"/>
  <c r="DH13" i="21"/>
  <c r="RF16" i="21"/>
  <c r="K21" i="21"/>
  <c r="RF19" i="21"/>
  <c r="DG19" i="21"/>
  <c r="DF19" i="21"/>
  <c r="RF20" i="21"/>
  <c r="K16" i="21"/>
  <c r="K20" i="21"/>
  <c r="K7" i="21"/>
  <c r="K13" i="21"/>
  <c r="K12" i="21"/>
  <c r="DH21" i="21"/>
  <c r="K4" i="21"/>
  <c r="K6" i="21"/>
  <c r="K21" i="19"/>
  <c r="K13" i="19"/>
  <c r="DH8" i="19"/>
  <c r="K7" i="19"/>
  <c r="DG10" i="27"/>
  <c r="RF16" i="27"/>
  <c r="DH6" i="27"/>
  <c r="DG4" i="27"/>
  <c r="DG16" i="27"/>
  <c r="DG12" i="27"/>
  <c r="RF12" i="27"/>
  <c r="DH19" i="27"/>
  <c r="RF4" i="27"/>
  <c r="RF7" i="27"/>
  <c r="S12" i="27"/>
  <c r="Q6" i="27"/>
  <c r="K16" i="27"/>
  <c r="K7" i="27"/>
  <c r="K6" i="27"/>
  <c r="K15" i="26"/>
  <c r="K21" i="26"/>
  <c r="DG10" i="26"/>
  <c r="DH15" i="26"/>
  <c r="S11" i="26"/>
  <c r="K12" i="26"/>
  <c r="RF10" i="26"/>
  <c r="Q21" i="26"/>
  <c r="K8" i="26"/>
  <c r="J14" i="22"/>
  <c r="TR28" i="22"/>
  <c r="TV28" i="22" s="1"/>
  <c r="TR4" i="22"/>
  <c r="TV4" i="22" s="1"/>
  <c r="TR29" i="22"/>
  <c r="TV29" i="22" s="1"/>
  <c r="J29" i="22"/>
  <c r="TR16" i="22"/>
  <c r="TV16" i="22" s="1"/>
  <c r="TR21" i="22"/>
  <c r="TV21" i="22" s="1"/>
  <c r="TR23" i="22"/>
  <c r="TV23" i="22" s="1"/>
  <c r="J21" i="22"/>
  <c r="TR27" i="22"/>
  <c r="TV27" i="22" s="1"/>
  <c r="TR8" i="22"/>
  <c r="TV8" i="22" s="1"/>
  <c r="J31" i="22"/>
  <c r="B31" i="22" s="1" a="1"/>
  <c r="B31" i="22" s="1"/>
  <c r="J8" i="22"/>
  <c r="J25" i="4"/>
  <c r="J7" i="4"/>
  <c r="TR4" i="4"/>
  <c r="TV4" i="4" s="1"/>
  <c r="J8" i="4"/>
  <c r="O6" i="21"/>
  <c r="DF6" i="21"/>
  <c r="M19" i="21"/>
  <c r="O5" i="21"/>
  <c r="DF5" i="21"/>
  <c r="DH6" i="21"/>
  <c r="S6" i="21"/>
  <c r="M13" i="21"/>
  <c r="DF12" i="21"/>
  <c r="O12" i="21"/>
  <c r="RF4" i="21"/>
  <c r="DF20" i="21"/>
  <c r="O20" i="21"/>
  <c r="DF16" i="21"/>
  <c r="O16" i="21"/>
  <c r="M12" i="21"/>
  <c r="K5" i="21"/>
  <c r="K19" i="21"/>
  <c r="DF21" i="21"/>
  <c r="O21" i="21"/>
  <c r="M6" i="21"/>
  <c r="M20" i="21"/>
  <c r="M16" i="21"/>
  <c r="M7" i="21"/>
  <c r="M21" i="21"/>
  <c r="RF5" i="21"/>
  <c r="RF6" i="21"/>
  <c r="DH12" i="21"/>
  <c r="S12" i="21"/>
  <c r="DF13" i="21"/>
  <c r="O13" i="21"/>
  <c r="O7" i="21"/>
  <c r="DF7" i="21"/>
  <c r="O21" i="19"/>
  <c r="DF21" i="19"/>
  <c r="K8" i="19"/>
  <c r="M8" i="19"/>
  <c r="O13" i="19"/>
  <c r="DF13" i="19"/>
  <c r="M13" i="19"/>
  <c r="RF13" i="19"/>
  <c r="RF7" i="19"/>
  <c r="DH7" i="19"/>
  <c r="S7" i="19"/>
  <c r="RF21" i="19"/>
  <c r="O8" i="19"/>
  <c r="DF8" i="19"/>
  <c r="RF8" i="19"/>
  <c r="O19" i="27"/>
  <c r="DF19" i="27"/>
  <c r="S4" i="27"/>
  <c r="DH4" i="27"/>
  <c r="K10" i="27"/>
  <c r="K12" i="27"/>
  <c r="DH16" i="27"/>
  <c r="S16" i="27"/>
  <c r="RF10" i="27"/>
  <c r="O4" i="27"/>
  <c r="DF4" i="27"/>
  <c r="DF16" i="27"/>
  <c r="O16" i="27"/>
  <c r="O12" i="27"/>
  <c r="DF12" i="27"/>
  <c r="DH10" i="27"/>
  <c r="S10" i="27"/>
  <c r="O10" i="27"/>
  <c r="DF10" i="27"/>
  <c r="K19" i="27"/>
  <c r="M16" i="27"/>
  <c r="Q19" i="27"/>
  <c r="DG19" i="27"/>
  <c r="DH7" i="27"/>
  <c r="S7" i="27"/>
  <c r="M10" i="27"/>
  <c r="RF19" i="27"/>
  <c r="M7" i="27"/>
  <c r="RF6" i="27"/>
  <c r="O7" i="27"/>
  <c r="DF7" i="27"/>
  <c r="K4" i="27"/>
  <c r="M12" i="27"/>
  <c r="RF9" i="26"/>
  <c r="O21" i="26"/>
  <c r="DF21" i="26"/>
  <c r="T21" i="26" s="1"/>
  <c r="M11" i="26"/>
  <c r="O10" i="26"/>
  <c r="DF10" i="26"/>
  <c r="O12" i="26"/>
  <c r="DF12" i="26"/>
  <c r="RF8" i="26"/>
  <c r="M10" i="26"/>
  <c r="K9" i="26"/>
  <c r="O11" i="26"/>
  <c r="DF11" i="26"/>
  <c r="S9" i="26"/>
  <c r="DH9" i="26"/>
  <c r="O9" i="26"/>
  <c r="DF9" i="26"/>
  <c r="K10" i="26"/>
  <c r="S10" i="26"/>
  <c r="DH10" i="26"/>
  <c r="M12" i="26"/>
  <c r="M9" i="26"/>
  <c r="DF15" i="26"/>
  <c r="O15" i="26"/>
  <c r="M21" i="26"/>
  <c r="M16" i="22"/>
  <c r="M21" i="22"/>
  <c r="M27" i="22"/>
  <c r="M29" i="22"/>
  <c r="J12" i="22"/>
  <c r="M11" i="22"/>
  <c r="M8" i="22"/>
  <c r="M28" i="22"/>
  <c r="M14" i="22"/>
  <c r="M12" i="22"/>
  <c r="J4" i="22"/>
  <c r="TR12" i="22"/>
  <c r="TV12" i="22" s="1"/>
  <c r="M4" i="22"/>
  <c r="M23" i="22"/>
  <c r="M13" i="22"/>
  <c r="M10" i="4"/>
  <c r="J20" i="4"/>
  <c r="M8" i="4"/>
  <c r="M7" i="4"/>
  <c r="J4" i="4"/>
  <c r="M25" i="4"/>
  <c r="M4" i="4"/>
  <c r="M26" i="4"/>
  <c r="A14" i="22" l="1" a="1"/>
  <c r="A14" i="22" s="1"/>
  <c r="B14" i="22" a="1"/>
  <c r="B14" i="22" s="1"/>
  <c r="A15" i="22" a="1"/>
  <c r="A15" i="22" s="1"/>
  <c r="B15" i="22" a="1"/>
  <c r="B15" i="22" s="1"/>
  <c r="A19" i="22" a="1"/>
  <c r="A19" i="22" s="1"/>
  <c r="B19" i="22" a="1"/>
  <c r="B19" i="22" s="1"/>
  <c r="A23" i="22" a="1"/>
  <c r="A23" i="22" s="1"/>
  <c r="B23" i="22" a="1"/>
  <c r="B23" i="22" s="1"/>
  <c r="A21" i="22" a="1"/>
  <c r="A21" i="22" s="1"/>
  <c r="B21" i="22" a="1"/>
  <c r="B21" i="22" s="1"/>
  <c r="A13" i="22" a="1"/>
  <c r="A13" i="22" s="1"/>
  <c r="B13" i="22" a="1"/>
  <c r="B13" i="22" s="1"/>
  <c r="B4" i="22" a="1"/>
  <c r="B4" i="22" s="1"/>
  <c r="A11" i="22" a="1"/>
  <c r="A11" i="22" s="1"/>
  <c r="B11" i="22" a="1"/>
  <c r="B11" i="22" s="1"/>
  <c r="A12" i="22" a="1"/>
  <c r="A12" i="22" s="1"/>
  <c r="B12" i="22" a="1"/>
  <c r="B12" i="22" s="1"/>
  <c r="A18" i="22" a="1"/>
  <c r="A18" i="22" s="1"/>
  <c r="B18" i="22" a="1"/>
  <c r="B18" i="22" s="1"/>
  <c r="A27" i="22" a="1"/>
  <c r="A27" i="22" s="1"/>
  <c r="B27" i="22" a="1"/>
  <c r="B27" i="22" s="1"/>
  <c r="A28" i="22" a="1"/>
  <c r="A28" i="22" s="1"/>
  <c r="B28" i="22" a="1"/>
  <c r="B28" i="22" s="1"/>
  <c r="A29" i="22" a="1"/>
  <c r="A29" i="22" s="1"/>
  <c r="B29" i="22" a="1"/>
  <c r="B29" i="22" s="1"/>
  <c r="A16" i="22" a="1"/>
  <c r="A16" i="22" s="1"/>
  <c r="B16" i="22" a="1"/>
  <c r="B16" i="22" s="1"/>
  <c r="A28" i="4" a="1"/>
  <c r="A28" i="4" s="1"/>
  <c r="B28" i="4" a="1"/>
  <c r="B28" i="4" s="1"/>
  <c r="A12" i="4" a="1"/>
  <c r="A12" i="4" s="1"/>
  <c r="B12" i="4" a="1"/>
  <c r="B12" i="4" s="1"/>
  <c r="A21" i="4" a="1"/>
  <c r="A21" i="4" s="1"/>
  <c r="B21" i="4" a="1"/>
  <c r="B21" i="4" s="1"/>
  <c r="A26" i="4" a="1"/>
  <c r="A26" i="4" s="1"/>
  <c r="B26" i="4" a="1"/>
  <c r="B26" i="4" s="1"/>
  <c r="A24" i="4" a="1"/>
  <c r="A24" i="4" s="1"/>
  <c r="B24" i="4" a="1"/>
  <c r="B24" i="4" s="1"/>
  <c r="B4" i="4" a="1"/>
  <c r="B4" i="4" s="1"/>
  <c r="A25" i="4" a="1"/>
  <c r="A25" i="4" s="1"/>
  <c r="B25" i="4" a="1"/>
  <c r="B25" i="4" s="1"/>
  <c r="A13" i="4" a="1"/>
  <c r="A13" i="4" s="1"/>
  <c r="B13" i="4" a="1"/>
  <c r="B13" i="4" s="1"/>
  <c r="A20" i="4" a="1"/>
  <c r="A20" i="4" s="1"/>
  <c r="B20" i="4" a="1"/>
  <c r="B20" i="4" s="1"/>
  <c r="A16" i="4" a="1"/>
  <c r="A16" i="4" s="1"/>
  <c r="B16" i="4" a="1"/>
  <c r="B16" i="4" s="1"/>
  <c r="V14" i="22"/>
  <c r="F14" i="22" s="1"/>
  <c r="V23" i="22"/>
  <c r="F23" i="22" s="1"/>
  <c r="J5" i="21"/>
  <c r="B5" i="21" s="1" a="1"/>
  <c r="B5" i="21" s="1"/>
  <c r="J16" i="21"/>
  <c r="B16" i="21" s="1" a="1"/>
  <c r="B16" i="21" s="1"/>
  <c r="J19" i="21"/>
  <c r="J4" i="21"/>
  <c r="J7" i="21"/>
  <c r="J21" i="21"/>
  <c r="J33" i="19"/>
  <c r="J21" i="19"/>
  <c r="J7" i="19"/>
  <c r="B7" i="19" s="1" a="1"/>
  <c r="B7" i="19" s="1"/>
  <c r="J17" i="19"/>
  <c r="J17" i="27"/>
  <c r="J7" i="27"/>
  <c r="B7" i="27" s="1" a="1"/>
  <c r="B7" i="27" s="1"/>
  <c r="J19" i="27"/>
  <c r="J6" i="27"/>
  <c r="B6" i="27" s="1" a="1"/>
  <c r="B6" i="27" s="1"/>
  <c r="J12" i="27"/>
  <c r="J4" i="27"/>
  <c r="J9" i="26"/>
  <c r="B9" i="26" s="1" a="1"/>
  <c r="B9" i="26" s="1"/>
  <c r="J8" i="26"/>
  <c r="B8" i="26" s="1" a="1"/>
  <c r="B8" i="26" s="1"/>
  <c r="J12" i="26"/>
  <c r="J11" i="26"/>
  <c r="J14" i="26"/>
  <c r="J21" i="26"/>
  <c r="J13" i="26"/>
  <c r="J10" i="26"/>
  <c r="B10" i="26" s="1" a="1"/>
  <c r="B10" i="26" s="1"/>
  <c r="V15" i="22"/>
  <c r="W15" i="22" s="1"/>
  <c r="J10" i="22"/>
  <c r="J22" i="4"/>
  <c r="V4" i="22"/>
  <c r="F4" i="22" s="1"/>
  <c r="V8" i="22"/>
  <c r="W8" i="22" s="1"/>
  <c r="F7" i="4"/>
  <c r="F4" i="4"/>
  <c r="T6" i="27"/>
  <c r="U6" i="27" s="1"/>
  <c r="F31" i="22"/>
  <c r="F20" i="4"/>
  <c r="F26" i="4"/>
  <c r="T14" i="26"/>
  <c r="F14" i="26" s="1"/>
  <c r="T13" i="26"/>
  <c r="F13" i="26" s="1"/>
  <c r="V16" i="4"/>
  <c r="F16" i="4" s="1"/>
  <c r="T17" i="19"/>
  <c r="F17" i="19" s="1"/>
  <c r="V18" i="22"/>
  <c r="X18" i="22" s="1"/>
  <c r="V28" i="4"/>
  <c r="X28" i="4" s="1"/>
  <c r="V17" i="27"/>
  <c r="U17" i="27"/>
  <c r="F17" i="27"/>
  <c r="T12" i="26"/>
  <c r="U12" i="26" s="1"/>
  <c r="T8" i="26"/>
  <c r="U8" i="26" s="1"/>
  <c r="T7" i="19"/>
  <c r="V7" i="19" s="1"/>
  <c r="V33" i="19"/>
  <c r="V22" i="4"/>
  <c r="F22" i="4" s="1"/>
  <c r="V13" i="4"/>
  <c r="F13" i="4" s="1"/>
  <c r="V21" i="4"/>
  <c r="F21" i="4" s="1"/>
  <c r="F33" i="19"/>
  <c r="V24" i="4"/>
  <c r="F24" i="4" s="1"/>
  <c r="V19" i="22"/>
  <c r="F19" i="22" s="1"/>
  <c r="V10" i="22"/>
  <c r="F10" i="22" s="1"/>
  <c r="T5" i="21"/>
  <c r="F5" i="21" s="1"/>
  <c r="T32" i="19"/>
  <c r="F32" i="19" s="1"/>
  <c r="T15" i="26"/>
  <c r="V15" i="26" s="1"/>
  <c r="V12" i="4"/>
  <c r="X12" i="4" s="1"/>
  <c r="T21" i="19"/>
  <c r="F21" i="19" s="1"/>
  <c r="T13" i="19"/>
  <c r="U13" i="19" s="1"/>
  <c r="T4" i="21"/>
  <c r="F4" i="21" s="1"/>
  <c r="T13" i="21"/>
  <c r="V13" i="21" s="1"/>
  <c r="T7" i="21"/>
  <c r="U7" i="21" s="1"/>
  <c r="T20" i="21"/>
  <c r="F20" i="21" s="1"/>
  <c r="T16" i="21"/>
  <c r="V16" i="21" s="1"/>
  <c r="T11" i="26"/>
  <c r="F11" i="26" s="1"/>
  <c r="T8" i="19"/>
  <c r="F8" i="19" s="1"/>
  <c r="U21" i="26"/>
  <c r="V21" i="26"/>
  <c r="V5" i="4"/>
  <c r="X5" i="4" s="1"/>
  <c r="V25" i="4"/>
  <c r="X25" i="4" s="1"/>
  <c r="V8" i="4"/>
  <c r="X8" i="4" s="1"/>
  <c r="V29" i="22"/>
  <c r="X29" i="22" s="1"/>
  <c r="X7" i="4"/>
  <c r="X20" i="4"/>
  <c r="W7" i="4"/>
  <c r="T19" i="21"/>
  <c r="T21" i="21"/>
  <c r="T7" i="27"/>
  <c r="T16" i="27"/>
  <c r="T12" i="27"/>
  <c r="T4" i="27"/>
  <c r="T19" i="27"/>
  <c r="F21" i="26"/>
  <c r="T10" i="26"/>
  <c r="T9" i="26"/>
  <c r="F9" i="26" s="1"/>
  <c r="V11" i="22"/>
  <c r="F11" i="22" s="1"/>
  <c r="V16" i="22"/>
  <c r="F16" i="22" s="1"/>
  <c r="V21" i="22"/>
  <c r="F21" i="22" s="1"/>
  <c r="V27" i="22"/>
  <c r="W27" i="22" s="1"/>
  <c r="V13" i="22"/>
  <c r="F13" i="22" s="1"/>
  <c r="V10" i="4"/>
  <c r="F10" i="4" s="1"/>
  <c r="V9" i="4"/>
  <c r="F9" i="4" s="1"/>
  <c r="W20" i="4"/>
  <c r="T6" i="21"/>
  <c r="T12" i="21"/>
  <c r="T10" i="27"/>
  <c r="V28" i="22"/>
  <c r="F28" i="22" s="1"/>
  <c r="W31" i="22"/>
  <c r="X31" i="22"/>
  <c r="V12" i="22"/>
  <c r="F12" i="22" s="1"/>
  <c r="W4" i="4"/>
  <c r="W26" i="4"/>
  <c r="A21" i="21" l="1" a="1"/>
  <c r="A21" i="21" s="1"/>
  <c r="B21" i="21" a="1"/>
  <c r="B21" i="21" s="1"/>
  <c r="B4" i="21" a="1"/>
  <c r="B4" i="21" s="1"/>
  <c r="A19" i="21" a="1"/>
  <c r="A19" i="21" s="1"/>
  <c r="B19" i="21" a="1"/>
  <c r="B19" i="21" s="1"/>
  <c r="A33" i="19" a="1"/>
  <c r="A33" i="19" s="1"/>
  <c r="B33" i="19" a="1"/>
  <c r="B33" i="19" s="1"/>
  <c r="B4" i="27" a="1"/>
  <c r="B4" i="27" s="1"/>
  <c r="A19" i="27" a="1"/>
  <c r="A19" i="27" s="1"/>
  <c r="B19" i="27" a="1"/>
  <c r="B19" i="27" s="1"/>
  <c r="A12" i="27" a="1"/>
  <c r="A12" i="27" s="1"/>
  <c r="B12" i="27" a="1"/>
  <c r="B12" i="27" s="1"/>
  <c r="A17" i="27" a="1"/>
  <c r="A17" i="27" s="1"/>
  <c r="B17" i="27" a="1"/>
  <c r="B17" i="27" s="1"/>
  <c r="A21" i="26" a="1"/>
  <c r="A21" i="26" s="1"/>
  <c r="B21" i="26" a="1"/>
  <c r="B21" i="26" s="1"/>
  <c r="A14" i="26" a="1"/>
  <c r="A14" i="26" s="1"/>
  <c r="B14" i="26" a="1"/>
  <c r="B14" i="26" s="1"/>
  <c r="W14" i="22"/>
  <c r="X14" i="22"/>
  <c r="A10" i="22" a="1"/>
  <c r="A10" i="22" s="1"/>
  <c r="B10" i="22" a="1"/>
  <c r="B10" i="22" s="1"/>
  <c r="F8" i="22"/>
  <c r="A22" i="4" a="1"/>
  <c r="A22" i="4" s="1"/>
  <c r="B22" i="4" a="1"/>
  <c r="B22" i="4" s="1"/>
  <c r="X15" i="22"/>
  <c r="F15" i="22"/>
  <c r="A16" i="21" a="1"/>
  <c r="A16" i="21" s="1"/>
  <c r="X23" i="22"/>
  <c r="W23" i="22"/>
  <c r="J12" i="21"/>
  <c r="J6" i="21"/>
  <c r="B6" i="21" s="1" a="1"/>
  <c r="B6" i="21" s="1"/>
  <c r="J20" i="21"/>
  <c r="J13" i="21"/>
  <c r="J13" i="19"/>
  <c r="J8" i="19"/>
  <c r="B8" i="19" s="1" a="1"/>
  <c r="B8" i="19" s="1"/>
  <c r="J32" i="19"/>
  <c r="J10" i="27"/>
  <c r="J16" i="27"/>
  <c r="J15" i="26"/>
  <c r="W4" i="22"/>
  <c r="X4" i="22"/>
  <c r="X8" i="22"/>
  <c r="F6" i="27"/>
  <c r="V6" i="27"/>
  <c r="X16" i="4"/>
  <c r="W16" i="4"/>
  <c r="F27" i="22"/>
  <c r="F29" i="22"/>
  <c r="F18" i="22"/>
  <c r="F12" i="4"/>
  <c r="F25" i="4"/>
  <c r="F8" i="4"/>
  <c r="F5" i="4"/>
  <c r="F28" i="4"/>
  <c r="U14" i="26"/>
  <c r="V14" i="26"/>
  <c r="U13" i="26"/>
  <c r="V13" i="26"/>
  <c r="W18" i="22"/>
  <c r="V17" i="19"/>
  <c r="U17" i="19"/>
  <c r="X13" i="4"/>
  <c r="W28" i="4"/>
  <c r="V20" i="21"/>
  <c r="F7" i="19"/>
  <c r="U7" i="19"/>
  <c r="W13" i="4"/>
  <c r="V8" i="26"/>
  <c r="F12" i="26"/>
  <c r="V12" i="26"/>
  <c r="F8" i="26"/>
  <c r="U15" i="26"/>
  <c r="V5" i="21"/>
  <c r="U5" i="21"/>
  <c r="F15" i="26"/>
  <c r="X10" i="22"/>
  <c r="W10" i="22"/>
  <c r="X19" i="22"/>
  <c r="W22" i="4"/>
  <c r="X22" i="4"/>
  <c r="W21" i="4"/>
  <c r="X21" i="4"/>
  <c r="U32" i="19"/>
  <c r="V32" i="19"/>
  <c r="W24" i="4"/>
  <c r="X24" i="4"/>
  <c r="W25" i="4"/>
  <c r="W19" i="22"/>
  <c r="V4" i="21"/>
  <c r="U4" i="21"/>
  <c r="U13" i="21"/>
  <c r="F13" i="21"/>
  <c r="F7" i="21"/>
  <c r="U20" i="21"/>
  <c r="V11" i="26"/>
  <c r="U11" i="26"/>
  <c r="W12" i="4"/>
  <c r="U21" i="19"/>
  <c r="V21" i="19"/>
  <c r="V13" i="19"/>
  <c r="F13" i="19"/>
  <c r="V7" i="21"/>
  <c r="F16" i="21"/>
  <c r="W5" i="4"/>
  <c r="U16" i="21"/>
  <c r="W11" i="22"/>
  <c r="W29" i="22"/>
  <c r="W8" i="4"/>
  <c r="X21" i="22"/>
  <c r="F6" i="21"/>
  <c r="U6" i="21"/>
  <c r="V6" i="21"/>
  <c r="F21" i="21"/>
  <c r="U21" i="21"/>
  <c r="V21" i="21"/>
  <c r="U19" i="21"/>
  <c r="V19" i="21"/>
  <c r="F19" i="21"/>
  <c r="F12" i="21"/>
  <c r="U12" i="21"/>
  <c r="V12" i="21"/>
  <c r="U8" i="19"/>
  <c r="V8" i="19"/>
  <c r="U7" i="27"/>
  <c r="V7" i="27"/>
  <c r="F7" i="27"/>
  <c r="F19" i="27"/>
  <c r="U19" i="27"/>
  <c r="V19" i="27"/>
  <c r="U4" i="27"/>
  <c r="V4" i="27"/>
  <c r="F12" i="27"/>
  <c r="V12" i="27"/>
  <c r="U12" i="27"/>
  <c r="U10" i="27"/>
  <c r="V10" i="27"/>
  <c r="F16" i="27"/>
  <c r="U16" i="27"/>
  <c r="V16" i="27"/>
  <c r="U9" i="26"/>
  <c r="V9" i="26"/>
  <c r="V10" i="26"/>
  <c r="U10" i="26"/>
  <c r="X11" i="22"/>
  <c r="W16" i="22"/>
  <c r="X16" i="22"/>
  <c r="W10" i="4"/>
  <c r="X10" i="4"/>
  <c r="X9" i="4"/>
  <c r="W9" i="4"/>
  <c r="F4" i="27"/>
  <c r="F10" i="26"/>
  <c r="W21" i="22"/>
  <c r="X27" i="22"/>
  <c r="X13" i="22"/>
  <c r="W13" i="22"/>
  <c r="F10" i="27"/>
  <c r="X12" i="22"/>
  <c r="W12" i="22"/>
  <c r="X28" i="22"/>
  <c r="W28" i="22"/>
  <c r="A13" i="21" l="1" a="1"/>
  <c r="A13" i="21" s="1"/>
  <c r="B13" i="21" a="1"/>
  <c r="B13" i="21" s="1"/>
  <c r="A20" i="21" a="1"/>
  <c r="A20" i="21" s="1"/>
  <c r="B20" i="21" a="1"/>
  <c r="B20" i="21" s="1"/>
  <c r="A32" i="19" a="1"/>
  <c r="A32" i="19" s="1"/>
  <c r="B32" i="19" a="1"/>
  <c r="B32" i="19" s="1"/>
  <c r="A16" i="27" a="1"/>
  <c r="A16" i="27" s="1"/>
  <c r="B16" i="27" a="1"/>
  <c r="B16" i="27" s="1"/>
  <c r="A15" i="26" a="1"/>
  <c r="A15" i="26" s="1"/>
  <c r="B15" i="26" a="1"/>
  <c r="B15" i="26" s="1"/>
  <c r="QZ9" i="27"/>
  <c r="QY9" i="27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E9" i="27"/>
  <c r="QD9" i="27"/>
  <c r="QB9" i="27"/>
  <c r="QA9" i="27"/>
  <c r="PZ9" i="27"/>
  <c r="PY9" i="27"/>
  <c r="DD9" i="27"/>
  <c r="DC9" i="27"/>
  <c r="DA9" i="27"/>
  <c r="CZ9" i="27"/>
  <c r="CY9" i="27"/>
  <c r="CX9" i="27"/>
  <c r="QZ13" i="27"/>
  <c r="QY13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E13" i="27"/>
  <c r="QD13" i="27"/>
  <c r="QB13" i="27"/>
  <c r="QA13" i="27"/>
  <c r="PZ13" i="27"/>
  <c r="PY13" i="27"/>
  <c r="DD13" i="27"/>
  <c r="DC13" i="27"/>
  <c r="DA13" i="27"/>
  <c r="CZ13" i="27"/>
  <c r="CY13" i="27"/>
  <c r="CX13" i="27"/>
  <c r="QZ16" i="26"/>
  <c r="QY16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E16" i="26"/>
  <c r="QD16" i="26"/>
  <c r="QB16" i="26"/>
  <c r="QA16" i="26"/>
  <c r="PZ16" i="26"/>
  <c r="PY16" i="26"/>
  <c r="DD16" i="26"/>
  <c r="DC16" i="26"/>
  <c r="DA16" i="26"/>
  <c r="CZ16" i="26"/>
  <c r="CY16" i="26"/>
  <c r="CX16" i="26"/>
  <c r="QZ6" i="26"/>
  <c r="QY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E6" i="26"/>
  <c r="QD6" i="26"/>
  <c r="QB6" i="26"/>
  <c r="QA6" i="26"/>
  <c r="PZ6" i="26"/>
  <c r="PY6" i="26"/>
  <c r="DD6" i="26"/>
  <c r="DC6" i="26"/>
  <c r="DA6" i="26"/>
  <c r="CZ6" i="26"/>
  <c r="CY6" i="26"/>
  <c r="CX6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RL14" i="4"/>
  <c r="RK14" i="4"/>
  <c r="RJ14" i="4"/>
  <c r="RI14" i="4"/>
  <c r="RH14" i="4"/>
  <c r="RG14" i="4"/>
  <c r="RE14" i="4"/>
  <c r="RD14" i="4"/>
  <c r="RC14" i="4"/>
  <c r="RB14" i="4"/>
  <c r="RA14" i="4"/>
  <c r="QZ14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QG4" i="19"/>
  <c r="DE5" i="26" l="1"/>
  <c r="DE16" i="26"/>
  <c r="DE6" i="26"/>
  <c r="H13" i="27"/>
  <c r="H9" i="27"/>
  <c r="QF13" i="27"/>
  <c r="QF9" i="27"/>
  <c r="QF5" i="26"/>
  <c r="QF6" i="26"/>
  <c r="QF16" i="26"/>
  <c r="I13" i="27"/>
  <c r="DE13" i="27"/>
  <c r="I9" i="27"/>
  <c r="DE9" i="27"/>
  <c r="H5" i="26"/>
  <c r="H6" i="26"/>
  <c r="H16" i="26"/>
  <c r="I5" i="26"/>
  <c r="I6" i="26"/>
  <c r="I16" i="26"/>
  <c r="QC6" i="26"/>
  <c r="QC9" i="27"/>
  <c r="RF14" i="4"/>
  <c r="RM14" i="4" s="1"/>
  <c r="RF32" i="4"/>
  <c r="RM32" i="4" s="1"/>
  <c r="JJ23" i="4"/>
  <c r="JQ23" i="4" s="1"/>
  <c r="LZ11" i="4"/>
  <c r="MG11" i="4" s="1"/>
  <c r="NH19" i="4"/>
  <c r="NO19" i="4" s="1"/>
  <c r="PX19" i="4"/>
  <c r="QE19" i="4" s="1"/>
  <c r="PX15" i="4"/>
  <c r="QE15" i="4" s="1"/>
  <c r="PX18" i="4"/>
  <c r="QE18" i="4" s="1"/>
  <c r="LZ15" i="4"/>
  <c r="MG15" i="4" s="1"/>
  <c r="LZ17" i="4"/>
  <c r="MG17" i="4" s="1"/>
  <c r="GT19" i="4"/>
  <c r="HA19" i="4" s="1"/>
  <c r="KR11" i="4"/>
  <c r="KY11" i="4" s="1"/>
  <c r="KR23" i="4"/>
  <c r="KY23" i="4" s="1"/>
  <c r="KR14" i="4"/>
  <c r="KY14" i="4" s="1"/>
  <c r="PX11" i="4"/>
  <c r="QE11" i="4" s="1"/>
  <c r="PX23" i="4"/>
  <c r="QE23" i="4" s="1"/>
  <c r="PX14" i="4"/>
  <c r="QE14" i="4" s="1"/>
  <c r="IB11" i="4"/>
  <c r="II11" i="4" s="1"/>
  <c r="FL15" i="4"/>
  <c r="FS15" i="4" s="1"/>
  <c r="FL17" i="4"/>
  <c r="FS17" i="4" s="1"/>
  <c r="RB5" i="26"/>
  <c r="KR19" i="4"/>
  <c r="KY19" i="4" s="1"/>
  <c r="KR18" i="4"/>
  <c r="KY18" i="4" s="1"/>
  <c r="IB23" i="4"/>
  <c r="II23" i="4" s="1"/>
  <c r="IB14" i="4"/>
  <c r="II14" i="4" s="1"/>
  <c r="JJ19" i="4"/>
  <c r="JQ19" i="4" s="1"/>
  <c r="JJ18" i="4"/>
  <c r="JQ18" i="4" s="1"/>
  <c r="ED15" i="4"/>
  <c r="EK15" i="4" s="1"/>
  <c r="ED17" i="4"/>
  <c r="EK17" i="4" s="1"/>
  <c r="GT11" i="4"/>
  <c r="HA11" i="4" s="1"/>
  <c r="GT32" i="4"/>
  <c r="HA32" i="4" s="1"/>
  <c r="IB18" i="4"/>
  <c r="II18" i="4" s="1"/>
  <c r="NH11" i="4"/>
  <c r="NO11" i="4" s="1"/>
  <c r="NH32" i="4"/>
  <c r="NO32" i="4" s="1"/>
  <c r="OP17" i="4"/>
  <c r="OW17" i="4" s="1"/>
  <c r="RF19" i="4"/>
  <c r="RM19" i="4" s="1"/>
  <c r="P6" i="26"/>
  <c r="Q6" i="26" s="1"/>
  <c r="QC5" i="26"/>
  <c r="RB16" i="26"/>
  <c r="DB16" i="26"/>
  <c r="QC16" i="26"/>
  <c r="FL11" i="4"/>
  <c r="FS11" i="4" s="1"/>
  <c r="FL23" i="4"/>
  <c r="FS23" i="4" s="1"/>
  <c r="FL14" i="4"/>
  <c r="FS14" i="4" s="1"/>
  <c r="LZ23" i="4"/>
  <c r="MG23" i="4" s="1"/>
  <c r="LZ14" i="4"/>
  <c r="MG14" i="4" s="1"/>
  <c r="OP19" i="4"/>
  <c r="OW19" i="4" s="1"/>
  <c r="OP11" i="4"/>
  <c r="OW11" i="4" s="1"/>
  <c r="OP23" i="4"/>
  <c r="OW23" i="4" s="1"/>
  <c r="OP32" i="4"/>
  <c r="OW32" i="4" s="1"/>
  <c r="OP14" i="4"/>
  <c r="OW14" i="4" s="1"/>
  <c r="PX17" i="4"/>
  <c r="QE17" i="4" s="1"/>
  <c r="ED11" i="4"/>
  <c r="EK11" i="4" s="1"/>
  <c r="ED23" i="4"/>
  <c r="EK23" i="4" s="1"/>
  <c r="ED32" i="4"/>
  <c r="EK32" i="4" s="1"/>
  <c r="GT17" i="4"/>
  <c r="HA17" i="4" s="1"/>
  <c r="JJ32" i="4"/>
  <c r="JQ32" i="4" s="1"/>
  <c r="NH17" i="4"/>
  <c r="NO17" i="4" s="1"/>
  <c r="RF11" i="4"/>
  <c r="RM11" i="4" s="1"/>
  <c r="RF17" i="4"/>
  <c r="RM17" i="4" s="1"/>
  <c r="JJ11" i="4"/>
  <c r="JQ11" i="4" s="1"/>
  <c r="ED14" i="4"/>
  <c r="EK14" i="4" s="1"/>
  <c r="FL32" i="4"/>
  <c r="FS32" i="4" s="1"/>
  <c r="GT23" i="4"/>
  <c r="HA23" i="4" s="1"/>
  <c r="IB17" i="4"/>
  <c r="II17" i="4" s="1"/>
  <c r="JJ15" i="4"/>
  <c r="JQ15" i="4" s="1"/>
  <c r="LZ19" i="4"/>
  <c r="MG19" i="4" s="1"/>
  <c r="LZ32" i="4"/>
  <c r="MG32" i="4" s="1"/>
  <c r="NH23" i="4"/>
  <c r="NO23" i="4" s="1"/>
  <c r="OP18" i="4"/>
  <c r="OW18" i="4" s="1"/>
  <c r="RF18" i="4"/>
  <c r="RM18" i="4" s="1"/>
  <c r="ED19" i="4"/>
  <c r="EK19" i="4" s="1"/>
  <c r="JJ17" i="4"/>
  <c r="JQ17" i="4" s="1"/>
  <c r="KR15" i="4"/>
  <c r="KY15" i="4" s="1"/>
  <c r="ED18" i="4"/>
  <c r="EK18" i="4" s="1"/>
  <c r="FL19" i="4"/>
  <c r="FS19" i="4" s="1"/>
  <c r="GT14" i="4"/>
  <c r="HA14" i="4" s="1"/>
  <c r="IB32" i="4"/>
  <c r="II32" i="4" s="1"/>
  <c r="KR17" i="4"/>
  <c r="KY17" i="4" s="1"/>
  <c r="LZ18" i="4"/>
  <c r="MG18" i="4" s="1"/>
  <c r="NH14" i="4"/>
  <c r="NO14" i="4" s="1"/>
  <c r="RF15" i="4"/>
  <c r="RM15" i="4" s="1"/>
  <c r="FL18" i="4"/>
  <c r="FS18" i="4" s="1"/>
  <c r="GT18" i="4"/>
  <c r="HA18" i="4" s="1"/>
  <c r="IB19" i="4"/>
  <c r="II19" i="4" s="1"/>
  <c r="IB15" i="4"/>
  <c r="II15" i="4" s="1"/>
  <c r="JJ14" i="4"/>
  <c r="JQ14" i="4" s="1"/>
  <c r="KR32" i="4"/>
  <c r="KY32" i="4" s="1"/>
  <c r="NH18" i="4"/>
  <c r="NO18" i="4" s="1"/>
  <c r="OP15" i="4"/>
  <c r="OW15" i="4" s="1"/>
  <c r="PX32" i="4"/>
  <c r="QE32" i="4" s="1"/>
  <c r="RF23" i="4"/>
  <c r="RM23" i="4" s="1"/>
  <c r="GT15" i="4"/>
  <c r="HA15" i="4" s="1"/>
  <c r="NH15" i="4"/>
  <c r="NO15" i="4" s="1"/>
  <c r="P9" i="27"/>
  <c r="Q9" i="27" s="1"/>
  <c r="R13" i="27"/>
  <c r="S13" i="27" s="1"/>
  <c r="RB9" i="27"/>
  <c r="RG9" i="27"/>
  <c r="R9" i="27"/>
  <c r="S9" i="27" s="1"/>
  <c r="RD9" i="27"/>
  <c r="P13" i="27"/>
  <c r="DG13" i="27" s="1"/>
  <c r="L13" i="27"/>
  <c r="M13" i="27" s="1"/>
  <c r="RC13" i="27"/>
  <c r="RD13" i="27"/>
  <c r="L9" i="27"/>
  <c r="M9" i="27" s="1"/>
  <c r="RE13" i="27"/>
  <c r="RG13" i="27"/>
  <c r="RD5" i="26"/>
  <c r="RD6" i="26"/>
  <c r="R5" i="26"/>
  <c r="S5" i="26" s="1"/>
  <c r="RD16" i="26"/>
  <c r="P16" i="26"/>
  <c r="DG16" i="26" s="1"/>
  <c r="RC5" i="26"/>
  <c r="R16" i="26"/>
  <c r="S16" i="26" s="1"/>
  <c r="RC16" i="26"/>
  <c r="RH16" i="26"/>
  <c r="RE16" i="26"/>
  <c r="RG16" i="26"/>
  <c r="R6" i="26"/>
  <c r="S6" i="26" s="1"/>
  <c r="RB6" i="26"/>
  <c r="RG6" i="26"/>
  <c r="P5" i="26"/>
  <c r="Q5" i="26" s="1"/>
  <c r="RE5" i="26"/>
  <c r="DB6" i="26"/>
  <c r="DB13" i="27"/>
  <c r="RC9" i="27"/>
  <c r="N9" i="27"/>
  <c r="RE9" i="27"/>
  <c r="DB9" i="27"/>
  <c r="N13" i="27"/>
  <c r="RH13" i="27"/>
  <c r="RB13" i="27"/>
  <c r="QC13" i="27"/>
  <c r="RH9" i="27"/>
  <c r="RC6" i="26"/>
  <c r="N5" i="26"/>
  <c r="L5" i="26"/>
  <c r="L6" i="26"/>
  <c r="DB5" i="26"/>
  <c r="L16" i="26"/>
  <c r="RH5" i="26"/>
  <c r="RG5" i="26"/>
  <c r="N6" i="26"/>
  <c r="RE6" i="26"/>
  <c r="RH6" i="26"/>
  <c r="N16" i="26"/>
  <c r="RI13" i="27" l="1"/>
  <c r="RI5" i="26"/>
  <c r="RI9" i="27"/>
  <c r="RI6" i="26"/>
  <c r="RI16" i="26"/>
  <c r="DG6" i="26"/>
  <c r="K6" i="26"/>
  <c r="Q13" i="27"/>
  <c r="RF5" i="26"/>
  <c r="Q16" i="26"/>
  <c r="DH5" i="26"/>
  <c r="DG9" i="27"/>
  <c r="DH9" i="27"/>
  <c r="RF13" i="27"/>
  <c r="DH13" i="27"/>
  <c r="K9" i="27"/>
  <c r="K13" i="27"/>
  <c r="RF16" i="26"/>
  <c r="DG5" i="26"/>
  <c r="DH6" i="26"/>
  <c r="K5" i="26"/>
  <c r="DH16" i="26"/>
  <c r="DF9" i="27"/>
  <c r="O9" i="27"/>
  <c r="RF9" i="27"/>
  <c r="DF13" i="27"/>
  <c r="O13" i="27"/>
  <c r="O16" i="26"/>
  <c r="DF16" i="26"/>
  <c r="O6" i="26"/>
  <c r="DF6" i="26"/>
  <c r="M6" i="26"/>
  <c r="RF6" i="26"/>
  <c r="M16" i="26"/>
  <c r="DF5" i="26"/>
  <c r="O5" i="26"/>
  <c r="K16" i="26"/>
  <c r="M5" i="26"/>
  <c r="J13" i="27" l="1"/>
  <c r="J9" i="27"/>
  <c r="T13" i="27"/>
  <c r="T9" i="27"/>
  <c r="T5" i="26"/>
  <c r="F5" i="26" s="1"/>
  <c r="T6" i="26"/>
  <c r="T16" i="26"/>
  <c r="J6" i="26" l="1"/>
  <c r="B6" i="26" s="1" a="1"/>
  <c r="B6" i="26" s="1"/>
  <c r="J5" i="26"/>
  <c r="J16" i="26"/>
  <c r="F13" i="27"/>
  <c r="U13" i="27"/>
  <c r="V13" i="27"/>
  <c r="F9" i="27"/>
  <c r="B9" i="27" s="1" a="1"/>
  <c r="B9" i="27" s="1"/>
  <c r="U9" i="27"/>
  <c r="V9" i="27"/>
  <c r="U16" i="26"/>
  <c r="V16" i="26"/>
  <c r="F6" i="26"/>
  <c r="U6" i="26"/>
  <c r="V6" i="26"/>
  <c r="U5" i="26"/>
  <c r="V5" i="26"/>
  <c r="F16" i="26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B8" i="27" l="1" a="1"/>
  <c r="B8" i="27" s="1"/>
  <c r="B10" i="27" a="1"/>
  <c r="B10" i="27" s="1"/>
  <c r="B11" i="27" a="1"/>
  <c r="B11" i="27" s="1"/>
  <c r="B13" i="27" a="1"/>
  <c r="B13" i="27" s="1"/>
  <c r="A16" i="26" a="1"/>
  <c r="A16" i="26" s="1"/>
  <c r="B16" i="26" a="1"/>
  <c r="B16" i="26" s="1"/>
  <c r="B5" i="26" a="1"/>
  <c r="B5" i="26" s="1"/>
  <c r="B11" i="26" a="1"/>
  <c r="B11" i="26" s="1"/>
  <c r="B12" i="26" a="1"/>
  <c r="B12" i="26" s="1"/>
  <c r="B13" i="26" a="1"/>
  <c r="B13" i="26" s="1"/>
  <c r="QF25" i="21"/>
  <c r="QF20" i="19"/>
  <c r="DE25" i="21"/>
  <c r="DE20" i="19"/>
  <c r="A10" i="27" a="1"/>
  <c r="A10" i="27" s="1"/>
  <c r="A13" i="27" a="1"/>
  <c r="A13" i="27" s="1"/>
  <c r="I25" i="21"/>
  <c r="H25" i="21"/>
  <c r="I20" i="19"/>
  <c r="H20" i="19"/>
  <c r="A6" i="27" a="1"/>
  <c r="A6" i="27" s="1"/>
  <c r="A11" i="27" a="1"/>
  <c r="A11" i="27" s="1"/>
  <c r="A4" i="27" a="1"/>
  <c r="A4" i="27" s="1"/>
  <c r="A5" i="27" a="1"/>
  <c r="A5" i="27" s="1"/>
  <c r="A9" i="27" a="1"/>
  <c r="A9" i="27" s="1"/>
  <c r="A7" i="27" a="1"/>
  <c r="A7" i="27" s="1"/>
  <c r="A8" i="27" a="1"/>
  <c r="A8" i="27" s="1"/>
  <c r="A6" i="26" a="1"/>
  <c r="A6" i="26" s="1"/>
  <c r="A5" i="26" a="1"/>
  <c r="A5" i="26" s="1"/>
  <c r="A7" i="26" a="1"/>
  <c r="A7" i="26" s="1"/>
  <c r="A4" i="26" a="1"/>
  <c r="A4" i="26" s="1"/>
  <c r="A11" i="26" a="1"/>
  <c r="A11" i="26" s="1"/>
  <c r="A9" i="26" a="1"/>
  <c r="A9" i="26" s="1"/>
  <c r="A8" i="26" a="1"/>
  <c r="A8" i="26" s="1"/>
  <c r="A13" i="26" a="1"/>
  <c r="A13" i="26" s="1"/>
  <c r="A10" i="26" a="1"/>
  <c r="A10" i="26" s="1"/>
  <c r="A12" i="26" a="1"/>
  <c r="A12" i="26" s="1"/>
  <c r="RG25" i="21"/>
  <c r="QC20" i="19"/>
  <c r="RB20" i="19"/>
  <c r="R20" i="19"/>
  <c r="P20" i="19"/>
  <c r="DG20" i="19" s="1"/>
  <c r="RG20" i="19"/>
  <c r="DB20" i="19"/>
  <c r="RD20" i="19"/>
  <c r="RH20" i="19"/>
  <c r="RC20" i="19"/>
  <c r="N20" i="19"/>
  <c r="L20" i="19"/>
  <c r="RE20" i="19"/>
  <c r="R25" i="21"/>
  <c r="QC25" i="21"/>
  <c r="P25" i="21"/>
  <c r="DG25" i="21" s="1"/>
  <c r="RC25" i="21"/>
  <c r="RD25" i="21"/>
  <c r="RB25" i="21"/>
  <c r="RH25" i="21"/>
  <c r="N25" i="21"/>
  <c r="DB25" i="21"/>
  <c r="L25" i="21"/>
  <c r="RE25" i="21"/>
  <c r="D16" i="11" l="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20" i="19"/>
  <c r="RI25" i="21"/>
  <c r="S25" i="21"/>
  <c r="DH25" i="21"/>
  <c r="O25" i="21"/>
  <c r="DF25" i="21"/>
  <c r="O20" i="19"/>
  <c r="DF20" i="19"/>
  <c r="S20" i="19"/>
  <c r="DH20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25" i="21"/>
  <c r="Q20" i="19"/>
  <c r="K20" i="19"/>
  <c r="RF20" i="19"/>
  <c r="M20" i="19"/>
  <c r="RF25" i="21"/>
  <c r="K25" i="21"/>
  <c r="M25" i="21"/>
  <c r="J20" i="19" l="1"/>
  <c r="T20" i="19"/>
  <c r="T25" i="21"/>
  <c r="J25" i="21" l="1"/>
  <c r="F25" i="21"/>
  <c r="U25" i="21"/>
  <c r="V25" i="21"/>
  <c r="V20" i="19"/>
  <c r="U20" i="19"/>
  <c r="F20" i="19"/>
  <c r="A25" i="21" l="1" a="1"/>
  <c r="A25" i="21" s="1"/>
  <c r="B25" i="21" a="1"/>
  <c r="B25" i="21" s="1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QF22" i="19" l="1"/>
  <c r="QF11" i="19"/>
  <c r="QF12" i="19"/>
  <c r="QF15" i="19"/>
  <c r="DE22" i="19"/>
  <c r="DE11" i="19"/>
  <c r="DE15" i="19"/>
  <c r="DE12" i="19"/>
  <c r="I22" i="19"/>
  <c r="I11" i="19"/>
  <c r="I12" i="19"/>
  <c r="I15" i="19"/>
  <c r="H22" i="19"/>
  <c r="H11" i="19"/>
  <c r="H12" i="19"/>
  <c r="H15" i="19"/>
  <c r="DB12" i="19"/>
  <c r="RG15" i="19"/>
  <c r="RB15" i="19"/>
  <c r="R15" i="19"/>
  <c r="QC15" i="19"/>
  <c r="DB15" i="19"/>
  <c r="P15" i="19"/>
  <c r="DG15" i="19" s="1"/>
  <c r="RD15" i="19"/>
  <c r="RC15" i="19"/>
  <c r="RH15" i="19"/>
  <c r="N15" i="19"/>
  <c r="L15" i="19"/>
  <c r="RE15" i="19"/>
  <c r="RB12" i="19"/>
  <c r="RG11" i="19"/>
  <c r="QC12" i="19"/>
  <c r="RD12" i="19"/>
  <c r="RC12" i="19"/>
  <c r="R12" i="19"/>
  <c r="DH12" i="19" s="1"/>
  <c r="RH12" i="19"/>
  <c r="P12" i="19"/>
  <c r="DG12" i="19" s="1"/>
  <c r="RG12" i="19"/>
  <c r="N12" i="19"/>
  <c r="DF12" i="19" s="1"/>
  <c r="L12" i="19"/>
  <c r="RE12" i="19"/>
  <c r="RB11" i="19"/>
  <c r="QC11" i="19"/>
  <c r="R11" i="19"/>
  <c r="DH11" i="19" s="1"/>
  <c r="P11" i="19"/>
  <c r="DG11" i="19" s="1"/>
  <c r="DB11" i="19"/>
  <c r="RC11" i="19"/>
  <c r="RD11" i="19"/>
  <c r="RH11" i="19"/>
  <c r="N11" i="19"/>
  <c r="DF11" i="19" s="1"/>
  <c r="L11" i="19"/>
  <c r="M11" i="19" s="1"/>
  <c r="RE11" i="19"/>
  <c r="RG22" i="19"/>
  <c r="QC22" i="19"/>
  <c r="RC22" i="19"/>
  <c r="P22" i="19"/>
  <c r="DG22" i="19" s="1"/>
  <c r="DB22" i="19"/>
  <c r="RB22" i="19"/>
  <c r="R22" i="19"/>
  <c r="DH22" i="19" s="1"/>
  <c r="RD22" i="19"/>
  <c r="RH22" i="19"/>
  <c r="N22" i="19"/>
  <c r="DF22" i="19" s="1"/>
  <c r="L22" i="19"/>
  <c r="RE22" i="19"/>
  <c r="RI15" i="19" l="1"/>
  <c r="RI12" i="19"/>
  <c r="RI22" i="19"/>
  <c r="RI11" i="19"/>
  <c r="S15" i="19"/>
  <c r="DH15" i="19"/>
  <c r="O15" i="19"/>
  <c r="DF15" i="19"/>
  <c r="Q12" i="19"/>
  <c r="Q15" i="19"/>
  <c r="Q22" i="19"/>
  <c r="T22" i="19"/>
  <c r="Q11" i="19"/>
  <c r="T11" i="19"/>
  <c r="RF12" i="19"/>
  <c r="K12" i="19"/>
  <c r="K15" i="19"/>
  <c r="S11" i="19"/>
  <c r="RF22" i="19"/>
  <c r="RF15" i="19"/>
  <c r="M15" i="19"/>
  <c r="S12" i="19"/>
  <c r="O12" i="19"/>
  <c r="T12" i="19"/>
  <c r="M12" i="19"/>
  <c r="S22" i="19"/>
  <c r="K11" i="19"/>
  <c r="RF11" i="19"/>
  <c r="O11" i="19"/>
  <c r="K22" i="19"/>
  <c r="O22" i="19"/>
  <c r="M22" i="19"/>
  <c r="J22" i="19" l="1"/>
  <c r="V12" i="19"/>
  <c r="U12" i="19"/>
  <c r="U22" i="19"/>
  <c r="V22" i="19"/>
  <c r="V11" i="19"/>
  <c r="U11" i="19"/>
  <c r="T15" i="19"/>
  <c r="F12" i="19"/>
  <c r="F11" i="19"/>
  <c r="F22" i="19"/>
  <c r="J11" i="19" l="1"/>
  <c r="J12" i="19"/>
  <c r="J15" i="19"/>
  <c r="V15" i="19"/>
  <c r="U15" i="19"/>
  <c r="F15" i="19"/>
  <c r="CX17" i="21" l="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39" i="19"/>
  <c r="CY39" i="19"/>
  <c r="CZ39" i="19"/>
  <c r="DA39" i="19"/>
  <c r="DC39" i="19"/>
  <c r="DD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QF17" i="21" l="1"/>
  <c r="QF39" i="19"/>
  <c r="DE17" i="21"/>
  <c r="DE39" i="19"/>
  <c r="I17" i="21"/>
  <c r="H17" i="21"/>
  <c r="I39" i="19"/>
  <c r="H39" i="19"/>
  <c r="R17" i="21"/>
  <c r="DH17" i="21" s="1"/>
  <c r="QC39" i="19"/>
  <c r="RG17" i="21"/>
  <c r="RB17" i="21"/>
  <c r="QC17" i="21"/>
  <c r="DB17" i="21"/>
  <c r="RD17" i="21"/>
  <c r="RC17" i="21"/>
  <c r="P17" i="21"/>
  <c r="DG17" i="21" s="1"/>
  <c r="RH17" i="21"/>
  <c r="N17" i="21"/>
  <c r="L17" i="21"/>
  <c r="RE17" i="21"/>
  <c r="RB39" i="19"/>
  <c r="RG39" i="19"/>
  <c r="R39" i="19"/>
  <c r="DB39" i="19"/>
  <c r="RD39" i="19"/>
  <c r="RC39" i="19"/>
  <c r="RH39" i="19"/>
  <c r="P39" i="19"/>
  <c r="DG39" i="19" s="1"/>
  <c r="N39" i="19"/>
  <c r="L39" i="19"/>
  <c r="M39" i="19" s="1"/>
  <c r="RE39" i="19"/>
  <c r="RI17" i="21" l="1"/>
  <c r="RI39" i="19"/>
  <c r="O17" i="21"/>
  <c r="DF17" i="21"/>
  <c r="S39" i="19"/>
  <c r="DH39" i="19"/>
  <c r="O39" i="19"/>
  <c r="DF39" i="19"/>
  <c r="M17" i="21"/>
  <c r="Q17" i="21"/>
  <c r="Q39" i="19"/>
  <c r="RF39" i="19"/>
  <c r="K17" i="21"/>
  <c r="S17" i="21"/>
  <c r="RF17" i="21"/>
  <c r="K39" i="19"/>
  <c r="T17" i="21" l="1"/>
  <c r="T39" i="19"/>
  <c r="J17" i="21" l="1"/>
  <c r="J39" i="19"/>
  <c r="U17" i="21"/>
  <c r="V17" i="21"/>
  <c r="V39" i="19"/>
  <c r="U39" i="19"/>
  <c r="F17" i="21"/>
  <c r="F39" i="19"/>
  <c r="A17" i="21" l="1" a="1"/>
  <c r="A17" i="21" s="1"/>
  <c r="B17" i="21" a="1"/>
  <c r="B17" i="21" s="1"/>
  <c r="A39" i="19" a="1"/>
  <c r="A39" i="19" s="1"/>
  <c r="B39" i="19" a="1"/>
  <c r="B39" i="19" s="1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F28" i="19" l="1"/>
  <c r="DE28" i="19"/>
  <c r="H28" i="19"/>
  <c r="I28" i="19"/>
  <c r="H6" i="22"/>
  <c r="I6" i="22"/>
  <c r="P6" i="22"/>
  <c r="Q6" i="22" s="1"/>
  <c r="T6" i="22"/>
  <c r="U6" i="22" s="1"/>
  <c r="R6" i="22"/>
  <c r="S6" i="22" s="1"/>
  <c r="CW6" i="22"/>
  <c r="DA6" i="22" s="1"/>
  <c r="SN6" i="22"/>
  <c r="SU6" i="22" s="1"/>
  <c r="TQ6" i="22"/>
  <c r="TU6" i="22"/>
  <c r="L6" i="22"/>
  <c r="TN6" i="22"/>
  <c r="K6" i="22"/>
  <c r="N6" i="22"/>
  <c r="QC28" i="19"/>
  <c r="DB28" i="19"/>
  <c r="R28" i="19"/>
  <c r="DH28" i="19" s="1"/>
  <c r="RD28" i="19"/>
  <c r="RH28" i="19"/>
  <c r="RG28" i="19"/>
  <c r="P28" i="19"/>
  <c r="DG28" i="19" s="1"/>
  <c r="N28" i="19"/>
  <c r="DF28" i="19" s="1"/>
  <c r="RC28" i="19"/>
  <c r="RB28" i="19"/>
  <c r="L28" i="19"/>
  <c r="M28" i="19" s="1"/>
  <c r="RE28" i="19"/>
  <c r="RI28" i="19" l="1"/>
  <c r="M6" i="22"/>
  <c r="DB6" i="22"/>
  <c r="DC6" i="22"/>
  <c r="Q28" i="19"/>
  <c r="TR6" i="22"/>
  <c r="TV6" i="22" s="1"/>
  <c r="O6" i="22"/>
  <c r="S28" i="19"/>
  <c r="O28" i="19"/>
  <c r="RF28" i="19"/>
  <c r="K28" i="19"/>
  <c r="J6" i="22" l="1"/>
  <c r="V6" i="22"/>
  <c r="F6" i="22" s="1"/>
  <c r="T28" i="19"/>
  <c r="A4" i="22" l="1" a="1"/>
  <c r="A4" i="22" s="1"/>
  <c r="B6" i="22" a="1"/>
  <c r="B6" i="22" s="1"/>
  <c r="B7" i="22" a="1"/>
  <c r="B7" i="22" s="1"/>
  <c r="B20" i="22" a="1"/>
  <c r="B20" i="22" s="1"/>
  <c r="B8" i="22" a="1"/>
  <c r="B8" i="22" s="1"/>
  <c r="A20" i="22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J28" i="19"/>
  <c r="W6" i="22"/>
  <c r="X6" i="22"/>
  <c r="U28" i="19"/>
  <c r="V28" i="19"/>
  <c r="F28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A28" i="19" l="1" a="1"/>
  <c r="A28" i="19" s="1"/>
  <c r="B28" i="19" a="1"/>
  <c r="B28" i="19" s="1"/>
  <c r="D9" i="11"/>
  <c r="C6" i="11"/>
  <c r="D8" i="11"/>
  <c r="C7" i="11"/>
  <c r="C9" i="11"/>
  <c r="C8" i="11"/>
  <c r="D6" i="11"/>
  <c r="D7" i="11"/>
  <c r="QF29" i="19"/>
  <c r="DE29" i="19"/>
  <c r="H29" i="19"/>
  <c r="I29" i="19"/>
  <c r="QC29" i="19"/>
  <c r="P29" i="19"/>
  <c r="DG29" i="19" s="1"/>
  <c r="RG29" i="19"/>
  <c r="DB29" i="19"/>
  <c r="N29" i="19"/>
  <c r="DF29" i="19" s="1"/>
  <c r="RH29" i="19"/>
  <c r="RD29" i="19"/>
  <c r="RC29" i="19"/>
  <c r="RB29" i="19"/>
  <c r="R29" i="19"/>
  <c r="DH29" i="19" s="1"/>
  <c r="L29" i="19"/>
  <c r="M29" i="19" s="1"/>
  <c r="RE29" i="19"/>
  <c r="RI29" i="19" l="1"/>
  <c r="Q29" i="19"/>
  <c r="G6" i="11"/>
  <c r="F6" i="11"/>
  <c r="G7" i="11"/>
  <c r="F7" i="11"/>
  <c r="G8" i="11"/>
  <c r="F8" i="11"/>
  <c r="G9" i="11"/>
  <c r="F9" i="11"/>
  <c r="O29" i="19"/>
  <c r="S29" i="19"/>
  <c r="K29" i="19"/>
  <c r="RF29" i="19"/>
  <c r="T29" i="19" l="1"/>
  <c r="J29" i="19" l="1"/>
  <c r="U29" i="19"/>
  <c r="V29" i="19"/>
  <c r="F29" i="19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A29" i="19" l="1" a="1"/>
  <c r="A29" i="19" s="1"/>
  <c r="B29" i="19" a="1"/>
  <c r="B29" i="19" s="1"/>
  <c r="I17" i="4"/>
  <c r="H17" i="4"/>
  <c r="T17" i="4"/>
  <c r="U17" i="4" s="1"/>
  <c r="P17" i="4"/>
  <c r="R17" i="4"/>
  <c r="S17" i="4" s="1"/>
  <c r="SN17" i="4"/>
  <c r="SU17" i="4" s="1"/>
  <c r="CW17" i="4"/>
  <c r="DA17" i="4" s="1"/>
  <c r="TQ17" i="4"/>
  <c r="TU17" i="4"/>
  <c r="N17" i="4"/>
  <c r="L17" i="4"/>
  <c r="K17" i="4"/>
  <c r="TN17" i="4"/>
  <c r="DB17" i="4" l="1"/>
  <c r="DC17" i="4"/>
  <c r="Q17" i="4"/>
  <c r="O17" i="4"/>
  <c r="TR17" i="4"/>
  <c r="TV17" i="4" s="1"/>
  <c r="M17" i="4"/>
  <c r="J17" i="4" l="1"/>
  <c r="V17" i="4"/>
  <c r="X17" i="4" s="1"/>
  <c r="A17" i="4" l="1" a="1"/>
  <c r="A17" i="4" s="1"/>
  <c r="B17" i="4" a="1"/>
  <c r="B17" i="4" s="1"/>
  <c r="F17" i="4"/>
  <c r="W17" i="4"/>
  <c r="QZ15" i="21"/>
  <c r="QY15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E15" i="21"/>
  <c r="QD15" i="21"/>
  <c r="QB15" i="21"/>
  <c r="QA15" i="21"/>
  <c r="PZ15" i="21"/>
  <c r="PY15" i="21"/>
  <c r="DD15" i="21"/>
  <c r="DC15" i="21"/>
  <c r="DA15" i="21"/>
  <c r="CZ15" i="21"/>
  <c r="CY15" i="21"/>
  <c r="CX15" i="21"/>
  <c r="QZ26" i="21"/>
  <c r="QY26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E26" i="21"/>
  <c r="QD26" i="21"/>
  <c r="QB26" i="21"/>
  <c r="QA26" i="21"/>
  <c r="PZ26" i="21"/>
  <c r="PY26" i="21"/>
  <c r="DD26" i="21"/>
  <c r="DC26" i="21"/>
  <c r="DA26" i="21"/>
  <c r="CZ26" i="21"/>
  <c r="CY26" i="21"/>
  <c r="CX26" i="21"/>
  <c r="QZ24" i="21"/>
  <c r="QY24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E24" i="21"/>
  <c r="QD24" i="21"/>
  <c r="QB24" i="21"/>
  <c r="QA24" i="21"/>
  <c r="PZ24" i="21"/>
  <c r="PY24" i="21"/>
  <c r="DD24" i="21"/>
  <c r="DC24" i="21"/>
  <c r="DA24" i="21"/>
  <c r="CZ24" i="21"/>
  <c r="CY24" i="21"/>
  <c r="CX24" i="21"/>
  <c r="QB24" i="19"/>
  <c r="QB26" i="19"/>
  <c r="QB25" i="19"/>
  <c r="QB9" i="19"/>
  <c r="QB38" i="19"/>
  <c r="QB14" i="19"/>
  <c r="QB36" i="19"/>
  <c r="QB5" i="19"/>
  <c r="QB10" i="19"/>
  <c r="QB4" i="19"/>
  <c r="QB6" i="19"/>
  <c r="DA24" i="19"/>
  <c r="DA26" i="19"/>
  <c r="DA25" i="19"/>
  <c r="DA9" i="19"/>
  <c r="DA38" i="19"/>
  <c r="DA14" i="19"/>
  <c r="DA36" i="19"/>
  <c r="DA5" i="19"/>
  <c r="DA10" i="19"/>
  <c r="DA4" i="19"/>
  <c r="DA6" i="19"/>
  <c r="QA4" i="19"/>
  <c r="QA10" i="19"/>
  <c r="QA5" i="19"/>
  <c r="QA36" i="19"/>
  <c r="QA14" i="19"/>
  <c r="QA38" i="19"/>
  <c r="QA9" i="19"/>
  <c r="QA25" i="19"/>
  <c r="QA26" i="19"/>
  <c r="QA24" i="19"/>
  <c r="QA6" i="19"/>
  <c r="CZ6" i="19"/>
  <c r="CZ4" i="19"/>
  <c r="CZ10" i="19"/>
  <c r="CZ5" i="19"/>
  <c r="CZ36" i="19"/>
  <c r="CZ14" i="19"/>
  <c r="CZ38" i="19"/>
  <c r="CZ9" i="19"/>
  <c r="CZ25" i="19"/>
  <c r="CZ26" i="19"/>
  <c r="CZ24" i="19"/>
  <c r="CX36" i="19"/>
  <c r="CY36" i="19"/>
  <c r="DC36" i="19"/>
  <c r="DD36" i="19"/>
  <c r="PY36" i="19"/>
  <c r="PZ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CX14" i="19"/>
  <c r="CY14" i="19"/>
  <c r="DC14" i="19"/>
  <c r="DD14" i="19"/>
  <c r="PY14" i="19"/>
  <c r="PZ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38" i="19"/>
  <c r="CY38" i="19"/>
  <c r="DC38" i="19"/>
  <c r="DD38" i="19"/>
  <c r="PY38" i="19"/>
  <c r="PZ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CX9" i="19"/>
  <c r="CY9" i="19"/>
  <c r="DC9" i="19"/>
  <c r="DD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25" i="19"/>
  <c r="CY25" i="19"/>
  <c r="DC25" i="19"/>
  <c r="DD25" i="19"/>
  <c r="PY25" i="19"/>
  <c r="PZ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26" i="19"/>
  <c r="CY26" i="19"/>
  <c r="DC26" i="19"/>
  <c r="DD26" i="19"/>
  <c r="PY26" i="19"/>
  <c r="PZ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10" i="19"/>
  <c r="QY10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E10" i="19"/>
  <c r="QD10" i="19"/>
  <c r="PZ10" i="19"/>
  <c r="PY10" i="19"/>
  <c r="DD10" i="19"/>
  <c r="DC10" i="19"/>
  <c r="CY10" i="19"/>
  <c r="CX10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6" i="19"/>
  <c r="QY6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E6" i="19"/>
  <c r="QD6" i="19"/>
  <c r="PZ6" i="19"/>
  <c r="PY6" i="19"/>
  <c r="DD6" i="19"/>
  <c r="DC6" i="19"/>
  <c r="CY6" i="19"/>
  <c r="CX6" i="19"/>
  <c r="DE24" i="19" l="1"/>
  <c r="QF26" i="19"/>
  <c r="QF9" i="19"/>
  <c r="DE38" i="19"/>
  <c r="QF4" i="19"/>
  <c r="QF6" i="19"/>
  <c r="DE36" i="19"/>
  <c r="DE4" i="19"/>
  <c r="QF24" i="19"/>
  <c r="QF36" i="19"/>
  <c r="QF24" i="21"/>
  <c r="QF26" i="21"/>
  <c r="QF15" i="21"/>
  <c r="QF10" i="19"/>
  <c r="DE5" i="19"/>
  <c r="QF25" i="19"/>
  <c r="QF14" i="19"/>
  <c r="QC38" i="19"/>
  <c r="QF38" i="19"/>
  <c r="QF5" i="19"/>
  <c r="DE24" i="21"/>
  <c r="DE26" i="21"/>
  <c r="DE15" i="21"/>
  <c r="DE25" i="19"/>
  <c r="I6" i="19"/>
  <c r="DE6" i="19"/>
  <c r="I26" i="19"/>
  <c r="DE26" i="19"/>
  <c r="I9" i="19"/>
  <c r="DE9" i="19"/>
  <c r="DE14" i="19"/>
  <c r="DE10" i="19"/>
  <c r="I14" i="19"/>
  <c r="I5" i="19"/>
  <c r="H4" i="19"/>
  <c r="H24" i="21"/>
  <c r="H26" i="21"/>
  <c r="H15" i="21"/>
  <c r="I24" i="21"/>
  <c r="I26" i="21"/>
  <c r="I15" i="21"/>
  <c r="I4" i="19"/>
  <c r="H26" i="19"/>
  <c r="H9" i="19"/>
  <c r="H14" i="19"/>
  <c r="H5" i="19"/>
  <c r="I24" i="19"/>
  <c r="I25" i="19"/>
  <c r="I38" i="19"/>
  <c r="I36" i="19"/>
  <c r="H24" i="19"/>
  <c r="H25" i="19"/>
  <c r="H38" i="19"/>
  <c r="H36" i="19"/>
  <c r="H10" i="19"/>
  <c r="H6" i="19"/>
  <c r="I10" i="19"/>
  <c r="QC25" i="19"/>
  <c r="DB5" i="19"/>
  <c r="DB14" i="19"/>
  <c r="QC14" i="19"/>
  <c r="QC9" i="19"/>
  <c r="QC24" i="19"/>
  <c r="DB26" i="19"/>
  <c r="DB4" i="19"/>
  <c r="QC4" i="19"/>
  <c r="QC10" i="19"/>
  <c r="QC36" i="19"/>
  <c r="QC6" i="19"/>
  <c r="DB36" i="19"/>
  <c r="R15" i="21"/>
  <c r="DH15" i="21" s="1"/>
  <c r="QC26" i="19"/>
  <c r="DB15" i="21"/>
  <c r="DB38" i="19"/>
  <c r="QC15" i="21"/>
  <c r="RE26" i="21"/>
  <c r="N15" i="21"/>
  <c r="DF15" i="21" s="1"/>
  <c r="R26" i="21"/>
  <c r="DH26" i="21" s="1"/>
  <c r="DB24" i="19"/>
  <c r="DB10" i="19"/>
  <c r="QC5" i="19"/>
  <c r="R24" i="21"/>
  <c r="DH24" i="21" s="1"/>
  <c r="DB24" i="21"/>
  <c r="RE15" i="21"/>
  <c r="RG26" i="21"/>
  <c r="RC26" i="21"/>
  <c r="RD26" i="21"/>
  <c r="RH26" i="21"/>
  <c r="RH15" i="21"/>
  <c r="P15" i="21"/>
  <c r="DG15" i="21" s="1"/>
  <c r="RB15" i="21"/>
  <c r="RG15" i="21"/>
  <c r="N24" i="21"/>
  <c r="DF24" i="21" s="1"/>
  <c r="RE24" i="21"/>
  <c r="RG24" i="21"/>
  <c r="DB26" i="21"/>
  <c r="P24" i="21"/>
  <c r="DG24" i="21" s="1"/>
  <c r="RD24" i="21"/>
  <c r="RD15" i="21"/>
  <c r="RH24" i="21"/>
  <c r="RE6" i="19"/>
  <c r="RE5" i="19"/>
  <c r="DB25" i="19"/>
  <c r="RE36" i="19"/>
  <c r="DB9" i="19"/>
  <c r="RE14" i="19"/>
  <c r="RE4" i="19"/>
  <c r="RE24" i="19"/>
  <c r="RE26" i="19"/>
  <c r="RE10" i="19"/>
  <c r="RE25" i="19"/>
  <c r="RE9" i="19"/>
  <c r="DB6" i="19"/>
  <c r="RE38" i="19"/>
  <c r="RC24" i="21"/>
  <c r="L24" i="21"/>
  <c r="L26" i="21"/>
  <c r="N26" i="21"/>
  <c r="DF26" i="21" s="1"/>
  <c r="RC15" i="21"/>
  <c r="QC24" i="21"/>
  <c r="RB24" i="21"/>
  <c r="QC26" i="21"/>
  <c r="RB26" i="21"/>
  <c r="L15" i="21"/>
  <c r="P26" i="21"/>
  <c r="DG26" i="21" s="1"/>
  <c r="L6" i="19"/>
  <c r="P24" i="19"/>
  <c r="DG24" i="19" s="1"/>
  <c r="P6" i="19"/>
  <c r="DG6" i="19" s="1"/>
  <c r="P26" i="19"/>
  <c r="DG26" i="19" s="1"/>
  <c r="P10" i="19"/>
  <c r="DG10" i="19" s="1"/>
  <c r="P4" i="19"/>
  <c r="DG4" i="19" s="1"/>
  <c r="P36" i="19"/>
  <c r="DG36" i="19" s="1"/>
  <c r="P38" i="19"/>
  <c r="DG38" i="19" s="1"/>
  <c r="P14" i="19"/>
  <c r="DG14" i="19" s="1"/>
  <c r="P5" i="19"/>
  <c r="DG5" i="19" s="1"/>
  <c r="P25" i="19"/>
  <c r="DG25" i="19" s="1"/>
  <c r="P9" i="19"/>
  <c r="DG9" i="19" s="1"/>
  <c r="RG26" i="19"/>
  <c r="RD26" i="19"/>
  <c r="L24" i="19"/>
  <c r="M24" i="19" s="1"/>
  <c r="RB26" i="19"/>
  <c r="R9" i="19"/>
  <c r="DH9" i="19" s="1"/>
  <c r="RC9" i="19"/>
  <c r="R38" i="19"/>
  <c r="DH38" i="19" s="1"/>
  <c r="R36" i="19"/>
  <c r="DH36" i="19" s="1"/>
  <c r="RG24" i="19"/>
  <c r="R26" i="19"/>
  <c r="DH26" i="19" s="1"/>
  <c r="RD25" i="19"/>
  <c r="RD36" i="19"/>
  <c r="RC36" i="19"/>
  <c r="RG36" i="19"/>
  <c r="RB36" i="19"/>
  <c r="RD9" i="19"/>
  <c r="RB38" i="19"/>
  <c r="RC26" i="19"/>
  <c r="RH38" i="19"/>
  <c r="R14" i="19"/>
  <c r="DH14" i="19" s="1"/>
  <c r="RH24" i="19"/>
  <c r="RD24" i="19"/>
  <c r="RC24" i="19"/>
  <c r="RH26" i="19"/>
  <c r="L26" i="19"/>
  <c r="RC25" i="19"/>
  <c r="RG25" i="19"/>
  <c r="RB25" i="19"/>
  <c r="RD38" i="19"/>
  <c r="RC38" i="19"/>
  <c r="R24" i="19"/>
  <c r="DH24" i="19" s="1"/>
  <c r="RH25" i="19"/>
  <c r="RG9" i="19"/>
  <c r="RB9" i="19"/>
  <c r="RG38" i="19"/>
  <c r="RB24" i="19"/>
  <c r="RH9" i="19"/>
  <c r="RD14" i="19"/>
  <c r="RC14" i="19"/>
  <c r="N36" i="19"/>
  <c r="DF36" i="19" s="1"/>
  <c r="RG14" i="19"/>
  <c r="RB14" i="19"/>
  <c r="N14" i="19"/>
  <c r="DF14" i="19" s="1"/>
  <c r="R25" i="19"/>
  <c r="DH25" i="19" s="1"/>
  <c r="N38" i="19"/>
  <c r="DF38" i="19" s="1"/>
  <c r="L36" i="19"/>
  <c r="N9" i="19"/>
  <c r="DF9" i="19" s="1"/>
  <c r="L14" i="19"/>
  <c r="RH36" i="19"/>
  <c r="N25" i="19"/>
  <c r="DF25" i="19" s="1"/>
  <c r="L38" i="19"/>
  <c r="RH14" i="19"/>
  <c r="N26" i="19"/>
  <c r="DF26" i="19" s="1"/>
  <c r="L9" i="19"/>
  <c r="N24" i="19"/>
  <c r="DF24" i="19" s="1"/>
  <c r="L25" i="19"/>
  <c r="RH5" i="19"/>
  <c r="RG5" i="19"/>
  <c r="R10" i="19"/>
  <c r="DH10" i="19" s="1"/>
  <c r="RB4" i="19"/>
  <c r="RG6" i="19"/>
  <c r="N6" i="19"/>
  <c r="DF6" i="19" s="1"/>
  <c r="RB10" i="19"/>
  <c r="R4" i="19"/>
  <c r="DH4" i="19" s="1"/>
  <c r="RH4" i="19"/>
  <c r="R6" i="19"/>
  <c r="DH6" i="19" s="1"/>
  <c r="L4" i="19"/>
  <c r="RC10" i="19"/>
  <c r="RH6" i="19"/>
  <c r="RH10" i="19"/>
  <c r="N5" i="19"/>
  <c r="DF5" i="19" s="1"/>
  <c r="RC4" i="19"/>
  <c r="RD4" i="19"/>
  <c r="RG10" i="19"/>
  <c r="R5" i="19"/>
  <c r="DH5" i="19" s="1"/>
  <c r="RB6" i="19"/>
  <c r="L5" i="19"/>
  <c r="RB5" i="19"/>
  <c r="RC6" i="19"/>
  <c r="RD6" i="19"/>
  <c r="L10" i="19"/>
  <c r="RC5" i="19"/>
  <c r="RD5" i="19"/>
  <c r="RD10" i="19"/>
  <c r="RG4" i="19"/>
  <c r="N10" i="19"/>
  <c r="DF10" i="19" s="1"/>
  <c r="N4" i="19"/>
  <c r="DF4" i="19" s="1"/>
  <c r="RI5" i="19" l="1"/>
  <c r="RI25" i="19"/>
  <c r="RI26" i="19"/>
  <c r="RI4" i="19"/>
  <c r="RI38" i="19"/>
  <c r="RI15" i="21"/>
  <c r="RI26" i="21"/>
  <c r="RI24" i="21"/>
  <c r="RI6" i="19"/>
  <c r="RI14" i="19"/>
  <c r="RI24" i="19"/>
  <c r="RI36" i="19"/>
  <c r="RI9" i="19"/>
  <c r="RI10" i="19"/>
  <c r="Q26" i="21"/>
  <c r="Q15" i="21"/>
  <c r="M24" i="21"/>
  <c r="Q24" i="21"/>
  <c r="Q25" i="19"/>
  <c r="Q5" i="19"/>
  <c r="Q14" i="19"/>
  <c r="T14" i="19"/>
  <c r="Q6" i="19"/>
  <c r="Q38" i="19"/>
  <c r="Q24" i="19"/>
  <c r="Q36" i="19"/>
  <c r="Q4" i="19"/>
  <c r="Q10" i="19"/>
  <c r="Q26" i="19"/>
  <c r="Q9" i="19"/>
  <c r="S24" i="21"/>
  <c r="S15" i="21"/>
  <c r="T26" i="21"/>
  <c r="T24" i="21"/>
  <c r="S4" i="19"/>
  <c r="S10" i="19"/>
  <c r="S36" i="19"/>
  <c r="O6" i="19"/>
  <c r="O5" i="19"/>
  <c r="O36" i="19"/>
  <c r="S26" i="19"/>
  <c r="S24" i="19"/>
  <c r="S9" i="19"/>
  <c r="S5" i="19"/>
  <c r="S38" i="19"/>
  <c r="O15" i="21"/>
  <c r="O24" i="21"/>
  <c r="RF24" i="21"/>
  <c r="RF26" i="21"/>
  <c r="K36" i="19"/>
  <c r="K15" i="21"/>
  <c r="K24" i="19"/>
  <c r="K26" i="19"/>
  <c r="K4" i="19"/>
  <c r="K14" i="19"/>
  <c r="RF24" i="19"/>
  <c r="RF5" i="19"/>
  <c r="K38" i="19"/>
  <c r="S26" i="21"/>
  <c r="M26" i="21"/>
  <c r="K9" i="19"/>
  <c r="M4" i="19"/>
  <c r="M5" i="19"/>
  <c r="M10" i="19"/>
  <c r="M26" i="19"/>
  <c r="O26" i="21"/>
  <c r="RF14" i="19"/>
  <c r="K10" i="19"/>
  <c r="K25" i="19"/>
  <c r="K5" i="19"/>
  <c r="K24" i="21"/>
  <c r="K26" i="21"/>
  <c r="RF36" i="19"/>
  <c r="RF4" i="19"/>
  <c r="RF25" i="19"/>
  <c r="RF10" i="19"/>
  <c r="K6" i="19"/>
  <c r="RF9" i="19"/>
  <c r="RF6" i="19"/>
  <c r="RF38" i="19"/>
  <c r="RF26" i="19"/>
  <c r="RF15" i="21"/>
  <c r="M15" i="21"/>
  <c r="S14" i="19"/>
  <c r="O9" i="19"/>
  <c r="O24" i="19"/>
  <c r="O14" i="19"/>
  <c r="O26" i="19"/>
  <c r="M14" i="19"/>
  <c r="S25" i="19"/>
  <c r="M38" i="19"/>
  <c r="O25" i="19"/>
  <c r="M25" i="19"/>
  <c r="M36" i="19"/>
  <c r="M9" i="19"/>
  <c r="O38" i="19"/>
  <c r="S6" i="19"/>
  <c r="O10" i="19"/>
  <c r="O4" i="19"/>
  <c r="M6" i="19"/>
  <c r="J36" i="19" l="1"/>
  <c r="J25" i="19"/>
  <c r="J9" i="19"/>
  <c r="B9" i="19" s="1" a="1"/>
  <c r="B9" i="19" s="1"/>
  <c r="J4" i="19"/>
  <c r="J24" i="19"/>
  <c r="U24" i="21"/>
  <c r="V24" i="21"/>
  <c r="U26" i="21"/>
  <c r="V26" i="21"/>
  <c r="U14" i="19"/>
  <c r="V14" i="19"/>
  <c r="F24" i="21"/>
  <c r="F26" i="21"/>
  <c r="T15" i="21"/>
  <c r="T6" i="19"/>
  <c r="T36" i="19"/>
  <c r="F14" i="19"/>
  <c r="T38" i="19"/>
  <c r="T9" i="19"/>
  <c r="T26" i="19"/>
  <c r="T24" i="19"/>
  <c r="T25" i="19"/>
  <c r="T10" i="19"/>
  <c r="T4" i="19"/>
  <c r="T5" i="19"/>
  <c r="B4" i="19" l="1" a="1"/>
  <c r="B4" i="19" s="1"/>
  <c r="A36" i="19" a="1"/>
  <c r="A36" i="19" s="1"/>
  <c r="B36" i="19" a="1"/>
  <c r="B36" i="19" s="1"/>
  <c r="J15" i="21"/>
  <c r="J24" i="21"/>
  <c r="J26" i="21"/>
  <c r="J6" i="19"/>
  <c r="B6" i="19" s="1" a="1"/>
  <c r="B6" i="19" s="1"/>
  <c r="J10" i="19"/>
  <c r="J14" i="19"/>
  <c r="J5" i="19"/>
  <c r="B5" i="19" s="1" a="1"/>
  <c r="B5" i="19" s="1"/>
  <c r="J26" i="19"/>
  <c r="J38" i="19"/>
  <c r="U15" i="21"/>
  <c r="V15" i="21"/>
  <c r="V9" i="19"/>
  <c r="U9" i="19"/>
  <c r="F5" i="19"/>
  <c r="U5" i="19"/>
  <c r="V5" i="19"/>
  <c r="F38" i="19"/>
  <c r="V38" i="19"/>
  <c r="U38" i="19"/>
  <c r="U4" i="19"/>
  <c r="V4" i="19"/>
  <c r="U36" i="19"/>
  <c r="V36" i="19"/>
  <c r="U24" i="19"/>
  <c r="V24" i="19"/>
  <c r="U10" i="19"/>
  <c r="V10" i="19"/>
  <c r="F25" i="19"/>
  <c r="U25" i="19"/>
  <c r="V25" i="19"/>
  <c r="F26" i="19"/>
  <c r="V26" i="19"/>
  <c r="U26" i="19"/>
  <c r="U6" i="19"/>
  <c r="V6" i="19"/>
  <c r="F15" i="21"/>
  <c r="F4" i="19"/>
  <c r="F6" i="19"/>
  <c r="F36" i="19"/>
  <c r="F9" i="19"/>
  <c r="F10" i="19"/>
  <c r="F24" i="19"/>
  <c r="A26" i="21" l="1" a="1"/>
  <c r="A26" i="21" s="1"/>
  <c r="B26" i="21" a="1"/>
  <c r="B26" i="21" s="1"/>
  <c r="A24" i="21" a="1"/>
  <c r="A24" i="21" s="1"/>
  <c r="B24" i="21" a="1"/>
  <c r="B24" i="21" s="1"/>
  <c r="B15" i="21" a="1"/>
  <c r="B15" i="21" s="1"/>
  <c r="B7" i="21" a="1"/>
  <c r="B7" i="21" s="1"/>
  <c r="B11" i="21" a="1"/>
  <c r="B11" i="21" s="1"/>
  <c r="B9" i="21" a="1"/>
  <c r="B9" i="21" s="1"/>
  <c r="B10" i="21" a="1"/>
  <c r="B10" i="21" s="1"/>
  <c r="B12" i="21" a="1"/>
  <c r="B12" i="21" s="1"/>
  <c r="B8" i="21" a="1"/>
  <c r="B8" i="21" s="1"/>
  <c r="B10" i="19" a="1"/>
  <c r="B10" i="19" s="1"/>
  <c r="B25" i="19" a="1"/>
  <c r="B25" i="19" s="1"/>
  <c r="B24" i="19" a="1"/>
  <c r="B24" i="19" s="1"/>
  <c r="B13" i="19" a="1"/>
  <c r="B13" i="19" s="1"/>
  <c r="B14" i="19" a="1"/>
  <c r="B14" i="19" s="1"/>
  <c r="B17" i="19" a="1"/>
  <c r="B17" i="19" s="1"/>
  <c r="B21" i="19" a="1"/>
  <c r="B21" i="19" s="1"/>
  <c r="B11" i="19" a="1"/>
  <c r="B11" i="19" s="1"/>
  <c r="B19" i="19" a="1"/>
  <c r="B19" i="19" s="1"/>
  <c r="B12" i="19" a="1"/>
  <c r="B12" i="19" s="1"/>
  <c r="B18" i="19" a="1"/>
  <c r="B18" i="19" s="1"/>
  <c r="B15" i="19" a="1"/>
  <c r="B15" i="19" s="1"/>
  <c r="B16" i="19" a="1"/>
  <c r="B16" i="19" s="1"/>
  <c r="B22" i="19" a="1"/>
  <c r="B22" i="19" s="1"/>
  <c r="B23" i="19" a="1"/>
  <c r="B23" i="19" s="1"/>
  <c r="A38" i="19" a="1"/>
  <c r="A38" i="19" s="1"/>
  <c r="B38" i="19" a="1"/>
  <c r="B38" i="19" s="1"/>
  <c r="B20" i="19" a="1"/>
  <c r="B20" i="19" s="1"/>
  <c r="B26" i="19" a="1"/>
  <c r="B26" i="19" s="1"/>
  <c r="A11" i="2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8" i="21" a="1"/>
  <c r="A8" i="21" s="1"/>
  <c r="A12" i="21" a="1"/>
  <c r="A12" i="21" s="1"/>
  <c r="A6" i="21" a="1"/>
  <c r="A6" i="21" s="1"/>
  <c r="A5" i="21" a="1"/>
  <c r="A5" i="21" s="1"/>
  <c r="A9" i="21" a="1"/>
  <c r="A9" i="21" s="1"/>
  <c r="A7" i="21" a="1"/>
  <c r="A7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4" i="4"/>
  <c r="SS14" i="4"/>
  <c r="SR14" i="4"/>
  <c r="SQ14" i="4"/>
  <c r="SP14" i="4"/>
  <c r="SO14" i="4"/>
  <c r="SM14" i="4"/>
  <c r="SL14" i="4"/>
  <c r="SK14" i="4"/>
  <c r="SJ14" i="4"/>
  <c r="SI14" i="4"/>
  <c r="SH14" i="4"/>
  <c r="ST32" i="4"/>
  <c r="SS32" i="4"/>
  <c r="SR32" i="4"/>
  <c r="SQ32" i="4"/>
  <c r="SP32" i="4"/>
  <c r="SO32" i="4"/>
  <c r="SM32" i="4"/>
  <c r="SL32" i="4"/>
  <c r="SK32" i="4"/>
  <c r="SJ32" i="4"/>
  <c r="SI32" i="4"/>
  <c r="SH3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CY19" i="4"/>
  <c r="CY15" i="4"/>
  <c r="CY18" i="4"/>
  <c r="CY23" i="4"/>
  <c r="CY32" i="4"/>
  <c r="CY14" i="4"/>
  <c r="CY11" i="4"/>
  <c r="CX11" i="4"/>
  <c r="CU11" i="4"/>
  <c r="CU19" i="4"/>
  <c r="CU15" i="4"/>
  <c r="CU18" i="4"/>
  <c r="CU23" i="4"/>
  <c r="CU32" i="4"/>
  <c r="CU14" i="4"/>
  <c r="CR11" i="4"/>
  <c r="CR19" i="4"/>
  <c r="CR15" i="4"/>
  <c r="CR18" i="4"/>
  <c r="CR23" i="4"/>
  <c r="CR32" i="4"/>
  <c r="CR14" i="4"/>
  <c r="CQ11" i="4"/>
  <c r="CQ19" i="4"/>
  <c r="CQ15" i="4"/>
  <c r="CQ18" i="4"/>
  <c r="CQ23" i="4"/>
  <c r="CQ32" i="4"/>
  <c r="CQ14" i="4"/>
  <c r="SN11" i="4" l="1"/>
  <c r="SU11" i="4" s="1"/>
  <c r="SN15" i="4"/>
  <c r="SU15" i="4" s="1"/>
  <c r="SN18" i="4"/>
  <c r="SU18" i="4" s="1"/>
  <c r="SN23" i="4"/>
  <c r="SU23" i="4" s="1"/>
  <c r="SN32" i="4"/>
  <c r="SU32" i="4" s="1"/>
  <c r="SN19" i="4"/>
  <c r="SU19" i="4" s="1"/>
  <c r="SN14" i="4"/>
  <c r="SU14" i="4" s="1"/>
  <c r="CS14" i="4" l="1"/>
  <c r="CT14" i="4"/>
  <c r="CV14" i="4"/>
  <c r="CX14" i="4"/>
  <c r="CZ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I14" i="4" l="1"/>
  <c r="H14" i="4"/>
  <c r="T14" i="4"/>
  <c r="U14" i="4" s="1"/>
  <c r="P14" i="4"/>
  <c r="R14" i="4"/>
  <c r="S14" i="4" s="1"/>
  <c r="N14" i="4"/>
  <c r="L14" i="4"/>
  <c r="TU14" i="4"/>
  <c r="K14" i="4"/>
  <c r="TQ14" i="4"/>
  <c r="TN14" i="4"/>
  <c r="CW14" i="4"/>
  <c r="DA14" i="4" s="1"/>
  <c r="CS15" i="4"/>
  <c r="CT15" i="4"/>
  <c r="CV15" i="4"/>
  <c r="CX15" i="4"/>
  <c r="CZ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15" i="4" l="1"/>
  <c r="H15" i="4"/>
  <c r="P15" i="4"/>
  <c r="DC15" i="4" s="1"/>
  <c r="DB14" i="4"/>
  <c r="T15" i="4"/>
  <c r="U15" i="4" s="1"/>
  <c r="DC14" i="4"/>
  <c r="Q14" i="4"/>
  <c r="R15" i="4"/>
  <c r="S15" i="4" s="1"/>
  <c r="M14" i="4"/>
  <c r="N15" i="4"/>
  <c r="K15" i="4"/>
  <c r="L15" i="4"/>
  <c r="TR14" i="4"/>
  <c r="TV14" i="4" s="1"/>
  <c r="TU15" i="4"/>
  <c r="TN15" i="4"/>
  <c r="O14" i="4"/>
  <c r="TQ15" i="4"/>
  <c r="CW15" i="4"/>
  <c r="DA15" i="4" s="1"/>
  <c r="DB15" i="4" l="1"/>
  <c r="Q15" i="4"/>
  <c r="J14" i="4"/>
  <c r="V14" i="4"/>
  <c r="X14" i="4" s="1"/>
  <c r="V15" i="4"/>
  <c r="M15" i="4"/>
  <c r="TR15" i="4"/>
  <c r="TV15" i="4" s="1"/>
  <c r="O15" i="4"/>
  <c r="A14" i="4" l="1" a="1"/>
  <c r="A14" i="4" s="1"/>
  <c r="B14" i="4" a="1"/>
  <c r="B14" i="4" s="1"/>
  <c r="J15" i="4"/>
  <c r="F15" i="4"/>
  <c r="W14" i="4"/>
  <c r="F14" i="4"/>
  <c r="X15" i="4"/>
  <c r="W15" i="4"/>
  <c r="A15" i="4" l="1" a="1"/>
  <c r="A15" i="4" s="1"/>
  <c r="B15" i="4" a="1"/>
  <c r="B15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S19" i="4"/>
  <c r="CT19" i="4"/>
  <c r="CV19" i="4"/>
  <c r="CX19" i="4"/>
  <c r="CZ19" i="4"/>
  <c r="CS18" i="4"/>
  <c r="CT18" i="4"/>
  <c r="CV18" i="4"/>
  <c r="CX18" i="4"/>
  <c r="CZ18" i="4"/>
  <c r="CS11" i="4"/>
  <c r="CT11" i="4"/>
  <c r="T11" i="4" s="1"/>
  <c r="CV11" i="4"/>
  <c r="CZ11" i="4"/>
  <c r="CS32" i="4"/>
  <c r="CT32" i="4"/>
  <c r="CV32" i="4"/>
  <c r="CX32" i="4"/>
  <c r="CZ32" i="4"/>
  <c r="CS23" i="4"/>
  <c r="CT23" i="4"/>
  <c r="CV23" i="4"/>
  <c r="CX23" i="4"/>
  <c r="CZ23" i="4"/>
  <c r="I19" i="4" l="1"/>
  <c r="H19" i="4"/>
  <c r="I18" i="4"/>
  <c r="H18" i="4"/>
  <c r="I11" i="4"/>
  <c r="H11" i="4"/>
  <c r="I32" i="4"/>
  <c r="H32" i="4"/>
  <c r="I23" i="4"/>
  <c r="H23" i="4"/>
  <c r="T23" i="4"/>
  <c r="U23" i="4" s="1"/>
  <c r="T19" i="4"/>
  <c r="U19" i="4" s="1"/>
  <c r="T32" i="4"/>
  <c r="U32" i="4" s="1"/>
  <c r="T18" i="4"/>
  <c r="U18" i="4" s="1"/>
  <c r="P32" i="4"/>
  <c r="P19" i="4"/>
  <c r="P11" i="4"/>
  <c r="P23" i="4"/>
  <c r="P18" i="4"/>
  <c r="R18" i="4"/>
  <c r="S18" i="4" s="1"/>
  <c r="R32" i="4"/>
  <c r="S32" i="4" s="1"/>
  <c r="R23" i="4"/>
  <c r="S23" i="4" s="1"/>
  <c r="R19" i="4"/>
  <c r="S19" i="4" s="1"/>
  <c r="N11" i="4"/>
  <c r="L23" i="4"/>
  <c r="N23" i="4"/>
  <c r="N19" i="4"/>
  <c r="L19" i="4"/>
  <c r="L32" i="4"/>
  <c r="N32" i="4"/>
  <c r="L18" i="4"/>
  <c r="N18" i="4"/>
  <c r="L11" i="4"/>
  <c r="K19" i="4"/>
  <c r="K32" i="4"/>
  <c r="K18" i="4"/>
  <c r="K23" i="4"/>
  <c r="TQ18" i="4"/>
  <c r="TU11" i="4"/>
  <c r="TU23" i="4"/>
  <c r="TQ32" i="4"/>
  <c r="TU18" i="4"/>
  <c r="TQ19" i="4"/>
  <c r="TU32" i="4"/>
  <c r="TQ23" i="4"/>
  <c r="TU19" i="4"/>
  <c r="TQ11" i="4"/>
  <c r="CW19" i="4"/>
  <c r="DA19" i="4" s="1"/>
  <c r="CW11" i="4"/>
  <c r="DA11" i="4" s="1"/>
  <c r="CW32" i="4"/>
  <c r="DA32" i="4" s="1"/>
  <c r="CW18" i="4"/>
  <c r="DA18" i="4" s="1"/>
  <c r="CW23" i="4"/>
  <c r="DA23" i="4" s="1"/>
  <c r="SW19" i="4"/>
  <c r="SX19" i="4"/>
  <c r="TL19" i="4" s="1"/>
  <c r="SY19" i="4"/>
  <c r="TM19" i="4" s="1"/>
  <c r="SW18" i="4"/>
  <c r="SX18" i="4"/>
  <c r="TL18" i="4" s="1"/>
  <c r="SY18" i="4"/>
  <c r="TM18" i="4" s="1"/>
  <c r="SW11" i="4"/>
  <c r="SX11" i="4"/>
  <c r="TL11" i="4" s="1"/>
  <c r="SY11" i="4"/>
  <c r="TM11" i="4" s="1"/>
  <c r="SW32" i="4"/>
  <c r="SX32" i="4"/>
  <c r="TL32" i="4" s="1"/>
  <c r="SY32" i="4"/>
  <c r="TM32" i="4" s="1"/>
  <c r="SW23" i="4"/>
  <c r="SX23" i="4"/>
  <c r="TL23" i="4" s="1"/>
  <c r="SY23" i="4"/>
  <c r="TM23" i="4" s="1"/>
  <c r="SV19" i="4"/>
  <c r="SV18" i="4"/>
  <c r="SV11" i="4"/>
  <c r="SV32" i="4"/>
  <c r="SV23" i="4"/>
  <c r="J18" i="4" l="1"/>
  <c r="J23" i="4"/>
  <c r="J32" i="4"/>
  <c r="DB19" i="4"/>
  <c r="M18" i="4"/>
  <c r="M11" i="4"/>
  <c r="M23" i="4"/>
  <c r="M32" i="4"/>
  <c r="DB32" i="4"/>
  <c r="DB23" i="4"/>
  <c r="DB11" i="4"/>
  <c r="DB18" i="4"/>
  <c r="DC11" i="4"/>
  <c r="Q11" i="4"/>
  <c r="O11" i="4"/>
  <c r="DC19" i="4"/>
  <c r="Q19" i="4"/>
  <c r="DC32" i="4"/>
  <c r="Q32" i="4"/>
  <c r="DC18" i="4"/>
  <c r="Q18" i="4"/>
  <c r="DC23" i="4"/>
  <c r="Q23" i="4"/>
  <c r="M19" i="4"/>
  <c r="J19" i="4"/>
  <c r="TN19" i="4"/>
  <c r="TR19" i="4" s="1"/>
  <c r="TV19" i="4" s="1"/>
  <c r="O23" i="4"/>
  <c r="O19" i="4"/>
  <c r="TN18" i="4"/>
  <c r="TR18" i="4" s="1"/>
  <c r="TV18" i="4" s="1"/>
  <c r="O18" i="4"/>
  <c r="TN11" i="4"/>
  <c r="TR11" i="4" s="1"/>
  <c r="TV11" i="4" s="1"/>
  <c r="TN23" i="4"/>
  <c r="TR23" i="4" s="1"/>
  <c r="TV23" i="4" s="1"/>
  <c r="O32" i="4"/>
  <c r="TN32" i="4"/>
  <c r="TR32" i="4" s="1"/>
  <c r="TV32" i="4" s="1"/>
  <c r="A19" i="4" l="1" a="1"/>
  <c r="A19" i="4" s="1"/>
  <c r="B19" i="4" a="1"/>
  <c r="B19" i="4" s="1"/>
  <c r="A32" i="4" a="1"/>
  <c r="A32" i="4" s="1"/>
  <c r="B32" i="4" a="1"/>
  <c r="B32" i="4" s="1"/>
  <c r="A23" i="4" a="1"/>
  <c r="A23" i="4" s="1"/>
  <c r="B23" i="4" a="1"/>
  <c r="B23" i="4" s="1"/>
  <c r="A18" i="4" a="1"/>
  <c r="A18" i="4" s="1"/>
  <c r="B18" i="4" a="1"/>
  <c r="B18" i="4" s="1"/>
  <c r="V19" i="4"/>
  <c r="X19" i="4" s="1"/>
  <c r="V32" i="4"/>
  <c r="X32" i="4" s="1"/>
  <c r="V23" i="4"/>
  <c r="X23" i="4" s="1"/>
  <c r="V18" i="4"/>
  <c r="X18" i="4" s="1"/>
  <c r="W19" i="4" l="1"/>
  <c r="F19" i="4"/>
  <c r="W32" i="4"/>
  <c r="W23" i="4"/>
  <c r="F32" i="4"/>
  <c r="F23" i="4"/>
  <c r="F18" i="4"/>
  <c r="W18" i="4"/>
  <c r="U11" i="4" l="1"/>
  <c r="R11" i="4"/>
  <c r="K11" i="4"/>
  <c r="S11" i="4" l="1"/>
  <c r="V11" i="4"/>
  <c r="J11" i="4" l="1"/>
  <c r="F11" i="4"/>
  <c r="X11" i="4"/>
  <c r="W11" i="4"/>
  <c r="B11" i="4" l="1" a="1"/>
  <c r="B11" i="4" s="1"/>
  <c r="B6" i="4" a="1"/>
  <c r="B6" i="4" s="1"/>
  <c r="A4" i="4" a="1"/>
  <c r="A4" i="4" s="1"/>
  <c r="B7" i="4" a="1"/>
  <c r="B7" i="4" s="1"/>
  <c r="B5" i="4" a="1"/>
  <c r="B5" i="4" s="1"/>
  <c r="B9" i="4" a="1"/>
  <c r="B9" i="4" s="1"/>
  <c r="B8" i="4" a="1"/>
  <c r="B8" i="4" s="1"/>
  <c r="B10" i="4" a="1"/>
  <c r="B10" i="4" s="1"/>
  <c r="A11" i="4" a="1"/>
  <c r="A11" i="4" s="1"/>
  <c r="A7" i="4" a="1"/>
  <c r="A7" i="4" s="1"/>
  <c r="A8" i="4" a="1"/>
  <c r="A8" i="4" s="1"/>
  <c r="A6" i="4" a="1"/>
  <c r="A6" i="4" s="1"/>
  <c r="A5" i="4" a="1"/>
  <c r="A5" i="4" s="1"/>
  <c r="A9" i="4" a="1"/>
  <c r="A9" i="4" s="1"/>
  <c r="A10" i="4" a="1"/>
  <c r="A10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<sst xmlns="http://schemas.openxmlformats.org/spreadsheetml/2006/main" count="4076" uniqueCount="238">
  <si>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</si>
  <si>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</si>
  <si>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</si>
  <si>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</si>
  <si>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</si>
  <si>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</si>
  <si>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</si>
  <si>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</si>
  <si>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</si>
  <si>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</si>
  <si>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</si>
  <si>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</si>
  <si>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</si>
  <si>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</si>
  <si>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</si>
  <si>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</si>
  <si>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</si>
  <si>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</si>
  <si>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</si>
  <si>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</si>
  <si>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</si>
  <si>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</si>
  <si>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</si>
  <si>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</si>
  <si>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</si>
  <si>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</si>
  <si>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</si>
  <si>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</si>
  <si>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</si>
  <si>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</si>
  <si>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</si>
  <si>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</si>
  <si>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</si>
  <si>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</si>
  <si>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</si>
  <si>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</si>
  <si>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</si>
  <si>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</si>
  <si>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</si>
  <si>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</si>
  <si>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</si>
  <si>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</si>
  <si>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</si>
  <si>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</si>
  <si>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</si>
  <si>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</si>
  <si>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</si>
  <si>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</si>
  <si>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</si>
  <si>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</si>
  <si>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</si>
  <si>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</si>
  <si>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</si>
  <si>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</si>
  <si>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</si>
  <si>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</si>
  <si>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</si>
  <si>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</si>
  <si>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</si>
  <si>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</si>
  <si>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</si>
  <si>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</si>
  <si>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</si>
  <si>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</si>
  <si>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</si>
  <si>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</si>
  <si>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</si>
  <si>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</si>
  <si>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</si>
  <si>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</si>
  <si>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</si>
  <si>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</si>
  <si>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</si>
  <si>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</si>
  <si>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</si>
  <si>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</si>
  <si>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</si>
  <si>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</si>
  <si>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</si>
  <si>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</si>
  <si>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</si>
  <si>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</si>
  <si>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</si>
  <si>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</si>
  <si>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</si>
  <si>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</si>
  <si>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</si>
  <si>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</si>
  <si>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</si>
  <si>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</si>
  <si>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</si>
  <si>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</si>
  <si>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</si>
  <si>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</si>
  <si>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</si>
  <si>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</si>
  <si>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</si>
  <si>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</si>
  <si>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</si>
  <si>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</si>
  <si>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</si>
  <si>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</si>
  <si>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</si>
  <si>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</si>
  <si>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</si>
  <si>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</si>
  <si>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</si>
  <si>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</si>
  <si>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</si>
  <si>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</si>
  <si>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</si>
  <si>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</si>
  <si>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</si>
  <si>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</si>
  <si>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</si>
  <si>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</si>
  <si>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</si>
  <si>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</si>
  <si>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</si>
  <si>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</si>
  <si>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</si>
  <si>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</si>
  <si>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</si>
  <si>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</si>
  <si>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</si>
  <si>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</si>
  <si>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</si>
  <si>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</si>
  <si>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</si>
  <si>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</si>
  <si>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</si>
  <si>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</si>
  <si>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</si>
  <si>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</si>
  <si>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</si>
  <si>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</si>
  <si>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</si>
  <si>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</si>
  <si>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</si>
  <si>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</si>
  <si>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</si>
  <si>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</si>
  <si>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</si>
  <si>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</si>
  <si>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</si>
  <si>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</si>
  <si>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</si>
  <si>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</si>
  <si>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</si>
  <si>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</si>
  <si>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</si>
  <si>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</si>
  <si>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</si>
  <si>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</si>
  <si>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</si>
  <si>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</si>
  <si>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</si>
  <si>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</si>
  <si>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</si>
  <si>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</si>
  <si>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</si>
  <si>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</si>
  <si>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</si>
  <si>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</si>
  <si>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</si>
  <si>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</si>
  <si>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</si>
  <si>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</si>
  <si>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</si>
  <si>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</si>
  <si>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</si>
  <si>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</si>
  <si>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</si>
  <si>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</si>
  <si>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</si>
  <si>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</si>
  <si>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</si>
  <si>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</si>
  <si>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</si>
  <si>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</si>
  <si>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</si>
  <si>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</si>
  <si>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</si>
  <si>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</si>
  <si>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</si>
  <si>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</si>
  <si>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</si>
  <si>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</si>
  <si>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</si>
  <si>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</si>
  <si>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</si>
  <si>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</si>
  <si>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</si>
  <si>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</si>
  <si>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</si>
  <si>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</si>
  <si>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</si>
  <si>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</si>
  <si>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</si>
  <si>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</si>
  <si>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</si>
  <si>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</si>
  <si>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</si>
  <si>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</si>
  <si>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</si>
  <si>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</si>
  <si>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</si>
  <si>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</si>
  <si>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</si>
  <si>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</si>
  <si>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</si>
  <si>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</si>
  <si>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</si>
  <si>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</si>
  <si>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</si>
  <si>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</si>
  <si>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</si>
  <si>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</si>
  <si>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</si>
  <si>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</si>
  <si>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</si>
  <si>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</si>
  <si>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</si>
  <si>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</si>
  <si>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</si>
  <si>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</si>
  <si>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</si>
  <si>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</si>
  <si>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</si>
  <si>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</si>
  <si>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</si>
  <si>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</si>
  <si>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</si>
  <si>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</si>
  <si>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</t>
  </si>
  <si>
    <t>2023 WAGC (Nov 18)</t>
  </si>
  <si>
    <t>2023 WAGC (Nov 17)</t>
  </si>
  <si>
    <t>Formatting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</si>
</sst>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46"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EVSTIGNEEV, Gleb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ADJEMIAN, Alexan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EVSTIGNEEV, Gleb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CLOUTIER, Étienne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ADJEMIAN, Alexan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DON, Alex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CLOUTIER, Étienne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BONHAM, Maja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JAMES, Roshni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ROY, Anne-Jolie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PINNOCK, Liana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BONHAM, Maja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MAILLOUX, Ashley</v>
      </c>
      <c r="D9" s="13" t="str">
        <f>IF(B9&gt;MAX('TRA-W'!B:B),"",INDEX('TRA-W'!J:J,MATCH(B9,'TRA-W'!B:B,0)))</f>
        <v>No DD</v>
      </c>
      <c r="F9" s="7" t="str">
        <f>IF(B5&gt;MAX('TRA-W'!A:A),"",INDEX('TRA-W'!C:C,MATCH(B5,'TRA-W'!A:A,0)))</f>
        <v>JAMES, Roshni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MOORE, Riley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VIAU, Nathan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STANNARD, Adam</v>
      </c>
      <c r="G12" s="14" t="str">
        <f>IF(B4&gt;MAX('TUM-M'!A:A),"",INDEX('TUM-M'!J:J,MATCH(B4,'TUM-M'!A:A,0)))</f>
        <v>National Team</v>
      </c>
    </row>
    <row r="13" spans="1:7" hidden="1" x14ac:dyDescent="0.2">
      <c r="A13" s="6"/>
      <c r="B13" s="6">
        <v>4</v>
      </c>
      <c r="C13" s="6" t="str">
        <f>IF(B13&gt;MAX('TUM-M'!B:B),"",INDEX('TUM-M'!C:C,MATCH(B13,'TUM-M'!B:B,0)))</f>
        <v/>
      </c>
      <c r="D13" s="14" t="str">
        <f>IF(B13&gt;MAX('TUM-M'!B:B),"",INDEX('TUM-M'!J:J,MATCH(B13,'TUM-M'!B:B,0)))</f>
        <v/>
      </c>
      <c r="F13" s="6" t="str">
        <f>IF(B5&gt;MAX('TUM-M'!A:A),"",INDEX('TUM-M'!C:C,MATCH(B5,'TUM-M'!A:A,0)))</f>
        <v>CANUEL, Victor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MOORE, Sara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PILLINGER, Taylor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BOWDITCH, Courtney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JACKSON, Claire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OLSEN, Brooklyn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THOMPSON, Abby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BASTIEN, Rose</v>
      </c>
      <c r="D17" s="13" t="str">
        <f>IF(B17&gt;MAX('TUM-W'!B:B),"",INDEX('TUM-W'!J:J,MATCH(B17,'TUM-W'!B:B,0)))</f>
        <v>No DD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MEYER, Jeremy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PINSK, Benjamin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PEDERSEN, Mitchel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LUPISH, Kieran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DYKMAN, Matvey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NEUFELD, Simon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DION, Amélia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METHERAL, Hannah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JACKSON, Claire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OLSEN, Brooklyn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FROHNSDORF, Mia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DION, Amélia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45253</v>
      </c>
      <c r="C34" s="68"/>
    </row>
    <row r="35" spans="1:3" x14ac:dyDescent="0.2">
      <c r="B35" t="s">
        <v>234</v>
      </c>
    </row>
    <row r="36" spans="1:3" x14ac:dyDescent="0.2">
      <c r="B36" t="s">
        <v>237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5" priority="6" operator="containsText" text="No DD">
      <formula>NOT(ISERROR(SEARCH("No DD",G2)))</formula>
    </cfRule>
    <cfRule type="containsText" dxfId="444" priority="9" operator="containsText" text="Merit">
      <formula>NOT(ISERROR(SEARCH("Merit",G2)))</formula>
    </cfRule>
    <cfRule type="containsText" dxfId="443" priority="10" operator="containsText" text="Excellence">
      <formula>NOT(ISERROR(SEARCH("Excellence",G2)))</formula>
    </cfRule>
    <cfRule type="containsText" dxfId="442" priority="11" operator="containsText" text="Worlds Team">
      <formula>NOT(ISERROR(SEARCH("Worlds Team",G2)))</formula>
    </cfRule>
    <cfRule type="containsText" dxfId="441" priority="12" operator="containsText" text="National Team">
      <formula>NOT(ISERROR(SEARCH("National Team",G2)))</formula>
    </cfRule>
  </conditionalFormatting>
  <conditionalFormatting sqref="D2:D25">
    <cfRule type="containsText" dxfId="440" priority="1" operator="containsText" text="No DD">
      <formula>NOT(ISERROR(SEARCH("No DD",D2)))</formula>
    </cfRule>
    <cfRule type="containsText" dxfId="439" priority="2" operator="containsText" text="Merit">
      <formula>NOT(ISERROR(SEARCH("Merit",D2)))</formula>
    </cfRule>
    <cfRule type="containsText" dxfId="438" priority="3" operator="containsText" text="Excellence">
      <formula>NOT(ISERROR(SEARCH("Excellence",D2)))</formula>
    </cfRule>
    <cfRule type="containsText" dxfId="437" priority="4" operator="containsText" text="Worlds Team">
      <formula>NOT(ISERROR(SEARCH("Worlds Team",D2)))</formula>
    </cfRule>
    <cfRule type="containsText" dxfId="436" priority="5" operator="containsText" text="National Team">
      <formula>NOT(ISERROR(SEARCH("National Team",D2)))</formula>
    </cfRule>
  </conditionalFormatting>
  <dataValidations count="3">
    <dataValidation type="list" allowBlank="1" showInputMessage="1" showErrorMessage="1" sqref="D30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  <dataValidation type="list" allowBlank="1" showInputMessage="1" showErrorMessage="1" sqref="D31" xr:uid="{39B384BF-7F00-0844-9354-1604FD7A197F}">
      <formula1>"Select,TRA-M,TRA-W,TUM-M,TUM-W,DMT-M,DMT-W"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6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8" t="s">
        <v>229</v>
      </c>
      <c r="B1" s="78" t="s">
        <v>230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231</v>
      </c>
      <c r="H1" s="78" t="s">
        <v>53</v>
      </c>
      <c r="I1" s="74" t="s">
        <v>8</v>
      </c>
      <c r="J1" s="74" t="s">
        <v>9</v>
      </c>
      <c r="K1" s="74" t="s">
        <v>70</v>
      </c>
      <c r="L1" s="75" t="s">
        <v>77</v>
      </c>
      <c r="M1" s="76" t="s">
        <v>25</v>
      </c>
      <c r="N1" s="75" t="s">
        <v>78</v>
      </c>
      <c r="O1" s="76" t="s">
        <v>25</v>
      </c>
      <c r="P1" s="75" t="s">
        <v>164</v>
      </c>
      <c r="Q1" s="76" t="s">
        <v>25</v>
      </c>
      <c r="R1" s="76" t="s">
        <v>79</v>
      </c>
      <c r="S1" s="76" t="s">
        <v>25</v>
      </c>
      <c r="T1" s="75" t="s">
        <v>80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170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196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125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193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228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232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235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81</v>
      </c>
      <c r="AP2" s="14" t="s">
        <v>82</v>
      </c>
      <c r="AQ2" s="14" t="s">
        <v>18</v>
      </c>
      <c r="AR2" s="14" t="s">
        <v>63</v>
      </c>
      <c r="AS2" s="14" t="s">
        <v>83</v>
      </c>
      <c r="AT2" s="14" t="s">
        <v>19</v>
      </c>
      <c r="AU2" s="14" t="s">
        <v>21</v>
      </c>
      <c r="AV2" s="14" t="s">
        <v>84</v>
      </c>
      <c r="AW2" s="14" t="s">
        <v>85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81</v>
      </c>
      <c r="BQ2" s="13" t="s">
        <v>82</v>
      </c>
      <c r="BR2" s="13" t="s">
        <v>18</v>
      </c>
      <c r="BS2" s="13" t="s">
        <v>63</v>
      </c>
      <c r="BT2" s="13" t="s">
        <v>83</v>
      </c>
      <c r="BU2" s="13" t="s">
        <v>19</v>
      </c>
      <c r="BV2" s="13" t="s">
        <v>21</v>
      </c>
      <c r="BW2" s="13" t="s">
        <v>84</v>
      </c>
      <c r="BX2" s="13" t="s">
        <v>85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81</v>
      </c>
      <c r="CR2" s="14" t="s">
        <v>82</v>
      </c>
      <c r="CS2" s="14" t="s">
        <v>18</v>
      </c>
      <c r="CT2" s="14" t="s">
        <v>63</v>
      </c>
      <c r="CU2" s="14" t="s">
        <v>83</v>
      </c>
      <c r="CV2" s="14" t="s">
        <v>19</v>
      </c>
      <c r="CW2" s="14" t="s">
        <v>21</v>
      </c>
      <c r="CX2" s="14" t="s">
        <v>84</v>
      </c>
      <c r="CY2" s="14" t="s">
        <v>85</v>
      </c>
      <c r="CZ2" s="14" t="s">
        <v>20</v>
      </c>
      <c r="DA2" s="14" t="s">
        <v>15</v>
      </c>
      <c r="DB2" s="49" t="s">
        <v>165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86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81</v>
      </c>
      <c r="DY2" s="14" t="s">
        <v>82</v>
      </c>
      <c r="DZ2" s="14" t="s">
        <v>18</v>
      </c>
      <c r="EA2" s="14" t="s">
        <v>63</v>
      </c>
      <c r="EB2" s="14" t="s">
        <v>83</v>
      </c>
      <c r="EC2" s="14" t="s">
        <v>19</v>
      </c>
      <c r="ED2" s="14" t="s">
        <v>21</v>
      </c>
      <c r="EE2" s="14" t="s">
        <v>87</v>
      </c>
      <c r="EF2" s="14" t="s">
        <v>88</v>
      </c>
      <c r="EG2" s="14" t="s">
        <v>86</v>
      </c>
      <c r="EH2" s="14" t="s">
        <v>84</v>
      </c>
      <c r="EI2" s="14" t="s">
        <v>85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86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81</v>
      </c>
      <c r="FG2" s="13" t="s">
        <v>82</v>
      </c>
      <c r="FH2" s="13" t="s">
        <v>18</v>
      </c>
      <c r="FI2" s="13" t="s">
        <v>63</v>
      </c>
      <c r="FJ2" s="13" t="s">
        <v>83</v>
      </c>
      <c r="FK2" s="13" t="s">
        <v>19</v>
      </c>
      <c r="FL2" s="13" t="s">
        <v>21</v>
      </c>
      <c r="FM2" s="13" t="s">
        <v>87</v>
      </c>
      <c r="FN2" s="13" t="s">
        <v>88</v>
      </c>
      <c r="FO2" s="13" t="s">
        <v>86</v>
      </c>
      <c r="FP2" s="13" t="s">
        <v>84</v>
      </c>
      <c r="FQ2" s="13" t="s">
        <v>85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86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81</v>
      </c>
      <c r="GO2" s="14" t="s">
        <v>82</v>
      </c>
      <c r="GP2" s="14" t="s">
        <v>18</v>
      </c>
      <c r="GQ2" s="14" t="s">
        <v>63</v>
      </c>
      <c r="GR2" s="14" t="s">
        <v>83</v>
      </c>
      <c r="GS2" s="14" t="s">
        <v>19</v>
      </c>
      <c r="GT2" s="14" t="s">
        <v>21</v>
      </c>
      <c r="GU2" s="14" t="s">
        <v>87</v>
      </c>
      <c r="GV2" s="14" t="s">
        <v>88</v>
      </c>
      <c r="GW2" s="14" t="s">
        <v>86</v>
      </c>
      <c r="GX2" s="14" t="s">
        <v>84</v>
      </c>
      <c r="GY2" s="14" t="s">
        <v>85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86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81</v>
      </c>
      <c r="HW2" s="13" t="s">
        <v>82</v>
      </c>
      <c r="HX2" s="13" t="s">
        <v>18</v>
      </c>
      <c r="HY2" s="13" t="s">
        <v>63</v>
      </c>
      <c r="HZ2" s="13" t="s">
        <v>83</v>
      </c>
      <c r="IA2" s="13" t="s">
        <v>19</v>
      </c>
      <c r="IB2" s="13" t="s">
        <v>21</v>
      </c>
      <c r="IC2" s="13" t="s">
        <v>87</v>
      </c>
      <c r="ID2" s="13" t="s">
        <v>88</v>
      </c>
      <c r="IE2" s="13" t="s">
        <v>86</v>
      </c>
      <c r="IF2" s="13" t="s">
        <v>84</v>
      </c>
      <c r="IG2" s="13" t="s">
        <v>85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86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81</v>
      </c>
      <c r="JE2" s="14" t="s">
        <v>82</v>
      </c>
      <c r="JF2" s="14" t="s">
        <v>18</v>
      </c>
      <c r="JG2" s="14" t="s">
        <v>63</v>
      </c>
      <c r="JH2" s="14" t="s">
        <v>83</v>
      </c>
      <c r="JI2" s="14" t="s">
        <v>19</v>
      </c>
      <c r="JJ2" s="14" t="s">
        <v>21</v>
      </c>
      <c r="JK2" s="14" t="s">
        <v>87</v>
      </c>
      <c r="JL2" s="14" t="s">
        <v>88</v>
      </c>
      <c r="JM2" s="14" t="s">
        <v>86</v>
      </c>
      <c r="JN2" s="14" t="s">
        <v>84</v>
      </c>
      <c r="JO2" s="14" t="s">
        <v>85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86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81</v>
      </c>
      <c r="KM2" s="13" t="s">
        <v>82</v>
      </c>
      <c r="KN2" s="13" t="s">
        <v>18</v>
      </c>
      <c r="KO2" s="13" t="s">
        <v>63</v>
      </c>
      <c r="KP2" s="13" t="s">
        <v>83</v>
      </c>
      <c r="KQ2" s="13" t="s">
        <v>19</v>
      </c>
      <c r="KR2" s="13" t="s">
        <v>21</v>
      </c>
      <c r="KS2" s="13" t="s">
        <v>87</v>
      </c>
      <c r="KT2" s="13" t="s">
        <v>88</v>
      </c>
      <c r="KU2" s="13" t="s">
        <v>86</v>
      </c>
      <c r="KV2" s="13" t="s">
        <v>84</v>
      </c>
      <c r="KW2" s="13" t="s">
        <v>85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86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81</v>
      </c>
      <c r="LU2" s="14" t="s">
        <v>82</v>
      </c>
      <c r="LV2" s="14" t="s">
        <v>18</v>
      </c>
      <c r="LW2" s="14" t="s">
        <v>63</v>
      </c>
      <c r="LX2" s="14" t="s">
        <v>83</v>
      </c>
      <c r="LY2" s="14" t="s">
        <v>19</v>
      </c>
      <c r="LZ2" s="14" t="s">
        <v>21</v>
      </c>
      <c r="MA2" s="14" t="s">
        <v>87</v>
      </c>
      <c r="MB2" s="14" t="s">
        <v>88</v>
      </c>
      <c r="MC2" s="14" t="s">
        <v>86</v>
      </c>
      <c r="MD2" s="14" t="s">
        <v>84</v>
      </c>
      <c r="ME2" s="14" t="s">
        <v>85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86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81</v>
      </c>
      <c r="NC2" s="13" t="s">
        <v>82</v>
      </c>
      <c r="ND2" s="13" t="s">
        <v>18</v>
      </c>
      <c r="NE2" s="13" t="s">
        <v>63</v>
      </c>
      <c r="NF2" s="13" t="s">
        <v>83</v>
      </c>
      <c r="NG2" s="13" t="s">
        <v>19</v>
      </c>
      <c r="NH2" s="13" t="s">
        <v>21</v>
      </c>
      <c r="NI2" s="13" t="s">
        <v>87</v>
      </c>
      <c r="NJ2" s="13" t="s">
        <v>88</v>
      </c>
      <c r="NK2" s="13" t="s">
        <v>86</v>
      </c>
      <c r="NL2" s="13" t="s">
        <v>84</v>
      </c>
      <c r="NM2" s="13" t="s">
        <v>85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86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81</v>
      </c>
      <c r="OK2" s="14" t="s">
        <v>82</v>
      </c>
      <c r="OL2" s="14" t="s">
        <v>18</v>
      </c>
      <c r="OM2" s="14" t="s">
        <v>63</v>
      </c>
      <c r="ON2" s="14" t="s">
        <v>83</v>
      </c>
      <c r="OO2" s="14" t="s">
        <v>19</v>
      </c>
      <c r="OP2" s="14" t="s">
        <v>21</v>
      </c>
      <c r="OQ2" s="14" t="s">
        <v>87</v>
      </c>
      <c r="OR2" s="14" t="s">
        <v>88</v>
      </c>
      <c r="OS2" s="14" t="s">
        <v>86</v>
      </c>
      <c r="OT2" s="14" t="s">
        <v>84</v>
      </c>
      <c r="OU2" s="14" t="s">
        <v>85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86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81</v>
      </c>
      <c r="PS2" s="13" t="s">
        <v>82</v>
      </c>
      <c r="PT2" s="13" t="s">
        <v>18</v>
      </c>
      <c r="PU2" s="13" t="s">
        <v>63</v>
      </c>
      <c r="PV2" s="13" t="s">
        <v>83</v>
      </c>
      <c r="PW2" s="13" t="s">
        <v>19</v>
      </c>
      <c r="PX2" s="13" t="s">
        <v>21</v>
      </c>
      <c r="PY2" s="13" t="s">
        <v>87</v>
      </c>
      <c r="PZ2" s="13" t="s">
        <v>88</v>
      </c>
      <c r="QA2" s="13" t="s">
        <v>86</v>
      </c>
      <c r="QB2" s="13" t="s">
        <v>84</v>
      </c>
      <c r="QC2" s="13" t="s">
        <v>85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86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81</v>
      </c>
      <c r="RA2" s="14" t="s">
        <v>82</v>
      </c>
      <c r="RB2" s="14" t="s">
        <v>18</v>
      </c>
      <c r="RC2" s="14" t="s">
        <v>63</v>
      </c>
      <c r="RD2" s="14" t="s">
        <v>83</v>
      </c>
      <c r="RE2" s="14" t="s">
        <v>19</v>
      </c>
      <c r="RF2" s="14" t="s">
        <v>21</v>
      </c>
      <c r="RG2" s="14" t="s">
        <v>87</v>
      </c>
      <c r="RH2" s="14" t="s">
        <v>88</v>
      </c>
      <c r="RI2" s="14" t="s">
        <v>86</v>
      </c>
      <c r="RJ2" s="14" t="s">
        <v>84</v>
      </c>
      <c r="RK2" s="14" t="s">
        <v>85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86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81</v>
      </c>
      <c r="SI2" s="13" t="s">
        <v>82</v>
      </c>
      <c r="SJ2" s="13" t="s">
        <v>18</v>
      </c>
      <c r="SK2" s="13" t="s">
        <v>63</v>
      </c>
      <c r="SL2" s="13" t="s">
        <v>83</v>
      </c>
      <c r="SM2" s="13" t="s">
        <v>19</v>
      </c>
      <c r="SN2" s="13" t="s">
        <v>21</v>
      </c>
      <c r="SO2" s="13" t="s">
        <v>87</v>
      </c>
      <c r="SP2" s="13" t="s">
        <v>88</v>
      </c>
      <c r="SQ2" s="13" t="s">
        <v>86</v>
      </c>
      <c r="SR2" s="13" t="s">
        <v>84</v>
      </c>
      <c r="SS2" s="13" t="s">
        <v>85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81</v>
      </c>
      <c r="TM2" s="14" t="s">
        <v>82</v>
      </c>
      <c r="TN2" s="14" t="s">
        <v>18</v>
      </c>
      <c r="TO2" s="14" t="s">
        <v>63</v>
      </c>
      <c r="TP2" s="14" t="s">
        <v>83</v>
      </c>
      <c r="TQ2" s="14" t="s">
        <v>19</v>
      </c>
      <c r="TR2" s="14" t="s">
        <v>21</v>
      </c>
      <c r="TS2" s="14" t="s">
        <v>84</v>
      </c>
      <c r="TT2" s="14" t="s">
        <v>85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71</v>
      </c>
      <c r="D4" s="4" t="s">
        <v>5</v>
      </c>
      <c r="E4" s="4">
        <v>2003</v>
      </c>
      <c r="F4" s="9">
        <f t="shared" ref="F4:F33" si="0">SUM(L4:V4)+SUM(L4:T4)*0.0000001+SUM(L4)*0.0000000000001</f>
        <v>200.60001981300556</v>
      </c>
      <c r="G4" s="66" t="s">
        <v>46</v>
      </c>
      <c r="H4" s="3" t="str">
        <f t="shared" ref="H4:H33" si="1">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P","")</f>
        <v>P</v>
      </c>
      <c r="I4" s="3" t="str">
        <f t="shared" ref="I4:I33" si="2">IF(OR(AND(AQ4&gt;=AY$40,AQ4&lt;&gt;"",AN4=""),AND(AT4&gt;=AY$40,AT4&lt;&gt;"",AN4=""),AND(AX4&gt;=AY$40,AX4&lt;&gt;"",AN4=""),AND(BR4&gt;=BZ$40,BR4&lt;&gt;"",BO4=""),AND(BU4&gt;=BZ$40,BU4&lt;&gt;"",BO4=""),AND(BY4&gt;=BZ$40,BY4&lt;&gt;"",BO4=""),AND(CS4&gt;=DA$40,CS4&lt;&gt;"",CP4=""),AND(CV4&gt;=DA$40,CV4&lt;&gt;"",CP4=""),AND(CZ4&gt;=DA$40,CZ4&lt;&gt;"",CP4=""),AND(DZ4&gt;=EK$40,DZ4&lt;&gt;""),AND(EC4&gt;=EK$40,EC4&lt;&gt;""),AND(EG4&gt;=EK$40,EG4&lt;&gt;""),AND(EJ4&gt;=EK$40,EJ4&lt;&gt;""),AND(FH4&gt;=FS$40,FH4&lt;&gt;""),AND(FK4&gt;=FS$40,FK4&lt;&gt;""),AND(FO4&gt;=FS$40,FO4&lt;&gt;""),AND(FR4&gt;=FS$40,FR4&lt;&gt;""),AND(GP4&gt;=HA$40,GP4&lt;&gt;""),AND(GS4&gt;=HA$40,GS4&lt;&gt;""),AND(GW4&gt;=HA$40,GW4&lt;&gt;""),AND(GZ4&gt;=HA$40,GZ4&lt;&gt;""),AND(HX4&gt;=II$40,HX4&lt;&gt;""),AND(IA4&gt;=II$40,IA4&lt;&gt;""),AND(IE4&gt;=II$40,IE4&lt;&gt;""),AND(IH4&gt;=II$40,IH4&lt;&gt;""),AND(JF4&gt;=JQ$40,JF4&lt;&gt;""),AND(JI4&gt;=JQ$40,JI4&lt;&gt;""),AND(JM4&gt;=JQ$40,JM4&lt;&gt;""),AND(JP4&gt;=JQ$40,JP4&lt;&gt;""),AND(KN4&gt;=KY$40,KN4&lt;&gt;""),AND(KQ4&gt;=KY$40,KQ4&lt;&gt;""),AND(KU4&gt;=KY$40,KU4&lt;&gt;""),AND(KX4&gt;=KY$40,KX4&lt;&gt;""),AND(LV4&gt;=MG$40,LV4&lt;&gt;""),AND(LY4&gt;=MG$40,LY4&lt;&gt;""),AND(MC4&gt;=MG$40,MC4&lt;&gt;""),AND(MF4&gt;=MG$40,MF4&lt;&gt;""),AND(ND4&gt;=NO$40,ND4&lt;&gt;""),AND(NG4&gt;=NO$40,NG4&lt;&gt;""),AND(NK4&gt;=NO$40,NK4&lt;&gt;""),AND(NN4&gt;=NO$40,NN4&lt;&gt;""),AND(OL4&gt;=OW$40,OL4&lt;&gt;""),AND(OO4&gt;=OW$40,OO4&lt;&gt;""),AND(OS4&gt;=OW$40,OS4&lt;&gt;""),AND(OV4&gt;=OW$40,OV4&lt;&gt;""),AND(PT4&gt;=QE$40,PT4&lt;&gt;""),AND(PW4&gt;=QE$40,PW4&lt;&gt;""),AND(QA4&gt;=QE$40,QA4&lt;&gt;""),AND(QD4&gt;=QE$40,QD4&lt;&gt;""),AND(RB4&gt;=RM$40,RB4&lt;&gt;""),AND(RE4&gt;=RM$40,RE4&lt;&gt;""),AND(RI4&gt;=RM$40,RI4&lt;&gt;""),AND(RL4&gt;=RM$40,RL4&lt;&gt;""),AND(SJ4&gt;=SU$40,SJ4&lt;&gt;""),AND(SM4&gt;=SU$40,SM4&lt;&gt;""),AND(SQ4&gt;=SU$40,SQ4&lt;&gt;""),AND(ST4&gt;=SU$40,ST4&lt;&gt;"")),"P","")</f>
        <v>P</v>
      </c>
      <c r="J4" s="36" t="str">
        <f t="shared" ref="J4:J33" si="3">IF(AND(I4="P",H4=""),"No DD",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Merit",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Excellence",IF(K4="P","Worlds Team",IF(H4="P","National Team","")))))</f>
        <v>National Team</v>
      </c>
      <c r="K4" s="3" t="str">
        <f t="shared" ref="K4:K33" si="4">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P","")</f>
        <v/>
      </c>
      <c r="L4" s="8">
        <f>IF(COUNT(AQ4,AT4,BR4,BU4,CS4,CV4)&gt;0,LARGE((AQ4,AT4,BR4,BU4,CS4,CV4),1),0)</f>
        <v>55.540000000000006</v>
      </c>
      <c r="M4" s="8" t="str">
        <f t="shared" ref="M4:M33" si="5">IF(L4="","",IF(OR(L4=CS4,L4=CV4),$CA$1,IF(OR(L4=BR4,L4=BU4),$AZ$1,IF(OR(L4=AQ4,L4=AT4),$Y$1,""))))</f>
        <v>2023 Elite Canada</v>
      </c>
      <c r="N4" s="8">
        <f>IF(COUNT(AQ4,AT4,BR4,BU4,CS4,CV4)&gt;1,LARGE((AQ4,AT4,BR4,BU4,CS4,CV4),2),0)</f>
        <v>54.879999999999995</v>
      </c>
      <c r="O4" s="8" t="str">
        <f t="shared" ref="O4:O33" si="6">IF(N4="","",IF(OR(N4=CS4,N4=CV4),$CA$1,IF(OR(N4=BR4,N4=BU4),$AZ$1,IF(OR(N4=AQ4,N4=AT4),$Y$1,""))))</f>
        <v>2023 Nationals</v>
      </c>
      <c r="P4" s="8">
        <f>IF(COUNT(AQ4,AT4,BR4,BU4,CS4,CV4)&gt;2,MAX(AX4,BY4,CZ4,LARGE((AQ4,AT4,BR4,BU4,CS4,CV4),3)),IF(MAX(AX4,BY4,CZ4)&gt;0,MAX(AX4,BY4,CZ4),0))</f>
        <v>54.32</v>
      </c>
      <c r="Q4" s="8" t="str">
        <f t="shared" ref="Q4:Q33" si="7">IF(P4="","",IF(OR(P4=CS4,P4=CV4,P4=CZ4),$CA$1,IF(OR(P4=BR4,P4=BU4,P4=BY4),$AZ$1,IF(OR(P4=AQ4,P4=AT4,P4=AX4),$Y$1,""))))</f>
        <v>2023 Elite Canada</v>
      </c>
      <c r="R4" s="8">
        <f t="shared" ref="R4:R33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 t="shared" ref="S4:S33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 t="shared" ref="T4:T33" si="10">IF(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&gt;0,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,0)</f>
        <v>16.989999999999998</v>
      </c>
      <c r="U4" s="8" t="str">
        <f t="shared" ref="U4:U33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 t="shared" ref="V4:V33" si="12">IF(MAX(DB4,DC4)&gt;0,MAX(DB4,DC4),"")</f>
        <v>2.4699999999999918</v>
      </c>
      <c r="W4" s="11" t="str">
        <f t="shared" ref="W4:W33" si="13">IF(V4="","",IF(V4=DB4,"("&amp;DB$2&amp;")",IF(V4=DC4,"("&amp;DC$2&amp;")")))</f>
        <v>(Optional)</v>
      </c>
      <c r="X4" s="8" t="str">
        <f t="shared" ref="X4:X33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14.6</v>
      </c>
      <c r="Z4" s="22">
        <v>9</v>
      </c>
      <c r="AA4" s="22">
        <v>14.8</v>
      </c>
      <c r="AB4" s="22">
        <v>15.62</v>
      </c>
      <c r="AC4" s="22">
        <v>0</v>
      </c>
      <c r="AD4" s="22">
        <v>14.9</v>
      </c>
      <c r="AE4" s="22">
        <v>9</v>
      </c>
      <c r="AF4" s="22">
        <v>15.8</v>
      </c>
      <c r="AG4" s="22">
        <v>15.84</v>
      </c>
      <c r="AH4" s="22">
        <v>0</v>
      </c>
      <c r="AI4" s="22">
        <v>14.7</v>
      </c>
      <c r="AJ4" s="22">
        <v>9</v>
      </c>
      <c r="AK4" s="22">
        <v>14.8</v>
      </c>
      <c r="AL4" s="22">
        <v>15.82</v>
      </c>
      <c r="AM4" s="22">
        <v>0</v>
      </c>
      <c r="AN4" s="27"/>
      <c r="AO4" s="38">
        <f t="shared" ref="AO4:AO33" si="15">IF(AA4&gt;0,AA4,"")</f>
        <v>14.8</v>
      </c>
      <c r="AP4" s="38">
        <f t="shared" ref="AP4:AP33" si="16">IF(AB4&gt;0,AB4,"")</f>
        <v>15.62</v>
      </c>
      <c r="AQ4" s="40">
        <f t="shared" ref="AQ4:AQ33" si="17">IF(SUM(Y4:AB4)-AC4&gt;0,SUM(Y4:AB4)-AC4,"")</f>
        <v>54.02</v>
      </c>
      <c r="AR4" s="40">
        <f t="shared" ref="AR4:AR33" si="18">IF(AF4&gt;0,AF4,"")</f>
        <v>15.8</v>
      </c>
      <c r="AS4" s="40">
        <f t="shared" ref="AS4:AS33" si="19">IF(AG4&gt;0,AG4,"")</f>
        <v>15.84</v>
      </c>
      <c r="AT4" s="40">
        <f t="shared" ref="AT4:AT33" si="20">IF(SUM(AD4:AG4)-AH4&gt;0,SUM(AD4:AG4)-AH4,"")</f>
        <v>55.540000000000006</v>
      </c>
      <c r="AU4" s="40">
        <f t="shared" ref="AU4:AU33" si="21">IF(AQ4="","",MAX(AQ4,AT4))</f>
        <v>55.540000000000006</v>
      </c>
      <c r="AV4" s="40">
        <f t="shared" ref="AV4:AV33" si="22">IF(AK4&gt;0,AK4,"")</f>
        <v>14.8</v>
      </c>
      <c r="AW4" s="40">
        <f t="shared" ref="AW4:AW33" si="23">IF(AL4&gt;0,AL4,"")</f>
        <v>15.82</v>
      </c>
      <c r="AX4" s="40">
        <f t="shared" ref="AX4:AX33" si="24">IF(SUM(AI4:AL4)-AM4&gt;0,SUM(AI4:AL4)-AM4,"")</f>
        <v>54.32</v>
      </c>
      <c r="AY4" s="40">
        <f t="shared" ref="AY4:AY33" si="25">IF(SUM(AU4,AX4)&gt;0,SUM(AU4,AX4),"")</f>
        <v>109.86000000000001</v>
      </c>
      <c r="AZ4" s="26">
        <v>14.1</v>
      </c>
      <c r="BA4" s="26">
        <v>9</v>
      </c>
      <c r="BB4" s="26">
        <v>15.4</v>
      </c>
      <c r="BC4" s="26">
        <v>16.38</v>
      </c>
      <c r="BD4" s="26">
        <v>0</v>
      </c>
      <c r="BE4" s="26">
        <v>1.8</v>
      </c>
      <c r="BF4" s="26">
        <v>0.9</v>
      </c>
      <c r="BG4" s="26">
        <v>2</v>
      </c>
      <c r="BH4" s="26">
        <v>1.75</v>
      </c>
      <c r="BI4" s="26">
        <v>0</v>
      </c>
      <c r="BJ4" s="26">
        <v>1.7</v>
      </c>
      <c r="BK4" s="26">
        <v>0.8</v>
      </c>
      <c r="BL4" s="26">
        <v>2</v>
      </c>
      <c r="BM4" s="26">
        <v>1.76</v>
      </c>
      <c r="BN4" s="26">
        <v>0</v>
      </c>
      <c r="BO4" s="28"/>
      <c r="BP4" s="39">
        <f t="shared" ref="BP4:BP33" si="26">IF(BB4&gt;0,BB4,"")</f>
        <v>15.4</v>
      </c>
      <c r="BQ4" s="39">
        <f t="shared" ref="BQ4:BQ33" si="27">IF(BC4&gt;0,BC4,"")</f>
        <v>16.38</v>
      </c>
      <c r="BR4" s="11">
        <f t="shared" ref="BR4:BR33" si="28">IF(SUM(AZ4:BC4)-BD4&gt;0,SUM(AZ4:BC4)-BD4,"")</f>
        <v>54.879999999999995</v>
      </c>
      <c r="BS4" s="11">
        <f t="shared" ref="BS4:BS33" si="29">IF(BG4&gt;0,BG4,"")</f>
        <v>2</v>
      </c>
      <c r="BT4" s="11">
        <f t="shared" ref="BT4:BT33" si="30">IF(BH4&gt;0,BH4,"")</f>
        <v>1.75</v>
      </c>
      <c r="BU4" s="11">
        <f t="shared" ref="BU4:BU33" si="31">IF(SUM(BE4:BH4)-BI4&gt;0,SUM(BE4:BH4)-BI4,"")</f>
        <v>6.45</v>
      </c>
      <c r="BV4" s="11">
        <f t="shared" ref="BV4:BV33" si="32">IF(BR4="","",MAX(BR4,BU4))</f>
        <v>54.879999999999995</v>
      </c>
      <c r="BW4" s="11">
        <f t="shared" ref="BW4:BW33" si="33">IF(BL4&gt;0,BL4,"")</f>
        <v>2</v>
      </c>
      <c r="BX4" s="11">
        <f t="shared" ref="BX4:BX33" si="34">IF(BM4&gt;0,BM4,"")</f>
        <v>1.76</v>
      </c>
      <c r="BY4" s="11">
        <f t="shared" ref="BY4:BY33" si="35">IF(SUM(BJ4:BM4)-BN4&gt;0,SUM(BJ4:BM4)-BN4,"")</f>
        <v>6.26</v>
      </c>
      <c r="BZ4" s="11">
        <f t="shared" ref="BZ4:BZ33" si="36">IF(SUM(BV4,BY4)&gt;0,SUM(BV4,BY4),"")</f>
        <v>61.139999999999993</v>
      </c>
      <c r="CA4" s="22">
        <v>10.3</v>
      </c>
      <c r="CB4" s="22">
        <v>6</v>
      </c>
      <c r="CC4" s="22">
        <v>10</v>
      </c>
      <c r="CD4" s="22">
        <v>11.73</v>
      </c>
      <c r="CE4" s="22">
        <v>0</v>
      </c>
      <c r="CF4" s="22">
        <v>13.9</v>
      </c>
      <c r="CG4" s="22">
        <v>9</v>
      </c>
      <c r="CH4" s="22">
        <v>14.7</v>
      </c>
      <c r="CI4" s="22">
        <v>16.48</v>
      </c>
      <c r="CJ4" s="22">
        <v>0</v>
      </c>
      <c r="CK4" s="22">
        <v>1.6</v>
      </c>
      <c r="CL4" s="22">
        <v>1</v>
      </c>
      <c r="CM4" s="22">
        <v>2</v>
      </c>
      <c r="CN4" s="22">
        <v>1.8</v>
      </c>
      <c r="CO4" s="22">
        <v>0</v>
      </c>
      <c r="CP4" s="27"/>
      <c r="CQ4" s="38">
        <f t="shared" ref="CQ4:CQ33" si="37">IF(CC4&gt;0,CC4,"")</f>
        <v>10</v>
      </c>
      <c r="CR4" s="38">
        <f t="shared" ref="CR4:CR33" si="38">IF(CD4&gt;0,CD4,"")</f>
        <v>11.73</v>
      </c>
      <c r="CS4" s="40">
        <f t="shared" ref="CS4:CS33" si="39">IF(SUM(CA4:CD4)-CE4&gt;0,SUM(CA4:CD4)-CE4,"")</f>
        <v>38.03</v>
      </c>
      <c r="CT4" s="40">
        <f t="shared" ref="CT4:CT33" si="40">IF(CH4&gt;0,CH4,"")</f>
        <v>14.7</v>
      </c>
      <c r="CU4" s="40">
        <f t="shared" ref="CU4:CU33" si="41">IF(CI4&gt;0,CI4,"")</f>
        <v>16.48</v>
      </c>
      <c r="CV4" s="40">
        <f t="shared" ref="CV4:CV33" si="42">IF(SUM(CF4:CI4)-CJ4&gt;0,SUM(CF4:CI4)-CJ4,"")</f>
        <v>54.08</v>
      </c>
      <c r="CW4" s="40">
        <f t="shared" ref="CW4:CW33" si="43">IF(CS4="","",MAX(CS4,CV4))</f>
        <v>54.08</v>
      </c>
      <c r="CX4" s="40">
        <f t="shared" ref="CX4:CX33" si="44">IF(CM4&gt;0,CM4,"")</f>
        <v>2</v>
      </c>
      <c r="CY4" s="40">
        <f t="shared" ref="CY4:CY33" si="45">IF(CN4&gt;0,CN4,"")</f>
        <v>1.8</v>
      </c>
      <c r="CZ4" s="40">
        <f t="shared" ref="CZ4:CZ33" si="46">IF(SUM(CK4:CN4)-CO4&gt;0,SUM(CK4:CN4)-CO4,"")</f>
        <v>6.3999999999999995</v>
      </c>
      <c r="DA4" s="40">
        <f t="shared" ref="DA4:DA33" si="47">IF(SUM(CW4,CZ4)&gt;0,SUM(CW4,CZ4),"")</f>
        <v>60.48</v>
      </c>
      <c r="DB4" s="50">
        <f t="shared" ref="DB4:DB33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2.4699999999999918</v>
      </c>
      <c r="DC4" s="50" t="str">
        <f t="shared" ref="DC4:DC33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>
        <v>12.2</v>
      </c>
      <c r="DJ4" s="17">
        <v>9.1</v>
      </c>
      <c r="DK4" s="17">
        <v>15</v>
      </c>
      <c r="DL4" s="17">
        <v>16.309999999999999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3" si="50">IF(DF4&gt;0,DF4,"")</f>
        <v/>
      </c>
      <c r="DY4" s="40" t="str">
        <f t="shared" ref="DY4:DY33" si="51">IF(DG4&gt;0,DG4,"")</f>
        <v/>
      </c>
      <c r="DZ4" s="40" t="str">
        <f t="shared" ref="DZ4:DZ33" si="52">IF(SUM(DD4:DG4)-DH4&gt;0,SUM(DD4:DG4)-DH4,"")</f>
        <v/>
      </c>
      <c r="EA4" s="40">
        <f t="shared" ref="EA4:EA33" si="53">IF(DK4&gt;0,DK4,"")</f>
        <v>15</v>
      </c>
      <c r="EB4" s="40">
        <f t="shared" ref="EB4:EB33" si="54">IF(DL4&gt;0,DL4,"")</f>
        <v>16.309999999999999</v>
      </c>
      <c r="EC4" s="40">
        <f t="shared" ref="EC4:EC33" si="55">IF(SUM(DI4:DL4)-DM4&gt;0,SUM(DI4:DL4)-DM4,"")</f>
        <v>52.61</v>
      </c>
      <c r="ED4" s="40">
        <f t="shared" ref="ED4:ED33" si="56">IF(MAX(DZ4,EC4)&gt;0,MAX(DZ4,EC4),"")</f>
        <v>52.61</v>
      </c>
      <c r="EE4" s="40" t="str">
        <f t="shared" ref="EE4:EE33" si="57">IF(DP4&gt;0,DP4,"")</f>
        <v/>
      </c>
      <c r="EF4" s="40" t="str">
        <f t="shared" ref="EF4:EF33" si="58">IF(DQ4&gt;0,DQ4,"")</f>
        <v/>
      </c>
      <c r="EG4" s="40" t="str">
        <f t="shared" ref="EG4:EG33" si="59">IF(SUM(DN4:DQ4)-DR4&gt;0,SUM(DN4:DQ4)-DR4,"")</f>
        <v/>
      </c>
      <c r="EH4" s="40" t="str">
        <f t="shared" ref="EH4:EH33" si="60">IF(DU4&gt;0,DU4,"")</f>
        <v/>
      </c>
      <c r="EI4" s="40" t="str">
        <f t="shared" ref="EI4:EI33" si="61">IF(DV4&gt;0,DV4,"")</f>
        <v/>
      </c>
      <c r="EJ4" s="40" t="str">
        <f t="shared" ref="EJ4:EJ33" si="62">IF(SUM(DS4:DV4)-DW4&gt;0,SUM(DS4:DV4)-DW4,"")</f>
        <v/>
      </c>
      <c r="EK4" s="40">
        <f t="shared" ref="EK4:EK33" si="63">IF(SUM(ED4,EG4,EJ4)&gt;0,SUM(ED4,EG4,EJ4),"")</f>
        <v>52.61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33" si="64">IF(EN4&gt;0,EN4,"")</f>
        <v/>
      </c>
      <c r="FG4" s="11" t="str">
        <f t="shared" ref="FG4:FG33" si="65">IF(EO4&gt;0,EO4,"")</f>
        <v/>
      </c>
      <c r="FH4" s="11" t="str">
        <f t="shared" ref="FH4:FH33" si="66">IF(SUM(EL4:EO4)-EP4&gt;0,SUM(EL4:EO4)-EP4,"")</f>
        <v/>
      </c>
      <c r="FI4" s="11" t="str">
        <f t="shared" ref="FI4:FI33" si="67">IF(ES4&gt;0,ES4,"")</f>
        <v/>
      </c>
      <c r="FJ4" s="11" t="str">
        <f t="shared" ref="FJ4:FJ33" si="68">IF(ET4&gt;0,ET4,"")</f>
        <v/>
      </c>
      <c r="FK4" s="11" t="str">
        <f t="shared" ref="FK4:FK33" si="69">IF(SUM(EQ4:ET4)-EU4&gt;0,SUM(EQ4:ET4)-EU4,"")</f>
        <v/>
      </c>
      <c r="FL4" s="11" t="str">
        <f t="shared" ref="FL4:FL33" si="70">IF(MAX(FH4,FK4)&gt;0,MAX(FH4,FK4),"")</f>
        <v/>
      </c>
      <c r="FM4" s="11" t="str">
        <f t="shared" ref="FM4:FM33" si="71">IF(EX4&gt;0,EX4,"")</f>
        <v/>
      </c>
      <c r="FN4" s="11" t="str">
        <f t="shared" ref="FN4:FN33" si="72">IF(EY4&gt;0,EY4,"")</f>
        <v/>
      </c>
      <c r="FO4" s="11" t="str">
        <f t="shared" ref="FO4:FO33" si="73">IF(SUM(EV4:EY4)-EZ4&gt;0,SUM(EV4:EY4)-EZ4,"")</f>
        <v/>
      </c>
      <c r="FP4" s="11" t="str">
        <f t="shared" ref="FP4:FP33" si="74">IF(FC4&gt;0,FC4,"")</f>
        <v/>
      </c>
      <c r="FQ4" s="11" t="str">
        <f t="shared" ref="FQ4:FQ33" si="75">IF(FD4&gt;0,FD4,"")</f>
        <v/>
      </c>
      <c r="FR4" s="11" t="str">
        <f t="shared" ref="FR4:FR33" si="76">IF(SUM(FA4:FD4)-FE4&gt;0,SUM(FA4:FD4)-FE4,"")</f>
        <v/>
      </c>
      <c r="FS4" s="11" t="str">
        <f t="shared" ref="FS4:FS33" si="77">IF(SUM(FL4,FO4,FR4)&gt;0,SUM(FL4,FO4,FR4),"")</f>
        <v/>
      </c>
      <c r="FT4" s="17">
        <v>14.5</v>
      </c>
      <c r="FU4" s="17">
        <v>9</v>
      </c>
      <c r="FV4" s="17">
        <v>16.2</v>
      </c>
      <c r="FW4" s="17">
        <v>16.100000000000001</v>
      </c>
      <c r="FX4" s="17">
        <v>0</v>
      </c>
      <c r="FY4" s="17">
        <v>14.2</v>
      </c>
      <c r="FZ4" s="17">
        <v>9.1999999999999993</v>
      </c>
      <c r="GA4" s="17">
        <v>16.399999999999999</v>
      </c>
      <c r="GB4" s="17">
        <v>16.989999999999998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 t="shared" ref="GN4:GN33" si="78">IF(FV4&gt;0,FV4,"")</f>
        <v>16.2</v>
      </c>
      <c r="GO4" s="40">
        <f t="shared" ref="GO4:GO33" si="79">IF(FW4&gt;0,FW4,"")</f>
        <v>16.100000000000001</v>
      </c>
      <c r="GP4" s="40">
        <f t="shared" ref="GP4:GP33" si="80">IF(SUM(FT4:FW4)-FX4&gt;0,SUM(FT4:FW4)-FX4,"")</f>
        <v>55.800000000000004</v>
      </c>
      <c r="GQ4" s="40">
        <f t="shared" ref="GQ4:GQ33" si="81">IF(GA4&gt;0,GA4,"")</f>
        <v>16.399999999999999</v>
      </c>
      <c r="GR4" s="40">
        <f t="shared" ref="GR4:GR33" si="82">IF(GB4&gt;0,GB4,"")</f>
        <v>16.989999999999998</v>
      </c>
      <c r="GS4" s="40">
        <f t="shared" ref="GS4:GS33" si="83">IF(SUM(FY4:GB4)-GC4&gt;0,SUM(FY4:GB4)-GC4,"")</f>
        <v>56.789999999999992</v>
      </c>
      <c r="GT4" s="40">
        <f t="shared" ref="GT4:GT33" si="84">IF(MAX(GP4,GS4)&gt;0,MAX(GP4,GS4),"")</f>
        <v>56.789999999999992</v>
      </c>
      <c r="GU4" s="40" t="str">
        <f t="shared" ref="GU4:GU33" si="85">IF(GF4&gt;0,GF4,"")</f>
        <v/>
      </c>
      <c r="GV4" s="40" t="str">
        <f t="shared" ref="GV4:GV33" si="86">IF(GG4&gt;0,GG4,"")</f>
        <v/>
      </c>
      <c r="GW4" s="40" t="str">
        <f t="shared" ref="GW4:GW33" si="87">IF(SUM(GD4:GG4)-GH4&gt;0,SUM(GD4:GG4)-GH4,"")</f>
        <v/>
      </c>
      <c r="GX4" s="40" t="str">
        <f t="shared" ref="GX4:GX33" si="88">IF(GK4&gt;0,GK4,"")</f>
        <v/>
      </c>
      <c r="GY4" s="40" t="str">
        <f t="shared" ref="GY4:GY33" si="89">IF(GL4&gt;0,GL4,"")</f>
        <v/>
      </c>
      <c r="GZ4" s="40" t="str">
        <f t="shared" ref="GZ4:GZ33" si="90">IF(SUM(GI4:GL4)-GM4&gt;0,SUM(GI4:GL4)-GM4,"")</f>
        <v/>
      </c>
      <c r="HA4" s="40">
        <f t="shared" ref="HA4:HA33" si="91">IF(SUM(GT4,GW4,GZ4)&gt;0,SUM(GT4,GW4,GZ4),"")</f>
        <v>56.789999999999992</v>
      </c>
      <c r="HB4" s="18">
        <v>13</v>
      </c>
      <c r="HC4" s="18">
        <v>9.1999999999999993</v>
      </c>
      <c r="HD4" s="18">
        <v>15.8</v>
      </c>
      <c r="HE4" s="18">
        <v>16.510000000000002</v>
      </c>
      <c r="HF4" s="18">
        <v>0</v>
      </c>
      <c r="HG4" s="18">
        <v>13.5</v>
      </c>
      <c r="HH4" s="18">
        <v>8.9</v>
      </c>
      <c r="HI4" s="18">
        <v>15.3</v>
      </c>
      <c r="HJ4" s="18">
        <v>16.62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 t="shared" ref="HV4:HV33" si="92">IF(HD4&gt;0,HD4,"")</f>
        <v>15.8</v>
      </c>
      <c r="HW4" s="11">
        <f t="shared" ref="HW4:HW33" si="93">IF(HE4&gt;0,HE4,"")</f>
        <v>16.510000000000002</v>
      </c>
      <c r="HX4" s="11">
        <f t="shared" ref="HX4:HX33" si="94">IF(SUM(HB4:HE4)-HF4&gt;0,SUM(HB4:HE4)-HF4,"")</f>
        <v>54.510000000000005</v>
      </c>
      <c r="HY4" s="11">
        <f t="shared" ref="HY4:HY33" si="95">IF(HI4&gt;0,HI4,"")</f>
        <v>15.3</v>
      </c>
      <c r="HZ4" s="11">
        <f t="shared" ref="HZ4:HZ33" si="96">IF(HJ4&gt;0,HJ4,"")</f>
        <v>16.62</v>
      </c>
      <c r="IA4" s="11">
        <f t="shared" ref="IA4:IA33" si="97">IF(SUM(HG4:HJ4)-HK4&gt;0,SUM(HG4:HJ4)-HK4,"")</f>
        <v>54.320000000000007</v>
      </c>
      <c r="IB4" s="11">
        <f t="shared" ref="IB4:IB33" si="98">IF(MAX(HX4,IA4)&gt;0,MAX(HX4,IA4),"")</f>
        <v>54.510000000000005</v>
      </c>
      <c r="IC4" s="11" t="str">
        <f t="shared" ref="IC4:IC33" si="99">IF(HN4&gt;0,HN4,"")</f>
        <v/>
      </c>
      <c r="ID4" s="11" t="str">
        <f t="shared" ref="ID4:ID33" si="100">IF(HO4&gt;0,HO4,"")</f>
        <v/>
      </c>
      <c r="IE4" s="11" t="str">
        <f t="shared" ref="IE4:IE33" si="101">IF(SUM(HL4:HO4)-HP4&gt;0,SUM(HL4:HO4)-HP4,"")</f>
        <v/>
      </c>
      <c r="IF4" s="11" t="str">
        <f t="shared" ref="IF4:IF33" si="102">IF(HS4&gt;0,HS4,"")</f>
        <v/>
      </c>
      <c r="IG4" s="11" t="str">
        <f t="shared" ref="IG4:IG33" si="103">IF(HT4&gt;0,HT4,"")</f>
        <v/>
      </c>
      <c r="IH4" s="11" t="str">
        <f t="shared" ref="IH4:IH33" si="104">IF(SUM(HQ4:HT4)-HU4&gt;0,SUM(HQ4:HT4)-HU4,"")</f>
        <v/>
      </c>
      <c r="II4" s="11">
        <f t="shared" ref="II4:II33" si="105">IF(SUM(IB4,IE4,IH4)&gt;0,SUM(IB4,IE4,IH4),"")</f>
        <v>54.510000000000005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33" si="106">IF(IL4&gt;0,IL4,"")</f>
        <v/>
      </c>
      <c r="JE4" s="40" t="str">
        <f t="shared" ref="JE4:JE33" si="107">IF(IM4&gt;0,IM4,"")</f>
        <v/>
      </c>
      <c r="JF4" s="40" t="str">
        <f t="shared" ref="JF4:JF33" si="108">IF(SUM(IJ4:IM4)-IN4&gt;0,SUM(IJ4:IM4)-IN4,"")</f>
        <v/>
      </c>
      <c r="JG4" s="40" t="str">
        <f t="shared" ref="JG4:JG33" si="109">IF(IQ4&gt;0,IQ4,"")</f>
        <v/>
      </c>
      <c r="JH4" s="40" t="str">
        <f t="shared" ref="JH4:JH33" si="110">IF(IR4&gt;0,IR4,"")</f>
        <v/>
      </c>
      <c r="JI4" s="40" t="str">
        <f t="shared" ref="JI4:JI33" si="111">IF(SUM(IO4:IR4)-IS4&gt;0,SUM(IO4:IR4)-IS4,"")</f>
        <v/>
      </c>
      <c r="JJ4" s="40" t="str">
        <f t="shared" ref="JJ4:JJ33" si="112">IF(MAX(JF4,JI4)&gt;0,MAX(JF4,JI4),"")</f>
        <v/>
      </c>
      <c r="JK4" s="40" t="str">
        <f t="shared" ref="JK4:JK33" si="113">IF(IV4&gt;0,IV4,"")</f>
        <v/>
      </c>
      <c r="JL4" s="40" t="str">
        <f t="shared" ref="JL4:JL33" si="114">IF(IW4&gt;0,IW4,"")</f>
        <v/>
      </c>
      <c r="JM4" s="40" t="str">
        <f t="shared" ref="JM4:JM33" si="115">IF(SUM(IT4:IW4)-IX4&gt;0,SUM(IT4:IW4)-IX4,"")</f>
        <v/>
      </c>
      <c r="JN4" s="40" t="str">
        <f t="shared" ref="JN4:JN33" si="116">IF(JA4&gt;0,JA4,"")</f>
        <v/>
      </c>
      <c r="JO4" s="40" t="str">
        <f t="shared" ref="JO4:JO33" si="117">IF(JB4&gt;0,JB4,"")</f>
        <v/>
      </c>
      <c r="JP4" s="40" t="str">
        <f t="shared" ref="JP4:JP33" si="118">IF(SUM(IY4:JB4)-JC4&gt;0,SUM(IY4:JB4)-JC4,"")</f>
        <v/>
      </c>
      <c r="JQ4" s="40" t="str">
        <f t="shared" ref="JQ4:JQ33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3" si="120">IF(JT4&gt;0,JT4,"")</f>
        <v/>
      </c>
      <c r="KM4" s="11" t="str">
        <f t="shared" ref="KM4:KM33" si="121">IF(JU4&gt;0,JU4,"")</f>
        <v/>
      </c>
      <c r="KN4" s="11" t="str">
        <f t="shared" ref="KN4:KN33" si="122">IF(SUM(JR4:JU4)-JV4&gt;0,SUM(JR4:JU4)-JV4,"")</f>
        <v/>
      </c>
      <c r="KO4" s="11" t="str">
        <f t="shared" ref="KO4:KO33" si="123">IF(JY4&gt;0,JY4,"")</f>
        <v/>
      </c>
      <c r="KP4" s="11" t="str">
        <f t="shared" ref="KP4:KP33" si="124">IF(JZ4&gt;0,JZ4,"")</f>
        <v/>
      </c>
      <c r="KQ4" s="11" t="str">
        <f t="shared" ref="KQ4:KQ33" si="125">IF(SUM(JW4:JZ4)-KA4&gt;0,SUM(JW4:JZ4)-KA4,"")</f>
        <v/>
      </c>
      <c r="KR4" s="11" t="str">
        <f t="shared" ref="KR4:KR33" si="126">IF(MAX(KN4,KQ4)&gt;0,MAX(KN4,KQ4),"")</f>
        <v/>
      </c>
      <c r="KS4" s="11" t="str">
        <f t="shared" ref="KS4:KS33" si="127">IF(KD4&gt;0,KD4,"")</f>
        <v/>
      </c>
      <c r="KT4" s="11" t="str">
        <f t="shared" ref="KT4:KT33" si="128">IF(KE4&gt;0,KE4,"")</f>
        <v/>
      </c>
      <c r="KU4" s="11" t="str">
        <f t="shared" ref="KU4:KU33" si="129">IF(SUM(KB4:KE4)-KF4&gt;0,SUM(KB4:KE4)-KF4,"")</f>
        <v/>
      </c>
      <c r="KV4" s="11" t="str">
        <f t="shared" ref="KV4:KV33" si="130">IF(KI4&gt;0,KI4,"")</f>
        <v/>
      </c>
      <c r="KW4" s="11" t="str">
        <f t="shared" ref="KW4:KW33" si="131">IF(KJ4&gt;0,KJ4,"")</f>
        <v/>
      </c>
      <c r="KX4" s="11" t="str">
        <f t="shared" ref="KX4:KX33" si="132">IF(SUM(KG4:KJ4)-KK4&gt;0,SUM(KG4:KJ4)-KK4,"")</f>
        <v/>
      </c>
      <c r="KY4" s="11" t="str">
        <f t="shared" ref="KY4:KY33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3" si="134">IF(LB4&gt;0,LB4,"")</f>
        <v/>
      </c>
      <c r="LU4" s="40" t="str">
        <f t="shared" ref="LU4:LU33" si="135">IF(LC4&gt;0,LC4,"")</f>
        <v/>
      </c>
      <c r="LV4" s="40" t="str">
        <f t="shared" ref="LV4:LV33" si="136">IF(SUM(KZ4:LC4)-LD4&gt;0,SUM(KZ4:LC4)-LD4,"")</f>
        <v/>
      </c>
      <c r="LW4" s="40" t="str">
        <f t="shared" ref="LW4:LW33" si="137">IF(LG4&gt;0,LG4,"")</f>
        <v/>
      </c>
      <c r="LX4" s="40" t="str">
        <f t="shared" ref="LX4:LX33" si="138">IF(LH4&gt;0,LH4,"")</f>
        <v/>
      </c>
      <c r="LY4" s="40" t="str">
        <f t="shared" ref="LY4:LY33" si="139">IF(SUM(LE4:LH4)-LI4&gt;0,SUM(LE4:LH4)-LI4,"")</f>
        <v/>
      </c>
      <c r="LZ4" s="40" t="str">
        <f t="shared" ref="LZ4:LZ33" si="140">IF(MAX(LV4,LY4)&gt;0,MAX(LV4,LY4),"")</f>
        <v/>
      </c>
      <c r="MA4" s="40" t="str">
        <f t="shared" ref="MA4:MA33" si="141">IF(LL4&gt;0,LL4,"")</f>
        <v/>
      </c>
      <c r="MB4" s="40" t="str">
        <f t="shared" ref="MB4:MB33" si="142">IF(LM4&gt;0,LM4,"")</f>
        <v/>
      </c>
      <c r="MC4" s="40" t="str">
        <f t="shared" ref="MC4:MC33" si="143">IF(SUM(LJ4:LM4)-LN4&gt;0,SUM(LJ4:LM4)-LN4,"")</f>
        <v/>
      </c>
      <c r="MD4" s="40" t="str">
        <f t="shared" ref="MD4:MD33" si="144">IF(LQ4&gt;0,LQ4,"")</f>
        <v/>
      </c>
      <c r="ME4" s="40" t="str">
        <f t="shared" ref="ME4:ME33" si="145">IF(LR4&gt;0,LR4,"")</f>
        <v/>
      </c>
      <c r="MF4" s="40" t="str">
        <f t="shared" ref="MF4:MF33" si="146">IF(SUM(LO4:LR4)-LS4&gt;0,SUM(LO4:LR4)-LS4,"")</f>
        <v/>
      </c>
      <c r="MG4" s="40" t="str">
        <f t="shared" ref="MG4:MG33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3" si="148">IF(MJ4&gt;0,MJ4,"")</f>
        <v/>
      </c>
      <c r="NC4" s="11" t="str">
        <f t="shared" ref="NC4:NC33" si="149">IF(MK4&gt;0,MK4,"")</f>
        <v/>
      </c>
      <c r="ND4" s="11" t="str">
        <f t="shared" ref="ND4:ND33" si="150">IF(SUM(MH4:MK4)-ML4&gt;0,SUM(MH4:MK4)-ML4,"")</f>
        <v/>
      </c>
      <c r="NE4" s="11" t="str">
        <f t="shared" ref="NE4:NE33" si="151">IF(MO4&gt;0,MO4,"")</f>
        <v/>
      </c>
      <c r="NF4" s="11" t="str">
        <f t="shared" ref="NF4:NF33" si="152">IF(MP4&gt;0,MP4,"")</f>
        <v/>
      </c>
      <c r="NG4" s="11" t="str">
        <f t="shared" ref="NG4:NG33" si="153">IF(SUM(MM4:MP4)-MQ4&gt;0,SUM(MM4:MP4)-MQ4,"")</f>
        <v/>
      </c>
      <c r="NH4" s="11" t="str">
        <f t="shared" ref="NH4:NH33" si="154">IF(MAX(ND4,NG4)&gt;0,MAX(ND4,NG4),"")</f>
        <v/>
      </c>
      <c r="NI4" s="11" t="str">
        <f t="shared" ref="NI4:NI33" si="155">IF(MT4&gt;0,MT4,"")</f>
        <v/>
      </c>
      <c r="NJ4" s="11" t="str">
        <f t="shared" ref="NJ4:NJ33" si="156">IF(MU4&gt;0,MU4,"")</f>
        <v/>
      </c>
      <c r="NK4" s="11" t="str">
        <f t="shared" ref="NK4:NK33" si="157">IF(SUM(MR4:MU4)-MV4&gt;0,SUM(MR4:MU4)-MV4,"")</f>
        <v/>
      </c>
      <c r="NL4" s="11" t="str">
        <f t="shared" ref="NL4:NL33" si="158">IF(MY4&gt;0,MY4,"")</f>
        <v/>
      </c>
      <c r="NM4" s="11" t="str">
        <f t="shared" ref="NM4:NM33" si="159">IF(MZ4&gt;0,MZ4,"")</f>
        <v/>
      </c>
      <c r="NN4" s="11" t="str">
        <f t="shared" ref="NN4:NN33" si="160">IF(SUM(MW4:MZ4)-NA4&gt;0,SUM(MW4:MZ4)-NA4,"")</f>
        <v/>
      </c>
      <c r="NO4" s="11" t="str">
        <f t="shared" ref="NO4:NO33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3" si="162">IF(NR4&gt;0,NR4,"")</f>
        <v/>
      </c>
      <c r="OK4" s="40" t="str">
        <f t="shared" ref="OK4:OK33" si="163">IF(NS4&gt;0,NS4,"")</f>
        <v/>
      </c>
      <c r="OL4" s="40" t="str">
        <f t="shared" ref="OL4:OL33" si="164">IF(SUM(NP4:NS4)-NT4&gt;0,SUM(NP4:NS4)-NT4,"")</f>
        <v/>
      </c>
      <c r="OM4" s="40" t="str">
        <f t="shared" ref="OM4:OM33" si="165">IF(NW4&gt;0,NW4,"")</f>
        <v/>
      </c>
      <c r="ON4" s="40" t="str">
        <f t="shared" ref="ON4:ON33" si="166">IF(NX4&gt;0,NX4,"")</f>
        <v/>
      </c>
      <c r="OO4" s="40" t="str">
        <f t="shared" ref="OO4:OO33" si="167">IF(SUM(NU4:NX4)-NY4&gt;0,SUM(NU4:NX4)-NY4,"")</f>
        <v/>
      </c>
      <c r="OP4" s="40" t="str">
        <f t="shared" ref="OP4:OP33" si="168">IF(MAX(OL4,OO4)&gt;0,MAX(OL4,OO4),"")</f>
        <v/>
      </c>
      <c r="OQ4" s="40" t="str">
        <f t="shared" ref="OQ4:OQ33" si="169">IF(OB4&gt;0,OB4,"")</f>
        <v/>
      </c>
      <c r="OR4" s="40" t="str">
        <f t="shared" ref="OR4:OR33" si="170">IF(OC4&gt;0,OC4,"")</f>
        <v/>
      </c>
      <c r="OS4" s="40" t="str">
        <f t="shared" ref="OS4:OS33" si="171">IF(SUM(NZ4:OC4)-OD4&gt;0,SUM(NZ4:OC4)-OD4,"")</f>
        <v/>
      </c>
      <c r="OT4" s="40" t="str">
        <f t="shared" ref="OT4:OT33" si="172">IF(OG4&gt;0,OG4,"")</f>
        <v/>
      </c>
      <c r="OU4" s="40" t="str">
        <f t="shared" ref="OU4:OU33" si="173">IF(OH4&gt;0,OH4,"")</f>
        <v/>
      </c>
      <c r="OV4" s="40" t="str">
        <f t="shared" ref="OV4:OV33" si="174">IF(SUM(OE4:OH4)-OI4&gt;0,SUM(OE4:OH4)-OI4,"")</f>
        <v/>
      </c>
      <c r="OW4" s="40" t="str">
        <f t="shared" ref="OW4:OW33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3" si="176">IF(OZ4&gt;0,OZ4,"")</f>
        <v/>
      </c>
      <c r="PS4" s="11" t="str">
        <f t="shared" ref="PS4:PS33" si="177">IF(PA4&gt;0,PA4,"")</f>
        <v/>
      </c>
      <c r="PT4" s="11" t="str">
        <f t="shared" ref="PT4:PT33" si="178">IF(SUM(OX4:PA4)-PB4&gt;0,SUM(OX4:PA4)-PB4,"")</f>
        <v/>
      </c>
      <c r="PU4" s="11" t="str">
        <f t="shared" ref="PU4:PU33" si="179">IF(PE4&gt;0,PE4,"")</f>
        <v/>
      </c>
      <c r="PV4" s="11" t="str">
        <f t="shared" ref="PV4:PV33" si="180">IF(PF4&gt;0,PF4,"")</f>
        <v/>
      </c>
      <c r="PW4" s="11" t="str">
        <f t="shared" ref="PW4:PW33" si="181">IF(SUM(PC4:PF4)-PG4&gt;0,SUM(PC4:PF4)-PG4,"")</f>
        <v/>
      </c>
      <c r="PX4" s="11" t="str">
        <f t="shared" ref="PX4:PX33" si="182">IF(MAX(PT4,PW4)&gt;0,MAX(PT4,PW4),"")</f>
        <v/>
      </c>
      <c r="PY4" s="11" t="str">
        <f t="shared" ref="PY4:PY33" si="183">IF(PJ4&gt;0,PJ4,"")</f>
        <v/>
      </c>
      <c r="PZ4" s="11" t="str">
        <f t="shared" ref="PZ4:PZ33" si="184">IF(PK4&gt;0,PK4,"")</f>
        <v/>
      </c>
      <c r="QA4" s="11" t="str">
        <f t="shared" ref="QA4:QA33" si="185">IF(SUM(PH4:PK4)-PL4&gt;0,SUM(PH4:PK4)-PL4,"")</f>
        <v/>
      </c>
      <c r="QB4" s="11" t="str">
        <f t="shared" ref="QB4:QB33" si="186">IF(PO4&gt;0,PO4,"")</f>
        <v/>
      </c>
      <c r="QC4" s="11" t="str">
        <f t="shared" ref="QC4:QC33" si="187">IF(PP4&gt;0,PP4,"")</f>
        <v/>
      </c>
      <c r="QD4" s="11" t="str">
        <f t="shared" ref="QD4:QD33" si="188">IF(SUM(PM4:PP4)-PQ4&gt;0,SUM(PM4:PP4)-PQ4,"")</f>
        <v/>
      </c>
      <c r="QE4" s="11" t="str">
        <f t="shared" ref="QE4:QE33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3" si="190">IF(QH4&gt;0,QH4,"")</f>
        <v/>
      </c>
      <c r="RA4" s="40" t="str">
        <f t="shared" ref="RA4:RA33" si="191">IF(QI4&gt;0,QI4,"")</f>
        <v/>
      </c>
      <c r="RB4" s="40" t="str">
        <f t="shared" ref="RB4:RB33" si="192">IF(SUM(QF4:QI4)-QJ4&gt;0,SUM(QF4:QI4)-QJ4,"")</f>
        <v/>
      </c>
      <c r="RC4" s="40" t="str">
        <f t="shared" ref="RC4:RC33" si="193">IF(QM4&gt;0,QM4,"")</f>
        <v/>
      </c>
      <c r="RD4" s="40" t="str">
        <f t="shared" ref="RD4:RD33" si="194">IF(QN4&gt;0,QN4,"")</f>
        <v/>
      </c>
      <c r="RE4" s="40" t="str">
        <f t="shared" ref="RE4:RE33" si="195">IF(SUM(QK4:QN4)-QO4&gt;0,SUM(QK4:QN4)-QO4,"")</f>
        <v/>
      </c>
      <c r="RF4" s="40" t="str">
        <f t="shared" ref="RF4:RF33" si="196">IF(MAX(RB4,RE4)&gt;0,MAX(RB4,RE4),"")</f>
        <v/>
      </c>
      <c r="RG4" s="40" t="str">
        <f t="shared" ref="RG4:RG33" si="197">IF(QR4&gt;0,QR4,"")</f>
        <v/>
      </c>
      <c r="RH4" s="40" t="str">
        <f t="shared" ref="RH4:RH33" si="198">IF(QS4&gt;0,QS4,"")</f>
        <v/>
      </c>
      <c r="RI4" s="40" t="str">
        <f t="shared" ref="RI4:RI33" si="199">IF(SUM(QP4:QS4)-QT4&gt;0,SUM(QP4:QS4)-QT4,"")</f>
        <v/>
      </c>
      <c r="RJ4" s="40" t="str">
        <f t="shared" ref="RJ4:RJ33" si="200">IF(QW4&gt;0,QW4,"")</f>
        <v/>
      </c>
      <c r="RK4" s="40" t="str">
        <f t="shared" ref="RK4:RK33" si="201">IF(QX4&gt;0,QX4,"")</f>
        <v/>
      </c>
      <c r="RL4" s="40" t="str">
        <f t="shared" ref="RL4:RL33" si="202">IF(SUM(QU4:QX4)-QY4&gt;0,SUM(QU4:QX4)-QY4,"")</f>
        <v/>
      </c>
      <c r="RM4" s="40" t="str">
        <f t="shared" ref="RM4:RM33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3" si="204">IF(RP4&gt;0,RP4,"")</f>
        <v/>
      </c>
      <c r="SI4" s="11" t="str">
        <f t="shared" ref="SI4:SI33" si="205">IF(RQ4&gt;0,RQ4,"")</f>
        <v/>
      </c>
      <c r="SJ4" s="11" t="str">
        <f t="shared" ref="SJ4:SJ33" si="206">IF(SUM(RN4:RQ4)-RR4&gt;0,SUM(RN4:RQ4)-RR4,"")</f>
        <v/>
      </c>
      <c r="SK4" s="11" t="str">
        <f t="shared" ref="SK4:SK33" si="207">IF(RU4&gt;0,RU4,"")</f>
        <v/>
      </c>
      <c r="SL4" s="11" t="str">
        <f t="shared" ref="SL4:SL33" si="208">IF(RV4&gt;0,RV4,"")</f>
        <v/>
      </c>
      <c r="SM4" s="11" t="str">
        <f t="shared" ref="SM4:SM33" si="209">IF(SUM(RS4:RV4)-RW4&gt;0,SUM(RS4:RV4)-RW4,"")</f>
        <v/>
      </c>
      <c r="SN4" s="11" t="str">
        <f t="shared" ref="SN4:SN33" si="210">IF(MAX(SJ4,SM4)&gt;0,MAX(SJ4,SM4),"")</f>
        <v/>
      </c>
      <c r="SO4" s="11" t="str">
        <f t="shared" ref="SO4:SO33" si="211">IF(RZ4&gt;0,RZ4,"")</f>
        <v/>
      </c>
      <c r="SP4" s="11" t="str">
        <f t="shared" ref="SP4:SP33" si="212">IF(SA4&gt;0,SA4,"")</f>
        <v/>
      </c>
      <c r="SQ4" s="11" t="str">
        <f t="shared" ref="SQ4:SQ33" si="213">IF(SUM(RX4:SA4)-SB4&gt;0,SUM(RX4:SA4)-SB4,"")</f>
        <v/>
      </c>
      <c r="SR4" s="11" t="str">
        <f t="shared" ref="SR4:SR33" si="214">IF(SE4&gt;0,SE4,"")</f>
        <v/>
      </c>
      <c r="SS4" s="11" t="str">
        <f t="shared" ref="SS4:SS33" si="215">IF(SF4&gt;0,SF4,"")</f>
        <v/>
      </c>
      <c r="ST4" s="11" t="str">
        <f t="shared" ref="ST4:ST33" si="216">IF(SUM(SC4:SF4)-SG4&gt;0,SUM(SC4:SF4)-SG4,"")</f>
        <v/>
      </c>
      <c r="SU4" s="11" t="str">
        <f t="shared" ref="SU4:SU33" si="217">IF(SUM(SN4,SQ4,ST4)&gt;0,SUM(SN4,SQ4,ST4),"")</f>
        <v/>
      </c>
      <c r="SV4" s="22">
        <f t="shared" ref="SV4:SV33" si="218">IF($CP4="P",CA4,(CA4+AZ4)/2)</f>
        <v>12.2</v>
      </c>
      <c r="SW4" s="22">
        <f t="shared" ref="SW4:SW33" si="219">IF($CP4="P",CB4,(CB4+BA4)/2)</f>
        <v>7.5</v>
      </c>
      <c r="SX4" s="22">
        <f t="shared" ref="SX4:SX33" si="220">IF($CP4="P",CC4,(CC4+BB4)/2)</f>
        <v>12.7</v>
      </c>
      <c r="SY4" s="22">
        <f t="shared" ref="SY4:SY33" si="221">IF($CP4="P",CD4,(CD4+BC4)/2)</f>
        <v>14.055</v>
      </c>
      <c r="SZ4" s="22">
        <f t="shared" ref="SZ4:SZ33" si="222">IF($CP4="P",CE4,(CE4+BD4)/2)</f>
        <v>0</v>
      </c>
      <c r="TA4" s="22">
        <f t="shared" ref="TA4:TA33" si="223">IF($CP4="P",CF4,(CF4+BE4)/2)</f>
        <v>7.8500000000000005</v>
      </c>
      <c r="TB4" s="22">
        <f t="shared" ref="TB4:TB33" si="224">IF($CP4="P",CG4,(CG4+BF4)/2)</f>
        <v>4.95</v>
      </c>
      <c r="TC4" s="22">
        <f t="shared" ref="TC4:TC33" si="225">IF($CP4="P",CH4,(CH4+BG4)/2)</f>
        <v>8.35</v>
      </c>
      <c r="TD4" s="22">
        <f t="shared" ref="TD4:TD33" si="226">IF($CP4="P",CI4,(CI4+BH4)/2)</f>
        <v>9.1150000000000002</v>
      </c>
      <c r="TE4" s="22">
        <f t="shared" ref="TE4:TE33" si="227">IF($CP4="P",CJ4,(CJ4+BI4)/2)</f>
        <v>0</v>
      </c>
      <c r="TF4" s="22">
        <f t="shared" ref="TF4:TF33" si="228">IF($CP4="P",CK4,(CK4+BJ4)/2)</f>
        <v>1.65</v>
      </c>
      <c r="TG4" s="22">
        <f t="shared" ref="TG4:TG33" si="229">IF($CP4="P",CL4,(CL4+BK4)/2)</f>
        <v>0.9</v>
      </c>
      <c r="TH4" s="22">
        <f t="shared" ref="TH4:TH33" si="230">IF($CP4="P",CM4,(CM4+BL4)/2)</f>
        <v>2</v>
      </c>
      <c r="TI4" s="22">
        <f t="shared" ref="TI4:TI33" si="231">IF($CP4="P",CN4,(CN4+BM4)/2)</f>
        <v>1.78</v>
      </c>
      <c r="TJ4" s="22">
        <f t="shared" ref="TJ4:TJ33" si="232">IF($CP4="P",CO4,(CO4+BN4)/2)</f>
        <v>0</v>
      </c>
      <c r="TK4" s="27" t="s">
        <v>46</v>
      </c>
      <c r="TL4" s="40">
        <f t="shared" ref="TL4:TL33" si="233">IF(SX4&gt;0,SX4,"")</f>
        <v>12.7</v>
      </c>
      <c r="TM4" s="40">
        <f t="shared" ref="TM4:TM33" si="234">IF(SY4&gt;0,SY4,"")</f>
        <v>14.055</v>
      </c>
      <c r="TN4" s="40">
        <f t="shared" ref="TN4:TN33" si="235">IF(SUM(SV4:SY4)-SZ4&gt;0,SUM(SV4:SY4)-SZ4,"")</f>
        <v>46.454999999999998</v>
      </c>
      <c r="TO4" s="40">
        <f t="shared" ref="TO4:TO33" si="236">IF(TC4&gt;0,TC4,"")</f>
        <v>8.35</v>
      </c>
      <c r="TP4" s="40">
        <f t="shared" ref="TP4:TP33" si="237">IF(TD4&gt;0,TD4,"")</f>
        <v>9.1150000000000002</v>
      </c>
      <c r="TQ4" s="40">
        <f t="shared" ref="TQ4:TQ33" si="238">IF(SUM(TA4:TD4)-TE4&gt;0,SUM(TA4:TD4)-TE4,"")</f>
        <v>30.265000000000001</v>
      </c>
      <c r="TR4" s="40">
        <f t="shared" ref="TR4:TR33" si="239">IF(MAX(TN4,TQ4)&gt;0,MAX(TN4,TQ4),"")</f>
        <v>46.454999999999998</v>
      </c>
      <c r="TS4" s="40">
        <f t="shared" ref="TS4:TS33" si="240">IF(TH4&gt;0,TH4,"")</f>
        <v>2</v>
      </c>
      <c r="TT4" s="40">
        <f t="shared" ref="TT4:TT33" si="241">IF(TI4&gt;0,TI4,"")</f>
        <v>1.78</v>
      </c>
      <c r="TU4" s="40">
        <f t="shared" ref="TU4:TU33" si="242">IF(SUM(TF4:TI4)-TJ4&gt;0,SUM(TF4:TI4)-TJ4,"")</f>
        <v>6.33</v>
      </c>
      <c r="TV4" s="40">
        <f t="shared" ref="TV4:TV33" si="243">IF(SUM(TR4,TU4)&gt;0,SUM(TR4,TU4),"")</f>
        <v>52.784999999999997</v>
      </c>
    </row>
    <row r="5" spans="1:542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>1</v>
      </c>
      <c r="C5" s="5" t="s">
        <v>108</v>
      </c>
      <c r="D5" s="4" t="s">
        <v>107</v>
      </c>
      <c r="E5" s="4">
        <v>2004</v>
      </c>
      <c r="F5" s="9">
        <f t="shared" si="0"/>
        <v>193.36001933600551</v>
      </c>
      <c r="G5" s="66"/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54.769999999999996</v>
      </c>
      <c r="M5" s="8" t="str">
        <f t="shared" si="5"/>
        <v>2023 Elite Canada</v>
      </c>
      <c r="N5" s="8">
        <f>IF(COUNT(AQ5,AT5,BR5,BU5,CS5,CV5)&gt;1,LARGE((AQ5,AT5,BR5,BU5,CS5,CV5),2),0)</f>
        <v>53.910000000000004</v>
      </c>
      <c r="O5" s="8" t="str">
        <f t="shared" si="6"/>
        <v>2023 3rd Domestic Trial</v>
      </c>
      <c r="P5" s="8">
        <f>IF(COUNT(AQ5,AT5,BR5,BU5,CS5,CV5)&gt;2,MAX(AX5,BY5,CZ5,LARGE((AQ5,AT5,BR5,BU5,CS5,CV5),3)),IF(MAX(AX5,BY5,CZ5)&gt;0,MAX(AX5,BY5,CZ5),0))</f>
        <v>54.489999999999995</v>
      </c>
      <c r="Q5" s="8" t="str">
        <f t="shared" si="7"/>
        <v>2023 3rd Domestic Trial</v>
      </c>
      <c r="R5" s="8">
        <f t="shared" si="8"/>
        <v>14</v>
      </c>
      <c r="S5" s="8" t="str">
        <f t="shared" si="9"/>
        <v>2023 3rd Domestic Trial</v>
      </c>
      <c r="T5" s="8">
        <f t="shared" si="10"/>
        <v>16.190000000000001</v>
      </c>
      <c r="U5" s="8" t="str">
        <f t="shared" si="11"/>
        <v>2023 3rd Domestic Trial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12.2</v>
      </c>
      <c r="Z5" s="22">
        <v>8.1999999999999993</v>
      </c>
      <c r="AA5" s="22">
        <v>10.7</v>
      </c>
      <c r="AB5" s="22">
        <v>12.55</v>
      </c>
      <c r="AC5" s="22">
        <v>0</v>
      </c>
      <c r="AD5" s="22">
        <v>16</v>
      </c>
      <c r="AE5" s="22">
        <v>9.5</v>
      </c>
      <c r="AF5" s="22">
        <v>13.4</v>
      </c>
      <c r="AG5" s="22">
        <v>15.97</v>
      </c>
      <c r="AH5" s="22">
        <v>0.1</v>
      </c>
      <c r="AI5" s="22">
        <v>14.7</v>
      </c>
      <c r="AJ5" s="22">
        <v>8.9</v>
      </c>
      <c r="AK5" s="22">
        <v>13.4</v>
      </c>
      <c r="AL5" s="22">
        <v>15.87</v>
      </c>
      <c r="AM5" s="22">
        <v>0.1</v>
      </c>
      <c r="AN5" s="27"/>
      <c r="AO5" s="38">
        <f t="shared" si="15"/>
        <v>10.7</v>
      </c>
      <c r="AP5" s="38">
        <f t="shared" si="16"/>
        <v>12.55</v>
      </c>
      <c r="AQ5" s="40">
        <f t="shared" si="17"/>
        <v>43.65</v>
      </c>
      <c r="AR5" s="40">
        <f t="shared" si="18"/>
        <v>13.4</v>
      </c>
      <c r="AS5" s="40">
        <f t="shared" si="19"/>
        <v>15.97</v>
      </c>
      <c r="AT5" s="40">
        <f t="shared" si="20"/>
        <v>54.769999999999996</v>
      </c>
      <c r="AU5" s="40">
        <f t="shared" si="21"/>
        <v>54.769999999999996</v>
      </c>
      <c r="AV5" s="40">
        <f t="shared" si="22"/>
        <v>13.4</v>
      </c>
      <c r="AW5" s="40">
        <f t="shared" si="23"/>
        <v>15.87</v>
      </c>
      <c r="AX5" s="40">
        <f t="shared" si="24"/>
        <v>52.769999999999996</v>
      </c>
      <c r="AY5" s="40">
        <f t="shared" si="25"/>
        <v>107.53999999999999</v>
      </c>
      <c r="AZ5" s="26">
        <v>6.85</v>
      </c>
      <c r="BA5" s="26">
        <v>4.5999999999999996</v>
      </c>
      <c r="BB5" s="26">
        <v>6.35</v>
      </c>
      <c r="BC5" s="26">
        <v>7.1800000000000006</v>
      </c>
      <c r="BD5" s="26">
        <v>0</v>
      </c>
      <c r="BE5" s="26">
        <v>10.9</v>
      </c>
      <c r="BF5" s="26">
        <v>6.65</v>
      </c>
      <c r="BG5" s="26">
        <v>9.4499999999999993</v>
      </c>
      <c r="BH5" s="26">
        <v>11.49</v>
      </c>
      <c r="BI5" s="26">
        <v>0.05</v>
      </c>
      <c r="BJ5" s="26">
        <v>7.35</v>
      </c>
      <c r="BK5" s="26">
        <v>4.45</v>
      </c>
      <c r="BL5" s="26">
        <v>6.7</v>
      </c>
      <c r="BM5" s="26">
        <v>7.9349999999999996</v>
      </c>
      <c r="BN5" s="26">
        <v>0.05</v>
      </c>
      <c r="BO5" s="28" t="s">
        <v>46</v>
      </c>
      <c r="BP5" s="39">
        <f t="shared" si="26"/>
        <v>6.35</v>
      </c>
      <c r="BQ5" s="39">
        <f t="shared" si="27"/>
        <v>7.1800000000000006</v>
      </c>
      <c r="BR5" s="11">
        <f t="shared" si="28"/>
        <v>24.979999999999997</v>
      </c>
      <c r="BS5" s="11">
        <f t="shared" si="29"/>
        <v>9.4499999999999993</v>
      </c>
      <c r="BT5" s="11">
        <f t="shared" si="30"/>
        <v>11.49</v>
      </c>
      <c r="BU5" s="11">
        <f t="shared" si="31"/>
        <v>38.440000000000005</v>
      </c>
      <c r="BV5" s="11">
        <f t="shared" si="32"/>
        <v>38.440000000000005</v>
      </c>
      <c r="BW5" s="11">
        <f t="shared" si="33"/>
        <v>6.7</v>
      </c>
      <c r="BX5" s="11">
        <f t="shared" si="34"/>
        <v>7.9349999999999996</v>
      </c>
      <c r="BY5" s="11">
        <f t="shared" si="35"/>
        <v>26.384999999999998</v>
      </c>
      <c r="BZ5" s="11">
        <f t="shared" si="36"/>
        <v>64.825000000000003</v>
      </c>
      <c r="CA5" s="22">
        <v>11.2</v>
      </c>
      <c r="CB5" s="22">
        <v>7.1</v>
      </c>
      <c r="CC5" s="22">
        <v>10.1</v>
      </c>
      <c r="CD5" s="22">
        <v>13.07</v>
      </c>
      <c r="CE5" s="22">
        <v>0</v>
      </c>
      <c r="CF5" s="22">
        <v>15.3</v>
      </c>
      <c r="CG5" s="22">
        <v>9</v>
      </c>
      <c r="CH5" s="22">
        <v>13.4</v>
      </c>
      <c r="CI5" s="22">
        <v>16.309999999999999</v>
      </c>
      <c r="CJ5" s="22">
        <v>0.1</v>
      </c>
      <c r="CK5" s="22">
        <v>15.8</v>
      </c>
      <c r="CL5" s="22">
        <v>8.5</v>
      </c>
      <c r="CM5" s="22">
        <v>14</v>
      </c>
      <c r="CN5" s="22">
        <v>16.190000000000001</v>
      </c>
      <c r="CO5" s="22">
        <v>0</v>
      </c>
      <c r="CP5" s="27"/>
      <c r="CQ5" s="38">
        <f t="shared" si="37"/>
        <v>10.1</v>
      </c>
      <c r="CR5" s="38">
        <f t="shared" si="38"/>
        <v>13.07</v>
      </c>
      <c r="CS5" s="40">
        <f t="shared" si="39"/>
        <v>41.47</v>
      </c>
      <c r="CT5" s="40">
        <f t="shared" si="40"/>
        <v>13.4</v>
      </c>
      <c r="CU5" s="40">
        <f t="shared" si="41"/>
        <v>16.309999999999999</v>
      </c>
      <c r="CV5" s="40">
        <f t="shared" si="42"/>
        <v>53.910000000000004</v>
      </c>
      <c r="CW5" s="40">
        <f t="shared" si="43"/>
        <v>53.910000000000004</v>
      </c>
      <c r="CX5" s="40">
        <f t="shared" si="44"/>
        <v>14</v>
      </c>
      <c r="CY5" s="40">
        <f t="shared" si="45"/>
        <v>16.190000000000001</v>
      </c>
      <c r="CZ5" s="40">
        <f t="shared" si="46"/>
        <v>54.489999999999995</v>
      </c>
      <c r="DA5" s="40">
        <f t="shared" si="47"/>
        <v>108.4</v>
      </c>
      <c r="DB5" s="50" t="str">
        <f t="shared" si="48"/>
        <v/>
      </c>
      <c r="DC5" s="50" t="str">
        <f t="shared" si="49"/>
        <v/>
      </c>
      <c r="DD5" s="17"/>
      <c r="DE5" s="17"/>
      <c r="DF5" s="17"/>
      <c r="DG5" s="17"/>
      <c r="DH5" s="17"/>
      <c r="DI5" s="17">
        <v>1.4</v>
      </c>
      <c r="DJ5" s="17">
        <v>0.8</v>
      </c>
      <c r="DK5" s="17">
        <v>2</v>
      </c>
      <c r="DL5" s="17">
        <v>1.76</v>
      </c>
      <c r="DM5" s="17">
        <v>0.4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>
        <f t="shared" si="53"/>
        <v>2</v>
      </c>
      <c r="EB5" s="40">
        <f t="shared" si="54"/>
        <v>1.76</v>
      </c>
      <c r="EC5" s="40">
        <f t="shared" si="55"/>
        <v>5.56</v>
      </c>
      <c r="ED5" s="40">
        <f t="shared" si="56"/>
        <v>5.56</v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>
        <f t="shared" si="63"/>
        <v>5.56</v>
      </c>
      <c r="EL5" s="18">
        <v>13.3</v>
      </c>
      <c r="EM5" s="18">
        <v>9.4</v>
      </c>
      <c r="EN5" s="18">
        <v>12.3</v>
      </c>
      <c r="EO5" s="18">
        <v>15.58</v>
      </c>
      <c r="EP5" s="18">
        <v>0</v>
      </c>
      <c r="EQ5" s="18">
        <v>14.7</v>
      </c>
      <c r="ER5" s="18">
        <v>9.1999999999999993</v>
      </c>
      <c r="ES5" s="18">
        <v>13.8</v>
      </c>
      <c r="ET5" s="18">
        <v>15.83</v>
      </c>
      <c r="EU5" s="18">
        <v>0</v>
      </c>
      <c r="EV5" s="18"/>
      <c r="EW5" s="18"/>
      <c r="EX5" s="18"/>
      <c r="EY5" s="18"/>
      <c r="EZ5" s="18"/>
      <c r="FA5" s="18">
        <v>15.1</v>
      </c>
      <c r="FB5" s="18">
        <v>8.8000000000000007</v>
      </c>
      <c r="FC5" s="18">
        <v>13.8</v>
      </c>
      <c r="FD5" s="18">
        <v>15.76</v>
      </c>
      <c r="FE5" s="18">
        <v>0</v>
      </c>
      <c r="FF5" s="11">
        <f t="shared" si="64"/>
        <v>12.3</v>
      </c>
      <c r="FG5" s="11">
        <f t="shared" si="65"/>
        <v>15.58</v>
      </c>
      <c r="FH5" s="11">
        <f t="shared" si="66"/>
        <v>50.58</v>
      </c>
      <c r="FI5" s="11">
        <f t="shared" si="67"/>
        <v>13.8</v>
      </c>
      <c r="FJ5" s="11">
        <f t="shared" si="68"/>
        <v>15.83</v>
      </c>
      <c r="FK5" s="11">
        <f t="shared" si="69"/>
        <v>53.53</v>
      </c>
      <c r="FL5" s="11">
        <f t="shared" si="70"/>
        <v>53.53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>
        <f t="shared" si="74"/>
        <v>13.8</v>
      </c>
      <c r="FQ5" s="11">
        <f t="shared" si="75"/>
        <v>15.76</v>
      </c>
      <c r="FR5" s="11">
        <f t="shared" si="76"/>
        <v>53.46</v>
      </c>
      <c r="FS5" s="11">
        <f t="shared" si="77"/>
        <v>106.99000000000001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9.0249999999999986</v>
      </c>
      <c r="SW5" s="22">
        <f t="shared" si="219"/>
        <v>5.85</v>
      </c>
      <c r="SX5" s="22">
        <f t="shared" si="220"/>
        <v>8.2249999999999996</v>
      </c>
      <c r="SY5" s="22">
        <f t="shared" si="221"/>
        <v>10.125</v>
      </c>
      <c r="SZ5" s="22">
        <f t="shared" si="222"/>
        <v>0</v>
      </c>
      <c r="TA5" s="22">
        <f t="shared" si="223"/>
        <v>13.100000000000001</v>
      </c>
      <c r="TB5" s="22">
        <f t="shared" si="224"/>
        <v>7.8250000000000002</v>
      </c>
      <c r="TC5" s="22">
        <f t="shared" si="225"/>
        <v>11.425000000000001</v>
      </c>
      <c r="TD5" s="22">
        <f t="shared" si="226"/>
        <v>13.899999999999999</v>
      </c>
      <c r="TE5" s="22">
        <f t="shared" si="227"/>
        <v>7.5000000000000011E-2</v>
      </c>
      <c r="TF5" s="22">
        <f t="shared" si="228"/>
        <v>11.574999999999999</v>
      </c>
      <c r="TG5" s="22">
        <f t="shared" si="229"/>
        <v>6.4749999999999996</v>
      </c>
      <c r="TH5" s="22">
        <f t="shared" si="230"/>
        <v>10.35</v>
      </c>
      <c r="TI5" s="22">
        <f t="shared" si="231"/>
        <v>12.0625</v>
      </c>
      <c r="TJ5" s="22">
        <f t="shared" si="232"/>
        <v>2.5000000000000001E-2</v>
      </c>
      <c r="TK5" s="27" t="s">
        <v>46</v>
      </c>
      <c r="TL5" s="40">
        <f t="shared" si="233"/>
        <v>8.2249999999999996</v>
      </c>
      <c r="TM5" s="40">
        <f t="shared" si="234"/>
        <v>10.125</v>
      </c>
      <c r="TN5" s="40">
        <f t="shared" si="235"/>
        <v>33.224999999999994</v>
      </c>
      <c r="TO5" s="40">
        <f t="shared" si="236"/>
        <v>11.425000000000001</v>
      </c>
      <c r="TP5" s="40">
        <f t="shared" si="237"/>
        <v>13.899999999999999</v>
      </c>
      <c r="TQ5" s="40">
        <f t="shared" si="238"/>
        <v>46.174999999999997</v>
      </c>
      <c r="TR5" s="40">
        <f t="shared" si="239"/>
        <v>46.174999999999997</v>
      </c>
      <c r="TS5" s="40">
        <f t="shared" si="240"/>
        <v>10.35</v>
      </c>
      <c r="TT5" s="40">
        <f t="shared" si="241"/>
        <v>12.0625</v>
      </c>
      <c r="TU5" s="40">
        <f t="shared" si="242"/>
        <v>40.4375</v>
      </c>
      <c r="TV5" s="40">
        <f t="shared" si="243"/>
        <v>86.612499999999997</v>
      </c>
    </row>
    <row r="6" spans="1:542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>2</v>
      </c>
      <c r="C6" s="5" t="s">
        <v>182</v>
      </c>
      <c r="D6" s="4" t="s">
        <v>6</v>
      </c>
      <c r="E6" s="4">
        <v>2006</v>
      </c>
      <c r="F6" s="9">
        <f t="shared" si="0"/>
        <v>193.24001932400546</v>
      </c>
      <c r="G6" s="66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54.68</v>
      </c>
      <c r="M6" s="8" t="str">
        <f t="shared" si="5"/>
        <v>2023 Elite Canada</v>
      </c>
      <c r="N6" s="8">
        <f>IF(COUNT(AQ6,AT6,BR6,BU6,CS6,CV6)&gt;1,LARGE((AQ6,AT6,BR6,BU6,CS6,CV6),2),0)</f>
        <v>54.089999999999996</v>
      </c>
      <c r="O6" s="8" t="str">
        <f t="shared" si="6"/>
        <v>2023 Nationals</v>
      </c>
      <c r="P6" s="8">
        <f>IF(COUNT(AQ6,AT6,BR6,BU6,CS6,CV6)&gt;2,MAX(AX6,BY6,CZ6,LARGE((AQ6,AT6,BR6,BU6,CS6,CV6),3)),IF(MAX(AX6,BY6,CZ6)&gt;0,MAX(AX6,BY6,CZ6),0))</f>
        <v>53.35</v>
      </c>
      <c r="Q6" s="8" t="str">
        <f t="shared" si="7"/>
        <v>2023 Nationals</v>
      </c>
      <c r="R6" s="8">
        <f t="shared" si="8"/>
        <v>15.4</v>
      </c>
      <c r="S6" s="8" t="str">
        <f t="shared" si="9"/>
        <v>2023 WAGC (Nov 18)</v>
      </c>
      <c r="T6" s="8">
        <f t="shared" si="10"/>
        <v>15.72</v>
      </c>
      <c r="U6" s="8" t="str">
        <f t="shared" si="11"/>
        <v>2023 WAGC (Nov 18)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5.0999999999999996</v>
      </c>
      <c r="Z6" s="22">
        <v>3.4</v>
      </c>
      <c r="AA6" s="22">
        <v>6.1</v>
      </c>
      <c r="AB6" s="22">
        <v>6.49</v>
      </c>
      <c r="AC6" s="22">
        <v>0</v>
      </c>
      <c r="AD6" s="22">
        <v>15.7</v>
      </c>
      <c r="AE6" s="22">
        <v>9</v>
      </c>
      <c r="AF6" s="22">
        <v>14.4</v>
      </c>
      <c r="AG6" s="22">
        <v>15.58</v>
      </c>
      <c r="AH6" s="22">
        <v>0</v>
      </c>
      <c r="AI6" s="22">
        <v>2.8</v>
      </c>
      <c r="AJ6" s="22">
        <v>1.7</v>
      </c>
      <c r="AK6" s="22">
        <v>3.2</v>
      </c>
      <c r="AL6" s="22">
        <v>3.37</v>
      </c>
      <c r="AM6" s="22">
        <v>0</v>
      </c>
      <c r="AN6" s="27"/>
      <c r="AO6" s="38">
        <f t="shared" si="15"/>
        <v>6.1</v>
      </c>
      <c r="AP6" s="38">
        <f t="shared" si="16"/>
        <v>6.49</v>
      </c>
      <c r="AQ6" s="40">
        <f t="shared" si="17"/>
        <v>21.09</v>
      </c>
      <c r="AR6" s="40">
        <f t="shared" si="18"/>
        <v>14.4</v>
      </c>
      <c r="AS6" s="40">
        <f t="shared" si="19"/>
        <v>15.58</v>
      </c>
      <c r="AT6" s="40">
        <f t="shared" si="20"/>
        <v>54.68</v>
      </c>
      <c r="AU6" s="40">
        <f t="shared" si="21"/>
        <v>54.68</v>
      </c>
      <c r="AV6" s="40">
        <f t="shared" si="22"/>
        <v>3.2</v>
      </c>
      <c r="AW6" s="40">
        <f t="shared" si="23"/>
        <v>3.37</v>
      </c>
      <c r="AX6" s="40">
        <f t="shared" si="24"/>
        <v>11.07</v>
      </c>
      <c r="AY6" s="40">
        <f t="shared" si="25"/>
        <v>65.75</v>
      </c>
      <c r="AZ6" s="26">
        <v>16.3</v>
      </c>
      <c r="BA6" s="26">
        <v>9.1</v>
      </c>
      <c r="BB6" s="26">
        <v>13.5</v>
      </c>
      <c r="BC6" s="26">
        <v>15.19</v>
      </c>
      <c r="BD6" s="26">
        <v>0</v>
      </c>
      <c r="BE6" s="26">
        <v>10.8</v>
      </c>
      <c r="BF6" s="26">
        <v>6.4</v>
      </c>
      <c r="BG6" s="26">
        <v>9.6</v>
      </c>
      <c r="BH6" s="26">
        <v>10.76</v>
      </c>
      <c r="BI6" s="26">
        <v>0</v>
      </c>
      <c r="BJ6" s="26">
        <v>16</v>
      </c>
      <c r="BK6" s="26">
        <v>9.1</v>
      </c>
      <c r="BL6" s="26">
        <v>13.5</v>
      </c>
      <c r="BM6" s="26">
        <v>14.75</v>
      </c>
      <c r="BN6" s="26">
        <v>0</v>
      </c>
      <c r="BO6" s="28"/>
      <c r="BP6" s="39">
        <f t="shared" si="26"/>
        <v>13.5</v>
      </c>
      <c r="BQ6" s="39">
        <f t="shared" si="27"/>
        <v>15.19</v>
      </c>
      <c r="BR6" s="11">
        <f t="shared" si="28"/>
        <v>54.089999999999996</v>
      </c>
      <c r="BS6" s="11">
        <f t="shared" si="29"/>
        <v>9.6</v>
      </c>
      <c r="BT6" s="11">
        <f t="shared" si="30"/>
        <v>10.76</v>
      </c>
      <c r="BU6" s="11">
        <f t="shared" si="31"/>
        <v>37.56</v>
      </c>
      <c r="BV6" s="11">
        <f t="shared" si="32"/>
        <v>54.089999999999996</v>
      </c>
      <c r="BW6" s="11">
        <f t="shared" si="33"/>
        <v>13.5</v>
      </c>
      <c r="BX6" s="11">
        <f t="shared" si="34"/>
        <v>14.75</v>
      </c>
      <c r="BY6" s="11">
        <f t="shared" si="35"/>
        <v>53.35</v>
      </c>
      <c r="BZ6" s="11">
        <f t="shared" si="36"/>
        <v>107.44</v>
      </c>
      <c r="CA6" s="22">
        <v>4.5999999999999996</v>
      </c>
      <c r="CB6" s="22">
        <v>2.5</v>
      </c>
      <c r="CC6" s="22">
        <v>4.9000000000000004</v>
      </c>
      <c r="CD6" s="22">
        <v>5.0999999999999996</v>
      </c>
      <c r="CE6" s="22">
        <v>0</v>
      </c>
      <c r="CF6" s="22">
        <v>6.1</v>
      </c>
      <c r="CG6" s="22">
        <v>3.6</v>
      </c>
      <c r="CH6" s="22">
        <v>6.5</v>
      </c>
      <c r="CI6" s="22">
        <v>6.78</v>
      </c>
      <c r="CJ6" s="22">
        <v>0</v>
      </c>
      <c r="CK6" s="22"/>
      <c r="CL6" s="22"/>
      <c r="CM6" s="22"/>
      <c r="CN6" s="22"/>
      <c r="CO6" s="22"/>
      <c r="CP6" s="27"/>
      <c r="CQ6" s="38">
        <f t="shared" si="37"/>
        <v>4.9000000000000004</v>
      </c>
      <c r="CR6" s="38">
        <f t="shared" si="38"/>
        <v>5.0999999999999996</v>
      </c>
      <c r="CS6" s="40">
        <f t="shared" si="39"/>
        <v>17.100000000000001</v>
      </c>
      <c r="CT6" s="40">
        <f t="shared" si="40"/>
        <v>6.5</v>
      </c>
      <c r="CU6" s="40">
        <f t="shared" si="41"/>
        <v>6.78</v>
      </c>
      <c r="CV6" s="40">
        <f t="shared" si="42"/>
        <v>22.98</v>
      </c>
      <c r="CW6" s="40">
        <f t="shared" si="43"/>
        <v>22.98</v>
      </c>
      <c r="CX6" s="40" t="str">
        <f t="shared" si="44"/>
        <v/>
      </c>
      <c r="CY6" s="40" t="str">
        <f t="shared" si="45"/>
        <v/>
      </c>
      <c r="CZ6" s="40" t="str">
        <f t="shared" si="46"/>
        <v/>
      </c>
      <c r="DA6" s="40">
        <f t="shared" si="47"/>
        <v>22.98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>
        <v>14.3</v>
      </c>
      <c r="DJ6" s="17">
        <v>8.8000000000000007</v>
      </c>
      <c r="DK6" s="17">
        <v>13.5</v>
      </c>
      <c r="DL6" s="17">
        <v>14.65</v>
      </c>
      <c r="DM6" s="17">
        <v>0.2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>
        <f t="shared" si="53"/>
        <v>13.5</v>
      </c>
      <c r="EB6" s="40">
        <f t="shared" si="54"/>
        <v>14.65</v>
      </c>
      <c r="EC6" s="40">
        <f t="shared" si="55"/>
        <v>51.05</v>
      </c>
      <c r="ED6" s="40">
        <f t="shared" si="56"/>
        <v>51.05</v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>
        <f t="shared" si="63"/>
        <v>51.05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 t="str">
        <f t="shared" si="77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>
        <v>12.9</v>
      </c>
      <c r="IK6" s="17">
        <v>9.1999999999999993</v>
      </c>
      <c r="IL6" s="17">
        <v>15.4</v>
      </c>
      <c r="IM6" s="17">
        <v>15.72</v>
      </c>
      <c r="IN6" s="17">
        <v>0</v>
      </c>
      <c r="IO6" s="17">
        <v>1.5</v>
      </c>
      <c r="IP6" s="17">
        <v>1</v>
      </c>
      <c r="IQ6" s="17">
        <v>2</v>
      </c>
      <c r="IR6" s="17">
        <v>1.73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>
        <f t="shared" si="106"/>
        <v>15.4</v>
      </c>
      <c r="JE6" s="40">
        <f t="shared" si="107"/>
        <v>15.72</v>
      </c>
      <c r="JF6" s="40">
        <f t="shared" si="108"/>
        <v>53.22</v>
      </c>
      <c r="JG6" s="40">
        <f t="shared" si="109"/>
        <v>2</v>
      </c>
      <c r="JH6" s="40">
        <f t="shared" si="110"/>
        <v>1.73</v>
      </c>
      <c r="JI6" s="40">
        <f t="shared" si="111"/>
        <v>6.23</v>
      </c>
      <c r="JJ6" s="40">
        <f t="shared" si="112"/>
        <v>53.22</v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>
        <f t="shared" si="119"/>
        <v>53.22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10.45</v>
      </c>
      <c r="SW6" s="22">
        <f t="shared" si="219"/>
        <v>5.8</v>
      </c>
      <c r="SX6" s="22">
        <f t="shared" si="220"/>
        <v>9.1999999999999993</v>
      </c>
      <c r="SY6" s="22">
        <f t="shared" si="221"/>
        <v>10.145</v>
      </c>
      <c r="SZ6" s="22">
        <f t="shared" si="222"/>
        <v>0</v>
      </c>
      <c r="TA6" s="22">
        <f t="shared" si="223"/>
        <v>8.4499999999999993</v>
      </c>
      <c r="TB6" s="22">
        <f t="shared" si="224"/>
        <v>5</v>
      </c>
      <c r="TC6" s="22">
        <f t="shared" si="225"/>
        <v>8.0500000000000007</v>
      </c>
      <c r="TD6" s="22">
        <f t="shared" si="226"/>
        <v>8.77</v>
      </c>
      <c r="TE6" s="22">
        <f t="shared" si="227"/>
        <v>0</v>
      </c>
      <c r="TF6" s="22">
        <f t="shared" si="228"/>
        <v>8</v>
      </c>
      <c r="TG6" s="22">
        <f t="shared" si="229"/>
        <v>4.55</v>
      </c>
      <c r="TH6" s="22">
        <f t="shared" si="230"/>
        <v>6.75</v>
      </c>
      <c r="TI6" s="22">
        <f t="shared" si="231"/>
        <v>7.375</v>
      </c>
      <c r="TJ6" s="22">
        <f t="shared" si="232"/>
        <v>0</v>
      </c>
      <c r="TK6" s="27" t="s">
        <v>46</v>
      </c>
      <c r="TL6" s="40">
        <f t="shared" si="233"/>
        <v>9.1999999999999993</v>
      </c>
      <c r="TM6" s="40">
        <f t="shared" si="234"/>
        <v>10.145</v>
      </c>
      <c r="TN6" s="40">
        <f t="shared" si="235"/>
        <v>35.594999999999999</v>
      </c>
      <c r="TO6" s="40">
        <f t="shared" si="236"/>
        <v>8.0500000000000007</v>
      </c>
      <c r="TP6" s="40">
        <f t="shared" si="237"/>
        <v>8.77</v>
      </c>
      <c r="TQ6" s="40">
        <f t="shared" si="238"/>
        <v>30.27</v>
      </c>
      <c r="TR6" s="40">
        <f t="shared" si="239"/>
        <v>35.594999999999999</v>
      </c>
      <c r="TS6" s="40">
        <f t="shared" si="240"/>
        <v>6.75</v>
      </c>
      <c r="TT6" s="40">
        <f t="shared" si="241"/>
        <v>7.375</v>
      </c>
      <c r="TU6" s="40">
        <f t="shared" si="242"/>
        <v>26.675000000000001</v>
      </c>
      <c r="TV6" s="40">
        <f t="shared" si="243"/>
        <v>62.269999999999996</v>
      </c>
    </row>
    <row r="7" spans="1:542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3</v>
      </c>
      <c r="C7" s="5" t="s">
        <v>104</v>
      </c>
      <c r="D7" s="4" t="s">
        <v>6</v>
      </c>
      <c r="E7" s="4">
        <v>2005</v>
      </c>
      <c r="F7" s="9">
        <f t="shared" si="0"/>
        <v>193.18001931400551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55.14</v>
      </c>
      <c r="M7" s="8" t="str">
        <f t="shared" si="5"/>
        <v>2023 Nationals</v>
      </c>
      <c r="N7" s="8">
        <f>IF(COUNT(AQ7,AT7,BR7,BU7,CS7,CV7)&gt;1,LARGE((AQ7,AT7,BR7,BU7,CS7,CV7),2),0)</f>
        <v>54.33</v>
      </c>
      <c r="O7" s="8" t="str">
        <f t="shared" si="6"/>
        <v>2023 Nationals</v>
      </c>
      <c r="P7" s="8">
        <f>IF(COUNT(AQ7,AT7,BR7,BU7,CS7,CV7)&gt;2,MAX(AX7,BY7,CZ7,LARGE((AQ7,AT7,BR7,BU7,CS7,CV7),3)),IF(MAX(AX7,BY7,CZ7)&gt;0,MAX(AX7,BY7,CZ7),0))</f>
        <v>54.13</v>
      </c>
      <c r="Q7" s="8" t="str">
        <f t="shared" si="7"/>
        <v>2023 Nationals</v>
      </c>
      <c r="R7" s="8">
        <f t="shared" si="8"/>
        <v>14.4</v>
      </c>
      <c r="S7" s="8" t="str">
        <f t="shared" si="9"/>
        <v>2023 Nationals</v>
      </c>
      <c r="T7" s="8">
        <f t="shared" si="10"/>
        <v>15.14</v>
      </c>
      <c r="U7" s="8" t="str">
        <f t="shared" si="11"/>
        <v>2023 Nationals</v>
      </c>
      <c r="V7" s="8">
        <f t="shared" si="12"/>
        <v>3.9999999999992042E-2</v>
      </c>
      <c r="W7" s="11" t="str">
        <f t="shared" si="13"/>
        <v>(Optional)</v>
      </c>
      <c r="X7" s="8" t="str">
        <f t="shared" si="14"/>
        <v>2023 Pan Am Club Championships (May 14)</v>
      </c>
      <c r="Y7" s="22">
        <v>15.7</v>
      </c>
      <c r="Z7" s="22">
        <v>9.1</v>
      </c>
      <c r="AA7" s="22">
        <v>14.4</v>
      </c>
      <c r="AB7" s="22">
        <v>14.78</v>
      </c>
      <c r="AC7" s="22">
        <v>0</v>
      </c>
      <c r="AD7" s="22">
        <v>15.3</v>
      </c>
      <c r="AE7" s="22">
        <v>9.1999999999999993</v>
      </c>
      <c r="AF7" s="22">
        <v>14.2</v>
      </c>
      <c r="AG7" s="22">
        <v>14.51</v>
      </c>
      <c r="AH7" s="22">
        <v>0</v>
      </c>
      <c r="AI7" s="22">
        <v>6.5</v>
      </c>
      <c r="AJ7" s="22">
        <v>3.7</v>
      </c>
      <c r="AK7" s="22">
        <v>6.1</v>
      </c>
      <c r="AL7" s="22">
        <v>6.26</v>
      </c>
      <c r="AM7" s="22">
        <v>0</v>
      </c>
      <c r="AN7" s="27"/>
      <c r="AO7" s="38">
        <f t="shared" si="15"/>
        <v>14.4</v>
      </c>
      <c r="AP7" s="38">
        <f t="shared" si="16"/>
        <v>14.78</v>
      </c>
      <c r="AQ7" s="40">
        <f t="shared" si="17"/>
        <v>53.98</v>
      </c>
      <c r="AR7" s="40">
        <f t="shared" si="18"/>
        <v>14.2</v>
      </c>
      <c r="AS7" s="40">
        <f t="shared" si="19"/>
        <v>14.51</v>
      </c>
      <c r="AT7" s="40">
        <f t="shared" si="20"/>
        <v>53.21</v>
      </c>
      <c r="AU7" s="40">
        <f t="shared" si="21"/>
        <v>53.98</v>
      </c>
      <c r="AV7" s="40">
        <f t="shared" si="22"/>
        <v>6.1</v>
      </c>
      <c r="AW7" s="40">
        <f t="shared" si="23"/>
        <v>6.26</v>
      </c>
      <c r="AX7" s="40">
        <f t="shared" si="24"/>
        <v>22.559999999999995</v>
      </c>
      <c r="AY7" s="40">
        <f t="shared" si="25"/>
        <v>76.539999999999992</v>
      </c>
      <c r="AZ7" s="26">
        <v>15.9</v>
      </c>
      <c r="BA7" s="26">
        <v>9.1</v>
      </c>
      <c r="BB7" s="26">
        <v>14.4</v>
      </c>
      <c r="BC7" s="26">
        <v>14.93</v>
      </c>
      <c r="BD7" s="26">
        <v>0</v>
      </c>
      <c r="BE7" s="26">
        <v>16.399999999999999</v>
      </c>
      <c r="BF7" s="26">
        <v>9.1999999999999993</v>
      </c>
      <c r="BG7" s="26">
        <v>14.4</v>
      </c>
      <c r="BH7" s="26">
        <v>15.14</v>
      </c>
      <c r="BI7" s="26">
        <v>0</v>
      </c>
      <c r="BJ7" s="26">
        <v>15.3</v>
      </c>
      <c r="BK7" s="26">
        <v>9.4</v>
      </c>
      <c r="BL7" s="26">
        <v>14.4</v>
      </c>
      <c r="BM7" s="26">
        <v>15.03</v>
      </c>
      <c r="BN7" s="26">
        <v>0</v>
      </c>
      <c r="BO7" s="28"/>
      <c r="BP7" s="39">
        <f t="shared" si="26"/>
        <v>14.4</v>
      </c>
      <c r="BQ7" s="39">
        <f t="shared" si="27"/>
        <v>14.93</v>
      </c>
      <c r="BR7" s="11">
        <f t="shared" si="28"/>
        <v>54.33</v>
      </c>
      <c r="BS7" s="11">
        <f t="shared" si="29"/>
        <v>14.4</v>
      </c>
      <c r="BT7" s="11">
        <f t="shared" si="30"/>
        <v>15.14</v>
      </c>
      <c r="BU7" s="11">
        <f t="shared" si="31"/>
        <v>55.14</v>
      </c>
      <c r="BV7" s="11">
        <f t="shared" si="32"/>
        <v>55.14</v>
      </c>
      <c r="BW7" s="11">
        <f t="shared" si="33"/>
        <v>14.4</v>
      </c>
      <c r="BX7" s="11">
        <f t="shared" si="34"/>
        <v>15.03</v>
      </c>
      <c r="BY7" s="11">
        <f t="shared" si="35"/>
        <v>54.13</v>
      </c>
      <c r="BZ7" s="11">
        <f t="shared" si="36"/>
        <v>109.27000000000001</v>
      </c>
      <c r="CA7" s="22">
        <v>5.8</v>
      </c>
      <c r="CB7" s="22">
        <v>3.4</v>
      </c>
      <c r="CC7" s="22">
        <v>5.9</v>
      </c>
      <c r="CD7" s="22">
        <v>6.18</v>
      </c>
      <c r="CE7" s="22">
        <v>0</v>
      </c>
      <c r="CF7" s="22">
        <v>5.7</v>
      </c>
      <c r="CG7" s="22">
        <v>3.3</v>
      </c>
      <c r="CH7" s="22">
        <v>5.9</v>
      </c>
      <c r="CI7" s="22">
        <v>6.13</v>
      </c>
      <c r="CJ7" s="22">
        <v>0</v>
      </c>
      <c r="CK7" s="22"/>
      <c r="CL7" s="22"/>
      <c r="CM7" s="22"/>
      <c r="CN7" s="22"/>
      <c r="CO7" s="22"/>
      <c r="CP7" s="27"/>
      <c r="CQ7" s="38">
        <f t="shared" si="37"/>
        <v>5.9</v>
      </c>
      <c r="CR7" s="38">
        <f t="shared" si="38"/>
        <v>6.18</v>
      </c>
      <c r="CS7" s="40">
        <f t="shared" si="39"/>
        <v>21.28</v>
      </c>
      <c r="CT7" s="40">
        <f t="shared" si="40"/>
        <v>5.9</v>
      </c>
      <c r="CU7" s="40">
        <f t="shared" si="41"/>
        <v>6.13</v>
      </c>
      <c r="CV7" s="40">
        <f t="shared" si="42"/>
        <v>21.03</v>
      </c>
      <c r="CW7" s="40">
        <f t="shared" si="43"/>
        <v>21.28</v>
      </c>
      <c r="CX7" s="40" t="str">
        <f t="shared" si="44"/>
        <v/>
      </c>
      <c r="CY7" s="40" t="str">
        <f t="shared" si="45"/>
        <v/>
      </c>
      <c r="CZ7" s="40" t="str">
        <f t="shared" si="46"/>
        <v/>
      </c>
      <c r="DA7" s="40">
        <f t="shared" si="47"/>
        <v>21.28</v>
      </c>
      <c r="DB7" s="50">
        <f t="shared" si="48"/>
        <v>3.9999999999992042E-2</v>
      </c>
      <c r="DC7" s="50" t="str">
        <f t="shared" si="49"/>
        <v/>
      </c>
      <c r="DD7" s="17"/>
      <c r="DE7" s="17"/>
      <c r="DF7" s="17"/>
      <c r="DG7" s="17"/>
      <c r="DH7" s="17"/>
      <c r="DI7" s="17">
        <v>14.9</v>
      </c>
      <c r="DJ7" s="17">
        <v>8.6</v>
      </c>
      <c r="DK7" s="17">
        <v>13.3</v>
      </c>
      <c r="DL7" s="17">
        <v>15.04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>
        <f t="shared" si="53"/>
        <v>13.3</v>
      </c>
      <c r="EB7" s="40">
        <f t="shared" si="54"/>
        <v>15.04</v>
      </c>
      <c r="EC7" s="40">
        <f t="shared" si="55"/>
        <v>51.839999999999996</v>
      </c>
      <c r="ED7" s="40">
        <f t="shared" si="56"/>
        <v>51.839999999999996</v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>
        <f t="shared" si="63"/>
        <v>51.839999999999996</v>
      </c>
      <c r="EL7" s="18">
        <v>15.2</v>
      </c>
      <c r="EM7" s="18">
        <v>9.5</v>
      </c>
      <c r="EN7" s="18">
        <v>14.4</v>
      </c>
      <c r="EO7" s="18">
        <v>14.7</v>
      </c>
      <c r="EP7" s="18">
        <v>0</v>
      </c>
      <c r="EQ7" s="18">
        <v>15.7</v>
      </c>
      <c r="ER7" s="18">
        <v>9.1</v>
      </c>
      <c r="ES7" s="18">
        <v>14.4</v>
      </c>
      <c r="ET7" s="18">
        <v>14.97</v>
      </c>
      <c r="EU7" s="18">
        <v>0</v>
      </c>
      <c r="EV7" s="18"/>
      <c r="EW7" s="18"/>
      <c r="EX7" s="18"/>
      <c r="EY7" s="18"/>
      <c r="EZ7" s="18"/>
      <c r="FA7" s="18">
        <v>15.3</v>
      </c>
      <c r="FB7" s="18">
        <v>8.8000000000000007</v>
      </c>
      <c r="FC7" s="18">
        <v>14.4</v>
      </c>
      <c r="FD7" s="18">
        <v>14.8</v>
      </c>
      <c r="FE7" s="18">
        <v>0</v>
      </c>
      <c r="FF7" s="11">
        <f t="shared" si="64"/>
        <v>14.4</v>
      </c>
      <c r="FG7" s="11">
        <f t="shared" si="65"/>
        <v>14.7</v>
      </c>
      <c r="FH7" s="11">
        <f t="shared" si="66"/>
        <v>53.8</v>
      </c>
      <c r="FI7" s="11">
        <f t="shared" si="67"/>
        <v>14.4</v>
      </c>
      <c r="FJ7" s="11">
        <f t="shared" si="68"/>
        <v>14.97</v>
      </c>
      <c r="FK7" s="11">
        <f t="shared" si="69"/>
        <v>54.169999999999995</v>
      </c>
      <c r="FL7" s="11">
        <f t="shared" si="70"/>
        <v>54.169999999999995</v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>
        <f t="shared" si="74"/>
        <v>14.4</v>
      </c>
      <c r="FQ7" s="11">
        <f t="shared" si="75"/>
        <v>14.8</v>
      </c>
      <c r="FR7" s="11">
        <f t="shared" si="76"/>
        <v>53.3</v>
      </c>
      <c r="FS7" s="11">
        <f t="shared" si="77"/>
        <v>107.47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>
        <v>4.0999999999999996</v>
      </c>
      <c r="IK7" s="17">
        <v>2.5</v>
      </c>
      <c r="IL7" s="17">
        <v>5.0999999999999996</v>
      </c>
      <c r="IM7" s="17">
        <v>4.79</v>
      </c>
      <c r="IN7" s="17">
        <v>0</v>
      </c>
      <c r="IO7" s="17">
        <v>4.3</v>
      </c>
      <c r="IP7" s="17">
        <v>2.7</v>
      </c>
      <c r="IQ7" s="17">
        <v>5.0999999999999996</v>
      </c>
      <c r="IR7" s="17">
        <v>4.83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 t="shared" si="106"/>
        <v>5.0999999999999996</v>
      </c>
      <c r="JE7" s="40">
        <f t="shared" si="107"/>
        <v>4.79</v>
      </c>
      <c r="JF7" s="40">
        <f t="shared" si="108"/>
        <v>16.489999999999998</v>
      </c>
      <c r="JG7" s="40">
        <f t="shared" si="109"/>
        <v>5.0999999999999996</v>
      </c>
      <c r="JH7" s="40">
        <f t="shared" si="110"/>
        <v>4.83</v>
      </c>
      <c r="JI7" s="40">
        <f t="shared" si="111"/>
        <v>16.93</v>
      </c>
      <c r="JJ7" s="40">
        <f t="shared" si="112"/>
        <v>16.93</v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>
        <f t="shared" si="119"/>
        <v>16.93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10.85</v>
      </c>
      <c r="SW7" s="22">
        <f t="shared" si="219"/>
        <v>6.25</v>
      </c>
      <c r="SX7" s="22">
        <f t="shared" si="220"/>
        <v>10.15</v>
      </c>
      <c r="SY7" s="22">
        <f t="shared" si="221"/>
        <v>10.555</v>
      </c>
      <c r="SZ7" s="22">
        <f t="shared" si="222"/>
        <v>0</v>
      </c>
      <c r="TA7" s="22">
        <f t="shared" si="223"/>
        <v>11.049999999999999</v>
      </c>
      <c r="TB7" s="22">
        <f t="shared" si="224"/>
        <v>6.25</v>
      </c>
      <c r="TC7" s="22">
        <f t="shared" si="225"/>
        <v>10.15</v>
      </c>
      <c r="TD7" s="22">
        <f t="shared" si="226"/>
        <v>10.635</v>
      </c>
      <c r="TE7" s="22">
        <f t="shared" si="227"/>
        <v>0</v>
      </c>
      <c r="TF7" s="22">
        <f t="shared" si="228"/>
        <v>7.65</v>
      </c>
      <c r="TG7" s="22">
        <f t="shared" si="229"/>
        <v>4.7</v>
      </c>
      <c r="TH7" s="22">
        <f t="shared" si="230"/>
        <v>7.2</v>
      </c>
      <c r="TI7" s="22">
        <f t="shared" si="231"/>
        <v>7.5149999999999997</v>
      </c>
      <c r="TJ7" s="22">
        <f t="shared" si="232"/>
        <v>0</v>
      </c>
      <c r="TK7" s="27" t="s">
        <v>46</v>
      </c>
      <c r="TL7" s="40">
        <f t="shared" si="233"/>
        <v>10.15</v>
      </c>
      <c r="TM7" s="40">
        <f t="shared" si="234"/>
        <v>10.555</v>
      </c>
      <c r="TN7" s="40">
        <f t="shared" si="235"/>
        <v>37.805</v>
      </c>
      <c r="TO7" s="40">
        <f t="shared" si="236"/>
        <v>10.15</v>
      </c>
      <c r="TP7" s="40">
        <f t="shared" si="237"/>
        <v>10.635</v>
      </c>
      <c r="TQ7" s="40">
        <f t="shared" si="238"/>
        <v>38.084999999999994</v>
      </c>
      <c r="TR7" s="40">
        <f t="shared" si="239"/>
        <v>38.084999999999994</v>
      </c>
      <c r="TS7" s="40">
        <f t="shared" si="240"/>
        <v>7.2</v>
      </c>
      <c r="TT7" s="40">
        <f t="shared" si="241"/>
        <v>7.5149999999999997</v>
      </c>
      <c r="TU7" s="40">
        <f t="shared" si="242"/>
        <v>27.065000000000001</v>
      </c>
      <c r="TV7" s="40">
        <f t="shared" si="243"/>
        <v>65.149999999999991</v>
      </c>
    </row>
    <row r="8" spans="1:542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4</v>
      </c>
      <c r="C8" s="5" t="s">
        <v>128</v>
      </c>
      <c r="D8" s="4" t="s">
        <v>3</v>
      </c>
      <c r="E8" s="4">
        <v>2002</v>
      </c>
      <c r="F8" s="9">
        <f t="shared" si="0"/>
        <v>190.75001907500538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53.97</v>
      </c>
      <c r="M8" s="8" t="str">
        <f t="shared" si="5"/>
        <v>2023 Nationals</v>
      </c>
      <c r="N8" s="8">
        <f>IF(COUNT(AQ8,AT8,BR8,BU8,CS8,CV8)&gt;1,LARGE((AQ8,AT8,BR8,BU8,CS8,CV8),2),0)</f>
        <v>52.44</v>
      </c>
      <c r="O8" s="8" t="str">
        <f t="shared" si="6"/>
        <v>2023 3rd Domestic Trial</v>
      </c>
      <c r="P8" s="8">
        <f>IF(COUNT(AQ8,AT8,BR8,BU8,CS8,CV8)&gt;2,MAX(AX8,BY8,CZ8,LARGE((AQ8,AT8,BR8,BU8,CS8,CV8),3)),IF(MAX(AX8,BY8,CZ8)&gt;0,MAX(AX8,BY8,CZ8),0))</f>
        <v>53.17</v>
      </c>
      <c r="Q8" s="8" t="str">
        <f t="shared" si="7"/>
        <v>2023 Elite Canada</v>
      </c>
      <c r="R8" s="8">
        <f t="shared" si="8"/>
        <v>15.6</v>
      </c>
      <c r="S8" s="8" t="str">
        <f t="shared" si="9"/>
        <v>2023 Nationals</v>
      </c>
      <c r="T8" s="8">
        <f t="shared" si="10"/>
        <v>15.57</v>
      </c>
      <c r="U8" s="8" t="str">
        <f t="shared" si="11"/>
        <v>2023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13.9</v>
      </c>
      <c r="Z8" s="22">
        <v>9.1999999999999993</v>
      </c>
      <c r="AA8" s="22">
        <v>13.5</v>
      </c>
      <c r="AB8" s="22">
        <v>14.79</v>
      </c>
      <c r="AC8" s="22">
        <v>0</v>
      </c>
      <c r="AD8" s="22">
        <v>13.1</v>
      </c>
      <c r="AE8" s="22">
        <v>9.1</v>
      </c>
      <c r="AF8" s="22">
        <v>14.5</v>
      </c>
      <c r="AG8" s="22">
        <v>15.08</v>
      </c>
      <c r="AH8" s="22">
        <v>0</v>
      </c>
      <c r="AI8" s="22">
        <v>14.5</v>
      </c>
      <c r="AJ8" s="22">
        <v>9.1</v>
      </c>
      <c r="AK8" s="22">
        <v>14.5</v>
      </c>
      <c r="AL8" s="22">
        <v>15.07</v>
      </c>
      <c r="AM8" s="22">
        <v>0</v>
      </c>
      <c r="AN8" s="27"/>
      <c r="AO8" s="38">
        <f t="shared" si="15"/>
        <v>13.5</v>
      </c>
      <c r="AP8" s="38">
        <f t="shared" si="16"/>
        <v>14.79</v>
      </c>
      <c r="AQ8" s="40">
        <f t="shared" si="17"/>
        <v>51.39</v>
      </c>
      <c r="AR8" s="40">
        <f t="shared" si="18"/>
        <v>14.5</v>
      </c>
      <c r="AS8" s="40">
        <f t="shared" si="19"/>
        <v>15.08</v>
      </c>
      <c r="AT8" s="40">
        <f t="shared" si="20"/>
        <v>51.78</v>
      </c>
      <c r="AU8" s="40">
        <f t="shared" si="21"/>
        <v>51.78</v>
      </c>
      <c r="AV8" s="40">
        <f t="shared" si="22"/>
        <v>14.5</v>
      </c>
      <c r="AW8" s="40">
        <f t="shared" si="23"/>
        <v>15.07</v>
      </c>
      <c r="AX8" s="40">
        <f t="shared" si="24"/>
        <v>53.17</v>
      </c>
      <c r="AY8" s="40">
        <f t="shared" si="25"/>
        <v>104.95</v>
      </c>
      <c r="AZ8" s="26">
        <v>4.5999999999999996</v>
      </c>
      <c r="BA8" s="26">
        <v>2.6</v>
      </c>
      <c r="BB8" s="26">
        <v>5.5</v>
      </c>
      <c r="BC8" s="26">
        <v>4.95</v>
      </c>
      <c r="BD8" s="26">
        <v>0</v>
      </c>
      <c r="BE8" s="26">
        <v>13.9</v>
      </c>
      <c r="BF8" s="26">
        <v>9.5</v>
      </c>
      <c r="BG8" s="26">
        <v>15.6</v>
      </c>
      <c r="BH8" s="26">
        <v>14.97</v>
      </c>
      <c r="BI8" s="26">
        <v>0</v>
      </c>
      <c r="BJ8" s="26">
        <v>4.3</v>
      </c>
      <c r="BK8" s="26">
        <v>2.7</v>
      </c>
      <c r="BL8" s="26">
        <v>5.5</v>
      </c>
      <c r="BM8" s="26">
        <v>4.8899999999999997</v>
      </c>
      <c r="BN8" s="26">
        <v>0</v>
      </c>
      <c r="BO8" s="28"/>
      <c r="BP8" s="39">
        <f t="shared" si="26"/>
        <v>5.5</v>
      </c>
      <c r="BQ8" s="39">
        <f t="shared" si="27"/>
        <v>4.95</v>
      </c>
      <c r="BR8" s="11">
        <f t="shared" si="28"/>
        <v>17.649999999999999</v>
      </c>
      <c r="BS8" s="11">
        <f t="shared" si="29"/>
        <v>15.6</v>
      </c>
      <c r="BT8" s="11">
        <f t="shared" si="30"/>
        <v>14.97</v>
      </c>
      <c r="BU8" s="11">
        <f t="shared" si="31"/>
        <v>53.97</v>
      </c>
      <c r="BV8" s="11">
        <f t="shared" si="32"/>
        <v>53.97</v>
      </c>
      <c r="BW8" s="11">
        <f t="shared" si="33"/>
        <v>5.5</v>
      </c>
      <c r="BX8" s="11">
        <f t="shared" si="34"/>
        <v>4.8899999999999997</v>
      </c>
      <c r="BY8" s="11">
        <f t="shared" si="35"/>
        <v>17.39</v>
      </c>
      <c r="BZ8" s="11">
        <f t="shared" si="36"/>
        <v>71.36</v>
      </c>
      <c r="CA8" s="22">
        <v>1.5</v>
      </c>
      <c r="CB8" s="22">
        <v>1</v>
      </c>
      <c r="CC8" s="22">
        <v>2</v>
      </c>
      <c r="CD8" s="22">
        <v>1.73</v>
      </c>
      <c r="CE8" s="22">
        <v>0</v>
      </c>
      <c r="CF8" s="22">
        <v>12.8</v>
      </c>
      <c r="CG8" s="22">
        <v>9.1999999999999993</v>
      </c>
      <c r="CH8" s="22">
        <v>15</v>
      </c>
      <c r="CI8" s="22">
        <v>15.44</v>
      </c>
      <c r="CJ8" s="22">
        <v>0</v>
      </c>
      <c r="CK8" s="22">
        <v>12.5</v>
      </c>
      <c r="CL8" s="22">
        <v>8.8000000000000007</v>
      </c>
      <c r="CM8" s="22">
        <v>14</v>
      </c>
      <c r="CN8" s="22">
        <v>15.57</v>
      </c>
      <c r="CO8" s="22">
        <v>0</v>
      </c>
      <c r="CP8" s="27"/>
      <c r="CQ8" s="38">
        <f t="shared" si="37"/>
        <v>2</v>
      </c>
      <c r="CR8" s="38">
        <f t="shared" si="38"/>
        <v>1.73</v>
      </c>
      <c r="CS8" s="40">
        <f t="shared" si="39"/>
        <v>6.23</v>
      </c>
      <c r="CT8" s="40">
        <f t="shared" si="40"/>
        <v>15</v>
      </c>
      <c r="CU8" s="40">
        <f t="shared" si="41"/>
        <v>15.44</v>
      </c>
      <c r="CV8" s="40">
        <f t="shared" si="42"/>
        <v>52.44</v>
      </c>
      <c r="CW8" s="40">
        <f t="shared" si="43"/>
        <v>52.44</v>
      </c>
      <c r="CX8" s="40">
        <f t="shared" si="44"/>
        <v>14</v>
      </c>
      <c r="CY8" s="40">
        <f t="shared" si="45"/>
        <v>15.57</v>
      </c>
      <c r="CZ8" s="40">
        <f t="shared" si="46"/>
        <v>50.87</v>
      </c>
      <c r="DA8" s="40">
        <f t="shared" si="47"/>
        <v>103.31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>
        <v>1.6</v>
      </c>
      <c r="IK8" s="17">
        <v>1</v>
      </c>
      <c r="IL8" s="17">
        <v>2</v>
      </c>
      <c r="IM8" s="17">
        <v>1.77</v>
      </c>
      <c r="IN8" s="17">
        <v>0</v>
      </c>
      <c r="IO8" s="17">
        <v>1.7</v>
      </c>
      <c r="IP8" s="17">
        <v>1</v>
      </c>
      <c r="IQ8" s="17">
        <v>2</v>
      </c>
      <c r="IR8" s="17">
        <v>1.78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 t="shared" si="106"/>
        <v>2</v>
      </c>
      <c r="JE8" s="40">
        <f t="shared" si="107"/>
        <v>1.77</v>
      </c>
      <c r="JF8" s="40">
        <f t="shared" si="108"/>
        <v>6.3699999999999992</v>
      </c>
      <c r="JG8" s="40">
        <f t="shared" si="109"/>
        <v>2</v>
      </c>
      <c r="JH8" s="40">
        <f t="shared" si="110"/>
        <v>1.78</v>
      </c>
      <c r="JI8" s="40">
        <f t="shared" si="111"/>
        <v>6.48</v>
      </c>
      <c r="JJ8" s="40">
        <f t="shared" si="112"/>
        <v>6.48</v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>
        <f t="shared" si="119"/>
        <v>6.48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3.05</v>
      </c>
      <c r="SW8" s="22">
        <f t="shared" si="219"/>
        <v>1.8</v>
      </c>
      <c r="SX8" s="22">
        <f t="shared" si="220"/>
        <v>3.75</v>
      </c>
      <c r="SY8" s="22">
        <f t="shared" si="221"/>
        <v>3.34</v>
      </c>
      <c r="SZ8" s="22">
        <f t="shared" si="222"/>
        <v>0</v>
      </c>
      <c r="TA8" s="22">
        <f t="shared" si="223"/>
        <v>13.350000000000001</v>
      </c>
      <c r="TB8" s="22">
        <f t="shared" si="224"/>
        <v>9.35</v>
      </c>
      <c r="TC8" s="22">
        <f t="shared" si="225"/>
        <v>15.3</v>
      </c>
      <c r="TD8" s="22">
        <f t="shared" si="226"/>
        <v>15.205</v>
      </c>
      <c r="TE8" s="22">
        <f t="shared" si="227"/>
        <v>0</v>
      </c>
      <c r="TF8" s="22">
        <f t="shared" si="228"/>
        <v>8.4</v>
      </c>
      <c r="TG8" s="22">
        <f t="shared" si="229"/>
        <v>5.75</v>
      </c>
      <c r="TH8" s="22">
        <f t="shared" si="230"/>
        <v>9.75</v>
      </c>
      <c r="TI8" s="22">
        <f t="shared" si="231"/>
        <v>10.23</v>
      </c>
      <c r="TJ8" s="22">
        <f t="shared" si="232"/>
        <v>0</v>
      </c>
      <c r="TK8" s="27" t="s">
        <v>46</v>
      </c>
      <c r="TL8" s="40">
        <f t="shared" si="233"/>
        <v>3.75</v>
      </c>
      <c r="TM8" s="40">
        <f t="shared" si="234"/>
        <v>3.34</v>
      </c>
      <c r="TN8" s="40">
        <f t="shared" si="235"/>
        <v>11.94</v>
      </c>
      <c r="TO8" s="40">
        <f t="shared" si="236"/>
        <v>15.3</v>
      </c>
      <c r="TP8" s="40">
        <f t="shared" si="237"/>
        <v>15.205</v>
      </c>
      <c r="TQ8" s="40">
        <f t="shared" si="238"/>
        <v>53.204999999999998</v>
      </c>
      <c r="TR8" s="40">
        <f t="shared" si="239"/>
        <v>53.204999999999998</v>
      </c>
      <c r="TS8" s="40">
        <f t="shared" si="240"/>
        <v>9.75</v>
      </c>
      <c r="TT8" s="40">
        <f t="shared" si="241"/>
        <v>10.23</v>
      </c>
      <c r="TU8" s="40">
        <f t="shared" si="242"/>
        <v>34.129999999999995</v>
      </c>
      <c r="TV8" s="40">
        <f t="shared" si="243"/>
        <v>87.334999999999994</v>
      </c>
    </row>
    <row r="9" spans="1:542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5</v>
      </c>
      <c r="C9" s="5" t="s">
        <v>127</v>
      </c>
      <c r="D9" s="4" t="s">
        <v>3</v>
      </c>
      <c r="E9" s="4">
        <v>2005</v>
      </c>
      <c r="F9" s="9">
        <f t="shared" si="0"/>
        <v>189.97001899700544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54.05</v>
      </c>
      <c r="M9" s="8" t="str">
        <f t="shared" si="5"/>
        <v>2023 Nationals</v>
      </c>
      <c r="N9" s="8">
        <f>IF(COUNT(AQ9,AT9,BR9,BU9,CS9,CV9)&gt;1,LARGE((AQ9,AT9,BR9,BU9,CS9,CV9),2),0)</f>
        <v>53.04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53.33</v>
      </c>
      <c r="Q9" s="8" t="str">
        <f t="shared" si="7"/>
        <v>2023 Nationals</v>
      </c>
      <c r="R9" s="8">
        <f t="shared" si="8"/>
        <v>14</v>
      </c>
      <c r="S9" s="8" t="str">
        <f t="shared" si="9"/>
        <v>2023 3rd Domestic Trial</v>
      </c>
      <c r="T9" s="8">
        <f t="shared" si="10"/>
        <v>15.55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17.8</v>
      </c>
      <c r="Z9" s="22">
        <v>3.9</v>
      </c>
      <c r="AA9" s="22">
        <v>5.6</v>
      </c>
      <c r="AB9" s="22">
        <v>6.37</v>
      </c>
      <c r="AC9" s="22">
        <v>0</v>
      </c>
      <c r="AD9" s="22">
        <v>15.6</v>
      </c>
      <c r="AE9" s="22">
        <v>8.1</v>
      </c>
      <c r="AF9" s="22">
        <v>11.5</v>
      </c>
      <c r="AG9" s="22">
        <v>14.05</v>
      </c>
      <c r="AH9" s="22">
        <v>0</v>
      </c>
      <c r="AI9" s="22">
        <v>12.1</v>
      </c>
      <c r="AJ9" s="22">
        <v>8.8000000000000007</v>
      </c>
      <c r="AK9" s="22">
        <v>12.7</v>
      </c>
      <c r="AL9" s="22">
        <v>15.13</v>
      </c>
      <c r="AM9" s="22">
        <v>0</v>
      </c>
      <c r="AN9" s="27"/>
      <c r="AO9" s="38">
        <f t="shared" si="15"/>
        <v>5.6</v>
      </c>
      <c r="AP9" s="38">
        <f t="shared" si="16"/>
        <v>6.37</v>
      </c>
      <c r="AQ9" s="40">
        <f t="shared" si="17"/>
        <v>33.669999999999995</v>
      </c>
      <c r="AR9" s="40">
        <f t="shared" si="18"/>
        <v>11.5</v>
      </c>
      <c r="AS9" s="40">
        <f t="shared" si="19"/>
        <v>14.05</v>
      </c>
      <c r="AT9" s="40">
        <f t="shared" si="20"/>
        <v>49.25</v>
      </c>
      <c r="AU9" s="40">
        <f t="shared" si="21"/>
        <v>49.25</v>
      </c>
      <c r="AV9" s="40">
        <f t="shared" si="22"/>
        <v>12.7</v>
      </c>
      <c r="AW9" s="40">
        <f t="shared" si="23"/>
        <v>15.13</v>
      </c>
      <c r="AX9" s="40">
        <f t="shared" si="24"/>
        <v>48.73</v>
      </c>
      <c r="AY9" s="40">
        <f t="shared" si="25"/>
        <v>97.97999999999999</v>
      </c>
      <c r="AZ9" s="26">
        <v>15.2</v>
      </c>
      <c r="BA9" s="26">
        <v>9.6</v>
      </c>
      <c r="BB9" s="26">
        <v>13.7</v>
      </c>
      <c r="BC9" s="26">
        <v>15.55</v>
      </c>
      <c r="BD9" s="26">
        <v>0</v>
      </c>
      <c r="BE9" s="26">
        <v>15.2</v>
      </c>
      <c r="BF9" s="26">
        <v>8.9</v>
      </c>
      <c r="BG9" s="26">
        <v>13.7</v>
      </c>
      <c r="BH9" s="26">
        <v>15.24</v>
      </c>
      <c r="BI9" s="26">
        <v>0</v>
      </c>
      <c r="BJ9" s="26">
        <v>15.1</v>
      </c>
      <c r="BK9" s="26">
        <v>9</v>
      </c>
      <c r="BL9" s="26">
        <v>13.7</v>
      </c>
      <c r="BM9" s="26">
        <v>15.53</v>
      </c>
      <c r="BN9" s="26">
        <v>0</v>
      </c>
      <c r="BO9" s="28"/>
      <c r="BP9" s="39">
        <f t="shared" si="26"/>
        <v>13.7</v>
      </c>
      <c r="BQ9" s="39">
        <f t="shared" si="27"/>
        <v>15.55</v>
      </c>
      <c r="BR9" s="11">
        <f t="shared" si="28"/>
        <v>54.05</v>
      </c>
      <c r="BS9" s="11">
        <f t="shared" si="29"/>
        <v>13.7</v>
      </c>
      <c r="BT9" s="11">
        <f t="shared" si="30"/>
        <v>15.24</v>
      </c>
      <c r="BU9" s="11">
        <f t="shared" si="31"/>
        <v>53.04</v>
      </c>
      <c r="BV9" s="11">
        <f t="shared" si="32"/>
        <v>54.05</v>
      </c>
      <c r="BW9" s="11">
        <f t="shared" si="33"/>
        <v>13.7</v>
      </c>
      <c r="BX9" s="11">
        <f t="shared" si="34"/>
        <v>15.53</v>
      </c>
      <c r="BY9" s="11">
        <f t="shared" si="35"/>
        <v>53.33</v>
      </c>
      <c r="BZ9" s="11">
        <f t="shared" si="36"/>
        <v>107.38</v>
      </c>
      <c r="CA9" s="22">
        <v>5.9</v>
      </c>
      <c r="CB9" s="22">
        <v>3.6</v>
      </c>
      <c r="CC9" s="22">
        <v>6.5</v>
      </c>
      <c r="CD9" s="22">
        <v>6.48</v>
      </c>
      <c r="CE9" s="22">
        <v>0</v>
      </c>
      <c r="CF9" s="22">
        <v>13.4</v>
      </c>
      <c r="CG9" s="22">
        <v>9.4</v>
      </c>
      <c r="CH9" s="22">
        <v>14</v>
      </c>
      <c r="CI9" s="22">
        <v>15.15</v>
      </c>
      <c r="CJ9" s="22">
        <v>0.2</v>
      </c>
      <c r="CK9" s="22"/>
      <c r="CL9" s="22"/>
      <c r="CM9" s="22"/>
      <c r="CN9" s="22"/>
      <c r="CO9" s="22"/>
      <c r="CP9" s="27"/>
      <c r="CQ9" s="38">
        <f t="shared" si="37"/>
        <v>6.5</v>
      </c>
      <c r="CR9" s="38">
        <f t="shared" si="38"/>
        <v>6.48</v>
      </c>
      <c r="CS9" s="40">
        <f t="shared" si="39"/>
        <v>22.48</v>
      </c>
      <c r="CT9" s="40">
        <f t="shared" si="40"/>
        <v>14</v>
      </c>
      <c r="CU9" s="40">
        <f t="shared" si="41"/>
        <v>15.15</v>
      </c>
      <c r="CV9" s="40">
        <f t="shared" si="42"/>
        <v>51.749999999999993</v>
      </c>
      <c r="CW9" s="40">
        <f t="shared" si="43"/>
        <v>51.749999999999993</v>
      </c>
      <c r="CX9" s="40" t="str">
        <f t="shared" si="44"/>
        <v/>
      </c>
      <c r="CY9" s="40" t="str">
        <f t="shared" si="45"/>
        <v/>
      </c>
      <c r="CZ9" s="40" t="str">
        <f t="shared" si="46"/>
        <v/>
      </c>
      <c r="DA9" s="40">
        <f t="shared" si="47"/>
        <v>51.749999999999993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>
        <v>5.3</v>
      </c>
      <c r="IK9" s="17">
        <v>3.8</v>
      </c>
      <c r="IL9" s="17">
        <v>6.5</v>
      </c>
      <c r="IM9" s="17">
        <v>6.33</v>
      </c>
      <c r="IN9" s="17">
        <v>0</v>
      </c>
      <c r="IO9" s="17">
        <v>13.3</v>
      </c>
      <c r="IP9" s="17">
        <v>9.3000000000000007</v>
      </c>
      <c r="IQ9" s="17">
        <v>14</v>
      </c>
      <c r="IR9" s="17">
        <v>15.27</v>
      </c>
      <c r="IS9" s="17">
        <v>0</v>
      </c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>
        <f t="shared" si="106"/>
        <v>6.5</v>
      </c>
      <c r="JE9" s="40">
        <f t="shared" si="107"/>
        <v>6.33</v>
      </c>
      <c r="JF9" s="40">
        <f t="shared" si="108"/>
        <v>21.93</v>
      </c>
      <c r="JG9" s="40">
        <f t="shared" si="109"/>
        <v>14</v>
      </c>
      <c r="JH9" s="40">
        <f t="shared" si="110"/>
        <v>15.27</v>
      </c>
      <c r="JI9" s="40">
        <f t="shared" si="111"/>
        <v>51.870000000000005</v>
      </c>
      <c r="JJ9" s="40">
        <f t="shared" si="112"/>
        <v>51.870000000000005</v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>
        <f t="shared" si="119"/>
        <v>51.870000000000005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10.55</v>
      </c>
      <c r="SW9" s="22">
        <f t="shared" si="219"/>
        <v>6.6</v>
      </c>
      <c r="SX9" s="22">
        <f t="shared" si="220"/>
        <v>10.1</v>
      </c>
      <c r="SY9" s="22">
        <f t="shared" si="221"/>
        <v>11.015000000000001</v>
      </c>
      <c r="SZ9" s="22">
        <f t="shared" si="222"/>
        <v>0</v>
      </c>
      <c r="TA9" s="22">
        <f t="shared" si="223"/>
        <v>14.3</v>
      </c>
      <c r="TB9" s="22">
        <f t="shared" si="224"/>
        <v>9.15</v>
      </c>
      <c r="TC9" s="22">
        <f t="shared" si="225"/>
        <v>13.85</v>
      </c>
      <c r="TD9" s="22">
        <f t="shared" si="226"/>
        <v>15.195</v>
      </c>
      <c r="TE9" s="22">
        <f t="shared" si="227"/>
        <v>0.1</v>
      </c>
      <c r="TF9" s="22">
        <f t="shared" si="228"/>
        <v>7.55</v>
      </c>
      <c r="TG9" s="22">
        <f t="shared" si="229"/>
        <v>4.5</v>
      </c>
      <c r="TH9" s="22">
        <f t="shared" si="230"/>
        <v>6.85</v>
      </c>
      <c r="TI9" s="22">
        <f t="shared" si="231"/>
        <v>7.7649999999999997</v>
      </c>
      <c r="TJ9" s="22">
        <f t="shared" si="232"/>
        <v>0</v>
      </c>
      <c r="TK9" s="27" t="s">
        <v>46</v>
      </c>
      <c r="TL9" s="40">
        <f t="shared" si="233"/>
        <v>10.1</v>
      </c>
      <c r="TM9" s="40">
        <f t="shared" si="234"/>
        <v>11.015000000000001</v>
      </c>
      <c r="TN9" s="40">
        <f t="shared" si="235"/>
        <v>38.265000000000001</v>
      </c>
      <c r="TO9" s="40">
        <f t="shared" si="236"/>
        <v>13.85</v>
      </c>
      <c r="TP9" s="40">
        <f t="shared" si="237"/>
        <v>15.195</v>
      </c>
      <c r="TQ9" s="40">
        <f t="shared" si="238"/>
        <v>52.395000000000003</v>
      </c>
      <c r="TR9" s="40">
        <f t="shared" si="239"/>
        <v>52.395000000000003</v>
      </c>
      <c r="TS9" s="40">
        <f t="shared" si="240"/>
        <v>6.85</v>
      </c>
      <c r="TT9" s="40">
        <f t="shared" si="241"/>
        <v>7.7649999999999997</v>
      </c>
      <c r="TU9" s="40">
        <f t="shared" si="242"/>
        <v>26.664999999999999</v>
      </c>
      <c r="TV9" s="40">
        <f t="shared" si="243"/>
        <v>79.06</v>
      </c>
    </row>
    <row r="10" spans="1:542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6</v>
      </c>
      <c r="C10" s="5" t="s">
        <v>74</v>
      </c>
      <c r="D10" s="4" t="s">
        <v>6</v>
      </c>
      <c r="E10" s="4">
        <v>2004</v>
      </c>
      <c r="F10" s="9">
        <f t="shared" si="0"/>
        <v>187.23001843400522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IF(COUNT(AQ10,AT10,BR10,BU10,CS10,CV10)&gt;0,LARGE((AQ10,AT10,BR10,BU10,CS10,CV10),1),0)</f>
        <v>52.599999999999994</v>
      </c>
      <c r="M10" s="8" t="str">
        <f t="shared" si="5"/>
        <v>2023 Elite Canada</v>
      </c>
      <c r="N10" s="8">
        <f>IF(COUNT(AQ10,AT10,BR10,BU10,CS10,CV10)&gt;1,LARGE((AQ10,AT10,BR10,BU10,CS10,CV10),2),0)</f>
        <v>49.26</v>
      </c>
      <c r="O10" s="8" t="str">
        <f t="shared" si="6"/>
        <v>2023 Nationals</v>
      </c>
      <c r="P10" s="8">
        <f>IF(COUNT(AQ10,AT10,BR10,BU10,CS10,CV10)&gt;2,MAX(AX10,BY10,CZ10,LARGE((AQ10,AT10,BR10,BU10,CS10,CV10),3)),IF(MAX(AX10,BY10,CZ10)&gt;0,MAX(AX10,BY10,CZ10),0))</f>
        <v>53.84</v>
      </c>
      <c r="Q10" s="8" t="str">
        <f t="shared" si="7"/>
        <v>2023 Elite Canada</v>
      </c>
      <c r="R10" s="8">
        <f t="shared" si="8"/>
        <v>13.5</v>
      </c>
      <c r="S10" s="8" t="str">
        <f t="shared" si="9"/>
        <v>2023 Elite Canada</v>
      </c>
      <c r="T10" s="8">
        <f t="shared" si="10"/>
        <v>15.14</v>
      </c>
      <c r="U10" s="8" t="str">
        <f t="shared" si="11"/>
        <v>2023 Elite Canada</v>
      </c>
      <c r="V10" s="8">
        <f t="shared" si="12"/>
        <v>2.8900000000000006</v>
      </c>
      <c r="W10" s="11" t="str">
        <f t="shared" si="13"/>
        <v>(Optional)</v>
      </c>
      <c r="X10" s="8" t="str">
        <f t="shared" si="14"/>
        <v>2022 WAGC (Nov 25)</v>
      </c>
      <c r="Y10" s="22">
        <v>4.8</v>
      </c>
      <c r="Z10" s="22">
        <v>2.9</v>
      </c>
      <c r="AA10" s="22">
        <v>4.4000000000000004</v>
      </c>
      <c r="AB10" s="22">
        <v>4.6900000000000004</v>
      </c>
      <c r="AC10" s="22">
        <v>0</v>
      </c>
      <c r="AD10" s="22">
        <v>14.8</v>
      </c>
      <c r="AE10" s="22">
        <v>9.5</v>
      </c>
      <c r="AF10" s="22">
        <v>13.5</v>
      </c>
      <c r="AG10" s="22">
        <v>14.8</v>
      </c>
      <c r="AH10" s="22">
        <v>0</v>
      </c>
      <c r="AI10" s="22">
        <v>15.5</v>
      </c>
      <c r="AJ10" s="22">
        <v>9.6999999999999993</v>
      </c>
      <c r="AK10" s="22">
        <v>13.5</v>
      </c>
      <c r="AL10" s="22">
        <v>15.14</v>
      </c>
      <c r="AM10" s="22">
        <v>0</v>
      </c>
      <c r="AN10" s="27"/>
      <c r="AO10" s="38">
        <f t="shared" si="15"/>
        <v>4.4000000000000004</v>
      </c>
      <c r="AP10" s="38">
        <f t="shared" si="16"/>
        <v>4.6900000000000004</v>
      </c>
      <c r="AQ10" s="40">
        <f t="shared" si="17"/>
        <v>16.79</v>
      </c>
      <c r="AR10" s="40">
        <f t="shared" si="18"/>
        <v>13.5</v>
      </c>
      <c r="AS10" s="40">
        <f t="shared" si="19"/>
        <v>14.8</v>
      </c>
      <c r="AT10" s="40">
        <f t="shared" si="20"/>
        <v>52.599999999999994</v>
      </c>
      <c r="AU10" s="40">
        <f t="shared" si="21"/>
        <v>52.599999999999994</v>
      </c>
      <c r="AV10" s="40">
        <f t="shared" si="22"/>
        <v>13.5</v>
      </c>
      <c r="AW10" s="40">
        <f t="shared" si="23"/>
        <v>15.14</v>
      </c>
      <c r="AX10" s="40">
        <f t="shared" si="24"/>
        <v>53.84</v>
      </c>
      <c r="AY10" s="40">
        <f t="shared" si="25"/>
        <v>106.44</v>
      </c>
      <c r="AZ10" s="26">
        <v>4.4000000000000004</v>
      </c>
      <c r="BA10" s="26">
        <v>2.6</v>
      </c>
      <c r="BB10" s="26">
        <v>4.2</v>
      </c>
      <c r="BC10" s="26">
        <v>4.66</v>
      </c>
      <c r="BD10" s="26">
        <v>0</v>
      </c>
      <c r="BE10" s="26">
        <v>15.08</v>
      </c>
      <c r="BF10" s="26">
        <v>9.3000000000000007</v>
      </c>
      <c r="BG10" s="26">
        <v>11.7</v>
      </c>
      <c r="BH10" s="26">
        <v>14.18</v>
      </c>
      <c r="BI10" s="26">
        <v>1</v>
      </c>
      <c r="BJ10" s="26">
        <v>4.4000000000000004</v>
      </c>
      <c r="BK10" s="26">
        <v>2.5</v>
      </c>
      <c r="BL10" s="26">
        <v>4.2</v>
      </c>
      <c r="BM10" s="26">
        <v>4.57</v>
      </c>
      <c r="BN10" s="26">
        <v>0</v>
      </c>
      <c r="BO10" s="28"/>
      <c r="BP10" s="39">
        <f t="shared" si="26"/>
        <v>4.2</v>
      </c>
      <c r="BQ10" s="39">
        <f t="shared" si="27"/>
        <v>4.66</v>
      </c>
      <c r="BR10" s="11">
        <f t="shared" si="28"/>
        <v>15.86</v>
      </c>
      <c r="BS10" s="11">
        <f t="shared" si="29"/>
        <v>11.7</v>
      </c>
      <c r="BT10" s="11">
        <f t="shared" si="30"/>
        <v>14.18</v>
      </c>
      <c r="BU10" s="11">
        <f t="shared" si="31"/>
        <v>49.26</v>
      </c>
      <c r="BV10" s="11">
        <f t="shared" si="32"/>
        <v>49.26</v>
      </c>
      <c r="BW10" s="11">
        <f t="shared" si="33"/>
        <v>4.2</v>
      </c>
      <c r="BX10" s="11">
        <f t="shared" si="34"/>
        <v>4.57</v>
      </c>
      <c r="BY10" s="11">
        <f t="shared" si="35"/>
        <v>15.670000000000002</v>
      </c>
      <c r="BZ10" s="11">
        <f t="shared" si="36"/>
        <v>64.930000000000007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>
        <f t="shared" si="48"/>
        <v>2.8900000000000006</v>
      </c>
      <c r="DC10" s="50" t="str">
        <f t="shared" si="49"/>
        <v/>
      </c>
      <c r="DD10" s="17"/>
      <c r="DE10" s="17"/>
      <c r="DF10" s="17"/>
      <c r="DG10" s="17"/>
      <c r="DH10" s="17"/>
      <c r="DI10" s="17">
        <v>14.4</v>
      </c>
      <c r="DJ10" s="17">
        <v>9.5</v>
      </c>
      <c r="DK10" s="17">
        <v>13.5</v>
      </c>
      <c r="DL10" s="17">
        <v>14.75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>
        <f t="shared" si="53"/>
        <v>13.5</v>
      </c>
      <c r="EB10" s="40">
        <f t="shared" si="54"/>
        <v>14.75</v>
      </c>
      <c r="EC10" s="40">
        <f t="shared" si="55"/>
        <v>52.15</v>
      </c>
      <c r="ED10" s="40">
        <f t="shared" si="56"/>
        <v>52.15</v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>
        <f t="shared" si="63"/>
        <v>52.15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2.2000000000000002</v>
      </c>
      <c r="SW10" s="22">
        <f t="shared" si="219"/>
        <v>1.3</v>
      </c>
      <c r="SX10" s="22">
        <f t="shared" si="220"/>
        <v>2.1</v>
      </c>
      <c r="SY10" s="22">
        <f t="shared" si="221"/>
        <v>2.33</v>
      </c>
      <c r="SZ10" s="22">
        <f t="shared" si="222"/>
        <v>0</v>
      </c>
      <c r="TA10" s="22">
        <f t="shared" si="223"/>
        <v>7.54</v>
      </c>
      <c r="TB10" s="22">
        <f t="shared" si="224"/>
        <v>4.6500000000000004</v>
      </c>
      <c r="TC10" s="22">
        <f t="shared" si="225"/>
        <v>5.85</v>
      </c>
      <c r="TD10" s="22">
        <f t="shared" si="226"/>
        <v>7.09</v>
      </c>
      <c r="TE10" s="22">
        <f t="shared" si="227"/>
        <v>0.5</v>
      </c>
      <c r="TF10" s="22">
        <f t="shared" si="228"/>
        <v>2.2000000000000002</v>
      </c>
      <c r="TG10" s="22">
        <f t="shared" si="229"/>
        <v>1.25</v>
      </c>
      <c r="TH10" s="22">
        <f t="shared" si="230"/>
        <v>2.1</v>
      </c>
      <c r="TI10" s="22">
        <f t="shared" si="231"/>
        <v>2.2850000000000001</v>
      </c>
      <c r="TJ10" s="22">
        <f t="shared" si="232"/>
        <v>0</v>
      </c>
      <c r="TK10" s="27" t="s">
        <v>46</v>
      </c>
      <c r="TL10" s="40">
        <f t="shared" si="233"/>
        <v>2.1</v>
      </c>
      <c r="TM10" s="40">
        <f t="shared" si="234"/>
        <v>2.33</v>
      </c>
      <c r="TN10" s="40">
        <f t="shared" si="235"/>
        <v>7.93</v>
      </c>
      <c r="TO10" s="40">
        <f t="shared" si="236"/>
        <v>5.85</v>
      </c>
      <c r="TP10" s="40">
        <f t="shared" si="237"/>
        <v>7.09</v>
      </c>
      <c r="TQ10" s="40">
        <f t="shared" si="238"/>
        <v>24.63</v>
      </c>
      <c r="TR10" s="40">
        <f t="shared" si="239"/>
        <v>24.63</v>
      </c>
      <c r="TS10" s="40">
        <f t="shared" si="240"/>
        <v>2.1</v>
      </c>
      <c r="TT10" s="40">
        <f t="shared" si="241"/>
        <v>2.2850000000000001</v>
      </c>
      <c r="TU10" s="40">
        <f t="shared" si="242"/>
        <v>7.8350000000000009</v>
      </c>
      <c r="TV10" s="40">
        <f t="shared" si="243"/>
        <v>32.465000000000003</v>
      </c>
    </row>
    <row r="11" spans="1:542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7</v>
      </c>
      <c r="C11" s="5" t="s">
        <v>130</v>
      </c>
      <c r="D11" s="4" t="s">
        <v>3</v>
      </c>
      <c r="E11" s="4">
        <v>2002</v>
      </c>
      <c r="F11" s="9">
        <f t="shared" si="0"/>
        <v>181.7200181720053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IF(COUNT(AQ11,AT11,BR11,BU11,CS11,CV11)&gt;0,LARGE((AQ11,AT11,BR11,BU11,CS11,CV11),1),0)</f>
        <v>52.800000000000004</v>
      </c>
      <c r="M11" s="8" t="str">
        <f t="shared" si="5"/>
        <v>2023 3rd Domestic Trial</v>
      </c>
      <c r="N11" s="8">
        <f>IF(COUNT(AQ11,AT11,BR11,BU11,CS11,CV11)&gt;1,LARGE((AQ11,AT11,BR11,BU11,CS11,CV11),2),0)</f>
        <v>48.84</v>
      </c>
      <c r="O11" s="8" t="str">
        <f t="shared" si="6"/>
        <v>2023 Nationals</v>
      </c>
      <c r="P11" s="8">
        <f>IF(COUNT(AQ11,AT11,BR11,BU11,CS11,CV11)&gt;2,MAX(AX11,BY11,CZ11,LARGE((AQ11,AT11,BR11,BU11,CS11,CV11),3)),IF(MAX(AX11,BY11,CZ11)&gt;0,MAX(AX11,BY11,CZ11),0))</f>
        <v>51.19</v>
      </c>
      <c r="Q11" s="8" t="str">
        <f t="shared" si="7"/>
        <v>2023 3rd Domestic Trial</v>
      </c>
      <c r="R11" s="8">
        <f t="shared" si="8"/>
        <v>13.6</v>
      </c>
      <c r="S11" s="8" t="str">
        <f t="shared" si="9"/>
        <v>2023 3rd Domestic Trial</v>
      </c>
      <c r="T11" s="8">
        <f t="shared" si="10"/>
        <v>15.29</v>
      </c>
      <c r="U11" s="8" t="str">
        <f t="shared" si="11"/>
        <v>2023 3rd Domestic Trial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8.8000000000000007</v>
      </c>
      <c r="Z11" s="22">
        <v>7.1</v>
      </c>
      <c r="AA11" s="22">
        <v>8.6999999999999993</v>
      </c>
      <c r="AB11" s="22">
        <v>11.16</v>
      </c>
      <c r="AC11" s="22">
        <v>0</v>
      </c>
      <c r="AD11" s="22">
        <v>11.6</v>
      </c>
      <c r="AE11" s="22">
        <v>8.9</v>
      </c>
      <c r="AF11" s="22">
        <v>12.2</v>
      </c>
      <c r="AG11" s="22">
        <v>14.26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5"/>
        <v>8.6999999999999993</v>
      </c>
      <c r="AP11" s="38">
        <f t="shared" si="16"/>
        <v>11.16</v>
      </c>
      <c r="AQ11" s="40">
        <f t="shared" si="17"/>
        <v>35.760000000000005</v>
      </c>
      <c r="AR11" s="40">
        <f t="shared" si="18"/>
        <v>12.2</v>
      </c>
      <c r="AS11" s="40">
        <f t="shared" si="19"/>
        <v>14.26</v>
      </c>
      <c r="AT11" s="40">
        <f t="shared" si="20"/>
        <v>46.96</v>
      </c>
      <c r="AU11" s="40">
        <f t="shared" si="21"/>
        <v>46.96</v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>
        <f t="shared" si="25"/>
        <v>46.96</v>
      </c>
      <c r="AZ11" s="26">
        <v>1.4</v>
      </c>
      <c r="BA11" s="26">
        <v>1</v>
      </c>
      <c r="BB11" s="26">
        <v>13.6</v>
      </c>
      <c r="BC11" s="26">
        <v>1.54</v>
      </c>
      <c r="BD11" s="26">
        <v>0</v>
      </c>
      <c r="BE11" s="26">
        <v>13</v>
      </c>
      <c r="BF11" s="26">
        <v>8.5</v>
      </c>
      <c r="BG11" s="26">
        <v>13.6</v>
      </c>
      <c r="BH11" s="26">
        <v>13.74</v>
      </c>
      <c r="BI11" s="26">
        <v>0</v>
      </c>
      <c r="BJ11" s="26">
        <v>14.1</v>
      </c>
      <c r="BK11" s="26">
        <v>8.9</v>
      </c>
      <c r="BL11" s="26">
        <v>12.3</v>
      </c>
      <c r="BM11" s="26">
        <v>14.05</v>
      </c>
      <c r="BN11" s="26">
        <v>0</v>
      </c>
      <c r="BO11" s="28"/>
      <c r="BP11" s="39">
        <f t="shared" si="26"/>
        <v>13.6</v>
      </c>
      <c r="BQ11" s="39">
        <f t="shared" si="27"/>
        <v>1.54</v>
      </c>
      <c r="BR11" s="11">
        <f t="shared" si="28"/>
        <v>17.54</v>
      </c>
      <c r="BS11" s="11">
        <f t="shared" si="29"/>
        <v>13.6</v>
      </c>
      <c r="BT11" s="11">
        <f t="shared" si="30"/>
        <v>13.74</v>
      </c>
      <c r="BU11" s="11">
        <f t="shared" si="31"/>
        <v>48.84</v>
      </c>
      <c r="BV11" s="11">
        <f t="shared" si="32"/>
        <v>48.84</v>
      </c>
      <c r="BW11" s="11">
        <f t="shared" si="33"/>
        <v>12.3</v>
      </c>
      <c r="BX11" s="11">
        <f t="shared" si="34"/>
        <v>14.05</v>
      </c>
      <c r="BY11" s="11">
        <f t="shared" si="35"/>
        <v>49.349999999999994</v>
      </c>
      <c r="BZ11" s="11">
        <f t="shared" si="36"/>
        <v>98.19</v>
      </c>
      <c r="CA11" s="22">
        <v>15</v>
      </c>
      <c r="CB11" s="22">
        <v>9.1</v>
      </c>
      <c r="CC11" s="22">
        <v>13.6</v>
      </c>
      <c r="CD11" s="22">
        <v>15.1</v>
      </c>
      <c r="CE11" s="22">
        <v>0</v>
      </c>
      <c r="CF11" s="22">
        <v>10.199999999999999</v>
      </c>
      <c r="CG11" s="22">
        <v>6.3</v>
      </c>
      <c r="CH11" s="22">
        <v>9.5</v>
      </c>
      <c r="CI11" s="22">
        <v>10.95</v>
      </c>
      <c r="CJ11" s="22">
        <v>0</v>
      </c>
      <c r="CK11" s="22">
        <v>13.7</v>
      </c>
      <c r="CL11" s="22">
        <v>8.6</v>
      </c>
      <c r="CM11" s="22">
        <v>13.6</v>
      </c>
      <c r="CN11" s="22">
        <v>15.29</v>
      </c>
      <c r="CO11" s="22">
        <v>0</v>
      </c>
      <c r="CP11" s="27"/>
      <c r="CQ11" s="38">
        <f t="shared" si="37"/>
        <v>13.6</v>
      </c>
      <c r="CR11" s="38">
        <f t="shared" si="38"/>
        <v>15.1</v>
      </c>
      <c r="CS11" s="40">
        <f t="shared" si="39"/>
        <v>52.800000000000004</v>
      </c>
      <c r="CT11" s="40">
        <f t="shared" si="40"/>
        <v>9.5</v>
      </c>
      <c r="CU11" s="40">
        <f t="shared" si="41"/>
        <v>10.95</v>
      </c>
      <c r="CV11" s="40">
        <f t="shared" si="42"/>
        <v>36.950000000000003</v>
      </c>
      <c r="CW11" s="40">
        <f t="shared" si="43"/>
        <v>52.800000000000004</v>
      </c>
      <c r="CX11" s="40">
        <f t="shared" si="44"/>
        <v>13.6</v>
      </c>
      <c r="CY11" s="40">
        <f t="shared" si="45"/>
        <v>15.29</v>
      </c>
      <c r="CZ11" s="40">
        <f t="shared" si="46"/>
        <v>51.19</v>
      </c>
      <c r="DA11" s="40">
        <f t="shared" si="47"/>
        <v>103.99000000000001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8.1999999999999993</v>
      </c>
      <c r="SW11" s="22">
        <f t="shared" si="219"/>
        <v>5.05</v>
      </c>
      <c r="SX11" s="22">
        <f t="shared" si="220"/>
        <v>13.6</v>
      </c>
      <c r="SY11" s="22">
        <f t="shared" si="221"/>
        <v>8.32</v>
      </c>
      <c r="SZ11" s="22">
        <f t="shared" si="222"/>
        <v>0</v>
      </c>
      <c r="TA11" s="22">
        <f t="shared" si="223"/>
        <v>11.6</v>
      </c>
      <c r="TB11" s="22">
        <f t="shared" si="224"/>
        <v>7.4</v>
      </c>
      <c r="TC11" s="22">
        <f t="shared" si="225"/>
        <v>11.55</v>
      </c>
      <c r="TD11" s="22">
        <f t="shared" si="226"/>
        <v>12.344999999999999</v>
      </c>
      <c r="TE11" s="22">
        <f t="shared" si="227"/>
        <v>0</v>
      </c>
      <c r="TF11" s="22">
        <f t="shared" si="228"/>
        <v>13.899999999999999</v>
      </c>
      <c r="TG11" s="22">
        <f t="shared" si="229"/>
        <v>8.75</v>
      </c>
      <c r="TH11" s="22">
        <f t="shared" si="230"/>
        <v>12.95</v>
      </c>
      <c r="TI11" s="22">
        <f t="shared" si="231"/>
        <v>14.67</v>
      </c>
      <c r="TJ11" s="22">
        <f t="shared" si="232"/>
        <v>0</v>
      </c>
      <c r="TK11" s="27" t="s">
        <v>46</v>
      </c>
      <c r="TL11" s="40">
        <f t="shared" si="233"/>
        <v>13.6</v>
      </c>
      <c r="TM11" s="40">
        <f t="shared" si="234"/>
        <v>8.32</v>
      </c>
      <c r="TN11" s="40">
        <f t="shared" si="235"/>
        <v>35.17</v>
      </c>
      <c r="TO11" s="40">
        <f t="shared" si="236"/>
        <v>11.55</v>
      </c>
      <c r="TP11" s="40">
        <f t="shared" si="237"/>
        <v>12.344999999999999</v>
      </c>
      <c r="TQ11" s="40">
        <f t="shared" si="238"/>
        <v>42.894999999999996</v>
      </c>
      <c r="TR11" s="40">
        <f t="shared" si="239"/>
        <v>42.894999999999996</v>
      </c>
      <c r="TS11" s="40">
        <f t="shared" si="240"/>
        <v>12.95</v>
      </c>
      <c r="TT11" s="40">
        <f t="shared" si="241"/>
        <v>14.67</v>
      </c>
      <c r="TU11" s="40">
        <f t="shared" si="242"/>
        <v>50.269999999999996</v>
      </c>
      <c r="TV11" s="40">
        <f t="shared" si="243"/>
        <v>93.164999999999992</v>
      </c>
    </row>
    <row r="12" spans="1:542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68</v>
      </c>
      <c r="D12" s="4" t="s">
        <v>4</v>
      </c>
      <c r="E12" s="4">
        <v>2003</v>
      </c>
      <c r="F12" s="9">
        <f t="shared" si="0"/>
        <v>187.30001871100527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52.440000000000005</v>
      </c>
      <c r="M12" s="8" t="str">
        <f t="shared" si="5"/>
        <v>2023 3rd Domestic Trial</v>
      </c>
      <c r="N12" s="8">
        <f>IF(COUNT(AQ12,AT12,BR12,BU12,CS12,CV12)&gt;1,LARGE((AQ12,AT12,BR12,BU12,CS12,CV12),2),0)</f>
        <v>51.69</v>
      </c>
      <c r="O12" s="8" t="str">
        <f t="shared" si="6"/>
        <v>2023 3rd Domestic Trial</v>
      </c>
      <c r="P12" s="8">
        <f>IF(COUNT(AQ12,AT12,BR12,BU12,CS12,CV12)&gt;2,MAX(AX12,BY12,CZ12,LARGE((AQ12,AT12,BR12,BU12,CS12,CV12),3)),IF(MAX(AX12,BY12,CZ12)&gt;0,MAX(AX12,BY12,CZ12),0))</f>
        <v>52.790000000000006</v>
      </c>
      <c r="Q12" s="8" t="str">
        <f t="shared" si="7"/>
        <v>2023 3rd Domestic Trial</v>
      </c>
      <c r="R12" s="8">
        <f t="shared" si="8"/>
        <v>14.6</v>
      </c>
      <c r="S12" s="8" t="str">
        <f t="shared" si="9"/>
        <v>2023 3rd Domestic Trial</v>
      </c>
      <c r="T12" s="8">
        <f t="shared" si="10"/>
        <v>15.59</v>
      </c>
      <c r="U12" s="8" t="str">
        <f t="shared" si="11"/>
        <v>2023 3rd Domestic Trial</v>
      </c>
      <c r="V12" s="8">
        <f t="shared" si="12"/>
        <v>0.18999999999999773</v>
      </c>
      <c r="W12" s="11" t="str">
        <f t="shared" si="13"/>
        <v>(Optional)</v>
      </c>
      <c r="X12" s="8" t="str">
        <f t="shared" si="14"/>
        <v>2023 Pan Am Club Championships (May 14)</v>
      </c>
      <c r="Y12" s="22">
        <v>13.5</v>
      </c>
      <c r="Z12" s="22">
        <v>9</v>
      </c>
      <c r="AA12" s="22">
        <v>13.9</v>
      </c>
      <c r="AB12" s="22">
        <v>13.99</v>
      </c>
      <c r="AC12" s="22">
        <v>0</v>
      </c>
      <c r="AD12" s="22">
        <v>13.6</v>
      </c>
      <c r="AE12" s="22">
        <v>9.1999999999999993</v>
      </c>
      <c r="AF12" s="22">
        <v>13.7</v>
      </c>
      <c r="AG12" s="22">
        <v>14.35</v>
      </c>
      <c r="AH12" s="22">
        <v>0</v>
      </c>
      <c r="AI12" s="22">
        <v>14.4</v>
      </c>
      <c r="AJ12" s="22">
        <v>9.4</v>
      </c>
      <c r="AK12" s="22">
        <v>13.7</v>
      </c>
      <c r="AL12" s="22">
        <v>14.64</v>
      </c>
      <c r="AM12" s="22">
        <v>0</v>
      </c>
      <c r="AN12" s="27"/>
      <c r="AO12" s="38">
        <f t="shared" si="15"/>
        <v>13.9</v>
      </c>
      <c r="AP12" s="38">
        <f t="shared" si="16"/>
        <v>13.99</v>
      </c>
      <c r="AQ12" s="40">
        <f t="shared" si="17"/>
        <v>50.39</v>
      </c>
      <c r="AR12" s="40">
        <f t="shared" si="18"/>
        <v>13.7</v>
      </c>
      <c r="AS12" s="40">
        <f t="shared" si="19"/>
        <v>14.35</v>
      </c>
      <c r="AT12" s="40">
        <f t="shared" si="20"/>
        <v>50.85</v>
      </c>
      <c r="AU12" s="40">
        <f t="shared" si="21"/>
        <v>50.85</v>
      </c>
      <c r="AV12" s="40">
        <f t="shared" si="22"/>
        <v>13.7</v>
      </c>
      <c r="AW12" s="40">
        <f t="shared" si="23"/>
        <v>14.64</v>
      </c>
      <c r="AX12" s="40">
        <f t="shared" si="24"/>
        <v>52.14</v>
      </c>
      <c r="AY12" s="40">
        <f t="shared" si="25"/>
        <v>102.99000000000001</v>
      </c>
      <c r="AZ12" s="26">
        <v>0</v>
      </c>
      <c r="BA12" s="26">
        <v>0</v>
      </c>
      <c r="BB12" s="26">
        <v>0</v>
      </c>
      <c r="BC12" s="26">
        <v>0</v>
      </c>
      <c r="BD12" s="26">
        <v>0</v>
      </c>
      <c r="BE12" s="26">
        <v>12.1</v>
      </c>
      <c r="BF12" s="26">
        <v>8.9</v>
      </c>
      <c r="BG12" s="26">
        <v>14.2</v>
      </c>
      <c r="BH12" s="26">
        <v>14.45</v>
      </c>
      <c r="BI12" s="26">
        <v>0</v>
      </c>
      <c r="BJ12" s="26">
        <v>4.2</v>
      </c>
      <c r="BK12" s="26">
        <v>2.7</v>
      </c>
      <c r="BL12" s="26">
        <v>4.9000000000000004</v>
      </c>
      <c r="BM12" s="26">
        <v>4.71</v>
      </c>
      <c r="BN12" s="26">
        <v>0</v>
      </c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>
        <f t="shared" si="29"/>
        <v>14.2</v>
      </c>
      <c r="BT12" s="11">
        <f t="shared" si="30"/>
        <v>14.45</v>
      </c>
      <c r="BU12" s="11">
        <f t="shared" si="31"/>
        <v>49.650000000000006</v>
      </c>
      <c r="BV12" s="11" t="str">
        <f t="shared" si="32"/>
        <v/>
      </c>
      <c r="BW12" s="11">
        <f t="shared" si="33"/>
        <v>4.9000000000000004</v>
      </c>
      <c r="BX12" s="11">
        <f t="shared" si="34"/>
        <v>4.71</v>
      </c>
      <c r="BY12" s="11">
        <f t="shared" si="35"/>
        <v>16.510000000000002</v>
      </c>
      <c r="BZ12" s="11">
        <f t="shared" si="36"/>
        <v>16.510000000000002</v>
      </c>
      <c r="CA12" s="22">
        <v>14.9</v>
      </c>
      <c r="CB12" s="22">
        <v>8.8000000000000007</v>
      </c>
      <c r="CC12" s="22">
        <v>13.5</v>
      </c>
      <c r="CD12" s="22">
        <v>15.24</v>
      </c>
      <c r="CE12" s="22">
        <v>0</v>
      </c>
      <c r="CF12" s="22">
        <v>13</v>
      </c>
      <c r="CG12" s="22">
        <v>8.6999999999999993</v>
      </c>
      <c r="CH12" s="22">
        <v>14.6</v>
      </c>
      <c r="CI12" s="22">
        <v>15.39</v>
      </c>
      <c r="CJ12" s="22">
        <v>0</v>
      </c>
      <c r="CK12" s="22">
        <v>14.4</v>
      </c>
      <c r="CL12" s="22">
        <v>9.1</v>
      </c>
      <c r="CM12" s="22">
        <v>13.7</v>
      </c>
      <c r="CN12" s="22">
        <v>15.59</v>
      </c>
      <c r="CO12" s="22">
        <v>0</v>
      </c>
      <c r="CP12" s="27"/>
      <c r="CQ12" s="38">
        <f t="shared" si="37"/>
        <v>13.5</v>
      </c>
      <c r="CR12" s="38">
        <f t="shared" si="38"/>
        <v>15.24</v>
      </c>
      <c r="CS12" s="40">
        <f t="shared" si="39"/>
        <v>52.440000000000005</v>
      </c>
      <c r="CT12" s="40">
        <f t="shared" si="40"/>
        <v>14.6</v>
      </c>
      <c r="CU12" s="40">
        <f t="shared" si="41"/>
        <v>15.39</v>
      </c>
      <c r="CV12" s="40">
        <f t="shared" si="42"/>
        <v>51.69</v>
      </c>
      <c r="CW12" s="40">
        <f t="shared" si="43"/>
        <v>52.440000000000005</v>
      </c>
      <c r="CX12" s="40">
        <f t="shared" si="44"/>
        <v>13.7</v>
      </c>
      <c r="CY12" s="40">
        <f t="shared" si="45"/>
        <v>15.59</v>
      </c>
      <c r="CZ12" s="40">
        <f t="shared" si="46"/>
        <v>52.790000000000006</v>
      </c>
      <c r="DA12" s="40">
        <f t="shared" si="47"/>
        <v>105.23000000000002</v>
      </c>
      <c r="DB12" s="50">
        <f t="shared" si="48"/>
        <v>0.18999999999999773</v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>
        <v>13.9</v>
      </c>
      <c r="EM12" s="18">
        <v>9.5</v>
      </c>
      <c r="EN12" s="18">
        <v>13.7</v>
      </c>
      <c r="EO12" s="18">
        <v>14.78</v>
      </c>
      <c r="EP12" s="18">
        <v>0</v>
      </c>
      <c r="EQ12" s="18">
        <v>2.6</v>
      </c>
      <c r="ER12" s="18">
        <v>1.7</v>
      </c>
      <c r="ES12" s="18">
        <v>3.2</v>
      </c>
      <c r="ET12" s="18">
        <v>3.28</v>
      </c>
      <c r="EU12" s="18">
        <v>0</v>
      </c>
      <c r="EV12" s="18"/>
      <c r="EW12" s="18"/>
      <c r="EX12" s="18"/>
      <c r="EY12" s="18"/>
      <c r="EZ12" s="18"/>
      <c r="FA12" s="18">
        <v>5.5</v>
      </c>
      <c r="FB12" s="18">
        <v>3.7</v>
      </c>
      <c r="FC12" s="18">
        <v>5.8</v>
      </c>
      <c r="FD12" s="18">
        <v>6.33</v>
      </c>
      <c r="FE12" s="18">
        <v>0</v>
      </c>
      <c r="FF12" s="11">
        <f t="shared" si="64"/>
        <v>13.7</v>
      </c>
      <c r="FG12" s="11">
        <f t="shared" si="65"/>
        <v>14.78</v>
      </c>
      <c r="FH12" s="11">
        <f t="shared" si="66"/>
        <v>51.879999999999995</v>
      </c>
      <c r="FI12" s="11">
        <f t="shared" si="67"/>
        <v>3.2</v>
      </c>
      <c r="FJ12" s="11">
        <f t="shared" si="68"/>
        <v>3.28</v>
      </c>
      <c r="FK12" s="11">
        <f t="shared" si="69"/>
        <v>10.78</v>
      </c>
      <c r="FL12" s="11">
        <f t="shared" si="70"/>
        <v>51.879999999999995</v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>
        <f t="shared" si="74"/>
        <v>5.8</v>
      </c>
      <c r="FQ12" s="11">
        <f t="shared" si="75"/>
        <v>6.33</v>
      </c>
      <c r="FR12" s="11">
        <f t="shared" si="76"/>
        <v>21.33</v>
      </c>
      <c r="FS12" s="11">
        <f t="shared" si="77"/>
        <v>73.209999999999994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7.45</v>
      </c>
      <c r="SW12" s="22">
        <f t="shared" si="219"/>
        <v>4.4000000000000004</v>
      </c>
      <c r="SX12" s="22">
        <f t="shared" si="220"/>
        <v>6.75</v>
      </c>
      <c r="SY12" s="22">
        <f t="shared" si="221"/>
        <v>7.62</v>
      </c>
      <c r="SZ12" s="22">
        <f t="shared" si="222"/>
        <v>0</v>
      </c>
      <c r="TA12" s="22">
        <f t="shared" si="223"/>
        <v>12.55</v>
      </c>
      <c r="TB12" s="22">
        <f t="shared" si="224"/>
        <v>8.8000000000000007</v>
      </c>
      <c r="TC12" s="22">
        <f t="shared" si="225"/>
        <v>14.399999999999999</v>
      </c>
      <c r="TD12" s="22">
        <f t="shared" si="226"/>
        <v>14.92</v>
      </c>
      <c r="TE12" s="22">
        <f t="shared" si="227"/>
        <v>0</v>
      </c>
      <c r="TF12" s="22">
        <f t="shared" si="228"/>
        <v>9.3000000000000007</v>
      </c>
      <c r="TG12" s="22">
        <f t="shared" si="229"/>
        <v>5.9</v>
      </c>
      <c r="TH12" s="22">
        <f t="shared" si="230"/>
        <v>9.3000000000000007</v>
      </c>
      <c r="TI12" s="22">
        <f t="shared" si="231"/>
        <v>10.15</v>
      </c>
      <c r="TJ12" s="22">
        <f t="shared" si="232"/>
        <v>0</v>
      </c>
      <c r="TK12" s="27" t="s">
        <v>46</v>
      </c>
      <c r="TL12" s="40">
        <f t="shared" si="233"/>
        <v>6.75</v>
      </c>
      <c r="TM12" s="40">
        <f t="shared" si="234"/>
        <v>7.62</v>
      </c>
      <c r="TN12" s="40">
        <f t="shared" si="235"/>
        <v>26.220000000000002</v>
      </c>
      <c r="TO12" s="40">
        <f t="shared" si="236"/>
        <v>14.399999999999999</v>
      </c>
      <c r="TP12" s="40">
        <f t="shared" si="237"/>
        <v>14.92</v>
      </c>
      <c r="TQ12" s="40">
        <f t="shared" si="238"/>
        <v>50.67</v>
      </c>
      <c r="TR12" s="40">
        <f t="shared" si="239"/>
        <v>50.67</v>
      </c>
      <c r="TS12" s="40">
        <f t="shared" si="240"/>
        <v>9.3000000000000007</v>
      </c>
      <c r="TT12" s="40">
        <f t="shared" si="241"/>
        <v>10.15</v>
      </c>
      <c r="TU12" s="40">
        <f t="shared" si="242"/>
        <v>34.65</v>
      </c>
      <c r="TV12" s="40">
        <f t="shared" si="243"/>
        <v>85.32</v>
      </c>
    </row>
    <row r="13" spans="1:542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167</v>
      </c>
      <c r="D13" s="4" t="s">
        <v>6</v>
      </c>
      <c r="E13" s="4">
        <v>2006</v>
      </c>
      <c r="F13" s="9">
        <f t="shared" si="0"/>
        <v>183.22001832200522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52.290000000000006</v>
      </c>
      <c r="M13" s="8" t="str">
        <f t="shared" si="5"/>
        <v>2023 3rd Domestic Trial</v>
      </c>
      <c r="N13" s="8">
        <f>IF(COUNT(AQ13,AT13,BR13,BU13,CS13,CV13)&gt;1,LARGE((AQ13,AT13,BR13,BU13,CS13,CV13),2),0)</f>
        <v>51.550000000000004</v>
      </c>
      <c r="O13" s="8" t="str">
        <f t="shared" si="6"/>
        <v>2023 3rd Domestic Trial</v>
      </c>
      <c r="P13" s="8">
        <f>IF(COUNT(AQ13,AT13,BR13,BU13,CS13,CV13)&gt;2,MAX(AX13,BY13,CZ13,LARGE((AQ13,AT13,BR13,BU13,CS13,CV13),3)),IF(MAX(AX13,BY13,CZ13)&gt;0,MAX(AX13,BY13,CZ13),0))</f>
        <v>49.790000000000006</v>
      </c>
      <c r="Q13" s="8" t="str">
        <f t="shared" si="7"/>
        <v>2023 Elite Canada</v>
      </c>
      <c r="R13" s="8">
        <f t="shared" si="8"/>
        <v>13.6</v>
      </c>
      <c r="S13" s="8" t="str">
        <f t="shared" si="9"/>
        <v>2023 3rd Domestic Trial</v>
      </c>
      <c r="T13" s="8">
        <f t="shared" si="10"/>
        <v>15.99</v>
      </c>
      <c r="U13" s="8" t="str">
        <f t="shared" si="11"/>
        <v>2023 3rd Domestic Trial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1.6</v>
      </c>
      <c r="Z13" s="22">
        <v>1</v>
      </c>
      <c r="AA13" s="22">
        <v>1.5</v>
      </c>
      <c r="AB13" s="22">
        <v>1.51</v>
      </c>
      <c r="AC13" s="22">
        <v>0</v>
      </c>
      <c r="AD13" s="22">
        <v>13.8</v>
      </c>
      <c r="AE13" s="22">
        <v>8.9</v>
      </c>
      <c r="AF13" s="22">
        <v>12.3</v>
      </c>
      <c r="AG13" s="22">
        <v>14.41</v>
      </c>
      <c r="AH13" s="22">
        <v>0</v>
      </c>
      <c r="AI13" s="22">
        <v>14.5</v>
      </c>
      <c r="AJ13" s="22">
        <v>8.9</v>
      </c>
      <c r="AK13" s="22">
        <v>12.3</v>
      </c>
      <c r="AL13" s="22">
        <v>14.09</v>
      </c>
      <c r="AM13" s="22">
        <v>0</v>
      </c>
      <c r="AN13" s="27"/>
      <c r="AO13" s="38">
        <f t="shared" si="15"/>
        <v>1.5</v>
      </c>
      <c r="AP13" s="38">
        <f t="shared" si="16"/>
        <v>1.51</v>
      </c>
      <c r="AQ13" s="40">
        <f t="shared" si="17"/>
        <v>5.6099999999999994</v>
      </c>
      <c r="AR13" s="40">
        <f t="shared" si="18"/>
        <v>12.3</v>
      </c>
      <c r="AS13" s="40">
        <f t="shared" si="19"/>
        <v>14.41</v>
      </c>
      <c r="AT13" s="40">
        <f t="shared" si="20"/>
        <v>49.41</v>
      </c>
      <c r="AU13" s="40">
        <f t="shared" si="21"/>
        <v>49.41</v>
      </c>
      <c r="AV13" s="40">
        <f t="shared" si="22"/>
        <v>12.3</v>
      </c>
      <c r="AW13" s="40">
        <f t="shared" si="23"/>
        <v>14.09</v>
      </c>
      <c r="AX13" s="40">
        <f t="shared" si="24"/>
        <v>49.790000000000006</v>
      </c>
      <c r="AY13" s="40">
        <f t="shared" si="25"/>
        <v>99.2</v>
      </c>
      <c r="AZ13" s="26">
        <v>8.1999999999999993</v>
      </c>
      <c r="BA13" s="26">
        <v>5.3</v>
      </c>
      <c r="BB13" s="26">
        <v>6.7</v>
      </c>
      <c r="BC13" s="26">
        <v>8.17</v>
      </c>
      <c r="BD13" s="26">
        <v>0</v>
      </c>
      <c r="BE13" s="26">
        <v>3</v>
      </c>
      <c r="BF13" s="26">
        <v>1.8</v>
      </c>
      <c r="BG13" s="26">
        <v>2.1</v>
      </c>
      <c r="BH13" s="26">
        <v>3.05</v>
      </c>
      <c r="BI13" s="26">
        <v>0</v>
      </c>
      <c r="BJ13" s="26"/>
      <c r="BK13" s="26"/>
      <c r="BL13" s="26"/>
      <c r="BM13" s="26"/>
      <c r="BN13" s="26"/>
      <c r="BO13" s="28"/>
      <c r="BP13" s="39">
        <f t="shared" si="26"/>
        <v>6.7</v>
      </c>
      <c r="BQ13" s="39">
        <f t="shared" si="27"/>
        <v>8.17</v>
      </c>
      <c r="BR13" s="11">
        <f t="shared" si="28"/>
        <v>28.369999999999997</v>
      </c>
      <c r="BS13" s="11">
        <f t="shared" si="29"/>
        <v>2.1</v>
      </c>
      <c r="BT13" s="11">
        <f t="shared" si="30"/>
        <v>3.05</v>
      </c>
      <c r="BU13" s="11">
        <f t="shared" si="31"/>
        <v>9.9499999999999993</v>
      </c>
      <c r="BV13" s="11">
        <f t="shared" si="32"/>
        <v>28.369999999999997</v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>
        <f t="shared" si="36"/>
        <v>28.369999999999997</v>
      </c>
      <c r="CA13" s="22">
        <v>13.3</v>
      </c>
      <c r="CB13" s="22">
        <v>9.3000000000000007</v>
      </c>
      <c r="CC13" s="22">
        <v>13.6</v>
      </c>
      <c r="CD13" s="22">
        <v>15.35</v>
      </c>
      <c r="CE13" s="22">
        <v>0</v>
      </c>
      <c r="CF13" s="22">
        <v>13.8</v>
      </c>
      <c r="CG13" s="22">
        <v>8.9</v>
      </c>
      <c r="CH13" s="22">
        <v>13.6</v>
      </c>
      <c r="CI13" s="22">
        <v>15.99</v>
      </c>
      <c r="CJ13" s="22">
        <v>0</v>
      </c>
      <c r="CK13" s="22">
        <v>2.5</v>
      </c>
      <c r="CL13" s="22">
        <v>1.8</v>
      </c>
      <c r="CM13" s="22">
        <v>3.2</v>
      </c>
      <c r="CN13" s="22">
        <v>3.28</v>
      </c>
      <c r="CO13" s="22">
        <v>0.2</v>
      </c>
      <c r="CP13" s="27"/>
      <c r="CQ13" s="38">
        <f t="shared" si="37"/>
        <v>13.6</v>
      </c>
      <c r="CR13" s="38">
        <f t="shared" si="38"/>
        <v>15.35</v>
      </c>
      <c r="CS13" s="40">
        <f t="shared" si="39"/>
        <v>51.550000000000004</v>
      </c>
      <c r="CT13" s="40">
        <f t="shared" si="40"/>
        <v>13.6</v>
      </c>
      <c r="CU13" s="40">
        <f t="shared" si="41"/>
        <v>15.99</v>
      </c>
      <c r="CV13" s="40">
        <f t="shared" si="42"/>
        <v>52.290000000000006</v>
      </c>
      <c r="CW13" s="40">
        <f t="shared" si="43"/>
        <v>52.290000000000006</v>
      </c>
      <c r="CX13" s="40">
        <f t="shared" si="44"/>
        <v>3.2</v>
      </c>
      <c r="CY13" s="40">
        <f t="shared" si="45"/>
        <v>3.28</v>
      </c>
      <c r="CZ13" s="40">
        <f t="shared" si="46"/>
        <v>10.58</v>
      </c>
      <c r="DA13" s="40">
        <f t="shared" si="47"/>
        <v>62.870000000000005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10.75</v>
      </c>
      <c r="SW13" s="22">
        <f t="shared" si="219"/>
        <v>7.3000000000000007</v>
      </c>
      <c r="SX13" s="22">
        <f t="shared" si="220"/>
        <v>10.15</v>
      </c>
      <c r="SY13" s="22">
        <f t="shared" si="221"/>
        <v>11.76</v>
      </c>
      <c r="SZ13" s="22">
        <f t="shared" si="222"/>
        <v>0</v>
      </c>
      <c r="TA13" s="22">
        <f t="shared" si="223"/>
        <v>8.4</v>
      </c>
      <c r="TB13" s="22">
        <f t="shared" si="224"/>
        <v>5.3500000000000005</v>
      </c>
      <c r="TC13" s="22">
        <f t="shared" si="225"/>
        <v>7.85</v>
      </c>
      <c r="TD13" s="22">
        <f t="shared" si="226"/>
        <v>9.52</v>
      </c>
      <c r="TE13" s="22">
        <f t="shared" si="227"/>
        <v>0</v>
      </c>
      <c r="TF13" s="22">
        <f t="shared" si="228"/>
        <v>1.25</v>
      </c>
      <c r="TG13" s="22">
        <f t="shared" si="229"/>
        <v>0.9</v>
      </c>
      <c r="TH13" s="22">
        <f t="shared" si="230"/>
        <v>1.6</v>
      </c>
      <c r="TI13" s="22">
        <f t="shared" si="231"/>
        <v>1.64</v>
      </c>
      <c r="TJ13" s="22">
        <f t="shared" si="232"/>
        <v>0.1</v>
      </c>
      <c r="TK13" s="27" t="s">
        <v>46</v>
      </c>
      <c r="TL13" s="40">
        <f t="shared" si="233"/>
        <v>10.15</v>
      </c>
      <c r="TM13" s="40">
        <f t="shared" si="234"/>
        <v>11.76</v>
      </c>
      <c r="TN13" s="40">
        <f t="shared" si="235"/>
        <v>39.96</v>
      </c>
      <c r="TO13" s="40">
        <f t="shared" si="236"/>
        <v>7.85</v>
      </c>
      <c r="TP13" s="40">
        <f t="shared" si="237"/>
        <v>9.52</v>
      </c>
      <c r="TQ13" s="40">
        <f t="shared" si="238"/>
        <v>31.12</v>
      </c>
      <c r="TR13" s="40">
        <f t="shared" si="239"/>
        <v>39.96</v>
      </c>
      <c r="TS13" s="40">
        <f t="shared" si="240"/>
        <v>1.6</v>
      </c>
      <c r="TT13" s="40">
        <f t="shared" si="241"/>
        <v>1.64</v>
      </c>
      <c r="TU13" s="40">
        <f t="shared" si="242"/>
        <v>5.29</v>
      </c>
      <c r="TV13" s="40">
        <f t="shared" si="243"/>
        <v>45.25</v>
      </c>
    </row>
    <row r="14" spans="1:542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137</v>
      </c>
      <c r="D14" s="4" t="s">
        <v>4</v>
      </c>
      <c r="E14" s="4">
        <v>2002</v>
      </c>
      <c r="F14" s="9">
        <f t="shared" si="0"/>
        <v>177.74001777400514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51.21</v>
      </c>
      <c r="M14" s="8" t="str">
        <f t="shared" si="5"/>
        <v>2023 3rd Domestic Trial</v>
      </c>
      <c r="N14" s="8">
        <f>IF(COUNT(AQ14,AT14,BR14,BU14,CS14,CV14)&gt;1,LARGE((AQ14,AT14,BR14,BU14,CS14,CV14),2),0)</f>
        <v>49.09</v>
      </c>
      <c r="O14" s="8" t="str">
        <f t="shared" si="6"/>
        <v>2023 Nationals</v>
      </c>
      <c r="P14" s="8">
        <f>IF(COUNT(AQ14,AT14,BR14,BU14,CS14,CV14)&gt;2,MAX(AX14,BY14,CZ14,LARGE((AQ14,AT14,BR14,BU14,CS14,CV14),3)),IF(MAX(AX14,BY14,CZ14)&gt;0,MAX(AX14,BY14,CZ14),0))</f>
        <v>48.93</v>
      </c>
      <c r="Q14" s="8" t="str">
        <f t="shared" si="7"/>
        <v>2023 3rd Domestic Trial</v>
      </c>
      <c r="R14" s="8">
        <f t="shared" si="8"/>
        <v>13.5</v>
      </c>
      <c r="S14" s="8" t="str">
        <f t="shared" si="9"/>
        <v>2023 3rd Domestic Trial</v>
      </c>
      <c r="T14" s="8">
        <f t="shared" si="10"/>
        <v>15.01</v>
      </c>
      <c r="U14" s="8" t="str">
        <f t="shared" si="11"/>
        <v>2023 3rd Domestic Trial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 t="shared" si="15"/>
        <v/>
      </c>
      <c r="AP14" s="38" t="str">
        <f t="shared" si="16"/>
        <v/>
      </c>
      <c r="AQ14" s="40" t="str">
        <f t="shared" si="17"/>
        <v/>
      </c>
      <c r="AR14" s="40" t="str">
        <f t="shared" si="18"/>
        <v/>
      </c>
      <c r="AS14" s="40" t="str">
        <f t="shared" si="19"/>
        <v/>
      </c>
      <c r="AT14" s="40" t="str">
        <f t="shared" si="20"/>
        <v/>
      </c>
      <c r="AU14" s="40" t="str">
        <f t="shared" si="21"/>
        <v/>
      </c>
      <c r="AV14" s="40" t="str">
        <f t="shared" si="22"/>
        <v/>
      </c>
      <c r="AW14" s="40" t="str">
        <f t="shared" si="23"/>
        <v/>
      </c>
      <c r="AX14" s="40" t="str">
        <f t="shared" si="24"/>
        <v/>
      </c>
      <c r="AY14" s="40" t="str">
        <f t="shared" si="25"/>
        <v/>
      </c>
      <c r="AZ14" s="26">
        <v>15.5</v>
      </c>
      <c r="BA14" s="26">
        <v>9.5</v>
      </c>
      <c r="BB14" s="26">
        <v>9.1999999999999993</v>
      </c>
      <c r="BC14" s="26">
        <v>14.17</v>
      </c>
      <c r="BD14" s="26">
        <v>0</v>
      </c>
      <c r="BE14" s="26">
        <v>15.3</v>
      </c>
      <c r="BF14" s="26">
        <v>9.5</v>
      </c>
      <c r="BG14" s="26">
        <v>9.8000000000000007</v>
      </c>
      <c r="BH14" s="26">
        <v>14.49</v>
      </c>
      <c r="BI14" s="26">
        <v>0</v>
      </c>
      <c r="BJ14" s="26">
        <v>4.2</v>
      </c>
      <c r="BK14" s="26">
        <v>2.4</v>
      </c>
      <c r="BL14" s="26">
        <v>4.4000000000000004</v>
      </c>
      <c r="BM14" s="26">
        <v>4.6399999999999997</v>
      </c>
      <c r="BN14" s="26">
        <v>0</v>
      </c>
      <c r="BO14" s="28"/>
      <c r="BP14" s="39">
        <f t="shared" si="26"/>
        <v>9.1999999999999993</v>
      </c>
      <c r="BQ14" s="39">
        <f t="shared" si="27"/>
        <v>14.17</v>
      </c>
      <c r="BR14" s="11">
        <f t="shared" si="28"/>
        <v>48.370000000000005</v>
      </c>
      <c r="BS14" s="11">
        <f t="shared" si="29"/>
        <v>9.8000000000000007</v>
      </c>
      <c r="BT14" s="11">
        <f t="shared" si="30"/>
        <v>14.49</v>
      </c>
      <c r="BU14" s="11">
        <f t="shared" si="31"/>
        <v>49.09</v>
      </c>
      <c r="BV14" s="11">
        <f t="shared" si="32"/>
        <v>49.09</v>
      </c>
      <c r="BW14" s="11">
        <f t="shared" si="33"/>
        <v>4.4000000000000004</v>
      </c>
      <c r="BX14" s="11">
        <f t="shared" si="34"/>
        <v>4.6399999999999997</v>
      </c>
      <c r="BY14" s="11">
        <f t="shared" si="35"/>
        <v>15.64</v>
      </c>
      <c r="BZ14" s="11">
        <f t="shared" si="36"/>
        <v>64.73</v>
      </c>
      <c r="CA14" s="22">
        <v>14.1</v>
      </c>
      <c r="CB14" s="22">
        <v>8.6</v>
      </c>
      <c r="CC14" s="22">
        <v>13.5</v>
      </c>
      <c r="CD14" s="22">
        <v>15.01</v>
      </c>
      <c r="CE14" s="22">
        <v>0</v>
      </c>
      <c r="CF14" s="22">
        <v>1.2</v>
      </c>
      <c r="CG14" s="22">
        <v>0.9</v>
      </c>
      <c r="CH14" s="22">
        <v>1.7</v>
      </c>
      <c r="CI14" s="22">
        <v>1.71</v>
      </c>
      <c r="CJ14" s="22">
        <v>0</v>
      </c>
      <c r="CK14" s="22">
        <v>13</v>
      </c>
      <c r="CL14" s="22">
        <v>9</v>
      </c>
      <c r="CM14" s="22">
        <v>11.9</v>
      </c>
      <c r="CN14" s="22">
        <v>15.03</v>
      </c>
      <c r="CO14" s="22">
        <v>0</v>
      </c>
      <c r="CP14" s="27"/>
      <c r="CQ14" s="38">
        <f t="shared" si="37"/>
        <v>13.5</v>
      </c>
      <c r="CR14" s="38">
        <f t="shared" si="38"/>
        <v>15.01</v>
      </c>
      <c r="CS14" s="40">
        <f t="shared" si="39"/>
        <v>51.21</v>
      </c>
      <c r="CT14" s="40">
        <f t="shared" si="40"/>
        <v>1.7</v>
      </c>
      <c r="CU14" s="40">
        <f t="shared" si="41"/>
        <v>1.71</v>
      </c>
      <c r="CV14" s="40">
        <f t="shared" si="42"/>
        <v>5.51</v>
      </c>
      <c r="CW14" s="40">
        <f t="shared" si="43"/>
        <v>51.21</v>
      </c>
      <c r="CX14" s="40">
        <f t="shared" si="44"/>
        <v>11.9</v>
      </c>
      <c r="CY14" s="40">
        <f t="shared" si="45"/>
        <v>15.03</v>
      </c>
      <c r="CZ14" s="40">
        <f t="shared" si="46"/>
        <v>48.93</v>
      </c>
      <c r="DA14" s="40">
        <f t="shared" si="47"/>
        <v>100.14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14.8</v>
      </c>
      <c r="SW14" s="22">
        <f t="shared" si="219"/>
        <v>9.0500000000000007</v>
      </c>
      <c r="SX14" s="22">
        <f t="shared" si="220"/>
        <v>11.35</v>
      </c>
      <c r="SY14" s="22">
        <f t="shared" si="221"/>
        <v>14.59</v>
      </c>
      <c r="SZ14" s="22">
        <f t="shared" si="222"/>
        <v>0</v>
      </c>
      <c r="TA14" s="22">
        <f t="shared" si="223"/>
        <v>8.25</v>
      </c>
      <c r="TB14" s="22">
        <f t="shared" si="224"/>
        <v>5.2</v>
      </c>
      <c r="TC14" s="22">
        <f t="shared" si="225"/>
        <v>5.75</v>
      </c>
      <c r="TD14" s="22">
        <f t="shared" si="226"/>
        <v>8.1</v>
      </c>
      <c r="TE14" s="22">
        <f t="shared" si="227"/>
        <v>0</v>
      </c>
      <c r="TF14" s="22">
        <f t="shared" si="228"/>
        <v>8.6</v>
      </c>
      <c r="TG14" s="22">
        <f t="shared" si="229"/>
        <v>5.7</v>
      </c>
      <c r="TH14" s="22">
        <f t="shared" si="230"/>
        <v>8.15</v>
      </c>
      <c r="TI14" s="22">
        <f t="shared" si="231"/>
        <v>9.8349999999999991</v>
      </c>
      <c r="TJ14" s="22">
        <f t="shared" si="232"/>
        <v>0</v>
      </c>
      <c r="TK14" s="27" t="s">
        <v>46</v>
      </c>
      <c r="TL14" s="40">
        <f t="shared" si="233"/>
        <v>11.35</v>
      </c>
      <c r="TM14" s="40">
        <f t="shared" si="234"/>
        <v>14.59</v>
      </c>
      <c r="TN14" s="40">
        <f t="shared" si="235"/>
        <v>49.790000000000006</v>
      </c>
      <c r="TO14" s="40">
        <f t="shared" si="236"/>
        <v>5.75</v>
      </c>
      <c r="TP14" s="40">
        <f t="shared" si="237"/>
        <v>8.1</v>
      </c>
      <c r="TQ14" s="40">
        <f t="shared" si="238"/>
        <v>27.299999999999997</v>
      </c>
      <c r="TR14" s="40">
        <f t="shared" si="239"/>
        <v>49.790000000000006</v>
      </c>
      <c r="TS14" s="40">
        <f t="shared" si="240"/>
        <v>8.15</v>
      </c>
      <c r="TT14" s="40">
        <f t="shared" si="241"/>
        <v>9.8349999999999991</v>
      </c>
      <c r="TU14" s="40">
        <f t="shared" si="242"/>
        <v>32.285000000000004</v>
      </c>
      <c r="TV14" s="40">
        <f t="shared" si="243"/>
        <v>82.075000000000017</v>
      </c>
    </row>
    <row r="15" spans="1:542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69</v>
      </c>
      <c r="D15" s="4" t="s">
        <v>5</v>
      </c>
      <c r="E15" s="4">
        <v>2002</v>
      </c>
      <c r="F15" s="9">
        <f t="shared" si="0"/>
        <v>165.51001655100518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51.85</v>
      </c>
      <c r="M15" s="8" t="str">
        <f t="shared" si="5"/>
        <v>2023 Nationals</v>
      </c>
      <c r="N15" s="8">
        <f>IF(COUNT(AQ15,AT15,BR15,BU15,CS15,CV15)&gt;1,LARGE((AQ15,AT15,BR15,BU15,CS15,CV15),2),0)</f>
        <v>51.739999999999995</v>
      </c>
      <c r="O15" s="8" t="str">
        <f t="shared" si="6"/>
        <v>2023 Nationals</v>
      </c>
      <c r="P15" s="8">
        <f>IF(COUNT(AQ15,AT15,BR15,BU15,CS15,CV15)&gt;2,MAX(AX15,BY15,CZ15,LARGE((AQ15,AT15,BR15,BU15,CS15,CV15),3)),IF(MAX(AX15,BY15,CZ15)&gt;0,MAX(AX15,BY15,CZ15),0))</f>
        <v>49.519999999999996</v>
      </c>
      <c r="Q15" s="8" t="str">
        <f t="shared" si="7"/>
        <v>2023 Nationals</v>
      </c>
      <c r="R15" s="8">
        <f t="shared" si="8"/>
        <v>12.4</v>
      </c>
      <c r="S15" s="8" t="str">
        <f t="shared" si="9"/>
        <v>2023 Nationals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7"/>
      <c r="AO15" s="38" t="str">
        <f t="shared" si="15"/>
        <v/>
      </c>
      <c r="AP15" s="38" t="str">
        <f t="shared" si="16"/>
        <v/>
      </c>
      <c r="AQ15" s="40" t="str">
        <f t="shared" si="17"/>
        <v/>
      </c>
      <c r="AR15" s="40" t="str">
        <f t="shared" si="18"/>
        <v/>
      </c>
      <c r="AS15" s="40" t="str">
        <f t="shared" si="19"/>
        <v/>
      </c>
      <c r="AT15" s="40" t="str">
        <f t="shared" si="20"/>
        <v/>
      </c>
      <c r="AU15" s="40" t="str">
        <f t="shared" si="21"/>
        <v/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 t="str">
        <f t="shared" si="25"/>
        <v/>
      </c>
      <c r="AZ15" s="26">
        <v>15.4</v>
      </c>
      <c r="BA15" s="26">
        <v>9.3000000000000007</v>
      </c>
      <c r="BB15" s="26">
        <v>12</v>
      </c>
      <c r="BC15" s="26">
        <v>15.15</v>
      </c>
      <c r="BD15" s="26">
        <v>0</v>
      </c>
      <c r="BE15" s="26">
        <v>15.2</v>
      </c>
      <c r="BF15" s="26">
        <v>9.1999999999999993</v>
      </c>
      <c r="BG15" s="26">
        <v>12.4</v>
      </c>
      <c r="BH15" s="26">
        <v>14.94</v>
      </c>
      <c r="BI15" s="26">
        <v>0</v>
      </c>
      <c r="BJ15" s="26">
        <v>14.1</v>
      </c>
      <c r="BK15" s="26">
        <v>9.1999999999999993</v>
      </c>
      <c r="BL15" s="26">
        <v>11.1</v>
      </c>
      <c r="BM15" s="26">
        <v>15.12</v>
      </c>
      <c r="BN15" s="26">
        <v>0</v>
      </c>
      <c r="BO15" s="28"/>
      <c r="BP15" s="39">
        <f t="shared" si="26"/>
        <v>12</v>
      </c>
      <c r="BQ15" s="39">
        <f t="shared" si="27"/>
        <v>15.15</v>
      </c>
      <c r="BR15" s="11">
        <f t="shared" si="28"/>
        <v>51.85</v>
      </c>
      <c r="BS15" s="11">
        <f t="shared" si="29"/>
        <v>12.4</v>
      </c>
      <c r="BT15" s="11">
        <f t="shared" si="30"/>
        <v>14.94</v>
      </c>
      <c r="BU15" s="11">
        <f t="shared" si="31"/>
        <v>51.739999999999995</v>
      </c>
      <c r="BV15" s="11">
        <f t="shared" si="32"/>
        <v>51.85</v>
      </c>
      <c r="BW15" s="11">
        <f t="shared" si="33"/>
        <v>11.1</v>
      </c>
      <c r="BX15" s="11">
        <f t="shared" si="34"/>
        <v>15.12</v>
      </c>
      <c r="BY15" s="11">
        <f t="shared" si="35"/>
        <v>49.519999999999996</v>
      </c>
      <c r="BZ15" s="11">
        <f t="shared" si="36"/>
        <v>101.37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7.7</v>
      </c>
      <c r="SW15" s="22">
        <f t="shared" si="219"/>
        <v>4.6500000000000004</v>
      </c>
      <c r="SX15" s="22">
        <f t="shared" si="220"/>
        <v>6</v>
      </c>
      <c r="SY15" s="22">
        <f t="shared" si="221"/>
        <v>7.5750000000000002</v>
      </c>
      <c r="SZ15" s="22">
        <f t="shared" si="222"/>
        <v>0</v>
      </c>
      <c r="TA15" s="22">
        <f t="shared" si="223"/>
        <v>7.6</v>
      </c>
      <c r="TB15" s="22">
        <f t="shared" si="224"/>
        <v>4.5999999999999996</v>
      </c>
      <c r="TC15" s="22">
        <f t="shared" si="225"/>
        <v>6.2</v>
      </c>
      <c r="TD15" s="22">
        <f t="shared" si="226"/>
        <v>7.47</v>
      </c>
      <c r="TE15" s="22">
        <f t="shared" si="227"/>
        <v>0</v>
      </c>
      <c r="TF15" s="22">
        <f t="shared" si="228"/>
        <v>7.05</v>
      </c>
      <c r="TG15" s="22">
        <f t="shared" si="229"/>
        <v>4.5999999999999996</v>
      </c>
      <c r="TH15" s="22">
        <f t="shared" si="230"/>
        <v>5.55</v>
      </c>
      <c r="TI15" s="22">
        <f t="shared" si="231"/>
        <v>7.56</v>
      </c>
      <c r="TJ15" s="22">
        <f t="shared" si="232"/>
        <v>0</v>
      </c>
      <c r="TK15" s="27" t="s">
        <v>46</v>
      </c>
      <c r="TL15" s="40">
        <f t="shared" si="233"/>
        <v>6</v>
      </c>
      <c r="TM15" s="40">
        <f t="shared" si="234"/>
        <v>7.5750000000000002</v>
      </c>
      <c r="TN15" s="40">
        <f t="shared" si="235"/>
        <v>25.925000000000001</v>
      </c>
      <c r="TO15" s="40">
        <f t="shared" si="236"/>
        <v>6.2</v>
      </c>
      <c r="TP15" s="40">
        <f t="shared" si="237"/>
        <v>7.47</v>
      </c>
      <c r="TQ15" s="40">
        <f t="shared" si="238"/>
        <v>25.869999999999997</v>
      </c>
      <c r="TR15" s="40">
        <f t="shared" si="239"/>
        <v>25.925000000000001</v>
      </c>
      <c r="TS15" s="40">
        <f t="shared" si="240"/>
        <v>5.55</v>
      </c>
      <c r="TT15" s="40">
        <f t="shared" si="241"/>
        <v>7.56</v>
      </c>
      <c r="TU15" s="40">
        <f t="shared" si="242"/>
        <v>24.759999999999998</v>
      </c>
      <c r="TV15" s="40">
        <f t="shared" si="243"/>
        <v>50.685000000000002</v>
      </c>
    </row>
    <row r="16" spans="1:542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176</v>
      </c>
      <c r="D16" s="4" t="s">
        <v>6</v>
      </c>
      <c r="E16" s="4">
        <v>2004</v>
      </c>
      <c r="F16" s="9">
        <f t="shared" si="0"/>
        <v>163.00001630000514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51.570000000000007</v>
      </c>
      <c r="M16" s="8" t="str">
        <f t="shared" si="5"/>
        <v>2023 Nationals</v>
      </c>
      <c r="N16" s="8">
        <f>IF(COUNT(AQ16,AT16,BR16,BU16,CS16,CV16)&gt;1,LARGE((AQ16,AT16,BR16,BU16,CS16,CV16),2),0)</f>
        <v>49.809999999999995</v>
      </c>
      <c r="O16" s="8" t="str">
        <f t="shared" si="6"/>
        <v>2023 Elite Canada</v>
      </c>
      <c r="P16" s="8">
        <f>IF(COUNT(AQ16,AT16,BR16,BU16,CS16,CV16)&gt;2,MAX(AX16,BY16,CZ16,LARGE((AQ16,AT16,BR16,BU16,CS16,CV16),3)),IF(MAX(AX16,BY16,CZ16)&gt;0,MAX(AX16,BY16,CZ16),0))</f>
        <v>49.42</v>
      </c>
      <c r="Q16" s="8" t="str">
        <f t="shared" si="7"/>
        <v>2023 Elite Canada</v>
      </c>
      <c r="R16" s="8">
        <f t="shared" si="8"/>
        <v>12.2</v>
      </c>
      <c r="S16" s="8" t="str">
        <f t="shared" si="9"/>
        <v>2023 Nationals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12.7</v>
      </c>
      <c r="Z16" s="22">
        <v>9.6</v>
      </c>
      <c r="AA16" s="22">
        <v>10.7</v>
      </c>
      <c r="AB16" s="22">
        <v>15.64</v>
      </c>
      <c r="AC16" s="22">
        <v>0</v>
      </c>
      <c r="AD16" s="22">
        <v>13.8</v>
      </c>
      <c r="AE16" s="22">
        <v>9.6</v>
      </c>
      <c r="AF16" s="22">
        <v>11.2</v>
      </c>
      <c r="AG16" s="22">
        <v>15.21</v>
      </c>
      <c r="AH16" s="22">
        <v>0</v>
      </c>
      <c r="AI16" s="22">
        <v>12.8</v>
      </c>
      <c r="AJ16" s="22">
        <v>9.4</v>
      </c>
      <c r="AK16" s="22">
        <v>12.2</v>
      </c>
      <c r="AL16" s="22">
        <v>15.02</v>
      </c>
      <c r="AM16" s="22">
        <v>0</v>
      </c>
      <c r="AN16" s="27"/>
      <c r="AO16" s="38">
        <f t="shared" si="15"/>
        <v>10.7</v>
      </c>
      <c r="AP16" s="38">
        <f t="shared" si="16"/>
        <v>15.64</v>
      </c>
      <c r="AQ16" s="40">
        <f t="shared" si="17"/>
        <v>48.64</v>
      </c>
      <c r="AR16" s="40">
        <f t="shared" si="18"/>
        <v>11.2</v>
      </c>
      <c r="AS16" s="40">
        <f t="shared" si="19"/>
        <v>15.21</v>
      </c>
      <c r="AT16" s="40">
        <f t="shared" si="20"/>
        <v>49.809999999999995</v>
      </c>
      <c r="AU16" s="40">
        <f t="shared" si="21"/>
        <v>49.809999999999995</v>
      </c>
      <c r="AV16" s="40">
        <f t="shared" si="22"/>
        <v>12.2</v>
      </c>
      <c r="AW16" s="40">
        <f t="shared" si="23"/>
        <v>15.02</v>
      </c>
      <c r="AX16" s="40">
        <f t="shared" si="24"/>
        <v>49.42</v>
      </c>
      <c r="AY16" s="40">
        <f t="shared" si="25"/>
        <v>99.22999999999999</v>
      </c>
      <c r="AZ16" s="26">
        <v>14.4</v>
      </c>
      <c r="BA16" s="26">
        <v>9.3000000000000007</v>
      </c>
      <c r="BB16" s="26">
        <v>12.2</v>
      </c>
      <c r="BC16" s="26">
        <v>15.67</v>
      </c>
      <c r="BD16" s="26">
        <v>0</v>
      </c>
      <c r="BE16" s="26">
        <v>8.8000000000000007</v>
      </c>
      <c r="BF16" s="26">
        <v>5.9</v>
      </c>
      <c r="BG16" s="26">
        <v>7.7</v>
      </c>
      <c r="BH16" s="26">
        <v>9.51</v>
      </c>
      <c r="BI16" s="26">
        <v>0</v>
      </c>
      <c r="BJ16" s="26">
        <v>12.1</v>
      </c>
      <c r="BK16" s="26">
        <v>8.1</v>
      </c>
      <c r="BL16" s="26">
        <v>9.6999999999999993</v>
      </c>
      <c r="BM16" s="26">
        <v>13.94</v>
      </c>
      <c r="BN16" s="26">
        <v>0</v>
      </c>
      <c r="BO16" s="28"/>
      <c r="BP16" s="39">
        <f t="shared" si="26"/>
        <v>12.2</v>
      </c>
      <c r="BQ16" s="39">
        <f t="shared" si="27"/>
        <v>15.67</v>
      </c>
      <c r="BR16" s="11">
        <f t="shared" si="28"/>
        <v>51.570000000000007</v>
      </c>
      <c r="BS16" s="11">
        <f t="shared" si="29"/>
        <v>7.7</v>
      </c>
      <c r="BT16" s="11">
        <f t="shared" si="30"/>
        <v>9.51</v>
      </c>
      <c r="BU16" s="11">
        <f t="shared" si="31"/>
        <v>31.910000000000004</v>
      </c>
      <c r="BV16" s="11">
        <f t="shared" si="32"/>
        <v>51.570000000000007</v>
      </c>
      <c r="BW16" s="11">
        <f t="shared" si="33"/>
        <v>9.6999999999999993</v>
      </c>
      <c r="BX16" s="11">
        <f t="shared" si="34"/>
        <v>13.94</v>
      </c>
      <c r="BY16" s="11">
        <f t="shared" si="35"/>
        <v>43.839999999999996</v>
      </c>
      <c r="BZ16" s="11">
        <f t="shared" si="36"/>
        <v>95.41</v>
      </c>
      <c r="CA16" s="22">
        <v>8.1999999999999993</v>
      </c>
      <c r="CB16" s="22">
        <v>5.4</v>
      </c>
      <c r="CC16" s="22">
        <v>8.1</v>
      </c>
      <c r="CD16" s="22">
        <v>9.67</v>
      </c>
      <c r="CE16" s="22">
        <v>0</v>
      </c>
      <c r="CF16" s="22">
        <v>5.4</v>
      </c>
      <c r="CG16" s="22">
        <v>3.5</v>
      </c>
      <c r="CH16" s="22">
        <v>5.4</v>
      </c>
      <c r="CI16" s="22">
        <v>6.68</v>
      </c>
      <c r="CJ16" s="22">
        <v>0</v>
      </c>
      <c r="CK16" s="22"/>
      <c r="CL16" s="22"/>
      <c r="CM16" s="22"/>
      <c r="CN16" s="22"/>
      <c r="CO16" s="22"/>
      <c r="CP16" s="27"/>
      <c r="CQ16" s="38">
        <f t="shared" si="37"/>
        <v>8.1</v>
      </c>
      <c r="CR16" s="38">
        <f t="shared" si="38"/>
        <v>9.67</v>
      </c>
      <c r="CS16" s="40">
        <f t="shared" si="39"/>
        <v>31.369999999999997</v>
      </c>
      <c r="CT16" s="40">
        <f t="shared" si="40"/>
        <v>5.4</v>
      </c>
      <c r="CU16" s="40">
        <f t="shared" si="41"/>
        <v>6.68</v>
      </c>
      <c r="CV16" s="40">
        <f t="shared" si="42"/>
        <v>20.98</v>
      </c>
      <c r="CW16" s="40">
        <f t="shared" si="43"/>
        <v>31.369999999999997</v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>
        <f t="shared" si="47"/>
        <v>31.369999999999997</v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11.3</v>
      </c>
      <c r="SW16" s="22">
        <f t="shared" si="219"/>
        <v>7.3500000000000005</v>
      </c>
      <c r="SX16" s="22">
        <f t="shared" si="220"/>
        <v>10.149999999999999</v>
      </c>
      <c r="SY16" s="22">
        <f t="shared" si="221"/>
        <v>12.67</v>
      </c>
      <c r="SZ16" s="22">
        <f t="shared" si="222"/>
        <v>0</v>
      </c>
      <c r="TA16" s="22">
        <f t="shared" si="223"/>
        <v>7.1000000000000005</v>
      </c>
      <c r="TB16" s="22">
        <f t="shared" si="224"/>
        <v>4.7</v>
      </c>
      <c r="TC16" s="22">
        <f t="shared" si="225"/>
        <v>6.5500000000000007</v>
      </c>
      <c r="TD16" s="22">
        <f t="shared" si="226"/>
        <v>8.0949999999999989</v>
      </c>
      <c r="TE16" s="22">
        <f t="shared" si="227"/>
        <v>0</v>
      </c>
      <c r="TF16" s="22">
        <f t="shared" si="228"/>
        <v>6.05</v>
      </c>
      <c r="TG16" s="22">
        <f t="shared" si="229"/>
        <v>4.05</v>
      </c>
      <c r="TH16" s="22">
        <f t="shared" si="230"/>
        <v>4.8499999999999996</v>
      </c>
      <c r="TI16" s="22">
        <f t="shared" si="231"/>
        <v>6.97</v>
      </c>
      <c r="TJ16" s="22">
        <f t="shared" si="232"/>
        <v>0</v>
      </c>
      <c r="TK16" s="27" t="s">
        <v>46</v>
      </c>
      <c r="TL16" s="40">
        <f t="shared" si="233"/>
        <v>10.149999999999999</v>
      </c>
      <c r="TM16" s="40">
        <f t="shared" si="234"/>
        <v>12.67</v>
      </c>
      <c r="TN16" s="40">
        <f t="shared" si="235"/>
        <v>41.47</v>
      </c>
      <c r="TO16" s="40">
        <f t="shared" si="236"/>
        <v>6.5500000000000007</v>
      </c>
      <c r="TP16" s="40">
        <f t="shared" si="237"/>
        <v>8.0949999999999989</v>
      </c>
      <c r="TQ16" s="40">
        <f t="shared" si="238"/>
        <v>26.445</v>
      </c>
      <c r="TR16" s="40">
        <f t="shared" si="239"/>
        <v>41.47</v>
      </c>
      <c r="TS16" s="40">
        <f t="shared" si="240"/>
        <v>4.8499999999999996</v>
      </c>
      <c r="TT16" s="40">
        <f t="shared" si="241"/>
        <v>6.97</v>
      </c>
      <c r="TU16" s="40">
        <f t="shared" si="242"/>
        <v>21.919999999999998</v>
      </c>
      <c r="TV16" s="40">
        <f t="shared" si="243"/>
        <v>63.39</v>
      </c>
    </row>
    <row r="17" spans="1:542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134</v>
      </c>
      <c r="D17" s="4" t="s">
        <v>5</v>
      </c>
      <c r="E17" s="4">
        <v>2005</v>
      </c>
      <c r="F17" s="9">
        <f t="shared" si="0"/>
        <v>162.41001624100474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47.16</v>
      </c>
      <c r="M17" s="8" t="str">
        <f t="shared" si="5"/>
        <v>2023 Elite Canada</v>
      </c>
      <c r="N17" s="8">
        <f>IF(COUNT(AQ17,AT17,BR17,BU17,CS17,CV17)&gt;1,LARGE((AQ17,AT17,BR17,BU17,CS17,CV17),2),0)</f>
        <v>40.129999999999995</v>
      </c>
      <c r="O17" s="8" t="str">
        <f t="shared" si="6"/>
        <v>2023 3rd Domestic Trial</v>
      </c>
      <c r="P17" s="8">
        <f>IF(COUNT(AQ17,AT17,BR17,BU17,CS17,CV17)&gt;2,MAX(AX17,BY17,CZ17,LARGE((AQ17,AT17,BR17,BU17,CS17,CV17),3)),IF(MAX(AX17,BY17,CZ17)&gt;0,MAX(AX17,BY17,CZ17),0))</f>
        <v>46.760000000000005</v>
      </c>
      <c r="Q17" s="8" t="str">
        <f t="shared" si="7"/>
        <v>2023 3rd Domestic Trial</v>
      </c>
      <c r="R17" s="8">
        <f t="shared" si="8"/>
        <v>13.5</v>
      </c>
      <c r="S17" s="8" t="str">
        <f t="shared" si="9"/>
        <v>2023 Elite Canada</v>
      </c>
      <c r="T17" s="8">
        <f t="shared" si="10"/>
        <v>14.86</v>
      </c>
      <c r="U17" s="8" t="str">
        <f t="shared" si="11"/>
        <v>2023 Elite Canada</v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>
        <v>5.9</v>
      </c>
      <c r="Z17" s="22">
        <v>4.4000000000000004</v>
      </c>
      <c r="AA17" s="22">
        <v>7.3</v>
      </c>
      <c r="AB17" s="22">
        <v>7.58</v>
      </c>
      <c r="AC17" s="22">
        <v>0</v>
      </c>
      <c r="AD17" s="22">
        <v>9.6999999999999993</v>
      </c>
      <c r="AE17" s="22">
        <v>9.1</v>
      </c>
      <c r="AF17" s="22">
        <v>13.5</v>
      </c>
      <c r="AG17" s="22">
        <v>14.86</v>
      </c>
      <c r="AH17" s="22">
        <v>0</v>
      </c>
      <c r="AI17" s="22"/>
      <c r="AJ17" s="22"/>
      <c r="AK17" s="22"/>
      <c r="AL17" s="22"/>
      <c r="AM17" s="22"/>
      <c r="AN17" s="27"/>
      <c r="AO17" s="38">
        <f t="shared" si="15"/>
        <v>7.3</v>
      </c>
      <c r="AP17" s="38">
        <f t="shared" si="16"/>
        <v>7.58</v>
      </c>
      <c r="AQ17" s="40">
        <f t="shared" si="17"/>
        <v>25.18</v>
      </c>
      <c r="AR17" s="40">
        <f t="shared" si="18"/>
        <v>13.5</v>
      </c>
      <c r="AS17" s="40">
        <f t="shared" si="19"/>
        <v>14.86</v>
      </c>
      <c r="AT17" s="40">
        <f t="shared" si="20"/>
        <v>47.16</v>
      </c>
      <c r="AU17" s="40">
        <f t="shared" si="21"/>
        <v>47.16</v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>
        <f t="shared" si="25"/>
        <v>47.16</v>
      </c>
      <c r="AZ17" s="26">
        <v>2.6</v>
      </c>
      <c r="BA17" s="26">
        <v>1.6</v>
      </c>
      <c r="BB17" s="26">
        <v>3.1</v>
      </c>
      <c r="BC17" s="26">
        <v>3.17</v>
      </c>
      <c r="BD17" s="26">
        <v>0</v>
      </c>
      <c r="BE17" s="26">
        <v>2.6</v>
      </c>
      <c r="BF17" s="26">
        <v>1.7</v>
      </c>
      <c r="BG17" s="26">
        <v>3.1</v>
      </c>
      <c r="BH17" s="26">
        <v>3.01</v>
      </c>
      <c r="BI17" s="26">
        <v>0</v>
      </c>
      <c r="BJ17" s="26"/>
      <c r="BK17" s="26"/>
      <c r="BL17" s="26"/>
      <c r="BM17" s="26"/>
      <c r="BN17" s="26"/>
      <c r="BO17" s="28"/>
      <c r="BP17" s="39">
        <f t="shared" si="26"/>
        <v>3.1</v>
      </c>
      <c r="BQ17" s="39">
        <f t="shared" si="27"/>
        <v>3.17</v>
      </c>
      <c r="BR17" s="11">
        <f t="shared" si="28"/>
        <v>10.47</v>
      </c>
      <c r="BS17" s="11">
        <f t="shared" si="29"/>
        <v>3.1</v>
      </c>
      <c r="BT17" s="11">
        <f t="shared" si="30"/>
        <v>3.01</v>
      </c>
      <c r="BU17" s="11">
        <f t="shared" si="31"/>
        <v>10.41</v>
      </c>
      <c r="BV17" s="11">
        <f t="shared" si="32"/>
        <v>10.47</v>
      </c>
      <c r="BW17" s="11" t="str">
        <f t="shared" si="33"/>
        <v/>
      </c>
      <c r="BX17" s="11" t="str">
        <f t="shared" si="34"/>
        <v/>
      </c>
      <c r="BY17" s="11" t="str">
        <f t="shared" si="35"/>
        <v/>
      </c>
      <c r="BZ17" s="11">
        <f t="shared" si="36"/>
        <v>10.47</v>
      </c>
      <c r="CA17" s="22">
        <v>10.5</v>
      </c>
      <c r="CB17" s="22">
        <v>7.2</v>
      </c>
      <c r="CC17" s="22">
        <v>10.399999999999999</v>
      </c>
      <c r="CD17" s="22">
        <v>12.03</v>
      </c>
      <c r="CE17" s="22">
        <v>0</v>
      </c>
      <c r="CF17" s="22">
        <v>4.3</v>
      </c>
      <c r="CG17" s="22">
        <v>2.9</v>
      </c>
      <c r="CH17" s="22">
        <v>4.5999999999999996</v>
      </c>
      <c r="CI17" s="22">
        <v>5.0999999999999996</v>
      </c>
      <c r="CJ17" s="22">
        <v>0</v>
      </c>
      <c r="CK17" s="22">
        <v>12.6</v>
      </c>
      <c r="CL17" s="22">
        <v>9</v>
      </c>
      <c r="CM17" s="22">
        <v>10.6</v>
      </c>
      <c r="CN17" s="22">
        <v>14.56</v>
      </c>
      <c r="CO17" s="22">
        <v>0</v>
      </c>
      <c r="CP17" s="27"/>
      <c r="CQ17" s="38">
        <f t="shared" si="37"/>
        <v>10.399999999999999</v>
      </c>
      <c r="CR17" s="38">
        <f t="shared" si="38"/>
        <v>12.03</v>
      </c>
      <c r="CS17" s="40">
        <f t="shared" si="39"/>
        <v>40.129999999999995</v>
      </c>
      <c r="CT17" s="40">
        <f t="shared" si="40"/>
        <v>4.5999999999999996</v>
      </c>
      <c r="CU17" s="40">
        <f t="shared" si="41"/>
        <v>5.0999999999999996</v>
      </c>
      <c r="CV17" s="40">
        <f t="shared" si="42"/>
        <v>16.899999999999999</v>
      </c>
      <c r="CW17" s="40">
        <f t="shared" si="43"/>
        <v>40.129999999999995</v>
      </c>
      <c r="CX17" s="40">
        <f t="shared" si="44"/>
        <v>10.6</v>
      </c>
      <c r="CY17" s="40">
        <f t="shared" si="45"/>
        <v>14.56</v>
      </c>
      <c r="CZ17" s="40">
        <f t="shared" si="46"/>
        <v>46.760000000000005</v>
      </c>
      <c r="DA17" s="40">
        <f t="shared" si="47"/>
        <v>86.89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6.55</v>
      </c>
      <c r="SW17" s="22">
        <f t="shared" si="219"/>
        <v>4.4000000000000004</v>
      </c>
      <c r="SX17" s="22">
        <f t="shared" si="220"/>
        <v>6.7499999999999991</v>
      </c>
      <c r="SY17" s="22">
        <f t="shared" si="221"/>
        <v>7.6</v>
      </c>
      <c r="SZ17" s="22">
        <f t="shared" si="222"/>
        <v>0</v>
      </c>
      <c r="TA17" s="22">
        <f t="shared" si="223"/>
        <v>3.45</v>
      </c>
      <c r="TB17" s="22">
        <f t="shared" si="224"/>
        <v>2.2999999999999998</v>
      </c>
      <c r="TC17" s="22">
        <f t="shared" si="225"/>
        <v>3.8499999999999996</v>
      </c>
      <c r="TD17" s="22">
        <f t="shared" si="226"/>
        <v>4.0549999999999997</v>
      </c>
      <c r="TE17" s="22">
        <f t="shared" si="227"/>
        <v>0</v>
      </c>
      <c r="TF17" s="22">
        <f t="shared" si="228"/>
        <v>6.3</v>
      </c>
      <c r="TG17" s="22">
        <f t="shared" si="229"/>
        <v>4.5</v>
      </c>
      <c r="TH17" s="22">
        <f t="shared" si="230"/>
        <v>5.3</v>
      </c>
      <c r="TI17" s="22">
        <f t="shared" si="231"/>
        <v>7.28</v>
      </c>
      <c r="TJ17" s="22">
        <f t="shared" si="232"/>
        <v>0</v>
      </c>
      <c r="TK17" s="27" t="s">
        <v>46</v>
      </c>
      <c r="TL17" s="40">
        <f t="shared" si="233"/>
        <v>6.7499999999999991</v>
      </c>
      <c r="TM17" s="40">
        <f t="shared" si="234"/>
        <v>7.6</v>
      </c>
      <c r="TN17" s="40">
        <f t="shared" si="235"/>
        <v>25.299999999999997</v>
      </c>
      <c r="TO17" s="40">
        <f t="shared" si="236"/>
        <v>3.8499999999999996</v>
      </c>
      <c r="TP17" s="40">
        <f t="shared" si="237"/>
        <v>4.0549999999999997</v>
      </c>
      <c r="TQ17" s="40">
        <f t="shared" si="238"/>
        <v>13.654999999999999</v>
      </c>
      <c r="TR17" s="40">
        <f t="shared" si="239"/>
        <v>25.299999999999997</v>
      </c>
      <c r="TS17" s="40">
        <f t="shared" si="240"/>
        <v>5.3</v>
      </c>
      <c r="TT17" s="40">
        <f t="shared" si="241"/>
        <v>7.28</v>
      </c>
      <c r="TU17" s="40">
        <f t="shared" si="242"/>
        <v>23.380000000000003</v>
      </c>
      <c r="TV17" s="40">
        <f t="shared" si="243"/>
        <v>48.68</v>
      </c>
    </row>
    <row r="18" spans="1:542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132</v>
      </c>
      <c r="D18" s="4" t="s">
        <v>3</v>
      </c>
      <c r="E18" s="4">
        <v>2005</v>
      </c>
      <c r="F18" s="9">
        <f t="shared" si="0"/>
        <v>161.79001617900494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49.319999999999993</v>
      </c>
      <c r="M18" s="8" t="str">
        <f t="shared" si="5"/>
        <v>2023 Elite Canada</v>
      </c>
      <c r="N18" s="8">
        <f>IF(COUNT(AQ18,AT18,BR18,BU18,CS18,CV18)&gt;1,LARGE((AQ18,AT18,BR18,BU18,CS18,CV18),2),0)</f>
        <v>48.550000000000004</v>
      </c>
      <c r="O18" s="8" t="str">
        <f t="shared" si="6"/>
        <v>2023 Nationals</v>
      </c>
      <c r="P18" s="8">
        <f>IF(COUNT(AQ18,AT18,BR18,BU18,CS18,CV18)&gt;2,MAX(AX18,BY18,CZ18,LARGE((AQ18,AT18,BR18,BU18,CS18,CV18),3)),IF(MAX(AX18,BY18,CZ18)&gt;0,MAX(AX18,BY18,CZ18),0))</f>
        <v>51.019999999999996</v>
      </c>
      <c r="Q18" s="8" t="str">
        <f t="shared" si="7"/>
        <v>2023 Elite Canada</v>
      </c>
      <c r="R18" s="8">
        <f t="shared" si="8"/>
        <v>12.9</v>
      </c>
      <c r="S18" s="8" t="str">
        <f t="shared" si="9"/>
        <v>2023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13.4</v>
      </c>
      <c r="Z18" s="22">
        <v>9.1</v>
      </c>
      <c r="AA18" s="22">
        <v>12.3</v>
      </c>
      <c r="AB18" s="22">
        <v>14.52</v>
      </c>
      <c r="AC18" s="22">
        <v>0</v>
      </c>
      <c r="AD18" s="22">
        <v>12.6</v>
      </c>
      <c r="AE18" s="22">
        <v>8.3000000000000007</v>
      </c>
      <c r="AF18" s="22">
        <v>9.1999999999999993</v>
      </c>
      <c r="AG18" s="22">
        <v>13.32</v>
      </c>
      <c r="AH18" s="22">
        <v>0</v>
      </c>
      <c r="AI18" s="22">
        <v>14</v>
      </c>
      <c r="AJ18" s="22">
        <v>9.4</v>
      </c>
      <c r="AK18" s="22">
        <v>12.9</v>
      </c>
      <c r="AL18" s="22">
        <v>14.72</v>
      </c>
      <c r="AM18" s="22">
        <v>0</v>
      </c>
      <c r="AN18" s="27"/>
      <c r="AO18" s="38">
        <f t="shared" si="15"/>
        <v>12.3</v>
      </c>
      <c r="AP18" s="38">
        <f t="shared" si="16"/>
        <v>14.52</v>
      </c>
      <c r="AQ18" s="40">
        <f t="shared" si="17"/>
        <v>49.319999999999993</v>
      </c>
      <c r="AR18" s="40">
        <f t="shared" si="18"/>
        <v>9.1999999999999993</v>
      </c>
      <c r="AS18" s="40">
        <f t="shared" si="19"/>
        <v>13.32</v>
      </c>
      <c r="AT18" s="40">
        <f t="shared" si="20"/>
        <v>43.42</v>
      </c>
      <c r="AU18" s="40">
        <f t="shared" si="21"/>
        <v>49.319999999999993</v>
      </c>
      <c r="AV18" s="40">
        <f t="shared" si="22"/>
        <v>12.9</v>
      </c>
      <c r="AW18" s="40">
        <f t="shared" si="23"/>
        <v>14.72</v>
      </c>
      <c r="AX18" s="40">
        <f t="shared" si="24"/>
        <v>51.019999999999996</v>
      </c>
      <c r="AY18" s="40">
        <f t="shared" si="25"/>
        <v>100.33999999999999</v>
      </c>
      <c r="AZ18" s="26">
        <v>13.7</v>
      </c>
      <c r="BA18" s="26">
        <v>9.4</v>
      </c>
      <c r="BB18" s="26">
        <v>11.3</v>
      </c>
      <c r="BC18" s="26">
        <v>14.15</v>
      </c>
      <c r="BD18" s="26">
        <v>0</v>
      </c>
      <c r="BE18" s="26">
        <v>1.5</v>
      </c>
      <c r="BF18" s="26">
        <v>1</v>
      </c>
      <c r="BG18" s="26">
        <v>1.5</v>
      </c>
      <c r="BH18" s="26">
        <v>1.5</v>
      </c>
      <c r="BI18" s="26">
        <v>0</v>
      </c>
      <c r="BJ18" s="26"/>
      <c r="BK18" s="26"/>
      <c r="BL18" s="26"/>
      <c r="BM18" s="26"/>
      <c r="BN18" s="26"/>
      <c r="BO18" s="28"/>
      <c r="BP18" s="39">
        <f t="shared" si="26"/>
        <v>11.3</v>
      </c>
      <c r="BQ18" s="39">
        <f t="shared" si="27"/>
        <v>14.15</v>
      </c>
      <c r="BR18" s="11">
        <f t="shared" si="28"/>
        <v>48.550000000000004</v>
      </c>
      <c r="BS18" s="11">
        <f t="shared" si="29"/>
        <v>1.5</v>
      </c>
      <c r="BT18" s="11">
        <f t="shared" si="30"/>
        <v>1.5</v>
      </c>
      <c r="BU18" s="11">
        <f t="shared" si="31"/>
        <v>5.5</v>
      </c>
      <c r="BV18" s="11">
        <f t="shared" si="32"/>
        <v>48.550000000000004</v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>
        <f t="shared" si="36"/>
        <v>48.550000000000004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6.85</v>
      </c>
      <c r="SW18" s="22">
        <f t="shared" si="219"/>
        <v>4.7</v>
      </c>
      <c r="SX18" s="22">
        <f t="shared" si="220"/>
        <v>5.65</v>
      </c>
      <c r="SY18" s="22">
        <f t="shared" si="221"/>
        <v>7.0750000000000002</v>
      </c>
      <c r="SZ18" s="22">
        <f t="shared" si="222"/>
        <v>0</v>
      </c>
      <c r="TA18" s="22">
        <f t="shared" si="223"/>
        <v>0.75</v>
      </c>
      <c r="TB18" s="22">
        <f t="shared" si="224"/>
        <v>0.5</v>
      </c>
      <c r="TC18" s="22">
        <f t="shared" si="225"/>
        <v>0.75</v>
      </c>
      <c r="TD18" s="22">
        <f t="shared" si="226"/>
        <v>0.75</v>
      </c>
      <c r="TE18" s="22">
        <f t="shared" si="227"/>
        <v>0</v>
      </c>
      <c r="TF18" s="22">
        <f t="shared" si="228"/>
        <v>0</v>
      </c>
      <c r="TG18" s="22">
        <f t="shared" si="229"/>
        <v>0</v>
      </c>
      <c r="TH18" s="22">
        <f t="shared" si="230"/>
        <v>0</v>
      </c>
      <c r="TI18" s="22">
        <f t="shared" si="231"/>
        <v>0</v>
      </c>
      <c r="TJ18" s="22">
        <f t="shared" si="232"/>
        <v>0</v>
      </c>
      <c r="TK18" s="27" t="s">
        <v>46</v>
      </c>
      <c r="TL18" s="40">
        <f t="shared" si="233"/>
        <v>5.65</v>
      </c>
      <c r="TM18" s="40">
        <f t="shared" si="234"/>
        <v>7.0750000000000002</v>
      </c>
      <c r="TN18" s="40">
        <f t="shared" si="235"/>
        <v>24.275000000000002</v>
      </c>
      <c r="TO18" s="40">
        <f t="shared" si="236"/>
        <v>0.75</v>
      </c>
      <c r="TP18" s="40">
        <f t="shared" si="237"/>
        <v>0.75</v>
      </c>
      <c r="TQ18" s="40">
        <f t="shared" si="238"/>
        <v>2.75</v>
      </c>
      <c r="TR18" s="40">
        <f t="shared" si="239"/>
        <v>24.275000000000002</v>
      </c>
      <c r="TS18" s="40" t="str">
        <f t="shared" si="240"/>
        <v/>
      </c>
      <c r="TT18" s="40" t="str">
        <f t="shared" si="241"/>
        <v/>
      </c>
      <c r="TU18" s="40" t="str">
        <f t="shared" si="242"/>
        <v/>
      </c>
      <c r="TV18" s="40">
        <f t="shared" si="243"/>
        <v>24.275000000000002</v>
      </c>
    </row>
    <row r="19" spans="1:542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131</v>
      </c>
      <c r="D19" s="4" t="s">
        <v>6</v>
      </c>
      <c r="E19" s="4">
        <v>2003</v>
      </c>
      <c r="F19" s="9">
        <f t="shared" si="0"/>
        <v>160.080016008005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50.03</v>
      </c>
      <c r="M19" s="8" t="str">
        <f t="shared" si="5"/>
        <v>2023 Nationals</v>
      </c>
      <c r="N19" s="8">
        <f>IF(COUNT(AQ19,AT19,BR19,BU19,CS19,CV19)&gt;1,LARGE((AQ19,AT19,BR19,BU19,CS19,CV19),2),0)</f>
        <v>49.31</v>
      </c>
      <c r="O19" s="8" t="str">
        <f t="shared" si="6"/>
        <v>2023 Elite Canada</v>
      </c>
      <c r="P19" s="8">
        <f>IF(COUNT(AQ19,AT19,BR19,BU19,CS19,CV19)&gt;2,MAX(AX19,BY19,CZ19,LARGE((AQ19,AT19,BR19,BU19,CS19,CV19),3)),IF(MAX(AX19,BY19,CZ19)&gt;0,MAX(AX19,BY19,CZ19),0))</f>
        <v>48.940000000000005</v>
      </c>
      <c r="Q19" s="8" t="str">
        <f t="shared" si="7"/>
        <v>2023 Nationals</v>
      </c>
      <c r="R19" s="8">
        <f t="shared" si="8"/>
        <v>11.8</v>
      </c>
      <c r="S19" s="8" t="str">
        <f t="shared" si="9"/>
        <v>2023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14.4</v>
      </c>
      <c r="Z19" s="22">
        <v>9.6</v>
      </c>
      <c r="AA19" s="22">
        <v>11.4</v>
      </c>
      <c r="AB19" s="22">
        <v>13.91</v>
      </c>
      <c r="AC19" s="22">
        <v>0</v>
      </c>
      <c r="AD19" s="22">
        <v>12.7</v>
      </c>
      <c r="AE19" s="22">
        <v>8.3000000000000007</v>
      </c>
      <c r="AF19" s="22">
        <v>8.9</v>
      </c>
      <c r="AG19" s="22">
        <v>12.54</v>
      </c>
      <c r="AH19" s="22">
        <v>0</v>
      </c>
      <c r="AI19" s="22">
        <v>12.2</v>
      </c>
      <c r="AJ19" s="22">
        <v>9.6</v>
      </c>
      <c r="AK19" s="22">
        <v>11.4</v>
      </c>
      <c r="AL19" s="22">
        <v>14.5</v>
      </c>
      <c r="AM19" s="22">
        <v>0</v>
      </c>
      <c r="AN19" s="27"/>
      <c r="AO19" s="38">
        <f t="shared" si="15"/>
        <v>11.4</v>
      </c>
      <c r="AP19" s="38">
        <f t="shared" si="16"/>
        <v>13.91</v>
      </c>
      <c r="AQ19" s="40">
        <f t="shared" si="17"/>
        <v>49.31</v>
      </c>
      <c r="AR19" s="40">
        <f t="shared" si="18"/>
        <v>8.9</v>
      </c>
      <c r="AS19" s="40">
        <f t="shared" si="19"/>
        <v>12.54</v>
      </c>
      <c r="AT19" s="40">
        <f t="shared" si="20"/>
        <v>42.44</v>
      </c>
      <c r="AU19" s="40">
        <f t="shared" si="21"/>
        <v>49.31</v>
      </c>
      <c r="AV19" s="40">
        <f t="shared" si="22"/>
        <v>11.4</v>
      </c>
      <c r="AW19" s="40">
        <f t="shared" si="23"/>
        <v>14.5</v>
      </c>
      <c r="AX19" s="40">
        <f t="shared" si="24"/>
        <v>47.699999999999996</v>
      </c>
      <c r="AY19" s="40">
        <f t="shared" si="25"/>
        <v>97.009999999999991</v>
      </c>
      <c r="AZ19" s="26">
        <v>13.2</v>
      </c>
      <c r="BA19" s="26">
        <v>8.1999999999999993</v>
      </c>
      <c r="BB19" s="26">
        <v>10.6</v>
      </c>
      <c r="BC19" s="26">
        <v>13.16</v>
      </c>
      <c r="BD19" s="26">
        <v>0</v>
      </c>
      <c r="BE19" s="26">
        <v>14.8</v>
      </c>
      <c r="BF19" s="26">
        <v>9</v>
      </c>
      <c r="BG19" s="26">
        <v>11.8</v>
      </c>
      <c r="BH19" s="26">
        <v>14.43</v>
      </c>
      <c r="BI19" s="26">
        <v>0</v>
      </c>
      <c r="BJ19" s="26">
        <v>13.8</v>
      </c>
      <c r="BK19" s="26">
        <v>9.1</v>
      </c>
      <c r="BL19" s="26">
        <v>11.8</v>
      </c>
      <c r="BM19" s="26">
        <v>14.24</v>
      </c>
      <c r="BN19" s="26">
        <v>0</v>
      </c>
      <c r="BO19" s="28"/>
      <c r="BP19" s="39">
        <f t="shared" si="26"/>
        <v>10.6</v>
      </c>
      <c r="BQ19" s="39">
        <f t="shared" si="27"/>
        <v>13.16</v>
      </c>
      <c r="BR19" s="11">
        <f t="shared" si="28"/>
        <v>45.16</v>
      </c>
      <c r="BS19" s="11">
        <f t="shared" si="29"/>
        <v>11.8</v>
      </c>
      <c r="BT19" s="11">
        <f t="shared" si="30"/>
        <v>14.43</v>
      </c>
      <c r="BU19" s="11">
        <f t="shared" si="31"/>
        <v>50.03</v>
      </c>
      <c r="BV19" s="11">
        <f t="shared" si="32"/>
        <v>50.03</v>
      </c>
      <c r="BW19" s="11">
        <f t="shared" si="33"/>
        <v>11.8</v>
      </c>
      <c r="BX19" s="11">
        <f t="shared" si="34"/>
        <v>14.24</v>
      </c>
      <c r="BY19" s="11">
        <f t="shared" si="35"/>
        <v>48.940000000000005</v>
      </c>
      <c r="BZ19" s="11">
        <f t="shared" si="36"/>
        <v>98.97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6.6</v>
      </c>
      <c r="SW19" s="22">
        <f t="shared" si="219"/>
        <v>4.0999999999999996</v>
      </c>
      <c r="SX19" s="22">
        <f t="shared" si="220"/>
        <v>5.3</v>
      </c>
      <c r="SY19" s="22">
        <f t="shared" si="221"/>
        <v>6.58</v>
      </c>
      <c r="SZ19" s="22">
        <f t="shared" si="222"/>
        <v>0</v>
      </c>
      <c r="TA19" s="22">
        <f t="shared" si="223"/>
        <v>7.4</v>
      </c>
      <c r="TB19" s="22">
        <f t="shared" si="224"/>
        <v>4.5</v>
      </c>
      <c r="TC19" s="22">
        <f t="shared" si="225"/>
        <v>5.9</v>
      </c>
      <c r="TD19" s="22">
        <f t="shared" si="226"/>
        <v>7.2149999999999999</v>
      </c>
      <c r="TE19" s="22">
        <f t="shared" si="227"/>
        <v>0</v>
      </c>
      <c r="TF19" s="22">
        <f t="shared" si="228"/>
        <v>6.9</v>
      </c>
      <c r="TG19" s="22">
        <f t="shared" si="229"/>
        <v>4.55</v>
      </c>
      <c r="TH19" s="22">
        <f t="shared" si="230"/>
        <v>5.9</v>
      </c>
      <c r="TI19" s="22">
        <f t="shared" si="231"/>
        <v>7.12</v>
      </c>
      <c r="TJ19" s="22">
        <f t="shared" si="232"/>
        <v>0</v>
      </c>
      <c r="TK19" s="27" t="s">
        <v>46</v>
      </c>
      <c r="TL19" s="40">
        <f t="shared" si="233"/>
        <v>5.3</v>
      </c>
      <c r="TM19" s="40">
        <f t="shared" si="234"/>
        <v>6.58</v>
      </c>
      <c r="TN19" s="40">
        <f t="shared" si="235"/>
        <v>22.58</v>
      </c>
      <c r="TO19" s="40">
        <f t="shared" si="236"/>
        <v>5.9</v>
      </c>
      <c r="TP19" s="40">
        <f t="shared" si="237"/>
        <v>7.2149999999999999</v>
      </c>
      <c r="TQ19" s="40">
        <f t="shared" si="238"/>
        <v>25.015000000000001</v>
      </c>
      <c r="TR19" s="40">
        <f t="shared" si="239"/>
        <v>25.015000000000001</v>
      </c>
      <c r="TS19" s="40">
        <f t="shared" si="240"/>
        <v>5.9</v>
      </c>
      <c r="TT19" s="40">
        <f t="shared" si="241"/>
        <v>7.12</v>
      </c>
      <c r="TU19" s="40">
        <f t="shared" si="242"/>
        <v>24.470000000000002</v>
      </c>
      <c r="TV19" s="40">
        <f t="shared" si="243"/>
        <v>49.484999999999999</v>
      </c>
    </row>
    <row r="20" spans="1:542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129</v>
      </c>
      <c r="D20" s="4" t="s">
        <v>3</v>
      </c>
      <c r="E20" s="4">
        <v>2004</v>
      </c>
      <c r="F20" s="9">
        <f t="shared" si="0"/>
        <v>159.3800159380049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48.94</v>
      </c>
      <c r="M20" s="8" t="str">
        <f t="shared" si="5"/>
        <v>2023 Elite Canada</v>
      </c>
      <c r="N20" s="8">
        <f>IF(COUNT(AQ20,AT20,BR20,BU20,CS20,CV20)&gt;1,LARGE((AQ20,AT20,BR20,BU20,CS20,CV20),2),0)</f>
        <v>47.589999999999996</v>
      </c>
      <c r="O20" s="8" t="str">
        <f t="shared" si="6"/>
        <v>2023 Nationals</v>
      </c>
      <c r="P20" s="8">
        <f>IF(COUNT(AQ20,AT20,BR20,BU20,CS20,CV20)&gt;2,MAX(AX20,BY20,CZ20,LARGE((AQ20,AT20,BR20,BU20,CS20,CV20),3)),IF(MAX(AX20,BY20,CZ20)&gt;0,MAX(AX20,BY20,CZ20),0))</f>
        <v>50.45</v>
      </c>
      <c r="Q20" s="8" t="str">
        <f t="shared" si="7"/>
        <v>2023 Elite Canada</v>
      </c>
      <c r="R20" s="8">
        <f t="shared" si="8"/>
        <v>12.4</v>
      </c>
      <c r="S20" s="8" t="str">
        <f t="shared" si="9"/>
        <v>2023 Elite Canada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12.3</v>
      </c>
      <c r="Z20" s="22">
        <v>9</v>
      </c>
      <c r="AA20" s="22">
        <v>11</v>
      </c>
      <c r="AB20" s="22">
        <v>14.7</v>
      </c>
      <c r="AC20" s="22">
        <v>0</v>
      </c>
      <c r="AD20" s="22">
        <v>13.5</v>
      </c>
      <c r="AE20" s="22">
        <v>9.3000000000000007</v>
      </c>
      <c r="AF20" s="22">
        <v>11</v>
      </c>
      <c r="AG20" s="22">
        <v>15.14</v>
      </c>
      <c r="AH20" s="22">
        <v>0</v>
      </c>
      <c r="AI20" s="22">
        <v>13.9</v>
      </c>
      <c r="AJ20" s="22">
        <v>9.4</v>
      </c>
      <c r="AK20" s="22">
        <v>12.4</v>
      </c>
      <c r="AL20" s="22">
        <v>14.75</v>
      </c>
      <c r="AM20" s="22">
        <v>0</v>
      </c>
      <c r="AN20" s="27"/>
      <c r="AO20" s="38">
        <f t="shared" si="15"/>
        <v>11</v>
      </c>
      <c r="AP20" s="38">
        <f t="shared" si="16"/>
        <v>14.7</v>
      </c>
      <c r="AQ20" s="40">
        <f t="shared" si="17"/>
        <v>47</v>
      </c>
      <c r="AR20" s="40">
        <f t="shared" si="18"/>
        <v>11</v>
      </c>
      <c r="AS20" s="40">
        <f t="shared" si="19"/>
        <v>15.14</v>
      </c>
      <c r="AT20" s="40">
        <f t="shared" si="20"/>
        <v>48.94</v>
      </c>
      <c r="AU20" s="40">
        <f t="shared" si="21"/>
        <v>48.94</v>
      </c>
      <c r="AV20" s="40">
        <f t="shared" si="22"/>
        <v>12.4</v>
      </c>
      <c r="AW20" s="40">
        <f t="shared" si="23"/>
        <v>14.75</v>
      </c>
      <c r="AX20" s="40">
        <f t="shared" si="24"/>
        <v>50.45</v>
      </c>
      <c r="AY20" s="40">
        <f t="shared" si="25"/>
        <v>99.39</v>
      </c>
      <c r="AZ20" s="26">
        <v>12.7</v>
      </c>
      <c r="BA20" s="26">
        <v>8.6</v>
      </c>
      <c r="BB20" s="26">
        <v>11.6</v>
      </c>
      <c r="BC20" s="26">
        <v>14.69</v>
      </c>
      <c r="BD20" s="26">
        <v>0</v>
      </c>
      <c r="BE20" s="26">
        <v>5.2</v>
      </c>
      <c r="BF20" s="26">
        <v>3.5</v>
      </c>
      <c r="BG20" s="26">
        <v>5.6</v>
      </c>
      <c r="BH20" s="26">
        <v>6.43</v>
      </c>
      <c r="BI20" s="26">
        <v>0</v>
      </c>
      <c r="BJ20" s="26"/>
      <c r="BK20" s="26"/>
      <c r="BL20" s="26"/>
      <c r="BM20" s="26"/>
      <c r="BN20" s="26"/>
      <c r="BO20" s="28"/>
      <c r="BP20" s="39">
        <f t="shared" si="26"/>
        <v>11.6</v>
      </c>
      <c r="BQ20" s="39">
        <f t="shared" si="27"/>
        <v>14.69</v>
      </c>
      <c r="BR20" s="11">
        <f t="shared" si="28"/>
        <v>47.589999999999996</v>
      </c>
      <c r="BS20" s="11">
        <f t="shared" si="29"/>
        <v>5.6</v>
      </c>
      <c r="BT20" s="11">
        <f t="shared" si="30"/>
        <v>6.43</v>
      </c>
      <c r="BU20" s="11">
        <f t="shared" si="31"/>
        <v>20.729999999999997</v>
      </c>
      <c r="BV20" s="11">
        <f t="shared" si="32"/>
        <v>47.589999999999996</v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>
        <f t="shared" si="36"/>
        <v>47.589999999999996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7"/>
        <v/>
      </c>
      <c r="CR20" s="38" t="str">
        <f t="shared" si="38"/>
        <v/>
      </c>
      <c r="CS20" s="40" t="str">
        <f t="shared" si="39"/>
        <v/>
      </c>
      <c r="CT20" s="40" t="str">
        <f t="shared" si="40"/>
        <v/>
      </c>
      <c r="CU20" s="40" t="str">
        <f t="shared" si="41"/>
        <v/>
      </c>
      <c r="CV20" s="40" t="str">
        <f t="shared" si="42"/>
        <v/>
      </c>
      <c r="CW20" s="40" t="str">
        <f t="shared" si="43"/>
        <v/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 t="str">
        <f t="shared" si="47"/>
        <v/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6.35</v>
      </c>
      <c r="SW20" s="22">
        <f t="shared" si="219"/>
        <v>4.3</v>
      </c>
      <c r="SX20" s="22">
        <f t="shared" si="220"/>
        <v>5.8</v>
      </c>
      <c r="SY20" s="22">
        <f t="shared" si="221"/>
        <v>7.3449999999999998</v>
      </c>
      <c r="SZ20" s="22">
        <f t="shared" si="222"/>
        <v>0</v>
      </c>
      <c r="TA20" s="22">
        <f t="shared" si="223"/>
        <v>2.6</v>
      </c>
      <c r="TB20" s="22">
        <f t="shared" si="224"/>
        <v>1.75</v>
      </c>
      <c r="TC20" s="22">
        <f t="shared" si="225"/>
        <v>2.8</v>
      </c>
      <c r="TD20" s="22">
        <f t="shared" si="226"/>
        <v>3.2149999999999999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2">
        <f t="shared" si="231"/>
        <v>0</v>
      </c>
      <c r="TJ20" s="22">
        <f t="shared" si="232"/>
        <v>0</v>
      </c>
      <c r="TK20" s="27" t="s">
        <v>46</v>
      </c>
      <c r="TL20" s="40">
        <f t="shared" si="233"/>
        <v>5.8</v>
      </c>
      <c r="TM20" s="40">
        <f t="shared" si="234"/>
        <v>7.3449999999999998</v>
      </c>
      <c r="TN20" s="40">
        <f t="shared" si="235"/>
        <v>23.794999999999998</v>
      </c>
      <c r="TO20" s="40">
        <f t="shared" si="236"/>
        <v>2.8</v>
      </c>
      <c r="TP20" s="40">
        <f t="shared" si="237"/>
        <v>3.2149999999999999</v>
      </c>
      <c r="TQ20" s="40">
        <f t="shared" si="238"/>
        <v>10.364999999999998</v>
      </c>
      <c r="TR20" s="40">
        <f t="shared" si="239"/>
        <v>23.794999999999998</v>
      </c>
      <c r="TS20" s="40" t="str">
        <f t="shared" si="240"/>
        <v/>
      </c>
      <c r="TT20" s="40" t="str">
        <f t="shared" si="241"/>
        <v/>
      </c>
      <c r="TU20" s="40" t="str">
        <f t="shared" si="242"/>
        <v/>
      </c>
      <c r="TV20" s="40">
        <f t="shared" si="243"/>
        <v>23.794999999999998</v>
      </c>
    </row>
    <row r="21" spans="1:542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177</v>
      </c>
      <c r="D21" s="4" t="s">
        <v>3</v>
      </c>
      <c r="E21" s="4">
        <v>2003</v>
      </c>
      <c r="F21" s="9">
        <f t="shared" si="0"/>
        <v>157.75001577500498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50.109999999999992</v>
      </c>
      <c r="M21" s="8" t="str">
        <f t="shared" si="5"/>
        <v>2023 Nationals</v>
      </c>
      <c r="N21" s="8">
        <f>IF(COUNT(AQ21,AT21,BR21,BU21,CS21,CV21)&gt;1,LARGE((AQ21,AT21,BR21,BU21,CS21,CV21),2),0)</f>
        <v>48.19</v>
      </c>
      <c r="O21" s="8" t="str">
        <f t="shared" si="6"/>
        <v>2023 Nationals</v>
      </c>
      <c r="P21" s="8">
        <f>IF(COUNT(AQ21,AT21,BR21,BU21,CS21,CV21)&gt;2,MAX(AX21,BY21,CZ21,LARGE((AQ21,AT21,BR21,BU21,CS21,CV21),3)),IF(MAX(AX21,BY21,CZ21)&gt;0,MAX(AX21,BY21,CZ21),0))</f>
        <v>49.75</v>
      </c>
      <c r="Q21" s="8" t="str">
        <f t="shared" si="7"/>
        <v>2023 Nationals</v>
      </c>
      <c r="R21" s="8">
        <f t="shared" si="8"/>
        <v>9.6999999999999993</v>
      </c>
      <c r="S21" s="8" t="str">
        <f t="shared" si="9"/>
        <v>2023 Nationals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2.8</v>
      </c>
      <c r="Z21" s="22">
        <v>1.7</v>
      </c>
      <c r="AA21" s="22">
        <v>2.1</v>
      </c>
      <c r="AB21" s="22">
        <v>3.04</v>
      </c>
      <c r="AC21" s="22">
        <v>0</v>
      </c>
      <c r="AD21" s="22">
        <v>17.600000000000001</v>
      </c>
      <c r="AE21" s="22">
        <v>3.7</v>
      </c>
      <c r="AF21" s="22">
        <v>3.4</v>
      </c>
      <c r="AG21" s="22">
        <v>6.12</v>
      </c>
      <c r="AH21" s="22">
        <v>0.4</v>
      </c>
      <c r="AI21" s="22"/>
      <c r="AJ21" s="22"/>
      <c r="AK21" s="22"/>
      <c r="AL21" s="22"/>
      <c r="AM21" s="22"/>
      <c r="AN21" s="27"/>
      <c r="AO21" s="38">
        <f t="shared" si="15"/>
        <v>2.1</v>
      </c>
      <c r="AP21" s="38">
        <f t="shared" si="16"/>
        <v>3.04</v>
      </c>
      <c r="AQ21" s="40">
        <f t="shared" si="17"/>
        <v>9.64</v>
      </c>
      <c r="AR21" s="40">
        <f t="shared" si="18"/>
        <v>3.4</v>
      </c>
      <c r="AS21" s="40">
        <f t="shared" si="19"/>
        <v>6.12</v>
      </c>
      <c r="AT21" s="40">
        <f t="shared" si="20"/>
        <v>30.42</v>
      </c>
      <c r="AU21" s="40">
        <f t="shared" si="21"/>
        <v>30.42</v>
      </c>
      <c r="AV21" s="40" t="str">
        <f t="shared" si="22"/>
        <v/>
      </c>
      <c r="AW21" s="40" t="str">
        <f t="shared" si="23"/>
        <v/>
      </c>
      <c r="AX21" s="40" t="str">
        <f t="shared" si="24"/>
        <v/>
      </c>
      <c r="AY21" s="40">
        <f t="shared" si="25"/>
        <v>30.42</v>
      </c>
      <c r="AZ21" s="26">
        <v>15.1</v>
      </c>
      <c r="BA21" s="26">
        <v>9</v>
      </c>
      <c r="BB21" s="26">
        <v>9</v>
      </c>
      <c r="BC21" s="26">
        <v>15.19</v>
      </c>
      <c r="BD21" s="26">
        <v>0.1</v>
      </c>
      <c r="BE21" s="26">
        <v>15.8</v>
      </c>
      <c r="BF21" s="26">
        <v>9.6</v>
      </c>
      <c r="BG21" s="26">
        <v>9.6999999999999993</v>
      </c>
      <c r="BH21" s="26">
        <v>15.01</v>
      </c>
      <c r="BI21" s="26">
        <v>0</v>
      </c>
      <c r="BJ21" s="26">
        <v>14.9</v>
      </c>
      <c r="BK21" s="26">
        <v>9.4</v>
      </c>
      <c r="BL21" s="26">
        <v>9.6999999999999993</v>
      </c>
      <c r="BM21" s="26">
        <v>15.75</v>
      </c>
      <c r="BN21" s="26">
        <v>0</v>
      </c>
      <c r="BO21" s="28"/>
      <c r="BP21" s="39">
        <f t="shared" si="26"/>
        <v>9</v>
      </c>
      <c r="BQ21" s="39">
        <f t="shared" si="27"/>
        <v>15.19</v>
      </c>
      <c r="BR21" s="11">
        <f t="shared" si="28"/>
        <v>48.19</v>
      </c>
      <c r="BS21" s="11">
        <f t="shared" si="29"/>
        <v>9.6999999999999993</v>
      </c>
      <c r="BT21" s="11">
        <f t="shared" si="30"/>
        <v>15.01</v>
      </c>
      <c r="BU21" s="11">
        <f t="shared" si="31"/>
        <v>50.109999999999992</v>
      </c>
      <c r="BV21" s="11">
        <f t="shared" si="32"/>
        <v>50.109999999999992</v>
      </c>
      <c r="BW21" s="11">
        <f t="shared" si="33"/>
        <v>9.6999999999999993</v>
      </c>
      <c r="BX21" s="11">
        <f t="shared" si="34"/>
        <v>15.75</v>
      </c>
      <c r="BY21" s="11">
        <f t="shared" si="35"/>
        <v>49.75</v>
      </c>
      <c r="BZ21" s="11">
        <f t="shared" si="36"/>
        <v>99.859999999999985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7.55</v>
      </c>
      <c r="SW21" s="22">
        <f t="shared" si="219"/>
        <v>4.5</v>
      </c>
      <c r="SX21" s="22">
        <f t="shared" si="220"/>
        <v>4.5</v>
      </c>
      <c r="SY21" s="22">
        <f t="shared" si="221"/>
        <v>7.5949999999999998</v>
      </c>
      <c r="SZ21" s="22">
        <f t="shared" si="222"/>
        <v>0.05</v>
      </c>
      <c r="TA21" s="22">
        <f t="shared" si="223"/>
        <v>7.9</v>
      </c>
      <c r="TB21" s="22">
        <f t="shared" si="224"/>
        <v>4.8</v>
      </c>
      <c r="TC21" s="22">
        <f t="shared" si="225"/>
        <v>4.8499999999999996</v>
      </c>
      <c r="TD21" s="22">
        <f t="shared" si="226"/>
        <v>7.5049999999999999</v>
      </c>
      <c r="TE21" s="22">
        <f t="shared" si="227"/>
        <v>0</v>
      </c>
      <c r="TF21" s="22">
        <f t="shared" si="228"/>
        <v>7.45</v>
      </c>
      <c r="TG21" s="22">
        <f t="shared" si="229"/>
        <v>4.7</v>
      </c>
      <c r="TH21" s="22">
        <f t="shared" si="230"/>
        <v>4.8499999999999996</v>
      </c>
      <c r="TI21" s="22">
        <f t="shared" si="231"/>
        <v>7.875</v>
      </c>
      <c r="TJ21" s="22">
        <f t="shared" si="232"/>
        <v>0</v>
      </c>
      <c r="TK21" s="27" t="s">
        <v>46</v>
      </c>
      <c r="TL21" s="40">
        <f t="shared" si="233"/>
        <v>4.5</v>
      </c>
      <c r="TM21" s="40">
        <f t="shared" si="234"/>
        <v>7.5949999999999998</v>
      </c>
      <c r="TN21" s="40">
        <f t="shared" si="235"/>
        <v>24.094999999999999</v>
      </c>
      <c r="TO21" s="40">
        <f t="shared" si="236"/>
        <v>4.8499999999999996</v>
      </c>
      <c r="TP21" s="40">
        <f t="shared" si="237"/>
        <v>7.5049999999999999</v>
      </c>
      <c r="TQ21" s="40">
        <f t="shared" si="238"/>
        <v>25.054999999999996</v>
      </c>
      <c r="TR21" s="40">
        <f t="shared" si="239"/>
        <v>25.054999999999996</v>
      </c>
      <c r="TS21" s="40">
        <f t="shared" si="240"/>
        <v>4.8499999999999996</v>
      </c>
      <c r="TT21" s="40">
        <f t="shared" si="241"/>
        <v>7.875</v>
      </c>
      <c r="TU21" s="40">
        <f t="shared" si="242"/>
        <v>24.875</v>
      </c>
      <c r="TV21" s="40">
        <f t="shared" si="243"/>
        <v>49.929999999999993</v>
      </c>
    </row>
    <row r="22" spans="1:542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179</v>
      </c>
      <c r="D22" s="4" t="s">
        <v>6</v>
      </c>
      <c r="E22" s="4">
        <v>2006</v>
      </c>
      <c r="F22" s="9">
        <f t="shared" si="0"/>
        <v>157.31001573100508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50.769999999999996</v>
      </c>
      <c r="M22" s="8" t="str">
        <f t="shared" si="5"/>
        <v>2023 Elite Canada</v>
      </c>
      <c r="N22" s="8">
        <f>IF(COUNT(AQ22,AT22,BR22,BU22,CS22,CV22)&gt;1,LARGE((AQ22,AT22,BR22,BU22,CS22,CV22),2),0)</f>
        <v>44.79</v>
      </c>
      <c r="O22" s="8" t="str">
        <f t="shared" si="6"/>
        <v>2023 Elite Canada</v>
      </c>
      <c r="P22" s="8">
        <f>IF(COUNT(AQ22,AT22,BR22,BU22,CS22,CV22)&gt;2,MAX(AX22,BY22,CZ22,LARGE((AQ22,AT22,BR22,BU22,CS22,CV22),3)),IF(MAX(AX22,BY22,CZ22)&gt;0,MAX(AX22,BY22,CZ22),0))</f>
        <v>51.150000000000006</v>
      </c>
      <c r="Q22" s="8" t="str">
        <f t="shared" si="7"/>
        <v>2023 Elite Canada</v>
      </c>
      <c r="R22" s="8">
        <f t="shared" si="8"/>
        <v>10.6</v>
      </c>
      <c r="S22" s="8" t="str">
        <f t="shared" si="9"/>
        <v>2023 Elite Canada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>
        <v>13.2</v>
      </c>
      <c r="Z22" s="22">
        <v>9.3000000000000007</v>
      </c>
      <c r="AA22" s="22">
        <v>8.1</v>
      </c>
      <c r="AB22" s="22">
        <v>15.19</v>
      </c>
      <c r="AC22" s="22">
        <v>1</v>
      </c>
      <c r="AD22" s="22">
        <v>15.9</v>
      </c>
      <c r="AE22" s="22">
        <v>9.4</v>
      </c>
      <c r="AF22" s="22">
        <v>10.6</v>
      </c>
      <c r="AG22" s="22">
        <v>14.87</v>
      </c>
      <c r="AH22" s="22">
        <v>0</v>
      </c>
      <c r="AI22" s="22">
        <v>16.2</v>
      </c>
      <c r="AJ22" s="22">
        <v>9.4</v>
      </c>
      <c r="AK22" s="22">
        <v>10.6</v>
      </c>
      <c r="AL22" s="22">
        <v>14.95</v>
      </c>
      <c r="AM22" s="22">
        <v>0</v>
      </c>
      <c r="AN22" s="27"/>
      <c r="AO22" s="38">
        <f t="shared" si="15"/>
        <v>8.1</v>
      </c>
      <c r="AP22" s="38">
        <f t="shared" si="16"/>
        <v>15.19</v>
      </c>
      <c r="AQ22" s="40">
        <f t="shared" si="17"/>
        <v>44.79</v>
      </c>
      <c r="AR22" s="40">
        <f t="shared" si="18"/>
        <v>10.6</v>
      </c>
      <c r="AS22" s="40">
        <f t="shared" si="19"/>
        <v>14.87</v>
      </c>
      <c r="AT22" s="40">
        <f t="shared" si="20"/>
        <v>50.769999999999996</v>
      </c>
      <c r="AU22" s="40">
        <f t="shared" si="21"/>
        <v>50.769999999999996</v>
      </c>
      <c r="AV22" s="40">
        <f t="shared" si="22"/>
        <v>10.6</v>
      </c>
      <c r="AW22" s="40">
        <f t="shared" si="23"/>
        <v>14.95</v>
      </c>
      <c r="AX22" s="40">
        <f t="shared" si="24"/>
        <v>51.150000000000006</v>
      </c>
      <c r="AY22" s="40">
        <f t="shared" si="25"/>
        <v>101.92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0</v>
      </c>
      <c r="SW22" s="22">
        <f t="shared" si="219"/>
        <v>0</v>
      </c>
      <c r="SX22" s="22">
        <f t="shared" si="220"/>
        <v>0</v>
      </c>
      <c r="SY22" s="22">
        <f t="shared" si="221"/>
        <v>0</v>
      </c>
      <c r="SZ22" s="22">
        <f t="shared" si="222"/>
        <v>0</v>
      </c>
      <c r="TA22" s="22">
        <f t="shared" si="223"/>
        <v>0</v>
      </c>
      <c r="TB22" s="22">
        <f t="shared" si="224"/>
        <v>0</v>
      </c>
      <c r="TC22" s="22">
        <f t="shared" si="225"/>
        <v>0</v>
      </c>
      <c r="TD22" s="22">
        <f t="shared" si="226"/>
        <v>0</v>
      </c>
      <c r="TE22" s="22">
        <f t="shared" si="227"/>
        <v>0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 t="str">
        <f t="shared" si="233"/>
        <v/>
      </c>
      <c r="TM22" s="40" t="str">
        <f t="shared" si="234"/>
        <v/>
      </c>
      <c r="TN22" s="40" t="str">
        <f t="shared" si="235"/>
        <v/>
      </c>
      <c r="TO22" s="40" t="str">
        <f t="shared" si="236"/>
        <v/>
      </c>
      <c r="TP22" s="40" t="str">
        <f t="shared" si="237"/>
        <v/>
      </c>
      <c r="TQ22" s="40" t="str">
        <f t="shared" si="238"/>
        <v/>
      </c>
      <c r="TR22" s="40" t="str">
        <f t="shared" si="239"/>
        <v/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 t="str">
        <f t="shared" si="243"/>
        <v/>
      </c>
    </row>
    <row r="23" spans="1:542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133</v>
      </c>
      <c r="D23" s="4" t="s">
        <v>3</v>
      </c>
      <c r="E23" s="4">
        <v>2002</v>
      </c>
      <c r="F23" s="9">
        <f t="shared" si="0"/>
        <v>152.73001527300477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47.710000000000008</v>
      </c>
      <c r="M23" s="8" t="str">
        <f t="shared" si="5"/>
        <v>2023 Nationals</v>
      </c>
      <c r="N23" s="8">
        <f>IF(COUNT(AQ23,AT23,BR23,BU23,CS23,CV23)&gt;1,LARGE((AQ23,AT23,BR23,BU23,CS23,CV23),2),0)</f>
        <v>47.35</v>
      </c>
      <c r="O23" s="8" t="str">
        <f t="shared" si="6"/>
        <v>2023 Nationals</v>
      </c>
      <c r="P23" s="8">
        <f>IF(COUNT(AQ23,AT23,BR23,BU23,CS23,CV23)&gt;2,MAX(AX23,BY23,CZ23,LARGE((AQ23,AT23,BR23,BU23,CS23,CV23),3)),IF(MAX(AX23,BY23,CZ23)&gt;0,MAX(AX23,BY23,CZ23),0))</f>
        <v>47.069999999999993</v>
      </c>
      <c r="Q23" s="8" t="str">
        <f t="shared" si="7"/>
        <v>2023 Elite Canada</v>
      </c>
      <c r="R23" s="8">
        <f t="shared" si="8"/>
        <v>10.6</v>
      </c>
      <c r="S23" s="8" t="str">
        <f t="shared" si="9"/>
        <v>2023 Nationals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13.5</v>
      </c>
      <c r="Z23" s="22">
        <v>9.5</v>
      </c>
      <c r="AA23" s="22">
        <v>9.3000000000000007</v>
      </c>
      <c r="AB23" s="22">
        <v>14.77</v>
      </c>
      <c r="AC23" s="22">
        <v>0</v>
      </c>
      <c r="AD23" s="22">
        <v>13.8</v>
      </c>
      <c r="AE23" s="22">
        <v>9.4</v>
      </c>
      <c r="AF23" s="22">
        <v>9.3000000000000007</v>
      </c>
      <c r="AG23" s="22">
        <v>14.53</v>
      </c>
      <c r="AH23" s="22">
        <v>0</v>
      </c>
      <c r="AI23" s="22"/>
      <c r="AJ23" s="22"/>
      <c r="AK23" s="22"/>
      <c r="AL23" s="22"/>
      <c r="AM23" s="22"/>
      <c r="AN23" s="27"/>
      <c r="AO23" s="38">
        <f t="shared" si="15"/>
        <v>9.3000000000000007</v>
      </c>
      <c r="AP23" s="38">
        <f t="shared" si="16"/>
        <v>14.77</v>
      </c>
      <c r="AQ23" s="40">
        <f t="shared" si="17"/>
        <v>47.069999999999993</v>
      </c>
      <c r="AR23" s="40">
        <f t="shared" si="18"/>
        <v>9.3000000000000007</v>
      </c>
      <c r="AS23" s="40">
        <f t="shared" si="19"/>
        <v>14.53</v>
      </c>
      <c r="AT23" s="40">
        <f t="shared" si="20"/>
        <v>47.03</v>
      </c>
      <c r="AU23" s="40">
        <f t="shared" si="21"/>
        <v>47.069999999999993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47.069999999999993</v>
      </c>
      <c r="AZ23" s="26">
        <v>13.7</v>
      </c>
      <c r="BA23" s="26">
        <v>8.8000000000000007</v>
      </c>
      <c r="BB23" s="26">
        <v>10.6</v>
      </c>
      <c r="BC23" s="26">
        <v>14.25</v>
      </c>
      <c r="BD23" s="26">
        <v>0</v>
      </c>
      <c r="BE23" s="26">
        <v>13.8</v>
      </c>
      <c r="BF23" s="26">
        <v>8.9</v>
      </c>
      <c r="BG23" s="26">
        <v>10.6</v>
      </c>
      <c r="BH23" s="26">
        <v>14.41</v>
      </c>
      <c r="BI23" s="26">
        <v>0</v>
      </c>
      <c r="BJ23" s="26"/>
      <c r="BK23" s="26"/>
      <c r="BL23" s="26"/>
      <c r="BM23" s="26"/>
      <c r="BN23" s="26"/>
      <c r="BO23" s="28"/>
      <c r="BP23" s="39">
        <f t="shared" si="26"/>
        <v>10.6</v>
      </c>
      <c r="BQ23" s="39">
        <f t="shared" si="27"/>
        <v>14.25</v>
      </c>
      <c r="BR23" s="11">
        <f t="shared" si="28"/>
        <v>47.35</v>
      </c>
      <c r="BS23" s="11">
        <f t="shared" si="29"/>
        <v>10.6</v>
      </c>
      <c r="BT23" s="11">
        <f t="shared" si="30"/>
        <v>14.41</v>
      </c>
      <c r="BU23" s="11">
        <f t="shared" si="31"/>
        <v>47.710000000000008</v>
      </c>
      <c r="BV23" s="11">
        <f t="shared" si="32"/>
        <v>47.710000000000008</v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>
        <f t="shared" si="36"/>
        <v>47.710000000000008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7"/>
        <v/>
      </c>
      <c r="CR23" s="38" t="str">
        <f t="shared" si="38"/>
        <v/>
      </c>
      <c r="CS23" s="40" t="str">
        <f t="shared" si="39"/>
        <v/>
      </c>
      <c r="CT23" s="40" t="str">
        <f t="shared" si="40"/>
        <v/>
      </c>
      <c r="CU23" s="40" t="str">
        <f t="shared" si="41"/>
        <v/>
      </c>
      <c r="CV23" s="40" t="str">
        <f t="shared" si="42"/>
        <v/>
      </c>
      <c r="CW23" s="40" t="str">
        <f t="shared" si="43"/>
        <v/>
      </c>
      <c r="CX23" s="40" t="str">
        <f t="shared" si="44"/>
        <v/>
      </c>
      <c r="CY23" s="40" t="str">
        <f t="shared" si="45"/>
        <v/>
      </c>
      <c r="CZ23" s="40" t="str">
        <f t="shared" si="46"/>
        <v/>
      </c>
      <c r="DA23" s="40" t="str">
        <f t="shared" si="47"/>
        <v/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6.85</v>
      </c>
      <c r="SW23" s="22">
        <f t="shared" si="219"/>
        <v>4.4000000000000004</v>
      </c>
      <c r="SX23" s="22">
        <f t="shared" si="220"/>
        <v>5.3</v>
      </c>
      <c r="SY23" s="22">
        <f t="shared" si="221"/>
        <v>7.125</v>
      </c>
      <c r="SZ23" s="22">
        <f t="shared" si="222"/>
        <v>0</v>
      </c>
      <c r="TA23" s="22">
        <f t="shared" si="223"/>
        <v>6.9</v>
      </c>
      <c r="TB23" s="22">
        <f t="shared" si="224"/>
        <v>4.45</v>
      </c>
      <c r="TC23" s="22">
        <f t="shared" si="225"/>
        <v>5.3</v>
      </c>
      <c r="TD23" s="22">
        <f t="shared" si="226"/>
        <v>7.2050000000000001</v>
      </c>
      <c r="TE23" s="22">
        <f t="shared" si="227"/>
        <v>0</v>
      </c>
      <c r="TF23" s="22">
        <f t="shared" si="228"/>
        <v>0</v>
      </c>
      <c r="TG23" s="22">
        <f t="shared" si="229"/>
        <v>0</v>
      </c>
      <c r="TH23" s="22">
        <f t="shared" si="230"/>
        <v>0</v>
      </c>
      <c r="TI23" s="22">
        <f t="shared" si="231"/>
        <v>0</v>
      </c>
      <c r="TJ23" s="22">
        <f t="shared" si="232"/>
        <v>0</v>
      </c>
      <c r="TK23" s="27" t="s">
        <v>46</v>
      </c>
      <c r="TL23" s="40">
        <f t="shared" si="233"/>
        <v>5.3</v>
      </c>
      <c r="TM23" s="40">
        <f t="shared" si="234"/>
        <v>7.125</v>
      </c>
      <c r="TN23" s="40">
        <f t="shared" si="235"/>
        <v>23.675000000000001</v>
      </c>
      <c r="TO23" s="40">
        <f t="shared" si="236"/>
        <v>5.3</v>
      </c>
      <c r="TP23" s="40">
        <f t="shared" si="237"/>
        <v>7.2050000000000001</v>
      </c>
      <c r="TQ23" s="40">
        <f t="shared" si="238"/>
        <v>23.855000000000004</v>
      </c>
      <c r="TR23" s="40">
        <f t="shared" si="239"/>
        <v>23.855000000000004</v>
      </c>
      <c r="TS23" s="40" t="str">
        <f t="shared" si="240"/>
        <v/>
      </c>
      <c r="TT23" s="40" t="str">
        <f t="shared" si="241"/>
        <v/>
      </c>
      <c r="TU23" s="40" t="str">
        <f t="shared" si="242"/>
        <v/>
      </c>
      <c r="TV23" s="40">
        <f t="shared" si="243"/>
        <v>23.855000000000004</v>
      </c>
    </row>
    <row r="24" spans="1:542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175</v>
      </c>
      <c r="D24" s="4" t="s">
        <v>6</v>
      </c>
      <c r="E24" s="4">
        <v>2003</v>
      </c>
      <c r="F24" s="9">
        <f t="shared" si="0"/>
        <v>151.38001513800504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50.169999999999995</v>
      </c>
      <c r="M24" s="8" t="str">
        <f t="shared" si="5"/>
        <v>2023 Elite Canada</v>
      </c>
      <c r="N24" s="8">
        <f>IF(COUNT(AQ24,AT24,BR24,BU24,CS24,CV24)&gt;1,LARGE((AQ24,AT24,BR24,BU24,CS24,CV24),2),0)</f>
        <v>39.96</v>
      </c>
      <c r="O24" s="8" t="str">
        <f t="shared" si="6"/>
        <v>2023 Elite Canada</v>
      </c>
      <c r="P24" s="8">
        <f>IF(COUNT(AQ24,AT24,BR24,BU24,CS24,CV24)&gt;2,MAX(AX24,BY24,CZ24,LARGE((AQ24,AT24,BR24,BU24,CS24,CV24),3)),IF(MAX(AX24,BY24,CZ24)&gt;0,MAX(AX24,BY24,CZ24),0))</f>
        <v>50.05</v>
      </c>
      <c r="Q24" s="8" t="str">
        <f t="shared" si="7"/>
        <v>2023 Elite Canada</v>
      </c>
      <c r="R24" s="8">
        <f t="shared" si="8"/>
        <v>11.2</v>
      </c>
      <c r="S24" s="8" t="str">
        <f t="shared" si="9"/>
        <v>2023 Elite Canada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12.4</v>
      </c>
      <c r="Z24" s="22">
        <v>7.4</v>
      </c>
      <c r="AA24" s="22">
        <v>8.5</v>
      </c>
      <c r="AB24" s="22">
        <v>11.66</v>
      </c>
      <c r="AC24" s="22">
        <v>0</v>
      </c>
      <c r="AD24" s="22">
        <v>14.9</v>
      </c>
      <c r="AE24" s="22">
        <v>9.5</v>
      </c>
      <c r="AF24" s="22">
        <v>11.2</v>
      </c>
      <c r="AG24" s="22">
        <v>14.57</v>
      </c>
      <c r="AH24" s="22">
        <v>0</v>
      </c>
      <c r="AI24" s="22">
        <v>15</v>
      </c>
      <c r="AJ24" s="22">
        <v>9.6</v>
      </c>
      <c r="AK24" s="22">
        <v>11.2</v>
      </c>
      <c r="AL24" s="22">
        <v>14.55</v>
      </c>
      <c r="AM24" s="22">
        <v>0.3</v>
      </c>
      <c r="AN24" s="27"/>
      <c r="AO24" s="38">
        <f t="shared" si="15"/>
        <v>8.5</v>
      </c>
      <c r="AP24" s="38">
        <f t="shared" si="16"/>
        <v>11.66</v>
      </c>
      <c r="AQ24" s="40">
        <f t="shared" si="17"/>
        <v>39.96</v>
      </c>
      <c r="AR24" s="40">
        <f t="shared" si="18"/>
        <v>11.2</v>
      </c>
      <c r="AS24" s="40">
        <f t="shared" si="19"/>
        <v>14.57</v>
      </c>
      <c r="AT24" s="40">
        <f t="shared" si="20"/>
        <v>50.169999999999995</v>
      </c>
      <c r="AU24" s="40">
        <f t="shared" si="21"/>
        <v>50.169999999999995</v>
      </c>
      <c r="AV24" s="40">
        <f t="shared" si="22"/>
        <v>11.2</v>
      </c>
      <c r="AW24" s="40">
        <f t="shared" si="23"/>
        <v>14.55</v>
      </c>
      <c r="AX24" s="40">
        <f t="shared" si="24"/>
        <v>50.05</v>
      </c>
      <c r="AY24" s="40">
        <f t="shared" si="25"/>
        <v>100.22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6"/>
        <v/>
      </c>
      <c r="BQ24" s="39" t="str">
        <f t="shared" si="27"/>
        <v/>
      </c>
      <c r="BR24" s="11" t="str">
        <f t="shared" si="28"/>
        <v/>
      </c>
      <c r="BS24" s="11" t="str">
        <f t="shared" si="29"/>
        <v/>
      </c>
      <c r="BT24" s="11" t="str">
        <f t="shared" si="30"/>
        <v/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 t="str">
        <f t="shared" si="36"/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0</v>
      </c>
      <c r="SW24" s="22">
        <f t="shared" si="219"/>
        <v>0</v>
      </c>
      <c r="SX24" s="22">
        <f t="shared" si="220"/>
        <v>0</v>
      </c>
      <c r="SY24" s="22">
        <f t="shared" si="221"/>
        <v>0</v>
      </c>
      <c r="SZ24" s="22">
        <f t="shared" si="222"/>
        <v>0</v>
      </c>
      <c r="TA24" s="22">
        <f t="shared" si="223"/>
        <v>0</v>
      </c>
      <c r="TB24" s="22">
        <f t="shared" si="224"/>
        <v>0</v>
      </c>
      <c r="TC24" s="22">
        <f t="shared" si="225"/>
        <v>0</v>
      </c>
      <c r="TD24" s="22">
        <f t="shared" si="226"/>
        <v>0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 t="str">
        <f t="shared" si="233"/>
        <v/>
      </c>
      <c r="TM24" s="40" t="str">
        <f t="shared" si="234"/>
        <v/>
      </c>
      <c r="TN24" s="40" t="str">
        <f t="shared" si="235"/>
        <v/>
      </c>
      <c r="TO24" s="40" t="str">
        <f t="shared" si="236"/>
        <v/>
      </c>
      <c r="TP24" s="40" t="str">
        <f t="shared" si="237"/>
        <v/>
      </c>
      <c r="TQ24" s="40" t="str">
        <f t="shared" si="238"/>
        <v/>
      </c>
      <c r="TR24" s="40" t="str">
        <f t="shared" si="239"/>
        <v/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 t="str">
        <f t="shared" si="243"/>
        <v/>
      </c>
    </row>
    <row r="25" spans="1:542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174</v>
      </c>
      <c r="D25" s="4" t="s">
        <v>3</v>
      </c>
      <c r="E25" s="4">
        <v>2006</v>
      </c>
      <c r="F25" s="9">
        <f t="shared" si="0"/>
        <v>146.88001468800479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48.07</v>
      </c>
      <c r="M25" s="8" t="str">
        <f t="shared" si="5"/>
        <v>2023 Elite Canada</v>
      </c>
      <c r="N25" s="8">
        <f>IF(COUNT(AQ25,AT25,BR25,BU25,CS25,CV25)&gt;1,LARGE((AQ25,AT25,BR25,BU25,CS25,CV25),2),0)</f>
        <v>44.679999999999993</v>
      </c>
      <c r="O25" s="8" t="str">
        <f t="shared" si="6"/>
        <v>2023 Elite Canada</v>
      </c>
      <c r="P25" s="8">
        <f>IF(COUNT(AQ25,AT25,BR25,BU25,CS25,CV25)&gt;2,MAX(AX25,BY25,CZ25,LARGE((AQ25,AT25,BR25,BU25,CS25,CV25),3)),IF(MAX(AX25,BY25,CZ25)&gt;0,MAX(AX25,BY25,CZ25),0))</f>
        <v>43.23</v>
      </c>
      <c r="Q25" s="8" t="str">
        <f t="shared" si="7"/>
        <v>2023 Nationals</v>
      </c>
      <c r="R25" s="8">
        <f t="shared" si="8"/>
        <v>10.9</v>
      </c>
      <c r="S25" s="8" t="str">
        <f t="shared" si="9"/>
        <v>2023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15.1</v>
      </c>
      <c r="Z25" s="22">
        <v>8.1999999999999993</v>
      </c>
      <c r="AA25" s="22">
        <v>8.6999999999999993</v>
      </c>
      <c r="AB25" s="22">
        <v>12.68</v>
      </c>
      <c r="AC25" s="22">
        <v>0</v>
      </c>
      <c r="AD25" s="22">
        <v>14.6</v>
      </c>
      <c r="AE25" s="22">
        <v>9.6999999999999993</v>
      </c>
      <c r="AF25" s="22">
        <v>9.6</v>
      </c>
      <c r="AG25" s="22">
        <v>14.17</v>
      </c>
      <c r="AH25" s="22">
        <v>0</v>
      </c>
      <c r="AI25" s="22"/>
      <c r="AJ25" s="22"/>
      <c r="AK25" s="22"/>
      <c r="AL25" s="22"/>
      <c r="AM25" s="22"/>
      <c r="AN25" s="27"/>
      <c r="AO25" s="38">
        <f t="shared" si="15"/>
        <v>8.6999999999999993</v>
      </c>
      <c r="AP25" s="38">
        <f t="shared" si="16"/>
        <v>12.68</v>
      </c>
      <c r="AQ25" s="40">
        <f t="shared" si="17"/>
        <v>44.679999999999993</v>
      </c>
      <c r="AR25" s="40">
        <f t="shared" si="18"/>
        <v>9.6</v>
      </c>
      <c r="AS25" s="40">
        <f t="shared" si="19"/>
        <v>14.17</v>
      </c>
      <c r="AT25" s="40">
        <f t="shared" si="20"/>
        <v>48.07</v>
      </c>
      <c r="AU25" s="40">
        <f t="shared" si="21"/>
        <v>48.07</v>
      </c>
      <c r="AV25" s="40" t="str">
        <f t="shared" si="22"/>
        <v/>
      </c>
      <c r="AW25" s="40" t="str">
        <f t="shared" si="23"/>
        <v/>
      </c>
      <c r="AX25" s="40" t="str">
        <f t="shared" si="24"/>
        <v/>
      </c>
      <c r="AY25" s="40">
        <f t="shared" si="25"/>
        <v>48.07</v>
      </c>
      <c r="AZ25" s="26">
        <v>10</v>
      </c>
      <c r="BA25" s="26">
        <v>7.6</v>
      </c>
      <c r="BB25" s="26">
        <v>10</v>
      </c>
      <c r="BC25" s="26">
        <v>11.49</v>
      </c>
      <c r="BD25" s="26">
        <v>0</v>
      </c>
      <c r="BE25" s="26">
        <v>9.8000000000000007</v>
      </c>
      <c r="BF25" s="26">
        <v>8.6999999999999993</v>
      </c>
      <c r="BG25" s="26">
        <v>10.9</v>
      </c>
      <c r="BH25" s="26">
        <v>13.83</v>
      </c>
      <c r="BI25" s="26">
        <v>0</v>
      </c>
      <c r="BJ25" s="26"/>
      <c r="BK25" s="26"/>
      <c r="BL25" s="26"/>
      <c r="BM25" s="26"/>
      <c r="BN25" s="26"/>
      <c r="BO25" s="28"/>
      <c r="BP25" s="39">
        <f t="shared" si="26"/>
        <v>10</v>
      </c>
      <c r="BQ25" s="39">
        <f t="shared" si="27"/>
        <v>11.49</v>
      </c>
      <c r="BR25" s="11">
        <f t="shared" si="28"/>
        <v>39.090000000000003</v>
      </c>
      <c r="BS25" s="11">
        <f t="shared" si="29"/>
        <v>10.9</v>
      </c>
      <c r="BT25" s="11">
        <f t="shared" si="30"/>
        <v>13.83</v>
      </c>
      <c r="BU25" s="11">
        <f t="shared" si="31"/>
        <v>43.23</v>
      </c>
      <c r="BV25" s="11">
        <f t="shared" si="32"/>
        <v>43.23</v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>
        <f t="shared" si="36"/>
        <v>43.23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>
        <v>8.6</v>
      </c>
      <c r="DJ25" s="17">
        <v>5.4</v>
      </c>
      <c r="DK25" s="17">
        <v>7</v>
      </c>
      <c r="DL25" s="17">
        <v>9.06</v>
      </c>
      <c r="DM25" s="17">
        <v>0</v>
      </c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>
        <f t="shared" si="53"/>
        <v>7</v>
      </c>
      <c r="EB25" s="40">
        <f t="shared" si="54"/>
        <v>9.06</v>
      </c>
      <c r="EC25" s="40">
        <f t="shared" si="55"/>
        <v>30.060000000000002</v>
      </c>
      <c r="ED25" s="40">
        <f t="shared" si="56"/>
        <v>30.060000000000002</v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>
        <f t="shared" si="63"/>
        <v>30.060000000000002</v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5</v>
      </c>
      <c r="SW25" s="22">
        <f t="shared" si="219"/>
        <v>3.8</v>
      </c>
      <c r="SX25" s="22">
        <f t="shared" si="220"/>
        <v>5</v>
      </c>
      <c r="SY25" s="22">
        <f t="shared" si="221"/>
        <v>5.7450000000000001</v>
      </c>
      <c r="SZ25" s="22">
        <f t="shared" si="222"/>
        <v>0</v>
      </c>
      <c r="TA25" s="22">
        <f t="shared" si="223"/>
        <v>4.9000000000000004</v>
      </c>
      <c r="TB25" s="22">
        <f t="shared" si="224"/>
        <v>4.3499999999999996</v>
      </c>
      <c r="TC25" s="22">
        <f t="shared" si="225"/>
        <v>5.45</v>
      </c>
      <c r="TD25" s="22">
        <f t="shared" si="226"/>
        <v>6.915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>
        <f t="shared" si="233"/>
        <v>5</v>
      </c>
      <c r="TM25" s="40">
        <f t="shared" si="234"/>
        <v>5.7450000000000001</v>
      </c>
      <c r="TN25" s="40">
        <f t="shared" si="235"/>
        <v>19.545000000000002</v>
      </c>
      <c r="TO25" s="40">
        <f t="shared" si="236"/>
        <v>5.45</v>
      </c>
      <c r="TP25" s="40">
        <f t="shared" si="237"/>
        <v>6.915</v>
      </c>
      <c r="TQ25" s="40">
        <f t="shared" si="238"/>
        <v>21.614999999999998</v>
      </c>
      <c r="TR25" s="40">
        <f t="shared" si="239"/>
        <v>21.614999999999998</v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>
        <f t="shared" si="243"/>
        <v>21.614999999999998</v>
      </c>
    </row>
    <row r="26" spans="1:542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106</v>
      </c>
      <c r="D26" s="4" t="s">
        <v>4</v>
      </c>
      <c r="E26" s="4">
        <v>2004</v>
      </c>
      <c r="F26" s="9">
        <f t="shared" si="0"/>
        <v>141.64001297800445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44.629999999999995</v>
      </c>
      <c r="M26" s="8" t="str">
        <f t="shared" si="5"/>
        <v>2023 Elite Canada</v>
      </c>
      <c r="N26" s="8">
        <f>IF(COUNT(AQ26,AT26,BR26,BU26,CS26,CV26)&gt;1,LARGE((AQ26,AT26,BR26,BU26,CS26,CV26),2),0)</f>
        <v>37.44</v>
      </c>
      <c r="O26" s="8" t="str">
        <f t="shared" si="6"/>
        <v>2023 Nationals</v>
      </c>
      <c r="P26" s="8">
        <f>IF(COUNT(AQ26,AT26,BR26,BU26,CS26,CV26)&gt;2,MAX(AX26,BY26,CZ26,LARGE((AQ26,AT26,BR26,BU26,CS26,CV26),3)),IF(MAX(AX26,BY26,CZ26)&gt;0,MAX(AX26,BY26,CZ26),0))</f>
        <v>35.81</v>
      </c>
      <c r="Q26" s="8" t="str">
        <f t="shared" si="7"/>
        <v>2023 Nationals</v>
      </c>
      <c r="R26" s="8">
        <f t="shared" si="8"/>
        <v>11.9</v>
      </c>
      <c r="S26" s="8" t="str">
        <f t="shared" si="9"/>
        <v>2023 Elite Canada</v>
      </c>
      <c r="T26" s="8">
        <f t="shared" si="10"/>
        <v>0</v>
      </c>
      <c r="U26" s="8" t="str">
        <f t="shared" si="11"/>
        <v/>
      </c>
      <c r="V26" s="8">
        <f t="shared" si="12"/>
        <v>11.86</v>
      </c>
      <c r="W26" s="11" t="str">
        <f t="shared" si="13"/>
        <v>(Optional)</v>
      </c>
      <c r="X26" s="8" t="str">
        <f t="shared" si="14"/>
        <v>2023 Pan Am Club Championships (May 14)</v>
      </c>
      <c r="Y26" s="22">
        <v>5.8</v>
      </c>
      <c r="Z26" s="22">
        <v>3.8</v>
      </c>
      <c r="AA26" s="22">
        <v>5.4</v>
      </c>
      <c r="AB26" s="22">
        <v>6.49</v>
      </c>
      <c r="AC26" s="22">
        <v>0.2</v>
      </c>
      <c r="AD26" s="22">
        <v>10.8</v>
      </c>
      <c r="AE26" s="22">
        <v>8.1</v>
      </c>
      <c r="AF26" s="22">
        <v>11.9</v>
      </c>
      <c r="AG26" s="22">
        <v>13.83</v>
      </c>
      <c r="AH26" s="22">
        <v>0</v>
      </c>
      <c r="AI26" s="22"/>
      <c r="AJ26" s="22"/>
      <c r="AK26" s="22"/>
      <c r="AL26" s="22"/>
      <c r="AM26" s="22"/>
      <c r="AN26" s="27"/>
      <c r="AO26" s="38">
        <f t="shared" si="15"/>
        <v>5.4</v>
      </c>
      <c r="AP26" s="38">
        <f t="shared" si="16"/>
        <v>6.49</v>
      </c>
      <c r="AQ26" s="40">
        <f t="shared" si="17"/>
        <v>21.290000000000003</v>
      </c>
      <c r="AR26" s="40">
        <f t="shared" si="18"/>
        <v>11.9</v>
      </c>
      <c r="AS26" s="40">
        <f t="shared" si="19"/>
        <v>13.83</v>
      </c>
      <c r="AT26" s="40">
        <f t="shared" si="20"/>
        <v>44.629999999999995</v>
      </c>
      <c r="AU26" s="40">
        <f t="shared" si="21"/>
        <v>44.629999999999995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44.629999999999995</v>
      </c>
      <c r="AZ26" s="26">
        <v>8.4</v>
      </c>
      <c r="BA26" s="26">
        <v>6.7</v>
      </c>
      <c r="BB26" s="26">
        <v>9.4</v>
      </c>
      <c r="BC26" s="26">
        <v>12.94</v>
      </c>
      <c r="BD26" s="26">
        <v>0</v>
      </c>
      <c r="BE26" s="26">
        <v>8.6999999999999993</v>
      </c>
      <c r="BF26" s="26">
        <v>6.6</v>
      </c>
      <c r="BG26" s="26">
        <v>9.4</v>
      </c>
      <c r="BH26" s="26">
        <v>11.11</v>
      </c>
      <c r="BI26" s="26">
        <v>0</v>
      </c>
      <c r="BJ26" s="26"/>
      <c r="BK26" s="26"/>
      <c r="BL26" s="26"/>
      <c r="BM26" s="26"/>
      <c r="BN26" s="26"/>
      <c r="BO26" s="28"/>
      <c r="BP26" s="39">
        <f t="shared" si="26"/>
        <v>9.4</v>
      </c>
      <c r="BQ26" s="39">
        <f t="shared" si="27"/>
        <v>12.94</v>
      </c>
      <c r="BR26" s="11">
        <f t="shared" si="28"/>
        <v>37.44</v>
      </c>
      <c r="BS26" s="11">
        <f t="shared" si="29"/>
        <v>9.4</v>
      </c>
      <c r="BT26" s="11">
        <f t="shared" si="30"/>
        <v>11.11</v>
      </c>
      <c r="BU26" s="11">
        <f t="shared" si="31"/>
        <v>35.81</v>
      </c>
      <c r="BV26" s="11">
        <f t="shared" si="32"/>
        <v>37.44</v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>
        <f t="shared" si="36"/>
        <v>37.44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7"/>
        <v/>
      </c>
      <c r="CR26" s="38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 t="str">
        <f t="shared" si="47"/>
        <v/>
      </c>
      <c r="DB26" s="50">
        <f t="shared" si="48"/>
        <v>11.86</v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>
        <v>11.6</v>
      </c>
      <c r="EM26" s="18">
        <v>8.6</v>
      </c>
      <c r="EN26" s="18">
        <v>10.5</v>
      </c>
      <c r="EO26" s="18">
        <v>15.95</v>
      </c>
      <c r="EP26" s="18">
        <v>0</v>
      </c>
      <c r="EQ26" s="18">
        <v>11.5</v>
      </c>
      <c r="ER26" s="18">
        <v>9.4</v>
      </c>
      <c r="ES26" s="18">
        <v>11.6</v>
      </c>
      <c r="ET26" s="18">
        <v>15.17</v>
      </c>
      <c r="EU26" s="18">
        <v>0</v>
      </c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>
        <f t="shared" si="64"/>
        <v>10.5</v>
      </c>
      <c r="FG26" s="11">
        <f t="shared" si="65"/>
        <v>15.95</v>
      </c>
      <c r="FH26" s="11">
        <f t="shared" si="66"/>
        <v>46.65</v>
      </c>
      <c r="FI26" s="11">
        <f t="shared" si="67"/>
        <v>11.6</v>
      </c>
      <c r="FJ26" s="11">
        <f t="shared" si="68"/>
        <v>15.17</v>
      </c>
      <c r="FK26" s="11">
        <f t="shared" si="69"/>
        <v>47.67</v>
      </c>
      <c r="FL26" s="11">
        <f t="shared" si="70"/>
        <v>47.67</v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>
        <f t="shared" si="77"/>
        <v>47.67</v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4.2</v>
      </c>
      <c r="SW26" s="22">
        <f t="shared" si="219"/>
        <v>3.35</v>
      </c>
      <c r="SX26" s="22">
        <f t="shared" si="220"/>
        <v>4.7</v>
      </c>
      <c r="SY26" s="22">
        <f t="shared" si="221"/>
        <v>6.47</v>
      </c>
      <c r="SZ26" s="22">
        <f t="shared" si="222"/>
        <v>0</v>
      </c>
      <c r="TA26" s="22">
        <f t="shared" si="223"/>
        <v>4.3499999999999996</v>
      </c>
      <c r="TB26" s="22">
        <f t="shared" si="224"/>
        <v>3.3</v>
      </c>
      <c r="TC26" s="22">
        <f t="shared" si="225"/>
        <v>4.7</v>
      </c>
      <c r="TD26" s="22">
        <f t="shared" si="226"/>
        <v>5.5549999999999997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>
        <f t="shared" si="233"/>
        <v>4.7</v>
      </c>
      <c r="TM26" s="40">
        <f t="shared" si="234"/>
        <v>6.47</v>
      </c>
      <c r="TN26" s="40">
        <f t="shared" si="235"/>
        <v>18.72</v>
      </c>
      <c r="TO26" s="40">
        <f t="shared" si="236"/>
        <v>4.7</v>
      </c>
      <c r="TP26" s="40">
        <f t="shared" si="237"/>
        <v>5.5549999999999997</v>
      </c>
      <c r="TQ26" s="40">
        <f t="shared" si="238"/>
        <v>17.905000000000001</v>
      </c>
      <c r="TR26" s="40">
        <f t="shared" si="239"/>
        <v>18.72</v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>
        <f t="shared" si="243"/>
        <v>18.72</v>
      </c>
    </row>
    <row r="27" spans="1:542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199</v>
      </c>
      <c r="D27" s="4" t="s">
        <v>3</v>
      </c>
      <c r="E27" s="4">
        <v>2006</v>
      </c>
      <c r="F27" s="9">
        <f t="shared" si="0"/>
        <v>120.12001201200459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46.08</v>
      </c>
      <c r="M27" s="8" t="str">
        <f t="shared" si="5"/>
        <v>2023 3rd Domestic Trial</v>
      </c>
      <c r="N27" s="8">
        <f>IF(COUNT(AQ27,AT27,BR27,BU27,CS27,CV27)&gt;1,LARGE((AQ27,AT27,BR27,BU27,CS27,CV27),2),0)</f>
        <v>19.11</v>
      </c>
      <c r="O27" s="8" t="str">
        <f t="shared" si="6"/>
        <v>2023 3rd Domestic Trial</v>
      </c>
      <c r="P27" s="8">
        <f>IF(COUNT(AQ27,AT27,BR27,BU27,CS27,CV27)&gt;2,MAX(AX27,BY27,CZ27,LARGE((AQ27,AT27,BR27,BU27,CS27,CV27),3)),IF(MAX(AX27,BY27,CZ27)&gt;0,MAX(AX27,BY27,CZ27),0))</f>
        <v>45.129999999999995</v>
      </c>
      <c r="Q27" s="8" t="str">
        <f t="shared" si="7"/>
        <v>2023 3rd Domestic Trial</v>
      </c>
      <c r="R27" s="8">
        <f t="shared" si="8"/>
        <v>9.8000000000000007</v>
      </c>
      <c r="S27" s="8" t="str">
        <f t="shared" si="9"/>
        <v>2023 3rd Domestic Trial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 t="shared" si="15"/>
        <v/>
      </c>
      <c r="AP27" s="38" t="str">
        <f t="shared" si="16"/>
        <v/>
      </c>
      <c r="AQ27" s="40" t="str">
        <f t="shared" si="17"/>
        <v/>
      </c>
      <c r="AR27" s="40" t="str">
        <f t="shared" si="18"/>
        <v/>
      </c>
      <c r="AS27" s="40" t="str">
        <f t="shared" si="19"/>
        <v/>
      </c>
      <c r="AT27" s="40" t="str">
        <f t="shared" si="20"/>
        <v/>
      </c>
      <c r="AU27" s="40" t="str">
        <f t="shared" si="21"/>
        <v/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 t="str">
        <f t="shared" si="25"/>
        <v/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>
        <v>5.2</v>
      </c>
      <c r="CB27" s="22">
        <v>3.8</v>
      </c>
      <c r="CC27" s="22">
        <v>4.2</v>
      </c>
      <c r="CD27" s="22">
        <v>5.91</v>
      </c>
      <c r="CE27" s="22">
        <v>0</v>
      </c>
      <c r="CF27" s="22">
        <v>12.6</v>
      </c>
      <c r="CG27" s="22">
        <v>9.5</v>
      </c>
      <c r="CH27" s="22">
        <v>9.8000000000000007</v>
      </c>
      <c r="CI27" s="22">
        <v>14.18</v>
      </c>
      <c r="CJ27" s="22">
        <v>0</v>
      </c>
      <c r="CK27" s="22">
        <v>12.5</v>
      </c>
      <c r="CL27" s="22">
        <v>8.9</v>
      </c>
      <c r="CM27" s="22">
        <v>9.8000000000000007</v>
      </c>
      <c r="CN27" s="22">
        <v>13.93</v>
      </c>
      <c r="CO27" s="22">
        <v>0</v>
      </c>
      <c r="CP27" s="27"/>
      <c r="CQ27" s="38">
        <f t="shared" si="37"/>
        <v>4.2</v>
      </c>
      <c r="CR27" s="38">
        <f t="shared" si="38"/>
        <v>5.91</v>
      </c>
      <c r="CS27" s="40">
        <f t="shared" si="39"/>
        <v>19.11</v>
      </c>
      <c r="CT27" s="40">
        <f t="shared" si="40"/>
        <v>9.8000000000000007</v>
      </c>
      <c r="CU27" s="40">
        <f t="shared" si="41"/>
        <v>14.18</v>
      </c>
      <c r="CV27" s="40">
        <f t="shared" si="42"/>
        <v>46.08</v>
      </c>
      <c r="CW27" s="40">
        <f t="shared" si="43"/>
        <v>46.08</v>
      </c>
      <c r="CX27" s="40">
        <f t="shared" si="44"/>
        <v>9.8000000000000007</v>
      </c>
      <c r="CY27" s="40">
        <f t="shared" si="45"/>
        <v>13.93</v>
      </c>
      <c r="CZ27" s="40">
        <f t="shared" si="46"/>
        <v>45.129999999999995</v>
      </c>
      <c r="DA27" s="40">
        <f t="shared" si="47"/>
        <v>91.21</v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2.6</v>
      </c>
      <c r="SW27" s="22">
        <f t="shared" si="219"/>
        <v>1.9</v>
      </c>
      <c r="SX27" s="22">
        <f t="shared" si="220"/>
        <v>2.1</v>
      </c>
      <c r="SY27" s="22">
        <f t="shared" si="221"/>
        <v>2.9550000000000001</v>
      </c>
      <c r="SZ27" s="22">
        <f t="shared" si="222"/>
        <v>0</v>
      </c>
      <c r="TA27" s="22">
        <f t="shared" si="223"/>
        <v>6.3</v>
      </c>
      <c r="TB27" s="22">
        <f t="shared" si="224"/>
        <v>4.75</v>
      </c>
      <c r="TC27" s="22">
        <f t="shared" si="225"/>
        <v>4.9000000000000004</v>
      </c>
      <c r="TD27" s="22">
        <f t="shared" si="226"/>
        <v>7.09</v>
      </c>
      <c r="TE27" s="22">
        <f t="shared" si="227"/>
        <v>0</v>
      </c>
      <c r="TF27" s="22">
        <f t="shared" si="228"/>
        <v>6.25</v>
      </c>
      <c r="TG27" s="22">
        <f t="shared" si="229"/>
        <v>4.45</v>
      </c>
      <c r="TH27" s="22">
        <f t="shared" si="230"/>
        <v>4.9000000000000004</v>
      </c>
      <c r="TI27" s="22">
        <f t="shared" si="231"/>
        <v>6.9649999999999999</v>
      </c>
      <c r="TJ27" s="22">
        <f t="shared" si="232"/>
        <v>0</v>
      </c>
      <c r="TK27" s="27" t="s">
        <v>46</v>
      </c>
      <c r="TL27" s="40">
        <f t="shared" si="233"/>
        <v>2.1</v>
      </c>
      <c r="TM27" s="40">
        <f t="shared" si="234"/>
        <v>2.9550000000000001</v>
      </c>
      <c r="TN27" s="40">
        <f t="shared" si="235"/>
        <v>9.5549999999999997</v>
      </c>
      <c r="TO27" s="40">
        <f t="shared" si="236"/>
        <v>4.9000000000000004</v>
      </c>
      <c r="TP27" s="40">
        <f t="shared" si="237"/>
        <v>7.09</v>
      </c>
      <c r="TQ27" s="40">
        <f t="shared" si="238"/>
        <v>23.04</v>
      </c>
      <c r="TR27" s="40">
        <f t="shared" si="239"/>
        <v>23.04</v>
      </c>
      <c r="TS27" s="40">
        <f t="shared" si="240"/>
        <v>4.9000000000000004</v>
      </c>
      <c r="TT27" s="40">
        <f t="shared" si="241"/>
        <v>6.9649999999999999</v>
      </c>
      <c r="TU27" s="40">
        <f t="shared" si="242"/>
        <v>22.564999999999998</v>
      </c>
      <c r="TV27" s="40">
        <f t="shared" si="243"/>
        <v>45.604999999999997</v>
      </c>
    </row>
    <row r="28" spans="1:542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178</v>
      </c>
      <c r="D28" s="4" t="s">
        <v>3</v>
      </c>
      <c r="E28" s="4">
        <v>2004</v>
      </c>
      <c r="F28" s="9">
        <f t="shared" si="0"/>
        <v>114.34001143400474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47.510000000000005</v>
      </c>
      <c r="M28" s="8" t="str">
        <f t="shared" si="5"/>
        <v>2023 Nationals</v>
      </c>
      <c r="N28" s="8">
        <f>IF(COUNT(AQ28,AT28,BR28,BU28,CS28,CV28)&gt;1,LARGE((AQ28,AT28,BR28,BU28,CS28,CV28),2),0)</f>
        <v>45.4</v>
      </c>
      <c r="O28" s="8" t="str">
        <f t="shared" si="6"/>
        <v>2023 Elite Canada</v>
      </c>
      <c r="P28" s="8">
        <f>IF(COUNT(AQ28,AT28,BR28,BU28,CS28,CV28)&gt;2,MAX(AX28,BY28,CZ28,LARGE((AQ28,AT28,BR28,BU28,CS28,CV28),3)),IF(MAX(AX28,BY28,CZ28)&gt;0,MAX(AX28,BY28,CZ28),0))</f>
        <v>10.33</v>
      </c>
      <c r="Q28" s="8" t="str">
        <f t="shared" si="7"/>
        <v>2023 Elite Canada</v>
      </c>
      <c r="R28" s="8">
        <f t="shared" si="8"/>
        <v>11.1</v>
      </c>
      <c r="S28" s="8" t="str">
        <f t="shared" si="9"/>
        <v>2023 Nationals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14.9</v>
      </c>
      <c r="Z28" s="22">
        <v>8.1</v>
      </c>
      <c r="AA28" s="22">
        <v>9.9</v>
      </c>
      <c r="AB28" s="22">
        <v>12.5</v>
      </c>
      <c r="AC28" s="22">
        <v>0</v>
      </c>
      <c r="AD28" s="22">
        <v>2.9</v>
      </c>
      <c r="AE28" s="22">
        <v>1.8</v>
      </c>
      <c r="AF28" s="22">
        <v>2.9</v>
      </c>
      <c r="AG28" s="22">
        <v>2.73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9.9</v>
      </c>
      <c r="AP28" s="38">
        <f t="shared" si="16"/>
        <v>12.5</v>
      </c>
      <c r="AQ28" s="40">
        <f t="shared" si="17"/>
        <v>45.4</v>
      </c>
      <c r="AR28" s="40">
        <f t="shared" si="18"/>
        <v>2.9</v>
      </c>
      <c r="AS28" s="40">
        <f t="shared" si="19"/>
        <v>2.73</v>
      </c>
      <c r="AT28" s="40">
        <f t="shared" si="20"/>
        <v>10.33</v>
      </c>
      <c r="AU28" s="40">
        <f t="shared" si="21"/>
        <v>45.4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45.4</v>
      </c>
      <c r="AZ28" s="26">
        <v>13.7</v>
      </c>
      <c r="BA28" s="26">
        <v>9.4</v>
      </c>
      <c r="BB28" s="26">
        <v>11.1</v>
      </c>
      <c r="BC28" s="26">
        <v>13.31</v>
      </c>
      <c r="BD28" s="26">
        <v>0</v>
      </c>
      <c r="BE28" s="26">
        <v>2.8</v>
      </c>
      <c r="BF28" s="26">
        <v>1.8</v>
      </c>
      <c r="BG28" s="26">
        <v>2</v>
      </c>
      <c r="BH28" s="26">
        <v>3.19</v>
      </c>
      <c r="BI28" s="26">
        <v>0</v>
      </c>
      <c r="BJ28" s="26"/>
      <c r="BK28" s="26"/>
      <c r="BL28" s="26"/>
      <c r="BM28" s="26"/>
      <c r="BN28" s="26"/>
      <c r="BO28" s="28"/>
      <c r="BP28" s="39">
        <f t="shared" si="26"/>
        <v>11.1</v>
      </c>
      <c r="BQ28" s="39">
        <f t="shared" si="27"/>
        <v>13.31</v>
      </c>
      <c r="BR28" s="11">
        <f t="shared" si="28"/>
        <v>47.510000000000005</v>
      </c>
      <c r="BS28" s="11">
        <f t="shared" si="29"/>
        <v>2</v>
      </c>
      <c r="BT28" s="11">
        <f t="shared" si="30"/>
        <v>3.19</v>
      </c>
      <c r="BU28" s="11">
        <f t="shared" si="31"/>
        <v>9.7899999999999991</v>
      </c>
      <c r="BV28" s="11">
        <f t="shared" si="32"/>
        <v>47.510000000000005</v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>
        <f t="shared" si="36"/>
        <v>47.510000000000005</v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7"/>
        <v/>
      </c>
      <c r="CR28" s="38" t="str">
        <f t="shared" si="38"/>
        <v/>
      </c>
      <c r="CS28" s="40" t="str">
        <f t="shared" si="39"/>
        <v/>
      </c>
      <c r="CT28" s="40" t="str">
        <f t="shared" si="40"/>
        <v/>
      </c>
      <c r="CU28" s="40" t="str">
        <f t="shared" si="41"/>
        <v/>
      </c>
      <c r="CV28" s="40" t="str">
        <f t="shared" si="42"/>
        <v/>
      </c>
      <c r="CW28" s="40" t="str">
        <f t="shared" si="43"/>
        <v/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 t="str">
        <f t="shared" si="47"/>
        <v/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6.85</v>
      </c>
      <c r="SW28" s="22">
        <f t="shared" si="219"/>
        <v>4.7</v>
      </c>
      <c r="SX28" s="22">
        <f t="shared" si="220"/>
        <v>5.55</v>
      </c>
      <c r="SY28" s="22">
        <f t="shared" si="221"/>
        <v>6.6550000000000002</v>
      </c>
      <c r="SZ28" s="22">
        <f t="shared" si="222"/>
        <v>0</v>
      </c>
      <c r="TA28" s="22">
        <f t="shared" si="223"/>
        <v>1.4</v>
      </c>
      <c r="TB28" s="22">
        <f t="shared" si="224"/>
        <v>0.9</v>
      </c>
      <c r="TC28" s="22">
        <f t="shared" si="225"/>
        <v>1</v>
      </c>
      <c r="TD28" s="22">
        <f t="shared" si="226"/>
        <v>1.595</v>
      </c>
      <c r="TE28" s="22">
        <f t="shared" si="227"/>
        <v>0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>
        <f t="shared" si="233"/>
        <v>5.55</v>
      </c>
      <c r="TM28" s="40">
        <f t="shared" si="234"/>
        <v>6.6550000000000002</v>
      </c>
      <c r="TN28" s="40">
        <f t="shared" si="235"/>
        <v>23.755000000000003</v>
      </c>
      <c r="TO28" s="40">
        <f t="shared" si="236"/>
        <v>1</v>
      </c>
      <c r="TP28" s="40">
        <f t="shared" si="237"/>
        <v>1.595</v>
      </c>
      <c r="TQ28" s="40">
        <f t="shared" si="238"/>
        <v>4.8949999999999996</v>
      </c>
      <c r="TR28" s="40">
        <f t="shared" si="239"/>
        <v>23.755000000000003</v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>
        <f t="shared" si="243"/>
        <v>23.755000000000003</v>
      </c>
    </row>
    <row r="29" spans="1:542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150</v>
      </c>
      <c r="D29" s="4" t="s">
        <v>4</v>
      </c>
      <c r="E29" s="4">
        <v>2005</v>
      </c>
      <c r="F29" s="9">
        <f t="shared" si="0"/>
        <v>107.35001073500486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48.569999999999993</v>
      </c>
      <c r="M29" s="8" t="str">
        <f t="shared" si="5"/>
        <v>2023 Nationals</v>
      </c>
      <c r="N29" s="8">
        <f>IF(COUNT(AQ29,AT29,BR29,BU29,CS29,CV29)&gt;1,LARGE((AQ29,AT29,BR29,BU29,CS29,CV29),2),0)</f>
        <v>47.58</v>
      </c>
      <c r="O29" s="8" t="str">
        <f t="shared" si="6"/>
        <v>2023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 t="shared" si="7"/>
        <v/>
      </c>
      <c r="R29" s="8">
        <f t="shared" si="8"/>
        <v>11.2</v>
      </c>
      <c r="S29" s="8" t="str">
        <f t="shared" si="9"/>
        <v>2023 Nationals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 t="shared" si="15"/>
        <v/>
      </c>
      <c r="AP29" s="38" t="str">
        <f t="shared" si="16"/>
        <v/>
      </c>
      <c r="AQ29" s="40" t="str">
        <f t="shared" si="17"/>
        <v/>
      </c>
      <c r="AR29" s="40" t="str">
        <f t="shared" si="18"/>
        <v/>
      </c>
      <c r="AS29" s="40" t="str">
        <f t="shared" si="19"/>
        <v/>
      </c>
      <c r="AT29" s="40" t="str">
        <f t="shared" si="20"/>
        <v/>
      </c>
      <c r="AU29" s="40" t="str">
        <f t="shared" si="21"/>
        <v/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 t="str">
        <f t="shared" si="25"/>
        <v/>
      </c>
      <c r="AZ29" s="26">
        <v>13</v>
      </c>
      <c r="BA29" s="26">
        <v>8.9</v>
      </c>
      <c r="BB29" s="26">
        <v>11.1</v>
      </c>
      <c r="BC29" s="26">
        <v>14.58</v>
      </c>
      <c r="BD29" s="26">
        <v>0</v>
      </c>
      <c r="BE29" s="26">
        <v>13.6</v>
      </c>
      <c r="BF29" s="26">
        <v>9.3000000000000007</v>
      </c>
      <c r="BG29" s="26">
        <v>11.2</v>
      </c>
      <c r="BH29" s="26">
        <v>14.47</v>
      </c>
      <c r="BI29" s="26">
        <v>0</v>
      </c>
      <c r="BJ29" s="26"/>
      <c r="BK29" s="26"/>
      <c r="BL29" s="26"/>
      <c r="BM29" s="26"/>
      <c r="BN29" s="26"/>
      <c r="BO29" s="28"/>
      <c r="BP29" s="39">
        <f t="shared" si="26"/>
        <v>11.1</v>
      </c>
      <c r="BQ29" s="39">
        <f t="shared" si="27"/>
        <v>14.58</v>
      </c>
      <c r="BR29" s="11">
        <f t="shared" si="28"/>
        <v>47.58</v>
      </c>
      <c r="BS29" s="11">
        <f t="shared" si="29"/>
        <v>11.2</v>
      </c>
      <c r="BT29" s="11">
        <f t="shared" si="30"/>
        <v>14.47</v>
      </c>
      <c r="BU29" s="11">
        <f t="shared" si="31"/>
        <v>48.569999999999993</v>
      </c>
      <c r="BV29" s="11">
        <f t="shared" si="32"/>
        <v>48.569999999999993</v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>
        <f t="shared" si="36"/>
        <v>48.569999999999993</v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6.5</v>
      </c>
      <c r="SW29" s="22">
        <f t="shared" si="219"/>
        <v>4.45</v>
      </c>
      <c r="SX29" s="22">
        <f t="shared" si="220"/>
        <v>5.55</v>
      </c>
      <c r="SY29" s="22">
        <f t="shared" si="221"/>
        <v>7.29</v>
      </c>
      <c r="SZ29" s="22">
        <f t="shared" si="222"/>
        <v>0</v>
      </c>
      <c r="TA29" s="22">
        <f t="shared" si="223"/>
        <v>6.8</v>
      </c>
      <c r="TB29" s="22">
        <f t="shared" si="224"/>
        <v>4.6500000000000004</v>
      </c>
      <c r="TC29" s="22">
        <f t="shared" si="225"/>
        <v>5.6</v>
      </c>
      <c r="TD29" s="22">
        <f t="shared" si="226"/>
        <v>7.2350000000000003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>
        <f t="shared" si="233"/>
        <v>5.55</v>
      </c>
      <c r="TM29" s="40">
        <f t="shared" si="234"/>
        <v>7.29</v>
      </c>
      <c r="TN29" s="40">
        <f t="shared" si="235"/>
        <v>23.79</v>
      </c>
      <c r="TO29" s="40">
        <f t="shared" si="236"/>
        <v>5.6</v>
      </c>
      <c r="TP29" s="40">
        <f t="shared" si="237"/>
        <v>7.2350000000000003</v>
      </c>
      <c r="TQ29" s="40">
        <f t="shared" si="238"/>
        <v>24.284999999999997</v>
      </c>
      <c r="TR29" s="40">
        <f t="shared" si="239"/>
        <v>24.284999999999997</v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>
        <f t="shared" si="243"/>
        <v>24.284999999999997</v>
      </c>
    </row>
    <row r="30" spans="1:542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226</v>
      </c>
      <c r="D30" s="4" t="s">
        <v>3</v>
      </c>
      <c r="E30" s="4">
        <v>2008</v>
      </c>
      <c r="F30" s="9">
        <f t="shared" si="0"/>
        <v>104.28001042800473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47.429999999999993</v>
      </c>
      <c r="M30" s="8" t="str">
        <f t="shared" si="5"/>
        <v>2023 3rd Domestic Trial</v>
      </c>
      <c r="N30" s="8">
        <f>IF(COUNT(AQ30,AT30,BR30,BU30,CS30,CV30)&gt;1,LARGE((AQ30,AT30,BR30,BU30,CS30,CV30),2),0)</f>
        <v>47.15</v>
      </c>
      <c r="O30" s="8" t="str">
        <f t="shared" si="6"/>
        <v>2023 3rd Domestic Trial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9.6999999999999993</v>
      </c>
      <c r="S30" s="8" t="str">
        <f t="shared" si="9"/>
        <v>2023 3rd Domestic Trial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 t="shared" si="15"/>
        <v/>
      </c>
      <c r="AP30" s="38" t="str">
        <f t="shared" si="16"/>
        <v/>
      </c>
      <c r="AQ30" s="40" t="str">
        <f t="shared" si="17"/>
        <v/>
      </c>
      <c r="AR30" s="40" t="str">
        <f t="shared" si="18"/>
        <v/>
      </c>
      <c r="AS30" s="40" t="str">
        <f t="shared" si="19"/>
        <v/>
      </c>
      <c r="AT30" s="40" t="str">
        <f t="shared" si="20"/>
        <v/>
      </c>
      <c r="AU30" s="40" t="str">
        <f t="shared" si="21"/>
        <v/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 t="str">
        <f t="shared" si="25"/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>
        <v>14.7</v>
      </c>
      <c r="CB30" s="22">
        <v>8.6999999999999993</v>
      </c>
      <c r="CC30" s="22">
        <v>9.6999999999999993</v>
      </c>
      <c r="CD30" s="22">
        <v>14.33</v>
      </c>
      <c r="CE30" s="22">
        <v>0</v>
      </c>
      <c r="CF30" s="22">
        <v>15.1</v>
      </c>
      <c r="CG30" s="22">
        <v>9.1</v>
      </c>
      <c r="CH30" s="22">
        <v>8.6000000000000014</v>
      </c>
      <c r="CI30" s="22">
        <v>14.85</v>
      </c>
      <c r="CJ30" s="22">
        <v>0.5</v>
      </c>
      <c r="CK30" s="22">
        <v>0</v>
      </c>
      <c r="CL30" s="22">
        <v>0</v>
      </c>
      <c r="CM30" s="22">
        <v>0</v>
      </c>
      <c r="CN30" s="22">
        <v>0</v>
      </c>
      <c r="CO30" s="22">
        <v>0</v>
      </c>
      <c r="CP30" s="27"/>
      <c r="CQ30" s="38">
        <f t="shared" si="37"/>
        <v>9.6999999999999993</v>
      </c>
      <c r="CR30" s="38">
        <f t="shared" si="38"/>
        <v>14.33</v>
      </c>
      <c r="CS30" s="40">
        <f t="shared" si="39"/>
        <v>47.429999999999993</v>
      </c>
      <c r="CT30" s="40">
        <f t="shared" si="40"/>
        <v>8.6000000000000014</v>
      </c>
      <c r="CU30" s="40">
        <f t="shared" si="41"/>
        <v>14.85</v>
      </c>
      <c r="CV30" s="40">
        <f t="shared" si="42"/>
        <v>47.15</v>
      </c>
      <c r="CW30" s="40">
        <f t="shared" si="43"/>
        <v>47.429999999999993</v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>
        <f t="shared" si="47"/>
        <v>47.429999999999993</v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7.35</v>
      </c>
      <c r="SW30" s="22">
        <f t="shared" si="219"/>
        <v>4.3499999999999996</v>
      </c>
      <c r="SX30" s="22">
        <f t="shared" si="220"/>
        <v>4.8499999999999996</v>
      </c>
      <c r="SY30" s="22">
        <f t="shared" si="221"/>
        <v>7.165</v>
      </c>
      <c r="SZ30" s="22">
        <f t="shared" si="222"/>
        <v>0</v>
      </c>
      <c r="TA30" s="22">
        <f t="shared" si="223"/>
        <v>7.55</v>
      </c>
      <c r="TB30" s="22">
        <f t="shared" si="224"/>
        <v>4.55</v>
      </c>
      <c r="TC30" s="22">
        <f t="shared" si="225"/>
        <v>4.3000000000000007</v>
      </c>
      <c r="TD30" s="22">
        <f t="shared" si="226"/>
        <v>7.4249999999999998</v>
      </c>
      <c r="TE30" s="22">
        <f t="shared" si="227"/>
        <v>0.25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>
        <f t="shared" si="233"/>
        <v>4.8499999999999996</v>
      </c>
      <c r="TM30" s="40">
        <f t="shared" si="234"/>
        <v>7.165</v>
      </c>
      <c r="TN30" s="40">
        <f t="shared" si="235"/>
        <v>23.714999999999996</v>
      </c>
      <c r="TO30" s="40">
        <f t="shared" si="236"/>
        <v>4.3000000000000007</v>
      </c>
      <c r="TP30" s="40">
        <f t="shared" si="237"/>
        <v>7.4249999999999998</v>
      </c>
      <c r="TQ30" s="40">
        <f t="shared" si="238"/>
        <v>23.574999999999999</v>
      </c>
      <c r="TR30" s="40">
        <f t="shared" si="239"/>
        <v>23.714999999999996</v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>
        <f t="shared" si="243"/>
        <v>23.714999999999996</v>
      </c>
    </row>
    <row r="31" spans="1:542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211</v>
      </c>
      <c r="D31" s="4" t="s">
        <v>210</v>
      </c>
      <c r="E31" s="4">
        <v>2006</v>
      </c>
      <c r="F31" s="9">
        <f t="shared" si="0"/>
        <v>87.200008720004689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46.91</v>
      </c>
      <c r="M31" s="8" t="str">
        <f t="shared" si="5"/>
        <v>2023 Nationals</v>
      </c>
      <c r="N31" s="8">
        <f>IF(COUNT(AQ31,AT31,BR31,BU31,CS31,CV31)&gt;1,LARGE((AQ31,AT31,BR31,BU31,CS31,CV31),2),0)</f>
        <v>29.09</v>
      </c>
      <c r="O31" s="8" t="str">
        <f t="shared" si="6"/>
        <v>2023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11.2</v>
      </c>
      <c r="S31" s="8" t="str">
        <f t="shared" si="9"/>
        <v>2023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 t="shared" si="15"/>
        <v/>
      </c>
      <c r="AP31" s="38" t="str">
        <f t="shared" si="16"/>
        <v/>
      </c>
      <c r="AQ31" s="40" t="str">
        <f t="shared" si="17"/>
        <v/>
      </c>
      <c r="AR31" s="40" t="str">
        <f t="shared" si="18"/>
        <v/>
      </c>
      <c r="AS31" s="40" t="str">
        <f t="shared" si="19"/>
        <v/>
      </c>
      <c r="AT31" s="40" t="str">
        <f t="shared" si="20"/>
        <v/>
      </c>
      <c r="AU31" s="40" t="str">
        <f t="shared" si="21"/>
        <v/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 t="str">
        <f t="shared" si="25"/>
        <v/>
      </c>
      <c r="AZ31" s="26">
        <v>7.9</v>
      </c>
      <c r="BA31" s="26">
        <v>5</v>
      </c>
      <c r="BB31" s="26">
        <v>7.3</v>
      </c>
      <c r="BC31" s="26">
        <v>8.89</v>
      </c>
      <c r="BD31" s="26">
        <v>0</v>
      </c>
      <c r="BE31" s="26">
        <v>12.8</v>
      </c>
      <c r="BF31" s="26">
        <v>8.8000000000000007</v>
      </c>
      <c r="BG31" s="26">
        <v>11.2</v>
      </c>
      <c r="BH31" s="26">
        <v>14.11</v>
      </c>
      <c r="BI31" s="26">
        <v>0</v>
      </c>
      <c r="BJ31" s="26"/>
      <c r="BK31" s="26"/>
      <c r="BL31" s="26"/>
      <c r="BM31" s="26"/>
      <c r="BN31" s="26"/>
      <c r="BO31" s="28"/>
      <c r="BP31" s="39">
        <f t="shared" si="26"/>
        <v>7.3</v>
      </c>
      <c r="BQ31" s="39">
        <f t="shared" si="27"/>
        <v>8.89</v>
      </c>
      <c r="BR31" s="11">
        <f t="shared" si="28"/>
        <v>29.09</v>
      </c>
      <c r="BS31" s="11">
        <f t="shared" si="29"/>
        <v>11.2</v>
      </c>
      <c r="BT31" s="11">
        <f t="shared" si="30"/>
        <v>14.11</v>
      </c>
      <c r="BU31" s="11">
        <f t="shared" si="31"/>
        <v>46.91</v>
      </c>
      <c r="BV31" s="11">
        <f t="shared" si="32"/>
        <v>46.91</v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>
        <f t="shared" si="36"/>
        <v>46.91</v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3.95</v>
      </c>
      <c r="SW31" s="22">
        <f t="shared" si="219"/>
        <v>2.5</v>
      </c>
      <c r="SX31" s="22">
        <f t="shared" si="220"/>
        <v>3.65</v>
      </c>
      <c r="SY31" s="22">
        <f t="shared" si="221"/>
        <v>4.4450000000000003</v>
      </c>
      <c r="SZ31" s="22">
        <f t="shared" si="222"/>
        <v>0</v>
      </c>
      <c r="TA31" s="22">
        <f t="shared" si="223"/>
        <v>6.4</v>
      </c>
      <c r="TB31" s="22">
        <f t="shared" si="224"/>
        <v>4.4000000000000004</v>
      </c>
      <c r="TC31" s="22">
        <f t="shared" si="225"/>
        <v>5.6</v>
      </c>
      <c r="TD31" s="22">
        <f t="shared" si="226"/>
        <v>7.0549999999999997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>
        <f t="shared" si="233"/>
        <v>3.65</v>
      </c>
      <c r="TM31" s="40">
        <f t="shared" si="234"/>
        <v>4.4450000000000003</v>
      </c>
      <c r="TN31" s="40">
        <f t="shared" si="235"/>
        <v>14.545</v>
      </c>
      <c r="TO31" s="40">
        <f t="shared" si="236"/>
        <v>5.6</v>
      </c>
      <c r="TP31" s="40">
        <f t="shared" si="237"/>
        <v>7.0549999999999997</v>
      </c>
      <c r="TQ31" s="40">
        <f t="shared" si="238"/>
        <v>23.454999999999998</v>
      </c>
      <c r="TR31" s="40">
        <f t="shared" si="239"/>
        <v>23.454999999999998</v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>
        <f t="shared" si="243"/>
        <v>23.454999999999998</v>
      </c>
    </row>
    <row r="32" spans="1:542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135</v>
      </c>
      <c r="D32" s="4" t="s">
        <v>5</v>
      </c>
      <c r="E32" s="4">
        <v>2003</v>
      </c>
      <c r="F32" s="9">
        <f t="shared" si="0"/>
        <v>57.460005746003795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38.01</v>
      </c>
      <c r="M32" s="8" t="str">
        <f t="shared" si="5"/>
        <v>2023 Nationals</v>
      </c>
      <c r="N32" s="8">
        <f>IF(COUNT(AQ32,AT32,BR32,BU32,CS32,CV32)&gt;1,LARGE((AQ32,AT32,BR32,BU32,CS32,CV32),2),0)</f>
        <v>9.6500000000000021</v>
      </c>
      <c r="O32" s="8" t="str">
        <f t="shared" si="6"/>
        <v>2023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9.8000000000000007</v>
      </c>
      <c r="S32" s="8" t="str">
        <f t="shared" si="9"/>
        <v>2023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5"/>
        <v/>
      </c>
      <c r="AP32" s="38" t="str">
        <f t="shared" si="16"/>
        <v/>
      </c>
      <c r="AQ32" s="40" t="str">
        <f t="shared" si="17"/>
        <v/>
      </c>
      <c r="AR32" s="40" t="str">
        <f t="shared" si="18"/>
        <v/>
      </c>
      <c r="AS32" s="40" t="str">
        <f t="shared" si="19"/>
        <v/>
      </c>
      <c r="AT32" s="40" t="str">
        <f t="shared" si="20"/>
        <v/>
      </c>
      <c r="AU32" s="40" t="str">
        <f t="shared" si="21"/>
        <v/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 t="str">
        <f t="shared" si="25"/>
        <v/>
      </c>
      <c r="AZ32" s="26">
        <v>9.8000000000000007</v>
      </c>
      <c r="BA32" s="26">
        <v>7.1</v>
      </c>
      <c r="BB32" s="26">
        <v>9.8000000000000007</v>
      </c>
      <c r="BC32" s="26">
        <v>11.31</v>
      </c>
      <c r="BD32" s="26">
        <v>0</v>
      </c>
      <c r="BE32" s="26">
        <v>2.6</v>
      </c>
      <c r="BF32" s="26">
        <v>1.6</v>
      </c>
      <c r="BG32" s="26">
        <v>2.7</v>
      </c>
      <c r="BH32" s="26">
        <v>2.95</v>
      </c>
      <c r="BI32" s="26">
        <v>0.2</v>
      </c>
      <c r="BJ32" s="26"/>
      <c r="BK32" s="26"/>
      <c r="BL32" s="26"/>
      <c r="BM32" s="26"/>
      <c r="BN32" s="26"/>
      <c r="BO32" s="28"/>
      <c r="BP32" s="39">
        <f t="shared" si="26"/>
        <v>9.8000000000000007</v>
      </c>
      <c r="BQ32" s="39">
        <f t="shared" si="27"/>
        <v>11.31</v>
      </c>
      <c r="BR32" s="11">
        <f t="shared" si="28"/>
        <v>38.01</v>
      </c>
      <c r="BS32" s="11">
        <f t="shared" si="29"/>
        <v>2.7</v>
      </c>
      <c r="BT32" s="11">
        <f t="shared" si="30"/>
        <v>2.95</v>
      </c>
      <c r="BU32" s="11">
        <f t="shared" si="31"/>
        <v>9.6500000000000021</v>
      </c>
      <c r="BV32" s="11">
        <f t="shared" si="32"/>
        <v>38.01</v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>
        <f t="shared" si="36"/>
        <v>38.01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4.9000000000000004</v>
      </c>
      <c r="SW32" s="22">
        <f t="shared" si="219"/>
        <v>3.55</v>
      </c>
      <c r="SX32" s="22">
        <f t="shared" si="220"/>
        <v>4.9000000000000004</v>
      </c>
      <c r="SY32" s="22">
        <f t="shared" si="221"/>
        <v>5.6550000000000002</v>
      </c>
      <c r="SZ32" s="22">
        <f t="shared" si="222"/>
        <v>0</v>
      </c>
      <c r="TA32" s="22">
        <f t="shared" si="223"/>
        <v>1.3</v>
      </c>
      <c r="TB32" s="22">
        <f t="shared" si="224"/>
        <v>0.8</v>
      </c>
      <c r="TC32" s="22">
        <f t="shared" si="225"/>
        <v>1.35</v>
      </c>
      <c r="TD32" s="22">
        <f t="shared" si="226"/>
        <v>1.4750000000000001</v>
      </c>
      <c r="TE32" s="22">
        <f t="shared" si="227"/>
        <v>0.1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>
        <f t="shared" si="233"/>
        <v>4.9000000000000004</v>
      </c>
      <c r="TM32" s="40">
        <f t="shared" si="234"/>
        <v>5.6550000000000002</v>
      </c>
      <c r="TN32" s="40">
        <f t="shared" si="235"/>
        <v>19.004999999999999</v>
      </c>
      <c r="TO32" s="40">
        <f t="shared" si="236"/>
        <v>1.35</v>
      </c>
      <c r="TP32" s="40">
        <f t="shared" si="237"/>
        <v>1.4750000000000001</v>
      </c>
      <c r="TQ32" s="40">
        <f t="shared" si="238"/>
        <v>4.8250000000000011</v>
      </c>
      <c r="TR32" s="40">
        <f t="shared" si="239"/>
        <v>19.004999999999999</v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>
        <f t="shared" si="243"/>
        <v>19.004999999999999</v>
      </c>
    </row>
    <row r="33" spans="1:542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212</v>
      </c>
      <c r="D33" s="4" t="s">
        <v>210</v>
      </c>
      <c r="E33" s="4">
        <v>2006</v>
      </c>
      <c r="F33" s="9">
        <f t="shared" si="0"/>
        <v>57.370005737004696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46.97</v>
      </c>
      <c r="M33" s="8" t="str">
        <f t="shared" si="5"/>
        <v>2023 Nationals</v>
      </c>
      <c r="N33" s="8">
        <f>IF(COUNT(AQ33,AT33,BR33,BU33,CS33,CV33)&gt;1,LARGE((AQ33,AT33,BR33,BU33,CS33,CV33),2),0)</f>
        <v>0</v>
      </c>
      <c r="O33" s="8" t="str">
        <f t="shared" si="6"/>
        <v/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10.4</v>
      </c>
      <c r="S33" s="8" t="str">
        <f t="shared" si="9"/>
        <v>2023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 t="shared" si="15"/>
        <v/>
      </c>
      <c r="AP33" s="38" t="str">
        <f t="shared" si="16"/>
        <v/>
      </c>
      <c r="AQ33" s="40" t="str">
        <f t="shared" si="17"/>
        <v/>
      </c>
      <c r="AR33" s="40" t="str">
        <f t="shared" si="18"/>
        <v/>
      </c>
      <c r="AS33" s="40" t="str">
        <f t="shared" si="19"/>
        <v/>
      </c>
      <c r="AT33" s="40" t="str">
        <f t="shared" si="20"/>
        <v/>
      </c>
      <c r="AU33" s="40" t="str">
        <f t="shared" si="21"/>
        <v/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 t="str">
        <f t="shared" si="25"/>
        <v/>
      </c>
      <c r="AZ33" s="26">
        <v>13.7</v>
      </c>
      <c r="BA33" s="26">
        <v>9.1999999999999993</v>
      </c>
      <c r="BB33" s="26">
        <v>10.4</v>
      </c>
      <c r="BC33" s="26">
        <v>13.67</v>
      </c>
      <c r="BD33" s="26">
        <v>0</v>
      </c>
      <c r="BE33" s="26">
        <v>0</v>
      </c>
      <c r="BF33" s="26">
        <v>0</v>
      </c>
      <c r="BG33" s="26">
        <v>0</v>
      </c>
      <c r="BH33" s="26">
        <v>0</v>
      </c>
      <c r="BI33" s="26">
        <v>0</v>
      </c>
      <c r="BJ33" s="26"/>
      <c r="BK33" s="26"/>
      <c r="BL33" s="26"/>
      <c r="BM33" s="26"/>
      <c r="BN33" s="26"/>
      <c r="BO33" s="28"/>
      <c r="BP33" s="39">
        <f t="shared" si="26"/>
        <v>10.4</v>
      </c>
      <c r="BQ33" s="39">
        <f t="shared" si="27"/>
        <v>13.67</v>
      </c>
      <c r="BR33" s="11">
        <f t="shared" si="28"/>
        <v>46.97</v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>
        <f t="shared" si="32"/>
        <v>46.97</v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>
        <f t="shared" si="36"/>
        <v>46.97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6.85</v>
      </c>
      <c r="SW33" s="22">
        <f t="shared" si="219"/>
        <v>4.5999999999999996</v>
      </c>
      <c r="SX33" s="22">
        <f t="shared" si="220"/>
        <v>5.2</v>
      </c>
      <c r="SY33" s="22">
        <f t="shared" si="221"/>
        <v>6.835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>
        <f t="shared" si="233"/>
        <v>5.2</v>
      </c>
      <c r="TM33" s="40">
        <f t="shared" si="234"/>
        <v>6.835</v>
      </c>
      <c r="TN33" s="40">
        <f t="shared" si="235"/>
        <v>23.484999999999999</v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>
        <f t="shared" si="239"/>
        <v>23.484999999999999</v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>
        <f t="shared" si="243"/>
        <v>23.484999999999999</v>
      </c>
    </row>
    <row r="34" spans="1:542" x14ac:dyDescent="0.2">
      <c r="C34" s="5"/>
      <c r="E34" s="1"/>
    </row>
    <row r="35" spans="1:542" x14ac:dyDescent="0.2">
      <c r="I35" s="36"/>
      <c r="K35" s="36"/>
    </row>
    <row r="36" spans="1:542" x14ac:dyDescent="0.2">
      <c r="C36" s="23" t="s">
        <v>44</v>
      </c>
      <c r="D36" s="5"/>
      <c r="I36" s="3"/>
      <c r="AR36" s="41"/>
      <c r="AS36" s="41"/>
      <c r="AT36" s="41"/>
      <c r="AV36" s="32"/>
      <c r="AW36" s="32"/>
      <c r="AY36" s="53">
        <v>13.5</v>
      </c>
      <c r="BS36" s="41"/>
      <c r="BT36" s="41"/>
      <c r="BU36" s="41"/>
      <c r="BW36" s="32"/>
      <c r="BX36" s="32"/>
      <c r="BZ36" s="53">
        <v>13.5</v>
      </c>
      <c r="CT36" s="41"/>
      <c r="CU36" s="41"/>
      <c r="CV36" s="41"/>
      <c r="CX36" s="32"/>
      <c r="CY36" s="32"/>
      <c r="DA36" s="53">
        <v>13.5</v>
      </c>
      <c r="DX36" s="5"/>
      <c r="DY36" s="5"/>
      <c r="EH36" s="2"/>
      <c r="EI36" s="2"/>
      <c r="EK36" s="53">
        <v>13.5</v>
      </c>
      <c r="FF36" s="5"/>
      <c r="FG36" s="5"/>
      <c r="FP36" s="2"/>
      <c r="FQ36" s="2"/>
      <c r="FS36" s="53">
        <v>13.5</v>
      </c>
      <c r="GN36" s="5"/>
      <c r="GO36" s="5"/>
      <c r="GX36" s="2"/>
      <c r="GY36" s="2"/>
      <c r="HA36" s="53">
        <v>13.5</v>
      </c>
      <c r="HV36" s="5"/>
      <c r="HW36" s="5"/>
      <c r="IF36" s="2"/>
      <c r="IG36" s="2"/>
      <c r="II36" s="53">
        <v>13.5</v>
      </c>
      <c r="JD36" s="5"/>
      <c r="JE36" s="5"/>
      <c r="JN36" s="2"/>
      <c r="JO36" s="2"/>
      <c r="JQ36" s="53">
        <v>13.5</v>
      </c>
      <c r="KL36" s="5"/>
      <c r="KM36" s="5"/>
      <c r="KV36" s="2"/>
      <c r="KW36" s="2"/>
      <c r="KY36" s="53">
        <v>13.5</v>
      </c>
      <c r="LT36" s="5"/>
      <c r="LU36" s="5"/>
      <c r="MD36" s="2"/>
      <c r="ME36" s="2"/>
      <c r="MG36" s="53">
        <v>13.5</v>
      </c>
      <c r="NB36" s="5"/>
      <c r="NC36" s="5"/>
      <c r="NL36" s="2"/>
      <c r="NM36" s="2"/>
      <c r="NO36" s="53">
        <v>13.5</v>
      </c>
      <c r="OJ36" s="5"/>
      <c r="OK36" s="5"/>
      <c r="OT36" s="2"/>
      <c r="OU36" s="2"/>
      <c r="OW36" s="53">
        <v>13.5</v>
      </c>
      <c r="PR36" s="5"/>
      <c r="PS36" s="5"/>
      <c r="QB36" s="2"/>
      <c r="QC36" s="2"/>
      <c r="QE36" s="53">
        <v>13.5</v>
      </c>
      <c r="QZ36" s="5"/>
      <c r="RA36" s="5"/>
      <c r="RJ36" s="2"/>
      <c r="RK36" s="2"/>
      <c r="RM36" s="53">
        <v>13.5</v>
      </c>
      <c r="SH36" s="5"/>
      <c r="SI36" s="5"/>
      <c r="SR36" s="2"/>
      <c r="SS36" s="2"/>
      <c r="SU36" s="53">
        <v>13.5</v>
      </c>
    </row>
    <row r="37" spans="1:542" hidden="1" x14ac:dyDescent="0.2">
      <c r="C37" s="30" t="s">
        <v>43</v>
      </c>
      <c r="D37" s="5"/>
      <c r="X37" s="2"/>
      <c r="AR37" s="41"/>
      <c r="AS37" s="41"/>
      <c r="AT37" s="41"/>
      <c r="AV37" s="32"/>
      <c r="AW37" s="32"/>
      <c r="AY37" s="54">
        <v>1000</v>
      </c>
      <c r="BS37" s="41"/>
      <c r="BT37" s="41"/>
      <c r="BU37" s="41"/>
      <c r="BW37" s="32"/>
      <c r="BX37" s="32"/>
      <c r="BZ37" s="54">
        <v>1000</v>
      </c>
      <c r="CT37" s="41"/>
      <c r="CU37" s="41"/>
      <c r="CV37" s="41"/>
      <c r="CX37" s="32"/>
      <c r="CY37" s="32"/>
      <c r="DA37" s="54">
        <v>1000</v>
      </c>
      <c r="DX37" s="5"/>
      <c r="DY37" s="5"/>
      <c r="EH37" s="2"/>
      <c r="EI37" s="2"/>
      <c r="EK37" s="54">
        <v>1000</v>
      </c>
      <c r="FF37" s="5"/>
      <c r="FG37" s="5"/>
      <c r="FP37" s="2"/>
      <c r="FQ37" s="2"/>
      <c r="FS37" s="54">
        <v>1000</v>
      </c>
      <c r="GN37" s="5"/>
      <c r="GO37" s="5"/>
      <c r="GX37" s="2"/>
      <c r="GY37" s="2"/>
      <c r="HA37" s="54">
        <v>1000</v>
      </c>
      <c r="HV37" s="5"/>
      <c r="HW37" s="5"/>
      <c r="IF37" s="2"/>
      <c r="IG37" s="2"/>
      <c r="II37" s="54">
        <v>1000</v>
      </c>
      <c r="JD37" s="5"/>
      <c r="JE37" s="5"/>
      <c r="JN37" s="2"/>
      <c r="JO37" s="2"/>
      <c r="JQ37" s="54">
        <v>1000</v>
      </c>
      <c r="KL37" s="5"/>
      <c r="KM37" s="5"/>
      <c r="KV37" s="2"/>
      <c r="KW37" s="2"/>
      <c r="KY37" s="54">
        <v>1000</v>
      </c>
      <c r="LT37" s="5"/>
      <c r="LU37" s="5"/>
      <c r="MD37" s="2"/>
      <c r="ME37" s="2"/>
      <c r="MG37" s="54">
        <v>1000</v>
      </c>
      <c r="NB37" s="5"/>
      <c r="NC37" s="5"/>
      <c r="NL37" s="2"/>
      <c r="NM37" s="2"/>
      <c r="NO37" s="54">
        <v>1000</v>
      </c>
      <c r="OJ37" s="5"/>
      <c r="OK37" s="5"/>
      <c r="OT37" s="2"/>
      <c r="OU37" s="2"/>
      <c r="OW37" s="54">
        <v>1000</v>
      </c>
      <c r="PR37" s="5"/>
      <c r="PS37" s="5"/>
      <c r="QB37" s="2"/>
      <c r="QC37" s="2"/>
      <c r="QE37" s="54">
        <v>1000</v>
      </c>
      <c r="QZ37" s="5"/>
      <c r="RA37" s="5"/>
      <c r="RJ37" s="2"/>
      <c r="RK37" s="2"/>
      <c r="RM37" s="54">
        <v>1000</v>
      </c>
      <c r="SH37" s="5"/>
      <c r="SI37" s="5"/>
      <c r="SR37" s="2"/>
      <c r="SS37" s="2"/>
      <c r="SU37" s="54">
        <v>1000</v>
      </c>
    </row>
    <row r="38" spans="1:542" hidden="1" x14ac:dyDescent="0.2">
      <c r="A38" s="5"/>
      <c r="B38" s="5"/>
      <c r="C38" s="31" t="s">
        <v>55</v>
      </c>
      <c r="D38" s="5"/>
      <c r="F38" s="2"/>
      <c r="G38" s="66"/>
      <c r="AR38" s="41"/>
      <c r="AS38" s="41"/>
      <c r="AT38" s="41"/>
      <c r="AU38" s="32"/>
      <c r="AV38" s="32"/>
      <c r="AW38" s="32"/>
      <c r="AX38" s="32"/>
      <c r="AY38" s="55">
        <v>1000</v>
      </c>
      <c r="BS38" s="41"/>
      <c r="BT38" s="41"/>
      <c r="BU38" s="41"/>
      <c r="BW38" s="32"/>
      <c r="BX38" s="32"/>
      <c r="BZ38" s="55">
        <v>1000</v>
      </c>
      <c r="CT38" s="41"/>
      <c r="CU38" s="41"/>
      <c r="CV38" s="41"/>
      <c r="CW38" s="32"/>
      <c r="CX38" s="32"/>
      <c r="CY38" s="32"/>
      <c r="CZ38" s="32"/>
      <c r="DA38" s="55">
        <v>1000</v>
      </c>
      <c r="DX38" s="5"/>
      <c r="DY38" s="5"/>
      <c r="EH38" s="2"/>
      <c r="EI38" s="2"/>
      <c r="EK38" s="55">
        <v>1000</v>
      </c>
      <c r="FF38" s="5"/>
      <c r="FG38" s="5"/>
      <c r="FP38" s="2"/>
      <c r="FQ38" s="2"/>
      <c r="FS38" s="55">
        <v>1000</v>
      </c>
      <c r="GN38" s="5"/>
      <c r="GO38" s="5"/>
      <c r="GX38" s="2"/>
      <c r="GY38" s="2"/>
      <c r="HA38" s="55">
        <v>1000</v>
      </c>
      <c r="HV38" s="5"/>
      <c r="HW38" s="5"/>
      <c r="IF38" s="2"/>
      <c r="IG38" s="2"/>
      <c r="II38" s="55">
        <v>1000</v>
      </c>
      <c r="JD38" s="5"/>
      <c r="JE38" s="5"/>
      <c r="JN38" s="2"/>
      <c r="JO38" s="2"/>
      <c r="JQ38" s="55">
        <v>1000</v>
      </c>
      <c r="KL38" s="5"/>
      <c r="KM38" s="5"/>
      <c r="KV38" s="2"/>
      <c r="KW38" s="2"/>
      <c r="KY38" s="55">
        <v>1000</v>
      </c>
      <c r="LT38" s="5"/>
      <c r="LU38" s="5"/>
      <c r="MD38" s="2"/>
      <c r="ME38" s="2"/>
      <c r="MG38" s="55">
        <v>1000</v>
      </c>
      <c r="NB38" s="5"/>
      <c r="NC38" s="5"/>
      <c r="NL38" s="2"/>
      <c r="NM38" s="2"/>
      <c r="NO38" s="55">
        <v>1000</v>
      </c>
      <c r="OJ38" s="5"/>
      <c r="OK38" s="5"/>
      <c r="OT38" s="2"/>
      <c r="OU38" s="2"/>
      <c r="OW38" s="55">
        <v>1000</v>
      </c>
      <c r="PR38" s="5"/>
      <c r="PS38" s="5"/>
      <c r="QB38" s="2"/>
      <c r="QC38" s="2"/>
      <c r="QE38" s="55">
        <v>1000</v>
      </c>
      <c r="QZ38" s="5"/>
      <c r="RA38" s="5"/>
      <c r="RJ38" s="2"/>
      <c r="RK38" s="2"/>
      <c r="RM38" s="55">
        <v>1000</v>
      </c>
      <c r="SH38" s="5"/>
      <c r="SI38" s="5"/>
      <c r="SR38" s="2"/>
      <c r="SS38" s="2"/>
      <c r="SU38" s="55">
        <v>1000</v>
      </c>
    </row>
    <row r="39" spans="1:542" hidden="1" x14ac:dyDescent="0.2">
      <c r="A39" s="5"/>
      <c r="B39" s="5"/>
      <c r="C39" s="35" t="s">
        <v>62</v>
      </c>
      <c r="D39" s="5"/>
      <c r="F39" s="2"/>
      <c r="G39" s="66"/>
      <c r="AR39" s="41"/>
      <c r="AS39" s="41"/>
      <c r="AT39" s="41"/>
      <c r="AU39" s="32"/>
      <c r="AV39" s="32"/>
      <c r="AW39" s="32"/>
      <c r="AX39" s="32"/>
      <c r="AY39" s="56">
        <v>1000</v>
      </c>
      <c r="BS39" s="41"/>
      <c r="BT39" s="41"/>
      <c r="BU39" s="41"/>
      <c r="BW39" s="32"/>
      <c r="BX39" s="32"/>
      <c r="BZ39" s="56">
        <v>1000</v>
      </c>
      <c r="CT39" s="41"/>
      <c r="CU39" s="41"/>
      <c r="CV39" s="41"/>
      <c r="CW39" s="32"/>
      <c r="CX39" s="32"/>
      <c r="CY39" s="32"/>
      <c r="CZ39" s="32"/>
      <c r="DA39" s="56">
        <v>1000</v>
      </c>
      <c r="DX39" s="5"/>
      <c r="DY39" s="5"/>
      <c r="EH39" s="2"/>
      <c r="EI39" s="2"/>
      <c r="EK39" s="56">
        <v>1000</v>
      </c>
      <c r="FF39" s="5"/>
      <c r="FG39" s="5"/>
      <c r="FP39" s="2"/>
      <c r="FQ39" s="2"/>
      <c r="FS39" s="56">
        <v>1000</v>
      </c>
      <c r="GN39" s="5"/>
      <c r="GO39" s="5"/>
      <c r="GX39" s="2"/>
      <c r="GY39" s="2"/>
      <c r="HA39" s="56">
        <v>1000</v>
      </c>
      <c r="HV39" s="5"/>
      <c r="HW39" s="5"/>
      <c r="IF39" s="2"/>
      <c r="IG39" s="2"/>
      <c r="II39" s="56">
        <v>1000</v>
      </c>
      <c r="JD39" s="5"/>
      <c r="JE39" s="5"/>
      <c r="JN39" s="2"/>
      <c r="JO39" s="2"/>
      <c r="JQ39" s="56">
        <v>1000</v>
      </c>
      <c r="KL39" s="5"/>
      <c r="KM39" s="5"/>
      <c r="KV39" s="2"/>
      <c r="KW39" s="2"/>
      <c r="KY39" s="56">
        <v>1000</v>
      </c>
      <c r="LT39" s="5"/>
      <c r="LU39" s="5"/>
      <c r="MD39" s="2"/>
      <c r="ME39" s="2"/>
      <c r="MG39" s="56">
        <v>1000</v>
      </c>
      <c r="NB39" s="5"/>
      <c r="NC39" s="5"/>
      <c r="NL39" s="2"/>
      <c r="NM39" s="2"/>
      <c r="NO39" s="56">
        <v>1000</v>
      </c>
      <c r="OJ39" s="5"/>
      <c r="OK39" s="5"/>
      <c r="OT39" s="2"/>
      <c r="OU39" s="2"/>
      <c r="OW39" s="56">
        <v>1000</v>
      </c>
      <c r="PR39" s="5"/>
      <c r="PS39" s="5"/>
      <c r="QB39" s="2"/>
      <c r="QC39" s="2"/>
      <c r="QE39" s="56">
        <v>1000</v>
      </c>
      <c r="QZ39" s="5"/>
      <c r="RA39" s="5"/>
      <c r="RJ39" s="2"/>
      <c r="RK39" s="2"/>
      <c r="RM39" s="56">
        <v>1000</v>
      </c>
      <c r="SH39" s="5"/>
      <c r="SI39" s="5"/>
      <c r="SR39" s="2"/>
      <c r="SS39" s="2"/>
      <c r="SU39" s="56">
        <v>1000</v>
      </c>
    </row>
    <row r="40" spans="1:542" x14ac:dyDescent="0.2">
      <c r="A40" s="5"/>
      <c r="B40" s="5"/>
      <c r="C40" s="34" t="s">
        <v>41</v>
      </c>
      <c r="D40" s="5"/>
      <c r="AR40" s="41"/>
      <c r="AS40" s="41"/>
      <c r="AT40" s="41"/>
      <c r="AU40" s="32"/>
      <c r="AV40" s="32"/>
      <c r="AW40" s="32"/>
      <c r="AX40" s="32"/>
      <c r="AY40" s="57">
        <v>52.8</v>
      </c>
      <c r="BS40" s="41"/>
      <c r="BT40" s="41"/>
      <c r="BU40" s="41"/>
      <c r="BW40" s="32"/>
      <c r="BX40" s="32"/>
      <c r="BZ40" s="57">
        <v>52.8</v>
      </c>
      <c r="CT40" s="41"/>
      <c r="CU40" s="41"/>
      <c r="CV40" s="41"/>
      <c r="CW40" s="32"/>
      <c r="CX40" s="32"/>
      <c r="CY40" s="32"/>
      <c r="CZ40" s="32"/>
      <c r="DA40" s="57">
        <v>52.8</v>
      </c>
      <c r="DX40" s="5"/>
      <c r="DY40" s="5"/>
      <c r="EH40" s="2"/>
      <c r="EI40" s="2"/>
      <c r="EK40" s="57">
        <v>52.8</v>
      </c>
      <c r="FF40" s="5"/>
      <c r="FG40" s="5"/>
      <c r="FP40" s="2"/>
      <c r="FQ40" s="2"/>
      <c r="FS40" s="57">
        <v>52.8</v>
      </c>
      <c r="GN40" s="5"/>
      <c r="GO40" s="5"/>
      <c r="GX40" s="2"/>
      <c r="GY40" s="2"/>
      <c r="HA40" s="57">
        <v>52.8</v>
      </c>
      <c r="HV40" s="5"/>
      <c r="HW40" s="5"/>
      <c r="IF40" s="2"/>
      <c r="IG40" s="2"/>
      <c r="II40" s="57">
        <v>52.8</v>
      </c>
      <c r="JD40" s="5"/>
      <c r="JE40" s="5"/>
      <c r="JN40" s="2"/>
      <c r="JO40" s="2"/>
      <c r="JQ40" s="57">
        <v>52.8</v>
      </c>
      <c r="KL40" s="5"/>
      <c r="KM40" s="5"/>
      <c r="KV40" s="2"/>
      <c r="KW40" s="2"/>
      <c r="KY40" s="57">
        <v>52.8</v>
      </c>
      <c r="LT40" s="5"/>
      <c r="LU40" s="5"/>
      <c r="MD40" s="2"/>
      <c r="ME40" s="2"/>
      <c r="MG40" s="57">
        <v>52.8</v>
      </c>
      <c r="NB40" s="5"/>
      <c r="NC40" s="5"/>
      <c r="NL40" s="2"/>
      <c r="NM40" s="2"/>
      <c r="NO40" s="57">
        <v>52.8</v>
      </c>
      <c r="OJ40" s="5"/>
      <c r="OK40" s="5"/>
      <c r="OT40" s="2"/>
      <c r="OU40" s="2"/>
      <c r="OW40" s="57">
        <v>52.8</v>
      </c>
      <c r="PR40" s="5"/>
      <c r="PS40" s="5"/>
      <c r="QB40" s="2"/>
      <c r="QC40" s="2"/>
      <c r="QE40" s="57">
        <v>52.8</v>
      </c>
      <c r="QZ40" s="5"/>
      <c r="RA40" s="5"/>
      <c r="RJ40" s="2"/>
      <c r="RK40" s="2"/>
      <c r="RM40" s="57">
        <v>52.8</v>
      </c>
      <c r="SH40" s="5"/>
      <c r="SI40" s="5"/>
      <c r="SR40" s="2"/>
      <c r="SS40" s="2"/>
      <c r="SU40" s="57">
        <v>52.8</v>
      </c>
    </row>
    <row r="41" spans="1:542" hidden="1" x14ac:dyDescent="0.2">
      <c r="A41" s="5"/>
      <c r="B41" s="5"/>
      <c r="C41" s="24" t="s">
        <v>42</v>
      </c>
      <c r="D41" s="5"/>
      <c r="AR41" s="41"/>
      <c r="AS41" s="41"/>
      <c r="AT41" s="41"/>
      <c r="AU41" s="32"/>
      <c r="AV41" s="32"/>
      <c r="AW41" s="32"/>
      <c r="AX41" s="32"/>
      <c r="AY41" s="58">
        <v>1000</v>
      </c>
      <c r="BS41" s="41"/>
      <c r="BT41" s="41"/>
      <c r="BU41" s="41"/>
      <c r="BW41" s="32"/>
      <c r="BX41" s="32"/>
      <c r="BZ41" s="58">
        <v>1000</v>
      </c>
      <c r="CT41" s="41"/>
      <c r="CU41" s="41"/>
      <c r="CV41" s="41"/>
      <c r="CW41" s="32"/>
      <c r="CX41" s="32"/>
      <c r="CY41" s="32"/>
      <c r="CZ41" s="32"/>
      <c r="DA41" s="58">
        <v>1000</v>
      </c>
      <c r="DX41" s="5"/>
      <c r="DY41" s="5"/>
      <c r="EH41" s="2"/>
      <c r="EI41" s="2"/>
      <c r="EK41" s="58">
        <v>1000</v>
      </c>
      <c r="FF41" s="5"/>
      <c r="FG41" s="5"/>
      <c r="FP41" s="2"/>
      <c r="FQ41" s="2"/>
      <c r="FS41" s="58">
        <v>1000</v>
      </c>
      <c r="GN41" s="5"/>
      <c r="GO41" s="5"/>
      <c r="GX41" s="2"/>
      <c r="GY41" s="2"/>
      <c r="HA41" s="58">
        <v>1000</v>
      </c>
      <c r="HV41" s="5"/>
      <c r="HW41" s="5"/>
      <c r="IF41" s="2"/>
      <c r="IG41" s="2"/>
      <c r="II41" s="58">
        <v>1000</v>
      </c>
      <c r="JD41" s="5"/>
      <c r="JE41" s="5"/>
      <c r="JN41" s="2"/>
      <c r="JO41" s="2"/>
      <c r="JQ41" s="58">
        <v>1000</v>
      </c>
      <c r="KL41" s="5"/>
      <c r="KM41" s="5"/>
      <c r="KV41" s="2"/>
      <c r="KW41" s="2"/>
      <c r="KY41" s="58">
        <v>1000</v>
      </c>
      <c r="LT41" s="5"/>
      <c r="LU41" s="5"/>
      <c r="MD41" s="2"/>
      <c r="ME41" s="2"/>
      <c r="MG41" s="58">
        <v>1000</v>
      </c>
      <c r="NB41" s="5"/>
      <c r="NC41" s="5"/>
      <c r="NL41" s="2"/>
      <c r="NM41" s="2"/>
      <c r="NO41" s="58">
        <v>1000</v>
      </c>
      <c r="OJ41" s="5"/>
      <c r="OK41" s="5"/>
      <c r="OT41" s="2"/>
      <c r="OU41" s="2"/>
      <c r="OW41" s="58">
        <v>1000</v>
      </c>
      <c r="PR41" s="5"/>
      <c r="PS41" s="5"/>
      <c r="QB41" s="2"/>
      <c r="QC41" s="2"/>
      <c r="QE41" s="58">
        <v>1000</v>
      </c>
      <c r="QZ41" s="5"/>
      <c r="RA41" s="5"/>
      <c r="RJ41" s="2"/>
      <c r="RK41" s="2"/>
      <c r="RM41" s="58">
        <v>1000</v>
      </c>
      <c r="SH41" s="5"/>
      <c r="SI41" s="5"/>
      <c r="SR41" s="2"/>
      <c r="SS41" s="2"/>
      <c r="SU41" s="58">
        <v>1000</v>
      </c>
    </row>
    <row r="42" spans="1:542" hidden="1" x14ac:dyDescent="0.2">
      <c r="A42" s="5"/>
      <c r="B42" s="5"/>
      <c r="C42" s="33" t="s">
        <v>54</v>
      </c>
      <c r="D42" s="5"/>
      <c r="AR42" s="41"/>
      <c r="AS42" s="41"/>
      <c r="AT42" s="41"/>
      <c r="AU42" s="32"/>
      <c r="AV42" s="32"/>
      <c r="AW42" s="32"/>
      <c r="AX42" s="32"/>
      <c r="AY42" s="59">
        <v>1000</v>
      </c>
      <c r="BS42" s="41"/>
      <c r="BT42" s="41"/>
      <c r="BU42" s="41"/>
      <c r="BW42" s="32"/>
      <c r="BX42" s="32"/>
      <c r="BZ42" s="59">
        <v>1000</v>
      </c>
      <c r="CT42" s="41"/>
      <c r="CU42" s="41"/>
      <c r="CV42" s="41"/>
      <c r="CW42" s="32"/>
      <c r="CX42" s="32"/>
      <c r="CY42" s="32"/>
      <c r="CZ42" s="32"/>
      <c r="DA42" s="59">
        <v>1000</v>
      </c>
      <c r="DX42" s="5"/>
      <c r="DY42" s="5"/>
      <c r="EH42" s="2"/>
      <c r="EI42" s="2"/>
      <c r="EJ42" s="37"/>
      <c r="EK42" s="59">
        <v>1000</v>
      </c>
      <c r="FF42" s="5"/>
      <c r="FG42" s="5"/>
      <c r="FP42" s="2"/>
      <c r="FQ42" s="2"/>
      <c r="FR42" s="37"/>
      <c r="FS42" s="59">
        <v>1000</v>
      </c>
      <c r="GN42" s="5"/>
      <c r="GO42" s="5"/>
      <c r="GX42" s="2"/>
      <c r="GY42" s="2"/>
      <c r="GZ42" s="37"/>
      <c r="HA42" s="59">
        <v>1000</v>
      </c>
      <c r="HV42" s="5"/>
      <c r="HW42" s="5"/>
      <c r="IF42" s="2"/>
      <c r="IG42" s="2"/>
      <c r="IH42" s="37"/>
      <c r="II42" s="59">
        <v>1000</v>
      </c>
      <c r="JD42" s="5"/>
      <c r="JE42" s="5"/>
      <c r="JN42" s="2"/>
      <c r="JO42" s="2"/>
      <c r="JP42" s="37"/>
      <c r="JQ42" s="59">
        <v>1000</v>
      </c>
      <c r="KL42" s="5"/>
      <c r="KM42" s="5"/>
      <c r="KV42" s="2"/>
      <c r="KW42" s="2"/>
      <c r="KX42" s="37"/>
      <c r="KY42" s="59">
        <v>1000</v>
      </c>
      <c r="LT42" s="5"/>
      <c r="LU42" s="5"/>
      <c r="MD42" s="2"/>
      <c r="ME42" s="2"/>
      <c r="MF42" s="37"/>
      <c r="MG42" s="59">
        <v>1000</v>
      </c>
      <c r="NB42" s="5"/>
      <c r="NC42" s="5"/>
      <c r="NL42" s="2"/>
      <c r="NM42" s="2"/>
      <c r="NN42" s="37"/>
      <c r="NO42" s="59">
        <v>1000</v>
      </c>
      <c r="OJ42" s="5"/>
      <c r="OK42" s="5"/>
      <c r="OT42" s="2"/>
      <c r="OU42" s="2"/>
      <c r="OV42" s="37"/>
      <c r="OW42" s="59">
        <v>1000</v>
      </c>
      <c r="PR42" s="5"/>
      <c r="PS42" s="5"/>
      <c r="QB42" s="2"/>
      <c r="QC42" s="2"/>
      <c r="QD42" s="37"/>
      <c r="QE42" s="59">
        <v>1000</v>
      </c>
      <c r="QZ42" s="5"/>
      <c r="RA42" s="5"/>
      <c r="RJ42" s="2"/>
      <c r="RK42" s="2"/>
      <c r="RL42" s="37"/>
      <c r="RM42" s="59">
        <v>1000</v>
      </c>
      <c r="SH42" s="5"/>
      <c r="SI42" s="5"/>
      <c r="SR42" s="2"/>
      <c r="SS42" s="2"/>
      <c r="ST42" s="37"/>
      <c r="SU42" s="59">
        <v>1000</v>
      </c>
    </row>
    <row r="43" spans="1:542" hidden="1" x14ac:dyDescent="0.2">
      <c r="A43" s="5"/>
      <c r="B43" s="5"/>
      <c r="C43" s="25" t="s">
        <v>27</v>
      </c>
      <c r="D43" s="5"/>
      <c r="AR43" s="41"/>
      <c r="AS43" s="41"/>
      <c r="AT43" s="41"/>
      <c r="AU43" s="32"/>
      <c r="AV43" s="41"/>
      <c r="AW43" s="41"/>
      <c r="AX43" s="32"/>
      <c r="AY43" s="60">
        <v>1000</v>
      </c>
      <c r="BS43" s="41"/>
      <c r="BT43" s="41"/>
      <c r="BU43" s="41"/>
      <c r="BW43" s="41"/>
      <c r="BX43" s="32"/>
      <c r="BZ43" s="60">
        <v>1000</v>
      </c>
      <c r="CT43" s="41"/>
      <c r="CU43" s="41"/>
      <c r="CV43" s="41"/>
      <c r="CW43" s="32"/>
      <c r="CX43" s="41"/>
      <c r="CY43" s="32"/>
      <c r="CZ43" s="32"/>
      <c r="DA43" s="60">
        <v>1000</v>
      </c>
      <c r="DX43" s="5"/>
      <c r="DY43" s="5"/>
      <c r="EH43" s="41"/>
      <c r="EI43" s="2"/>
      <c r="EK43" s="60">
        <v>1000</v>
      </c>
      <c r="FF43" s="5"/>
      <c r="FG43" s="5"/>
      <c r="FP43" s="41"/>
      <c r="FQ43" s="2"/>
      <c r="FS43" s="60">
        <v>1000</v>
      </c>
      <c r="GN43" s="5"/>
      <c r="GO43" s="5"/>
      <c r="GX43" s="2"/>
      <c r="GY43" s="2"/>
      <c r="HA43" s="60">
        <v>1000</v>
      </c>
      <c r="HV43" s="5"/>
      <c r="HW43" s="5"/>
      <c r="IF43" s="41"/>
      <c r="IG43" s="2"/>
      <c r="II43" s="60">
        <v>1000</v>
      </c>
      <c r="JD43" s="5"/>
      <c r="JE43" s="5"/>
      <c r="JN43" s="2"/>
      <c r="JO43" s="2"/>
      <c r="JQ43" s="60">
        <v>1000</v>
      </c>
      <c r="KL43" s="5"/>
      <c r="KM43" s="5"/>
      <c r="KV43" s="2"/>
      <c r="KW43" s="2"/>
      <c r="KY43" s="60">
        <v>1000</v>
      </c>
      <c r="LT43" s="5"/>
      <c r="LU43" s="5"/>
      <c r="MD43" s="2"/>
      <c r="ME43" s="2"/>
      <c r="MG43" s="60">
        <v>1000</v>
      </c>
      <c r="NB43" s="5"/>
      <c r="NC43" s="5"/>
      <c r="NL43" s="2"/>
      <c r="NM43" s="2"/>
      <c r="NO43" s="60">
        <v>1000</v>
      </c>
      <c r="OJ43" s="5"/>
      <c r="OK43" s="5"/>
      <c r="OT43" s="2"/>
      <c r="OU43" s="2"/>
      <c r="OW43" s="60">
        <v>1000</v>
      </c>
      <c r="PR43" s="5"/>
      <c r="PS43" s="5"/>
      <c r="QB43" s="2"/>
      <c r="QC43" s="2"/>
      <c r="QE43" s="60">
        <v>1000</v>
      </c>
      <c r="QZ43" s="5"/>
      <c r="RA43" s="5"/>
      <c r="RJ43" s="2"/>
      <c r="RK43" s="2"/>
      <c r="RM43" s="60">
        <v>1000</v>
      </c>
      <c r="SH43" s="5"/>
      <c r="SI43" s="5"/>
      <c r="SR43" s="2"/>
      <c r="SS43" s="2"/>
      <c r="SU43" s="60">
        <v>1000</v>
      </c>
    </row>
    <row r="44" spans="1:542" x14ac:dyDescent="0.2">
      <c r="C44" s="29" t="s">
        <v>47</v>
      </c>
      <c r="D44" s="2"/>
      <c r="AU44" s="32"/>
      <c r="AX44" s="32"/>
      <c r="CW44" s="32"/>
      <c r="CZ44" s="32"/>
    </row>
    <row r="45" spans="1:542" x14ac:dyDescent="0.2">
      <c r="A45" s="5"/>
      <c r="B45" s="5"/>
      <c r="C45" s="5"/>
      <c r="D45" s="20"/>
      <c r="AQ45" s="32"/>
      <c r="AR45" s="32"/>
      <c r="AS45" s="32"/>
      <c r="AT45" s="32"/>
      <c r="AU45" s="32"/>
      <c r="AX45" s="32"/>
      <c r="CS45" s="32"/>
      <c r="CT45" s="32"/>
      <c r="CU45" s="32"/>
      <c r="CV45" s="32"/>
      <c r="CW45" s="32"/>
      <c r="CZ45" s="32"/>
    </row>
    <row r="46" spans="1:542" ht="17" x14ac:dyDescent="0.2">
      <c r="A46" s="5"/>
      <c r="B46" s="5"/>
      <c r="C46" s="5"/>
      <c r="D46" s="20"/>
      <c r="V46" s="10"/>
      <c r="W46" s="10"/>
      <c r="AQ46" s="32"/>
      <c r="AR46" s="32"/>
      <c r="AS46" s="32"/>
      <c r="AT46" s="32"/>
      <c r="AU46" s="32"/>
      <c r="AX46" s="32"/>
      <c r="CS46" s="32"/>
      <c r="CT46" s="32"/>
      <c r="CU46" s="32"/>
      <c r="CV46" s="32"/>
      <c r="CW46" s="32"/>
      <c r="CZ46" s="32"/>
    </row>
    <row r="47" spans="1:542" ht="17" x14ac:dyDescent="0.2">
      <c r="A47" s="5"/>
      <c r="B47" s="5"/>
      <c r="C47" s="5"/>
      <c r="D47" s="20"/>
      <c r="V47" s="10"/>
      <c r="AQ47" s="32"/>
      <c r="AR47" s="32"/>
      <c r="AS47" s="32"/>
      <c r="AT47" s="32"/>
      <c r="AU47" s="32"/>
      <c r="AX47" s="32"/>
      <c r="CS47" s="32"/>
      <c r="CT47" s="32"/>
      <c r="CU47" s="32"/>
      <c r="CV47" s="32"/>
      <c r="CW47" s="32"/>
      <c r="CZ47" s="32"/>
    </row>
    <row r="48" spans="1:542" ht="17" x14ac:dyDescent="0.2">
      <c r="V48" s="10"/>
      <c r="W48" s="10"/>
      <c r="AQ48" s="32"/>
      <c r="AR48" s="32"/>
      <c r="AS48" s="32"/>
      <c r="AT48" s="32"/>
      <c r="AU48" s="32"/>
      <c r="AX48" s="32"/>
      <c r="CS48" s="32"/>
      <c r="CT48" s="32"/>
      <c r="CU48" s="32"/>
      <c r="CV48" s="32"/>
      <c r="CW48" s="32"/>
      <c r="CZ48" s="32"/>
    </row>
    <row r="49" spans="22:104" ht="17" x14ac:dyDescent="0.2">
      <c r="V49" s="10"/>
      <c r="W49" s="10"/>
      <c r="AQ49" s="32"/>
      <c r="AR49" s="32"/>
      <c r="AS49" s="32"/>
      <c r="AT49" s="32"/>
      <c r="AU49" s="32"/>
      <c r="AX49" s="32"/>
      <c r="CS49" s="32"/>
      <c r="CT49" s="32"/>
      <c r="CU49" s="32"/>
      <c r="CV49" s="32"/>
      <c r="CW49" s="32"/>
      <c r="CZ49" s="32"/>
    </row>
    <row r="50" spans="22:104" ht="17" x14ac:dyDescent="0.2">
      <c r="V50" s="10"/>
      <c r="W50" s="10"/>
      <c r="AQ50" s="32"/>
      <c r="AR50" s="32"/>
      <c r="AS50" s="32"/>
      <c r="AT50" s="32"/>
      <c r="AU50" s="32"/>
      <c r="AX50" s="32"/>
      <c r="CS50" s="32"/>
      <c r="CT50" s="32"/>
      <c r="CU50" s="32"/>
      <c r="CV50" s="32"/>
      <c r="CW50" s="32"/>
      <c r="CZ50" s="32"/>
    </row>
    <row r="51" spans="22:104" ht="17" x14ac:dyDescent="0.2">
      <c r="V51" s="10"/>
      <c r="W51" s="10"/>
      <c r="X51" s="10"/>
    </row>
    <row r="52" spans="22:104" ht="17" x14ac:dyDescent="0.2">
      <c r="V52" s="10"/>
      <c r="W52" s="10"/>
      <c r="X52" s="10"/>
    </row>
    <row r="53" spans="22:104" ht="17" x14ac:dyDescent="0.2">
      <c r="V53" s="10"/>
      <c r="W53" s="10"/>
      <c r="X53" s="10"/>
    </row>
    <row r="54" spans="22:104" ht="17" x14ac:dyDescent="0.2">
      <c r="V54" s="10"/>
      <c r="W54" s="10"/>
      <c r="X54" s="10"/>
    </row>
    <row r="55" spans="22:104" ht="17" x14ac:dyDescent="0.2">
      <c r="V55" s="10"/>
      <c r="W55" s="10"/>
      <c r="X55" s="10"/>
    </row>
    <row r="56" spans="22:104" ht="17" x14ac:dyDescent="0.2">
      <c r="V56" s="10"/>
      <c r="W56" s="10"/>
      <c r="X56" s="10"/>
    </row>
    <row r="57" spans="22:104" ht="17" x14ac:dyDescent="0.2">
      <c r="V57" s="10"/>
      <c r="W57" s="10"/>
      <c r="X57" s="10"/>
    </row>
    <row r="58" spans="22:104" ht="17" x14ac:dyDescent="0.2">
      <c r="V58" s="10"/>
      <c r="W58" s="10"/>
      <c r="X58" s="10"/>
    </row>
    <row r="59" spans="22:104" ht="17" x14ac:dyDescent="0.2">
      <c r="V59" s="10"/>
      <c r="W59" s="10"/>
      <c r="X59" s="10"/>
    </row>
    <row r="60" spans="22:104" ht="17" x14ac:dyDescent="0.2">
      <c r="V60" s="10"/>
      <c r="W60" s="10"/>
      <c r="X60" s="10"/>
    </row>
    <row r="61" spans="22:104" ht="17" x14ac:dyDescent="0.2">
      <c r="V61" s="10"/>
      <c r="W61" s="10"/>
      <c r="X61" s="10"/>
    </row>
    <row r="62" spans="22:104" ht="17" x14ac:dyDescent="0.2">
      <c r="V62" s="10"/>
      <c r="W62" s="10"/>
      <c r="X62" s="10"/>
    </row>
    <row r="63" spans="22:104" ht="17" x14ac:dyDescent="0.2">
      <c r="V63" s="10"/>
      <c r="W63" s="10"/>
      <c r="X63" s="10"/>
    </row>
    <row r="64" spans="22:104" ht="17" x14ac:dyDescent="0.2">
      <c r="V64" s="10"/>
      <c r="W64" s="10"/>
      <c r="X64" s="10"/>
    </row>
    <row r="65" spans="22:24" ht="17" x14ac:dyDescent="0.2">
      <c r="V65" s="10"/>
      <c r="W65" s="10"/>
      <c r="X65" s="10"/>
    </row>
  </sheetData>
  <sheetProtection sheet="1" formatCells="0" formatColumns="0" formatRows="0"/>
  <autoFilter ref="A1:TV29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3">
      <sortCondition descending="1" ref="H1:H34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5" priority="229" operator="containsText" text="No DD">
      <formula>NOT(ISERROR(SEARCH("No DD",J1)))</formula>
    </cfRule>
    <cfRule type="containsText" dxfId="434" priority="230" operator="containsText" text="Merit">
      <formula>NOT(ISERROR(SEARCH("Merit",J1)))</formula>
    </cfRule>
    <cfRule type="containsText" dxfId="433" priority="231" operator="containsText" text="Excellence">
      <formula>NOT(ISERROR(SEARCH("Excellence",J1)))</formula>
    </cfRule>
    <cfRule type="containsText" dxfId="432" priority="232" operator="containsText" text="Worlds Team">
      <formula>NOT(ISERROR(SEARCH("Worlds Team",J1)))</formula>
    </cfRule>
    <cfRule type="containsText" dxfId="431" priority="233" operator="containsText" text="National Team">
      <formula>NOT(ISERROR(SEARCH("National Team",J1)))</formula>
    </cfRule>
  </conditionalFormatting>
  <conditionalFormatting sqref="Y4:AY33">
    <cfRule type="expression" dxfId="430" priority="51275" stopIfTrue="1">
      <formula>IF($AN4&lt;&gt;"",1,0)</formula>
    </cfRule>
  </conditionalFormatting>
  <conditionalFormatting sqref="AZ4:BZ33">
    <cfRule type="expression" dxfId="429" priority="210" stopIfTrue="1">
      <formula>IF($BO4&lt;&gt;"",1,0)</formula>
    </cfRule>
  </conditionalFormatting>
  <conditionalFormatting sqref="CA4:DA33">
    <cfRule type="expression" dxfId="428" priority="206" stopIfTrue="1">
      <formula>IF($CP4&lt;&gt;"",1,0)</formula>
    </cfRule>
  </conditionalFormatting>
  <conditionalFormatting sqref="BW44:BW1048576 BP1:BP1048576 BS1:BS1048576 BW1:BW42">
    <cfRule type="cellIs" dxfId="427" priority="52632" operator="between">
      <formula>$BZ$39</formula>
      <formula>1000</formula>
    </cfRule>
    <cfRule type="cellIs" dxfId="426" priority="52633" operator="between">
      <formula>$BZ$38</formula>
      <formula>$BZ$39</formula>
    </cfRule>
    <cfRule type="cellIs" dxfId="425" priority="52634" operator="between">
      <formula>$BZ$37</formula>
      <formula>$BZ$38</formula>
    </cfRule>
    <cfRule type="cellIs" dxfId="424" priority="52635" operator="between">
      <formula>$BZ$36</formula>
      <formula>$BZ$37</formula>
    </cfRule>
  </conditionalFormatting>
  <conditionalFormatting sqref="CX44:CX1048576 CQ1:CQ1048576 CT1:CT1048576 CX1:CX42">
    <cfRule type="cellIs" dxfId="423" priority="51509" operator="between">
      <formula>$DA$39</formula>
      <formula>1000</formula>
    </cfRule>
    <cfRule type="cellIs" dxfId="422" priority="51510" operator="between">
      <formula>$DA$38</formula>
      <formula>$DA$39</formula>
    </cfRule>
    <cfRule type="cellIs" dxfId="421" priority="51511" operator="between">
      <formula>$DA$37</formula>
      <formula>$DA$38</formula>
    </cfRule>
    <cfRule type="cellIs" dxfId="420" priority="51512" operator="between">
      <formula>$DA$36</formula>
      <formula>$DA$37</formula>
    </cfRule>
  </conditionalFormatting>
  <conditionalFormatting sqref="EH44:EH1048576 DX1:DX1048576 EA1:EA1048576 EE1:EE1048576 EH1:EH42">
    <cfRule type="cellIs" dxfId="419" priority="52660" operator="between">
      <formula>$EK$39</formula>
      <formula>1000</formula>
    </cfRule>
    <cfRule type="cellIs" dxfId="418" priority="52661" operator="between">
      <formula>$EK$38</formula>
      <formula>$EK$39</formula>
    </cfRule>
    <cfRule type="cellIs" dxfId="417" priority="52662" operator="between">
      <formula>$EK$37</formula>
      <formula>$EK$38</formula>
    </cfRule>
    <cfRule type="cellIs" dxfId="416" priority="52663" operator="between">
      <formula>$EK$36</formula>
      <formula>$EK$37</formula>
    </cfRule>
  </conditionalFormatting>
  <conditionalFormatting sqref="FP44:FP1048576 FF1:FF1048576 FI1:FI1048576 FM1:FM1048576 FP1:FP42">
    <cfRule type="cellIs" dxfId="415" priority="190" operator="between">
      <formula>$FS$39</formula>
      <formula>1000</formula>
    </cfRule>
    <cfRule type="cellIs" dxfId="414" priority="191" operator="between">
      <formula>$FS$38</formula>
      <formula>$FS$39</formula>
    </cfRule>
    <cfRule type="cellIs" dxfId="413" priority="192" operator="between">
      <formula>$FS$37</formula>
      <formula>$FS$38</formula>
    </cfRule>
    <cfRule type="cellIs" dxfId="412" priority="193" operator="between">
      <formula>$FS$36</formula>
      <formula>$FS$37</formula>
    </cfRule>
  </conditionalFormatting>
  <conditionalFormatting sqref="IF44:IF1048576 HV1:HV1048576 HY1:HY1048576 IC1:IC1048576 IF1:IF42">
    <cfRule type="cellIs" dxfId="411" priority="158" operator="between">
      <formula>$II$39</formula>
      <formula>1000</formula>
    </cfRule>
    <cfRule type="cellIs" dxfId="410" priority="159" operator="between">
      <formula>$II$38</formula>
      <formula>$II$39</formula>
    </cfRule>
    <cfRule type="cellIs" dxfId="409" priority="160" operator="between">
      <formula>$II$37</formula>
      <formula>$II$38</formula>
    </cfRule>
    <cfRule type="cellIs" dxfId="408" priority="161" operator="between">
      <formula>$II$36</formula>
      <formula>$II$37</formula>
    </cfRule>
  </conditionalFormatting>
  <conditionalFormatting sqref="AW43 AO1:AO1048576 AR1:AR1048576 AV1:AV1048576">
    <cfRule type="cellIs" dxfId="407" priority="22" operator="between">
      <formula>$AY$39</formula>
      <formula>1000</formula>
    </cfRule>
    <cfRule type="cellIs" dxfId="406" priority="23" operator="between">
      <formula>$AY$38</formula>
      <formula>$AY$39</formula>
    </cfRule>
    <cfRule type="cellIs" dxfId="405" priority="24" operator="between">
      <formula>$AY$37</formula>
      <formula>$AY$38</formula>
    </cfRule>
    <cfRule type="cellIs" dxfId="404" priority="25" operator="between">
      <formula>$AY$36</formula>
      <formula>$AY$37</formula>
    </cfRule>
  </conditionalFormatting>
  <conditionalFormatting sqref="BW43">
    <cfRule type="cellIs" dxfId="403" priority="18" operator="between">
      <formula>$AY$39</formula>
      <formula>1000</formula>
    </cfRule>
    <cfRule type="cellIs" dxfId="402" priority="19" operator="between">
      <formula>$AY$38</formula>
      <formula>$AY$39</formula>
    </cfRule>
    <cfRule type="cellIs" dxfId="401" priority="20" operator="between">
      <formula>$AY$37</formula>
      <formula>$AY$38</formula>
    </cfRule>
    <cfRule type="cellIs" dxfId="400" priority="21" operator="between">
      <formula>$AY$36</formula>
      <formula>$AY$37</formula>
    </cfRule>
  </conditionalFormatting>
  <conditionalFormatting sqref="CX43">
    <cfRule type="cellIs" dxfId="399" priority="14" operator="between">
      <formula>$AY$39</formula>
      <formula>1000</formula>
    </cfRule>
    <cfRule type="cellIs" dxfId="398" priority="15" operator="between">
      <formula>$AY$38</formula>
      <formula>$AY$39</formula>
    </cfRule>
    <cfRule type="cellIs" dxfId="397" priority="16" operator="between">
      <formula>$AY$37</formula>
      <formula>$AY$38</formula>
    </cfRule>
    <cfRule type="cellIs" dxfId="396" priority="17" operator="between">
      <formula>$AY$36</formula>
      <formula>$AY$37</formula>
    </cfRule>
  </conditionalFormatting>
  <conditionalFormatting sqref="EH43">
    <cfRule type="cellIs" dxfId="395" priority="10" operator="between">
      <formula>$AY$39</formula>
      <formula>1000</formula>
    </cfRule>
    <cfRule type="cellIs" dxfId="394" priority="11" operator="between">
      <formula>$AY$38</formula>
      <formula>$AY$39</formula>
    </cfRule>
    <cfRule type="cellIs" dxfId="393" priority="12" operator="between">
      <formula>$AY$37</formula>
      <formula>$AY$38</formula>
    </cfRule>
    <cfRule type="cellIs" dxfId="392" priority="13" operator="between">
      <formula>$AY$36</formula>
      <formula>$AY$37</formula>
    </cfRule>
  </conditionalFormatting>
  <conditionalFormatting sqref="FP43">
    <cfRule type="cellIs" dxfId="391" priority="6" operator="between">
      <formula>$AY$39</formula>
      <formula>1000</formula>
    </cfRule>
    <cfRule type="cellIs" dxfId="390" priority="7" operator="between">
      <formula>$AY$38</formula>
      <formula>$AY$39</formula>
    </cfRule>
    <cfRule type="cellIs" dxfId="389" priority="8" operator="between">
      <formula>$AY$37</formula>
      <formula>$AY$38</formula>
    </cfRule>
    <cfRule type="cellIs" dxfId="388" priority="9" operator="between">
      <formula>$AY$36</formula>
      <formula>$AY$37</formula>
    </cfRule>
  </conditionalFormatting>
  <conditionalFormatting sqref="IF43">
    <cfRule type="cellIs" dxfId="387" priority="2" operator="between">
      <formula>$AY$39</formula>
      <formula>1000</formula>
    </cfRule>
    <cfRule type="cellIs" dxfId="386" priority="3" operator="between">
      <formula>$AY$38</formula>
      <formula>$AY$39</formula>
    </cfRule>
    <cfRule type="cellIs" dxfId="385" priority="4" operator="between">
      <formula>$AY$37</formula>
      <formula>$AY$38</formula>
    </cfRule>
    <cfRule type="cellIs" dxfId="384" priority="5" operator="between">
      <formula>$AY$36</formula>
      <formula>$AY$37</formula>
    </cfRule>
  </conditionalFormatting>
  <conditionalFormatting sqref="M1:M1048576 O1:O1048576 S1:S1048576 U1:U1048576 Q1:Q1048576">
    <cfRule type="expression" dxfId="383" priority="52651" stopIfTrue="1">
      <formula>IF(M1=$CA$1,1,0)</formula>
    </cfRule>
    <cfRule type="expression" dxfId="382" priority="52652">
      <formula>IF(M1=$AZ$1,1,0)</formula>
    </cfRule>
    <cfRule type="expression" dxfId="381" priority="52653">
      <formula>IF(M1=$Y$1,1,0)</formula>
    </cfRule>
  </conditionalFormatting>
  <conditionalFormatting sqref="CV1:CV1048576 AT1:AT1048576">
    <cfRule type="cellIs" dxfId="380" priority="117279" operator="between">
      <formula>AY$43</formula>
      <formula>1000</formula>
    </cfRule>
    <cfRule type="cellIs" dxfId="379" priority="117280" operator="between">
      <formula>AY$42</formula>
      <formula>AY$43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78" priority="117291" operator="between">
      <formula>EK$43</formula>
      <formula>1000</formula>
    </cfRule>
    <cfRule type="cellIs" dxfId="377" priority="117292" operator="between">
      <formula>EK$42</formula>
      <formula>EK$43</formula>
    </cfRule>
  </conditionalFormatting>
  <conditionalFormatting sqref="AQ1:AQ1048576 AT1:AT1048576 AX1:AX1048576">
    <cfRule type="cellIs" dxfId="376" priority="117363" operator="between">
      <formula>$AY$43</formula>
      <formula>1000</formula>
    </cfRule>
    <cfRule type="cellIs" dxfId="375" priority="117364" operator="between">
      <formula>$AY$42</formula>
      <formula>$AY$43</formula>
    </cfRule>
    <cfRule type="cellIs" dxfId="374" priority="117365" operator="between">
      <formula>$AY$41</formula>
      <formula>$AY$42</formula>
    </cfRule>
    <cfRule type="cellIs" dxfId="373" priority="117366" operator="between">
      <formula>$AY$40</formula>
      <formula>$AY$41</formula>
    </cfRule>
  </conditionalFormatting>
  <conditionalFormatting sqref="BR1:BR1048576 BU1:BU1048576 BY1:BY1048576">
    <cfRule type="cellIs" dxfId="372" priority="117399" operator="between">
      <formula>$BZ$43</formula>
      <formula>1000</formula>
    </cfRule>
    <cfRule type="cellIs" dxfId="371" priority="117400" operator="between">
      <formula>$BZ$42</formula>
      <formula>$BZ$43</formula>
    </cfRule>
    <cfRule type="cellIs" dxfId="370" priority="117401" operator="between">
      <formula>$BZ$41</formula>
      <formula>$BZ$42</formula>
    </cfRule>
    <cfRule type="cellIs" dxfId="369" priority="117402" operator="between">
      <formula>$BZ$40</formula>
      <formula>$BZ$41</formula>
    </cfRule>
  </conditionalFormatting>
  <conditionalFormatting sqref="CS1:CS1048576 CV1:CV1048576 CZ1:CZ1048576">
    <cfRule type="cellIs" dxfId="368" priority="117435" operator="between">
      <formula>$DA$43</formula>
      <formula>1000</formula>
    </cfRule>
    <cfRule type="cellIs" dxfId="367" priority="117436" operator="between">
      <formula>$DA$42</formula>
      <formula>$DA$43</formula>
    </cfRule>
    <cfRule type="cellIs" dxfId="366" priority="117437" operator="between">
      <formula>$DA$41</formula>
      <formula>$DA$42</formula>
    </cfRule>
    <cfRule type="cellIs" dxfId="365" priority="117438" operator="between">
      <formula>$DA$40</formula>
      <formula>$DA$41</formula>
    </cfRule>
  </conditionalFormatting>
  <conditionalFormatting sqref="NB1:NB1048576 NE1:NE1048576 NI1:NI1048576 NL1:NL1048576">
    <cfRule type="cellIs" dxfId="364" priority="117471" operator="between">
      <formula>$NO$36</formula>
      <formula>$NO$37</formula>
    </cfRule>
  </conditionalFormatting>
  <conditionalFormatting sqref="DZ1:DZ1048576 EC1:EC1048576 EG1:EG1048576 EJ1:EJ1048576">
    <cfRule type="cellIs" dxfId="363" priority="117483" operator="between">
      <formula>$EK$43</formula>
      <formula>1000</formula>
    </cfRule>
    <cfRule type="cellIs" dxfId="362" priority="117484" operator="between">
      <formula>$EK$42</formula>
      <formula>$EK$43</formula>
    </cfRule>
    <cfRule type="cellIs" dxfId="361" priority="117485" operator="between">
      <formula>$EK$41</formula>
      <formula>$EK$42</formula>
    </cfRule>
    <cfRule type="cellIs" dxfId="360" priority="117486" operator="between">
      <formula>$EK$40</formula>
      <formula>$EK$41</formula>
    </cfRule>
  </conditionalFormatting>
  <conditionalFormatting sqref="FH1:FH1048576 FK1:FK1048576 FO1:FO1048576 FR1:FR1048576">
    <cfRule type="cellIs" dxfId="359" priority="117531" operator="between">
      <formula>$FS$43</formula>
      <formula>1000</formula>
    </cfRule>
    <cfRule type="cellIs" dxfId="358" priority="117532" operator="between">
      <formula>$FS$42</formula>
      <formula>$FS$43</formula>
    </cfRule>
    <cfRule type="cellIs" dxfId="357" priority="117533" operator="between">
      <formula>$FS$41</formula>
      <formula>$FS$42</formula>
    </cfRule>
    <cfRule type="cellIs" dxfId="356" priority="117534" operator="between">
      <formula>$FS$40</formula>
      <formula>$FS$41</formula>
    </cfRule>
  </conditionalFormatting>
  <conditionalFormatting sqref="GN1:GN1048576 GQ1:GQ1048576 GU1:GU1048576 GX1:GX1048576">
    <cfRule type="cellIs" dxfId="355" priority="117579" operator="between">
      <formula>$HA$39</formula>
      <formula>1000</formula>
    </cfRule>
    <cfRule type="cellIs" dxfId="354" priority="117580" operator="between">
      <formula>$HA$38</formula>
      <formula>$HA$39</formula>
    </cfRule>
    <cfRule type="cellIs" dxfId="353" priority="117581" operator="between">
      <formula>$HA$37</formula>
      <formula>$HA$38</formula>
    </cfRule>
    <cfRule type="cellIs" dxfId="352" priority="117582" operator="between">
      <formula>$HA$36</formula>
      <formula>$HA$37</formula>
    </cfRule>
  </conditionalFormatting>
  <conditionalFormatting sqref="GP1:GP1048576 GS1:GS1048576 GW1:GW1048576 GZ1:GZ1048576">
    <cfRule type="cellIs" dxfId="351" priority="117627" operator="between">
      <formula>$HA$43</formula>
      <formula>1000</formula>
    </cfRule>
    <cfRule type="cellIs" dxfId="350" priority="117628" operator="between">
      <formula>$HA$42</formula>
      <formula>$HA$43</formula>
    </cfRule>
    <cfRule type="cellIs" dxfId="349" priority="117629" operator="between">
      <formula>$HA$41</formula>
      <formula>$HA$42</formula>
    </cfRule>
    <cfRule type="cellIs" dxfId="348" priority="117630" operator="between">
      <formula>$HA$40</formula>
      <formula>$HA$41</formula>
    </cfRule>
  </conditionalFormatting>
  <conditionalFormatting sqref="HX1:HX1048576 IA1:IA1048576 IE1:IE1048576 IH1:IH1048576">
    <cfRule type="cellIs" dxfId="347" priority="117675" operator="between">
      <formula>$II$43</formula>
      <formula>1000</formula>
    </cfRule>
    <cfRule type="cellIs" dxfId="346" priority="117676" operator="between">
      <formula>$II$42</formula>
      <formula>$II$43</formula>
    </cfRule>
    <cfRule type="cellIs" dxfId="345" priority="117677" operator="between">
      <formula>$II$41</formula>
      <formula>$II$42</formula>
    </cfRule>
    <cfRule type="cellIs" dxfId="344" priority="117678" operator="between">
      <formula>$II$40</formula>
      <formula>$II$41</formula>
    </cfRule>
  </conditionalFormatting>
  <conditionalFormatting sqref="JD1:JD1048576 JG1:JG1048576 JK1:JK1048576 JN1:JN1048576">
    <cfRule type="cellIs" dxfId="343" priority="117723" operator="between">
      <formula>$JQ$39</formula>
      <formula>1000</formula>
    </cfRule>
    <cfRule type="cellIs" dxfId="342" priority="117724" operator="between">
      <formula>$JQ$38</formula>
      <formula>$JQ$39</formula>
    </cfRule>
    <cfRule type="cellIs" dxfId="341" priority="117725" operator="between">
      <formula>$JQ$37</formula>
      <formula>$JQ$38</formula>
    </cfRule>
    <cfRule type="cellIs" dxfId="340" priority="117726" operator="between">
      <formula>$JQ$36</formula>
      <formula>$JQ$37</formula>
    </cfRule>
  </conditionalFormatting>
  <conditionalFormatting sqref="JF1:JF1048576 JI1:JI1048576 JM1:JM1048576 JP1:JP1048576">
    <cfRule type="cellIs" dxfId="339" priority="117771" operator="between">
      <formula>$JQ$43</formula>
      <formula>1000</formula>
    </cfRule>
    <cfRule type="cellIs" dxfId="338" priority="117772" operator="between">
      <formula>$JQ$42</formula>
      <formula>$JQ$43</formula>
    </cfRule>
    <cfRule type="cellIs" dxfId="337" priority="117773" operator="between">
      <formula>$JQ$41</formula>
      <formula>$JQ$42</formula>
    </cfRule>
    <cfRule type="cellIs" dxfId="336" priority="117774" operator="between">
      <formula>$JQ$40</formula>
      <formula>$JQ$41</formula>
    </cfRule>
  </conditionalFormatting>
  <conditionalFormatting sqref="KL1:KL1048576 KO1:KO1048576 KS1:KS1048576 KV1:KV1048576">
    <cfRule type="cellIs" dxfId="335" priority="117819" operator="between">
      <formula>$KY$39</formula>
      <formula>1000</formula>
    </cfRule>
    <cfRule type="cellIs" dxfId="334" priority="117820" operator="between">
      <formula>$KY$38</formula>
      <formula>$KY$39</formula>
    </cfRule>
    <cfRule type="cellIs" dxfId="333" priority="117821" operator="between">
      <formula>$KY$37</formula>
      <formula>$KY$38</formula>
    </cfRule>
    <cfRule type="cellIs" dxfId="332" priority="117822" operator="between">
      <formula>$KY$36</formula>
      <formula>$KY$37</formula>
    </cfRule>
  </conditionalFormatting>
  <conditionalFormatting sqref="KN1:KN1048576 KQ1:KQ1048576 KU1:KU1048576 KX1:KX1048576">
    <cfRule type="cellIs" dxfId="331" priority="117867" operator="between">
      <formula>$KY$43</formula>
      <formula>1000</formula>
    </cfRule>
    <cfRule type="cellIs" dxfId="330" priority="117868" operator="between">
      <formula>$KY$42</formula>
      <formula>$KY$43</formula>
    </cfRule>
    <cfRule type="cellIs" dxfId="329" priority="117869" operator="between">
      <formula>$KY$41</formula>
      <formula>$KY$42</formula>
    </cfRule>
    <cfRule type="cellIs" dxfId="328" priority="117870" operator="between">
      <formula>$KY$40</formula>
      <formula>$KY$41</formula>
    </cfRule>
  </conditionalFormatting>
  <conditionalFormatting sqref="LT1:LT1048576 LW1:LW1048576 MA1:MA1048576 MD1:MD1048576">
    <cfRule type="cellIs" dxfId="327" priority="117915" operator="between">
      <formula>$MG$39</formula>
      <formula>1000</formula>
    </cfRule>
    <cfRule type="cellIs" dxfId="326" priority="117916" operator="between">
      <formula>$MG$38</formula>
      <formula>$MG$39</formula>
    </cfRule>
    <cfRule type="cellIs" dxfId="325" priority="117917" operator="between">
      <formula>$MG$37</formula>
      <formula>$MG$38</formula>
    </cfRule>
    <cfRule type="cellIs" dxfId="324" priority="117918" operator="between">
      <formula>$MG$36</formula>
      <formula>$MG$37</formula>
    </cfRule>
  </conditionalFormatting>
  <conditionalFormatting sqref="LV1:LV1048576 LY1:LY1048576 MC1:MC1048576 MF1:MF1048576">
    <cfRule type="cellIs" dxfId="323" priority="117963" operator="between">
      <formula>$MG$43</formula>
      <formula>1000</formula>
    </cfRule>
    <cfRule type="cellIs" dxfId="322" priority="117964" operator="between">
      <formula>$MG$42</formula>
      <formula>$MG$43</formula>
    </cfRule>
    <cfRule type="cellIs" dxfId="321" priority="117965" operator="between">
      <formula>$MG$41</formula>
      <formula>$MG$42</formula>
    </cfRule>
    <cfRule type="cellIs" dxfId="320" priority="117966" operator="between">
      <formula>$MG$40</formula>
      <formula>$MG$41</formula>
    </cfRule>
  </conditionalFormatting>
  <conditionalFormatting sqref="NB1:NB1048576 NE1:NE1048576 NI1:NI1048576">
    <cfRule type="cellIs" dxfId="319" priority="118011" operator="between">
      <formula>$NO$39</formula>
      <formula>1000</formula>
    </cfRule>
    <cfRule type="cellIs" dxfId="318" priority="118012" operator="between">
      <formula>$NO$38</formula>
      <formula>$NO$39</formula>
    </cfRule>
    <cfRule type="cellIs" dxfId="317" priority="118013" operator="between">
      <formula>$NO$37</formula>
      <formula>$NO$38</formula>
    </cfRule>
  </conditionalFormatting>
  <conditionalFormatting sqref="ND1:ND1048576 NG1:NG1048576 NK1:NK1048576 NN1:NN1048576">
    <cfRule type="cellIs" dxfId="316" priority="118038" operator="between">
      <formula>$NO$43</formula>
      <formula>1000</formula>
    </cfRule>
    <cfRule type="cellIs" dxfId="315" priority="118039" operator="between">
      <formula>$NO$42</formula>
      <formula>$NO$43</formula>
    </cfRule>
    <cfRule type="cellIs" dxfId="314" priority="118040" operator="between">
      <formula>$NO$41</formula>
      <formula>$NO$42</formula>
    </cfRule>
    <cfRule type="cellIs" dxfId="313" priority="118041" operator="between">
      <formula>$NO$40</formula>
      <formula>$NO$41</formula>
    </cfRule>
  </conditionalFormatting>
  <conditionalFormatting sqref="OJ1:OJ1048576 OM1:OM1048576 OQ1:OQ1048576 OT1:OT1048576">
    <cfRule type="cellIs" dxfId="312" priority="118086" operator="between">
      <formula>$OW$39</formula>
      <formula>1000</formula>
    </cfRule>
    <cfRule type="cellIs" dxfId="311" priority="118087" operator="between">
      <formula>$OW$38</formula>
      <formula>$OW$39</formula>
    </cfRule>
    <cfRule type="cellIs" dxfId="310" priority="118088" operator="between">
      <formula>$OW$37</formula>
      <formula>$OW$38</formula>
    </cfRule>
    <cfRule type="cellIs" dxfId="309" priority="118089" operator="between">
      <formula>$OW$36</formula>
      <formula>$OW$37</formula>
    </cfRule>
  </conditionalFormatting>
  <conditionalFormatting sqref="OL1:OL1048576 OO1:OO1048576 OS1:OS1048576 OV1:OV1048576">
    <cfRule type="cellIs" dxfId="308" priority="118134" operator="between">
      <formula>$OW$43</formula>
      <formula>1000</formula>
    </cfRule>
    <cfRule type="cellIs" dxfId="307" priority="118135" operator="between">
      <formula>$OW$42</formula>
      <formula>$OW$43</formula>
    </cfRule>
    <cfRule type="cellIs" dxfId="306" priority="118136" operator="between">
      <formula>$OW$41</formula>
      <formula>$OW$42</formula>
    </cfRule>
    <cfRule type="cellIs" dxfId="305" priority="118137" operator="between">
      <formula>$OW$40</formula>
      <formula>$OW$41</formula>
    </cfRule>
  </conditionalFormatting>
  <conditionalFormatting sqref="PR1:PR1048576 PU1:PU1048576 PY1:PY1048576 QB1:QB1048576">
    <cfRule type="cellIs" dxfId="304" priority="118182" operator="between">
      <formula>$QE$39</formula>
      <formula>1000</formula>
    </cfRule>
    <cfRule type="cellIs" dxfId="303" priority="118183" operator="between">
      <formula>$QE$38</formula>
      <formula>$QE$39</formula>
    </cfRule>
    <cfRule type="cellIs" dxfId="302" priority="118184" operator="between">
      <formula>$QE$37</formula>
      <formula>$QE$38</formula>
    </cfRule>
    <cfRule type="cellIs" dxfId="301" priority="118185" operator="between">
      <formula>$QE$36</formula>
      <formula>$QE$37</formula>
    </cfRule>
  </conditionalFormatting>
  <conditionalFormatting sqref="PT1:PT1048576 PW1:PW1048576 QA1:QA1048576 QD1:QD1048576">
    <cfRule type="cellIs" dxfId="300" priority="118230" operator="between">
      <formula>$QE$43</formula>
      <formula>1000</formula>
    </cfRule>
    <cfRule type="cellIs" dxfId="299" priority="118231" operator="between">
      <formula>$QE$42</formula>
      <formula>$QE$43</formula>
    </cfRule>
    <cfRule type="cellIs" dxfId="298" priority="118232" operator="between">
      <formula>$QE$41</formula>
      <formula>$QE$42</formula>
    </cfRule>
    <cfRule type="cellIs" dxfId="297" priority="118233" operator="between">
      <formula>$QE$40</formula>
      <formula>$QE$41</formula>
    </cfRule>
  </conditionalFormatting>
  <conditionalFormatting sqref="QZ1:QZ1048576 RC1:RC1048576 RG1:RG1048576 RJ1:RJ1048576">
    <cfRule type="cellIs" dxfId="296" priority="118278" operator="between">
      <formula>$RM$39</formula>
      <formula>1000</formula>
    </cfRule>
    <cfRule type="cellIs" dxfId="295" priority="118279" operator="between">
      <formula>$RM$38</formula>
      <formula>$RM$39</formula>
    </cfRule>
    <cfRule type="cellIs" dxfId="294" priority="118280" operator="between">
      <formula>$RM$37</formula>
      <formula>$RM$38</formula>
    </cfRule>
    <cfRule type="cellIs" dxfId="293" priority="118281" operator="between">
      <formula>$RM$36</formula>
      <formula>$RM$37</formula>
    </cfRule>
  </conditionalFormatting>
  <conditionalFormatting sqref="RB1:RB1048576 RE1:RE1048576 RI1:RI1048576 RL1:RL1048576">
    <cfRule type="cellIs" dxfId="292" priority="118326" operator="between">
      <formula>$RM$43</formula>
      <formula>1000</formula>
    </cfRule>
    <cfRule type="cellIs" dxfId="291" priority="118327" operator="between">
      <formula>$RM$42</formula>
      <formula>$RM$43</formula>
    </cfRule>
    <cfRule type="cellIs" dxfId="290" priority="118328" operator="between">
      <formula>$RM$41</formula>
      <formula>$RM$42</formula>
    </cfRule>
    <cfRule type="cellIs" dxfId="289" priority="118329" operator="between">
      <formula>$RM$40</formula>
      <formula>$RM$41</formula>
    </cfRule>
  </conditionalFormatting>
  <conditionalFormatting sqref="SH1:SH1048576 SK1:SK1048576 SO1:SO1048576 SR1:SR1048576">
    <cfRule type="cellIs" dxfId="288" priority="118374" operator="between">
      <formula>$SU$39</formula>
      <formula>1000</formula>
    </cfRule>
    <cfRule type="cellIs" dxfId="287" priority="118375" operator="between">
      <formula>$SU$38</formula>
      <formula>$SU$39</formula>
    </cfRule>
    <cfRule type="cellIs" dxfId="286" priority="118376" operator="between">
      <formula>$SU$37</formula>
      <formula>$SU$38</formula>
    </cfRule>
    <cfRule type="cellIs" dxfId="285" priority="118377" operator="between">
      <formula>$SU$36</formula>
      <formula>$SU$37</formula>
    </cfRule>
  </conditionalFormatting>
  <conditionalFormatting sqref="SJ1:SJ1048576 SM1:SM1048576 SQ1:SQ1048576 ST1:ST1048576">
    <cfRule type="cellIs" dxfId="284" priority="118422" operator="between">
      <formula>$SU$43</formula>
      <formula>1000</formula>
    </cfRule>
    <cfRule type="cellIs" dxfId="283" priority="118423" operator="between">
      <formula>$SU$42</formula>
      <formula>$SU$43</formula>
    </cfRule>
    <cfRule type="cellIs" dxfId="282" priority="118424" operator="between">
      <formula>$SU$41</formula>
      <formula>$SU$42</formula>
    </cfRule>
    <cfRule type="cellIs" dxfId="281" priority="118425" operator="between">
      <formula>$SU$40</formula>
      <formula>$SU$41</formula>
    </cfRule>
  </conditionalFormatting>
  <conditionalFormatting sqref="A4:B1048576">
    <cfRule type="expression" dxfId="280" priority="1" stopIfTrue="1">
      <formula>AND($I4&lt;&gt;"",$H4="")</formula>
    </cfRule>
    <cfRule type="expression" dxfId="279" priority="37563" stopIfTrue="1">
      <formula>IF(A4&gt;4,1,0)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5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8" t="s">
        <v>229</v>
      </c>
      <c r="B1" s="78" t="s">
        <v>230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231</v>
      </c>
      <c r="H1" s="78" t="s">
        <v>53</v>
      </c>
      <c r="I1" s="74" t="s">
        <v>8</v>
      </c>
      <c r="J1" s="74" t="s">
        <v>9</v>
      </c>
      <c r="K1" s="74" t="s">
        <v>70</v>
      </c>
      <c r="L1" s="75" t="s">
        <v>77</v>
      </c>
      <c r="M1" s="76" t="s">
        <v>25</v>
      </c>
      <c r="N1" s="75" t="s">
        <v>78</v>
      </c>
      <c r="O1" s="76" t="s">
        <v>25</v>
      </c>
      <c r="P1" s="75" t="s">
        <v>164</v>
      </c>
      <c r="Q1" s="76" t="s">
        <v>25</v>
      </c>
      <c r="R1" s="76" t="s">
        <v>79</v>
      </c>
      <c r="S1" s="76" t="s">
        <v>25</v>
      </c>
      <c r="T1" s="75" t="s">
        <v>80</v>
      </c>
      <c r="U1" s="76" t="s">
        <v>25</v>
      </c>
      <c r="V1" s="77" t="s">
        <v>11</v>
      </c>
      <c r="W1" s="76" t="s">
        <v>26</v>
      </c>
      <c r="X1" s="76" t="s">
        <v>25</v>
      </c>
      <c r="Y1" s="71" t="s">
        <v>170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196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1" t="s">
        <v>225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3" t="s">
        <v>11</v>
      </c>
      <c r="DC1" s="73"/>
      <c r="DD1" s="71" t="s">
        <v>125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2" t="s">
        <v>166</v>
      </c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1" t="s">
        <v>193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2" t="s">
        <v>224</v>
      </c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1" t="s">
        <v>235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1" t="s">
        <v>56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</row>
    <row r="2" spans="1:542" x14ac:dyDescent="0.2">
      <c r="A2" s="78"/>
      <c r="B2" s="78"/>
      <c r="C2" s="74"/>
      <c r="D2" s="74"/>
      <c r="E2" s="74"/>
      <c r="F2" s="74"/>
      <c r="G2" s="78"/>
      <c r="H2" s="78"/>
      <c r="I2" s="74"/>
      <c r="J2" s="74"/>
      <c r="K2" s="74"/>
      <c r="L2" s="75"/>
      <c r="M2" s="76"/>
      <c r="N2" s="75"/>
      <c r="O2" s="76"/>
      <c r="P2" s="75"/>
      <c r="Q2" s="76"/>
      <c r="R2" s="76"/>
      <c r="S2" s="76"/>
      <c r="T2" s="75"/>
      <c r="U2" s="76"/>
      <c r="V2" s="77"/>
      <c r="W2" s="76"/>
      <c r="X2" s="76"/>
      <c r="Y2" s="69" t="s">
        <v>16</v>
      </c>
      <c r="Z2" s="69"/>
      <c r="AA2" s="69"/>
      <c r="AB2" s="69"/>
      <c r="AC2" s="69"/>
      <c r="AD2" s="69" t="s">
        <v>17</v>
      </c>
      <c r="AE2" s="69"/>
      <c r="AF2" s="69"/>
      <c r="AG2" s="69"/>
      <c r="AH2" s="69"/>
      <c r="AI2" s="69" t="s">
        <v>20</v>
      </c>
      <c r="AJ2" s="69"/>
      <c r="AK2" s="69"/>
      <c r="AL2" s="69"/>
      <c r="AM2" s="69"/>
      <c r="AN2" s="14"/>
      <c r="AO2" s="14" t="s">
        <v>81</v>
      </c>
      <c r="AP2" s="14" t="s">
        <v>82</v>
      </c>
      <c r="AQ2" s="14" t="s">
        <v>18</v>
      </c>
      <c r="AR2" s="14" t="s">
        <v>63</v>
      </c>
      <c r="AS2" s="14" t="s">
        <v>83</v>
      </c>
      <c r="AT2" s="14" t="s">
        <v>19</v>
      </c>
      <c r="AU2" s="14" t="s">
        <v>21</v>
      </c>
      <c r="AV2" s="14" t="s">
        <v>84</v>
      </c>
      <c r="AW2" s="14" t="s">
        <v>85</v>
      </c>
      <c r="AX2" s="14" t="s">
        <v>20</v>
      </c>
      <c r="AY2" s="14" t="s">
        <v>15</v>
      </c>
      <c r="AZ2" s="70" t="s">
        <v>16</v>
      </c>
      <c r="BA2" s="70"/>
      <c r="BB2" s="70"/>
      <c r="BC2" s="70"/>
      <c r="BD2" s="70"/>
      <c r="BE2" s="70" t="s">
        <v>17</v>
      </c>
      <c r="BF2" s="70"/>
      <c r="BG2" s="70"/>
      <c r="BH2" s="70"/>
      <c r="BI2" s="70"/>
      <c r="BJ2" s="70" t="s">
        <v>20</v>
      </c>
      <c r="BK2" s="70"/>
      <c r="BL2" s="70"/>
      <c r="BM2" s="70"/>
      <c r="BN2" s="70"/>
      <c r="BO2" s="13"/>
      <c r="BP2" s="13" t="s">
        <v>81</v>
      </c>
      <c r="BQ2" s="13" t="s">
        <v>82</v>
      </c>
      <c r="BR2" s="13" t="s">
        <v>18</v>
      </c>
      <c r="BS2" s="13" t="s">
        <v>63</v>
      </c>
      <c r="BT2" s="13" t="s">
        <v>83</v>
      </c>
      <c r="BU2" s="13" t="s">
        <v>19</v>
      </c>
      <c r="BV2" s="13" t="s">
        <v>21</v>
      </c>
      <c r="BW2" s="13" t="s">
        <v>84</v>
      </c>
      <c r="BX2" s="13" t="s">
        <v>85</v>
      </c>
      <c r="BY2" s="13" t="s">
        <v>20</v>
      </c>
      <c r="BZ2" s="13" t="s">
        <v>15</v>
      </c>
      <c r="CA2" s="69" t="s">
        <v>16</v>
      </c>
      <c r="CB2" s="69"/>
      <c r="CC2" s="69"/>
      <c r="CD2" s="69"/>
      <c r="CE2" s="69"/>
      <c r="CF2" s="69" t="s">
        <v>17</v>
      </c>
      <c r="CG2" s="69"/>
      <c r="CH2" s="69"/>
      <c r="CI2" s="69"/>
      <c r="CJ2" s="69"/>
      <c r="CK2" s="69" t="s">
        <v>20</v>
      </c>
      <c r="CL2" s="69"/>
      <c r="CM2" s="69"/>
      <c r="CN2" s="69"/>
      <c r="CO2" s="69"/>
      <c r="CP2" s="14"/>
      <c r="CQ2" s="14" t="s">
        <v>81</v>
      </c>
      <c r="CR2" s="14" t="s">
        <v>82</v>
      </c>
      <c r="CS2" s="14" t="s">
        <v>18</v>
      </c>
      <c r="CT2" s="14" t="s">
        <v>63</v>
      </c>
      <c r="CU2" s="14" t="s">
        <v>83</v>
      </c>
      <c r="CV2" s="14" t="s">
        <v>19</v>
      </c>
      <c r="CW2" s="14" t="s">
        <v>21</v>
      </c>
      <c r="CX2" s="14" t="s">
        <v>84</v>
      </c>
      <c r="CY2" s="14" t="s">
        <v>85</v>
      </c>
      <c r="CZ2" s="14" t="s">
        <v>20</v>
      </c>
      <c r="DA2" s="14" t="s">
        <v>15</v>
      </c>
      <c r="DB2" s="49" t="s">
        <v>165</v>
      </c>
      <c r="DC2" s="49" t="s">
        <v>20</v>
      </c>
      <c r="DD2" s="69" t="s">
        <v>16</v>
      </c>
      <c r="DE2" s="69"/>
      <c r="DF2" s="69"/>
      <c r="DG2" s="69"/>
      <c r="DH2" s="69"/>
      <c r="DI2" s="69" t="s">
        <v>17</v>
      </c>
      <c r="DJ2" s="69"/>
      <c r="DK2" s="69"/>
      <c r="DL2" s="69"/>
      <c r="DM2" s="69"/>
      <c r="DN2" s="69" t="s">
        <v>86</v>
      </c>
      <c r="DO2" s="69"/>
      <c r="DP2" s="69"/>
      <c r="DQ2" s="69"/>
      <c r="DR2" s="69"/>
      <c r="DS2" s="69" t="s">
        <v>20</v>
      </c>
      <c r="DT2" s="69"/>
      <c r="DU2" s="69"/>
      <c r="DV2" s="69"/>
      <c r="DW2" s="69"/>
      <c r="DX2" s="14" t="s">
        <v>81</v>
      </c>
      <c r="DY2" s="14" t="s">
        <v>82</v>
      </c>
      <c r="DZ2" s="14" t="s">
        <v>18</v>
      </c>
      <c r="EA2" s="14" t="s">
        <v>63</v>
      </c>
      <c r="EB2" s="14" t="s">
        <v>83</v>
      </c>
      <c r="EC2" s="14" t="s">
        <v>19</v>
      </c>
      <c r="ED2" s="14" t="s">
        <v>21</v>
      </c>
      <c r="EE2" s="14" t="s">
        <v>87</v>
      </c>
      <c r="EF2" s="14" t="s">
        <v>88</v>
      </c>
      <c r="EG2" s="14" t="s">
        <v>86</v>
      </c>
      <c r="EH2" s="14" t="s">
        <v>84</v>
      </c>
      <c r="EI2" s="14" t="s">
        <v>85</v>
      </c>
      <c r="EJ2" s="14" t="s">
        <v>20</v>
      </c>
      <c r="EK2" s="14" t="s">
        <v>15</v>
      </c>
      <c r="EL2" s="70" t="s">
        <v>16</v>
      </c>
      <c r="EM2" s="70"/>
      <c r="EN2" s="70"/>
      <c r="EO2" s="70"/>
      <c r="EP2" s="70"/>
      <c r="EQ2" s="70" t="s">
        <v>17</v>
      </c>
      <c r="ER2" s="70"/>
      <c r="ES2" s="70"/>
      <c r="ET2" s="70"/>
      <c r="EU2" s="70"/>
      <c r="EV2" s="70" t="s">
        <v>86</v>
      </c>
      <c r="EW2" s="70"/>
      <c r="EX2" s="70"/>
      <c r="EY2" s="70"/>
      <c r="EZ2" s="70"/>
      <c r="FA2" s="70" t="s">
        <v>20</v>
      </c>
      <c r="FB2" s="70"/>
      <c r="FC2" s="70"/>
      <c r="FD2" s="70"/>
      <c r="FE2" s="70"/>
      <c r="FF2" s="13" t="s">
        <v>81</v>
      </c>
      <c r="FG2" s="13" t="s">
        <v>82</v>
      </c>
      <c r="FH2" s="13" t="s">
        <v>18</v>
      </c>
      <c r="FI2" s="13" t="s">
        <v>63</v>
      </c>
      <c r="FJ2" s="13" t="s">
        <v>83</v>
      </c>
      <c r="FK2" s="13" t="s">
        <v>19</v>
      </c>
      <c r="FL2" s="13" t="s">
        <v>21</v>
      </c>
      <c r="FM2" s="13" t="s">
        <v>87</v>
      </c>
      <c r="FN2" s="13" t="s">
        <v>88</v>
      </c>
      <c r="FO2" s="13" t="s">
        <v>86</v>
      </c>
      <c r="FP2" s="13" t="s">
        <v>84</v>
      </c>
      <c r="FQ2" s="13" t="s">
        <v>85</v>
      </c>
      <c r="FR2" s="13" t="s">
        <v>20</v>
      </c>
      <c r="FS2" s="13" t="s">
        <v>15</v>
      </c>
      <c r="FT2" s="69" t="s">
        <v>16</v>
      </c>
      <c r="FU2" s="69"/>
      <c r="FV2" s="69"/>
      <c r="FW2" s="69"/>
      <c r="FX2" s="69"/>
      <c r="FY2" s="69" t="s">
        <v>17</v>
      </c>
      <c r="FZ2" s="69"/>
      <c r="GA2" s="69"/>
      <c r="GB2" s="69"/>
      <c r="GC2" s="69"/>
      <c r="GD2" s="69" t="s">
        <v>86</v>
      </c>
      <c r="GE2" s="69"/>
      <c r="GF2" s="69"/>
      <c r="GG2" s="69"/>
      <c r="GH2" s="69"/>
      <c r="GI2" s="69" t="s">
        <v>20</v>
      </c>
      <c r="GJ2" s="69"/>
      <c r="GK2" s="69"/>
      <c r="GL2" s="69"/>
      <c r="GM2" s="69"/>
      <c r="GN2" s="14" t="s">
        <v>81</v>
      </c>
      <c r="GO2" s="14" t="s">
        <v>82</v>
      </c>
      <c r="GP2" s="14" t="s">
        <v>18</v>
      </c>
      <c r="GQ2" s="14" t="s">
        <v>63</v>
      </c>
      <c r="GR2" s="14" t="s">
        <v>83</v>
      </c>
      <c r="GS2" s="14" t="s">
        <v>19</v>
      </c>
      <c r="GT2" s="14" t="s">
        <v>21</v>
      </c>
      <c r="GU2" s="14" t="s">
        <v>87</v>
      </c>
      <c r="GV2" s="14" t="s">
        <v>88</v>
      </c>
      <c r="GW2" s="14" t="s">
        <v>86</v>
      </c>
      <c r="GX2" s="14" t="s">
        <v>84</v>
      </c>
      <c r="GY2" s="14" t="s">
        <v>85</v>
      </c>
      <c r="GZ2" s="14" t="s">
        <v>20</v>
      </c>
      <c r="HA2" s="14" t="s">
        <v>15</v>
      </c>
      <c r="HB2" s="70" t="s">
        <v>16</v>
      </c>
      <c r="HC2" s="70"/>
      <c r="HD2" s="70"/>
      <c r="HE2" s="70"/>
      <c r="HF2" s="70"/>
      <c r="HG2" s="70" t="s">
        <v>17</v>
      </c>
      <c r="HH2" s="70"/>
      <c r="HI2" s="70"/>
      <c r="HJ2" s="70"/>
      <c r="HK2" s="70"/>
      <c r="HL2" s="70" t="s">
        <v>86</v>
      </c>
      <c r="HM2" s="70"/>
      <c r="HN2" s="70"/>
      <c r="HO2" s="70"/>
      <c r="HP2" s="70"/>
      <c r="HQ2" s="70" t="s">
        <v>20</v>
      </c>
      <c r="HR2" s="70"/>
      <c r="HS2" s="70"/>
      <c r="HT2" s="70"/>
      <c r="HU2" s="70"/>
      <c r="HV2" s="13" t="s">
        <v>81</v>
      </c>
      <c r="HW2" s="13" t="s">
        <v>82</v>
      </c>
      <c r="HX2" s="13" t="s">
        <v>18</v>
      </c>
      <c r="HY2" s="13" t="s">
        <v>63</v>
      </c>
      <c r="HZ2" s="13" t="s">
        <v>83</v>
      </c>
      <c r="IA2" s="13" t="s">
        <v>19</v>
      </c>
      <c r="IB2" s="13" t="s">
        <v>21</v>
      </c>
      <c r="IC2" s="13" t="s">
        <v>87</v>
      </c>
      <c r="ID2" s="13" t="s">
        <v>88</v>
      </c>
      <c r="IE2" s="13" t="s">
        <v>86</v>
      </c>
      <c r="IF2" s="13" t="s">
        <v>84</v>
      </c>
      <c r="IG2" s="13" t="s">
        <v>85</v>
      </c>
      <c r="IH2" s="13" t="s">
        <v>20</v>
      </c>
      <c r="II2" s="13" t="s">
        <v>15</v>
      </c>
      <c r="IJ2" s="69" t="s">
        <v>16</v>
      </c>
      <c r="IK2" s="69"/>
      <c r="IL2" s="69"/>
      <c r="IM2" s="69"/>
      <c r="IN2" s="69"/>
      <c r="IO2" s="69" t="s">
        <v>17</v>
      </c>
      <c r="IP2" s="69"/>
      <c r="IQ2" s="69"/>
      <c r="IR2" s="69"/>
      <c r="IS2" s="69"/>
      <c r="IT2" s="69" t="s">
        <v>86</v>
      </c>
      <c r="IU2" s="69"/>
      <c r="IV2" s="69"/>
      <c r="IW2" s="69"/>
      <c r="IX2" s="69"/>
      <c r="IY2" s="69" t="s">
        <v>20</v>
      </c>
      <c r="IZ2" s="69"/>
      <c r="JA2" s="69"/>
      <c r="JB2" s="69"/>
      <c r="JC2" s="69"/>
      <c r="JD2" s="14" t="s">
        <v>81</v>
      </c>
      <c r="JE2" s="14" t="s">
        <v>82</v>
      </c>
      <c r="JF2" s="14" t="s">
        <v>18</v>
      </c>
      <c r="JG2" s="14" t="s">
        <v>63</v>
      </c>
      <c r="JH2" s="14" t="s">
        <v>83</v>
      </c>
      <c r="JI2" s="14" t="s">
        <v>19</v>
      </c>
      <c r="JJ2" s="14" t="s">
        <v>21</v>
      </c>
      <c r="JK2" s="14" t="s">
        <v>87</v>
      </c>
      <c r="JL2" s="14" t="s">
        <v>88</v>
      </c>
      <c r="JM2" s="14" t="s">
        <v>86</v>
      </c>
      <c r="JN2" s="14" t="s">
        <v>84</v>
      </c>
      <c r="JO2" s="14" t="s">
        <v>85</v>
      </c>
      <c r="JP2" s="14" t="s">
        <v>20</v>
      </c>
      <c r="JQ2" s="14" t="s">
        <v>15</v>
      </c>
      <c r="JR2" s="70" t="s">
        <v>16</v>
      </c>
      <c r="JS2" s="70"/>
      <c r="JT2" s="70"/>
      <c r="JU2" s="70"/>
      <c r="JV2" s="70"/>
      <c r="JW2" s="70" t="s">
        <v>17</v>
      </c>
      <c r="JX2" s="70"/>
      <c r="JY2" s="70"/>
      <c r="JZ2" s="70"/>
      <c r="KA2" s="70"/>
      <c r="KB2" s="70" t="s">
        <v>86</v>
      </c>
      <c r="KC2" s="70"/>
      <c r="KD2" s="70"/>
      <c r="KE2" s="70"/>
      <c r="KF2" s="70"/>
      <c r="KG2" s="70" t="s">
        <v>20</v>
      </c>
      <c r="KH2" s="70"/>
      <c r="KI2" s="70"/>
      <c r="KJ2" s="70"/>
      <c r="KK2" s="70"/>
      <c r="KL2" s="13" t="s">
        <v>81</v>
      </c>
      <c r="KM2" s="13" t="s">
        <v>82</v>
      </c>
      <c r="KN2" s="13" t="s">
        <v>18</v>
      </c>
      <c r="KO2" s="13" t="s">
        <v>63</v>
      </c>
      <c r="KP2" s="13" t="s">
        <v>83</v>
      </c>
      <c r="KQ2" s="13" t="s">
        <v>19</v>
      </c>
      <c r="KR2" s="13" t="s">
        <v>21</v>
      </c>
      <c r="KS2" s="13" t="s">
        <v>87</v>
      </c>
      <c r="KT2" s="13" t="s">
        <v>88</v>
      </c>
      <c r="KU2" s="13" t="s">
        <v>86</v>
      </c>
      <c r="KV2" s="13" t="s">
        <v>84</v>
      </c>
      <c r="KW2" s="13" t="s">
        <v>85</v>
      </c>
      <c r="KX2" s="13" t="s">
        <v>20</v>
      </c>
      <c r="KY2" s="13" t="s">
        <v>15</v>
      </c>
      <c r="KZ2" s="69" t="s">
        <v>16</v>
      </c>
      <c r="LA2" s="69"/>
      <c r="LB2" s="69"/>
      <c r="LC2" s="69"/>
      <c r="LD2" s="69"/>
      <c r="LE2" s="69" t="s">
        <v>17</v>
      </c>
      <c r="LF2" s="69"/>
      <c r="LG2" s="69"/>
      <c r="LH2" s="69"/>
      <c r="LI2" s="69"/>
      <c r="LJ2" s="69" t="s">
        <v>86</v>
      </c>
      <c r="LK2" s="69"/>
      <c r="LL2" s="69"/>
      <c r="LM2" s="69"/>
      <c r="LN2" s="69"/>
      <c r="LO2" s="69" t="s">
        <v>20</v>
      </c>
      <c r="LP2" s="69"/>
      <c r="LQ2" s="69"/>
      <c r="LR2" s="69"/>
      <c r="LS2" s="69"/>
      <c r="LT2" s="14" t="s">
        <v>81</v>
      </c>
      <c r="LU2" s="14" t="s">
        <v>82</v>
      </c>
      <c r="LV2" s="14" t="s">
        <v>18</v>
      </c>
      <c r="LW2" s="14" t="s">
        <v>63</v>
      </c>
      <c r="LX2" s="14" t="s">
        <v>83</v>
      </c>
      <c r="LY2" s="14" t="s">
        <v>19</v>
      </c>
      <c r="LZ2" s="14" t="s">
        <v>21</v>
      </c>
      <c r="MA2" s="14" t="s">
        <v>87</v>
      </c>
      <c r="MB2" s="14" t="s">
        <v>88</v>
      </c>
      <c r="MC2" s="14" t="s">
        <v>86</v>
      </c>
      <c r="MD2" s="14" t="s">
        <v>84</v>
      </c>
      <c r="ME2" s="14" t="s">
        <v>85</v>
      </c>
      <c r="MF2" s="14" t="s">
        <v>20</v>
      </c>
      <c r="MG2" s="14" t="s">
        <v>15</v>
      </c>
      <c r="MH2" s="70" t="s">
        <v>16</v>
      </c>
      <c r="MI2" s="70"/>
      <c r="MJ2" s="70"/>
      <c r="MK2" s="70"/>
      <c r="ML2" s="70"/>
      <c r="MM2" s="70" t="s">
        <v>17</v>
      </c>
      <c r="MN2" s="70"/>
      <c r="MO2" s="70"/>
      <c r="MP2" s="70"/>
      <c r="MQ2" s="70"/>
      <c r="MR2" s="70" t="s">
        <v>86</v>
      </c>
      <c r="MS2" s="70"/>
      <c r="MT2" s="70"/>
      <c r="MU2" s="70"/>
      <c r="MV2" s="70"/>
      <c r="MW2" s="70" t="s">
        <v>20</v>
      </c>
      <c r="MX2" s="70"/>
      <c r="MY2" s="70"/>
      <c r="MZ2" s="70"/>
      <c r="NA2" s="70"/>
      <c r="NB2" s="13" t="s">
        <v>81</v>
      </c>
      <c r="NC2" s="13" t="s">
        <v>82</v>
      </c>
      <c r="ND2" s="13" t="s">
        <v>18</v>
      </c>
      <c r="NE2" s="13" t="s">
        <v>63</v>
      </c>
      <c r="NF2" s="13" t="s">
        <v>83</v>
      </c>
      <c r="NG2" s="13" t="s">
        <v>19</v>
      </c>
      <c r="NH2" s="13" t="s">
        <v>21</v>
      </c>
      <c r="NI2" s="13" t="s">
        <v>87</v>
      </c>
      <c r="NJ2" s="13" t="s">
        <v>88</v>
      </c>
      <c r="NK2" s="13" t="s">
        <v>86</v>
      </c>
      <c r="NL2" s="13" t="s">
        <v>84</v>
      </c>
      <c r="NM2" s="13" t="s">
        <v>85</v>
      </c>
      <c r="NN2" s="13" t="s">
        <v>20</v>
      </c>
      <c r="NO2" s="13" t="s">
        <v>15</v>
      </c>
      <c r="NP2" s="69" t="s">
        <v>16</v>
      </c>
      <c r="NQ2" s="69"/>
      <c r="NR2" s="69"/>
      <c r="NS2" s="69"/>
      <c r="NT2" s="69"/>
      <c r="NU2" s="69" t="s">
        <v>17</v>
      </c>
      <c r="NV2" s="69"/>
      <c r="NW2" s="69"/>
      <c r="NX2" s="69"/>
      <c r="NY2" s="69"/>
      <c r="NZ2" s="69" t="s">
        <v>86</v>
      </c>
      <c r="OA2" s="69"/>
      <c r="OB2" s="69"/>
      <c r="OC2" s="69"/>
      <c r="OD2" s="69"/>
      <c r="OE2" s="69" t="s">
        <v>20</v>
      </c>
      <c r="OF2" s="69"/>
      <c r="OG2" s="69"/>
      <c r="OH2" s="69"/>
      <c r="OI2" s="69"/>
      <c r="OJ2" s="14" t="s">
        <v>81</v>
      </c>
      <c r="OK2" s="14" t="s">
        <v>82</v>
      </c>
      <c r="OL2" s="14" t="s">
        <v>18</v>
      </c>
      <c r="OM2" s="14" t="s">
        <v>63</v>
      </c>
      <c r="ON2" s="14" t="s">
        <v>83</v>
      </c>
      <c r="OO2" s="14" t="s">
        <v>19</v>
      </c>
      <c r="OP2" s="14" t="s">
        <v>21</v>
      </c>
      <c r="OQ2" s="14" t="s">
        <v>87</v>
      </c>
      <c r="OR2" s="14" t="s">
        <v>88</v>
      </c>
      <c r="OS2" s="14" t="s">
        <v>86</v>
      </c>
      <c r="OT2" s="14" t="s">
        <v>84</v>
      </c>
      <c r="OU2" s="14" t="s">
        <v>85</v>
      </c>
      <c r="OV2" s="14" t="s">
        <v>20</v>
      </c>
      <c r="OW2" s="14" t="s">
        <v>15</v>
      </c>
      <c r="OX2" s="70" t="s">
        <v>16</v>
      </c>
      <c r="OY2" s="70"/>
      <c r="OZ2" s="70"/>
      <c r="PA2" s="70"/>
      <c r="PB2" s="70"/>
      <c r="PC2" s="70" t="s">
        <v>17</v>
      </c>
      <c r="PD2" s="70"/>
      <c r="PE2" s="70"/>
      <c r="PF2" s="70"/>
      <c r="PG2" s="70"/>
      <c r="PH2" s="70" t="s">
        <v>86</v>
      </c>
      <c r="PI2" s="70"/>
      <c r="PJ2" s="70"/>
      <c r="PK2" s="70"/>
      <c r="PL2" s="70"/>
      <c r="PM2" s="70" t="s">
        <v>20</v>
      </c>
      <c r="PN2" s="70"/>
      <c r="PO2" s="70"/>
      <c r="PP2" s="70"/>
      <c r="PQ2" s="70"/>
      <c r="PR2" s="13" t="s">
        <v>81</v>
      </c>
      <c r="PS2" s="13" t="s">
        <v>82</v>
      </c>
      <c r="PT2" s="13" t="s">
        <v>18</v>
      </c>
      <c r="PU2" s="13" t="s">
        <v>63</v>
      </c>
      <c r="PV2" s="13" t="s">
        <v>83</v>
      </c>
      <c r="PW2" s="13" t="s">
        <v>19</v>
      </c>
      <c r="PX2" s="13" t="s">
        <v>21</v>
      </c>
      <c r="PY2" s="13" t="s">
        <v>87</v>
      </c>
      <c r="PZ2" s="13" t="s">
        <v>88</v>
      </c>
      <c r="QA2" s="13" t="s">
        <v>86</v>
      </c>
      <c r="QB2" s="13" t="s">
        <v>84</v>
      </c>
      <c r="QC2" s="13" t="s">
        <v>85</v>
      </c>
      <c r="QD2" s="13" t="s">
        <v>20</v>
      </c>
      <c r="QE2" s="13" t="s">
        <v>15</v>
      </c>
      <c r="QF2" s="69" t="s">
        <v>16</v>
      </c>
      <c r="QG2" s="69"/>
      <c r="QH2" s="69"/>
      <c r="QI2" s="69"/>
      <c r="QJ2" s="69"/>
      <c r="QK2" s="69" t="s">
        <v>17</v>
      </c>
      <c r="QL2" s="69"/>
      <c r="QM2" s="69"/>
      <c r="QN2" s="69"/>
      <c r="QO2" s="69"/>
      <c r="QP2" s="69" t="s">
        <v>86</v>
      </c>
      <c r="QQ2" s="69"/>
      <c r="QR2" s="69"/>
      <c r="QS2" s="69"/>
      <c r="QT2" s="69"/>
      <c r="QU2" s="69" t="s">
        <v>20</v>
      </c>
      <c r="QV2" s="69"/>
      <c r="QW2" s="69"/>
      <c r="QX2" s="69"/>
      <c r="QY2" s="69"/>
      <c r="QZ2" s="14" t="s">
        <v>81</v>
      </c>
      <c r="RA2" s="14" t="s">
        <v>82</v>
      </c>
      <c r="RB2" s="14" t="s">
        <v>18</v>
      </c>
      <c r="RC2" s="14" t="s">
        <v>63</v>
      </c>
      <c r="RD2" s="14" t="s">
        <v>83</v>
      </c>
      <c r="RE2" s="14" t="s">
        <v>19</v>
      </c>
      <c r="RF2" s="14" t="s">
        <v>21</v>
      </c>
      <c r="RG2" s="14" t="s">
        <v>87</v>
      </c>
      <c r="RH2" s="14" t="s">
        <v>88</v>
      </c>
      <c r="RI2" s="14" t="s">
        <v>86</v>
      </c>
      <c r="RJ2" s="14" t="s">
        <v>84</v>
      </c>
      <c r="RK2" s="14" t="s">
        <v>85</v>
      </c>
      <c r="RL2" s="14" t="s">
        <v>20</v>
      </c>
      <c r="RM2" s="14" t="s">
        <v>15</v>
      </c>
      <c r="RN2" s="70" t="s">
        <v>16</v>
      </c>
      <c r="RO2" s="70"/>
      <c r="RP2" s="70"/>
      <c r="RQ2" s="70"/>
      <c r="RR2" s="70"/>
      <c r="RS2" s="70" t="s">
        <v>17</v>
      </c>
      <c r="RT2" s="70"/>
      <c r="RU2" s="70"/>
      <c r="RV2" s="70"/>
      <c r="RW2" s="70"/>
      <c r="RX2" s="70" t="s">
        <v>86</v>
      </c>
      <c r="RY2" s="70"/>
      <c r="RZ2" s="70"/>
      <c r="SA2" s="70"/>
      <c r="SB2" s="70"/>
      <c r="SC2" s="70" t="s">
        <v>20</v>
      </c>
      <c r="SD2" s="70"/>
      <c r="SE2" s="70"/>
      <c r="SF2" s="70"/>
      <c r="SG2" s="70"/>
      <c r="SH2" s="13" t="s">
        <v>81</v>
      </c>
      <c r="SI2" s="13" t="s">
        <v>82</v>
      </c>
      <c r="SJ2" s="13" t="s">
        <v>18</v>
      </c>
      <c r="SK2" s="13" t="s">
        <v>63</v>
      </c>
      <c r="SL2" s="13" t="s">
        <v>83</v>
      </c>
      <c r="SM2" s="13" t="s">
        <v>19</v>
      </c>
      <c r="SN2" s="13" t="s">
        <v>21</v>
      </c>
      <c r="SO2" s="13" t="s">
        <v>87</v>
      </c>
      <c r="SP2" s="13" t="s">
        <v>88</v>
      </c>
      <c r="SQ2" s="13" t="s">
        <v>86</v>
      </c>
      <c r="SR2" s="13" t="s">
        <v>84</v>
      </c>
      <c r="SS2" s="13" t="s">
        <v>85</v>
      </c>
      <c r="ST2" s="13" t="s">
        <v>20</v>
      </c>
      <c r="SU2" s="13" t="s">
        <v>15</v>
      </c>
      <c r="SV2" s="69" t="s">
        <v>16</v>
      </c>
      <c r="SW2" s="69"/>
      <c r="SX2" s="69"/>
      <c r="SY2" s="69"/>
      <c r="SZ2" s="69"/>
      <c r="TA2" s="69" t="s">
        <v>17</v>
      </c>
      <c r="TB2" s="69"/>
      <c r="TC2" s="69"/>
      <c r="TD2" s="69"/>
      <c r="TE2" s="69"/>
      <c r="TF2" s="69" t="s">
        <v>20</v>
      </c>
      <c r="TG2" s="69"/>
      <c r="TH2" s="69"/>
      <c r="TI2" s="69"/>
      <c r="TJ2" s="69"/>
      <c r="TK2" s="14"/>
      <c r="TL2" s="14" t="s">
        <v>81</v>
      </c>
      <c r="TM2" s="14" t="s">
        <v>82</v>
      </c>
      <c r="TN2" s="14" t="s">
        <v>18</v>
      </c>
      <c r="TO2" s="14" t="s">
        <v>63</v>
      </c>
      <c r="TP2" s="14" t="s">
        <v>83</v>
      </c>
      <c r="TQ2" s="14" t="s">
        <v>19</v>
      </c>
      <c r="TR2" s="14" t="s">
        <v>21</v>
      </c>
      <c r="TS2" s="14" t="s">
        <v>84</v>
      </c>
      <c r="TT2" s="14" t="s">
        <v>85</v>
      </c>
      <c r="TU2" s="14" t="s">
        <v>20</v>
      </c>
      <c r="TV2" s="14" t="s">
        <v>15</v>
      </c>
    </row>
    <row r="3" spans="1:542" x14ac:dyDescent="0.2">
      <c r="A3" s="78"/>
      <c r="B3" s="78"/>
      <c r="C3" s="74"/>
      <c r="D3" s="74"/>
      <c r="E3" s="74"/>
      <c r="F3" s="74"/>
      <c r="G3" s="78"/>
      <c r="H3" s="78"/>
      <c r="I3" s="74"/>
      <c r="J3" s="74"/>
      <c r="K3" s="74"/>
      <c r="L3" s="75"/>
      <c r="M3" s="76"/>
      <c r="N3" s="75"/>
      <c r="O3" s="76"/>
      <c r="P3" s="75"/>
      <c r="Q3" s="76"/>
      <c r="R3" s="76"/>
      <c r="S3" s="76"/>
      <c r="T3" s="75"/>
      <c r="U3" s="76"/>
      <c r="V3" s="77"/>
      <c r="W3" s="76"/>
      <c r="X3" s="76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109</v>
      </c>
      <c r="D4" s="4" t="s">
        <v>3</v>
      </c>
      <c r="E4" s="4">
        <v>2004</v>
      </c>
      <c r="F4" s="9">
        <f t="shared" ref="F4:F33" si="0">SUM(L4:V4)+SUM(L4:T4)*0.0000001+SUM(L4)*0.0000000000001</f>
        <v>185.17001851700522</v>
      </c>
      <c r="G4" s="66" t="s">
        <v>46</v>
      </c>
      <c r="H4" s="3" t="str">
        <f t="shared" ref="H4:H33" si="1">IF(OR(AND(AO4&gt;=AY$36,AO4&lt;&gt;"",AQ4&gt;=AY$40,AQ4&lt;&gt;"",AN4=""),AND(AR4&gt;=AY$36,AR4&lt;&gt;"",AT4&gt;=AY$40,AT4&lt;&gt;"",AN4=""),AND(AV4&gt;=AY$36,AV4&lt;&gt;"",AX4&gt;=AY$40,AX4&lt;&gt;"",AN4=""),AND(BP4&gt;=BZ$36,BP4&lt;&gt;"",BR4&gt;=BZ$40,BR4&lt;&gt;"",BO4=""),AND(BS4&gt;=BZ$36,BS4&lt;&gt;"",BU4&gt;=BZ$40,BU4&lt;&gt;"",BO4=""),AND(BW4&gt;=BZ$36,BW4&lt;&gt;"",BY4&gt;=BZ$40,BY4&lt;&gt;"",BO4=""),AND(CQ4&gt;=DA$36,CQ4&lt;&gt;"",CS4&gt;=DA$40,CS4&lt;&gt;"",CP4=""),AND(CT4&gt;=DA$36,CT4&lt;&gt;"",CV4&gt;=DA$40,CV4&lt;&gt;"",CP4=""),AND(CX4&gt;=DA$36,CX4&lt;&gt;"",CZ4&gt;=DA$40,CZ4&lt;&gt;"",CP4=""),AND(DX4&gt;=EK$36,DX4&lt;&gt;"",DZ4&gt;=EK$40,DZ4&lt;&gt;""),AND(EA4&gt;=EK$36,EA4&lt;&gt;"",EC4&gt;=EK$40,EC4&lt;&gt;""),AND(EE4&gt;=EK$36,EE4&lt;&gt;"",EG4&gt;=EK$40,EG4&lt;&gt;""),AND(EH4&gt;=EK$36,EH4&lt;&gt;"",EJ4&gt;=EK$40,EJ4&lt;&gt;""),AND(FF4&gt;=FS$36,FF4&lt;&gt;"",FH4&gt;=FS$40,FH4&lt;&gt;""),AND(FI4&gt;=FS$36,FI4&lt;&gt;"",FK4&gt;=FS$40,FK4&lt;&gt;""),AND(FM4&gt;=FS$36,FM4&lt;&gt;"",FO4&gt;=FS$40,FO4&lt;&gt;""),AND(FP4&gt;=FS$36,FP4&lt;&gt;"",FR4&gt;=FS$40,FR4&lt;&gt;""),AND(GN4&gt;=HA$36,GN4&lt;&gt;"",GP4&gt;=HA$40,GP4&lt;&gt;""),AND(GQ4&gt;=HA$36,GQ4&lt;&gt;"",GS4&gt;=HA$40,GS4&lt;&gt;""),AND(GU4&gt;=HA$36,GU4&lt;&gt;"",GW4&gt;=HA$40,GW4&lt;&gt;""),AND(GX4&gt;=HA$36,GX4&lt;&gt;"",GZ4&gt;=HA$40,GZ4&lt;&gt;""),AND(HV4&gt;=II$36,HV4&lt;&gt;"",HX4&gt;=II$40,HX4&lt;&gt;""),AND(HY4&gt;=II$36,HY4&lt;&gt;"",IA4&gt;=II$40,IA4&lt;&gt;""),AND(IC4&gt;=II$36,IC4&lt;&gt;"",IE4&gt;=II$40,IE4&lt;&gt;""),AND(IF4&gt;=II$36,IF4&lt;&gt;"",IH4&gt;=II$40,IH4&lt;&gt;""),AND(JD4&gt;=JQ$36,JD4&lt;&gt;"",JF4&gt;=JQ$40,JF4&lt;&gt;""),AND(JG4&gt;=JQ$36,JG4&lt;&gt;"",JI4&gt;=JQ$40,JI4&lt;&gt;""),AND(JK4&gt;=JQ$36,JK4&lt;&gt;"",JM4&gt;=JQ$40,JM4&lt;&gt;""),AND(JN4&gt;=JQ$36,JN4&lt;&gt;"",JP4&gt;=JQ$40,JP4&lt;&gt;""),AND(KL4&gt;=KY$36,KL4&lt;&gt;"",KN4&gt;=KY$40,KN4&lt;&gt;""),AND(KO4&gt;=KY$36,KO4&lt;&gt;"",KQ4&gt;=KY$40,KQ4&lt;&gt;""),AND(KS4&gt;=KY$36,KS4&lt;&gt;"",KU4&gt;=KY$40,KU4&lt;&gt;""),AND(KV4&gt;=KY$36,KV4&lt;&gt;"",KX4&gt;=KY$40,KX4&lt;&gt;""),AND(LT4&gt;=MG$36,LT4&lt;&gt;"",LV4&gt;=MG$40,LV4&lt;&gt;""),AND(LW4&gt;=MG$36,LW4&lt;&gt;"",LY4&gt;=MG$40,LY4&lt;&gt;""),AND(MA4&gt;=MG$36,MA4&lt;&gt;"",MC4&gt;=MG$40,MC4&lt;&gt;""),AND(MD4&gt;=MG$36,MD4&lt;&gt;"",MF4&gt;=MG$40,MF4&lt;&gt;""),AND(NB4&gt;=NO$36,NB4&lt;&gt;"",ND4&gt;=NO$40,ND4&lt;&gt;""),AND(NE4&gt;=NO$36,NE4&lt;&gt;"",NG4&gt;=NO$40,NG4&lt;&gt;""),AND(NI4&gt;=NO$36,NI4&lt;&gt;"",NK4&gt;=NO$40,NK4&lt;&gt;""),AND(NL4&gt;=NO$36,NL4&lt;&gt;"",NN4&gt;=NO$40,NN4&lt;&gt;""),AND(OJ4&gt;=OW$36,OJ4&lt;&gt;"",OL4&gt;=OW$40,OL4&lt;&gt;""),AND(OM4&gt;=OW$36,OM4&lt;&gt;"",OO4&gt;=OW$40,OO4&lt;&gt;""),AND(OQ4&gt;=OW$36,OQ4&lt;&gt;"",OS4&gt;=OW$40,OS4&lt;&gt;""),AND(OT4&gt;=OW$36,OT4&lt;&gt;"",OV4&gt;=OW$40,OV4&lt;&gt;""),AND(PR4&gt;=QE$36,PR4&lt;&gt;"",PT4&gt;=QE$40,PT4&lt;&gt;""),AND(PU4&gt;=QE$36,PU4&lt;&gt;"",PW4&gt;=QE$40,PW4&lt;&gt;""),AND(PY4&gt;=QE$36,PY4&lt;&gt;"",QA4&gt;=QE$40,QA4&lt;&gt;""),AND(QB4&gt;=QE$36,QB4&lt;&gt;"",QD4&gt;=QE$40,QD4&lt;&gt;""),AND(QZ4&gt;=RM$36,QZ4&lt;&gt;"",RB4&gt;=RM$40,RB4&lt;&gt;""),AND(RC4&gt;=RM$36,RC4&lt;&gt;"",RE4&gt;=RM$40,RE4&lt;&gt;""),AND(RG4&gt;=RM$36,RG4&lt;&gt;"",RI4&gt;=RM$40,RI4&lt;&gt;""),AND(RJ4&gt;=RM$36,RJ4&lt;&gt;"",RL4&gt;=RM$40,RL4&lt;&gt;""),AND(SH4&gt;=SU$36,SH4&lt;&gt;"",SJ4&gt;=SU$40,SJ4&lt;&gt;""),AND(SK4&gt;=SU$36,SK4&lt;&gt;"",SM4&gt;=SU$40,SM4&lt;&gt;""),AND(SO4&gt;=SU$36,SO4&lt;&gt;"",SQ4&gt;=SU$40,SQ4&lt;&gt;""),AND(SR4&gt;=SU$36,SR4&lt;&gt;"",ST4&gt;=SU$40,ST4&lt;&gt;"")),"P","")</f>
        <v>P</v>
      </c>
      <c r="I4" s="3" t="str">
        <f t="shared" ref="I4:I33" si="2">IF(OR(AND(AQ4&gt;=AY$40,AQ4&lt;&gt;"",AN4=""),AND(AT4&gt;=AY$40,AT4&lt;&gt;"",AN4=""),AND(AX4&gt;=AY$40,AX4&lt;&gt;"",AN4=""),AND(BR4&gt;=BZ$40,BR4&lt;&gt;"",BO4=""),AND(BU4&gt;=BZ$40,BU4&lt;&gt;"",BO4=""),AND(BY4&gt;=BZ$40,BY4&lt;&gt;"",BO4=""),AND(CS4&gt;=DA$40,CS4&lt;&gt;"",CP4=""),AND(CV4&gt;=DA$40,CV4&lt;&gt;"",CP4=""),AND(CZ4&gt;=DA$40,CZ4&lt;&gt;"",CP4=""),AND(DZ4&gt;=EK$40,DZ4&lt;&gt;""),AND(EC4&gt;=EK$40,EC4&lt;&gt;""),AND(EG4&gt;=EK$40,EG4&lt;&gt;""),AND(EJ4&gt;=EK$40,EJ4&lt;&gt;""),AND(FH4&gt;=FS$40,FH4&lt;&gt;""),AND(FK4&gt;=FS$40,FK4&lt;&gt;""),AND(FO4&gt;=FS$40,FO4&lt;&gt;""),AND(FR4&gt;=FS$40,FR4&lt;&gt;""),AND(GP4&gt;=HA$40,GP4&lt;&gt;""),AND(GS4&gt;=HA$40,GS4&lt;&gt;""),AND(GW4&gt;=HA$40,GW4&lt;&gt;""),AND(GZ4&gt;=HA$40,GZ4&lt;&gt;""),AND(HX4&gt;=II$40,HX4&lt;&gt;""),AND(IA4&gt;=II$40,IA4&lt;&gt;""),AND(IE4&gt;=II$40,IE4&lt;&gt;""),AND(IH4&gt;=II$40,IH4&lt;&gt;""),AND(JF4&gt;=JQ$40,JF4&lt;&gt;""),AND(JI4&gt;=JQ$40,JI4&lt;&gt;""),AND(JM4&gt;=JQ$40,JM4&lt;&gt;""),AND(JP4&gt;=JQ$40,JP4&lt;&gt;""),AND(KN4&gt;=KY$40,KN4&lt;&gt;""),AND(KQ4&gt;=KY$40,KQ4&lt;&gt;""),AND(KU4&gt;=KY$40,KU4&lt;&gt;""),AND(KX4&gt;=KY$40,KX4&lt;&gt;""),AND(LV4&gt;=MG$40,LV4&lt;&gt;""),AND(LY4&gt;=MG$40,LY4&lt;&gt;""),AND(MC4&gt;=MG$40,MC4&lt;&gt;""),AND(MF4&gt;=MG$40,MF4&lt;&gt;""),AND(ND4&gt;=NO$40,ND4&lt;&gt;""),AND(NG4&gt;=NO$40,NG4&lt;&gt;""),AND(NK4&gt;=NO$40,NK4&lt;&gt;""),AND(NN4&gt;=NO$40,NN4&lt;&gt;""),AND(OL4&gt;=OW$40,OL4&lt;&gt;""),AND(OO4&gt;=OW$40,OO4&lt;&gt;""),AND(OS4&gt;=OW$40,OS4&lt;&gt;""),AND(OV4&gt;=OW$40,OV4&lt;&gt;""),AND(PT4&gt;=QE$40,PT4&lt;&gt;""),AND(PW4&gt;=QE$40,PW4&lt;&gt;""),AND(QA4&gt;=QE$40,QA4&lt;&gt;""),AND(QD4&gt;=QE$40,QD4&lt;&gt;""),AND(RB4&gt;=RM$40,RB4&lt;&gt;""),AND(RE4&gt;=RM$40,RE4&lt;&gt;""),AND(RI4&gt;=RM$40,RI4&lt;&gt;""),AND(RL4&gt;=RM$40,RL4&lt;&gt;""),AND(SJ4&gt;=SU$40,SJ4&lt;&gt;""),AND(SM4&gt;=SU$40,SM4&lt;&gt;""),AND(SQ4&gt;=SU$40,SQ4&lt;&gt;""),AND(ST4&gt;=SU$40,ST4&lt;&gt;"")),"P","")</f>
        <v>P</v>
      </c>
      <c r="J4" s="36" t="str">
        <f t="shared" ref="J4:J33" si="3">IF(AND(I4="P",H4=""),"No DD",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Merit",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Excellence",IF(K4="P","Worlds Team",IF(H4="P","National Team","")))))</f>
        <v>National Team</v>
      </c>
      <c r="K4" s="3" t="str">
        <f t="shared" ref="K4:K33" si="4">IF(OR(AND(AO4&gt;=AY$37,AO4&lt;&gt;"",AQ4&gt;=AY$41,AQ4&lt;&gt;"",AN4=""),AND(AR4&gt;=AY$37,AR4&lt;&gt;"",AT4&gt;=AY$41,AT4&lt;&gt;"",AN4=""),AND(AV4&gt;=AY$37,AV4&lt;&gt;"",AX4&gt;=AY$41,AX4&lt;&gt;"",AN4=""),AND(BP4&gt;=BZ$37,BP4&lt;&gt;"",BR4&gt;=BZ$41,BR4&lt;&gt;"",BO4=""),AND(BS4&gt;=BZ$37,BS4&lt;&gt;"",BU4&gt;=BZ$41,BU4&lt;&gt;"",BO4=""),AND(BW4&gt;=BZ$37,BW4&lt;&gt;"",BY4&gt;=BZ$41,BY4&lt;&gt;"",BO4=""),AND(CQ4&gt;=DA$37,CQ4&lt;&gt;"",CS4&gt;=DA$41,CS4&lt;&gt;"",CP4=""),AND(CT4&gt;=DA$37,CT4&lt;&gt;"",CV4&gt;=DA$41,CV4&lt;&gt;"",CP4=""),AND(CX4&gt;=DA$37,CX4&lt;&gt;"",CZ4&gt;=DA$41,CZ4&lt;&gt;"",CP4=""),AND(DX4&gt;=EK$37,DX4&lt;&gt;"",DZ4&gt;=EK$41,DZ4&lt;&gt;""),AND(EA4&gt;=EK$37,EA4&lt;&gt;"",EC4&gt;=EK$41,EC4&lt;&gt;""),AND(EE4&gt;=EK$37,EE4&lt;&gt;"",EG4&gt;=EK$41,EG4&lt;&gt;""),AND(EH4&gt;=EK$37,EH4&lt;&gt;"",EJ4&gt;=EK$41,EJ4&lt;&gt;""),AND(FF4&gt;=FS$37,FF4&lt;&gt;"",FH4&gt;=FS$41,FH4&lt;&gt;""),AND(FI4&gt;=FS$37,FI4&lt;&gt;"",FK4&gt;=FS$41,FK4&lt;&gt;""),AND(FM4&gt;=FS$37,FM4&lt;&gt;"",FO4&gt;=FS$41,FO4&lt;&gt;""),AND(FP4&gt;=FS$37,FP4&lt;&gt;"",FR4&gt;=FS$41,FR4&lt;&gt;""),AND(GN4&gt;=HA$37,GN4&lt;&gt;"",GP4&gt;=HA$41,GP4&lt;&gt;""),AND(GQ4&gt;=HA$37,GQ4&lt;&gt;"",GS4&gt;=HA$41,GS4&lt;&gt;""),AND(GU4&gt;=HA$37,GU4&lt;&gt;"",GW4&gt;=HA$41,GW4&lt;&gt;""),AND(GX4&gt;=HA$37,GX4&lt;&gt;"",GZ4&gt;=HA$41,GZ4&lt;&gt;""),AND(HV4&gt;=II$37,HV4&lt;&gt;"",HX4&gt;=II$41,HX4&lt;&gt;""),AND(HY4&gt;=II$37,HY4&lt;&gt;"",IA4&gt;=II$41,IA4&lt;&gt;""),AND(IC4&gt;=II$37,IC4&lt;&gt;"",IE4&gt;=II$41,IE4&lt;&gt;""),AND(IF4&gt;=II$37,IF4&lt;&gt;"",IH4&gt;=II$41,IH4&lt;&gt;""),AND(JD4&gt;=JQ$37,JD4&lt;&gt;"",JF4&gt;=JQ$41,JF4&lt;&gt;""),AND(JG4&gt;=JQ$37,JG4&lt;&gt;"",JI4&gt;=JQ$41,JI4&lt;&gt;""),AND(JK4&gt;=JQ$37,JK4&lt;&gt;"",JM4&gt;=JQ$41,JM4&lt;&gt;""),AND(JN4&gt;=JQ$37,JN4&lt;&gt;"",JP4&gt;=JQ$41,JP4&lt;&gt;""),AND(KL4&gt;=KY$37,KL4&lt;&gt;"",KN4&gt;=KY$41,KN4&lt;&gt;""),AND(KO4&gt;=KY$37,KO4&lt;&gt;"",KQ4&gt;=KY$41,KQ4&lt;&gt;""),AND(KS4&gt;=KY$37,KS4&lt;&gt;"",KU4&gt;=KY$41,KU4&lt;&gt;""),AND(KV4&gt;=KY$37,KV4&lt;&gt;"",KX4&gt;=KY$41,KX4&lt;&gt;""),AND(LT4&gt;=MG$37,LT4&lt;&gt;"",LV4&gt;=MG$41,LV4&lt;&gt;""),AND(LW4&gt;=MG$37,LW4&lt;&gt;"",LY4&gt;=MG$41,LY4&lt;&gt;""),AND(MA4&gt;=MG$37,MA4&lt;&gt;"",MC4&gt;=MG$41,MC4&lt;&gt;""),AND(MD4&gt;=MG$37,MD4&lt;&gt;"",MF4&gt;=MG$41,MF4&lt;&gt;""),AND(NB4&gt;=NO$37,NB4&lt;&gt;"",ND4&gt;=NO$41,ND4&lt;&gt;""),AND(NE4&gt;=NO$37,NE4&lt;&gt;"",NG4&gt;=NO$41,NG4&lt;&gt;""),AND(NI4&gt;=NO$37,NI4&lt;&gt;"",NK4&gt;=NO$41,NK4&lt;&gt;""),AND(NL4&gt;=NO$37,NL4&lt;&gt;"",NN4&gt;=NO$41,NN4&lt;&gt;""),AND(OJ4&gt;=OW$37,OJ4&lt;&gt;"",OL4&gt;=OW$41,OL4&lt;&gt;""),AND(OM4&gt;=OW$37,OM4&lt;&gt;"",OO4&gt;=OW$41,OO4&lt;&gt;""),AND(OQ4&gt;=OW$37,OQ4&lt;&gt;"",OS4&gt;=OW$41,OS4&lt;&gt;""),AND(OT4&gt;=OW$37,OT4&lt;&gt;"",OV4&gt;=OW$41,OV4&lt;&gt;""),AND(PR4&gt;=QE$37,PR4&lt;&gt;"",PT4&gt;=QE$41,PT4&lt;&gt;""),AND(PU4&gt;=QE$37,PU4&lt;&gt;"",PW4&gt;=QE$41,PW4&lt;&gt;""),AND(PY4&gt;=QE$37,PY4&lt;&gt;"",QA4&gt;=QE$41,QA4&lt;&gt;""),AND(QB4&gt;=QE$37,QB4&lt;&gt;"",QD4&gt;=QE$41,QD4&lt;&gt;""),AND(QZ4&gt;=RM$37,QZ4&lt;&gt;"",RB4&gt;=RM$41,RB4&lt;&gt;""),AND(RC4&gt;=RM$37,RC4&lt;&gt;"",RE4&gt;=RM$41,RE4&lt;&gt;""),AND(RG4&gt;=RM$37,RG4&lt;&gt;"",RI4&gt;=RM$41,RI4&lt;&gt;""),AND(RJ4&gt;=RM$37,RJ4&lt;&gt;"",RL4&gt;=RM$41,RL4&lt;&gt;""),AND(SH4&gt;=SU$37,SH4&lt;&gt;"",SJ4&gt;=SU$41,SJ4&lt;&gt;""),AND(SK4&gt;=SU$37,SK4&lt;&gt;"",SM4&gt;=SU$41,SM4&lt;&gt;""),AND(SO4&gt;=SU$37,SO4&lt;&gt;"",SQ4&gt;=SU$41,SQ4&lt;&gt;""),AND(SR4&gt;=SU$37,SR4&lt;&gt;"",ST4&gt;=SU$41,ST4&lt;&gt;"")),"P","")</f>
        <v/>
      </c>
      <c r="L4" s="8">
        <f>IF(COUNT(AQ4,AT4,BR4,BU4,CS4,CV4)&gt;0,LARGE((AQ4,AT4,BR4,BU4,CS4,CV4),1),0)</f>
        <v>52.349999999999994</v>
      </c>
      <c r="M4" s="8" t="str">
        <f t="shared" ref="M4:M33" si="5">IF(L4="","",IF(OR(L4=CS4,L4=CV4),$CA$1,IF(OR(L4=BR4,L4=BU4),$AZ$1,IF(OR(L4=AQ4,L4=AT4),$Y$1,""))))</f>
        <v>2023 3rd Domestic Trial</v>
      </c>
      <c r="N4" s="8">
        <f>IF(COUNT(AQ4,AT4,BR4,BU4,CS4,CV4)&gt;1,LARGE((AQ4,AT4,BR4,BU4,CS4,CV4),2),0)</f>
        <v>51.870000000000005</v>
      </c>
      <c r="O4" s="8" t="str">
        <f t="shared" ref="O4:O33" si="6"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52.400000000000006</v>
      </c>
      <c r="Q4" s="8" t="str">
        <f t="shared" ref="Q4:Q33" si="7">IF(P4="","",IF(OR(P4=CS4,P4=CV4,P4=CZ4),$CA$1,IF(OR(P4=BR4,P4=BU4,P4=BY4),$AZ$1,IF(OR(P4=AQ4,P4=AT4,P4=AX4),$Y$1,""))))</f>
        <v>2023 Nationals</v>
      </c>
      <c r="R4" s="8">
        <f t="shared" ref="R4:R33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13.6</v>
      </c>
      <c r="S4" s="8" t="str">
        <f t="shared" ref="S4:S33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3rd Domestic Trial</v>
      </c>
      <c r="T4" s="8">
        <f t="shared" ref="T4:T33" si="10">IF(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&gt;0,MAX(IF(AO4&gt;=$AY$36,AP4,0),IF(AR4&gt;=$AY$36,AS4,0),IF(AV4&gt;=$AY$36,AW4,0),IF(BP4&gt;=$BZ$36,BQ4,0),IF(BS4&gt;=$BZ$36,BT4,0),IF(BW4&gt;=$BZ$36,BX4,0),IF(CQ4&gt;=$DA$36,CR4,0),IF(CT4&gt;=$DA$36,CU4,0),IF(CX4&gt;=$DA$36,CY4,0),IF(DX4&gt;=$EK$36,DY4,0),IF(EA4&gt;=$EK$36,EB4,0),IF(EE4&gt;=$EK$36,EF4,0),IF(EH4&gt;=$EK$36,EI4,0),IF(FF4&gt;=$FS$36,FG4,0),IF(FI4&gt;=$FS$36,FJ4,0),IF(FM4&gt;=$FS$36,FN4,0),IF(FP4&gt;=$FS$36,FQ4,0),IF(GN4&gt;=$HA$36,GO4,0),IF(GQ4&gt;=$HA$36,GR4,0),IF(GU4&gt;=$HA$36,GV4,0),IF(GX4&gt;=$HA$36,GY4,0),IF(HV4&gt;=$II$36,HW4,0),IF(HY4&gt;=$II$36,HZ4,0),IF(IC4&gt;=$II$36,ID4,0),IF(IF4&gt;=$II$36,IG4,0),IF(JD4&gt;=$JQ$36,JE4,0),IF(JG4&gt;=$JQ$36,JH4,0),IF(JK4&gt;=$JQ$36,JL4,0),IF(JN4&gt;=$JQ$36,JO4,0),IF(KL4&gt;=$KY$36,KM4,0),IF(KO4&gt;=$KY$36,KP4,0),IF(KS4&gt;=$KY$36,KT4,0),IF(KV4&gt;=$KY$36,KW4,0),IF(LT4&gt;=$MG$36,LU4,0),IF(LW4&gt;=$MG$36,LX4,0),IF(MA4&gt;=$MG$36,MB4,0),IF(MD4&gt;=$MG$36,ME4,0),IF(NB4&gt;=$NO$36,NC4,0),IF(NE4&gt;=$NO$36,NF4,0),IF(NI4&gt;=$NO$36,NJ4,0),IF(NL4&gt;=$NO$36,NM4,0),IF(OJ4&gt;=$OW$36,OK4,0),IF(OM4&gt;=$OW$36,ON4,0),IF(OQ4&gt;=$OW$36,OR4,0),IF(OT4&gt;=$OW$36,OU4,0),IF(PR4&gt;=$QE$36,PS4,0),IF(PU4&gt;=$QE$36,PV4,0),IF(PY4&gt;=$QE$36,PZ4,0),IF(QB4&gt;=$QE$36,QC4,0),IF(QZ4&gt;=$RM$36,RA4,0),IF(RC4&gt;=$RM$36,RD4,0),IF(RG4&gt;=$RM$36,RH4,0),IF(RJ4&gt;=$RM$36,RK4,0),IF(SH4&gt;=$SU$36,SI4,0),IF(SK4&gt;=$SU$36,SL4,0),IF(SO4&gt;=$SU$36,SP4,0),IF(SR4&gt;=$SU$36,SS4,0)),0)</f>
        <v>14.95</v>
      </c>
      <c r="U4" s="8" t="str">
        <f t="shared" ref="U4:U33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 t="shared" ref="V4:V33" si="12">IF(MAX(DB4,DC4)&gt;0,MAX(DB4,DC4),"")</f>
        <v/>
      </c>
      <c r="W4" s="11" t="str">
        <f t="shared" ref="W4:W33" si="13">IF(V4="","",IF(V4=DB4,"("&amp;DB$2&amp;")",IF(V4=DC4,"("&amp;DC$2&amp;")")))</f>
        <v/>
      </c>
      <c r="X4" s="8" t="str">
        <f>IF(V4="","",IF(V4=DB4,IF(V4+IF(P4="",0,P4)=SN4,$RN$1,IF(V4+IF(P4="",0,P4)=RF4,$QF$1,IF(V4+IF(P4="",0,P4)=PX4,$OX$1,IF(V4+IF(P4="",0,P4)=OP4,$NP$1,IF(V4+IF(P4="",0,P4)=NH4,$MH$1,IF(V4+IF(P4="",0,P4)=LZ4,$KZ$1,IF(V4+IF(P4="",0,P4)=KR4,$JR$1,IF(V4+IF(P4="",0,P4)=JJ4,$IJ$1,IF(V4+IF(P4="",0,P4)=IB4,$HB$1,IF(V4+IF(P4="",0,P4)=GT4,$FT$1,IF(V4+IF(P4="",0,P4)=FL4,$EL$1,IF(V4+IF(P4="",0,P4)=ED4,$DD$1)))))))))))),IF(V4=DC4,IF(V4+IF(#REF!="",0,#REF!)=ST4,$RN$1,IF(V4+IF(#REF!="",0,#REF!)=RL4,$QF$1,IF(V4+IF(#REF!="",0,#REF!)=QD4,$OX$1,IF(V4+IF(#REF!="",0,#REF!)=OV4,$NP$1,IF(V4+IF(#REF!="",0,#REF!)=NN4,$MH$1,IF(V4+IF(#REF!="",0,#REF!)=MF4,$KZ$1,IF(V4+IF(#REF!="",0,#REF!)=KX4,$JR$1,IF(V4+IF(#REF!="",0,#REF!)=JP4,$IJ$1,IF(V4+IF(#REF!="",0,#REF!)=IH4,$HB$1,IF(V4+IF(#REF!="",0,#REF!)=GZ4,$FT$1,IF(V4+IF(#REF!="",0,#REF!)=FR4,$EL$1,IF(V4+IF(#REF!="",0,#REF!)=EJ4,$DD$1,IF(V4+IF(#REF!="",0,#REF!)=SQ4,$RN$1,IF(V4+IF(#REF!="",0,#REF!)=RI4,$QF$1,IF(V4+IF(#REF!="",0,#REF!)=QA4,$OX$1,IF(V4+IF(#REF!="",0,#REF!)=OS4,$NP$1,IF(V4+IF(#REF!="",0,#REF!)=NK4,$MH$1,IF(V4+IF(#REF!="",0,#REF!)=MC4,$KZ$1,IF(V4+IF(#REF!="",0,#REF!)=KU4,$JR$1,IF(V4+IF(#REF!="",0,#REF!)=JM4,$IJ$1,IF(V4+IF(#REF!="",0,#REF!)=IE4,$HB$1,IF(V4+IF(#REF!="",0,#REF!)=GW4,$FT$1,IF(V4+IF(#REF!="",0,#REF!)=FO4,$EL$1,IF(V4+IF(#REF!="",0,#REF!)=EG4,$DD$1)))))))))))))))))))))))))))</f>
        <v/>
      </c>
      <c r="Y4" s="22">
        <v>11.2</v>
      </c>
      <c r="Z4" s="22">
        <v>9.1</v>
      </c>
      <c r="AA4" s="22">
        <v>11.5</v>
      </c>
      <c r="AB4" s="22">
        <v>14.25</v>
      </c>
      <c r="AC4" s="22">
        <v>0</v>
      </c>
      <c r="AD4" s="22">
        <v>14.8</v>
      </c>
      <c r="AE4" s="22">
        <v>9.6</v>
      </c>
      <c r="AF4" s="22">
        <v>12.7</v>
      </c>
      <c r="AG4" s="22">
        <v>14.05</v>
      </c>
      <c r="AH4" s="22">
        <v>0</v>
      </c>
      <c r="AI4" s="22">
        <v>14.9</v>
      </c>
      <c r="AJ4" s="22">
        <v>9.6999999999999993</v>
      </c>
      <c r="AK4" s="22">
        <v>12.7</v>
      </c>
      <c r="AL4" s="22">
        <v>14.33</v>
      </c>
      <c r="AM4" s="22">
        <v>0</v>
      </c>
      <c r="AN4" s="27"/>
      <c r="AO4" s="38">
        <f t="shared" ref="AO4:AO33" si="14">IF(AA4&gt;0,AA4,"")</f>
        <v>11.5</v>
      </c>
      <c r="AP4" s="38">
        <f t="shared" ref="AP4:AP33" si="15">IF(AB4&gt;0,AB4,"")</f>
        <v>14.25</v>
      </c>
      <c r="AQ4" s="40">
        <f t="shared" ref="AQ4:AQ33" si="16">IF(SUM(Y4:AB4)-AC4&gt;0,SUM(Y4:AB4)-AC4,"")</f>
        <v>46.05</v>
      </c>
      <c r="AR4" s="40">
        <f t="shared" ref="AR4:AR33" si="17">IF(AF4&gt;0,AF4,"")</f>
        <v>12.7</v>
      </c>
      <c r="AS4" s="40">
        <f t="shared" ref="AS4:AS33" si="18">IF(AG4&gt;0,AG4,"")</f>
        <v>14.05</v>
      </c>
      <c r="AT4" s="40">
        <f t="shared" ref="AT4:AT33" si="19">IF(SUM(AD4:AG4)-AH4&gt;0,SUM(AD4:AG4)-AH4,"")</f>
        <v>51.149999999999991</v>
      </c>
      <c r="AU4" s="40">
        <f t="shared" ref="AU4:AU33" si="20">IF(AQ4="","",MAX(AQ4,AT4))</f>
        <v>51.149999999999991</v>
      </c>
      <c r="AV4" s="40">
        <f t="shared" ref="AV4:AV33" si="21">IF(AK4&gt;0,AK4,"")</f>
        <v>12.7</v>
      </c>
      <c r="AW4" s="40">
        <f t="shared" ref="AW4:AW33" si="22">IF(AL4&gt;0,AL4,"")</f>
        <v>14.33</v>
      </c>
      <c r="AX4" s="40">
        <f t="shared" ref="AX4:AX33" si="23">IF(SUM(AI4:AL4)-AM4&gt;0,SUM(AI4:AL4)-AM4,"")</f>
        <v>51.629999999999995</v>
      </c>
      <c r="AY4" s="40">
        <f t="shared" ref="AY4:AY33" si="24">IF(SUM(AU4,AX4)&gt;0,SUM(AU4,AX4),"")</f>
        <v>102.77999999999999</v>
      </c>
      <c r="AZ4" s="26">
        <v>13.5</v>
      </c>
      <c r="BA4" s="26">
        <v>9.8000000000000007</v>
      </c>
      <c r="BB4" s="26">
        <v>13.4</v>
      </c>
      <c r="BC4" s="26">
        <v>14.14</v>
      </c>
      <c r="BD4" s="26">
        <v>0</v>
      </c>
      <c r="BE4" s="26">
        <v>1.4</v>
      </c>
      <c r="BF4" s="26">
        <v>0.8</v>
      </c>
      <c r="BG4" s="26">
        <v>2</v>
      </c>
      <c r="BH4" s="26">
        <v>1.53</v>
      </c>
      <c r="BI4" s="26">
        <v>0</v>
      </c>
      <c r="BJ4" s="26">
        <v>14.9</v>
      </c>
      <c r="BK4" s="26">
        <v>9.1999999999999993</v>
      </c>
      <c r="BL4" s="26">
        <v>13.6</v>
      </c>
      <c r="BM4" s="26">
        <v>14.7</v>
      </c>
      <c r="BN4" s="26">
        <v>0</v>
      </c>
      <c r="BO4" s="28"/>
      <c r="BP4" s="39">
        <f t="shared" ref="BP4:BP33" si="25">IF(BB4&gt;0,BB4,"")</f>
        <v>13.4</v>
      </c>
      <c r="BQ4" s="39">
        <f t="shared" ref="BQ4:BQ33" si="26">IF(BC4&gt;0,BC4,"")</f>
        <v>14.14</v>
      </c>
      <c r="BR4" s="11">
        <f t="shared" ref="BR4:BR33" si="27">IF(SUM(AZ4:BC4)-BD4&gt;0,SUM(AZ4:BC4)-BD4,"")</f>
        <v>50.84</v>
      </c>
      <c r="BS4" s="11">
        <f t="shared" ref="BS4:BS33" si="28">IF(BG4&gt;0,BG4,"")</f>
        <v>2</v>
      </c>
      <c r="BT4" s="11">
        <f t="shared" ref="BT4:BT33" si="29">IF(BH4&gt;0,BH4,"")</f>
        <v>1.53</v>
      </c>
      <c r="BU4" s="11">
        <f t="shared" ref="BU4:BU33" si="30">IF(SUM(BE4:BH4)-BI4&gt;0,SUM(BE4:BH4)-BI4,"")</f>
        <v>5.73</v>
      </c>
      <c r="BV4" s="11">
        <f t="shared" ref="BV4:BV33" si="31">IF(BR4="","",MAX(BR4,BU4))</f>
        <v>50.84</v>
      </c>
      <c r="BW4" s="11">
        <f t="shared" ref="BW4:BW33" si="32">IF(BL4&gt;0,BL4,"")</f>
        <v>13.6</v>
      </c>
      <c r="BX4" s="11">
        <f t="shared" ref="BX4:BX33" si="33">IF(BM4&gt;0,BM4,"")</f>
        <v>14.7</v>
      </c>
      <c r="BY4" s="11">
        <f t="shared" ref="BY4:BY33" si="34">IF(SUM(BJ4:BM4)-BN4&gt;0,SUM(BJ4:BM4)-BN4,"")</f>
        <v>52.400000000000006</v>
      </c>
      <c r="BZ4" s="11">
        <f t="shared" ref="BZ4:BZ33" si="35">IF(SUM(BV4,BY4)&gt;0,SUM(BV4,BY4),"")</f>
        <v>103.24000000000001</v>
      </c>
      <c r="CA4" s="22">
        <v>14.3</v>
      </c>
      <c r="CB4" s="22">
        <v>9.4</v>
      </c>
      <c r="CC4" s="22">
        <v>13.4</v>
      </c>
      <c r="CD4" s="22">
        <v>14.77</v>
      </c>
      <c r="CE4" s="22">
        <v>0</v>
      </c>
      <c r="CF4" s="22">
        <v>14.2</v>
      </c>
      <c r="CG4" s="22">
        <v>9.6</v>
      </c>
      <c r="CH4" s="22">
        <v>13.6</v>
      </c>
      <c r="CI4" s="22">
        <v>14.95</v>
      </c>
      <c r="CJ4" s="22">
        <v>0</v>
      </c>
      <c r="CK4" s="22">
        <v>13.1</v>
      </c>
      <c r="CL4" s="22">
        <v>8.3000000000000007</v>
      </c>
      <c r="CM4" s="22">
        <v>13.6</v>
      </c>
      <c r="CN4" s="22">
        <v>14.1</v>
      </c>
      <c r="CO4" s="22">
        <v>0</v>
      </c>
      <c r="CP4" s="27"/>
      <c r="CQ4" s="38">
        <f t="shared" ref="CQ4:CQ33" si="36">IF(CC4&gt;0,CC4,"")</f>
        <v>13.4</v>
      </c>
      <c r="CR4" s="38">
        <f t="shared" ref="CR4:CR33" si="37">IF(CD4&gt;0,CD4,"")</f>
        <v>14.77</v>
      </c>
      <c r="CS4" s="40">
        <f t="shared" ref="CS4:CS33" si="38">IF(SUM(CA4:CD4)-CE4&gt;0,SUM(CA4:CD4)-CE4,"")</f>
        <v>51.870000000000005</v>
      </c>
      <c r="CT4" s="40">
        <f t="shared" ref="CT4:CT33" si="39">IF(CH4&gt;0,CH4,"")</f>
        <v>13.6</v>
      </c>
      <c r="CU4" s="40">
        <f t="shared" ref="CU4:CU33" si="40">IF(CI4&gt;0,CI4,"")</f>
        <v>14.95</v>
      </c>
      <c r="CV4" s="40">
        <f t="shared" ref="CV4:CV33" si="41">IF(SUM(CF4:CI4)-CJ4&gt;0,SUM(CF4:CI4)-CJ4,"")</f>
        <v>52.349999999999994</v>
      </c>
      <c r="CW4" s="40">
        <f t="shared" ref="CW4:CW33" si="42">IF(CS4="","",MAX(CS4,CV4))</f>
        <v>52.349999999999994</v>
      </c>
      <c r="CX4" s="40">
        <f t="shared" ref="CX4:CX33" si="43">IF(CM4&gt;0,CM4,"")</f>
        <v>13.6</v>
      </c>
      <c r="CY4" s="40">
        <f t="shared" ref="CY4:CY33" si="44">IF(CN4&gt;0,CN4,"")</f>
        <v>14.1</v>
      </c>
      <c r="CZ4" s="40">
        <f t="shared" ref="CZ4:CZ33" si="45">IF(SUM(CK4:CN4)-CO4&gt;0,SUM(CK4:CN4)-CO4,"")</f>
        <v>49.1</v>
      </c>
      <c r="DA4" s="40">
        <f t="shared" ref="DA4:DA33" si="46">IF(SUM(CW4,CZ4)&gt;0,SUM(CW4,CZ4),"")</f>
        <v>101.44999999999999</v>
      </c>
      <c r="DB4" s="50" t="str">
        <f t="shared" ref="DB4:DB33" si="47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33" si="48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3" si="49">IF(DF4&gt;0,DF4,"")</f>
        <v/>
      </c>
      <c r="DY4" s="40" t="str">
        <f t="shared" ref="DY4:DY33" si="50">IF(DG4&gt;0,DG4,"")</f>
        <v/>
      </c>
      <c r="DZ4" s="40" t="str">
        <f t="shared" ref="DZ4:DZ33" si="51">IF(SUM(DD4:DG4)-DH4&gt;0,SUM(DD4:DG4)-DH4,"")</f>
        <v/>
      </c>
      <c r="EA4" s="40" t="str">
        <f t="shared" ref="EA4:EA33" si="52">IF(DK4&gt;0,DK4,"")</f>
        <v/>
      </c>
      <c r="EB4" s="40" t="str">
        <f t="shared" ref="EB4:EB33" si="53">IF(DL4&gt;0,DL4,"")</f>
        <v/>
      </c>
      <c r="EC4" s="40" t="str">
        <f t="shared" ref="EC4:EC33" si="54">IF(SUM(DI4:DL4)-DM4&gt;0,SUM(DI4:DL4)-DM4,"")</f>
        <v/>
      </c>
      <c r="ED4" s="40" t="str">
        <f t="shared" ref="ED4:ED33" si="55">IF(MAX(DZ4,EC4)&gt;0,MAX(DZ4,EC4),"")</f>
        <v/>
      </c>
      <c r="EE4" s="40" t="str">
        <f t="shared" ref="EE4:EE33" si="56">IF(DP4&gt;0,DP4,"")</f>
        <v/>
      </c>
      <c r="EF4" s="40" t="str">
        <f t="shared" ref="EF4:EF33" si="57">IF(DQ4&gt;0,DQ4,"")</f>
        <v/>
      </c>
      <c r="EG4" s="40" t="str">
        <f t="shared" ref="EG4:EG33" si="58">IF(SUM(DN4:DQ4)-DR4&gt;0,SUM(DN4:DQ4)-DR4,"")</f>
        <v/>
      </c>
      <c r="EH4" s="40" t="str">
        <f t="shared" ref="EH4:EH33" si="59">IF(DU4&gt;0,DU4,"")</f>
        <v/>
      </c>
      <c r="EI4" s="40" t="str">
        <f t="shared" ref="EI4:EI33" si="60">IF(DV4&gt;0,DV4,"")</f>
        <v/>
      </c>
      <c r="EJ4" s="40" t="str">
        <f t="shared" ref="EJ4:EJ33" si="61">IF(SUM(DS4:DV4)-DW4&gt;0,SUM(DS4:DV4)-DW4,"")</f>
        <v/>
      </c>
      <c r="EK4" s="40" t="str">
        <f t="shared" ref="EK4:EK33" si="62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33" si="63">IF(EN4&gt;0,EN4,"")</f>
        <v/>
      </c>
      <c r="FG4" s="11" t="str">
        <f t="shared" ref="FG4:FG33" si="64">IF(EO4&gt;0,EO4,"")</f>
        <v/>
      </c>
      <c r="FH4" s="11" t="str">
        <f t="shared" ref="FH4:FH33" si="65">IF(SUM(EL4:EO4)-EP4&gt;0,SUM(EL4:EO4)-EP4,"")</f>
        <v/>
      </c>
      <c r="FI4" s="11" t="str">
        <f t="shared" ref="FI4:FI33" si="66">IF(ES4&gt;0,ES4,"")</f>
        <v/>
      </c>
      <c r="FJ4" s="11" t="str">
        <f t="shared" ref="FJ4:FJ33" si="67">IF(ET4&gt;0,ET4,"")</f>
        <v/>
      </c>
      <c r="FK4" s="11" t="str">
        <f t="shared" ref="FK4:FK33" si="68">IF(SUM(EQ4:ET4)-EU4&gt;0,SUM(EQ4:ET4)-EU4,"")</f>
        <v/>
      </c>
      <c r="FL4" s="11" t="str">
        <f t="shared" ref="FL4:FL33" si="69">IF(MAX(FH4,FK4)&gt;0,MAX(FH4,FK4),"")</f>
        <v/>
      </c>
      <c r="FM4" s="11" t="str">
        <f t="shared" ref="FM4:FM33" si="70">IF(EX4&gt;0,EX4,"")</f>
        <v/>
      </c>
      <c r="FN4" s="11" t="str">
        <f t="shared" ref="FN4:FN33" si="71">IF(EY4&gt;0,EY4,"")</f>
        <v/>
      </c>
      <c r="FO4" s="11" t="str">
        <f t="shared" ref="FO4:FO33" si="72">IF(SUM(EV4:EY4)-EZ4&gt;0,SUM(EV4:EY4)-EZ4,"")</f>
        <v/>
      </c>
      <c r="FP4" s="11" t="str">
        <f t="shared" ref="FP4:FP33" si="73">IF(FC4&gt;0,FC4,"")</f>
        <v/>
      </c>
      <c r="FQ4" s="11" t="str">
        <f t="shared" ref="FQ4:FQ33" si="74">IF(FD4&gt;0,FD4,"")</f>
        <v/>
      </c>
      <c r="FR4" s="11" t="str">
        <f t="shared" ref="FR4:FR33" si="75">IF(SUM(FA4:FD4)-FE4&gt;0,SUM(FA4:FD4)-FE4,"")</f>
        <v/>
      </c>
      <c r="FS4" s="11" t="str">
        <f t="shared" ref="FS4:FS33" si="76">IF(SUM(FL4,FO4,FR4)&gt;0,SUM(FL4,FO4,FR4),"")</f>
        <v/>
      </c>
      <c r="FT4" s="17">
        <v>13.8</v>
      </c>
      <c r="FU4" s="17">
        <v>9.5</v>
      </c>
      <c r="FV4" s="17">
        <v>12.7</v>
      </c>
      <c r="FW4" s="17">
        <v>14.7</v>
      </c>
      <c r="FX4" s="17">
        <v>0</v>
      </c>
      <c r="FY4" s="17">
        <v>14</v>
      </c>
      <c r="FZ4" s="17">
        <v>8.8000000000000007</v>
      </c>
      <c r="GA4" s="17">
        <v>12.9</v>
      </c>
      <c r="GB4" s="17">
        <v>14.44</v>
      </c>
      <c r="GC4" s="17">
        <v>0</v>
      </c>
      <c r="GD4" s="17"/>
      <c r="GE4" s="17"/>
      <c r="GF4" s="17"/>
      <c r="GG4" s="17"/>
      <c r="GH4" s="17"/>
      <c r="GI4" s="17">
        <v>14.2</v>
      </c>
      <c r="GJ4" s="17">
        <v>9.4</v>
      </c>
      <c r="GK4" s="17">
        <v>12.9</v>
      </c>
      <c r="GL4" s="17">
        <v>14.59</v>
      </c>
      <c r="GM4" s="17">
        <v>0</v>
      </c>
      <c r="GN4" s="40">
        <f t="shared" ref="GN4:GN33" si="77">IF(FV4&gt;0,FV4,"")</f>
        <v>12.7</v>
      </c>
      <c r="GO4" s="40">
        <f t="shared" ref="GO4:GO33" si="78">IF(FW4&gt;0,FW4,"")</f>
        <v>14.7</v>
      </c>
      <c r="GP4" s="40">
        <f t="shared" ref="GP4:GP33" si="79">IF(SUM(FT4:FW4)-FX4&gt;0,SUM(FT4:FW4)-FX4,"")</f>
        <v>50.7</v>
      </c>
      <c r="GQ4" s="40">
        <f t="shared" ref="GQ4:GQ33" si="80">IF(GA4&gt;0,GA4,"")</f>
        <v>12.9</v>
      </c>
      <c r="GR4" s="40">
        <f t="shared" ref="GR4:GR33" si="81">IF(GB4&gt;0,GB4,"")</f>
        <v>14.44</v>
      </c>
      <c r="GS4" s="40">
        <f t="shared" ref="GS4:GS33" si="82">IF(SUM(FY4:GB4)-GC4&gt;0,SUM(FY4:GB4)-GC4,"")</f>
        <v>50.14</v>
      </c>
      <c r="GT4" s="40">
        <f t="shared" ref="GT4:GT33" si="83">IF(MAX(GP4,GS4)&gt;0,MAX(GP4,GS4),"")</f>
        <v>50.7</v>
      </c>
      <c r="GU4" s="40" t="str">
        <f t="shared" ref="GU4:GU33" si="84">IF(GF4&gt;0,GF4,"")</f>
        <v/>
      </c>
      <c r="GV4" s="40" t="str">
        <f t="shared" ref="GV4:GV33" si="85">IF(GG4&gt;0,GG4,"")</f>
        <v/>
      </c>
      <c r="GW4" s="40" t="str">
        <f t="shared" ref="GW4:GW33" si="86">IF(SUM(GD4:GG4)-GH4&gt;0,SUM(GD4:GG4)-GH4,"")</f>
        <v/>
      </c>
      <c r="GX4" s="40">
        <f t="shared" ref="GX4:GX33" si="87">IF(GK4&gt;0,GK4,"")</f>
        <v>12.9</v>
      </c>
      <c r="GY4" s="40">
        <f t="shared" ref="GY4:GY33" si="88">IF(GL4&gt;0,GL4,"")</f>
        <v>14.59</v>
      </c>
      <c r="GZ4" s="40">
        <f t="shared" ref="GZ4:GZ33" si="89">IF(SUM(GI4:GL4)-GM4&gt;0,SUM(GI4:GL4)-GM4,"")</f>
        <v>51.09</v>
      </c>
      <c r="HA4" s="40">
        <f t="shared" ref="HA4:HA33" si="90">IF(SUM(GT4,GW4,GZ4)&gt;0,SUM(GT4,GW4,GZ4),"")</f>
        <v>101.79</v>
      </c>
      <c r="HB4" s="18">
        <v>12.9</v>
      </c>
      <c r="HC4" s="18">
        <v>9.1</v>
      </c>
      <c r="HD4" s="18">
        <v>13.4</v>
      </c>
      <c r="HE4" s="18">
        <v>14.46</v>
      </c>
      <c r="HF4" s="18">
        <v>0</v>
      </c>
      <c r="HG4" s="18">
        <v>12.1</v>
      </c>
      <c r="HH4" s="18">
        <v>8.9</v>
      </c>
      <c r="HI4" s="18">
        <v>12.2</v>
      </c>
      <c r="HJ4" s="18">
        <v>14.38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 t="shared" ref="HV4:HV33" si="91">IF(HD4&gt;0,HD4,"")</f>
        <v>13.4</v>
      </c>
      <c r="HW4" s="11">
        <f t="shared" ref="HW4:HW33" si="92">IF(HE4&gt;0,HE4,"")</f>
        <v>14.46</v>
      </c>
      <c r="HX4" s="11">
        <f t="shared" ref="HX4:HX33" si="93">IF(SUM(HB4:HE4)-HF4&gt;0,SUM(HB4:HE4)-HF4,"")</f>
        <v>49.86</v>
      </c>
      <c r="HY4" s="11">
        <f t="shared" ref="HY4:HY33" si="94">IF(HI4&gt;0,HI4,"")</f>
        <v>12.2</v>
      </c>
      <c r="HZ4" s="11">
        <f t="shared" ref="HZ4:HZ33" si="95">IF(HJ4&gt;0,HJ4,"")</f>
        <v>14.38</v>
      </c>
      <c r="IA4" s="11">
        <f t="shared" ref="IA4:IA33" si="96">IF(SUM(HG4:HJ4)-HK4&gt;0,SUM(HG4:HJ4)-HK4,"")</f>
        <v>47.580000000000005</v>
      </c>
      <c r="IB4" s="11">
        <f t="shared" ref="IB4:IB33" si="97">IF(MAX(HX4,IA4)&gt;0,MAX(HX4,IA4),"")</f>
        <v>49.86</v>
      </c>
      <c r="IC4" s="11" t="str">
        <f t="shared" ref="IC4:IC33" si="98">IF(HN4&gt;0,HN4,"")</f>
        <v/>
      </c>
      <c r="ID4" s="11" t="str">
        <f t="shared" ref="ID4:ID33" si="99">IF(HO4&gt;0,HO4,"")</f>
        <v/>
      </c>
      <c r="IE4" s="11" t="str">
        <f t="shared" ref="IE4:IE33" si="100">IF(SUM(HL4:HO4)-HP4&gt;0,SUM(HL4:HO4)-HP4,"")</f>
        <v/>
      </c>
      <c r="IF4" s="11" t="str">
        <f t="shared" ref="IF4:IF33" si="101">IF(HS4&gt;0,HS4,"")</f>
        <v/>
      </c>
      <c r="IG4" s="11" t="str">
        <f t="shared" ref="IG4:IG33" si="102">IF(HT4&gt;0,HT4,"")</f>
        <v/>
      </c>
      <c r="IH4" s="11" t="str">
        <f t="shared" ref="IH4:IH33" si="103">IF(SUM(HQ4:HT4)-HU4&gt;0,SUM(HQ4:HT4)-HU4,"")</f>
        <v/>
      </c>
      <c r="II4" s="11">
        <f t="shared" ref="II4:II33" si="104">IF(SUM(IB4,IE4,IH4)&gt;0,SUM(IB4,IE4,IH4),"")</f>
        <v>49.86</v>
      </c>
      <c r="IJ4" s="17">
        <v>13.7</v>
      </c>
      <c r="IK4" s="17">
        <v>9</v>
      </c>
      <c r="IL4" s="17">
        <v>13.2</v>
      </c>
      <c r="IM4" s="17">
        <v>14.45</v>
      </c>
      <c r="IN4" s="17">
        <v>0</v>
      </c>
      <c r="IO4" s="17">
        <v>14.3</v>
      </c>
      <c r="IP4" s="17">
        <v>9.1999999999999993</v>
      </c>
      <c r="IQ4" s="17">
        <v>13.6</v>
      </c>
      <c r="IR4" s="17">
        <v>14.41</v>
      </c>
      <c r="IS4" s="17">
        <v>0</v>
      </c>
      <c r="IT4" s="17"/>
      <c r="IU4" s="17"/>
      <c r="IV4" s="17"/>
      <c r="IW4" s="17"/>
      <c r="IX4" s="17"/>
      <c r="IY4" s="17">
        <v>14.7</v>
      </c>
      <c r="IZ4" s="17">
        <v>9.1</v>
      </c>
      <c r="JA4" s="17">
        <v>13.6</v>
      </c>
      <c r="JB4" s="17">
        <v>14.43</v>
      </c>
      <c r="JC4" s="17">
        <v>0</v>
      </c>
      <c r="JD4" s="40">
        <f t="shared" ref="JD4:JD33" si="105">IF(IL4&gt;0,IL4,"")</f>
        <v>13.2</v>
      </c>
      <c r="JE4" s="40">
        <f t="shared" ref="JE4:JE33" si="106">IF(IM4&gt;0,IM4,"")</f>
        <v>14.45</v>
      </c>
      <c r="JF4" s="40">
        <f t="shared" ref="JF4:JF33" si="107">IF(SUM(IJ4:IM4)-IN4&gt;0,SUM(IJ4:IM4)-IN4,"")</f>
        <v>50.349999999999994</v>
      </c>
      <c r="JG4" s="40">
        <f t="shared" ref="JG4:JG33" si="108">IF(IQ4&gt;0,IQ4,"")</f>
        <v>13.6</v>
      </c>
      <c r="JH4" s="40">
        <f t="shared" ref="JH4:JH33" si="109">IF(IR4&gt;0,IR4,"")</f>
        <v>14.41</v>
      </c>
      <c r="JI4" s="40">
        <f t="shared" ref="JI4:JI33" si="110">IF(SUM(IO4:IR4)-IS4&gt;0,SUM(IO4:IR4)-IS4,"")</f>
        <v>51.510000000000005</v>
      </c>
      <c r="JJ4" s="40">
        <f t="shared" ref="JJ4:JJ33" si="111">IF(MAX(JF4,JI4)&gt;0,MAX(JF4,JI4),"")</f>
        <v>51.510000000000005</v>
      </c>
      <c r="JK4" s="40" t="str">
        <f t="shared" ref="JK4:JK33" si="112">IF(IV4&gt;0,IV4,"")</f>
        <v/>
      </c>
      <c r="JL4" s="40" t="str">
        <f t="shared" ref="JL4:JL33" si="113">IF(IW4&gt;0,IW4,"")</f>
        <v/>
      </c>
      <c r="JM4" s="40" t="str">
        <f t="shared" ref="JM4:JM33" si="114">IF(SUM(IT4:IW4)-IX4&gt;0,SUM(IT4:IW4)-IX4,"")</f>
        <v/>
      </c>
      <c r="JN4" s="40">
        <f t="shared" ref="JN4:JN33" si="115">IF(JA4&gt;0,JA4,"")</f>
        <v>13.6</v>
      </c>
      <c r="JO4" s="40">
        <f t="shared" ref="JO4:JO33" si="116">IF(JB4&gt;0,JB4,"")</f>
        <v>14.43</v>
      </c>
      <c r="JP4" s="40">
        <f t="shared" ref="JP4:JP33" si="117">IF(SUM(IY4:JB4)-JC4&gt;0,SUM(IY4:JB4)-JC4,"")</f>
        <v>51.83</v>
      </c>
      <c r="JQ4" s="40">
        <f t="shared" ref="JQ4:JQ33" si="118">IF(SUM(JJ4,JM4,JP4)&gt;0,SUM(JJ4,JM4,JP4),"")</f>
        <v>103.34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3" si="119">IF(JT4&gt;0,JT4,"")</f>
        <v/>
      </c>
      <c r="KM4" s="11" t="str">
        <f t="shared" ref="KM4:KM33" si="120">IF(JU4&gt;0,JU4,"")</f>
        <v/>
      </c>
      <c r="KN4" s="11" t="str">
        <f t="shared" ref="KN4:KN33" si="121">IF(SUM(JR4:JU4)-JV4&gt;0,SUM(JR4:JU4)-JV4,"")</f>
        <v/>
      </c>
      <c r="KO4" s="11" t="str">
        <f t="shared" ref="KO4:KO33" si="122">IF(JY4&gt;0,JY4,"")</f>
        <v/>
      </c>
      <c r="KP4" s="11" t="str">
        <f t="shared" ref="KP4:KP33" si="123">IF(JZ4&gt;0,JZ4,"")</f>
        <v/>
      </c>
      <c r="KQ4" s="11" t="str">
        <f t="shared" ref="KQ4:KQ33" si="124">IF(SUM(JW4:JZ4)-KA4&gt;0,SUM(JW4:JZ4)-KA4,"")</f>
        <v/>
      </c>
      <c r="KR4" s="11" t="str">
        <f t="shared" ref="KR4:KR33" si="125">IF(MAX(KN4,KQ4)&gt;0,MAX(KN4,KQ4),"")</f>
        <v/>
      </c>
      <c r="KS4" s="11" t="str">
        <f t="shared" ref="KS4:KS33" si="126">IF(KD4&gt;0,KD4,"")</f>
        <v/>
      </c>
      <c r="KT4" s="11" t="str">
        <f t="shared" ref="KT4:KT33" si="127">IF(KE4&gt;0,KE4,"")</f>
        <v/>
      </c>
      <c r="KU4" s="11" t="str">
        <f t="shared" ref="KU4:KU33" si="128">IF(SUM(KB4:KE4)-KF4&gt;0,SUM(KB4:KE4)-KF4,"")</f>
        <v/>
      </c>
      <c r="KV4" s="11" t="str">
        <f t="shared" ref="KV4:KV33" si="129">IF(KI4&gt;0,KI4,"")</f>
        <v/>
      </c>
      <c r="KW4" s="11" t="str">
        <f t="shared" ref="KW4:KW33" si="130">IF(KJ4&gt;0,KJ4,"")</f>
        <v/>
      </c>
      <c r="KX4" s="11" t="str">
        <f t="shared" ref="KX4:KX33" si="131">IF(SUM(KG4:KJ4)-KK4&gt;0,SUM(KG4:KJ4)-KK4,"")</f>
        <v/>
      </c>
      <c r="KY4" s="11" t="str">
        <f t="shared" ref="KY4:KY33" si="132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3" si="133">IF(LB4&gt;0,LB4,"")</f>
        <v/>
      </c>
      <c r="LU4" s="40" t="str">
        <f t="shared" ref="LU4:LU33" si="134">IF(LC4&gt;0,LC4,"")</f>
        <v/>
      </c>
      <c r="LV4" s="40" t="str">
        <f t="shared" ref="LV4:LV33" si="135">IF(SUM(KZ4:LC4)-LD4&gt;0,SUM(KZ4:LC4)-LD4,"")</f>
        <v/>
      </c>
      <c r="LW4" s="40" t="str">
        <f t="shared" ref="LW4:LW33" si="136">IF(LG4&gt;0,LG4,"")</f>
        <v/>
      </c>
      <c r="LX4" s="40" t="str">
        <f t="shared" ref="LX4:LX33" si="137">IF(LH4&gt;0,LH4,"")</f>
        <v/>
      </c>
      <c r="LY4" s="40" t="str">
        <f t="shared" ref="LY4:LY33" si="138">IF(SUM(LE4:LH4)-LI4&gt;0,SUM(LE4:LH4)-LI4,"")</f>
        <v/>
      </c>
      <c r="LZ4" s="40" t="str">
        <f t="shared" ref="LZ4:LZ33" si="139">IF(MAX(LV4,LY4)&gt;0,MAX(LV4,LY4),"")</f>
        <v/>
      </c>
      <c r="MA4" s="40" t="str">
        <f t="shared" ref="MA4:MA33" si="140">IF(LL4&gt;0,LL4,"")</f>
        <v/>
      </c>
      <c r="MB4" s="40" t="str">
        <f t="shared" ref="MB4:MB33" si="141">IF(LM4&gt;0,LM4,"")</f>
        <v/>
      </c>
      <c r="MC4" s="40" t="str">
        <f t="shared" ref="MC4:MC33" si="142">IF(SUM(LJ4:LM4)-LN4&gt;0,SUM(LJ4:LM4)-LN4,"")</f>
        <v/>
      </c>
      <c r="MD4" s="40" t="str">
        <f t="shared" ref="MD4:MD33" si="143">IF(LQ4&gt;0,LQ4,"")</f>
        <v/>
      </c>
      <c r="ME4" s="40" t="str">
        <f t="shared" ref="ME4:ME33" si="144">IF(LR4&gt;0,LR4,"")</f>
        <v/>
      </c>
      <c r="MF4" s="40" t="str">
        <f t="shared" ref="MF4:MF33" si="145">IF(SUM(LO4:LR4)-LS4&gt;0,SUM(LO4:LR4)-LS4,"")</f>
        <v/>
      </c>
      <c r="MG4" s="40" t="str">
        <f t="shared" ref="MG4:MG33" si="146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3" si="147">IF(MJ4&gt;0,MJ4,"")</f>
        <v/>
      </c>
      <c r="NC4" s="11" t="str">
        <f t="shared" ref="NC4:NC33" si="148">IF(MK4&gt;0,MK4,"")</f>
        <v/>
      </c>
      <c r="ND4" s="11" t="str">
        <f t="shared" ref="ND4:ND33" si="149">IF(SUM(MH4:MK4)-ML4&gt;0,SUM(MH4:MK4)-ML4,"")</f>
        <v/>
      </c>
      <c r="NE4" s="11" t="str">
        <f t="shared" ref="NE4:NE33" si="150">IF(MO4&gt;0,MO4,"")</f>
        <v/>
      </c>
      <c r="NF4" s="11" t="str">
        <f t="shared" ref="NF4:NF33" si="151">IF(MP4&gt;0,MP4,"")</f>
        <v/>
      </c>
      <c r="NG4" s="11" t="str">
        <f t="shared" ref="NG4:NG33" si="152">IF(SUM(MM4:MP4)-MQ4&gt;0,SUM(MM4:MP4)-MQ4,"")</f>
        <v/>
      </c>
      <c r="NH4" s="11" t="str">
        <f t="shared" ref="NH4:NH33" si="153">IF(MAX(ND4,NG4)&gt;0,MAX(ND4,NG4),"")</f>
        <v/>
      </c>
      <c r="NI4" s="11" t="str">
        <f t="shared" ref="NI4:NI33" si="154">IF(MT4&gt;0,MT4,"")</f>
        <v/>
      </c>
      <c r="NJ4" s="11" t="str">
        <f t="shared" ref="NJ4:NJ33" si="155">IF(MU4&gt;0,MU4,"")</f>
        <v/>
      </c>
      <c r="NK4" s="11" t="str">
        <f t="shared" ref="NK4:NK33" si="156">IF(SUM(MR4:MU4)-MV4&gt;0,SUM(MR4:MU4)-MV4,"")</f>
        <v/>
      </c>
      <c r="NL4" s="11" t="str">
        <f t="shared" ref="NL4:NL33" si="157">IF(MY4&gt;0,MY4,"")</f>
        <v/>
      </c>
      <c r="NM4" s="11" t="str">
        <f t="shared" ref="NM4:NM33" si="158">IF(MZ4&gt;0,MZ4,"")</f>
        <v/>
      </c>
      <c r="NN4" s="11" t="str">
        <f t="shared" ref="NN4:NN33" si="159">IF(SUM(MW4:MZ4)-NA4&gt;0,SUM(MW4:MZ4)-NA4,"")</f>
        <v/>
      </c>
      <c r="NO4" s="11" t="str">
        <f t="shared" ref="NO4:NO33" si="160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3" si="161">IF(NR4&gt;0,NR4,"")</f>
        <v/>
      </c>
      <c r="OK4" s="40" t="str">
        <f t="shared" ref="OK4:OK33" si="162">IF(NS4&gt;0,NS4,"")</f>
        <v/>
      </c>
      <c r="OL4" s="40" t="str">
        <f t="shared" ref="OL4:OL33" si="163">IF(SUM(NP4:NS4)-NT4&gt;0,SUM(NP4:NS4)-NT4,"")</f>
        <v/>
      </c>
      <c r="OM4" s="40" t="str">
        <f t="shared" ref="OM4:OM33" si="164">IF(NW4&gt;0,NW4,"")</f>
        <v/>
      </c>
      <c r="ON4" s="40" t="str">
        <f t="shared" ref="ON4:ON33" si="165">IF(NX4&gt;0,NX4,"")</f>
        <v/>
      </c>
      <c r="OO4" s="40" t="str">
        <f t="shared" ref="OO4:OO33" si="166">IF(SUM(NU4:NX4)-NY4&gt;0,SUM(NU4:NX4)-NY4,"")</f>
        <v/>
      </c>
      <c r="OP4" s="40" t="str">
        <f t="shared" ref="OP4:OP33" si="167">IF(MAX(OL4,OO4)&gt;0,MAX(OL4,OO4),"")</f>
        <v/>
      </c>
      <c r="OQ4" s="40" t="str">
        <f t="shared" ref="OQ4:OQ33" si="168">IF(OB4&gt;0,OB4,"")</f>
        <v/>
      </c>
      <c r="OR4" s="40" t="str">
        <f t="shared" ref="OR4:OR33" si="169">IF(OC4&gt;0,OC4,"")</f>
        <v/>
      </c>
      <c r="OS4" s="40" t="str">
        <f t="shared" ref="OS4:OS33" si="170">IF(SUM(NZ4:OC4)-OD4&gt;0,SUM(NZ4:OC4)-OD4,"")</f>
        <v/>
      </c>
      <c r="OT4" s="40" t="str">
        <f t="shared" ref="OT4:OT33" si="171">IF(OG4&gt;0,OG4,"")</f>
        <v/>
      </c>
      <c r="OU4" s="40" t="str">
        <f t="shared" ref="OU4:OU33" si="172">IF(OH4&gt;0,OH4,"")</f>
        <v/>
      </c>
      <c r="OV4" s="40" t="str">
        <f t="shared" ref="OV4:OV33" si="173">IF(SUM(OE4:OH4)-OI4&gt;0,SUM(OE4:OH4)-OI4,"")</f>
        <v/>
      </c>
      <c r="OW4" s="40" t="str">
        <f t="shared" ref="OW4:OW33" si="174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3" si="175">IF(OZ4&gt;0,OZ4,"")</f>
        <v/>
      </c>
      <c r="PS4" s="11" t="str">
        <f t="shared" ref="PS4:PS33" si="176">IF(PA4&gt;0,PA4,"")</f>
        <v/>
      </c>
      <c r="PT4" s="11" t="str">
        <f t="shared" ref="PT4:PT33" si="177">IF(SUM(OX4:PA4)-PB4&gt;0,SUM(OX4:PA4)-PB4,"")</f>
        <v/>
      </c>
      <c r="PU4" s="11" t="str">
        <f t="shared" ref="PU4:PU33" si="178">IF(PE4&gt;0,PE4,"")</f>
        <v/>
      </c>
      <c r="PV4" s="11" t="str">
        <f t="shared" ref="PV4:PV33" si="179">IF(PF4&gt;0,PF4,"")</f>
        <v/>
      </c>
      <c r="PW4" s="11" t="str">
        <f t="shared" ref="PW4:PW33" si="180">IF(SUM(PC4:PF4)-PG4&gt;0,SUM(PC4:PF4)-PG4,"")</f>
        <v/>
      </c>
      <c r="PX4" s="11" t="str">
        <f t="shared" ref="PX4:PX33" si="181">IF(MAX(PT4,PW4)&gt;0,MAX(PT4,PW4),"")</f>
        <v/>
      </c>
      <c r="PY4" s="11" t="str">
        <f t="shared" ref="PY4:PY33" si="182">IF(PJ4&gt;0,PJ4,"")</f>
        <v/>
      </c>
      <c r="PZ4" s="11" t="str">
        <f t="shared" ref="PZ4:PZ33" si="183">IF(PK4&gt;0,PK4,"")</f>
        <v/>
      </c>
      <c r="QA4" s="11" t="str">
        <f t="shared" ref="QA4:QA33" si="184">IF(SUM(PH4:PK4)-PL4&gt;0,SUM(PH4:PK4)-PL4,"")</f>
        <v/>
      </c>
      <c r="QB4" s="11" t="str">
        <f t="shared" ref="QB4:QB33" si="185">IF(PO4&gt;0,PO4,"")</f>
        <v/>
      </c>
      <c r="QC4" s="11" t="str">
        <f t="shared" ref="QC4:QC33" si="186">IF(PP4&gt;0,PP4,"")</f>
        <v/>
      </c>
      <c r="QD4" s="11" t="str">
        <f t="shared" ref="QD4:QD33" si="187">IF(SUM(PM4:PP4)-PQ4&gt;0,SUM(PM4:PP4)-PQ4,"")</f>
        <v/>
      </c>
      <c r="QE4" s="11" t="str">
        <f t="shared" ref="QE4:QE33" si="188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3" si="189">IF(QH4&gt;0,QH4,"")</f>
        <v/>
      </c>
      <c r="RA4" s="40" t="str">
        <f t="shared" ref="RA4:RA33" si="190">IF(QI4&gt;0,QI4,"")</f>
        <v/>
      </c>
      <c r="RB4" s="40" t="str">
        <f t="shared" ref="RB4:RB33" si="191">IF(SUM(QF4:QI4)-QJ4&gt;0,SUM(QF4:QI4)-QJ4,"")</f>
        <v/>
      </c>
      <c r="RC4" s="40" t="str">
        <f t="shared" ref="RC4:RC33" si="192">IF(QM4&gt;0,QM4,"")</f>
        <v/>
      </c>
      <c r="RD4" s="40" t="str">
        <f t="shared" ref="RD4:RD33" si="193">IF(QN4&gt;0,QN4,"")</f>
        <v/>
      </c>
      <c r="RE4" s="40" t="str">
        <f t="shared" ref="RE4:RE33" si="194">IF(SUM(QK4:QN4)-QO4&gt;0,SUM(QK4:QN4)-QO4,"")</f>
        <v/>
      </c>
      <c r="RF4" s="40" t="str">
        <f t="shared" ref="RF4:RF33" si="195">IF(MAX(RB4,RE4)&gt;0,MAX(RB4,RE4),"")</f>
        <v/>
      </c>
      <c r="RG4" s="40" t="str">
        <f t="shared" ref="RG4:RG33" si="196">IF(QR4&gt;0,QR4,"")</f>
        <v/>
      </c>
      <c r="RH4" s="40" t="str">
        <f t="shared" ref="RH4:RH33" si="197">IF(QS4&gt;0,QS4,"")</f>
        <v/>
      </c>
      <c r="RI4" s="40" t="str">
        <f t="shared" ref="RI4:RI33" si="198">IF(SUM(QP4:QS4)-QT4&gt;0,SUM(QP4:QS4)-QT4,"")</f>
        <v/>
      </c>
      <c r="RJ4" s="40" t="str">
        <f t="shared" ref="RJ4:RJ33" si="199">IF(QW4&gt;0,QW4,"")</f>
        <v/>
      </c>
      <c r="RK4" s="40" t="str">
        <f t="shared" ref="RK4:RK33" si="200">IF(QX4&gt;0,QX4,"")</f>
        <v/>
      </c>
      <c r="RL4" s="40" t="str">
        <f t="shared" ref="RL4:RL33" si="201">IF(SUM(QU4:QX4)-QY4&gt;0,SUM(QU4:QX4)-QY4,"")</f>
        <v/>
      </c>
      <c r="RM4" s="40" t="str">
        <f t="shared" ref="RM4:RM33" si="202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3" si="203">IF(RP4&gt;0,RP4,"")</f>
        <v/>
      </c>
      <c r="SI4" s="11" t="str">
        <f t="shared" ref="SI4:SI33" si="204">IF(RQ4&gt;0,RQ4,"")</f>
        <v/>
      </c>
      <c r="SJ4" s="11" t="str">
        <f t="shared" ref="SJ4:SJ33" si="205">IF(SUM(RN4:RQ4)-RR4&gt;0,SUM(RN4:RQ4)-RR4,"")</f>
        <v/>
      </c>
      <c r="SK4" s="11" t="str">
        <f t="shared" ref="SK4:SK33" si="206">IF(RU4&gt;0,RU4,"")</f>
        <v/>
      </c>
      <c r="SL4" s="11" t="str">
        <f t="shared" ref="SL4:SL33" si="207">IF(RV4&gt;0,RV4,"")</f>
        <v/>
      </c>
      <c r="SM4" s="11" t="str">
        <f t="shared" ref="SM4:SM33" si="208">IF(SUM(RS4:RV4)-RW4&gt;0,SUM(RS4:RV4)-RW4,"")</f>
        <v/>
      </c>
      <c r="SN4" s="11" t="str">
        <f t="shared" ref="SN4:SN33" si="209">IF(MAX(SJ4,SM4)&gt;0,MAX(SJ4,SM4),"")</f>
        <v/>
      </c>
      <c r="SO4" s="11" t="str">
        <f t="shared" ref="SO4:SO33" si="210">IF(RZ4&gt;0,RZ4,"")</f>
        <v/>
      </c>
      <c r="SP4" s="11" t="str">
        <f t="shared" ref="SP4:SP33" si="211">IF(SA4&gt;0,SA4,"")</f>
        <v/>
      </c>
      <c r="SQ4" s="11" t="str">
        <f t="shared" ref="SQ4:SQ33" si="212">IF(SUM(RX4:SA4)-SB4&gt;0,SUM(RX4:SA4)-SB4,"")</f>
        <v/>
      </c>
      <c r="SR4" s="11" t="str">
        <f t="shared" ref="SR4:SR33" si="213">IF(SE4&gt;0,SE4,"")</f>
        <v/>
      </c>
      <c r="SS4" s="11" t="str">
        <f t="shared" ref="SS4:SS33" si="214">IF(SF4&gt;0,SF4,"")</f>
        <v/>
      </c>
      <c r="ST4" s="11" t="str">
        <f t="shared" ref="ST4:ST33" si="215">IF(SUM(SC4:SF4)-SG4&gt;0,SUM(SC4:SF4)-SG4,"")</f>
        <v/>
      </c>
      <c r="SU4" s="11" t="str">
        <f t="shared" ref="SU4:SU33" si="216">IF(SUM(SN4,SQ4,ST4)&gt;0,SUM(SN4,SQ4,ST4),"")</f>
        <v/>
      </c>
      <c r="SV4" s="22">
        <f t="shared" ref="SV4:SV33" si="217">IF($CP4="P",CA4,(CA4+AZ4)/2)</f>
        <v>13.9</v>
      </c>
      <c r="SW4" s="22">
        <f t="shared" ref="SW4:SW33" si="218">IF($CP4="P",CB4,(CB4+BA4)/2)</f>
        <v>9.6000000000000014</v>
      </c>
      <c r="SX4" s="22">
        <f t="shared" ref="SX4:SX33" si="219">IF($CP4="P",CC4,(CC4+BB4)/2)</f>
        <v>13.4</v>
      </c>
      <c r="SY4" s="22">
        <f t="shared" ref="SY4:SY33" si="220">IF($CP4="P",CD4,(CD4+BC4)/2)</f>
        <v>14.455</v>
      </c>
      <c r="SZ4" s="22">
        <f t="shared" ref="SZ4:SZ33" si="221">IF($CP4="P",CE4,(CE4+BD4)/2)</f>
        <v>0</v>
      </c>
      <c r="TA4" s="22">
        <f t="shared" ref="TA4:TA33" si="222">IF($CP4="P",CF4,(CF4+BE4)/2)</f>
        <v>7.8</v>
      </c>
      <c r="TB4" s="22">
        <f t="shared" ref="TB4:TB33" si="223">IF($CP4="P",CG4,(CG4+BF4)/2)</f>
        <v>5.2</v>
      </c>
      <c r="TC4" s="22">
        <f t="shared" ref="TC4:TC33" si="224">IF($CP4="P",CH4,(CH4+BG4)/2)</f>
        <v>7.8</v>
      </c>
      <c r="TD4" s="22">
        <f t="shared" ref="TD4:TD33" si="225">IF($CP4="P",CI4,(CI4+BH4)/2)</f>
        <v>8.24</v>
      </c>
      <c r="TE4" s="22">
        <f t="shared" ref="TE4:TE33" si="226">IF($CP4="P",CJ4,(CJ4+BI4)/2)</f>
        <v>0</v>
      </c>
      <c r="TF4" s="22">
        <f t="shared" ref="TF4:TF33" si="227">IF($CP4="P",CK4,(CK4+BJ4)/2)</f>
        <v>14</v>
      </c>
      <c r="TG4" s="22">
        <f t="shared" ref="TG4:TG33" si="228">IF($CP4="P",CL4,(CL4+BK4)/2)</f>
        <v>8.75</v>
      </c>
      <c r="TH4" s="22">
        <f t="shared" ref="TH4:TH33" si="229">IF($CP4="P",CM4,(CM4+BL4)/2)</f>
        <v>13.6</v>
      </c>
      <c r="TI4" s="22">
        <f t="shared" ref="TI4:TI33" si="230">IF($CP4="P",CN4,(CN4+BM4)/2)</f>
        <v>14.399999999999999</v>
      </c>
      <c r="TJ4" s="22">
        <f t="shared" ref="TJ4:TJ33" si="231">IF($CP4="P",CO4,(CO4+BN4)/2)</f>
        <v>0</v>
      </c>
      <c r="TK4" s="27" t="s">
        <v>46</v>
      </c>
      <c r="TL4" s="40">
        <f t="shared" ref="TL4:TL33" si="232">IF(SX4&gt;0,SX4,"")</f>
        <v>13.4</v>
      </c>
      <c r="TM4" s="40">
        <f t="shared" ref="TM4:TM33" si="233">IF(SY4&gt;0,SY4,"")</f>
        <v>14.455</v>
      </c>
      <c r="TN4" s="40">
        <f t="shared" ref="TN4:TN33" si="234">IF(SUM(SV4:SY4)-SZ4&gt;0,SUM(SV4:SY4)-SZ4,"")</f>
        <v>51.354999999999997</v>
      </c>
      <c r="TO4" s="40">
        <f t="shared" ref="TO4:TO33" si="235">IF(TC4&gt;0,TC4,"")</f>
        <v>7.8</v>
      </c>
      <c r="TP4" s="40">
        <f t="shared" ref="TP4:TP33" si="236">IF(TD4&gt;0,TD4,"")</f>
        <v>8.24</v>
      </c>
      <c r="TQ4" s="40">
        <f t="shared" ref="TQ4:TQ33" si="237">IF(SUM(TA4:TD4)-TE4&gt;0,SUM(TA4:TD4)-TE4,"")</f>
        <v>29.04</v>
      </c>
      <c r="TR4" s="40">
        <f t="shared" ref="TR4:TR33" si="238">IF(MAX(TN4,TQ4)&gt;0,MAX(TN4,TQ4),"")</f>
        <v>51.354999999999997</v>
      </c>
      <c r="TS4" s="40">
        <f t="shared" ref="TS4:TS33" si="239">IF(TH4&gt;0,TH4,"")</f>
        <v>13.6</v>
      </c>
      <c r="TT4" s="40">
        <f t="shared" ref="TT4:TT33" si="240">IF(TI4&gt;0,TI4,"")</f>
        <v>14.399999999999999</v>
      </c>
      <c r="TU4" s="40">
        <f t="shared" ref="TU4:TU33" si="241">IF(SUM(TF4:TI4)-TJ4&gt;0,SUM(TF4:TI4)-TJ4,"")</f>
        <v>50.75</v>
      </c>
      <c r="TV4" s="40">
        <f t="shared" ref="TV4:TV33" si="242">IF(SUM(TR4,TU4)&gt;0,SUM(TR4,TU4),"")</f>
        <v>102.10499999999999</v>
      </c>
    </row>
    <row r="5" spans="1:542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183</v>
      </c>
      <c r="D5" s="4" t="s">
        <v>6</v>
      </c>
      <c r="E5" s="4">
        <v>2006</v>
      </c>
      <c r="F5" s="9">
        <f t="shared" si="0"/>
        <v>180.11001801100508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50.75</v>
      </c>
      <c r="M5" s="8" t="str">
        <f t="shared" si="5"/>
        <v>2023 Elite Canada</v>
      </c>
      <c r="N5" s="8">
        <f>IF(COUNT(AQ5,AT5,BR5,BU5,CS5,CV5)&gt;1,LARGE((AQ5,AT5,BR5,BU5,CS5,CV5),2),0)</f>
        <v>50.14</v>
      </c>
      <c r="O5" s="8" t="str">
        <f t="shared" si="6"/>
        <v>2023 3rd Domestic Trial</v>
      </c>
      <c r="P5" s="8">
        <f>IF(COUNT(AQ5,AT5,BR5,BU5,CS5,CV5)&gt;2,MAX(AX5,BY5,CZ5,LARGE((AQ5,AT5,BR5,BU5,CS5,CV5),3)),IF(MAX(AX5,BY5,CZ5)&gt;0,MAX(AX5,BY5,CZ5),0))</f>
        <v>51.17</v>
      </c>
      <c r="Q5" s="8" t="str">
        <f t="shared" si="7"/>
        <v>2023 Elite Canada</v>
      </c>
      <c r="R5" s="8">
        <f t="shared" si="8"/>
        <v>12.7</v>
      </c>
      <c r="S5" s="8" t="str">
        <f t="shared" si="9"/>
        <v>2023 3rd Domestic Trial</v>
      </c>
      <c r="T5" s="8">
        <f t="shared" si="10"/>
        <v>15.35</v>
      </c>
      <c r="U5" s="8" t="str">
        <f t="shared" si="11"/>
        <v>2023 Elite Canada</v>
      </c>
      <c r="V5" s="8" t="str">
        <f t="shared" si="12"/>
        <v/>
      </c>
      <c r="W5" s="11" t="str">
        <f t="shared" si="13"/>
        <v/>
      </c>
      <c r="X5" s="8" t="str">
        <f>IF(V5="","",IF(V5=DB5,IF(V5+IF(P5="",0,P5)=SN5,$RN$1,IF(V5+IF(P5="",0,P5)=RF5,$QF$1,IF(V5+IF(P5="",0,P5)=PX5,$OX$1,IF(V5+IF(P5="",0,P5)=OP5,$NP$1,IF(V5+IF(P5="",0,P5)=NH5,$MH$1,IF(V5+IF(P5="",0,P5)=LZ5,$KZ$1,IF(V5+IF(P5="",0,P5)=KR5,$JR$1,IF(V5+IF(P5="",0,P5)=JJ5,$IJ$1,IF(V5+IF(P5="",0,P5)=IB5,$HB$1,IF(V5+IF(P5="",0,P5)=GT5,$FT$1,IF(V5+IF(P5="",0,P5)=FL5,$EL$1,IF(V5+IF(P5="",0,P5)=ED5,$DD$1)))))))))))),IF(V5=DC5,IF(V5+IF(#REF!="",0,#REF!)=ST5,$RN$1,IF(V5+IF(#REF!="",0,#REF!)=RL5,$QF$1,IF(V5+IF(#REF!="",0,#REF!)=QD5,$OX$1,IF(V5+IF(#REF!="",0,#REF!)=OV5,$NP$1,IF(V5+IF(#REF!="",0,#REF!)=NN5,$MH$1,IF(V5+IF(#REF!="",0,#REF!)=MF5,$KZ$1,IF(V5+IF(#REF!="",0,#REF!)=KX5,$JR$1,IF(V5+IF(#REF!="",0,#REF!)=JP5,$IJ$1,IF(V5+IF(#REF!="",0,#REF!)=IH5,$HB$1,IF(V5+IF(#REF!="",0,#REF!)=GZ5,$FT$1,IF(V5+IF(#REF!="",0,#REF!)=FR5,$EL$1,IF(V5+IF(#REF!="",0,#REF!)=EJ5,$DD$1,IF(V5+IF(#REF!="",0,#REF!)=SQ5,$RN$1,IF(V5+IF(#REF!="",0,#REF!)=RI5,$QF$1,IF(V5+IF(#REF!="",0,#REF!)=QA5,$OX$1,IF(V5+IF(#REF!="",0,#REF!)=OS5,$NP$1,IF(V5+IF(#REF!="",0,#REF!)=NK5,$MH$1,IF(V5+IF(#REF!="",0,#REF!)=MC5,$KZ$1,IF(V5+IF(#REF!="",0,#REF!)=KU5,$JR$1,IF(V5+IF(#REF!="",0,#REF!)=JM5,$IJ$1,IF(V5+IF(#REF!="",0,#REF!)=IE5,$HB$1,IF(V5+IF(#REF!="",0,#REF!)=GW5,$FT$1,IF(V5+IF(#REF!="",0,#REF!)=FO5,$EL$1,IF(V5+IF(#REF!="",0,#REF!)=EG5,$DD$1)))))))))))))))))))))))))))</f>
        <v/>
      </c>
      <c r="Y5" s="22">
        <v>14.6</v>
      </c>
      <c r="Z5" s="22">
        <v>9.6</v>
      </c>
      <c r="AA5" s="22">
        <v>11.2</v>
      </c>
      <c r="AB5" s="22">
        <v>15.35</v>
      </c>
      <c r="AC5" s="22">
        <v>0</v>
      </c>
      <c r="AD5" s="22">
        <v>14.2</v>
      </c>
      <c r="AE5" s="22">
        <v>9</v>
      </c>
      <c r="AF5" s="22">
        <v>11.2</v>
      </c>
      <c r="AG5" s="22">
        <v>14.57</v>
      </c>
      <c r="AH5" s="22">
        <v>0</v>
      </c>
      <c r="AI5" s="22">
        <v>15.4</v>
      </c>
      <c r="AJ5" s="22">
        <v>9.3000000000000007</v>
      </c>
      <c r="AK5" s="22">
        <v>11.2</v>
      </c>
      <c r="AL5" s="22">
        <v>15.27</v>
      </c>
      <c r="AM5" s="22">
        <v>0</v>
      </c>
      <c r="AN5" s="27"/>
      <c r="AO5" s="38">
        <f t="shared" si="14"/>
        <v>11.2</v>
      </c>
      <c r="AP5" s="38">
        <f t="shared" si="15"/>
        <v>15.35</v>
      </c>
      <c r="AQ5" s="40">
        <f t="shared" si="16"/>
        <v>50.75</v>
      </c>
      <c r="AR5" s="40">
        <f t="shared" si="17"/>
        <v>11.2</v>
      </c>
      <c r="AS5" s="40">
        <f t="shared" si="18"/>
        <v>14.57</v>
      </c>
      <c r="AT5" s="40">
        <f t="shared" si="19"/>
        <v>48.97</v>
      </c>
      <c r="AU5" s="40">
        <f t="shared" si="20"/>
        <v>50.75</v>
      </c>
      <c r="AV5" s="40">
        <f t="shared" si="21"/>
        <v>11.2</v>
      </c>
      <c r="AW5" s="40">
        <f t="shared" si="22"/>
        <v>15.27</v>
      </c>
      <c r="AX5" s="40">
        <f t="shared" si="23"/>
        <v>51.17</v>
      </c>
      <c r="AY5" s="40">
        <f t="shared" si="24"/>
        <v>101.92</v>
      </c>
      <c r="AZ5" s="26">
        <v>4.5999999999999996</v>
      </c>
      <c r="BA5" s="26">
        <v>2.8</v>
      </c>
      <c r="BB5" s="26">
        <v>4</v>
      </c>
      <c r="BC5" s="26">
        <v>4.4400000000000004</v>
      </c>
      <c r="BD5" s="26">
        <v>0</v>
      </c>
      <c r="BE5" s="26">
        <v>1.7</v>
      </c>
      <c r="BF5" s="26">
        <v>1</v>
      </c>
      <c r="BG5" s="26">
        <v>1.5</v>
      </c>
      <c r="BH5" s="26">
        <v>1.55</v>
      </c>
      <c r="BI5" s="26">
        <v>0</v>
      </c>
      <c r="BJ5" s="26"/>
      <c r="BK5" s="26"/>
      <c r="BL5" s="26"/>
      <c r="BM5" s="26"/>
      <c r="BN5" s="26"/>
      <c r="BO5" s="28"/>
      <c r="BP5" s="39">
        <f t="shared" si="25"/>
        <v>4</v>
      </c>
      <c r="BQ5" s="39">
        <f t="shared" si="26"/>
        <v>4.4400000000000004</v>
      </c>
      <c r="BR5" s="11">
        <f t="shared" si="27"/>
        <v>15.84</v>
      </c>
      <c r="BS5" s="11">
        <f t="shared" si="28"/>
        <v>1.5</v>
      </c>
      <c r="BT5" s="11">
        <f t="shared" si="29"/>
        <v>1.55</v>
      </c>
      <c r="BU5" s="11">
        <f t="shared" si="30"/>
        <v>5.75</v>
      </c>
      <c r="BV5" s="11">
        <f t="shared" si="31"/>
        <v>15.84</v>
      </c>
      <c r="BW5" s="11" t="str">
        <f t="shared" si="32"/>
        <v/>
      </c>
      <c r="BX5" s="11" t="str">
        <f t="shared" si="33"/>
        <v/>
      </c>
      <c r="BY5" s="11" t="str">
        <f t="shared" si="34"/>
        <v/>
      </c>
      <c r="BZ5" s="11">
        <f t="shared" si="35"/>
        <v>15.84</v>
      </c>
      <c r="CA5" s="22">
        <v>13.5</v>
      </c>
      <c r="CB5" s="22">
        <v>9.1</v>
      </c>
      <c r="CC5" s="22">
        <v>12.4</v>
      </c>
      <c r="CD5" s="22">
        <v>14.47</v>
      </c>
      <c r="CE5" s="22">
        <v>0</v>
      </c>
      <c r="CF5" s="22">
        <v>14.6</v>
      </c>
      <c r="CG5" s="22">
        <v>8.8000000000000007</v>
      </c>
      <c r="CH5" s="22">
        <v>12.4</v>
      </c>
      <c r="CI5" s="22">
        <v>14.34</v>
      </c>
      <c r="CJ5" s="22">
        <v>0</v>
      </c>
      <c r="CK5" s="22">
        <v>13.8</v>
      </c>
      <c r="CL5" s="22">
        <v>9.5</v>
      </c>
      <c r="CM5" s="22">
        <v>12.7</v>
      </c>
      <c r="CN5" s="22">
        <v>14.67</v>
      </c>
      <c r="CO5" s="22">
        <v>0</v>
      </c>
      <c r="CP5" s="27"/>
      <c r="CQ5" s="38">
        <f t="shared" si="36"/>
        <v>12.4</v>
      </c>
      <c r="CR5" s="38">
        <f t="shared" si="37"/>
        <v>14.47</v>
      </c>
      <c r="CS5" s="40">
        <f t="shared" si="38"/>
        <v>49.47</v>
      </c>
      <c r="CT5" s="40">
        <f t="shared" si="39"/>
        <v>12.4</v>
      </c>
      <c r="CU5" s="40">
        <f t="shared" si="40"/>
        <v>14.34</v>
      </c>
      <c r="CV5" s="40">
        <f t="shared" si="41"/>
        <v>50.14</v>
      </c>
      <c r="CW5" s="40">
        <f t="shared" si="42"/>
        <v>50.14</v>
      </c>
      <c r="CX5" s="40">
        <f t="shared" si="43"/>
        <v>12.7</v>
      </c>
      <c r="CY5" s="40">
        <f t="shared" si="44"/>
        <v>14.67</v>
      </c>
      <c r="CZ5" s="40">
        <f t="shared" si="45"/>
        <v>50.67</v>
      </c>
      <c r="DA5" s="40">
        <f t="shared" si="46"/>
        <v>100.81</v>
      </c>
      <c r="DB5" s="50" t="str">
        <f t="shared" si="47"/>
        <v/>
      </c>
      <c r="DC5" s="50" t="str">
        <f t="shared" si="48"/>
        <v/>
      </c>
      <c r="DD5" s="17"/>
      <c r="DE5" s="17"/>
      <c r="DF5" s="17"/>
      <c r="DG5" s="17"/>
      <c r="DH5" s="17"/>
      <c r="DI5" s="17">
        <v>14.6</v>
      </c>
      <c r="DJ5" s="17">
        <v>9.5</v>
      </c>
      <c r="DK5" s="17">
        <v>10.5</v>
      </c>
      <c r="DL5" s="17">
        <v>14.47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49"/>
        <v/>
      </c>
      <c r="DY5" s="40" t="str">
        <f t="shared" si="50"/>
        <v/>
      </c>
      <c r="DZ5" s="40" t="str">
        <f t="shared" si="51"/>
        <v/>
      </c>
      <c r="EA5" s="40">
        <f t="shared" si="52"/>
        <v>10.5</v>
      </c>
      <c r="EB5" s="40">
        <f t="shared" si="53"/>
        <v>14.47</v>
      </c>
      <c r="EC5" s="40">
        <f t="shared" si="54"/>
        <v>49.07</v>
      </c>
      <c r="ED5" s="40">
        <f t="shared" si="55"/>
        <v>49.07</v>
      </c>
      <c r="EE5" s="40" t="str">
        <f t="shared" si="56"/>
        <v/>
      </c>
      <c r="EF5" s="40" t="str">
        <f t="shared" si="57"/>
        <v/>
      </c>
      <c r="EG5" s="40" t="str">
        <f t="shared" si="58"/>
        <v/>
      </c>
      <c r="EH5" s="40" t="str">
        <f t="shared" si="59"/>
        <v/>
      </c>
      <c r="EI5" s="40" t="str">
        <f t="shared" si="60"/>
        <v/>
      </c>
      <c r="EJ5" s="40" t="str">
        <f t="shared" si="61"/>
        <v/>
      </c>
      <c r="EK5" s="40">
        <f t="shared" si="62"/>
        <v>49.07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3"/>
        <v/>
      </c>
      <c r="FG5" s="11" t="str">
        <f t="shared" si="64"/>
        <v/>
      </c>
      <c r="FH5" s="11" t="str">
        <f t="shared" si="65"/>
        <v/>
      </c>
      <c r="FI5" s="11" t="str">
        <f t="shared" si="66"/>
        <v/>
      </c>
      <c r="FJ5" s="11" t="str">
        <f t="shared" si="67"/>
        <v/>
      </c>
      <c r="FK5" s="11" t="str">
        <f t="shared" si="68"/>
        <v/>
      </c>
      <c r="FL5" s="11" t="str">
        <f t="shared" si="69"/>
        <v/>
      </c>
      <c r="FM5" s="11" t="str">
        <f t="shared" si="70"/>
        <v/>
      </c>
      <c r="FN5" s="11" t="str">
        <f t="shared" si="71"/>
        <v/>
      </c>
      <c r="FO5" s="11" t="str">
        <f t="shared" si="72"/>
        <v/>
      </c>
      <c r="FP5" s="11" t="str">
        <f t="shared" si="73"/>
        <v/>
      </c>
      <c r="FQ5" s="11" t="str">
        <f t="shared" si="74"/>
        <v/>
      </c>
      <c r="FR5" s="11" t="str">
        <f t="shared" si="75"/>
        <v/>
      </c>
      <c r="FS5" s="11" t="str">
        <f t="shared" si="76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7"/>
        <v/>
      </c>
      <c r="GO5" s="40" t="str">
        <f t="shared" si="78"/>
        <v/>
      </c>
      <c r="GP5" s="40" t="str">
        <f t="shared" si="79"/>
        <v/>
      </c>
      <c r="GQ5" s="40" t="str">
        <f t="shared" si="80"/>
        <v/>
      </c>
      <c r="GR5" s="40" t="str">
        <f t="shared" si="81"/>
        <v/>
      </c>
      <c r="GS5" s="40" t="str">
        <f t="shared" si="82"/>
        <v/>
      </c>
      <c r="GT5" s="40" t="str">
        <f t="shared" si="83"/>
        <v/>
      </c>
      <c r="GU5" s="40" t="str">
        <f t="shared" si="84"/>
        <v/>
      </c>
      <c r="GV5" s="40" t="str">
        <f t="shared" si="85"/>
        <v/>
      </c>
      <c r="GW5" s="40" t="str">
        <f t="shared" si="86"/>
        <v/>
      </c>
      <c r="GX5" s="40" t="str">
        <f t="shared" si="87"/>
        <v/>
      </c>
      <c r="GY5" s="40" t="str">
        <f t="shared" si="88"/>
        <v/>
      </c>
      <c r="GZ5" s="40" t="str">
        <f t="shared" si="89"/>
        <v/>
      </c>
      <c r="HA5" s="40" t="str">
        <f t="shared" si="90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1"/>
        <v/>
      </c>
      <c r="HW5" s="11" t="str">
        <f t="shared" si="92"/>
        <v/>
      </c>
      <c r="HX5" s="11" t="str">
        <f t="shared" si="93"/>
        <v/>
      </c>
      <c r="HY5" s="11" t="str">
        <f t="shared" si="94"/>
        <v/>
      </c>
      <c r="HZ5" s="11" t="str">
        <f t="shared" si="95"/>
        <v/>
      </c>
      <c r="IA5" s="11" t="str">
        <f t="shared" si="96"/>
        <v/>
      </c>
      <c r="IB5" s="11" t="str">
        <f t="shared" si="97"/>
        <v/>
      </c>
      <c r="IC5" s="11" t="str">
        <f t="shared" si="98"/>
        <v/>
      </c>
      <c r="ID5" s="11" t="str">
        <f t="shared" si="99"/>
        <v/>
      </c>
      <c r="IE5" s="11" t="str">
        <f t="shared" si="100"/>
        <v/>
      </c>
      <c r="IF5" s="11" t="str">
        <f t="shared" si="101"/>
        <v/>
      </c>
      <c r="IG5" s="11" t="str">
        <f t="shared" si="102"/>
        <v/>
      </c>
      <c r="IH5" s="11" t="str">
        <f t="shared" si="103"/>
        <v/>
      </c>
      <c r="II5" s="11" t="str">
        <f t="shared" si="104"/>
        <v/>
      </c>
      <c r="IJ5" s="17">
        <v>5.6</v>
      </c>
      <c r="IK5" s="17">
        <v>3.3</v>
      </c>
      <c r="IL5" s="17">
        <v>5.2</v>
      </c>
      <c r="IM5" s="17">
        <v>5.9</v>
      </c>
      <c r="IN5" s="17">
        <v>0</v>
      </c>
      <c r="IO5" s="17">
        <v>3</v>
      </c>
      <c r="IP5" s="17">
        <v>2</v>
      </c>
      <c r="IQ5" s="17">
        <v>2.7</v>
      </c>
      <c r="IR5" s="17">
        <v>3.03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 t="shared" si="105"/>
        <v>5.2</v>
      </c>
      <c r="JE5" s="40">
        <f t="shared" si="106"/>
        <v>5.9</v>
      </c>
      <c r="JF5" s="40">
        <f t="shared" si="107"/>
        <v>20</v>
      </c>
      <c r="JG5" s="40">
        <f t="shared" si="108"/>
        <v>2.7</v>
      </c>
      <c r="JH5" s="40">
        <f t="shared" si="109"/>
        <v>3.03</v>
      </c>
      <c r="JI5" s="40">
        <f t="shared" si="110"/>
        <v>10.73</v>
      </c>
      <c r="JJ5" s="40">
        <f t="shared" si="111"/>
        <v>20</v>
      </c>
      <c r="JK5" s="40" t="str">
        <f t="shared" si="112"/>
        <v/>
      </c>
      <c r="JL5" s="40" t="str">
        <f t="shared" si="113"/>
        <v/>
      </c>
      <c r="JM5" s="40" t="str">
        <f t="shared" si="114"/>
        <v/>
      </c>
      <c r="JN5" s="40" t="str">
        <f t="shared" si="115"/>
        <v/>
      </c>
      <c r="JO5" s="40" t="str">
        <f t="shared" si="116"/>
        <v/>
      </c>
      <c r="JP5" s="40" t="str">
        <f t="shared" si="117"/>
        <v/>
      </c>
      <c r="JQ5" s="40">
        <f t="shared" si="118"/>
        <v>20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19"/>
        <v/>
      </c>
      <c r="KM5" s="11" t="str">
        <f t="shared" si="120"/>
        <v/>
      </c>
      <c r="KN5" s="11" t="str">
        <f t="shared" si="121"/>
        <v/>
      </c>
      <c r="KO5" s="11" t="str">
        <f t="shared" si="122"/>
        <v/>
      </c>
      <c r="KP5" s="11" t="str">
        <f t="shared" si="123"/>
        <v/>
      </c>
      <c r="KQ5" s="11" t="str">
        <f t="shared" si="124"/>
        <v/>
      </c>
      <c r="KR5" s="11" t="str">
        <f t="shared" si="125"/>
        <v/>
      </c>
      <c r="KS5" s="11" t="str">
        <f t="shared" si="126"/>
        <v/>
      </c>
      <c r="KT5" s="11" t="str">
        <f t="shared" si="127"/>
        <v/>
      </c>
      <c r="KU5" s="11" t="str">
        <f t="shared" si="128"/>
        <v/>
      </c>
      <c r="KV5" s="11" t="str">
        <f t="shared" si="129"/>
        <v/>
      </c>
      <c r="KW5" s="11" t="str">
        <f t="shared" si="130"/>
        <v/>
      </c>
      <c r="KX5" s="11" t="str">
        <f t="shared" si="131"/>
        <v/>
      </c>
      <c r="KY5" s="11" t="str">
        <f t="shared" si="132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3"/>
        <v/>
      </c>
      <c r="LU5" s="40" t="str">
        <f t="shared" si="134"/>
        <v/>
      </c>
      <c r="LV5" s="40" t="str">
        <f t="shared" si="135"/>
        <v/>
      </c>
      <c r="LW5" s="40" t="str">
        <f t="shared" si="136"/>
        <v/>
      </c>
      <c r="LX5" s="40" t="str">
        <f t="shared" si="137"/>
        <v/>
      </c>
      <c r="LY5" s="40" t="str">
        <f t="shared" si="138"/>
        <v/>
      </c>
      <c r="LZ5" s="40" t="str">
        <f t="shared" si="139"/>
        <v/>
      </c>
      <c r="MA5" s="40" t="str">
        <f t="shared" si="140"/>
        <v/>
      </c>
      <c r="MB5" s="40" t="str">
        <f t="shared" si="141"/>
        <v/>
      </c>
      <c r="MC5" s="40" t="str">
        <f t="shared" si="142"/>
        <v/>
      </c>
      <c r="MD5" s="40" t="str">
        <f t="shared" si="143"/>
        <v/>
      </c>
      <c r="ME5" s="40" t="str">
        <f t="shared" si="144"/>
        <v/>
      </c>
      <c r="MF5" s="40" t="str">
        <f t="shared" si="145"/>
        <v/>
      </c>
      <c r="MG5" s="40" t="str">
        <f t="shared" si="146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7"/>
        <v/>
      </c>
      <c r="NC5" s="11" t="str">
        <f t="shared" si="148"/>
        <v/>
      </c>
      <c r="ND5" s="11" t="str">
        <f t="shared" si="149"/>
        <v/>
      </c>
      <c r="NE5" s="11" t="str">
        <f t="shared" si="150"/>
        <v/>
      </c>
      <c r="NF5" s="11" t="str">
        <f t="shared" si="151"/>
        <v/>
      </c>
      <c r="NG5" s="11" t="str">
        <f t="shared" si="152"/>
        <v/>
      </c>
      <c r="NH5" s="11" t="str">
        <f t="shared" si="153"/>
        <v/>
      </c>
      <c r="NI5" s="11" t="str">
        <f t="shared" si="154"/>
        <v/>
      </c>
      <c r="NJ5" s="11" t="str">
        <f t="shared" si="155"/>
        <v/>
      </c>
      <c r="NK5" s="11" t="str">
        <f t="shared" si="156"/>
        <v/>
      </c>
      <c r="NL5" s="11" t="str">
        <f t="shared" si="157"/>
        <v/>
      </c>
      <c r="NM5" s="11" t="str">
        <f t="shared" si="158"/>
        <v/>
      </c>
      <c r="NN5" s="11" t="str">
        <f t="shared" si="159"/>
        <v/>
      </c>
      <c r="NO5" s="11" t="str">
        <f t="shared" si="160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1"/>
        <v/>
      </c>
      <c r="OK5" s="40" t="str">
        <f t="shared" si="162"/>
        <v/>
      </c>
      <c r="OL5" s="40" t="str">
        <f t="shared" si="163"/>
        <v/>
      </c>
      <c r="OM5" s="40" t="str">
        <f t="shared" si="164"/>
        <v/>
      </c>
      <c r="ON5" s="40" t="str">
        <f t="shared" si="165"/>
        <v/>
      </c>
      <c r="OO5" s="40" t="str">
        <f t="shared" si="166"/>
        <v/>
      </c>
      <c r="OP5" s="40" t="str">
        <f t="shared" si="167"/>
        <v/>
      </c>
      <c r="OQ5" s="40" t="str">
        <f t="shared" si="168"/>
        <v/>
      </c>
      <c r="OR5" s="40" t="str">
        <f t="shared" si="169"/>
        <v/>
      </c>
      <c r="OS5" s="40" t="str">
        <f t="shared" si="170"/>
        <v/>
      </c>
      <c r="OT5" s="40" t="str">
        <f t="shared" si="171"/>
        <v/>
      </c>
      <c r="OU5" s="40" t="str">
        <f t="shared" si="172"/>
        <v/>
      </c>
      <c r="OV5" s="40" t="str">
        <f t="shared" si="173"/>
        <v/>
      </c>
      <c r="OW5" s="40" t="str">
        <f t="shared" si="174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5"/>
        <v/>
      </c>
      <c r="PS5" s="11" t="str">
        <f t="shared" si="176"/>
        <v/>
      </c>
      <c r="PT5" s="11" t="str">
        <f t="shared" si="177"/>
        <v/>
      </c>
      <c r="PU5" s="11" t="str">
        <f t="shared" si="178"/>
        <v/>
      </c>
      <c r="PV5" s="11" t="str">
        <f t="shared" si="179"/>
        <v/>
      </c>
      <c r="PW5" s="11" t="str">
        <f t="shared" si="180"/>
        <v/>
      </c>
      <c r="PX5" s="11" t="str">
        <f t="shared" si="181"/>
        <v/>
      </c>
      <c r="PY5" s="11" t="str">
        <f t="shared" si="182"/>
        <v/>
      </c>
      <c r="PZ5" s="11" t="str">
        <f t="shared" si="183"/>
        <v/>
      </c>
      <c r="QA5" s="11" t="str">
        <f t="shared" si="184"/>
        <v/>
      </c>
      <c r="QB5" s="11" t="str">
        <f t="shared" si="185"/>
        <v/>
      </c>
      <c r="QC5" s="11" t="str">
        <f t="shared" si="186"/>
        <v/>
      </c>
      <c r="QD5" s="11" t="str">
        <f t="shared" si="187"/>
        <v/>
      </c>
      <c r="QE5" s="11" t="str">
        <f t="shared" si="188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89"/>
        <v/>
      </c>
      <c r="RA5" s="40" t="str">
        <f t="shared" si="190"/>
        <v/>
      </c>
      <c r="RB5" s="40" t="str">
        <f t="shared" si="191"/>
        <v/>
      </c>
      <c r="RC5" s="40" t="str">
        <f t="shared" si="192"/>
        <v/>
      </c>
      <c r="RD5" s="40" t="str">
        <f t="shared" si="193"/>
        <v/>
      </c>
      <c r="RE5" s="40" t="str">
        <f t="shared" si="194"/>
        <v/>
      </c>
      <c r="RF5" s="40" t="str">
        <f t="shared" si="195"/>
        <v/>
      </c>
      <c r="RG5" s="40" t="str">
        <f t="shared" si="196"/>
        <v/>
      </c>
      <c r="RH5" s="40" t="str">
        <f t="shared" si="197"/>
        <v/>
      </c>
      <c r="RI5" s="40" t="str">
        <f t="shared" si="198"/>
        <v/>
      </c>
      <c r="RJ5" s="40" t="str">
        <f t="shared" si="199"/>
        <v/>
      </c>
      <c r="RK5" s="40" t="str">
        <f t="shared" si="200"/>
        <v/>
      </c>
      <c r="RL5" s="40" t="str">
        <f t="shared" si="201"/>
        <v/>
      </c>
      <c r="RM5" s="40" t="str">
        <f t="shared" si="202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3"/>
        <v/>
      </c>
      <c r="SI5" s="11" t="str">
        <f t="shared" si="204"/>
        <v/>
      </c>
      <c r="SJ5" s="11" t="str">
        <f t="shared" si="205"/>
        <v/>
      </c>
      <c r="SK5" s="11" t="str">
        <f t="shared" si="206"/>
        <v/>
      </c>
      <c r="SL5" s="11" t="str">
        <f t="shared" si="207"/>
        <v/>
      </c>
      <c r="SM5" s="11" t="str">
        <f t="shared" si="208"/>
        <v/>
      </c>
      <c r="SN5" s="11" t="str">
        <f t="shared" si="209"/>
        <v/>
      </c>
      <c r="SO5" s="11" t="str">
        <f t="shared" si="210"/>
        <v/>
      </c>
      <c r="SP5" s="11" t="str">
        <f t="shared" si="211"/>
        <v/>
      </c>
      <c r="SQ5" s="11" t="str">
        <f t="shared" si="212"/>
        <v/>
      </c>
      <c r="SR5" s="11" t="str">
        <f t="shared" si="213"/>
        <v/>
      </c>
      <c r="SS5" s="11" t="str">
        <f t="shared" si="214"/>
        <v/>
      </c>
      <c r="ST5" s="11" t="str">
        <f t="shared" si="215"/>
        <v/>
      </c>
      <c r="SU5" s="11" t="str">
        <f t="shared" si="216"/>
        <v/>
      </c>
      <c r="SV5" s="22">
        <f t="shared" si="217"/>
        <v>9.0500000000000007</v>
      </c>
      <c r="SW5" s="22">
        <f t="shared" si="218"/>
        <v>5.9499999999999993</v>
      </c>
      <c r="SX5" s="22">
        <f t="shared" si="219"/>
        <v>8.1999999999999993</v>
      </c>
      <c r="SY5" s="22">
        <f t="shared" si="220"/>
        <v>9.4550000000000001</v>
      </c>
      <c r="SZ5" s="22">
        <f t="shared" si="221"/>
        <v>0</v>
      </c>
      <c r="TA5" s="22">
        <f t="shared" si="222"/>
        <v>8.15</v>
      </c>
      <c r="TB5" s="22">
        <f t="shared" si="223"/>
        <v>4.9000000000000004</v>
      </c>
      <c r="TC5" s="22">
        <f t="shared" si="224"/>
        <v>6.95</v>
      </c>
      <c r="TD5" s="22">
        <f t="shared" si="225"/>
        <v>7.9450000000000003</v>
      </c>
      <c r="TE5" s="22">
        <f t="shared" si="226"/>
        <v>0</v>
      </c>
      <c r="TF5" s="22">
        <f t="shared" si="227"/>
        <v>6.9</v>
      </c>
      <c r="TG5" s="22">
        <f t="shared" si="228"/>
        <v>4.75</v>
      </c>
      <c r="TH5" s="22">
        <f t="shared" si="229"/>
        <v>6.35</v>
      </c>
      <c r="TI5" s="22">
        <f t="shared" si="230"/>
        <v>7.335</v>
      </c>
      <c r="TJ5" s="22">
        <f t="shared" si="231"/>
        <v>0</v>
      </c>
      <c r="TK5" s="27" t="s">
        <v>46</v>
      </c>
      <c r="TL5" s="40">
        <f t="shared" si="232"/>
        <v>8.1999999999999993</v>
      </c>
      <c r="TM5" s="40">
        <f t="shared" si="233"/>
        <v>9.4550000000000001</v>
      </c>
      <c r="TN5" s="40">
        <f t="shared" si="234"/>
        <v>32.655000000000001</v>
      </c>
      <c r="TO5" s="40">
        <f t="shared" si="235"/>
        <v>6.95</v>
      </c>
      <c r="TP5" s="40">
        <f t="shared" si="236"/>
        <v>7.9450000000000003</v>
      </c>
      <c r="TQ5" s="40">
        <f t="shared" si="237"/>
        <v>27.945</v>
      </c>
      <c r="TR5" s="40">
        <f t="shared" si="238"/>
        <v>32.655000000000001</v>
      </c>
      <c r="TS5" s="40">
        <f t="shared" si="239"/>
        <v>6.35</v>
      </c>
      <c r="TT5" s="40">
        <f t="shared" si="240"/>
        <v>7.335</v>
      </c>
      <c r="TU5" s="40">
        <f t="shared" si="241"/>
        <v>25.335000000000001</v>
      </c>
      <c r="TV5" s="40">
        <f t="shared" si="242"/>
        <v>57.99</v>
      </c>
    </row>
    <row r="6" spans="1:542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>1</v>
      </c>
      <c r="C6" s="5" t="s">
        <v>65</v>
      </c>
      <c r="D6" s="4" t="s">
        <v>5</v>
      </c>
      <c r="E6" s="4">
        <v>2002</v>
      </c>
      <c r="F6" s="9">
        <f t="shared" si="0"/>
        <v>177.73001777300499</v>
      </c>
      <c r="G6" s="66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50.08</v>
      </c>
      <c r="M6" s="8" t="str">
        <f t="shared" si="5"/>
        <v>2023 Nationals</v>
      </c>
      <c r="N6" s="8">
        <f>IF(COUNT(AQ6,AT6,BR6,BU6,CS6,CV6)&gt;1,LARGE((AQ6,AT6,BR6,BU6,CS6,CV6),2),0)</f>
        <v>49.940000000000005</v>
      </c>
      <c r="O6" s="8" t="str">
        <f t="shared" si="6"/>
        <v>2023 Nationals</v>
      </c>
      <c r="P6" s="8">
        <f>IF(COUNT(AQ6,AT6,BR6,BU6,CS6,CV6)&gt;2,MAX(AX6,BY6,CZ6,LARGE((AQ6,AT6,BR6,BU6,CS6,CV6),3)),IF(MAX(AX6,BY6,CZ6)&gt;0,MAX(AX6,BY6,CZ6),0))</f>
        <v>50.56</v>
      </c>
      <c r="Q6" s="8" t="str">
        <f t="shared" si="7"/>
        <v>2023 Nationals</v>
      </c>
      <c r="R6" s="8">
        <f t="shared" si="8"/>
        <v>12.7</v>
      </c>
      <c r="S6" s="8" t="str">
        <f t="shared" si="9"/>
        <v>2023 Nationals</v>
      </c>
      <c r="T6" s="8">
        <f t="shared" si="10"/>
        <v>14.45</v>
      </c>
      <c r="U6" s="8" t="str">
        <f t="shared" si="11"/>
        <v>2023 3rd Domestic Trial</v>
      </c>
      <c r="V6" s="8" t="str">
        <f t="shared" si="12"/>
        <v/>
      </c>
      <c r="W6" s="11" t="str">
        <f t="shared" si="13"/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7.8</v>
      </c>
      <c r="Z6" s="22">
        <v>5.4</v>
      </c>
      <c r="AA6" s="22">
        <v>8.1</v>
      </c>
      <c r="AB6" s="22">
        <v>8.59</v>
      </c>
      <c r="AC6" s="22">
        <v>0</v>
      </c>
      <c r="AD6" s="22">
        <v>2</v>
      </c>
      <c r="AE6" s="22">
        <v>0.9</v>
      </c>
      <c r="AF6" s="22">
        <v>0.6</v>
      </c>
      <c r="AG6" s="22">
        <v>1.59</v>
      </c>
      <c r="AH6" s="22">
        <v>0</v>
      </c>
      <c r="AI6" s="22"/>
      <c r="AJ6" s="22"/>
      <c r="AK6" s="22"/>
      <c r="AL6" s="22"/>
      <c r="AM6" s="22"/>
      <c r="AN6" s="27"/>
      <c r="AO6" s="38">
        <f t="shared" si="14"/>
        <v>8.1</v>
      </c>
      <c r="AP6" s="38">
        <f t="shared" si="15"/>
        <v>8.59</v>
      </c>
      <c r="AQ6" s="40">
        <f t="shared" si="16"/>
        <v>29.889999999999997</v>
      </c>
      <c r="AR6" s="40">
        <f t="shared" si="17"/>
        <v>0.6</v>
      </c>
      <c r="AS6" s="40">
        <f t="shared" si="18"/>
        <v>1.59</v>
      </c>
      <c r="AT6" s="40">
        <f t="shared" si="19"/>
        <v>5.09</v>
      </c>
      <c r="AU6" s="40">
        <f t="shared" si="20"/>
        <v>29.889999999999997</v>
      </c>
      <c r="AV6" s="40" t="str">
        <f t="shared" si="21"/>
        <v/>
      </c>
      <c r="AW6" s="40" t="str">
        <f t="shared" si="22"/>
        <v/>
      </c>
      <c r="AX6" s="40" t="str">
        <f t="shared" si="23"/>
        <v/>
      </c>
      <c r="AY6" s="40">
        <f t="shared" si="24"/>
        <v>29.889999999999997</v>
      </c>
      <c r="AZ6" s="26">
        <v>14.5</v>
      </c>
      <c r="BA6" s="26">
        <v>9</v>
      </c>
      <c r="BB6" s="26">
        <v>12.7</v>
      </c>
      <c r="BC6" s="26">
        <v>13.74</v>
      </c>
      <c r="BD6" s="26">
        <v>0</v>
      </c>
      <c r="BE6" s="26">
        <v>14.6</v>
      </c>
      <c r="BF6" s="26">
        <v>9.1999999999999993</v>
      </c>
      <c r="BG6" s="26">
        <v>12.4</v>
      </c>
      <c r="BH6" s="26">
        <v>13.88</v>
      </c>
      <c r="BI6" s="26">
        <v>0</v>
      </c>
      <c r="BJ6" s="26">
        <v>15.2</v>
      </c>
      <c r="BK6" s="26">
        <v>9.1999999999999993</v>
      </c>
      <c r="BL6" s="26">
        <v>12</v>
      </c>
      <c r="BM6" s="26">
        <v>14.16</v>
      </c>
      <c r="BN6" s="26">
        <v>0</v>
      </c>
      <c r="BO6" s="28"/>
      <c r="BP6" s="39">
        <f t="shared" si="25"/>
        <v>12.7</v>
      </c>
      <c r="BQ6" s="39">
        <f t="shared" si="26"/>
        <v>13.74</v>
      </c>
      <c r="BR6" s="11">
        <f t="shared" si="27"/>
        <v>49.940000000000005</v>
      </c>
      <c r="BS6" s="11">
        <f t="shared" si="28"/>
        <v>12.4</v>
      </c>
      <c r="BT6" s="11">
        <f t="shared" si="29"/>
        <v>13.88</v>
      </c>
      <c r="BU6" s="11">
        <f t="shared" si="30"/>
        <v>50.08</v>
      </c>
      <c r="BV6" s="11">
        <f t="shared" si="31"/>
        <v>50.08</v>
      </c>
      <c r="BW6" s="11">
        <f t="shared" si="32"/>
        <v>12</v>
      </c>
      <c r="BX6" s="11">
        <f t="shared" si="33"/>
        <v>14.16</v>
      </c>
      <c r="BY6" s="11">
        <f t="shared" si="34"/>
        <v>50.56</v>
      </c>
      <c r="BZ6" s="11">
        <f t="shared" si="35"/>
        <v>100.64</v>
      </c>
      <c r="CA6" s="22">
        <v>14.5</v>
      </c>
      <c r="CB6" s="22">
        <v>8.9</v>
      </c>
      <c r="CC6" s="22">
        <v>11.3</v>
      </c>
      <c r="CD6" s="22">
        <v>14.45</v>
      </c>
      <c r="CE6" s="22">
        <v>0</v>
      </c>
      <c r="CF6" s="22">
        <v>11.3</v>
      </c>
      <c r="CG6" s="22">
        <v>9.1999999999999993</v>
      </c>
      <c r="CH6" s="22">
        <v>12.4</v>
      </c>
      <c r="CI6" s="22">
        <v>14.05</v>
      </c>
      <c r="CJ6" s="22">
        <v>0</v>
      </c>
      <c r="CK6" s="22">
        <v>13.9</v>
      </c>
      <c r="CL6" s="22">
        <v>9</v>
      </c>
      <c r="CM6" s="22">
        <v>12.4</v>
      </c>
      <c r="CN6" s="22">
        <v>14.16</v>
      </c>
      <c r="CO6" s="22">
        <v>0</v>
      </c>
      <c r="CP6" s="27"/>
      <c r="CQ6" s="38">
        <f t="shared" si="36"/>
        <v>11.3</v>
      </c>
      <c r="CR6" s="38">
        <f t="shared" si="37"/>
        <v>14.45</v>
      </c>
      <c r="CS6" s="40">
        <f t="shared" si="38"/>
        <v>49.150000000000006</v>
      </c>
      <c r="CT6" s="40">
        <f t="shared" si="39"/>
        <v>12.4</v>
      </c>
      <c r="CU6" s="40">
        <f t="shared" si="40"/>
        <v>14.05</v>
      </c>
      <c r="CV6" s="40">
        <f t="shared" si="41"/>
        <v>46.95</v>
      </c>
      <c r="CW6" s="40">
        <f t="shared" si="42"/>
        <v>49.150000000000006</v>
      </c>
      <c r="CX6" s="40">
        <f t="shared" si="43"/>
        <v>12.4</v>
      </c>
      <c r="CY6" s="40">
        <f t="shared" si="44"/>
        <v>14.16</v>
      </c>
      <c r="CZ6" s="40">
        <f t="shared" si="45"/>
        <v>49.459999999999994</v>
      </c>
      <c r="DA6" s="40">
        <f t="shared" si="46"/>
        <v>98.61</v>
      </c>
      <c r="DB6" s="50" t="str">
        <f t="shared" si="47"/>
        <v/>
      </c>
      <c r="DC6" s="50" t="str">
        <f t="shared" si="48"/>
        <v/>
      </c>
      <c r="DD6" s="17"/>
      <c r="DE6" s="17"/>
      <c r="DF6" s="17"/>
      <c r="DG6" s="17"/>
      <c r="DH6" s="17"/>
      <c r="DI6" s="17">
        <v>13.7</v>
      </c>
      <c r="DJ6" s="17">
        <v>9.3000000000000007</v>
      </c>
      <c r="DK6" s="17">
        <v>11.8</v>
      </c>
      <c r="DL6" s="17">
        <v>13.62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49"/>
        <v/>
      </c>
      <c r="DY6" s="40" t="str">
        <f t="shared" si="50"/>
        <v/>
      </c>
      <c r="DZ6" s="40" t="str">
        <f t="shared" si="51"/>
        <v/>
      </c>
      <c r="EA6" s="40">
        <f t="shared" si="52"/>
        <v>11.8</v>
      </c>
      <c r="EB6" s="40">
        <f t="shared" si="53"/>
        <v>13.62</v>
      </c>
      <c r="EC6" s="40">
        <f t="shared" si="54"/>
        <v>48.419999999999995</v>
      </c>
      <c r="ED6" s="40">
        <f t="shared" si="55"/>
        <v>48.419999999999995</v>
      </c>
      <c r="EE6" s="40" t="str">
        <f t="shared" si="56"/>
        <v/>
      </c>
      <c r="EF6" s="40" t="str">
        <f t="shared" si="57"/>
        <v/>
      </c>
      <c r="EG6" s="40" t="str">
        <f t="shared" si="58"/>
        <v/>
      </c>
      <c r="EH6" s="40" t="str">
        <f t="shared" si="59"/>
        <v/>
      </c>
      <c r="EI6" s="40" t="str">
        <f t="shared" si="60"/>
        <v/>
      </c>
      <c r="EJ6" s="40" t="str">
        <f t="shared" si="61"/>
        <v/>
      </c>
      <c r="EK6" s="40">
        <f t="shared" si="62"/>
        <v>48.419999999999995</v>
      </c>
      <c r="EL6" s="18">
        <v>11.6</v>
      </c>
      <c r="EM6" s="18">
        <v>8.9</v>
      </c>
      <c r="EN6" s="18">
        <v>11.7</v>
      </c>
      <c r="EO6" s="18">
        <v>13.42</v>
      </c>
      <c r="EP6" s="18">
        <v>0</v>
      </c>
      <c r="EQ6" s="18">
        <v>1.2</v>
      </c>
      <c r="ER6" s="18">
        <v>1</v>
      </c>
      <c r="ES6" s="18">
        <v>1.7</v>
      </c>
      <c r="ET6" s="18">
        <v>1.5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3"/>
        <v>11.7</v>
      </c>
      <c r="FG6" s="11">
        <f t="shared" si="64"/>
        <v>13.42</v>
      </c>
      <c r="FH6" s="11">
        <f t="shared" si="65"/>
        <v>45.620000000000005</v>
      </c>
      <c r="FI6" s="11">
        <f t="shared" si="66"/>
        <v>1.7</v>
      </c>
      <c r="FJ6" s="11">
        <f t="shared" si="67"/>
        <v>1.5</v>
      </c>
      <c r="FK6" s="11">
        <f t="shared" si="68"/>
        <v>5.4</v>
      </c>
      <c r="FL6" s="11">
        <f t="shared" si="69"/>
        <v>45.620000000000005</v>
      </c>
      <c r="FM6" s="11" t="str">
        <f t="shared" si="70"/>
        <v/>
      </c>
      <c r="FN6" s="11" t="str">
        <f t="shared" si="71"/>
        <v/>
      </c>
      <c r="FO6" s="11" t="str">
        <f t="shared" si="72"/>
        <v/>
      </c>
      <c r="FP6" s="11" t="str">
        <f t="shared" si="73"/>
        <v/>
      </c>
      <c r="FQ6" s="11" t="str">
        <f t="shared" si="74"/>
        <v/>
      </c>
      <c r="FR6" s="11" t="str">
        <f t="shared" si="75"/>
        <v/>
      </c>
      <c r="FS6" s="11">
        <f t="shared" si="76"/>
        <v>45.620000000000005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7"/>
        <v/>
      </c>
      <c r="GO6" s="40" t="str">
        <f t="shared" si="78"/>
        <v/>
      </c>
      <c r="GP6" s="40" t="str">
        <f t="shared" si="79"/>
        <v/>
      </c>
      <c r="GQ6" s="40" t="str">
        <f t="shared" si="80"/>
        <v/>
      </c>
      <c r="GR6" s="40" t="str">
        <f t="shared" si="81"/>
        <v/>
      </c>
      <c r="GS6" s="40" t="str">
        <f t="shared" si="82"/>
        <v/>
      </c>
      <c r="GT6" s="40" t="str">
        <f t="shared" si="83"/>
        <v/>
      </c>
      <c r="GU6" s="40" t="str">
        <f t="shared" si="84"/>
        <v/>
      </c>
      <c r="GV6" s="40" t="str">
        <f t="shared" si="85"/>
        <v/>
      </c>
      <c r="GW6" s="40" t="str">
        <f t="shared" si="86"/>
        <v/>
      </c>
      <c r="GX6" s="40" t="str">
        <f t="shared" si="87"/>
        <v/>
      </c>
      <c r="GY6" s="40" t="str">
        <f t="shared" si="88"/>
        <v/>
      </c>
      <c r="GZ6" s="40" t="str">
        <f t="shared" si="89"/>
        <v/>
      </c>
      <c r="HA6" s="40" t="str">
        <f t="shared" si="90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1"/>
        <v/>
      </c>
      <c r="HW6" s="11" t="str">
        <f t="shared" si="92"/>
        <v/>
      </c>
      <c r="HX6" s="11" t="str">
        <f t="shared" si="93"/>
        <v/>
      </c>
      <c r="HY6" s="11" t="str">
        <f t="shared" si="94"/>
        <v/>
      </c>
      <c r="HZ6" s="11" t="str">
        <f t="shared" si="95"/>
        <v/>
      </c>
      <c r="IA6" s="11" t="str">
        <f t="shared" si="96"/>
        <v/>
      </c>
      <c r="IB6" s="11" t="str">
        <f t="shared" si="97"/>
        <v/>
      </c>
      <c r="IC6" s="11" t="str">
        <f t="shared" si="98"/>
        <v/>
      </c>
      <c r="ID6" s="11" t="str">
        <f t="shared" si="99"/>
        <v/>
      </c>
      <c r="IE6" s="11" t="str">
        <f t="shared" si="100"/>
        <v/>
      </c>
      <c r="IF6" s="11" t="str">
        <f t="shared" si="101"/>
        <v/>
      </c>
      <c r="IG6" s="11" t="str">
        <f t="shared" si="102"/>
        <v/>
      </c>
      <c r="IH6" s="11" t="str">
        <f t="shared" si="103"/>
        <v/>
      </c>
      <c r="II6" s="11" t="str">
        <f t="shared" si="104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5"/>
        <v/>
      </c>
      <c r="JE6" s="40" t="str">
        <f t="shared" si="106"/>
        <v/>
      </c>
      <c r="JF6" s="40" t="str">
        <f t="shared" si="107"/>
        <v/>
      </c>
      <c r="JG6" s="40" t="str">
        <f t="shared" si="108"/>
        <v/>
      </c>
      <c r="JH6" s="40" t="str">
        <f t="shared" si="109"/>
        <v/>
      </c>
      <c r="JI6" s="40" t="str">
        <f t="shared" si="110"/>
        <v/>
      </c>
      <c r="JJ6" s="40" t="str">
        <f t="shared" si="111"/>
        <v/>
      </c>
      <c r="JK6" s="40" t="str">
        <f t="shared" si="112"/>
        <v/>
      </c>
      <c r="JL6" s="40" t="str">
        <f t="shared" si="113"/>
        <v/>
      </c>
      <c r="JM6" s="40" t="str">
        <f t="shared" si="114"/>
        <v/>
      </c>
      <c r="JN6" s="40" t="str">
        <f t="shared" si="115"/>
        <v/>
      </c>
      <c r="JO6" s="40" t="str">
        <f t="shared" si="116"/>
        <v/>
      </c>
      <c r="JP6" s="40" t="str">
        <f t="shared" si="117"/>
        <v/>
      </c>
      <c r="JQ6" s="40" t="str">
        <f t="shared" si="118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19"/>
        <v/>
      </c>
      <c r="KM6" s="11" t="str">
        <f t="shared" si="120"/>
        <v/>
      </c>
      <c r="KN6" s="11" t="str">
        <f t="shared" si="121"/>
        <v/>
      </c>
      <c r="KO6" s="11" t="str">
        <f t="shared" si="122"/>
        <v/>
      </c>
      <c r="KP6" s="11" t="str">
        <f t="shared" si="123"/>
        <v/>
      </c>
      <c r="KQ6" s="11" t="str">
        <f t="shared" si="124"/>
        <v/>
      </c>
      <c r="KR6" s="11" t="str">
        <f t="shared" si="125"/>
        <v/>
      </c>
      <c r="KS6" s="11" t="str">
        <f t="shared" si="126"/>
        <v/>
      </c>
      <c r="KT6" s="11" t="str">
        <f t="shared" si="127"/>
        <v/>
      </c>
      <c r="KU6" s="11" t="str">
        <f t="shared" si="128"/>
        <v/>
      </c>
      <c r="KV6" s="11" t="str">
        <f t="shared" si="129"/>
        <v/>
      </c>
      <c r="KW6" s="11" t="str">
        <f t="shared" si="130"/>
        <v/>
      </c>
      <c r="KX6" s="11" t="str">
        <f t="shared" si="131"/>
        <v/>
      </c>
      <c r="KY6" s="11" t="str">
        <f t="shared" si="132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3"/>
        <v/>
      </c>
      <c r="LU6" s="40" t="str">
        <f t="shared" si="134"/>
        <v/>
      </c>
      <c r="LV6" s="40" t="str">
        <f t="shared" si="135"/>
        <v/>
      </c>
      <c r="LW6" s="40" t="str">
        <f t="shared" si="136"/>
        <v/>
      </c>
      <c r="LX6" s="40" t="str">
        <f t="shared" si="137"/>
        <v/>
      </c>
      <c r="LY6" s="40" t="str">
        <f t="shared" si="138"/>
        <v/>
      </c>
      <c r="LZ6" s="40" t="str">
        <f t="shared" si="139"/>
        <v/>
      </c>
      <c r="MA6" s="40" t="str">
        <f t="shared" si="140"/>
        <v/>
      </c>
      <c r="MB6" s="40" t="str">
        <f t="shared" si="141"/>
        <v/>
      </c>
      <c r="MC6" s="40" t="str">
        <f t="shared" si="142"/>
        <v/>
      </c>
      <c r="MD6" s="40" t="str">
        <f t="shared" si="143"/>
        <v/>
      </c>
      <c r="ME6" s="40" t="str">
        <f t="shared" si="144"/>
        <v/>
      </c>
      <c r="MF6" s="40" t="str">
        <f t="shared" si="145"/>
        <v/>
      </c>
      <c r="MG6" s="40" t="str">
        <f t="shared" si="146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7"/>
        <v/>
      </c>
      <c r="NC6" s="11" t="str">
        <f t="shared" si="148"/>
        <v/>
      </c>
      <c r="ND6" s="11" t="str">
        <f t="shared" si="149"/>
        <v/>
      </c>
      <c r="NE6" s="11" t="str">
        <f t="shared" si="150"/>
        <v/>
      </c>
      <c r="NF6" s="11" t="str">
        <f t="shared" si="151"/>
        <v/>
      </c>
      <c r="NG6" s="11" t="str">
        <f t="shared" si="152"/>
        <v/>
      </c>
      <c r="NH6" s="11" t="str">
        <f t="shared" si="153"/>
        <v/>
      </c>
      <c r="NI6" s="11" t="str">
        <f t="shared" si="154"/>
        <v/>
      </c>
      <c r="NJ6" s="11" t="str">
        <f t="shared" si="155"/>
        <v/>
      </c>
      <c r="NK6" s="11" t="str">
        <f t="shared" si="156"/>
        <v/>
      </c>
      <c r="NL6" s="11" t="str">
        <f t="shared" si="157"/>
        <v/>
      </c>
      <c r="NM6" s="11" t="str">
        <f t="shared" si="158"/>
        <v/>
      </c>
      <c r="NN6" s="11" t="str">
        <f t="shared" si="159"/>
        <v/>
      </c>
      <c r="NO6" s="11" t="str">
        <f t="shared" si="160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1"/>
        <v/>
      </c>
      <c r="OK6" s="40" t="str">
        <f t="shared" si="162"/>
        <v/>
      </c>
      <c r="OL6" s="40" t="str">
        <f t="shared" si="163"/>
        <v/>
      </c>
      <c r="OM6" s="40" t="str">
        <f t="shared" si="164"/>
        <v/>
      </c>
      <c r="ON6" s="40" t="str">
        <f t="shared" si="165"/>
        <v/>
      </c>
      <c r="OO6" s="40" t="str">
        <f t="shared" si="166"/>
        <v/>
      </c>
      <c r="OP6" s="40" t="str">
        <f t="shared" si="167"/>
        <v/>
      </c>
      <c r="OQ6" s="40" t="str">
        <f t="shared" si="168"/>
        <v/>
      </c>
      <c r="OR6" s="40" t="str">
        <f t="shared" si="169"/>
        <v/>
      </c>
      <c r="OS6" s="40" t="str">
        <f t="shared" si="170"/>
        <v/>
      </c>
      <c r="OT6" s="40" t="str">
        <f t="shared" si="171"/>
        <v/>
      </c>
      <c r="OU6" s="40" t="str">
        <f t="shared" si="172"/>
        <v/>
      </c>
      <c r="OV6" s="40" t="str">
        <f t="shared" si="173"/>
        <v/>
      </c>
      <c r="OW6" s="40" t="str">
        <f t="shared" si="174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5"/>
        <v/>
      </c>
      <c r="PS6" s="11" t="str">
        <f t="shared" si="176"/>
        <v/>
      </c>
      <c r="PT6" s="11" t="str">
        <f t="shared" si="177"/>
        <v/>
      </c>
      <c r="PU6" s="11" t="str">
        <f t="shared" si="178"/>
        <v/>
      </c>
      <c r="PV6" s="11" t="str">
        <f t="shared" si="179"/>
        <v/>
      </c>
      <c r="PW6" s="11" t="str">
        <f t="shared" si="180"/>
        <v/>
      </c>
      <c r="PX6" s="11" t="str">
        <f t="shared" si="181"/>
        <v/>
      </c>
      <c r="PY6" s="11" t="str">
        <f t="shared" si="182"/>
        <v/>
      </c>
      <c r="PZ6" s="11" t="str">
        <f t="shared" si="183"/>
        <v/>
      </c>
      <c r="QA6" s="11" t="str">
        <f t="shared" si="184"/>
        <v/>
      </c>
      <c r="QB6" s="11" t="str">
        <f t="shared" si="185"/>
        <v/>
      </c>
      <c r="QC6" s="11" t="str">
        <f t="shared" si="186"/>
        <v/>
      </c>
      <c r="QD6" s="11" t="str">
        <f t="shared" si="187"/>
        <v/>
      </c>
      <c r="QE6" s="11" t="str">
        <f t="shared" si="188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89"/>
        <v/>
      </c>
      <c r="RA6" s="40" t="str">
        <f t="shared" si="190"/>
        <v/>
      </c>
      <c r="RB6" s="40" t="str">
        <f t="shared" si="191"/>
        <v/>
      </c>
      <c r="RC6" s="40" t="str">
        <f t="shared" si="192"/>
        <v/>
      </c>
      <c r="RD6" s="40" t="str">
        <f t="shared" si="193"/>
        <v/>
      </c>
      <c r="RE6" s="40" t="str">
        <f t="shared" si="194"/>
        <v/>
      </c>
      <c r="RF6" s="40" t="str">
        <f t="shared" si="195"/>
        <v/>
      </c>
      <c r="RG6" s="40" t="str">
        <f t="shared" si="196"/>
        <v/>
      </c>
      <c r="RH6" s="40" t="str">
        <f t="shared" si="197"/>
        <v/>
      </c>
      <c r="RI6" s="40" t="str">
        <f t="shared" si="198"/>
        <v/>
      </c>
      <c r="RJ6" s="40" t="str">
        <f t="shared" si="199"/>
        <v/>
      </c>
      <c r="RK6" s="40" t="str">
        <f t="shared" si="200"/>
        <v/>
      </c>
      <c r="RL6" s="40" t="str">
        <f t="shared" si="201"/>
        <v/>
      </c>
      <c r="RM6" s="40" t="str">
        <f t="shared" si="202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3"/>
        <v/>
      </c>
      <c r="SI6" s="11" t="str">
        <f t="shared" si="204"/>
        <v/>
      </c>
      <c r="SJ6" s="11" t="str">
        <f t="shared" si="205"/>
        <v/>
      </c>
      <c r="SK6" s="11" t="str">
        <f t="shared" si="206"/>
        <v/>
      </c>
      <c r="SL6" s="11" t="str">
        <f t="shared" si="207"/>
        <v/>
      </c>
      <c r="SM6" s="11" t="str">
        <f t="shared" si="208"/>
        <v/>
      </c>
      <c r="SN6" s="11" t="str">
        <f t="shared" si="209"/>
        <v/>
      </c>
      <c r="SO6" s="11" t="str">
        <f t="shared" si="210"/>
        <v/>
      </c>
      <c r="SP6" s="11" t="str">
        <f t="shared" si="211"/>
        <v/>
      </c>
      <c r="SQ6" s="11" t="str">
        <f t="shared" si="212"/>
        <v/>
      </c>
      <c r="SR6" s="11" t="str">
        <f t="shared" si="213"/>
        <v/>
      </c>
      <c r="SS6" s="11" t="str">
        <f t="shared" si="214"/>
        <v/>
      </c>
      <c r="ST6" s="11" t="str">
        <f t="shared" si="215"/>
        <v/>
      </c>
      <c r="SU6" s="11" t="str">
        <f t="shared" si="216"/>
        <v/>
      </c>
      <c r="SV6" s="22">
        <f t="shared" si="217"/>
        <v>14.5</v>
      </c>
      <c r="SW6" s="22">
        <f t="shared" si="218"/>
        <v>8.9499999999999993</v>
      </c>
      <c r="SX6" s="22">
        <f t="shared" si="219"/>
        <v>12</v>
      </c>
      <c r="SY6" s="22">
        <f t="shared" si="220"/>
        <v>14.094999999999999</v>
      </c>
      <c r="SZ6" s="22">
        <f t="shared" si="221"/>
        <v>0</v>
      </c>
      <c r="TA6" s="22">
        <f t="shared" si="222"/>
        <v>12.95</v>
      </c>
      <c r="TB6" s="22">
        <f t="shared" si="223"/>
        <v>9.1999999999999993</v>
      </c>
      <c r="TC6" s="22">
        <f t="shared" si="224"/>
        <v>12.4</v>
      </c>
      <c r="TD6" s="22">
        <f t="shared" si="225"/>
        <v>13.965</v>
      </c>
      <c r="TE6" s="22">
        <f t="shared" si="226"/>
        <v>0</v>
      </c>
      <c r="TF6" s="22">
        <f t="shared" si="227"/>
        <v>14.55</v>
      </c>
      <c r="TG6" s="22">
        <f t="shared" si="228"/>
        <v>9.1</v>
      </c>
      <c r="TH6" s="22">
        <f t="shared" si="229"/>
        <v>12.2</v>
      </c>
      <c r="TI6" s="22">
        <f t="shared" si="230"/>
        <v>14.16</v>
      </c>
      <c r="TJ6" s="22">
        <f t="shared" si="231"/>
        <v>0</v>
      </c>
      <c r="TK6" s="27" t="s">
        <v>46</v>
      </c>
      <c r="TL6" s="40">
        <f t="shared" si="232"/>
        <v>12</v>
      </c>
      <c r="TM6" s="40">
        <f t="shared" si="233"/>
        <v>14.094999999999999</v>
      </c>
      <c r="TN6" s="40">
        <f t="shared" si="234"/>
        <v>49.545000000000002</v>
      </c>
      <c r="TO6" s="40">
        <f t="shared" si="235"/>
        <v>12.4</v>
      </c>
      <c r="TP6" s="40">
        <f t="shared" si="236"/>
        <v>13.965</v>
      </c>
      <c r="TQ6" s="40">
        <f t="shared" si="237"/>
        <v>48.515000000000001</v>
      </c>
      <c r="TR6" s="40">
        <f t="shared" si="238"/>
        <v>49.545000000000002</v>
      </c>
      <c r="TS6" s="40">
        <f t="shared" si="239"/>
        <v>12.2</v>
      </c>
      <c r="TT6" s="40">
        <f t="shared" si="240"/>
        <v>14.16</v>
      </c>
      <c r="TU6" s="40">
        <f t="shared" si="241"/>
        <v>50.009999999999991</v>
      </c>
      <c r="TV6" s="40">
        <f t="shared" si="242"/>
        <v>99.554999999999993</v>
      </c>
    </row>
    <row r="7" spans="1:542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2</v>
      </c>
      <c r="C7" s="5" t="s">
        <v>184</v>
      </c>
      <c r="D7" s="4" t="s">
        <v>3</v>
      </c>
      <c r="E7" s="4">
        <v>2006</v>
      </c>
      <c r="F7" s="9">
        <f t="shared" si="0"/>
        <v>176.70001767000491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49.31</v>
      </c>
      <c r="M7" s="8" t="str">
        <f t="shared" si="5"/>
        <v>2023 Elite Canada</v>
      </c>
      <c r="N7" s="8">
        <f>IF(COUNT(AQ7,AT7,BR7,BU7,CS7,CV7)&gt;1,LARGE((AQ7,AT7,BR7,BU7,CS7,CV7),2),0)</f>
        <v>49.09</v>
      </c>
      <c r="O7" s="8" t="str">
        <f t="shared" si="6"/>
        <v>2023 Elite Canada</v>
      </c>
      <c r="P7" s="8">
        <f>IF(COUNT(AQ7,AT7,BR7,BU7,CS7,CV7)&gt;2,MAX(AX7,BY7,CZ7,LARGE((AQ7,AT7,BR7,BU7,CS7,CV7),3)),IF(MAX(AX7,BY7,CZ7)&gt;0,MAX(AX7,BY7,CZ7),0))</f>
        <v>50.55</v>
      </c>
      <c r="Q7" s="8" t="str">
        <f t="shared" si="7"/>
        <v>2023 Elite Canada</v>
      </c>
      <c r="R7" s="8">
        <f t="shared" si="8"/>
        <v>13</v>
      </c>
      <c r="S7" s="8" t="str">
        <f t="shared" si="9"/>
        <v>2023 Nationals</v>
      </c>
      <c r="T7" s="8">
        <f t="shared" si="10"/>
        <v>14.75</v>
      </c>
      <c r="U7" s="8" t="str">
        <f t="shared" si="11"/>
        <v>2023 Elite Canada</v>
      </c>
      <c r="V7" s="8" t="str">
        <f t="shared" si="12"/>
        <v/>
      </c>
      <c r="W7" s="11" t="str">
        <f t="shared" si="13"/>
        <v/>
      </c>
      <c r="X7" s="8" t="str">
        <f>IF(V7="","",IF(V7=DB7,IF(V7+IF(P7="",0,P7)=SN7,$RN$1,IF(V7+IF(P7="",0,P7)=RF7,$QF$1,IF(V7+IF(P7="",0,P7)=PX7,$OX$1,IF(V7+IF(P7="",0,P7)=OP7,$NP$1,IF(V7+IF(P7="",0,P7)=NH7,$MH$1,IF(V7+IF(P7="",0,P7)=LZ7,$KZ$1,IF(V7+IF(P7="",0,P7)=KR7,$JR$1,IF(V7+IF(P7="",0,P7)=JJ7,$IJ$1,IF(V7+IF(P7="",0,P7)=IB7,$HB$1,IF(V7+IF(P7="",0,P7)=GT7,$FT$1,IF(V7+IF(P7="",0,P7)=FL7,$EL$1,IF(V7+IF(P7="",0,P7)=ED7,$DD$1)))))))))))),IF(V7=DC7,IF(V7+IF(#REF!="",0,#REF!)=ST7,$RN$1,IF(V7+IF(#REF!="",0,#REF!)=RL7,$QF$1,IF(V7+IF(#REF!="",0,#REF!)=QD7,$OX$1,IF(V7+IF(#REF!="",0,#REF!)=OV7,$NP$1,IF(V7+IF(#REF!="",0,#REF!)=NN7,$MH$1,IF(V7+IF(#REF!="",0,#REF!)=MF7,$KZ$1,IF(V7+IF(#REF!="",0,#REF!)=KX7,$JR$1,IF(V7+IF(#REF!="",0,#REF!)=JP7,$IJ$1,IF(V7+IF(#REF!="",0,#REF!)=IH7,$HB$1,IF(V7+IF(#REF!="",0,#REF!)=GZ7,$FT$1,IF(V7+IF(#REF!="",0,#REF!)=FR7,$EL$1,IF(V7+IF(#REF!="",0,#REF!)=EJ7,$DD$1,IF(V7+IF(#REF!="",0,#REF!)=SQ7,$RN$1,IF(V7+IF(#REF!="",0,#REF!)=RI7,$QF$1,IF(V7+IF(#REF!="",0,#REF!)=QA7,$OX$1,IF(V7+IF(#REF!="",0,#REF!)=OS7,$NP$1,IF(V7+IF(#REF!="",0,#REF!)=NK7,$MH$1,IF(V7+IF(#REF!="",0,#REF!)=MC7,$KZ$1,IF(V7+IF(#REF!="",0,#REF!)=KU7,$JR$1,IF(V7+IF(#REF!="",0,#REF!)=JM7,$IJ$1,IF(V7+IF(#REF!="",0,#REF!)=IE7,$HB$1,IF(V7+IF(#REF!="",0,#REF!)=GW7,$FT$1,IF(V7+IF(#REF!="",0,#REF!)=FO7,$EL$1,IF(V7+IF(#REF!="",0,#REF!)=EG7,$DD$1)))))))))))))))))))))))))))</f>
        <v/>
      </c>
      <c r="Y7" s="22">
        <v>14.8</v>
      </c>
      <c r="Z7" s="22">
        <v>9</v>
      </c>
      <c r="AA7" s="22">
        <v>11.3</v>
      </c>
      <c r="AB7" s="22">
        <v>13.99</v>
      </c>
      <c r="AC7" s="22">
        <v>0</v>
      </c>
      <c r="AD7" s="22">
        <v>14.7</v>
      </c>
      <c r="AE7" s="22">
        <v>9.6</v>
      </c>
      <c r="AF7" s="22">
        <v>11.1</v>
      </c>
      <c r="AG7" s="22">
        <v>13.91</v>
      </c>
      <c r="AH7" s="22">
        <v>0</v>
      </c>
      <c r="AI7" s="22">
        <v>14.3</v>
      </c>
      <c r="AJ7" s="22">
        <v>9.1</v>
      </c>
      <c r="AK7" s="22">
        <v>12.4</v>
      </c>
      <c r="AL7" s="22">
        <v>14.75</v>
      </c>
      <c r="AM7" s="22">
        <v>0</v>
      </c>
      <c r="AN7" s="27"/>
      <c r="AO7" s="38">
        <f t="shared" si="14"/>
        <v>11.3</v>
      </c>
      <c r="AP7" s="38">
        <f t="shared" si="15"/>
        <v>13.99</v>
      </c>
      <c r="AQ7" s="40">
        <f t="shared" si="16"/>
        <v>49.09</v>
      </c>
      <c r="AR7" s="40">
        <f t="shared" si="17"/>
        <v>11.1</v>
      </c>
      <c r="AS7" s="40">
        <f t="shared" si="18"/>
        <v>13.91</v>
      </c>
      <c r="AT7" s="40">
        <f t="shared" si="19"/>
        <v>49.31</v>
      </c>
      <c r="AU7" s="40">
        <f t="shared" si="20"/>
        <v>49.31</v>
      </c>
      <c r="AV7" s="40">
        <f t="shared" si="21"/>
        <v>12.4</v>
      </c>
      <c r="AW7" s="40">
        <f t="shared" si="22"/>
        <v>14.75</v>
      </c>
      <c r="AX7" s="40">
        <f t="shared" si="23"/>
        <v>50.55</v>
      </c>
      <c r="AY7" s="40">
        <f t="shared" si="24"/>
        <v>99.86</v>
      </c>
      <c r="AZ7" s="26">
        <v>1.6</v>
      </c>
      <c r="BA7" s="26">
        <v>1</v>
      </c>
      <c r="BB7" s="26">
        <v>1.5</v>
      </c>
      <c r="BC7" s="26">
        <v>1.52</v>
      </c>
      <c r="BD7" s="26">
        <v>0</v>
      </c>
      <c r="BE7" s="26">
        <v>13.8</v>
      </c>
      <c r="BF7" s="26">
        <v>9.1</v>
      </c>
      <c r="BG7" s="26">
        <v>12</v>
      </c>
      <c r="BH7" s="26">
        <v>13.37</v>
      </c>
      <c r="BI7" s="26">
        <v>0</v>
      </c>
      <c r="BJ7" s="26">
        <v>13.2</v>
      </c>
      <c r="BK7" s="26">
        <v>9</v>
      </c>
      <c r="BL7" s="26">
        <v>13</v>
      </c>
      <c r="BM7" s="26">
        <v>13.81</v>
      </c>
      <c r="BN7" s="26">
        <v>0</v>
      </c>
      <c r="BO7" s="28"/>
      <c r="BP7" s="39">
        <f t="shared" si="25"/>
        <v>1.5</v>
      </c>
      <c r="BQ7" s="39">
        <f t="shared" si="26"/>
        <v>1.52</v>
      </c>
      <c r="BR7" s="11">
        <f t="shared" si="27"/>
        <v>5.6199999999999992</v>
      </c>
      <c r="BS7" s="11">
        <f t="shared" si="28"/>
        <v>12</v>
      </c>
      <c r="BT7" s="11">
        <f t="shared" si="29"/>
        <v>13.37</v>
      </c>
      <c r="BU7" s="11">
        <f t="shared" si="30"/>
        <v>48.269999999999996</v>
      </c>
      <c r="BV7" s="11">
        <f t="shared" si="31"/>
        <v>48.269999999999996</v>
      </c>
      <c r="BW7" s="11">
        <f t="shared" si="32"/>
        <v>13</v>
      </c>
      <c r="BX7" s="11">
        <f t="shared" si="33"/>
        <v>13.81</v>
      </c>
      <c r="BY7" s="11">
        <f t="shared" si="34"/>
        <v>49.010000000000005</v>
      </c>
      <c r="BZ7" s="11">
        <f t="shared" si="35"/>
        <v>97.28</v>
      </c>
      <c r="CA7" s="22">
        <v>8.2000000000000011</v>
      </c>
      <c r="CB7" s="22">
        <v>5</v>
      </c>
      <c r="CC7" s="22">
        <v>6.4</v>
      </c>
      <c r="CD7" s="22">
        <v>7.7549999999999999</v>
      </c>
      <c r="CE7" s="22">
        <v>0</v>
      </c>
      <c r="CF7" s="22">
        <v>14.25</v>
      </c>
      <c r="CG7" s="22">
        <v>9.35</v>
      </c>
      <c r="CH7" s="22">
        <v>11.55</v>
      </c>
      <c r="CI7" s="22">
        <v>13.64</v>
      </c>
      <c r="CJ7" s="22">
        <v>0</v>
      </c>
      <c r="CK7" s="22">
        <v>13.75</v>
      </c>
      <c r="CL7" s="22">
        <v>9.0500000000000007</v>
      </c>
      <c r="CM7" s="22">
        <v>12.7</v>
      </c>
      <c r="CN7" s="22">
        <v>14.280000000000001</v>
      </c>
      <c r="CO7" s="22">
        <v>0</v>
      </c>
      <c r="CP7" s="27" t="s">
        <v>46</v>
      </c>
      <c r="CQ7" s="38">
        <f t="shared" si="36"/>
        <v>6.4</v>
      </c>
      <c r="CR7" s="38">
        <f t="shared" si="37"/>
        <v>7.7549999999999999</v>
      </c>
      <c r="CS7" s="40">
        <f t="shared" si="38"/>
        <v>27.355</v>
      </c>
      <c r="CT7" s="40">
        <f t="shared" si="39"/>
        <v>11.55</v>
      </c>
      <c r="CU7" s="40">
        <f t="shared" si="40"/>
        <v>13.64</v>
      </c>
      <c r="CV7" s="40">
        <f t="shared" si="41"/>
        <v>48.790000000000006</v>
      </c>
      <c r="CW7" s="40">
        <f t="shared" si="42"/>
        <v>48.790000000000006</v>
      </c>
      <c r="CX7" s="40">
        <f t="shared" si="43"/>
        <v>12.7</v>
      </c>
      <c r="CY7" s="40">
        <f t="shared" si="44"/>
        <v>14.280000000000001</v>
      </c>
      <c r="CZ7" s="40">
        <f t="shared" si="45"/>
        <v>49.78</v>
      </c>
      <c r="DA7" s="40">
        <f t="shared" si="46"/>
        <v>98.570000000000007</v>
      </c>
      <c r="DB7" s="50" t="str">
        <f t="shared" si="47"/>
        <v/>
      </c>
      <c r="DC7" s="50" t="str">
        <f t="shared" si="48"/>
        <v/>
      </c>
      <c r="DD7" s="17"/>
      <c r="DE7" s="17"/>
      <c r="DF7" s="17"/>
      <c r="DG7" s="17"/>
      <c r="DH7" s="17"/>
      <c r="DI7" s="17">
        <v>12.1</v>
      </c>
      <c r="DJ7" s="17">
        <v>9.1</v>
      </c>
      <c r="DK7" s="17">
        <v>11.3</v>
      </c>
      <c r="DL7" s="17">
        <v>13.48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49"/>
        <v/>
      </c>
      <c r="DY7" s="40" t="str">
        <f t="shared" si="50"/>
        <v/>
      </c>
      <c r="DZ7" s="40" t="str">
        <f t="shared" si="51"/>
        <v/>
      </c>
      <c r="EA7" s="40">
        <f t="shared" si="52"/>
        <v>11.3</v>
      </c>
      <c r="EB7" s="40">
        <f t="shared" si="53"/>
        <v>13.48</v>
      </c>
      <c r="EC7" s="40">
        <f t="shared" si="54"/>
        <v>45.980000000000004</v>
      </c>
      <c r="ED7" s="40">
        <f t="shared" si="55"/>
        <v>45.980000000000004</v>
      </c>
      <c r="EE7" s="40" t="str">
        <f t="shared" si="56"/>
        <v/>
      </c>
      <c r="EF7" s="40" t="str">
        <f t="shared" si="57"/>
        <v/>
      </c>
      <c r="EG7" s="40" t="str">
        <f t="shared" si="58"/>
        <v/>
      </c>
      <c r="EH7" s="40" t="str">
        <f t="shared" si="59"/>
        <v/>
      </c>
      <c r="EI7" s="40" t="str">
        <f t="shared" si="60"/>
        <v/>
      </c>
      <c r="EJ7" s="40" t="str">
        <f t="shared" si="61"/>
        <v/>
      </c>
      <c r="EK7" s="40">
        <f t="shared" si="62"/>
        <v>45.980000000000004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3"/>
        <v/>
      </c>
      <c r="FG7" s="11" t="str">
        <f t="shared" si="64"/>
        <v/>
      </c>
      <c r="FH7" s="11" t="str">
        <f t="shared" si="65"/>
        <v/>
      </c>
      <c r="FI7" s="11" t="str">
        <f t="shared" si="66"/>
        <v/>
      </c>
      <c r="FJ7" s="11" t="str">
        <f t="shared" si="67"/>
        <v/>
      </c>
      <c r="FK7" s="11" t="str">
        <f t="shared" si="68"/>
        <v/>
      </c>
      <c r="FL7" s="11" t="str">
        <f t="shared" si="69"/>
        <v/>
      </c>
      <c r="FM7" s="11" t="str">
        <f t="shared" si="70"/>
        <v/>
      </c>
      <c r="FN7" s="11" t="str">
        <f t="shared" si="71"/>
        <v/>
      </c>
      <c r="FO7" s="11" t="str">
        <f t="shared" si="72"/>
        <v/>
      </c>
      <c r="FP7" s="11" t="str">
        <f t="shared" si="73"/>
        <v/>
      </c>
      <c r="FQ7" s="11" t="str">
        <f t="shared" si="74"/>
        <v/>
      </c>
      <c r="FR7" s="11" t="str">
        <f t="shared" si="75"/>
        <v/>
      </c>
      <c r="FS7" s="11" t="str">
        <f t="shared" si="76"/>
        <v/>
      </c>
      <c r="FT7" s="17">
        <v>13.3</v>
      </c>
      <c r="FU7" s="17">
        <v>9.3000000000000007</v>
      </c>
      <c r="FV7" s="17">
        <v>12.4</v>
      </c>
      <c r="FW7" s="17">
        <v>13.89</v>
      </c>
      <c r="FX7" s="17">
        <v>0</v>
      </c>
      <c r="FY7" s="17">
        <v>13</v>
      </c>
      <c r="FZ7" s="17">
        <v>9.1</v>
      </c>
      <c r="GA7" s="17">
        <v>12.2</v>
      </c>
      <c r="GB7" s="17">
        <v>13.41</v>
      </c>
      <c r="GC7" s="17">
        <v>0</v>
      </c>
      <c r="GD7" s="17"/>
      <c r="GE7" s="17"/>
      <c r="GF7" s="17"/>
      <c r="GG7" s="17"/>
      <c r="GH7" s="17"/>
      <c r="GI7" s="17">
        <v>1.4</v>
      </c>
      <c r="GJ7" s="17">
        <v>0.9</v>
      </c>
      <c r="GK7" s="17">
        <v>1.5</v>
      </c>
      <c r="GL7" s="17">
        <v>1.5</v>
      </c>
      <c r="GM7" s="17">
        <v>0</v>
      </c>
      <c r="GN7" s="40">
        <f t="shared" si="77"/>
        <v>12.4</v>
      </c>
      <c r="GO7" s="40">
        <f t="shared" si="78"/>
        <v>13.89</v>
      </c>
      <c r="GP7" s="40">
        <f t="shared" si="79"/>
        <v>48.89</v>
      </c>
      <c r="GQ7" s="40">
        <f t="shared" si="80"/>
        <v>12.2</v>
      </c>
      <c r="GR7" s="40">
        <f t="shared" si="81"/>
        <v>13.41</v>
      </c>
      <c r="GS7" s="40">
        <f t="shared" si="82"/>
        <v>47.709999999999994</v>
      </c>
      <c r="GT7" s="40">
        <f t="shared" si="83"/>
        <v>48.89</v>
      </c>
      <c r="GU7" s="40" t="str">
        <f t="shared" si="84"/>
        <v/>
      </c>
      <c r="GV7" s="40" t="str">
        <f t="shared" si="85"/>
        <v/>
      </c>
      <c r="GW7" s="40" t="str">
        <f t="shared" si="86"/>
        <v/>
      </c>
      <c r="GX7" s="40">
        <f t="shared" si="87"/>
        <v>1.5</v>
      </c>
      <c r="GY7" s="40">
        <f t="shared" si="88"/>
        <v>1.5</v>
      </c>
      <c r="GZ7" s="40">
        <f t="shared" si="89"/>
        <v>5.3</v>
      </c>
      <c r="HA7" s="40">
        <f t="shared" si="90"/>
        <v>54.19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1"/>
        <v/>
      </c>
      <c r="HW7" s="11" t="str">
        <f t="shared" si="92"/>
        <v/>
      </c>
      <c r="HX7" s="11" t="str">
        <f t="shared" si="93"/>
        <v/>
      </c>
      <c r="HY7" s="11" t="str">
        <f t="shared" si="94"/>
        <v/>
      </c>
      <c r="HZ7" s="11" t="str">
        <f t="shared" si="95"/>
        <v/>
      </c>
      <c r="IA7" s="11" t="str">
        <f t="shared" si="96"/>
        <v/>
      </c>
      <c r="IB7" s="11" t="str">
        <f t="shared" si="97"/>
        <v/>
      </c>
      <c r="IC7" s="11" t="str">
        <f t="shared" si="98"/>
        <v/>
      </c>
      <c r="ID7" s="11" t="str">
        <f t="shared" si="99"/>
        <v/>
      </c>
      <c r="IE7" s="11" t="str">
        <f t="shared" si="100"/>
        <v/>
      </c>
      <c r="IF7" s="11" t="str">
        <f t="shared" si="101"/>
        <v/>
      </c>
      <c r="IG7" s="11" t="str">
        <f t="shared" si="102"/>
        <v/>
      </c>
      <c r="IH7" s="11" t="str">
        <f t="shared" si="103"/>
        <v/>
      </c>
      <c r="II7" s="11" t="str">
        <f t="shared" si="104"/>
        <v/>
      </c>
      <c r="IJ7" s="17">
        <v>12.9</v>
      </c>
      <c r="IK7" s="17">
        <v>9</v>
      </c>
      <c r="IL7" s="17">
        <v>12.2</v>
      </c>
      <c r="IM7" s="17">
        <v>13.26</v>
      </c>
      <c r="IN7" s="17">
        <v>0</v>
      </c>
      <c r="IO7" s="17">
        <v>8.4</v>
      </c>
      <c r="IP7" s="17">
        <v>5.3</v>
      </c>
      <c r="IQ7" s="17">
        <v>7.5</v>
      </c>
      <c r="IR7" s="17">
        <v>8.26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 t="shared" si="105"/>
        <v>12.2</v>
      </c>
      <c r="JE7" s="40">
        <f t="shared" si="106"/>
        <v>13.26</v>
      </c>
      <c r="JF7" s="40">
        <f t="shared" si="107"/>
        <v>47.359999999999992</v>
      </c>
      <c r="JG7" s="40">
        <f t="shared" si="108"/>
        <v>7.5</v>
      </c>
      <c r="JH7" s="40">
        <f t="shared" si="109"/>
        <v>8.26</v>
      </c>
      <c r="JI7" s="40">
        <f t="shared" si="110"/>
        <v>29.46</v>
      </c>
      <c r="JJ7" s="40">
        <f t="shared" si="111"/>
        <v>47.359999999999992</v>
      </c>
      <c r="JK7" s="40" t="str">
        <f t="shared" si="112"/>
        <v/>
      </c>
      <c r="JL7" s="40" t="str">
        <f t="shared" si="113"/>
        <v/>
      </c>
      <c r="JM7" s="40" t="str">
        <f t="shared" si="114"/>
        <v/>
      </c>
      <c r="JN7" s="40" t="str">
        <f t="shared" si="115"/>
        <v/>
      </c>
      <c r="JO7" s="40" t="str">
        <f t="shared" si="116"/>
        <v/>
      </c>
      <c r="JP7" s="40" t="str">
        <f t="shared" si="117"/>
        <v/>
      </c>
      <c r="JQ7" s="40">
        <f t="shared" si="118"/>
        <v>47.359999999999992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19"/>
        <v/>
      </c>
      <c r="KM7" s="11" t="str">
        <f t="shared" si="120"/>
        <v/>
      </c>
      <c r="KN7" s="11" t="str">
        <f t="shared" si="121"/>
        <v/>
      </c>
      <c r="KO7" s="11" t="str">
        <f t="shared" si="122"/>
        <v/>
      </c>
      <c r="KP7" s="11" t="str">
        <f t="shared" si="123"/>
        <v/>
      </c>
      <c r="KQ7" s="11" t="str">
        <f t="shared" si="124"/>
        <v/>
      </c>
      <c r="KR7" s="11" t="str">
        <f t="shared" si="125"/>
        <v/>
      </c>
      <c r="KS7" s="11" t="str">
        <f t="shared" si="126"/>
        <v/>
      </c>
      <c r="KT7" s="11" t="str">
        <f t="shared" si="127"/>
        <v/>
      </c>
      <c r="KU7" s="11" t="str">
        <f t="shared" si="128"/>
        <v/>
      </c>
      <c r="KV7" s="11" t="str">
        <f t="shared" si="129"/>
        <v/>
      </c>
      <c r="KW7" s="11" t="str">
        <f t="shared" si="130"/>
        <v/>
      </c>
      <c r="KX7" s="11" t="str">
        <f t="shared" si="131"/>
        <v/>
      </c>
      <c r="KY7" s="11" t="str">
        <f t="shared" si="132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3"/>
        <v/>
      </c>
      <c r="LU7" s="40" t="str">
        <f t="shared" si="134"/>
        <v/>
      </c>
      <c r="LV7" s="40" t="str">
        <f t="shared" si="135"/>
        <v/>
      </c>
      <c r="LW7" s="40" t="str">
        <f t="shared" si="136"/>
        <v/>
      </c>
      <c r="LX7" s="40" t="str">
        <f t="shared" si="137"/>
        <v/>
      </c>
      <c r="LY7" s="40" t="str">
        <f t="shared" si="138"/>
        <v/>
      </c>
      <c r="LZ7" s="40" t="str">
        <f t="shared" si="139"/>
        <v/>
      </c>
      <c r="MA7" s="40" t="str">
        <f t="shared" si="140"/>
        <v/>
      </c>
      <c r="MB7" s="40" t="str">
        <f t="shared" si="141"/>
        <v/>
      </c>
      <c r="MC7" s="40" t="str">
        <f t="shared" si="142"/>
        <v/>
      </c>
      <c r="MD7" s="40" t="str">
        <f t="shared" si="143"/>
        <v/>
      </c>
      <c r="ME7" s="40" t="str">
        <f t="shared" si="144"/>
        <v/>
      </c>
      <c r="MF7" s="40" t="str">
        <f t="shared" si="145"/>
        <v/>
      </c>
      <c r="MG7" s="40" t="str">
        <f t="shared" si="146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7"/>
        <v/>
      </c>
      <c r="NC7" s="11" t="str">
        <f t="shared" si="148"/>
        <v/>
      </c>
      <c r="ND7" s="11" t="str">
        <f t="shared" si="149"/>
        <v/>
      </c>
      <c r="NE7" s="11" t="str">
        <f t="shared" si="150"/>
        <v/>
      </c>
      <c r="NF7" s="11" t="str">
        <f t="shared" si="151"/>
        <v/>
      </c>
      <c r="NG7" s="11" t="str">
        <f t="shared" si="152"/>
        <v/>
      </c>
      <c r="NH7" s="11" t="str">
        <f t="shared" si="153"/>
        <v/>
      </c>
      <c r="NI7" s="11" t="str">
        <f t="shared" si="154"/>
        <v/>
      </c>
      <c r="NJ7" s="11" t="str">
        <f t="shared" si="155"/>
        <v/>
      </c>
      <c r="NK7" s="11" t="str">
        <f t="shared" si="156"/>
        <v/>
      </c>
      <c r="NL7" s="11" t="str">
        <f t="shared" si="157"/>
        <v/>
      </c>
      <c r="NM7" s="11" t="str">
        <f t="shared" si="158"/>
        <v/>
      </c>
      <c r="NN7" s="11" t="str">
        <f t="shared" si="159"/>
        <v/>
      </c>
      <c r="NO7" s="11" t="str">
        <f t="shared" si="160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1"/>
        <v/>
      </c>
      <c r="OK7" s="40" t="str">
        <f t="shared" si="162"/>
        <v/>
      </c>
      <c r="OL7" s="40" t="str">
        <f t="shared" si="163"/>
        <v/>
      </c>
      <c r="OM7" s="40" t="str">
        <f t="shared" si="164"/>
        <v/>
      </c>
      <c r="ON7" s="40" t="str">
        <f t="shared" si="165"/>
        <v/>
      </c>
      <c r="OO7" s="40" t="str">
        <f t="shared" si="166"/>
        <v/>
      </c>
      <c r="OP7" s="40" t="str">
        <f t="shared" si="167"/>
        <v/>
      </c>
      <c r="OQ7" s="40" t="str">
        <f t="shared" si="168"/>
        <v/>
      </c>
      <c r="OR7" s="40" t="str">
        <f t="shared" si="169"/>
        <v/>
      </c>
      <c r="OS7" s="40" t="str">
        <f t="shared" si="170"/>
        <v/>
      </c>
      <c r="OT7" s="40" t="str">
        <f t="shared" si="171"/>
        <v/>
      </c>
      <c r="OU7" s="40" t="str">
        <f t="shared" si="172"/>
        <v/>
      </c>
      <c r="OV7" s="40" t="str">
        <f t="shared" si="173"/>
        <v/>
      </c>
      <c r="OW7" s="40" t="str">
        <f t="shared" si="174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5"/>
        <v/>
      </c>
      <c r="PS7" s="11" t="str">
        <f t="shared" si="176"/>
        <v/>
      </c>
      <c r="PT7" s="11" t="str">
        <f t="shared" si="177"/>
        <v/>
      </c>
      <c r="PU7" s="11" t="str">
        <f t="shared" si="178"/>
        <v/>
      </c>
      <c r="PV7" s="11" t="str">
        <f t="shared" si="179"/>
        <v/>
      </c>
      <c r="PW7" s="11" t="str">
        <f t="shared" si="180"/>
        <v/>
      </c>
      <c r="PX7" s="11" t="str">
        <f t="shared" si="181"/>
        <v/>
      </c>
      <c r="PY7" s="11" t="str">
        <f t="shared" si="182"/>
        <v/>
      </c>
      <c r="PZ7" s="11" t="str">
        <f t="shared" si="183"/>
        <v/>
      </c>
      <c r="QA7" s="11" t="str">
        <f t="shared" si="184"/>
        <v/>
      </c>
      <c r="QB7" s="11" t="str">
        <f t="shared" si="185"/>
        <v/>
      </c>
      <c r="QC7" s="11" t="str">
        <f t="shared" si="186"/>
        <v/>
      </c>
      <c r="QD7" s="11" t="str">
        <f t="shared" si="187"/>
        <v/>
      </c>
      <c r="QE7" s="11" t="str">
        <f t="shared" si="188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89"/>
        <v/>
      </c>
      <c r="RA7" s="40" t="str">
        <f t="shared" si="190"/>
        <v/>
      </c>
      <c r="RB7" s="40" t="str">
        <f t="shared" si="191"/>
        <v/>
      </c>
      <c r="RC7" s="40" t="str">
        <f t="shared" si="192"/>
        <v/>
      </c>
      <c r="RD7" s="40" t="str">
        <f t="shared" si="193"/>
        <v/>
      </c>
      <c r="RE7" s="40" t="str">
        <f t="shared" si="194"/>
        <v/>
      </c>
      <c r="RF7" s="40" t="str">
        <f t="shared" si="195"/>
        <v/>
      </c>
      <c r="RG7" s="40" t="str">
        <f t="shared" si="196"/>
        <v/>
      </c>
      <c r="RH7" s="40" t="str">
        <f t="shared" si="197"/>
        <v/>
      </c>
      <c r="RI7" s="40" t="str">
        <f t="shared" si="198"/>
        <v/>
      </c>
      <c r="RJ7" s="40" t="str">
        <f t="shared" si="199"/>
        <v/>
      </c>
      <c r="RK7" s="40" t="str">
        <f t="shared" si="200"/>
        <v/>
      </c>
      <c r="RL7" s="40" t="str">
        <f t="shared" si="201"/>
        <v/>
      </c>
      <c r="RM7" s="40" t="str">
        <f t="shared" si="202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3"/>
        <v/>
      </c>
      <c r="SI7" s="11" t="str">
        <f t="shared" si="204"/>
        <v/>
      </c>
      <c r="SJ7" s="11" t="str">
        <f t="shared" si="205"/>
        <v/>
      </c>
      <c r="SK7" s="11" t="str">
        <f t="shared" si="206"/>
        <v/>
      </c>
      <c r="SL7" s="11" t="str">
        <f t="shared" si="207"/>
        <v/>
      </c>
      <c r="SM7" s="11" t="str">
        <f t="shared" si="208"/>
        <v/>
      </c>
      <c r="SN7" s="11" t="str">
        <f t="shared" si="209"/>
        <v/>
      </c>
      <c r="SO7" s="11" t="str">
        <f t="shared" si="210"/>
        <v/>
      </c>
      <c r="SP7" s="11" t="str">
        <f t="shared" si="211"/>
        <v/>
      </c>
      <c r="SQ7" s="11" t="str">
        <f t="shared" si="212"/>
        <v/>
      </c>
      <c r="SR7" s="11" t="str">
        <f t="shared" si="213"/>
        <v/>
      </c>
      <c r="SS7" s="11" t="str">
        <f t="shared" si="214"/>
        <v/>
      </c>
      <c r="ST7" s="11" t="str">
        <f t="shared" si="215"/>
        <v/>
      </c>
      <c r="SU7" s="11" t="str">
        <f t="shared" si="216"/>
        <v/>
      </c>
      <c r="SV7" s="22">
        <f t="shared" si="217"/>
        <v>8.2000000000000011</v>
      </c>
      <c r="SW7" s="22">
        <f t="shared" si="218"/>
        <v>5</v>
      </c>
      <c r="SX7" s="22">
        <f t="shared" si="219"/>
        <v>6.4</v>
      </c>
      <c r="SY7" s="22">
        <f t="shared" si="220"/>
        <v>7.7549999999999999</v>
      </c>
      <c r="SZ7" s="22">
        <f t="shared" si="221"/>
        <v>0</v>
      </c>
      <c r="TA7" s="22">
        <f t="shared" si="222"/>
        <v>14.25</v>
      </c>
      <c r="TB7" s="22">
        <f t="shared" si="223"/>
        <v>9.35</v>
      </c>
      <c r="TC7" s="22">
        <f t="shared" si="224"/>
        <v>11.55</v>
      </c>
      <c r="TD7" s="22">
        <f t="shared" si="225"/>
        <v>13.64</v>
      </c>
      <c r="TE7" s="22">
        <f t="shared" si="226"/>
        <v>0</v>
      </c>
      <c r="TF7" s="22">
        <f t="shared" si="227"/>
        <v>13.75</v>
      </c>
      <c r="TG7" s="22">
        <f t="shared" si="228"/>
        <v>9.0500000000000007</v>
      </c>
      <c r="TH7" s="22">
        <f t="shared" si="229"/>
        <v>12.7</v>
      </c>
      <c r="TI7" s="22">
        <f t="shared" si="230"/>
        <v>14.280000000000001</v>
      </c>
      <c r="TJ7" s="22">
        <f t="shared" si="231"/>
        <v>0</v>
      </c>
      <c r="TK7" s="27" t="s">
        <v>46</v>
      </c>
      <c r="TL7" s="40">
        <f t="shared" si="232"/>
        <v>6.4</v>
      </c>
      <c r="TM7" s="40">
        <f t="shared" si="233"/>
        <v>7.7549999999999999</v>
      </c>
      <c r="TN7" s="40">
        <f t="shared" si="234"/>
        <v>27.355</v>
      </c>
      <c r="TO7" s="40">
        <f t="shared" si="235"/>
        <v>11.55</v>
      </c>
      <c r="TP7" s="40">
        <f t="shared" si="236"/>
        <v>13.64</v>
      </c>
      <c r="TQ7" s="40">
        <f t="shared" si="237"/>
        <v>48.790000000000006</v>
      </c>
      <c r="TR7" s="40">
        <f t="shared" si="238"/>
        <v>48.790000000000006</v>
      </c>
      <c r="TS7" s="40">
        <f t="shared" si="239"/>
        <v>12.7</v>
      </c>
      <c r="TT7" s="40">
        <f t="shared" si="240"/>
        <v>14.280000000000001</v>
      </c>
      <c r="TU7" s="40">
        <f t="shared" si="241"/>
        <v>49.78</v>
      </c>
      <c r="TV7" s="40">
        <f t="shared" si="242"/>
        <v>98.570000000000007</v>
      </c>
    </row>
    <row r="8" spans="1:542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3</v>
      </c>
      <c r="C8" s="5" t="s">
        <v>138</v>
      </c>
      <c r="D8" s="4" t="s">
        <v>3</v>
      </c>
      <c r="E8" s="4">
        <v>2004</v>
      </c>
      <c r="F8" s="9">
        <f t="shared" si="0"/>
        <v>171.03001677900488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48.48</v>
      </c>
      <c r="M8" s="8" t="str">
        <f t="shared" si="5"/>
        <v>2023 Nationals</v>
      </c>
      <c r="N8" s="8">
        <f>IF(COUNT(AQ8,AT8,BR8,BU8,CS8,CV8)&gt;1,LARGE((AQ8,AT8,BR8,BU8,CS8,CV8),2),0)</f>
        <v>44.769999999999996</v>
      </c>
      <c r="O8" s="8" t="str">
        <f t="shared" si="6"/>
        <v>2023 3rd Domestic Trial</v>
      </c>
      <c r="P8" s="8">
        <f>IF(COUNT(AQ8,AT8,BR8,BU8,CS8,CV8)&gt;2,MAX(AX8,BY8,CZ8,LARGE((AQ8,AT8,BR8,BU8,CS8,CV8),3)),IF(MAX(AX8,BY8,CZ8)&gt;0,MAX(AX8,BY8,CZ8),0))</f>
        <v>49.02</v>
      </c>
      <c r="Q8" s="8" t="str">
        <f t="shared" si="7"/>
        <v>2023 Nationals</v>
      </c>
      <c r="R8" s="8">
        <f t="shared" si="8"/>
        <v>11.3</v>
      </c>
      <c r="S8" s="8" t="str">
        <f t="shared" si="9"/>
        <v>2023 3rd Domestic Trial</v>
      </c>
      <c r="T8" s="8">
        <f t="shared" si="10"/>
        <v>14.22</v>
      </c>
      <c r="U8" s="8" t="str">
        <f t="shared" si="11"/>
        <v>2023 3rd Domestic Trial</v>
      </c>
      <c r="V8" s="8">
        <f t="shared" si="12"/>
        <v>3.2399999999999949</v>
      </c>
      <c r="W8" s="11" t="str">
        <f t="shared" si="13"/>
        <v>(Optional)</v>
      </c>
      <c r="X8" s="8" t="b">
        <f>IF(V8="","",IF(V8=DB8,IF(V8+IF(P8="",0,P8)=SN8,$RN$1,IF(V8+IF(P8="",0,P8)=RF8,$QF$1,IF(V8+IF(P8="",0,P8)=PX8,$OX$1,IF(V8+IF(P8="",0,P8)=OP8,$NP$1,IF(V8+IF(P8="",0,P8)=NH8,$MH$1,IF(V8+IF(P8="",0,P8)=LZ8,$KZ$1,IF(V8+IF(P8="",0,P8)=KR8,$JR$1,IF(V8+IF(P8="",0,P8)=JJ8,$IJ$1,IF(V8+IF(P8="",0,P8)=IB8,$HB$1,IF(V8+IF(P8="",0,P8)=GT8,$FT$1,IF(V8+IF(P8="",0,P8)=FL8,$EL$1,IF(V8+IF(P8="",0,P8)=ED8,$DD$1)))))))))))),IF(V8=DC8,IF(V8+IF(#REF!="",0,#REF!)=ST8,$RN$1,IF(V8+IF(#REF!="",0,#REF!)=RL8,$QF$1,IF(V8+IF(#REF!="",0,#REF!)=QD8,$OX$1,IF(V8+IF(#REF!="",0,#REF!)=OV8,$NP$1,IF(V8+IF(#REF!="",0,#REF!)=NN8,$MH$1,IF(V8+IF(#REF!="",0,#REF!)=MF8,$KZ$1,IF(V8+IF(#REF!="",0,#REF!)=KX8,$JR$1,IF(V8+IF(#REF!="",0,#REF!)=JP8,$IJ$1,IF(V8+IF(#REF!="",0,#REF!)=IH8,$HB$1,IF(V8+IF(#REF!="",0,#REF!)=GZ8,$FT$1,IF(V8+IF(#REF!="",0,#REF!)=FR8,$EL$1,IF(V8+IF(#REF!="",0,#REF!)=EJ8,$DD$1,IF(V8+IF(#REF!="",0,#REF!)=SQ8,$RN$1,IF(V8+IF(#REF!="",0,#REF!)=RI8,$QF$1,IF(V8+IF(#REF!="",0,#REF!)=QA8,$OX$1,IF(V8+IF(#REF!="",0,#REF!)=OS8,$NP$1,IF(V8+IF(#REF!="",0,#REF!)=NK8,$MH$1,IF(V8+IF(#REF!="",0,#REF!)=MC8,$KZ$1,IF(V8+IF(#REF!="",0,#REF!)=KU8,$JR$1,IF(V8+IF(#REF!="",0,#REF!)=JM8,$IJ$1,IF(V8+IF(#REF!="",0,#REF!)=IE8,$HB$1,IF(V8+IF(#REF!="",0,#REF!)=GW8,$FT$1,IF(V8+IF(#REF!="",0,#REF!)=FO8,$EL$1,IF(V8+IF(#REF!="",0,#REF!)=EG8,$DD$1)))))))))))))))))))))))))))</f>
        <v>0</v>
      </c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7"/>
      <c r="AO8" s="38" t="str">
        <f t="shared" si="14"/>
        <v/>
      </c>
      <c r="AP8" s="38" t="str">
        <f t="shared" si="15"/>
        <v/>
      </c>
      <c r="AQ8" s="40" t="str">
        <f t="shared" si="16"/>
        <v/>
      </c>
      <c r="AR8" s="40" t="str">
        <f t="shared" si="17"/>
        <v/>
      </c>
      <c r="AS8" s="40" t="str">
        <f t="shared" si="18"/>
        <v/>
      </c>
      <c r="AT8" s="40" t="str">
        <f t="shared" si="19"/>
        <v/>
      </c>
      <c r="AU8" s="40" t="str">
        <f t="shared" si="20"/>
        <v/>
      </c>
      <c r="AV8" s="40" t="str">
        <f t="shared" si="21"/>
        <v/>
      </c>
      <c r="AW8" s="40" t="str">
        <f t="shared" si="22"/>
        <v/>
      </c>
      <c r="AX8" s="40" t="str">
        <f t="shared" si="23"/>
        <v/>
      </c>
      <c r="AY8" s="40" t="str">
        <f t="shared" si="24"/>
        <v/>
      </c>
      <c r="AZ8" s="26">
        <v>10.9</v>
      </c>
      <c r="BA8" s="26">
        <v>6.3</v>
      </c>
      <c r="BB8" s="26">
        <v>7.4</v>
      </c>
      <c r="BC8" s="26">
        <v>9.84</v>
      </c>
      <c r="BD8" s="26">
        <v>0</v>
      </c>
      <c r="BE8" s="26">
        <v>15</v>
      </c>
      <c r="BF8" s="26">
        <v>9.4</v>
      </c>
      <c r="BG8" s="26">
        <v>10.4</v>
      </c>
      <c r="BH8" s="26">
        <v>13.68</v>
      </c>
      <c r="BI8" s="26">
        <v>0</v>
      </c>
      <c r="BJ8" s="26">
        <v>16</v>
      </c>
      <c r="BK8" s="26">
        <v>8.6999999999999993</v>
      </c>
      <c r="BL8" s="26">
        <v>10.4</v>
      </c>
      <c r="BM8" s="26">
        <v>13.92</v>
      </c>
      <c r="BN8" s="26">
        <v>0</v>
      </c>
      <c r="BO8" s="28"/>
      <c r="BP8" s="39">
        <f t="shared" si="25"/>
        <v>7.4</v>
      </c>
      <c r="BQ8" s="39">
        <f t="shared" si="26"/>
        <v>9.84</v>
      </c>
      <c r="BR8" s="11">
        <f t="shared" si="27"/>
        <v>34.44</v>
      </c>
      <c r="BS8" s="11">
        <f t="shared" si="28"/>
        <v>10.4</v>
      </c>
      <c r="BT8" s="11">
        <f t="shared" si="29"/>
        <v>13.68</v>
      </c>
      <c r="BU8" s="11">
        <f t="shared" si="30"/>
        <v>48.48</v>
      </c>
      <c r="BV8" s="11">
        <f t="shared" si="31"/>
        <v>48.48</v>
      </c>
      <c r="BW8" s="11">
        <f t="shared" si="32"/>
        <v>10.4</v>
      </c>
      <c r="BX8" s="11">
        <f t="shared" si="33"/>
        <v>13.92</v>
      </c>
      <c r="BY8" s="11">
        <f t="shared" si="34"/>
        <v>49.02</v>
      </c>
      <c r="BZ8" s="11">
        <f t="shared" si="35"/>
        <v>97.5</v>
      </c>
      <c r="CA8" s="22">
        <v>2.2000000000000002</v>
      </c>
      <c r="CB8" s="22">
        <v>1.8</v>
      </c>
      <c r="CC8" s="22">
        <v>2</v>
      </c>
      <c r="CD8" s="22">
        <v>3.05</v>
      </c>
      <c r="CE8" s="22">
        <v>0.2</v>
      </c>
      <c r="CF8" s="22">
        <v>11.1</v>
      </c>
      <c r="CG8" s="22">
        <v>9</v>
      </c>
      <c r="CH8" s="22">
        <v>10.7</v>
      </c>
      <c r="CI8" s="22">
        <v>14.17</v>
      </c>
      <c r="CJ8" s="22">
        <v>0.2</v>
      </c>
      <c r="CK8" s="22">
        <v>14.5</v>
      </c>
      <c r="CL8" s="22">
        <v>8.9</v>
      </c>
      <c r="CM8" s="22">
        <v>11.299999999999999</v>
      </c>
      <c r="CN8" s="22">
        <v>14.22</v>
      </c>
      <c r="CO8" s="22">
        <v>0.2</v>
      </c>
      <c r="CP8" s="27"/>
      <c r="CQ8" s="38">
        <f t="shared" si="36"/>
        <v>2</v>
      </c>
      <c r="CR8" s="38">
        <f t="shared" si="37"/>
        <v>3.05</v>
      </c>
      <c r="CS8" s="40">
        <f t="shared" si="38"/>
        <v>8.8500000000000014</v>
      </c>
      <c r="CT8" s="40">
        <f t="shared" si="39"/>
        <v>10.7</v>
      </c>
      <c r="CU8" s="40">
        <f t="shared" si="40"/>
        <v>14.17</v>
      </c>
      <c r="CV8" s="40">
        <f t="shared" si="41"/>
        <v>44.769999999999996</v>
      </c>
      <c r="CW8" s="40">
        <f t="shared" si="42"/>
        <v>44.769999999999996</v>
      </c>
      <c r="CX8" s="40">
        <f t="shared" si="43"/>
        <v>11.299999999999999</v>
      </c>
      <c r="CY8" s="40">
        <f t="shared" si="44"/>
        <v>14.22</v>
      </c>
      <c r="CZ8" s="40">
        <f t="shared" si="45"/>
        <v>48.719999999999992</v>
      </c>
      <c r="DA8" s="40">
        <f t="shared" si="46"/>
        <v>93.489999999999981</v>
      </c>
      <c r="DB8" s="50">
        <f t="shared" si="47"/>
        <v>3.2399999999999949</v>
      </c>
      <c r="DC8" s="50" t="str">
        <f t="shared" si="48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49"/>
        <v/>
      </c>
      <c r="DY8" s="40" t="str">
        <f t="shared" si="50"/>
        <v/>
      </c>
      <c r="DZ8" s="40" t="str">
        <f t="shared" si="51"/>
        <v/>
      </c>
      <c r="EA8" s="40" t="str">
        <f t="shared" si="52"/>
        <v/>
      </c>
      <c r="EB8" s="40" t="str">
        <f t="shared" si="53"/>
        <v/>
      </c>
      <c r="EC8" s="40" t="str">
        <f t="shared" si="54"/>
        <v/>
      </c>
      <c r="ED8" s="40" t="str">
        <f t="shared" si="55"/>
        <v/>
      </c>
      <c r="EE8" s="40" t="str">
        <f t="shared" si="56"/>
        <v/>
      </c>
      <c r="EF8" s="40" t="str">
        <f t="shared" si="57"/>
        <v/>
      </c>
      <c r="EG8" s="40" t="str">
        <f t="shared" si="58"/>
        <v/>
      </c>
      <c r="EH8" s="40" t="str">
        <f t="shared" si="59"/>
        <v/>
      </c>
      <c r="EI8" s="40" t="str">
        <f t="shared" si="60"/>
        <v/>
      </c>
      <c r="EJ8" s="40" t="str">
        <f t="shared" si="61"/>
        <v/>
      </c>
      <c r="EK8" s="40" t="str">
        <f t="shared" si="62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3"/>
        <v/>
      </c>
      <c r="FG8" s="11" t="str">
        <f t="shared" si="64"/>
        <v/>
      </c>
      <c r="FH8" s="11" t="str">
        <f t="shared" si="65"/>
        <v/>
      </c>
      <c r="FI8" s="11" t="str">
        <f t="shared" si="66"/>
        <v/>
      </c>
      <c r="FJ8" s="11" t="str">
        <f t="shared" si="67"/>
        <v/>
      </c>
      <c r="FK8" s="11" t="str">
        <f t="shared" si="68"/>
        <v/>
      </c>
      <c r="FL8" s="11" t="str">
        <f t="shared" si="69"/>
        <v/>
      </c>
      <c r="FM8" s="11" t="str">
        <f t="shared" si="70"/>
        <v/>
      </c>
      <c r="FN8" s="11" t="str">
        <f t="shared" si="71"/>
        <v/>
      </c>
      <c r="FO8" s="11" t="str">
        <f t="shared" si="72"/>
        <v/>
      </c>
      <c r="FP8" s="11" t="str">
        <f t="shared" si="73"/>
        <v/>
      </c>
      <c r="FQ8" s="11" t="str">
        <f t="shared" si="74"/>
        <v/>
      </c>
      <c r="FR8" s="11" t="str">
        <f t="shared" si="75"/>
        <v/>
      </c>
      <c r="FS8" s="11" t="str">
        <f t="shared" si="76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7"/>
        <v/>
      </c>
      <c r="GO8" s="40" t="str">
        <f t="shared" si="78"/>
        <v/>
      </c>
      <c r="GP8" s="40" t="str">
        <f t="shared" si="79"/>
        <v/>
      </c>
      <c r="GQ8" s="40" t="str">
        <f t="shared" si="80"/>
        <v/>
      </c>
      <c r="GR8" s="40" t="str">
        <f t="shared" si="81"/>
        <v/>
      </c>
      <c r="GS8" s="40" t="str">
        <f t="shared" si="82"/>
        <v/>
      </c>
      <c r="GT8" s="40" t="str">
        <f t="shared" si="83"/>
        <v/>
      </c>
      <c r="GU8" s="40" t="str">
        <f t="shared" si="84"/>
        <v/>
      </c>
      <c r="GV8" s="40" t="str">
        <f t="shared" si="85"/>
        <v/>
      </c>
      <c r="GW8" s="40" t="str">
        <f t="shared" si="86"/>
        <v/>
      </c>
      <c r="GX8" s="40" t="str">
        <f t="shared" si="87"/>
        <v/>
      </c>
      <c r="GY8" s="40" t="str">
        <f t="shared" si="88"/>
        <v/>
      </c>
      <c r="GZ8" s="40" t="str">
        <f t="shared" si="89"/>
        <v/>
      </c>
      <c r="HA8" s="40" t="str">
        <f t="shared" si="90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1"/>
        <v/>
      </c>
      <c r="HW8" s="11" t="str">
        <f t="shared" si="92"/>
        <v/>
      </c>
      <c r="HX8" s="11" t="str">
        <f t="shared" si="93"/>
        <v/>
      </c>
      <c r="HY8" s="11" t="str">
        <f t="shared" si="94"/>
        <v/>
      </c>
      <c r="HZ8" s="11" t="str">
        <f t="shared" si="95"/>
        <v/>
      </c>
      <c r="IA8" s="11" t="str">
        <f t="shared" si="96"/>
        <v/>
      </c>
      <c r="IB8" s="11" t="str">
        <f t="shared" si="97"/>
        <v/>
      </c>
      <c r="IC8" s="11" t="str">
        <f t="shared" si="98"/>
        <v/>
      </c>
      <c r="ID8" s="11" t="str">
        <f t="shared" si="99"/>
        <v/>
      </c>
      <c r="IE8" s="11" t="str">
        <f t="shared" si="100"/>
        <v/>
      </c>
      <c r="IF8" s="11" t="str">
        <f t="shared" si="101"/>
        <v/>
      </c>
      <c r="IG8" s="11" t="str">
        <f t="shared" si="102"/>
        <v/>
      </c>
      <c r="IH8" s="11" t="str">
        <f t="shared" si="103"/>
        <v/>
      </c>
      <c r="II8" s="11" t="str">
        <f t="shared" si="104"/>
        <v/>
      </c>
      <c r="IJ8" s="17">
        <v>13.5</v>
      </c>
      <c r="IK8" s="17">
        <v>8.9</v>
      </c>
      <c r="IL8" s="17">
        <v>10.8</v>
      </c>
      <c r="IM8" s="17">
        <v>13.92</v>
      </c>
      <c r="IN8" s="17">
        <v>0</v>
      </c>
      <c r="IO8" s="17">
        <v>13.7</v>
      </c>
      <c r="IP8" s="17">
        <v>9.1</v>
      </c>
      <c r="IQ8" s="17">
        <v>11.3</v>
      </c>
      <c r="IR8" s="17">
        <v>13.91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 t="shared" si="105"/>
        <v>10.8</v>
      </c>
      <c r="JE8" s="40">
        <f t="shared" si="106"/>
        <v>13.92</v>
      </c>
      <c r="JF8" s="40">
        <f t="shared" si="107"/>
        <v>47.120000000000005</v>
      </c>
      <c r="JG8" s="40">
        <f t="shared" si="108"/>
        <v>11.3</v>
      </c>
      <c r="JH8" s="40">
        <f t="shared" si="109"/>
        <v>13.91</v>
      </c>
      <c r="JI8" s="40">
        <f t="shared" si="110"/>
        <v>48.009999999999991</v>
      </c>
      <c r="JJ8" s="40">
        <f t="shared" si="111"/>
        <v>48.009999999999991</v>
      </c>
      <c r="JK8" s="40" t="str">
        <f t="shared" si="112"/>
        <v/>
      </c>
      <c r="JL8" s="40" t="str">
        <f t="shared" si="113"/>
        <v/>
      </c>
      <c r="JM8" s="40" t="str">
        <f t="shared" si="114"/>
        <v/>
      </c>
      <c r="JN8" s="40" t="str">
        <f t="shared" si="115"/>
        <v/>
      </c>
      <c r="JO8" s="40" t="str">
        <f t="shared" si="116"/>
        <v/>
      </c>
      <c r="JP8" s="40" t="str">
        <f t="shared" si="117"/>
        <v/>
      </c>
      <c r="JQ8" s="40">
        <f t="shared" si="118"/>
        <v>48.009999999999991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19"/>
        <v/>
      </c>
      <c r="KM8" s="11" t="str">
        <f t="shared" si="120"/>
        <v/>
      </c>
      <c r="KN8" s="11" t="str">
        <f t="shared" si="121"/>
        <v/>
      </c>
      <c r="KO8" s="11" t="str">
        <f t="shared" si="122"/>
        <v/>
      </c>
      <c r="KP8" s="11" t="str">
        <f t="shared" si="123"/>
        <v/>
      </c>
      <c r="KQ8" s="11" t="str">
        <f t="shared" si="124"/>
        <v/>
      </c>
      <c r="KR8" s="11" t="str">
        <f t="shared" si="125"/>
        <v/>
      </c>
      <c r="KS8" s="11" t="str">
        <f t="shared" si="126"/>
        <v/>
      </c>
      <c r="KT8" s="11" t="str">
        <f t="shared" si="127"/>
        <v/>
      </c>
      <c r="KU8" s="11" t="str">
        <f t="shared" si="128"/>
        <v/>
      </c>
      <c r="KV8" s="11" t="str">
        <f t="shared" si="129"/>
        <v/>
      </c>
      <c r="KW8" s="11" t="str">
        <f t="shared" si="130"/>
        <v/>
      </c>
      <c r="KX8" s="11" t="str">
        <f t="shared" si="131"/>
        <v/>
      </c>
      <c r="KY8" s="11" t="str">
        <f t="shared" si="132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3"/>
        <v/>
      </c>
      <c r="LU8" s="40" t="str">
        <f t="shared" si="134"/>
        <v/>
      </c>
      <c r="LV8" s="40" t="str">
        <f t="shared" si="135"/>
        <v/>
      </c>
      <c r="LW8" s="40" t="str">
        <f t="shared" si="136"/>
        <v/>
      </c>
      <c r="LX8" s="40" t="str">
        <f t="shared" si="137"/>
        <v/>
      </c>
      <c r="LY8" s="40" t="str">
        <f t="shared" si="138"/>
        <v/>
      </c>
      <c r="LZ8" s="40" t="str">
        <f t="shared" si="139"/>
        <v/>
      </c>
      <c r="MA8" s="40" t="str">
        <f t="shared" si="140"/>
        <v/>
      </c>
      <c r="MB8" s="40" t="str">
        <f t="shared" si="141"/>
        <v/>
      </c>
      <c r="MC8" s="40" t="str">
        <f t="shared" si="142"/>
        <v/>
      </c>
      <c r="MD8" s="40" t="str">
        <f t="shared" si="143"/>
        <v/>
      </c>
      <c r="ME8" s="40" t="str">
        <f t="shared" si="144"/>
        <v/>
      </c>
      <c r="MF8" s="40" t="str">
        <f t="shared" si="145"/>
        <v/>
      </c>
      <c r="MG8" s="40" t="str">
        <f t="shared" si="146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7"/>
        <v/>
      </c>
      <c r="NC8" s="11" t="str">
        <f t="shared" si="148"/>
        <v/>
      </c>
      <c r="ND8" s="11" t="str">
        <f t="shared" si="149"/>
        <v/>
      </c>
      <c r="NE8" s="11" t="str">
        <f t="shared" si="150"/>
        <v/>
      </c>
      <c r="NF8" s="11" t="str">
        <f t="shared" si="151"/>
        <v/>
      </c>
      <c r="NG8" s="11" t="str">
        <f t="shared" si="152"/>
        <v/>
      </c>
      <c r="NH8" s="11" t="str">
        <f t="shared" si="153"/>
        <v/>
      </c>
      <c r="NI8" s="11" t="str">
        <f t="shared" si="154"/>
        <v/>
      </c>
      <c r="NJ8" s="11" t="str">
        <f t="shared" si="155"/>
        <v/>
      </c>
      <c r="NK8" s="11" t="str">
        <f t="shared" si="156"/>
        <v/>
      </c>
      <c r="NL8" s="11" t="str">
        <f t="shared" si="157"/>
        <v/>
      </c>
      <c r="NM8" s="11" t="str">
        <f t="shared" si="158"/>
        <v/>
      </c>
      <c r="NN8" s="11" t="str">
        <f t="shared" si="159"/>
        <v/>
      </c>
      <c r="NO8" s="11" t="str">
        <f t="shared" si="160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1"/>
        <v/>
      </c>
      <c r="OK8" s="40" t="str">
        <f t="shared" si="162"/>
        <v/>
      </c>
      <c r="OL8" s="40" t="str">
        <f t="shared" si="163"/>
        <v/>
      </c>
      <c r="OM8" s="40" t="str">
        <f t="shared" si="164"/>
        <v/>
      </c>
      <c r="ON8" s="40" t="str">
        <f t="shared" si="165"/>
        <v/>
      </c>
      <c r="OO8" s="40" t="str">
        <f t="shared" si="166"/>
        <v/>
      </c>
      <c r="OP8" s="40" t="str">
        <f t="shared" si="167"/>
        <v/>
      </c>
      <c r="OQ8" s="40" t="str">
        <f t="shared" si="168"/>
        <v/>
      </c>
      <c r="OR8" s="40" t="str">
        <f t="shared" si="169"/>
        <v/>
      </c>
      <c r="OS8" s="40" t="str">
        <f t="shared" si="170"/>
        <v/>
      </c>
      <c r="OT8" s="40" t="str">
        <f t="shared" si="171"/>
        <v/>
      </c>
      <c r="OU8" s="40" t="str">
        <f t="shared" si="172"/>
        <v/>
      </c>
      <c r="OV8" s="40" t="str">
        <f t="shared" si="173"/>
        <v/>
      </c>
      <c r="OW8" s="40" t="str">
        <f t="shared" si="174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5"/>
        <v/>
      </c>
      <c r="PS8" s="11" t="str">
        <f t="shared" si="176"/>
        <v/>
      </c>
      <c r="PT8" s="11" t="str">
        <f t="shared" si="177"/>
        <v/>
      </c>
      <c r="PU8" s="11" t="str">
        <f t="shared" si="178"/>
        <v/>
      </c>
      <c r="PV8" s="11" t="str">
        <f t="shared" si="179"/>
        <v/>
      </c>
      <c r="PW8" s="11" t="str">
        <f t="shared" si="180"/>
        <v/>
      </c>
      <c r="PX8" s="11" t="str">
        <f t="shared" si="181"/>
        <v/>
      </c>
      <c r="PY8" s="11" t="str">
        <f t="shared" si="182"/>
        <v/>
      </c>
      <c r="PZ8" s="11" t="str">
        <f t="shared" si="183"/>
        <v/>
      </c>
      <c r="QA8" s="11" t="str">
        <f t="shared" si="184"/>
        <v/>
      </c>
      <c r="QB8" s="11" t="str">
        <f t="shared" si="185"/>
        <v/>
      </c>
      <c r="QC8" s="11" t="str">
        <f t="shared" si="186"/>
        <v/>
      </c>
      <c r="QD8" s="11" t="str">
        <f t="shared" si="187"/>
        <v/>
      </c>
      <c r="QE8" s="11" t="str">
        <f t="shared" si="188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89"/>
        <v/>
      </c>
      <c r="RA8" s="40" t="str">
        <f t="shared" si="190"/>
        <v/>
      </c>
      <c r="RB8" s="40" t="str">
        <f t="shared" si="191"/>
        <v/>
      </c>
      <c r="RC8" s="40" t="str">
        <f t="shared" si="192"/>
        <v/>
      </c>
      <c r="RD8" s="40" t="str">
        <f t="shared" si="193"/>
        <v/>
      </c>
      <c r="RE8" s="40" t="str">
        <f t="shared" si="194"/>
        <v/>
      </c>
      <c r="RF8" s="40" t="str">
        <f t="shared" si="195"/>
        <v/>
      </c>
      <c r="RG8" s="40" t="str">
        <f t="shared" si="196"/>
        <v/>
      </c>
      <c r="RH8" s="40" t="str">
        <f t="shared" si="197"/>
        <v/>
      </c>
      <c r="RI8" s="40" t="str">
        <f t="shared" si="198"/>
        <v/>
      </c>
      <c r="RJ8" s="40" t="str">
        <f t="shared" si="199"/>
        <v/>
      </c>
      <c r="RK8" s="40" t="str">
        <f t="shared" si="200"/>
        <v/>
      </c>
      <c r="RL8" s="40" t="str">
        <f t="shared" si="201"/>
        <v/>
      </c>
      <c r="RM8" s="40" t="str">
        <f t="shared" si="202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3"/>
        <v/>
      </c>
      <c r="SI8" s="11" t="str">
        <f t="shared" si="204"/>
        <v/>
      </c>
      <c r="SJ8" s="11" t="str">
        <f t="shared" si="205"/>
        <v/>
      </c>
      <c r="SK8" s="11" t="str">
        <f t="shared" si="206"/>
        <v/>
      </c>
      <c r="SL8" s="11" t="str">
        <f t="shared" si="207"/>
        <v/>
      </c>
      <c r="SM8" s="11" t="str">
        <f t="shared" si="208"/>
        <v/>
      </c>
      <c r="SN8" s="11" t="str">
        <f t="shared" si="209"/>
        <v/>
      </c>
      <c r="SO8" s="11" t="str">
        <f t="shared" si="210"/>
        <v/>
      </c>
      <c r="SP8" s="11" t="str">
        <f t="shared" si="211"/>
        <v/>
      </c>
      <c r="SQ8" s="11" t="str">
        <f t="shared" si="212"/>
        <v/>
      </c>
      <c r="SR8" s="11" t="str">
        <f t="shared" si="213"/>
        <v/>
      </c>
      <c r="SS8" s="11" t="str">
        <f t="shared" si="214"/>
        <v/>
      </c>
      <c r="ST8" s="11" t="str">
        <f t="shared" si="215"/>
        <v/>
      </c>
      <c r="SU8" s="11" t="str">
        <f t="shared" si="216"/>
        <v/>
      </c>
      <c r="SV8" s="22">
        <f t="shared" si="217"/>
        <v>6.5500000000000007</v>
      </c>
      <c r="SW8" s="22">
        <f t="shared" si="218"/>
        <v>4.05</v>
      </c>
      <c r="SX8" s="22">
        <f t="shared" si="219"/>
        <v>4.7</v>
      </c>
      <c r="SY8" s="22">
        <f t="shared" si="220"/>
        <v>6.4450000000000003</v>
      </c>
      <c r="SZ8" s="22">
        <f t="shared" si="221"/>
        <v>0.1</v>
      </c>
      <c r="TA8" s="22">
        <f t="shared" si="222"/>
        <v>13.05</v>
      </c>
      <c r="TB8" s="22">
        <f t="shared" si="223"/>
        <v>9.1999999999999993</v>
      </c>
      <c r="TC8" s="22">
        <f t="shared" si="224"/>
        <v>10.55</v>
      </c>
      <c r="TD8" s="22">
        <f t="shared" si="225"/>
        <v>13.925000000000001</v>
      </c>
      <c r="TE8" s="22">
        <f t="shared" si="226"/>
        <v>0.1</v>
      </c>
      <c r="TF8" s="22">
        <f t="shared" si="227"/>
        <v>15.25</v>
      </c>
      <c r="TG8" s="22">
        <f t="shared" si="228"/>
        <v>8.8000000000000007</v>
      </c>
      <c r="TH8" s="22">
        <f t="shared" si="229"/>
        <v>10.85</v>
      </c>
      <c r="TI8" s="22">
        <f t="shared" si="230"/>
        <v>14.07</v>
      </c>
      <c r="TJ8" s="22">
        <f t="shared" si="231"/>
        <v>0.1</v>
      </c>
      <c r="TK8" s="27" t="s">
        <v>46</v>
      </c>
      <c r="TL8" s="40">
        <f t="shared" si="232"/>
        <v>4.7</v>
      </c>
      <c r="TM8" s="40">
        <f t="shared" si="233"/>
        <v>6.4450000000000003</v>
      </c>
      <c r="TN8" s="40">
        <f t="shared" si="234"/>
        <v>21.645</v>
      </c>
      <c r="TO8" s="40">
        <f t="shared" si="235"/>
        <v>10.55</v>
      </c>
      <c r="TP8" s="40">
        <f t="shared" si="236"/>
        <v>13.925000000000001</v>
      </c>
      <c r="TQ8" s="40">
        <f t="shared" si="237"/>
        <v>46.624999999999993</v>
      </c>
      <c r="TR8" s="40">
        <f t="shared" si="238"/>
        <v>46.624999999999993</v>
      </c>
      <c r="TS8" s="40">
        <f t="shared" si="239"/>
        <v>10.85</v>
      </c>
      <c r="TT8" s="40">
        <f t="shared" si="240"/>
        <v>14.07</v>
      </c>
      <c r="TU8" s="40">
        <f t="shared" si="241"/>
        <v>48.87</v>
      </c>
      <c r="TV8" s="40">
        <f t="shared" si="242"/>
        <v>95.49499999999999</v>
      </c>
    </row>
    <row r="9" spans="1:542" x14ac:dyDescent="0.2">
      <c r="A9" s="4" t="str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/>
      </c>
      <c r="B9" s="4" t="str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/>
      </c>
      <c r="C9" s="5" t="s">
        <v>213</v>
      </c>
      <c r="D9" s="4" t="s">
        <v>4</v>
      </c>
      <c r="E9" s="4">
        <v>2004</v>
      </c>
      <c r="F9" s="9">
        <f t="shared" si="0"/>
        <v>163.78001637800472</v>
      </c>
      <c r="G9" s="66"/>
      <c r="H9" s="3" t="str">
        <f t="shared" si="1"/>
        <v/>
      </c>
      <c r="I9" s="3" t="str">
        <f t="shared" si="2"/>
        <v/>
      </c>
      <c r="J9" s="36" t="str">
        <f t="shared" si="3"/>
        <v/>
      </c>
      <c r="K9" s="3" t="str">
        <f t="shared" si="4"/>
        <v/>
      </c>
      <c r="L9" s="8">
        <f>IF(COUNT(AQ9,AT9,BR9,BU9,CS9,CV9)&gt;0,LARGE((AQ9,AT9,BR9,BU9,CS9,CV9),1),0)</f>
        <v>47.3</v>
      </c>
      <c r="M9" s="8" t="str">
        <f t="shared" si="5"/>
        <v>2023 Nationals</v>
      </c>
      <c r="N9" s="8">
        <f>IF(COUNT(AQ9,AT9,BR9,BU9,CS9,CV9)&gt;1,LARGE((AQ9,AT9,BR9,BU9,CS9,CV9),2),0)</f>
        <v>47.12</v>
      </c>
      <c r="O9" s="8" t="str">
        <f t="shared" si="6"/>
        <v>2023 Nationals</v>
      </c>
      <c r="P9" s="8">
        <f>IF(COUNT(AQ9,AT9,BR9,BU9,CS9,CV9)&gt;2,MAX(AX9,BY9,CZ9,LARGE((AQ9,AT9,BR9,BU9,CS9,CV9),3)),IF(MAX(AX9,BY9,CZ9)&gt;0,MAX(AX9,BY9,CZ9),0))</f>
        <v>44.34</v>
      </c>
      <c r="Q9" s="8" t="str">
        <f t="shared" si="7"/>
        <v>2023 3rd Domestic Trial</v>
      </c>
      <c r="R9" s="8">
        <f t="shared" si="8"/>
        <v>11.4</v>
      </c>
      <c r="S9" s="8" t="str">
        <f t="shared" si="9"/>
        <v>2023 Nationals</v>
      </c>
      <c r="T9" s="8">
        <f t="shared" si="10"/>
        <v>13.62</v>
      </c>
      <c r="U9" s="8" t="str">
        <f t="shared" si="11"/>
        <v>2023 Nationals</v>
      </c>
      <c r="V9" s="8" t="str">
        <f t="shared" si="12"/>
        <v/>
      </c>
      <c r="W9" s="11" t="str">
        <f t="shared" si="13"/>
        <v/>
      </c>
      <c r="X9" s="8" t="str">
        <f>IF(V9="","",IF(V9=DB9,IF(V9+IF(P9="",0,P9)=SN9,$RN$1,IF(V9+IF(P9="",0,P9)=RF9,$QF$1,IF(V9+IF(P9="",0,P9)=PX9,$OX$1,IF(V9+IF(P9="",0,P9)=OP9,$NP$1,IF(V9+IF(P9="",0,P9)=NH9,$MH$1,IF(V9+IF(P9="",0,P9)=LZ9,$KZ$1,IF(V9+IF(P9="",0,P9)=KR9,$JR$1,IF(V9+IF(P9="",0,P9)=JJ9,$IJ$1,IF(V9+IF(P9="",0,P9)=IB9,$HB$1,IF(V9+IF(P9="",0,P9)=GT9,$FT$1,IF(V9+IF(P9="",0,P9)=FL9,$EL$1,IF(V9+IF(P9="",0,P9)=ED9,$DD$1)))))))))))),IF(V9=DC9,IF(V9+IF(#REF!="",0,#REF!)=ST9,$RN$1,IF(V9+IF(#REF!="",0,#REF!)=RL9,$QF$1,IF(V9+IF(#REF!="",0,#REF!)=QD9,$OX$1,IF(V9+IF(#REF!="",0,#REF!)=OV9,$NP$1,IF(V9+IF(#REF!="",0,#REF!)=NN9,$MH$1,IF(V9+IF(#REF!="",0,#REF!)=MF9,$KZ$1,IF(V9+IF(#REF!="",0,#REF!)=KX9,$JR$1,IF(V9+IF(#REF!="",0,#REF!)=JP9,$IJ$1,IF(V9+IF(#REF!="",0,#REF!)=IH9,$HB$1,IF(V9+IF(#REF!="",0,#REF!)=GZ9,$FT$1,IF(V9+IF(#REF!="",0,#REF!)=FR9,$EL$1,IF(V9+IF(#REF!="",0,#REF!)=EJ9,$DD$1,IF(V9+IF(#REF!="",0,#REF!)=SQ9,$RN$1,IF(V9+IF(#REF!="",0,#REF!)=RI9,$QF$1,IF(V9+IF(#REF!="",0,#REF!)=QA9,$OX$1,IF(V9+IF(#REF!="",0,#REF!)=OS9,$NP$1,IF(V9+IF(#REF!="",0,#REF!)=NK9,$MH$1,IF(V9+IF(#REF!="",0,#REF!)=MC9,$KZ$1,IF(V9+IF(#REF!="",0,#REF!)=KU9,$JR$1,IF(V9+IF(#REF!="",0,#REF!)=JM9,$IJ$1,IF(V9+IF(#REF!="",0,#REF!)=IE9,$HB$1,IF(V9+IF(#REF!="",0,#REF!)=GW9,$FT$1,IF(V9+IF(#REF!="",0,#REF!)=FO9,$EL$1,IF(V9+IF(#REF!="",0,#REF!)=EG9,$DD$1)))))))))))))))))))))))))))</f>
        <v/>
      </c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7"/>
      <c r="AO9" s="38" t="str">
        <f t="shared" si="14"/>
        <v/>
      </c>
      <c r="AP9" s="38" t="str">
        <f t="shared" si="15"/>
        <v/>
      </c>
      <c r="AQ9" s="40" t="str">
        <f t="shared" si="16"/>
        <v/>
      </c>
      <c r="AR9" s="40" t="str">
        <f t="shared" si="17"/>
        <v/>
      </c>
      <c r="AS9" s="40" t="str">
        <f t="shared" si="18"/>
        <v/>
      </c>
      <c r="AT9" s="40" t="str">
        <f t="shared" si="19"/>
        <v/>
      </c>
      <c r="AU9" s="40" t="str">
        <f t="shared" si="20"/>
        <v/>
      </c>
      <c r="AV9" s="40" t="str">
        <f t="shared" si="21"/>
        <v/>
      </c>
      <c r="AW9" s="40" t="str">
        <f t="shared" si="22"/>
        <v/>
      </c>
      <c r="AX9" s="40" t="str">
        <f t="shared" si="23"/>
        <v/>
      </c>
      <c r="AY9" s="40" t="str">
        <f t="shared" si="24"/>
        <v/>
      </c>
      <c r="AZ9" s="26">
        <v>13.4</v>
      </c>
      <c r="BA9" s="26">
        <v>8.9</v>
      </c>
      <c r="BB9" s="26">
        <v>11.2</v>
      </c>
      <c r="BC9" s="26">
        <v>13.62</v>
      </c>
      <c r="BD9" s="26">
        <v>0</v>
      </c>
      <c r="BE9" s="26">
        <v>13.7</v>
      </c>
      <c r="BF9" s="26">
        <v>8.6999999999999993</v>
      </c>
      <c r="BG9" s="26">
        <v>11.4</v>
      </c>
      <c r="BH9" s="26">
        <v>13.5</v>
      </c>
      <c r="BI9" s="26">
        <v>0</v>
      </c>
      <c r="BJ9" s="26">
        <v>12.3</v>
      </c>
      <c r="BK9" s="26">
        <v>8.6</v>
      </c>
      <c r="BL9" s="26">
        <v>10.1</v>
      </c>
      <c r="BM9" s="26">
        <v>13.08</v>
      </c>
      <c r="BN9" s="26">
        <v>1.1000000000000001</v>
      </c>
      <c r="BO9" s="28"/>
      <c r="BP9" s="39">
        <f t="shared" si="25"/>
        <v>11.2</v>
      </c>
      <c r="BQ9" s="39">
        <f t="shared" si="26"/>
        <v>13.62</v>
      </c>
      <c r="BR9" s="11">
        <f t="shared" si="27"/>
        <v>47.12</v>
      </c>
      <c r="BS9" s="11">
        <f t="shared" si="28"/>
        <v>11.4</v>
      </c>
      <c r="BT9" s="11">
        <f t="shared" si="29"/>
        <v>13.5</v>
      </c>
      <c r="BU9" s="11">
        <f t="shared" si="30"/>
        <v>47.3</v>
      </c>
      <c r="BV9" s="11">
        <f t="shared" si="31"/>
        <v>47.3</v>
      </c>
      <c r="BW9" s="11">
        <f t="shared" si="32"/>
        <v>10.1</v>
      </c>
      <c r="BX9" s="11">
        <f t="shared" si="33"/>
        <v>13.08</v>
      </c>
      <c r="BY9" s="11">
        <f t="shared" si="34"/>
        <v>42.98</v>
      </c>
      <c r="BZ9" s="11">
        <f t="shared" si="35"/>
        <v>90.28</v>
      </c>
      <c r="CA9" s="22">
        <v>11.9</v>
      </c>
      <c r="CB9" s="22">
        <v>8.6</v>
      </c>
      <c r="CC9" s="22">
        <v>10.3</v>
      </c>
      <c r="CD9" s="22">
        <v>14.44</v>
      </c>
      <c r="CE9" s="22">
        <v>0.9</v>
      </c>
      <c r="CF9" s="22">
        <v>5.2</v>
      </c>
      <c r="CG9" s="22">
        <v>3.2</v>
      </c>
      <c r="CH9" s="22">
        <v>3.7</v>
      </c>
      <c r="CI9" s="22">
        <v>5.93</v>
      </c>
      <c r="CJ9" s="22">
        <v>0.2</v>
      </c>
      <c r="CK9" s="22">
        <v>11.3</v>
      </c>
      <c r="CL9" s="22">
        <v>7.2</v>
      </c>
      <c r="CM9" s="22">
        <v>9.1999999999999993</v>
      </c>
      <c r="CN9" s="22">
        <v>11.73</v>
      </c>
      <c r="CO9" s="22">
        <v>0</v>
      </c>
      <c r="CP9" s="27"/>
      <c r="CQ9" s="38">
        <f t="shared" si="36"/>
        <v>10.3</v>
      </c>
      <c r="CR9" s="38">
        <f t="shared" si="37"/>
        <v>14.44</v>
      </c>
      <c r="CS9" s="40">
        <f t="shared" si="38"/>
        <v>44.34</v>
      </c>
      <c r="CT9" s="40">
        <f t="shared" si="39"/>
        <v>3.7</v>
      </c>
      <c r="CU9" s="40">
        <f t="shared" si="40"/>
        <v>5.93</v>
      </c>
      <c r="CV9" s="40">
        <f t="shared" si="41"/>
        <v>17.830000000000002</v>
      </c>
      <c r="CW9" s="40">
        <f t="shared" si="42"/>
        <v>44.34</v>
      </c>
      <c r="CX9" s="40">
        <f t="shared" si="43"/>
        <v>9.1999999999999993</v>
      </c>
      <c r="CY9" s="40">
        <f t="shared" si="44"/>
        <v>11.73</v>
      </c>
      <c r="CZ9" s="40">
        <f t="shared" si="45"/>
        <v>39.43</v>
      </c>
      <c r="DA9" s="40">
        <f t="shared" si="46"/>
        <v>83.77000000000001</v>
      </c>
      <c r="DB9" s="50" t="str">
        <f t="shared" si="47"/>
        <v/>
      </c>
      <c r="DC9" s="50" t="str">
        <f t="shared" si="48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49"/>
        <v/>
      </c>
      <c r="DY9" s="40" t="str">
        <f t="shared" si="50"/>
        <v/>
      </c>
      <c r="DZ9" s="40" t="str">
        <f t="shared" si="51"/>
        <v/>
      </c>
      <c r="EA9" s="40" t="str">
        <f t="shared" si="52"/>
        <v/>
      </c>
      <c r="EB9" s="40" t="str">
        <f t="shared" si="53"/>
        <v/>
      </c>
      <c r="EC9" s="40" t="str">
        <f t="shared" si="54"/>
        <v/>
      </c>
      <c r="ED9" s="40" t="str">
        <f t="shared" si="55"/>
        <v/>
      </c>
      <c r="EE9" s="40" t="str">
        <f t="shared" si="56"/>
        <v/>
      </c>
      <c r="EF9" s="40" t="str">
        <f t="shared" si="57"/>
        <v/>
      </c>
      <c r="EG9" s="40" t="str">
        <f t="shared" si="58"/>
        <v/>
      </c>
      <c r="EH9" s="40" t="str">
        <f t="shared" si="59"/>
        <v/>
      </c>
      <c r="EI9" s="40" t="str">
        <f t="shared" si="60"/>
        <v/>
      </c>
      <c r="EJ9" s="40" t="str">
        <f t="shared" si="61"/>
        <v/>
      </c>
      <c r="EK9" s="40" t="str">
        <f t="shared" si="62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3"/>
        <v/>
      </c>
      <c r="FG9" s="11" t="str">
        <f t="shared" si="64"/>
        <v/>
      </c>
      <c r="FH9" s="11" t="str">
        <f t="shared" si="65"/>
        <v/>
      </c>
      <c r="FI9" s="11" t="str">
        <f t="shared" si="66"/>
        <v/>
      </c>
      <c r="FJ9" s="11" t="str">
        <f t="shared" si="67"/>
        <v/>
      </c>
      <c r="FK9" s="11" t="str">
        <f t="shared" si="68"/>
        <v/>
      </c>
      <c r="FL9" s="11" t="str">
        <f t="shared" si="69"/>
        <v/>
      </c>
      <c r="FM9" s="11" t="str">
        <f t="shared" si="70"/>
        <v/>
      </c>
      <c r="FN9" s="11" t="str">
        <f t="shared" si="71"/>
        <v/>
      </c>
      <c r="FO9" s="11" t="str">
        <f t="shared" si="72"/>
        <v/>
      </c>
      <c r="FP9" s="11" t="str">
        <f t="shared" si="73"/>
        <v/>
      </c>
      <c r="FQ9" s="11" t="str">
        <f t="shared" si="74"/>
        <v/>
      </c>
      <c r="FR9" s="11" t="str">
        <f t="shared" si="75"/>
        <v/>
      </c>
      <c r="FS9" s="11" t="str">
        <f t="shared" si="76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7"/>
        <v/>
      </c>
      <c r="GO9" s="40" t="str">
        <f t="shared" si="78"/>
        <v/>
      </c>
      <c r="GP9" s="40" t="str">
        <f t="shared" si="79"/>
        <v/>
      </c>
      <c r="GQ9" s="40" t="str">
        <f t="shared" si="80"/>
        <v/>
      </c>
      <c r="GR9" s="40" t="str">
        <f t="shared" si="81"/>
        <v/>
      </c>
      <c r="GS9" s="40" t="str">
        <f t="shared" si="82"/>
        <v/>
      </c>
      <c r="GT9" s="40" t="str">
        <f t="shared" si="83"/>
        <v/>
      </c>
      <c r="GU9" s="40" t="str">
        <f t="shared" si="84"/>
        <v/>
      </c>
      <c r="GV9" s="40" t="str">
        <f t="shared" si="85"/>
        <v/>
      </c>
      <c r="GW9" s="40" t="str">
        <f t="shared" si="86"/>
        <v/>
      </c>
      <c r="GX9" s="40" t="str">
        <f t="shared" si="87"/>
        <v/>
      </c>
      <c r="GY9" s="40" t="str">
        <f t="shared" si="88"/>
        <v/>
      </c>
      <c r="GZ9" s="40" t="str">
        <f t="shared" si="89"/>
        <v/>
      </c>
      <c r="HA9" s="40" t="str">
        <f t="shared" si="90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1"/>
        <v/>
      </c>
      <c r="HW9" s="11" t="str">
        <f t="shared" si="92"/>
        <v/>
      </c>
      <c r="HX9" s="11" t="str">
        <f t="shared" si="93"/>
        <v/>
      </c>
      <c r="HY9" s="11" t="str">
        <f t="shared" si="94"/>
        <v/>
      </c>
      <c r="HZ9" s="11" t="str">
        <f t="shared" si="95"/>
        <v/>
      </c>
      <c r="IA9" s="11" t="str">
        <f t="shared" si="96"/>
        <v/>
      </c>
      <c r="IB9" s="11" t="str">
        <f t="shared" si="97"/>
        <v/>
      </c>
      <c r="IC9" s="11" t="str">
        <f t="shared" si="98"/>
        <v/>
      </c>
      <c r="ID9" s="11" t="str">
        <f t="shared" si="99"/>
        <v/>
      </c>
      <c r="IE9" s="11" t="str">
        <f t="shared" si="100"/>
        <v/>
      </c>
      <c r="IF9" s="11" t="str">
        <f t="shared" si="101"/>
        <v/>
      </c>
      <c r="IG9" s="11" t="str">
        <f t="shared" si="102"/>
        <v/>
      </c>
      <c r="IH9" s="11" t="str">
        <f t="shared" si="103"/>
        <v/>
      </c>
      <c r="II9" s="11" t="str">
        <f t="shared" si="104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5"/>
        <v/>
      </c>
      <c r="JE9" s="40" t="str">
        <f t="shared" si="106"/>
        <v/>
      </c>
      <c r="JF9" s="40" t="str">
        <f t="shared" si="107"/>
        <v/>
      </c>
      <c r="JG9" s="40" t="str">
        <f t="shared" si="108"/>
        <v/>
      </c>
      <c r="JH9" s="40" t="str">
        <f t="shared" si="109"/>
        <v/>
      </c>
      <c r="JI9" s="40" t="str">
        <f t="shared" si="110"/>
        <v/>
      </c>
      <c r="JJ9" s="40" t="str">
        <f t="shared" si="111"/>
        <v/>
      </c>
      <c r="JK9" s="40" t="str">
        <f t="shared" si="112"/>
        <v/>
      </c>
      <c r="JL9" s="40" t="str">
        <f t="shared" si="113"/>
        <v/>
      </c>
      <c r="JM9" s="40" t="str">
        <f t="shared" si="114"/>
        <v/>
      </c>
      <c r="JN9" s="40" t="str">
        <f t="shared" si="115"/>
        <v/>
      </c>
      <c r="JO9" s="40" t="str">
        <f t="shared" si="116"/>
        <v/>
      </c>
      <c r="JP9" s="40" t="str">
        <f t="shared" si="117"/>
        <v/>
      </c>
      <c r="JQ9" s="40" t="str">
        <f t="shared" si="118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19"/>
        <v/>
      </c>
      <c r="KM9" s="11" t="str">
        <f t="shared" si="120"/>
        <v/>
      </c>
      <c r="KN9" s="11" t="str">
        <f t="shared" si="121"/>
        <v/>
      </c>
      <c r="KO9" s="11" t="str">
        <f t="shared" si="122"/>
        <v/>
      </c>
      <c r="KP9" s="11" t="str">
        <f t="shared" si="123"/>
        <v/>
      </c>
      <c r="KQ9" s="11" t="str">
        <f t="shared" si="124"/>
        <v/>
      </c>
      <c r="KR9" s="11" t="str">
        <f t="shared" si="125"/>
        <v/>
      </c>
      <c r="KS9" s="11" t="str">
        <f t="shared" si="126"/>
        <v/>
      </c>
      <c r="KT9" s="11" t="str">
        <f t="shared" si="127"/>
        <v/>
      </c>
      <c r="KU9" s="11" t="str">
        <f t="shared" si="128"/>
        <v/>
      </c>
      <c r="KV9" s="11" t="str">
        <f t="shared" si="129"/>
        <v/>
      </c>
      <c r="KW9" s="11" t="str">
        <f t="shared" si="130"/>
        <v/>
      </c>
      <c r="KX9" s="11" t="str">
        <f t="shared" si="131"/>
        <v/>
      </c>
      <c r="KY9" s="11" t="str">
        <f t="shared" si="132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3"/>
        <v/>
      </c>
      <c r="LU9" s="40" t="str">
        <f t="shared" si="134"/>
        <v/>
      </c>
      <c r="LV9" s="40" t="str">
        <f t="shared" si="135"/>
        <v/>
      </c>
      <c r="LW9" s="40" t="str">
        <f t="shared" si="136"/>
        <v/>
      </c>
      <c r="LX9" s="40" t="str">
        <f t="shared" si="137"/>
        <v/>
      </c>
      <c r="LY9" s="40" t="str">
        <f t="shared" si="138"/>
        <v/>
      </c>
      <c r="LZ9" s="40" t="str">
        <f t="shared" si="139"/>
        <v/>
      </c>
      <c r="MA9" s="40" t="str">
        <f t="shared" si="140"/>
        <v/>
      </c>
      <c r="MB9" s="40" t="str">
        <f t="shared" si="141"/>
        <v/>
      </c>
      <c r="MC9" s="40" t="str">
        <f t="shared" si="142"/>
        <v/>
      </c>
      <c r="MD9" s="40" t="str">
        <f t="shared" si="143"/>
        <v/>
      </c>
      <c r="ME9" s="40" t="str">
        <f t="shared" si="144"/>
        <v/>
      </c>
      <c r="MF9" s="40" t="str">
        <f t="shared" si="145"/>
        <v/>
      </c>
      <c r="MG9" s="40" t="str">
        <f t="shared" si="146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7"/>
        <v/>
      </c>
      <c r="NC9" s="11" t="str">
        <f t="shared" si="148"/>
        <v/>
      </c>
      <c r="ND9" s="11" t="str">
        <f t="shared" si="149"/>
        <v/>
      </c>
      <c r="NE9" s="11" t="str">
        <f t="shared" si="150"/>
        <v/>
      </c>
      <c r="NF9" s="11" t="str">
        <f t="shared" si="151"/>
        <v/>
      </c>
      <c r="NG9" s="11" t="str">
        <f t="shared" si="152"/>
        <v/>
      </c>
      <c r="NH9" s="11" t="str">
        <f t="shared" si="153"/>
        <v/>
      </c>
      <c r="NI9" s="11" t="str">
        <f t="shared" si="154"/>
        <v/>
      </c>
      <c r="NJ9" s="11" t="str">
        <f t="shared" si="155"/>
        <v/>
      </c>
      <c r="NK9" s="11" t="str">
        <f t="shared" si="156"/>
        <v/>
      </c>
      <c r="NL9" s="11" t="str">
        <f t="shared" si="157"/>
        <v/>
      </c>
      <c r="NM9" s="11" t="str">
        <f t="shared" si="158"/>
        <v/>
      </c>
      <c r="NN9" s="11" t="str">
        <f t="shared" si="159"/>
        <v/>
      </c>
      <c r="NO9" s="11" t="str">
        <f t="shared" si="160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1"/>
        <v/>
      </c>
      <c r="OK9" s="40" t="str">
        <f t="shared" si="162"/>
        <v/>
      </c>
      <c r="OL9" s="40" t="str">
        <f t="shared" si="163"/>
        <v/>
      </c>
      <c r="OM9" s="40" t="str">
        <f t="shared" si="164"/>
        <v/>
      </c>
      <c r="ON9" s="40" t="str">
        <f t="shared" si="165"/>
        <v/>
      </c>
      <c r="OO9" s="40" t="str">
        <f t="shared" si="166"/>
        <v/>
      </c>
      <c r="OP9" s="40" t="str">
        <f t="shared" si="167"/>
        <v/>
      </c>
      <c r="OQ9" s="40" t="str">
        <f t="shared" si="168"/>
        <v/>
      </c>
      <c r="OR9" s="40" t="str">
        <f t="shared" si="169"/>
        <v/>
      </c>
      <c r="OS9" s="40" t="str">
        <f t="shared" si="170"/>
        <v/>
      </c>
      <c r="OT9" s="40" t="str">
        <f t="shared" si="171"/>
        <v/>
      </c>
      <c r="OU9" s="40" t="str">
        <f t="shared" si="172"/>
        <v/>
      </c>
      <c r="OV9" s="40" t="str">
        <f t="shared" si="173"/>
        <v/>
      </c>
      <c r="OW9" s="40" t="str">
        <f t="shared" si="174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5"/>
        <v/>
      </c>
      <c r="PS9" s="11" t="str">
        <f t="shared" si="176"/>
        <v/>
      </c>
      <c r="PT9" s="11" t="str">
        <f t="shared" si="177"/>
        <v/>
      </c>
      <c r="PU9" s="11" t="str">
        <f t="shared" si="178"/>
        <v/>
      </c>
      <c r="PV9" s="11" t="str">
        <f t="shared" si="179"/>
        <v/>
      </c>
      <c r="PW9" s="11" t="str">
        <f t="shared" si="180"/>
        <v/>
      </c>
      <c r="PX9" s="11" t="str">
        <f t="shared" si="181"/>
        <v/>
      </c>
      <c r="PY9" s="11" t="str">
        <f t="shared" si="182"/>
        <v/>
      </c>
      <c r="PZ9" s="11" t="str">
        <f t="shared" si="183"/>
        <v/>
      </c>
      <c r="QA9" s="11" t="str">
        <f t="shared" si="184"/>
        <v/>
      </c>
      <c r="QB9" s="11" t="str">
        <f t="shared" si="185"/>
        <v/>
      </c>
      <c r="QC9" s="11" t="str">
        <f t="shared" si="186"/>
        <v/>
      </c>
      <c r="QD9" s="11" t="str">
        <f t="shared" si="187"/>
        <v/>
      </c>
      <c r="QE9" s="11" t="str">
        <f t="shared" si="188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89"/>
        <v/>
      </c>
      <c r="RA9" s="40" t="str">
        <f t="shared" si="190"/>
        <v/>
      </c>
      <c r="RB9" s="40" t="str">
        <f t="shared" si="191"/>
        <v/>
      </c>
      <c r="RC9" s="40" t="str">
        <f t="shared" si="192"/>
        <v/>
      </c>
      <c r="RD9" s="40" t="str">
        <f t="shared" si="193"/>
        <v/>
      </c>
      <c r="RE9" s="40" t="str">
        <f t="shared" si="194"/>
        <v/>
      </c>
      <c r="RF9" s="40" t="str">
        <f t="shared" si="195"/>
        <v/>
      </c>
      <c r="RG9" s="40" t="str">
        <f t="shared" si="196"/>
        <v/>
      </c>
      <c r="RH9" s="40" t="str">
        <f t="shared" si="197"/>
        <v/>
      </c>
      <c r="RI9" s="40" t="str">
        <f t="shared" si="198"/>
        <v/>
      </c>
      <c r="RJ9" s="40" t="str">
        <f t="shared" si="199"/>
        <v/>
      </c>
      <c r="RK9" s="40" t="str">
        <f t="shared" si="200"/>
        <v/>
      </c>
      <c r="RL9" s="40" t="str">
        <f t="shared" si="201"/>
        <v/>
      </c>
      <c r="RM9" s="40" t="str">
        <f t="shared" si="202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3"/>
        <v/>
      </c>
      <c r="SI9" s="11" t="str">
        <f t="shared" si="204"/>
        <v/>
      </c>
      <c r="SJ9" s="11" t="str">
        <f t="shared" si="205"/>
        <v/>
      </c>
      <c r="SK9" s="11" t="str">
        <f t="shared" si="206"/>
        <v/>
      </c>
      <c r="SL9" s="11" t="str">
        <f t="shared" si="207"/>
        <v/>
      </c>
      <c r="SM9" s="11" t="str">
        <f t="shared" si="208"/>
        <v/>
      </c>
      <c r="SN9" s="11" t="str">
        <f t="shared" si="209"/>
        <v/>
      </c>
      <c r="SO9" s="11" t="str">
        <f t="shared" si="210"/>
        <v/>
      </c>
      <c r="SP9" s="11" t="str">
        <f t="shared" si="211"/>
        <v/>
      </c>
      <c r="SQ9" s="11" t="str">
        <f t="shared" si="212"/>
        <v/>
      </c>
      <c r="SR9" s="11" t="str">
        <f t="shared" si="213"/>
        <v/>
      </c>
      <c r="SS9" s="11" t="str">
        <f t="shared" si="214"/>
        <v/>
      </c>
      <c r="ST9" s="11" t="str">
        <f t="shared" si="215"/>
        <v/>
      </c>
      <c r="SU9" s="11" t="str">
        <f t="shared" si="216"/>
        <v/>
      </c>
      <c r="SV9" s="22">
        <f t="shared" si="217"/>
        <v>12.65</v>
      </c>
      <c r="SW9" s="22">
        <f t="shared" si="218"/>
        <v>8.75</v>
      </c>
      <c r="SX9" s="22">
        <f t="shared" si="219"/>
        <v>10.75</v>
      </c>
      <c r="SY9" s="22">
        <f t="shared" si="220"/>
        <v>14.03</v>
      </c>
      <c r="SZ9" s="22">
        <f t="shared" si="221"/>
        <v>0.45</v>
      </c>
      <c r="TA9" s="22">
        <f t="shared" si="222"/>
        <v>9.4499999999999993</v>
      </c>
      <c r="TB9" s="22">
        <f t="shared" si="223"/>
        <v>5.9499999999999993</v>
      </c>
      <c r="TC9" s="22">
        <f t="shared" si="224"/>
        <v>7.5500000000000007</v>
      </c>
      <c r="TD9" s="22">
        <f t="shared" si="225"/>
        <v>9.7149999999999999</v>
      </c>
      <c r="TE9" s="22">
        <f t="shared" si="226"/>
        <v>0.1</v>
      </c>
      <c r="TF9" s="22">
        <f t="shared" si="227"/>
        <v>11.8</v>
      </c>
      <c r="TG9" s="22">
        <f t="shared" si="228"/>
        <v>7.9</v>
      </c>
      <c r="TH9" s="22">
        <f t="shared" si="229"/>
        <v>9.6499999999999986</v>
      </c>
      <c r="TI9" s="22">
        <f t="shared" si="230"/>
        <v>12.405000000000001</v>
      </c>
      <c r="TJ9" s="22">
        <f t="shared" si="231"/>
        <v>0.55000000000000004</v>
      </c>
      <c r="TK9" s="27" t="s">
        <v>46</v>
      </c>
      <c r="TL9" s="40">
        <f t="shared" si="232"/>
        <v>10.75</v>
      </c>
      <c r="TM9" s="40">
        <f t="shared" si="233"/>
        <v>14.03</v>
      </c>
      <c r="TN9" s="40">
        <f t="shared" si="234"/>
        <v>45.73</v>
      </c>
      <c r="TO9" s="40">
        <f t="shared" si="235"/>
        <v>7.5500000000000007</v>
      </c>
      <c r="TP9" s="40">
        <f t="shared" si="236"/>
        <v>9.7149999999999999</v>
      </c>
      <c r="TQ9" s="40">
        <f t="shared" si="237"/>
        <v>32.564999999999998</v>
      </c>
      <c r="TR9" s="40">
        <f t="shared" si="238"/>
        <v>45.73</v>
      </c>
      <c r="TS9" s="40">
        <f t="shared" si="239"/>
        <v>9.6499999999999986</v>
      </c>
      <c r="TT9" s="40">
        <f t="shared" si="240"/>
        <v>12.405000000000001</v>
      </c>
      <c r="TU9" s="40">
        <f t="shared" si="241"/>
        <v>41.205000000000005</v>
      </c>
      <c r="TV9" s="40">
        <f t="shared" si="242"/>
        <v>86.935000000000002</v>
      </c>
    </row>
    <row r="10" spans="1:542" x14ac:dyDescent="0.2">
      <c r="A10" s="4" t="str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/>
      </c>
      <c r="B10" s="4" t="str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/>
      </c>
      <c r="C10" s="5" t="s">
        <v>171</v>
      </c>
      <c r="D10" s="4" t="s">
        <v>6</v>
      </c>
      <c r="E10" s="4">
        <v>2004</v>
      </c>
      <c r="F10" s="9">
        <f t="shared" si="0"/>
        <v>150.92001509200483</v>
      </c>
      <c r="G10" s="66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48.11</v>
      </c>
      <c r="M10" s="8" t="str">
        <f t="shared" si="5"/>
        <v>2023 Nationals</v>
      </c>
      <c r="N10" s="8">
        <f>IF(COUNT(AQ10,AT10,BR10,BU10,CS10,CV10)&gt;1,LARGE((AQ10,AT10,BR10,BU10,CS10,CV10),2),0)</f>
        <v>47.129999999999995</v>
      </c>
      <c r="O10" s="8" t="str">
        <f t="shared" si="6"/>
        <v>2023 Nationals</v>
      </c>
      <c r="P10" s="8">
        <f>IF(COUNT(AQ10,AT10,BR10,BU10,CS10,CV10)&gt;2,MAX(AX10,BY10,CZ10,LARGE((AQ10,AT10,BR10,BU10,CS10,CV10),3)),IF(MAX(AX10,BY10,CZ10)&gt;0,MAX(AX10,BY10,CZ10),0))</f>
        <v>46.88</v>
      </c>
      <c r="Q10" s="8" t="str">
        <f t="shared" si="7"/>
        <v>2023 Elite Canada</v>
      </c>
      <c r="R10" s="8">
        <f t="shared" si="8"/>
        <v>8.8000000000000007</v>
      </c>
      <c r="S10" s="8" t="str">
        <f t="shared" si="9"/>
        <v>2023 Nationals</v>
      </c>
      <c r="T10" s="8">
        <f t="shared" si="10"/>
        <v>0</v>
      </c>
      <c r="U10" s="8" t="str">
        <f t="shared" si="11"/>
        <v/>
      </c>
      <c r="V10" s="8" t="str">
        <f t="shared" si="12"/>
        <v/>
      </c>
      <c r="W10" s="11" t="str">
        <f t="shared" si="13"/>
        <v/>
      </c>
      <c r="X10" s="8" t="str">
        <f>IF(V10="","",IF(V10=DB10,IF(V10+IF(P10="",0,P10)=SN10,$RN$1,IF(V10+IF(P10="",0,P10)=RF10,$QF$1,IF(V10+IF(P10="",0,P10)=PX10,$OX$1,IF(V10+IF(P10="",0,P10)=OP10,$NP$1,IF(V10+IF(P10="",0,P10)=NH10,$MH$1,IF(V10+IF(P10="",0,P10)=LZ10,$KZ$1,IF(V10+IF(P10="",0,P10)=KR10,$JR$1,IF(V10+IF(P10="",0,P10)=JJ10,$IJ$1,IF(V10+IF(P10="",0,P10)=IB10,$HB$1,IF(V10+IF(P10="",0,P10)=GT10,$FT$1,IF(V10+IF(P10="",0,P10)=FL10,$EL$1,IF(V10+IF(P10="",0,P10)=ED10,$DD$1)))))))))))),IF(V10=DC10,IF(V10+IF(#REF!="",0,#REF!)=ST10,$RN$1,IF(V10+IF(#REF!="",0,#REF!)=RL10,$QF$1,IF(V10+IF(#REF!="",0,#REF!)=QD10,$OX$1,IF(V10+IF(#REF!="",0,#REF!)=OV10,$NP$1,IF(V10+IF(#REF!="",0,#REF!)=NN10,$MH$1,IF(V10+IF(#REF!="",0,#REF!)=MF10,$KZ$1,IF(V10+IF(#REF!="",0,#REF!)=KX10,$JR$1,IF(V10+IF(#REF!="",0,#REF!)=JP10,$IJ$1,IF(V10+IF(#REF!="",0,#REF!)=IH10,$HB$1,IF(V10+IF(#REF!="",0,#REF!)=GZ10,$FT$1,IF(V10+IF(#REF!="",0,#REF!)=FR10,$EL$1,IF(V10+IF(#REF!="",0,#REF!)=EJ10,$DD$1,IF(V10+IF(#REF!="",0,#REF!)=SQ10,$RN$1,IF(V10+IF(#REF!="",0,#REF!)=RI10,$QF$1,IF(V10+IF(#REF!="",0,#REF!)=QA10,$OX$1,IF(V10+IF(#REF!="",0,#REF!)=OS10,$NP$1,IF(V10+IF(#REF!="",0,#REF!)=NK10,$MH$1,IF(V10+IF(#REF!="",0,#REF!)=MC10,$KZ$1,IF(V10+IF(#REF!="",0,#REF!)=KU10,$JR$1,IF(V10+IF(#REF!="",0,#REF!)=JM10,$IJ$1,IF(V10+IF(#REF!="",0,#REF!)=IE10,$HB$1,IF(V10+IF(#REF!="",0,#REF!)=GW10,$FT$1,IF(V10+IF(#REF!="",0,#REF!)=FO10,$EL$1,IF(V10+IF(#REF!="",0,#REF!)=EG10,$DD$1)))))))))))))))))))))))))))</f>
        <v/>
      </c>
      <c r="Y10" s="22">
        <v>14.5</v>
      </c>
      <c r="Z10" s="22">
        <v>9.1999999999999993</v>
      </c>
      <c r="AA10" s="22">
        <v>8.8000000000000007</v>
      </c>
      <c r="AB10" s="22">
        <v>13.85</v>
      </c>
      <c r="AC10" s="22">
        <v>0</v>
      </c>
      <c r="AD10" s="22">
        <v>14.7</v>
      </c>
      <c r="AE10" s="22">
        <v>9</v>
      </c>
      <c r="AF10" s="22">
        <v>8.5</v>
      </c>
      <c r="AG10" s="22">
        <v>13.44</v>
      </c>
      <c r="AH10" s="22">
        <v>0.3</v>
      </c>
      <c r="AI10" s="22">
        <v>15.1</v>
      </c>
      <c r="AJ10" s="22">
        <v>9.3000000000000007</v>
      </c>
      <c r="AK10" s="22">
        <v>8.8000000000000007</v>
      </c>
      <c r="AL10" s="22">
        <v>13.68</v>
      </c>
      <c r="AM10" s="22">
        <v>0</v>
      </c>
      <c r="AN10" s="27"/>
      <c r="AO10" s="38">
        <f t="shared" si="14"/>
        <v>8.8000000000000007</v>
      </c>
      <c r="AP10" s="38">
        <f t="shared" si="15"/>
        <v>13.85</v>
      </c>
      <c r="AQ10" s="40">
        <f t="shared" si="16"/>
        <v>46.35</v>
      </c>
      <c r="AR10" s="40">
        <f t="shared" si="17"/>
        <v>8.5</v>
      </c>
      <c r="AS10" s="40">
        <f t="shared" si="18"/>
        <v>13.44</v>
      </c>
      <c r="AT10" s="40">
        <f t="shared" si="19"/>
        <v>45.34</v>
      </c>
      <c r="AU10" s="40">
        <f t="shared" si="20"/>
        <v>46.35</v>
      </c>
      <c r="AV10" s="40">
        <f t="shared" si="21"/>
        <v>8.8000000000000007</v>
      </c>
      <c r="AW10" s="40">
        <f t="shared" si="22"/>
        <v>13.68</v>
      </c>
      <c r="AX10" s="40">
        <f t="shared" si="23"/>
        <v>46.88</v>
      </c>
      <c r="AY10" s="40">
        <f t="shared" si="24"/>
        <v>93.23</v>
      </c>
      <c r="AZ10" s="26">
        <v>15.6</v>
      </c>
      <c r="BA10" s="26">
        <v>9.4</v>
      </c>
      <c r="BB10" s="26">
        <v>8.8000000000000007</v>
      </c>
      <c r="BC10" s="26">
        <v>14.31</v>
      </c>
      <c r="BD10" s="26">
        <v>0</v>
      </c>
      <c r="BE10" s="26">
        <v>14.7</v>
      </c>
      <c r="BF10" s="26">
        <v>9.6</v>
      </c>
      <c r="BG10" s="26">
        <v>8.8000000000000007</v>
      </c>
      <c r="BH10" s="26">
        <v>14.03</v>
      </c>
      <c r="BI10" s="26">
        <v>0</v>
      </c>
      <c r="BJ10" s="26">
        <v>13.7</v>
      </c>
      <c r="BK10" s="26">
        <v>8.9</v>
      </c>
      <c r="BL10" s="26">
        <v>7</v>
      </c>
      <c r="BM10" s="26">
        <v>13.4</v>
      </c>
      <c r="BN10" s="26">
        <v>1.8</v>
      </c>
      <c r="BO10" s="28"/>
      <c r="BP10" s="39">
        <f t="shared" si="25"/>
        <v>8.8000000000000007</v>
      </c>
      <c r="BQ10" s="39">
        <f t="shared" si="26"/>
        <v>14.31</v>
      </c>
      <c r="BR10" s="11">
        <f t="shared" si="27"/>
        <v>48.11</v>
      </c>
      <c r="BS10" s="11">
        <f t="shared" si="28"/>
        <v>8.8000000000000007</v>
      </c>
      <c r="BT10" s="11">
        <f t="shared" si="29"/>
        <v>14.03</v>
      </c>
      <c r="BU10" s="11">
        <f t="shared" si="30"/>
        <v>47.129999999999995</v>
      </c>
      <c r="BV10" s="11">
        <f t="shared" si="31"/>
        <v>48.11</v>
      </c>
      <c r="BW10" s="11">
        <f t="shared" si="32"/>
        <v>7</v>
      </c>
      <c r="BX10" s="11">
        <f t="shared" si="33"/>
        <v>13.4</v>
      </c>
      <c r="BY10" s="11">
        <f t="shared" si="34"/>
        <v>41.2</v>
      </c>
      <c r="BZ10" s="11">
        <f t="shared" si="35"/>
        <v>89.31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6"/>
        <v/>
      </c>
      <c r="CR10" s="38" t="str">
        <f t="shared" si="37"/>
        <v/>
      </c>
      <c r="CS10" s="40" t="str">
        <f t="shared" si="38"/>
        <v/>
      </c>
      <c r="CT10" s="40" t="str">
        <f t="shared" si="39"/>
        <v/>
      </c>
      <c r="CU10" s="40" t="str">
        <f t="shared" si="40"/>
        <v/>
      </c>
      <c r="CV10" s="40" t="str">
        <f t="shared" si="41"/>
        <v/>
      </c>
      <c r="CW10" s="40" t="str">
        <f t="shared" si="42"/>
        <v/>
      </c>
      <c r="CX10" s="40" t="str">
        <f t="shared" si="43"/>
        <v/>
      </c>
      <c r="CY10" s="40" t="str">
        <f t="shared" si="44"/>
        <v/>
      </c>
      <c r="CZ10" s="40" t="str">
        <f t="shared" si="45"/>
        <v/>
      </c>
      <c r="DA10" s="40" t="str">
        <f t="shared" si="46"/>
        <v/>
      </c>
      <c r="DB10" s="50" t="str">
        <f t="shared" si="47"/>
        <v/>
      </c>
      <c r="DC10" s="50" t="str">
        <f t="shared" si="48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49"/>
        <v/>
      </c>
      <c r="DY10" s="40" t="str">
        <f t="shared" si="50"/>
        <v/>
      </c>
      <c r="DZ10" s="40" t="str">
        <f t="shared" si="51"/>
        <v/>
      </c>
      <c r="EA10" s="40" t="str">
        <f t="shared" si="52"/>
        <v/>
      </c>
      <c r="EB10" s="40" t="str">
        <f t="shared" si="53"/>
        <v/>
      </c>
      <c r="EC10" s="40" t="str">
        <f t="shared" si="54"/>
        <v/>
      </c>
      <c r="ED10" s="40" t="str">
        <f t="shared" si="55"/>
        <v/>
      </c>
      <c r="EE10" s="40" t="str">
        <f t="shared" si="56"/>
        <v/>
      </c>
      <c r="EF10" s="40" t="str">
        <f t="shared" si="57"/>
        <v/>
      </c>
      <c r="EG10" s="40" t="str">
        <f t="shared" si="58"/>
        <v/>
      </c>
      <c r="EH10" s="40" t="str">
        <f t="shared" si="59"/>
        <v/>
      </c>
      <c r="EI10" s="40" t="str">
        <f t="shared" si="60"/>
        <v/>
      </c>
      <c r="EJ10" s="40" t="str">
        <f t="shared" si="61"/>
        <v/>
      </c>
      <c r="EK10" s="40" t="str">
        <f t="shared" si="62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3"/>
        <v/>
      </c>
      <c r="FG10" s="11" t="str">
        <f t="shared" si="64"/>
        <v/>
      </c>
      <c r="FH10" s="11" t="str">
        <f t="shared" si="65"/>
        <v/>
      </c>
      <c r="FI10" s="11" t="str">
        <f t="shared" si="66"/>
        <v/>
      </c>
      <c r="FJ10" s="11" t="str">
        <f t="shared" si="67"/>
        <v/>
      </c>
      <c r="FK10" s="11" t="str">
        <f t="shared" si="68"/>
        <v/>
      </c>
      <c r="FL10" s="11" t="str">
        <f t="shared" si="69"/>
        <v/>
      </c>
      <c r="FM10" s="11" t="str">
        <f t="shared" si="70"/>
        <v/>
      </c>
      <c r="FN10" s="11" t="str">
        <f t="shared" si="71"/>
        <v/>
      </c>
      <c r="FO10" s="11" t="str">
        <f t="shared" si="72"/>
        <v/>
      </c>
      <c r="FP10" s="11" t="str">
        <f t="shared" si="73"/>
        <v/>
      </c>
      <c r="FQ10" s="11" t="str">
        <f t="shared" si="74"/>
        <v/>
      </c>
      <c r="FR10" s="11" t="str">
        <f t="shared" si="75"/>
        <v/>
      </c>
      <c r="FS10" s="11" t="str">
        <f t="shared" si="76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7"/>
        <v/>
      </c>
      <c r="GO10" s="40" t="str">
        <f t="shared" si="78"/>
        <v/>
      </c>
      <c r="GP10" s="40" t="str">
        <f t="shared" si="79"/>
        <v/>
      </c>
      <c r="GQ10" s="40" t="str">
        <f t="shared" si="80"/>
        <v/>
      </c>
      <c r="GR10" s="40" t="str">
        <f t="shared" si="81"/>
        <v/>
      </c>
      <c r="GS10" s="40" t="str">
        <f t="shared" si="82"/>
        <v/>
      </c>
      <c r="GT10" s="40" t="str">
        <f t="shared" si="83"/>
        <v/>
      </c>
      <c r="GU10" s="40" t="str">
        <f t="shared" si="84"/>
        <v/>
      </c>
      <c r="GV10" s="40" t="str">
        <f t="shared" si="85"/>
        <v/>
      </c>
      <c r="GW10" s="40" t="str">
        <f t="shared" si="86"/>
        <v/>
      </c>
      <c r="GX10" s="40" t="str">
        <f t="shared" si="87"/>
        <v/>
      </c>
      <c r="GY10" s="40" t="str">
        <f t="shared" si="88"/>
        <v/>
      </c>
      <c r="GZ10" s="40" t="str">
        <f t="shared" si="89"/>
        <v/>
      </c>
      <c r="HA10" s="40" t="str">
        <f t="shared" si="90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1"/>
        <v/>
      </c>
      <c r="HW10" s="11" t="str">
        <f t="shared" si="92"/>
        <v/>
      </c>
      <c r="HX10" s="11" t="str">
        <f t="shared" si="93"/>
        <v/>
      </c>
      <c r="HY10" s="11" t="str">
        <f t="shared" si="94"/>
        <v/>
      </c>
      <c r="HZ10" s="11" t="str">
        <f t="shared" si="95"/>
        <v/>
      </c>
      <c r="IA10" s="11" t="str">
        <f t="shared" si="96"/>
        <v/>
      </c>
      <c r="IB10" s="11" t="str">
        <f t="shared" si="97"/>
        <v/>
      </c>
      <c r="IC10" s="11" t="str">
        <f t="shared" si="98"/>
        <v/>
      </c>
      <c r="ID10" s="11" t="str">
        <f t="shared" si="99"/>
        <v/>
      </c>
      <c r="IE10" s="11" t="str">
        <f t="shared" si="100"/>
        <v/>
      </c>
      <c r="IF10" s="11" t="str">
        <f t="shared" si="101"/>
        <v/>
      </c>
      <c r="IG10" s="11" t="str">
        <f t="shared" si="102"/>
        <v/>
      </c>
      <c r="IH10" s="11" t="str">
        <f t="shared" si="103"/>
        <v/>
      </c>
      <c r="II10" s="11" t="str">
        <f t="shared" si="104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5"/>
        <v/>
      </c>
      <c r="JE10" s="40" t="str">
        <f t="shared" si="106"/>
        <v/>
      </c>
      <c r="JF10" s="40" t="str">
        <f t="shared" si="107"/>
        <v/>
      </c>
      <c r="JG10" s="40" t="str">
        <f t="shared" si="108"/>
        <v/>
      </c>
      <c r="JH10" s="40" t="str">
        <f t="shared" si="109"/>
        <v/>
      </c>
      <c r="JI10" s="40" t="str">
        <f t="shared" si="110"/>
        <v/>
      </c>
      <c r="JJ10" s="40" t="str">
        <f t="shared" si="111"/>
        <v/>
      </c>
      <c r="JK10" s="40" t="str">
        <f t="shared" si="112"/>
        <v/>
      </c>
      <c r="JL10" s="40" t="str">
        <f t="shared" si="113"/>
        <v/>
      </c>
      <c r="JM10" s="40" t="str">
        <f t="shared" si="114"/>
        <v/>
      </c>
      <c r="JN10" s="40" t="str">
        <f t="shared" si="115"/>
        <v/>
      </c>
      <c r="JO10" s="40" t="str">
        <f t="shared" si="116"/>
        <v/>
      </c>
      <c r="JP10" s="40" t="str">
        <f t="shared" si="117"/>
        <v/>
      </c>
      <c r="JQ10" s="40" t="str">
        <f t="shared" si="118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19"/>
        <v/>
      </c>
      <c r="KM10" s="11" t="str">
        <f t="shared" si="120"/>
        <v/>
      </c>
      <c r="KN10" s="11" t="str">
        <f t="shared" si="121"/>
        <v/>
      </c>
      <c r="KO10" s="11" t="str">
        <f t="shared" si="122"/>
        <v/>
      </c>
      <c r="KP10" s="11" t="str">
        <f t="shared" si="123"/>
        <v/>
      </c>
      <c r="KQ10" s="11" t="str">
        <f t="shared" si="124"/>
        <v/>
      </c>
      <c r="KR10" s="11" t="str">
        <f t="shared" si="125"/>
        <v/>
      </c>
      <c r="KS10" s="11" t="str">
        <f t="shared" si="126"/>
        <v/>
      </c>
      <c r="KT10" s="11" t="str">
        <f t="shared" si="127"/>
        <v/>
      </c>
      <c r="KU10" s="11" t="str">
        <f t="shared" si="128"/>
        <v/>
      </c>
      <c r="KV10" s="11" t="str">
        <f t="shared" si="129"/>
        <v/>
      </c>
      <c r="KW10" s="11" t="str">
        <f t="shared" si="130"/>
        <v/>
      </c>
      <c r="KX10" s="11" t="str">
        <f t="shared" si="131"/>
        <v/>
      </c>
      <c r="KY10" s="11" t="str">
        <f t="shared" si="132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3"/>
        <v/>
      </c>
      <c r="LU10" s="40" t="str">
        <f t="shared" si="134"/>
        <v/>
      </c>
      <c r="LV10" s="40" t="str">
        <f t="shared" si="135"/>
        <v/>
      </c>
      <c r="LW10" s="40" t="str">
        <f t="shared" si="136"/>
        <v/>
      </c>
      <c r="LX10" s="40" t="str">
        <f t="shared" si="137"/>
        <v/>
      </c>
      <c r="LY10" s="40" t="str">
        <f t="shared" si="138"/>
        <v/>
      </c>
      <c r="LZ10" s="40" t="str">
        <f t="shared" si="139"/>
        <v/>
      </c>
      <c r="MA10" s="40" t="str">
        <f t="shared" si="140"/>
        <v/>
      </c>
      <c r="MB10" s="40" t="str">
        <f t="shared" si="141"/>
        <v/>
      </c>
      <c r="MC10" s="40" t="str">
        <f t="shared" si="142"/>
        <v/>
      </c>
      <c r="MD10" s="40" t="str">
        <f t="shared" si="143"/>
        <v/>
      </c>
      <c r="ME10" s="40" t="str">
        <f t="shared" si="144"/>
        <v/>
      </c>
      <c r="MF10" s="40" t="str">
        <f t="shared" si="145"/>
        <v/>
      </c>
      <c r="MG10" s="40" t="str">
        <f t="shared" si="146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7"/>
        <v/>
      </c>
      <c r="NC10" s="11" t="str">
        <f t="shared" si="148"/>
        <v/>
      </c>
      <c r="ND10" s="11" t="str">
        <f t="shared" si="149"/>
        <v/>
      </c>
      <c r="NE10" s="11" t="str">
        <f t="shared" si="150"/>
        <v/>
      </c>
      <c r="NF10" s="11" t="str">
        <f t="shared" si="151"/>
        <v/>
      </c>
      <c r="NG10" s="11" t="str">
        <f t="shared" si="152"/>
        <v/>
      </c>
      <c r="NH10" s="11" t="str">
        <f t="shared" si="153"/>
        <v/>
      </c>
      <c r="NI10" s="11" t="str">
        <f t="shared" si="154"/>
        <v/>
      </c>
      <c r="NJ10" s="11" t="str">
        <f t="shared" si="155"/>
        <v/>
      </c>
      <c r="NK10" s="11" t="str">
        <f t="shared" si="156"/>
        <v/>
      </c>
      <c r="NL10" s="11" t="str">
        <f t="shared" si="157"/>
        <v/>
      </c>
      <c r="NM10" s="11" t="str">
        <f t="shared" si="158"/>
        <v/>
      </c>
      <c r="NN10" s="11" t="str">
        <f t="shared" si="159"/>
        <v/>
      </c>
      <c r="NO10" s="11" t="str">
        <f t="shared" si="160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1"/>
        <v/>
      </c>
      <c r="OK10" s="40" t="str">
        <f t="shared" si="162"/>
        <v/>
      </c>
      <c r="OL10" s="40" t="str">
        <f t="shared" si="163"/>
        <v/>
      </c>
      <c r="OM10" s="40" t="str">
        <f t="shared" si="164"/>
        <v/>
      </c>
      <c r="ON10" s="40" t="str">
        <f t="shared" si="165"/>
        <v/>
      </c>
      <c r="OO10" s="40" t="str">
        <f t="shared" si="166"/>
        <v/>
      </c>
      <c r="OP10" s="40" t="str">
        <f t="shared" si="167"/>
        <v/>
      </c>
      <c r="OQ10" s="40" t="str">
        <f t="shared" si="168"/>
        <v/>
      </c>
      <c r="OR10" s="40" t="str">
        <f t="shared" si="169"/>
        <v/>
      </c>
      <c r="OS10" s="40" t="str">
        <f t="shared" si="170"/>
        <v/>
      </c>
      <c r="OT10" s="40" t="str">
        <f t="shared" si="171"/>
        <v/>
      </c>
      <c r="OU10" s="40" t="str">
        <f t="shared" si="172"/>
        <v/>
      </c>
      <c r="OV10" s="40" t="str">
        <f t="shared" si="173"/>
        <v/>
      </c>
      <c r="OW10" s="40" t="str">
        <f t="shared" si="174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5"/>
        <v/>
      </c>
      <c r="PS10" s="11" t="str">
        <f t="shared" si="176"/>
        <v/>
      </c>
      <c r="PT10" s="11" t="str">
        <f t="shared" si="177"/>
        <v/>
      </c>
      <c r="PU10" s="11" t="str">
        <f t="shared" si="178"/>
        <v/>
      </c>
      <c r="PV10" s="11" t="str">
        <f t="shared" si="179"/>
        <v/>
      </c>
      <c r="PW10" s="11" t="str">
        <f t="shared" si="180"/>
        <v/>
      </c>
      <c r="PX10" s="11" t="str">
        <f t="shared" si="181"/>
        <v/>
      </c>
      <c r="PY10" s="11" t="str">
        <f t="shared" si="182"/>
        <v/>
      </c>
      <c r="PZ10" s="11" t="str">
        <f t="shared" si="183"/>
        <v/>
      </c>
      <c r="QA10" s="11" t="str">
        <f t="shared" si="184"/>
        <v/>
      </c>
      <c r="QB10" s="11" t="str">
        <f t="shared" si="185"/>
        <v/>
      </c>
      <c r="QC10" s="11" t="str">
        <f t="shared" si="186"/>
        <v/>
      </c>
      <c r="QD10" s="11" t="str">
        <f t="shared" si="187"/>
        <v/>
      </c>
      <c r="QE10" s="11" t="str">
        <f t="shared" si="188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89"/>
        <v/>
      </c>
      <c r="RA10" s="40" t="str">
        <f t="shared" si="190"/>
        <v/>
      </c>
      <c r="RB10" s="40" t="str">
        <f t="shared" si="191"/>
        <v/>
      </c>
      <c r="RC10" s="40" t="str">
        <f t="shared" si="192"/>
        <v/>
      </c>
      <c r="RD10" s="40" t="str">
        <f t="shared" si="193"/>
        <v/>
      </c>
      <c r="RE10" s="40" t="str">
        <f t="shared" si="194"/>
        <v/>
      </c>
      <c r="RF10" s="40" t="str">
        <f t="shared" si="195"/>
        <v/>
      </c>
      <c r="RG10" s="40" t="str">
        <f t="shared" si="196"/>
        <v/>
      </c>
      <c r="RH10" s="40" t="str">
        <f t="shared" si="197"/>
        <v/>
      </c>
      <c r="RI10" s="40" t="str">
        <f t="shared" si="198"/>
        <v/>
      </c>
      <c r="RJ10" s="40" t="str">
        <f t="shared" si="199"/>
        <v/>
      </c>
      <c r="RK10" s="40" t="str">
        <f t="shared" si="200"/>
        <v/>
      </c>
      <c r="RL10" s="40" t="str">
        <f t="shared" si="201"/>
        <v/>
      </c>
      <c r="RM10" s="40" t="str">
        <f t="shared" si="202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3"/>
        <v/>
      </c>
      <c r="SI10" s="11" t="str">
        <f t="shared" si="204"/>
        <v/>
      </c>
      <c r="SJ10" s="11" t="str">
        <f t="shared" si="205"/>
        <v/>
      </c>
      <c r="SK10" s="11" t="str">
        <f t="shared" si="206"/>
        <v/>
      </c>
      <c r="SL10" s="11" t="str">
        <f t="shared" si="207"/>
        <v/>
      </c>
      <c r="SM10" s="11" t="str">
        <f t="shared" si="208"/>
        <v/>
      </c>
      <c r="SN10" s="11" t="str">
        <f t="shared" si="209"/>
        <v/>
      </c>
      <c r="SO10" s="11" t="str">
        <f t="shared" si="210"/>
        <v/>
      </c>
      <c r="SP10" s="11" t="str">
        <f t="shared" si="211"/>
        <v/>
      </c>
      <c r="SQ10" s="11" t="str">
        <f t="shared" si="212"/>
        <v/>
      </c>
      <c r="SR10" s="11" t="str">
        <f t="shared" si="213"/>
        <v/>
      </c>
      <c r="SS10" s="11" t="str">
        <f t="shared" si="214"/>
        <v/>
      </c>
      <c r="ST10" s="11" t="str">
        <f t="shared" si="215"/>
        <v/>
      </c>
      <c r="SU10" s="11" t="str">
        <f t="shared" si="216"/>
        <v/>
      </c>
      <c r="SV10" s="22">
        <f t="shared" si="217"/>
        <v>7.8</v>
      </c>
      <c r="SW10" s="22">
        <f t="shared" si="218"/>
        <v>4.7</v>
      </c>
      <c r="SX10" s="22">
        <f t="shared" si="219"/>
        <v>4.4000000000000004</v>
      </c>
      <c r="SY10" s="22">
        <f t="shared" si="220"/>
        <v>7.1550000000000002</v>
      </c>
      <c r="SZ10" s="22">
        <f t="shared" si="221"/>
        <v>0</v>
      </c>
      <c r="TA10" s="22">
        <f t="shared" si="222"/>
        <v>7.35</v>
      </c>
      <c r="TB10" s="22">
        <f t="shared" si="223"/>
        <v>4.8</v>
      </c>
      <c r="TC10" s="22">
        <f t="shared" si="224"/>
        <v>4.4000000000000004</v>
      </c>
      <c r="TD10" s="22">
        <f t="shared" si="225"/>
        <v>7.0149999999999997</v>
      </c>
      <c r="TE10" s="22">
        <f t="shared" si="226"/>
        <v>0</v>
      </c>
      <c r="TF10" s="22">
        <f t="shared" si="227"/>
        <v>6.85</v>
      </c>
      <c r="TG10" s="22">
        <f t="shared" si="228"/>
        <v>4.45</v>
      </c>
      <c r="TH10" s="22">
        <f t="shared" si="229"/>
        <v>3.5</v>
      </c>
      <c r="TI10" s="22">
        <f t="shared" si="230"/>
        <v>6.7</v>
      </c>
      <c r="TJ10" s="22">
        <f t="shared" si="231"/>
        <v>0.9</v>
      </c>
      <c r="TK10" s="27" t="s">
        <v>46</v>
      </c>
      <c r="TL10" s="40">
        <f t="shared" si="232"/>
        <v>4.4000000000000004</v>
      </c>
      <c r="TM10" s="40">
        <f t="shared" si="233"/>
        <v>7.1550000000000002</v>
      </c>
      <c r="TN10" s="40">
        <f t="shared" si="234"/>
        <v>24.055</v>
      </c>
      <c r="TO10" s="40">
        <f t="shared" si="235"/>
        <v>4.4000000000000004</v>
      </c>
      <c r="TP10" s="40">
        <f t="shared" si="236"/>
        <v>7.0149999999999997</v>
      </c>
      <c r="TQ10" s="40">
        <f t="shared" si="237"/>
        <v>23.564999999999998</v>
      </c>
      <c r="TR10" s="40">
        <f t="shared" si="238"/>
        <v>24.055</v>
      </c>
      <c r="TS10" s="40">
        <f t="shared" si="239"/>
        <v>3.5</v>
      </c>
      <c r="TT10" s="40">
        <f t="shared" si="240"/>
        <v>6.7</v>
      </c>
      <c r="TU10" s="40">
        <f t="shared" si="241"/>
        <v>20.6</v>
      </c>
      <c r="TV10" s="40">
        <f t="shared" si="242"/>
        <v>44.655000000000001</v>
      </c>
    </row>
    <row r="11" spans="1:542" x14ac:dyDescent="0.2">
      <c r="A11" s="4" t="str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/>
      </c>
      <c r="B11" s="4" t="str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/>
      </c>
      <c r="C11" s="5" t="s">
        <v>168</v>
      </c>
      <c r="D11" s="4" t="s">
        <v>6</v>
      </c>
      <c r="E11" s="4">
        <v>2005</v>
      </c>
      <c r="F11" s="9">
        <f t="shared" si="0"/>
        <v>149.5700149570047</v>
      </c>
      <c r="G11" s="66"/>
      <c r="H11" s="3" t="str">
        <f t="shared" si="1"/>
        <v/>
      </c>
      <c r="I11" s="3" t="str">
        <f t="shared" si="2"/>
        <v/>
      </c>
      <c r="J11" s="36" t="str">
        <f t="shared" si="3"/>
        <v/>
      </c>
      <c r="K11" s="3" t="str">
        <f t="shared" si="4"/>
        <v/>
      </c>
      <c r="L11" s="8">
        <f>IF(COUNT(AQ11,AT11,BR11,BU11,CS11,CV11)&gt;0,LARGE((AQ11,AT11,BR11,BU11,CS11,CV11),1),0)</f>
        <v>47.010000000000005</v>
      </c>
      <c r="M11" s="8" t="str">
        <f t="shared" si="5"/>
        <v>2023 Nationals</v>
      </c>
      <c r="N11" s="8">
        <f>IF(COUNT(AQ11,AT11,BR11,BU11,CS11,CV11)&gt;1,LARGE((AQ11,AT11,BR11,BU11,CS11,CV11),2),0)</f>
        <v>45.88</v>
      </c>
      <c r="O11" s="8" t="str">
        <f t="shared" si="6"/>
        <v>2023 Nationals</v>
      </c>
      <c r="P11" s="8">
        <f>IF(COUNT(AQ11,AT11,BR11,BU11,CS11,CV11)&gt;2,MAX(AX11,BY11,CZ11,LARGE((AQ11,AT11,BR11,BU11,CS11,CV11),3)),IF(MAX(AX11,BY11,CZ11)&gt;0,MAX(AX11,BY11,CZ11),0))</f>
        <v>47.780000000000008</v>
      </c>
      <c r="Q11" s="8" t="str">
        <f t="shared" si="7"/>
        <v>2023 Nationals</v>
      </c>
      <c r="R11" s="8">
        <f t="shared" si="8"/>
        <v>8.9</v>
      </c>
      <c r="S11" s="8" t="str">
        <f t="shared" si="9"/>
        <v>2023 Nationals</v>
      </c>
      <c r="T11" s="8">
        <f t="shared" si="10"/>
        <v>0</v>
      </c>
      <c r="U11" s="8" t="str">
        <f t="shared" si="11"/>
        <v/>
      </c>
      <c r="V11" s="8" t="str">
        <f t="shared" si="12"/>
        <v/>
      </c>
      <c r="W11" s="11" t="str">
        <f t="shared" si="13"/>
        <v/>
      </c>
      <c r="X11" s="8" t="str">
        <f>IF(V11="","",IF(V11=DB11,IF(V11+IF(P11="",0,P11)=SN11,$RN$1,IF(V11+IF(P11="",0,P11)=RF11,$QF$1,IF(V11+IF(P11="",0,P11)=PX11,$OX$1,IF(V11+IF(P11="",0,P11)=OP11,$NP$1,IF(V11+IF(P11="",0,P11)=NH11,$MH$1,IF(V11+IF(P11="",0,P11)=LZ11,$KZ$1,IF(V11+IF(P11="",0,P11)=KR11,$JR$1,IF(V11+IF(P11="",0,P11)=JJ11,$IJ$1,IF(V11+IF(P11="",0,P11)=IB11,$HB$1,IF(V11+IF(P11="",0,P11)=GT11,$FT$1,IF(V11+IF(P11="",0,P11)=FL11,$EL$1,IF(V11+IF(P11="",0,P11)=ED11,$DD$1)))))))))))),IF(V11=DC11,IF(V11+IF(#REF!="",0,#REF!)=ST11,$RN$1,IF(V11+IF(#REF!="",0,#REF!)=RL11,$QF$1,IF(V11+IF(#REF!="",0,#REF!)=QD11,$OX$1,IF(V11+IF(#REF!="",0,#REF!)=OV11,$NP$1,IF(V11+IF(#REF!="",0,#REF!)=NN11,$MH$1,IF(V11+IF(#REF!="",0,#REF!)=MF11,$KZ$1,IF(V11+IF(#REF!="",0,#REF!)=KX11,$JR$1,IF(V11+IF(#REF!="",0,#REF!)=JP11,$IJ$1,IF(V11+IF(#REF!="",0,#REF!)=IH11,$HB$1,IF(V11+IF(#REF!="",0,#REF!)=GZ11,$FT$1,IF(V11+IF(#REF!="",0,#REF!)=FR11,$EL$1,IF(V11+IF(#REF!="",0,#REF!)=EJ11,$DD$1,IF(V11+IF(#REF!="",0,#REF!)=SQ11,$RN$1,IF(V11+IF(#REF!="",0,#REF!)=RI11,$QF$1,IF(V11+IF(#REF!="",0,#REF!)=QA11,$OX$1,IF(V11+IF(#REF!="",0,#REF!)=OS11,$NP$1,IF(V11+IF(#REF!="",0,#REF!)=NK11,$MH$1,IF(V11+IF(#REF!="",0,#REF!)=MC11,$KZ$1,IF(V11+IF(#REF!="",0,#REF!)=KU11,$JR$1,IF(V11+IF(#REF!="",0,#REF!)=JM11,$IJ$1,IF(V11+IF(#REF!="",0,#REF!)=IE11,$HB$1,IF(V11+IF(#REF!="",0,#REF!)=GW11,$FT$1,IF(V11+IF(#REF!="",0,#REF!)=FO11,$EL$1,IF(V11+IF(#REF!="",0,#REF!)=EG11,$DD$1)))))))))))))))))))))))))))</f>
        <v/>
      </c>
      <c r="Y11" s="22">
        <v>14.3</v>
      </c>
      <c r="Z11" s="22">
        <v>9.1999999999999993</v>
      </c>
      <c r="AA11" s="22">
        <v>7.6</v>
      </c>
      <c r="AB11" s="22">
        <v>13.62</v>
      </c>
      <c r="AC11" s="22">
        <v>1.2</v>
      </c>
      <c r="AD11" s="22">
        <v>5.6</v>
      </c>
      <c r="AE11" s="22">
        <v>3.5</v>
      </c>
      <c r="AF11" s="22">
        <v>3.9</v>
      </c>
      <c r="AG11" s="22">
        <v>5.52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4"/>
        <v>7.6</v>
      </c>
      <c r="AP11" s="38">
        <f t="shared" si="15"/>
        <v>13.62</v>
      </c>
      <c r="AQ11" s="40">
        <f t="shared" si="16"/>
        <v>43.519999999999996</v>
      </c>
      <c r="AR11" s="40">
        <f t="shared" si="17"/>
        <v>3.9</v>
      </c>
      <c r="AS11" s="40">
        <f t="shared" si="18"/>
        <v>5.52</v>
      </c>
      <c r="AT11" s="40">
        <f t="shared" si="19"/>
        <v>18.52</v>
      </c>
      <c r="AU11" s="40">
        <f t="shared" si="20"/>
        <v>43.519999999999996</v>
      </c>
      <c r="AV11" s="40" t="str">
        <f t="shared" si="21"/>
        <v/>
      </c>
      <c r="AW11" s="40" t="str">
        <f t="shared" si="22"/>
        <v/>
      </c>
      <c r="AX11" s="40" t="str">
        <f t="shared" si="23"/>
        <v/>
      </c>
      <c r="AY11" s="40">
        <f t="shared" si="24"/>
        <v>43.519999999999996</v>
      </c>
      <c r="AZ11" s="26">
        <v>16</v>
      </c>
      <c r="BA11" s="26">
        <v>9</v>
      </c>
      <c r="BB11" s="26">
        <v>8.5</v>
      </c>
      <c r="BC11" s="26">
        <v>13.81</v>
      </c>
      <c r="BD11" s="26">
        <v>0.3</v>
      </c>
      <c r="BE11" s="26">
        <v>13.8</v>
      </c>
      <c r="BF11" s="26">
        <v>8.9</v>
      </c>
      <c r="BG11" s="26">
        <v>8.9</v>
      </c>
      <c r="BH11" s="26">
        <v>14.28</v>
      </c>
      <c r="BI11" s="26">
        <v>0</v>
      </c>
      <c r="BJ11" s="26">
        <v>16.600000000000001</v>
      </c>
      <c r="BK11" s="26">
        <v>8.8000000000000007</v>
      </c>
      <c r="BL11" s="26">
        <v>8.5</v>
      </c>
      <c r="BM11" s="26">
        <v>14.18</v>
      </c>
      <c r="BN11" s="26">
        <v>0.3</v>
      </c>
      <c r="BO11" s="28"/>
      <c r="BP11" s="39">
        <f t="shared" si="25"/>
        <v>8.5</v>
      </c>
      <c r="BQ11" s="39">
        <f t="shared" si="26"/>
        <v>13.81</v>
      </c>
      <c r="BR11" s="11">
        <f t="shared" si="27"/>
        <v>47.010000000000005</v>
      </c>
      <c r="BS11" s="11">
        <f t="shared" si="28"/>
        <v>8.9</v>
      </c>
      <c r="BT11" s="11">
        <f t="shared" si="29"/>
        <v>14.28</v>
      </c>
      <c r="BU11" s="11">
        <f t="shared" si="30"/>
        <v>45.88</v>
      </c>
      <c r="BV11" s="11">
        <f t="shared" si="31"/>
        <v>47.010000000000005</v>
      </c>
      <c r="BW11" s="11">
        <f t="shared" si="32"/>
        <v>8.5</v>
      </c>
      <c r="BX11" s="11">
        <f t="shared" si="33"/>
        <v>14.18</v>
      </c>
      <c r="BY11" s="11">
        <f t="shared" si="34"/>
        <v>47.780000000000008</v>
      </c>
      <c r="BZ11" s="11">
        <f t="shared" si="35"/>
        <v>94.79000000000002</v>
      </c>
      <c r="CA11" s="22">
        <v>15.15</v>
      </c>
      <c r="CB11" s="22">
        <v>9.1</v>
      </c>
      <c r="CC11" s="22">
        <v>8.0500000000000007</v>
      </c>
      <c r="CD11" s="22">
        <v>13.715</v>
      </c>
      <c r="CE11" s="22">
        <v>0.75</v>
      </c>
      <c r="CF11" s="22">
        <v>9.6999999999999993</v>
      </c>
      <c r="CG11" s="22">
        <v>6.2</v>
      </c>
      <c r="CH11" s="22">
        <v>6.4</v>
      </c>
      <c r="CI11" s="22">
        <v>9.8999999999999986</v>
      </c>
      <c r="CJ11" s="22">
        <v>0</v>
      </c>
      <c r="CK11" s="22">
        <v>8.3000000000000007</v>
      </c>
      <c r="CL11" s="22">
        <v>4.4000000000000004</v>
      </c>
      <c r="CM11" s="22">
        <v>4.25</v>
      </c>
      <c r="CN11" s="22">
        <v>7.09</v>
      </c>
      <c r="CO11" s="22">
        <v>0.15</v>
      </c>
      <c r="CP11" s="27" t="s">
        <v>46</v>
      </c>
      <c r="CQ11" s="38">
        <f t="shared" si="36"/>
        <v>8.0500000000000007</v>
      </c>
      <c r="CR11" s="38">
        <f t="shared" si="37"/>
        <v>13.715</v>
      </c>
      <c r="CS11" s="40">
        <f t="shared" si="38"/>
        <v>45.265000000000001</v>
      </c>
      <c r="CT11" s="40">
        <f t="shared" si="39"/>
        <v>6.4</v>
      </c>
      <c r="CU11" s="40">
        <f t="shared" si="40"/>
        <v>9.8999999999999986</v>
      </c>
      <c r="CV11" s="40">
        <f t="shared" si="41"/>
        <v>32.199999999999996</v>
      </c>
      <c r="CW11" s="40">
        <f t="shared" si="42"/>
        <v>45.265000000000001</v>
      </c>
      <c r="CX11" s="40">
        <f t="shared" si="43"/>
        <v>4.25</v>
      </c>
      <c r="CY11" s="40">
        <f t="shared" si="44"/>
        <v>7.09</v>
      </c>
      <c r="CZ11" s="40">
        <f t="shared" si="45"/>
        <v>23.890000000000004</v>
      </c>
      <c r="DA11" s="40">
        <f t="shared" si="46"/>
        <v>69.155000000000001</v>
      </c>
      <c r="DB11" s="50" t="str">
        <f t="shared" si="47"/>
        <v/>
      </c>
      <c r="DC11" s="50" t="str">
        <f t="shared" si="48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49"/>
        <v/>
      </c>
      <c r="DY11" s="40" t="str">
        <f t="shared" si="50"/>
        <v/>
      </c>
      <c r="DZ11" s="40" t="str">
        <f t="shared" si="51"/>
        <v/>
      </c>
      <c r="EA11" s="40" t="str">
        <f t="shared" si="52"/>
        <v/>
      </c>
      <c r="EB11" s="40" t="str">
        <f t="shared" si="53"/>
        <v/>
      </c>
      <c r="EC11" s="40" t="str">
        <f t="shared" si="54"/>
        <v/>
      </c>
      <c r="ED11" s="40" t="str">
        <f t="shared" si="55"/>
        <v/>
      </c>
      <c r="EE11" s="40" t="str">
        <f t="shared" si="56"/>
        <v/>
      </c>
      <c r="EF11" s="40" t="str">
        <f t="shared" si="57"/>
        <v/>
      </c>
      <c r="EG11" s="40" t="str">
        <f t="shared" si="58"/>
        <v/>
      </c>
      <c r="EH11" s="40" t="str">
        <f t="shared" si="59"/>
        <v/>
      </c>
      <c r="EI11" s="40" t="str">
        <f t="shared" si="60"/>
        <v/>
      </c>
      <c r="EJ11" s="40" t="str">
        <f t="shared" si="61"/>
        <v/>
      </c>
      <c r="EK11" s="40" t="str">
        <f t="shared" si="62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3"/>
        <v/>
      </c>
      <c r="FG11" s="11" t="str">
        <f t="shared" si="64"/>
        <v/>
      </c>
      <c r="FH11" s="11" t="str">
        <f t="shared" si="65"/>
        <v/>
      </c>
      <c r="FI11" s="11" t="str">
        <f t="shared" si="66"/>
        <v/>
      </c>
      <c r="FJ11" s="11" t="str">
        <f t="shared" si="67"/>
        <v/>
      </c>
      <c r="FK11" s="11" t="str">
        <f t="shared" si="68"/>
        <v/>
      </c>
      <c r="FL11" s="11" t="str">
        <f t="shared" si="69"/>
        <v/>
      </c>
      <c r="FM11" s="11" t="str">
        <f t="shared" si="70"/>
        <v/>
      </c>
      <c r="FN11" s="11" t="str">
        <f t="shared" si="71"/>
        <v/>
      </c>
      <c r="FO11" s="11" t="str">
        <f t="shared" si="72"/>
        <v/>
      </c>
      <c r="FP11" s="11" t="str">
        <f t="shared" si="73"/>
        <v/>
      </c>
      <c r="FQ11" s="11" t="str">
        <f t="shared" si="74"/>
        <v/>
      </c>
      <c r="FR11" s="11" t="str">
        <f t="shared" si="75"/>
        <v/>
      </c>
      <c r="FS11" s="11" t="str">
        <f t="shared" si="76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7"/>
        <v/>
      </c>
      <c r="GO11" s="40" t="str">
        <f t="shared" si="78"/>
        <v/>
      </c>
      <c r="GP11" s="40" t="str">
        <f t="shared" si="79"/>
        <v/>
      </c>
      <c r="GQ11" s="40" t="str">
        <f t="shared" si="80"/>
        <v/>
      </c>
      <c r="GR11" s="40" t="str">
        <f t="shared" si="81"/>
        <v/>
      </c>
      <c r="GS11" s="40" t="str">
        <f t="shared" si="82"/>
        <v/>
      </c>
      <c r="GT11" s="40" t="str">
        <f t="shared" si="83"/>
        <v/>
      </c>
      <c r="GU11" s="40" t="str">
        <f t="shared" si="84"/>
        <v/>
      </c>
      <c r="GV11" s="40" t="str">
        <f t="shared" si="85"/>
        <v/>
      </c>
      <c r="GW11" s="40" t="str">
        <f t="shared" si="86"/>
        <v/>
      </c>
      <c r="GX11" s="40" t="str">
        <f t="shared" si="87"/>
        <v/>
      </c>
      <c r="GY11" s="40" t="str">
        <f t="shared" si="88"/>
        <v/>
      </c>
      <c r="GZ11" s="40" t="str">
        <f t="shared" si="89"/>
        <v/>
      </c>
      <c r="HA11" s="40" t="str">
        <f t="shared" si="90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1"/>
        <v/>
      </c>
      <c r="HW11" s="11" t="str">
        <f t="shared" si="92"/>
        <v/>
      </c>
      <c r="HX11" s="11" t="str">
        <f t="shared" si="93"/>
        <v/>
      </c>
      <c r="HY11" s="11" t="str">
        <f t="shared" si="94"/>
        <v/>
      </c>
      <c r="HZ11" s="11" t="str">
        <f t="shared" si="95"/>
        <v/>
      </c>
      <c r="IA11" s="11" t="str">
        <f t="shared" si="96"/>
        <v/>
      </c>
      <c r="IB11" s="11" t="str">
        <f t="shared" si="97"/>
        <v/>
      </c>
      <c r="IC11" s="11" t="str">
        <f t="shared" si="98"/>
        <v/>
      </c>
      <c r="ID11" s="11" t="str">
        <f t="shared" si="99"/>
        <v/>
      </c>
      <c r="IE11" s="11" t="str">
        <f t="shared" si="100"/>
        <v/>
      </c>
      <c r="IF11" s="11" t="str">
        <f t="shared" si="101"/>
        <v/>
      </c>
      <c r="IG11" s="11" t="str">
        <f t="shared" si="102"/>
        <v/>
      </c>
      <c r="IH11" s="11" t="str">
        <f t="shared" si="103"/>
        <v/>
      </c>
      <c r="II11" s="11" t="str">
        <f t="shared" si="104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5"/>
        <v/>
      </c>
      <c r="JE11" s="40" t="str">
        <f t="shared" si="106"/>
        <v/>
      </c>
      <c r="JF11" s="40" t="str">
        <f t="shared" si="107"/>
        <v/>
      </c>
      <c r="JG11" s="40" t="str">
        <f t="shared" si="108"/>
        <v/>
      </c>
      <c r="JH11" s="40" t="str">
        <f t="shared" si="109"/>
        <v/>
      </c>
      <c r="JI11" s="40" t="str">
        <f t="shared" si="110"/>
        <v/>
      </c>
      <c r="JJ11" s="40" t="str">
        <f t="shared" si="111"/>
        <v/>
      </c>
      <c r="JK11" s="40" t="str">
        <f t="shared" si="112"/>
        <v/>
      </c>
      <c r="JL11" s="40" t="str">
        <f t="shared" si="113"/>
        <v/>
      </c>
      <c r="JM11" s="40" t="str">
        <f t="shared" si="114"/>
        <v/>
      </c>
      <c r="JN11" s="40" t="str">
        <f t="shared" si="115"/>
        <v/>
      </c>
      <c r="JO11" s="40" t="str">
        <f t="shared" si="116"/>
        <v/>
      </c>
      <c r="JP11" s="40" t="str">
        <f t="shared" si="117"/>
        <v/>
      </c>
      <c r="JQ11" s="40" t="str">
        <f t="shared" si="118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19"/>
        <v/>
      </c>
      <c r="KM11" s="11" t="str">
        <f t="shared" si="120"/>
        <v/>
      </c>
      <c r="KN11" s="11" t="str">
        <f t="shared" si="121"/>
        <v/>
      </c>
      <c r="KO11" s="11" t="str">
        <f t="shared" si="122"/>
        <v/>
      </c>
      <c r="KP11" s="11" t="str">
        <f t="shared" si="123"/>
        <v/>
      </c>
      <c r="KQ11" s="11" t="str">
        <f t="shared" si="124"/>
        <v/>
      </c>
      <c r="KR11" s="11" t="str">
        <f t="shared" si="125"/>
        <v/>
      </c>
      <c r="KS11" s="11" t="str">
        <f t="shared" si="126"/>
        <v/>
      </c>
      <c r="KT11" s="11" t="str">
        <f t="shared" si="127"/>
        <v/>
      </c>
      <c r="KU11" s="11" t="str">
        <f t="shared" si="128"/>
        <v/>
      </c>
      <c r="KV11" s="11" t="str">
        <f t="shared" si="129"/>
        <v/>
      </c>
      <c r="KW11" s="11" t="str">
        <f t="shared" si="130"/>
        <v/>
      </c>
      <c r="KX11" s="11" t="str">
        <f t="shared" si="131"/>
        <v/>
      </c>
      <c r="KY11" s="11" t="str">
        <f t="shared" si="132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3"/>
        <v/>
      </c>
      <c r="LU11" s="40" t="str">
        <f t="shared" si="134"/>
        <v/>
      </c>
      <c r="LV11" s="40" t="str">
        <f t="shared" si="135"/>
        <v/>
      </c>
      <c r="LW11" s="40" t="str">
        <f t="shared" si="136"/>
        <v/>
      </c>
      <c r="LX11" s="40" t="str">
        <f t="shared" si="137"/>
        <v/>
      </c>
      <c r="LY11" s="40" t="str">
        <f t="shared" si="138"/>
        <v/>
      </c>
      <c r="LZ11" s="40" t="str">
        <f t="shared" si="139"/>
        <v/>
      </c>
      <c r="MA11" s="40" t="str">
        <f t="shared" si="140"/>
        <v/>
      </c>
      <c r="MB11" s="40" t="str">
        <f t="shared" si="141"/>
        <v/>
      </c>
      <c r="MC11" s="40" t="str">
        <f t="shared" si="142"/>
        <v/>
      </c>
      <c r="MD11" s="40" t="str">
        <f t="shared" si="143"/>
        <v/>
      </c>
      <c r="ME11" s="40" t="str">
        <f t="shared" si="144"/>
        <v/>
      </c>
      <c r="MF11" s="40" t="str">
        <f t="shared" si="145"/>
        <v/>
      </c>
      <c r="MG11" s="40" t="str">
        <f t="shared" si="146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7"/>
        <v/>
      </c>
      <c r="NC11" s="11" t="str">
        <f t="shared" si="148"/>
        <v/>
      </c>
      <c r="ND11" s="11" t="str">
        <f t="shared" si="149"/>
        <v/>
      </c>
      <c r="NE11" s="11" t="str">
        <f t="shared" si="150"/>
        <v/>
      </c>
      <c r="NF11" s="11" t="str">
        <f t="shared" si="151"/>
        <v/>
      </c>
      <c r="NG11" s="11" t="str">
        <f t="shared" si="152"/>
        <v/>
      </c>
      <c r="NH11" s="11" t="str">
        <f t="shared" si="153"/>
        <v/>
      </c>
      <c r="NI11" s="11" t="str">
        <f t="shared" si="154"/>
        <v/>
      </c>
      <c r="NJ11" s="11" t="str">
        <f t="shared" si="155"/>
        <v/>
      </c>
      <c r="NK11" s="11" t="str">
        <f t="shared" si="156"/>
        <v/>
      </c>
      <c r="NL11" s="11" t="str">
        <f t="shared" si="157"/>
        <v/>
      </c>
      <c r="NM11" s="11" t="str">
        <f t="shared" si="158"/>
        <v/>
      </c>
      <c r="NN11" s="11" t="str">
        <f t="shared" si="159"/>
        <v/>
      </c>
      <c r="NO11" s="11" t="str">
        <f t="shared" si="160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1"/>
        <v/>
      </c>
      <c r="OK11" s="40" t="str">
        <f t="shared" si="162"/>
        <v/>
      </c>
      <c r="OL11" s="40" t="str">
        <f t="shared" si="163"/>
        <v/>
      </c>
      <c r="OM11" s="40" t="str">
        <f t="shared" si="164"/>
        <v/>
      </c>
      <c r="ON11" s="40" t="str">
        <f t="shared" si="165"/>
        <v/>
      </c>
      <c r="OO11" s="40" t="str">
        <f t="shared" si="166"/>
        <v/>
      </c>
      <c r="OP11" s="40" t="str">
        <f t="shared" si="167"/>
        <v/>
      </c>
      <c r="OQ11" s="40" t="str">
        <f t="shared" si="168"/>
        <v/>
      </c>
      <c r="OR11" s="40" t="str">
        <f t="shared" si="169"/>
        <v/>
      </c>
      <c r="OS11" s="40" t="str">
        <f t="shared" si="170"/>
        <v/>
      </c>
      <c r="OT11" s="40" t="str">
        <f t="shared" si="171"/>
        <v/>
      </c>
      <c r="OU11" s="40" t="str">
        <f t="shared" si="172"/>
        <v/>
      </c>
      <c r="OV11" s="40" t="str">
        <f t="shared" si="173"/>
        <v/>
      </c>
      <c r="OW11" s="40" t="str">
        <f t="shared" si="174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5"/>
        <v/>
      </c>
      <c r="PS11" s="11" t="str">
        <f t="shared" si="176"/>
        <v/>
      </c>
      <c r="PT11" s="11" t="str">
        <f t="shared" si="177"/>
        <v/>
      </c>
      <c r="PU11" s="11" t="str">
        <f t="shared" si="178"/>
        <v/>
      </c>
      <c r="PV11" s="11" t="str">
        <f t="shared" si="179"/>
        <v/>
      </c>
      <c r="PW11" s="11" t="str">
        <f t="shared" si="180"/>
        <v/>
      </c>
      <c r="PX11" s="11" t="str">
        <f t="shared" si="181"/>
        <v/>
      </c>
      <c r="PY11" s="11" t="str">
        <f t="shared" si="182"/>
        <v/>
      </c>
      <c r="PZ11" s="11" t="str">
        <f t="shared" si="183"/>
        <v/>
      </c>
      <c r="QA11" s="11" t="str">
        <f t="shared" si="184"/>
        <v/>
      </c>
      <c r="QB11" s="11" t="str">
        <f t="shared" si="185"/>
        <v/>
      </c>
      <c r="QC11" s="11" t="str">
        <f t="shared" si="186"/>
        <v/>
      </c>
      <c r="QD11" s="11" t="str">
        <f t="shared" si="187"/>
        <v/>
      </c>
      <c r="QE11" s="11" t="str">
        <f t="shared" si="188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89"/>
        <v/>
      </c>
      <c r="RA11" s="40" t="str">
        <f t="shared" si="190"/>
        <v/>
      </c>
      <c r="RB11" s="40" t="str">
        <f t="shared" si="191"/>
        <v/>
      </c>
      <c r="RC11" s="40" t="str">
        <f t="shared" si="192"/>
        <v/>
      </c>
      <c r="RD11" s="40" t="str">
        <f t="shared" si="193"/>
        <v/>
      </c>
      <c r="RE11" s="40" t="str">
        <f t="shared" si="194"/>
        <v/>
      </c>
      <c r="RF11" s="40" t="str">
        <f t="shared" si="195"/>
        <v/>
      </c>
      <c r="RG11" s="40" t="str">
        <f t="shared" si="196"/>
        <v/>
      </c>
      <c r="RH11" s="40" t="str">
        <f t="shared" si="197"/>
        <v/>
      </c>
      <c r="RI11" s="40" t="str">
        <f t="shared" si="198"/>
        <v/>
      </c>
      <c r="RJ11" s="40" t="str">
        <f t="shared" si="199"/>
        <v/>
      </c>
      <c r="RK11" s="40" t="str">
        <f t="shared" si="200"/>
        <v/>
      </c>
      <c r="RL11" s="40" t="str">
        <f t="shared" si="201"/>
        <v/>
      </c>
      <c r="RM11" s="40" t="str">
        <f t="shared" si="202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3"/>
        <v/>
      </c>
      <c r="SI11" s="11" t="str">
        <f t="shared" si="204"/>
        <v/>
      </c>
      <c r="SJ11" s="11" t="str">
        <f t="shared" si="205"/>
        <v/>
      </c>
      <c r="SK11" s="11" t="str">
        <f t="shared" si="206"/>
        <v/>
      </c>
      <c r="SL11" s="11" t="str">
        <f t="shared" si="207"/>
        <v/>
      </c>
      <c r="SM11" s="11" t="str">
        <f t="shared" si="208"/>
        <v/>
      </c>
      <c r="SN11" s="11" t="str">
        <f t="shared" si="209"/>
        <v/>
      </c>
      <c r="SO11" s="11" t="str">
        <f t="shared" si="210"/>
        <v/>
      </c>
      <c r="SP11" s="11" t="str">
        <f t="shared" si="211"/>
        <v/>
      </c>
      <c r="SQ11" s="11" t="str">
        <f t="shared" si="212"/>
        <v/>
      </c>
      <c r="SR11" s="11" t="str">
        <f t="shared" si="213"/>
        <v/>
      </c>
      <c r="SS11" s="11" t="str">
        <f t="shared" si="214"/>
        <v/>
      </c>
      <c r="ST11" s="11" t="str">
        <f t="shared" si="215"/>
        <v/>
      </c>
      <c r="SU11" s="11" t="str">
        <f t="shared" si="216"/>
        <v/>
      </c>
      <c r="SV11" s="22">
        <f t="shared" si="217"/>
        <v>15.15</v>
      </c>
      <c r="SW11" s="22">
        <f t="shared" si="218"/>
        <v>9.1</v>
      </c>
      <c r="SX11" s="22">
        <f t="shared" si="219"/>
        <v>8.0500000000000007</v>
      </c>
      <c r="SY11" s="22">
        <f t="shared" si="220"/>
        <v>13.715</v>
      </c>
      <c r="SZ11" s="22">
        <f t="shared" si="221"/>
        <v>0.75</v>
      </c>
      <c r="TA11" s="22">
        <f t="shared" si="222"/>
        <v>9.6999999999999993</v>
      </c>
      <c r="TB11" s="22">
        <f t="shared" si="223"/>
        <v>6.2</v>
      </c>
      <c r="TC11" s="22">
        <f t="shared" si="224"/>
        <v>6.4</v>
      </c>
      <c r="TD11" s="22">
        <f t="shared" si="225"/>
        <v>9.8999999999999986</v>
      </c>
      <c r="TE11" s="22">
        <f t="shared" si="226"/>
        <v>0</v>
      </c>
      <c r="TF11" s="22">
        <f t="shared" si="227"/>
        <v>8.3000000000000007</v>
      </c>
      <c r="TG11" s="22">
        <f t="shared" si="228"/>
        <v>4.4000000000000004</v>
      </c>
      <c r="TH11" s="22">
        <f t="shared" si="229"/>
        <v>4.25</v>
      </c>
      <c r="TI11" s="22">
        <f t="shared" si="230"/>
        <v>7.09</v>
      </c>
      <c r="TJ11" s="22">
        <f t="shared" si="231"/>
        <v>0.15</v>
      </c>
      <c r="TK11" s="27" t="s">
        <v>46</v>
      </c>
      <c r="TL11" s="40">
        <f t="shared" si="232"/>
        <v>8.0500000000000007</v>
      </c>
      <c r="TM11" s="40">
        <f t="shared" si="233"/>
        <v>13.715</v>
      </c>
      <c r="TN11" s="40">
        <f t="shared" si="234"/>
        <v>45.265000000000001</v>
      </c>
      <c r="TO11" s="40">
        <f t="shared" si="235"/>
        <v>6.4</v>
      </c>
      <c r="TP11" s="40">
        <f t="shared" si="236"/>
        <v>9.8999999999999986</v>
      </c>
      <c r="TQ11" s="40">
        <f t="shared" si="237"/>
        <v>32.199999999999996</v>
      </c>
      <c r="TR11" s="40">
        <f t="shared" si="238"/>
        <v>45.265000000000001</v>
      </c>
      <c r="TS11" s="40">
        <f t="shared" si="239"/>
        <v>4.25</v>
      </c>
      <c r="TT11" s="40">
        <f t="shared" si="240"/>
        <v>7.09</v>
      </c>
      <c r="TU11" s="40">
        <f t="shared" si="241"/>
        <v>23.890000000000004</v>
      </c>
      <c r="TV11" s="40">
        <f t="shared" si="242"/>
        <v>69.155000000000001</v>
      </c>
    </row>
    <row r="12" spans="1:542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139</v>
      </c>
      <c r="D12" s="4" t="s">
        <v>4</v>
      </c>
      <c r="E12" s="4">
        <v>2005</v>
      </c>
      <c r="F12" s="9">
        <f t="shared" si="0"/>
        <v>149.32001493200482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48.150000000000006</v>
      </c>
      <c r="M12" s="8" t="str">
        <f t="shared" si="5"/>
        <v>2023 Nationals</v>
      </c>
      <c r="N12" s="8">
        <f>IF(COUNT(AQ12,AT12,BR12,BU12,CS12,CV12)&gt;1,LARGE((AQ12,AT12,BR12,BU12,CS12,CV12),2),0)</f>
        <v>45.89</v>
      </c>
      <c r="O12" s="8" t="str">
        <f t="shared" si="6"/>
        <v>2023 Nationals</v>
      </c>
      <c r="P12" s="8">
        <f>IF(COUNT(AQ12,AT12,BR12,BU12,CS12,CV12)&gt;2,MAX(AX12,BY12,CZ12,LARGE((AQ12,AT12,BR12,BU12,CS12,CV12),3)),IF(MAX(AX12,BY12,CZ12)&gt;0,MAX(AX12,BY12,CZ12),0))</f>
        <v>46.780000000000008</v>
      </c>
      <c r="Q12" s="8" t="str">
        <f t="shared" si="7"/>
        <v>2023 Nationals</v>
      </c>
      <c r="R12" s="8">
        <f t="shared" si="8"/>
        <v>8.5</v>
      </c>
      <c r="S12" s="8" t="str">
        <f t="shared" si="9"/>
        <v>2023 Nationals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>IF(V12="","",IF(V12=DB12,IF(V12+IF(P12="",0,P12)=SN12,$RN$1,IF(V12+IF(P12="",0,P12)=RF12,$QF$1,IF(V12+IF(P12="",0,P12)=PX12,$OX$1,IF(V12+IF(P12="",0,P12)=OP12,$NP$1,IF(V12+IF(P12="",0,P12)=NH12,$MH$1,IF(V12+IF(P12="",0,P12)=LZ12,$KZ$1,IF(V12+IF(P12="",0,P12)=KR12,$JR$1,IF(V12+IF(P12="",0,P12)=JJ12,$IJ$1,IF(V12+IF(P12="",0,P12)=IB12,$HB$1,IF(V12+IF(P12="",0,P12)=GT12,$FT$1,IF(V12+IF(P12="",0,P12)=FL12,$EL$1,IF(V12+IF(P12="",0,P12)=ED12,$DD$1)))))))))))),IF(V12=DC12,IF(V12+IF(#REF!="",0,#REF!)=ST12,$RN$1,IF(V12+IF(#REF!="",0,#REF!)=RL12,$QF$1,IF(V12+IF(#REF!="",0,#REF!)=QD12,$OX$1,IF(V12+IF(#REF!="",0,#REF!)=OV12,$NP$1,IF(V12+IF(#REF!="",0,#REF!)=NN12,$MH$1,IF(V12+IF(#REF!="",0,#REF!)=MF12,$KZ$1,IF(V12+IF(#REF!="",0,#REF!)=KX12,$JR$1,IF(V12+IF(#REF!="",0,#REF!)=JP12,$IJ$1,IF(V12+IF(#REF!="",0,#REF!)=IH12,$HB$1,IF(V12+IF(#REF!="",0,#REF!)=GZ12,$FT$1,IF(V12+IF(#REF!="",0,#REF!)=FR12,$EL$1,IF(V12+IF(#REF!="",0,#REF!)=EJ12,$DD$1,IF(V12+IF(#REF!="",0,#REF!)=SQ12,$RN$1,IF(V12+IF(#REF!="",0,#REF!)=RI12,$QF$1,IF(V12+IF(#REF!="",0,#REF!)=QA12,$OX$1,IF(V12+IF(#REF!="",0,#REF!)=OS12,$NP$1,IF(V12+IF(#REF!="",0,#REF!)=NK12,$MH$1,IF(V12+IF(#REF!="",0,#REF!)=MC12,$KZ$1,IF(V12+IF(#REF!="",0,#REF!)=KU12,$JR$1,IF(V12+IF(#REF!="",0,#REF!)=JM12,$IJ$1,IF(V12+IF(#REF!="",0,#REF!)=IE12,$HB$1,IF(V12+IF(#REF!="",0,#REF!)=GW12,$FT$1,IF(V12+IF(#REF!="",0,#REF!)=FO12,$EL$1,IF(V12+IF(#REF!="",0,#REF!)=EG12,$DD$1)))))))))))))))))))))))))))</f>
        <v/>
      </c>
      <c r="Y12" s="22">
        <v>1.3</v>
      </c>
      <c r="Z12" s="22">
        <v>1</v>
      </c>
      <c r="AA12" s="22">
        <v>1.5</v>
      </c>
      <c r="AB12" s="22">
        <v>1.45</v>
      </c>
      <c r="AC12" s="22">
        <v>0</v>
      </c>
      <c r="AD12" s="22">
        <v>1.2</v>
      </c>
      <c r="AE12" s="22">
        <v>1</v>
      </c>
      <c r="AF12" s="22">
        <v>1.5</v>
      </c>
      <c r="AG12" s="22">
        <v>1.45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4"/>
        <v>1.5</v>
      </c>
      <c r="AP12" s="38">
        <f t="shared" si="15"/>
        <v>1.45</v>
      </c>
      <c r="AQ12" s="40">
        <f t="shared" si="16"/>
        <v>5.25</v>
      </c>
      <c r="AR12" s="40">
        <f t="shared" si="17"/>
        <v>1.5</v>
      </c>
      <c r="AS12" s="40">
        <f t="shared" si="18"/>
        <v>1.45</v>
      </c>
      <c r="AT12" s="40">
        <f t="shared" si="19"/>
        <v>5.15</v>
      </c>
      <c r="AU12" s="40">
        <f t="shared" si="20"/>
        <v>5.25</v>
      </c>
      <c r="AV12" s="40" t="str">
        <f t="shared" si="21"/>
        <v/>
      </c>
      <c r="AW12" s="40" t="str">
        <f t="shared" si="22"/>
        <v/>
      </c>
      <c r="AX12" s="40" t="str">
        <f t="shared" si="23"/>
        <v/>
      </c>
      <c r="AY12" s="40">
        <f t="shared" si="24"/>
        <v>5.25</v>
      </c>
      <c r="AZ12" s="26">
        <v>14.9</v>
      </c>
      <c r="BA12" s="26">
        <v>9.5</v>
      </c>
      <c r="BB12" s="26">
        <v>8.3000000000000007</v>
      </c>
      <c r="BC12" s="26">
        <v>13.89</v>
      </c>
      <c r="BD12" s="26">
        <v>0.7</v>
      </c>
      <c r="BE12" s="26">
        <v>16.100000000000001</v>
      </c>
      <c r="BF12" s="26">
        <v>9.8000000000000007</v>
      </c>
      <c r="BG12" s="26">
        <v>8.5</v>
      </c>
      <c r="BH12" s="26">
        <v>14.25</v>
      </c>
      <c r="BI12" s="26">
        <v>0.5</v>
      </c>
      <c r="BJ12" s="26">
        <v>15.4</v>
      </c>
      <c r="BK12" s="26">
        <v>9.3000000000000007</v>
      </c>
      <c r="BL12" s="26">
        <v>8.5</v>
      </c>
      <c r="BM12" s="26">
        <v>13.88</v>
      </c>
      <c r="BN12" s="26">
        <v>0.3</v>
      </c>
      <c r="BO12" s="28"/>
      <c r="BP12" s="39">
        <f t="shared" si="25"/>
        <v>8.3000000000000007</v>
      </c>
      <c r="BQ12" s="39">
        <f t="shared" si="26"/>
        <v>13.89</v>
      </c>
      <c r="BR12" s="11">
        <f t="shared" si="27"/>
        <v>45.89</v>
      </c>
      <c r="BS12" s="11">
        <f t="shared" si="28"/>
        <v>8.5</v>
      </c>
      <c r="BT12" s="11">
        <f t="shared" si="29"/>
        <v>14.25</v>
      </c>
      <c r="BU12" s="11">
        <f t="shared" si="30"/>
        <v>48.150000000000006</v>
      </c>
      <c r="BV12" s="11">
        <f t="shared" si="31"/>
        <v>48.150000000000006</v>
      </c>
      <c r="BW12" s="11">
        <f t="shared" si="32"/>
        <v>8.5</v>
      </c>
      <c r="BX12" s="11">
        <f t="shared" si="33"/>
        <v>13.88</v>
      </c>
      <c r="BY12" s="11">
        <f t="shared" si="34"/>
        <v>46.780000000000008</v>
      </c>
      <c r="BZ12" s="11">
        <f t="shared" si="35"/>
        <v>94.93</v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6"/>
        <v/>
      </c>
      <c r="CR12" s="38" t="str">
        <f t="shared" si="37"/>
        <v/>
      </c>
      <c r="CS12" s="40" t="str">
        <f t="shared" si="38"/>
        <v/>
      </c>
      <c r="CT12" s="40" t="str">
        <f t="shared" si="39"/>
        <v/>
      </c>
      <c r="CU12" s="40" t="str">
        <f t="shared" si="40"/>
        <v/>
      </c>
      <c r="CV12" s="40" t="str">
        <f t="shared" si="41"/>
        <v/>
      </c>
      <c r="CW12" s="40" t="str">
        <f t="shared" si="42"/>
        <v/>
      </c>
      <c r="CX12" s="40" t="str">
        <f t="shared" si="43"/>
        <v/>
      </c>
      <c r="CY12" s="40" t="str">
        <f t="shared" si="44"/>
        <v/>
      </c>
      <c r="CZ12" s="40" t="str">
        <f t="shared" si="45"/>
        <v/>
      </c>
      <c r="DA12" s="40" t="str">
        <f t="shared" si="46"/>
        <v/>
      </c>
      <c r="DB12" s="50" t="str">
        <f t="shared" si="47"/>
        <v/>
      </c>
      <c r="DC12" s="50" t="str">
        <f t="shared" si="48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49"/>
        <v/>
      </c>
      <c r="DY12" s="40" t="str">
        <f t="shared" si="50"/>
        <v/>
      </c>
      <c r="DZ12" s="40" t="str">
        <f t="shared" si="51"/>
        <v/>
      </c>
      <c r="EA12" s="40" t="str">
        <f t="shared" si="52"/>
        <v/>
      </c>
      <c r="EB12" s="40" t="str">
        <f t="shared" si="53"/>
        <v/>
      </c>
      <c r="EC12" s="40" t="str">
        <f t="shared" si="54"/>
        <v/>
      </c>
      <c r="ED12" s="40" t="str">
        <f t="shared" si="55"/>
        <v/>
      </c>
      <c r="EE12" s="40" t="str">
        <f t="shared" si="56"/>
        <v/>
      </c>
      <c r="EF12" s="40" t="str">
        <f t="shared" si="57"/>
        <v/>
      </c>
      <c r="EG12" s="40" t="str">
        <f t="shared" si="58"/>
        <v/>
      </c>
      <c r="EH12" s="40" t="str">
        <f t="shared" si="59"/>
        <v/>
      </c>
      <c r="EI12" s="40" t="str">
        <f t="shared" si="60"/>
        <v/>
      </c>
      <c r="EJ12" s="40" t="str">
        <f t="shared" si="61"/>
        <v/>
      </c>
      <c r="EK12" s="40" t="str">
        <f t="shared" si="62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3"/>
        <v/>
      </c>
      <c r="FG12" s="11" t="str">
        <f t="shared" si="64"/>
        <v/>
      </c>
      <c r="FH12" s="11" t="str">
        <f t="shared" si="65"/>
        <v/>
      </c>
      <c r="FI12" s="11" t="str">
        <f t="shared" si="66"/>
        <v/>
      </c>
      <c r="FJ12" s="11" t="str">
        <f t="shared" si="67"/>
        <v/>
      </c>
      <c r="FK12" s="11" t="str">
        <f t="shared" si="68"/>
        <v/>
      </c>
      <c r="FL12" s="11" t="str">
        <f t="shared" si="69"/>
        <v/>
      </c>
      <c r="FM12" s="11" t="str">
        <f t="shared" si="70"/>
        <v/>
      </c>
      <c r="FN12" s="11" t="str">
        <f t="shared" si="71"/>
        <v/>
      </c>
      <c r="FO12" s="11" t="str">
        <f t="shared" si="72"/>
        <v/>
      </c>
      <c r="FP12" s="11" t="str">
        <f t="shared" si="73"/>
        <v/>
      </c>
      <c r="FQ12" s="11" t="str">
        <f t="shared" si="74"/>
        <v/>
      </c>
      <c r="FR12" s="11" t="str">
        <f t="shared" si="75"/>
        <v/>
      </c>
      <c r="FS12" s="11" t="str">
        <f t="shared" si="76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7"/>
        <v/>
      </c>
      <c r="GO12" s="40" t="str">
        <f t="shared" si="78"/>
        <v/>
      </c>
      <c r="GP12" s="40" t="str">
        <f t="shared" si="79"/>
        <v/>
      </c>
      <c r="GQ12" s="40" t="str">
        <f t="shared" si="80"/>
        <v/>
      </c>
      <c r="GR12" s="40" t="str">
        <f t="shared" si="81"/>
        <v/>
      </c>
      <c r="GS12" s="40" t="str">
        <f t="shared" si="82"/>
        <v/>
      </c>
      <c r="GT12" s="40" t="str">
        <f t="shared" si="83"/>
        <v/>
      </c>
      <c r="GU12" s="40" t="str">
        <f t="shared" si="84"/>
        <v/>
      </c>
      <c r="GV12" s="40" t="str">
        <f t="shared" si="85"/>
        <v/>
      </c>
      <c r="GW12" s="40" t="str">
        <f t="shared" si="86"/>
        <v/>
      </c>
      <c r="GX12" s="40" t="str">
        <f t="shared" si="87"/>
        <v/>
      </c>
      <c r="GY12" s="40" t="str">
        <f t="shared" si="88"/>
        <v/>
      </c>
      <c r="GZ12" s="40" t="str">
        <f t="shared" si="89"/>
        <v/>
      </c>
      <c r="HA12" s="40" t="str">
        <f t="shared" si="90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1"/>
        <v/>
      </c>
      <c r="HW12" s="11" t="str">
        <f t="shared" si="92"/>
        <v/>
      </c>
      <c r="HX12" s="11" t="str">
        <f t="shared" si="93"/>
        <v/>
      </c>
      <c r="HY12" s="11" t="str">
        <f t="shared" si="94"/>
        <v/>
      </c>
      <c r="HZ12" s="11" t="str">
        <f t="shared" si="95"/>
        <v/>
      </c>
      <c r="IA12" s="11" t="str">
        <f t="shared" si="96"/>
        <v/>
      </c>
      <c r="IB12" s="11" t="str">
        <f t="shared" si="97"/>
        <v/>
      </c>
      <c r="IC12" s="11" t="str">
        <f t="shared" si="98"/>
        <v/>
      </c>
      <c r="ID12" s="11" t="str">
        <f t="shared" si="99"/>
        <v/>
      </c>
      <c r="IE12" s="11" t="str">
        <f t="shared" si="100"/>
        <v/>
      </c>
      <c r="IF12" s="11" t="str">
        <f t="shared" si="101"/>
        <v/>
      </c>
      <c r="IG12" s="11" t="str">
        <f t="shared" si="102"/>
        <v/>
      </c>
      <c r="IH12" s="11" t="str">
        <f t="shared" si="103"/>
        <v/>
      </c>
      <c r="II12" s="11" t="str">
        <f t="shared" si="104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5"/>
        <v/>
      </c>
      <c r="JE12" s="40" t="str">
        <f t="shared" si="106"/>
        <v/>
      </c>
      <c r="JF12" s="40" t="str">
        <f t="shared" si="107"/>
        <v/>
      </c>
      <c r="JG12" s="40" t="str">
        <f t="shared" si="108"/>
        <v/>
      </c>
      <c r="JH12" s="40" t="str">
        <f t="shared" si="109"/>
        <v/>
      </c>
      <c r="JI12" s="40" t="str">
        <f t="shared" si="110"/>
        <v/>
      </c>
      <c r="JJ12" s="40" t="str">
        <f t="shared" si="111"/>
        <v/>
      </c>
      <c r="JK12" s="40" t="str">
        <f t="shared" si="112"/>
        <v/>
      </c>
      <c r="JL12" s="40" t="str">
        <f t="shared" si="113"/>
        <v/>
      </c>
      <c r="JM12" s="40" t="str">
        <f t="shared" si="114"/>
        <v/>
      </c>
      <c r="JN12" s="40" t="str">
        <f t="shared" si="115"/>
        <v/>
      </c>
      <c r="JO12" s="40" t="str">
        <f t="shared" si="116"/>
        <v/>
      </c>
      <c r="JP12" s="40" t="str">
        <f t="shared" si="117"/>
        <v/>
      </c>
      <c r="JQ12" s="40" t="str">
        <f t="shared" si="118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19"/>
        <v/>
      </c>
      <c r="KM12" s="11" t="str">
        <f t="shared" si="120"/>
        <v/>
      </c>
      <c r="KN12" s="11" t="str">
        <f t="shared" si="121"/>
        <v/>
      </c>
      <c r="KO12" s="11" t="str">
        <f t="shared" si="122"/>
        <v/>
      </c>
      <c r="KP12" s="11" t="str">
        <f t="shared" si="123"/>
        <v/>
      </c>
      <c r="KQ12" s="11" t="str">
        <f t="shared" si="124"/>
        <v/>
      </c>
      <c r="KR12" s="11" t="str">
        <f t="shared" si="125"/>
        <v/>
      </c>
      <c r="KS12" s="11" t="str">
        <f t="shared" si="126"/>
        <v/>
      </c>
      <c r="KT12" s="11" t="str">
        <f t="shared" si="127"/>
        <v/>
      </c>
      <c r="KU12" s="11" t="str">
        <f t="shared" si="128"/>
        <v/>
      </c>
      <c r="KV12" s="11" t="str">
        <f t="shared" si="129"/>
        <v/>
      </c>
      <c r="KW12" s="11" t="str">
        <f t="shared" si="130"/>
        <v/>
      </c>
      <c r="KX12" s="11" t="str">
        <f t="shared" si="131"/>
        <v/>
      </c>
      <c r="KY12" s="11" t="str">
        <f t="shared" si="132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3"/>
        <v/>
      </c>
      <c r="LU12" s="40" t="str">
        <f t="shared" si="134"/>
        <v/>
      </c>
      <c r="LV12" s="40" t="str">
        <f t="shared" si="135"/>
        <v/>
      </c>
      <c r="LW12" s="40" t="str">
        <f t="shared" si="136"/>
        <v/>
      </c>
      <c r="LX12" s="40" t="str">
        <f t="shared" si="137"/>
        <v/>
      </c>
      <c r="LY12" s="40" t="str">
        <f t="shared" si="138"/>
        <v/>
      </c>
      <c r="LZ12" s="40" t="str">
        <f t="shared" si="139"/>
        <v/>
      </c>
      <c r="MA12" s="40" t="str">
        <f t="shared" si="140"/>
        <v/>
      </c>
      <c r="MB12" s="40" t="str">
        <f t="shared" si="141"/>
        <v/>
      </c>
      <c r="MC12" s="40" t="str">
        <f t="shared" si="142"/>
        <v/>
      </c>
      <c r="MD12" s="40" t="str">
        <f t="shared" si="143"/>
        <v/>
      </c>
      <c r="ME12" s="40" t="str">
        <f t="shared" si="144"/>
        <v/>
      </c>
      <c r="MF12" s="40" t="str">
        <f t="shared" si="145"/>
        <v/>
      </c>
      <c r="MG12" s="40" t="str">
        <f t="shared" si="146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7"/>
        <v/>
      </c>
      <c r="NC12" s="11" t="str">
        <f t="shared" si="148"/>
        <v/>
      </c>
      <c r="ND12" s="11" t="str">
        <f t="shared" si="149"/>
        <v/>
      </c>
      <c r="NE12" s="11" t="str">
        <f t="shared" si="150"/>
        <v/>
      </c>
      <c r="NF12" s="11" t="str">
        <f t="shared" si="151"/>
        <v/>
      </c>
      <c r="NG12" s="11" t="str">
        <f t="shared" si="152"/>
        <v/>
      </c>
      <c r="NH12" s="11" t="str">
        <f t="shared" si="153"/>
        <v/>
      </c>
      <c r="NI12" s="11" t="str">
        <f t="shared" si="154"/>
        <v/>
      </c>
      <c r="NJ12" s="11" t="str">
        <f t="shared" si="155"/>
        <v/>
      </c>
      <c r="NK12" s="11" t="str">
        <f t="shared" si="156"/>
        <v/>
      </c>
      <c r="NL12" s="11" t="str">
        <f t="shared" si="157"/>
        <v/>
      </c>
      <c r="NM12" s="11" t="str">
        <f t="shared" si="158"/>
        <v/>
      </c>
      <c r="NN12" s="11" t="str">
        <f t="shared" si="159"/>
        <v/>
      </c>
      <c r="NO12" s="11" t="str">
        <f t="shared" si="160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1"/>
        <v/>
      </c>
      <c r="OK12" s="40" t="str">
        <f t="shared" si="162"/>
        <v/>
      </c>
      <c r="OL12" s="40" t="str">
        <f t="shared" si="163"/>
        <v/>
      </c>
      <c r="OM12" s="40" t="str">
        <f t="shared" si="164"/>
        <v/>
      </c>
      <c r="ON12" s="40" t="str">
        <f t="shared" si="165"/>
        <v/>
      </c>
      <c r="OO12" s="40" t="str">
        <f t="shared" si="166"/>
        <v/>
      </c>
      <c r="OP12" s="40" t="str">
        <f t="shared" si="167"/>
        <v/>
      </c>
      <c r="OQ12" s="40" t="str">
        <f t="shared" si="168"/>
        <v/>
      </c>
      <c r="OR12" s="40" t="str">
        <f t="shared" si="169"/>
        <v/>
      </c>
      <c r="OS12" s="40" t="str">
        <f t="shared" si="170"/>
        <v/>
      </c>
      <c r="OT12" s="40" t="str">
        <f t="shared" si="171"/>
        <v/>
      </c>
      <c r="OU12" s="40" t="str">
        <f t="shared" si="172"/>
        <v/>
      </c>
      <c r="OV12" s="40" t="str">
        <f t="shared" si="173"/>
        <v/>
      </c>
      <c r="OW12" s="40" t="str">
        <f t="shared" si="174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5"/>
        <v/>
      </c>
      <c r="PS12" s="11" t="str">
        <f t="shared" si="176"/>
        <v/>
      </c>
      <c r="PT12" s="11" t="str">
        <f t="shared" si="177"/>
        <v/>
      </c>
      <c r="PU12" s="11" t="str">
        <f t="shared" si="178"/>
        <v/>
      </c>
      <c r="PV12" s="11" t="str">
        <f t="shared" si="179"/>
        <v/>
      </c>
      <c r="PW12" s="11" t="str">
        <f t="shared" si="180"/>
        <v/>
      </c>
      <c r="PX12" s="11" t="str">
        <f t="shared" si="181"/>
        <v/>
      </c>
      <c r="PY12" s="11" t="str">
        <f t="shared" si="182"/>
        <v/>
      </c>
      <c r="PZ12" s="11" t="str">
        <f t="shared" si="183"/>
        <v/>
      </c>
      <c r="QA12" s="11" t="str">
        <f t="shared" si="184"/>
        <v/>
      </c>
      <c r="QB12" s="11" t="str">
        <f t="shared" si="185"/>
        <v/>
      </c>
      <c r="QC12" s="11" t="str">
        <f t="shared" si="186"/>
        <v/>
      </c>
      <c r="QD12" s="11" t="str">
        <f t="shared" si="187"/>
        <v/>
      </c>
      <c r="QE12" s="11" t="str">
        <f t="shared" si="188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89"/>
        <v/>
      </c>
      <c r="RA12" s="40" t="str">
        <f t="shared" si="190"/>
        <v/>
      </c>
      <c r="RB12" s="40" t="str">
        <f t="shared" si="191"/>
        <v/>
      </c>
      <c r="RC12" s="40" t="str">
        <f t="shared" si="192"/>
        <v/>
      </c>
      <c r="RD12" s="40" t="str">
        <f t="shared" si="193"/>
        <v/>
      </c>
      <c r="RE12" s="40" t="str">
        <f t="shared" si="194"/>
        <v/>
      </c>
      <c r="RF12" s="40" t="str">
        <f t="shared" si="195"/>
        <v/>
      </c>
      <c r="RG12" s="40" t="str">
        <f t="shared" si="196"/>
        <v/>
      </c>
      <c r="RH12" s="40" t="str">
        <f t="shared" si="197"/>
        <v/>
      </c>
      <c r="RI12" s="40" t="str">
        <f t="shared" si="198"/>
        <v/>
      </c>
      <c r="RJ12" s="40" t="str">
        <f t="shared" si="199"/>
        <v/>
      </c>
      <c r="RK12" s="40" t="str">
        <f t="shared" si="200"/>
        <v/>
      </c>
      <c r="RL12" s="40" t="str">
        <f t="shared" si="201"/>
        <v/>
      </c>
      <c r="RM12" s="40" t="str">
        <f t="shared" si="202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3"/>
        <v/>
      </c>
      <c r="SI12" s="11" t="str">
        <f t="shared" si="204"/>
        <v/>
      </c>
      <c r="SJ12" s="11" t="str">
        <f t="shared" si="205"/>
        <v/>
      </c>
      <c r="SK12" s="11" t="str">
        <f t="shared" si="206"/>
        <v/>
      </c>
      <c r="SL12" s="11" t="str">
        <f t="shared" si="207"/>
        <v/>
      </c>
      <c r="SM12" s="11" t="str">
        <f t="shared" si="208"/>
        <v/>
      </c>
      <c r="SN12" s="11" t="str">
        <f t="shared" si="209"/>
        <v/>
      </c>
      <c r="SO12" s="11" t="str">
        <f t="shared" si="210"/>
        <v/>
      </c>
      <c r="SP12" s="11" t="str">
        <f t="shared" si="211"/>
        <v/>
      </c>
      <c r="SQ12" s="11" t="str">
        <f t="shared" si="212"/>
        <v/>
      </c>
      <c r="SR12" s="11" t="str">
        <f t="shared" si="213"/>
        <v/>
      </c>
      <c r="SS12" s="11" t="str">
        <f t="shared" si="214"/>
        <v/>
      </c>
      <c r="ST12" s="11" t="str">
        <f t="shared" si="215"/>
        <v/>
      </c>
      <c r="SU12" s="11" t="str">
        <f t="shared" si="216"/>
        <v/>
      </c>
      <c r="SV12" s="22">
        <f t="shared" si="217"/>
        <v>7.45</v>
      </c>
      <c r="SW12" s="22">
        <f t="shared" si="218"/>
        <v>4.75</v>
      </c>
      <c r="SX12" s="22">
        <f t="shared" si="219"/>
        <v>4.1500000000000004</v>
      </c>
      <c r="SY12" s="22">
        <f t="shared" si="220"/>
        <v>6.9450000000000003</v>
      </c>
      <c r="SZ12" s="22">
        <f t="shared" si="221"/>
        <v>0.35</v>
      </c>
      <c r="TA12" s="22">
        <f t="shared" si="222"/>
        <v>8.0500000000000007</v>
      </c>
      <c r="TB12" s="22">
        <f t="shared" si="223"/>
        <v>4.9000000000000004</v>
      </c>
      <c r="TC12" s="22">
        <f t="shared" si="224"/>
        <v>4.25</v>
      </c>
      <c r="TD12" s="22">
        <f t="shared" si="225"/>
        <v>7.125</v>
      </c>
      <c r="TE12" s="22">
        <f t="shared" si="226"/>
        <v>0.25</v>
      </c>
      <c r="TF12" s="22">
        <f t="shared" si="227"/>
        <v>7.7</v>
      </c>
      <c r="TG12" s="22">
        <f t="shared" si="228"/>
        <v>4.6500000000000004</v>
      </c>
      <c r="TH12" s="22">
        <f t="shared" si="229"/>
        <v>4.25</v>
      </c>
      <c r="TI12" s="22">
        <f t="shared" si="230"/>
        <v>6.94</v>
      </c>
      <c r="TJ12" s="22">
        <f t="shared" si="231"/>
        <v>0.15</v>
      </c>
      <c r="TK12" s="27" t="s">
        <v>46</v>
      </c>
      <c r="TL12" s="40">
        <f t="shared" si="232"/>
        <v>4.1500000000000004</v>
      </c>
      <c r="TM12" s="40">
        <f t="shared" si="233"/>
        <v>6.9450000000000003</v>
      </c>
      <c r="TN12" s="40">
        <f t="shared" si="234"/>
        <v>22.945</v>
      </c>
      <c r="TO12" s="40">
        <f t="shared" si="235"/>
        <v>4.25</v>
      </c>
      <c r="TP12" s="40">
        <f t="shared" si="236"/>
        <v>7.125</v>
      </c>
      <c r="TQ12" s="40">
        <f t="shared" si="237"/>
        <v>24.075000000000003</v>
      </c>
      <c r="TR12" s="40">
        <f t="shared" si="238"/>
        <v>24.075000000000003</v>
      </c>
      <c r="TS12" s="40">
        <f t="shared" si="239"/>
        <v>4.25</v>
      </c>
      <c r="TT12" s="40">
        <f t="shared" si="240"/>
        <v>6.94</v>
      </c>
      <c r="TU12" s="40">
        <f t="shared" si="241"/>
        <v>23.390000000000004</v>
      </c>
      <c r="TV12" s="40">
        <f t="shared" si="242"/>
        <v>47.465000000000003</v>
      </c>
    </row>
    <row r="13" spans="1:542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146</v>
      </c>
      <c r="D13" s="4" t="s">
        <v>4</v>
      </c>
      <c r="E13" s="4">
        <v>2004</v>
      </c>
      <c r="F13" s="9">
        <f t="shared" si="0"/>
        <v>146.39001463900451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45.25</v>
      </c>
      <c r="M13" s="8" t="str">
        <f t="shared" si="5"/>
        <v>2023 3rd Domestic Trial</v>
      </c>
      <c r="N13" s="8">
        <f>IF(COUNT(AQ13,AT13,BR13,BU13,CS13,CV13)&gt;1,LARGE((AQ13,AT13,BR13,BU13,CS13,CV13),2),0)</f>
        <v>44.89</v>
      </c>
      <c r="O13" s="8" t="str">
        <f t="shared" si="6"/>
        <v>2023 Elite Canada</v>
      </c>
      <c r="P13" s="8">
        <f>IF(COUNT(AQ13,AT13,BR13,BU13,CS13,CV13)&gt;2,MAX(AX13,BY13,CZ13,LARGE((AQ13,AT13,BR13,BU13,CS13,CV13),3)),IF(MAX(AX13,BY13,CZ13)&gt;0,MAX(AX13,BY13,CZ13),0))</f>
        <v>47.050000000000004</v>
      </c>
      <c r="Q13" s="8" t="str">
        <f t="shared" si="7"/>
        <v>2023 3rd Domestic Trial</v>
      </c>
      <c r="R13" s="8">
        <f t="shared" si="8"/>
        <v>9.1999999999999993</v>
      </c>
      <c r="S13" s="8" t="str">
        <f t="shared" si="9"/>
        <v>2023 3rd Domestic Trial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>IF(V13="","",IF(V13=DB13,IF(V13+IF(P13="",0,P13)=SN13,$RN$1,IF(V13+IF(P13="",0,P13)=RF13,$QF$1,IF(V13+IF(P13="",0,P13)=PX13,$OX$1,IF(V13+IF(P13="",0,P13)=OP13,$NP$1,IF(V13+IF(P13="",0,P13)=NH13,$MH$1,IF(V13+IF(P13="",0,P13)=LZ13,$KZ$1,IF(V13+IF(P13="",0,P13)=KR13,$JR$1,IF(V13+IF(P13="",0,P13)=JJ13,$IJ$1,IF(V13+IF(P13="",0,P13)=IB13,$HB$1,IF(V13+IF(P13="",0,P13)=GT13,$FT$1,IF(V13+IF(P13="",0,P13)=FL13,$EL$1,IF(V13+IF(P13="",0,P13)=ED13,$DD$1)))))))))))),IF(V13=DC13,IF(V13+IF(#REF!="",0,#REF!)=ST13,$RN$1,IF(V13+IF(#REF!="",0,#REF!)=RL13,$QF$1,IF(V13+IF(#REF!="",0,#REF!)=QD13,$OX$1,IF(V13+IF(#REF!="",0,#REF!)=OV13,$NP$1,IF(V13+IF(#REF!="",0,#REF!)=NN13,$MH$1,IF(V13+IF(#REF!="",0,#REF!)=MF13,$KZ$1,IF(V13+IF(#REF!="",0,#REF!)=KX13,$JR$1,IF(V13+IF(#REF!="",0,#REF!)=JP13,$IJ$1,IF(V13+IF(#REF!="",0,#REF!)=IH13,$HB$1,IF(V13+IF(#REF!="",0,#REF!)=GZ13,$FT$1,IF(V13+IF(#REF!="",0,#REF!)=FR13,$EL$1,IF(V13+IF(#REF!="",0,#REF!)=EJ13,$DD$1,IF(V13+IF(#REF!="",0,#REF!)=SQ13,$RN$1,IF(V13+IF(#REF!="",0,#REF!)=RI13,$QF$1,IF(V13+IF(#REF!="",0,#REF!)=QA13,$OX$1,IF(V13+IF(#REF!="",0,#REF!)=OS13,$NP$1,IF(V13+IF(#REF!="",0,#REF!)=NK13,$MH$1,IF(V13+IF(#REF!="",0,#REF!)=MC13,$KZ$1,IF(V13+IF(#REF!="",0,#REF!)=KU13,$JR$1,IF(V13+IF(#REF!="",0,#REF!)=JM13,$IJ$1,IF(V13+IF(#REF!="",0,#REF!)=IE13,$HB$1,IF(V13+IF(#REF!="",0,#REF!)=GW13,$FT$1,IF(V13+IF(#REF!="",0,#REF!)=FO13,$EL$1,IF(V13+IF(#REF!="",0,#REF!)=EG13,$DD$1)))))))))))))))))))))))))))</f>
        <v/>
      </c>
      <c r="Y13" s="22">
        <v>10.4</v>
      </c>
      <c r="Z13" s="22">
        <v>9.1999999999999993</v>
      </c>
      <c r="AA13" s="22">
        <v>9.1999999999999993</v>
      </c>
      <c r="AB13" s="22">
        <v>13.12</v>
      </c>
      <c r="AC13" s="22">
        <v>0</v>
      </c>
      <c r="AD13" s="22">
        <v>12.9</v>
      </c>
      <c r="AE13" s="22">
        <v>9.5</v>
      </c>
      <c r="AF13" s="22">
        <v>9.1</v>
      </c>
      <c r="AG13" s="22">
        <v>13.39</v>
      </c>
      <c r="AH13" s="22">
        <v>0</v>
      </c>
      <c r="AI13" s="22">
        <v>14.3</v>
      </c>
      <c r="AJ13" s="22">
        <v>9.4</v>
      </c>
      <c r="AK13" s="22">
        <v>9.1999999999999993</v>
      </c>
      <c r="AL13" s="22">
        <v>13.44</v>
      </c>
      <c r="AM13" s="22">
        <v>0</v>
      </c>
      <c r="AN13" s="27"/>
      <c r="AO13" s="38">
        <f t="shared" si="14"/>
        <v>9.1999999999999993</v>
      </c>
      <c r="AP13" s="38">
        <f t="shared" si="15"/>
        <v>13.12</v>
      </c>
      <c r="AQ13" s="40">
        <f t="shared" si="16"/>
        <v>41.92</v>
      </c>
      <c r="AR13" s="40">
        <f t="shared" si="17"/>
        <v>9.1</v>
      </c>
      <c r="AS13" s="40">
        <f t="shared" si="18"/>
        <v>13.39</v>
      </c>
      <c r="AT13" s="40">
        <f t="shared" si="19"/>
        <v>44.89</v>
      </c>
      <c r="AU13" s="40">
        <f t="shared" si="20"/>
        <v>44.89</v>
      </c>
      <c r="AV13" s="40">
        <f t="shared" si="21"/>
        <v>9.1999999999999993</v>
      </c>
      <c r="AW13" s="40">
        <f t="shared" si="22"/>
        <v>13.44</v>
      </c>
      <c r="AX13" s="40">
        <f t="shared" si="23"/>
        <v>46.34</v>
      </c>
      <c r="AY13" s="40">
        <f t="shared" si="24"/>
        <v>91.23</v>
      </c>
      <c r="AZ13" s="26">
        <v>4.4000000000000004</v>
      </c>
      <c r="BA13" s="26">
        <v>2.8</v>
      </c>
      <c r="BB13" s="26">
        <v>3.4</v>
      </c>
      <c r="BC13" s="26">
        <v>4.22</v>
      </c>
      <c r="BD13" s="26">
        <v>0</v>
      </c>
      <c r="BE13" s="26">
        <v>12.6</v>
      </c>
      <c r="BF13" s="26">
        <v>8.3000000000000007</v>
      </c>
      <c r="BG13" s="26">
        <v>6.1</v>
      </c>
      <c r="BH13" s="26">
        <v>12.22</v>
      </c>
      <c r="BI13" s="26">
        <v>0</v>
      </c>
      <c r="BJ13" s="26"/>
      <c r="BK13" s="26"/>
      <c r="BL13" s="26"/>
      <c r="BM13" s="26"/>
      <c r="BN13" s="26"/>
      <c r="BO13" s="28"/>
      <c r="BP13" s="39">
        <f t="shared" si="25"/>
        <v>3.4</v>
      </c>
      <c r="BQ13" s="39">
        <f t="shared" si="26"/>
        <v>4.22</v>
      </c>
      <c r="BR13" s="11">
        <f t="shared" si="27"/>
        <v>14.82</v>
      </c>
      <c r="BS13" s="11">
        <f t="shared" si="28"/>
        <v>6.1</v>
      </c>
      <c r="BT13" s="11">
        <f t="shared" si="29"/>
        <v>12.22</v>
      </c>
      <c r="BU13" s="11">
        <f t="shared" si="30"/>
        <v>39.22</v>
      </c>
      <c r="BV13" s="11">
        <f t="shared" si="31"/>
        <v>39.22</v>
      </c>
      <c r="BW13" s="11" t="str">
        <f t="shared" si="32"/>
        <v/>
      </c>
      <c r="BX13" s="11" t="str">
        <f t="shared" si="33"/>
        <v/>
      </c>
      <c r="BY13" s="11" t="str">
        <f t="shared" si="34"/>
        <v/>
      </c>
      <c r="BZ13" s="11">
        <f t="shared" si="35"/>
        <v>39.22</v>
      </c>
      <c r="CA13" s="22">
        <v>13.8</v>
      </c>
      <c r="CB13" s="22">
        <v>9</v>
      </c>
      <c r="CC13" s="22">
        <v>8.6</v>
      </c>
      <c r="CD13" s="22">
        <v>14.05</v>
      </c>
      <c r="CE13" s="22">
        <v>0.2</v>
      </c>
      <c r="CF13" s="22">
        <v>12.7</v>
      </c>
      <c r="CG13" s="22">
        <v>9.1999999999999993</v>
      </c>
      <c r="CH13" s="22">
        <v>7.3999999999999995</v>
      </c>
      <c r="CI13" s="22">
        <v>12.78</v>
      </c>
      <c r="CJ13" s="22">
        <v>1.4</v>
      </c>
      <c r="CK13" s="22">
        <v>14.8</v>
      </c>
      <c r="CL13" s="22">
        <v>8.9</v>
      </c>
      <c r="CM13" s="22">
        <v>9.1999999999999993</v>
      </c>
      <c r="CN13" s="22">
        <v>14.15</v>
      </c>
      <c r="CO13" s="22">
        <v>0</v>
      </c>
      <c r="CP13" s="27"/>
      <c r="CQ13" s="38">
        <f t="shared" si="36"/>
        <v>8.6</v>
      </c>
      <c r="CR13" s="38">
        <f t="shared" si="37"/>
        <v>14.05</v>
      </c>
      <c r="CS13" s="40">
        <f t="shared" si="38"/>
        <v>45.25</v>
      </c>
      <c r="CT13" s="40">
        <f t="shared" si="39"/>
        <v>7.3999999999999995</v>
      </c>
      <c r="CU13" s="40">
        <f t="shared" si="40"/>
        <v>12.78</v>
      </c>
      <c r="CV13" s="40">
        <f t="shared" si="41"/>
        <v>40.68</v>
      </c>
      <c r="CW13" s="40">
        <f t="shared" si="42"/>
        <v>45.25</v>
      </c>
      <c r="CX13" s="40">
        <f t="shared" si="43"/>
        <v>9.1999999999999993</v>
      </c>
      <c r="CY13" s="40">
        <f t="shared" si="44"/>
        <v>14.15</v>
      </c>
      <c r="CZ13" s="40">
        <f t="shared" si="45"/>
        <v>47.050000000000004</v>
      </c>
      <c r="DA13" s="40">
        <f t="shared" si="46"/>
        <v>92.300000000000011</v>
      </c>
      <c r="DB13" s="50" t="str">
        <f t="shared" si="47"/>
        <v/>
      </c>
      <c r="DC13" s="50" t="str">
        <f t="shared" si="48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49"/>
        <v/>
      </c>
      <c r="DY13" s="40" t="str">
        <f t="shared" si="50"/>
        <v/>
      </c>
      <c r="DZ13" s="40" t="str">
        <f t="shared" si="51"/>
        <v/>
      </c>
      <c r="EA13" s="40" t="str">
        <f t="shared" si="52"/>
        <v/>
      </c>
      <c r="EB13" s="40" t="str">
        <f t="shared" si="53"/>
        <v/>
      </c>
      <c r="EC13" s="40" t="str">
        <f t="shared" si="54"/>
        <v/>
      </c>
      <c r="ED13" s="40" t="str">
        <f t="shared" si="55"/>
        <v/>
      </c>
      <c r="EE13" s="40" t="str">
        <f t="shared" si="56"/>
        <v/>
      </c>
      <c r="EF13" s="40" t="str">
        <f t="shared" si="57"/>
        <v/>
      </c>
      <c r="EG13" s="40" t="str">
        <f t="shared" si="58"/>
        <v/>
      </c>
      <c r="EH13" s="40" t="str">
        <f t="shared" si="59"/>
        <v/>
      </c>
      <c r="EI13" s="40" t="str">
        <f t="shared" si="60"/>
        <v/>
      </c>
      <c r="EJ13" s="40" t="str">
        <f t="shared" si="61"/>
        <v/>
      </c>
      <c r="EK13" s="40" t="str">
        <f t="shared" si="62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3"/>
        <v/>
      </c>
      <c r="FG13" s="11" t="str">
        <f t="shared" si="64"/>
        <v/>
      </c>
      <c r="FH13" s="11" t="str">
        <f t="shared" si="65"/>
        <v/>
      </c>
      <c r="FI13" s="11" t="str">
        <f t="shared" si="66"/>
        <v/>
      </c>
      <c r="FJ13" s="11" t="str">
        <f t="shared" si="67"/>
        <v/>
      </c>
      <c r="FK13" s="11" t="str">
        <f t="shared" si="68"/>
        <v/>
      </c>
      <c r="FL13" s="11" t="str">
        <f t="shared" si="69"/>
        <v/>
      </c>
      <c r="FM13" s="11" t="str">
        <f t="shared" si="70"/>
        <v/>
      </c>
      <c r="FN13" s="11" t="str">
        <f t="shared" si="71"/>
        <v/>
      </c>
      <c r="FO13" s="11" t="str">
        <f t="shared" si="72"/>
        <v/>
      </c>
      <c r="FP13" s="11" t="str">
        <f t="shared" si="73"/>
        <v/>
      </c>
      <c r="FQ13" s="11" t="str">
        <f t="shared" si="74"/>
        <v/>
      </c>
      <c r="FR13" s="11" t="str">
        <f t="shared" si="75"/>
        <v/>
      </c>
      <c r="FS13" s="11" t="str">
        <f t="shared" si="76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7"/>
        <v/>
      </c>
      <c r="GO13" s="40" t="str">
        <f t="shared" si="78"/>
        <v/>
      </c>
      <c r="GP13" s="40" t="str">
        <f t="shared" si="79"/>
        <v/>
      </c>
      <c r="GQ13" s="40" t="str">
        <f t="shared" si="80"/>
        <v/>
      </c>
      <c r="GR13" s="40" t="str">
        <f t="shared" si="81"/>
        <v/>
      </c>
      <c r="GS13" s="40" t="str">
        <f t="shared" si="82"/>
        <v/>
      </c>
      <c r="GT13" s="40" t="str">
        <f t="shared" si="83"/>
        <v/>
      </c>
      <c r="GU13" s="40" t="str">
        <f t="shared" si="84"/>
        <v/>
      </c>
      <c r="GV13" s="40" t="str">
        <f t="shared" si="85"/>
        <v/>
      </c>
      <c r="GW13" s="40" t="str">
        <f t="shared" si="86"/>
        <v/>
      </c>
      <c r="GX13" s="40" t="str">
        <f t="shared" si="87"/>
        <v/>
      </c>
      <c r="GY13" s="40" t="str">
        <f t="shared" si="88"/>
        <v/>
      </c>
      <c r="GZ13" s="40" t="str">
        <f t="shared" si="89"/>
        <v/>
      </c>
      <c r="HA13" s="40" t="str">
        <f t="shared" si="90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1"/>
        <v/>
      </c>
      <c r="HW13" s="11" t="str">
        <f t="shared" si="92"/>
        <v/>
      </c>
      <c r="HX13" s="11" t="str">
        <f t="shared" si="93"/>
        <v/>
      </c>
      <c r="HY13" s="11" t="str">
        <f t="shared" si="94"/>
        <v/>
      </c>
      <c r="HZ13" s="11" t="str">
        <f t="shared" si="95"/>
        <v/>
      </c>
      <c r="IA13" s="11" t="str">
        <f t="shared" si="96"/>
        <v/>
      </c>
      <c r="IB13" s="11" t="str">
        <f t="shared" si="97"/>
        <v/>
      </c>
      <c r="IC13" s="11" t="str">
        <f t="shared" si="98"/>
        <v/>
      </c>
      <c r="ID13" s="11" t="str">
        <f t="shared" si="99"/>
        <v/>
      </c>
      <c r="IE13" s="11" t="str">
        <f t="shared" si="100"/>
        <v/>
      </c>
      <c r="IF13" s="11" t="str">
        <f t="shared" si="101"/>
        <v/>
      </c>
      <c r="IG13" s="11" t="str">
        <f t="shared" si="102"/>
        <v/>
      </c>
      <c r="IH13" s="11" t="str">
        <f t="shared" si="103"/>
        <v/>
      </c>
      <c r="II13" s="11" t="str">
        <f t="shared" si="104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5"/>
        <v/>
      </c>
      <c r="JE13" s="40" t="str">
        <f t="shared" si="106"/>
        <v/>
      </c>
      <c r="JF13" s="40" t="str">
        <f t="shared" si="107"/>
        <v/>
      </c>
      <c r="JG13" s="40" t="str">
        <f t="shared" si="108"/>
        <v/>
      </c>
      <c r="JH13" s="40" t="str">
        <f t="shared" si="109"/>
        <v/>
      </c>
      <c r="JI13" s="40" t="str">
        <f t="shared" si="110"/>
        <v/>
      </c>
      <c r="JJ13" s="40" t="str">
        <f t="shared" si="111"/>
        <v/>
      </c>
      <c r="JK13" s="40" t="str">
        <f t="shared" si="112"/>
        <v/>
      </c>
      <c r="JL13" s="40" t="str">
        <f t="shared" si="113"/>
        <v/>
      </c>
      <c r="JM13" s="40" t="str">
        <f t="shared" si="114"/>
        <v/>
      </c>
      <c r="JN13" s="40" t="str">
        <f t="shared" si="115"/>
        <v/>
      </c>
      <c r="JO13" s="40" t="str">
        <f t="shared" si="116"/>
        <v/>
      </c>
      <c r="JP13" s="40" t="str">
        <f t="shared" si="117"/>
        <v/>
      </c>
      <c r="JQ13" s="40" t="str">
        <f t="shared" si="118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19"/>
        <v/>
      </c>
      <c r="KM13" s="11" t="str">
        <f t="shared" si="120"/>
        <v/>
      </c>
      <c r="KN13" s="11" t="str">
        <f t="shared" si="121"/>
        <v/>
      </c>
      <c r="KO13" s="11" t="str">
        <f t="shared" si="122"/>
        <v/>
      </c>
      <c r="KP13" s="11" t="str">
        <f t="shared" si="123"/>
        <v/>
      </c>
      <c r="KQ13" s="11" t="str">
        <f t="shared" si="124"/>
        <v/>
      </c>
      <c r="KR13" s="11" t="str">
        <f t="shared" si="125"/>
        <v/>
      </c>
      <c r="KS13" s="11" t="str">
        <f t="shared" si="126"/>
        <v/>
      </c>
      <c r="KT13" s="11" t="str">
        <f t="shared" si="127"/>
        <v/>
      </c>
      <c r="KU13" s="11" t="str">
        <f t="shared" si="128"/>
        <v/>
      </c>
      <c r="KV13" s="11" t="str">
        <f t="shared" si="129"/>
        <v/>
      </c>
      <c r="KW13" s="11" t="str">
        <f t="shared" si="130"/>
        <v/>
      </c>
      <c r="KX13" s="11" t="str">
        <f t="shared" si="131"/>
        <v/>
      </c>
      <c r="KY13" s="11" t="str">
        <f t="shared" si="132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3"/>
        <v/>
      </c>
      <c r="LU13" s="40" t="str">
        <f t="shared" si="134"/>
        <v/>
      </c>
      <c r="LV13" s="40" t="str">
        <f t="shared" si="135"/>
        <v/>
      </c>
      <c r="LW13" s="40" t="str">
        <f t="shared" si="136"/>
        <v/>
      </c>
      <c r="LX13" s="40" t="str">
        <f t="shared" si="137"/>
        <v/>
      </c>
      <c r="LY13" s="40" t="str">
        <f t="shared" si="138"/>
        <v/>
      </c>
      <c r="LZ13" s="40" t="str">
        <f t="shared" si="139"/>
        <v/>
      </c>
      <c r="MA13" s="40" t="str">
        <f t="shared" si="140"/>
        <v/>
      </c>
      <c r="MB13" s="40" t="str">
        <f t="shared" si="141"/>
        <v/>
      </c>
      <c r="MC13" s="40" t="str">
        <f t="shared" si="142"/>
        <v/>
      </c>
      <c r="MD13" s="40" t="str">
        <f t="shared" si="143"/>
        <v/>
      </c>
      <c r="ME13" s="40" t="str">
        <f t="shared" si="144"/>
        <v/>
      </c>
      <c r="MF13" s="40" t="str">
        <f t="shared" si="145"/>
        <v/>
      </c>
      <c r="MG13" s="40" t="str">
        <f t="shared" si="146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7"/>
        <v/>
      </c>
      <c r="NC13" s="11" t="str">
        <f t="shared" si="148"/>
        <v/>
      </c>
      <c r="ND13" s="11" t="str">
        <f t="shared" si="149"/>
        <v/>
      </c>
      <c r="NE13" s="11" t="str">
        <f t="shared" si="150"/>
        <v/>
      </c>
      <c r="NF13" s="11" t="str">
        <f t="shared" si="151"/>
        <v/>
      </c>
      <c r="NG13" s="11" t="str">
        <f t="shared" si="152"/>
        <v/>
      </c>
      <c r="NH13" s="11" t="str">
        <f t="shared" si="153"/>
        <v/>
      </c>
      <c r="NI13" s="11" t="str">
        <f t="shared" si="154"/>
        <v/>
      </c>
      <c r="NJ13" s="11" t="str">
        <f t="shared" si="155"/>
        <v/>
      </c>
      <c r="NK13" s="11" t="str">
        <f t="shared" si="156"/>
        <v/>
      </c>
      <c r="NL13" s="11" t="str">
        <f t="shared" si="157"/>
        <v/>
      </c>
      <c r="NM13" s="11" t="str">
        <f t="shared" si="158"/>
        <v/>
      </c>
      <c r="NN13" s="11" t="str">
        <f t="shared" si="159"/>
        <v/>
      </c>
      <c r="NO13" s="11" t="str">
        <f t="shared" si="160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1"/>
        <v/>
      </c>
      <c r="OK13" s="40" t="str">
        <f t="shared" si="162"/>
        <v/>
      </c>
      <c r="OL13" s="40" t="str">
        <f t="shared" si="163"/>
        <v/>
      </c>
      <c r="OM13" s="40" t="str">
        <f t="shared" si="164"/>
        <v/>
      </c>
      <c r="ON13" s="40" t="str">
        <f t="shared" si="165"/>
        <v/>
      </c>
      <c r="OO13" s="40" t="str">
        <f t="shared" si="166"/>
        <v/>
      </c>
      <c r="OP13" s="40" t="str">
        <f t="shared" si="167"/>
        <v/>
      </c>
      <c r="OQ13" s="40" t="str">
        <f t="shared" si="168"/>
        <v/>
      </c>
      <c r="OR13" s="40" t="str">
        <f t="shared" si="169"/>
        <v/>
      </c>
      <c r="OS13" s="40" t="str">
        <f t="shared" si="170"/>
        <v/>
      </c>
      <c r="OT13" s="40" t="str">
        <f t="shared" si="171"/>
        <v/>
      </c>
      <c r="OU13" s="40" t="str">
        <f t="shared" si="172"/>
        <v/>
      </c>
      <c r="OV13" s="40" t="str">
        <f t="shared" si="173"/>
        <v/>
      </c>
      <c r="OW13" s="40" t="str">
        <f t="shared" si="174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5"/>
        <v/>
      </c>
      <c r="PS13" s="11" t="str">
        <f t="shared" si="176"/>
        <v/>
      </c>
      <c r="PT13" s="11" t="str">
        <f t="shared" si="177"/>
        <v/>
      </c>
      <c r="PU13" s="11" t="str">
        <f t="shared" si="178"/>
        <v/>
      </c>
      <c r="PV13" s="11" t="str">
        <f t="shared" si="179"/>
        <v/>
      </c>
      <c r="PW13" s="11" t="str">
        <f t="shared" si="180"/>
        <v/>
      </c>
      <c r="PX13" s="11" t="str">
        <f t="shared" si="181"/>
        <v/>
      </c>
      <c r="PY13" s="11" t="str">
        <f t="shared" si="182"/>
        <v/>
      </c>
      <c r="PZ13" s="11" t="str">
        <f t="shared" si="183"/>
        <v/>
      </c>
      <c r="QA13" s="11" t="str">
        <f t="shared" si="184"/>
        <v/>
      </c>
      <c r="QB13" s="11" t="str">
        <f t="shared" si="185"/>
        <v/>
      </c>
      <c r="QC13" s="11" t="str">
        <f t="shared" si="186"/>
        <v/>
      </c>
      <c r="QD13" s="11" t="str">
        <f t="shared" si="187"/>
        <v/>
      </c>
      <c r="QE13" s="11" t="str">
        <f t="shared" si="188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89"/>
        <v/>
      </c>
      <c r="RA13" s="40" t="str">
        <f t="shared" si="190"/>
        <v/>
      </c>
      <c r="RB13" s="40" t="str">
        <f t="shared" si="191"/>
        <v/>
      </c>
      <c r="RC13" s="40" t="str">
        <f t="shared" si="192"/>
        <v/>
      </c>
      <c r="RD13" s="40" t="str">
        <f t="shared" si="193"/>
        <v/>
      </c>
      <c r="RE13" s="40" t="str">
        <f t="shared" si="194"/>
        <v/>
      </c>
      <c r="RF13" s="40" t="str">
        <f t="shared" si="195"/>
        <v/>
      </c>
      <c r="RG13" s="40" t="str">
        <f t="shared" si="196"/>
        <v/>
      </c>
      <c r="RH13" s="40" t="str">
        <f t="shared" si="197"/>
        <v/>
      </c>
      <c r="RI13" s="40" t="str">
        <f t="shared" si="198"/>
        <v/>
      </c>
      <c r="RJ13" s="40" t="str">
        <f t="shared" si="199"/>
        <v/>
      </c>
      <c r="RK13" s="40" t="str">
        <f t="shared" si="200"/>
        <v/>
      </c>
      <c r="RL13" s="40" t="str">
        <f t="shared" si="201"/>
        <v/>
      </c>
      <c r="RM13" s="40" t="str">
        <f t="shared" si="202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3"/>
        <v/>
      </c>
      <c r="SI13" s="11" t="str">
        <f t="shared" si="204"/>
        <v/>
      </c>
      <c r="SJ13" s="11" t="str">
        <f t="shared" si="205"/>
        <v/>
      </c>
      <c r="SK13" s="11" t="str">
        <f t="shared" si="206"/>
        <v/>
      </c>
      <c r="SL13" s="11" t="str">
        <f t="shared" si="207"/>
        <v/>
      </c>
      <c r="SM13" s="11" t="str">
        <f t="shared" si="208"/>
        <v/>
      </c>
      <c r="SN13" s="11" t="str">
        <f t="shared" si="209"/>
        <v/>
      </c>
      <c r="SO13" s="11" t="str">
        <f t="shared" si="210"/>
        <v/>
      </c>
      <c r="SP13" s="11" t="str">
        <f t="shared" si="211"/>
        <v/>
      </c>
      <c r="SQ13" s="11" t="str">
        <f t="shared" si="212"/>
        <v/>
      </c>
      <c r="SR13" s="11" t="str">
        <f t="shared" si="213"/>
        <v/>
      </c>
      <c r="SS13" s="11" t="str">
        <f t="shared" si="214"/>
        <v/>
      </c>
      <c r="ST13" s="11" t="str">
        <f t="shared" si="215"/>
        <v/>
      </c>
      <c r="SU13" s="11" t="str">
        <f t="shared" si="216"/>
        <v/>
      </c>
      <c r="SV13" s="22">
        <f t="shared" si="217"/>
        <v>9.1000000000000014</v>
      </c>
      <c r="SW13" s="22">
        <f t="shared" si="218"/>
        <v>5.9</v>
      </c>
      <c r="SX13" s="22">
        <f t="shared" si="219"/>
        <v>6</v>
      </c>
      <c r="SY13" s="22">
        <f t="shared" si="220"/>
        <v>9.1349999999999998</v>
      </c>
      <c r="SZ13" s="22">
        <f t="shared" si="221"/>
        <v>0.1</v>
      </c>
      <c r="TA13" s="22">
        <f t="shared" si="222"/>
        <v>12.649999999999999</v>
      </c>
      <c r="TB13" s="22">
        <f t="shared" si="223"/>
        <v>8.75</v>
      </c>
      <c r="TC13" s="22">
        <f t="shared" si="224"/>
        <v>6.75</v>
      </c>
      <c r="TD13" s="22">
        <f t="shared" si="225"/>
        <v>12.5</v>
      </c>
      <c r="TE13" s="22">
        <f t="shared" si="226"/>
        <v>0.7</v>
      </c>
      <c r="TF13" s="22">
        <f t="shared" si="227"/>
        <v>7.4</v>
      </c>
      <c r="TG13" s="22">
        <f t="shared" si="228"/>
        <v>4.45</v>
      </c>
      <c r="TH13" s="22">
        <f t="shared" si="229"/>
        <v>4.5999999999999996</v>
      </c>
      <c r="TI13" s="22">
        <f t="shared" si="230"/>
        <v>7.0750000000000002</v>
      </c>
      <c r="TJ13" s="22">
        <f t="shared" si="231"/>
        <v>0</v>
      </c>
      <c r="TK13" s="27" t="s">
        <v>46</v>
      </c>
      <c r="TL13" s="40">
        <f t="shared" si="232"/>
        <v>6</v>
      </c>
      <c r="TM13" s="40">
        <f t="shared" si="233"/>
        <v>9.1349999999999998</v>
      </c>
      <c r="TN13" s="40">
        <f t="shared" si="234"/>
        <v>30.034999999999997</v>
      </c>
      <c r="TO13" s="40">
        <f t="shared" si="235"/>
        <v>6.75</v>
      </c>
      <c r="TP13" s="40">
        <f t="shared" si="236"/>
        <v>12.5</v>
      </c>
      <c r="TQ13" s="40">
        <f t="shared" si="237"/>
        <v>39.949999999999996</v>
      </c>
      <c r="TR13" s="40">
        <f t="shared" si="238"/>
        <v>39.949999999999996</v>
      </c>
      <c r="TS13" s="40">
        <f t="shared" si="239"/>
        <v>4.5999999999999996</v>
      </c>
      <c r="TT13" s="40">
        <f t="shared" si="240"/>
        <v>7.0750000000000002</v>
      </c>
      <c r="TU13" s="40">
        <f t="shared" si="241"/>
        <v>23.525000000000002</v>
      </c>
      <c r="TV13" s="40">
        <f t="shared" si="242"/>
        <v>63.474999999999994</v>
      </c>
    </row>
    <row r="14" spans="1:542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145</v>
      </c>
      <c r="D14" s="4" t="s">
        <v>5</v>
      </c>
      <c r="E14" s="4">
        <v>2003</v>
      </c>
      <c r="F14" s="9">
        <f t="shared" si="0"/>
        <v>145.45001454500459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46.07</v>
      </c>
      <c r="M14" s="8" t="str">
        <f t="shared" si="5"/>
        <v>2023 Nationals</v>
      </c>
      <c r="N14" s="8">
        <f>IF(COUNT(AQ14,AT14,BR14,BU14,CS14,CV14)&gt;1,LARGE((AQ14,AT14,BR14,BU14,CS14,CV14),2),0)</f>
        <v>44.900000000000006</v>
      </c>
      <c r="O14" s="8" t="str">
        <f t="shared" si="6"/>
        <v>2023 Nationals</v>
      </c>
      <c r="P14" s="8">
        <f>IF(COUNT(AQ14,AT14,BR14,BU14,CS14,CV14)&gt;2,MAX(AX14,BY14,CZ14,LARGE((AQ14,AT14,BR14,BU14,CS14,CV14),3)),IF(MAX(AX14,BY14,CZ14)&gt;0,MAX(AX14,BY14,CZ14),0))</f>
        <v>44.78</v>
      </c>
      <c r="Q14" s="8" t="str">
        <f t="shared" si="7"/>
        <v>2023 Elite Canada</v>
      </c>
      <c r="R14" s="8">
        <f t="shared" si="8"/>
        <v>9.6999999999999993</v>
      </c>
      <c r="S14" s="8" t="str">
        <f t="shared" si="9"/>
        <v>2023 Nationals</v>
      </c>
      <c r="T14" s="8">
        <f t="shared" si="10"/>
        <v>0</v>
      </c>
      <c r="U14" s="8" t="str">
        <f t="shared" si="11"/>
        <v/>
      </c>
      <c r="V14" s="8" t="str">
        <f t="shared" si="12"/>
        <v/>
      </c>
      <c r="W14" s="11" t="str">
        <f t="shared" si="13"/>
        <v/>
      </c>
      <c r="X14" s="8" t="str">
        <f>IF(V14="","",IF(V14=DB14,IF(V14+IF(P14="",0,P14)=SN14,$RN$1,IF(V14+IF(P14="",0,P14)=RF14,$QF$1,IF(V14+IF(P14="",0,P14)=PX14,$OX$1,IF(V14+IF(P14="",0,P14)=OP14,$NP$1,IF(V14+IF(P14="",0,P14)=NH14,$MH$1,IF(V14+IF(P14="",0,P14)=LZ14,$KZ$1,IF(V14+IF(P14="",0,P14)=KR14,$JR$1,IF(V14+IF(P14="",0,P14)=JJ14,$IJ$1,IF(V14+IF(P14="",0,P14)=IB14,$HB$1,IF(V14+IF(P14="",0,P14)=GT14,$FT$1,IF(V14+IF(P14="",0,P14)=FL14,$EL$1,IF(V14+IF(P14="",0,P14)=ED14,$DD$1)))))))))))),IF(V14=DC14,IF(V14+IF(#REF!="",0,#REF!)=ST14,$RN$1,IF(V14+IF(#REF!="",0,#REF!)=RL14,$QF$1,IF(V14+IF(#REF!="",0,#REF!)=QD14,$OX$1,IF(V14+IF(#REF!="",0,#REF!)=OV14,$NP$1,IF(V14+IF(#REF!="",0,#REF!)=NN14,$MH$1,IF(V14+IF(#REF!="",0,#REF!)=MF14,$KZ$1,IF(V14+IF(#REF!="",0,#REF!)=KX14,$JR$1,IF(V14+IF(#REF!="",0,#REF!)=JP14,$IJ$1,IF(V14+IF(#REF!="",0,#REF!)=IH14,$HB$1,IF(V14+IF(#REF!="",0,#REF!)=GZ14,$FT$1,IF(V14+IF(#REF!="",0,#REF!)=FR14,$EL$1,IF(V14+IF(#REF!="",0,#REF!)=EJ14,$DD$1,IF(V14+IF(#REF!="",0,#REF!)=SQ14,$RN$1,IF(V14+IF(#REF!="",0,#REF!)=RI14,$QF$1,IF(V14+IF(#REF!="",0,#REF!)=QA14,$OX$1,IF(V14+IF(#REF!="",0,#REF!)=OS14,$NP$1,IF(V14+IF(#REF!="",0,#REF!)=NK14,$MH$1,IF(V14+IF(#REF!="",0,#REF!)=MC14,$KZ$1,IF(V14+IF(#REF!="",0,#REF!)=KU14,$JR$1,IF(V14+IF(#REF!="",0,#REF!)=JM14,$IJ$1,IF(V14+IF(#REF!="",0,#REF!)=IE14,$HB$1,IF(V14+IF(#REF!="",0,#REF!)=GW14,$FT$1,IF(V14+IF(#REF!="",0,#REF!)=FO14,$EL$1,IF(V14+IF(#REF!="",0,#REF!)=EG14,$DD$1)))))))))))))))))))))))))))</f>
        <v/>
      </c>
      <c r="Y14" s="22">
        <v>13.7</v>
      </c>
      <c r="Z14" s="22">
        <v>9.5</v>
      </c>
      <c r="AA14" s="22">
        <v>9.4</v>
      </c>
      <c r="AB14" s="22">
        <v>12.18</v>
      </c>
      <c r="AC14" s="22">
        <v>0</v>
      </c>
      <c r="AD14" s="22">
        <v>13.6</v>
      </c>
      <c r="AE14" s="22">
        <v>9</v>
      </c>
      <c r="AF14" s="22">
        <v>7.6</v>
      </c>
      <c r="AG14" s="22">
        <v>12.61</v>
      </c>
      <c r="AH14" s="22">
        <v>1.2</v>
      </c>
      <c r="AI14" s="22">
        <v>14.2</v>
      </c>
      <c r="AJ14" s="22">
        <v>9.6999999999999993</v>
      </c>
      <c r="AK14" s="22">
        <v>8.1999999999999993</v>
      </c>
      <c r="AL14" s="22">
        <v>12.41</v>
      </c>
      <c r="AM14" s="22">
        <v>0.6</v>
      </c>
      <c r="AN14" s="27"/>
      <c r="AO14" s="38">
        <f t="shared" si="14"/>
        <v>9.4</v>
      </c>
      <c r="AP14" s="38">
        <f t="shared" si="15"/>
        <v>12.18</v>
      </c>
      <c r="AQ14" s="40">
        <f t="shared" si="16"/>
        <v>44.78</v>
      </c>
      <c r="AR14" s="40">
        <f t="shared" si="17"/>
        <v>7.6</v>
      </c>
      <c r="AS14" s="40">
        <f t="shared" si="18"/>
        <v>12.61</v>
      </c>
      <c r="AT14" s="40">
        <f t="shared" si="19"/>
        <v>41.61</v>
      </c>
      <c r="AU14" s="40">
        <f t="shared" si="20"/>
        <v>44.78</v>
      </c>
      <c r="AV14" s="40">
        <f t="shared" si="21"/>
        <v>8.1999999999999993</v>
      </c>
      <c r="AW14" s="40">
        <f t="shared" si="22"/>
        <v>12.41</v>
      </c>
      <c r="AX14" s="40">
        <f t="shared" si="23"/>
        <v>43.909999999999989</v>
      </c>
      <c r="AY14" s="40">
        <f t="shared" si="24"/>
        <v>88.69</v>
      </c>
      <c r="AZ14" s="26">
        <v>14.2</v>
      </c>
      <c r="BA14" s="26">
        <v>9.6</v>
      </c>
      <c r="BB14" s="26">
        <v>9.6999999999999993</v>
      </c>
      <c r="BC14" s="26">
        <v>12.57</v>
      </c>
      <c r="BD14" s="26">
        <v>0</v>
      </c>
      <c r="BE14" s="26">
        <v>14.1</v>
      </c>
      <c r="BF14" s="26">
        <v>9.5</v>
      </c>
      <c r="BG14" s="26">
        <v>9</v>
      </c>
      <c r="BH14" s="26">
        <v>12.3</v>
      </c>
      <c r="BI14" s="26">
        <v>0</v>
      </c>
      <c r="BJ14" s="26"/>
      <c r="BK14" s="26"/>
      <c r="BL14" s="26"/>
      <c r="BM14" s="26"/>
      <c r="BN14" s="26"/>
      <c r="BO14" s="28"/>
      <c r="BP14" s="39">
        <f t="shared" si="25"/>
        <v>9.6999999999999993</v>
      </c>
      <c r="BQ14" s="39">
        <f t="shared" si="26"/>
        <v>12.57</v>
      </c>
      <c r="BR14" s="11">
        <f t="shared" si="27"/>
        <v>46.07</v>
      </c>
      <c r="BS14" s="11">
        <f t="shared" si="28"/>
        <v>9</v>
      </c>
      <c r="BT14" s="11">
        <f t="shared" si="29"/>
        <v>12.3</v>
      </c>
      <c r="BU14" s="11">
        <f t="shared" si="30"/>
        <v>44.900000000000006</v>
      </c>
      <c r="BV14" s="11">
        <f t="shared" si="31"/>
        <v>46.07</v>
      </c>
      <c r="BW14" s="11" t="str">
        <f t="shared" si="32"/>
        <v/>
      </c>
      <c r="BX14" s="11" t="str">
        <f t="shared" si="33"/>
        <v/>
      </c>
      <c r="BY14" s="11" t="str">
        <f t="shared" si="34"/>
        <v/>
      </c>
      <c r="BZ14" s="11">
        <f t="shared" si="35"/>
        <v>46.07</v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6"/>
        <v/>
      </c>
      <c r="CR14" s="38" t="str">
        <f t="shared" si="37"/>
        <v/>
      </c>
      <c r="CS14" s="40" t="str">
        <f t="shared" si="38"/>
        <v/>
      </c>
      <c r="CT14" s="40" t="str">
        <f t="shared" si="39"/>
        <v/>
      </c>
      <c r="CU14" s="40" t="str">
        <f t="shared" si="40"/>
        <v/>
      </c>
      <c r="CV14" s="40" t="str">
        <f t="shared" si="41"/>
        <v/>
      </c>
      <c r="CW14" s="40" t="str">
        <f t="shared" si="42"/>
        <v/>
      </c>
      <c r="CX14" s="40" t="str">
        <f t="shared" si="43"/>
        <v/>
      </c>
      <c r="CY14" s="40" t="str">
        <f t="shared" si="44"/>
        <v/>
      </c>
      <c r="CZ14" s="40" t="str">
        <f t="shared" si="45"/>
        <v/>
      </c>
      <c r="DA14" s="40" t="str">
        <f t="shared" si="46"/>
        <v/>
      </c>
      <c r="DB14" s="50" t="str">
        <f t="shared" si="47"/>
        <v/>
      </c>
      <c r="DC14" s="50" t="str">
        <f t="shared" si="48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49"/>
        <v/>
      </c>
      <c r="DY14" s="40" t="str">
        <f t="shared" si="50"/>
        <v/>
      </c>
      <c r="DZ14" s="40" t="str">
        <f t="shared" si="51"/>
        <v/>
      </c>
      <c r="EA14" s="40" t="str">
        <f t="shared" si="52"/>
        <v/>
      </c>
      <c r="EB14" s="40" t="str">
        <f t="shared" si="53"/>
        <v/>
      </c>
      <c r="EC14" s="40" t="str">
        <f t="shared" si="54"/>
        <v/>
      </c>
      <c r="ED14" s="40" t="str">
        <f t="shared" si="55"/>
        <v/>
      </c>
      <c r="EE14" s="40" t="str">
        <f t="shared" si="56"/>
        <v/>
      </c>
      <c r="EF14" s="40" t="str">
        <f t="shared" si="57"/>
        <v/>
      </c>
      <c r="EG14" s="40" t="str">
        <f t="shared" si="58"/>
        <v/>
      </c>
      <c r="EH14" s="40" t="str">
        <f t="shared" si="59"/>
        <v/>
      </c>
      <c r="EI14" s="40" t="str">
        <f t="shared" si="60"/>
        <v/>
      </c>
      <c r="EJ14" s="40" t="str">
        <f t="shared" si="61"/>
        <v/>
      </c>
      <c r="EK14" s="40" t="str">
        <f t="shared" si="62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3"/>
        <v/>
      </c>
      <c r="FG14" s="11" t="str">
        <f t="shared" si="64"/>
        <v/>
      </c>
      <c r="FH14" s="11" t="str">
        <f t="shared" si="65"/>
        <v/>
      </c>
      <c r="FI14" s="11" t="str">
        <f t="shared" si="66"/>
        <v/>
      </c>
      <c r="FJ14" s="11" t="str">
        <f t="shared" si="67"/>
        <v/>
      </c>
      <c r="FK14" s="11" t="str">
        <f t="shared" si="68"/>
        <v/>
      </c>
      <c r="FL14" s="11" t="str">
        <f t="shared" si="69"/>
        <v/>
      </c>
      <c r="FM14" s="11" t="str">
        <f t="shared" si="70"/>
        <v/>
      </c>
      <c r="FN14" s="11" t="str">
        <f t="shared" si="71"/>
        <v/>
      </c>
      <c r="FO14" s="11" t="str">
        <f t="shared" si="72"/>
        <v/>
      </c>
      <c r="FP14" s="11" t="str">
        <f t="shared" si="73"/>
        <v/>
      </c>
      <c r="FQ14" s="11" t="str">
        <f t="shared" si="74"/>
        <v/>
      </c>
      <c r="FR14" s="11" t="str">
        <f t="shared" si="75"/>
        <v/>
      </c>
      <c r="FS14" s="11" t="str">
        <f t="shared" si="76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7"/>
        <v/>
      </c>
      <c r="GO14" s="40" t="str">
        <f t="shared" si="78"/>
        <v/>
      </c>
      <c r="GP14" s="40" t="str">
        <f t="shared" si="79"/>
        <v/>
      </c>
      <c r="GQ14" s="40" t="str">
        <f t="shared" si="80"/>
        <v/>
      </c>
      <c r="GR14" s="40" t="str">
        <f t="shared" si="81"/>
        <v/>
      </c>
      <c r="GS14" s="40" t="str">
        <f t="shared" si="82"/>
        <v/>
      </c>
      <c r="GT14" s="40" t="str">
        <f t="shared" si="83"/>
        <v/>
      </c>
      <c r="GU14" s="40" t="str">
        <f t="shared" si="84"/>
        <v/>
      </c>
      <c r="GV14" s="40" t="str">
        <f t="shared" si="85"/>
        <v/>
      </c>
      <c r="GW14" s="40" t="str">
        <f t="shared" si="86"/>
        <v/>
      </c>
      <c r="GX14" s="40" t="str">
        <f t="shared" si="87"/>
        <v/>
      </c>
      <c r="GY14" s="40" t="str">
        <f t="shared" si="88"/>
        <v/>
      </c>
      <c r="GZ14" s="40" t="str">
        <f t="shared" si="89"/>
        <v/>
      </c>
      <c r="HA14" s="40" t="str">
        <f t="shared" si="90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1"/>
        <v/>
      </c>
      <c r="HW14" s="11" t="str">
        <f t="shared" si="92"/>
        <v/>
      </c>
      <c r="HX14" s="11" t="str">
        <f t="shared" si="93"/>
        <v/>
      </c>
      <c r="HY14" s="11" t="str">
        <f t="shared" si="94"/>
        <v/>
      </c>
      <c r="HZ14" s="11" t="str">
        <f t="shared" si="95"/>
        <v/>
      </c>
      <c r="IA14" s="11" t="str">
        <f t="shared" si="96"/>
        <v/>
      </c>
      <c r="IB14" s="11" t="str">
        <f t="shared" si="97"/>
        <v/>
      </c>
      <c r="IC14" s="11" t="str">
        <f t="shared" si="98"/>
        <v/>
      </c>
      <c r="ID14" s="11" t="str">
        <f t="shared" si="99"/>
        <v/>
      </c>
      <c r="IE14" s="11" t="str">
        <f t="shared" si="100"/>
        <v/>
      </c>
      <c r="IF14" s="11" t="str">
        <f t="shared" si="101"/>
        <v/>
      </c>
      <c r="IG14" s="11" t="str">
        <f t="shared" si="102"/>
        <v/>
      </c>
      <c r="IH14" s="11" t="str">
        <f t="shared" si="103"/>
        <v/>
      </c>
      <c r="II14" s="11" t="str">
        <f t="shared" si="104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5"/>
        <v/>
      </c>
      <c r="JE14" s="40" t="str">
        <f t="shared" si="106"/>
        <v/>
      </c>
      <c r="JF14" s="40" t="str">
        <f t="shared" si="107"/>
        <v/>
      </c>
      <c r="JG14" s="40" t="str">
        <f t="shared" si="108"/>
        <v/>
      </c>
      <c r="JH14" s="40" t="str">
        <f t="shared" si="109"/>
        <v/>
      </c>
      <c r="JI14" s="40" t="str">
        <f t="shared" si="110"/>
        <v/>
      </c>
      <c r="JJ14" s="40" t="str">
        <f t="shared" si="111"/>
        <v/>
      </c>
      <c r="JK14" s="40" t="str">
        <f t="shared" si="112"/>
        <v/>
      </c>
      <c r="JL14" s="40" t="str">
        <f t="shared" si="113"/>
        <v/>
      </c>
      <c r="JM14" s="40" t="str">
        <f t="shared" si="114"/>
        <v/>
      </c>
      <c r="JN14" s="40" t="str">
        <f t="shared" si="115"/>
        <v/>
      </c>
      <c r="JO14" s="40" t="str">
        <f t="shared" si="116"/>
        <v/>
      </c>
      <c r="JP14" s="40" t="str">
        <f t="shared" si="117"/>
        <v/>
      </c>
      <c r="JQ14" s="40" t="str">
        <f t="shared" si="118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19"/>
        <v/>
      </c>
      <c r="KM14" s="11" t="str">
        <f t="shared" si="120"/>
        <v/>
      </c>
      <c r="KN14" s="11" t="str">
        <f t="shared" si="121"/>
        <v/>
      </c>
      <c r="KO14" s="11" t="str">
        <f t="shared" si="122"/>
        <v/>
      </c>
      <c r="KP14" s="11" t="str">
        <f t="shared" si="123"/>
        <v/>
      </c>
      <c r="KQ14" s="11" t="str">
        <f t="shared" si="124"/>
        <v/>
      </c>
      <c r="KR14" s="11" t="str">
        <f t="shared" si="125"/>
        <v/>
      </c>
      <c r="KS14" s="11" t="str">
        <f t="shared" si="126"/>
        <v/>
      </c>
      <c r="KT14" s="11" t="str">
        <f t="shared" si="127"/>
        <v/>
      </c>
      <c r="KU14" s="11" t="str">
        <f t="shared" si="128"/>
        <v/>
      </c>
      <c r="KV14" s="11" t="str">
        <f t="shared" si="129"/>
        <v/>
      </c>
      <c r="KW14" s="11" t="str">
        <f t="shared" si="130"/>
        <v/>
      </c>
      <c r="KX14" s="11" t="str">
        <f t="shared" si="131"/>
        <v/>
      </c>
      <c r="KY14" s="11" t="str">
        <f t="shared" si="132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3"/>
        <v/>
      </c>
      <c r="LU14" s="40" t="str">
        <f t="shared" si="134"/>
        <v/>
      </c>
      <c r="LV14" s="40" t="str">
        <f t="shared" si="135"/>
        <v/>
      </c>
      <c r="LW14" s="40" t="str">
        <f t="shared" si="136"/>
        <v/>
      </c>
      <c r="LX14" s="40" t="str">
        <f t="shared" si="137"/>
        <v/>
      </c>
      <c r="LY14" s="40" t="str">
        <f t="shared" si="138"/>
        <v/>
      </c>
      <c r="LZ14" s="40" t="str">
        <f t="shared" si="139"/>
        <v/>
      </c>
      <c r="MA14" s="40" t="str">
        <f t="shared" si="140"/>
        <v/>
      </c>
      <c r="MB14" s="40" t="str">
        <f t="shared" si="141"/>
        <v/>
      </c>
      <c r="MC14" s="40" t="str">
        <f t="shared" si="142"/>
        <v/>
      </c>
      <c r="MD14" s="40" t="str">
        <f t="shared" si="143"/>
        <v/>
      </c>
      <c r="ME14" s="40" t="str">
        <f t="shared" si="144"/>
        <v/>
      </c>
      <c r="MF14" s="40" t="str">
        <f t="shared" si="145"/>
        <v/>
      </c>
      <c r="MG14" s="40" t="str">
        <f t="shared" si="146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7"/>
        <v/>
      </c>
      <c r="NC14" s="11" t="str">
        <f t="shared" si="148"/>
        <v/>
      </c>
      <c r="ND14" s="11" t="str">
        <f t="shared" si="149"/>
        <v/>
      </c>
      <c r="NE14" s="11" t="str">
        <f t="shared" si="150"/>
        <v/>
      </c>
      <c r="NF14" s="11" t="str">
        <f t="shared" si="151"/>
        <v/>
      </c>
      <c r="NG14" s="11" t="str">
        <f t="shared" si="152"/>
        <v/>
      </c>
      <c r="NH14" s="11" t="str">
        <f t="shared" si="153"/>
        <v/>
      </c>
      <c r="NI14" s="11" t="str">
        <f t="shared" si="154"/>
        <v/>
      </c>
      <c r="NJ14" s="11" t="str">
        <f t="shared" si="155"/>
        <v/>
      </c>
      <c r="NK14" s="11" t="str">
        <f t="shared" si="156"/>
        <v/>
      </c>
      <c r="NL14" s="11" t="str">
        <f t="shared" si="157"/>
        <v/>
      </c>
      <c r="NM14" s="11" t="str">
        <f t="shared" si="158"/>
        <v/>
      </c>
      <c r="NN14" s="11" t="str">
        <f t="shared" si="159"/>
        <v/>
      </c>
      <c r="NO14" s="11" t="str">
        <f t="shared" si="160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1"/>
        <v/>
      </c>
      <c r="OK14" s="40" t="str">
        <f t="shared" si="162"/>
        <v/>
      </c>
      <c r="OL14" s="40" t="str">
        <f t="shared" si="163"/>
        <v/>
      </c>
      <c r="OM14" s="40" t="str">
        <f t="shared" si="164"/>
        <v/>
      </c>
      <c r="ON14" s="40" t="str">
        <f t="shared" si="165"/>
        <v/>
      </c>
      <c r="OO14" s="40" t="str">
        <f t="shared" si="166"/>
        <v/>
      </c>
      <c r="OP14" s="40" t="str">
        <f t="shared" si="167"/>
        <v/>
      </c>
      <c r="OQ14" s="40" t="str">
        <f t="shared" si="168"/>
        <v/>
      </c>
      <c r="OR14" s="40" t="str">
        <f t="shared" si="169"/>
        <v/>
      </c>
      <c r="OS14" s="40" t="str">
        <f t="shared" si="170"/>
        <v/>
      </c>
      <c r="OT14" s="40" t="str">
        <f t="shared" si="171"/>
        <v/>
      </c>
      <c r="OU14" s="40" t="str">
        <f t="shared" si="172"/>
        <v/>
      </c>
      <c r="OV14" s="40" t="str">
        <f t="shared" si="173"/>
        <v/>
      </c>
      <c r="OW14" s="40" t="str">
        <f t="shared" si="174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5"/>
        <v/>
      </c>
      <c r="PS14" s="11" t="str">
        <f t="shared" si="176"/>
        <v/>
      </c>
      <c r="PT14" s="11" t="str">
        <f t="shared" si="177"/>
        <v/>
      </c>
      <c r="PU14" s="11" t="str">
        <f t="shared" si="178"/>
        <v/>
      </c>
      <c r="PV14" s="11" t="str">
        <f t="shared" si="179"/>
        <v/>
      </c>
      <c r="PW14" s="11" t="str">
        <f t="shared" si="180"/>
        <v/>
      </c>
      <c r="PX14" s="11" t="str">
        <f t="shared" si="181"/>
        <v/>
      </c>
      <c r="PY14" s="11" t="str">
        <f t="shared" si="182"/>
        <v/>
      </c>
      <c r="PZ14" s="11" t="str">
        <f t="shared" si="183"/>
        <v/>
      </c>
      <c r="QA14" s="11" t="str">
        <f t="shared" si="184"/>
        <v/>
      </c>
      <c r="QB14" s="11" t="str">
        <f t="shared" si="185"/>
        <v/>
      </c>
      <c r="QC14" s="11" t="str">
        <f t="shared" si="186"/>
        <v/>
      </c>
      <c r="QD14" s="11" t="str">
        <f t="shared" si="187"/>
        <v/>
      </c>
      <c r="QE14" s="11" t="str">
        <f t="shared" si="188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89"/>
        <v/>
      </c>
      <c r="RA14" s="40" t="str">
        <f t="shared" si="190"/>
        <v/>
      </c>
      <c r="RB14" s="40" t="str">
        <f t="shared" si="191"/>
        <v/>
      </c>
      <c r="RC14" s="40" t="str">
        <f t="shared" si="192"/>
        <v/>
      </c>
      <c r="RD14" s="40" t="str">
        <f t="shared" si="193"/>
        <v/>
      </c>
      <c r="RE14" s="40" t="str">
        <f t="shared" si="194"/>
        <v/>
      </c>
      <c r="RF14" s="40" t="str">
        <f t="shared" si="195"/>
        <v/>
      </c>
      <c r="RG14" s="40" t="str">
        <f t="shared" si="196"/>
        <v/>
      </c>
      <c r="RH14" s="40" t="str">
        <f t="shared" si="197"/>
        <v/>
      </c>
      <c r="RI14" s="40" t="str">
        <f t="shared" si="198"/>
        <v/>
      </c>
      <c r="RJ14" s="40" t="str">
        <f t="shared" si="199"/>
        <v/>
      </c>
      <c r="RK14" s="40" t="str">
        <f t="shared" si="200"/>
        <v/>
      </c>
      <c r="RL14" s="40" t="str">
        <f t="shared" si="201"/>
        <v/>
      </c>
      <c r="RM14" s="40" t="str">
        <f t="shared" si="202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3"/>
        <v/>
      </c>
      <c r="SI14" s="11" t="str">
        <f t="shared" si="204"/>
        <v/>
      </c>
      <c r="SJ14" s="11" t="str">
        <f t="shared" si="205"/>
        <v/>
      </c>
      <c r="SK14" s="11" t="str">
        <f t="shared" si="206"/>
        <v/>
      </c>
      <c r="SL14" s="11" t="str">
        <f t="shared" si="207"/>
        <v/>
      </c>
      <c r="SM14" s="11" t="str">
        <f t="shared" si="208"/>
        <v/>
      </c>
      <c r="SN14" s="11" t="str">
        <f t="shared" si="209"/>
        <v/>
      </c>
      <c r="SO14" s="11" t="str">
        <f t="shared" si="210"/>
        <v/>
      </c>
      <c r="SP14" s="11" t="str">
        <f t="shared" si="211"/>
        <v/>
      </c>
      <c r="SQ14" s="11" t="str">
        <f t="shared" si="212"/>
        <v/>
      </c>
      <c r="SR14" s="11" t="str">
        <f t="shared" si="213"/>
        <v/>
      </c>
      <c r="SS14" s="11" t="str">
        <f t="shared" si="214"/>
        <v/>
      </c>
      <c r="ST14" s="11" t="str">
        <f t="shared" si="215"/>
        <v/>
      </c>
      <c r="SU14" s="11" t="str">
        <f t="shared" si="216"/>
        <v/>
      </c>
      <c r="SV14" s="22">
        <f t="shared" si="217"/>
        <v>7.1</v>
      </c>
      <c r="SW14" s="22">
        <f t="shared" si="218"/>
        <v>4.8</v>
      </c>
      <c r="SX14" s="22">
        <f t="shared" si="219"/>
        <v>4.8499999999999996</v>
      </c>
      <c r="SY14" s="22">
        <f t="shared" si="220"/>
        <v>6.2850000000000001</v>
      </c>
      <c r="SZ14" s="22">
        <f t="shared" si="221"/>
        <v>0</v>
      </c>
      <c r="TA14" s="22">
        <f t="shared" si="222"/>
        <v>7.05</v>
      </c>
      <c r="TB14" s="22">
        <f t="shared" si="223"/>
        <v>4.75</v>
      </c>
      <c r="TC14" s="22">
        <f t="shared" si="224"/>
        <v>4.5</v>
      </c>
      <c r="TD14" s="22">
        <f t="shared" si="225"/>
        <v>6.15</v>
      </c>
      <c r="TE14" s="22">
        <f t="shared" si="226"/>
        <v>0</v>
      </c>
      <c r="TF14" s="22">
        <f t="shared" si="227"/>
        <v>0</v>
      </c>
      <c r="TG14" s="22">
        <f t="shared" si="228"/>
        <v>0</v>
      </c>
      <c r="TH14" s="22">
        <f t="shared" si="229"/>
        <v>0</v>
      </c>
      <c r="TI14" s="22">
        <f t="shared" si="230"/>
        <v>0</v>
      </c>
      <c r="TJ14" s="22">
        <f t="shared" si="231"/>
        <v>0</v>
      </c>
      <c r="TK14" s="27" t="s">
        <v>46</v>
      </c>
      <c r="TL14" s="40">
        <f t="shared" si="232"/>
        <v>4.8499999999999996</v>
      </c>
      <c r="TM14" s="40">
        <f t="shared" si="233"/>
        <v>6.2850000000000001</v>
      </c>
      <c r="TN14" s="40">
        <f t="shared" si="234"/>
        <v>23.035</v>
      </c>
      <c r="TO14" s="40">
        <f t="shared" si="235"/>
        <v>4.5</v>
      </c>
      <c r="TP14" s="40">
        <f t="shared" si="236"/>
        <v>6.15</v>
      </c>
      <c r="TQ14" s="40">
        <f t="shared" si="237"/>
        <v>22.450000000000003</v>
      </c>
      <c r="TR14" s="40">
        <f t="shared" si="238"/>
        <v>23.035</v>
      </c>
      <c r="TS14" s="40" t="str">
        <f t="shared" si="239"/>
        <v/>
      </c>
      <c r="TT14" s="40" t="str">
        <f t="shared" si="240"/>
        <v/>
      </c>
      <c r="TU14" s="40" t="str">
        <f t="shared" si="241"/>
        <v/>
      </c>
      <c r="TV14" s="40">
        <f t="shared" si="242"/>
        <v>23.035</v>
      </c>
    </row>
    <row r="15" spans="1:542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141</v>
      </c>
      <c r="D15" s="4" t="s">
        <v>4</v>
      </c>
      <c r="E15" s="4">
        <v>2004</v>
      </c>
      <c r="F15" s="9">
        <f t="shared" si="0"/>
        <v>145.11001451100461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46.09</v>
      </c>
      <c r="M15" s="8" t="str">
        <f t="shared" si="5"/>
        <v>2023 Nationals</v>
      </c>
      <c r="N15" s="8">
        <f>IF(COUNT(AQ15,AT15,BR15,BU15,CS15,CV15)&gt;1,LARGE((AQ15,AT15,BR15,BU15,CS15,CV15),2),0)</f>
        <v>45.37</v>
      </c>
      <c r="O15" s="8" t="str">
        <f t="shared" si="6"/>
        <v>2023 3rd Domestic Trial</v>
      </c>
      <c r="P15" s="8">
        <f>IF(COUNT(AQ15,AT15,BR15,BU15,CS15,CV15)&gt;2,MAX(AX15,BY15,CZ15,LARGE((AQ15,AT15,BR15,BU15,CS15,CV15),3)),IF(MAX(AX15,BY15,CZ15)&gt;0,MAX(AX15,BY15,CZ15),0))</f>
        <v>44.35</v>
      </c>
      <c r="Q15" s="8" t="str">
        <f t="shared" si="7"/>
        <v>2023 3rd Domestic Trial</v>
      </c>
      <c r="R15" s="8">
        <f t="shared" si="8"/>
        <v>9.2999999999999989</v>
      </c>
      <c r="S15" s="8" t="str">
        <f t="shared" si="9"/>
        <v>2023 3rd Domestic Trial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>IF(V15="","",IF(V15=DB15,IF(V15+IF(P15="",0,P15)=SN15,$RN$1,IF(V15+IF(P15="",0,P15)=RF15,$QF$1,IF(V15+IF(P15="",0,P15)=PX15,$OX$1,IF(V15+IF(P15="",0,P15)=OP15,$NP$1,IF(V15+IF(P15="",0,P15)=NH15,$MH$1,IF(V15+IF(P15="",0,P15)=LZ15,$KZ$1,IF(V15+IF(P15="",0,P15)=KR15,$JR$1,IF(V15+IF(P15="",0,P15)=JJ15,$IJ$1,IF(V15+IF(P15="",0,P15)=IB15,$HB$1,IF(V15+IF(P15="",0,P15)=GT15,$FT$1,IF(V15+IF(P15="",0,P15)=FL15,$EL$1,IF(V15+IF(P15="",0,P15)=ED15,$DD$1)))))))))))),IF(V15=DC15,IF(V15+IF(#REF!="",0,#REF!)=ST15,$RN$1,IF(V15+IF(#REF!="",0,#REF!)=RL15,$QF$1,IF(V15+IF(#REF!="",0,#REF!)=QD15,$OX$1,IF(V15+IF(#REF!="",0,#REF!)=OV15,$NP$1,IF(V15+IF(#REF!="",0,#REF!)=NN15,$MH$1,IF(V15+IF(#REF!="",0,#REF!)=MF15,$KZ$1,IF(V15+IF(#REF!="",0,#REF!)=KX15,$JR$1,IF(V15+IF(#REF!="",0,#REF!)=JP15,$IJ$1,IF(V15+IF(#REF!="",0,#REF!)=IH15,$HB$1,IF(V15+IF(#REF!="",0,#REF!)=GZ15,$FT$1,IF(V15+IF(#REF!="",0,#REF!)=FR15,$EL$1,IF(V15+IF(#REF!="",0,#REF!)=EJ15,$DD$1,IF(V15+IF(#REF!="",0,#REF!)=SQ15,$RN$1,IF(V15+IF(#REF!="",0,#REF!)=RI15,$QF$1,IF(V15+IF(#REF!="",0,#REF!)=QA15,$OX$1,IF(V15+IF(#REF!="",0,#REF!)=OS15,$NP$1,IF(V15+IF(#REF!="",0,#REF!)=NK15,$MH$1,IF(V15+IF(#REF!="",0,#REF!)=MC15,$KZ$1,IF(V15+IF(#REF!="",0,#REF!)=KU15,$JR$1,IF(V15+IF(#REF!="",0,#REF!)=JM15,$IJ$1,IF(V15+IF(#REF!="",0,#REF!)=IE15,$HB$1,IF(V15+IF(#REF!="",0,#REF!)=GW15,$FT$1,IF(V15+IF(#REF!="",0,#REF!)=FO15,$EL$1,IF(V15+IF(#REF!="",0,#REF!)=EG15,$DD$1)))))))))))))))))))))))))))</f>
        <v/>
      </c>
      <c r="Y15" s="22">
        <v>12.3</v>
      </c>
      <c r="Z15" s="22">
        <v>9.3000000000000007</v>
      </c>
      <c r="AA15" s="22">
        <v>7.9</v>
      </c>
      <c r="AB15" s="22">
        <v>11.32</v>
      </c>
      <c r="AC15" s="22">
        <v>0.9</v>
      </c>
      <c r="AD15" s="22">
        <v>5.3</v>
      </c>
      <c r="AE15" s="22">
        <v>3.5</v>
      </c>
      <c r="AF15" s="22">
        <v>5</v>
      </c>
      <c r="AG15" s="22">
        <v>5.12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4"/>
        <v>7.9</v>
      </c>
      <c r="AP15" s="38">
        <f t="shared" si="15"/>
        <v>11.32</v>
      </c>
      <c r="AQ15" s="40">
        <f t="shared" si="16"/>
        <v>39.92</v>
      </c>
      <c r="AR15" s="40">
        <f t="shared" si="17"/>
        <v>5</v>
      </c>
      <c r="AS15" s="40">
        <f t="shared" si="18"/>
        <v>5.12</v>
      </c>
      <c r="AT15" s="40">
        <f t="shared" si="19"/>
        <v>18.920000000000002</v>
      </c>
      <c r="AU15" s="40">
        <f t="shared" si="20"/>
        <v>39.92</v>
      </c>
      <c r="AV15" s="40" t="str">
        <f t="shared" si="21"/>
        <v/>
      </c>
      <c r="AW15" s="40" t="str">
        <f t="shared" si="22"/>
        <v/>
      </c>
      <c r="AX15" s="40" t="str">
        <f t="shared" si="23"/>
        <v/>
      </c>
      <c r="AY15" s="40">
        <f t="shared" si="24"/>
        <v>39.92</v>
      </c>
      <c r="AZ15" s="26">
        <v>12.5</v>
      </c>
      <c r="BA15" s="26">
        <v>9</v>
      </c>
      <c r="BB15" s="26">
        <v>9.1999999999999993</v>
      </c>
      <c r="BC15" s="26">
        <v>12.69</v>
      </c>
      <c r="BD15" s="26">
        <v>0</v>
      </c>
      <c r="BE15" s="26">
        <v>14.8</v>
      </c>
      <c r="BF15" s="26">
        <v>9.1999999999999993</v>
      </c>
      <c r="BG15" s="26">
        <v>9.1999999999999993</v>
      </c>
      <c r="BH15" s="26">
        <v>12.89</v>
      </c>
      <c r="BI15" s="26">
        <v>0</v>
      </c>
      <c r="BJ15" s="26"/>
      <c r="BK15" s="26"/>
      <c r="BL15" s="26"/>
      <c r="BM15" s="26"/>
      <c r="BN15" s="26"/>
      <c r="BO15" s="28"/>
      <c r="BP15" s="39">
        <f t="shared" si="25"/>
        <v>9.1999999999999993</v>
      </c>
      <c r="BQ15" s="39">
        <f t="shared" si="26"/>
        <v>12.69</v>
      </c>
      <c r="BR15" s="11">
        <f t="shared" si="27"/>
        <v>43.39</v>
      </c>
      <c r="BS15" s="11">
        <f t="shared" si="28"/>
        <v>9.1999999999999993</v>
      </c>
      <c r="BT15" s="11">
        <f t="shared" si="29"/>
        <v>12.89</v>
      </c>
      <c r="BU15" s="11">
        <f t="shared" si="30"/>
        <v>46.09</v>
      </c>
      <c r="BV15" s="11">
        <f t="shared" si="31"/>
        <v>46.09</v>
      </c>
      <c r="BW15" s="11" t="str">
        <f t="shared" si="32"/>
        <v/>
      </c>
      <c r="BX15" s="11" t="str">
        <f t="shared" si="33"/>
        <v/>
      </c>
      <c r="BY15" s="11" t="str">
        <f t="shared" si="34"/>
        <v/>
      </c>
      <c r="BZ15" s="11">
        <f t="shared" si="35"/>
        <v>46.09</v>
      </c>
      <c r="CA15" s="22">
        <v>13.5</v>
      </c>
      <c r="CB15" s="22">
        <v>8.6</v>
      </c>
      <c r="CC15" s="22">
        <v>5.8999999999999995</v>
      </c>
      <c r="CD15" s="22">
        <v>12.73</v>
      </c>
      <c r="CE15" s="22">
        <v>2.9</v>
      </c>
      <c r="CF15" s="22">
        <v>14.1</v>
      </c>
      <c r="CG15" s="22">
        <v>9</v>
      </c>
      <c r="CH15" s="22">
        <v>9.2999999999999989</v>
      </c>
      <c r="CI15" s="22">
        <v>12.97</v>
      </c>
      <c r="CJ15" s="22">
        <v>0</v>
      </c>
      <c r="CK15" s="22">
        <v>13.1</v>
      </c>
      <c r="CL15" s="22">
        <v>9.1</v>
      </c>
      <c r="CM15" s="22">
        <v>9.2999999999999989</v>
      </c>
      <c r="CN15" s="22">
        <v>12.85</v>
      </c>
      <c r="CO15" s="22">
        <v>0</v>
      </c>
      <c r="CP15" s="27"/>
      <c r="CQ15" s="38">
        <f t="shared" si="36"/>
        <v>5.8999999999999995</v>
      </c>
      <c r="CR15" s="38">
        <f t="shared" si="37"/>
        <v>12.73</v>
      </c>
      <c r="CS15" s="40">
        <f t="shared" si="38"/>
        <v>37.830000000000005</v>
      </c>
      <c r="CT15" s="40">
        <f t="shared" si="39"/>
        <v>9.2999999999999989</v>
      </c>
      <c r="CU15" s="40">
        <f t="shared" si="40"/>
        <v>12.97</v>
      </c>
      <c r="CV15" s="40">
        <f t="shared" si="41"/>
        <v>45.37</v>
      </c>
      <c r="CW15" s="40">
        <f t="shared" si="42"/>
        <v>45.37</v>
      </c>
      <c r="CX15" s="40">
        <f t="shared" si="43"/>
        <v>9.2999999999999989</v>
      </c>
      <c r="CY15" s="40">
        <f t="shared" si="44"/>
        <v>12.85</v>
      </c>
      <c r="CZ15" s="40">
        <f t="shared" si="45"/>
        <v>44.35</v>
      </c>
      <c r="DA15" s="40">
        <f t="shared" si="46"/>
        <v>89.72</v>
      </c>
      <c r="DB15" s="50" t="str">
        <f t="shared" si="47"/>
        <v/>
      </c>
      <c r="DC15" s="50" t="str">
        <f t="shared" si="48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49"/>
        <v/>
      </c>
      <c r="DY15" s="40" t="str">
        <f t="shared" si="50"/>
        <v/>
      </c>
      <c r="DZ15" s="40" t="str">
        <f t="shared" si="51"/>
        <v/>
      </c>
      <c r="EA15" s="40" t="str">
        <f t="shared" si="52"/>
        <v/>
      </c>
      <c r="EB15" s="40" t="str">
        <f t="shared" si="53"/>
        <v/>
      </c>
      <c r="EC15" s="40" t="str">
        <f t="shared" si="54"/>
        <v/>
      </c>
      <c r="ED15" s="40" t="str">
        <f t="shared" si="55"/>
        <v/>
      </c>
      <c r="EE15" s="40" t="str">
        <f t="shared" si="56"/>
        <v/>
      </c>
      <c r="EF15" s="40" t="str">
        <f t="shared" si="57"/>
        <v/>
      </c>
      <c r="EG15" s="40" t="str">
        <f t="shared" si="58"/>
        <v/>
      </c>
      <c r="EH15" s="40" t="str">
        <f t="shared" si="59"/>
        <v/>
      </c>
      <c r="EI15" s="40" t="str">
        <f t="shared" si="60"/>
        <v/>
      </c>
      <c r="EJ15" s="40" t="str">
        <f t="shared" si="61"/>
        <v/>
      </c>
      <c r="EK15" s="40" t="str">
        <f t="shared" si="62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3"/>
        <v/>
      </c>
      <c r="FG15" s="11" t="str">
        <f t="shared" si="64"/>
        <v/>
      </c>
      <c r="FH15" s="11" t="str">
        <f t="shared" si="65"/>
        <v/>
      </c>
      <c r="FI15" s="11" t="str">
        <f t="shared" si="66"/>
        <v/>
      </c>
      <c r="FJ15" s="11" t="str">
        <f t="shared" si="67"/>
        <v/>
      </c>
      <c r="FK15" s="11" t="str">
        <f t="shared" si="68"/>
        <v/>
      </c>
      <c r="FL15" s="11" t="str">
        <f t="shared" si="69"/>
        <v/>
      </c>
      <c r="FM15" s="11" t="str">
        <f t="shared" si="70"/>
        <v/>
      </c>
      <c r="FN15" s="11" t="str">
        <f t="shared" si="71"/>
        <v/>
      </c>
      <c r="FO15" s="11" t="str">
        <f t="shared" si="72"/>
        <v/>
      </c>
      <c r="FP15" s="11" t="str">
        <f t="shared" si="73"/>
        <v/>
      </c>
      <c r="FQ15" s="11" t="str">
        <f t="shared" si="74"/>
        <v/>
      </c>
      <c r="FR15" s="11" t="str">
        <f t="shared" si="75"/>
        <v/>
      </c>
      <c r="FS15" s="11" t="str">
        <f t="shared" si="76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7"/>
        <v/>
      </c>
      <c r="GO15" s="40" t="str">
        <f t="shared" si="78"/>
        <v/>
      </c>
      <c r="GP15" s="40" t="str">
        <f t="shared" si="79"/>
        <v/>
      </c>
      <c r="GQ15" s="40" t="str">
        <f t="shared" si="80"/>
        <v/>
      </c>
      <c r="GR15" s="40" t="str">
        <f t="shared" si="81"/>
        <v/>
      </c>
      <c r="GS15" s="40" t="str">
        <f t="shared" si="82"/>
        <v/>
      </c>
      <c r="GT15" s="40" t="str">
        <f t="shared" si="83"/>
        <v/>
      </c>
      <c r="GU15" s="40" t="str">
        <f t="shared" si="84"/>
        <v/>
      </c>
      <c r="GV15" s="40" t="str">
        <f t="shared" si="85"/>
        <v/>
      </c>
      <c r="GW15" s="40" t="str">
        <f t="shared" si="86"/>
        <v/>
      </c>
      <c r="GX15" s="40" t="str">
        <f t="shared" si="87"/>
        <v/>
      </c>
      <c r="GY15" s="40" t="str">
        <f t="shared" si="88"/>
        <v/>
      </c>
      <c r="GZ15" s="40" t="str">
        <f t="shared" si="89"/>
        <v/>
      </c>
      <c r="HA15" s="40" t="str">
        <f t="shared" si="90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1"/>
        <v/>
      </c>
      <c r="HW15" s="11" t="str">
        <f t="shared" si="92"/>
        <v/>
      </c>
      <c r="HX15" s="11" t="str">
        <f t="shared" si="93"/>
        <v/>
      </c>
      <c r="HY15" s="11" t="str">
        <f t="shared" si="94"/>
        <v/>
      </c>
      <c r="HZ15" s="11" t="str">
        <f t="shared" si="95"/>
        <v/>
      </c>
      <c r="IA15" s="11" t="str">
        <f t="shared" si="96"/>
        <v/>
      </c>
      <c r="IB15" s="11" t="str">
        <f t="shared" si="97"/>
        <v/>
      </c>
      <c r="IC15" s="11" t="str">
        <f t="shared" si="98"/>
        <v/>
      </c>
      <c r="ID15" s="11" t="str">
        <f t="shared" si="99"/>
        <v/>
      </c>
      <c r="IE15" s="11" t="str">
        <f t="shared" si="100"/>
        <v/>
      </c>
      <c r="IF15" s="11" t="str">
        <f t="shared" si="101"/>
        <v/>
      </c>
      <c r="IG15" s="11" t="str">
        <f t="shared" si="102"/>
        <v/>
      </c>
      <c r="IH15" s="11" t="str">
        <f t="shared" si="103"/>
        <v/>
      </c>
      <c r="II15" s="11" t="str">
        <f t="shared" si="104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5"/>
        <v/>
      </c>
      <c r="JE15" s="40" t="str">
        <f t="shared" si="106"/>
        <v/>
      </c>
      <c r="JF15" s="40" t="str">
        <f t="shared" si="107"/>
        <v/>
      </c>
      <c r="JG15" s="40" t="str">
        <f t="shared" si="108"/>
        <v/>
      </c>
      <c r="JH15" s="40" t="str">
        <f t="shared" si="109"/>
        <v/>
      </c>
      <c r="JI15" s="40" t="str">
        <f t="shared" si="110"/>
        <v/>
      </c>
      <c r="JJ15" s="40" t="str">
        <f t="shared" si="111"/>
        <v/>
      </c>
      <c r="JK15" s="40" t="str">
        <f t="shared" si="112"/>
        <v/>
      </c>
      <c r="JL15" s="40" t="str">
        <f t="shared" si="113"/>
        <v/>
      </c>
      <c r="JM15" s="40" t="str">
        <f t="shared" si="114"/>
        <v/>
      </c>
      <c r="JN15" s="40" t="str">
        <f t="shared" si="115"/>
        <v/>
      </c>
      <c r="JO15" s="40" t="str">
        <f t="shared" si="116"/>
        <v/>
      </c>
      <c r="JP15" s="40" t="str">
        <f t="shared" si="117"/>
        <v/>
      </c>
      <c r="JQ15" s="40" t="str">
        <f t="shared" si="118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19"/>
        <v/>
      </c>
      <c r="KM15" s="11" t="str">
        <f t="shared" si="120"/>
        <v/>
      </c>
      <c r="KN15" s="11" t="str">
        <f t="shared" si="121"/>
        <v/>
      </c>
      <c r="KO15" s="11" t="str">
        <f t="shared" si="122"/>
        <v/>
      </c>
      <c r="KP15" s="11" t="str">
        <f t="shared" si="123"/>
        <v/>
      </c>
      <c r="KQ15" s="11" t="str">
        <f t="shared" si="124"/>
        <v/>
      </c>
      <c r="KR15" s="11" t="str">
        <f t="shared" si="125"/>
        <v/>
      </c>
      <c r="KS15" s="11" t="str">
        <f t="shared" si="126"/>
        <v/>
      </c>
      <c r="KT15" s="11" t="str">
        <f t="shared" si="127"/>
        <v/>
      </c>
      <c r="KU15" s="11" t="str">
        <f t="shared" si="128"/>
        <v/>
      </c>
      <c r="KV15" s="11" t="str">
        <f t="shared" si="129"/>
        <v/>
      </c>
      <c r="KW15" s="11" t="str">
        <f t="shared" si="130"/>
        <v/>
      </c>
      <c r="KX15" s="11" t="str">
        <f t="shared" si="131"/>
        <v/>
      </c>
      <c r="KY15" s="11" t="str">
        <f t="shared" si="132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3"/>
        <v/>
      </c>
      <c r="LU15" s="40" t="str">
        <f t="shared" si="134"/>
        <v/>
      </c>
      <c r="LV15" s="40" t="str">
        <f t="shared" si="135"/>
        <v/>
      </c>
      <c r="LW15" s="40" t="str">
        <f t="shared" si="136"/>
        <v/>
      </c>
      <c r="LX15" s="40" t="str">
        <f t="shared" si="137"/>
        <v/>
      </c>
      <c r="LY15" s="40" t="str">
        <f t="shared" si="138"/>
        <v/>
      </c>
      <c r="LZ15" s="40" t="str">
        <f t="shared" si="139"/>
        <v/>
      </c>
      <c r="MA15" s="40" t="str">
        <f t="shared" si="140"/>
        <v/>
      </c>
      <c r="MB15" s="40" t="str">
        <f t="shared" si="141"/>
        <v/>
      </c>
      <c r="MC15" s="40" t="str">
        <f t="shared" si="142"/>
        <v/>
      </c>
      <c r="MD15" s="40" t="str">
        <f t="shared" si="143"/>
        <v/>
      </c>
      <c r="ME15" s="40" t="str">
        <f t="shared" si="144"/>
        <v/>
      </c>
      <c r="MF15" s="40" t="str">
        <f t="shared" si="145"/>
        <v/>
      </c>
      <c r="MG15" s="40" t="str">
        <f t="shared" si="146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7"/>
        <v/>
      </c>
      <c r="NC15" s="11" t="str">
        <f t="shared" si="148"/>
        <v/>
      </c>
      <c r="ND15" s="11" t="str">
        <f t="shared" si="149"/>
        <v/>
      </c>
      <c r="NE15" s="11" t="str">
        <f t="shared" si="150"/>
        <v/>
      </c>
      <c r="NF15" s="11" t="str">
        <f t="shared" si="151"/>
        <v/>
      </c>
      <c r="NG15" s="11" t="str">
        <f t="shared" si="152"/>
        <v/>
      </c>
      <c r="NH15" s="11" t="str">
        <f t="shared" si="153"/>
        <v/>
      </c>
      <c r="NI15" s="11" t="str">
        <f t="shared" si="154"/>
        <v/>
      </c>
      <c r="NJ15" s="11" t="str">
        <f t="shared" si="155"/>
        <v/>
      </c>
      <c r="NK15" s="11" t="str">
        <f t="shared" si="156"/>
        <v/>
      </c>
      <c r="NL15" s="11" t="str">
        <f t="shared" si="157"/>
        <v/>
      </c>
      <c r="NM15" s="11" t="str">
        <f t="shared" si="158"/>
        <v/>
      </c>
      <c r="NN15" s="11" t="str">
        <f t="shared" si="159"/>
        <v/>
      </c>
      <c r="NO15" s="11" t="str">
        <f t="shared" si="160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1"/>
        <v/>
      </c>
      <c r="OK15" s="40" t="str">
        <f t="shared" si="162"/>
        <v/>
      </c>
      <c r="OL15" s="40" t="str">
        <f t="shared" si="163"/>
        <v/>
      </c>
      <c r="OM15" s="40" t="str">
        <f t="shared" si="164"/>
        <v/>
      </c>
      <c r="ON15" s="40" t="str">
        <f t="shared" si="165"/>
        <v/>
      </c>
      <c r="OO15" s="40" t="str">
        <f t="shared" si="166"/>
        <v/>
      </c>
      <c r="OP15" s="40" t="str">
        <f t="shared" si="167"/>
        <v/>
      </c>
      <c r="OQ15" s="40" t="str">
        <f t="shared" si="168"/>
        <v/>
      </c>
      <c r="OR15" s="40" t="str">
        <f t="shared" si="169"/>
        <v/>
      </c>
      <c r="OS15" s="40" t="str">
        <f t="shared" si="170"/>
        <v/>
      </c>
      <c r="OT15" s="40" t="str">
        <f t="shared" si="171"/>
        <v/>
      </c>
      <c r="OU15" s="40" t="str">
        <f t="shared" si="172"/>
        <v/>
      </c>
      <c r="OV15" s="40" t="str">
        <f t="shared" si="173"/>
        <v/>
      </c>
      <c r="OW15" s="40" t="str">
        <f t="shared" si="174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5"/>
        <v/>
      </c>
      <c r="PS15" s="11" t="str">
        <f t="shared" si="176"/>
        <v/>
      </c>
      <c r="PT15" s="11" t="str">
        <f t="shared" si="177"/>
        <v/>
      </c>
      <c r="PU15" s="11" t="str">
        <f t="shared" si="178"/>
        <v/>
      </c>
      <c r="PV15" s="11" t="str">
        <f t="shared" si="179"/>
        <v/>
      </c>
      <c r="PW15" s="11" t="str">
        <f t="shared" si="180"/>
        <v/>
      </c>
      <c r="PX15" s="11" t="str">
        <f t="shared" si="181"/>
        <v/>
      </c>
      <c r="PY15" s="11" t="str">
        <f t="shared" si="182"/>
        <v/>
      </c>
      <c r="PZ15" s="11" t="str">
        <f t="shared" si="183"/>
        <v/>
      </c>
      <c r="QA15" s="11" t="str">
        <f t="shared" si="184"/>
        <v/>
      </c>
      <c r="QB15" s="11" t="str">
        <f t="shared" si="185"/>
        <v/>
      </c>
      <c r="QC15" s="11" t="str">
        <f t="shared" si="186"/>
        <v/>
      </c>
      <c r="QD15" s="11" t="str">
        <f t="shared" si="187"/>
        <v/>
      </c>
      <c r="QE15" s="11" t="str">
        <f t="shared" si="188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89"/>
        <v/>
      </c>
      <c r="RA15" s="40" t="str">
        <f t="shared" si="190"/>
        <v/>
      </c>
      <c r="RB15" s="40" t="str">
        <f t="shared" si="191"/>
        <v/>
      </c>
      <c r="RC15" s="40" t="str">
        <f t="shared" si="192"/>
        <v/>
      </c>
      <c r="RD15" s="40" t="str">
        <f t="shared" si="193"/>
        <v/>
      </c>
      <c r="RE15" s="40" t="str">
        <f t="shared" si="194"/>
        <v/>
      </c>
      <c r="RF15" s="40" t="str">
        <f t="shared" si="195"/>
        <v/>
      </c>
      <c r="RG15" s="40" t="str">
        <f t="shared" si="196"/>
        <v/>
      </c>
      <c r="RH15" s="40" t="str">
        <f t="shared" si="197"/>
        <v/>
      </c>
      <c r="RI15" s="40" t="str">
        <f t="shared" si="198"/>
        <v/>
      </c>
      <c r="RJ15" s="40" t="str">
        <f t="shared" si="199"/>
        <v/>
      </c>
      <c r="RK15" s="40" t="str">
        <f t="shared" si="200"/>
        <v/>
      </c>
      <c r="RL15" s="40" t="str">
        <f t="shared" si="201"/>
        <v/>
      </c>
      <c r="RM15" s="40" t="str">
        <f t="shared" si="202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3"/>
        <v/>
      </c>
      <c r="SI15" s="11" t="str">
        <f t="shared" si="204"/>
        <v/>
      </c>
      <c r="SJ15" s="11" t="str">
        <f t="shared" si="205"/>
        <v/>
      </c>
      <c r="SK15" s="11" t="str">
        <f t="shared" si="206"/>
        <v/>
      </c>
      <c r="SL15" s="11" t="str">
        <f t="shared" si="207"/>
        <v/>
      </c>
      <c r="SM15" s="11" t="str">
        <f t="shared" si="208"/>
        <v/>
      </c>
      <c r="SN15" s="11" t="str">
        <f t="shared" si="209"/>
        <v/>
      </c>
      <c r="SO15" s="11" t="str">
        <f t="shared" si="210"/>
        <v/>
      </c>
      <c r="SP15" s="11" t="str">
        <f t="shared" si="211"/>
        <v/>
      </c>
      <c r="SQ15" s="11" t="str">
        <f t="shared" si="212"/>
        <v/>
      </c>
      <c r="SR15" s="11" t="str">
        <f t="shared" si="213"/>
        <v/>
      </c>
      <c r="SS15" s="11" t="str">
        <f t="shared" si="214"/>
        <v/>
      </c>
      <c r="ST15" s="11" t="str">
        <f t="shared" si="215"/>
        <v/>
      </c>
      <c r="SU15" s="11" t="str">
        <f t="shared" si="216"/>
        <v/>
      </c>
      <c r="SV15" s="22">
        <f t="shared" si="217"/>
        <v>13</v>
      </c>
      <c r="SW15" s="22">
        <f t="shared" si="218"/>
        <v>8.8000000000000007</v>
      </c>
      <c r="SX15" s="22">
        <f t="shared" si="219"/>
        <v>7.5499999999999989</v>
      </c>
      <c r="SY15" s="22">
        <f t="shared" si="220"/>
        <v>12.71</v>
      </c>
      <c r="SZ15" s="22">
        <f t="shared" si="221"/>
        <v>1.45</v>
      </c>
      <c r="TA15" s="22">
        <f t="shared" si="222"/>
        <v>14.45</v>
      </c>
      <c r="TB15" s="22">
        <f t="shared" si="223"/>
        <v>9.1</v>
      </c>
      <c r="TC15" s="22">
        <f t="shared" si="224"/>
        <v>9.25</v>
      </c>
      <c r="TD15" s="22">
        <f t="shared" si="225"/>
        <v>12.93</v>
      </c>
      <c r="TE15" s="22">
        <f t="shared" si="226"/>
        <v>0</v>
      </c>
      <c r="TF15" s="22">
        <f t="shared" si="227"/>
        <v>6.55</v>
      </c>
      <c r="TG15" s="22">
        <f t="shared" si="228"/>
        <v>4.55</v>
      </c>
      <c r="TH15" s="22">
        <f t="shared" si="229"/>
        <v>4.6499999999999995</v>
      </c>
      <c r="TI15" s="22">
        <f t="shared" si="230"/>
        <v>6.4249999999999998</v>
      </c>
      <c r="TJ15" s="22">
        <f t="shared" si="231"/>
        <v>0</v>
      </c>
      <c r="TK15" s="27" t="s">
        <v>46</v>
      </c>
      <c r="TL15" s="40">
        <f t="shared" si="232"/>
        <v>7.5499999999999989</v>
      </c>
      <c r="TM15" s="40">
        <f t="shared" si="233"/>
        <v>12.71</v>
      </c>
      <c r="TN15" s="40">
        <f t="shared" si="234"/>
        <v>40.61</v>
      </c>
      <c r="TO15" s="40">
        <f t="shared" si="235"/>
        <v>9.25</v>
      </c>
      <c r="TP15" s="40">
        <f t="shared" si="236"/>
        <v>12.93</v>
      </c>
      <c r="TQ15" s="40">
        <f t="shared" si="237"/>
        <v>45.73</v>
      </c>
      <c r="TR15" s="40">
        <f t="shared" si="238"/>
        <v>45.73</v>
      </c>
      <c r="TS15" s="40">
        <f t="shared" si="239"/>
        <v>4.6499999999999995</v>
      </c>
      <c r="TT15" s="40">
        <f t="shared" si="240"/>
        <v>6.4249999999999998</v>
      </c>
      <c r="TU15" s="40">
        <f t="shared" si="241"/>
        <v>22.175000000000001</v>
      </c>
      <c r="TV15" s="40">
        <f t="shared" si="242"/>
        <v>67.905000000000001</v>
      </c>
    </row>
    <row r="16" spans="1:542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169</v>
      </c>
      <c r="D16" s="4" t="s">
        <v>3</v>
      </c>
      <c r="E16" s="4">
        <v>2006</v>
      </c>
      <c r="F16" s="9">
        <f t="shared" si="0"/>
        <v>145.09001450900465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46.370000000000005</v>
      </c>
      <c r="M16" s="8" t="str">
        <f t="shared" si="5"/>
        <v>2023 Nationals</v>
      </c>
      <c r="N16" s="8">
        <f>IF(COUNT(AQ16,AT16,BR16,BU16,CS16,CV16)&gt;1,LARGE((AQ16,AT16,BR16,BU16,CS16,CV16),2),0)</f>
        <v>44.42</v>
      </c>
      <c r="O16" s="8" t="str">
        <f t="shared" si="6"/>
        <v>2023 Nationals</v>
      </c>
      <c r="P16" s="8">
        <f>IF(COUNT(AQ16,AT16,BR16,BU16,CS16,CV16)&gt;2,MAX(AX16,BY16,CZ16,LARGE((AQ16,AT16,BR16,BU16,CS16,CV16),3)),IF(MAX(AX16,BY16,CZ16)&gt;0,MAX(AX16,BY16,CZ16),0))</f>
        <v>44.1</v>
      </c>
      <c r="Q16" s="8" t="str">
        <f t="shared" si="7"/>
        <v>2023 Elite Canada</v>
      </c>
      <c r="R16" s="8">
        <f t="shared" si="8"/>
        <v>10.199999999999999</v>
      </c>
      <c r="S16" s="8" t="str">
        <f t="shared" si="9"/>
        <v>2023 Nationals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>IF(V16="","",IF(V16=DB16,IF(V16+IF(P16="",0,P16)=SN16,$RN$1,IF(V16+IF(P16="",0,P16)=RF16,$QF$1,IF(V16+IF(P16="",0,P16)=PX16,$OX$1,IF(V16+IF(P16="",0,P16)=OP16,$NP$1,IF(V16+IF(P16="",0,P16)=NH16,$MH$1,IF(V16+IF(P16="",0,P16)=LZ16,$KZ$1,IF(V16+IF(P16="",0,P16)=KR16,$JR$1,IF(V16+IF(P16="",0,P16)=JJ16,$IJ$1,IF(V16+IF(P16="",0,P16)=IB16,$HB$1,IF(V16+IF(P16="",0,P16)=GT16,$FT$1,IF(V16+IF(P16="",0,P16)=FL16,$EL$1,IF(V16+IF(P16="",0,P16)=ED16,$DD$1)))))))))))),IF(V16=DC16,IF(V16+IF(#REF!="",0,#REF!)=ST16,$RN$1,IF(V16+IF(#REF!="",0,#REF!)=RL16,$QF$1,IF(V16+IF(#REF!="",0,#REF!)=QD16,$OX$1,IF(V16+IF(#REF!="",0,#REF!)=OV16,$NP$1,IF(V16+IF(#REF!="",0,#REF!)=NN16,$MH$1,IF(V16+IF(#REF!="",0,#REF!)=MF16,$KZ$1,IF(V16+IF(#REF!="",0,#REF!)=KX16,$JR$1,IF(V16+IF(#REF!="",0,#REF!)=JP16,$IJ$1,IF(V16+IF(#REF!="",0,#REF!)=IH16,$HB$1,IF(V16+IF(#REF!="",0,#REF!)=GZ16,$FT$1,IF(V16+IF(#REF!="",0,#REF!)=FR16,$EL$1,IF(V16+IF(#REF!="",0,#REF!)=EJ16,$DD$1,IF(V16+IF(#REF!="",0,#REF!)=SQ16,$RN$1,IF(V16+IF(#REF!="",0,#REF!)=RI16,$QF$1,IF(V16+IF(#REF!="",0,#REF!)=QA16,$OX$1,IF(V16+IF(#REF!="",0,#REF!)=OS16,$NP$1,IF(V16+IF(#REF!="",0,#REF!)=NK16,$MH$1,IF(V16+IF(#REF!="",0,#REF!)=MC16,$KZ$1,IF(V16+IF(#REF!="",0,#REF!)=KU16,$JR$1,IF(V16+IF(#REF!="",0,#REF!)=JM16,$IJ$1,IF(V16+IF(#REF!="",0,#REF!)=IE16,$HB$1,IF(V16+IF(#REF!="",0,#REF!)=GW16,$FT$1,IF(V16+IF(#REF!="",0,#REF!)=FO16,$EL$1,IF(V16+IF(#REF!="",0,#REF!)=EG16,$DD$1)))))))))))))))))))))))))))</f>
        <v/>
      </c>
      <c r="Y16" s="22">
        <v>13.3</v>
      </c>
      <c r="Z16" s="22">
        <v>9.1</v>
      </c>
      <c r="AA16" s="22">
        <v>9.3000000000000007</v>
      </c>
      <c r="AB16" s="22">
        <v>12.4</v>
      </c>
      <c r="AC16" s="22">
        <v>0</v>
      </c>
      <c r="AD16" s="22">
        <v>8.9</v>
      </c>
      <c r="AE16" s="22">
        <v>5.7</v>
      </c>
      <c r="AF16" s="22">
        <v>1.7</v>
      </c>
      <c r="AG16" s="22">
        <v>7.93</v>
      </c>
      <c r="AH16" s="22">
        <v>0</v>
      </c>
      <c r="AI16" s="22">
        <v>1.6</v>
      </c>
      <c r="AJ16" s="22">
        <v>1</v>
      </c>
      <c r="AK16" s="22">
        <v>1.5</v>
      </c>
      <c r="AL16" s="22">
        <v>1.41</v>
      </c>
      <c r="AM16" s="22">
        <v>0</v>
      </c>
      <c r="AN16" s="27"/>
      <c r="AO16" s="38">
        <f t="shared" si="14"/>
        <v>9.3000000000000007</v>
      </c>
      <c r="AP16" s="38">
        <f t="shared" si="15"/>
        <v>12.4</v>
      </c>
      <c r="AQ16" s="40">
        <f t="shared" si="16"/>
        <v>44.1</v>
      </c>
      <c r="AR16" s="40">
        <f t="shared" si="17"/>
        <v>1.7</v>
      </c>
      <c r="AS16" s="40">
        <f t="shared" si="18"/>
        <v>7.93</v>
      </c>
      <c r="AT16" s="40">
        <f t="shared" si="19"/>
        <v>24.23</v>
      </c>
      <c r="AU16" s="40">
        <f t="shared" si="20"/>
        <v>44.1</v>
      </c>
      <c r="AV16" s="40">
        <f t="shared" si="21"/>
        <v>1.5</v>
      </c>
      <c r="AW16" s="40">
        <f t="shared" si="22"/>
        <v>1.41</v>
      </c>
      <c r="AX16" s="40">
        <f t="shared" si="23"/>
        <v>5.51</v>
      </c>
      <c r="AY16" s="40">
        <f t="shared" si="24"/>
        <v>49.61</v>
      </c>
      <c r="AZ16" s="26">
        <v>13.2</v>
      </c>
      <c r="BA16" s="26">
        <v>8.8000000000000007</v>
      </c>
      <c r="BB16" s="26">
        <v>10.199999999999999</v>
      </c>
      <c r="BC16" s="26">
        <v>12.22</v>
      </c>
      <c r="BD16" s="26">
        <v>0</v>
      </c>
      <c r="BE16" s="26">
        <v>13.9</v>
      </c>
      <c r="BF16" s="26">
        <v>9.6</v>
      </c>
      <c r="BG16" s="26">
        <v>10.199999999999999</v>
      </c>
      <c r="BH16" s="26">
        <v>12.67</v>
      </c>
      <c r="BI16" s="26">
        <v>0</v>
      </c>
      <c r="BJ16" s="26"/>
      <c r="BK16" s="26"/>
      <c r="BL16" s="26"/>
      <c r="BM16" s="26"/>
      <c r="BN16" s="26"/>
      <c r="BO16" s="28"/>
      <c r="BP16" s="39">
        <f t="shared" si="25"/>
        <v>10.199999999999999</v>
      </c>
      <c r="BQ16" s="39">
        <f t="shared" si="26"/>
        <v>12.22</v>
      </c>
      <c r="BR16" s="11">
        <f t="shared" si="27"/>
        <v>44.42</v>
      </c>
      <c r="BS16" s="11">
        <f t="shared" si="28"/>
        <v>10.199999999999999</v>
      </c>
      <c r="BT16" s="11">
        <f t="shared" si="29"/>
        <v>12.67</v>
      </c>
      <c r="BU16" s="11">
        <f t="shared" si="30"/>
        <v>46.370000000000005</v>
      </c>
      <c r="BV16" s="11">
        <f t="shared" si="31"/>
        <v>46.370000000000005</v>
      </c>
      <c r="BW16" s="11" t="str">
        <f t="shared" si="32"/>
        <v/>
      </c>
      <c r="BX16" s="11" t="str">
        <f t="shared" si="33"/>
        <v/>
      </c>
      <c r="BY16" s="11" t="str">
        <f t="shared" si="34"/>
        <v/>
      </c>
      <c r="BZ16" s="11">
        <f t="shared" si="35"/>
        <v>46.370000000000005</v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6"/>
        <v/>
      </c>
      <c r="CR16" s="38" t="str">
        <f t="shared" si="37"/>
        <v/>
      </c>
      <c r="CS16" s="40" t="str">
        <f t="shared" si="38"/>
        <v/>
      </c>
      <c r="CT16" s="40" t="str">
        <f t="shared" si="39"/>
        <v/>
      </c>
      <c r="CU16" s="40" t="str">
        <f t="shared" si="40"/>
        <v/>
      </c>
      <c r="CV16" s="40" t="str">
        <f t="shared" si="41"/>
        <v/>
      </c>
      <c r="CW16" s="40" t="str">
        <f t="shared" si="42"/>
        <v/>
      </c>
      <c r="CX16" s="40" t="str">
        <f t="shared" si="43"/>
        <v/>
      </c>
      <c r="CY16" s="40" t="str">
        <f t="shared" si="44"/>
        <v/>
      </c>
      <c r="CZ16" s="40" t="str">
        <f t="shared" si="45"/>
        <v/>
      </c>
      <c r="DA16" s="40" t="str">
        <f t="shared" si="46"/>
        <v/>
      </c>
      <c r="DB16" s="50" t="str">
        <f t="shared" si="47"/>
        <v/>
      </c>
      <c r="DC16" s="50" t="str">
        <f t="shared" si="48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49"/>
        <v/>
      </c>
      <c r="DY16" s="40" t="str">
        <f t="shared" si="50"/>
        <v/>
      </c>
      <c r="DZ16" s="40" t="str">
        <f t="shared" si="51"/>
        <v/>
      </c>
      <c r="EA16" s="40" t="str">
        <f t="shared" si="52"/>
        <v/>
      </c>
      <c r="EB16" s="40" t="str">
        <f t="shared" si="53"/>
        <v/>
      </c>
      <c r="EC16" s="40" t="str">
        <f t="shared" si="54"/>
        <v/>
      </c>
      <c r="ED16" s="40" t="str">
        <f t="shared" si="55"/>
        <v/>
      </c>
      <c r="EE16" s="40" t="str">
        <f t="shared" si="56"/>
        <v/>
      </c>
      <c r="EF16" s="40" t="str">
        <f t="shared" si="57"/>
        <v/>
      </c>
      <c r="EG16" s="40" t="str">
        <f t="shared" si="58"/>
        <v/>
      </c>
      <c r="EH16" s="40" t="str">
        <f t="shared" si="59"/>
        <v/>
      </c>
      <c r="EI16" s="40" t="str">
        <f t="shared" si="60"/>
        <v/>
      </c>
      <c r="EJ16" s="40" t="str">
        <f t="shared" si="61"/>
        <v/>
      </c>
      <c r="EK16" s="40" t="str">
        <f t="shared" si="62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3"/>
        <v/>
      </c>
      <c r="FG16" s="11" t="str">
        <f t="shared" si="64"/>
        <v/>
      </c>
      <c r="FH16" s="11" t="str">
        <f t="shared" si="65"/>
        <v/>
      </c>
      <c r="FI16" s="11" t="str">
        <f t="shared" si="66"/>
        <v/>
      </c>
      <c r="FJ16" s="11" t="str">
        <f t="shared" si="67"/>
        <v/>
      </c>
      <c r="FK16" s="11" t="str">
        <f t="shared" si="68"/>
        <v/>
      </c>
      <c r="FL16" s="11" t="str">
        <f t="shared" si="69"/>
        <v/>
      </c>
      <c r="FM16" s="11" t="str">
        <f t="shared" si="70"/>
        <v/>
      </c>
      <c r="FN16" s="11" t="str">
        <f t="shared" si="71"/>
        <v/>
      </c>
      <c r="FO16" s="11" t="str">
        <f t="shared" si="72"/>
        <v/>
      </c>
      <c r="FP16" s="11" t="str">
        <f t="shared" si="73"/>
        <v/>
      </c>
      <c r="FQ16" s="11" t="str">
        <f t="shared" si="74"/>
        <v/>
      </c>
      <c r="FR16" s="11" t="str">
        <f t="shared" si="75"/>
        <v/>
      </c>
      <c r="FS16" s="11" t="str">
        <f t="shared" si="76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7"/>
        <v/>
      </c>
      <c r="GO16" s="40" t="str">
        <f t="shared" si="78"/>
        <v/>
      </c>
      <c r="GP16" s="40" t="str">
        <f t="shared" si="79"/>
        <v/>
      </c>
      <c r="GQ16" s="40" t="str">
        <f t="shared" si="80"/>
        <v/>
      </c>
      <c r="GR16" s="40" t="str">
        <f t="shared" si="81"/>
        <v/>
      </c>
      <c r="GS16" s="40" t="str">
        <f t="shared" si="82"/>
        <v/>
      </c>
      <c r="GT16" s="40" t="str">
        <f t="shared" si="83"/>
        <v/>
      </c>
      <c r="GU16" s="40" t="str">
        <f t="shared" si="84"/>
        <v/>
      </c>
      <c r="GV16" s="40" t="str">
        <f t="shared" si="85"/>
        <v/>
      </c>
      <c r="GW16" s="40" t="str">
        <f t="shared" si="86"/>
        <v/>
      </c>
      <c r="GX16" s="40" t="str">
        <f t="shared" si="87"/>
        <v/>
      </c>
      <c r="GY16" s="40" t="str">
        <f t="shared" si="88"/>
        <v/>
      </c>
      <c r="GZ16" s="40" t="str">
        <f t="shared" si="89"/>
        <v/>
      </c>
      <c r="HA16" s="40" t="str">
        <f t="shared" si="90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1"/>
        <v/>
      </c>
      <c r="HW16" s="11" t="str">
        <f t="shared" si="92"/>
        <v/>
      </c>
      <c r="HX16" s="11" t="str">
        <f t="shared" si="93"/>
        <v/>
      </c>
      <c r="HY16" s="11" t="str">
        <f t="shared" si="94"/>
        <v/>
      </c>
      <c r="HZ16" s="11" t="str">
        <f t="shared" si="95"/>
        <v/>
      </c>
      <c r="IA16" s="11" t="str">
        <f t="shared" si="96"/>
        <v/>
      </c>
      <c r="IB16" s="11" t="str">
        <f t="shared" si="97"/>
        <v/>
      </c>
      <c r="IC16" s="11" t="str">
        <f t="shared" si="98"/>
        <v/>
      </c>
      <c r="ID16" s="11" t="str">
        <f t="shared" si="99"/>
        <v/>
      </c>
      <c r="IE16" s="11" t="str">
        <f t="shared" si="100"/>
        <v/>
      </c>
      <c r="IF16" s="11" t="str">
        <f t="shared" si="101"/>
        <v/>
      </c>
      <c r="IG16" s="11" t="str">
        <f t="shared" si="102"/>
        <v/>
      </c>
      <c r="IH16" s="11" t="str">
        <f t="shared" si="103"/>
        <v/>
      </c>
      <c r="II16" s="11" t="str">
        <f t="shared" si="104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5"/>
        <v/>
      </c>
      <c r="JE16" s="40" t="str">
        <f t="shared" si="106"/>
        <v/>
      </c>
      <c r="JF16" s="40" t="str">
        <f t="shared" si="107"/>
        <v/>
      </c>
      <c r="JG16" s="40" t="str">
        <f t="shared" si="108"/>
        <v/>
      </c>
      <c r="JH16" s="40" t="str">
        <f t="shared" si="109"/>
        <v/>
      </c>
      <c r="JI16" s="40" t="str">
        <f t="shared" si="110"/>
        <v/>
      </c>
      <c r="JJ16" s="40" t="str">
        <f t="shared" si="111"/>
        <v/>
      </c>
      <c r="JK16" s="40" t="str">
        <f t="shared" si="112"/>
        <v/>
      </c>
      <c r="JL16" s="40" t="str">
        <f t="shared" si="113"/>
        <v/>
      </c>
      <c r="JM16" s="40" t="str">
        <f t="shared" si="114"/>
        <v/>
      </c>
      <c r="JN16" s="40" t="str">
        <f t="shared" si="115"/>
        <v/>
      </c>
      <c r="JO16" s="40" t="str">
        <f t="shared" si="116"/>
        <v/>
      </c>
      <c r="JP16" s="40" t="str">
        <f t="shared" si="117"/>
        <v/>
      </c>
      <c r="JQ16" s="40" t="str">
        <f t="shared" si="118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19"/>
        <v/>
      </c>
      <c r="KM16" s="11" t="str">
        <f t="shared" si="120"/>
        <v/>
      </c>
      <c r="KN16" s="11" t="str">
        <f t="shared" si="121"/>
        <v/>
      </c>
      <c r="KO16" s="11" t="str">
        <f t="shared" si="122"/>
        <v/>
      </c>
      <c r="KP16" s="11" t="str">
        <f t="shared" si="123"/>
        <v/>
      </c>
      <c r="KQ16" s="11" t="str">
        <f t="shared" si="124"/>
        <v/>
      </c>
      <c r="KR16" s="11" t="str">
        <f t="shared" si="125"/>
        <v/>
      </c>
      <c r="KS16" s="11" t="str">
        <f t="shared" si="126"/>
        <v/>
      </c>
      <c r="KT16" s="11" t="str">
        <f t="shared" si="127"/>
        <v/>
      </c>
      <c r="KU16" s="11" t="str">
        <f t="shared" si="128"/>
        <v/>
      </c>
      <c r="KV16" s="11" t="str">
        <f t="shared" si="129"/>
        <v/>
      </c>
      <c r="KW16" s="11" t="str">
        <f t="shared" si="130"/>
        <v/>
      </c>
      <c r="KX16" s="11" t="str">
        <f t="shared" si="131"/>
        <v/>
      </c>
      <c r="KY16" s="11" t="str">
        <f t="shared" si="132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3"/>
        <v/>
      </c>
      <c r="LU16" s="40" t="str">
        <f t="shared" si="134"/>
        <v/>
      </c>
      <c r="LV16" s="40" t="str">
        <f t="shared" si="135"/>
        <v/>
      </c>
      <c r="LW16" s="40" t="str">
        <f t="shared" si="136"/>
        <v/>
      </c>
      <c r="LX16" s="40" t="str">
        <f t="shared" si="137"/>
        <v/>
      </c>
      <c r="LY16" s="40" t="str">
        <f t="shared" si="138"/>
        <v/>
      </c>
      <c r="LZ16" s="40" t="str">
        <f t="shared" si="139"/>
        <v/>
      </c>
      <c r="MA16" s="40" t="str">
        <f t="shared" si="140"/>
        <v/>
      </c>
      <c r="MB16" s="40" t="str">
        <f t="shared" si="141"/>
        <v/>
      </c>
      <c r="MC16" s="40" t="str">
        <f t="shared" si="142"/>
        <v/>
      </c>
      <c r="MD16" s="40" t="str">
        <f t="shared" si="143"/>
        <v/>
      </c>
      <c r="ME16" s="40" t="str">
        <f t="shared" si="144"/>
        <v/>
      </c>
      <c r="MF16" s="40" t="str">
        <f t="shared" si="145"/>
        <v/>
      </c>
      <c r="MG16" s="40" t="str">
        <f t="shared" si="146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7"/>
        <v/>
      </c>
      <c r="NC16" s="11" t="str">
        <f t="shared" si="148"/>
        <v/>
      </c>
      <c r="ND16" s="11" t="str">
        <f t="shared" si="149"/>
        <v/>
      </c>
      <c r="NE16" s="11" t="str">
        <f t="shared" si="150"/>
        <v/>
      </c>
      <c r="NF16" s="11" t="str">
        <f t="shared" si="151"/>
        <v/>
      </c>
      <c r="NG16" s="11" t="str">
        <f t="shared" si="152"/>
        <v/>
      </c>
      <c r="NH16" s="11" t="str">
        <f t="shared" si="153"/>
        <v/>
      </c>
      <c r="NI16" s="11" t="str">
        <f t="shared" si="154"/>
        <v/>
      </c>
      <c r="NJ16" s="11" t="str">
        <f t="shared" si="155"/>
        <v/>
      </c>
      <c r="NK16" s="11" t="str">
        <f t="shared" si="156"/>
        <v/>
      </c>
      <c r="NL16" s="11" t="str">
        <f t="shared" si="157"/>
        <v/>
      </c>
      <c r="NM16" s="11" t="str">
        <f t="shared" si="158"/>
        <v/>
      </c>
      <c r="NN16" s="11" t="str">
        <f t="shared" si="159"/>
        <v/>
      </c>
      <c r="NO16" s="11" t="str">
        <f t="shared" si="160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1"/>
        <v/>
      </c>
      <c r="OK16" s="40" t="str">
        <f t="shared" si="162"/>
        <v/>
      </c>
      <c r="OL16" s="40" t="str">
        <f t="shared" si="163"/>
        <v/>
      </c>
      <c r="OM16" s="40" t="str">
        <f t="shared" si="164"/>
        <v/>
      </c>
      <c r="ON16" s="40" t="str">
        <f t="shared" si="165"/>
        <v/>
      </c>
      <c r="OO16" s="40" t="str">
        <f t="shared" si="166"/>
        <v/>
      </c>
      <c r="OP16" s="40" t="str">
        <f t="shared" si="167"/>
        <v/>
      </c>
      <c r="OQ16" s="40" t="str">
        <f t="shared" si="168"/>
        <v/>
      </c>
      <c r="OR16" s="40" t="str">
        <f t="shared" si="169"/>
        <v/>
      </c>
      <c r="OS16" s="40" t="str">
        <f t="shared" si="170"/>
        <v/>
      </c>
      <c r="OT16" s="40" t="str">
        <f t="shared" si="171"/>
        <v/>
      </c>
      <c r="OU16" s="40" t="str">
        <f t="shared" si="172"/>
        <v/>
      </c>
      <c r="OV16" s="40" t="str">
        <f t="shared" si="173"/>
        <v/>
      </c>
      <c r="OW16" s="40" t="str">
        <f t="shared" si="174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5"/>
        <v/>
      </c>
      <c r="PS16" s="11" t="str">
        <f t="shared" si="176"/>
        <v/>
      </c>
      <c r="PT16" s="11" t="str">
        <f t="shared" si="177"/>
        <v/>
      </c>
      <c r="PU16" s="11" t="str">
        <f t="shared" si="178"/>
        <v/>
      </c>
      <c r="PV16" s="11" t="str">
        <f t="shared" si="179"/>
        <v/>
      </c>
      <c r="PW16" s="11" t="str">
        <f t="shared" si="180"/>
        <v/>
      </c>
      <c r="PX16" s="11" t="str">
        <f t="shared" si="181"/>
        <v/>
      </c>
      <c r="PY16" s="11" t="str">
        <f t="shared" si="182"/>
        <v/>
      </c>
      <c r="PZ16" s="11" t="str">
        <f t="shared" si="183"/>
        <v/>
      </c>
      <c r="QA16" s="11" t="str">
        <f t="shared" si="184"/>
        <v/>
      </c>
      <c r="QB16" s="11" t="str">
        <f t="shared" si="185"/>
        <v/>
      </c>
      <c r="QC16" s="11" t="str">
        <f t="shared" si="186"/>
        <v/>
      </c>
      <c r="QD16" s="11" t="str">
        <f t="shared" si="187"/>
        <v/>
      </c>
      <c r="QE16" s="11" t="str">
        <f t="shared" si="188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89"/>
        <v/>
      </c>
      <c r="RA16" s="40" t="str">
        <f t="shared" si="190"/>
        <v/>
      </c>
      <c r="RB16" s="40" t="str">
        <f t="shared" si="191"/>
        <v/>
      </c>
      <c r="RC16" s="40" t="str">
        <f t="shared" si="192"/>
        <v/>
      </c>
      <c r="RD16" s="40" t="str">
        <f t="shared" si="193"/>
        <v/>
      </c>
      <c r="RE16" s="40" t="str">
        <f t="shared" si="194"/>
        <v/>
      </c>
      <c r="RF16" s="40" t="str">
        <f t="shared" si="195"/>
        <v/>
      </c>
      <c r="RG16" s="40" t="str">
        <f t="shared" si="196"/>
        <v/>
      </c>
      <c r="RH16" s="40" t="str">
        <f t="shared" si="197"/>
        <v/>
      </c>
      <c r="RI16" s="40" t="str">
        <f t="shared" si="198"/>
        <v/>
      </c>
      <c r="RJ16" s="40" t="str">
        <f t="shared" si="199"/>
        <v/>
      </c>
      <c r="RK16" s="40" t="str">
        <f t="shared" si="200"/>
        <v/>
      </c>
      <c r="RL16" s="40" t="str">
        <f t="shared" si="201"/>
        <v/>
      </c>
      <c r="RM16" s="40" t="str">
        <f t="shared" si="202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3"/>
        <v/>
      </c>
      <c r="SI16" s="11" t="str">
        <f t="shared" si="204"/>
        <v/>
      </c>
      <c r="SJ16" s="11" t="str">
        <f t="shared" si="205"/>
        <v/>
      </c>
      <c r="SK16" s="11" t="str">
        <f t="shared" si="206"/>
        <v/>
      </c>
      <c r="SL16" s="11" t="str">
        <f t="shared" si="207"/>
        <v/>
      </c>
      <c r="SM16" s="11" t="str">
        <f t="shared" si="208"/>
        <v/>
      </c>
      <c r="SN16" s="11" t="str">
        <f t="shared" si="209"/>
        <v/>
      </c>
      <c r="SO16" s="11" t="str">
        <f t="shared" si="210"/>
        <v/>
      </c>
      <c r="SP16" s="11" t="str">
        <f t="shared" si="211"/>
        <v/>
      </c>
      <c r="SQ16" s="11" t="str">
        <f t="shared" si="212"/>
        <v/>
      </c>
      <c r="SR16" s="11" t="str">
        <f t="shared" si="213"/>
        <v/>
      </c>
      <c r="SS16" s="11" t="str">
        <f t="shared" si="214"/>
        <v/>
      </c>
      <c r="ST16" s="11" t="str">
        <f t="shared" si="215"/>
        <v/>
      </c>
      <c r="SU16" s="11" t="str">
        <f t="shared" si="216"/>
        <v/>
      </c>
      <c r="SV16" s="22">
        <f t="shared" si="217"/>
        <v>6.6</v>
      </c>
      <c r="SW16" s="22">
        <f t="shared" si="218"/>
        <v>4.4000000000000004</v>
      </c>
      <c r="SX16" s="22">
        <f t="shared" si="219"/>
        <v>5.0999999999999996</v>
      </c>
      <c r="SY16" s="22">
        <f t="shared" si="220"/>
        <v>6.11</v>
      </c>
      <c r="SZ16" s="22">
        <f t="shared" si="221"/>
        <v>0</v>
      </c>
      <c r="TA16" s="22">
        <f t="shared" si="222"/>
        <v>6.95</v>
      </c>
      <c r="TB16" s="22">
        <f t="shared" si="223"/>
        <v>4.8</v>
      </c>
      <c r="TC16" s="22">
        <f t="shared" si="224"/>
        <v>5.0999999999999996</v>
      </c>
      <c r="TD16" s="22">
        <f t="shared" si="225"/>
        <v>6.335</v>
      </c>
      <c r="TE16" s="22">
        <f t="shared" si="226"/>
        <v>0</v>
      </c>
      <c r="TF16" s="22">
        <f t="shared" si="227"/>
        <v>0</v>
      </c>
      <c r="TG16" s="22">
        <f t="shared" si="228"/>
        <v>0</v>
      </c>
      <c r="TH16" s="22">
        <f t="shared" si="229"/>
        <v>0</v>
      </c>
      <c r="TI16" s="22">
        <f t="shared" si="230"/>
        <v>0</v>
      </c>
      <c r="TJ16" s="22">
        <f t="shared" si="231"/>
        <v>0</v>
      </c>
      <c r="TK16" s="27" t="s">
        <v>46</v>
      </c>
      <c r="TL16" s="40">
        <f t="shared" si="232"/>
        <v>5.0999999999999996</v>
      </c>
      <c r="TM16" s="40">
        <f t="shared" si="233"/>
        <v>6.11</v>
      </c>
      <c r="TN16" s="40">
        <f t="shared" si="234"/>
        <v>22.21</v>
      </c>
      <c r="TO16" s="40">
        <f t="shared" si="235"/>
        <v>5.0999999999999996</v>
      </c>
      <c r="TP16" s="40">
        <f t="shared" si="236"/>
        <v>6.335</v>
      </c>
      <c r="TQ16" s="40">
        <f t="shared" si="237"/>
        <v>23.185000000000002</v>
      </c>
      <c r="TR16" s="40">
        <f t="shared" si="238"/>
        <v>23.185000000000002</v>
      </c>
      <c r="TS16" s="40" t="str">
        <f t="shared" si="239"/>
        <v/>
      </c>
      <c r="TT16" s="40" t="str">
        <f t="shared" si="240"/>
        <v/>
      </c>
      <c r="TU16" s="40" t="str">
        <f t="shared" si="241"/>
        <v/>
      </c>
      <c r="TV16" s="40">
        <f t="shared" si="242"/>
        <v>23.185000000000002</v>
      </c>
    </row>
    <row r="17" spans="1:542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218</v>
      </c>
      <c r="D17" s="4" t="s">
        <v>4</v>
      </c>
      <c r="E17" s="4">
        <v>2006</v>
      </c>
      <c r="F17" s="9">
        <f t="shared" si="0"/>
        <v>144.98001449800458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45.8</v>
      </c>
      <c r="M17" s="8" t="str">
        <f t="shared" si="5"/>
        <v>2023 Nationals</v>
      </c>
      <c r="N17" s="8">
        <f>IF(COUNT(AQ17,AT17,BR17,BU17,CS17,CV17)&gt;1,LARGE((AQ17,AT17,BR17,BU17,CS17,CV17),2),0)</f>
        <v>45.099999999999994</v>
      </c>
      <c r="O17" s="8" t="str">
        <f t="shared" si="6"/>
        <v>2023 3rd Domestic Trial</v>
      </c>
      <c r="P17" s="8">
        <f>IF(COUNT(AQ17,AT17,BR17,BU17,CS17,CV17)&gt;2,MAX(AX17,BY17,CZ17,LARGE((AQ17,AT17,BR17,BU17,CS17,CV17),3)),IF(MAX(AX17,BY17,CZ17)&gt;0,MAX(AX17,BY17,CZ17),0))</f>
        <v>43.58</v>
      </c>
      <c r="Q17" s="8" t="str">
        <f t="shared" si="7"/>
        <v>2023 3rd Domestic Trial</v>
      </c>
      <c r="R17" s="8">
        <f t="shared" si="8"/>
        <v>10.5</v>
      </c>
      <c r="S17" s="8" t="str">
        <f t="shared" si="9"/>
        <v>2023 Nationals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>IF(V17="","",IF(V17=DB17,IF(V17+IF(P17="",0,P17)=SN17,$RN$1,IF(V17+IF(P17="",0,P17)=RF17,$QF$1,IF(V17+IF(P17="",0,P17)=PX17,$OX$1,IF(V17+IF(P17="",0,P17)=OP17,$NP$1,IF(V17+IF(P17="",0,P17)=NH17,$MH$1,IF(V17+IF(P17="",0,P17)=LZ17,$KZ$1,IF(V17+IF(P17="",0,P17)=KR17,$JR$1,IF(V17+IF(P17="",0,P17)=JJ17,$IJ$1,IF(V17+IF(P17="",0,P17)=IB17,$HB$1,IF(V17+IF(P17="",0,P17)=GT17,$FT$1,IF(V17+IF(P17="",0,P17)=FL17,$EL$1,IF(V17+IF(P17="",0,P17)=ED17,$DD$1)))))))))))),IF(V17=DC17,IF(V17+IF(#REF!="",0,#REF!)=ST17,$RN$1,IF(V17+IF(#REF!="",0,#REF!)=RL17,$QF$1,IF(V17+IF(#REF!="",0,#REF!)=QD17,$OX$1,IF(V17+IF(#REF!="",0,#REF!)=OV17,$NP$1,IF(V17+IF(#REF!="",0,#REF!)=NN17,$MH$1,IF(V17+IF(#REF!="",0,#REF!)=MF17,$KZ$1,IF(V17+IF(#REF!="",0,#REF!)=KX17,$JR$1,IF(V17+IF(#REF!="",0,#REF!)=JP17,$IJ$1,IF(V17+IF(#REF!="",0,#REF!)=IH17,$HB$1,IF(V17+IF(#REF!="",0,#REF!)=GZ17,$FT$1,IF(V17+IF(#REF!="",0,#REF!)=FR17,$EL$1,IF(V17+IF(#REF!="",0,#REF!)=EJ17,$DD$1,IF(V17+IF(#REF!="",0,#REF!)=SQ17,$RN$1,IF(V17+IF(#REF!="",0,#REF!)=RI17,$QF$1,IF(V17+IF(#REF!="",0,#REF!)=QA17,$OX$1,IF(V17+IF(#REF!="",0,#REF!)=OS17,$NP$1,IF(V17+IF(#REF!="",0,#REF!)=NK17,$MH$1,IF(V17+IF(#REF!="",0,#REF!)=MC17,$KZ$1,IF(V17+IF(#REF!="",0,#REF!)=KU17,$JR$1,IF(V17+IF(#REF!="",0,#REF!)=JM17,$IJ$1,IF(V17+IF(#REF!="",0,#REF!)=IE17,$HB$1,IF(V17+IF(#REF!="",0,#REF!)=GW17,$FT$1,IF(V17+IF(#REF!="",0,#REF!)=FO17,$EL$1,IF(V17+IF(#REF!="",0,#REF!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 t="shared" si="14"/>
        <v/>
      </c>
      <c r="AP17" s="38" t="str">
        <f t="shared" si="15"/>
        <v/>
      </c>
      <c r="AQ17" s="40" t="str">
        <f t="shared" si="16"/>
        <v/>
      </c>
      <c r="AR17" s="40" t="str">
        <f t="shared" si="17"/>
        <v/>
      </c>
      <c r="AS17" s="40" t="str">
        <f t="shared" si="18"/>
        <v/>
      </c>
      <c r="AT17" s="40" t="str">
        <f t="shared" si="19"/>
        <v/>
      </c>
      <c r="AU17" s="40" t="str">
        <f t="shared" si="20"/>
        <v/>
      </c>
      <c r="AV17" s="40" t="str">
        <f t="shared" si="21"/>
        <v/>
      </c>
      <c r="AW17" s="40" t="str">
        <f t="shared" si="22"/>
        <v/>
      </c>
      <c r="AX17" s="40" t="str">
        <f t="shared" si="23"/>
        <v/>
      </c>
      <c r="AY17" s="40" t="str">
        <f t="shared" si="24"/>
        <v/>
      </c>
      <c r="AZ17" s="26">
        <v>12.9</v>
      </c>
      <c r="BA17" s="26">
        <v>9.1999999999999993</v>
      </c>
      <c r="BB17" s="26">
        <v>10.5</v>
      </c>
      <c r="BC17" s="26">
        <v>13.4</v>
      </c>
      <c r="BD17" s="26">
        <v>0.2</v>
      </c>
      <c r="BE17" s="26">
        <v>2.6</v>
      </c>
      <c r="BF17" s="26">
        <v>1.7</v>
      </c>
      <c r="BG17" s="26">
        <v>1.9</v>
      </c>
      <c r="BH17" s="26">
        <v>2.88</v>
      </c>
      <c r="BI17" s="26">
        <v>0.2</v>
      </c>
      <c r="BJ17" s="26"/>
      <c r="BK17" s="26"/>
      <c r="BL17" s="26"/>
      <c r="BM17" s="26"/>
      <c r="BN17" s="26"/>
      <c r="BO17" s="28"/>
      <c r="BP17" s="39">
        <f t="shared" si="25"/>
        <v>10.5</v>
      </c>
      <c r="BQ17" s="39">
        <f t="shared" si="26"/>
        <v>13.4</v>
      </c>
      <c r="BR17" s="11">
        <f t="shared" si="27"/>
        <v>45.8</v>
      </c>
      <c r="BS17" s="11">
        <f t="shared" si="28"/>
        <v>1.9</v>
      </c>
      <c r="BT17" s="11">
        <f t="shared" si="29"/>
        <v>2.88</v>
      </c>
      <c r="BU17" s="11">
        <f t="shared" si="30"/>
        <v>8.879999999999999</v>
      </c>
      <c r="BV17" s="11">
        <f t="shared" si="31"/>
        <v>45.8</v>
      </c>
      <c r="BW17" s="11" t="str">
        <f t="shared" si="32"/>
        <v/>
      </c>
      <c r="BX17" s="11" t="str">
        <f t="shared" si="33"/>
        <v/>
      </c>
      <c r="BY17" s="11" t="str">
        <f t="shared" si="34"/>
        <v/>
      </c>
      <c r="BZ17" s="11">
        <f t="shared" si="35"/>
        <v>45.8</v>
      </c>
      <c r="CA17" s="22">
        <v>4.9000000000000004</v>
      </c>
      <c r="CB17" s="22">
        <v>3.3</v>
      </c>
      <c r="CC17" s="22">
        <v>4.3</v>
      </c>
      <c r="CD17" s="22">
        <v>5.65</v>
      </c>
      <c r="CE17" s="22">
        <v>0.2</v>
      </c>
      <c r="CF17" s="22">
        <v>12.7</v>
      </c>
      <c r="CG17" s="22">
        <v>8.9</v>
      </c>
      <c r="CH17" s="22">
        <v>9.7999999999999989</v>
      </c>
      <c r="CI17" s="22">
        <v>13.9</v>
      </c>
      <c r="CJ17" s="22">
        <v>0.2</v>
      </c>
      <c r="CK17" s="22">
        <v>12.3</v>
      </c>
      <c r="CL17" s="22">
        <v>9.3000000000000007</v>
      </c>
      <c r="CM17" s="22">
        <v>8.5999999999999979</v>
      </c>
      <c r="CN17" s="22">
        <v>13.78</v>
      </c>
      <c r="CO17" s="22">
        <v>0.4</v>
      </c>
      <c r="CP17" s="27"/>
      <c r="CQ17" s="38">
        <f t="shared" si="36"/>
        <v>4.3</v>
      </c>
      <c r="CR17" s="38">
        <f t="shared" si="37"/>
        <v>5.65</v>
      </c>
      <c r="CS17" s="40">
        <f t="shared" si="38"/>
        <v>17.95</v>
      </c>
      <c r="CT17" s="40">
        <f t="shared" si="39"/>
        <v>9.7999999999999989</v>
      </c>
      <c r="CU17" s="40">
        <f t="shared" si="40"/>
        <v>13.9</v>
      </c>
      <c r="CV17" s="40">
        <f t="shared" si="41"/>
        <v>45.099999999999994</v>
      </c>
      <c r="CW17" s="40">
        <f t="shared" si="42"/>
        <v>45.099999999999994</v>
      </c>
      <c r="CX17" s="40">
        <f t="shared" si="43"/>
        <v>8.5999999999999979</v>
      </c>
      <c r="CY17" s="40">
        <f t="shared" si="44"/>
        <v>13.78</v>
      </c>
      <c r="CZ17" s="40">
        <f t="shared" si="45"/>
        <v>43.58</v>
      </c>
      <c r="DA17" s="40">
        <f t="shared" si="46"/>
        <v>88.679999999999993</v>
      </c>
      <c r="DB17" s="50" t="str">
        <f t="shared" si="47"/>
        <v/>
      </c>
      <c r="DC17" s="50" t="str">
        <f t="shared" si="48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49"/>
        <v/>
      </c>
      <c r="DY17" s="40" t="str">
        <f t="shared" si="50"/>
        <v/>
      </c>
      <c r="DZ17" s="40" t="str">
        <f t="shared" si="51"/>
        <v/>
      </c>
      <c r="EA17" s="40" t="str">
        <f t="shared" si="52"/>
        <v/>
      </c>
      <c r="EB17" s="40" t="str">
        <f t="shared" si="53"/>
        <v/>
      </c>
      <c r="EC17" s="40" t="str">
        <f t="shared" si="54"/>
        <v/>
      </c>
      <c r="ED17" s="40" t="str">
        <f t="shared" si="55"/>
        <v/>
      </c>
      <c r="EE17" s="40" t="str">
        <f t="shared" si="56"/>
        <v/>
      </c>
      <c r="EF17" s="40" t="str">
        <f t="shared" si="57"/>
        <v/>
      </c>
      <c r="EG17" s="40" t="str">
        <f t="shared" si="58"/>
        <v/>
      </c>
      <c r="EH17" s="40" t="str">
        <f t="shared" si="59"/>
        <v/>
      </c>
      <c r="EI17" s="40" t="str">
        <f t="shared" si="60"/>
        <v/>
      </c>
      <c r="EJ17" s="40" t="str">
        <f t="shared" si="61"/>
        <v/>
      </c>
      <c r="EK17" s="40" t="str">
        <f t="shared" si="62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3"/>
        <v/>
      </c>
      <c r="FG17" s="11" t="str">
        <f t="shared" si="64"/>
        <v/>
      </c>
      <c r="FH17" s="11" t="str">
        <f t="shared" si="65"/>
        <v/>
      </c>
      <c r="FI17" s="11" t="str">
        <f t="shared" si="66"/>
        <v/>
      </c>
      <c r="FJ17" s="11" t="str">
        <f t="shared" si="67"/>
        <v/>
      </c>
      <c r="FK17" s="11" t="str">
        <f t="shared" si="68"/>
        <v/>
      </c>
      <c r="FL17" s="11" t="str">
        <f t="shared" si="69"/>
        <v/>
      </c>
      <c r="FM17" s="11" t="str">
        <f t="shared" si="70"/>
        <v/>
      </c>
      <c r="FN17" s="11" t="str">
        <f t="shared" si="71"/>
        <v/>
      </c>
      <c r="FO17" s="11" t="str">
        <f t="shared" si="72"/>
        <v/>
      </c>
      <c r="FP17" s="11" t="str">
        <f t="shared" si="73"/>
        <v/>
      </c>
      <c r="FQ17" s="11" t="str">
        <f t="shared" si="74"/>
        <v/>
      </c>
      <c r="FR17" s="11" t="str">
        <f t="shared" si="75"/>
        <v/>
      </c>
      <c r="FS17" s="11" t="str">
        <f t="shared" si="76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7"/>
        <v/>
      </c>
      <c r="GO17" s="40" t="str">
        <f t="shared" si="78"/>
        <v/>
      </c>
      <c r="GP17" s="40" t="str">
        <f t="shared" si="79"/>
        <v/>
      </c>
      <c r="GQ17" s="40" t="str">
        <f t="shared" si="80"/>
        <v/>
      </c>
      <c r="GR17" s="40" t="str">
        <f t="shared" si="81"/>
        <v/>
      </c>
      <c r="GS17" s="40" t="str">
        <f t="shared" si="82"/>
        <v/>
      </c>
      <c r="GT17" s="40" t="str">
        <f t="shared" si="83"/>
        <v/>
      </c>
      <c r="GU17" s="40" t="str">
        <f t="shared" si="84"/>
        <v/>
      </c>
      <c r="GV17" s="40" t="str">
        <f t="shared" si="85"/>
        <v/>
      </c>
      <c r="GW17" s="40" t="str">
        <f t="shared" si="86"/>
        <v/>
      </c>
      <c r="GX17" s="40" t="str">
        <f t="shared" si="87"/>
        <v/>
      </c>
      <c r="GY17" s="40" t="str">
        <f t="shared" si="88"/>
        <v/>
      </c>
      <c r="GZ17" s="40" t="str">
        <f t="shared" si="89"/>
        <v/>
      </c>
      <c r="HA17" s="40" t="str">
        <f t="shared" si="90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1"/>
        <v/>
      </c>
      <c r="HW17" s="11" t="str">
        <f t="shared" si="92"/>
        <v/>
      </c>
      <c r="HX17" s="11" t="str">
        <f t="shared" si="93"/>
        <v/>
      </c>
      <c r="HY17" s="11" t="str">
        <f t="shared" si="94"/>
        <v/>
      </c>
      <c r="HZ17" s="11" t="str">
        <f t="shared" si="95"/>
        <v/>
      </c>
      <c r="IA17" s="11" t="str">
        <f t="shared" si="96"/>
        <v/>
      </c>
      <c r="IB17" s="11" t="str">
        <f t="shared" si="97"/>
        <v/>
      </c>
      <c r="IC17" s="11" t="str">
        <f t="shared" si="98"/>
        <v/>
      </c>
      <c r="ID17" s="11" t="str">
        <f t="shared" si="99"/>
        <v/>
      </c>
      <c r="IE17" s="11" t="str">
        <f t="shared" si="100"/>
        <v/>
      </c>
      <c r="IF17" s="11" t="str">
        <f t="shared" si="101"/>
        <v/>
      </c>
      <c r="IG17" s="11" t="str">
        <f t="shared" si="102"/>
        <v/>
      </c>
      <c r="IH17" s="11" t="str">
        <f t="shared" si="103"/>
        <v/>
      </c>
      <c r="II17" s="11" t="str">
        <f t="shared" si="104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5"/>
        <v/>
      </c>
      <c r="JE17" s="40" t="str">
        <f t="shared" si="106"/>
        <v/>
      </c>
      <c r="JF17" s="40" t="str">
        <f t="shared" si="107"/>
        <v/>
      </c>
      <c r="JG17" s="40" t="str">
        <f t="shared" si="108"/>
        <v/>
      </c>
      <c r="JH17" s="40" t="str">
        <f t="shared" si="109"/>
        <v/>
      </c>
      <c r="JI17" s="40" t="str">
        <f t="shared" si="110"/>
        <v/>
      </c>
      <c r="JJ17" s="40" t="str">
        <f t="shared" si="111"/>
        <v/>
      </c>
      <c r="JK17" s="40" t="str">
        <f t="shared" si="112"/>
        <v/>
      </c>
      <c r="JL17" s="40" t="str">
        <f t="shared" si="113"/>
        <v/>
      </c>
      <c r="JM17" s="40" t="str">
        <f t="shared" si="114"/>
        <v/>
      </c>
      <c r="JN17" s="40" t="str">
        <f t="shared" si="115"/>
        <v/>
      </c>
      <c r="JO17" s="40" t="str">
        <f t="shared" si="116"/>
        <v/>
      </c>
      <c r="JP17" s="40" t="str">
        <f t="shared" si="117"/>
        <v/>
      </c>
      <c r="JQ17" s="40" t="str">
        <f t="shared" si="118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19"/>
        <v/>
      </c>
      <c r="KM17" s="11" t="str">
        <f t="shared" si="120"/>
        <v/>
      </c>
      <c r="KN17" s="11" t="str">
        <f t="shared" si="121"/>
        <v/>
      </c>
      <c r="KO17" s="11" t="str">
        <f t="shared" si="122"/>
        <v/>
      </c>
      <c r="KP17" s="11" t="str">
        <f t="shared" si="123"/>
        <v/>
      </c>
      <c r="KQ17" s="11" t="str">
        <f t="shared" si="124"/>
        <v/>
      </c>
      <c r="KR17" s="11" t="str">
        <f t="shared" si="125"/>
        <v/>
      </c>
      <c r="KS17" s="11" t="str">
        <f t="shared" si="126"/>
        <v/>
      </c>
      <c r="KT17" s="11" t="str">
        <f t="shared" si="127"/>
        <v/>
      </c>
      <c r="KU17" s="11" t="str">
        <f t="shared" si="128"/>
        <v/>
      </c>
      <c r="KV17" s="11" t="str">
        <f t="shared" si="129"/>
        <v/>
      </c>
      <c r="KW17" s="11" t="str">
        <f t="shared" si="130"/>
        <v/>
      </c>
      <c r="KX17" s="11" t="str">
        <f t="shared" si="131"/>
        <v/>
      </c>
      <c r="KY17" s="11" t="str">
        <f t="shared" si="132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3"/>
        <v/>
      </c>
      <c r="LU17" s="40" t="str">
        <f t="shared" si="134"/>
        <v/>
      </c>
      <c r="LV17" s="40" t="str">
        <f t="shared" si="135"/>
        <v/>
      </c>
      <c r="LW17" s="40" t="str">
        <f t="shared" si="136"/>
        <v/>
      </c>
      <c r="LX17" s="40" t="str">
        <f t="shared" si="137"/>
        <v/>
      </c>
      <c r="LY17" s="40" t="str">
        <f t="shared" si="138"/>
        <v/>
      </c>
      <c r="LZ17" s="40" t="str">
        <f t="shared" si="139"/>
        <v/>
      </c>
      <c r="MA17" s="40" t="str">
        <f t="shared" si="140"/>
        <v/>
      </c>
      <c r="MB17" s="40" t="str">
        <f t="shared" si="141"/>
        <v/>
      </c>
      <c r="MC17" s="40" t="str">
        <f t="shared" si="142"/>
        <v/>
      </c>
      <c r="MD17" s="40" t="str">
        <f t="shared" si="143"/>
        <v/>
      </c>
      <c r="ME17" s="40" t="str">
        <f t="shared" si="144"/>
        <v/>
      </c>
      <c r="MF17" s="40" t="str">
        <f t="shared" si="145"/>
        <v/>
      </c>
      <c r="MG17" s="40" t="str">
        <f t="shared" si="146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7"/>
        <v/>
      </c>
      <c r="NC17" s="11" t="str">
        <f t="shared" si="148"/>
        <v/>
      </c>
      <c r="ND17" s="11" t="str">
        <f t="shared" si="149"/>
        <v/>
      </c>
      <c r="NE17" s="11" t="str">
        <f t="shared" si="150"/>
        <v/>
      </c>
      <c r="NF17" s="11" t="str">
        <f t="shared" si="151"/>
        <v/>
      </c>
      <c r="NG17" s="11" t="str">
        <f t="shared" si="152"/>
        <v/>
      </c>
      <c r="NH17" s="11" t="str">
        <f t="shared" si="153"/>
        <v/>
      </c>
      <c r="NI17" s="11" t="str">
        <f t="shared" si="154"/>
        <v/>
      </c>
      <c r="NJ17" s="11" t="str">
        <f t="shared" si="155"/>
        <v/>
      </c>
      <c r="NK17" s="11" t="str">
        <f t="shared" si="156"/>
        <v/>
      </c>
      <c r="NL17" s="11" t="str">
        <f t="shared" si="157"/>
        <v/>
      </c>
      <c r="NM17" s="11" t="str">
        <f t="shared" si="158"/>
        <v/>
      </c>
      <c r="NN17" s="11" t="str">
        <f t="shared" si="159"/>
        <v/>
      </c>
      <c r="NO17" s="11" t="str">
        <f t="shared" si="160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1"/>
        <v/>
      </c>
      <c r="OK17" s="40" t="str">
        <f t="shared" si="162"/>
        <v/>
      </c>
      <c r="OL17" s="40" t="str">
        <f t="shared" si="163"/>
        <v/>
      </c>
      <c r="OM17" s="40" t="str">
        <f t="shared" si="164"/>
        <v/>
      </c>
      <c r="ON17" s="40" t="str">
        <f t="shared" si="165"/>
        <v/>
      </c>
      <c r="OO17" s="40" t="str">
        <f t="shared" si="166"/>
        <v/>
      </c>
      <c r="OP17" s="40" t="str">
        <f t="shared" si="167"/>
        <v/>
      </c>
      <c r="OQ17" s="40" t="str">
        <f t="shared" si="168"/>
        <v/>
      </c>
      <c r="OR17" s="40" t="str">
        <f t="shared" si="169"/>
        <v/>
      </c>
      <c r="OS17" s="40" t="str">
        <f t="shared" si="170"/>
        <v/>
      </c>
      <c r="OT17" s="40" t="str">
        <f t="shared" si="171"/>
        <v/>
      </c>
      <c r="OU17" s="40" t="str">
        <f t="shared" si="172"/>
        <v/>
      </c>
      <c r="OV17" s="40" t="str">
        <f t="shared" si="173"/>
        <v/>
      </c>
      <c r="OW17" s="40" t="str">
        <f t="shared" si="174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5"/>
        <v/>
      </c>
      <c r="PS17" s="11" t="str">
        <f t="shared" si="176"/>
        <v/>
      </c>
      <c r="PT17" s="11" t="str">
        <f t="shared" si="177"/>
        <v/>
      </c>
      <c r="PU17" s="11" t="str">
        <f t="shared" si="178"/>
        <v/>
      </c>
      <c r="PV17" s="11" t="str">
        <f t="shared" si="179"/>
        <v/>
      </c>
      <c r="PW17" s="11" t="str">
        <f t="shared" si="180"/>
        <v/>
      </c>
      <c r="PX17" s="11" t="str">
        <f t="shared" si="181"/>
        <v/>
      </c>
      <c r="PY17" s="11" t="str">
        <f t="shared" si="182"/>
        <v/>
      </c>
      <c r="PZ17" s="11" t="str">
        <f t="shared" si="183"/>
        <v/>
      </c>
      <c r="QA17" s="11" t="str">
        <f t="shared" si="184"/>
        <v/>
      </c>
      <c r="QB17" s="11" t="str">
        <f t="shared" si="185"/>
        <v/>
      </c>
      <c r="QC17" s="11" t="str">
        <f t="shared" si="186"/>
        <v/>
      </c>
      <c r="QD17" s="11" t="str">
        <f t="shared" si="187"/>
        <v/>
      </c>
      <c r="QE17" s="11" t="str">
        <f t="shared" si="188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89"/>
        <v/>
      </c>
      <c r="RA17" s="40" t="str">
        <f t="shared" si="190"/>
        <v/>
      </c>
      <c r="RB17" s="40" t="str">
        <f t="shared" si="191"/>
        <v/>
      </c>
      <c r="RC17" s="40" t="str">
        <f t="shared" si="192"/>
        <v/>
      </c>
      <c r="RD17" s="40" t="str">
        <f t="shared" si="193"/>
        <v/>
      </c>
      <c r="RE17" s="40" t="str">
        <f t="shared" si="194"/>
        <v/>
      </c>
      <c r="RF17" s="40" t="str">
        <f t="shared" si="195"/>
        <v/>
      </c>
      <c r="RG17" s="40" t="str">
        <f t="shared" si="196"/>
        <v/>
      </c>
      <c r="RH17" s="40" t="str">
        <f t="shared" si="197"/>
        <v/>
      </c>
      <c r="RI17" s="40" t="str">
        <f t="shared" si="198"/>
        <v/>
      </c>
      <c r="RJ17" s="40" t="str">
        <f t="shared" si="199"/>
        <v/>
      </c>
      <c r="RK17" s="40" t="str">
        <f t="shared" si="200"/>
        <v/>
      </c>
      <c r="RL17" s="40" t="str">
        <f t="shared" si="201"/>
        <v/>
      </c>
      <c r="RM17" s="40" t="str">
        <f t="shared" si="202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3"/>
        <v/>
      </c>
      <c r="SI17" s="11" t="str">
        <f t="shared" si="204"/>
        <v/>
      </c>
      <c r="SJ17" s="11" t="str">
        <f t="shared" si="205"/>
        <v/>
      </c>
      <c r="SK17" s="11" t="str">
        <f t="shared" si="206"/>
        <v/>
      </c>
      <c r="SL17" s="11" t="str">
        <f t="shared" si="207"/>
        <v/>
      </c>
      <c r="SM17" s="11" t="str">
        <f t="shared" si="208"/>
        <v/>
      </c>
      <c r="SN17" s="11" t="str">
        <f t="shared" si="209"/>
        <v/>
      </c>
      <c r="SO17" s="11" t="str">
        <f t="shared" si="210"/>
        <v/>
      </c>
      <c r="SP17" s="11" t="str">
        <f t="shared" si="211"/>
        <v/>
      </c>
      <c r="SQ17" s="11" t="str">
        <f t="shared" si="212"/>
        <v/>
      </c>
      <c r="SR17" s="11" t="str">
        <f t="shared" si="213"/>
        <v/>
      </c>
      <c r="SS17" s="11" t="str">
        <f t="shared" si="214"/>
        <v/>
      </c>
      <c r="ST17" s="11" t="str">
        <f t="shared" si="215"/>
        <v/>
      </c>
      <c r="SU17" s="11" t="str">
        <f t="shared" si="216"/>
        <v/>
      </c>
      <c r="SV17" s="22">
        <f t="shared" si="217"/>
        <v>8.9</v>
      </c>
      <c r="SW17" s="22">
        <f t="shared" si="218"/>
        <v>6.25</v>
      </c>
      <c r="SX17" s="22">
        <f t="shared" si="219"/>
        <v>7.4</v>
      </c>
      <c r="SY17" s="22">
        <f t="shared" si="220"/>
        <v>9.5250000000000004</v>
      </c>
      <c r="SZ17" s="22">
        <f t="shared" si="221"/>
        <v>0.2</v>
      </c>
      <c r="TA17" s="22">
        <f t="shared" si="222"/>
        <v>7.6499999999999995</v>
      </c>
      <c r="TB17" s="22">
        <f t="shared" si="223"/>
        <v>5.3</v>
      </c>
      <c r="TC17" s="22">
        <f t="shared" si="224"/>
        <v>5.85</v>
      </c>
      <c r="TD17" s="22">
        <f t="shared" si="225"/>
        <v>8.39</v>
      </c>
      <c r="TE17" s="22">
        <f t="shared" si="226"/>
        <v>0.2</v>
      </c>
      <c r="TF17" s="22">
        <f t="shared" si="227"/>
        <v>6.15</v>
      </c>
      <c r="TG17" s="22">
        <f t="shared" si="228"/>
        <v>4.6500000000000004</v>
      </c>
      <c r="TH17" s="22">
        <f t="shared" si="229"/>
        <v>4.2999999999999989</v>
      </c>
      <c r="TI17" s="22">
        <f t="shared" si="230"/>
        <v>6.89</v>
      </c>
      <c r="TJ17" s="22">
        <f t="shared" si="231"/>
        <v>0.2</v>
      </c>
      <c r="TK17" s="27" t="s">
        <v>46</v>
      </c>
      <c r="TL17" s="40">
        <f t="shared" si="232"/>
        <v>7.4</v>
      </c>
      <c r="TM17" s="40">
        <f t="shared" si="233"/>
        <v>9.5250000000000004</v>
      </c>
      <c r="TN17" s="40">
        <f t="shared" si="234"/>
        <v>31.875000000000004</v>
      </c>
      <c r="TO17" s="40">
        <f t="shared" si="235"/>
        <v>5.85</v>
      </c>
      <c r="TP17" s="40">
        <f t="shared" si="236"/>
        <v>8.39</v>
      </c>
      <c r="TQ17" s="40">
        <f t="shared" si="237"/>
        <v>26.99</v>
      </c>
      <c r="TR17" s="40">
        <f t="shared" si="238"/>
        <v>31.875000000000004</v>
      </c>
      <c r="TS17" s="40">
        <f t="shared" si="239"/>
        <v>4.2999999999999989</v>
      </c>
      <c r="TT17" s="40">
        <f t="shared" si="240"/>
        <v>6.89</v>
      </c>
      <c r="TU17" s="40">
        <f t="shared" si="241"/>
        <v>21.79</v>
      </c>
      <c r="TV17" s="40">
        <f t="shared" si="242"/>
        <v>53.665000000000006</v>
      </c>
    </row>
    <row r="18" spans="1:542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173</v>
      </c>
      <c r="D18" s="4" t="s">
        <v>31</v>
      </c>
      <c r="E18" s="4">
        <v>2006</v>
      </c>
      <c r="F18" s="9">
        <f t="shared" si="0"/>
        <v>142.06001420600447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44.989999999999995</v>
      </c>
      <c r="M18" s="8" t="str">
        <f t="shared" si="5"/>
        <v>2023 Nationals</v>
      </c>
      <c r="N18" s="8">
        <f>IF(COUNT(AQ18,AT18,BR18,BU18,CS18,CV18)&gt;1,LARGE((AQ18,AT18,BR18,BU18,CS18,CV18),2),0)</f>
        <v>44.46</v>
      </c>
      <c r="O18" s="8" t="str">
        <f t="shared" si="6"/>
        <v>2023 Elite Canada</v>
      </c>
      <c r="P18" s="8">
        <f>IF(COUNT(AQ18,AT18,BR18,BU18,CS18,CV18)&gt;2,MAX(AX18,BY18,CZ18,LARGE((AQ18,AT18,BR18,BU18,CS18,CV18),3)),IF(MAX(AX18,BY18,CZ18)&gt;0,MAX(AX18,BY18,CZ18),0))</f>
        <v>43.51</v>
      </c>
      <c r="Q18" s="8" t="str">
        <f t="shared" si="7"/>
        <v>2023 Elite Canada</v>
      </c>
      <c r="R18" s="8">
        <f t="shared" si="8"/>
        <v>9.1</v>
      </c>
      <c r="S18" s="8" t="str">
        <f t="shared" si="9"/>
        <v>2023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>IF(V18="","",IF(V18=DB18,IF(V18+IF(P18="",0,P18)=SN18,$RN$1,IF(V18+IF(P18="",0,P18)=RF18,$QF$1,IF(V18+IF(P18="",0,P18)=PX18,$OX$1,IF(V18+IF(P18="",0,P18)=OP18,$NP$1,IF(V18+IF(P18="",0,P18)=NH18,$MH$1,IF(V18+IF(P18="",0,P18)=LZ18,$KZ$1,IF(V18+IF(P18="",0,P18)=KR18,$JR$1,IF(V18+IF(P18="",0,P18)=JJ18,$IJ$1,IF(V18+IF(P18="",0,P18)=IB18,$HB$1,IF(V18+IF(P18="",0,P18)=GT18,$FT$1,IF(V18+IF(P18="",0,P18)=FL18,$EL$1,IF(V18+IF(P18="",0,P18)=ED18,$DD$1)))))))))))),IF(V18=DC18,IF(V18+IF(#REF!="",0,#REF!)=ST18,$RN$1,IF(V18+IF(#REF!="",0,#REF!)=RL18,$QF$1,IF(V18+IF(#REF!="",0,#REF!)=QD18,$OX$1,IF(V18+IF(#REF!="",0,#REF!)=OV18,$NP$1,IF(V18+IF(#REF!="",0,#REF!)=NN18,$MH$1,IF(V18+IF(#REF!="",0,#REF!)=MF18,$KZ$1,IF(V18+IF(#REF!="",0,#REF!)=KX18,$JR$1,IF(V18+IF(#REF!="",0,#REF!)=JP18,$IJ$1,IF(V18+IF(#REF!="",0,#REF!)=IH18,$HB$1,IF(V18+IF(#REF!="",0,#REF!)=GZ18,$FT$1,IF(V18+IF(#REF!="",0,#REF!)=FR18,$EL$1,IF(V18+IF(#REF!="",0,#REF!)=EJ18,$DD$1,IF(V18+IF(#REF!="",0,#REF!)=SQ18,$RN$1,IF(V18+IF(#REF!="",0,#REF!)=RI18,$QF$1,IF(V18+IF(#REF!="",0,#REF!)=QA18,$OX$1,IF(V18+IF(#REF!="",0,#REF!)=OS18,$NP$1,IF(V18+IF(#REF!="",0,#REF!)=NK18,$MH$1,IF(V18+IF(#REF!="",0,#REF!)=MC18,$KZ$1,IF(V18+IF(#REF!="",0,#REF!)=KU18,$JR$1,IF(V18+IF(#REF!="",0,#REF!)=JM18,$IJ$1,IF(V18+IF(#REF!="",0,#REF!)=IE18,$HB$1,IF(V18+IF(#REF!="",0,#REF!)=GW18,$FT$1,IF(V18+IF(#REF!="",0,#REF!)=FO18,$EL$1,IF(V18+IF(#REF!="",0,#REF!)=EG18,$DD$1)))))))))))))))))))))))))))</f>
        <v/>
      </c>
      <c r="Y18" s="22">
        <v>2.8</v>
      </c>
      <c r="Z18" s="22">
        <v>1.8</v>
      </c>
      <c r="AA18" s="22">
        <v>2</v>
      </c>
      <c r="AB18" s="22">
        <v>2.72</v>
      </c>
      <c r="AC18" s="22">
        <v>0</v>
      </c>
      <c r="AD18" s="22">
        <v>13.6</v>
      </c>
      <c r="AE18" s="22">
        <v>9.3000000000000007</v>
      </c>
      <c r="AF18" s="22">
        <v>9.1</v>
      </c>
      <c r="AG18" s="22">
        <v>12.46</v>
      </c>
      <c r="AH18" s="22">
        <v>0</v>
      </c>
      <c r="AI18" s="22">
        <v>12.6</v>
      </c>
      <c r="AJ18" s="22">
        <v>9.3000000000000007</v>
      </c>
      <c r="AK18" s="22">
        <v>9.1</v>
      </c>
      <c r="AL18" s="22">
        <v>12.51</v>
      </c>
      <c r="AM18" s="22">
        <v>0</v>
      </c>
      <c r="AN18" s="27"/>
      <c r="AO18" s="38">
        <f t="shared" si="14"/>
        <v>2</v>
      </c>
      <c r="AP18" s="38">
        <f t="shared" si="15"/>
        <v>2.72</v>
      </c>
      <c r="AQ18" s="40">
        <f t="shared" si="16"/>
        <v>9.32</v>
      </c>
      <c r="AR18" s="40">
        <f t="shared" si="17"/>
        <v>9.1</v>
      </c>
      <c r="AS18" s="40">
        <f t="shared" si="18"/>
        <v>12.46</v>
      </c>
      <c r="AT18" s="40">
        <f t="shared" si="19"/>
        <v>44.46</v>
      </c>
      <c r="AU18" s="40">
        <f t="shared" si="20"/>
        <v>44.46</v>
      </c>
      <c r="AV18" s="40">
        <f t="shared" si="21"/>
        <v>9.1</v>
      </c>
      <c r="AW18" s="40">
        <f t="shared" si="22"/>
        <v>12.51</v>
      </c>
      <c r="AX18" s="40">
        <f t="shared" si="23"/>
        <v>43.51</v>
      </c>
      <c r="AY18" s="40">
        <f t="shared" si="24"/>
        <v>87.97</v>
      </c>
      <c r="AZ18" s="26">
        <v>14</v>
      </c>
      <c r="BA18" s="26">
        <v>9.6</v>
      </c>
      <c r="BB18" s="26">
        <v>8.6999999999999993</v>
      </c>
      <c r="BC18" s="26">
        <v>12.79</v>
      </c>
      <c r="BD18" s="26">
        <v>0.1</v>
      </c>
      <c r="BE18" s="26">
        <v>7.1</v>
      </c>
      <c r="BF18" s="26">
        <v>4.4000000000000004</v>
      </c>
      <c r="BG18" s="26">
        <v>4.8</v>
      </c>
      <c r="BH18" s="26">
        <v>6.37</v>
      </c>
      <c r="BI18" s="26">
        <v>0</v>
      </c>
      <c r="BJ18" s="26"/>
      <c r="BK18" s="26"/>
      <c r="BL18" s="26"/>
      <c r="BM18" s="26"/>
      <c r="BN18" s="26"/>
      <c r="BO18" s="28"/>
      <c r="BP18" s="39">
        <f t="shared" si="25"/>
        <v>8.6999999999999993</v>
      </c>
      <c r="BQ18" s="39">
        <f t="shared" si="26"/>
        <v>12.79</v>
      </c>
      <c r="BR18" s="11">
        <f t="shared" si="27"/>
        <v>44.989999999999995</v>
      </c>
      <c r="BS18" s="11">
        <f t="shared" si="28"/>
        <v>4.8</v>
      </c>
      <c r="BT18" s="11">
        <f t="shared" si="29"/>
        <v>6.37</v>
      </c>
      <c r="BU18" s="11">
        <f t="shared" si="30"/>
        <v>22.67</v>
      </c>
      <c r="BV18" s="11">
        <f t="shared" si="31"/>
        <v>44.989999999999995</v>
      </c>
      <c r="BW18" s="11" t="str">
        <f t="shared" si="32"/>
        <v/>
      </c>
      <c r="BX18" s="11" t="str">
        <f t="shared" si="33"/>
        <v/>
      </c>
      <c r="BY18" s="11" t="str">
        <f t="shared" si="34"/>
        <v/>
      </c>
      <c r="BZ18" s="11">
        <f t="shared" si="35"/>
        <v>44.989999999999995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6"/>
        <v/>
      </c>
      <c r="CR18" s="38" t="str">
        <f t="shared" si="37"/>
        <v/>
      </c>
      <c r="CS18" s="40" t="str">
        <f t="shared" si="38"/>
        <v/>
      </c>
      <c r="CT18" s="40" t="str">
        <f t="shared" si="39"/>
        <v/>
      </c>
      <c r="CU18" s="40" t="str">
        <f t="shared" si="40"/>
        <v/>
      </c>
      <c r="CV18" s="40" t="str">
        <f t="shared" si="41"/>
        <v/>
      </c>
      <c r="CW18" s="40" t="str">
        <f t="shared" si="42"/>
        <v/>
      </c>
      <c r="CX18" s="40" t="str">
        <f t="shared" si="43"/>
        <v/>
      </c>
      <c r="CY18" s="40" t="str">
        <f t="shared" si="44"/>
        <v/>
      </c>
      <c r="CZ18" s="40" t="str">
        <f t="shared" si="45"/>
        <v/>
      </c>
      <c r="DA18" s="40" t="str">
        <f t="shared" si="46"/>
        <v/>
      </c>
      <c r="DB18" s="50" t="str">
        <f t="shared" si="47"/>
        <v/>
      </c>
      <c r="DC18" s="50" t="str">
        <f t="shared" si="48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49"/>
        <v/>
      </c>
      <c r="DY18" s="40" t="str">
        <f t="shared" si="50"/>
        <v/>
      </c>
      <c r="DZ18" s="40" t="str">
        <f t="shared" si="51"/>
        <v/>
      </c>
      <c r="EA18" s="40" t="str">
        <f t="shared" si="52"/>
        <v/>
      </c>
      <c r="EB18" s="40" t="str">
        <f t="shared" si="53"/>
        <v/>
      </c>
      <c r="EC18" s="40" t="str">
        <f t="shared" si="54"/>
        <v/>
      </c>
      <c r="ED18" s="40" t="str">
        <f t="shared" si="55"/>
        <v/>
      </c>
      <c r="EE18" s="40" t="str">
        <f t="shared" si="56"/>
        <v/>
      </c>
      <c r="EF18" s="40" t="str">
        <f t="shared" si="57"/>
        <v/>
      </c>
      <c r="EG18" s="40" t="str">
        <f t="shared" si="58"/>
        <v/>
      </c>
      <c r="EH18" s="40" t="str">
        <f t="shared" si="59"/>
        <v/>
      </c>
      <c r="EI18" s="40" t="str">
        <f t="shared" si="60"/>
        <v/>
      </c>
      <c r="EJ18" s="40" t="str">
        <f t="shared" si="61"/>
        <v/>
      </c>
      <c r="EK18" s="40" t="str">
        <f t="shared" si="62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3"/>
        <v/>
      </c>
      <c r="FG18" s="11" t="str">
        <f t="shared" si="64"/>
        <v/>
      </c>
      <c r="FH18" s="11" t="str">
        <f t="shared" si="65"/>
        <v/>
      </c>
      <c r="FI18" s="11" t="str">
        <f t="shared" si="66"/>
        <v/>
      </c>
      <c r="FJ18" s="11" t="str">
        <f t="shared" si="67"/>
        <v/>
      </c>
      <c r="FK18" s="11" t="str">
        <f t="shared" si="68"/>
        <v/>
      </c>
      <c r="FL18" s="11" t="str">
        <f t="shared" si="69"/>
        <v/>
      </c>
      <c r="FM18" s="11" t="str">
        <f t="shared" si="70"/>
        <v/>
      </c>
      <c r="FN18" s="11" t="str">
        <f t="shared" si="71"/>
        <v/>
      </c>
      <c r="FO18" s="11" t="str">
        <f t="shared" si="72"/>
        <v/>
      </c>
      <c r="FP18" s="11" t="str">
        <f t="shared" si="73"/>
        <v/>
      </c>
      <c r="FQ18" s="11" t="str">
        <f t="shared" si="74"/>
        <v/>
      </c>
      <c r="FR18" s="11" t="str">
        <f t="shared" si="75"/>
        <v/>
      </c>
      <c r="FS18" s="11" t="str">
        <f t="shared" si="76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7"/>
        <v/>
      </c>
      <c r="GO18" s="40" t="str">
        <f t="shared" si="78"/>
        <v/>
      </c>
      <c r="GP18" s="40" t="str">
        <f t="shared" si="79"/>
        <v/>
      </c>
      <c r="GQ18" s="40" t="str">
        <f t="shared" si="80"/>
        <v/>
      </c>
      <c r="GR18" s="40" t="str">
        <f t="shared" si="81"/>
        <v/>
      </c>
      <c r="GS18" s="40" t="str">
        <f t="shared" si="82"/>
        <v/>
      </c>
      <c r="GT18" s="40" t="str">
        <f t="shared" si="83"/>
        <v/>
      </c>
      <c r="GU18" s="40" t="str">
        <f t="shared" si="84"/>
        <v/>
      </c>
      <c r="GV18" s="40" t="str">
        <f t="shared" si="85"/>
        <v/>
      </c>
      <c r="GW18" s="40" t="str">
        <f t="shared" si="86"/>
        <v/>
      </c>
      <c r="GX18" s="40" t="str">
        <f t="shared" si="87"/>
        <v/>
      </c>
      <c r="GY18" s="40" t="str">
        <f t="shared" si="88"/>
        <v/>
      </c>
      <c r="GZ18" s="40" t="str">
        <f t="shared" si="89"/>
        <v/>
      </c>
      <c r="HA18" s="40" t="str">
        <f t="shared" si="90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1"/>
        <v/>
      </c>
      <c r="HW18" s="11" t="str">
        <f t="shared" si="92"/>
        <v/>
      </c>
      <c r="HX18" s="11" t="str">
        <f t="shared" si="93"/>
        <v/>
      </c>
      <c r="HY18" s="11" t="str">
        <f t="shared" si="94"/>
        <v/>
      </c>
      <c r="HZ18" s="11" t="str">
        <f t="shared" si="95"/>
        <v/>
      </c>
      <c r="IA18" s="11" t="str">
        <f t="shared" si="96"/>
        <v/>
      </c>
      <c r="IB18" s="11" t="str">
        <f t="shared" si="97"/>
        <v/>
      </c>
      <c r="IC18" s="11" t="str">
        <f t="shared" si="98"/>
        <v/>
      </c>
      <c r="ID18" s="11" t="str">
        <f t="shared" si="99"/>
        <v/>
      </c>
      <c r="IE18" s="11" t="str">
        <f t="shared" si="100"/>
        <v/>
      </c>
      <c r="IF18" s="11" t="str">
        <f t="shared" si="101"/>
        <v/>
      </c>
      <c r="IG18" s="11" t="str">
        <f t="shared" si="102"/>
        <v/>
      </c>
      <c r="IH18" s="11" t="str">
        <f t="shared" si="103"/>
        <v/>
      </c>
      <c r="II18" s="11" t="str">
        <f t="shared" si="104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5"/>
        <v/>
      </c>
      <c r="JE18" s="40" t="str">
        <f t="shared" si="106"/>
        <v/>
      </c>
      <c r="JF18" s="40" t="str">
        <f t="shared" si="107"/>
        <v/>
      </c>
      <c r="JG18" s="40" t="str">
        <f t="shared" si="108"/>
        <v/>
      </c>
      <c r="JH18" s="40" t="str">
        <f t="shared" si="109"/>
        <v/>
      </c>
      <c r="JI18" s="40" t="str">
        <f t="shared" si="110"/>
        <v/>
      </c>
      <c r="JJ18" s="40" t="str">
        <f t="shared" si="111"/>
        <v/>
      </c>
      <c r="JK18" s="40" t="str">
        <f t="shared" si="112"/>
        <v/>
      </c>
      <c r="JL18" s="40" t="str">
        <f t="shared" si="113"/>
        <v/>
      </c>
      <c r="JM18" s="40" t="str">
        <f t="shared" si="114"/>
        <v/>
      </c>
      <c r="JN18" s="40" t="str">
        <f t="shared" si="115"/>
        <v/>
      </c>
      <c r="JO18" s="40" t="str">
        <f t="shared" si="116"/>
        <v/>
      </c>
      <c r="JP18" s="40" t="str">
        <f t="shared" si="117"/>
        <v/>
      </c>
      <c r="JQ18" s="40" t="str">
        <f t="shared" si="118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19"/>
        <v/>
      </c>
      <c r="KM18" s="11" t="str">
        <f t="shared" si="120"/>
        <v/>
      </c>
      <c r="KN18" s="11" t="str">
        <f t="shared" si="121"/>
        <v/>
      </c>
      <c r="KO18" s="11" t="str">
        <f t="shared" si="122"/>
        <v/>
      </c>
      <c r="KP18" s="11" t="str">
        <f t="shared" si="123"/>
        <v/>
      </c>
      <c r="KQ18" s="11" t="str">
        <f t="shared" si="124"/>
        <v/>
      </c>
      <c r="KR18" s="11" t="str">
        <f t="shared" si="125"/>
        <v/>
      </c>
      <c r="KS18" s="11" t="str">
        <f t="shared" si="126"/>
        <v/>
      </c>
      <c r="KT18" s="11" t="str">
        <f t="shared" si="127"/>
        <v/>
      </c>
      <c r="KU18" s="11" t="str">
        <f t="shared" si="128"/>
        <v/>
      </c>
      <c r="KV18" s="11" t="str">
        <f t="shared" si="129"/>
        <v/>
      </c>
      <c r="KW18" s="11" t="str">
        <f t="shared" si="130"/>
        <v/>
      </c>
      <c r="KX18" s="11" t="str">
        <f t="shared" si="131"/>
        <v/>
      </c>
      <c r="KY18" s="11" t="str">
        <f t="shared" si="132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3"/>
        <v/>
      </c>
      <c r="LU18" s="40" t="str">
        <f t="shared" si="134"/>
        <v/>
      </c>
      <c r="LV18" s="40" t="str">
        <f t="shared" si="135"/>
        <v/>
      </c>
      <c r="LW18" s="40" t="str">
        <f t="shared" si="136"/>
        <v/>
      </c>
      <c r="LX18" s="40" t="str">
        <f t="shared" si="137"/>
        <v/>
      </c>
      <c r="LY18" s="40" t="str">
        <f t="shared" si="138"/>
        <v/>
      </c>
      <c r="LZ18" s="40" t="str">
        <f t="shared" si="139"/>
        <v/>
      </c>
      <c r="MA18" s="40" t="str">
        <f t="shared" si="140"/>
        <v/>
      </c>
      <c r="MB18" s="40" t="str">
        <f t="shared" si="141"/>
        <v/>
      </c>
      <c r="MC18" s="40" t="str">
        <f t="shared" si="142"/>
        <v/>
      </c>
      <c r="MD18" s="40" t="str">
        <f t="shared" si="143"/>
        <v/>
      </c>
      <c r="ME18" s="40" t="str">
        <f t="shared" si="144"/>
        <v/>
      </c>
      <c r="MF18" s="40" t="str">
        <f t="shared" si="145"/>
        <v/>
      </c>
      <c r="MG18" s="40" t="str">
        <f t="shared" si="146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7"/>
        <v/>
      </c>
      <c r="NC18" s="11" t="str">
        <f t="shared" si="148"/>
        <v/>
      </c>
      <c r="ND18" s="11" t="str">
        <f t="shared" si="149"/>
        <v/>
      </c>
      <c r="NE18" s="11" t="str">
        <f t="shared" si="150"/>
        <v/>
      </c>
      <c r="NF18" s="11" t="str">
        <f t="shared" si="151"/>
        <v/>
      </c>
      <c r="NG18" s="11" t="str">
        <f t="shared" si="152"/>
        <v/>
      </c>
      <c r="NH18" s="11" t="str">
        <f t="shared" si="153"/>
        <v/>
      </c>
      <c r="NI18" s="11" t="str">
        <f t="shared" si="154"/>
        <v/>
      </c>
      <c r="NJ18" s="11" t="str">
        <f t="shared" si="155"/>
        <v/>
      </c>
      <c r="NK18" s="11" t="str">
        <f t="shared" si="156"/>
        <v/>
      </c>
      <c r="NL18" s="11" t="str">
        <f t="shared" si="157"/>
        <v/>
      </c>
      <c r="NM18" s="11" t="str">
        <f t="shared" si="158"/>
        <v/>
      </c>
      <c r="NN18" s="11" t="str">
        <f t="shared" si="159"/>
        <v/>
      </c>
      <c r="NO18" s="11" t="str">
        <f t="shared" si="160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1"/>
        <v/>
      </c>
      <c r="OK18" s="40" t="str">
        <f t="shared" si="162"/>
        <v/>
      </c>
      <c r="OL18" s="40" t="str">
        <f t="shared" si="163"/>
        <v/>
      </c>
      <c r="OM18" s="40" t="str">
        <f t="shared" si="164"/>
        <v/>
      </c>
      <c r="ON18" s="40" t="str">
        <f t="shared" si="165"/>
        <v/>
      </c>
      <c r="OO18" s="40" t="str">
        <f t="shared" si="166"/>
        <v/>
      </c>
      <c r="OP18" s="40" t="str">
        <f t="shared" si="167"/>
        <v/>
      </c>
      <c r="OQ18" s="40" t="str">
        <f t="shared" si="168"/>
        <v/>
      </c>
      <c r="OR18" s="40" t="str">
        <f t="shared" si="169"/>
        <v/>
      </c>
      <c r="OS18" s="40" t="str">
        <f t="shared" si="170"/>
        <v/>
      </c>
      <c r="OT18" s="40" t="str">
        <f t="shared" si="171"/>
        <v/>
      </c>
      <c r="OU18" s="40" t="str">
        <f t="shared" si="172"/>
        <v/>
      </c>
      <c r="OV18" s="40" t="str">
        <f t="shared" si="173"/>
        <v/>
      </c>
      <c r="OW18" s="40" t="str">
        <f t="shared" si="174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5"/>
        <v/>
      </c>
      <c r="PS18" s="11" t="str">
        <f t="shared" si="176"/>
        <v/>
      </c>
      <c r="PT18" s="11" t="str">
        <f t="shared" si="177"/>
        <v/>
      </c>
      <c r="PU18" s="11" t="str">
        <f t="shared" si="178"/>
        <v/>
      </c>
      <c r="PV18" s="11" t="str">
        <f t="shared" si="179"/>
        <v/>
      </c>
      <c r="PW18" s="11" t="str">
        <f t="shared" si="180"/>
        <v/>
      </c>
      <c r="PX18" s="11" t="str">
        <f t="shared" si="181"/>
        <v/>
      </c>
      <c r="PY18" s="11" t="str">
        <f t="shared" si="182"/>
        <v/>
      </c>
      <c r="PZ18" s="11" t="str">
        <f t="shared" si="183"/>
        <v/>
      </c>
      <c r="QA18" s="11" t="str">
        <f t="shared" si="184"/>
        <v/>
      </c>
      <c r="QB18" s="11" t="str">
        <f t="shared" si="185"/>
        <v/>
      </c>
      <c r="QC18" s="11" t="str">
        <f t="shared" si="186"/>
        <v/>
      </c>
      <c r="QD18" s="11" t="str">
        <f t="shared" si="187"/>
        <v/>
      </c>
      <c r="QE18" s="11" t="str">
        <f t="shared" si="188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89"/>
        <v/>
      </c>
      <c r="RA18" s="40" t="str">
        <f t="shared" si="190"/>
        <v/>
      </c>
      <c r="RB18" s="40" t="str">
        <f t="shared" si="191"/>
        <v/>
      </c>
      <c r="RC18" s="40" t="str">
        <f t="shared" si="192"/>
        <v/>
      </c>
      <c r="RD18" s="40" t="str">
        <f t="shared" si="193"/>
        <v/>
      </c>
      <c r="RE18" s="40" t="str">
        <f t="shared" si="194"/>
        <v/>
      </c>
      <c r="RF18" s="40" t="str">
        <f t="shared" si="195"/>
        <v/>
      </c>
      <c r="RG18" s="40" t="str">
        <f t="shared" si="196"/>
        <v/>
      </c>
      <c r="RH18" s="40" t="str">
        <f t="shared" si="197"/>
        <v/>
      </c>
      <c r="RI18" s="40" t="str">
        <f t="shared" si="198"/>
        <v/>
      </c>
      <c r="RJ18" s="40" t="str">
        <f t="shared" si="199"/>
        <v/>
      </c>
      <c r="RK18" s="40" t="str">
        <f t="shared" si="200"/>
        <v/>
      </c>
      <c r="RL18" s="40" t="str">
        <f t="shared" si="201"/>
        <v/>
      </c>
      <c r="RM18" s="40" t="str">
        <f t="shared" si="202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3"/>
        <v/>
      </c>
      <c r="SI18" s="11" t="str">
        <f t="shared" si="204"/>
        <v/>
      </c>
      <c r="SJ18" s="11" t="str">
        <f t="shared" si="205"/>
        <v/>
      </c>
      <c r="SK18" s="11" t="str">
        <f t="shared" si="206"/>
        <v/>
      </c>
      <c r="SL18" s="11" t="str">
        <f t="shared" si="207"/>
        <v/>
      </c>
      <c r="SM18" s="11" t="str">
        <f t="shared" si="208"/>
        <v/>
      </c>
      <c r="SN18" s="11" t="str">
        <f t="shared" si="209"/>
        <v/>
      </c>
      <c r="SO18" s="11" t="str">
        <f t="shared" si="210"/>
        <v/>
      </c>
      <c r="SP18" s="11" t="str">
        <f t="shared" si="211"/>
        <v/>
      </c>
      <c r="SQ18" s="11" t="str">
        <f t="shared" si="212"/>
        <v/>
      </c>
      <c r="SR18" s="11" t="str">
        <f t="shared" si="213"/>
        <v/>
      </c>
      <c r="SS18" s="11" t="str">
        <f t="shared" si="214"/>
        <v/>
      </c>
      <c r="ST18" s="11" t="str">
        <f t="shared" si="215"/>
        <v/>
      </c>
      <c r="SU18" s="11" t="str">
        <f t="shared" si="216"/>
        <v/>
      </c>
      <c r="SV18" s="22">
        <f t="shared" si="217"/>
        <v>7</v>
      </c>
      <c r="SW18" s="22">
        <f t="shared" si="218"/>
        <v>4.8</v>
      </c>
      <c r="SX18" s="22">
        <f t="shared" si="219"/>
        <v>4.3499999999999996</v>
      </c>
      <c r="SY18" s="22">
        <f t="shared" si="220"/>
        <v>6.3949999999999996</v>
      </c>
      <c r="SZ18" s="22">
        <f t="shared" si="221"/>
        <v>0.05</v>
      </c>
      <c r="TA18" s="22">
        <f t="shared" si="222"/>
        <v>3.55</v>
      </c>
      <c r="TB18" s="22">
        <f t="shared" si="223"/>
        <v>2.2000000000000002</v>
      </c>
      <c r="TC18" s="22">
        <f t="shared" si="224"/>
        <v>2.4</v>
      </c>
      <c r="TD18" s="22">
        <f t="shared" si="225"/>
        <v>3.1850000000000001</v>
      </c>
      <c r="TE18" s="22">
        <f t="shared" si="226"/>
        <v>0</v>
      </c>
      <c r="TF18" s="22">
        <f t="shared" si="227"/>
        <v>0</v>
      </c>
      <c r="TG18" s="22">
        <f t="shared" si="228"/>
        <v>0</v>
      </c>
      <c r="TH18" s="22">
        <f t="shared" si="229"/>
        <v>0</v>
      </c>
      <c r="TI18" s="22">
        <f t="shared" si="230"/>
        <v>0</v>
      </c>
      <c r="TJ18" s="22">
        <f t="shared" si="231"/>
        <v>0</v>
      </c>
      <c r="TK18" s="27" t="s">
        <v>46</v>
      </c>
      <c r="TL18" s="40">
        <f t="shared" si="232"/>
        <v>4.3499999999999996</v>
      </c>
      <c r="TM18" s="40">
        <f t="shared" si="233"/>
        <v>6.3949999999999996</v>
      </c>
      <c r="TN18" s="40">
        <f t="shared" si="234"/>
        <v>22.494999999999997</v>
      </c>
      <c r="TO18" s="40">
        <f t="shared" si="235"/>
        <v>2.4</v>
      </c>
      <c r="TP18" s="40">
        <f t="shared" si="236"/>
        <v>3.1850000000000001</v>
      </c>
      <c r="TQ18" s="40">
        <f t="shared" si="237"/>
        <v>11.335000000000001</v>
      </c>
      <c r="TR18" s="40">
        <f t="shared" si="238"/>
        <v>22.494999999999997</v>
      </c>
      <c r="TS18" s="40" t="str">
        <f t="shared" si="239"/>
        <v/>
      </c>
      <c r="TT18" s="40" t="str">
        <f t="shared" si="240"/>
        <v/>
      </c>
      <c r="TU18" s="40" t="str">
        <f t="shared" si="241"/>
        <v/>
      </c>
      <c r="TV18" s="40">
        <f t="shared" si="242"/>
        <v>22.494999999999997</v>
      </c>
    </row>
    <row r="19" spans="1:542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172</v>
      </c>
      <c r="D19" s="4" t="s">
        <v>3</v>
      </c>
      <c r="E19" s="4">
        <v>2006</v>
      </c>
      <c r="F19" s="9">
        <f t="shared" si="0"/>
        <v>130.22001302200434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43.53</v>
      </c>
      <c r="M19" s="8" t="str">
        <f t="shared" si="5"/>
        <v>2023 Elite Canada</v>
      </c>
      <c r="N19" s="8">
        <f>IF(COUNT(AQ19,AT19,BR19,BU19,CS19,CV19)&gt;1,LARGE((AQ19,AT19,BR19,BU19,CS19,CV19),2),0)</f>
        <v>29.069999999999997</v>
      </c>
      <c r="O19" s="8" t="str">
        <f t="shared" si="6"/>
        <v>2023 Nationals</v>
      </c>
      <c r="P19" s="8">
        <f>IF(COUNT(AQ19,AT19,BR19,BU19,CS19,CV19)&gt;2,MAX(AX19,BY19,CZ19,LARGE((AQ19,AT19,BR19,BU19,CS19,CV19),3)),IF(MAX(AX19,BY19,CZ19)&gt;0,MAX(AX19,BY19,CZ19),0))</f>
        <v>47.120000000000005</v>
      </c>
      <c r="Q19" s="8" t="str">
        <f t="shared" si="7"/>
        <v>2023 Elite Canada</v>
      </c>
      <c r="R19" s="8">
        <f t="shared" si="8"/>
        <v>10.5</v>
      </c>
      <c r="S19" s="8" t="str">
        <f t="shared" si="9"/>
        <v>2023 Elite Canada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>IF(V19="","",IF(V19=DB19,IF(V19+IF(P19="",0,P19)=SN19,$RN$1,IF(V19+IF(P19="",0,P19)=RF19,$QF$1,IF(V19+IF(P19="",0,P19)=PX19,$OX$1,IF(V19+IF(P19="",0,P19)=OP19,$NP$1,IF(V19+IF(P19="",0,P19)=NH19,$MH$1,IF(V19+IF(P19="",0,P19)=LZ19,$KZ$1,IF(V19+IF(P19="",0,P19)=KR19,$JR$1,IF(V19+IF(P19="",0,P19)=JJ19,$IJ$1,IF(V19+IF(P19="",0,P19)=IB19,$HB$1,IF(V19+IF(P19="",0,P19)=GT19,$FT$1,IF(V19+IF(P19="",0,P19)=FL19,$EL$1,IF(V19+IF(P19="",0,P19)=ED19,$DD$1)))))))))))),IF(V19=DC19,IF(V19+IF(#REF!="",0,#REF!)=ST19,$RN$1,IF(V19+IF(#REF!="",0,#REF!)=RL19,$QF$1,IF(V19+IF(#REF!="",0,#REF!)=QD19,$OX$1,IF(V19+IF(#REF!="",0,#REF!)=OV19,$NP$1,IF(V19+IF(#REF!="",0,#REF!)=NN19,$MH$1,IF(V19+IF(#REF!="",0,#REF!)=MF19,$KZ$1,IF(V19+IF(#REF!="",0,#REF!)=KX19,$JR$1,IF(V19+IF(#REF!="",0,#REF!)=JP19,$IJ$1,IF(V19+IF(#REF!="",0,#REF!)=IH19,$HB$1,IF(V19+IF(#REF!="",0,#REF!)=GZ19,$FT$1,IF(V19+IF(#REF!="",0,#REF!)=FR19,$EL$1,IF(V19+IF(#REF!="",0,#REF!)=EJ19,$DD$1,IF(V19+IF(#REF!="",0,#REF!)=SQ19,$RN$1,IF(V19+IF(#REF!="",0,#REF!)=RI19,$QF$1,IF(V19+IF(#REF!="",0,#REF!)=QA19,$OX$1,IF(V19+IF(#REF!="",0,#REF!)=OS19,$NP$1,IF(V19+IF(#REF!="",0,#REF!)=NK19,$MH$1,IF(V19+IF(#REF!="",0,#REF!)=MC19,$KZ$1,IF(V19+IF(#REF!="",0,#REF!)=KU19,$JR$1,IF(V19+IF(#REF!="",0,#REF!)=JM19,$IJ$1,IF(V19+IF(#REF!="",0,#REF!)=IE19,$HB$1,IF(V19+IF(#REF!="",0,#REF!)=GW19,$FT$1,IF(V19+IF(#REF!="",0,#REF!)=FO19,$EL$1,IF(V19+IF(#REF!="",0,#REF!)=EG19,$DD$1)))))))))))))))))))))))))))</f>
        <v/>
      </c>
      <c r="Y19" s="22">
        <v>1.2</v>
      </c>
      <c r="Z19" s="22">
        <v>1</v>
      </c>
      <c r="AA19" s="22">
        <v>1.5</v>
      </c>
      <c r="AB19" s="22">
        <v>1.47</v>
      </c>
      <c r="AC19" s="22">
        <v>0</v>
      </c>
      <c r="AD19" s="22">
        <v>12</v>
      </c>
      <c r="AE19" s="22">
        <v>8.9</v>
      </c>
      <c r="AF19" s="22">
        <v>9.8000000000000007</v>
      </c>
      <c r="AG19" s="22">
        <v>12.83</v>
      </c>
      <c r="AH19" s="22">
        <v>0</v>
      </c>
      <c r="AI19" s="22">
        <v>13.9</v>
      </c>
      <c r="AJ19" s="22">
        <v>9.3000000000000007</v>
      </c>
      <c r="AK19" s="22">
        <v>10.5</v>
      </c>
      <c r="AL19" s="22">
        <v>13.42</v>
      </c>
      <c r="AM19" s="22">
        <v>0</v>
      </c>
      <c r="AN19" s="27"/>
      <c r="AO19" s="38">
        <f t="shared" si="14"/>
        <v>1.5</v>
      </c>
      <c r="AP19" s="38">
        <f t="shared" si="15"/>
        <v>1.47</v>
      </c>
      <c r="AQ19" s="40">
        <f t="shared" si="16"/>
        <v>5.17</v>
      </c>
      <c r="AR19" s="40">
        <f t="shared" si="17"/>
        <v>9.8000000000000007</v>
      </c>
      <c r="AS19" s="40">
        <f t="shared" si="18"/>
        <v>12.83</v>
      </c>
      <c r="AT19" s="40">
        <f t="shared" si="19"/>
        <v>43.53</v>
      </c>
      <c r="AU19" s="40">
        <f t="shared" si="20"/>
        <v>43.53</v>
      </c>
      <c r="AV19" s="40">
        <f t="shared" si="21"/>
        <v>10.5</v>
      </c>
      <c r="AW19" s="40">
        <f t="shared" si="22"/>
        <v>13.42</v>
      </c>
      <c r="AX19" s="40">
        <f t="shared" si="23"/>
        <v>47.120000000000005</v>
      </c>
      <c r="AY19" s="40">
        <f t="shared" si="24"/>
        <v>90.65</v>
      </c>
      <c r="AZ19" s="26">
        <v>8.1999999999999993</v>
      </c>
      <c r="BA19" s="26">
        <v>5.5</v>
      </c>
      <c r="BB19" s="26">
        <v>7.1</v>
      </c>
      <c r="BC19" s="26">
        <v>8.27</v>
      </c>
      <c r="BD19" s="26">
        <v>0</v>
      </c>
      <c r="BE19" s="26">
        <v>4.3</v>
      </c>
      <c r="BF19" s="26">
        <v>2.8</v>
      </c>
      <c r="BG19" s="26">
        <v>3.4</v>
      </c>
      <c r="BH19" s="26">
        <v>4.3600000000000003</v>
      </c>
      <c r="BI19" s="26">
        <v>0</v>
      </c>
      <c r="BJ19" s="26"/>
      <c r="BK19" s="26"/>
      <c r="BL19" s="26"/>
      <c r="BM19" s="26"/>
      <c r="BN19" s="26"/>
      <c r="BO19" s="28"/>
      <c r="BP19" s="39">
        <f t="shared" si="25"/>
        <v>7.1</v>
      </c>
      <c r="BQ19" s="39">
        <f t="shared" si="26"/>
        <v>8.27</v>
      </c>
      <c r="BR19" s="11">
        <f t="shared" si="27"/>
        <v>29.069999999999997</v>
      </c>
      <c r="BS19" s="11">
        <f t="shared" si="28"/>
        <v>3.4</v>
      </c>
      <c r="BT19" s="11">
        <f t="shared" si="29"/>
        <v>4.3600000000000003</v>
      </c>
      <c r="BU19" s="11">
        <f t="shared" si="30"/>
        <v>14.86</v>
      </c>
      <c r="BV19" s="11">
        <f t="shared" si="31"/>
        <v>29.069999999999997</v>
      </c>
      <c r="BW19" s="11" t="str">
        <f t="shared" si="32"/>
        <v/>
      </c>
      <c r="BX19" s="11" t="str">
        <f t="shared" si="33"/>
        <v/>
      </c>
      <c r="BY19" s="11" t="str">
        <f t="shared" si="34"/>
        <v/>
      </c>
      <c r="BZ19" s="11">
        <f t="shared" si="35"/>
        <v>29.069999999999997</v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6"/>
        <v/>
      </c>
      <c r="CR19" s="38" t="str">
        <f t="shared" si="37"/>
        <v/>
      </c>
      <c r="CS19" s="40" t="str">
        <f t="shared" si="38"/>
        <v/>
      </c>
      <c r="CT19" s="40" t="str">
        <f t="shared" si="39"/>
        <v/>
      </c>
      <c r="CU19" s="40" t="str">
        <f t="shared" si="40"/>
        <v/>
      </c>
      <c r="CV19" s="40" t="str">
        <f t="shared" si="41"/>
        <v/>
      </c>
      <c r="CW19" s="40" t="str">
        <f t="shared" si="42"/>
        <v/>
      </c>
      <c r="CX19" s="40" t="str">
        <f t="shared" si="43"/>
        <v/>
      </c>
      <c r="CY19" s="40" t="str">
        <f t="shared" si="44"/>
        <v/>
      </c>
      <c r="CZ19" s="40" t="str">
        <f t="shared" si="45"/>
        <v/>
      </c>
      <c r="DA19" s="40" t="str">
        <f t="shared" si="46"/>
        <v/>
      </c>
      <c r="DB19" s="50" t="str">
        <f t="shared" si="47"/>
        <v/>
      </c>
      <c r="DC19" s="50" t="str">
        <f t="shared" si="48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49"/>
        <v/>
      </c>
      <c r="DY19" s="40" t="str">
        <f t="shared" si="50"/>
        <v/>
      </c>
      <c r="DZ19" s="40" t="str">
        <f t="shared" si="51"/>
        <v/>
      </c>
      <c r="EA19" s="40" t="str">
        <f t="shared" si="52"/>
        <v/>
      </c>
      <c r="EB19" s="40" t="str">
        <f t="shared" si="53"/>
        <v/>
      </c>
      <c r="EC19" s="40" t="str">
        <f t="shared" si="54"/>
        <v/>
      </c>
      <c r="ED19" s="40" t="str">
        <f t="shared" si="55"/>
        <v/>
      </c>
      <c r="EE19" s="40" t="str">
        <f t="shared" si="56"/>
        <v/>
      </c>
      <c r="EF19" s="40" t="str">
        <f t="shared" si="57"/>
        <v/>
      </c>
      <c r="EG19" s="40" t="str">
        <f t="shared" si="58"/>
        <v/>
      </c>
      <c r="EH19" s="40" t="str">
        <f t="shared" si="59"/>
        <v/>
      </c>
      <c r="EI19" s="40" t="str">
        <f t="shared" si="60"/>
        <v/>
      </c>
      <c r="EJ19" s="40" t="str">
        <f t="shared" si="61"/>
        <v/>
      </c>
      <c r="EK19" s="40" t="str">
        <f t="shared" si="62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3"/>
        <v/>
      </c>
      <c r="FG19" s="11" t="str">
        <f t="shared" si="64"/>
        <v/>
      </c>
      <c r="FH19" s="11" t="str">
        <f t="shared" si="65"/>
        <v/>
      </c>
      <c r="FI19" s="11" t="str">
        <f t="shared" si="66"/>
        <v/>
      </c>
      <c r="FJ19" s="11" t="str">
        <f t="shared" si="67"/>
        <v/>
      </c>
      <c r="FK19" s="11" t="str">
        <f t="shared" si="68"/>
        <v/>
      </c>
      <c r="FL19" s="11" t="str">
        <f t="shared" si="69"/>
        <v/>
      </c>
      <c r="FM19" s="11" t="str">
        <f t="shared" si="70"/>
        <v/>
      </c>
      <c r="FN19" s="11" t="str">
        <f t="shared" si="71"/>
        <v/>
      </c>
      <c r="FO19" s="11" t="str">
        <f t="shared" si="72"/>
        <v/>
      </c>
      <c r="FP19" s="11" t="str">
        <f t="shared" si="73"/>
        <v/>
      </c>
      <c r="FQ19" s="11" t="str">
        <f t="shared" si="74"/>
        <v/>
      </c>
      <c r="FR19" s="11" t="str">
        <f t="shared" si="75"/>
        <v/>
      </c>
      <c r="FS19" s="11" t="str">
        <f t="shared" si="76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7"/>
        <v/>
      </c>
      <c r="GO19" s="40" t="str">
        <f t="shared" si="78"/>
        <v/>
      </c>
      <c r="GP19" s="40" t="str">
        <f t="shared" si="79"/>
        <v/>
      </c>
      <c r="GQ19" s="40" t="str">
        <f t="shared" si="80"/>
        <v/>
      </c>
      <c r="GR19" s="40" t="str">
        <f t="shared" si="81"/>
        <v/>
      </c>
      <c r="GS19" s="40" t="str">
        <f t="shared" si="82"/>
        <v/>
      </c>
      <c r="GT19" s="40" t="str">
        <f t="shared" si="83"/>
        <v/>
      </c>
      <c r="GU19" s="40" t="str">
        <f t="shared" si="84"/>
        <v/>
      </c>
      <c r="GV19" s="40" t="str">
        <f t="shared" si="85"/>
        <v/>
      </c>
      <c r="GW19" s="40" t="str">
        <f t="shared" si="86"/>
        <v/>
      </c>
      <c r="GX19" s="40" t="str">
        <f t="shared" si="87"/>
        <v/>
      </c>
      <c r="GY19" s="40" t="str">
        <f t="shared" si="88"/>
        <v/>
      </c>
      <c r="GZ19" s="40" t="str">
        <f t="shared" si="89"/>
        <v/>
      </c>
      <c r="HA19" s="40" t="str">
        <f t="shared" si="90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1"/>
        <v/>
      </c>
      <c r="HW19" s="11" t="str">
        <f t="shared" si="92"/>
        <v/>
      </c>
      <c r="HX19" s="11" t="str">
        <f t="shared" si="93"/>
        <v/>
      </c>
      <c r="HY19" s="11" t="str">
        <f t="shared" si="94"/>
        <v/>
      </c>
      <c r="HZ19" s="11" t="str">
        <f t="shared" si="95"/>
        <v/>
      </c>
      <c r="IA19" s="11" t="str">
        <f t="shared" si="96"/>
        <v/>
      </c>
      <c r="IB19" s="11" t="str">
        <f t="shared" si="97"/>
        <v/>
      </c>
      <c r="IC19" s="11" t="str">
        <f t="shared" si="98"/>
        <v/>
      </c>
      <c r="ID19" s="11" t="str">
        <f t="shared" si="99"/>
        <v/>
      </c>
      <c r="IE19" s="11" t="str">
        <f t="shared" si="100"/>
        <v/>
      </c>
      <c r="IF19" s="11" t="str">
        <f t="shared" si="101"/>
        <v/>
      </c>
      <c r="IG19" s="11" t="str">
        <f t="shared" si="102"/>
        <v/>
      </c>
      <c r="IH19" s="11" t="str">
        <f t="shared" si="103"/>
        <v/>
      </c>
      <c r="II19" s="11" t="str">
        <f t="shared" si="104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5"/>
        <v/>
      </c>
      <c r="JE19" s="40" t="str">
        <f t="shared" si="106"/>
        <v/>
      </c>
      <c r="JF19" s="40" t="str">
        <f t="shared" si="107"/>
        <v/>
      </c>
      <c r="JG19" s="40" t="str">
        <f t="shared" si="108"/>
        <v/>
      </c>
      <c r="JH19" s="40" t="str">
        <f t="shared" si="109"/>
        <v/>
      </c>
      <c r="JI19" s="40" t="str">
        <f t="shared" si="110"/>
        <v/>
      </c>
      <c r="JJ19" s="40" t="str">
        <f t="shared" si="111"/>
        <v/>
      </c>
      <c r="JK19" s="40" t="str">
        <f t="shared" si="112"/>
        <v/>
      </c>
      <c r="JL19" s="40" t="str">
        <f t="shared" si="113"/>
        <v/>
      </c>
      <c r="JM19" s="40" t="str">
        <f t="shared" si="114"/>
        <v/>
      </c>
      <c r="JN19" s="40" t="str">
        <f t="shared" si="115"/>
        <v/>
      </c>
      <c r="JO19" s="40" t="str">
        <f t="shared" si="116"/>
        <v/>
      </c>
      <c r="JP19" s="40" t="str">
        <f t="shared" si="117"/>
        <v/>
      </c>
      <c r="JQ19" s="40" t="str">
        <f t="shared" si="118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19"/>
        <v/>
      </c>
      <c r="KM19" s="11" t="str">
        <f t="shared" si="120"/>
        <v/>
      </c>
      <c r="KN19" s="11" t="str">
        <f t="shared" si="121"/>
        <v/>
      </c>
      <c r="KO19" s="11" t="str">
        <f t="shared" si="122"/>
        <v/>
      </c>
      <c r="KP19" s="11" t="str">
        <f t="shared" si="123"/>
        <v/>
      </c>
      <c r="KQ19" s="11" t="str">
        <f t="shared" si="124"/>
        <v/>
      </c>
      <c r="KR19" s="11" t="str">
        <f t="shared" si="125"/>
        <v/>
      </c>
      <c r="KS19" s="11" t="str">
        <f t="shared" si="126"/>
        <v/>
      </c>
      <c r="KT19" s="11" t="str">
        <f t="shared" si="127"/>
        <v/>
      </c>
      <c r="KU19" s="11" t="str">
        <f t="shared" si="128"/>
        <v/>
      </c>
      <c r="KV19" s="11" t="str">
        <f t="shared" si="129"/>
        <v/>
      </c>
      <c r="KW19" s="11" t="str">
        <f t="shared" si="130"/>
        <v/>
      </c>
      <c r="KX19" s="11" t="str">
        <f t="shared" si="131"/>
        <v/>
      </c>
      <c r="KY19" s="11" t="str">
        <f t="shared" si="132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3"/>
        <v/>
      </c>
      <c r="LU19" s="40" t="str">
        <f t="shared" si="134"/>
        <v/>
      </c>
      <c r="LV19" s="40" t="str">
        <f t="shared" si="135"/>
        <v/>
      </c>
      <c r="LW19" s="40" t="str">
        <f t="shared" si="136"/>
        <v/>
      </c>
      <c r="LX19" s="40" t="str">
        <f t="shared" si="137"/>
        <v/>
      </c>
      <c r="LY19" s="40" t="str">
        <f t="shared" si="138"/>
        <v/>
      </c>
      <c r="LZ19" s="40" t="str">
        <f t="shared" si="139"/>
        <v/>
      </c>
      <c r="MA19" s="40" t="str">
        <f t="shared" si="140"/>
        <v/>
      </c>
      <c r="MB19" s="40" t="str">
        <f t="shared" si="141"/>
        <v/>
      </c>
      <c r="MC19" s="40" t="str">
        <f t="shared" si="142"/>
        <v/>
      </c>
      <c r="MD19" s="40" t="str">
        <f t="shared" si="143"/>
        <v/>
      </c>
      <c r="ME19" s="40" t="str">
        <f t="shared" si="144"/>
        <v/>
      </c>
      <c r="MF19" s="40" t="str">
        <f t="shared" si="145"/>
        <v/>
      </c>
      <c r="MG19" s="40" t="str">
        <f t="shared" si="146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7"/>
        <v/>
      </c>
      <c r="NC19" s="11" t="str">
        <f t="shared" si="148"/>
        <v/>
      </c>
      <c r="ND19" s="11" t="str">
        <f t="shared" si="149"/>
        <v/>
      </c>
      <c r="NE19" s="11" t="str">
        <f t="shared" si="150"/>
        <v/>
      </c>
      <c r="NF19" s="11" t="str">
        <f t="shared" si="151"/>
        <v/>
      </c>
      <c r="NG19" s="11" t="str">
        <f t="shared" si="152"/>
        <v/>
      </c>
      <c r="NH19" s="11" t="str">
        <f t="shared" si="153"/>
        <v/>
      </c>
      <c r="NI19" s="11" t="str">
        <f t="shared" si="154"/>
        <v/>
      </c>
      <c r="NJ19" s="11" t="str">
        <f t="shared" si="155"/>
        <v/>
      </c>
      <c r="NK19" s="11" t="str">
        <f t="shared" si="156"/>
        <v/>
      </c>
      <c r="NL19" s="11" t="str">
        <f t="shared" si="157"/>
        <v/>
      </c>
      <c r="NM19" s="11" t="str">
        <f t="shared" si="158"/>
        <v/>
      </c>
      <c r="NN19" s="11" t="str">
        <f t="shared" si="159"/>
        <v/>
      </c>
      <c r="NO19" s="11" t="str">
        <f t="shared" si="160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1"/>
        <v/>
      </c>
      <c r="OK19" s="40" t="str">
        <f t="shared" si="162"/>
        <v/>
      </c>
      <c r="OL19" s="40" t="str">
        <f t="shared" si="163"/>
        <v/>
      </c>
      <c r="OM19" s="40" t="str">
        <f t="shared" si="164"/>
        <v/>
      </c>
      <c r="ON19" s="40" t="str">
        <f t="shared" si="165"/>
        <v/>
      </c>
      <c r="OO19" s="40" t="str">
        <f t="shared" si="166"/>
        <v/>
      </c>
      <c r="OP19" s="40" t="str">
        <f t="shared" si="167"/>
        <v/>
      </c>
      <c r="OQ19" s="40" t="str">
        <f t="shared" si="168"/>
        <v/>
      </c>
      <c r="OR19" s="40" t="str">
        <f t="shared" si="169"/>
        <v/>
      </c>
      <c r="OS19" s="40" t="str">
        <f t="shared" si="170"/>
        <v/>
      </c>
      <c r="OT19" s="40" t="str">
        <f t="shared" si="171"/>
        <v/>
      </c>
      <c r="OU19" s="40" t="str">
        <f t="shared" si="172"/>
        <v/>
      </c>
      <c r="OV19" s="40" t="str">
        <f t="shared" si="173"/>
        <v/>
      </c>
      <c r="OW19" s="40" t="str">
        <f t="shared" si="174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5"/>
        <v/>
      </c>
      <c r="PS19" s="11" t="str">
        <f t="shared" si="176"/>
        <v/>
      </c>
      <c r="PT19" s="11" t="str">
        <f t="shared" si="177"/>
        <v/>
      </c>
      <c r="PU19" s="11" t="str">
        <f t="shared" si="178"/>
        <v/>
      </c>
      <c r="PV19" s="11" t="str">
        <f t="shared" si="179"/>
        <v/>
      </c>
      <c r="PW19" s="11" t="str">
        <f t="shared" si="180"/>
        <v/>
      </c>
      <c r="PX19" s="11" t="str">
        <f t="shared" si="181"/>
        <v/>
      </c>
      <c r="PY19" s="11" t="str">
        <f t="shared" si="182"/>
        <v/>
      </c>
      <c r="PZ19" s="11" t="str">
        <f t="shared" si="183"/>
        <v/>
      </c>
      <c r="QA19" s="11" t="str">
        <f t="shared" si="184"/>
        <v/>
      </c>
      <c r="QB19" s="11" t="str">
        <f t="shared" si="185"/>
        <v/>
      </c>
      <c r="QC19" s="11" t="str">
        <f t="shared" si="186"/>
        <v/>
      </c>
      <c r="QD19" s="11" t="str">
        <f t="shared" si="187"/>
        <v/>
      </c>
      <c r="QE19" s="11" t="str">
        <f t="shared" si="188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89"/>
        <v/>
      </c>
      <c r="RA19" s="40" t="str">
        <f t="shared" si="190"/>
        <v/>
      </c>
      <c r="RB19" s="40" t="str">
        <f t="shared" si="191"/>
        <v/>
      </c>
      <c r="RC19" s="40" t="str">
        <f t="shared" si="192"/>
        <v/>
      </c>
      <c r="RD19" s="40" t="str">
        <f t="shared" si="193"/>
        <v/>
      </c>
      <c r="RE19" s="40" t="str">
        <f t="shared" si="194"/>
        <v/>
      </c>
      <c r="RF19" s="40" t="str">
        <f t="shared" si="195"/>
        <v/>
      </c>
      <c r="RG19" s="40" t="str">
        <f t="shared" si="196"/>
        <v/>
      </c>
      <c r="RH19" s="40" t="str">
        <f t="shared" si="197"/>
        <v/>
      </c>
      <c r="RI19" s="40" t="str">
        <f t="shared" si="198"/>
        <v/>
      </c>
      <c r="RJ19" s="40" t="str">
        <f t="shared" si="199"/>
        <v/>
      </c>
      <c r="RK19" s="40" t="str">
        <f t="shared" si="200"/>
        <v/>
      </c>
      <c r="RL19" s="40" t="str">
        <f t="shared" si="201"/>
        <v/>
      </c>
      <c r="RM19" s="40" t="str">
        <f t="shared" si="202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3"/>
        <v/>
      </c>
      <c r="SI19" s="11" t="str">
        <f t="shared" si="204"/>
        <v/>
      </c>
      <c r="SJ19" s="11" t="str">
        <f t="shared" si="205"/>
        <v/>
      </c>
      <c r="SK19" s="11" t="str">
        <f t="shared" si="206"/>
        <v/>
      </c>
      <c r="SL19" s="11" t="str">
        <f t="shared" si="207"/>
        <v/>
      </c>
      <c r="SM19" s="11" t="str">
        <f t="shared" si="208"/>
        <v/>
      </c>
      <c r="SN19" s="11" t="str">
        <f t="shared" si="209"/>
        <v/>
      </c>
      <c r="SO19" s="11" t="str">
        <f t="shared" si="210"/>
        <v/>
      </c>
      <c r="SP19" s="11" t="str">
        <f t="shared" si="211"/>
        <v/>
      </c>
      <c r="SQ19" s="11" t="str">
        <f t="shared" si="212"/>
        <v/>
      </c>
      <c r="SR19" s="11" t="str">
        <f t="shared" si="213"/>
        <v/>
      </c>
      <c r="SS19" s="11" t="str">
        <f t="shared" si="214"/>
        <v/>
      </c>
      <c r="ST19" s="11" t="str">
        <f t="shared" si="215"/>
        <v/>
      </c>
      <c r="SU19" s="11" t="str">
        <f t="shared" si="216"/>
        <v/>
      </c>
      <c r="SV19" s="22">
        <f t="shared" si="217"/>
        <v>4.0999999999999996</v>
      </c>
      <c r="SW19" s="22">
        <f t="shared" si="218"/>
        <v>2.75</v>
      </c>
      <c r="SX19" s="22">
        <f t="shared" si="219"/>
        <v>3.55</v>
      </c>
      <c r="SY19" s="22">
        <f t="shared" si="220"/>
        <v>4.1349999999999998</v>
      </c>
      <c r="SZ19" s="22">
        <f t="shared" si="221"/>
        <v>0</v>
      </c>
      <c r="TA19" s="22">
        <f t="shared" si="222"/>
        <v>2.15</v>
      </c>
      <c r="TB19" s="22">
        <f t="shared" si="223"/>
        <v>1.4</v>
      </c>
      <c r="TC19" s="22">
        <f t="shared" si="224"/>
        <v>1.7</v>
      </c>
      <c r="TD19" s="22">
        <f t="shared" si="225"/>
        <v>2.1800000000000002</v>
      </c>
      <c r="TE19" s="22">
        <f t="shared" si="226"/>
        <v>0</v>
      </c>
      <c r="TF19" s="22">
        <f t="shared" si="227"/>
        <v>0</v>
      </c>
      <c r="TG19" s="22">
        <f t="shared" si="228"/>
        <v>0</v>
      </c>
      <c r="TH19" s="22">
        <f t="shared" si="229"/>
        <v>0</v>
      </c>
      <c r="TI19" s="22">
        <f t="shared" si="230"/>
        <v>0</v>
      </c>
      <c r="TJ19" s="22">
        <f t="shared" si="231"/>
        <v>0</v>
      </c>
      <c r="TK19" s="27" t="s">
        <v>46</v>
      </c>
      <c r="TL19" s="40">
        <f t="shared" si="232"/>
        <v>3.55</v>
      </c>
      <c r="TM19" s="40">
        <f t="shared" si="233"/>
        <v>4.1349999999999998</v>
      </c>
      <c r="TN19" s="40">
        <f t="shared" si="234"/>
        <v>14.534999999999998</v>
      </c>
      <c r="TO19" s="40">
        <f t="shared" si="235"/>
        <v>1.7</v>
      </c>
      <c r="TP19" s="40">
        <f t="shared" si="236"/>
        <v>2.1800000000000002</v>
      </c>
      <c r="TQ19" s="40">
        <f t="shared" si="237"/>
        <v>7.43</v>
      </c>
      <c r="TR19" s="40">
        <f t="shared" si="238"/>
        <v>14.534999999999998</v>
      </c>
      <c r="TS19" s="40" t="str">
        <f t="shared" si="239"/>
        <v/>
      </c>
      <c r="TT19" s="40" t="str">
        <f t="shared" si="240"/>
        <v/>
      </c>
      <c r="TU19" s="40" t="str">
        <f t="shared" si="241"/>
        <v/>
      </c>
      <c r="TV19" s="40">
        <f t="shared" si="242"/>
        <v>14.534999999999998</v>
      </c>
    </row>
    <row r="20" spans="1:542" x14ac:dyDescent="0.2">
      <c r="A20" s="4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>6</v>
      </c>
      <c r="B20" s="4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>4</v>
      </c>
      <c r="C20" s="5" t="s">
        <v>214</v>
      </c>
      <c r="D20" s="4" t="s">
        <v>3</v>
      </c>
      <c r="E20" s="4">
        <v>2004</v>
      </c>
      <c r="F20" s="9">
        <f t="shared" si="0"/>
        <v>124.21001242100478</v>
      </c>
      <c r="G20" s="66"/>
      <c r="H20" s="3" t="str">
        <f t="shared" si="1"/>
        <v/>
      </c>
      <c r="I20" s="3" t="str">
        <f t="shared" si="2"/>
        <v>P</v>
      </c>
      <c r="J20" s="36" t="str">
        <f t="shared" si="3"/>
        <v>No DD</v>
      </c>
      <c r="K20" s="3" t="str">
        <f t="shared" si="4"/>
        <v/>
      </c>
      <c r="L20" s="8">
        <f>IF(COUNT(AQ20,AT20,BR20,BU20,CS20,CV20)&gt;0,LARGE((AQ20,AT20,BR20,BU20,CS20,CV20),1),0)</f>
        <v>47.849999999999994</v>
      </c>
      <c r="M20" s="8" t="str">
        <f t="shared" si="5"/>
        <v>2023 Nationals</v>
      </c>
      <c r="N20" s="8">
        <f>IF(COUNT(AQ20,AT20,BR20,BU20,CS20,CV20)&gt;1,LARGE((AQ20,AT20,BR20,BU20,CS20,CV20),2),0)</f>
        <v>18.62</v>
      </c>
      <c r="O20" s="8" t="str">
        <f t="shared" si="6"/>
        <v>2023 Nationals</v>
      </c>
      <c r="P20" s="8">
        <f>IF(COUNT(AQ20,AT20,BR20,BU20,CS20,CV20)&gt;2,MAX(AX20,BY20,CZ20,LARGE((AQ20,AT20,BR20,BU20,CS20,CV20),3)),IF(MAX(AX20,BY20,CZ20)&gt;0,MAX(AX20,BY20,CZ20),0))</f>
        <v>48.64</v>
      </c>
      <c r="Q20" s="8" t="str">
        <f t="shared" si="7"/>
        <v>2023 Nationals</v>
      </c>
      <c r="R20" s="8">
        <f t="shared" si="8"/>
        <v>9.1</v>
      </c>
      <c r="S20" s="8" t="str">
        <f t="shared" si="9"/>
        <v>2023 Nationals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>IF(V20="","",IF(V20=DB20,IF(V20+IF(P20="",0,P20)=SN20,$RN$1,IF(V20+IF(P20="",0,P20)=RF20,$QF$1,IF(V20+IF(P20="",0,P20)=PX20,$OX$1,IF(V20+IF(P20="",0,P20)=OP20,$NP$1,IF(V20+IF(P20="",0,P20)=NH20,$MH$1,IF(V20+IF(P20="",0,P20)=LZ20,$KZ$1,IF(V20+IF(P20="",0,P20)=KR20,$JR$1,IF(V20+IF(P20="",0,P20)=JJ20,$IJ$1,IF(V20+IF(P20="",0,P20)=IB20,$HB$1,IF(V20+IF(P20="",0,P20)=GT20,$FT$1,IF(V20+IF(P20="",0,P20)=FL20,$EL$1,IF(V20+IF(P20="",0,P20)=ED20,$DD$1)))))))))))),IF(V20=DC20,IF(V20+IF(#REF!="",0,#REF!)=ST20,$RN$1,IF(V20+IF(#REF!="",0,#REF!)=RL20,$QF$1,IF(V20+IF(#REF!="",0,#REF!)=QD20,$OX$1,IF(V20+IF(#REF!="",0,#REF!)=OV20,$NP$1,IF(V20+IF(#REF!="",0,#REF!)=NN20,$MH$1,IF(V20+IF(#REF!="",0,#REF!)=MF20,$KZ$1,IF(V20+IF(#REF!="",0,#REF!)=KX20,$JR$1,IF(V20+IF(#REF!="",0,#REF!)=JP20,$IJ$1,IF(V20+IF(#REF!="",0,#REF!)=IH20,$HB$1,IF(V20+IF(#REF!="",0,#REF!)=GZ20,$FT$1,IF(V20+IF(#REF!="",0,#REF!)=FR20,$EL$1,IF(V20+IF(#REF!="",0,#REF!)=EJ20,$DD$1,IF(V20+IF(#REF!="",0,#REF!)=SQ20,$RN$1,IF(V20+IF(#REF!="",0,#REF!)=RI20,$QF$1,IF(V20+IF(#REF!="",0,#REF!)=QA20,$OX$1,IF(V20+IF(#REF!="",0,#REF!)=OS20,$NP$1,IF(V20+IF(#REF!="",0,#REF!)=NK20,$MH$1,IF(V20+IF(#REF!="",0,#REF!)=MC20,$KZ$1,IF(V20+IF(#REF!="",0,#REF!)=KU20,$JR$1,IF(V20+IF(#REF!="",0,#REF!)=JM20,$IJ$1,IF(V20+IF(#REF!="",0,#REF!)=IE20,$HB$1,IF(V20+IF(#REF!="",0,#REF!)=GW20,$FT$1,IF(V20+IF(#REF!="",0,#REF!)=FO20,$EL$1,IF(V20+IF(#REF!="",0,#REF!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 t="shared" si="14"/>
        <v/>
      </c>
      <c r="AP20" s="38" t="str">
        <f t="shared" si="15"/>
        <v/>
      </c>
      <c r="AQ20" s="40" t="str">
        <f t="shared" si="16"/>
        <v/>
      </c>
      <c r="AR20" s="40" t="str">
        <f t="shared" si="17"/>
        <v/>
      </c>
      <c r="AS20" s="40" t="str">
        <f t="shared" si="18"/>
        <v/>
      </c>
      <c r="AT20" s="40" t="str">
        <f t="shared" si="19"/>
        <v/>
      </c>
      <c r="AU20" s="40" t="str">
        <f t="shared" si="20"/>
        <v/>
      </c>
      <c r="AV20" s="40" t="str">
        <f t="shared" si="21"/>
        <v/>
      </c>
      <c r="AW20" s="40" t="str">
        <f t="shared" si="22"/>
        <v/>
      </c>
      <c r="AX20" s="40" t="str">
        <f t="shared" si="23"/>
        <v/>
      </c>
      <c r="AY20" s="40" t="str">
        <f t="shared" si="24"/>
        <v/>
      </c>
      <c r="AZ20" s="26">
        <v>15.6</v>
      </c>
      <c r="BA20" s="26">
        <v>9.6</v>
      </c>
      <c r="BB20" s="26">
        <v>9.1</v>
      </c>
      <c r="BC20" s="26">
        <v>13.55</v>
      </c>
      <c r="BD20" s="26">
        <v>0</v>
      </c>
      <c r="BE20" s="26">
        <v>5.6</v>
      </c>
      <c r="BF20" s="26">
        <v>3.4</v>
      </c>
      <c r="BG20" s="26">
        <v>4.4000000000000004</v>
      </c>
      <c r="BH20" s="26">
        <v>5.22</v>
      </c>
      <c r="BI20" s="26">
        <v>0</v>
      </c>
      <c r="BJ20" s="26">
        <v>16.3</v>
      </c>
      <c r="BK20" s="26">
        <v>9.6</v>
      </c>
      <c r="BL20" s="26">
        <v>9.1</v>
      </c>
      <c r="BM20" s="26">
        <v>13.64</v>
      </c>
      <c r="BN20" s="26">
        <v>0</v>
      </c>
      <c r="BO20" s="28"/>
      <c r="BP20" s="39">
        <f t="shared" si="25"/>
        <v>9.1</v>
      </c>
      <c r="BQ20" s="39">
        <f t="shared" si="26"/>
        <v>13.55</v>
      </c>
      <c r="BR20" s="11">
        <f t="shared" si="27"/>
        <v>47.849999999999994</v>
      </c>
      <c r="BS20" s="11">
        <f t="shared" si="28"/>
        <v>4.4000000000000004</v>
      </c>
      <c r="BT20" s="11">
        <f t="shared" si="29"/>
        <v>5.22</v>
      </c>
      <c r="BU20" s="11">
        <f t="shared" si="30"/>
        <v>18.62</v>
      </c>
      <c r="BV20" s="11">
        <f t="shared" si="31"/>
        <v>47.849999999999994</v>
      </c>
      <c r="BW20" s="11">
        <f t="shared" si="32"/>
        <v>9.1</v>
      </c>
      <c r="BX20" s="11">
        <f t="shared" si="33"/>
        <v>13.64</v>
      </c>
      <c r="BY20" s="11">
        <f t="shared" si="34"/>
        <v>48.64</v>
      </c>
      <c r="BZ20" s="11">
        <f t="shared" si="35"/>
        <v>96.49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6"/>
        <v/>
      </c>
      <c r="CR20" s="38" t="str">
        <f t="shared" si="37"/>
        <v/>
      </c>
      <c r="CS20" s="40" t="str">
        <f t="shared" si="38"/>
        <v/>
      </c>
      <c r="CT20" s="40" t="str">
        <f t="shared" si="39"/>
        <v/>
      </c>
      <c r="CU20" s="40" t="str">
        <f t="shared" si="40"/>
        <v/>
      </c>
      <c r="CV20" s="40" t="str">
        <f t="shared" si="41"/>
        <v/>
      </c>
      <c r="CW20" s="40" t="str">
        <f t="shared" si="42"/>
        <v/>
      </c>
      <c r="CX20" s="40" t="str">
        <f t="shared" si="43"/>
        <v/>
      </c>
      <c r="CY20" s="40" t="str">
        <f t="shared" si="44"/>
        <v/>
      </c>
      <c r="CZ20" s="40" t="str">
        <f t="shared" si="45"/>
        <v/>
      </c>
      <c r="DA20" s="40" t="str">
        <f t="shared" si="46"/>
        <v/>
      </c>
      <c r="DB20" s="50" t="str">
        <f t="shared" si="47"/>
        <v/>
      </c>
      <c r="DC20" s="50" t="str">
        <f t="shared" si="48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49"/>
        <v/>
      </c>
      <c r="DY20" s="40" t="str">
        <f t="shared" si="50"/>
        <v/>
      </c>
      <c r="DZ20" s="40" t="str">
        <f t="shared" si="51"/>
        <v/>
      </c>
      <c r="EA20" s="40" t="str">
        <f t="shared" si="52"/>
        <v/>
      </c>
      <c r="EB20" s="40" t="str">
        <f t="shared" si="53"/>
        <v/>
      </c>
      <c r="EC20" s="40" t="str">
        <f t="shared" si="54"/>
        <v/>
      </c>
      <c r="ED20" s="40" t="str">
        <f t="shared" si="55"/>
        <v/>
      </c>
      <c r="EE20" s="40" t="str">
        <f t="shared" si="56"/>
        <v/>
      </c>
      <c r="EF20" s="40" t="str">
        <f t="shared" si="57"/>
        <v/>
      </c>
      <c r="EG20" s="40" t="str">
        <f t="shared" si="58"/>
        <v/>
      </c>
      <c r="EH20" s="40" t="str">
        <f t="shared" si="59"/>
        <v/>
      </c>
      <c r="EI20" s="40" t="str">
        <f t="shared" si="60"/>
        <v/>
      </c>
      <c r="EJ20" s="40" t="str">
        <f t="shared" si="61"/>
        <v/>
      </c>
      <c r="EK20" s="40" t="str">
        <f t="shared" si="62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3"/>
        <v/>
      </c>
      <c r="FG20" s="11" t="str">
        <f t="shared" si="64"/>
        <v/>
      </c>
      <c r="FH20" s="11" t="str">
        <f t="shared" si="65"/>
        <v/>
      </c>
      <c r="FI20" s="11" t="str">
        <f t="shared" si="66"/>
        <v/>
      </c>
      <c r="FJ20" s="11" t="str">
        <f t="shared" si="67"/>
        <v/>
      </c>
      <c r="FK20" s="11" t="str">
        <f t="shared" si="68"/>
        <v/>
      </c>
      <c r="FL20" s="11" t="str">
        <f t="shared" si="69"/>
        <v/>
      </c>
      <c r="FM20" s="11" t="str">
        <f t="shared" si="70"/>
        <v/>
      </c>
      <c r="FN20" s="11" t="str">
        <f t="shared" si="71"/>
        <v/>
      </c>
      <c r="FO20" s="11" t="str">
        <f t="shared" si="72"/>
        <v/>
      </c>
      <c r="FP20" s="11" t="str">
        <f t="shared" si="73"/>
        <v/>
      </c>
      <c r="FQ20" s="11" t="str">
        <f t="shared" si="74"/>
        <v/>
      </c>
      <c r="FR20" s="11" t="str">
        <f t="shared" si="75"/>
        <v/>
      </c>
      <c r="FS20" s="11" t="str">
        <f t="shared" si="76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7"/>
        <v/>
      </c>
      <c r="GO20" s="40" t="str">
        <f t="shared" si="78"/>
        <v/>
      </c>
      <c r="GP20" s="40" t="str">
        <f t="shared" si="79"/>
        <v/>
      </c>
      <c r="GQ20" s="40" t="str">
        <f t="shared" si="80"/>
        <v/>
      </c>
      <c r="GR20" s="40" t="str">
        <f t="shared" si="81"/>
        <v/>
      </c>
      <c r="GS20" s="40" t="str">
        <f t="shared" si="82"/>
        <v/>
      </c>
      <c r="GT20" s="40" t="str">
        <f t="shared" si="83"/>
        <v/>
      </c>
      <c r="GU20" s="40" t="str">
        <f t="shared" si="84"/>
        <v/>
      </c>
      <c r="GV20" s="40" t="str">
        <f t="shared" si="85"/>
        <v/>
      </c>
      <c r="GW20" s="40" t="str">
        <f t="shared" si="86"/>
        <v/>
      </c>
      <c r="GX20" s="40" t="str">
        <f t="shared" si="87"/>
        <v/>
      </c>
      <c r="GY20" s="40" t="str">
        <f t="shared" si="88"/>
        <v/>
      </c>
      <c r="GZ20" s="40" t="str">
        <f t="shared" si="89"/>
        <v/>
      </c>
      <c r="HA20" s="40" t="str">
        <f t="shared" si="90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1"/>
        <v/>
      </c>
      <c r="HW20" s="11" t="str">
        <f t="shared" si="92"/>
        <v/>
      </c>
      <c r="HX20" s="11" t="str">
        <f t="shared" si="93"/>
        <v/>
      </c>
      <c r="HY20" s="11" t="str">
        <f t="shared" si="94"/>
        <v/>
      </c>
      <c r="HZ20" s="11" t="str">
        <f t="shared" si="95"/>
        <v/>
      </c>
      <c r="IA20" s="11" t="str">
        <f t="shared" si="96"/>
        <v/>
      </c>
      <c r="IB20" s="11" t="str">
        <f t="shared" si="97"/>
        <v/>
      </c>
      <c r="IC20" s="11" t="str">
        <f t="shared" si="98"/>
        <v/>
      </c>
      <c r="ID20" s="11" t="str">
        <f t="shared" si="99"/>
        <v/>
      </c>
      <c r="IE20" s="11" t="str">
        <f t="shared" si="100"/>
        <v/>
      </c>
      <c r="IF20" s="11" t="str">
        <f t="shared" si="101"/>
        <v/>
      </c>
      <c r="IG20" s="11" t="str">
        <f t="shared" si="102"/>
        <v/>
      </c>
      <c r="IH20" s="11" t="str">
        <f t="shared" si="103"/>
        <v/>
      </c>
      <c r="II20" s="11" t="str">
        <f t="shared" si="104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5"/>
        <v/>
      </c>
      <c r="JE20" s="40" t="str">
        <f t="shared" si="106"/>
        <v/>
      </c>
      <c r="JF20" s="40" t="str">
        <f t="shared" si="107"/>
        <v/>
      </c>
      <c r="JG20" s="40" t="str">
        <f t="shared" si="108"/>
        <v/>
      </c>
      <c r="JH20" s="40" t="str">
        <f t="shared" si="109"/>
        <v/>
      </c>
      <c r="JI20" s="40" t="str">
        <f t="shared" si="110"/>
        <v/>
      </c>
      <c r="JJ20" s="40" t="str">
        <f t="shared" si="111"/>
        <v/>
      </c>
      <c r="JK20" s="40" t="str">
        <f t="shared" si="112"/>
        <v/>
      </c>
      <c r="JL20" s="40" t="str">
        <f t="shared" si="113"/>
        <v/>
      </c>
      <c r="JM20" s="40" t="str">
        <f t="shared" si="114"/>
        <v/>
      </c>
      <c r="JN20" s="40" t="str">
        <f t="shared" si="115"/>
        <v/>
      </c>
      <c r="JO20" s="40" t="str">
        <f t="shared" si="116"/>
        <v/>
      </c>
      <c r="JP20" s="40" t="str">
        <f t="shared" si="117"/>
        <v/>
      </c>
      <c r="JQ20" s="40" t="str">
        <f t="shared" si="118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19"/>
        <v/>
      </c>
      <c r="KM20" s="11" t="str">
        <f t="shared" si="120"/>
        <v/>
      </c>
      <c r="KN20" s="11" t="str">
        <f t="shared" si="121"/>
        <v/>
      </c>
      <c r="KO20" s="11" t="str">
        <f t="shared" si="122"/>
        <v/>
      </c>
      <c r="KP20" s="11" t="str">
        <f t="shared" si="123"/>
        <v/>
      </c>
      <c r="KQ20" s="11" t="str">
        <f t="shared" si="124"/>
        <v/>
      </c>
      <c r="KR20" s="11" t="str">
        <f t="shared" si="125"/>
        <v/>
      </c>
      <c r="KS20" s="11" t="str">
        <f t="shared" si="126"/>
        <v/>
      </c>
      <c r="KT20" s="11" t="str">
        <f t="shared" si="127"/>
        <v/>
      </c>
      <c r="KU20" s="11" t="str">
        <f t="shared" si="128"/>
        <v/>
      </c>
      <c r="KV20" s="11" t="str">
        <f t="shared" si="129"/>
        <v/>
      </c>
      <c r="KW20" s="11" t="str">
        <f t="shared" si="130"/>
        <v/>
      </c>
      <c r="KX20" s="11" t="str">
        <f t="shared" si="131"/>
        <v/>
      </c>
      <c r="KY20" s="11" t="str">
        <f t="shared" si="132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3"/>
        <v/>
      </c>
      <c r="LU20" s="40" t="str">
        <f t="shared" si="134"/>
        <v/>
      </c>
      <c r="LV20" s="40" t="str">
        <f t="shared" si="135"/>
        <v/>
      </c>
      <c r="LW20" s="40" t="str">
        <f t="shared" si="136"/>
        <v/>
      </c>
      <c r="LX20" s="40" t="str">
        <f t="shared" si="137"/>
        <v/>
      </c>
      <c r="LY20" s="40" t="str">
        <f t="shared" si="138"/>
        <v/>
      </c>
      <c r="LZ20" s="40" t="str">
        <f t="shared" si="139"/>
        <v/>
      </c>
      <c r="MA20" s="40" t="str">
        <f t="shared" si="140"/>
        <v/>
      </c>
      <c r="MB20" s="40" t="str">
        <f t="shared" si="141"/>
        <v/>
      </c>
      <c r="MC20" s="40" t="str">
        <f t="shared" si="142"/>
        <v/>
      </c>
      <c r="MD20" s="40" t="str">
        <f t="shared" si="143"/>
        <v/>
      </c>
      <c r="ME20" s="40" t="str">
        <f t="shared" si="144"/>
        <v/>
      </c>
      <c r="MF20" s="40" t="str">
        <f t="shared" si="145"/>
        <v/>
      </c>
      <c r="MG20" s="40" t="str">
        <f t="shared" si="146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7"/>
        <v/>
      </c>
      <c r="NC20" s="11" t="str">
        <f t="shared" si="148"/>
        <v/>
      </c>
      <c r="ND20" s="11" t="str">
        <f t="shared" si="149"/>
        <v/>
      </c>
      <c r="NE20" s="11" t="str">
        <f t="shared" si="150"/>
        <v/>
      </c>
      <c r="NF20" s="11" t="str">
        <f t="shared" si="151"/>
        <v/>
      </c>
      <c r="NG20" s="11" t="str">
        <f t="shared" si="152"/>
        <v/>
      </c>
      <c r="NH20" s="11" t="str">
        <f t="shared" si="153"/>
        <v/>
      </c>
      <c r="NI20" s="11" t="str">
        <f t="shared" si="154"/>
        <v/>
      </c>
      <c r="NJ20" s="11" t="str">
        <f t="shared" si="155"/>
        <v/>
      </c>
      <c r="NK20" s="11" t="str">
        <f t="shared" si="156"/>
        <v/>
      </c>
      <c r="NL20" s="11" t="str">
        <f t="shared" si="157"/>
        <v/>
      </c>
      <c r="NM20" s="11" t="str">
        <f t="shared" si="158"/>
        <v/>
      </c>
      <c r="NN20" s="11" t="str">
        <f t="shared" si="159"/>
        <v/>
      </c>
      <c r="NO20" s="11" t="str">
        <f t="shared" si="160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1"/>
        <v/>
      </c>
      <c r="OK20" s="40" t="str">
        <f t="shared" si="162"/>
        <v/>
      </c>
      <c r="OL20" s="40" t="str">
        <f t="shared" si="163"/>
        <v/>
      </c>
      <c r="OM20" s="40" t="str">
        <f t="shared" si="164"/>
        <v/>
      </c>
      <c r="ON20" s="40" t="str">
        <f t="shared" si="165"/>
        <v/>
      </c>
      <c r="OO20" s="40" t="str">
        <f t="shared" si="166"/>
        <v/>
      </c>
      <c r="OP20" s="40" t="str">
        <f t="shared" si="167"/>
        <v/>
      </c>
      <c r="OQ20" s="40" t="str">
        <f t="shared" si="168"/>
        <v/>
      </c>
      <c r="OR20" s="40" t="str">
        <f t="shared" si="169"/>
        <v/>
      </c>
      <c r="OS20" s="40" t="str">
        <f t="shared" si="170"/>
        <v/>
      </c>
      <c r="OT20" s="40" t="str">
        <f t="shared" si="171"/>
        <v/>
      </c>
      <c r="OU20" s="40" t="str">
        <f t="shared" si="172"/>
        <v/>
      </c>
      <c r="OV20" s="40" t="str">
        <f t="shared" si="173"/>
        <v/>
      </c>
      <c r="OW20" s="40" t="str">
        <f t="shared" si="174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5"/>
        <v/>
      </c>
      <c r="PS20" s="11" t="str">
        <f t="shared" si="176"/>
        <v/>
      </c>
      <c r="PT20" s="11" t="str">
        <f t="shared" si="177"/>
        <v/>
      </c>
      <c r="PU20" s="11" t="str">
        <f t="shared" si="178"/>
        <v/>
      </c>
      <c r="PV20" s="11" t="str">
        <f t="shared" si="179"/>
        <v/>
      </c>
      <c r="PW20" s="11" t="str">
        <f t="shared" si="180"/>
        <v/>
      </c>
      <c r="PX20" s="11" t="str">
        <f t="shared" si="181"/>
        <v/>
      </c>
      <c r="PY20" s="11" t="str">
        <f t="shared" si="182"/>
        <v/>
      </c>
      <c r="PZ20" s="11" t="str">
        <f t="shared" si="183"/>
        <v/>
      </c>
      <c r="QA20" s="11" t="str">
        <f t="shared" si="184"/>
        <v/>
      </c>
      <c r="QB20" s="11" t="str">
        <f t="shared" si="185"/>
        <v/>
      </c>
      <c r="QC20" s="11" t="str">
        <f t="shared" si="186"/>
        <v/>
      </c>
      <c r="QD20" s="11" t="str">
        <f t="shared" si="187"/>
        <v/>
      </c>
      <c r="QE20" s="11" t="str">
        <f t="shared" si="188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89"/>
        <v/>
      </c>
      <c r="RA20" s="40" t="str">
        <f t="shared" si="190"/>
        <v/>
      </c>
      <c r="RB20" s="40" t="str">
        <f t="shared" si="191"/>
        <v/>
      </c>
      <c r="RC20" s="40" t="str">
        <f t="shared" si="192"/>
        <v/>
      </c>
      <c r="RD20" s="40" t="str">
        <f t="shared" si="193"/>
        <v/>
      </c>
      <c r="RE20" s="40" t="str">
        <f t="shared" si="194"/>
        <v/>
      </c>
      <c r="RF20" s="40" t="str">
        <f t="shared" si="195"/>
        <v/>
      </c>
      <c r="RG20" s="40" t="str">
        <f t="shared" si="196"/>
        <v/>
      </c>
      <c r="RH20" s="40" t="str">
        <f t="shared" si="197"/>
        <v/>
      </c>
      <c r="RI20" s="40" t="str">
        <f t="shared" si="198"/>
        <v/>
      </c>
      <c r="RJ20" s="40" t="str">
        <f t="shared" si="199"/>
        <v/>
      </c>
      <c r="RK20" s="40" t="str">
        <f t="shared" si="200"/>
        <v/>
      </c>
      <c r="RL20" s="40" t="str">
        <f t="shared" si="201"/>
        <v/>
      </c>
      <c r="RM20" s="40" t="str">
        <f t="shared" si="202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3"/>
        <v/>
      </c>
      <c r="SI20" s="11" t="str">
        <f t="shared" si="204"/>
        <v/>
      </c>
      <c r="SJ20" s="11" t="str">
        <f t="shared" si="205"/>
        <v/>
      </c>
      <c r="SK20" s="11" t="str">
        <f t="shared" si="206"/>
        <v/>
      </c>
      <c r="SL20" s="11" t="str">
        <f t="shared" si="207"/>
        <v/>
      </c>
      <c r="SM20" s="11" t="str">
        <f t="shared" si="208"/>
        <v/>
      </c>
      <c r="SN20" s="11" t="str">
        <f t="shared" si="209"/>
        <v/>
      </c>
      <c r="SO20" s="11" t="str">
        <f t="shared" si="210"/>
        <v/>
      </c>
      <c r="SP20" s="11" t="str">
        <f t="shared" si="211"/>
        <v/>
      </c>
      <c r="SQ20" s="11" t="str">
        <f t="shared" si="212"/>
        <v/>
      </c>
      <c r="SR20" s="11" t="str">
        <f t="shared" si="213"/>
        <v/>
      </c>
      <c r="SS20" s="11" t="str">
        <f t="shared" si="214"/>
        <v/>
      </c>
      <c r="ST20" s="11" t="str">
        <f t="shared" si="215"/>
        <v/>
      </c>
      <c r="SU20" s="11" t="str">
        <f t="shared" si="216"/>
        <v/>
      </c>
      <c r="SV20" s="22">
        <f t="shared" si="217"/>
        <v>7.8</v>
      </c>
      <c r="SW20" s="22">
        <f t="shared" si="218"/>
        <v>4.8</v>
      </c>
      <c r="SX20" s="22">
        <f t="shared" si="219"/>
        <v>4.55</v>
      </c>
      <c r="SY20" s="22">
        <f t="shared" si="220"/>
        <v>6.7750000000000004</v>
      </c>
      <c r="SZ20" s="22">
        <f t="shared" si="221"/>
        <v>0</v>
      </c>
      <c r="TA20" s="22">
        <f t="shared" si="222"/>
        <v>2.8</v>
      </c>
      <c r="TB20" s="22">
        <f t="shared" si="223"/>
        <v>1.7</v>
      </c>
      <c r="TC20" s="22">
        <f t="shared" si="224"/>
        <v>2.2000000000000002</v>
      </c>
      <c r="TD20" s="22">
        <f t="shared" si="225"/>
        <v>2.61</v>
      </c>
      <c r="TE20" s="22">
        <f t="shared" si="226"/>
        <v>0</v>
      </c>
      <c r="TF20" s="22">
        <f t="shared" si="227"/>
        <v>8.15</v>
      </c>
      <c r="TG20" s="22">
        <f t="shared" si="228"/>
        <v>4.8</v>
      </c>
      <c r="TH20" s="22">
        <f t="shared" si="229"/>
        <v>4.55</v>
      </c>
      <c r="TI20" s="22">
        <f t="shared" si="230"/>
        <v>6.82</v>
      </c>
      <c r="TJ20" s="22">
        <f t="shared" si="231"/>
        <v>0</v>
      </c>
      <c r="TK20" s="27" t="s">
        <v>46</v>
      </c>
      <c r="TL20" s="40">
        <f t="shared" si="232"/>
        <v>4.55</v>
      </c>
      <c r="TM20" s="40">
        <f t="shared" si="233"/>
        <v>6.7750000000000004</v>
      </c>
      <c r="TN20" s="40">
        <f t="shared" si="234"/>
        <v>23.924999999999997</v>
      </c>
      <c r="TO20" s="40">
        <f t="shared" si="235"/>
        <v>2.2000000000000002</v>
      </c>
      <c r="TP20" s="40">
        <f t="shared" si="236"/>
        <v>2.61</v>
      </c>
      <c r="TQ20" s="40">
        <f t="shared" si="237"/>
        <v>9.31</v>
      </c>
      <c r="TR20" s="40">
        <f t="shared" si="238"/>
        <v>23.924999999999997</v>
      </c>
      <c r="TS20" s="40">
        <f t="shared" si="239"/>
        <v>4.55</v>
      </c>
      <c r="TT20" s="40">
        <f t="shared" si="240"/>
        <v>6.82</v>
      </c>
      <c r="TU20" s="40">
        <f t="shared" si="241"/>
        <v>24.32</v>
      </c>
      <c r="TV20" s="40">
        <f t="shared" si="242"/>
        <v>48.244999999999997</v>
      </c>
    </row>
    <row r="21" spans="1:542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140</v>
      </c>
      <c r="D21" s="4" t="s">
        <v>4</v>
      </c>
      <c r="E21" s="4">
        <v>2004</v>
      </c>
      <c r="F21" s="9">
        <f t="shared" si="0"/>
        <v>121.16001211600465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46.68</v>
      </c>
      <c r="M21" s="8" t="str">
        <f t="shared" si="5"/>
        <v>2023 Elite Canada</v>
      </c>
      <c r="N21" s="8">
        <f>IF(COUNT(AQ21,AT21,BR21,BU21,CS21,CV21)&gt;1,LARGE((AQ21,AT21,BR21,BU21,CS21,CV21),2),0)</f>
        <v>18.740000000000002</v>
      </c>
      <c r="O21" s="8" t="str">
        <f t="shared" si="6"/>
        <v>2023 Elite Canada</v>
      </c>
      <c r="P21" s="8">
        <f>IF(COUNT(AQ21,AT21,BR21,BU21,CS21,CV21)&gt;2,MAX(AX21,BY21,CZ21,LARGE((AQ21,AT21,BR21,BU21,CS21,CV21),3)),IF(MAX(AX21,BY21,CZ21)&gt;0,MAX(AX21,BY21,CZ21),0))</f>
        <v>47.24</v>
      </c>
      <c r="Q21" s="8" t="str">
        <f t="shared" si="7"/>
        <v>2023 Elite Canada</v>
      </c>
      <c r="R21" s="8">
        <f t="shared" si="8"/>
        <v>8.5</v>
      </c>
      <c r="S21" s="8" t="str">
        <f t="shared" si="9"/>
        <v>2023 Elite Canada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>IF(V21="","",IF(V21=DB21,IF(V21+IF(P21="",0,P21)=SN21,$RN$1,IF(V21+IF(P21="",0,P21)=RF21,$QF$1,IF(V21+IF(P21="",0,P21)=PX21,$OX$1,IF(V21+IF(P21="",0,P21)=OP21,$NP$1,IF(V21+IF(P21="",0,P21)=NH21,$MH$1,IF(V21+IF(P21="",0,P21)=LZ21,$KZ$1,IF(V21+IF(P21="",0,P21)=KR21,$JR$1,IF(V21+IF(P21="",0,P21)=JJ21,$IJ$1,IF(V21+IF(P21="",0,P21)=IB21,$HB$1,IF(V21+IF(P21="",0,P21)=GT21,$FT$1,IF(V21+IF(P21="",0,P21)=FL21,$EL$1,IF(V21+IF(P21="",0,P21)=ED21,$DD$1)))))))))))),IF(V21=DC21,IF(V21+IF(#REF!="",0,#REF!)=ST21,$RN$1,IF(V21+IF(#REF!="",0,#REF!)=RL21,$QF$1,IF(V21+IF(#REF!="",0,#REF!)=QD21,$OX$1,IF(V21+IF(#REF!="",0,#REF!)=OV21,$NP$1,IF(V21+IF(#REF!="",0,#REF!)=NN21,$MH$1,IF(V21+IF(#REF!="",0,#REF!)=MF21,$KZ$1,IF(V21+IF(#REF!="",0,#REF!)=KX21,$JR$1,IF(V21+IF(#REF!="",0,#REF!)=JP21,$IJ$1,IF(V21+IF(#REF!="",0,#REF!)=IH21,$HB$1,IF(V21+IF(#REF!="",0,#REF!)=GZ21,$FT$1,IF(V21+IF(#REF!="",0,#REF!)=FR21,$EL$1,IF(V21+IF(#REF!="",0,#REF!)=EJ21,$DD$1,IF(V21+IF(#REF!="",0,#REF!)=SQ21,$RN$1,IF(V21+IF(#REF!="",0,#REF!)=RI21,$QF$1,IF(V21+IF(#REF!="",0,#REF!)=QA21,$OX$1,IF(V21+IF(#REF!="",0,#REF!)=OS21,$NP$1,IF(V21+IF(#REF!="",0,#REF!)=NK21,$MH$1,IF(V21+IF(#REF!="",0,#REF!)=MC21,$KZ$1,IF(V21+IF(#REF!="",0,#REF!)=KU21,$JR$1,IF(V21+IF(#REF!="",0,#REF!)=JM21,$IJ$1,IF(V21+IF(#REF!="",0,#REF!)=IE21,$HB$1,IF(V21+IF(#REF!="",0,#REF!)=GW21,$FT$1,IF(V21+IF(#REF!="",0,#REF!)=FO21,$EL$1,IF(V21+IF(#REF!="",0,#REF!)=EG21,$DD$1)))))))))))))))))))))))))))</f>
        <v/>
      </c>
      <c r="Y21" s="22">
        <v>15.4</v>
      </c>
      <c r="Z21" s="22">
        <v>9.4</v>
      </c>
      <c r="AA21" s="22">
        <v>8.5</v>
      </c>
      <c r="AB21" s="22">
        <v>13.68</v>
      </c>
      <c r="AC21" s="22">
        <v>0.3</v>
      </c>
      <c r="AD21" s="22">
        <v>5.9</v>
      </c>
      <c r="AE21" s="22">
        <v>3.5</v>
      </c>
      <c r="AF21" s="22">
        <v>3.9</v>
      </c>
      <c r="AG21" s="22">
        <v>5.44</v>
      </c>
      <c r="AH21" s="22">
        <v>0</v>
      </c>
      <c r="AI21" s="22">
        <v>16</v>
      </c>
      <c r="AJ21" s="22">
        <v>9.3000000000000007</v>
      </c>
      <c r="AK21" s="22">
        <v>8.5</v>
      </c>
      <c r="AL21" s="22">
        <v>13.74</v>
      </c>
      <c r="AM21" s="22">
        <v>0.3</v>
      </c>
      <c r="AN21" s="27"/>
      <c r="AO21" s="38">
        <f t="shared" si="14"/>
        <v>8.5</v>
      </c>
      <c r="AP21" s="38">
        <f t="shared" si="15"/>
        <v>13.68</v>
      </c>
      <c r="AQ21" s="40">
        <f t="shared" si="16"/>
        <v>46.68</v>
      </c>
      <c r="AR21" s="40">
        <f t="shared" si="17"/>
        <v>3.9</v>
      </c>
      <c r="AS21" s="40">
        <f t="shared" si="18"/>
        <v>5.44</v>
      </c>
      <c r="AT21" s="40">
        <f t="shared" si="19"/>
        <v>18.740000000000002</v>
      </c>
      <c r="AU21" s="40">
        <f t="shared" si="20"/>
        <v>46.68</v>
      </c>
      <c r="AV21" s="40">
        <f t="shared" si="21"/>
        <v>8.5</v>
      </c>
      <c r="AW21" s="40">
        <f t="shared" si="22"/>
        <v>13.74</v>
      </c>
      <c r="AX21" s="40">
        <f t="shared" si="23"/>
        <v>47.24</v>
      </c>
      <c r="AY21" s="40">
        <f t="shared" si="24"/>
        <v>93.92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5"/>
        <v/>
      </c>
      <c r="BQ21" s="39" t="str">
        <f t="shared" si="26"/>
        <v/>
      </c>
      <c r="BR21" s="11" t="str">
        <f t="shared" si="27"/>
        <v/>
      </c>
      <c r="BS21" s="11" t="str">
        <f t="shared" si="28"/>
        <v/>
      </c>
      <c r="BT21" s="11" t="str">
        <f t="shared" si="29"/>
        <v/>
      </c>
      <c r="BU21" s="11" t="str">
        <f t="shared" si="30"/>
        <v/>
      </c>
      <c r="BV21" s="11" t="str">
        <f t="shared" si="31"/>
        <v/>
      </c>
      <c r="BW21" s="11" t="str">
        <f t="shared" si="32"/>
        <v/>
      </c>
      <c r="BX21" s="11" t="str">
        <f t="shared" si="33"/>
        <v/>
      </c>
      <c r="BY21" s="11" t="str">
        <f t="shared" si="34"/>
        <v/>
      </c>
      <c r="BZ21" s="11" t="str">
        <f t="shared" si="35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6"/>
        <v/>
      </c>
      <c r="CR21" s="38" t="str">
        <f t="shared" si="37"/>
        <v/>
      </c>
      <c r="CS21" s="40" t="str">
        <f t="shared" si="38"/>
        <v/>
      </c>
      <c r="CT21" s="40" t="str">
        <f t="shared" si="39"/>
        <v/>
      </c>
      <c r="CU21" s="40" t="str">
        <f t="shared" si="40"/>
        <v/>
      </c>
      <c r="CV21" s="40" t="str">
        <f t="shared" si="41"/>
        <v/>
      </c>
      <c r="CW21" s="40" t="str">
        <f t="shared" si="42"/>
        <v/>
      </c>
      <c r="CX21" s="40" t="str">
        <f t="shared" si="43"/>
        <v/>
      </c>
      <c r="CY21" s="40" t="str">
        <f t="shared" si="44"/>
        <v/>
      </c>
      <c r="CZ21" s="40" t="str">
        <f t="shared" si="45"/>
        <v/>
      </c>
      <c r="DA21" s="40" t="str">
        <f t="shared" si="46"/>
        <v/>
      </c>
      <c r="DB21" s="50" t="str">
        <f t="shared" si="47"/>
        <v/>
      </c>
      <c r="DC21" s="50" t="str">
        <f t="shared" si="48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49"/>
        <v/>
      </c>
      <c r="DY21" s="40" t="str">
        <f t="shared" si="50"/>
        <v/>
      </c>
      <c r="DZ21" s="40" t="str">
        <f t="shared" si="51"/>
        <v/>
      </c>
      <c r="EA21" s="40" t="str">
        <f t="shared" si="52"/>
        <v/>
      </c>
      <c r="EB21" s="40" t="str">
        <f t="shared" si="53"/>
        <v/>
      </c>
      <c r="EC21" s="40" t="str">
        <f t="shared" si="54"/>
        <v/>
      </c>
      <c r="ED21" s="40" t="str">
        <f t="shared" si="55"/>
        <v/>
      </c>
      <c r="EE21" s="40" t="str">
        <f t="shared" si="56"/>
        <v/>
      </c>
      <c r="EF21" s="40" t="str">
        <f t="shared" si="57"/>
        <v/>
      </c>
      <c r="EG21" s="40" t="str">
        <f t="shared" si="58"/>
        <v/>
      </c>
      <c r="EH21" s="40" t="str">
        <f t="shared" si="59"/>
        <v/>
      </c>
      <c r="EI21" s="40" t="str">
        <f t="shared" si="60"/>
        <v/>
      </c>
      <c r="EJ21" s="40" t="str">
        <f t="shared" si="61"/>
        <v/>
      </c>
      <c r="EK21" s="40" t="str">
        <f t="shared" si="62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3"/>
        <v/>
      </c>
      <c r="FG21" s="11" t="str">
        <f t="shared" si="64"/>
        <v/>
      </c>
      <c r="FH21" s="11" t="str">
        <f t="shared" si="65"/>
        <v/>
      </c>
      <c r="FI21" s="11" t="str">
        <f t="shared" si="66"/>
        <v/>
      </c>
      <c r="FJ21" s="11" t="str">
        <f t="shared" si="67"/>
        <v/>
      </c>
      <c r="FK21" s="11" t="str">
        <f t="shared" si="68"/>
        <v/>
      </c>
      <c r="FL21" s="11" t="str">
        <f t="shared" si="69"/>
        <v/>
      </c>
      <c r="FM21" s="11" t="str">
        <f t="shared" si="70"/>
        <v/>
      </c>
      <c r="FN21" s="11" t="str">
        <f t="shared" si="71"/>
        <v/>
      </c>
      <c r="FO21" s="11" t="str">
        <f t="shared" si="72"/>
        <v/>
      </c>
      <c r="FP21" s="11" t="str">
        <f t="shared" si="73"/>
        <v/>
      </c>
      <c r="FQ21" s="11" t="str">
        <f t="shared" si="74"/>
        <v/>
      </c>
      <c r="FR21" s="11" t="str">
        <f t="shared" si="75"/>
        <v/>
      </c>
      <c r="FS21" s="11" t="str">
        <f t="shared" si="76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7"/>
        <v/>
      </c>
      <c r="GO21" s="40" t="str">
        <f t="shared" si="78"/>
        <v/>
      </c>
      <c r="GP21" s="40" t="str">
        <f t="shared" si="79"/>
        <v/>
      </c>
      <c r="GQ21" s="40" t="str">
        <f t="shared" si="80"/>
        <v/>
      </c>
      <c r="GR21" s="40" t="str">
        <f t="shared" si="81"/>
        <v/>
      </c>
      <c r="GS21" s="40" t="str">
        <f t="shared" si="82"/>
        <v/>
      </c>
      <c r="GT21" s="40" t="str">
        <f t="shared" si="83"/>
        <v/>
      </c>
      <c r="GU21" s="40" t="str">
        <f t="shared" si="84"/>
        <v/>
      </c>
      <c r="GV21" s="40" t="str">
        <f t="shared" si="85"/>
        <v/>
      </c>
      <c r="GW21" s="40" t="str">
        <f t="shared" si="86"/>
        <v/>
      </c>
      <c r="GX21" s="40" t="str">
        <f t="shared" si="87"/>
        <v/>
      </c>
      <c r="GY21" s="40" t="str">
        <f t="shared" si="88"/>
        <v/>
      </c>
      <c r="GZ21" s="40" t="str">
        <f t="shared" si="89"/>
        <v/>
      </c>
      <c r="HA21" s="40" t="str">
        <f t="shared" si="90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1"/>
        <v/>
      </c>
      <c r="HW21" s="11" t="str">
        <f t="shared" si="92"/>
        <v/>
      </c>
      <c r="HX21" s="11" t="str">
        <f t="shared" si="93"/>
        <v/>
      </c>
      <c r="HY21" s="11" t="str">
        <f t="shared" si="94"/>
        <v/>
      </c>
      <c r="HZ21" s="11" t="str">
        <f t="shared" si="95"/>
        <v/>
      </c>
      <c r="IA21" s="11" t="str">
        <f t="shared" si="96"/>
        <v/>
      </c>
      <c r="IB21" s="11" t="str">
        <f t="shared" si="97"/>
        <v/>
      </c>
      <c r="IC21" s="11" t="str">
        <f t="shared" si="98"/>
        <v/>
      </c>
      <c r="ID21" s="11" t="str">
        <f t="shared" si="99"/>
        <v/>
      </c>
      <c r="IE21" s="11" t="str">
        <f t="shared" si="100"/>
        <v/>
      </c>
      <c r="IF21" s="11" t="str">
        <f t="shared" si="101"/>
        <v/>
      </c>
      <c r="IG21" s="11" t="str">
        <f t="shared" si="102"/>
        <v/>
      </c>
      <c r="IH21" s="11" t="str">
        <f t="shared" si="103"/>
        <v/>
      </c>
      <c r="II21" s="11" t="str">
        <f t="shared" si="104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5"/>
        <v/>
      </c>
      <c r="JE21" s="40" t="str">
        <f t="shared" si="106"/>
        <v/>
      </c>
      <c r="JF21" s="40" t="str">
        <f t="shared" si="107"/>
        <v/>
      </c>
      <c r="JG21" s="40" t="str">
        <f t="shared" si="108"/>
        <v/>
      </c>
      <c r="JH21" s="40" t="str">
        <f t="shared" si="109"/>
        <v/>
      </c>
      <c r="JI21" s="40" t="str">
        <f t="shared" si="110"/>
        <v/>
      </c>
      <c r="JJ21" s="40" t="str">
        <f t="shared" si="111"/>
        <v/>
      </c>
      <c r="JK21" s="40" t="str">
        <f t="shared" si="112"/>
        <v/>
      </c>
      <c r="JL21" s="40" t="str">
        <f t="shared" si="113"/>
        <v/>
      </c>
      <c r="JM21" s="40" t="str">
        <f t="shared" si="114"/>
        <v/>
      </c>
      <c r="JN21" s="40" t="str">
        <f t="shared" si="115"/>
        <v/>
      </c>
      <c r="JO21" s="40" t="str">
        <f t="shared" si="116"/>
        <v/>
      </c>
      <c r="JP21" s="40" t="str">
        <f t="shared" si="117"/>
        <v/>
      </c>
      <c r="JQ21" s="40" t="str">
        <f t="shared" si="118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19"/>
        <v/>
      </c>
      <c r="KM21" s="11" t="str">
        <f t="shared" si="120"/>
        <v/>
      </c>
      <c r="KN21" s="11" t="str">
        <f t="shared" si="121"/>
        <v/>
      </c>
      <c r="KO21" s="11" t="str">
        <f t="shared" si="122"/>
        <v/>
      </c>
      <c r="KP21" s="11" t="str">
        <f t="shared" si="123"/>
        <v/>
      </c>
      <c r="KQ21" s="11" t="str">
        <f t="shared" si="124"/>
        <v/>
      </c>
      <c r="KR21" s="11" t="str">
        <f t="shared" si="125"/>
        <v/>
      </c>
      <c r="KS21" s="11" t="str">
        <f t="shared" si="126"/>
        <v/>
      </c>
      <c r="KT21" s="11" t="str">
        <f t="shared" si="127"/>
        <v/>
      </c>
      <c r="KU21" s="11" t="str">
        <f t="shared" si="128"/>
        <v/>
      </c>
      <c r="KV21" s="11" t="str">
        <f t="shared" si="129"/>
        <v/>
      </c>
      <c r="KW21" s="11" t="str">
        <f t="shared" si="130"/>
        <v/>
      </c>
      <c r="KX21" s="11" t="str">
        <f t="shared" si="131"/>
        <v/>
      </c>
      <c r="KY21" s="11" t="str">
        <f t="shared" si="132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3"/>
        <v/>
      </c>
      <c r="LU21" s="40" t="str">
        <f t="shared" si="134"/>
        <v/>
      </c>
      <c r="LV21" s="40" t="str">
        <f t="shared" si="135"/>
        <v/>
      </c>
      <c r="LW21" s="40" t="str">
        <f t="shared" si="136"/>
        <v/>
      </c>
      <c r="LX21" s="40" t="str">
        <f t="shared" si="137"/>
        <v/>
      </c>
      <c r="LY21" s="40" t="str">
        <f t="shared" si="138"/>
        <v/>
      </c>
      <c r="LZ21" s="40" t="str">
        <f t="shared" si="139"/>
        <v/>
      </c>
      <c r="MA21" s="40" t="str">
        <f t="shared" si="140"/>
        <v/>
      </c>
      <c r="MB21" s="40" t="str">
        <f t="shared" si="141"/>
        <v/>
      </c>
      <c r="MC21" s="40" t="str">
        <f t="shared" si="142"/>
        <v/>
      </c>
      <c r="MD21" s="40" t="str">
        <f t="shared" si="143"/>
        <v/>
      </c>
      <c r="ME21" s="40" t="str">
        <f t="shared" si="144"/>
        <v/>
      </c>
      <c r="MF21" s="40" t="str">
        <f t="shared" si="145"/>
        <v/>
      </c>
      <c r="MG21" s="40" t="str">
        <f t="shared" si="146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7"/>
        <v/>
      </c>
      <c r="NC21" s="11" t="str">
        <f t="shared" si="148"/>
        <v/>
      </c>
      <c r="ND21" s="11" t="str">
        <f t="shared" si="149"/>
        <v/>
      </c>
      <c r="NE21" s="11" t="str">
        <f t="shared" si="150"/>
        <v/>
      </c>
      <c r="NF21" s="11" t="str">
        <f t="shared" si="151"/>
        <v/>
      </c>
      <c r="NG21" s="11" t="str">
        <f t="shared" si="152"/>
        <v/>
      </c>
      <c r="NH21" s="11" t="str">
        <f t="shared" si="153"/>
        <v/>
      </c>
      <c r="NI21" s="11" t="str">
        <f t="shared" si="154"/>
        <v/>
      </c>
      <c r="NJ21" s="11" t="str">
        <f t="shared" si="155"/>
        <v/>
      </c>
      <c r="NK21" s="11" t="str">
        <f t="shared" si="156"/>
        <v/>
      </c>
      <c r="NL21" s="11" t="str">
        <f t="shared" si="157"/>
        <v/>
      </c>
      <c r="NM21" s="11" t="str">
        <f t="shared" si="158"/>
        <v/>
      </c>
      <c r="NN21" s="11" t="str">
        <f t="shared" si="159"/>
        <v/>
      </c>
      <c r="NO21" s="11" t="str">
        <f t="shared" si="160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1"/>
        <v/>
      </c>
      <c r="OK21" s="40" t="str">
        <f t="shared" si="162"/>
        <v/>
      </c>
      <c r="OL21" s="40" t="str">
        <f t="shared" si="163"/>
        <v/>
      </c>
      <c r="OM21" s="40" t="str">
        <f t="shared" si="164"/>
        <v/>
      </c>
      <c r="ON21" s="40" t="str">
        <f t="shared" si="165"/>
        <v/>
      </c>
      <c r="OO21" s="40" t="str">
        <f t="shared" si="166"/>
        <v/>
      </c>
      <c r="OP21" s="40" t="str">
        <f t="shared" si="167"/>
        <v/>
      </c>
      <c r="OQ21" s="40" t="str">
        <f t="shared" si="168"/>
        <v/>
      </c>
      <c r="OR21" s="40" t="str">
        <f t="shared" si="169"/>
        <v/>
      </c>
      <c r="OS21" s="40" t="str">
        <f t="shared" si="170"/>
        <v/>
      </c>
      <c r="OT21" s="40" t="str">
        <f t="shared" si="171"/>
        <v/>
      </c>
      <c r="OU21" s="40" t="str">
        <f t="shared" si="172"/>
        <v/>
      </c>
      <c r="OV21" s="40" t="str">
        <f t="shared" si="173"/>
        <v/>
      </c>
      <c r="OW21" s="40" t="str">
        <f t="shared" si="174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5"/>
        <v/>
      </c>
      <c r="PS21" s="11" t="str">
        <f t="shared" si="176"/>
        <v/>
      </c>
      <c r="PT21" s="11" t="str">
        <f t="shared" si="177"/>
        <v/>
      </c>
      <c r="PU21" s="11" t="str">
        <f t="shared" si="178"/>
        <v/>
      </c>
      <c r="PV21" s="11" t="str">
        <f t="shared" si="179"/>
        <v/>
      </c>
      <c r="PW21" s="11" t="str">
        <f t="shared" si="180"/>
        <v/>
      </c>
      <c r="PX21" s="11" t="str">
        <f t="shared" si="181"/>
        <v/>
      </c>
      <c r="PY21" s="11" t="str">
        <f t="shared" si="182"/>
        <v/>
      </c>
      <c r="PZ21" s="11" t="str">
        <f t="shared" si="183"/>
        <v/>
      </c>
      <c r="QA21" s="11" t="str">
        <f t="shared" si="184"/>
        <v/>
      </c>
      <c r="QB21" s="11" t="str">
        <f t="shared" si="185"/>
        <v/>
      </c>
      <c r="QC21" s="11" t="str">
        <f t="shared" si="186"/>
        <v/>
      </c>
      <c r="QD21" s="11" t="str">
        <f t="shared" si="187"/>
        <v/>
      </c>
      <c r="QE21" s="11" t="str">
        <f t="shared" si="188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89"/>
        <v/>
      </c>
      <c r="RA21" s="40" t="str">
        <f t="shared" si="190"/>
        <v/>
      </c>
      <c r="RB21" s="40" t="str">
        <f t="shared" si="191"/>
        <v/>
      </c>
      <c r="RC21" s="40" t="str">
        <f t="shared" si="192"/>
        <v/>
      </c>
      <c r="RD21" s="40" t="str">
        <f t="shared" si="193"/>
        <v/>
      </c>
      <c r="RE21" s="40" t="str">
        <f t="shared" si="194"/>
        <v/>
      </c>
      <c r="RF21" s="40" t="str">
        <f t="shared" si="195"/>
        <v/>
      </c>
      <c r="RG21" s="40" t="str">
        <f t="shared" si="196"/>
        <v/>
      </c>
      <c r="RH21" s="40" t="str">
        <f t="shared" si="197"/>
        <v/>
      </c>
      <c r="RI21" s="40" t="str">
        <f t="shared" si="198"/>
        <v/>
      </c>
      <c r="RJ21" s="40" t="str">
        <f t="shared" si="199"/>
        <v/>
      </c>
      <c r="RK21" s="40" t="str">
        <f t="shared" si="200"/>
        <v/>
      </c>
      <c r="RL21" s="40" t="str">
        <f t="shared" si="201"/>
        <v/>
      </c>
      <c r="RM21" s="40" t="str">
        <f t="shared" si="202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3"/>
        <v/>
      </c>
      <c r="SI21" s="11" t="str">
        <f t="shared" si="204"/>
        <v/>
      </c>
      <c r="SJ21" s="11" t="str">
        <f t="shared" si="205"/>
        <v/>
      </c>
      <c r="SK21" s="11" t="str">
        <f t="shared" si="206"/>
        <v/>
      </c>
      <c r="SL21" s="11" t="str">
        <f t="shared" si="207"/>
        <v/>
      </c>
      <c r="SM21" s="11" t="str">
        <f t="shared" si="208"/>
        <v/>
      </c>
      <c r="SN21" s="11" t="str">
        <f t="shared" si="209"/>
        <v/>
      </c>
      <c r="SO21" s="11" t="str">
        <f t="shared" si="210"/>
        <v/>
      </c>
      <c r="SP21" s="11" t="str">
        <f t="shared" si="211"/>
        <v/>
      </c>
      <c r="SQ21" s="11" t="str">
        <f t="shared" si="212"/>
        <v/>
      </c>
      <c r="SR21" s="11" t="str">
        <f t="shared" si="213"/>
        <v/>
      </c>
      <c r="SS21" s="11" t="str">
        <f t="shared" si="214"/>
        <v/>
      </c>
      <c r="ST21" s="11" t="str">
        <f t="shared" si="215"/>
        <v/>
      </c>
      <c r="SU21" s="11" t="str">
        <f t="shared" si="216"/>
        <v/>
      </c>
      <c r="SV21" s="22">
        <f t="shared" si="217"/>
        <v>0</v>
      </c>
      <c r="SW21" s="22">
        <f t="shared" si="218"/>
        <v>0</v>
      </c>
      <c r="SX21" s="22">
        <f t="shared" si="219"/>
        <v>0</v>
      </c>
      <c r="SY21" s="22">
        <f t="shared" si="220"/>
        <v>0</v>
      </c>
      <c r="SZ21" s="22">
        <f t="shared" si="221"/>
        <v>0</v>
      </c>
      <c r="TA21" s="22">
        <f t="shared" si="222"/>
        <v>0</v>
      </c>
      <c r="TB21" s="22">
        <f t="shared" si="223"/>
        <v>0</v>
      </c>
      <c r="TC21" s="22">
        <f t="shared" si="224"/>
        <v>0</v>
      </c>
      <c r="TD21" s="22">
        <f t="shared" si="225"/>
        <v>0</v>
      </c>
      <c r="TE21" s="22">
        <f t="shared" si="226"/>
        <v>0</v>
      </c>
      <c r="TF21" s="22">
        <f t="shared" si="227"/>
        <v>0</v>
      </c>
      <c r="TG21" s="22">
        <f t="shared" si="228"/>
        <v>0</v>
      </c>
      <c r="TH21" s="22">
        <f t="shared" si="229"/>
        <v>0</v>
      </c>
      <c r="TI21" s="22">
        <f t="shared" si="230"/>
        <v>0</v>
      </c>
      <c r="TJ21" s="22">
        <f t="shared" si="231"/>
        <v>0</v>
      </c>
      <c r="TK21" s="27" t="s">
        <v>46</v>
      </c>
      <c r="TL21" s="40" t="str">
        <f t="shared" si="232"/>
        <v/>
      </c>
      <c r="TM21" s="40" t="str">
        <f t="shared" si="233"/>
        <v/>
      </c>
      <c r="TN21" s="40" t="str">
        <f t="shared" si="234"/>
        <v/>
      </c>
      <c r="TO21" s="40" t="str">
        <f t="shared" si="235"/>
        <v/>
      </c>
      <c r="TP21" s="40" t="str">
        <f t="shared" si="236"/>
        <v/>
      </c>
      <c r="TQ21" s="40" t="str">
        <f t="shared" si="237"/>
        <v/>
      </c>
      <c r="TR21" s="40" t="str">
        <f t="shared" si="238"/>
        <v/>
      </c>
      <c r="TS21" s="40" t="str">
        <f t="shared" si="239"/>
        <v/>
      </c>
      <c r="TT21" s="40" t="str">
        <f t="shared" si="240"/>
        <v/>
      </c>
      <c r="TU21" s="40" t="str">
        <f t="shared" si="241"/>
        <v/>
      </c>
      <c r="TV21" s="40" t="str">
        <f t="shared" si="242"/>
        <v/>
      </c>
    </row>
    <row r="22" spans="1:542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215</v>
      </c>
      <c r="D22" s="4" t="s">
        <v>3</v>
      </c>
      <c r="E22" s="4">
        <v>2005</v>
      </c>
      <c r="F22" s="9">
        <f t="shared" si="0"/>
        <v>119.86001198600466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46.400000000000006</v>
      </c>
      <c r="M22" s="8" t="str">
        <f t="shared" si="5"/>
        <v>2023 Nationals</v>
      </c>
      <c r="N22" s="8">
        <f>IF(COUNT(AQ22,AT22,BR22,BU22,CS22,CV22)&gt;1,LARGE((AQ22,AT22,BR22,BU22,CS22,CV22),2),0)</f>
        <v>45.75</v>
      </c>
      <c r="O22" s="8" t="str">
        <f t="shared" si="6"/>
        <v>2023 Nationals</v>
      </c>
      <c r="P22" s="8">
        <f>IF(COUNT(AQ22,AT22,BR22,BU22,CS22,CV22)&gt;2,MAX(AX22,BY22,CZ22,LARGE((AQ22,AT22,BR22,BU22,CS22,CV22),3)),IF(MAX(AX22,BY22,CZ22)&gt;0,MAX(AX22,BY22,CZ22),0))</f>
        <v>18.810000000000002</v>
      </c>
      <c r="Q22" s="8" t="str">
        <f t="shared" si="7"/>
        <v>2023 Nationals</v>
      </c>
      <c r="R22" s="8">
        <f t="shared" si="8"/>
        <v>8.9</v>
      </c>
      <c r="S22" s="8" t="str">
        <f t="shared" si="9"/>
        <v>2023 Nationals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>IF(V22="","",IF(V22=DB22,IF(V22+IF(P22="",0,P22)=SN22,$RN$1,IF(V22+IF(P22="",0,P22)=RF22,$QF$1,IF(V22+IF(P22="",0,P22)=PX22,$OX$1,IF(V22+IF(P22="",0,P22)=OP22,$NP$1,IF(V22+IF(P22="",0,P22)=NH22,$MH$1,IF(V22+IF(P22="",0,P22)=LZ22,$KZ$1,IF(V22+IF(P22="",0,P22)=KR22,$JR$1,IF(V22+IF(P22="",0,P22)=JJ22,$IJ$1,IF(V22+IF(P22="",0,P22)=IB22,$HB$1,IF(V22+IF(P22="",0,P22)=GT22,$FT$1,IF(V22+IF(P22="",0,P22)=FL22,$EL$1,IF(V22+IF(P22="",0,P22)=ED22,$DD$1)))))))))))),IF(V22=DC22,IF(V22+IF(#REF!="",0,#REF!)=ST22,$RN$1,IF(V22+IF(#REF!="",0,#REF!)=RL22,$QF$1,IF(V22+IF(#REF!="",0,#REF!)=QD22,$OX$1,IF(V22+IF(#REF!="",0,#REF!)=OV22,$NP$1,IF(V22+IF(#REF!="",0,#REF!)=NN22,$MH$1,IF(V22+IF(#REF!="",0,#REF!)=MF22,$KZ$1,IF(V22+IF(#REF!="",0,#REF!)=KX22,$JR$1,IF(V22+IF(#REF!="",0,#REF!)=JP22,$IJ$1,IF(V22+IF(#REF!="",0,#REF!)=IH22,$HB$1,IF(V22+IF(#REF!="",0,#REF!)=GZ22,$FT$1,IF(V22+IF(#REF!="",0,#REF!)=FR22,$EL$1,IF(V22+IF(#REF!="",0,#REF!)=EJ22,$DD$1,IF(V22+IF(#REF!="",0,#REF!)=SQ22,$RN$1,IF(V22+IF(#REF!="",0,#REF!)=RI22,$QF$1,IF(V22+IF(#REF!="",0,#REF!)=QA22,$OX$1,IF(V22+IF(#REF!="",0,#REF!)=OS22,$NP$1,IF(V22+IF(#REF!="",0,#REF!)=NK22,$MH$1,IF(V22+IF(#REF!="",0,#REF!)=MC22,$KZ$1,IF(V22+IF(#REF!="",0,#REF!)=KU22,$JR$1,IF(V22+IF(#REF!="",0,#REF!)=JM22,$IJ$1,IF(V22+IF(#REF!="",0,#REF!)=IE22,$HB$1,IF(V22+IF(#REF!="",0,#REF!)=GW22,$FT$1,IF(V22+IF(#REF!="",0,#REF!)=FO22,$EL$1,IF(V22+IF(#REF!="",0,#REF!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4"/>
        <v/>
      </c>
      <c r="AP22" s="38" t="str">
        <f t="shared" si="15"/>
        <v/>
      </c>
      <c r="AQ22" s="40" t="str">
        <f t="shared" si="16"/>
        <v/>
      </c>
      <c r="AR22" s="40" t="str">
        <f t="shared" si="17"/>
        <v/>
      </c>
      <c r="AS22" s="40" t="str">
        <f t="shared" si="18"/>
        <v/>
      </c>
      <c r="AT22" s="40" t="str">
        <f t="shared" si="19"/>
        <v/>
      </c>
      <c r="AU22" s="40" t="str">
        <f t="shared" si="20"/>
        <v/>
      </c>
      <c r="AV22" s="40" t="str">
        <f t="shared" si="21"/>
        <v/>
      </c>
      <c r="AW22" s="40" t="str">
        <f t="shared" si="22"/>
        <v/>
      </c>
      <c r="AX22" s="40" t="str">
        <f t="shared" si="23"/>
        <v/>
      </c>
      <c r="AY22" s="40" t="str">
        <f t="shared" si="24"/>
        <v/>
      </c>
      <c r="AZ22" s="26">
        <v>14.8</v>
      </c>
      <c r="BA22" s="26">
        <v>9.4</v>
      </c>
      <c r="BB22" s="26">
        <v>8.9</v>
      </c>
      <c r="BC22" s="26">
        <v>13.3</v>
      </c>
      <c r="BD22" s="26">
        <v>0</v>
      </c>
      <c r="BE22" s="26">
        <v>14.7</v>
      </c>
      <c r="BF22" s="26">
        <v>8.6999999999999993</v>
      </c>
      <c r="BG22" s="26">
        <v>8.9</v>
      </c>
      <c r="BH22" s="26">
        <v>13.45</v>
      </c>
      <c r="BI22" s="26">
        <v>0</v>
      </c>
      <c r="BJ22" s="26">
        <v>6.3</v>
      </c>
      <c r="BK22" s="26">
        <v>3.5</v>
      </c>
      <c r="BL22" s="26">
        <v>3.5</v>
      </c>
      <c r="BM22" s="26">
        <v>5.51</v>
      </c>
      <c r="BN22" s="26">
        <v>0</v>
      </c>
      <c r="BO22" s="28"/>
      <c r="BP22" s="39">
        <f t="shared" si="25"/>
        <v>8.9</v>
      </c>
      <c r="BQ22" s="39">
        <f t="shared" si="26"/>
        <v>13.3</v>
      </c>
      <c r="BR22" s="11">
        <f t="shared" si="27"/>
        <v>46.400000000000006</v>
      </c>
      <c r="BS22" s="11">
        <f t="shared" si="28"/>
        <v>8.9</v>
      </c>
      <c r="BT22" s="11">
        <f t="shared" si="29"/>
        <v>13.45</v>
      </c>
      <c r="BU22" s="11">
        <f t="shared" si="30"/>
        <v>45.75</v>
      </c>
      <c r="BV22" s="11">
        <f t="shared" si="31"/>
        <v>46.400000000000006</v>
      </c>
      <c r="BW22" s="11">
        <f t="shared" si="32"/>
        <v>3.5</v>
      </c>
      <c r="BX22" s="11">
        <f t="shared" si="33"/>
        <v>5.51</v>
      </c>
      <c r="BY22" s="11">
        <f t="shared" si="34"/>
        <v>18.810000000000002</v>
      </c>
      <c r="BZ22" s="11">
        <f t="shared" si="35"/>
        <v>65.210000000000008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6"/>
        <v/>
      </c>
      <c r="CR22" s="38" t="str">
        <f t="shared" si="37"/>
        <v/>
      </c>
      <c r="CS22" s="40" t="str">
        <f t="shared" si="38"/>
        <v/>
      </c>
      <c r="CT22" s="40" t="str">
        <f t="shared" si="39"/>
        <v/>
      </c>
      <c r="CU22" s="40" t="str">
        <f t="shared" si="40"/>
        <v/>
      </c>
      <c r="CV22" s="40" t="str">
        <f t="shared" si="41"/>
        <v/>
      </c>
      <c r="CW22" s="40" t="str">
        <f t="shared" si="42"/>
        <v/>
      </c>
      <c r="CX22" s="40" t="str">
        <f t="shared" si="43"/>
        <v/>
      </c>
      <c r="CY22" s="40" t="str">
        <f t="shared" si="44"/>
        <v/>
      </c>
      <c r="CZ22" s="40" t="str">
        <f t="shared" si="45"/>
        <v/>
      </c>
      <c r="DA22" s="40" t="str">
        <f t="shared" si="46"/>
        <v/>
      </c>
      <c r="DB22" s="50" t="str">
        <f t="shared" si="47"/>
        <v/>
      </c>
      <c r="DC22" s="50" t="str">
        <f t="shared" si="48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49"/>
        <v/>
      </c>
      <c r="DY22" s="40" t="str">
        <f t="shared" si="50"/>
        <v/>
      </c>
      <c r="DZ22" s="40" t="str">
        <f t="shared" si="51"/>
        <v/>
      </c>
      <c r="EA22" s="40" t="str">
        <f t="shared" si="52"/>
        <v/>
      </c>
      <c r="EB22" s="40" t="str">
        <f t="shared" si="53"/>
        <v/>
      </c>
      <c r="EC22" s="40" t="str">
        <f t="shared" si="54"/>
        <v/>
      </c>
      <c r="ED22" s="40" t="str">
        <f t="shared" si="55"/>
        <v/>
      </c>
      <c r="EE22" s="40" t="str">
        <f t="shared" si="56"/>
        <v/>
      </c>
      <c r="EF22" s="40" t="str">
        <f t="shared" si="57"/>
        <v/>
      </c>
      <c r="EG22" s="40" t="str">
        <f t="shared" si="58"/>
        <v/>
      </c>
      <c r="EH22" s="40" t="str">
        <f t="shared" si="59"/>
        <v/>
      </c>
      <c r="EI22" s="40" t="str">
        <f t="shared" si="60"/>
        <v/>
      </c>
      <c r="EJ22" s="40" t="str">
        <f t="shared" si="61"/>
        <v/>
      </c>
      <c r="EK22" s="40" t="str">
        <f t="shared" si="62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3"/>
        <v/>
      </c>
      <c r="FG22" s="11" t="str">
        <f t="shared" si="64"/>
        <v/>
      </c>
      <c r="FH22" s="11" t="str">
        <f t="shared" si="65"/>
        <v/>
      </c>
      <c r="FI22" s="11" t="str">
        <f t="shared" si="66"/>
        <v/>
      </c>
      <c r="FJ22" s="11" t="str">
        <f t="shared" si="67"/>
        <v/>
      </c>
      <c r="FK22" s="11" t="str">
        <f t="shared" si="68"/>
        <v/>
      </c>
      <c r="FL22" s="11" t="str">
        <f t="shared" si="69"/>
        <v/>
      </c>
      <c r="FM22" s="11" t="str">
        <f t="shared" si="70"/>
        <v/>
      </c>
      <c r="FN22" s="11" t="str">
        <f t="shared" si="71"/>
        <v/>
      </c>
      <c r="FO22" s="11" t="str">
        <f t="shared" si="72"/>
        <v/>
      </c>
      <c r="FP22" s="11" t="str">
        <f t="shared" si="73"/>
        <v/>
      </c>
      <c r="FQ22" s="11" t="str">
        <f t="shared" si="74"/>
        <v/>
      </c>
      <c r="FR22" s="11" t="str">
        <f t="shared" si="75"/>
        <v/>
      </c>
      <c r="FS22" s="11" t="str">
        <f t="shared" si="76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7"/>
        <v/>
      </c>
      <c r="GO22" s="40" t="str">
        <f t="shared" si="78"/>
        <v/>
      </c>
      <c r="GP22" s="40" t="str">
        <f t="shared" si="79"/>
        <v/>
      </c>
      <c r="GQ22" s="40" t="str">
        <f t="shared" si="80"/>
        <v/>
      </c>
      <c r="GR22" s="40" t="str">
        <f t="shared" si="81"/>
        <v/>
      </c>
      <c r="GS22" s="40" t="str">
        <f t="shared" si="82"/>
        <v/>
      </c>
      <c r="GT22" s="40" t="str">
        <f t="shared" si="83"/>
        <v/>
      </c>
      <c r="GU22" s="40" t="str">
        <f t="shared" si="84"/>
        <v/>
      </c>
      <c r="GV22" s="40" t="str">
        <f t="shared" si="85"/>
        <v/>
      </c>
      <c r="GW22" s="40" t="str">
        <f t="shared" si="86"/>
        <v/>
      </c>
      <c r="GX22" s="40" t="str">
        <f t="shared" si="87"/>
        <v/>
      </c>
      <c r="GY22" s="40" t="str">
        <f t="shared" si="88"/>
        <v/>
      </c>
      <c r="GZ22" s="40" t="str">
        <f t="shared" si="89"/>
        <v/>
      </c>
      <c r="HA22" s="40" t="str">
        <f t="shared" si="90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1"/>
        <v/>
      </c>
      <c r="HW22" s="11" t="str">
        <f t="shared" si="92"/>
        <v/>
      </c>
      <c r="HX22" s="11" t="str">
        <f t="shared" si="93"/>
        <v/>
      </c>
      <c r="HY22" s="11" t="str">
        <f t="shared" si="94"/>
        <v/>
      </c>
      <c r="HZ22" s="11" t="str">
        <f t="shared" si="95"/>
        <v/>
      </c>
      <c r="IA22" s="11" t="str">
        <f t="shared" si="96"/>
        <v/>
      </c>
      <c r="IB22" s="11" t="str">
        <f t="shared" si="97"/>
        <v/>
      </c>
      <c r="IC22" s="11" t="str">
        <f t="shared" si="98"/>
        <v/>
      </c>
      <c r="ID22" s="11" t="str">
        <f t="shared" si="99"/>
        <v/>
      </c>
      <c r="IE22" s="11" t="str">
        <f t="shared" si="100"/>
        <v/>
      </c>
      <c r="IF22" s="11" t="str">
        <f t="shared" si="101"/>
        <v/>
      </c>
      <c r="IG22" s="11" t="str">
        <f t="shared" si="102"/>
        <v/>
      </c>
      <c r="IH22" s="11" t="str">
        <f t="shared" si="103"/>
        <v/>
      </c>
      <c r="II22" s="11" t="str">
        <f t="shared" si="104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5"/>
        <v/>
      </c>
      <c r="JE22" s="40" t="str">
        <f t="shared" si="106"/>
        <v/>
      </c>
      <c r="JF22" s="40" t="str">
        <f t="shared" si="107"/>
        <v/>
      </c>
      <c r="JG22" s="40" t="str">
        <f t="shared" si="108"/>
        <v/>
      </c>
      <c r="JH22" s="40" t="str">
        <f t="shared" si="109"/>
        <v/>
      </c>
      <c r="JI22" s="40" t="str">
        <f t="shared" si="110"/>
        <v/>
      </c>
      <c r="JJ22" s="40" t="str">
        <f t="shared" si="111"/>
        <v/>
      </c>
      <c r="JK22" s="40" t="str">
        <f t="shared" si="112"/>
        <v/>
      </c>
      <c r="JL22" s="40" t="str">
        <f t="shared" si="113"/>
        <v/>
      </c>
      <c r="JM22" s="40" t="str">
        <f t="shared" si="114"/>
        <v/>
      </c>
      <c r="JN22" s="40" t="str">
        <f t="shared" si="115"/>
        <v/>
      </c>
      <c r="JO22" s="40" t="str">
        <f t="shared" si="116"/>
        <v/>
      </c>
      <c r="JP22" s="40" t="str">
        <f t="shared" si="117"/>
        <v/>
      </c>
      <c r="JQ22" s="40" t="str">
        <f t="shared" si="118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19"/>
        <v/>
      </c>
      <c r="KM22" s="11" t="str">
        <f t="shared" si="120"/>
        <v/>
      </c>
      <c r="KN22" s="11" t="str">
        <f t="shared" si="121"/>
        <v/>
      </c>
      <c r="KO22" s="11" t="str">
        <f t="shared" si="122"/>
        <v/>
      </c>
      <c r="KP22" s="11" t="str">
        <f t="shared" si="123"/>
        <v/>
      </c>
      <c r="KQ22" s="11" t="str">
        <f t="shared" si="124"/>
        <v/>
      </c>
      <c r="KR22" s="11" t="str">
        <f t="shared" si="125"/>
        <v/>
      </c>
      <c r="KS22" s="11" t="str">
        <f t="shared" si="126"/>
        <v/>
      </c>
      <c r="KT22" s="11" t="str">
        <f t="shared" si="127"/>
        <v/>
      </c>
      <c r="KU22" s="11" t="str">
        <f t="shared" si="128"/>
        <v/>
      </c>
      <c r="KV22" s="11" t="str">
        <f t="shared" si="129"/>
        <v/>
      </c>
      <c r="KW22" s="11" t="str">
        <f t="shared" si="130"/>
        <v/>
      </c>
      <c r="KX22" s="11" t="str">
        <f t="shared" si="131"/>
        <v/>
      </c>
      <c r="KY22" s="11" t="str">
        <f t="shared" si="132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3"/>
        <v/>
      </c>
      <c r="LU22" s="40" t="str">
        <f t="shared" si="134"/>
        <v/>
      </c>
      <c r="LV22" s="40" t="str">
        <f t="shared" si="135"/>
        <v/>
      </c>
      <c r="LW22" s="40" t="str">
        <f t="shared" si="136"/>
        <v/>
      </c>
      <c r="LX22" s="40" t="str">
        <f t="shared" si="137"/>
        <v/>
      </c>
      <c r="LY22" s="40" t="str">
        <f t="shared" si="138"/>
        <v/>
      </c>
      <c r="LZ22" s="40" t="str">
        <f t="shared" si="139"/>
        <v/>
      </c>
      <c r="MA22" s="40" t="str">
        <f t="shared" si="140"/>
        <v/>
      </c>
      <c r="MB22" s="40" t="str">
        <f t="shared" si="141"/>
        <v/>
      </c>
      <c r="MC22" s="40" t="str">
        <f t="shared" si="142"/>
        <v/>
      </c>
      <c r="MD22" s="40" t="str">
        <f t="shared" si="143"/>
        <v/>
      </c>
      <c r="ME22" s="40" t="str">
        <f t="shared" si="144"/>
        <v/>
      </c>
      <c r="MF22" s="40" t="str">
        <f t="shared" si="145"/>
        <v/>
      </c>
      <c r="MG22" s="40" t="str">
        <f t="shared" si="146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7"/>
        <v/>
      </c>
      <c r="NC22" s="11" t="str">
        <f t="shared" si="148"/>
        <v/>
      </c>
      <c r="ND22" s="11" t="str">
        <f t="shared" si="149"/>
        <v/>
      </c>
      <c r="NE22" s="11" t="str">
        <f t="shared" si="150"/>
        <v/>
      </c>
      <c r="NF22" s="11" t="str">
        <f t="shared" si="151"/>
        <v/>
      </c>
      <c r="NG22" s="11" t="str">
        <f t="shared" si="152"/>
        <v/>
      </c>
      <c r="NH22" s="11" t="str">
        <f t="shared" si="153"/>
        <v/>
      </c>
      <c r="NI22" s="11" t="str">
        <f t="shared" si="154"/>
        <v/>
      </c>
      <c r="NJ22" s="11" t="str">
        <f t="shared" si="155"/>
        <v/>
      </c>
      <c r="NK22" s="11" t="str">
        <f t="shared" si="156"/>
        <v/>
      </c>
      <c r="NL22" s="11" t="str">
        <f t="shared" si="157"/>
        <v/>
      </c>
      <c r="NM22" s="11" t="str">
        <f t="shared" si="158"/>
        <v/>
      </c>
      <c r="NN22" s="11" t="str">
        <f t="shared" si="159"/>
        <v/>
      </c>
      <c r="NO22" s="11" t="str">
        <f t="shared" si="160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1"/>
        <v/>
      </c>
      <c r="OK22" s="40" t="str">
        <f t="shared" si="162"/>
        <v/>
      </c>
      <c r="OL22" s="40" t="str">
        <f t="shared" si="163"/>
        <v/>
      </c>
      <c r="OM22" s="40" t="str">
        <f t="shared" si="164"/>
        <v/>
      </c>
      <c r="ON22" s="40" t="str">
        <f t="shared" si="165"/>
        <v/>
      </c>
      <c r="OO22" s="40" t="str">
        <f t="shared" si="166"/>
        <v/>
      </c>
      <c r="OP22" s="40" t="str">
        <f t="shared" si="167"/>
        <v/>
      </c>
      <c r="OQ22" s="40" t="str">
        <f t="shared" si="168"/>
        <v/>
      </c>
      <c r="OR22" s="40" t="str">
        <f t="shared" si="169"/>
        <v/>
      </c>
      <c r="OS22" s="40" t="str">
        <f t="shared" si="170"/>
        <v/>
      </c>
      <c r="OT22" s="40" t="str">
        <f t="shared" si="171"/>
        <v/>
      </c>
      <c r="OU22" s="40" t="str">
        <f t="shared" si="172"/>
        <v/>
      </c>
      <c r="OV22" s="40" t="str">
        <f t="shared" si="173"/>
        <v/>
      </c>
      <c r="OW22" s="40" t="str">
        <f t="shared" si="174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5"/>
        <v/>
      </c>
      <c r="PS22" s="11" t="str">
        <f t="shared" si="176"/>
        <v/>
      </c>
      <c r="PT22" s="11" t="str">
        <f t="shared" si="177"/>
        <v/>
      </c>
      <c r="PU22" s="11" t="str">
        <f t="shared" si="178"/>
        <v/>
      </c>
      <c r="PV22" s="11" t="str">
        <f t="shared" si="179"/>
        <v/>
      </c>
      <c r="PW22" s="11" t="str">
        <f t="shared" si="180"/>
        <v/>
      </c>
      <c r="PX22" s="11" t="str">
        <f t="shared" si="181"/>
        <v/>
      </c>
      <c r="PY22" s="11" t="str">
        <f t="shared" si="182"/>
        <v/>
      </c>
      <c r="PZ22" s="11" t="str">
        <f t="shared" si="183"/>
        <v/>
      </c>
      <c r="QA22" s="11" t="str">
        <f t="shared" si="184"/>
        <v/>
      </c>
      <c r="QB22" s="11" t="str">
        <f t="shared" si="185"/>
        <v/>
      </c>
      <c r="QC22" s="11" t="str">
        <f t="shared" si="186"/>
        <v/>
      </c>
      <c r="QD22" s="11" t="str">
        <f t="shared" si="187"/>
        <v/>
      </c>
      <c r="QE22" s="11" t="str">
        <f t="shared" si="188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89"/>
        <v/>
      </c>
      <c r="RA22" s="40" t="str">
        <f t="shared" si="190"/>
        <v/>
      </c>
      <c r="RB22" s="40" t="str">
        <f t="shared" si="191"/>
        <v/>
      </c>
      <c r="RC22" s="40" t="str">
        <f t="shared" si="192"/>
        <v/>
      </c>
      <c r="RD22" s="40" t="str">
        <f t="shared" si="193"/>
        <v/>
      </c>
      <c r="RE22" s="40" t="str">
        <f t="shared" si="194"/>
        <v/>
      </c>
      <c r="RF22" s="40" t="str">
        <f t="shared" si="195"/>
        <v/>
      </c>
      <c r="RG22" s="40" t="str">
        <f t="shared" si="196"/>
        <v/>
      </c>
      <c r="RH22" s="40" t="str">
        <f t="shared" si="197"/>
        <v/>
      </c>
      <c r="RI22" s="40" t="str">
        <f t="shared" si="198"/>
        <v/>
      </c>
      <c r="RJ22" s="40" t="str">
        <f t="shared" si="199"/>
        <v/>
      </c>
      <c r="RK22" s="40" t="str">
        <f t="shared" si="200"/>
        <v/>
      </c>
      <c r="RL22" s="40" t="str">
        <f t="shared" si="201"/>
        <v/>
      </c>
      <c r="RM22" s="40" t="str">
        <f t="shared" si="202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3"/>
        <v/>
      </c>
      <c r="SI22" s="11" t="str">
        <f t="shared" si="204"/>
        <v/>
      </c>
      <c r="SJ22" s="11" t="str">
        <f t="shared" si="205"/>
        <v/>
      </c>
      <c r="SK22" s="11" t="str">
        <f t="shared" si="206"/>
        <v/>
      </c>
      <c r="SL22" s="11" t="str">
        <f t="shared" si="207"/>
        <v/>
      </c>
      <c r="SM22" s="11" t="str">
        <f t="shared" si="208"/>
        <v/>
      </c>
      <c r="SN22" s="11" t="str">
        <f t="shared" si="209"/>
        <v/>
      </c>
      <c r="SO22" s="11" t="str">
        <f t="shared" si="210"/>
        <v/>
      </c>
      <c r="SP22" s="11" t="str">
        <f t="shared" si="211"/>
        <v/>
      </c>
      <c r="SQ22" s="11" t="str">
        <f t="shared" si="212"/>
        <v/>
      </c>
      <c r="SR22" s="11" t="str">
        <f t="shared" si="213"/>
        <v/>
      </c>
      <c r="SS22" s="11" t="str">
        <f t="shared" si="214"/>
        <v/>
      </c>
      <c r="ST22" s="11" t="str">
        <f t="shared" si="215"/>
        <v/>
      </c>
      <c r="SU22" s="11" t="str">
        <f t="shared" si="216"/>
        <v/>
      </c>
      <c r="SV22" s="22">
        <f t="shared" si="217"/>
        <v>7.4</v>
      </c>
      <c r="SW22" s="22">
        <f t="shared" si="218"/>
        <v>4.7</v>
      </c>
      <c r="SX22" s="22">
        <f t="shared" si="219"/>
        <v>4.45</v>
      </c>
      <c r="SY22" s="22">
        <f t="shared" si="220"/>
        <v>6.65</v>
      </c>
      <c r="SZ22" s="22">
        <f t="shared" si="221"/>
        <v>0</v>
      </c>
      <c r="TA22" s="22">
        <f t="shared" si="222"/>
        <v>7.35</v>
      </c>
      <c r="TB22" s="22">
        <f t="shared" si="223"/>
        <v>4.3499999999999996</v>
      </c>
      <c r="TC22" s="22">
        <f t="shared" si="224"/>
        <v>4.45</v>
      </c>
      <c r="TD22" s="22">
        <f t="shared" si="225"/>
        <v>6.7249999999999996</v>
      </c>
      <c r="TE22" s="22">
        <f t="shared" si="226"/>
        <v>0</v>
      </c>
      <c r="TF22" s="22">
        <f t="shared" si="227"/>
        <v>3.15</v>
      </c>
      <c r="TG22" s="22">
        <f t="shared" si="228"/>
        <v>1.75</v>
      </c>
      <c r="TH22" s="22">
        <f t="shared" si="229"/>
        <v>1.75</v>
      </c>
      <c r="TI22" s="22">
        <f t="shared" si="230"/>
        <v>2.7549999999999999</v>
      </c>
      <c r="TJ22" s="22">
        <f t="shared" si="231"/>
        <v>0</v>
      </c>
      <c r="TK22" s="27" t="s">
        <v>46</v>
      </c>
      <c r="TL22" s="40">
        <f t="shared" si="232"/>
        <v>4.45</v>
      </c>
      <c r="TM22" s="40">
        <f t="shared" si="233"/>
        <v>6.65</v>
      </c>
      <c r="TN22" s="40">
        <f t="shared" si="234"/>
        <v>23.200000000000003</v>
      </c>
      <c r="TO22" s="40">
        <f t="shared" si="235"/>
        <v>4.45</v>
      </c>
      <c r="TP22" s="40">
        <f t="shared" si="236"/>
        <v>6.7249999999999996</v>
      </c>
      <c r="TQ22" s="40">
        <f t="shared" si="237"/>
        <v>22.875</v>
      </c>
      <c r="TR22" s="40">
        <f t="shared" si="238"/>
        <v>23.200000000000003</v>
      </c>
      <c r="TS22" s="40">
        <f t="shared" si="239"/>
        <v>1.75</v>
      </c>
      <c r="TT22" s="40">
        <f t="shared" si="240"/>
        <v>2.7549999999999999</v>
      </c>
      <c r="TU22" s="40">
        <f t="shared" si="241"/>
        <v>9.4050000000000011</v>
      </c>
      <c r="TV22" s="40">
        <f t="shared" si="242"/>
        <v>32.605000000000004</v>
      </c>
    </row>
    <row r="23" spans="1:542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143</v>
      </c>
      <c r="D23" s="4" t="s">
        <v>6</v>
      </c>
      <c r="E23" s="4">
        <v>2002</v>
      </c>
      <c r="F23" s="9">
        <f t="shared" si="0"/>
        <v>115.3400115340048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48.06</v>
      </c>
      <c r="M23" s="8" t="str">
        <f t="shared" si="5"/>
        <v>2023 Nationals</v>
      </c>
      <c r="N23" s="8">
        <f>IF(COUNT(AQ23,AT23,BR23,BU23,CS23,CV23)&gt;1,LARGE((AQ23,AT23,BR23,BU23,CS23,CV23),2),0)</f>
        <v>10.649999999999999</v>
      </c>
      <c r="O23" s="8" t="str">
        <f t="shared" si="6"/>
        <v>2023 Nationals</v>
      </c>
      <c r="P23" s="8">
        <f>IF(COUNT(AQ23,AT23,BR23,BU23,CS23,CV23)&gt;2,MAX(AX23,BY23,CZ23,LARGE((AQ23,AT23,BR23,BU23,CS23,CV23),3)),IF(MAX(AX23,BY23,CZ23)&gt;0,MAX(AX23,BY23,CZ23),0))</f>
        <v>47.63</v>
      </c>
      <c r="Q23" s="8" t="str">
        <f t="shared" si="7"/>
        <v>2023 Nationals</v>
      </c>
      <c r="R23" s="8">
        <f t="shared" si="8"/>
        <v>9</v>
      </c>
      <c r="S23" s="8" t="str">
        <f t="shared" si="9"/>
        <v>2023 Nationals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>IF(V23="","",IF(V23=DB23,IF(V23+IF(P23="",0,P23)=SN23,$RN$1,IF(V23+IF(P23="",0,P23)=RF23,$QF$1,IF(V23+IF(P23="",0,P23)=PX23,$OX$1,IF(V23+IF(P23="",0,P23)=OP23,$NP$1,IF(V23+IF(P23="",0,P23)=NH23,$MH$1,IF(V23+IF(P23="",0,P23)=LZ23,$KZ$1,IF(V23+IF(P23="",0,P23)=KR23,$JR$1,IF(V23+IF(P23="",0,P23)=JJ23,$IJ$1,IF(V23+IF(P23="",0,P23)=IB23,$HB$1,IF(V23+IF(P23="",0,P23)=GT23,$FT$1,IF(V23+IF(P23="",0,P23)=FL23,$EL$1,IF(V23+IF(P23="",0,P23)=ED23,$DD$1)))))))))))),IF(V23=DC23,IF(V23+IF(#REF!="",0,#REF!)=ST23,$RN$1,IF(V23+IF(#REF!="",0,#REF!)=RL23,$QF$1,IF(V23+IF(#REF!="",0,#REF!)=QD23,$OX$1,IF(V23+IF(#REF!="",0,#REF!)=OV23,$NP$1,IF(V23+IF(#REF!="",0,#REF!)=NN23,$MH$1,IF(V23+IF(#REF!="",0,#REF!)=MF23,$KZ$1,IF(V23+IF(#REF!="",0,#REF!)=KX23,$JR$1,IF(V23+IF(#REF!="",0,#REF!)=JP23,$IJ$1,IF(V23+IF(#REF!="",0,#REF!)=IH23,$HB$1,IF(V23+IF(#REF!="",0,#REF!)=GZ23,$FT$1,IF(V23+IF(#REF!="",0,#REF!)=FR23,$EL$1,IF(V23+IF(#REF!="",0,#REF!)=EJ23,$DD$1,IF(V23+IF(#REF!="",0,#REF!)=SQ23,$RN$1,IF(V23+IF(#REF!="",0,#REF!)=RI23,$QF$1,IF(V23+IF(#REF!="",0,#REF!)=QA23,$OX$1,IF(V23+IF(#REF!="",0,#REF!)=OS23,$NP$1,IF(V23+IF(#REF!="",0,#REF!)=NK23,$MH$1,IF(V23+IF(#REF!="",0,#REF!)=MC23,$KZ$1,IF(V23+IF(#REF!="",0,#REF!)=KU23,$JR$1,IF(V23+IF(#REF!="",0,#REF!)=JM23,$IJ$1,IF(V23+IF(#REF!="",0,#REF!)=IE23,$HB$1,IF(V23+IF(#REF!="",0,#REF!)=GW23,$FT$1,IF(V23+IF(#REF!="",0,#REF!)=FO23,$EL$1,IF(V23+IF(#REF!="",0,#REF!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 t="shared" si="14"/>
        <v/>
      </c>
      <c r="AP23" s="38" t="str">
        <f t="shared" si="15"/>
        <v/>
      </c>
      <c r="AQ23" s="40" t="str">
        <f t="shared" si="16"/>
        <v/>
      </c>
      <c r="AR23" s="40" t="str">
        <f t="shared" si="17"/>
        <v/>
      </c>
      <c r="AS23" s="40" t="str">
        <f t="shared" si="18"/>
        <v/>
      </c>
      <c r="AT23" s="40" t="str">
        <f t="shared" si="19"/>
        <v/>
      </c>
      <c r="AU23" s="40" t="str">
        <f t="shared" si="20"/>
        <v/>
      </c>
      <c r="AV23" s="40" t="str">
        <f t="shared" si="21"/>
        <v/>
      </c>
      <c r="AW23" s="40" t="str">
        <f t="shared" si="22"/>
        <v/>
      </c>
      <c r="AX23" s="40" t="str">
        <f t="shared" si="23"/>
        <v/>
      </c>
      <c r="AY23" s="40" t="str">
        <f t="shared" si="24"/>
        <v/>
      </c>
      <c r="AZ23" s="26">
        <v>3.4</v>
      </c>
      <c r="BA23" s="26">
        <v>1.9</v>
      </c>
      <c r="BB23" s="26">
        <v>2.2999999999999998</v>
      </c>
      <c r="BC23" s="26">
        <v>3.05</v>
      </c>
      <c r="BD23" s="26">
        <v>0</v>
      </c>
      <c r="BE23" s="26">
        <v>15.5</v>
      </c>
      <c r="BF23" s="26">
        <v>9.4</v>
      </c>
      <c r="BG23" s="26">
        <v>9</v>
      </c>
      <c r="BH23" s="26">
        <v>14.16</v>
      </c>
      <c r="BI23" s="26">
        <v>0</v>
      </c>
      <c r="BJ23" s="26">
        <v>15.6</v>
      </c>
      <c r="BK23" s="26">
        <v>8.9</v>
      </c>
      <c r="BL23" s="26">
        <v>9</v>
      </c>
      <c r="BM23" s="26">
        <v>14.13</v>
      </c>
      <c r="BN23" s="26">
        <v>0</v>
      </c>
      <c r="BO23" s="28"/>
      <c r="BP23" s="39">
        <f t="shared" si="25"/>
        <v>2.2999999999999998</v>
      </c>
      <c r="BQ23" s="39">
        <f t="shared" si="26"/>
        <v>3.05</v>
      </c>
      <c r="BR23" s="11">
        <f t="shared" si="27"/>
        <v>10.649999999999999</v>
      </c>
      <c r="BS23" s="11">
        <f t="shared" si="28"/>
        <v>9</v>
      </c>
      <c r="BT23" s="11">
        <f t="shared" si="29"/>
        <v>14.16</v>
      </c>
      <c r="BU23" s="11">
        <f t="shared" si="30"/>
        <v>48.06</v>
      </c>
      <c r="BV23" s="11">
        <f t="shared" si="31"/>
        <v>48.06</v>
      </c>
      <c r="BW23" s="11">
        <f t="shared" si="32"/>
        <v>9</v>
      </c>
      <c r="BX23" s="11">
        <f t="shared" si="33"/>
        <v>14.13</v>
      </c>
      <c r="BY23" s="11">
        <f t="shared" si="34"/>
        <v>47.63</v>
      </c>
      <c r="BZ23" s="11">
        <f t="shared" si="35"/>
        <v>95.69</v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6"/>
        <v/>
      </c>
      <c r="CR23" s="38" t="str">
        <f t="shared" si="37"/>
        <v/>
      </c>
      <c r="CS23" s="40" t="str">
        <f t="shared" si="38"/>
        <v/>
      </c>
      <c r="CT23" s="40" t="str">
        <f t="shared" si="39"/>
        <v/>
      </c>
      <c r="CU23" s="40" t="str">
        <f t="shared" si="40"/>
        <v/>
      </c>
      <c r="CV23" s="40" t="str">
        <f t="shared" si="41"/>
        <v/>
      </c>
      <c r="CW23" s="40" t="str">
        <f t="shared" si="42"/>
        <v/>
      </c>
      <c r="CX23" s="40" t="str">
        <f t="shared" si="43"/>
        <v/>
      </c>
      <c r="CY23" s="40" t="str">
        <f t="shared" si="44"/>
        <v/>
      </c>
      <c r="CZ23" s="40" t="str">
        <f t="shared" si="45"/>
        <v/>
      </c>
      <c r="DA23" s="40" t="str">
        <f t="shared" si="46"/>
        <v/>
      </c>
      <c r="DB23" s="50" t="str">
        <f t="shared" si="47"/>
        <v/>
      </c>
      <c r="DC23" s="50" t="str">
        <f t="shared" si="48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49"/>
        <v/>
      </c>
      <c r="DY23" s="40" t="str">
        <f t="shared" si="50"/>
        <v/>
      </c>
      <c r="DZ23" s="40" t="str">
        <f t="shared" si="51"/>
        <v/>
      </c>
      <c r="EA23" s="40" t="str">
        <f t="shared" si="52"/>
        <v/>
      </c>
      <c r="EB23" s="40" t="str">
        <f t="shared" si="53"/>
        <v/>
      </c>
      <c r="EC23" s="40" t="str">
        <f t="shared" si="54"/>
        <v/>
      </c>
      <c r="ED23" s="40" t="str">
        <f t="shared" si="55"/>
        <v/>
      </c>
      <c r="EE23" s="40" t="str">
        <f t="shared" si="56"/>
        <v/>
      </c>
      <c r="EF23" s="40" t="str">
        <f t="shared" si="57"/>
        <v/>
      </c>
      <c r="EG23" s="40" t="str">
        <f t="shared" si="58"/>
        <v/>
      </c>
      <c r="EH23" s="40" t="str">
        <f t="shared" si="59"/>
        <v/>
      </c>
      <c r="EI23" s="40" t="str">
        <f t="shared" si="60"/>
        <v/>
      </c>
      <c r="EJ23" s="40" t="str">
        <f t="shared" si="61"/>
        <v/>
      </c>
      <c r="EK23" s="40" t="str">
        <f t="shared" si="62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3"/>
        <v/>
      </c>
      <c r="FG23" s="11" t="str">
        <f t="shared" si="64"/>
        <v/>
      </c>
      <c r="FH23" s="11" t="str">
        <f t="shared" si="65"/>
        <v/>
      </c>
      <c r="FI23" s="11" t="str">
        <f t="shared" si="66"/>
        <v/>
      </c>
      <c r="FJ23" s="11" t="str">
        <f t="shared" si="67"/>
        <v/>
      </c>
      <c r="FK23" s="11" t="str">
        <f t="shared" si="68"/>
        <v/>
      </c>
      <c r="FL23" s="11" t="str">
        <f t="shared" si="69"/>
        <v/>
      </c>
      <c r="FM23" s="11" t="str">
        <f t="shared" si="70"/>
        <v/>
      </c>
      <c r="FN23" s="11" t="str">
        <f t="shared" si="71"/>
        <v/>
      </c>
      <c r="FO23" s="11" t="str">
        <f t="shared" si="72"/>
        <v/>
      </c>
      <c r="FP23" s="11" t="str">
        <f t="shared" si="73"/>
        <v/>
      </c>
      <c r="FQ23" s="11" t="str">
        <f t="shared" si="74"/>
        <v/>
      </c>
      <c r="FR23" s="11" t="str">
        <f t="shared" si="75"/>
        <v/>
      </c>
      <c r="FS23" s="11" t="str">
        <f t="shared" si="76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7"/>
        <v/>
      </c>
      <c r="GO23" s="40" t="str">
        <f t="shared" si="78"/>
        <v/>
      </c>
      <c r="GP23" s="40" t="str">
        <f t="shared" si="79"/>
        <v/>
      </c>
      <c r="GQ23" s="40" t="str">
        <f t="shared" si="80"/>
        <v/>
      </c>
      <c r="GR23" s="40" t="str">
        <f t="shared" si="81"/>
        <v/>
      </c>
      <c r="GS23" s="40" t="str">
        <f t="shared" si="82"/>
        <v/>
      </c>
      <c r="GT23" s="40" t="str">
        <f t="shared" si="83"/>
        <v/>
      </c>
      <c r="GU23" s="40" t="str">
        <f t="shared" si="84"/>
        <v/>
      </c>
      <c r="GV23" s="40" t="str">
        <f t="shared" si="85"/>
        <v/>
      </c>
      <c r="GW23" s="40" t="str">
        <f t="shared" si="86"/>
        <v/>
      </c>
      <c r="GX23" s="40" t="str">
        <f t="shared" si="87"/>
        <v/>
      </c>
      <c r="GY23" s="40" t="str">
        <f t="shared" si="88"/>
        <v/>
      </c>
      <c r="GZ23" s="40" t="str">
        <f t="shared" si="89"/>
        <v/>
      </c>
      <c r="HA23" s="40" t="str">
        <f t="shared" si="90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1"/>
        <v/>
      </c>
      <c r="HW23" s="11" t="str">
        <f t="shared" si="92"/>
        <v/>
      </c>
      <c r="HX23" s="11" t="str">
        <f t="shared" si="93"/>
        <v/>
      </c>
      <c r="HY23" s="11" t="str">
        <f t="shared" si="94"/>
        <v/>
      </c>
      <c r="HZ23" s="11" t="str">
        <f t="shared" si="95"/>
        <v/>
      </c>
      <c r="IA23" s="11" t="str">
        <f t="shared" si="96"/>
        <v/>
      </c>
      <c r="IB23" s="11" t="str">
        <f t="shared" si="97"/>
        <v/>
      </c>
      <c r="IC23" s="11" t="str">
        <f t="shared" si="98"/>
        <v/>
      </c>
      <c r="ID23" s="11" t="str">
        <f t="shared" si="99"/>
        <v/>
      </c>
      <c r="IE23" s="11" t="str">
        <f t="shared" si="100"/>
        <v/>
      </c>
      <c r="IF23" s="11" t="str">
        <f t="shared" si="101"/>
        <v/>
      </c>
      <c r="IG23" s="11" t="str">
        <f t="shared" si="102"/>
        <v/>
      </c>
      <c r="IH23" s="11" t="str">
        <f t="shared" si="103"/>
        <v/>
      </c>
      <c r="II23" s="11" t="str">
        <f t="shared" si="104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5"/>
        <v/>
      </c>
      <c r="JE23" s="40" t="str">
        <f t="shared" si="106"/>
        <v/>
      </c>
      <c r="JF23" s="40" t="str">
        <f t="shared" si="107"/>
        <v/>
      </c>
      <c r="JG23" s="40" t="str">
        <f t="shared" si="108"/>
        <v/>
      </c>
      <c r="JH23" s="40" t="str">
        <f t="shared" si="109"/>
        <v/>
      </c>
      <c r="JI23" s="40" t="str">
        <f t="shared" si="110"/>
        <v/>
      </c>
      <c r="JJ23" s="40" t="str">
        <f t="shared" si="111"/>
        <v/>
      </c>
      <c r="JK23" s="40" t="str">
        <f t="shared" si="112"/>
        <v/>
      </c>
      <c r="JL23" s="40" t="str">
        <f t="shared" si="113"/>
        <v/>
      </c>
      <c r="JM23" s="40" t="str">
        <f t="shared" si="114"/>
        <v/>
      </c>
      <c r="JN23" s="40" t="str">
        <f t="shared" si="115"/>
        <v/>
      </c>
      <c r="JO23" s="40" t="str">
        <f t="shared" si="116"/>
        <v/>
      </c>
      <c r="JP23" s="40" t="str">
        <f t="shared" si="117"/>
        <v/>
      </c>
      <c r="JQ23" s="40" t="str">
        <f t="shared" si="118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19"/>
        <v/>
      </c>
      <c r="KM23" s="11" t="str">
        <f t="shared" si="120"/>
        <v/>
      </c>
      <c r="KN23" s="11" t="str">
        <f t="shared" si="121"/>
        <v/>
      </c>
      <c r="KO23" s="11" t="str">
        <f t="shared" si="122"/>
        <v/>
      </c>
      <c r="KP23" s="11" t="str">
        <f t="shared" si="123"/>
        <v/>
      </c>
      <c r="KQ23" s="11" t="str">
        <f t="shared" si="124"/>
        <v/>
      </c>
      <c r="KR23" s="11" t="str">
        <f t="shared" si="125"/>
        <v/>
      </c>
      <c r="KS23" s="11" t="str">
        <f t="shared" si="126"/>
        <v/>
      </c>
      <c r="KT23" s="11" t="str">
        <f t="shared" si="127"/>
        <v/>
      </c>
      <c r="KU23" s="11" t="str">
        <f t="shared" si="128"/>
        <v/>
      </c>
      <c r="KV23" s="11" t="str">
        <f t="shared" si="129"/>
        <v/>
      </c>
      <c r="KW23" s="11" t="str">
        <f t="shared" si="130"/>
        <v/>
      </c>
      <c r="KX23" s="11" t="str">
        <f t="shared" si="131"/>
        <v/>
      </c>
      <c r="KY23" s="11" t="str">
        <f t="shared" si="132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3"/>
        <v/>
      </c>
      <c r="LU23" s="40" t="str">
        <f t="shared" si="134"/>
        <v/>
      </c>
      <c r="LV23" s="40" t="str">
        <f t="shared" si="135"/>
        <v/>
      </c>
      <c r="LW23" s="40" t="str">
        <f t="shared" si="136"/>
        <v/>
      </c>
      <c r="LX23" s="40" t="str">
        <f t="shared" si="137"/>
        <v/>
      </c>
      <c r="LY23" s="40" t="str">
        <f t="shared" si="138"/>
        <v/>
      </c>
      <c r="LZ23" s="40" t="str">
        <f t="shared" si="139"/>
        <v/>
      </c>
      <c r="MA23" s="40" t="str">
        <f t="shared" si="140"/>
        <v/>
      </c>
      <c r="MB23" s="40" t="str">
        <f t="shared" si="141"/>
        <v/>
      </c>
      <c r="MC23" s="40" t="str">
        <f t="shared" si="142"/>
        <v/>
      </c>
      <c r="MD23" s="40" t="str">
        <f t="shared" si="143"/>
        <v/>
      </c>
      <c r="ME23" s="40" t="str">
        <f t="shared" si="144"/>
        <v/>
      </c>
      <c r="MF23" s="40" t="str">
        <f t="shared" si="145"/>
        <v/>
      </c>
      <c r="MG23" s="40" t="str">
        <f t="shared" si="146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7"/>
        <v/>
      </c>
      <c r="NC23" s="11" t="str">
        <f t="shared" si="148"/>
        <v/>
      </c>
      <c r="ND23" s="11" t="str">
        <f t="shared" si="149"/>
        <v/>
      </c>
      <c r="NE23" s="11" t="str">
        <f t="shared" si="150"/>
        <v/>
      </c>
      <c r="NF23" s="11" t="str">
        <f t="shared" si="151"/>
        <v/>
      </c>
      <c r="NG23" s="11" t="str">
        <f t="shared" si="152"/>
        <v/>
      </c>
      <c r="NH23" s="11" t="str">
        <f t="shared" si="153"/>
        <v/>
      </c>
      <c r="NI23" s="11" t="str">
        <f t="shared" si="154"/>
        <v/>
      </c>
      <c r="NJ23" s="11" t="str">
        <f t="shared" si="155"/>
        <v/>
      </c>
      <c r="NK23" s="11" t="str">
        <f t="shared" si="156"/>
        <v/>
      </c>
      <c r="NL23" s="11" t="str">
        <f t="shared" si="157"/>
        <v/>
      </c>
      <c r="NM23" s="11" t="str">
        <f t="shared" si="158"/>
        <v/>
      </c>
      <c r="NN23" s="11" t="str">
        <f t="shared" si="159"/>
        <v/>
      </c>
      <c r="NO23" s="11" t="str">
        <f t="shared" si="160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1"/>
        <v/>
      </c>
      <c r="OK23" s="40" t="str">
        <f t="shared" si="162"/>
        <v/>
      </c>
      <c r="OL23" s="40" t="str">
        <f t="shared" si="163"/>
        <v/>
      </c>
      <c r="OM23" s="40" t="str">
        <f t="shared" si="164"/>
        <v/>
      </c>
      <c r="ON23" s="40" t="str">
        <f t="shared" si="165"/>
        <v/>
      </c>
      <c r="OO23" s="40" t="str">
        <f t="shared" si="166"/>
        <v/>
      </c>
      <c r="OP23" s="40" t="str">
        <f t="shared" si="167"/>
        <v/>
      </c>
      <c r="OQ23" s="40" t="str">
        <f t="shared" si="168"/>
        <v/>
      </c>
      <c r="OR23" s="40" t="str">
        <f t="shared" si="169"/>
        <v/>
      </c>
      <c r="OS23" s="40" t="str">
        <f t="shared" si="170"/>
        <v/>
      </c>
      <c r="OT23" s="40" t="str">
        <f t="shared" si="171"/>
        <v/>
      </c>
      <c r="OU23" s="40" t="str">
        <f t="shared" si="172"/>
        <v/>
      </c>
      <c r="OV23" s="40" t="str">
        <f t="shared" si="173"/>
        <v/>
      </c>
      <c r="OW23" s="40" t="str">
        <f t="shared" si="174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5"/>
        <v/>
      </c>
      <c r="PS23" s="11" t="str">
        <f t="shared" si="176"/>
        <v/>
      </c>
      <c r="PT23" s="11" t="str">
        <f t="shared" si="177"/>
        <v/>
      </c>
      <c r="PU23" s="11" t="str">
        <f t="shared" si="178"/>
        <v/>
      </c>
      <c r="PV23" s="11" t="str">
        <f t="shared" si="179"/>
        <v/>
      </c>
      <c r="PW23" s="11" t="str">
        <f t="shared" si="180"/>
        <v/>
      </c>
      <c r="PX23" s="11" t="str">
        <f t="shared" si="181"/>
        <v/>
      </c>
      <c r="PY23" s="11" t="str">
        <f t="shared" si="182"/>
        <v/>
      </c>
      <c r="PZ23" s="11" t="str">
        <f t="shared" si="183"/>
        <v/>
      </c>
      <c r="QA23" s="11" t="str">
        <f t="shared" si="184"/>
        <v/>
      </c>
      <c r="QB23" s="11" t="str">
        <f t="shared" si="185"/>
        <v/>
      </c>
      <c r="QC23" s="11" t="str">
        <f t="shared" si="186"/>
        <v/>
      </c>
      <c r="QD23" s="11" t="str">
        <f t="shared" si="187"/>
        <v/>
      </c>
      <c r="QE23" s="11" t="str">
        <f t="shared" si="188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89"/>
        <v/>
      </c>
      <c r="RA23" s="40" t="str">
        <f t="shared" si="190"/>
        <v/>
      </c>
      <c r="RB23" s="40" t="str">
        <f t="shared" si="191"/>
        <v/>
      </c>
      <c r="RC23" s="40" t="str">
        <f t="shared" si="192"/>
        <v/>
      </c>
      <c r="RD23" s="40" t="str">
        <f t="shared" si="193"/>
        <v/>
      </c>
      <c r="RE23" s="40" t="str">
        <f t="shared" si="194"/>
        <v/>
      </c>
      <c r="RF23" s="40" t="str">
        <f t="shared" si="195"/>
        <v/>
      </c>
      <c r="RG23" s="40" t="str">
        <f t="shared" si="196"/>
        <v/>
      </c>
      <c r="RH23" s="40" t="str">
        <f t="shared" si="197"/>
        <v/>
      </c>
      <c r="RI23" s="40" t="str">
        <f t="shared" si="198"/>
        <v/>
      </c>
      <c r="RJ23" s="40" t="str">
        <f t="shared" si="199"/>
        <v/>
      </c>
      <c r="RK23" s="40" t="str">
        <f t="shared" si="200"/>
        <v/>
      </c>
      <c r="RL23" s="40" t="str">
        <f t="shared" si="201"/>
        <v/>
      </c>
      <c r="RM23" s="40" t="str">
        <f t="shared" si="202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3"/>
        <v/>
      </c>
      <c r="SI23" s="11" t="str">
        <f t="shared" si="204"/>
        <v/>
      </c>
      <c r="SJ23" s="11" t="str">
        <f t="shared" si="205"/>
        <v/>
      </c>
      <c r="SK23" s="11" t="str">
        <f t="shared" si="206"/>
        <v/>
      </c>
      <c r="SL23" s="11" t="str">
        <f t="shared" si="207"/>
        <v/>
      </c>
      <c r="SM23" s="11" t="str">
        <f t="shared" si="208"/>
        <v/>
      </c>
      <c r="SN23" s="11" t="str">
        <f t="shared" si="209"/>
        <v/>
      </c>
      <c r="SO23" s="11" t="str">
        <f t="shared" si="210"/>
        <v/>
      </c>
      <c r="SP23" s="11" t="str">
        <f t="shared" si="211"/>
        <v/>
      </c>
      <c r="SQ23" s="11" t="str">
        <f t="shared" si="212"/>
        <v/>
      </c>
      <c r="SR23" s="11" t="str">
        <f t="shared" si="213"/>
        <v/>
      </c>
      <c r="SS23" s="11" t="str">
        <f t="shared" si="214"/>
        <v/>
      </c>
      <c r="ST23" s="11" t="str">
        <f t="shared" si="215"/>
        <v/>
      </c>
      <c r="SU23" s="11" t="str">
        <f t="shared" si="216"/>
        <v/>
      </c>
      <c r="SV23" s="22">
        <f t="shared" si="217"/>
        <v>1.7</v>
      </c>
      <c r="SW23" s="22">
        <f t="shared" si="218"/>
        <v>0.95</v>
      </c>
      <c r="SX23" s="22">
        <f t="shared" si="219"/>
        <v>1.1499999999999999</v>
      </c>
      <c r="SY23" s="22">
        <f t="shared" si="220"/>
        <v>1.5249999999999999</v>
      </c>
      <c r="SZ23" s="22">
        <f t="shared" si="221"/>
        <v>0</v>
      </c>
      <c r="TA23" s="22">
        <f t="shared" si="222"/>
        <v>7.75</v>
      </c>
      <c r="TB23" s="22">
        <f t="shared" si="223"/>
        <v>4.7</v>
      </c>
      <c r="TC23" s="22">
        <f t="shared" si="224"/>
        <v>4.5</v>
      </c>
      <c r="TD23" s="22">
        <f t="shared" si="225"/>
        <v>7.08</v>
      </c>
      <c r="TE23" s="22">
        <f t="shared" si="226"/>
        <v>0</v>
      </c>
      <c r="TF23" s="22">
        <f t="shared" si="227"/>
        <v>7.8</v>
      </c>
      <c r="TG23" s="22">
        <f t="shared" si="228"/>
        <v>4.45</v>
      </c>
      <c r="TH23" s="22">
        <f t="shared" si="229"/>
        <v>4.5</v>
      </c>
      <c r="TI23" s="22">
        <f t="shared" si="230"/>
        <v>7.0650000000000004</v>
      </c>
      <c r="TJ23" s="22">
        <f t="shared" si="231"/>
        <v>0</v>
      </c>
      <c r="TK23" s="27" t="s">
        <v>46</v>
      </c>
      <c r="TL23" s="40">
        <f t="shared" si="232"/>
        <v>1.1499999999999999</v>
      </c>
      <c r="TM23" s="40">
        <f t="shared" si="233"/>
        <v>1.5249999999999999</v>
      </c>
      <c r="TN23" s="40">
        <f t="shared" si="234"/>
        <v>5.3249999999999993</v>
      </c>
      <c r="TO23" s="40">
        <f t="shared" si="235"/>
        <v>4.5</v>
      </c>
      <c r="TP23" s="40">
        <f t="shared" si="236"/>
        <v>7.08</v>
      </c>
      <c r="TQ23" s="40">
        <f t="shared" si="237"/>
        <v>24.03</v>
      </c>
      <c r="TR23" s="40">
        <f t="shared" si="238"/>
        <v>24.03</v>
      </c>
      <c r="TS23" s="40">
        <f t="shared" si="239"/>
        <v>4.5</v>
      </c>
      <c r="TT23" s="40">
        <f t="shared" si="240"/>
        <v>7.0650000000000004</v>
      </c>
      <c r="TU23" s="40">
        <f t="shared" si="241"/>
        <v>23.815000000000001</v>
      </c>
      <c r="TV23" s="40">
        <f t="shared" si="242"/>
        <v>47.844999999999999</v>
      </c>
    </row>
    <row r="24" spans="1:542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217</v>
      </c>
      <c r="D24" s="4" t="s">
        <v>216</v>
      </c>
      <c r="E24" s="4">
        <v>2003</v>
      </c>
      <c r="F24" s="9">
        <f t="shared" si="0"/>
        <v>100.28001002800461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46.05</v>
      </c>
      <c r="M24" s="8" t="str">
        <f t="shared" si="5"/>
        <v>2023 Nationals</v>
      </c>
      <c r="N24" s="8">
        <f>IF(COUNT(AQ24,AT24,BR24,BU24,CS24,CV24)&gt;1,LARGE((AQ24,AT24,BR24,BU24,CS24,CV24),2),0)</f>
        <v>44.83</v>
      </c>
      <c r="O24" s="8" t="str">
        <f t="shared" si="6"/>
        <v>2023 Nationals</v>
      </c>
      <c r="P24" s="8">
        <f>IF(COUNT(AQ24,AT24,BR24,BU24,CS24,CV24)&gt;2,MAX(AX24,BY24,CZ24,LARGE((AQ24,AT24,BR24,BU24,CS24,CV24),3)),IF(MAX(AX24,BY24,CZ24)&gt;0,MAX(AX24,BY24,CZ24),0))</f>
        <v>0</v>
      </c>
      <c r="Q24" s="8" t="str">
        <f t="shared" si="7"/>
        <v/>
      </c>
      <c r="R24" s="8">
        <f t="shared" si="8"/>
        <v>9.4</v>
      </c>
      <c r="S24" s="8" t="str">
        <f t="shared" si="9"/>
        <v>2023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>IF(V24="","",IF(V24=DB24,IF(V24+IF(P24="",0,P24)=SN24,$RN$1,IF(V24+IF(P24="",0,P24)=RF24,$QF$1,IF(V24+IF(P24="",0,P24)=PX24,$OX$1,IF(V24+IF(P24="",0,P24)=OP24,$NP$1,IF(V24+IF(P24="",0,P24)=NH24,$MH$1,IF(V24+IF(P24="",0,P24)=LZ24,$KZ$1,IF(V24+IF(P24="",0,P24)=KR24,$JR$1,IF(V24+IF(P24="",0,P24)=JJ24,$IJ$1,IF(V24+IF(P24="",0,P24)=IB24,$HB$1,IF(V24+IF(P24="",0,P24)=GT24,$FT$1,IF(V24+IF(P24="",0,P24)=FL24,$EL$1,IF(V24+IF(P24="",0,P24)=ED24,$DD$1)))))))))))),IF(V24=DC24,IF(V24+IF(#REF!="",0,#REF!)=ST24,$RN$1,IF(V24+IF(#REF!="",0,#REF!)=RL24,$QF$1,IF(V24+IF(#REF!="",0,#REF!)=QD24,$OX$1,IF(V24+IF(#REF!="",0,#REF!)=OV24,$NP$1,IF(V24+IF(#REF!="",0,#REF!)=NN24,$MH$1,IF(V24+IF(#REF!="",0,#REF!)=MF24,$KZ$1,IF(V24+IF(#REF!="",0,#REF!)=KX24,$JR$1,IF(V24+IF(#REF!="",0,#REF!)=JP24,$IJ$1,IF(V24+IF(#REF!="",0,#REF!)=IH24,$HB$1,IF(V24+IF(#REF!="",0,#REF!)=GZ24,$FT$1,IF(V24+IF(#REF!="",0,#REF!)=FR24,$EL$1,IF(V24+IF(#REF!="",0,#REF!)=EJ24,$DD$1,IF(V24+IF(#REF!="",0,#REF!)=SQ24,$RN$1,IF(V24+IF(#REF!="",0,#REF!)=RI24,$QF$1,IF(V24+IF(#REF!="",0,#REF!)=QA24,$OX$1,IF(V24+IF(#REF!="",0,#REF!)=OS24,$NP$1,IF(V24+IF(#REF!="",0,#REF!)=NK24,$MH$1,IF(V24+IF(#REF!="",0,#REF!)=MC24,$KZ$1,IF(V24+IF(#REF!="",0,#REF!)=KU24,$JR$1,IF(V24+IF(#REF!="",0,#REF!)=JM24,$IJ$1,IF(V24+IF(#REF!="",0,#REF!)=IE24,$HB$1,IF(V24+IF(#REF!="",0,#REF!)=GW24,$FT$1,IF(V24+IF(#REF!="",0,#REF!)=FO24,$EL$1,IF(V24+IF(#REF!="",0,#REF!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 t="shared" si="14"/>
        <v/>
      </c>
      <c r="AP24" s="38" t="str">
        <f t="shared" si="15"/>
        <v/>
      </c>
      <c r="AQ24" s="40" t="str">
        <f t="shared" si="16"/>
        <v/>
      </c>
      <c r="AR24" s="40" t="str">
        <f t="shared" si="17"/>
        <v/>
      </c>
      <c r="AS24" s="40" t="str">
        <f t="shared" si="18"/>
        <v/>
      </c>
      <c r="AT24" s="40" t="str">
        <f t="shared" si="19"/>
        <v/>
      </c>
      <c r="AU24" s="40" t="str">
        <f t="shared" si="20"/>
        <v/>
      </c>
      <c r="AV24" s="40" t="str">
        <f t="shared" si="21"/>
        <v/>
      </c>
      <c r="AW24" s="40" t="str">
        <f t="shared" si="22"/>
        <v/>
      </c>
      <c r="AX24" s="40" t="str">
        <f t="shared" si="23"/>
        <v/>
      </c>
      <c r="AY24" s="40" t="str">
        <f t="shared" si="24"/>
        <v/>
      </c>
      <c r="AZ24" s="26">
        <v>13.7</v>
      </c>
      <c r="BA24" s="26">
        <v>8.6999999999999993</v>
      </c>
      <c r="BB24" s="26">
        <v>9</v>
      </c>
      <c r="BC24" s="26">
        <v>13.43</v>
      </c>
      <c r="BD24" s="26">
        <v>0</v>
      </c>
      <c r="BE24" s="26">
        <v>14.4</v>
      </c>
      <c r="BF24" s="26">
        <v>8.8000000000000007</v>
      </c>
      <c r="BG24" s="26">
        <v>9.4</v>
      </c>
      <c r="BH24" s="26">
        <v>13.45</v>
      </c>
      <c r="BI24" s="26">
        <v>0</v>
      </c>
      <c r="BJ24" s="26"/>
      <c r="BK24" s="26"/>
      <c r="BL24" s="26"/>
      <c r="BM24" s="26"/>
      <c r="BN24" s="26"/>
      <c r="BO24" s="28"/>
      <c r="BP24" s="39">
        <f t="shared" si="25"/>
        <v>9</v>
      </c>
      <c r="BQ24" s="39">
        <f t="shared" si="26"/>
        <v>13.43</v>
      </c>
      <c r="BR24" s="11">
        <f t="shared" si="27"/>
        <v>44.83</v>
      </c>
      <c r="BS24" s="11">
        <f t="shared" si="28"/>
        <v>9.4</v>
      </c>
      <c r="BT24" s="11">
        <f t="shared" si="29"/>
        <v>13.45</v>
      </c>
      <c r="BU24" s="11">
        <f t="shared" si="30"/>
        <v>46.05</v>
      </c>
      <c r="BV24" s="11">
        <f t="shared" si="31"/>
        <v>46.05</v>
      </c>
      <c r="BW24" s="11" t="str">
        <f t="shared" si="32"/>
        <v/>
      </c>
      <c r="BX24" s="11" t="str">
        <f t="shared" si="33"/>
        <v/>
      </c>
      <c r="BY24" s="11" t="str">
        <f t="shared" si="34"/>
        <v/>
      </c>
      <c r="BZ24" s="11">
        <f t="shared" si="35"/>
        <v>46.05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6"/>
        <v/>
      </c>
      <c r="CR24" s="38" t="str">
        <f t="shared" si="37"/>
        <v/>
      </c>
      <c r="CS24" s="40" t="str">
        <f t="shared" si="38"/>
        <v/>
      </c>
      <c r="CT24" s="40" t="str">
        <f t="shared" si="39"/>
        <v/>
      </c>
      <c r="CU24" s="40" t="str">
        <f t="shared" si="40"/>
        <v/>
      </c>
      <c r="CV24" s="40" t="str">
        <f t="shared" si="41"/>
        <v/>
      </c>
      <c r="CW24" s="40" t="str">
        <f t="shared" si="42"/>
        <v/>
      </c>
      <c r="CX24" s="40" t="str">
        <f t="shared" si="43"/>
        <v/>
      </c>
      <c r="CY24" s="40" t="str">
        <f t="shared" si="44"/>
        <v/>
      </c>
      <c r="CZ24" s="40" t="str">
        <f t="shared" si="45"/>
        <v/>
      </c>
      <c r="DA24" s="40" t="str">
        <f t="shared" si="46"/>
        <v/>
      </c>
      <c r="DB24" s="50" t="str">
        <f t="shared" si="47"/>
        <v/>
      </c>
      <c r="DC24" s="50" t="str">
        <f t="shared" si="48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49"/>
        <v/>
      </c>
      <c r="DY24" s="40" t="str">
        <f t="shared" si="50"/>
        <v/>
      </c>
      <c r="DZ24" s="40" t="str">
        <f t="shared" si="51"/>
        <v/>
      </c>
      <c r="EA24" s="40" t="str">
        <f t="shared" si="52"/>
        <v/>
      </c>
      <c r="EB24" s="40" t="str">
        <f t="shared" si="53"/>
        <v/>
      </c>
      <c r="EC24" s="40" t="str">
        <f t="shared" si="54"/>
        <v/>
      </c>
      <c r="ED24" s="40" t="str">
        <f t="shared" si="55"/>
        <v/>
      </c>
      <c r="EE24" s="40" t="str">
        <f t="shared" si="56"/>
        <v/>
      </c>
      <c r="EF24" s="40" t="str">
        <f t="shared" si="57"/>
        <v/>
      </c>
      <c r="EG24" s="40" t="str">
        <f t="shared" si="58"/>
        <v/>
      </c>
      <c r="EH24" s="40" t="str">
        <f t="shared" si="59"/>
        <v/>
      </c>
      <c r="EI24" s="40" t="str">
        <f t="shared" si="60"/>
        <v/>
      </c>
      <c r="EJ24" s="40" t="str">
        <f t="shared" si="61"/>
        <v/>
      </c>
      <c r="EK24" s="40" t="str">
        <f t="shared" si="62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3"/>
        <v/>
      </c>
      <c r="FG24" s="11" t="str">
        <f t="shared" si="64"/>
        <v/>
      </c>
      <c r="FH24" s="11" t="str">
        <f t="shared" si="65"/>
        <v/>
      </c>
      <c r="FI24" s="11" t="str">
        <f t="shared" si="66"/>
        <v/>
      </c>
      <c r="FJ24" s="11" t="str">
        <f t="shared" si="67"/>
        <v/>
      </c>
      <c r="FK24" s="11" t="str">
        <f t="shared" si="68"/>
        <v/>
      </c>
      <c r="FL24" s="11" t="str">
        <f t="shared" si="69"/>
        <v/>
      </c>
      <c r="FM24" s="11" t="str">
        <f t="shared" si="70"/>
        <v/>
      </c>
      <c r="FN24" s="11" t="str">
        <f t="shared" si="71"/>
        <v/>
      </c>
      <c r="FO24" s="11" t="str">
        <f t="shared" si="72"/>
        <v/>
      </c>
      <c r="FP24" s="11" t="str">
        <f t="shared" si="73"/>
        <v/>
      </c>
      <c r="FQ24" s="11" t="str">
        <f t="shared" si="74"/>
        <v/>
      </c>
      <c r="FR24" s="11" t="str">
        <f t="shared" si="75"/>
        <v/>
      </c>
      <c r="FS24" s="11" t="str">
        <f t="shared" si="76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7"/>
        <v/>
      </c>
      <c r="GO24" s="40" t="str">
        <f t="shared" si="78"/>
        <v/>
      </c>
      <c r="GP24" s="40" t="str">
        <f t="shared" si="79"/>
        <v/>
      </c>
      <c r="GQ24" s="40" t="str">
        <f t="shared" si="80"/>
        <v/>
      </c>
      <c r="GR24" s="40" t="str">
        <f t="shared" si="81"/>
        <v/>
      </c>
      <c r="GS24" s="40" t="str">
        <f t="shared" si="82"/>
        <v/>
      </c>
      <c r="GT24" s="40" t="str">
        <f t="shared" si="83"/>
        <v/>
      </c>
      <c r="GU24" s="40" t="str">
        <f t="shared" si="84"/>
        <v/>
      </c>
      <c r="GV24" s="40" t="str">
        <f t="shared" si="85"/>
        <v/>
      </c>
      <c r="GW24" s="40" t="str">
        <f t="shared" si="86"/>
        <v/>
      </c>
      <c r="GX24" s="40" t="str">
        <f t="shared" si="87"/>
        <v/>
      </c>
      <c r="GY24" s="40" t="str">
        <f t="shared" si="88"/>
        <v/>
      </c>
      <c r="GZ24" s="40" t="str">
        <f t="shared" si="89"/>
        <v/>
      </c>
      <c r="HA24" s="40" t="str">
        <f t="shared" si="90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1"/>
        <v/>
      </c>
      <c r="HW24" s="11" t="str">
        <f t="shared" si="92"/>
        <v/>
      </c>
      <c r="HX24" s="11" t="str">
        <f t="shared" si="93"/>
        <v/>
      </c>
      <c r="HY24" s="11" t="str">
        <f t="shared" si="94"/>
        <v/>
      </c>
      <c r="HZ24" s="11" t="str">
        <f t="shared" si="95"/>
        <v/>
      </c>
      <c r="IA24" s="11" t="str">
        <f t="shared" si="96"/>
        <v/>
      </c>
      <c r="IB24" s="11" t="str">
        <f t="shared" si="97"/>
        <v/>
      </c>
      <c r="IC24" s="11" t="str">
        <f t="shared" si="98"/>
        <v/>
      </c>
      <c r="ID24" s="11" t="str">
        <f t="shared" si="99"/>
        <v/>
      </c>
      <c r="IE24" s="11" t="str">
        <f t="shared" si="100"/>
        <v/>
      </c>
      <c r="IF24" s="11" t="str">
        <f t="shared" si="101"/>
        <v/>
      </c>
      <c r="IG24" s="11" t="str">
        <f t="shared" si="102"/>
        <v/>
      </c>
      <c r="IH24" s="11" t="str">
        <f t="shared" si="103"/>
        <v/>
      </c>
      <c r="II24" s="11" t="str">
        <f t="shared" si="104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5"/>
        <v/>
      </c>
      <c r="JE24" s="40" t="str">
        <f t="shared" si="106"/>
        <v/>
      </c>
      <c r="JF24" s="40" t="str">
        <f t="shared" si="107"/>
        <v/>
      </c>
      <c r="JG24" s="40" t="str">
        <f t="shared" si="108"/>
        <v/>
      </c>
      <c r="JH24" s="40" t="str">
        <f t="shared" si="109"/>
        <v/>
      </c>
      <c r="JI24" s="40" t="str">
        <f t="shared" si="110"/>
        <v/>
      </c>
      <c r="JJ24" s="40" t="str">
        <f t="shared" si="111"/>
        <v/>
      </c>
      <c r="JK24" s="40" t="str">
        <f t="shared" si="112"/>
        <v/>
      </c>
      <c r="JL24" s="40" t="str">
        <f t="shared" si="113"/>
        <v/>
      </c>
      <c r="JM24" s="40" t="str">
        <f t="shared" si="114"/>
        <v/>
      </c>
      <c r="JN24" s="40" t="str">
        <f t="shared" si="115"/>
        <v/>
      </c>
      <c r="JO24" s="40" t="str">
        <f t="shared" si="116"/>
        <v/>
      </c>
      <c r="JP24" s="40" t="str">
        <f t="shared" si="117"/>
        <v/>
      </c>
      <c r="JQ24" s="40" t="str">
        <f t="shared" si="118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19"/>
        <v/>
      </c>
      <c r="KM24" s="11" t="str">
        <f t="shared" si="120"/>
        <v/>
      </c>
      <c r="KN24" s="11" t="str">
        <f t="shared" si="121"/>
        <v/>
      </c>
      <c r="KO24" s="11" t="str">
        <f t="shared" si="122"/>
        <v/>
      </c>
      <c r="KP24" s="11" t="str">
        <f t="shared" si="123"/>
        <v/>
      </c>
      <c r="KQ24" s="11" t="str">
        <f t="shared" si="124"/>
        <v/>
      </c>
      <c r="KR24" s="11" t="str">
        <f t="shared" si="125"/>
        <v/>
      </c>
      <c r="KS24" s="11" t="str">
        <f t="shared" si="126"/>
        <v/>
      </c>
      <c r="KT24" s="11" t="str">
        <f t="shared" si="127"/>
        <v/>
      </c>
      <c r="KU24" s="11" t="str">
        <f t="shared" si="128"/>
        <v/>
      </c>
      <c r="KV24" s="11" t="str">
        <f t="shared" si="129"/>
        <v/>
      </c>
      <c r="KW24" s="11" t="str">
        <f t="shared" si="130"/>
        <v/>
      </c>
      <c r="KX24" s="11" t="str">
        <f t="shared" si="131"/>
        <v/>
      </c>
      <c r="KY24" s="11" t="str">
        <f t="shared" si="132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3"/>
        <v/>
      </c>
      <c r="LU24" s="40" t="str">
        <f t="shared" si="134"/>
        <v/>
      </c>
      <c r="LV24" s="40" t="str">
        <f t="shared" si="135"/>
        <v/>
      </c>
      <c r="LW24" s="40" t="str">
        <f t="shared" si="136"/>
        <v/>
      </c>
      <c r="LX24" s="40" t="str">
        <f t="shared" si="137"/>
        <v/>
      </c>
      <c r="LY24" s="40" t="str">
        <f t="shared" si="138"/>
        <v/>
      </c>
      <c r="LZ24" s="40" t="str">
        <f t="shared" si="139"/>
        <v/>
      </c>
      <c r="MA24" s="40" t="str">
        <f t="shared" si="140"/>
        <v/>
      </c>
      <c r="MB24" s="40" t="str">
        <f t="shared" si="141"/>
        <v/>
      </c>
      <c r="MC24" s="40" t="str">
        <f t="shared" si="142"/>
        <v/>
      </c>
      <c r="MD24" s="40" t="str">
        <f t="shared" si="143"/>
        <v/>
      </c>
      <c r="ME24" s="40" t="str">
        <f t="shared" si="144"/>
        <v/>
      </c>
      <c r="MF24" s="40" t="str">
        <f t="shared" si="145"/>
        <v/>
      </c>
      <c r="MG24" s="40" t="str">
        <f t="shared" si="146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7"/>
        <v/>
      </c>
      <c r="NC24" s="11" t="str">
        <f t="shared" si="148"/>
        <v/>
      </c>
      <c r="ND24" s="11" t="str">
        <f t="shared" si="149"/>
        <v/>
      </c>
      <c r="NE24" s="11" t="str">
        <f t="shared" si="150"/>
        <v/>
      </c>
      <c r="NF24" s="11" t="str">
        <f t="shared" si="151"/>
        <v/>
      </c>
      <c r="NG24" s="11" t="str">
        <f t="shared" si="152"/>
        <v/>
      </c>
      <c r="NH24" s="11" t="str">
        <f t="shared" si="153"/>
        <v/>
      </c>
      <c r="NI24" s="11" t="str">
        <f t="shared" si="154"/>
        <v/>
      </c>
      <c r="NJ24" s="11" t="str">
        <f t="shared" si="155"/>
        <v/>
      </c>
      <c r="NK24" s="11" t="str">
        <f t="shared" si="156"/>
        <v/>
      </c>
      <c r="NL24" s="11" t="str">
        <f t="shared" si="157"/>
        <v/>
      </c>
      <c r="NM24" s="11" t="str">
        <f t="shared" si="158"/>
        <v/>
      </c>
      <c r="NN24" s="11" t="str">
        <f t="shared" si="159"/>
        <v/>
      </c>
      <c r="NO24" s="11" t="str">
        <f t="shared" si="160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1"/>
        <v/>
      </c>
      <c r="OK24" s="40" t="str">
        <f t="shared" si="162"/>
        <v/>
      </c>
      <c r="OL24" s="40" t="str">
        <f t="shared" si="163"/>
        <v/>
      </c>
      <c r="OM24" s="40" t="str">
        <f t="shared" si="164"/>
        <v/>
      </c>
      <c r="ON24" s="40" t="str">
        <f t="shared" si="165"/>
        <v/>
      </c>
      <c r="OO24" s="40" t="str">
        <f t="shared" si="166"/>
        <v/>
      </c>
      <c r="OP24" s="40" t="str">
        <f t="shared" si="167"/>
        <v/>
      </c>
      <c r="OQ24" s="40" t="str">
        <f t="shared" si="168"/>
        <v/>
      </c>
      <c r="OR24" s="40" t="str">
        <f t="shared" si="169"/>
        <v/>
      </c>
      <c r="OS24" s="40" t="str">
        <f t="shared" si="170"/>
        <v/>
      </c>
      <c r="OT24" s="40" t="str">
        <f t="shared" si="171"/>
        <v/>
      </c>
      <c r="OU24" s="40" t="str">
        <f t="shared" si="172"/>
        <v/>
      </c>
      <c r="OV24" s="40" t="str">
        <f t="shared" si="173"/>
        <v/>
      </c>
      <c r="OW24" s="40" t="str">
        <f t="shared" si="174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5"/>
        <v/>
      </c>
      <c r="PS24" s="11" t="str">
        <f t="shared" si="176"/>
        <v/>
      </c>
      <c r="PT24" s="11" t="str">
        <f t="shared" si="177"/>
        <v/>
      </c>
      <c r="PU24" s="11" t="str">
        <f t="shared" si="178"/>
        <v/>
      </c>
      <c r="PV24" s="11" t="str">
        <f t="shared" si="179"/>
        <v/>
      </c>
      <c r="PW24" s="11" t="str">
        <f t="shared" si="180"/>
        <v/>
      </c>
      <c r="PX24" s="11" t="str">
        <f t="shared" si="181"/>
        <v/>
      </c>
      <c r="PY24" s="11" t="str">
        <f t="shared" si="182"/>
        <v/>
      </c>
      <c r="PZ24" s="11" t="str">
        <f t="shared" si="183"/>
        <v/>
      </c>
      <c r="QA24" s="11" t="str">
        <f t="shared" si="184"/>
        <v/>
      </c>
      <c r="QB24" s="11" t="str">
        <f t="shared" si="185"/>
        <v/>
      </c>
      <c r="QC24" s="11" t="str">
        <f t="shared" si="186"/>
        <v/>
      </c>
      <c r="QD24" s="11" t="str">
        <f t="shared" si="187"/>
        <v/>
      </c>
      <c r="QE24" s="11" t="str">
        <f t="shared" si="188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89"/>
        <v/>
      </c>
      <c r="RA24" s="40" t="str">
        <f t="shared" si="190"/>
        <v/>
      </c>
      <c r="RB24" s="40" t="str">
        <f t="shared" si="191"/>
        <v/>
      </c>
      <c r="RC24" s="40" t="str">
        <f t="shared" si="192"/>
        <v/>
      </c>
      <c r="RD24" s="40" t="str">
        <f t="shared" si="193"/>
        <v/>
      </c>
      <c r="RE24" s="40" t="str">
        <f t="shared" si="194"/>
        <v/>
      </c>
      <c r="RF24" s="40" t="str">
        <f t="shared" si="195"/>
        <v/>
      </c>
      <c r="RG24" s="40" t="str">
        <f t="shared" si="196"/>
        <v/>
      </c>
      <c r="RH24" s="40" t="str">
        <f t="shared" si="197"/>
        <v/>
      </c>
      <c r="RI24" s="40" t="str">
        <f t="shared" si="198"/>
        <v/>
      </c>
      <c r="RJ24" s="40" t="str">
        <f t="shared" si="199"/>
        <v/>
      </c>
      <c r="RK24" s="40" t="str">
        <f t="shared" si="200"/>
        <v/>
      </c>
      <c r="RL24" s="40" t="str">
        <f t="shared" si="201"/>
        <v/>
      </c>
      <c r="RM24" s="40" t="str">
        <f t="shared" si="202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3"/>
        <v/>
      </c>
      <c r="SI24" s="11" t="str">
        <f t="shared" si="204"/>
        <v/>
      </c>
      <c r="SJ24" s="11" t="str">
        <f t="shared" si="205"/>
        <v/>
      </c>
      <c r="SK24" s="11" t="str">
        <f t="shared" si="206"/>
        <v/>
      </c>
      <c r="SL24" s="11" t="str">
        <f t="shared" si="207"/>
        <v/>
      </c>
      <c r="SM24" s="11" t="str">
        <f t="shared" si="208"/>
        <v/>
      </c>
      <c r="SN24" s="11" t="str">
        <f t="shared" si="209"/>
        <v/>
      </c>
      <c r="SO24" s="11" t="str">
        <f t="shared" si="210"/>
        <v/>
      </c>
      <c r="SP24" s="11" t="str">
        <f t="shared" si="211"/>
        <v/>
      </c>
      <c r="SQ24" s="11" t="str">
        <f t="shared" si="212"/>
        <v/>
      </c>
      <c r="SR24" s="11" t="str">
        <f t="shared" si="213"/>
        <v/>
      </c>
      <c r="SS24" s="11" t="str">
        <f t="shared" si="214"/>
        <v/>
      </c>
      <c r="ST24" s="11" t="str">
        <f t="shared" si="215"/>
        <v/>
      </c>
      <c r="SU24" s="11" t="str">
        <f t="shared" si="216"/>
        <v/>
      </c>
      <c r="SV24" s="22">
        <f t="shared" si="217"/>
        <v>6.85</v>
      </c>
      <c r="SW24" s="22">
        <f t="shared" si="218"/>
        <v>4.3499999999999996</v>
      </c>
      <c r="SX24" s="22">
        <f t="shared" si="219"/>
        <v>4.5</v>
      </c>
      <c r="SY24" s="22">
        <f t="shared" si="220"/>
        <v>6.7149999999999999</v>
      </c>
      <c r="SZ24" s="22">
        <f t="shared" si="221"/>
        <v>0</v>
      </c>
      <c r="TA24" s="22">
        <f t="shared" si="222"/>
        <v>7.2</v>
      </c>
      <c r="TB24" s="22">
        <f t="shared" si="223"/>
        <v>4.4000000000000004</v>
      </c>
      <c r="TC24" s="22">
        <f t="shared" si="224"/>
        <v>4.7</v>
      </c>
      <c r="TD24" s="22">
        <f t="shared" si="225"/>
        <v>6.7249999999999996</v>
      </c>
      <c r="TE24" s="22">
        <f t="shared" si="226"/>
        <v>0</v>
      </c>
      <c r="TF24" s="22">
        <f t="shared" si="227"/>
        <v>0</v>
      </c>
      <c r="TG24" s="22">
        <f t="shared" si="228"/>
        <v>0</v>
      </c>
      <c r="TH24" s="22">
        <f t="shared" si="229"/>
        <v>0</v>
      </c>
      <c r="TI24" s="22">
        <f t="shared" si="230"/>
        <v>0</v>
      </c>
      <c r="TJ24" s="22">
        <f t="shared" si="231"/>
        <v>0</v>
      </c>
      <c r="TK24" s="27" t="s">
        <v>46</v>
      </c>
      <c r="TL24" s="40">
        <f t="shared" si="232"/>
        <v>4.5</v>
      </c>
      <c r="TM24" s="40">
        <f t="shared" si="233"/>
        <v>6.7149999999999999</v>
      </c>
      <c r="TN24" s="40">
        <f t="shared" si="234"/>
        <v>22.414999999999999</v>
      </c>
      <c r="TO24" s="40">
        <f t="shared" si="235"/>
        <v>4.7</v>
      </c>
      <c r="TP24" s="40">
        <f t="shared" si="236"/>
        <v>6.7249999999999996</v>
      </c>
      <c r="TQ24" s="40">
        <f t="shared" si="237"/>
        <v>23.024999999999999</v>
      </c>
      <c r="TR24" s="40">
        <f t="shared" si="238"/>
        <v>23.024999999999999</v>
      </c>
      <c r="TS24" s="40" t="str">
        <f t="shared" si="239"/>
        <v/>
      </c>
      <c r="TT24" s="40" t="str">
        <f t="shared" si="240"/>
        <v/>
      </c>
      <c r="TU24" s="40" t="str">
        <f t="shared" si="241"/>
        <v/>
      </c>
      <c r="TV24" s="40">
        <f t="shared" si="242"/>
        <v>23.024999999999999</v>
      </c>
    </row>
    <row r="25" spans="1:542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223</v>
      </c>
      <c r="D25" s="4" t="s">
        <v>6</v>
      </c>
      <c r="E25" s="4">
        <v>2006</v>
      </c>
      <c r="F25" s="9">
        <f t="shared" si="0"/>
        <v>91.230009123004251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42.58</v>
      </c>
      <c r="M25" s="8" t="str">
        <f t="shared" si="5"/>
        <v>2023 Nationals</v>
      </c>
      <c r="N25" s="8">
        <f>IF(COUNT(AQ25,AT25,BR25,BU25,CS25,CV25)&gt;1,LARGE((AQ25,AT25,BR25,BU25,CS25,CV25),2),0)</f>
        <v>40.549999999999997</v>
      </c>
      <c r="O25" s="8" t="str">
        <f t="shared" si="6"/>
        <v>2023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 t="shared" si="7"/>
        <v/>
      </c>
      <c r="R25" s="8">
        <f t="shared" si="8"/>
        <v>8.1</v>
      </c>
      <c r="S25" s="8" t="str">
        <f t="shared" si="9"/>
        <v>2023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>IF(V25="","",IF(V25=DB25,IF(V25+IF(P25="",0,P25)=SN25,$RN$1,IF(V25+IF(P25="",0,P25)=RF25,$QF$1,IF(V25+IF(P25="",0,P25)=PX25,$OX$1,IF(V25+IF(P25="",0,P25)=OP25,$NP$1,IF(V25+IF(P25="",0,P25)=NH25,$MH$1,IF(V25+IF(P25="",0,P25)=LZ25,$KZ$1,IF(V25+IF(P25="",0,P25)=KR25,$JR$1,IF(V25+IF(P25="",0,P25)=JJ25,$IJ$1,IF(V25+IF(P25="",0,P25)=IB25,$HB$1,IF(V25+IF(P25="",0,P25)=GT25,$FT$1,IF(V25+IF(P25="",0,P25)=FL25,$EL$1,IF(V25+IF(P25="",0,P25)=ED25,$DD$1)))))))))))),IF(V25=DC25,IF(V25+IF(#REF!="",0,#REF!)=ST25,$RN$1,IF(V25+IF(#REF!="",0,#REF!)=RL25,$QF$1,IF(V25+IF(#REF!="",0,#REF!)=QD25,$OX$1,IF(V25+IF(#REF!="",0,#REF!)=OV25,$NP$1,IF(V25+IF(#REF!="",0,#REF!)=NN25,$MH$1,IF(V25+IF(#REF!="",0,#REF!)=MF25,$KZ$1,IF(V25+IF(#REF!="",0,#REF!)=KX25,$JR$1,IF(V25+IF(#REF!="",0,#REF!)=JP25,$IJ$1,IF(V25+IF(#REF!="",0,#REF!)=IH25,$HB$1,IF(V25+IF(#REF!="",0,#REF!)=GZ25,$FT$1,IF(V25+IF(#REF!="",0,#REF!)=FR25,$EL$1,IF(V25+IF(#REF!="",0,#REF!)=EJ25,$DD$1,IF(V25+IF(#REF!="",0,#REF!)=SQ25,$RN$1,IF(V25+IF(#REF!="",0,#REF!)=RI25,$QF$1,IF(V25+IF(#REF!="",0,#REF!)=QA25,$OX$1,IF(V25+IF(#REF!="",0,#REF!)=OS25,$NP$1,IF(V25+IF(#REF!="",0,#REF!)=NK25,$MH$1,IF(V25+IF(#REF!="",0,#REF!)=MC25,$KZ$1,IF(V25+IF(#REF!="",0,#REF!)=KU25,$JR$1,IF(V25+IF(#REF!="",0,#REF!)=JM25,$IJ$1,IF(V25+IF(#REF!="",0,#REF!)=IE25,$HB$1,IF(V25+IF(#REF!="",0,#REF!)=GW25,$FT$1,IF(V25+IF(#REF!="",0,#REF!)=FO25,$EL$1,IF(V25+IF(#REF!="",0,#REF!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 t="shared" si="14"/>
        <v/>
      </c>
      <c r="AP25" s="38" t="str">
        <f t="shared" si="15"/>
        <v/>
      </c>
      <c r="AQ25" s="40" t="str">
        <f t="shared" si="16"/>
        <v/>
      </c>
      <c r="AR25" s="40" t="str">
        <f t="shared" si="17"/>
        <v/>
      </c>
      <c r="AS25" s="40" t="str">
        <f t="shared" si="18"/>
        <v/>
      </c>
      <c r="AT25" s="40" t="str">
        <f t="shared" si="19"/>
        <v/>
      </c>
      <c r="AU25" s="40" t="str">
        <f t="shared" si="20"/>
        <v/>
      </c>
      <c r="AV25" s="40" t="str">
        <f t="shared" si="21"/>
        <v/>
      </c>
      <c r="AW25" s="40" t="str">
        <f t="shared" si="22"/>
        <v/>
      </c>
      <c r="AX25" s="40" t="str">
        <f t="shared" si="23"/>
        <v/>
      </c>
      <c r="AY25" s="40" t="str">
        <f t="shared" si="24"/>
        <v/>
      </c>
      <c r="AZ25" s="26">
        <v>13.2</v>
      </c>
      <c r="BA25" s="26">
        <v>8.4</v>
      </c>
      <c r="BB25" s="26">
        <v>7.2</v>
      </c>
      <c r="BC25" s="26">
        <v>11.75</v>
      </c>
      <c r="BD25" s="26">
        <v>0</v>
      </c>
      <c r="BE25" s="26">
        <v>14.3</v>
      </c>
      <c r="BF25" s="26">
        <v>8.5</v>
      </c>
      <c r="BG25" s="26">
        <v>8.1</v>
      </c>
      <c r="BH25" s="26">
        <v>12.38</v>
      </c>
      <c r="BI25" s="26">
        <v>0.7</v>
      </c>
      <c r="BJ25" s="26"/>
      <c r="BK25" s="26"/>
      <c r="BL25" s="26"/>
      <c r="BM25" s="26"/>
      <c r="BN25" s="26"/>
      <c r="BO25" s="28"/>
      <c r="BP25" s="39">
        <f t="shared" si="25"/>
        <v>7.2</v>
      </c>
      <c r="BQ25" s="39">
        <f t="shared" si="26"/>
        <v>11.75</v>
      </c>
      <c r="BR25" s="11">
        <f t="shared" si="27"/>
        <v>40.549999999999997</v>
      </c>
      <c r="BS25" s="11">
        <f t="shared" si="28"/>
        <v>8.1</v>
      </c>
      <c r="BT25" s="11">
        <f t="shared" si="29"/>
        <v>12.38</v>
      </c>
      <c r="BU25" s="11">
        <f t="shared" si="30"/>
        <v>42.58</v>
      </c>
      <c r="BV25" s="11">
        <f t="shared" si="31"/>
        <v>42.58</v>
      </c>
      <c r="BW25" s="11" t="str">
        <f t="shared" si="32"/>
        <v/>
      </c>
      <c r="BX25" s="11" t="str">
        <f t="shared" si="33"/>
        <v/>
      </c>
      <c r="BY25" s="11" t="str">
        <f t="shared" si="34"/>
        <v/>
      </c>
      <c r="BZ25" s="11">
        <f t="shared" si="35"/>
        <v>42.58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6"/>
        <v/>
      </c>
      <c r="CR25" s="38" t="str">
        <f t="shared" si="37"/>
        <v/>
      </c>
      <c r="CS25" s="40" t="str">
        <f t="shared" si="38"/>
        <v/>
      </c>
      <c r="CT25" s="40" t="str">
        <f t="shared" si="39"/>
        <v/>
      </c>
      <c r="CU25" s="40" t="str">
        <f t="shared" si="40"/>
        <v/>
      </c>
      <c r="CV25" s="40" t="str">
        <f t="shared" si="41"/>
        <v/>
      </c>
      <c r="CW25" s="40" t="str">
        <f t="shared" si="42"/>
        <v/>
      </c>
      <c r="CX25" s="40" t="str">
        <f t="shared" si="43"/>
        <v/>
      </c>
      <c r="CY25" s="40" t="str">
        <f t="shared" si="44"/>
        <v/>
      </c>
      <c r="CZ25" s="40" t="str">
        <f t="shared" si="45"/>
        <v/>
      </c>
      <c r="DA25" s="40" t="str">
        <f t="shared" si="46"/>
        <v/>
      </c>
      <c r="DB25" s="50" t="str">
        <f t="shared" si="47"/>
        <v/>
      </c>
      <c r="DC25" s="50" t="str">
        <f t="shared" si="48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49"/>
        <v/>
      </c>
      <c r="DY25" s="40" t="str">
        <f t="shared" si="50"/>
        <v/>
      </c>
      <c r="DZ25" s="40" t="str">
        <f t="shared" si="51"/>
        <v/>
      </c>
      <c r="EA25" s="40" t="str">
        <f t="shared" si="52"/>
        <v/>
      </c>
      <c r="EB25" s="40" t="str">
        <f t="shared" si="53"/>
        <v/>
      </c>
      <c r="EC25" s="40" t="str">
        <f t="shared" si="54"/>
        <v/>
      </c>
      <c r="ED25" s="40" t="str">
        <f t="shared" si="55"/>
        <v/>
      </c>
      <c r="EE25" s="40" t="str">
        <f t="shared" si="56"/>
        <v/>
      </c>
      <c r="EF25" s="40" t="str">
        <f t="shared" si="57"/>
        <v/>
      </c>
      <c r="EG25" s="40" t="str">
        <f t="shared" si="58"/>
        <v/>
      </c>
      <c r="EH25" s="40" t="str">
        <f t="shared" si="59"/>
        <v/>
      </c>
      <c r="EI25" s="40" t="str">
        <f t="shared" si="60"/>
        <v/>
      </c>
      <c r="EJ25" s="40" t="str">
        <f t="shared" si="61"/>
        <v/>
      </c>
      <c r="EK25" s="40" t="str">
        <f t="shared" si="62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3"/>
        <v/>
      </c>
      <c r="FG25" s="11" t="str">
        <f t="shared" si="64"/>
        <v/>
      </c>
      <c r="FH25" s="11" t="str">
        <f t="shared" si="65"/>
        <v/>
      </c>
      <c r="FI25" s="11" t="str">
        <f t="shared" si="66"/>
        <v/>
      </c>
      <c r="FJ25" s="11" t="str">
        <f t="shared" si="67"/>
        <v/>
      </c>
      <c r="FK25" s="11" t="str">
        <f t="shared" si="68"/>
        <v/>
      </c>
      <c r="FL25" s="11" t="str">
        <f t="shared" si="69"/>
        <v/>
      </c>
      <c r="FM25" s="11" t="str">
        <f t="shared" si="70"/>
        <v/>
      </c>
      <c r="FN25" s="11" t="str">
        <f t="shared" si="71"/>
        <v/>
      </c>
      <c r="FO25" s="11" t="str">
        <f t="shared" si="72"/>
        <v/>
      </c>
      <c r="FP25" s="11" t="str">
        <f t="shared" si="73"/>
        <v/>
      </c>
      <c r="FQ25" s="11" t="str">
        <f t="shared" si="74"/>
        <v/>
      </c>
      <c r="FR25" s="11" t="str">
        <f t="shared" si="75"/>
        <v/>
      </c>
      <c r="FS25" s="11" t="str">
        <f t="shared" si="76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7"/>
        <v/>
      </c>
      <c r="GO25" s="40" t="str">
        <f t="shared" si="78"/>
        <v/>
      </c>
      <c r="GP25" s="40" t="str">
        <f t="shared" si="79"/>
        <v/>
      </c>
      <c r="GQ25" s="40" t="str">
        <f t="shared" si="80"/>
        <v/>
      </c>
      <c r="GR25" s="40" t="str">
        <f t="shared" si="81"/>
        <v/>
      </c>
      <c r="GS25" s="40" t="str">
        <f t="shared" si="82"/>
        <v/>
      </c>
      <c r="GT25" s="40" t="str">
        <f t="shared" si="83"/>
        <v/>
      </c>
      <c r="GU25" s="40" t="str">
        <f t="shared" si="84"/>
        <v/>
      </c>
      <c r="GV25" s="40" t="str">
        <f t="shared" si="85"/>
        <v/>
      </c>
      <c r="GW25" s="40" t="str">
        <f t="shared" si="86"/>
        <v/>
      </c>
      <c r="GX25" s="40" t="str">
        <f t="shared" si="87"/>
        <v/>
      </c>
      <c r="GY25" s="40" t="str">
        <f t="shared" si="88"/>
        <v/>
      </c>
      <c r="GZ25" s="40" t="str">
        <f t="shared" si="89"/>
        <v/>
      </c>
      <c r="HA25" s="40" t="str">
        <f t="shared" si="90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1"/>
        <v/>
      </c>
      <c r="HW25" s="11" t="str">
        <f t="shared" si="92"/>
        <v/>
      </c>
      <c r="HX25" s="11" t="str">
        <f t="shared" si="93"/>
        <v/>
      </c>
      <c r="HY25" s="11" t="str">
        <f t="shared" si="94"/>
        <v/>
      </c>
      <c r="HZ25" s="11" t="str">
        <f t="shared" si="95"/>
        <v/>
      </c>
      <c r="IA25" s="11" t="str">
        <f t="shared" si="96"/>
        <v/>
      </c>
      <c r="IB25" s="11" t="str">
        <f t="shared" si="97"/>
        <v/>
      </c>
      <c r="IC25" s="11" t="str">
        <f t="shared" si="98"/>
        <v/>
      </c>
      <c r="ID25" s="11" t="str">
        <f t="shared" si="99"/>
        <v/>
      </c>
      <c r="IE25" s="11" t="str">
        <f t="shared" si="100"/>
        <v/>
      </c>
      <c r="IF25" s="11" t="str">
        <f t="shared" si="101"/>
        <v/>
      </c>
      <c r="IG25" s="11" t="str">
        <f t="shared" si="102"/>
        <v/>
      </c>
      <c r="IH25" s="11" t="str">
        <f t="shared" si="103"/>
        <v/>
      </c>
      <c r="II25" s="11" t="str">
        <f t="shared" si="104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5"/>
        <v/>
      </c>
      <c r="JE25" s="40" t="str">
        <f t="shared" si="106"/>
        <v/>
      </c>
      <c r="JF25" s="40" t="str">
        <f t="shared" si="107"/>
        <v/>
      </c>
      <c r="JG25" s="40" t="str">
        <f t="shared" si="108"/>
        <v/>
      </c>
      <c r="JH25" s="40" t="str">
        <f t="shared" si="109"/>
        <v/>
      </c>
      <c r="JI25" s="40" t="str">
        <f t="shared" si="110"/>
        <v/>
      </c>
      <c r="JJ25" s="40" t="str">
        <f t="shared" si="111"/>
        <v/>
      </c>
      <c r="JK25" s="40" t="str">
        <f t="shared" si="112"/>
        <v/>
      </c>
      <c r="JL25" s="40" t="str">
        <f t="shared" si="113"/>
        <v/>
      </c>
      <c r="JM25" s="40" t="str">
        <f t="shared" si="114"/>
        <v/>
      </c>
      <c r="JN25" s="40" t="str">
        <f t="shared" si="115"/>
        <v/>
      </c>
      <c r="JO25" s="40" t="str">
        <f t="shared" si="116"/>
        <v/>
      </c>
      <c r="JP25" s="40" t="str">
        <f t="shared" si="117"/>
        <v/>
      </c>
      <c r="JQ25" s="40" t="str">
        <f t="shared" si="118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19"/>
        <v/>
      </c>
      <c r="KM25" s="11" t="str">
        <f t="shared" si="120"/>
        <v/>
      </c>
      <c r="KN25" s="11" t="str">
        <f t="shared" si="121"/>
        <v/>
      </c>
      <c r="KO25" s="11" t="str">
        <f t="shared" si="122"/>
        <v/>
      </c>
      <c r="KP25" s="11" t="str">
        <f t="shared" si="123"/>
        <v/>
      </c>
      <c r="KQ25" s="11" t="str">
        <f t="shared" si="124"/>
        <v/>
      </c>
      <c r="KR25" s="11" t="str">
        <f t="shared" si="125"/>
        <v/>
      </c>
      <c r="KS25" s="11" t="str">
        <f t="shared" si="126"/>
        <v/>
      </c>
      <c r="KT25" s="11" t="str">
        <f t="shared" si="127"/>
        <v/>
      </c>
      <c r="KU25" s="11" t="str">
        <f t="shared" si="128"/>
        <v/>
      </c>
      <c r="KV25" s="11" t="str">
        <f t="shared" si="129"/>
        <v/>
      </c>
      <c r="KW25" s="11" t="str">
        <f t="shared" si="130"/>
        <v/>
      </c>
      <c r="KX25" s="11" t="str">
        <f t="shared" si="131"/>
        <v/>
      </c>
      <c r="KY25" s="11" t="str">
        <f t="shared" si="132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3"/>
        <v/>
      </c>
      <c r="LU25" s="40" t="str">
        <f t="shared" si="134"/>
        <v/>
      </c>
      <c r="LV25" s="40" t="str">
        <f t="shared" si="135"/>
        <v/>
      </c>
      <c r="LW25" s="40" t="str">
        <f t="shared" si="136"/>
        <v/>
      </c>
      <c r="LX25" s="40" t="str">
        <f t="shared" si="137"/>
        <v/>
      </c>
      <c r="LY25" s="40" t="str">
        <f t="shared" si="138"/>
        <v/>
      </c>
      <c r="LZ25" s="40" t="str">
        <f t="shared" si="139"/>
        <v/>
      </c>
      <c r="MA25" s="40" t="str">
        <f t="shared" si="140"/>
        <v/>
      </c>
      <c r="MB25" s="40" t="str">
        <f t="shared" si="141"/>
        <v/>
      </c>
      <c r="MC25" s="40" t="str">
        <f t="shared" si="142"/>
        <v/>
      </c>
      <c r="MD25" s="40" t="str">
        <f t="shared" si="143"/>
        <v/>
      </c>
      <c r="ME25" s="40" t="str">
        <f t="shared" si="144"/>
        <v/>
      </c>
      <c r="MF25" s="40" t="str">
        <f t="shared" si="145"/>
        <v/>
      </c>
      <c r="MG25" s="40" t="str">
        <f t="shared" si="146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7"/>
        <v/>
      </c>
      <c r="NC25" s="11" t="str">
        <f t="shared" si="148"/>
        <v/>
      </c>
      <c r="ND25" s="11" t="str">
        <f t="shared" si="149"/>
        <v/>
      </c>
      <c r="NE25" s="11" t="str">
        <f t="shared" si="150"/>
        <v/>
      </c>
      <c r="NF25" s="11" t="str">
        <f t="shared" si="151"/>
        <v/>
      </c>
      <c r="NG25" s="11" t="str">
        <f t="shared" si="152"/>
        <v/>
      </c>
      <c r="NH25" s="11" t="str">
        <f t="shared" si="153"/>
        <v/>
      </c>
      <c r="NI25" s="11" t="str">
        <f t="shared" si="154"/>
        <v/>
      </c>
      <c r="NJ25" s="11" t="str">
        <f t="shared" si="155"/>
        <v/>
      </c>
      <c r="NK25" s="11" t="str">
        <f t="shared" si="156"/>
        <v/>
      </c>
      <c r="NL25" s="11" t="str">
        <f t="shared" si="157"/>
        <v/>
      </c>
      <c r="NM25" s="11" t="str">
        <f t="shared" si="158"/>
        <v/>
      </c>
      <c r="NN25" s="11" t="str">
        <f t="shared" si="159"/>
        <v/>
      </c>
      <c r="NO25" s="11" t="str">
        <f t="shared" si="160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1"/>
        <v/>
      </c>
      <c r="OK25" s="40" t="str">
        <f t="shared" si="162"/>
        <v/>
      </c>
      <c r="OL25" s="40" t="str">
        <f t="shared" si="163"/>
        <v/>
      </c>
      <c r="OM25" s="40" t="str">
        <f t="shared" si="164"/>
        <v/>
      </c>
      <c r="ON25" s="40" t="str">
        <f t="shared" si="165"/>
        <v/>
      </c>
      <c r="OO25" s="40" t="str">
        <f t="shared" si="166"/>
        <v/>
      </c>
      <c r="OP25" s="40" t="str">
        <f t="shared" si="167"/>
        <v/>
      </c>
      <c r="OQ25" s="40" t="str">
        <f t="shared" si="168"/>
        <v/>
      </c>
      <c r="OR25" s="40" t="str">
        <f t="shared" si="169"/>
        <v/>
      </c>
      <c r="OS25" s="40" t="str">
        <f t="shared" si="170"/>
        <v/>
      </c>
      <c r="OT25" s="40" t="str">
        <f t="shared" si="171"/>
        <v/>
      </c>
      <c r="OU25" s="40" t="str">
        <f t="shared" si="172"/>
        <v/>
      </c>
      <c r="OV25" s="40" t="str">
        <f t="shared" si="173"/>
        <v/>
      </c>
      <c r="OW25" s="40" t="str">
        <f t="shared" si="174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5"/>
        <v/>
      </c>
      <c r="PS25" s="11" t="str">
        <f t="shared" si="176"/>
        <v/>
      </c>
      <c r="PT25" s="11" t="str">
        <f t="shared" si="177"/>
        <v/>
      </c>
      <c r="PU25" s="11" t="str">
        <f t="shared" si="178"/>
        <v/>
      </c>
      <c r="PV25" s="11" t="str">
        <f t="shared" si="179"/>
        <v/>
      </c>
      <c r="PW25" s="11" t="str">
        <f t="shared" si="180"/>
        <v/>
      </c>
      <c r="PX25" s="11" t="str">
        <f t="shared" si="181"/>
        <v/>
      </c>
      <c r="PY25" s="11" t="str">
        <f t="shared" si="182"/>
        <v/>
      </c>
      <c r="PZ25" s="11" t="str">
        <f t="shared" si="183"/>
        <v/>
      </c>
      <c r="QA25" s="11" t="str">
        <f t="shared" si="184"/>
        <v/>
      </c>
      <c r="QB25" s="11" t="str">
        <f t="shared" si="185"/>
        <v/>
      </c>
      <c r="QC25" s="11" t="str">
        <f t="shared" si="186"/>
        <v/>
      </c>
      <c r="QD25" s="11" t="str">
        <f t="shared" si="187"/>
        <v/>
      </c>
      <c r="QE25" s="11" t="str">
        <f t="shared" si="188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89"/>
        <v/>
      </c>
      <c r="RA25" s="40" t="str">
        <f t="shared" si="190"/>
        <v/>
      </c>
      <c r="RB25" s="40" t="str">
        <f t="shared" si="191"/>
        <v/>
      </c>
      <c r="RC25" s="40" t="str">
        <f t="shared" si="192"/>
        <v/>
      </c>
      <c r="RD25" s="40" t="str">
        <f t="shared" si="193"/>
        <v/>
      </c>
      <c r="RE25" s="40" t="str">
        <f t="shared" si="194"/>
        <v/>
      </c>
      <c r="RF25" s="40" t="str">
        <f t="shared" si="195"/>
        <v/>
      </c>
      <c r="RG25" s="40" t="str">
        <f t="shared" si="196"/>
        <v/>
      </c>
      <c r="RH25" s="40" t="str">
        <f t="shared" si="197"/>
        <v/>
      </c>
      <c r="RI25" s="40" t="str">
        <f t="shared" si="198"/>
        <v/>
      </c>
      <c r="RJ25" s="40" t="str">
        <f t="shared" si="199"/>
        <v/>
      </c>
      <c r="RK25" s="40" t="str">
        <f t="shared" si="200"/>
        <v/>
      </c>
      <c r="RL25" s="40" t="str">
        <f t="shared" si="201"/>
        <v/>
      </c>
      <c r="RM25" s="40" t="str">
        <f t="shared" si="202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3"/>
        <v/>
      </c>
      <c r="SI25" s="11" t="str">
        <f t="shared" si="204"/>
        <v/>
      </c>
      <c r="SJ25" s="11" t="str">
        <f t="shared" si="205"/>
        <v/>
      </c>
      <c r="SK25" s="11" t="str">
        <f t="shared" si="206"/>
        <v/>
      </c>
      <c r="SL25" s="11" t="str">
        <f t="shared" si="207"/>
        <v/>
      </c>
      <c r="SM25" s="11" t="str">
        <f t="shared" si="208"/>
        <v/>
      </c>
      <c r="SN25" s="11" t="str">
        <f t="shared" si="209"/>
        <v/>
      </c>
      <c r="SO25" s="11" t="str">
        <f t="shared" si="210"/>
        <v/>
      </c>
      <c r="SP25" s="11" t="str">
        <f t="shared" si="211"/>
        <v/>
      </c>
      <c r="SQ25" s="11" t="str">
        <f t="shared" si="212"/>
        <v/>
      </c>
      <c r="SR25" s="11" t="str">
        <f t="shared" si="213"/>
        <v/>
      </c>
      <c r="SS25" s="11" t="str">
        <f t="shared" si="214"/>
        <v/>
      </c>
      <c r="ST25" s="11" t="str">
        <f t="shared" si="215"/>
        <v/>
      </c>
      <c r="SU25" s="11" t="str">
        <f t="shared" si="216"/>
        <v/>
      </c>
      <c r="SV25" s="22">
        <f t="shared" si="217"/>
        <v>6.6</v>
      </c>
      <c r="SW25" s="22">
        <f t="shared" si="218"/>
        <v>4.2</v>
      </c>
      <c r="SX25" s="22">
        <f t="shared" si="219"/>
        <v>3.6</v>
      </c>
      <c r="SY25" s="22">
        <f t="shared" si="220"/>
        <v>5.875</v>
      </c>
      <c r="SZ25" s="22">
        <f t="shared" si="221"/>
        <v>0</v>
      </c>
      <c r="TA25" s="22">
        <f t="shared" si="222"/>
        <v>7.15</v>
      </c>
      <c r="TB25" s="22">
        <f t="shared" si="223"/>
        <v>4.25</v>
      </c>
      <c r="TC25" s="22">
        <f t="shared" si="224"/>
        <v>4.05</v>
      </c>
      <c r="TD25" s="22">
        <f t="shared" si="225"/>
        <v>6.19</v>
      </c>
      <c r="TE25" s="22">
        <f t="shared" si="226"/>
        <v>0.35</v>
      </c>
      <c r="TF25" s="22">
        <f t="shared" si="227"/>
        <v>0</v>
      </c>
      <c r="TG25" s="22">
        <f t="shared" si="228"/>
        <v>0</v>
      </c>
      <c r="TH25" s="22">
        <f t="shared" si="229"/>
        <v>0</v>
      </c>
      <c r="TI25" s="22">
        <f t="shared" si="230"/>
        <v>0</v>
      </c>
      <c r="TJ25" s="22">
        <f t="shared" si="231"/>
        <v>0</v>
      </c>
      <c r="TK25" s="27" t="s">
        <v>46</v>
      </c>
      <c r="TL25" s="40">
        <f t="shared" si="232"/>
        <v>3.6</v>
      </c>
      <c r="TM25" s="40">
        <f t="shared" si="233"/>
        <v>5.875</v>
      </c>
      <c r="TN25" s="40">
        <f t="shared" si="234"/>
        <v>20.274999999999999</v>
      </c>
      <c r="TO25" s="40">
        <f t="shared" si="235"/>
        <v>4.05</v>
      </c>
      <c r="TP25" s="40">
        <f t="shared" si="236"/>
        <v>6.19</v>
      </c>
      <c r="TQ25" s="40">
        <f t="shared" si="237"/>
        <v>21.29</v>
      </c>
      <c r="TR25" s="40">
        <f t="shared" si="238"/>
        <v>21.29</v>
      </c>
      <c r="TS25" s="40" t="str">
        <f t="shared" si="239"/>
        <v/>
      </c>
      <c r="TT25" s="40" t="str">
        <f t="shared" si="240"/>
        <v/>
      </c>
      <c r="TU25" s="40" t="str">
        <f t="shared" si="241"/>
        <v/>
      </c>
      <c r="TV25" s="40">
        <f t="shared" si="242"/>
        <v>21.29</v>
      </c>
    </row>
    <row r="26" spans="1:542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220</v>
      </c>
      <c r="D26" s="4" t="s">
        <v>3</v>
      </c>
      <c r="E26" s="4">
        <v>2005</v>
      </c>
      <c r="F26" s="9">
        <f t="shared" si="0"/>
        <v>90.450009045004393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43.99</v>
      </c>
      <c r="M26" s="8" t="str">
        <f t="shared" si="5"/>
        <v>2023 Nationals</v>
      </c>
      <c r="N26" s="8">
        <f>IF(COUNT(AQ26,AT26,BR26,BU26,CS26,CV26)&gt;1,LARGE((AQ26,AT26,BR26,BU26,CS26,CV26),2),0)</f>
        <v>37.36</v>
      </c>
      <c r="O26" s="8" t="str">
        <f t="shared" si="6"/>
        <v>2023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 t="shared" si="7"/>
        <v/>
      </c>
      <c r="R26" s="8">
        <f t="shared" si="8"/>
        <v>9.1</v>
      </c>
      <c r="S26" s="8" t="str">
        <f t="shared" si="9"/>
        <v>2023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>IF(V26="","",IF(V26=DB26,IF(V26+IF(P26="",0,P26)=SN26,$RN$1,IF(V26+IF(P26="",0,P26)=RF26,$QF$1,IF(V26+IF(P26="",0,P26)=PX26,$OX$1,IF(V26+IF(P26="",0,P26)=OP26,$NP$1,IF(V26+IF(P26="",0,P26)=NH26,$MH$1,IF(V26+IF(P26="",0,P26)=LZ26,$KZ$1,IF(V26+IF(P26="",0,P26)=KR26,$JR$1,IF(V26+IF(P26="",0,P26)=JJ26,$IJ$1,IF(V26+IF(P26="",0,P26)=IB26,$HB$1,IF(V26+IF(P26="",0,P26)=GT26,$FT$1,IF(V26+IF(P26="",0,P26)=FL26,$EL$1,IF(V26+IF(P26="",0,P26)=ED26,$DD$1)))))))))))),IF(V26=DC26,IF(V26+IF(#REF!="",0,#REF!)=ST26,$RN$1,IF(V26+IF(#REF!="",0,#REF!)=RL26,$QF$1,IF(V26+IF(#REF!="",0,#REF!)=QD26,$OX$1,IF(V26+IF(#REF!="",0,#REF!)=OV26,$NP$1,IF(V26+IF(#REF!="",0,#REF!)=NN26,$MH$1,IF(V26+IF(#REF!="",0,#REF!)=MF26,$KZ$1,IF(V26+IF(#REF!="",0,#REF!)=KX26,$JR$1,IF(V26+IF(#REF!="",0,#REF!)=JP26,$IJ$1,IF(V26+IF(#REF!="",0,#REF!)=IH26,$HB$1,IF(V26+IF(#REF!="",0,#REF!)=GZ26,$FT$1,IF(V26+IF(#REF!="",0,#REF!)=FR26,$EL$1,IF(V26+IF(#REF!="",0,#REF!)=EJ26,$DD$1,IF(V26+IF(#REF!="",0,#REF!)=SQ26,$RN$1,IF(V26+IF(#REF!="",0,#REF!)=RI26,$QF$1,IF(V26+IF(#REF!="",0,#REF!)=QA26,$OX$1,IF(V26+IF(#REF!="",0,#REF!)=OS26,$NP$1,IF(V26+IF(#REF!="",0,#REF!)=NK26,$MH$1,IF(V26+IF(#REF!="",0,#REF!)=MC26,$KZ$1,IF(V26+IF(#REF!="",0,#REF!)=KU26,$JR$1,IF(V26+IF(#REF!="",0,#REF!)=JM26,$IJ$1,IF(V26+IF(#REF!="",0,#REF!)=IE26,$HB$1,IF(V26+IF(#REF!="",0,#REF!)=GW26,$FT$1,IF(V26+IF(#REF!="",0,#REF!)=FO26,$EL$1,IF(V26+IF(#REF!="",0,#REF!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4"/>
        <v/>
      </c>
      <c r="AP26" s="38" t="str">
        <f t="shared" si="15"/>
        <v/>
      </c>
      <c r="AQ26" s="40" t="str">
        <f t="shared" si="16"/>
        <v/>
      </c>
      <c r="AR26" s="40" t="str">
        <f t="shared" si="17"/>
        <v/>
      </c>
      <c r="AS26" s="40" t="str">
        <f t="shared" si="18"/>
        <v/>
      </c>
      <c r="AT26" s="40" t="str">
        <f t="shared" si="19"/>
        <v/>
      </c>
      <c r="AU26" s="40" t="str">
        <f t="shared" si="20"/>
        <v/>
      </c>
      <c r="AV26" s="40" t="str">
        <f t="shared" si="21"/>
        <v/>
      </c>
      <c r="AW26" s="40" t="str">
        <f t="shared" si="22"/>
        <v/>
      </c>
      <c r="AX26" s="40" t="str">
        <f t="shared" si="23"/>
        <v/>
      </c>
      <c r="AY26" s="40" t="str">
        <f t="shared" si="24"/>
        <v/>
      </c>
      <c r="AZ26" s="26">
        <v>11</v>
      </c>
      <c r="BA26" s="26">
        <v>7.8</v>
      </c>
      <c r="BB26" s="26">
        <v>6.9</v>
      </c>
      <c r="BC26" s="26">
        <v>11.66</v>
      </c>
      <c r="BD26" s="26">
        <v>0</v>
      </c>
      <c r="BE26" s="26">
        <v>13.5</v>
      </c>
      <c r="BF26" s="26">
        <v>8.6</v>
      </c>
      <c r="BG26" s="26">
        <v>9.1</v>
      </c>
      <c r="BH26" s="26">
        <v>12.79</v>
      </c>
      <c r="BI26" s="26">
        <v>0</v>
      </c>
      <c r="BJ26" s="26"/>
      <c r="BK26" s="26"/>
      <c r="BL26" s="26"/>
      <c r="BM26" s="26"/>
      <c r="BN26" s="26"/>
      <c r="BO26" s="28"/>
      <c r="BP26" s="39">
        <f t="shared" si="25"/>
        <v>6.9</v>
      </c>
      <c r="BQ26" s="39">
        <f t="shared" si="26"/>
        <v>11.66</v>
      </c>
      <c r="BR26" s="11">
        <f t="shared" si="27"/>
        <v>37.36</v>
      </c>
      <c r="BS26" s="11">
        <f t="shared" si="28"/>
        <v>9.1</v>
      </c>
      <c r="BT26" s="11">
        <f t="shared" si="29"/>
        <v>12.79</v>
      </c>
      <c r="BU26" s="11">
        <f t="shared" si="30"/>
        <v>43.99</v>
      </c>
      <c r="BV26" s="11">
        <f t="shared" si="31"/>
        <v>43.99</v>
      </c>
      <c r="BW26" s="11" t="str">
        <f t="shared" si="32"/>
        <v/>
      </c>
      <c r="BX26" s="11" t="str">
        <f t="shared" si="33"/>
        <v/>
      </c>
      <c r="BY26" s="11" t="str">
        <f t="shared" si="34"/>
        <v/>
      </c>
      <c r="BZ26" s="11">
        <f t="shared" si="35"/>
        <v>43.99</v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6"/>
        <v/>
      </c>
      <c r="CR26" s="38" t="str">
        <f t="shared" si="37"/>
        <v/>
      </c>
      <c r="CS26" s="40" t="str">
        <f t="shared" si="38"/>
        <v/>
      </c>
      <c r="CT26" s="40" t="str">
        <f t="shared" si="39"/>
        <v/>
      </c>
      <c r="CU26" s="40" t="str">
        <f t="shared" si="40"/>
        <v/>
      </c>
      <c r="CV26" s="40" t="str">
        <f t="shared" si="41"/>
        <v/>
      </c>
      <c r="CW26" s="40" t="str">
        <f t="shared" si="42"/>
        <v/>
      </c>
      <c r="CX26" s="40" t="str">
        <f t="shared" si="43"/>
        <v/>
      </c>
      <c r="CY26" s="40" t="str">
        <f t="shared" si="44"/>
        <v/>
      </c>
      <c r="CZ26" s="40" t="str">
        <f t="shared" si="45"/>
        <v/>
      </c>
      <c r="DA26" s="40" t="str">
        <f t="shared" si="46"/>
        <v/>
      </c>
      <c r="DB26" s="50" t="str">
        <f t="shared" si="47"/>
        <v/>
      </c>
      <c r="DC26" s="50" t="str">
        <f t="shared" si="48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49"/>
        <v/>
      </c>
      <c r="DY26" s="40" t="str">
        <f t="shared" si="50"/>
        <v/>
      </c>
      <c r="DZ26" s="40" t="str">
        <f t="shared" si="51"/>
        <v/>
      </c>
      <c r="EA26" s="40" t="str">
        <f t="shared" si="52"/>
        <v/>
      </c>
      <c r="EB26" s="40" t="str">
        <f t="shared" si="53"/>
        <v/>
      </c>
      <c r="EC26" s="40" t="str">
        <f t="shared" si="54"/>
        <v/>
      </c>
      <c r="ED26" s="40" t="str">
        <f t="shared" si="55"/>
        <v/>
      </c>
      <c r="EE26" s="40" t="str">
        <f t="shared" si="56"/>
        <v/>
      </c>
      <c r="EF26" s="40" t="str">
        <f t="shared" si="57"/>
        <v/>
      </c>
      <c r="EG26" s="40" t="str">
        <f t="shared" si="58"/>
        <v/>
      </c>
      <c r="EH26" s="40" t="str">
        <f t="shared" si="59"/>
        <v/>
      </c>
      <c r="EI26" s="40" t="str">
        <f t="shared" si="60"/>
        <v/>
      </c>
      <c r="EJ26" s="40" t="str">
        <f t="shared" si="61"/>
        <v/>
      </c>
      <c r="EK26" s="40" t="str">
        <f t="shared" si="62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3"/>
        <v/>
      </c>
      <c r="FG26" s="11" t="str">
        <f t="shared" si="64"/>
        <v/>
      </c>
      <c r="FH26" s="11" t="str">
        <f t="shared" si="65"/>
        <v/>
      </c>
      <c r="FI26" s="11" t="str">
        <f t="shared" si="66"/>
        <v/>
      </c>
      <c r="FJ26" s="11" t="str">
        <f t="shared" si="67"/>
        <v/>
      </c>
      <c r="FK26" s="11" t="str">
        <f t="shared" si="68"/>
        <v/>
      </c>
      <c r="FL26" s="11" t="str">
        <f t="shared" si="69"/>
        <v/>
      </c>
      <c r="FM26" s="11" t="str">
        <f t="shared" si="70"/>
        <v/>
      </c>
      <c r="FN26" s="11" t="str">
        <f t="shared" si="71"/>
        <v/>
      </c>
      <c r="FO26" s="11" t="str">
        <f t="shared" si="72"/>
        <v/>
      </c>
      <c r="FP26" s="11" t="str">
        <f t="shared" si="73"/>
        <v/>
      </c>
      <c r="FQ26" s="11" t="str">
        <f t="shared" si="74"/>
        <v/>
      </c>
      <c r="FR26" s="11" t="str">
        <f t="shared" si="75"/>
        <v/>
      </c>
      <c r="FS26" s="11" t="str">
        <f t="shared" si="76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7"/>
        <v/>
      </c>
      <c r="GO26" s="40" t="str">
        <f t="shared" si="78"/>
        <v/>
      </c>
      <c r="GP26" s="40" t="str">
        <f t="shared" si="79"/>
        <v/>
      </c>
      <c r="GQ26" s="40" t="str">
        <f t="shared" si="80"/>
        <v/>
      </c>
      <c r="GR26" s="40" t="str">
        <f t="shared" si="81"/>
        <v/>
      </c>
      <c r="GS26" s="40" t="str">
        <f t="shared" si="82"/>
        <v/>
      </c>
      <c r="GT26" s="40" t="str">
        <f t="shared" si="83"/>
        <v/>
      </c>
      <c r="GU26" s="40" t="str">
        <f t="shared" si="84"/>
        <v/>
      </c>
      <c r="GV26" s="40" t="str">
        <f t="shared" si="85"/>
        <v/>
      </c>
      <c r="GW26" s="40" t="str">
        <f t="shared" si="86"/>
        <v/>
      </c>
      <c r="GX26" s="40" t="str">
        <f t="shared" si="87"/>
        <v/>
      </c>
      <c r="GY26" s="40" t="str">
        <f t="shared" si="88"/>
        <v/>
      </c>
      <c r="GZ26" s="40" t="str">
        <f t="shared" si="89"/>
        <v/>
      </c>
      <c r="HA26" s="40" t="str">
        <f t="shared" si="90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1"/>
        <v/>
      </c>
      <c r="HW26" s="11" t="str">
        <f t="shared" si="92"/>
        <v/>
      </c>
      <c r="HX26" s="11" t="str">
        <f t="shared" si="93"/>
        <v/>
      </c>
      <c r="HY26" s="11" t="str">
        <f t="shared" si="94"/>
        <v/>
      </c>
      <c r="HZ26" s="11" t="str">
        <f t="shared" si="95"/>
        <v/>
      </c>
      <c r="IA26" s="11" t="str">
        <f t="shared" si="96"/>
        <v/>
      </c>
      <c r="IB26" s="11" t="str">
        <f t="shared" si="97"/>
        <v/>
      </c>
      <c r="IC26" s="11" t="str">
        <f t="shared" si="98"/>
        <v/>
      </c>
      <c r="ID26" s="11" t="str">
        <f t="shared" si="99"/>
        <v/>
      </c>
      <c r="IE26" s="11" t="str">
        <f t="shared" si="100"/>
        <v/>
      </c>
      <c r="IF26" s="11" t="str">
        <f t="shared" si="101"/>
        <v/>
      </c>
      <c r="IG26" s="11" t="str">
        <f t="shared" si="102"/>
        <v/>
      </c>
      <c r="IH26" s="11" t="str">
        <f t="shared" si="103"/>
        <v/>
      </c>
      <c r="II26" s="11" t="str">
        <f t="shared" si="104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5"/>
        <v/>
      </c>
      <c r="JE26" s="40" t="str">
        <f t="shared" si="106"/>
        <v/>
      </c>
      <c r="JF26" s="40" t="str">
        <f t="shared" si="107"/>
        <v/>
      </c>
      <c r="JG26" s="40" t="str">
        <f t="shared" si="108"/>
        <v/>
      </c>
      <c r="JH26" s="40" t="str">
        <f t="shared" si="109"/>
        <v/>
      </c>
      <c r="JI26" s="40" t="str">
        <f t="shared" si="110"/>
        <v/>
      </c>
      <c r="JJ26" s="40" t="str">
        <f t="shared" si="111"/>
        <v/>
      </c>
      <c r="JK26" s="40" t="str">
        <f t="shared" si="112"/>
        <v/>
      </c>
      <c r="JL26" s="40" t="str">
        <f t="shared" si="113"/>
        <v/>
      </c>
      <c r="JM26" s="40" t="str">
        <f t="shared" si="114"/>
        <v/>
      </c>
      <c r="JN26" s="40" t="str">
        <f t="shared" si="115"/>
        <v/>
      </c>
      <c r="JO26" s="40" t="str">
        <f t="shared" si="116"/>
        <v/>
      </c>
      <c r="JP26" s="40" t="str">
        <f t="shared" si="117"/>
        <v/>
      </c>
      <c r="JQ26" s="40" t="str">
        <f t="shared" si="118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19"/>
        <v/>
      </c>
      <c r="KM26" s="11" t="str">
        <f t="shared" si="120"/>
        <v/>
      </c>
      <c r="KN26" s="11" t="str">
        <f t="shared" si="121"/>
        <v/>
      </c>
      <c r="KO26" s="11" t="str">
        <f t="shared" si="122"/>
        <v/>
      </c>
      <c r="KP26" s="11" t="str">
        <f t="shared" si="123"/>
        <v/>
      </c>
      <c r="KQ26" s="11" t="str">
        <f t="shared" si="124"/>
        <v/>
      </c>
      <c r="KR26" s="11" t="str">
        <f t="shared" si="125"/>
        <v/>
      </c>
      <c r="KS26" s="11" t="str">
        <f t="shared" si="126"/>
        <v/>
      </c>
      <c r="KT26" s="11" t="str">
        <f t="shared" si="127"/>
        <v/>
      </c>
      <c r="KU26" s="11" t="str">
        <f t="shared" si="128"/>
        <v/>
      </c>
      <c r="KV26" s="11" t="str">
        <f t="shared" si="129"/>
        <v/>
      </c>
      <c r="KW26" s="11" t="str">
        <f t="shared" si="130"/>
        <v/>
      </c>
      <c r="KX26" s="11" t="str">
        <f t="shared" si="131"/>
        <v/>
      </c>
      <c r="KY26" s="11" t="str">
        <f t="shared" si="132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3"/>
        <v/>
      </c>
      <c r="LU26" s="40" t="str">
        <f t="shared" si="134"/>
        <v/>
      </c>
      <c r="LV26" s="40" t="str">
        <f t="shared" si="135"/>
        <v/>
      </c>
      <c r="LW26" s="40" t="str">
        <f t="shared" si="136"/>
        <v/>
      </c>
      <c r="LX26" s="40" t="str">
        <f t="shared" si="137"/>
        <v/>
      </c>
      <c r="LY26" s="40" t="str">
        <f t="shared" si="138"/>
        <v/>
      </c>
      <c r="LZ26" s="40" t="str">
        <f t="shared" si="139"/>
        <v/>
      </c>
      <c r="MA26" s="40" t="str">
        <f t="shared" si="140"/>
        <v/>
      </c>
      <c r="MB26" s="40" t="str">
        <f t="shared" si="141"/>
        <v/>
      </c>
      <c r="MC26" s="40" t="str">
        <f t="shared" si="142"/>
        <v/>
      </c>
      <c r="MD26" s="40" t="str">
        <f t="shared" si="143"/>
        <v/>
      </c>
      <c r="ME26" s="40" t="str">
        <f t="shared" si="144"/>
        <v/>
      </c>
      <c r="MF26" s="40" t="str">
        <f t="shared" si="145"/>
        <v/>
      </c>
      <c r="MG26" s="40" t="str">
        <f t="shared" si="146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7"/>
        <v/>
      </c>
      <c r="NC26" s="11" t="str">
        <f t="shared" si="148"/>
        <v/>
      </c>
      <c r="ND26" s="11" t="str">
        <f t="shared" si="149"/>
        <v/>
      </c>
      <c r="NE26" s="11" t="str">
        <f t="shared" si="150"/>
        <v/>
      </c>
      <c r="NF26" s="11" t="str">
        <f t="shared" si="151"/>
        <v/>
      </c>
      <c r="NG26" s="11" t="str">
        <f t="shared" si="152"/>
        <v/>
      </c>
      <c r="NH26" s="11" t="str">
        <f t="shared" si="153"/>
        <v/>
      </c>
      <c r="NI26" s="11" t="str">
        <f t="shared" si="154"/>
        <v/>
      </c>
      <c r="NJ26" s="11" t="str">
        <f t="shared" si="155"/>
        <v/>
      </c>
      <c r="NK26" s="11" t="str">
        <f t="shared" si="156"/>
        <v/>
      </c>
      <c r="NL26" s="11" t="str">
        <f t="shared" si="157"/>
        <v/>
      </c>
      <c r="NM26" s="11" t="str">
        <f t="shared" si="158"/>
        <v/>
      </c>
      <c r="NN26" s="11" t="str">
        <f t="shared" si="159"/>
        <v/>
      </c>
      <c r="NO26" s="11" t="str">
        <f t="shared" si="160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1"/>
        <v/>
      </c>
      <c r="OK26" s="40" t="str">
        <f t="shared" si="162"/>
        <v/>
      </c>
      <c r="OL26" s="40" t="str">
        <f t="shared" si="163"/>
        <v/>
      </c>
      <c r="OM26" s="40" t="str">
        <f t="shared" si="164"/>
        <v/>
      </c>
      <c r="ON26" s="40" t="str">
        <f t="shared" si="165"/>
        <v/>
      </c>
      <c r="OO26" s="40" t="str">
        <f t="shared" si="166"/>
        <v/>
      </c>
      <c r="OP26" s="40" t="str">
        <f t="shared" si="167"/>
        <v/>
      </c>
      <c r="OQ26" s="40" t="str">
        <f t="shared" si="168"/>
        <v/>
      </c>
      <c r="OR26" s="40" t="str">
        <f t="shared" si="169"/>
        <v/>
      </c>
      <c r="OS26" s="40" t="str">
        <f t="shared" si="170"/>
        <v/>
      </c>
      <c r="OT26" s="40" t="str">
        <f t="shared" si="171"/>
        <v/>
      </c>
      <c r="OU26" s="40" t="str">
        <f t="shared" si="172"/>
        <v/>
      </c>
      <c r="OV26" s="40" t="str">
        <f t="shared" si="173"/>
        <v/>
      </c>
      <c r="OW26" s="40" t="str">
        <f t="shared" si="174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5"/>
        <v/>
      </c>
      <c r="PS26" s="11" t="str">
        <f t="shared" si="176"/>
        <v/>
      </c>
      <c r="PT26" s="11" t="str">
        <f t="shared" si="177"/>
        <v/>
      </c>
      <c r="PU26" s="11" t="str">
        <f t="shared" si="178"/>
        <v/>
      </c>
      <c r="PV26" s="11" t="str">
        <f t="shared" si="179"/>
        <v/>
      </c>
      <c r="PW26" s="11" t="str">
        <f t="shared" si="180"/>
        <v/>
      </c>
      <c r="PX26" s="11" t="str">
        <f t="shared" si="181"/>
        <v/>
      </c>
      <c r="PY26" s="11" t="str">
        <f t="shared" si="182"/>
        <v/>
      </c>
      <c r="PZ26" s="11" t="str">
        <f t="shared" si="183"/>
        <v/>
      </c>
      <c r="QA26" s="11" t="str">
        <f t="shared" si="184"/>
        <v/>
      </c>
      <c r="QB26" s="11" t="str">
        <f t="shared" si="185"/>
        <v/>
      </c>
      <c r="QC26" s="11" t="str">
        <f t="shared" si="186"/>
        <v/>
      </c>
      <c r="QD26" s="11" t="str">
        <f t="shared" si="187"/>
        <v/>
      </c>
      <c r="QE26" s="11" t="str">
        <f t="shared" si="188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89"/>
        <v/>
      </c>
      <c r="RA26" s="40" t="str">
        <f t="shared" si="190"/>
        <v/>
      </c>
      <c r="RB26" s="40" t="str">
        <f t="shared" si="191"/>
        <v/>
      </c>
      <c r="RC26" s="40" t="str">
        <f t="shared" si="192"/>
        <v/>
      </c>
      <c r="RD26" s="40" t="str">
        <f t="shared" si="193"/>
        <v/>
      </c>
      <c r="RE26" s="40" t="str">
        <f t="shared" si="194"/>
        <v/>
      </c>
      <c r="RF26" s="40" t="str">
        <f t="shared" si="195"/>
        <v/>
      </c>
      <c r="RG26" s="40" t="str">
        <f t="shared" si="196"/>
        <v/>
      </c>
      <c r="RH26" s="40" t="str">
        <f t="shared" si="197"/>
        <v/>
      </c>
      <c r="RI26" s="40" t="str">
        <f t="shared" si="198"/>
        <v/>
      </c>
      <c r="RJ26" s="40" t="str">
        <f t="shared" si="199"/>
        <v/>
      </c>
      <c r="RK26" s="40" t="str">
        <f t="shared" si="200"/>
        <v/>
      </c>
      <c r="RL26" s="40" t="str">
        <f t="shared" si="201"/>
        <v/>
      </c>
      <c r="RM26" s="40" t="str">
        <f t="shared" si="202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3"/>
        <v/>
      </c>
      <c r="SI26" s="11" t="str">
        <f t="shared" si="204"/>
        <v/>
      </c>
      <c r="SJ26" s="11" t="str">
        <f t="shared" si="205"/>
        <v/>
      </c>
      <c r="SK26" s="11" t="str">
        <f t="shared" si="206"/>
        <v/>
      </c>
      <c r="SL26" s="11" t="str">
        <f t="shared" si="207"/>
        <v/>
      </c>
      <c r="SM26" s="11" t="str">
        <f t="shared" si="208"/>
        <v/>
      </c>
      <c r="SN26" s="11" t="str">
        <f t="shared" si="209"/>
        <v/>
      </c>
      <c r="SO26" s="11" t="str">
        <f t="shared" si="210"/>
        <v/>
      </c>
      <c r="SP26" s="11" t="str">
        <f t="shared" si="211"/>
        <v/>
      </c>
      <c r="SQ26" s="11" t="str">
        <f t="shared" si="212"/>
        <v/>
      </c>
      <c r="SR26" s="11" t="str">
        <f t="shared" si="213"/>
        <v/>
      </c>
      <c r="SS26" s="11" t="str">
        <f t="shared" si="214"/>
        <v/>
      </c>
      <c r="ST26" s="11" t="str">
        <f t="shared" si="215"/>
        <v/>
      </c>
      <c r="SU26" s="11" t="str">
        <f t="shared" si="216"/>
        <v/>
      </c>
      <c r="SV26" s="22">
        <f t="shared" si="217"/>
        <v>5.5</v>
      </c>
      <c r="SW26" s="22">
        <f t="shared" si="218"/>
        <v>3.9</v>
      </c>
      <c r="SX26" s="22">
        <f t="shared" si="219"/>
        <v>3.45</v>
      </c>
      <c r="SY26" s="22">
        <f t="shared" si="220"/>
        <v>5.83</v>
      </c>
      <c r="SZ26" s="22">
        <f t="shared" si="221"/>
        <v>0</v>
      </c>
      <c r="TA26" s="22">
        <f t="shared" si="222"/>
        <v>6.75</v>
      </c>
      <c r="TB26" s="22">
        <f t="shared" si="223"/>
        <v>4.3</v>
      </c>
      <c r="TC26" s="22">
        <f t="shared" si="224"/>
        <v>4.55</v>
      </c>
      <c r="TD26" s="22">
        <f t="shared" si="225"/>
        <v>6.3949999999999996</v>
      </c>
      <c r="TE26" s="22">
        <f t="shared" si="226"/>
        <v>0</v>
      </c>
      <c r="TF26" s="22">
        <f t="shared" si="227"/>
        <v>0</v>
      </c>
      <c r="TG26" s="22">
        <f t="shared" si="228"/>
        <v>0</v>
      </c>
      <c r="TH26" s="22">
        <f t="shared" si="229"/>
        <v>0</v>
      </c>
      <c r="TI26" s="22">
        <f t="shared" si="230"/>
        <v>0</v>
      </c>
      <c r="TJ26" s="22">
        <f t="shared" si="231"/>
        <v>0</v>
      </c>
      <c r="TK26" s="27" t="s">
        <v>46</v>
      </c>
      <c r="TL26" s="40">
        <f t="shared" si="232"/>
        <v>3.45</v>
      </c>
      <c r="TM26" s="40">
        <f t="shared" si="233"/>
        <v>5.83</v>
      </c>
      <c r="TN26" s="40">
        <f t="shared" si="234"/>
        <v>18.68</v>
      </c>
      <c r="TO26" s="40">
        <f t="shared" si="235"/>
        <v>4.55</v>
      </c>
      <c r="TP26" s="40">
        <f t="shared" si="236"/>
        <v>6.3949999999999996</v>
      </c>
      <c r="TQ26" s="40">
        <f t="shared" si="237"/>
        <v>21.995000000000001</v>
      </c>
      <c r="TR26" s="40">
        <f t="shared" si="238"/>
        <v>21.995000000000001</v>
      </c>
      <c r="TS26" s="40" t="str">
        <f t="shared" si="239"/>
        <v/>
      </c>
      <c r="TT26" s="40" t="str">
        <f t="shared" si="240"/>
        <v/>
      </c>
      <c r="TU26" s="40" t="str">
        <f t="shared" si="241"/>
        <v/>
      </c>
      <c r="TV26" s="40">
        <f t="shared" si="242"/>
        <v>21.995000000000001</v>
      </c>
    </row>
    <row r="27" spans="1:542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144</v>
      </c>
      <c r="D27" s="4" t="s">
        <v>31</v>
      </c>
      <c r="E27" s="4">
        <v>2003</v>
      </c>
      <c r="F27" s="9">
        <f t="shared" si="0"/>
        <v>88.220008822003948</v>
      </c>
      <c r="G27" s="66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39.51</v>
      </c>
      <c r="M27" s="8" t="str">
        <f t="shared" si="5"/>
        <v>2023 Elite Canada</v>
      </c>
      <c r="N27" s="8">
        <f>IF(COUNT(AQ27,AT27,BR27,BU27,CS27,CV27)&gt;1,LARGE((AQ27,AT27,BR27,BU27,CS27,CV27),2),0)</f>
        <v>35.08</v>
      </c>
      <c r="O27" s="8" t="str">
        <f t="shared" si="6"/>
        <v>2023 Nationals</v>
      </c>
      <c r="P27" s="8">
        <f>IF(COUNT(AQ27,AT27,BR27,BU27,CS27,CV27)&gt;2,MAX(AX27,BY27,CZ27,LARGE((AQ27,AT27,BR27,BU27,CS27,CV27),3)),IF(MAX(AX27,BY27,CZ27)&gt;0,MAX(AX27,BY27,CZ27),0))</f>
        <v>5.13</v>
      </c>
      <c r="Q27" s="8" t="str">
        <f t="shared" si="7"/>
        <v>2023 Nationals</v>
      </c>
      <c r="R27" s="8">
        <f t="shared" si="8"/>
        <v>8.5</v>
      </c>
      <c r="S27" s="8" t="str">
        <f t="shared" si="9"/>
        <v>2023 Elite Canada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>IF(V27="","",IF(V27=DB27,IF(V27+IF(P27="",0,P27)=SN27,$RN$1,IF(V27+IF(P27="",0,P27)=RF27,$QF$1,IF(V27+IF(P27="",0,P27)=PX27,$OX$1,IF(V27+IF(P27="",0,P27)=OP27,$NP$1,IF(V27+IF(P27="",0,P27)=NH27,$MH$1,IF(V27+IF(P27="",0,P27)=LZ27,$KZ$1,IF(V27+IF(P27="",0,P27)=KR27,$JR$1,IF(V27+IF(P27="",0,P27)=JJ27,$IJ$1,IF(V27+IF(P27="",0,P27)=IB27,$HB$1,IF(V27+IF(P27="",0,P27)=GT27,$FT$1,IF(V27+IF(P27="",0,P27)=FL27,$EL$1,IF(V27+IF(P27="",0,P27)=ED27,$DD$1)))))))))))),IF(V27=DC27,IF(V27+IF(#REF!="",0,#REF!)=ST27,$RN$1,IF(V27+IF(#REF!="",0,#REF!)=RL27,$QF$1,IF(V27+IF(#REF!="",0,#REF!)=QD27,$OX$1,IF(V27+IF(#REF!="",0,#REF!)=OV27,$NP$1,IF(V27+IF(#REF!="",0,#REF!)=NN27,$MH$1,IF(V27+IF(#REF!="",0,#REF!)=MF27,$KZ$1,IF(V27+IF(#REF!="",0,#REF!)=KX27,$JR$1,IF(V27+IF(#REF!="",0,#REF!)=JP27,$IJ$1,IF(V27+IF(#REF!="",0,#REF!)=IH27,$HB$1,IF(V27+IF(#REF!="",0,#REF!)=GZ27,$FT$1,IF(V27+IF(#REF!="",0,#REF!)=FR27,$EL$1,IF(V27+IF(#REF!="",0,#REF!)=EJ27,$DD$1,IF(V27+IF(#REF!="",0,#REF!)=SQ27,$RN$1,IF(V27+IF(#REF!="",0,#REF!)=RI27,$QF$1,IF(V27+IF(#REF!="",0,#REF!)=QA27,$OX$1,IF(V27+IF(#REF!="",0,#REF!)=OS27,$NP$1,IF(V27+IF(#REF!="",0,#REF!)=NK27,$MH$1,IF(V27+IF(#REF!="",0,#REF!)=MC27,$KZ$1,IF(V27+IF(#REF!="",0,#REF!)=KU27,$JR$1,IF(V27+IF(#REF!="",0,#REF!)=JM27,$IJ$1,IF(V27+IF(#REF!="",0,#REF!)=IE27,$HB$1,IF(V27+IF(#REF!="",0,#REF!)=GW27,$FT$1,IF(V27+IF(#REF!="",0,#REF!)=FO27,$EL$1,IF(V27+IF(#REF!="",0,#REF!)=EG27,$DD$1)))))))))))))))))))))))))))</f>
        <v/>
      </c>
      <c r="Y27" s="22">
        <v>1.2</v>
      </c>
      <c r="Z27" s="22">
        <v>0.8</v>
      </c>
      <c r="AA27" s="22">
        <v>1.5</v>
      </c>
      <c r="AB27" s="22">
        <v>1.32</v>
      </c>
      <c r="AC27" s="22">
        <v>0</v>
      </c>
      <c r="AD27" s="22">
        <v>11.6</v>
      </c>
      <c r="AE27" s="22">
        <v>8.3000000000000007</v>
      </c>
      <c r="AF27" s="22">
        <v>8.5</v>
      </c>
      <c r="AG27" s="22">
        <v>11.11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4"/>
        <v>1.5</v>
      </c>
      <c r="AP27" s="38">
        <f t="shared" si="15"/>
        <v>1.32</v>
      </c>
      <c r="AQ27" s="40">
        <f t="shared" si="16"/>
        <v>4.82</v>
      </c>
      <c r="AR27" s="40">
        <f t="shared" si="17"/>
        <v>8.5</v>
      </c>
      <c r="AS27" s="40">
        <f t="shared" si="18"/>
        <v>11.11</v>
      </c>
      <c r="AT27" s="40">
        <f t="shared" si="19"/>
        <v>39.51</v>
      </c>
      <c r="AU27" s="40">
        <f t="shared" si="20"/>
        <v>39.51</v>
      </c>
      <c r="AV27" s="40" t="str">
        <f t="shared" si="21"/>
        <v/>
      </c>
      <c r="AW27" s="40" t="str">
        <f t="shared" si="22"/>
        <v/>
      </c>
      <c r="AX27" s="40" t="str">
        <f t="shared" si="23"/>
        <v/>
      </c>
      <c r="AY27" s="40">
        <f t="shared" si="24"/>
        <v>39.51</v>
      </c>
      <c r="AZ27" s="26">
        <v>10.6</v>
      </c>
      <c r="BA27" s="26">
        <v>6.8</v>
      </c>
      <c r="BB27" s="26">
        <v>7.4</v>
      </c>
      <c r="BC27" s="26">
        <v>10.28</v>
      </c>
      <c r="BD27" s="26">
        <v>0</v>
      </c>
      <c r="BE27" s="26">
        <v>1.4</v>
      </c>
      <c r="BF27" s="26">
        <v>0.9</v>
      </c>
      <c r="BG27" s="26">
        <v>1.5</v>
      </c>
      <c r="BH27" s="26">
        <v>1.33</v>
      </c>
      <c r="BI27" s="26">
        <v>0</v>
      </c>
      <c r="BJ27" s="26"/>
      <c r="BK27" s="26"/>
      <c r="BL27" s="26"/>
      <c r="BM27" s="26"/>
      <c r="BN27" s="26"/>
      <c r="BO27" s="28"/>
      <c r="BP27" s="39">
        <f t="shared" si="25"/>
        <v>7.4</v>
      </c>
      <c r="BQ27" s="39">
        <f t="shared" si="26"/>
        <v>10.28</v>
      </c>
      <c r="BR27" s="11">
        <f t="shared" si="27"/>
        <v>35.08</v>
      </c>
      <c r="BS27" s="11">
        <f t="shared" si="28"/>
        <v>1.5</v>
      </c>
      <c r="BT27" s="11">
        <f t="shared" si="29"/>
        <v>1.33</v>
      </c>
      <c r="BU27" s="11">
        <f t="shared" si="30"/>
        <v>5.13</v>
      </c>
      <c r="BV27" s="11">
        <f t="shared" si="31"/>
        <v>35.08</v>
      </c>
      <c r="BW27" s="11" t="str">
        <f t="shared" si="32"/>
        <v/>
      </c>
      <c r="BX27" s="11" t="str">
        <f t="shared" si="33"/>
        <v/>
      </c>
      <c r="BY27" s="11" t="str">
        <f t="shared" si="34"/>
        <v/>
      </c>
      <c r="BZ27" s="11">
        <f t="shared" si="35"/>
        <v>35.08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6"/>
        <v/>
      </c>
      <c r="CR27" s="38" t="str">
        <f t="shared" si="37"/>
        <v/>
      </c>
      <c r="CS27" s="40" t="str">
        <f t="shared" si="38"/>
        <v/>
      </c>
      <c r="CT27" s="40" t="str">
        <f t="shared" si="39"/>
        <v/>
      </c>
      <c r="CU27" s="40" t="str">
        <f t="shared" si="40"/>
        <v/>
      </c>
      <c r="CV27" s="40" t="str">
        <f t="shared" si="41"/>
        <v/>
      </c>
      <c r="CW27" s="40" t="str">
        <f t="shared" si="42"/>
        <v/>
      </c>
      <c r="CX27" s="40" t="str">
        <f t="shared" si="43"/>
        <v/>
      </c>
      <c r="CY27" s="40" t="str">
        <f t="shared" si="44"/>
        <v/>
      </c>
      <c r="CZ27" s="40" t="str">
        <f t="shared" si="45"/>
        <v/>
      </c>
      <c r="DA27" s="40" t="str">
        <f t="shared" si="46"/>
        <v/>
      </c>
      <c r="DB27" s="50" t="str">
        <f t="shared" si="47"/>
        <v/>
      </c>
      <c r="DC27" s="50" t="str">
        <f t="shared" si="48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49"/>
        <v/>
      </c>
      <c r="DY27" s="40" t="str">
        <f t="shared" si="50"/>
        <v/>
      </c>
      <c r="DZ27" s="40" t="str">
        <f t="shared" si="51"/>
        <v/>
      </c>
      <c r="EA27" s="40" t="str">
        <f t="shared" si="52"/>
        <v/>
      </c>
      <c r="EB27" s="40" t="str">
        <f t="shared" si="53"/>
        <v/>
      </c>
      <c r="EC27" s="40" t="str">
        <f t="shared" si="54"/>
        <v/>
      </c>
      <c r="ED27" s="40" t="str">
        <f t="shared" si="55"/>
        <v/>
      </c>
      <c r="EE27" s="40" t="str">
        <f t="shared" si="56"/>
        <v/>
      </c>
      <c r="EF27" s="40" t="str">
        <f t="shared" si="57"/>
        <v/>
      </c>
      <c r="EG27" s="40" t="str">
        <f t="shared" si="58"/>
        <v/>
      </c>
      <c r="EH27" s="40" t="str">
        <f t="shared" si="59"/>
        <v/>
      </c>
      <c r="EI27" s="40" t="str">
        <f t="shared" si="60"/>
        <v/>
      </c>
      <c r="EJ27" s="40" t="str">
        <f t="shared" si="61"/>
        <v/>
      </c>
      <c r="EK27" s="40" t="str">
        <f t="shared" si="62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3"/>
        <v/>
      </c>
      <c r="FG27" s="11" t="str">
        <f t="shared" si="64"/>
        <v/>
      </c>
      <c r="FH27" s="11" t="str">
        <f t="shared" si="65"/>
        <v/>
      </c>
      <c r="FI27" s="11" t="str">
        <f t="shared" si="66"/>
        <v/>
      </c>
      <c r="FJ27" s="11" t="str">
        <f t="shared" si="67"/>
        <v/>
      </c>
      <c r="FK27" s="11" t="str">
        <f t="shared" si="68"/>
        <v/>
      </c>
      <c r="FL27" s="11" t="str">
        <f t="shared" si="69"/>
        <v/>
      </c>
      <c r="FM27" s="11" t="str">
        <f t="shared" si="70"/>
        <v/>
      </c>
      <c r="FN27" s="11" t="str">
        <f t="shared" si="71"/>
        <v/>
      </c>
      <c r="FO27" s="11" t="str">
        <f t="shared" si="72"/>
        <v/>
      </c>
      <c r="FP27" s="11" t="str">
        <f t="shared" si="73"/>
        <v/>
      </c>
      <c r="FQ27" s="11" t="str">
        <f t="shared" si="74"/>
        <v/>
      </c>
      <c r="FR27" s="11" t="str">
        <f t="shared" si="75"/>
        <v/>
      </c>
      <c r="FS27" s="11" t="str">
        <f t="shared" si="76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7"/>
        <v/>
      </c>
      <c r="GO27" s="40" t="str">
        <f t="shared" si="78"/>
        <v/>
      </c>
      <c r="GP27" s="40" t="str">
        <f t="shared" si="79"/>
        <v/>
      </c>
      <c r="GQ27" s="40" t="str">
        <f t="shared" si="80"/>
        <v/>
      </c>
      <c r="GR27" s="40" t="str">
        <f t="shared" si="81"/>
        <v/>
      </c>
      <c r="GS27" s="40" t="str">
        <f t="shared" si="82"/>
        <v/>
      </c>
      <c r="GT27" s="40" t="str">
        <f t="shared" si="83"/>
        <v/>
      </c>
      <c r="GU27" s="40" t="str">
        <f t="shared" si="84"/>
        <v/>
      </c>
      <c r="GV27" s="40" t="str">
        <f t="shared" si="85"/>
        <v/>
      </c>
      <c r="GW27" s="40" t="str">
        <f t="shared" si="86"/>
        <v/>
      </c>
      <c r="GX27" s="40" t="str">
        <f t="shared" si="87"/>
        <v/>
      </c>
      <c r="GY27" s="40" t="str">
        <f t="shared" si="88"/>
        <v/>
      </c>
      <c r="GZ27" s="40" t="str">
        <f t="shared" si="89"/>
        <v/>
      </c>
      <c r="HA27" s="40" t="str">
        <f t="shared" si="90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1"/>
        <v/>
      </c>
      <c r="HW27" s="11" t="str">
        <f t="shared" si="92"/>
        <v/>
      </c>
      <c r="HX27" s="11" t="str">
        <f t="shared" si="93"/>
        <v/>
      </c>
      <c r="HY27" s="11" t="str">
        <f t="shared" si="94"/>
        <v/>
      </c>
      <c r="HZ27" s="11" t="str">
        <f t="shared" si="95"/>
        <v/>
      </c>
      <c r="IA27" s="11" t="str">
        <f t="shared" si="96"/>
        <v/>
      </c>
      <c r="IB27" s="11" t="str">
        <f t="shared" si="97"/>
        <v/>
      </c>
      <c r="IC27" s="11" t="str">
        <f t="shared" si="98"/>
        <v/>
      </c>
      <c r="ID27" s="11" t="str">
        <f t="shared" si="99"/>
        <v/>
      </c>
      <c r="IE27" s="11" t="str">
        <f t="shared" si="100"/>
        <v/>
      </c>
      <c r="IF27" s="11" t="str">
        <f t="shared" si="101"/>
        <v/>
      </c>
      <c r="IG27" s="11" t="str">
        <f t="shared" si="102"/>
        <v/>
      </c>
      <c r="IH27" s="11" t="str">
        <f t="shared" si="103"/>
        <v/>
      </c>
      <c r="II27" s="11" t="str">
        <f t="shared" si="104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5"/>
        <v/>
      </c>
      <c r="JE27" s="40" t="str">
        <f t="shared" si="106"/>
        <v/>
      </c>
      <c r="JF27" s="40" t="str">
        <f t="shared" si="107"/>
        <v/>
      </c>
      <c r="JG27" s="40" t="str">
        <f t="shared" si="108"/>
        <v/>
      </c>
      <c r="JH27" s="40" t="str">
        <f t="shared" si="109"/>
        <v/>
      </c>
      <c r="JI27" s="40" t="str">
        <f t="shared" si="110"/>
        <v/>
      </c>
      <c r="JJ27" s="40" t="str">
        <f t="shared" si="111"/>
        <v/>
      </c>
      <c r="JK27" s="40" t="str">
        <f t="shared" si="112"/>
        <v/>
      </c>
      <c r="JL27" s="40" t="str">
        <f t="shared" si="113"/>
        <v/>
      </c>
      <c r="JM27" s="40" t="str">
        <f t="shared" si="114"/>
        <v/>
      </c>
      <c r="JN27" s="40" t="str">
        <f t="shared" si="115"/>
        <v/>
      </c>
      <c r="JO27" s="40" t="str">
        <f t="shared" si="116"/>
        <v/>
      </c>
      <c r="JP27" s="40" t="str">
        <f t="shared" si="117"/>
        <v/>
      </c>
      <c r="JQ27" s="40" t="str">
        <f t="shared" si="118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19"/>
        <v/>
      </c>
      <c r="KM27" s="11" t="str">
        <f t="shared" si="120"/>
        <v/>
      </c>
      <c r="KN27" s="11" t="str">
        <f t="shared" si="121"/>
        <v/>
      </c>
      <c r="KO27" s="11" t="str">
        <f t="shared" si="122"/>
        <v/>
      </c>
      <c r="KP27" s="11" t="str">
        <f t="shared" si="123"/>
        <v/>
      </c>
      <c r="KQ27" s="11" t="str">
        <f t="shared" si="124"/>
        <v/>
      </c>
      <c r="KR27" s="11" t="str">
        <f t="shared" si="125"/>
        <v/>
      </c>
      <c r="KS27" s="11" t="str">
        <f t="shared" si="126"/>
        <v/>
      </c>
      <c r="KT27" s="11" t="str">
        <f t="shared" si="127"/>
        <v/>
      </c>
      <c r="KU27" s="11" t="str">
        <f t="shared" si="128"/>
        <v/>
      </c>
      <c r="KV27" s="11" t="str">
        <f t="shared" si="129"/>
        <v/>
      </c>
      <c r="KW27" s="11" t="str">
        <f t="shared" si="130"/>
        <v/>
      </c>
      <c r="KX27" s="11" t="str">
        <f t="shared" si="131"/>
        <v/>
      </c>
      <c r="KY27" s="11" t="str">
        <f t="shared" si="132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3"/>
        <v/>
      </c>
      <c r="LU27" s="40" t="str">
        <f t="shared" si="134"/>
        <v/>
      </c>
      <c r="LV27" s="40" t="str">
        <f t="shared" si="135"/>
        <v/>
      </c>
      <c r="LW27" s="40" t="str">
        <f t="shared" si="136"/>
        <v/>
      </c>
      <c r="LX27" s="40" t="str">
        <f t="shared" si="137"/>
        <v/>
      </c>
      <c r="LY27" s="40" t="str">
        <f t="shared" si="138"/>
        <v/>
      </c>
      <c r="LZ27" s="40" t="str">
        <f t="shared" si="139"/>
        <v/>
      </c>
      <c r="MA27" s="40" t="str">
        <f t="shared" si="140"/>
        <v/>
      </c>
      <c r="MB27" s="40" t="str">
        <f t="shared" si="141"/>
        <v/>
      </c>
      <c r="MC27" s="40" t="str">
        <f t="shared" si="142"/>
        <v/>
      </c>
      <c r="MD27" s="40" t="str">
        <f t="shared" si="143"/>
        <v/>
      </c>
      <c r="ME27" s="40" t="str">
        <f t="shared" si="144"/>
        <v/>
      </c>
      <c r="MF27" s="40" t="str">
        <f t="shared" si="145"/>
        <v/>
      </c>
      <c r="MG27" s="40" t="str">
        <f t="shared" si="146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7"/>
        <v/>
      </c>
      <c r="NC27" s="11" t="str">
        <f t="shared" si="148"/>
        <v/>
      </c>
      <c r="ND27" s="11" t="str">
        <f t="shared" si="149"/>
        <v/>
      </c>
      <c r="NE27" s="11" t="str">
        <f t="shared" si="150"/>
        <v/>
      </c>
      <c r="NF27" s="11" t="str">
        <f t="shared" si="151"/>
        <v/>
      </c>
      <c r="NG27" s="11" t="str">
        <f t="shared" si="152"/>
        <v/>
      </c>
      <c r="NH27" s="11" t="str">
        <f t="shared" si="153"/>
        <v/>
      </c>
      <c r="NI27" s="11" t="str">
        <f t="shared" si="154"/>
        <v/>
      </c>
      <c r="NJ27" s="11" t="str">
        <f t="shared" si="155"/>
        <v/>
      </c>
      <c r="NK27" s="11" t="str">
        <f t="shared" si="156"/>
        <v/>
      </c>
      <c r="NL27" s="11" t="str">
        <f t="shared" si="157"/>
        <v/>
      </c>
      <c r="NM27" s="11" t="str">
        <f t="shared" si="158"/>
        <v/>
      </c>
      <c r="NN27" s="11" t="str">
        <f t="shared" si="159"/>
        <v/>
      </c>
      <c r="NO27" s="11" t="str">
        <f t="shared" si="160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1"/>
        <v/>
      </c>
      <c r="OK27" s="40" t="str">
        <f t="shared" si="162"/>
        <v/>
      </c>
      <c r="OL27" s="40" t="str">
        <f t="shared" si="163"/>
        <v/>
      </c>
      <c r="OM27" s="40" t="str">
        <f t="shared" si="164"/>
        <v/>
      </c>
      <c r="ON27" s="40" t="str">
        <f t="shared" si="165"/>
        <v/>
      </c>
      <c r="OO27" s="40" t="str">
        <f t="shared" si="166"/>
        <v/>
      </c>
      <c r="OP27" s="40" t="str">
        <f t="shared" si="167"/>
        <v/>
      </c>
      <c r="OQ27" s="40" t="str">
        <f t="shared" si="168"/>
        <v/>
      </c>
      <c r="OR27" s="40" t="str">
        <f t="shared" si="169"/>
        <v/>
      </c>
      <c r="OS27" s="40" t="str">
        <f t="shared" si="170"/>
        <v/>
      </c>
      <c r="OT27" s="40" t="str">
        <f t="shared" si="171"/>
        <v/>
      </c>
      <c r="OU27" s="40" t="str">
        <f t="shared" si="172"/>
        <v/>
      </c>
      <c r="OV27" s="40" t="str">
        <f t="shared" si="173"/>
        <v/>
      </c>
      <c r="OW27" s="40" t="str">
        <f t="shared" si="174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5"/>
        <v/>
      </c>
      <c r="PS27" s="11" t="str">
        <f t="shared" si="176"/>
        <v/>
      </c>
      <c r="PT27" s="11" t="str">
        <f t="shared" si="177"/>
        <v/>
      </c>
      <c r="PU27" s="11" t="str">
        <f t="shared" si="178"/>
        <v/>
      </c>
      <c r="PV27" s="11" t="str">
        <f t="shared" si="179"/>
        <v/>
      </c>
      <c r="PW27" s="11" t="str">
        <f t="shared" si="180"/>
        <v/>
      </c>
      <c r="PX27" s="11" t="str">
        <f t="shared" si="181"/>
        <v/>
      </c>
      <c r="PY27" s="11" t="str">
        <f t="shared" si="182"/>
        <v/>
      </c>
      <c r="PZ27" s="11" t="str">
        <f t="shared" si="183"/>
        <v/>
      </c>
      <c r="QA27" s="11" t="str">
        <f t="shared" si="184"/>
        <v/>
      </c>
      <c r="QB27" s="11" t="str">
        <f t="shared" si="185"/>
        <v/>
      </c>
      <c r="QC27" s="11" t="str">
        <f t="shared" si="186"/>
        <v/>
      </c>
      <c r="QD27" s="11" t="str">
        <f t="shared" si="187"/>
        <v/>
      </c>
      <c r="QE27" s="11" t="str">
        <f t="shared" si="188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89"/>
        <v/>
      </c>
      <c r="RA27" s="40" t="str">
        <f t="shared" si="190"/>
        <v/>
      </c>
      <c r="RB27" s="40" t="str">
        <f t="shared" si="191"/>
        <v/>
      </c>
      <c r="RC27" s="40" t="str">
        <f t="shared" si="192"/>
        <v/>
      </c>
      <c r="RD27" s="40" t="str">
        <f t="shared" si="193"/>
        <v/>
      </c>
      <c r="RE27" s="40" t="str">
        <f t="shared" si="194"/>
        <v/>
      </c>
      <c r="RF27" s="40" t="str">
        <f t="shared" si="195"/>
        <v/>
      </c>
      <c r="RG27" s="40" t="str">
        <f t="shared" si="196"/>
        <v/>
      </c>
      <c r="RH27" s="40" t="str">
        <f t="shared" si="197"/>
        <v/>
      </c>
      <c r="RI27" s="40" t="str">
        <f t="shared" si="198"/>
        <v/>
      </c>
      <c r="RJ27" s="40" t="str">
        <f t="shared" si="199"/>
        <v/>
      </c>
      <c r="RK27" s="40" t="str">
        <f t="shared" si="200"/>
        <v/>
      </c>
      <c r="RL27" s="40" t="str">
        <f t="shared" si="201"/>
        <v/>
      </c>
      <c r="RM27" s="40" t="str">
        <f t="shared" si="202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3"/>
        <v/>
      </c>
      <c r="SI27" s="11" t="str">
        <f t="shared" si="204"/>
        <v/>
      </c>
      <c r="SJ27" s="11" t="str">
        <f t="shared" si="205"/>
        <v/>
      </c>
      <c r="SK27" s="11" t="str">
        <f t="shared" si="206"/>
        <v/>
      </c>
      <c r="SL27" s="11" t="str">
        <f t="shared" si="207"/>
        <v/>
      </c>
      <c r="SM27" s="11" t="str">
        <f t="shared" si="208"/>
        <v/>
      </c>
      <c r="SN27" s="11" t="str">
        <f t="shared" si="209"/>
        <v/>
      </c>
      <c r="SO27" s="11" t="str">
        <f t="shared" si="210"/>
        <v/>
      </c>
      <c r="SP27" s="11" t="str">
        <f t="shared" si="211"/>
        <v/>
      </c>
      <c r="SQ27" s="11" t="str">
        <f t="shared" si="212"/>
        <v/>
      </c>
      <c r="SR27" s="11" t="str">
        <f t="shared" si="213"/>
        <v/>
      </c>
      <c r="SS27" s="11" t="str">
        <f t="shared" si="214"/>
        <v/>
      </c>
      <c r="ST27" s="11" t="str">
        <f t="shared" si="215"/>
        <v/>
      </c>
      <c r="SU27" s="11" t="str">
        <f t="shared" si="216"/>
        <v/>
      </c>
      <c r="SV27" s="22">
        <f t="shared" si="217"/>
        <v>5.3</v>
      </c>
      <c r="SW27" s="22">
        <f t="shared" si="218"/>
        <v>3.4</v>
      </c>
      <c r="SX27" s="22">
        <f t="shared" si="219"/>
        <v>3.7</v>
      </c>
      <c r="SY27" s="22">
        <f t="shared" si="220"/>
        <v>5.14</v>
      </c>
      <c r="SZ27" s="22">
        <f t="shared" si="221"/>
        <v>0</v>
      </c>
      <c r="TA27" s="22">
        <f t="shared" si="222"/>
        <v>0.7</v>
      </c>
      <c r="TB27" s="22">
        <f t="shared" si="223"/>
        <v>0.45</v>
      </c>
      <c r="TC27" s="22">
        <f t="shared" si="224"/>
        <v>0.75</v>
      </c>
      <c r="TD27" s="22">
        <f t="shared" si="225"/>
        <v>0.66500000000000004</v>
      </c>
      <c r="TE27" s="22">
        <f t="shared" si="226"/>
        <v>0</v>
      </c>
      <c r="TF27" s="22">
        <f t="shared" si="227"/>
        <v>0</v>
      </c>
      <c r="TG27" s="22">
        <f t="shared" si="228"/>
        <v>0</v>
      </c>
      <c r="TH27" s="22">
        <f t="shared" si="229"/>
        <v>0</v>
      </c>
      <c r="TI27" s="22">
        <f t="shared" si="230"/>
        <v>0</v>
      </c>
      <c r="TJ27" s="22">
        <f t="shared" si="231"/>
        <v>0</v>
      </c>
      <c r="TK27" s="27" t="s">
        <v>46</v>
      </c>
      <c r="TL27" s="40">
        <f t="shared" si="232"/>
        <v>3.7</v>
      </c>
      <c r="TM27" s="40">
        <f t="shared" si="233"/>
        <v>5.14</v>
      </c>
      <c r="TN27" s="40">
        <f t="shared" si="234"/>
        <v>17.54</v>
      </c>
      <c r="TO27" s="40">
        <f t="shared" si="235"/>
        <v>0.75</v>
      </c>
      <c r="TP27" s="40">
        <f t="shared" si="236"/>
        <v>0.66500000000000004</v>
      </c>
      <c r="TQ27" s="40">
        <f t="shared" si="237"/>
        <v>2.5649999999999999</v>
      </c>
      <c r="TR27" s="40">
        <f t="shared" si="238"/>
        <v>17.54</v>
      </c>
      <c r="TS27" s="40" t="str">
        <f t="shared" si="239"/>
        <v/>
      </c>
      <c r="TT27" s="40" t="str">
        <f t="shared" si="240"/>
        <v/>
      </c>
      <c r="TU27" s="40" t="str">
        <f t="shared" si="241"/>
        <v/>
      </c>
      <c r="TV27" s="40">
        <f t="shared" si="242"/>
        <v>17.54</v>
      </c>
    </row>
    <row r="28" spans="1:542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142</v>
      </c>
      <c r="D28" s="4" t="s">
        <v>3</v>
      </c>
      <c r="E28" s="4">
        <v>2005</v>
      </c>
      <c r="F28" s="9">
        <f t="shared" si="0"/>
        <v>82.78000827800382</v>
      </c>
      <c r="G28" s="66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38.299999999999997</v>
      </c>
      <c r="M28" s="8" t="str">
        <f t="shared" si="5"/>
        <v>2023 Elite Canada</v>
      </c>
      <c r="N28" s="8">
        <f>IF(COUNT(AQ28,AT28,BR28,BU28,CS28,CV28)&gt;1,LARGE((AQ28,AT28,BR28,BU28,CS28,CV28),2),0)</f>
        <v>36.68</v>
      </c>
      <c r="O28" s="8" t="str">
        <f t="shared" si="6"/>
        <v>2023 Elite Canada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 t="shared" si="7"/>
        <v/>
      </c>
      <c r="R28" s="8">
        <f t="shared" si="8"/>
        <v>7.8</v>
      </c>
      <c r="S28" s="8" t="str">
        <f t="shared" si="9"/>
        <v>2023 Elite Canada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>IF(V28="","",IF(V28=DB28,IF(V28+IF(P28="",0,P28)=SN28,$RN$1,IF(V28+IF(P28="",0,P28)=RF28,$QF$1,IF(V28+IF(P28="",0,P28)=PX28,$OX$1,IF(V28+IF(P28="",0,P28)=OP28,$NP$1,IF(V28+IF(P28="",0,P28)=NH28,$MH$1,IF(V28+IF(P28="",0,P28)=LZ28,$KZ$1,IF(V28+IF(P28="",0,P28)=KR28,$JR$1,IF(V28+IF(P28="",0,P28)=JJ28,$IJ$1,IF(V28+IF(P28="",0,P28)=IB28,$HB$1,IF(V28+IF(P28="",0,P28)=GT28,$FT$1,IF(V28+IF(P28="",0,P28)=FL28,$EL$1,IF(V28+IF(P28="",0,P28)=ED28,$DD$1)))))))))))),IF(V28=DC28,IF(V28+IF(#REF!="",0,#REF!)=ST28,$RN$1,IF(V28+IF(#REF!="",0,#REF!)=RL28,$QF$1,IF(V28+IF(#REF!="",0,#REF!)=QD28,$OX$1,IF(V28+IF(#REF!="",0,#REF!)=OV28,$NP$1,IF(V28+IF(#REF!="",0,#REF!)=NN28,$MH$1,IF(V28+IF(#REF!="",0,#REF!)=MF28,$KZ$1,IF(V28+IF(#REF!="",0,#REF!)=KX28,$JR$1,IF(V28+IF(#REF!="",0,#REF!)=JP28,$IJ$1,IF(V28+IF(#REF!="",0,#REF!)=IH28,$HB$1,IF(V28+IF(#REF!="",0,#REF!)=GZ28,$FT$1,IF(V28+IF(#REF!="",0,#REF!)=FR28,$EL$1,IF(V28+IF(#REF!="",0,#REF!)=EJ28,$DD$1,IF(V28+IF(#REF!="",0,#REF!)=SQ28,$RN$1,IF(V28+IF(#REF!="",0,#REF!)=RI28,$QF$1,IF(V28+IF(#REF!="",0,#REF!)=QA28,$OX$1,IF(V28+IF(#REF!="",0,#REF!)=OS28,$NP$1,IF(V28+IF(#REF!="",0,#REF!)=NK28,$MH$1,IF(V28+IF(#REF!="",0,#REF!)=MC28,$KZ$1,IF(V28+IF(#REF!="",0,#REF!)=KU28,$JR$1,IF(V28+IF(#REF!="",0,#REF!)=JM28,$IJ$1,IF(V28+IF(#REF!="",0,#REF!)=IE28,$HB$1,IF(V28+IF(#REF!="",0,#REF!)=GW28,$FT$1,IF(V28+IF(#REF!="",0,#REF!)=FO28,$EL$1,IF(V28+IF(#REF!="",0,#REF!)=EG28,$DD$1)))))))))))))))))))))))))))</f>
        <v/>
      </c>
      <c r="Y28" s="22">
        <v>11.4</v>
      </c>
      <c r="Z28" s="22">
        <v>8.1</v>
      </c>
      <c r="AA28" s="22">
        <v>7.8</v>
      </c>
      <c r="AB28" s="22">
        <v>11</v>
      </c>
      <c r="AC28" s="22">
        <v>0</v>
      </c>
      <c r="AD28" s="22">
        <v>11.8</v>
      </c>
      <c r="AE28" s="22">
        <v>8.6999999999999993</v>
      </c>
      <c r="AF28" s="22">
        <v>6.6</v>
      </c>
      <c r="AG28" s="22">
        <v>11.78</v>
      </c>
      <c r="AH28" s="22">
        <v>2.2000000000000002</v>
      </c>
      <c r="AI28" s="22"/>
      <c r="AJ28" s="22"/>
      <c r="AK28" s="22"/>
      <c r="AL28" s="22"/>
      <c r="AM28" s="22"/>
      <c r="AN28" s="27"/>
      <c r="AO28" s="38">
        <f t="shared" si="14"/>
        <v>7.8</v>
      </c>
      <c r="AP28" s="38">
        <f t="shared" si="15"/>
        <v>11</v>
      </c>
      <c r="AQ28" s="40">
        <f t="shared" si="16"/>
        <v>38.299999999999997</v>
      </c>
      <c r="AR28" s="40">
        <f t="shared" si="17"/>
        <v>6.6</v>
      </c>
      <c r="AS28" s="40">
        <f t="shared" si="18"/>
        <v>11.78</v>
      </c>
      <c r="AT28" s="40">
        <f t="shared" si="19"/>
        <v>36.68</v>
      </c>
      <c r="AU28" s="40">
        <f t="shared" si="20"/>
        <v>38.299999999999997</v>
      </c>
      <c r="AV28" s="40" t="str">
        <f t="shared" si="21"/>
        <v/>
      </c>
      <c r="AW28" s="40" t="str">
        <f t="shared" si="22"/>
        <v/>
      </c>
      <c r="AX28" s="40" t="str">
        <f t="shared" si="23"/>
        <v/>
      </c>
      <c r="AY28" s="40">
        <f t="shared" si="24"/>
        <v>38.299999999999997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5"/>
        <v/>
      </c>
      <c r="BQ28" s="39" t="str">
        <f t="shared" si="26"/>
        <v/>
      </c>
      <c r="BR28" s="11" t="str">
        <f t="shared" si="27"/>
        <v/>
      </c>
      <c r="BS28" s="11" t="str">
        <f t="shared" si="28"/>
        <v/>
      </c>
      <c r="BT28" s="11" t="str">
        <f t="shared" si="29"/>
        <v/>
      </c>
      <c r="BU28" s="11" t="str">
        <f t="shared" si="30"/>
        <v/>
      </c>
      <c r="BV28" s="11" t="str">
        <f t="shared" si="31"/>
        <v/>
      </c>
      <c r="BW28" s="11" t="str">
        <f t="shared" si="32"/>
        <v/>
      </c>
      <c r="BX28" s="11" t="str">
        <f t="shared" si="33"/>
        <v/>
      </c>
      <c r="BY28" s="11" t="str">
        <f t="shared" si="34"/>
        <v/>
      </c>
      <c r="BZ28" s="11" t="str">
        <f t="shared" si="35"/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6"/>
        <v/>
      </c>
      <c r="CR28" s="38" t="str">
        <f t="shared" si="37"/>
        <v/>
      </c>
      <c r="CS28" s="40" t="str">
        <f t="shared" si="38"/>
        <v/>
      </c>
      <c r="CT28" s="40" t="str">
        <f t="shared" si="39"/>
        <v/>
      </c>
      <c r="CU28" s="40" t="str">
        <f t="shared" si="40"/>
        <v/>
      </c>
      <c r="CV28" s="40" t="str">
        <f t="shared" si="41"/>
        <v/>
      </c>
      <c r="CW28" s="40" t="str">
        <f t="shared" si="42"/>
        <v/>
      </c>
      <c r="CX28" s="40" t="str">
        <f t="shared" si="43"/>
        <v/>
      </c>
      <c r="CY28" s="40" t="str">
        <f t="shared" si="44"/>
        <v/>
      </c>
      <c r="CZ28" s="40" t="str">
        <f t="shared" si="45"/>
        <v/>
      </c>
      <c r="DA28" s="40" t="str">
        <f t="shared" si="46"/>
        <v/>
      </c>
      <c r="DB28" s="50" t="str">
        <f t="shared" si="47"/>
        <v/>
      </c>
      <c r="DC28" s="50" t="str">
        <f t="shared" si="48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49"/>
        <v/>
      </c>
      <c r="DY28" s="40" t="str">
        <f t="shared" si="50"/>
        <v/>
      </c>
      <c r="DZ28" s="40" t="str">
        <f t="shared" si="51"/>
        <v/>
      </c>
      <c r="EA28" s="40" t="str">
        <f t="shared" si="52"/>
        <v/>
      </c>
      <c r="EB28" s="40" t="str">
        <f t="shared" si="53"/>
        <v/>
      </c>
      <c r="EC28" s="40" t="str">
        <f t="shared" si="54"/>
        <v/>
      </c>
      <c r="ED28" s="40" t="str">
        <f t="shared" si="55"/>
        <v/>
      </c>
      <c r="EE28" s="40" t="str">
        <f t="shared" si="56"/>
        <v/>
      </c>
      <c r="EF28" s="40" t="str">
        <f t="shared" si="57"/>
        <v/>
      </c>
      <c r="EG28" s="40" t="str">
        <f t="shared" si="58"/>
        <v/>
      </c>
      <c r="EH28" s="40" t="str">
        <f t="shared" si="59"/>
        <v/>
      </c>
      <c r="EI28" s="40" t="str">
        <f t="shared" si="60"/>
        <v/>
      </c>
      <c r="EJ28" s="40" t="str">
        <f t="shared" si="61"/>
        <v/>
      </c>
      <c r="EK28" s="40" t="str">
        <f t="shared" si="62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3"/>
        <v/>
      </c>
      <c r="FG28" s="11" t="str">
        <f t="shared" si="64"/>
        <v/>
      </c>
      <c r="FH28" s="11" t="str">
        <f t="shared" si="65"/>
        <v/>
      </c>
      <c r="FI28" s="11" t="str">
        <f t="shared" si="66"/>
        <v/>
      </c>
      <c r="FJ28" s="11" t="str">
        <f t="shared" si="67"/>
        <v/>
      </c>
      <c r="FK28" s="11" t="str">
        <f t="shared" si="68"/>
        <v/>
      </c>
      <c r="FL28" s="11" t="str">
        <f t="shared" si="69"/>
        <v/>
      </c>
      <c r="FM28" s="11" t="str">
        <f t="shared" si="70"/>
        <v/>
      </c>
      <c r="FN28" s="11" t="str">
        <f t="shared" si="71"/>
        <v/>
      </c>
      <c r="FO28" s="11" t="str">
        <f t="shared" si="72"/>
        <v/>
      </c>
      <c r="FP28" s="11" t="str">
        <f t="shared" si="73"/>
        <v/>
      </c>
      <c r="FQ28" s="11" t="str">
        <f t="shared" si="74"/>
        <v/>
      </c>
      <c r="FR28" s="11" t="str">
        <f t="shared" si="75"/>
        <v/>
      </c>
      <c r="FS28" s="11" t="str">
        <f t="shared" si="76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7"/>
        <v/>
      </c>
      <c r="GO28" s="40" t="str">
        <f t="shared" si="78"/>
        <v/>
      </c>
      <c r="GP28" s="40" t="str">
        <f t="shared" si="79"/>
        <v/>
      </c>
      <c r="GQ28" s="40" t="str">
        <f t="shared" si="80"/>
        <v/>
      </c>
      <c r="GR28" s="40" t="str">
        <f t="shared" si="81"/>
        <v/>
      </c>
      <c r="GS28" s="40" t="str">
        <f t="shared" si="82"/>
        <v/>
      </c>
      <c r="GT28" s="40" t="str">
        <f t="shared" si="83"/>
        <v/>
      </c>
      <c r="GU28" s="40" t="str">
        <f t="shared" si="84"/>
        <v/>
      </c>
      <c r="GV28" s="40" t="str">
        <f t="shared" si="85"/>
        <v/>
      </c>
      <c r="GW28" s="40" t="str">
        <f t="shared" si="86"/>
        <v/>
      </c>
      <c r="GX28" s="40" t="str">
        <f t="shared" si="87"/>
        <v/>
      </c>
      <c r="GY28" s="40" t="str">
        <f t="shared" si="88"/>
        <v/>
      </c>
      <c r="GZ28" s="40" t="str">
        <f t="shared" si="89"/>
        <v/>
      </c>
      <c r="HA28" s="40" t="str">
        <f t="shared" si="90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1"/>
        <v/>
      </c>
      <c r="HW28" s="11" t="str">
        <f t="shared" si="92"/>
        <v/>
      </c>
      <c r="HX28" s="11" t="str">
        <f t="shared" si="93"/>
        <v/>
      </c>
      <c r="HY28" s="11" t="str">
        <f t="shared" si="94"/>
        <v/>
      </c>
      <c r="HZ28" s="11" t="str">
        <f t="shared" si="95"/>
        <v/>
      </c>
      <c r="IA28" s="11" t="str">
        <f t="shared" si="96"/>
        <v/>
      </c>
      <c r="IB28" s="11" t="str">
        <f t="shared" si="97"/>
        <v/>
      </c>
      <c r="IC28" s="11" t="str">
        <f t="shared" si="98"/>
        <v/>
      </c>
      <c r="ID28" s="11" t="str">
        <f t="shared" si="99"/>
        <v/>
      </c>
      <c r="IE28" s="11" t="str">
        <f t="shared" si="100"/>
        <v/>
      </c>
      <c r="IF28" s="11" t="str">
        <f t="shared" si="101"/>
        <v/>
      </c>
      <c r="IG28" s="11" t="str">
        <f t="shared" si="102"/>
        <v/>
      </c>
      <c r="IH28" s="11" t="str">
        <f t="shared" si="103"/>
        <v/>
      </c>
      <c r="II28" s="11" t="str">
        <f t="shared" si="104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5"/>
        <v/>
      </c>
      <c r="JE28" s="40" t="str">
        <f t="shared" si="106"/>
        <v/>
      </c>
      <c r="JF28" s="40" t="str">
        <f t="shared" si="107"/>
        <v/>
      </c>
      <c r="JG28" s="40" t="str">
        <f t="shared" si="108"/>
        <v/>
      </c>
      <c r="JH28" s="40" t="str">
        <f t="shared" si="109"/>
        <v/>
      </c>
      <c r="JI28" s="40" t="str">
        <f t="shared" si="110"/>
        <v/>
      </c>
      <c r="JJ28" s="40" t="str">
        <f t="shared" si="111"/>
        <v/>
      </c>
      <c r="JK28" s="40" t="str">
        <f t="shared" si="112"/>
        <v/>
      </c>
      <c r="JL28" s="40" t="str">
        <f t="shared" si="113"/>
        <v/>
      </c>
      <c r="JM28" s="40" t="str">
        <f t="shared" si="114"/>
        <v/>
      </c>
      <c r="JN28" s="40" t="str">
        <f t="shared" si="115"/>
        <v/>
      </c>
      <c r="JO28" s="40" t="str">
        <f t="shared" si="116"/>
        <v/>
      </c>
      <c r="JP28" s="40" t="str">
        <f t="shared" si="117"/>
        <v/>
      </c>
      <c r="JQ28" s="40" t="str">
        <f t="shared" si="118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19"/>
        <v/>
      </c>
      <c r="KM28" s="11" t="str">
        <f t="shared" si="120"/>
        <v/>
      </c>
      <c r="KN28" s="11" t="str">
        <f t="shared" si="121"/>
        <v/>
      </c>
      <c r="KO28" s="11" t="str">
        <f t="shared" si="122"/>
        <v/>
      </c>
      <c r="KP28" s="11" t="str">
        <f t="shared" si="123"/>
        <v/>
      </c>
      <c r="KQ28" s="11" t="str">
        <f t="shared" si="124"/>
        <v/>
      </c>
      <c r="KR28" s="11" t="str">
        <f t="shared" si="125"/>
        <v/>
      </c>
      <c r="KS28" s="11" t="str">
        <f t="shared" si="126"/>
        <v/>
      </c>
      <c r="KT28" s="11" t="str">
        <f t="shared" si="127"/>
        <v/>
      </c>
      <c r="KU28" s="11" t="str">
        <f t="shared" si="128"/>
        <v/>
      </c>
      <c r="KV28" s="11" t="str">
        <f t="shared" si="129"/>
        <v/>
      </c>
      <c r="KW28" s="11" t="str">
        <f t="shared" si="130"/>
        <v/>
      </c>
      <c r="KX28" s="11" t="str">
        <f t="shared" si="131"/>
        <v/>
      </c>
      <c r="KY28" s="11" t="str">
        <f t="shared" si="132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3"/>
        <v/>
      </c>
      <c r="LU28" s="40" t="str">
        <f t="shared" si="134"/>
        <v/>
      </c>
      <c r="LV28" s="40" t="str">
        <f t="shared" si="135"/>
        <v/>
      </c>
      <c r="LW28" s="40" t="str">
        <f t="shared" si="136"/>
        <v/>
      </c>
      <c r="LX28" s="40" t="str">
        <f t="shared" si="137"/>
        <v/>
      </c>
      <c r="LY28" s="40" t="str">
        <f t="shared" si="138"/>
        <v/>
      </c>
      <c r="LZ28" s="40" t="str">
        <f t="shared" si="139"/>
        <v/>
      </c>
      <c r="MA28" s="40" t="str">
        <f t="shared" si="140"/>
        <v/>
      </c>
      <c r="MB28" s="40" t="str">
        <f t="shared" si="141"/>
        <v/>
      </c>
      <c r="MC28" s="40" t="str">
        <f t="shared" si="142"/>
        <v/>
      </c>
      <c r="MD28" s="40" t="str">
        <f t="shared" si="143"/>
        <v/>
      </c>
      <c r="ME28" s="40" t="str">
        <f t="shared" si="144"/>
        <v/>
      </c>
      <c r="MF28" s="40" t="str">
        <f t="shared" si="145"/>
        <v/>
      </c>
      <c r="MG28" s="40" t="str">
        <f t="shared" si="146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7"/>
        <v/>
      </c>
      <c r="NC28" s="11" t="str">
        <f t="shared" si="148"/>
        <v/>
      </c>
      <c r="ND28" s="11" t="str">
        <f t="shared" si="149"/>
        <v/>
      </c>
      <c r="NE28" s="11" t="str">
        <f t="shared" si="150"/>
        <v/>
      </c>
      <c r="NF28" s="11" t="str">
        <f t="shared" si="151"/>
        <v/>
      </c>
      <c r="NG28" s="11" t="str">
        <f t="shared" si="152"/>
        <v/>
      </c>
      <c r="NH28" s="11" t="str">
        <f t="shared" si="153"/>
        <v/>
      </c>
      <c r="NI28" s="11" t="str">
        <f t="shared" si="154"/>
        <v/>
      </c>
      <c r="NJ28" s="11" t="str">
        <f t="shared" si="155"/>
        <v/>
      </c>
      <c r="NK28" s="11" t="str">
        <f t="shared" si="156"/>
        <v/>
      </c>
      <c r="NL28" s="11" t="str">
        <f t="shared" si="157"/>
        <v/>
      </c>
      <c r="NM28" s="11" t="str">
        <f t="shared" si="158"/>
        <v/>
      </c>
      <c r="NN28" s="11" t="str">
        <f t="shared" si="159"/>
        <v/>
      </c>
      <c r="NO28" s="11" t="str">
        <f t="shared" si="160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1"/>
        <v/>
      </c>
      <c r="OK28" s="40" t="str">
        <f t="shared" si="162"/>
        <v/>
      </c>
      <c r="OL28" s="40" t="str">
        <f t="shared" si="163"/>
        <v/>
      </c>
      <c r="OM28" s="40" t="str">
        <f t="shared" si="164"/>
        <v/>
      </c>
      <c r="ON28" s="40" t="str">
        <f t="shared" si="165"/>
        <v/>
      </c>
      <c r="OO28" s="40" t="str">
        <f t="shared" si="166"/>
        <v/>
      </c>
      <c r="OP28" s="40" t="str">
        <f t="shared" si="167"/>
        <v/>
      </c>
      <c r="OQ28" s="40" t="str">
        <f t="shared" si="168"/>
        <v/>
      </c>
      <c r="OR28" s="40" t="str">
        <f t="shared" si="169"/>
        <v/>
      </c>
      <c r="OS28" s="40" t="str">
        <f t="shared" si="170"/>
        <v/>
      </c>
      <c r="OT28" s="40" t="str">
        <f t="shared" si="171"/>
        <v/>
      </c>
      <c r="OU28" s="40" t="str">
        <f t="shared" si="172"/>
        <v/>
      </c>
      <c r="OV28" s="40" t="str">
        <f t="shared" si="173"/>
        <v/>
      </c>
      <c r="OW28" s="40" t="str">
        <f t="shared" si="174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5"/>
        <v/>
      </c>
      <c r="PS28" s="11" t="str">
        <f t="shared" si="176"/>
        <v/>
      </c>
      <c r="PT28" s="11" t="str">
        <f t="shared" si="177"/>
        <v/>
      </c>
      <c r="PU28" s="11" t="str">
        <f t="shared" si="178"/>
        <v/>
      </c>
      <c r="PV28" s="11" t="str">
        <f t="shared" si="179"/>
        <v/>
      </c>
      <c r="PW28" s="11" t="str">
        <f t="shared" si="180"/>
        <v/>
      </c>
      <c r="PX28" s="11" t="str">
        <f t="shared" si="181"/>
        <v/>
      </c>
      <c r="PY28" s="11" t="str">
        <f t="shared" si="182"/>
        <v/>
      </c>
      <c r="PZ28" s="11" t="str">
        <f t="shared" si="183"/>
        <v/>
      </c>
      <c r="QA28" s="11" t="str">
        <f t="shared" si="184"/>
        <v/>
      </c>
      <c r="QB28" s="11" t="str">
        <f t="shared" si="185"/>
        <v/>
      </c>
      <c r="QC28" s="11" t="str">
        <f t="shared" si="186"/>
        <v/>
      </c>
      <c r="QD28" s="11" t="str">
        <f t="shared" si="187"/>
        <v/>
      </c>
      <c r="QE28" s="11" t="str">
        <f t="shared" si="188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89"/>
        <v/>
      </c>
      <c r="RA28" s="40" t="str">
        <f t="shared" si="190"/>
        <v/>
      </c>
      <c r="RB28" s="40" t="str">
        <f t="shared" si="191"/>
        <v/>
      </c>
      <c r="RC28" s="40" t="str">
        <f t="shared" si="192"/>
        <v/>
      </c>
      <c r="RD28" s="40" t="str">
        <f t="shared" si="193"/>
        <v/>
      </c>
      <c r="RE28" s="40" t="str">
        <f t="shared" si="194"/>
        <v/>
      </c>
      <c r="RF28" s="40" t="str">
        <f t="shared" si="195"/>
        <v/>
      </c>
      <c r="RG28" s="40" t="str">
        <f t="shared" si="196"/>
        <v/>
      </c>
      <c r="RH28" s="40" t="str">
        <f t="shared" si="197"/>
        <v/>
      </c>
      <c r="RI28" s="40" t="str">
        <f t="shared" si="198"/>
        <v/>
      </c>
      <c r="RJ28" s="40" t="str">
        <f t="shared" si="199"/>
        <v/>
      </c>
      <c r="RK28" s="40" t="str">
        <f t="shared" si="200"/>
        <v/>
      </c>
      <c r="RL28" s="40" t="str">
        <f t="shared" si="201"/>
        <v/>
      </c>
      <c r="RM28" s="40" t="str">
        <f t="shared" si="202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3"/>
        <v/>
      </c>
      <c r="SI28" s="11" t="str">
        <f t="shared" si="204"/>
        <v/>
      </c>
      <c r="SJ28" s="11" t="str">
        <f t="shared" si="205"/>
        <v/>
      </c>
      <c r="SK28" s="11" t="str">
        <f t="shared" si="206"/>
        <v/>
      </c>
      <c r="SL28" s="11" t="str">
        <f t="shared" si="207"/>
        <v/>
      </c>
      <c r="SM28" s="11" t="str">
        <f t="shared" si="208"/>
        <v/>
      </c>
      <c r="SN28" s="11" t="str">
        <f t="shared" si="209"/>
        <v/>
      </c>
      <c r="SO28" s="11" t="str">
        <f t="shared" si="210"/>
        <v/>
      </c>
      <c r="SP28" s="11" t="str">
        <f t="shared" si="211"/>
        <v/>
      </c>
      <c r="SQ28" s="11" t="str">
        <f t="shared" si="212"/>
        <v/>
      </c>
      <c r="SR28" s="11" t="str">
        <f t="shared" si="213"/>
        <v/>
      </c>
      <c r="SS28" s="11" t="str">
        <f t="shared" si="214"/>
        <v/>
      </c>
      <c r="ST28" s="11" t="str">
        <f t="shared" si="215"/>
        <v/>
      </c>
      <c r="SU28" s="11" t="str">
        <f t="shared" si="216"/>
        <v/>
      </c>
      <c r="SV28" s="22">
        <f t="shared" si="217"/>
        <v>0</v>
      </c>
      <c r="SW28" s="22">
        <f t="shared" si="218"/>
        <v>0</v>
      </c>
      <c r="SX28" s="22">
        <f t="shared" si="219"/>
        <v>0</v>
      </c>
      <c r="SY28" s="22">
        <f t="shared" si="220"/>
        <v>0</v>
      </c>
      <c r="SZ28" s="22">
        <f t="shared" si="221"/>
        <v>0</v>
      </c>
      <c r="TA28" s="22">
        <f t="shared" si="222"/>
        <v>0</v>
      </c>
      <c r="TB28" s="22">
        <f t="shared" si="223"/>
        <v>0</v>
      </c>
      <c r="TC28" s="22">
        <f t="shared" si="224"/>
        <v>0</v>
      </c>
      <c r="TD28" s="22">
        <f t="shared" si="225"/>
        <v>0</v>
      </c>
      <c r="TE28" s="22">
        <f t="shared" si="226"/>
        <v>0</v>
      </c>
      <c r="TF28" s="22">
        <f t="shared" si="227"/>
        <v>0</v>
      </c>
      <c r="TG28" s="22">
        <f t="shared" si="228"/>
        <v>0</v>
      </c>
      <c r="TH28" s="22">
        <f t="shared" si="229"/>
        <v>0</v>
      </c>
      <c r="TI28" s="22">
        <f t="shared" si="230"/>
        <v>0</v>
      </c>
      <c r="TJ28" s="22">
        <f t="shared" si="231"/>
        <v>0</v>
      </c>
      <c r="TK28" s="27" t="s">
        <v>46</v>
      </c>
      <c r="TL28" s="40" t="str">
        <f t="shared" si="232"/>
        <v/>
      </c>
      <c r="TM28" s="40" t="str">
        <f t="shared" si="233"/>
        <v/>
      </c>
      <c r="TN28" s="40" t="str">
        <f t="shared" si="234"/>
        <v/>
      </c>
      <c r="TO28" s="40" t="str">
        <f t="shared" si="235"/>
        <v/>
      </c>
      <c r="TP28" s="40" t="str">
        <f t="shared" si="236"/>
        <v/>
      </c>
      <c r="TQ28" s="40" t="str">
        <f t="shared" si="237"/>
        <v/>
      </c>
      <c r="TR28" s="40" t="str">
        <f t="shared" si="238"/>
        <v/>
      </c>
      <c r="TS28" s="40" t="str">
        <f t="shared" si="239"/>
        <v/>
      </c>
      <c r="TT28" s="40" t="str">
        <f t="shared" si="240"/>
        <v/>
      </c>
      <c r="TU28" s="40" t="str">
        <f t="shared" si="241"/>
        <v/>
      </c>
      <c r="TV28" s="40" t="str">
        <f t="shared" si="242"/>
        <v/>
      </c>
    </row>
    <row r="29" spans="1:542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147</v>
      </c>
      <c r="D29" s="4" t="s">
        <v>3</v>
      </c>
      <c r="E29" s="4">
        <v>2002</v>
      </c>
      <c r="F29" s="9">
        <f t="shared" si="0"/>
        <v>78.110007811004536</v>
      </c>
      <c r="G29" s="66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45.339999999999996</v>
      </c>
      <c r="M29" s="8" t="str">
        <f t="shared" si="5"/>
        <v>2023 Elite Canada</v>
      </c>
      <c r="N29" s="8">
        <f>IF(COUNT(AQ29,AT29,BR29,BU29,CS29,CV29)&gt;1,LARGE((AQ29,AT29,BR29,BU29,CS29,CV29),2),0)</f>
        <v>5.24</v>
      </c>
      <c r="O29" s="8" t="str">
        <f t="shared" si="6"/>
        <v>2023 Elite Canada</v>
      </c>
      <c r="P29" s="8">
        <f>IF(COUNT(AQ29,AT29,BR29,BU29,CS29,CV29)&gt;2,MAX(AX29,BY29,CZ29,LARGE((AQ29,AT29,BR29,BU29,CS29,CV29),3)),IF(MAX(AX29,BY29,CZ29)&gt;0,MAX(AX29,BY29,CZ29),0))</f>
        <v>18.329999999999998</v>
      </c>
      <c r="Q29" s="8" t="str">
        <f t="shared" si="7"/>
        <v>2023 Elite Canada</v>
      </c>
      <c r="R29" s="8">
        <f t="shared" si="8"/>
        <v>9.1999999999999993</v>
      </c>
      <c r="S29" s="8" t="str">
        <f t="shared" si="9"/>
        <v>2023 Elite Canada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>IF(V29="","",IF(V29=DB29,IF(V29+IF(P29="",0,P29)=SN29,$RN$1,IF(V29+IF(P29="",0,P29)=RF29,$QF$1,IF(V29+IF(P29="",0,P29)=PX29,$OX$1,IF(V29+IF(P29="",0,P29)=OP29,$NP$1,IF(V29+IF(P29="",0,P29)=NH29,$MH$1,IF(V29+IF(P29="",0,P29)=LZ29,$KZ$1,IF(V29+IF(P29="",0,P29)=KR29,$JR$1,IF(V29+IF(P29="",0,P29)=JJ29,$IJ$1,IF(V29+IF(P29="",0,P29)=IB29,$HB$1,IF(V29+IF(P29="",0,P29)=GT29,$FT$1,IF(V29+IF(P29="",0,P29)=FL29,$EL$1,IF(V29+IF(P29="",0,P29)=ED29,$DD$1)))))))))))),IF(V29=DC29,IF(V29+IF(#REF!="",0,#REF!)=ST29,$RN$1,IF(V29+IF(#REF!="",0,#REF!)=RL29,$QF$1,IF(V29+IF(#REF!="",0,#REF!)=QD29,$OX$1,IF(V29+IF(#REF!="",0,#REF!)=OV29,$NP$1,IF(V29+IF(#REF!="",0,#REF!)=NN29,$MH$1,IF(V29+IF(#REF!="",0,#REF!)=MF29,$KZ$1,IF(V29+IF(#REF!="",0,#REF!)=KX29,$JR$1,IF(V29+IF(#REF!="",0,#REF!)=JP29,$IJ$1,IF(V29+IF(#REF!="",0,#REF!)=IH29,$HB$1,IF(V29+IF(#REF!="",0,#REF!)=GZ29,$FT$1,IF(V29+IF(#REF!="",0,#REF!)=FR29,$EL$1,IF(V29+IF(#REF!="",0,#REF!)=EJ29,$DD$1,IF(V29+IF(#REF!="",0,#REF!)=SQ29,$RN$1,IF(V29+IF(#REF!="",0,#REF!)=RI29,$QF$1,IF(V29+IF(#REF!="",0,#REF!)=QA29,$OX$1,IF(V29+IF(#REF!="",0,#REF!)=OS29,$NP$1,IF(V29+IF(#REF!="",0,#REF!)=NK29,$MH$1,IF(V29+IF(#REF!="",0,#REF!)=MC29,$KZ$1,IF(V29+IF(#REF!="",0,#REF!)=KU29,$JR$1,IF(V29+IF(#REF!="",0,#REF!)=JM29,$IJ$1,IF(V29+IF(#REF!="",0,#REF!)=IE29,$HB$1,IF(V29+IF(#REF!="",0,#REF!)=GW29,$FT$1,IF(V29+IF(#REF!="",0,#REF!)=FO29,$EL$1,IF(V29+IF(#REF!="",0,#REF!)=EG29,$DD$1)))))))))))))))))))))))))))</f>
        <v/>
      </c>
      <c r="Y29" s="22">
        <v>13.7</v>
      </c>
      <c r="Z29" s="22">
        <v>9.1</v>
      </c>
      <c r="AA29" s="22">
        <v>9.1999999999999993</v>
      </c>
      <c r="AB29" s="22">
        <v>13.34</v>
      </c>
      <c r="AC29" s="22">
        <v>0</v>
      </c>
      <c r="AD29" s="22">
        <v>1.4</v>
      </c>
      <c r="AE29" s="22">
        <v>0.9</v>
      </c>
      <c r="AF29" s="22">
        <v>1.5</v>
      </c>
      <c r="AG29" s="22">
        <v>1.44</v>
      </c>
      <c r="AH29" s="22">
        <v>0</v>
      </c>
      <c r="AI29" s="22">
        <v>5.2</v>
      </c>
      <c r="AJ29" s="22">
        <v>3.5</v>
      </c>
      <c r="AK29" s="22">
        <v>4.3</v>
      </c>
      <c r="AL29" s="22">
        <v>5.33</v>
      </c>
      <c r="AM29" s="22">
        <v>0</v>
      </c>
      <c r="AN29" s="27"/>
      <c r="AO29" s="38">
        <f t="shared" si="14"/>
        <v>9.1999999999999993</v>
      </c>
      <c r="AP29" s="38">
        <f t="shared" si="15"/>
        <v>13.34</v>
      </c>
      <c r="AQ29" s="40">
        <f t="shared" si="16"/>
        <v>45.339999999999996</v>
      </c>
      <c r="AR29" s="40">
        <f t="shared" si="17"/>
        <v>1.5</v>
      </c>
      <c r="AS29" s="40">
        <f t="shared" si="18"/>
        <v>1.44</v>
      </c>
      <c r="AT29" s="40">
        <f t="shared" si="19"/>
        <v>5.24</v>
      </c>
      <c r="AU29" s="40">
        <f t="shared" si="20"/>
        <v>45.339999999999996</v>
      </c>
      <c r="AV29" s="40">
        <f t="shared" si="21"/>
        <v>4.3</v>
      </c>
      <c r="AW29" s="40">
        <f t="shared" si="22"/>
        <v>5.33</v>
      </c>
      <c r="AX29" s="40">
        <f t="shared" si="23"/>
        <v>18.329999999999998</v>
      </c>
      <c r="AY29" s="40">
        <f t="shared" si="24"/>
        <v>63.669999999999995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5"/>
        <v/>
      </c>
      <c r="BQ29" s="39" t="str">
        <f t="shared" si="26"/>
        <v/>
      </c>
      <c r="BR29" s="11" t="str">
        <f t="shared" si="27"/>
        <v/>
      </c>
      <c r="BS29" s="11" t="str">
        <f t="shared" si="28"/>
        <v/>
      </c>
      <c r="BT29" s="11" t="str">
        <f t="shared" si="29"/>
        <v/>
      </c>
      <c r="BU29" s="11" t="str">
        <f t="shared" si="30"/>
        <v/>
      </c>
      <c r="BV29" s="11" t="str">
        <f t="shared" si="31"/>
        <v/>
      </c>
      <c r="BW29" s="11" t="str">
        <f t="shared" si="32"/>
        <v/>
      </c>
      <c r="BX29" s="11" t="str">
        <f t="shared" si="33"/>
        <v/>
      </c>
      <c r="BY29" s="11" t="str">
        <f t="shared" si="34"/>
        <v/>
      </c>
      <c r="BZ29" s="11" t="str">
        <f t="shared" si="35"/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6"/>
        <v/>
      </c>
      <c r="CR29" s="38" t="str">
        <f t="shared" si="37"/>
        <v/>
      </c>
      <c r="CS29" s="40" t="str">
        <f t="shared" si="38"/>
        <v/>
      </c>
      <c r="CT29" s="40" t="str">
        <f t="shared" si="39"/>
        <v/>
      </c>
      <c r="CU29" s="40" t="str">
        <f t="shared" si="40"/>
        <v/>
      </c>
      <c r="CV29" s="40" t="str">
        <f t="shared" si="41"/>
        <v/>
      </c>
      <c r="CW29" s="40" t="str">
        <f t="shared" si="42"/>
        <v/>
      </c>
      <c r="CX29" s="40" t="str">
        <f t="shared" si="43"/>
        <v/>
      </c>
      <c r="CY29" s="40" t="str">
        <f t="shared" si="44"/>
        <v/>
      </c>
      <c r="CZ29" s="40" t="str">
        <f t="shared" si="45"/>
        <v/>
      </c>
      <c r="DA29" s="40" t="str">
        <f t="shared" si="46"/>
        <v/>
      </c>
      <c r="DB29" s="50" t="str">
        <f t="shared" si="47"/>
        <v/>
      </c>
      <c r="DC29" s="50" t="str">
        <f t="shared" si="48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49"/>
        <v/>
      </c>
      <c r="DY29" s="40" t="str">
        <f t="shared" si="50"/>
        <v/>
      </c>
      <c r="DZ29" s="40" t="str">
        <f t="shared" si="51"/>
        <v/>
      </c>
      <c r="EA29" s="40" t="str">
        <f t="shared" si="52"/>
        <v/>
      </c>
      <c r="EB29" s="40" t="str">
        <f t="shared" si="53"/>
        <v/>
      </c>
      <c r="EC29" s="40" t="str">
        <f t="shared" si="54"/>
        <v/>
      </c>
      <c r="ED29" s="40" t="str">
        <f t="shared" si="55"/>
        <v/>
      </c>
      <c r="EE29" s="40" t="str">
        <f t="shared" si="56"/>
        <v/>
      </c>
      <c r="EF29" s="40" t="str">
        <f t="shared" si="57"/>
        <v/>
      </c>
      <c r="EG29" s="40" t="str">
        <f t="shared" si="58"/>
        <v/>
      </c>
      <c r="EH29" s="40" t="str">
        <f t="shared" si="59"/>
        <v/>
      </c>
      <c r="EI29" s="40" t="str">
        <f t="shared" si="60"/>
        <v/>
      </c>
      <c r="EJ29" s="40" t="str">
        <f t="shared" si="61"/>
        <v/>
      </c>
      <c r="EK29" s="40" t="str">
        <f t="shared" si="62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3"/>
        <v/>
      </c>
      <c r="FG29" s="11" t="str">
        <f t="shared" si="64"/>
        <v/>
      </c>
      <c r="FH29" s="11" t="str">
        <f t="shared" si="65"/>
        <v/>
      </c>
      <c r="FI29" s="11" t="str">
        <f t="shared" si="66"/>
        <v/>
      </c>
      <c r="FJ29" s="11" t="str">
        <f t="shared" si="67"/>
        <v/>
      </c>
      <c r="FK29" s="11" t="str">
        <f t="shared" si="68"/>
        <v/>
      </c>
      <c r="FL29" s="11" t="str">
        <f t="shared" si="69"/>
        <v/>
      </c>
      <c r="FM29" s="11" t="str">
        <f t="shared" si="70"/>
        <v/>
      </c>
      <c r="FN29" s="11" t="str">
        <f t="shared" si="71"/>
        <v/>
      </c>
      <c r="FO29" s="11" t="str">
        <f t="shared" si="72"/>
        <v/>
      </c>
      <c r="FP29" s="11" t="str">
        <f t="shared" si="73"/>
        <v/>
      </c>
      <c r="FQ29" s="11" t="str">
        <f t="shared" si="74"/>
        <v/>
      </c>
      <c r="FR29" s="11" t="str">
        <f t="shared" si="75"/>
        <v/>
      </c>
      <c r="FS29" s="11" t="str">
        <f t="shared" si="76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7"/>
        <v/>
      </c>
      <c r="GO29" s="40" t="str">
        <f t="shared" si="78"/>
        <v/>
      </c>
      <c r="GP29" s="40" t="str">
        <f t="shared" si="79"/>
        <v/>
      </c>
      <c r="GQ29" s="40" t="str">
        <f t="shared" si="80"/>
        <v/>
      </c>
      <c r="GR29" s="40" t="str">
        <f t="shared" si="81"/>
        <v/>
      </c>
      <c r="GS29" s="40" t="str">
        <f t="shared" si="82"/>
        <v/>
      </c>
      <c r="GT29" s="40" t="str">
        <f t="shared" si="83"/>
        <v/>
      </c>
      <c r="GU29" s="40" t="str">
        <f t="shared" si="84"/>
        <v/>
      </c>
      <c r="GV29" s="40" t="str">
        <f t="shared" si="85"/>
        <v/>
      </c>
      <c r="GW29" s="40" t="str">
        <f t="shared" si="86"/>
        <v/>
      </c>
      <c r="GX29" s="40" t="str">
        <f t="shared" si="87"/>
        <v/>
      </c>
      <c r="GY29" s="40" t="str">
        <f t="shared" si="88"/>
        <v/>
      </c>
      <c r="GZ29" s="40" t="str">
        <f t="shared" si="89"/>
        <v/>
      </c>
      <c r="HA29" s="40" t="str">
        <f t="shared" si="90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1"/>
        <v/>
      </c>
      <c r="HW29" s="11" t="str">
        <f t="shared" si="92"/>
        <v/>
      </c>
      <c r="HX29" s="11" t="str">
        <f t="shared" si="93"/>
        <v/>
      </c>
      <c r="HY29" s="11" t="str">
        <f t="shared" si="94"/>
        <v/>
      </c>
      <c r="HZ29" s="11" t="str">
        <f t="shared" si="95"/>
        <v/>
      </c>
      <c r="IA29" s="11" t="str">
        <f t="shared" si="96"/>
        <v/>
      </c>
      <c r="IB29" s="11" t="str">
        <f t="shared" si="97"/>
        <v/>
      </c>
      <c r="IC29" s="11" t="str">
        <f t="shared" si="98"/>
        <v/>
      </c>
      <c r="ID29" s="11" t="str">
        <f t="shared" si="99"/>
        <v/>
      </c>
      <c r="IE29" s="11" t="str">
        <f t="shared" si="100"/>
        <v/>
      </c>
      <c r="IF29" s="11" t="str">
        <f t="shared" si="101"/>
        <v/>
      </c>
      <c r="IG29" s="11" t="str">
        <f t="shared" si="102"/>
        <v/>
      </c>
      <c r="IH29" s="11" t="str">
        <f t="shared" si="103"/>
        <v/>
      </c>
      <c r="II29" s="11" t="str">
        <f t="shared" si="104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5"/>
        <v/>
      </c>
      <c r="JE29" s="40" t="str">
        <f t="shared" si="106"/>
        <v/>
      </c>
      <c r="JF29" s="40" t="str">
        <f t="shared" si="107"/>
        <v/>
      </c>
      <c r="JG29" s="40" t="str">
        <f t="shared" si="108"/>
        <v/>
      </c>
      <c r="JH29" s="40" t="str">
        <f t="shared" si="109"/>
        <v/>
      </c>
      <c r="JI29" s="40" t="str">
        <f t="shared" si="110"/>
        <v/>
      </c>
      <c r="JJ29" s="40" t="str">
        <f t="shared" si="111"/>
        <v/>
      </c>
      <c r="JK29" s="40" t="str">
        <f t="shared" si="112"/>
        <v/>
      </c>
      <c r="JL29" s="40" t="str">
        <f t="shared" si="113"/>
        <v/>
      </c>
      <c r="JM29" s="40" t="str">
        <f t="shared" si="114"/>
        <v/>
      </c>
      <c r="JN29" s="40" t="str">
        <f t="shared" si="115"/>
        <v/>
      </c>
      <c r="JO29" s="40" t="str">
        <f t="shared" si="116"/>
        <v/>
      </c>
      <c r="JP29" s="40" t="str">
        <f t="shared" si="117"/>
        <v/>
      </c>
      <c r="JQ29" s="40" t="str">
        <f t="shared" si="118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19"/>
        <v/>
      </c>
      <c r="KM29" s="11" t="str">
        <f t="shared" si="120"/>
        <v/>
      </c>
      <c r="KN29" s="11" t="str">
        <f t="shared" si="121"/>
        <v/>
      </c>
      <c r="KO29" s="11" t="str">
        <f t="shared" si="122"/>
        <v/>
      </c>
      <c r="KP29" s="11" t="str">
        <f t="shared" si="123"/>
        <v/>
      </c>
      <c r="KQ29" s="11" t="str">
        <f t="shared" si="124"/>
        <v/>
      </c>
      <c r="KR29" s="11" t="str">
        <f t="shared" si="125"/>
        <v/>
      </c>
      <c r="KS29" s="11" t="str">
        <f t="shared" si="126"/>
        <v/>
      </c>
      <c r="KT29" s="11" t="str">
        <f t="shared" si="127"/>
        <v/>
      </c>
      <c r="KU29" s="11" t="str">
        <f t="shared" si="128"/>
        <v/>
      </c>
      <c r="KV29" s="11" t="str">
        <f t="shared" si="129"/>
        <v/>
      </c>
      <c r="KW29" s="11" t="str">
        <f t="shared" si="130"/>
        <v/>
      </c>
      <c r="KX29" s="11" t="str">
        <f t="shared" si="131"/>
        <v/>
      </c>
      <c r="KY29" s="11" t="str">
        <f t="shared" si="132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3"/>
        <v/>
      </c>
      <c r="LU29" s="40" t="str">
        <f t="shared" si="134"/>
        <v/>
      </c>
      <c r="LV29" s="40" t="str">
        <f t="shared" si="135"/>
        <v/>
      </c>
      <c r="LW29" s="40" t="str">
        <f t="shared" si="136"/>
        <v/>
      </c>
      <c r="LX29" s="40" t="str">
        <f t="shared" si="137"/>
        <v/>
      </c>
      <c r="LY29" s="40" t="str">
        <f t="shared" si="138"/>
        <v/>
      </c>
      <c r="LZ29" s="40" t="str">
        <f t="shared" si="139"/>
        <v/>
      </c>
      <c r="MA29" s="40" t="str">
        <f t="shared" si="140"/>
        <v/>
      </c>
      <c r="MB29" s="40" t="str">
        <f t="shared" si="141"/>
        <v/>
      </c>
      <c r="MC29" s="40" t="str">
        <f t="shared" si="142"/>
        <v/>
      </c>
      <c r="MD29" s="40" t="str">
        <f t="shared" si="143"/>
        <v/>
      </c>
      <c r="ME29" s="40" t="str">
        <f t="shared" si="144"/>
        <v/>
      </c>
      <c r="MF29" s="40" t="str">
        <f t="shared" si="145"/>
        <v/>
      </c>
      <c r="MG29" s="40" t="str">
        <f t="shared" si="146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7"/>
        <v/>
      </c>
      <c r="NC29" s="11" t="str">
        <f t="shared" si="148"/>
        <v/>
      </c>
      <c r="ND29" s="11" t="str">
        <f t="shared" si="149"/>
        <v/>
      </c>
      <c r="NE29" s="11" t="str">
        <f t="shared" si="150"/>
        <v/>
      </c>
      <c r="NF29" s="11" t="str">
        <f t="shared" si="151"/>
        <v/>
      </c>
      <c r="NG29" s="11" t="str">
        <f t="shared" si="152"/>
        <v/>
      </c>
      <c r="NH29" s="11" t="str">
        <f t="shared" si="153"/>
        <v/>
      </c>
      <c r="NI29" s="11" t="str">
        <f t="shared" si="154"/>
        <v/>
      </c>
      <c r="NJ29" s="11" t="str">
        <f t="shared" si="155"/>
        <v/>
      </c>
      <c r="NK29" s="11" t="str">
        <f t="shared" si="156"/>
        <v/>
      </c>
      <c r="NL29" s="11" t="str">
        <f t="shared" si="157"/>
        <v/>
      </c>
      <c r="NM29" s="11" t="str">
        <f t="shared" si="158"/>
        <v/>
      </c>
      <c r="NN29" s="11" t="str">
        <f t="shared" si="159"/>
        <v/>
      </c>
      <c r="NO29" s="11" t="str">
        <f t="shared" si="160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1"/>
        <v/>
      </c>
      <c r="OK29" s="40" t="str">
        <f t="shared" si="162"/>
        <v/>
      </c>
      <c r="OL29" s="40" t="str">
        <f t="shared" si="163"/>
        <v/>
      </c>
      <c r="OM29" s="40" t="str">
        <f t="shared" si="164"/>
        <v/>
      </c>
      <c r="ON29" s="40" t="str">
        <f t="shared" si="165"/>
        <v/>
      </c>
      <c r="OO29" s="40" t="str">
        <f t="shared" si="166"/>
        <v/>
      </c>
      <c r="OP29" s="40" t="str">
        <f t="shared" si="167"/>
        <v/>
      </c>
      <c r="OQ29" s="40" t="str">
        <f t="shared" si="168"/>
        <v/>
      </c>
      <c r="OR29" s="40" t="str">
        <f t="shared" si="169"/>
        <v/>
      </c>
      <c r="OS29" s="40" t="str">
        <f t="shared" si="170"/>
        <v/>
      </c>
      <c r="OT29" s="40" t="str">
        <f t="shared" si="171"/>
        <v/>
      </c>
      <c r="OU29" s="40" t="str">
        <f t="shared" si="172"/>
        <v/>
      </c>
      <c r="OV29" s="40" t="str">
        <f t="shared" si="173"/>
        <v/>
      </c>
      <c r="OW29" s="40" t="str">
        <f t="shared" si="174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5"/>
        <v/>
      </c>
      <c r="PS29" s="11" t="str">
        <f t="shared" si="176"/>
        <v/>
      </c>
      <c r="PT29" s="11" t="str">
        <f t="shared" si="177"/>
        <v/>
      </c>
      <c r="PU29" s="11" t="str">
        <f t="shared" si="178"/>
        <v/>
      </c>
      <c r="PV29" s="11" t="str">
        <f t="shared" si="179"/>
        <v/>
      </c>
      <c r="PW29" s="11" t="str">
        <f t="shared" si="180"/>
        <v/>
      </c>
      <c r="PX29" s="11" t="str">
        <f t="shared" si="181"/>
        <v/>
      </c>
      <c r="PY29" s="11" t="str">
        <f t="shared" si="182"/>
        <v/>
      </c>
      <c r="PZ29" s="11" t="str">
        <f t="shared" si="183"/>
        <v/>
      </c>
      <c r="QA29" s="11" t="str">
        <f t="shared" si="184"/>
        <v/>
      </c>
      <c r="QB29" s="11" t="str">
        <f t="shared" si="185"/>
        <v/>
      </c>
      <c r="QC29" s="11" t="str">
        <f t="shared" si="186"/>
        <v/>
      </c>
      <c r="QD29" s="11" t="str">
        <f t="shared" si="187"/>
        <v/>
      </c>
      <c r="QE29" s="11" t="str">
        <f t="shared" si="188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89"/>
        <v/>
      </c>
      <c r="RA29" s="40" t="str">
        <f t="shared" si="190"/>
        <v/>
      </c>
      <c r="RB29" s="40" t="str">
        <f t="shared" si="191"/>
        <v/>
      </c>
      <c r="RC29" s="40" t="str">
        <f t="shared" si="192"/>
        <v/>
      </c>
      <c r="RD29" s="40" t="str">
        <f t="shared" si="193"/>
        <v/>
      </c>
      <c r="RE29" s="40" t="str">
        <f t="shared" si="194"/>
        <v/>
      </c>
      <c r="RF29" s="40" t="str">
        <f t="shared" si="195"/>
        <v/>
      </c>
      <c r="RG29" s="40" t="str">
        <f t="shared" si="196"/>
        <v/>
      </c>
      <c r="RH29" s="40" t="str">
        <f t="shared" si="197"/>
        <v/>
      </c>
      <c r="RI29" s="40" t="str">
        <f t="shared" si="198"/>
        <v/>
      </c>
      <c r="RJ29" s="40" t="str">
        <f t="shared" si="199"/>
        <v/>
      </c>
      <c r="RK29" s="40" t="str">
        <f t="shared" si="200"/>
        <v/>
      </c>
      <c r="RL29" s="40" t="str">
        <f t="shared" si="201"/>
        <v/>
      </c>
      <c r="RM29" s="40" t="str">
        <f t="shared" si="202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3"/>
        <v/>
      </c>
      <c r="SI29" s="11" t="str">
        <f t="shared" si="204"/>
        <v/>
      </c>
      <c r="SJ29" s="11" t="str">
        <f t="shared" si="205"/>
        <v/>
      </c>
      <c r="SK29" s="11" t="str">
        <f t="shared" si="206"/>
        <v/>
      </c>
      <c r="SL29" s="11" t="str">
        <f t="shared" si="207"/>
        <v/>
      </c>
      <c r="SM29" s="11" t="str">
        <f t="shared" si="208"/>
        <v/>
      </c>
      <c r="SN29" s="11" t="str">
        <f t="shared" si="209"/>
        <v/>
      </c>
      <c r="SO29" s="11" t="str">
        <f t="shared" si="210"/>
        <v/>
      </c>
      <c r="SP29" s="11" t="str">
        <f t="shared" si="211"/>
        <v/>
      </c>
      <c r="SQ29" s="11" t="str">
        <f t="shared" si="212"/>
        <v/>
      </c>
      <c r="SR29" s="11" t="str">
        <f t="shared" si="213"/>
        <v/>
      </c>
      <c r="SS29" s="11" t="str">
        <f t="shared" si="214"/>
        <v/>
      </c>
      <c r="ST29" s="11" t="str">
        <f t="shared" si="215"/>
        <v/>
      </c>
      <c r="SU29" s="11" t="str">
        <f t="shared" si="216"/>
        <v/>
      </c>
      <c r="SV29" s="22">
        <f t="shared" si="217"/>
        <v>0</v>
      </c>
      <c r="SW29" s="22">
        <f t="shared" si="218"/>
        <v>0</v>
      </c>
      <c r="SX29" s="22">
        <f t="shared" si="219"/>
        <v>0</v>
      </c>
      <c r="SY29" s="22">
        <f t="shared" si="220"/>
        <v>0</v>
      </c>
      <c r="SZ29" s="22">
        <f t="shared" si="221"/>
        <v>0</v>
      </c>
      <c r="TA29" s="22">
        <f t="shared" si="222"/>
        <v>0</v>
      </c>
      <c r="TB29" s="22">
        <f t="shared" si="223"/>
        <v>0</v>
      </c>
      <c r="TC29" s="22">
        <f t="shared" si="224"/>
        <v>0</v>
      </c>
      <c r="TD29" s="22">
        <f t="shared" si="225"/>
        <v>0</v>
      </c>
      <c r="TE29" s="22">
        <f t="shared" si="226"/>
        <v>0</v>
      </c>
      <c r="TF29" s="22">
        <f t="shared" si="227"/>
        <v>0</v>
      </c>
      <c r="TG29" s="22">
        <f t="shared" si="228"/>
        <v>0</v>
      </c>
      <c r="TH29" s="22">
        <f t="shared" si="229"/>
        <v>0</v>
      </c>
      <c r="TI29" s="22">
        <f t="shared" si="230"/>
        <v>0</v>
      </c>
      <c r="TJ29" s="22">
        <f t="shared" si="231"/>
        <v>0</v>
      </c>
      <c r="TK29" s="27" t="s">
        <v>46</v>
      </c>
      <c r="TL29" s="40" t="str">
        <f t="shared" si="232"/>
        <v/>
      </c>
      <c r="TM29" s="40" t="str">
        <f t="shared" si="233"/>
        <v/>
      </c>
      <c r="TN29" s="40" t="str">
        <f t="shared" si="234"/>
        <v/>
      </c>
      <c r="TO29" s="40" t="str">
        <f t="shared" si="235"/>
        <v/>
      </c>
      <c r="TP29" s="40" t="str">
        <f t="shared" si="236"/>
        <v/>
      </c>
      <c r="TQ29" s="40" t="str">
        <f t="shared" si="237"/>
        <v/>
      </c>
      <c r="TR29" s="40" t="str">
        <f t="shared" si="238"/>
        <v/>
      </c>
      <c r="TS29" s="40" t="str">
        <f t="shared" si="239"/>
        <v/>
      </c>
      <c r="TT29" s="40" t="str">
        <f t="shared" si="240"/>
        <v/>
      </c>
      <c r="TU29" s="40" t="str">
        <f t="shared" si="241"/>
        <v/>
      </c>
      <c r="TV29" s="40" t="str">
        <f t="shared" si="242"/>
        <v/>
      </c>
    </row>
    <row r="30" spans="1:542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219</v>
      </c>
      <c r="D30" s="4" t="s">
        <v>6</v>
      </c>
      <c r="E30" s="4">
        <v>2006</v>
      </c>
      <c r="F30" s="9">
        <f t="shared" si="0"/>
        <v>67.070006707004566</v>
      </c>
      <c r="G30" s="66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45.79</v>
      </c>
      <c r="M30" s="8" t="str">
        <f t="shared" si="5"/>
        <v>2023 Nationals</v>
      </c>
      <c r="N30" s="8">
        <f>IF(COUNT(AQ30,AT30,BR30,BU30,CS30,CV30)&gt;1,LARGE((AQ30,AT30,BR30,BU30,CS30,CV30),2),0)</f>
        <v>12.48</v>
      </c>
      <c r="O30" s="8" t="str">
        <f t="shared" si="6"/>
        <v>2023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8.8000000000000007</v>
      </c>
      <c r="S30" s="8" t="str">
        <f t="shared" si="9"/>
        <v>2023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>IF(V30="","",IF(V30=DB30,IF(V30+IF(P30="",0,P30)=SN30,$RN$1,IF(V30+IF(P30="",0,P30)=RF30,$QF$1,IF(V30+IF(P30="",0,P30)=PX30,$OX$1,IF(V30+IF(P30="",0,P30)=OP30,$NP$1,IF(V30+IF(P30="",0,P30)=NH30,$MH$1,IF(V30+IF(P30="",0,P30)=LZ30,$KZ$1,IF(V30+IF(P30="",0,P30)=KR30,$JR$1,IF(V30+IF(P30="",0,P30)=JJ30,$IJ$1,IF(V30+IF(P30="",0,P30)=IB30,$HB$1,IF(V30+IF(P30="",0,P30)=GT30,$FT$1,IF(V30+IF(P30="",0,P30)=FL30,$EL$1,IF(V30+IF(P30="",0,P30)=ED30,$DD$1)))))))))))),IF(V30=DC30,IF(V30+IF(#REF!="",0,#REF!)=ST30,$RN$1,IF(V30+IF(#REF!="",0,#REF!)=RL30,$QF$1,IF(V30+IF(#REF!="",0,#REF!)=QD30,$OX$1,IF(V30+IF(#REF!="",0,#REF!)=OV30,$NP$1,IF(V30+IF(#REF!="",0,#REF!)=NN30,$MH$1,IF(V30+IF(#REF!="",0,#REF!)=MF30,$KZ$1,IF(V30+IF(#REF!="",0,#REF!)=KX30,$JR$1,IF(V30+IF(#REF!="",0,#REF!)=JP30,$IJ$1,IF(V30+IF(#REF!="",0,#REF!)=IH30,$HB$1,IF(V30+IF(#REF!="",0,#REF!)=GZ30,$FT$1,IF(V30+IF(#REF!="",0,#REF!)=FR30,$EL$1,IF(V30+IF(#REF!="",0,#REF!)=EJ30,$DD$1,IF(V30+IF(#REF!="",0,#REF!)=SQ30,$RN$1,IF(V30+IF(#REF!="",0,#REF!)=RI30,$QF$1,IF(V30+IF(#REF!="",0,#REF!)=QA30,$OX$1,IF(V30+IF(#REF!="",0,#REF!)=OS30,$NP$1,IF(V30+IF(#REF!="",0,#REF!)=NK30,$MH$1,IF(V30+IF(#REF!="",0,#REF!)=MC30,$KZ$1,IF(V30+IF(#REF!="",0,#REF!)=KU30,$JR$1,IF(V30+IF(#REF!="",0,#REF!)=JM30,$IJ$1,IF(V30+IF(#REF!="",0,#REF!)=IE30,$HB$1,IF(V30+IF(#REF!="",0,#REF!)=GW30,$FT$1,IF(V30+IF(#REF!="",0,#REF!)=FO30,$EL$1,IF(V30+IF(#REF!="",0,#REF!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 t="shared" si="14"/>
        <v/>
      </c>
      <c r="AP30" s="38" t="str">
        <f t="shared" si="15"/>
        <v/>
      </c>
      <c r="AQ30" s="40" t="str">
        <f t="shared" si="16"/>
        <v/>
      </c>
      <c r="AR30" s="40" t="str">
        <f t="shared" si="17"/>
        <v/>
      </c>
      <c r="AS30" s="40" t="str">
        <f t="shared" si="18"/>
        <v/>
      </c>
      <c r="AT30" s="40" t="str">
        <f t="shared" si="19"/>
        <v/>
      </c>
      <c r="AU30" s="40" t="str">
        <f t="shared" si="20"/>
        <v/>
      </c>
      <c r="AV30" s="40" t="str">
        <f t="shared" si="21"/>
        <v/>
      </c>
      <c r="AW30" s="40" t="str">
        <f t="shared" si="22"/>
        <v/>
      </c>
      <c r="AX30" s="40" t="str">
        <f t="shared" si="23"/>
        <v/>
      </c>
      <c r="AY30" s="40" t="str">
        <f t="shared" si="24"/>
        <v/>
      </c>
      <c r="AZ30" s="26">
        <v>3.8</v>
      </c>
      <c r="BA30" s="26">
        <v>2.6</v>
      </c>
      <c r="BB30" s="26">
        <v>2.4</v>
      </c>
      <c r="BC30" s="26">
        <v>3.68</v>
      </c>
      <c r="BD30" s="26">
        <v>0</v>
      </c>
      <c r="BE30" s="26">
        <v>14.7</v>
      </c>
      <c r="BF30" s="26">
        <v>9.3000000000000007</v>
      </c>
      <c r="BG30" s="26">
        <v>8.8000000000000007</v>
      </c>
      <c r="BH30" s="26">
        <v>12.99</v>
      </c>
      <c r="BI30" s="26">
        <v>0</v>
      </c>
      <c r="BJ30" s="26"/>
      <c r="BK30" s="26"/>
      <c r="BL30" s="26"/>
      <c r="BM30" s="26"/>
      <c r="BN30" s="26"/>
      <c r="BO30" s="28"/>
      <c r="BP30" s="39">
        <f t="shared" si="25"/>
        <v>2.4</v>
      </c>
      <c r="BQ30" s="39">
        <f t="shared" si="26"/>
        <v>3.68</v>
      </c>
      <c r="BR30" s="11">
        <f t="shared" si="27"/>
        <v>12.48</v>
      </c>
      <c r="BS30" s="11">
        <f t="shared" si="28"/>
        <v>8.8000000000000007</v>
      </c>
      <c r="BT30" s="11">
        <f t="shared" si="29"/>
        <v>12.99</v>
      </c>
      <c r="BU30" s="11">
        <f t="shared" si="30"/>
        <v>45.79</v>
      </c>
      <c r="BV30" s="11">
        <f t="shared" si="31"/>
        <v>45.79</v>
      </c>
      <c r="BW30" s="11" t="str">
        <f t="shared" si="32"/>
        <v/>
      </c>
      <c r="BX30" s="11" t="str">
        <f t="shared" si="33"/>
        <v/>
      </c>
      <c r="BY30" s="11" t="str">
        <f t="shared" si="34"/>
        <v/>
      </c>
      <c r="BZ30" s="11">
        <f t="shared" si="35"/>
        <v>45.79</v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6"/>
        <v/>
      </c>
      <c r="CR30" s="38" t="str">
        <f t="shared" si="37"/>
        <v/>
      </c>
      <c r="CS30" s="40" t="str">
        <f t="shared" si="38"/>
        <v/>
      </c>
      <c r="CT30" s="40" t="str">
        <f t="shared" si="39"/>
        <v/>
      </c>
      <c r="CU30" s="40" t="str">
        <f t="shared" si="40"/>
        <v/>
      </c>
      <c r="CV30" s="40" t="str">
        <f t="shared" si="41"/>
        <v/>
      </c>
      <c r="CW30" s="40" t="str">
        <f t="shared" si="42"/>
        <v/>
      </c>
      <c r="CX30" s="40" t="str">
        <f t="shared" si="43"/>
        <v/>
      </c>
      <c r="CY30" s="40" t="str">
        <f t="shared" si="44"/>
        <v/>
      </c>
      <c r="CZ30" s="40" t="str">
        <f t="shared" si="45"/>
        <v/>
      </c>
      <c r="DA30" s="40" t="str">
        <f t="shared" si="46"/>
        <v/>
      </c>
      <c r="DB30" s="50" t="str">
        <f t="shared" si="47"/>
        <v/>
      </c>
      <c r="DC30" s="50" t="str">
        <f t="shared" si="48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49"/>
        <v/>
      </c>
      <c r="DY30" s="40" t="str">
        <f t="shared" si="50"/>
        <v/>
      </c>
      <c r="DZ30" s="40" t="str">
        <f t="shared" si="51"/>
        <v/>
      </c>
      <c r="EA30" s="40" t="str">
        <f t="shared" si="52"/>
        <v/>
      </c>
      <c r="EB30" s="40" t="str">
        <f t="shared" si="53"/>
        <v/>
      </c>
      <c r="EC30" s="40" t="str">
        <f t="shared" si="54"/>
        <v/>
      </c>
      <c r="ED30" s="40" t="str">
        <f t="shared" si="55"/>
        <v/>
      </c>
      <c r="EE30" s="40" t="str">
        <f t="shared" si="56"/>
        <v/>
      </c>
      <c r="EF30" s="40" t="str">
        <f t="shared" si="57"/>
        <v/>
      </c>
      <c r="EG30" s="40" t="str">
        <f t="shared" si="58"/>
        <v/>
      </c>
      <c r="EH30" s="40" t="str">
        <f t="shared" si="59"/>
        <v/>
      </c>
      <c r="EI30" s="40" t="str">
        <f t="shared" si="60"/>
        <v/>
      </c>
      <c r="EJ30" s="40" t="str">
        <f t="shared" si="61"/>
        <v/>
      </c>
      <c r="EK30" s="40" t="str">
        <f t="shared" si="62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3"/>
        <v/>
      </c>
      <c r="FG30" s="11" t="str">
        <f t="shared" si="64"/>
        <v/>
      </c>
      <c r="FH30" s="11" t="str">
        <f t="shared" si="65"/>
        <v/>
      </c>
      <c r="FI30" s="11" t="str">
        <f t="shared" si="66"/>
        <v/>
      </c>
      <c r="FJ30" s="11" t="str">
        <f t="shared" si="67"/>
        <v/>
      </c>
      <c r="FK30" s="11" t="str">
        <f t="shared" si="68"/>
        <v/>
      </c>
      <c r="FL30" s="11" t="str">
        <f t="shared" si="69"/>
        <v/>
      </c>
      <c r="FM30" s="11" t="str">
        <f t="shared" si="70"/>
        <v/>
      </c>
      <c r="FN30" s="11" t="str">
        <f t="shared" si="71"/>
        <v/>
      </c>
      <c r="FO30" s="11" t="str">
        <f t="shared" si="72"/>
        <v/>
      </c>
      <c r="FP30" s="11" t="str">
        <f t="shared" si="73"/>
        <v/>
      </c>
      <c r="FQ30" s="11" t="str">
        <f t="shared" si="74"/>
        <v/>
      </c>
      <c r="FR30" s="11" t="str">
        <f t="shared" si="75"/>
        <v/>
      </c>
      <c r="FS30" s="11" t="str">
        <f t="shared" si="76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7"/>
        <v/>
      </c>
      <c r="GO30" s="40" t="str">
        <f t="shared" si="78"/>
        <v/>
      </c>
      <c r="GP30" s="40" t="str">
        <f t="shared" si="79"/>
        <v/>
      </c>
      <c r="GQ30" s="40" t="str">
        <f t="shared" si="80"/>
        <v/>
      </c>
      <c r="GR30" s="40" t="str">
        <f t="shared" si="81"/>
        <v/>
      </c>
      <c r="GS30" s="40" t="str">
        <f t="shared" si="82"/>
        <v/>
      </c>
      <c r="GT30" s="40" t="str">
        <f t="shared" si="83"/>
        <v/>
      </c>
      <c r="GU30" s="40" t="str">
        <f t="shared" si="84"/>
        <v/>
      </c>
      <c r="GV30" s="40" t="str">
        <f t="shared" si="85"/>
        <v/>
      </c>
      <c r="GW30" s="40" t="str">
        <f t="shared" si="86"/>
        <v/>
      </c>
      <c r="GX30" s="40" t="str">
        <f t="shared" si="87"/>
        <v/>
      </c>
      <c r="GY30" s="40" t="str">
        <f t="shared" si="88"/>
        <v/>
      </c>
      <c r="GZ30" s="40" t="str">
        <f t="shared" si="89"/>
        <v/>
      </c>
      <c r="HA30" s="40" t="str">
        <f t="shared" si="90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1"/>
        <v/>
      </c>
      <c r="HW30" s="11" t="str">
        <f t="shared" si="92"/>
        <v/>
      </c>
      <c r="HX30" s="11" t="str">
        <f t="shared" si="93"/>
        <v/>
      </c>
      <c r="HY30" s="11" t="str">
        <f t="shared" si="94"/>
        <v/>
      </c>
      <c r="HZ30" s="11" t="str">
        <f t="shared" si="95"/>
        <v/>
      </c>
      <c r="IA30" s="11" t="str">
        <f t="shared" si="96"/>
        <v/>
      </c>
      <c r="IB30" s="11" t="str">
        <f t="shared" si="97"/>
        <v/>
      </c>
      <c r="IC30" s="11" t="str">
        <f t="shared" si="98"/>
        <v/>
      </c>
      <c r="ID30" s="11" t="str">
        <f t="shared" si="99"/>
        <v/>
      </c>
      <c r="IE30" s="11" t="str">
        <f t="shared" si="100"/>
        <v/>
      </c>
      <c r="IF30" s="11" t="str">
        <f t="shared" si="101"/>
        <v/>
      </c>
      <c r="IG30" s="11" t="str">
        <f t="shared" si="102"/>
        <v/>
      </c>
      <c r="IH30" s="11" t="str">
        <f t="shared" si="103"/>
        <v/>
      </c>
      <c r="II30" s="11" t="str">
        <f t="shared" si="104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5"/>
        <v/>
      </c>
      <c r="JE30" s="40" t="str">
        <f t="shared" si="106"/>
        <v/>
      </c>
      <c r="JF30" s="40" t="str">
        <f t="shared" si="107"/>
        <v/>
      </c>
      <c r="JG30" s="40" t="str">
        <f t="shared" si="108"/>
        <v/>
      </c>
      <c r="JH30" s="40" t="str">
        <f t="shared" si="109"/>
        <v/>
      </c>
      <c r="JI30" s="40" t="str">
        <f t="shared" si="110"/>
        <v/>
      </c>
      <c r="JJ30" s="40" t="str">
        <f t="shared" si="111"/>
        <v/>
      </c>
      <c r="JK30" s="40" t="str">
        <f t="shared" si="112"/>
        <v/>
      </c>
      <c r="JL30" s="40" t="str">
        <f t="shared" si="113"/>
        <v/>
      </c>
      <c r="JM30" s="40" t="str">
        <f t="shared" si="114"/>
        <v/>
      </c>
      <c r="JN30" s="40" t="str">
        <f t="shared" si="115"/>
        <v/>
      </c>
      <c r="JO30" s="40" t="str">
        <f t="shared" si="116"/>
        <v/>
      </c>
      <c r="JP30" s="40" t="str">
        <f t="shared" si="117"/>
        <v/>
      </c>
      <c r="JQ30" s="40" t="str">
        <f t="shared" si="118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19"/>
        <v/>
      </c>
      <c r="KM30" s="11" t="str">
        <f t="shared" si="120"/>
        <v/>
      </c>
      <c r="KN30" s="11" t="str">
        <f t="shared" si="121"/>
        <v/>
      </c>
      <c r="KO30" s="11" t="str">
        <f t="shared" si="122"/>
        <v/>
      </c>
      <c r="KP30" s="11" t="str">
        <f t="shared" si="123"/>
        <v/>
      </c>
      <c r="KQ30" s="11" t="str">
        <f t="shared" si="124"/>
        <v/>
      </c>
      <c r="KR30" s="11" t="str">
        <f t="shared" si="125"/>
        <v/>
      </c>
      <c r="KS30" s="11" t="str">
        <f t="shared" si="126"/>
        <v/>
      </c>
      <c r="KT30" s="11" t="str">
        <f t="shared" si="127"/>
        <v/>
      </c>
      <c r="KU30" s="11" t="str">
        <f t="shared" si="128"/>
        <v/>
      </c>
      <c r="KV30" s="11" t="str">
        <f t="shared" si="129"/>
        <v/>
      </c>
      <c r="KW30" s="11" t="str">
        <f t="shared" si="130"/>
        <v/>
      </c>
      <c r="KX30" s="11" t="str">
        <f t="shared" si="131"/>
        <v/>
      </c>
      <c r="KY30" s="11" t="str">
        <f t="shared" si="132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3"/>
        <v/>
      </c>
      <c r="LU30" s="40" t="str">
        <f t="shared" si="134"/>
        <v/>
      </c>
      <c r="LV30" s="40" t="str">
        <f t="shared" si="135"/>
        <v/>
      </c>
      <c r="LW30" s="40" t="str">
        <f t="shared" si="136"/>
        <v/>
      </c>
      <c r="LX30" s="40" t="str">
        <f t="shared" si="137"/>
        <v/>
      </c>
      <c r="LY30" s="40" t="str">
        <f t="shared" si="138"/>
        <v/>
      </c>
      <c r="LZ30" s="40" t="str">
        <f t="shared" si="139"/>
        <v/>
      </c>
      <c r="MA30" s="40" t="str">
        <f t="shared" si="140"/>
        <v/>
      </c>
      <c r="MB30" s="40" t="str">
        <f t="shared" si="141"/>
        <v/>
      </c>
      <c r="MC30" s="40" t="str">
        <f t="shared" si="142"/>
        <v/>
      </c>
      <c r="MD30" s="40" t="str">
        <f t="shared" si="143"/>
        <v/>
      </c>
      <c r="ME30" s="40" t="str">
        <f t="shared" si="144"/>
        <v/>
      </c>
      <c r="MF30" s="40" t="str">
        <f t="shared" si="145"/>
        <v/>
      </c>
      <c r="MG30" s="40" t="str">
        <f t="shared" si="146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7"/>
        <v/>
      </c>
      <c r="NC30" s="11" t="str">
        <f t="shared" si="148"/>
        <v/>
      </c>
      <c r="ND30" s="11" t="str">
        <f t="shared" si="149"/>
        <v/>
      </c>
      <c r="NE30" s="11" t="str">
        <f t="shared" si="150"/>
        <v/>
      </c>
      <c r="NF30" s="11" t="str">
        <f t="shared" si="151"/>
        <v/>
      </c>
      <c r="NG30" s="11" t="str">
        <f t="shared" si="152"/>
        <v/>
      </c>
      <c r="NH30" s="11" t="str">
        <f t="shared" si="153"/>
        <v/>
      </c>
      <c r="NI30" s="11" t="str">
        <f t="shared" si="154"/>
        <v/>
      </c>
      <c r="NJ30" s="11" t="str">
        <f t="shared" si="155"/>
        <v/>
      </c>
      <c r="NK30" s="11" t="str">
        <f t="shared" si="156"/>
        <v/>
      </c>
      <c r="NL30" s="11" t="str">
        <f t="shared" si="157"/>
        <v/>
      </c>
      <c r="NM30" s="11" t="str">
        <f t="shared" si="158"/>
        <v/>
      </c>
      <c r="NN30" s="11" t="str">
        <f t="shared" si="159"/>
        <v/>
      </c>
      <c r="NO30" s="11" t="str">
        <f t="shared" si="160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1"/>
        <v/>
      </c>
      <c r="OK30" s="40" t="str">
        <f t="shared" si="162"/>
        <v/>
      </c>
      <c r="OL30" s="40" t="str">
        <f t="shared" si="163"/>
        <v/>
      </c>
      <c r="OM30" s="40" t="str">
        <f t="shared" si="164"/>
        <v/>
      </c>
      <c r="ON30" s="40" t="str">
        <f t="shared" si="165"/>
        <v/>
      </c>
      <c r="OO30" s="40" t="str">
        <f t="shared" si="166"/>
        <v/>
      </c>
      <c r="OP30" s="40" t="str">
        <f t="shared" si="167"/>
        <v/>
      </c>
      <c r="OQ30" s="40" t="str">
        <f t="shared" si="168"/>
        <v/>
      </c>
      <c r="OR30" s="40" t="str">
        <f t="shared" si="169"/>
        <v/>
      </c>
      <c r="OS30" s="40" t="str">
        <f t="shared" si="170"/>
        <v/>
      </c>
      <c r="OT30" s="40" t="str">
        <f t="shared" si="171"/>
        <v/>
      </c>
      <c r="OU30" s="40" t="str">
        <f t="shared" si="172"/>
        <v/>
      </c>
      <c r="OV30" s="40" t="str">
        <f t="shared" si="173"/>
        <v/>
      </c>
      <c r="OW30" s="40" t="str">
        <f t="shared" si="174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5"/>
        <v/>
      </c>
      <c r="PS30" s="11" t="str">
        <f t="shared" si="176"/>
        <v/>
      </c>
      <c r="PT30" s="11" t="str">
        <f t="shared" si="177"/>
        <v/>
      </c>
      <c r="PU30" s="11" t="str">
        <f t="shared" si="178"/>
        <v/>
      </c>
      <c r="PV30" s="11" t="str">
        <f t="shared" si="179"/>
        <v/>
      </c>
      <c r="PW30" s="11" t="str">
        <f t="shared" si="180"/>
        <v/>
      </c>
      <c r="PX30" s="11" t="str">
        <f t="shared" si="181"/>
        <v/>
      </c>
      <c r="PY30" s="11" t="str">
        <f t="shared" si="182"/>
        <v/>
      </c>
      <c r="PZ30" s="11" t="str">
        <f t="shared" si="183"/>
        <v/>
      </c>
      <c r="QA30" s="11" t="str">
        <f t="shared" si="184"/>
        <v/>
      </c>
      <c r="QB30" s="11" t="str">
        <f t="shared" si="185"/>
        <v/>
      </c>
      <c r="QC30" s="11" t="str">
        <f t="shared" si="186"/>
        <v/>
      </c>
      <c r="QD30" s="11" t="str">
        <f t="shared" si="187"/>
        <v/>
      </c>
      <c r="QE30" s="11" t="str">
        <f t="shared" si="188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89"/>
        <v/>
      </c>
      <c r="RA30" s="40" t="str">
        <f t="shared" si="190"/>
        <v/>
      </c>
      <c r="RB30" s="40" t="str">
        <f t="shared" si="191"/>
        <v/>
      </c>
      <c r="RC30" s="40" t="str">
        <f t="shared" si="192"/>
        <v/>
      </c>
      <c r="RD30" s="40" t="str">
        <f t="shared" si="193"/>
        <v/>
      </c>
      <c r="RE30" s="40" t="str">
        <f t="shared" si="194"/>
        <v/>
      </c>
      <c r="RF30" s="40" t="str">
        <f t="shared" si="195"/>
        <v/>
      </c>
      <c r="RG30" s="40" t="str">
        <f t="shared" si="196"/>
        <v/>
      </c>
      <c r="RH30" s="40" t="str">
        <f t="shared" si="197"/>
        <v/>
      </c>
      <c r="RI30" s="40" t="str">
        <f t="shared" si="198"/>
        <v/>
      </c>
      <c r="RJ30" s="40" t="str">
        <f t="shared" si="199"/>
        <v/>
      </c>
      <c r="RK30" s="40" t="str">
        <f t="shared" si="200"/>
        <v/>
      </c>
      <c r="RL30" s="40" t="str">
        <f t="shared" si="201"/>
        <v/>
      </c>
      <c r="RM30" s="40" t="str">
        <f t="shared" si="202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3"/>
        <v/>
      </c>
      <c r="SI30" s="11" t="str">
        <f t="shared" si="204"/>
        <v/>
      </c>
      <c r="SJ30" s="11" t="str">
        <f t="shared" si="205"/>
        <v/>
      </c>
      <c r="SK30" s="11" t="str">
        <f t="shared" si="206"/>
        <v/>
      </c>
      <c r="SL30" s="11" t="str">
        <f t="shared" si="207"/>
        <v/>
      </c>
      <c r="SM30" s="11" t="str">
        <f t="shared" si="208"/>
        <v/>
      </c>
      <c r="SN30" s="11" t="str">
        <f t="shared" si="209"/>
        <v/>
      </c>
      <c r="SO30" s="11" t="str">
        <f t="shared" si="210"/>
        <v/>
      </c>
      <c r="SP30" s="11" t="str">
        <f t="shared" si="211"/>
        <v/>
      </c>
      <c r="SQ30" s="11" t="str">
        <f t="shared" si="212"/>
        <v/>
      </c>
      <c r="SR30" s="11" t="str">
        <f t="shared" si="213"/>
        <v/>
      </c>
      <c r="SS30" s="11" t="str">
        <f t="shared" si="214"/>
        <v/>
      </c>
      <c r="ST30" s="11" t="str">
        <f t="shared" si="215"/>
        <v/>
      </c>
      <c r="SU30" s="11" t="str">
        <f t="shared" si="216"/>
        <v/>
      </c>
      <c r="SV30" s="22">
        <f t="shared" si="217"/>
        <v>1.9</v>
      </c>
      <c r="SW30" s="22">
        <f t="shared" si="218"/>
        <v>1.3</v>
      </c>
      <c r="SX30" s="22">
        <f t="shared" si="219"/>
        <v>1.2</v>
      </c>
      <c r="SY30" s="22">
        <f t="shared" si="220"/>
        <v>1.84</v>
      </c>
      <c r="SZ30" s="22">
        <f t="shared" si="221"/>
        <v>0</v>
      </c>
      <c r="TA30" s="22">
        <f t="shared" si="222"/>
        <v>7.35</v>
      </c>
      <c r="TB30" s="22">
        <f t="shared" si="223"/>
        <v>4.6500000000000004</v>
      </c>
      <c r="TC30" s="22">
        <f t="shared" si="224"/>
        <v>4.4000000000000004</v>
      </c>
      <c r="TD30" s="22">
        <f t="shared" si="225"/>
        <v>6.4950000000000001</v>
      </c>
      <c r="TE30" s="22">
        <f t="shared" si="226"/>
        <v>0</v>
      </c>
      <c r="TF30" s="22">
        <f t="shared" si="227"/>
        <v>0</v>
      </c>
      <c r="TG30" s="22">
        <f t="shared" si="228"/>
        <v>0</v>
      </c>
      <c r="TH30" s="22">
        <f t="shared" si="229"/>
        <v>0</v>
      </c>
      <c r="TI30" s="22">
        <f t="shared" si="230"/>
        <v>0</v>
      </c>
      <c r="TJ30" s="22">
        <f t="shared" si="231"/>
        <v>0</v>
      </c>
      <c r="TK30" s="27" t="s">
        <v>46</v>
      </c>
      <c r="TL30" s="40">
        <f t="shared" si="232"/>
        <v>1.2</v>
      </c>
      <c r="TM30" s="40">
        <f t="shared" si="233"/>
        <v>1.84</v>
      </c>
      <c r="TN30" s="40">
        <f t="shared" si="234"/>
        <v>6.24</v>
      </c>
      <c r="TO30" s="40">
        <f t="shared" si="235"/>
        <v>4.4000000000000004</v>
      </c>
      <c r="TP30" s="40">
        <f t="shared" si="236"/>
        <v>6.4950000000000001</v>
      </c>
      <c r="TQ30" s="40">
        <f t="shared" si="237"/>
        <v>22.895</v>
      </c>
      <c r="TR30" s="40">
        <f t="shared" si="238"/>
        <v>22.895</v>
      </c>
      <c r="TS30" s="40" t="str">
        <f t="shared" si="239"/>
        <v/>
      </c>
      <c r="TT30" s="40" t="str">
        <f t="shared" si="240"/>
        <v/>
      </c>
      <c r="TU30" s="40" t="str">
        <f t="shared" si="241"/>
        <v/>
      </c>
      <c r="TV30" s="40">
        <f t="shared" si="242"/>
        <v>22.895</v>
      </c>
    </row>
    <row r="31" spans="1:542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64</v>
      </c>
      <c r="D31" s="4" t="s">
        <v>3</v>
      </c>
      <c r="E31" s="4">
        <v>2002</v>
      </c>
      <c r="F31" s="9">
        <f t="shared" si="0"/>
        <v>60.450006045004521</v>
      </c>
      <c r="G31" s="66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45.2</v>
      </c>
      <c r="M31" s="8" t="str">
        <f t="shared" si="5"/>
        <v>2023 Elite Canada</v>
      </c>
      <c r="N31" s="8">
        <f>IF(COUNT(AQ31,AT31,BR31,BU31,CS31,CV31)&gt;1,LARGE((AQ31,AT31,BR31,BU31,CS31,CV31),2),0)</f>
        <v>5.35</v>
      </c>
      <c r="O31" s="8" t="str">
        <f t="shared" si="6"/>
        <v>2023 Elite Canada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9.9</v>
      </c>
      <c r="S31" s="8" t="str">
        <f t="shared" si="9"/>
        <v>2023 Elite Canada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>IF(V31="","",IF(V31=DB31,IF(V31+IF(P31="",0,P31)=SN31,$RN$1,IF(V31+IF(P31="",0,P31)=RF31,$QF$1,IF(V31+IF(P31="",0,P31)=PX31,$OX$1,IF(V31+IF(P31="",0,P31)=OP31,$NP$1,IF(V31+IF(P31="",0,P31)=NH31,$MH$1,IF(V31+IF(P31="",0,P31)=LZ31,$KZ$1,IF(V31+IF(P31="",0,P31)=KR31,$JR$1,IF(V31+IF(P31="",0,P31)=JJ31,$IJ$1,IF(V31+IF(P31="",0,P31)=IB31,$HB$1,IF(V31+IF(P31="",0,P31)=GT31,$FT$1,IF(V31+IF(P31="",0,P31)=FL31,$EL$1,IF(V31+IF(P31="",0,P31)=ED31,$DD$1)))))))))))),IF(V31=DC31,IF(V31+IF(#REF!="",0,#REF!)=ST31,$RN$1,IF(V31+IF(#REF!="",0,#REF!)=RL31,$QF$1,IF(V31+IF(#REF!="",0,#REF!)=QD31,$OX$1,IF(V31+IF(#REF!="",0,#REF!)=OV31,$NP$1,IF(V31+IF(#REF!="",0,#REF!)=NN31,$MH$1,IF(V31+IF(#REF!="",0,#REF!)=MF31,$KZ$1,IF(V31+IF(#REF!="",0,#REF!)=KX31,$JR$1,IF(V31+IF(#REF!="",0,#REF!)=JP31,$IJ$1,IF(V31+IF(#REF!="",0,#REF!)=IH31,$HB$1,IF(V31+IF(#REF!="",0,#REF!)=GZ31,$FT$1,IF(V31+IF(#REF!="",0,#REF!)=FR31,$EL$1,IF(V31+IF(#REF!="",0,#REF!)=EJ31,$DD$1,IF(V31+IF(#REF!="",0,#REF!)=SQ31,$RN$1,IF(V31+IF(#REF!="",0,#REF!)=RI31,$QF$1,IF(V31+IF(#REF!="",0,#REF!)=QA31,$OX$1,IF(V31+IF(#REF!="",0,#REF!)=OS31,$NP$1,IF(V31+IF(#REF!="",0,#REF!)=NK31,$MH$1,IF(V31+IF(#REF!="",0,#REF!)=MC31,$KZ$1,IF(V31+IF(#REF!="",0,#REF!)=KU31,$JR$1,IF(V31+IF(#REF!="",0,#REF!)=JM31,$IJ$1,IF(V31+IF(#REF!="",0,#REF!)=IE31,$HB$1,IF(V31+IF(#REF!="",0,#REF!)=GW31,$FT$1,IF(V31+IF(#REF!="",0,#REF!)=FO31,$EL$1,IF(V31+IF(#REF!="",0,#REF!)=EG31,$DD$1)))))))))))))))))))))))))))</f>
        <v/>
      </c>
      <c r="Y31" s="22">
        <v>14</v>
      </c>
      <c r="Z31" s="22">
        <v>8.5</v>
      </c>
      <c r="AA31" s="22">
        <v>9.9</v>
      </c>
      <c r="AB31" s="22">
        <v>12.8</v>
      </c>
      <c r="AC31" s="22">
        <v>0</v>
      </c>
      <c r="AD31" s="22">
        <v>1.4</v>
      </c>
      <c r="AE31" s="22">
        <v>0.9</v>
      </c>
      <c r="AF31" s="22">
        <v>1.5</v>
      </c>
      <c r="AG31" s="22">
        <v>1.55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4"/>
        <v>9.9</v>
      </c>
      <c r="AP31" s="38">
        <f t="shared" si="15"/>
        <v>12.8</v>
      </c>
      <c r="AQ31" s="40">
        <f t="shared" si="16"/>
        <v>45.2</v>
      </c>
      <c r="AR31" s="40">
        <f t="shared" si="17"/>
        <v>1.5</v>
      </c>
      <c r="AS31" s="40">
        <f t="shared" si="18"/>
        <v>1.55</v>
      </c>
      <c r="AT31" s="40">
        <f t="shared" si="19"/>
        <v>5.35</v>
      </c>
      <c r="AU31" s="40">
        <f t="shared" si="20"/>
        <v>45.2</v>
      </c>
      <c r="AV31" s="40" t="str">
        <f t="shared" si="21"/>
        <v/>
      </c>
      <c r="AW31" s="40" t="str">
        <f t="shared" si="22"/>
        <v/>
      </c>
      <c r="AX31" s="40" t="str">
        <f t="shared" si="23"/>
        <v/>
      </c>
      <c r="AY31" s="40">
        <f t="shared" si="24"/>
        <v>45.2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5"/>
        <v/>
      </c>
      <c r="BQ31" s="39" t="str">
        <f t="shared" si="26"/>
        <v/>
      </c>
      <c r="BR31" s="11" t="str">
        <f t="shared" si="27"/>
        <v/>
      </c>
      <c r="BS31" s="11" t="str">
        <f t="shared" si="28"/>
        <v/>
      </c>
      <c r="BT31" s="11" t="str">
        <f t="shared" si="29"/>
        <v/>
      </c>
      <c r="BU31" s="11" t="str">
        <f t="shared" si="30"/>
        <v/>
      </c>
      <c r="BV31" s="11" t="str">
        <f t="shared" si="31"/>
        <v/>
      </c>
      <c r="BW31" s="11" t="str">
        <f t="shared" si="32"/>
        <v/>
      </c>
      <c r="BX31" s="11" t="str">
        <f t="shared" si="33"/>
        <v/>
      </c>
      <c r="BY31" s="11" t="str">
        <f t="shared" si="34"/>
        <v/>
      </c>
      <c r="BZ31" s="11" t="str">
        <f t="shared" si="35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6"/>
        <v/>
      </c>
      <c r="CR31" s="38" t="str">
        <f t="shared" si="37"/>
        <v/>
      </c>
      <c r="CS31" s="40" t="str">
        <f t="shared" si="38"/>
        <v/>
      </c>
      <c r="CT31" s="40" t="str">
        <f t="shared" si="39"/>
        <v/>
      </c>
      <c r="CU31" s="40" t="str">
        <f t="shared" si="40"/>
        <v/>
      </c>
      <c r="CV31" s="40" t="str">
        <f t="shared" si="41"/>
        <v/>
      </c>
      <c r="CW31" s="40" t="str">
        <f t="shared" si="42"/>
        <v/>
      </c>
      <c r="CX31" s="40" t="str">
        <f t="shared" si="43"/>
        <v/>
      </c>
      <c r="CY31" s="40" t="str">
        <f t="shared" si="44"/>
        <v/>
      </c>
      <c r="CZ31" s="40" t="str">
        <f t="shared" si="45"/>
        <v/>
      </c>
      <c r="DA31" s="40" t="str">
        <f t="shared" si="46"/>
        <v/>
      </c>
      <c r="DB31" s="50" t="str">
        <f t="shared" si="47"/>
        <v/>
      </c>
      <c r="DC31" s="50" t="str">
        <f t="shared" si="48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49"/>
        <v/>
      </c>
      <c r="DY31" s="40" t="str">
        <f t="shared" si="50"/>
        <v/>
      </c>
      <c r="DZ31" s="40" t="str">
        <f t="shared" si="51"/>
        <v/>
      </c>
      <c r="EA31" s="40" t="str">
        <f t="shared" si="52"/>
        <v/>
      </c>
      <c r="EB31" s="40" t="str">
        <f t="shared" si="53"/>
        <v/>
      </c>
      <c r="EC31" s="40" t="str">
        <f t="shared" si="54"/>
        <v/>
      </c>
      <c r="ED31" s="40" t="str">
        <f t="shared" si="55"/>
        <v/>
      </c>
      <c r="EE31" s="40" t="str">
        <f t="shared" si="56"/>
        <v/>
      </c>
      <c r="EF31" s="40" t="str">
        <f t="shared" si="57"/>
        <v/>
      </c>
      <c r="EG31" s="40" t="str">
        <f t="shared" si="58"/>
        <v/>
      </c>
      <c r="EH31" s="40" t="str">
        <f t="shared" si="59"/>
        <v/>
      </c>
      <c r="EI31" s="40" t="str">
        <f t="shared" si="60"/>
        <v/>
      </c>
      <c r="EJ31" s="40" t="str">
        <f t="shared" si="61"/>
        <v/>
      </c>
      <c r="EK31" s="40" t="str">
        <f t="shared" si="62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3"/>
        <v/>
      </c>
      <c r="FG31" s="11" t="str">
        <f t="shared" si="64"/>
        <v/>
      </c>
      <c r="FH31" s="11" t="str">
        <f t="shared" si="65"/>
        <v/>
      </c>
      <c r="FI31" s="11" t="str">
        <f t="shared" si="66"/>
        <v/>
      </c>
      <c r="FJ31" s="11" t="str">
        <f t="shared" si="67"/>
        <v/>
      </c>
      <c r="FK31" s="11" t="str">
        <f t="shared" si="68"/>
        <v/>
      </c>
      <c r="FL31" s="11" t="str">
        <f t="shared" si="69"/>
        <v/>
      </c>
      <c r="FM31" s="11" t="str">
        <f t="shared" si="70"/>
        <v/>
      </c>
      <c r="FN31" s="11" t="str">
        <f t="shared" si="71"/>
        <v/>
      </c>
      <c r="FO31" s="11" t="str">
        <f t="shared" si="72"/>
        <v/>
      </c>
      <c r="FP31" s="11" t="str">
        <f t="shared" si="73"/>
        <v/>
      </c>
      <c r="FQ31" s="11" t="str">
        <f t="shared" si="74"/>
        <v/>
      </c>
      <c r="FR31" s="11" t="str">
        <f t="shared" si="75"/>
        <v/>
      </c>
      <c r="FS31" s="11" t="str">
        <f t="shared" si="76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7"/>
        <v/>
      </c>
      <c r="GO31" s="40" t="str">
        <f t="shared" si="78"/>
        <v/>
      </c>
      <c r="GP31" s="40" t="str">
        <f t="shared" si="79"/>
        <v/>
      </c>
      <c r="GQ31" s="40" t="str">
        <f t="shared" si="80"/>
        <v/>
      </c>
      <c r="GR31" s="40" t="str">
        <f t="shared" si="81"/>
        <v/>
      </c>
      <c r="GS31" s="40" t="str">
        <f t="shared" si="82"/>
        <v/>
      </c>
      <c r="GT31" s="40" t="str">
        <f t="shared" si="83"/>
        <v/>
      </c>
      <c r="GU31" s="40" t="str">
        <f t="shared" si="84"/>
        <v/>
      </c>
      <c r="GV31" s="40" t="str">
        <f t="shared" si="85"/>
        <v/>
      </c>
      <c r="GW31" s="40" t="str">
        <f t="shared" si="86"/>
        <v/>
      </c>
      <c r="GX31" s="40" t="str">
        <f t="shared" si="87"/>
        <v/>
      </c>
      <c r="GY31" s="40" t="str">
        <f t="shared" si="88"/>
        <v/>
      </c>
      <c r="GZ31" s="40" t="str">
        <f t="shared" si="89"/>
        <v/>
      </c>
      <c r="HA31" s="40" t="str">
        <f t="shared" si="90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1"/>
        <v/>
      </c>
      <c r="HW31" s="11" t="str">
        <f t="shared" si="92"/>
        <v/>
      </c>
      <c r="HX31" s="11" t="str">
        <f t="shared" si="93"/>
        <v/>
      </c>
      <c r="HY31" s="11" t="str">
        <f t="shared" si="94"/>
        <v/>
      </c>
      <c r="HZ31" s="11" t="str">
        <f t="shared" si="95"/>
        <v/>
      </c>
      <c r="IA31" s="11" t="str">
        <f t="shared" si="96"/>
        <v/>
      </c>
      <c r="IB31" s="11" t="str">
        <f t="shared" si="97"/>
        <v/>
      </c>
      <c r="IC31" s="11" t="str">
        <f t="shared" si="98"/>
        <v/>
      </c>
      <c r="ID31" s="11" t="str">
        <f t="shared" si="99"/>
        <v/>
      </c>
      <c r="IE31" s="11" t="str">
        <f t="shared" si="100"/>
        <v/>
      </c>
      <c r="IF31" s="11" t="str">
        <f t="shared" si="101"/>
        <v/>
      </c>
      <c r="IG31" s="11" t="str">
        <f t="shared" si="102"/>
        <v/>
      </c>
      <c r="IH31" s="11" t="str">
        <f t="shared" si="103"/>
        <v/>
      </c>
      <c r="II31" s="11" t="str">
        <f t="shared" si="104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5"/>
        <v/>
      </c>
      <c r="JE31" s="40" t="str">
        <f t="shared" si="106"/>
        <v/>
      </c>
      <c r="JF31" s="40" t="str">
        <f t="shared" si="107"/>
        <v/>
      </c>
      <c r="JG31" s="40" t="str">
        <f t="shared" si="108"/>
        <v/>
      </c>
      <c r="JH31" s="40" t="str">
        <f t="shared" si="109"/>
        <v/>
      </c>
      <c r="JI31" s="40" t="str">
        <f t="shared" si="110"/>
        <v/>
      </c>
      <c r="JJ31" s="40" t="str">
        <f t="shared" si="111"/>
        <v/>
      </c>
      <c r="JK31" s="40" t="str">
        <f t="shared" si="112"/>
        <v/>
      </c>
      <c r="JL31" s="40" t="str">
        <f t="shared" si="113"/>
        <v/>
      </c>
      <c r="JM31" s="40" t="str">
        <f t="shared" si="114"/>
        <v/>
      </c>
      <c r="JN31" s="40" t="str">
        <f t="shared" si="115"/>
        <v/>
      </c>
      <c r="JO31" s="40" t="str">
        <f t="shared" si="116"/>
        <v/>
      </c>
      <c r="JP31" s="40" t="str">
        <f t="shared" si="117"/>
        <v/>
      </c>
      <c r="JQ31" s="40" t="str">
        <f t="shared" si="118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19"/>
        <v/>
      </c>
      <c r="KM31" s="11" t="str">
        <f t="shared" si="120"/>
        <v/>
      </c>
      <c r="KN31" s="11" t="str">
        <f t="shared" si="121"/>
        <v/>
      </c>
      <c r="KO31" s="11" t="str">
        <f t="shared" si="122"/>
        <v/>
      </c>
      <c r="KP31" s="11" t="str">
        <f t="shared" si="123"/>
        <v/>
      </c>
      <c r="KQ31" s="11" t="str">
        <f t="shared" si="124"/>
        <v/>
      </c>
      <c r="KR31" s="11" t="str">
        <f t="shared" si="125"/>
        <v/>
      </c>
      <c r="KS31" s="11" t="str">
        <f t="shared" si="126"/>
        <v/>
      </c>
      <c r="KT31" s="11" t="str">
        <f t="shared" si="127"/>
        <v/>
      </c>
      <c r="KU31" s="11" t="str">
        <f t="shared" si="128"/>
        <v/>
      </c>
      <c r="KV31" s="11" t="str">
        <f t="shared" si="129"/>
        <v/>
      </c>
      <c r="KW31" s="11" t="str">
        <f t="shared" si="130"/>
        <v/>
      </c>
      <c r="KX31" s="11" t="str">
        <f t="shared" si="131"/>
        <v/>
      </c>
      <c r="KY31" s="11" t="str">
        <f t="shared" si="132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3"/>
        <v/>
      </c>
      <c r="LU31" s="40" t="str">
        <f t="shared" si="134"/>
        <v/>
      </c>
      <c r="LV31" s="40" t="str">
        <f t="shared" si="135"/>
        <v/>
      </c>
      <c r="LW31" s="40" t="str">
        <f t="shared" si="136"/>
        <v/>
      </c>
      <c r="LX31" s="40" t="str">
        <f t="shared" si="137"/>
        <v/>
      </c>
      <c r="LY31" s="40" t="str">
        <f t="shared" si="138"/>
        <v/>
      </c>
      <c r="LZ31" s="40" t="str">
        <f t="shared" si="139"/>
        <v/>
      </c>
      <c r="MA31" s="40" t="str">
        <f t="shared" si="140"/>
        <v/>
      </c>
      <c r="MB31" s="40" t="str">
        <f t="shared" si="141"/>
        <v/>
      </c>
      <c r="MC31" s="40" t="str">
        <f t="shared" si="142"/>
        <v/>
      </c>
      <c r="MD31" s="40" t="str">
        <f t="shared" si="143"/>
        <v/>
      </c>
      <c r="ME31" s="40" t="str">
        <f t="shared" si="144"/>
        <v/>
      </c>
      <c r="MF31" s="40" t="str">
        <f t="shared" si="145"/>
        <v/>
      </c>
      <c r="MG31" s="40" t="str">
        <f t="shared" si="146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7"/>
        <v/>
      </c>
      <c r="NC31" s="11" t="str">
        <f t="shared" si="148"/>
        <v/>
      </c>
      <c r="ND31" s="11" t="str">
        <f t="shared" si="149"/>
        <v/>
      </c>
      <c r="NE31" s="11" t="str">
        <f t="shared" si="150"/>
        <v/>
      </c>
      <c r="NF31" s="11" t="str">
        <f t="shared" si="151"/>
        <v/>
      </c>
      <c r="NG31" s="11" t="str">
        <f t="shared" si="152"/>
        <v/>
      </c>
      <c r="NH31" s="11" t="str">
        <f t="shared" si="153"/>
        <v/>
      </c>
      <c r="NI31" s="11" t="str">
        <f t="shared" si="154"/>
        <v/>
      </c>
      <c r="NJ31" s="11" t="str">
        <f t="shared" si="155"/>
        <v/>
      </c>
      <c r="NK31" s="11" t="str">
        <f t="shared" si="156"/>
        <v/>
      </c>
      <c r="NL31" s="11" t="str">
        <f t="shared" si="157"/>
        <v/>
      </c>
      <c r="NM31" s="11" t="str">
        <f t="shared" si="158"/>
        <v/>
      </c>
      <c r="NN31" s="11" t="str">
        <f t="shared" si="159"/>
        <v/>
      </c>
      <c r="NO31" s="11" t="str">
        <f t="shared" si="160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1"/>
        <v/>
      </c>
      <c r="OK31" s="40" t="str">
        <f t="shared" si="162"/>
        <v/>
      </c>
      <c r="OL31" s="40" t="str">
        <f t="shared" si="163"/>
        <v/>
      </c>
      <c r="OM31" s="40" t="str">
        <f t="shared" si="164"/>
        <v/>
      </c>
      <c r="ON31" s="40" t="str">
        <f t="shared" si="165"/>
        <v/>
      </c>
      <c r="OO31" s="40" t="str">
        <f t="shared" si="166"/>
        <v/>
      </c>
      <c r="OP31" s="40" t="str">
        <f t="shared" si="167"/>
        <v/>
      </c>
      <c r="OQ31" s="40" t="str">
        <f t="shared" si="168"/>
        <v/>
      </c>
      <c r="OR31" s="40" t="str">
        <f t="shared" si="169"/>
        <v/>
      </c>
      <c r="OS31" s="40" t="str">
        <f t="shared" si="170"/>
        <v/>
      </c>
      <c r="OT31" s="40" t="str">
        <f t="shared" si="171"/>
        <v/>
      </c>
      <c r="OU31" s="40" t="str">
        <f t="shared" si="172"/>
        <v/>
      </c>
      <c r="OV31" s="40" t="str">
        <f t="shared" si="173"/>
        <v/>
      </c>
      <c r="OW31" s="40" t="str">
        <f t="shared" si="174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5"/>
        <v/>
      </c>
      <c r="PS31" s="11" t="str">
        <f t="shared" si="176"/>
        <v/>
      </c>
      <c r="PT31" s="11" t="str">
        <f t="shared" si="177"/>
        <v/>
      </c>
      <c r="PU31" s="11" t="str">
        <f t="shared" si="178"/>
        <v/>
      </c>
      <c r="PV31" s="11" t="str">
        <f t="shared" si="179"/>
        <v/>
      </c>
      <c r="PW31" s="11" t="str">
        <f t="shared" si="180"/>
        <v/>
      </c>
      <c r="PX31" s="11" t="str">
        <f t="shared" si="181"/>
        <v/>
      </c>
      <c r="PY31" s="11" t="str">
        <f t="shared" si="182"/>
        <v/>
      </c>
      <c r="PZ31" s="11" t="str">
        <f t="shared" si="183"/>
        <v/>
      </c>
      <c r="QA31" s="11" t="str">
        <f t="shared" si="184"/>
        <v/>
      </c>
      <c r="QB31" s="11" t="str">
        <f t="shared" si="185"/>
        <v/>
      </c>
      <c r="QC31" s="11" t="str">
        <f t="shared" si="186"/>
        <v/>
      </c>
      <c r="QD31" s="11" t="str">
        <f t="shared" si="187"/>
        <v/>
      </c>
      <c r="QE31" s="11" t="str">
        <f t="shared" si="188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89"/>
        <v/>
      </c>
      <c r="RA31" s="40" t="str">
        <f t="shared" si="190"/>
        <v/>
      </c>
      <c r="RB31" s="40" t="str">
        <f t="shared" si="191"/>
        <v/>
      </c>
      <c r="RC31" s="40" t="str">
        <f t="shared" si="192"/>
        <v/>
      </c>
      <c r="RD31" s="40" t="str">
        <f t="shared" si="193"/>
        <v/>
      </c>
      <c r="RE31" s="40" t="str">
        <f t="shared" si="194"/>
        <v/>
      </c>
      <c r="RF31" s="40" t="str">
        <f t="shared" si="195"/>
        <v/>
      </c>
      <c r="RG31" s="40" t="str">
        <f t="shared" si="196"/>
        <v/>
      </c>
      <c r="RH31" s="40" t="str">
        <f t="shared" si="197"/>
        <v/>
      </c>
      <c r="RI31" s="40" t="str">
        <f t="shared" si="198"/>
        <v/>
      </c>
      <c r="RJ31" s="40" t="str">
        <f t="shared" si="199"/>
        <v/>
      </c>
      <c r="RK31" s="40" t="str">
        <f t="shared" si="200"/>
        <v/>
      </c>
      <c r="RL31" s="40" t="str">
        <f t="shared" si="201"/>
        <v/>
      </c>
      <c r="RM31" s="40" t="str">
        <f t="shared" si="202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3"/>
        <v/>
      </c>
      <c r="SI31" s="11" t="str">
        <f t="shared" si="204"/>
        <v/>
      </c>
      <c r="SJ31" s="11" t="str">
        <f t="shared" si="205"/>
        <v/>
      </c>
      <c r="SK31" s="11" t="str">
        <f t="shared" si="206"/>
        <v/>
      </c>
      <c r="SL31" s="11" t="str">
        <f t="shared" si="207"/>
        <v/>
      </c>
      <c r="SM31" s="11" t="str">
        <f t="shared" si="208"/>
        <v/>
      </c>
      <c r="SN31" s="11" t="str">
        <f t="shared" si="209"/>
        <v/>
      </c>
      <c r="SO31" s="11" t="str">
        <f t="shared" si="210"/>
        <v/>
      </c>
      <c r="SP31" s="11" t="str">
        <f t="shared" si="211"/>
        <v/>
      </c>
      <c r="SQ31" s="11" t="str">
        <f t="shared" si="212"/>
        <v/>
      </c>
      <c r="SR31" s="11" t="str">
        <f t="shared" si="213"/>
        <v/>
      </c>
      <c r="SS31" s="11" t="str">
        <f t="shared" si="214"/>
        <v/>
      </c>
      <c r="ST31" s="11" t="str">
        <f t="shared" si="215"/>
        <v/>
      </c>
      <c r="SU31" s="11" t="str">
        <f t="shared" si="216"/>
        <v/>
      </c>
      <c r="SV31" s="22">
        <f t="shared" si="217"/>
        <v>0</v>
      </c>
      <c r="SW31" s="22">
        <f t="shared" si="218"/>
        <v>0</v>
      </c>
      <c r="SX31" s="22">
        <f t="shared" si="219"/>
        <v>0</v>
      </c>
      <c r="SY31" s="22">
        <f t="shared" si="220"/>
        <v>0</v>
      </c>
      <c r="SZ31" s="22">
        <f t="shared" si="221"/>
        <v>0</v>
      </c>
      <c r="TA31" s="22">
        <f t="shared" si="222"/>
        <v>0</v>
      </c>
      <c r="TB31" s="22">
        <f t="shared" si="223"/>
        <v>0</v>
      </c>
      <c r="TC31" s="22">
        <f t="shared" si="224"/>
        <v>0</v>
      </c>
      <c r="TD31" s="22">
        <f t="shared" si="225"/>
        <v>0</v>
      </c>
      <c r="TE31" s="22">
        <f t="shared" si="226"/>
        <v>0</v>
      </c>
      <c r="TF31" s="22">
        <f t="shared" si="227"/>
        <v>0</v>
      </c>
      <c r="TG31" s="22">
        <f t="shared" si="228"/>
        <v>0</v>
      </c>
      <c r="TH31" s="22">
        <f t="shared" si="229"/>
        <v>0</v>
      </c>
      <c r="TI31" s="22">
        <f t="shared" si="230"/>
        <v>0</v>
      </c>
      <c r="TJ31" s="22">
        <f t="shared" si="231"/>
        <v>0</v>
      </c>
      <c r="TK31" s="27" t="s">
        <v>46</v>
      </c>
      <c r="TL31" s="40" t="str">
        <f t="shared" si="232"/>
        <v/>
      </c>
      <c r="TM31" s="40" t="str">
        <f t="shared" si="233"/>
        <v/>
      </c>
      <c r="TN31" s="40" t="str">
        <f t="shared" si="234"/>
        <v/>
      </c>
      <c r="TO31" s="40" t="str">
        <f t="shared" si="235"/>
        <v/>
      </c>
      <c r="TP31" s="40" t="str">
        <f t="shared" si="236"/>
        <v/>
      </c>
      <c r="TQ31" s="40" t="str">
        <f t="shared" si="237"/>
        <v/>
      </c>
      <c r="TR31" s="40" t="str">
        <f t="shared" si="238"/>
        <v/>
      </c>
      <c r="TS31" s="40" t="str">
        <f t="shared" si="239"/>
        <v/>
      </c>
      <c r="TT31" s="40" t="str">
        <f t="shared" si="240"/>
        <v/>
      </c>
      <c r="TU31" s="40" t="str">
        <f t="shared" si="241"/>
        <v/>
      </c>
      <c r="TV31" s="40" t="str">
        <f t="shared" si="242"/>
        <v/>
      </c>
    </row>
    <row r="32" spans="1:542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222</v>
      </c>
      <c r="D32" s="4" t="s">
        <v>4</v>
      </c>
      <c r="E32" s="4">
        <v>2006</v>
      </c>
      <c r="F32" s="9">
        <f t="shared" si="0"/>
        <v>50.590005059002344</v>
      </c>
      <c r="G32" s="66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23.43</v>
      </c>
      <c r="M32" s="8" t="str">
        <f t="shared" si="5"/>
        <v>2023 Nationals</v>
      </c>
      <c r="N32" s="8">
        <f>IF(COUNT(AQ32,AT32,BR32,BU32,CS32,CV32)&gt;1,LARGE((AQ32,AT32,BR32,BU32,CS32,CV32),2),0)</f>
        <v>21.86</v>
      </c>
      <c r="O32" s="8" t="str">
        <f t="shared" si="6"/>
        <v>2023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5.3</v>
      </c>
      <c r="S32" s="8" t="str">
        <f t="shared" si="9"/>
        <v>2023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>IF(V32="","",IF(V32=DB32,IF(V32+IF(P32="",0,P32)=SN32,$RN$1,IF(V32+IF(P32="",0,P32)=RF32,$QF$1,IF(V32+IF(P32="",0,P32)=PX32,$OX$1,IF(V32+IF(P32="",0,P32)=OP32,$NP$1,IF(V32+IF(P32="",0,P32)=NH32,$MH$1,IF(V32+IF(P32="",0,P32)=LZ32,$KZ$1,IF(V32+IF(P32="",0,P32)=KR32,$JR$1,IF(V32+IF(P32="",0,P32)=JJ32,$IJ$1,IF(V32+IF(P32="",0,P32)=IB32,$HB$1,IF(V32+IF(P32="",0,P32)=GT32,$FT$1,IF(V32+IF(P32="",0,P32)=FL32,$EL$1,IF(V32+IF(P32="",0,P32)=ED32,$DD$1)))))))))))),IF(V32=DC32,IF(V32+IF(#REF!="",0,#REF!)=ST32,$RN$1,IF(V32+IF(#REF!="",0,#REF!)=RL32,$QF$1,IF(V32+IF(#REF!="",0,#REF!)=QD32,$OX$1,IF(V32+IF(#REF!="",0,#REF!)=OV32,$NP$1,IF(V32+IF(#REF!="",0,#REF!)=NN32,$MH$1,IF(V32+IF(#REF!="",0,#REF!)=MF32,$KZ$1,IF(V32+IF(#REF!="",0,#REF!)=KX32,$JR$1,IF(V32+IF(#REF!="",0,#REF!)=JP32,$IJ$1,IF(V32+IF(#REF!="",0,#REF!)=IH32,$HB$1,IF(V32+IF(#REF!="",0,#REF!)=GZ32,$FT$1,IF(V32+IF(#REF!="",0,#REF!)=FR32,$EL$1,IF(V32+IF(#REF!="",0,#REF!)=EJ32,$DD$1,IF(V32+IF(#REF!="",0,#REF!)=SQ32,$RN$1,IF(V32+IF(#REF!="",0,#REF!)=RI32,$QF$1,IF(V32+IF(#REF!="",0,#REF!)=QA32,$OX$1,IF(V32+IF(#REF!="",0,#REF!)=OS32,$NP$1,IF(V32+IF(#REF!="",0,#REF!)=NK32,$MH$1,IF(V32+IF(#REF!="",0,#REF!)=MC32,$KZ$1,IF(V32+IF(#REF!="",0,#REF!)=KU32,$JR$1,IF(V32+IF(#REF!="",0,#REF!)=JM32,$IJ$1,IF(V32+IF(#REF!="",0,#REF!)=IE32,$HB$1,IF(V32+IF(#REF!="",0,#REF!)=GW32,$FT$1,IF(V32+IF(#REF!="",0,#REF!)=FO32,$EL$1,IF(V32+IF(#REF!="",0,#REF!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 t="shared" si="14"/>
        <v/>
      </c>
      <c r="AP32" s="38" t="str">
        <f t="shared" si="15"/>
        <v/>
      </c>
      <c r="AQ32" s="40" t="str">
        <f t="shared" si="16"/>
        <v/>
      </c>
      <c r="AR32" s="40" t="str">
        <f t="shared" si="17"/>
        <v/>
      </c>
      <c r="AS32" s="40" t="str">
        <f t="shared" si="18"/>
        <v/>
      </c>
      <c r="AT32" s="40" t="str">
        <f t="shared" si="19"/>
        <v/>
      </c>
      <c r="AU32" s="40" t="str">
        <f t="shared" si="20"/>
        <v/>
      </c>
      <c r="AV32" s="40" t="str">
        <f t="shared" si="21"/>
        <v/>
      </c>
      <c r="AW32" s="40" t="str">
        <f t="shared" si="22"/>
        <v/>
      </c>
      <c r="AX32" s="40" t="str">
        <f t="shared" si="23"/>
        <v/>
      </c>
      <c r="AY32" s="40" t="str">
        <f t="shared" si="24"/>
        <v/>
      </c>
      <c r="AZ32" s="26">
        <v>6.1</v>
      </c>
      <c r="BA32" s="26">
        <v>4.5999999999999996</v>
      </c>
      <c r="BB32" s="26">
        <v>4.7</v>
      </c>
      <c r="BC32" s="26">
        <v>6.46</v>
      </c>
      <c r="BD32" s="26">
        <v>0</v>
      </c>
      <c r="BE32" s="26">
        <v>6.7</v>
      </c>
      <c r="BF32" s="26">
        <v>4.5999999999999996</v>
      </c>
      <c r="BG32" s="26">
        <v>5.3</v>
      </c>
      <c r="BH32" s="26">
        <v>6.83</v>
      </c>
      <c r="BI32" s="26">
        <v>0</v>
      </c>
      <c r="BJ32" s="26"/>
      <c r="BK32" s="26"/>
      <c r="BL32" s="26"/>
      <c r="BM32" s="26"/>
      <c r="BN32" s="26"/>
      <c r="BO32" s="28"/>
      <c r="BP32" s="39">
        <f t="shared" si="25"/>
        <v>4.7</v>
      </c>
      <c r="BQ32" s="39">
        <f t="shared" si="26"/>
        <v>6.46</v>
      </c>
      <c r="BR32" s="11">
        <f t="shared" si="27"/>
        <v>21.86</v>
      </c>
      <c r="BS32" s="11">
        <f t="shared" si="28"/>
        <v>5.3</v>
      </c>
      <c r="BT32" s="11">
        <f t="shared" si="29"/>
        <v>6.83</v>
      </c>
      <c r="BU32" s="11">
        <f t="shared" si="30"/>
        <v>23.43</v>
      </c>
      <c r="BV32" s="11">
        <f t="shared" si="31"/>
        <v>23.43</v>
      </c>
      <c r="BW32" s="11" t="str">
        <f t="shared" si="32"/>
        <v/>
      </c>
      <c r="BX32" s="11" t="str">
        <f t="shared" si="33"/>
        <v/>
      </c>
      <c r="BY32" s="11" t="str">
        <f t="shared" si="34"/>
        <v/>
      </c>
      <c r="BZ32" s="11">
        <f t="shared" si="35"/>
        <v>23.43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6"/>
        <v/>
      </c>
      <c r="CR32" s="38" t="str">
        <f t="shared" si="37"/>
        <v/>
      </c>
      <c r="CS32" s="40" t="str">
        <f t="shared" si="38"/>
        <v/>
      </c>
      <c r="CT32" s="40" t="str">
        <f t="shared" si="39"/>
        <v/>
      </c>
      <c r="CU32" s="40" t="str">
        <f t="shared" si="40"/>
        <v/>
      </c>
      <c r="CV32" s="40" t="str">
        <f t="shared" si="41"/>
        <v/>
      </c>
      <c r="CW32" s="40" t="str">
        <f t="shared" si="42"/>
        <v/>
      </c>
      <c r="CX32" s="40" t="str">
        <f t="shared" si="43"/>
        <v/>
      </c>
      <c r="CY32" s="40" t="str">
        <f t="shared" si="44"/>
        <v/>
      </c>
      <c r="CZ32" s="40" t="str">
        <f t="shared" si="45"/>
        <v/>
      </c>
      <c r="DA32" s="40" t="str">
        <f t="shared" si="46"/>
        <v/>
      </c>
      <c r="DB32" s="50" t="str">
        <f t="shared" si="47"/>
        <v/>
      </c>
      <c r="DC32" s="50" t="str">
        <f t="shared" si="48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49"/>
        <v/>
      </c>
      <c r="DY32" s="40" t="str">
        <f t="shared" si="50"/>
        <v/>
      </c>
      <c r="DZ32" s="40" t="str">
        <f t="shared" si="51"/>
        <v/>
      </c>
      <c r="EA32" s="40" t="str">
        <f t="shared" si="52"/>
        <v/>
      </c>
      <c r="EB32" s="40" t="str">
        <f t="shared" si="53"/>
        <v/>
      </c>
      <c r="EC32" s="40" t="str">
        <f t="shared" si="54"/>
        <v/>
      </c>
      <c r="ED32" s="40" t="str">
        <f t="shared" si="55"/>
        <v/>
      </c>
      <c r="EE32" s="40" t="str">
        <f t="shared" si="56"/>
        <v/>
      </c>
      <c r="EF32" s="40" t="str">
        <f t="shared" si="57"/>
        <v/>
      </c>
      <c r="EG32" s="40" t="str">
        <f t="shared" si="58"/>
        <v/>
      </c>
      <c r="EH32" s="40" t="str">
        <f t="shared" si="59"/>
        <v/>
      </c>
      <c r="EI32" s="40" t="str">
        <f t="shared" si="60"/>
        <v/>
      </c>
      <c r="EJ32" s="40" t="str">
        <f t="shared" si="61"/>
        <v/>
      </c>
      <c r="EK32" s="40" t="str">
        <f t="shared" si="62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3"/>
        <v/>
      </c>
      <c r="FG32" s="11" t="str">
        <f t="shared" si="64"/>
        <v/>
      </c>
      <c r="FH32" s="11" t="str">
        <f t="shared" si="65"/>
        <v/>
      </c>
      <c r="FI32" s="11" t="str">
        <f t="shared" si="66"/>
        <v/>
      </c>
      <c r="FJ32" s="11" t="str">
        <f t="shared" si="67"/>
        <v/>
      </c>
      <c r="FK32" s="11" t="str">
        <f t="shared" si="68"/>
        <v/>
      </c>
      <c r="FL32" s="11" t="str">
        <f t="shared" si="69"/>
        <v/>
      </c>
      <c r="FM32" s="11" t="str">
        <f t="shared" si="70"/>
        <v/>
      </c>
      <c r="FN32" s="11" t="str">
        <f t="shared" si="71"/>
        <v/>
      </c>
      <c r="FO32" s="11" t="str">
        <f t="shared" si="72"/>
        <v/>
      </c>
      <c r="FP32" s="11" t="str">
        <f t="shared" si="73"/>
        <v/>
      </c>
      <c r="FQ32" s="11" t="str">
        <f t="shared" si="74"/>
        <v/>
      </c>
      <c r="FR32" s="11" t="str">
        <f t="shared" si="75"/>
        <v/>
      </c>
      <c r="FS32" s="11" t="str">
        <f t="shared" si="76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7"/>
        <v/>
      </c>
      <c r="GO32" s="40" t="str">
        <f t="shared" si="78"/>
        <v/>
      </c>
      <c r="GP32" s="40" t="str">
        <f t="shared" si="79"/>
        <v/>
      </c>
      <c r="GQ32" s="40" t="str">
        <f t="shared" si="80"/>
        <v/>
      </c>
      <c r="GR32" s="40" t="str">
        <f t="shared" si="81"/>
        <v/>
      </c>
      <c r="GS32" s="40" t="str">
        <f t="shared" si="82"/>
        <v/>
      </c>
      <c r="GT32" s="40" t="str">
        <f t="shared" si="83"/>
        <v/>
      </c>
      <c r="GU32" s="40" t="str">
        <f t="shared" si="84"/>
        <v/>
      </c>
      <c r="GV32" s="40" t="str">
        <f t="shared" si="85"/>
        <v/>
      </c>
      <c r="GW32" s="40" t="str">
        <f t="shared" si="86"/>
        <v/>
      </c>
      <c r="GX32" s="40" t="str">
        <f t="shared" si="87"/>
        <v/>
      </c>
      <c r="GY32" s="40" t="str">
        <f t="shared" si="88"/>
        <v/>
      </c>
      <c r="GZ32" s="40" t="str">
        <f t="shared" si="89"/>
        <v/>
      </c>
      <c r="HA32" s="40" t="str">
        <f t="shared" si="90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1"/>
        <v/>
      </c>
      <c r="HW32" s="11" t="str">
        <f t="shared" si="92"/>
        <v/>
      </c>
      <c r="HX32" s="11" t="str">
        <f t="shared" si="93"/>
        <v/>
      </c>
      <c r="HY32" s="11" t="str">
        <f t="shared" si="94"/>
        <v/>
      </c>
      <c r="HZ32" s="11" t="str">
        <f t="shared" si="95"/>
        <v/>
      </c>
      <c r="IA32" s="11" t="str">
        <f t="shared" si="96"/>
        <v/>
      </c>
      <c r="IB32" s="11" t="str">
        <f t="shared" si="97"/>
        <v/>
      </c>
      <c r="IC32" s="11" t="str">
        <f t="shared" si="98"/>
        <v/>
      </c>
      <c r="ID32" s="11" t="str">
        <f t="shared" si="99"/>
        <v/>
      </c>
      <c r="IE32" s="11" t="str">
        <f t="shared" si="100"/>
        <v/>
      </c>
      <c r="IF32" s="11" t="str">
        <f t="shared" si="101"/>
        <v/>
      </c>
      <c r="IG32" s="11" t="str">
        <f t="shared" si="102"/>
        <v/>
      </c>
      <c r="IH32" s="11" t="str">
        <f t="shared" si="103"/>
        <v/>
      </c>
      <c r="II32" s="11" t="str">
        <f t="shared" si="104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5"/>
        <v/>
      </c>
      <c r="JE32" s="40" t="str">
        <f t="shared" si="106"/>
        <v/>
      </c>
      <c r="JF32" s="40" t="str">
        <f t="shared" si="107"/>
        <v/>
      </c>
      <c r="JG32" s="40" t="str">
        <f t="shared" si="108"/>
        <v/>
      </c>
      <c r="JH32" s="40" t="str">
        <f t="shared" si="109"/>
        <v/>
      </c>
      <c r="JI32" s="40" t="str">
        <f t="shared" si="110"/>
        <v/>
      </c>
      <c r="JJ32" s="40" t="str">
        <f t="shared" si="111"/>
        <v/>
      </c>
      <c r="JK32" s="40" t="str">
        <f t="shared" si="112"/>
        <v/>
      </c>
      <c r="JL32" s="40" t="str">
        <f t="shared" si="113"/>
        <v/>
      </c>
      <c r="JM32" s="40" t="str">
        <f t="shared" si="114"/>
        <v/>
      </c>
      <c r="JN32" s="40" t="str">
        <f t="shared" si="115"/>
        <v/>
      </c>
      <c r="JO32" s="40" t="str">
        <f t="shared" si="116"/>
        <v/>
      </c>
      <c r="JP32" s="40" t="str">
        <f t="shared" si="117"/>
        <v/>
      </c>
      <c r="JQ32" s="40" t="str">
        <f t="shared" si="118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19"/>
        <v/>
      </c>
      <c r="KM32" s="11" t="str">
        <f t="shared" si="120"/>
        <v/>
      </c>
      <c r="KN32" s="11" t="str">
        <f t="shared" si="121"/>
        <v/>
      </c>
      <c r="KO32" s="11" t="str">
        <f t="shared" si="122"/>
        <v/>
      </c>
      <c r="KP32" s="11" t="str">
        <f t="shared" si="123"/>
        <v/>
      </c>
      <c r="KQ32" s="11" t="str">
        <f t="shared" si="124"/>
        <v/>
      </c>
      <c r="KR32" s="11" t="str">
        <f t="shared" si="125"/>
        <v/>
      </c>
      <c r="KS32" s="11" t="str">
        <f t="shared" si="126"/>
        <v/>
      </c>
      <c r="KT32" s="11" t="str">
        <f t="shared" si="127"/>
        <v/>
      </c>
      <c r="KU32" s="11" t="str">
        <f t="shared" si="128"/>
        <v/>
      </c>
      <c r="KV32" s="11" t="str">
        <f t="shared" si="129"/>
        <v/>
      </c>
      <c r="KW32" s="11" t="str">
        <f t="shared" si="130"/>
        <v/>
      </c>
      <c r="KX32" s="11" t="str">
        <f t="shared" si="131"/>
        <v/>
      </c>
      <c r="KY32" s="11" t="str">
        <f t="shared" si="132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3"/>
        <v/>
      </c>
      <c r="LU32" s="40" t="str">
        <f t="shared" si="134"/>
        <v/>
      </c>
      <c r="LV32" s="40" t="str">
        <f t="shared" si="135"/>
        <v/>
      </c>
      <c r="LW32" s="40" t="str">
        <f t="shared" si="136"/>
        <v/>
      </c>
      <c r="LX32" s="40" t="str">
        <f t="shared" si="137"/>
        <v/>
      </c>
      <c r="LY32" s="40" t="str">
        <f t="shared" si="138"/>
        <v/>
      </c>
      <c r="LZ32" s="40" t="str">
        <f t="shared" si="139"/>
        <v/>
      </c>
      <c r="MA32" s="40" t="str">
        <f t="shared" si="140"/>
        <v/>
      </c>
      <c r="MB32" s="40" t="str">
        <f t="shared" si="141"/>
        <v/>
      </c>
      <c r="MC32" s="40" t="str">
        <f t="shared" si="142"/>
        <v/>
      </c>
      <c r="MD32" s="40" t="str">
        <f t="shared" si="143"/>
        <v/>
      </c>
      <c r="ME32" s="40" t="str">
        <f t="shared" si="144"/>
        <v/>
      </c>
      <c r="MF32" s="40" t="str">
        <f t="shared" si="145"/>
        <v/>
      </c>
      <c r="MG32" s="40" t="str">
        <f t="shared" si="146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7"/>
        <v/>
      </c>
      <c r="NC32" s="11" t="str">
        <f t="shared" si="148"/>
        <v/>
      </c>
      <c r="ND32" s="11" t="str">
        <f t="shared" si="149"/>
        <v/>
      </c>
      <c r="NE32" s="11" t="str">
        <f t="shared" si="150"/>
        <v/>
      </c>
      <c r="NF32" s="11" t="str">
        <f t="shared" si="151"/>
        <v/>
      </c>
      <c r="NG32" s="11" t="str">
        <f t="shared" si="152"/>
        <v/>
      </c>
      <c r="NH32" s="11" t="str">
        <f t="shared" si="153"/>
        <v/>
      </c>
      <c r="NI32" s="11" t="str">
        <f t="shared" si="154"/>
        <v/>
      </c>
      <c r="NJ32" s="11" t="str">
        <f t="shared" si="155"/>
        <v/>
      </c>
      <c r="NK32" s="11" t="str">
        <f t="shared" si="156"/>
        <v/>
      </c>
      <c r="NL32" s="11" t="str">
        <f t="shared" si="157"/>
        <v/>
      </c>
      <c r="NM32" s="11" t="str">
        <f t="shared" si="158"/>
        <v/>
      </c>
      <c r="NN32" s="11" t="str">
        <f t="shared" si="159"/>
        <v/>
      </c>
      <c r="NO32" s="11" t="str">
        <f t="shared" si="160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1"/>
        <v/>
      </c>
      <c r="OK32" s="40" t="str">
        <f t="shared" si="162"/>
        <v/>
      </c>
      <c r="OL32" s="40" t="str">
        <f t="shared" si="163"/>
        <v/>
      </c>
      <c r="OM32" s="40" t="str">
        <f t="shared" si="164"/>
        <v/>
      </c>
      <c r="ON32" s="40" t="str">
        <f t="shared" si="165"/>
        <v/>
      </c>
      <c r="OO32" s="40" t="str">
        <f t="shared" si="166"/>
        <v/>
      </c>
      <c r="OP32" s="40" t="str">
        <f t="shared" si="167"/>
        <v/>
      </c>
      <c r="OQ32" s="40" t="str">
        <f t="shared" si="168"/>
        <v/>
      </c>
      <c r="OR32" s="40" t="str">
        <f t="shared" si="169"/>
        <v/>
      </c>
      <c r="OS32" s="40" t="str">
        <f t="shared" si="170"/>
        <v/>
      </c>
      <c r="OT32" s="40" t="str">
        <f t="shared" si="171"/>
        <v/>
      </c>
      <c r="OU32" s="40" t="str">
        <f t="shared" si="172"/>
        <v/>
      </c>
      <c r="OV32" s="40" t="str">
        <f t="shared" si="173"/>
        <v/>
      </c>
      <c r="OW32" s="40" t="str">
        <f t="shared" si="174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5"/>
        <v/>
      </c>
      <c r="PS32" s="11" t="str">
        <f t="shared" si="176"/>
        <v/>
      </c>
      <c r="PT32" s="11" t="str">
        <f t="shared" si="177"/>
        <v/>
      </c>
      <c r="PU32" s="11" t="str">
        <f t="shared" si="178"/>
        <v/>
      </c>
      <c r="PV32" s="11" t="str">
        <f t="shared" si="179"/>
        <v/>
      </c>
      <c r="PW32" s="11" t="str">
        <f t="shared" si="180"/>
        <v/>
      </c>
      <c r="PX32" s="11" t="str">
        <f t="shared" si="181"/>
        <v/>
      </c>
      <c r="PY32" s="11" t="str">
        <f t="shared" si="182"/>
        <v/>
      </c>
      <c r="PZ32" s="11" t="str">
        <f t="shared" si="183"/>
        <v/>
      </c>
      <c r="QA32" s="11" t="str">
        <f t="shared" si="184"/>
        <v/>
      </c>
      <c r="QB32" s="11" t="str">
        <f t="shared" si="185"/>
        <v/>
      </c>
      <c r="QC32" s="11" t="str">
        <f t="shared" si="186"/>
        <v/>
      </c>
      <c r="QD32" s="11" t="str">
        <f t="shared" si="187"/>
        <v/>
      </c>
      <c r="QE32" s="11" t="str">
        <f t="shared" si="188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89"/>
        <v/>
      </c>
      <c r="RA32" s="40" t="str">
        <f t="shared" si="190"/>
        <v/>
      </c>
      <c r="RB32" s="40" t="str">
        <f t="shared" si="191"/>
        <v/>
      </c>
      <c r="RC32" s="40" t="str">
        <f t="shared" si="192"/>
        <v/>
      </c>
      <c r="RD32" s="40" t="str">
        <f t="shared" si="193"/>
        <v/>
      </c>
      <c r="RE32" s="40" t="str">
        <f t="shared" si="194"/>
        <v/>
      </c>
      <c r="RF32" s="40" t="str">
        <f t="shared" si="195"/>
        <v/>
      </c>
      <c r="RG32" s="40" t="str">
        <f t="shared" si="196"/>
        <v/>
      </c>
      <c r="RH32" s="40" t="str">
        <f t="shared" si="197"/>
        <v/>
      </c>
      <c r="RI32" s="40" t="str">
        <f t="shared" si="198"/>
        <v/>
      </c>
      <c r="RJ32" s="40" t="str">
        <f t="shared" si="199"/>
        <v/>
      </c>
      <c r="RK32" s="40" t="str">
        <f t="shared" si="200"/>
        <v/>
      </c>
      <c r="RL32" s="40" t="str">
        <f t="shared" si="201"/>
        <v/>
      </c>
      <c r="RM32" s="40" t="str">
        <f t="shared" si="202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3"/>
        <v/>
      </c>
      <c r="SI32" s="11" t="str">
        <f t="shared" si="204"/>
        <v/>
      </c>
      <c r="SJ32" s="11" t="str">
        <f t="shared" si="205"/>
        <v/>
      </c>
      <c r="SK32" s="11" t="str">
        <f t="shared" si="206"/>
        <v/>
      </c>
      <c r="SL32" s="11" t="str">
        <f t="shared" si="207"/>
        <v/>
      </c>
      <c r="SM32" s="11" t="str">
        <f t="shared" si="208"/>
        <v/>
      </c>
      <c r="SN32" s="11" t="str">
        <f t="shared" si="209"/>
        <v/>
      </c>
      <c r="SO32" s="11" t="str">
        <f t="shared" si="210"/>
        <v/>
      </c>
      <c r="SP32" s="11" t="str">
        <f t="shared" si="211"/>
        <v/>
      </c>
      <c r="SQ32" s="11" t="str">
        <f t="shared" si="212"/>
        <v/>
      </c>
      <c r="SR32" s="11" t="str">
        <f t="shared" si="213"/>
        <v/>
      </c>
      <c r="SS32" s="11" t="str">
        <f t="shared" si="214"/>
        <v/>
      </c>
      <c r="ST32" s="11" t="str">
        <f t="shared" si="215"/>
        <v/>
      </c>
      <c r="SU32" s="11" t="str">
        <f t="shared" si="216"/>
        <v/>
      </c>
      <c r="SV32" s="22">
        <f t="shared" si="217"/>
        <v>3.05</v>
      </c>
      <c r="SW32" s="22">
        <f t="shared" si="218"/>
        <v>2.2999999999999998</v>
      </c>
      <c r="SX32" s="22">
        <f t="shared" si="219"/>
        <v>2.35</v>
      </c>
      <c r="SY32" s="22">
        <f t="shared" si="220"/>
        <v>3.23</v>
      </c>
      <c r="SZ32" s="22">
        <f t="shared" si="221"/>
        <v>0</v>
      </c>
      <c r="TA32" s="22">
        <f t="shared" si="222"/>
        <v>3.35</v>
      </c>
      <c r="TB32" s="22">
        <f t="shared" si="223"/>
        <v>2.2999999999999998</v>
      </c>
      <c r="TC32" s="22">
        <f t="shared" si="224"/>
        <v>2.65</v>
      </c>
      <c r="TD32" s="22">
        <f t="shared" si="225"/>
        <v>3.415</v>
      </c>
      <c r="TE32" s="22">
        <f t="shared" si="226"/>
        <v>0</v>
      </c>
      <c r="TF32" s="22">
        <f t="shared" si="227"/>
        <v>0</v>
      </c>
      <c r="TG32" s="22">
        <f t="shared" si="228"/>
        <v>0</v>
      </c>
      <c r="TH32" s="22">
        <f t="shared" si="229"/>
        <v>0</v>
      </c>
      <c r="TI32" s="22">
        <f t="shared" si="230"/>
        <v>0</v>
      </c>
      <c r="TJ32" s="22">
        <f t="shared" si="231"/>
        <v>0</v>
      </c>
      <c r="TK32" s="27" t="s">
        <v>46</v>
      </c>
      <c r="TL32" s="40">
        <f t="shared" si="232"/>
        <v>2.35</v>
      </c>
      <c r="TM32" s="40">
        <f t="shared" si="233"/>
        <v>3.23</v>
      </c>
      <c r="TN32" s="40">
        <f t="shared" si="234"/>
        <v>10.93</v>
      </c>
      <c r="TO32" s="40">
        <f t="shared" si="235"/>
        <v>2.65</v>
      </c>
      <c r="TP32" s="40">
        <f t="shared" si="236"/>
        <v>3.415</v>
      </c>
      <c r="TQ32" s="40">
        <f t="shared" si="237"/>
        <v>11.715</v>
      </c>
      <c r="TR32" s="40">
        <f t="shared" si="238"/>
        <v>11.715</v>
      </c>
      <c r="TS32" s="40" t="str">
        <f t="shared" si="239"/>
        <v/>
      </c>
      <c r="TT32" s="40" t="str">
        <f t="shared" si="240"/>
        <v/>
      </c>
      <c r="TU32" s="40" t="str">
        <f t="shared" si="241"/>
        <v/>
      </c>
      <c r="TV32" s="40">
        <f t="shared" si="242"/>
        <v>11.715</v>
      </c>
    </row>
    <row r="33" spans="1:544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221</v>
      </c>
      <c r="D33" s="4" t="s">
        <v>3</v>
      </c>
      <c r="E33" s="4">
        <v>2004</v>
      </c>
      <c r="F33" s="9">
        <f t="shared" si="0"/>
        <v>44.99000449900258</v>
      </c>
      <c r="G33" s="66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25.82</v>
      </c>
      <c r="M33" s="8" t="str">
        <f t="shared" si="5"/>
        <v>2023 Nationals</v>
      </c>
      <c r="N33" s="8">
        <f>IF(COUNT(AQ33,AT33,BR33,BU33,CS33,CV33)&gt;1,LARGE((AQ33,AT33,BR33,BU33,CS33,CV33),2),0)</f>
        <v>13.969999999999999</v>
      </c>
      <c r="O33" s="8" t="str">
        <f t="shared" si="6"/>
        <v>2023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5.2</v>
      </c>
      <c r="S33" s="8" t="str">
        <f t="shared" si="9"/>
        <v>2023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>IF(V33="","",IF(V33=DB33,IF(V33+IF(P33="",0,P33)=SN33,$RN$1,IF(V33+IF(P33="",0,P33)=RF33,$QF$1,IF(V33+IF(P33="",0,P33)=PX33,$OX$1,IF(V33+IF(P33="",0,P33)=OP33,$NP$1,IF(V33+IF(P33="",0,P33)=NH33,$MH$1,IF(V33+IF(P33="",0,P33)=LZ33,$KZ$1,IF(V33+IF(P33="",0,P33)=KR33,$JR$1,IF(V33+IF(P33="",0,P33)=JJ33,$IJ$1,IF(V33+IF(P33="",0,P33)=IB33,$HB$1,IF(V33+IF(P33="",0,P33)=GT33,$FT$1,IF(V33+IF(P33="",0,P33)=FL33,$EL$1,IF(V33+IF(P33="",0,P33)=ED33,$DD$1)))))))))))),IF(V33=DC33,IF(V33+IF(#REF!="",0,#REF!)=ST33,$RN$1,IF(V33+IF(#REF!="",0,#REF!)=RL33,$QF$1,IF(V33+IF(#REF!="",0,#REF!)=QD33,$OX$1,IF(V33+IF(#REF!="",0,#REF!)=OV33,$NP$1,IF(V33+IF(#REF!="",0,#REF!)=NN33,$MH$1,IF(V33+IF(#REF!="",0,#REF!)=MF33,$KZ$1,IF(V33+IF(#REF!="",0,#REF!)=KX33,$JR$1,IF(V33+IF(#REF!="",0,#REF!)=JP33,$IJ$1,IF(V33+IF(#REF!="",0,#REF!)=IH33,$HB$1,IF(V33+IF(#REF!="",0,#REF!)=GZ33,$FT$1,IF(V33+IF(#REF!="",0,#REF!)=FR33,$EL$1,IF(V33+IF(#REF!="",0,#REF!)=EJ33,$DD$1,IF(V33+IF(#REF!="",0,#REF!)=SQ33,$RN$1,IF(V33+IF(#REF!="",0,#REF!)=RI33,$QF$1,IF(V33+IF(#REF!="",0,#REF!)=QA33,$OX$1,IF(V33+IF(#REF!="",0,#REF!)=OS33,$NP$1,IF(V33+IF(#REF!="",0,#REF!)=NK33,$MH$1,IF(V33+IF(#REF!="",0,#REF!)=MC33,$KZ$1,IF(V33+IF(#REF!="",0,#REF!)=KU33,$JR$1,IF(V33+IF(#REF!="",0,#REF!)=JM33,$IJ$1,IF(V33+IF(#REF!="",0,#REF!)=IE33,$HB$1,IF(V33+IF(#REF!="",0,#REF!)=GW33,$FT$1,IF(V33+IF(#REF!="",0,#REF!)=FO33,$EL$1,IF(V33+IF(#REF!="",0,#REF!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 t="shared" si="14"/>
        <v/>
      </c>
      <c r="AP33" s="38" t="str">
        <f t="shared" si="15"/>
        <v/>
      </c>
      <c r="AQ33" s="40" t="str">
        <f t="shared" si="16"/>
        <v/>
      </c>
      <c r="AR33" s="40" t="str">
        <f t="shared" si="17"/>
        <v/>
      </c>
      <c r="AS33" s="40" t="str">
        <f t="shared" si="18"/>
        <v/>
      </c>
      <c r="AT33" s="40" t="str">
        <f t="shared" si="19"/>
        <v/>
      </c>
      <c r="AU33" s="40" t="str">
        <f t="shared" si="20"/>
        <v/>
      </c>
      <c r="AV33" s="40" t="str">
        <f t="shared" si="21"/>
        <v/>
      </c>
      <c r="AW33" s="40" t="str">
        <f t="shared" si="22"/>
        <v/>
      </c>
      <c r="AX33" s="40" t="str">
        <f t="shared" si="23"/>
        <v/>
      </c>
      <c r="AY33" s="40" t="str">
        <f t="shared" si="24"/>
        <v/>
      </c>
      <c r="AZ33" s="26">
        <v>3.8</v>
      </c>
      <c r="BA33" s="26">
        <v>2.8</v>
      </c>
      <c r="BB33" s="26">
        <v>3.6</v>
      </c>
      <c r="BC33" s="26">
        <v>3.77</v>
      </c>
      <c r="BD33" s="26">
        <v>0</v>
      </c>
      <c r="BE33" s="26">
        <v>7.8</v>
      </c>
      <c r="BF33" s="26">
        <v>5.5</v>
      </c>
      <c r="BG33" s="26">
        <v>5.2</v>
      </c>
      <c r="BH33" s="26">
        <v>7.32</v>
      </c>
      <c r="BI33" s="26">
        <v>0</v>
      </c>
      <c r="BJ33" s="26"/>
      <c r="BK33" s="26"/>
      <c r="BL33" s="26"/>
      <c r="BM33" s="26"/>
      <c r="BN33" s="26"/>
      <c r="BO33" s="28"/>
      <c r="BP33" s="39">
        <f t="shared" si="25"/>
        <v>3.6</v>
      </c>
      <c r="BQ33" s="39">
        <f t="shared" si="26"/>
        <v>3.77</v>
      </c>
      <c r="BR33" s="11">
        <f t="shared" si="27"/>
        <v>13.969999999999999</v>
      </c>
      <c r="BS33" s="11">
        <f t="shared" si="28"/>
        <v>5.2</v>
      </c>
      <c r="BT33" s="11">
        <f t="shared" si="29"/>
        <v>7.32</v>
      </c>
      <c r="BU33" s="11">
        <f t="shared" si="30"/>
        <v>25.82</v>
      </c>
      <c r="BV33" s="11">
        <f t="shared" si="31"/>
        <v>25.82</v>
      </c>
      <c r="BW33" s="11" t="str">
        <f t="shared" si="32"/>
        <v/>
      </c>
      <c r="BX33" s="11" t="str">
        <f t="shared" si="33"/>
        <v/>
      </c>
      <c r="BY33" s="11" t="str">
        <f t="shared" si="34"/>
        <v/>
      </c>
      <c r="BZ33" s="11">
        <f t="shared" si="35"/>
        <v>25.82</v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6"/>
        <v/>
      </c>
      <c r="CR33" s="38" t="str">
        <f t="shared" si="37"/>
        <v/>
      </c>
      <c r="CS33" s="40" t="str">
        <f t="shared" si="38"/>
        <v/>
      </c>
      <c r="CT33" s="40" t="str">
        <f t="shared" si="39"/>
        <v/>
      </c>
      <c r="CU33" s="40" t="str">
        <f t="shared" si="40"/>
        <v/>
      </c>
      <c r="CV33" s="40" t="str">
        <f t="shared" si="41"/>
        <v/>
      </c>
      <c r="CW33" s="40" t="str">
        <f t="shared" si="42"/>
        <v/>
      </c>
      <c r="CX33" s="40" t="str">
        <f t="shared" si="43"/>
        <v/>
      </c>
      <c r="CY33" s="40" t="str">
        <f t="shared" si="44"/>
        <v/>
      </c>
      <c r="CZ33" s="40" t="str">
        <f t="shared" si="45"/>
        <v/>
      </c>
      <c r="DA33" s="40" t="str">
        <f t="shared" si="46"/>
        <v/>
      </c>
      <c r="DB33" s="50" t="str">
        <f t="shared" si="47"/>
        <v/>
      </c>
      <c r="DC33" s="50" t="str">
        <f t="shared" si="48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49"/>
        <v/>
      </c>
      <c r="DY33" s="40" t="str">
        <f t="shared" si="50"/>
        <v/>
      </c>
      <c r="DZ33" s="40" t="str">
        <f t="shared" si="51"/>
        <v/>
      </c>
      <c r="EA33" s="40" t="str">
        <f t="shared" si="52"/>
        <v/>
      </c>
      <c r="EB33" s="40" t="str">
        <f t="shared" si="53"/>
        <v/>
      </c>
      <c r="EC33" s="40" t="str">
        <f t="shared" si="54"/>
        <v/>
      </c>
      <c r="ED33" s="40" t="str">
        <f t="shared" si="55"/>
        <v/>
      </c>
      <c r="EE33" s="40" t="str">
        <f t="shared" si="56"/>
        <v/>
      </c>
      <c r="EF33" s="40" t="str">
        <f t="shared" si="57"/>
        <v/>
      </c>
      <c r="EG33" s="40" t="str">
        <f t="shared" si="58"/>
        <v/>
      </c>
      <c r="EH33" s="40" t="str">
        <f t="shared" si="59"/>
        <v/>
      </c>
      <c r="EI33" s="40" t="str">
        <f t="shared" si="60"/>
        <v/>
      </c>
      <c r="EJ33" s="40" t="str">
        <f t="shared" si="61"/>
        <v/>
      </c>
      <c r="EK33" s="40" t="str">
        <f t="shared" si="62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3"/>
        <v/>
      </c>
      <c r="FG33" s="11" t="str">
        <f t="shared" si="64"/>
        <v/>
      </c>
      <c r="FH33" s="11" t="str">
        <f t="shared" si="65"/>
        <v/>
      </c>
      <c r="FI33" s="11" t="str">
        <f t="shared" si="66"/>
        <v/>
      </c>
      <c r="FJ33" s="11" t="str">
        <f t="shared" si="67"/>
        <v/>
      </c>
      <c r="FK33" s="11" t="str">
        <f t="shared" si="68"/>
        <v/>
      </c>
      <c r="FL33" s="11" t="str">
        <f t="shared" si="69"/>
        <v/>
      </c>
      <c r="FM33" s="11" t="str">
        <f t="shared" si="70"/>
        <v/>
      </c>
      <c r="FN33" s="11" t="str">
        <f t="shared" si="71"/>
        <v/>
      </c>
      <c r="FO33" s="11" t="str">
        <f t="shared" si="72"/>
        <v/>
      </c>
      <c r="FP33" s="11" t="str">
        <f t="shared" si="73"/>
        <v/>
      </c>
      <c r="FQ33" s="11" t="str">
        <f t="shared" si="74"/>
        <v/>
      </c>
      <c r="FR33" s="11" t="str">
        <f t="shared" si="75"/>
        <v/>
      </c>
      <c r="FS33" s="11" t="str">
        <f t="shared" si="76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7"/>
        <v/>
      </c>
      <c r="GO33" s="40" t="str">
        <f t="shared" si="78"/>
        <v/>
      </c>
      <c r="GP33" s="40" t="str">
        <f t="shared" si="79"/>
        <v/>
      </c>
      <c r="GQ33" s="40" t="str">
        <f t="shared" si="80"/>
        <v/>
      </c>
      <c r="GR33" s="40" t="str">
        <f t="shared" si="81"/>
        <v/>
      </c>
      <c r="GS33" s="40" t="str">
        <f t="shared" si="82"/>
        <v/>
      </c>
      <c r="GT33" s="40" t="str">
        <f t="shared" si="83"/>
        <v/>
      </c>
      <c r="GU33" s="40" t="str">
        <f t="shared" si="84"/>
        <v/>
      </c>
      <c r="GV33" s="40" t="str">
        <f t="shared" si="85"/>
        <v/>
      </c>
      <c r="GW33" s="40" t="str">
        <f t="shared" si="86"/>
        <v/>
      </c>
      <c r="GX33" s="40" t="str">
        <f t="shared" si="87"/>
        <v/>
      </c>
      <c r="GY33" s="40" t="str">
        <f t="shared" si="88"/>
        <v/>
      </c>
      <c r="GZ33" s="40" t="str">
        <f t="shared" si="89"/>
        <v/>
      </c>
      <c r="HA33" s="40" t="str">
        <f t="shared" si="90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1"/>
        <v/>
      </c>
      <c r="HW33" s="11" t="str">
        <f t="shared" si="92"/>
        <v/>
      </c>
      <c r="HX33" s="11" t="str">
        <f t="shared" si="93"/>
        <v/>
      </c>
      <c r="HY33" s="11" t="str">
        <f t="shared" si="94"/>
        <v/>
      </c>
      <c r="HZ33" s="11" t="str">
        <f t="shared" si="95"/>
        <v/>
      </c>
      <c r="IA33" s="11" t="str">
        <f t="shared" si="96"/>
        <v/>
      </c>
      <c r="IB33" s="11" t="str">
        <f t="shared" si="97"/>
        <v/>
      </c>
      <c r="IC33" s="11" t="str">
        <f t="shared" si="98"/>
        <v/>
      </c>
      <c r="ID33" s="11" t="str">
        <f t="shared" si="99"/>
        <v/>
      </c>
      <c r="IE33" s="11" t="str">
        <f t="shared" si="100"/>
        <v/>
      </c>
      <c r="IF33" s="11" t="str">
        <f t="shared" si="101"/>
        <v/>
      </c>
      <c r="IG33" s="11" t="str">
        <f t="shared" si="102"/>
        <v/>
      </c>
      <c r="IH33" s="11" t="str">
        <f t="shared" si="103"/>
        <v/>
      </c>
      <c r="II33" s="11" t="str">
        <f t="shared" si="104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5"/>
        <v/>
      </c>
      <c r="JE33" s="40" t="str">
        <f t="shared" si="106"/>
        <v/>
      </c>
      <c r="JF33" s="40" t="str">
        <f t="shared" si="107"/>
        <v/>
      </c>
      <c r="JG33" s="40" t="str">
        <f t="shared" si="108"/>
        <v/>
      </c>
      <c r="JH33" s="40" t="str">
        <f t="shared" si="109"/>
        <v/>
      </c>
      <c r="JI33" s="40" t="str">
        <f t="shared" si="110"/>
        <v/>
      </c>
      <c r="JJ33" s="40" t="str">
        <f t="shared" si="111"/>
        <v/>
      </c>
      <c r="JK33" s="40" t="str">
        <f t="shared" si="112"/>
        <v/>
      </c>
      <c r="JL33" s="40" t="str">
        <f t="shared" si="113"/>
        <v/>
      </c>
      <c r="JM33" s="40" t="str">
        <f t="shared" si="114"/>
        <v/>
      </c>
      <c r="JN33" s="40" t="str">
        <f t="shared" si="115"/>
        <v/>
      </c>
      <c r="JO33" s="40" t="str">
        <f t="shared" si="116"/>
        <v/>
      </c>
      <c r="JP33" s="40" t="str">
        <f t="shared" si="117"/>
        <v/>
      </c>
      <c r="JQ33" s="40" t="str">
        <f t="shared" si="118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19"/>
        <v/>
      </c>
      <c r="KM33" s="11" t="str">
        <f t="shared" si="120"/>
        <v/>
      </c>
      <c r="KN33" s="11" t="str">
        <f t="shared" si="121"/>
        <v/>
      </c>
      <c r="KO33" s="11" t="str">
        <f t="shared" si="122"/>
        <v/>
      </c>
      <c r="KP33" s="11" t="str">
        <f t="shared" si="123"/>
        <v/>
      </c>
      <c r="KQ33" s="11" t="str">
        <f t="shared" si="124"/>
        <v/>
      </c>
      <c r="KR33" s="11" t="str">
        <f t="shared" si="125"/>
        <v/>
      </c>
      <c r="KS33" s="11" t="str">
        <f t="shared" si="126"/>
        <v/>
      </c>
      <c r="KT33" s="11" t="str">
        <f t="shared" si="127"/>
        <v/>
      </c>
      <c r="KU33" s="11" t="str">
        <f t="shared" si="128"/>
        <v/>
      </c>
      <c r="KV33" s="11" t="str">
        <f t="shared" si="129"/>
        <v/>
      </c>
      <c r="KW33" s="11" t="str">
        <f t="shared" si="130"/>
        <v/>
      </c>
      <c r="KX33" s="11" t="str">
        <f t="shared" si="131"/>
        <v/>
      </c>
      <c r="KY33" s="11" t="str">
        <f t="shared" si="132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3"/>
        <v/>
      </c>
      <c r="LU33" s="40" t="str">
        <f t="shared" si="134"/>
        <v/>
      </c>
      <c r="LV33" s="40" t="str">
        <f t="shared" si="135"/>
        <v/>
      </c>
      <c r="LW33" s="40" t="str">
        <f t="shared" si="136"/>
        <v/>
      </c>
      <c r="LX33" s="40" t="str">
        <f t="shared" si="137"/>
        <v/>
      </c>
      <c r="LY33" s="40" t="str">
        <f t="shared" si="138"/>
        <v/>
      </c>
      <c r="LZ33" s="40" t="str">
        <f t="shared" si="139"/>
        <v/>
      </c>
      <c r="MA33" s="40" t="str">
        <f t="shared" si="140"/>
        <v/>
      </c>
      <c r="MB33" s="40" t="str">
        <f t="shared" si="141"/>
        <v/>
      </c>
      <c r="MC33" s="40" t="str">
        <f t="shared" si="142"/>
        <v/>
      </c>
      <c r="MD33" s="40" t="str">
        <f t="shared" si="143"/>
        <v/>
      </c>
      <c r="ME33" s="40" t="str">
        <f t="shared" si="144"/>
        <v/>
      </c>
      <c r="MF33" s="40" t="str">
        <f t="shared" si="145"/>
        <v/>
      </c>
      <c r="MG33" s="40" t="str">
        <f t="shared" si="146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7"/>
        <v/>
      </c>
      <c r="NC33" s="11" t="str">
        <f t="shared" si="148"/>
        <v/>
      </c>
      <c r="ND33" s="11" t="str">
        <f t="shared" si="149"/>
        <v/>
      </c>
      <c r="NE33" s="11" t="str">
        <f t="shared" si="150"/>
        <v/>
      </c>
      <c r="NF33" s="11" t="str">
        <f t="shared" si="151"/>
        <v/>
      </c>
      <c r="NG33" s="11" t="str">
        <f t="shared" si="152"/>
        <v/>
      </c>
      <c r="NH33" s="11" t="str">
        <f t="shared" si="153"/>
        <v/>
      </c>
      <c r="NI33" s="11" t="str">
        <f t="shared" si="154"/>
        <v/>
      </c>
      <c r="NJ33" s="11" t="str">
        <f t="shared" si="155"/>
        <v/>
      </c>
      <c r="NK33" s="11" t="str">
        <f t="shared" si="156"/>
        <v/>
      </c>
      <c r="NL33" s="11" t="str">
        <f t="shared" si="157"/>
        <v/>
      </c>
      <c r="NM33" s="11" t="str">
        <f t="shared" si="158"/>
        <v/>
      </c>
      <c r="NN33" s="11" t="str">
        <f t="shared" si="159"/>
        <v/>
      </c>
      <c r="NO33" s="11" t="str">
        <f t="shared" si="160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1"/>
        <v/>
      </c>
      <c r="OK33" s="40" t="str">
        <f t="shared" si="162"/>
        <v/>
      </c>
      <c r="OL33" s="40" t="str">
        <f t="shared" si="163"/>
        <v/>
      </c>
      <c r="OM33" s="40" t="str">
        <f t="shared" si="164"/>
        <v/>
      </c>
      <c r="ON33" s="40" t="str">
        <f t="shared" si="165"/>
        <v/>
      </c>
      <c r="OO33" s="40" t="str">
        <f t="shared" si="166"/>
        <v/>
      </c>
      <c r="OP33" s="40" t="str">
        <f t="shared" si="167"/>
        <v/>
      </c>
      <c r="OQ33" s="40" t="str">
        <f t="shared" si="168"/>
        <v/>
      </c>
      <c r="OR33" s="40" t="str">
        <f t="shared" si="169"/>
        <v/>
      </c>
      <c r="OS33" s="40" t="str">
        <f t="shared" si="170"/>
        <v/>
      </c>
      <c r="OT33" s="40" t="str">
        <f t="shared" si="171"/>
        <v/>
      </c>
      <c r="OU33" s="40" t="str">
        <f t="shared" si="172"/>
        <v/>
      </c>
      <c r="OV33" s="40" t="str">
        <f t="shared" si="173"/>
        <v/>
      </c>
      <c r="OW33" s="40" t="str">
        <f t="shared" si="174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5"/>
        <v/>
      </c>
      <c r="PS33" s="11" t="str">
        <f t="shared" si="176"/>
        <v/>
      </c>
      <c r="PT33" s="11" t="str">
        <f t="shared" si="177"/>
        <v/>
      </c>
      <c r="PU33" s="11" t="str">
        <f t="shared" si="178"/>
        <v/>
      </c>
      <c r="PV33" s="11" t="str">
        <f t="shared" si="179"/>
        <v/>
      </c>
      <c r="PW33" s="11" t="str">
        <f t="shared" si="180"/>
        <v/>
      </c>
      <c r="PX33" s="11" t="str">
        <f t="shared" si="181"/>
        <v/>
      </c>
      <c r="PY33" s="11" t="str">
        <f t="shared" si="182"/>
        <v/>
      </c>
      <c r="PZ33" s="11" t="str">
        <f t="shared" si="183"/>
        <v/>
      </c>
      <c r="QA33" s="11" t="str">
        <f t="shared" si="184"/>
        <v/>
      </c>
      <c r="QB33" s="11" t="str">
        <f t="shared" si="185"/>
        <v/>
      </c>
      <c r="QC33" s="11" t="str">
        <f t="shared" si="186"/>
        <v/>
      </c>
      <c r="QD33" s="11" t="str">
        <f t="shared" si="187"/>
        <v/>
      </c>
      <c r="QE33" s="11" t="str">
        <f t="shared" si="188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89"/>
        <v/>
      </c>
      <c r="RA33" s="40" t="str">
        <f t="shared" si="190"/>
        <v/>
      </c>
      <c r="RB33" s="40" t="str">
        <f t="shared" si="191"/>
        <v/>
      </c>
      <c r="RC33" s="40" t="str">
        <f t="shared" si="192"/>
        <v/>
      </c>
      <c r="RD33" s="40" t="str">
        <f t="shared" si="193"/>
        <v/>
      </c>
      <c r="RE33" s="40" t="str">
        <f t="shared" si="194"/>
        <v/>
      </c>
      <c r="RF33" s="40" t="str">
        <f t="shared" si="195"/>
        <v/>
      </c>
      <c r="RG33" s="40" t="str">
        <f t="shared" si="196"/>
        <v/>
      </c>
      <c r="RH33" s="40" t="str">
        <f t="shared" si="197"/>
        <v/>
      </c>
      <c r="RI33" s="40" t="str">
        <f t="shared" si="198"/>
        <v/>
      </c>
      <c r="RJ33" s="40" t="str">
        <f t="shared" si="199"/>
        <v/>
      </c>
      <c r="RK33" s="40" t="str">
        <f t="shared" si="200"/>
        <v/>
      </c>
      <c r="RL33" s="40" t="str">
        <f t="shared" si="201"/>
        <v/>
      </c>
      <c r="RM33" s="40" t="str">
        <f t="shared" si="202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3"/>
        <v/>
      </c>
      <c r="SI33" s="11" t="str">
        <f t="shared" si="204"/>
        <v/>
      </c>
      <c r="SJ33" s="11" t="str">
        <f t="shared" si="205"/>
        <v/>
      </c>
      <c r="SK33" s="11" t="str">
        <f t="shared" si="206"/>
        <v/>
      </c>
      <c r="SL33" s="11" t="str">
        <f t="shared" si="207"/>
        <v/>
      </c>
      <c r="SM33" s="11" t="str">
        <f t="shared" si="208"/>
        <v/>
      </c>
      <c r="SN33" s="11" t="str">
        <f t="shared" si="209"/>
        <v/>
      </c>
      <c r="SO33" s="11" t="str">
        <f t="shared" si="210"/>
        <v/>
      </c>
      <c r="SP33" s="11" t="str">
        <f t="shared" si="211"/>
        <v/>
      </c>
      <c r="SQ33" s="11" t="str">
        <f t="shared" si="212"/>
        <v/>
      </c>
      <c r="SR33" s="11" t="str">
        <f t="shared" si="213"/>
        <v/>
      </c>
      <c r="SS33" s="11" t="str">
        <f t="shared" si="214"/>
        <v/>
      </c>
      <c r="ST33" s="11" t="str">
        <f t="shared" si="215"/>
        <v/>
      </c>
      <c r="SU33" s="11" t="str">
        <f t="shared" si="216"/>
        <v/>
      </c>
      <c r="SV33" s="22">
        <f t="shared" si="217"/>
        <v>1.9</v>
      </c>
      <c r="SW33" s="22">
        <f t="shared" si="218"/>
        <v>1.4</v>
      </c>
      <c r="SX33" s="22">
        <f t="shared" si="219"/>
        <v>1.8</v>
      </c>
      <c r="SY33" s="22">
        <f t="shared" si="220"/>
        <v>1.885</v>
      </c>
      <c r="SZ33" s="22">
        <f t="shared" si="221"/>
        <v>0</v>
      </c>
      <c r="TA33" s="22">
        <f t="shared" si="222"/>
        <v>3.9</v>
      </c>
      <c r="TB33" s="22">
        <f t="shared" si="223"/>
        <v>2.75</v>
      </c>
      <c r="TC33" s="22">
        <f t="shared" si="224"/>
        <v>2.6</v>
      </c>
      <c r="TD33" s="22">
        <f t="shared" si="225"/>
        <v>3.66</v>
      </c>
      <c r="TE33" s="22">
        <f t="shared" si="226"/>
        <v>0</v>
      </c>
      <c r="TF33" s="22">
        <f t="shared" si="227"/>
        <v>0</v>
      </c>
      <c r="TG33" s="22">
        <f t="shared" si="228"/>
        <v>0</v>
      </c>
      <c r="TH33" s="22">
        <f t="shared" si="229"/>
        <v>0</v>
      </c>
      <c r="TI33" s="22">
        <f t="shared" si="230"/>
        <v>0</v>
      </c>
      <c r="TJ33" s="22">
        <f t="shared" si="231"/>
        <v>0</v>
      </c>
      <c r="TK33" s="27" t="s">
        <v>46</v>
      </c>
      <c r="TL33" s="40">
        <f t="shared" si="232"/>
        <v>1.8</v>
      </c>
      <c r="TM33" s="40">
        <f t="shared" si="233"/>
        <v>1.885</v>
      </c>
      <c r="TN33" s="40">
        <f t="shared" si="234"/>
        <v>6.9849999999999994</v>
      </c>
      <c r="TO33" s="40">
        <f t="shared" si="235"/>
        <v>2.6</v>
      </c>
      <c r="TP33" s="40">
        <f t="shared" si="236"/>
        <v>3.66</v>
      </c>
      <c r="TQ33" s="40">
        <f t="shared" si="237"/>
        <v>12.91</v>
      </c>
      <c r="TR33" s="40">
        <f t="shared" si="238"/>
        <v>12.91</v>
      </c>
      <c r="TS33" s="40" t="str">
        <f t="shared" si="239"/>
        <v/>
      </c>
      <c r="TT33" s="40" t="str">
        <f t="shared" si="240"/>
        <v/>
      </c>
      <c r="TU33" s="40" t="str">
        <f t="shared" si="241"/>
        <v/>
      </c>
      <c r="TV33" s="40">
        <f t="shared" si="242"/>
        <v>12.91</v>
      </c>
    </row>
    <row r="34" spans="1:544" x14ac:dyDescent="0.2">
      <c r="C34" s="5"/>
      <c r="E34" s="1"/>
    </row>
    <row r="35" spans="1:544" x14ac:dyDescent="0.2">
      <c r="I35" s="36"/>
      <c r="K35" s="36"/>
    </row>
    <row r="36" spans="1:544" x14ac:dyDescent="0.2">
      <c r="C36" s="23" t="s">
        <v>44</v>
      </c>
      <c r="D36" s="5"/>
      <c r="I36" s="3"/>
      <c r="AR36" s="41"/>
      <c r="AS36" s="41"/>
      <c r="AT36" s="41"/>
      <c r="AV36" s="32"/>
      <c r="AW36" s="32"/>
      <c r="AY36" s="53">
        <v>11.2</v>
      </c>
      <c r="BS36" s="41"/>
      <c r="BT36" s="41"/>
      <c r="BU36" s="41"/>
      <c r="BW36" s="32"/>
      <c r="BX36" s="32"/>
      <c r="BZ36" s="53">
        <v>11.2</v>
      </c>
      <c r="CT36" s="41"/>
      <c r="CU36" s="41"/>
      <c r="CV36" s="41"/>
      <c r="CX36" s="32"/>
      <c r="CY36" s="32"/>
      <c r="DA36" s="53">
        <v>11.2</v>
      </c>
      <c r="DX36" s="5"/>
      <c r="DY36" s="5"/>
      <c r="EH36" s="2"/>
      <c r="EI36" s="2"/>
      <c r="EK36" s="53">
        <v>11.2</v>
      </c>
      <c r="FF36" s="5"/>
      <c r="FG36" s="5"/>
      <c r="FP36" s="2"/>
      <c r="FQ36" s="2"/>
      <c r="FS36" s="53">
        <v>11.2</v>
      </c>
      <c r="GN36" s="5"/>
      <c r="GO36" s="5"/>
      <c r="GX36" s="2"/>
      <c r="GY36" s="2"/>
      <c r="HA36" s="53">
        <v>11.2</v>
      </c>
      <c r="HV36" s="5"/>
      <c r="HW36" s="5"/>
      <c r="IF36" s="2"/>
      <c r="IG36" s="2"/>
      <c r="II36" s="53">
        <v>11.2</v>
      </c>
      <c r="JD36" s="5"/>
      <c r="JE36" s="5"/>
      <c r="JN36" s="2"/>
      <c r="JO36" s="2"/>
      <c r="JQ36" s="53">
        <v>11.2</v>
      </c>
      <c r="KL36" s="5"/>
      <c r="KM36" s="5"/>
      <c r="KV36" s="2"/>
      <c r="KW36" s="2"/>
      <c r="KY36" s="53">
        <v>11.2</v>
      </c>
      <c r="LT36" s="5"/>
      <c r="LU36" s="5"/>
      <c r="MD36" s="2"/>
      <c r="ME36" s="2"/>
      <c r="MG36" s="53">
        <v>11.2</v>
      </c>
      <c r="NB36" s="5"/>
      <c r="NC36" s="5"/>
      <c r="NL36" s="2"/>
      <c r="NM36" s="2"/>
      <c r="NO36" s="53">
        <v>11.2</v>
      </c>
      <c r="OJ36" s="5"/>
      <c r="OK36" s="5"/>
      <c r="OT36" s="2"/>
      <c r="OU36" s="2"/>
      <c r="OW36" s="53">
        <v>11.2</v>
      </c>
      <c r="PR36" s="5"/>
      <c r="PS36" s="5"/>
      <c r="QB36" s="2"/>
      <c r="QC36" s="2"/>
      <c r="QE36" s="53">
        <v>11.2</v>
      </c>
      <c r="QZ36" s="5"/>
      <c r="RA36" s="5"/>
      <c r="RJ36" s="2"/>
      <c r="RK36" s="2"/>
      <c r="RM36" s="53">
        <v>11.2</v>
      </c>
      <c r="SH36" s="5"/>
      <c r="SI36" s="5"/>
      <c r="SR36" s="2"/>
      <c r="SS36" s="2"/>
      <c r="SU36" s="53">
        <v>11.2</v>
      </c>
    </row>
    <row r="37" spans="1:544" hidden="1" x14ac:dyDescent="0.2">
      <c r="C37" s="30" t="s">
        <v>43</v>
      </c>
      <c r="D37" s="5"/>
      <c r="X37" s="2"/>
      <c r="AR37" s="41"/>
      <c r="AS37" s="41"/>
      <c r="AT37" s="41"/>
      <c r="AV37" s="32"/>
      <c r="AW37" s="32"/>
      <c r="AY37" s="54">
        <v>1000</v>
      </c>
      <c r="BS37" s="41"/>
      <c r="BT37" s="41"/>
      <c r="BU37" s="41"/>
      <c r="BW37" s="32"/>
      <c r="BX37" s="32"/>
      <c r="BZ37" s="54">
        <v>1000</v>
      </c>
      <c r="CT37" s="41"/>
      <c r="CU37" s="41"/>
      <c r="CV37" s="41"/>
      <c r="CX37" s="32"/>
      <c r="CY37" s="32"/>
      <c r="DA37" s="54">
        <v>1000</v>
      </c>
      <c r="DX37" s="5"/>
      <c r="DY37" s="5"/>
      <c r="EH37" s="2"/>
      <c r="EI37" s="2"/>
      <c r="EK37" s="54">
        <v>1000</v>
      </c>
      <c r="FF37" s="5"/>
      <c r="FG37" s="5"/>
      <c r="FP37" s="2"/>
      <c r="FQ37" s="2"/>
      <c r="FS37" s="54">
        <v>1000</v>
      </c>
      <c r="GN37" s="5"/>
      <c r="GO37" s="5"/>
      <c r="GX37" s="2"/>
      <c r="GY37" s="2"/>
      <c r="HA37" s="54">
        <v>1000</v>
      </c>
      <c r="HV37" s="5"/>
      <c r="HW37" s="5"/>
      <c r="IF37" s="2"/>
      <c r="IG37" s="2"/>
      <c r="II37" s="54">
        <v>1000</v>
      </c>
      <c r="JD37" s="5"/>
      <c r="JE37" s="5"/>
      <c r="JN37" s="2"/>
      <c r="JO37" s="2"/>
      <c r="JQ37" s="54">
        <v>1000</v>
      </c>
      <c r="KL37" s="5"/>
      <c r="KM37" s="5"/>
      <c r="KV37" s="2"/>
      <c r="KW37" s="2"/>
      <c r="KY37" s="54">
        <v>1000</v>
      </c>
      <c r="LT37" s="5"/>
      <c r="LU37" s="5"/>
      <c r="MD37" s="2"/>
      <c r="ME37" s="2"/>
      <c r="MG37" s="54">
        <v>1000</v>
      </c>
      <c r="NB37" s="5"/>
      <c r="NC37" s="5"/>
      <c r="NL37" s="2"/>
      <c r="NM37" s="2"/>
      <c r="NO37" s="54">
        <v>1000</v>
      </c>
      <c r="OJ37" s="5"/>
      <c r="OK37" s="5"/>
      <c r="OT37" s="2"/>
      <c r="OU37" s="2"/>
      <c r="OW37" s="54">
        <v>1000</v>
      </c>
      <c r="PR37" s="5"/>
      <c r="PS37" s="5"/>
      <c r="QB37" s="2"/>
      <c r="QC37" s="2"/>
      <c r="QE37" s="54">
        <v>1000</v>
      </c>
      <c r="QZ37" s="5"/>
      <c r="RA37" s="5"/>
      <c r="RJ37" s="2"/>
      <c r="RK37" s="2"/>
      <c r="RM37" s="54">
        <v>1000</v>
      </c>
      <c r="SH37" s="5"/>
      <c r="SI37" s="5"/>
      <c r="SR37" s="2"/>
      <c r="SS37" s="2"/>
      <c r="SU37" s="54">
        <v>1000</v>
      </c>
    </row>
    <row r="38" spans="1:544" hidden="1" x14ac:dyDescent="0.2">
      <c r="A38" s="5"/>
      <c r="B38" s="5"/>
      <c r="C38" s="31" t="s">
        <v>55</v>
      </c>
      <c r="D38" s="5"/>
      <c r="F38" s="2"/>
      <c r="G38" s="66"/>
      <c r="AR38" s="41"/>
      <c r="AS38" s="41"/>
      <c r="AT38" s="41"/>
      <c r="AU38" s="32"/>
      <c r="AV38" s="32"/>
      <c r="AW38" s="32"/>
      <c r="AX38" s="32"/>
      <c r="AY38" s="55">
        <v>1000</v>
      </c>
      <c r="BS38" s="41"/>
      <c r="BT38" s="41"/>
      <c r="BU38" s="41"/>
      <c r="BW38" s="32"/>
      <c r="BX38" s="32"/>
      <c r="BZ38" s="55">
        <v>1000</v>
      </c>
      <c r="CT38" s="41"/>
      <c r="CU38" s="41"/>
      <c r="CV38" s="41"/>
      <c r="CW38" s="32"/>
      <c r="CX38" s="32"/>
      <c r="CY38" s="32"/>
      <c r="CZ38" s="32"/>
      <c r="DA38" s="55">
        <v>1000</v>
      </c>
      <c r="DX38" s="5"/>
      <c r="DY38" s="5"/>
      <c r="EH38" s="2"/>
      <c r="EI38" s="2"/>
      <c r="EK38" s="55">
        <v>1000</v>
      </c>
      <c r="FF38" s="5"/>
      <c r="FG38" s="5"/>
      <c r="FP38" s="2"/>
      <c r="FQ38" s="2"/>
      <c r="FS38" s="55">
        <v>1000</v>
      </c>
      <c r="GN38" s="5"/>
      <c r="GO38" s="5"/>
      <c r="GX38" s="2"/>
      <c r="GY38" s="2"/>
      <c r="HA38" s="55">
        <v>1000</v>
      </c>
      <c r="HV38" s="5"/>
      <c r="HW38" s="5"/>
      <c r="IF38" s="2"/>
      <c r="IG38" s="2"/>
      <c r="II38" s="55">
        <v>1000</v>
      </c>
      <c r="JD38" s="5"/>
      <c r="JE38" s="5"/>
      <c r="JN38" s="2"/>
      <c r="JO38" s="2"/>
      <c r="JQ38" s="55">
        <v>1000</v>
      </c>
      <c r="KL38" s="5"/>
      <c r="KM38" s="5"/>
      <c r="KV38" s="2"/>
      <c r="KW38" s="2"/>
      <c r="KY38" s="55">
        <v>1000</v>
      </c>
      <c r="LT38" s="5"/>
      <c r="LU38" s="5"/>
      <c r="MD38" s="2"/>
      <c r="ME38" s="2"/>
      <c r="MG38" s="55">
        <v>1000</v>
      </c>
      <c r="NB38" s="5"/>
      <c r="NC38" s="5"/>
      <c r="NL38" s="2"/>
      <c r="NM38" s="2"/>
      <c r="NO38" s="55">
        <v>1000</v>
      </c>
      <c r="OJ38" s="5"/>
      <c r="OK38" s="5"/>
      <c r="OT38" s="2"/>
      <c r="OU38" s="2"/>
      <c r="OW38" s="55">
        <v>1000</v>
      </c>
      <c r="PR38" s="5"/>
      <c r="PS38" s="5"/>
      <c r="QB38" s="2"/>
      <c r="QC38" s="2"/>
      <c r="QE38" s="55">
        <v>1000</v>
      </c>
      <c r="QZ38" s="5"/>
      <c r="RA38" s="5"/>
      <c r="RJ38" s="2"/>
      <c r="RK38" s="2"/>
      <c r="RM38" s="55">
        <v>1000</v>
      </c>
      <c r="SH38" s="5"/>
      <c r="SI38" s="5"/>
      <c r="SR38" s="2"/>
      <c r="SS38" s="2"/>
      <c r="SU38" s="55">
        <v>1000</v>
      </c>
    </row>
    <row r="39" spans="1:544" hidden="1" x14ac:dyDescent="0.2">
      <c r="A39" s="5"/>
      <c r="B39" s="5"/>
      <c r="C39" s="35" t="s">
        <v>62</v>
      </c>
      <c r="D39" s="5"/>
      <c r="F39" s="2"/>
      <c r="G39" s="66"/>
      <c r="AR39" s="41"/>
      <c r="AS39" s="41"/>
      <c r="AT39" s="41"/>
      <c r="AU39" s="32"/>
      <c r="AV39" s="32"/>
      <c r="AW39" s="32"/>
      <c r="AX39" s="32"/>
      <c r="AY39" s="56">
        <v>1000</v>
      </c>
      <c r="BS39" s="41"/>
      <c r="BT39" s="41"/>
      <c r="BU39" s="41"/>
      <c r="BW39" s="32"/>
      <c r="BX39" s="32"/>
      <c r="BZ39" s="56">
        <v>1000</v>
      </c>
      <c r="CT39" s="41"/>
      <c r="CU39" s="41"/>
      <c r="CV39" s="41"/>
      <c r="CW39" s="32"/>
      <c r="CX39" s="32"/>
      <c r="CY39" s="32"/>
      <c r="CZ39" s="32"/>
      <c r="DA39" s="56">
        <v>1000</v>
      </c>
      <c r="DX39" s="5"/>
      <c r="DY39" s="5"/>
      <c r="EH39" s="2"/>
      <c r="EI39" s="2"/>
      <c r="EK39" s="56">
        <v>1000</v>
      </c>
      <c r="FF39" s="5"/>
      <c r="FG39" s="5"/>
      <c r="FP39" s="2"/>
      <c r="FQ39" s="2"/>
      <c r="FS39" s="56">
        <v>1000</v>
      </c>
      <c r="GN39" s="5"/>
      <c r="GO39" s="5"/>
      <c r="GX39" s="2"/>
      <c r="GY39" s="2"/>
      <c r="HA39" s="56">
        <v>1000</v>
      </c>
      <c r="HV39" s="5"/>
      <c r="HW39" s="5"/>
      <c r="IF39" s="2"/>
      <c r="IG39" s="2"/>
      <c r="II39" s="56">
        <v>1000</v>
      </c>
      <c r="JD39" s="5"/>
      <c r="JE39" s="5"/>
      <c r="JN39" s="2"/>
      <c r="JO39" s="2"/>
      <c r="JQ39" s="56">
        <v>1000</v>
      </c>
      <c r="KL39" s="5"/>
      <c r="KM39" s="5"/>
      <c r="KV39" s="2"/>
      <c r="KW39" s="2"/>
      <c r="KY39" s="56">
        <v>1000</v>
      </c>
      <c r="LT39" s="5"/>
      <c r="LU39" s="5"/>
      <c r="MD39" s="2"/>
      <c r="ME39" s="2"/>
      <c r="MG39" s="56">
        <v>1000</v>
      </c>
      <c r="NB39" s="5"/>
      <c r="NC39" s="5"/>
      <c r="NL39" s="2"/>
      <c r="NM39" s="2"/>
      <c r="NO39" s="56">
        <v>1000</v>
      </c>
      <c r="OJ39" s="5"/>
      <c r="OK39" s="5"/>
      <c r="OT39" s="2"/>
      <c r="OU39" s="2"/>
      <c r="OW39" s="56">
        <v>1000</v>
      </c>
      <c r="PR39" s="5"/>
      <c r="PS39" s="5"/>
      <c r="QB39" s="2"/>
      <c r="QC39" s="2"/>
      <c r="QE39" s="56">
        <v>1000</v>
      </c>
      <c r="QZ39" s="5"/>
      <c r="RA39" s="5"/>
      <c r="RJ39" s="2"/>
      <c r="RK39" s="2"/>
      <c r="RM39" s="56">
        <v>1000</v>
      </c>
      <c r="SH39" s="5"/>
      <c r="SI39" s="5"/>
      <c r="SR39" s="2"/>
      <c r="SS39" s="2"/>
      <c r="SU39" s="56">
        <v>1000</v>
      </c>
    </row>
    <row r="40" spans="1:544" x14ac:dyDescent="0.2">
      <c r="A40" s="5"/>
      <c r="B40" s="5"/>
      <c r="C40" s="34" t="s">
        <v>41</v>
      </c>
      <c r="D40" s="5"/>
      <c r="AR40" s="41"/>
      <c r="AS40" s="41"/>
      <c r="AT40" s="41"/>
      <c r="AU40" s="32"/>
      <c r="AV40" s="32"/>
      <c r="AW40" s="32"/>
      <c r="AX40" s="32"/>
      <c r="AY40" s="57">
        <v>48.3</v>
      </c>
      <c r="BS40" s="41"/>
      <c r="BT40" s="41"/>
      <c r="BU40" s="41"/>
      <c r="BW40" s="32"/>
      <c r="BX40" s="32"/>
      <c r="BZ40" s="57">
        <v>48.3</v>
      </c>
      <c r="CT40" s="41"/>
      <c r="CU40" s="41"/>
      <c r="CV40" s="41"/>
      <c r="CW40" s="32"/>
      <c r="CX40" s="32"/>
      <c r="CY40" s="32"/>
      <c r="CZ40" s="32"/>
      <c r="DA40" s="57">
        <v>48.3</v>
      </c>
      <c r="DX40" s="5"/>
      <c r="DY40" s="5"/>
      <c r="EH40" s="2"/>
      <c r="EI40" s="2"/>
      <c r="EK40" s="57">
        <v>48.3</v>
      </c>
      <c r="FF40" s="5"/>
      <c r="FG40" s="5"/>
      <c r="FP40" s="2"/>
      <c r="FQ40" s="2"/>
      <c r="FS40" s="57">
        <v>48.3</v>
      </c>
      <c r="GN40" s="5"/>
      <c r="GO40" s="5"/>
      <c r="GX40" s="2"/>
      <c r="GY40" s="2"/>
      <c r="HA40" s="57">
        <v>48.3</v>
      </c>
      <c r="HV40" s="5"/>
      <c r="HW40" s="5"/>
      <c r="IF40" s="2"/>
      <c r="IG40" s="2"/>
      <c r="II40" s="57">
        <v>48.3</v>
      </c>
      <c r="JD40" s="5"/>
      <c r="JE40" s="5"/>
      <c r="JN40" s="2"/>
      <c r="JO40" s="2"/>
      <c r="JQ40" s="57">
        <v>48.3</v>
      </c>
      <c r="KL40" s="5"/>
      <c r="KM40" s="5"/>
      <c r="KV40" s="2"/>
      <c r="KW40" s="2"/>
      <c r="KY40" s="57">
        <v>48.3</v>
      </c>
      <c r="LT40" s="5"/>
      <c r="LU40" s="5"/>
      <c r="MD40" s="2"/>
      <c r="ME40" s="2"/>
      <c r="MG40" s="57">
        <v>48.3</v>
      </c>
      <c r="NB40" s="5"/>
      <c r="NC40" s="5"/>
      <c r="NL40" s="2"/>
      <c r="NM40" s="2"/>
      <c r="NO40" s="57">
        <v>48.3</v>
      </c>
      <c r="OJ40" s="5"/>
      <c r="OK40" s="5"/>
      <c r="OT40" s="2"/>
      <c r="OU40" s="2"/>
      <c r="OW40" s="57">
        <v>48.3</v>
      </c>
      <c r="PR40" s="5"/>
      <c r="PS40" s="5"/>
      <c r="QB40" s="2"/>
      <c r="QC40" s="2"/>
      <c r="QE40" s="57">
        <v>48.3</v>
      </c>
      <c r="QZ40" s="5"/>
      <c r="RA40" s="5"/>
      <c r="RJ40" s="2"/>
      <c r="RK40" s="2"/>
      <c r="RM40" s="57">
        <v>48.3</v>
      </c>
      <c r="SH40" s="5"/>
      <c r="SI40" s="5"/>
      <c r="SR40" s="2"/>
      <c r="SS40" s="2"/>
      <c r="SU40" s="57">
        <v>48.3</v>
      </c>
    </row>
    <row r="41" spans="1:544" hidden="1" x14ac:dyDescent="0.2">
      <c r="A41" s="5"/>
      <c r="B41" s="5"/>
      <c r="C41" s="24" t="s">
        <v>42</v>
      </c>
      <c r="D41" s="5"/>
      <c r="AR41" s="41"/>
      <c r="AS41" s="41"/>
      <c r="AT41" s="41"/>
      <c r="AU41" s="32"/>
      <c r="AV41" s="32"/>
      <c r="AW41" s="32"/>
      <c r="AX41" s="32"/>
      <c r="AY41" s="58">
        <v>1000</v>
      </c>
      <c r="BS41" s="41"/>
      <c r="BT41" s="41"/>
      <c r="BU41" s="41"/>
      <c r="BW41" s="32"/>
      <c r="BX41" s="32"/>
      <c r="BZ41" s="58">
        <v>1000</v>
      </c>
      <c r="CT41" s="41"/>
      <c r="CU41" s="41"/>
      <c r="CV41" s="41"/>
      <c r="CW41" s="32"/>
      <c r="CX41" s="32"/>
      <c r="CY41" s="32"/>
      <c r="CZ41" s="32"/>
      <c r="DA41" s="58">
        <v>1000</v>
      </c>
      <c r="DX41" s="5"/>
      <c r="DY41" s="5"/>
      <c r="EH41" s="2"/>
      <c r="EI41" s="2"/>
      <c r="EK41" s="58">
        <v>1000</v>
      </c>
      <c r="FF41" s="5"/>
      <c r="FG41" s="5"/>
      <c r="FP41" s="2"/>
      <c r="FQ41" s="2"/>
      <c r="FS41" s="58">
        <v>1000</v>
      </c>
      <c r="GN41" s="5"/>
      <c r="GO41" s="5"/>
      <c r="GX41" s="2"/>
      <c r="GY41" s="2"/>
      <c r="HA41" s="58">
        <v>1000</v>
      </c>
      <c r="HV41" s="5"/>
      <c r="HW41" s="5"/>
      <c r="IF41" s="2"/>
      <c r="IG41" s="2"/>
      <c r="II41" s="58">
        <v>1000</v>
      </c>
      <c r="JD41" s="5"/>
      <c r="JE41" s="5"/>
      <c r="JN41" s="2"/>
      <c r="JO41" s="2"/>
      <c r="JQ41" s="58">
        <v>1000</v>
      </c>
      <c r="KL41" s="5"/>
      <c r="KM41" s="5"/>
      <c r="KV41" s="2"/>
      <c r="KW41" s="2"/>
      <c r="KY41" s="58">
        <v>1000</v>
      </c>
      <c r="LT41" s="5"/>
      <c r="LU41" s="5"/>
      <c r="MD41" s="2"/>
      <c r="ME41" s="2"/>
      <c r="MG41" s="58">
        <v>1000</v>
      </c>
      <c r="NB41" s="5"/>
      <c r="NC41" s="5"/>
      <c r="NL41" s="2"/>
      <c r="NM41" s="2"/>
      <c r="NO41" s="58">
        <v>1000</v>
      </c>
      <c r="OJ41" s="5"/>
      <c r="OK41" s="5"/>
      <c r="OT41" s="2"/>
      <c r="OU41" s="2"/>
      <c r="OW41" s="58">
        <v>1000</v>
      </c>
      <c r="PR41" s="5"/>
      <c r="PS41" s="5"/>
      <c r="QB41" s="2"/>
      <c r="QC41" s="2"/>
      <c r="QE41" s="58">
        <v>1000</v>
      </c>
      <c r="QZ41" s="5"/>
      <c r="RA41" s="5"/>
      <c r="RJ41" s="2"/>
      <c r="RK41" s="2"/>
      <c r="RM41" s="58">
        <v>1000</v>
      </c>
      <c r="SH41" s="5"/>
      <c r="SI41" s="5"/>
      <c r="SR41" s="2"/>
      <c r="SS41" s="2"/>
      <c r="SU41" s="58">
        <v>1000</v>
      </c>
    </row>
    <row r="42" spans="1:544" hidden="1" x14ac:dyDescent="0.2">
      <c r="A42" s="5"/>
      <c r="B42" s="5"/>
      <c r="C42" s="33" t="s">
        <v>54</v>
      </c>
      <c r="D42" s="5"/>
      <c r="AR42" s="41"/>
      <c r="AS42" s="41"/>
      <c r="AT42" s="41"/>
      <c r="AU42" s="32"/>
      <c r="AV42" s="32"/>
      <c r="AW42" s="32"/>
      <c r="AX42" s="32"/>
      <c r="AY42" s="59">
        <v>1000</v>
      </c>
      <c r="BS42" s="41"/>
      <c r="BT42" s="41"/>
      <c r="BU42" s="41"/>
      <c r="BW42" s="32"/>
      <c r="BX42" s="32"/>
      <c r="BZ42" s="59">
        <v>1000</v>
      </c>
      <c r="CT42" s="41"/>
      <c r="CU42" s="41"/>
      <c r="CV42" s="41"/>
      <c r="CW42" s="32"/>
      <c r="CX42" s="32"/>
      <c r="CY42" s="32"/>
      <c r="CZ42" s="32"/>
      <c r="DA42" s="59">
        <v>1000</v>
      </c>
      <c r="DX42" s="5"/>
      <c r="DY42" s="5"/>
      <c r="EH42" s="2"/>
      <c r="EI42" s="2"/>
      <c r="EJ42" s="37"/>
      <c r="EK42" s="59">
        <v>1000</v>
      </c>
      <c r="FF42" s="5"/>
      <c r="FG42" s="5"/>
      <c r="FP42" s="2"/>
      <c r="FQ42" s="2"/>
      <c r="FR42" s="37"/>
      <c r="FS42" s="59">
        <v>1000</v>
      </c>
      <c r="GN42" s="5"/>
      <c r="GO42" s="5"/>
      <c r="GX42" s="2"/>
      <c r="GY42" s="2"/>
      <c r="GZ42" s="37"/>
      <c r="HA42" s="59">
        <v>1000</v>
      </c>
      <c r="HV42" s="5"/>
      <c r="HW42" s="5"/>
      <c r="IF42" s="2"/>
      <c r="IG42" s="2"/>
      <c r="IH42" s="37"/>
      <c r="II42" s="59">
        <v>1000</v>
      </c>
      <c r="JD42" s="5"/>
      <c r="JE42" s="5"/>
      <c r="JN42" s="2"/>
      <c r="JO42" s="2"/>
      <c r="JP42" s="37"/>
      <c r="JQ42" s="59">
        <v>1000</v>
      </c>
      <c r="KL42" s="5"/>
      <c r="KM42" s="5"/>
      <c r="KV42" s="2"/>
      <c r="KW42" s="2"/>
      <c r="KX42" s="37"/>
      <c r="KY42" s="59">
        <v>1000</v>
      </c>
      <c r="LT42" s="5"/>
      <c r="LU42" s="5"/>
      <c r="MD42" s="2"/>
      <c r="ME42" s="2"/>
      <c r="MF42" s="37"/>
      <c r="MG42" s="59">
        <v>1000</v>
      </c>
      <c r="NB42" s="5"/>
      <c r="NC42" s="5"/>
      <c r="NL42" s="2"/>
      <c r="NM42" s="2"/>
      <c r="NN42" s="37"/>
      <c r="NO42" s="59">
        <v>1000</v>
      </c>
      <c r="OJ42" s="5"/>
      <c r="OK42" s="5"/>
      <c r="OT42" s="2"/>
      <c r="OU42" s="2"/>
      <c r="OV42" s="37"/>
      <c r="OW42" s="59">
        <v>1000</v>
      </c>
      <c r="PR42" s="5"/>
      <c r="PS42" s="5"/>
      <c r="QB42" s="2"/>
      <c r="QC42" s="2"/>
      <c r="QD42" s="37"/>
      <c r="QE42" s="59">
        <v>1000</v>
      </c>
      <c r="QZ42" s="5"/>
      <c r="RA42" s="5"/>
      <c r="RJ42" s="2"/>
      <c r="RK42" s="2"/>
      <c r="RL42" s="37"/>
      <c r="RM42" s="59">
        <v>1000</v>
      </c>
      <c r="SH42" s="5"/>
      <c r="SI42" s="5"/>
      <c r="SR42" s="2"/>
      <c r="SS42" s="2"/>
      <c r="ST42" s="37"/>
      <c r="SU42" s="59">
        <v>1000</v>
      </c>
    </row>
    <row r="43" spans="1:544" hidden="1" x14ac:dyDescent="0.2">
      <c r="A43" s="5"/>
      <c r="B43" s="5"/>
      <c r="C43" s="25" t="s">
        <v>27</v>
      </c>
      <c r="D43" s="5"/>
      <c r="AR43" s="41"/>
      <c r="AS43" s="41"/>
      <c r="AT43" s="41"/>
      <c r="AU43" s="32"/>
      <c r="AV43" s="41"/>
      <c r="AW43" s="41"/>
      <c r="AX43" s="32"/>
      <c r="AY43" s="60">
        <v>1000</v>
      </c>
      <c r="BS43" s="41"/>
      <c r="BT43" s="41"/>
      <c r="BU43" s="41"/>
      <c r="BW43" s="41"/>
      <c r="BX43" s="32"/>
      <c r="BZ43" s="60">
        <v>1000</v>
      </c>
      <c r="CT43" s="41"/>
      <c r="CU43" s="41"/>
      <c r="CV43" s="41"/>
      <c r="CW43" s="32"/>
      <c r="CX43" s="41"/>
      <c r="CY43" s="32"/>
      <c r="CZ43" s="32"/>
      <c r="DA43" s="60">
        <v>1000</v>
      </c>
      <c r="DX43" s="5"/>
      <c r="DY43" s="5"/>
      <c r="EH43" s="41"/>
      <c r="EI43" s="2"/>
      <c r="EK43" s="60">
        <v>1000</v>
      </c>
      <c r="FF43" s="5"/>
      <c r="FG43" s="5"/>
      <c r="FP43" s="41"/>
      <c r="FQ43" s="2"/>
      <c r="FS43" s="60">
        <v>1000</v>
      </c>
      <c r="GN43" s="5"/>
      <c r="GO43" s="5"/>
      <c r="GX43" s="2"/>
      <c r="GY43" s="2"/>
      <c r="HA43" s="60">
        <v>1000</v>
      </c>
      <c r="HV43" s="5"/>
      <c r="HW43" s="5"/>
      <c r="IF43" s="41"/>
      <c r="IG43" s="2"/>
      <c r="II43" s="60">
        <v>1000</v>
      </c>
      <c r="JD43" s="5"/>
      <c r="JE43" s="5"/>
      <c r="JN43" s="2"/>
      <c r="JO43" s="2"/>
      <c r="JQ43" s="60">
        <v>1000</v>
      </c>
      <c r="KL43" s="5"/>
      <c r="KM43" s="5"/>
      <c r="KV43" s="2"/>
      <c r="KW43" s="2"/>
      <c r="KY43" s="60">
        <v>1000</v>
      </c>
      <c r="LT43" s="5"/>
      <c r="LU43" s="5"/>
      <c r="MD43" s="2"/>
      <c r="ME43" s="2"/>
      <c r="MG43" s="60">
        <v>1000</v>
      </c>
      <c r="NB43" s="5"/>
      <c r="NC43" s="5"/>
      <c r="NL43" s="2"/>
      <c r="NM43" s="2"/>
      <c r="NO43" s="60">
        <v>1000</v>
      </c>
      <c r="OJ43" s="5"/>
      <c r="OK43" s="5"/>
      <c r="OT43" s="2"/>
      <c r="OU43" s="2"/>
      <c r="OW43" s="60">
        <v>1000</v>
      </c>
      <c r="PR43" s="5"/>
      <c r="PS43" s="5"/>
      <c r="QB43" s="2"/>
      <c r="QC43" s="2"/>
      <c r="QE43" s="60">
        <v>1000</v>
      </c>
      <c r="QZ43" s="5"/>
      <c r="RA43" s="5"/>
      <c r="RJ43" s="2"/>
      <c r="RK43" s="2"/>
      <c r="RM43" s="60">
        <v>1000</v>
      </c>
      <c r="SH43" s="5"/>
      <c r="SI43" s="5"/>
      <c r="SR43" s="2"/>
      <c r="SS43" s="2"/>
      <c r="SU43" s="60">
        <v>1000</v>
      </c>
    </row>
    <row r="44" spans="1:544" s="36" customFormat="1" x14ac:dyDescent="0.2">
      <c r="A44"/>
      <c r="B44"/>
      <c r="C44" s="29" t="s">
        <v>47</v>
      </c>
      <c r="D44" s="2"/>
      <c r="E44"/>
      <c r="F44"/>
      <c r="G44" s="67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U44" s="32"/>
      <c r="AX44" s="32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W44" s="32"/>
      <c r="CZ44" s="32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s="36" customFormat="1" x14ac:dyDescent="0.2">
      <c r="A45" s="5"/>
      <c r="B45" s="5"/>
      <c r="C45" s="5"/>
      <c r="D45" s="20"/>
      <c r="E45"/>
      <c r="F45"/>
      <c r="G45" s="67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Q45" s="32"/>
      <c r="AR45" s="32"/>
      <c r="AS45" s="32"/>
      <c r="AT45" s="32"/>
      <c r="AU45" s="32"/>
      <c r="AX45" s="32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S45" s="32"/>
      <c r="CT45" s="32"/>
      <c r="CU45" s="32"/>
      <c r="CV45" s="32"/>
      <c r="CW45" s="32"/>
      <c r="CZ45" s="32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</row>
    <row r="46" spans="1:544" s="36" customFormat="1" ht="17" x14ac:dyDescent="0.2">
      <c r="A46" s="5"/>
      <c r="B46" s="5"/>
      <c r="C46" s="5"/>
      <c r="D46" s="20"/>
      <c r="E46"/>
      <c r="F46"/>
      <c r="G46" s="67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 s="10"/>
      <c r="W46" s="10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Q46" s="32"/>
      <c r="AR46" s="32"/>
      <c r="AS46" s="32"/>
      <c r="AT46" s="32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S46" s="32"/>
      <c r="CT46" s="32"/>
      <c r="CU46" s="32"/>
      <c r="CV46" s="32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ht="17" x14ac:dyDescent="0.2">
      <c r="A47" s="5"/>
      <c r="B47" s="5"/>
      <c r="C47" s="5"/>
      <c r="D47" s="20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 s="10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/>
      <c r="B48"/>
      <c r="C48"/>
      <c r="D48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/>
      <c r="B49"/>
      <c r="C49"/>
      <c r="D49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 s="10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 s="10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ht="17" x14ac:dyDescent="0.2">
      <c r="V60" s="10"/>
      <c r="W60" s="10"/>
      <c r="X60" s="10"/>
    </row>
    <row r="61" spans="1:544" ht="17" x14ac:dyDescent="0.2">
      <c r="V61" s="10"/>
      <c r="W61" s="10"/>
      <c r="X61" s="10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</sheetData>
  <sheetProtection sheet="1" formatCells="0" formatColumns="0" formatRows="0"/>
  <autoFilter ref="A1:TV27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3">
      <sortCondition descending="1" ref="H1:H34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78" priority="37" operator="containsText" text="No DD">
      <formula>NOT(ISERROR(SEARCH("No DD",J1)))</formula>
    </cfRule>
    <cfRule type="containsText" dxfId="277" priority="38" operator="containsText" text="Merit">
      <formula>NOT(ISERROR(SEARCH("Merit",J1)))</formula>
    </cfRule>
    <cfRule type="containsText" dxfId="276" priority="39" operator="containsText" text="Excellence">
      <formula>NOT(ISERROR(SEARCH("Excellence",J1)))</formula>
    </cfRule>
    <cfRule type="containsText" dxfId="275" priority="40" operator="containsText" text="Worlds Team">
      <formula>NOT(ISERROR(SEARCH("Worlds Team",J1)))</formula>
    </cfRule>
    <cfRule type="containsText" dxfId="274" priority="41" operator="containsText" text="National Team">
      <formula>NOT(ISERROR(SEARCH("National Team",J1)))</formula>
    </cfRule>
  </conditionalFormatting>
  <conditionalFormatting sqref="A4:B1048576">
    <cfRule type="expression" dxfId="273" priority="42">
      <formula>IF(A4&gt;4,1,0)</formula>
    </cfRule>
    <cfRule type="expression" dxfId="272" priority="1">
      <formula>AND($I4&lt;&gt;"",$H4="")</formula>
    </cfRule>
  </conditionalFormatting>
  <conditionalFormatting sqref="Y4:AY33">
    <cfRule type="expression" dxfId="271" priority="43" stopIfTrue="1">
      <formula>IF($AN4&lt;&gt;"",1,0)</formula>
    </cfRule>
  </conditionalFormatting>
  <conditionalFormatting sqref="AZ4:BZ33">
    <cfRule type="expression" dxfId="270" priority="36" stopIfTrue="1">
      <formula>IF($BO4&lt;&gt;"",1,0)</formula>
    </cfRule>
  </conditionalFormatting>
  <conditionalFormatting sqref="CA4:DA33">
    <cfRule type="expression" dxfId="269" priority="35" stopIfTrue="1">
      <formula>IF($CP4&lt;&gt;"",1,0)</formula>
    </cfRule>
  </conditionalFormatting>
  <conditionalFormatting sqref="BW44:BW1048576 BP1:BP1048576 BS1:BS1048576 BW1:BW42">
    <cfRule type="cellIs" dxfId="268" priority="48" operator="between">
      <formula>$BZ$39</formula>
      <formula>1000</formula>
    </cfRule>
    <cfRule type="cellIs" dxfId="267" priority="49" operator="between">
      <formula>$BZ$38</formula>
      <formula>$BZ$39</formula>
    </cfRule>
    <cfRule type="cellIs" dxfId="266" priority="50" operator="between">
      <formula>$BZ$37</formula>
      <formula>$BZ$38</formula>
    </cfRule>
    <cfRule type="cellIs" dxfId="265" priority="51" operator="between">
      <formula>$BZ$36</formula>
      <formula>$BZ$37</formula>
    </cfRule>
  </conditionalFormatting>
  <conditionalFormatting sqref="CX44:CX1048576 CQ1:CQ1048576 CT1:CT1048576 CX1:CX42">
    <cfRule type="cellIs" dxfId="264" priority="44" operator="between">
      <formula>$DA$39</formula>
      <formula>1000</formula>
    </cfRule>
    <cfRule type="cellIs" dxfId="263" priority="45" operator="between">
      <formula>$DA$38</formula>
      <formula>$DA$39</formula>
    </cfRule>
    <cfRule type="cellIs" dxfId="262" priority="46" operator="between">
      <formula>$DA$37</formula>
      <formula>$DA$38</formula>
    </cfRule>
    <cfRule type="cellIs" dxfId="261" priority="47" operator="between">
      <formula>$DA$36</formula>
      <formula>$DA$37</formula>
    </cfRule>
  </conditionalFormatting>
  <conditionalFormatting sqref="EH44:EH1048576 DX1:DX1048576 EA1:EA1048576 EE1:EE1048576 EH1:EH42">
    <cfRule type="cellIs" dxfId="260" priority="55" operator="between">
      <formula>$EK$39</formula>
      <formula>1000</formula>
    </cfRule>
    <cfRule type="cellIs" dxfId="259" priority="56" operator="between">
      <formula>$EK$38</formula>
      <formula>$EK$39</formula>
    </cfRule>
    <cfRule type="cellIs" dxfId="258" priority="57" operator="between">
      <formula>$EK$37</formula>
      <formula>$EK$38</formula>
    </cfRule>
    <cfRule type="cellIs" dxfId="257" priority="58" operator="between">
      <formula>$EK$36</formula>
      <formula>$EK$37</formula>
    </cfRule>
  </conditionalFormatting>
  <conditionalFormatting sqref="FP44:FP1048576 FF1:FF1048576 FI1:FI1048576 FM1:FM1048576 FP1:FP42">
    <cfRule type="cellIs" dxfId="256" priority="31" operator="between">
      <formula>$FS$39</formula>
      <formula>1000</formula>
    </cfRule>
    <cfRule type="cellIs" dxfId="255" priority="32" operator="between">
      <formula>$FS$38</formula>
      <formula>$FS$39</formula>
    </cfRule>
    <cfRule type="cellIs" dxfId="254" priority="33" operator="between">
      <formula>$FS$37</formula>
      <formula>$FS$38</formula>
    </cfRule>
    <cfRule type="cellIs" dxfId="253" priority="34" operator="between">
      <formula>$FS$36</formula>
      <formula>$FS$37</formula>
    </cfRule>
  </conditionalFormatting>
  <conditionalFormatting sqref="IF44:IF1048576 HV1:HV1048576 HY1:HY1048576 IC1:IC1048576 IF1:IF42">
    <cfRule type="cellIs" dxfId="252" priority="27" operator="between">
      <formula>$II$39</formula>
      <formula>1000</formula>
    </cfRule>
    <cfRule type="cellIs" dxfId="251" priority="28" operator="between">
      <formula>$II$38</formula>
      <formula>$II$39</formula>
    </cfRule>
    <cfRule type="cellIs" dxfId="250" priority="29" operator="between">
      <formula>$II$37</formula>
      <formula>$II$38</formula>
    </cfRule>
    <cfRule type="cellIs" dxfId="249" priority="30" operator="between">
      <formula>$II$36</formula>
      <formula>$II$37</formula>
    </cfRule>
  </conditionalFormatting>
  <conditionalFormatting sqref="AW43 AO1:AO1048576 AR1:AR1048576 AV1:AV1048576">
    <cfRule type="cellIs" dxfId="248" priority="23" operator="between">
      <formula>$AY$39</formula>
      <formula>1000</formula>
    </cfRule>
    <cfRule type="cellIs" dxfId="247" priority="24" operator="between">
      <formula>$AY$38</formula>
      <formula>$AY$39</formula>
    </cfRule>
    <cfRule type="cellIs" dxfId="246" priority="25" operator="between">
      <formula>$AY$37</formula>
      <formula>$AY$38</formula>
    </cfRule>
    <cfRule type="cellIs" dxfId="245" priority="26" operator="between">
      <formula>$AY$36</formula>
      <formula>$AY$37</formula>
    </cfRule>
  </conditionalFormatting>
  <conditionalFormatting sqref="BW43">
    <cfRule type="cellIs" dxfId="244" priority="19" operator="between">
      <formula>$AY$39</formula>
      <formula>1000</formula>
    </cfRule>
    <cfRule type="cellIs" dxfId="243" priority="20" operator="between">
      <formula>$AY$38</formula>
      <formula>$AY$39</formula>
    </cfRule>
    <cfRule type="cellIs" dxfId="242" priority="21" operator="between">
      <formula>$AY$37</formula>
      <formula>$AY$38</formula>
    </cfRule>
    <cfRule type="cellIs" dxfId="241" priority="22" operator="between">
      <formula>$AY$36</formula>
      <formula>$AY$37</formula>
    </cfRule>
  </conditionalFormatting>
  <conditionalFormatting sqref="CX43">
    <cfRule type="cellIs" dxfId="240" priority="15" operator="between">
      <formula>$AY$39</formula>
      <formula>1000</formula>
    </cfRule>
    <cfRule type="cellIs" dxfId="239" priority="16" operator="between">
      <formula>$AY$38</formula>
      <formula>$AY$39</formula>
    </cfRule>
    <cfRule type="cellIs" dxfId="238" priority="17" operator="between">
      <formula>$AY$37</formula>
      <formula>$AY$38</formula>
    </cfRule>
    <cfRule type="cellIs" dxfId="237" priority="18" operator="between">
      <formula>$AY$36</formula>
      <formula>$AY$37</formula>
    </cfRule>
  </conditionalFormatting>
  <conditionalFormatting sqref="EH43">
    <cfRule type="cellIs" dxfId="236" priority="11" operator="between">
      <formula>$AY$39</formula>
      <formula>1000</formula>
    </cfRule>
    <cfRule type="cellIs" dxfId="235" priority="12" operator="between">
      <formula>$AY$38</formula>
      <formula>$AY$39</formula>
    </cfRule>
    <cfRule type="cellIs" dxfId="234" priority="13" operator="between">
      <formula>$AY$37</formula>
      <formula>$AY$38</formula>
    </cfRule>
    <cfRule type="cellIs" dxfId="233" priority="14" operator="between">
      <formula>$AY$36</formula>
      <formula>$AY$37</formula>
    </cfRule>
  </conditionalFormatting>
  <conditionalFormatting sqref="FP43">
    <cfRule type="cellIs" dxfId="232" priority="7" operator="between">
      <formula>$AY$39</formula>
      <formula>1000</formula>
    </cfRule>
    <cfRule type="cellIs" dxfId="231" priority="8" operator="between">
      <formula>$AY$38</formula>
      <formula>$AY$39</formula>
    </cfRule>
    <cfRule type="cellIs" dxfId="230" priority="9" operator="between">
      <formula>$AY$37</formula>
      <formula>$AY$38</formula>
    </cfRule>
    <cfRule type="cellIs" dxfId="229" priority="10" operator="between">
      <formula>$AY$36</formula>
      <formula>$AY$37</formula>
    </cfRule>
  </conditionalFormatting>
  <conditionalFormatting sqref="IF43">
    <cfRule type="cellIs" dxfId="228" priority="3" operator="between">
      <formula>$AY$39</formula>
      <formula>1000</formula>
    </cfRule>
    <cfRule type="cellIs" dxfId="227" priority="4" operator="between">
      <formula>$AY$38</formula>
      <formula>$AY$39</formula>
    </cfRule>
    <cfRule type="cellIs" dxfId="226" priority="5" operator="between">
      <formula>$AY$37</formula>
      <formula>$AY$38</formula>
    </cfRule>
    <cfRule type="cellIs" dxfId="225" priority="6" operator="between">
      <formula>$AY$36</formula>
      <formula>$AY$37</formula>
    </cfRule>
  </conditionalFormatting>
  <conditionalFormatting sqref="M1:M1048576 O1:O1048576 S1:S1048576 U1:U1048576 Q1:Q1048576">
    <cfRule type="expression" dxfId="224" priority="52">
      <formula>IF(M1=$CA$1,1,0)</formula>
    </cfRule>
    <cfRule type="expression" dxfId="223" priority="53" stopIfTrue="1">
      <formula>IF(M1=$AZ$1,1,0)</formula>
    </cfRule>
    <cfRule type="expression" dxfId="222" priority="54">
      <formula>IF(M1=$Y$1,1,0)</formula>
    </cfRule>
  </conditionalFormatting>
  <conditionalFormatting sqref="CV1:CV1048576 AT1:AT1048576">
    <cfRule type="cellIs" dxfId="221" priority="113936" operator="between">
      <formula>AY$43</formula>
      <formula>1000</formula>
    </cfRule>
    <cfRule type="cellIs" dxfId="220" priority="113937" operator="between">
      <formula>AY$42</formula>
      <formula>AY$43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19" priority="113948" operator="between">
      <formula>EK$43</formula>
      <formula>1000</formula>
    </cfRule>
    <cfRule type="cellIs" dxfId="218" priority="113949" operator="between">
      <formula>EK$42</formula>
      <formula>EK$43</formula>
    </cfRule>
  </conditionalFormatting>
  <conditionalFormatting sqref="AQ1:AQ1048576 AT1:AT1048576 AX1:AX1048576">
    <cfRule type="cellIs" dxfId="217" priority="114020" operator="between">
      <formula>$AY$43</formula>
      <formula>1000</formula>
    </cfRule>
    <cfRule type="cellIs" dxfId="216" priority="114021" operator="between">
      <formula>$AY$42</formula>
      <formula>$AY$43</formula>
    </cfRule>
    <cfRule type="cellIs" dxfId="215" priority="114022" operator="between">
      <formula>$AY$41</formula>
      <formula>$AY$42</formula>
    </cfRule>
    <cfRule type="cellIs" dxfId="214" priority="114023" operator="between">
      <formula>$AY$40</formula>
      <formula>$AY$41</formula>
    </cfRule>
  </conditionalFormatting>
  <conditionalFormatting sqref="BR1:BR1048576 BU1:BU1048576 BY1:BY1048576">
    <cfRule type="cellIs" dxfId="213" priority="114056" operator="between">
      <formula>$BZ$43</formula>
      <formula>1000</formula>
    </cfRule>
    <cfRule type="cellIs" dxfId="212" priority="114057" operator="between">
      <formula>$BZ$42</formula>
      <formula>$BZ$43</formula>
    </cfRule>
    <cfRule type="cellIs" dxfId="211" priority="114058" operator="between">
      <formula>$BZ$41</formula>
      <formula>$BZ$42</formula>
    </cfRule>
    <cfRule type="cellIs" dxfId="210" priority="114059" operator="between">
      <formula>$BZ$40</formula>
      <formula>$BZ$41</formula>
    </cfRule>
  </conditionalFormatting>
  <conditionalFormatting sqref="CS1:CS1048576 CV1:CV1048576 CZ1:CZ1048576">
    <cfRule type="cellIs" dxfId="209" priority="114092" operator="between">
      <formula>$DA$43</formula>
      <formula>1000</formula>
    </cfRule>
    <cfRule type="cellIs" dxfId="208" priority="114093" operator="between">
      <formula>$DA$42</formula>
      <formula>$DA$43</formula>
    </cfRule>
    <cfRule type="cellIs" dxfId="207" priority="114094" operator="between">
      <formula>$DA$41</formula>
      <formula>$DA$42</formula>
    </cfRule>
    <cfRule type="cellIs" dxfId="206" priority="114095" operator="between">
      <formula>$DA$40</formula>
      <formula>$DA$41</formula>
    </cfRule>
  </conditionalFormatting>
  <conditionalFormatting sqref="NB1:NB1048576 NE1:NE1048576 NI1:NI1048576 NL1:NL1048576">
    <cfRule type="cellIs" dxfId="205" priority="114128" operator="between">
      <formula>$NO$36</formula>
      <formula>$NO$37</formula>
    </cfRule>
  </conditionalFormatting>
  <conditionalFormatting sqref="DZ1:DZ1048576 EC1:EC1048576 EG1:EG1048576 EJ1:EJ1048576">
    <cfRule type="cellIs" dxfId="204" priority="114140" operator="between">
      <formula>$EK$43</formula>
      <formula>1000</formula>
    </cfRule>
    <cfRule type="cellIs" dxfId="203" priority="114141" operator="between">
      <formula>$EK$42</formula>
      <formula>$EK$43</formula>
    </cfRule>
    <cfRule type="cellIs" dxfId="202" priority="114142" operator="between">
      <formula>$EK$41</formula>
      <formula>$EK$42</formula>
    </cfRule>
    <cfRule type="cellIs" dxfId="201" priority="114143" operator="between">
      <formula>$EK$40</formula>
      <formula>$EK$41</formula>
    </cfRule>
  </conditionalFormatting>
  <conditionalFormatting sqref="FH1:FH1048576 FK1:FK1048576 FO1:FO1048576 FR1:FR1048576">
    <cfRule type="cellIs" dxfId="200" priority="114188" operator="between">
      <formula>$FS$43</formula>
      <formula>1000</formula>
    </cfRule>
    <cfRule type="cellIs" dxfId="199" priority="114189" operator="between">
      <formula>$FS$42</formula>
      <formula>$FS$43</formula>
    </cfRule>
    <cfRule type="cellIs" dxfId="198" priority="114190" operator="between">
      <formula>$FS$41</formula>
      <formula>$FS$42</formula>
    </cfRule>
    <cfRule type="cellIs" dxfId="197" priority="114191" operator="between">
      <formula>$FS$40</formula>
      <formula>$FS$41</formula>
    </cfRule>
  </conditionalFormatting>
  <conditionalFormatting sqref="GN1:GN1048576 GQ1:GQ1048576 GU1:GU1048576 GX1:GX1048576">
    <cfRule type="cellIs" dxfId="196" priority="114236" operator="between">
      <formula>$HA$39</formula>
      <formula>1000</formula>
    </cfRule>
    <cfRule type="cellIs" dxfId="195" priority="114237" operator="between">
      <formula>$HA$38</formula>
      <formula>$HA$39</formula>
    </cfRule>
    <cfRule type="cellIs" dxfId="194" priority="114238" operator="between">
      <formula>$HA$37</formula>
      <formula>$HA$38</formula>
    </cfRule>
    <cfRule type="cellIs" dxfId="193" priority="114239" operator="between">
      <formula>$HA$36</formula>
      <formula>$HA$37</formula>
    </cfRule>
  </conditionalFormatting>
  <conditionalFormatting sqref="GP1:GP1048576 GS1:GS1048576 GW1:GW1048576 GZ1:GZ1048576">
    <cfRule type="cellIs" dxfId="192" priority="114284" operator="between">
      <formula>$HA$43</formula>
      <formula>1000</formula>
    </cfRule>
    <cfRule type="cellIs" dxfId="191" priority="114285" operator="between">
      <formula>$HA$42</formula>
      <formula>$HA$43</formula>
    </cfRule>
    <cfRule type="cellIs" dxfId="190" priority="114286" operator="between">
      <formula>$HA$41</formula>
      <formula>$HA$42</formula>
    </cfRule>
    <cfRule type="cellIs" dxfId="189" priority="114287" operator="between">
      <formula>$HA$40</formula>
      <formula>$HA$41</formula>
    </cfRule>
  </conditionalFormatting>
  <conditionalFormatting sqref="HX1:HX1048576 IA1:IA1048576 IE1:IE1048576 IH1:IH1048576">
    <cfRule type="cellIs" dxfId="188" priority="114332" operator="between">
      <formula>$II$43</formula>
      <formula>1000</formula>
    </cfRule>
    <cfRule type="cellIs" dxfId="187" priority="114333" operator="between">
      <formula>$II$42</formula>
      <formula>$II$43</formula>
    </cfRule>
    <cfRule type="cellIs" dxfId="186" priority="114334" operator="between">
      <formula>$II$41</formula>
      <formula>$II$42</formula>
    </cfRule>
    <cfRule type="cellIs" dxfId="185" priority="114335" operator="between">
      <formula>$II$40</formula>
      <formula>$II$41</formula>
    </cfRule>
  </conditionalFormatting>
  <conditionalFormatting sqref="JD1:JD1048576 JG1:JG1048576 JK1:JK1048576 JN1:JN1048576">
    <cfRule type="cellIs" dxfId="184" priority="114380" operator="between">
      <formula>$JQ$39</formula>
      <formula>1000</formula>
    </cfRule>
    <cfRule type="cellIs" dxfId="183" priority="114381" operator="between">
      <formula>$JQ$38</formula>
      <formula>$JQ$39</formula>
    </cfRule>
    <cfRule type="cellIs" dxfId="182" priority="114382" operator="between">
      <formula>$JQ$37</formula>
      <formula>$JQ$38</formula>
    </cfRule>
    <cfRule type="cellIs" dxfId="181" priority="114383" operator="between">
      <formula>$JQ$36</formula>
      <formula>$JQ$37</formula>
    </cfRule>
  </conditionalFormatting>
  <conditionalFormatting sqref="JF1:JF1048576 JI1:JI1048576 JM1:JM1048576 JP1:JP1048576">
    <cfRule type="cellIs" dxfId="180" priority="114428" operator="between">
      <formula>$JQ$43</formula>
      <formula>1000</formula>
    </cfRule>
    <cfRule type="cellIs" dxfId="179" priority="114429" operator="between">
      <formula>$JQ$42</formula>
      <formula>$JQ$43</formula>
    </cfRule>
    <cfRule type="cellIs" dxfId="178" priority="114430" operator="between">
      <formula>$JQ$41</formula>
      <formula>$JQ$42</formula>
    </cfRule>
    <cfRule type="cellIs" dxfId="177" priority="114431" operator="between">
      <formula>$JQ$40</formula>
      <formula>$JQ$41</formula>
    </cfRule>
  </conditionalFormatting>
  <conditionalFormatting sqref="KL1:KL1048576 KO1:KO1048576 KS1:KS1048576 KV1:KV1048576">
    <cfRule type="cellIs" dxfId="176" priority="114476" operator="between">
      <formula>$KY$39</formula>
      <formula>1000</formula>
    </cfRule>
    <cfRule type="cellIs" dxfId="175" priority="114477" operator="between">
      <formula>$KY$38</formula>
      <formula>$KY$39</formula>
    </cfRule>
    <cfRule type="cellIs" dxfId="174" priority="114478" operator="between">
      <formula>$KY$37</formula>
      <formula>$KY$38</formula>
    </cfRule>
    <cfRule type="cellIs" dxfId="173" priority="114479" operator="between">
      <formula>$KY$36</formula>
      <formula>$KY$37</formula>
    </cfRule>
  </conditionalFormatting>
  <conditionalFormatting sqref="KN1:KN1048576 KQ1:KQ1048576 KU1:KU1048576 KX1:KX1048576">
    <cfRule type="cellIs" dxfId="172" priority="114524" operator="between">
      <formula>$KY$43</formula>
      <formula>1000</formula>
    </cfRule>
    <cfRule type="cellIs" dxfId="171" priority="114525" operator="between">
      <formula>$KY$42</formula>
      <formula>$KY$43</formula>
    </cfRule>
    <cfRule type="cellIs" dxfId="170" priority="114526" operator="between">
      <formula>$KY$41</formula>
      <formula>$KY$42</formula>
    </cfRule>
    <cfRule type="cellIs" dxfId="169" priority="114527" operator="between">
      <formula>$KY$40</formula>
      <formula>$KY$41</formula>
    </cfRule>
  </conditionalFormatting>
  <conditionalFormatting sqref="LT1:LT1048576 LW1:LW1048576 MA1:MA1048576 MD1:MD1048576">
    <cfRule type="cellIs" dxfId="168" priority="114572" operator="between">
      <formula>$MG$39</formula>
      <formula>1000</formula>
    </cfRule>
    <cfRule type="cellIs" dxfId="167" priority="114573" operator="between">
      <formula>$MG$38</formula>
      <formula>$MG$39</formula>
    </cfRule>
    <cfRule type="cellIs" dxfId="166" priority="114574" operator="between">
      <formula>$MG$37</formula>
      <formula>$MG$38</formula>
    </cfRule>
    <cfRule type="cellIs" dxfId="165" priority="114575" operator="between">
      <formula>$MG$36</formula>
      <formula>$MG$37</formula>
    </cfRule>
  </conditionalFormatting>
  <conditionalFormatting sqref="LV1:LV1048576 LY1:LY1048576 MC1:MC1048576 MF1:MF1048576">
    <cfRule type="cellIs" dxfId="164" priority="114620" operator="between">
      <formula>$MG$43</formula>
      <formula>1000</formula>
    </cfRule>
    <cfRule type="cellIs" dxfId="163" priority="114621" operator="between">
      <formula>$MG$42</formula>
      <formula>$MG$43</formula>
    </cfRule>
    <cfRule type="cellIs" dxfId="162" priority="114622" operator="between">
      <formula>$MG$41</formula>
      <formula>$MG$42</formula>
    </cfRule>
    <cfRule type="cellIs" dxfId="161" priority="114623" operator="between">
      <formula>$MG$40</formula>
      <formula>$MG$41</formula>
    </cfRule>
  </conditionalFormatting>
  <conditionalFormatting sqref="NB1:NB1048576 NE1:NE1048576 NI1:NI1048576">
    <cfRule type="cellIs" dxfId="160" priority="114668" operator="between">
      <formula>$NO$39</formula>
      <formula>1000</formula>
    </cfRule>
    <cfRule type="cellIs" dxfId="159" priority="114669" operator="between">
      <formula>$NO$38</formula>
      <formula>$NO$39</formula>
    </cfRule>
    <cfRule type="cellIs" dxfId="158" priority="114670" operator="between">
      <formula>$NO$37</formula>
      <formula>$NO$38</formula>
    </cfRule>
  </conditionalFormatting>
  <conditionalFormatting sqref="ND1:ND1048576 NG1:NG1048576 NK1:NK1048576 NN1:NN1048576">
    <cfRule type="cellIs" dxfId="157" priority="114695" operator="between">
      <formula>$NO$43</formula>
      <formula>1000</formula>
    </cfRule>
    <cfRule type="cellIs" dxfId="156" priority="114696" operator="between">
      <formula>$NO$42</formula>
      <formula>$NO$43</formula>
    </cfRule>
    <cfRule type="cellIs" dxfId="155" priority="114697" operator="between">
      <formula>$NO$41</formula>
      <formula>$NO$42</formula>
    </cfRule>
    <cfRule type="cellIs" dxfId="154" priority="114698" operator="between">
      <formula>$NO$40</formula>
      <formula>$NO$41</formula>
    </cfRule>
  </conditionalFormatting>
  <conditionalFormatting sqref="OJ1:OJ1048576 OM1:OM1048576 OQ1:OQ1048576 OT1:OT1048576">
    <cfRule type="cellIs" dxfId="153" priority="114743" operator="between">
      <formula>$OW$39</formula>
      <formula>1000</formula>
    </cfRule>
    <cfRule type="cellIs" dxfId="152" priority="114744" operator="between">
      <formula>$OW$38</formula>
      <formula>$OW$39</formula>
    </cfRule>
    <cfRule type="cellIs" dxfId="151" priority="114745" operator="between">
      <formula>$OW$37</formula>
      <formula>$OW$38</formula>
    </cfRule>
    <cfRule type="cellIs" dxfId="150" priority="114746" operator="between">
      <formula>$OW$36</formula>
      <formula>$OW$37</formula>
    </cfRule>
  </conditionalFormatting>
  <conditionalFormatting sqref="OL1:OL1048576 OO1:OO1048576 OS1:OS1048576 OV1:OV1048576">
    <cfRule type="cellIs" dxfId="149" priority="114791" operator="between">
      <formula>$OW$43</formula>
      <formula>1000</formula>
    </cfRule>
    <cfRule type="cellIs" dxfId="148" priority="114792" operator="between">
      <formula>$OW$42</formula>
      <formula>$OW$43</formula>
    </cfRule>
    <cfRule type="cellIs" dxfId="147" priority="114793" operator="between">
      <formula>$OW$41</formula>
      <formula>$OW$42</formula>
    </cfRule>
    <cfRule type="cellIs" dxfId="146" priority="114794" operator="between">
      <formula>$OW$40</formula>
      <formula>$OW$41</formula>
    </cfRule>
  </conditionalFormatting>
  <conditionalFormatting sqref="PR1:PR1048576 PU1:PU1048576 PY1:PY1048576 QB1:QB1048576">
    <cfRule type="cellIs" dxfId="145" priority="114839" operator="between">
      <formula>$QE$39</formula>
      <formula>1000</formula>
    </cfRule>
    <cfRule type="cellIs" dxfId="144" priority="114840" operator="between">
      <formula>$QE$38</formula>
      <formula>$QE$39</formula>
    </cfRule>
    <cfRule type="cellIs" dxfId="143" priority="114841" operator="between">
      <formula>$QE$37</formula>
      <formula>$QE$38</formula>
    </cfRule>
    <cfRule type="cellIs" dxfId="142" priority="114842" operator="between">
      <formula>$QE$36</formula>
      <formula>$QE$37</formula>
    </cfRule>
  </conditionalFormatting>
  <conditionalFormatting sqref="PT1:PT1048576 PW1:PW1048576 QA1:QA1048576 QD1:QD1048576">
    <cfRule type="cellIs" dxfId="141" priority="114887" operator="between">
      <formula>$QE$43</formula>
      <formula>1000</formula>
    </cfRule>
    <cfRule type="cellIs" dxfId="140" priority="114888" operator="between">
      <formula>$QE$42</formula>
      <formula>$QE$43</formula>
    </cfRule>
    <cfRule type="cellIs" dxfId="139" priority="114889" operator="between">
      <formula>$QE$41</formula>
      <formula>$QE$42</formula>
    </cfRule>
    <cfRule type="cellIs" dxfId="138" priority="114890" operator="between">
      <formula>$QE$40</formula>
      <formula>$QE$41</formula>
    </cfRule>
  </conditionalFormatting>
  <conditionalFormatting sqref="QZ1:QZ1048576 RC1:RC1048576 RG1:RG1048576 RJ1:RJ1048576">
    <cfRule type="cellIs" dxfId="137" priority="114935" operator="between">
      <formula>$RM$39</formula>
      <formula>1000</formula>
    </cfRule>
    <cfRule type="cellIs" dxfId="136" priority="114936" operator="between">
      <formula>$RM$38</formula>
      <formula>$RM$39</formula>
    </cfRule>
    <cfRule type="cellIs" dxfId="135" priority="114937" operator="between">
      <formula>$RM$37</formula>
      <formula>$RM$38</formula>
    </cfRule>
    <cfRule type="cellIs" dxfId="134" priority="114938" operator="between">
      <formula>$RM$36</formula>
      <formula>$RM$37</formula>
    </cfRule>
  </conditionalFormatting>
  <conditionalFormatting sqref="RB1:RB1048576 RE1:RE1048576 RI1:RI1048576 RL1:RL1048576">
    <cfRule type="cellIs" dxfId="133" priority="114983" operator="between">
      <formula>$RM$43</formula>
      <formula>1000</formula>
    </cfRule>
    <cfRule type="cellIs" dxfId="132" priority="114984" operator="between">
      <formula>$RM$42</formula>
      <formula>$RM$43</formula>
    </cfRule>
    <cfRule type="cellIs" dxfId="131" priority="114985" operator="between">
      <formula>$RM$41</formula>
      <formula>$RM$42</formula>
    </cfRule>
    <cfRule type="cellIs" dxfId="130" priority="114986" operator="between">
      <formula>$RM$40</formula>
      <formula>$RM$41</formula>
    </cfRule>
  </conditionalFormatting>
  <conditionalFormatting sqref="SH1:SH1048576 SK1:SK1048576 SO1:SO1048576 SR1:SR1048576">
    <cfRule type="cellIs" dxfId="129" priority="115031" operator="between">
      <formula>$SU$39</formula>
      <formula>1000</formula>
    </cfRule>
    <cfRule type="cellIs" dxfId="128" priority="115032" operator="between">
      <formula>$SU$38</formula>
      <formula>$SU$39</formula>
    </cfRule>
    <cfRule type="cellIs" dxfId="127" priority="115033" operator="between">
      <formula>$SU$37</formula>
      <formula>$SU$38</formula>
    </cfRule>
    <cfRule type="cellIs" dxfId="126" priority="115034" operator="between">
      <formula>$SU$36</formula>
      <formula>$SU$37</formula>
    </cfRule>
  </conditionalFormatting>
  <conditionalFormatting sqref="SJ1:SJ1048576 SM1:SM1048576 SQ1:SQ1048576 ST1:ST1048576">
    <cfRule type="cellIs" dxfId="125" priority="115079" operator="between">
      <formula>$SU$43</formula>
      <formula>1000</formula>
    </cfRule>
    <cfRule type="cellIs" dxfId="124" priority="115080" operator="between">
      <formula>$SU$42</formula>
      <formula>$SU$43</formula>
    </cfRule>
    <cfRule type="cellIs" dxfId="123" priority="115081" operator="between">
      <formula>$SU$41</formula>
      <formula>$SU$42</formula>
    </cfRule>
    <cfRule type="cellIs" dxfId="122" priority="115082" operator="between">
      <formula>$SU$40</formula>
      <formula>$SU$41</formula>
    </cfRule>
  </conditionalFormatting>
  <conditionalFormatting sqref="A1:B3">
    <cfRule type="expression" dxfId="121" priority="2">
      <formula>AND(I1&lt;&gt;"",H1="")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3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229</v>
      </c>
      <c r="B1" s="78" t="s">
        <v>230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231</v>
      </c>
      <c r="H1" s="78" t="s">
        <v>53</v>
      </c>
      <c r="I1" s="78" t="s">
        <v>8</v>
      </c>
      <c r="J1" s="74" t="s">
        <v>9</v>
      </c>
      <c r="K1" s="78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170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196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225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119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121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126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194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224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233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236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89</v>
      </c>
      <c r="X2" s="69"/>
      <c r="Y2" s="69"/>
      <c r="Z2" s="69"/>
      <c r="AA2" s="69" t="s">
        <v>90</v>
      </c>
      <c r="AB2" s="69"/>
      <c r="AC2" s="69"/>
      <c r="AD2" s="69"/>
      <c r="AE2" s="69" t="s">
        <v>91</v>
      </c>
      <c r="AF2" s="69"/>
      <c r="AG2" s="69"/>
      <c r="AH2" s="69"/>
      <c r="AI2" s="69" t="s">
        <v>92</v>
      </c>
      <c r="AJ2" s="69"/>
      <c r="AK2" s="69"/>
      <c r="AL2" s="69"/>
      <c r="AM2" s="79" t="s">
        <v>93</v>
      </c>
      <c r="AN2" s="79"/>
      <c r="AO2" s="79"/>
      <c r="AP2" s="79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69" t="s">
        <v>89</v>
      </c>
      <c r="CD2" s="69"/>
      <c r="CE2" s="69"/>
      <c r="CF2" s="69"/>
      <c r="CG2" s="69" t="s">
        <v>90</v>
      </c>
      <c r="CH2" s="69"/>
      <c r="CI2" s="69"/>
      <c r="CJ2" s="69"/>
      <c r="CK2" s="69" t="s">
        <v>91</v>
      </c>
      <c r="CL2" s="69"/>
      <c r="CM2" s="69"/>
      <c r="CN2" s="69"/>
      <c r="CO2" s="69" t="s">
        <v>92</v>
      </c>
      <c r="CP2" s="69"/>
      <c r="CQ2" s="69"/>
      <c r="CR2" s="69"/>
      <c r="CS2" s="79" t="s">
        <v>93</v>
      </c>
      <c r="CT2" s="79"/>
      <c r="CU2" s="79"/>
      <c r="CV2" s="79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69" t="s">
        <v>89</v>
      </c>
      <c r="DJ2" s="69"/>
      <c r="DK2" s="69"/>
      <c r="DL2" s="69"/>
      <c r="DM2" s="69" t="s">
        <v>90</v>
      </c>
      <c r="DN2" s="69"/>
      <c r="DO2" s="69"/>
      <c r="DP2" s="69"/>
      <c r="DQ2" s="69" t="s">
        <v>91</v>
      </c>
      <c r="DR2" s="69"/>
      <c r="DS2" s="69"/>
      <c r="DT2" s="69"/>
      <c r="DU2" s="69" t="s">
        <v>92</v>
      </c>
      <c r="DV2" s="69"/>
      <c r="DW2" s="69"/>
      <c r="DX2" s="69"/>
      <c r="DY2" s="81" t="s">
        <v>93</v>
      </c>
      <c r="DZ2" s="81"/>
      <c r="EA2" s="81"/>
      <c r="EB2" s="81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69" t="s">
        <v>89</v>
      </c>
      <c r="FN2" s="69"/>
      <c r="FO2" s="69"/>
      <c r="FP2" s="69"/>
      <c r="FQ2" s="69" t="s">
        <v>90</v>
      </c>
      <c r="FR2" s="69"/>
      <c r="FS2" s="69"/>
      <c r="FT2" s="69"/>
      <c r="FU2" s="69" t="s">
        <v>91</v>
      </c>
      <c r="FV2" s="69"/>
      <c r="FW2" s="69"/>
      <c r="FX2" s="69"/>
      <c r="FY2" s="69" t="s">
        <v>92</v>
      </c>
      <c r="FZ2" s="69"/>
      <c r="GA2" s="69"/>
      <c r="GB2" s="69"/>
      <c r="GC2" s="81" t="s">
        <v>93</v>
      </c>
      <c r="GD2" s="81"/>
      <c r="GE2" s="81"/>
      <c r="GF2" s="81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69" t="s">
        <v>89</v>
      </c>
      <c r="HR2" s="69"/>
      <c r="HS2" s="69"/>
      <c r="HT2" s="69"/>
      <c r="HU2" s="69" t="s">
        <v>90</v>
      </c>
      <c r="HV2" s="69"/>
      <c r="HW2" s="69"/>
      <c r="HX2" s="69"/>
      <c r="HY2" s="69" t="s">
        <v>91</v>
      </c>
      <c r="HZ2" s="69"/>
      <c r="IA2" s="69"/>
      <c r="IB2" s="69"/>
      <c r="IC2" s="69" t="s">
        <v>92</v>
      </c>
      <c r="ID2" s="69"/>
      <c r="IE2" s="69"/>
      <c r="IF2" s="69"/>
      <c r="IG2" s="81" t="s">
        <v>93</v>
      </c>
      <c r="IH2" s="81"/>
      <c r="II2" s="81"/>
      <c r="IJ2" s="81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69" t="s">
        <v>89</v>
      </c>
      <c r="JV2" s="69"/>
      <c r="JW2" s="69"/>
      <c r="JX2" s="69"/>
      <c r="JY2" s="69" t="s">
        <v>90</v>
      </c>
      <c r="JZ2" s="69"/>
      <c r="KA2" s="69"/>
      <c r="KB2" s="69"/>
      <c r="KC2" s="69" t="s">
        <v>91</v>
      </c>
      <c r="KD2" s="69"/>
      <c r="KE2" s="69"/>
      <c r="KF2" s="69"/>
      <c r="KG2" s="69" t="s">
        <v>92</v>
      </c>
      <c r="KH2" s="69"/>
      <c r="KI2" s="69"/>
      <c r="KJ2" s="69"/>
      <c r="KK2" s="81" t="s">
        <v>93</v>
      </c>
      <c r="KL2" s="81"/>
      <c r="KM2" s="81"/>
      <c r="KN2" s="81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69" t="s">
        <v>89</v>
      </c>
      <c r="LZ2" s="69"/>
      <c r="MA2" s="69"/>
      <c r="MB2" s="69"/>
      <c r="MC2" s="69" t="s">
        <v>90</v>
      </c>
      <c r="MD2" s="69"/>
      <c r="ME2" s="69"/>
      <c r="MF2" s="69"/>
      <c r="MG2" s="69" t="s">
        <v>91</v>
      </c>
      <c r="MH2" s="69"/>
      <c r="MI2" s="69"/>
      <c r="MJ2" s="69"/>
      <c r="MK2" s="69" t="s">
        <v>92</v>
      </c>
      <c r="ML2" s="69"/>
      <c r="MM2" s="69"/>
      <c r="MN2" s="69"/>
      <c r="MO2" s="81" t="s">
        <v>93</v>
      </c>
      <c r="MP2" s="81"/>
      <c r="MQ2" s="81"/>
      <c r="MR2" s="81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69" t="s">
        <v>89</v>
      </c>
      <c r="OD2" s="69"/>
      <c r="OE2" s="69"/>
      <c r="OF2" s="69"/>
      <c r="OG2" s="69" t="s">
        <v>90</v>
      </c>
      <c r="OH2" s="69"/>
      <c r="OI2" s="69"/>
      <c r="OJ2" s="69"/>
      <c r="OK2" s="69" t="s">
        <v>91</v>
      </c>
      <c r="OL2" s="69"/>
      <c r="OM2" s="69"/>
      <c r="ON2" s="69"/>
      <c r="OO2" s="69" t="s">
        <v>92</v>
      </c>
      <c r="OP2" s="69"/>
      <c r="OQ2" s="69"/>
      <c r="OR2" s="69"/>
      <c r="OS2" s="81" t="s">
        <v>93</v>
      </c>
      <c r="OT2" s="81"/>
      <c r="OU2" s="81"/>
      <c r="OV2" s="81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69" t="s">
        <v>89</v>
      </c>
      <c r="QH2" s="69"/>
      <c r="QI2" s="69"/>
      <c r="QJ2" s="69"/>
      <c r="QK2" s="69" t="s">
        <v>90</v>
      </c>
      <c r="QL2" s="69"/>
      <c r="QM2" s="69"/>
      <c r="QN2" s="69"/>
      <c r="QO2" s="69" t="s">
        <v>91</v>
      </c>
      <c r="QP2" s="69"/>
      <c r="QQ2" s="69"/>
      <c r="QR2" s="69"/>
      <c r="QS2" s="69" t="s">
        <v>92</v>
      </c>
      <c r="QT2" s="69"/>
      <c r="QU2" s="69"/>
      <c r="QV2" s="69"/>
      <c r="QW2" s="79" t="s">
        <v>93</v>
      </c>
      <c r="QX2" s="79"/>
      <c r="QY2" s="79"/>
      <c r="QZ2" s="79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185</v>
      </c>
      <c r="D4" s="4" t="s">
        <v>3</v>
      </c>
      <c r="E4" s="4">
        <v>2006</v>
      </c>
      <c r="F4" s="9">
        <f t="shared" ref="F4:F21" si="0">SUM(L4:T4)+SUM(L4:P4)*0.0000001+SUM(L4)*0.0000000000001</f>
        <v>184.60001287000523</v>
      </c>
      <c r="G4" s="66" t="s">
        <v>46</v>
      </c>
      <c r="H4" s="3" t="str">
        <f t="shared" ref="H4:H21" si="1">IF(OR(AND(AR4&gt;=AY$24,AS4&gt;=AY$28,AR4&lt;&gt;"",AQ4=""),AND(AW4&gt;=AY$24,AX4&gt;=AY$28,AW4&lt;&gt;"",AQ4=""),AND(BU4&gt;=CB$24,BV4&gt;=CB$28,BU4&lt;&gt;"",BT4=""),AND(BZ4&gt;=CB$24,CA4&gt;=CB$28,BZ4&lt;&gt;"",BT4=""),AND(CX4&gt;=DE$24,CY4&gt;=DE$28,CX4&lt;&gt;"",CW4=""),AND(DC4&gt;=DE$24,DD4&gt;=DE$28,DC4&lt;&gt;""),AND(EC4&gt;=EJ$24,ED4&gt;=EJ$28,EC4&lt;&gt;""),AND(EH4&gt;=EJ$24,EI4&gt;=EJ$28,EH4&lt;&gt;""),AND(FE4&gt;=FL$24,FF4&gt;=FL$28,FE4&lt;&gt;""),AND(FJ4&gt;=FL$24,FK4&gt;=FL$28,FJ4&lt;&gt;""),AND(GG4&gt;=GN$24,GH4&gt;=GN$28,GG4&lt;&gt;""),AND(GL4&gt;=GN$24,GM4&gt;=GN$28,GL4&lt;&gt;""),AND(HI4&gt;=HP$24,HJ4&gt;=HP$28,HI4&lt;&gt;""),AND(HN4&gt;=HP$24,HO4&gt;=HP$28,HN4&lt;&gt;""),AND(IK4&gt;=IR$24,IL4&gt;=IR$28,IK4&lt;&gt;""),AND(IP4&gt;=IR$24,IQ4&gt;=IR$28,IP4&lt;&gt;""),AND(JM4&gt;=JT$24,JN4&gt;=JT$28,JM4&lt;&gt;""),AND(JR4&gt;=JT$24,JS4&gt;=JT$28,JR4&lt;&gt;""),AND(KO4&gt;=KV$24,KP4&gt;=KV$28,KO4&lt;&gt;""),AND(KT4&gt;=KV$24,KU4&gt;=KV$28,KT4&lt;&gt;""),AND(LQ4&gt;=LX$24,LR4&gt;=LX$28,LQ4&lt;&gt;""),AND(LV4&gt;=LX$24,LW4&gt;=LX$28,LV4&lt;&gt;""),AND(MS4&gt;=MZ$24,MT4&gt;=MZ$28,MS4&lt;&gt;""),AND(MX4&gt;=MZ$24,MY4&gt;=MZ$28,MX4&lt;&gt;""),AND(NU4&gt;=OB$24,NV4&gt;=OB$28,NU4&lt;&gt;""),AND(NZ4&gt;=OB$24,OA4&gt;=OB$28,NZ4&lt;&gt;""),AND(OW4&gt;=PD$24,OX4&gt;=PD$28,OW4&lt;&gt;""),AND(PB4&gt;=PD$24,PC4&gt;=PD$28,PB4&lt;&gt;""),AND(PY4&gt;=QF$24,PZ4&gt;=QF$28,PY4&lt;&gt;""),AND(QD4&gt;=QF$24,QE4&gt;=QF$28,QD4&lt;&gt;"")),"P","")</f>
        <v>P</v>
      </c>
      <c r="I4" s="3" t="str">
        <f t="shared" ref="I4:I21" si="2">IF(OR(AND(AS4&gt;=AY$28,AS4&lt;&gt;"",AQ4=""),AND(AX4&gt;=AY$28,AX4&lt;&gt;"",AQ4=""),AND(BV4&gt;=CB$28,BV4&lt;&gt;"",BT4=""),AND(CA4&gt;=CB$28,CA4&lt;&gt;"",BT4=""),AND(CY4&gt;=DE$28,CY4&lt;&gt;"",CW4=""),AND(DD4&gt;=DE$28,DD4&lt;&gt;"",CW4=""),AND(ED4&gt;=EJ$28,ED4&lt;&gt;""),AND(EI4&gt;=EJ$28,EI4&lt;&gt;""),AND(FF4&gt;=FL$28,FF4&lt;&gt;""),AND(FK4&gt;=FL$28,FK4&lt;&gt;""),AND(GH4&gt;=GN$28,GH4&lt;&gt;""),AND(GM4&gt;=GN$28,GM4&lt;&gt;""),AND(HJ4&gt;=HP$28,HJ4&lt;&gt;""),AND(HO4&gt;=HP$28,HO4&lt;&gt;""),AND(IL4&gt;=IR$28,IL4&lt;&gt;""),AND(IQ4&gt;=IR$28,IQ4&lt;&gt;""),AND(JN4&gt;=JT$28,JN4&lt;&gt;""),AND(JS4&gt;=JT$28,JS4&lt;&gt;""),AND(KP4&gt;=KV$28,KP4&lt;&gt;""),AND(KU4&gt;=KV$28,KU4&lt;&gt;""),AND(LR4&gt;=LX$28,LR4&lt;&gt;""),AND(LW4&gt;=LX$28,LW4&lt;&gt;""),AND(MT4&gt;=MZ$28,MT4&lt;&gt;""),AND(MY4&gt;=MZ$28,MY4&lt;&gt;""),AND(NV4&gt;=OB$28,NV4&lt;&gt;""),AND(OA4&gt;=OB$28,OA4&lt;&gt;""),AND(OX4&gt;=PD$28,OX4&lt;&gt;""),AND(PC4&gt;=PD$28,PC4&lt;&gt;""),AND(PZ4&gt;=QF$28,PZ4&lt;&gt;""),AND(QE4&gt;=QF$28,QE4&lt;&gt;"")),"P","")</f>
        <v>P</v>
      </c>
      <c r="J4" s="36" t="str">
        <f t="shared" ref="J4:J21" si="3">IF(AND(I4="P",H4=""),"No DD",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Merit",IF(OR(AND(AU4&gt;=AY$26,AV4&gt;=AY$30,AU4&lt;&gt;"",AQ4=""),AND(BX4&gt;=CB$26,BY4&gt;=CB$30,BX4&lt;&gt;"",BT4=""),AND(DA4&gt;=DE$26,DB4&gt;=DE$30,DA4&lt;&gt;"",CW4=""),AND(EF4&gt;=EJ$26,EG4&gt;=EJ$30,EF4&lt;&gt;""),AND(FH4&gt;=FL$26,FI4&gt;=FL$30,FH4&lt;&gt;""),AND(GJ4&gt;=GN$26,GK4&gt;=GN$30,GJ4&lt;&gt;""),AND(HL4&gt;=HP$26,HM4&gt;=HP$30,HL4&lt;&gt;""),AND(IN4&gt;=IR$26,IO4&gt;=IR$30,IN4&lt;&gt;""),AND(JP4&gt;=JT$26,JQ4&gt;=JT$30,JP4&lt;&gt;""),AND(KR4&gt;=KV$26,KS4&gt;=KV$30,KR4&lt;&gt;""),AND(LT4&gt;=LX$26,LU4&gt;=LX$30,LT4&lt;&gt;""),AND(MV4&gt;=MZ$26,MW4&gt;=MZ$30,MV4&lt;&gt;""),AND(NX4&gt;=OB$26,NY4&gt;=OB$30,NX4&lt;&gt;""),AND(OZ4&gt;=PD$26,PA4&gt;=PD$30,OZ4&lt;&gt;""),AND(QB4&gt;=QF$26,QC4&gt;=QF$30,QB4&lt;&gt;"")),"Excellence",IF(K4="P","Worlds Team",IF(H4="P","National Team","")))))</f>
        <v>National Team</v>
      </c>
      <c r="K4" s="3" t="str">
        <f t="shared" ref="K4:K21" si="4">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P","")</f>
        <v/>
      </c>
      <c r="L4" s="8">
        <f>IF(COUNT(AS4,BV4,CY4)&gt;0,LARGE((AS4,BV4,CY4),1),0)</f>
        <v>51.900000000000006</v>
      </c>
      <c r="M4" s="8" t="str">
        <f t="shared" ref="M4:M21" si="5">IF(L4=0,"",IF(L4=CY4,$CC$1,IF(L4=BV4,$AZ$1,IF(L4=AS4,$W$1,""))))</f>
        <v>2023 3rd Domestic Trial</v>
      </c>
      <c r="N4" s="8">
        <f>IF(COUNT(AS4,BV4,CY4)&gt;1,LARGE((AS4,BV4,CY4),2),0)</f>
        <v>51</v>
      </c>
      <c r="O4" s="8" t="str">
        <f t="shared" ref="O4:O21" si="6">IF(N4=0,"",IF(N4=CY4,$CC$1,IF(N4=BV4,$AZ$1,IF(N4=AS4,$W$1,""))))</f>
        <v>2023 Nationals</v>
      </c>
      <c r="P4" s="8">
        <f>IF(COUNT(AT4,BW4,CZ4)&gt;0,LARGE((AT4,BW4,CZ4),1),0)</f>
        <v>25.8</v>
      </c>
      <c r="Q4" s="8" t="str">
        <f t="shared" ref="Q4:Q21" si="7">IF(P4=0,"",IF(P4=CZ4,$CC$1,IF(P4=BW4,$AZ$1,IF(P4=AT4,$W$1,""))))</f>
        <v>2023 3rd Domestic Trial</v>
      </c>
      <c r="R4" s="8">
        <f t="shared" ref="R4:R21" si="8">IF(MAX(AX4,CA4,DD4)&gt;0,MAX(AX4,CA4,DD4),0)</f>
        <v>52.2</v>
      </c>
      <c r="S4" s="8" t="str">
        <f t="shared" ref="S4:S21" si="9">IF(R4=0,"",IF(R4=DD4,$CC$1,IF(R4=CA4,$AZ$1,IF(R4=AX4,$W$1,""))))</f>
        <v>2023 3rd Domestic Trial</v>
      </c>
      <c r="T4" s="8">
        <f t="shared" ref="T4:T21" si="10">IF(MAX(DF4:DH4)&gt;0,MAX(DF4:DH4),"")</f>
        <v>3.7000000000000028</v>
      </c>
      <c r="U4" s="11" t="str">
        <f t="shared" ref="U4:U21" si="11">IF(T4="","",IF(T4=DF4,"("&amp;DF$2&amp;")",IF(T4=DG4,"("&amp;DG$2&amp;")",IF(T4=DH4,"("&amp;DH$2&amp;")"))))</f>
        <v>(Q1)</v>
      </c>
      <c r="V4" s="8" t="str">
        <f t="shared" ref="V4:V21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16.899999999999999</v>
      </c>
      <c r="X4" s="19">
        <v>3.3</v>
      </c>
      <c r="Y4" s="19">
        <v>0</v>
      </c>
      <c r="Z4" s="19">
        <v>0</v>
      </c>
      <c r="AA4" s="19">
        <v>18.5</v>
      </c>
      <c r="AB4" s="19">
        <v>6.9</v>
      </c>
      <c r="AC4" s="19">
        <v>0</v>
      </c>
      <c r="AD4" s="19">
        <v>0</v>
      </c>
      <c r="AE4" s="19">
        <v>18.600000000000001</v>
      </c>
      <c r="AF4" s="19">
        <v>6.5</v>
      </c>
      <c r="AG4" s="19">
        <v>0</v>
      </c>
      <c r="AH4" s="19">
        <v>0</v>
      </c>
      <c r="AI4" s="19">
        <v>18.899999999999999</v>
      </c>
      <c r="AJ4" s="19">
        <v>6.9</v>
      </c>
      <c r="AK4" s="19">
        <v>0</v>
      </c>
      <c r="AL4" s="19">
        <v>0</v>
      </c>
      <c r="AM4" s="19">
        <v>18</v>
      </c>
      <c r="AN4" s="19">
        <v>6.9</v>
      </c>
      <c r="AO4" s="19">
        <v>0</v>
      </c>
      <c r="AP4" s="19">
        <v>0</v>
      </c>
      <c r="AQ4" s="27"/>
      <c r="AR4" s="40">
        <f t="shared" ref="AR4:AR21" si="13">IF(SUM(X4,AB4)&gt;0,SUM(X4,AB4),"")</f>
        <v>10.199999999999999</v>
      </c>
      <c r="AS4" s="40">
        <f t="shared" ref="AS4:AS21" si="14">IF(SUM(W4:X4,Z4:AB4,AD4)-Y4-AC4&gt;0,SUM(W4:X4,Z4:AB4,AD4)-Y4-AC4,"")</f>
        <v>45.6</v>
      </c>
      <c r="AT4" s="40">
        <f t="shared" ref="AT4:AT21" si="15">IF(SUM(AE4:AF4,AH4)-AG4&gt;0,SUM(AE4:AF4,AH4)-AG4,"")</f>
        <v>25.1</v>
      </c>
      <c r="AU4" s="40">
        <f t="shared" ref="AU4:AU21" si="16">IF(SUM(X4,AB4,AF4)&gt;0,SUM(X4,AB4,AF4),"")</f>
        <v>16.7</v>
      </c>
      <c r="AV4" s="40">
        <f t="shared" ref="AV4:AV21" si="17">IF(SUM(AS4,AT4)&gt;0,SUM(AS4,AT4),"")</f>
        <v>70.7</v>
      </c>
      <c r="AW4" s="40">
        <f t="shared" ref="AW4:AW21" si="18">IF(SUM(AJ4,AN4)&gt;0,SUM(AJ4,AN4),"")</f>
        <v>13.8</v>
      </c>
      <c r="AX4" s="40">
        <f t="shared" ref="AX4:AX21" si="19">IF(SUM(AI4:AJ4,AL4:AN4,AP4)-SUM(AK4,AO4)&gt;0,SUM(AI4:AJ4,AL4:AN4,AP4)-SUM(AK4,AO4),"")</f>
        <v>50.699999999999996</v>
      </c>
      <c r="AY4" s="40">
        <f t="shared" ref="AY4:AY21" si="20">IF(SUM(AS4,AT4,AX4)&gt;0,SUM(AS4,AT4,AX4),"")</f>
        <v>121.4</v>
      </c>
      <c r="AZ4" s="18">
        <v>17.8</v>
      </c>
      <c r="BA4" s="18">
        <v>7.3</v>
      </c>
      <c r="BB4" s="18">
        <v>0</v>
      </c>
      <c r="BC4" s="18">
        <v>0</v>
      </c>
      <c r="BD4" s="18">
        <v>17.399999999999999</v>
      </c>
      <c r="BE4" s="18">
        <v>8.5</v>
      </c>
      <c r="BF4" s="18">
        <v>0</v>
      </c>
      <c r="BG4" s="18">
        <v>0</v>
      </c>
      <c r="BH4" s="18">
        <v>17.399999999999999</v>
      </c>
      <c r="BI4" s="18">
        <v>8.1999999999999993</v>
      </c>
      <c r="BJ4" s="18">
        <v>0</v>
      </c>
      <c r="BK4" s="18">
        <v>0</v>
      </c>
      <c r="BL4" s="18">
        <v>18.2</v>
      </c>
      <c r="BM4" s="18">
        <v>8.1999999999999993</v>
      </c>
      <c r="BN4" s="18">
        <v>0</v>
      </c>
      <c r="BO4" s="18">
        <v>0</v>
      </c>
      <c r="BP4" s="18">
        <v>16.8</v>
      </c>
      <c r="BQ4" s="18">
        <v>6.5</v>
      </c>
      <c r="BR4" s="18">
        <v>0</v>
      </c>
      <c r="BS4" s="18">
        <v>0</v>
      </c>
      <c r="BT4" s="28"/>
      <c r="BU4" s="11">
        <f t="shared" ref="BU4:BU21" si="21">IF(SUM(BA4,BE4)&gt;0,SUM(BA4,BE4),"")</f>
        <v>15.8</v>
      </c>
      <c r="BV4" s="11">
        <f t="shared" ref="BV4:BV21" si="22">IF(SUM(AZ4:BA4,BC4:BE4,BG4)-BB4-BF4&gt;0,SUM(AZ4:BA4,BC4:BE4,BG4)-BB4-BF4,"")</f>
        <v>51</v>
      </c>
      <c r="BW4" s="11">
        <f t="shared" ref="BW4:BW21" si="23">IF(SUM(BH4:BI4,BK4)-BJ4&gt;0,SUM(BH4:BI4,BK4)-BJ4,"")</f>
        <v>25.599999999999998</v>
      </c>
      <c r="BX4" s="11">
        <f t="shared" ref="BX4:BX21" si="24">IF(SUM(BA4,BE4,BI4)&gt;0,SUM(BA4,BE4,BI4),"")</f>
        <v>24</v>
      </c>
      <c r="BY4" s="11">
        <f t="shared" ref="BY4:BY21" si="25">IF(SUM(BV4,BW4)&gt;0,SUM(BV4,BW4),"")</f>
        <v>76.599999999999994</v>
      </c>
      <c r="BZ4" s="11">
        <f t="shared" ref="BZ4:BZ21" si="26">IF(SUM(BM4,BQ4)&gt;0,SUM(BM4,BQ4),"")</f>
        <v>14.7</v>
      </c>
      <c r="CA4" s="11">
        <f t="shared" ref="CA4:CA21" si="27">IF(SUM(BL4:BM4,BO4:BQ4,BS4)-SUM(BN4,BR4)&gt;0,SUM(BL4:BM4,BO4:BQ4,BS4)-SUM(BN4,BR4),"")</f>
        <v>49.7</v>
      </c>
      <c r="CB4" s="11">
        <f t="shared" ref="CB4:CB21" si="28">IF(SUM(BV4,BW4,CA4)&gt;0,SUM(BV4,BW4,CA4),"")</f>
        <v>126.3</v>
      </c>
      <c r="CC4" s="19">
        <v>17.8</v>
      </c>
      <c r="CD4" s="19">
        <v>8.1999999999999993</v>
      </c>
      <c r="CE4" s="19">
        <v>0</v>
      </c>
      <c r="CF4" s="19">
        <v>0</v>
      </c>
      <c r="CG4" s="19">
        <v>18.2</v>
      </c>
      <c r="CH4" s="19">
        <v>7.7</v>
      </c>
      <c r="CI4" s="19">
        <v>0</v>
      </c>
      <c r="CJ4" s="19">
        <v>0</v>
      </c>
      <c r="CK4" s="19">
        <v>17.600000000000001</v>
      </c>
      <c r="CL4" s="19">
        <v>8.1999999999999993</v>
      </c>
      <c r="CM4" s="19">
        <v>0</v>
      </c>
      <c r="CN4" s="19">
        <v>0</v>
      </c>
      <c r="CO4" s="19">
        <v>18.100000000000001</v>
      </c>
      <c r="CP4" s="19">
        <v>8.1999999999999993</v>
      </c>
      <c r="CQ4" s="19">
        <v>0</v>
      </c>
      <c r="CR4" s="19">
        <v>0</v>
      </c>
      <c r="CS4" s="19">
        <v>18.2</v>
      </c>
      <c r="CT4" s="19">
        <v>7.7</v>
      </c>
      <c r="CU4" s="19">
        <v>0</v>
      </c>
      <c r="CV4" s="19">
        <v>0</v>
      </c>
      <c r="CW4" s="27"/>
      <c r="CX4" s="40">
        <f t="shared" ref="CX4:CX21" si="29">IF(SUM(CD4,CH4)&gt;0,SUM(CD4,CH4),"")</f>
        <v>15.899999999999999</v>
      </c>
      <c r="CY4" s="40">
        <f t="shared" ref="CY4:CY21" si="30">IF(SUM(CC4:CD4,CF4:CH4,CJ4)-CE4-CI4&gt;0,SUM(CC4:CD4,CF4:CH4,CJ4)-CE4-CI4,"")</f>
        <v>51.900000000000006</v>
      </c>
      <c r="CZ4" s="40">
        <f t="shared" ref="CZ4:CZ21" si="31">IF(SUM(CK4:CL4,CN4)-CM4&gt;0,SUM(CK4:CL4,CN4)-CM4,"")</f>
        <v>25.8</v>
      </c>
      <c r="DA4" s="40">
        <f t="shared" ref="DA4:DA21" si="32">IF(SUM(CD4,CH4,CL4)&gt;0,SUM(CD4,CH4,CL4),"")</f>
        <v>24.099999999999998</v>
      </c>
      <c r="DB4" s="40">
        <f t="shared" ref="DB4:DB21" si="33">IF(SUM(CY4,CZ4)&gt;0,SUM(CY4,CZ4),"")</f>
        <v>77.7</v>
      </c>
      <c r="DC4" s="40">
        <f t="shared" ref="DC4:DC21" si="34">IF(SUM(CP4,CT4)&gt;0,SUM(CP4,CT4),"")</f>
        <v>15.899999999999999</v>
      </c>
      <c r="DD4" s="40">
        <f t="shared" ref="DD4:DD21" si="35">IF(SUM(CO4:CP4,CR4:CT4,CV4)-SUM(CQ4,CU4)&gt;0,SUM(CO4:CP4,CR4:CT4,CV4)-SUM(CQ4,CU4),"")</f>
        <v>52.2</v>
      </c>
      <c r="DE4" s="40">
        <f t="shared" ref="DE4:DE21" si="36">IF(SUM(CY4,CZ4,DD4)&gt;0,SUM(CY4,CZ4,DD4),"")</f>
        <v>129.9</v>
      </c>
      <c r="DF4" s="50">
        <f t="shared" ref="DF4:DF21" si="37">IF(MAX(ED4,FF4,GH4,HJ4,IL4,JN4,KP4,LR4,MT4,NV4,OX4,PZ4)-IF(N4="",0,N4)&gt;0.001,MAX(ED4,FF4,GH4,HJ4,IL4,JN4,KP4,LR4,MT4,NV4,OX4,PZ4)-IF(N4="",0,N4),"")</f>
        <v>3.7000000000000028</v>
      </c>
      <c r="DG4" s="50" t="str">
        <f t="shared" ref="DG4:DG21" si="38">IF(MAX(EE4,FG4,GI4,HK4,IM4,JO4,KQ4,LS4,MU4,NW4,OY4,QA4)-IF(P4="",0,P4)&gt;0.001,MAX(EE4,FG4,GI4,HK4,IM4,JO4,KQ4,LS4,MU4,NW4,OY4,QA4)-IF(P4="",0,P4),"")</f>
        <v/>
      </c>
      <c r="DH4" s="50">
        <f t="shared" ref="DH4:DH21" si="39">IF(MAX(EI4,FK4,GM4,HO4,IQ4,JS4,KU4,LW4,MY4,OA4,PC4,QE4)-IF(R4="",0,R4)&gt;0.001,MAX(EI4,FK4,GM4,HO4,IQ4,JS4,KU4,LW4,MY4,OA4,PC4,QE4)-IF(R4="",0,R4),"")</f>
        <v>1.3000000000000043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 t="shared" ref="EC4:EC21" si="40">IF(SUM(DJ4,DN4)&gt;0,SUM(DJ4,DN4),"")</f>
        <v/>
      </c>
      <c r="ED4" s="40" t="str">
        <f t="shared" ref="ED4:ED21" si="41">IF(SUM(DI4:DJ4,DL4:DN4,DP4)-DK4-DO4&gt;0,SUM(DI4:DJ4,DL4:DN4,DP4)-DK4-DO4,"")</f>
        <v/>
      </c>
      <c r="EE4" s="40" t="str">
        <f t="shared" ref="EE4:EE21" si="42">IF(SUM(DQ4:DR4,DT4)-DS4&gt;0,SUM(DQ4:DR4,DT4)-DS4,"")</f>
        <v/>
      </c>
      <c r="EF4" s="40" t="str">
        <f t="shared" ref="EF4:EF21" si="43">IF(SUM(DJ4,DN4,DR4)&gt;0,SUM(DJ4,DN4,DR4),"")</f>
        <v/>
      </c>
      <c r="EG4" s="40" t="str">
        <f t="shared" ref="EG4:EG21" si="44">IF(SUM(ED4,EE4)&gt;0,SUM(ED4,EE4),"")</f>
        <v/>
      </c>
      <c r="EH4" s="40" t="str">
        <f t="shared" ref="EH4:EH21" si="45">IF(SUM(DV4,DZ4)&gt;0,SUM(DV4,DZ4),"")</f>
        <v/>
      </c>
      <c r="EI4" s="40" t="str">
        <f t="shared" ref="EI4:EI21" si="46">IF(SUM(DU4:DV4,DX4:DZ4,EB4)-SUM(DW4,EA4)&gt;0,SUM(DU4:DV4,DX4:DZ4,EB4)-SUM(DW4,EA4),"")</f>
        <v/>
      </c>
      <c r="EJ4" s="40" t="str">
        <f t="shared" ref="EJ4:EJ21" si="47"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 t="shared" ref="FE4:FE21" si="48">IF(SUM(EL4,EP4)&gt;0,SUM(EL4,EP4),"")</f>
        <v/>
      </c>
      <c r="FF4" s="11" t="str">
        <f t="shared" ref="FF4:FF21" si="49">IF(SUM(EK4:EL4,EN4:EP4,ER4)-EM4-EQ4&gt;0,SUM(EK4:EL4,EN4:EP4,ER4)-EM4-EQ4,"")</f>
        <v/>
      </c>
      <c r="FG4" s="11" t="str">
        <f t="shared" ref="FG4:FG21" si="50">IF(SUM(ES4:ET4,EV4)-EU4&gt;0,SUM(ES4:ET4,EV4)-EU4,"")</f>
        <v/>
      </c>
      <c r="FH4" s="11" t="str">
        <f t="shared" ref="FH4:FH21" si="51">IF(SUM(EL4,EP4,ET4)&gt;0,SUM(EL4,EP4,ET4),"")</f>
        <v/>
      </c>
      <c r="FI4" s="11" t="str">
        <f t="shared" ref="FI4:FI21" si="52">IF(SUM(FF4,FG4)&gt;0,SUM(FF4,FG4),"")</f>
        <v/>
      </c>
      <c r="FJ4" s="11" t="str">
        <f t="shared" ref="FJ4:FJ21" si="53">IF(SUM(EX4,FB4)&gt;0,SUM(EX4,FB4),"")</f>
        <v/>
      </c>
      <c r="FK4" s="11" t="str">
        <f t="shared" ref="FK4:FK21" si="54">IF(SUM(EW4:EX4,EZ4:FB4,FD4)-SUM(EY4,FC4)&gt;0,SUM(EW4:EX4,EZ4:FB4,FD4)-SUM(EY4,FC4),"")</f>
        <v/>
      </c>
      <c r="FL4" s="11" t="str">
        <f t="shared" ref="FL4:FL21" si="55">IF(SUM(FF4,FG4,FK4)&gt;0,SUM(FF4,FG4,FK4),"")</f>
        <v/>
      </c>
      <c r="FM4" s="17">
        <v>18.3</v>
      </c>
      <c r="FN4" s="17">
        <v>7.6</v>
      </c>
      <c r="FO4" s="17">
        <v>0</v>
      </c>
      <c r="FP4" s="17">
        <v>0</v>
      </c>
      <c r="FQ4" s="17">
        <v>17.399999999999999</v>
      </c>
      <c r="FR4" s="17">
        <v>7.3</v>
      </c>
      <c r="FS4" s="17">
        <v>0</v>
      </c>
      <c r="FT4" s="17">
        <v>0</v>
      </c>
      <c r="FU4" s="17"/>
      <c r="FV4" s="17"/>
      <c r="FW4" s="17"/>
      <c r="FX4" s="17"/>
      <c r="FY4" s="17">
        <v>16.7</v>
      </c>
      <c r="FZ4" s="17">
        <v>8.8000000000000007</v>
      </c>
      <c r="GA4" s="17">
        <v>0</v>
      </c>
      <c r="GB4" s="17">
        <v>0</v>
      </c>
      <c r="GC4" s="17">
        <v>16.5</v>
      </c>
      <c r="GD4" s="17">
        <v>3.3</v>
      </c>
      <c r="GE4" s="17">
        <v>0</v>
      </c>
      <c r="GF4" s="17">
        <v>0</v>
      </c>
      <c r="GG4" s="40">
        <f t="shared" ref="GG4:GG21" si="56">IF(SUM(FN4,FR4)&gt;0,SUM(FN4,FR4),"")</f>
        <v>14.899999999999999</v>
      </c>
      <c r="GH4" s="40">
        <f t="shared" ref="GH4:GH21" si="57">IF(SUM(FM4:FN4,FP4:FR4,FT4)-FO4-FS4&gt;0,SUM(FM4:FN4,FP4:FR4,FT4)-FO4-FS4,"")</f>
        <v>50.599999999999994</v>
      </c>
      <c r="GI4" s="40" t="str">
        <f t="shared" ref="GI4:GI21" si="58">IF(SUM(FU4:FV4,FX4)-FW4&gt;0,SUM(FU4:FV4,FX4)-FW4,"")</f>
        <v/>
      </c>
      <c r="GJ4" s="40">
        <f t="shared" ref="GJ4:GJ21" si="59">IF(SUM(FN4,FR4,FV4)&gt;0,SUM(FN4,FR4,FV4),"")</f>
        <v>14.899999999999999</v>
      </c>
      <c r="GK4" s="40">
        <f t="shared" ref="GK4:GK21" si="60">IF(SUM(GH4,GI4)&gt;0,SUM(GH4,GI4),"")</f>
        <v>50.599999999999994</v>
      </c>
      <c r="GL4" s="40">
        <f t="shared" ref="GL4:GL21" si="61">IF(SUM(FZ4,GD4)&gt;0,SUM(FZ4,GD4),"")</f>
        <v>12.100000000000001</v>
      </c>
      <c r="GM4" s="40">
        <f t="shared" ref="GM4:GM21" si="62">IF(SUM(FY4:FZ4,GB4:GD4,GF4)-SUM(GA4,GE4)&gt;0,SUM(FY4:FZ4,GB4:GD4,GF4)-SUM(GA4,GE4),"")</f>
        <v>45.3</v>
      </c>
      <c r="GN4" s="40">
        <f t="shared" ref="GN4:GN21" si="63">IF(SUM(GH4,GI4,GM4)&gt;0,SUM(GH4,GI4,GM4),"")</f>
        <v>95.899999999999991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21" si="64">IF(SUM(GP4,GT4)&gt;0,SUM(GP4,GT4),"")</f>
        <v/>
      </c>
      <c r="HJ4" s="11" t="str">
        <f t="shared" ref="HJ4:HJ21" si="65">IF(SUM(GO4:GP4,GR4:GT4,GV4)-GQ4-GU4&gt;0,SUM(GO4:GP4,GR4:GT4,GV4)-GQ4-GU4,"")</f>
        <v/>
      </c>
      <c r="HK4" s="11" t="str">
        <f t="shared" ref="HK4:HK21" si="66">IF(SUM(GW4:GX4,GZ4)-GY4&gt;0,SUM(GW4:GX4,GZ4)-GY4,"")</f>
        <v/>
      </c>
      <c r="HL4" s="11" t="str">
        <f t="shared" ref="HL4:HL21" si="67">IF(SUM(GP4,GT4,GX4)&gt;0,SUM(GP4,GT4,GX4),"")</f>
        <v/>
      </c>
      <c r="HM4" s="11" t="str">
        <f t="shared" ref="HM4:HM21" si="68">IF(SUM(HJ4,HK4)&gt;0,SUM(HJ4,HK4),"")</f>
        <v/>
      </c>
      <c r="HN4" s="11" t="str">
        <f t="shared" ref="HN4:HN21" si="69">IF(SUM(HB4,HF4)&gt;0,SUM(HB4,HF4),"")</f>
        <v/>
      </c>
      <c r="HO4" s="11" t="str">
        <f t="shared" ref="HO4:HO21" si="70">IF(SUM(HA4:HB4,HD4:HF4,HH4)-SUM(HC4,HG4)&gt;0,SUM(HA4:HB4,HD4:HF4,HH4)-SUM(HC4,HG4),"")</f>
        <v/>
      </c>
      <c r="HP4" s="11" t="str">
        <f t="shared" ref="HP4:HP21" si="71">IF(SUM(HJ4,HK4,HO4)&gt;0,SUM(HJ4,HK4,HO4),"")</f>
        <v/>
      </c>
      <c r="HQ4" s="17">
        <v>17.899999999999999</v>
      </c>
      <c r="HR4" s="17">
        <v>8.1999999999999993</v>
      </c>
      <c r="HS4" s="17">
        <v>0</v>
      </c>
      <c r="HT4" s="17">
        <v>0</v>
      </c>
      <c r="HU4" s="17">
        <v>18.2</v>
      </c>
      <c r="HV4" s="17">
        <v>8.5</v>
      </c>
      <c r="HW4" s="17">
        <v>0</v>
      </c>
      <c r="HX4" s="17">
        <v>0</v>
      </c>
      <c r="HY4" s="17"/>
      <c r="HZ4" s="17"/>
      <c r="IA4" s="17"/>
      <c r="IB4" s="17"/>
      <c r="IC4" s="17">
        <v>18.3</v>
      </c>
      <c r="ID4" s="17">
        <v>9</v>
      </c>
      <c r="IE4" s="17">
        <v>0</v>
      </c>
      <c r="IF4" s="17">
        <v>0</v>
      </c>
      <c r="IG4" s="17">
        <v>18.100000000000001</v>
      </c>
      <c r="IH4" s="17">
        <v>8.1</v>
      </c>
      <c r="II4" s="17">
        <v>0</v>
      </c>
      <c r="IJ4" s="17">
        <v>0</v>
      </c>
      <c r="IK4" s="40">
        <f t="shared" ref="IK4:IK21" si="72">IF(SUM(HR4,HV4)&gt;0,SUM(HR4,HV4),"")</f>
        <v>16.7</v>
      </c>
      <c r="IL4" s="40">
        <f t="shared" ref="IL4:IL21" si="73">IF(SUM(HQ4:HR4,HT4:HV4,HX4)-HS4-HW4&gt;0,SUM(HQ4:HR4,HT4:HV4,HX4)-HS4-HW4,"")</f>
        <v>52.8</v>
      </c>
      <c r="IM4" s="40" t="str">
        <f t="shared" ref="IM4:IM21" si="74">IF(SUM(HY4:HZ4,IB4)-IA4&gt;0,SUM(HY4:HZ4,IB4)-IA4,"")</f>
        <v/>
      </c>
      <c r="IN4" s="40">
        <f t="shared" ref="IN4:IN21" si="75">IF(SUM(HR4,HV4,HZ4)&gt;0,SUM(HR4,HV4,HZ4),"")</f>
        <v>16.7</v>
      </c>
      <c r="IO4" s="40">
        <f t="shared" ref="IO4:IO21" si="76">IF(SUM(IL4,IM4)&gt;0,SUM(IL4,IM4),"")</f>
        <v>52.8</v>
      </c>
      <c r="IP4" s="40">
        <f t="shared" ref="IP4:IP21" si="77">IF(SUM(ID4,IH4)&gt;0,SUM(ID4,IH4),"")</f>
        <v>17.100000000000001</v>
      </c>
      <c r="IQ4" s="40">
        <f t="shared" ref="IQ4:IQ21" si="78">IF(SUM(IC4:ID4,IF4:IH4,IJ4)-SUM(IE4,II4)&gt;0,SUM(IC4:ID4,IF4:IH4,IJ4)-SUM(IE4,II4),"")</f>
        <v>53.500000000000007</v>
      </c>
      <c r="IR4" s="40">
        <f t="shared" ref="IR4:IR21" si="79">IF(SUM(IL4,IM4,IQ4)&gt;0,SUM(IL4,IM4,IQ4),"")</f>
        <v>106.30000000000001</v>
      </c>
      <c r="IS4" s="18">
        <v>18.600000000000001</v>
      </c>
      <c r="IT4" s="18">
        <v>8.1999999999999993</v>
      </c>
      <c r="IU4" s="18">
        <v>0</v>
      </c>
      <c r="IV4" s="18">
        <v>0</v>
      </c>
      <c r="IW4" s="18">
        <v>18.600000000000001</v>
      </c>
      <c r="IX4" s="18">
        <v>9.3000000000000007</v>
      </c>
      <c r="IY4" s="18">
        <v>0</v>
      </c>
      <c r="IZ4" s="18">
        <v>0</v>
      </c>
      <c r="JA4" s="18">
        <v>17.399999999999999</v>
      </c>
      <c r="JB4" s="18">
        <v>7.7</v>
      </c>
      <c r="JC4" s="18">
        <v>0</v>
      </c>
      <c r="JD4" s="18">
        <v>0</v>
      </c>
      <c r="JE4" s="18"/>
      <c r="JF4" s="18"/>
      <c r="JG4" s="18"/>
      <c r="JH4" s="18"/>
      <c r="JI4" s="18"/>
      <c r="JJ4" s="18"/>
      <c r="JK4" s="18"/>
      <c r="JL4" s="18"/>
      <c r="JM4" s="11">
        <f t="shared" ref="JM4:JM21" si="80">IF(SUM(IT4,IX4)&gt;0,SUM(IT4,IX4),"")</f>
        <v>17.5</v>
      </c>
      <c r="JN4" s="11">
        <f t="shared" ref="JN4:JN21" si="81">IF(SUM(IS4:IT4,IV4:IX4,IZ4)-IU4-IY4&gt;0,SUM(IS4:IT4,IV4:IX4,IZ4)-IU4-IY4,"")</f>
        <v>54.7</v>
      </c>
      <c r="JO4" s="11">
        <f t="shared" ref="JO4:JO21" si="82">IF(SUM(JA4:JB4,JD4)-JC4&gt;0,SUM(JA4:JB4,JD4)-JC4,"")</f>
        <v>25.099999999999998</v>
      </c>
      <c r="JP4" s="11">
        <f t="shared" ref="JP4:JP21" si="83">IF(SUM(IT4,IX4,JB4)&gt;0,SUM(IT4,IX4,JB4),"")</f>
        <v>25.2</v>
      </c>
      <c r="JQ4" s="11">
        <f t="shared" ref="JQ4:JQ21" si="84">IF(SUM(JN4,JO4)&gt;0,SUM(JN4,JO4),"")</f>
        <v>79.8</v>
      </c>
      <c r="JR4" s="11" t="str">
        <f t="shared" ref="JR4:JR21" si="85">IF(SUM(JF4,JJ4)&gt;0,SUM(JF4,JJ4),"")</f>
        <v/>
      </c>
      <c r="JS4" s="11" t="str">
        <f t="shared" ref="JS4:JS21" si="86">IF(SUM(JE4:JF4,JH4:JJ4,JL4)-SUM(JG4,JK4)&gt;0,SUM(JE4:JF4,JH4:JJ4,JL4)-SUM(JG4,JK4),"")</f>
        <v/>
      </c>
      <c r="JT4" s="11">
        <f t="shared" ref="JT4:JT21" si="87">IF(SUM(JN4,JO4,JS4)&gt;0,SUM(JN4,JO4,JS4),"")</f>
        <v>79.8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21" si="88">IF(SUM(JV4,JZ4)&gt;0,SUM(JV4,JZ4),"")</f>
        <v/>
      </c>
      <c r="KP4" s="40" t="str">
        <f t="shared" ref="KP4:KP21" si="89">IF(SUM(JU4:JV4,JX4:JZ4,KB4)-JW4-KA4&gt;0,SUM(JU4:JV4,JX4:JZ4,KB4)-JW4-KA4,"")</f>
        <v/>
      </c>
      <c r="KQ4" s="40" t="str">
        <f t="shared" ref="KQ4:KQ21" si="90">IF(SUM(KC4:KD4,KF4)-KE4&gt;0,SUM(KC4:KD4,KF4)-KE4,"")</f>
        <v/>
      </c>
      <c r="KR4" s="40" t="str">
        <f t="shared" ref="KR4:KR21" si="91">IF(SUM(JV4,JZ4,KD4)&gt;0,SUM(JV4,JZ4,KD4),"")</f>
        <v/>
      </c>
      <c r="KS4" s="40" t="str">
        <f t="shared" ref="KS4:KS21" si="92">IF(SUM(KP4,KQ4)&gt;0,SUM(KP4,KQ4),"")</f>
        <v/>
      </c>
      <c r="KT4" s="40" t="str">
        <f t="shared" ref="KT4:KT21" si="93">IF(SUM(KH4,KL4)&gt;0,SUM(KH4,KL4),"")</f>
        <v/>
      </c>
      <c r="KU4" s="40" t="str">
        <f t="shared" ref="KU4:KU21" si="94">IF(SUM(KG4:KH4,KJ4:KL4,KN4)-SUM(KI4,KM4)&gt;0,SUM(KG4:KH4,KJ4:KL4,KN4)-SUM(KI4,KM4),"")</f>
        <v/>
      </c>
      <c r="KV4" s="40" t="str">
        <f t="shared" ref="KV4:KV21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21" si="96">IF(SUM(KX4,LB4)&gt;0,SUM(KX4,LB4),"")</f>
        <v/>
      </c>
      <c r="LR4" s="11" t="str">
        <f t="shared" ref="LR4:LR21" si="97">IF(SUM(KW4:KX4,KZ4:LB4,LD4)-KY4-LC4&gt;0,SUM(KW4:KX4,KZ4:LB4,LD4)-KY4-LC4,"")</f>
        <v/>
      </c>
      <c r="LS4" s="11" t="str">
        <f t="shared" ref="LS4:LS21" si="98">IF(SUM(LE4:LF4,LH4)-LG4&gt;0,SUM(LE4:LF4,LH4)-LG4,"")</f>
        <v/>
      </c>
      <c r="LT4" s="11" t="str">
        <f t="shared" ref="LT4:LT21" si="99">IF(SUM(KX4,LB4,LF4)&gt;0,SUM(KX4,LB4,LF4),"")</f>
        <v/>
      </c>
      <c r="LU4" s="11" t="str">
        <f t="shared" ref="LU4:LU21" si="100">IF(SUM(LR4,LS4)&gt;0,SUM(LR4,LS4),"")</f>
        <v/>
      </c>
      <c r="LV4" s="11" t="str">
        <f t="shared" ref="LV4:LV21" si="101">IF(SUM(LJ4,LN4)&gt;0,SUM(LJ4,LN4),"")</f>
        <v/>
      </c>
      <c r="LW4" s="11" t="str">
        <f t="shared" ref="LW4:LW21" si="102">IF(SUM(LI4:LJ4,LL4:LN4,LP4)-SUM(LK4,LO4)&gt;0,SUM(LI4:LJ4,LL4:LN4,LP4)-SUM(LK4,LO4),"")</f>
        <v/>
      </c>
      <c r="LX4" s="11" t="str">
        <f t="shared" ref="LX4:LX21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1" si="104">IF(SUM(LZ4,MD4)&gt;0,SUM(LZ4,MD4),"")</f>
        <v/>
      </c>
      <c r="MT4" s="40" t="str">
        <f t="shared" ref="MT4:MT21" si="105">IF(SUM(LY4:LZ4,MB4:MD4,MF4)-MA4-ME4&gt;0,SUM(LY4:LZ4,MB4:MD4,MF4)-MA4-ME4,"")</f>
        <v/>
      </c>
      <c r="MU4" s="40" t="str">
        <f t="shared" ref="MU4:MU21" si="106">IF(SUM(MG4:MH4,MJ4)-MI4&gt;0,SUM(MG4:MH4,MJ4)-MI4,"")</f>
        <v/>
      </c>
      <c r="MV4" s="40" t="str">
        <f t="shared" ref="MV4:MV21" si="107">IF(SUM(LZ4,MD4,MH4)&gt;0,SUM(LZ4,MD4,MH4),"")</f>
        <v/>
      </c>
      <c r="MW4" s="40" t="str">
        <f t="shared" ref="MW4:MW21" si="108">IF(SUM(MT4,MU4)&gt;0,SUM(MT4,MU4),"")</f>
        <v/>
      </c>
      <c r="MX4" s="40" t="str">
        <f t="shared" ref="MX4:MX21" si="109">IF(SUM(ML4,MP4)&gt;0,SUM(ML4,MP4),"")</f>
        <v/>
      </c>
      <c r="MY4" s="40" t="str">
        <f t="shared" ref="MY4:MY21" si="110">IF(SUM(MK4:ML4,MN4:MP4,MR4)-SUM(MM4,MQ4)&gt;0,SUM(MK4:ML4,MN4:MP4,MR4)-SUM(MM4,MQ4),"")</f>
        <v/>
      </c>
      <c r="MZ4" s="40" t="str">
        <f t="shared" ref="MZ4:MZ21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1" si="112">IF(SUM(NB4,NF4)&gt;0,SUM(NB4,NF4),"")</f>
        <v/>
      </c>
      <c r="NV4" s="11" t="str">
        <f t="shared" ref="NV4:NV21" si="113">IF(SUM(NA4:NB4,ND4:NF4,NH4)-NC4-NG4&gt;0,SUM(NA4:NB4,ND4:NF4,NH4)-NC4-NG4,"")</f>
        <v/>
      </c>
      <c r="NW4" s="11" t="str">
        <f t="shared" ref="NW4:NW21" si="114">IF(SUM(NI4:NJ4,NL4)-NK4&gt;0,SUM(NI4:NJ4,NL4)-NK4,"")</f>
        <v/>
      </c>
      <c r="NX4" s="11" t="str">
        <f t="shared" ref="NX4:NX21" si="115">IF(SUM(NB4,NF4,NJ4)&gt;0,SUM(NB4,NF4,NJ4),"")</f>
        <v/>
      </c>
      <c r="NY4" s="11" t="str">
        <f t="shared" ref="NY4:NY21" si="116">IF(SUM(NV4,NW4)&gt;0,SUM(NV4,NW4),"")</f>
        <v/>
      </c>
      <c r="NZ4" s="11" t="str">
        <f t="shared" ref="NZ4:NZ21" si="117">IF(SUM(NN4,NR4)&gt;0,SUM(NN4,NR4),"")</f>
        <v/>
      </c>
      <c r="OA4" s="11" t="str">
        <f t="shared" ref="OA4:OA21" si="118">IF(SUM(NM4:NN4,NP4:NR4,NT4)-SUM(NO4,NS4)&gt;0,SUM(NM4:NN4,NP4:NR4,NT4)-SUM(NO4,NS4),"")</f>
        <v/>
      </c>
      <c r="OB4" s="11" t="str">
        <f t="shared" ref="OB4:OB21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1" si="120">IF(SUM(OD4,OH4)&gt;0,SUM(OD4,OH4),"")</f>
        <v/>
      </c>
      <c r="OX4" s="40" t="str">
        <f t="shared" ref="OX4:OX21" si="121">IF(SUM(OC4:OD4,OF4:OH4,OJ4)-OE4-OI4&gt;0,SUM(OC4:OD4,OF4:OH4,OJ4)-OE4-OI4,"")</f>
        <v/>
      </c>
      <c r="OY4" s="40" t="str">
        <f t="shared" ref="OY4:OY21" si="122">IF(SUM(OK4:OL4,ON4)-OM4&gt;0,SUM(OK4:OL4,ON4)-OM4,"")</f>
        <v/>
      </c>
      <c r="OZ4" s="40" t="str">
        <f t="shared" ref="OZ4:OZ21" si="123">IF(SUM(OD4,OH4,OL4)&gt;0,SUM(OD4,OH4,OL4),"")</f>
        <v/>
      </c>
      <c r="PA4" s="40" t="str">
        <f t="shared" ref="PA4:PA21" si="124">IF(SUM(OX4,OY4)&gt;0,SUM(OX4,OY4),"")</f>
        <v/>
      </c>
      <c r="PB4" s="40" t="str">
        <f t="shared" ref="PB4:PB21" si="125">IF(SUM(OP4,OT4)&gt;0,SUM(OP4,OT4),"")</f>
        <v/>
      </c>
      <c r="PC4" s="40" t="str">
        <f t="shared" ref="PC4:PC21" si="126">IF(SUM(OO4:OP4,OR4:OT4,OV4)-SUM(OQ4,OU4)&gt;0,SUM(OO4:OP4,OR4:OT4,OV4)-SUM(OQ4,OU4),"")</f>
        <v/>
      </c>
      <c r="PD4" s="40" t="str">
        <f t="shared" ref="PD4:PD21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1" si="128">IF(SUM(PF4,PJ4)&gt;0,SUM(PF4,PJ4),"")</f>
        <v/>
      </c>
      <c r="PZ4" s="11" t="str">
        <f t="shared" ref="PZ4:PZ21" si="129">IF(SUM(PE4:PF4,PH4:PJ4,PL4)-PG4-PK4&gt;0,SUM(PE4:PF4,PH4:PJ4,PL4)-PG4-PK4,"")</f>
        <v/>
      </c>
      <c r="QA4" s="11" t="str">
        <f t="shared" ref="QA4:QA21" si="130">IF(SUM(PM4:PN4,PP4)-PO4&gt;0,SUM(PM4:PN4,PP4)-PO4,"")</f>
        <v/>
      </c>
      <c r="QB4" s="11" t="str">
        <f t="shared" ref="QB4:QB21" si="131">IF(SUM(PF4,PJ4,PN4)&gt;0,SUM(PF4,PJ4,PN4),"")</f>
        <v/>
      </c>
      <c r="QC4" s="11" t="str">
        <f t="shared" ref="QC4:QC21" si="132">IF(SUM(PZ4,QA4)&gt;0,SUM(PZ4,QA4),"")</f>
        <v/>
      </c>
      <c r="QD4" s="11" t="str">
        <f t="shared" ref="QD4:QD21" si="133">IF(SUM(PR4,PV4)&gt;0,SUM(PR4,PV4),"")</f>
        <v/>
      </c>
      <c r="QE4" s="11" t="str">
        <f t="shared" ref="QE4:QE21" si="134">IF(SUM(PQ4:PR4,PT4:PV4,PX4)-SUM(PS4,PW4)&gt;0,SUM(PQ4:PR4,PT4:PV4,PX4)-SUM(PS4,PW4),"")</f>
        <v/>
      </c>
      <c r="QF4" s="11" t="str">
        <f t="shared" ref="QF4:QF21" si="135">IF(SUM(PZ4,QA4,QE4)&gt;0,SUM(PZ4,QA4,QE4),"")</f>
        <v/>
      </c>
      <c r="QG4" s="22">
        <f t="shared" ref="QG4:QG21" si="136">IF($CW4="P",CC4,(CC4+AZ4)/2)</f>
        <v>17.8</v>
      </c>
      <c r="QH4" s="22">
        <f t="shared" ref="QH4:QH21" si="137">IF($CW4="P",CD4,(CD4+BA4)/2)</f>
        <v>7.75</v>
      </c>
      <c r="QI4" s="22">
        <f t="shared" ref="QI4:QI21" si="138">IF($CW4="P",CE4,(CE4+BB4)/2)</f>
        <v>0</v>
      </c>
      <c r="QJ4" s="22">
        <f t="shared" ref="QJ4:QJ21" si="139">IF($CW4="P",CF4,(CF4+BC4)/2)</f>
        <v>0</v>
      </c>
      <c r="QK4" s="22">
        <f t="shared" ref="QK4:QK21" si="140">IF($CW4="P",CG4,(CG4+BD4)/2)</f>
        <v>17.799999999999997</v>
      </c>
      <c r="QL4" s="22">
        <f t="shared" ref="QL4:QL21" si="141">IF($CW4="P",CH4,(CH4+BE4)/2)</f>
        <v>8.1</v>
      </c>
      <c r="QM4" s="22">
        <f t="shared" ref="QM4:QM21" si="142">IF($CW4="P",CI4,(CI4+BF4)/2)</f>
        <v>0</v>
      </c>
      <c r="QN4" s="22">
        <f t="shared" ref="QN4:QN21" si="143">IF($CW4="P",CJ4,(CJ4+BG4)/2)</f>
        <v>0</v>
      </c>
      <c r="QO4" s="22">
        <f t="shared" ref="QO4:QO21" si="144">IF($CW4="P",CK4,(CK4+BH4)/2)</f>
        <v>17.5</v>
      </c>
      <c r="QP4" s="22">
        <f t="shared" ref="QP4:QP21" si="145">IF($CW4="P",CL4,(CL4+BI4)/2)</f>
        <v>8.1999999999999993</v>
      </c>
      <c r="QQ4" s="22">
        <f t="shared" ref="QQ4:QQ21" si="146">IF($CW4="P",CM4,(CM4+BJ4)/2)</f>
        <v>0</v>
      </c>
      <c r="QR4" s="22">
        <f t="shared" ref="QR4:QR21" si="147">IF($CW4="P",CN4,(CN4+BK4)/2)</f>
        <v>0</v>
      </c>
      <c r="QS4" s="22">
        <f t="shared" ref="QS4:QS21" si="148">IF($CW4="P",CO4,(CO4+BL4)/2)</f>
        <v>18.149999999999999</v>
      </c>
      <c r="QT4" s="22">
        <f t="shared" ref="QT4:QT21" si="149">IF($CW4="P",CP4,(CP4+BM4)/2)</f>
        <v>8.1999999999999993</v>
      </c>
      <c r="QU4" s="22">
        <f t="shared" ref="QU4:QU21" si="150">IF($CW4="P",CQ4,(CQ4+BN4)/2)</f>
        <v>0</v>
      </c>
      <c r="QV4" s="22">
        <f t="shared" ref="QV4:QV21" si="151">IF($CW4="P",CR4,(CR4+BO4)/2)</f>
        <v>0</v>
      </c>
      <c r="QW4" s="22">
        <f t="shared" ref="QW4:QW21" si="152">IF($CW4="P",CS4,(CS4+BP4)/2)</f>
        <v>17.5</v>
      </c>
      <c r="QX4" s="22">
        <f t="shared" ref="QX4:QX21" si="153">IF($CW4="P",CT4,(CT4+BQ4)/2)</f>
        <v>7.1</v>
      </c>
      <c r="QY4" s="22">
        <f t="shared" ref="QY4:QY21" si="154">IF($CW4="P",CU4,(CU4+BR4)/2)</f>
        <v>0</v>
      </c>
      <c r="QZ4" s="22">
        <f t="shared" ref="QZ4:QZ21" si="155">IF($CW4="P",CV4,(CV4+BS4)/2)</f>
        <v>0</v>
      </c>
      <c r="RA4" s="27" t="s">
        <v>46</v>
      </c>
      <c r="RB4" s="40">
        <f t="shared" ref="RB4:RB21" si="156">IF(SUM(QH4,QL4)&gt;0,SUM(QH4,QL4),"")</f>
        <v>15.85</v>
      </c>
      <c r="RC4" s="40">
        <f t="shared" ref="RC4:RC21" si="157">IF(SUM(QG4:QH4,QJ4:QL4,QN4)-QI4-QM4&gt;0,SUM(QG4:QH4,QJ4:QL4,QN4)-QI4-QM4,"")</f>
        <v>51.449999999999996</v>
      </c>
      <c r="RD4" s="40">
        <f t="shared" ref="RD4:RD21" si="158">IF(SUM(QO4:QP4,QR4)-QQ4&gt;0,SUM(QO4:QP4,QR4)-QQ4,"")</f>
        <v>25.7</v>
      </c>
      <c r="RE4" s="40">
        <f t="shared" ref="RE4:RE21" si="159">IF(SUM(QH4,QL4,QP4)&gt;0,SUM(QH4,QL4,QP4),"")</f>
        <v>24.049999999999997</v>
      </c>
      <c r="RF4" s="40">
        <f t="shared" ref="RF4:RF21" si="160">IF(SUM(RC4,RD4)&gt;0,SUM(RC4,RD4),"")</f>
        <v>77.149999999999991</v>
      </c>
      <c r="RG4" s="40">
        <f t="shared" ref="RG4:RG21" si="161">IF(SUM(QT4,QX4)&gt;0,SUM(QT4,QX4),"")</f>
        <v>15.299999999999999</v>
      </c>
      <c r="RH4" s="40">
        <f t="shared" ref="RH4:RH21" si="162">IF(SUM(QS4:QT4,QV4:QX4,QZ4)-SUM(QU4,QY4)&gt;0,SUM(QS4:QT4,QV4:QX4,QZ4)-SUM(QU4,QY4),"")</f>
        <v>50.949999999999996</v>
      </c>
      <c r="RI4" s="40">
        <f t="shared" ref="RI4:RI21" si="163">IF(SUM(RC4,RD4,RH4)&gt;0,SUM(RC4,RD4,RH4),"")</f>
        <v>128.1</v>
      </c>
    </row>
    <row r="5" spans="1:477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101</v>
      </c>
      <c r="D5" s="4" t="s">
        <v>3</v>
      </c>
      <c r="E5" s="4">
        <v>2003</v>
      </c>
      <c r="F5" s="9">
        <f t="shared" si="0"/>
        <v>184.40001301000518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51.599999999999994</v>
      </c>
      <c r="M5" s="8" t="str">
        <f t="shared" si="5"/>
        <v>2023 Elite Canada</v>
      </c>
      <c r="N5" s="8">
        <f>IF(COUNT(AS5,BV5,CY5)&gt;1,LARGE((AS5,BV5,CY5),2),0)</f>
        <v>51.5</v>
      </c>
      <c r="O5" s="8" t="str">
        <f t="shared" si="6"/>
        <v>2023 3rd Domestic Trial</v>
      </c>
      <c r="P5" s="8">
        <f>IF(COUNT(AT5,BW5,CZ5)&gt;0,LARGE((AT5,BW5,CZ5),1),0)</f>
        <v>27</v>
      </c>
      <c r="Q5" s="8" t="str">
        <f t="shared" si="7"/>
        <v>2023 Elite Canada</v>
      </c>
      <c r="R5" s="8">
        <f t="shared" si="8"/>
        <v>53.400000000000006</v>
      </c>
      <c r="S5" s="8" t="str">
        <f t="shared" si="9"/>
        <v>2023 Elite Canada</v>
      </c>
      <c r="T5" s="8">
        <f t="shared" si="10"/>
        <v>0.89999999999999858</v>
      </c>
      <c r="U5" s="11" t="str">
        <f t="shared" si="11"/>
        <v>(Q1)</v>
      </c>
      <c r="V5" s="8" t="str">
        <f t="shared" si="12"/>
        <v>2023 World Championships (Nov 11)</v>
      </c>
      <c r="W5" s="19">
        <v>18.8</v>
      </c>
      <c r="X5" s="19">
        <v>8.1</v>
      </c>
      <c r="Y5" s="19">
        <v>0</v>
      </c>
      <c r="Z5" s="19">
        <v>0</v>
      </c>
      <c r="AA5" s="19">
        <v>18.2</v>
      </c>
      <c r="AB5" s="19">
        <v>6.5</v>
      </c>
      <c r="AC5" s="19">
        <v>0</v>
      </c>
      <c r="AD5" s="19">
        <v>0</v>
      </c>
      <c r="AE5" s="19">
        <v>18.899999999999999</v>
      </c>
      <c r="AF5" s="19">
        <v>8.1</v>
      </c>
      <c r="AG5" s="19">
        <v>0</v>
      </c>
      <c r="AH5" s="19">
        <v>0</v>
      </c>
      <c r="AI5" s="19">
        <v>19.100000000000001</v>
      </c>
      <c r="AJ5" s="19">
        <v>8.1</v>
      </c>
      <c r="AK5" s="19">
        <v>0</v>
      </c>
      <c r="AL5" s="19">
        <v>0</v>
      </c>
      <c r="AM5" s="19">
        <v>18.5</v>
      </c>
      <c r="AN5" s="19">
        <v>7.7</v>
      </c>
      <c r="AO5" s="19">
        <v>0</v>
      </c>
      <c r="AP5" s="19">
        <v>0</v>
      </c>
      <c r="AQ5" s="27"/>
      <c r="AR5" s="40">
        <f t="shared" si="13"/>
        <v>14.6</v>
      </c>
      <c r="AS5" s="40">
        <f t="shared" si="14"/>
        <v>51.599999999999994</v>
      </c>
      <c r="AT5" s="40">
        <f t="shared" si="15"/>
        <v>27</v>
      </c>
      <c r="AU5" s="40">
        <f t="shared" si="16"/>
        <v>22.7</v>
      </c>
      <c r="AV5" s="40">
        <f t="shared" si="17"/>
        <v>78.599999999999994</v>
      </c>
      <c r="AW5" s="40">
        <f t="shared" si="18"/>
        <v>15.8</v>
      </c>
      <c r="AX5" s="40">
        <f t="shared" si="19"/>
        <v>53.400000000000006</v>
      </c>
      <c r="AY5" s="40">
        <f t="shared" si="20"/>
        <v>132</v>
      </c>
      <c r="AZ5" s="18">
        <v>17.399999999999999</v>
      </c>
      <c r="BA5" s="18">
        <v>9.3000000000000007</v>
      </c>
      <c r="BB5" s="18">
        <v>0</v>
      </c>
      <c r="BC5" s="18">
        <v>0</v>
      </c>
      <c r="BD5" s="18">
        <v>17.8</v>
      </c>
      <c r="BE5" s="18">
        <v>6.9</v>
      </c>
      <c r="BF5" s="18">
        <v>0</v>
      </c>
      <c r="BG5" s="18">
        <v>0</v>
      </c>
      <c r="BH5" s="18">
        <v>17.899999999999999</v>
      </c>
      <c r="BI5" s="18">
        <v>8.5</v>
      </c>
      <c r="BJ5" s="18">
        <v>0</v>
      </c>
      <c r="BK5" s="18">
        <v>0</v>
      </c>
      <c r="BL5" s="18">
        <v>18.399999999999999</v>
      </c>
      <c r="BM5" s="18">
        <v>8.9</v>
      </c>
      <c r="BN5" s="18">
        <v>0</v>
      </c>
      <c r="BO5" s="18">
        <v>0</v>
      </c>
      <c r="BP5" s="18">
        <v>19.100000000000001</v>
      </c>
      <c r="BQ5" s="18">
        <v>6.9</v>
      </c>
      <c r="BR5" s="18">
        <v>0</v>
      </c>
      <c r="BS5" s="18">
        <v>0</v>
      </c>
      <c r="BT5" s="28"/>
      <c r="BU5" s="11">
        <f t="shared" si="21"/>
        <v>16.200000000000003</v>
      </c>
      <c r="BV5" s="11">
        <f t="shared" si="22"/>
        <v>51.4</v>
      </c>
      <c r="BW5" s="11">
        <f t="shared" si="23"/>
        <v>26.4</v>
      </c>
      <c r="BX5" s="11">
        <f t="shared" si="24"/>
        <v>24.700000000000003</v>
      </c>
      <c r="BY5" s="11">
        <f t="shared" si="25"/>
        <v>77.8</v>
      </c>
      <c r="BZ5" s="11">
        <f t="shared" si="26"/>
        <v>15.8</v>
      </c>
      <c r="CA5" s="11">
        <f t="shared" si="27"/>
        <v>53.3</v>
      </c>
      <c r="CB5" s="11">
        <f t="shared" si="28"/>
        <v>131.1</v>
      </c>
      <c r="CC5" s="19">
        <v>18.100000000000001</v>
      </c>
      <c r="CD5" s="19">
        <v>8.6999999999999993</v>
      </c>
      <c r="CE5" s="19">
        <v>0</v>
      </c>
      <c r="CF5" s="19">
        <v>0</v>
      </c>
      <c r="CG5" s="19">
        <v>18</v>
      </c>
      <c r="CH5" s="19">
        <v>6.7</v>
      </c>
      <c r="CI5" s="19">
        <v>0</v>
      </c>
      <c r="CJ5" s="19">
        <v>0</v>
      </c>
      <c r="CK5" s="19">
        <v>18.399999999999999</v>
      </c>
      <c r="CL5" s="19">
        <v>8.3000000000000007</v>
      </c>
      <c r="CM5" s="19">
        <v>0</v>
      </c>
      <c r="CN5" s="19">
        <v>0</v>
      </c>
      <c r="CO5" s="19">
        <v>18.75</v>
      </c>
      <c r="CP5" s="19">
        <v>8.5</v>
      </c>
      <c r="CQ5" s="19">
        <v>0</v>
      </c>
      <c r="CR5" s="19">
        <v>0</v>
      </c>
      <c r="CS5" s="19">
        <v>18.8</v>
      </c>
      <c r="CT5" s="19">
        <v>7.3000000000000007</v>
      </c>
      <c r="CU5" s="19">
        <v>0</v>
      </c>
      <c r="CV5" s="19">
        <v>0</v>
      </c>
      <c r="CW5" s="27" t="s">
        <v>46</v>
      </c>
      <c r="CX5" s="40">
        <f t="shared" si="29"/>
        <v>15.399999999999999</v>
      </c>
      <c r="CY5" s="40">
        <f t="shared" si="30"/>
        <v>51.5</v>
      </c>
      <c r="CZ5" s="40">
        <f t="shared" si="31"/>
        <v>26.7</v>
      </c>
      <c r="DA5" s="40">
        <f t="shared" si="32"/>
        <v>23.7</v>
      </c>
      <c r="DB5" s="40">
        <f t="shared" si="33"/>
        <v>78.2</v>
      </c>
      <c r="DC5" s="40">
        <f t="shared" si="34"/>
        <v>15.8</v>
      </c>
      <c r="DD5" s="40">
        <f t="shared" si="35"/>
        <v>53.349999999999994</v>
      </c>
      <c r="DE5" s="40">
        <f t="shared" si="36"/>
        <v>131.55000000000001</v>
      </c>
      <c r="DF5" s="50">
        <f t="shared" si="37"/>
        <v>0.89999999999999858</v>
      </c>
      <c r="DG5" s="50" t="str">
        <f t="shared" si="38"/>
        <v/>
      </c>
      <c r="DH5" s="50" t="str">
        <f t="shared" si="39"/>
        <v/>
      </c>
      <c r="DI5" s="17">
        <v>17.8</v>
      </c>
      <c r="DJ5" s="17">
        <v>8.1</v>
      </c>
      <c r="DK5" s="17">
        <v>0.2</v>
      </c>
      <c r="DL5" s="17">
        <v>0</v>
      </c>
      <c r="DM5" s="17">
        <v>18</v>
      </c>
      <c r="DN5" s="17">
        <v>7.7</v>
      </c>
      <c r="DO5" s="17">
        <v>0</v>
      </c>
      <c r="DP5" s="17">
        <v>0</v>
      </c>
      <c r="DQ5" s="17">
        <v>17.7</v>
      </c>
      <c r="DR5" s="17">
        <v>8.9</v>
      </c>
      <c r="DS5" s="17">
        <v>0</v>
      </c>
      <c r="DT5" s="17">
        <v>0</v>
      </c>
      <c r="DU5" s="17"/>
      <c r="DV5" s="17"/>
      <c r="DW5" s="17"/>
      <c r="DX5" s="17"/>
      <c r="DY5" s="17"/>
      <c r="DZ5" s="17"/>
      <c r="EA5" s="17"/>
      <c r="EB5" s="17"/>
      <c r="EC5" s="40">
        <f t="shared" si="40"/>
        <v>15.8</v>
      </c>
      <c r="ED5" s="40">
        <f t="shared" si="41"/>
        <v>51.4</v>
      </c>
      <c r="EE5" s="40">
        <f t="shared" si="42"/>
        <v>26.6</v>
      </c>
      <c r="EF5" s="40">
        <f t="shared" si="43"/>
        <v>24.700000000000003</v>
      </c>
      <c r="EG5" s="40">
        <f t="shared" si="44"/>
        <v>78</v>
      </c>
      <c r="EH5" s="40" t="str">
        <f t="shared" si="45"/>
        <v/>
      </c>
      <c r="EI5" s="40" t="str">
        <f t="shared" si="46"/>
        <v/>
      </c>
      <c r="EJ5" s="40">
        <f t="shared" si="47"/>
        <v>78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17.899999999999999</v>
      </c>
      <c r="FB5" s="18">
        <v>7.7</v>
      </c>
      <c r="FC5" s="18">
        <v>0</v>
      </c>
      <c r="FD5" s="18">
        <v>0</v>
      </c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>
        <f t="shared" si="53"/>
        <v>7.7</v>
      </c>
      <c r="FK5" s="11">
        <f t="shared" si="54"/>
        <v>25.599999999999998</v>
      </c>
      <c r="FL5" s="11">
        <f t="shared" si="55"/>
        <v>25.599999999999998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9"/>
        <v/>
      </c>
      <c r="GK5" s="40" t="str">
        <f t="shared" si="60"/>
        <v/>
      </c>
      <c r="GL5" s="40" t="str">
        <f t="shared" si="61"/>
        <v/>
      </c>
      <c r="GM5" s="40" t="str">
        <f t="shared" si="62"/>
        <v/>
      </c>
      <c r="GN5" s="40" t="str">
        <f t="shared" si="63"/>
        <v/>
      </c>
      <c r="GO5" s="18">
        <v>18</v>
      </c>
      <c r="GP5" s="18">
        <v>8.9</v>
      </c>
      <c r="GQ5" s="18">
        <v>0</v>
      </c>
      <c r="GR5" s="18">
        <v>0</v>
      </c>
      <c r="GS5" s="18">
        <v>17.8</v>
      </c>
      <c r="GT5" s="18">
        <v>6.9</v>
      </c>
      <c r="GU5" s="18">
        <v>0</v>
      </c>
      <c r="GV5" s="18">
        <v>0</v>
      </c>
      <c r="GW5" s="18"/>
      <c r="GX5" s="18"/>
      <c r="GY5" s="18"/>
      <c r="GZ5" s="18"/>
      <c r="HA5" s="18">
        <v>18.100000000000001</v>
      </c>
      <c r="HB5" s="18">
        <v>9.3000000000000007</v>
      </c>
      <c r="HC5" s="18">
        <v>0</v>
      </c>
      <c r="HD5" s="18">
        <v>0</v>
      </c>
      <c r="HE5" s="18">
        <v>17.8</v>
      </c>
      <c r="HF5" s="18">
        <v>8.1</v>
      </c>
      <c r="HG5" s="18">
        <v>0</v>
      </c>
      <c r="HH5" s="18">
        <v>0</v>
      </c>
      <c r="HI5" s="11">
        <f t="shared" si="64"/>
        <v>15.8</v>
      </c>
      <c r="HJ5" s="11">
        <f t="shared" si="65"/>
        <v>51.6</v>
      </c>
      <c r="HK5" s="11" t="str">
        <f t="shared" si="66"/>
        <v/>
      </c>
      <c r="HL5" s="11">
        <f t="shared" si="67"/>
        <v>15.8</v>
      </c>
      <c r="HM5" s="11">
        <f t="shared" si="68"/>
        <v>51.6</v>
      </c>
      <c r="HN5" s="11">
        <f t="shared" si="69"/>
        <v>17.399999999999999</v>
      </c>
      <c r="HO5" s="11">
        <f t="shared" si="70"/>
        <v>53.300000000000004</v>
      </c>
      <c r="HP5" s="11">
        <f t="shared" si="71"/>
        <v>104.9</v>
      </c>
      <c r="HQ5" s="17">
        <v>18.100000000000001</v>
      </c>
      <c r="HR5" s="17">
        <v>8.9</v>
      </c>
      <c r="HS5" s="17">
        <v>0</v>
      </c>
      <c r="HT5" s="17">
        <v>0</v>
      </c>
      <c r="HU5" s="17">
        <v>18.2</v>
      </c>
      <c r="HV5" s="17">
        <v>6.9</v>
      </c>
      <c r="HW5" s="17">
        <v>0</v>
      </c>
      <c r="HX5" s="17">
        <v>0</v>
      </c>
      <c r="HY5" s="17"/>
      <c r="HZ5" s="17"/>
      <c r="IA5" s="17"/>
      <c r="IB5" s="17"/>
      <c r="IC5" s="17">
        <v>17.7</v>
      </c>
      <c r="ID5" s="17">
        <v>8.9</v>
      </c>
      <c r="IE5" s="17">
        <v>0</v>
      </c>
      <c r="IF5" s="17">
        <v>0</v>
      </c>
      <c r="IG5" s="17"/>
      <c r="IH5" s="17"/>
      <c r="II5" s="17"/>
      <c r="IJ5" s="17"/>
      <c r="IK5" s="40">
        <f t="shared" si="72"/>
        <v>15.8</v>
      </c>
      <c r="IL5" s="40">
        <f t="shared" si="73"/>
        <v>52.1</v>
      </c>
      <c r="IM5" s="40" t="str">
        <f t="shared" si="74"/>
        <v/>
      </c>
      <c r="IN5" s="40">
        <f t="shared" si="75"/>
        <v>15.8</v>
      </c>
      <c r="IO5" s="40">
        <f t="shared" si="76"/>
        <v>52.1</v>
      </c>
      <c r="IP5" s="40">
        <f t="shared" si="77"/>
        <v>8.9</v>
      </c>
      <c r="IQ5" s="40">
        <f t="shared" si="78"/>
        <v>26.6</v>
      </c>
      <c r="IR5" s="40">
        <f t="shared" si="79"/>
        <v>78.7</v>
      </c>
      <c r="IS5" s="18">
        <v>18.8</v>
      </c>
      <c r="IT5" s="18">
        <v>8.1</v>
      </c>
      <c r="IU5" s="18">
        <v>0</v>
      </c>
      <c r="IV5" s="18">
        <v>0</v>
      </c>
      <c r="IW5" s="18">
        <v>17.600000000000001</v>
      </c>
      <c r="IX5" s="18">
        <v>7.9</v>
      </c>
      <c r="IY5" s="18">
        <v>0</v>
      </c>
      <c r="IZ5" s="18">
        <v>0</v>
      </c>
      <c r="JA5" s="18">
        <v>17.399999999999999</v>
      </c>
      <c r="JB5" s="18">
        <v>3.7</v>
      </c>
      <c r="JC5" s="18">
        <v>0</v>
      </c>
      <c r="JD5" s="18">
        <v>0</v>
      </c>
      <c r="JE5" s="18"/>
      <c r="JF5" s="18"/>
      <c r="JG5" s="18"/>
      <c r="JH5" s="18"/>
      <c r="JI5" s="18"/>
      <c r="JJ5" s="18"/>
      <c r="JK5" s="18"/>
      <c r="JL5" s="18"/>
      <c r="JM5" s="11">
        <f t="shared" si="80"/>
        <v>16</v>
      </c>
      <c r="JN5" s="11">
        <f t="shared" si="81"/>
        <v>52.4</v>
      </c>
      <c r="JO5" s="11">
        <f t="shared" si="82"/>
        <v>21.099999999999998</v>
      </c>
      <c r="JP5" s="11">
        <f t="shared" si="83"/>
        <v>19.7</v>
      </c>
      <c r="JQ5" s="11">
        <f t="shared" si="84"/>
        <v>73.5</v>
      </c>
      <c r="JR5" s="11" t="str">
        <f t="shared" si="85"/>
        <v/>
      </c>
      <c r="JS5" s="11" t="str">
        <f t="shared" si="86"/>
        <v/>
      </c>
      <c r="JT5" s="11">
        <f t="shared" si="87"/>
        <v>73.5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18.100000000000001</v>
      </c>
      <c r="QH5" s="22">
        <f t="shared" si="137"/>
        <v>8.6999999999999993</v>
      </c>
      <c r="QI5" s="22">
        <f t="shared" si="138"/>
        <v>0</v>
      </c>
      <c r="QJ5" s="22">
        <f t="shared" si="139"/>
        <v>0</v>
      </c>
      <c r="QK5" s="22">
        <f t="shared" si="140"/>
        <v>18</v>
      </c>
      <c r="QL5" s="22">
        <f t="shared" si="141"/>
        <v>6.7</v>
      </c>
      <c r="QM5" s="22">
        <f t="shared" si="142"/>
        <v>0</v>
      </c>
      <c r="QN5" s="22">
        <f t="shared" si="143"/>
        <v>0</v>
      </c>
      <c r="QO5" s="22">
        <f t="shared" si="144"/>
        <v>18.399999999999999</v>
      </c>
      <c r="QP5" s="22">
        <f t="shared" si="145"/>
        <v>8.3000000000000007</v>
      </c>
      <c r="QQ5" s="22">
        <f t="shared" si="146"/>
        <v>0</v>
      </c>
      <c r="QR5" s="22">
        <f t="shared" si="147"/>
        <v>0</v>
      </c>
      <c r="QS5" s="22">
        <f t="shared" si="148"/>
        <v>18.75</v>
      </c>
      <c r="QT5" s="22">
        <f t="shared" si="149"/>
        <v>8.5</v>
      </c>
      <c r="QU5" s="22">
        <f t="shared" si="150"/>
        <v>0</v>
      </c>
      <c r="QV5" s="22">
        <f t="shared" si="151"/>
        <v>0</v>
      </c>
      <c r="QW5" s="22">
        <f t="shared" si="152"/>
        <v>18.8</v>
      </c>
      <c r="QX5" s="22">
        <f t="shared" si="153"/>
        <v>7.3000000000000007</v>
      </c>
      <c r="QY5" s="22">
        <f t="shared" si="154"/>
        <v>0</v>
      </c>
      <c r="QZ5" s="22">
        <f t="shared" si="155"/>
        <v>0</v>
      </c>
      <c r="RA5" s="27" t="s">
        <v>46</v>
      </c>
      <c r="RB5" s="40">
        <f t="shared" si="156"/>
        <v>15.399999999999999</v>
      </c>
      <c r="RC5" s="40">
        <f t="shared" si="157"/>
        <v>51.5</v>
      </c>
      <c r="RD5" s="40">
        <f t="shared" si="158"/>
        <v>26.7</v>
      </c>
      <c r="RE5" s="40">
        <f t="shared" si="159"/>
        <v>23.7</v>
      </c>
      <c r="RF5" s="40">
        <f t="shared" si="160"/>
        <v>78.2</v>
      </c>
      <c r="RG5" s="40">
        <f t="shared" si="161"/>
        <v>15.8</v>
      </c>
      <c r="RH5" s="40">
        <f t="shared" si="162"/>
        <v>53.349999999999994</v>
      </c>
      <c r="RI5" s="40">
        <f t="shared" si="163"/>
        <v>131.55000000000001</v>
      </c>
    </row>
    <row r="6" spans="1:477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t="str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/>
      </c>
      <c r="C6" s="5" t="s">
        <v>110</v>
      </c>
      <c r="D6" s="4" t="s">
        <v>4</v>
      </c>
      <c r="E6" s="4">
        <v>2003</v>
      </c>
      <c r="F6" s="9">
        <f t="shared" si="0"/>
        <v>166.30001172000468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46.8</v>
      </c>
      <c r="M6" s="8" t="str">
        <f t="shared" si="5"/>
        <v>2023 3rd Domestic Trial</v>
      </c>
      <c r="N6" s="8">
        <f>IF(COUNT(AS6,BV6,CY6)&gt;1,LARGE((AS6,BV6,CY6),2),0)</f>
        <v>45.9</v>
      </c>
      <c r="O6" s="8" t="str">
        <f t="shared" si="6"/>
        <v>2023 Nationals</v>
      </c>
      <c r="P6" s="8">
        <f>IF(COUNT(AT6,BW6,CZ6)&gt;0,LARGE((AT6,BW6,CZ6),1),0)</f>
        <v>24.5</v>
      </c>
      <c r="Q6" s="8" t="str">
        <f t="shared" si="7"/>
        <v>2023 3rd Domestic Trial</v>
      </c>
      <c r="R6" s="8">
        <f t="shared" si="8"/>
        <v>47</v>
      </c>
      <c r="S6" s="8" t="str">
        <f t="shared" si="9"/>
        <v>2023 3rd Domestic Trial</v>
      </c>
      <c r="T6" s="8">
        <f t="shared" si="10"/>
        <v>2.1000000000000014</v>
      </c>
      <c r="U6" s="11" t="str">
        <f t="shared" si="11"/>
        <v>(Q1)</v>
      </c>
      <c r="V6" s="8" t="str">
        <f t="shared" si="12"/>
        <v>2023 World Championships (Nov 11)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 t="shared" si="13"/>
        <v/>
      </c>
      <c r="AS6" s="40" t="str">
        <f t="shared" si="14"/>
        <v/>
      </c>
      <c r="AT6" s="40" t="str">
        <f t="shared" si="15"/>
        <v/>
      </c>
      <c r="AU6" s="40" t="str">
        <f t="shared" si="16"/>
        <v/>
      </c>
      <c r="AV6" s="40" t="str">
        <f t="shared" si="17"/>
        <v/>
      </c>
      <c r="AW6" s="40" t="str">
        <f t="shared" si="18"/>
        <v/>
      </c>
      <c r="AX6" s="40" t="str">
        <f t="shared" si="19"/>
        <v/>
      </c>
      <c r="AY6" s="40" t="str">
        <f t="shared" si="20"/>
        <v/>
      </c>
      <c r="AZ6" s="18">
        <v>17.2</v>
      </c>
      <c r="BA6" s="18">
        <v>5.5</v>
      </c>
      <c r="BB6" s="18">
        <v>0</v>
      </c>
      <c r="BC6" s="18">
        <v>0</v>
      </c>
      <c r="BD6" s="18">
        <v>17.7</v>
      </c>
      <c r="BE6" s="18">
        <v>5.5</v>
      </c>
      <c r="BF6" s="18">
        <v>0</v>
      </c>
      <c r="BG6" s="18">
        <v>0</v>
      </c>
      <c r="BH6" s="18">
        <v>16</v>
      </c>
      <c r="BI6" s="18">
        <v>3.3</v>
      </c>
      <c r="BJ6" s="18">
        <v>0</v>
      </c>
      <c r="BK6" s="18">
        <v>0</v>
      </c>
      <c r="BL6" s="18">
        <v>16.600000000000001</v>
      </c>
      <c r="BM6" s="18">
        <v>6.1</v>
      </c>
      <c r="BN6" s="18">
        <v>0</v>
      </c>
      <c r="BO6" s="18">
        <v>0</v>
      </c>
      <c r="BP6" s="18">
        <v>18.399999999999999</v>
      </c>
      <c r="BQ6" s="18">
        <v>5.5</v>
      </c>
      <c r="BR6" s="18">
        <v>0</v>
      </c>
      <c r="BS6" s="18">
        <v>0</v>
      </c>
      <c r="BT6" s="28"/>
      <c r="BU6" s="11">
        <f t="shared" si="21"/>
        <v>11</v>
      </c>
      <c r="BV6" s="11">
        <f t="shared" si="22"/>
        <v>45.9</v>
      </c>
      <c r="BW6" s="11">
        <f t="shared" si="23"/>
        <v>19.3</v>
      </c>
      <c r="BX6" s="11">
        <f t="shared" si="24"/>
        <v>14.3</v>
      </c>
      <c r="BY6" s="11">
        <f t="shared" si="25"/>
        <v>65.2</v>
      </c>
      <c r="BZ6" s="11">
        <f t="shared" si="26"/>
        <v>11.6</v>
      </c>
      <c r="CA6" s="11">
        <f t="shared" si="27"/>
        <v>46.6</v>
      </c>
      <c r="CB6" s="11">
        <f t="shared" si="28"/>
        <v>111.80000000000001</v>
      </c>
      <c r="CC6" s="19">
        <v>17.3</v>
      </c>
      <c r="CD6" s="19">
        <v>6.1</v>
      </c>
      <c r="CE6" s="19">
        <v>0</v>
      </c>
      <c r="CF6" s="19">
        <v>0</v>
      </c>
      <c r="CG6" s="19">
        <v>17.899999999999999</v>
      </c>
      <c r="CH6" s="19">
        <v>5.5</v>
      </c>
      <c r="CI6" s="19">
        <v>0</v>
      </c>
      <c r="CJ6" s="19">
        <v>0</v>
      </c>
      <c r="CK6" s="19">
        <v>17.600000000000001</v>
      </c>
      <c r="CL6" s="19">
        <v>6.9</v>
      </c>
      <c r="CM6" s="19">
        <v>0</v>
      </c>
      <c r="CN6" s="19">
        <v>0</v>
      </c>
      <c r="CO6" s="19">
        <v>17.5</v>
      </c>
      <c r="CP6" s="19">
        <v>6.1</v>
      </c>
      <c r="CQ6" s="19">
        <v>0</v>
      </c>
      <c r="CR6" s="19">
        <v>0</v>
      </c>
      <c r="CS6" s="19">
        <v>17.899999999999999</v>
      </c>
      <c r="CT6" s="19">
        <v>5.5</v>
      </c>
      <c r="CU6" s="19">
        <v>0</v>
      </c>
      <c r="CV6" s="19">
        <v>0</v>
      </c>
      <c r="CW6" s="27"/>
      <c r="CX6" s="40">
        <f t="shared" si="29"/>
        <v>11.6</v>
      </c>
      <c r="CY6" s="40">
        <f t="shared" si="30"/>
        <v>46.8</v>
      </c>
      <c r="CZ6" s="40">
        <f t="shared" si="31"/>
        <v>24.5</v>
      </c>
      <c r="DA6" s="40">
        <f t="shared" si="32"/>
        <v>18.5</v>
      </c>
      <c r="DB6" s="40">
        <f t="shared" si="33"/>
        <v>71.3</v>
      </c>
      <c r="DC6" s="40">
        <f t="shared" si="34"/>
        <v>11.6</v>
      </c>
      <c r="DD6" s="40">
        <f t="shared" si="35"/>
        <v>47</v>
      </c>
      <c r="DE6" s="40">
        <f t="shared" si="36"/>
        <v>118.3</v>
      </c>
      <c r="DF6" s="50">
        <f t="shared" si="37"/>
        <v>2.1000000000000014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8"/>
        <v/>
      </c>
      <c r="FF6" s="11" t="str">
        <f t="shared" si="49"/>
        <v/>
      </c>
      <c r="FG6" s="11" t="str">
        <f t="shared" si="50"/>
        <v/>
      </c>
      <c r="FH6" s="11" t="str">
        <f t="shared" si="51"/>
        <v/>
      </c>
      <c r="FI6" s="11" t="str">
        <f t="shared" si="52"/>
        <v/>
      </c>
      <c r="FJ6" s="11" t="str">
        <f t="shared" si="53"/>
        <v/>
      </c>
      <c r="FK6" s="11" t="str">
        <f t="shared" si="54"/>
        <v/>
      </c>
      <c r="FL6" s="11" t="str">
        <f t="shared" si="55"/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9"/>
        <v/>
      </c>
      <c r="GK6" s="40" t="str">
        <f t="shared" si="60"/>
        <v/>
      </c>
      <c r="GL6" s="40" t="str">
        <f t="shared" si="61"/>
        <v/>
      </c>
      <c r="GM6" s="40" t="str">
        <f t="shared" si="62"/>
        <v/>
      </c>
      <c r="GN6" s="40" t="str">
        <f t="shared" si="63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1" t="str">
        <f t="shared" si="70"/>
        <v/>
      </c>
      <c r="HP6" s="11" t="str">
        <f t="shared" si="71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>
        <v>18.600000000000001</v>
      </c>
      <c r="IT6" s="18">
        <v>6.1</v>
      </c>
      <c r="IU6" s="18">
        <v>0</v>
      </c>
      <c r="IV6" s="18">
        <v>0</v>
      </c>
      <c r="IW6" s="18">
        <v>17.8</v>
      </c>
      <c r="IX6" s="18">
        <v>5.5</v>
      </c>
      <c r="IY6" s="18">
        <v>0</v>
      </c>
      <c r="IZ6" s="18">
        <v>0</v>
      </c>
      <c r="JA6" s="18">
        <v>17.8</v>
      </c>
      <c r="JB6" s="18">
        <v>4.2</v>
      </c>
      <c r="JC6" s="18">
        <v>0</v>
      </c>
      <c r="JD6" s="18">
        <v>0</v>
      </c>
      <c r="JE6" s="18"/>
      <c r="JF6" s="18"/>
      <c r="JG6" s="18"/>
      <c r="JH6" s="18"/>
      <c r="JI6" s="18"/>
      <c r="JJ6" s="18"/>
      <c r="JK6" s="18"/>
      <c r="JL6" s="18"/>
      <c r="JM6" s="11">
        <f t="shared" si="80"/>
        <v>11.6</v>
      </c>
      <c r="JN6" s="11">
        <f t="shared" si="81"/>
        <v>48</v>
      </c>
      <c r="JO6" s="11">
        <f t="shared" si="82"/>
        <v>22</v>
      </c>
      <c r="JP6" s="11">
        <f t="shared" si="83"/>
        <v>15.8</v>
      </c>
      <c r="JQ6" s="11">
        <f t="shared" si="84"/>
        <v>70</v>
      </c>
      <c r="JR6" s="11" t="str">
        <f t="shared" si="85"/>
        <v/>
      </c>
      <c r="JS6" s="11" t="str">
        <f t="shared" si="86"/>
        <v/>
      </c>
      <c r="JT6" s="11">
        <f t="shared" si="87"/>
        <v>70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17.25</v>
      </c>
      <c r="QH6" s="22">
        <f t="shared" si="137"/>
        <v>5.8</v>
      </c>
      <c r="QI6" s="22">
        <f t="shared" si="138"/>
        <v>0</v>
      </c>
      <c r="QJ6" s="22">
        <f t="shared" si="139"/>
        <v>0</v>
      </c>
      <c r="QK6" s="22">
        <f t="shared" si="140"/>
        <v>17.799999999999997</v>
      </c>
      <c r="QL6" s="22">
        <f t="shared" si="141"/>
        <v>5.5</v>
      </c>
      <c r="QM6" s="22">
        <f t="shared" si="142"/>
        <v>0</v>
      </c>
      <c r="QN6" s="22">
        <f t="shared" si="143"/>
        <v>0</v>
      </c>
      <c r="QO6" s="22">
        <f t="shared" si="144"/>
        <v>16.8</v>
      </c>
      <c r="QP6" s="22">
        <f t="shared" si="145"/>
        <v>5.0999999999999996</v>
      </c>
      <c r="QQ6" s="22">
        <f t="shared" si="146"/>
        <v>0</v>
      </c>
      <c r="QR6" s="22">
        <f t="shared" si="147"/>
        <v>0</v>
      </c>
      <c r="QS6" s="22">
        <f t="shared" si="148"/>
        <v>17.05</v>
      </c>
      <c r="QT6" s="22">
        <f t="shared" si="149"/>
        <v>6.1</v>
      </c>
      <c r="QU6" s="22">
        <f t="shared" si="150"/>
        <v>0</v>
      </c>
      <c r="QV6" s="22">
        <f t="shared" si="151"/>
        <v>0</v>
      </c>
      <c r="QW6" s="22">
        <f t="shared" si="152"/>
        <v>18.149999999999999</v>
      </c>
      <c r="QX6" s="22">
        <f t="shared" si="153"/>
        <v>5.5</v>
      </c>
      <c r="QY6" s="22">
        <f t="shared" si="154"/>
        <v>0</v>
      </c>
      <c r="QZ6" s="22">
        <f t="shared" si="155"/>
        <v>0</v>
      </c>
      <c r="RA6" s="27" t="s">
        <v>46</v>
      </c>
      <c r="RB6" s="40">
        <f t="shared" si="156"/>
        <v>11.3</v>
      </c>
      <c r="RC6" s="40">
        <f t="shared" si="157"/>
        <v>46.349999999999994</v>
      </c>
      <c r="RD6" s="40">
        <f t="shared" si="158"/>
        <v>21.9</v>
      </c>
      <c r="RE6" s="40">
        <f t="shared" si="159"/>
        <v>16.399999999999999</v>
      </c>
      <c r="RF6" s="40">
        <f t="shared" si="160"/>
        <v>68.25</v>
      </c>
      <c r="RG6" s="40">
        <f t="shared" si="161"/>
        <v>11.6</v>
      </c>
      <c r="RH6" s="40">
        <f t="shared" si="162"/>
        <v>46.8</v>
      </c>
      <c r="RI6" s="40">
        <f t="shared" si="163"/>
        <v>115.05</v>
      </c>
    </row>
    <row r="7" spans="1:477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t="str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/>
      </c>
      <c r="C7" s="5" t="s">
        <v>204</v>
      </c>
      <c r="D7" s="4" t="s">
        <v>6</v>
      </c>
      <c r="E7" s="4">
        <v>2006</v>
      </c>
      <c r="F7" s="9">
        <f t="shared" si="0"/>
        <v>165.70001141000452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45.3</v>
      </c>
      <c r="M7" s="8" t="str">
        <f t="shared" si="5"/>
        <v>2023 Nationals</v>
      </c>
      <c r="N7" s="8">
        <f>IF(COUNT(AS7,BV7,CY7)&gt;1,LARGE((AS7,BV7,CY7),2),0)</f>
        <v>44.9</v>
      </c>
      <c r="O7" s="8" t="str">
        <f t="shared" si="6"/>
        <v>2023 3rd Domestic Trial</v>
      </c>
      <c r="P7" s="8">
        <f>IF(COUNT(AT7,BW7,CZ7)&gt;0,LARGE((AT7,BW7,CZ7),1),0)</f>
        <v>23.9</v>
      </c>
      <c r="Q7" s="8" t="str">
        <f t="shared" si="7"/>
        <v>2023 3rd Domestic Trial</v>
      </c>
      <c r="R7" s="8">
        <f t="shared" si="8"/>
        <v>47</v>
      </c>
      <c r="S7" s="8" t="str">
        <f t="shared" si="9"/>
        <v>2023 Nationals</v>
      </c>
      <c r="T7" s="8">
        <f t="shared" si="10"/>
        <v>4.6000000000000085</v>
      </c>
      <c r="U7" s="11" t="str">
        <f t="shared" si="11"/>
        <v>(Q1)</v>
      </c>
      <c r="V7" s="8" t="str">
        <f t="shared" si="12"/>
        <v>2023 WAGC (Nov 17)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7"/>
      <c r="AR7" s="40" t="str">
        <f t="shared" si="13"/>
        <v/>
      </c>
      <c r="AS7" s="40" t="str">
        <f t="shared" si="14"/>
        <v/>
      </c>
      <c r="AT7" s="40" t="str">
        <f t="shared" si="15"/>
        <v/>
      </c>
      <c r="AU7" s="40" t="str">
        <f t="shared" si="16"/>
        <v/>
      </c>
      <c r="AV7" s="40" t="str">
        <f t="shared" si="17"/>
        <v/>
      </c>
      <c r="AW7" s="40" t="str">
        <f t="shared" si="18"/>
        <v/>
      </c>
      <c r="AX7" s="40" t="str">
        <f t="shared" si="19"/>
        <v/>
      </c>
      <c r="AY7" s="40" t="str">
        <f t="shared" si="20"/>
        <v/>
      </c>
      <c r="AZ7" s="18">
        <v>17.5</v>
      </c>
      <c r="BA7" s="18">
        <v>5.5</v>
      </c>
      <c r="BB7" s="18">
        <v>0.2</v>
      </c>
      <c r="BC7" s="18">
        <v>0.3</v>
      </c>
      <c r="BD7" s="18">
        <v>16.8</v>
      </c>
      <c r="BE7" s="18">
        <v>5.0999999999999996</v>
      </c>
      <c r="BF7" s="18">
        <v>0</v>
      </c>
      <c r="BG7" s="18">
        <v>0.3</v>
      </c>
      <c r="BH7" s="18">
        <v>17</v>
      </c>
      <c r="BI7" s="18">
        <v>5.5</v>
      </c>
      <c r="BJ7" s="18">
        <v>0.2</v>
      </c>
      <c r="BK7" s="18">
        <v>0.3</v>
      </c>
      <c r="BL7" s="18">
        <v>18</v>
      </c>
      <c r="BM7" s="18">
        <v>5.5</v>
      </c>
      <c r="BN7" s="18">
        <v>0</v>
      </c>
      <c r="BO7" s="18">
        <v>0.3</v>
      </c>
      <c r="BP7" s="18">
        <v>17.8</v>
      </c>
      <c r="BQ7" s="18">
        <v>5.0999999999999996</v>
      </c>
      <c r="BR7" s="18">
        <v>0</v>
      </c>
      <c r="BS7" s="18">
        <v>0.3</v>
      </c>
      <c r="BT7" s="28"/>
      <c r="BU7" s="11">
        <f t="shared" si="21"/>
        <v>10.6</v>
      </c>
      <c r="BV7" s="11">
        <f t="shared" si="22"/>
        <v>45.3</v>
      </c>
      <c r="BW7" s="11">
        <f t="shared" si="23"/>
        <v>22.6</v>
      </c>
      <c r="BX7" s="11">
        <f t="shared" si="24"/>
        <v>16.100000000000001</v>
      </c>
      <c r="BY7" s="11">
        <f t="shared" si="25"/>
        <v>67.900000000000006</v>
      </c>
      <c r="BZ7" s="11">
        <f t="shared" si="26"/>
        <v>10.6</v>
      </c>
      <c r="CA7" s="11">
        <f t="shared" si="27"/>
        <v>47</v>
      </c>
      <c r="CB7" s="11">
        <f t="shared" si="28"/>
        <v>114.9</v>
      </c>
      <c r="CC7" s="19">
        <v>16.899999999999999</v>
      </c>
      <c r="CD7" s="19">
        <v>5.0999999999999996</v>
      </c>
      <c r="CE7" s="19">
        <v>0.4</v>
      </c>
      <c r="CF7" s="19">
        <v>0</v>
      </c>
      <c r="CG7" s="19">
        <v>17.8</v>
      </c>
      <c r="CH7" s="19">
        <v>5.5</v>
      </c>
      <c r="CI7" s="19">
        <v>0</v>
      </c>
      <c r="CJ7" s="19">
        <v>0</v>
      </c>
      <c r="CK7" s="19">
        <v>18.399999999999999</v>
      </c>
      <c r="CL7" s="19">
        <v>5.5</v>
      </c>
      <c r="CM7" s="19">
        <v>0</v>
      </c>
      <c r="CN7" s="19">
        <v>0</v>
      </c>
      <c r="CO7" s="19">
        <v>17</v>
      </c>
      <c r="CP7" s="19">
        <v>6.5</v>
      </c>
      <c r="CQ7" s="19">
        <v>0</v>
      </c>
      <c r="CR7" s="19">
        <v>0</v>
      </c>
      <c r="CS7" s="19">
        <v>17.600000000000001</v>
      </c>
      <c r="CT7" s="19">
        <v>5.5</v>
      </c>
      <c r="CU7" s="19">
        <v>0</v>
      </c>
      <c r="CV7" s="19">
        <v>0</v>
      </c>
      <c r="CW7" s="27"/>
      <c r="CX7" s="40">
        <f t="shared" si="29"/>
        <v>10.6</v>
      </c>
      <c r="CY7" s="40">
        <f t="shared" si="30"/>
        <v>44.9</v>
      </c>
      <c r="CZ7" s="40">
        <f t="shared" si="31"/>
        <v>23.9</v>
      </c>
      <c r="DA7" s="40">
        <f t="shared" si="32"/>
        <v>16.100000000000001</v>
      </c>
      <c r="DB7" s="40">
        <f t="shared" si="33"/>
        <v>68.8</v>
      </c>
      <c r="DC7" s="40">
        <f t="shared" si="34"/>
        <v>12</v>
      </c>
      <c r="DD7" s="40">
        <f t="shared" si="35"/>
        <v>46.6</v>
      </c>
      <c r="DE7" s="40">
        <f t="shared" si="36"/>
        <v>115.4</v>
      </c>
      <c r="DF7" s="50">
        <f t="shared" si="37"/>
        <v>4.6000000000000085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9"/>
        <v/>
      </c>
      <c r="GK7" s="40" t="str">
        <f t="shared" si="60"/>
        <v/>
      </c>
      <c r="GL7" s="40" t="str">
        <f t="shared" si="61"/>
        <v/>
      </c>
      <c r="GM7" s="40" t="str">
        <f t="shared" si="62"/>
        <v/>
      </c>
      <c r="GN7" s="40" t="str">
        <f t="shared" si="63"/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1" t="str">
        <f t="shared" si="86"/>
        <v/>
      </c>
      <c r="JT7" s="11" t="str">
        <f t="shared" si="87"/>
        <v/>
      </c>
      <c r="JU7" s="17">
        <v>17.8</v>
      </c>
      <c r="JV7" s="17">
        <v>6.5</v>
      </c>
      <c r="JW7" s="17">
        <v>0</v>
      </c>
      <c r="JX7" s="17">
        <v>0</v>
      </c>
      <c r="JY7" s="17">
        <v>18.100000000000001</v>
      </c>
      <c r="JZ7" s="17">
        <v>7.1</v>
      </c>
      <c r="KA7" s="17">
        <v>0</v>
      </c>
      <c r="KB7" s="17">
        <v>0</v>
      </c>
      <c r="KC7" s="17"/>
      <c r="KD7" s="17"/>
      <c r="KE7" s="17"/>
      <c r="KF7" s="17"/>
      <c r="KG7" s="17">
        <v>18.100000000000001</v>
      </c>
      <c r="KH7" s="17">
        <v>7.3</v>
      </c>
      <c r="KI7" s="17">
        <v>0</v>
      </c>
      <c r="KJ7" s="17">
        <v>0</v>
      </c>
      <c r="KK7" s="17">
        <v>16</v>
      </c>
      <c r="KL7" s="17">
        <v>3.3</v>
      </c>
      <c r="KM7" s="17">
        <v>0</v>
      </c>
      <c r="KN7" s="17">
        <v>0</v>
      </c>
      <c r="KO7" s="40">
        <f t="shared" si="88"/>
        <v>13.6</v>
      </c>
      <c r="KP7" s="40">
        <f t="shared" si="89"/>
        <v>49.500000000000007</v>
      </c>
      <c r="KQ7" s="40" t="str">
        <f t="shared" si="90"/>
        <v/>
      </c>
      <c r="KR7" s="40">
        <f t="shared" si="91"/>
        <v>13.6</v>
      </c>
      <c r="KS7" s="40">
        <f t="shared" si="92"/>
        <v>49.500000000000007</v>
      </c>
      <c r="KT7" s="40">
        <f t="shared" si="93"/>
        <v>10.6</v>
      </c>
      <c r="KU7" s="40">
        <f t="shared" si="94"/>
        <v>44.7</v>
      </c>
      <c r="KV7" s="40">
        <f t="shared" si="95"/>
        <v>94.200000000000017</v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17.2</v>
      </c>
      <c r="QH7" s="22">
        <f t="shared" si="137"/>
        <v>5.3</v>
      </c>
      <c r="QI7" s="22">
        <f t="shared" si="138"/>
        <v>0.30000000000000004</v>
      </c>
      <c r="QJ7" s="22">
        <f t="shared" si="139"/>
        <v>0.15</v>
      </c>
      <c r="QK7" s="22">
        <f t="shared" si="140"/>
        <v>17.3</v>
      </c>
      <c r="QL7" s="22">
        <f t="shared" si="141"/>
        <v>5.3</v>
      </c>
      <c r="QM7" s="22">
        <f t="shared" si="142"/>
        <v>0</v>
      </c>
      <c r="QN7" s="22">
        <f t="shared" si="143"/>
        <v>0.15</v>
      </c>
      <c r="QO7" s="22">
        <f t="shared" si="144"/>
        <v>17.7</v>
      </c>
      <c r="QP7" s="22">
        <f t="shared" si="145"/>
        <v>5.5</v>
      </c>
      <c r="QQ7" s="22">
        <f t="shared" si="146"/>
        <v>0.1</v>
      </c>
      <c r="QR7" s="22">
        <f t="shared" si="147"/>
        <v>0.15</v>
      </c>
      <c r="QS7" s="22">
        <f t="shared" si="148"/>
        <v>17.5</v>
      </c>
      <c r="QT7" s="22">
        <f t="shared" si="149"/>
        <v>6</v>
      </c>
      <c r="QU7" s="22">
        <f t="shared" si="150"/>
        <v>0</v>
      </c>
      <c r="QV7" s="22">
        <f t="shared" si="151"/>
        <v>0.15</v>
      </c>
      <c r="QW7" s="22">
        <f t="shared" si="152"/>
        <v>17.700000000000003</v>
      </c>
      <c r="QX7" s="22">
        <f t="shared" si="153"/>
        <v>5.3</v>
      </c>
      <c r="QY7" s="22">
        <f t="shared" si="154"/>
        <v>0</v>
      </c>
      <c r="QZ7" s="22">
        <f t="shared" si="155"/>
        <v>0.15</v>
      </c>
      <c r="RA7" s="27" t="s">
        <v>46</v>
      </c>
      <c r="RB7" s="40">
        <f t="shared" si="156"/>
        <v>10.6</v>
      </c>
      <c r="RC7" s="40">
        <f t="shared" si="157"/>
        <v>45.1</v>
      </c>
      <c r="RD7" s="40">
        <f t="shared" si="158"/>
        <v>23.249999999999996</v>
      </c>
      <c r="RE7" s="40">
        <f t="shared" si="159"/>
        <v>16.100000000000001</v>
      </c>
      <c r="RF7" s="40">
        <f t="shared" si="160"/>
        <v>68.349999999999994</v>
      </c>
      <c r="RG7" s="40">
        <f t="shared" si="161"/>
        <v>11.3</v>
      </c>
      <c r="RH7" s="40">
        <f t="shared" si="162"/>
        <v>46.8</v>
      </c>
      <c r="RI7" s="40">
        <f t="shared" si="163"/>
        <v>115.14999999999999</v>
      </c>
    </row>
    <row r="8" spans="1:477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t="str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/>
      </c>
      <c r="C8" s="5" t="s">
        <v>66</v>
      </c>
      <c r="D8" s="4" t="s">
        <v>4</v>
      </c>
      <c r="E8" s="4">
        <v>2002</v>
      </c>
      <c r="F8" s="9">
        <f t="shared" si="0"/>
        <v>164.90001176000467</v>
      </c>
      <c r="G8" s="66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46.9</v>
      </c>
      <c r="M8" s="8" t="str">
        <f t="shared" si="5"/>
        <v>2023 3rd Domestic Trial</v>
      </c>
      <c r="N8" s="8">
        <f>IF(COUNT(AS8,BV8,CY8)&gt;1,LARGE((AS8,BV8,CY8),2),0)</f>
        <v>45.9</v>
      </c>
      <c r="O8" s="8" t="str">
        <f t="shared" si="6"/>
        <v>2023 Nationals</v>
      </c>
      <c r="P8" s="8">
        <f>IF(COUNT(AT8,BW8,CZ8)&gt;0,LARGE((AT8,BW8,CZ8),1),0)</f>
        <v>24.799999999999997</v>
      </c>
      <c r="Q8" s="8" t="str">
        <f t="shared" si="7"/>
        <v>2023 Nationals</v>
      </c>
      <c r="R8" s="8">
        <f t="shared" si="8"/>
        <v>46.099999999999994</v>
      </c>
      <c r="S8" s="8" t="str">
        <f t="shared" si="9"/>
        <v>2023 Nationals</v>
      </c>
      <c r="T8" s="8">
        <f t="shared" si="10"/>
        <v>1.2000000000000028</v>
      </c>
      <c r="U8" s="11" t="str">
        <f t="shared" si="11"/>
        <v>(Q1)</v>
      </c>
      <c r="V8" s="8" t="str">
        <f t="shared" si="12"/>
        <v>2023 World Championships (Nov 11)</v>
      </c>
      <c r="W8" s="19">
        <v>17.399999999999999</v>
      </c>
      <c r="X8" s="19">
        <v>5.7</v>
      </c>
      <c r="Y8" s="19">
        <v>0</v>
      </c>
      <c r="Z8" s="19">
        <v>0</v>
      </c>
      <c r="AA8" s="19">
        <v>16.899999999999999</v>
      </c>
      <c r="AB8" s="19">
        <v>5.9</v>
      </c>
      <c r="AC8" s="19">
        <v>0</v>
      </c>
      <c r="AD8" s="19">
        <v>0</v>
      </c>
      <c r="AE8" s="19">
        <v>17.3</v>
      </c>
      <c r="AF8" s="19">
        <v>6.1</v>
      </c>
      <c r="AG8" s="19">
        <v>0</v>
      </c>
      <c r="AH8" s="19">
        <v>0</v>
      </c>
      <c r="AI8" s="19">
        <v>18.2</v>
      </c>
      <c r="AJ8" s="19">
        <v>5.3</v>
      </c>
      <c r="AK8" s="19">
        <v>0</v>
      </c>
      <c r="AL8" s="19">
        <v>0</v>
      </c>
      <c r="AM8" s="19">
        <v>17.3</v>
      </c>
      <c r="AN8" s="19">
        <v>4.3</v>
      </c>
      <c r="AO8" s="19">
        <v>0.5</v>
      </c>
      <c r="AP8" s="19">
        <v>0</v>
      </c>
      <c r="AQ8" s="27"/>
      <c r="AR8" s="40">
        <f t="shared" si="13"/>
        <v>11.600000000000001</v>
      </c>
      <c r="AS8" s="40">
        <f t="shared" si="14"/>
        <v>45.9</v>
      </c>
      <c r="AT8" s="40">
        <f t="shared" si="15"/>
        <v>23.4</v>
      </c>
      <c r="AU8" s="40">
        <f t="shared" si="16"/>
        <v>17.700000000000003</v>
      </c>
      <c r="AV8" s="40">
        <f t="shared" si="17"/>
        <v>69.3</v>
      </c>
      <c r="AW8" s="40">
        <f t="shared" si="18"/>
        <v>9.6</v>
      </c>
      <c r="AX8" s="40">
        <f t="shared" si="19"/>
        <v>44.599999999999994</v>
      </c>
      <c r="AY8" s="40">
        <f t="shared" si="20"/>
        <v>113.89999999999999</v>
      </c>
      <c r="AZ8" s="18">
        <v>17.100000000000001</v>
      </c>
      <c r="BA8" s="18">
        <v>5.7</v>
      </c>
      <c r="BB8" s="18">
        <v>0</v>
      </c>
      <c r="BC8" s="18">
        <v>0</v>
      </c>
      <c r="BD8" s="18">
        <v>17.2</v>
      </c>
      <c r="BE8" s="18">
        <v>5.9</v>
      </c>
      <c r="BF8" s="18">
        <v>0</v>
      </c>
      <c r="BG8" s="18">
        <v>0</v>
      </c>
      <c r="BH8" s="18">
        <v>16.7</v>
      </c>
      <c r="BI8" s="18">
        <v>8.1</v>
      </c>
      <c r="BJ8" s="18">
        <v>0</v>
      </c>
      <c r="BK8" s="18">
        <v>0</v>
      </c>
      <c r="BL8" s="18">
        <v>18.100000000000001</v>
      </c>
      <c r="BM8" s="18">
        <v>5.7</v>
      </c>
      <c r="BN8" s="18">
        <v>0</v>
      </c>
      <c r="BO8" s="18">
        <v>0</v>
      </c>
      <c r="BP8" s="18">
        <v>16</v>
      </c>
      <c r="BQ8" s="18">
        <v>6.5</v>
      </c>
      <c r="BR8" s="18">
        <v>0.2</v>
      </c>
      <c r="BS8" s="18">
        <v>0</v>
      </c>
      <c r="BT8" s="28"/>
      <c r="BU8" s="11">
        <f t="shared" si="21"/>
        <v>11.600000000000001</v>
      </c>
      <c r="BV8" s="11">
        <f t="shared" si="22"/>
        <v>45.9</v>
      </c>
      <c r="BW8" s="11">
        <f t="shared" si="23"/>
        <v>24.799999999999997</v>
      </c>
      <c r="BX8" s="11">
        <f t="shared" si="24"/>
        <v>19.700000000000003</v>
      </c>
      <c r="BY8" s="11">
        <f t="shared" si="25"/>
        <v>70.699999999999989</v>
      </c>
      <c r="BZ8" s="11">
        <f t="shared" si="26"/>
        <v>12.2</v>
      </c>
      <c r="CA8" s="11">
        <f t="shared" si="27"/>
        <v>46.099999999999994</v>
      </c>
      <c r="CB8" s="11">
        <f t="shared" si="28"/>
        <v>116.79999999999998</v>
      </c>
      <c r="CC8" s="19">
        <v>17.7</v>
      </c>
      <c r="CD8" s="19">
        <v>5.6</v>
      </c>
      <c r="CE8" s="19">
        <v>0</v>
      </c>
      <c r="CF8" s="19">
        <v>0</v>
      </c>
      <c r="CG8" s="19">
        <v>17.5</v>
      </c>
      <c r="CH8" s="19">
        <v>6.1</v>
      </c>
      <c r="CI8" s="19">
        <v>0</v>
      </c>
      <c r="CJ8" s="19">
        <v>0</v>
      </c>
      <c r="CK8" s="19">
        <v>17.899999999999999</v>
      </c>
      <c r="CL8" s="19">
        <v>5.9</v>
      </c>
      <c r="CM8" s="19">
        <v>0</v>
      </c>
      <c r="CN8" s="19">
        <v>0</v>
      </c>
      <c r="CO8" s="19">
        <v>17.399999999999999</v>
      </c>
      <c r="CP8" s="19">
        <v>6.1</v>
      </c>
      <c r="CQ8" s="19">
        <v>0</v>
      </c>
      <c r="CR8" s="19">
        <v>0</v>
      </c>
      <c r="CS8" s="19">
        <v>15.6</v>
      </c>
      <c r="CT8" s="19">
        <v>3.7</v>
      </c>
      <c r="CU8" s="19">
        <v>0</v>
      </c>
      <c r="CV8" s="19">
        <v>0</v>
      </c>
      <c r="CW8" s="27"/>
      <c r="CX8" s="40">
        <f t="shared" si="29"/>
        <v>11.7</v>
      </c>
      <c r="CY8" s="40">
        <f t="shared" si="30"/>
        <v>46.9</v>
      </c>
      <c r="CZ8" s="40">
        <f t="shared" si="31"/>
        <v>23.799999999999997</v>
      </c>
      <c r="DA8" s="40">
        <f t="shared" si="32"/>
        <v>17.600000000000001</v>
      </c>
      <c r="DB8" s="40">
        <f t="shared" si="33"/>
        <v>70.699999999999989</v>
      </c>
      <c r="DC8" s="40">
        <f t="shared" si="34"/>
        <v>9.8000000000000007</v>
      </c>
      <c r="DD8" s="40">
        <f t="shared" si="35"/>
        <v>42.800000000000004</v>
      </c>
      <c r="DE8" s="40">
        <f t="shared" si="36"/>
        <v>113.5</v>
      </c>
      <c r="DF8" s="50">
        <f t="shared" si="37"/>
        <v>1.2000000000000028</v>
      </c>
      <c r="DG8" s="50" t="str">
        <f t="shared" si="38"/>
        <v/>
      </c>
      <c r="DH8" s="50" t="str">
        <f t="shared" si="39"/>
        <v/>
      </c>
      <c r="DI8" s="17">
        <v>15</v>
      </c>
      <c r="DJ8" s="17">
        <v>3.8</v>
      </c>
      <c r="DK8" s="17">
        <v>0</v>
      </c>
      <c r="DL8" s="17">
        <v>0</v>
      </c>
      <c r="DM8" s="17">
        <v>8.4</v>
      </c>
      <c r="DN8" s="17">
        <v>2.7</v>
      </c>
      <c r="DO8" s="17">
        <v>0</v>
      </c>
      <c r="DP8" s="17">
        <v>0</v>
      </c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>
        <f t="shared" si="40"/>
        <v>6.5</v>
      </c>
      <c r="ED8" s="40">
        <f t="shared" si="41"/>
        <v>29.900000000000002</v>
      </c>
      <c r="EE8" s="40" t="str">
        <f t="shared" si="42"/>
        <v/>
      </c>
      <c r="EF8" s="40">
        <f t="shared" si="43"/>
        <v>6.5</v>
      </c>
      <c r="EG8" s="40">
        <f t="shared" si="44"/>
        <v>29.900000000000002</v>
      </c>
      <c r="EH8" s="40" t="str">
        <f t="shared" si="45"/>
        <v/>
      </c>
      <c r="EI8" s="40" t="str">
        <f t="shared" si="46"/>
        <v/>
      </c>
      <c r="EJ8" s="40">
        <f t="shared" si="47"/>
        <v>29.900000000000002</v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1" t="str">
        <f t="shared" si="70"/>
        <v/>
      </c>
      <c r="HP8" s="11" t="str">
        <f t="shared" si="71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>
        <v>17.5</v>
      </c>
      <c r="IT8" s="18">
        <v>5.9</v>
      </c>
      <c r="IU8" s="18">
        <v>0</v>
      </c>
      <c r="IV8" s="18">
        <v>0</v>
      </c>
      <c r="IW8" s="18">
        <v>17.600000000000001</v>
      </c>
      <c r="IX8" s="18">
        <v>6.1</v>
      </c>
      <c r="IY8" s="18">
        <v>0</v>
      </c>
      <c r="IZ8" s="18">
        <v>0</v>
      </c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>
        <f t="shared" si="80"/>
        <v>12</v>
      </c>
      <c r="JN8" s="11">
        <f t="shared" si="81"/>
        <v>47.1</v>
      </c>
      <c r="JO8" s="11" t="str">
        <f t="shared" si="82"/>
        <v/>
      </c>
      <c r="JP8" s="11">
        <f t="shared" si="83"/>
        <v>12</v>
      </c>
      <c r="JQ8" s="11">
        <f t="shared" si="84"/>
        <v>47.1</v>
      </c>
      <c r="JR8" s="11" t="str">
        <f t="shared" si="85"/>
        <v/>
      </c>
      <c r="JS8" s="11" t="str">
        <f t="shared" si="86"/>
        <v/>
      </c>
      <c r="JT8" s="11">
        <f t="shared" si="87"/>
        <v>47.1</v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17.399999999999999</v>
      </c>
      <c r="QH8" s="22">
        <f t="shared" si="137"/>
        <v>5.65</v>
      </c>
      <c r="QI8" s="22">
        <f t="shared" si="138"/>
        <v>0</v>
      </c>
      <c r="QJ8" s="22">
        <f t="shared" si="139"/>
        <v>0</v>
      </c>
      <c r="QK8" s="22">
        <f t="shared" si="140"/>
        <v>17.350000000000001</v>
      </c>
      <c r="QL8" s="22">
        <f t="shared" si="141"/>
        <v>6</v>
      </c>
      <c r="QM8" s="22">
        <f t="shared" si="142"/>
        <v>0</v>
      </c>
      <c r="QN8" s="22">
        <f t="shared" si="143"/>
        <v>0</v>
      </c>
      <c r="QO8" s="22">
        <f t="shared" si="144"/>
        <v>17.299999999999997</v>
      </c>
      <c r="QP8" s="22">
        <f t="shared" si="145"/>
        <v>7</v>
      </c>
      <c r="QQ8" s="22">
        <f t="shared" si="146"/>
        <v>0</v>
      </c>
      <c r="QR8" s="22">
        <f t="shared" si="147"/>
        <v>0</v>
      </c>
      <c r="QS8" s="22">
        <f t="shared" si="148"/>
        <v>17.75</v>
      </c>
      <c r="QT8" s="22">
        <f t="shared" si="149"/>
        <v>5.9</v>
      </c>
      <c r="QU8" s="22">
        <f t="shared" si="150"/>
        <v>0</v>
      </c>
      <c r="QV8" s="22">
        <f t="shared" si="151"/>
        <v>0</v>
      </c>
      <c r="QW8" s="22">
        <f t="shared" si="152"/>
        <v>15.8</v>
      </c>
      <c r="QX8" s="22">
        <f t="shared" si="153"/>
        <v>5.0999999999999996</v>
      </c>
      <c r="QY8" s="22">
        <f t="shared" si="154"/>
        <v>0.1</v>
      </c>
      <c r="QZ8" s="22">
        <f t="shared" si="155"/>
        <v>0</v>
      </c>
      <c r="RA8" s="27" t="s">
        <v>46</v>
      </c>
      <c r="RB8" s="40">
        <f t="shared" si="156"/>
        <v>11.65</v>
      </c>
      <c r="RC8" s="40">
        <f t="shared" si="157"/>
        <v>46.4</v>
      </c>
      <c r="RD8" s="40">
        <f t="shared" si="158"/>
        <v>24.299999999999997</v>
      </c>
      <c r="RE8" s="40">
        <f t="shared" si="159"/>
        <v>18.649999999999999</v>
      </c>
      <c r="RF8" s="40">
        <f t="shared" si="160"/>
        <v>70.699999999999989</v>
      </c>
      <c r="RG8" s="40">
        <f t="shared" si="161"/>
        <v>11</v>
      </c>
      <c r="RH8" s="40">
        <f t="shared" si="162"/>
        <v>44.45</v>
      </c>
      <c r="RI8" s="40">
        <f t="shared" si="163"/>
        <v>115.14999999999999</v>
      </c>
    </row>
    <row r="9" spans="1:477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t="str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/>
      </c>
      <c r="C9" s="5" t="s">
        <v>103</v>
      </c>
      <c r="D9" s="4" t="s">
        <v>4</v>
      </c>
      <c r="E9" s="4">
        <v>2004</v>
      </c>
      <c r="F9" s="9">
        <f t="shared" si="0"/>
        <v>162.60001101000449</v>
      </c>
      <c r="G9" s="66" t="s">
        <v>46</v>
      </c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45.2</v>
      </c>
      <c r="M9" s="8" t="str">
        <f t="shared" si="5"/>
        <v>2023 Elite Canada</v>
      </c>
      <c r="N9" s="8">
        <f>IF(COUNT(AS9,BV9,CY9)&gt;1,LARGE((AS9,BV9,CY9),2),0)</f>
        <v>41.6</v>
      </c>
      <c r="O9" s="8" t="str">
        <f t="shared" si="6"/>
        <v>2023 3rd Domestic Trial</v>
      </c>
      <c r="P9" s="8">
        <f>IF(COUNT(AT9,BW9,CZ9)&gt;0,LARGE((AT9,BW9,CZ9),1),0)</f>
        <v>23.3</v>
      </c>
      <c r="Q9" s="8" t="str">
        <f t="shared" si="7"/>
        <v>2023 3rd Domestic Trial</v>
      </c>
      <c r="R9" s="8">
        <f t="shared" si="8"/>
        <v>46.099999999999994</v>
      </c>
      <c r="S9" s="8" t="str">
        <f t="shared" si="9"/>
        <v>2023 Nationals</v>
      </c>
      <c r="T9" s="8">
        <f t="shared" si="10"/>
        <v>6.3999999999999915</v>
      </c>
      <c r="U9" s="11" t="str">
        <f t="shared" si="11"/>
        <v>(Q1)</v>
      </c>
      <c r="V9" s="8" t="str">
        <f t="shared" si="12"/>
        <v>2023 WAGC (Nov 17)</v>
      </c>
      <c r="W9" s="19">
        <v>16.5</v>
      </c>
      <c r="X9" s="19">
        <v>6.1</v>
      </c>
      <c r="Y9" s="19">
        <v>0.2</v>
      </c>
      <c r="Z9" s="19">
        <v>0</v>
      </c>
      <c r="AA9" s="19">
        <v>16.600000000000001</v>
      </c>
      <c r="AB9" s="19">
        <v>6.2</v>
      </c>
      <c r="AC9" s="19">
        <v>0</v>
      </c>
      <c r="AD9" s="19">
        <v>0</v>
      </c>
      <c r="AE9" s="19">
        <v>16.3</v>
      </c>
      <c r="AF9" s="19">
        <v>6.2</v>
      </c>
      <c r="AG9" s="19">
        <v>0</v>
      </c>
      <c r="AH9" s="19">
        <v>0</v>
      </c>
      <c r="AI9" s="19">
        <v>15.8</v>
      </c>
      <c r="AJ9" s="19">
        <v>3.3</v>
      </c>
      <c r="AK9" s="19">
        <v>0</v>
      </c>
      <c r="AL9" s="19">
        <v>0</v>
      </c>
      <c r="AM9" s="19">
        <v>13.5</v>
      </c>
      <c r="AN9" s="19">
        <v>5.7</v>
      </c>
      <c r="AO9" s="19">
        <v>0</v>
      </c>
      <c r="AP9" s="19">
        <v>0</v>
      </c>
      <c r="AQ9" s="27"/>
      <c r="AR9" s="40">
        <f t="shared" si="13"/>
        <v>12.3</v>
      </c>
      <c r="AS9" s="40">
        <f t="shared" si="14"/>
        <v>45.2</v>
      </c>
      <c r="AT9" s="40">
        <f t="shared" si="15"/>
        <v>22.5</v>
      </c>
      <c r="AU9" s="40">
        <f t="shared" si="16"/>
        <v>18.5</v>
      </c>
      <c r="AV9" s="40">
        <f t="shared" si="17"/>
        <v>67.7</v>
      </c>
      <c r="AW9" s="40">
        <f t="shared" si="18"/>
        <v>9</v>
      </c>
      <c r="AX9" s="40">
        <f t="shared" si="19"/>
        <v>38.300000000000004</v>
      </c>
      <c r="AY9" s="40">
        <f t="shared" si="20"/>
        <v>106</v>
      </c>
      <c r="AZ9" s="18">
        <v>15.3</v>
      </c>
      <c r="BA9" s="18">
        <v>3</v>
      </c>
      <c r="BB9" s="18">
        <v>0</v>
      </c>
      <c r="BC9" s="18">
        <v>0</v>
      </c>
      <c r="BD9" s="18">
        <v>16.8</v>
      </c>
      <c r="BE9" s="18">
        <v>6.2</v>
      </c>
      <c r="BF9" s="18">
        <v>0</v>
      </c>
      <c r="BG9" s="18">
        <v>0</v>
      </c>
      <c r="BH9" s="18">
        <v>16.600000000000001</v>
      </c>
      <c r="BI9" s="18">
        <v>6.2</v>
      </c>
      <c r="BJ9" s="18">
        <v>0</v>
      </c>
      <c r="BK9" s="18">
        <v>0</v>
      </c>
      <c r="BL9" s="18">
        <v>17.2</v>
      </c>
      <c r="BM9" s="18">
        <v>5.7</v>
      </c>
      <c r="BN9" s="18">
        <v>0.2</v>
      </c>
      <c r="BO9" s="18">
        <v>0</v>
      </c>
      <c r="BP9" s="18">
        <v>17.2</v>
      </c>
      <c r="BQ9" s="18">
        <v>6.2</v>
      </c>
      <c r="BR9" s="18">
        <v>0</v>
      </c>
      <c r="BS9" s="18">
        <v>0</v>
      </c>
      <c r="BT9" s="28"/>
      <c r="BU9" s="11">
        <f t="shared" si="21"/>
        <v>9.1999999999999993</v>
      </c>
      <c r="BV9" s="11">
        <f t="shared" si="22"/>
        <v>41.300000000000004</v>
      </c>
      <c r="BW9" s="11">
        <f t="shared" si="23"/>
        <v>22.8</v>
      </c>
      <c r="BX9" s="11">
        <f t="shared" si="24"/>
        <v>15.399999999999999</v>
      </c>
      <c r="BY9" s="11">
        <f t="shared" si="25"/>
        <v>64.100000000000009</v>
      </c>
      <c r="BZ9" s="11">
        <f t="shared" si="26"/>
        <v>11.9</v>
      </c>
      <c r="CA9" s="11">
        <f t="shared" si="27"/>
        <v>46.099999999999994</v>
      </c>
      <c r="CB9" s="11">
        <f t="shared" si="28"/>
        <v>110.2</v>
      </c>
      <c r="CC9" s="19">
        <v>16.7</v>
      </c>
      <c r="CD9" s="19">
        <v>7</v>
      </c>
      <c r="CE9" s="19">
        <v>0</v>
      </c>
      <c r="CF9" s="19">
        <v>0</v>
      </c>
      <c r="CG9" s="19">
        <v>15.3</v>
      </c>
      <c r="CH9" s="19">
        <v>2.6</v>
      </c>
      <c r="CI9" s="19">
        <v>0</v>
      </c>
      <c r="CJ9" s="19">
        <v>0</v>
      </c>
      <c r="CK9" s="19">
        <v>17.100000000000001</v>
      </c>
      <c r="CL9" s="19">
        <v>6.2</v>
      </c>
      <c r="CM9" s="19">
        <v>0</v>
      </c>
      <c r="CN9" s="19">
        <v>0</v>
      </c>
      <c r="CO9" s="19">
        <v>12.9</v>
      </c>
      <c r="CP9" s="19">
        <v>3.6</v>
      </c>
      <c r="CQ9" s="19">
        <v>0</v>
      </c>
      <c r="CR9" s="19">
        <v>0</v>
      </c>
      <c r="CS9" s="19">
        <v>17.2</v>
      </c>
      <c r="CT9" s="19">
        <v>5.8</v>
      </c>
      <c r="CU9" s="19">
        <v>0</v>
      </c>
      <c r="CV9" s="19">
        <v>0</v>
      </c>
      <c r="CW9" s="27"/>
      <c r="CX9" s="40">
        <f t="shared" si="29"/>
        <v>9.6</v>
      </c>
      <c r="CY9" s="40">
        <f t="shared" si="30"/>
        <v>41.6</v>
      </c>
      <c r="CZ9" s="40">
        <f t="shared" si="31"/>
        <v>23.3</v>
      </c>
      <c r="DA9" s="40">
        <f t="shared" si="32"/>
        <v>15.8</v>
      </c>
      <c r="DB9" s="40">
        <f t="shared" si="33"/>
        <v>64.900000000000006</v>
      </c>
      <c r="DC9" s="40">
        <f t="shared" si="34"/>
        <v>9.4</v>
      </c>
      <c r="DD9" s="40">
        <f t="shared" si="35"/>
        <v>39.5</v>
      </c>
      <c r="DE9" s="40">
        <f t="shared" si="36"/>
        <v>104.4</v>
      </c>
      <c r="DF9" s="50">
        <f t="shared" si="37"/>
        <v>6.3999999999999915</v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>
        <v>12.3</v>
      </c>
      <c r="FN9" s="17">
        <v>2.6</v>
      </c>
      <c r="FO9" s="17">
        <v>0</v>
      </c>
      <c r="FP9" s="17">
        <v>0</v>
      </c>
      <c r="FQ9" s="17">
        <v>18</v>
      </c>
      <c r="FR9" s="17">
        <v>4.8</v>
      </c>
      <c r="FS9" s="17">
        <v>0</v>
      </c>
      <c r="FT9" s="17">
        <v>0</v>
      </c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>
        <f t="shared" si="56"/>
        <v>7.4</v>
      </c>
      <c r="GH9" s="40">
        <f t="shared" si="57"/>
        <v>37.699999999999996</v>
      </c>
      <c r="GI9" s="40" t="str">
        <f t="shared" si="58"/>
        <v/>
      </c>
      <c r="GJ9" s="40">
        <f t="shared" si="59"/>
        <v>7.4</v>
      </c>
      <c r="GK9" s="40">
        <f t="shared" si="60"/>
        <v>37.699999999999996</v>
      </c>
      <c r="GL9" s="40" t="str">
        <f t="shared" si="61"/>
        <v/>
      </c>
      <c r="GM9" s="40" t="str">
        <f t="shared" si="62"/>
        <v/>
      </c>
      <c r="GN9" s="40">
        <f t="shared" si="63"/>
        <v>37.699999999999996</v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>
        <v>17.100000000000001</v>
      </c>
      <c r="HR9" s="17">
        <v>6.6</v>
      </c>
      <c r="HS9" s="17">
        <v>0</v>
      </c>
      <c r="HT9" s="17">
        <v>0</v>
      </c>
      <c r="HU9" s="17">
        <v>17.7</v>
      </c>
      <c r="HV9" s="17">
        <v>6.2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 t="shared" si="72"/>
        <v>12.8</v>
      </c>
      <c r="IL9" s="40">
        <f t="shared" si="73"/>
        <v>47.600000000000009</v>
      </c>
      <c r="IM9" s="40" t="str">
        <f t="shared" si="74"/>
        <v/>
      </c>
      <c r="IN9" s="40">
        <f t="shared" si="75"/>
        <v>12.8</v>
      </c>
      <c r="IO9" s="40">
        <f t="shared" si="76"/>
        <v>47.600000000000009</v>
      </c>
      <c r="IP9" s="40" t="str">
        <f t="shared" si="77"/>
        <v/>
      </c>
      <c r="IQ9" s="40" t="str">
        <f t="shared" si="78"/>
        <v/>
      </c>
      <c r="IR9" s="40">
        <f t="shared" si="79"/>
        <v>47.600000000000009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>
        <v>17.399999999999999</v>
      </c>
      <c r="JV9" s="17">
        <v>6.9</v>
      </c>
      <c r="JW9" s="17">
        <v>0</v>
      </c>
      <c r="JX9" s="17">
        <v>0</v>
      </c>
      <c r="JY9" s="17">
        <v>17</v>
      </c>
      <c r="JZ9" s="17">
        <v>6.9</v>
      </c>
      <c r="KA9" s="17">
        <v>0.2</v>
      </c>
      <c r="KB9" s="17">
        <v>0</v>
      </c>
      <c r="KC9" s="17"/>
      <c r="KD9" s="17"/>
      <c r="KE9" s="17"/>
      <c r="KF9" s="17"/>
      <c r="KG9" s="17">
        <v>17.5</v>
      </c>
      <c r="KH9" s="17">
        <v>7.3</v>
      </c>
      <c r="KI9" s="17">
        <v>0.2</v>
      </c>
      <c r="KJ9" s="17">
        <v>0</v>
      </c>
      <c r="KK9" s="17"/>
      <c r="KL9" s="17"/>
      <c r="KM9" s="17"/>
      <c r="KN9" s="17"/>
      <c r="KO9" s="40">
        <f t="shared" si="88"/>
        <v>13.8</v>
      </c>
      <c r="KP9" s="40">
        <f t="shared" si="89"/>
        <v>47.999999999999993</v>
      </c>
      <c r="KQ9" s="40" t="str">
        <f t="shared" si="90"/>
        <v/>
      </c>
      <c r="KR9" s="40">
        <f t="shared" si="91"/>
        <v>13.8</v>
      </c>
      <c r="KS9" s="40">
        <f t="shared" si="92"/>
        <v>47.999999999999993</v>
      </c>
      <c r="KT9" s="40">
        <f t="shared" si="93"/>
        <v>7.3</v>
      </c>
      <c r="KU9" s="40">
        <f t="shared" si="94"/>
        <v>24.6</v>
      </c>
      <c r="KV9" s="40">
        <f t="shared" si="95"/>
        <v>72.599999999999994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16</v>
      </c>
      <c r="QH9" s="22">
        <f t="shared" si="137"/>
        <v>5</v>
      </c>
      <c r="QI9" s="22">
        <f t="shared" si="138"/>
        <v>0</v>
      </c>
      <c r="QJ9" s="22">
        <f t="shared" si="139"/>
        <v>0</v>
      </c>
      <c r="QK9" s="22">
        <f t="shared" si="140"/>
        <v>16.05</v>
      </c>
      <c r="QL9" s="22">
        <f t="shared" si="141"/>
        <v>4.4000000000000004</v>
      </c>
      <c r="QM9" s="22">
        <f t="shared" si="142"/>
        <v>0</v>
      </c>
      <c r="QN9" s="22">
        <f t="shared" si="143"/>
        <v>0</v>
      </c>
      <c r="QO9" s="22">
        <f t="shared" si="144"/>
        <v>16.850000000000001</v>
      </c>
      <c r="QP9" s="22">
        <f t="shared" si="145"/>
        <v>6.2</v>
      </c>
      <c r="QQ9" s="22">
        <f t="shared" si="146"/>
        <v>0</v>
      </c>
      <c r="QR9" s="22">
        <f t="shared" si="147"/>
        <v>0</v>
      </c>
      <c r="QS9" s="22">
        <f t="shared" si="148"/>
        <v>15.05</v>
      </c>
      <c r="QT9" s="22">
        <f t="shared" si="149"/>
        <v>4.6500000000000004</v>
      </c>
      <c r="QU9" s="22">
        <f t="shared" si="150"/>
        <v>0.1</v>
      </c>
      <c r="QV9" s="22">
        <f t="shared" si="151"/>
        <v>0</v>
      </c>
      <c r="QW9" s="22">
        <f t="shared" si="152"/>
        <v>17.2</v>
      </c>
      <c r="QX9" s="22">
        <f t="shared" si="153"/>
        <v>6</v>
      </c>
      <c r="QY9" s="22">
        <f t="shared" si="154"/>
        <v>0</v>
      </c>
      <c r="QZ9" s="22">
        <f t="shared" si="155"/>
        <v>0</v>
      </c>
      <c r="RA9" s="27" t="s">
        <v>46</v>
      </c>
      <c r="RB9" s="40">
        <f t="shared" si="156"/>
        <v>9.4</v>
      </c>
      <c r="RC9" s="40">
        <f t="shared" si="157"/>
        <v>41.449999999999996</v>
      </c>
      <c r="RD9" s="40">
        <f t="shared" si="158"/>
        <v>23.05</v>
      </c>
      <c r="RE9" s="40">
        <f t="shared" si="159"/>
        <v>15.600000000000001</v>
      </c>
      <c r="RF9" s="40">
        <f t="shared" si="160"/>
        <v>64.5</v>
      </c>
      <c r="RG9" s="40">
        <f t="shared" si="161"/>
        <v>10.65</v>
      </c>
      <c r="RH9" s="40">
        <f t="shared" si="162"/>
        <v>42.800000000000004</v>
      </c>
      <c r="RI9" s="40">
        <f t="shared" si="163"/>
        <v>107.30000000000001</v>
      </c>
    </row>
    <row r="10" spans="1:477" x14ac:dyDescent="0.2">
      <c r="A10" s="4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>7</v>
      </c>
      <c r="B10" s="4" t="str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/>
      </c>
      <c r="C10" s="5" t="s">
        <v>111</v>
      </c>
      <c r="D10" s="4" t="s">
        <v>3</v>
      </c>
      <c r="E10" s="4">
        <v>2003</v>
      </c>
      <c r="F10" s="9">
        <f t="shared" si="0"/>
        <v>160.10001119000461</v>
      </c>
      <c r="G10" s="66" t="s">
        <v>46</v>
      </c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45.7</v>
      </c>
      <c r="M10" s="8" t="str">
        <f t="shared" si="5"/>
        <v>2023 Elite Canada</v>
      </c>
      <c r="N10" s="8">
        <f>IF(COUNT(AS10,BV10,CY10)&gt;1,LARGE((AS10,BV10,CY10),2),0)</f>
        <v>43</v>
      </c>
      <c r="O10" s="8" t="str">
        <f t="shared" si="6"/>
        <v>2023 Nationals</v>
      </c>
      <c r="P10" s="8">
        <f>IF(COUNT(AT10,BW10,CZ10)&gt;0,LARGE((AT10,BW10,CZ10),1),0)</f>
        <v>23.2</v>
      </c>
      <c r="Q10" s="8" t="str">
        <f t="shared" si="7"/>
        <v>2023 Nationals</v>
      </c>
      <c r="R10" s="8">
        <f t="shared" si="8"/>
        <v>48.2</v>
      </c>
      <c r="S10" s="8" t="str">
        <f t="shared" si="9"/>
        <v>2023 Nationals</v>
      </c>
      <c r="T10" s="8" t="str">
        <f t="shared" si="10"/>
        <v/>
      </c>
      <c r="U10" s="11" t="str">
        <f t="shared" si="11"/>
        <v/>
      </c>
      <c r="V10" s="8" t="str">
        <f t="shared" si="12"/>
        <v/>
      </c>
      <c r="W10" s="19">
        <v>17</v>
      </c>
      <c r="X10" s="19">
        <v>5.5</v>
      </c>
      <c r="Y10" s="19">
        <v>0</v>
      </c>
      <c r="Z10" s="19">
        <v>0</v>
      </c>
      <c r="AA10" s="19">
        <v>17.600000000000001</v>
      </c>
      <c r="AB10" s="19">
        <v>5.6</v>
      </c>
      <c r="AC10" s="19">
        <v>0</v>
      </c>
      <c r="AD10" s="19">
        <v>0</v>
      </c>
      <c r="AE10" s="19">
        <v>16.7</v>
      </c>
      <c r="AF10" s="19">
        <v>3</v>
      </c>
      <c r="AG10" s="19">
        <v>1</v>
      </c>
      <c r="AH10" s="19">
        <v>0</v>
      </c>
      <c r="AI10" s="19">
        <v>17.399999999999999</v>
      </c>
      <c r="AJ10" s="19">
        <v>5.5</v>
      </c>
      <c r="AK10" s="19">
        <v>0</v>
      </c>
      <c r="AL10" s="19">
        <v>0</v>
      </c>
      <c r="AM10" s="19">
        <v>16</v>
      </c>
      <c r="AN10" s="19">
        <v>3.7</v>
      </c>
      <c r="AO10" s="19">
        <v>0</v>
      </c>
      <c r="AP10" s="19">
        <v>0</v>
      </c>
      <c r="AQ10" s="27"/>
      <c r="AR10" s="40">
        <f t="shared" si="13"/>
        <v>11.1</v>
      </c>
      <c r="AS10" s="40">
        <f t="shared" si="14"/>
        <v>45.7</v>
      </c>
      <c r="AT10" s="40">
        <f t="shared" si="15"/>
        <v>18.7</v>
      </c>
      <c r="AU10" s="40">
        <f t="shared" si="16"/>
        <v>14.1</v>
      </c>
      <c r="AV10" s="40">
        <f t="shared" si="17"/>
        <v>64.400000000000006</v>
      </c>
      <c r="AW10" s="40">
        <f t="shared" si="18"/>
        <v>9.1999999999999993</v>
      </c>
      <c r="AX10" s="40">
        <f t="shared" si="19"/>
        <v>42.6</v>
      </c>
      <c r="AY10" s="40">
        <f t="shared" si="20"/>
        <v>107</v>
      </c>
      <c r="AZ10" s="18">
        <v>16.3</v>
      </c>
      <c r="BA10" s="18">
        <v>5.5</v>
      </c>
      <c r="BB10" s="18">
        <v>0.4</v>
      </c>
      <c r="BC10" s="18">
        <v>0</v>
      </c>
      <c r="BD10" s="18">
        <v>16.399999999999999</v>
      </c>
      <c r="BE10" s="18">
        <v>5.4</v>
      </c>
      <c r="BF10" s="18">
        <v>0.2</v>
      </c>
      <c r="BG10" s="18">
        <v>0</v>
      </c>
      <c r="BH10" s="18">
        <v>16.899999999999999</v>
      </c>
      <c r="BI10" s="18">
        <v>6.5</v>
      </c>
      <c r="BJ10" s="18">
        <v>0.2</v>
      </c>
      <c r="BK10" s="18">
        <v>0</v>
      </c>
      <c r="BL10" s="18">
        <v>17.8</v>
      </c>
      <c r="BM10" s="18">
        <v>6.5</v>
      </c>
      <c r="BN10" s="18">
        <v>0</v>
      </c>
      <c r="BO10" s="18">
        <v>0</v>
      </c>
      <c r="BP10" s="18">
        <v>18.399999999999999</v>
      </c>
      <c r="BQ10" s="18">
        <v>5.5</v>
      </c>
      <c r="BR10" s="18">
        <v>0</v>
      </c>
      <c r="BS10" s="18">
        <v>0</v>
      </c>
      <c r="BT10" s="28"/>
      <c r="BU10" s="11">
        <f t="shared" si="21"/>
        <v>10.9</v>
      </c>
      <c r="BV10" s="11">
        <f t="shared" si="22"/>
        <v>43</v>
      </c>
      <c r="BW10" s="11">
        <f t="shared" si="23"/>
        <v>23.2</v>
      </c>
      <c r="BX10" s="11">
        <f t="shared" si="24"/>
        <v>17.399999999999999</v>
      </c>
      <c r="BY10" s="11">
        <f t="shared" si="25"/>
        <v>66.2</v>
      </c>
      <c r="BZ10" s="11">
        <f t="shared" si="26"/>
        <v>12</v>
      </c>
      <c r="CA10" s="11">
        <f t="shared" si="27"/>
        <v>48.2</v>
      </c>
      <c r="CB10" s="11">
        <f t="shared" si="28"/>
        <v>114.4</v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 t="str">
        <f t="shared" si="29"/>
        <v/>
      </c>
      <c r="CY10" s="40" t="str">
        <f t="shared" si="30"/>
        <v/>
      </c>
      <c r="CZ10" s="40" t="str">
        <f t="shared" si="31"/>
        <v/>
      </c>
      <c r="DA10" s="40" t="str">
        <f t="shared" si="32"/>
        <v/>
      </c>
      <c r="DB10" s="40" t="str">
        <f t="shared" si="33"/>
        <v/>
      </c>
      <c r="DC10" s="40" t="str">
        <f t="shared" si="34"/>
        <v/>
      </c>
      <c r="DD10" s="40" t="str">
        <f t="shared" si="35"/>
        <v/>
      </c>
      <c r="DE10" s="40" t="str">
        <f t="shared" si="36"/>
        <v/>
      </c>
      <c r="DF10" s="50" t="str">
        <f t="shared" si="37"/>
        <v/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>
        <v>15.5</v>
      </c>
      <c r="FN10" s="17">
        <v>3.3</v>
      </c>
      <c r="FO10" s="17">
        <v>0</v>
      </c>
      <c r="FP10" s="17">
        <v>0</v>
      </c>
      <c r="FQ10" s="17">
        <v>16.899999999999999</v>
      </c>
      <c r="FR10" s="17">
        <v>5.5</v>
      </c>
      <c r="FS10" s="17">
        <v>0.2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 t="shared" si="56"/>
        <v>8.8000000000000007</v>
      </c>
      <c r="GH10" s="40">
        <f t="shared" si="57"/>
        <v>41</v>
      </c>
      <c r="GI10" s="40" t="str">
        <f t="shared" si="58"/>
        <v/>
      </c>
      <c r="GJ10" s="40">
        <f t="shared" si="59"/>
        <v>8.8000000000000007</v>
      </c>
      <c r="GK10" s="40">
        <f t="shared" si="60"/>
        <v>41</v>
      </c>
      <c r="GL10" s="40" t="str">
        <f t="shared" si="61"/>
        <v/>
      </c>
      <c r="GM10" s="40" t="str">
        <f t="shared" si="62"/>
        <v/>
      </c>
      <c r="GN10" s="40">
        <f t="shared" si="63"/>
        <v>41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1" t="str">
        <f t="shared" si="70"/>
        <v/>
      </c>
      <c r="HP10" s="11" t="str">
        <f t="shared" si="71"/>
        <v/>
      </c>
      <c r="HQ10" s="17">
        <v>16</v>
      </c>
      <c r="HR10" s="17">
        <v>3.3</v>
      </c>
      <c r="HS10" s="17">
        <v>0</v>
      </c>
      <c r="HT10" s="17">
        <v>0</v>
      </c>
      <c r="HU10" s="17">
        <v>15.5</v>
      </c>
      <c r="HV10" s="17">
        <v>3.3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 t="shared" si="72"/>
        <v>6.6</v>
      </c>
      <c r="IL10" s="40">
        <f t="shared" si="73"/>
        <v>38.099999999999994</v>
      </c>
      <c r="IM10" s="40" t="str">
        <f t="shared" si="74"/>
        <v/>
      </c>
      <c r="IN10" s="40">
        <f t="shared" si="75"/>
        <v>6.6</v>
      </c>
      <c r="IO10" s="40">
        <f t="shared" si="76"/>
        <v>38.099999999999994</v>
      </c>
      <c r="IP10" s="40" t="str">
        <f t="shared" si="77"/>
        <v/>
      </c>
      <c r="IQ10" s="40" t="str">
        <f t="shared" si="78"/>
        <v/>
      </c>
      <c r="IR10" s="40">
        <f t="shared" si="79"/>
        <v>38.099999999999994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8.15</v>
      </c>
      <c r="QH10" s="22">
        <f t="shared" si="137"/>
        <v>2.75</v>
      </c>
      <c r="QI10" s="22">
        <f t="shared" si="138"/>
        <v>0.2</v>
      </c>
      <c r="QJ10" s="22">
        <f t="shared" si="139"/>
        <v>0</v>
      </c>
      <c r="QK10" s="22">
        <f t="shared" si="140"/>
        <v>8.1999999999999993</v>
      </c>
      <c r="QL10" s="22">
        <f t="shared" si="141"/>
        <v>2.7</v>
      </c>
      <c r="QM10" s="22">
        <f t="shared" si="142"/>
        <v>0.1</v>
      </c>
      <c r="QN10" s="22">
        <f t="shared" si="143"/>
        <v>0</v>
      </c>
      <c r="QO10" s="22">
        <f t="shared" si="144"/>
        <v>8.4499999999999993</v>
      </c>
      <c r="QP10" s="22">
        <f t="shared" si="145"/>
        <v>3.25</v>
      </c>
      <c r="QQ10" s="22">
        <f t="shared" si="146"/>
        <v>0.1</v>
      </c>
      <c r="QR10" s="22">
        <f t="shared" si="147"/>
        <v>0</v>
      </c>
      <c r="QS10" s="22">
        <f t="shared" si="148"/>
        <v>8.9</v>
      </c>
      <c r="QT10" s="22">
        <f t="shared" si="149"/>
        <v>3.25</v>
      </c>
      <c r="QU10" s="22">
        <f t="shared" si="150"/>
        <v>0</v>
      </c>
      <c r="QV10" s="22">
        <f t="shared" si="151"/>
        <v>0</v>
      </c>
      <c r="QW10" s="22">
        <f t="shared" si="152"/>
        <v>9.1999999999999993</v>
      </c>
      <c r="QX10" s="22">
        <f t="shared" si="153"/>
        <v>2.75</v>
      </c>
      <c r="QY10" s="22">
        <f t="shared" si="154"/>
        <v>0</v>
      </c>
      <c r="QZ10" s="22">
        <f t="shared" si="155"/>
        <v>0</v>
      </c>
      <c r="RA10" s="27" t="s">
        <v>46</v>
      </c>
      <c r="RB10" s="40">
        <f t="shared" si="156"/>
        <v>5.45</v>
      </c>
      <c r="RC10" s="40">
        <f t="shared" si="157"/>
        <v>21.5</v>
      </c>
      <c r="RD10" s="40">
        <f t="shared" si="158"/>
        <v>11.6</v>
      </c>
      <c r="RE10" s="40">
        <f t="shared" si="159"/>
        <v>8.6999999999999993</v>
      </c>
      <c r="RF10" s="40">
        <f t="shared" si="160"/>
        <v>33.1</v>
      </c>
      <c r="RG10" s="40">
        <f t="shared" si="161"/>
        <v>6</v>
      </c>
      <c r="RH10" s="40">
        <f t="shared" si="162"/>
        <v>24.1</v>
      </c>
      <c r="RI10" s="40">
        <f t="shared" si="163"/>
        <v>57.2</v>
      </c>
    </row>
    <row r="11" spans="1:477" x14ac:dyDescent="0.2">
      <c r="A11" s="4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>8</v>
      </c>
      <c r="B11" s="4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>1</v>
      </c>
      <c r="C11" s="5" t="s">
        <v>149</v>
      </c>
      <c r="D11" s="4" t="s">
        <v>4</v>
      </c>
      <c r="E11" s="4">
        <v>2004</v>
      </c>
      <c r="F11" s="9">
        <f t="shared" si="0"/>
        <v>155.50001063000431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43.2</v>
      </c>
      <c r="M11" s="8" t="str">
        <f t="shared" si="5"/>
        <v>2023 Nationals</v>
      </c>
      <c r="N11" s="8">
        <f>IF(COUNT(AS11,BV11,CY11)&gt;1,LARGE((AS11,BV11,CY11),2),0)</f>
        <v>41.4</v>
      </c>
      <c r="O11" s="8" t="str">
        <f t="shared" si="6"/>
        <v>2023 Elite Canada</v>
      </c>
      <c r="P11" s="8">
        <f>IF(COUNT(AT11,BW11,CZ11)&gt;0,LARGE((AT11,BW11,CZ11),1),0)</f>
        <v>21.700000000000003</v>
      </c>
      <c r="Q11" s="8" t="str">
        <f t="shared" si="7"/>
        <v>2023 Nationals</v>
      </c>
      <c r="R11" s="8">
        <f t="shared" si="8"/>
        <v>45.9</v>
      </c>
      <c r="S11" s="8" t="str">
        <f t="shared" si="9"/>
        <v>2023 Nationals</v>
      </c>
      <c r="T11" s="8">
        <f t="shared" si="10"/>
        <v>3.2999999999999972</v>
      </c>
      <c r="U11" s="11" t="str">
        <f t="shared" si="11"/>
        <v>(Q1)</v>
      </c>
      <c r="V11" s="8" t="str">
        <f t="shared" si="12"/>
        <v>2023 WAGC (Nov 17)</v>
      </c>
      <c r="W11" s="19">
        <v>16.2</v>
      </c>
      <c r="X11" s="19">
        <v>4.8</v>
      </c>
      <c r="Y11" s="19">
        <v>0.2</v>
      </c>
      <c r="Z11" s="19">
        <v>0.6</v>
      </c>
      <c r="AA11" s="19">
        <v>15.2</v>
      </c>
      <c r="AB11" s="19">
        <v>4.5999999999999996</v>
      </c>
      <c r="AC11" s="19">
        <v>0.4</v>
      </c>
      <c r="AD11" s="19">
        <v>0.6</v>
      </c>
      <c r="AE11" s="19">
        <v>15.7</v>
      </c>
      <c r="AF11" s="19">
        <v>4.2</v>
      </c>
      <c r="AG11" s="19">
        <v>0.4</v>
      </c>
      <c r="AH11" s="19">
        <v>0.6</v>
      </c>
      <c r="AI11" s="19">
        <v>16.5</v>
      </c>
      <c r="AJ11" s="19">
        <v>4.8</v>
      </c>
      <c r="AK11" s="19">
        <v>0</v>
      </c>
      <c r="AL11" s="19">
        <v>0.6</v>
      </c>
      <c r="AM11" s="19">
        <v>16.100000000000001</v>
      </c>
      <c r="AN11" s="19">
        <v>5.3</v>
      </c>
      <c r="AO11" s="19">
        <v>0</v>
      </c>
      <c r="AP11" s="19">
        <v>0.6</v>
      </c>
      <c r="AQ11" s="27"/>
      <c r="AR11" s="40">
        <f t="shared" si="13"/>
        <v>9.3999999999999986</v>
      </c>
      <c r="AS11" s="40">
        <f t="shared" si="14"/>
        <v>41.4</v>
      </c>
      <c r="AT11" s="40">
        <f t="shared" si="15"/>
        <v>20.100000000000001</v>
      </c>
      <c r="AU11" s="40">
        <f t="shared" si="16"/>
        <v>13.599999999999998</v>
      </c>
      <c r="AV11" s="40">
        <f t="shared" si="17"/>
        <v>61.5</v>
      </c>
      <c r="AW11" s="40">
        <f t="shared" si="18"/>
        <v>10.1</v>
      </c>
      <c r="AX11" s="40">
        <f t="shared" si="19"/>
        <v>43.9</v>
      </c>
      <c r="AY11" s="40">
        <f t="shared" si="20"/>
        <v>105.4</v>
      </c>
      <c r="AZ11" s="18">
        <v>15.9</v>
      </c>
      <c r="BA11" s="18">
        <v>4.8</v>
      </c>
      <c r="BB11" s="18">
        <v>0</v>
      </c>
      <c r="BC11" s="18">
        <v>0.6</v>
      </c>
      <c r="BD11" s="18">
        <v>15.3</v>
      </c>
      <c r="BE11" s="18">
        <v>6</v>
      </c>
      <c r="BF11" s="18">
        <v>0</v>
      </c>
      <c r="BG11" s="18">
        <v>0.6</v>
      </c>
      <c r="BH11" s="18">
        <v>15.1</v>
      </c>
      <c r="BI11" s="18">
        <v>6</v>
      </c>
      <c r="BJ11" s="18">
        <v>0</v>
      </c>
      <c r="BK11" s="18">
        <v>0.6</v>
      </c>
      <c r="BL11" s="18">
        <v>16.8</v>
      </c>
      <c r="BM11" s="18">
        <v>5.5</v>
      </c>
      <c r="BN11" s="18">
        <v>0</v>
      </c>
      <c r="BO11" s="18">
        <v>0.6</v>
      </c>
      <c r="BP11" s="18">
        <v>16.399999999999999</v>
      </c>
      <c r="BQ11" s="18">
        <v>6</v>
      </c>
      <c r="BR11" s="18">
        <v>0</v>
      </c>
      <c r="BS11" s="18">
        <v>0.6</v>
      </c>
      <c r="BT11" s="28"/>
      <c r="BU11" s="11">
        <f t="shared" si="21"/>
        <v>10.8</v>
      </c>
      <c r="BV11" s="11">
        <f t="shared" si="22"/>
        <v>43.2</v>
      </c>
      <c r="BW11" s="11">
        <f t="shared" si="23"/>
        <v>21.700000000000003</v>
      </c>
      <c r="BX11" s="11">
        <f t="shared" si="24"/>
        <v>16.8</v>
      </c>
      <c r="BY11" s="11">
        <f t="shared" si="25"/>
        <v>64.900000000000006</v>
      </c>
      <c r="BZ11" s="11">
        <f t="shared" si="26"/>
        <v>11.5</v>
      </c>
      <c r="CA11" s="11">
        <f t="shared" si="27"/>
        <v>45.9</v>
      </c>
      <c r="CB11" s="11">
        <f t="shared" si="28"/>
        <v>110.80000000000001</v>
      </c>
      <c r="CC11" s="19">
        <v>16</v>
      </c>
      <c r="CD11" s="19">
        <v>5.3</v>
      </c>
      <c r="CE11" s="19">
        <v>0</v>
      </c>
      <c r="CF11" s="19">
        <v>0.6</v>
      </c>
      <c r="CG11" s="19">
        <v>14.8</v>
      </c>
      <c r="CH11" s="19">
        <v>4</v>
      </c>
      <c r="CI11" s="19">
        <v>0</v>
      </c>
      <c r="CJ11" s="19">
        <v>0.6</v>
      </c>
      <c r="CK11" s="19">
        <v>16.399999999999999</v>
      </c>
      <c r="CL11" s="19">
        <v>4.5999999999999996</v>
      </c>
      <c r="CM11" s="19">
        <v>0</v>
      </c>
      <c r="CN11" s="19">
        <v>0.6</v>
      </c>
      <c r="CO11" s="19">
        <v>16.399999999999999</v>
      </c>
      <c r="CP11" s="19">
        <v>4.5999999999999996</v>
      </c>
      <c r="CQ11" s="19">
        <v>0</v>
      </c>
      <c r="CR11" s="19">
        <v>0.6</v>
      </c>
      <c r="CS11" s="19">
        <v>15.9</v>
      </c>
      <c r="CT11" s="19">
        <v>6.2</v>
      </c>
      <c r="CU11" s="19">
        <v>0.2</v>
      </c>
      <c r="CV11" s="19">
        <v>0.6</v>
      </c>
      <c r="CW11" s="27"/>
      <c r="CX11" s="40">
        <f t="shared" si="29"/>
        <v>9.3000000000000007</v>
      </c>
      <c r="CY11" s="40">
        <f t="shared" si="30"/>
        <v>41.300000000000004</v>
      </c>
      <c r="CZ11" s="40">
        <f t="shared" si="31"/>
        <v>21.6</v>
      </c>
      <c r="DA11" s="40">
        <f t="shared" si="32"/>
        <v>13.9</v>
      </c>
      <c r="DB11" s="40">
        <f t="shared" si="33"/>
        <v>62.900000000000006</v>
      </c>
      <c r="DC11" s="40">
        <f t="shared" si="34"/>
        <v>10.8</v>
      </c>
      <c r="DD11" s="40">
        <f t="shared" si="35"/>
        <v>44.1</v>
      </c>
      <c r="DE11" s="40">
        <f t="shared" si="36"/>
        <v>107</v>
      </c>
      <c r="DF11" s="50">
        <f t="shared" si="37"/>
        <v>3.2999999999999972</v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1" t="str">
        <f t="shared" si="70"/>
        <v/>
      </c>
      <c r="HP11" s="11" t="str">
        <f t="shared" si="71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>
        <v>16</v>
      </c>
      <c r="JV11" s="17">
        <v>6.2</v>
      </c>
      <c r="JW11" s="17">
        <v>0</v>
      </c>
      <c r="JX11" s="17">
        <v>0</v>
      </c>
      <c r="JY11" s="17">
        <v>17.2</v>
      </c>
      <c r="JZ11" s="17">
        <v>5.3</v>
      </c>
      <c r="KA11" s="17">
        <v>0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 t="shared" si="88"/>
        <v>11.5</v>
      </c>
      <c r="KP11" s="40">
        <f t="shared" si="89"/>
        <v>44.699999999999996</v>
      </c>
      <c r="KQ11" s="40" t="str">
        <f t="shared" si="90"/>
        <v/>
      </c>
      <c r="KR11" s="40">
        <f t="shared" si="91"/>
        <v>11.5</v>
      </c>
      <c r="KS11" s="40">
        <f t="shared" si="92"/>
        <v>44.699999999999996</v>
      </c>
      <c r="KT11" s="40" t="str">
        <f t="shared" si="93"/>
        <v/>
      </c>
      <c r="KU11" s="40" t="str">
        <f t="shared" si="94"/>
        <v/>
      </c>
      <c r="KV11" s="40">
        <f t="shared" si="95"/>
        <v>44.699999999999996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15.95</v>
      </c>
      <c r="QH11" s="22">
        <f t="shared" si="137"/>
        <v>5.05</v>
      </c>
      <c r="QI11" s="22">
        <f t="shared" si="138"/>
        <v>0</v>
      </c>
      <c r="QJ11" s="22">
        <f t="shared" si="139"/>
        <v>0.6</v>
      </c>
      <c r="QK11" s="22">
        <f t="shared" si="140"/>
        <v>15.05</v>
      </c>
      <c r="QL11" s="22">
        <f t="shared" si="141"/>
        <v>5</v>
      </c>
      <c r="QM11" s="22">
        <f t="shared" si="142"/>
        <v>0</v>
      </c>
      <c r="QN11" s="22">
        <f t="shared" si="143"/>
        <v>0.6</v>
      </c>
      <c r="QO11" s="22">
        <f t="shared" si="144"/>
        <v>15.75</v>
      </c>
      <c r="QP11" s="22">
        <f t="shared" si="145"/>
        <v>5.3</v>
      </c>
      <c r="QQ11" s="22">
        <f t="shared" si="146"/>
        <v>0</v>
      </c>
      <c r="QR11" s="22">
        <f t="shared" si="147"/>
        <v>0.6</v>
      </c>
      <c r="QS11" s="22">
        <f t="shared" si="148"/>
        <v>16.600000000000001</v>
      </c>
      <c r="QT11" s="22">
        <f t="shared" si="149"/>
        <v>5.05</v>
      </c>
      <c r="QU11" s="22">
        <f t="shared" si="150"/>
        <v>0</v>
      </c>
      <c r="QV11" s="22">
        <f t="shared" si="151"/>
        <v>0.6</v>
      </c>
      <c r="QW11" s="22">
        <f t="shared" si="152"/>
        <v>16.149999999999999</v>
      </c>
      <c r="QX11" s="22">
        <f t="shared" si="153"/>
        <v>6.1</v>
      </c>
      <c r="QY11" s="22">
        <f t="shared" si="154"/>
        <v>0.1</v>
      </c>
      <c r="QZ11" s="22">
        <f t="shared" si="155"/>
        <v>0.6</v>
      </c>
      <c r="RA11" s="27" t="s">
        <v>46</v>
      </c>
      <c r="RB11" s="40">
        <f t="shared" si="156"/>
        <v>10.050000000000001</v>
      </c>
      <c r="RC11" s="40">
        <f t="shared" si="157"/>
        <v>42.250000000000007</v>
      </c>
      <c r="RD11" s="40">
        <f t="shared" si="158"/>
        <v>21.650000000000002</v>
      </c>
      <c r="RE11" s="40">
        <f t="shared" si="159"/>
        <v>15.350000000000001</v>
      </c>
      <c r="RF11" s="40">
        <f t="shared" si="160"/>
        <v>63.900000000000006</v>
      </c>
      <c r="RG11" s="40">
        <f t="shared" si="161"/>
        <v>11.149999999999999</v>
      </c>
      <c r="RH11" s="40">
        <f t="shared" si="162"/>
        <v>45.000000000000007</v>
      </c>
      <c r="RI11" s="40">
        <f t="shared" si="163"/>
        <v>108.9</v>
      </c>
    </row>
    <row r="12" spans="1:477" x14ac:dyDescent="0.2">
      <c r="A12" s="4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>9</v>
      </c>
      <c r="B12" s="4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>2</v>
      </c>
      <c r="C12" s="5" t="s">
        <v>68</v>
      </c>
      <c r="D12" s="4" t="s">
        <v>4</v>
      </c>
      <c r="E12" s="4">
        <v>2003</v>
      </c>
      <c r="F12" s="9">
        <f t="shared" si="0"/>
        <v>155.40001106000454</v>
      </c>
      <c r="G12" s="66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45.400000000000006</v>
      </c>
      <c r="M12" s="8" t="str">
        <f t="shared" si="5"/>
        <v>2023 Nationals</v>
      </c>
      <c r="N12" s="8">
        <f>IF(COUNT(AS12,BV12,CY12)&gt;1,LARGE((AS12,BV12,CY12),2),0)</f>
        <v>42.5</v>
      </c>
      <c r="O12" s="8" t="str">
        <f t="shared" si="6"/>
        <v>2023 Elite Canada</v>
      </c>
      <c r="P12" s="8">
        <f>IF(COUNT(AT12,BW12,CZ12)&gt;0,LARGE((AT12,BW12,CZ12),1),0)</f>
        <v>22.700000000000003</v>
      </c>
      <c r="Q12" s="8" t="str">
        <f t="shared" si="7"/>
        <v>2023 Elite Canada</v>
      </c>
      <c r="R12" s="8">
        <f t="shared" si="8"/>
        <v>43.2</v>
      </c>
      <c r="S12" s="8" t="str">
        <f t="shared" si="9"/>
        <v>2023 Elite Canada</v>
      </c>
      <c r="T12" s="8">
        <f t="shared" si="10"/>
        <v>1.6000000000000014</v>
      </c>
      <c r="U12" s="11" t="str">
        <f t="shared" si="11"/>
        <v>(Q1)</v>
      </c>
      <c r="V12" s="8" t="str">
        <f t="shared" si="12"/>
        <v>2023 WAGC (Nov 17)</v>
      </c>
      <c r="W12" s="19">
        <v>16.2</v>
      </c>
      <c r="X12" s="19">
        <v>5.3</v>
      </c>
      <c r="Y12" s="19">
        <v>0</v>
      </c>
      <c r="Z12" s="19">
        <v>0.3</v>
      </c>
      <c r="AA12" s="19">
        <v>14.1</v>
      </c>
      <c r="AB12" s="19">
        <v>6.2</v>
      </c>
      <c r="AC12" s="19">
        <v>0.2</v>
      </c>
      <c r="AD12" s="19">
        <v>0.6</v>
      </c>
      <c r="AE12" s="19">
        <v>16.100000000000001</v>
      </c>
      <c r="AF12" s="19">
        <v>6</v>
      </c>
      <c r="AG12" s="19">
        <v>0</v>
      </c>
      <c r="AH12" s="19">
        <v>0.6</v>
      </c>
      <c r="AI12" s="19">
        <v>15.8</v>
      </c>
      <c r="AJ12" s="19">
        <v>4.5</v>
      </c>
      <c r="AK12" s="19">
        <v>0</v>
      </c>
      <c r="AL12" s="19">
        <v>0.3</v>
      </c>
      <c r="AM12" s="19">
        <v>15.8</v>
      </c>
      <c r="AN12" s="19">
        <v>6.4</v>
      </c>
      <c r="AO12" s="19">
        <v>0.2</v>
      </c>
      <c r="AP12" s="19">
        <v>0.6</v>
      </c>
      <c r="AQ12" s="27"/>
      <c r="AR12" s="40">
        <f t="shared" si="13"/>
        <v>11.5</v>
      </c>
      <c r="AS12" s="40">
        <f t="shared" si="14"/>
        <v>42.5</v>
      </c>
      <c r="AT12" s="40">
        <f t="shared" si="15"/>
        <v>22.700000000000003</v>
      </c>
      <c r="AU12" s="40">
        <f t="shared" si="16"/>
        <v>17.5</v>
      </c>
      <c r="AV12" s="40">
        <f t="shared" si="17"/>
        <v>65.2</v>
      </c>
      <c r="AW12" s="40">
        <f t="shared" si="18"/>
        <v>10.9</v>
      </c>
      <c r="AX12" s="40">
        <f t="shared" si="19"/>
        <v>43.2</v>
      </c>
      <c r="AY12" s="40">
        <f t="shared" si="20"/>
        <v>108.4</v>
      </c>
      <c r="AZ12" s="18">
        <v>16.5</v>
      </c>
      <c r="BA12" s="18">
        <v>6.1</v>
      </c>
      <c r="BB12" s="18">
        <v>0</v>
      </c>
      <c r="BC12" s="18">
        <v>0.3</v>
      </c>
      <c r="BD12" s="18">
        <v>15.7</v>
      </c>
      <c r="BE12" s="18">
        <v>6.2</v>
      </c>
      <c r="BF12" s="18">
        <v>0</v>
      </c>
      <c r="BG12" s="18">
        <v>0.6</v>
      </c>
      <c r="BH12" s="18">
        <v>15.1</v>
      </c>
      <c r="BI12" s="18">
        <v>3.1</v>
      </c>
      <c r="BJ12" s="18">
        <v>0</v>
      </c>
      <c r="BK12" s="18">
        <v>0.3</v>
      </c>
      <c r="BL12" s="18">
        <v>14.8</v>
      </c>
      <c r="BM12" s="18">
        <v>4.0999999999999996</v>
      </c>
      <c r="BN12" s="18">
        <v>0</v>
      </c>
      <c r="BO12" s="18">
        <v>0.6</v>
      </c>
      <c r="BP12" s="18">
        <v>16</v>
      </c>
      <c r="BQ12" s="18">
        <v>6.3</v>
      </c>
      <c r="BR12" s="18">
        <v>0</v>
      </c>
      <c r="BS12" s="18">
        <v>0.6</v>
      </c>
      <c r="BT12" s="28"/>
      <c r="BU12" s="11">
        <f t="shared" si="21"/>
        <v>12.3</v>
      </c>
      <c r="BV12" s="11">
        <f t="shared" si="22"/>
        <v>45.400000000000006</v>
      </c>
      <c r="BW12" s="11">
        <f t="shared" si="23"/>
        <v>18.5</v>
      </c>
      <c r="BX12" s="11">
        <f t="shared" si="24"/>
        <v>15.4</v>
      </c>
      <c r="BY12" s="11">
        <f t="shared" si="25"/>
        <v>63.900000000000006</v>
      </c>
      <c r="BZ12" s="11">
        <f t="shared" si="26"/>
        <v>10.399999999999999</v>
      </c>
      <c r="CA12" s="11">
        <f t="shared" si="27"/>
        <v>42.4</v>
      </c>
      <c r="CB12" s="11">
        <f t="shared" si="28"/>
        <v>106.30000000000001</v>
      </c>
      <c r="CC12" s="19">
        <v>16.2</v>
      </c>
      <c r="CD12" s="19">
        <v>6</v>
      </c>
      <c r="CE12" s="19">
        <v>2</v>
      </c>
      <c r="CF12" s="19">
        <v>0</v>
      </c>
      <c r="CG12" s="19">
        <v>16.3</v>
      </c>
      <c r="CH12" s="19">
        <v>4.9000000000000004</v>
      </c>
      <c r="CI12" s="19">
        <v>0</v>
      </c>
      <c r="CJ12" s="19">
        <v>0</v>
      </c>
      <c r="CK12" s="19">
        <v>16.5</v>
      </c>
      <c r="CL12" s="19">
        <v>5.7</v>
      </c>
      <c r="CM12" s="19">
        <v>0</v>
      </c>
      <c r="CN12" s="19">
        <v>0</v>
      </c>
      <c r="CO12" s="19">
        <v>15.3</v>
      </c>
      <c r="CP12" s="19">
        <v>6</v>
      </c>
      <c r="CQ12" s="19">
        <v>0</v>
      </c>
      <c r="CR12" s="19">
        <v>0</v>
      </c>
      <c r="CS12" s="19">
        <v>14.8</v>
      </c>
      <c r="CT12" s="19">
        <v>3.7</v>
      </c>
      <c r="CU12" s="19">
        <v>0</v>
      </c>
      <c r="CV12" s="19">
        <v>0</v>
      </c>
      <c r="CW12" s="27"/>
      <c r="CX12" s="40">
        <f t="shared" si="29"/>
        <v>10.9</v>
      </c>
      <c r="CY12" s="40">
        <f t="shared" si="30"/>
        <v>41.4</v>
      </c>
      <c r="CZ12" s="40">
        <f t="shared" si="31"/>
        <v>22.2</v>
      </c>
      <c r="DA12" s="40">
        <f t="shared" si="32"/>
        <v>16.600000000000001</v>
      </c>
      <c r="DB12" s="40">
        <f t="shared" si="33"/>
        <v>63.599999999999994</v>
      </c>
      <c r="DC12" s="40">
        <f t="shared" si="34"/>
        <v>9.6999999999999993</v>
      </c>
      <c r="DD12" s="40">
        <f t="shared" si="35"/>
        <v>39.800000000000004</v>
      </c>
      <c r="DE12" s="40">
        <f t="shared" si="36"/>
        <v>103.4</v>
      </c>
      <c r="DF12" s="50">
        <f t="shared" si="37"/>
        <v>1.6000000000000014</v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>
        <v>15.5</v>
      </c>
      <c r="FN12" s="17">
        <v>2.9</v>
      </c>
      <c r="FO12" s="17">
        <v>0</v>
      </c>
      <c r="FP12" s="17">
        <v>0</v>
      </c>
      <c r="FQ12" s="17">
        <v>16.2</v>
      </c>
      <c r="FR12" s="17">
        <v>5.7</v>
      </c>
      <c r="FS12" s="17">
        <v>0</v>
      </c>
      <c r="FT12" s="17">
        <v>0</v>
      </c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>
        <f t="shared" si="56"/>
        <v>8.6</v>
      </c>
      <c r="GH12" s="40">
        <f t="shared" si="57"/>
        <v>40.299999999999997</v>
      </c>
      <c r="GI12" s="40" t="str">
        <f t="shared" si="58"/>
        <v/>
      </c>
      <c r="GJ12" s="40">
        <f t="shared" si="59"/>
        <v>8.6</v>
      </c>
      <c r="GK12" s="40">
        <f t="shared" si="60"/>
        <v>40.299999999999997</v>
      </c>
      <c r="GL12" s="40" t="str">
        <f t="shared" si="61"/>
        <v/>
      </c>
      <c r="GM12" s="40" t="str">
        <f t="shared" si="62"/>
        <v/>
      </c>
      <c r="GN12" s="40">
        <f t="shared" si="63"/>
        <v>40.299999999999997</v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>
        <v>17.399999999999999</v>
      </c>
      <c r="JV12" s="17">
        <v>4.2</v>
      </c>
      <c r="JW12" s="17">
        <v>0</v>
      </c>
      <c r="JX12" s="17">
        <v>0</v>
      </c>
      <c r="JY12" s="17">
        <v>16.8</v>
      </c>
      <c r="JZ12" s="17">
        <v>5.7</v>
      </c>
      <c r="KA12" s="17">
        <v>0</v>
      </c>
      <c r="KB12" s="17">
        <v>0</v>
      </c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>
        <f t="shared" si="88"/>
        <v>9.9</v>
      </c>
      <c r="KP12" s="40">
        <f t="shared" si="89"/>
        <v>44.1</v>
      </c>
      <c r="KQ12" s="40" t="str">
        <f t="shared" si="90"/>
        <v/>
      </c>
      <c r="KR12" s="40">
        <f t="shared" si="91"/>
        <v>9.9</v>
      </c>
      <c r="KS12" s="40">
        <f t="shared" si="92"/>
        <v>44.1</v>
      </c>
      <c r="KT12" s="40" t="str">
        <f t="shared" si="93"/>
        <v/>
      </c>
      <c r="KU12" s="40" t="str">
        <f t="shared" si="94"/>
        <v/>
      </c>
      <c r="KV12" s="40">
        <f t="shared" si="95"/>
        <v>44.1</v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16.350000000000001</v>
      </c>
      <c r="QH12" s="22">
        <f t="shared" si="137"/>
        <v>6.05</v>
      </c>
      <c r="QI12" s="22">
        <f t="shared" si="138"/>
        <v>1</v>
      </c>
      <c r="QJ12" s="22">
        <f t="shared" si="139"/>
        <v>0.15</v>
      </c>
      <c r="QK12" s="22">
        <f t="shared" si="140"/>
        <v>16</v>
      </c>
      <c r="QL12" s="22">
        <f t="shared" si="141"/>
        <v>5.5500000000000007</v>
      </c>
      <c r="QM12" s="22">
        <f t="shared" si="142"/>
        <v>0</v>
      </c>
      <c r="QN12" s="22">
        <f t="shared" si="143"/>
        <v>0.3</v>
      </c>
      <c r="QO12" s="22">
        <f t="shared" si="144"/>
        <v>15.8</v>
      </c>
      <c r="QP12" s="22">
        <f t="shared" si="145"/>
        <v>4.4000000000000004</v>
      </c>
      <c r="QQ12" s="22">
        <f t="shared" si="146"/>
        <v>0</v>
      </c>
      <c r="QR12" s="22">
        <f t="shared" si="147"/>
        <v>0.15</v>
      </c>
      <c r="QS12" s="22">
        <f t="shared" si="148"/>
        <v>15.05</v>
      </c>
      <c r="QT12" s="22">
        <f t="shared" si="149"/>
        <v>5.05</v>
      </c>
      <c r="QU12" s="22">
        <f t="shared" si="150"/>
        <v>0</v>
      </c>
      <c r="QV12" s="22">
        <f t="shared" si="151"/>
        <v>0.3</v>
      </c>
      <c r="QW12" s="22">
        <f t="shared" si="152"/>
        <v>15.4</v>
      </c>
      <c r="QX12" s="22">
        <f t="shared" si="153"/>
        <v>5</v>
      </c>
      <c r="QY12" s="22">
        <f t="shared" si="154"/>
        <v>0</v>
      </c>
      <c r="QZ12" s="22">
        <f t="shared" si="155"/>
        <v>0.3</v>
      </c>
      <c r="RA12" s="27" t="s">
        <v>46</v>
      </c>
      <c r="RB12" s="40">
        <f t="shared" si="156"/>
        <v>11.600000000000001</v>
      </c>
      <c r="RC12" s="40">
        <f t="shared" si="157"/>
        <v>43.399999999999991</v>
      </c>
      <c r="RD12" s="40">
        <f t="shared" si="158"/>
        <v>20.350000000000001</v>
      </c>
      <c r="RE12" s="40">
        <f t="shared" si="159"/>
        <v>16</v>
      </c>
      <c r="RF12" s="40">
        <f t="shared" si="160"/>
        <v>63.749999999999993</v>
      </c>
      <c r="RG12" s="40">
        <f t="shared" si="161"/>
        <v>10.050000000000001</v>
      </c>
      <c r="RH12" s="40">
        <f t="shared" si="162"/>
        <v>41.1</v>
      </c>
      <c r="RI12" s="40">
        <f t="shared" si="163"/>
        <v>104.85</v>
      </c>
    </row>
    <row r="13" spans="1:477" x14ac:dyDescent="0.2">
      <c r="A13" s="4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>10</v>
      </c>
      <c r="B13" s="4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>3</v>
      </c>
      <c r="C13" s="5" t="s">
        <v>167</v>
      </c>
      <c r="D13" s="4" t="s">
        <v>6</v>
      </c>
      <c r="E13" s="4">
        <v>2006</v>
      </c>
      <c r="F13" s="9">
        <f t="shared" si="0"/>
        <v>152.00001079000441</v>
      </c>
      <c r="G13" s="66"/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IF(COUNT(AS13,BV13,CY13)&gt;0,LARGE((AS13,BV13,CY13),1),0)</f>
        <v>44.100000000000009</v>
      </c>
      <c r="M13" s="8" t="str">
        <f t="shared" si="5"/>
        <v>2023 Nationals</v>
      </c>
      <c r="N13" s="8">
        <f>IF(COUNT(AS13,BV13,CY13)&gt;1,LARGE((AS13,BV13,CY13),2),0)</f>
        <v>41</v>
      </c>
      <c r="O13" s="8" t="str">
        <f t="shared" si="6"/>
        <v>2023 Elite Canada</v>
      </c>
      <c r="P13" s="8">
        <f>IF(COUNT(AT13,BW13,CZ13)&gt;0,LARGE((AT13,BW13,CZ13),1),0)</f>
        <v>22.8</v>
      </c>
      <c r="Q13" s="8" t="str">
        <f t="shared" si="7"/>
        <v>2023 Nationals</v>
      </c>
      <c r="R13" s="8">
        <f t="shared" si="8"/>
        <v>44.1</v>
      </c>
      <c r="S13" s="8" t="str">
        <f t="shared" si="9"/>
        <v>2023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>
        <v>16.399999999999999</v>
      </c>
      <c r="X13" s="19">
        <v>5.2</v>
      </c>
      <c r="Y13" s="19">
        <v>0</v>
      </c>
      <c r="Z13" s="19">
        <v>0.6</v>
      </c>
      <c r="AA13" s="19">
        <v>14.9</v>
      </c>
      <c r="AB13" s="19">
        <v>3.3</v>
      </c>
      <c r="AC13" s="19">
        <v>0</v>
      </c>
      <c r="AD13" s="19">
        <v>0.6</v>
      </c>
      <c r="AE13" s="19">
        <v>17.100000000000001</v>
      </c>
      <c r="AF13" s="19">
        <v>4.8</v>
      </c>
      <c r="AG13" s="19">
        <v>0</v>
      </c>
      <c r="AH13" s="19">
        <v>0.6</v>
      </c>
      <c r="AI13" s="19">
        <v>16.899999999999999</v>
      </c>
      <c r="AJ13" s="19">
        <v>4.8</v>
      </c>
      <c r="AK13" s="19">
        <v>0</v>
      </c>
      <c r="AL13" s="19">
        <v>0.6</v>
      </c>
      <c r="AM13" s="19">
        <v>15.9</v>
      </c>
      <c r="AN13" s="19">
        <v>5.3</v>
      </c>
      <c r="AO13" s="19">
        <v>0</v>
      </c>
      <c r="AP13" s="19">
        <v>0.6</v>
      </c>
      <c r="AQ13" s="27"/>
      <c r="AR13" s="40">
        <f t="shared" si="13"/>
        <v>8.5</v>
      </c>
      <c r="AS13" s="40">
        <f t="shared" si="14"/>
        <v>41</v>
      </c>
      <c r="AT13" s="40">
        <f t="shared" si="15"/>
        <v>22.500000000000004</v>
      </c>
      <c r="AU13" s="40">
        <f t="shared" si="16"/>
        <v>13.3</v>
      </c>
      <c r="AV13" s="40">
        <f t="shared" si="17"/>
        <v>63.5</v>
      </c>
      <c r="AW13" s="40">
        <f t="shared" si="18"/>
        <v>10.1</v>
      </c>
      <c r="AX13" s="40">
        <f t="shared" si="19"/>
        <v>44.1</v>
      </c>
      <c r="AY13" s="40">
        <f t="shared" si="20"/>
        <v>107.6</v>
      </c>
      <c r="AZ13" s="18">
        <v>16.8</v>
      </c>
      <c r="BA13" s="18">
        <v>4.8</v>
      </c>
      <c r="BB13" s="18">
        <v>0</v>
      </c>
      <c r="BC13" s="18">
        <v>0.6</v>
      </c>
      <c r="BD13" s="18">
        <v>16.7</v>
      </c>
      <c r="BE13" s="18">
        <v>4.5999999999999996</v>
      </c>
      <c r="BF13" s="18">
        <v>0</v>
      </c>
      <c r="BG13" s="18">
        <v>0.6</v>
      </c>
      <c r="BH13" s="18">
        <v>17.399999999999999</v>
      </c>
      <c r="BI13" s="18">
        <v>4.8</v>
      </c>
      <c r="BJ13" s="18">
        <v>0</v>
      </c>
      <c r="BK13" s="18">
        <v>0.6</v>
      </c>
      <c r="BL13" s="18">
        <v>16.3</v>
      </c>
      <c r="BM13" s="18">
        <v>4.5999999999999996</v>
      </c>
      <c r="BN13" s="18">
        <v>0</v>
      </c>
      <c r="BO13" s="18">
        <v>0.6</v>
      </c>
      <c r="BP13" s="18">
        <v>16.8</v>
      </c>
      <c r="BQ13" s="18">
        <v>4.8</v>
      </c>
      <c r="BR13" s="18">
        <v>0</v>
      </c>
      <c r="BS13" s="18">
        <v>0.6</v>
      </c>
      <c r="BT13" s="28"/>
      <c r="BU13" s="11">
        <f t="shared" si="21"/>
        <v>9.3999999999999986</v>
      </c>
      <c r="BV13" s="11">
        <f t="shared" si="22"/>
        <v>44.100000000000009</v>
      </c>
      <c r="BW13" s="11">
        <f t="shared" si="23"/>
        <v>22.8</v>
      </c>
      <c r="BX13" s="11">
        <f t="shared" si="24"/>
        <v>14.2</v>
      </c>
      <c r="BY13" s="11">
        <f t="shared" si="25"/>
        <v>66.900000000000006</v>
      </c>
      <c r="BZ13" s="11">
        <f t="shared" si="26"/>
        <v>9.3999999999999986</v>
      </c>
      <c r="CA13" s="11">
        <f t="shared" si="27"/>
        <v>43.699999999999996</v>
      </c>
      <c r="CB13" s="11">
        <f t="shared" si="28"/>
        <v>110.6</v>
      </c>
      <c r="CC13" s="19">
        <v>15.6</v>
      </c>
      <c r="CD13" s="19">
        <v>2.6</v>
      </c>
      <c r="CE13" s="19">
        <v>0</v>
      </c>
      <c r="CF13" s="19">
        <v>0.6</v>
      </c>
      <c r="CG13" s="19">
        <v>16.5</v>
      </c>
      <c r="CH13" s="19">
        <v>4.8</v>
      </c>
      <c r="CI13" s="19">
        <v>0</v>
      </c>
      <c r="CJ13" s="19">
        <v>0.6</v>
      </c>
      <c r="CK13" s="19">
        <v>15.5</v>
      </c>
      <c r="CL13" s="19">
        <v>2.6</v>
      </c>
      <c r="CM13" s="19">
        <v>0</v>
      </c>
      <c r="CN13" s="19">
        <v>0.6</v>
      </c>
      <c r="CO13" s="19">
        <v>16</v>
      </c>
      <c r="CP13" s="19">
        <v>4.5999999999999996</v>
      </c>
      <c r="CQ13" s="19">
        <v>0</v>
      </c>
      <c r="CR13" s="19">
        <v>0.6</v>
      </c>
      <c r="CS13" s="19">
        <v>16.3</v>
      </c>
      <c r="CT13" s="19">
        <v>4.8</v>
      </c>
      <c r="CU13" s="19">
        <v>0</v>
      </c>
      <c r="CV13" s="19">
        <v>0.6</v>
      </c>
      <c r="CW13" s="27"/>
      <c r="CX13" s="40">
        <f t="shared" si="29"/>
        <v>7.4</v>
      </c>
      <c r="CY13" s="40">
        <f t="shared" si="30"/>
        <v>40.699999999999996</v>
      </c>
      <c r="CZ13" s="40">
        <f t="shared" si="31"/>
        <v>18.700000000000003</v>
      </c>
      <c r="DA13" s="40">
        <f t="shared" si="32"/>
        <v>10</v>
      </c>
      <c r="DB13" s="40">
        <f t="shared" si="33"/>
        <v>59.4</v>
      </c>
      <c r="DC13" s="40">
        <f t="shared" si="34"/>
        <v>9.3999999999999986</v>
      </c>
      <c r="DD13" s="40">
        <f t="shared" si="35"/>
        <v>42.9</v>
      </c>
      <c r="DE13" s="40">
        <f t="shared" si="36"/>
        <v>102.3</v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16.2</v>
      </c>
      <c r="QH13" s="22">
        <f t="shared" si="137"/>
        <v>3.7</v>
      </c>
      <c r="QI13" s="22">
        <f t="shared" si="138"/>
        <v>0</v>
      </c>
      <c r="QJ13" s="22">
        <f t="shared" si="139"/>
        <v>0.6</v>
      </c>
      <c r="QK13" s="22">
        <f t="shared" si="140"/>
        <v>16.600000000000001</v>
      </c>
      <c r="QL13" s="22">
        <f t="shared" si="141"/>
        <v>4.6999999999999993</v>
      </c>
      <c r="QM13" s="22">
        <f t="shared" si="142"/>
        <v>0</v>
      </c>
      <c r="QN13" s="22">
        <f t="shared" si="143"/>
        <v>0.6</v>
      </c>
      <c r="QO13" s="22">
        <f t="shared" si="144"/>
        <v>16.45</v>
      </c>
      <c r="QP13" s="22">
        <f t="shared" si="145"/>
        <v>3.7</v>
      </c>
      <c r="QQ13" s="22">
        <f t="shared" si="146"/>
        <v>0</v>
      </c>
      <c r="QR13" s="22">
        <f t="shared" si="147"/>
        <v>0.6</v>
      </c>
      <c r="QS13" s="22">
        <f t="shared" si="148"/>
        <v>16.149999999999999</v>
      </c>
      <c r="QT13" s="22">
        <f t="shared" si="149"/>
        <v>4.5999999999999996</v>
      </c>
      <c r="QU13" s="22">
        <f t="shared" si="150"/>
        <v>0</v>
      </c>
      <c r="QV13" s="22">
        <f t="shared" si="151"/>
        <v>0.6</v>
      </c>
      <c r="QW13" s="22">
        <f t="shared" si="152"/>
        <v>16.55</v>
      </c>
      <c r="QX13" s="22">
        <f t="shared" si="153"/>
        <v>4.8</v>
      </c>
      <c r="QY13" s="22">
        <f t="shared" si="154"/>
        <v>0</v>
      </c>
      <c r="QZ13" s="22">
        <f t="shared" si="155"/>
        <v>0.6</v>
      </c>
      <c r="RA13" s="27" t="s">
        <v>46</v>
      </c>
      <c r="RB13" s="40">
        <f t="shared" si="156"/>
        <v>8.3999999999999986</v>
      </c>
      <c r="RC13" s="40">
        <f t="shared" si="157"/>
        <v>42.4</v>
      </c>
      <c r="RD13" s="40">
        <f t="shared" si="158"/>
        <v>20.75</v>
      </c>
      <c r="RE13" s="40">
        <f t="shared" si="159"/>
        <v>12.099999999999998</v>
      </c>
      <c r="RF13" s="40">
        <f t="shared" si="160"/>
        <v>63.15</v>
      </c>
      <c r="RG13" s="40">
        <f t="shared" si="161"/>
        <v>9.3999999999999986</v>
      </c>
      <c r="RH13" s="40">
        <f t="shared" si="162"/>
        <v>43.300000000000004</v>
      </c>
      <c r="RI13" s="40">
        <f t="shared" si="163"/>
        <v>106.45</v>
      </c>
    </row>
    <row r="14" spans="1:477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155</v>
      </c>
      <c r="D14" s="4" t="s">
        <v>114</v>
      </c>
      <c r="E14" s="4">
        <v>2005</v>
      </c>
      <c r="F14" s="9">
        <f t="shared" si="0"/>
        <v>149.2000105700042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42.2</v>
      </c>
      <c r="M14" s="8" t="str">
        <f t="shared" si="5"/>
        <v>2023 Elite Canada</v>
      </c>
      <c r="N14" s="8">
        <f>IF(COUNT(AS14,BV14,CY14)&gt;1,LARGE((AS14,BV14,CY14),2),0)</f>
        <v>42</v>
      </c>
      <c r="O14" s="8" t="str">
        <f t="shared" si="6"/>
        <v>2023 Nationals</v>
      </c>
      <c r="P14" s="8">
        <f>IF(COUNT(AT14,BW14,CZ14)&gt;0,LARGE((AT14,BW14,CZ14),1),0)</f>
        <v>21.5</v>
      </c>
      <c r="Q14" s="8" t="str">
        <f t="shared" si="7"/>
        <v>2023 Elite Canada</v>
      </c>
      <c r="R14" s="8">
        <f t="shared" si="8"/>
        <v>43.5</v>
      </c>
      <c r="S14" s="8" t="str">
        <f t="shared" si="9"/>
        <v>2023 Nationals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16.5</v>
      </c>
      <c r="X14" s="19">
        <v>4.0999999999999996</v>
      </c>
      <c r="Y14" s="19">
        <v>0</v>
      </c>
      <c r="Z14" s="19">
        <v>0.3</v>
      </c>
      <c r="AA14" s="19">
        <v>17.5</v>
      </c>
      <c r="AB14" s="19">
        <v>3.8</v>
      </c>
      <c r="AC14" s="19">
        <v>0</v>
      </c>
      <c r="AD14" s="19">
        <v>0</v>
      </c>
      <c r="AE14" s="19">
        <v>17.7</v>
      </c>
      <c r="AF14" s="19">
        <v>3.8</v>
      </c>
      <c r="AG14" s="19">
        <v>0</v>
      </c>
      <c r="AH14" s="19">
        <v>0</v>
      </c>
      <c r="AI14" s="19">
        <v>17</v>
      </c>
      <c r="AJ14" s="19">
        <v>4.0999999999999996</v>
      </c>
      <c r="AK14" s="19">
        <v>0</v>
      </c>
      <c r="AL14" s="19">
        <v>0.3</v>
      </c>
      <c r="AM14" s="19">
        <v>17.5</v>
      </c>
      <c r="AN14" s="19">
        <v>3.2</v>
      </c>
      <c r="AO14" s="19">
        <v>0</v>
      </c>
      <c r="AP14" s="19">
        <v>0</v>
      </c>
      <c r="AQ14" s="27"/>
      <c r="AR14" s="40">
        <f t="shared" si="13"/>
        <v>7.8999999999999995</v>
      </c>
      <c r="AS14" s="40">
        <f t="shared" si="14"/>
        <v>42.2</v>
      </c>
      <c r="AT14" s="40">
        <f t="shared" si="15"/>
        <v>21.5</v>
      </c>
      <c r="AU14" s="40">
        <f t="shared" si="16"/>
        <v>11.7</v>
      </c>
      <c r="AV14" s="40">
        <f t="shared" si="17"/>
        <v>63.7</v>
      </c>
      <c r="AW14" s="40">
        <f t="shared" si="18"/>
        <v>7.3</v>
      </c>
      <c r="AX14" s="40">
        <f t="shared" si="19"/>
        <v>42.100000000000009</v>
      </c>
      <c r="AY14" s="40">
        <f t="shared" si="20"/>
        <v>105.80000000000001</v>
      </c>
      <c r="AZ14" s="18">
        <v>16.7</v>
      </c>
      <c r="BA14" s="18">
        <v>4.5</v>
      </c>
      <c r="BB14" s="18">
        <v>0</v>
      </c>
      <c r="BC14" s="18">
        <v>0.6</v>
      </c>
      <c r="BD14" s="18">
        <v>16.5</v>
      </c>
      <c r="BE14" s="18">
        <v>4</v>
      </c>
      <c r="BF14" s="18">
        <v>0.3</v>
      </c>
      <c r="BG14" s="18">
        <v>0</v>
      </c>
      <c r="BH14" s="18">
        <v>16.899999999999999</v>
      </c>
      <c r="BI14" s="18">
        <v>4</v>
      </c>
      <c r="BJ14" s="18">
        <v>0</v>
      </c>
      <c r="BK14" s="18">
        <v>0</v>
      </c>
      <c r="BL14" s="18">
        <v>16.899999999999999</v>
      </c>
      <c r="BM14" s="18">
        <v>4.5</v>
      </c>
      <c r="BN14" s="18">
        <v>0</v>
      </c>
      <c r="BO14" s="18">
        <v>0.3</v>
      </c>
      <c r="BP14" s="18">
        <v>17.8</v>
      </c>
      <c r="BQ14" s="18">
        <v>4</v>
      </c>
      <c r="BR14" s="18">
        <v>0</v>
      </c>
      <c r="BS14" s="18">
        <v>0</v>
      </c>
      <c r="BT14" s="28"/>
      <c r="BU14" s="11">
        <f t="shared" si="21"/>
        <v>8.5</v>
      </c>
      <c r="BV14" s="11">
        <f t="shared" si="22"/>
        <v>42</v>
      </c>
      <c r="BW14" s="11">
        <f t="shared" si="23"/>
        <v>20.9</v>
      </c>
      <c r="BX14" s="11">
        <f t="shared" si="24"/>
        <v>12.5</v>
      </c>
      <c r="BY14" s="11">
        <f t="shared" si="25"/>
        <v>62.9</v>
      </c>
      <c r="BZ14" s="11">
        <f t="shared" si="26"/>
        <v>8.5</v>
      </c>
      <c r="CA14" s="11">
        <f t="shared" si="27"/>
        <v>43.5</v>
      </c>
      <c r="CB14" s="11">
        <f t="shared" si="28"/>
        <v>106.4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 t="shared" si="29"/>
        <v/>
      </c>
      <c r="CY14" s="40" t="str">
        <f t="shared" si="30"/>
        <v/>
      </c>
      <c r="CZ14" s="40" t="str">
        <f t="shared" si="31"/>
        <v/>
      </c>
      <c r="DA14" s="40" t="str">
        <f t="shared" si="32"/>
        <v/>
      </c>
      <c r="DB14" s="40" t="str">
        <f t="shared" si="33"/>
        <v/>
      </c>
      <c r="DC14" s="40" t="str">
        <f t="shared" si="34"/>
        <v/>
      </c>
      <c r="DD14" s="40" t="str">
        <f t="shared" si="35"/>
        <v/>
      </c>
      <c r="DE14" s="40" t="str">
        <f t="shared" si="36"/>
        <v/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8.35</v>
      </c>
      <c r="QH14" s="22">
        <f t="shared" si="137"/>
        <v>2.25</v>
      </c>
      <c r="QI14" s="22">
        <f t="shared" si="138"/>
        <v>0</v>
      </c>
      <c r="QJ14" s="22">
        <f t="shared" si="139"/>
        <v>0.3</v>
      </c>
      <c r="QK14" s="22">
        <f t="shared" si="140"/>
        <v>8.25</v>
      </c>
      <c r="QL14" s="22">
        <f t="shared" si="141"/>
        <v>2</v>
      </c>
      <c r="QM14" s="22">
        <f t="shared" si="142"/>
        <v>0.15</v>
      </c>
      <c r="QN14" s="22">
        <f t="shared" si="143"/>
        <v>0</v>
      </c>
      <c r="QO14" s="22">
        <f t="shared" si="144"/>
        <v>8.4499999999999993</v>
      </c>
      <c r="QP14" s="22">
        <f t="shared" si="145"/>
        <v>2</v>
      </c>
      <c r="QQ14" s="22">
        <f t="shared" si="146"/>
        <v>0</v>
      </c>
      <c r="QR14" s="22">
        <f t="shared" si="147"/>
        <v>0</v>
      </c>
      <c r="QS14" s="22">
        <f t="shared" si="148"/>
        <v>8.4499999999999993</v>
      </c>
      <c r="QT14" s="22">
        <f t="shared" si="149"/>
        <v>2.25</v>
      </c>
      <c r="QU14" s="22">
        <f t="shared" si="150"/>
        <v>0</v>
      </c>
      <c r="QV14" s="22">
        <f t="shared" si="151"/>
        <v>0.15</v>
      </c>
      <c r="QW14" s="22">
        <f t="shared" si="152"/>
        <v>8.9</v>
      </c>
      <c r="QX14" s="22">
        <f t="shared" si="153"/>
        <v>2</v>
      </c>
      <c r="QY14" s="22">
        <f t="shared" si="154"/>
        <v>0</v>
      </c>
      <c r="QZ14" s="22">
        <f t="shared" si="155"/>
        <v>0</v>
      </c>
      <c r="RA14" s="27" t="s">
        <v>46</v>
      </c>
      <c r="RB14" s="40">
        <f t="shared" si="156"/>
        <v>4.25</v>
      </c>
      <c r="RC14" s="40">
        <f t="shared" si="157"/>
        <v>21</v>
      </c>
      <c r="RD14" s="40">
        <f t="shared" si="158"/>
        <v>10.45</v>
      </c>
      <c r="RE14" s="40">
        <f t="shared" si="159"/>
        <v>6.25</v>
      </c>
      <c r="RF14" s="40">
        <f t="shared" si="160"/>
        <v>31.45</v>
      </c>
      <c r="RG14" s="40">
        <f t="shared" si="161"/>
        <v>4.25</v>
      </c>
      <c r="RH14" s="40">
        <f t="shared" si="162"/>
        <v>21.75</v>
      </c>
      <c r="RI14" s="40">
        <f t="shared" si="163"/>
        <v>53.2</v>
      </c>
    </row>
    <row r="15" spans="1:477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115</v>
      </c>
      <c r="D15" s="4" t="s">
        <v>114</v>
      </c>
      <c r="E15" s="4">
        <v>2002</v>
      </c>
      <c r="F15" s="9">
        <f t="shared" si="0"/>
        <v>144.90001012000397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39.9</v>
      </c>
      <c r="M15" s="8" t="str">
        <f t="shared" si="5"/>
        <v>2023 Nationals</v>
      </c>
      <c r="N15" s="8">
        <f>IF(COUNT(AS15,BV15,CY15)&gt;1,LARGE((AS15,BV15,CY15),2),0)</f>
        <v>39.699999999999996</v>
      </c>
      <c r="O15" s="8" t="str">
        <f t="shared" si="6"/>
        <v>2023 3rd Domestic Trial</v>
      </c>
      <c r="P15" s="8">
        <f>IF(COUNT(AT15,BW15,CZ15)&gt;0,LARGE((AT15,BW15,CZ15),1),0)</f>
        <v>21.6</v>
      </c>
      <c r="Q15" s="8" t="str">
        <f t="shared" si="7"/>
        <v>2023 Nationals</v>
      </c>
      <c r="R15" s="8">
        <f t="shared" si="8"/>
        <v>43.699999999999996</v>
      </c>
      <c r="S15" s="8" t="str">
        <f t="shared" si="9"/>
        <v>2023 Nationals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13"/>
        <v/>
      </c>
      <c r="AS15" s="40" t="str">
        <f t="shared" si="14"/>
        <v/>
      </c>
      <c r="AT15" s="40" t="str">
        <f t="shared" si="15"/>
        <v/>
      </c>
      <c r="AU15" s="40" t="str">
        <f t="shared" si="16"/>
        <v/>
      </c>
      <c r="AV15" s="40" t="str">
        <f t="shared" si="17"/>
        <v/>
      </c>
      <c r="AW15" s="40" t="str">
        <f t="shared" si="18"/>
        <v/>
      </c>
      <c r="AX15" s="40" t="str">
        <f t="shared" si="19"/>
        <v/>
      </c>
      <c r="AY15" s="40" t="str">
        <f t="shared" si="20"/>
        <v/>
      </c>
      <c r="AZ15" s="18">
        <v>16.5</v>
      </c>
      <c r="BA15" s="18">
        <v>5.0999999999999996</v>
      </c>
      <c r="BB15" s="18">
        <v>0</v>
      </c>
      <c r="BC15" s="18">
        <v>0.3</v>
      </c>
      <c r="BD15" s="18">
        <v>15.4</v>
      </c>
      <c r="BE15" s="18">
        <v>2.2999999999999998</v>
      </c>
      <c r="BF15" s="18">
        <v>0</v>
      </c>
      <c r="BG15" s="18">
        <v>0.3</v>
      </c>
      <c r="BH15" s="18">
        <v>16.399999999999999</v>
      </c>
      <c r="BI15" s="18">
        <v>5.0999999999999996</v>
      </c>
      <c r="BJ15" s="18">
        <v>0.2</v>
      </c>
      <c r="BK15" s="18">
        <v>0.3</v>
      </c>
      <c r="BL15" s="18">
        <v>16.8</v>
      </c>
      <c r="BM15" s="18">
        <v>5</v>
      </c>
      <c r="BN15" s="18">
        <v>0</v>
      </c>
      <c r="BO15" s="18">
        <v>0.6</v>
      </c>
      <c r="BP15" s="18">
        <v>16.100000000000001</v>
      </c>
      <c r="BQ15" s="18">
        <v>5.0999999999999996</v>
      </c>
      <c r="BR15" s="18">
        <v>0.2</v>
      </c>
      <c r="BS15" s="18">
        <v>0.3</v>
      </c>
      <c r="BT15" s="28"/>
      <c r="BU15" s="11">
        <f t="shared" si="21"/>
        <v>7.3999999999999995</v>
      </c>
      <c r="BV15" s="11">
        <f t="shared" si="22"/>
        <v>39.9</v>
      </c>
      <c r="BW15" s="11">
        <f t="shared" si="23"/>
        <v>21.6</v>
      </c>
      <c r="BX15" s="11">
        <f t="shared" si="24"/>
        <v>12.5</v>
      </c>
      <c r="BY15" s="11">
        <f t="shared" si="25"/>
        <v>61.5</v>
      </c>
      <c r="BZ15" s="11">
        <f t="shared" si="26"/>
        <v>10.1</v>
      </c>
      <c r="CA15" s="11">
        <f t="shared" si="27"/>
        <v>43.699999999999996</v>
      </c>
      <c r="CB15" s="11">
        <f t="shared" si="28"/>
        <v>105.19999999999999</v>
      </c>
      <c r="CC15" s="19">
        <v>15.5</v>
      </c>
      <c r="CD15" s="19">
        <v>4</v>
      </c>
      <c r="CE15" s="19">
        <v>0.4</v>
      </c>
      <c r="CF15" s="19">
        <v>0.3</v>
      </c>
      <c r="CG15" s="19">
        <v>16.3</v>
      </c>
      <c r="CH15" s="19">
        <v>3.9</v>
      </c>
      <c r="CI15" s="19">
        <v>0.2</v>
      </c>
      <c r="CJ15" s="19">
        <v>0.3</v>
      </c>
      <c r="CK15" s="19">
        <v>17.2</v>
      </c>
      <c r="CL15" s="19">
        <v>3.6</v>
      </c>
      <c r="CM15" s="19">
        <v>0</v>
      </c>
      <c r="CN15" s="19">
        <v>0</v>
      </c>
      <c r="CO15" s="19">
        <v>17.7</v>
      </c>
      <c r="CP15" s="19">
        <v>3.6</v>
      </c>
      <c r="CQ15" s="19">
        <v>0</v>
      </c>
      <c r="CR15" s="19">
        <v>0</v>
      </c>
      <c r="CS15" s="19">
        <v>17.3</v>
      </c>
      <c r="CT15" s="19">
        <v>4.0999999999999996</v>
      </c>
      <c r="CU15" s="19">
        <v>0</v>
      </c>
      <c r="CV15" s="19">
        <v>0.3</v>
      </c>
      <c r="CW15" s="27"/>
      <c r="CX15" s="40">
        <f t="shared" si="29"/>
        <v>7.9</v>
      </c>
      <c r="CY15" s="40">
        <f t="shared" si="30"/>
        <v>39.699999999999996</v>
      </c>
      <c r="CZ15" s="40">
        <f t="shared" si="31"/>
        <v>20.8</v>
      </c>
      <c r="DA15" s="40">
        <f t="shared" si="32"/>
        <v>11.5</v>
      </c>
      <c r="DB15" s="40">
        <f t="shared" si="33"/>
        <v>60.5</v>
      </c>
      <c r="DC15" s="40">
        <f t="shared" si="34"/>
        <v>7.6999999999999993</v>
      </c>
      <c r="DD15" s="40">
        <f t="shared" si="35"/>
        <v>43</v>
      </c>
      <c r="DE15" s="40">
        <f t="shared" si="36"/>
        <v>103.5</v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16</v>
      </c>
      <c r="QH15" s="22">
        <f t="shared" si="137"/>
        <v>4.55</v>
      </c>
      <c r="QI15" s="22">
        <f t="shared" si="138"/>
        <v>0.2</v>
      </c>
      <c r="QJ15" s="22">
        <f t="shared" si="139"/>
        <v>0.3</v>
      </c>
      <c r="QK15" s="22">
        <f t="shared" si="140"/>
        <v>15.850000000000001</v>
      </c>
      <c r="QL15" s="22">
        <f t="shared" si="141"/>
        <v>3.0999999999999996</v>
      </c>
      <c r="QM15" s="22">
        <f t="shared" si="142"/>
        <v>0.1</v>
      </c>
      <c r="QN15" s="22">
        <f t="shared" si="143"/>
        <v>0.3</v>
      </c>
      <c r="QO15" s="22">
        <f t="shared" si="144"/>
        <v>16.799999999999997</v>
      </c>
      <c r="QP15" s="22">
        <f t="shared" si="145"/>
        <v>4.3499999999999996</v>
      </c>
      <c r="QQ15" s="22">
        <f t="shared" si="146"/>
        <v>0.1</v>
      </c>
      <c r="QR15" s="22">
        <f t="shared" si="147"/>
        <v>0.15</v>
      </c>
      <c r="QS15" s="22">
        <f t="shared" si="148"/>
        <v>17.25</v>
      </c>
      <c r="QT15" s="22">
        <f t="shared" si="149"/>
        <v>4.3</v>
      </c>
      <c r="QU15" s="22">
        <f t="shared" si="150"/>
        <v>0</v>
      </c>
      <c r="QV15" s="22">
        <f t="shared" si="151"/>
        <v>0.3</v>
      </c>
      <c r="QW15" s="22">
        <f t="shared" si="152"/>
        <v>16.700000000000003</v>
      </c>
      <c r="QX15" s="22">
        <f t="shared" si="153"/>
        <v>4.5999999999999996</v>
      </c>
      <c r="QY15" s="22">
        <f t="shared" si="154"/>
        <v>0.1</v>
      </c>
      <c r="QZ15" s="22">
        <f t="shared" si="155"/>
        <v>0.3</v>
      </c>
      <c r="RA15" s="27" t="s">
        <v>46</v>
      </c>
      <c r="RB15" s="40">
        <f t="shared" si="156"/>
        <v>7.6499999999999995</v>
      </c>
      <c r="RC15" s="40">
        <f t="shared" si="157"/>
        <v>39.799999999999997</v>
      </c>
      <c r="RD15" s="40">
        <f t="shared" si="158"/>
        <v>21.199999999999996</v>
      </c>
      <c r="RE15" s="40">
        <f t="shared" si="159"/>
        <v>12</v>
      </c>
      <c r="RF15" s="40">
        <f t="shared" si="160"/>
        <v>60.999999999999993</v>
      </c>
      <c r="RG15" s="40">
        <f t="shared" si="161"/>
        <v>8.8999999999999986</v>
      </c>
      <c r="RH15" s="40">
        <f t="shared" si="162"/>
        <v>43.35</v>
      </c>
      <c r="RI15" s="40">
        <f t="shared" si="163"/>
        <v>104.35</v>
      </c>
    </row>
    <row r="16" spans="1:477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150</v>
      </c>
      <c r="D16" s="4" t="s">
        <v>4</v>
      </c>
      <c r="E16" s="4">
        <v>2005</v>
      </c>
      <c r="F16" s="9">
        <f t="shared" si="0"/>
        <v>143.10001037000421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42.000000000000007</v>
      </c>
      <c r="M16" s="8" t="str">
        <f t="shared" si="5"/>
        <v>2023 3rd Domestic Trial</v>
      </c>
      <c r="N16" s="8">
        <f>IF(COUNT(AS16,BV16,CY16)&gt;1,LARGE((AS16,BV16,CY16),2),0)</f>
        <v>41.6</v>
      </c>
      <c r="O16" s="8" t="str">
        <f t="shared" si="6"/>
        <v>2023 Nationals</v>
      </c>
      <c r="P16" s="8">
        <f>IF(COUNT(AT16,BW16,CZ16)&gt;0,LARGE((AT16,BW16,CZ16),1),0)</f>
        <v>20.099999999999998</v>
      </c>
      <c r="Q16" s="8" t="str">
        <f t="shared" si="7"/>
        <v>2023 Nationals</v>
      </c>
      <c r="R16" s="8">
        <f t="shared" si="8"/>
        <v>39.4</v>
      </c>
      <c r="S16" s="8" t="str">
        <f t="shared" si="9"/>
        <v>2023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15.1</v>
      </c>
      <c r="X16" s="19">
        <v>2.5</v>
      </c>
      <c r="Y16" s="19">
        <v>2.7</v>
      </c>
      <c r="Z16" s="19">
        <v>0.3</v>
      </c>
      <c r="AA16" s="19">
        <v>14.1</v>
      </c>
      <c r="AB16" s="19">
        <v>2.9</v>
      </c>
      <c r="AC16" s="19">
        <v>0.1</v>
      </c>
      <c r="AD16" s="19">
        <v>0.3</v>
      </c>
      <c r="AE16" s="19">
        <v>14.9</v>
      </c>
      <c r="AF16" s="19">
        <v>2.9</v>
      </c>
      <c r="AG16" s="19">
        <v>0.3</v>
      </c>
      <c r="AH16" s="19">
        <v>0.3</v>
      </c>
      <c r="AI16" s="19">
        <v>15.6</v>
      </c>
      <c r="AJ16" s="19">
        <v>4.3</v>
      </c>
      <c r="AK16" s="19">
        <v>0.2</v>
      </c>
      <c r="AL16" s="19">
        <v>0.3</v>
      </c>
      <c r="AM16" s="19">
        <v>15.5</v>
      </c>
      <c r="AN16" s="19">
        <v>3.8</v>
      </c>
      <c r="AO16" s="19">
        <v>0.2</v>
      </c>
      <c r="AP16" s="19">
        <v>0.3</v>
      </c>
      <c r="AQ16" s="27"/>
      <c r="AR16" s="40">
        <f t="shared" si="13"/>
        <v>5.4</v>
      </c>
      <c r="AS16" s="40">
        <f t="shared" si="14"/>
        <v>32.399999999999991</v>
      </c>
      <c r="AT16" s="40">
        <f t="shared" si="15"/>
        <v>17.8</v>
      </c>
      <c r="AU16" s="40">
        <f t="shared" si="16"/>
        <v>8.3000000000000007</v>
      </c>
      <c r="AV16" s="40">
        <f t="shared" si="17"/>
        <v>50.199999999999989</v>
      </c>
      <c r="AW16" s="40">
        <f t="shared" si="18"/>
        <v>8.1</v>
      </c>
      <c r="AX16" s="40">
        <f t="shared" si="19"/>
        <v>39.4</v>
      </c>
      <c r="AY16" s="40">
        <f t="shared" si="20"/>
        <v>89.6</v>
      </c>
      <c r="AZ16" s="18">
        <v>15</v>
      </c>
      <c r="BA16" s="18">
        <v>5.5</v>
      </c>
      <c r="BB16" s="18">
        <v>0</v>
      </c>
      <c r="BC16" s="18">
        <v>0.3</v>
      </c>
      <c r="BD16" s="18">
        <v>15.4</v>
      </c>
      <c r="BE16" s="18">
        <v>4.8</v>
      </c>
      <c r="BF16" s="18">
        <v>0</v>
      </c>
      <c r="BG16" s="18">
        <v>0.6</v>
      </c>
      <c r="BH16" s="18">
        <v>14.7</v>
      </c>
      <c r="BI16" s="18">
        <v>5.0999999999999996</v>
      </c>
      <c r="BJ16" s="18">
        <v>0</v>
      </c>
      <c r="BK16" s="18">
        <v>0.3</v>
      </c>
      <c r="BL16" s="18">
        <v>14.8</v>
      </c>
      <c r="BM16" s="18">
        <v>2.9</v>
      </c>
      <c r="BN16" s="18">
        <v>0</v>
      </c>
      <c r="BO16" s="18">
        <v>0.3</v>
      </c>
      <c r="BP16" s="18">
        <v>15.56</v>
      </c>
      <c r="BQ16" s="18">
        <v>4.8</v>
      </c>
      <c r="BR16" s="18">
        <v>0</v>
      </c>
      <c r="BS16" s="18">
        <v>0.6</v>
      </c>
      <c r="BT16" s="28"/>
      <c r="BU16" s="11">
        <f t="shared" si="21"/>
        <v>10.3</v>
      </c>
      <c r="BV16" s="11">
        <f t="shared" si="22"/>
        <v>41.6</v>
      </c>
      <c r="BW16" s="11">
        <f t="shared" si="23"/>
        <v>20.099999999999998</v>
      </c>
      <c r="BX16" s="11">
        <f t="shared" si="24"/>
        <v>15.4</v>
      </c>
      <c r="BY16" s="11">
        <f t="shared" si="25"/>
        <v>61.7</v>
      </c>
      <c r="BZ16" s="11">
        <f t="shared" si="26"/>
        <v>7.6999999999999993</v>
      </c>
      <c r="CA16" s="11">
        <f t="shared" si="27"/>
        <v>38.96</v>
      </c>
      <c r="CB16" s="11">
        <f t="shared" si="28"/>
        <v>100.66</v>
      </c>
      <c r="CC16" s="19">
        <v>15.1</v>
      </c>
      <c r="CD16" s="19">
        <v>5.0999999999999996</v>
      </c>
      <c r="CE16" s="19">
        <v>0</v>
      </c>
      <c r="CF16" s="19">
        <v>0.3</v>
      </c>
      <c r="CG16" s="19">
        <v>15.7</v>
      </c>
      <c r="CH16" s="19">
        <v>5.2</v>
      </c>
      <c r="CI16" s="19">
        <v>0</v>
      </c>
      <c r="CJ16" s="19">
        <v>0.6</v>
      </c>
      <c r="CK16" s="19">
        <v>14.4</v>
      </c>
      <c r="CL16" s="19">
        <v>5.3</v>
      </c>
      <c r="CM16" s="19">
        <v>0</v>
      </c>
      <c r="CN16" s="19">
        <v>0.3</v>
      </c>
      <c r="CO16" s="19">
        <v>12.1</v>
      </c>
      <c r="CP16" s="19">
        <v>3.5</v>
      </c>
      <c r="CQ16" s="19">
        <v>0</v>
      </c>
      <c r="CR16" s="19">
        <v>0.3</v>
      </c>
      <c r="CS16" s="19">
        <v>14.7</v>
      </c>
      <c r="CT16" s="19">
        <v>2.6</v>
      </c>
      <c r="CU16" s="19">
        <v>0</v>
      </c>
      <c r="CV16" s="19">
        <v>0.6</v>
      </c>
      <c r="CW16" s="27"/>
      <c r="CX16" s="40">
        <f t="shared" si="29"/>
        <v>10.3</v>
      </c>
      <c r="CY16" s="40">
        <f t="shared" si="30"/>
        <v>42.000000000000007</v>
      </c>
      <c r="CZ16" s="40">
        <f t="shared" si="31"/>
        <v>20</v>
      </c>
      <c r="DA16" s="40">
        <f t="shared" si="32"/>
        <v>15.600000000000001</v>
      </c>
      <c r="DB16" s="40">
        <f t="shared" si="33"/>
        <v>62.000000000000007</v>
      </c>
      <c r="DC16" s="40">
        <f t="shared" si="34"/>
        <v>6.1</v>
      </c>
      <c r="DD16" s="40">
        <f t="shared" si="35"/>
        <v>33.800000000000004</v>
      </c>
      <c r="DE16" s="40">
        <f t="shared" si="36"/>
        <v>95.800000000000011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15.05</v>
      </c>
      <c r="QH16" s="22">
        <f t="shared" si="137"/>
        <v>5.3</v>
      </c>
      <c r="QI16" s="22">
        <f t="shared" si="138"/>
        <v>0</v>
      </c>
      <c r="QJ16" s="22">
        <f t="shared" si="139"/>
        <v>0.3</v>
      </c>
      <c r="QK16" s="22">
        <f t="shared" si="140"/>
        <v>15.55</v>
      </c>
      <c r="QL16" s="22">
        <f t="shared" si="141"/>
        <v>5</v>
      </c>
      <c r="QM16" s="22">
        <f t="shared" si="142"/>
        <v>0</v>
      </c>
      <c r="QN16" s="22">
        <f t="shared" si="143"/>
        <v>0.6</v>
      </c>
      <c r="QO16" s="22">
        <f t="shared" si="144"/>
        <v>14.55</v>
      </c>
      <c r="QP16" s="22">
        <f t="shared" si="145"/>
        <v>5.1999999999999993</v>
      </c>
      <c r="QQ16" s="22">
        <f t="shared" si="146"/>
        <v>0</v>
      </c>
      <c r="QR16" s="22">
        <f t="shared" si="147"/>
        <v>0.3</v>
      </c>
      <c r="QS16" s="22">
        <f t="shared" si="148"/>
        <v>13.45</v>
      </c>
      <c r="QT16" s="22">
        <f t="shared" si="149"/>
        <v>3.2</v>
      </c>
      <c r="QU16" s="22">
        <f t="shared" si="150"/>
        <v>0</v>
      </c>
      <c r="QV16" s="22">
        <f t="shared" si="151"/>
        <v>0.3</v>
      </c>
      <c r="QW16" s="22">
        <f t="shared" si="152"/>
        <v>15.129999999999999</v>
      </c>
      <c r="QX16" s="22">
        <f t="shared" si="153"/>
        <v>3.7</v>
      </c>
      <c r="QY16" s="22">
        <f t="shared" si="154"/>
        <v>0</v>
      </c>
      <c r="QZ16" s="22">
        <f t="shared" si="155"/>
        <v>0.6</v>
      </c>
      <c r="RA16" s="27" t="s">
        <v>46</v>
      </c>
      <c r="RB16" s="40">
        <f t="shared" si="156"/>
        <v>10.3</v>
      </c>
      <c r="RC16" s="40">
        <f t="shared" si="157"/>
        <v>41.800000000000004</v>
      </c>
      <c r="RD16" s="40">
        <f t="shared" si="158"/>
        <v>20.05</v>
      </c>
      <c r="RE16" s="40">
        <f t="shared" si="159"/>
        <v>15.5</v>
      </c>
      <c r="RF16" s="40">
        <f t="shared" si="160"/>
        <v>61.850000000000009</v>
      </c>
      <c r="RG16" s="40">
        <f t="shared" si="161"/>
        <v>6.9</v>
      </c>
      <c r="RH16" s="40">
        <f t="shared" si="162"/>
        <v>36.380000000000003</v>
      </c>
      <c r="RI16" s="40">
        <f t="shared" si="163"/>
        <v>98.230000000000018</v>
      </c>
    </row>
    <row r="17" spans="1:477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201</v>
      </c>
      <c r="D17" s="4" t="s">
        <v>5</v>
      </c>
      <c r="E17" s="4">
        <v>2005</v>
      </c>
      <c r="F17" s="9">
        <f t="shared" si="0"/>
        <v>120.70000829000323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32.399999999999991</v>
      </c>
      <c r="M17" s="8" t="str">
        <f t="shared" si="5"/>
        <v>2023 Nationals</v>
      </c>
      <c r="N17" s="8">
        <f>IF(COUNT(AS17,BV17,CY17)&gt;1,LARGE((AS17,BV17,CY17),2),0)</f>
        <v>30.099999999999998</v>
      </c>
      <c r="O17" s="8" t="str">
        <f t="shared" si="6"/>
        <v>2023 3rd Domestic Trial</v>
      </c>
      <c r="P17" s="8">
        <f>IF(COUNT(AT17,BW17,CZ17)&gt;0,LARGE((AT17,BW17,CZ17),1),0)</f>
        <v>20.400000000000002</v>
      </c>
      <c r="Q17" s="8" t="str">
        <f t="shared" si="7"/>
        <v>2023 3rd Domestic Trial</v>
      </c>
      <c r="R17" s="8">
        <f t="shared" si="8"/>
        <v>37.799999999999997</v>
      </c>
      <c r="S17" s="8" t="str">
        <f t="shared" si="9"/>
        <v>2023 3rd Domestic Trial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 t="shared" si="13"/>
        <v/>
      </c>
      <c r="AS17" s="40" t="str">
        <f t="shared" si="14"/>
        <v/>
      </c>
      <c r="AT17" s="40" t="str">
        <f t="shared" si="15"/>
        <v/>
      </c>
      <c r="AU17" s="40" t="str">
        <f t="shared" si="16"/>
        <v/>
      </c>
      <c r="AV17" s="40" t="str">
        <f t="shared" si="17"/>
        <v/>
      </c>
      <c r="AW17" s="40" t="str">
        <f t="shared" si="18"/>
        <v/>
      </c>
      <c r="AX17" s="40" t="str">
        <f t="shared" si="19"/>
        <v/>
      </c>
      <c r="AY17" s="40" t="str">
        <f t="shared" si="20"/>
        <v/>
      </c>
      <c r="AZ17" s="18">
        <v>13.3</v>
      </c>
      <c r="BA17" s="18">
        <v>4.5999999999999996</v>
      </c>
      <c r="BB17" s="18">
        <v>0.2</v>
      </c>
      <c r="BC17" s="18">
        <v>0.6</v>
      </c>
      <c r="BD17" s="18">
        <v>14.3</v>
      </c>
      <c r="BE17" s="18">
        <v>2.5</v>
      </c>
      <c r="BF17" s="18">
        <v>2.7</v>
      </c>
      <c r="BG17" s="18">
        <v>0</v>
      </c>
      <c r="BH17" s="18">
        <v>13.1</v>
      </c>
      <c r="BI17" s="18">
        <v>5.0999999999999996</v>
      </c>
      <c r="BJ17" s="18">
        <v>0.2</v>
      </c>
      <c r="BK17" s="18">
        <v>0.3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 t="shared" si="21"/>
        <v>7.1</v>
      </c>
      <c r="BV17" s="11">
        <f t="shared" si="22"/>
        <v>32.399999999999991</v>
      </c>
      <c r="BW17" s="11">
        <f t="shared" si="23"/>
        <v>18.3</v>
      </c>
      <c r="BX17" s="11">
        <f t="shared" si="24"/>
        <v>12.2</v>
      </c>
      <c r="BY17" s="11">
        <f t="shared" si="25"/>
        <v>50.699999999999989</v>
      </c>
      <c r="BZ17" s="11" t="str">
        <f t="shared" si="26"/>
        <v/>
      </c>
      <c r="CA17" s="11" t="str">
        <f t="shared" si="27"/>
        <v/>
      </c>
      <c r="CB17" s="11">
        <f t="shared" si="28"/>
        <v>50.699999999999989</v>
      </c>
      <c r="CC17" s="19">
        <v>9.6999999999999993</v>
      </c>
      <c r="CD17" s="19">
        <v>2.8</v>
      </c>
      <c r="CE17" s="19">
        <v>0</v>
      </c>
      <c r="CF17" s="19">
        <v>0.3</v>
      </c>
      <c r="CG17" s="19">
        <v>14.7</v>
      </c>
      <c r="CH17" s="19">
        <v>2.9</v>
      </c>
      <c r="CI17" s="19">
        <v>0.3</v>
      </c>
      <c r="CJ17" s="19">
        <v>0</v>
      </c>
      <c r="CK17" s="19">
        <v>14.8</v>
      </c>
      <c r="CL17" s="19">
        <v>5.3</v>
      </c>
      <c r="CM17" s="19">
        <v>0</v>
      </c>
      <c r="CN17" s="19">
        <v>0.3</v>
      </c>
      <c r="CO17" s="19">
        <v>14.6</v>
      </c>
      <c r="CP17" s="19">
        <v>3.3</v>
      </c>
      <c r="CQ17" s="19">
        <v>0</v>
      </c>
      <c r="CR17" s="19">
        <v>0.3</v>
      </c>
      <c r="CS17" s="19">
        <v>15.5</v>
      </c>
      <c r="CT17" s="19">
        <v>3.8</v>
      </c>
      <c r="CU17" s="19">
        <v>0</v>
      </c>
      <c r="CV17" s="19">
        <v>0.3</v>
      </c>
      <c r="CW17" s="27"/>
      <c r="CX17" s="40">
        <f t="shared" si="29"/>
        <v>5.6999999999999993</v>
      </c>
      <c r="CY17" s="40">
        <f t="shared" si="30"/>
        <v>30.099999999999998</v>
      </c>
      <c r="CZ17" s="40">
        <f t="shared" si="31"/>
        <v>20.400000000000002</v>
      </c>
      <c r="DA17" s="40">
        <f t="shared" si="32"/>
        <v>11</v>
      </c>
      <c r="DB17" s="40">
        <f t="shared" si="33"/>
        <v>50.5</v>
      </c>
      <c r="DC17" s="40">
        <f t="shared" si="34"/>
        <v>7.1</v>
      </c>
      <c r="DD17" s="40">
        <f t="shared" si="35"/>
        <v>37.799999999999997</v>
      </c>
      <c r="DE17" s="40">
        <f t="shared" si="36"/>
        <v>88.3</v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11.5</v>
      </c>
      <c r="QH17" s="22">
        <f t="shared" si="137"/>
        <v>3.6999999999999997</v>
      </c>
      <c r="QI17" s="22">
        <f t="shared" si="138"/>
        <v>0.1</v>
      </c>
      <c r="QJ17" s="22">
        <f t="shared" si="139"/>
        <v>0.44999999999999996</v>
      </c>
      <c r="QK17" s="22">
        <f t="shared" si="140"/>
        <v>14.5</v>
      </c>
      <c r="QL17" s="22">
        <f t="shared" si="141"/>
        <v>2.7</v>
      </c>
      <c r="QM17" s="22">
        <f t="shared" si="142"/>
        <v>1.5</v>
      </c>
      <c r="QN17" s="22">
        <f t="shared" si="143"/>
        <v>0</v>
      </c>
      <c r="QO17" s="22">
        <f t="shared" si="144"/>
        <v>13.95</v>
      </c>
      <c r="QP17" s="22">
        <f t="shared" si="145"/>
        <v>5.1999999999999993</v>
      </c>
      <c r="QQ17" s="22">
        <f t="shared" si="146"/>
        <v>0.1</v>
      </c>
      <c r="QR17" s="22">
        <f t="shared" si="147"/>
        <v>0.3</v>
      </c>
      <c r="QS17" s="22">
        <f t="shared" si="148"/>
        <v>7.3</v>
      </c>
      <c r="QT17" s="22">
        <f t="shared" si="149"/>
        <v>1.65</v>
      </c>
      <c r="QU17" s="22">
        <f t="shared" si="150"/>
        <v>0</v>
      </c>
      <c r="QV17" s="22">
        <f t="shared" si="151"/>
        <v>0.15</v>
      </c>
      <c r="QW17" s="22">
        <f t="shared" si="152"/>
        <v>7.75</v>
      </c>
      <c r="QX17" s="22">
        <f t="shared" si="153"/>
        <v>1.9</v>
      </c>
      <c r="QY17" s="22">
        <f t="shared" si="154"/>
        <v>0</v>
      </c>
      <c r="QZ17" s="22">
        <f t="shared" si="155"/>
        <v>0.15</v>
      </c>
      <c r="RA17" s="27" t="s">
        <v>46</v>
      </c>
      <c r="RB17" s="40">
        <f t="shared" si="156"/>
        <v>6.4</v>
      </c>
      <c r="RC17" s="40">
        <f t="shared" si="157"/>
        <v>31.25</v>
      </c>
      <c r="RD17" s="40">
        <f t="shared" si="158"/>
        <v>19.349999999999998</v>
      </c>
      <c r="RE17" s="40">
        <f t="shared" si="159"/>
        <v>11.6</v>
      </c>
      <c r="RF17" s="40">
        <f t="shared" si="160"/>
        <v>50.599999999999994</v>
      </c>
      <c r="RG17" s="40">
        <f t="shared" si="161"/>
        <v>3.55</v>
      </c>
      <c r="RH17" s="40">
        <f t="shared" si="162"/>
        <v>18.899999999999999</v>
      </c>
      <c r="RI17" s="40">
        <f t="shared" si="163"/>
        <v>69.5</v>
      </c>
    </row>
    <row r="18" spans="1:477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205</v>
      </c>
      <c r="D18" s="4" t="s">
        <v>3</v>
      </c>
      <c r="E18" s="4">
        <v>2006</v>
      </c>
      <c r="F18" s="9">
        <f t="shared" si="0"/>
        <v>107.20000640000426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42.400000000000006</v>
      </c>
      <c r="M18" s="8" t="str">
        <f t="shared" si="5"/>
        <v>2023 Nationals</v>
      </c>
      <c r="N18" s="8">
        <f>IF(COUNT(AS18,BV18,CY18)&gt;1,LARGE((AS18,BV18,CY18),2),0)</f>
        <v>0</v>
      </c>
      <c r="O18" s="8" t="str">
        <f t="shared" si="6"/>
        <v/>
      </c>
      <c r="P18" s="8">
        <f>IF(COUNT(AT18,BW18,CZ18)&gt;0,LARGE((AT18,BW18,CZ18),1),0)</f>
        <v>21.6</v>
      </c>
      <c r="Q18" s="8" t="str">
        <f t="shared" si="7"/>
        <v>2023 Nationals</v>
      </c>
      <c r="R18" s="8">
        <f t="shared" si="8"/>
        <v>43.20000000000001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 t="shared" si="13"/>
        <v/>
      </c>
      <c r="AS18" s="40" t="str">
        <f t="shared" si="14"/>
        <v/>
      </c>
      <c r="AT18" s="40" t="str">
        <f t="shared" si="15"/>
        <v/>
      </c>
      <c r="AU18" s="40" t="str">
        <f t="shared" si="16"/>
        <v/>
      </c>
      <c r="AV18" s="40" t="str">
        <f t="shared" si="17"/>
        <v/>
      </c>
      <c r="AW18" s="40" t="str">
        <f t="shared" si="18"/>
        <v/>
      </c>
      <c r="AX18" s="40" t="str">
        <f t="shared" si="19"/>
        <v/>
      </c>
      <c r="AY18" s="40" t="str">
        <f t="shared" si="20"/>
        <v/>
      </c>
      <c r="AZ18" s="18">
        <v>15.1</v>
      </c>
      <c r="BA18" s="18">
        <v>5.4</v>
      </c>
      <c r="BB18" s="18">
        <v>0</v>
      </c>
      <c r="BC18" s="18">
        <v>0.6</v>
      </c>
      <c r="BD18" s="18">
        <v>16.8</v>
      </c>
      <c r="BE18" s="18">
        <v>4.2</v>
      </c>
      <c r="BF18" s="18">
        <v>0</v>
      </c>
      <c r="BG18" s="18">
        <v>0.3</v>
      </c>
      <c r="BH18" s="18">
        <v>16.100000000000001</v>
      </c>
      <c r="BI18" s="18">
        <v>4.9000000000000004</v>
      </c>
      <c r="BJ18" s="18">
        <v>0</v>
      </c>
      <c r="BK18" s="18">
        <v>0.6</v>
      </c>
      <c r="BL18" s="18">
        <v>15.7</v>
      </c>
      <c r="BM18" s="18">
        <v>4.9000000000000004</v>
      </c>
      <c r="BN18" s="18">
        <v>0</v>
      </c>
      <c r="BO18" s="18">
        <v>0.6</v>
      </c>
      <c r="BP18" s="18">
        <v>16.7</v>
      </c>
      <c r="BQ18" s="18">
        <v>4.7</v>
      </c>
      <c r="BR18" s="18">
        <v>0</v>
      </c>
      <c r="BS18" s="18">
        <v>0.6</v>
      </c>
      <c r="BT18" s="28"/>
      <c r="BU18" s="11">
        <f t="shared" si="21"/>
        <v>9.6000000000000014</v>
      </c>
      <c r="BV18" s="11">
        <f t="shared" si="22"/>
        <v>42.400000000000006</v>
      </c>
      <c r="BW18" s="11">
        <f t="shared" si="23"/>
        <v>21.6</v>
      </c>
      <c r="BX18" s="11">
        <f t="shared" si="24"/>
        <v>14.500000000000002</v>
      </c>
      <c r="BY18" s="11">
        <f t="shared" si="25"/>
        <v>64</v>
      </c>
      <c r="BZ18" s="11">
        <f t="shared" si="26"/>
        <v>9.6000000000000014</v>
      </c>
      <c r="CA18" s="11">
        <f t="shared" si="27"/>
        <v>43.20000000000001</v>
      </c>
      <c r="CB18" s="11">
        <f t="shared" si="28"/>
        <v>107.20000000000002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 t="shared" si="29"/>
        <v/>
      </c>
      <c r="CY18" s="40" t="str">
        <f t="shared" si="30"/>
        <v/>
      </c>
      <c r="CZ18" s="40" t="str">
        <f t="shared" si="31"/>
        <v/>
      </c>
      <c r="DA18" s="40" t="str">
        <f t="shared" si="32"/>
        <v/>
      </c>
      <c r="DB18" s="40" t="str">
        <f t="shared" si="33"/>
        <v/>
      </c>
      <c r="DC18" s="40" t="str">
        <f t="shared" si="34"/>
        <v/>
      </c>
      <c r="DD18" s="40" t="str">
        <f t="shared" si="35"/>
        <v/>
      </c>
      <c r="DE18" s="40" t="str">
        <f t="shared" si="36"/>
        <v/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7.55</v>
      </c>
      <c r="QH18" s="22">
        <f t="shared" si="137"/>
        <v>2.7</v>
      </c>
      <c r="QI18" s="22">
        <f t="shared" si="138"/>
        <v>0</v>
      </c>
      <c r="QJ18" s="22">
        <f t="shared" si="139"/>
        <v>0.3</v>
      </c>
      <c r="QK18" s="22">
        <f t="shared" si="140"/>
        <v>8.4</v>
      </c>
      <c r="QL18" s="22">
        <f t="shared" si="141"/>
        <v>2.1</v>
      </c>
      <c r="QM18" s="22">
        <f t="shared" si="142"/>
        <v>0</v>
      </c>
      <c r="QN18" s="22">
        <f t="shared" si="143"/>
        <v>0.15</v>
      </c>
      <c r="QO18" s="22">
        <f t="shared" si="144"/>
        <v>8.0500000000000007</v>
      </c>
      <c r="QP18" s="22">
        <f t="shared" si="145"/>
        <v>2.4500000000000002</v>
      </c>
      <c r="QQ18" s="22">
        <f t="shared" si="146"/>
        <v>0</v>
      </c>
      <c r="QR18" s="22">
        <f t="shared" si="147"/>
        <v>0.3</v>
      </c>
      <c r="QS18" s="22">
        <f t="shared" si="148"/>
        <v>7.85</v>
      </c>
      <c r="QT18" s="22">
        <f t="shared" si="149"/>
        <v>2.4500000000000002</v>
      </c>
      <c r="QU18" s="22">
        <f t="shared" si="150"/>
        <v>0</v>
      </c>
      <c r="QV18" s="22">
        <f t="shared" si="151"/>
        <v>0.3</v>
      </c>
      <c r="QW18" s="22">
        <f t="shared" si="152"/>
        <v>8.35</v>
      </c>
      <c r="QX18" s="22">
        <f t="shared" si="153"/>
        <v>2.35</v>
      </c>
      <c r="QY18" s="22">
        <f t="shared" si="154"/>
        <v>0</v>
      </c>
      <c r="QZ18" s="22">
        <f t="shared" si="155"/>
        <v>0.3</v>
      </c>
      <c r="RA18" s="27" t="s">
        <v>46</v>
      </c>
      <c r="RB18" s="40">
        <f t="shared" si="156"/>
        <v>4.8000000000000007</v>
      </c>
      <c r="RC18" s="40">
        <f t="shared" si="157"/>
        <v>21.200000000000003</v>
      </c>
      <c r="RD18" s="40">
        <f t="shared" si="158"/>
        <v>10.8</v>
      </c>
      <c r="RE18" s="40">
        <f t="shared" si="159"/>
        <v>7.2500000000000009</v>
      </c>
      <c r="RF18" s="40">
        <f t="shared" si="160"/>
        <v>32</v>
      </c>
      <c r="RG18" s="40">
        <f t="shared" si="161"/>
        <v>4.8000000000000007</v>
      </c>
      <c r="RH18" s="40">
        <f t="shared" si="162"/>
        <v>21.600000000000005</v>
      </c>
      <c r="RI18" s="40">
        <f t="shared" si="163"/>
        <v>53.600000000000009</v>
      </c>
    </row>
    <row r="19" spans="1:477" x14ac:dyDescent="0.2">
      <c r="A19" s="4" t="str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/>
      </c>
      <c r="B19" s="4" t="str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/>
      </c>
      <c r="C19" s="5" t="s">
        <v>227</v>
      </c>
      <c r="D19" s="4" t="s">
        <v>4</v>
      </c>
      <c r="E19" s="4">
        <v>2005</v>
      </c>
      <c r="F19" s="9">
        <f t="shared" si="0"/>
        <v>101.50000615000395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39.5</v>
      </c>
      <c r="M19" s="8" t="str">
        <f t="shared" si="5"/>
        <v>2023 3rd Domestic Trial</v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22</v>
      </c>
      <c r="Q19" s="8" t="str">
        <f t="shared" si="7"/>
        <v>2023 3rd Domestic Trial</v>
      </c>
      <c r="R19" s="8">
        <f t="shared" si="8"/>
        <v>40</v>
      </c>
      <c r="S19" s="8" t="str">
        <f t="shared" si="9"/>
        <v>2023 3rd Domestic Trial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 t="shared" si="13"/>
        <v/>
      </c>
      <c r="AS19" s="40" t="str">
        <f t="shared" si="14"/>
        <v/>
      </c>
      <c r="AT19" s="40" t="str">
        <f t="shared" si="15"/>
        <v/>
      </c>
      <c r="AU19" s="40" t="str">
        <f t="shared" si="16"/>
        <v/>
      </c>
      <c r="AV19" s="40" t="str">
        <f t="shared" si="17"/>
        <v/>
      </c>
      <c r="AW19" s="40" t="str">
        <f t="shared" si="18"/>
        <v/>
      </c>
      <c r="AX19" s="40" t="str">
        <f t="shared" si="19"/>
        <v/>
      </c>
      <c r="AY19" s="40" t="str">
        <f t="shared" si="20"/>
        <v/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>
        <v>15.6</v>
      </c>
      <c r="CD19" s="19">
        <v>3.2</v>
      </c>
      <c r="CE19" s="19">
        <v>0</v>
      </c>
      <c r="CF19" s="19">
        <v>0</v>
      </c>
      <c r="CG19" s="19">
        <v>16.3</v>
      </c>
      <c r="CH19" s="19">
        <v>4.0999999999999996</v>
      </c>
      <c r="CI19" s="19">
        <v>0</v>
      </c>
      <c r="CJ19" s="19">
        <v>0.3</v>
      </c>
      <c r="CK19" s="19">
        <v>17.8</v>
      </c>
      <c r="CL19" s="19">
        <v>3.9</v>
      </c>
      <c r="CM19" s="19">
        <v>0</v>
      </c>
      <c r="CN19" s="19">
        <v>0.3</v>
      </c>
      <c r="CO19" s="19">
        <v>15.9</v>
      </c>
      <c r="CP19" s="19">
        <v>4.8</v>
      </c>
      <c r="CQ19" s="19">
        <v>0</v>
      </c>
      <c r="CR19" s="19">
        <v>0.6</v>
      </c>
      <c r="CS19" s="19">
        <v>14.8</v>
      </c>
      <c r="CT19" s="19">
        <v>3.3</v>
      </c>
      <c r="CU19" s="19">
        <v>0</v>
      </c>
      <c r="CV19" s="19">
        <v>0.6</v>
      </c>
      <c r="CW19" s="27"/>
      <c r="CX19" s="40">
        <f t="shared" si="29"/>
        <v>7.3</v>
      </c>
      <c r="CY19" s="40">
        <f t="shared" si="30"/>
        <v>39.5</v>
      </c>
      <c r="CZ19" s="40">
        <f t="shared" si="31"/>
        <v>22</v>
      </c>
      <c r="DA19" s="40">
        <f t="shared" si="32"/>
        <v>11.2</v>
      </c>
      <c r="DB19" s="40">
        <f t="shared" si="33"/>
        <v>61.5</v>
      </c>
      <c r="DC19" s="40">
        <f t="shared" si="34"/>
        <v>8.1</v>
      </c>
      <c r="DD19" s="40">
        <f t="shared" si="35"/>
        <v>40</v>
      </c>
      <c r="DE19" s="40">
        <f t="shared" si="36"/>
        <v>101.5</v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7.8</v>
      </c>
      <c r="QH19" s="22">
        <f t="shared" si="137"/>
        <v>1.6</v>
      </c>
      <c r="QI19" s="22">
        <f t="shared" si="138"/>
        <v>0</v>
      </c>
      <c r="QJ19" s="22">
        <f t="shared" si="139"/>
        <v>0</v>
      </c>
      <c r="QK19" s="22">
        <f t="shared" si="140"/>
        <v>8.15</v>
      </c>
      <c r="QL19" s="22">
        <f t="shared" si="141"/>
        <v>2.0499999999999998</v>
      </c>
      <c r="QM19" s="22">
        <f t="shared" si="142"/>
        <v>0</v>
      </c>
      <c r="QN19" s="22">
        <f t="shared" si="143"/>
        <v>0.15</v>
      </c>
      <c r="QO19" s="22">
        <f t="shared" si="144"/>
        <v>8.9</v>
      </c>
      <c r="QP19" s="22">
        <f t="shared" si="145"/>
        <v>1.95</v>
      </c>
      <c r="QQ19" s="22">
        <f t="shared" si="146"/>
        <v>0</v>
      </c>
      <c r="QR19" s="22">
        <f t="shared" si="147"/>
        <v>0.15</v>
      </c>
      <c r="QS19" s="22">
        <f t="shared" si="148"/>
        <v>7.95</v>
      </c>
      <c r="QT19" s="22">
        <f t="shared" si="149"/>
        <v>2.4</v>
      </c>
      <c r="QU19" s="22">
        <f t="shared" si="150"/>
        <v>0</v>
      </c>
      <c r="QV19" s="22">
        <f t="shared" si="151"/>
        <v>0.3</v>
      </c>
      <c r="QW19" s="22">
        <f t="shared" si="152"/>
        <v>7.4</v>
      </c>
      <c r="QX19" s="22">
        <f t="shared" si="153"/>
        <v>1.65</v>
      </c>
      <c r="QY19" s="22">
        <f t="shared" si="154"/>
        <v>0</v>
      </c>
      <c r="QZ19" s="22">
        <f t="shared" si="155"/>
        <v>0.3</v>
      </c>
      <c r="RA19" s="27" t="s">
        <v>46</v>
      </c>
      <c r="RB19" s="40">
        <f t="shared" si="156"/>
        <v>3.65</v>
      </c>
      <c r="RC19" s="40">
        <f t="shared" si="157"/>
        <v>19.75</v>
      </c>
      <c r="RD19" s="40">
        <f t="shared" si="158"/>
        <v>11</v>
      </c>
      <c r="RE19" s="40">
        <f t="shared" si="159"/>
        <v>5.6</v>
      </c>
      <c r="RF19" s="40">
        <f t="shared" si="160"/>
        <v>30.75</v>
      </c>
      <c r="RG19" s="40">
        <f t="shared" si="161"/>
        <v>4.05</v>
      </c>
      <c r="RH19" s="40">
        <f t="shared" si="162"/>
        <v>20</v>
      </c>
      <c r="RI19" s="40">
        <f t="shared" si="163"/>
        <v>50.75</v>
      </c>
    </row>
    <row r="20" spans="1:477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202</v>
      </c>
      <c r="D20" s="4" t="s">
        <v>4</v>
      </c>
      <c r="E20" s="4">
        <v>2005</v>
      </c>
      <c r="F20" s="9">
        <f t="shared" si="0"/>
        <v>98.800005590003792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37.800000000000004</v>
      </c>
      <c r="M20" s="8" t="str">
        <f t="shared" si="5"/>
        <v>2023 Nationals</v>
      </c>
      <c r="N20" s="8">
        <f>IF(COUNT(AS20,BV20,CY20)&gt;1,LARGE((AS20,BV20,CY20),2),0)</f>
        <v>0</v>
      </c>
      <c r="O20" s="8" t="str">
        <f t="shared" si="6"/>
        <v/>
      </c>
      <c r="P20" s="8">
        <f>IF(COUNT(AT20,BW20,CZ20)&gt;0,LARGE((AT20,BW20,CZ20),1),0)</f>
        <v>18.100000000000001</v>
      </c>
      <c r="Q20" s="8" t="str">
        <f t="shared" si="7"/>
        <v>2023 Nationals</v>
      </c>
      <c r="R20" s="8">
        <f t="shared" si="8"/>
        <v>42.9</v>
      </c>
      <c r="S20" s="8" t="str">
        <f t="shared" si="9"/>
        <v>2023 Nationals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 t="shared" si="13"/>
        <v/>
      </c>
      <c r="AS20" s="40" t="str">
        <f t="shared" si="14"/>
        <v/>
      </c>
      <c r="AT20" s="40" t="str">
        <f t="shared" si="15"/>
        <v/>
      </c>
      <c r="AU20" s="40" t="str">
        <f t="shared" si="16"/>
        <v/>
      </c>
      <c r="AV20" s="40" t="str">
        <f t="shared" si="17"/>
        <v/>
      </c>
      <c r="AW20" s="40" t="str">
        <f t="shared" si="18"/>
        <v/>
      </c>
      <c r="AX20" s="40" t="str">
        <f t="shared" si="19"/>
        <v/>
      </c>
      <c r="AY20" s="40" t="str">
        <f t="shared" si="20"/>
        <v/>
      </c>
      <c r="AZ20" s="18">
        <v>14.8</v>
      </c>
      <c r="BA20" s="18">
        <v>4.5999999999999996</v>
      </c>
      <c r="BB20" s="18">
        <v>0</v>
      </c>
      <c r="BC20" s="18">
        <v>0.6</v>
      </c>
      <c r="BD20" s="18">
        <v>15.2</v>
      </c>
      <c r="BE20" s="18">
        <v>2.6</v>
      </c>
      <c r="BF20" s="18">
        <v>0.6</v>
      </c>
      <c r="BG20" s="18">
        <v>0.6</v>
      </c>
      <c r="BH20" s="18">
        <v>14.2</v>
      </c>
      <c r="BI20" s="18">
        <v>3.3</v>
      </c>
      <c r="BJ20" s="18">
        <v>0</v>
      </c>
      <c r="BK20" s="18">
        <v>0.6</v>
      </c>
      <c r="BL20" s="18">
        <v>16</v>
      </c>
      <c r="BM20" s="18">
        <v>4.8</v>
      </c>
      <c r="BN20" s="18">
        <v>0</v>
      </c>
      <c r="BO20" s="18">
        <v>0.6</v>
      </c>
      <c r="BP20" s="18">
        <v>15.6</v>
      </c>
      <c r="BQ20" s="18">
        <v>5.3</v>
      </c>
      <c r="BR20" s="18">
        <v>0</v>
      </c>
      <c r="BS20" s="18">
        <v>0.6</v>
      </c>
      <c r="BT20" s="28"/>
      <c r="BU20" s="11">
        <f t="shared" si="21"/>
        <v>7.1999999999999993</v>
      </c>
      <c r="BV20" s="11">
        <f t="shared" si="22"/>
        <v>37.800000000000004</v>
      </c>
      <c r="BW20" s="11">
        <f t="shared" si="23"/>
        <v>18.100000000000001</v>
      </c>
      <c r="BX20" s="11">
        <f t="shared" si="24"/>
        <v>10.5</v>
      </c>
      <c r="BY20" s="11">
        <f t="shared" si="25"/>
        <v>55.900000000000006</v>
      </c>
      <c r="BZ20" s="11">
        <f t="shared" si="26"/>
        <v>10.1</v>
      </c>
      <c r="CA20" s="11">
        <f t="shared" si="27"/>
        <v>42.9</v>
      </c>
      <c r="CB20" s="11">
        <f t="shared" si="28"/>
        <v>98.800000000000011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7.4</v>
      </c>
      <c r="QH20" s="22">
        <f t="shared" si="137"/>
        <v>2.2999999999999998</v>
      </c>
      <c r="QI20" s="22">
        <f t="shared" si="138"/>
        <v>0</v>
      </c>
      <c r="QJ20" s="22">
        <f t="shared" si="139"/>
        <v>0.3</v>
      </c>
      <c r="QK20" s="22">
        <f t="shared" si="140"/>
        <v>7.6</v>
      </c>
      <c r="QL20" s="22">
        <f t="shared" si="141"/>
        <v>1.3</v>
      </c>
      <c r="QM20" s="22">
        <f t="shared" si="142"/>
        <v>0.3</v>
      </c>
      <c r="QN20" s="22">
        <f t="shared" si="143"/>
        <v>0.3</v>
      </c>
      <c r="QO20" s="22">
        <f t="shared" si="144"/>
        <v>7.1</v>
      </c>
      <c r="QP20" s="22">
        <f t="shared" si="145"/>
        <v>1.65</v>
      </c>
      <c r="QQ20" s="22">
        <f t="shared" si="146"/>
        <v>0</v>
      </c>
      <c r="QR20" s="22">
        <f t="shared" si="147"/>
        <v>0.3</v>
      </c>
      <c r="QS20" s="22">
        <f t="shared" si="148"/>
        <v>8</v>
      </c>
      <c r="QT20" s="22">
        <f t="shared" si="149"/>
        <v>2.4</v>
      </c>
      <c r="QU20" s="22">
        <f t="shared" si="150"/>
        <v>0</v>
      </c>
      <c r="QV20" s="22">
        <f t="shared" si="151"/>
        <v>0.3</v>
      </c>
      <c r="QW20" s="22">
        <f t="shared" si="152"/>
        <v>7.8</v>
      </c>
      <c r="QX20" s="22">
        <f t="shared" si="153"/>
        <v>2.65</v>
      </c>
      <c r="QY20" s="22">
        <f t="shared" si="154"/>
        <v>0</v>
      </c>
      <c r="QZ20" s="22">
        <f t="shared" si="155"/>
        <v>0.3</v>
      </c>
      <c r="RA20" s="27" t="s">
        <v>46</v>
      </c>
      <c r="RB20" s="40">
        <f t="shared" si="156"/>
        <v>3.5999999999999996</v>
      </c>
      <c r="RC20" s="40">
        <f t="shared" si="157"/>
        <v>18.900000000000002</v>
      </c>
      <c r="RD20" s="40">
        <f t="shared" si="158"/>
        <v>9.0500000000000007</v>
      </c>
      <c r="RE20" s="40">
        <f t="shared" si="159"/>
        <v>5.25</v>
      </c>
      <c r="RF20" s="40">
        <f t="shared" si="160"/>
        <v>27.950000000000003</v>
      </c>
      <c r="RG20" s="40">
        <f t="shared" si="161"/>
        <v>5.05</v>
      </c>
      <c r="RH20" s="40">
        <f t="shared" si="162"/>
        <v>21.45</v>
      </c>
      <c r="RI20" s="40">
        <f t="shared" si="163"/>
        <v>49.400000000000006</v>
      </c>
    </row>
    <row r="21" spans="1:477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148</v>
      </c>
      <c r="D21" s="4" t="s">
        <v>4</v>
      </c>
      <c r="E21" s="4">
        <v>2004</v>
      </c>
      <c r="F21" s="9">
        <f t="shared" si="0"/>
        <v>41.9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0</v>
      </c>
      <c r="M21" s="8" t="str">
        <f t="shared" si="5"/>
        <v/>
      </c>
      <c r="N21" s="8">
        <f>IF(COUNT(AS21,BV21,CY21)&gt;1,LARGE((AS21,BV21,CY21),2),0)</f>
        <v>0</v>
      </c>
      <c r="O21" s="8" t="str">
        <f t="shared" si="6"/>
        <v/>
      </c>
      <c r="P21" s="8">
        <f>IF(COUNT(AT21,BW21,CZ21)&gt;0,LARGE((AT21,BW21,CZ21),1),0)</f>
        <v>0</v>
      </c>
      <c r="Q21" s="8" t="str">
        <f t="shared" si="7"/>
        <v/>
      </c>
      <c r="R21" s="8">
        <f t="shared" si="8"/>
        <v>0</v>
      </c>
      <c r="S21" s="8" t="str">
        <f t="shared" si="9"/>
        <v/>
      </c>
      <c r="T21" s="8">
        <f t="shared" si="10"/>
        <v>41.9</v>
      </c>
      <c r="U21" s="11" t="str">
        <f t="shared" si="11"/>
        <v>(Q1)</v>
      </c>
      <c r="V21" s="8" t="str">
        <f t="shared" si="12"/>
        <v>2022 WAGC (Nov 24)</v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 t="shared" si="13"/>
        <v/>
      </c>
      <c r="AS21" s="40" t="str">
        <f t="shared" si="14"/>
        <v/>
      </c>
      <c r="AT21" s="40" t="str">
        <f t="shared" si="15"/>
        <v/>
      </c>
      <c r="AU21" s="40" t="str">
        <f t="shared" si="16"/>
        <v/>
      </c>
      <c r="AV21" s="40" t="str">
        <f t="shared" si="17"/>
        <v/>
      </c>
      <c r="AW21" s="40" t="str">
        <f t="shared" si="18"/>
        <v/>
      </c>
      <c r="AX21" s="40" t="str">
        <f t="shared" si="19"/>
        <v/>
      </c>
      <c r="AY21" s="40" t="str">
        <f t="shared" si="20"/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1"/>
        <v/>
      </c>
      <c r="BV21" s="11" t="str">
        <f t="shared" si="22"/>
        <v/>
      </c>
      <c r="BW21" s="11" t="str">
        <f t="shared" si="23"/>
        <v/>
      </c>
      <c r="BX21" s="11" t="str">
        <f t="shared" si="24"/>
        <v/>
      </c>
      <c r="BY21" s="11" t="str">
        <f t="shared" si="25"/>
        <v/>
      </c>
      <c r="BZ21" s="11" t="str">
        <f t="shared" si="26"/>
        <v/>
      </c>
      <c r="CA21" s="11" t="str">
        <f t="shared" si="27"/>
        <v/>
      </c>
      <c r="CB21" s="11" t="str">
        <f t="shared" si="28"/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 t="shared" si="29"/>
        <v/>
      </c>
      <c r="CY21" s="40" t="str">
        <f t="shared" si="30"/>
        <v/>
      </c>
      <c r="CZ21" s="40" t="str">
        <f t="shared" si="31"/>
        <v/>
      </c>
      <c r="DA21" s="40" t="str">
        <f t="shared" si="32"/>
        <v/>
      </c>
      <c r="DB21" s="40" t="str">
        <f t="shared" si="33"/>
        <v/>
      </c>
      <c r="DC21" s="40" t="str">
        <f t="shared" si="34"/>
        <v/>
      </c>
      <c r="DD21" s="40" t="str">
        <f t="shared" si="35"/>
        <v/>
      </c>
      <c r="DE21" s="40" t="str">
        <f t="shared" si="36"/>
        <v/>
      </c>
      <c r="DF21" s="50">
        <f t="shared" si="37"/>
        <v>41.9</v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>
        <v>17.2</v>
      </c>
      <c r="FN21" s="17">
        <v>5.7</v>
      </c>
      <c r="FO21" s="17">
        <v>0</v>
      </c>
      <c r="FP21" s="17">
        <v>0</v>
      </c>
      <c r="FQ21" s="17">
        <v>15.3</v>
      </c>
      <c r="FR21" s="17">
        <v>3.9</v>
      </c>
      <c r="FS21" s="17">
        <v>0.2</v>
      </c>
      <c r="FT21" s="17">
        <v>0</v>
      </c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>
        <f t="shared" si="56"/>
        <v>9.6</v>
      </c>
      <c r="GH21" s="40">
        <f t="shared" si="57"/>
        <v>41.9</v>
      </c>
      <c r="GI21" s="40" t="str">
        <f t="shared" si="58"/>
        <v/>
      </c>
      <c r="GJ21" s="40">
        <f t="shared" si="59"/>
        <v>9.6</v>
      </c>
      <c r="GK21" s="40">
        <f t="shared" si="60"/>
        <v>41.9</v>
      </c>
      <c r="GL21" s="40" t="str">
        <f t="shared" si="61"/>
        <v/>
      </c>
      <c r="GM21" s="40" t="str">
        <f t="shared" si="62"/>
        <v/>
      </c>
      <c r="GN21" s="40">
        <f t="shared" si="63"/>
        <v>41.9</v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0</v>
      </c>
      <c r="QH21" s="22">
        <f t="shared" si="137"/>
        <v>0</v>
      </c>
      <c r="QI21" s="22">
        <f t="shared" si="138"/>
        <v>0</v>
      </c>
      <c r="QJ21" s="22">
        <f t="shared" si="139"/>
        <v>0</v>
      </c>
      <c r="QK21" s="22">
        <f t="shared" si="140"/>
        <v>0</v>
      </c>
      <c r="QL21" s="22">
        <f t="shared" si="141"/>
        <v>0</v>
      </c>
      <c r="QM21" s="22">
        <f t="shared" si="142"/>
        <v>0</v>
      </c>
      <c r="QN21" s="22">
        <f t="shared" si="143"/>
        <v>0</v>
      </c>
      <c r="QO21" s="22">
        <f t="shared" si="144"/>
        <v>0</v>
      </c>
      <c r="QP21" s="22">
        <f t="shared" si="145"/>
        <v>0</v>
      </c>
      <c r="QQ21" s="22">
        <f t="shared" si="146"/>
        <v>0</v>
      </c>
      <c r="QR21" s="22">
        <f t="shared" si="147"/>
        <v>0</v>
      </c>
      <c r="QS21" s="22">
        <f t="shared" si="148"/>
        <v>0</v>
      </c>
      <c r="QT21" s="22">
        <f t="shared" si="149"/>
        <v>0</v>
      </c>
      <c r="QU21" s="22">
        <f t="shared" si="150"/>
        <v>0</v>
      </c>
      <c r="QV21" s="22">
        <f t="shared" si="151"/>
        <v>0</v>
      </c>
      <c r="QW21" s="22">
        <f t="shared" si="152"/>
        <v>0</v>
      </c>
      <c r="QX21" s="22">
        <f t="shared" si="153"/>
        <v>0</v>
      </c>
      <c r="QY21" s="22">
        <f t="shared" si="154"/>
        <v>0</v>
      </c>
      <c r="QZ21" s="22">
        <f t="shared" si="155"/>
        <v>0</v>
      </c>
      <c r="RA21" s="27" t="s">
        <v>46</v>
      </c>
      <c r="RB21" s="40" t="str">
        <f t="shared" si="156"/>
        <v/>
      </c>
      <c r="RC21" s="40" t="str">
        <f t="shared" si="157"/>
        <v/>
      </c>
      <c r="RD21" s="40" t="str">
        <f t="shared" si="158"/>
        <v/>
      </c>
      <c r="RE21" s="40" t="str">
        <f t="shared" si="159"/>
        <v/>
      </c>
      <c r="RF21" s="40" t="str">
        <f t="shared" si="160"/>
        <v/>
      </c>
      <c r="RG21" s="40" t="str">
        <f t="shared" si="161"/>
        <v/>
      </c>
      <c r="RH21" s="40" t="str">
        <f t="shared" si="162"/>
        <v/>
      </c>
      <c r="RI21" s="40" t="str">
        <f t="shared" si="163"/>
        <v/>
      </c>
    </row>
    <row r="22" spans="1:477" ht="17" x14ac:dyDescent="0.2">
      <c r="G22" s="66"/>
      <c r="T22" s="10"/>
      <c r="U22" s="10"/>
      <c r="V22" s="10"/>
    </row>
    <row r="23" spans="1:477" ht="17" x14ac:dyDescent="0.2">
      <c r="G23" s="66"/>
      <c r="T23" s="10"/>
      <c r="U23" s="10"/>
      <c r="V23" s="10"/>
    </row>
    <row r="24" spans="1:477" ht="17" x14ac:dyDescent="0.2">
      <c r="C24" s="23" t="s">
        <v>44</v>
      </c>
      <c r="G24" s="66"/>
      <c r="T24" s="10"/>
      <c r="U24" s="10"/>
      <c r="V24" s="10"/>
      <c r="AR24" s="4"/>
      <c r="AY24" s="42">
        <v>9.5</v>
      </c>
      <c r="BU24" s="4"/>
      <c r="CB24" s="42">
        <v>9.5</v>
      </c>
      <c r="CX24" s="4"/>
      <c r="DE24" s="42">
        <v>9.5</v>
      </c>
      <c r="EC24" s="4"/>
      <c r="EJ24" s="42">
        <v>9.1</v>
      </c>
      <c r="FE24" s="4"/>
      <c r="FL24" s="42">
        <v>9.1</v>
      </c>
      <c r="GG24" s="4"/>
      <c r="GN24" s="42">
        <v>9.1</v>
      </c>
      <c r="HI24" s="4"/>
      <c r="HP24" s="42">
        <v>9.5</v>
      </c>
      <c r="IK24" s="4"/>
      <c r="IR24" s="42">
        <v>9.5</v>
      </c>
      <c r="JM24" s="4"/>
      <c r="JT24" s="42">
        <v>9.5</v>
      </c>
      <c r="KO24" s="4"/>
      <c r="KV24" s="42">
        <v>9.5</v>
      </c>
      <c r="LQ24" s="4"/>
      <c r="LX24" s="42">
        <v>9.5</v>
      </c>
      <c r="MS24" s="4"/>
      <c r="MZ24" s="42">
        <v>9.5</v>
      </c>
      <c r="NU24" s="4"/>
      <c r="OB24" s="42">
        <v>9.5</v>
      </c>
      <c r="OW24" s="4"/>
      <c r="PD24" s="42">
        <v>9.5</v>
      </c>
      <c r="PY24" s="4"/>
      <c r="QF24" s="42">
        <v>9.5</v>
      </c>
    </row>
    <row r="25" spans="1:477" ht="17" hidden="1" x14ac:dyDescent="0.2">
      <c r="C25" s="30" t="s">
        <v>43</v>
      </c>
      <c r="G25" s="66"/>
      <c r="T25" s="10"/>
      <c r="U25" s="10"/>
      <c r="V25" s="10"/>
      <c r="AR25" s="4"/>
      <c r="AY25" s="51">
        <v>1000</v>
      </c>
      <c r="BU25" s="4"/>
      <c r="CB25" s="51">
        <v>1000</v>
      </c>
      <c r="CX25" s="4"/>
      <c r="DE25" s="51">
        <v>1000</v>
      </c>
      <c r="EC25" s="4"/>
      <c r="EJ25" s="51">
        <v>1000</v>
      </c>
      <c r="FE25" s="4"/>
      <c r="FL25" s="51">
        <v>1000</v>
      </c>
      <c r="GG25" s="4"/>
      <c r="GN25" s="51">
        <v>1000</v>
      </c>
      <c r="HI25" s="4"/>
      <c r="HP25" s="51">
        <v>1000</v>
      </c>
      <c r="IK25" s="4"/>
      <c r="IR25" s="51">
        <v>1000</v>
      </c>
      <c r="JM25" s="4"/>
      <c r="JT25" s="51">
        <v>1000</v>
      </c>
      <c r="KO25" s="4"/>
      <c r="KV25" s="51">
        <v>1000</v>
      </c>
      <c r="LQ25" s="4"/>
      <c r="LX25" s="51">
        <v>1000</v>
      </c>
      <c r="MS25" s="4"/>
      <c r="MZ25" s="51">
        <v>1000</v>
      </c>
      <c r="NU25" s="4"/>
      <c r="OB25" s="51">
        <v>1000</v>
      </c>
      <c r="OW25" s="4"/>
      <c r="PD25" s="51">
        <v>1000</v>
      </c>
      <c r="PY25" s="4"/>
      <c r="QF25" s="51">
        <v>1000</v>
      </c>
    </row>
    <row r="26" spans="1:477" ht="17" hidden="1" x14ac:dyDescent="0.2">
      <c r="A26" s="5"/>
      <c r="B26" s="5"/>
      <c r="C26" s="31" t="s">
        <v>55</v>
      </c>
      <c r="D26" s="20"/>
      <c r="G26" s="66"/>
      <c r="T26" s="10"/>
      <c r="U26" s="10"/>
      <c r="V26" s="10"/>
      <c r="AR26" s="4"/>
      <c r="AY26" s="43">
        <v>1000</v>
      </c>
      <c r="BU26" s="4"/>
      <c r="CB26" s="43">
        <v>1000</v>
      </c>
      <c r="CX26" s="4"/>
      <c r="DE26" s="43">
        <v>1000</v>
      </c>
      <c r="EC26" s="4"/>
      <c r="EJ26" s="43">
        <v>1000</v>
      </c>
      <c r="FE26" s="4"/>
      <c r="FL26" s="43">
        <v>1000</v>
      </c>
      <c r="GG26" s="4"/>
      <c r="GN26" s="43">
        <v>1000</v>
      </c>
      <c r="HI26" s="4"/>
      <c r="HP26" s="43">
        <v>1000</v>
      </c>
      <c r="IK26" s="4"/>
      <c r="IR26" s="43">
        <v>1000</v>
      </c>
      <c r="JM26" s="4"/>
      <c r="JT26" s="43">
        <v>1000</v>
      </c>
      <c r="KO26" s="4"/>
      <c r="KV26" s="43">
        <v>1000</v>
      </c>
      <c r="LQ26" s="4"/>
      <c r="LX26" s="43">
        <v>1000</v>
      </c>
      <c r="MS26" s="4"/>
      <c r="MZ26" s="43">
        <v>1000</v>
      </c>
      <c r="NU26" s="4"/>
      <c r="OB26" s="43">
        <v>1000</v>
      </c>
      <c r="OW26" s="4"/>
      <c r="PD26" s="43">
        <v>1000</v>
      </c>
      <c r="PY26" s="4"/>
      <c r="QF26" s="43">
        <v>1000</v>
      </c>
    </row>
    <row r="27" spans="1:477" ht="17" hidden="1" x14ac:dyDescent="0.2">
      <c r="A27" s="5"/>
      <c r="B27" s="5"/>
      <c r="C27" s="35" t="s">
        <v>62</v>
      </c>
      <c r="D27" s="20"/>
      <c r="G27" s="66"/>
      <c r="T27" s="10"/>
      <c r="U27" s="10"/>
      <c r="V27" s="10"/>
      <c r="AR27" s="4"/>
      <c r="AY27" s="44">
        <v>1000</v>
      </c>
      <c r="BU27" s="4"/>
      <c r="CB27" s="44">
        <v>1000</v>
      </c>
      <c r="CX27" s="4"/>
      <c r="DE27" s="44">
        <v>1000</v>
      </c>
      <c r="EC27" s="4"/>
      <c r="EJ27" s="44">
        <v>1000</v>
      </c>
      <c r="FE27" s="4"/>
      <c r="FL27" s="44">
        <v>1000</v>
      </c>
      <c r="GG27" s="4"/>
      <c r="GN27" s="44">
        <v>1000</v>
      </c>
      <c r="HI27" s="4"/>
      <c r="HP27" s="44">
        <v>1000</v>
      </c>
      <c r="IK27" s="4"/>
      <c r="IR27" s="44">
        <v>1000</v>
      </c>
      <c r="JM27" s="4"/>
      <c r="JT27" s="44">
        <v>1000</v>
      </c>
      <c r="KO27" s="4"/>
      <c r="KV27" s="44">
        <v>1000</v>
      </c>
      <c r="LQ27" s="4"/>
      <c r="LX27" s="44">
        <v>1000</v>
      </c>
      <c r="MS27" s="4"/>
      <c r="MZ27" s="44">
        <v>1000</v>
      </c>
      <c r="NU27" s="4"/>
      <c r="OB27" s="44">
        <v>1000</v>
      </c>
      <c r="OW27" s="4"/>
      <c r="PD27" s="44">
        <v>1000</v>
      </c>
      <c r="PY27" s="4"/>
      <c r="QF27" s="44">
        <v>1000</v>
      </c>
    </row>
    <row r="28" spans="1:477" ht="17" x14ac:dyDescent="0.2">
      <c r="A28" s="5"/>
      <c r="B28" s="5"/>
      <c r="C28" s="34" t="s">
        <v>41</v>
      </c>
      <c r="D28" s="20"/>
      <c r="G28" s="66"/>
      <c r="T28" s="10"/>
      <c r="U28" s="10"/>
      <c r="V28" s="10"/>
      <c r="AR28" s="4"/>
      <c r="AY28" s="45">
        <v>43.9</v>
      </c>
      <c r="BU28" s="4"/>
      <c r="CB28" s="45">
        <v>43.9</v>
      </c>
      <c r="CX28" s="4"/>
      <c r="DE28" s="45">
        <v>43.9</v>
      </c>
      <c r="EC28" s="4"/>
      <c r="EJ28" s="45">
        <v>44.1</v>
      </c>
      <c r="FE28" s="4"/>
      <c r="FL28" s="45">
        <v>44.1</v>
      </c>
      <c r="GG28" s="4"/>
      <c r="GN28" s="45">
        <v>44.1</v>
      </c>
      <c r="HI28" s="4"/>
      <c r="HP28" s="45">
        <v>43.9</v>
      </c>
      <c r="IK28" s="4"/>
      <c r="IR28" s="45">
        <v>43.9</v>
      </c>
      <c r="JM28" s="4"/>
      <c r="JT28" s="45">
        <v>43.9</v>
      </c>
      <c r="KO28" s="4"/>
      <c r="KV28" s="45">
        <v>43.9</v>
      </c>
      <c r="LQ28" s="4"/>
      <c r="LX28" s="45">
        <v>43.9</v>
      </c>
      <c r="MS28" s="4"/>
      <c r="MZ28" s="45">
        <v>43.9</v>
      </c>
      <c r="NU28" s="4"/>
      <c r="OB28" s="45">
        <v>43.9</v>
      </c>
      <c r="OW28" s="4"/>
      <c r="PD28" s="45">
        <v>43.9</v>
      </c>
      <c r="PY28" s="4"/>
      <c r="QF28" s="45">
        <v>43.9</v>
      </c>
    </row>
    <row r="29" spans="1:477" ht="17" hidden="1" x14ac:dyDescent="0.2">
      <c r="A29" s="5"/>
      <c r="B29" s="5"/>
      <c r="C29" s="24" t="s">
        <v>42</v>
      </c>
      <c r="D29" s="20"/>
      <c r="G29" s="66"/>
      <c r="T29" s="10"/>
      <c r="U29" s="10"/>
      <c r="V29" s="10"/>
      <c r="AR29" s="4"/>
      <c r="AY29" s="46">
        <v>1000</v>
      </c>
      <c r="BU29" s="4"/>
      <c r="CB29" s="46">
        <v>1000</v>
      </c>
      <c r="CX29" s="4"/>
      <c r="DE29" s="46">
        <v>1000</v>
      </c>
      <c r="EC29" s="4"/>
      <c r="EJ29" s="46">
        <v>1000</v>
      </c>
      <c r="FE29" s="4"/>
      <c r="FL29" s="46">
        <v>1000</v>
      </c>
      <c r="GG29" s="4"/>
      <c r="GN29" s="46">
        <v>1000</v>
      </c>
      <c r="HI29" s="4"/>
      <c r="HP29" s="46">
        <v>1000</v>
      </c>
      <c r="IK29" s="4"/>
      <c r="IR29" s="46">
        <v>1000</v>
      </c>
      <c r="JM29" s="4"/>
      <c r="JT29" s="46">
        <v>1000</v>
      </c>
      <c r="KO29" s="4"/>
      <c r="KV29" s="46">
        <v>1000</v>
      </c>
      <c r="LQ29" s="4"/>
      <c r="LX29" s="46">
        <v>1000</v>
      </c>
      <c r="MS29" s="4"/>
      <c r="MZ29" s="46">
        <v>1000</v>
      </c>
      <c r="NU29" s="4"/>
      <c r="OB29" s="46">
        <v>1000</v>
      </c>
      <c r="OW29" s="4"/>
      <c r="PD29" s="46">
        <v>1000</v>
      </c>
      <c r="PY29" s="4"/>
      <c r="QF29" s="46">
        <v>1000</v>
      </c>
    </row>
    <row r="30" spans="1:477" ht="17" hidden="1" x14ac:dyDescent="0.2">
      <c r="A30" s="5"/>
      <c r="B30" s="5"/>
      <c r="C30" s="33" t="s">
        <v>54</v>
      </c>
      <c r="D30" s="20"/>
      <c r="G30" s="66"/>
      <c r="T30" s="10"/>
      <c r="U30" s="10"/>
      <c r="V30" s="10"/>
      <c r="AR30" s="4"/>
      <c r="AY30" s="47">
        <v>1000</v>
      </c>
      <c r="BU30" s="4"/>
      <c r="CB30" s="47">
        <v>1000</v>
      </c>
      <c r="CX30" s="4"/>
      <c r="DE30" s="47">
        <v>1000</v>
      </c>
      <c r="EC30" s="4"/>
      <c r="EJ30" s="47">
        <v>1000</v>
      </c>
      <c r="FE30" s="4"/>
      <c r="FL30" s="47">
        <v>1000</v>
      </c>
      <c r="GG30" s="4"/>
      <c r="GN30" s="47">
        <v>1000</v>
      </c>
      <c r="HI30" s="4"/>
      <c r="HP30" s="47">
        <v>1000</v>
      </c>
      <c r="IK30" s="4"/>
      <c r="IR30" s="47">
        <v>1000</v>
      </c>
      <c r="JM30" s="4"/>
      <c r="JT30" s="47">
        <v>1000</v>
      </c>
      <c r="KO30" s="4"/>
      <c r="KV30" s="47">
        <v>1000</v>
      </c>
      <c r="LQ30" s="4"/>
      <c r="LX30" s="47">
        <v>1000</v>
      </c>
      <c r="MS30" s="4"/>
      <c r="MZ30" s="47">
        <v>1000</v>
      </c>
      <c r="NU30" s="4"/>
      <c r="OB30" s="47">
        <v>1000</v>
      </c>
      <c r="OW30" s="4"/>
      <c r="PD30" s="47">
        <v>1000</v>
      </c>
      <c r="PY30" s="4"/>
      <c r="QF30" s="47">
        <v>1000</v>
      </c>
    </row>
    <row r="31" spans="1:477" ht="17" hidden="1" x14ac:dyDescent="0.2">
      <c r="A31" s="5"/>
      <c r="B31" s="5"/>
      <c r="C31" s="25" t="s">
        <v>27</v>
      </c>
      <c r="D31" s="20"/>
      <c r="G31" s="66"/>
      <c r="T31" s="10"/>
      <c r="U31" s="10"/>
      <c r="V31" s="10"/>
      <c r="AR31" s="4"/>
      <c r="AY31" s="48">
        <v>1000</v>
      </c>
      <c r="BU31" s="4"/>
      <c r="CB31" s="48">
        <v>1000</v>
      </c>
      <c r="CX31" s="4"/>
      <c r="DE31" s="48">
        <v>1000</v>
      </c>
      <c r="EC31" s="4"/>
      <c r="EJ31" s="48">
        <v>1000</v>
      </c>
      <c r="FE31" s="4"/>
      <c r="FL31" s="48">
        <v>1000</v>
      </c>
      <c r="GG31" s="4"/>
      <c r="GN31" s="48">
        <v>1000</v>
      </c>
      <c r="HI31" s="4"/>
      <c r="HP31" s="48">
        <v>1000</v>
      </c>
      <c r="IK31" s="4"/>
      <c r="IR31" s="48">
        <v>1000</v>
      </c>
      <c r="JM31" s="4"/>
      <c r="JT31" s="48">
        <v>1000</v>
      </c>
      <c r="KO31" s="4"/>
      <c r="KV31" s="48">
        <v>1000</v>
      </c>
      <c r="LQ31" s="4"/>
      <c r="LX31" s="48">
        <v>1000</v>
      </c>
      <c r="MS31" s="4"/>
      <c r="MZ31" s="48">
        <v>1000</v>
      </c>
      <c r="NU31" s="4"/>
      <c r="OB31" s="48">
        <v>1000</v>
      </c>
      <c r="OW31" s="4"/>
      <c r="PD31" s="48">
        <v>1000</v>
      </c>
      <c r="PY31" s="4"/>
      <c r="QF31" s="48">
        <v>1000</v>
      </c>
    </row>
    <row r="32" spans="1:477" x14ac:dyDescent="0.2">
      <c r="C32" s="29" t="s">
        <v>47</v>
      </c>
      <c r="D32" s="2"/>
      <c r="G32" s="66"/>
    </row>
    <row r="33" spans="1:458" x14ac:dyDescent="0.2">
      <c r="A33" s="5"/>
      <c r="B33" s="5"/>
      <c r="C33" s="5"/>
      <c r="D33" s="20"/>
      <c r="G33" s="66"/>
      <c r="QH33" s="2"/>
      <c r="QI33" s="2"/>
      <c r="QJ33" s="2"/>
      <c r="QK33" s="2"/>
      <c r="QL33" s="2"/>
      <c r="QM33" s="2"/>
      <c r="QN33" s="2"/>
      <c r="QO33" s="2"/>
      <c r="QP33" s="2"/>
    </row>
    <row r="34" spans="1:458" x14ac:dyDescent="0.2">
      <c r="A34" s="5"/>
      <c r="B34" s="5"/>
      <c r="C34" s="5"/>
      <c r="D34" s="20"/>
    </row>
    <row r="35" spans="1:458" x14ac:dyDescent="0.2">
      <c r="A35" s="5"/>
      <c r="B35" s="5"/>
      <c r="C35" s="5"/>
      <c r="D35" s="20"/>
    </row>
    <row r="36" spans="1:458" x14ac:dyDescent="0.2">
      <c r="A36" s="5"/>
      <c r="B36" s="5"/>
      <c r="C36" s="5"/>
      <c r="D36" s="5"/>
    </row>
    <row r="38" spans="1:458" x14ac:dyDescent="0.2">
      <c r="G38" s="66"/>
    </row>
    <row r="39" spans="1:458" x14ac:dyDescent="0.2">
      <c r="C39" s="52"/>
      <c r="G39" s="66"/>
    </row>
  </sheetData>
  <sheetProtection sheet="1" formatCells="0" formatColumns="0" formatRows="0"/>
  <autoFilter ref="A1:RI13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1">
      <sortCondition descending="1" ref="H1:H22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21">
    <cfRule type="expression" dxfId="120" priority="30" stopIfTrue="1">
      <formula>IF($AQ4&lt;&gt;"",1,0)</formula>
    </cfRule>
  </conditionalFormatting>
  <conditionalFormatting sqref="AZ4:CB21">
    <cfRule type="expression" dxfId="119" priority="29" stopIfTrue="1">
      <formula>IF($BT4&lt;&gt;"",1,0)</formula>
    </cfRule>
  </conditionalFormatting>
  <conditionalFormatting sqref="O1:O3 Q1:Q3 M1:M1048576 S1:S1048576 O4:Q1048576">
    <cfRule type="expression" dxfId="118" priority="26">
      <formula>IF(M1=$CC$1,1,0)</formula>
    </cfRule>
    <cfRule type="expression" dxfId="117" priority="27">
      <formula>IF(M1=$AZ$1,1,0)</formula>
    </cfRule>
    <cfRule type="expression" dxfId="116" priority="28">
      <formula>IF(M1=$W$1,1,0)</formula>
    </cfRule>
  </conditionalFormatting>
  <conditionalFormatting sqref="CC4:DE21">
    <cfRule type="expression" dxfId="115" priority="25" stopIfTrue="1">
      <formula>IF($CW4&lt;&gt;"",1,0)</formula>
    </cfRule>
  </conditionalFormatting>
  <conditionalFormatting sqref="A4:B1048576">
    <cfRule type="expression" dxfId="114" priority="24">
      <formula>IF(A4&gt;4,1,0)</formula>
    </cfRule>
    <cfRule type="expression" dxfId="113" priority="1">
      <formula>AND($I4="P",$H4="")</formula>
    </cfRule>
  </conditionalFormatting>
  <conditionalFormatting sqref="J1:J1048576">
    <cfRule type="containsText" dxfId="112" priority="19" operator="containsText" text="No DD">
      <formula>NOT(ISERROR(SEARCH("No DD",J1)))</formula>
    </cfRule>
    <cfRule type="containsText" dxfId="111" priority="20" operator="containsText" text="Merit">
      <formula>NOT(ISERROR(SEARCH("Merit",J1)))</formula>
    </cfRule>
    <cfRule type="containsText" dxfId="110" priority="21" operator="containsText" text="Excellence">
      <formula>NOT(ISERROR(SEARCH("Excellence",J1)))</formula>
    </cfRule>
    <cfRule type="containsText" dxfId="109" priority="22" operator="containsText" text="Worlds Team">
      <formula>NOT(ISERROR(SEARCH("Worlds Team",J1)))</formula>
    </cfRule>
    <cfRule type="containsText" dxfId="108" priority="23" operator="containsText" text="National Team">
      <formula>NOT(ISERROR(SEARCH("National Team",J1)))</formula>
    </cfRule>
  </conditionalFormatting>
  <conditionalFormatting sqref="AV32:AV1048576 BY32:BY1048576 EG32:EG1048576 BY1:BY30 DB1:DB1048576 EG1:EG30 FI1:FI1048576 GK1:GK1048576 HM1:HM1048576 IO1:IO1048576 JQ1:JQ1048576 KS1:KS1048576 LU1:LU1048576 MW1:MW1048576 NY1:NY1048576 PA1:PA1048576 QC1:QC1048576 AV1:AV30">
    <cfRule type="cellIs" dxfId="107" priority="16" operator="between">
      <formula>AY$31</formula>
      <formula>1000</formula>
    </cfRule>
    <cfRule type="cellIs" dxfId="106" priority="17" operator="between">
      <formula>AY$30</formula>
      <formula>AY$31</formula>
    </cfRule>
    <cfRule type="cellIs" dxfId="105" priority="18" operator="between">
      <formula>AY$29</formula>
      <formula>AY$30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4" priority="116529" operator="between">
      <formula>AY$24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3" priority="116574" operator="between">
      <formula>AY$28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2" priority="116619" operator="between">
      <formula>AY$24</formula>
      <formula>AY$25</formula>
    </cfRule>
    <cfRule type="cellIs" dxfId="101" priority="116620" operator="between">
      <formula>AY$25</formula>
      <formula>AY$26</formula>
    </cfRule>
    <cfRule type="cellIs" dxfId="100" priority="116621" operator="between">
      <formula>AY$26</formula>
      <formula>AY$27</formula>
    </cfRule>
    <cfRule type="cellIs" dxfId="99" priority="116622" operator="between">
      <formula>AY$27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8" priority="116799" operator="between">
      <formula>AY$28</formula>
      <formula>AY$29</formula>
    </cfRule>
    <cfRule type="cellIs" dxfId="97" priority="116800" operator="between">
      <formula>AY$29</formula>
      <formula>AY$30</formula>
    </cfRule>
    <cfRule type="cellIs" dxfId="96" priority="116801" operator="between">
      <formula>AY$30</formula>
      <formula>AY$31</formula>
    </cfRule>
    <cfRule type="cellIs" dxfId="95" priority="116802" operator="between">
      <formula>AY$31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4" priority="116979" operator="between">
      <formula>AY$27</formula>
      <formula>1000</formula>
    </cfRule>
    <cfRule type="cellIs" dxfId="93" priority="116980" operator="between">
      <formula>AY$26</formula>
      <formula>AY$27</formula>
    </cfRule>
    <cfRule type="cellIs" dxfId="92" priority="116981" operator="between">
      <formula>AY$25</formula>
      <formula>AY$26</formula>
    </cfRule>
  </conditionalFormatting>
  <conditionalFormatting sqref="A1:B3">
    <cfRule type="expression" dxfId="91" priority="2">
      <formula>AND(I1&lt;&gt;"",H1="")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39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229</v>
      </c>
      <c r="B1" s="78" t="s">
        <v>230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231</v>
      </c>
      <c r="H1" s="78" t="s">
        <v>53</v>
      </c>
      <c r="I1" s="78" t="s">
        <v>8</v>
      </c>
      <c r="J1" s="74" t="s">
        <v>9</v>
      </c>
      <c r="K1" s="78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170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196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225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120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121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126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194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224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233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236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89</v>
      </c>
      <c r="X2" s="69"/>
      <c r="Y2" s="69"/>
      <c r="Z2" s="69"/>
      <c r="AA2" s="69" t="s">
        <v>90</v>
      </c>
      <c r="AB2" s="69"/>
      <c r="AC2" s="69"/>
      <c r="AD2" s="69"/>
      <c r="AE2" s="69" t="s">
        <v>91</v>
      </c>
      <c r="AF2" s="69"/>
      <c r="AG2" s="69"/>
      <c r="AH2" s="69"/>
      <c r="AI2" s="69" t="s">
        <v>92</v>
      </c>
      <c r="AJ2" s="69"/>
      <c r="AK2" s="69"/>
      <c r="AL2" s="69"/>
      <c r="AM2" s="79" t="s">
        <v>93</v>
      </c>
      <c r="AN2" s="79"/>
      <c r="AO2" s="79"/>
      <c r="AP2" s="79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69" t="s">
        <v>89</v>
      </c>
      <c r="CD2" s="69"/>
      <c r="CE2" s="69"/>
      <c r="CF2" s="69"/>
      <c r="CG2" s="69" t="s">
        <v>90</v>
      </c>
      <c r="CH2" s="69"/>
      <c r="CI2" s="69"/>
      <c r="CJ2" s="69"/>
      <c r="CK2" s="69" t="s">
        <v>91</v>
      </c>
      <c r="CL2" s="69"/>
      <c r="CM2" s="69"/>
      <c r="CN2" s="69"/>
      <c r="CO2" s="69" t="s">
        <v>92</v>
      </c>
      <c r="CP2" s="69"/>
      <c r="CQ2" s="69"/>
      <c r="CR2" s="69"/>
      <c r="CS2" s="79" t="s">
        <v>93</v>
      </c>
      <c r="CT2" s="79"/>
      <c r="CU2" s="79"/>
      <c r="CV2" s="79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69" t="s">
        <v>89</v>
      </c>
      <c r="DJ2" s="69"/>
      <c r="DK2" s="69"/>
      <c r="DL2" s="69"/>
      <c r="DM2" s="69" t="s">
        <v>90</v>
      </c>
      <c r="DN2" s="69"/>
      <c r="DO2" s="69"/>
      <c r="DP2" s="69"/>
      <c r="DQ2" s="69" t="s">
        <v>91</v>
      </c>
      <c r="DR2" s="69"/>
      <c r="DS2" s="69"/>
      <c r="DT2" s="69"/>
      <c r="DU2" s="69" t="s">
        <v>92</v>
      </c>
      <c r="DV2" s="69"/>
      <c r="DW2" s="69"/>
      <c r="DX2" s="69"/>
      <c r="DY2" s="81" t="s">
        <v>93</v>
      </c>
      <c r="DZ2" s="81"/>
      <c r="EA2" s="81"/>
      <c r="EB2" s="81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69" t="s">
        <v>89</v>
      </c>
      <c r="FN2" s="69"/>
      <c r="FO2" s="69"/>
      <c r="FP2" s="69"/>
      <c r="FQ2" s="69" t="s">
        <v>90</v>
      </c>
      <c r="FR2" s="69"/>
      <c r="FS2" s="69"/>
      <c r="FT2" s="69"/>
      <c r="FU2" s="69" t="s">
        <v>91</v>
      </c>
      <c r="FV2" s="69"/>
      <c r="FW2" s="69"/>
      <c r="FX2" s="69"/>
      <c r="FY2" s="69" t="s">
        <v>92</v>
      </c>
      <c r="FZ2" s="69"/>
      <c r="GA2" s="69"/>
      <c r="GB2" s="69"/>
      <c r="GC2" s="81" t="s">
        <v>93</v>
      </c>
      <c r="GD2" s="81"/>
      <c r="GE2" s="81"/>
      <c r="GF2" s="81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69" t="s">
        <v>89</v>
      </c>
      <c r="HR2" s="69"/>
      <c r="HS2" s="69"/>
      <c r="HT2" s="69"/>
      <c r="HU2" s="69" t="s">
        <v>90</v>
      </c>
      <c r="HV2" s="69"/>
      <c r="HW2" s="69"/>
      <c r="HX2" s="69"/>
      <c r="HY2" s="69" t="s">
        <v>91</v>
      </c>
      <c r="HZ2" s="69"/>
      <c r="IA2" s="69"/>
      <c r="IB2" s="69"/>
      <c r="IC2" s="69" t="s">
        <v>92</v>
      </c>
      <c r="ID2" s="69"/>
      <c r="IE2" s="69"/>
      <c r="IF2" s="69"/>
      <c r="IG2" s="81" t="s">
        <v>93</v>
      </c>
      <c r="IH2" s="81"/>
      <c r="II2" s="81"/>
      <c r="IJ2" s="81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69" t="s">
        <v>89</v>
      </c>
      <c r="JV2" s="69"/>
      <c r="JW2" s="69"/>
      <c r="JX2" s="69"/>
      <c r="JY2" s="69" t="s">
        <v>90</v>
      </c>
      <c r="JZ2" s="69"/>
      <c r="KA2" s="69"/>
      <c r="KB2" s="69"/>
      <c r="KC2" s="69" t="s">
        <v>91</v>
      </c>
      <c r="KD2" s="69"/>
      <c r="KE2" s="69"/>
      <c r="KF2" s="69"/>
      <c r="KG2" s="69" t="s">
        <v>92</v>
      </c>
      <c r="KH2" s="69"/>
      <c r="KI2" s="69"/>
      <c r="KJ2" s="69"/>
      <c r="KK2" s="81" t="s">
        <v>93</v>
      </c>
      <c r="KL2" s="81"/>
      <c r="KM2" s="81"/>
      <c r="KN2" s="81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69" t="s">
        <v>89</v>
      </c>
      <c r="LZ2" s="69"/>
      <c r="MA2" s="69"/>
      <c r="MB2" s="69"/>
      <c r="MC2" s="69" t="s">
        <v>90</v>
      </c>
      <c r="MD2" s="69"/>
      <c r="ME2" s="69"/>
      <c r="MF2" s="69"/>
      <c r="MG2" s="69" t="s">
        <v>91</v>
      </c>
      <c r="MH2" s="69"/>
      <c r="MI2" s="69"/>
      <c r="MJ2" s="69"/>
      <c r="MK2" s="69" t="s">
        <v>92</v>
      </c>
      <c r="ML2" s="69"/>
      <c r="MM2" s="69"/>
      <c r="MN2" s="69"/>
      <c r="MO2" s="81" t="s">
        <v>93</v>
      </c>
      <c r="MP2" s="81"/>
      <c r="MQ2" s="81"/>
      <c r="MR2" s="81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69" t="s">
        <v>89</v>
      </c>
      <c r="OD2" s="69"/>
      <c r="OE2" s="69"/>
      <c r="OF2" s="69"/>
      <c r="OG2" s="69" t="s">
        <v>90</v>
      </c>
      <c r="OH2" s="69"/>
      <c r="OI2" s="69"/>
      <c r="OJ2" s="69"/>
      <c r="OK2" s="69" t="s">
        <v>91</v>
      </c>
      <c r="OL2" s="69"/>
      <c r="OM2" s="69"/>
      <c r="ON2" s="69"/>
      <c r="OO2" s="69" t="s">
        <v>92</v>
      </c>
      <c r="OP2" s="69"/>
      <c r="OQ2" s="69"/>
      <c r="OR2" s="69"/>
      <c r="OS2" s="81" t="s">
        <v>93</v>
      </c>
      <c r="OT2" s="81"/>
      <c r="OU2" s="81"/>
      <c r="OV2" s="81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69" t="s">
        <v>89</v>
      </c>
      <c r="QH2" s="69"/>
      <c r="QI2" s="69"/>
      <c r="QJ2" s="69"/>
      <c r="QK2" s="69" t="s">
        <v>90</v>
      </c>
      <c r="QL2" s="69"/>
      <c r="QM2" s="69"/>
      <c r="QN2" s="69"/>
      <c r="QO2" s="69" t="s">
        <v>91</v>
      </c>
      <c r="QP2" s="69"/>
      <c r="QQ2" s="69"/>
      <c r="QR2" s="69"/>
      <c r="QS2" s="69" t="s">
        <v>92</v>
      </c>
      <c r="QT2" s="69"/>
      <c r="QU2" s="69"/>
      <c r="QV2" s="69"/>
      <c r="QW2" s="79" t="s">
        <v>93</v>
      </c>
      <c r="QX2" s="79"/>
      <c r="QY2" s="79"/>
      <c r="QZ2" s="79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DD"),SUMPRODUCT((J$4:J$20&lt;&gt;"")*(J$4:J$20&lt;&gt;"No DD")*(F$4:F$20&gt;F4))+1,IF(J4="No DD",SUMPRODUCT((J$4:J$20="No DD")*(F$4:F$20&gt;F4))+1+SUMPRODUCT((J$4:J$20&lt;&gt;"")*(J$4:J$20&lt;&gt;"No DD")),""))</f>
        <v>1</v>
      </c>
      <c r="B4" s="4" t="str" cm="1">
        <f t="array" ref="B4">IF(AND(J4&lt;&gt;"",J4&lt;&gt;"No DD",G4=""),SUMPRODUCT((J$4:J$20&lt;&gt;"")*(J$4:J$20&lt;&gt;"No DD")*(G$4:G$20="")*(F$4:F$20&gt;F4))+1,IF(J4="No DD",SUMPRODUCT((J$4:J$20="No DD")*(F$4:F$20&gt;F4)*(G$4:G$20=""))+1+SUMPRODUCT((J$4:J$20&lt;&gt;"")*(G$4:G$20="")*(J$4:J$20&lt;&gt;"No DD")),""))</f>
        <v/>
      </c>
      <c r="C4" s="5" t="s">
        <v>60</v>
      </c>
      <c r="D4" s="4" t="s">
        <v>3</v>
      </c>
      <c r="E4" s="4">
        <v>2003</v>
      </c>
      <c r="F4" s="9">
        <f t="shared" ref="F4:F19" si="0">SUM(L4:T4)+SUM(L4:P4)*0.0000001+SUM(L4)*0.0000000000001</f>
        <v>157.10001103000445</v>
      </c>
      <c r="G4" s="66" t="s">
        <v>46</v>
      </c>
      <c r="H4" s="3" t="str">
        <f t="shared" ref="H4:H19" si="1">IF(OR(AND(AR4&gt;=AY$22,AS4&gt;=AY$26,AR4&lt;&gt;"",AQ4=""),AND(AW4&gt;=AY$22,AX4&gt;=AY$26,AW4&lt;&gt;"",AQ4=""),AND(BU4&gt;=CB$22,BV4&gt;=CB$26,BU4&lt;&gt;"",BT4=""),AND(BZ4&gt;=CB$22,CA4&gt;=CB$26,BZ4&lt;&gt;"",BT4=""),AND(CX4&gt;=DE$22,CY4&gt;=DE$26,CX4&lt;&gt;"",CW4=""),AND(DC4&gt;=DE$22,DD4&gt;=DE$26,DC4&lt;&gt;""),AND(EC4&gt;=EJ$22,ED4&gt;=EJ$26,EC4&lt;&gt;""),AND(EH4&gt;=EJ$22,EI4&gt;=EJ$26,EH4&lt;&gt;""),AND(FE4&gt;=FL$22,FF4&gt;=FL$26,FE4&lt;&gt;""),AND(FJ4&gt;=FL$22,FK4&gt;=FL$26,FJ4&lt;&gt;""),AND(GG4&gt;=GN$22,GH4&gt;=GN$26,GG4&lt;&gt;""),AND(GL4&gt;=GN$22,GM4&gt;=GN$26,GL4&lt;&gt;""),AND(HI4&gt;=HP$22,HJ4&gt;=HP$26,HI4&lt;&gt;""),AND(HN4&gt;=HP$22,HO4&gt;=HP$26,HN4&lt;&gt;""),AND(IK4&gt;=IR$22,IL4&gt;=IR$26,IK4&lt;&gt;""),AND(IP4&gt;=IR$22,IQ4&gt;=IR$26,IP4&lt;&gt;""),AND(JM4&gt;=JT$22,JN4&gt;=JT$26,JM4&lt;&gt;""),AND(JR4&gt;=JT$22,JS4&gt;=JT$26,JR4&lt;&gt;""),AND(KO4&gt;=KV$22,KP4&gt;=KV$26,KO4&lt;&gt;""),AND(KT4&gt;=KV$22,KU4&gt;=KV$26,KT4&lt;&gt;""),AND(LQ4&gt;=LX$22,LR4&gt;=LX$26,LQ4&lt;&gt;""),AND(LV4&gt;=LX$22,LW4&gt;=LX$26,LV4&lt;&gt;""),AND(MS4&gt;=MZ$22,MT4&gt;=MZ$26,MS4&lt;&gt;""),AND(MX4&gt;=MZ$22,MY4&gt;=MZ$26,MX4&lt;&gt;""),AND(NU4&gt;=OB$22,NV4&gt;=OB$26,NU4&lt;&gt;""),AND(NZ4&gt;=OB$22,OA4&gt;=OB$26,NZ4&lt;&gt;""),AND(OW4&gt;=PD$22,OX4&gt;=PD$26,OW4&lt;&gt;""),AND(PB4&gt;=PD$22,PC4&gt;=PD$26,PB4&lt;&gt;""),AND(PY4&gt;=QF$22,PZ4&gt;=QF$26,PY4&lt;&gt;""),AND(QD4&gt;=QF$22,QE4&gt;=QF$26,QD4&lt;&gt;"")),"P","")</f>
        <v>P</v>
      </c>
      <c r="I4" s="3" t="str">
        <f t="shared" ref="I4:I19" si="2">IF(OR(AND(AS4&gt;=AY$26,AS4&lt;&gt;"",AQ4=""),AND(AX4&gt;=AY$26,AX4&lt;&gt;"",AQ4=""),AND(BV4&gt;=CB$26,BV4&lt;&gt;"",BT4=""),AND(CA4&gt;=CB$26,CA4&lt;&gt;"",BT4=""),AND(CY4&gt;=DE$26,CY4&lt;&gt;"",CW4=""),AND(DD4&gt;=DE$26,DD4&lt;&gt;"",CW4=""),AND(ED4&gt;=EJ$26,ED4&lt;&gt;""),AND(EI4&gt;=EJ$26,EI4&lt;&gt;""),AND(FF4&gt;=FL$26,FF4&lt;&gt;""),AND(FK4&gt;=FL$26,FK4&lt;&gt;""),AND(GH4&gt;=GN$26,GH4&lt;&gt;""),AND(GM4&gt;=GN$26,GM4&lt;&gt;""),AND(HJ4&gt;=HP$26,HJ4&lt;&gt;""),AND(HO4&gt;=HP$26,HO4&lt;&gt;""),AND(IL4&gt;=IR$26,IL4&lt;&gt;""),AND(IQ4&gt;=IR$26,IQ4&lt;&gt;""),AND(JN4&gt;=JT$26,JN4&lt;&gt;""),AND(JS4&gt;=JT$26,JS4&lt;&gt;""),AND(KP4&gt;=KV$26,KP4&lt;&gt;""),AND(KU4&gt;=KV$26,KU4&lt;&gt;""),AND(LR4&gt;=LX$26,LR4&lt;&gt;""),AND(LW4&gt;=LX$26,LW4&lt;&gt;""),AND(MT4&gt;=MZ$26,MT4&lt;&gt;""),AND(MY4&gt;=MZ$26,MY4&lt;&gt;""),AND(NV4&gt;=OB$26,NV4&lt;&gt;""),AND(OA4&gt;=OB$26,OA4&lt;&gt;""),AND(OX4&gt;=PD$26,OX4&lt;&gt;""),AND(PC4&gt;=PD$26,PC4&lt;&gt;""),AND(PZ4&gt;=QF$26,PZ4&lt;&gt;""),AND(QE4&gt;=QF$26,QE4&lt;&gt;"")),"P","")</f>
        <v>P</v>
      </c>
      <c r="J4" s="36" t="str">
        <f t="shared" ref="J4:J19" si="3">IF(AND(I4="P",H4=""),"No DD",IF(OR(AND(AU4&gt;=AY$25,AV4&gt;=AY$29,AU4&lt;&gt;"",AQ4=""),AND(BX4&gt;=CB$25,BY4&gt;=CB$29,BX4&lt;&gt;"",BT4=""),AND(DA4&gt;=DE$25,DB4&gt;=DE$29,DA4&lt;&gt;"",CW4=""),AND(EF4&gt;=EJ$25,EG4&gt;=EJ$29,EF4&lt;&gt;""),AND(FH4&gt;=FL$25,FI4&gt;=FL$29,FH4&lt;&gt;""),AND(GJ4&gt;=GN$25,GK4&gt;=GN$29,GJ4&lt;&gt;""),AND(HL4&gt;=HP$25,HM4&gt;=HP$29,HL4&lt;&gt;""),AND(IN4&gt;=IR$25,IO4&gt;=IR$29,IN4&lt;&gt;""),AND(JP4&gt;=JT$25,JQ4&gt;=JT$29,JP4&lt;&gt;""),AND(KR4&gt;=KV$25,KS4&gt;=KV$29,KR4&lt;&gt;""),AND(LT4&gt;=LX$25,LU4&gt;=LX$29,LT4&lt;&gt;""),AND(MV4&gt;=MZ$25,MW4&gt;=MZ$29,MV4&lt;&gt;""),AND(NX4&gt;=OB$25,NY4&gt;=OB$29,NX4&lt;&gt;""),AND(OZ4&gt;=PD$25,PA4&gt;=PD$29,OZ4&lt;&gt;""),AND(QB4&gt;=QF$25,QC4&gt;=QF$29,QB4&lt;&gt;"")),"Merit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Excellence",IF(K4="P","Worlds Team",IF(H4="P","National Team","")))))</f>
        <v>National Team</v>
      </c>
      <c r="K4" s="3" t="str">
        <f t="shared" ref="K4:K19" si="4">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P","")</f>
        <v/>
      </c>
      <c r="L4" s="8">
        <f>IF(COUNT(AS4,BV4,CY4)&gt;0,LARGE((AS4,BV4,CY4),1),0)</f>
        <v>44.70000000000001</v>
      </c>
      <c r="M4" s="8" t="str">
        <f t="shared" ref="M4:M19" si="5">IF(L4=0,"",IF(L4=CY4,$CC$1,IF(L4=BV4,$AZ$1,IF(L4=AS4,$W$1,""))))</f>
        <v>2023 Nationals</v>
      </c>
      <c r="N4" s="8">
        <f>IF(COUNT(AS4,BV4,CY4)&gt;1,LARGE((AS4,BV4,CY4),2),0)</f>
        <v>43.399999999999991</v>
      </c>
      <c r="O4" s="8" t="str">
        <f t="shared" ref="O4:O19" si="6">IF(N4=0,"",IF(N4=CY4,$CC$1,IF(N4=BV4,$AZ$1,IF(N4=AS4,$W$1,""))))</f>
        <v>2023 Elite Canada</v>
      </c>
      <c r="P4" s="8">
        <f>IF(COUNT(AT4,BW4,CZ4)&gt;0,LARGE((AT4,BW4,CZ4),1),0)</f>
        <v>22.200000000000003</v>
      </c>
      <c r="Q4" s="8" t="str">
        <f t="shared" ref="Q4:Q19" si="7">IF(P4=0,"",IF(P4=CZ4,$CC$1,IF(P4=BW4,$AZ$1,IF(P4=AT4,$W$1,""))))</f>
        <v>2023 Elite Canada</v>
      </c>
      <c r="R4" s="8">
        <f t="shared" ref="R4:R19" si="8">IF(MAX(AX4,CA4,DD4)&gt;0,MAX(AX4,CA4,DD4),0)</f>
        <v>45.4</v>
      </c>
      <c r="S4" s="8" t="str">
        <f t="shared" ref="S4:S19" si="9">IF(R4=0,"",IF(R4=DD4,$CC$1,IF(R4=CA4,$AZ$1,IF(R4=AX4,$W$1,""))))</f>
        <v>2023 Nationals</v>
      </c>
      <c r="T4" s="8">
        <f t="shared" ref="T4:T19" si="10">IF(MAX(DF4:DH4)&gt;0,MAX(DF4:DH4),"")</f>
        <v>1.4000000000000128</v>
      </c>
      <c r="U4" s="11" t="str">
        <f t="shared" ref="U4:U19" si="11">IF(T4="","",IF(T4=DF4,"("&amp;DF$2&amp;")",IF(T4=DG4,"("&amp;DG$2&amp;")",IF(T4=DH4,"("&amp;DH$2&amp;")"))))</f>
        <v>(Q1)</v>
      </c>
      <c r="V4" s="8" t="str">
        <f t="shared" ref="V4:V19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USA (Aug 5)</v>
      </c>
      <c r="W4" s="19">
        <v>17.3</v>
      </c>
      <c r="X4" s="19">
        <v>3.9</v>
      </c>
      <c r="Y4" s="19">
        <v>0</v>
      </c>
      <c r="Z4" s="19">
        <v>0.3</v>
      </c>
      <c r="AA4" s="19">
        <v>17.3</v>
      </c>
      <c r="AB4" s="19">
        <v>4.3</v>
      </c>
      <c r="AC4" s="19">
        <v>0</v>
      </c>
      <c r="AD4" s="19">
        <v>0.3</v>
      </c>
      <c r="AE4" s="19">
        <v>16.8</v>
      </c>
      <c r="AF4" s="19">
        <v>4.8</v>
      </c>
      <c r="AG4" s="19">
        <v>0</v>
      </c>
      <c r="AH4" s="19">
        <v>0.6</v>
      </c>
      <c r="AI4" s="19">
        <v>17.100000000000001</v>
      </c>
      <c r="AJ4" s="19">
        <v>4.3</v>
      </c>
      <c r="AK4" s="19">
        <v>0</v>
      </c>
      <c r="AL4" s="19">
        <v>0.3</v>
      </c>
      <c r="AM4" s="19">
        <v>14.9</v>
      </c>
      <c r="AN4" s="19">
        <v>4.8</v>
      </c>
      <c r="AO4" s="19">
        <v>0</v>
      </c>
      <c r="AP4" s="19">
        <v>0.6</v>
      </c>
      <c r="AQ4" s="27"/>
      <c r="AR4" s="40">
        <f t="shared" ref="AR4:AR19" si="13">IF(SUM(X4,AB4)&gt;0,SUM(X4,AB4),"")</f>
        <v>8.1999999999999993</v>
      </c>
      <c r="AS4" s="40">
        <f t="shared" ref="AS4:AS19" si="14">IF(SUM(W4:X4,Z4:AB4,AD4)-Y4-AC4&gt;0,SUM(W4:X4,Z4:AB4,AD4)-Y4-AC4,"")</f>
        <v>43.399999999999991</v>
      </c>
      <c r="AT4" s="40">
        <f t="shared" ref="AT4:AT19" si="15">IF(SUM(AE4:AF4,AH4)-AG4&gt;0,SUM(AE4:AF4,AH4)-AG4,"")</f>
        <v>22.200000000000003</v>
      </c>
      <c r="AU4" s="40">
        <f t="shared" ref="AU4:AU19" si="16">IF(SUM(X4,AB4,AF4)&gt;0,SUM(X4,AB4,AF4),"")</f>
        <v>13</v>
      </c>
      <c r="AV4" s="40">
        <f t="shared" ref="AV4:AV19" si="17">IF(SUM(AS4,AT4)&gt;0,SUM(AS4,AT4),"")</f>
        <v>65.599999999999994</v>
      </c>
      <c r="AW4" s="40">
        <f t="shared" ref="AW4:AW19" si="18">IF(SUM(AJ4,AN4)&gt;0,SUM(AJ4,AN4),"")</f>
        <v>9.1</v>
      </c>
      <c r="AX4" s="40">
        <f t="shared" ref="AX4:AX19" si="19">IF(SUM(AI4:AJ4,AL4:AN4,AP4)-SUM(AK4,AO4)&gt;0,SUM(AI4:AJ4,AL4:AN4,AP4)-SUM(AK4,AO4),"")</f>
        <v>42</v>
      </c>
      <c r="AY4" s="40">
        <f t="shared" ref="AY4:AY19" si="20">IF(SUM(AS4,AT4,AX4)&gt;0,SUM(AS4,AT4,AX4),"")</f>
        <v>107.6</v>
      </c>
      <c r="AZ4" s="18">
        <v>16.7</v>
      </c>
      <c r="BA4" s="18">
        <v>5</v>
      </c>
      <c r="BB4" s="18">
        <v>0</v>
      </c>
      <c r="BC4" s="18">
        <v>0.6</v>
      </c>
      <c r="BD4" s="18">
        <v>16.600000000000001</v>
      </c>
      <c r="BE4" s="18">
        <v>5.2</v>
      </c>
      <c r="BF4" s="18">
        <v>0</v>
      </c>
      <c r="BG4" s="18">
        <v>0.6</v>
      </c>
      <c r="BH4" s="18">
        <v>14.9</v>
      </c>
      <c r="BI4" s="18">
        <v>5</v>
      </c>
      <c r="BJ4" s="18">
        <v>0</v>
      </c>
      <c r="BK4" s="18">
        <v>0.6</v>
      </c>
      <c r="BL4" s="18">
        <v>17.2</v>
      </c>
      <c r="BM4" s="18">
        <v>5</v>
      </c>
      <c r="BN4" s="18">
        <v>0</v>
      </c>
      <c r="BO4" s="18">
        <v>0.6</v>
      </c>
      <c r="BP4" s="18">
        <v>17</v>
      </c>
      <c r="BQ4" s="18">
        <v>5.2</v>
      </c>
      <c r="BR4" s="18">
        <v>0.2</v>
      </c>
      <c r="BS4" s="18">
        <v>0.6</v>
      </c>
      <c r="BT4" s="28"/>
      <c r="BU4" s="11">
        <f t="shared" ref="BU4:BU19" si="21">IF(SUM(BA4,BE4)&gt;0,SUM(BA4,BE4),"")</f>
        <v>10.199999999999999</v>
      </c>
      <c r="BV4" s="11">
        <f t="shared" ref="BV4:BV19" si="22">IF(SUM(AZ4:BA4,BC4:BE4,BG4)-BB4-BF4&gt;0,SUM(AZ4:BA4,BC4:BE4,BG4)-BB4-BF4,"")</f>
        <v>44.70000000000001</v>
      </c>
      <c r="BW4" s="11">
        <f t="shared" ref="BW4:BW19" si="23">IF(SUM(BH4:BI4,BK4)-BJ4&gt;0,SUM(BH4:BI4,BK4)-BJ4,"")</f>
        <v>20.5</v>
      </c>
      <c r="BX4" s="11">
        <f t="shared" ref="BX4:BX19" si="24">IF(SUM(BA4,BE4,BI4)&gt;0,SUM(BA4,BE4,BI4),"")</f>
        <v>15.2</v>
      </c>
      <c r="BY4" s="11">
        <f t="shared" ref="BY4:BY19" si="25">IF(SUM(BV4,BW4)&gt;0,SUM(BV4,BW4),"")</f>
        <v>65.200000000000017</v>
      </c>
      <c r="BZ4" s="11">
        <f t="shared" ref="BZ4:BZ19" si="26">IF(SUM(BM4,BQ4)&gt;0,SUM(BM4,BQ4),"")</f>
        <v>10.199999999999999</v>
      </c>
      <c r="CA4" s="11">
        <f t="shared" ref="CA4:CA19" si="27">IF(SUM(BL4:BM4,BO4:BQ4,BS4)-SUM(BN4,BR4)&gt;0,SUM(BL4:BM4,BO4:BQ4,BS4)-SUM(BN4,BR4),"")</f>
        <v>45.4</v>
      </c>
      <c r="CB4" s="11">
        <f t="shared" ref="CB4:CB19" si="28">IF(SUM(BV4,BW4,CA4)&gt;0,SUM(BV4,BW4,CA4),"")</f>
        <v>110.60000000000002</v>
      </c>
      <c r="CC4" s="19">
        <v>15.4</v>
      </c>
      <c r="CD4" s="19">
        <v>5</v>
      </c>
      <c r="CE4" s="19">
        <v>0</v>
      </c>
      <c r="CF4" s="19">
        <v>0.6</v>
      </c>
      <c r="CG4" s="19">
        <v>17</v>
      </c>
      <c r="CH4" s="19">
        <v>4.5999999999999996</v>
      </c>
      <c r="CI4" s="19">
        <v>0</v>
      </c>
      <c r="CJ4" s="19">
        <v>0.6</v>
      </c>
      <c r="CK4" s="19">
        <v>15.9</v>
      </c>
      <c r="CL4" s="19">
        <v>2.6</v>
      </c>
      <c r="CM4" s="19">
        <v>0</v>
      </c>
      <c r="CN4" s="19">
        <v>0.6</v>
      </c>
      <c r="CO4" s="19">
        <v>16.3</v>
      </c>
      <c r="CP4" s="19">
        <v>4.5999999999999996</v>
      </c>
      <c r="CQ4" s="19">
        <v>0</v>
      </c>
      <c r="CR4" s="19">
        <v>0.6</v>
      </c>
      <c r="CS4" s="19">
        <v>16.5</v>
      </c>
      <c r="CT4" s="19">
        <v>4.8</v>
      </c>
      <c r="CU4" s="19">
        <v>0</v>
      </c>
      <c r="CV4" s="19">
        <v>0.6</v>
      </c>
      <c r="CW4" s="27"/>
      <c r="CX4" s="40">
        <f t="shared" ref="CX4:CX19" si="29">IF(SUM(CD4,CH4)&gt;0,SUM(CD4,CH4),"")</f>
        <v>9.6</v>
      </c>
      <c r="CY4" s="40">
        <f t="shared" ref="CY4:CY19" si="30">IF(SUM(CC4:CD4,CF4:CH4,CJ4)-CE4-CI4&gt;0,SUM(CC4:CD4,CF4:CH4,CJ4)-CE4-CI4,"")</f>
        <v>43.2</v>
      </c>
      <c r="CZ4" s="40">
        <f t="shared" ref="CZ4:CZ19" si="31">IF(SUM(CK4:CL4,CN4)-CM4&gt;0,SUM(CK4:CL4,CN4)-CM4,"")</f>
        <v>19.100000000000001</v>
      </c>
      <c r="DA4" s="40">
        <f t="shared" ref="DA4:DA19" si="32">IF(SUM(CD4,CH4,CL4)&gt;0,SUM(CD4,CH4,CL4),"")</f>
        <v>12.2</v>
      </c>
      <c r="DB4" s="40">
        <f t="shared" ref="DB4:DB19" si="33">IF(SUM(CY4,CZ4)&gt;0,SUM(CY4,CZ4),"")</f>
        <v>62.300000000000004</v>
      </c>
      <c r="DC4" s="40">
        <f t="shared" ref="DC4:DC19" si="34">IF(SUM(CP4,CT4)&gt;0,SUM(CP4,CT4),"")</f>
        <v>9.3999999999999986</v>
      </c>
      <c r="DD4" s="40">
        <f t="shared" ref="DD4:DD19" si="35">IF(SUM(CO4:CP4,CR4:CT4,CV4)-SUM(CQ4,CU4)&gt;0,SUM(CO4:CP4,CR4:CT4,CV4)-SUM(CQ4,CU4),"")</f>
        <v>43.4</v>
      </c>
      <c r="DE4" s="40">
        <f t="shared" ref="DE4:DE19" si="36">IF(SUM(CY4,CZ4,DD4)&gt;0,SUM(CY4,CZ4,DD4),"")</f>
        <v>105.7</v>
      </c>
      <c r="DF4" s="50">
        <f t="shared" ref="DF4:DF19" si="37">IF(MAX(ED4,FF4,GH4,HJ4,IL4,JN4,KP4,LR4,MT4,NV4,OX4,PZ4)-IF(N4="",0,N4)&gt;0.001,MAX(ED4,FF4,GH4,HJ4,IL4,JN4,KP4,LR4,MT4,NV4,OX4,PZ4)-IF(N4="",0,N4),"")</f>
        <v>1.4000000000000128</v>
      </c>
      <c r="DG4" s="50" t="str">
        <f t="shared" ref="DG4:DG19" si="38">IF(MAX(EE4,FG4,GI4,HK4,IM4,JO4,KQ4,LS4,MU4,NW4,OY4,QA4)-IF(P4="",0,P4)&gt;0.001,MAX(EE4,FG4,GI4,HK4,IM4,JO4,KQ4,LS4,MU4,NW4,OY4,QA4)-IF(P4="",0,P4),"")</f>
        <v/>
      </c>
      <c r="DH4" s="50" t="str">
        <f t="shared" ref="DH4:DH19" si="39">IF(MAX(EI4,FK4,GM4,HO4,IQ4,JS4,KU4,LW4,MY4,OA4,PC4,QE4)-IF(R4="",0,R4)&gt;0.001,MAX(EI4,FK4,GM4,HO4,IQ4,JS4,KU4,LW4,MY4,OA4,PC4,QE4)-IF(R4="",0,R4),"")</f>
        <v/>
      </c>
      <c r="DI4" s="17">
        <v>16.7</v>
      </c>
      <c r="DJ4" s="17">
        <v>4.5999999999999996</v>
      </c>
      <c r="DK4" s="17">
        <v>0</v>
      </c>
      <c r="DL4" s="17">
        <v>0</v>
      </c>
      <c r="DM4" s="17">
        <v>15.2</v>
      </c>
      <c r="DN4" s="17">
        <v>4.8</v>
      </c>
      <c r="DO4" s="17">
        <v>0.4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 t="shared" ref="EC4:EC19" si="40">IF(SUM(DJ4,DN4)&gt;0,SUM(DJ4,DN4),"")</f>
        <v>9.3999999999999986</v>
      </c>
      <c r="ED4" s="40">
        <f t="shared" ref="ED4:ED19" si="41">IF(SUM(DI4:DJ4,DL4:DN4,DP4)-DK4-DO4&gt;0,SUM(DI4:DJ4,DL4:DN4,DP4)-DK4-DO4,"")</f>
        <v>40.9</v>
      </c>
      <c r="EE4" s="40" t="str">
        <f t="shared" ref="EE4:EE19" si="42">IF(SUM(DQ4:DR4,DT4)-DS4&gt;0,SUM(DQ4:DR4,DT4)-DS4,"")</f>
        <v/>
      </c>
      <c r="EF4" s="40">
        <f t="shared" ref="EF4:EF19" si="43">IF(SUM(DJ4,DN4,DR4)&gt;0,SUM(DJ4,DN4,DR4),"")</f>
        <v>9.3999999999999986</v>
      </c>
      <c r="EG4" s="40">
        <f t="shared" ref="EG4:EG19" si="44">IF(SUM(ED4,EE4)&gt;0,SUM(ED4,EE4),"")</f>
        <v>40.9</v>
      </c>
      <c r="EH4" s="40" t="str">
        <f t="shared" ref="EH4:EH19" si="45">IF(SUM(DV4,DZ4)&gt;0,SUM(DV4,DZ4),"")</f>
        <v/>
      </c>
      <c r="EI4" s="40" t="str">
        <f t="shared" ref="EI4:EI19" si="46">IF(SUM(DU4:DV4,DX4:DZ4,EB4)-SUM(DW4,EA4)&gt;0,SUM(DU4:DV4,DX4:DZ4,EB4)-SUM(DW4,EA4),"")</f>
        <v/>
      </c>
      <c r="EJ4" s="40">
        <f t="shared" ref="EJ4:EJ19" si="47">IF(SUM(ED4,EE4,EI4)&gt;0,SUM(ED4,EE4,EI4),"")</f>
        <v>40.9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 t="shared" ref="FE4:FE19" si="48">IF(SUM(EL4,EP4)&gt;0,SUM(EL4,EP4),"")</f>
        <v/>
      </c>
      <c r="FF4" s="11" t="str">
        <f t="shared" ref="FF4:FF19" si="49">IF(SUM(EK4:EL4,EN4:EP4,ER4)-EM4-EQ4&gt;0,SUM(EK4:EL4,EN4:EP4,ER4)-EM4-EQ4,"")</f>
        <v/>
      </c>
      <c r="FG4" s="11" t="str">
        <f t="shared" ref="FG4:FG19" si="50">IF(SUM(ES4:ET4,EV4)-EU4&gt;0,SUM(ES4:ET4,EV4)-EU4,"")</f>
        <v/>
      </c>
      <c r="FH4" s="11" t="str">
        <f t="shared" ref="FH4:FH19" si="51">IF(SUM(EL4,EP4,ET4)&gt;0,SUM(EL4,EP4,ET4),"")</f>
        <v/>
      </c>
      <c r="FI4" s="11" t="str">
        <f t="shared" ref="FI4:FI19" si="52">IF(SUM(FF4,FG4)&gt;0,SUM(FF4,FG4),"")</f>
        <v/>
      </c>
      <c r="FJ4" s="11" t="str">
        <f t="shared" ref="FJ4:FJ19" si="53">IF(SUM(EX4,FB4)&gt;0,SUM(EX4,FB4),"")</f>
        <v/>
      </c>
      <c r="FK4" s="11" t="str">
        <f t="shared" ref="FK4:FK19" si="54">IF(SUM(EW4:EX4,EZ4:FB4,FD4)-SUM(EY4,FC4)&gt;0,SUM(EW4:EX4,EZ4:FB4,FD4)-SUM(EY4,FC4),"")</f>
        <v/>
      </c>
      <c r="FL4" s="11" t="str">
        <f t="shared" ref="FL4:FL19" si="55"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 t="shared" ref="GG4:GG19" si="56">IF(SUM(FN4,FR4)&gt;0,SUM(FN4,FR4),"")</f>
        <v/>
      </c>
      <c r="GH4" s="40" t="str">
        <f t="shared" ref="GH4:GH19" si="57">IF(SUM(FM4:FN4,FP4:FR4,FT4)-FO4-FS4&gt;0,SUM(FM4:FN4,FP4:FR4,FT4)-FO4-FS4,"")</f>
        <v/>
      </c>
      <c r="GI4" s="40" t="str">
        <f t="shared" ref="GI4:GI19" si="58">IF(SUM(FU4:FV4,FX4)-FW4&gt;0,SUM(FU4:FV4,FX4)-FW4,"")</f>
        <v/>
      </c>
      <c r="GJ4" s="40" t="str">
        <f t="shared" ref="GJ4:GJ19" si="59">IF(SUM(FN4,FR4,FV4)&gt;0,SUM(FN4,FR4,FV4),"")</f>
        <v/>
      </c>
      <c r="GK4" s="40" t="str">
        <f t="shared" ref="GK4:GK19" si="60">IF(SUM(GH4,GI4)&gt;0,SUM(GH4,GI4),"")</f>
        <v/>
      </c>
      <c r="GL4" s="40" t="str">
        <f t="shared" ref="GL4:GL19" si="61">IF(SUM(FZ4,GD4)&gt;0,SUM(FZ4,GD4),"")</f>
        <v/>
      </c>
      <c r="GM4" s="40" t="str">
        <f t="shared" ref="GM4:GM19" si="62">IF(SUM(FY4:FZ4,GB4:GD4,GF4)-SUM(GA4,GE4)&gt;0,SUM(FY4:FZ4,GB4:GD4,GF4)-SUM(GA4,GE4),"")</f>
        <v/>
      </c>
      <c r="GN4" s="40" t="str">
        <f t="shared" ref="GN4:GN19" si="63">IF(SUM(GH4,GI4,GM4)&gt;0,SUM(GH4,GI4,GM4),"")</f>
        <v/>
      </c>
      <c r="GO4" s="18">
        <v>16.7</v>
      </c>
      <c r="GP4" s="18">
        <v>4.3</v>
      </c>
      <c r="GQ4" s="18">
        <v>0</v>
      </c>
      <c r="GR4" s="18">
        <v>0</v>
      </c>
      <c r="GS4" s="18">
        <v>15.1</v>
      </c>
      <c r="GT4" s="18">
        <v>5.2</v>
      </c>
      <c r="GU4" s="18">
        <v>0.2</v>
      </c>
      <c r="GV4" s="18">
        <v>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>
        <f t="shared" ref="HI4:HI19" si="64">IF(SUM(GP4,GT4)&gt;0,SUM(GP4,GT4),"")</f>
        <v>9.5</v>
      </c>
      <c r="HJ4" s="11">
        <f t="shared" ref="HJ4:HJ19" si="65">IF(SUM(GO4:GP4,GR4:GT4,GV4)-GQ4-GU4&gt;0,SUM(GO4:GP4,GR4:GT4,GV4)-GQ4-GU4,"")</f>
        <v>41.1</v>
      </c>
      <c r="HK4" s="11" t="str">
        <f t="shared" ref="HK4:HK19" si="66">IF(SUM(GW4:GX4,GZ4)-GY4&gt;0,SUM(GW4:GX4,GZ4)-GY4,"")</f>
        <v/>
      </c>
      <c r="HL4" s="11">
        <f t="shared" ref="HL4:HL19" si="67">IF(SUM(GP4,GT4,GX4)&gt;0,SUM(GP4,GT4,GX4),"")</f>
        <v>9.5</v>
      </c>
      <c r="HM4" s="11">
        <f t="shared" ref="HM4:HM19" si="68">IF(SUM(HJ4,HK4)&gt;0,SUM(HJ4,HK4),"")</f>
        <v>41.1</v>
      </c>
      <c r="HN4" s="11" t="str">
        <f t="shared" ref="HN4:HN19" si="69">IF(SUM(HB4,HF4)&gt;0,SUM(HB4,HF4),"")</f>
        <v/>
      </c>
      <c r="HO4" s="11" t="str">
        <f t="shared" ref="HO4:HO19" si="70">IF(SUM(HA4:HB4,HD4:HF4,HH4)-SUM(HC4,HG4)&gt;0,SUM(HA4:HB4,HD4:HF4,HH4)-SUM(HC4,HG4),"")</f>
        <v/>
      </c>
      <c r="HP4" s="11">
        <f t="shared" ref="HP4:HP19" si="71">IF(SUM(HJ4,HK4,HO4)&gt;0,SUM(HJ4,HK4,HO4),"")</f>
        <v>41.1</v>
      </c>
      <c r="HQ4" s="17">
        <v>17.100000000000001</v>
      </c>
      <c r="HR4" s="17">
        <v>5</v>
      </c>
      <c r="HS4" s="17">
        <v>0</v>
      </c>
      <c r="HT4" s="17">
        <v>0</v>
      </c>
      <c r="HU4" s="17">
        <v>17.5</v>
      </c>
      <c r="HV4" s="17">
        <v>5.2</v>
      </c>
      <c r="HW4" s="17">
        <v>0</v>
      </c>
      <c r="HX4" s="17">
        <v>0</v>
      </c>
      <c r="HY4" s="17"/>
      <c r="HZ4" s="17"/>
      <c r="IA4" s="17"/>
      <c r="IB4" s="17"/>
      <c r="IC4" s="17">
        <v>16.899999999999999</v>
      </c>
      <c r="ID4" s="17">
        <v>5</v>
      </c>
      <c r="IE4" s="17">
        <v>0</v>
      </c>
      <c r="IF4" s="17">
        <v>0</v>
      </c>
      <c r="IG4" s="17"/>
      <c r="IH4" s="17"/>
      <c r="II4" s="17"/>
      <c r="IJ4" s="17"/>
      <c r="IK4" s="40">
        <f t="shared" ref="IK4:IK19" si="72">IF(SUM(HR4,HV4)&gt;0,SUM(HR4,HV4),"")</f>
        <v>10.199999999999999</v>
      </c>
      <c r="IL4" s="40">
        <f t="shared" ref="IL4:IL19" si="73">IF(SUM(HQ4:HR4,HT4:HV4,HX4)-HS4-HW4&gt;0,SUM(HQ4:HR4,HT4:HV4,HX4)-HS4-HW4,"")</f>
        <v>44.800000000000004</v>
      </c>
      <c r="IM4" s="40" t="str">
        <f t="shared" ref="IM4:IM19" si="74">IF(SUM(HY4:HZ4,IB4)-IA4&gt;0,SUM(HY4:HZ4,IB4)-IA4,"")</f>
        <v/>
      </c>
      <c r="IN4" s="40">
        <f t="shared" ref="IN4:IN19" si="75">IF(SUM(HR4,HV4,HZ4)&gt;0,SUM(HR4,HV4,HZ4),"")</f>
        <v>10.199999999999999</v>
      </c>
      <c r="IO4" s="40">
        <f t="shared" ref="IO4:IO19" si="76">IF(SUM(IL4,IM4)&gt;0,SUM(IL4,IM4),"")</f>
        <v>44.800000000000004</v>
      </c>
      <c r="IP4" s="40">
        <f t="shared" ref="IP4:IP19" si="77">IF(SUM(ID4,IH4)&gt;0,SUM(ID4,IH4),"")</f>
        <v>5</v>
      </c>
      <c r="IQ4" s="40">
        <f t="shared" ref="IQ4:IQ19" si="78">IF(SUM(IC4:ID4,IF4:IH4,IJ4)-SUM(IE4,II4)&gt;0,SUM(IC4:ID4,IF4:IH4,IJ4)-SUM(IE4,II4),"")</f>
        <v>21.9</v>
      </c>
      <c r="IR4" s="40">
        <f t="shared" ref="IR4:IR19" si="79">IF(SUM(IL4,IM4,IQ4)&gt;0,SUM(IL4,IM4,IQ4),"")</f>
        <v>66.7</v>
      </c>
      <c r="IS4" s="18">
        <v>16.5</v>
      </c>
      <c r="IT4" s="18">
        <v>5</v>
      </c>
      <c r="IU4" s="18">
        <v>0.2</v>
      </c>
      <c r="IV4" s="18">
        <v>0</v>
      </c>
      <c r="IW4" s="18">
        <v>17.2</v>
      </c>
      <c r="IX4" s="18">
        <v>5</v>
      </c>
      <c r="IY4" s="18">
        <v>0.2</v>
      </c>
      <c r="IZ4" s="18">
        <v>0</v>
      </c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>
        <f t="shared" ref="JM4:JM19" si="80">IF(SUM(IT4,IX4)&gt;0,SUM(IT4,IX4),"")</f>
        <v>10</v>
      </c>
      <c r="JN4" s="11">
        <f t="shared" ref="JN4:JN19" si="81">IF(SUM(IS4:IT4,IV4:IX4,IZ4)-IU4-IY4&gt;0,SUM(IS4:IT4,IV4:IX4,IZ4)-IU4-IY4,"")</f>
        <v>43.3</v>
      </c>
      <c r="JO4" s="11" t="str">
        <f t="shared" ref="JO4:JO19" si="82">IF(SUM(JA4:JB4,JD4)-JC4&gt;0,SUM(JA4:JB4,JD4)-JC4,"")</f>
        <v/>
      </c>
      <c r="JP4" s="11">
        <f t="shared" ref="JP4:JP19" si="83">IF(SUM(IT4,IX4,JB4)&gt;0,SUM(IT4,IX4,JB4),"")</f>
        <v>10</v>
      </c>
      <c r="JQ4" s="11">
        <f t="shared" ref="JQ4:JQ19" si="84">IF(SUM(JN4,JO4)&gt;0,SUM(JN4,JO4),"")</f>
        <v>43.3</v>
      </c>
      <c r="JR4" s="11" t="str">
        <f t="shared" ref="JR4:JR19" si="85">IF(SUM(JF4,JJ4)&gt;0,SUM(JF4,JJ4),"")</f>
        <v/>
      </c>
      <c r="JS4" s="11" t="str">
        <f t="shared" ref="JS4:JS19" si="86">IF(SUM(JE4:JF4,JH4:JJ4,JL4)-SUM(JG4,JK4)&gt;0,SUM(JE4:JF4,JH4:JJ4,JL4)-SUM(JG4,JK4),"")</f>
        <v/>
      </c>
      <c r="JT4" s="11">
        <f t="shared" ref="JT4:JT19" si="87">IF(SUM(JN4,JO4,JS4)&gt;0,SUM(JN4,JO4,JS4),"")</f>
        <v>43.3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 t="shared" ref="KO4:KO19" si="88">IF(SUM(JV4,JZ4)&gt;0,SUM(JV4,JZ4),"")</f>
        <v/>
      </c>
      <c r="KP4" s="40" t="str">
        <f t="shared" ref="KP4:KP19" si="89">IF(SUM(JU4:JV4,JX4:JZ4,KB4)-JW4-KA4&gt;0,SUM(JU4:JV4,JX4:JZ4,KB4)-JW4-KA4,"")</f>
        <v/>
      </c>
      <c r="KQ4" s="40" t="str">
        <f t="shared" ref="KQ4:KQ19" si="90">IF(SUM(KC4:KD4,KF4)-KE4&gt;0,SUM(KC4:KD4,KF4)-KE4,"")</f>
        <v/>
      </c>
      <c r="KR4" s="40" t="str">
        <f t="shared" ref="KR4:KR19" si="91">IF(SUM(JV4,JZ4,KD4)&gt;0,SUM(JV4,JZ4,KD4),"")</f>
        <v/>
      </c>
      <c r="KS4" s="40" t="str">
        <f t="shared" ref="KS4:KS19" si="92">IF(SUM(KP4,KQ4)&gt;0,SUM(KP4,KQ4),"")</f>
        <v/>
      </c>
      <c r="KT4" s="40" t="str">
        <f t="shared" ref="KT4:KT19" si="93">IF(SUM(KH4,KL4)&gt;0,SUM(KH4,KL4),"")</f>
        <v/>
      </c>
      <c r="KU4" s="40" t="str">
        <f t="shared" ref="KU4:KU19" si="94">IF(SUM(KG4:KH4,KJ4:KL4,KN4)-SUM(KI4,KM4)&gt;0,SUM(KG4:KH4,KJ4:KL4,KN4)-SUM(KI4,KM4),"")</f>
        <v/>
      </c>
      <c r="KV4" s="40" t="str">
        <f t="shared" ref="KV4:KV19" si="95"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 t="shared" ref="LQ4:LQ19" si="96">IF(SUM(KX4,LB4)&gt;0,SUM(KX4,LB4),"")</f>
        <v/>
      </c>
      <c r="LR4" s="11" t="str">
        <f t="shared" ref="LR4:LR19" si="97">IF(SUM(KW4:KX4,KZ4:LB4,LD4)-KY4-LC4&gt;0,SUM(KW4:KX4,KZ4:LB4,LD4)-KY4-LC4,"")</f>
        <v/>
      </c>
      <c r="LS4" s="11" t="str">
        <f t="shared" ref="LS4:LS19" si="98">IF(SUM(LE4:LF4,LH4)-LG4&gt;0,SUM(LE4:LF4,LH4)-LG4,"")</f>
        <v/>
      </c>
      <c r="LT4" s="11" t="str">
        <f t="shared" ref="LT4:LT19" si="99">IF(SUM(KX4,LB4,LF4)&gt;0,SUM(KX4,LB4,LF4),"")</f>
        <v/>
      </c>
      <c r="LU4" s="11" t="str">
        <f t="shared" ref="LU4:LU19" si="100">IF(SUM(LR4,LS4)&gt;0,SUM(LR4,LS4),"")</f>
        <v/>
      </c>
      <c r="LV4" s="11" t="str">
        <f t="shared" ref="LV4:LV19" si="101">IF(SUM(LJ4,LN4)&gt;0,SUM(LJ4,LN4),"")</f>
        <v/>
      </c>
      <c r="LW4" s="11" t="str">
        <f t="shared" ref="LW4:LW19" si="102">IF(SUM(LI4:LJ4,LL4:LN4,LP4)-SUM(LK4,LO4)&gt;0,SUM(LI4:LJ4,LL4:LN4,LP4)-SUM(LK4,LO4),"")</f>
        <v/>
      </c>
      <c r="LX4" s="11" t="str">
        <f t="shared" ref="LX4:LX19" si="103"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19" si="104">IF(SUM(LZ4,MD4)&gt;0,SUM(LZ4,MD4),"")</f>
        <v/>
      </c>
      <c r="MT4" s="40" t="str">
        <f t="shared" ref="MT4:MT19" si="105">IF(SUM(LY4:LZ4,MB4:MD4,MF4)-MA4-ME4&gt;0,SUM(LY4:LZ4,MB4:MD4,MF4)-MA4-ME4,"")</f>
        <v/>
      </c>
      <c r="MU4" s="40" t="str">
        <f t="shared" ref="MU4:MU19" si="106">IF(SUM(MG4:MH4,MJ4)-MI4&gt;0,SUM(MG4:MH4,MJ4)-MI4,"")</f>
        <v/>
      </c>
      <c r="MV4" s="40" t="str">
        <f t="shared" ref="MV4:MV19" si="107">IF(SUM(LZ4,MD4,MH4)&gt;0,SUM(LZ4,MD4,MH4),"")</f>
        <v/>
      </c>
      <c r="MW4" s="40" t="str">
        <f t="shared" ref="MW4:MW19" si="108">IF(SUM(MT4,MU4)&gt;0,SUM(MT4,MU4),"")</f>
        <v/>
      </c>
      <c r="MX4" s="40" t="str">
        <f t="shared" ref="MX4:MX19" si="109">IF(SUM(ML4,MP4)&gt;0,SUM(ML4,MP4),"")</f>
        <v/>
      </c>
      <c r="MY4" s="40" t="str">
        <f t="shared" ref="MY4:MY19" si="110">IF(SUM(MK4:ML4,MN4:MP4,MR4)-SUM(MM4,MQ4)&gt;0,SUM(MK4:ML4,MN4:MP4,MR4)-SUM(MM4,MQ4),"")</f>
        <v/>
      </c>
      <c r="MZ4" s="40" t="str">
        <f t="shared" ref="MZ4:MZ19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19" si="112">IF(SUM(NB4,NF4)&gt;0,SUM(NB4,NF4),"")</f>
        <v/>
      </c>
      <c r="NV4" s="11" t="str">
        <f t="shared" ref="NV4:NV19" si="113">IF(SUM(NA4:NB4,ND4:NF4,NH4)-NC4-NG4&gt;0,SUM(NA4:NB4,ND4:NF4,NH4)-NC4-NG4,"")</f>
        <v/>
      </c>
      <c r="NW4" s="11" t="str">
        <f t="shared" ref="NW4:NW19" si="114">IF(SUM(NI4:NJ4,NL4)-NK4&gt;0,SUM(NI4:NJ4,NL4)-NK4,"")</f>
        <v/>
      </c>
      <c r="NX4" s="11" t="str">
        <f t="shared" ref="NX4:NX19" si="115">IF(SUM(NB4,NF4,NJ4)&gt;0,SUM(NB4,NF4,NJ4),"")</f>
        <v/>
      </c>
      <c r="NY4" s="11" t="str">
        <f t="shared" ref="NY4:NY19" si="116">IF(SUM(NV4,NW4)&gt;0,SUM(NV4,NW4),"")</f>
        <v/>
      </c>
      <c r="NZ4" s="11" t="str">
        <f t="shared" ref="NZ4:NZ19" si="117">IF(SUM(NN4,NR4)&gt;0,SUM(NN4,NR4),"")</f>
        <v/>
      </c>
      <c r="OA4" s="11" t="str">
        <f t="shared" ref="OA4:OA19" si="118">IF(SUM(NM4:NN4,NP4:NR4,NT4)-SUM(NO4,NS4)&gt;0,SUM(NM4:NN4,NP4:NR4,NT4)-SUM(NO4,NS4),"")</f>
        <v/>
      </c>
      <c r="OB4" s="11" t="str">
        <f t="shared" ref="OB4:OB19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19" si="120">IF(SUM(OD4,OH4)&gt;0,SUM(OD4,OH4),"")</f>
        <v/>
      </c>
      <c r="OX4" s="40" t="str">
        <f t="shared" ref="OX4:OX19" si="121">IF(SUM(OC4:OD4,OF4:OH4,OJ4)-OE4-OI4&gt;0,SUM(OC4:OD4,OF4:OH4,OJ4)-OE4-OI4,"")</f>
        <v/>
      </c>
      <c r="OY4" s="40" t="str">
        <f t="shared" ref="OY4:OY19" si="122">IF(SUM(OK4:OL4,ON4)-OM4&gt;0,SUM(OK4:OL4,ON4)-OM4,"")</f>
        <v/>
      </c>
      <c r="OZ4" s="40" t="str">
        <f t="shared" ref="OZ4:OZ19" si="123">IF(SUM(OD4,OH4,OL4)&gt;0,SUM(OD4,OH4,OL4),"")</f>
        <v/>
      </c>
      <c r="PA4" s="40" t="str">
        <f t="shared" ref="PA4:PA19" si="124">IF(SUM(OX4,OY4)&gt;0,SUM(OX4,OY4),"")</f>
        <v/>
      </c>
      <c r="PB4" s="40" t="str">
        <f t="shared" ref="PB4:PB19" si="125">IF(SUM(OP4,OT4)&gt;0,SUM(OP4,OT4),"")</f>
        <v/>
      </c>
      <c r="PC4" s="40" t="str">
        <f t="shared" ref="PC4:PC19" si="126">IF(SUM(OO4:OP4,OR4:OT4,OV4)-SUM(OQ4,OU4)&gt;0,SUM(OO4:OP4,OR4:OT4,OV4)-SUM(OQ4,OU4),"")</f>
        <v/>
      </c>
      <c r="PD4" s="40" t="str">
        <f t="shared" ref="PD4:PD19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19" si="128">IF(SUM(PF4,PJ4)&gt;0,SUM(PF4,PJ4),"")</f>
        <v/>
      </c>
      <c r="PZ4" s="11" t="str">
        <f t="shared" ref="PZ4:PZ19" si="129">IF(SUM(PE4:PF4,PH4:PJ4,PL4)-PG4-PK4&gt;0,SUM(PE4:PF4,PH4:PJ4,PL4)-PG4-PK4,"")</f>
        <v/>
      </c>
      <c r="QA4" s="11" t="str">
        <f t="shared" ref="QA4:QA19" si="130">IF(SUM(PM4:PN4,PP4)-PO4&gt;0,SUM(PM4:PN4,PP4)-PO4,"")</f>
        <v/>
      </c>
      <c r="QB4" s="11" t="str">
        <f t="shared" ref="QB4:QB19" si="131">IF(SUM(PF4,PJ4,PN4)&gt;0,SUM(PF4,PJ4,PN4),"")</f>
        <v/>
      </c>
      <c r="QC4" s="11" t="str">
        <f t="shared" ref="QC4:QC19" si="132">IF(SUM(PZ4,QA4)&gt;0,SUM(PZ4,QA4),"")</f>
        <v/>
      </c>
      <c r="QD4" s="11" t="str">
        <f t="shared" ref="QD4:QD19" si="133">IF(SUM(PR4,PV4)&gt;0,SUM(PR4,PV4),"")</f>
        <v/>
      </c>
      <c r="QE4" s="11" t="str">
        <f t="shared" ref="QE4:QE19" si="134">IF(SUM(PQ4:PR4,PT4:PV4,PX4)-SUM(PS4,PW4)&gt;0,SUM(PQ4:PR4,PT4:PV4,PX4)-SUM(PS4,PW4),"")</f>
        <v/>
      </c>
      <c r="QF4" s="11" t="str">
        <f t="shared" ref="QF4:QF19" si="135">IF(SUM(PZ4,QA4,QE4)&gt;0,SUM(PZ4,QA4,QE4),"")</f>
        <v/>
      </c>
      <c r="QG4" s="22">
        <f t="shared" ref="QG4:QG19" si="136">IF($CW4="P",CC4,(CC4+AZ4)/2)</f>
        <v>16.05</v>
      </c>
      <c r="QH4" s="22">
        <f t="shared" ref="QH4:QH19" si="137">IF($CW4="P",CD4,(CD4+BA4)/2)</f>
        <v>5</v>
      </c>
      <c r="QI4" s="22">
        <f t="shared" ref="QI4:QI19" si="138">IF($CW4="P",CE4,(CE4+BB4)/2)</f>
        <v>0</v>
      </c>
      <c r="QJ4" s="22">
        <f t="shared" ref="QJ4:QJ19" si="139">IF($CW4="P",CF4,(CF4+BC4)/2)</f>
        <v>0.6</v>
      </c>
      <c r="QK4" s="22">
        <f t="shared" ref="QK4:QK19" si="140">IF($CW4="P",CG4,(CG4+BD4)/2)</f>
        <v>16.8</v>
      </c>
      <c r="QL4" s="22">
        <f t="shared" ref="QL4:QL19" si="141">IF($CW4="P",CH4,(CH4+BE4)/2)</f>
        <v>4.9000000000000004</v>
      </c>
      <c r="QM4" s="22">
        <f t="shared" ref="QM4:QM19" si="142">IF($CW4="P",CI4,(CI4+BF4)/2)</f>
        <v>0</v>
      </c>
      <c r="QN4" s="22">
        <f t="shared" ref="QN4:QN19" si="143">IF($CW4="P",CJ4,(CJ4+BG4)/2)</f>
        <v>0.6</v>
      </c>
      <c r="QO4" s="22">
        <f t="shared" ref="QO4:QO19" si="144">IF($CW4="P",CK4,(CK4+BH4)/2)</f>
        <v>15.4</v>
      </c>
      <c r="QP4" s="22">
        <f t="shared" ref="QP4:QP19" si="145">IF($CW4="P",CL4,(CL4+BI4)/2)</f>
        <v>3.8</v>
      </c>
      <c r="QQ4" s="22">
        <f t="shared" ref="QQ4:QQ19" si="146">IF($CW4="P",CM4,(CM4+BJ4)/2)</f>
        <v>0</v>
      </c>
      <c r="QR4" s="22">
        <f t="shared" ref="QR4:QR19" si="147">IF($CW4="P",CN4,(CN4+BK4)/2)</f>
        <v>0.6</v>
      </c>
      <c r="QS4" s="22">
        <f t="shared" ref="QS4:QS19" si="148">IF($CW4="P",CO4,(CO4+BL4)/2)</f>
        <v>16.75</v>
      </c>
      <c r="QT4" s="22">
        <f t="shared" ref="QT4:QT19" si="149">IF($CW4="P",CP4,(CP4+BM4)/2)</f>
        <v>4.8</v>
      </c>
      <c r="QU4" s="22">
        <f t="shared" ref="QU4:QU19" si="150">IF($CW4="P",CQ4,(CQ4+BN4)/2)</f>
        <v>0</v>
      </c>
      <c r="QV4" s="22">
        <f t="shared" ref="QV4:QV19" si="151">IF($CW4="P",CR4,(CR4+BO4)/2)</f>
        <v>0.6</v>
      </c>
      <c r="QW4" s="22">
        <f t="shared" ref="QW4:QW19" si="152">IF($CW4="P",CS4,(CS4+BP4)/2)</f>
        <v>16.75</v>
      </c>
      <c r="QX4" s="22">
        <f t="shared" ref="QX4:QX19" si="153">IF($CW4="P",CT4,(CT4+BQ4)/2)</f>
        <v>5</v>
      </c>
      <c r="QY4" s="22">
        <f t="shared" ref="QY4:QY19" si="154">IF($CW4="P",CU4,(CU4+BR4)/2)</f>
        <v>0.1</v>
      </c>
      <c r="QZ4" s="22">
        <f t="shared" ref="QZ4:QZ19" si="155">IF($CW4="P",CV4,(CV4+BS4)/2)</f>
        <v>0.6</v>
      </c>
      <c r="RA4" s="27" t="s">
        <v>46</v>
      </c>
      <c r="RB4" s="40">
        <f t="shared" ref="RB4:RB19" si="156">IF(SUM(QH4,QL4)&gt;0,SUM(QH4,QL4),"")</f>
        <v>9.9</v>
      </c>
      <c r="RC4" s="40">
        <f t="shared" ref="RC4:RC19" si="157">IF(SUM(QG4:QH4,QJ4:QL4,QN4)-QI4-QM4&gt;0,SUM(QG4:QH4,QJ4:QL4,QN4)-QI4-QM4,"")</f>
        <v>43.95</v>
      </c>
      <c r="RD4" s="40">
        <f t="shared" ref="RD4:RD19" si="158">IF(SUM(QO4:QP4,QR4)-QQ4&gt;0,SUM(QO4:QP4,QR4)-QQ4,"")</f>
        <v>19.8</v>
      </c>
      <c r="RE4" s="40">
        <f t="shared" ref="RE4:RE19" si="159">IF(SUM(QH4,QL4,QP4)&gt;0,SUM(QH4,QL4,QP4),"")</f>
        <v>13.7</v>
      </c>
      <c r="RF4" s="40">
        <f t="shared" ref="RF4:RF19" si="160">IF(SUM(RC4,RD4)&gt;0,SUM(RC4,RD4),"")</f>
        <v>63.75</v>
      </c>
      <c r="RG4" s="40">
        <f t="shared" ref="RG4:RG19" si="161">IF(SUM(QT4,QX4)&gt;0,SUM(QT4,QX4),"")</f>
        <v>9.8000000000000007</v>
      </c>
      <c r="RH4" s="40">
        <f t="shared" ref="RH4:RH19" si="162">IF(SUM(QS4:QT4,QV4:QX4,QZ4)-SUM(QU4,QY4)&gt;0,SUM(QS4:QT4,QV4:QX4,QZ4)-SUM(QU4,QY4),"")</f>
        <v>44.400000000000006</v>
      </c>
      <c r="RI4" s="40">
        <f t="shared" ref="RI4:RI19" si="163">IF(SUM(RC4,RD4,RH4)&gt;0,SUM(RC4,RD4,RH4),"")</f>
        <v>108.15</v>
      </c>
    </row>
    <row r="5" spans="1:477" x14ac:dyDescent="0.2">
      <c r="A5" s="4" cm="1">
        <f t="array" ref="A5">IF(AND(J5&lt;&gt;"",J5&lt;&gt;"No DD"),SUMPRODUCT((J$4:J$20&lt;&gt;"")*(J$4:J$20&lt;&gt;"No DD")*(F$4:F$20&gt;F5))+1,IF(J5="No DD",SUMPRODUCT((J$4:J$20="No DD")*(F$4:F$20&gt;F5))+1+SUMPRODUCT((J$4:J$20&lt;&gt;"")*(J$4:J$20&lt;&gt;"No DD")),""))</f>
        <v>2</v>
      </c>
      <c r="B5" s="4" t="str" cm="1">
        <f t="array" ref="B5">IF(AND(J5&lt;&gt;"",J5&lt;&gt;"No DD",G5=""),SUMPRODUCT((J$4:J$20&lt;&gt;"")*(J$4:J$20&lt;&gt;"No DD")*(G$4:G$20="")*(F$4:F$20&gt;F5))+1,IF(J5="No DD",SUMPRODUCT((J$4:J$20="No DD")*(F$4:F$20&gt;F5)*(G$4:G$20=""))+1+SUMPRODUCT((J$4:J$20&lt;&gt;"")*(G$4:G$20="")*(J$4:J$20&lt;&gt;"No DD")),""))</f>
        <v/>
      </c>
      <c r="C5" s="5" t="s">
        <v>180</v>
      </c>
      <c r="D5" s="4" t="s">
        <v>4</v>
      </c>
      <c r="E5" s="4">
        <v>2006</v>
      </c>
      <c r="F5" s="9">
        <f t="shared" si="0"/>
        <v>155.00001093000438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43.5</v>
      </c>
      <c r="M5" s="8" t="str">
        <f t="shared" si="5"/>
        <v>2023 Elite Canada</v>
      </c>
      <c r="N5" s="8">
        <f>IF(COUNT(AS5,BV5,CY5)&gt;1,LARGE((AS5,BV5,CY5),2),0)</f>
        <v>43.4</v>
      </c>
      <c r="O5" s="8" t="str">
        <f t="shared" si="6"/>
        <v>2023 Nationals</v>
      </c>
      <c r="P5" s="8">
        <f>IF(COUNT(AT5,BW5,CZ5)&gt;0,LARGE((AT5,BW5,CZ5),1),0)</f>
        <v>22.400000000000002</v>
      </c>
      <c r="Q5" s="8" t="str">
        <f t="shared" si="7"/>
        <v>2023 3rd Domestic Trial</v>
      </c>
      <c r="R5" s="8">
        <f t="shared" si="8"/>
        <v>43.600000000000009</v>
      </c>
      <c r="S5" s="8" t="str">
        <f t="shared" si="9"/>
        <v>2023 3rd Domestic Trial</v>
      </c>
      <c r="T5" s="8">
        <f t="shared" si="10"/>
        <v>2.1000000000000014</v>
      </c>
      <c r="U5" s="11" t="str">
        <f t="shared" si="11"/>
        <v>(Q1)</v>
      </c>
      <c r="V5" s="8" t="str">
        <f t="shared" si="12"/>
        <v>2023 World Championships (Nov 11)</v>
      </c>
      <c r="W5" s="19">
        <v>16.7</v>
      </c>
      <c r="X5" s="19">
        <v>4.8</v>
      </c>
      <c r="Y5" s="19">
        <v>0</v>
      </c>
      <c r="Z5" s="19">
        <v>0.6</v>
      </c>
      <c r="AA5" s="19">
        <v>16.2</v>
      </c>
      <c r="AB5" s="19">
        <v>4.5999999999999996</v>
      </c>
      <c r="AC5" s="19">
        <v>0</v>
      </c>
      <c r="AD5" s="19">
        <v>0.6</v>
      </c>
      <c r="AE5" s="19">
        <v>16.8</v>
      </c>
      <c r="AF5" s="19">
        <v>4.8</v>
      </c>
      <c r="AG5" s="19">
        <v>0</v>
      </c>
      <c r="AH5" s="19">
        <v>0.6</v>
      </c>
      <c r="AI5" s="19">
        <v>17.3</v>
      </c>
      <c r="AJ5" s="19">
        <v>4.0999999999999996</v>
      </c>
      <c r="AK5" s="19">
        <v>0</v>
      </c>
      <c r="AL5" s="19">
        <v>0.3</v>
      </c>
      <c r="AM5" s="19">
        <v>16.3</v>
      </c>
      <c r="AN5" s="19">
        <v>4.5999999999999996</v>
      </c>
      <c r="AO5" s="19">
        <v>0</v>
      </c>
      <c r="AP5" s="19">
        <v>0.6</v>
      </c>
      <c r="AQ5" s="27"/>
      <c r="AR5" s="40">
        <f t="shared" si="13"/>
        <v>9.3999999999999986</v>
      </c>
      <c r="AS5" s="40">
        <f t="shared" si="14"/>
        <v>43.5</v>
      </c>
      <c r="AT5" s="40">
        <f t="shared" si="15"/>
        <v>22.200000000000003</v>
      </c>
      <c r="AU5" s="40">
        <f t="shared" si="16"/>
        <v>14.2</v>
      </c>
      <c r="AV5" s="40">
        <f t="shared" si="17"/>
        <v>65.7</v>
      </c>
      <c r="AW5" s="40">
        <f t="shared" si="18"/>
        <v>8.6999999999999993</v>
      </c>
      <c r="AX5" s="40">
        <f t="shared" si="19"/>
        <v>43.2</v>
      </c>
      <c r="AY5" s="40">
        <f t="shared" si="20"/>
        <v>108.9</v>
      </c>
      <c r="AZ5" s="18">
        <v>16.899999999999999</v>
      </c>
      <c r="BA5" s="18">
        <v>4.3</v>
      </c>
      <c r="BB5" s="18">
        <v>0</v>
      </c>
      <c r="BC5" s="18">
        <v>0.3</v>
      </c>
      <c r="BD5" s="18">
        <v>16.5</v>
      </c>
      <c r="BE5" s="18">
        <v>4.8</v>
      </c>
      <c r="BF5" s="18">
        <v>0</v>
      </c>
      <c r="BG5" s="18">
        <v>0.6</v>
      </c>
      <c r="BH5" s="18">
        <v>15.7</v>
      </c>
      <c r="BI5" s="18">
        <v>3.8</v>
      </c>
      <c r="BJ5" s="18">
        <v>0</v>
      </c>
      <c r="BK5" s="18">
        <v>0.3</v>
      </c>
      <c r="BL5" s="18">
        <v>17.3</v>
      </c>
      <c r="BM5" s="18">
        <v>5</v>
      </c>
      <c r="BN5" s="18">
        <v>0</v>
      </c>
      <c r="BO5" s="18">
        <v>0.6</v>
      </c>
      <c r="BP5" s="18">
        <v>16.100000000000001</v>
      </c>
      <c r="BQ5" s="18">
        <v>2.6</v>
      </c>
      <c r="BR5" s="18">
        <v>0</v>
      </c>
      <c r="BS5" s="18">
        <v>0.6</v>
      </c>
      <c r="BT5" s="28"/>
      <c r="BU5" s="11">
        <f t="shared" si="21"/>
        <v>9.1</v>
      </c>
      <c r="BV5" s="11">
        <f t="shared" si="22"/>
        <v>43.4</v>
      </c>
      <c r="BW5" s="11">
        <f t="shared" si="23"/>
        <v>19.8</v>
      </c>
      <c r="BX5" s="11">
        <f t="shared" si="24"/>
        <v>12.899999999999999</v>
      </c>
      <c r="BY5" s="11">
        <f t="shared" si="25"/>
        <v>63.2</v>
      </c>
      <c r="BZ5" s="11">
        <f t="shared" si="26"/>
        <v>7.6</v>
      </c>
      <c r="CA5" s="11">
        <f t="shared" si="27"/>
        <v>42.2</v>
      </c>
      <c r="CB5" s="11">
        <f t="shared" si="28"/>
        <v>105.4</v>
      </c>
      <c r="CC5" s="19">
        <v>16.8</v>
      </c>
      <c r="CD5" s="19">
        <v>5</v>
      </c>
      <c r="CE5" s="19">
        <v>0</v>
      </c>
      <c r="CF5" s="19">
        <v>0.6</v>
      </c>
      <c r="CG5" s="19">
        <v>15.5</v>
      </c>
      <c r="CH5" s="19">
        <v>4.5999999999999996</v>
      </c>
      <c r="CI5" s="19">
        <v>0</v>
      </c>
      <c r="CJ5" s="19">
        <v>0.6</v>
      </c>
      <c r="CK5" s="19">
        <v>16.8</v>
      </c>
      <c r="CL5" s="19">
        <v>5</v>
      </c>
      <c r="CM5" s="19">
        <v>0</v>
      </c>
      <c r="CN5" s="19">
        <v>0.6</v>
      </c>
      <c r="CO5" s="19">
        <v>16.5</v>
      </c>
      <c r="CP5" s="19">
        <v>4.8</v>
      </c>
      <c r="CQ5" s="19">
        <v>0</v>
      </c>
      <c r="CR5" s="19">
        <v>0.6</v>
      </c>
      <c r="CS5" s="19">
        <v>16.5</v>
      </c>
      <c r="CT5" s="19">
        <v>4.5999999999999996</v>
      </c>
      <c r="CU5" s="19">
        <v>0</v>
      </c>
      <c r="CV5" s="19">
        <v>0.6</v>
      </c>
      <c r="CW5" s="27"/>
      <c r="CX5" s="40">
        <f t="shared" si="29"/>
        <v>9.6</v>
      </c>
      <c r="CY5" s="40">
        <f t="shared" si="30"/>
        <v>43.100000000000009</v>
      </c>
      <c r="CZ5" s="40">
        <f t="shared" si="31"/>
        <v>22.400000000000002</v>
      </c>
      <c r="DA5" s="40">
        <f t="shared" si="32"/>
        <v>14.6</v>
      </c>
      <c r="DB5" s="40">
        <f t="shared" si="33"/>
        <v>65.500000000000014</v>
      </c>
      <c r="DC5" s="40">
        <f t="shared" si="34"/>
        <v>9.3999999999999986</v>
      </c>
      <c r="DD5" s="40">
        <f t="shared" si="35"/>
        <v>43.600000000000009</v>
      </c>
      <c r="DE5" s="40">
        <f t="shared" si="36"/>
        <v>109.10000000000002</v>
      </c>
      <c r="DF5" s="50">
        <f t="shared" si="37"/>
        <v>2.1000000000000014</v>
      </c>
      <c r="DG5" s="50" t="str">
        <f t="shared" si="38"/>
        <v/>
      </c>
      <c r="DH5" s="50" t="str">
        <f t="shared" si="39"/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 t="shared" si="40"/>
        <v/>
      </c>
      <c r="ED5" s="40" t="str">
        <f t="shared" si="41"/>
        <v/>
      </c>
      <c r="EE5" s="40" t="str">
        <f t="shared" si="42"/>
        <v/>
      </c>
      <c r="EF5" s="40" t="str">
        <f t="shared" si="43"/>
        <v/>
      </c>
      <c r="EG5" s="40" t="str">
        <f t="shared" si="44"/>
        <v/>
      </c>
      <c r="EH5" s="40" t="str">
        <f t="shared" si="45"/>
        <v/>
      </c>
      <c r="EI5" s="40" t="str">
        <f t="shared" si="46"/>
        <v/>
      </c>
      <c r="EJ5" s="40" t="str">
        <f t="shared" si="47"/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1" t="str">
        <f t="shared" si="55"/>
        <v/>
      </c>
      <c r="FM5" s="17">
        <v>16.100000000000001</v>
      </c>
      <c r="FN5" s="17">
        <v>1.9</v>
      </c>
      <c r="FO5" s="17">
        <v>0</v>
      </c>
      <c r="FP5" s="17">
        <v>0</v>
      </c>
      <c r="FQ5" s="17">
        <v>17.100000000000001</v>
      </c>
      <c r="FR5" s="17">
        <v>4.5999999999999996</v>
      </c>
      <c r="FS5" s="17">
        <v>0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 t="shared" si="56"/>
        <v>6.5</v>
      </c>
      <c r="GH5" s="40">
        <f t="shared" si="57"/>
        <v>39.700000000000003</v>
      </c>
      <c r="GI5" s="40" t="str">
        <f t="shared" si="58"/>
        <v/>
      </c>
      <c r="GJ5" s="40">
        <f t="shared" si="59"/>
        <v>6.5</v>
      </c>
      <c r="GK5" s="40">
        <f t="shared" si="60"/>
        <v>39.700000000000003</v>
      </c>
      <c r="GL5" s="40" t="str">
        <f t="shared" si="61"/>
        <v/>
      </c>
      <c r="GM5" s="40" t="str">
        <f t="shared" si="62"/>
        <v/>
      </c>
      <c r="GN5" s="40">
        <f t="shared" si="63"/>
        <v>39.700000000000003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>
        <v>17.2</v>
      </c>
      <c r="IT5" s="18">
        <v>6.1</v>
      </c>
      <c r="IU5" s="18">
        <v>0</v>
      </c>
      <c r="IV5" s="18">
        <v>0</v>
      </c>
      <c r="IW5" s="18">
        <v>17.2</v>
      </c>
      <c r="IX5" s="18">
        <v>5</v>
      </c>
      <c r="IY5" s="18">
        <v>0</v>
      </c>
      <c r="IZ5" s="18">
        <v>0</v>
      </c>
      <c r="JA5" s="18">
        <v>16.600000000000001</v>
      </c>
      <c r="JB5" s="18">
        <v>6.1</v>
      </c>
      <c r="JC5" s="18">
        <v>0.4</v>
      </c>
      <c r="JD5" s="18">
        <v>0</v>
      </c>
      <c r="JE5" s="18"/>
      <c r="JF5" s="18"/>
      <c r="JG5" s="18"/>
      <c r="JH5" s="18"/>
      <c r="JI5" s="18"/>
      <c r="JJ5" s="18"/>
      <c r="JK5" s="18"/>
      <c r="JL5" s="18"/>
      <c r="JM5" s="11">
        <f t="shared" si="80"/>
        <v>11.1</v>
      </c>
      <c r="JN5" s="11">
        <f t="shared" si="81"/>
        <v>45.5</v>
      </c>
      <c r="JO5" s="11">
        <f t="shared" si="82"/>
        <v>22.300000000000004</v>
      </c>
      <c r="JP5" s="11">
        <f t="shared" si="83"/>
        <v>17.2</v>
      </c>
      <c r="JQ5" s="11">
        <f t="shared" si="84"/>
        <v>67.800000000000011</v>
      </c>
      <c r="JR5" s="11" t="str">
        <f t="shared" si="85"/>
        <v/>
      </c>
      <c r="JS5" s="11" t="str">
        <f t="shared" si="86"/>
        <v/>
      </c>
      <c r="JT5" s="11">
        <f t="shared" si="87"/>
        <v>67.800000000000011</v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 t="shared" si="88"/>
        <v/>
      </c>
      <c r="KP5" s="40" t="str">
        <f t="shared" si="89"/>
        <v/>
      </c>
      <c r="KQ5" s="40" t="str">
        <f t="shared" si="90"/>
        <v/>
      </c>
      <c r="KR5" s="40" t="str">
        <f t="shared" si="91"/>
        <v/>
      </c>
      <c r="KS5" s="40" t="str">
        <f t="shared" si="92"/>
        <v/>
      </c>
      <c r="KT5" s="40" t="str">
        <f t="shared" si="93"/>
        <v/>
      </c>
      <c r="KU5" s="40" t="str">
        <f t="shared" si="94"/>
        <v/>
      </c>
      <c r="KV5" s="40" t="str">
        <f t="shared" si="95"/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 t="shared" si="96"/>
        <v/>
      </c>
      <c r="LR5" s="11" t="str">
        <f t="shared" si="97"/>
        <v/>
      </c>
      <c r="LS5" s="11" t="str">
        <f t="shared" si="98"/>
        <v/>
      </c>
      <c r="LT5" s="11" t="str">
        <f t="shared" si="99"/>
        <v/>
      </c>
      <c r="LU5" s="11" t="str">
        <f t="shared" si="100"/>
        <v/>
      </c>
      <c r="LV5" s="11" t="str">
        <f t="shared" si="101"/>
        <v/>
      </c>
      <c r="LW5" s="11" t="str">
        <f t="shared" si="102"/>
        <v/>
      </c>
      <c r="LX5" s="11" t="str">
        <f t="shared" si="103"/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16.850000000000001</v>
      </c>
      <c r="QH5" s="22">
        <f t="shared" si="137"/>
        <v>4.6500000000000004</v>
      </c>
      <c r="QI5" s="22">
        <f t="shared" si="138"/>
        <v>0</v>
      </c>
      <c r="QJ5" s="22">
        <f t="shared" si="139"/>
        <v>0.44999999999999996</v>
      </c>
      <c r="QK5" s="22">
        <f t="shared" si="140"/>
        <v>16</v>
      </c>
      <c r="QL5" s="22">
        <f t="shared" si="141"/>
        <v>4.6999999999999993</v>
      </c>
      <c r="QM5" s="22">
        <f t="shared" si="142"/>
        <v>0</v>
      </c>
      <c r="QN5" s="22">
        <f t="shared" si="143"/>
        <v>0.6</v>
      </c>
      <c r="QO5" s="22">
        <f t="shared" si="144"/>
        <v>16.25</v>
      </c>
      <c r="QP5" s="22">
        <f t="shared" si="145"/>
        <v>4.4000000000000004</v>
      </c>
      <c r="QQ5" s="22">
        <f t="shared" si="146"/>
        <v>0</v>
      </c>
      <c r="QR5" s="22">
        <f t="shared" si="147"/>
        <v>0.44999999999999996</v>
      </c>
      <c r="QS5" s="22">
        <f t="shared" si="148"/>
        <v>16.899999999999999</v>
      </c>
      <c r="QT5" s="22">
        <f t="shared" si="149"/>
        <v>4.9000000000000004</v>
      </c>
      <c r="QU5" s="22">
        <f t="shared" si="150"/>
        <v>0</v>
      </c>
      <c r="QV5" s="22">
        <f t="shared" si="151"/>
        <v>0.6</v>
      </c>
      <c r="QW5" s="22">
        <f t="shared" si="152"/>
        <v>16.3</v>
      </c>
      <c r="QX5" s="22">
        <f t="shared" si="153"/>
        <v>3.5999999999999996</v>
      </c>
      <c r="QY5" s="22">
        <f t="shared" si="154"/>
        <v>0</v>
      </c>
      <c r="QZ5" s="22">
        <f t="shared" si="155"/>
        <v>0.6</v>
      </c>
      <c r="RA5" s="27" t="s">
        <v>46</v>
      </c>
      <c r="RB5" s="40">
        <f t="shared" si="156"/>
        <v>9.35</v>
      </c>
      <c r="RC5" s="40">
        <f t="shared" si="157"/>
        <v>43.250000000000007</v>
      </c>
      <c r="RD5" s="40">
        <f t="shared" si="158"/>
        <v>21.099999999999998</v>
      </c>
      <c r="RE5" s="40">
        <f t="shared" si="159"/>
        <v>13.75</v>
      </c>
      <c r="RF5" s="40">
        <f t="shared" si="160"/>
        <v>64.350000000000009</v>
      </c>
      <c r="RG5" s="40">
        <f t="shared" si="161"/>
        <v>8.5</v>
      </c>
      <c r="RH5" s="40">
        <f t="shared" si="162"/>
        <v>42.900000000000006</v>
      </c>
      <c r="RI5" s="40">
        <f t="shared" si="163"/>
        <v>107.25000000000001</v>
      </c>
    </row>
    <row r="6" spans="1:477" x14ac:dyDescent="0.2">
      <c r="A6" s="4" cm="1">
        <f t="array" ref="A6">IF(AND(J6&lt;&gt;"",J6&lt;&gt;"No DD"),SUMPRODUCT((J$4:J$20&lt;&gt;"")*(J$4:J$20&lt;&gt;"No DD")*(F$4:F$20&gt;F6))+1,IF(J6="No DD",SUMPRODUCT((J$4:J$20="No DD")*(F$4:F$20&gt;F6))+1+SUMPRODUCT((J$4:J$20&lt;&gt;"")*(J$4:J$20&lt;&gt;"No DD")),""))</f>
        <v>3</v>
      </c>
      <c r="B6" s="4" t="str" cm="1">
        <f t="array" ref="B6">IF(AND(J6&lt;&gt;"",J6&lt;&gt;"No DD",G6=""),SUMPRODUCT((J$4:J$20&lt;&gt;"")*(J$4:J$20&lt;&gt;"No DD")*(G$4:G$20="")*(F$4:F$20&gt;F6))+1,IF(J6="No DD",SUMPRODUCT((J$4:J$20="No DD")*(F$4:F$20&gt;F6)*(G$4:G$20=""))+1+SUMPRODUCT((J$4:J$20&lt;&gt;"")*(G$4:G$20="")*(J$4:J$20&lt;&gt;"No DD")),""))</f>
        <v/>
      </c>
      <c r="C6" s="5" t="s">
        <v>105</v>
      </c>
      <c r="D6" s="4" t="s">
        <v>4</v>
      </c>
      <c r="E6" s="4">
        <v>2003</v>
      </c>
      <c r="F6" s="9">
        <f t="shared" si="0"/>
        <v>154.80001093000445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44.699999999999996</v>
      </c>
      <c r="M6" s="8" t="str">
        <f t="shared" si="5"/>
        <v>2023 Nationals</v>
      </c>
      <c r="N6" s="8">
        <f>IF(COUNT(AS6,BV6,CY6)&gt;1,LARGE((AS6,BV6,CY6),2),0)</f>
        <v>43.500000000000007</v>
      </c>
      <c r="O6" s="8" t="str">
        <f t="shared" si="6"/>
        <v>2023 3rd Domestic Trial</v>
      </c>
      <c r="P6" s="8">
        <f>IF(COUNT(AT6,BW6,CZ6)&gt;0,LARGE((AT6,BW6,CZ6),1),0)</f>
        <v>21.099999999999998</v>
      </c>
      <c r="Q6" s="8" t="str">
        <f t="shared" si="7"/>
        <v>2023 Nationals</v>
      </c>
      <c r="R6" s="8">
        <f t="shared" si="8"/>
        <v>45.300000000000004</v>
      </c>
      <c r="S6" s="8" t="str">
        <f t="shared" si="9"/>
        <v>2023 Nationals</v>
      </c>
      <c r="T6" s="8">
        <f t="shared" si="10"/>
        <v>0.19999999999998863</v>
      </c>
      <c r="U6" s="11" t="str">
        <f t="shared" si="11"/>
        <v>(Q1)</v>
      </c>
      <c r="V6" s="8" t="str">
        <f t="shared" si="12"/>
        <v>2022 Worlds (Nov 17)</v>
      </c>
      <c r="W6" s="19">
        <v>17.3</v>
      </c>
      <c r="X6" s="19">
        <v>3.9</v>
      </c>
      <c r="Y6" s="19">
        <v>0</v>
      </c>
      <c r="Z6" s="19">
        <v>0.3</v>
      </c>
      <c r="AA6" s="19">
        <v>16.100000000000001</v>
      </c>
      <c r="AB6" s="19">
        <v>2.6</v>
      </c>
      <c r="AC6" s="19">
        <v>0</v>
      </c>
      <c r="AD6" s="19">
        <v>0.6</v>
      </c>
      <c r="AE6" s="19">
        <v>15.8</v>
      </c>
      <c r="AF6" s="19">
        <v>1.9</v>
      </c>
      <c r="AG6" s="19">
        <v>0</v>
      </c>
      <c r="AH6" s="19">
        <v>0.3</v>
      </c>
      <c r="AI6" s="19">
        <v>17</v>
      </c>
      <c r="AJ6" s="19">
        <v>3.9</v>
      </c>
      <c r="AK6" s="19">
        <v>0.2</v>
      </c>
      <c r="AL6" s="19">
        <v>0.3</v>
      </c>
      <c r="AM6" s="19">
        <v>16.399999999999999</v>
      </c>
      <c r="AN6" s="19">
        <v>1.9</v>
      </c>
      <c r="AO6" s="19">
        <v>0</v>
      </c>
      <c r="AP6" s="19">
        <v>0.3</v>
      </c>
      <c r="AQ6" s="27"/>
      <c r="AR6" s="40">
        <f t="shared" si="13"/>
        <v>6.5</v>
      </c>
      <c r="AS6" s="40">
        <f t="shared" si="14"/>
        <v>40.800000000000004</v>
      </c>
      <c r="AT6" s="40">
        <f t="shared" si="15"/>
        <v>18</v>
      </c>
      <c r="AU6" s="40">
        <f t="shared" si="16"/>
        <v>8.4</v>
      </c>
      <c r="AV6" s="40">
        <f t="shared" si="17"/>
        <v>58.800000000000004</v>
      </c>
      <c r="AW6" s="40">
        <f t="shared" si="18"/>
        <v>5.8</v>
      </c>
      <c r="AX6" s="40">
        <f t="shared" si="19"/>
        <v>39.599999999999987</v>
      </c>
      <c r="AY6" s="40">
        <f t="shared" si="20"/>
        <v>98.399999999999991</v>
      </c>
      <c r="AZ6" s="18">
        <v>17.399999999999999</v>
      </c>
      <c r="BA6" s="18">
        <v>4.3</v>
      </c>
      <c r="BB6" s="18">
        <v>0</v>
      </c>
      <c r="BC6" s="18">
        <v>0.3</v>
      </c>
      <c r="BD6" s="18">
        <v>17.5</v>
      </c>
      <c r="BE6" s="18">
        <v>4.8</v>
      </c>
      <c r="BF6" s="18">
        <v>0.2</v>
      </c>
      <c r="BG6" s="18">
        <v>0.6</v>
      </c>
      <c r="BH6" s="18">
        <v>16.7</v>
      </c>
      <c r="BI6" s="18">
        <v>4.0999999999999996</v>
      </c>
      <c r="BJ6" s="18">
        <v>0</v>
      </c>
      <c r="BK6" s="18">
        <v>0.3</v>
      </c>
      <c r="BL6" s="18">
        <v>17.399999999999999</v>
      </c>
      <c r="BM6" s="18">
        <v>4.8</v>
      </c>
      <c r="BN6" s="18">
        <v>0</v>
      </c>
      <c r="BO6" s="18">
        <v>0.6</v>
      </c>
      <c r="BP6" s="18">
        <v>17.3</v>
      </c>
      <c r="BQ6" s="18">
        <v>4.5999999999999996</v>
      </c>
      <c r="BR6" s="18">
        <v>0</v>
      </c>
      <c r="BS6" s="18">
        <v>0.6</v>
      </c>
      <c r="BT6" s="28"/>
      <c r="BU6" s="11">
        <f t="shared" si="21"/>
        <v>9.1</v>
      </c>
      <c r="BV6" s="11">
        <f t="shared" si="22"/>
        <v>44.699999999999996</v>
      </c>
      <c r="BW6" s="11">
        <f t="shared" si="23"/>
        <v>21.099999999999998</v>
      </c>
      <c r="BX6" s="11">
        <f t="shared" si="24"/>
        <v>13.2</v>
      </c>
      <c r="BY6" s="11">
        <f t="shared" si="25"/>
        <v>65.8</v>
      </c>
      <c r="BZ6" s="11">
        <f t="shared" si="26"/>
        <v>9.3999999999999986</v>
      </c>
      <c r="CA6" s="11">
        <f t="shared" si="27"/>
        <v>45.300000000000004</v>
      </c>
      <c r="CB6" s="11">
        <f t="shared" si="28"/>
        <v>111.1</v>
      </c>
      <c r="CC6" s="19">
        <v>17.5</v>
      </c>
      <c r="CD6" s="19">
        <v>4.3</v>
      </c>
      <c r="CE6" s="19">
        <v>0</v>
      </c>
      <c r="CF6" s="19">
        <v>0.3</v>
      </c>
      <c r="CG6" s="19">
        <v>16.600000000000001</v>
      </c>
      <c r="CH6" s="19">
        <v>4.5999999999999996</v>
      </c>
      <c r="CI6" s="19">
        <v>0.4</v>
      </c>
      <c r="CJ6" s="19">
        <v>0.6</v>
      </c>
      <c r="CK6" s="19">
        <v>16</v>
      </c>
      <c r="CL6" s="19">
        <v>1.9</v>
      </c>
      <c r="CM6" s="19">
        <v>0</v>
      </c>
      <c r="CN6" s="19">
        <v>0.3</v>
      </c>
      <c r="CO6" s="64">
        <v>17.2</v>
      </c>
      <c r="CP6" s="64">
        <v>4.3499999999999996</v>
      </c>
      <c r="CQ6" s="64">
        <v>0.1</v>
      </c>
      <c r="CR6" s="64">
        <v>0.44999999999999996</v>
      </c>
      <c r="CS6" s="64">
        <v>16.850000000000001</v>
      </c>
      <c r="CT6" s="64">
        <v>3.25</v>
      </c>
      <c r="CU6" s="64">
        <v>0</v>
      </c>
      <c r="CV6" s="64">
        <v>0.44999999999999996</v>
      </c>
      <c r="CW6" s="27"/>
      <c r="CX6" s="40">
        <f t="shared" si="29"/>
        <v>8.8999999999999986</v>
      </c>
      <c r="CY6" s="40">
        <f t="shared" si="30"/>
        <v>43.500000000000007</v>
      </c>
      <c r="CZ6" s="40">
        <f t="shared" si="31"/>
        <v>18.2</v>
      </c>
      <c r="DA6" s="40">
        <f t="shared" si="32"/>
        <v>10.799999999999999</v>
      </c>
      <c r="DB6" s="40">
        <f t="shared" si="33"/>
        <v>61.7</v>
      </c>
      <c r="DC6" s="65">
        <f t="shared" si="34"/>
        <v>7.6</v>
      </c>
      <c r="DD6" s="65">
        <f t="shared" si="35"/>
        <v>42.449999999999996</v>
      </c>
      <c r="DE6" s="40">
        <f t="shared" si="36"/>
        <v>104.15</v>
      </c>
      <c r="DF6" s="50">
        <f t="shared" si="37"/>
        <v>0.19999999999998863</v>
      </c>
      <c r="DG6" s="50" t="str">
        <f t="shared" si="38"/>
        <v/>
      </c>
      <c r="DH6" s="50" t="str">
        <f t="shared" si="39"/>
        <v/>
      </c>
      <c r="DI6" s="17">
        <v>17.399999999999999</v>
      </c>
      <c r="DJ6" s="17">
        <v>4.3</v>
      </c>
      <c r="DK6" s="17">
        <v>0</v>
      </c>
      <c r="DL6" s="17">
        <v>0</v>
      </c>
      <c r="DM6" s="17">
        <v>17.399999999999999</v>
      </c>
      <c r="DN6" s="17">
        <v>4.5999999999999996</v>
      </c>
      <c r="DO6" s="17">
        <v>0</v>
      </c>
      <c r="DP6" s="17">
        <v>0</v>
      </c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>
        <f t="shared" si="40"/>
        <v>8.8999999999999986</v>
      </c>
      <c r="ED6" s="40">
        <f t="shared" si="41"/>
        <v>43.699999999999996</v>
      </c>
      <c r="EE6" s="40" t="str">
        <f t="shared" si="42"/>
        <v/>
      </c>
      <c r="EF6" s="40">
        <f t="shared" si="43"/>
        <v>8.8999999999999986</v>
      </c>
      <c r="EG6" s="40">
        <f t="shared" si="44"/>
        <v>43.699999999999996</v>
      </c>
      <c r="EH6" s="40" t="str">
        <f t="shared" si="45"/>
        <v/>
      </c>
      <c r="EI6" s="40" t="str">
        <f t="shared" si="46"/>
        <v/>
      </c>
      <c r="EJ6" s="40">
        <f t="shared" si="47"/>
        <v>43.699999999999996</v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>
        <v>17.3</v>
      </c>
      <c r="FB6" s="18">
        <v>4.8</v>
      </c>
      <c r="FC6" s="18">
        <v>0</v>
      </c>
      <c r="FD6" s="18">
        <v>0</v>
      </c>
      <c r="FE6" s="11" t="str">
        <f t="shared" si="48"/>
        <v/>
      </c>
      <c r="FF6" s="11" t="str">
        <f t="shared" si="49"/>
        <v/>
      </c>
      <c r="FG6" s="11" t="str">
        <f t="shared" si="50"/>
        <v/>
      </c>
      <c r="FH6" s="11" t="str">
        <f t="shared" si="51"/>
        <v/>
      </c>
      <c r="FI6" s="11" t="str">
        <f t="shared" si="52"/>
        <v/>
      </c>
      <c r="FJ6" s="11">
        <f t="shared" si="53"/>
        <v>4.8</v>
      </c>
      <c r="FK6" s="11">
        <f t="shared" si="54"/>
        <v>22.1</v>
      </c>
      <c r="FL6" s="11">
        <f t="shared" si="55"/>
        <v>22.1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6"/>
        <v/>
      </c>
      <c r="GH6" s="40" t="str">
        <f t="shared" si="57"/>
        <v/>
      </c>
      <c r="GI6" s="40" t="str">
        <f t="shared" si="58"/>
        <v/>
      </c>
      <c r="GJ6" s="40" t="str">
        <f t="shared" si="59"/>
        <v/>
      </c>
      <c r="GK6" s="40" t="str">
        <f t="shared" si="60"/>
        <v/>
      </c>
      <c r="GL6" s="40" t="str">
        <f t="shared" si="61"/>
        <v/>
      </c>
      <c r="GM6" s="40" t="str">
        <f t="shared" si="62"/>
        <v/>
      </c>
      <c r="GN6" s="40" t="str">
        <f t="shared" si="63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 t="str">
        <f t="shared" si="69"/>
        <v/>
      </c>
      <c r="HO6" s="11" t="str">
        <f t="shared" si="70"/>
        <v/>
      </c>
      <c r="HP6" s="11" t="str">
        <f t="shared" si="71"/>
        <v/>
      </c>
      <c r="HQ6" s="17">
        <v>16.8</v>
      </c>
      <c r="HR6" s="17">
        <v>1.9</v>
      </c>
      <c r="HS6" s="17">
        <v>0</v>
      </c>
      <c r="HT6" s="17">
        <v>0</v>
      </c>
      <c r="HU6" s="17">
        <v>16.600000000000001</v>
      </c>
      <c r="HV6" s="17">
        <v>3.5</v>
      </c>
      <c r="HW6" s="17">
        <v>0.4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 t="shared" si="72"/>
        <v>5.4</v>
      </c>
      <c r="IL6" s="40">
        <f t="shared" si="73"/>
        <v>38.4</v>
      </c>
      <c r="IM6" s="40" t="str">
        <f t="shared" si="74"/>
        <v/>
      </c>
      <c r="IN6" s="40">
        <f t="shared" si="75"/>
        <v>5.4</v>
      </c>
      <c r="IO6" s="40">
        <f t="shared" si="76"/>
        <v>38.4</v>
      </c>
      <c r="IP6" s="40" t="str">
        <f t="shared" si="77"/>
        <v/>
      </c>
      <c r="IQ6" s="40" t="str">
        <f t="shared" si="78"/>
        <v/>
      </c>
      <c r="IR6" s="40">
        <f t="shared" si="79"/>
        <v>38.4</v>
      </c>
      <c r="IS6" s="18">
        <v>17.600000000000001</v>
      </c>
      <c r="IT6" s="18">
        <v>3.9</v>
      </c>
      <c r="IU6" s="18">
        <v>0.2</v>
      </c>
      <c r="IV6" s="18">
        <v>0</v>
      </c>
      <c r="IW6" s="18">
        <v>18</v>
      </c>
      <c r="IX6" s="18">
        <v>4.3</v>
      </c>
      <c r="IY6" s="18">
        <v>0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 t="shared" si="80"/>
        <v>8.1999999999999993</v>
      </c>
      <c r="JN6" s="11">
        <f t="shared" si="81"/>
        <v>43.599999999999994</v>
      </c>
      <c r="JO6" s="11" t="str">
        <f t="shared" si="82"/>
        <v/>
      </c>
      <c r="JP6" s="11">
        <f t="shared" si="83"/>
        <v>8.1999999999999993</v>
      </c>
      <c r="JQ6" s="11">
        <f t="shared" si="84"/>
        <v>43.599999999999994</v>
      </c>
      <c r="JR6" s="11" t="str">
        <f t="shared" si="85"/>
        <v/>
      </c>
      <c r="JS6" s="11" t="str">
        <f t="shared" si="86"/>
        <v/>
      </c>
      <c r="JT6" s="11">
        <f t="shared" si="87"/>
        <v>43.599999999999994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4"/>
        <v/>
      </c>
      <c r="MT6" s="40" t="str">
        <f t="shared" si="105"/>
        <v/>
      </c>
      <c r="MU6" s="40" t="str">
        <f t="shared" si="106"/>
        <v/>
      </c>
      <c r="MV6" s="40" t="str">
        <f t="shared" si="107"/>
        <v/>
      </c>
      <c r="MW6" s="40" t="str">
        <f t="shared" si="108"/>
        <v/>
      </c>
      <c r="MX6" s="40" t="str">
        <f t="shared" si="109"/>
        <v/>
      </c>
      <c r="MY6" s="40" t="str">
        <f t="shared" si="110"/>
        <v/>
      </c>
      <c r="MZ6" s="40" t="str">
        <f t="shared" si="111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17.45</v>
      </c>
      <c r="QH6" s="22">
        <f t="shared" si="137"/>
        <v>4.3</v>
      </c>
      <c r="QI6" s="22">
        <f t="shared" si="138"/>
        <v>0</v>
      </c>
      <c r="QJ6" s="22">
        <f t="shared" si="139"/>
        <v>0.3</v>
      </c>
      <c r="QK6" s="22">
        <f t="shared" si="140"/>
        <v>17.05</v>
      </c>
      <c r="QL6" s="22">
        <f t="shared" si="141"/>
        <v>4.6999999999999993</v>
      </c>
      <c r="QM6" s="22">
        <f t="shared" si="142"/>
        <v>0.30000000000000004</v>
      </c>
      <c r="QN6" s="22">
        <f t="shared" si="143"/>
        <v>0.6</v>
      </c>
      <c r="QO6" s="22">
        <f t="shared" si="144"/>
        <v>16.350000000000001</v>
      </c>
      <c r="QP6" s="22">
        <f t="shared" si="145"/>
        <v>3</v>
      </c>
      <c r="QQ6" s="22">
        <f t="shared" si="146"/>
        <v>0</v>
      </c>
      <c r="QR6" s="22">
        <f t="shared" si="147"/>
        <v>0.3</v>
      </c>
      <c r="QS6" s="22">
        <f t="shared" si="148"/>
        <v>17.299999999999997</v>
      </c>
      <c r="QT6" s="22">
        <f t="shared" si="149"/>
        <v>4.5749999999999993</v>
      </c>
      <c r="QU6" s="22">
        <f t="shared" si="150"/>
        <v>0.05</v>
      </c>
      <c r="QV6" s="22">
        <f t="shared" si="151"/>
        <v>0.52499999999999991</v>
      </c>
      <c r="QW6" s="22">
        <f t="shared" si="152"/>
        <v>17.075000000000003</v>
      </c>
      <c r="QX6" s="22">
        <f t="shared" si="153"/>
        <v>3.9249999999999998</v>
      </c>
      <c r="QY6" s="22">
        <f t="shared" si="154"/>
        <v>0</v>
      </c>
      <c r="QZ6" s="22">
        <f t="shared" si="155"/>
        <v>0.52499999999999991</v>
      </c>
      <c r="RA6" s="27" t="s">
        <v>46</v>
      </c>
      <c r="RB6" s="40">
        <f t="shared" si="156"/>
        <v>9</v>
      </c>
      <c r="RC6" s="40">
        <f t="shared" si="157"/>
        <v>44.1</v>
      </c>
      <c r="RD6" s="40">
        <f t="shared" si="158"/>
        <v>19.650000000000002</v>
      </c>
      <c r="RE6" s="40">
        <f t="shared" si="159"/>
        <v>12</v>
      </c>
      <c r="RF6" s="40">
        <f t="shared" si="160"/>
        <v>63.75</v>
      </c>
      <c r="RG6" s="40">
        <f t="shared" si="161"/>
        <v>8.5</v>
      </c>
      <c r="RH6" s="40">
        <f t="shared" si="162"/>
        <v>43.874999999999993</v>
      </c>
      <c r="RI6" s="40">
        <f t="shared" si="163"/>
        <v>107.625</v>
      </c>
    </row>
    <row r="7" spans="1:477" x14ac:dyDescent="0.2">
      <c r="A7" s="4" cm="1">
        <f t="array" ref="A7">IF(AND(J7&lt;&gt;"",J7&lt;&gt;"No DD"),SUMPRODUCT((J$4:J$20&lt;&gt;"")*(J$4:J$20&lt;&gt;"No DD")*(F$4:F$20&gt;F7))+1,IF(J7="No DD",SUMPRODUCT((J$4:J$20="No DD")*(F$4:F$20&gt;F7))+1+SUMPRODUCT((J$4:J$20&lt;&gt;"")*(J$4:J$20&lt;&gt;"No DD")),""))</f>
        <v>4</v>
      </c>
      <c r="B7" s="4" t="str" cm="1">
        <f t="array" ref="B7">IF(AND(J7&lt;&gt;"",J7&lt;&gt;"No DD",G7=""),SUMPRODUCT((J$4:J$20&lt;&gt;"")*(J$4:J$20&lt;&gt;"No DD")*(G$4:G$20="")*(F$4:F$20&gt;F7))+1,IF(J7="No DD",SUMPRODUCT((J$4:J$20="No DD")*(F$4:F$20&gt;F7)*(G$4:G$20=""))+1+SUMPRODUCT((J$4:J$20&lt;&gt;"")*(G$4:G$20="")*(J$4:J$20&lt;&gt;"No DD")),""))</f>
        <v/>
      </c>
      <c r="C7" s="5" t="s">
        <v>117</v>
      </c>
      <c r="D7" s="4" t="s">
        <v>4</v>
      </c>
      <c r="E7" s="4">
        <v>2003</v>
      </c>
      <c r="F7" s="9">
        <f t="shared" si="0"/>
        <v>154.00001087000444</v>
      </c>
      <c r="G7" s="66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44.300000000000004</v>
      </c>
      <c r="M7" s="8" t="str">
        <f t="shared" si="5"/>
        <v>2023 3rd Domestic Trial</v>
      </c>
      <c r="N7" s="8">
        <f>IF(COUNT(AS7,BV7,CY7)&gt;1,LARGE((AS7,BV7,CY7),2),0)</f>
        <v>42.900000000000006</v>
      </c>
      <c r="O7" s="8" t="str">
        <f t="shared" si="6"/>
        <v>2023 Nationals</v>
      </c>
      <c r="P7" s="8">
        <f>IF(COUNT(AT7,BW7,CZ7)&gt;0,LARGE((AT7,BW7,CZ7),1),0)</f>
        <v>21.5</v>
      </c>
      <c r="Q7" s="8" t="str">
        <f t="shared" si="7"/>
        <v>2023 Nationals</v>
      </c>
      <c r="R7" s="8">
        <f t="shared" si="8"/>
        <v>44.599999999999994</v>
      </c>
      <c r="S7" s="8" t="str">
        <f t="shared" si="9"/>
        <v>2023 Nationals</v>
      </c>
      <c r="T7" s="8">
        <f t="shared" si="10"/>
        <v>0.69999999999999574</v>
      </c>
      <c r="U7" s="11" t="str">
        <f t="shared" si="11"/>
        <v>(Q1)</v>
      </c>
      <c r="V7" s="8" t="str">
        <f t="shared" si="12"/>
        <v>2022 WAGC (Nov 24)</v>
      </c>
      <c r="W7" s="19">
        <v>17.100000000000001</v>
      </c>
      <c r="X7" s="19">
        <v>3.9</v>
      </c>
      <c r="Y7" s="19">
        <v>0</v>
      </c>
      <c r="Z7" s="19">
        <v>0.3</v>
      </c>
      <c r="AA7" s="19">
        <v>16.399999999999999</v>
      </c>
      <c r="AB7" s="19">
        <v>1.9</v>
      </c>
      <c r="AC7" s="19">
        <v>0</v>
      </c>
      <c r="AD7" s="19">
        <v>0.3</v>
      </c>
      <c r="AE7" s="19">
        <v>16.899999999999999</v>
      </c>
      <c r="AF7" s="19">
        <v>4.0999999999999996</v>
      </c>
      <c r="AG7" s="19">
        <v>0</v>
      </c>
      <c r="AH7" s="19">
        <v>0.3</v>
      </c>
      <c r="AI7" s="19">
        <v>17.600000000000001</v>
      </c>
      <c r="AJ7" s="19">
        <v>4.0999999999999996</v>
      </c>
      <c r="AK7" s="19">
        <v>0</v>
      </c>
      <c r="AL7" s="19">
        <v>0.3</v>
      </c>
      <c r="AM7" s="19">
        <v>17.399999999999999</v>
      </c>
      <c r="AN7" s="19">
        <v>3.2</v>
      </c>
      <c r="AO7" s="19">
        <v>0.4</v>
      </c>
      <c r="AP7" s="19">
        <v>0.6</v>
      </c>
      <c r="AQ7" s="27"/>
      <c r="AR7" s="40">
        <f t="shared" si="13"/>
        <v>5.8</v>
      </c>
      <c r="AS7" s="40">
        <f t="shared" si="14"/>
        <v>39.9</v>
      </c>
      <c r="AT7" s="40">
        <f t="shared" si="15"/>
        <v>21.3</v>
      </c>
      <c r="AU7" s="40">
        <f t="shared" si="16"/>
        <v>9.8999999999999986</v>
      </c>
      <c r="AV7" s="40">
        <f t="shared" si="17"/>
        <v>61.2</v>
      </c>
      <c r="AW7" s="40">
        <f t="shared" si="18"/>
        <v>7.3</v>
      </c>
      <c r="AX7" s="40">
        <f t="shared" si="19"/>
        <v>42.800000000000011</v>
      </c>
      <c r="AY7" s="40">
        <f t="shared" si="20"/>
        <v>104.00000000000001</v>
      </c>
      <c r="AZ7" s="18">
        <v>17.2</v>
      </c>
      <c r="BA7" s="18">
        <v>4.3</v>
      </c>
      <c r="BB7" s="18">
        <v>0</v>
      </c>
      <c r="BC7" s="18">
        <v>0.3</v>
      </c>
      <c r="BD7" s="18">
        <v>15.9</v>
      </c>
      <c r="BE7" s="18">
        <v>4.5999999999999996</v>
      </c>
      <c r="BF7" s="18">
        <v>0</v>
      </c>
      <c r="BG7" s="18">
        <v>0.6</v>
      </c>
      <c r="BH7" s="18">
        <v>16.3</v>
      </c>
      <c r="BI7" s="18">
        <v>4.5999999999999996</v>
      </c>
      <c r="BJ7" s="18">
        <v>0</v>
      </c>
      <c r="BK7" s="18">
        <v>0.6</v>
      </c>
      <c r="BL7" s="18">
        <v>16.7</v>
      </c>
      <c r="BM7" s="18">
        <v>4.5999999999999996</v>
      </c>
      <c r="BN7" s="18">
        <v>0.2</v>
      </c>
      <c r="BO7" s="18">
        <v>0.6</v>
      </c>
      <c r="BP7" s="18">
        <v>18.3</v>
      </c>
      <c r="BQ7" s="18">
        <v>4.3</v>
      </c>
      <c r="BR7" s="18">
        <v>0</v>
      </c>
      <c r="BS7" s="18">
        <v>0.3</v>
      </c>
      <c r="BT7" s="28"/>
      <c r="BU7" s="11">
        <f t="shared" si="21"/>
        <v>8.8999999999999986</v>
      </c>
      <c r="BV7" s="11">
        <f t="shared" si="22"/>
        <v>42.900000000000006</v>
      </c>
      <c r="BW7" s="11">
        <f t="shared" si="23"/>
        <v>21.5</v>
      </c>
      <c r="BX7" s="11">
        <f t="shared" si="24"/>
        <v>13.499999999999998</v>
      </c>
      <c r="BY7" s="11">
        <f t="shared" si="25"/>
        <v>64.400000000000006</v>
      </c>
      <c r="BZ7" s="11">
        <f t="shared" si="26"/>
        <v>8.8999999999999986</v>
      </c>
      <c r="CA7" s="11">
        <f t="shared" si="27"/>
        <v>44.599999999999994</v>
      </c>
      <c r="CB7" s="11">
        <f t="shared" si="28"/>
        <v>109</v>
      </c>
      <c r="CC7" s="19">
        <v>17.5</v>
      </c>
      <c r="CD7" s="19">
        <v>4.3</v>
      </c>
      <c r="CE7" s="19">
        <v>0</v>
      </c>
      <c r="CF7" s="19">
        <v>0.3</v>
      </c>
      <c r="CG7" s="19">
        <v>17</v>
      </c>
      <c r="CH7" s="19">
        <v>4.5999999999999996</v>
      </c>
      <c r="CI7" s="19">
        <v>0</v>
      </c>
      <c r="CJ7" s="19">
        <v>0.6</v>
      </c>
      <c r="CK7" s="19">
        <v>15</v>
      </c>
      <c r="CL7" s="19">
        <v>4.5999999999999996</v>
      </c>
      <c r="CM7" s="19">
        <v>0</v>
      </c>
      <c r="CN7" s="19">
        <v>0.6</v>
      </c>
      <c r="CO7" s="19">
        <v>15.1</v>
      </c>
      <c r="CP7" s="19">
        <v>3.9</v>
      </c>
      <c r="CQ7" s="19">
        <v>0.2</v>
      </c>
      <c r="CR7" s="19">
        <v>0.3</v>
      </c>
      <c r="CS7" s="19">
        <v>16.899999999999999</v>
      </c>
      <c r="CT7" s="19">
        <v>4.8</v>
      </c>
      <c r="CU7" s="19">
        <v>0</v>
      </c>
      <c r="CV7" s="19">
        <v>0.6</v>
      </c>
      <c r="CW7" s="27"/>
      <c r="CX7" s="40">
        <f t="shared" si="29"/>
        <v>8.8999999999999986</v>
      </c>
      <c r="CY7" s="40">
        <f t="shared" si="30"/>
        <v>44.300000000000004</v>
      </c>
      <c r="CZ7" s="40">
        <f t="shared" si="31"/>
        <v>20.200000000000003</v>
      </c>
      <c r="DA7" s="40">
        <f t="shared" si="32"/>
        <v>13.499999999999998</v>
      </c>
      <c r="DB7" s="40">
        <f t="shared" si="33"/>
        <v>64.5</v>
      </c>
      <c r="DC7" s="40">
        <f t="shared" si="34"/>
        <v>8.6999999999999993</v>
      </c>
      <c r="DD7" s="40">
        <f t="shared" si="35"/>
        <v>41.4</v>
      </c>
      <c r="DE7" s="40">
        <f t="shared" si="36"/>
        <v>105.9</v>
      </c>
      <c r="DF7" s="50">
        <f t="shared" si="37"/>
        <v>0.69999999999999574</v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>
        <v>17.8</v>
      </c>
      <c r="FN7" s="17">
        <v>4.3</v>
      </c>
      <c r="FO7" s="17">
        <v>0</v>
      </c>
      <c r="FP7" s="17">
        <v>0</v>
      </c>
      <c r="FQ7" s="17">
        <v>16.899999999999999</v>
      </c>
      <c r="FR7" s="17">
        <v>4.5999999999999996</v>
      </c>
      <c r="FS7" s="17">
        <v>0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 t="shared" si="56"/>
        <v>8.8999999999999986</v>
      </c>
      <c r="GH7" s="40">
        <f t="shared" si="57"/>
        <v>43.6</v>
      </c>
      <c r="GI7" s="40" t="str">
        <f t="shared" si="58"/>
        <v/>
      </c>
      <c r="GJ7" s="40">
        <f t="shared" si="59"/>
        <v>8.8999999999999986</v>
      </c>
      <c r="GK7" s="40">
        <f t="shared" si="60"/>
        <v>43.6</v>
      </c>
      <c r="GL7" s="40" t="str">
        <f t="shared" si="61"/>
        <v/>
      </c>
      <c r="GM7" s="40" t="str">
        <f t="shared" si="62"/>
        <v/>
      </c>
      <c r="GN7" s="40">
        <f t="shared" si="63"/>
        <v>43.6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>
        <v>17.3</v>
      </c>
      <c r="HR7" s="17">
        <v>3.9</v>
      </c>
      <c r="HS7" s="17">
        <v>0</v>
      </c>
      <c r="HT7" s="17">
        <v>0</v>
      </c>
      <c r="HU7" s="17">
        <v>18.100000000000001</v>
      </c>
      <c r="HV7" s="17">
        <v>4.0999999999999996</v>
      </c>
      <c r="HW7" s="17">
        <v>0</v>
      </c>
      <c r="HX7" s="17">
        <v>0</v>
      </c>
      <c r="HY7" s="17"/>
      <c r="HZ7" s="17"/>
      <c r="IA7" s="17"/>
      <c r="IB7" s="17"/>
      <c r="IC7" s="17">
        <v>17.7</v>
      </c>
      <c r="ID7" s="17">
        <v>5</v>
      </c>
      <c r="IE7" s="17">
        <v>0</v>
      </c>
      <c r="IF7" s="17">
        <v>0</v>
      </c>
      <c r="IG7" s="17"/>
      <c r="IH7" s="17"/>
      <c r="II7" s="17"/>
      <c r="IJ7" s="17"/>
      <c r="IK7" s="40">
        <f t="shared" si="72"/>
        <v>8</v>
      </c>
      <c r="IL7" s="40">
        <f t="shared" si="73"/>
        <v>43.4</v>
      </c>
      <c r="IM7" s="40" t="str">
        <f t="shared" si="74"/>
        <v/>
      </c>
      <c r="IN7" s="40">
        <f t="shared" si="75"/>
        <v>8</v>
      </c>
      <c r="IO7" s="40">
        <f t="shared" si="76"/>
        <v>43.4</v>
      </c>
      <c r="IP7" s="40">
        <f t="shared" si="77"/>
        <v>5</v>
      </c>
      <c r="IQ7" s="40">
        <f t="shared" si="78"/>
        <v>22.7</v>
      </c>
      <c r="IR7" s="40">
        <f t="shared" si="79"/>
        <v>66.099999999999994</v>
      </c>
      <c r="IS7" s="18">
        <v>16.8</v>
      </c>
      <c r="IT7" s="18">
        <v>4.5999999999999996</v>
      </c>
      <c r="IU7" s="18">
        <v>0.2</v>
      </c>
      <c r="IV7" s="18">
        <v>0</v>
      </c>
      <c r="IW7" s="18">
        <v>16.899999999999999</v>
      </c>
      <c r="IX7" s="18">
        <v>3.2</v>
      </c>
      <c r="IY7" s="18">
        <v>0.4</v>
      </c>
      <c r="IZ7" s="18">
        <v>0</v>
      </c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>
        <f t="shared" si="80"/>
        <v>7.8</v>
      </c>
      <c r="JN7" s="11">
        <f t="shared" si="81"/>
        <v>40.9</v>
      </c>
      <c r="JO7" s="11" t="str">
        <f t="shared" si="82"/>
        <v/>
      </c>
      <c r="JP7" s="11">
        <f t="shared" si="83"/>
        <v>7.8</v>
      </c>
      <c r="JQ7" s="11">
        <f t="shared" si="84"/>
        <v>40.9</v>
      </c>
      <c r="JR7" s="11" t="str">
        <f t="shared" si="85"/>
        <v/>
      </c>
      <c r="JS7" s="11" t="str">
        <f t="shared" si="86"/>
        <v/>
      </c>
      <c r="JT7" s="11">
        <f t="shared" si="87"/>
        <v>40.9</v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 t="shared" si="104"/>
        <v/>
      </c>
      <c r="MT7" s="40" t="str">
        <f t="shared" si="105"/>
        <v/>
      </c>
      <c r="MU7" s="40" t="str">
        <f t="shared" si="106"/>
        <v/>
      </c>
      <c r="MV7" s="40" t="str">
        <f t="shared" si="107"/>
        <v/>
      </c>
      <c r="MW7" s="40" t="str">
        <f t="shared" si="108"/>
        <v/>
      </c>
      <c r="MX7" s="40" t="str">
        <f t="shared" si="109"/>
        <v/>
      </c>
      <c r="MY7" s="40" t="str">
        <f t="shared" si="110"/>
        <v/>
      </c>
      <c r="MZ7" s="40" t="str">
        <f t="shared" si="111"/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17.350000000000001</v>
      </c>
      <c r="QH7" s="22">
        <f t="shared" si="137"/>
        <v>4.3</v>
      </c>
      <c r="QI7" s="22">
        <f t="shared" si="138"/>
        <v>0</v>
      </c>
      <c r="QJ7" s="22">
        <f t="shared" si="139"/>
        <v>0.3</v>
      </c>
      <c r="QK7" s="22">
        <f t="shared" si="140"/>
        <v>16.45</v>
      </c>
      <c r="QL7" s="22">
        <f t="shared" si="141"/>
        <v>4.5999999999999996</v>
      </c>
      <c r="QM7" s="22">
        <f t="shared" si="142"/>
        <v>0</v>
      </c>
      <c r="QN7" s="22">
        <f t="shared" si="143"/>
        <v>0.6</v>
      </c>
      <c r="QO7" s="22">
        <f t="shared" si="144"/>
        <v>15.65</v>
      </c>
      <c r="QP7" s="22">
        <f t="shared" si="145"/>
        <v>4.5999999999999996</v>
      </c>
      <c r="QQ7" s="22">
        <f t="shared" si="146"/>
        <v>0</v>
      </c>
      <c r="QR7" s="22">
        <f t="shared" si="147"/>
        <v>0.6</v>
      </c>
      <c r="QS7" s="22">
        <f t="shared" si="148"/>
        <v>15.899999999999999</v>
      </c>
      <c r="QT7" s="22">
        <f t="shared" si="149"/>
        <v>4.25</v>
      </c>
      <c r="QU7" s="22">
        <f t="shared" si="150"/>
        <v>0.2</v>
      </c>
      <c r="QV7" s="22">
        <f t="shared" si="151"/>
        <v>0.44999999999999996</v>
      </c>
      <c r="QW7" s="22">
        <f t="shared" si="152"/>
        <v>17.600000000000001</v>
      </c>
      <c r="QX7" s="22">
        <f t="shared" si="153"/>
        <v>4.55</v>
      </c>
      <c r="QY7" s="22">
        <f t="shared" si="154"/>
        <v>0</v>
      </c>
      <c r="QZ7" s="22">
        <f t="shared" si="155"/>
        <v>0.44999999999999996</v>
      </c>
      <c r="RA7" s="27" t="s">
        <v>46</v>
      </c>
      <c r="RB7" s="40">
        <f t="shared" si="156"/>
        <v>8.8999999999999986</v>
      </c>
      <c r="RC7" s="40">
        <f t="shared" si="157"/>
        <v>43.600000000000009</v>
      </c>
      <c r="RD7" s="40">
        <f t="shared" si="158"/>
        <v>20.85</v>
      </c>
      <c r="RE7" s="40">
        <f t="shared" si="159"/>
        <v>13.499999999999998</v>
      </c>
      <c r="RF7" s="40">
        <f t="shared" si="160"/>
        <v>64.450000000000017</v>
      </c>
      <c r="RG7" s="40">
        <f t="shared" si="161"/>
        <v>8.8000000000000007</v>
      </c>
      <c r="RH7" s="40">
        <f t="shared" si="162"/>
        <v>43</v>
      </c>
      <c r="RI7" s="40">
        <f t="shared" si="163"/>
        <v>107.45000000000002</v>
      </c>
    </row>
    <row r="8" spans="1:477" x14ac:dyDescent="0.2">
      <c r="A8" s="4" cm="1">
        <f t="array" ref="A8">IF(AND(J8&lt;&gt;"",J8&lt;&gt;"No DD"),SUMPRODUCT((J$4:J$20&lt;&gt;"")*(J$4:J$20&lt;&gt;"No DD")*(F$4:F$20&gt;F8))+1,IF(J8="No DD",SUMPRODUCT((J$4:J$20="No DD")*(F$4:F$20&gt;F8))+1+SUMPRODUCT((J$4:J$20&lt;&gt;"")*(J$4:J$20&lt;&gt;"No DD")),""))</f>
        <v>5</v>
      </c>
      <c r="B8" s="4" cm="1">
        <f t="array" ref="B8">IF(AND(J8&lt;&gt;"",J8&lt;&gt;"No DD",G8=""),SUMPRODUCT((J$4:J$20&lt;&gt;"")*(J$4:J$20&lt;&gt;"No DD")*(G$4:G$20="")*(F$4:F$20&gt;F8))+1,IF(J8="No DD",SUMPRODUCT((J$4:J$20="No DD")*(F$4:F$20&gt;F8)*(G$4:G$20=""))+1+SUMPRODUCT((J$4:J$20&lt;&gt;"")*(G$4:G$20="")*(J$4:J$20&lt;&gt;"No DD")),""))</f>
        <v>1</v>
      </c>
      <c r="C8" s="5" t="s">
        <v>209</v>
      </c>
      <c r="D8" s="4" t="s">
        <v>4</v>
      </c>
      <c r="E8" s="4">
        <v>2002</v>
      </c>
      <c r="F8" s="9">
        <f t="shared" si="0"/>
        <v>151.20001069000432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43.199999999999996</v>
      </c>
      <c r="M8" s="8" t="str">
        <f t="shared" si="5"/>
        <v>2023 Nationals</v>
      </c>
      <c r="N8" s="8">
        <f>IF(COUNT(AS8,BV8,CY8)&gt;1,LARGE((AS8,BV8,CY8),2),0)</f>
        <v>42.1</v>
      </c>
      <c r="O8" s="8" t="str">
        <f t="shared" si="6"/>
        <v>2023 3rd Domestic Trial</v>
      </c>
      <c r="P8" s="8">
        <f>IF(COUNT(AT8,BW8,CZ8)&gt;0,LARGE((AT8,BW8,CZ8),1),0)</f>
        <v>21.599999999999998</v>
      </c>
      <c r="Q8" s="8" t="str">
        <f t="shared" si="7"/>
        <v>2023 Nationals</v>
      </c>
      <c r="R8" s="8">
        <f t="shared" si="8"/>
        <v>43.4</v>
      </c>
      <c r="S8" s="8" t="str">
        <f t="shared" si="9"/>
        <v>2023 Nationals</v>
      </c>
      <c r="T8" s="8">
        <f t="shared" si="10"/>
        <v>0.89999999999999858</v>
      </c>
      <c r="U8" s="11" t="str">
        <f t="shared" si="11"/>
        <v>(Q1)</v>
      </c>
      <c r="V8" s="8" t="str">
        <f t="shared" si="12"/>
        <v>2023 WAGC (Nov 17)</v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 t="shared" si="13"/>
        <v/>
      </c>
      <c r="AS8" s="40" t="str">
        <f t="shared" si="14"/>
        <v/>
      </c>
      <c r="AT8" s="40" t="str">
        <f t="shared" si="15"/>
        <v/>
      </c>
      <c r="AU8" s="40" t="str">
        <f t="shared" si="16"/>
        <v/>
      </c>
      <c r="AV8" s="40" t="str">
        <f t="shared" si="17"/>
        <v/>
      </c>
      <c r="AW8" s="40" t="str">
        <f t="shared" si="18"/>
        <v/>
      </c>
      <c r="AX8" s="40" t="str">
        <f t="shared" si="19"/>
        <v/>
      </c>
      <c r="AY8" s="40" t="str">
        <f t="shared" si="20"/>
        <v/>
      </c>
      <c r="AZ8" s="18">
        <v>17.399999999999999</v>
      </c>
      <c r="BA8" s="18">
        <v>4.0999999999999996</v>
      </c>
      <c r="BB8" s="18">
        <v>0</v>
      </c>
      <c r="BC8" s="18">
        <v>0.3</v>
      </c>
      <c r="BD8" s="18">
        <v>17.2</v>
      </c>
      <c r="BE8" s="18">
        <v>3.9</v>
      </c>
      <c r="BF8" s="18">
        <v>0</v>
      </c>
      <c r="BG8" s="18">
        <v>0.3</v>
      </c>
      <c r="BH8" s="18">
        <v>17.399999999999999</v>
      </c>
      <c r="BI8" s="18">
        <v>3.9</v>
      </c>
      <c r="BJ8" s="18">
        <v>0</v>
      </c>
      <c r="BK8" s="18">
        <v>0.3</v>
      </c>
      <c r="BL8" s="18">
        <v>17.2</v>
      </c>
      <c r="BM8" s="18">
        <v>4.0999999999999996</v>
      </c>
      <c r="BN8" s="18">
        <v>0</v>
      </c>
      <c r="BO8" s="18">
        <v>0.3</v>
      </c>
      <c r="BP8" s="18">
        <v>17.600000000000001</v>
      </c>
      <c r="BQ8" s="18">
        <v>3.9</v>
      </c>
      <c r="BR8" s="18">
        <v>0</v>
      </c>
      <c r="BS8" s="18">
        <v>0.3</v>
      </c>
      <c r="BT8" s="28"/>
      <c r="BU8" s="11">
        <f t="shared" si="21"/>
        <v>8</v>
      </c>
      <c r="BV8" s="11">
        <f t="shared" si="22"/>
        <v>43.199999999999996</v>
      </c>
      <c r="BW8" s="11">
        <f t="shared" si="23"/>
        <v>21.599999999999998</v>
      </c>
      <c r="BX8" s="11">
        <f t="shared" si="24"/>
        <v>11.9</v>
      </c>
      <c r="BY8" s="11">
        <f t="shared" si="25"/>
        <v>64.8</v>
      </c>
      <c r="BZ8" s="11">
        <f t="shared" si="26"/>
        <v>8</v>
      </c>
      <c r="CA8" s="11">
        <f t="shared" si="27"/>
        <v>43.4</v>
      </c>
      <c r="CB8" s="11">
        <f t="shared" si="28"/>
        <v>108.19999999999999</v>
      </c>
      <c r="CC8" s="19">
        <v>16.600000000000001</v>
      </c>
      <c r="CD8" s="19">
        <v>3.9</v>
      </c>
      <c r="CE8" s="19">
        <v>0</v>
      </c>
      <c r="CF8" s="19">
        <v>0.3</v>
      </c>
      <c r="CG8" s="19">
        <v>16.899999999999999</v>
      </c>
      <c r="CH8" s="19">
        <v>4.0999999999999996</v>
      </c>
      <c r="CI8" s="19">
        <v>0</v>
      </c>
      <c r="CJ8" s="19">
        <v>0.3</v>
      </c>
      <c r="CK8" s="19">
        <v>15.1</v>
      </c>
      <c r="CL8" s="19">
        <v>3.9</v>
      </c>
      <c r="CM8" s="19">
        <v>0</v>
      </c>
      <c r="CN8" s="19">
        <v>0.3</v>
      </c>
      <c r="CO8" s="19">
        <v>16.399999999999999</v>
      </c>
      <c r="CP8" s="19">
        <v>3.9</v>
      </c>
      <c r="CQ8" s="19">
        <v>0</v>
      </c>
      <c r="CR8" s="19">
        <v>0.3</v>
      </c>
      <c r="CS8" s="19">
        <v>16.8</v>
      </c>
      <c r="CT8" s="19">
        <v>4.0999999999999996</v>
      </c>
      <c r="CU8" s="19">
        <v>0</v>
      </c>
      <c r="CV8" s="19">
        <v>0.3</v>
      </c>
      <c r="CW8" s="27"/>
      <c r="CX8" s="40">
        <f t="shared" si="29"/>
        <v>8</v>
      </c>
      <c r="CY8" s="40">
        <f t="shared" si="30"/>
        <v>42.1</v>
      </c>
      <c r="CZ8" s="40">
        <f t="shared" si="31"/>
        <v>19.3</v>
      </c>
      <c r="DA8" s="40">
        <f t="shared" si="32"/>
        <v>11.9</v>
      </c>
      <c r="DB8" s="40">
        <f t="shared" si="33"/>
        <v>61.400000000000006</v>
      </c>
      <c r="DC8" s="40">
        <f t="shared" si="34"/>
        <v>8</v>
      </c>
      <c r="DD8" s="40">
        <f t="shared" si="35"/>
        <v>41.8</v>
      </c>
      <c r="DE8" s="40">
        <f t="shared" si="36"/>
        <v>103.2</v>
      </c>
      <c r="DF8" s="50">
        <f t="shared" si="37"/>
        <v>0.89999999999999858</v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1" t="str">
        <f t="shared" si="70"/>
        <v/>
      </c>
      <c r="HP8" s="11" t="str">
        <f t="shared" si="71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>
        <v>16.7</v>
      </c>
      <c r="JV8" s="17">
        <v>4.8</v>
      </c>
      <c r="JW8" s="17">
        <v>0</v>
      </c>
      <c r="JX8" s="17">
        <v>0</v>
      </c>
      <c r="JY8" s="17">
        <v>16.899999999999999</v>
      </c>
      <c r="JZ8" s="17">
        <v>4.5999999999999996</v>
      </c>
      <c r="KA8" s="17">
        <v>0</v>
      </c>
      <c r="KB8" s="17">
        <v>0</v>
      </c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>
        <f t="shared" si="88"/>
        <v>9.3999999999999986</v>
      </c>
      <c r="KP8" s="40">
        <f t="shared" si="89"/>
        <v>43</v>
      </c>
      <c r="KQ8" s="40" t="str">
        <f t="shared" si="90"/>
        <v/>
      </c>
      <c r="KR8" s="40">
        <f t="shared" si="91"/>
        <v>9.3999999999999986</v>
      </c>
      <c r="KS8" s="40">
        <f t="shared" si="92"/>
        <v>43</v>
      </c>
      <c r="KT8" s="40" t="str">
        <f t="shared" si="93"/>
        <v/>
      </c>
      <c r="KU8" s="40" t="str">
        <f t="shared" si="94"/>
        <v/>
      </c>
      <c r="KV8" s="40">
        <f t="shared" si="95"/>
        <v>43</v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17</v>
      </c>
      <c r="QH8" s="22">
        <f t="shared" si="137"/>
        <v>4</v>
      </c>
      <c r="QI8" s="22">
        <f t="shared" si="138"/>
        <v>0</v>
      </c>
      <c r="QJ8" s="22">
        <f t="shared" si="139"/>
        <v>0.3</v>
      </c>
      <c r="QK8" s="22">
        <f t="shared" si="140"/>
        <v>17.049999999999997</v>
      </c>
      <c r="QL8" s="22">
        <f t="shared" si="141"/>
        <v>4</v>
      </c>
      <c r="QM8" s="22">
        <f t="shared" si="142"/>
        <v>0</v>
      </c>
      <c r="QN8" s="22">
        <f t="shared" si="143"/>
        <v>0.3</v>
      </c>
      <c r="QO8" s="22">
        <f t="shared" si="144"/>
        <v>16.25</v>
      </c>
      <c r="QP8" s="22">
        <f t="shared" si="145"/>
        <v>3.9</v>
      </c>
      <c r="QQ8" s="22">
        <f t="shared" si="146"/>
        <v>0</v>
      </c>
      <c r="QR8" s="22">
        <f t="shared" si="147"/>
        <v>0.3</v>
      </c>
      <c r="QS8" s="22">
        <f t="shared" si="148"/>
        <v>16.799999999999997</v>
      </c>
      <c r="QT8" s="22">
        <f t="shared" si="149"/>
        <v>4</v>
      </c>
      <c r="QU8" s="22">
        <f t="shared" si="150"/>
        <v>0</v>
      </c>
      <c r="QV8" s="22">
        <f t="shared" si="151"/>
        <v>0.3</v>
      </c>
      <c r="QW8" s="22">
        <f t="shared" si="152"/>
        <v>17.200000000000003</v>
      </c>
      <c r="QX8" s="22">
        <f t="shared" si="153"/>
        <v>4</v>
      </c>
      <c r="QY8" s="22">
        <f t="shared" si="154"/>
        <v>0</v>
      </c>
      <c r="QZ8" s="22">
        <f t="shared" si="155"/>
        <v>0.3</v>
      </c>
      <c r="RA8" s="27" t="s">
        <v>46</v>
      </c>
      <c r="RB8" s="40">
        <f t="shared" si="156"/>
        <v>8</v>
      </c>
      <c r="RC8" s="40">
        <f t="shared" si="157"/>
        <v>42.649999999999991</v>
      </c>
      <c r="RD8" s="40">
        <f t="shared" si="158"/>
        <v>20.45</v>
      </c>
      <c r="RE8" s="40">
        <f t="shared" si="159"/>
        <v>11.9</v>
      </c>
      <c r="RF8" s="40">
        <f t="shared" si="160"/>
        <v>63.099999999999994</v>
      </c>
      <c r="RG8" s="40">
        <f t="shared" si="161"/>
        <v>8</v>
      </c>
      <c r="RH8" s="40">
        <f t="shared" si="162"/>
        <v>42.599999999999994</v>
      </c>
      <c r="RI8" s="40">
        <f t="shared" si="163"/>
        <v>105.69999999999999</v>
      </c>
    </row>
    <row r="9" spans="1:477" x14ac:dyDescent="0.2">
      <c r="A9" s="4" cm="1">
        <f t="array" ref="A9">IF(AND(J9&lt;&gt;"",J9&lt;&gt;"No DD"),SUMPRODUCT((J$4:J$20&lt;&gt;"")*(J$4:J$20&lt;&gt;"No DD")*(F$4:F$20&gt;F9))+1,IF(J9="No DD",SUMPRODUCT((J$4:J$20="No DD")*(F$4:F$20&gt;F9))+1+SUMPRODUCT((J$4:J$20&lt;&gt;"")*(J$4:J$20&lt;&gt;"No DD")),""))</f>
        <v>6</v>
      </c>
      <c r="B9" s="4" cm="1">
        <f t="array" ref="B9">IF(AND(J9&lt;&gt;"",J9&lt;&gt;"No DD",G9=""),SUMPRODUCT((J$4:J$20&lt;&gt;"")*(J$4:J$20&lt;&gt;"No DD")*(G$4:G$20="")*(F$4:F$20&gt;F9))+1,IF(J9="No DD",SUMPRODUCT((J$4:J$20="No DD")*(F$4:F$20&gt;F9)*(G$4:G$20=""))+1+SUMPRODUCT((J$4:J$20&lt;&gt;"")*(G$4:G$20="")*(J$4:J$20&lt;&gt;"No DD")),""))</f>
        <v>2</v>
      </c>
      <c r="C9" s="5" t="s">
        <v>112</v>
      </c>
      <c r="D9" s="4" t="s">
        <v>3</v>
      </c>
      <c r="E9" s="4">
        <v>2004</v>
      </c>
      <c r="F9" s="9">
        <f t="shared" si="0"/>
        <v>148.90001050500425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42.1</v>
      </c>
      <c r="M9" s="8" t="str">
        <f t="shared" si="5"/>
        <v>2023 Nationals</v>
      </c>
      <c r="N9" s="8">
        <f>IF(COUNT(AS9,BV9,CY9)&gt;1,LARGE((AS9,BV9,CY9),2),0)</f>
        <v>41.65</v>
      </c>
      <c r="O9" s="8" t="str">
        <f t="shared" si="6"/>
        <v>2023 3rd Domestic Trial</v>
      </c>
      <c r="P9" s="8">
        <f>IF(COUNT(AT9,BW9,CZ9)&gt;0,LARGE((AT9,BW9,CZ9),1),0)</f>
        <v>21.3</v>
      </c>
      <c r="Q9" s="8" t="str">
        <f t="shared" si="7"/>
        <v>2023 Nationals</v>
      </c>
      <c r="R9" s="8">
        <f t="shared" si="8"/>
        <v>43.5</v>
      </c>
      <c r="S9" s="8" t="str">
        <f t="shared" si="9"/>
        <v>2023 Nationals</v>
      </c>
      <c r="T9" s="8">
        <f t="shared" si="10"/>
        <v>0.35000000000000853</v>
      </c>
      <c r="U9" s="11" t="str">
        <f t="shared" si="11"/>
        <v>(Q1)</v>
      </c>
      <c r="V9" s="8" t="str">
        <f t="shared" si="12"/>
        <v>2023 WAGC (Nov 17)</v>
      </c>
      <c r="W9" s="19">
        <v>16.600000000000001</v>
      </c>
      <c r="X9" s="19">
        <v>3.6</v>
      </c>
      <c r="Y9" s="19">
        <v>0.2</v>
      </c>
      <c r="Z9" s="19">
        <v>0</v>
      </c>
      <c r="AA9" s="19">
        <v>17</v>
      </c>
      <c r="AB9" s="19">
        <v>4.0999999999999996</v>
      </c>
      <c r="AC9" s="19">
        <v>0.2</v>
      </c>
      <c r="AD9" s="19">
        <v>0.3</v>
      </c>
      <c r="AE9" s="19">
        <v>16.440000000000001</v>
      </c>
      <c r="AF9" s="19">
        <v>4.0999999999999996</v>
      </c>
      <c r="AG9" s="19">
        <v>0</v>
      </c>
      <c r="AH9" s="19">
        <v>0.3</v>
      </c>
      <c r="AI9" s="19">
        <v>17.5</v>
      </c>
      <c r="AJ9" s="19">
        <v>4.0999999999999996</v>
      </c>
      <c r="AK9" s="19">
        <v>0</v>
      </c>
      <c r="AL9" s="19">
        <v>0.3</v>
      </c>
      <c r="AM9" s="19">
        <v>17.2</v>
      </c>
      <c r="AN9" s="19">
        <v>3.9</v>
      </c>
      <c r="AO9" s="19">
        <v>0</v>
      </c>
      <c r="AP9" s="19">
        <v>0.3</v>
      </c>
      <c r="AQ9" s="27"/>
      <c r="AR9" s="40">
        <f t="shared" si="13"/>
        <v>7.6999999999999993</v>
      </c>
      <c r="AS9" s="40">
        <f t="shared" si="14"/>
        <v>41.199999999999996</v>
      </c>
      <c r="AT9" s="40">
        <f t="shared" si="15"/>
        <v>20.84</v>
      </c>
      <c r="AU9" s="40">
        <f t="shared" si="16"/>
        <v>11.799999999999999</v>
      </c>
      <c r="AV9" s="40">
        <f t="shared" si="17"/>
        <v>62.039999999999992</v>
      </c>
      <c r="AW9" s="40">
        <f t="shared" si="18"/>
        <v>8</v>
      </c>
      <c r="AX9" s="40">
        <f t="shared" si="19"/>
        <v>43.3</v>
      </c>
      <c r="AY9" s="40">
        <f t="shared" si="20"/>
        <v>105.33999999999999</v>
      </c>
      <c r="AZ9" s="18">
        <v>16.600000000000001</v>
      </c>
      <c r="BA9" s="18">
        <v>4.3</v>
      </c>
      <c r="BB9" s="18">
        <v>0</v>
      </c>
      <c r="BC9" s="18">
        <v>0.3</v>
      </c>
      <c r="BD9" s="18">
        <v>16.5</v>
      </c>
      <c r="BE9" s="18">
        <v>4.0999999999999996</v>
      </c>
      <c r="BF9" s="18">
        <v>0</v>
      </c>
      <c r="BG9" s="18">
        <v>0.3</v>
      </c>
      <c r="BH9" s="18">
        <v>16.899999999999999</v>
      </c>
      <c r="BI9" s="18">
        <v>4.0999999999999996</v>
      </c>
      <c r="BJ9" s="18">
        <v>0</v>
      </c>
      <c r="BK9" s="18">
        <v>0.3</v>
      </c>
      <c r="BL9" s="18">
        <v>17.100000000000001</v>
      </c>
      <c r="BM9" s="18">
        <v>4.3</v>
      </c>
      <c r="BN9" s="18">
        <v>0.2</v>
      </c>
      <c r="BO9" s="18">
        <v>0.3</v>
      </c>
      <c r="BP9" s="18">
        <v>17.600000000000001</v>
      </c>
      <c r="BQ9" s="18">
        <v>4.0999999999999996</v>
      </c>
      <c r="BR9" s="18">
        <v>0</v>
      </c>
      <c r="BS9" s="18">
        <v>0.3</v>
      </c>
      <c r="BT9" s="28"/>
      <c r="BU9" s="11">
        <f t="shared" si="21"/>
        <v>8.3999999999999986</v>
      </c>
      <c r="BV9" s="11">
        <f t="shared" si="22"/>
        <v>42.1</v>
      </c>
      <c r="BW9" s="11">
        <f t="shared" si="23"/>
        <v>21.3</v>
      </c>
      <c r="BX9" s="11">
        <f t="shared" si="24"/>
        <v>12.499999999999998</v>
      </c>
      <c r="BY9" s="11">
        <f t="shared" si="25"/>
        <v>63.400000000000006</v>
      </c>
      <c r="BZ9" s="11">
        <f t="shared" si="26"/>
        <v>8.3999999999999986</v>
      </c>
      <c r="CA9" s="11">
        <f t="shared" si="27"/>
        <v>43.5</v>
      </c>
      <c r="CB9" s="11">
        <f t="shared" si="28"/>
        <v>106.9</v>
      </c>
      <c r="CC9" s="19">
        <v>16.600000000000001</v>
      </c>
      <c r="CD9" s="19">
        <v>3.95</v>
      </c>
      <c r="CE9" s="19">
        <v>0.1</v>
      </c>
      <c r="CF9" s="19">
        <v>0.15</v>
      </c>
      <c r="CG9" s="19">
        <v>16.75</v>
      </c>
      <c r="CH9" s="19">
        <v>4.0999999999999996</v>
      </c>
      <c r="CI9" s="19">
        <v>0.1</v>
      </c>
      <c r="CJ9" s="19">
        <v>0.3</v>
      </c>
      <c r="CK9" s="19">
        <v>16.670000000000002</v>
      </c>
      <c r="CL9" s="19">
        <v>4.0999999999999996</v>
      </c>
      <c r="CM9" s="19">
        <v>0</v>
      </c>
      <c r="CN9" s="19">
        <v>0.3</v>
      </c>
      <c r="CO9" s="19">
        <v>17.3</v>
      </c>
      <c r="CP9" s="19">
        <v>4.1999999999999993</v>
      </c>
      <c r="CQ9" s="19">
        <v>0.1</v>
      </c>
      <c r="CR9" s="19">
        <v>0.3</v>
      </c>
      <c r="CS9" s="19">
        <v>17.399999999999999</v>
      </c>
      <c r="CT9" s="19">
        <v>4</v>
      </c>
      <c r="CU9" s="19">
        <v>0</v>
      </c>
      <c r="CV9" s="19">
        <v>0.3</v>
      </c>
      <c r="CW9" s="27" t="s">
        <v>46</v>
      </c>
      <c r="CX9" s="40">
        <f t="shared" si="29"/>
        <v>8.0500000000000007</v>
      </c>
      <c r="CY9" s="40">
        <f t="shared" si="30"/>
        <v>41.65</v>
      </c>
      <c r="CZ9" s="40">
        <f t="shared" si="31"/>
        <v>21.070000000000004</v>
      </c>
      <c r="DA9" s="40">
        <f t="shared" si="32"/>
        <v>12.15</v>
      </c>
      <c r="DB9" s="40">
        <f t="shared" si="33"/>
        <v>62.72</v>
      </c>
      <c r="DC9" s="40">
        <f t="shared" si="34"/>
        <v>8.1999999999999993</v>
      </c>
      <c r="DD9" s="40">
        <f t="shared" si="35"/>
        <v>43.4</v>
      </c>
      <c r="DE9" s="40">
        <f t="shared" si="36"/>
        <v>106.12</v>
      </c>
      <c r="DF9" s="50">
        <f t="shared" si="37"/>
        <v>0.35000000000000853</v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>
        <v>15.3</v>
      </c>
      <c r="HR9" s="17">
        <v>4.3</v>
      </c>
      <c r="HS9" s="17">
        <v>0</v>
      </c>
      <c r="HT9" s="17">
        <v>0</v>
      </c>
      <c r="HU9" s="17">
        <v>17.600000000000001</v>
      </c>
      <c r="HV9" s="17">
        <v>4.0999999999999996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 t="shared" si="72"/>
        <v>8.3999999999999986</v>
      </c>
      <c r="IL9" s="40">
        <f t="shared" si="73"/>
        <v>41.300000000000004</v>
      </c>
      <c r="IM9" s="40" t="str">
        <f t="shared" si="74"/>
        <v/>
      </c>
      <c r="IN9" s="40">
        <f t="shared" si="75"/>
        <v>8.3999999999999986</v>
      </c>
      <c r="IO9" s="40">
        <f t="shared" si="76"/>
        <v>41.300000000000004</v>
      </c>
      <c r="IP9" s="40" t="str">
        <f t="shared" si="77"/>
        <v/>
      </c>
      <c r="IQ9" s="40" t="str">
        <f t="shared" si="78"/>
        <v/>
      </c>
      <c r="IR9" s="40">
        <f t="shared" si="79"/>
        <v>41.300000000000004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>
        <v>16.5</v>
      </c>
      <c r="JV9" s="17">
        <v>4.3</v>
      </c>
      <c r="JW9" s="17">
        <v>0</v>
      </c>
      <c r="JX9" s="17">
        <v>0</v>
      </c>
      <c r="JY9" s="17">
        <v>16.600000000000001</v>
      </c>
      <c r="JZ9" s="17">
        <v>4.5999999999999996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 t="shared" si="88"/>
        <v>8.8999999999999986</v>
      </c>
      <c r="KP9" s="40">
        <f t="shared" si="89"/>
        <v>42.000000000000007</v>
      </c>
      <c r="KQ9" s="40" t="str">
        <f t="shared" si="90"/>
        <v/>
      </c>
      <c r="KR9" s="40">
        <f t="shared" si="91"/>
        <v>8.8999999999999986</v>
      </c>
      <c r="KS9" s="40">
        <f t="shared" si="92"/>
        <v>42.000000000000007</v>
      </c>
      <c r="KT9" s="40" t="str">
        <f t="shared" si="93"/>
        <v/>
      </c>
      <c r="KU9" s="40" t="str">
        <f t="shared" si="94"/>
        <v/>
      </c>
      <c r="KV9" s="40">
        <f t="shared" si="95"/>
        <v>42.000000000000007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4"/>
        <v/>
      </c>
      <c r="MT9" s="40" t="str">
        <f t="shared" si="105"/>
        <v/>
      </c>
      <c r="MU9" s="40" t="str">
        <f t="shared" si="106"/>
        <v/>
      </c>
      <c r="MV9" s="40" t="str">
        <f t="shared" si="107"/>
        <v/>
      </c>
      <c r="MW9" s="40" t="str">
        <f t="shared" si="108"/>
        <v/>
      </c>
      <c r="MX9" s="40" t="str">
        <f t="shared" si="109"/>
        <v/>
      </c>
      <c r="MY9" s="40" t="str">
        <f t="shared" si="110"/>
        <v/>
      </c>
      <c r="MZ9" s="40" t="str">
        <f t="shared" si="111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16.600000000000001</v>
      </c>
      <c r="QH9" s="22">
        <f t="shared" si="137"/>
        <v>3.95</v>
      </c>
      <c r="QI9" s="22">
        <f t="shared" si="138"/>
        <v>0.1</v>
      </c>
      <c r="QJ9" s="22">
        <f t="shared" si="139"/>
        <v>0.15</v>
      </c>
      <c r="QK9" s="22">
        <f t="shared" si="140"/>
        <v>16.75</v>
      </c>
      <c r="QL9" s="22">
        <f t="shared" si="141"/>
        <v>4.0999999999999996</v>
      </c>
      <c r="QM9" s="22">
        <f t="shared" si="142"/>
        <v>0.1</v>
      </c>
      <c r="QN9" s="22">
        <f t="shared" si="143"/>
        <v>0.3</v>
      </c>
      <c r="QO9" s="22">
        <f t="shared" si="144"/>
        <v>16.670000000000002</v>
      </c>
      <c r="QP9" s="22">
        <f t="shared" si="145"/>
        <v>4.0999999999999996</v>
      </c>
      <c r="QQ9" s="22">
        <f t="shared" si="146"/>
        <v>0</v>
      </c>
      <c r="QR9" s="22">
        <f t="shared" si="147"/>
        <v>0.3</v>
      </c>
      <c r="QS9" s="22">
        <f t="shared" si="148"/>
        <v>17.3</v>
      </c>
      <c r="QT9" s="22">
        <f t="shared" si="149"/>
        <v>4.1999999999999993</v>
      </c>
      <c r="QU9" s="22">
        <f t="shared" si="150"/>
        <v>0.1</v>
      </c>
      <c r="QV9" s="22">
        <f t="shared" si="151"/>
        <v>0.3</v>
      </c>
      <c r="QW9" s="22">
        <f t="shared" si="152"/>
        <v>17.399999999999999</v>
      </c>
      <c r="QX9" s="22">
        <f t="shared" si="153"/>
        <v>4</v>
      </c>
      <c r="QY9" s="22">
        <f t="shared" si="154"/>
        <v>0</v>
      </c>
      <c r="QZ9" s="22">
        <f t="shared" si="155"/>
        <v>0.3</v>
      </c>
      <c r="RA9" s="27" t="s">
        <v>46</v>
      </c>
      <c r="RB9" s="40">
        <f t="shared" si="156"/>
        <v>8.0500000000000007</v>
      </c>
      <c r="RC9" s="40">
        <f t="shared" si="157"/>
        <v>41.65</v>
      </c>
      <c r="RD9" s="40">
        <f t="shared" si="158"/>
        <v>21.070000000000004</v>
      </c>
      <c r="RE9" s="40">
        <f t="shared" si="159"/>
        <v>12.15</v>
      </c>
      <c r="RF9" s="40">
        <f t="shared" si="160"/>
        <v>62.72</v>
      </c>
      <c r="RG9" s="40">
        <f t="shared" si="161"/>
        <v>8.1999999999999993</v>
      </c>
      <c r="RH9" s="40">
        <f t="shared" si="162"/>
        <v>43.4</v>
      </c>
      <c r="RI9" s="40">
        <f t="shared" si="163"/>
        <v>106.12</v>
      </c>
    </row>
    <row r="10" spans="1:477" x14ac:dyDescent="0.2">
      <c r="A10" s="4" cm="1">
        <f t="array" ref="A10">IF(AND(J10&lt;&gt;"",J10&lt;&gt;"No DD"),SUMPRODUCT((J$4:J$20&lt;&gt;"")*(J$4:J$20&lt;&gt;"No DD")*(F$4:F$20&gt;F10))+1,IF(J10="No DD",SUMPRODUCT((J$4:J$20="No DD")*(F$4:F$20&gt;F10))+1+SUMPRODUCT((J$4:J$20&lt;&gt;"")*(J$4:J$20&lt;&gt;"No DD")),""))</f>
        <v>7</v>
      </c>
      <c r="B10" s="4" t="str" cm="1">
        <f t="array" ref="B10">IF(AND(J10&lt;&gt;"",J10&lt;&gt;"No DD",G10=""),SUMPRODUCT((J$4:J$20&lt;&gt;"")*(J$4:J$20&lt;&gt;"No DD")*(G$4:G$20="")*(F$4:F$20&gt;F10))+1,IF(J10="No DD",SUMPRODUCT((J$4:J$20="No DD")*(F$4:F$20&gt;F10)*(G$4:G$20=""))+1+SUMPRODUCT((J$4:J$20&lt;&gt;"")*(G$4:G$20="")*(J$4:J$20&lt;&gt;"No DD")),""))</f>
        <v/>
      </c>
      <c r="C10" s="5" t="s">
        <v>76</v>
      </c>
      <c r="D10" s="4" t="s">
        <v>5</v>
      </c>
      <c r="E10" s="4">
        <v>2004</v>
      </c>
      <c r="F10" s="9">
        <f t="shared" si="0"/>
        <v>146.50000977000389</v>
      </c>
      <c r="G10" s="66" t="s">
        <v>46</v>
      </c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38.700000000000003</v>
      </c>
      <c r="M10" s="8" t="str">
        <f t="shared" si="5"/>
        <v>2023 Nationals</v>
      </c>
      <c r="N10" s="8">
        <f>IF(COUNT(AS10,BV10,CY10)&gt;1,LARGE((AS10,BV10,CY10),2),0)</f>
        <v>37.500000000000007</v>
      </c>
      <c r="O10" s="8" t="str">
        <f t="shared" si="6"/>
        <v>2023 Elite Canada</v>
      </c>
      <c r="P10" s="8">
        <f>IF(COUNT(AT10,BW10,CZ10)&gt;0,LARGE((AT10,BW10,CZ10),1),0)</f>
        <v>21.5</v>
      </c>
      <c r="Q10" s="8" t="str">
        <f t="shared" si="7"/>
        <v>2023 3rd Domestic Trial</v>
      </c>
      <c r="R10" s="8">
        <f t="shared" si="8"/>
        <v>42.800000000000004</v>
      </c>
      <c r="S10" s="8" t="str">
        <f t="shared" si="9"/>
        <v>2023 Nationals</v>
      </c>
      <c r="T10" s="8">
        <f t="shared" si="10"/>
        <v>5.9999999999999929</v>
      </c>
      <c r="U10" s="11" t="str">
        <f t="shared" si="11"/>
        <v>(Q1)</v>
      </c>
      <c r="V10" s="8" t="str">
        <f t="shared" si="12"/>
        <v>2023 WAGC (Nov 17)</v>
      </c>
      <c r="W10" s="19">
        <v>16.8</v>
      </c>
      <c r="X10" s="19">
        <v>3.4</v>
      </c>
      <c r="Y10" s="19">
        <v>0.4</v>
      </c>
      <c r="Z10" s="19">
        <v>0</v>
      </c>
      <c r="AA10" s="19">
        <v>14.5</v>
      </c>
      <c r="AB10" s="19">
        <v>4.5999999999999996</v>
      </c>
      <c r="AC10" s="19">
        <v>2</v>
      </c>
      <c r="AD10" s="19">
        <v>0.6</v>
      </c>
      <c r="AE10" s="19">
        <v>15.3</v>
      </c>
      <c r="AF10" s="19">
        <v>2.6</v>
      </c>
      <c r="AG10" s="19">
        <v>0</v>
      </c>
      <c r="AH10" s="19">
        <v>0.6</v>
      </c>
      <c r="AI10" s="19">
        <v>16.600000000000001</v>
      </c>
      <c r="AJ10" s="19">
        <v>3.8</v>
      </c>
      <c r="AK10" s="19">
        <v>0</v>
      </c>
      <c r="AL10" s="19">
        <v>0</v>
      </c>
      <c r="AM10" s="19">
        <v>16.600000000000001</v>
      </c>
      <c r="AN10" s="19">
        <v>4.5999999999999996</v>
      </c>
      <c r="AO10" s="19">
        <v>0</v>
      </c>
      <c r="AP10" s="19">
        <v>0.6</v>
      </c>
      <c r="AQ10" s="27"/>
      <c r="AR10" s="40">
        <f t="shared" si="13"/>
        <v>8</v>
      </c>
      <c r="AS10" s="40">
        <f t="shared" si="14"/>
        <v>37.500000000000007</v>
      </c>
      <c r="AT10" s="40">
        <f t="shared" si="15"/>
        <v>18.500000000000004</v>
      </c>
      <c r="AU10" s="40">
        <f t="shared" si="16"/>
        <v>10.6</v>
      </c>
      <c r="AV10" s="40">
        <f t="shared" si="17"/>
        <v>56.000000000000014</v>
      </c>
      <c r="AW10" s="40">
        <f t="shared" si="18"/>
        <v>8.3999999999999986</v>
      </c>
      <c r="AX10" s="40">
        <f t="shared" si="19"/>
        <v>42.2</v>
      </c>
      <c r="AY10" s="40">
        <f t="shared" si="20"/>
        <v>98.200000000000017</v>
      </c>
      <c r="AZ10" s="18">
        <v>15.2</v>
      </c>
      <c r="BA10" s="18">
        <v>3.4</v>
      </c>
      <c r="BB10" s="18">
        <v>0.4</v>
      </c>
      <c r="BC10" s="18">
        <v>0</v>
      </c>
      <c r="BD10" s="18">
        <v>16.600000000000001</v>
      </c>
      <c r="BE10" s="18">
        <v>5.3</v>
      </c>
      <c r="BF10" s="18">
        <v>2</v>
      </c>
      <c r="BG10" s="18">
        <v>0.6</v>
      </c>
      <c r="BH10" s="18">
        <v>15.9</v>
      </c>
      <c r="BI10" s="18">
        <v>4.2</v>
      </c>
      <c r="BJ10" s="18">
        <v>0</v>
      </c>
      <c r="BK10" s="18">
        <v>0.6</v>
      </c>
      <c r="BL10" s="18">
        <v>14.9</v>
      </c>
      <c r="BM10" s="18">
        <v>4.5999999999999996</v>
      </c>
      <c r="BN10" s="18">
        <v>0</v>
      </c>
      <c r="BO10" s="18">
        <v>0.6</v>
      </c>
      <c r="BP10" s="18">
        <v>16.600000000000001</v>
      </c>
      <c r="BQ10" s="18">
        <v>5.5</v>
      </c>
      <c r="BR10" s="18">
        <v>0</v>
      </c>
      <c r="BS10" s="18">
        <v>0.6</v>
      </c>
      <c r="BT10" s="28"/>
      <c r="BU10" s="11">
        <f t="shared" si="21"/>
        <v>8.6999999999999993</v>
      </c>
      <c r="BV10" s="11">
        <f t="shared" si="22"/>
        <v>38.700000000000003</v>
      </c>
      <c r="BW10" s="11">
        <f t="shared" si="23"/>
        <v>20.700000000000003</v>
      </c>
      <c r="BX10" s="11">
        <f t="shared" si="24"/>
        <v>12.899999999999999</v>
      </c>
      <c r="BY10" s="11">
        <f t="shared" si="25"/>
        <v>59.400000000000006</v>
      </c>
      <c r="BZ10" s="11">
        <f t="shared" si="26"/>
        <v>10.1</v>
      </c>
      <c r="CA10" s="11">
        <f t="shared" si="27"/>
        <v>42.800000000000004</v>
      </c>
      <c r="CB10" s="11">
        <f t="shared" si="28"/>
        <v>102.20000000000002</v>
      </c>
      <c r="CC10" s="19">
        <v>15.8</v>
      </c>
      <c r="CD10" s="19">
        <v>1.2</v>
      </c>
      <c r="CE10" s="19">
        <v>0</v>
      </c>
      <c r="CF10" s="19">
        <v>0</v>
      </c>
      <c r="CG10" s="19">
        <v>16</v>
      </c>
      <c r="CH10" s="19">
        <v>3.5</v>
      </c>
      <c r="CI10" s="19">
        <v>0.4</v>
      </c>
      <c r="CJ10" s="19">
        <v>0.6</v>
      </c>
      <c r="CK10" s="19">
        <v>16.3</v>
      </c>
      <c r="CL10" s="19">
        <v>4.5999999999999996</v>
      </c>
      <c r="CM10" s="19">
        <v>0</v>
      </c>
      <c r="CN10" s="19">
        <v>0.6</v>
      </c>
      <c r="CO10" s="19">
        <v>16</v>
      </c>
      <c r="CP10" s="19">
        <v>4.8</v>
      </c>
      <c r="CQ10" s="19">
        <v>0</v>
      </c>
      <c r="CR10" s="19">
        <v>0.6</v>
      </c>
      <c r="CS10" s="19">
        <v>16</v>
      </c>
      <c r="CT10" s="19">
        <v>3.9</v>
      </c>
      <c r="CU10" s="19">
        <v>0.2</v>
      </c>
      <c r="CV10" s="19">
        <v>0.3</v>
      </c>
      <c r="CW10" s="27"/>
      <c r="CX10" s="40">
        <f t="shared" si="29"/>
        <v>4.7</v>
      </c>
      <c r="CY10" s="40">
        <f t="shared" si="30"/>
        <v>36.700000000000003</v>
      </c>
      <c r="CZ10" s="40">
        <f t="shared" si="31"/>
        <v>21.5</v>
      </c>
      <c r="DA10" s="40">
        <f t="shared" si="32"/>
        <v>9.3000000000000007</v>
      </c>
      <c r="DB10" s="40">
        <f t="shared" si="33"/>
        <v>58.2</v>
      </c>
      <c r="DC10" s="40">
        <f t="shared" si="34"/>
        <v>8.6999999999999993</v>
      </c>
      <c r="DD10" s="40">
        <f t="shared" si="35"/>
        <v>41.4</v>
      </c>
      <c r="DE10" s="40">
        <f t="shared" si="36"/>
        <v>99.6</v>
      </c>
      <c r="DF10" s="50">
        <f t="shared" si="37"/>
        <v>5.9999999999999929</v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1" t="str">
        <f t="shared" si="70"/>
        <v/>
      </c>
      <c r="HP10" s="11" t="str">
        <f t="shared" si="71"/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>
        <v>16.600000000000001</v>
      </c>
      <c r="JV10" s="17">
        <v>5.3</v>
      </c>
      <c r="JW10" s="17">
        <v>0</v>
      </c>
      <c r="JX10" s="17">
        <v>0</v>
      </c>
      <c r="JY10" s="17">
        <v>16.100000000000001</v>
      </c>
      <c r="JZ10" s="17">
        <v>5.5</v>
      </c>
      <c r="KA10" s="17">
        <v>0</v>
      </c>
      <c r="KB10" s="17">
        <v>0</v>
      </c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>
        <f t="shared" si="88"/>
        <v>10.8</v>
      </c>
      <c r="KP10" s="40">
        <f t="shared" si="89"/>
        <v>43.5</v>
      </c>
      <c r="KQ10" s="40" t="str">
        <f t="shared" si="90"/>
        <v/>
      </c>
      <c r="KR10" s="40">
        <f t="shared" si="91"/>
        <v>10.8</v>
      </c>
      <c r="KS10" s="40">
        <f t="shared" si="92"/>
        <v>43.5</v>
      </c>
      <c r="KT10" s="40" t="str">
        <f t="shared" si="93"/>
        <v/>
      </c>
      <c r="KU10" s="40" t="str">
        <f t="shared" si="94"/>
        <v/>
      </c>
      <c r="KV10" s="40">
        <f t="shared" si="95"/>
        <v>43.5</v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4"/>
        <v/>
      </c>
      <c r="MT10" s="40" t="str">
        <f t="shared" si="105"/>
        <v/>
      </c>
      <c r="MU10" s="40" t="str">
        <f t="shared" si="106"/>
        <v/>
      </c>
      <c r="MV10" s="40" t="str">
        <f t="shared" si="107"/>
        <v/>
      </c>
      <c r="MW10" s="40" t="str">
        <f t="shared" si="108"/>
        <v/>
      </c>
      <c r="MX10" s="40" t="str">
        <f t="shared" si="109"/>
        <v/>
      </c>
      <c r="MY10" s="40" t="str">
        <f t="shared" si="110"/>
        <v/>
      </c>
      <c r="MZ10" s="40" t="str">
        <f t="shared" si="111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15.5</v>
      </c>
      <c r="QH10" s="22">
        <f t="shared" si="137"/>
        <v>2.2999999999999998</v>
      </c>
      <c r="QI10" s="22">
        <f t="shared" si="138"/>
        <v>0.2</v>
      </c>
      <c r="QJ10" s="22">
        <f t="shared" si="139"/>
        <v>0</v>
      </c>
      <c r="QK10" s="22">
        <f t="shared" si="140"/>
        <v>16.3</v>
      </c>
      <c r="QL10" s="22">
        <f t="shared" si="141"/>
        <v>4.4000000000000004</v>
      </c>
      <c r="QM10" s="22">
        <f t="shared" si="142"/>
        <v>1.2</v>
      </c>
      <c r="QN10" s="22">
        <f t="shared" si="143"/>
        <v>0.6</v>
      </c>
      <c r="QO10" s="22">
        <f t="shared" si="144"/>
        <v>16.100000000000001</v>
      </c>
      <c r="QP10" s="22">
        <f t="shared" si="145"/>
        <v>4.4000000000000004</v>
      </c>
      <c r="QQ10" s="22">
        <f t="shared" si="146"/>
        <v>0</v>
      </c>
      <c r="QR10" s="22">
        <f t="shared" si="147"/>
        <v>0.6</v>
      </c>
      <c r="QS10" s="22">
        <f t="shared" si="148"/>
        <v>15.45</v>
      </c>
      <c r="QT10" s="22">
        <f t="shared" si="149"/>
        <v>4.6999999999999993</v>
      </c>
      <c r="QU10" s="22">
        <f t="shared" si="150"/>
        <v>0</v>
      </c>
      <c r="QV10" s="22">
        <f t="shared" si="151"/>
        <v>0.6</v>
      </c>
      <c r="QW10" s="22">
        <f t="shared" si="152"/>
        <v>16.3</v>
      </c>
      <c r="QX10" s="22">
        <f t="shared" si="153"/>
        <v>4.7</v>
      </c>
      <c r="QY10" s="22">
        <f t="shared" si="154"/>
        <v>0.1</v>
      </c>
      <c r="QZ10" s="22">
        <f t="shared" si="155"/>
        <v>0.44999999999999996</v>
      </c>
      <c r="RA10" s="27" t="s">
        <v>46</v>
      </c>
      <c r="RB10" s="40">
        <f t="shared" si="156"/>
        <v>6.7</v>
      </c>
      <c r="RC10" s="40">
        <f t="shared" si="157"/>
        <v>37.699999999999996</v>
      </c>
      <c r="RD10" s="40">
        <f t="shared" si="158"/>
        <v>21.1</v>
      </c>
      <c r="RE10" s="40">
        <f t="shared" si="159"/>
        <v>11.100000000000001</v>
      </c>
      <c r="RF10" s="40">
        <f t="shared" si="160"/>
        <v>58.8</v>
      </c>
      <c r="RG10" s="40">
        <f t="shared" si="161"/>
        <v>9.3999999999999986</v>
      </c>
      <c r="RH10" s="40">
        <f t="shared" si="162"/>
        <v>42.1</v>
      </c>
      <c r="RI10" s="40">
        <f t="shared" si="163"/>
        <v>100.9</v>
      </c>
    </row>
    <row r="11" spans="1:477" x14ac:dyDescent="0.2">
      <c r="A11" s="4" cm="1">
        <f t="array" ref="A11">IF(AND(J11&lt;&gt;"",J11&lt;&gt;"No DD"),SUMPRODUCT((J$4:J$20&lt;&gt;"")*(J$4:J$20&lt;&gt;"No DD")*(F$4:F$20&gt;F11))+1,IF(J11="No DD",SUMPRODUCT((J$4:J$20="No DD")*(F$4:F$20&gt;F11))+1+SUMPRODUCT((J$4:J$20&lt;&gt;"")*(J$4:J$20&lt;&gt;"No DD")),""))</f>
        <v>8</v>
      </c>
      <c r="B11" s="4" cm="1">
        <f t="array" ref="B11">IF(AND(J11&lt;&gt;"",J11&lt;&gt;"No DD",G11=""),SUMPRODUCT((J$4:J$20&lt;&gt;"")*(J$4:J$20&lt;&gt;"No DD")*(G$4:G$20="")*(F$4:F$20&gt;F11))+1,IF(J11="No DD",SUMPRODUCT((J$4:J$20="No DD")*(F$4:F$20&gt;F11)*(G$4:G$20=""))+1+SUMPRODUCT((J$4:J$20&lt;&gt;"")*(G$4:G$20="")*(J$4:J$20&lt;&gt;"No DD")),""))</f>
        <v>3</v>
      </c>
      <c r="C11" s="5" t="s">
        <v>181</v>
      </c>
      <c r="D11" s="4" t="s">
        <v>4</v>
      </c>
      <c r="E11" s="4">
        <v>2005</v>
      </c>
      <c r="F11" s="9">
        <f t="shared" si="0"/>
        <v>143.60000903000378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37.6</v>
      </c>
      <c r="M11" s="8" t="str">
        <f t="shared" si="5"/>
        <v>2023 Nationals</v>
      </c>
      <c r="N11" s="8">
        <f>IF(COUNT(AS11,BV11,CY11)&gt;1,LARGE((AS11,BV11,CY11),2),0)</f>
        <v>31.8</v>
      </c>
      <c r="O11" s="8" t="str">
        <f t="shared" si="6"/>
        <v>2023 Elite Canada</v>
      </c>
      <c r="P11" s="8">
        <f>IF(COUNT(AT11,BW11,CZ11)&gt;0,LARGE((AT11,BW11,CZ11),1),0)</f>
        <v>20.9</v>
      </c>
      <c r="Q11" s="8" t="str">
        <f t="shared" si="7"/>
        <v>2023 Nationals</v>
      </c>
      <c r="R11" s="8">
        <f t="shared" si="8"/>
        <v>42.3</v>
      </c>
      <c r="S11" s="8" t="str">
        <f t="shared" si="9"/>
        <v>2023 Elite Canada</v>
      </c>
      <c r="T11" s="8">
        <f t="shared" si="10"/>
        <v>11.000000000000004</v>
      </c>
      <c r="U11" s="11" t="str">
        <f t="shared" si="11"/>
        <v>(Q1)</v>
      </c>
      <c r="V11" s="8" t="str">
        <f t="shared" si="12"/>
        <v>2023 WAGC (Nov 17)</v>
      </c>
      <c r="W11" s="19">
        <v>16.100000000000001</v>
      </c>
      <c r="X11" s="19">
        <v>1.2</v>
      </c>
      <c r="Y11" s="19">
        <v>0</v>
      </c>
      <c r="Z11" s="19">
        <v>0</v>
      </c>
      <c r="AA11" s="19">
        <v>11.7</v>
      </c>
      <c r="AB11" s="19">
        <v>2.2000000000000002</v>
      </c>
      <c r="AC11" s="19">
        <v>0</v>
      </c>
      <c r="AD11" s="19">
        <v>0.6</v>
      </c>
      <c r="AE11" s="19">
        <v>17.399999999999999</v>
      </c>
      <c r="AF11" s="19">
        <v>3.2</v>
      </c>
      <c r="AG11" s="19">
        <v>0</v>
      </c>
      <c r="AH11" s="19">
        <v>0</v>
      </c>
      <c r="AI11" s="19">
        <v>17.3</v>
      </c>
      <c r="AJ11" s="19">
        <v>3.4</v>
      </c>
      <c r="AK11" s="19">
        <v>0.2</v>
      </c>
      <c r="AL11" s="19">
        <v>0</v>
      </c>
      <c r="AM11" s="19">
        <v>16.600000000000001</v>
      </c>
      <c r="AN11" s="19">
        <v>4.5999999999999996</v>
      </c>
      <c r="AO11" s="19">
        <v>0</v>
      </c>
      <c r="AP11" s="19">
        <v>0.6</v>
      </c>
      <c r="AQ11" s="27"/>
      <c r="AR11" s="40">
        <f t="shared" si="13"/>
        <v>3.4000000000000004</v>
      </c>
      <c r="AS11" s="40">
        <f t="shared" si="14"/>
        <v>31.8</v>
      </c>
      <c r="AT11" s="40">
        <f t="shared" si="15"/>
        <v>20.599999999999998</v>
      </c>
      <c r="AU11" s="40">
        <f t="shared" si="16"/>
        <v>6.6000000000000005</v>
      </c>
      <c r="AV11" s="40">
        <f t="shared" si="17"/>
        <v>52.4</v>
      </c>
      <c r="AW11" s="40">
        <f t="shared" si="18"/>
        <v>8</v>
      </c>
      <c r="AX11" s="40">
        <f t="shared" si="19"/>
        <v>42.3</v>
      </c>
      <c r="AY11" s="40">
        <f t="shared" si="20"/>
        <v>94.699999999999989</v>
      </c>
      <c r="AZ11" s="18">
        <v>17.600000000000001</v>
      </c>
      <c r="BA11" s="18">
        <v>3.2</v>
      </c>
      <c r="BB11" s="18">
        <v>0</v>
      </c>
      <c r="BC11" s="18">
        <v>0</v>
      </c>
      <c r="BD11" s="18">
        <v>13.6</v>
      </c>
      <c r="BE11" s="18">
        <v>2.6</v>
      </c>
      <c r="BF11" s="18">
        <v>0</v>
      </c>
      <c r="BG11" s="18">
        <v>0.6</v>
      </c>
      <c r="BH11" s="18">
        <v>17.5</v>
      </c>
      <c r="BI11" s="18">
        <v>3.4</v>
      </c>
      <c r="BJ11" s="18">
        <v>0</v>
      </c>
      <c r="BK11" s="18">
        <v>0</v>
      </c>
      <c r="BL11" s="18">
        <v>16.8</v>
      </c>
      <c r="BM11" s="18">
        <v>4.0999999999999996</v>
      </c>
      <c r="BN11" s="18">
        <v>0</v>
      </c>
      <c r="BO11" s="18">
        <v>0.3</v>
      </c>
      <c r="BP11" s="18">
        <v>16.8</v>
      </c>
      <c r="BQ11" s="18">
        <v>3.9</v>
      </c>
      <c r="BR11" s="18">
        <v>0</v>
      </c>
      <c r="BS11" s="18">
        <v>0.3</v>
      </c>
      <c r="BT11" s="28"/>
      <c r="BU11" s="11">
        <f t="shared" si="21"/>
        <v>5.8000000000000007</v>
      </c>
      <c r="BV11" s="11">
        <f t="shared" si="22"/>
        <v>37.6</v>
      </c>
      <c r="BW11" s="11">
        <f t="shared" si="23"/>
        <v>20.9</v>
      </c>
      <c r="BX11" s="11">
        <f t="shared" si="24"/>
        <v>9.2000000000000011</v>
      </c>
      <c r="BY11" s="11">
        <f t="shared" si="25"/>
        <v>58.5</v>
      </c>
      <c r="BZ11" s="11">
        <f t="shared" si="26"/>
        <v>8</v>
      </c>
      <c r="CA11" s="11">
        <f t="shared" si="27"/>
        <v>42.199999999999996</v>
      </c>
      <c r="CB11" s="11">
        <f t="shared" si="28"/>
        <v>100.69999999999999</v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 t="shared" si="29"/>
        <v/>
      </c>
      <c r="CY11" s="40" t="str">
        <f t="shared" si="30"/>
        <v/>
      </c>
      <c r="CZ11" s="40" t="str">
        <f t="shared" si="31"/>
        <v/>
      </c>
      <c r="DA11" s="40" t="str">
        <f t="shared" si="32"/>
        <v/>
      </c>
      <c r="DB11" s="40" t="str">
        <f t="shared" si="33"/>
        <v/>
      </c>
      <c r="DC11" s="40" t="str">
        <f t="shared" si="34"/>
        <v/>
      </c>
      <c r="DD11" s="40" t="str">
        <f t="shared" si="35"/>
        <v/>
      </c>
      <c r="DE11" s="40" t="str">
        <f t="shared" si="36"/>
        <v/>
      </c>
      <c r="DF11" s="50">
        <f t="shared" si="37"/>
        <v>11.000000000000004</v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1" t="str">
        <f t="shared" si="70"/>
        <v/>
      </c>
      <c r="HP11" s="11" t="str">
        <f t="shared" si="71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>
        <v>17.600000000000001</v>
      </c>
      <c r="JV11" s="17">
        <v>4.0999999999999996</v>
      </c>
      <c r="JW11" s="17">
        <v>0</v>
      </c>
      <c r="JX11" s="17">
        <v>0</v>
      </c>
      <c r="JY11" s="17">
        <v>17.2</v>
      </c>
      <c r="JZ11" s="17">
        <v>3.9</v>
      </c>
      <c r="KA11" s="17">
        <v>0</v>
      </c>
      <c r="KB11" s="17">
        <v>0</v>
      </c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>
        <f t="shared" si="88"/>
        <v>8</v>
      </c>
      <c r="KP11" s="40">
        <f t="shared" si="89"/>
        <v>42.800000000000004</v>
      </c>
      <c r="KQ11" s="40" t="str">
        <f t="shared" si="90"/>
        <v/>
      </c>
      <c r="KR11" s="40">
        <f t="shared" si="91"/>
        <v>8</v>
      </c>
      <c r="KS11" s="40">
        <f t="shared" si="92"/>
        <v>42.800000000000004</v>
      </c>
      <c r="KT11" s="40" t="str">
        <f t="shared" si="93"/>
        <v/>
      </c>
      <c r="KU11" s="40" t="str">
        <f t="shared" si="94"/>
        <v/>
      </c>
      <c r="KV11" s="40">
        <f t="shared" si="95"/>
        <v>42.800000000000004</v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8.8000000000000007</v>
      </c>
      <c r="QH11" s="22">
        <f t="shared" si="137"/>
        <v>1.6</v>
      </c>
      <c r="QI11" s="22">
        <f t="shared" si="138"/>
        <v>0</v>
      </c>
      <c r="QJ11" s="22">
        <f t="shared" si="139"/>
        <v>0</v>
      </c>
      <c r="QK11" s="22">
        <f t="shared" si="140"/>
        <v>6.8</v>
      </c>
      <c r="QL11" s="22">
        <f t="shared" si="141"/>
        <v>1.3</v>
      </c>
      <c r="QM11" s="22">
        <f t="shared" si="142"/>
        <v>0</v>
      </c>
      <c r="QN11" s="22">
        <f t="shared" si="143"/>
        <v>0.3</v>
      </c>
      <c r="QO11" s="22">
        <f t="shared" si="144"/>
        <v>8.75</v>
      </c>
      <c r="QP11" s="22">
        <f t="shared" si="145"/>
        <v>1.7</v>
      </c>
      <c r="QQ11" s="22">
        <f t="shared" si="146"/>
        <v>0</v>
      </c>
      <c r="QR11" s="22">
        <f t="shared" si="147"/>
        <v>0</v>
      </c>
      <c r="QS11" s="22">
        <f t="shared" si="148"/>
        <v>8.4</v>
      </c>
      <c r="QT11" s="22">
        <f t="shared" si="149"/>
        <v>2.0499999999999998</v>
      </c>
      <c r="QU11" s="22">
        <f t="shared" si="150"/>
        <v>0</v>
      </c>
      <c r="QV11" s="22">
        <f t="shared" si="151"/>
        <v>0.15</v>
      </c>
      <c r="QW11" s="22">
        <f t="shared" si="152"/>
        <v>8.4</v>
      </c>
      <c r="QX11" s="22">
        <f t="shared" si="153"/>
        <v>1.95</v>
      </c>
      <c r="QY11" s="22">
        <f t="shared" si="154"/>
        <v>0</v>
      </c>
      <c r="QZ11" s="22">
        <f t="shared" si="155"/>
        <v>0.15</v>
      </c>
      <c r="RA11" s="27" t="s">
        <v>46</v>
      </c>
      <c r="RB11" s="40">
        <f t="shared" si="156"/>
        <v>2.9000000000000004</v>
      </c>
      <c r="RC11" s="40">
        <f t="shared" si="157"/>
        <v>18.8</v>
      </c>
      <c r="RD11" s="40">
        <f t="shared" si="158"/>
        <v>10.45</v>
      </c>
      <c r="RE11" s="40">
        <f t="shared" si="159"/>
        <v>4.6000000000000005</v>
      </c>
      <c r="RF11" s="40">
        <f t="shared" si="160"/>
        <v>29.25</v>
      </c>
      <c r="RG11" s="40">
        <f t="shared" si="161"/>
        <v>4</v>
      </c>
      <c r="RH11" s="40">
        <f t="shared" si="162"/>
        <v>21.099999999999998</v>
      </c>
      <c r="RI11" s="40">
        <f t="shared" si="163"/>
        <v>50.349999999999994</v>
      </c>
    </row>
    <row r="12" spans="1:477" x14ac:dyDescent="0.2">
      <c r="A12" s="4" t="str" cm="1">
        <f t="array" ref="A12">IF(AND(J12&lt;&gt;"",J12&lt;&gt;"No DD"),SUMPRODUCT((J$4:J$20&lt;&gt;"")*(J$4:J$20&lt;&gt;"No DD")*(F$4:F$20&gt;F12))+1,IF(J12="No DD",SUMPRODUCT((J$4:J$20="No DD")*(F$4:F$20&gt;F12))+1+SUMPRODUCT((J$4:J$20&lt;&gt;"")*(J$4:J$20&lt;&gt;"No DD")),""))</f>
        <v/>
      </c>
      <c r="B12" s="4" t="str" cm="1">
        <f t="array" ref="B12">IF(AND(J12&lt;&gt;"",J12&lt;&gt;"No DD",G12=""),SUMPRODUCT((J$4:J$20&lt;&gt;"")*(J$4:J$20&lt;&gt;"No DD")*(G$4:G$20="")*(F$4:F$20&gt;F12))+1,IF(J12="No DD",SUMPRODUCT((J$4:J$20="No DD")*(F$4:F$20&gt;F12)*(G$4:G$20=""))+1+SUMPRODUCT((J$4:J$20&lt;&gt;"")*(G$4:G$20="")*(J$4:J$20&lt;&gt;"No DD")),""))</f>
        <v/>
      </c>
      <c r="C12" s="5" t="s">
        <v>151</v>
      </c>
      <c r="D12" s="4" t="s">
        <v>3</v>
      </c>
      <c r="E12" s="4">
        <v>2004</v>
      </c>
      <c r="F12" s="9">
        <f t="shared" si="0"/>
        <v>142.30001011000408</v>
      </c>
      <c r="G12" s="66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IF(COUNT(AS12,BV12,CY12)&gt;0,LARGE((AS12,BV12,CY12),1),0)</f>
        <v>40.900000000000006</v>
      </c>
      <c r="M12" s="8" t="str">
        <f t="shared" si="5"/>
        <v>2023 Nationals</v>
      </c>
      <c r="N12" s="8">
        <f>IF(COUNT(AS12,BV12,CY12)&gt;1,LARGE((AS12,BV12,CY12),2),0)</f>
        <v>40.299999999999997</v>
      </c>
      <c r="O12" s="8" t="str">
        <f t="shared" si="6"/>
        <v>2023 Elite Canada</v>
      </c>
      <c r="P12" s="8">
        <f>IF(COUNT(AT12,BW12,CZ12)&gt;0,LARGE((AT12,BW12,CZ12),1),0)</f>
        <v>19.899999999999999</v>
      </c>
      <c r="Q12" s="8" t="str">
        <f t="shared" si="7"/>
        <v>2023 Elite Canada</v>
      </c>
      <c r="R12" s="8">
        <f t="shared" si="8"/>
        <v>41.199999999999996</v>
      </c>
      <c r="S12" s="8" t="str">
        <f t="shared" si="9"/>
        <v>2023 Elite Canada</v>
      </c>
      <c r="T12" s="8" t="str">
        <f t="shared" si="10"/>
        <v/>
      </c>
      <c r="U12" s="11" t="str">
        <f t="shared" si="11"/>
        <v/>
      </c>
      <c r="V12" s="8" t="str">
        <f t="shared" si="12"/>
        <v/>
      </c>
      <c r="W12" s="19">
        <v>17.100000000000001</v>
      </c>
      <c r="X12" s="19">
        <v>3.9</v>
      </c>
      <c r="Y12" s="19">
        <v>0</v>
      </c>
      <c r="Z12" s="19">
        <v>0.3</v>
      </c>
      <c r="AA12" s="19">
        <v>15.5</v>
      </c>
      <c r="AB12" s="19">
        <v>3.2</v>
      </c>
      <c r="AC12" s="19">
        <v>0</v>
      </c>
      <c r="AD12" s="19">
        <v>0.3</v>
      </c>
      <c r="AE12" s="19">
        <v>16.399999999999999</v>
      </c>
      <c r="AF12" s="19">
        <v>3.2</v>
      </c>
      <c r="AG12" s="19">
        <v>0</v>
      </c>
      <c r="AH12" s="19">
        <v>0.3</v>
      </c>
      <c r="AI12" s="19">
        <v>16.899999999999999</v>
      </c>
      <c r="AJ12" s="19">
        <v>3.9</v>
      </c>
      <c r="AK12" s="19">
        <v>0</v>
      </c>
      <c r="AL12" s="19">
        <v>0.3</v>
      </c>
      <c r="AM12" s="19">
        <v>16.8</v>
      </c>
      <c r="AN12" s="19">
        <v>3.2</v>
      </c>
      <c r="AO12" s="19">
        <v>0.2</v>
      </c>
      <c r="AP12" s="19">
        <v>0.3</v>
      </c>
      <c r="AQ12" s="27"/>
      <c r="AR12" s="40">
        <f t="shared" si="13"/>
        <v>7.1</v>
      </c>
      <c r="AS12" s="40">
        <f t="shared" si="14"/>
        <v>40.299999999999997</v>
      </c>
      <c r="AT12" s="40">
        <f t="shared" si="15"/>
        <v>19.899999999999999</v>
      </c>
      <c r="AU12" s="40">
        <f t="shared" si="16"/>
        <v>10.3</v>
      </c>
      <c r="AV12" s="40">
        <f t="shared" si="17"/>
        <v>60.199999999999996</v>
      </c>
      <c r="AW12" s="40">
        <f t="shared" si="18"/>
        <v>7.1</v>
      </c>
      <c r="AX12" s="40">
        <f t="shared" si="19"/>
        <v>41.199999999999996</v>
      </c>
      <c r="AY12" s="40">
        <f t="shared" si="20"/>
        <v>101.39999999999999</v>
      </c>
      <c r="AZ12" s="18">
        <v>16.100000000000001</v>
      </c>
      <c r="BA12" s="18">
        <v>4.0999999999999996</v>
      </c>
      <c r="BB12" s="18">
        <v>0.2</v>
      </c>
      <c r="BC12" s="18">
        <v>0.3</v>
      </c>
      <c r="BD12" s="18">
        <v>16.100000000000001</v>
      </c>
      <c r="BE12" s="18">
        <v>3.9</v>
      </c>
      <c r="BF12" s="18">
        <v>0</v>
      </c>
      <c r="BG12" s="18">
        <v>0.6</v>
      </c>
      <c r="BH12" s="18">
        <v>15.5</v>
      </c>
      <c r="BI12" s="18">
        <v>4.0999999999999996</v>
      </c>
      <c r="BJ12" s="18">
        <v>0.2</v>
      </c>
      <c r="BK12" s="18">
        <v>0.3</v>
      </c>
      <c r="BL12" s="18">
        <v>15.8</v>
      </c>
      <c r="BM12" s="18">
        <v>1.9</v>
      </c>
      <c r="BN12" s="18">
        <v>0</v>
      </c>
      <c r="BO12" s="18">
        <v>0.3</v>
      </c>
      <c r="BP12" s="18">
        <v>16.5</v>
      </c>
      <c r="BQ12" s="18">
        <v>3.9</v>
      </c>
      <c r="BR12" s="18">
        <v>0</v>
      </c>
      <c r="BS12" s="18">
        <v>0.3</v>
      </c>
      <c r="BT12" s="28"/>
      <c r="BU12" s="11">
        <f t="shared" si="21"/>
        <v>8</v>
      </c>
      <c r="BV12" s="11">
        <f t="shared" si="22"/>
        <v>40.900000000000006</v>
      </c>
      <c r="BW12" s="11">
        <f t="shared" si="23"/>
        <v>19.700000000000003</v>
      </c>
      <c r="BX12" s="11">
        <f t="shared" si="24"/>
        <v>12.1</v>
      </c>
      <c r="BY12" s="11">
        <f t="shared" si="25"/>
        <v>60.600000000000009</v>
      </c>
      <c r="BZ12" s="11">
        <f t="shared" si="26"/>
        <v>5.8</v>
      </c>
      <c r="CA12" s="11">
        <f t="shared" si="27"/>
        <v>38.699999999999996</v>
      </c>
      <c r="CB12" s="11">
        <f t="shared" si="28"/>
        <v>99.300000000000011</v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 t="shared" si="29"/>
        <v/>
      </c>
      <c r="CY12" s="40" t="str">
        <f t="shared" si="30"/>
        <v/>
      </c>
      <c r="CZ12" s="40" t="str">
        <f t="shared" si="31"/>
        <v/>
      </c>
      <c r="DA12" s="40" t="str">
        <f t="shared" si="32"/>
        <v/>
      </c>
      <c r="DB12" s="40" t="str">
        <f t="shared" si="33"/>
        <v/>
      </c>
      <c r="DC12" s="40" t="str">
        <f t="shared" si="34"/>
        <v/>
      </c>
      <c r="DD12" s="40" t="str">
        <f t="shared" si="35"/>
        <v/>
      </c>
      <c r="DE12" s="40" t="str">
        <f t="shared" si="36"/>
        <v/>
      </c>
      <c r="DF12" s="50" t="str">
        <f t="shared" si="37"/>
        <v/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6"/>
        <v/>
      </c>
      <c r="GH12" s="40" t="str">
        <f t="shared" si="57"/>
        <v/>
      </c>
      <c r="GI12" s="40" t="str">
        <f t="shared" si="58"/>
        <v/>
      </c>
      <c r="GJ12" s="40" t="str">
        <f t="shared" si="59"/>
        <v/>
      </c>
      <c r="GK12" s="40" t="str">
        <f t="shared" si="60"/>
        <v/>
      </c>
      <c r="GL12" s="40" t="str">
        <f t="shared" si="61"/>
        <v/>
      </c>
      <c r="GM12" s="40" t="str">
        <f t="shared" si="62"/>
        <v/>
      </c>
      <c r="GN12" s="40" t="str">
        <f t="shared" si="63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8.0500000000000007</v>
      </c>
      <c r="QH12" s="22">
        <f t="shared" si="137"/>
        <v>2.0499999999999998</v>
      </c>
      <c r="QI12" s="22">
        <f t="shared" si="138"/>
        <v>0.1</v>
      </c>
      <c r="QJ12" s="22">
        <f t="shared" si="139"/>
        <v>0.15</v>
      </c>
      <c r="QK12" s="22">
        <f t="shared" si="140"/>
        <v>8.0500000000000007</v>
      </c>
      <c r="QL12" s="22">
        <f t="shared" si="141"/>
        <v>1.95</v>
      </c>
      <c r="QM12" s="22">
        <f t="shared" si="142"/>
        <v>0</v>
      </c>
      <c r="QN12" s="22">
        <f t="shared" si="143"/>
        <v>0.3</v>
      </c>
      <c r="QO12" s="22">
        <f t="shared" si="144"/>
        <v>7.75</v>
      </c>
      <c r="QP12" s="22">
        <f t="shared" si="145"/>
        <v>2.0499999999999998</v>
      </c>
      <c r="QQ12" s="22">
        <f t="shared" si="146"/>
        <v>0.1</v>
      </c>
      <c r="QR12" s="22">
        <f t="shared" si="147"/>
        <v>0.15</v>
      </c>
      <c r="QS12" s="22">
        <f t="shared" si="148"/>
        <v>7.9</v>
      </c>
      <c r="QT12" s="22">
        <f t="shared" si="149"/>
        <v>0.95</v>
      </c>
      <c r="QU12" s="22">
        <f t="shared" si="150"/>
        <v>0</v>
      </c>
      <c r="QV12" s="22">
        <f t="shared" si="151"/>
        <v>0.15</v>
      </c>
      <c r="QW12" s="22">
        <f t="shared" si="152"/>
        <v>8.25</v>
      </c>
      <c r="QX12" s="22">
        <f t="shared" si="153"/>
        <v>1.95</v>
      </c>
      <c r="QY12" s="22">
        <f t="shared" si="154"/>
        <v>0</v>
      </c>
      <c r="QZ12" s="22">
        <f t="shared" si="155"/>
        <v>0.15</v>
      </c>
      <c r="RA12" s="27" t="s">
        <v>46</v>
      </c>
      <c r="RB12" s="40">
        <f t="shared" si="156"/>
        <v>4</v>
      </c>
      <c r="RC12" s="40">
        <f t="shared" si="157"/>
        <v>20.450000000000003</v>
      </c>
      <c r="RD12" s="40">
        <f t="shared" si="158"/>
        <v>9.8500000000000014</v>
      </c>
      <c r="RE12" s="40">
        <f t="shared" si="159"/>
        <v>6.05</v>
      </c>
      <c r="RF12" s="40">
        <f t="shared" si="160"/>
        <v>30.300000000000004</v>
      </c>
      <c r="RG12" s="40">
        <f t="shared" si="161"/>
        <v>2.9</v>
      </c>
      <c r="RH12" s="40">
        <f t="shared" si="162"/>
        <v>19.349999999999998</v>
      </c>
      <c r="RI12" s="40">
        <f t="shared" si="163"/>
        <v>49.650000000000006</v>
      </c>
    </row>
    <row r="13" spans="1:477" x14ac:dyDescent="0.2">
      <c r="A13" s="4" cm="1">
        <f t="array" ref="A13">IF(AND(J13&lt;&gt;"",J13&lt;&gt;"No DD"),SUMPRODUCT((J$4:J$20&lt;&gt;"")*(J$4:J$20&lt;&gt;"No DD")*(F$4:F$20&gt;F13))+1,IF(J13="No DD",SUMPRODUCT((J$4:J$20="No DD")*(F$4:F$20&gt;F13))+1+SUMPRODUCT((J$4:J$20&lt;&gt;"")*(J$4:J$20&lt;&gt;"No DD")),""))</f>
        <v>9</v>
      </c>
      <c r="B13" s="4" cm="1">
        <f t="array" ref="B13">IF(AND(J13&lt;&gt;"",J13&lt;&gt;"No DD",G13=""),SUMPRODUCT((J$4:J$20&lt;&gt;"")*(J$4:J$20&lt;&gt;"No DD")*(G$4:G$20="")*(F$4:F$20&gt;F13))+1,IF(J13="No DD",SUMPRODUCT((J$4:J$20="No DD")*(F$4:F$20&gt;F13)*(G$4:G$20=""))+1+SUMPRODUCT((J$4:J$20&lt;&gt;"")*(G$4:G$20="")*(J$4:J$20&lt;&gt;"No DD")),""))</f>
        <v>4</v>
      </c>
      <c r="C13" s="5" t="s">
        <v>152</v>
      </c>
      <c r="D13" s="4" t="s">
        <v>6</v>
      </c>
      <c r="E13" s="4">
        <v>2005</v>
      </c>
      <c r="F13" s="9">
        <f t="shared" si="0"/>
        <v>141.56000991600402</v>
      </c>
      <c r="G13" s="66"/>
      <c r="H13" s="3" t="str">
        <f t="shared" si="1"/>
        <v/>
      </c>
      <c r="I13" s="3" t="str">
        <f t="shared" si="2"/>
        <v>P</v>
      </c>
      <c r="J13" s="36" t="str">
        <f t="shared" si="3"/>
        <v>No DD</v>
      </c>
      <c r="K13" s="3" t="str">
        <f t="shared" si="4"/>
        <v/>
      </c>
      <c r="L13" s="8">
        <f>IF(COUNT(AS13,BV13,CY13)&gt;0,LARGE((AS13,BV13,CY13),1),0)</f>
        <v>40.099999999999994</v>
      </c>
      <c r="M13" s="8" t="str">
        <f t="shared" si="5"/>
        <v>2023 Nationals</v>
      </c>
      <c r="N13" s="8">
        <f>IF(COUNT(AS13,BV13,CY13)&gt;1,LARGE((AS13,BV13,CY13),2),0)</f>
        <v>37.86</v>
      </c>
      <c r="O13" s="8" t="str">
        <f t="shared" si="6"/>
        <v>2023 Elite Canada</v>
      </c>
      <c r="P13" s="8">
        <f>IF(COUNT(AT13,BW13,CZ13)&gt;0,LARGE((AT13,BW13,CZ13),1),0)</f>
        <v>21.2</v>
      </c>
      <c r="Q13" s="8" t="str">
        <f t="shared" si="7"/>
        <v>2023 Nationals</v>
      </c>
      <c r="R13" s="8">
        <f t="shared" si="8"/>
        <v>42.4</v>
      </c>
      <c r="S13" s="8" t="str">
        <f t="shared" si="9"/>
        <v>2023 Nationals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>
        <v>16.600000000000001</v>
      </c>
      <c r="X13" s="19">
        <v>1.2</v>
      </c>
      <c r="Y13" s="19">
        <v>0</v>
      </c>
      <c r="Z13" s="19">
        <v>0</v>
      </c>
      <c r="AA13" s="19">
        <v>16.559999999999999</v>
      </c>
      <c r="AB13" s="19">
        <v>3.2</v>
      </c>
      <c r="AC13" s="19">
        <v>0</v>
      </c>
      <c r="AD13" s="19">
        <v>0.3</v>
      </c>
      <c r="AE13" s="19">
        <v>16.8</v>
      </c>
      <c r="AF13" s="19">
        <v>3.2</v>
      </c>
      <c r="AG13" s="19">
        <v>0</v>
      </c>
      <c r="AH13" s="19">
        <v>0.3</v>
      </c>
      <c r="AI13" s="19">
        <v>17.2</v>
      </c>
      <c r="AJ13" s="19">
        <v>3.2</v>
      </c>
      <c r="AK13" s="19">
        <v>0</v>
      </c>
      <c r="AL13" s="19">
        <v>0</v>
      </c>
      <c r="AM13" s="19">
        <v>17</v>
      </c>
      <c r="AN13" s="19">
        <v>3.2</v>
      </c>
      <c r="AO13" s="19">
        <v>0</v>
      </c>
      <c r="AP13" s="19">
        <v>0.3</v>
      </c>
      <c r="AQ13" s="27"/>
      <c r="AR13" s="40">
        <f t="shared" si="13"/>
        <v>4.4000000000000004</v>
      </c>
      <c r="AS13" s="40">
        <f t="shared" si="14"/>
        <v>37.86</v>
      </c>
      <c r="AT13" s="40">
        <f t="shared" si="15"/>
        <v>20.3</v>
      </c>
      <c r="AU13" s="40">
        <f t="shared" si="16"/>
        <v>7.6000000000000005</v>
      </c>
      <c r="AV13" s="40">
        <f t="shared" si="17"/>
        <v>58.16</v>
      </c>
      <c r="AW13" s="40">
        <f t="shared" si="18"/>
        <v>6.4</v>
      </c>
      <c r="AX13" s="40">
        <f t="shared" si="19"/>
        <v>40.9</v>
      </c>
      <c r="AY13" s="40">
        <f t="shared" si="20"/>
        <v>99.06</v>
      </c>
      <c r="AZ13" s="18">
        <v>15.7</v>
      </c>
      <c r="BA13" s="18">
        <v>3.2</v>
      </c>
      <c r="BB13" s="18">
        <v>0</v>
      </c>
      <c r="BC13" s="18">
        <v>0</v>
      </c>
      <c r="BD13" s="18">
        <v>16.7</v>
      </c>
      <c r="BE13" s="18">
        <v>3.9</v>
      </c>
      <c r="BF13" s="18">
        <v>0</v>
      </c>
      <c r="BG13" s="18">
        <v>0.6</v>
      </c>
      <c r="BH13" s="18">
        <v>16.7</v>
      </c>
      <c r="BI13" s="18">
        <v>3.9</v>
      </c>
      <c r="BJ13" s="18">
        <v>0</v>
      </c>
      <c r="BK13" s="18">
        <v>0.6</v>
      </c>
      <c r="BL13" s="18">
        <v>16.8</v>
      </c>
      <c r="BM13" s="18">
        <v>3.9</v>
      </c>
      <c r="BN13" s="18">
        <v>0</v>
      </c>
      <c r="BO13" s="18">
        <v>0.3</v>
      </c>
      <c r="BP13" s="18">
        <v>16.899999999999999</v>
      </c>
      <c r="BQ13" s="18">
        <v>3.9</v>
      </c>
      <c r="BR13" s="18">
        <v>0</v>
      </c>
      <c r="BS13" s="18">
        <v>0.6</v>
      </c>
      <c r="BT13" s="28"/>
      <c r="BU13" s="11">
        <f t="shared" si="21"/>
        <v>7.1</v>
      </c>
      <c r="BV13" s="11">
        <f t="shared" si="22"/>
        <v>40.099999999999994</v>
      </c>
      <c r="BW13" s="11">
        <f t="shared" si="23"/>
        <v>21.2</v>
      </c>
      <c r="BX13" s="11">
        <f t="shared" si="24"/>
        <v>11</v>
      </c>
      <c r="BY13" s="11">
        <f t="shared" si="25"/>
        <v>61.3</v>
      </c>
      <c r="BZ13" s="11">
        <f t="shared" si="26"/>
        <v>7.8</v>
      </c>
      <c r="CA13" s="11">
        <f t="shared" si="27"/>
        <v>42.4</v>
      </c>
      <c r="CB13" s="11">
        <f t="shared" si="28"/>
        <v>103.69999999999999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 t="shared" si="29"/>
        <v/>
      </c>
      <c r="CY13" s="40" t="str">
        <f t="shared" si="30"/>
        <v/>
      </c>
      <c r="CZ13" s="40" t="str">
        <f t="shared" si="31"/>
        <v/>
      </c>
      <c r="DA13" s="40" t="str">
        <f t="shared" si="32"/>
        <v/>
      </c>
      <c r="DB13" s="40" t="str">
        <f t="shared" si="33"/>
        <v/>
      </c>
      <c r="DC13" s="40" t="str">
        <f t="shared" si="34"/>
        <v/>
      </c>
      <c r="DD13" s="40" t="str">
        <f t="shared" si="35"/>
        <v/>
      </c>
      <c r="DE13" s="40" t="str">
        <f t="shared" si="36"/>
        <v/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7.85</v>
      </c>
      <c r="QH13" s="22">
        <f t="shared" si="137"/>
        <v>1.6</v>
      </c>
      <c r="QI13" s="22">
        <f t="shared" si="138"/>
        <v>0</v>
      </c>
      <c r="QJ13" s="22">
        <f t="shared" si="139"/>
        <v>0</v>
      </c>
      <c r="QK13" s="22">
        <f t="shared" si="140"/>
        <v>8.35</v>
      </c>
      <c r="QL13" s="22">
        <f t="shared" si="141"/>
        <v>1.95</v>
      </c>
      <c r="QM13" s="22">
        <f t="shared" si="142"/>
        <v>0</v>
      </c>
      <c r="QN13" s="22">
        <f t="shared" si="143"/>
        <v>0.3</v>
      </c>
      <c r="QO13" s="22">
        <f t="shared" si="144"/>
        <v>8.35</v>
      </c>
      <c r="QP13" s="22">
        <f t="shared" si="145"/>
        <v>1.95</v>
      </c>
      <c r="QQ13" s="22">
        <f t="shared" si="146"/>
        <v>0</v>
      </c>
      <c r="QR13" s="22">
        <f t="shared" si="147"/>
        <v>0.3</v>
      </c>
      <c r="QS13" s="22">
        <f t="shared" si="148"/>
        <v>8.4</v>
      </c>
      <c r="QT13" s="22">
        <f t="shared" si="149"/>
        <v>1.95</v>
      </c>
      <c r="QU13" s="22">
        <f t="shared" si="150"/>
        <v>0</v>
      </c>
      <c r="QV13" s="22">
        <f t="shared" si="151"/>
        <v>0.15</v>
      </c>
      <c r="QW13" s="22">
        <f t="shared" si="152"/>
        <v>8.4499999999999993</v>
      </c>
      <c r="QX13" s="22">
        <f t="shared" si="153"/>
        <v>1.95</v>
      </c>
      <c r="QY13" s="22">
        <f t="shared" si="154"/>
        <v>0</v>
      </c>
      <c r="QZ13" s="22">
        <f t="shared" si="155"/>
        <v>0.3</v>
      </c>
      <c r="RA13" s="27" t="s">
        <v>46</v>
      </c>
      <c r="RB13" s="40">
        <f t="shared" si="156"/>
        <v>3.55</v>
      </c>
      <c r="RC13" s="40">
        <f t="shared" si="157"/>
        <v>20.049999999999997</v>
      </c>
      <c r="RD13" s="40">
        <f t="shared" si="158"/>
        <v>10.6</v>
      </c>
      <c r="RE13" s="40">
        <f t="shared" si="159"/>
        <v>5.5</v>
      </c>
      <c r="RF13" s="40">
        <f t="shared" si="160"/>
        <v>30.65</v>
      </c>
      <c r="RG13" s="40">
        <f t="shared" si="161"/>
        <v>3.9</v>
      </c>
      <c r="RH13" s="40">
        <f t="shared" si="162"/>
        <v>21.2</v>
      </c>
      <c r="RI13" s="40">
        <f t="shared" si="163"/>
        <v>51.849999999999994</v>
      </c>
    </row>
    <row r="14" spans="1:477" x14ac:dyDescent="0.2">
      <c r="A14" s="4" t="str" cm="1">
        <f t="array" ref="A14">IF(AND(J14&lt;&gt;"",J14&lt;&gt;"No DD"),SUMPRODUCT((J$4:J$20&lt;&gt;"")*(J$4:J$20&lt;&gt;"No DD")*(F$4:F$20&gt;F14))+1,IF(J14="No DD",SUMPRODUCT((J$4:J$20="No DD")*(F$4:F$20&gt;F14))+1+SUMPRODUCT((J$4:J$20&lt;&gt;"")*(J$4:J$20&lt;&gt;"No DD")),""))</f>
        <v/>
      </c>
      <c r="B14" s="4" t="str" cm="1">
        <f t="array" ref="B14">IF(AND(J14&lt;&gt;"",J14&lt;&gt;"No DD",G14=""),SUMPRODUCT((J$4:J$20&lt;&gt;"")*(J$4:J$20&lt;&gt;"No DD")*(G$4:G$20="")*(F$4:F$20&gt;F14))+1,IF(J14="No DD",SUMPRODUCT((J$4:J$20="No DD")*(F$4:F$20&gt;F14)*(G$4:G$20=""))+1+SUMPRODUCT((J$4:J$20&lt;&gt;"")*(G$4:G$20="")*(J$4:J$20&lt;&gt;"No DD")),""))</f>
        <v/>
      </c>
      <c r="C14" s="5" t="s">
        <v>207</v>
      </c>
      <c r="D14" s="4" t="s">
        <v>3</v>
      </c>
      <c r="E14" s="4">
        <v>2005</v>
      </c>
      <c r="F14" s="9">
        <f t="shared" si="0"/>
        <v>140.10000997000398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39.799999999999997</v>
      </c>
      <c r="M14" s="8" t="str">
        <f t="shared" si="5"/>
        <v>2023 Nationals</v>
      </c>
      <c r="N14" s="8">
        <f>IF(COUNT(AS14,BV14,CY14)&gt;1,LARGE((AS14,BV14,CY14),2),0)</f>
        <v>39.300000000000004</v>
      </c>
      <c r="O14" s="8" t="str">
        <f t="shared" si="6"/>
        <v>2023 3rd Domestic Trial</v>
      </c>
      <c r="P14" s="8">
        <f>IF(COUNT(AT14,BW14,CZ14)&gt;0,LARGE((AT14,BW14,CZ14),1),0)</f>
        <v>20.599999999999998</v>
      </c>
      <c r="Q14" s="8" t="str">
        <f t="shared" si="7"/>
        <v>2023 3rd Domestic Trial</v>
      </c>
      <c r="R14" s="8">
        <f t="shared" si="8"/>
        <v>40.4</v>
      </c>
      <c r="S14" s="8" t="str">
        <f t="shared" si="9"/>
        <v>2023 3rd Domestic Trial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 t="shared" si="13"/>
        <v/>
      </c>
      <c r="AS14" s="40" t="str">
        <f t="shared" si="14"/>
        <v/>
      </c>
      <c r="AT14" s="40" t="str">
        <f t="shared" si="15"/>
        <v/>
      </c>
      <c r="AU14" s="40" t="str">
        <f t="shared" si="16"/>
        <v/>
      </c>
      <c r="AV14" s="40" t="str">
        <f t="shared" si="17"/>
        <v/>
      </c>
      <c r="AW14" s="40" t="str">
        <f t="shared" si="18"/>
        <v/>
      </c>
      <c r="AX14" s="40" t="str">
        <f t="shared" si="19"/>
        <v/>
      </c>
      <c r="AY14" s="40" t="str">
        <f t="shared" si="20"/>
        <v/>
      </c>
      <c r="AZ14" s="18">
        <v>16.399999999999999</v>
      </c>
      <c r="BA14" s="18">
        <v>3.9</v>
      </c>
      <c r="BB14" s="18">
        <v>0</v>
      </c>
      <c r="BC14" s="18">
        <v>0.6</v>
      </c>
      <c r="BD14" s="18">
        <v>14.5</v>
      </c>
      <c r="BE14" s="18">
        <v>4.0999999999999996</v>
      </c>
      <c r="BF14" s="18">
        <v>0</v>
      </c>
      <c r="BG14" s="18">
        <v>0.3</v>
      </c>
      <c r="BH14" s="18">
        <v>16.8</v>
      </c>
      <c r="BI14" s="18">
        <v>3.2</v>
      </c>
      <c r="BJ14" s="18">
        <v>0</v>
      </c>
      <c r="BK14" s="18">
        <v>0.3</v>
      </c>
      <c r="BL14" s="18">
        <v>15.8</v>
      </c>
      <c r="BM14" s="18">
        <v>3.5</v>
      </c>
      <c r="BN14" s="18">
        <v>0</v>
      </c>
      <c r="BO14" s="18">
        <v>0.6</v>
      </c>
      <c r="BP14" s="18">
        <v>15.9</v>
      </c>
      <c r="BQ14" s="18">
        <v>3.2</v>
      </c>
      <c r="BR14" s="18">
        <v>0</v>
      </c>
      <c r="BS14" s="18">
        <v>0.3</v>
      </c>
      <c r="BT14" s="28"/>
      <c r="BU14" s="11">
        <f t="shared" si="21"/>
        <v>8</v>
      </c>
      <c r="BV14" s="11">
        <f t="shared" si="22"/>
        <v>39.799999999999997</v>
      </c>
      <c r="BW14" s="11">
        <f t="shared" si="23"/>
        <v>20.3</v>
      </c>
      <c r="BX14" s="11">
        <f t="shared" si="24"/>
        <v>11.2</v>
      </c>
      <c r="BY14" s="11">
        <f t="shared" si="25"/>
        <v>60.099999999999994</v>
      </c>
      <c r="BZ14" s="11">
        <f t="shared" si="26"/>
        <v>6.7</v>
      </c>
      <c r="CA14" s="11">
        <f t="shared" si="27"/>
        <v>39.300000000000004</v>
      </c>
      <c r="CB14" s="11">
        <f t="shared" si="28"/>
        <v>99.4</v>
      </c>
      <c r="CC14" s="19">
        <v>14.8</v>
      </c>
      <c r="CD14" s="19">
        <v>4.0999999999999996</v>
      </c>
      <c r="CE14" s="19">
        <v>0.4</v>
      </c>
      <c r="CF14" s="19">
        <v>0.3</v>
      </c>
      <c r="CG14" s="19">
        <v>16</v>
      </c>
      <c r="CH14" s="19">
        <v>3.9</v>
      </c>
      <c r="CI14" s="19">
        <v>0</v>
      </c>
      <c r="CJ14" s="19">
        <v>0.6</v>
      </c>
      <c r="CK14" s="19">
        <v>16.399999999999999</v>
      </c>
      <c r="CL14" s="19">
        <v>3.9</v>
      </c>
      <c r="CM14" s="19">
        <v>0</v>
      </c>
      <c r="CN14" s="19">
        <v>0.3</v>
      </c>
      <c r="CO14" s="19">
        <v>16.399999999999999</v>
      </c>
      <c r="CP14" s="19">
        <v>3.2</v>
      </c>
      <c r="CQ14" s="19">
        <v>0</v>
      </c>
      <c r="CR14" s="19">
        <v>0.3</v>
      </c>
      <c r="CS14" s="19">
        <v>16.100000000000001</v>
      </c>
      <c r="CT14" s="19">
        <v>4.0999999999999996</v>
      </c>
      <c r="CU14" s="19">
        <v>0</v>
      </c>
      <c r="CV14" s="19">
        <v>0.3</v>
      </c>
      <c r="CW14" s="27"/>
      <c r="CX14" s="40">
        <f t="shared" si="29"/>
        <v>8</v>
      </c>
      <c r="CY14" s="40">
        <f t="shared" si="30"/>
        <v>39.300000000000004</v>
      </c>
      <c r="CZ14" s="40">
        <f t="shared" si="31"/>
        <v>20.599999999999998</v>
      </c>
      <c r="DA14" s="40">
        <f t="shared" si="32"/>
        <v>11.9</v>
      </c>
      <c r="DB14" s="40">
        <f t="shared" si="33"/>
        <v>59.900000000000006</v>
      </c>
      <c r="DC14" s="40">
        <f t="shared" si="34"/>
        <v>7.3</v>
      </c>
      <c r="DD14" s="40">
        <f t="shared" si="35"/>
        <v>40.4</v>
      </c>
      <c r="DE14" s="40">
        <f t="shared" si="36"/>
        <v>100.30000000000001</v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15.6</v>
      </c>
      <c r="QH14" s="22">
        <f t="shared" si="137"/>
        <v>4</v>
      </c>
      <c r="QI14" s="22">
        <f t="shared" si="138"/>
        <v>0.2</v>
      </c>
      <c r="QJ14" s="22">
        <f t="shared" si="139"/>
        <v>0.44999999999999996</v>
      </c>
      <c r="QK14" s="22">
        <f t="shared" si="140"/>
        <v>15.25</v>
      </c>
      <c r="QL14" s="22">
        <f t="shared" si="141"/>
        <v>4</v>
      </c>
      <c r="QM14" s="22">
        <f t="shared" si="142"/>
        <v>0</v>
      </c>
      <c r="QN14" s="22">
        <f t="shared" si="143"/>
        <v>0.44999999999999996</v>
      </c>
      <c r="QO14" s="22">
        <f t="shared" si="144"/>
        <v>16.600000000000001</v>
      </c>
      <c r="QP14" s="22">
        <f t="shared" si="145"/>
        <v>3.55</v>
      </c>
      <c r="QQ14" s="22">
        <f t="shared" si="146"/>
        <v>0</v>
      </c>
      <c r="QR14" s="22">
        <f t="shared" si="147"/>
        <v>0.3</v>
      </c>
      <c r="QS14" s="22">
        <f t="shared" si="148"/>
        <v>16.100000000000001</v>
      </c>
      <c r="QT14" s="22">
        <f t="shared" si="149"/>
        <v>3.35</v>
      </c>
      <c r="QU14" s="22">
        <f t="shared" si="150"/>
        <v>0</v>
      </c>
      <c r="QV14" s="22">
        <f t="shared" si="151"/>
        <v>0.44999999999999996</v>
      </c>
      <c r="QW14" s="22">
        <f t="shared" si="152"/>
        <v>16</v>
      </c>
      <c r="QX14" s="22">
        <f t="shared" si="153"/>
        <v>3.65</v>
      </c>
      <c r="QY14" s="22">
        <f t="shared" si="154"/>
        <v>0</v>
      </c>
      <c r="QZ14" s="22">
        <f t="shared" si="155"/>
        <v>0.3</v>
      </c>
      <c r="RA14" s="27" t="s">
        <v>46</v>
      </c>
      <c r="RB14" s="40">
        <f t="shared" si="156"/>
        <v>8</v>
      </c>
      <c r="RC14" s="40">
        <f t="shared" si="157"/>
        <v>39.549999999999997</v>
      </c>
      <c r="RD14" s="40">
        <f t="shared" si="158"/>
        <v>20.450000000000003</v>
      </c>
      <c r="RE14" s="40">
        <f t="shared" si="159"/>
        <v>11.55</v>
      </c>
      <c r="RF14" s="40">
        <f t="shared" si="160"/>
        <v>60</v>
      </c>
      <c r="RG14" s="40">
        <f t="shared" si="161"/>
        <v>7</v>
      </c>
      <c r="RH14" s="40">
        <f t="shared" si="162"/>
        <v>39.85</v>
      </c>
      <c r="RI14" s="40">
        <f t="shared" si="163"/>
        <v>99.85</v>
      </c>
    </row>
    <row r="15" spans="1:477" x14ac:dyDescent="0.2">
      <c r="A15" s="4" t="str" cm="1">
        <f t="array" ref="A15">IF(AND(J15&lt;&gt;"",J15&lt;&gt;"No DD"),SUMPRODUCT((J$4:J$20&lt;&gt;"")*(J$4:J$20&lt;&gt;"No DD")*(F$4:F$20&gt;F15))+1,IF(J15="No DD",SUMPRODUCT((J$4:J$20="No DD")*(F$4:F$20&gt;F15))+1+SUMPRODUCT((J$4:J$20&lt;&gt;"")*(J$4:J$20&lt;&gt;"No DD")),""))</f>
        <v/>
      </c>
      <c r="B15" s="4" t="str" cm="1">
        <f t="array" ref="B15">IF(AND(J15&lt;&gt;"",J15&lt;&gt;"No DD",G15=""),SUMPRODUCT((J$4:J$20&lt;&gt;"")*(J$4:J$20&lt;&gt;"No DD")*(G$4:G$20="")*(F$4:F$20&gt;F15))+1,IF(J15="No DD",SUMPRODUCT((J$4:J$20="No DD")*(F$4:F$20&gt;F15)*(G$4:G$20=""))+1+SUMPRODUCT((J$4:J$20&lt;&gt;"")*(G$4:G$20="")*(J$4:J$20&lt;&gt;"No DD")),""))</f>
        <v/>
      </c>
      <c r="C15" s="5" t="s">
        <v>208</v>
      </c>
      <c r="D15" s="4" t="s">
        <v>3</v>
      </c>
      <c r="E15" s="4">
        <v>2004</v>
      </c>
      <c r="F15" s="9">
        <f t="shared" si="0"/>
        <v>100.90000628000415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41.699999999999996</v>
      </c>
      <c r="M15" s="8" t="str">
        <f t="shared" si="5"/>
        <v>2023 Nationals</v>
      </c>
      <c r="N15" s="8">
        <f>IF(COUNT(AS15,BV15,CY15)&gt;1,LARGE((AS15,BV15,CY15),2),0)</f>
        <v>0</v>
      </c>
      <c r="O15" s="8" t="str">
        <f t="shared" si="6"/>
        <v/>
      </c>
      <c r="P15" s="8">
        <f>IF(COUNT(AT15,BW15,CZ15)&gt;0,LARGE((AT15,BW15,CZ15),1),0)</f>
        <v>21.099999999999998</v>
      </c>
      <c r="Q15" s="8" t="str">
        <f t="shared" si="7"/>
        <v>2023 Nationals</v>
      </c>
      <c r="R15" s="8">
        <f t="shared" si="8"/>
        <v>38.099999999999994</v>
      </c>
      <c r="S15" s="8" t="str">
        <f t="shared" si="9"/>
        <v>2023 Nationals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 t="shared" si="13"/>
        <v/>
      </c>
      <c r="AS15" s="40" t="str">
        <f t="shared" si="14"/>
        <v/>
      </c>
      <c r="AT15" s="40" t="str">
        <f t="shared" si="15"/>
        <v/>
      </c>
      <c r="AU15" s="40" t="str">
        <f t="shared" si="16"/>
        <v/>
      </c>
      <c r="AV15" s="40" t="str">
        <f t="shared" si="17"/>
        <v/>
      </c>
      <c r="AW15" s="40" t="str">
        <f t="shared" si="18"/>
        <v/>
      </c>
      <c r="AX15" s="40" t="str">
        <f t="shared" si="19"/>
        <v/>
      </c>
      <c r="AY15" s="40" t="str">
        <f t="shared" si="20"/>
        <v/>
      </c>
      <c r="AZ15" s="18">
        <v>16.600000000000001</v>
      </c>
      <c r="BA15" s="18">
        <v>4.0999999999999996</v>
      </c>
      <c r="BB15" s="18">
        <v>0</v>
      </c>
      <c r="BC15" s="18">
        <v>0.3</v>
      </c>
      <c r="BD15" s="18">
        <v>16.5</v>
      </c>
      <c r="BE15" s="18">
        <v>3.9</v>
      </c>
      <c r="BF15" s="18">
        <v>0</v>
      </c>
      <c r="BG15" s="18">
        <v>0.3</v>
      </c>
      <c r="BH15" s="18">
        <v>16.899999999999999</v>
      </c>
      <c r="BI15" s="18">
        <v>3.9</v>
      </c>
      <c r="BJ15" s="18">
        <v>0</v>
      </c>
      <c r="BK15" s="18">
        <v>0.3</v>
      </c>
      <c r="BL15" s="18">
        <v>14.8</v>
      </c>
      <c r="BM15" s="18">
        <v>1.9</v>
      </c>
      <c r="BN15" s="18">
        <v>0</v>
      </c>
      <c r="BO15" s="18">
        <v>0.3</v>
      </c>
      <c r="BP15" s="18">
        <v>16.899999999999999</v>
      </c>
      <c r="BQ15" s="18">
        <v>3.9</v>
      </c>
      <c r="BR15" s="18">
        <v>0</v>
      </c>
      <c r="BS15" s="18">
        <v>0.3</v>
      </c>
      <c r="BT15" s="28"/>
      <c r="BU15" s="11">
        <f t="shared" si="21"/>
        <v>8</v>
      </c>
      <c r="BV15" s="11">
        <f t="shared" si="22"/>
        <v>41.699999999999996</v>
      </c>
      <c r="BW15" s="11">
        <f t="shared" si="23"/>
        <v>21.099999999999998</v>
      </c>
      <c r="BX15" s="11">
        <f t="shared" si="24"/>
        <v>11.9</v>
      </c>
      <c r="BY15" s="11">
        <f t="shared" si="25"/>
        <v>62.8</v>
      </c>
      <c r="BZ15" s="11">
        <f t="shared" si="26"/>
        <v>5.8</v>
      </c>
      <c r="CA15" s="11">
        <f t="shared" si="27"/>
        <v>38.099999999999994</v>
      </c>
      <c r="CB15" s="11">
        <f t="shared" si="28"/>
        <v>100.89999999999999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 t="shared" si="29"/>
        <v/>
      </c>
      <c r="CY15" s="40" t="str">
        <f t="shared" si="30"/>
        <v/>
      </c>
      <c r="CZ15" s="40" t="str">
        <f t="shared" si="31"/>
        <v/>
      </c>
      <c r="DA15" s="40" t="str">
        <f t="shared" si="32"/>
        <v/>
      </c>
      <c r="DB15" s="40" t="str">
        <f t="shared" si="33"/>
        <v/>
      </c>
      <c r="DC15" s="40" t="str">
        <f t="shared" si="34"/>
        <v/>
      </c>
      <c r="DD15" s="40" t="str">
        <f t="shared" si="35"/>
        <v/>
      </c>
      <c r="DE15" s="40" t="str">
        <f t="shared" si="36"/>
        <v/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8.3000000000000007</v>
      </c>
      <c r="QH15" s="22">
        <f t="shared" si="137"/>
        <v>2.0499999999999998</v>
      </c>
      <c r="QI15" s="22">
        <f t="shared" si="138"/>
        <v>0</v>
      </c>
      <c r="QJ15" s="22">
        <f t="shared" si="139"/>
        <v>0.15</v>
      </c>
      <c r="QK15" s="22">
        <f t="shared" si="140"/>
        <v>8.25</v>
      </c>
      <c r="QL15" s="22">
        <f t="shared" si="141"/>
        <v>1.95</v>
      </c>
      <c r="QM15" s="22">
        <f t="shared" si="142"/>
        <v>0</v>
      </c>
      <c r="QN15" s="22">
        <f t="shared" si="143"/>
        <v>0.15</v>
      </c>
      <c r="QO15" s="22">
        <f t="shared" si="144"/>
        <v>8.4499999999999993</v>
      </c>
      <c r="QP15" s="22">
        <f t="shared" si="145"/>
        <v>1.95</v>
      </c>
      <c r="QQ15" s="22">
        <f t="shared" si="146"/>
        <v>0</v>
      </c>
      <c r="QR15" s="22">
        <f t="shared" si="147"/>
        <v>0.15</v>
      </c>
      <c r="QS15" s="22">
        <f t="shared" si="148"/>
        <v>7.4</v>
      </c>
      <c r="QT15" s="22">
        <f t="shared" si="149"/>
        <v>0.95</v>
      </c>
      <c r="QU15" s="22">
        <f t="shared" si="150"/>
        <v>0</v>
      </c>
      <c r="QV15" s="22">
        <f t="shared" si="151"/>
        <v>0.15</v>
      </c>
      <c r="QW15" s="22">
        <f t="shared" si="152"/>
        <v>8.4499999999999993</v>
      </c>
      <c r="QX15" s="22">
        <f t="shared" si="153"/>
        <v>1.95</v>
      </c>
      <c r="QY15" s="22">
        <f t="shared" si="154"/>
        <v>0</v>
      </c>
      <c r="QZ15" s="22">
        <f t="shared" si="155"/>
        <v>0.15</v>
      </c>
      <c r="RA15" s="27" t="s">
        <v>46</v>
      </c>
      <c r="RB15" s="40">
        <f t="shared" si="156"/>
        <v>4</v>
      </c>
      <c r="RC15" s="40">
        <f t="shared" si="157"/>
        <v>20.849999999999998</v>
      </c>
      <c r="RD15" s="40">
        <f t="shared" si="158"/>
        <v>10.549999999999999</v>
      </c>
      <c r="RE15" s="40">
        <f t="shared" si="159"/>
        <v>5.95</v>
      </c>
      <c r="RF15" s="40">
        <f t="shared" si="160"/>
        <v>31.4</v>
      </c>
      <c r="RG15" s="40">
        <f t="shared" si="161"/>
        <v>2.9</v>
      </c>
      <c r="RH15" s="40">
        <f t="shared" si="162"/>
        <v>19.049999999999997</v>
      </c>
      <c r="RI15" s="40">
        <f t="shared" si="163"/>
        <v>50.449999999999996</v>
      </c>
    </row>
    <row r="16" spans="1:477" x14ac:dyDescent="0.2">
      <c r="A16" s="4" t="str" cm="1">
        <f t="array" ref="A16">IF(AND(J16&lt;&gt;"",J16&lt;&gt;"No DD"),SUMPRODUCT((J$4:J$20&lt;&gt;"")*(J$4:J$20&lt;&gt;"No DD")*(F$4:F$20&gt;F16))+1,IF(J16="No DD",SUMPRODUCT((J$4:J$20="No DD")*(F$4:F$20&gt;F16))+1+SUMPRODUCT((J$4:J$20&lt;&gt;"")*(J$4:J$20&lt;&gt;"No DD")),""))</f>
        <v/>
      </c>
      <c r="B16" s="4" t="str" cm="1">
        <f t="array" ref="B16">IF(AND(J16&lt;&gt;"",J16&lt;&gt;"No DD",G16=""),SUMPRODUCT((J$4:J$20&lt;&gt;"")*(J$4:J$20&lt;&gt;"No DD")*(G$4:G$20="")*(F$4:F$20&gt;F16))+1,IF(J16="No DD",SUMPRODUCT((J$4:J$20="No DD")*(F$4:F$20&gt;F16)*(G$4:G$20=""))+1+SUMPRODUCT((J$4:J$20&lt;&gt;"")*(G$4:G$20="")*(J$4:J$20&lt;&gt;"No DD")),""))</f>
        <v/>
      </c>
      <c r="C16" s="5" t="s">
        <v>139</v>
      </c>
      <c r="D16" s="4" t="s">
        <v>4</v>
      </c>
      <c r="E16" s="4">
        <v>2005</v>
      </c>
      <c r="F16" s="9">
        <f t="shared" si="0"/>
        <v>92.000005510003561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35.700000000000003</v>
      </c>
      <c r="M16" s="8" t="str">
        <f t="shared" si="5"/>
        <v>2023 Elite Canada</v>
      </c>
      <c r="N16" s="8">
        <f>IF(COUNT(AS16,BV16,CY16)&gt;1,LARGE((AS16,BV16,CY16),2),0)</f>
        <v>0</v>
      </c>
      <c r="O16" s="8" t="str">
        <f t="shared" si="6"/>
        <v/>
      </c>
      <c r="P16" s="8">
        <f>IF(COUNT(AT16,BW16,CZ16)&gt;0,LARGE((AT16,BW16,CZ16),1),0)</f>
        <v>19.399999999999999</v>
      </c>
      <c r="Q16" s="8" t="str">
        <f t="shared" si="7"/>
        <v>2023 Elite Canada</v>
      </c>
      <c r="R16" s="8">
        <f t="shared" si="8"/>
        <v>36.9</v>
      </c>
      <c r="S16" s="8" t="str">
        <f t="shared" si="9"/>
        <v>2023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15.6</v>
      </c>
      <c r="X16" s="19">
        <v>1.2</v>
      </c>
      <c r="Y16" s="19">
        <v>0</v>
      </c>
      <c r="Z16" s="19">
        <v>0</v>
      </c>
      <c r="AA16" s="19">
        <v>15.8</v>
      </c>
      <c r="AB16" s="19">
        <v>3.2</v>
      </c>
      <c r="AC16" s="19">
        <v>0.4</v>
      </c>
      <c r="AD16" s="19">
        <v>0.3</v>
      </c>
      <c r="AE16" s="19">
        <v>16.399999999999999</v>
      </c>
      <c r="AF16" s="19">
        <v>3.2</v>
      </c>
      <c r="AG16" s="19">
        <v>0.2</v>
      </c>
      <c r="AH16" s="19">
        <v>0</v>
      </c>
      <c r="AI16" s="19">
        <v>15.8</v>
      </c>
      <c r="AJ16" s="19">
        <v>1.2</v>
      </c>
      <c r="AK16" s="19">
        <v>0</v>
      </c>
      <c r="AL16" s="19">
        <v>0</v>
      </c>
      <c r="AM16" s="19">
        <v>16.399999999999999</v>
      </c>
      <c r="AN16" s="19">
        <v>3.2</v>
      </c>
      <c r="AO16" s="19">
        <v>0</v>
      </c>
      <c r="AP16" s="19">
        <v>0.3</v>
      </c>
      <c r="AQ16" s="27"/>
      <c r="AR16" s="40">
        <f t="shared" si="13"/>
        <v>4.4000000000000004</v>
      </c>
      <c r="AS16" s="40">
        <f t="shared" si="14"/>
        <v>35.700000000000003</v>
      </c>
      <c r="AT16" s="40">
        <f t="shared" si="15"/>
        <v>19.399999999999999</v>
      </c>
      <c r="AU16" s="40">
        <f t="shared" si="16"/>
        <v>7.6000000000000005</v>
      </c>
      <c r="AV16" s="40">
        <f t="shared" si="17"/>
        <v>55.1</v>
      </c>
      <c r="AW16" s="40">
        <f t="shared" si="18"/>
        <v>4.4000000000000004</v>
      </c>
      <c r="AX16" s="40">
        <f t="shared" si="19"/>
        <v>36.9</v>
      </c>
      <c r="AY16" s="40">
        <f t="shared" si="20"/>
        <v>92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 t="shared" si="21"/>
        <v/>
      </c>
      <c r="BV16" s="11" t="str">
        <f t="shared" si="22"/>
        <v/>
      </c>
      <c r="BW16" s="11" t="str">
        <f t="shared" si="23"/>
        <v/>
      </c>
      <c r="BX16" s="11" t="str">
        <f t="shared" si="24"/>
        <v/>
      </c>
      <c r="BY16" s="11" t="str">
        <f t="shared" si="25"/>
        <v/>
      </c>
      <c r="BZ16" s="11" t="str">
        <f t="shared" si="26"/>
        <v/>
      </c>
      <c r="CA16" s="11" t="str">
        <f t="shared" si="27"/>
        <v/>
      </c>
      <c r="CB16" s="11" t="str">
        <f t="shared" si="28"/>
        <v/>
      </c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7"/>
      <c r="CX16" s="40" t="str">
        <f t="shared" si="29"/>
        <v/>
      </c>
      <c r="CY16" s="40" t="str">
        <f t="shared" si="30"/>
        <v/>
      </c>
      <c r="CZ16" s="40" t="str">
        <f t="shared" si="31"/>
        <v/>
      </c>
      <c r="DA16" s="40" t="str">
        <f t="shared" si="32"/>
        <v/>
      </c>
      <c r="DB16" s="40" t="str">
        <f t="shared" si="33"/>
        <v/>
      </c>
      <c r="DC16" s="40" t="str">
        <f t="shared" si="34"/>
        <v/>
      </c>
      <c r="DD16" s="40" t="str">
        <f t="shared" si="35"/>
        <v/>
      </c>
      <c r="DE16" s="40" t="str">
        <f t="shared" si="36"/>
        <v/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0</v>
      </c>
      <c r="QH16" s="22">
        <f t="shared" si="137"/>
        <v>0</v>
      </c>
      <c r="QI16" s="22">
        <f t="shared" si="138"/>
        <v>0</v>
      </c>
      <c r="QJ16" s="22">
        <f t="shared" si="139"/>
        <v>0</v>
      </c>
      <c r="QK16" s="22">
        <f t="shared" si="140"/>
        <v>0</v>
      </c>
      <c r="QL16" s="22">
        <f t="shared" si="141"/>
        <v>0</v>
      </c>
      <c r="QM16" s="22">
        <f t="shared" si="142"/>
        <v>0</v>
      </c>
      <c r="QN16" s="22">
        <f t="shared" si="143"/>
        <v>0</v>
      </c>
      <c r="QO16" s="22">
        <f t="shared" si="144"/>
        <v>0</v>
      </c>
      <c r="QP16" s="22">
        <f t="shared" si="145"/>
        <v>0</v>
      </c>
      <c r="QQ16" s="22">
        <f t="shared" si="146"/>
        <v>0</v>
      </c>
      <c r="QR16" s="22">
        <f t="shared" si="147"/>
        <v>0</v>
      </c>
      <c r="QS16" s="22">
        <f t="shared" si="148"/>
        <v>0</v>
      </c>
      <c r="QT16" s="22">
        <f t="shared" si="149"/>
        <v>0</v>
      </c>
      <c r="QU16" s="22">
        <f t="shared" si="150"/>
        <v>0</v>
      </c>
      <c r="QV16" s="22">
        <f t="shared" si="151"/>
        <v>0</v>
      </c>
      <c r="QW16" s="22">
        <f t="shared" si="152"/>
        <v>0</v>
      </c>
      <c r="QX16" s="22">
        <f t="shared" si="153"/>
        <v>0</v>
      </c>
      <c r="QY16" s="22">
        <f t="shared" si="154"/>
        <v>0</v>
      </c>
      <c r="QZ16" s="22">
        <f t="shared" si="155"/>
        <v>0</v>
      </c>
      <c r="RA16" s="27" t="s">
        <v>46</v>
      </c>
      <c r="RB16" s="40" t="str">
        <f t="shared" si="156"/>
        <v/>
      </c>
      <c r="RC16" s="40" t="str">
        <f t="shared" si="157"/>
        <v/>
      </c>
      <c r="RD16" s="40" t="str">
        <f t="shared" si="158"/>
        <v/>
      </c>
      <c r="RE16" s="40" t="str">
        <f t="shared" si="159"/>
        <v/>
      </c>
      <c r="RF16" s="40" t="str">
        <f t="shared" si="160"/>
        <v/>
      </c>
      <c r="RG16" s="40" t="str">
        <f t="shared" si="161"/>
        <v/>
      </c>
      <c r="RH16" s="40" t="str">
        <f t="shared" si="162"/>
        <v/>
      </c>
      <c r="RI16" s="40" t="str">
        <f t="shared" si="163"/>
        <v/>
      </c>
    </row>
    <row r="17" spans="1:477" x14ac:dyDescent="0.2">
      <c r="A17" s="4" t="str" cm="1">
        <f t="array" ref="A17">IF(AND(J17&lt;&gt;"",J17&lt;&gt;"No DD"),SUMPRODUCT((J$4:J$20&lt;&gt;"")*(J$4:J$20&lt;&gt;"No DD")*(F$4:F$20&gt;F17))+1,IF(J17="No DD",SUMPRODUCT((J$4:J$20="No DD")*(F$4:F$20&gt;F17))+1+SUMPRODUCT((J$4:J$20&lt;&gt;"")*(J$4:J$20&lt;&gt;"No DD")),""))</f>
        <v/>
      </c>
      <c r="B17" s="4" t="str" cm="1">
        <f t="array" ref="B17">IF(AND(J17&lt;&gt;"",J17&lt;&gt;"No DD",G17=""),SUMPRODUCT((J$4:J$20&lt;&gt;"")*(J$4:J$20&lt;&gt;"No DD")*(G$4:G$20="")*(F$4:F$20&gt;F17))+1,IF(J17="No DD",SUMPRODUCT((J$4:J$20="No DD")*(F$4:F$20&gt;F17)*(G$4:G$20=""))+1+SUMPRODUCT((J$4:J$20&lt;&gt;"")*(G$4:G$20="")*(J$4:J$20&lt;&gt;"No DD")),""))</f>
        <v/>
      </c>
      <c r="C17" s="5" t="s">
        <v>73</v>
      </c>
      <c r="D17" s="4" t="s">
        <v>5</v>
      </c>
      <c r="E17" s="4">
        <v>2003</v>
      </c>
      <c r="F17" s="9">
        <f t="shared" si="0"/>
        <v>89.200008920004009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40.1</v>
      </c>
      <c r="M17" s="8" t="str">
        <f t="shared" si="5"/>
        <v>2023 Nationals</v>
      </c>
      <c r="N17" s="8">
        <f>IF(COUNT(AS17,BV17,CY17)&gt;1,LARGE((AS17,BV17,CY17),2),0)</f>
        <v>32.1</v>
      </c>
      <c r="O17" s="8" t="str">
        <f t="shared" si="6"/>
        <v>2023 Elite Canada</v>
      </c>
      <c r="P17" s="8">
        <f>IF(COUNT(AT17,BW17,CZ17)&gt;0,LARGE((AT17,BW17,CZ17),1),0)</f>
        <v>17</v>
      </c>
      <c r="Q17" s="8" t="str">
        <f t="shared" si="7"/>
        <v>2023 Nationals</v>
      </c>
      <c r="R17" s="8">
        <f t="shared" si="8"/>
        <v>0</v>
      </c>
      <c r="S17" s="8" t="str">
        <f t="shared" si="9"/>
        <v/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15.2</v>
      </c>
      <c r="X17" s="19">
        <v>1.9</v>
      </c>
      <c r="Y17" s="19">
        <v>0</v>
      </c>
      <c r="Z17" s="19">
        <v>0.3</v>
      </c>
      <c r="AA17" s="19">
        <v>12.6</v>
      </c>
      <c r="AB17" s="19">
        <v>1.8</v>
      </c>
      <c r="AC17" s="19">
        <v>0</v>
      </c>
      <c r="AD17" s="19">
        <v>0.3</v>
      </c>
      <c r="AE17" s="19">
        <v>15.4</v>
      </c>
      <c r="AF17" s="19">
        <v>1.2</v>
      </c>
      <c r="AG17" s="19">
        <v>0</v>
      </c>
      <c r="AH17" s="19">
        <v>0</v>
      </c>
      <c r="AI17" s="19"/>
      <c r="AJ17" s="19"/>
      <c r="AK17" s="19"/>
      <c r="AL17" s="19"/>
      <c r="AM17" s="19"/>
      <c r="AN17" s="19"/>
      <c r="AO17" s="19"/>
      <c r="AP17" s="19"/>
      <c r="AQ17" s="27"/>
      <c r="AR17" s="40">
        <f t="shared" si="13"/>
        <v>3.7</v>
      </c>
      <c r="AS17" s="40">
        <f t="shared" si="14"/>
        <v>32.1</v>
      </c>
      <c r="AT17" s="40">
        <f t="shared" si="15"/>
        <v>16.600000000000001</v>
      </c>
      <c r="AU17" s="40">
        <f t="shared" si="16"/>
        <v>4.9000000000000004</v>
      </c>
      <c r="AV17" s="40">
        <f t="shared" si="17"/>
        <v>48.7</v>
      </c>
      <c r="AW17" s="40" t="str">
        <f t="shared" si="18"/>
        <v/>
      </c>
      <c r="AX17" s="40" t="str">
        <f t="shared" si="19"/>
        <v/>
      </c>
      <c r="AY17" s="40">
        <f t="shared" si="20"/>
        <v>48.7</v>
      </c>
      <c r="AZ17" s="18">
        <v>16</v>
      </c>
      <c r="BA17" s="18">
        <v>3.9</v>
      </c>
      <c r="BB17" s="18">
        <v>0</v>
      </c>
      <c r="BC17" s="18">
        <v>0.3</v>
      </c>
      <c r="BD17" s="18">
        <v>15.5</v>
      </c>
      <c r="BE17" s="18">
        <v>4.0999999999999996</v>
      </c>
      <c r="BF17" s="18">
        <v>0</v>
      </c>
      <c r="BG17" s="18">
        <v>0.3</v>
      </c>
      <c r="BH17" s="18">
        <v>15.8</v>
      </c>
      <c r="BI17" s="18">
        <v>1.2</v>
      </c>
      <c r="BJ17" s="18">
        <v>0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 t="shared" si="21"/>
        <v>8</v>
      </c>
      <c r="BV17" s="11">
        <f t="shared" si="22"/>
        <v>40.1</v>
      </c>
      <c r="BW17" s="11">
        <f t="shared" si="23"/>
        <v>17</v>
      </c>
      <c r="BX17" s="11">
        <f t="shared" si="24"/>
        <v>9.1999999999999993</v>
      </c>
      <c r="BY17" s="11">
        <f t="shared" si="25"/>
        <v>57.1</v>
      </c>
      <c r="BZ17" s="11" t="str">
        <f t="shared" si="26"/>
        <v/>
      </c>
      <c r="CA17" s="11" t="str">
        <f t="shared" si="27"/>
        <v/>
      </c>
      <c r="CB17" s="11">
        <f t="shared" si="28"/>
        <v>57.1</v>
      </c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 t="str">
        <f t="shared" si="29"/>
        <v/>
      </c>
      <c r="CY17" s="40" t="str">
        <f t="shared" si="30"/>
        <v/>
      </c>
      <c r="CZ17" s="40" t="str">
        <f t="shared" si="31"/>
        <v/>
      </c>
      <c r="DA17" s="40" t="str">
        <f t="shared" si="32"/>
        <v/>
      </c>
      <c r="DB17" s="40" t="str">
        <f t="shared" si="33"/>
        <v/>
      </c>
      <c r="DC17" s="40" t="str">
        <f t="shared" si="34"/>
        <v/>
      </c>
      <c r="DD17" s="40" t="str">
        <f t="shared" si="35"/>
        <v/>
      </c>
      <c r="DE17" s="40" t="str">
        <f t="shared" si="36"/>
        <v/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8</v>
      </c>
      <c r="QH17" s="22">
        <f t="shared" si="137"/>
        <v>1.95</v>
      </c>
      <c r="QI17" s="22">
        <f t="shared" si="138"/>
        <v>0</v>
      </c>
      <c r="QJ17" s="22">
        <f t="shared" si="139"/>
        <v>0.15</v>
      </c>
      <c r="QK17" s="22">
        <f t="shared" si="140"/>
        <v>7.75</v>
      </c>
      <c r="QL17" s="22">
        <f t="shared" si="141"/>
        <v>2.0499999999999998</v>
      </c>
      <c r="QM17" s="22">
        <f t="shared" si="142"/>
        <v>0</v>
      </c>
      <c r="QN17" s="22">
        <f t="shared" si="143"/>
        <v>0.15</v>
      </c>
      <c r="QO17" s="22">
        <f t="shared" si="144"/>
        <v>7.9</v>
      </c>
      <c r="QP17" s="22">
        <f t="shared" si="145"/>
        <v>0.6</v>
      </c>
      <c r="QQ17" s="22">
        <f t="shared" si="146"/>
        <v>0</v>
      </c>
      <c r="QR17" s="22">
        <f t="shared" si="147"/>
        <v>0</v>
      </c>
      <c r="QS17" s="22">
        <f t="shared" si="148"/>
        <v>0</v>
      </c>
      <c r="QT17" s="22">
        <f t="shared" si="149"/>
        <v>0</v>
      </c>
      <c r="QU17" s="22">
        <f t="shared" si="150"/>
        <v>0</v>
      </c>
      <c r="QV17" s="22">
        <f t="shared" si="151"/>
        <v>0</v>
      </c>
      <c r="QW17" s="22">
        <f t="shared" si="152"/>
        <v>0</v>
      </c>
      <c r="QX17" s="22">
        <f t="shared" si="153"/>
        <v>0</v>
      </c>
      <c r="QY17" s="22">
        <f t="shared" si="154"/>
        <v>0</v>
      </c>
      <c r="QZ17" s="22">
        <f t="shared" si="155"/>
        <v>0</v>
      </c>
      <c r="RA17" s="27" t="s">
        <v>46</v>
      </c>
      <c r="RB17" s="40">
        <f t="shared" si="156"/>
        <v>4</v>
      </c>
      <c r="RC17" s="40">
        <f t="shared" si="157"/>
        <v>20.05</v>
      </c>
      <c r="RD17" s="40">
        <f t="shared" si="158"/>
        <v>8.5</v>
      </c>
      <c r="RE17" s="40">
        <f t="shared" si="159"/>
        <v>4.5999999999999996</v>
      </c>
      <c r="RF17" s="40">
        <f t="shared" si="160"/>
        <v>28.55</v>
      </c>
      <c r="RG17" s="40" t="str">
        <f t="shared" si="161"/>
        <v/>
      </c>
      <c r="RH17" s="40" t="str">
        <f t="shared" si="162"/>
        <v/>
      </c>
      <c r="RI17" s="40">
        <f t="shared" si="163"/>
        <v>28.55</v>
      </c>
    </row>
    <row r="18" spans="1:477" x14ac:dyDescent="0.2">
      <c r="A18" s="4" t="str" cm="1">
        <f t="array" ref="A18">IF(AND(J18&lt;&gt;"",J18&lt;&gt;"No DD"),SUMPRODUCT((J$4:J$20&lt;&gt;"")*(J$4:J$20&lt;&gt;"No DD")*(F$4:F$20&gt;F18))+1,IF(J18="No DD",SUMPRODUCT((J$4:J$20="No DD")*(F$4:F$20&gt;F18))+1+SUMPRODUCT((J$4:J$20&lt;&gt;"")*(J$4:J$20&lt;&gt;"No DD")),""))</f>
        <v/>
      </c>
      <c r="B18" s="4" t="str" cm="1">
        <f t="array" ref="B18">IF(AND(J18&lt;&gt;"",J18&lt;&gt;"No DD",G18=""),SUMPRODUCT((J$4:J$20&lt;&gt;"")*(J$4:J$20&lt;&gt;"No DD")*(G$4:G$20="")*(F$4:F$20&gt;F18))+1,IF(J18="No DD",SUMPRODUCT((J$4:J$20="No DD")*(F$4:F$20&gt;F18)*(G$4:G$20=""))+1+SUMPRODUCT((J$4:J$20&lt;&gt;"")*(G$4:G$20="")*(J$4:J$20&lt;&gt;"No DD")),""))</f>
        <v/>
      </c>
      <c r="C18" s="5" t="s">
        <v>206</v>
      </c>
      <c r="D18" s="4" t="s">
        <v>3</v>
      </c>
      <c r="E18" s="4">
        <v>2003</v>
      </c>
      <c r="F18" s="9">
        <f t="shared" si="0"/>
        <v>85.360005666003644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36.359999999999992</v>
      </c>
      <c r="M18" s="8" t="str">
        <f t="shared" si="5"/>
        <v>2023 Nationals</v>
      </c>
      <c r="N18" s="8">
        <f>IF(COUNT(AS18,BV18,CY18)&gt;1,LARGE((AS18,BV18,CY18),2),0)</f>
        <v>0</v>
      </c>
      <c r="O18" s="8" t="str">
        <f t="shared" si="6"/>
        <v/>
      </c>
      <c r="P18" s="8">
        <f>IF(COUNT(AT18,BW18,CZ18)&gt;0,LARGE((AT18,BW18,CZ18),1),0)</f>
        <v>20.300000000000004</v>
      </c>
      <c r="Q18" s="8" t="str">
        <f t="shared" si="7"/>
        <v>2023 Nationals</v>
      </c>
      <c r="R18" s="8">
        <f t="shared" si="8"/>
        <v>28.7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 t="shared" si="13"/>
        <v/>
      </c>
      <c r="AS18" s="40" t="str">
        <f t="shared" si="14"/>
        <v/>
      </c>
      <c r="AT18" s="40" t="str">
        <f t="shared" si="15"/>
        <v/>
      </c>
      <c r="AU18" s="40" t="str">
        <f t="shared" si="16"/>
        <v/>
      </c>
      <c r="AV18" s="40" t="str">
        <f t="shared" si="17"/>
        <v/>
      </c>
      <c r="AW18" s="40" t="str">
        <f t="shared" si="18"/>
        <v/>
      </c>
      <c r="AX18" s="40" t="str">
        <f t="shared" si="19"/>
        <v/>
      </c>
      <c r="AY18" s="40" t="str">
        <f t="shared" si="20"/>
        <v/>
      </c>
      <c r="AZ18" s="18">
        <v>14.26</v>
      </c>
      <c r="BA18" s="18">
        <v>1.8</v>
      </c>
      <c r="BB18" s="18">
        <v>0</v>
      </c>
      <c r="BC18" s="18">
        <v>0.3</v>
      </c>
      <c r="BD18" s="18">
        <v>16.899999999999999</v>
      </c>
      <c r="BE18" s="18">
        <v>2.9</v>
      </c>
      <c r="BF18" s="18">
        <v>0.1</v>
      </c>
      <c r="BG18" s="18">
        <v>0.3</v>
      </c>
      <c r="BH18" s="18">
        <v>16.100000000000001</v>
      </c>
      <c r="BI18" s="18">
        <v>3.6</v>
      </c>
      <c r="BJ18" s="18">
        <v>0</v>
      </c>
      <c r="BK18" s="18">
        <v>0.6</v>
      </c>
      <c r="BL18" s="18">
        <v>8.8000000000000007</v>
      </c>
      <c r="BM18" s="18">
        <v>1.9</v>
      </c>
      <c r="BN18" s="18">
        <v>0</v>
      </c>
      <c r="BO18" s="18">
        <v>0.6</v>
      </c>
      <c r="BP18" s="18">
        <v>15.1</v>
      </c>
      <c r="BQ18" s="18">
        <v>2</v>
      </c>
      <c r="BR18" s="18">
        <v>0</v>
      </c>
      <c r="BS18" s="18">
        <v>0.3</v>
      </c>
      <c r="BT18" s="28"/>
      <c r="BU18" s="11">
        <f t="shared" si="21"/>
        <v>4.7</v>
      </c>
      <c r="BV18" s="11">
        <f t="shared" si="22"/>
        <v>36.359999999999992</v>
      </c>
      <c r="BW18" s="11">
        <f t="shared" si="23"/>
        <v>20.300000000000004</v>
      </c>
      <c r="BX18" s="11">
        <f t="shared" si="24"/>
        <v>8.3000000000000007</v>
      </c>
      <c r="BY18" s="11">
        <f t="shared" si="25"/>
        <v>56.66</v>
      </c>
      <c r="BZ18" s="11">
        <f t="shared" si="26"/>
        <v>3.9</v>
      </c>
      <c r="CA18" s="11">
        <f t="shared" si="27"/>
        <v>28.7</v>
      </c>
      <c r="CB18" s="11">
        <f t="shared" si="28"/>
        <v>85.36</v>
      </c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27"/>
      <c r="CX18" s="40" t="str">
        <f t="shared" si="29"/>
        <v/>
      </c>
      <c r="CY18" s="40" t="str">
        <f t="shared" si="30"/>
        <v/>
      </c>
      <c r="CZ18" s="40" t="str">
        <f t="shared" si="31"/>
        <v/>
      </c>
      <c r="DA18" s="40" t="str">
        <f t="shared" si="32"/>
        <v/>
      </c>
      <c r="DB18" s="40" t="str">
        <f t="shared" si="33"/>
        <v/>
      </c>
      <c r="DC18" s="40" t="str">
        <f t="shared" si="34"/>
        <v/>
      </c>
      <c r="DD18" s="40" t="str">
        <f t="shared" si="35"/>
        <v/>
      </c>
      <c r="DE18" s="40" t="str">
        <f t="shared" si="36"/>
        <v/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7.13</v>
      </c>
      <c r="QH18" s="22">
        <f t="shared" si="137"/>
        <v>0.9</v>
      </c>
      <c r="QI18" s="22">
        <f t="shared" si="138"/>
        <v>0</v>
      </c>
      <c r="QJ18" s="22">
        <f t="shared" si="139"/>
        <v>0.15</v>
      </c>
      <c r="QK18" s="22">
        <f t="shared" si="140"/>
        <v>8.4499999999999993</v>
      </c>
      <c r="QL18" s="22">
        <f t="shared" si="141"/>
        <v>1.45</v>
      </c>
      <c r="QM18" s="22">
        <f t="shared" si="142"/>
        <v>0.05</v>
      </c>
      <c r="QN18" s="22">
        <f t="shared" si="143"/>
        <v>0.15</v>
      </c>
      <c r="QO18" s="22">
        <f t="shared" si="144"/>
        <v>8.0500000000000007</v>
      </c>
      <c r="QP18" s="22">
        <f t="shared" si="145"/>
        <v>1.8</v>
      </c>
      <c r="QQ18" s="22">
        <f t="shared" si="146"/>
        <v>0</v>
      </c>
      <c r="QR18" s="22">
        <f t="shared" si="147"/>
        <v>0.3</v>
      </c>
      <c r="QS18" s="22">
        <f t="shared" si="148"/>
        <v>4.4000000000000004</v>
      </c>
      <c r="QT18" s="22">
        <f t="shared" si="149"/>
        <v>0.95</v>
      </c>
      <c r="QU18" s="22">
        <f t="shared" si="150"/>
        <v>0</v>
      </c>
      <c r="QV18" s="22">
        <f t="shared" si="151"/>
        <v>0.3</v>
      </c>
      <c r="QW18" s="22">
        <f t="shared" si="152"/>
        <v>7.55</v>
      </c>
      <c r="QX18" s="22">
        <f t="shared" si="153"/>
        <v>1</v>
      </c>
      <c r="QY18" s="22">
        <f t="shared" si="154"/>
        <v>0</v>
      </c>
      <c r="QZ18" s="22">
        <f t="shared" si="155"/>
        <v>0.15</v>
      </c>
      <c r="RA18" s="27" t="s">
        <v>46</v>
      </c>
      <c r="RB18" s="40">
        <f t="shared" si="156"/>
        <v>2.35</v>
      </c>
      <c r="RC18" s="40">
        <f t="shared" si="157"/>
        <v>18.179999999999996</v>
      </c>
      <c r="RD18" s="40">
        <f t="shared" si="158"/>
        <v>10.150000000000002</v>
      </c>
      <c r="RE18" s="40">
        <f t="shared" si="159"/>
        <v>4.1500000000000004</v>
      </c>
      <c r="RF18" s="40">
        <f t="shared" si="160"/>
        <v>28.33</v>
      </c>
      <c r="RG18" s="40">
        <f t="shared" si="161"/>
        <v>1.95</v>
      </c>
      <c r="RH18" s="40">
        <f t="shared" si="162"/>
        <v>14.35</v>
      </c>
      <c r="RI18" s="40">
        <f t="shared" si="163"/>
        <v>42.68</v>
      </c>
    </row>
    <row r="19" spans="1:477" x14ac:dyDescent="0.2">
      <c r="A19" s="4" t="str" cm="1">
        <f t="array" ref="A19">IF(AND(J19&lt;&gt;"",J19&lt;&gt;"No DD"),SUMPRODUCT((J$4:J$20&lt;&gt;"")*(J$4:J$20&lt;&gt;"No DD")*(F$4:F$20&gt;F19))+1,IF(J19="No DD",SUMPRODUCT((J$4:J$20="No DD")*(F$4:F$20&gt;F19))+1+SUMPRODUCT((J$4:J$20&lt;&gt;"")*(J$4:J$20&lt;&gt;"No DD")),""))</f>
        <v/>
      </c>
      <c r="B19" s="4" t="str" cm="1">
        <f t="array" ref="B19">IF(AND(J19&lt;&gt;"",J19&lt;&gt;"No DD",G19=""),SUMPRODUCT((J$4:J$20&lt;&gt;"")*(J$4:J$20&lt;&gt;"No DD")*(G$4:G$20="")*(F$4:F$20&gt;F19))+1,IF(J19="No DD",SUMPRODUCT((J$4:J$20="No DD")*(F$4:F$20&gt;F19)*(G$4:G$20=""))+1+SUMPRODUCT((J$4:J$20&lt;&gt;"")*(G$4:G$20="")*(J$4:J$20&lt;&gt;"No DD")),""))</f>
        <v/>
      </c>
      <c r="C19" s="5" t="s">
        <v>113</v>
      </c>
      <c r="D19" s="4" t="s">
        <v>3</v>
      </c>
      <c r="E19" s="4">
        <v>2004</v>
      </c>
      <c r="F19" s="9">
        <f t="shared" si="0"/>
        <v>39.300000000000004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0</v>
      </c>
      <c r="M19" s="8" t="str">
        <f t="shared" si="5"/>
        <v/>
      </c>
      <c r="N19" s="8">
        <f>IF(COUNT(AS19,BV19,CY19)&gt;1,LARGE((AS19,BV19,CY19),2),0)</f>
        <v>0</v>
      </c>
      <c r="O19" s="8" t="str">
        <f t="shared" si="6"/>
        <v/>
      </c>
      <c r="P19" s="8">
        <f>IF(COUNT(AT19,BW19,CZ19)&gt;0,LARGE((AT19,BW19,CZ19),1),0)</f>
        <v>0</v>
      </c>
      <c r="Q19" s="8" t="str">
        <f t="shared" si="7"/>
        <v/>
      </c>
      <c r="R19" s="8">
        <f t="shared" si="8"/>
        <v>0</v>
      </c>
      <c r="S19" s="8" t="str">
        <f t="shared" si="9"/>
        <v/>
      </c>
      <c r="T19" s="8">
        <f t="shared" si="10"/>
        <v>39.300000000000004</v>
      </c>
      <c r="U19" s="11" t="str">
        <f t="shared" si="11"/>
        <v>(Q1)</v>
      </c>
      <c r="V19" s="8" t="str">
        <f t="shared" si="12"/>
        <v>2022 WAGC (Nov 24)</v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 t="shared" si="13"/>
        <v/>
      </c>
      <c r="AS19" s="40" t="str">
        <f t="shared" si="14"/>
        <v/>
      </c>
      <c r="AT19" s="40" t="str">
        <f t="shared" si="15"/>
        <v/>
      </c>
      <c r="AU19" s="40" t="str">
        <f t="shared" si="16"/>
        <v/>
      </c>
      <c r="AV19" s="40" t="str">
        <f t="shared" si="17"/>
        <v/>
      </c>
      <c r="AW19" s="40" t="str">
        <f t="shared" si="18"/>
        <v/>
      </c>
      <c r="AX19" s="40" t="str">
        <f t="shared" si="19"/>
        <v/>
      </c>
      <c r="AY19" s="40" t="str">
        <f t="shared" si="20"/>
        <v/>
      </c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 t="str">
        <f t="shared" si="21"/>
        <v/>
      </c>
      <c r="BV19" s="11" t="str">
        <f t="shared" si="22"/>
        <v/>
      </c>
      <c r="BW19" s="11" t="str">
        <f t="shared" si="23"/>
        <v/>
      </c>
      <c r="BX19" s="11" t="str">
        <f t="shared" si="24"/>
        <v/>
      </c>
      <c r="BY19" s="11" t="str">
        <f t="shared" si="25"/>
        <v/>
      </c>
      <c r="BZ19" s="11" t="str">
        <f t="shared" si="26"/>
        <v/>
      </c>
      <c r="CA19" s="11" t="str">
        <f t="shared" si="27"/>
        <v/>
      </c>
      <c r="CB19" s="11" t="str">
        <f t="shared" si="28"/>
        <v/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>
        <f t="shared" si="37"/>
        <v>39.300000000000004</v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>
        <v>17</v>
      </c>
      <c r="FN19" s="17">
        <v>4.0999999999999996</v>
      </c>
      <c r="FO19" s="17">
        <v>0</v>
      </c>
      <c r="FP19" s="17">
        <v>0</v>
      </c>
      <c r="FQ19" s="17">
        <v>16.3</v>
      </c>
      <c r="FR19" s="17">
        <v>1.9</v>
      </c>
      <c r="FS19" s="17">
        <v>0</v>
      </c>
      <c r="FT19" s="17">
        <v>0</v>
      </c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>
        <f t="shared" si="56"/>
        <v>6</v>
      </c>
      <c r="GH19" s="40">
        <f t="shared" si="57"/>
        <v>39.300000000000004</v>
      </c>
      <c r="GI19" s="40" t="str">
        <f t="shared" si="58"/>
        <v/>
      </c>
      <c r="GJ19" s="40">
        <f t="shared" si="59"/>
        <v>6</v>
      </c>
      <c r="GK19" s="40">
        <f t="shared" si="60"/>
        <v>39.300000000000004</v>
      </c>
      <c r="GL19" s="40" t="str">
        <f t="shared" si="61"/>
        <v/>
      </c>
      <c r="GM19" s="40" t="str">
        <f t="shared" si="62"/>
        <v/>
      </c>
      <c r="GN19" s="40">
        <f t="shared" si="63"/>
        <v>39.300000000000004</v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0</v>
      </c>
      <c r="QH19" s="22">
        <f t="shared" si="137"/>
        <v>0</v>
      </c>
      <c r="QI19" s="22">
        <f t="shared" si="138"/>
        <v>0</v>
      </c>
      <c r="QJ19" s="22">
        <f t="shared" si="139"/>
        <v>0</v>
      </c>
      <c r="QK19" s="22">
        <f t="shared" si="140"/>
        <v>0</v>
      </c>
      <c r="QL19" s="22">
        <f t="shared" si="141"/>
        <v>0</v>
      </c>
      <c r="QM19" s="22">
        <f t="shared" si="142"/>
        <v>0</v>
      </c>
      <c r="QN19" s="22">
        <f t="shared" si="143"/>
        <v>0</v>
      </c>
      <c r="QO19" s="22">
        <f t="shared" si="144"/>
        <v>0</v>
      </c>
      <c r="QP19" s="22">
        <f t="shared" si="145"/>
        <v>0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 t="str">
        <f t="shared" si="156"/>
        <v/>
      </c>
      <c r="RC19" s="40" t="str">
        <f t="shared" si="157"/>
        <v/>
      </c>
      <c r="RD19" s="40" t="str">
        <f t="shared" si="158"/>
        <v/>
      </c>
      <c r="RE19" s="40" t="str">
        <f t="shared" si="159"/>
        <v/>
      </c>
      <c r="RF19" s="40" t="str">
        <f t="shared" si="160"/>
        <v/>
      </c>
      <c r="RG19" s="40" t="str">
        <f t="shared" si="161"/>
        <v/>
      </c>
      <c r="RH19" s="40" t="str">
        <f t="shared" si="162"/>
        <v/>
      </c>
      <c r="RI19" s="40" t="str">
        <f t="shared" si="163"/>
        <v/>
      </c>
    </row>
    <row r="20" spans="1:477" ht="17" x14ac:dyDescent="0.2">
      <c r="G20" s="66"/>
      <c r="T20" s="10"/>
      <c r="U20" s="10"/>
      <c r="V20" s="10"/>
    </row>
    <row r="21" spans="1:477" ht="17" x14ac:dyDescent="0.2">
      <c r="G21" s="66"/>
      <c r="T21" s="10"/>
      <c r="U21" s="10"/>
      <c r="V21" s="10"/>
    </row>
    <row r="22" spans="1:477" ht="17" x14ac:dyDescent="0.2">
      <c r="C22" s="23" t="s">
        <v>44</v>
      </c>
      <c r="G22" s="66"/>
      <c r="T22" s="10"/>
      <c r="U22" s="10"/>
      <c r="V22" s="10"/>
      <c r="AR22" s="4"/>
      <c r="AY22" s="42">
        <v>8</v>
      </c>
      <c r="BU22" s="4"/>
      <c r="CB22" s="42">
        <v>8</v>
      </c>
      <c r="CX22" s="4"/>
      <c r="DE22" s="42">
        <v>8</v>
      </c>
      <c r="EC22" s="4"/>
      <c r="EJ22" s="42">
        <v>7.2</v>
      </c>
      <c r="FE22" s="4"/>
      <c r="FL22" s="42">
        <v>7.2</v>
      </c>
      <c r="GG22" s="4"/>
      <c r="GN22" s="42">
        <v>7.2</v>
      </c>
      <c r="HI22" s="4"/>
      <c r="HP22" s="42">
        <v>8</v>
      </c>
      <c r="IK22" s="4"/>
      <c r="IR22" s="42">
        <v>8</v>
      </c>
      <c r="JM22" s="4"/>
      <c r="JT22" s="42">
        <v>8</v>
      </c>
      <c r="KO22" s="4"/>
      <c r="KV22" s="42">
        <v>8</v>
      </c>
      <c r="LQ22" s="4"/>
      <c r="LX22" s="42">
        <v>8</v>
      </c>
      <c r="MS22" s="4"/>
      <c r="MZ22" s="42">
        <v>8</v>
      </c>
      <c r="NU22" s="4"/>
      <c r="OB22" s="42">
        <v>8</v>
      </c>
      <c r="OW22" s="4"/>
      <c r="PD22" s="42">
        <v>8</v>
      </c>
      <c r="PY22" s="4"/>
      <c r="QF22" s="42">
        <v>8</v>
      </c>
    </row>
    <row r="23" spans="1:477" ht="17" hidden="1" x14ac:dyDescent="0.2">
      <c r="C23" s="30" t="s">
        <v>43</v>
      </c>
      <c r="G23" s="66"/>
      <c r="T23" s="10"/>
      <c r="U23" s="10"/>
      <c r="V23" s="10"/>
      <c r="AR23" s="4"/>
      <c r="AY23" s="51">
        <v>1000</v>
      </c>
      <c r="BU23" s="4"/>
      <c r="CB23" s="51">
        <v>1000</v>
      </c>
      <c r="CX23" s="4"/>
      <c r="DE23" s="51">
        <v>1000</v>
      </c>
      <c r="EC23" s="4"/>
      <c r="EJ23" s="51">
        <v>1000</v>
      </c>
      <c r="FE23" s="4"/>
      <c r="FL23" s="51">
        <v>1000</v>
      </c>
      <c r="GG23" s="4"/>
      <c r="GN23" s="51">
        <v>1000</v>
      </c>
      <c r="HI23" s="4"/>
      <c r="HP23" s="51">
        <v>1000</v>
      </c>
      <c r="IK23" s="4"/>
      <c r="IR23" s="51">
        <v>1000</v>
      </c>
      <c r="JM23" s="4"/>
      <c r="JT23" s="51">
        <v>1000</v>
      </c>
      <c r="KO23" s="4"/>
      <c r="KV23" s="51">
        <v>1000</v>
      </c>
      <c r="LQ23" s="4"/>
      <c r="LX23" s="51">
        <v>1000</v>
      </c>
      <c r="MS23" s="4"/>
      <c r="MZ23" s="51">
        <v>1000</v>
      </c>
      <c r="NU23" s="4"/>
      <c r="OB23" s="51">
        <v>1000</v>
      </c>
      <c r="OW23" s="4"/>
      <c r="PD23" s="51">
        <v>1000</v>
      </c>
      <c r="PY23" s="4"/>
      <c r="QF23" s="51">
        <v>1000</v>
      </c>
    </row>
    <row r="24" spans="1:477" ht="17" hidden="1" x14ac:dyDescent="0.2">
      <c r="A24" s="5"/>
      <c r="B24" s="5"/>
      <c r="C24" s="31" t="s">
        <v>55</v>
      </c>
      <c r="D24" s="20"/>
      <c r="G24" s="66"/>
      <c r="T24" s="10"/>
      <c r="U24" s="10"/>
      <c r="V24" s="10"/>
      <c r="AR24" s="4"/>
      <c r="AY24" s="43">
        <v>1000</v>
      </c>
      <c r="BU24" s="4"/>
      <c r="CB24" s="43">
        <v>1000</v>
      </c>
      <c r="CX24" s="4"/>
      <c r="DE24" s="43">
        <v>1000</v>
      </c>
      <c r="EC24" s="4"/>
      <c r="EJ24" s="43">
        <v>1000</v>
      </c>
      <c r="FE24" s="4"/>
      <c r="FL24" s="43">
        <v>1000</v>
      </c>
      <c r="GG24" s="4"/>
      <c r="GN24" s="43">
        <v>1000</v>
      </c>
      <c r="HI24" s="4"/>
      <c r="HP24" s="43">
        <v>1000</v>
      </c>
      <c r="IK24" s="4"/>
      <c r="IR24" s="43">
        <v>1000</v>
      </c>
      <c r="JM24" s="4"/>
      <c r="JT24" s="43">
        <v>1000</v>
      </c>
      <c r="KO24" s="4"/>
      <c r="KV24" s="43">
        <v>1000</v>
      </c>
      <c r="LQ24" s="4"/>
      <c r="LX24" s="43">
        <v>1000</v>
      </c>
      <c r="MS24" s="4"/>
      <c r="MZ24" s="43">
        <v>1000</v>
      </c>
      <c r="NU24" s="4"/>
      <c r="OB24" s="43">
        <v>1000</v>
      </c>
      <c r="OW24" s="4"/>
      <c r="PD24" s="43">
        <v>1000</v>
      </c>
      <c r="PY24" s="4"/>
      <c r="QF24" s="43">
        <v>1000</v>
      </c>
    </row>
    <row r="25" spans="1:477" ht="17" hidden="1" x14ac:dyDescent="0.2">
      <c r="A25" s="5"/>
      <c r="B25" s="5"/>
      <c r="C25" s="35" t="s">
        <v>62</v>
      </c>
      <c r="D25" s="20"/>
      <c r="G25" s="66"/>
      <c r="T25" s="10"/>
      <c r="U25" s="10"/>
      <c r="V25" s="10"/>
      <c r="AR25" s="4"/>
      <c r="AY25" s="44">
        <v>1000</v>
      </c>
      <c r="BU25" s="4"/>
      <c r="CB25" s="44">
        <v>1000</v>
      </c>
      <c r="CX25" s="4"/>
      <c r="DE25" s="44">
        <v>1000</v>
      </c>
      <c r="EC25" s="4"/>
      <c r="EJ25" s="44">
        <v>1000</v>
      </c>
      <c r="FE25" s="4"/>
      <c r="FL25" s="44">
        <v>1000</v>
      </c>
      <c r="GG25" s="4"/>
      <c r="GN25" s="44">
        <v>1000</v>
      </c>
      <c r="HI25" s="4"/>
      <c r="HP25" s="44">
        <v>1000</v>
      </c>
      <c r="IK25" s="4"/>
      <c r="IR25" s="44">
        <v>1000</v>
      </c>
      <c r="JM25" s="4"/>
      <c r="JT25" s="44">
        <v>1000</v>
      </c>
      <c r="KO25" s="4"/>
      <c r="KV25" s="44">
        <v>1000</v>
      </c>
      <c r="LQ25" s="4"/>
      <c r="LX25" s="44">
        <v>1000</v>
      </c>
      <c r="MS25" s="4"/>
      <c r="MZ25" s="44">
        <v>1000</v>
      </c>
      <c r="NU25" s="4"/>
      <c r="OB25" s="44">
        <v>1000</v>
      </c>
      <c r="OW25" s="4"/>
      <c r="PD25" s="44">
        <v>1000</v>
      </c>
      <c r="PY25" s="4"/>
      <c r="QF25" s="44">
        <v>1000</v>
      </c>
    </row>
    <row r="26" spans="1:477" ht="17" x14ac:dyDescent="0.2">
      <c r="A26" s="5"/>
      <c r="B26" s="5"/>
      <c r="C26" s="34" t="s">
        <v>41</v>
      </c>
      <c r="D26" s="20"/>
      <c r="G26" s="66"/>
      <c r="T26" s="10"/>
      <c r="U26" s="10"/>
      <c r="V26" s="10"/>
      <c r="AR26" s="4"/>
      <c r="AY26" s="45">
        <v>42.1</v>
      </c>
      <c r="BU26" s="4"/>
      <c r="CB26" s="45">
        <v>42.1</v>
      </c>
      <c r="CX26" s="4"/>
      <c r="DE26" s="45">
        <v>42.1</v>
      </c>
      <c r="EC26" s="4"/>
      <c r="EJ26" s="45">
        <v>42.4</v>
      </c>
      <c r="FE26" s="4"/>
      <c r="FL26" s="45">
        <v>42.4</v>
      </c>
      <c r="GG26" s="4"/>
      <c r="GN26" s="45">
        <v>42.4</v>
      </c>
      <c r="HI26" s="4"/>
      <c r="HP26" s="45">
        <v>42.1</v>
      </c>
      <c r="IK26" s="4"/>
      <c r="IR26" s="45">
        <v>42.1</v>
      </c>
      <c r="JM26" s="4"/>
      <c r="JT26" s="45">
        <v>42.1</v>
      </c>
      <c r="KO26" s="4"/>
      <c r="KV26" s="45">
        <v>42.1</v>
      </c>
      <c r="LQ26" s="4"/>
      <c r="LX26" s="45">
        <v>42.1</v>
      </c>
      <c r="MS26" s="4"/>
      <c r="MZ26" s="45">
        <v>42.1</v>
      </c>
      <c r="NU26" s="4"/>
      <c r="OB26" s="45">
        <v>42.1</v>
      </c>
      <c r="OW26" s="4"/>
      <c r="PD26" s="45">
        <v>42.1</v>
      </c>
      <c r="PY26" s="4"/>
      <c r="QF26" s="45">
        <v>42.1</v>
      </c>
    </row>
    <row r="27" spans="1:477" ht="17" hidden="1" x14ac:dyDescent="0.2">
      <c r="A27" s="5"/>
      <c r="B27" s="5"/>
      <c r="C27" s="24" t="s">
        <v>42</v>
      </c>
      <c r="D27" s="20"/>
      <c r="G27" s="66"/>
      <c r="T27" s="10"/>
      <c r="U27" s="10"/>
      <c r="V27" s="10"/>
      <c r="AR27" s="4"/>
      <c r="AY27" s="46">
        <v>1000</v>
      </c>
      <c r="BU27" s="4"/>
      <c r="CB27" s="46">
        <v>1000</v>
      </c>
      <c r="CX27" s="4"/>
      <c r="DE27" s="46">
        <v>1000</v>
      </c>
      <c r="EC27" s="4"/>
      <c r="EJ27" s="46">
        <v>1000</v>
      </c>
      <c r="FE27" s="4"/>
      <c r="FL27" s="46">
        <v>1000</v>
      </c>
      <c r="GG27" s="4"/>
      <c r="GN27" s="46">
        <v>1000</v>
      </c>
      <c r="HI27" s="4"/>
      <c r="HP27" s="46">
        <v>1000</v>
      </c>
      <c r="IK27" s="4"/>
      <c r="IR27" s="46">
        <v>1000</v>
      </c>
      <c r="JM27" s="4"/>
      <c r="JT27" s="46">
        <v>1000</v>
      </c>
      <c r="KO27" s="4"/>
      <c r="KV27" s="46">
        <v>1000</v>
      </c>
      <c r="LQ27" s="4"/>
      <c r="LX27" s="46">
        <v>1000</v>
      </c>
      <c r="MS27" s="4"/>
      <c r="MZ27" s="46">
        <v>1000</v>
      </c>
      <c r="NU27" s="4"/>
      <c r="OB27" s="46">
        <v>1000</v>
      </c>
      <c r="OW27" s="4"/>
      <c r="PD27" s="46">
        <v>1000</v>
      </c>
      <c r="PY27" s="4"/>
      <c r="QF27" s="46">
        <v>1000</v>
      </c>
    </row>
    <row r="28" spans="1:477" ht="17" hidden="1" x14ac:dyDescent="0.2">
      <c r="A28" s="5"/>
      <c r="B28" s="5"/>
      <c r="C28" s="33" t="s">
        <v>54</v>
      </c>
      <c r="D28" s="20"/>
      <c r="G28" s="66"/>
      <c r="T28" s="10"/>
      <c r="U28" s="10"/>
      <c r="V28" s="10"/>
      <c r="AR28" s="4"/>
      <c r="AY28" s="47">
        <v>1000</v>
      </c>
      <c r="BU28" s="4"/>
      <c r="CB28" s="47">
        <v>1000</v>
      </c>
      <c r="CX28" s="4"/>
      <c r="DE28" s="47">
        <v>1000</v>
      </c>
      <c r="EC28" s="4"/>
      <c r="EJ28" s="47">
        <v>1000</v>
      </c>
      <c r="FE28" s="4"/>
      <c r="FL28" s="47">
        <v>1000</v>
      </c>
      <c r="GG28" s="4"/>
      <c r="GN28" s="47">
        <v>1000</v>
      </c>
      <c r="HI28" s="4"/>
      <c r="HP28" s="47">
        <v>1000</v>
      </c>
      <c r="IK28" s="4"/>
      <c r="IR28" s="47">
        <v>1000</v>
      </c>
      <c r="JM28" s="4"/>
      <c r="JT28" s="47">
        <v>1000</v>
      </c>
      <c r="KO28" s="4"/>
      <c r="KV28" s="47">
        <v>1000</v>
      </c>
      <c r="LQ28" s="4"/>
      <c r="LX28" s="47">
        <v>1000</v>
      </c>
      <c r="MS28" s="4"/>
      <c r="MZ28" s="47">
        <v>1000</v>
      </c>
      <c r="NU28" s="4"/>
      <c r="OB28" s="47">
        <v>1000</v>
      </c>
      <c r="OW28" s="4"/>
      <c r="PD28" s="47">
        <v>1000</v>
      </c>
      <c r="PY28" s="4"/>
      <c r="QF28" s="47">
        <v>1000</v>
      </c>
    </row>
    <row r="29" spans="1:477" ht="17" hidden="1" x14ac:dyDescent="0.2">
      <c r="A29" s="5"/>
      <c r="B29" s="5"/>
      <c r="C29" s="25" t="s">
        <v>27</v>
      </c>
      <c r="D29" s="20"/>
      <c r="G29" s="66"/>
      <c r="T29" s="10"/>
      <c r="U29" s="10"/>
      <c r="V29" s="10"/>
      <c r="AR29" s="4"/>
      <c r="AY29" s="48">
        <v>1000</v>
      </c>
      <c r="BU29" s="4"/>
      <c r="CB29" s="48">
        <v>1000</v>
      </c>
      <c r="CX29" s="4"/>
      <c r="DE29" s="48">
        <v>1000</v>
      </c>
      <c r="EC29" s="4"/>
      <c r="EJ29" s="48">
        <v>1000</v>
      </c>
      <c r="FE29" s="4"/>
      <c r="FL29" s="48">
        <v>1000</v>
      </c>
      <c r="GG29" s="4"/>
      <c r="GN29" s="48">
        <v>1000</v>
      </c>
      <c r="HI29" s="4"/>
      <c r="HP29" s="48">
        <v>1000</v>
      </c>
      <c r="IK29" s="4"/>
      <c r="IR29" s="48">
        <v>1000</v>
      </c>
      <c r="JM29" s="4"/>
      <c r="JT29" s="48">
        <v>1000</v>
      </c>
      <c r="KO29" s="4"/>
      <c r="KV29" s="48">
        <v>1000</v>
      </c>
      <c r="LQ29" s="4"/>
      <c r="LX29" s="48">
        <v>1000</v>
      </c>
      <c r="MS29" s="4"/>
      <c r="MZ29" s="48">
        <v>1000</v>
      </c>
      <c r="NU29" s="4"/>
      <c r="OB29" s="48">
        <v>1000</v>
      </c>
      <c r="OW29" s="4"/>
      <c r="PD29" s="48">
        <v>1000</v>
      </c>
      <c r="PY29" s="4"/>
      <c r="QF29" s="48">
        <v>1000</v>
      </c>
    </row>
    <row r="30" spans="1:477" x14ac:dyDescent="0.2">
      <c r="C30" s="29" t="s">
        <v>47</v>
      </c>
      <c r="D30" s="2"/>
      <c r="G30" s="66"/>
    </row>
    <row r="31" spans="1:477" x14ac:dyDescent="0.2">
      <c r="A31" s="5"/>
      <c r="B31" s="5"/>
      <c r="C31" s="5"/>
      <c r="D31" s="20"/>
      <c r="G31" s="66"/>
      <c r="QH31" s="2"/>
      <c r="QI31" s="2"/>
      <c r="QJ31" s="2"/>
      <c r="QK31" s="2"/>
      <c r="QL31" s="2"/>
      <c r="QM31" s="2"/>
      <c r="QN31" s="2"/>
      <c r="QO31" s="2"/>
      <c r="QP31" s="2"/>
    </row>
    <row r="32" spans="1:477" x14ac:dyDescent="0.2">
      <c r="A32" s="5"/>
      <c r="B32" s="5"/>
      <c r="C32" s="5"/>
      <c r="D32" s="20"/>
      <c r="G32" s="66"/>
    </row>
    <row r="33" spans="1:7" x14ac:dyDescent="0.2">
      <c r="A33" s="5"/>
      <c r="B33" s="5"/>
      <c r="C33" s="5"/>
      <c r="D33" s="20"/>
      <c r="G33" s="66"/>
    </row>
    <row r="34" spans="1:7" x14ac:dyDescent="0.2">
      <c r="A34" s="5"/>
      <c r="B34" s="5"/>
      <c r="C34" s="5"/>
      <c r="D34" s="5"/>
    </row>
    <row r="38" spans="1:7" x14ac:dyDescent="0.2">
      <c r="G38" s="66"/>
    </row>
    <row r="39" spans="1:7" x14ac:dyDescent="0.2">
      <c r="G39" s="66"/>
    </row>
  </sheetData>
  <sheetProtection sheet="1" formatCells="0" formatColumns="0" formatRows="0"/>
  <autoFilter ref="A1:RI1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19">
      <sortCondition descending="1" ref="H1:H20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</mergeCells>
  <conditionalFormatting sqref="W4:AY19">
    <cfRule type="expression" dxfId="90" priority="31" stopIfTrue="1">
      <formula>IF($AQ4&lt;&gt;"",1,0)</formula>
    </cfRule>
  </conditionalFormatting>
  <conditionalFormatting sqref="AZ4:CB19">
    <cfRule type="expression" dxfId="89" priority="30" stopIfTrue="1">
      <formula>IF($BT4&lt;&gt;"",1,0)</formula>
    </cfRule>
  </conditionalFormatting>
  <conditionalFormatting sqref="O1:O3 Q1:Q3 M1:M1048576 S1:S1048576 O4:Q1048576">
    <cfRule type="expression" dxfId="88" priority="27">
      <formula>IF(M1=$CC$1,1,0)</formula>
    </cfRule>
    <cfRule type="expression" dxfId="87" priority="28">
      <formula>IF(M1=$AZ$1,1,0)</formula>
    </cfRule>
    <cfRule type="expression" dxfId="86" priority="29">
      <formula>IF(M1=$W$1,1,0)</formula>
    </cfRule>
  </conditionalFormatting>
  <conditionalFormatting sqref="CC4:DE19">
    <cfRule type="expression" dxfId="85" priority="3" stopIfTrue="1">
      <formula>IF($CW4&lt;&gt;"",1,0)</formula>
    </cfRule>
  </conditionalFormatting>
  <conditionalFormatting sqref="A4:B1048576">
    <cfRule type="expression" dxfId="84" priority="25">
      <formula>IF(A4&gt;4,1,0)</formula>
    </cfRule>
    <cfRule type="expression" dxfId="83" priority="1">
      <formula>AND($I4="P",$H4="")</formula>
    </cfRule>
  </conditionalFormatting>
  <conditionalFormatting sqref="J1:J1048576">
    <cfRule type="containsText" dxfId="82" priority="20" operator="containsText" text="No DD">
      <formula>NOT(ISERROR(SEARCH("No DD",J1)))</formula>
    </cfRule>
    <cfRule type="containsText" dxfId="81" priority="21" operator="containsText" text="Merit">
      <formula>NOT(ISERROR(SEARCH("Merit",J1)))</formula>
    </cfRule>
    <cfRule type="containsText" dxfId="80" priority="22" operator="containsText" text="Excellence">
      <formula>NOT(ISERROR(SEARCH("Excellence",J1)))</formula>
    </cfRule>
    <cfRule type="containsText" dxfId="79" priority="23" operator="containsText" text="Worlds Team">
      <formula>NOT(ISERROR(SEARCH("Worlds Team",J1)))</formula>
    </cfRule>
    <cfRule type="containsText" dxfId="78" priority="24" operator="containsText" text="National Team">
      <formula>NOT(ISERROR(SEARCH("National Team",J1)))</formula>
    </cfRule>
  </conditionalFormatting>
  <conditionalFormatting sqref="AV30:AV1048576 BY30:BY1048576 EG30:EG1048576 BY1:BY28 DB1:DB1048576 EG1:EG28 FI1:FI1048576 GK1:GK1048576 HM1:HM1048576 IO1:IO1048576 KS1:KS1048576 LU1:LU1048576 MW1:MW1048576 NY1:NY1048576 PA1:PA1048576 QC1:QC1048576 AV1:AV28 JQ1:JQ1048576">
    <cfRule type="cellIs" dxfId="77" priority="17" operator="between">
      <formula>AY$29</formula>
      <formula>1000</formula>
    </cfRule>
    <cfRule type="cellIs" dxfId="76" priority="18" operator="between">
      <formula>AY$28</formula>
      <formula>AY$29</formula>
    </cfRule>
    <cfRule type="cellIs" dxfId="75" priority="19" operator="between">
      <formula>AY$27</formula>
      <formula>AY$28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4" priority="115897" operator="between">
      <formula>AY$22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3" priority="115942" operator="between">
      <formula>AY$26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2" priority="115987" operator="between">
      <formula>AY$22</formula>
      <formula>AY$23</formula>
    </cfRule>
    <cfRule type="cellIs" dxfId="71" priority="115988" operator="between">
      <formula>AY$23</formula>
      <formula>AY$24</formula>
    </cfRule>
    <cfRule type="cellIs" dxfId="70" priority="115989" operator="between">
      <formula>AY$24</formula>
      <formula>AY$25</formula>
    </cfRule>
    <cfRule type="cellIs" dxfId="69" priority="115990" operator="between">
      <formula>AY$25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68" priority="116167" operator="between">
      <formula>AY$26</formula>
      <formula>AY$27</formula>
    </cfRule>
    <cfRule type="cellIs" dxfId="67" priority="116168" operator="between">
      <formula>AY$27</formula>
      <formula>AY$28</formula>
    </cfRule>
    <cfRule type="cellIs" dxfId="66" priority="116169" operator="between">
      <formula>AY$28</formula>
      <formula>AY$29</formula>
    </cfRule>
    <cfRule type="cellIs" dxfId="65" priority="116170" operator="between">
      <formula>AY$29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4" priority="116347" operator="between">
      <formula>AY$25</formula>
      <formula>1000</formula>
    </cfRule>
    <cfRule type="cellIs" dxfId="63" priority="116348" operator="between">
      <formula>AY$24</formula>
      <formula>AY$25</formula>
    </cfRule>
    <cfRule type="cellIs" dxfId="62" priority="116349" operator="between">
      <formula>AY$23</formula>
      <formula>AY$24</formula>
    </cfRule>
  </conditionalFormatting>
  <conditionalFormatting sqref="DD5">
    <cfRule type="expression" dxfId="61" priority="26" stopIfTrue="1">
      <formula>1</formula>
    </cfRule>
  </conditionalFormatting>
  <conditionalFormatting sqref="A1:B3">
    <cfRule type="expression" dxfId="60" priority="2">
      <formula>AND(I1&lt;&gt;"",H1="")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customWidth="1"/>
    <col min="365" max="384" width="10.83203125" hidden="1" customWidth="1"/>
    <col min="385" max="392" width="10.83203125" style="36" customWidth="1"/>
    <col min="393" max="412" width="10.83203125" hidden="1" customWidth="1"/>
    <col min="413" max="420" width="10.83203125" style="36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229</v>
      </c>
      <c r="B1" s="78" t="s">
        <v>230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231</v>
      </c>
      <c r="H1" s="78" t="s">
        <v>53</v>
      </c>
      <c r="I1" s="78" t="s">
        <v>8</v>
      </c>
      <c r="J1" s="74" t="s">
        <v>9</v>
      </c>
      <c r="K1" s="78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170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196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225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119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122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118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124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193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192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194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 t="s">
        <v>195</v>
      </c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 t="s">
        <v>224</v>
      </c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 t="s">
        <v>233</v>
      </c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 t="s">
        <v>236</v>
      </c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89</v>
      </c>
      <c r="X2" s="69"/>
      <c r="Y2" s="69"/>
      <c r="Z2" s="69"/>
      <c r="AA2" s="69" t="s">
        <v>90</v>
      </c>
      <c r="AB2" s="69"/>
      <c r="AC2" s="69"/>
      <c r="AD2" s="69"/>
      <c r="AE2" s="69" t="s">
        <v>91</v>
      </c>
      <c r="AF2" s="69"/>
      <c r="AG2" s="69"/>
      <c r="AH2" s="69"/>
      <c r="AI2" s="69" t="s">
        <v>92</v>
      </c>
      <c r="AJ2" s="69"/>
      <c r="AK2" s="69"/>
      <c r="AL2" s="69"/>
      <c r="AM2" s="79" t="s">
        <v>93</v>
      </c>
      <c r="AN2" s="79"/>
      <c r="AO2" s="79"/>
      <c r="AP2" s="79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69" t="s">
        <v>89</v>
      </c>
      <c r="CD2" s="69"/>
      <c r="CE2" s="69"/>
      <c r="CF2" s="69"/>
      <c r="CG2" s="69" t="s">
        <v>90</v>
      </c>
      <c r="CH2" s="69"/>
      <c r="CI2" s="69"/>
      <c r="CJ2" s="69"/>
      <c r="CK2" s="69" t="s">
        <v>91</v>
      </c>
      <c r="CL2" s="69"/>
      <c r="CM2" s="69"/>
      <c r="CN2" s="69"/>
      <c r="CO2" s="69" t="s">
        <v>92</v>
      </c>
      <c r="CP2" s="69"/>
      <c r="CQ2" s="69"/>
      <c r="CR2" s="69"/>
      <c r="CS2" s="79" t="s">
        <v>93</v>
      </c>
      <c r="CT2" s="79"/>
      <c r="CU2" s="79"/>
      <c r="CV2" s="79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69" t="s">
        <v>89</v>
      </c>
      <c r="DJ2" s="69"/>
      <c r="DK2" s="69"/>
      <c r="DL2" s="69"/>
      <c r="DM2" s="69" t="s">
        <v>90</v>
      </c>
      <c r="DN2" s="69"/>
      <c r="DO2" s="69"/>
      <c r="DP2" s="69"/>
      <c r="DQ2" s="69" t="s">
        <v>91</v>
      </c>
      <c r="DR2" s="69"/>
      <c r="DS2" s="69"/>
      <c r="DT2" s="69"/>
      <c r="DU2" s="69" t="s">
        <v>92</v>
      </c>
      <c r="DV2" s="69"/>
      <c r="DW2" s="69"/>
      <c r="DX2" s="69"/>
      <c r="DY2" s="81" t="s">
        <v>93</v>
      </c>
      <c r="DZ2" s="81"/>
      <c r="EA2" s="81"/>
      <c r="EB2" s="81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69" t="s">
        <v>89</v>
      </c>
      <c r="FN2" s="69"/>
      <c r="FO2" s="69"/>
      <c r="FP2" s="69"/>
      <c r="FQ2" s="69" t="s">
        <v>90</v>
      </c>
      <c r="FR2" s="69"/>
      <c r="FS2" s="69"/>
      <c r="FT2" s="69"/>
      <c r="FU2" s="69" t="s">
        <v>91</v>
      </c>
      <c r="FV2" s="69"/>
      <c r="FW2" s="69"/>
      <c r="FX2" s="69"/>
      <c r="FY2" s="69" t="s">
        <v>92</v>
      </c>
      <c r="FZ2" s="69"/>
      <c r="GA2" s="69"/>
      <c r="GB2" s="69"/>
      <c r="GC2" s="81" t="s">
        <v>93</v>
      </c>
      <c r="GD2" s="81"/>
      <c r="GE2" s="81"/>
      <c r="GF2" s="81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69" t="s">
        <v>89</v>
      </c>
      <c r="HR2" s="69"/>
      <c r="HS2" s="69"/>
      <c r="HT2" s="69"/>
      <c r="HU2" s="69" t="s">
        <v>90</v>
      </c>
      <c r="HV2" s="69"/>
      <c r="HW2" s="69"/>
      <c r="HX2" s="69"/>
      <c r="HY2" s="69" t="s">
        <v>91</v>
      </c>
      <c r="HZ2" s="69"/>
      <c r="IA2" s="69"/>
      <c r="IB2" s="69"/>
      <c r="IC2" s="69" t="s">
        <v>92</v>
      </c>
      <c r="ID2" s="69"/>
      <c r="IE2" s="69"/>
      <c r="IF2" s="69"/>
      <c r="IG2" s="81" t="s">
        <v>93</v>
      </c>
      <c r="IH2" s="81"/>
      <c r="II2" s="81"/>
      <c r="IJ2" s="81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69" t="s">
        <v>89</v>
      </c>
      <c r="JV2" s="69"/>
      <c r="JW2" s="69"/>
      <c r="JX2" s="69"/>
      <c r="JY2" s="69" t="s">
        <v>90</v>
      </c>
      <c r="JZ2" s="69"/>
      <c r="KA2" s="69"/>
      <c r="KB2" s="69"/>
      <c r="KC2" s="69" t="s">
        <v>91</v>
      </c>
      <c r="KD2" s="69"/>
      <c r="KE2" s="69"/>
      <c r="KF2" s="69"/>
      <c r="KG2" s="69" t="s">
        <v>92</v>
      </c>
      <c r="KH2" s="69"/>
      <c r="KI2" s="69"/>
      <c r="KJ2" s="69"/>
      <c r="KK2" s="81" t="s">
        <v>93</v>
      </c>
      <c r="KL2" s="81"/>
      <c r="KM2" s="81"/>
      <c r="KN2" s="81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69" t="s">
        <v>89</v>
      </c>
      <c r="LZ2" s="69"/>
      <c r="MA2" s="69"/>
      <c r="MB2" s="69"/>
      <c r="MC2" s="69" t="s">
        <v>90</v>
      </c>
      <c r="MD2" s="69"/>
      <c r="ME2" s="69"/>
      <c r="MF2" s="69"/>
      <c r="MG2" s="69" t="s">
        <v>91</v>
      </c>
      <c r="MH2" s="69"/>
      <c r="MI2" s="69"/>
      <c r="MJ2" s="69"/>
      <c r="MK2" s="69" t="s">
        <v>92</v>
      </c>
      <c r="ML2" s="69"/>
      <c r="MM2" s="69"/>
      <c r="MN2" s="69"/>
      <c r="MO2" s="81" t="s">
        <v>93</v>
      </c>
      <c r="MP2" s="81"/>
      <c r="MQ2" s="81"/>
      <c r="MR2" s="81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69" t="s">
        <v>89</v>
      </c>
      <c r="OD2" s="69"/>
      <c r="OE2" s="69"/>
      <c r="OF2" s="69"/>
      <c r="OG2" s="69" t="s">
        <v>90</v>
      </c>
      <c r="OH2" s="69"/>
      <c r="OI2" s="69"/>
      <c r="OJ2" s="69"/>
      <c r="OK2" s="69" t="s">
        <v>91</v>
      </c>
      <c r="OL2" s="69"/>
      <c r="OM2" s="69"/>
      <c r="ON2" s="69"/>
      <c r="OO2" s="69" t="s">
        <v>92</v>
      </c>
      <c r="OP2" s="69"/>
      <c r="OQ2" s="69"/>
      <c r="OR2" s="69"/>
      <c r="OS2" s="81" t="s">
        <v>93</v>
      </c>
      <c r="OT2" s="81"/>
      <c r="OU2" s="81"/>
      <c r="OV2" s="81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69" t="s">
        <v>89</v>
      </c>
      <c r="QH2" s="69"/>
      <c r="QI2" s="69"/>
      <c r="QJ2" s="69"/>
      <c r="QK2" s="69" t="s">
        <v>90</v>
      </c>
      <c r="QL2" s="69"/>
      <c r="QM2" s="69"/>
      <c r="QN2" s="69"/>
      <c r="QO2" s="69" t="s">
        <v>91</v>
      </c>
      <c r="QP2" s="69"/>
      <c r="QQ2" s="69"/>
      <c r="QR2" s="69"/>
      <c r="QS2" s="69" t="s">
        <v>92</v>
      </c>
      <c r="QT2" s="69"/>
      <c r="QU2" s="69"/>
      <c r="QV2" s="69"/>
      <c r="QW2" s="79" t="s">
        <v>93</v>
      </c>
      <c r="QX2" s="79"/>
      <c r="QY2" s="79"/>
      <c r="QZ2" s="79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71</v>
      </c>
      <c r="D4" s="4" t="s">
        <v>5</v>
      </c>
      <c r="E4" s="4">
        <v>2003</v>
      </c>
      <c r="F4" s="9">
        <f>SUM(L4:T4)+SUM(L4:P4)*0.0000001+SUM(L4)*0.0000000000001</f>
        <v>208.00001486000605</v>
      </c>
      <c r="G4" s="66" t="s">
        <v>46</v>
      </c>
      <c r="H4" s="3" t="str">
        <f t="shared" ref="H4:H39" si="0"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 t="shared" ref="I4:I39" si="1"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 t="shared" ref="J4:J39" si="2"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 t="shared" ref="K4:K39" si="3"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60.5</v>
      </c>
      <c r="M4" s="8" t="str">
        <f t="shared" ref="M4:M39" si="4">IF(L4=0,"",IF(L4=CY4,$CC$1,IF(L4=BV4,$AZ$1,IF(L4=AS4,$W$1,""))))</f>
        <v>2023 Nationals</v>
      </c>
      <c r="N4" s="8">
        <f>IF(COUNT(AS4,BV4,CY4)&gt;1,LARGE((AS4,BV4,CY4),2),0)</f>
        <v>58.699999999999996</v>
      </c>
      <c r="O4" s="8" t="str">
        <f t="shared" ref="O4:O39" si="5">IF(N4=0,"",IF(N4=CY4,$CC$1,IF(N4=BV4,$AZ$1,IF(N4=AS4,$W$1,""))))</f>
        <v>2023 Elite Canada</v>
      </c>
      <c r="P4" s="8">
        <f>IF(COUNT(AT4,BW4,CZ4)&gt;0,LARGE((AT4,BW4,CZ4),1),0)</f>
        <v>29.4</v>
      </c>
      <c r="Q4" s="8" t="str">
        <f t="shared" ref="Q4:Q39" si="6">IF(P4=0,"",IF(P4=CZ4,$CC$1,IF(P4=BW4,$AZ$1,IF(P4=AT4,$W$1,""))))</f>
        <v>2023 3rd Domestic Trial</v>
      </c>
      <c r="R4" s="8">
        <f t="shared" ref="R4:R39" si="7">IF(MAX(AX4,CA4,DD4)&gt;0,MAX(AX4,CA4,DD4),0)</f>
        <v>59.400000000000006</v>
      </c>
      <c r="S4" s="8" t="str">
        <f t="shared" ref="S4:S39" si="8">IF(R4=0,"",IF(R4=DD4,$CC$1,IF(R4=CA4,$AZ$1,IF(R4=AX4,$W$1,""))))</f>
        <v>2023 Nationals</v>
      </c>
      <c r="T4" s="8" t="str">
        <f t="shared" ref="T4:T39" si="9">IF(MAX(DF4:DH4)&gt;0,MAX(DF4:DH4),"")</f>
        <v/>
      </c>
      <c r="U4" s="11" t="str">
        <f t="shared" ref="U4:U39" si="10">IF(T4="","",IF(T4=DF4,"("&amp;DF$2&amp;")",IF(T4=DG4,"("&amp;DG$2&amp;")",IF(T4=DH4,"("&amp;DH$2&amp;")"))))</f>
        <v/>
      </c>
      <c r="V4" s="8" t="str">
        <f t="shared" ref="V4:V39" si="11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/>
      </c>
      <c r="W4" s="19">
        <v>18.8</v>
      </c>
      <c r="X4" s="19">
        <v>10</v>
      </c>
      <c r="Y4" s="19">
        <v>0.2</v>
      </c>
      <c r="Z4" s="19">
        <v>0.6</v>
      </c>
      <c r="AA4" s="19">
        <v>18.3</v>
      </c>
      <c r="AB4" s="19">
        <v>10.8</v>
      </c>
      <c r="AC4" s="19">
        <v>0.2</v>
      </c>
      <c r="AD4" s="19">
        <v>0.6</v>
      </c>
      <c r="AE4" s="19">
        <v>19.2</v>
      </c>
      <c r="AF4" s="19">
        <v>8.4</v>
      </c>
      <c r="AG4" s="19">
        <v>0</v>
      </c>
      <c r="AH4" s="19">
        <v>0</v>
      </c>
      <c r="AI4" s="19">
        <v>19</v>
      </c>
      <c r="AJ4" s="19">
        <v>10</v>
      </c>
      <c r="AK4" s="19">
        <v>0.2</v>
      </c>
      <c r="AL4" s="19">
        <v>0.6</v>
      </c>
      <c r="AM4" s="19">
        <v>18.600000000000001</v>
      </c>
      <c r="AN4" s="19">
        <v>10.8</v>
      </c>
      <c r="AO4" s="19">
        <v>0.6</v>
      </c>
      <c r="AP4" s="19">
        <v>0.6</v>
      </c>
      <c r="AQ4" s="27"/>
      <c r="AR4" s="40">
        <f t="shared" ref="AR4:AR39" si="12">IF(SUM(X4,AB4)&gt;0,SUM(X4,AB4),"")</f>
        <v>20.8</v>
      </c>
      <c r="AS4" s="40">
        <f t="shared" ref="AS4:AS39" si="13">IF(SUM(W4:X4,Z4:AB4,AD4)-Y4-AC4&gt;0,SUM(W4:X4,Z4:AB4,AD4)-Y4-AC4,"")</f>
        <v>58.699999999999996</v>
      </c>
      <c r="AT4" s="40">
        <f t="shared" ref="AT4:AT39" si="14">IF(SUM(AE4:AF4,AH4)-AG4&gt;0,SUM(AE4:AF4,AH4)-AG4,"")</f>
        <v>27.6</v>
      </c>
      <c r="AU4" s="40">
        <f t="shared" ref="AU4:AU39" si="15">IF(SUM(X4,AB4,AF4)&gt;0,SUM(X4,AB4,AF4),"")</f>
        <v>29.200000000000003</v>
      </c>
      <c r="AV4" s="40">
        <f t="shared" ref="AV4:AV39" si="16">IF(SUM(AS4,AT4)&gt;0,SUM(AS4,AT4),"")</f>
        <v>86.3</v>
      </c>
      <c r="AW4" s="40">
        <f t="shared" ref="AW4:AW39" si="17">IF(SUM(AJ4,AN4)&gt;0,SUM(AJ4,AN4),"")</f>
        <v>20.8</v>
      </c>
      <c r="AX4" s="40">
        <f t="shared" ref="AX4:AX39" si="18">IF(SUM(AI4:AJ4,AL4:AN4,AP4)-SUM(AK4,AO4)&gt;0,SUM(AI4:AJ4,AL4:AN4,AP4)-SUM(AK4,AO4),"")</f>
        <v>58.800000000000004</v>
      </c>
      <c r="AY4" s="40">
        <f t="shared" ref="AY4:AY39" si="19">IF(SUM(AS4,AT4,AX4)&gt;0,SUM(AS4,AT4,AX4),"")</f>
        <v>145.1</v>
      </c>
      <c r="AZ4" s="18">
        <v>19.399999999999999</v>
      </c>
      <c r="BA4" s="18">
        <v>10</v>
      </c>
      <c r="BB4" s="18">
        <v>0</v>
      </c>
      <c r="BC4" s="18">
        <v>0.6</v>
      </c>
      <c r="BD4" s="18">
        <v>18.8</v>
      </c>
      <c r="BE4" s="18">
        <v>11.1</v>
      </c>
      <c r="BF4" s="18">
        <v>0</v>
      </c>
      <c r="BG4" s="18">
        <v>0.6</v>
      </c>
      <c r="BH4" s="18">
        <v>18.7</v>
      </c>
      <c r="BI4" s="18">
        <v>9.3000000000000007</v>
      </c>
      <c r="BJ4" s="18">
        <v>0.6</v>
      </c>
      <c r="BK4" s="18">
        <v>0.3</v>
      </c>
      <c r="BL4" s="18">
        <v>18</v>
      </c>
      <c r="BM4" s="18">
        <v>11.6</v>
      </c>
      <c r="BN4" s="18">
        <v>1</v>
      </c>
      <c r="BO4" s="18">
        <v>0.3</v>
      </c>
      <c r="BP4" s="18">
        <v>18.8</v>
      </c>
      <c r="BQ4" s="18">
        <v>11.1</v>
      </c>
      <c r="BR4" s="18">
        <v>0</v>
      </c>
      <c r="BS4" s="18">
        <v>0.6</v>
      </c>
      <c r="BT4" s="28"/>
      <c r="BU4" s="11">
        <f t="shared" ref="BU4:BU39" si="20">IF(SUM(BA4,BE4)&gt;0,SUM(BA4,BE4),"")</f>
        <v>21.1</v>
      </c>
      <c r="BV4" s="11">
        <f t="shared" ref="BV4:BV39" si="21">IF(SUM(AZ4:BA4,BC4:BE4,BG4)-BB4-BF4&gt;0,SUM(AZ4:BA4,BC4:BE4,BG4)-BB4-BF4,"")</f>
        <v>60.5</v>
      </c>
      <c r="BW4" s="11">
        <f t="shared" ref="BW4:BW39" si="22">IF(SUM(BH4:BI4,BK4)-BJ4&gt;0,SUM(BH4:BI4,BK4)-BJ4,"")</f>
        <v>27.7</v>
      </c>
      <c r="BX4" s="11">
        <f t="shared" ref="BX4:BX39" si="23">IF(SUM(BA4,BE4,BI4)&gt;0,SUM(BA4,BE4,BI4),"")</f>
        <v>30.400000000000002</v>
      </c>
      <c r="BY4" s="11">
        <f t="shared" ref="BY4:BY39" si="24">IF(SUM(BV4,BW4)&gt;0,SUM(BV4,BW4),"")</f>
        <v>88.2</v>
      </c>
      <c r="BZ4" s="11">
        <f t="shared" ref="BZ4:BZ39" si="25">IF(SUM(BM4,BQ4)&gt;0,SUM(BM4,BQ4),"")</f>
        <v>22.7</v>
      </c>
      <c r="CA4" s="11">
        <f t="shared" ref="CA4:CA39" si="26">IF(SUM(BL4:BM4,BO4:BQ4,BS4)-SUM(BN4,BR4)&gt;0,SUM(BL4:BM4,BO4:BQ4,BS4)-SUM(BN4,BR4),"")</f>
        <v>59.400000000000006</v>
      </c>
      <c r="CB4" s="11">
        <f t="shared" ref="CB4:CB39" si="27">IF(SUM(BV4,BW4,CA4)&gt;0,SUM(BV4,BW4,CA4),"")</f>
        <v>147.60000000000002</v>
      </c>
      <c r="CC4" s="19">
        <v>19</v>
      </c>
      <c r="CD4" s="19">
        <v>10</v>
      </c>
      <c r="CE4" s="19">
        <v>0.6</v>
      </c>
      <c r="CF4" s="19">
        <v>0.6</v>
      </c>
      <c r="CG4" s="19">
        <v>18.8</v>
      </c>
      <c r="CH4" s="19">
        <v>8.1</v>
      </c>
      <c r="CI4" s="19">
        <v>0.2</v>
      </c>
      <c r="CJ4" s="19">
        <v>0</v>
      </c>
      <c r="CK4" s="19">
        <v>18.3</v>
      </c>
      <c r="CL4" s="19">
        <v>11.1</v>
      </c>
      <c r="CM4" s="19">
        <v>0.6</v>
      </c>
      <c r="CN4" s="19">
        <v>0.6</v>
      </c>
      <c r="CO4" s="19">
        <v>18.600000000000001</v>
      </c>
      <c r="CP4" s="19">
        <v>10</v>
      </c>
      <c r="CQ4" s="19">
        <v>0.6</v>
      </c>
      <c r="CR4" s="19">
        <v>0.6</v>
      </c>
      <c r="CS4" s="19">
        <v>18.7</v>
      </c>
      <c r="CT4" s="19">
        <v>10.8</v>
      </c>
      <c r="CU4" s="19">
        <v>0.6</v>
      </c>
      <c r="CV4" s="19">
        <v>0.6</v>
      </c>
      <c r="CW4" s="27"/>
      <c r="CX4" s="40">
        <f t="shared" ref="CX4:CX39" si="28">IF(SUM(CD4,CH4)&gt;0,SUM(CD4,CH4),"")</f>
        <v>18.100000000000001</v>
      </c>
      <c r="CY4" s="40">
        <f t="shared" ref="CY4:CY39" si="29">IF(SUM(CC4:CD4,CF4:CH4,CJ4)-CE4-CI4&gt;0,SUM(CC4:CD4,CF4:CH4,CJ4)-CE4-CI4,"")</f>
        <v>55.7</v>
      </c>
      <c r="CZ4" s="40">
        <f t="shared" ref="CZ4:CZ39" si="30">IF(SUM(CK4:CL4,CN4)-CM4&gt;0,SUM(CK4:CL4,CN4)-CM4,"")</f>
        <v>29.4</v>
      </c>
      <c r="DA4" s="40">
        <f t="shared" ref="DA4:DA39" si="31">IF(SUM(CD4,CH4,CL4)&gt;0,SUM(CD4,CH4,CL4),"")</f>
        <v>29.200000000000003</v>
      </c>
      <c r="DB4" s="40">
        <f t="shared" ref="DB4:DB39" si="32">IF(SUM(CY4,CZ4)&gt;0,SUM(CY4,CZ4),"")</f>
        <v>85.1</v>
      </c>
      <c r="DC4" s="40">
        <f t="shared" ref="DC4:DC39" si="33">IF(SUM(CP4,CT4)&gt;0,SUM(CP4,CT4),"")</f>
        <v>20.8</v>
      </c>
      <c r="DD4" s="40">
        <f t="shared" ref="DD4:DD39" si="34">IF(SUM(CO4:CP4,CR4:CT4,CV4)-SUM(CQ4,CU4)&gt;0,SUM(CO4:CP4,CR4:CT4,CV4)-SUM(CQ4,CU4),"")</f>
        <v>58.1</v>
      </c>
      <c r="DE4" s="40">
        <f t="shared" ref="DE4:DE39" si="35">IF(SUM(CY4,CZ4,DD4)&gt;0,SUM(CY4,CZ4,DD4),"")</f>
        <v>143.19999999999999</v>
      </c>
      <c r="DF4" s="50" t="str">
        <f t="shared" ref="DF4:DF39" si="36">IF(MAX(ED4,FF4,GH4,HJ4,IL4,JN4,KP4,LR4,MT4,NV4,OX4,PZ4)-IF(N4="",0,N4)&gt;0.001,MAX(ED4,FF4,GH4,HJ4,IL4,JN4,KP4,LR4,MT4,NV4,OX4,PZ4)-IF(N4="",0,N4),"")</f>
        <v/>
      </c>
      <c r="DG4" s="50" t="str">
        <f t="shared" ref="DG4:DG39" si="37">IF(MAX(EE4,FG4,GI4,HK4,IM4,JO4,KQ4,LS4,MU4,NW4,OY4,QA4)-IF(P4="",0,P4)&gt;0.001,MAX(EE4,FG4,GI4,HK4,IM4,JO4,KQ4,LS4,MU4,NW4,OY4,QA4)-IF(P4="",0,P4),"")</f>
        <v/>
      </c>
      <c r="DH4" s="50" t="str">
        <f t="shared" ref="DH4:DH39" si="38">IF(MAX(EI4,FK4,GM4,HO4,IQ4,JS4,KU4,LW4,MY4,OA4,PC4,QE4)-IF(R4="",0,R4)&gt;0.001,MAX(EI4,FK4,GM4,HO4,IQ4,JS4,KU4,LW4,MY4,OA4,PC4,QE4)-IF(R4="",0,R4),"")</f>
        <v/>
      </c>
      <c r="DI4" s="17">
        <v>19</v>
      </c>
      <c r="DJ4" s="17">
        <v>9.1999999999999993</v>
      </c>
      <c r="DK4" s="17">
        <v>0</v>
      </c>
      <c r="DL4" s="17">
        <v>0</v>
      </c>
      <c r="DM4" s="17">
        <v>18.8</v>
      </c>
      <c r="DN4" s="17">
        <v>8.4</v>
      </c>
      <c r="DO4" s="17">
        <v>0.6</v>
      </c>
      <c r="DP4" s="17">
        <v>0</v>
      </c>
      <c r="DQ4" s="17">
        <v>18</v>
      </c>
      <c r="DR4" s="17">
        <v>10.8</v>
      </c>
      <c r="DS4" s="17">
        <v>0.6</v>
      </c>
      <c r="DT4" s="17">
        <v>0</v>
      </c>
      <c r="DU4" s="17">
        <v>18.8</v>
      </c>
      <c r="DV4" s="17">
        <v>10</v>
      </c>
      <c r="DW4" s="17">
        <v>0.6</v>
      </c>
      <c r="DX4" s="17">
        <v>0</v>
      </c>
      <c r="DY4" s="17">
        <v>18.399999999999999</v>
      </c>
      <c r="DZ4" s="17">
        <v>10.8</v>
      </c>
      <c r="EA4" s="17">
        <v>0</v>
      </c>
      <c r="EB4" s="17">
        <v>0</v>
      </c>
      <c r="EC4" s="40">
        <f t="shared" ref="EC4:EC39" si="39">IF(SUM(DJ4,DN4)&gt;0,SUM(DJ4,DN4),"")</f>
        <v>17.600000000000001</v>
      </c>
      <c r="ED4" s="40">
        <f t="shared" ref="ED4:ED39" si="40">IF(SUM(DI4:DJ4,DL4:DN4,DP4)-DK4-DO4&gt;0,SUM(DI4:DJ4,DL4:DN4,DP4)-DK4-DO4,"")</f>
        <v>54.8</v>
      </c>
      <c r="EE4" s="40">
        <f t="shared" ref="EE4:EE39" si="41">IF(SUM(DQ4:DR4,DT4)-DS4&gt;0,SUM(DQ4:DR4,DT4)-DS4,"")</f>
        <v>28.2</v>
      </c>
      <c r="EF4" s="40">
        <f t="shared" ref="EF4:EF39" si="42">IF(SUM(DJ4,DN4,DR4)&gt;0,SUM(DJ4,DN4,DR4),"")</f>
        <v>28.400000000000002</v>
      </c>
      <c r="EG4" s="40">
        <f t="shared" ref="EG4:EG39" si="43">IF(SUM(ED4,EE4)&gt;0,SUM(ED4,EE4),"")</f>
        <v>83</v>
      </c>
      <c r="EH4" s="40">
        <f t="shared" ref="EH4:EH39" si="44">IF(SUM(DV4,DZ4)&gt;0,SUM(DV4,DZ4),"")</f>
        <v>20.8</v>
      </c>
      <c r="EI4" s="40">
        <f t="shared" ref="EI4:EI39" si="45">IF(SUM(DU4:DV4,DX4:DZ4,EB4)-SUM(DW4,EA4)&gt;0,SUM(DU4:DV4,DX4:DZ4,EB4)-SUM(DW4,EA4),"")</f>
        <v>57.4</v>
      </c>
      <c r="EJ4" s="40">
        <f t="shared" ref="EJ4:EJ39" si="46">IF(SUM(ED4,EE4,EI4)&gt;0,SUM(ED4,EE4,EI4),"")</f>
        <v>140.4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18.5</v>
      </c>
      <c r="FB4" s="18">
        <v>10</v>
      </c>
      <c r="FC4" s="18">
        <v>0</v>
      </c>
      <c r="FD4" s="18">
        <v>0</v>
      </c>
      <c r="FE4" s="11" t="str">
        <f t="shared" ref="FE4:FE39" si="47">IF(SUM(EL4,EP4)&gt;0,SUM(EL4,EP4),"")</f>
        <v/>
      </c>
      <c r="FF4" s="11" t="str">
        <f t="shared" ref="FF4:FF39" si="48">IF(SUM(EK4:EL4,EN4:EP4,ER4)-EM4-EQ4&gt;0,SUM(EK4:EL4,EN4:EP4,ER4)-EM4-EQ4,"")</f>
        <v/>
      </c>
      <c r="FG4" s="11" t="str">
        <f t="shared" ref="FG4:FG39" si="49">IF(SUM(ES4:ET4,EV4)-EU4&gt;0,SUM(ES4:ET4,EV4)-EU4,"")</f>
        <v/>
      </c>
      <c r="FH4" s="11" t="str">
        <f t="shared" ref="FH4:FH39" si="50">IF(SUM(EL4,EP4,ET4)&gt;0,SUM(EL4,EP4,ET4),"")</f>
        <v/>
      </c>
      <c r="FI4" s="11" t="str">
        <f t="shared" ref="FI4:FI39" si="51">IF(SUM(FF4,FG4)&gt;0,SUM(FF4,FG4),"")</f>
        <v/>
      </c>
      <c r="FJ4" s="11">
        <f t="shared" ref="FJ4:FJ39" si="52">IF(SUM(EX4,FB4)&gt;0,SUM(EX4,FB4),"")</f>
        <v>10</v>
      </c>
      <c r="FK4" s="11">
        <f t="shared" ref="FK4:FK39" si="53">IF(SUM(EW4:EX4,EZ4:FB4,FD4)-SUM(EY4,FC4)&gt;0,SUM(EW4:EX4,EZ4:FB4,FD4)-SUM(EY4,FC4),"")</f>
        <v>28.5</v>
      </c>
      <c r="FL4" s="11">
        <f t="shared" ref="FL4:FL39" si="54">IF(SUM(FF4,FG4,FK4)&gt;0,SUM(FF4,FG4,FK4),"")</f>
        <v>28.5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>
        <v>18</v>
      </c>
      <c r="GD4" s="17">
        <v>10.8</v>
      </c>
      <c r="GE4" s="17">
        <v>0.6</v>
      </c>
      <c r="GF4" s="17">
        <v>0</v>
      </c>
      <c r="GG4" s="40" t="str">
        <f t="shared" ref="GG4:GG39" si="55">IF(SUM(FN4,FR4)&gt;0,SUM(FN4,FR4),"")</f>
        <v/>
      </c>
      <c r="GH4" s="40" t="str">
        <f t="shared" ref="GH4:GH39" si="56">IF(SUM(FM4:FN4,FP4:FR4,FT4)-FO4-FS4&gt;0,SUM(FM4:FN4,FP4:FR4,FT4)-FO4-FS4,"")</f>
        <v/>
      </c>
      <c r="GI4" s="40" t="str">
        <f t="shared" ref="GI4:GI39" si="57">IF(SUM(FU4:FV4,FX4)-FW4&gt;0,SUM(FU4:FV4,FX4)-FW4,"")</f>
        <v/>
      </c>
      <c r="GJ4" s="40" t="str">
        <f t="shared" ref="GJ4:GJ39" si="58">IF(SUM(FN4,FR4,FV4)&gt;0,SUM(FN4,FR4,FV4),"")</f>
        <v/>
      </c>
      <c r="GK4" s="40" t="str">
        <f t="shared" ref="GK4:GK39" si="59">IF(SUM(GH4,GI4)&gt;0,SUM(GH4,GI4),"")</f>
        <v/>
      </c>
      <c r="GL4" s="40">
        <f t="shared" ref="GL4:GL39" si="60">IF(SUM(FZ4,GD4)&gt;0,SUM(FZ4,GD4),"")</f>
        <v>10.8</v>
      </c>
      <c r="GM4" s="40">
        <f t="shared" ref="GM4:GM39" si="61">IF(SUM(FY4:FZ4,GB4:GD4,GF4)-SUM(GA4,GE4)&gt;0,SUM(FY4:FZ4,GB4:GD4,GF4)-SUM(GA4,GE4),"")</f>
        <v>28.2</v>
      </c>
      <c r="GN4" s="40">
        <f t="shared" ref="GN4:GN39" si="62">IF(SUM(GH4,GI4,GM4)&gt;0,SUM(GH4,GI4,GM4),"")</f>
        <v>28.2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 t="shared" ref="HI4:HI39" si="63">IF(SUM(GP4,GT4)&gt;0,SUM(GP4,GT4),"")</f>
        <v/>
      </c>
      <c r="HJ4" s="11" t="str">
        <f t="shared" ref="HJ4:HJ39" si="64">IF(SUM(GO4:GP4,GR4:GT4,GV4)-GQ4-GU4&gt;0,SUM(GO4:GP4,GR4:GT4,GV4)-GQ4-GU4,"")</f>
        <v/>
      </c>
      <c r="HK4" s="11" t="str">
        <f t="shared" ref="HK4:HK39" si="65">IF(SUM(GW4:GX4,GZ4)-GY4&gt;0,SUM(GW4:GX4,GZ4)-GY4,"")</f>
        <v/>
      </c>
      <c r="HL4" s="11" t="str">
        <f t="shared" ref="HL4:HL39" si="66">IF(SUM(GP4,GT4,GX4)&gt;0,SUM(GP4,GT4,GX4),"")</f>
        <v/>
      </c>
      <c r="HM4" s="11" t="str">
        <f t="shared" ref="HM4:HM39" si="67">IF(SUM(HJ4,HK4)&gt;0,SUM(HJ4,HK4),"")</f>
        <v/>
      </c>
      <c r="HN4" s="11" t="str">
        <f t="shared" ref="HN4:HN39" si="68">IF(SUM(HB4,HF4)&gt;0,SUM(HB4,HF4),"")</f>
        <v/>
      </c>
      <c r="HO4" s="11" t="str">
        <f t="shared" ref="HO4:HO39" si="69">IF(SUM(HA4:HB4,HD4:HF4,HH4)-SUM(HC4,HG4)&gt;0,SUM(HA4:HB4,HD4:HF4,HH4)-SUM(HC4,HG4),"")</f>
        <v/>
      </c>
      <c r="HP4" s="11" t="str">
        <f t="shared" ref="HP4:HP39" si="70"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 t="shared" ref="IK4:IK39" si="71">IF(SUM(HR4,HV4)&gt;0,SUM(HR4,HV4),"")</f>
        <v/>
      </c>
      <c r="IL4" s="40" t="str">
        <f t="shared" ref="IL4:IL39" si="72">IF(SUM(HQ4:HR4,HT4:HV4,HX4)-HS4-HW4&gt;0,SUM(HQ4:HR4,HT4:HV4,HX4)-HS4-HW4,"")</f>
        <v/>
      </c>
      <c r="IM4" s="40" t="str">
        <f t="shared" ref="IM4:IM39" si="73">IF(SUM(HY4:HZ4,IB4)-IA4&gt;0,SUM(HY4:HZ4,IB4)-IA4,"")</f>
        <v/>
      </c>
      <c r="IN4" s="40" t="str">
        <f t="shared" ref="IN4:IN39" si="74">IF(SUM(HR4,HV4,HZ4)&gt;0,SUM(HR4,HV4,HZ4),"")</f>
        <v/>
      </c>
      <c r="IO4" s="40" t="str">
        <f t="shared" ref="IO4:IO39" si="75">IF(SUM(IL4,IM4)&gt;0,SUM(IL4,IM4),"")</f>
        <v/>
      </c>
      <c r="IP4" s="40" t="str">
        <f t="shared" ref="IP4:IP39" si="76">IF(SUM(ID4,IH4)&gt;0,SUM(ID4,IH4),"")</f>
        <v/>
      </c>
      <c r="IQ4" s="40" t="str">
        <f t="shared" ref="IQ4:IQ39" si="77">IF(SUM(IC4:ID4,IF4:IH4,IJ4)-SUM(IE4,II4)&gt;0,SUM(IC4:ID4,IF4:IH4,IJ4)-SUM(IE4,II4),"")</f>
        <v/>
      </c>
      <c r="IR4" s="40" t="str">
        <f t="shared" ref="IR4:IR39" si="78"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39" si="79">IF(SUM(IT4,IX4)&gt;0,SUM(IT4,IX4),"")</f>
        <v/>
      </c>
      <c r="JN4" s="11" t="str">
        <f t="shared" ref="JN4:JN39" si="80">IF(SUM(IS4:IT4,IV4:IX4,IZ4)-IU4-IY4&gt;0,SUM(IS4:IT4,IV4:IX4,IZ4)-IU4-IY4,"")</f>
        <v/>
      </c>
      <c r="JO4" s="11" t="str">
        <f t="shared" ref="JO4:JO39" si="81">IF(SUM(JA4:JB4,JD4)-JC4&gt;0,SUM(JA4:JB4,JD4)-JC4,"")</f>
        <v/>
      </c>
      <c r="JP4" s="11" t="str">
        <f t="shared" ref="JP4:JP39" si="82">IF(SUM(IT4,IX4,JB4)&gt;0,SUM(IT4,IX4,JB4),"")</f>
        <v/>
      </c>
      <c r="JQ4" s="11" t="str">
        <f t="shared" ref="JQ4:JQ39" si="83">IF(SUM(JN4,JO4)&gt;0,SUM(JN4,JO4),"")</f>
        <v/>
      </c>
      <c r="JR4" s="11" t="str">
        <f t="shared" ref="JR4:JR39" si="84">IF(SUM(JF4,JJ4)&gt;0,SUM(JF4,JJ4),"")</f>
        <v/>
      </c>
      <c r="JS4" s="11" t="str">
        <f t="shared" ref="JS4:JS39" si="85">IF(SUM(JE4:JF4,JH4:JJ4,JL4)-SUM(JG4,JK4)&gt;0,SUM(JE4:JF4,JH4:JJ4,JL4)-SUM(JG4,JK4),"")</f>
        <v/>
      </c>
      <c r="JT4" s="11" t="str">
        <f t="shared" ref="JT4:JT39" si="86">IF(SUM(JN4,JO4,JS4)&gt;0,SUM(JN4,JO4,JS4),"")</f>
        <v/>
      </c>
      <c r="JU4" s="17">
        <v>18.8</v>
      </c>
      <c r="JV4" s="17">
        <v>10</v>
      </c>
      <c r="JW4" s="17">
        <v>0.6</v>
      </c>
      <c r="JX4" s="17">
        <v>0</v>
      </c>
      <c r="JY4" s="17">
        <v>18.5</v>
      </c>
      <c r="JZ4" s="17">
        <v>10.8</v>
      </c>
      <c r="KA4" s="17">
        <v>0</v>
      </c>
      <c r="KB4" s="17">
        <v>0</v>
      </c>
      <c r="KC4" s="17"/>
      <c r="KD4" s="17"/>
      <c r="KE4" s="17"/>
      <c r="KF4" s="17"/>
      <c r="KG4" s="17">
        <v>18.8</v>
      </c>
      <c r="KH4" s="17">
        <v>10</v>
      </c>
      <c r="KI4" s="17">
        <v>0</v>
      </c>
      <c r="KJ4" s="17">
        <v>0</v>
      </c>
      <c r="KK4" s="17">
        <v>18.5</v>
      </c>
      <c r="KL4" s="17">
        <v>11.1</v>
      </c>
      <c r="KM4" s="17">
        <v>0.6</v>
      </c>
      <c r="KN4" s="17">
        <v>0</v>
      </c>
      <c r="KO4" s="40">
        <f t="shared" ref="KO4:KO39" si="87">IF(SUM(JV4,JZ4)&gt;0,SUM(JV4,JZ4),"")</f>
        <v>20.8</v>
      </c>
      <c r="KP4" s="40">
        <f t="shared" ref="KP4:KP39" si="88">IF(SUM(JU4:JV4,JX4:JZ4,KB4)-JW4-KA4&gt;0,SUM(JU4:JV4,JX4:JZ4,KB4)-JW4-KA4,"")</f>
        <v>57.499999999999993</v>
      </c>
      <c r="KQ4" s="40" t="str">
        <f t="shared" ref="KQ4:KQ39" si="89">IF(SUM(KC4:KD4,KF4)-KE4&gt;0,SUM(KC4:KD4,KF4)-KE4,"")</f>
        <v/>
      </c>
      <c r="KR4" s="40">
        <f t="shared" ref="KR4:KR39" si="90">IF(SUM(JV4,JZ4,KD4)&gt;0,SUM(JV4,JZ4,KD4),"")</f>
        <v>20.8</v>
      </c>
      <c r="KS4" s="40">
        <f t="shared" ref="KS4:KS39" si="91">IF(SUM(KP4,KQ4)&gt;0,SUM(KP4,KQ4),"")</f>
        <v>57.499999999999993</v>
      </c>
      <c r="KT4" s="40">
        <f t="shared" ref="KT4:KT39" si="92">IF(SUM(KH4,KL4)&gt;0,SUM(KH4,KL4),"")</f>
        <v>21.1</v>
      </c>
      <c r="KU4" s="40">
        <f t="shared" ref="KU4:KU39" si="93">IF(SUM(KG4:KH4,KJ4:KL4,KN4)-SUM(KI4,KM4)&gt;0,SUM(KG4:KH4,KJ4:KL4,KN4)-SUM(KI4,KM4),"")</f>
        <v>57.8</v>
      </c>
      <c r="KV4" s="40">
        <f t="shared" ref="KV4:KV39" si="94">IF(SUM(KP4,KQ4,KU4)&gt;0,SUM(KP4,KQ4,KU4),"")</f>
        <v>115.29999999999998</v>
      </c>
      <c r="KW4" s="18">
        <v>18.8</v>
      </c>
      <c r="KX4" s="18">
        <v>10</v>
      </c>
      <c r="KY4" s="18">
        <v>0.6</v>
      </c>
      <c r="KZ4" s="18">
        <v>0</v>
      </c>
      <c r="LA4" s="18">
        <v>18.600000000000001</v>
      </c>
      <c r="LB4" s="18">
        <v>10.8</v>
      </c>
      <c r="LC4" s="18">
        <v>0.6</v>
      </c>
      <c r="LD4" s="18">
        <v>0</v>
      </c>
      <c r="LE4" s="18"/>
      <c r="LF4" s="18"/>
      <c r="LG4" s="18"/>
      <c r="LH4" s="18"/>
      <c r="LI4" s="18">
        <v>18.600000000000001</v>
      </c>
      <c r="LJ4" s="18">
        <v>10</v>
      </c>
      <c r="LK4" s="18">
        <v>0</v>
      </c>
      <c r="LL4" s="18">
        <v>0</v>
      </c>
      <c r="LM4" s="18">
        <v>18.3</v>
      </c>
      <c r="LN4" s="18">
        <v>11.1</v>
      </c>
      <c r="LO4" s="18">
        <v>0.8</v>
      </c>
      <c r="LP4" s="18">
        <v>0</v>
      </c>
      <c r="LQ4" s="11">
        <f t="shared" ref="LQ4:LQ39" si="95">IF(SUM(KX4,LB4)&gt;0,SUM(KX4,LB4),"")</f>
        <v>20.8</v>
      </c>
      <c r="LR4" s="11">
        <f t="shared" ref="LR4:LR39" si="96">IF(SUM(KW4:KX4,KZ4:LB4,LD4)-KY4-LC4&gt;0,SUM(KW4:KX4,KZ4:LB4,LD4)-KY4-LC4,"")</f>
        <v>57</v>
      </c>
      <c r="LS4" s="11" t="str">
        <f t="shared" ref="LS4:LS39" si="97">IF(SUM(LE4:LF4,LH4)-LG4&gt;0,SUM(LE4:LF4,LH4)-LG4,"")</f>
        <v/>
      </c>
      <c r="LT4" s="11">
        <f t="shared" ref="LT4:LT39" si="98">IF(SUM(KX4,LB4,LF4)&gt;0,SUM(KX4,LB4,LF4),"")</f>
        <v>20.8</v>
      </c>
      <c r="LU4" s="11">
        <f t="shared" ref="LU4:LU39" si="99">IF(SUM(LR4,LS4)&gt;0,SUM(LR4,LS4),"")</f>
        <v>57</v>
      </c>
      <c r="LV4" s="11">
        <f t="shared" ref="LV4:LV39" si="100">IF(SUM(LJ4,LN4)&gt;0,SUM(LJ4,LN4),"")</f>
        <v>21.1</v>
      </c>
      <c r="LW4" s="11">
        <f t="shared" ref="LW4:LW39" si="101">IF(SUM(LI4:LJ4,LL4:LN4,LP4)-SUM(LK4,LO4)&gt;0,SUM(LI4:LJ4,LL4:LN4,LP4)-SUM(LK4,LO4),"")</f>
        <v>57.20000000000001</v>
      </c>
      <c r="LX4" s="11">
        <f t="shared" ref="LX4:LX39" si="102">IF(SUM(LR4,LS4,LW4)&gt;0,SUM(LR4,LS4,LW4),"")</f>
        <v>114.20000000000002</v>
      </c>
      <c r="LY4" s="17">
        <v>18.600000000000001</v>
      </c>
      <c r="LZ4" s="17">
        <v>10</v>
      </c>
      <c r="MA4" s="17">
        <v>0.6</v>
      </c>
      <c r="MB4" s="17">
        <v>0</v>
      </c>
      <c r="MC4" s="17">
        <v>17.2</v>
      </c>
      <c r="MD4" s="17">
        <v>5.0999999999999996</v>
      </c>
      <c r="ME4" s="17">
        <v>0</v>
      </c>
      <c r="MF4" s="17">
        <v>0</v>
      </c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>
        <f t="shared" ref="MS4:MS39" si="103">IF(SUM(LZ4,MD4)&gt;0,SUM(LZ4,MD4),"")</f>
        <v>15.1</v>
      </c>
      <c r="MT4" s="40">
        <f t="shared" ref="MT4:MT39" si="104">IF(SUM(LY4:LZ4,MB4:MD4,MF4)-MA4-ME4&gt;0,SUM(LY4:LZ4,MB4:MD4,MF4)-MA4-ME4,"")</f>
        <v>50.3</v>
      </c>
      <c r="MU4" s="40" t="str">
        <f t="shared" ref="MU4:MU39" si="105">IF(SUM(MG4:MH4,MJ4)-MI4&gt;0,SUM(MG4:MH4,MJ4)-MI4,"")</f>
        <v/>
      </c>
      <c r="MV4" s="40">
        <f t="shared" ref="MV4:MV39" si="106">IF(SUM(LZ4,MD4,MH4)&gt;0,SUM(LZ4,MD4,MH4),"")</f>
        <v>15.1</v>
      </c>
      <c r="MW4" s="40">
        <f t="shared" ref="MW4:MW39" si="107">IF(SUM(MT4,MU4)&gt;0,SUM(MT4,MU4),"")</f>
        <v>50.3</v>
      </c>
      <c r="MX4" s="40" t="str">
        <f t="shared" ref="MX4:MX39" si="108">IF(SUM(ML4,MP4)&gt;0,SUM(ML4,MP4),"")</f>
        <v/>
      </c>
      <c r="MY4" s="40" t="str">
        <f t="shared" ref="MY4:MY39" si="109">IF(SUM(MK4:ML4,MN4:MP4,MR4)-SUM(MM4,MQ4)&gt;0,SUM(MK4:ML4,MN4:MP4,MR4)-SUM(MM4,MQ4),"")</f>
        <v/>
      </c>
      <c r="MZ4" s="40">
        <f t="shared" ref="MZ4:MZ39" si="110">IF(SUM(MT4,MU4,MY4)&gt;0,SUM(MT4,MU4,MY4),"")</f>
        <v>50.3</v>
      </c>
      <c r="NA4" s="18">
        <v>18.3</v>
      </c>
      <c r="NB4" s="18">
        <v>9.3000000000000007</v>
      </c>
      <c r="NC4" s="18">
        <v>0</v>
      </c>
      <c r="ND4" s="18">
        <v>0</v>
      </c>
      <c r="NE4" s="18">
        <v>18.8</v>
      </c>
      <c r="NF4" s="18">
        <v>10</v>
      </c>
      <c r="NG4" s="18">
        <v>0.8</v>
      </c>
      <c r="NH4" s="18">
        <v>0</v>
      </c>
      <c r="NI4" s="18">
        <v>18.5</v>
      </c>
      <c r="NJ4" s="18">
        <v>9.5</v>
      </c>
      <c r="NK4" s="18">
        <v>1</v>
      </c>
      <c r="NL4" s="18">
        <v>0</v>
      </c>
      <c r="NM4" s="18">
        <v>18.399999999999999</v>
      </c>
      <c r="NN4" s="18">
        <v>11.1</v>
      </c>
      <c r="NO4" s="18">
        <v>0.6</v>
      </c>
      <c r="NP4" s="18">
        <v>0</v>
      </c>
      <c r="NQ4" s="18">
        <v>18.3</v>
      </c>
      <c r="NR4" s="18">
        <v>4.5</v>
      </c>
      <c r="NS4" s="18">
        <v>0</v>
      </c>
      <c r="NT4" s="18">
        <v>0</v>
      </c>
      <c r="NU4" s="11">
        <f t="shared" ref="NU4:NU39" si="111">IF(SUM(NB4,NF4)&gt;0,SUM(NB4,NF4),"")</f>
        <v>19.3</v>
      </c>
      <c r="NV4" s="11">
        <f t="shared" ref="NV4:NV39" si="112">IF(SUM(NA4:NB4,ND4:NF4,NH4)-NC4-NG4&gt;0,SUM(NA4:NB4,ND4:NF4,NH4)-NC4-NG4,"")</f>
        <v>55.600000000000009</v>
      </c>
      <c r="NW4" s="11">
        <f t="shared" ref="NW4:NW39" si="113">IF(SUM(NI4:NJ4,NL4)-NK4&gt;0,SUM(NI4:NJ4,NL4)-NK4,"")</f>
        <v>27</v>
      </c>
      <c r="NX4" s="11">
        <f t="shared" ref="NX4:NX39" si="114">IF(SUM(NB4,NF4,NJ4)&gt;0,SUM(NB4,NF4,NJ4),"")</f>
        <v>28.8</v>
      </c>
      <c r="NY4" s="11">
        <f t="shared" ref="NY4:NY39" si="115">IF(SUM(NV4,NW4)&gt;0,SUM(NV4,NW4),"")</f>
        <v>82.600000000000009</v>
      </c>
      <c r="NZ4" s="11">
        <f t="shared" ref="NZ4:NZ39" si="116">IF(SUM(NN4,NR4)&gt;0,SUM(NN4,NR4),"")</f>
        <v>15.6</v>
      </c>
      <c r="OA4" s="11">
        <f t="shared" ref="OA4:OA39" si="117">IF(SUM(NM4:NN4,NP4:NR4,NT4)-SUM(NO4,NS4)&gt;0,SUM(NM4:NN4,NP4:NR4,NT4)-SUM(NO4,NS4),"")</f>
        <v>51.699999999999996</v>
      </c>
      <c r="OB4" s="11">
        <f t="shared" ref="OB4:OB39" si="118">IF(SUM(NV4,NW4,OA4)&gt;0,SUM(NV4,NW4,OA4),"")</f>
        <v>134.30000000000001</v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39" si="119">IF(SUM(OD4,OH4)&gt;0,SUM(OD4,OH4),"")</f>
        <v/>
      </c>
      <c r="OX4" s="40" t="str">
        <f t="shared" ref="OX4:OX39" si="120">IF(SUM(OC4:OD4,OF4:OH4,OJ4)-OE4-OI4&gt;0,SUM(OC4:OD4,OF4:OH4,OJ4)-OE4-OI4,"")</f>
        <v/>
      </c>
      <c r="OY4" s="40" t="str">
        <f t="shared" ref="OY4:OY39" si="121">IF(SUM(OK4:OL4,ON4)-OM4&gt;0,SUM(OK4:OL4,ON4)-OM4,"")</f>
        <v/>
      </c>
      <c r="OZ4" s="40" t="str">
        <f t="shared" ref="OZ4:OZ39" si="122">IF(SUM(OD4,OH4,OL4)&gt;0,SUM(OD4,OH4,OL4),"")</f>
        <v/>
      </c>
      <c r="PA4" s="40" t="str">
        <f t="shared" ref="PA4:PA39" si="123">IF(SUM(OX4,OY4)&gt;0,SUM(OX4,OY4),"")</f>
        <v/>
      </c>
      <c r="PB4" s="40" t="str">
        <f t="shared" ref="PB4:PB39" si="124">IF(SUM(OP4,OT4)&gt;0,SUM(OP4,OT4),"")</f>
        <v/>
      </c>
      <c r="PC4" s="40" t="str">
        <f t="shared" ref="PC4:PC39" si="125">IF(SUM(OO4:OP4,OR4:OT4,OV4)-SUM(OQ4,OU4)&gt;0,SUM(OO4:OP4,OR4:OT4,OV4)-SUM(OQ4,OU4),"")</f>
        <v/>
      </c>
      <c r="PD4" s="40" t="str">
        <f t="shared" ref="PD4:PD39" si="126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39" si="127">IF(SUM(PF4,PJ4)&gt;0,SUM(PF4,PJ4),"")</f>
        <v/>
      </c>
      <c r="PZ4" s="11" t="str">
        <f t="shared" ref="PZ4:PZ39" si="128">IF(SUM(PE4:PF4,PH4:PJ4,PL4)-PG4-PK4&gt;0,SUM(PE4:PF4,PH4:PJ4,PL4)-PG4-PK4,"")</f>
        <v/>
      </c>
      <c r="QA4" s="11" t="str">
        <f t="shared" ref="QA4:QA39" si="129">IF(SUM(PM4:PN4,PP4)-PO4&gt;0,SUM(PM4:PN4,PP4)-PO4,"")</f>
        <v/>
      </c>
      <c r="QB4" s="11" t="str">
        <f t="shared" ref="QB4:QB39" si="130">IF(SUM(PF4,PJ4,PN4)&gt;0,SUM(PF4,PJ4,PN4),"")</f>
        <v/>
      </c>
      <c r="QC4" s="11" t="str">
        <f t="shared" ref="QC4:QC39" si="131">IF(SUM(PZ4,QA4)&gt;0,SUM(PZ4,QA4),"")</f>
        <v/>
      </c>
      <c r="QD4" s="11" t="str">
        <f t="shared" ref="QD4:QD39" si="132">IF(SUM(PR4,PV4)&gt;0,SUM(PR4,PV4),"")</f>
        <v/>
      </c>
      <c r="QE4" s="11" t="str">
        <f t="shared" ref="QE4:QE39" si="133">IF(SUM(PQ4:PR4,PT4:PV4,PX4)-SUM(PS4,PW4)&gt;0,SUM(PQ4:PR4,PT4:PV4,PX4)-SUM(PS4,PW4),"")</f>
        <v/>
      </c>
      <c r="QF4" s="11" t="str">
        <f t="shared" ref="QF4:QF39" si="134">IF(SUM(PZ4,QA4,QE4)&gt;0,SUM(PZ4,QA4,QE4),"")</f>
        <v/>
      </c>
      <c r="QG4" s="22">
        <f t="shared" ref="QG4:QG39" si="135">IF($CW4="P",CC4,(CC4+AZ4)/2)</f>
        <v>19.2</v>
      </c>
      <c r="QH4" s="22">
        <f t="shared" ref="QH4:QH39" si="136">IF($CW4="P",CD4,(CD4+BA4)/2)</f>
        <v>10</v>
      </c>
      <c r="QI4" s="22">
        <f t="shared" ref="QI4:QI39" si="137">IF($CW4="P",CE4,(CE4+BB4)/2)</f>
        <v>0.3</v>
      </c>
      <c r="QJ4" s="22">
        <f t="shared" ref="QJ4:QJ39" si="138">IF($CW4="P",CF4,(CF4+BC4)/2)</f>
        <v>0.6</v>
      </c>
      <c r="QK4" s="22">
        <f t="shared" ref="QK4:QK39" si="139">IF($CW4="P",CG4,(CG4+BD4)/2)</f>
        <v>18.8</v>
      </c>
      <c r="QL4" s="22">
        <f t="shared" ref="QL4:QL39" si="140">IF($CW4="P",CH4,(CH4+BE4)/2)</f>
        <v>9.6</v>
      </c>
      <c r="QM4" s="22">
        <f t="shared" ref="QM4:QM39" si="141">IF($CW4="P",CI4,(CI4+BF4)/2)</f>
        <v>0.1</v>
      </c>
      <c r="QN4" s="22">
        <f t="shared" ref="QN4:QN39" si="142">IF($CW4="P",CJ4,(CJ4+BG4)/2)</f>
        <v>0.3</v>
      </c>
      <c r="QO4" s="22">
        <f t="shared" ref="QO4:QO39" si="143">IF($CW4="P",CK4,(CK4+BH4)/2)</f>
        <v>18.5</v>
      </c>
      <c r="QP4" s="22">
        <f t="shared" ref="QP4:QP39" si="144">IF($CW4="P",CL4,(CL4+BI4)/2)</f>
        <v>10.199999999999999</v>
      </c>
      <c r="QQ4" s="22">
        <f t="shared" ref="QQ4:QQ39" si="145">IF($CW4="P",CM4,(CM4+BJ4)/2)</f>
        <v>0.6</v>
      </c>
      <c r="QR4" s="22">
        <f t="shared" ref="QR4:QR39" si="146">IF($CW4="P",CN4,(CN4+BK4)/2)</f>
        <v>0.44999999999999996</v>
      </c>
      <c r="QS4" s="22">
        <f t="shared" ref="QS4:QS39" si="147">IF($CW4="P",CO4,(CO4+BL4)/2)</f>
        <v>18.3</v>
      </c>
      <c r="QT4" s="22">
        <f t="shared" ref="QT4:QT39" si="148">IF($CW4="P",CP4,(CP4+BM4)/2)</f>
        <v>10.8</v>
      </c>
      <c r="QU4" s="22">
        <f t="shared" ref="QU4:QU39" si="149">IF($CW4="P",CQ4,(CQ4+BN4)/2)</f>
        <v>0.8</v>
      </c>
      <c r="QV4" s="22">
        <f t="shared" ref="QV4:QV39" si="150">IF($CW4="P",CR4,(CR4+BO4)/2)</f>
        <v>0.44999999999999996</v>
      </c>
      <c r="QW4" s="22">
        <f t="shared" ref="QW4:QW39" si="151">IF($CW4="P",CS4,(CS4+BP4)/2)</f>
        <v>18.75</v>
      </c>
      <c r="QX4" s="22">
        <f t="shared" ref="QX4:QX39" si="152">IF($CW4="P",CT4,(CT4+BQ4)/2)</f>
        <v>10.95</v>
      </c>
      <c r="QY4" s="22">
        <f t="shared" ref="QY4:QY39" si="153">IF($CW4="P",CU4,(CU4+BR4)/2)</f>
        <v>0.3</v>
      </c>
      <c r="QZ4" s="22">
        <f t="shared" ref="QZ4:QZ39" si="154">IF($CW4="P",CV4,(CV4+BS4)/2)</f>
        <v>0.6</v>
      </c>
      <c r="RA4" s="27" t="s">
        <v>46</v>
      </c>
      <c r="RB4" s="40">
        <f t="shared" ref="RB4:RB39" si="155">IF(SUM(QH4,QL4)&gt;0,SUM(QH4,QL4),"")</f>
        <v>19.600000000000001</v>
      </c>
      <c r="RC4" s="40">
        <f t="shared" ref="RC4:RC39" si="156">IF(SUM(QG4:QH4,QJ4:QL4,QN4)-QI4-QM4&gt;0,SUM(QG4:QH4,QJ4:QL4,QN4)-QI4-QM4,"")</f>
        <v>58.1</v>
      </c>
      <c r="RD4" s="40">
        <f t="shared" ref="RD4:RD39" si="157">IF(SUM(QO4:QP4,QR4)-QQ4&gt;0,SUM(QO4:QP4,QR4)-QQ4,"")</f>
        <v>28.549999999999997</v>
      </c>
      <c r="RE4" s="40">
        <f t="shared" ref="RE4:RE39" si="158">IF(SUM(QH4,QL4,QP4)&gt;0,SUM(QH4,QL4,QP4),"")</f>
        <v>29.8</v>
      </c>
      <c r="RF4" s="40">
        <f t="shared" ref="RF4:RF39" si="159">IF(SUM(RC4,RD4)&gt;0,SUM(RC4,RD4),"")</f>
        <v>86.65</v>
      </c>
      <c r="RG4" s="40">
        <f t="shared" ref="RG4:RG39" si="160">IF(SUM(QT4,QX4)&gt;0,SUM(QT4,QX4),"")</f>
        <v>21.75</v>
      </c>
      <c r="RH4" s="40">
        <f t="shared" ref="RH4:RH39" si="161">IF(SUM(QS4:QT4,QV4:QX4,QZ4)-SUM(QU4,QY4)&gt;0,SUM(QS4:QT4,QV4:QX4,QZ4)-SUM(QU4,QY4),"")</f>
        <v>58.75</v>
      </c>
      <c r="RI4" s="40">
        <f t="shared" ref="RI4:RI39" si="162">IF(SUM(RC4,RD4,RH4)&gt;0,SUM(RC4,RD4,RH4),"")</f>
        <v>145.4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68</v>
      </c>
      <c r="D5" s="4" t="s">
        <v>4</v>
      </c>
      <c r="E5" s="4">
        <v>2003</v>
      </c>
      <c r="F5" s="9">
        <f t="shared" ref="F5:F39" si="163">SUM(L5:T5)+SUM(L5:Q5)*0.0000001+SUM(L5)*0.0000000000001</f>
        <v>186.90001313000539</v>
      </c>
      <c r="G5" s="66" t="s">
        <v>46</v>
      </c>
      <c r="H5" s="3" t="str">
        <f t="shared" si="0"/>
        <v>P</v>
      </c>
      <c r="I5" s="3" t="str">
        <f t="shared" si="1"/>
        <v>P</v>
      </c>
      <c r="J5" s="36" t="str">
        <f t="shared" si="2"/>
        <v>National Team</v>
      </c>
      <c r="K5" s="3" t="str">
        <f t="shared" si="3"/>
        <v/>
      </c>
      <c r="L5" s="8">
        <f>IF(COUNT(AS5,BV5,CY5)&gt;0,LARGE((AS5,BV5,CY5),1),0)</f>
        <v>53.6</v>
      </c>
      <c r="M5" s="8" t="str">
        <f t="shared" si="4"/>
        <v>2023 Nationals</v>
      </c>
      <c r="N5" s="8">
        <f>IF(COUNT(AS5,BV5,CY5)&gt;1,LARGE((AS5,BV5,CY5),2),0)</f>
        <v>50.9</v>
      </c>
      <c r="O5" s="8" t="str">
        <f t="shared" si="5"/>
        <v>2023 3rd Domestic Trial</v>
      </c>
      <c r="P5" s="8">
        <f>IF(COUNT(AT5,BW5,CZ5)&gt;0,LARGE((AT5,BW5,CZ5),1),0)</f>
        <v>26.8</v>
      </c>
      <c r="Q5" s="8" t="str">
        <f t="shared" si="6"/>
        <v>2023 3rd Domestic Trial</v>
      </c>
      <c r="R5" s="8">
        <f t="shared" si="7"/>
        <v>52.199999999999989</v>
      </c>
      <c r="S5" s="8" t="str">
        <f t="shared" si="8"/>
        <v>2023 3rd Domestic Trial</v>
      </c>
      <c r="T5" s="8">
        <f t="shared" si="9"/>
        <v>3.3999999999999986</v>
      </c>
      <c r="U5" s="11" t="str">
        <f t="shared" si="10"/>
        <v>(Q1)</v>
      </c>
      <c r="V5" s="8" t="str">
        <f t="shared" si="11"/>
        <v>2023 World Cup POR 1 (July 2)</v>
      </c>
      <c r="W5" s="19">
        <v>18.2</v>
      </c>
      <c r="X5" s="19">
        <v>8.4</v>
      </c>
      <c r="Y5" s="19">
        <v>0.6</v>
      </c>
      <c r="Z5" s="19">
        <v>0</v>
      </c>
      <c r="AA5" s="19">
        <v>17.8</v>
      </c>
      <c r="AB5" s="19">
        <v>7.6</v>
      </c>
      <c r="AC5" s="19">
        <v>0.6</v>
      </c>
      <c r="AD5" s="19">
        <v>0</v>
      </c>
      <c r="AE5" s="19">
        <v>18.8</v>
      </c>
      <c r="AF5" s="19">
        <v>7.6</v>
      </c>
      <c r="AG5" s="19">
        <v>0</v>
      </c>
      <c r="AH5" s="19">
        <v>0.3</v>
      </c>
      <c r="AI5" s="19">
        <v>18.3</v>
      </c>
      <c r="AJ5" s="19">
        <v>7.2</v>
      </c>
      <c r="AK5" s="19">
        <v>0</v>
      </c>
      <c r="AL5" s="19">
        <v>0</v>
      </c>
      <c r="AM5" s="19">
        <v>18.8</v>
      </c>
      <c r="AN5" s="19">
        <v>7.6</v>
      </c>
      <c r="AO5" s="19">
        <v>0.6</v>
      </c>
      <c r="AP5" s="19">
        <v>0</v>
      </c>
      <c r="AQ5" s="27"/>
      <c r="AR5" s="40">
        <f t="shared" si="12"/>
        <v>16</v>
      </c>
      <c r="AS5" s="40">
        <f t="shared" si="13"/>
        <v>50.800000000000004</v>
      </c>
      <c r="AT5" s="40">
        <f t="shared" si="14"/>
        <v>26.7</v>
      </c>
      <c r="AU5" s="40">
        <f t="shared" si="15"/>
        <v>23.6</v>
      </c>
      <c r="AV5" s="40">
        <f t="shared" si="16"/>
        <v>77.5</v>
      </c>
      <c r="AW5" s="40">
        <f t="shared" si="17"/>
        <v>14.8</v>
      </c>
      <c r="AX5" s="40">
        <f t="shared" si="18"/>
        <v>51.3</v>
      </c>
      <c r="AY5" s="40">
        <f t="shared" si="19"/>
        <v>128.80000000000001</v>
      </c>
      <c r="AZ5" s="18">
        <v>18.600000000000001</v>
      </c>
      <c r="BA5" s="18">
        <v>7.6</v>
      </c>
      <c r="BB5" s="18">
        <v>0.6</v>
      </c>
      <c r="BC5" s="18">
        <v>0</v>
      </c>
      <c r="BD5" s="18">
        <v>18.5</v>
      </c>
      <c r="BE5" s="18">
        <v>9.1999999999999993</v>
      </c>
      <c r="BF5" s="18">
        <v>0</v>
      </c>
      <c r="BG5" s="18">
        <v>0.3</v>
      </c>
      <c r="BH5" s="18">
        <v>18.399999999999999</v>
      </c>
      <c r="BI5" s="18">
        <v>8.4</v>
      </c>
      <c r="BJ5" s="18">
        <v>0.6</v>
      </c>
      <c r="BK5" s="18">
        <v>0.3</v>
      </c>
      <c r="BL5" s="18">
        <v>18.600000000000001</v>
      </c>
      <c r="BM5" s="18">
        <v>6.8</v>
      </c>
      <c r="BN5" s="18">
        <v>1</v>
      </c>
      <c r="BO5" s="18">
        <v>0</v>
      </c>
      <c r="BP5" s="18">
        <v>18.8</v>
      </c>
      <c r="BQ5" s="18">
        <v>8</v>
      </c>
      <c r="BR5" s="18">
        <v>0.6</v>
      </c>
      <c r="BS5" s="18">
        <v>0.3</v>
      </c>
      <c r="BT5" s="28"/>
      <c r="BU5" s="11">
        <f t="shared" si="20"/>
        <v>16.799999999999997</v>
      </c>
      <c r="BV5" s="11">
        <f t="shared" si="21"/>
        <v>53.6</v>
      </c>
      <c r="BW5" s="11">
        <f t="shared" si="22"/>
        <v>26.499999999999996</v>
      </c>
      <c r="BX5" s="11">
        <f t="shared" si="23"/>
        <v>25.199999999999996</v>
      </c>
      <c r="BY5" s="11">
        <f t="shared" si="24"/>
        <v>80.099999999999994</v>
      </c>
      <c r="BZ5" s="11">
        <f t="shared" si="25"/>
        <v>14.8</v>
      </c>
      <c r="CA5" s="11">
        <f t="shared" si="26"/>
        <v>50.9</v>
      </c>
      <c r="CB5" s="11">
        <f t="shared" si="27"/>
        <v>131</v>
      </c>
      <c r="CC5" s="19">
        <v>18.7</v>
      </c>
      <c r="CD5" s="19">
        <v>7.2</v>
      </c>
      <c r="CE5" s="19">
        <v>0.6</v>
      </c>
      <c r="CF5" s="19">
        <v>0</v>
      </c>
      <c r="CG5" s="19">
        <v>18</v>
      </c>
      <c r="CH5" s="19">
        <v>7.6</v>
      </c>
      <c r="CI5" s="19">
        <v>0</v>
      </c>
      <c r="CJ5" s="19">
        <v>0</v>
      </c>
      <c r="CK5" s="19">
        <v>18.5</v>
      </c>
      <c r="CL5" s="19">
        <v>8.8000000000000007</v>
      </c>
      <c r="CM5" s="19">
        <v>0.8</v>
      </c>
      <c r="CN5" s="19">
        <v>0.3</v>
      </c>
      <c r="CO5" s="19">
        <v>18.399999999999999</v>
      </c>
      <c r="CP5" s="19">
        <v>8.4</v>
      </c>
      <c r="CQ5" s="19">
        <v>1</v>
      </c>
      <c r="CR5" s="19">
        <v>0</v>
      </c>
      <c r="CS5" s="19">
        <v>18.3</v>
      </c>
      <c r="CT5" s="19">
        <v>8.4</v>
      </c>
      <c r="CU5" s="19">
        <v>0.6</v>
      </c>
      <c r="CV5" s="19">
        <v>0.3</v>
      </c>
      <c r="CW5" s="27"/>
      <c r="CX5" s="40">
        <f t="shared" si="28"/>
        <v>14.8</v>
      </c>
      <c r="CY5" s="40">
        <f t="shared" si="29"/>
        <v>50.9</v>
      </c>
      <c r="CZ5" s="40">
        <f t="shared" si="30"/>
        <v>26.8</v>
      </c>
      <c r="DA5" s="40">
        <f t="shared" si="31"/>
        <v>23.6</v>
      </c>
      <c r="DB5" s="40">
        <f t="shared" si="32"/>
        <v>77.7</v>
      </c>
      <c r="DC5" s="40">
        <f t="shared" si="33"/>
        <v>16.8</v>
      </c>
      <c r="DD5" s="40">
        <f t="shared" si="34"/>
        <v>52.199999999999989</v>
      </c>
      <c r="DE5" s="40">
        <f t="shared" si="35"/>
        <v>129.89999999999998</v>
      </c>
      <c r="DF5" s="50">
        <f t="shared" si="36"/>
        <v>3.3999999999999986</v>
      </c>
      <c r="DG5" s="50" t="str">
        <f t="shared" si="37"/>
        <v/>
      </c>
      <c r="DH5" s="50">
        <f t="shared" si="38"/>
        <v>1.4000000000000128</v>
      </c>
      <c r="DI5" s="17">
        <v>18.399999999999999</v>
      </c>
      <c r="DJ5" s="17">
        <v>7.6</v>
      </c>
      <c r="DK5" s="17">
        <v>0</v>
      </c>
      <c r="DL5" s="17">
        <v>0</v>
      </c>
      <c r="DM5" s="17">
        <v>18.2</v>
      </c>
      <c r="DN5" s="17">
        <v>8</v>
      </c>
      <c r="DO5" s="17">
        <v>0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 t="shared" si="39"/>
        <v>15.6</v>
      </c>
      <c r="ED5" s="40">
        <f t="shared" si="40"/>
        <v>52.2</v>
      </c>
      <c r="EE5" s="40" t="str">
        <f t="shared" si="41"/>
        <v/>
      </c>
      <c r="EF5" s="40">
        <f t="shared" si="42"/>
        <v>15.6</v>
      </c>
      <c r="EG5" s="40">
        <f t="shared" si="43"/>
        <v>52.2</v>
      </c>
      <c r="EH5" s="40" t="str">
        <f t="shared" si="44"/>
        <v/>
      </c>
      <c r="EI5" s="40" t="str">
        <f t="shared" si="45"/>
        <v/>
      </c>
      <c r="EJ5" s="40">
        <f t="shared" si="46"/>
        <v>52.2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18.3</v>
      </c>
      <c r="FB5" s="18">
        <v>5.6</v>
      </c>
      <c r="FC5" s="18">
        <v>0.6</v>
      </c>
      <c r="FD5" s="18">
        <v>0</v>
      </c>
      <c r="FE5" s="11" t="str">
        <f t="shared" si="47"/>
        <v/>
      </c>
      <c r="FF5" s="11" t="str">
        <f t="shared" si="48"/>
        <v/>
      </c>
      <c r="FG5" s="11" t="str">
        <f t="shared" si="49"/>
        <v/>
      </c>
      <c r="FH5" s="11" t="str">
        <f t="shared" si="50"/>
        <v/>
      </c>
      <c r="FI5" s="11" t="str">
        <f t="shared" si="51"/>
        <v/>
      </c>
      <c r="FJ5" s="11">
        <f t="shared" si="52"/>
        <v>5.6</v>
      </c>
      <c r="FK5" s="11">
        <f t="shared" si="53"/>
        <v>23.299999999999997</v>
      </c>
      <c r="FL5" s="11">
        <f t="shared" si="54"/>
        <v>23.299999999999997</v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 t="shared" si="55"/>
        <v/>
      </c>
      <c r="GH5" s="40" t="str">
        <f t="shared" si="56"/>
        <v/>
      </c>
      <c r="GI5" s="40" t="str">
        <f t="shared" si="57"/>
        <v/>
      </c>
      <c r="GJ5" s="40" t="str">
        <f t="shared" si="58"/>
        <v/>
      </c>
      <c r="GK5" s="40" t="str">
        <f t="shared" si="59"/>
        <v/>
      </c>
      <c r="GL5" s="40" t="str">
        <f t="shared" si="60"/>
        <v/>
      </c>
      <c r="GM5" s="40" t="str">
        <f t="shared" si="61"/>
        <v/>
      </c>
      <c r="GN5" s="40" t="str">
        <f t="shared" si="62"/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3"/>
        <v/>
      </c>
      <c r="HJ5" s="11" t="str">
        <f t="shared" si="64"/>
        <v/>
      </c>
      <c r="HK5" s="11" t="str">
        <f t="shared" si="65"/>
        <v/>
      </c>
      <c r="HL5" s="11" t="str">
        <f t="shared" si="66"/>
        <v/>
      </c>
      <c r="HM5" s="11" t="str">
        <f t="shared" si="67"/>
        <v/>
      </c>
      <c r="HN5" s="11" t="str">
        <f t="shared" si="68"/>
        <v/>
      </c>
      <c r="HO5" s="11" t="str">
        <f t="shared" si="69"/>
        <v/>
      </c>
      <c r="HP5" s="11" t="str">
        <f t="shared" si="70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1"/>
        <v/>
      </c>
      <c r="IL5" s="40" t="str">
        <f t="shared" si="72"/>
        <v/>
      </c>
      <c r="IM5" s="40" t="str">
        <f t="shared" si="73"/>
        <v/>
      </c>
      <c r="IN5" s="40" t="str">
        <f t="shared" si="74"/>
        <v/>
      </c>
      <c r="IO5" s="40" t="str">
        <f t="shared" si="75"/>
        <v/>
      </c>
      <c r="IP5" s="40" t="str">
        <f t="shared" si="76"/>
        <v/>
      </c>
      <c r="IQ5" s="40" t="str">
        <f t="shared" si="77"/>
        <v/>
      </c>
      <c r="IR5" s="40" t="str">
        <f t="shared" si="78"/>
        <v/>
      </c>
      <c r="IS5" s="18">
        <v>17.2</v>
      </c>
      <c r="IT5" s="18">
        <v>3.2</v>
      </c>
      <c r="IU5" s="18">
        <v>0</v>
      </c>
      <c r="IV5" s="18">
        <v>0</v>
      </c>
      <c r="IW5" s="18">
        <v>18</v>
      </c>
      <c r="IX5" s="18">
        <v>3.6</v>
      </c>
      <c r="IY5" s="18">
        <v>0.6</v>
      </c>
      <c r="IZ5" s="18">
        <v>0</v>
      </c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>
        <f t="shared" si="79"/>
        <v>6.8000000000000007</v>
      </c>
      <c r="JN5" s="11">
        <f t="shared" si="80"/>
        <v>41.4</v>
      </c>
      <c r="JO5" s="11" t="str">
        <f t="shared" si="81"/>
        <v/>
      </c>
      <c r="JP5" s="11">
        <f t="shared" si="82"/>
        <v>6.8000000000000007</v>
      </c>
      <c r="JQ5" s="11">
        <f t="shared" si="83"/>
        <v>41.4</v>
      </c>
      <c r="JR5" s="11" t="str">
        <f t="shared" si="84"/>
        <v/>
      </c>
      <c r="JS5" s="11" t="str">
        <f t="shared" si="85"/>
        <v/>
      </c>
      <c r="JT5" s="11">
        <f t="shared" si="86"/>
        <v>41.4</v>
      </c>
      <c r="JU5" s="17">
        <v>18.899999999999999</v>
      </c>
      <c r="JV5" s="17">
        <v>8.4</v>
      </c>
      <c r="JW5" s="17">
        <v>0</v>
      </c>
      <c r="JX5" s="17">
        <v>0</v>
      </c>
      <c r="JY5" s="17">
        <v>18.600000000000001</v>
      </c>
      <c r="JZ5" s="17">
        <v>8.4</v>
      </c>
      <c r="KA5" s="17">
        <v>0</v>
      </c>
      <c r="KB5" s="17">
        <v>0</v>
      </c>
      <c r="KC5" s="17"/>
      <c r="KD5" s="17"/>
      <c r="KE5" s="17"/>
      <c r="KF5" s="17"/>
      <c r="KG5" s="17">
        <v>18.8</v>
      </c>
      <c r="KH5" s="17">
        <v>9.1999999999999993</v>
      </c>
      <c r="KI5" s="17">
        <v>0</v>
      </c>
      <c r="KJ5" s="17">
        <v>0</v>
      </c>
      <c r="KK5" s="17">
        <v>18.2</v>
      </c>
      <c r="KL5" s="17">
        <v>8</v>
      </c>
      <c r="KM5" s="17">
        <v>0.6</v>
      </c>
      <c r="KN5" s="17">
        <v>0</v>
      </c>
      <c r="KO5" s="40">
        <f t="shared" si="87"/>
        <v>16.8</v>
      </c>
      <c r="KP5" s="40">
        <f t="shared" si="88"/>
        <v>54.3</v>
      </c>
      <c r="KQ5" s="40" t="str">
        <f t="shared" si="89"/>
        <v/>
      </c>
      <c r="KR5" s="40">
        <f t="shared" si="90"/>
        <v>16.8</v>
      </c>
      <c r="KS5" s="40">
        <f t="shared" si="91"/>
        <v>54.3</v>
      </c>
      <c r="KT5" s="40">
        <f t="shared" si="92"/>
        <v>17.2</v>
      </c>
      <c r="KU5" s="40">
        <f t="shared" si="93"/>
        <v>53.6</v>
      </c>
      <c r="KV5" s="40">
        <f t="shared" si="94"/>
        <v>107.9</v>
      </c>
      <c r="KW5" s="18">
        <v>18.100000000000001</v>
      </c>
      <c r="KX5" s="18">
        <v>8</v>
      </c>
      <c r="KY5" s="18">
        <v>0.8</v>
      </c>
      <c r="KZ5" s="18">
        <v>0</v>
      </c>
      <c r="LA5" s="18">
        <v>17.899999999999999</v>
      </c>
      <c r="LB5" s="18">
        <v>8.8000000000000007</v>
      </c>
      <c r="LC5" s="18">
        <v>0.6</v>
      </c>
      <c r="LD5" s="18">
        <v>0</v>
      </c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>
        <f t="shared" si="95"/>
        <v>16.8</v>
      </c>
      <c r="LR5" s="11">
        <f t="shared" si="96"/>
        <v>51.4</v>
      </c>
      <c r="LS5" s="11" t="str">
        <f t="shared" si="97"/>
        <v/>
      </c>
      <c r="LT5" s="11">
        <f t="shared" si="98"/>
        <v>16.8</v>
      </c>
      <c r="LU5" s="11">
        <f t="shared" si="99"/>
        <v>51.4</v>
      </c>
      <c r="LV5" s="11" t="str">
        <f t="shared" si="100"/>
        <v/>
      </c>
      <c r="LW5" s="11" t="str">
        <f t="shared" si="101"/>
        <v/>
      </c>
      <c r="LX5" s="11">
        <f t="shared" si="102"/>
        <v>51.4</v>
      </c>
      <c r="LY5" s="17">
        <v>18.399999999999999</v>
      </c>
      <c r="LZ5" s="17">
        <v>8.8000000000000007</v>
      </c>
      <c r="MA5" s="17">
        <v>0</v>
      </c>
      <c r="MB5" s="17">
        <v>0</v>
      </c>
      <c r="MC5" s="17">
        <v>18.100000000000001</v>
      </c>
      <c r="MD5" s="17">
        <v>7.2</v>
      </c>
      <c r="ME5" s="17">
        <v>0.6</v>
      </c>
      <c r="MF5" s="17">
        <v>0</v>
      </c>
      <c r="MG5" s="17"/>
      <c r="MH5" s="17"/>
      <c r="MI5" s="17"/>
      <c r="MJ5" s="17"/>
      <c r="MK5" s="17">
        <v>18.600000000000001</v>
      </c>
      <c r="ML5" s="17">
        <v>9.1999999999999993</v>
      </c>
      <c r="MM5" s="17">
        <v>0.6</v>
      </c>
      <c r="MN5" s="17">
        <v>0</v>
      </c>
      <c r="MO5" s="17">
        <v>18.399999999999999</v>
      </c>
      <c r="MP5" s="17">
        <v>8.4</v>
      </c>
      <c r="MQ5" s="17">
        <v>0.6</v>
      </c>
      <c r="MR5" s="17">
        <v>0</v>
      </c>
      <c r="MS5" s="40">
        <f t="shared" si="103"/>
        <v>16</v>
      </c>
      <c r="MT5" s="40">
        <f t="shared" si="104"/>
        <v>51.9</v>
      </c>
      <c r="MU5" s="40" t="str">
        <f t="shared" si="105"/>
        <v/>
      </c>
      <c r="MV5" s="40">
        <f t="shared" si="106"/>
        <v>16</v>
      </c>
      <c r="MW5" s="40">
        <f t="shared" si="107"/>
        <v>51.9</v>
      </c>
      <c r="MX5" s="40">
        <f t="shared" si="108"/>
        <v>17.600000000000001</v>
      </c>
      <c r="MY5" s="40">
        <f t="shared" si="109"/>
        <v>53.4</v>
      </c>
      <c r="MZ5" s="40">
        <f t="shared" si="110"/>
        <v>105.3</v>
      </c>
      <c r="NA5" s="18">
        <v>18.100000000000001</v>
      </c>
      <c r="NB5" s="18">
        <v>9.1999999999999993</v>
      </c>
      <c r="NC5" s="18">
        <v>0.6</v>
      </c>
      <c r="ND5" s="18">
        <v>0</v>
      </c>
      <c r="NE5" s="18">
        <v>18.600000000000001</v>
      </c>
      <c r="NF5" s="18">
        <v>8.4</v>
      </c>
      <c r="NG5" s="18">
        <v>0</v>
      </c>
      <c r="NH5" s="18">
        <v>0</v>
      </c>
      <c r="NI5" s="18">
        <v>18.8</v>
      </c>
      <c r="NJ5" s="18">
        <v>7.6</v>
      </c>
      <c r="NK5" s="18">
        <v>0</v>
      </c>
      <c r="NL5" s="18">
        <v>0</v>
      </c>
      <c r="NM5" s="18">
        <v>18.399999999999999</v>
      </c>
      <c r="NN5" s="18">
        <v>7.6</v>
      </c>
      <c r="NO5" s="18">
        <v>0</v>
      </c>
      <c r="NP5" s="18">
        <v>0</v>
      </c>
      <c r="NQ5" s="18"/>
      <c r="NR5" s="18"/>
      <c r="NS5" s="18"/>
      <c r="NT5" s="18"/>
      <c r="NU5" s="11">
        <f t="shared" si="111"/>
        <v>17.600000000000001</v>
      </c>
      <c r="NV5" s="11">
        <f t="shared" si="112"/>
        <v>53.7</v>
      </c>
      <c r="NW5" s="11">
        <f t="shared" si="113"/>
        <v>26.4</v>
      </c>
      <c r="NX5" s="11">
        <f t="shared" si="114"/>
        <v>25.200000000000003</v>
      </c>
      <c r="NY5" s="11">
        <f t="shared" si="115"/>
        <v>80.099999999999994</v>
      </c>
      <c r="NZ5" s="11">
        <f t="shared" si="116"/>
        <v>7.6</v>
      </c>
      <c r="OA5" s="11">
        <f t="shared" si="117"/>
        <v>26</v>
      </c>
      <c r="OB5" s="11">
        <f t="shared" si="118"/>
        <v>106.1</v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40" t="str">
        <f t="shared" si="124"/>
        <v/>
      </c>
      <c r="PC5" s="40" t="str">
        <f t="shared" si="125"/>
        <v/>
      </c>
      <c r="PD5" s="40" t="str">
        <f t="shared" si="126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11" t="str">
        <f t="shared" si="132"/>
        <v/>
      </c>
      <c r="QE5" s="11" t="str">
        <f t="shared" si="133"/>
        <v/>
      </c>
      <c r="QF5" s="11" t="str">
        <f t="shared" si="134"/>
        <v/>
      </c>
      <c r="QG5" s="22">
        <f t="shared" si="135"/>
        <v>18.649999999999999</v>
      </c>
      <c r="QH5" s="22">
        <f t="shared" si="136"/>
        <v>7.4</v>
      </c>
      <c r="QI5" s="22">
        <f t="shared" si="137"/>
        <v>0.6</v>
      </c>
      <c r="QJ5" s="22">
        <f t="shared" si="138"/>
        <v>0</v>
      </c>
      <c r="QK5" s="22">
        <f t="shared" si="139"/>
        <v>18.25</v>
      </c>
      <c r="QL5" s="22">
        <f t="shared" si="140"/>
        <v>8.3999999999999986</v>
      </c>
      <c r="QM5" s="22">
        <f t="shared" si="141"/>
        <v>0</v>
      </c>
      <c r="QN5" s="22">
        <f t="shared" si="142"/>
        <v>0.15</v>
      </c>
      <c r="QO5" s="22">
        <f t="shared" si="143"/>
        <v>18.45</v>
      </c>
      <c r="QP5" s="22">
        <f t="shared" si="144"/>
        <v>8.6000000000000014</v>
      </c>
      <c r="QQ5" s="22">
        <f t="shared" si="145"/>
        <v>0.7</v>
      </c>
      <c r="QR5" s="22">
        <f t="shared" si="146"/>
        <v>0.3</v>
      </c>
      <c r="QS5" s="22">
        <f t="shared" si="147"/>
        <v>18.5</v>
      </c>
      <c r="QT5" s="22">
        <f t="shared" si="148"/>
        <v>7.6</v>
      </c>
      <c r="QU5" s="22">
        <f t="shared" si="149"/>
        <v>1</v>
      </c>
      <c r="QV5" s="22">
        <f t="shared" si="150"/>
        <v>0</v>
      </c>
      <c r="QW5" s="22">
        <f t="shared" si="151"/>
        <v>18.55</v>
      </c>
      <c r="QX5" s="22">
        <f t="shared" si="152"/>
        <v>8.1999999999999993</v>
      </c>
      <c r="QY5" s="22">
        <f t="shared" si="153"/>
        <v>0.6</v>
      </c>
      <c r="QZ5" s="22">
        <f t="shared" si="154"/>
        <v>0.3</v>
      </c>
      <c r="RA5" s="27" t="s">
        <v>46</v>
      </c>
      <c r="RB5" s="40">
        <f t="shared" si="155"/>
        <v>15.799999999999999</v>
      </c>
      <c r="RC5" s="40">
        <f t="shared" si="156"/>
        <v>52.249999999999993</v>
      </c>
      <c r="RD5" s="40">
        <f t="shared" si="157"/>
        <v>26.650000000000002</v>
      </c>
      <c r="RE5" s="40">
        <f t="shared" si="158"/>
        <v>24.4</v>
      </c>
      <c r="RF5" s="40">
        <f t="shared" si="159"/>
        <v>78.899999999999991</v>
      </c>
      <c r="RG5" s="40">
        <f t="shared" si="160"/>
        <v>15.799999999999999</v>
      </c>
      <c r="RH5" s="40">
        <f t="shared" si="161"/>
        <v>51.550000000000004</v>
      </c>
      <c r="RI5" s="40">
        <f t="shared" si="162"/>
        <v>130.44999999999999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61</v>
      </c>
      <c r="D6" s="4" t="s">
        <v>3</v>
      </c>
      <c r="E6" s="4">
        <v>2003</v>
      </c>
      <c r="F6" s="9">
        <f t="shared" si="163"/>
        <v>186.80001300000518</v>
      </c>
      <c r="G6" s="66" t="s">
        <v>46</v>
      </c>
      <c r="H6" s="3" t="str">
        <f t="shared" si="0"/>
        <v>P</v>
      </c>
      <c r="I6" s="3" t="str">
        <f t="shared" si="1"/>
        <v>P</v>
      </c>
      <c r="J6" s="36" t="str">
        <f t="shared" si="2"/>
        <v>National Team</v>
      </c>
      <c r="K6" s="3" t="str">
        <f t="shared" si="3"/>
        <v/>
      </c>
      <c r="L6" s="8">
        <f>IF(COUNT(AS6,BV6,CY6)&gt;0,LARGE((AS6,BV6,CY6),1),0)</f>
        <v>51.5</v>
      </c>
      <c r="M6" s="8" t="str">
        <f t="shared" si="4"/>
        <v>2023 3rd Domestic Trial</v>
      </c>
      <c r="N6" s="8">
        <f>IF(COUNT(AS6,BV6,CY6)&gt;1,LARGE((AS6,BV6,CY6),2),0)</f>
        <v>51.199999999999989</v>
      </c>
      <c r="O6" s="8" t="str">
        <f t="shared" si="5"/>
        <v>2023 Nationals</v>
      </c>
      <c r="P6" s="8">
        <f>IF(COUNT(AT6,BW6,CZ6)&gt;0,LARGE((AT6,BW6,CZ6),1),0)</f>
        <v>27.3</v>
      </c>
      <c r="Q6" s="8" t="str">
        <f t="shared" si="6"/>
        <v>2023 3rd Domestic Trial</v>
      </c>
      <c r="R6" s="8">
        <f t="shared" si="7"/>
        <v>52.600000000000009</v>
      </c>
      <c r="S6" s="8" t="str">
        <f t="shared" si="8"/>
        <v>2023 3rd Domestic Trial</v>
      </c>
      <c r="T6" s="8">
        <f t="shared" si="9"/>
        <v>4.2000000000000171</v>
      </c>
      <c r="U6" s="11" t="str">
        <f t="shared" si="10"/>
        <v>(Q1)</v>
      </c>
      <c r="V6" s="8" t="str">
        <f t="shared" si="11"/>
        <v>2023 World Cup POR 2 (July 8)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 t="shared" si="12"/>
        <v/>
      </c>
      <c r="AS6" s="40" t="str">
        <f t="shared" si="13"/>
        <v/>
      </c>
      <c r="AT6" s="40" t="str">
        <f t="shared" si="14"/>
        <v/>
      </c>
      <c r="AU6" s="40" t="str">
        <f t="shared" si="15"/>
        <v/>
      </c>
      <c r="AV6" s="40" t="str">
        <f t="shared" si="16"/>
        <v/>
      </c>
      <c r="AW6" s="40" t="str">
        <f t="shared" si="17"/>
        <v/>
      </c>
      <c r="AX6" s="40" t="str">
        <f t="shared" si="18"/>
        <v/>
      </c>
      <c r="AY6" s="40" t="str">
        <f t="shared" si="19"/>
        <v/>
      </c>
      <c r="AZ6" s="18">
        <v>19.2</v>
      </c>
      <c r="BA6" s="18">
        <v>9.1999999999999993</v>
      </c>
      <c r="BB6" s="18">
        <v>0.2</v>
      </c>
      <c r="BC6" s="18">
        <v>0.3</v>
      </c>
      <c r="BD6" s="18">
        <v>17.600000000000001</v>
      </c>
      <c r="BE6" s="18">
        <v>4.8</v>
      </c>
      <c r="BF6" s="18">
        <v>0</v>
      </c>
      <c r="BG6" s="18">
        <v>0.3</v>
      </c>
      <c r="BH6" s="18">
        <v>17.600000000000001</v>
      </c>
      <c r="BI6" s="18">
        <v>3.6</v>
      </c>
      <c r="BJ6" s="18">
        <v>0</v>
      </c>
      <c r="BK6" s="18">
        <v>0</v>
      </c>
      <c r="BL6" s="18"/>
      <c r="BM6" s="18"/>
      <c r="BN6" s="18"/>
      <c r="BO6" s="18"/>
      <c r="BP6" s="18"/>
      <c r="BQ6" s="18"/>
      <c r="BR6" s="18"/>
      <c r="BS6" s="18"/>
      <c r="BT6" s="28"/>
      <c r="BU6" s="11">
        <f t="shared" si="20"/>
        <v>14</v>
      </c>
      <c r="BV6" s="11">
        <f t="shared" si="21"/>
        <v>51.199999999999989</v>
      </c>
      <c r="BW6" s="11">
        <f t="shared" si="22"/>
        <v>21.200000000000003</v>
      </c>
      <c r="BX6" s="11">
        <f t="shared" si="23"/>
        <v>17.600000000000001</v>
      </c>
      <c r="BY6" s="11">
        <f t="shared" si="24"/>
        <v>72.399999999999991</v>
      </c>
      <c r="BZ6" s="11" t="str">
        <f t="shared" si="25"/>
        <v/>
      </c>
      <c r="CA6" s="11" t="str">
        <f t="shared" si="26"/>
        <v/>
      </c>
      <c r="CB6" s="11">
        <f t="shared" si="27"/>
        <v>72.399999999999991</v>
      </c>
      <c r="CC6" s="19">
        <v>17.100000000000001</v>
      </c>
      <c r="CD6" s="19">
        <v>8</v>
      </c>
      <c r="CE6" s="19">
        <v>1</v>
      </c>
      <c r="CF6" s="19">
        <v>0.3</v>
      </c>
      <c r="CG6" s="19">
        <v>19.100000000000001</v>
      </c>
      <c r="CH6" s="19">
        <v>8.4</v>
      </c>
      <c r="CI6" s="19">
        <v>0.4</v>
      </c>
      <c r="CJ6" s="19">
        <v>0</v>
      </c>
      <c r="CK6" s="19">
        <v>19</v>
      </c>
      <c r="CL6" s="19">
        <v>8.4</v>
      </c>
      <c r="CM6" s="19">
        <v>0.4</v>
      </c>
      <c r="CN6" s="19">
        <v>0.3</v>
      </c>
      <c r="CO6" s="19">
        <v>19.100000000000001</v>
      </c>
      <c r="CP6" s="19">
        <v>8</v>
      </c>
      <c r="CQ6" s="19">
        <v>0.6</v>
      </c>
      <c r="CR6" s="19">
        <v>0.3</v>
      </c>
      <c r="CS6" s="19">
        <v>19</v>
      </c>
      <c r="CT6" s="19">
        <v>7.6</v>
      </c>
      <c r="CU6" s="19">
        <v>0.8</v>
      </c>
      <c r="CV6" s="19">
        <v>0</v>
      </c>
      <c r="CW6" s="27"/>
      <c r="CX6" s="40">
        <f t="shared" si="28"/>
        <v>16.399999999999999</v>
      </c>
      <c r="CY6" s="40">
        <f t="shared" si="29"/>
        <v>51.5</v>
      </c>
      <c r="CZ6" s="40">
        <f t="shared" si="30"/>
        <v>27.3</v>
      </c>
      <c r="DA6" s="40">
        <f t="shared" si="31"/>
        <v>24.799999999999997</v>
      </c>
      <c r="DB6" s="40">
        <f t="shared" si="32"/>
        <v>78.8</v>
      </c>
      <c r="DC6" s="40">
        <f t="shared" si="33"/>
        <v>15.6</v>
      </c>
      <c r="DD6" s="40">
        <f t="shared" si="34"/>
        <v>52.600000000000009</v>
      </c>
      <c r="DE6" s="40">
        <f t="shared" si="35"/>
        <v>131.4</v>
      </c>
      <c r="DF6" s="50">
        <f t="shared" si="36"/>
        <v>4.2000000000000171</v>
      </c>
      <c r="DG6" s="50" t="str">
        <f t="shared" si="37"/>
        <v/>
      </c>
      <c r="DH6" s="50" t="str">
        <f t="shared" si="38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39"/>
        <v/>
      </c>
      <c r="ED6" s="40" t="str">
        <f t="shared" si="40"/>
        <v/>
      </c>
      <c r="EE6" s="40" t="str">
        <f t="shared" si="41"/>
        <v/>
      </c>
      <c r="EF6" s="40" t="str">
        <f t="shared" si="42"/>
        <v/>
      </c>
      <c r="EG6" s="40" t="str">
        <f t="shared" si="43"/>
        <v/>
      </c>
      <c r="EH6" s="40" t="str">
        <f t="shared" si="44"/>
        <v/>
      </c>
      <c r="EI6" s="40" t="str">
        <f t="shared" si="45"/>
        <v/>
      </c>
      <c r="EJ6" s="40" t="str">
        <f t="shared" si="46"/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7"/>
        <v/>
      </c>
      <c r="FF6" s="11" t="str">
        <f t="shared" si="48"/>
        <v/>
      </c>
      <c r="FG6" s="11" t="str">
        <f t="shared" si="49"/>
        <v/>
      </c>
      <c r="FH6" s="11" t="str">
        <f t="shared" si="50"/>
        <v/>
      </c>
      <c r="FI6" s="11" t="str">
        <f t="shared" si="51"/>
        <v/>
      </c>
      <c r="FJ6" s="11" t="str">
        <f t="shared" si="52"/>
        <v/>
      </c>
      <c r="FK6" s="11" t="str">
        <f t="shared" si="53"/>
        <v/>
      </c>
      <c r="FL6" s="11" t="str">
        <f t="shared" si="54"/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 t="shared" si="55"/>
        <v/>
      </c>
      <c r="GH6" s="40" t="str">
        <f t="shared" si="56"/>
        <v/>
      </c>
      <c r="GI6" s="40" t="str">
        <f t="shared" si="57"/>
        <v/>
      </c>
      <c r="GJ6" s="40" t="str">
        <f t="shared" si="58"/>
        <v/>
      </c>
      <c r="GK6" s="40" t="str">
        <f t="shared" si="59"/>
        <v/>
      </c>
      <c r="GL6" s="40" t="str">
        <f t="shared" si="60"/>
        <v/>
      </c>
      <c r="GM6" s="40" t="str">
        <f t="shared" si="61"/>
        <v/>
      </c>
      <c r="GN6" s="40" t="str">
        <f t="shared" si="62"/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1" t="str">
        <f t="shared" si="68"/>
        <v/>
      </c>
      <c r="HO6" s="11" t="str">
        <f t="shared" si="69"/>
        <v/>
      </c>
      <c r="HP6" s="11" t="str">
        <f t="shared" si="70"/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40" t="str">
        <f t="shared" si="76"/>
        <v/>
      </c>
      <c r="IQ6" s="40" t="str">
        <f t="shared" si="77"/>
        <v/>
      </c>
      <c r="IR6" s="40" t="str">
        <f t="shared" si="78"/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1" t="str">
        <f t="shared" si="84"/>
        <v/>
      </c>
      <c r="JS6" s="11" t="str">
        <f t="shared" si="85"/>
        <v/>
      </c>
      <c r="JT6" s="11" t="str">
        <f t="shared" si="86"/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40" t="str">
        <f t="shared" si="92"/>
        <v/>
      </c>
      <c r="KU6" s="40" t="str">
        <f t="shared" si="93"/>
        <v/>
      </c>
      <c r="KV6" s="40" t="str">
        <f t="shared" si="94"/>
        <v/>
      </c>
      <c r="KW6" s="18">
        <v>18.600000000000001</v>
      </c>
      <c r="KX6" s="18">
        <v>9.1999999999999993</v>
      </c>
      <c r="KY6" s="18">
        <v>0.2</v>
      </c>
      <c r="KZ6" s="18">
        <v>0</v>
      </c>
      <c r="LA6" s="18">
        <v>18.600000000000001</v>
      </c>
      <c r="LB6" s="18">
        <v>9.1999999999999993</v>
      </c>
      <c r="LC6" s="18">
        <v>0</v>
      </c>
      <c r="LD6" s="18">
        <v>0</v>
      </c>
      <c r="LE6" s="18"/>
      <c r="LF6" s="18"/>
      <c r="LG6" s="18"/>
      <c r="LH6" s="18"/>
      <c r="LI6" s="18">
        <v>18.399999999999999</v>
      </c>
      <c r="LJ6" s="18">
        <v>10</v>
      </c>
      <c r="LK6" s="18">
        <v>0.6</v>
      </c>
      <c r="LL6" s="18">
        <v>0</v>
      </c>
      <c r="LM6" s="18"/>
      <c r="LN6" s="18"/>
      <c r="LO6" s="18"/>
      <c r="LP6" s="18"/>
      <c r="LQ6" s="11">
        <f t="shared" si="95"/>
        <v>18.399999999999999</v>
      </c>
      <c r="LR6" s="11">
        <f t="shared" si="96"/>
        <v>55.400000000000006</v>
      </c>
      <c r="LS6" s="11" t="str">
        <f t="shared" si="97"/>
        <v/>
      </c>
      <c r="LT6" s="11">
        <f t="shared" si="98"/>
        <v>18.399999999999999</v>
      </c>
      <c r="LU6" s="11">
        <f t="shared" si="99"/>
        <v>55.400000000000006</v>
      </c>
      <c r="LV6" s="11">
        <f t="shared" si="100"/>
        <v>10</v>
      </c>
      <c r="LW6" s="11">
        <f t="shared" si="101"/>
        <v>27.799999999999997</v>
      </c>
      <c r="LX6" s="11">
        <f t="shared" si="102"/>
        <v>83.2</v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40" t="str">
        <f t="shared" si="108"/>
        <v/>
      </c>
      <c r="MY6" s="40" t="str">
        <f t="shared" si="109"/>
        <v/>
      </c>
      <c r="MZ6" s="40" t="str">
        <f t="shared" si="110"/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1" t="str">
        <f t="shared" si="116"/>
        <v/>
      </c>
      <c r="OA6" s="11" t="str">
        <f t="shared" si="117"/>
        <v/>
      </c>
      <c r="OB6" s="11" t="str">
        <f t="shared" si="118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40" t="str">
        <f t="shared" si="124"/>
        <v/>
      </c>
      <c r="PC6" s="40" t="str">
        <f t="shared" si="125"/>
        <v/>
      </c>
      <c r="PD6" s="40" t="str">
        <f t="shared" si="126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11" t="str">
        <f t="shared" si="132"/>
        <v/>
      </c>
      <c r="QE6" s="11" t="str">
        <f t="shared" si="133"/>
        <v/>
      </c>
      <c r="QF6" s="11" t="str">
        <f t="shared" si="134"/>
        <v/>
      </c>
      <c r="QG6" s="22">
        <f t="shared" si="135"/>
        <v>18.149999999999999</v>
      </c>
      <c r="QH6" s="22">
        <f t="shared" si="136"/>
        <v>8.6</v>
      </c>
      <c r="QI6" s="22">
        <f t="shared" si="137"/>
        <v>0.6</v>
      </c>
      <c r="QJ6" s="22">
        <f t="shared" si="138"/>
        <v>0.3</v>
      </c>
      <c r="QK6" s="22">
        <f t="shared" si="139"/>
        <v>18.350000000000001</v>
      </c>
      <c r="QL6" s="22">
        <f t="shared" si="140"/>
        <v>6.6</v>
      </c>
      <c r="QM6" s="22">
        <f t="shared" si="141"/>
        <v>0.2</v>
      </c>
      <c r="QN6" s="22">
        <f t="shared" si="142"/>
        <v>0.15</v>
      </c>
      <c r="QO6" s="22">
        <f t="shared" si="143"/>
        <v>18.3</v>
      </c>
      <c r="QP6" s="22">
        <f t="shared" si="144"/>
        <v>6</v>
      </c>
      <c r="QQ6" s="22">
        <f t="shared" si="145"/>
        <v>0.2</v>
      </c>
      <c r="QR6" s="22">
        <f t="shared" si="146"/>
        <v>0.15</v>
      </c>
      <c r="QS6" s="22">
        <f t="shared" si="147"/>
        <v>9.5500000000000007</v>
      </c>
      <c r="QT6" s="22">
        <f t="shared" si="148"/>
        <v>4</v>
      </c>
      <c r="QU6" s="22">
        <f t="shared" si="149"/>
        <v>0.3</v>
      </c>
      <c r="QV6" s="22">
        <f t="shared" si="150"/>
        <v>0.15</v>
      </c>
      <c r="QW6" s="22">
        <f t="shared" si="151"/>
        <v>9.5</v>
      </c>
      <c r="QX6" s="22">
        <f t="shared" si="152"/>
        <v>3.8</v>
      </c>
      <c r="QY6" s="22">
        <f t="shared" si="153"/>
        <v>0.4</v>
      </c>
      <c r="QZ6" s="22">
        <f t="shared" si="154"/>
        <v>0</v>
      </c>
      <c r="RA6" s="27" t="s">
        <v>46</v>
      </c>
      <c r="RB6" s="40">
        <f t="shared" si="155"/>
        <v>15.2</v>
      </c>
      <c r="RC6" s="40">
        <f t="shared" si="156"/>
        <v>51.35</v>
      </c>
      <c r="RD6" s="40">
        <f t="shared" si="157"/>
        <v>24.25</v>
      </c>
      <c r="RE6" s="40">
        <f t="shared" si="158"/>
        <v>21.2</v>
      </c>
      <c r="RF6" s="40">
        <f t="shared" si="159"/>
        <v>75.599999999999994</v>
      </c>
      <c r="RG6" s="40">
        <f t="shared" si="160"/>
        <v>7.8</v>
      </c>
      <c r="RH6" s="40">
        <f t="shared" si="161"/>
        <v>26.300000000000004</v>
      </c>
      <c r="RI6" s="40">
        <f t="shared" si="162"/>
        <v>101.9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103</v>
      </c>
      <c r="D7" s="4" t="s">
        <v>4</v>
      </c>
      <c r="E7" s="4">
        <v>2004</v>
      </c>
      <c r="F7" s="9">
        <f t="shared" si="163"/>
        <v>185.00001247000512</v>
      </c>
      <c r="G7" s="66" t="s">
        <v>46</v>
      </c>
      <c r="H7" s="3" t="str">
        <f t="shared" si="0"/>
        <v>P</v>
      </c>
      <c r="I7" s="3" t="str">
        <f t="shared" si="1"/>
        <v>P</v>
      </c>
      <c r="J7" s="36" t="str">
        <f t="shared" si="2"/>
        <v>National Team</v>
      </c>
      <c r="K7" s="3" t="str">
        <f t="shared" si="3"/>
        <v/>
      </c>
      <c r="L7" s="8">
        <f>IF(COUNT(AS7,BV7,CY7)&gt;0,LARGE((AS7,BV7,CY7),1),0)</f>
        <v>51.4</v>
      </c>
      <c r="M7" s="8" t="str">
        <f t="shared" si="4"/>
        <v>2023 3rd Domestic Trial</v>
      </c>
      <c r="N7" s="8">
        <f>IF(COUNT(AS7,BV7,CY7)&gt;1,LARGE((AS7,BV7,CY7),2),0)</f>
        <v>46.4</v>
      </c>
      <c r="O7" s="8" t="str">
        <f t="shared" si="5"/>
        <v>2023 Elite Canada</v>
      </c>
      <c r="P7" s="8">
        <f>IF(COUNT(AT7,BW7,CZ7)&gt;0,LARGE((AT7,BW7,CZ7),1),0)</f>
        <v>26.9</v>
      </c>
      <c r="Q7" s="8" t="str">
        <f t="shared" si="6"/>
        <v>2023 3rd Domestic Trial</v>
      </c>
      <c r="R7" s="8">
        <f t="shared" si="7"/>
        <v>54.29999999999999</v>
      </c>
      <c r="S7" s="8" t="str">
        <f t="shared" si="8"/>
        <v>2023 3rd Domestic Trial</v>
      </c>
      <c r="T7" s="8">
        <f t="shared" si="9"/>
        <v>5.9999999999999929</v>
      </c>
      <c r="U7" s="11" t="str">
        <f t="shared" si="10"/>
        <v>(Q1)</v>
      </c>
      <c r="V7" s="8" t="str">
        <f t="shared" si="11"/>
        <v>2023 World Cup USA (Aug 5)</v>
      </c>
      <c r="W7" s="19">
        <v>19</v>
      </c>
      <c r="X7" s="19">
        <v>8</v>
      </c>
      <c r="Y7" s="19">
        <v>0.6</v>
      </c>
      <c r="Z7" s="19">
        <v>0.3</v>
      </c>
      <c r="AA7" s="19">
        <v>17.3</v>
      </c>
      <c r="AB7" s="19">
        <v>2.4</v>
      </c>
      <c r="AC7" s="19">
        <v>0</v>
      </c>
      <c r="AD7" s="19">
        <v>0</v>
      </c>
      <c r="AE7" s="19">
        <v>16.600000000000001</v>
      </c>
      <c r="AF7" s="19">
        <v>8.9</v>
      </c>
      <c r="AG7" s="19">
        <v>0.2</v>
      </c>
      <c r="AH7" s="19">
        <v>0.3</v>
      </c>
      <c r="AI7" s="19"/>
      <c r="AJ7" s="19"/>
      <c r="AK7" s="19"/>
      <c r="AL7" s="19"/>
      <c r="AM7" s="19"/>
      <c r="AN7" s="19"/>
      <c r="AO7" s="19"/>
      <c r="AP7" s="19"/>
      <c r="AQ7" s="27"/>
      <c r="AR7" s="40">
        <f t="shared" si="12"/>
        <v>10.4</v>
      </c>
      <c r="AS7" s="40">
        <f t="shared" si="13"/>
        <v>46.4</v>
      </c>
      <c r="AT7" s="40">
        <f t="shared" si="14"/>
        <v>25.6</v>
      </c>
      <c r="AU7" s="40">
        <f t="shared" si="15"/>
        <v>19.3</v>
      </c>
      <c r="AV7" s="40">
        <f t="shared" si="16"/>
        <v>72</v>
      </c>
      <c r="AW7" s="40" t="str">
        <f t="shared" si="17"/>
        <v/>
      </c>
      <c r="AX7" s="40" t="str">
        <f t="shared" si="18"/>
        <v/>
      </c>
      <c r="AY7" s="40">
        <f t="shared" si="19"/>
        <v>72</v>
      </c>
      <c r="AZ7" s="18">
        <v>17.2</v>
      </c>
      <c r="BA7" s="18">
        <v>9.1999999999999993</v>
      </c>
      <c r="BB7" s="18">
        <v>0.2</v>
      </c>
      <c r="BC7" s="18">
        <v>0.3</v>
      </c>
      <c r="BD7" s="18">
        <v>0</v>
      </c>
      <c r="BE7" s="18">
        <v>0</v>
      </c>
      <c r="BF7" s="18">
        <v>0</v>
      </c>
      <c r="BG7" s="18">
        <v>0</v>
      </c>
      <c r="BH7" s="18">
        <v>18.600000000000001</v>
      </c>
      <c r="BI7" s="18">
        <v>8.1</v>
      </c>
      <c r="BJ7" s="18">
        <v>0.8</v>
      </c>
      <c r="BK7" s="18">
        <v>0.3</v>
      </c>
      <c r="BL7" s="18"/>
      <c r="BM7" s="18"/>
      <c r="BN7" s="18"/>
      <c r="BO7" s="18"/>
      <c r="BP7" s="18"/>
      <c r="BQ7" s="18"/>
      <c r="BR7" s="18"/>
      <c r="BS7" s="18"/>
      <c r="BT7" s="28"/>
      <c r="BU7" s="11">
        <f t="shared" si="20"/>
        <v>9.1999999999999993</v>
      </c>
      <c r="BV7" s="11">
        <f t="shared" si="21"/>
        <v>26.5</v>
      </c>
      <c r="BW7" s="11">
        <f t="shared" si="22"/>
        <v>26.200000000000003</v>
      </c>
      <c r="BX7" s="11">
        <f t="shared" si="23"/>
        <v>17.299999999999997</v>
      </c>
      <c r="BY7" s="11">
        <f t="shared" si="24"/>
        <v>52.7</v>
      </c>
      <c r="BZ7" s="11" t="str">
        <f t="shared" si="25"/>
        <v/>
      </c>
      <c r="CA7" s="11" t="str">
        <f t="shared" si="26"/>
        <v/>
      </c>
      <c r="CB7" s="11">
        <f t="shared" si="27"/>
        <v>52.7</v>
      </c>
      <c r="CC7" s="19">
        <v>18.399999999999999</v>
      </c>
      <c r="CD7" s="19">
        <v>7.6</v>
      </c>
      <c r="CE7" s="19">
        <v>1</v>
      </c>
      <c r="CF7" s="19">
        <v>0</v>
      </c>
      <c r="CG7" s="19">
        <v>19</v>
      </c>
      <c r="CH7" s="19">
        <v>8</v>
      </c>
      <c r="CI7" s="19">
        <v>0.6</v>
      </c>
      <c r="CJ7" s="19">
        <v>0</v>
      </c>
      <c r="CK7" s="19">
        <v>19.2</v>
      </c>
      <c r="CL7" s="19">
        <v>8</v>
      </c>
      <c r="CM7" s="19">
        <v>0.6</v>
      </c>
      <c r="CN7" s="19">
        <v>0.3</v>
      </c>
      <c r="CO7" s="19">
        <v>18.399999999999999</v>
      </c>
      <c r="CP7" s="19">
        <v>9.1999999999999993</v>
      </c>
      <c r="CQ7" s="19">
        <v>0.6</v>
      </c>
      <c r="CR7" s="19">
        <v>0.3</v>
      </c>
      <c r="CS7" s="19">
        <v>18.399999999999999</v>
      </c>
      <c r="CT7" s="19">
        <v>8.9</v>
      </c>
      <c r="CU7" s="19">
        <v>0.6</v>
      </c>
      <c r="CV7" s="19">
        <v>0.3</v>
      </c>
      <c r="CW7" s="27"/>
      <c r="CX7" s="40">
        <f t="shared" si="28"/>
        <v>15.6</v>
      </c>
      <c r="CY7" s="40">
        <f t="shared" si="29"/>
        <v>51.4</v>
      </c>
      <c r="CZ7" s="40">
        <f t="shared" si="30"/>
        <v>26.9</v>
      </c>
      <c r="DA7" s="40">
        <f t="shared" si="31"/>
        <v>23.6</v>
      </c>
      <c r="DB7" s="40">
        <f t="shared" si="32"/>
        <v>78.3</v>
      </c>
      <c r="DC7" s="40">
        <f t="shared" si="33"/>
        <v>18.100000000000001</v>
      </c>
      <c r="DD7" s="40">
        <f t="shared" si="34"/>
        <v>54.29999999999999</v>
      </c>
      <c r="DE7" s="40">
        <f t="shared" si="35"/>
        <v>132.6</v>
      </c>
      <c r="DF7" s="50">
        <f t="shared" si="36"/>
        <v>5.9999999999999929</v>
      </c>
      <c r="DG7" s="50" t="str">
        <f t="shared" si="37"/>
        <v/>
      </c>
      <c r="DH7" s="50" t="str">
        <f t="shared" si="38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39"/>
        <v/>
      </c>
      <c r="ED7" s="40" t="str">
        <f t="shared" si="40"/>
        <v/>
      </c>
      <c r="EE7" s="40" t="str">
        <f t="shared" si="41"/>
        <v/>
      </c>
      <c r="EF7" s="40" t="str">
        <f t="shared" si="42"/>
        <v/>
      </c>
      <c r="EG7" s="40" t="str">
        <f t="shared" si="43"/>
        <v/>
      </c>
      <c r="EH7" s="40" t="str">
        <f t="shared" si="44"/>
        <v/>
      </c>
      <c r="EI7" s="40" t="str">
        <f t="shared" si="45"/>
        <v/>
      </c>
      <c r="EJ7" s="40" t="str">
        <f t="shared" si="46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1" t="str">
        <f t="shared" si="52"/>
        <v/>
      </c>
      <c r="FK7" s="11" t="str">
        <f t="shared" si="53"/>
        <v/>
      </c>
      <c r="FL7" s="11" t="str">
        <f t="shared" si="54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5"/>
        <v/>
      </c>
      <c r="GH7" s="40" t="str">
        <f t="shared" si="56"/>
        <v/>
      </c>
      <c r="GI7" s="40" t="str">
        <f t="shared" si="57"/>
        <v/>
      </c>
      <c r="GJ7" s="40" t="str">
        <f t="shared" si="58"/>
        <v/>
      </c>
      <c r="GK7" s="40" t="str">
        <f t="shared" si="59"/>
        <v/>
      </c>
      <c r="GL7" s="40" t="str">
        <f t="shared" si="60"/>
        <v/>
      </c>
      <c r="GM7" s="40" t="str">
        <f t="shared" si="61"/>
        <v/>
      </c>
      <c r="GN7" s="40" t="str">
        <f t="shared" si="62"/>
        <v/>
      </c>
      <c r="GO7" s="18">
        <v>18.7</v>
      </c>
      <c r="GP7" s="18">
        <v>8.4</v>
      </c>
      <c r="GQ7" s="18">
        <v>0.8</v>
      </c>
      <c r="GR7" s="18">
        <v>0</v>
      </c>
      <c r="GS7" s="18">
        <v>16.899999999999999</v>
      </c>
      <c r="GT7" s="18">
        <v>8</v>
      </c>
      <c r="GU7" s="18">
        <v>1</v>
      </c>
      <c r="GV7" s="18">
        <v>0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>
        <f t="shared" si="63"/>
        <v>16.399999999999999</v>
      </c>
      <c r="HJ7" s="11">
        <f t="shared" si="64"/>
        <v>50.2</v>
      </c>
      <c r="HK7" s="11" t="str">
        <f t="shared" si="65"/>
        <v/>
      </c>
      <c r="HL7" s="11">
        <f t="shared" si="66"/>
        <v>16.399999999999999</v>
      </c>
      <c r="HM7" s="11">
        <f t="shared" si="67"/>
        <v>50.2</v>
      </c>
      <c r="HN7" s="11" t="str">
        <f t="shared" si="68"/>
        <v/>
      </c>
      <c r="HO7" s="11" t="str">
        <f t="shared" si="69"/>
        <v/>
      </c>
      <c r="HP7" s="11">
        <f t="shared" si="70"/>
        <v>50.2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>
        <v>18.600000000000001</v>
      </c>
      <c r="ID7" s="17">
        <v>8</v>
      </c>
      <c r="IE7" s="17">
        <v>0.8</v>
      </c>
      <c r="IF7" s="17">
        <v>0</v>
      </c>
      <c r="IG7" s="17">
        <v>18.600000000000001</v>
      </c>
      <c r="IH7" s="17">
        <v>9.1999999999999993</v>
      </c>
      <c r="II7" s="17">
        <v>0.6</v>
      </c>
      <c r="IJ7" s="17">
        <v>0</v>
      </c>
      <c r="IK7" s="40" t="str">
        <f t="shared" si="71"/>
        <v/>
      </c>
      <c r="IL7" s="40" t="str">
        <f t="shared" si="72"/>
        <v/>
      </c>
      <c r="IM7" s="40" t="str">
        <f t="shared" si="73"/>
        <v/>
      </c>
      <c r="IN7" s="40" t="str">
        <f t="shared" si="74"/>
        <v/>
      </c>
      <c r="IO7" s="40" t="str">
        <f t="shared" si="75"/>
        <v/>
      </c>
      <c r="IP7" s="40">
        <f t="shared" si="76"/>
        <v>17.2</v>
      </c>
      <c r="IQ7" s="40">
        <f t="shared" si="77"/>
        <v>53.000000000000007</v>
      </c>
      <c r="IR7" s="40">
        <f t="shared" si="78"/>
        <v>53.000000000000007</v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1" t="str">
        <f t="shared" si="84"/>
        <v/>
      </c>
      <c r="JS7" s="11" t="str">
        <f t="shared" si="85"/>
        <v/>
      </c>
      <c r="JT7" s="11" t="str">
        <f t="shared" si="86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7"/>
        <v/>
      </c>
      <c r="KP7" s="40" t="str">
        <f t="shared" si="88"/>
        <v/>
      </c>
      <c r="KQ7" s="40" t="str">
        <f t="shared" si="89"/>
        <v/>
      </c>
      <c r="KR7" s="40" t="str">
        <f t="shared" si="90"/>
        <v/>
      </c>
      <c r="KS7" s="40" t="str">
        <f t="shared" si="91"/>
        <v/>
      </c>
      <c r="KT7" s="40" t="str">
        <f t="shared" si="92"/>
        <v/>
      </c>
      <c r="KU7" s="40" t="str">
        <f t="shared" si="93"/>
        <v/>
      </c>
      <c r="KV7" s="40" t="str">
        <f t="shared" si="94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1" t="str">
        <f t="shared" si="100"/>
        <v/>
      </c>
      <c r="LW7" s="11" t="str">
        <f t="shared" si="101"/>
        <v/>
      </c>
      <c r="LX7" s="11" t="str">
        <f t="shared" si="102"/>
        <v/>
      </c>
      <c r="LY7" s="17">
        <v>18.600000000000001</v>
      </c>
      <c r="LZ7" s="17">
        <v>9.1999999999999993</v>
      </c>
      <c r="MA7" s="17">
        <v>0.6</v>
      </c>
      <c r="MB7" s="17">
        <v>0</v>
      </c>
      <c r="MC7" s="17">
        <v>16.5</v>
      </c>
      <c r="MD7" s="17">
        <v>8.9</v>
      </c>
      <c r="ME7" s="17">
        <v>0.2</v>
      </c>
      <c r="MF7" s="17">
        <v>0</v>
      </c>
      <c r="MG7" s="17"/>
      <c r="MH7" s="17"/>
      <c r="MI7" s="17"/>
      <c r="MJ7" s="17"/>
      <c r="MK7" s="17">
        <v>18.7</v>
      </c>
      <c r="ML7" s="17">
        <v>9.1999999999999993</v>
      </c>
      <c r="MM7" s="17">
        <v>0.8</v>
      </c>
      <c r="MN7" s="17">
        <v>0</v>
      </c>
      <c r="MO7" s="17">
        <v>0</v>
      </c>
      <c r="MP7" s="17">
        <v>0</v>
      </c>
      <c r="MQ7" s="17">
        <v>0</v>
      </c>
      <c r="MR7" s="17">
        <v>0</v>
      </c>
      <c r="MS7" s="40">
        <f t="shared" si="103"/>
        <v>18.100000000000001</v>
      </c>
      <c r="MT7" s="40">
        <f t="shared" si="104"/>
        <v>52.399999999999991</v>
      </c>
      <c r="MU7" s="40" t="str">
        <f t="shared" si="105"/>
        <v/>
      </c>
      <c r="MV7" s="40">
        <f t="shared" si="106"/>
        <v>18.100000000000001</v>
      </c>
      <c r="MW7" s="40">
        <f t="shared" si="107"/>
        <v>52.399999999999991</v>
      </c>
      <c r="MX7" s="40">
        <f t="shared" si="108"/>
        <v>9.1999999999999993</v>
      </c>
      <c r="MY7" s="40">
        <f t="shared" si="109"/>
        <v>27.099999999999998</v>
      </c>
      <c r="MZ7" s="40">
        <f t="shared" si="110"/>
        <v>79.499999999999986</v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1" t="str">
        <f t="shared" si="116"/>
        <v/>
      </c>
      <c r="OA7" s="11" t="str">
        <f t="shared" si="117"/>
        <v/>
      </c>
      <c r="OB7" s="11" t="str">
        <f t="shared" si="118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40" t="str">
        <f t="shared" si="124"/>
        <v/>
      </c>
      <c r="PC7" s="40" t="str">
        <f t="shared" si="125"/>
        <v/>
      </c>
      <c r="PD7" s="40" t="str">
        <f t="shared" si="126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11" t="str">
        <f t="shared" si="132"/>
        <v/>
      </c>
      <c r="QE7" s="11" t="str">
        <f t="shared" si="133"/>
        <v/>
      </c>
      <c r="QF7" s="11" t="str">
        <f t="shared" si="134"/>
        <v/>
      </c>
      <c r="QG7" s="22">
        <f t="shared" si="135"/>
        <v>17.799999999999997</v>
      </c>
      <c r="QH7" s="22">
        <f t="shared" si="136"/>
        <v>8.3999999999999986</v>
      </c>
      <c r="QI7" s="22">
        <f t="shared" si="137"/>
        <v>0.6</v>
      </c>
      <c r="QJ7" s="22">
        <f t="shared" si="138"/>
        <v>0.15</v>
      </c>
      <c r="QK7" s="22">
        <f t="shared" si="139"/>
        <v>9.5</v>
      </c>
      <c r="QL7" s="22">
        <f t="shared" si="140"/>
        <v>4</v>
      </c>
      <c r="QM7" s="22">
        <f t="shared" si="141"/>
        <v>0.3</v>
      </c>
      <c r="QN7" s="22">
        <f t="shared" si="142"/>
        <v>0</v>
      </c>
      <c r="QO7" s="22">
        <f t="shared" si="143"/>
        <v>18.899999999999999</v>
      </c>
      <c r="QP7" s="22">
        <f t="shared" si="144"/>
        <v>8.0500000000000007</v>
      </c>
      <c r="QQ7" s="22">
        <f t="shared" si="145"/>
        <v>0.7</v>
      </c>
      <c r="QR7" s="22">
        <f t="shared" si="146"/>
        <v>0.3</v>
      </c>
      <c r="QS7" s="22">
        <f t="shared" si="147"/>
        <v>9.1999999999999993</v>
      </c>
      <c r="QT7" s="22">
        <f t="shared" si="148"/>
        <v>4.5999999999999996</v>
      </c>
      <c r="QU7" s="22">
        <f t="shared" si="149"/>
        <v>0.3</v>
      </c>
      <c r="QV7" s="22">
        <f t="shared" si="150"/>
        <v>0.15</v>
      </c>
      <c r="QW7" s="22">
        <f t="shared" si="151"/>
        <v>9.1999999999999993</v>
      </c>
      <c r="QX7" s="22">
        <f t="shared" si="152"/>
        <v>4.45</v>
      </c>
      <c r="QY7" s="22">
        <f t="shared" si="153"/>
        <v>0.3</v>
      </c>
      <c r="QZ7" s="22">
        <f t="shared" si="154"/>
        <v>0.15</v>
      </c>
      <c r="RA7" s="27" t="s">
        <v>46</v>
      </c>
      <c r="RB7" s="40">
        <f t="shared" si="155"/>
        <v>12.399999999999999</v>
      </c>
      <c r="RC7" s="40">
        <f t="shared" si="156"/>
        <v>38.949999999999996</v>
      </c>
      <c r="RD7" s="40">
        <f t="shared" si="157"/>
        <v>26.55</v>
      </c>
      <c r="RE7" s="40">
        <f t="shared" si="158"/>
        <v>20.45</v>
      </c>
      <c r="RF7" s="40">
        <f t="shared" si="159"/>
        <v>65.5</v>
      </c>
      <c r="RG7" s="40">
        <f t="shared" si="160"/>
        <v>9.0500000000000007</v>
      </c>
      <c r="RH7" s="40">
        <f t="shared" si="161"/>
        <v>27.149999999999995</v>
      </c>
      <c r="RI7" s="40">
        <f t="shared" si="162"/>
        <v>92.649999999999991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115</v>
      </c>
      <c r="D8" s="4" t="s">
        <v>114</v>
      </c>
      <c r="E8" s="4">
        <v>2002</v>
      </c>
      <c r="F8" s="9">
        <f t="shared" si="163"/>
        <v>182.50001297000529</v>
      </c>
      <c r="G8" s="66" t="s">
        <v>46</v>
      </c>
      <c r="H8" s="3" t="str">
        <f t="shared" si="0"/>
        <v>P</v>
      </c>
      <c r="I8" s="3" t="str">
        <f t="shared" si="1"/>
        <v>P</v>
      </c>
      <c r="J8" s="36" t="str">
        <f t="shared" si="2"/>
        <v>National Team</v>
      </c>
      <c r="K8" s="3" t="str">
        <f t="shared" si="3"/>
        <v/>
      </c>
      <c r="L8" s="8">
        <f>IF(COUNT(AS8,BV8,CY8)&gt;0,LARGE((AS8,BV8,CY8),1),0)</f>
        <v>52.9</v>
      </c>
      <c r="M8" s="8" t="str">
        <f t="shared" si="4"/>
        <v>2023 Nationals</v>
      </c>
      <c r="N8" s="8">
        <f>IF(COUNT(AS8,BV8,CY8)&gt;1,LARGE((AS8,BV8,CY8),2),0)</f>
        <v>51.4</v>
      </c>
      <c r="O8" s="8" t="str">
        <f t="shared" si="5"/>
        <v>2023 3rd Domestic Trial</v>
      </c>
      <c r="P8" s="8">
        <f>IF(COUNT(AT8,BW8,CZ8)&gt;0,LARGE((AT8,BW8,CZ8),1),0)</f>
        <v>25.4</v>
      </c>
      <c r="Q8" s="8" t="str">
        <f t="shared" si="6"/>
        <v>2023 3rd Domestic Trial</v>
      </c>
      <c r="R8" s="8">
        <f t="shared" si="7"/>
        <v>52.800000000000004</v>
      </c>
      <c r="S8" s="8" t="str">
        <f t="shared" si="8"/>
        <v>2023 Nationals</v>
      </c>
      <c r="T8" s="8" t="str">
        <f t="shared" si="9"/>
        <v/>
      </c>
      <c r="U8" s="11" t="str">
        <f t="shared" si="10"/>
        <v/>
      </c>
      <c r="V8" s="8" t="str">
        <f t="shared" si="11"/>
        <v/>
      </c>
      <c r="W8" s="19">
        <v>9.25</v>
      </c>
      <c r="X8" s="19">
        <v>3.6</v>
      </c>
      <c r="Y8" s="19">
        <v>0</v>
      </c>
      <c r="Z8" s="19">
        <v>0</v>
      </c>
      <c r="AA8" s="19">
        <v>9.25</v>
      </c>
      <c r="AB8" s="19">
        <v>3.4</v>
      </c>
      <c r="AC8" s="19">
        <v>0.4</v>
      </c>
      <c r="AD8" s="19">
        <v>0</v>
      </c>
      <c r="AE8" s="19">
        <v>8.6</v>
      </c>
      <c r="AF8" s="19">
        <v>1.6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 t="s">
        <v>46</v>
      </c>
      <c r="AR8" s="40">
        <f t="shared" si="12"/>
        <v>7</v>
      </c>
      <c r="AS8" s="40">
        <f t="shared" si="13"/>
        <v>25.1</v>
      </c>
      <c r="AT8" s="40">
        <f t="shared" si="14"/>
        <v>10.199999999999999</v>
      </c>
      <c r="AU8" s="40">
        <f t="shared" si="15"/>
        <v>8.6</v>
      </c>
      <c r="AV8" s="40">
        <f t="shared" si="16"/>
        <v>35.299999999999997</v>
      </c>
      <c r="AW8" s="40" t="str">
        <f t="shared" si="17"/>
        <v/>
      </c>
      <c r="AX8" s="40" t="str">
        <f t="shared" si="18"/>
        <v/>
      </c>
      <c r="AY8" s="40">
        <f t="shared" si="19"/>
        <v>35.299999999999997</v>
      </c>
      <c r="AZ8" s="18">
        <v>19.2</v>
      </c>
      <c r="BA8" s="18">
        <v>7.2</v>
      </c>
      <c r="BB8" s="18">
        <v>0</v>
      </c>
      <c r="BC8" s="18">
        <v>0</v>
      </c>
      <c r="BD8" s="18">
        <v>18.899999999999999</v>
      </c>
      <c r="BE8" s="18">
        <v>7.6</v>
      </c>
      <c r="BF8" s="18">
        <v>0</v>
      </c>
      <c r="BG8" s="18">
        <v>0</v>
      </c>
      <c r="BH8" s="18">
        <v>17.899999999999999</v>
      </c>
      <c r="BI8" s="18">
        <v>7.7</v>
      </c>
      <c r="BJ8" s="18">
        <v>0.6</v>
      </c>
      <c r="BK8" s="18">
        <v>0</v>
      </c>
      <c r="BL8" s="18">
        <v>19</v>
      </c>
      <c r="BM8" s="18">
        <v>7.6</v>
      </c>
      <c r="BN8" s="18">
        <v>0</v>
      </c>
      <c r="BO8" s="18">
        <v>0</v>
      </c>
      <c r="BP8" s="18">
        <v>18.600000000000001</v>
      </c>
      <c r="BQ8" s="18">
        <v>7.6</v>
      </c>
      <c r="BR8" s="18">
        <v>0</v>
      </c>
      <c r="BS8" s="18">
        <v>0</v>
      </c>
      <c r="BT8" s="28"/>
      <c r="BU8" s="11">
        <f t="shared" si="20"/>
        <v>14.8</v>
      </c>
      <c r="BV8" s="11">
        <f t="shared" si="21"/>
        <v>52.9</v>
      </c>
      <c r="BW8" s="11">
        <f t="shared" si="22"/>
        <v>24.999999999999996</v>
      </c>
      <c r="BX8" s="11">
        <f t="shared" si="23"/>
        <v>22.5</v>
      </c>
      <c r="BY8" s="11">
        <f t="shared" si="24"/>
        <v>77.899999999999991</v>
      </c>
      <c r="BZ8" s="11">
        <f t="shared" si="25"/>
        <v>15.2</v>
      </c>
      <c r="CA8" s="11">
        <f t="shared" si="26"/>
        <v>52.800000000000004</v>
      </c>
      <c r="CB8" s="11">
        <f t="shared" si="27"/>
        <v>130.69999999999999</v>
      </c>
      <c r="CC8" s="19">
        <v>19.2</v>
      </c>
      <c r="CD8" s="19">
        <v>7.2</v>
      </c>
      <c r="CE8" s="19">
        <v>0.6</v>
      </c>
      <c r="CF8" s="19">
        <v>0</v>
      </c>
      <c r="CG8" s="19">
        <v>18.600000000000001</v>
      </c>
      <c r="CH8" s="19">
        <v>7.6</v>
      </c>
      <c r="CI8" s="19">
        <v>0.6</v>
      </c>
      <c r="CJ8" s="19">
        <v>0</v>
      </c>
      <c r="CK8" s="19">
        <v>18.3</v>
      </c>
      <c r="CL8" s="19">
        <v>7.7</v>
      </c>
      <c r="CM8" s="19">
        <v>0.6</v>
      </c>
      <c r="CN8" s="19">
        <v>0</v>
      </c>
      <c r="CO8" s="19">
        <v>19.100000000000001</v>
      </c>
      <c r="CP8" s="19">
        <v>7.2</v>
      </c>
      <c r="CQ8" s="19">
        <v>0</v>
      </c>
      <c r="CR8" s="19">
        <v>0</v>
      </c>
      <c r="CS8" s="19">
        <v>18.8</v>
      </c>
      <c r="CT8" s="19">
        <v>6.8</v>
      </c>
      <c r="CU8" s="19">
        <v>0</v>
      </c>
      <c r="CV8" s="19">
        <v>0</v>
      </c>
      <c r="CW8" s="27"/>
      <c r="CX8" s="40">
        <f t="shared" si="28"/>
        <v>14.8</v>
      </c>
      <c r="CY8" s="40">
        <f t="shared" si="29"/>
        <v>51.4</v>
      </c>
      <c r="CZ8" s="40">
        <f t="shared" si="30"/>
        <v>25.4</v>
      </c>
      <c r="DA8" s="40">
        <f t="shared" si="31"/>
        <v>22.5</v>
      </c>
      <c r="DB8" s="40">
        <f t="shared" si="32"/>
        <v>76.8</v>
      </c>
      <c r="DC8" s="40">
        <f t="shared" si="33"/>
        <v>14</v>
      </c>
      <c r="DD8" s="40">
        <f t="shared" si="34"/>
        <v>51.9</v>
      </c>
      <c r="DE8" s="40">
        <f t="shared" si="35"/>
        <v>128.69999999999999</v>
      </c>
      <c r="DF8" s="50" t="str">
        <f t="shared" si="36"/>
        <v/>
      </c>
      <c r="DG8" s="50" t="str">
        <f t="shared" si="37"/>
        <v/>
      </c>
      <c r="DH8" s="50" t="str">
        <f t="shared" si="38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39"/>
        <v/>
      </c>
      <c r="ED8" s="40" t="str">
        <f t="shared" si="40"/>
        <v/>
      </c>
      <c r="EE8" s="40" t="str">
        <f t="shared" si="41"/>
        <v/>
      </c>
      <c r="EF8" s="40" t="str">
        <f t="shared" si="42"/>
        <v/>
      </c>
      <c r="EG8" s="40" t="str">
        <f t="shared" si="43"/>
        <v/>
      </c>
      <c r="EH8" s="40" t="str">
        <f t="shared" si="44"/>
        <v/>
      </c>
      <c r="EI8" s="40" t="str">
        <f t="shared" si="45"/>
        <v/>
      </c>
      <c r="EJ8" s="40" t="str">
        <f t="shared" si="46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1" t="str">
        <f t="shared" si="52"/>
        <v/>
      </c>
      <c r="FK8" s="11" t="str">
        <f t="shared" si="53"/>
        <v/>
      </c>
      <c r="FL8" s="11" t="str">
        <f t="shared" si="54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5"/>
        <v/>
      </c>
      <c r="GH8" s="40" t="str">
        <f t="shared" si="56"/>
        <v/>
      </c>
      <c r="GI8" s="40" t="str">
        <f t="shared" si="57"/>
        <v/>
      </c>
      <c r="GJ8" s="40" t="str">
        <f t="shared" si="58"/>
        <v/>
      </c>
      <c r="GK8" s="40" t="str">
        <f t="shared" si="59"/>
        <v/>
      </c>
      <c r="GL8" s="40" t="str">
        <f t="shared" si="60"/>
        <v/>
      </c>
      <c r="GM8" s="40" t="str">
        <f t="shared" si="61"/>
        <v/>
      </c>
      <c r="GN8" s="40" t="str">
        <f t="shared" si="62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1" t="str">
        <f t="shared" si="68"/>
        <v/>
      </c>
      <c r="HO8" s="11" t="str">
        <f t="shared" si="69"/>
        <v/>
      </c>
      <c r="HP8" s="11" t="str">
        <f t="shared" si="70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1"/>
        <v/>
      </c>
      <c r="IL8" s="40" t="str">
        <f t="shared" si="72"/>
        <v/>
      </c>
      <c r="IM8" s="40" t="str">
        <f t="shared" si="73"/>
        <v/>
      </c>
      <c r="IN8" s="40" t="str">
        <f t="shared" si="74"/>
        <v/>
      </c>
      <c r="IO8" s="40" t="str">
        <f t="shared" si="75"/>
        <v/>
      </c>
      <c r="IP8" s="40" t="str">
        <f t="shared" si="76"/>
        <v/>
      </c>
      <c r="IQ8" s="40" t="str">
        <f t="shared" si="77"/>
        <v/>
      </c>
      <c r="IR8" s="40" t="str">
        <f t="shared" si="78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1" t="str">
        <f t="shared" si="84"/>
        <v/>
      </c>
      <c r="JS8" s="11" t="str">
        <f t="shared" si="85"/>
        <v/>
      </c>
      <c r="JT8" s="11" t="str">
        <f t="shared" si="86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7"/>
        <v/>
      </c>
      <c r="KP8" s="40" t="str">
        <f t="shared" si="88"/>
        <v/>
      </c>
      <c r="KQ8" s="40" t="str">
        <f t="shared" si="89"/>
        <v/>
      </c>
      <c r="KR8" s="40" t="str">
        <f t="shared" si="90"/>
        <v/>
      </c>
      <c r="KS8" s="40" t="str">
        <f t="shared" si="91"/>
        <v/>
      </c>
      <c r="KT8" s="40" t="str">
        <f t="shared" si="92"/>
        <v/>
      </c>
      <c r="KU8" s="40" t="str">
        <f t="shared" si="93"/>
        <v/>
      </c>
      <c r="KV8" s="40" t="str">
        <f t="shared" si="94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1" t="str">
        <f t="shared" si="100"/>
        <v/>
      </c>
      <c r="LW8" s="11" t="str">
        <f t="shared" si="101"/>
        <v/>
      </c>
      <c r="LX8" s="11" t="str">
        <f t="shared" si="102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40" t="str">
        <f t="shared" si="108"/>
        <v/>
      </c>
      <c r="MY8" s="40" t="str">
        <f t="shared" si="109"/>
        <v/>
      </c>
      <c r="MZ8" s="40" t="str">
        <f t="shared" si="110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1" t="str">
        <f t="shared" si="116"/>
        <v/>
      </c>
      <c r="OA8" s="11" t="str">
        <f t="shared" si="117"/>
        <v/>
      </c>
      <c r="OB8" s="11" t="str">
        <f t="shared" si="118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40" t="str">
        <f t="shared" si="124"/>
        <v/>
      </c>
      <c r="PC8" s="40" t="str">
        <f t="shared" si="125"/>
        <v/>
      </c>
      <c r="PD8" s="40" t="str">
        <f t="shared" si="126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11" t="str">
        <f t="shared" si="132"/>
        <v/>
      </c>
      <c r="QE8" s="11" t="str">
        <f t="shared" si="133"/>
        <v/>
      </c>
      <c r="QF8" s="11" t="str">
        <f t="shared" si="134"/>
        <v/>
      </c>
      <c r="QG8" s="22">
        <f t="shared" si="135"/>
        <v>19.2</v>
      </c>
      <c r="QH8" s="22">
        <f t="shared" si="136"/>
        <v>7.2</v>
      </c>
      <c r="QI8" s="22">
        <f t="shared" si="137"/>
        <v>0.3</v>
      </c>
      <c r="QJ8" s="22">
        <f t="shared" si="138"/>
        <v>0</v>
      </c>
      <c r="QK8" s="22">
        <f t="shared" si="139"/>
        <v>18.75</v>
      </c>
      <c r="QL8" s="22">
        <f t="shared" si="140"/>
        <v>7.6</v>
      </c>
      <c r="QM8" s="22">
        <f t="shared" si="141"/>
        <v>0.3</v>
      </c>
      <c r="QN8" s="22">
        <f t="shared" si="142"/>
        <v>0</v>
      </c>
      <c r="QO8" s="22">
        <f t="shared" si="143"/>
        <v>18.100000000000001</v>
      </c>
      <c r="QP8" s="22">
        <f t="shared" si="144"/>
        <v>7.7</v>
      </c>
      <c r="QQ8" s="22">
        <f t="shared" si="145"/>
        <v>0.6</v>
      </c>
      <c r="QR8" s="22">
        <f t="shared" si="146"/>
        <v>0</v>
      </c>
      <c r="QS8" s="22">
        <f t="shared" si="147"/>
        <v>19.05</v>
      </c>
      <c r="QT8" s="22">
        <f t="shared" si="148"/>
        <v>7.4</v>
      </c>
      <c r="QU8" s="22">
        <f t="shared" si="149"/>
        <v>0</v>
      </c>
      <c r="QV8" s="22">
        <f t="shared" si="150"/>
        <v>0</v>
      </c>
      <c r="QW8" s="22">
        <f t="shared" si="151"/>
        <v>18.700000000000003</v>
      </c>
      <c r="QX8" s="22">
        <f t="shared" si="152"/>
        <v>7.1999999999999993</v>
      </c>
      <c r="QY8" s="22">
        <f t="shared" si="153"/>
        <v>0</v>
      </c>
      <c r="QZ8" s="22">
        <f t="shared" si="154"/>
        <v>0</v>
      </c>
      <c r="RA8" s="27" t="s">
        <v>46</v>
      </c>
      <c r="RB8" s="40">
        <f t="shared" si="155"/>
        <v>14.8</v>
      </c>
      <c r="RC8" s="40">
        <f t="shared" si="156"/>
        <v>52.150000000000006</v>
      </c>
      <c r="RD8" s="40">
        <f t="shared" si="157"/>
        <v>25.2</v>
      </c>
      <c r="RE8" s="40">
        <f t="shared" si="158"/>
        <v>22.5</v>
      </c>
      <c r="RF8" s="40">
        <f t="shared" si="159"/>
        <v>77.350000000000009</v>
      </c>
      <c r="RG8" s="40">
        <f t="shared" si="160"/>
        <v>14.6</v>
      </c>
      <c r="RH8" s="40">
        <f t="shared" si="161"/>
        <v>52.350000000000009</v>
      </c>
      <c r="RI8" s="40">
        <f t="shared" si="162"/>
        <v>129.70000000000002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t="str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/>
      </c>
      <c r="C9" s="5" t="s">
        <v>116</v>
      </c>
      <c r="D9" s="4" t="s">
        <v>3</v>
      </c>
      <c r="E9" s="4">
        <v>2002</v>
      </c>
      <c r="F9" s="9">
        <f t="shared" si="163"/>
        <v>179.60001266500515</v>
      </c>
      <c r="G9" s="66" t="s">
        <v>46</v>
      </c>
      <c r="H9" s="3" t="str">
        <f t="shared" si="0"/>
        <v>P</v>
      </c>
      <c r="I9" s="3" t="str">
        <f t="shared" si="1"/>
        <v>P</v>
      </c>
      <c r="J9" s="36" t="str">
        <f t="shared" si="2"/>
        <v>National Team</v>
      </c>
      <c r="K9" s="3" t="str">
        <f t="shared" si="3"/>
        <v/>
      </c>
      <c r="L9" s="8">
        <f>IF(COUNT(AS9,BV9,CY9)&gt;0,LARGE((AS9,BV9,CY9),1),0)</f>
        <v>51.2</v>
      </c>
      <c r="M9" s="8" t="str">
        <f t="shared" si="4"/>
        <v>2023 Elite Canada</v>
      </c>
      <c r="N9" s="8">
        <f>IF(COUNT(AS9,BV9,CY9)&gt;1,LARGE((AS9,BV9,CY9),2),0)</f>
        <v>50.449999999999996</v>
      </c>
      <c r="O9" s="8" t="str">
        <f t="shared" si="5"/>
        <v>2023 Nationals</v>
      </c>
      <c r="P9" s="8">
        <f>IF(COUNT(AT9,BW9,CZ9)&gt;0,LARGE((AT9,BW9,CZ9),1),0)</f>
        <v>25</v>
      </c>
      <c r="Q9" s="8" t="str">
        <f t="shared" si="6"/>
        <v>2023 Nationals</v>
      </c>
      <c r="R9" s="8">
        <f t="shared" si="7"/>
        <v>51</v>
      </c>
      <c r="S9" s="8" t="str">
        <f t="shared" si="8"/>
        <v>2023 Elite Canada</v>
      </c>
      <c r="T9" s="8">
        <f t="shared" si="9"/>
        <v>1.9500000000000028</v>
      </c>
      <c r="U9" s="11" t="str">
        <f t="shared" si="10"/>
        <v>(Q1)</v>
      </c>
      <c r="V9" s="8" t="str">
        <f t="shared" si="11"/>
        <v>2023 WAGC (Nov 17)</v>
      </c>
      <c r="W9" s="19">
        <v>19</v>
      </c>
      <c r="X9" s="19">
        <v>6.8</v>
      </c>
      <c r="Y9" s="19">
        <v>0</v>
      </c>
      <c r="Z9" s="19">
        <v>0</v>
      </c>
      <c r="AA9" s="19">
        <v>18.399999999999999</v>
      </c>
      <c r="AB9" s="19">
        <v>7.2</v>
      </c>
      <c r="AC9" s="19">
        <v>0.2</v>
      </c>
      <c r="AD9" s="19">
        <v>0</v>
      </c>
      <c r="AE9" s="19">
        <v>18.100000000000001</v>
      </c>
      <c r="AF9" s="19">
        <v>6.8</v>
      </c>
      <c r="AG9" s="19">
        <v>0</v>
      </c>
      <c r="AH9" s="19">
        <v>0</v>
      </c>
      <c r="AI9" s="19">
        <v>18</v>
      </c>
      <c r="AJ9" s="19">
        <v>8.4</v>
      </c>
      <c r="AK9" s="19">
        <v>0.6</v>
      </c>
      <c r="AL9" s="19">
        <v>0</v>
      </c>
      <c r="AM9" s="19">
        <v>18.600000000000001</v>
      </c>
      <c r="AN9" s="19">
        <v>6.8</v>
      </c>
      <c r="AO9" s="19">
        <v>0.2</v>
      </c>
      <c r="AP9" s="19">
        <v>0</v>
      </c>
      <c r="AQ9" s="27"/>
      <c r="AR9" s="40">
        <f t="shared" si="12"/>
        <v>14</v>
      </c>
      <c r="AS9" s="40">
        <f t="shared" si="13"/>
        <v>51.2</v>
      </c>
      <c r="AT9" s="40">
        <f t="shared" si="14"/>
        <v>24.900000000000002</v>
      </c>
      <c r="AU9" s="40">
        <f t="shared" si="15"/>
        <v>20.8</v>
      </c>
      <c r="AV9" s="40">
        <f t="shared" si="16"/>
        <v>76.100000000000009</v>
      </c>
      <c r="AW9" s="40">
        <f t="shared" si="17"/>
        <v>15.2</v>
      </c>
      <c r="AX9" s="40">
        <f t="shared" si="18"/>
        <v>51</v>
      </c>
      <c r="AY9" s="40">
        <f t="shared" si="19"/>
        <v>127.10000000000001</v>
      </c>
      <c r="AZ9" s="18">
        <v>18.7</v>
      </c>
      <c r="BA9" s="18">
        <v>6.8</v>
      </c>
      <c r="BB9" s="18">
        <v>0.1</v>
      </c>
      <c r="BC9" s="18">
        <v>0</v>
      </c>
      <c r="BD9" s="18">
        <v>18.549999999999997</v>
      </c>
      <c r="BE9" s="18">
        <v>6.6</v>
      </c>
      <c r="BF9" s="18">
        <v>0.1</v>
      </c>
      <c r="BG9" s="18">
        <v>0</v>
      </c>
      <c r="BH9" s="18">
        <v>18.5</v>
      </c>
      <c r="BI9" s="18">
        <v>7</v>
      </c>
      <c r="BJ9" s="18">
        <v>0.5</v>
      </c>
      <c r="BK9" s="18">
        <v>0</v>
      </c>
      <c r="BL9" s="18">
        <v>18.05</v>
      </c>
      <c r="BM9" s="18">
        <v>7.2</v>
      </c>
      <c r="BN9" s="18">
        <v>0.7</v>
      </c>
      <c r="BO9" s="18">
        <v>0</v>
      </c>
      <c r="BP9" s="18">
        <v>18.649999999999999</v>
      </c>
      <c r="BQ9" s="18">
        <v>7</v>
      </c>
      <c r="BR9" s="18">
        <v>0.4</v>
      </c>
      <c r="BS9" s="18">
        <v>0</v>
      </c>
      <c r="BT9" s="28" t="s">
        <v>46</v>
      </c>
      <c r="BU9" s="11">
        <f t="shared" si="20"/>
        <v>13.399999999999999</v>
      </c>
      <c r="BV9" s="11">
        <f t="shared" si="21"/>
        <v>50.449999999999996</v>
      </c>
      <c r="BW9" s="11">
        <f t="shared" si="22"/>
        <v>25</v>
      </c>
      <c r="BX9" s="11">
        <f t="shared" si="23"/>
        <v>20.399999999999999</v>
      </c>
      <c r="BY9" s="11">
        <f t="shared" si="24"/>
        <v>75.449999999999989</v>
      </c>
      <c r="BZ9" s="11">
        <f t="shared" si="25"/>
        <v>14.2</v>
      </c>
      <c r="CA9" s="11">
        <f t="shared" si="26"/>
        <v>49.8</v>
      </c>
      <c r="CB9" s="11">
        <f t="shared" si="27"/>
        <v>125.24999999999999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 t="shared" si="28"/>
        <v/>
      </c>
      <c r="CY9" s="40" t="str">
        <f t="shared" si="29"/>
        <v/>
      </c>
      <c r="CZ9" s="40" t="str">
        <f t="shared" si="30"/>
        <v/>
      </c>
      <c r="DA9" s="40" t="str">
        <f t="shared" si="31"/>
        <v/>
      </c>
      <c r="DB9" s="40" t="str">
        <f t="shared" si="32"/>
        <v/>
      </c>
      <c r="DC9" s="40" t="str">
        <f t="shared" si="33"/>
        <v/>
      </c>
      <c r="DD9" s="40" t="str">
        <f t="shared" si="34"/>
        <v/>
      </c>
      <c r="DE9" s="40" t="str">
        <f t="shared" si="35"/>
        <v/>
      </c>
      <c r="DF9" s="50">
        <f t="shared" si="36"/>
        <v>1.9500000000000028</v>
      </c>
      <c r="DG9" s="50" t="str">
        <f t="shared" si="37"/>
        <v/>
      </c>
      <c r="DH9" s="50">
        <f t="shared" si="38"/>
        <v>0.69999999999999574</v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39"/>
        <v/>
      </c>
      <c r="ED9" s="40" t="str">
        <f t="shared" si="40"/>
        <v/>
      </c>
      <c r="EE9" s="40" t="str">
        <f t="shared" si="41"/>
        <v/>
      </c>
      <c r="EF9" s="40" t="str">
        <f t="shared" si="42"/>
        <v/>
      </c>
      <c r="EG9" s="40" t="str">
        <f t="shared" si="43"/>
        <v/>
      </c>
      <c r="EH9" s="40" t="str">
        <f t="shared" si="44"/>
        <v/>
      </c>
      <c r="EI9" s="40" t="str">
        <f t="shared" si="45"/>
        <v/>
      </c>
      <c r="EJ9" s="40" t="str">
        <f t="shared" si="46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1" t="str">
        <f t="shared" si="52"/>
        <v/>
      </c>
      <c r="FK9" s="11" t="str">
        <f t="shared" si="53"/>
        <v/>
      </c>
      <c r="FL9" s="11" t="str">
        <f t="shared" si="54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5"/>
        <v/>
      </c>
      <c r="GH9" s="40" t="str">
        <f t="shared" si="56"/>
        <v/>
      </c>
      <c r="GI9" s="40" t="str">
        <f t="shared" si="57"/>
        <v/>
      </c>
      <c r="GJ9" s="40" t="str">
        <f t="shared" si="58"/>
        <v/>
      </c>
      <c r="GK9" s="40" t="str">
        <f t="shared" si="59"/>
        <v/>
      </c>
      <c r="GL9" s="40" t="str">
        <f t="shared" si="60"/>
        <v/>
      </c>
      <c r="GM9" s="40" t="str">
        <f t="shared" si="61"/>
        <v/>
      </c>
      <c r="GN9" s="40" t="str">
        <f t="shared" si="62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1" t="str">
        <f t="shared" si="68"/>
        <v/>
      </c>
      <c r="HO9" s="11" t="str">
        <f t="shared" si="69"/>
        <v/>
      </c>
      <c r="HP9" s="11" t="str">
        <f t="shared" si="70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1"/>
        <v/>
      </c>
      <c r="IL9" s="40" t="str">
        <f t="shared" si="72"/>
        <v/>
      </c>
      <c r="IM9" s="40" t="str">
        <f t="shared" si="73"/>
        <v/>
      </c>
      <c r="IN9" s="40" t="str">
        <f t="shared" si="74"/>
        <v/>
      </c>
      <c r="IO9" s="40" t="str">
        <f t="shared" si="75"/>
        <v/>
      </c>
      <c r="IP9" s="40" t="str">
        <f t="shared" si="76"/>
        <v/>
      </c>
      <c r="IQ9" s="40" t="str">
        <f t="shared" si="77"/>
        <v/>
      </c>
      <c r="IR9" s="40" t="str">
        <f t="shared" si="78"/>
        <v/>
      </c>
      <c r="IS9" s="18">
        <v>18.399999999999999</v>
      </c>
      <c r="IT9" s="18">
        <v>8.4</v>
      </c>
      <c r="IU9" s="18">
        <v>0.6</v>
      </c>
      <c r="IV9" s="18">
        <v>0</v>
      </c>
      <c r="IW9" s="18">
        <v>18.600000000000001</v>
      </c>
      <c r="IX9" s="18">
        <v>6.8</v>
      </c>
      <c r="IY9" s="18">
        <v>0.2</v>
      </c>
      <c r="IZ9" s="18">
        <v>0</v>
      </c>
      <c r="JA9" s="18"/>
      <c r="JB9" s="18"/>
      <c r="JC9" s="18"/>
      <c r="JD9" s="18"/>
      <c r="JE9" s="18">
        <v>18.600000000000001</v>
      </c>
      <c r="JF9" s="18">
        <v>8.4</v>
      </c>
      <c r="JG9" s="18">
        <v>0.6</v>
      </c>
      <c r="JH9" s="18">
        <v>0</v>
      </c>
      <c r="JI9" s="18">
        <v>19.100000000000001</v>
      </c>
      <c r="JJ9" s="18">
        <v>6.8</v>
      </c>
      <c r="JK9" s="18">
        <v>0.6</v>
      </c>
      <c r="JL9" s="18">
        <v>0</v>
      </c>
      <c r="JM9" s="11">
        <f t="shared" si="79"/>
        <v>15.2</v>
      </c>
      <c r="JN9" s="11">
        <f t="shared" si="80"/>
        <v>51.399999999999991</v>
      </c>
      <c r="JO9" s="11" t="str">
        <f t="shared" si="81"/>
        <v/>
      </c>
      <c r="JP9" s="11">
        <f t="shared" si="82"/>
        <v>15.2</v>
      </c>
      <c r="JQ9" s="11">
        <f t="shared" si="83"/>
        <v>51.399999999999991</v>
      </c>
      <c r="JR9" s="11">
        <f t="shared" si="84"/>
        <v>15.2</v>
      </c>
      <c r="JS9" s="11">
        <f t="shared" si="85"/>
        <v>51.699999999999996</v>
      </c>
      <c r="JT9" s="11">
        <f t="shared" si="86"/>
        <v>103.1</v>
      </c>
      <c r="JU9" s="17">
        <v>18.600000000000001</v>
      </c>
      <c r="JV9" s="17">
        <v>8.4</v>
      </c>
      <c r="JW9" s="17">
        <v>0.6</v>
      </c>
      <c r="JX9" s="17">
        <v>0</v>
      </c>
      <c r="JY9" s="17">
        <v>18.8</v>
      </c>
      <c r="JZ9" s="17">
        <v>6.8</v>
      </c>
      <c r="KA9" s="17">
        <v>0</v>
      </c>
      <c r="KB9" s="17">
        <v>0</v>
      </c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>
        <f t="shared" si="87"/>
        <v>15.2</v>
      </c>
      <c r="KP9" s="40">
        <f t="shared" si="88"/>
        <v>51.999999999999993</v>
      </c>
      <c r="KQ9" s="40" t="str">
        <f t="shared" si="89"/>
        <v/>
      </c>
      <c r="KR9" s="40">
        <f t="shared" si="90"/>
        <v>15.2</v>
      </c>
      <c r="KS9" s="40">
        <f t="shared" si="91"/>
        <v>51.999999999999993</v>
      </c>
      <c r="KT9" s="40" t="str">
        <f t="shared" si="92"/>
        <v/>
      </c>
      <c r="KU9" s="40" t="str">
        <f t="shared" si="93"/>
        <v/>
      </c>
      <c r="KV9" s="40">
        <f t="shared" si="94"/>
        <v>51.999999999999993</v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1" t="str">
        <f t="shared" si="100"/>
        <v/>
      </c>
      <c r="LW9" s="11" t="str">
        <f t="shared" si="101"/>
        <v/>
      </c>
      <c r="LX9" s="11" t="str">
        <f t="shared" si="102"/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40" t="str">
        <f t="shared" si="108"/>
        <v/>
      </c>
      <c r="MY9" s="40" t="str">
        <f t="shared" si="109"/>
        <v/>
      </c>
      <c r="MZ9" s="40" t="str">
        <f t="shared" si="110"/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1" t="str">
        <f t="shared" si="116"/>
        <v/>
      </c>
      <c r="OA9" s="11" t="str">
        <f t="shared" si="117"/>
        <v/>
      </c>
      <c r="OB9" s="11" t="str">
        <f t="shared" si="118"/>
        <v/>
      </c>
      <c r="OC9" s="17">
        <v>18.600000000000001</v>
      </c>
      <c r="OD9" s="17">
        <v>8.4</v>
      </c>
      <c r="OE9" s="17">
        <v>0.6</v>
      </c>
      <c r="OF9" s="17">
        <v>0</v>
      </c>
      <c r="OG9" s="17">
        <v>19.2</v>
      </c>
      <c r="OH9" s="17">
        <v>6.8</v>
      </c>
      <c r="OI9" s="17">
        <v>0</v>
      </c>
      <c r="OJ9" s="17">
        <v>0</v>
      </c>
      <c r="OK9" s="17"/>
      <c r="OL9" s="17"/>
      <c r="OM9" s="17"/>
      <c r="ON9" s="17"/>
      <c r="OO9" s="17">
        <v>19.100000000000001</v>
      </c>
      <c r="OP9" s="17">
        <v>6.8</v>
      </c>
      <c r="OQ9" s="17">
        <v>0.6</v>
      </c>
      <c r="OR9" s="17">
        <v>0</v>
      </c>
      <c r="OS9" s="17">
        <v>18.2</v>
      </c>
      <c r="OT9" s="17">
        <v>6.8</v>
      </c>
      <c r="OU9" s="17">
        <v>1</v>
      </c>
      <c r="OV9" s="17">
        <v>0</v>
      </c>
      <c r="OW9" s="40">
        <f t="shared" si="119"/>
        <v>15.2</v>
      </c>
      <c r="OX9" s="40">
        <f t="shared" si="120"/>
        <v>52.4</v>
      </c>
      <c r="OY9" s="40" t="str">
        <f t="shared" si="121"/>
        <v/>
      </c>
      <c r="OZ9" s="40">
        <f t="shared" si="122"/>
        <v>15.2</v>
      </c>
      <c r="PA9" s="40">
        <f t="shared" si="123"/>
        <v>52.4</v>
      </c>
      <c r="PB9" s="40">
        <f t="shared" si="124"/>
        <v>13.6</v>
      </c>
      <c r="PC9" s="40">
        <f t="shared" si="125"/>
        <v>49.3</v>
      </c>
      <c r="PD9" s="40">
        <f t="shared" si="126"/>
        <v>101.69999999999999</v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11" t="str">
        <f t="shared" si="132"/>
        <v/>
      </c>
      <c r="QE9" s="11" t="str">
        <f t="shared" si="133"/>
        <v/>
      </c>
      <c r="QF9" s="11" t="str">
        <f t="shared" si="134"/>
        <v/>
      </c>
      <c r="QG9" s="22">
        <f t="shared" si="135"/>
        <v>9.35</v>
      </c>
      <c r="QH9" s="22">
        <f t="shared" si="136"/>
        <v>3.4</v>
      </c>
      <c r="QI9" s="22">
        <f t="shared" si="137"/>
        <v>0.05</v>
      </c>
      <c r="QJ9" s="22">
        <f t="shared" si="138"/>
        <v>0</v>
      </c>
      <c r="QK9" s="22">
        <f t="shared" si="139"/>
        <v>9.2749999999999986</v>
      </c>
      <c r="QL9" s="22">
        <f t="shared" si="140"/>
        <v>3.3</v>
      </c>
      <c r="QM9" s="22">
        <f t="shared" si="141"/>
        <v>0.05</v>
      </c>
      <c r="QN9" s="22">
        <f t="shared" si="142"/>
        <v>0</v>
      </c>
      <c r="QO9" s="22">
        <f t="shared" si="143"/>
        <v>9.25</v>
      </c>
      <c r="QP9" s="22">
        <f t="shared" si="144"/>
        <v>3.5</v>
      </c>
      <c r="QQ9" s="22">
        <f t="shared" si="145"/>
        <v>0.25</v>
      </c>
      <c r="QR9" s="22">
        <f t="shared" si="146"/>
        <v>0</v>
      </c>
      <c r="QS9" s="22">
        <f t="shared" si="147"/>
        <v>9.0250000000000004</v>
      </c>
      <c r="QT9" s="22">
        <f t="shared" si="148"/>
        <v>3.6</v>
      </c>
      <c r="QU9" s="22">
        <f t="shared" si="149"/>
        <v>0.35</v>
      </c>
      <c r="QV9" s="22">
        <f t="shared" si="150"/>
        <v>0</v>
      </c>
      <c r="QW9" s="22">
        <f t="shared" si="151"/>
        <v>9.3249999999999993</v>
      </c>
      <c r="QX9" s="22">
        <f t="shared" si="152"/>
        <v>3.5</v>
      </c>
      <c r="QY9" s="22">
        <f t="shared" si="153"/>
        <v>0.2</v>
      </c>
      <c r="QZ9" s="22">
        <f t="shared" si="154"/>
        <v>0</v>
      </c>
      <c r="RA9" s="27" t="s">
        <v>46</v>
      </c>
      <c r="RB9" s="40">
        <f t="shared" si="155"/>
        <v>6.6999999999999993</v>
      </c>
      <c r="RC9" s="40">
        <f t="shared" si="156"/>
        <v>25.224999999999998</v>
      </c>
      <c r="RD9" s="40">
        <f t="shared" si="157"/>
        <v>12.5</v>
      </c>
      <c r="RE9" s="40">
        <f t="shared" si="158"/>
        <v>10.199999999999999</v>
      </c>
      <c r="RF9" s="40">
        <f t="shared" si="159"/>
        <v>37.724999999999994</v>
      </c>
      <c r="RG9" s="40">
        <f t="shared" si="160"/>
        <v>7.1</v>
      </c>
      <c r="RH9" s="40">
        <f t="shared" si="161"/>
        <v>24.9</v>
      </c>
      <c r="RI9" s="40">
        <f t="shared" si="162"/>
        <v>62.624999999999993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>1</v>
      </c>
      <c r="C10" s="5" t="s">
        <v>106</v>
      </c>
      <c r="D10" s="4" t="s">
        <v>4</v>
      </c>
      <c r="E10" s="4">
        <v>2004</v>
      </c>
      <c r="F10" s="9">
        <f t="shared" si="163"/>
        <v>179.00001269000504</v>
      </c>
      <c r="G10" s="66"/>
      <c r="H10" s="3" t="str">
        <f t="shared" si="0"/>
        <v>P</v>
      </c>
      <c r="I10" s="3" t="str">
        <f t="shared" si="1"/>
        <v>P</v>
      </c>
      <c r="J10" s="36" t="str">
        <f t="shared" si="2"/>
        <v>National Team</v>
      </c>
      <c r="K10" s="3" t="str">
        <f t="shared" si="3"/>
        <v/>
      </c>
      <c r="L10" s="8">
        <f>IF(COUNT(AS10,BV10,CY10)&gt;0,LARGE((AS10,BV10,CY10),1),0)</f>
        <v>50.4</v>
      </c>
      <c r="M10" s="8" t="str">
        <f t="shared" si="4"/>
        <v>2023 Nationals</v>
      </c>
      <c r="N10" s="8">
        <f>IF(COUNT(AS10,BV10,CY10)&gt;1,LARGE((AS10,BV10,CY10),2),0)</f>
        <v>50</v>
      </c>
      <c r="O10" s="8" t="str">
        <f t="shared" si="5"/>
        <v>2023 Elite Canada</v>
      </c>
      <c r="P10" s="8">
        <f>IF(COUNT(AT10,BW10,CZ10)&gt;0,LARGE((AT10,BW10,CZ10),1),0)</f>
        <v>26.5</v>
      </c>
      <c r="Q10" s="8" t="str">
        <f t="shared" si="6"/>
        <v>2023 Elite Canada</v>
      </c>
      <c r="R10" s="8">
        <f t="shared" si="7"/>
        <v>51.3</v>
      </c>
      <c r="S10" s="8" t="str">
        <f t="shared" si="8"/>
        <v>2023 Elite Canada</v>
      </c>
      <c r="T10" s="8">
        <f t="shared" si="9"/>
        <v>0.79999999999999716</v>
      </c>
      <c r="U10" s="11" t="str">
        <f t="shared" si="10"/>
        <v>(Q1)</v>
      </c>
      <c r="V10" s="8" t="str">
        <f t="shared" si="11"/>
        <v>2022 WAGC (Nov 23)</v>
      </c>
      <c r="W10" s="19">
        <v>16.5</v>
      </c>
      <c r="X10" s="19">
        <v>8.1</v>
      </c>
      <c r="Y10" s="19">
        <v>0.2</v>
      </c>
      <c r="Z10" s="19">
        <v>0.3</v>
      </c>
      <c r="AA10" s="19">
        <v>18.3</v>
      </c>
      <c r="AB10" s="19">
        <v>7.6</v>
      </c>
      <c r="AC10" s="19">
        <v>0.6</v>
      </c>
      <c r="AD10" s="19">
        <v>0</v>
      </c>
      <c r="AE10" s="19">
        <v>18.5</v>
      </c>
      <c r="AF10" s="19">
        <v>8</v>
      </c>
      <c r="AG10" s="19">
        <v>0</v>
      </c>
      <c r="AH10" s="19">
        <v>0</v>
      </c>
      <c r="AI10" s="19">
        <v>18.3</v>
      </c>
      <c r="AJ10" s="19">
        <v>7.3</v>
      </c>
      <c r="AK10" s="19">
        <v>0.2</v>
      </c>
      <c r="AL10" s="19">
        <v>0.3</v>
      </c>
      <c r="AM10" s="19">
        <v>18.399999999999999</v>
      </c>
      <c r="AN10" s="19">
        <v>8</v>
      </c>
      <c r="AO10" s="19">
        <v>0.8</v>
      </c>
      <c r="AP10" s="19">
        <v>0</v>
      </c>
      <c r="AQ10" s="27"/>
      <c r="AR10" s="40">
        <f t="shared" si="12"/>
        <v>15.7</v>
      </c>
      <c r="AS10" s="40">
        <f t="shared" si="13"/>
        <v>50</v>
      </c>
      <c r="AT10" s="40">
        <f t="shared" si="14"/>
        <v>26.5</v>
      </c>
      <c r="AU10" s="40">
        <f t="shared" si="15"/>
        <v>23.7</v>
      </c>
      <c r="AV10" s="40">
        <f t="shared" si="16"/>
        <v>76.5</v>
      </c>
      <c r="AW10" s="40">
        <f t="shared" si="17"/>
        <v>15.3</v>
      </c>
      <c r="AX10" s="40">
        <f t="shared" si="18"/>
        <v>51.3</v>
      </c>
      <c r="AY10" s="40">
        <f t="shared" si="19"/>
        <v>127.8</v>
      </c>
      <c r="AZ10" s="18">
        <v>17.75</v>
      </c>
      <c r="BA10" s="18">
        <v>7.65</v>
      </c>
      <c r="BB10" s="18">
        <v>0.4</v>
      </c>
      <c r="BC10" s="18">
        <v>0.15</v>
      </c>
      <c r="BD10" s="18">
        <v>18.350000000000001</v>
      </c>
      <c r="BE10" s="18">
        <v>7.6</v>
      </c>
      <c r="BF10" s="18">
        <v>0.7</v>
      </c>
      <c r="BG10" s="18">
        <v>0</v>
      </c>
      <c r="BH10" s="18">
        <v>18.55</v>
      </c>
      <c r="BI10" s="18">
        <v>7.2</v>
      </c>
      <c r="BJ10" s="18">
        <v>0.4</v>
      </c>
      <c r="BK10" s="18">
        <v>0</v>
      </c>
      <c r="BL10" s="18">
        <v>18.600000000000001</v>
      </c>
      <c r="BM10" s="18">
        <v>7.25</v>
      </c>
      <c r="BN10" s="18">
        <v>0.4</v>
      </c>
      <c r="BO10" s="18">
        <v>0.15</v>
      </c>
      <c r="BP10" s="18">
        <v>18.399999999999999</v>
      </c>
      <c r="BQ10" s="18">
        <v>7.8</v>
      </c>
      <c r="BR10" s="18">
        <v>0.7</v>
      </c>
      <c r="BS10" s="18">
        <v>0</v>
      </c>
      <c r="BT10" s="28" t="s">
        <v>46</v>
      </c>
      <c r="BU10" s="11">
        <f t="shared" si="20"/>
        <v>15.25</v>
      </c>
      <c r="BV10" s="11">
        <f t="shared" si="21"/>
        <v>50.4</v>
      </c>
      <c r="BW10" s="11">
        <f t="shared" si="22"/>
        <v>25.35</v>
      </c>
      <c r="BX10" s="11">
        <f t="shared" si="23"/>
        <v>22.45</v>
      </c>
      <c r="BY10" s="11">
        <f t="shared" si="24"/>
        <v>75.75</v>
      </c>
      <c r="BZ10" s="11">
        <f t="shared" si="25"/>
        <v>15.05</v>
      </c>
      <c r="CA10" s="11">
        <f t="shared" si="26"/>
        <v>51.099999999999994</v>
      </c>
      <c r="CB10" s="11">
        <f t="shared" si="27"/>
        <v>126.85</v>
      </c>
      <c r="CC10" s="19">
        <v>17.2</v>
      </c>
      <c r="CD10" s="19">
        <v>3.6</v>
      </c>
      <c r="CE10" s="19">
        <v>0</v>
      </c>
      <c r="CF10" s="19">
        <v>0</v>
      </c>
      <c r="CG10" s="19">
        <v>18.600000000000001</v>
      </c>
      <c r="CH10" s="19">
        <v>7.6</v>
      </c>
      <c r="CI10" s="19">
        <v>1</v>
      </c>
      <c r="CJ10" s="19">
        <v>0</v>
      </c>
      <c r="CK10" s="19">
        <v>17.600000000000001</v>
      </c>
      <c r="CL10" s="19">
        <v>2.8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 t="shared" si="28"/>
        <v>11.2</v>
      </c>
      <c r="CY10" s="40">
        <f t="shared" si="29"/>
        <v>46.000000000000007</v>
      </c>
      <c r="CZ10" s="40">
        <f t="shared" si="30"/>
        <v>20.400000000000002</v>
      </c>
      <c r="DA10" s="40">
        <f t="shared" si="31"/>
        <v>14</v>
      </c>
      <c r="DB10" s="40">
        <f t="shared" si="32"/>
        <v>66.400000000000006</v>
      </c>
      <c r="DC10" s="40" t="str">
        <f t="shared" si="33"/>
        <v/>
      </c>
      <c r="DD10" s="40" t="str">
        <f t="shared" si="34"/>
        <v/>
      </c>
      <c r="DE10" s="40">
        <f t="shared" si="35"/>
        <v>66.400000000000006</v>
      </c>
      <c r="DF10" s="50">
        <f t="shared" si="36"/>
        <v>0.79999999999999716</v>
      </c>
      <c r="DG10" s="50" t="str">
        <f t="shared" si="37"/>
        <v/>
      </c>
      <c r="DH10" s="50" t="str">
        <f t="shared" si="38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39"/>
        <v/>
      </c>
      <c r="ED10" s="40" t="str">
        <f t="shared" si="40"/>
        <v/>
      </c>
      <c r="EE10" s="40" t="str">
        <f t="shared" si="41"/>
        <v/>
      </c>
      <c r="EF10" s="40" t="str">
        <f t="shared" si="42"/>
        <v/>
      </c>
      <c r="EG10" s="40" t="str">
        <f t="shared" si="43"/>
        <v/>
      </c>
      <c r="EH10" s="40" t="str">
        <f t="shared" si="44"/>
        <v/>
      </c>
      <c r="EI10" s="40" t="str">
        <f t="shared" si="45"/>
        <v/>
      </c>
      <c r="EJ10" s="40" t="str">
        <f t="shared" si="46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1" t="str">
        <f t="shared" si="52"/>
        <v/>
      </c>
      <c r="FK10" s="11" t="str">
        <f t="shared" si="53"/>
        <v/>
      </c>
      <c r="FL10" s="11" t="str">
        <f t="shared" si="54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40" t="str">
        <f t="shared" si="60"/>
        <v/>
      </c>
      <c r="GM10" s="40" t="str">
        <f t="shared" si="61"/>
        <v/>
      </c>
      <c r="GN10" s="40" t="str">
        <f t="shared" si="62"/>
        <v/>
      </c>
      <c r="GO10" s="18">
        <v>18.600000000000001</v>
      </c>
      <c r="GP10" s="18">
        <v>7.2</v>
      </c>
      <c r="GQ10" s="18">
        <v>0.2</v>
      </c>
      <c r="GR10" s="18">
        <v>0</v>
      </c>
      <c r="GS10" s="18">
        <v>18.8</v>
      </c>
      <c r="GT10" s="18">
        <v>7.6</v>
      </c>
      <c r="GU10" s="18">
        <v>1.2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 t="shared" si="63"/>
        <v>14.8</v>
      </c>
      <c r="HJ10" s="11">
        <f t="shared" si="64"/>
        <v>50.8</v>
      </c>
      <c r="HK10" s="11" t="str">
        <f t="shared" si="65"/>
        <v/>
      </c>
      <c r="HL10" s="11">
        <f t="shared" si="66"/>
        <v>14.8</v>
      </c>
      <c r="HM10" s="11">
        <f t="shared" si="67"/>
        <v>50.8</v>
      </c>
      <c r="HN10" s="11" t="str">
        <f t="shared" si="68"/>
        <v/>
      </c>
      <c r="HO10" s="11" t="str">
        <f t="shared" si="69"/>
        <v/>
      </c>
      <c r="HP10" s="11">
        <f t="shared" si="70"/>
        <v>50.8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1"/>
        <v/>
      </c>
      <c r="IL10" s="40" t="str">
        <f t="shared" si="72"/>
        <v/>
      </c>
      <c r="IM10" s="40" t="str">
        <f t="shared" si="73"/>
        <v/>
      </c>
      <c r="IN10" s="40" t="str">
        <f t="shared" si="74"/>
        <v/>
      </c>
      <c r="IO10" s="40" t="str">
        <f t="shared" si="75"/>
        <v/>
      </c>
      <c r="IP10" s="40" t="str">
        <f t="shared" si="76"/>
        <v/>
      </c>
      <c r="IQ10" s="40" t="str">
        <f t="shared" si="77"/>
        <v/>
      </c>
      <c r="IR10" s="40" t="str">
        <f t="shared" si="78"/>
        <v/>
      </c>
      <c r="IS10" s="18">
        <v>0</v>
      </c>
      <c r="IT10" s="18">
        <v>0</v>
      </c>
      <c r="IU10" s="18">
        <v>0</v>
      </c>
      <c r="IV10" s="18">
        <v>0</v>
      </c>
      <c r="IW10" s="18">
        <v>18</v>
      </c>
      <c r="IX10" s="18">
        <v>5.2</v>
      </c>
      <c r="IY10" s="18">
        <v>0.6</v>
      </c>
      <c r="IZ10" s="18">
        <v>0</v>
      </c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>
        <f t="shared" si="79"/>
        <v>5.2</v>
      </c>
      <c r="JN10" s="11">
        <f t="shared" si="80"/>
        <v>22.599999999999998</v>
      </c>
      <c r="JO10" s="11" t="str">
        <f t="shared" si="81"/>
        <v/>
      </c>
      <c r="JP10" s="11">
        <f t="shared" si="82"/>
        <v>5.2</v>
      </c>
      <c r="JQ10" s="11">
        <f t="shared" si="83"/>
        <v>22.599999999999998</v>
      </c>
      <c r="JR10" s="11" t="str">
        <f t="shared" si="84"/>
        <v/>
      </c>
      <c r="JS10" s="11" t="str">
        <f t="shared" si="85"/>
        <v/>
      </c>
      <c r="JT10" s="11">
        <f t="shared" si="86"/>
        <v>22.599999999999998</v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7"/>
        <v/>
      </c>
      <c r="KP10" s="40" t="str">
        <f t="shared" si="88"/>
        <v/>
      </c>
      <c r="KQ10" s="40" t="str">
        <f t="shared" si="89"/>
        <v/>
      </c>
      <c r="KR10" s="40" t="str">
        <f t="shared" si="90"/>
        <v/>
      </c>
      <c r="KS10" s="40" t="str">
        <f t="shared" si="91"/>
        <v/>
      </c>
      <c r="KT10" s="40" t="str">
        <f t="shared" si="92"/>
        <v/>
      </c>
      <c r="KU10" s="40" t="str">
        <f t="shared" si="93"/>
        <v/>
      </c>
      <c r="KV10" s="40" t="str">
        <f t="shared" si="94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1" t="str">
        <f t="shared" si="100"/>
        <v/>
      </c>
      <c r="LW10" s="11" t="str">
        <f t="shared" si="101"/>
        <v/>
      </c>
      <c r="LX10" s="11" t="str">
        <f t="shared" si="102"/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40" t="str">
        <f t="shared" si="108"/>
        <v/>
      </c>
      <c r="MY10" s="40" t="str">
        <f t="shared" si="109"/>
        <v/>
      </c>
      <c r="MZ10" s="40" t="str">
        <f t="shared" si="110"/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1" t="str">
        <f t="shared" si="116"/>
        <v/>
      </c>
      <c r="OA10" s="11" t="str">
        <f t="shared" si="117"/>
        <v/>
      </c>
      <c r="OB10" s="11" t="str">
        <f t="shared" si="118"/>
        <v/>
      </c>
      <c r="OC10" s="17">
        <v>17.3</v>
      </c>
      <c r="OD10" s="17">
        <v>2.8</v>
      </c>
      <c r="OE10" s="17">
        <v>0</v>
      </c>
      <c r="OF10" s="17">
        <v>0</v>
      </c>
      <c r="OG10" s="17">
        <v>18.2</v>
      </c>
      <c r="OH10" s="17">
        <v>8.4</v>
      </c>
      <c r="OI10" s="17">
        <v>1</v>
      </c>
      <c r="OJ10" s="17">
        <v>0</v>
      </c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>
        <f t="shared" si="119"/>
        <v>11.2</v>
      </c>
      <c r="OX10" s="40">
        <f t="shared" si="120"/>
        <v>45.699999999999996</v>
      </c>
      <c r="OY10" s="40" t="str">
        <f t="shared" si="121"/>
        <v/>
      </c>
      <c r="OZ10" s="40">
        <f t="shared" si="122"/>
        <v>11.2</v>
      </c>
      <c r="PA10" s="40">
        <f t="shared" si="123"/>
        <v>45.699999999999996</v>
      </c>
      <c r="PB10" s="40" t="str">
        <f t="shared" si="124"/>
        <v/>
      </c>
      <c r="PC10" s="40" t="str">
        <f t="shared" si="125"/>
        <v/>
      </c>
      <c r="PD10" s="40">
        <f t="shared" si="126"/>
        <v>45.699999999999996</v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11" t="str">
        <f t="shared" si="132"/>
        <v/>
      </c>
      <c r="QE10" s="11" t="str">
        <f t="shared" si="133"/>
        <v/>
      </c>
      <c r="QF10" s="11" t="str">
        <f t="shared" si="134"/>
        <v/>
      </c>
      <c r="QG10" s="22">
        <f t="shared" si="135"/>
        <v>17.475000000000001</v>
      </c>
      <c r="QH10" s="22">
        <f t="shared" si="136"/>
        <v>5.625</v>
      </c>
      <c r="QI10" s="22">
        <f t="shared" si="137"/>
        <v>0.2</v>
      </c>
      <c r="QJ10" s="22">
        <f t="shared" si="138"/>
        <v>7.4999999999999997E-2</v>
      </c>
      <c r="QK10" s="22">
        <f t="shared" si="139"/>
        <v>18.475000000000001</v>
      </c>
      <c r="QL10" s="22">
        <f t="shared" si="140"/>
        <v>7.6</v>
      </c>
      <c r="QM10" s="22">
        <f t="shared" si="141"/>
        <v>0.85</v>
      </c>
      <c r="QN10" s="22">
        <f t="shared" si="142"/>
        <v>0</v>
      </c>
      <c r="QO10" s="22">
        <f t="shared" si="143"/>
        <v>18.075000000000003</v>
      </c>
      <c r="QP10" s="22">
        <f t="shared" si="144"/>
        <v>5</v>
      </c>
      <c r="QQ10" s="22">
        <f t="shared" si="145"/>
        <v>0.2</v>
      </c>
      <c r="QR10" s="22">
        <f t="shared" si="146"/>
        <v>0</v>
      </c>
      <c r="QS10" s="22">
        <f t="shared" si="147"/>
        <v>9.3000000000000007</v>
      </c>
      <c r="QT10" s="22">
        <f t="shared" si="148"/>
        <v>3.625</v>
      </c>
      <c r="QU10" s="22">
        <f t="shared" si="149"/>
        <v>0.2</v>
      </c>
      <c r="QV10" s="22">
        <f t="shared" si="150"/>
        <v>7.4999999999999997E-2</v>
      </c>
      <c r="QW10" s="22">
        <f t="shared" si="151"/>
        <v>9.1999999999999993</v>
      </c>
      <c r="QX10" s="22">
        <f t="shared" si="152"/>
        <v>3.9</v>
      </c>
      <c r="QY10" s="22">
        <f t="shared" si="153"/>
        <v>0.35</v>
      </c>
      <c r="QZ10" s="22">
        <f t="shared" si="154"/>
        <v>0</v>
      </c>
      <c r="RA10" s="27" t="s">
        <v>46</v>
      </c>
      <c r="RB10" s="40">
        <f t="shared" si="155"/>
        <v>13.225</v>
      </c>
      <c r="RC10" s="40">
        <f t="shared" si="156"/>
        <v>48.2</v>
      </c>
      <c r="RD10" s="40">
        <f t="shared" si="157"/>
        <v>22.875000000000004</v>
      </c>
      <c r="RE10" s="40">
        <f t="shared" si="158"/>
        <v>18.225000000000001</v>
      </c>
      <c r="RF10" s="40">
        <f t="shared" si="159"/>
        <v>71.075000000000003</v>
      </c>
      <c r="RG10" s="40">
        <f t="shared" si="160"/>
        <v>7.5250000000000004</v>
      </c>
      <c r="RH10" s="40">
        <f t="shared" si="161"/>
        <v>25.549999999999997</v>
      </c>
      <c r="RI10" s="40">
        <f t="shared" si="162"/>
        <v>96.625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>2</v>
      </c>
      <c r="C11" s="5" t="s">
        <v>155</v>
      </c>
      <c r="D11" s="4" t="s">
        <v>114</v>
      </c>
      <c r="E11" s="4">
        <v>2005</v>
      </c>
      <c r="F11" s="9">
        <f t="shared" si="163"/>
        <v>178.40001268000509</v>
      </c>
      <c r="G11" s="66"/>
      <c r="H11" s="3" t="str">
        <f t="shared" si="0"/>
        <v>P</v>
      </c>
      <c r="I11" s="3" t="str">
        <f t="shared" si="1"/>
        <v>P</v>
      </c>
      <c r="J11" s="36" t="str">
        <f t="shared" si="2"/>
        <v>National Team</v>
      </c>
      <c r="K11" s="3" t="str">
        <f t="shared" si="3"/>
        <v/>
      </c>
      <c r="L11" s="8">
        <f>IF(COUNT(AS11,BV11,CY11)&gt;0,LARGE((AS11,BV11,CY11),1),0)</f>
        <v>50.9</v>
      </c>
      <c r="M11" s="8" t="str">
        <f t="shared" si="4"/>
        <v>2023 Nationals</v>
      </c>
      <c r="N11" s="8">
        <f>IF(COUNT(AS11,BV11,CY11)&gt;1,LARGE((AS11,BV11,CY11),2),0)</f>
        <v>50.6</v>
      </c>
      <c r="O11" s="8" t="str">
        <f t="shared" si="5"/>
        <v>2023 3rd Domestic Trial</v>
      </c>
      <c r="P11" s="8">
        <f>IF(COUNT(AT11,BW11,CZ11)&gt;0,LARGE((AT11,BW11,CZ11),1),0)</f>
        <v>25.3</v>
      </c>
      <c r="Q11" s="8" t="str">
        <f t="shared" si="6"/>
        <v>2023 Nationals</v>
      </c>
      <c r="R11" s="8">
        <f t="shared" si="7"/>
        <v>51</v>
      </c>
      <c r="S11" s="8" t="str">
        <f t="shared" si="8"/>
        <v>2023 Nationals</v>
      </c>
      <c r="T11" s="8">
        <f t="shared" si="9"/>
        <v>0.59999999999999432</v>
      </c>
      <c r="U11" s="11" t="str">
        <f t="shared" si="10"/>
        <v>(Q1)</v>
      </c>
      <c r="V11" s="8" t="str">
        <f t="shared" si="11"/>
        <v>2023 WAGC (Nov 17)</v>
      </c>
      <c r="W11" s="19">
        <v>18.600000000000001</v>
      </c>
      <c r="X11" s="19">
        <v>6</v>
      </c>
      <c r="Y11" s="19">
        <v>0.8</v>
      </c>
      <c r="Z11" s="19">
        <v>0</v>
      </c>
      <c r="AA11" s="19">
        <v>18.8</v>
      </c>
      <c r="AB11" s="19">
        <v>6.4</v>
      </c>
      <c r="AC11" s="19">
        <v>0.6</v>
      </c>
      <c r="AD11" s="19">
        <v>0</v>
      </c>
      <c r="AE11" s="19">
        <v>18.600000000000001</v>
      </c>
      <c r="AF11" s="19">
        <v>6</v>
      </c>
      <c r="AG11" s="19">
        <v>0</v>
      </c>
      <c r="AH11" s="19">
        <v>0</v>
      </c>
      <c r="AI11" s="19">
        <v>18.7</v>
      </c>
      <c r="AJ11" s="19">
        <v>6.8</v>
      </c>
      <c r="AK11" s="19">
        <v>0.6</v>
      </c>
      <c r="AL11" s="19">
        <v>0</v>
      </c>
      <c r="AM11" s="19">
        <v>18.7</v>
      </c>
      <c r="AN11" s="19">
        <v>6.4</v>
      </c>
      <c r="AO11" s="19">
        <v>0.2</v>
      </c>
      <c r="AP11" s="19">
        <v>0</v>
      </c>
      <c r="AQ11" s="27"/>
      <c r="AR11" s="40">
        <f t="shared" si="12"/>
        <v>12.4</v>
      </c>
      <c r="AS11" s="40">
        <f t="shared" si="13"/>
        <v>48.400000000000006</v>
      </c>
      <c r="AT11" s="40">
        <f t="shared" si="14"/>
        <v>24.6</v>
      </c>
      <c r="AU11" s="40">
        <f t="shared" si="15"/>
        <v>18.399999999999999</v>
      </c>
      <c r="AV11" s="40">
        <f t="shared" si="16"/>
        <v>73</v>
      </c>
      <c r="AW11" s="40">
        <f t="shared" si="17"/>
        <v>13.2</v>
      </c>
      <c r="AX11" s="40">
        <f t="shared" si="18"/>
        <v>49.800000000000004</v>
      </c>
      <c r="AY11" s="40">
        <f t="shared" si="19"/>
        <v>122.80000000000001</v>
      </c>
      <c r="AZ11" s="18">
        <v>18.5</v>
      </c>
      <c r="BA11" s="18">
        <v>6.8</v>
      </c>
      <c r="BB11" s="18">
        <v>0</v>
      </c>
      <c r="BC11" s="18">
        <v>0</v>
      </c>
      <c r="BD11" s="18">
        <v>19</v>
      </c>
      <c r="BE11" s="18">
        <v>7.2</v>
      </c>
      <c r="BF11" s="18">
        <v>0.6</v>
      </c>
      <c r="BG11" s="18">
        <v>0</v>
      </c>
      <c r="BH11" s="18">
        <v>18.600000000000001</v>
      </c>
      <c r="BI11" s="18">
        <v>6.9</v>
      </c>
      <c r="BJ11" s="18">
        <v>0.2</v>
      </c>
      <c r="BK11" s="18">
        <v>0</v>
      </c>
      <c r="BL11" s="18">
        <v>18.7</v>
      </c>
      <c r="BM11" s="18">
        <v>6.8</v>
      </c>
      <c r="BN11" s="18">
        <v>0</v>
      </c>
      <c r="BO11" s="18">
        <v>0</v>
      </c>
      <c r="BP11" s="18">
        <v>18.899999999999999</v>
      </c>
      <c r="BQ11" s="18">
        <v>7.2</v>
      </c>
      <c r="BR11" s="18">
        <v>0.6</v>
      </c>
      <c r="BS11" s="18">
        <v>0</v>
      </c>
      <c r="BT11" s="28"/>
      <c r="BU11" s="11">
        <f t="shared" si="20"/>
        <v>14</v>
      </c>
      <c r="BV11" s="11">
        <f t="shared" si="21"/>
        <v>50.9</v>
      </c>
      <c r="BW11" s="11">
        <f t="shared" si="22"/>
        <v>25.3</v>
      </c>
      <c r="BX11" s="11">
        <f t="shared" si="23"/>
        <v>20.9</v>
      </c>
      <c r="BY11" s="11">
        <f t="shared" si="24"/>
        <v>76.2</v>
      </c>
      <c r="BZ11" s="11">
        <f t="shared" si="25"/>
        <v>14</v>
      </c>
      <c r="CA11" s="11">
        <f t="shared" si="26"/>
        <v>51</v>
      </c>
      <c r="CB11" s="11">
        <f t="shared" si="27"/>
        <v>127.2</v>
      </c>
      <c r="CC11" s="19">
        <v>18.600000000000001</v>
      </c>
      <c r="CD11" s="19">
        <v>6.8000000000000007</v>
      </c>
      <c r="CE11" s="19">
        <v>0</v>
      </c>
      <c r="CF11" s="19">
        <v>0</v>
      </c>
      <c r="CG11" s="19">
        <v>18.600000000000001</v>
      </c>
      <c r="CH11" s="19">
        <v>7.2</v>
      </c>
      <c r="CI11" s="19">
        <v>0.6</v>
      </c>
      <c r="CJ11" s="19">
        <v>0</v>
      </c>
      <c r="CK11" s="19">
        <v>17.600000000000001</v>
      </c>
      <c r="CL11" s="19">
        <v>2.4</v>
      </c>
      <c r="CM11" s="19">
        <v>0</v>
      </c>
      <c r="CN11" s="19">
        <v>0</v>
      </c>
      <c r="CO11" s="19"/>
      <c r="CP11" s="19"/>
      <c r="CQ11" s="19"/>
      <c r="CR11" s="19"/>
      <c r="CS11" s="19"/>
      <c r="CT11" s="19"/>
      <c r="CU11" s="19"/>
      <c r="CV11" s="19"/>
      <c r="CW11" s="27"/>
      <c r="CX11" s="40">
        <f t="shared" si="28"/>
        <v>14</v>
      </c>
      <c r="CY11" s="40">
        <f t="shared" si="29"/>
        <v>50.6</v>
      </c>
      <c r="CZ11" s="40">
        <f t="shared" si="30"/>
        <v>20</v>
      </c>
      <c r="DA11" s="40">
        <f t="shared" si="31"/>
        <v>16.399999999999999</v>
      </c>
      <c r="DB11" s="40">
        <f t="shared" si="32"/>
        <v>70.599999999999994</v>
      </c>
      <c r="DC11" s="40" t="str">
        <f t="shared" si="33"/>
        <v/>
      </c>
      <c r="DD11" s="40" t="str">
        <f t="shared" si="34"/>
        <v/>
      </c>
      <c r="DE11" s="40">
        <f t="shared" si="35"/>
        <v>70.599999999999994</v>
      </c>
      <c r="DF11" s="50">
        <f t="shared" si="36"/>
        <v>0.59999999999999432</v>
      </c>
      <c r="DG11" s="50" t="str">
        <f t="shared" si="37"/>
        <v/>
      </c>
      <c r="DH11" s="50" t="str">
        <f t="shared" si="38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39"/>
        <v/>
      </c>
      <c r="ED11" s="40" t="str">
        <f t="shared" si="40"/>
        <v/>
      </c>
      <c r="EE11" s="40" t="str">
        <f t="shared" si="41"/>
        <v/>
      </c>
      <c r="EF11" s="40" t="str">
        <f t="shared" si="42"/>
        <v/>
      </c>
      <c r="EG11" s="40" t="str">
        <f t="shared" si="43"/>
        <v/>
      </c>
      <c r="EH11" s="40" t="str">
        <f t="shared" si="44"/>
        <v/>
      </c>
      <c r="EI11" s="40" t="str">
        <f t="shared" si="45"/>
        <v/>
      </c>
      <c r="EJ11" s="40" t="str">
        <f t="shared" si="46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7"/>
        <v/>
      </c>
      <c r="FF11" s="11" t="str">
        <f t="shared" si="48"/>
        <v/>
      </c>
      <c r="FG11" s="11" t="str">
        <f t="shared" si="49"/>
        <v/>
      </c>
      <c r="FH11" s="11" t="str">
        <f t="shared" si="50"/>
        <v/>
      </c>
      <c r="FI11" s="11" t="str">
        <f t="shared" si="51"/>
        <v/>
      </c>
      <c r="FJ11" s="11" t="str">
        <f t="shared" si="52"/>
        <v/>
      </c>
      <c r="FK11" s="11" t="str">
        <f t="shared" si="53"/>
        <v/>
      </c>
      <c r="FL11" s="11" t="str">
        <f t="shared" si="54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40" t="str">
        <f t="shared" si="60"/>
        <v/>
      </c>
      <c r="GM11" s="40" t="str">
        <f t="shared" si="61"/>
        <v/>
      </c>
      <c r="GN11" s="40" t="str">
        <f t="shared" si="62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1" t="str">
        <f t="shared" si="68"/>
        <v/>
      </c>
      <c r="HO11" s="11" t="str">
        <f t="shared" si="69"/>
        <v/>
      </c>
      <c r="HP11" s="11" t="str">
        <f t="shared" si="70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1"/>
        <v/>
      </c>
      <c r="IL11" s="40" t="str">
        <f t="shared" si="72"/>
        <v/>
      </c>
      <c r="IM11" s="40" t="str">
        <f t="shared" si="73"/>
        <v/>
      </c>
      <c r="IN11" s="40" t="str">
        <f t="shared" si="74"/>
        <v/>
      </c>
      <c r="IO11" s="40" t="str">
        <f t="shared" si="75"/>
        <v/>
      </c>
      <c r="IP11" s="40" t="str">
        <f t="shared" si="76"/>
        <v/>
      </c>
      <c r="IQ11" s="40" t="str">
        <f t="shared" si="77"/>
        <v/>
      </c>
      <c r="IR11" s="40" t="str">
        <f t="shared" si="78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1" t="str">
        <f t="shared" si="84"/>
        <v/>
      </c>
      <c r="JS11" s="11" t="str">
        <f t="shared" si="85"/>
        <v/>
      </c>
      <c r="JT11" s="11" t="str">
        <f t="shared" si="86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7"/>
        <v/>
      </c>
      <c r="KP11" s="40" t="str">
        <f t="shared" si="88"/>
        <v/>
      </c>
      <c r="KQ11" s="40" t="str">
        <f t="shared" si="89"/>
        <v/>
      </c>
      <c r="KR11" s="40" t="str">
        <f t="shared" si="90"/>
        <v/>
      </c>
      <c r="KS11" s="40" t="str">
        <f t="shared" si="91"/>
        <v/>
      </c>
      <c r="KT11" s="40" t="str">
        <f t="shared" si="92"/>
        <v/>
      </c>
      <c r="KU11" s="40" t="str">
        <f t="shared" si="93"/>
        <v/>
      </c>
      <c r="KV11" s="40" t="str">
        <f t="shared" si="94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1" t="str">
        <f t="shared" si="100"/>
        <v/>
      </c>
      <c r="LW11" s="11" t="str">
        <f t="shared" si="101"/>
        <v/>
      </c>
      <c r="LX11" s="11" t="str">
        <f t="shared" si="102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40" t="str">
        <f t="shared" si="108"/>
        <v/>
      </c>
      <c r="MY11" s="40" t="str">
        <f t="shared" si="109"/>
        <v/>
      </c>
      <c r="MZ11" s="40" t="str">
        <f t="shared" si="110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1" t="str">
        <f t="shared" si="116"/>
        <v/>
      </c>
      <c r="OA11" s="11" t="str">
        <f t="shared" si="117"/>
        <v/>
      </c>
      <c r="OB11" s="11" t="str">
        <f t="shared" si="118"/>
        <v/>
      </c>
      <c r="OC11" s="17">
        <v>18.7</v>
      </c>
      <c r="OD11" s="17">
        <v>7.6</v>
      </c>
      <c r="OE11" s="17">
        <v>0</v>
      </c>
      <c r="OF11" s="17">
        <v>0</v>
      </c>
      <c r="OG11" s="17">
        <v>18.2</v>
      </c>
      <c r="OH11" s="17">
        <v>7.3</v>
      </c>
      <c r="OI11" s="17">
        <v>0.6</v>
      </c>
      <c r="OJ11" s="17">
        <v>0</v>
      </c>
      <c r="OK11" s="17"/>
      <c r="OL11" s="17"/>
      <c r="OM11" s="17"/>
      <c r="ON11" s="17"/>
      <c r="OO11" s="17">
        <v>18.2</v>
      </c>
      <c r="OP11" s="17">
        <v>6.8</v>
      </c>
      <c r="OQ11" s="17">
        <v>0.6</v>
      </c>
      <c r="OR11" s="17">
        <v>0</v>
      </c>
      <c r="OS11" s="17"/>
      <c r="OT11" s="17"/>
      <c r="OU11" s="17"/>
      <c r="OV11" s="17"/>
      <c r="OW11" s="40">
        <f t="shared" si="119"/>
        <v>14.899999999999999</v>
      </c>
      <c r="OX11" s="40">
        <f t="shared" si="120"/>
        <v>51.199999999999996</v>
      </c>
      <c r="OY11" s="40" t="str">
        <f t="shared" si="121"/>
        <v/>
      </c>
      <c r="OZ11" s="40">
        <f t="shared" si="122"/>
        <v>14.899999999999999</v>
      </c>
      <c r="PA11" s="40">
        <f t="shared" si="123"/>
        <v>51.199999999999996</v>
      </c>
      <c r="PB11" s="40">
        <f t="shared" si="124"/>
        <v>6.8</v>
      </c>
      <c r="PC11" s="40">
        <f t="shared" si="125"/>
        <v>24.4</v>
      </c>
      <c r="PD11" s="40">
        <f t="shared" si="126"/>
        <v>75.599999999999994</v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11" t="str">
        <f t="shared" si="132"/>
        <v/>
      </c>
      <c r="QE11" s="11" t="str">
        <f t="shared" si="133"/>
        <v/>
      </c>
      <c r="QF11" s="11" t="str">
        <f t="shared" si="134"/>
        <v/>
      </c>
      <c r="QG11" s="22">
        <f t="shared" si="135"/>
        <v>18.55</v>
      </c>
      <c r="QH11" s="22">
        <f t="shared" si="136"/>
        <v>6.8000000000000007</v>
      </c>
      <c r="QI11" s="22">
        <f t="shared" si="137"/>
        <v>0</v>
      </c>
      <c r="QJ11" s="22">
        <f t="shared" si="138"/>
        <v>0</v>
      </c>
      <c r="QK11" s="22">
        <f t="shared" si="139"/>
        <v>18.8</v>
      </c>
      <c r="QL11" s="22">
        <f t="shared" si="140"/>
        <v>7.2</v>
      </c>
      <c r="QM11" s="22">
        <f t="shared" si="141"/>
        <v>0.6</v>
      </c>
      <c r="QN11" s="22">
        <f t="shared" si="142"/>
        <v>0</v>
      </c>
      <c r="QO11" s="22">
        <f t="shared" si="143"/>
        <v>18.100000000000001</v>
      </c>
      <c r="QP11" s="22">
        <f t="shared" si="144"/>
        <v>4.6500000000000004</v>
      </c>
      <c r="QQ11" s="22">
        <f t="shared" si="145"/>
        <v>0.1</v>
      </c>
      <c r="QR11" s="22">
        <f t="shared" si="146"/>
        <v>0</v>
      </c>
      <c r="QS11" s="22">
        <f t="shared" si="147"/>
        <v>9.35</v>
      </c>
      <c r="QT11" s="22">
        <f t="shared" si="148"/>
        <v>3.4</v>
      </c>
      <c r="QU11" s="22">
        <f t="shared" si="149"/>
        <v>0</v>
      </c>
      <c r="QV11" s="22">
        <f t="shared" si="150"/>
        <v>0</v>
      </c>
      <c r="QW11" s="22">
        <f t="shared" si="151"/>
        <v>9.4499999999999993</v>
      </c>
      <c r="QX11" s="22">
        <f t="shared" si="152"/>
        <v>3.6</v>
      </c>
      <c r="QY11" s="22">
        <f t="shared" si="153"/>
        <v>0.3</v>
      </c>
      <c r="QZ11" s="22">
        <f t="shared" si="154"/>
        <v>0</v>
      </c>
      <c r="RA11" s="27" t="s">
        <v>46</v>
      </c>
      <c r="RB11" s="40">
        <f t="shared" si="155"/>
        <v>14</v>
      </c>
      <c r="RC11" s="40">
        <f t="shared" si="156"/>
        <v>50.750000000000007</v>
      </c>
      <c r="RD11" s="40">
        <f t="shared" si="157"/>
        <v>22.65</v>
      </c>
      <c r="RE11" s="40">
        <f t="shared" si="158"/>
        <v>18.649999999999999</v>
      </c>
      <c r="RF11" s="40">
        <f t="shared" si="159"/>
        <v>73.400000000000006</v>
      </c>
      <c r="RG11" s="40">
        <f t="shared" si="160"/>
        <v>7</v>
      </c>
      <c r="RH11" s="40">
        <f t="shared" si="161"/>
        <v>25.5</v>
      </c>
      <c r="RI11" s="40">
        <f t="shared" si="162"/>
        <v>98.9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3</v>
      </c>
      <c r="C12" s="5" t="s">
        <v>66</v>
      </c>
      <c r="D12" s="4" t="s">
        <v>4</v>
      </c>
      <c r="E12" s="4">
        <v>2002</v>
      </c>
      <c r="F12" s="9">
        <f t="shared" si="163"/>
        <v>177.60001268000514</v>
      </c>
      <c r="G12" s="66"/>
      <c r="H12" s="3" t="str">
        <f t="shared" si="0"/>
        <v>P</v>
      </c>
      <c r="I12" s="3" t="str">
        <f t="shared" si="1"/>
        <v>P</v>
      </c>
      <c r="J12" s="36" t="str">
        <f t="shared" si="2"/>
        <v>National Team</v>
      </c>
      <c r="K12" s="3" t="str">
        <f t="shared" si="3"/>
        <v/>
      </c>
      <c r="L12" s="8">
        <f>IF(COUNT(AS12,BV12,CY12)&gt;0,LARGE((AS12,BV12,CY12),1),0)</f>
        <v>51.4</v>
      </c>
      <c r="M12" s="8" t="str">
        <f t="shared" si="4"/>
        <v>2023 3rd Domestic Trial</v>
      </c>
      <c r="N12" s="8">
        <f>IF(COUNT(AS12,BV12,CY12)&gt;1,LARGE((AS12,BV12,CY12),2),0)</f>
        <v>48.8</v>
      </c>
      <c r="O12" s="8" t="str">
        <f t="shared" si="5"/>
        <v>2023 Nationals</v>
      </c>
      <c r="P12" s="8">
        <f>IF(COUNT(AT12,BW12,CZ12)&gt;0,LARGE((AT12,BW12,CZ12),1),0)</f>
        <v>26.6</v>
      </c>
      <c r="Q12" s="8" t="str">
        <f t="shared" si="6"/>
        <v>2023 Elite Canada</v>
      </c>
      <c r="R12" s="8">
        <f t="shared" si="7"/>
        <v>50.800000000000004</v>
      </c>
      <c r="S12" s="8" t="str">
        <f t="shared" si="8"/>
        <v>2023 3rd Domestic Trial</v>
      </c>
      <c r="T12" s="8" t="str">
        <f t="shared" si="9"/>
        <v/>
      </c>
      <c r="U12" s="11" t="str">
        <f t="shared" si="10"/>
        <v/>
      </c>
      <c r="V12" s="8" t="str">
        <f t="shared" si="11"/>
        <v/>
      </c>
      <c r="W12" s="19">
        <v>19</v>
      </c>
      <c r="X12" s="19">
        <v>6</v>
      </c>
      <c r="Y12" s="19">
        <v>0.6</v>
      </c>
      <c r="Z12" s="19">
        <v>0</v>
      </c>
      <c r="AA12" s="19">
        <v>0</v>
      </c>
      <c r="AB12" s="19">
        <v>0</v>
      </c>
      <c r="AC12" s="19">
        <v>0</v>
      </c>
      <c r="AD12" s="19">
        <v>0</v>
      </c>
      <c r="AE12" s="19">
        <v>18.600000000000001</v>
      </c>
      <c r="AF12" s="19">
        <v>8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 t="shared" si="12"/>
        <v>6</v>
      </c>
      <c r="AS12" s="40">
        <f t="shared" si="13"/>
        <v>24.4</v>
      </c>
      <c r="AT12" s="40">
        <f t="shared" si="14"/>
        <v>26.6</v>
      </c>
      <c r="AU12" s="40">
        <f t="shared" si="15"/>
        <v>14</v>
      </c>
      <c r="AV12" s="40">
        <f t="shared" si="16"/>
        <v>51</v>
      </c>
      <c r="AW12" s="40" t="str">
        <f t="shared" si="17"/>
        <v/>
      </c>
      <c r="AX12" s="40" t="str">
        <f t="shared" si="18"/>
        <v/>
      </c>
      <c r="AY12" s="40">
        <f t="shared" si="19"/>
        <v>51</v>
      </c>
      <c r="AZ12" s="18">
        <v>18.3</v>
      </c>
      <c r="BA12" s="18">
        <v>5.6</v>
      </c>
      <c r="BB12" s="18">
        <v>1.4</v>
      </c>
      <c r="BC12" s="18">
        <v>0</v>
      </c>
      <c r="BD12" s="18">
        <v>18.7</v>
      </c>
      <c r="BE12" s="18">
        <v>7.6</v>
      </c>
      <c r="BF12" s="18">
        <v>0</v>
      </c>
      <c r="BG12" s="18">
        <v>0</v>
      </c>
      <c r="BH12" s="18">
        <v>16.600000000000001</v>
      </c>
      <c r="BI12" s="18">
        <v>7.3</v>
      </c>
      <c r="BJ12" s="18">
        <v>0.6</v>
      </c>
      <c r="BK12" s="18">
        <v>0</v>
      </c>
      <c r="BL12" s="18"/>
      <c r="BM12" s="18"/>
      <c r="BN12" s="18"/>
      <c r="BO12" s="18"/>
      <c r="BP12" s="18"/>
      <c r="BQ12" s="18"/>
      <c r="BR12" s="18"/>
      <c r="BS12" s="18"/>
      <c r="BT12" s="28"/>
      <c r="BU12" s="11">
        <f t="shared" si="20"/>
        <v>13.2</v>
      </c>
      <c r="BV12" s="11">
        <f t="shared" si="21"/>
        <v>48.8</v>
      </c>
      <c r="BW12" s="11">
        <f t="shared" si="22"/>
        <v>23.3</v>
      </c>
      <c r="BX12" s="11">
        <f t="shared" si="23"/>
        <v>20.5</v>
      </c>
      <c r="BY12" s="11">
        <f t="shared" si="24"/>
        <v>72.099999999999994</v>
      </c>
      <c r="BZ12" s="11" t="str">
        <f t="shared" si="25"/>
        <v/>
      </c>
      <c r="CA12" s="11" t="str">
        <f t="shared" si="26"/>
        <v/>
      </c>
      <c r="CB12" s="11">
        <f t="shared" si="27"/>
        <v>72.099999999999994</v>
      </c>
      <c r="CC12" s="19">
        <v>18.5</v>
      </c>
      <c r="CD12" s="19">
        <v>7.6</v>
      </c>
      <c r="CE12" s="19">
        <v>0.6</v>
      </c>
      <c r="CF12" s="19">
        <v>0</v>
      </c>
      <c r="CG12" s="19">
        <v>18.5</v>
      </c>
      <c r="CH12" s="19">
        <v>8</v>
      </c>
      <c r="CI12" s="19">
        <v>0.6</v>
      </c>
      <c r="CJ12" s="19">
        <v>0</v>
      </c>
      <c r="CK12" s="19">
        <v>16.8</v>
      </c>
      <c r="CL12" s="19">
        <v>8.1</v>
      </c>
      <c r="CM12" s="19">
        <v>0.2</v>
      </c>
      <c r="CN12" s="19">
        <v>0.3</v>
      </c>
      <c r="CO12" s="19">
        <v>18.5</v>
      </c>
      <c r="CP12" s="19">
        <v>9.3000000000000007</v>
      </c>
      <c r="CQ12" s="19">
        <v>0</v>
      </c>
      <c r="CR12" s="19">
        <v>0.3</v>
      </c>
      <c r="CS12" s="19">
        <v>18.100000000000001</v>
      </c>
      <c r="CT12" s="19">
        <v>5.6</v>
      </c>
      <c r="CU12" s="19">
        <v>1</v>
      </c>
      <c r="CV12" s="19">
        <v>0</v>
      </c>
      <c r="CW12" s="27"/>
      <c r="CX12" s="40">
        <f t="shared" si="28"/>
        <v>15.6</v>
      </c>
      <c r="CY12" s="40">
        <f t="shared" si="29"/>
        <v>51.4</v>
      </c>
      <c r="CZ12" s="40">
        <f t="shared" si="30"/>
        <v>25</v>
      </c>
      <c r="DA12" s="40">
        <f t="shared" si="31"/>
        <v>23.7</v>
      </c>
      <c r="DB12" s="40">
        <f t="shared" si="32"/>
        <v>76.400000000000006</v>
      </c>
      <c r="DC12" s="40">
        <f t="shared" si="33"/>
        <v>14.9</v>
      </c>
      <c r="DD12" s="40">
        <f t="shared" si="34"/>
        <v>50.800000000000004</v>
      </c>
      <c r="DE12" s="40">
        <f t="shared" si="35"/>
        <v>127.20000000000002</v>
      </c>
      <c r="DF12" s="50" t="str">
        <f t="shared" si="36"/>
        <v/>
      </c>
      <c r="DG12" s="50" t="str">
        <f t="shared" si="37"/>
        <v/>
      </c>
      <c r="DH12" s="50" t="str">
        <f t="shared" si="38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40" t="str">
        <f t="shared" si="44"/>
        <v/>
      </c>
      <c r="EI12" s="40" t="str">
        <f t="shared" si="45"/>
        <v/>
      </c>
      <c r="EJ12" s="40" t="str">
        <f t="shared" si="46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1" t="str">
        <f t="shared" si="52"/>
        <v/>
      </c>
      <c r="FK12" s="11" t="str">
        <f t="shared" si="53"/>
        <v/>
      </c>
      <c r="FL12" s="11" t="str">
        <f t="shared" si="54"/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 t="shared" si="55"/>
        <v/>
      </c>
      <c r="GH12" s="40" t="str">
        <f t="shared" si="56"/>
        <v/>
      </c>
      <c r="GI12" s="40" t="str">
        <f t="shared" si="57"/>
        <v/>
      </c>
      <c r="GJ12" s="40" t="str">
        <f t="shared" si="58"/>
        <v/>
      </c>
      <c r="GK12" s="40" t="str">
        <f t="shared" si="59"/>
        <v/>
      </c>
      <c r="GL12" s="40" t="str">
        <f t="shared" si="60"/>
        <v/>
      </c>
      <c r="GM12" s="40" t="str">
        <f t="shared" si="61"/>
        <v/>
      </c>
      <c r="GN12" s="40" t="str">
        <f t="shared" si="62"/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1" t="str">
        <f t="shared" si="68"/>
        <v/>
      </c>
      <c r="HO12" s="11" t="str">
        <f t="shared" si="69"/>
        <v/>
      </c>
      <c r="HP12" s="11" t="str">
        <f t="shared" si="70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1"/>
        <v/>
      </c>
      <c r="IL12" s="40" t="str">
        <f t="shared" si="72"/>
        <v/>
      </c>
      <c r="IM12" s="40" t="str">
        <f t="shared" si="73"/>
        <v/>
      </c>
      <c r="IN12" s="40" t="str">
        <f t="shared" si="74"/>
        <v/>
      </c>
      <c r="IO12" s="40" t="str">
        <f t="shared" si="75"/>
        <v/>
      </c>
      <c r="IP12" s="40" t="str">
        <f t="shared" si="76"/>
        <v/>
      </c>
      <c r="IQ12" s="40" t="str">
        <f t="shared" si="77"/>
        <v/>
      </c>
      <c r="IR12" s="40" t="str">
        <f t="shared" si="78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1" t="str">
        <f t="shared" si="84"/>
        <v/>
      </c>
      <c r="JS12" s="11" t="str">
        <f t="shared" si="85"/>
        <v/>
      </c>
      <c r="JT12" s="11" t="str">
        <f t="shared" si="86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7"/>
        <v/>
      </c>
      <c r="KP12" s="40" t="str">
        <f t="shared" si="88"/>
        <v/>
      </c>
      <c r="KQ12" s="40" t="str">
        <f t="shared" si="89"/>
        <v/>
      </c>
      <c r="KR12" s="40" t="str">
        <f t="shared" si="90"/>
        <v/>
      </c>
      <c r="KS12" s="40" t="str">
        <f t="shared" si="91"/>
        <v/>
      </c>
      <c r="KT12" s="40" t="str">
        <f t="shared" si="92"/>
        <v/>
      </c>
      <c r="KU12" s="40" t="str">
        <f t="shared" si="93"/>
        <v/>
      </c>
      <c r="KV12" s="40" t="str">
        <f t="shared" si="94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1" t="str">
        <f t="shared" si="100"/>
        <v/>
      </c>
      <c r="LW12" s="11" t="str">
        <f t="shared" si="101"/>
        <v/>
      </c>
      <c r="LX12" s="11" t="str">
        <f t="shared" si="102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40" t="str">
        <f t="shared" si="108"/>
        <v/>
      </c>
      <c r="MY12" s="40" t="str">
        <f t="shared" si="109"/>
        <v/>
      </c>
      <c r="MZ12" s="40" t="str">
        <f t="shared" si="110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1" t="str">
        <f t="shared" si="116"/>
        <v/>
      </c>
      <c r="OA12" s="11" t="str">
        <f t="shared" si="117"/>
        <v/>
      </c>
      <c r="OB12" s="11" t="str">
        <f t="shared" si="118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40" t="str">
        <f t="shared" si="124"/>
        <v/>
      </c>
      <c r="PC12" s="40" t="str">
        <f t="shared" si="125"/>
        <v/>
      </c>
      <c r="PD12" s="40" t="str">
        <f t="shared" si="126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11" t="str">
        <f t="shared" si="132"/>
        <v/>
      </c>
      <c r="QE12" s="11" t="str">
        <f t="shared" si="133"/>
        <v/>
      </c>
      <c r="QF12" s="11" t="str">
        <f t="shared" si="134"/>
        <v/>
      </c>
      <c r="QG12" s="22">
        <f t="shared" si="135"/>
        <v>18.399999999999999</v>
      </c>
      <c r="QH12" s="22">
        <f t="shared" si="136"/>
        <v>6.6</v>
      </c>
      <c r="QI12" s="22">
        <f t="shared" si="137"/>
        <v>1</v>
      </c>
      <c r="QJ12" s="22">
        <f t="shared" si="138"/>
        <v>0</v>
      </c>
      <c r="QK12" s="22">
        <f t="shared" si="139"/>
        <v>18.600000000000001</v>
      </c>
      <c r="QL12" s="22">
        <f t="shared" si="140"/>
        <v>7.8</v>
      </c>
      <c r="QM12" s="22">
        <f t="shared" si="141"/>
        <v>0.3</v>
      </c>
      <c r="QN12" s="22">
        <f t="shared" si="142"/>
        <v>0</v>
      </c>
      <c r="QO12" s="22">
        <f t="shared" si="143"/>
        <v>16.700000000000003</v>
      </c>
      <c r="QP12" s="22">
        <f t="shared" si="144"/>
        <v>7.6999999999999993</v>
      </c>
      <c r="QQ12" s="22">
        <f t="shared" si="145"/>
        <v>0.4</v>
      </c>
      <c r="QR12" s="22">
        <f t="shared" si="146"/>
        <v>0.15</v>
      </c>
      <c r="QS12" s="22">
        <f t="shared" si="147"/>
        <v>9.25</v>
      </c>
      <c r="QT12" s="22">
        <f t="shared" si="148"/>
        <v>4.6500000000000004</v>
      </c>
      <c r="QU12" s="22">
        <f t="shared" si="149"/>
        <v>0</v>
      </c>
      <c r="QV12" s="22">
        <f t="shared" si="150"/>
        <v>0.15</v>
      </c>
      <c r="QW12" s="22">
        <f t="shared" si="151"/>
        <v>9.0500000000000007</v>
      </c>
      <c r="QX12" s="22">
        <f t="shared" si="152"/>
        <v>2.8</v>
      </c>
      <c r="QY12" s="22">
        <f t="shared" si="153"/>
        <v>0.5</v>
      </c>
      <c r="QZ12" s="22">
        <f t="shared" si="154"/>
        <v>0</v>
      </c>
      <c r="RA12" s="27" t="s">
        <v>46</v>
      </c>
      <c r="RB12" s="40">
        <f t="shared" si="155"/>
        <v>14.399999999999999</v>
      </c>
      <c r="RC12" s="40">
        <f t="shared" si="156"/>
        <v>50.1</v>
      </c>
      <c r="RD12" s="40">
        <f t="shared" si="157"/>
        <v>24.150000000000002</v>
      </c>
      <c r="RE12" s="40">
        <f t="shared" si="158"/>
        <v>22.099999999999998</v>
      </c>
      <c r="RF12" s="40">
        <f t="shared" si="159"/>
        <v>74.25</v>
      </c>
      <c r="RG12" s="40">
        <f t="shared" si="160"/>
        <v>7.45</v>
      </c>
      <c r="RH12" s="40">
        <f t="shared" si="161"/>
        <v>25.400000000000002</v>
      </c>
      <c r="RI12" s="40">
        <f t="shared" si="162"/>
        <v>99.65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4</v>
      </c>
      <c r="C13" s="5" t="s">
        <v>102</v>
      </c>
      <c r="D13" s="4" t="s">
        <v>5</v>
      </c>
      <c r="E13" s="4">
        <v>2003</v>
      </c>
      <c r="F13" s="9">
        <f t="shared" si="163"/>
        <v>177.10001286000514</v>
      </c>
      <c r="G13" s="66"/>
      <c r="H13" s="3" t="str">
        <f t="shared" si="0"/>
        <v>P</v>
      </c>
      <c r="I13" s="3" t="str">
        <f t="shared" si="1"/>
        <v>P</v>
      </c>
      <c r="J13" s="36" t="str">
        <f t="shared" si="2"/>
        <v>National Team</v>
      </c>
      <c r="K13" s="3" t="str">
        <f t="shared" si="3"/>
        <v/>
      </c>
      <c r="L13" s="8">
        <f>IF(COUNT(AS13,BV13,CY13)&gt;0,LARGE((AS13,BV13,CY13),1),0)</f>
        <v>51.4</v>
      </c>
      <c r="M13" s="8" t="str">
        <f t="shared" si="4"/>
        <v>2023 Nationals</v>
      </c>
      <c r="N13" s="8">
        <f>IF(COUNT(AS13,BV13,CY13)&gt;1,LARGE((AS13,BV13,CY13),2),0)</f>
        <v>51.29999999999999</v>
      </c>
      <c r="O13" s="8" t="str">
        <f t="shared" si="5"/>
        <v>2023 3rd Domestic Trial</v>
      </c>
      <c r="P13" s="8">
        <f>IF(COUNT(AT13,BW13,CZ13)&gt;0,LARGE((AT13,BW13,CZ13),1),0)</f>
        <v>25.9</v>
      </c>
      <c r="Q13" s="8" t="str">
        <f t="shared" si="6"/>
        <v>2023 Nationals</v>
      </c>
      <c r="R13" s="8">
        <f t="shared" si="7"/>
        <v>48.5</v>
      </c>
      <c r="S13" s="8" t="str">
        <f t="shared" si="8"/>
        <v>2023 Nationals</v>
      </c>
      <c r="T13" s="8" t="str">
        <f t="shared" si="9"/>
        <v/>
      </c>
      <c r="U13" s="11" t="str">
        <f t="shared" si="10"/>
        <v/>
      </c>
      <c r="V13" s="8" t="str">
        <f t="shared" si="11"/>
        <v/>
      </c>
      <c r="W13" s="19">
        <v>17.399999999999999</v>
      </c>
      <c r="X13" s="19">
        <v>2.4</v>
      </c>
      <c r="Y13" s="19">
        <v>0</v>
      </c>
      <c r="Z13" s="19">
        <v>0</v>
      </c>
      <c r="AA13" s="19">
        <v>18.399999999999999</v>
      </c>
      <c r="AB13" s="19">
        <v>7.3</v>
      </c>
      <c r="AC13" s="19">
        <v>0</v>
      </c>
      <c r="AD13" s="19">
        <v>0</v>
      </c>
      <c r="AE13" s="19">
        <v>17.399999999999999</v>
      </c>
      <c r="AF13" s="19">
        <v>4.4000000000000004</v>
      </c>
      <c r="AG13" s="19">
        <v>2</v>
      </c>
      <c r="AH13" s="19">
        <v>0</v>
      </c>
      <c r="AI13" s="19"/>
      <c r="AJ13" s="19"/>
      <c r="AK13" s="19"/>
      <c r="AL13" s="19"/>
      <c r="AM13" s="19"/>
      <c r="AN13" s="19"/>
      <c r="AO13" s="19"/>
      <c r="AP13" s="19"/>
      <c r="AQ13" s="27"/>
      <c r="AR13" s="40">
        <f t="shared" si="12"/>
        <v>9.6999999999999993</v>
      </c>
      <c r="AS13" s="40">
        <f t="shared" si="13"/>
        <v>45.499999999999993</v>
      </c>
      <c r="AT13" s="40">
        <f t="shared" si="14"/>
        <v>19.799999999999997</v>
      </c>
      <c r="AU13" s="40">
        <f t="shared" si="15"/>
        <v>14.1</v>
      </c>
      <c r="AV13" s="40">
        <f t="shared" si="16"/>
        <v>65.299999999999983</v>
      </c>
      <c r="AW13" s="40" t="str">
        <f t="shared" si="17"/>
        <v/>
      </c>
      <c r="AX13" s="40" t="str">
        <f t="shared" si="18"/>
        <v/>
      </c>
      <c r="AY13" s="40">
        <f t="shared" si="19"/>
        <v>65.299999999999983</v>
      </c>
      <c r="AZ13" s="18">
        <v>18.2</v>
      </c>
      <c r="BA13" s="18">
        <v>6.9</v>
      </c>
      <c r="BB13" s="18">
        <v>0.6</v>
      </c>
      <c r="BC13" s="18">
        <v>0</v>
      </c>
      <c r="BD13" s="18">
        <v>18.3</v>
      </c>
      <c r="BE13" s="18">
        <v>8.5</v>
      </c>
      <c r="BF13" s="18">
        <v>0.2</v>
      </c>
      <c r="BG13" s="18">
        <v>0.3</v>
      </c>
      <c r="BH13" s="18">
        <v>18.7</v>
      </c>
      <c r="BI13" s="18">
        <v>7.5</v>
      </c>
      <c r="BJ13" s="18">
        <v>0.6</v>
      </c>
      <c r="BK13" s="18">
        <v>0.3</v>
      </c>
      <c r="BL13" s="18">
        <v>18.600000000000001</v>
      </c>
      <c r="BM13" s="18">
        <v>7.3</v>
      </c>
      <c r="BN13" s="18">
        <v>0</v>
      </c>
      <c r="BO13" s="18">
        <v>0</v>
      </c>
      <c r="BP13" s="18">
        <v>17.2</v>
      </c>
      <c r="BQ13" s="18">
        <v>5.0999999999999996</v>
      </c>
      <c r="BR13" s="18">
        <v>0</v>
      </c>
      <c r="BS13" s="18">
        <v>0.3</v>
      </c>
      <c r="BT13" s="28"/>
      <c r="BU13" s="11">
        <f t="shared" si="20"/>
        <v>15.4</v>
      </c>
      <c r="BV13" s="11">
        <f t="shared" si="21"/>
        <v>51.4</v>
      </c>
      <c r="BW13" s="11">
        <f t="shared" si="22"/>
        <v>25.9</v>
      </c>
      <c r="BX13" s="11">
        <f t="shared" si="23"/>
        <v>22.9</v>
      </c>
      <c r="BY13" s="11">
        <f t="shared" si="24"/>
        <v>77.3</v>
      </c>
      <c r="BZ13" s="11">
        <f t="shared" si="25"/>
        <v>12.399999999999999</v>
      </c>
      <c r="CA13" s="11">
        <f t="shared" si="26"/>
        <v>48.5</v>
      </c>
      <c r="CB13" s="11">
        <f t="shared" si="27"/>
        <v>125.8</v>
      </c>
      <c r="CC13" s="19">
        <v>18.3</v>
      </c>
      <c r="CD13" s="19">
        <v>7.7</v>
      </c>
      <c r="CE13" s="19">
        <v>0.2</v>
      </c>
      <c r="CF13" s="19">
        <v>0.3</v>
      </c>
      <c r="CG13" s="19">
        <v>18.5</v>
      </c>
      <c r="CH13" s="19">
        <v>7.3</v>
      </c>
      <c r="CI13" s="19">
        <v>0.6</v>
      </c>
      <c r="CJ13" s="19">
        <v>0</v>
      </c>
      <c r="CK13" s="19">
        <v>17.2</v>
      </c>
      <c r="CL13" s="19">
        <v>5.4</v>
      </c>
      <c r="CM13" s="19">
        <v>0</v>
      </c>
      <c r="CN13" s="19">
        <v>0.3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 t="shared" si="28"/>
        <v>15</v>
      </c>
      <c r="CY13" s="40">
        <f t="shared" si="29"/>
        <v>51.29999999999999</v>
      </c>
      <c r="CZ13" s="40">
        <f t="shared" si="30"/>
        <v>22.900000000000002</v>
      </c>
      <c r="DA13" s="40">
        <f t="shared" si="31"/>
        <v>20.399999999999999</v>
      </c>
      <c r="DB13" s="40">
        <f t="shared" si="32"/>
        <v>74.199999999999989</v>
      </c>
      <c r="DC13" s="40" t="str">
        <f t="shared" si="33"/>
        <v/>
      </c>
      <c r="DD13" s="40" t="str">
        <f t="shared" si="34"/>
        <v/>
      </c>
      <c r="DE13" s="40">
        <f t="shared" si="35"/>
        <v>74.199999999999989</v>
      </c>
      <c r="DF13" s="50" t="str">
        <f t="shared" si="36"/>
        <v/>
      </c>
      <c r="DG13" s="50" t="str">
        <f t="shared" si="37"/>
        <v/>
      </c>
      <c r="DH13" s="50" t="str">
        <f t="shared" si="38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39"/>
        <v/>
      </c>
      <c r="ED13" s="40" t="str">
        <f t="shared" si="40"/>
        <v/>
      </c>
      <c r="EE13" s="40" t="str">
        <f t="shared" si="41"/>
        <v/>
      </c>
      <c r="EF13" s="40" t="str">
        <f t="shared" si="42"/>
        <v/>
      </c>
      <c r="EG13" s="40" t="str">
        <f t="shared" si="43"/>
        <v/>
      </c>
      <c r="EH13" s="40" t="str">
        <f t="shared" si="44"/>
        <v/>
      </c>
      <c r="EI13" s="40" t="str">
        <f t="shared" si="45"/>
        <v/>
      </c>
      <c r="EJ13" s="40" t="str">
        <f t="shared" si="46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7"/>
        <v/>
      </c>
      <c r="FF13" s="11" t="str">
        <f t="shared" si="48"/>
        <v/>
      </c>
      <c r="FG13" s="11" t="str">
        <f t="shared" si="49"/>
        <v/>
      </c>
      <c r="FH13" s="11" t="str">
        <f t="shared" si="50"/>
        <v/>
      </c>
      <c r="FI13" s="11" t="str">
        <f t="shared" si="51"/>
        <v/>
      </c>
      <c r="FJ13" s="11" t="str">
        <f t="shared" si="52"/>
        <v/>
      </c>
      <c r="FK13" s="11" t="str">
        <f t="shared" si="53"/>
        <v/>
      </c>
      <c r="FL13" s="11" t="str">
        <f t="shared" si="54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40" t="str">
        <f t="shared" si="60"/>
        <v/>
      </c>
      <c r="GM13" s="40" t="str">
        <f t="shared" si="61"/>
        <v/>
      </c>
      <c r="GN13" s="40" t="str">
        <f t="shared" si="62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1" t="str">
        <f t="shared" si="68"/>
        <v/>
      </c>
      <c r="HO13" s="11" t="str">
        <f t="shared" si="69"/>
        <v/>
      </c>
      <c r="HP13" s="11" t="str">
        <f t="shared" si="70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40" t="str">
        <f t="shared" si="76"/>
        <v/>
      </c>
      <c r="IQ13" s="40" t="str">
        <f t="shared" si="77"/>
        <v/>
      </c>
      <c r="IR13" s="40" t="str">
        <f t="shared" si="78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1" t="str">
        <f t="shared" si="84"/>
        <v/>
      </c>
      <c r="JS13" s="11" t="str">
        <f t="shared" si="85"/>
        <v/>
      </c>
      <c r="JT13" s="11" t="str">
        <f t="shared" si="86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40" t="str">
        <f t="shared" si="92"/>
        <v/>
      </c>
      <c r="KU13" s="40" t="str">
        <f t="shared" si="93"/>
        <v/>
      </c>
      <c r="KV13" s="40" t="str">
        <f t="shared" si="94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1" t="str">
        <f t="shared" si="100"/>
        <v/>
      </c>
      <c r="LW13" s="11" t="str">
        <f t="shared" si="101"/>
        <v/>
      </c>
      <c r="LX13" s="11" t="str">
        <f t="shared" si="102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40" t="str">
        <f t="shared" si="108"/>
        <v/>
      </c>
      <c r="MY13" s="40" t="str">
        <f t="shared" si="109"/>
        <v/>
      </c>
      <c r="MZ13" s="40" t="str">
        <f t="shared" si="110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1" t="str">
        <f t="shared" si="116"/>
        <v/>
      </c>
      <c r="OA13" s="11" t="str">
        <f t="shared" si="117"/>
        <v/>
      </c>
      <c r="OB13" s="11" t="str">
        <f t="shared" si="118"/>
        <v/>
      </c>
      <c r="OC13" s="17">
        <v>17.5</v>
      </c>
      <c r="OD13" s="17">
        <v>2.8</v>
      </c>
      <c r="OE13" s="17">
        <v>0</v>
      </c>
      <c r="OF13" s="17">
        <v>0</v>
      </c>
      <c r="OG13" s="17">
        <v>17.2</v>
      </c>
      <c r="OH13" s="17">
        <v>5.0999999999999996</v>
      </c>
      <c r="OI13" s="17">
        <v>0</v>
      </c>
      <c r="OJ13" s="17">
        <v>0</v>
      </c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>
        <f t="shared" si="119"/>
        <v>7.8999999999999995</v>
      </c>
      <c r="OX13" s="40">
        <f t="shared" si="120"/>
        <v>42.6</v>
      </c>
      <c r="OY13" s="40" t="str">
        <f t="shared" si="121"/>
        <v/>
      </c>
      <c r="OZ13" s="40">
        <f t="shared" si="122"/>
        <v>7.8999999999999995</v>
      </c>
      <c r="PA13" s="40">
        <f t="shared" si="123"/>
        <v>42.6</v>
      </c>
      <c r="PB13" s="40" t="str">
        <f t="shared" si="124"/>
        <v/>
      </c>
      <c r="PC13" s="40" t="str">
        <f t="shared" si="125"/>
        <v/>
      </c>
      <c r="PD13" s="40">
        <f t="shared" si="126"/>
        <v>42.6</v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11" t="str">
        <f t="shared" si="132"/>
        <v/>
      </c>
      <c r="QE13" s="11" t="str">
        <f t="shared" si="133"/>
        <v/>
      </c>
      <c r="QF13" s="11" t="str">
        <f t="shared" si="134"/>
        <v/>
      </c>
      <c r="QG13" s="22">
        <f t="shared" si="135"/>
        <v>18.25</v>
      </c>
      <c r="QH13" s="22">
        <f t="shared" si="136"/>
        <v>7.3000000000000007</v>
      </c>
      <c r="QI13" s="22">
        <f t="shared" si="137"/>
        <v>0.4</v>
      </c>
      <c r="QJ13" s="22">
        <f t="shared" si="138"/>
        <v>0.15</v>
      </c>
      <c r="QK13" s="22">
        <f t="shared" si="139"/>
        <v>18.399999999999999</v>
      </c>
      <c r="QL13" s="22">
        <f t="shared" si="140"/>
        <v>7.9</v>
      </c>
      <c r="QM13" s="22">
        <f t="shared" si="141"/>
        <v>0.4</v>
      </c>
      <c r="QN13" s="22">
        <f t="shared" si="142"/>
        <v>0.15</v>
      </c>
      <c r="QO13" s="22">
        <f t="shared" si="143"/>
        <v>17.95</v>
      </c>
      <c r="QP13" s="22">
        <f t="shared" si="144"/>
        <v>6.45</v>
      </c>
      <c r="QQ13" s="22">
        <f t="shared" si="145"/>
        <v>0.3</v>
      </c>
      <c r="QR13" s="22">
        <f t="shared" si="146"/>
        <v>0.3</v>
      </c>
      <c r="QS13" s="22">
        <f t="shared" si="147"/>
        <v>9.3000000000000007</v>
      </c>
      <c r="QT13" s="22">
        <f t="shared" si="148"/>
        <v>3.65</v>
      </c>
      <c r="QU13" s="22">
        <f t="shared" si="149"/>
        <v>0</v>
      </c>
      <c r="QV13" s="22">
        <f t="shared" si="150"/>
        <v>0</v>
      </c>
      <c r="QW13" s="22">
        <f t="shared" si="151"/>
        <v>8.6</v>
      </c>
      <c r="QX13" s="22">
        <f t="shared" si="152"/>
        <v>2.5499999999999998</v>
      </c>
      <c r="QY13" s="22">
        <f t="shared" si="153"/>
        <v>0</v>
      </c>
      <c r="QZ13" s="22">
        <f t="shared" si="154"/>
        <v>0.15</v>
      </c>
      <c r="RA13" s="27" t="s">
        <v>46</v>
      </c>
      <c r="RB13" s="40">
        <f t="shared" si="155"/>
        <v>15.200000000000001</v>
      </c>
      <c r="RC13" s="40">
        <f t="shared" si="156"/>
        <v>51.349999999999994</v>
      </c>
      <c r="RD13" s="40">
        <f t="shared" si="157"/>
        <v>24.4</v>
      </c>
      <c r="RE13" s="40">
        <f t="shared" si="158"/>
        <v>21.650000000000002</v>
      </c>
      <c r="RF13" s="40">
        <f t="shared" si="159"/>
        <v>75.75</v>
      </c>
      <c r="RG13" s="40">
        <f t="shared" si="160"/>
        <v>6.1999999999999993</v>
      </c>
      <c r="RH13" s="40">
        <f t="shared" si="161"/>
        <v>24.25</v>
      </c>
      <c r="RI13" s="40">
        <f t="shared" si="162"/>
        <v>100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5</v>
      </c>
      <c r="C14" s="5" t="s">
        <v>132</v>
      </c>
      <c r="D14" s="4" t="s">
        <v>3</v>
      </c>
      <c r="E14" s="4">
        <v>2005</v>
      </c>
      <c r="F14" s="9">
        <f t="shared" si="163"/>
        <v>176.20001258000505</v>
      </c>
      <c r="G14" s="66"/>
      <c r="H14" s="3" t="str">
        <f t="shared" si="0"/>
        <v>P</v>
      </c>
      <c r="I14" s="3" t="str">
        <f t="shared" si="1"/>
        <v>P</v>
      </c>
      <c r="J14" s="36" t="str">
        <f t="shared" si="2"/>
        <v>National Team</v>
      </c>
      <c r="K14" s="3" t="str">
        <f t="shared" si="3"/>
        <v/>
      </c>
      <c r="L14" s="8">
        <f>IF(COUNT(AS14,BV14,CY14)&gt;0,LARGE((AS14,BV14,CY14),1),0)</f>
        <v>50.599999999999994</v>
      </c>
      <c r="M14" s="8" t="str">
        <f t="shared" si="4"/>
        <v>2023 3rd Domestic Trial</v>
      </c>
      <c r="N14" s="8">
        <f>IF(COUNT(AS14,BV14,CY14)&gt;1,LARGE((AS14,BV14,CY14),2),0)</f>
        <v>49.499999999999993</v>
      </c>
      <c r="O14" s="8" t="str">
        <f t="shared" si="5"/>
        <v>2023 Nationals</v>
      </c>
      <c r="P14" s="8">
        <f>IF(COUNT(AT14,BW14,CZ14)&gt;0,LARGE((AT14,BW14,CZ14),1),0)</f>
        <v>25.7</v>
      </c>
      <c r="Q14" s="8" t="str">
        <f t="shared" si="6"/>
        <v>2023 Elite Canada</v>
      </c>
      <c r="R14" s="8">
        <f t="shared" si="7"/>
        <v>50.4</v>
      </c>
      <c r="S14" s="8" t="str">
        <f t="shared" si="8"/>
        <v>2023 Nationals</v>
      </c>
      <c r="T14" s="8" t="str">
        <f t="shared" si="9"/>
        <v/>
      </c>
      <c r="U14" s="11" t="str">
        <f t="shared" si="10"/>
        <v/>
      </c>
      <c r="V14" s="8" t="str">
        <f t="shared" si="11"/>
        <v/>
      </c>
      <c r="W14" s="19">
        <v>18.8</v>
      </c>
      <c r="X14" s="19">
        <v>6</v>
      </c>
      <c r="Y14" s="19">
        <v>0.6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9">
        <v>18.5</v>
      </c>
      <c r="AF14" s="19">
        <v>7.2</v>
      </c>
      <c r="AG14" s="19">
        <v>0</v>
      </c>
      <c r="AH14" s="19">
        <v>0</v>
      </c>
      <c r="AI14" s="19"/>
      <c r="AJ14" s="19"/>
      <c r="AK14" s="19"/>
      <c r="AL14" s="19"/>
      <c r="AM14" s="19"/>
      <c r="AN14" s="19"/>
      <c r="AO14" s="19"/>
      <c r="AP14" s="19"/>
      <c r="AQ14" s="27"/>
      <c r="AR14" s="40">
        <f t="shared" si="12"/>
        <v>6</v>
      </c>
      <c r="AS14" s="40">
        <f t="shared" si="13"/>
        <v>24.2</v>
      </c>
      <c r="AT14" s="40">
        <f t="shared" si="14"/>
        <v>25.7</v>
      </c>
      <c r="AU14" s="40">
        <f t="shared" si="15"/>
        <v>13.2</v>
      </c>
      <c r="AV14" s="40">
        <f t="shared" si="16"/>
        <v>49.9</v>
      </c>
      <c r="AW14" s="40" t="str">
        <f t="shared" si="17"/>
        <v/>
      </c>
      <c r="AX14" s="40" t="str">
        <f t="shared" si="18"/>
        <v/>
      </c>
      <c r="AY14" s="40">
        <f t="shared" si="19"/>
        <v>49.9</v>
      </c>
      <c r="AZ14" s="18">
        <v>18.7</v>
      </c>
      <c r="BA14" s="18">
        <v>6</v>
      </c>
      <c r="BB14" s="18">
        <v>0</v>
      </c>
      <c r="BC14" s="18">
        <v>0</v>
      </c>
      <c r="BD14" s="18">
        <v>18.399999999999999</v>
      </c>
      <c r="BE14" s="18">
        <v>6.4</v>
      </c>
      <c r="BF14" s="18">
        <v>0</v>
      </c>
      <c r="BG14" s="18">
        <v>0</v>
      </c>
      <c r="BH14" s="18">
        <v>18.399999999999999</v>
      </c>
      <c r="BI14" s="18">
        <v>6.4</v>
      </c>
      <c r="BJ14" s="18">
        <v>0</v>
      </c>
      <c r="BK14" s="18">
        <v>0</v>
      </c>
      <c r="BL14" s="18">
        <v>18.8</v>
      </c>
      <c r="BM14" s="18">
        <v>6.4</v>
      </c>
      <c r="BN14" s="18">
        <v>0</v>
      </c>
      <c r="BO14" s="18">
        <v>0</v>
      </c>
      <c r="BP14" s="18">
        <v>18.399999999999999</v>
      </c>
      <c r="BQ14" s="18">
        <v>6.8</v>
      </c>
      <c r="BR14" s="18">
        <v>0</v>
      </c>
      <c r="BS14" s="18">
        <v>0</v>
      </c>
      <c r="BT14" s="28"/>
      <c r="BU14" s="11">
        <f t="shared" si="20"/>
        <v>12.4</v>
      </c>
      <c r="BV14" s="11">
        <f t="shared" si="21"/>
        <v>49.499999999999993</v>
      </c>
      <c r="BW14" s="11">
        <f t="shared" si="22"/>
        <v>24.799999999999997</v>
      </c>
      <c r="BX14" s="11">
        <f t="shared" si="23"/>
        <v>18.8</v>
      </c>
      <c r="BY14" s="11">
        <f t="shared" si="24"/>
        <v>74.299999999999983</v>
      </c>
      <c r="BZ14" s="11">
        <f t="shared" si="25"/>
        <v>13.2</v>
      </c>
      <c r="CA14" s="11">
        <f t="shared" si="26"/>
        <v>50.4</v>
      </c>
      <c r="CB14" s="11">
        <f t="shared" si="27"/>
        <v>124.69999999999999</v>
      </c>
      <c r="CC14" s="19">
        <v>18.8</v>
      </c>
      <c r="CD14" s="19">
        <v>7.2</v>
      </c>
      <c r="CE14" s="19">
        <v>0.6</v>
      </c>
      <c r="CF14" s="19">
        <v>0</v>
      </c>
      <c r="CG14" s="19">
        <v>18.399999999999999</v>
      </c>
      <c r="CH14" s="19">
        <v>6.8</v>
      </c>
      <c r="CI14" s="19">
        <v>0</v>
      </c>
      <c r="CJ14" s="19">
        <v>0</v>
      </c>
      <c r="CK14" s="19">
        <v>18.600000000000001</v>
      </c>
      <c r="CL14" s="19">
        <v>6</v>
      </c>
      <c r="CM14" s="19">
        <v>0.6</v>
      </c>
      <c r="CN14" s="19">
        <v>0</v>
      </c>
      <c r="CO14" s="19">
        <v>18.600000000000001</v>
      </c>
      <c r="CP14" s="19">
        <v>6.4</v>
      </c>
      <c r="CQ14" s="19">
        <v>0</v>
      </c>
      <c r="CR14" s="19">
        <v>0</v>
      </c>
      <c r="CS14" s="19">
        <v>17.2</v>
      </c>
      <c r="CT14" s="19">
        <v>3.2</v>
      </c>
      <c r="CU14" s="19">
        <v>0</v>
      </c>
      <c r="CV14" s="19">
        <v>0</v>
      </c>
      <c r="CW14" s="27"/>
      <c r="CX14" s="40">
        <f t="shared" si="28"/>
        <v>14</v>
      </c>
      <c r="CY14" s="40">
        <f t="shared" si="29"/>
        <v>50.599999999999994</v>
      </c>
      <c r="CZ14" s="40">
        <f t="shared" si="30"/>
        <v>24</v>
      </c>
      <c r="DA14" s="40">
        <f t="shared" si="31"/>
        <v>20</v>
      </c>
      <c r="DB14" s="40">
        <f t="shared" si="32"/>
        <v>74.599999999999994</v>
      </c>
      <c r="DC14" s="40">
        <f t="shared" si="33"/>
        <v>9.6000000000000014</v>
      </c>
      <c r="DD14" s="40">
        <f t="shared" si="34"/>
        <v>45.400000000000006</v>
      </c>
      <c r="DE14" s="40">
        <f t="shared" si="35"/>
        <v>120</v>
      </c>
      <c r="DF14" s="50" t="str">
        <f t="shared" si="36"/>
        <v/>
      </c>
      <c r="DG14" s="50" t="str">
        <f t="shared" si="37"/>
        <v/>
      </c>
      <c r="DH14" s="50" t="str">
        <f t="shared" si="38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39"/>
        <v/>
      </c>
      <c r="ED14" s="40" t="str">
        <f t="shared" si="40"/>
        <v/>
      </c>
      <c r="EE14" s="40" t="str">
        <f t="shared" si="41"/>
        <v/>
      </c>
      <c r="EF14" s="40" t="str">
        <f t="shared" si="42"/>
        <v/>
      </c>
      <c r="EG14" s="40" t="str">
        <f t="shared" si="43"/>
        <v/>
      </c>
      <c r="EH14" s="40" t="str">
        <f t="shared" si="44"/>
        <v/>
      </c>
      <c r="EI14" s="40" t="str">
        <f t="shared" si="45"/>
        <v/>
      </c>
      <c r="EJ14" s="40" t="str">
        <f t="shared" si="46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1" t="str">
        <f t="shared" si="52"/>
        <v/>
      </c>
      <c r="FK14" s="11" t="str">
        <f t="shared" si="53"/>
        <v/>
      </c>
      <c r="FL14" s="11" t="str">
        <f t="shared" si="54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5"/>
        <v/>
      </c>
      <c r="GH14" s="40" t="str">
        <f t="shared" si="56"/>
        <v/>
      </c>
      <c r="GI14" s="40" t="str">
        <f t="shared" si="57"/>
        <v/>
      </c>
      <c r="GJ14" s="40" t="str">
        <f t="shared" si="58"/>
        <v/>
      </c>
      <c r="GK14" s="40" t="str">
        <f t="shared" si="59"/>
        <v/>
      </c>
      <c r="GL14" s="40" t="str">
        <f t="shared" si="60"/>
        <v/>
      </c>
      <c r="GM14" s="40" t="str">
        <f t="shared" si="61"/>
        <v/>
      </c>
      <c r="GN14" s="40" t="str">
        <f t="shared" si="62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1" t="str">
        <f t="shared" si="68"/>
        <v/>
      </c>
      <c r="HO14" s="11" t="str">
        <f t="shared" si="69"/>
        <v/>
      </c>
      <c r="HP14" s="11" t="str">
        <f t="shared" si="70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40" t="str">
        <f t="shared" si="76"/>
        <v/>
      </c>
      <c r="IQ14" s="40" t="str">
        <f t="shared" si="77"/>
        <v/>
      </c>
      <c r="IR14" s="40" t="str">
        <f t="shared" si="78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1" t="str">
        <f t="shared" si="84"/>
        <v/>
      </c>
      <c r="JS14" s="11" t="str">
        <f t="shared" si="85"/>
        <v/>
      </c>
      <c r="JT14" s="11" t="str">
        <f t="shared" si="86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40" t="str">
        <f t="shared" si="92"/>
        <v/>
      </c>
      <c r="KU14" s="40" t="str">
        <f t="shared" si="93"/>
        <v/>
      </c>
      <c r="KV14" s="40" t="str">
        <f t="shared" si="94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1" t="str">
        <f t="shared" si="100"/>
        <v/>
      </c>
      <c r="LW14" s="11" t="str">
        <f t="shared" si="101"/>
        <v/>
      </c>
      <c r="LX14" s="11" t="str">
        <f t="shared" si="102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40" t="str">
        <f t="shared" si="108"/>
        <v/>
      </c>
      <c r="MY14" s="40" t="str">
        <f t="shared" si="109"/>
        <v/>
      </c>
      <c r="MZ14" s="40" t="str">
        <f t="shared" si="110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1" t="str">
        <f t="shared" si="116"/>
        <v/>
      </c>
      <c r="OA14" s="11" t="str">
        <f t="shared" si="117"/>
        <v/>
      </c>
      <c r="OB14" s="11" t="str">
        <f t="shared" si="118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40" t="str">
        <f t="shared" si="124"/>
        <v/>
      </c>
      <c r="PC14" s="40" t="str">
        <f t="shared" si="125"/>
        <v/>
      </c>
      <c r="PD14" s="40" t="str">
        <f t="shared" si="126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11" t="str">
        <f t="shared" si="132"/>
        <v/>
      </c>
      <c r="QE14" s="11" t="str">
        <f t="shared" si="133"/>
        <v/>
      </c>
      <c r="QF14" s="11" t="str">
        <f t="shared" si="134"/>
        <v/>
      </c>
      <c r="QG14" s="22">
        <f t="shared" si="135"/>
        <v>18.75</v>
      </c>
      <c r="QH14" s="22">
        <f t="shared" si="136"/>
        <v>6.6</v>
      </c>
      <c r="QI14" s="22">
        <f t="shared" si="137"/>
        <v>0.3</v>
      </c>
      <c r="QJ14" s="22">
        <f t="shared" si="138"/>
        <v>0</v>
      </c>
      <c r="QK14" s="22">
        <f t="shared" si="139"/>
        <v>18.399999999999999</v>
      </c>
      <c r="QL14" s="22">
        <f t="shared" si="140"/>
        <v>6.6</v>
      </c>
      <c r="QM14" s="22">
        <f t="shared" si="141"/>
        <v>0</v>
      </c>
      <c r="QN14" s="22">
        <f t="shared" si="142"/>
        <v>0</v>
      </c>
      <c r="QO14" s="22">
        <f t="shared" si="143"/>
        <v>18.5</v>
      </c>
      <c r="QP14" s="22">
        <f t="shared" si="144"/>
        <v>6.2</v>
      </c>
      <c r="QQ14" s="22">
        <f t="shared" si="145"/>
        <v>0.3</v>
      </c>
      <c r="QR14" s="22">
        <f t="shared" si="146"/>
        <v>0</v>
      </c>
      <c r="QS14" s="22">
        <f t="shared" si="147"/>
        <v>18.700000000000003</v>
      </c>
      <c r="QT14" s="22">
        <f t="shared" si="148"/>
        <v>6.4</v>
      </c>
      <c r="QU14" s="22">
        <f t="shared" si="149"/>
        <v>0</v>
      </c>
      <c r="QV14" s="22">
        <f t="shared" si="150"/>
        <v>0</v>
      </c>
      <c r="QW14" s="22">
        <f t="shared" si="151"/>
        <v>17.799999999999997</v>
      </c>
      <c r="QX14" s="22">
        <f t="shared" si="152"/>
        <v>5</v>
      </c>
      <c r="QY14" s="22">
        <f t="shared" si="153"/>
        <v>0</v>
      </c>
      <c r="QZ14" s="22">
        <f t="shared" si="154"/>
        <v>0</v>
      </c>
      <c r="RA14" s="27" t="s">
        <v>46</v>
      </c>
      <c r="RB14" s="40">
        <f t="shared" si="155"/>
        <v>13.2</v>
      </c>
      <c r="RC14" s="40">
        <f t="shared" si="156"/>
        <v>50.050000000000004</v>
      </c>
      <c r="RD14" s="40">
        <f t="shared" si="157"/>
        <v>24.4</v>
      </c>
      <c r="RE14" s="40">
        <f t="shared" si="158"/>
        <v>19.399999999999999</v>
      </c>
      <c r="RF14" s="40">
        <f t="shared" si="159"/>
        <v>74.45</v>
      </c>
      <c r="RG14" s="40">
        <f t="shared" si="160"/>
        <v>11.4</v>
      </c>
      <c r="RH14" s="40">
        <f t="shared" si="161"/>
        <v>47.9</v>
      </c>
      <c r="RI14" s="40">
        <f t="shared" si="162"/>
        <v>122.35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6</v>
      </c>
      <c r="C15" s="5" t="s">
        <v>150</v>
      </c>
      <c r="D15" s="4" t="s">
        <v>4</v>
      </c>
      <c r="E15" s="4">
        <v>2005</v>
      </c>
      <c r="F15" s="9">
        <f t="shared" si="163"/>
        <v>174.30001250000518</v>
      </c>
      <c r="G15" s="66"/>
      <c r="H15" s="3" t="str">
        <f t="shared" si="0"/>
        <v>P</v>
      </c>
      <c r="I15" s="3" t="str">
        <f t="shared" si="1"/>
        <v>P</v>
      </c>
      <c r="J15" s="36" t="str">
        <f t="shared" si="2"/>
        <v>National Team</v>
      </c>
      <c r="K15" s="3" t="str">
        <f t="shared" si="3"/>
        <v/>
      </c>
      <c r="L15" s="8">
        <f>IF(COUNT(AS15,BV15,CY15)&gt;0,LARGE((AS15,BV15,CY15),1),0)</f>
        <v>51.800000000000004</v>
      </c>
      <c r="M15" s="8" t="str">
        <f t="shared" si="4"/>
        <v>2023 3rd Domestic Trial</v>
      </c>
      <c r="N15" s="8">
        <f>IF(COUNT(AS15,BV15,CY15)&gt;1,LARGE((AS15,BV15,CY15),2),0)</f>
        <v>49.7</v>
      </c>
      <c r="O15" s="8" t="str">
        <f t="shared" si="5"/>
        <v>2023 Nationals</v>
      </c>
      <c r="P15" s="8">
        <f>IF(COUNT(AT15,BW15,CZ15)&gt;0,LARGE((AT15,BW15,CZ15),1),0)</f>
        <v>23.5</v>
      </c>
      <c r="Q15" s="8" t="str">
        <f t="shared" si="6"/>
        <v>2023 Nationals</v>
      </c>
      <c r="R15" s="8">
        <f t="shared" si="7"/>
        <v>49.300000000000004</v>
      </c>
      <c r="S15" s="8" t="str">
        <f t="shared" si="8"/>
        <v>2023 Elite Canada</v>
      </c>
      <c r="T15" s="8" t="str">
        <f t="shared" si="9"/>
        <v/>
      </c>
      <c r="U15" s="11" t="str">
        <f t="shared" si="10"/>
        <v/>
      </c>
      <c r="V15" s="8" t="str">
        <f t="shared" si="11"/>
        <v/>
      </c>
      <c r="W15" s="19">
        <v>18.3</v>
      </c>
      <c r="X15" s="19">
        <v>6.9</v>
      </c>
      <c r="Y15" s="19">
        <v>0.8</v>
      </c>
      <c r="Z15" s="19">
        <v>0</v>
      </c>
      <c r="AA15" s="19">
        <v>18.3</v>
      </c>
      <c r="AB15" s="19">
        <v>6.4</v>
      </c>
      <c r="AC15" s="19">
        <v>0.6</v>
      </c>
      <c r="AD15" s="19">
        <v>0</v>
      </c>
      <c r="AE15" s="19">
        <v>18.8</v>
      </c>
      <c r="AF15" s="19">
        <v>4.3</v>
      </c>
      <c r="AG15" s="19">
        <v>0</v>
      </c>
      <c r="AH15" s="19">
        <v>0</v>
      </c>
      <c r="AI15" s="19">
        <v>18</v>
      </c>
      <c r="AJ15" s="19">
        <v>6.9</v>
      </c>
      <c r="AK15" s="19">
        <v>0.2</v>
      </c>
      <c r="AL15" s="19">
        <v>0</v>
      </c>
      <c r="AM15" s="19">
        <v>18.8</v>
      </c>
      <c r="AN15" s="19">
        <v>6.4</v>
      </c>
      <c r="AO15" s="19">
        <v>0.6</v>
      </c>
      <c r="AP15" s="19">
        <v>0</v>
      </c>
      <c r="AQ15" s="27"/>
      <c r="AR15" s="40">
        <f t="shared" si="12"/>
        <v>13.3</v>
      </c>
      <c r="AS15" s="40">
        <f t="shared" si="13"/>
        <v>48.5</v>
      </c>
      <c r="AT15" s="40">
        <f t="shared" si="14"/>
        <v>23.1</v>
      </c>
      <c r="AU15" s="40">
        <f t="shared" si="15"/>
        <v>17.600000000000001</v>
      </c>
      <c r="AV15" s="40">
        <f t="shared" si="16"/>
        <v>71.599999999999994</v>
      </c>
      <c r="AW15" s="40">
        <f t="shared" si="17"/>
        <v>13.3</v>
      </c>
      <c r="AX15" s="40">
        <f t="shared" si="18"/>
        <v>49.300000000000004</v>
      </c>
      <c r="AY15" s="40">
        <f t="shared" si="19"/>
        <v>120.9</v>
      </c>
      <c r="AZ15" s="18">
        <v>18.3</v>
      </c>
      <c r="BA15" s="18">
        <v>6.8</v>
      </c>
      <c r="BB15" s="18">
        <v>0.2</v>
      </c>
      <c r="BC15" s="18">
        <v>0</v>
      </c>
      <c r="BD15" s="18">
        <v>18.3</v>
      </c>
      <c r="BE15" s="18">
        <v>7.3</v>
      </c>
      <c r="BF15" s="18">
        <v>0.8</v>
      </c>
      <c r="BG15" s="18">
        <v>0</v>
      </c>
      <c r="BH15" s="18">
        <v>19.2</v>
      </c>
      <c r="BI15" s="18">
        <v>4.3</v>
      </c>
      <c r="BJ15" s="18">
        <v>0</v>
      </c>
      <c r="BK15" s="18">
        <v>0</v>
      </c>
      <c r="BL15" s="18">
        <v>18.600000000000001</v>
      </c>
      <c r="BM15" s="18">
        <v>6.8</v>
      </c>
      <c r="BN15" s="18">
        <v>0.6</v>
      </c>
      <c r="BO15" s="18">
        <v>0</v>
      </c>
      <c r="BP15" s="18">
        <v>18</v>
      </c>
      <c r="BQ15" s="18">
        <v>7.3</v>
      </c>
      <c r="BR15" s="18">
        <v>1</v>
      </c>
      <c r="BS15" s="18">
        <v>0</v>
      </c>
      <c r="BT15" s="28"/>
      <c r="BU15" s="11">
        <f t="shared" si="20"/>
        <v>14.1</v>
      </c>
      <c r="BV15" s="11">
        <f t="shared" si="21"/>
        <v>49.7</v>
      </c>
      <c r="BW15" s="11">
        <f t="shared" si="22"/>
        <v>23.5</v>
      </c>
      <c r="BX15" s="11">
        <f t="shared" si="23"/>
        <v>18.399999999999999</v>
      </c>
      <c r="BY15" s="11">
        <f t="shared" si="24"/>
        <v>73.2</v>
      </c>
      <c r="BZ15" s="11">
        <f t="shared" si="25"/>
        <v>14.1</v>
      </c>
      <c r="CA15" s="11">
        <f t="shared" si="26"/>
        <v>49.1</v>
      </c>
      <c r="CB15" s="11">
        <f t="shared" si="27"/>
        <v>122.30000000000001</v>
      </c>
      <c r="CC15" s="19">
        <v>18</v>
      </c>
      <c r="CD15" s="19">
        <v>7.7</v>
      </c>
      <c r="CE15" s="19">
        <v>0</v>
      </c>
      <c r="CF15" s="19">
        <v>0.3</v>
      </c>
      <c r="CG15" s="19">
        <v>18.600000000000001</v>
      </c>
      <c r="CH15" s="19">
        <v>7.2</v>
      </c>
      <c r="CI15" s="19">
        <v>0</v>
      </c>
      <c r="CJ15" s="19">
        <v>0</v>
      </c>
      <c r="CK15" s="19">
        <v>17</v>
      </c>
      <c r="CL15" s="19">
        <v>3.6</v>
      </c>
      <c r="CM15" s="19">
        <v>0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 t="shared" si="28"/>
        <v>14.9</v>
      </c>
      <c r="CY15" s="40">
        <f t="shared" si="29"/>
        <v>51.800000000000004</v>
      </c>
      <c r="CZ15" s="40">
        <f t="shared" si="30"/>
        <v>20.6</v>
      </c>
      <c r="DA15" s="40">
        <f t="shared" si="31"/>
        <v>18.5</v>
      </c>
      <c r="DB15" s="40">
        <f t="shared" si="32"/>
        <v>72.400000000000006</v>
      </c>
      <c r="DC15" s="40" t="str">
        <f t="shared" si="33"/>
        <v/>
      </c>
      <c r="DD15" s="40" t="str">
        <f t="shared" si="34"/>
        <v/>
      </c>
      <c r="DE15" s="40">
        <f t="shared" si="35"/>
        <v>72.400000000000006</v>
      </c>
      <c r="DF15" s="50" t="str">
        <f t="shared" si="36"/>
        <v/>
      </c>
      <c r="DG15" s="50" t="str">
        <f t="shared" si="37"/>
        <v/>
      </c>
      <c r="DH15" s="50" t="str">
        <f t="shared" si="38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39"/>
        <v/>
      </c>
      <c r="ED15" s="40" t="str">
        <f t="shared" si="40"/>
        <v/>
      </c>
      <c r="EE15" s="40" t="str">
        <f t="shared" si="41"/>
        <v/>
      </c>
      <c r="EF15" s="40" t="str">
        <f t="shared" si="42"/>
        <v/>
      </c>
      <c r="EG15" s="40" t="str">
        <f t="shared" si="43"/>
        <v/>
      </c>
      <c r="EH15" s="40" t="str">
        <f t="shared" si="44"/>
        <v/>
      </c>
      <c r="EI15" s="40" t="str">
        <f t="shared" si="45"/>
        <v/>
      </c>
      <c r="EJ15" s="40" t="str">
        <f t="shared" si="46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1" t="str">
        <f t="shared" si="52"/>
        <v/>
      </c>
      <c r="FK15" s="11" t="str">
        <f t="shared" si="53"/>
        <v/>
      </c>
      <c r="FL15" s="11" t="str">
        <f t="shared" si="54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5"/>
        <v/>
      </c>
      <c r="GH15" s="40" t="str">
        <f t="shared" si="56"/>
        <v/>
      </c>
      <c r="GI15" s="40" t="str">
        <f t="shared" si="57"/>
        <v/>
      </c>
      <c r="GJ15" s="40" t="str">
        <f t="shared" si="58"/>
        <v/>
      </c>
      <c r="GK15" s="40" t="str">
        <f t="shared" si="59"/>
        <v/>
      </c>
      <c r="GL15" s="40" t="str">
        <f t="shared" si="60"/>
        <v/>
      </c>
      <c r="GM15" s="40" t="str">
        <f t="shared" si="61"/>
        <v/>
      </c>
      <c r="GN15" s="40" t="str">
        <f t="shared" si="62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1" t="str">
        <f t="shared" si="68"/>
        <v/>
      </c>
      <c r="HO15" s="11" t="str">
        <f t="shared" si="69"/>
        <v/>
      </c>
      <c r="HP15" s="11" t="str">
        <f t="shared" si="70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40" t="str">
        <f t="shared" si="76"/>
        <v/>
      </c>
      <c r="IQ15" s="40" t="str">
        <f t="shared" si="77"/>
        <v/>
      </c>
      <c r="IR15" s="40" t="str">
        <f t="shared" si="78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1" t="str">
        <f t="shared" si="84"/>
        <v/>
      </c>
      <c r="JS15" s="11" t="str">
        <f t="shared" si="85"/>
        <v/>
      </c>
      <c r="JT15" s="11" t="str">
        <f t="shared" si="86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40" t="str">
        <f t="shared" si="92"/>
        <v/>
      </c>
      <c r="KU15" s="40" t="str">
        <f t="shared" si="93"/>
        <v/>
      </c>
      <c r="KV15" s="40" t="str">
        <f t="shared" si="94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1" t="str">
        <f t="shared" si="100"/>
        <v/>
      </c>
      <c r="LW15" s="11" t="str">
        <f t="shared" si="101"/>
        <v/>
      </c>
      <c r="LX15" s="11" t="str">
        <f t="shared" si="102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40" t="str">
        <f t="shared" si="108"/>
        <v/>
      </c>
      <c r="MY15" s="40" t="str">
        <f t="shared" si="109"/>
        <v/>
      </c>
      <c r="MZ15" s="40" t="str">
        <f t="shared" si="110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1" t="str">
        <f t="shared" si="116"/>
        <v/>
      </c>
      <c r="OA15" s="11" t="str">
        <f t="shared" si="117"/>
        <v/>
      </c>
      <c r="OB15" s="11" t="str">
        <f t="shared" si="118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40" t="str">
        <f t="shared" si="124"/>
        <v/>
      </c>
      <c r="PC15" s="40" t="str">
        <f t="shared" si="125"/>
        <v/>
      </c>
      <c r="PD15" s="40" t="str">
        <f t="shared" si="126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11" t="str">
        <f t="shared" si="132"/>
        <v/>
      </c>
      <c r="QE15" s="11" t="str">
        <f t="shared" si="133"/>
        <v/>
      </c>
      <c r="QF15" s="11" t="str">
        <f t="shared" si="134"/>
        <v/>
      </c>
      <c r="QG15" s="22">
        <f t="shared" si="135"/>
        <v>18.149999999999999</v>
      </c>
      <c r="QH15" s="22">
        <f t="shared" si="136"/>
        <v>7.25</v>
      </c>
      <c r="QI15" s="22">
        <f t="shared" si="137"/>
        <v>0.1</v>
      </c>
      <c r="QJ15" s="22">
        <f t="shared" si="138"/>
        <v>0.15</v>
      </c>
      <c r="QK15" s="22">
        <f t="shared" si="139"/>
        <v>18.450000000000003</v>
      </c>
      <c r="QL15" s="22">
        <f t="shared" si="140"/>
        <v>7.25</v>
      </c>
      <c r="QM15" s="22">
        <f t="shared" si="141"/>
        <v>0.4</v>
      </c>
      <c r="QN15" s="22">
        <f t="shared" si="142"/>
        <v>0</v>
      </c>
      <c r="QO15" s="22">
        <f t="shared" si="143"/>
        <v>18.100000000000001</v>
      </c>
      <c r="QP15" s="22">
        <f t="shared" si="144"/>
        <v>3.95</v>
      </c>
      <c r="QQ15" s="22">
        <f t="shared" si="145"/>
        <v>0</v>
      </c>
      <c r="QR15" s="22">
        <f t="shared" si="146"/>
        <v>0</v>
      </c>
      <c r="QS15" s="22">
        <f t="shared" si="147"/>
        <v>9.3000000000000007</v>
      </c>
      <c r="QT15" s="22">
        <f t="shared" si="148"/>
        <v>3.4</v>
      </c>
      <c r="QU15" s="22">
        <f t="shared" si="149"/>
        <v>0.3</v>
      </c>
      <c r="QV15" s="22">
        <f t="shared" si="150"/>
        <v>0</v>
      </c>
      <c r="QW15" s="22">
        <f t="shared" si="151"/>
        <v>9</v>
      </c>
      <c r="QX15" s="22">
        <f t="shared" si="152"/>
        <v>3.65</v>
      </c>
      <c r="QY15" s="22">
        <f t="shared" si="153"/>
        <v>0.5</v>
      </c>
      <c r="QZ15" s="22">
        <f t="shared" si="154"/>
        <v>0</v>
      </c>
      <c r="RA15" s="27" t="s">
        <v>46</v>
      </c>
      <c r="RB15" s="40">
        <f t="shared" si="155"/>
        <v>14.5</v>
      </c>
      <c r="RC15" s="40">
        <f t="shared" si="156"/>
        <v>50.75</v>
      </c>
      <c r="RD15" s="40">
        <f t="shared" si="157"/>
        <v>22.05</v>
      </c>
      <c r="RE15" s="40">
        <f t="shared" si="158"/>
        <v>18.45</v>
      </c>
      <c r="RF15" s="40">
        <f t="shared" si="159"/>
        <v>72.8</v>
      </c>
      <c r="RG15" s="40">
        <f t="shared" si="160"/>
        <v>7.05</v>
      </c>
      <c r="RH15" s="40">
        <f t="shared" si="161"/>
        <v>24.55</v>
      </c>
      <c r="RI15" s="40">
        <f t="shared" si="162"/>
        <v>97.35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7</v>
      </c>
      <c r="C16" s="5" t="s">
        <v>174</v>
      </c>
      <c r="D16" s="4" t="s">
        <v>3</v>
      </c>
      <c r="E16" s="4">
        <v>2006</v>
      </c>
      <c r="F16" s="9">
        <f t="shared" si="163"/>
        <v>173.90001237000502</v>
      </c>
      <c r="G16" s="66"/>
      <c r="H16" s="3" t="str">
        <f t="shared" si="0"/>
        <v>P</v>
      </c>
      <c r="I16" s="3" t="str">
        <f t="shared" si="1"/>
        <v>P</v>
      </c>
      <c r="J16" s="36" t="str">
        <f t="shared" si="2"/>
        <v>National Team</v>
      </c>
      <c r="K16" s="3" t="str">
        <f t="shared" si="3"/>
        <v/>
      </c>
      <c r="L16" s="8">
        <f>IF(COUNT(AS16,BV16,CY16)&gt;0,LARGE((AS16,BV16,CY16),1),0)</f>
        <v>50.199999999999996</v>
      </c>
      <c r="M16" s="8" t="str">
        <f t="shared" si="4"/>
        <v>2023 3rd Domestic Trial</v>
      </c>
      <c r="N16" s="8">
        <f>IF(COUNT(AS16,BV16,CY16)&gt;1,LARGE((AS16,BV16,CY16),2),0)</f>
        <v>49.399999999999991</v>
      </c>
      <c r="O16" s="8" t="str">
        <f t="shared" si="5"/>
        <v>2023 Nationals</v>
      </c>
      <c r="P16" s="8">
        <f>IF(COUNT(AT16,BW16,CZ16)&gt;0,LARGE((AT16,BW16,CZ16),1),0)</f>
        <v>24.099999999999998</v>
      </c>
      <c r="Q16" s="8" t="str">
        <f t="shared" si="6"/>
        <v>2023 3rd Domestic Trial</v>
      </c>
      <c r="R16" s="8">
        <f t="shared" si="7"/>
        <v>50.2</v>
      </c>
      <c r="S16" s="8" t="str">
        <f t="shared" si="8"/>
        <v>2023 Nationals</v>
      </c>
      <c r="T16" s="8" t="str">
        <f t="shared" si="9"/>
        <v/>
      </c>
      <c r="U16" s="11" t="str">
        <f t="shared" si="10"/>
        <v/>
      </c>
      <c r="V16" s="8" t="str">
        <f t="shared" si="11"/>
        <v/>
      </c>
      <c r="W16" s="19">
        <v>18.600000000000001</v>
      </c>
      <c r="X16" s="19">
        <v>0</v>
      </c>
      <c r="Y16" s="19">
        <v>0.8</v>
      </c>
      <c r="Z16" s="19">
        <v>0</v>
      </c>
      <c r="AA16" s="19">
        <v>19</v>
      </c>
      <c r="AB16" s="19">
        <v>3.5</v>
      </c>
      <c r="AC16" s="19">
        <v>0.2</v>
      </c>
      <c r="AD16" s="19">
        <v>0</v>
      </c>
      <c r="AE16" s="19">
        <v>19.100000000000001</v>
      </c>
      <c r="AF16" s="19">
        <v>4.4000000000000004</v>
      </c>
      <c r="AG16" s="19">
        <v>0</v>
      </c>
      <c r="AH16" s="19">
        <v>0</v>
      </c>
      <c r="AI16" s="19">
        <v>18.8</v>
      </c>
      <c r="AJ16" s="19">
        <v>5.2</v>
      </c>
      <c r="AK16" s="19">
        <v>0.6</v>
      </c>
      <c r="AL16" s="19">
        <v>0</v>
      </c>
      <c r="AM16" s="19">
        <v>18.8</v>
      </c>
      <c r="AN16" s="19">
        <v>4.4000000000000004</v>
      </c>
      <c r="AO16" s="19">
        <v>1</v>
      </c>
      <c r="AP16" s="19">
        <v>0</v>
      </c>
      <c r="AQ16" s="27"/>
      <c r="AR16" s="40">
        <f t="shared" si="12"/>
        <v>3.5</v>
      </c>
      <c r="AS16" s="40">
        <f t="shared" si="13"/>
        <v>40.1</v>
      </c>
      <c r="AT16" s="40">
        <f t="shared" si="14"/>
        <v>23.5</v>
      </c>
      <c r="AU16" s="40">
        <f t="shared" si="15"/>
        <v>7.9</v>
      </c>
      <c r="AV16" s="40">
        <f t="shared" si="16"/>
        <v>63.6</v>
      </c>
      <c r="AW16" s="40">
        <f t="shared" si="17"/>
        <v>9.6000000000000014</v>
      </c>
      <c r="AX16" s="40">
        <f t="shared" si="18"/>
        <v>45.599999999999994</v>
      </c>
      <c r="AY16" s="40">
        <f t="shared" si="19"/>
        <v>109.19999999999999</v>
      </c>
      <c r="AZ16" s="18">
        <v>18.399999999999999</v>
      </c>
      <c r="BA16" s="18">
        <v>6.4</v>
      </c>
      <c r="BB16" s="18">
        <v>0.6</v>
      </c>
      <c r="BC16" s="18">
        <v>0</v>
      </c>
      <c r="BD16" s="18">
        <v>19</v>
      </c>
      <c r="BE16" s="18">
        <v>6.4</v>
      </c>
      <c r="BF16" s="18">
        <v>0.2</v>
      </c>
      <c r="BG16" s="18">
        <v>0</v>
      </c>
      <c r="BH16" s="18">
        <v>18.399999999999999</v>
      </c>
      <c r="BI16" s="18">
        <v>2.8</v>
      </c>
      <c r="BJ16" s="18">
        <v>0.7</v>
      </c>
      <c r="BK16" s="18">
        <v>0</v>
      </c>
      <c r="BL16" s="18">
        <v>18.8</v>
      </c>
      <c r="BM16" s="18">
        <v>6.4</v>
      </c>
      <c r="BN16" s="18">
        <v>0.6</v>
      </c>
      <c r="BO16" s="18">
        <v>0</v>
      </c>
      <c r="BP16" s="18">
        <v>19.2</v>
      </c>
      <c r="BQ16" s="18">
        <v>6.4</v>
      </c>
      <c r="BR16" s="18">
        <v>0</v>
      </c>
      <c r="BS16" s="18">
        <v>0</v>
      </c>
      <c r="BT16" s="28"/>
      <c r="BU16" s="11">
        <f t="shared" si="20"/>
        <v>12.8</v>
      </c>
      <c r="BV16" s="11">
        <f t="shared" si="21"/>
        <v>49.399999999999991</v>
      </c>
      <c r="BW16" s="11">
        <f t="shared" si="22"/>
        <v>20.5</v>
      </c>
      <c r="BX16" s="11">
        <f t="shared" si="23"/>
        <v>15.600000000000001</v>
      </c>
      <c r="BY16" s="11">
        <f t="shared" si="24"/>
        <v>69.899999999999991</v>
      </c>
      <c r="BZ16" s="11">
        <f t="shared" si="25"/>
        <v>12.8</v>
      </c>
      <c r="CA16" s="11">
        <f t="shared" si="26"/>
        <v>50.2</v>
      </c>
      <c r="CB16" s="11">
        <f t="shared" si="27"/>
        <v>120.1</v>
      </c>
      <c r="CC16" s="19">
        <v>18.399999999999999</v>
      </c>
      <c r="CD16" s="19">
        <v>6.4</v>
      </c>
      <c r="CE16" s="19">
        <v>0</v>
      </c>
      <c r="CF16" s="19">
        <v>0</v>
      </c>
      <c r="CG16" s="19">
        <v>19</v>
      </c>
      <c r="CH16" s="19">
        <v>6.4</v>
      </c>
      <c r="CI16" s="19">
        <v>0</v>
      </c>
      <c r="CJ16" s="19">
        <v>0</v>
      </c>
      <c r="CK16" s="19">
        <v>18.7</v>
      </c>
      <c r="CL16" s="19">
        <v>6</v>
      </c>
      <c r="CM16" s="19">
        <v>0.6</v>
      </c>
      <c r="CN16" s="19">
        <v>0</v>
      </c>
      <c r="CO16" s="19">
        <v>18.8</v>
      </c>
      <c r="CP16" s="19">
        <v>6</v>
      </c>
      <c r="CQ16" s="19">
        <v>0.2</v>
      </c>
      <c r="CR16" s="19">
        <v>0</v>
      </c>
      <c r="CS16" s="19">
        <v>18.7</v>
      </c>
      <c r="CT16" s="19">
        <v>6</v>
      </c>
      <c r="CU16" s="19">
        <v>0.6</v>
      </c>
      <c r="CV16" s="19">
        <v>0</v>
      </c>
      <c r="CW16" s="27"/>
      <c r="CX16" s="40">
        <f t="shared" si="28"/>
        <v>12.8</v>
      </c>
      <c r="CY16" s="40">
        <f t="shared" si="29"/>
        <v>50.199999999999996</v>
      </c>
      <c r="CZ16" s="40">
        <f t="shared" si="30"/>
        <v>24.099999999999998</v>
      </c>
      <c r="DA16" s="40">
        <f t="shared" si="31"/>
        <v>18.8</v>
      </c>
      <c r="DB16" s="40">
        <f t="shared" si="32"/>
        <v>74.3</v>
      </c>
      <c r="DC16" s="40">
        <f t="shared" si="33"/>
        <v>12</v>
      </c>
      <c r="DD16" s="40">
        <f t="shared" si="34"/>
        <v>48.7</v>
      </c>
      <c r="DE16" s="40">
        <f t="shared" si="35"/>
        <v>123</v>
      </c>
      <c r="DF16" s="50" t="str">
        <f t="shared" si="36"/>
        <v/>
      </c>
      <c r="DG16" s="50" t="str">
        <f t="shared" si="37"/>
        <v/>
      </c>
      <c r="DH16" s="50" t="str">
        <f t="shared" si="38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40" t="str">
        <f t="shared" si="44"/>
        <v/>
      </c>
      <c r="EI16" s="40" t="str">
        <f t="shared" si="45"/>
        <v/>
      </c>
      <c r="EJ16" s="40" t="str">
        <f t="shared" si="46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1" t="str">
        <f t="shared" si="52"/>
        <v/>
      </c>
      <c r="FK16" s="11" t="str">
        <f t="shared" si="53"/>
        <v/>
      </c>
      <c r="FL16" s="11" t="str">
        <f t="shared" si="54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40" t="str">
        <f t="shared" si="60"/>
        <v/>
      </c>
      <c r="GM16" s="40" t="str">
        <f t="shared" si="61"/>
        <v/>
      </c>
      <c r="GN16" s="40" t="str">
        <f t="shared" si="62"/>
        <v/>
      </c>
      <c r="GO16" s="18">
        <v>18.8</v>
      </c>
      <c r="GP16" s="18">
        <v>6</v>
      </c>
      <c r="GQ16" s="18">
        <v>0.2</v>
      </c>
      <c r="GR16" s="18">
        <v>0</v>
      </c>
      <c r="GS16" s="18">
        <v>18.7</v>
      </c>
      <c r="GT16" s="18">
        <v>5.6</v>
      </c>
      <c r="GU16" s="18">
        <v>0</v>
      </c>
      <c r="GV16" s="18">
        <v>0</v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>
        <f t="shared" si="63"/>
        <v>11.6</v>
      </c>
      <c r="HJ16" s="11">
        <f t="shared" si="64"/>
        <v>48.9</v>
      </c>
      <c r="HK16" s="11" t="str">
        <f t="shared" si="65"/>
        <v/>
      </c>
      <c r="HL16" s="11">
        <f t="shared" si="66"/>
        <v>11.6</v>
      </c>
      <c r="HM16" s="11">
        <f t="shared" si="67"/>
        <v>48.9</v>
      </c>
      <c r="HN16" s="11" t="str">
        <f t="shared" si="68"/>
        <v/>
      </c>
      <c r="HO16" s="11" t="str">
        <f t="shared" si="69"/>
        <v/>
      </c>
      <c r="HP16" s="11">
        <f t="shared" si="70"/>
        <v>48.9</v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40" t="str">
        <f t="shared" si="76"/>
        <v/>
      </c>
      <c r="IQ16" s="40" t="str">
        <f t="shared" si="77"/>
        <v/>
      </c>
      <c r="IR16" s="40" t="str">
        <f t="shared" si="78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1" t="str">
        <f t="shared" si="84"/>
        <v/>
      </c>
      <c r="JS16" s="11" t="str">
        <f t="shared" si="85"/>
        <v/>
      </c>
      <c r="JT16" s="11" t="str">
        <f t="shared" si="86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40" t="str">
        <f t="shared" si="92"/>
        <v/>
      </c>
      <c r="KU16" s="40" t="str">
        <f t="shared" si="93"/>
        <v/>
      </c>
      <c r="KV16" s="40" t="str">
        <f t="shared" si="94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1" t="str">
        <f t="shared" si="100"/>
        <v/>
      </c>
      <c r="LW16" s="11" t="str">
        <f t="shared" si="101"/>
        <v/>
      </c>
      <c r="LX16" s="11" t="str">
        <f t="shared" si="102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40" t="str">
        <f t="shared" si="108"/>
        <v/>
      </c>
      <c r="MY16" s="40" t="str">
        <f t="shared" si="109"/>
        <v/>
      </c>
      <c r="MZ16" s="40" t="str">
        <f t="shared" si="110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1" t="str">
        <f t="shared" si="116"/>
        <v/>
      </c>
      <c r="OA16" s="11" t="str">
        <f t="shared" si="117"/>
        <v/>
      </c>
      <c r="OB16" s="11" t="str">
        <f t="shared" si="118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40" t="str">
        <f t="shared" si="124"/>
        <v/>
      </c>
      <c r="PC16" s="40" t="str">
        <f t="shared" si="125"/>
        <v/>
      </c>
      <c r="PD16" s="40" t="str">
        <f t="shared" si="126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11" t="str">
        <f t="shared" si="132"/>
        <v/>
      </c>
      <c r="QE16" s="11" t="str">
        <f t="shared" si="133"/>
        <v/>
      </c>
      <c r="QF16" s="11" t="str">
        <f t="shared" si="134"/>
        <v/>
      </c>
      <c r="QG16" s="22">
        <f t="shared" si="135"/>
        <v>18.399999999999999</v>
      </c>
      <c r="QH16" s="22">
        <f t="shared" si="136"/>
        <v>6.4</v>
      </c>
      <c r="QI16" s="22">
        <f t="shared" si="137"/>
        <v>0.3</v>
      </c>
      <c r="QJ16" s="22">
        <f t="shared" si="138"/>
        <v>0</v>
      </c>
      <c r="QK16" s="22">
        <f t="shared" si="139"/>
        <v>19</v>
      </c>
      <c r="QL16" s="22">
        <f t="shared" si="140"/>
        <v>6.4</v>
      </c>
      <c r="QM16" s="22">
        <f t="shared" si="141"/>
        <v>0.1</v>
      </c>
      <c r="QN16" s="22">
        <f t="shared" si="142"/>
        <v>0</v>
      </c>
      <c r="QO16" s="22">
        <f t="shared" si="143"/>
        <v>18.549999999999997</v>
      </c>
      <c r="QP16" s="22">
        <f t="shared" si="144"/>
        <v>4.4000000000000004</v>
      </c>
      <c r="QQ16" s="22">
        <f t="shared" si="145"/>
        <v>0.64999999999999991</v>
      </c>
      <c r="QR16" s="22">
        <f t="shared" si="146"/>
        <v>0</v>
      </c>
      <c r="QS16" s="22">
        <f t="shared" si="147"/>
        <v>18.8</v>
      </c>
      <c r="QT16" s="22">
        <f t="shared" si="148"/>
        <v>6.2</v>
      </c>
      <c r="QU16" s="22">
        <f t="shared" si="149"/>
        <v>0.4</v>
      </c>
      <c r="QV16" s="22">
        <f t="shared" si="150"/>
        <v>0</v>
      </c>
      <c r="QW16" s="22">
        <f t="shared" si="151"/>
        <v>18.95</v>
      </c>
      <c r="QX16" s="22">
        <f t="shared" si="152"/>
        <v>6.2</v>
      </c>
      <c r="QY16" s="22">
        <f t="shared" si="153"/>
        <v>0.3</v>
      </c>
      <c r="QZ16" s="22">
        <f t="shared" si="154"/>
        <v>0</v>
      </c>
      <c r="RA16" s="27" t="s">
        <v>46</v>
      </c>
      <c r="RB16" s="40">
        <f t="shared" si="155"/>
        <v>12.8</v>
      </c>
      <c r="RC16" s="40">
        <f t="shared" si="156"/>
        <v>49.8</v>
      </c>
      <c r="RD16" s="40">
        <f t="shared" si="157"/>
        <v>22.299999999999997</v>
      </c>
      <c r="RE16" s="40">
        <f t="shared" si="158"/>
        <v>17.200000000000003</v>
      </c>
      <c r="RF16" s="40">
        <f t="shared" si="159"/>
        <v>72.099999999999994</v>
      </c>
      <c r="RG16" s="40">
        <f t="shared" si="160"/>
        <v>12.4</v>
      </c>
      <c r="RH16" s="40">
        <f t="shared" si="161"/>
        <v>49.45</v>
      </c>
      <c r="RI16" s="40">
        <f t="shared" si="162"/>
        <v>121.55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8</v>
      </c>
      <c r="C17" s="5" t="s">
        <v>167</v>
      </c>
      <c r="D17" s="4" t="s">
        <v>6</v>
      </c>
      <c r="E17" s="4">
        <v>2006</v>
      </c>
      <c r="F17" s="9">
        <f t="shared" si="163"/>
        <v>173.20001222000508</v>
      </c>
      <c r="G17" s="66"/>
      <c r="H17" s="3" t="str">
        <f t="shared" si="0"/>
        <v>P</v>
      </c>
      <c r="I17" s="3" t="str">
        <f t="shared" si="1"/>
        <v>P</v>
      </c>
      <c r="J17" s="36" t="str">
        <f t="shared" si="2"/>
        <v>National Team</v>
      </c>
      <c r="K17" s="3" t="str">
        <f t="shared" si="3"/>
        <v/>
      </c>
      <c r="L17" s="8">
        <f>IF(COUNT(AS17,BV17,CY17)&gt;0,LARGE((AS17,BV17,CY17),1),0)</f>
        <v>51</v>
      </c>
      <c r="M17" s="8" t="str">
        <f t="shared" si="4"/>
        <v>2023 Elite Canada</v>
      </c>
      <c r="N17" s="8">
        <f>IF(COUNT(AS17,BV17,CY17)&gt;1,LARGE((AS17,BV17,CY17),2),0)</f>
        <v>46</v>
      </c>
      <c r="O17" s="8" t="str">
        <f t="shared" si="5"/>
        <v>2023 3rd Domestic Trial</v>
      </c>
      <c r="P17" s="8">
        <f>IF(COUNT(AT17,BW17,CZ17)&gt;0,LARGE((AT17,BW17,CZ17),1),0)</f>
        <v>25.2</v>
      </c>
      <c r="Q17" s="8" t="str">
        <f t="shared" si="6"/>
        <v>2023 Nationals</v>
      </c>
      <c r="R17" s="8">
        <f t="shared" si="7"/>
        <v>50.999999999999993</v>
      </c>
      <c r="S17" s="8" t="str">
        <f t="shared" si="8"/>
        <v>2023 Elite Canada</v>
      </c>
      <c r="T17" s="8" t="str">
        <f t="shared" si="9"/>
        <v/>
      </c>
      <c r="U17" s="11" t="str">
        <f t="shared" si="10"/>
        <v/>
      </c>
      <c r="V17" s="8" t="str">
        <f t="shared" si="11"/>
        <v/>
      </c>
      <c r="W17" s="19">
        <v>18.399999999999999</v>
      </c>
      <c r="X17" s="19">
        <v>7.6</v>
      </c>
      <c r="Y17" s="19">
        <v>0.2</v>
      </c>
      <c r="Z17" s="19">
        <v>0</v>
      </c>
      <c r="AA17" s="19">
        <v>18.2</v>
      </c>
      <c r="AB17" s="19">
        <v>7.6</v>
      </c>
      <c r="AC17" s="19">
        <v>0.6</v>
      </c>
      <c r="AD17" s="19">
        <v>0</v>
      </c>
      <c r="AE17" s="19">
        <v>18.8</v>
      </c>
      <c r="AF17" s="19">
        <v>5.6</v>
      </c>
      <c r="AG17" s="19">
        <v>1</v>
      </c>
      <c r="AH17" s="19">
        <v>0</v>
      </c>
      <c r="AI17" s="19">
        <v>17.8</v>
      </c>
      <c r="AJ17" s="19">
        <v>7.6</v>
      </c>
      <c r="AK17" s="19">
        <v>0.2</v>
      </c>
      <c r="AL17" s="19">
        <v>0</v>
      </c>
      <c r="AM17" s="19">
        <v>18.2</v>
      </c>
      <c r="AN17" s="19">
        <v>7.6</v>
      </c>
      <c r="AO17" s="19">
        <v>0</v>
      </c>
      <c r="AP17" s="19">
        <v>0</v>
      </c>
      <c r="AQ17" s="27"/>
      <c r="AR17" s="40">
        <f t="shared" si="12"/>
        <v>15.2</v>
      </c>
      <c r="AS17" s="40">
        <f t="shared" si="13"/>
        <v>51</v>
      </c>
      <c r="AT17" s="40">
        <f t="shared" si="14"/>
        <v>23.4</v>
      </c>
      <c r="AU17" s="40">
        <f t="shared" si="15"/>
        <v>20.799999999999997</v>
      </c>
      <c r="AV17" s="40">
        <f t="shared" si="16"/>
        <v>74.400000000000006</v>
      </c>
      <c r="AW17" s="40">
        <f t="shared" si="17"/>
        <v>15.2</v>
      </c>
      <c r="AX17" s="40">
        <f t="shared" si="18"/>
        <v>50.999999999999993</v>
      </c>
      <c r="AY17" s="40">
        <f t="shared" si="19"/>
        <v>125.4</v>
      </c>
      <c r="AZ17" s="18">
        <v>0</v>
      </c>
      <c r="BA17" s="18">
        <v>0</v>
      </c>
      <c r="BB17" s="18">
        <v>0</v>
      </c>
      <c r="BC17" s="18">
        <v>0</v>
      </c>
      <c r="BD17" s="18">
        <v>18.2</v>
      </c>
      <c r="BE17" s="18">
        <v>7.6</v>
      </c>
      <c r="BF17" s="18">
        <v>0.6</v>
      </c>
      <c r="BG17" s="18">
        <v>0</v>
      </c>
      <c r="BH17" s="18">
        <v>18.5</v>
      </c>
      <c r="BI17" s="18">
        <v>7.3</v>
      </c>
      <c r="BJ17" s="18">
        <v>0.6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 t="shared" si="20"/>
        <v>7.6</v>
      </c>
      <c r="BV17" s="11">
        <f t="shared" si="21"/>
        <v>25.199999999999996</v>
      </c>
      <c r="BW17" s="11">
        <f t="shared" si="22"/>
        <v>25.2</v>
      </c>
      <c r="BX17" s="11">
        <f t="shared" si="23"/>
        <v>14.899999999999999</v>
      </c>
      <c r="BY17" s="11">
        <f t="shared" si="24"/>
        <v>50.399999999999991</v>
      </c>
      <c r="BZ17" s="11" t="str">
        <f t="shared" si="25"/>
        <v/>
      </c>
      <c r="CA17" s="11" t="str">
        <f t="shared" si="26"/>
        <v/>
      </c>
      <c r="CB17" s="11">
        <f t="shared" si="27"/>
        <v>50.399999999999991</v>
      </c>
      <c r="CC17" s="19">
        <v>18.600000000000001</v>
      </c>
      <c r="CD17" s="19">
        <v>7.6</v>
      </c>
      <c r="CE17" s="19">
        <v>0</v>
      </c>
      <c r="CF17" s="19">
        <v>0</v>
      </c>
      <c r="CG17" s="19">
        <v>17.8</v>
      </c>
      <c r="CH17" s="19">
        <v>3.2</v>
      </c>
      <c r="CI17" s="19">
        <v>1.2</v>
      </c>
      <c r="CJ17" s="19">
        <v>0</v>
      </c>
      <c r="CK17" s="19">
        <v>0</v>
      </c>
      <c r="CL17" s="19">
        <v>0</v>
      </c>
      <c r="CM17" s="19">
        <v>0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 t="shared" si="28"/>
        <v>10.8</v>
      </c>
      <c r="CY17" s="40">
        <f t="shared" si="29"/>
        <v>46</v>
      </c>
      <c r="CZ17" s="40" t="str">
        <f t="shared" si="30"/>
        <v/>
      </c>
      <c r="DA17" s="40">
        <f t="shared" si="31"/>
        <v>10.8</v>
      </c>
      <c r="DB17" s="40">
        <f t="shared" si="32"/>
        <v>46</v>
      </c>
      <c r="DC17" s="40" t="str">
        <f t="shared" si="33"/>
        <v/>
      </c>
      <c r="DD17" s="40" t="str">
        <f t="shared" si="34"/>
        <v/>
      </c>
      <c r="DE17" s="40">
        <f t="shared" si="35"/>
        <v>46</v>
      </c>
      <c r="DF17" s="50" t="str">
        <f t="shared" si="36"/>
        <v/>
      </c>
      <c r="DG17" s="50" t="str">
        <f t="shared" si="37"/>
        <v/>
      </c>
      <c r="DH17" s="50" t="str">
        <f t="shared" si="38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39"/>
        <v/>
      </c>
      <c r="ED17" s="40" t="str">
        <f t="shared" si="40"/>
        <v/>
      </c>
      <c r="EE17" s="40" t="str">
        <f t="shared" si="41"/>
        <v/>
      </c>
      <c r="EF17" s="40" t="str">
        <f t="shared" si="42"/>
        <v/>
      </c>
      <c r="EG17" s="40" t="str">
        <f t="shared" si="43"/>
        <v/>
      </c>
      <c r="EH17" s="40" t="str">
        <f t="shared" si="44"/>
        <v/>
      </c>
      <c r="EI17" s="40" t="str">
        <f t="shared" si="45"/>
        <v/>
      </c>
      <c r="EJ17" s="40" t="str">
        <f t="shared" si="46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1" t="str">
        <f t="shared" si="52"/>
        <v/>
      </c>
      <c r="FK17" s="11" t="str">
        <f t="shared" si="53"/>
        <v/>
      </c>
      <c r="FL17" s="11" t="str">
        <f t="shared" si="54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5"/>
        <v/>
      </c>
      <c r="GH17" s="40" t="str">
        <f t="shared" si="56"/>
        <v/>
      </c>
      <c r="GI17" s="40" t="str">
        <f t="shared" si="57"/>
        <v/>
      </c>
      <c r="GJ17" s="40" t="str">
        <f t="shared" si="58"/>
        <v/>
      </c>
      <c r="GK17" s="40" t="str">
        <f t="shared" si="59"/>
        <v/>
      </c>
      <c r="GL17" s="40" t="str">
        <f t="shared" si="60"/>
        <v/>
      </c>
      <c r="GM17" s="40" t="str">
        <f t="shared" si="61"/>
        <v/>
      </c>
      <c r="GN17" s="40" t="str">
        <f t="shared" si="62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1" t="str">
        <f t="shared" si="68"/>
        <v/>
      </c>
      <c r="HO17" s="11" t="str">
        <f t="shared" si="69"/>
        <v/>
      </c>
      <c r="HP17" s="11" t="str">
        <f t="shared" si="70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40" t="str">
        <f t="shared" si="76"/>
        <v/>
      </c>
      <c r="IQ17" s="40" t="str">
        <f t="shared" si="77"/>
        <v/>
      </c>
      <c r="IR17" s="40" t="str">
        <f t="shared" si="78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1" t="str">
        <f t="shared" si="84"/>
        <v/>
      </c>
      <c r="JS17" s="11" t="str">
        <f t="shared" si="85"/>
        <v/>
      </c>
      <c r="JT17" s="11" t="str">
        <f t="shared" si="86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40" t="str">
        <f t="shared" si="92"/>
        <v/>
      </c>
      <c r="KU17" s="40" t="str">
        <f t="shared" si="93"/>
        <v/>
      </c>
      <c r="KV17" s="40" t="str">
        <f t="shared" si="94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1" t="str">
        <f t="shared" si="100"/>
        <v/>
      </c>
      <c r="LW17" s="11" t="str">
        <f t="shared" si="101"/>
        <v/>
      </c>
      <c r="LX17" s="11" t="str">
        <f t="shared" si="102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40" t="str">
        <f t="shared" si="108"/>
        <v/>
      </c>
      <c r="MY17" s="40" t="str">
        <f t="shared" si="109"/>
        <v/>
      </c>
      <c r="MZ17" s="40" t="str">
        <f t="shared" si="110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1" t="str">
        <f t="shared" si="116"/>
        <v/>
      </c>
      <c r="OA17" s="11" t="str">
        <f t="shared" si="117"/>
        <v/>
      </c>
      <c r="OB17" s="11" t="str">
        <f t="shared" si="118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40" t="str">
        <f t="shared" si="124"/>
        <v/>
      </c>
      <c r="PC17" s="40" t="str">
        <f t="shared" si="125"/>
        <v/>
      </c>
      <c r="PD17" s="40" t="str">
        <f t="shared" si="126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11" t="str">
        <f t="shared" si="132"/>
        <v/>
      </c>
      <c r="QE17" s="11" t="str">
        <f t="shared" si="133"/>
        <v/>
      </c>
      <c r="QF17" s="11" t="str">
        <f t="shared" si="134"/>
        <v/>
      </c>
      <c r="QG17" s="22">
        <f t="shared" si="135"/>
        <v>9.3000000000000007</v>
      </c>
      <c r="QH17" s="22">
        <f t="shared" si="136"/>
        <v>3.8</v>
      </c>
      <c r="QI17" s="22">
        <f t="shared" si="137"/>
        <v>0</v>
      </c>
      <c r="QJ17" s="22">
        <f t="shared" si="138"/>
        <v>0</v>
      </c>
      <c r="QK17" s="22">
        <f t="shared" si="139"/>
        <v>18</v>
      </c>
      <c r="QL17" s="22">
        <f t="shared" si="140"/>
        <v>5.4</v>
      </c>
      <c r="QM17" s="22">
        <f t="shared" si="141"/>
        <v>0.89999999999999991</v>
      </c>
      <c r="QN17" s="22">
        <f t="shared" si="142"/>
        <v>0</v>
      </c>
      <c r="QO17" s="22">
        <f t="shared" si="143"/>
        <v>9.25</v>
      </c>
      <c r="QP17" s="22">
        <f t="shared" si="144"/>
        <v>3.65</v>
      </c>
      <c r="QQ17" s="22">
        <f t="shared" si="145"/>
        <v>0.3</v>
      </c>
      <c r="QR17" s="22">
        <f t="shared" si="146"/>
        <v>0</v>
      </c>
      <c r="QS17" s="22">
        <f t="shared" si="147"/>
        <v>0</v>
      </c>
      <c r="QT17" s="22">
        <f t="shared" si="148"/>
        <v>0</v>
      </c>
      <c r="QU17" s="22">
        <f t="shared" si="149"/>
        <v>0</v>
      </c>
      <c r="QV17" s="22">
        <f t="shared" si="150"/>
        <v>0</v>
      </c>
      <c r="QW17" s="22">
        <f t="shared" si="151"/>
        <v>0</v>
      </c>
      <c r="QX17" s="22">
        <f t="shared" si="152"/>
        <v>0</v>
      </c>
      <c r="QY17" s="22">
        <f t="shared" si="153"/>
        <v>0</v>
      </c>
      <c r="QZ17" s="22">
        <f t="shared" si="154"/>
        <v>0</v>
      </c>
      <c r="RA17" s="27" t="s">
        <v>46</v>
      </c>
      <c r="RB17" s="40">
        <f t="shared" si="155"/>
        <v>9.1999999999999993</v>
      </c>
      <c r="RC17" s="40">
        <f t="shared" si="156"/>
        <v>35.6</v>
      </c>
      <c r="RD17" s="40">
        <f t="shared" si="157"/>
        <v>12.6</v>
      </c>
      <c r="RE17" s="40">
        <f t="shared" si="158"/>
        <v>12.85</v>
      </c>
      <c r="RF17" s="40">
        <f t="shared" si="159"/>
        <v>48.2</v>
      </c>
      <c r="RG17" s="40" t="str">
        <f t="shared" si="160"/>
        <v/>
      </c>
      <c r="RH17" s="40" t="str">
        <f t="shared" si="161"/>
        <v/>
      </c>
      <c r="RI17" s="40">
        <f t="shared" si="162"/>
        <v>48.2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9</v>
      </c>
      <c r="C18" s="5" t="s">
        <v>188</v>
      </c>
      <c r="D18" s="4" t="s">
        <v>5</v>
      </c>
      <c r="E18" s="4">
        <v>2006</v>
      </c>
      <c r="F18" s="9">
        <f t="shared" si="163"/>
        <v>169.90001211000495</v>
      </c>
      <c r="G18" s="66"/>
      <c r="H18" s="3" t="str">
        <f t="shared" si="0"/>
        <v>P</v>
      </c>
      <c r="I18" s="3" t="str">
        <f t="shared" si="1"/>
        <v>P</v>
      </c>
      <c r="J18" s="36" t="str">
        <f t="shared" si="2"/>
        <v>National Team</v>
      </c>
      <c r="K18" s="3" t="str">
        <f t="shared" si="3"/>
        <v/>
      </c>
      <c r="L18" s="8">
        <f>IF(COUNT(AS18,BV18,CY18)&gt;0,LARGE((AS18,BV18,CY18),1),0)</f>
        <v>49.5</v>
      </c>
      <c r="M18" s="8" t="str">
        <f t="shared" si="4"/>
        <v>2023 3rd Domestic Trial</v>
      </c>
      <c r="N18" s="8">
        <f>IF(COUNT(AS18,BV18,CY18)&gt;1,LARGE((AS18,BV18,CY18),2),0)</f>
        <v>48.499999999999993</v>
      </c>
      <c r="O18" s="8" t="str">
        <f t="shared" si="5"/>
        <v>2023 Nationals</v>
      </c>
      <c r="P18" s="8">
        <f>IF(COUNT(AT18,BW18,CZ18)&gt;0,LARGE((AT18,BW18,CZ18),1),0)</f>
        <v>23.099999999999998</v>
      </c>
      <c r="Q18" s="8" t="str">
        <f t="shared" si="6"/>
        <v>2023 Elite Canada</v>
      </c>
      <c r="R18" s="8">
        <f t="shared" si="7"/>
        <v>48.800000000000004</v>
      </c>
      <c r="S18" s="8" t="str">
        <f t="shared" si="8"/>
        <v>2023 3rd Domestic Trial</v>
      </c>
      <c r="T18" s="8" t="str">
        <f t="shared" si="9"/>
        <v/>
      </c>
      <c r="U18" s="11" t="str">
        <f t="shared" si="10"/>
        <v/>
      </c>
      <c r="V18" s="8" t="str">
        <f t="shared" si="11"/>
        <v/>
      </c>
      <c r="W18" s="19">
        <v>18.399999999999999</v>
      </c>
      <c r="X18" s="19">
        <v>3.5</v>
      </c>
      <c r="Y18" s="19">
        <v>0</v>
      </c>
      <c r="Z18" s="19">
        <v>0</v>
      </c>
      <c r="AA18" s="19">
        <v>18.100000000000001</v>
      </c>
      <c r="AB18" s="19">
        <v>4.3</v>
      </c>
      <c r="AC18" s="19">
        <v>0.2</v>
      </c>
      <c r="AD18" s="19">
        <v>0</v>
      </c>
      <c r="AE18" s="19">
        <v>17.899999999999999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3.5</v>
      </c>
      <c r="AK18" s="19">
        <v>0.2</v>
      </c>
      <c r="AL18" s="19">
        <v>0</v>
      </c>
      <c r="AM18" s="19">
        <v>17</v>
      </c>
      <c r="AN18" s="19">
        <v>2.4</v>
      </c>
      <c r="AO18" s="19">
        <v>0</v>
      </c>
      <c r="AP18" s="19">
        <v>0</v>
      </c>
      <c r="AQ18" s="27"/>
      <c r="AR18" s="40">
        <f t="shared" si="12"/>
        <v>7.8</v>
      </c>
      <c r="AS18" s="40">
        <f t="shared" si="13"/>
        <v>44.099999999999994</v>
      </c>
      <c r="AT18" s="40">
        <f t="shared" si="14"/>
        <v>23.099999999999998</v>
      </c>
      <c r="AU18" s="40">
        <f t="shared" si="15"/>
        <v>13</v>
      </c>
      <c r="AV18" s="40">
        <f t="shared" si="16"/>
        <v>67.199999999999989</v>
      </c>
      <c r="AW18" s="40">
        <f t="shared" si="17"/>
        <v>5.9</v>
      </c>
      <c r="AX18" s="40">
        <f t="shared" si="18"/>
        <v>40.799999999999997</v>
      </c>
      <c r="AY18" s="40">
        <f t="shared" si="19"/>
        <v>107.99999999999999</v>
      </c>
      <c r="AZ18" s="18">
        <v>18.399999999999999</v>
      </c>
      <c r="BA18" s="18">
        <v>6.8</v>
      </c>
      <c r="BB18" s="18">
        <v>0</v>
      </c>
      <c r="BC18" s="18">
        <v>0</v>
      </c>
      <c r="BD18" s="18">
        <v>16.2</v>
      </c>
      <c r="BE18" s="18">
        <v>7.3</v>
      </c>
      <c r="BF18" s="18">
        <v>0.2</v>
      </c>
      <c r="BG18" s="18">
        <v>0</v>
      </c>
      <c r="BH18" s="18">
        <v>18.5</v>
      </c>
      <c r="BI18" s="18">
        <v>4.3</v>
      </c>
      <c r="BJ18" s="18">
        <v>0.2</v>
      </c>
      <c r="BK18" s="18">
        <v>0</v>
      </c>
      <c r="BL18" s="18">
        <v>18.8</v>
      </c>
      <c r="BM18" s="18">
        <v>6.4</v>
      </c>
      <c r="BN18" s="18">
        <v>0.2</v>
      </c>
      <c r="BO18" s="18">
        <v>0</v>
      </c>
      <c r="BP18" s="18">
        <v>16.3</v>
      </c>
      <c r="BQ18" s="18">
        <v>7.7</v>
      </c>
      <c r="BR18" s="18">
        <v>1</v>
      </c>
      <c r="BS18" s="18">
        <v>0</v>
      </c>
      <c r="BT18" s="28"/>
      <c r="BU18" s="11">
        <f t="shared" si="20"/>
        <v>14.1</v>
      </c>
      <c r="BV18" s="11">
        <f t="shared" si="21"/>
        <v>48.499999999999993</v>
      </c>
      <c r="BW18" s="11">
        <f t="shared" si="22"/>
        <v>22.6</v>
      </c>
      <c r="BX18" s="11">
        <f t="shared" si="23"/>
        <v>18.399999999999999</v>
      </c>
      <c r="BY18" s="11">
        <f t="shared" si="24"/>
        <v>71.099999999999994</v>
      </c>
      <c r="BZ18" s="11">
        <f t="shared" si="25"/>
        <v>14.100000000000001</v>
      </c>
      <c r="CA18" s="11">
        <f t="shared" si="26"/>
        <v>48</v>
      </c>
      <c r="CB18" s="11">
        <f t="shared" si="27"/>
        <v>119.1</v>
      </c>
      <c r="CC18" s="19">
        <v>18.2</v>
      </c>
      <c r="CD18" s="19">
        <v>6.8000000000000007</v>
      </c>
      <c r="CE18" s="19">
        <v>0</v>
      </c>
      <c r="CF18" s="19">
        <v>0</v>
      </c>
      <c r="CG18" s="19">
        <v>18.5</v>
      </c>
      <c r="CH18" s="19">
        <v>6</v>
      </c>
      <c r="CI18" s="19">
        <v>0</v>
      </c>
      <c r="CJ18" s="19">
        <v>0</v>
      </c>
      <c r="CK18" s="19">
        <v>18.2</v>
      </c>
      <c r="CL18" s="19">
        <v>2.7</v>
      </c>
      <c r="CM18" s="19">
        <v>1.6</v>
      </c>
      <c r="CN18" s="19">
        <v>0</v>
      </c>
      <c r="CO18" s="19">
        <v>18.600000000000001</v>
      </c>
      <c r="CP18" s="19">
        <v>6.8000000000000007</v>
      </c>
      <c r="CQ18" s="19">
        <v>0</v>
      </c>
      <c r="CR18" s="19">
        <v>0</v>
      </c>
      <c r="CS18" s="19">
        <v>18</v>
      </c>
      <c r="CT18" s="19">
        <v>6</v>
      </c>
      <c r="CU18" s="19">
        <v>0.6</v>
      </c>
      <c r="CV18" s="19">
        <v>0</v>
      </c>
      <c r="CW18" s="27"/>
      <c r="CX18" s="40">
        <f t="shared" si="28"/>
        <v>12.8</v>
      </c>
      <c r="CY18" s="40">
        <f t="shared" si="29"/>
        <v>49.5</v>
      </c>
      <c r="CZ18" s="40">
        <f t="shared" si="30"/>
        <v>19.299999999999997</v>
      </c>
      <c r="DA18" s="40">
        <f t="shared" si="31"/>
        <v>15.5</v>
      </c>
      <c r="DB18" s="40">
        <f t="shared" si="32"/>
        <v>68.8</v>
      </c>
      <c r="DC18" s="40">
        <f t="shared" si="33"/>
        <v>12.8</v>
      </c>
      <c r="DD18" s="40">
        <f t="shared" si="34"/>
        <v>48.800000000000004</v>
      </c>
      <c r="DE18" s="40">
        <f t="shared" si="35"/>
        <v>117.6</v>
      </c>
      <c r="DF18" s="50" t="str">
        <f t="shared" si="36"/>
        <v/>
      </c>
      <c r="DG18" s="50" t="str">
        <f t="shared" si="37"/>
        <v/>
      </c>
      <c r="DH18" s="50" t="str">
        <f t="shared" si="38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39"/>
        <v/>
      </c>
      <c r="ED18" s="40" t="str">
        <f t="shared" si="40"/>
        <v/>
      </c>
      <c r="EE18" s="40" t="str">
        <f t="shared" si="41"/>
        <v/>
      </c>
      <c r="EF18" s="40" t="str">
        <f t="shared" si="42"/>
        <v/>
      </c>
      <c r="EG18" s="40" t="str">
        <f t="shared" si="43"/>
        <v/>
      </c>
      <c r="EH18" s="40" t="str">
        <f t="shared" si="44"/>
        <v/>
      </c>
      <c r="EI18" s="40" t="str">
        <f t="shared" si="45"/>
        <v/>
      </c>
      <c r="EJ18" s="40" t="str">
        <f t="shared" si="46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1" t="str">
        <f t="shared" si="52"/>
        <v/>
      </c>
      <c r="FK18" s="11" t="str">
        <f t="shared" si="53"/>
        <v/>
      </c>
      <c r="FL18" s="11" t="str">
        <f t="shared" si="54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40" t="str">
        <f t="shared" si="60"/>
        <v/>
      </c>
      <c r="GM18" s="40" t="str">
        <f t="shared" si="61"/>
        <v/>
      </c>
      <c r="GN18" s="40" t="str">
        <f t="shared" si="62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1" t="str">
        <f t="shared" si="68"/>
        <v/>
      </c>
      <c r="HO18" s="11" t="str">
        <f t="shared" si="69"/>
        <v/>
      </c>
      <c r="HP18" s="11" t="str">
        <f t="shared" si="70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40" t="str">
        <f t="shared" si="76"/>
        <v/>
      </c>
      <c r="IQ18" s="40" t="str">
        <f t="shared" si="77"/>
        <v/>
      </c>
      <c r="IR18" s="40" t="str">
        <f t="shared" si="78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1" t="str">
        <f t="shared" si="84"/>
        <v/>
      </c>
      <c r="JS18" s="11" t="str">
        <f t="shared" si="85"/>
        <v/>
      </c>
      <c r="JT18" s="11" t="str">
        <f t="shared" si="86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40" t="str">
        <f t="shared" si="92"/>
        <v/>
      </c>
      <c r="KU18" s="40" t="str">
        <f t="shared" si="93"/>
        <v/>
      </c>
      <c r="KV18" s="40" t="str">
        <f t="shared" si="94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1" t="str">
        <f t="shared" si="100"/>
        <v/>
      </c>
      <c r="LW18" s="11" t="str">
        <f t="shared" si="101"/>
        <v/>
      </c>
      <c r="LX18" s="11" t="str">
        <f t="shared" si="102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40" t="str">
        <f t="shared" si="108"/>
        <v/>
      </c>
      <c r="MY18" s="40" t="str">
        <f t="shared" si="109"/>
        <v/>
      </c>
      <c r="MZ18" s="40" t="str">
        <f t="shared" si="110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1" t="str">
        <f t="shared" si="116"/>
        <v/>
      </c>
      <c r="OA18" s="11" t="str">
        <f t="shared" si="117"/>
        <v/>
      </c>
      <c r="OB18" s="11" t="str">
        <f t="shared" si="118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40" t="str">
        <f t="shared" si="124"/>
        <v/>
      </c>
      <c r="PC18" s="40" t="str">
        <f t="shared" si="125"/>
        <v/>
      </c>
      <c r="PD18" s="40" t="str">
        <f t="shared" si="126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11" t="str">
        <f t="shared" si="132"/>
        <v/>
      </c>
      <c r="QE18" s="11" t="str">
        <f t="shared" si="133"/>
        <v/>
      </c>
      <c r="QF18" s="11" t="str">
        <f t="shared" si="134"/>
        <v/>
      </c>
      <c r="QG18" s="22">
        <f t="shared" si="135"/>
        <v>18.299999999999997</v>
      </c>
      <c r="QH18" s="22">
        <f t="shared" si="136"/>
        <v>6.8000000000000007</v>
      </c>
      <c r="QI18" s="22">
        <f t="shared" si="137"/>
        <v>0</v>
      </c>
      <c r="QJ18" s="22">
        <f t="shared" si="138"/>
        <v>0</v>
      </c>
      <c r="QK18" s="22">
        <f t="shared" si="139"/>
        <v>17.350000000000001</v>
      </c>
      <c r="QL18" s="22">
        <f t="shared" si="140"/>
        <v>6.65</v>
      </c>
      <c r="QM18" s="22">
        <f t="shared" si="141"/>
        <v>0.1</v>
      </c>
      <c r="QN18" s="22">
        <f t="shared" si="142"/>
        <v>0</v>
      </c>
      <c r="QO18" s="22">
        <f t="shared" si="143"/>
        <v>18.350000000000001</v>
      </c>
      <c r="QP18" s="22">
        <f t="shared" si="144"/>
        <v>3.5</v>
      </c>
      <c r="QQ18" s="22">
        <f t="shared" si="145"/>
        <v>0.9</v>
      </c>
      <c r="QR18" s="22">
        <f t="shared" si="146"/>
        <v>0</v>
      </c>
      <c r="QS18" s="22">
        <f t="shared" si="147"/>
        <v>18.700000000000003</v>
      </c>
      <c r="QT18" s="22">
        <f t="shared" si="148"/>
        <v>6.6000000000000005</v>
      </c>
      <c r="QU18" s="22">
        <f t="shared" si="149"/>
        <v>0.1</v>
      </c>
      <c r="QV18" s="22">
        <f t="shared" si="150"/>
        <v>0</v>
      </c>
      <c r="QW18" s="22">
        <f t="shared" si="151"/>
        <v>17.149999999999999</v>
      </c>
      <c r="QX18" s="22">
        <f t="shared" si="152"/>
        <v>6.85</v>
      </c>
      <c r="QY18" s="22">
        <f t="shared" si="153"/>
        <v>0.8</v>
      </c>
      <c r="QZ18" s="22">
        <f t="shared" si="154"/>
        <v>0</v>
      </c>
      <c r="RA18" s="27" t="s">
        <v>46</v>
      </c>
      <c r="RB18" s="40">
        <f t="shared" si="155"/>
        <v>13.450000000000001</v>
      </c>
      <c r="RC18" s="40">
        <f t="shared" si="156"/>
        <v>49</v>
      </c>
      <c r="RD18" s="40">
        <f t="shared" si="157"/>
        <v>20.950000000000003</v>
      </c>
      <c r="RE18" s="40">
        <f t="shared" si="158"/>
        <v>16.950000000000003</v>
      </c>
      <c r="RF18" s="40">
        <f t="shared" si="159"/>
        <v>69.95</v>
      </c>
      <c r="RG18" s="40">
        <f t="shared" si="160"/>
        <v>13.45</v>
      </c>
      <c r="RH18" s="40">
        <f t="shared" si="161"/>
        <v>48.400000000000006</v>
      </c>
      <c r="RI18" s="40">
        <f t="shared" si="162"/>
        <v>118.35000000000001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10</v>
      </c>
      <c r="C19" s="5" t="s">
        <v>187</v>
      </c>
      <c r="D19" s="4" t="s">
        <v>3</v>
      </c>
      <c r="E19" s="4">
        <v>2006</v>
      </c>
      <c r="F19" s="9">
        <f t="shared" si="163"/>
        <v>169.70001199000487</v>
      </c>
      <c r="G19" s="66"/>
      <c r="H19" s="3" t="str">
        <f t="shared" si="0"/>
        <v>P</v>
      </c>
      <c r="I19" s="3" t="str">
        <f t="shared" si="1"/>
        <v>P</v>
      </c>
      <c r="J19" s="36" t="str">
        <f t="shared" si="2"/>
        <v>National Team</v>
      </c>
      <c r="K19" s="3" t="str">
        <f t="shared" si="3"/>
        <v/>
      </c>
      <c r="L19" s="8">
        <f>IF(COUNT(AS19,BV19,CY19)&gt;0,LARGE((AS19,BV19,CY19),1),0)</f>
        <v>49</v>
      </c>
      <c r="M19" s="8" t="str">
        <f t="shared" si="4"/>
        <v>2023 Elite Canada</v>
      </c>
      <c r="N19" s="8">
        <f>IF(COUNT(AS19,BV19,CY19)&gt;1,LARGE((AS19,BV19,CY19),2),0)</f>
        <v>48.800000000000004</v>
      </c>
      <c r="O19" s="8" t="str">
        <f t="shared" si="5"/>
        <v>2023 3rd Domestic Trial</v>
      </c>
      <c r="P19" s="8">
        <f>IF(COUNT(AT19,BW19,CZ19)&gt;0,LARGE((AT19,BW19,CZ19),1),0)</f>
        <v>22.1</v>
      </c>
      <c r="Q19" s="8" t="str">
        <f t="shared" si="6"/>
        <v>2023 3rd Domestic Trial</v>
      </c>
      <c r="R19" s="8">
        <f t="shared" si="7"/>
        <v>49.8</v>
      </c>
      <c r="S19" s="8" t="str">
        <f t="shared" si="8"/>
        <v>2023 Nationals</v>
      </c>
      <c r="T19" s="8" t="str">
        <f t="shared" si="9"/>
        <v/>
      </c>
      <c r="U19" s="11" t="str">
        <f t="shared" si="10"/>
        <v/>
      </c>
      <c r="V19" s="8" t="str">
        <f t="shared" si="11"/>
        <v/>
      </c>
      <c r="W19" s="19">
        <v>18.899999999999999</v>
      </c>
      <c r="X19" s="19">
        <v>6</v>
      </c>
      <c r="Y19" s="19">
        <v>0.2</v>
      </c>
      <c r="Z19" s="19">
        <v>0</v>
      </c>
      <c r="AA19" s="19">
        <v>18.3</v>
      </c>
      <c r="AB19" s="19">
        <v>6</v>
      </c>
      <c r="AC19" s="19">
        <v>0</v>
      </c>
      <c r="AD19" s="19">
        <v>0</v>
      </c>
      <c r="AE19" s="19">
        <v>17.600000000000001</v>
      </c>
      <c r="AF19" s="19">
        <v>0.7</v>
      </c>
      <c r="AG19" s="19">
        <v>0</v>
      </c>
      <c r="AH19" s="19">
        <v>0</v>
      </c>
      <c r="AI19" s="19">
        <v>18.600000000000001</v>
      </c>
      <c r="AJ19" s="19">
        <v>6</v>
      </c>
      <c r="AK19" s="19">
        <v>0.2</v>
      </c>
      <c r="AL19" s="19">
        <v>0</v>
      </c>
      <c r="AM19" s="19">
        <v>17.899999999999999</v>
      </c>
      <c r="AN19" s="19">
        <v>5.6</v>
      </c>
      <c r="AO19" s="19">
        <v>0.8</v>
      </c>
      <c r="AP19" s="19">
        <v>0</v>
      </c>
      <c r="AQ19" s="27"/>
      <c r="AR19" s="40">
        <f t="shared" si="12"/>
        <v>12</v>
      </c>
      <c r="AS19" s="40">
        <f t="shared" si="13"/>
        <v>49</v>
      </c>
      <c r="AT19" s="40">
        <f t="shared" si="14"/>
        <v>18.3</v>
      </c>
      <c r="AU19" s="40">
        <f t="shared" si="15"/>
        <v>12.7</v>
      </c>
      <c r="AV19" s="40">
        <f t="shared" si="16"/>
        <v>67.3</v>
      </c>
      <c r="AW19" s="40">
        <f t="shared" si="17"/>
        <v>11.6</v>
      </c>
      <c r="AX19" s="40">
        <f t="shared" si="18"/>
        <v>47.1</v>
      </c>
      <c r="AY19" s="40">
        <f t="shared" si="19"/>
        <v>114.4</v>
      </c>
      <c r="AZ19" s="18">
        <v>18.3</v>
      </c>
      <c r="BA19" s="18">
        <v>6.4</v>
      </c>
      <c r="BB19" s="18">
        <v>0.8</v>
      </c>
      <c r="BC19" s="18">
        <v>0</v>
      </c>
      <c r="BD19" s="18">
        <v>18.600000000000001</v>
      </c>
      <c r="BE19" s="18">
        <v>6.8</v>
      </c>
      <c r="BF19" s="18">
        <v>0.6</v>
      </c>
      <c r="BG19" s="18">
        <v>0</v>
      </c>
      <c r="BH19" s="18">
        <v>17.399999999999999</v>
      </c>
      <c r="BI19" s="18">
        <v>3.2</v>
      </c>
      <c r="BJ19" s="18">
        <v>0</v>
      </c>
      <c r="BK19" s="18">
        <v>0</v>
      </c>
      <c r="BL19" s="18">
        <v>18.399999999999999</v>
      </c>
      <c r="BM19" s="18">
        <v>7.2</v>
      </c>
      <c r="BN19" s="18">
        <v>0.2</v>
      </c>
      <c r="BO19" s="18">
        <v>0</v>
      </c>
      <c r="BP19" s="18">
        <v>18.2</v>
      </c>
      <c r="BQ19" s="18">
        <v>6.8</v>
      </c>
      <c r="BR19" s="18">
        <v>0.6</v>
      </c>
      <c r="BS19" s="18">
        <v>0</v>
      </c>
      <c r="BT19" s="28"/>
      <c r="BU19" s="11">
        <f t="shared" si="20"/>
        <v>13.2</v>
      </c>
      <c r="BV19" s="11">
        <f t="shared" si="21"/>
        <v>48.7</v>
      </c>
      <c r="BW19" s="11">
        <f t="shared" si="22"/>
        <v>20.599999999999998</v>
      </c>
      <c r="BX19" s="11">
        <f t="shared" si="23"/>
        <v>16.399999999999999</v>
      </c>
      <c r="BY19" s="11">
        <f t="shared" si="24"/>
        <v>69.3</v>
      </c>
      <c r="BZ19" s="11">
        <f t="shared" si="25"/>
        <v>14</v>
      </c>
      <c r="CA19" s="11">
        <f t="shared" si="26"/>
        <v>49.8</v>
      </c>
      <c r="CB19" s="11">
        <f t="shared" si="27"/>
        <v>119.1</v>
      </c>
      <c r="CC19" s="19">
        <v>18.399999999999999</v>
      </c>
      <c r="CD19" s="19">
        <v>6.4</v>
      </c>
      <c r="CE19" s="19">
        <v>0.6</v>
      </c>
      <c r="CF19" s="19">
        <v>0</v>
      </c>
      <c r="CG19" s="19">
        <v>18.600000000000001</v>
      </c>
      <c r="CH19" s="19">
        <v>6.8000000000000007</v>
      </c>
      <c r="CI19" s="19">
        <v>0.8</v>
      </c>
      <c r="CJ19" s="19">
        <v>0</v>
      </c>
      <c r="CK19" s="19">
        <v>16.100000000000001</v>
      </c>
      <c r="CL19" s="19">
        <v>6.8000000000000007</v>
      </c>
      <c r="CM19" s="19">
        <v>0.8</v>
      </c>
      <c r="CN19" s="19">
        <v>0</v>
      </c>
      <c r="CO19" s="19">
        <v>18</v>
      </c>
      <c r="CP19" s="19">
        <v>6.4</v>
      </c>
      <c r="CQ19" s="19">
        <v>0</v>
      </c>
      <c r="CR19" s="19">
        <v>0</v>
      </c>
      <c r="CS19" s="19">
        <v>17.399999999999999</v>
      </c>
      <c r="CT19" s="19">
        <v>2.4</v>
      </c>
      <c r="CU19" s="19">
        <v>0</v>
      </c>
      <c r="CV19" s="19">
        <v>0</v>
      </c>
      <c r="CW19" s="27"/>
      <c r="CX19" s="40">
        <f t="shared" si="28"/>
        <v>13.200000000000001</v>
      </c>
      <c r="CY19" s="40">
        <f t="shared" si="29"/>
        <v>48.800000000000004</v>
      </c>
      <c r="CZ19" s="40">
        <f t="shared" si="30"/>
        <v>22.1</v>
      </c>
      <c r="DA19" s="40">
        <f t="shared" si="31"/>
        <v>20</v>
      </c>
      <c r="DB19" s="40">
        <f t="shared" si="32"/>
        <v>70.900000000000006</v>
      </c>
      <c r="DC19" s="40">
        <f t="shared" si="33"/>
        <v>8.8000000000000007</v>
      </c>
      <c r="DD19" s="40">
        <f t="shared" si="34"/>
        <v>44.199999999999996</v>
      </c>
      <c r="DE19" s="40">
        <f t="shared" si="35"/>
        <v>115.1</v>
      </c>
      <c r="DF19" s="50" t="str">
        <f t="shared" si="36"/>
        <v/>
      </c>
      <c r="DG19" s="50" t="str">
        <f t="shared" si="37"/>
        <v/>
      </c>
      <c r="DH19" s="50" t="str">
        <f t="shared" si="38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39"/>
        <v/>
      </c>
      <c r="ED19" s="40" t="str">
        <f t="shared" si="40"/>
        <v/>
      </c>
      <c r="EE19" s="40" t="str">
        <f t="shared" si="41"/>
        <v/>
      </c>
      <c r="EF19" s="40" t="str">
        <f t="shared" si="42"/>
        <v/>
      </c>
      <c r="EG19" s="40" t="str">
        <f t="shared" si="43"/>
        <v/>
      </c>
      <c r="EH19" s="40" t="str">
        <f t="shared" si="44"/>
        <v/>
      </c>
      <c r="EI19" s="40" t="str">
        <f t="shared" si="45"/>
        <v/>
      </c>
      <c r="EJ19" s="40" t="str">
        <f t="shared" si="46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1" t="str">
        <f t="shared" si="52"/>
        <v/>
      </c>
      <c r="FK19" s="11" t="str">
        <f t="shared" si="53"/>
        <v/>
      </c>
      <c r="FL19" s="11" t="str">
        <f t="shared" si="54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40" t="str">
        <f t="shared" si="60"/>
        <v/>
      </c>
      <c r="GM19" s="40" t="str">
        <f t="shared" si="61"/>
        <v/>
      </c>
      <c r="GN19" s="40" t="str">
        <f t="shared" si="62"/>
        <v/>
      </c>
      <c r="GO19" s="18">
        <v>18.399999999999999</v>
      </c>
      <c r="GP19" s="18">
        <v>6</v>
      </c>
      <c r="GQ19" s="18">
        <v>0</v>
      </c>
      <c r="GR19" s="18">
        <v>0</v>
      </c>
      <c r="GS19" s="18">
        <v>17.7</v>
      </c>
      <c r="GT19" s="18">
        <v>6</v>
      </c>
      <c r="GU19" s="18">
        <v>0.6</v>
      </c>
      <c r="GV19" s="18">
        <v>0</v>
      </c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>
        <f t="shared" si="63"/>
        <v>12</v>
      </c>
      <c r="HJ19" s="11">
        <f t="shared" si="64"/>
        <v>47.499999999999993</v>
      </c>
      <c r="HK19" s="11" t="str">
        <f t="shared" si="65"/>
        <v/>
      </c>
      <c r="HL19" s="11">
        <f t="shared" si="66"/>
        <v>12</v>
      </c>
      <c r="HM19" s="11">
        <f t="shared" si="67"/>
        <v>47.499999999999993</v>
      </c>
      <c r="HN19" s="11" t="str">
        <f t="shared" si="68"/>
        <v/>
      </c>
      <c r="HO19" s="11" t="str">
        <f t="shared" si="69"/>
        <v/>
      </c>
      <c r="HP19" s="11">
        <f t="shared" si="70"/>
        <v>47.499999999999993</v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40" t="str">
        <f t="shared" si="76"/>
        <v/>
      </c>
      <c r="IQ19" s="40" t="str">
        <f t="shared" si="77"/>
        <v/>
      </c>
      <c r="IR19" s="40" t="str">
        <f t="shared" si="78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1" t="str">
        <f t="shared" si="84"/>
        <v/>
      </c>
      <c r="JS19" s="11" t="str">
        <f t="shared" si="85"/>
        <v/>
      </c>
      <c r="JT19" s="11" t="str">
        <f t="shared" si="86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40" t="str">
        <f t="shared" si="92"/>
        <v/>
      </c>
      <c r="KU19" s="40" t="str">
        <f t="shared" si="93"/>
        <v/>
      </c>
      <c r="KV19" s="40" t="str">
        <f t="shared" si="94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1" t="str">
        <f t="shared" si="100"/>
        <v/>
      </c>
      <c r="LW19" s="11" t="str">
        <f t="shared" si="101"/>
        <v/>
      </c>
      <c r="LX19" s="11" t="str">
        <f t="shared" si="102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40" t="str">
        <f t="shared" si="108"/>
        <v/>
      </c>
      <c r="MY19" s="40" t="str">
        <f t="shared" si="109"/>
        <v/>
      </c>
      <c r="MZ19" s="40" t="str">
        <f t="shared" si="110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1" t="str">
        <f t="shared" si="116"/>
        <v/>
      </c>
      <c r="OA19" s="11" t="str">
        <f t="shared" si="117"/>
        <v/>
      </c>
      <c r="OB19" s="11" t="str">
        <f t="shared" si="118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40" t="str">
        <f t="shared" si="124"/>
        <v/>
      </c>
      <c r="PC19" s="40" t="str">
        <f t="shared" si="125"/>
        <v/>
      </c>
      <c r="PD19" s="40" t="str">
        <f t="shared" si="126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11" t="str">
        <f t="shared" si="132"/>
        <v/>
      </c>
      <c r="QE19" s="11" t="str">
        <f t="shared" si="133"/>
        <v/>
      </c>
      <c r="QF19" s="11" t="str">
        <f t="shared" si="134"/>
        <v/>
      </c>
      <c r="QG19" s="22">
        <f t="shared" si="135"/>
        <v>18.350000000000001</v>
      </c>
      <c r="QH19" s="22">
        <f t="shared" si="136"/>
        <v>6.4</v>
      </c>
      <c r="QI19" s="22">
        <f t="shared" si="137"/>
        <v>0.7</v>
      </c>
      <c r="QJ19" s="22">
        <f t="shared" si="138"/>
        <v>0</v>
      </c>
      <c r="QK19" s="22">
        <f t="shared" si="139"/>
        <v>18.600000000000001</v>
      </c>
      <c r="QL19" s="22">
        <f t="shared" si="140"/>
        <v>6.8000000000000007</v>
      </c>
      <c r="QM19" s="22">
        <f t="shared" si="141"/>
        <v>0.7</v>
      </c>
      <c r="QN19" s="22">
        <f t="shared" si="142"/>
        <v>0</v>
      </c>
      <c r="QO19" s="22">
        <f t="shared" si="143"/>
        <v>16.75</v>
      </c>
      <c r="QP19" s="22">
        <f t="shared" si="144"/>
        <v>5</v>
      </c>
      <c r="QQ19" s="22">
        <f t="shared" si="145"/>
        <v>0.4</v>
      </c>
      <c r="QR19" s="22">
        <f t="shared" si="146"/>
        <v>0</v>
      </c>
      <c r="QS19" s="22">
        <f t="shared" si="147"/>
        <v>18.2</v>
      </c>
      <c r="QT19" s="22">
        <f t="shared" si="148"/>
        <v>6.8000000000000007</v>
      </c>
      <c r="QU19" s="22">
        <f t="shared" si="149"/>
        <v>0.1</v>
      </c>
      <c r="QV19" s="22">
        <f t="shared" si="150"/>
        <v>0</v>
      </c>
      <c r="QW19" s="22">
        <f t="shared" si="151"/>
        <v>17.799999999999997</v>
      </c>
      <c r="QX19" s="22">
        <f t="shared" si="152"/>
        <v>4.5999999999999996</v>
      </c>
      <c r="QY19" s="22">
        <f t="shared" si="153"/>
        <v>0.3</v>
      </c>
      <c r="QZ19" s="22">
        <f t="shared" si="154"/>
        <v>0</v>
      </c>
      <c r="RA19" s="27" t="s">
        <v>46</v>
      </c>
      <c r="RB19" s="40">
        <f t="shared" si="155"/>
        <v>13.200000000000001</v>
      </c>
      <c r="RC19" s="40">
        <f t="shared" si="156"/>
        <v>48.75</v>
      </c>
      <c r="RD19" s="40">
        <f t="shared" si="157"/>
        <v>21.35</v>
      </c>
      <c r="RE19" s="40">
        <f t="shared" si="158"/>
        <v>18.200000000000003</v>
      </c>
      <c r="RF19" s="40">
        <f t="shared" si="159"/>
        <v>70.099999999999994</v>
      </c>
      <c r="RG19" s="40">
        <f t="shared" si="160"/>
        <v>11.4</v>
      </c>
      <c r="RH19" s="40">
        <f t="shared" si="161"/>
        <v>47</v>
      </c>
      <c r="RI19" s="40">
        <f t="shared" si="162"/>
        <v>117.1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11</v>
      </c>
      <c r="C20" s="5" t="s">
        <v>176</v>
      </c>
      <c r="D20" s="4" t="s">
        <v>6</v>
      </c>
      <c r="E20" s="4">
        <v>2004</v>
      </c>
      <c r="F20" s="9">
        <f t="shared" si="163"/>
        <v>169.10001214000499</v>
      </c>
      <c r="G20" s="66"/>
      <c r="H20" s="3" t="str">
        <f t="shared" si="0"/>
        <v>P</v>
      </c>
      <c r="I20" s="3" t="str">
        <f t="shared" si="1"/>
        <v>P</v>
      </c>
      <c r="J20" s="36" t="str">
        <f t="shared" si="2"/>
        <v>National Team</v>
      </c>
      <c r="K20" s="3" t="str">
        <f t="shared" si="3"/>
        <v/>
      </c>
      <c r="L20" s="8">
        <f>IF(COUNT(AS20,BV20,CY20)&gt;0,LARGE((AS20,BV20,CY20),1),0)</f>
        <v>49.9</v>
      </c>
      <c r="M20" s="8" t="str">
        <f t="shared" si="4"/>
        <v>2023 3rd Domestic Trial</v>
      </c>
      <c r="N20" s="8">
        <f>IF(COUNT(AS20,BV20,CY20)&gt;1,LARGE((AS20,BV20,CY20),2),0)</f>
        <v>48.5</v>
      </c>
      <c r="O20" s="8" t="str">
        <f t="shared" si="5"/>
        <v>2023 Nationals</v>
      </c>
      <c r="P20" s="8">
        <f>IF(COUNT(AT20,BW20,CZ20)&gt;0,LARGE((AT20,BW20,CZ20),1),0)</f>
        <v>23</v>
      </c>
      <c r="Q20" s="8" t="str">
        <f t="shared" si="6"/>
        <v>2023 Nationals</v>
      </c>
      <c r="R20" s="8">
        <f t="shared" si="7"/>
        <v>47.699999999999996</v>
      </c>
      <c r="S20" s="8" t="str">
        <f t="shared" si="8"/>
        <v>2023 Nationals</v>
      </c>
      <c r="T20" s="8" t="str">
        <f t="shared" si="9"/>
        <v/>
      </c>
      <c r="U20" s="11" t="str">
        <f t="shared" si="10"/>
        <v/>
      </c>
      <c r="V20" s="8" t="str">
        <f t="shared" si="11"/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 t="shared" si="12"/>
        <v/>
      </c>
      <c r="AS20" s="40" t="str">
        <f t="shared" si="13"/>
        <v/>
      </c>
      <c r="AT20" s="40" t="str">
        <f t="shared" si="14"/>
        <v/>
      </c>
      <c r="AU20" s="40" t="str">
        <f t="shared" si="15"/>
        <v/>
      </c>
      <c r="AV20" s="40" t="str">
        <f t="shared" si="16"/>
        <v/>
      </c>
      <c r="AW20" s="40" t="str">
        <f t="shared" si="17"/>
        <v/>
      </c>
      <c r="AX20" s="40" t="str">
        <f t="shared" si="18"/>
        <v/>
      </c>
      <c r="AY20" s="40" t="str">
        <f t="shared" si="19"/>
        <v/>
      </c>
      <c r="AZ20" s="18">
        <v>18.8</v>
      </c>
      <c r="BA20" s="18">
        <v>6.8</v>
      </c>
      <c r="BB20" s="18">
        <v>0.6</v>
      </c>
      <c r="BC20" s="18">
        <v>0</v>
      </c>
      <c r="BD20" s="18">
        <v>18.100000000000001</v>
      </c>
      <c r="BE20" s="18">
        <v>6</v>
      </c>
      <c r="BF20" s="18">
        <v>0.6</v>
      </c>
      <c r="BG20" s="18">
        <v>0</v>
      </c>
      <c r="BH20" s="18">
        <v>18.7</v>
      </c>
      <c r="BI20" s="18">
        <v>4.3</v>
      </c>
      <c r="BJ20" s="18">
        <v>0</v>
      </c>
      <c r="BK20" s="18">
        <v>0</v>
      </c>
      <c r="BL20" s="18">
        <v>19</v>
      </c>
      <c r="BM20" s="18">
        <v>6.8</v>
      </c>
      <c r="BN20" s="18">
        <v>0</v>
      </c>
      <c r="BO20" s="18">
        <v>0</v>
      </c>
      <c r="BP20" s="18">
        <v>16.5</v>
      </c>
      <c r="BQ20" s="18">
        <v>6.4</v>
      </c>
      <c r="BR20" s="18">
        <v>1</v>
      </c>
      <c r="BS20" s="18">
        <v>0</v>
      </c>
      <c r="BT20" s="28"/>
      <c r="BU20" s="11">
        <f t="shared" si="20"/>
        <v>12.8</v>
      </c>
      <c r="BV20" s="11">
        <f t="shared" si="21"/>
        <v>48.5</v>
      </c>
      <c r="BW20" s="11">
        <f t="shared" si="22"/>
        <v>23</v>
      </c>
      <c r="BX20" s="11">
        <f t="shared" si="23"/>
        <v>17.100000000000001</v>
      </c>
      <c r="BY20" s="11">
        <f t="shared" si="24"/>
        <v>71.5</v>
      </c>
      <c r="BZ20" s="11">
        <f t="shared" si="25"/>
        <v>13.2</v>
      </c>
      <c r="CA20" s="11">
        <f t="shared" si="26"/>
        <v>47.699999999999996</v>
      </c>
      <c r="CB20" s="11">
        <f t="shared" si="27"/>
        <v>119.19999999999999</v>
      </c>
      <c r="CC20" s="19">
        <v>19</v>
      </c>
      <c r="CD20" s="19">
        <v>6.8000000000000007</v>
      </c>
      <c r="CE20" s="19">
        <v>0</v>
      </c>
      <c r="CF20" s="19">
        <v>0</v>
      </c>
      <c r="CG20" s="19">
        <v>18.5</v>
      </c>
      <c r="CH20" s="19">
        <v>6.4</v>
      </c>
      <c r="CI20" s="19">
        <v>0.8</v>
      </c>
      <c r="CJ20" s="19">
        <v>0</v>
      </c>
      <c r="CK20" s="19">
        <v>18.8</v>
      </c>
      <c r="CL20" s="19">
        <v>3.9000000000000004</v>
      </c>
      <c r="CM20" s="19">
        <v>0</v>
      </c>
      <c r="CN20" s="19">
        <v>0</v>
      </c>
      <c r="CO20" s="19">
        <v>19</v>
      </c>
      <c r="CP20" s="19">
        <v>6.8000000000000007</v>
      </c>
      <c r="CQ20" s="19">
        <v>0.6</v>
      </c>
      <c r="CR20" s="19">
        <v>0</v>
      </c>
      <c r="CS20" s="19">
        <v>18.2</v>
      </c>
      <c r="CT20" s="19">
        <v>3.6</v>
      </c>
      <c r="CU20" s="19">
        <v>0.6</v>
      </c>
      <c r="CV20" s="19">
        <v>0</v>
      </c>
      <c r="CW20" s="27"/>
      <c r="CX20" s="40">
        <f t="shared" si="28"/>
        <v>13.200000000000001</v>
      </c>
      <c r="CY20" s="40">
        <f t="shared" si="29"/>
        <v>49.9</v>
      </c>
      <c r="CZ20" s="40">
        <f t="shared" si="30"/>
        <v>22.700000000000003</v>
      </c>
      <c r="DA20" s="40">
        <f t="shared" si="31"/>
        <v>17.100000000000001</v>
      </c>
      <c r="DB20" s="40">
        <f t="shared" si="32"/>
        <v>72.599999999999994</v>
      </c>
      <c r="DC20" s="40">
        <f t="shared" si="33"/>
        <v>10.4</v>
      </c>
      <c r="DD20" s="40">
        <f t="shared" si="34"/>
        <v>46.4</v>
      </c>
      <c r="DE20" s="40">
        <f t="shared" si="35"/>
        <v>119</v>
      </c>
      <c r="DF20" s="50" t="str">
        <f t="shared" si="36"/>
        <v/>
      </c>
      <c r="DG20" s="50" t="str">
        <f t="shared" si="37"/>
        <v/>
      </c>
      <c r="DH20" s="50" t="str">
        <f t="shared" si="38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40" t="str">
        <f t="shared" si="44"/>
        <v/>
      </c>
      <c r="EI20" s="40" t="str">
        <f t="shared" si="45"/>
        <v/>
      </c>
      <c r="EJ20" s="40" t="str">
        <f t="shared" si="46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1" t="str">
        <f t="shared" si="52"/>
        <v/>
      </c>
      <c r="FK20" s="11" t="str">
        <f t="shared" si="53"/>
        <v/>
      </c>
      <c r="FL20" s="11" t="str">
        <f t="shared" si="54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40" t="str">
        <f t="shared" si="60"/>
        <v/>
      </c>
      <c r="GM20" s="40" t="str">
        <f t="shared" si="61"/>
        <v/>
      </c>
      <c r="GN20" s="40" t="str">
        <f t="shared" si="62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1" t="str">
        <f t="shared" si="68"/>
        <v/>
      </c>
      <c r="HO20" s="11" t="str">
        <f t="shared" si="69"/>
        <v/>
      </c>
      <c r="HP20" s="11" t="str">
        <f t="shared" si="70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1"/>
        <v/>
      </c>
      <c r="IL20" s="40" t="str">
        <f t="shared" si="72"/>
        <v/>
      </c>
      <c r="IM20" s="40" t="str">
        <f t="shared" si="73"/>
        <v/>
      </c>
      <c r="IN20" s="40" t="str">
        <f t="shared" si="74"/>
        <v/>
      </c>
      <c r="IO20" s="40" t="str">
        <f t="shared" si="75"/>
        <v/>
      </c>
      <c r="IP20" s="40" t="str">
        <f t="shared" si="76"/>
        <v/>
      </c>
      <c r="IQ20" s="40" t="str">
        <f t="shared" si="77"/>
        <v/>
      </c>
      <c r="IR20" s="40" t="str">
        <f t="shared" si="78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1" t="str">
        <f t="shared" si="84"/>
        <v/>
      </c>
      <c r="JS20" s="11" t="str">
        <f t="shared" si="85"/>
        <v/>
      </c>
      <c r="JT20" s="11" t="str">
        <f t="shared" si="86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7"/>
        <v/>
      </c>
      <c r="KP20" s="40" t="str">
        <f t="shared" si="88"/>
        <v/>
      </c>
      <c r="KQ20" s="40" t="str">
        <f t="shared" si="89"/>
        <v/>
      </c>
      <c r="KR20" s="40" t="str">
        <f t="shared" si="90"/>
        <v/>
      </c>
      <c r="KS20" s="40" t="str">
        <f t="shared" si="91"/>
        <v/>
      </c>
      <c r="KT20" s="40" t="str">
        <f t="shared" si="92"/>
        <v/>
      </c>
      <c r="KU20" s="40" t="str">
        <f t="shared" si="93"/>
        <v/>
      </c>
      <c r="KV20" s="40" t="str">
        <f t="shared" si="94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1" t="str">
        <f t="shared" si="100"/>
        <v/>
      </c>
      <c r="LW20" s="11" t="str">
        <f t="shared" si="101"/>
        <v/>
      </c>
      <c r="LX20" s="11" t="str">
        <f t="shared" si="102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40" t="str">
        <f t="shared" si="108"/>
        <v/>
      </c>
      <c r="MY20" s="40" t="str">
        <f t="shared" si="109"/>
        <v/>
      </c>
      <c r="MZ20" s="40" t="str">
        <f t="shared" si="110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1" t="str">
        <f t="shared" si="116"/>
        <v/>
      </c>
      <c r="OA20" s="11" t="str">
        <f t="shared" si="117"/>
        <v/>
      </c>
      <c r="OB20" s="11" t="str">
        <f t="shared" si="118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40" t="str">
        <f t="shared" si="124"/>
        <v/>
      </c>
      <c r="PC20" s="40" t="str">
        <f t="shared" si="125"/>
        <v/>
      </c>
      <c r="PD20" s="40" t="str">
        <f t="shared" si="126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11" t="str">
        <f t="shared" si="132"/>
        <v/>
      </c>
      <c r="QE20" s="11" t="str">
        <f t="shared" si="133"/>
        <v/>
      </c>
      <c r="QF20" s="11" t="str">
        <f t="shared" si="134"/>
        <v/>
      </c>
      <c r="QG20" s="22">
        <f t="shared" si="135"/>
        <v>18.899999999999999</v>
      </c>
      <c r="QH20" s="22">
        <f t="shared" si="136"/>
        <v>6.8000000000000007</v>
      </c>
      <c r="QI20" s="22">
        <f t="shared" si="137"/>
        <v>0.3</v>
      </c>
      <c r="QJ20" s="22">
        <f t="shared" si="138"/>
        <v>0</v>
      </c>
      <c r="QK20" s="22">
        <f t="shared" si="139"/>
        <v>18.3</v>
      </c>
      <c r="QL20" s="22">
        <f t="shared" si="140"/>
        <v>6.2</v>
      </c>
      <c r="QM20" s="22">
        <f t="shared" si="141"/>
        <v>0.7</v>
      </c>
      <c r="QN20" s="22">
        <f t="shared" si="142"/>
        <v>0</v>
      </c>
      <c r="QO20" s="22">
        <f t="shared" si="143"/>
        <v>18.75</v>
      </c>
      <c r="QP20" s="22">
        <f t="shared" si="144"/>
        <v>4.0999999999999996</v>
      </c>
      <c r="QQ20" s="22">
        <f t="shared" si="145"/>
        <v>0</v>
      </c>
      <c r="QR20" s="22">
        <f t="shared" si="146"/>
        <v>0</v>
      </c>
      <c r="QS20" s="22">
        <f t="shared" si="147"/>
        <v>19</v>
      </c>
      <c r="QT20" s="22">
        <f t="shared" si="148"/>
        <v>6.8000000000000007</v>
      </c>
      <c r="QU20" s="22">
        <f t="shared" si="149"/>
        <v>0.3</v>
      </c>
      <c r="QV20" s="22">
        <f t="shared" si="150"/>
        <v>0</v>
      </c>
      <c r="QW20" s="22">
        <f t="shared" si="151"/>
        <v>17.350000000000001</v>
      </c>
      <c r="QX20" s="22">
        <f t="shared" si="152"/>
        <v>5</v>
      </c>
      <c r="QY20" s="22">
        <f t="shared" si="153"/>
        <v>0.8</v>
      </c>
      <c r="QZ20" s="22">
        <f t="shared" si="154"/>
        <v>0</v>
      </c>
      <c r="RA20" s="27" t="s">
        <v>46</v>
      </c>
      <c r="RB20" s="40">
        <f t="shared" si="155"/>
        <v>13</v>
      </c>
      <c r="RC20" s="40">
        <f t="shared" si="156"/>
        <v>49.2</v>
      </c>
      <c r="RD20" s="40">
        <f t="shared" si="157"/>
        <v>22.85</v>
      </c>
      <c r="RE20" s="40">
        <f t="shared" si="158"/>
        <v>17.100000000000001</v>
      </c>
      <c r="RF20" s="40">
        <f t="shared" si="159"/>
        <v>72.050000000000011</v>
      </c>
      <c r="RG20" s="40">
        <f t="shared" si="160"/>
        <v>11.8</v>
      </c>
      <c r="RH20" s="40">
        <f t="shared" si="161"/>
        <v>47.050000000000004</v>
      </c>
      <c r="RI20" s="40">
        <f t="shared" si="162"/>
        <v>119.10000000000002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12</v>
      </c>
      <c r="C21" s="5" t="s">
        <v>74</v>
      </c>
      <c r="D21" s="4" t="s">
        <v>6</v>
      </c>
      <c r="E21" s="4">
        <v>2004</v>
      </c>
      <c r="F21" s="9">
        <f t="shared" si="163"/>
        <v>167.90000732000496</v>
      </c>
      <c r="G21" s="66"/>
      <c r="H21" s="3" t="str">
        <f t="shared" si="0"/>
        <v>P</v>
      </c>
      <c r="I21" s="3" t="str">
        <f t="shared" si="1"/>
        <v>P</v>
      </c>
      <c r="J21" s="36" t="str">
        <f t="shared" si="2"/>
        <v>National Team</v>
      </c>
      <c r="K21" s="3" t="str">
        <f t="shared" si="3"/>
        <v/>
      </c>
      <c r="L21" s="8">
        <f>IF(COUNT(AS21,BV21,CY21)&gt;0,LARGE((AS21,BV21,CY21),1),0)</f>
        <v>49.699999999999996</v>
      </c>
      <c r="M21" s="8" t="str">
        <f t="shared" si="4"/>
        <v>2023 Elite Canada</v>
      </c>
      <c r="N21" s="8">
        <f>IF(COUNT(AS21,BV21,CY21)&gt;1,LARGE((AS21,BV21,CY21),2),0)</f>
        <v>0</v>
      </c>
      <c r="O21" s="8" t="str">
        <f t="shared" si="5"/>
        <v/>
      </c>
      <c r="P21" s="8">
        <f>IF(COUNT(AT21,BW21,CZ21)&gt;0,LARGE((AT21,BW21,CZ21),1),0)</f>
        <v>23.5</v>
      </c>
      <c r="Q21" s="8" t="str">
        <f t="shared" si="6"/>
        <v>2023 Elite Canada</v>
      </c>
      <c r="R21" s="8">
        <f t="shared" si="7"/>
        <v>50.3</v>
      </c>
      <c r="S21" s="8" t="str">
        <f t="shared" si="8"/>
        <v>2023 Elite Canada</v>
      </c>
      <c r="T21" s="8">
        <f t="shared" si="9"/>
        <v>44.4</v>
      </c>
      <c r="U21" s="11" t="str">
        <f t="shared" si="10"/>
        <v>(Q1)</v>
      </c>
      <c r="V21" s="8" t="str">
        <f t="shared" si="11"/>
        <v>2022 WAGC (Nov 23)</v>
      </c>
      <c r="W21" s="19">
        <v>18.7</v>
      </c>
      <c r="X21" s="19">
        <v>6</v>
      </c>
      <c r="Y21" s="19">
        <v>0</v>
      </c>
      <c r="Z21" s="19">
        <v>0</v>
      </c>
      <c r="AA21" s="19">
        <v>18.600000000000001</v>
      </c>
      <c r="AB21" s="19">
        <v>6.4</v>
      </c>
      <c r="AC21" s="19">
        <v>0</v>
      </c>
      <c r="AD21" s="19">
        <v>0</v>
      </c>
      <c r="AE21" s="19">
        <v>19.2</v>
      </c>
      <c r="AF21" s="19">
        <v>4.3</v>
      </c>
      <c r="AG21" s="19">
        <v>0</v>
      </c>
      <c r="AH21" s="19">
        <v>0</v>
      </c>
      <c r="AI21" s="19">
        <v>18.899999999999999</v>
      </c>
      <c r="AJ21" s="19">
        <v>6</v>
      </c>
      <c r="AK21" s="19">
        <v>0</v>
      </c>
      <c r="AL21" s="19">
        <v>0</v>
      </c>
      <c r="AM21" s="19">
        <v>19</v>
      </c>
      <c r="AN21" s="19">
        <v>6.4</v>
      </c>
      <c r="AO21" s="19">
        <v>0</v>
      </c>
      <c r="AP21" s="19">
        <v>0</v>
      </c>
      <c r="AQ21" s="27"/>
      <c r="AR21" s="40">
        <f t="shared" si="12"/>
        <v>12.4</v>
      </c>
      <c r="AS21" s="40">
        <f t="shared" si="13"/>
        <v>49.699999999999996</v>
      </c>
      <c r="AT21" s="40">
        <f t="shared" si="14"/>
        <v>23.5</v>
      </c>
      <c r="AU21" s="40">
        <f t="shared" si="15"/>
        <v>16.7</v>
      </c>
      <c r="AV21" s="40">
        <f t="shared" si="16"/>
        <v>73.199999999999989</v>
      </c>
      <c r="AW21" s="40">
        <f t="shared" si="17"/>
        <v>12.4</v>
      </c>
      <c r="AX21" s="40">
        <f t="shared" si="18"/>
        <v>50.3</v>
      </c>
      <c r="AY21" s="40">
        <f t="shared" si="19"/>
        <v>123.49999999999999</v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 t="shared" si="20"/>
        <v/>
      </c>
      <c r="BV21" s="11" t="str">
        <f t="shared" si="21"/>
        <v/>
      </c>
      <c r="BW21" s="11" t="str">
        <f t="shared" si="22"/>
        <v/>
      </c>
      <c r="BX21" s="11" t="str">
        <f t="shared" si="23"/>
        <v/>
      </c>
      <c r="BY21" s="11" t="str">
        <f t="shared" si="24"/>
        <v/>
      </c>
      <c r="BZ21" s="11" t="str">
        <f t="shared" si="25"/>
        <v/>
      </c>
      <c r="CA21" s="11" t="str">
        <f t="shared" si="26"/>
        <v/>
      </c>
      <c r="CB21" s="11" t="str">
        <f t="shared" si="27"/>
        <v/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 t="shared" si="28"/>
        <v/>
      </c>
      <c r="CY21" s="40" t="str">
        <f t="shared" si="29"/>
        <v/>
      </c>
      <c r="CZ21" s="40" t="str">
        <f t="shared" si="30"/>
        <v/>
      </c>
      <c r="DA21" s="40" t="str">
        <f t="shared" si="31"/>
        <v/>
      </c>
      <c r="DB21" s="40" t="str">
        <f t="shared" si="32"/>
        <v/>
      </c>
      <c r="DC21" s="40" t="str">
        <f t="shared" si="33"/>
        <v/>
      </c>
      <c r="DD21" s="40" t="str">
        <f t="shared" si="34"/>
        <v/>
      </c>
      <c r="DE21" s="40" t="str">
        <f t="shared" si="35"/>
        <v/>
      </c>
      <c r="DF21" s="50">
        <f t="shared" si="36"/>
        <v>44.4</v>
      </c>
      <c r="DG21" s="50" t="str">
        <f t="shared" si="37"/>
        <v/>
      </c>
      <c r="DH21" s="50" t="str">
        <f t="shared" si="38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39"/>
        <v/>
      </c>
      <c r="ED21" s="40" t="str">
        <f t="shared" si="40"/>
        <v/>
      </c>
      <c r="EE21" s="40" t="str">
        <f t="shared" si="41"/>
        <v/>
      </c>
      <c r="EF21" s="40" t="str">
        <f t="shared" si="42"/>
        <v/>
      </c>
      <c r="EG21" s="40" t="str">
        <f t="shared" si="43"/>
        <v/>
      </c>
      <c r="EH21" s="40" t="str">
        <f t="shared" si="44"/>
        <v/>
      </c>
      <c r="EI21" s="40" t="str">
        <f t="shared" si="45"/>
        <v/>
      </c>
      <c r="EJ21" s="40" t="str">
        <f t="shared" si="46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1" t="str">
        <f t="shared" si="52"/>
        <v/>
      </c>
      <c r="FK21" s="11" t="str">
        <f t="shared" si="53"/>
        <v/>
      </c>
      <c r="FL21" s="11" t="str">
        <f t="shared" si="54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5"/>
        <v/>
      </c>
      <c r="GH21" s="40" t="str">
        <f t="shared" si="56"/>
        <v/>
      </c>
      <c r="GI21" s="40" t="str">
        <f t="shared" si="57"/>
        <v/>
      </c>
      <c r="GJ21" s="40" t="str">
        <f t="shared" si="58"/>
        <v/>
      </c>
      <c r="GK21" s="40" t="str">
        <f t="shared" si="59"/>
        <v/>
      </c>
      <c r="GL21" s="40" t="str">
        <f t="shared" si="60"/>
        <v/>
      </c>
      <c r="GM21" s="40" t="str">
        <f t="shared" si="61"/>
        <v/>
      </c>
      <c r="GN21" s="40" t="str">
        <f t="shared" si="62"/>
        <v/>
      </c>
      <c r="GO21" s="18">
        <v>17.399999999999999</v>
      </c>
      <c r="GP21" s="18">
        <v>2.8</v>
      </c>
      <c r="GQ21" s="18">
        <v>0</v>
      </c>
      <c r="GR21" s="18">
        <v>0</v>
      </c>
      <c r="GS21" s="18">
        <v>18.8</v>
      </c>
      <c r="GT21" s="18">
        <v>6</v>
      </c>
      <c r="GU21" s="18">
        <v>0.6</v>
      </c>
      <c r="GV21" s="18">
        <v>0</v>
      </c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>
        <f t="shared" si="63"/>
        <v>8.8000000000000007</v>
      </c>
      <c r="HJ21" s="11">
        <f t="shared" si="64"/>
        <v>44.4</v>
      </c>
      <c r="HK21" s="11" t="str">
        <f t="shared" si="65"/>
        <v/>
      </c>
      <c r="HL21" s="11">
        <f t="shared" si="66"/>
        <v>8.8000000000000007</v>
      </c>
      <c r="HM21" s="11">
        <f t="shared" si="67"/>
        <v>44.4</v>
      </c>
      <c r="HN21" s="11" t="str">
        <f t="shared" si="68"/>
        <v/>
      </c>
      <c r="HO21" s="11" t="str">
        <f t="shared" si="69"/>
        <v/>
      </c>
      <c r="HP21" s="11">
        <f t="shared" si="70"/>
        <v>44.4</v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1"/>
        <v/>
      </c>
      <c r="IL21" s="40" t="str">
        <f t="shared" si="72"/>
        <v/>
      </c>
      <c r="IM21" s="40" t="str">
        <f t="shared" si="73"/>
        <v/>
      </c>
      <c r="IN21" s="40" t="str">
        <f t="shared" si="74"/>
        <v/>
      </c>
      <c r="IO21" s="40" t="str">
        <f t="shared" si="75"/>
        <v/>
      </c>
      <c r="IP21" s="40" t="str">
        <f t="shared" si="76"/>
        <v/>
      </c>
      <c r="IQ21" s="40" t="str">
        <f t="shared" si="77"/>
        <v/>
      </c>
      <c r="IR21" s="40" t="str">
        <f t="shared" si="78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1" t="str">
        <f t="shared" si="84"/>
        <v/>
      </c>
      <c r="JS21" s="11" t="str">
        <f t="shared" si="85"/>
        <v/>
      </c>
      <c r="JT21" s="11" t="str">
        <f t="shared" si="86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7"/>
        <v/>
      </c>
      <c r="KP21" s="40" t="str">
        <f t="shared" si="88"/>
        <v/>
      </c>
      <c r="KQ21" s="40" t="str">
        <f t="shared" si="89"/>
        <v/>
      </c>
      <c r="KR21" s="40" t="str">
        <f t="shared" si="90"/>
        <v/>
      </c>
      <c r="KS21" s="40" t="str">
        <f t="shared" si="91"/>
        <v/>
      </c>
      <c r="KT21" s="40" t="str">
        <f t="shared" si="92"/>
        <v/>
      </c>
      <c r="KU21" s="40" t="str">
        <f t="shared" si="93"/>
        <v/>
      </c>
      <c r="KV21" s="40" t="str">
        <f t="shared" si="94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1" t="str">
        <f t="shared" si="100"/>
        <v/>
      </c>
      <c r="LW21" s="11" t="str">
        <f t="shared" si="101"/>
        <v/>
      </c>
      <c r="LX21" s="11" t="str">
        <f t="shared" si="102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3"/>
        <v/>
      </c>
      <c r="MT21" s="40" t="str">
        <f t="shared" si="104"/>
        <v/>
      </c>
      <c r="MU21" s="40" t="str">
        <f t="shared" si="105"/>
        <v/>
      </c>
      <c r="MV21" s="40" t="str">
        <f t="shared" si="106"/>
        <v/>
      </c>
      <c r="MW21" s="40" t="str">
        <f t="shared" si="107"/>
        <v/>
      </c>
      <c r="MX21" s="40" t="str">
        <f t="shared" si="108"/>
        <v/>
      </c>
      <c r="MY21" s="40" t="str">
        <f t="shared" si="109"/>
        <v/>
      </c>
      <c r="MZ21" s="40" t="str">
        <f t="shared" si="110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1" t="str">
        <f t="shared" si="116"/>
        <v/>
      </c>
      <c r="OA21" s="11" t="str">
        <f t="shared" si="117"/>
        <v/>
      </c>
      <c r="OB21" s="11" t="str">
        <f t="shared" si="118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19"/>
        <v/>
      </c>
      <c r="OX21" s="40" t="str">
        <f t="shared" si="120"/>
        <v/>
      </c>
      <c r="OY21" s="40" t="str">
        <f t="shared" si="121"/>
        <v/>
      </c>
      <c r="OZ21" s="40" t="str">
        <f t="shared" si="122"/>
        <v/>
      </c>
      <c r="PA21" s="40" t="str">
        <f t="shared" si="123"/>
        <v/>
      </c>
      <c r="PB21" s="40" t="str">
        <f t="shared" si="124"/>
        <v/>
      </c>
      <c r="PC21" s="40" t="str">
        <f t="shared" si="125"/>
        <v/>
      </c>
      <c r="PD21" s="40" t="str">
        <f t="shared" si="126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11" t="str">
        <f t="shared" si="132"/>
        <v/>
      </c>
      <c r="QE21" s="11" t="str">
        <f t="shared" si="133"/>
        <v/>
      </c>
      <c r="QF21" s="11" t="str">
        <f t="shared" si="134"/>
        <v/>
      </c>
      <c r="QG21" s="22">
        <f t="shared" si="135"/>
        <v>0</v>
      </c>
      <c r="QH21" s="22">
        <f t="shared" si="136"/>
        <v>0</v>
      </c>
      <c r="QI21" s="22">
        <f t="shared" si="137"/>
        <v>0</v>
      </c>
      <c r="QJ21" s="22">
        <f t="shared" si="138"/>
        <v>0</v>
      </c>
      <c r="QK21" s="22">
        <f t="shared" si="139"/>
        <v>0</v>
      </c>
      <c r="QL21" s="22">
        <f t="shared" si="140"/>
        <v>0</v>
      </c>
      <c r="QM21" s="22">
        <f t="shared" si="141"/>
        <v>0</v>
      </c>
      <c r="QN21" s="22">
        <f t="shared" si="142"/>
        <v>0</v>
      </c>
      <c r="QO21" s="22">
        <f t="shared" si="143"/>
        <v>0</v>
      </c>
      <c r="QP21" s="22">
        <f t="shared" si="144"/>
        <v>0</v>
      </c>
      <c r="QQ21" s="22">
        <f t="shared" si="145"/>
        <v>0</v>
      </c>
      <c r="QR21" s="22">
        <f t="shared" si="146"/>
        <v>0</v>
      </c>
      <c r="QS21" s="22">
        <f t="shared" si="147"/>
        <v>0</v>
      </c>
      <c r="QT21" s="22">
        <f t="shared" si="148"/>
        <v>0</v>
      </c>
      <c r="QU21" s="22">
        <f t="shared" si="149"/>
        <v>0</v>
      </c>
      <c r="QV21" s="22">
        <f t="shared" si="150"/>
        <v>0</v>
      </c>
      <c r="QW21" s="22">
        <f t="shared" si="151"/>
        <v>0</v>
      </c>
      <c r="QX21" s="22">
        <f t="shared" si="152"/>
        <v>0</v>
      </c>
      <c r="QY21" s="22">
        <f t="shared" si="153"/>
        <v>0</v>
      </c>
      <c r="QZ21" s="22">
        <f t="shared" si="154"/>
        <v>0</v>
      </c>
      <c r="RA21" s="27" t="s">
        <v>46</v>
      </c>
      <c r="RB21" s="40" t="str">
        <f t="shared" si="155"/>
        <v/>
      </c>
      <c r="RC21" s="40" t="str">
        <f t="shared" si="156"/>
        <v/>
      </c>
      <c r="RD21" s="40" t="str">
        <f t="shared" si="157"/>
        <v/>
      </c>
      <c r="RE21" s="40" t="str">
        <f t="shared" si="158"/>
        <v/>
      </c>
      <c r="RF21" s="40" t="str">
        <f t="shared" si="159"/>
        <v/>
      </c>
      <c r="RG21" s="40" t="str">
        <f t="shared" si="160"/>
        <v/>
      </c>
      <c r="RH21" s="40" t="str">
        <f t="shared" si="161"/>
        <v/>
      </c>
      <c r="RI21" s="40" t="str">
        <f t="shared" si="162"/>
        <v/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13</v>
      </c>
      <c r="C22" s="5" t="s">
        <v>154</v>
      </c>
      <c r="D22" s="4" t="s">
        <v>6</v>
      </c>
      <c r="E22" s="4">
        <v>2004</v>
      </c>
      <c r="F22" s="9">
        <f t="shared" si="163"/>
        <v>165.50001159000496</v>
      </c>
      <c r="G22" s="66"/>
      <c r="H22" s="3" t="str">
        <f t="shared" si="0"/>
        <v>P</v>
      </c>
      <c r="I22" s="3" t="str">
        <f t="shared" si="1"/>
        <v>P</v>
      </c>
      <c r="J22" s="36" t="str">
        <f t="shared" si="2"/>
        <v>National Team</v>
      </c>
      <c r="K22" s="3" t="str">
        <f t="shared" si="3"/>
        <v/>
      </c>
      <c r="L22" s="8">
        <f>IF(COUNT(AS22,BV22,CY22)&gt;0,LARGE((AS22,BV22,CY22),1),0)</f>
        <v>49.4</v>
      </c>
      <c r="M22" s="8" t="str">
        <f t="shared" si="4"/>
        <v>2023 Nationals</v>
      </c>
      <c r="N22" s="8">
        <f>IF(COUNT(AS22,BV22,CY22)&gt;1,LARGE((AS22,BV22,CY22),2),0)</f>
        <v>43.29999999999999</v>
      </c>
      <c r="O22" s="8" t="str">
        <f t="shared" si="5"/>
        <v>2023 Elite Canada</v>
      </c>
      <c r="P22" s="8">
        <f>IF(COUNT(AT22,BW22,CZ22)&gt;0,LARGE((AT22,BW22,CZ22),1),0)</f>
        <v>23.2</v>
      </c>
      <c r="Q22" s="8" t="str">
        <f t="shared" si="6"/>
        <v>2023 Elite Canada</v>
      </c>
      <c r="R22" s="8">
        <f t="shared" si="7"/>
        <v>49.6</v>
      </c>
      <c r="S22" s="8" t="str">
        <f t="shared" si="8"/>
        <v>2023 Elite Canada</v>
      </c>
      <c r="T22" s="8" t="str">
        <f t="shared" si="9"/>
        <v/>
      </c>
      <c r="U22" s="11" t="str">
        <f t="shared" si="10"/>
        <v/>
      </c>
      <c r="V22" s="8" t="str">
        <f t="shared" si="11"/>
        <v/>
      </c>
      <c r="W22" s="19">
        <v>17.7</v>
      </c>
      <c r="X22" s="19">
        <v>2.4</v>
      </c>
      <c r="Y22" s="19">
        <v>0</v>
      </c>
      <c r="Z22" s="19">
        <v>0</v>
      </c>
      <c r="AA22" s="19">
        <v>19</v>
      </c>
      <c r="AB22" s="19">
        <v>4.8</v>
      </c>
      <c r="AC22" s="19">
        <v>0.6</v>
      </c>
      <c r="AD22" s="19">
        <v>0</v>
      </c>
      <c r="AE22" s="19">
        <v>18.899999999999999</v>
      </c>
      <c r="AF22" s="19">
        <v>4.3</v>
      </c>
      <c r="AG22" s="19">
        <v>0</v>
      </c>
      <c r="AH22" s="19">
        <v>0</v>
      </c>
      <c r="AI22" s="19">
        <v>19.2</v>
      </c>
      <c r="AJ22" s="19">
        <v>6</v>
      </c>
      <c r="AK22" s="19">
        <v>0</v>
      </c>
      <c r="AL22" s="19">
        <v>0</v>
      </c>
      <c r="AM22" s="19">
        <v>18.8</v>
      </c>
      <c r="AN22" s="19">
        <v>5.6</v>
      </c>
      <c r="AO22" s="19">
        <v>0</v>
      </c>
      <c r="AP22" s="19">
        <v>0</v>
      </c>
      <c r="AQ22" s="27"/>
      <c r="AR22" s="40">
        <f t="shared" si="12"/>
        <v>7.1999999999999993</v>
      </c>
      <c r="AS22" s="40">
        <f t="shared" si="13"/>
        <v>43.29999999999999</v>
      </c>
      <c r="AT22" s="40">
        <f t="shared" si="14"/>
        <v>23.2</v>
      </c>
      <c r="AU22" s="40">
        <f t="shared" si="15"/>
        <v>11.5</v>
      </c>
      <c r="AV22" s="40">
        <f t="shared" si="16"/>
        <v>66.499999999999986</v>
      </c>
      <c r="AW22" s="40">
        <f t="shared" si="17"/>
        <v>11.6</v>
      </c>
      <c r="AX22" s="40">
        <f t="shared" si="18"/>
        <v>49.6</v>
      </c>
      <c r="AY22" s="40">
        <f t="shared" si="19"/>
        <v>116.1</v>
      </c>
      <c r="AZ22" s="18">
        <v>19.2</v>
      </c>
      <c r="BA22" s="18">
        <v>6</v>
      </c>
      <c r="BB22" s="18">
        <v>0</v>
      </c>
      <c r="BC22" s="18">
        <v>0</v>
      </c>
      <c r="BD22" s="18">
        <v>19.2</v>
      </c>
      <c r="BE22" s="18">
        <v>5.6</v>
      </c>
      <c r="BF22" s="18">
        <v>0.6</v>
      </c>
      <c r="BG22" s="18">
        <v>0</v>
      </c>
      <c r="BH22" s="18">
        <v>19.399999999999999</v>
      </c>
      <c r="BI22" s="18">
        <v>3.5</v>
      </c>
      <c r="BJ22" s="18">
        <v>0.6</v>
      </c>
      <c r="BK22" s="18">
        <v>0</v>
      </c>
      <c r="BL22" s="18">
        <v>19.600000000000001</v>
      </c>
      <c r="BM22" s="18">
        <v>6</v>
      </c>
      <c r="BN22" s="18">
        <v>0</v>
      </c>
      <c r="BO22" s="18">
        <v>0</v>
      </c>
      <c r="BP22" s="18">
        <v>19</v>
      </c>
      <c r="BQ22" s="18">
        <v>4.8</v>
      </c>
      <c r="BR22" s="18">
        <v>0</v>
      </c>
      <c r="BS22" s="18">
        <v>0</v>
      </c>
      <c r="BT22" s="28"/>
      <c r="BU22" s="11">
        <f t="shared" si="20"/>
        <v>11.6</v>
      </c>
      <c r="BV22" s="11">
        <f t="shared" si="21"/>
        <v>49.4</v>
      </c>
      <c r="BW22" s="11">
        <f t="shared" si="22"/>
        <v>22.299999999999997</v>
      </c>
      <c r="BX22" s="11">
        <f t="shared" si="23"/>
        <v>15.1</v>
      </c>
      <c r="BY22" s="11">
        <f t="shared" si="24"/>
        <v>71.699999999999989</v>
      </c>
      <c r="BZ22" s="11">
        <f t="shared" si="25"/>
        <v>10.8</v>
      </c>
      <c r="CA22" s="11">
        <f t="shared" si="26"/>
        <v>49.4</v>
      </c>
      <c r="CB22" s="11">
        <f t="shared" si="27"/>
        <v>121.1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 t="shared" si="28"/>
        <v/>
      </c>
      <c r="CY22" s="40" t="str">
        <f t="shared" si="29"/>
        <v/>
      </c>
      <c r="CZ22" s="40" t="str">
        <f t="shared" si="30"/>
        <v/>
      </c>
      <c r="DA22" s="40" t="str">
        <f t="shared" si="31"/>
        <v/>
      </c>
      <c r="DB22" s="40" t="str">
        <f t="shared" si="32"/>
        <v/>
      </c>
      <c r="DC22" s="40" t="str">
        <f t="shared" si="33"/>
        <v/>
      </c>
      <c r="DD22" s="40" t="str">
        <f t="shared" si="34"/>
        <v/>
      </c>
      <c r="DE22" s="40" t="str">
        <f t="shared" si="35"/>
        <v/>
      </c>
      <c r="DF22" s="50" t="str">
        <f t="shared" si="36"/>
        <v/>
      </c>
      <c r="DG22" s="50" t="str">
        <f t="shared" si="37"/>
        <v/>
      </c>
      <c r="DH22" s="50" t="str">
        <f t="shared" si="38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39"/>
        <v/>
      </c>
      <c r="ED22" s="40" t="str">
        <f t="shared" si="40"/>
        <v/>
      </c>
      <c r="EE22" s="40" t="str">
        <f t="shared" si="41"/>
        <v/>
      </c>
      <c r="EF22" s="40" t="str">
        <f t="shared" si="42"/>
        <v/>
      </c>
      <c r="EG22" s="40" t="str">
        <f t="shared" si="43"/>
        <v/>
      </c>
      <c r="EH22" s="40" t="str">
        <f t="shared" si="44"/>
        <v/>
      </c>
      <c r="EI22" s="40" t="str">
        <f t="shared" si="45"/>
        <v/>
      </c>
      <c r="EJ22" s="40" t="str">
        <f t="shared" si="46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7"/>
        <v/>
      </c>
      <c r="FF22" s="11" t="str">
        <f t="shared" si="48"/>
        <v/>
      </c>
      <c r="FG22" s="11" t="str">
        <f t="shared" si="49"/>
        <v/>
      </c>
      <c r="FH22" s="11" t="str">
        <f t="shared" si="50"/>
        <v/>
      </c>
      <c r="FI22" s="11" t="str">
        <f t="shared" si="51"/>
        <v/>
      </c>
      <c r="FJ22" s="11" t="str">
        <f t="shared" si="52"/>
        <v/>
      </c>
      <c r="FK22" s="11" t="str">
        <f t="shared" si="53"/>
        <v/>
      </c>
      <c r="FL22" s="11" t="str">
        <f t="shared" si="54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5"/>
        <v/>
      </c>
      <c r="GH22" s="40" t="str">
        <f t="shared" si="56"/>
        <v/>
      </c>
      <c r="GI22" s="40" t="str">
        <f t="shared" si="57"/>
        <v/>
      </c>
      <c r="GJ22" s="40" t="str">
        <f t="shared" si="58"/>
        <v/>
      </c>
      <c r="GK22" s="40" t="str">
        <f t="shared" si="59"/>
        <v/>
      </c>
      <c r="GL22" s="40" t="str">
        <f t="shared" si="60"/>
        <v/>
      </c>
      <c r="GM22" s="40" t="str">
        <f t="shared" si="61"/>
        <v/>
      </c>
      <c r="GN22" s="40" t="str">
        <f t="shared" si="62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3"/>
        <v/>
      </c>
      <c r="HJ22" s="11" t="str">
        <f t="shared" si="64"/>
        <v/>
      </c>
      <c r="HK22" s="11" t="str">
        <f t="shared" si="65"/>
        <v/>
      </c>
      <c r="HL22" s="11" t="str">
        <f t="shared" si="66"/>
        <v/>
      </c>
      <c r="HM22" s="11" t="str">
        <f t="shared" si="67"/>
        <v/>
      </c>
      <c r="HN22" s="11" t="str">
        <f t="shared" si="68"/>
        <v/>
      </c>
      <c r="HO22" s="11" t="str">
        <f t="shared" si="69"/>
        <v/>
      </c>
      <c r="HP22" s="11" t="str">
        <f t="shared" si="70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1"/>
        <v/>
      </c>
      <c r="IL22" s="40" t="str">
        <f t="shared" si="72"/>
        <v/>
      </c>
      <c r="IM22" s="40" t="str">
        <f t="shared" si="73"/>
        <v/>
      </c>
      <c r="IN22" s="40" t="str">
        <f t="shared" si="74"/>
        <v/>
      </c>
      <c r="IO22" s="40" t="str">
        <f t="shared" si="75"/>
        <v/>
      </c>
      <c r="IP22" s="40" t="str">
        <f t="shared" si="76"/>
        <v/>
      </c>
      <c r="IQ22" s="40" t="str">
        <f t="shared" si="77"/>
        <v/>
      </c>
      <c r="IR22" s="40" t="str">
        <f t="shared" si="78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79"/>
        <v/>
      </c>
      <c r="JN22" s="11" t="str">
        <f t="shared" si="80"/>
        <v/>
      </c>
      <c r="JO22" s="11" t="str">
        <f t="shared" si="81"/>
        <v/>
      </c>
      <c r="JP22" s="11" t="str">
        <f t="shared" si="82"/>
        <v/>
      </c>
      <c r="JQ22" s="11" t="str">
        <f t="shared" si="83"/>
        <v/>
      </c>
      <c r="JR22" s="11" t="str">
        <f t="shared" si="84"/>
        <v/>
      </c>
      <c r="JS22" s="11" t="str">
        <f t="shared" si="85"/>
        <v/>
      </c>
      <c r="JT22" s="11" t="str">
        <f t="shared" si="86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7"/>
        <v/>
      </c>
      <c r="KP22" s="40" t="str">
        <f t="shared" si="88"/>
        <v/>
      </c>
      <c r="KQ22" s="40" t="str">
        <f t="shared" si="89"/>
        <v/>
      </c>
      <c r="KR22" s="40" t="str">
        <f t="shared" si="90"/>
        <v/>
      </c>
      <c r="KS22" s="40" t="str">
        <f t="shared" si="91"/>
        <v/>
      </c>
      <c r="KT22" s="40" t="str">
        <f t="shared" si="92"/>
        <v/>
      </c>
      <c r="KU22" s="40" t="str">
        <f t="shared" si="93"/>
        <v/>
      </c>
      <c r="KV22" s="40" t="str">
        <f t="shared" si="94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5"/>
        <v/>
      </c>
      <c r="LR22" s="11" t="str">
        <f t="shared" si="96"/>
        <v/>
      </c>
      <c r="LS22" s="11" t="str">
        <f t="shared" si="97"/>
        <v/>
      </c>
      <c r="LT22" s="11" t="str">
        <f t="shared" si="98"/>
        <v/>
      </c>
      <c r="LU22" s="11" t="str">
        <f t="shared" si="99"/>
        <v/>
      </c>
      <c r="LV22" s="11" t="str">
        <f t="shared" si="100"/>
        <v/>
      </c>
      <c r="LW22" s="11" t="str">
        <f t="shared" si="101"/>
        <v/>
      </c>
      <c r="LX22" s="11" t="str">
        <f t="shared" si="102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3"/>
        <v/>
      </c>
      <c r="MT22" s="40" t="str">
        <f t="shared" si="104"/>
        <v/>
      </c>
      <c r="MU22" s="40" t="str">
        <f t="shared" si="105"/>
        <v/>
      </c>
      <c r="MV22" s="40" t="str">
        <f t="shared" si="106"/>
        <v/>
      </c>
      <c r="MW22" s="40" t="str">
        <f t="shared" si="107"/>
        <v/>
      </c>
      <c r="MX22" s="40" t="str">
        <f t="shared" si="108"/>
        <v/>
      </c>
      <c r="MY22" s="40" t="str">
        <f t="shared" si="109"/>
        <v/>
      </c>
      <c r="MZ22" s="40" t="str">
        <f t="shared" si="110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1"/>
        <v/>
      </c>
      <c r="NV22" s="11" t="str">
        <f t="shared" si="112"/>
        <v/>
      </c>
      <c r="NW22" s="11" t="str">
        <f t="shared" si="113"/>
        <v/>
      </c>
      <c r="NX22" s="11" t="str">
        <f t="shared" si="114"/>
        <v/>
      </c>
      <c r="NY22" s="11" t="str">
        <f t="shared" si="115"/>
        <v/>
      </c>
      <c r="NZ22" s="11" t="str">
        <f t="shared" si="116"/>
        <v/>
      </c>
      <c r="OA22" s="11" t="str">
        <f t="shared" si="117"/>
        <v/>
      </c>
      <c r="OB22" s="11" t="str">
        <f t="shared" si="118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19"/>
        <v/>
      </c>
      <c r="OX22" s="40" t="str">
        <f t="shared" si="120"/>
        <v/>
      </c>
      <c r="OY22" s="40" t="str">
        <f t="shared" si="121"/>
        <v/>
      </c>
      <c r="OZ22" s="40" t="str">
        <f t="shared" si="122"/>
        <v/>
      </c>
      <c r="PA22" s="40" t="str">
        <f t="shared" si="123"/>
        <v/>
      </c>
      <c r="PB22" s="40" t="str">
        <f t="shared" si="124"/>
        <v/>
      </c>
      <c r="PC22" s="40" t="str">
        <f t="shared" si="125"/>
        <v/>
      </c>
      <c r="PD22" s="40" t="str">
        <f t="shared" si="126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7"/>
        <v/>
      </c>
      <c r="PZ22" s="11" t="str">
        <f t="shared" si="128"/>
        <v/>
      </c>
      <c r="QA22" s="11" t="str">
        <f t="shared" si="129"/>
        <v/>
      </c>
      <c r="QB22" s="11" t="str">
        <f t="shared" si="130"/>
        <v/>
      </c>
      <c r="QC22" s="11" t="str">
        <f t="shared" si="131"/>
        <v/>
      </c>
      <c r="QD22" s="11" t="str">
        <f t="shared" si="132"/>
        <v/>
      </c>
      <c r="QE22" s="11" t="str">
        <f t="shared" si="133"/>
        <v/>
      </c>
      <c r="QF22" s="11" t="str">
        <f t="shared" si="134"/>
        <v/>
      </c>
      <c r="QG22" s="22">
        <f t="shared" si="135"/>
        <v>9.6</v>
      </c>
      <c r="QH22" s="22">
        <f t="shared" si="136"/>
        <v>3</v>
      </c>
      <c r="QI22" s="22">
        <f t="shared" si="137"/>
        <v>0</v>
      </c>
      <c r="QJ22" s="22">
        <f t="shared" si="138"/>
        <v>0</v>
      </c>
      <c r="QK22" s="22">
        <f t="shared" si="139"/>
        <v>9.6</v>
      </c>
      <c r="QL22" s="22">
        <f t="shared" si="140"/>
        <v>2.8</v>
      </c>
      <c r="QM22" s="22">
        <f t="shared" si="141"/>
        <v>0.3</v>
      </c>
      <c r="QN22" s="22">
        <f t="shared" si="142"/>
        <v>0</v>
      </c>
      <c r="QO22" s="22">
        <f t="shared" si="143"/>
        <v>9.6999999999999993</v>
      </c>
      <c r="QP22" s="22">
        <f t="shared" si="144"/>
        <v>1.75</v>
      </c>
      <c r="QQ22" s="22">
        <f t="shared" si="145"/>
        <v>0.3</v>
      </c>
      <c r="QR22" s="22">
        <f t="shared" si="146"/>
        <v>0</v>
      </c>
      <c r="QS22" s="22">
        <f t="shared" si="147"/>
        <v>9.8000000000000007</v>
      </c>
      <c r="QT22" s="22">
        <f t="shared" si="148"/>
        <v>3</v>
      </c>
      <c r="QU22" s="22">
        <f t="shared" si="149"/>
        <v>0</v>
      </c>
      <c r="QV22" s="22">
        <f t="shared" si="150"/>
        <v>0</v>
      </c>
      <c r="QW22" s="22">
        <f t="shared" si="151"/>
        <v>9.5</v>
      </c>
      <c r="QX22" s="22">
        <f t="shared" si="152"/>
        <v>2.4</v>
      </c>
      <c r="QY22" s="22">
        <f t="shared" si="153"/>
        <v>0</v>
      </c>
      <c r="QZ22" s="22">
        <f t="shared" si="154"/>
        <v>0</v>
      </c>
      <c r="RA22" s="27" t="s">
        <v>46</v>
      </c>
      <c r="RB22" s="40">
        <f t="shared" si="155"/>
        <v>5.8</v>
      </c>
      <c r="RC22" s="40">
        <f t="shared" si="156"/>
        <v>24.7</v>
      </c>
      <c r="RD22" s="40">
        <f t="shared" si="157"/>
        <v>11.149999999999999</v>
      </c>
      <c r="RE22" s="40">
        <f t="shared" si="158"/>
        <v>7.55</v>
      </c>
      <c r="RF22" s="40">
        <f t="shared" si="159"/>
        <v>35.849999999999994</v>
      </c>
      <c r="RG22" s="40">
        <f t="shared" si="160"/>
        <v>5.4</v>
      </c>
      <c r="RH22" s="40">
        <f t="shared" si="161"/>
        <v>24.7</v>
      </c>
      <c r="RI22" s="40">
        <f t="shared" si="162"/>
        <v>60.55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14</v>
      </c>
      <c r="C23" s="5" t="s">
        <v>201</v>
      </c>
      <c r="D23" s="4" t="s">
        <v>5</v>
      </c>
      <c r="E23" s="4">
        <v>2005</v>
      </c>
      <c r="F23" s="9">
        <f t="shared" si="163"/>
        <v>162.00001196000488</v>
      </c>
      <c r="G23" s="66"/>
      <c r="H23" s="3" t="str">
        <f t="shared" si="0"/>
        <v>P</v>
      </c>
      <c r="I23" s="3" t="str">
        <f t="shared" si="1"/>
        <v>P</v>
      </c>
      <c r="J23" s="36" t="str">
        <f t="shared" si="2"/>
        <v>National Team</v>
      </c>
      <c r="K23" s="3" t="str">
        <f t="shared" si="3"/>
        <v/>
      </c>
      <c r="L23" s="8">
        <f>IF(COUNT(AS23,BV23,CY23)&gt;0,LARGE((AS23,BV23,CY23),1),0)</f>
        <v>49</v>
      </c>
      <c r="M23" s="8" t="str">
        <f t="shared" si="4"/>
        <v>2023 3rd Domestic Trial</v>
      </c>
      <c r="N23" s="8">
        <f>IF(COUNT(AS23,BV23,CY23)&gt;1,LARGE((AS23,BV23,CY23),2),0)</f>
        <v>48.399999999999991</v>
      </c>
      <c r="O23" s="8" t="str">
        <f t="shared" si="5"/>
        <v>2023 Nationals</v>
      </c>
      <c r="P23" s="8">
        <f>IF(COUNT(AT23,BW23,CZ23)&gt;0,LARGE((AT23,BW23,CZ23),1),0)</f>
        <v>22.2</v>
      </c>
      <c r="Q23" s="8" t="str">
        <f t="shared" si="6"/>
        <v>2023 Nationals</v>
      </c>
      <c r="R23" s="8">
        <f t="shared" si="7"/>
        <v>42.399999999999991</v>
      </c>
      <c r="S23" s="8" t="str">
        <f t="shared" si="8"/>
        <v>2023 3rd Domestic Trial</v>
      </c>
      <c r="T23" s="8" t="str">
        <f t="shared" si="9"/>
        <v/>
      </c>
      <c r="U23" s="11" t="str">
        <f t="shared" si="10"/>
        <v/>
      </c>
      <c r="V23" s="8" t="str">
        <f t="shared" si="11"/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 t="shared" si="12"/>
        <v/>
      </c>
      <c r="AS23" s="40" t="str">
        <f t="shared" si="13"/>
        <v/>
      </c>
      <c r="AT23" s="40" t="str">
        <f t="shared" si="14"/>
        <v/>
      </c>
      <c r="AU23" s="40" t="str">
        <f t="shared" si="15"/>
        <v/>
      </c>
      <c r="AV23" s="40" t="str">
        <f t="shared" si="16"/>
        <v/>
      </c>
      <c r="AW23" s="40" t="str">
        <f t="shared" si="17"/>
        <v/>
      </c>
      <c r="AX23" s="40" t="str">
        <f t="shared" si="18"/>
        <v/>
      </c>
      <c r="AY23" s="40" t="str">
        <f t="shared" si="19"/>
        <v/>
      </c>
      <c r="AZ23" s="18">
        <v>17.5</v>
      </c>
      <c r="BA23" s="18">
        <v>6.9</v>
      </c>
      <c r="BB23" s="18">
        <v>0.6</v>
      </c>
      <c r="BC23" s="18">
        <v>0</v>
      </c>
      <c r="BD23" s="18">
        <v>18.399999999999999</v>
      </c>
      <c r="BE23" s="18">
        <v>6.4</v>
      </c>
      <c r="BF23" s="18">
        <v>0.2</v>
      </c>
      <c r="BG23" s="18">
        <v>0</v>
      </c>
      <c r="BH23" s="18">
        <v>18.7</v>
      </c>
      <c r="BI23" s="18">
        <v>3.5</v>
      </c>
      <c r="BJ23" s="18">
        <v>0</v>
      </c>
      <c r="BK23" s="18">
        <v>0</v>
      </c>
      <c r="BL23" s="18">
        <v>17.3</v>
      </c>
      <c r="BM23" s="18">
        <v>2.4</v>
      </c>
      <c r="BN23" s="18">
        <v>0</v>
      </c>
      <c r="BO23" s="18">
        <v>0</v>
      </c>
      <c r="BP23" s="18">
        <v>17.399999999999999</v>
      </c>
      <c r="BQ23" s="18">
        <v>2.8</v>
      </c>
      <c r="BR23" s="18">
        <v>0</v>
      </c>
      <c r="BS23" s="18">
        <v>0</v>
      </c>
      <c r="BT23" s="28"/>
      <c r="BU23" s="11">
        <f t="shared" si="20"/>
        <v>13.3</v>
      </c>
      <c r="BV23" s="11">
        <f t="shared" si="21"/>
        <v>48.399999999999991</v>
      </c>
      <c r="BW23" s="11">
        <f t="shared" si="22"/>
        <v>22.2</v>
      </c>
      <c r="BX23" s="11">
        <f t="shared" si="23"/>
        <v>16.8</v>
      </c>
      <c r="BY23" s="11">
        <f t="shared" si="24"/>
        <v>70.599999999999994</v>
      </c>
      <c r="BZ23" s="11">
        <f t="shared" si="25"/>
        <v>5.1999999999999993</v>
      </c>
      <c r="CA23" s="11">
        <f t="shared" si="26"/>
        <v>39.899999999999991</v>
      </c>
      <c r="CB23" s="11">
        <f t="shared" si="27"/>
        <v>110.49999999999999</v>
      </c>
      <c r="CC23" s="19">
        <v>18.2</v>
      </c>
      <c r="CD23" s="19">
        <v>6</v>
      </c>
      <c r="CE23" s="19">
        <v>0.8</v>
      </c>
      <c r="CF23" s="19">
        <v>0</v>
      </c>
      <c r="CG23" s="19">
        <v>18.600000000000001</v>
      </c>
      <c r="CH23" s="19">
        <v>7.2</v>
      </c>
      <c r="CI23" s="19">
        <v>0.2</v>
      </c>
      <c r="CJ23" s="19">
        <v>0</v>
      </c>
      <c r="CK23" s="19">
        <v>17.399999999999999</v>
      </c>
      <c r="CL23" s="19">
        <v>2.4</v>
      </c>
      <c r="CM23" s="19">
        <v>0</v>
      </c>
      <c r="CN23" s="19">
        <v>0</v>
      </c>
      <c r="CO23" s="19">
        <v>17.2</v>
      </c>
      <c r="CP23" s="19">
        <v>4</v>
      </c>
      <c r="CQ23" s="19">
        <v>0</v>
      </c>
      <c r="CR23" s="19">
        <v>0</v>
      </c>
      <c r="CS23" s="19">
        <v>18.399999999999999</v>
      </c>
      <c r="CT23" s="19">
        <v>3.4</v>
      </c>
      <c r="CU23" s="19">
        <v>0.6</v>
      </c>
      <c r="CV23" s="19">
        <v>0</v>
      </c>
      <c r="CW23" s="27"/>
      <c r="CX23" s="40">
        <f t="shared" si="28"/>
        <v>13.2</v>
      </c>
      <c r="CY23" s="40">
        <f t="shared" si="29"/>
        <v>49</v>
      </c>
      <c r="CZ23" s="40">
        <f t="shared" si="30"/>
        <v>19.799999999999997</v>
      </c>
      <c r="DA23" s="40">
        <f t="shared" si="31"/>
        <v>15.6</v>
      </c>
      <c r="DB23" s="40">
        <f t="shared" si="32"/>
        <v>68.8</v>
      </c>
      <c r="DC23" s="40">
        <f t="shared" si="33"/>
        <v>7.4</v>
      </c>
      <c r="DD23" s="40">
        <f t="shared" si="34"/>
        <v>42.399999999999991</v>
      </c>
      <c r="DE23" s="40">
        <f t="shared" si="35"/>
        <v>111.19999999999999</v>
      </c>
      <c r="DF23" s="50" t="str">
        <f t="shared" si="36"/>
        <v/>
      </c>
      <c r="DG23" s="50" t="str">
        <f t="shared" si="37"/>
        <v/>
      </c>
      <c r="DH23" s="50" t="str">
        <f t="shared" si="38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39"/>
        <v/>
      </c>
      <c r="ED23" s="40" t="str">
        <f t="shared" si="40"/>
        <v/>
      </c>
      <c r="EE23" s="40" t="str">
        <f t="shared" si="41"/>
        <v/>
      </c>
      <c r="EF23" s="40" t="str">
        <f t="shared" si="42"/>
        <v/>
      </c>
      <c r="EG23" s="40" t="str">
        <f t="shared" si="43"/>
        <v/>
      </c>
      <c r="EH23" s="40" t="str">
        <f t="shared" si="44"/>
        <v/>
      </c>
      <c r="EI23" s="40" t="str">
        <f t="shared" si="45"/>
        <v/>
      </c>
      <c r="EJ23" s="40" t="str">
        <f t="shared" si="46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7"/>
        <v/>
      </c>
      <c r="FF23" s="11" t="str">
        <f t="shared" si="48"/>
        <v/>
      </c>
      <c r="FG23" s="11" t="str">
        <f t="shared" si="49"/>
        <v/>
      </c>
      <c r="FH23" s="11" t="str">
        <f t="shared" si="50"/>
        <v/>
      </c>
      <c r="FI23" s="11" t="str">
        <f t="shared" si="51"/>
        <v/>
      </c>
      <c r="FJ23" s="11" t="str">
        <f t="shared" si="52"/>
        <v/>
      </c>
      <c r="FK23" s="11" t="str">
        <f t="shared" si="53"/>
        <v/>
      </c>
      <c r="FL23" s="11" t="str">
        <f t="shared" si="54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5"/>
        <v/>
      </c>
      <c r="GH23" s="40" t="str">
        <f t="shared" si="56"/>
        <v/>
      </c>
      <c r="GI23" s="40" t="str">
        <f t="shared" si="57"/>
        <v/>
      </c>
      <c r="GJ23" s="40" t="str">
        <f t="shared" si="58"/>
        <v/>
      </c>
      <c r="GK23" s="40" t="str">
        <f t="shared" si="59"/>
        <v/>
      </c>
      <c r="GL23" s="40" t="str">
        <f t="shared" si="60"/>
        <v/>
      </c>
      <c r="GM23" s="40" t="str">
        <f t="shared" si="61"/>
        <v/>
      </c>
      <c r="GN23" s="40" t="str">
        <f t="shared" si="62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3"/>
        <v/>
      </c>
      <c r="HJ23" s="11" t="str">
        <f t="shared" si="64"/>
        <v/>
      </c>
      <c r="HK23" s="11" t="str">
        <f t="shared" si="65"/>
        <v/>
      </c>
      <c r="HL23" s="11" t="str">
        <f t="shared" si="66"/>
        <v/>
      </c>
      <c r="HM23" s="11" t="str">
        <f t="shared" si="67"/>
        <v/>
      </c>
      <c r="HN23" s="11" t="str">
        <f t="shared" si="68"/>
        <v/>
      </c>
      <c r="HO23" s="11" t="str">
        <f t="shared" si="69"/>
        <v/>
      </c>
      <c r="HP23" s="11" t="str">
        <f t="shared" si="70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1"/>
        <v/>
      </c>
      <c r="IL23" s="40" t="str">
        <f t="shared" si="72"/>
        <v/>
      </c>
      <c r="IM23" s="40" t="str">
        <f t="shared" si="73"/>
        <v/>
      </c>
      <c r="IN23" s="40" t="str">
        <f t="shared" si="74"/>
        <v/>
      </c>
      <c r="IO23" s="40" t="str">
        <f t="shared" si="75"/>
        <v/>
      </c>
      <c r="IP23" s="40" t="str">
        <f t="shared" si="76"/>
        <v/>
      </c>
      <c r="IQ23" s="40" t="str">
        <f t="shared" si="77"/>
        <v/>
      </c>
      <c r="IR23" s="40" t="str">
        <f t="shared" si="78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79"/>
        <v/>
      </c>
      <c r="JN23" s="11" t="str">
        <f t="shared" si="80"/>
        <v/>
      </c>
      <c r="JO23" s="11" t="str">
        <f t="shared" si="81"/>
        <v/>
      </c>
      <c r="JP23" s="11" t="str">
        <f t="shared" si="82"/>
        <v/>
      </c>
      <c r="JQ23" s="11" t="str">
        <f t="shared" si="83"/>
        <v/>
      </c>
      <c r="JR23" s="11" t="str">
        <f t="shared" si="84"/>
        <v/>
      </c>
      <c r="JS23" s="11" t="str">
        <f t="shared" si="85"/>
        <v/>
      </c>
      <c r="JT23" s="11" t="str">
        <f t="shared" si="86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7"/>
        <v/>
      </c>
      <c r="KP23" s="40" t="str">
        <f t="shared" si="88"/>
        <v/>
      </c>
      <c r="KQ23" s="40" t="str">
        <f t="shared" si="89"/>
        <v/>
      </c>
      <c r="KR23" s="40" t="str">
        <f t="shared" si="90"/>
        <v/>
      </c>
      <c r="KS23" s="40" t="str">
        <f t="shared" si="91"/>
        <v/>
      </c>
      <c r="KT23" s="40" t="str">
        <f t="shared" si="92"/>
        <v/>
      </c>
      <c r="KU23" s="40" t="str">
        <f t="shared" si="93"/>
        <v/>
      </c>
      <c r="KV23" s="40" t="str">
        <f t="shared" si="94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5"/>
        <v/>
      </c>
      <c r="LR23" s="11" t="str">
        <f t="shared" si="96"/>
        <v/>
      </c>
      <c r="LS23" s="11" t="str">
        <f t="shared" si="97"/>
        <v/>
      </c>
      <c r="LT23" s="11" t="str">
        <f t="shared" si="98"/>
        <v/>
      </c>
      <c r="LU23" s="11" t="str">
        <f t="shared" si="99"/>
        <v/>
      </c>
      <c r="LV23" s="11" t="str">
        <f t="shared" si="100"/>
        <v/>
      </c>
      <c r="LW23" s="11" t="str">
        <f t="shared" si="101"/>
        <v/>
      </c>
      <c r="LX23" s="11" t="str">
        <f t="shared" si="102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3"/>
        <v/>
      </c>
      <c r="MT23" s="40" t="str">
        <f t="shared" si="104"/>
        <v/>
      </c>
      <c r="MU23" s="40" t="str">
        <f t="shared" si="105"/>
        <v/>
      </c>
      <c r="MV23" s="40" t="str">
        <f t="shared" si="106"/>
        <v/>
      </c>
      <c r="MW23" s="40" t="str">
        <f t="shared" si="107"/>
        <v/>
      </c>
      <c r="MX23" s="40" t="str">
        <f t="shared" si="108"/>
        <v/>
      </c>
      <c r="MY23" s="40" t="str">
        <f t="shared" si="109"/>
        <v/>
      </c>
      <c r="MZ23" s="40" t="str">
        <f t="shared" si="110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1"/>
        <v/>
      </c>
      <c r="NV23" s="11" t="str">
        <f t="shared" si="112"/>
        <v/>
      </c>
      <c r="NW23" s="11" t="str">
        <f t="shared" si="113"/>
        <v/>
      </c>
      <c r="NX23" s="11" t="str">
        <f t="shared" si="114"/>
        <v/>
      </c>
      <c r="NY23" s="11" t="str">
        <f t="shared" si="115"/>
        <v/>
      </c>
      <c r="NZ23" s="11" t="str">
        <f t="shared" si="116"/>
        <v/>
      </c>
      <c r="OA23" s="11" t="str">
        <f t="shared" si="117"/>
        <v/>
      </c>
      <c r="OB23" s="11" t="str">
        <f t="shared" si="118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19"/>
        <v/>
      </c>
      <c r="OX23" s="40" t="str">
        <f t="shared" si="120"/>
        <v/>
      </c>
      <c r="OY23" s="40" t="str">
        <f t="shared" si="121"/>
        <v/>
      </c>
      <c r="OZ23" s="40" t="str">
        <f t="shared" si="122"/>
        <v/>
      </c>
      <c r="PA23" s="40" t="str">
        <f t="shared" si="123"/>
        <v/>
      </c>
      <c r="PB23" s="40" t="str">
        <f t="shared" si="124"/>
        <v/>
      </c>
      <c r="PC23" s="40" t="str">
        <f t="shared" si="125"/>
        <v/>
      </c>
      <c r="PD23" s="40" t="str">
        <f t="shared" si="126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7"/>
        <v/>
      </c>
      <c r="PZ23" s="11" t="str">
        <f t="shared" si="128"/>
        <v/>
      </c>
      <c r="QA23" s="11" t="str">
        <f t="shared" si="129"/>
        <v/>
      </c>
      <c r="QB23" s="11" t="str">
        <f t="shared" si="130"/>
        <v/>
      </c>
      <c r="QC23" s="11" t="str">
        <f t="shared" si="131"/>
        <v/>
      </c>
      <c r="QD23" s="11" t="str">
        <f t="shared" si="132"/>
        <v/>
      </c>
      <c r="QE23" s="11" t="str">
        <f t="shared" si="133"/>
        <v/>
      </c>
      <c r="QF23" s="11" t="str">
        <f t="shared" si="134"/>
        <v/>
      </c>
      <c r="QG23" s="22">
        <f t="shared" si="135"/>
        <v>17.850000000000001</v>
      </c>
      <c r="QH23" s="22">
        <f t="shared" si="136"/>
        <v>6.45</v>
      </c>
      <c r="QI23" s="22">
        <f t="shared" si="137"/>
        <v>0.7</v>
      </c>
      <c r="QJ23" s="22">
        <f t="shared" si="138"/>
        <v>0</v>
      </c>
      <c r="QK23" s="22">
        <f t="shared" si="139"/>
        <v>18.5</v>
      </c>
      <c r="QL23" s="22">
        <f t="shared" si="140"/>
        <v>6.8000000000000007</v>
      </c>
      <c r="QM23" s="22">
        <f t="shared" si="141"/>
        <v>0.2</v>
      </c>
      <c r="QN23" s="22">
        <f t="shared" si="142"/>
        <v>0</v>
      </c>
      <c r="QO23" s="22">
        <f t="shared" si="143"/>
        <v>18.049999999999997</v>
      </c>
      <c r="QP23" s="22">
        <f t="shared" si="144"/>
        <v>2.95</v>
      </c>
      <c r="QQ23" s="22">
        <f t="shared" si="145"/>
        <v>0</v>
      </c>
      <c r="QR23" s="22">
        <f t="shared" si="146"/>
        <v>0</v>
      </c>
      <c r="QS23" s="22">
        <f t="shared" si="147"/>
        <v>17.25</v>
      </c>
      <c r="QT23" s="22">
        <f t="shared" si="148"/>
        <v>3.2</v>
      </c>
      <c r="QU23" s="22">
        <f t="shared" si="149"/>
        <v>0</v>
      </c>
      <c r="QV23" s="22">
        <f t="shared" si="150"/>
        <v>0</v>
      </c>
      <c r="QW23" s="22">
        <f t="shared" si="151"/>
        <v>17.899999999999999</v>
      </c>
      <c r="QX23" s="22">
        <f t="shared" si="152"/>
        <v>3.0999999999999996</v>
      </c>
      <c r="QY23" s="22">
        <f t="shared" si="153"/>
        <v>0.3</v>
      </c>
      <c r="QZ23" s="22">
        <f t="shared" si="154"/>
        <v>0</v>
      </c>
      <c r="RA23" s="27" t="s">
        <v>46</v>
      </c>
      <c r="RB23" s="40">
        <f t="shared" si="155"/>
        <v>13.25</v>
      </c>
      <c r="RC23" s="40">
        <f t="shared" si="156"/>
        <v>48.699999999999989</v>
      </c>
      <c r="RD23" s="40">
        <f t="shared" si="157"/>
        <v>20.999999999999996</v>
      </c>
      <c r="RE23" s="40">
        <f t="shared" si="158"/>
        <v>16.2</v>
      </c>
      <c r="RF23" s="40">
        <f t="shared" si="159"/>
        <v>69.699999999999989</v>
      </c>
      <c r="RG23" s="40">
        <f t="shared" si="160"/>
        <v>6.3</v>
      </c>
      <c r="RH23" s="40">
        <f t="shared" si="161"/>
        <v>41.15</v>
      </c>
      <c r="RI23" s="40">
        <f t="shared" si="162"/>
        <v>110.85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15</v>
      </c>
      <c r="C24" s="5" t="s">
        <v>153</v>
      </c>
      <c r="D24" s="4" t="s">
        <v>4</v>
      </c>
      <c r="E24" s="4">
        <v>2004</v>
      </c>
      <c r="F24" s="9">
        <f t="shared" si="163"/>
        <v>135.80000878000439</v>
      </c>
      <c r="G24" s="66"/>
      <c r="H24" s="3" t="str">
        <f t="shared" si="0"/>
        <v>P</v>
      </c>
      <c r="I24" s="3" t="str">
        <f t="shared" si="1"/>
        <v>P</v>
      </c>
      <c r="J24" s="36" t="str">
        <f t="shared" si="2"/>
        <v>National Team</v>
      </c>
      <c r="K24" s="3" t="str">
        <f t="shared" si="3"/>
        <v/>
      </c>
      <c r="L24" s="8">
        <f>IF(COUNT(AS24,BV24,CY24)&gt;0,LARGE((AS24,BV24,CY24),1),0)</f>
        <v>43.999999999999993</v>
      </c>
      <c r="M24" s="8" t="str">
        <f t="shared" si="4"/>
        <v>2023 3rd Domestic Trial</v>
      </c>
      <c r="N24" s="8">
        <f>IF(COUNT(AS24,BV24,CY24)&gt;1,LARGE((AS24,BV24,CY24),2),0)</f>
        <v>19.799999999999997</v>
      </c>
      <c r="O24" s="8" t="str">
        <f t="shared" si="5"/>
        <v>2023 Nationals</v>
      </c>
      <c r="P24" s="8">
        <f>IF(COUNT(AT24,BW24,CZ24)&gt;0,LARGE((AT24,BW24,CZ24),1),0)</f>
        <v>23.999999999999996</v>
      </c>
      <c r="Q24" s="8" t="str">
        <f t="shared" si="6"/>
        <v>2023 Nationals</v>
      </c>
      <c r="R24" s="8">
        <f t="shared" si="7"/>
        <v>48</v>
      </c>
      <c r="S24" s="8" t="str">
        <f t="shared" si="8"/>
        <v>2023 3rd Domestic Trial</v>
      </c>
      <c r="T24" s="8" t="str">
        <f t="shared" si="9"/>
        <v/>
      </c>
      <c r="U24" s="11" t="str">
        <f t="shared" si="10"/>
        <v/>
      </c>
      <c r="V24" s="8" t="str">
        <f t="shared" si="11"/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 t="shared" si="12"/>
        <v/>
      </c>
      <c r="AS24" s="40" t="str">
        <f t="shared" si="13"/>
        <v/>
      </c>
      <c r="AT24" s="40" t="str">
        <f t="shared" si="14"/>
        <v/>
      </c>
      <c r="AU24" s="40" t="str">
        <f t="shared" si="15"/>
        <v/>
      </c>
      <c r="AV24" s="40" t="str">
        <f t="shared" si="16"/>
        <v/>
      </c>
      <c r="AW24" s="40" t="str">
        <f t="shared" si="17"/>
        <v/>
      </c>
      <c r="AX24" s="40" t="str">
        <f t="shared" si="18"/>
        <v/>
      </c>
      <c r="AY24" s="40" t="str">
        <f t="shared" si="19"/>
        <v/>
      </c>
      <c r="AZ24" s="18">
        <v>17.399999999999999</v>
      </c>
      <c r="BA24" s="18">
        <v>2.4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18.399999999999999</v>
      </c>
      <c r="BI24" s="18">
        <v>6.4</v>
      </c>
      <c r="BJ24" s="18">
        <v>0.8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 t="shared" si="20"/>
        <v>2.4</v>
      </c>
      <c r="BV24" s="11">
        <f t="shared" si="21"/>
        <v>19.799999999999997</v>
      </c>
      <c r="BW24" s="11">
        <f t="shared" si="22"/>
        <v>23.999999999999996</v>
      </c>
      <c r="BX24" s="11">
        <f t="shared" si="23"/>
        <v>8.8000000000000007</v>
      </c>
      <c r="BY24" s="11">
        <f t="shared" si="24"/>
        <v>43.8</v>
      </c>
      <c r="BZ24" s="11" t="str">
        <f t="shared" si="25"/>
        <v/>
      </c>
      <c r="CA24" s="11" t="str">
        <f t="shared" si="26"/>
        <v/>
      </c>
      <c r="CB24" s="11">
        <f t="shared" si="27"/>
        <v>43.8</v>
      </c>
      <c r="CC24" s="19">
        <v>18.399999999999999</v>
      </c>
      <c r="CD24" s="19">
        <v>6</v>
      </c>
      <c r="CE24" s="19">
        <v>0.6</v>
      </c>
      <c r="CF24" s="19">
        <v>0</v>
      </c>
      <c r="CG24" s="19">
        <v>17.399999999999999</v>
      </c>
      <c r="CH24" s="19">
        <v>2.8</v>
      </c>
      <c r="CI24" s="19">
        <v>0</v>
      </c>
      <c r="CJ24" s="19">
        <v>0</v>
      </c>
      <c r="CK24" s="19">
        <v>19.2</v>
      </c>
      <c r="CL24" s="19">
        <v>3.5</v>
      </c>
      <c r="CM24" s="19">
        <v>0</v>
      </c>
      <c r="CN24" s="19">
        <v>0</v>
      </c>
      <c r="CO24" s="19">
        <v>18.600000000000001</v>
      </c>
      <c r="CP24" s="19">
        <v>6</v>
      </c>
      <c r="CQ24" s="19">
        <v>0.2</v>
      </c>
      <c r="CR24" s="19">
        <v>0</v>
      </c>
      <c r="CS24" s="19">
        <v>18.399999999999999</v>
      </c>
      <c r="CT24" s="19">
        <v>6</v>
      </c>
      <c r="CU24" s="19">
        <v>0.8</v>
      </c>
      <c r="CV24" s="19">
        <v>0</v>
      </c>
      <c r="CW24" s="27"/>
      <c r="CX24" s="40">
        <f t="shared" si="28"/>
        <v>8.8000000000000007</v>
      </c>
      <c r="CY24" s="40">
        <f t="shared" si="29"/>
        <v>43.999999999999993</v>
      </c>
      <c r="CZ24" s="40">
        <f t="shared" si="30"/>
        <v>22.7</v>
      </c>
      <c r="DA24" s="40">
        <f t="shared" si="31"/>
        <v>12.3</v>
      </c>
      <c r="DB24" s="40">
        <f t="shared" si="32"/>
        <v>66.699999999999989</v>
      </c>
      <c r="DC24" s="40">
        <f t="shared" si="33"/>
        <v>12</v>
      </c>
      <c r="DD24" s="40">
        <f t="shared" si="34"/>
        <v>48</v>
      </c>
      <c r="DE24" s="40">
        <f t="shared" si="35"/>
        <v>114.69999999999999</v>
      </c>
      <c r="DF24" s="50" t="str">
        <f t="shared" si="36"/>
        <v/>
      </c>
      <c r="DG24" s="50" t="str">
        <f t="shared" si="37"/>
        <v/>
      </c>
      <c r="DH24" s="50" t="str">
        <f t="shared" si="38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39"/>
        <v/>
      </c>
      <c r="ED24" s="40" t="str">
        <f t="shared" si="40"/>
        <v/>
      </c>
      <c r="EE24" s="40" t="str">
        <f t="shared" si="41"/>
        <v/>
      </c>
      <c r="EF24" s="40" t="str">
        <f t="shared" si="42"/>
        <v/>
      </c>
      <c r="EG24" s="40" t="str">
        <f t="shared" si="43"/>
        <v/>
      </c>
      <c r="EH24" s="40" t="str">
        <f t="shared" si="44"/>
        <v/>
      </c>
      <c r="EI24" s="40" t="str">
        <f t="shared" si="45"/>
        <v/>
      </c>
      <c r="EJ24" s="40" t="str">
        <f t="shared" si="46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7"/>
        <v/>
      </c>
      <c r="FF24" s="11" t="str">
        <f t="shared" si="48"/>
        <v/>
      </c>
      <c r="FG24" s="11" t="str">
        <f t="shared" si="49"/>
        <v/>
      </c>
      <c r="FH24" s="11" t="str">
        <f t="shared" si="50"/>
        <v/>
      </c>
      <c r="FI24" s="11" t="str">
        <f t="shared" si="51"/>
        <v/>
      </c>
      <c r="FJ24" s="11" t="str">
        <f t="shared" si="52"/>
        <v/>
      </c>
      <c r="FK24" s="11" t="str">
        <f t="shared" si="53"/>
        <v/>
      </c>
      <c r="FL24" s="11" t="str">
        <f t="shared" si="54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5"/>
        <v/>
      </c>
      <c r="GH24" s="40" t="str">
        <f t="shared" si="56"/>
        <v/>
      </c>
      <c r="GI24" s="40" t="str">
        <f t="shared" si="57"/>
        <v/>
      </c>
      <c r="GJ24" s="40" t="str">
        <f t="shared" si="58"/>
        <v/>
      </c>
      <c r="GK24" s="40" t="str">
        <f t="shared" si="59"/>
        <v/>
      </c>
      <c r="GL24" s="40" t="str">
        <f t="shared" si="60"/>
        <v/>
      </c>
      <c r="GM24" s="40" t="str">
        <f t="shared" si="61"/>
        <v/>
      </c>
      <c r="GN24" s="40" t="str">
        <f t="shared" si="62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3"/>
        <v/>
      </c>
      <c r="HJ24" s="11" t="str">
        <f t="shared" si="64"/>
        <v/>
      </c>
      <c r="HK24" s="11" t="str">
        <f t="shared" si="65"/>
        <v/>
      </c>
      <c r="HL24" s="11" t="str">
        <f t="shared" si="66"/>
        <v/>
      </c>
      <c r="HM24" s="11" t="str">
        <f t="shared" si="67"/>
        <v/>
      </c>
      <c r="HN24" s="11" t="str">
        <f t="shared" si="68"/>
        <v/>
      </c>
      <c r="HO24" s="11" t="str">
        <f t="shared" si="69"/>
        <v/>
      </c>
      <c r="HP24" s="11" t="str">
        <f t="shared" si="70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1"/>
        <v/>
      </c>
      <c r="IL24" s="40" t="str">
        <f t="shared" si="72"/>
        <v/>
      </c>
      <c r="IM24" s="40" t="str">
        <f t="shared" si="73"/>
        <v/>
      </c>
      <c r="IN24" s="40" t="str">
        <f t="shared" si="74"/>
        <v/>
      </c>
      <c r="IO24" s="40" t="str">
        <f t="shared" si="75"/>
        <v/>
      </c>
      <c r="IP24" s="40" t="str">
        <f t="shared" si="76"/>
        <v/>
      </c>
      <c r="IQ24" s="40" t="str">
        <f t="shared" si="77"/>
        <v/>
      </c>
      <c r="IR24" s="40" t="str">
        <f t="shared" si="78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79"/>
        <v/>
      </c>
      <c r="JN24" s="11" t="str">
        <f t="shared" si="80"/>
        <v/>
      </c>
      <c r="JO24" s="11" t="str">
        <f t="shared" si="81"/>
        <v/>
      </c>
      <c r="JP24" s="11" t="str">
        <f t="shared" si="82"/>
        <v/>
      </c>
      <c r="JQ24" s="11" t="str">
        <f t="shared" si="83"/>
        <v/>
      </c>
      <c r="JR24" s="11" t="str">
        <f t="shared" si="84"/>
        <v/>
      </c>
      <c r="JS24" s="11" t="str">
        <f t="shared" si="85"/>
        <v/>
      </c>
      <c r="JT24" s="11" t="str">
        <f t="shared" si="86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7"/>
        <v/>
      </c>
      <c r="KP24" s="40" t="str">
        <f t="shared" si="88"/>
        <v/>
      </c>
      <c r="KQ24" s="40" t="str">
        <f t="shared" si="89"/>
        <v/>
      </c>
      <c r="KR24" s="40" t="str">
        <f t="shared" si="90"/>
        <v/>
      </c>
      <c r="KS24" s="40" t="str">
        <f t="shared" si="91"/>
        <v/>
      </c>
      <c r="KT24" s="40" t="str">
        <f t="shared" si="92"/>
        <v/>
      </c>
      <c r="KU24" s="40" t="str">
        <f t="shared" si="93"/>
        <v/>
      </c>
      <c r="KV24" s="40" t="str">
        <f t="shared" si="94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5"/>
        <v/>
      </c>
      <c r="LR24" s="11" t="str">
        <f t="shared" si="96"/>
        <v/>
      </c>
      <c r="LS24" s="11" t="str">
        <f t="shared" si="97"/>
        <v/>
      </c>
      <c r="LT24" s="11" t="str">
        <f t="shared" si="98"/>
        <v/>
      </c>
      <c r="LU24" s="11" t="str">
        <f t="shared" si="99"/>
        <v/>
      </c>
      <c r="LV24" s="11" t="str">
        <f t="shared" si="100"/>
        <v/>
      </c>
      <c r="LW24" s="11" t="str">
        <f t="shared" si="101"/>
        <v/>
      </c>
      <c r="LX24" s="11" t="str">
        <f t="shared" si="102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3"/>
        <v/>
      </c>
      <c r="MT24" s="40" t="str">
        <f t="shared" si="104"/>
        <v/>
      </c>
      <c r="MU24" s="40" t="str">
        <f t="shared" si="105"/>
        <v/>
      </c>
      <c r="MV24" s="40" t="str">
        <f t="shared" si="106"/>
        <v/>
      </c>
      <c r="MW24" s="40" t="str">
        <f t="shared" si="107"/>
        <v/>
      </c>
      <c r="MX24" s="40" t="str">
        <f t="shared" si="108"/>
        <v/>
      </c>
      <c r="MY24" s="40" t="str">
        <f t="shared" si="109"/>
        <v/>
      </c>
      <c r="MZ24" s="40" t="str">
        <f t="shared" si="110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1"/>
        <v/>
      </c>
      <c r="NV24" s="11" t="str">
        <f t="shared" si="112"/>
        <v/>
      </c>
      <c r="NW24" s="11" t="str">
        <f t="shared" si="113"/>
        <v/>
      </c>
      <c r="NX24" s="11" t="str">
        <f t="shared" si="114"/>
        <v/>
      </c>
      <c r="NY24" s="11" t="str">
        <f t="shared" si="115"/>
        <v/>
      </c>
      <c r="NZ24" s="11" t="str">
        <f t="shared" si="116"/>
        <v/>
      </c>
      <c r="OA24" s="11" t="str">
        <f t="shared" si="117"/>
        <v/>
      </c>
      <c r="OB24" s="11" t="str">
        <f t="shared" si="118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19"/>
        <v/>
      </c>
      <c r="OX24" s="40" t="str">
        <f t="shared" si="120"/>
        <v/>
      </c>
      <c r="OY24" s="40" t="str">
        <f t="shared" si="121"/>
        <v/>
      </c>
      <c r="OZ24" s="40" t="str">
        <f t="shared" si="122"/>
        <v/>
      </c>
      <c r="PA24" s="40" t="str">
        <f t="shared" si="123"/>
        <v/>
      </c>
      <c r="PB24" s="40" t="str">
        <f t="shared" si="124"/>
        <v/>
      </c>
      <c r="PC24" s="40" t="str">
        <f t="shared" si="125"/>
        <v/>
      </c>
      <c r="PD24" s="40" t="str">
        <f t="shared" si="126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7"/>
        <v/>
      </c>
      <c r="PZ24" s="11" t="str">
        <f t="shared" si="128"/>
        <v/>
      </c>
      <c r="QA24" s="11" t="str">
        <f t="shared" si="129"/>
        <v/>
      </c>
      <c r="QB24" s="11" t="str">
        <f t="shared" si="130"/>
        <v/>
      </c>
      <c r="QC24" s="11" t="str">
        <f t="shared" si="131"/>
        <v/>
      </c>
      <c r="QD24" s="11" t="str">
        <f t="shared" si="132"/>
        <v/>
      </c>
      <c r="QE24" s="11" t="str">
        <f t="shared" si="133"/>
        <v/>
      </c>
      <c r="QF24" s="11" t="str">
        <f t="shared" si="134"/>
        <v/>
      </c>
      <c r="QG24" s="22">
        <f t="shared" si="135"/>
        <v>17.899999999999999</v>
      </c>
      <c r="QH24" s="22">
        <f t="shared" si="136"/>
        <v>4.2</v>
      </c>
      <c r="QI24" s="22">
        <f t="shared" si="137"/>
        <v>0.3</v>
      </c>
      <c r="QJ24" s="22">
        <f t="shared" si="138"/>
        <v>0</v>
      </c>
      <c r="QK24" s="22">
        <f t="shared" si="139"/>
        <v>8.6999999999999993</v>
      </c>
      <c r="QL24" s="22">
        <f t="shared" si="140"/>
        <v>1.4</v>
      </c>
      <c r="QM24" s="22">
        <f t="shared" si="141"/>
        <v>0</v>
      </c>
      <c r="QN24" s="22">
        <f t="shared" si="142"/>
        <v>0</v>
      </c>
      <c r="QO24" s="22">
        <f t="shared" si="143"/>
        <v>18.799999999999997</v>
      </c>
      <c r="QP24" s="22">
        <f t="shared" si="144"/>
        <v>4.95</v>
      </c>
      <c r="QQ24" s="22">
        <f t="shared" si="145"/>
        <v>0.4</v>
      </c>
      <c r="QR24" s="22">
        <f t="shared" si="146"/>
        <v>0</v>
      </c>
      <c r="QS24" s="22">
        <f t="shared" si="147"/>
        <v>9.3000000000000007</v>
      </c>
      <c r="QT24" s="22">
        <f t="shared" si="148"/>
        <v>3</v>
      </c>
      <c r="QU24" s="22">
        <f t="shared" si="149"/>
        <v>0.1</v>
      </c>
      <c r="QV24" s="22">
        <f t="shared" si="150"/>
        <v>0</v>
      </c>
      <c r="QW24" s="22">
        <f t="shared" si="151"/>
        <v>9.1999999999999993</v>
      </c>
      <c r="QX24" s="22">
        <f t="shared" si="152"/>
        <v>3</v>
      </c>
      <c r="QY24" s="22">
        <f t="shared" si="153"/>
        <v>0.4</v>
      </c>
      <c r="QZ24" s="22">
        <f t="shared" si="154"/>
        <v>0</v>
      </c>
      <c r="RA24" s="27" t="s">
        <v>46</v>
      </c>
      <c r="RB24" s="40">
        <f t="shared" si="155"/>
        <v>5.6</v>
      </c>
      <c r="RC24" s="40">
        <f t="shared" si="156"/>
        <v>31.899999999999995</v>
      </c>
      <c r="RD24" s="40">
        <f t="shared" si="157"/>
        <v>23.349999999999998</v>
      </c>
      <c r="RE24" s="40">
        <f t="shared" si="158"/>
        <v>10.55</v>
      </c>
      <c r="RF24" s="40">
        <f t="shared" si="159"/>
        <v>55.249999999999993</v>
      </c>
      <c r="RG24" s="40">
        <f t="shared" si="160"/>
        <v>6</v>
      </c>
      <c r="RH24" s="40">
        <f t="shared" si="161"/>
        <v>24</v>
      </c>
      <c r="RI24" s="40">
        <f t="shared" si="162"/>
        <v>79.25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16</v>
      </c>
      <c r="C25" s="5" t="s">
        <v>104</v>
      </c>
      <c r="D25" s="4" t="s">
        <v>6</v>
      </c>
      <c r="E25" s="4">
        <v>2005</v>
      </c>
      <c r="F25" s="9">
        <f t="shared" si="163"/>
        <v>120.40000745000495</v>
      </c>
      <c r="G25" s="66"/>
      <c r="H25" s="3" t="str">
        <f t="shared" si="0"/>
        <v>P</v>
      </c>
      <c r="I25" s="3" t="str">
        <f t="shared" si="1"/>
        <v>P</v>
      </c>
      <c r="J25" s="36" t="str">
        <f t="shared" si="2"/>
        <v>National Team</v>
      </c>
      <c r="K25" s="3" t="str">
        <f t="shared" si="3"/>
        <v/>
      </c>
      <c r="L25" s="8">
        <f>IF(COUNT(AS25,BV25,CY25)&gt;0,LARGE((AS25,BV25,CY25),1),0)</f>
        <v>49.500000000000007</v>
      </c>
      <c r="M25" s="8" t="str">
        <f t="shared" si="4"/>
        <v>2023 Elite Canada</v>
      </c>
      <c r="N25" s="8">
        <f>IF(COUNT(AS25,BV25,CY25)&gt;1,LARGE((AS25,BV25,CY25),2),0)</f>
        <v>0</v>
      </c>
      <c r="O25" s="8" t="str">
        <f t="shared" si="5"/>
        <v/>
      </c>
      <c r="P25" s="8">
        <f>IF(COUNT(AT25,BW25,CZ25)&gt;0,LARGE((AT25,BW25,CZ25),1),0)</f>
        <v>25</v>
      </c>
      <c r="Q25" s="8" t="str">
        <f t="shared" si="6"/>
        <v>2023 Elite Canada</v>
      </c>
      <c r="R25" s="8">
        <f t="shared" si="7"/>
        <v>45.9</v>
      </c>
      <c r="S25" s="8" t="str">
        <f t="shared" si="8"/>
        <v>2023 Elite Canada</v>
      </c>
      <c r="T25" s="8" t="str">
        <f t="shared" si="9"/>
        <v/>
      </c>
      <c r="U25" s="11" t="str">
        <f t="shared" si="10"/>
        <v/>
      </c>
      <c r="V25" s="8" t="str">
        <f t="shared" si="11"/>
        <v/>
      </c>
      <c r="W25" s="19">
        <v>19.3</v>
      </c>
      <c r="X25" s="19">
        <v>6.8</v>
      </c>
      <c r="Y25" s="19">
        <v>0.6</v>
      </c>
      <c r="Z25" s="19">
        <v>0</v>
      </c>
      <c r="AA25" s="19">
        <v>18.8</v>
      </c>
      <c r="AB25" s="19">
        <v>5.6</v>
      </c>
      <c r="AC25" s="19">
        <v>0.4</v>
      </c>
      <c r="AD25" s="19">
        <v>0</v>
      </c>
      <c r="AE25" s="19">
        <v>18.8</v>
      </c>
      <c r="AF25" s="19">
        <v>6.8</v>
      </c>
      <c r="AG25" s="19">
        <v>0.6</v>
      </c>
      <c r="AH25" s="19">
        <v>0</v>
      </c>
      <c r="AI25" s="19">
        <v>19</v>
      </c>
      <c r="AJ25" s="19">
        <v>5.2</v>
      </c>
      <c r="AK25" s="19">
        <v>1.6</v>
      </c>
      <c r="AL25" s="19">
        <v>0</v>
      </c>
      <c r="AM25" s="19">
        <v>18.7</v>
      </c>
      <c r="AN25" s="19">
        <v>5.6</v>
      </c>
      <c r="AO25" s="19">
        <v>1</v>
      </c>
      <c r="AP25" s="19">
        <v>0</v>
      </c>
      <c r="AQ25" s="27"/>
      <c r="AR25" s="40">
        <f t="shared" si="12"/>
        <v>12.399999999999999</v>
      </c>
      <c r="AS25" s="40">
        <f t="shared" si="13"/>
        <v>49.500000000000007</v>
      </c>
      <c r="AT25" s="40">
        <f t="shared" si="14"/>
        <v>25</v>
      </c>
      <c r="AU25" s="40">
        <f t="shared" si="15"/>
        <v>19.2</v>
      </c>
      <c r="AV25" s="40">
        <f t="shared" si="16"/>
        <v>74.5</v>
      </c>
      <c r="AW25" s="40">
        <f t="shared" si="17"/>
        <v>10.8</v>
      </c>
      <c r="AX25" s="40">
        <f t="shared" si="18"/>
        <v>45.9</v>
      </c>
      <c r="AY25" s="40">
        <f t="shared" si="19"/>
        <v>120.4</v>
      </c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28"/>
      <c r="BU25" s="11" t="str">
        <f t="shared" si="20"/>
        <v/>
      </c>
      <c r="BV25" s="11" t="str">
        <f t="shared" si="21"/>
        <v/>
      </c>
      <c r="BW25" s="11" t="str">
        <f t="shared" si="22"/>
        <v/>
      </c>
      <c r="BX25" s="11" t="str">
        <f t="shared" si="23"/>
        <v/>
      </c>
      <c r="BY25" s="11" t="str">
        <f t="shared" si="24"/>
        <v/>
      </c>
      <c r="BZ25" s="11" t="str">
        <f t="shared" si="25"/>
        <v/>
      </c>
      <c r="CA25" s="11" t="str">
        <f t="shared" si="26"/>
        <v/>
      </c>
      <c r="CB25" s="11" t="str">
        <f t="shared" si="27"/>
        <v/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 t="shared" si="28"/>
        <v/>
      </c>
      <c r="CY25" s="40" t="str">
        <f t="shared" si="29"/>
        <v/>
      </c>
      <c r="CZ25" s="40" t="str">
        <f t="shared" si="30"/>
        <v/>
      </c>
      <c r="DA25" s="40" t="str">
        <f t="shared" si="31"/>
        <v/>
      </c>
      <c r="DB25" s="40" t="str">
        <f t="shared" si="32"/>
        <v/>
      </c>
      <c r="DC25" s="40" t="str">
        <f t="shared" si="33"/>
        <v/>
      </c>
      <c r="DD25" s="40" t="str">
        <f t="shared" si="34"/>
        <v/>
      </c>
      <c r="DE25" s="40" t="str">
        <f t="shared" si="35"/>
        <v/>
      </c>
      <c r="DF25" s="50" t="str">
        <f t="shared" si="36"/>
        <v/>
      </c>
      <c r="DG25" s="50" t="str">
        <f t="shared" si="37"/>
        <v/>
      </c>
      <c r="DH25" s="50" t="str">
        <f t="shared" si="38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39"/>
        <v/>
      </c>
      <c r="ED25" s="40" t="str">
        <f t="shared" si="40"/>
        <v/>
      </c>
      <c r="EE25" s="40" t="str">
        <f t="shared" si="41"/>
        <v/>
      </c>
      <c r="EF25" s="40" t="str">
        <f t="shared" si="42"/>
        <v/>
      </c>
      <c r="EG25" s="40" t="str">
        <f t="shared" si="43"/>
        <v/>
      </c>
      <c r="EH25" s="40" t="str">
        <f t="shared" si="44"/>
        <v/>
      </c>
      <c r="EI25" s="40" t="str">
        <f t="shared" si="45"/>
        <v/>
      </c>
      <c r="EJ25" s="40" t="str">
        <f t="shared" si="46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7"/>
        <v/>
      </c>
      <c r="FF25" s="11" t="str">
        <f t="shared" si="48"/>
        <v/>
      </c>
      <c r="FG25" s="11" t="str">
        <f t="shared" si="49"/>
        <v/>
      </c>
      <c r="FH25" s="11" t="str">
        <f t="shared" si="50"/>
        <v/>
      </c>
      <c r="FI25" s="11" t="str">
        <f t="shared" si="51"/>
        <v/>
      </c>
      <c r="FJ25" s="11" t="str">
        <f t="shared" si="52"/>
        <v/>
      </c>
      <c r="FK25" s="11" t="str">
        <f t="shared" si="53"/>
        <v/>
      </c>
      <c r="FL25" s="11" t="str">
        <f t="shared" si="54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5"/>
        <v/>
      </c>
      <c r="GH25" s="40" t="str">
        <f t="shared" si="56"/>
        <v/>
      </c>
      <c r="GI25" s="40" t="str">
        <f t="shared" si="57"/>
        <v/>
      </c>
      <c r="GJ25" s="40" t="str">
        <f t="shared" si="58"/>
        <v/>
      </c>
      <c r="GK25" s="40" t="str">
        <f t="shared" si="59"/>
        <v/>
      </c>
      <c r="GL25" s="40" t="str">
        <f t="shared" si="60"/>
        <v/>
      </c>
      <c r="GM25" s="40" t="str">
        <f t="shared" si="61"/>
        <v/>
      </c>
      <c r="GN25" s="40" t="str">
        <f t="shared" si="62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3"/>
        <v/>
      </c>
      <c r="HJ25" s="11" t="str">
        <f t="shared" si="64"/>
        <v/>
      </c>
      <c r="HK25" s="11" t="str">
        <f t="shared" si="65"/>
        <v/>
      </c>
      <c r="HL25" s="11" t="str">
        <f t="shared" si="66"/>
        <v/>
      </c>
      <c r="HM25" s="11" t="str">
        <f t="shared" si="67"/>
        <v/>
      </c>
      <c r="HN25" s="11" t="str">
        <f t="shared" si="68"/>
        <v/>
      </c>
      <c r="HO25" s="11" t="str">
        <f t="shared" si="69"/>
        <v/>
      </c>
      <c r="HP25" s="11" t="str">
        <f t="shared" si="70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1"/>
        <v/>
      </c>
      <c r="IL25" s="40" t="str">
        <f t="shared" si="72"/>
        <v/>
      </c>
      <c r="IM25" s="40" t="str">
        <f t="shared" si="73"/>
        <v/>
      </c>
      <c r="IN25" s="40" t="str">
        <f t="shared" si="74"/>
        <v/>
      </c>
      <c r="IO25" s="40" t="str">
        <f t="shared" si="75"/>
        <v/>
      </c>
      <c r="IP25" s="40" t="str">
        <f t="shared" si="76"/>
        <v/>
      </c>
      <c r="IQ25" s="40" t="str">
        <f t="shared" si="77"/>
        <v/>
      </c>
      <c r="IR25" s="40" t="str">
        <f t="shared" si="78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79"/>
        <v/>
      </c>
      <c r="JN25" s="11" t="str">
        <f t="shared" si="80"/>
        <v/>
      </c>
      <c r="JO25" s="11" t="str">
        <f t="shared" si="81"/>
        <v/>
      </c>
      <c r="JP25" s="11" t="str">
        <f t="shared" si="82"/>
        <v/>
      </c>
      <c r="JQ25" s="11" t="str">
        <f t="shared" si="83"/>
        <v/>
      </c>
      <c r="JR25" s="11" t="str">
        <f t="shared" si="84"/>
        <v/>
      </c>
      <c r="JS25" s="11" t="str">
        <f t="shared" si="85"/>
        <v/>
      </c>
      <c r="JT25" s="11" t="str">
        <f t="shared" si="86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7"/>
        <v/>
      </c>
      <c r="KP25" s="40" t="str">
        <f t="shared" si="88"/>
        <v/>
      </c>
      <c r="KQ25" s="40" t="str">
        <f t="shared" si="89"/>
        <v/>
      </c>
      <c r="KR25" s="40" t="str">
        <f t="shared" si="90"/>
        <v/>
      </c>
      <c r="KS25" s="40" t="str">
        <f t="shared" si="91"/>
        <v/>
      </c>
      <c r="KT25" s="40" t="str">
        <f t="shared" si="92"/>
        <v/>
      </c>
      <c r="KU25" s="40" t="str">
        <f t="shared" si="93"/>
        <v/>
      </c>
      <c r="KV25" s="40" t="str">
        <f t="shared" si="94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5"/>
        <v/>
      </c>
      <c r="LR25" s="11" t="str">
        <f t="shared" si="96"/>
        <v/>
      </c>
      <c r="LS25" s="11" t="str">
        <f t="shared" si="97"/>
        <v/>
      </c>
      <c r="LT25" s="11" t="str">
        <f t="shared" si="98"/>
        <v/>
      </c>
      <c r="LU25" s="11" t="str">
        <f t="shared" si="99"/>
        <v/>
      </c>
      <c r="LV25" s="11" t="str">
        <f t="shared" si="100"/>
        <v/>
      </c>
      <c r="LW25" s="11" t="str">
        <f t="shared" si="101"/>
        <v/>
      </c>
      <c r="LX25" s="11" t="str">
        <f t="shared" si="102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3"/>
        <v/>
      </c>
      <c r="MT25" s="40" t="str">
        <f t="shared" si="104"/>
        <v/>
      </c>
      <c r="MU25" s="40" t="str">
        <f t="shared" si="105"/>
        <v/>
      </c>
      <c r="MV25" s="40" t="str">
        <f t="shared" si="106"/>
        <v/>
      </c>
      <c r="MW25" s="40" t="str">
        <f t="shared" si="107"/>
        <v/>
      </c>
      <c r="MX25" s="40" t="str">
        <f t="shared" si="108"/>
        <v/>
      </c>
      <c r="MY25" s="40" t="str">
        <f t="shared" si="109"/>
        <v/>
      </c>
      <c r="MZ25" s="40" t="str">
        <f t="shared" si="110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1"/>
        <v/>
      </c>
      <c r="NV25" s="11" t="str">
        <f t="shared" si="112"/>
        <v/>
      </c>
      <c r="NW25" s="11" t="str">
        <f t="shared" si="113"/>
        <v/>
      </c>
      <c r="NX25" s="11" t="str">
        <f t="shared" si="114"/>
        <v/>
      </c>
      <c r="NY25" s="11" t="str">
        <f t="shared" si="115"/>
        <v/>
      </c>
      <c r="NZ25" s="11" t="str">
        <f t="shared" si="116"/>
        <v/>
      </c>
      <c r="OA25" s="11" t="str">
        <f t="shared" si="117"/>
        <v/>
      </c>
      <c r="OB25" s="11" t="str">
        <f t="shared" si="118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19"/>
        <v/>
      </c>
      <c r="OX25" s="40" t="str">
        <f t="shared" si="120"/>
        <v/>
      </c>
      <c r="OY25" s="40" t="str">
        <f t="shared" si="121"/>
        <v/>
      </c>
      <c r="OZ25" s="40" t="str">
        <f t="shared" si="122"/>
        <v/>
      </c>
      <c r="PA25" s="40" t="str">
        <f t="shared" si="123"/>
        <v/>
      </c>
      <c r="PB25" s="40" t="str">
        <f t="shared" si="124"/>
        <v/>
      </c>
      <c r="PC25" s="40" t="str">
        <f t="shared" si="125"/>
        <v/>
      </c>
      <c r="PD25" s="40" t="str">
        <f t="shared" si="126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7"/>
        <v/>
      </c>
      <c r="PZ25" s="11" t="str">
        <f t="shared" si="128"/>
        <v/>
      </c>
      <c r="QA25" s="11" t="str">
        <f t="shared" si="129"/>
        <v/>
      </c>
      <c r="QB25" s="11" t="str">
        <f t="shared" si="130"/>
        <v/>
      </c>
      <c r="QC25" s="11" t="str">
        <f t="shared" si="131"/>
        <v/>
      </c>
      <c r="QD25" s="11" t="str">
        <f t="shared" si="132"/>
        <v/>
      </c>
      <c r="QE25" s="11" t="str">
        <f t="shared" si="133"/>
        <v/>
      </c>
      <c r="QF25" s="11" t="str">
        <f t="shared" si="134"/>
        <v/>
      </c>
      <c r="QG25" s="22">
        <f t="shared" si="135"/>
        <v>0</v>
      </c>
      <c r="QH25" s="22">
        <f t="shared" si="136"/>
        <v>0</v>
      </c>
      <c r="QI25" s="22">
        <f t="shared" si="137"/>
        <v>0</v>
      </c>
      <c r="QJ25" s="22">
        <f t="shared" si="138"/>
        <v>0</v>
      </c>
      <c r="QK25" s="22">
        <f t="shared" si="139"/>
        <v>0</v>
      </c>
      <c r="QL25" s="22">
        <f t="shared" si="140"/>
        <v>0</v>
      </c>
      <c r="QM25" s="22">
        <f t="shared" si="141"/>
        <v>0</v>
      </c>
      <c r="QN25" s="22">
        <f t="shared" si="142"/>
        <v>0</v>
      </c>
      <c r="QO25" s="22">
        <f t="shared" si="143"/>
        <v>0</v>
      </c>
      <c r="QP25" s="22">
        <f t="shared" si="144"/>
        <v>0</v>
      </c>
      <c r="QQ25" s="22">
        <f t="shared" si="145"/>
        <v>0</v>
      </c>
      <c r="QR25" s="22">
        <f t="shared" si="146"/>
        <v>0</v>
      </c>
      <c r="QS25" s="22">
        <f t="shared" si="147"/>
        <v>0</v>
      </c>
      <c r="QT25" s="22">
        <f t="shared" si="148"/>
        <v>0</v>
      </c>
      <c r="QU25" s="22">
        <f t="shared" si="149"/>
        <v>0</v>
      </c>
      <c r="QV25" s="22">
        <f t="shared" si="150"/>
        <v>0</v>
      </c>
      <c r="QW25" s="22">
        <f t="shared" si="151"/>
        <v>0</v>
      </c>
      <c r="QX25" s="22">
        <f t="shared" si="152"/>
        <v>0</v>
      </c>
      <c r="QY25" s="22">
        <f t="shared" si="153"/>
        <v>0</v>
      </c>
      <c r="QZ25" s="22">
        <f t="shared" si="154"/>
        <v>0</v>
      </c>
      <c r="RA25" s="27" t="s">
        <v>46</v>
      </c>
      <c r="RB25" s="40" t="str">
        <f t="shared" si="155"/>
        <v/>
      </c>
      <c r="RC25" s="40" t="str">
        <f t="shared" si="156"/>
        <v/>
      </c>
      <c r="RD25" s="40" t="str">
        <f t="shared" si="157"/>
        <v/>
      </c>
      <c r="RE25" s="40" t="str">
        <f t="shared" si="158"/>
        <v/>
      </c>
      <c r="RF25" s="40" t="str">
        <f t="shared" si="159"/>
        <v/>
      </c>
      <c r="RG25" s="40" t="str">
        <f t="shared" si="160"/>
        <v/>
      </c>
      <c r="RH25" s="40" t="str">
        <f t="shared" si="161"/>
        <v/>
      </c>
      <c r="RI25" s="40" t="str">
        <f t="shared" si="162"/>
        <v/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17</v>
      </c>
      <c r="C26" s="5" t="s">
        <v>134</v>
      </c>
      <c r="D26" s="4" t="s">
        <v>5</v>
      </c>
      <c r="E26" s="4">
        <v>2005</v>
      </c>
      <c r="F26" s="9">
        <f t="shared" si="163"/>
        <v>120.30001203000496</v>
      </c>
      <c r="G26" s="66"/>
      <c r="H26" s="3" t="str">
        <f t="shared" si="0"/>
        <v>P</v>
      </c>
      <c r="I26" s="3" t="str">
        <f t="shared" si="1"/>
        <v>P</v>
      </c>
      <c r="J26" s="36" t="str">
        <f t="shared" si="2"/>
        <v>National Team</v>
      </c>
      <c r="K26" s="3" t="str">
        <f t="shared" si="3"/>
        <v/>
      </c>
      <c r="L26" s="8">
        <f>IF(COUNT(AS26,BV26,CY26)&gt;0,LARGE((AS26,BV26,CY26),1),0)</f>
        <v>49.7</v>
      </c>
      <c r="M26" s="8" t="str">
        <f t="shared" si="4"/>
        <v>2023 Elite Canada</v>
      </c>
      <c r="N26" s="8">
        <f>IF(COUNT(AS26,BV26,CY26)&gt;1,LARGE((AS26,BV26,CY26),2),0)</f>
        <v>44.300000000000004</v>
      </c>
      <c r="O26" s="8" t="str">
        <f t="shared" si="5"/>
        <v>2023 3rd Domestic Trial</v>
      </c>
      <c r="P26" s="8">
        <f>IF(COUNT(AT26,BW26,CZ26)&gt;0,LARGE((AT26,BW26,CZ26),1),0)</f>
        <v>26.299999999999997</v>
      </c>
      <c r="Q26" s="8" t="str">
        <f t="shared" si="6"/>
        <v>2023 3rd Domestic Trial</v>
      </c>
      <c r="R26" s="8">
        <f t="shared" si="7"/>
        <v>0</v>
      </c>
      <c r="S26" s="8" t="str">
        <f t="shared" si="8"/>
        <v/>
      </c>
      <c r="T26" s="8" t="str">
        <f t="shared" si="9"/>
        <v/>
      </c>
      <c r="U26" s="11" t="str">
        <f t="shared" si="10"/>
        <v/>
      </c>
      <c r="V26" s="8" t="str">
        <f t="shared" si="11"/>
        <v/>
      </c>
      <c r="W26" s="19">
        <v>18.5</v>
      </c>
      <c r="X26" s="19">
        <v>7.2</v>
      </c>
      <c r="Y26" s="19">
        <v>0</v>
      </c>
      <c r="Z26" s="19">
        <v>0</v>
      </c>
      <c r="AA26" s="19">
        <v>18</v>
      </c>
      <c r="AB26" s="19">
        <v>6.8</v>
      </c>
      <c r="AC26" s="19">
        <v>0.8</v>
      </c>
      <c r="AD26" s="19">
        <v>0</v>
      </c>
      <c r="AE26" s="19">
        <v>17.600000000000001</v>
      </c>
      <c r="AF26" s="19">
        <v>4.4000000000000004</v>
      </c>
      <c r="AG26" s="19">
        <v>1.2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12"/>
        <v>14</v>
      </c>
      <c r="AS26" s="40">
        <f t="shared" si="13"/>
        <v>49.7</v>
      </c>
      <c r="AT26" s="40">
        <f t="shared" si="14"/>
        <v>20.8</v>
      </c>
      <c r="AU26" s="40">
        <f t="shared" si="15"/>
        <v>18.399999999999999</v>
      </c>
      <c r="AV26" s="40">
        <f t="shared" si="16"/>
        <v>70.5</v>
      </c>
      <c r="AW26" s="40" t="str">
        <f t="shared" si="17"/>
        <v/>
      </c>
      <c r="AX26" s="40" t="str">
        <f t="shared" si="18"/>
        <v/>
      </c>
      <c r="AY26" s="40">
        <f t="shared" si="19"/>
        <v>70.5</v>
      </c>
      <c r="AZ26" s="18">
        <v>16.8</v>
      </c>
      <c r="BA26" s="18">
        <v>3.4</v>
      </c>
      <c r="BB26" s="18">
        <v>1.8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>
        <v>0</v>
      </c>
      <c r="BK26" s="18">
        <v>0</v>
      </c>
      <c r="BL26" s="18"/>
      <c r="BM26" s="18"/>
      <c r="BN26" s="18"/>
      <c r="BO26" s="18"/>
      <c r="BP26" s="18"/>
      <c r="BQ26" s="18"/>
      <c r="BR26" s="18"/>
      <c r="BS26" s="18"/>
      <c r="BT26" s="28"/>
      <c r="BU26" s="11">
        <f t="shared" si="20"/>
        <v>3.4</v>
      </c>
      <c r="BV26" s="11">
        <f t="shared" si="21"/>
        <v>18.399999999999999</v>
      </c>
      <c r="BW26" s="11" t="str">
        <f t="shared" si="22"/>
        <v/>
      </c>
      <c r="BX26" s="11">
        <f t="shared" si="23"/>
        <v>3.4</v>
      </c>
      <c r="BY26" s="11">
        <f t="shared" si="24"/>
        <v>18.399999999999999</v>
      </c>
      <c r="BZ26" s="11" t="str">
        <f t="shared" si="25"/>
        <v/>
      </c>
      <c r="CA26" s="11" t="str">
        <f t="shared" si="26"/>
        <v/>
      </c>
      <c r="CB26" s="11">
        <f t="shared" si="27"/>
        <v>18.399999999999999</v>
      </c>
      <c r="CC26" s="19">
        <v>18.100000000000001</v>
      </c>
      <c r="CD26" s="19">
        <v>6.8</v>
      </c>
      <c r="CE26" s="19">
        <v>0</v>
      </c>
      <c r="CF26" s="19">
        <v>0</v>
      </c>
      <c r="CG26" s="19">
        <v>17</v>
      </c>
      <c r="CH26" s="19">
        <v>2.4</v>
      </c>
      <c r="CI26" s="19">
        <v>0</v>
      </c>
      <c r="CJ26" s="19">
        <v>0</v>
      </c>
      <c r="CK26" s="19">
        <v>18.2</v>
      </c>
      <c r="CL26" s="19">
        <v>8.1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 t="shared" si="28"/>
        <v>9.1999999999999993</v>
      </c>
      <c r="CY26" s="40">
        <f t="shared" si="29"/>
        <v>44.300000000000004</v>
      </c>
      <c r="CZ26" s="40">
        <f t="shared" si="30"/>
        <v>26.299999999999997</v>
      </c>
      <c r="DA26" s="40">
        <f t="shared" si="31"/>
        <v>17.299999999999997</v>
      </c>
      <c r="DB26" s="40">
        <f t="shared" si="32"/>
        <v>70.599999999999994</v>
      </c>
      <c r="DC26" s="40" t="str">
        <f t="shared" si="33"/>
        <v/>
      </c>
      <c r="DD26" s="40" t="str">
        <f t="shared" si="34"/>
        <v/>
      </c>
      <c r="DE26" s="40">
        <f t="shared" si="35"/>
        <v>70.599999999999994</v>
      </c>
      <c r="DF26" s="50" t="str">
        <f t="shared" si="36"/>
        <v/>
      </c>
      <c r="DG26" s="50" t="str">
        <f t="shared" si="37"/>
        <v/>
      </c>
      <c r="DH26" s="50" t="str">
        <f t="shared" si="38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39"/>
        <v/>
      </c>
      <c r="ED26" s="40" t="str">
        <f t="shared" si="40"/>
        <v/>
      </c>
      <c r="EE26" s="40" t="str">
        <f t="shared" si="41"/>
        <v/>
      </c>
      <c r="EF26" s="40" t="str">
        <f t="shared" si="42"/>
        <v/>
      </c>
      <c r="EG26" s="40" t="str">
        <f t="shared" si="43"/>
        <v/>
      </c>
      <c r="EH26" s="40" t="str">
        <f t="shared" si="44"/>
        <v/>
      </c>
      <c r="EI26" s="40" t="str">
        <f t="shared" si="45"/>
        <v/>
      </c>
      <c r="EJ26" s="40" t="str">
        <f t="shared" si="46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7"/>
        <v/>
      </c>
      <c r="FF26" s="11" t="str">
        <f t="shared" si="48"/>
        <v/>
      </c>
      <c r="FG26" s="11" t="str">
        <f t="shared" si="49"/>
        <v/>
      </c>
      <c r="FH26" s="11" t="str">
        <f t="shared" si="50"/>
        <v/>
      </c>
      <c r="FI26" s="11" t="str">
        <f t="shared" si="51"/>
        <v/>
      </c>
      <c r="FJ26" s="11" t="str">
        <f t="shared" si="52"/>
        <v/>
      </c>
      <c r="FK26" s="11" t="str">
        <f t="shared" si="53"/>
        <v/>
      </c>
      <c r="FL26" s="11" t="str">
        <f t="shared" si="54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5"/>
        <v/>
      </c>
      <c r="GH26" s="40" t="str">
        <f t="shared" si="56"/>
        <v/>
      </c>
      <c r="GI26" s="40" t="str">
        <f t="shared" si="57"/>
        <v/>
      </c>
      <c r="GJ26" s="40" t="str">
        <f t="shared" si="58"/>
        <v/>
      </c>
      <c r="GK26" s="40" t="str">
        <f t="shared" si="59"/>
        <v/>
      </c>
      <c r="GL26" s="40" t="str">
        <f t="shared" si="60"/>
        <v/>
      </c>
      <c r="GM26" s="40" t="str">
        <f t="shared" si="61"/>
        <v/>
      </c>
      <c r="GN26" s="40" t="str">
        <f t="shared" si="62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3"/>
        <v/>
      </c>
      <c r="HJ26" s="11" t="str">
        <f t="shared" si="64"/>
        <v/>
      </c>
      <c r="HK26" s="11" t="str">
        <f t="shared" si="65"/>
        <v/>
      </c>
      <c r="HL26" s="11" t="str">
        <f t="shared" si="66"/>
        <v/>
      </c>
      <c r="HM26" s="11" t="str">
        <f t="shared" si="67"/>
        <v/>
      </c>
      <c r="HN26" s="11" t="str">
        <f t="shared" si="68"/>
        <v/>
      </c>
      <c r="HO26" s="11" t="str">
        <f t="shared" si="69"/>
        <v/>
      </c>
      <c r="HP26" s="11" t="str">
        <f t="shared" si="70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1"/>
        <v/>
      </c>
      <c r="IL26" s="40" t="str">
        <f t="shared" si="72"/>
        <v/>
      </c>
      <c r="IM26" s="40" t="str">
        <f t="shared" si="73"/>
        <v/>
      </c>
      <c r="IN26" s="40" t="str">
        <f t="shared" si="74"/>
        <v/>
      </c>
      <c r="IO26" s="40" t="str">
        <f t="shared" si="75"/>
        <v/>
      </c>
      <c r="IP26" s="40" t="str">
        <f t="shared" si="76"/>
        <v/>
      </c>
      <c r="IQ26" s="40" t="str">
        <f t="shared" si="77"/>
        <v/>
      </c>
      <c r="IR26" s="40" t="str">
        <f t="shared" si="78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79"/>
        <v/>
      </c>
      <c r="JN26" s="11" t="str">
        <f t="shared" si="80"/>
        <v/>
      </c>
      <c r="JO26" s="11" t="str">
        <f t="shared" si="81"/>
        <v/>
      </c>
      <c r="JP26" s="11" t="str">
        <f t="shared" si="82"/>
        <v/>
      </c>
      <c r="JQ26" s="11" t="str">
        <f t="shared" si="83"/>
        <v/>
      </c>
      <c r="JR26" s="11" t="str">
        <f t="shared" si="84"/>
        <v/>
      </c>
      <c r="JS26" s="11" t="str">
        <f t="shared" si="85"/>
        <v/>
      </c>
      <c r="JT26" s="11" t="str">
        <f t="shared" si="86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7"/>
        <v/>
      </c>
      <c r="KP26" s="40" t="str">
        <f t="shared" si="88"/>
        <v/>
      </c>
      <c r="KQ26" s="40" t="str">
        <f t="shared" si="89"/>
        <v/>
      </c>
      <c r="KR26" s="40" t="str">
        <f t="shared" si="90"/>
        <v/>
      </c>
      <c r="KS26" s="40" t="str">
        <f t="shared" si="91"/>
        <v/>
      </c>
      <c r="KT26" s="40" t="str">
        <f t="shared" si="92"/>
        <v/>
      </c>
      <c r="KU26" s="40" t="str">
        <f t="shared" si="93"/>
        <v/>
      </c>
      <c r="KV26" s="40" t="str">
        <f t="shared" si="94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5"/>
        <v/>
      </c>
      <c r="LR26" s="11" t="str">
        <f t="shared" si="96"/>
        <v/>
      </c>
      <c r="LS26" s="11" t="str">
        <f t="shared" si="97"/>
        <v/>
      </c>
      <c r="LT26" s="11" t="str">
        <f t="shared" si="98"/>
        <v/>
      </c>
      <c r="LU26" s="11" t="str">
        <f t="shared" si="99"/>
        <v/>
      </c>
      <c r="LV26" s="11" t="str">
        <f t="shared" si="100"/>
        <v/>
      </c>
      <c r="LW26" s="11" t="str">
        <f t="shared" si="101"/>
        <v/>
      </c>
      <c r="LX26" s="11" t="str">
        <f t="shared" si="102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3"/>
        <v/>
      </c>
      <c r="MT26" s="40" t="str">
        <f t="shared" si="104"/>
        <v/>
      </c>
      <c r="MU26" s="40" t="str">
        <f t="shared" si="105"/>
        <v/>
      </c>
      <c r="MV26" s="40" t="str">
        <f t="shared" si="106"/>
        <v/>
      </c>
      <c r="MW26" s="40" t="str">
        <f t="shared" si="107"/>
        <v/>
      </c>
      <c r="MX26" s="40" t="str">
        <f t="shared" si="108"/>
        <v/>
      </c>
      <c r="MY26" s="40" t="str">
        <f t="shared" si="109"/>
        <v/>
      </c>
      <c r="MZ26" s="40" t="str">
        <f t="shared" si="110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1"/>
        <v/>
      </c>
      <c r="NV26" s="11" t="str">
        <f t="shared" si="112"/>
        <v/>
      </c>
      <c r="NW26" s="11" t="str">
        <f t="shared" si="113"/>
        <v/>
      </c>
      <c r="NX26" s="11" t="str">
        <f t="shared" si="114"/>
        <v/>
      </c>
      <c r="NY26" s="11" t="str">
        <f t="shared" si="115"/>
        <v/>
      </c>
      <c r="NZ26" s="11" t="str">
        <f t="shared" si="116"/>
        <v/>
      </c>
      <c r="OA26" s="11" t="str">
        <f t="shared" si="117"/>
        <v/>
      </c>
      <c r="OB26" s="11" t="str">
        <f t="shared" si="118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19"/>
        <v/>
      </c>
      <c r="OX26" s="40" t="str">
        <f t="shared" si="120"/>
        <v/>
      </c>
      <c r="OY26" s="40" t="str">
        <f t="shared" si="121"/>
        <v/>
      </c>
      <c r="OZ26" s="40" t="str">
        <f t="shared" si="122"/>
        <v/>
      </c>
      <c r="PA26" s="40" t="str">
        <f t="shared" si="123"/>
        <v/>
      </c>
      <c r="PB26" s="40" t="str">
        <f t="shared" si="124"/>
        <v/>
      </c>
      <c r="PC26" s="40" t="str">
        <f t="shared" si="125"/>
        <v/>
      </c>
      <c r="PD26" s="40" t="str">
        <f t="shared" si="126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7"/>
        <v/>
      </c>
      <c r="PZ26" s="11" t="str">
        <f t="shared" si="128"/>
        <v/>
      </c>
      <c r="QA26" s="11" t="str">
        <f t="shared" si="129"/>
        <v/>
      </c>
      <c r="QB26" s="11" t="str">
        <f t="shared" si="130"/>
        <v/>
      </c>
      <c r="QC26" s="11" t="str">
        <f t="shared" si="131"/>
        <v/>
      </c>
      <c r="QD26" s="11" t="str">
        <f t="shared" si="132"/>
        <v/>
      </c>
      <c r="QE26" s="11" t="str">
        <f t="shared" si="133"/>
        <v/>
      </c>
      <c r="QF26" s="11" t="str">
        <f t="shared" si="134"/>
        <v/>
      </c>
      <c r="QG26" s="22">
        <f t="shared" si="135"/>
        <v>17.450000000000003</v>
      </c>
      <c r="QH26" s="22">
        <f t="shared" si="136"/>
        <v>5.0999999999999996</v>
      </c>
      <c r="QI26" s="22">
        <f t="shared" si="137"/>
        <v>0.9</v>
      </c>
      <c r="QJ26" s="22">
        <f t="shared" si="138"/>
        <v>0</v>
      </c>
      <c r="QK26" s="22">
        <f t="shared" si="139"/>
        <v>8.5</v>
      </c>
      <c r="QL26" s="22">
        <f t="shared" si="140"/>
        <v>1.2</v>
      </c>
      <c r="QM26" s="22">
        <f t="shared" si="141"/>
        <v>0</v>
      </c>
      <c r="QN26" s="22">
        <f t="shared" si="142"/>
        <v>0</v>
      </c>
      <c r="QO26" s="22">
        <f t="shared" si="143"/>
        <v>9.1</v>
      </c>
      <c r="QP26" s="22">
        <f t="shared" si="144"/>
        <v>4.05</v>
      </c>
      <c r="QQ26" s="22">
        <f t="shared" si="145"/>
        <v>0</v>
      </c>
      <c r="QR26" s="22">
        <f t="shared" si="146"/>
        <v>0</v>
      </c>
      <c r="QS26" s="22">
        <f t="shared" si="147"/>
        <v>0</v>
      </c>
      <c r="QT26" s="22">
        <f t="shared" si="148"/>
        <v>0</v>
      </c>
      <c r="QU26" s="22">
        <f t="shared" si="149"/>
        <v>0</v>
      </c>
      <c r="QV26" s="22">
        <f t="shared" si="150"/>
        <v>0</v>
      </c>
      <c r="QW26" s="22">
        <f t="shared" si="151"/>
        <v>0</v>
      </c>
      <c r="QX26" s="22">
        <f t="shared" si="152"/>
        <v>0</v>
      </c>
      <c r="QY26" s="22">
        <f t="shared" si="153"/>
        <v>0</v>
      </c>
      <c r="QZ26" s="22">
        <f t="shared" si="154"/>
        <v>0</v>
      </c>
      <c r="RA26" s="27" t="s">
        <v>46</v>
      </c>
      <c r="RB26" s="40">
        <f t="shared" si="155"/>
        <v>6.3</v>
      </c>
      <c r="RC26" s="40">
        <f t="shared" si="156"/>
        <v>31.350000000000009</v>
      </c>
      <c r="RD26" s="40">
        <f t="shared" si="157"/>
        <v>13.149999999999999</v>
      </c>
      <c r="RE26" s="40">
        <f t="shared" si="158"/>
        <v>10.35</v>
      </c>
      <c r="RF26" s="40">
        <f t="shared" si="159"/>
        <v>44.500000000000007</v>
      </c>
      <c r="RG26" s="40" t="str">
        <f t="shared" si="160"/>
        <v/>
      </c>
      <c r="RH26" s="40" t="str">
        <f t="shared" si="161"/>
        <v/>
      </c>
      <c r="RI26" s="40">
        <f t="shared" si="162"/>
        <v>44.500000000000007</v>
      </c>
    </row>
    <row r="27" spans="1:477" x14ac:dyDescent="0.2">
      <c r="A27" s="4" t="str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/>
      </c>
      <c r="B27" s="4" t="str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/>
      </c>
      <c r="C27" s="5" t="s">
        <v>177</v>
      </c>
      <c r="D27" s="4" t="s">
        <v>3</v>
      </c>
      <c r="E27" s="4">
        <v>2003</v>
      </c>
      <c r="F27" s="9">
        <f t="shared" si="163"/>
        <v>162.80001153000472</v>
      </c>
      <c r="G27" s="66"/>
      <c r="H27" s="3" t="str">
        <f t="shared" si="0"/>
        <v/>
      </c>
      <c r="I27" s="3" t="str">
        <f t="shared" si="1"/>
        <v/>
      </c>
      <c r="J27" s="36" t="str">
        <f t="shared" si="2"/>
        <v/>
      </c>
      <c r="K27" s="3" t="str">
        <f t="shared" si="3"/>
        <v/>
      </c>
      <c r="L27" s="8">
        <f>IF(COUNT(AS27,BV27,CY27)&gt;0,LARGE((AS27,BV27,CY27),1),0)</f>
        <v>47.100000000000009</v>
      </c>
      <c r="M27" s="8" t="str">
        <f t="shared" si="4"/>
        <v>2023 Elite Canada</v>
      </c>
      <c r="N27" s="8">
        <f>IF(COUNT(AS27,BV27,CY27)&gt;1,LARGE((AS27,BV27,CY27),2),0)</f>
        <v>45.999999999999993</v>
      </c>
      <c r="O27" s="8" t="str">
        <f t="shared" si="5"/>
        <v>2023 Nationals</v>
      </c>
      <c r="P27" s="8">
        <f>IF(COUNT(AT27,BW27,CZ27)&gt;0,LARGE((AT27,BW27,CZ27),1),0)</f>
        <v>22.200000000000003</v>
      </c>
      <c r="Q27" s="8" t="str">
        <f t="shared" si="6"/>
        <v>2023 Nationals</v>
      </c>
      <c r="R27" s="8">
        <f t="shared" si="7"/>
        <v>47.500000000000007</v>
      </c>
      <c r="S27" s="8" t="str">
        <f t="shared" si="8"/>
        <v>2023 Elite Canada</v>
      </c>
      <c r="T27" s="8" t="str">
        <f t="shared" si="9"/>
        <v/>
      </c>
      <c r="U27" s="11" t="str">
        <f t="shared" si="10"/>
        <v/>
      </c>
      <c r="V27" s="8" t="str">
        <f t="shared" si="11"/>
        <v/>
      </c>
      <c r="W27" s="19">
        <v>18.8</v>
      </c>
      <c r="X27" s="19">
        <v>5.2</v>
      </c>
      <c r="Y27" s="19">
        <v>0.8</v>
      </c>
      <c r="Z27" s="19">
        <v>0</v>
      </c>
      <c r="AA27" s="19">
        <v>18.7</v>
      </c>
      <c r="AB27" s="19">
        <v>5.2</v>
      </c>
      <c r="AC27" s="19">
        <v>0</v>
      </c>
      <c r="AD27" s="19">
        <v>0</v>
      </c>
      <c r="AE27" s="19">
        <v>19.8</v>
      </c>
      <c r="AF27" s="19">
        <v>0</v>
      </c>
      <c r="AG27" s="19">
        <v>0</v>
      </c>
      <c r="AH27" s="19">
        <v>0</v>
      </c>
      <c r="AI27" s="19">
        <v>18.8</v>
      </c>
      <c r="AJ27" s="19">
        <v>5.2</v>
      </c>
      <c r="AK27" s="19">
        <v>0.2</v>
      </c>
      <c r="AL27" s="19">
        <v>0</v>
      </c>
      <c r="AM27" s="19">
        <v>18.7</v>
      </c>
      <c r="AN27" s="19">
        <v>5.2</v>
      </c>
      <c r="AO27" s="19">
        <v>0.2</v>
      </c>
      <c r="AP27" s="19">
        <v>0</v>
      </c>
      <c r="AQ27" s="27"/>
      <c r="AR27" s="40">
        <f t="shared" si="12"/>
        <v>10.4</v>
      </c>
      <c r="AS27" s="40">
        <f t="shared" si="13"/>
        <v>47.100000000000009</v>
      </c>
      <c r="AT27" s="40">
        <f t="shared" si="14"/>
        <v>19.8</v>
      </c>
      <c r="AU27" s="40">
        <f t="shared" si="15"/>
        <v>10.4</v>
      </c>
      <c r="AV27" s="40">
        <f t="shared" si="16"/>
        <v>66.900000000000006</v>
      </c>
      <c r="AW27" s="40">
        <f t="shared" si="17"/>
        <v>10.4</v>
      </c>
      <c r="AX27" s="40">
        <f t="shared" si="18"/>
        <v>47.500000000000007</v>
      </c>
      <c r="AY27" s="40">
        <f t="shared" si="19"/>
        <v>114.4</v>
      </c>
      <c r="AZ27" s="18">
        <v>19</v>
      </c>
      <c r="BA27" s="18">
        <v>4.8</v>
      </c>
      <c r="BB27" s="18">
        <v>0.6</v>
      </c>
      <c r="BC27" s="18">
        <v>0</v>
      </c>
      <c r="BD27" s="18">
        <v>18.2</v>
      </c>
      <c r="BE27" s="18">
        <v>4.8</v>
      </c>
      <c r="BF27" s="18">
        <v>0.2</v>
      </c>
      <c r="BG27" s="18">
        <v>0</v>
      </c>
      <c r="BH27" s="18">
        <v>19.100000000000001</v>
      </c>
      <c r="BI27" s="18">
        <v>3.5</v>
      </c>
      <c r="BJ27" s="18">
        <v>0.4</v>
      </c>
      <c r="BK27" s="18">
        <v>0</v>
      </c>
      <c r="BL27" s="18">
        <v>18.8</v>
      </c>
      <c r="BM27" s="18">
        <v>5.2</v>
      </c>
      <c r="BN27" s="18">
        <v>0.8</v>
      </c>
      <c r="BO27" s="18">
        <v>0</v>
      </c>
      <c r="BP27" s="18">
        <v>18.899999999999999</v>
      </c>
      <c r="BQ27" s="18">
        <v>5.2</v>
      </c>
      <c r="BR27" s="18">
        <v>0</v>
      </c>
      <c r="BS27" s="18">
        <v>0</v>
      </c>
      <c r="BT27" s="28"/>
      <c r="BU27" s="11">
        <f t="shared" si="20"/>
        <v>9.6</v>
      </c>
      <c r="BV27" s="11">
        <f t="shared" si="21"/>
        <v>45.999999999999993</v>
      </c>
      <c r="BW27" s="11">
        <f t="shared" si="22"/>
        <v>22.200000000000003</v>
      </c>
      <c r="BX27" s="11">
        <f t="shared" si="23"/>
        <v>13.1</v>
      </c>
      <c r="BY27" s="11">
        <f t="shared" si="24"/>
        <v>68.199999999999989</v>
      </c>
      <c r="BZ27" s="11">
        <f t="shared" si="25"/>
        <v>10.4</v>
      </c>
      <c r="CA27" s="11">
        <f t="shared" si="26"/>
        <v>47.300000000000004</v>
      </c>
      <c r="CB27" s="11">
        <f t="shared" si="27"/>
        <v>115.5</v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 t="shared" si="28"/>
        <v/>
      </c>
      <c r="CY27" s="40" t="str">
        <f t="shared" si="29"/>
        <v/>
      </c>
      <c r="CZ27" s="40" t="str">
        <f t="shared" si="30"/>
        <v/>
      </c>
      <c r="DA27" s="40" t="str">
        <f t="shared" si="31"/>
        <v/>
      </c>
      <c r="DB27" s="40" t="str">
        <f t="shared" si="32"/>
        <v/>
      </c>
      <c r="DC27" s="40" t="str">
        <f t="shared" si="33"/>
        <v/>
      </c>
      <c r="DD27" s="40" t="str">
        <f t="shared" si="34"/>
        <v/>
      </c>
      <c r="DE27" s="40" t="str">
        <f t="shared" si="35"/>
        <v/>
      </c>
      <c r="DF27" s="50" t="str">
        <f t="shared" si="36"/>
        <v/>
      </c>
      <c r="DG27" s="50" t="str">
        <f t="shared" si="37"/>
        <v/>
      </c>
      <c r="DH27" s="50" t="str">
        <f t="shared" si="38"/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 t="shared" si="39"/>
        <v/>
      </c>
      <c r="ED27" s="40" t="str">
        <f t="shared" si="40"/>
        <v/>
      </c>
      <c r="EE27" s="40" t="str">
        <f t="shared" si="41"/>
        <v/>
      </c>
      <c r="EF27" s="40" t="str">
        <f t="shared" si="42"/>
        <v/>
      </c>
      <c r="EG27" s="40" t="str">
        <f t="shared" si="43"/>
        <v/>
      </c>
      <c r="EH27" s="40" t="str">
        <f t="shared" si="44"/>
        <v/>
      </c>
      <c r="EI27" s="40" t="str">
        <f t="shared" si="45"/>
        <v/>
      </c>
      <c r="EJ27" s="40" t="str">
        <f t="shared" si="46"/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 t="shared" si="47"/>
        <v/>
      </c>
      <c r="FF27" s="11" t="str">
        <f t="shared" si="48"/>
        <v/>
      </c>
      <c r="FG27" s="11" t="str">
        <f t="shared" si="49"/>
        <v/>
      </c>
      <c r="FH27" s="11" t="str">
        <f t="shared" si="50"/>
        <v/>
      </c>
      <c r="FI27" s="11" t="str">
        <f t="shared" si="51"/>
        <v/>
      </c>
      <c r="FJ27" s="11" t="str">
        <f t="shared" si="52"/>
        <v/>
      </c>
      <c r="FK27" s="11" t="str">
        <f t="shared" si="53"/>
        <v/>
      </c>
      <c r="FL27" s="11" t="str">
        <f t="shared" si="54"/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 t="shared" si="55"/>
        <v/>
      </c>
      <c r="GH27" s="40" t="str">
        <f t="shared" si="56"/>
        <v/>
      </c>
      <c r="GI27" s="40" t="str">
        <f t="shared" si="57"/>
        <v/>
      </c>
      <c r="GJ27" s="40" t="str">
        <f t="shared" si="58"/>
        <v/>
      </c>
      <c r="GK27" s="40" t="str">
        <f t="shared" si="59"/>
        <v/>
      </c>
      <c r="GL27" s="40" t="str">
        <f t="shared" si="60"/>
        <v/>
      </c>
      <c r="GM27" s="40" t="str">
        <f t="shared" si="61"/>
        <v/>
      </c>
      <c r="GN27" s="40" t="str">
        <f t="shared" si="62"/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 t="shared" si="63"/>
        <v/>
      </c>
      <c r="HJ27" s="11" t="str">
        <f t="shared" si="64"/>
        <v/>
      </c>
      <c r="HK27" s="11" t="str">
        <f t="shared" si="65"/>
        <v/>
      </c>
      <c r="HL27" s="11" t="str">
        <f t="shared" si="66"/>
        <v/>
      </c>
      <c r="HM27" s="11" t="str">
        <f t="shared" si="67"/>
        <v/>
      </c>
      <c r="HN27" s="11" t="str">
        <f t="shared" si="68"/>
        <v/>
      </c>
      <c r="HO27" s="11" t="str">
        <f t="shared" si="69"/>
        <v/>
      </c>
      <c r="HP27" s="11" t="str">
        <f t="shared" si="70"/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 t="shared" si="71"/>
        <v/>
      </c>
      <c r="IL27" s="40" t="str">
        <f t="shared" si="72"/>
        <v/>
      </c>
      <c r="IM27" s="40" t="str">
        <f t="shared" si="73"/>
        <v/>
      </c>
      <c r="IN27" s="40" t="str">
        <f t="shared" si="74"/>
        <v/>
      </c>
      <c r="IO27" s="40" t="str">
        <f t="shared" si="75"/>
        <v/>
      </c>
      <c r="IP27" s="40" t="str">
        <f t="shared" si="76"/>
        <v/>
      </c>
      <c r="IQ27" s="40" t="str">
        <f t="shared" si="77"/>
        <v/>
      </c>
      <c r="IR27" s="40" t="str">
        <f t="shared" si="78"/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 t="shared" si="79"/>
        <v/>
      </c>
      <c r="JN27" s="11" t="str">
        <f t="shared" si="80"/>
        <v/>
      </c>
      <c r="JO27" s="11" t="str">
        <f t="shared" si="81"/>
        <v/>
      </c>
      <c r="JP27" s="11" t="str">
        <f t="shared" si="82"/>
        <v/>
      </c>
      <c r="JQ27" s="11" t="str">
        <f t="shared" si="83"/>
        <v/>
      </c>
      <c r="JR27" s="11" t="str">
        <f t="shared" si="84"/>
        <v/>
      </c>
      <c r="JS27" s="11" t="str">
        <f t="shared" si="85"/>
        <v/>
      </c>
      <c r="JT27" s="11" t="str">
        <f t="shared" si="86"/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 t="shared" si="87"/>
        <v/>
      </c>
      <c r="KP27" s="40" t="str">
        <f t="shared" si="88"/>
        <v/>
      </c>
      <c r="KQ27" s="40" t="str">
        <f t="shared" si="89"/>
        <v/>
      </c>
      <c r="KR27" s="40" t="str">
        <f t="shared" si="90"/>
        <v/>
      </c>
      <c r="KS27" s="40" t="str">
        <f t="shared" si="91"/>
        <v/>
      </c>
      <c r="KT27" s="40" t="str">
        <f t="shared" si="92"/>
        <v/>
      </c>
      <c r="KU27" s="40" t="str">
        <f t="shared" si="93"/>
        <v/>
      </c>
      <c r="KV27" s="40" t="str">
        <f t="shared" si="94"/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 t="shared" si="95"/>
        <v/>
      </c>
      <c r="LR27" s="11" t="str">
        <f t="shared" si="96"/>
        <v/>
      </c>
      <c r="LS27" s="11" t="str">
        <f t="shared" si="97"/>
        <v/>
      </c>
      <c r="LT27" s="11" t="str">
        <f t="shared" si="98"/>
        <v/>
      </c>
      <c r="LU27" s="11" t="str">
        <f t="shared" si="99"/>
        <v/>
      </c>
      <c r="LV27" s="11" t="str">
        <f t="shared" si="100"/>
        <v/>
      </c>
      <c r="LW27" s="11" t="str">
        <f t="shared" si="101"/>
        <v/>
      </c>
      <c r="LX27" s="11" t="str">
        <f t="shared" si="102"/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 t="shared" si="103"/>
        <v/>
      </c>
      <c r="MT27" s="40" t="str">
        <f t="shared" si="104"/>
        <v/>
      </c>
      <c r="MU27" s="40" t="str">
        <f t="shared" si="105"/>
        <v/>
      </c>
      <c r="MV27" s="40" t="str">
        <f t="shared" si="106"/>
        <v/>
      </c>
      <c r="MW27" s="40" t="str">
        <f t="shared" si="107"/>
        <v/>
      </c>
      <c r="MX27" s="40" t="str">
        <f t="shared" si="108"/>
        <v/>
      </c>
      <c r="MY27" s="40" t="str">
        <f t="shared" si="109"/>
        <v/>
      </c>
      <c r="MZ27" s="40" t="str">
        <f t="shared" si="110"/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 t="shared" si="111"/>
        <v/>
      </c>
      <c r="NV27" s="11" t="str">
        <f t="shared" si="112"/>
        <v/>
      </c>
      <c r="NW27" s="11" t="str">
        <f t="shared" si="113"/>
        <v/>
      </c>
      <c r="NX27" s="11" t="str">
        <f t="shared" si="114"/>
        <v/>
      </c>
      <c r="NY27" s="11" t="str">
        <f t="shared" si="115"/>
        <v/>
      </c>
      <c r="NZ27" s="11" t="str">
        <f t="shared" si="116"/>
        <v/>
      </c>
      <c r="OA27" s="11" t="str">
        <f t="shared" si="117"/>
        <v/>
      </c>
      <c r="OB27" s="11" t="str">
        <f t="shared" si="118"/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 t="shared" si="119"/>
        <v/>
      </c>
      <c r="OX27" s="40" t="str">
        <f t="shared" si="120"/>
        <v/>
      </c>
      <c r="OY27" s="40" t="str">
        <f t="shared" si="121"/>
        <v/>
      </c>
      <c r="OZ27" s="40" t="str">
        <f t="shared" si="122"/>
        <v/>
      </c>
      <c r="PA27" s="40" t="str">
        <f t="shared" si="123"/>
        <v/>
      </c>
      <c r="PB27" s="40" t="str">
        <f t="shared" si="124"/>
        <v/>
      </c>
      <c r="PC27" s="40" t="str">
        <f t="shared" si="125"/>
        <v/>
      </c>
      <c r="PD27" s="40" t="str">
        <f t="shared" si="126"/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 t="shared" si="127"/>
        <v/>
      </c>
      <c r="PZ27" s="11" t="str">
        <f t="shared" si="128"/>
        <v/>
      </c>
      <c r="QA27" s="11" t="str">
        <f t="shared" si="129"/>
        <v/>
      </c>
      <c r="QB27" s="11" t="str">
        <f t="shared" si="130"/>
        <v/>
      </c>
      <c r="QC27" s="11" t="str">
        <f t="shared" si="131"/>
        <v/>
      </c>
      <c r="QD27" s="11" t="str">
        <f t="shared" si="132"/>
        <v/>
      </c>
      <c r="QE27" s="11" t="str">
        <f t="shared" si="133"/>
        <v/>
      </c>
      <c r="QF27" s="11" t="str">
        <f t="shared" si="134"/>
        <v/>
      </c>
      <c r="QG27" s="22">
        <f t="shared" si="135"/>
        <v>9.5</v>
      </c>
      <c r="QH27" s="22">
        <f t="shared" si="136"/>
        <v>2.4</v>
      </c>
      <c r="QI27" s="22">
        <f t="shared" si="137"/>
        <v>0.3</v>
      </c>
      <c r="QJ27" s="22">
        <f t="shared" si="138"/>
        <v>0</v>
      </c>
      <c r="QK27" s="22">
        <f t="shared" si="139"/>
        <v>9.1</v>
      </c>
      <c r="QL27" s="22">
        <f t="shared" si="140"/>
        <v>2.4</v>
      </c>
      <c r="QM27" s="22">
        <f t="shared" si="141"/>
        <v>0.1</v>
      </c>
      <c r="QN27" s="22">
        <f t="shared" si="142"/>
        <v>0</v>
      </c>
      <c r="QO27" s="22">
        <f t="shared" si="143"/>
        <v>9.5500000000000007</v>
      </c>
      <c r="QP27" s="22">
        <f t="shared" si="144"/>
        <v>1.75</v>
      </c>
      <c r="QQ27" s="22">
        <f t="shared" si="145"/>
        <v>0.2</v>
      </c>
      <c r="QR27" s="22">
        <f t="shared" si="146"/>
        <v>0</v>
      </c>
      <c r="QS27" s="22">
        <f t="shared" si="147"/>
        <v>9.4</v>
      </c>
      <c r="QT27" s="22">
        <f t="shared" si="148"/>
        <v>2.6</v>
      </c>
      <c r="QU27" s="22">
        <f t="shared" si="149"/>
        <v>0.4</v>
      </c>
      <c r="QV27" s="22">
        <f t="shared" si="150"/>
        <v>0</v>
      </c>
      <c r="QW27" s="22">
        <f t="shared" si="151"/>
        <v>9.4499999999999993</v>
      </c>
      <c r="QX27" s="22">
        <f t="shared" si="152"/>
        <v>2.6</v>
      </c>
      <c r="QY27" s="22">
        <f t="shared" si="153"/>
        <v>0</v>
      </c>
      <c r="QZ27" s="22">
        <f t="shared" si="154"/>
        <v>0</v>
      </c>
      <c r="RA27" s="27" t="s">
        <v>46</v>
      </c>
      <c r="RB27" s="40">
        <f t="shared" si="155"/>
        <v>4.8</v>
      </c>
      <c r="RC27" s="40">
        <f t="shared" si="156"/>
        <v>22.999999999999996</v>
      </c>
      <c r="RD27" s="40">
        <f t="shared" si="157"/>
        <v>11.100000000000001</v>
      </c>
      <c r="RE27" s="40">
        <f t="shared" si="158"/>
        <v>6.55</v>
      </c>
      <c r="RF27" s="40">
        <f t="shared" si="159"/>
        <v>34.099999999999994</v>
      </c>
      <c r="RG27" s="40">
        <f t="shared" si="160"/>
        <v>5.2</v>
      </c>
      <c r="RH27" s="40">
        <f t="shared" si="161"/>
        <v>23.650000000000002</v>
      </c>
      <c r="RI27" s="40">
        <f t="shared" si="162"/>
        <v>57.75</v>
      </c>
    </row>
    <row r="28" spans="1:477" x14ac:dyDescent="0.2">
      <c r="A28" s="4" t="str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/>
      </c>
      <c r="B28" s="4" t="str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/>
      </c>
      <c r="C28" s="5" t="s">
        <v>199</v>
      </c>
      <c r="D28" s="4" t="s">
        <v>3</v>
      </c>
      <c r="E28" s="4">
        <v>2006</v>
      </c>
      <c r="F28" s="9">
        <f t="shared" si="163"/>
        <v>158.40001109000454</v>
      </c>
      <c r="G28" s="66"/>
      <c r="H28" s="3" t="str">
        <f t="shared" si="0"/>
        <v/>
      </c>
      <c r="I28" s="3" t="str">
        <f t="shared" si="1"/>
        <v/>
      </c>
      <c r="J28" s="36" t="str">
        <f t="shared" si="2"/>
        <v/>
      </c>
      <c r="K28" s="3" t="str">
        <f t="shared" si="3"/>
        <v/>
      </c>
      <c r="L28" s="8">
        <f>IF(COUNT(AS28,BV28,CY28)&gt;0,LARGE((AS28,BV28,CY28),1),0)</f>
        <v>45.7</v>
      </c>
      <c r="M28" s="8" t="str">
        <f t="shared" si="4"/>
        <v>2023 Nationals</v>
      </c>
      <c r="N28" s="8">
        <f>IF(COUNT(AS28,BV28,CY28)&gt;1,LARGE((AS28,BV28,CY28),2),0)</f>
        <v>42.899999999999991</v>
      </c>
      <c r="O28" s="8" t="str">
        <f t="shared" si="5"/>
        <v>2023 3rd Domestic Trial</v>
      </c>
      <c r="P28" s="8">
        <f>IF(COUNT(AT28,BW28,CZ28)&gt;0,LARGE((AT28,BW28,CZ28),1),0)</f>
        <v>22.3</v>
      </c>
      <c r="Q28" s="8" t="str">
        <f t="shared" si="6"/>
        <v>2023 Nationals</v>
      </c>
      <c r="R28" s="8">
        <f t="shared" si="7"/>
        <v>47.5</v>
      </c>
      <c r="S28" s="8" t="str">
        <f t="shared" si="8"/>
        <v>2023 Nationals</v>
      </c>
      <c r="T28" s="8" t="str">
        <f t="shared" si="9"/>
        <v/>
      </c>
      <c r="U28" s="11" t="str">
        <f t="shared" si="10"/>
        <v/>
      </c>
      <c r="V28" s="8" t="str">
        <f t="shared" si="11"/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 t="shared" si="12"/>
        <v/>
      </c>
      <c r="AS28" s="40" t="str">
        <f t="shared" si="13"/>
        <v/>
      </c>
      <c r="AT28" s="40" t="str">
        <f t="shared" si="14"/>
        <v/>
      </c>
      <c r="AU28" s="40" t="str">
        <f t="shared" si="15"/>
        <v/>
      </c>
      <c r="AV28" s="40" t="str">
        <f t="shared" si="16"/>
        <v/>
      </c>
      <c r="AW28" s="40" t="str">
        <f t="shared" si="17"/>
        <v/>
      </c>
      <c r="AX28" s="40" t="str">
        <f t="shared" si="18"/>
        <v/>
      </c>
      <c r="AY28" s="40" t="str">
        <f t="shared" si="19"/>
        <v/>
      </c>
      <c r="AZ28" s="18">
        <v>18.3</v>
      </c>
      <c r="BA28" s="18">
        <v>5.6</v>
      </c>
      <c r="BB28" s="18">
        <v>0.2</v>
      </c>
      <c r="BC28" s="18">
        <v>0</v>
      </c>
      <c r="BD28" s="18">
        <v>17.8</v>
      </c>
      <c r="BE28" s="18">
        <v>5.2</v>
      </c>
      <c r="BF28" s="18">
        <v>1</v>
      </c>
      <c r="BG28" s="18">
        <v>0</v>
      </c>
      <c r="BH28" s="18">
        <v>18.7</v>
      </c>
      <c r="BI28" s="18">
        <v>3.6</v>
      </c>
      <c r="BJ28" s="18">
        <v>0</v>
      </c>
      <c r="BK28" s="18">
        <v>0</v>
      </c>
      <c r="BL28" s="18">
        <v>18.7</v>
      </c>
      <c r="BM28" s="18">
        <v>5.2</v>
      </c>
      <c r="BN28" s="18">
        <v>0.2</v>
      </c>
      <c r="BO28" s="18">
        <v>0</v>
      </c>
      <c r="BP28" s="18">
        <v>18.600000000000001</v>
      </c>
      <c r="BQ28" s="18">
        <v>5.2</v>
      </c>
      <c r="BR28" s="18">
        <v>0</v>
      </c>
      <c r="BS28" s="18">
        <v>0</v>
      </c>
      <c r="BT28" s="28"/>
      <c r="BU28" s="11">
        <f t="shared" si="20"/>
        <v>10.8</v>
      </c>
      <c r="BV28" s="11">
        <f t="shared" si="21"/>
        <v>45.7</v>
      </c>
      <c r="BW28" s="11">
        <f t="shared" si="22"/>
        <v>22.3</v>
      </c>
      <c r="BX28" s="11">
        <f t="shared" si="23"/>
        <v>14.4</v>
      </c>
      <c r="BY28" s="11">
        <f t="shared" si="24"/>
        <v>68</v>
      </c>
      <c r="BZ28" s="11">
        <f t="shared" si="25"/>
        <v>10.4</v>
      </c>
      <c r="CA28" s="11">
        <f t="shared" si="26"/>
        <v>47.5</v>
      </c>
      <c r="CB28" s="11">
        <f t="shared" si="27"/>
        <v>115.5</v>
      </c>
      <c r="CC28" s="19">
        <v>18.2</v>
      </c>
      <c r="CD28" s="19">
        <v>5.6</v>
      </c>
      <c r="CE28" s="19">
        <v>1</v>
      </c>
      <c r="CF28" s="19">
        <v>0</v>
      </c>
      <c r="CG28" s="19">
        <v>18.399999999999999</v>
      </c>
      <c r="CH28" s="19">
        <v>2.8</v>
      </c>
      <c r="CI28" s="19">
        <v>1.1000000000000001</v>
      </c>
      <c r="CJ28" s="19">
        <v>0</v>
      </c>
      <c r="CK28" s="19">
        <v>17.8</v>
      </c>
      <c r="CL28" s="19">
        <v>4</v>
      </c>
      <c r="CM28" s="19">
        <v>1</v>
      </c>
      <c r="CN28" s="19">
        <v>0</v>
      </c>
      <c r="CO28" s="19">
        <v>18.399999999999999</v>
      </c>
      <c r="CP28" s="19">
        <v>5.6</v>
      </c>
      <c r="CQ28" s="19">
        <v>0.6</v>
      </c>
      <c r="CR28" s="19">
        <v>0</v>
      </c>
      <c r="CS28" s="19">
        <v>17.899999999999999</v>
      </c>
      <c r="CT28" s="19">
        <v>6</v>
      </c>
      <c r="CU28" s="19">
        <v>0.4</v>
      </c>
      <c r="CV28" s="19">
        <v>0</v>
      </c>
      <c r="CW28" s="27"/>
      <c r="CX28" s="40">
        <f t="shared" si="28"/>
        <v>8.3999999999999986</v>
      </c>
      <c r="CY28" s="40">
        <f t="shared" si="29"/>
        <v>42.899999999999991</v>
      </c>
      <c r="CZ28" s="40">
        <f t="shared" si="30"/>
        <v>20.8</v>
      </c>
      <c r="DA28" s="40">
        <f t="shared" si="31"/>
        <v>12.399999999999999</v>
      </c>
      <c r="DB28" s="40">
        <f t="shared" si="32"/>
        <v>63.699999999999989</v>
      </c>
      <c r="DC28" s="40">
        <f t="shared" si="33"/>
        <v>11.6</v>
      </c>
      <c r="DD28" s="40">
        <f t="shared" si="34"/>
        <v>46.9</v>
      </c>
      <c r="DE28" s="40">
        <f t="shared" si="35"/>
        <v>110.6</v>
      </c>
      <c r="DF28" s="50" t="str">
        <f t="shared" si="36"/>
        <v/>
      </c>
      <c r="DG28" s="50" t="str">
        <f t="shared" si="37"/>
        <v/>
      </c>
      <c r="DH28" s="50" t="str">
        <f t="shared" si="38"/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 t="shared" si="39"/>
        <v/>
      </c>
      <c r="ED28" s="40" t="str">
        <f t="shared" si="40"/>
        <v/>
      </c>
      <c r="EE28" s="40" t="str">
        <f t="shared" si="41"/>
        <v/>
      </c>
      <c r="EF28" s="40" t="str">
        <f t="shared" si="42"/>
        <v/>
      </c>
      <c r="EG28" s="40" t="str">
        <f t="shared" si="43"/>
        <v/>
      </c>
      <c r="EH28" s="40" t="str">
        <f t="shared" si="44"/>
        <v/>
      </c>
      <c r="EI28" s="40" t="str">
        <f t="shared" si="45"/>
        <v/>
      </c>
      <c r="EJ28" s="40" t="str">
        <f t="shared" si="46"/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 t="shared" si="47"/>
        <v/>
      </c>
      <c r="FF28" s="11" t="str">
        <f t="shared" si="48"/>
        <v/>
      </c>
      <c r="FG28" s="11" t="str">
        <f t="shared" si="49"/>
        <v/>
      </c>
      <c r="FH28" s="11" t="str">
        <f t="shared" si="50"/>
        <v/>
      </c>
      <c r="FI28" s="11" t="str">
        <f t="shared" si="51"/>
        <v/>
      </c>
      <c r="FJ28" s="11" t="str">
        <f t="shared" si="52"/>
        <v/>
      </c>
      <c r="FK28" s="11" t="str">
        <f t="shared" si="53"/>
        <v/>
      </c>
      <c r="FL28" s="11" t="str">
        <f t="shared" si="54"/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 t="shared" si="55"/>
        <v/>
      </c>
      <c r="GH28" s="40" t="str">
        <f t="shared" si="56"/>
        <v/>
      </c>
      <c r="GI28" s="40" t="str">
        <f t="shared" si="57"/>
        <v/>
      </c>
      <c r="GJ28" s="40" t="str">
        <f t="shared" si="58"/>
        <v/>
      </c>
      <c r="GK28" s="40" t="str">
        <f t="shared" si="59"/>
        <v/>
      </c>
      <c r="GL28" s="40" t="str">
        <f t="shared" si="60"/>
        <v/>
      </c>
      <c r="GM28" s="40" t="str">
        <f t="shared" si="61"/>
        <v/>
      </c>
      <c r="GN28" s="40" t="str">
        <f t="shared" si="62"/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 t="shared" si="63"/>
        <v/>
      </c>
      <c r="HJ28" s="11" t="str">
        <f t="shared" si="64"/>
        <v/>
      </c>
      <c r="HK28" s="11" t="str">
        <f t="shared" si="65"/>
        <v/>
      </c>
      <c r="HL28" s="11" t="str">
        <f t="shared" si="66"/>
        <v/>
      </c>
      <c r="HM28" s="11" t="str">
        <f t="shared" si="67"/>
        <v/>
      </c>
      <c r="HN28" s="11" t="str">
        <f t="shared" si="68"/>
        <v/>
      </c>
      <c r="HO28" s="11" t="str">
        <f t="shared" si="69"/>
        <v/>
      </c>
      <c r="HP28" s="11" t="str">
        <f t="shared" si="70"/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 t="shared" si="71"/>
        <v/>
      </c>
      <c r="IL28" s="40" t="str">
        <f t="shared" si="72"/>
        <v/>
      </c>
      <c r="IM28" s="40" t="str">
        <f t="shared" si="73"/>
        <v/>
      </c>
      <c r="IN28" s="40" t="str">
        <f t="shared" si="74"/>
        <v/>
      </c>
      <c r="IO28" s="40" t="str">
        <f t="shared" si="75"/>
        <v/>
      </c>
      <c r="IP28" s="40" t="str">
        <f t="shared" si="76"/>
        <v/>
      </c>
      <c r="IQ28" s="40" t="str">
        <f t="shared" si="77"/>
        <v/>
      </c>
      <c r="IR28" s="40" t="str">
        <f t="shared" si="78"/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 t="shared" si="79"/>
        <v/>
      </c>
      <c r="JN28" s="11" t="str">
        <f t="shared" si="80"/>
        <v/>
      </c>
      <c r="JO28" s="11" t="str">
        <f t="shared" si="81"/>
        <v/>
      </c>
      <c r="JP28" s="11" t="str">
        <f t="shared" si="82"/>
        <v/>
      </c>
      <c r="JQ28" s="11" t="str">
        <f t="shared" si="83"/>
        <v/>
      </c>
      <c r="JR28" s="11" t="str">
        <f t="shared" si="84"/>
        <v/>
      </c>
      <c r="JS28" s="11" t="str">
        <f t="shared" si="85"/>
        <v/>
      </c>
      <c r="JT28" s="11" t="str">
        <f t="shared" si="86"/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 t="shared" si="87"/>
        <v/>
      </c>
      <c r="KP28" s="40" t="str">
        <f t="shared" si="88"/>
        <v/>
      </c>
      <c r="KQ28" s="40" t="str">
        <f t="shared" si="89"/>
        <v/>
      </c>
      <c r="KR28" s="40" t="str">
        <f t="shared" si="90"/>
        <v/>
      </c>
      <c r="KS28" s="40" t="str">
        <f t="shared" si="91"/>
        <v/>
      </c>
      <c r="KT28" s="40" t="str">
        <f t="shared" si="92"/>
        <v/>
      </c>
      <c r="KU28" s="40" t="str">
        <f t="shared" si="93"/>
        <v/>
      </c>
      <c r="KV28" s="40" t="str">
        <f t="shared" si="94"/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 t="shared" si="95"/>
        <v/>
      </c>
      <c r="LR28" s="11" t="str">
        <f t="shared" si="96"/>
        <v/>
      </c>
      <c r="LS28" s="11" t="str">
        <f t="shared" si="97"/>
        <v/>
      </c>
      <c r="LT28" s="11" t="str">
        <f t="shared" si="98"/>
        <v/>
      </c>
      <c r="LU28" s="11" t="str">
        <f t="shared" si="99"/>
        <v/>
      </c>
      <c r="LV28" s="11" t="str">
        <f t="shared" si="100"/>
        <v/>
      </c>
      <c r="LW28" s="11" t="str">
        <f t="shared" si="101"/>
        <v/>
      </c>
      <c r="LX28" s="11" t="str">
        <f t="shared" si="102"/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 t="shared" si="103"/>
        <v/>
      </c>
      <c r="MT28" s="40" t="str">
        <f t="shared" si="104"/>
        <v/>
      </c>
      <c r="MU28" s="40" t="str">
        <f t="shared" si="105"/>
        <v/>
      </c>
      <c r="MV28" s="40" t="str">
        <f t="shared" si="106"/>
        <v/>
      </c>
      <c r="MW28" s="40" t="str">
        <f t="shared" si="107"/>
        <v/>
      </c>
      <c r="MX28" s="40" t="str">
        <f t="shared" si="108"/>
        <v/>
      </c>
      <c r="MY28" s="40" t="str">
        <f t="shared" si="109"/>
        <v/>
      </c>
      <c r="MZ28" s="40" t="str">
        <f t="shared" si="110"/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 t="shared" si="111"/>
        <v/>
      </c>
      <c r="NV28" s="11" t="str">
        <f t="shared" si="112"/>
        <v/>
      </c>
      <c r="NW28" s="11" t="str">
        <f t="shared" si="113"/>
        <v/>
      </c>
      <c r="NX28" s="11" t="str">
        <f t="shared" si="114"/>
        <v/>
      </c>
      <c r="NY28" s="11" t="str">
        <f t="shared" si="115"/>
        <v/>
      </c>
      <c r="NZ28" s="11" t="str">
        <f t="shared" si="116"/>
        <v/>
      </c>
      <c r="OA28" s="11" t="str">
        <f t="shared" si="117"/>
        <v/>
      </c>
      <c r="OB28" s="11" t="str">
        <f t="shared" si="118"/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 t="shared" si="119"/>
        <v/>
      </c>
      <c r="OX28" s="40" t="str">
        <f t="shared" si="120"/>
        <v/>
      </c>
      <c r="OY28" s="40" t="str">
        <f t="shared" si="121"/>
        <v/>
      </c>
      <c r="OZ28" s="40" t="str">
        <f t="shared" si="122"/>
        <v/>
      </c>
      <c r="PA28" s="40" t="str">
        <f t="shared" si="123"/>
        <v/>
      </c>
      <c r="PB28" s="40" t="str">
        <f t="shared" si="124"/>
        <v/>
      </c>
      <c r="PC28" s="40" t="str">
        <f t="shared" si="125"/>
        <v/>
      </c>
      <c r="PD28" s="40" t="str">
        <f t="shared" si="126"/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 t="shared" si="127"/>
        <v/>
      </c>
      <c r="PZ28" s="11" t="str">
        <f t="shared" si="128"/>
        <v/>
      </c>
      <c r="QA28" s="11" t="str">
        <f t="shared" si="129"/>
        <v/>
      </c>
      <c r="QB28" s="11" t="str">
        <f t="shared" si="130"/>
        <v/>
      </c>
      <c r="QC28" s="11" t="str">
        <f t="shared" si="131"/>
        <v/>
      </c>
      <c r="QD28" s="11" t="str">
        <f t="shared" si="132"/>
        <v/>
      </c>
      <c r="QE28" s="11" t="str">
        <f t="shared" si="133"/>
        <v/>
      </c>
      <c r="QF28" s="11" t="str">
        <f t="shared" si="134"/>
        <v/>
      </c>
      <c r="QG28" s="22">
        <f t="shared" si="135"/>
        <v>18.25</v>
      </c>
      <c r="QH28" s="22">
        <f t="shared" si="136"/>
        <v>5.6</v>
      </c>
      <c r="QI28" s="22">
        <f t="shared" si="137"/>
        <v>0.6</v>
      </c>
      <c r="QJ28" s="22">
        <f t="shared" si="138"/>
        <v>0</v>
      </c>
      <c r="QK28" s="22">
        <f t="shared" si="139"/>
        <v>18.100000000000001</v>
      </c>
      <c r="QL28" s="22">
        <f t="shared" si="140"/>
        <v>4</v>
      </c>
      <c r="QM28" s="22">
        <f t="shared" si="141"/>
        <v>1.05</v>
      </c>
      <c r="QN28" s="22">
        <f t="shared" si="142"/>
        <v>0</v>
      </c>
      <c r="QO28" s="22">
        <f t="shared" si="143"/>
        <v>18.25</v>
      </c>
      <c r="QP28" s="22">
        <f t="shared" si="144"/>
        <v>3.8</v>
      </c>
      <c r="QQ28" s="22">
        <f t="shared" si="145"/>
        <v>0.5</v>
      </c>
      <c r="QR28" s="22">
        <f t="shared" si="146"/>
        <v>0</v>
      </c>
      <c r="QS28" s="22">
        <f t="shared" si="147"/>
        <v>18.549999999999997</v>
      </c>
      <c r="QT28" s="22">
        <f t="shared" si="148"/>
        <v>5.4</v>
      </c>
      <c r="QU28" s="22">
        <f t="shared" si="149"/>
        <v>0.4</v>
      </c>
      <c r="QV28" s="22">
        <f t="shared" si="150"/>
        <v>0</v>
      </c>
      <c r="QW28" s="22">
        <f t="shared" si="151"/>
        <v>18.25</v>
      </c>
      <c r="QX28" s="22">
        <f t="shared" si="152"/>
        <v>5.6</v>
      </c>
      <c r="QY28" s="22">
        <f t="shared" si="153"/>
        <v>0.2</v>
      </c>
      <c r="QZ28" s="22">
        <f t="shared" si="154"/>
        <v>0</v>
      </c>
      <c r="RA28" s="27" t="s">
        <v>46</v>
      </c>
      <c r="RB28" s="40">
        <f t="shared" si="155"/>
        <v>9.6</v>
      </c>
      <c r="RC28" s="40">
        <f t="shared" si="156"/>
        <v>44.300000000000004</v>
      </c>
      <c r="RD28" s="40">
        <f t="shared" si="157"/>
        <v>21.55</v>
      </c>
      <c r="RE28" s="40">
        <f t="shared" si="158"/>
        <v>13.399999999999999</v>
      </c>
      <c r="RF28" s="40">
        <f t="shared" si="159"/>
        <v>65.850000000000009</v>
      </c>
      <c r="RG28" s="40">
        <f t="shared" si="160"/>
        <v>11</v>
      </c>
      <c r="RH28" s="40">
        <f t="shared" si="161"/>
        <v>47.199999999999996</v>
      </c>
      <c r="RI28" s="40">
        <f t="shared" si="162"/>
        <v>113.05000000000001</v>
      </c>
    </row>
    <row r="29" spans="1:477" x14ac:dyDescent="0.2">
      <c r="A29" s="4" t="str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/>
      </c>
      <c r="B29" s="4" t="str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/>
      </c>
      <c r="C29" s="5" t="s">
        <v>157</v>
      </c>
      <c r="D29" s="4" t="s">
        <v>5</v>
      </c>
      <c r="E29" s="4">
        <v>2005</v>
      </c>
      <c r="F29" s="9">
        <f t="shared" si="163"/>
        <v>155.30001101000457</v>
      </c>
      <c r="G29" s="66"/>
      <c r="H29" s="3" t="str">
        <f t="shared" si="0"/>
        <v/>
      </c>
      <c r="I29" s="3" t="str">
        <f t="shared" si="1"/>
        <v/>
      </c>
      <c r="J29" s="36" t="str">
        <f t="shared" si="2"/>
        <v/>
      </c>
      <c r="K29" s="3" t="str">
        <f t="shared" si="3"/>
        <v/>
      </c>
      <c r="L29" s="8">
        <f>IF(COUNT(AS29,BV29,CY29)&gt;0,LARGE((AS29,BV29,CY29),1),0)</f>
        <v>45.600000000000009</v>
      </c>
      <c r="M29" s="8" t="str">
        <f t="shared" si="4"/>
        <v>2023 Elite Canada</v>
      </c>
      <c r="N29" s="8">
        <f>IF(COUNT(AS29,BV29,CY29)&gt;1,LARGE((AS29,BV29,CY29),2),0)</f>
        <v>43</v>
      </c>
      <c r="O29" s="8" t="str">
        <f t="shared" si="5"/>
        <v>2023 Nationals</v>
      </c>
      <c r="P29" s="8">
        <f>IF(COUNT(AT29,BW29,CZ29)&gt;0,LARGE((AT29,BW29,CZ29),1),0)</f>
        <v>21.499999999999996</v>
      </c>
      <c r="Q29" s="8" t="str">
        <f t="shared" si="6"/>
        <v>2023 Elite Canada</v>
      </c>
      <c r="R29" s="8">
        <f t="shared" si="7"/>
        <v>45.2</v>
      </c>
      <c r="S29" s="8" t="str">
        <f t="shared" si="8"/>
        <v>2023 Elite Canada</v>
      </c>
      <c r="T29" s="8" t="str">
        <f t="shared" si="9"/>
        <v/>
      </c>
      <c r="U29" s="11" t="str">
        <f t="shared" si="10"/>
        <v/>
      </c>
      <c r="V29" s="8" t="str">
        <f t="shared" si="11"/>
        <v/>
      </c>
      <c r="W29" s="19">
        <v>18</v>
      </c>
      <c r="X29" s="19">
        <v>5.2</v>
      </c>
      <c r="Y29" s="19">
        <v>0.8</v>
      </c>
      <c r="Z29" s="19">
        <v>0</v>
      </c>
      <c r="AA29" s="19">
        <v>18</v>
      </c>
      <c r="AB29" s="19">
        <v>5.2</v>
      </c>
      <c r="AC29" s="19">
        <v>0</v>
      </c>
      <c r="AD29" s="19">
        <v>0</v>
      </c>
      <c r="AE29" s="19">
        <v>18.2</v>
      </c>
      <c r="AF29" s="19">
        <v>3.9</v>
      </c>
      <c r="AG29" s="19">
        <v>0.6</v>
      </c>
      <c r="AH29" s="19">
        <v>0</v>
      </c>
      <c r="AI29" s="19">
        <v>18</v>
      </c>
      <c r="AJ29" s="19">
        <v>5.2</v>
      </c>
      <c r="AK29" s="19">
        <v>0.6</v>
      </c>
      <c r="AL29" s="19">
        <v>0</v>
      </c>
      <c r="AM29" s="19">
        <v>18.2</v>
      </c>
      <c r="AN29" s="19">
        <v>5.2</v>
      </c>
      <c r="AO29" s="19">
        <v>0.8</v>
      </c>
      <c r="AP29" s="19">
        <v>0</v>
      </c>
      <c r="AQ29" s="27"/>
      <c r="AR29" s="40">
        <f t="shared" si="12"/>
        <v>10.4</v>
      </c>
      <c r="AS29" s="40">
        <f t="shared" si="13"/>
        <v>45.600000000000009</v>
      </c>
      <c r="AT29" s="40">
        <f t="shared" si="14"/>
        <v>21.499999999999996</v>
      </c>
      <c r="AU29" s="40">
        <f t="shared" si="15"/>
        <v>14.3</v>
      </c>
      <c r="AV29" s="40">
        <f t="shared" si="16"/>
        <v>67.100000000000009</v>
      </c>
      <c r="AW29" s="40">
        <f t="shared" si="17"/>
        <v>10.4</v>
      </c>
      <c r="AX29" s="40">
        <f t="shared" si="18"/>
        <v>45.2</v>
      </c>
      <c r="AY29" s="40">
        <f t="shared" si="19"/>
        <v>112.30000000000001</v>
      </c>
      <c r="AZ29" s="18">
        <v>17.600000000000001</v>
      </c>
      <c r="BA29" s="18">
        <v>2.4</v>
      </c>
      <c r="BB29" s="18">
        <v>0</v>
      </c>
      <c r="BC29" s="18">
        <v>0</v>
      </c>
      <c r="BD29" s="18">
        <v>18.399999999999999</v>
      </c>
      <c r="BE29" s="18">
        <v>5.2</v>
      </c>
      <c r="BF29" s="18">
        <v>0.6</v>
      </c>
      <c r="BG29" s="18">
        <v>0</v>
      </c>
      <c r="BH29" s="18">
        <v>16.3</v>
      </c>
      <c r="BI29" s="18">
        <v>4.4000000000000004</v>
      </c>
      <c r="BJ29" s="18">
        <v>1</v>
      </c>
      <c r="BK29" s="18">
        <v>0</v>
      </c>
      <c r="BL29" s="18"/>
      <c r="BM29" s="18"/>
      <c r="BN29" s="18"/>
      <c r="BO29" s="18"/>
      <c r="BP29" s="18"/>
      <c r="BQ29" s="18"/>
      <c r="BR29" s="18"/>
      <c r="BS29" s="18"/>
      <c r="BT29" s="28"/>
      <c r="BU29" s="11">
        <f t="shared" si="20"/>
        <v>7.6</v>
      </c>
      <c r="BV29" s="11">
        <f t="shared" si="21"/>
        <v>43</v>
      </c>
      <c r="BW29" s="11">
        <f t="shared" si="22"/>
        <v>19.700000000000003</v>
      </c>
      <c r="BX29" s="11">
        <f t="shared" si="23"/>
        <v>12</v>
      </c>
      <c r="BY29" s="11">
        <f t="shared" si="24"/>
        <v>62.7</v>
      </c>
      <c r="BZ29" s="11" t="str">
        <f t="shared" si="25"/>
        <v/>
      </c>
      <c r="CA29" s="11" t="str">
        <f t="shared" si="26"/>
        <v/>
      </c>
      <c r="CB29" s="11">
        <f t="shared" si="27"/>
        <v>62.7</v>
      </c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27"/>
      <c r="CX29" s="40" t="str">
        <f t="shared" si="28"/>
        <v/>
      </c>
      <c r="CY29" s="40" t="str">
        <f t="shared" si="29"/>
        <v/>
      </c>
      <c r="CZ29" s="40" t="str">
        <f t="shared" si="30"/>
        <v/>
      </c>
      <c r="DA29" s="40" t="str">
        <f t="shared" si="31"/>
        <v/>
      </c>
      <c r="DB29" s="40" t="str">
        <f t="shared" si="32"/>
        <v/>
      </c>
      <c r="DC29" s="40" t="str">
        <f t="shared" si="33"/>
        <v/>
      </c>
      <c r="DD29" s="40" t="str">
        <f t="shared" si="34"/>
        <v/>
      </c>
      <c r="DE29" s="40" t="str">
        <f t="shared" si="35"/>
        <v/>
      </c>
      <c r="DF29" s="50" t="str">
        <f t="shared" si="36"/>
        <v/>
      </c>
      <c r="DG29" s="50" t="str">
        <f t="shared" si="37"/>
        <v/>
      </c>
      <c r="DH29" s="50" t="str">
        <f t="shared" si="38"/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 t="shared" si="39"/>
        <v/>
      </c>
      <c r="ED29" s="40" t="str">
        <f t="shared" si="40"/>
        <v/>
      </c>
      <c r="EE29" s="40" t="str">
        <f t="shared" si="41"/>
        <v/>
      </c>
      <c r="EF29" s="40" t="str">
        <f t="shared" si="42"/>
        <v/>
      </c>
      <c r="EG29" s="40" t="str">
        <f t="shared" si="43"/>
        <v/>
      </c>
      <c r="EH29" s="40" t="str">
        <f t="shared" si="44"/>
        <v/>
      </c>
      <c r="EI29" s="40" t="str">
        <f t="shared" si="45"/>
        <v/>
      </c>
      <c r="EJ29" s="40" t="str">
        <f t="shared" si="46"/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 t="shared" si="47"/>
        <v/>
      </c>
      <c r="FF29" s="11" t="str">
        <f t="shared" si="48"/>
        <v/>
      </c>
      <c r="FG29" s="11" t="str">
        <f t="shared" si="49"/>
        <v/>
      </c>
      <c r="FH29" s="11" t="str">
        <f t="shared" si="50"/>
        <v/>
      </c>
      <c r="FI29" s="11" t="str">
        <f t="shared" si="51"/>
        <v/>
      </c>
      <c r="FJ29" s="11" t="str">
        <f t="shared" si="52"/>
        <v/>
      </c>
      <c r="FK29" s="11" t="str">
        <f t="shared" si="53"/>
        <v/>
      </c>
      <c r="FL29" s="11" t="str">
        <f t="shared" si="54"/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 t="shared" si="55"/>
        <v/>
      </c>
      <c r="GH29" s="40" t="str">
        <f t="shared" si="56"/>
        <v/>
      </c>
      <c r="GI29" s="40" t="str">
        <f t="shared" si="57"/>
        <v/>
      </c>
      <c r="GJ29" s="40" t="str">
        <f t="shared" si="58"/>
        <v/>
      </c>
      <c r="GK29" s="40" t="str">
        <f t="shared" si="59"/>
        <v/>
      </c>
      <c r="GL29" s="40" t="str">
        <f t="shared" si="60"/>
        <v/>
      </c>
      <c r="GM29" s="40" t="str">
        <f t="shared" si="61"/>
        <v/>
      </c>
      <c r="GN29" s="40" t="str">
        <f t="shared" si="62"/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 t="shared" si="63"/>
        <v/>
      </c>
      <c r="HJ29" s="11" t="str">
        <f t="shared" si="64"/>
        <v/>
      </c>
      <c r="HK29" s="11" t="str">
        <f t="shared" si="65"/>
        <v/>
      </c>
      <c r="HL29" s="11" t="str">
        <f t="shared" si="66"/>
        <v/>
      </c>
      <c r="HM29" s="11" t="str">
        <f t="shared" si="67"/>
        <v/>
      </c>
      <c r="HN29" s="11" t="str">
        <f t="shared" si="68"/>
        <v/>
      </c>
      <c r="HO29" s="11" t="str">
        <f t="shared" si="69"/>
        <v/>
      </c>
      <c r="HP29" s="11" t="str">
        <f t="shared" si="70"/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 t="shared" si="71"/>
        <v/>
      </c>
      <c r="IL29" s="40" t="str">
        <f t="shared" si="72"/>
        <v/>
      </c>
      <c r="IM29" s="40" t="str">
        <f t="shared" si="73"/>
        <v/>
      </c>
      <c r="IN29" s="40" t="str">
        <f t="shared" si="74"/>
        <v/>
      </c>
      <c r="IO29" s="40" t="str">
        <f t="shared" si="75"/>
        <v/>
      </c>
      <c r="IP29" s="40" t="str">
        <f t="shared" si="76"/>
        <v/>
      </c>
      <c r="IQ29" s="40" t="str">
        <f t="shared" si="77"/>
        <v/>
      </c>
      <c r="IR29" s="40" t="str">
        <f t="shared" si="78"/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 t="shared" si="79"/>
        <v/>
      </c>
      <c r="JN29" s="11" t="str">
        <f t="shared" si="80"/>
        <v/>
      </c>
      <c r="JO29" s="11" t="str">
        <f t="shared" si="81"/>
        <v/>
      </c>
      <c r="JP29" s="11" t="str">
        <f t="shared" si="82"/>
        <v/>
      </c>
      <c r="JQ29" s="11" t="str">
        <f t="shared" si="83"/>
        <v/>
      </c>
      <c r="JR29" s="11" t="str">
        <f t="shared" si="84"/>
        <v/>
      </c>
      <c r="JS29" s="11" t="str">
        <f t="shared" si="85"/>
        <v/>
      </c>
      <c r="JT29" s="11" t="str">
        <f t="shared" si="86"/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 t="shared" si="87"/>
        <v/>
      </c>
      <c r="KP29" s="40" t="str">
        <f t="shared" si="88"/>
        <v/>
      </c>
      <c r="KQ29" s="40" t="str">
        <f t="shared" si="89"/>
        <v/>
      </c>
      <c r="KR29" s="40" t="str">
        <f t="shared" si="90"/>
        <v/>
      </c>
      <c r="KS29" s="40" t="str">
        <f t="shared" si="91"/>
        <v/>
      </c>
      <c r="KT29" s="40" t="str">
        <f t="shared" si="92"/>
        <v/>
      </c>
      <c r="KU29" s="40" t="str">
        <f t="shared" si="93"/>
        <v/>
      </c>
      <c r="KV29" s="40" t="str">
        <f t="shared" si="94"/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 t="shared" si="95"/>
        <v/>
      </c>
      <c r="LR29" s="11" t="str">
        <f t="shared" si="96"/>
        <v/>
      </c>
      <c r="LS29" s="11" t="str">
        <f t="shared" si="97"/>
        <v/>
      </c>
      <c r="LT29" s="11" t="str">
        <f t="shared" si="98"/>
        <v/>
      </c>
      <c r="LU29" s="11" t="str">
        <f t="shared" si="99"/>
        <v/>
      </c>
      <c r="LV29" s="11" t="str">
        <f t="shared" si="100"/>
        <v/>
      </c>
      <c r="LW29" s="11" t="str">
        <f t="shared" si="101"/>
        <v/>
      </c>
      <c r="LX29" s="11" t="str">
        <f t="shared" si="102"/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 t="shared" si="103"/>
        <v/>
      </c>
      <c r="MT29" s="40" t="str">
        <f t="shared" si="104"/>
        <v/>
      </c>
      <c r="MU29" s="40" t="str">
        <f t="shared" si="105"/>
        <v/>
      </c>
      <c r="MV29" s="40" t="str">
        <f t="shared" si="106"/>
        <v/>
      </c>
      <c r="MW29" s="40" t="str">
        <f t="shared" si="107"/>
        <v/>
      </c>
      <c r="MX29" s="40" t="str">
        <f t="shared" si="108"/>
        <v/>
      </c>
      <c r="MY29" s="40" t="str">
        <f t="shared" si="109"/>
        <v/>
      </c>
      <c r="MZ29" s="40" t="str">
        <f t="shared" si="110"/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 t="shared" si="111"/>
        <v/>
      </c>
      <c r="NV29" s="11" t="str">
        <f t="shared" si="112"/>
        <v/>
      </c>
      <c r="NW29" s="11" t="str">
        <f t="shared" si="113"/>
        <v/>
      </c>
      <c r="NX29" s="11" t="str">
        <f t="shared" si="114"/>
        <v/>
      </c>
      <c r="NY29" s="11" t="str">
        <f t="shared" si="115"/>
        <v/>
      </c>
      <c r="NZ29" s="11" t="str">
        <f t="shared" si="116"/>
        <v/>
      </c>
      <c r="OA29" s="11" t="str">
        <f t="shared" si="117"/>
        <v/>
      </c>
      <c r="OB29" s="11" t="str">
        <f t="shared" si="118"/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 t="shared" si="119"/>
        <v/>
      </c>
      <c r="OX29" s="40" t="str">
        <f t="shared" si="120"/>
        <v/>
      </c>
      <c r="OY29" s="40" t="str">
        <f t="shared" si="121"/>
        <v/>
      </c>
      <c r="OZ29" s="40" t="str">
        <f t="shared" si="122"/>
        <v/>
      </c>
      <c r="PA29" s="40" t="str">
        <f t="shared" si="123"/>
        <v/>
      </c>
      <c r="PB29" s="40" t="str">
        <f t="shared" si="124"/>
        <v/>
      </c>
      <c r="PC29" s="40" t="str">
        <f t="shared" si="125"/>
        <v/>
      </c>
      <c r="PD29" s="40" t="str">
        <f t="shared" si="126"/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 t="shared" si="127"/>
        <v/>
      </c>
      <c r="PZ29" s="11" t="str">
        <f t="shared" si="128"/>
        <v/>
      </c>
      <c r="QA29" s="11" t="str">
        <f t="shared" si="129"/>
        <v/>
      </c>
      <c r="QB29" s="11" t="str">
        <f t="shared" si="130"/>
        <v/>
      </c>
      <c r="QC29" s="11" t="str">
        <f t="shared" si="131"/>
        <v/>
      </c>
      <c r="QD29" s="11" t="str">
        <f t="shared" si="132"/>
        <v/>
      </c>
      <c r="QE29" s="11" t="str">
        <f t="shared" si="133"/>
        <v/>
      </c>
      <c r="QF29" s="11" t="str">
        <f t="shared" si="134"/>
        <v/>
      </c>
      <c r="QG29" s="22">
        <f t="shared" si="135"/>
        <v>8.8000000000000007</v>
      </c>
      <c r="QH29" s="22">
        <f t="shared" si="136"/>
        <v>1.2</v>
      </c>
      <c r="QI29" s="22">
        <f t="shared" si="137"/>
        <v>0</v>
      </c>
      <c r="QJ29" s="22">
        <f t="shared" si="138"/>
        <v>0</v>
      </c>
      <c r="QK29" s="22">
        <f t="shared" si="139"/>
        <v>9.1999999999999993</v>
      </c>
      <c r="QL29" s="22">
        <f t="shared" si="140"/>
        <v>2.6</v>
      </c>
      <c r="QM29" s="22">
        <f t="shared" si="141"/>
        <v>0.3</v>
      </c>
      <c r="QN29" s="22">
        <f t="shared" si="142"/>
        <v>0</v>
      </c>
      <c r="QO29" s="22">
        <f t="shared" si="143"/>
        <v>8.15</v>
      </c>
      <c r="QP29" s="22">
        <f t="shared" si="144"/>
        <v>2.2000000000000002</v>
      </c>
      <c r="QQ29" s="22">
        <f t="shared" si="145"/>
        <v>0.5</v>
      </c>
      <c r="QR29" s="22">
        <f t="shared" si="146"/>
        <v>0</v>
      </c>
      <c r="QS29" s="22">
        <f t="shared" si="147"/>
        <v>0</v>
      </c>
      <c r="QT29" s="22">
        <f t="shared" si="148"/>
        <v>0</v>
      </c>
      <c r="QU29" s="22">
        <f t="shared" si="149"/>
        <v>0</v>
      </c>
      <c r="QV29" s="22">
        <f t="shared" si="150"/>
        <v>0</v>
      </c>
      <c r="QW29" s="22">
        <f t="shared" si="151"/>
        <v>0</v>
      </c>
      <c r="QX29" s="22">
        <f t="shared" si="152"/>
        <v>0</v>
      </c>
      <c r="QY29" s="22">
        <f t="shared" si="153"/>
        <v>0</v>
      </c>
      <c r="QZ29" s="22">
        <f t="shared" si="154"/>
        <v>0</v>
      </c>
      <c r="RA29" s="27" t="s">
        <v>46</v>
      </c>
      <c r="RB29" s="40">
        <f t="shared" si="155"/>
        <v>3.8</v>
      </c>
      <c r="RC29" s="40">
        <f t="shared" si="156"/>
        <v>21.5</v>
      </c>
      <c r="RD29" s="40">
        <f t="shared" si="157"/>
        <v>9.8500000000000014</v>
      </c>
      <c r="RE29" s="40">
        <f t="shared" si="158"/>
        <v>6</v>
      </c>
      <c r="RF29" s="40">
        <f t="shared" si="159"/>
        <v>31.35</v>
      </c>
      <c r="RG29" s="40" t="str">
        <f t="shared" si="160"/>
        <v/>
      </c>
      <c r="RH29" s="40" t="str">
        <f t="shared" si="161"/>
        <v/>
      </c>
      <c r="RI29" s="40">
        <f t="shared" si="162"/>
        <v>31.35</v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226</v>
      </c>
      <c r="D30" s="4" t="s">
        <v>3</v>
      </c>
      <c r="E30" s="4">
        <v>2008</v>
      </c>
      <c r="F30" s="9">
        <f t="shared" si="163"/>
        <v>116.90000701000471</v>
      </c>
      <c r="G30" s="66"/>
      <c r="H30" s="3" t="str">
        <f t="shared" si="0"/>
        <v/>
      </c>
      <c r="I30" s="3" t="str">
        <f t="shared" si="1"/>
        <v/>
      </c>
      <c r="J30" s="36" t="str">
        <f t="shared" si="2"/>
        <v/>
      </c>
      <c r="K30" s="3" t="str">
        <f t="shared" si="3"/>
        <v/>
      </c>
      <c r="L30" s="8">
        <f>IF(COUNT(AS30,BV30,CY30)&gt;0,LARGE((AS30,BV30,CY30),1),0)</f>
        <v>47.099999999999994</v>
      </c>
      <c r="M30" s="8" t="str">
        <f t="shared" si="4"/>
        <v>2023 3rd Domestic Trial</v>
      </c>
      <c r="N30" s="8">
        <f>IF(COUNT(AS30,BV30,CY30)&gt;1,LARGE((AS30,BV30,CY30),2),0)</f>
        <v>0</v>
      </c>
      <c r="O30" s="8" t="str">
        <f t="shared" si="5"/>
        <v/>
      </c>
      <c r="P30" s="8">
        <f>IF(COUNT(AT30,BW30,CZ30)&gt;0,LARGE((AT30,BW30,CZ30),1),0)</f>
        <v>23</v>
      </c>
      <c r="Q30" s="8" t="str">
        <f t="shared" si="6"/>
        <v>2023 3rd Domestic Trial</v>
      </c>
      <c r="R30" s="8">
        <f t="shared" si="7"/>
        <v>46.800000000000004</v>
      </c>
      <c r="S30" s="8" t="str">
        <f t="shared" si="8"/>
        <v>2023 3rd Domestic Trial</v>
      </c>
      <c r="T30" s="8" t="str">
        <f t="shared" si="9"/>
        <v/>
      </c>
      <c r="U30" s="11" t="str">
        <f t="shared" si="10"/>
        <v/>
      </c>
      <c r="V30" s="8" t="str">
        <f t="shared" si="11"/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 t="shared" si="12"/>
        <v/>
      </c>
      <c r="AS30" s="40" t="str">
        <f t="shared" si="13"/>
        <v/>
      </c>
      <c r="AT30" s="40" t="str">
        <f t="shared" si="14"/>
        <v/>
      </c>
      <c r="AU30" s="40" t="str">
        <f t="shared" si="15"/>
        <v/>
      </c>
      <c r="AV30" s="40" t="str">
        <f t="shared" si="16"/>
        <v/>
      </c>
      <c r="AW30" s="40" t="str">
        <f t="shared" si="17"/>
        <v/>
      </c>
      <c r="AX30" s="40" t="str">
        <f t="shared" si="18"/>
        <v/>
      </c>
      <c r="AY30" s="40" t="str">
        <f t="shared" si="19"/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 t="shared" si="20"/>
        <v/>
      </c>
      <c r="BV30" s="11" t="str">
        <f t="shared" si="21"/>
        <v/>
      </c>
      <c r="BW30" s="11" t="str">
        <f t="shared" si="22"/>
        <v/>
      </c>
      <c r="BX30" s="11" t="str">
        <f t="shared" si="23"/>
        <v/>
      </c>
      <c r="BY30" s="11" t="str">
        <f t="shared" si="24"/>
        <v/>
      </c>
      <c r="BZ30" s="11" t="str">
        <f t="shared" si="25"/>
        <v/>
      </c>
      <c r="CA30" s="11" t="str">
        <f t="shared" si="26"/>
        <v/>
      </c>
      <c r="CB30" s="11" t="str">
        <f t="shared" si="27"/>
        <v/>
      </c>
      <c r="CC30" s="19">
        <v>18.2</v>
      </c>
      <c r="CD30" s="19">
        <v>5.1999999999999993</v>
      </c>
      <c r="CE30" s="19">
        <v>0</v>
      </c>
      <c r="CF30" s="19">
        <v>0</v>
      </c>
      <c r="CG30" s="19">
        <v>18.5</v>
      </c>
      <c r="CH30" s="19">
        <v>5.1999999999999993</v>
      </c>
      <c r="CI30" s="19">
        <v>0</v>
      </c>
      <c r="CJ30" s="19">
        <v>0</v>
      </c>
      <c r="CK30" s="19">
        <v>19</v>
      </c>
      <c r="CL30" s="19">
        <v>4</v>
      </c>
      <c r="CM30" s="19">
        <v>0</v>
      </c>
      <c r="CN30" s="19">
        <v>0</v>
      </c>
      <c r="CO30" s="19">
        <v>18.8</v>
      </c>
      <c r="CP30" s="19">
        <v>5.1999999999999993</v>
      </c>
      <c r="CQ30" s="19">
        <v>0</v>
      </c>
      <c r="CR30" s="19">
        <v>0</v>
      </c>
      <c r="CS30" s="19">
        <v>18.2</v>
      </c>
      <c r="CT30" s="19">
        <v>5.1999999999999993</v>
      </c>
      <c r="CU30" s="19">
        <v>0.6</v>
      </c>
      <c r="CV30" s="19">
        <v>0</v>
      </c>
      <c r="CW30" s="27"/>
      <c r="CX30" s="40">
        <f t="shared" si="28"/>
        <v>10.399999999999999</v>
      </c>
      <c r="CY30" s="40">
        <f t="shared" si="29"/>
        <v>47.099999999999994</v>
      </c>
      <c r="CZ30" s="40">
        <f t="shared" si="30"/>
        <v>23</v>
      </c>
      <c r="DA30" s="40">
        <f t="shared" si="31"/>
        <v>14.399999999999999</v>
      </c>
      <c r="DB30" s="40">
        <f t="shared" si="32"/>
        <v>70.099999999999994</v>
      </c>
      <c r="DC30" s="40">
        <f t="shared" si="33"/>
        <v>10.399999999999999</v>
      </c>
      <c r="DD30" s="40">
        <f t="shared" si="34"/>
        <v>46.800000000000004</v>
      </c>
      <c r="DE30" s="40">
        <f t="shared" si="35"/>
        <v>116.9</v>
      </c>
      <c r="DF30" s="50" t="str">
        <f t="shared" si="36"/>
        <v/>
      </c>
      <c r="DG30" s="50" t="str">
        <f t="shared" si="37"/>
        <v/>
      </c>
      <c r="DH30" s="50" t="str">
        <f t="shared" si="38"/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 t="shared" si="39"/>
        <v/>
      </c>
      <c r="ED30" s="40" t="str">
        <f t="shared" si="40"/>
        <v/>
      </c>
      <c r="EE30" s="40" t="str">
        <f t="shared" si="41"/>
        <v/>
      </c>
      <c r="EF30" s="40" t="str">
        <f t="shared" si="42"/>
        <v/>
      </c>
      <c r="EG30" s="40" t="str">
        <f t="shared" si="43"/>
        <v/>
      </c>
      <c r="EH30" s="40" t="str">
        <f t="shared" si="44"/>
        <v/>
      </c>
      <c r="EI30" s="40" t="str">
        <f t="shared" si="45"/>
        <v/>
      </c>
      <c r="EJ30" s="40" t="str">
        <f t="shared" si="46"/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 t="shared" si="47"/>
        <v/>
      </c>
      <c r="FF30" s="11" t="str">
        <f t="shared" si="48"/>
        <v/>
      </c>
      <c r="FG30" s="11" t="str">
        <f t="shared" si="49"/>
        <v/>
      </c>
      <c r="FH30" s="11" t="str">
        <f t="shared" si="50"/>
        <v/>
      </c>
      <c r="FI30" s="11" t="str">
        <f t="shared" si="51"/>
        <v/>
      </c>
      <c r="FJ30" s="11" t="str">
        <f t="shared" si="52"/>
        <v/>
      </c>
      <c r="FK30" s="11" t="str">
        <f t="shared" si="53"/>
        <v/>
      </c>
      <c r="FL30" s="11" t="str">
        <f t="shared" si="54"/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 t="shared" si="55"/>
        <v/>
      </c>
      <c r="GH30" s="40" t="str">
        <f t="shared" si="56"/>
        <v/>
      </c>
      <c r="GI30" s="40" t="str">
        <f t="shared" si="57"/>
        <v/>
      </c>
      <c r="GJ30" s="40" t="str">
        <f t="shared" si="58"/>
        <v/>
      </c>
      <c r="GK30" s="40" t="str">
        <f t="shared" si="59"/>
        <v/>
      </c>
      <c r="GL30" s="40" t="str">
        <f t="shared" si="60"/>
        <v/>
      </c>
      <c r="GM30" s="40" t="str">
        <f t="shared" si="61"/>
        <v/>
      </c>
      <c r="GN30" s="40" t="str">
        <f t="shared" si="62"/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 t="shared" si="63"/>
        <v/>
      </c>
      <c r="HJ30" s="11" t="str">
        <f t="shared" si="64"/>
        <v/>
      </c>
      <c r="HK30" s="11" t="str">
        <f t="shared" si="65"/>
        <v/>
      </c>
      <c r="HL30" s="11" t="str">
        <f t="shared" si="66"/>
        <v/>
      </c>
      <c r="HM30" s="11" t="str">
        <f t="shared" si="67"/>
        <v/>
      </c>
      <c r="HN30" s="11" t="str">
        <f t="shared" si="68"/>
        <v/>
      </c>
      <c r="HO30" s="11" t="str">
        <f t="shared" si="69"/>
        <v/>
      </c>
      <c r="HP30" s="11" t="str">
        <f t="shared" si="70"/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 t="shared" si="71"/>
        <v/>
      </c>
      <c r="IL30" s="40" t="str">
        <f t="shared" si="72"/>
        <v/>
      </c>
      <c r="IM30" s="40" t="str">
        <f t="shared" si="73"/>
        <v/>
      </c>
      <c r="IN30" s="40" t="str">
        <f t="shared" si="74"/>
        <v/>
      </c>
      <c r="IO30" s="40" t="str">
        <f t="shared" si="75"/>
        <v/>
      </c>
      <c r="IP30" s="40" t="str">
        <f t="shared" si="76"/>
        <v/>
      </c>
      <c r="IQ30" s="40" t="str">
        <f t="shared" si="77"/>
        <v/>
      </c>
      <c r="IR30" s="40" t="str">
        <f t="shared" si="78"/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 t="shared" si="79"/>
        <v/>
      </c>
      <c r="JN30" s="11" t="str">
        <f t="shared" si="80"/>
        <v/>
      </c>
      <c r="JO30" s="11" t="str">
        <f t="shared" si="81"/>
        <v/>
      </c>
      <c r="JP30" s="11" t="str">
        <f t="shared" si="82"/>
        <v/>
      </c>
      <c r="JQ30" s="11" t="str">
        <f t="shared" si="83"/>
        <v/>
      </c>
      <c r="JR30" s="11" t="str">
        <f t="shared" si="84"/>
        <v/>
      </c>
      <c r="JS30" s="11" t="str">
        <f t="shared" si="85"/>
        <v/>
      </c>
      <c r="JT30" s="11" t="str">
        <f t="shared" si="86"/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 t="shared" si="87"/>
        <v/>
      </c>
      <c r="KP30" s="40" t="str">
        <f t="shared" si="88"/>
        <v/>
      </c>
      <c r="KQ30" s="40" t="str">
        <f t="shared" si="89"/>
        <v/>
      </c>
      <c r="KR30" s="40" t="str">
        <f t="shared" si="90"/>
        <v/>
      </c>
      <c r="KS30" s="40" t="str">
        <f t="shared" si="91"/>
        <v/>
      </c>
      <c r="KT30" s="40" t="str">
        <f t="shared" si="92"/>
        <v/>
      </c>
      <c r="KU30" s="40" t="str">
        <f t="shared" si="93"/>
        <v/>
      </c>
      <c r="KV30" s="40" t="str">
        <f t="shared" si="94"/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 t="shared" si="95"/>
        <v/>
      </c>
      <c r="LR30" s="11" t="str">
        <f t="shared" si="96"/>
        <v/>
      </c>
      <c r="LS30" s="11" t="str">
        <f t="shared" si="97"/>
        <v/>
      </c>
      <c r="LT30" s="11" t="str">
        <f t="shared" si="98"/>
        <v/>
      </c>
      <c r="LU30" s="11" t="str">
        <f t="shared" si="99"/>
        <v/>
      </c>
      <c r="LV30" s="11" t="str">
        <f t="shared" si="100"/>
        <v/>
      </c>
      <c r="LW30" s="11" t="str">
        <f t="shared" si="101"/>
        <v/>
      </c>
      <c r="LX30" s="11" t="str">
        <f t="shared" si="102"/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 t="shared" si="103"/>
        <v/>
      </c>
      <c r="MT30" s="40" t="str">
        <f t="shared" si="104"/>
        <v/>
      </c>
      <c r="MU30" s="40" t="str">
        <f t="shared" si="105"/>
        <v/>
      </c>
      <c r="MV30" s="40" t="str">
        <f t="shared" si="106"/>
        <v/>
      </c>
      <c r="MW30" s="40" t="str">
        <f t="shared" si="107"/>
        <v/>
      </c>
      <c r="MX30" s="40" t="str">
        <f t="shared" si="108"/>
        <v/>
      </c>
      <c r="MY30" s="40" t="str">
        <f t="shared" si="109"/>
        <v/>
      </c>
      <c r="MZ30" s="40" t="str">
        <f t="shared" si="110"/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 t="shared" si="111"/>
        <v/>
      </c>
      <c r="NV30" s="11" t="str">
        <f t="shared" si="112"/>
        <v/>
      </c>
      <c r="NW30" s="11" t="str">
        <f t="shared" si="113"/>
        <v/>
      </c>
      <c r="NX30" s="11" t="str">
        <f t="shared" si="114"/>
        <v/>
      </c>
      <c r="NY30" s="11" t="str">
        <f t="shared" si="115"/>
        <v/>
      </c>
      <c r="NZ30" s="11" t="str">
        <f t="shared" si="116"/>
        <v/>
      </c>
      <c r="OA30" s="11" t="str">
        <f t="shared" si="117"/>
        <v/>
      </c>
      <c r="OB30" s="11" t="str">
        <f t="shared" si="118"/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 t="shared" si="119"/>
        <v/>
      </c>
      <c r="OX30" s="40" t="str">
        <f t="shared" si="120"/>
        <v/>
      </c>
      <c r="OY30" s="40" t="str">
        <f t="shared" si="121"/>
        <v/>
      </c>
      <c r="OZ30" s="40" t="str">
        <f t="shared" si="122"/>
        <v/>
      </c>
      <c r="PA30" s="40" t="str">
        <f t="shared" si="123"/>
        <v/>
      </c>
      <c r="PB30" s="40" t="str">
        <f t="shared" si="124"/>
        <v/>
      </c>
      <c r="PC30" s="40" t="str">
        <f t="shared" si="125"/>
        <v/>
      </c>
      <c r="PD30" s="40" t="str">
        <f t="shared" si="126"/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 t="shared" si="127"/>
        <v/>
      </c>
      <c r="PZ30" s="11" t="str">
        <f t="shared" si="128"/>
        <v/>
      </c>
      <c r="QA30" s="11" t="str">
        <f t="shared" si="129"/>
        <v/>
      </c>
      <c r="QB30" s="11" t="str">
        <f t="shared" si="130"/>
        <v/>
      </c>
      <c r="QC30" s="11" t="str">
        <f t="shared" si="131"/>
        <v/>
      </c>
      <c r="QD30" s="11" t="str">
        <f t="shared" si="132"/>
        <v/>
      </c>
      <c r="QE30" s="11" t="str">
        <f t="shared" si="133"/>
        <v/>
      </c>
      <c r="QF30" s="11" t="str">
        <f t="shared" si="134"/>
        <v/>
      </c>
      <c r="QG30" s="22">
        <f t="shared" si="135"/>
        <v>9.1</v>
      </c>
      <c r="QH30" s="22">
        <f t="shared" si="136"/>
        <v>2.5999999999999996</v>
      </c>
      <c r="QI30" s="22">
        <f t="shared" si="137"/>
        <v>0</v>
      </c>
      <c r="QJ30" s="22">
        <f t="shared" si="138"/>
        <v>0</v>
      </c>
      <c r="QK30" s="22">
        <f t="shared" si="139"/>
        <v>9.25</v>
      </c>
      <c r="QL30" s="22">
        <f t="shared" si="140"/>
        <v>2.5999999999999996</v>
      </c>
      <c r="QM30" s="22">
        <f t="shared" si="141"/>
        <v>0</v>
      </c>
      <c r="QN30" s="22">
        <f t="shared" si="142"/>
        <v>0</v>
      </c>
      <c r="QO30" s="22">
        <f t="shared" si="143"/>
        <v>9.5</v>
      </c>
      <c r="QP30" s="22">
        <f t="shared" si="144"/>
        <v>2</v>
      </c>
      <c r="QQ30" s="22">
        <f t="shared" si="145"/>
        <v>0</v>
      </c>
      <c r="QR30" s="22">
        <f t="shared" si="146"/>
        <v>0</v>
      </c>
      <c r="QS30" s="22">
        <f t="shared" si="147"/>
        <v>9.4</v>
      </c>
      <c r="QT30" s="22">
        <f t="shared" si="148"/>
        <v>2.5999999999999996</v>
      </c>
      <c r="QU30" s="22">
        <f t="shared" si="149"/>
        <v>0</v>
      </c>
      <c r="QV30" s="22">
        <f t="shared" si="150"/>
        <v>0</v>
      </c>
      <c r="QW30" s="22">
        <f t="shared" si="151"/>
        <v>9.1</v>
      </c>
      <c r="QX30" s="22">
        <f t="shared" si="152"/>
        <v>2.5999999999999996</v>
      </c>
      <c r="QY30" s="22">
        <f t="shared" si="153"/>
        <v>0.3</v>
      </c>
      <c r="QZ30" s="22">
        <f t="shared" si="154"/>
        <v>0</v>
      </c>
      <c r="RA30" s="27" t="s">
        <v>46</v>
      </c>
      <c r="RB30" s="40">
        <f t="shared" si="155"/>
        <v>5.1999999999999993</v>
      </c>
      <c r="RC30" s="40">
        <f t="shared" si="156"/>
        <v>23.549999999999997</v>
      </c>
      <c r="RD30" s="40">
        <f t="shared" si="157"/>
        <v>11.5</v>
      </c>
      <c r="RE30" s="40">
        <f t="shared" si="158"/>
        <v>7.1999999999999993</v>
      </c>
      <c r="RF30" s="40">
        <f t="shared" si="159"/>
        <v>35.049999999999997</v>
      </c>
      <c r="RG30" s="40">
        <f t="shared" si="160"/>
        <v>5.1999999999999993</v>
      </c>
      <c r="RH30" s="40">
        <f t="shared" si="161"/>
        <v>23.400000000000002</v>
      </c>
      <c r="RI30" s="40">
        <f t="shared" si="162"/>
        <v>58.45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200</v>
      </c>
      <c r="D31" s="4" t="s">
        <v>5</v>
      </c>
      <c r="E31" s="4">
        <v>2002</v>
      </c>
      <c r="F31" s="9">
        <f t="shared" si="163"/>
        <v>109.50000658000452</v>
      </c>
      <c r="G31" s="66"/>
      <c r="H31" s="3" t="str">
        <f t="shared" si="0"/>
        <v/>
      </c>
      <c r="I31" s="3" t="str">
        <f t="shared" si="1"/>
        <v/>
      </c>
      <c r="J31" s="36" t="str">
        <f t="shared" si="2"/>
        <v/>
      </c>
      <c r="K31" s="3" t="str">
        <f t="shared" si="3"/>
        <v/>
      </c>
      <c r="L31" s="8">
        <f>IF(COUNT(AS31,BV31,CY31)&gt;0,LARGE((AS31,BV31,CY31),1),0)</f>
        <v>45.2</v>
      </c>
      <c r="M31" s="8" t="str">
        <f t="shared" si="4"/>
        <v>2023 Nationals</v>
      </c>
      <c r="N31" s="8">
        <f>IF(COUNT(AS31,BV31,CY31)&gt;1,LARGE((AS31,BV31,CY31),2),0)</f>
        <v>0</v>
      </c>
      <c r="O31" s="8" t="str">
        <f t="shared" si="5"/>
        <v/>
      </c>
      <c r="P31" s="8">
        <f>IF(COUNT(AT31,BW31,CZ31)&gt;0,LARGE((AT31,BW31,CZ31),1),0)</f>
        <v>20.599999999999998</v>
      </c>
      <c r="Q31" s="8" t="str">
        <f t="shared" si="6"/>
        <v>2023 Nationals</v>
      </c>
      <c r="R31" s="8">
        <f t="shared" si="7"/>
        <v>43.7</v>
      </c>
      <c r="S31" s="8" t="str">
        <f t="shared" si="8"/>
        <v>2023 Nationals</v>
      </c>
      <c r="T31" s="8" t="str">
        <f t="shared" si="9"/>
        <v/>
      </c>
      <c r="U31" s="11" t="str">
        <f t="shared" si="10"/>
        <v/>
      </c>
      <c r="V31" s="8" t="str">
        <f t="shared" si="11"/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 t="shared" si="12"/>
        <v/>
      </c>
      <c r="AS31" s="40" t="str">
        <f t="shared" si="13"/>
        <v/>
      </c>
      <c r="AT31" s="40" t="str">
        <f t="shared" si="14"/>
        <v/>
      </c>
      <c r="AU31" s="40" t="str">
        <f t="shared" si="15"/>
        <v/>
      </c>
      <c r="AV31" s="40" t="str">
        <f t="shared" si="16"/>
        <v/>
      </c>
      <c r="AW31" s="40" t="str">
        <f t="shared" si="17"/>
        <v/>
      </c>
      <c r="AX31" s="40" t="str">
        <f t="shared" si="18"/>
        <v/>
      </c>
      <c r="AY31" s="40" t="str">
        <f t="shared" si="19"/>
        <v/>
      </c>
      <c r="AZ31" s="18">
        <v>18.8</v>
      </c>
      <c r="BA31" s="18">
        <v>4.4000000000000004</v>
      </c>
      <c r="BB31" s="18">
        <v>0.6</v>
      </c>
      <c r="BC31" s="18">
        <v>0</v>
      </c>
      <c r="BD31" s="18">
        <v>18.399999999999999</v>
      </c>
      <c r="BE31" s="18">
        <v>5.2</v>
      </c>
      <c r="BF31" s="18">
        <v>1</v>
      </c>
      <c r="BG31" s="18">
        <v>0</v>
      </c>
      <c r="BH31" s="18">
        <v>17.399999999999999</v>
      </c>
      <c r="BI31" s="18">
        <v>3.2</v>
      </c>
      <c r="BJ31" s="18">
        <v>0</v>
      </c>
      <c r="BK31" s="18">
        <v>0</v>
      </c>
      <c r="BL31" s="18">
        <v>18.399999999999999</v>
      </c>
      <c r="BM31" s="18">
        <v>5.6</v>
      </c>
      <c r="BN31" s="18">
        <v>0.6</v>
      </c>
      <c r="BO31" s="18">
        <v>0</v>
      </c>
      <c r="BP31" s="18">
        <v>17.100000000000001</v>
      </c>
      <c r="BQ31" s="18">
        <v>3.2</v>
      </c>
      <c r="BR31" s="18">
        <v>0</v>
      </c>
      <c r="BS31" s="18">
        <v>0</v>
      </c>
      <c r="BT31" s="28"/>
      <c r="BU31" s="11">
        <f t="shared" si="20"/>
        <v>9.6000000000000014</v>
      </c>
      <c r="BV31" s="11">
        <f t="shared" si="21"/>
        <v>45.2</v>
      </c>
      <c r="BW31" s="11">
        <f t="shared" si="22"/>
        <v>20.599999999999998</v>
      </c>
      <c r="BX31" s="11">
        <f t="shared" si="23"/>
        <v>12.8</v>
      </c>
      <c r="BY31" s="11">
        <f t="shared" si="24"/>
        <v>65.8</v>
      </c>
      <c r="BZ31" s="11">
        <f t="shared" si="25"/>
        <v>8.8000000000000007</v>
      </c>
      <c r="CA31" s="11">
        <f t="shared" si="26"/>
        <v>43.7</v>
      </c>
      <c r="CB31" s="11">
        <f t="shared" si="27"/>
        <v>109.5</v>
      </c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 t="str">
        <f t="shared" si="28"/>
        <v/>
      </c>
      <c r="CY31" s="40" t="str">
        <f t="shared" si="29"/>
        <v/>
      </c>
      <c r="CZ31" s="40" t="str">
        <f t="shared" si="30"/>
        <v/>
      </c>
      <c r="DA31" s="40" t="str">
        <f t="shared" si="31"/>
        <v/>
      </c>
      <c r="DB31" s="40" t="str">
        <f t="shared" si="32"/>
        <v/>
      </c>
      <c r="DC31" s="40" t="str">
        <f t="shared" si="33"/>
        <v/>
      </c>
      <c r="DD31" s="40" t="str">
        <f t="shared" si="34"/>
        <v/>
      </c>
      <c r="DE31" s="40" t="str">
        <f t="shared" si="35"/>
        <v/>
      </c>
      <c r="DF31" s="50" t="str">
        <f t="shared" si="36"/>
        <v/>
      </c>
      <c r="DG31" s="50" t="str">
        <f t="shared" si="37"/>
        <v/>
      </c>
      <c r="DH31" s="50" t="str">
        <f t="shared" si="38"/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 t="shared" si="39"/>
        <v/>
      </c>
      <c r="ED31" s="40" t="str">
        <f t="shared" si="40"/>
        <v/>
      </c>
      <c r="EE31" s="40" t="str">
        <f t="shared" si="41"/>
        <v/>
      </c>
      <c r="EF31" s="40" t="str">
        <f t="shared" si="42"/>
        <v/>
      </c>
      <c r="EG31" s="40" t="str">
        <f t="shared" si="43"/>
        <v/>
      </c>
      <c r="EH31" s="40" t="str">
        <f t="shared" si="44"/>
        <v/>
      </c>
      <c r="EI31" s="40" t="str">
        <f t="shared" si="45"/>
        <v/>
      </c>
      <c r="EJ31" s="40" t="str">
        <f t="shared" si="46"/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 t="shared" si="47"/>
        <v/>
      </c>
      <c r="FF31" s="11" t="str">
        <f t="shared" si="48"/>
        <v/>
      </c>
      <c r="FG31" s="11" t="str">
        <f t="shared" si="49"/>
        <v/>
      </c>
      <c r="FH31" s="11" t="str">
        <f t="shared" si="50"/>
        <v/>
      </c>
      <c r="FI31" s="11" t="str">
        <f t="shared" si="51"/>
        <v/>
      </c>
      <c r="FJ31" s="11" t="str">
        <f t="shared" si="52"/>
        <v/>
      </c>
      <c r="FK31" s="11" t="str">
        <f t="shared" si="53"/>
        <v/>
      </c>
      <c r="FL31" s="11" t="str">
        <f t="shared" si="54"/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 t="shared" si="55"/>
        <v/>
      </c>
      <c r="GH31" s="40" t="str">
        <f t="shared" si="56"/>
        <v/>
      </c>
      <c r="GI31" s="40" t="str">
        <f t="shared" si="57"/>
        <v/>
      </c>
      <c r="GJ31" s="40" t="str">
        <f t="shared" si="58"/>
        <v/>
      </c>
      <c r="GK31" s="40" t="str">
        <f t="shared" si="59"/>
        <v/>
      </c>
      <c r="GL31" s="40" t="str">
        <f t="shared" si="60"/>
        <v/>
      </c>
      <c r="GM31" s="40" t="str">
        <f t="shared" si="61"/>
        <v/>
      </c>
      <c r="GN31" s="40" t="str">
        <f t="shared" si="62"/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 t="shared" si="63"/>
        <v/>
      </c>
      <c r="HJ31" s="11" t="str">
        <f t="shared" si="64"/>
        <v/>
      </c>
      <c r="HK31" s="11" t="str">
        <f t="shared" si="65"/>
        <v/>
      </c>
      <c r="HL31" s="11" t="str">
        <f t="shared" si="66"/>
        <v/>
      </c>
      <c r="HM31" s="11" t="str">
        <f t="shared" si="67"/>
        <v/>
      </c>
      <c r="HN31" s="11" t="str">
        <f t="shared" si="68"/>
        <v/>
      </c>
      <c r="HO31" s="11" t="str">
        <f t="shared" si="69"/>
        <v/>
      </c>
      <c r="HP31" s="11" t="str">
        <f t="shared" si="70"/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 t="shared" si="71"/>
        <v/>
      </c>
      <c r="IL31" s="40" t="str">
        <f t="shared" si="72"/>
        <v/>
      </c>
      <c r="IM31" s="40" t="str">
        <f t="shared" si="73"/>
        <v/>
      </c>
      <c r="IN31" s="40" t="str">
        <f t="shared" si="74"/>
        <v/>
      </c>
      <c r="IO31" s="40" t="str">
        <f t="shared" si="75"/>
        <v/>
      </c>
      <c r="IP31" s="40" t="str">
        <f t="shared" si="76"/>
        <v/>
      </c>
      <c r="IQ31" s="40" t="str">
        <f t="shared" si="77"/>
        <v/>
      </c>
      <c r="IR31" s="40" t="str">
        <f t="shared" si="78"/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 t="shared" si="79"/>
        <v/>
      </c>
      <c r="JN31" s="11" t="str">
        <f t="shared" si="80"/>
        <v/>
      </c>
      <c r="JO31" s="11" t="str">
        <f t="shared" si="81"/>
        <v/>
      </c>
      <c r="JP31" s="11" t="str">
        <f t="shared" si="82"/>
        <v/>
      </c>
      <c r="JQ31" s="11" t="str">
        <f t="shared" si="83"/>
        <v/>
      </c>
      <c r="JR31" s="11" t="str">
        <f t="shared" si="84"/>
        <v/>
      </c>
      <c r="JS31" s="11" t="str">
        <f t="shared" si="85"/>
        <v/>
      </c>
      <c r="JT31" s="11" t="str">
        <f t="shared" si="86"/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 t="shared" si="87"/>
        <v/>
      </c>
      <c r="KP31" s="40" t="str">
        <f t="shared" si="88"/>
        <v/>
      </c>
      <c r="KQ31" s="40" t="str">
        <f t="shared" si="89"/>
        <v/>
      </c>
      <c r="KR31" s="40" t="str">
        <f t="shared" si="90"/>
        <v/>
      </c>
      <c r="KS31" s="40" t="str">
        <f t="shared" si="91"/>
        <v/>
      </c>
      <c r="KT31" s="40" t="str">
        <f t="shared" si="92"/>
        <v/>
      </c>
      <c r="KU31" s="40" t="str">
        <f t="shared" si="93"/>
        <v/>
      </c>
      <c r="KV31" s="40" t="str">
        <f t="shared" si="94"/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 t="shared" si="95"/>
        <v/>
      </c>
      <c r="LR31" s="11" t="str">
        <f t="shared" si="96"/>
        <v/>
      </c>
      <c r="LS31" s="11" t="str">
        <f t="shared" si="97"/>
        <v/>
      </c>
      <c r="LT31" s="11" t="str">
        <f t="shared" si="98"/>
        <v/>
      </c>
      <c r="LU31" s="11" t="str">
        <f t="shared" si="99"/>
        <v/>
      </c>
      <c r="LV31" s="11" t="str">
        <f t="shared" si="100"/>
        <v/>
      </c>
      <c r="LW31" s="11" t="str">
        <f t="shared" si="101"/>
        <v/>
      </c>
      <c r="LX31" s="11" t="str">
        <f t="shared" si="102"/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 t="shared" si="103"/>
        <v/>
      </c>
      <c r="MT31" s="40" t="str">
        <f t="shared" si="104"/>
        <v/>
      </c>
      <c r="MU31" s="40" t="str">
        <f t="shared" si="105"/>
        <v/>
      </c>
      <c r="MV31" s="40" t="str">
        <f t="shared" si="106"/>
        <v/>
      </c>
      <c r="MW31" s="40" t="str">
        <f t="shared" si="107"/>
        <v/>
      </c>
      <c r="MX31" s="40" t="str">
        <f t="shared" si="108"/>
        <v/>
      </c>
      <c r="MY31" s="40" t="str">
        <f t="shared" si="109"/>
        <v/>
      </c>
      <c r="MZ31" s="40" t="str">
        <f t="shared" si="110"/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 t="shared" si="111"/>
        <v/>
      </c>
      <c r="NV31" s="11" t="str">
        <f t="shared" si="112"/>
        <v/>
      </c>
      <c r="NW31" s="11" t="str">
        <f t="shared" si="113"/>
        <v/>
      </c>
      <c r="NX31" s="11" t="str">
        <f t="shared" si="114"/>
        <v/>
      </c>
      <c r="NY31" s="11" t="str">
        <f t="shared" si="115"/>
        <v/>
      </c>
      <c r="NZ31" s="11" t="str">
        <f t="shared" si="116"/>
        <v/>
      </c>
      <c r="OA31" s="11" t="str">
        <f t="shared" si="117"/>
        <v/>
      </c>
      <c r="OB31" s="11" t="str">
        <f t="shared" si="118"/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 t="shared" si="119"/>
        <v/>
      </c>
      <c r="OX31" s="40" t="str">
        <f t="shared" si="120"/>
        <v/>
      </c>
      <c r="OY31" s="40" t="str">
        <f t="shared" si="121"/>
        <v/>
      </c>
      <c r="OZ31" s="40" t="str">
        <f t="shared" si="122"/>
        <v/>
      </c>
      <c r="PA31" s="40" t="str">
        <f t="shared" si="123"/>
        <v/>
      </c>
      <c r="PB31" s="40" t="str">
        <f t="shared" si="124"/>
        <v/>
      </c>
      <c r="PC31" s="40" t="str">
        <f t="shared" si="125"/>
        <v/>
      </c>
      <c r="PD31" s="40" t="str">
        <f t="shared" si="126"/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 t="shared" si="127"/>
        <v/>
      </c>
      <c r="PZ31" s="11" t="str">
        <f t="shared" si="128"/>
        <v/>
      </c>
      <c r="QA31" s="11" t="str">
        <f t="shared" si="129"/>
        <v/>
      </c>
      <c r="QB31" s="11" t="str">
        <f t="shared" si="130"/>
        <v/>
      </c>
      <c r="QC31" s="11" t="str">
        <f t="shared" si="131"/>
        <v/>
      </c>
      <c r="QD31" s="11" t="str">
        <f t="shared" si="132"/>
        <v/>
      </c>
      <c r="QE31" s="11" t="str">
        <f t="shared" si="133"/>
        <v/>
      </c>
      <c r="QF31" s="11" t="str">
        <f t="shared" si="134"/>
        <v/>
      </c>
      <c r="QG31" s="22">
        <f t="shared" si="135"/>
        <v>9.4</v>
      </c>
      <c r="QH31" s="22">
        <f t="shared" si="136"/>
        <v>2.2000000000000002</v>
      </c>
      <c r="QI31" s="22">
        <f t="shared" si="137"/>
        <v>0.3</v>
      </c>
      <c r="QJ31" s="22">
        <f t="shared" si="138"/>
        <v>0</v>
      </c>
      <c r="QK31" s="22">
        <f t="shared" si="139"/>
        <v>9.1999999999999993</v>
      </c>
      <c r="QL31" s="22">
        <f t="shared" si="140"/>
        <v>2.6</v>
      </c>
      <c r="QM31" s="22">
        <f t="shared" si="141"/>
        <v>0.5</v>
      </c>
      <c r="QN31" s="22">
        <f t="shared" si="142"/>
        <v>0</v>
      </c>
      <c r="QO31" s="22">
        <f t="shared" si="143"/>
        <v>8.6999999999999993</v>
      </c>
      <c r="QP31" s="22">
        <f t="shared" si="144"/>
        <v>1.6</v>
      </c>
      <c r="QQ31" s="22">
        <f t="shared" si="145"/>
        <v>0</v>
      </c>
      <c r="QR31" s="22">
        <f t="shared" si="146"/>
        <v>0</v>
      </c>
      <c r="QS31" s="22">
        <f t="shared" si="147"/>
        <v>9.1999999999999993</v>
      </c>
      <c r="QT31" s="22">
        <f t="shared" si="148"/>
        <v>2.8</v>
      </c>
      <c r="QU31" s="22">
        <f t="shared" si="149"/>
        <v>0.3</v>
      </c>
      <c r="QV31" s="22">
        <f t="shared" si="150"/>
        <v>0</v>
      </c>
      <c r="QW31" s="22">
        <f t="shared" si="151"/>
        <v>8.5500000000000007</v>
      </c>
      <c r="QX31" s="22">
        <f t="shared" si="152"/>
        <v>1.6</v>
      </c>
      <c r="QY31" s="22">
        <f t="shared" si="153"/>
        <v>0</v>
      </c>
      <c r="QZ31" s="22">
        <f t="shared" si="154"/>
        <v>0</v>
      </c>
      <c r="RA31" s="27" t="s">
        <v>46</v>
      </c>
      <c r="RB31" s="40">
        <f t="shared" si="155"/>
        <v>4.8000000000000007</v>
      </c>
      <c r="RC31" s="40">
        <f t="shared" si="156"/>
        <v>22.6</v>
      </c>
      <c r="RD31" s="40">
        <f t="shared" si="157"/>
        <v>10.299999999999999</v>
      </c>
      <c r="RE31" s="40">
        <f t="shared" si="158"/>
        <v>6.4</v>
      </c>
      <c r="RF31" s="40">
        <f t="shared" si="159"/>
        <v>32.9</v>
      </c>
      <c r="RG31" s="40">
        <f t="shared" si="160"/>
        <v>4.4000000000000004</v>
      </c>
      <c r="RH31" s="40">
        <f t="shared" si="161"/>
        <v>21.85</v>
      </c>
      <c r="RI31" s="40">
        <f t="shared" si="162"/>
        <v>54.75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198</v>
      </c>
      <c r="D32" s="4" t="s">
        <v>6</v>
      </c>
      <c r="E32" s="4">
        <v>2005</v>
      </c>
      <c r="F32" s="9">
        <f t="shared" si="163"/>
        <v>108.30001083000474</v>
      </c>
      <c r="G32" s="66"/>
      <c r="H32" s="3" t="str">
        <f t="shared" si="0"/>
        <v/>
      </c>
      <c r="I32" s="3" t="str">
        <f t="shared" si="1"/>
        <v/>
      </c>
      <c r="J32" s="36" t="str">
        <f t="shared" si="2"/>
        <v/>
      </c>
      <c r="K32" s="3" t="str">
        <f t="shared" si="3"/>
        <v/>
      </c>
      <c r="L32" s="8">
        <f>IF(COUNT(AS32,BV32,CY32)&gt;0,LARGE((AS32,BV32,CY32),1),0)</f>
        <v>47.4</v>
      </c>
      <c r="M32" s="8" t="str">
        <f t="shared" si="4"/>
        <v>2023 Elite Canada</v>
      </c>
      <c r="N32" s="8">
        <f>IF(COUNT(AS32,BV32,CY32)&gt;1,LARGE((AS32,BV32,CY32),2),0)</f>
        <v>47.2</v>
      </c>
      <c r="O32" s="8" t="str">
        <f t="shared" si="5"/>
        <v>2023 Nationals</v>
      </c>
      <c r="P32" s="8">
        <f>IF(COUNT(AT32,BW32,CZ32)&gt;0,LARGE((AT32,BW32,CZ32),1),0)</f>
        <v>13.7</v>
      </c>
      <c r="Q32" s="8" t="str">
        <f t="shared" si="6"/>
        <v>2023 Nationals</v>
      </c>
      <c r="R32" s="8">
        <f t="shared" si="7"/>
        <v>0</v>
      </c>
      <c r="S32" s="8" t="str">
        <f t="shared" si="8"/>
        <v/>
      </c>
      <c r="T32" s="8" t="str">
        <f t="shared" si="9"/>
        <v/>
      </c>
      <c r="U32" s="11" t="str">
        <f t="shared" si="10"/>
        <v/>
      </c>
      <c r="V32" s="8" t="str">
        <f t="shared" si="11"/>
        <v/>
      </c>
      <c r="W32" s="19">
        <v>18.8</v>
      </c>
      <c r="X32" s="19">
        <v>5.2</v>
      </c>
      <c r="Y32" s="19">
        <v>0</v>
      </c>
      <c r="Z32" s="19">
        <v>0</v>
      </c>
      <c r="AA32" s="19">
        <v>19</v>
      </c>
      <c r="AB32" s="19">
        <v>4.4000000000000004</v>
      </c>
      <c r="AC32" s="19">
        <v>0</v>
      </c>
      <c r="AD32" s="19">
        <v>0</v>
      </c>
      <c r="AE32" s="19">
        <v>0</v>
      </c>
      <c r="AF32" s="19">
        <v>0</v>
      </c>
      <c r="AG32" s="19">
        <v>0</v>
      </c>
      <c r="AH32" s="19">
        <v>0</v>
      </c>
      <c r="AI32" s="19"/>
      <c r="AJ32" s="19"/>
      <c r="AK32" s="19"/>
      <c r="AL32" s="19"/>
      <c r="AM32" s="19"/>
      <c r="AN32" s="19"/>
      <c r="AO32" s="19"/>
      <c r="AP32" s="19"/>
      <c r="AQ32" s="27"/>
      <c r="AR32" s="40">
        <f t="shared" si="12"/>
        <v>9.6000000000000014</v>
      </c>
      <c r="AS32" s="40">
        <f t="shared" si="13"/>
        <v>47.4</v>
      </c>
      <c r="AT32" s="40" t="str">
        <f t="shared" si="14"/>
        <v/>
      </c>
      <c r="AU32" s="40">
        <f t="shared" si="15"/>
        <v>9.6000000000000014</v>
      </c>
      <c r="AV32" s="40">
        <f t="shared" si="16"/>
        <v>47.4</v>
      </c>
      <c r="AW32" s="40" t="str">
        <f t="shared" si="17"/>
        <v/>
      </c>
      <c r="AX32" s="40" t="str">
        <f t="shared" si="18"/>
        <v/>
      </c>
      <c r="AY32" s="40">
        <f t="shared" si="19"/>
        <v>47.4</v>
      </c>
      <c r="AZ32" s="18">
        <v>18.8</v>
      </c>
      <c r="BA32" s="18">
        <v>4.8</v>
      </c>
      <c r="BB32" s="18">
        <v>0</v>
      </c>
      <c r="BC32" s="18">
        <v>0</v>
      </c>
      <c r="BD32" s="18">
        <v>18.8</v>
      </c>
      <c r="BE32" s="18">
        <v>4.8</v>
      </c>
      <c r="BF32" s="18">
        <v>0</v>
      </c>
      <c r="BG32" s="18">
        <v>0</v>
      </c>
      <c r="BH32" s="18">
        <v>16.3</v>
      </c>
      <c r="BI32" s="18">
        <v>1.4</v>
      </c>
      <c r="BJ32" s="18">
        <v>4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 t="shared" si="20"/>
        <v>9.6</v>
      </c>
      <c r="BV32" s="11">
        <f t="shared" si="21"/>
        <v>47.2</v>
      </c>
      <c r="BW32" s="11">
        <f t="shared" si="22"/>
        <v>13.7</v>
      </c>
      <c r="BX32" s="11">
        <f t="shared" si="23"/>
        <v>11</v>
      </c>
      <c r="BY32" s="11">
        <f t="shared" si="24"/>
        <v>60.900000000000006</v>
      </c>
      <c r="BZ32" s="11" t="str">
        <f t="shared" si="25"/>
        <v/>
      </c>
      <c r="CA32" s="11" t="str">
        <f t="shared" si="26"/>
        <v/>
      </c>
      <c r="CB32" s="11">
        <f t="shared" si="27"/>
        <v>60.900000000000006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 t="shared" si="28"/>
        <v/>
      </c>
      <c r="CY32" s="40" t="str">
        <f t="shared" si="29"/>
        <v/>
      </c>
      <c r="CZ32" s="40" t="str">
        <f t="shared" si="30"/>
        <v/>
      </c>
      <c r="DA32" s="40" t="str">
        <f t="shared" si="31"/>
        <v/>
      </c>
      <c r="DB32" s="40" t="str">
        <f t="shared" si="32"/>
        <v/>
      </c>
      <c r="DC32" s="40" t="str">
        <f t="shared" si="33"/>
        <v/>
      </c>
      <c r="DD32" s="40" t="str">
        <f t="shared" si="34"/>
        <v/>
      </c>
      <c r="DE32" s="40" t="str">
        <f t="shared" si="35"/>
        <v/>
      </c>
      <c r="DF32" s="50" t="str">
        <f t="shared" si="36"/>
        <v/>
      </c>
      <c r="DG32" s="50" t="str">
        <f t="shared" si="37"/>
        <v/>
      </c>
      <c r="DH32" s="50" t="str">
        <f t="shared" si="38"/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 t="shared" si="39"/>
        <v/>
      </c>
      <c r="ED32" s="40" t="str">
        <f t="shared" si="40"/>
        <v/>
      </c>
      <c r="EE32" s="40" t="str">
        <f t="shared" si="41"/>
        <v/>
      </c>
      <c r="EF32" s="40" t="str">
        <f t="shared" si="42"/>
        <v/>
      </c>
      <c r="EG32" s="40" t="str">
        <f t="shared" si="43"/>
        <v/>
      </c>
      <c r="EH32" s="40" t="str">
        <f t="shared" si="44"/>
        <v/>
      </c>
      <c r="EI32" s="40" t="str">
        <f t="shared" si="45"/>
        <v/>
      </c>
      <c r="EJ32" s="40" t="str">
        <f t="shared" si="46"/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 t="shared" si="47"/>
        <v/>
      </c>
      <c r="FF32" s="11" t="str">
        <f t="shared" si="48"/>
        <v/>
      </c>
      <c r="FG32" s="11" t="str">
        <f t="shared" si="49"/>
        <v/>
      </c>
      <c r="FH32" s="11" t="str">
        <f t="shared" si="50"/>
        <v/>
      </c>
      <c r="FI32" s="11" t="str">
        <f t="shared" si="51"/>
        <v/>
      </c>
      <c r="FJ32" s="11" t="str">
        <f t="shared" si="52"/>
        <v/>
      </c>
      <c r="FK32" s="11" t="str">
        <f t="shared" si="53"/>
        <v/>
      </c>
      <c r="FL32" s="11" t="str">
        <f t="shared" si="54"/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 t="shared" si="55"/>
        <v/>
      </c>
      <c r="GH32" s="40" t="str">
        <f t="shared" si="56"/>
        <v/>
      </c>
      <c r="GI32" s="40" t="str">
        <f t="shared" si="57"/>
        <v/>
      </c>
      <c r="GJ32" s="40" t="str">
        <f t="shared" si="58"/>
        <v/>
      </c>
      <c r="GK32" s="40" t="str">
        <f t="shared" si="59"/>
        <v/>
      </c>
      <c r="GL32" s="40" t="str">
        <f t="shared" si="60"/>
        <v/>
      </c>
      <c r="GM32" s="40" t="str">
        <f t="shared" si="61"/>
        <v/>
      </c>
      <c r="GN32" s="40" t="str">
        <f t="shared" si="62"/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 t="shared" si="63"/>
        <v/>
      </c>
      <c r="HJ32" s="11" t="str">
        <f t="shared" si="64"/>
        <v/>
      </c>
      <c r="HK32" s="11" t="str">
        <f t="shared" si="65"/>
        <v/>
      </c>
      <c r="HL32" s="11" t="str">
        <f t="shared" si="66"/>
        <v/>
      </c>
      <c r="HM32" s="11" t="str">
        <f t="shared" si="67"/>
        <v/>
      </c>
      <c r="HN32" s="11" t="str">
        <f t="shared" si="68"/>
        <v/>
      </c>
      <c r="HO32" s="11" t="str">
        <f t="shared" si="69"/>
        <v/>
      </c>
      <c r="HP32" s="11" t="str">
        <f t="shared" si="70"/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 t="shared" si="71"/>
        <v/>
      </c>
      <c r="IL32" s="40" t="str">
        <f t="shared" si="72"/>
        <v/>
      </c>
      <c r="IM32" s="40" t="str">
        <f t="shared" si="73"/>
        <v/>
      </c>
      <c r="IN32" s="40" t="str">
        <f t="shared" si="74"/>
        <v/>
      </c>
      <c r="IO32" s="40" t="str">
        <f t="shared" si="75"/>
        <v/>
      </c>
      <c r="IP32" s="40" t="str">
        <f t="shared" si="76"/>
        <v/>
      </c>
      <c r="IQ32" s="40" t="str">
        <f t="shared" si="77"/>
        <v/>
      </c>
      <c r="IR32" s="40" t="str">
        <f t="shared" si="78"/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 t="shared" si="79"/>
        <v/>
      </c>
      <c r="JN32" s="11" t="str">
        <f t="shared" si="80"/>
        <v/>
      </c>
      <c r="JO32" s="11" t="str">
        <f t="shared" si="81"/>
        <v/>
      </c>
      <c r="JP32" s="11" t="str">
        <f t="shared" si="82"/>
        <v/>
      </c>
      <c r="JQ32" s="11" t="str">
        <f t="shared" si="83"/>
        <v/>
      </c>
      <c r="JR32" s="11" t="str">
        <f t="shared" si="84"/>
        <v/>
      </c>
      <c r="JS32" s="11" t="str">
        <f t="shared" si="85"/>
        <v/>
      </c>
      <c r="JT32" s="11" t="str">
        <f t="shared" si="86"/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 t="shared" si="87"/>
        <v/>
      </c>
      <c r="KP32" s="40" t="str">
        <f t="shared" si="88"/>
        <v/>
      </c>
      <c r="KQ32" s="40" t="str">
        <f t="shared" si="89"/>
        <v/>
      </c>
      <c r="KR32" s="40" t="str">
        <f t="shared" si="90"/>
        <v/>
      </c>
      <c r="KS32" s="40" t="str">
        <f t="shared" si="91"/>
        <v/>
      </c>
      <c r="KT32" s="40" t="str">
        <f t="shared" si="92"/>
        <v/>
      </c>
      <c r="KU32" s="40" t="str">
        <f t="shared" si="93"/>
        <v/>
      </c>
      <c r="KV32" s="40" t="str">
        <f t="shared" si="94"/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 t="shared" si="95"/>
        <v/>
      </c>
      <c r="LR32" s="11" t="str">
        <f t="shared" si="96"/>
        <v/>
      </c>
      <c r="LS32" s="11" t="str">
        <f t="shared" si="97"/>
        <v/>
      </c>
      <c r="LT32" s="11" t="str">
        <f t="shared" si="98"/>
        <v/>
      </c>
      <c r="LU32" s="11" t="str">
        <f t="shared" si="99"/>
        <v/>
      </c>
      <c r="LV32" s="11" t="str">
        <f t="shared" si="100"/>
        <v/>
      </c>
      <c r="LW32" s="11" t="str">
        <f t="shared" si="101"/>
        <v/>
      </c>
      <c r="LX32" s="11" t="str">
        <f t="shared" si="102"/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 t="shared" si="103"/>
        <v/>
      </c>
      <c r="MT32" s="40" t="str">
        <f t="shared" si="104"/>
        <v/>
      </c>
      <c r="MU32" s="40" t="str">
        <f t="shared" si="105"/>
        <v/>
      </c>
      <c r="MV32" s="40" t="str">
        <f t="shared" si="106"/>
        <v/>
      </c>
      <c r="MW32" s="40" t="str">
        <f t="shared" si="107"/>
        <v/>
      </c>
      <c r="MX32" s="40" t="str">
        <f t="shared" si="108"/>
        <v/>
      </c>
      <c r="MY32" s="40" t="str">
        <f t="shared" si="109"/>
        <v/>
      </c>
      <c r="MZ32" s="40" t="str">
        <f t="shared" si="110"/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 t="shared" si="111"/>
        <v/>
      </c>
      <c r="NV32" s="11" t="str">
        <f t="shared" si="112"/>
        <v/>
      </c>
      <c r="NW32" s="11" t="str">
        <f t="shared" si="113"/>
        <v/>
      </c>
      <c r="NX32" s="11" t="str">
        <f t="shared" si="114"/>
        <v/>
      </c>
      <c r="NY32" s="11" t="str">
        <f t="shared" si="115"/>
        <v/>
      </c>
      <c r="NZ32" s="11" t="str">
        <f t="shared" si="116"/>
        <v/>
      </c>
      <c r="OA32" s="11" t="str">
        <f t="shared" si="117"/>
        <v/>
      </c>
      <c r="OB32" s="11" t="str">
        <f t="shared" si="118"/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 t="shared" si="119"/>
        <v/>
      </c>
      <c r="OX32" s="40" t="str">
        <f t="shared" si="120"/>
        <v/>
      </c>
      <c r="OY32" s="40" t="str">
        <f t="shared" si="121"/>
        <v/>
      </c>
      <c r="OZ32" s="40" t="str">
        <f t="shared" si="122"/>
        <v/>
      </c>
      <c r="PA32" s="40" t="str">
        <f t="shared" si="123"/>
        <v/>
      </c>
      <c r="PB32" s="40" t="str">
        <f t="shared" si="124"/>
        <v/>
      </c>
      <c r="PC32" s="40" t="str">
        <f t="shared" si="125"/>
        <v/>
      </c>
      <c r="PD32" s="40" t="str">
        <f t="shared" si="126"/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 t="shared" si="127"/>
        <v/>
      </c>
      <c r="PZ32" s="11" t="str">
        <f t="shared" si="128"/>
        <v/>
      </c>
      <c r="QA32" s="11" t="str">
        <f t="shared" si="129"/>
        <v/>
      </c>
      <c r="QB32" s="11" t="str">
        <f t="shared" si="130"/>
        <v/>
      </c>
      <c r="QC32" s="11" t="str">
        <f t="shared" si="131"/>
        <v/>
      </c>
      <c r="QD32" s="11" t="str">
        <f t="shared" si="132"/>
        <v/>
      </c>
      <c r="QE32" s="11" t="str">
        <f t="shared" si="133"/>
        <v/>
      </c>
      <c r="QF32" s="11" t="str">
        <f t="shared" si="134"/>
        <v/>
      </c>
      <c r="QG32" s="22">
        <f t="shared" si="135"/>
        <v>9.4</v>
      </c>
      <c r="QH32" s="22">
        <f t="shared" si="136"/>
        <v>2.4</v>
      </c>
      <c r="QI32" s="22">
        <f t="shared" si="137"/>
        <v>0</v>
      </c>
      <c r="QJ32" s="22">
        <f t="shared" si="138"/>
        <v>0</v>
      </c>
      <c r="QK32" s="22">
        <f t="shared" si="139"/>
        <v>9.4</v>
      </c>
      <c r="QL32" s="22">
        <f t="shared" si="140"/>
        <v>2.4</v>
      </c>
      <c r="QM32" s="22">
        <f t="shared" si="141"/>
        <v>0</v>
      </c>
      <c r="QN32" s="22">
        <f t="shared" si="142"/>
        <v>0</v>
      </c>
      <c r="QO32" s="22">
        <f t="shared" si="143"/>
        <v>8.15</v>
      </c>
      <c r="QP32" s="22">
        <f t="shared" si="144"/>
        <v>0.7</v>
      </c>
      <c r="QQ32" s="22">
        <f t="shared" si="145"/>
        <v>2</v>
      </c>
      <c r="QR32" s="22">
        <f t="shared" si="146"/>
        <v>0</v>
      </c>
      <c r="QS32" s="22">
        <f t="shared" si="147"/>
        <v>0</v>
      </c>
      <c r="QT32" s="22">
        <f t="shared" si="148"/>
        <v>0</v>
      </c>
      <c r="QU32" s="22">
        <f t="shared" si="149"/>
        <v>0</v>
      </c>
      <c r="QV32" s="22">
        <f t="shared" si="150"/>
        <v>0</v>
      </c>
      <c r="QW32" s="22">
        <f t="shared" si="151"/>
        <v>0</v>
      </c>
      <c r="QX32" s="22">
        <f t="shared" si="152"/>
        <v>0</v>
      </c>
      <c r="QY32" s="22">
        <f t="shared" si="153"/>
        <v>0</v>
      </c>
      <c r="QZ32" s="22">
        <f t="shared" si="154"/>
        <v>0</v>
      </c>
      <c r="RA32" s="27" t="s">
        <v>46</v>
      </c>
      <c r="RB32" s="40">
        <f t="shared" si="155"/>
        <v>4.8</v>
      </c>
      <c r="RC32" s="40">
        <f t="shared" si="156"/>
        <v>23.6</v>
      </c>
      <c r="RD32" s="40">
        <f t="shared" si="157"/>
        <v>6.85</v>
      </c>
      <c r="RE32" s="40">
        <f t="shared" si="158"/>
        <v>5.5</v>
      </c>
      <c r="RF32" s="40">
        <f t="shared" si="159"/>
        <v>30.450000000000003</v>
      </c>
      <c r="RG32" s="40" t="str">
        <f t="shared" si="160"/>
        <v/>
      </c>
      <c r="RH32" s="40" t="str">
        <f t="shared" si="161"/>
        <v/>
      </c>
      <c r="RI32" s="40">
        <f t="shared" si="162"/>
        <v>30.450000000000003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186</v>
      </c>
      <c r="D33" s="4" t="s">
        <v>4</v>
      </c>
      <c r="E33" s="4">
        <v>2005</v>
      </c>
      <c r="F33" s="9">
        <f t="shared" si="163"/>
        <v>102.20001022000427</v>
      </c>
      <c r="G33" s="66"/>
      <c r="H33" s="3" t="str">
        <f t="shared" si="0"/>
        <v/>
      </c>
      <c r="I33" s="3" t="str">
        <f t="shared" si="1"/>
        <v/>
      </c>
      <c r="J33" s="36" t="str">
        <f t="shared" si="2"/>
        <v/>
      </c>
      <c r="K33" s="3" t="str">
        <f t="shared" si="3"/>
        <v/>
      </c>
      <c r="L33" s="8">
        <f>IF(COUNT(AS33,BV33,CY33)&gt;0,LARGE((AS33,BV33,CY33),1),0)</f>
        <v>42.9</v>
      </c>
      <c r="M33" s="8" t="str">
        <f t="shared" si="4"/>
        <v>2023 Nationals</v>
      </c>
      <c r="N33" s="8">
        <f>IF(COUNT(AS33,BV33,CY33)&gt;1,LARGE((AS33,BV33,CY33),2),0)</f>
        <v>35.799999999999997</v>
      </c>
      <c r="O33" s="8" t="str">
        <f t="shared" si="5"/>
        <v>2023 Elite Canada</v>
      </c>
      <c r="P33" s="8">
        <f>IF(COUNT(AT33,BW33,CZ33)&gt;0,LARGE((AT33,BW33,CZ33),1),0)</f>
        <v>23.5</v>
      </c>
      <c r="Q33" s="8" t="str">
        <f t="shared" si="6"/>
        <v>2023 Elite Canada</v>
      </c>
      <c r="R33" s="8">
        <f t="shared" si="7"/>
        <v>0</v>
      </c>
      <c r="S33" s="8" t="str">
        <f t="shared" si="8"/>
        <v/>
      </c>
      <c r="T33" s="8" t="str">
        <f t="shared" si="9"/>
        <v/>
      </c>
      <c r="U33" s="11" t="str">
        <f t="shared" si="10"/>
        <v/>
      </c>
      <c r="V33" s="8" t="str">
        <f t="shared" si="11"/>
        <v/>
      </c>
      <c r="W33" s="19">
        <v>18.100000000000001</v>
      </c>
      <c r="X33" s="19">
        <v>4.8</v>
      </c>
      <c r="Y33" s="19">
        <v>1</v>
      </c>
      <c r="Z33" s="19">
        <v>0</v>
      </c>
      <c r="AA33" s="19">
        <v>16.600000000000001</v>
      </c>
      <c r="AB33" s="19">
        <v>1.3</v>
      </c>
      <c r="AC33" s="19">
        <v>4</v>
      </c>
      <c r="AD33" s="19">
        <v>0</v>
      </c>
      <c r="AE33" s="19">
        <v>18.3</v>
      </c>
      <c r="AF33" s="19">
        <v>5.2</v>
      </c>
      <c r="AG33" s="19">
        <v>0</v>
      </c>
      <c r="AH33" s="19">
        <v>0</v>
      </c>
      <c r="AI33" s="19"/>
      <c r="AJ33" s="19"/>
      <c r="AK33" s="19"/>
      <c r="AL33" s="19"/>
      <c r="AM33" s="19"/>
      <c r="AN33" s="19"/>
      <c r="AO33" s="19"/>
      <c r="AP33" s="19"/>
      <c r="AQ33" s="27"/>
      <c r="AR33" s="40">
        <f t="shared" si="12"/>
        <v>6.1</v>
      </c>
      <c r="AS33" s="40">
        <f t="shared" si="13"/>
        <v>35.799999999999997</v>
      </c>
      <c r="AT33" s="40">
        <f t="shared" si="14"/>
        <v>23.5</v>
      </c>
      <c r="AU33" s="40">
        <f t="shared" si="15"/>
        <v>11.3</v>
      </c>
      <c r="AV33" s="40">
        <f t="shared" si="16"/>
        <v>59.3</v>
      </c>
      <c r="AW33" s="40" t="str">
        <f t="shared" si="17"/>
        <v/>
      </c>
      <c r="AX33" s="40" t="str">
        <f t="shared" si="18"/>
        <v/>
      </c>
      <c r="AY33" s="40">
        <f t="shared" si="19"/>
        <v>59.3</v>
      </c>
      <c r="AZ33" s="18">
        <v>18.600000000000001</v>
      </c>
      <c r="BA33" s="18">
        <v>5.2</v>
      </c>
      <c r="BB33" s="18">
        <v>0.6</v>
      </c>
      <c r="BC33" s="18">
        <v>0</v>
      </c>
      <c r="BD33" s="18">
        <v>17.3</v>
      </c>
      <c r="BE33" s="18">
        <v>2.4</v>
      </c>
      <c r="BF33" s="18">
        <v>0</v>
      </c>
      <c r="BG33" s="18">
        <v>0</v>
      </c>
      <c r="BH33" s="18">
        <v>17.600000000000001</v>
      </c>
      <c r="BI33" s="18">
        <v>3.5</v>
      </c>
      <c r="BJ33" s="18">
        <v>0.6</v>
      </c>
      <c r="BK33" s="18">
        <v>0</v>
      </c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 t="shared" si="20"/>
        <v>7.6</v>
      </c>
      <c r="BV33" s="11">
        <f t="shared" si="21"/>
        <v>42.9</v>
      </c>
      <c r="BW33" s="11">
        <f t="shared" si="22"/>
        <v>20.5</v>
      </c>
      <c r="BX33" s="11">
        <f t="shared" si="23"/>
        <v>11.1</v>
      </c>
      <c r="BY33" s="11">
        <f t="shared" si="24"/>
        <v>63.4</v>
      </c>
      <c r="BZ33" s="11" t="str">
        <f t="shared" si="25"/>
        <v/>
      </c>
      <c r="CA33" s="11" t="str">
        <f t="shared" si="26"/>
        <v/>
      </c>
      <c r="CB33" s="11">
        <f t="shared" si="27"/>
        <v>63.4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 t="shared" si="28"/>
        <v/>
      </c>
      <c r="CY33" s="40" t="str">
        <f t="shared" si="29"/>
        <v/>
      </c>
      <c r="CZ33" s="40" t="str">
        <f t="shared" si="30"/>
        <v/>
      </c>
      <c r="DA33" s="40" t="str">
        <f t="shared" si="31"/>
        <v/>
      </c>
      <c r="DB33" s="40" t="str">
        <f t="shared" si="32"/>
        <v/>
      </c>
      <c r="DC33" s="40" t="str">
        <f t="shared" si="33"/>
        <v/>
      </c>
      <c r="DD33" s="40" t="str">
        <f t="shared" si="34"/>
        <v/>
      </c>
      <c r="DE33" s="40" t="str">
        <f t="shared" si="35"/>
        <v/>
      </c>
      <c r="DF33" s="50" t="str">
        <f t="shared" si="36"/>
        <v/>
      </c>
      <c r="DG33" s="50" t="str">
        <f t="shared" si="37"/>
        <v/>
      </c>
      <c r="DH33" s="50" t="str">
        <f t="shared" si="38"/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 t="shared" si="39"/>
        <v/>
      </c>
      <c r="ED33" s="40" t="str">
        <f t="shared" si="40"/>
        <v/>
      </c>
      <c r="EE33" s="40" t="str">
        <f t="shared" si="41"/>
        <v/>
      </c>
      <c r="EF33" s="40" t="str">
        <f t="shared" si="42"/>
        <v/>
      </c>
      <c r="EG33" s="40" t="str">
        <f t="shared" si="43"/>
        <v/>
      </c>
      <c r="EH33" s="40" t="str">
        <f t="shared" si="44"/>
        <v/>
      </c>
      <c r="EI33" s="40" t="str">
        <f t="shared" si="45"/>
        <v/>
      </c>
      <c r="EJ33" s="40" t="str">
        <f t="shared" si="46"/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 t="shared" si="47"/>
        <v/>
      </c>
      <c r="FF33" s="11" t="str">
        <f t="shared" si="48"/>
        <v/>
      </c>
      <c r="FG33" s="11" t="str">
        <f t="shared" si="49"/>
        <v/>
      </c>
      <c r="FH33" s="11" t="str">
        <f t="shared" si="50"/>
        <v/>
      </c>
      <c r="FI33" s="11" t="str">
        <f t="shared" si="51"/>
        <v/>
      </c>
      <c r="FJ33" s="11" t="str">
        <f t="shared" si="52"/>
        <v/>
      </c>
      <c r="FK33" s="11" t="str">
        <f t="shared" si="53"/>
        <v/>
      </c>
      <c r="FL33" s="11" t="str">
        <f t="shared" si="54"/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 t="shared" si="55"/>
        <v/>
      </c>
      <c r="GH33" s="40" t="str">
        <f t="shared" si="56"/>
        <v/>
      </c>
      <c r="GI33" s="40" t="str">
        <f t="shared" si="57"/>
        <v/>
      </c>
      <c r="GJ33" s="40" t="str">
        <f t="shared" si="58"/>
        <v/>
      </c>
      <c r="GK33" s="40" t="str">
        <f t="shared" si="59"/>
        <v/>
      </c>
      <c r="GL33" s="40" t="str">
        <f t="shared" si="60"/>
        <v/>
      </c>
      <c r="GM33" s="40" t="str">
        <f t="shared" si="61"/>
        <v/>
      </c>
      <c r="GN33" s="40" t="str">
        <f t="shared" si="62"/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 t="shared" si="63"/>
        <v/>
      </c>
      <c r="HJ33" s="11" t="str">
        <f t="shared" si="64"/>
        <v/>
      </c>
      <c r="HK33" s="11" t="str">
        <f t="shared" si="65"/>
        <v/>
      </c>
      <c r="HL33" s="11" t="str">
        <f t="shared" si="66"/>
        <v/>
      </c>
      <c r="HM33" s="11" t="str">
        <f t="shared" si="67"/>
        <v/>
      </c>
      <c r="HN33" s="11" t="str">
        <f t="shared" si="68"/>
        <v/>
      </c>
      <c r="HO33" s="11" t="str">
        <f t="shared" si="69"/>
        <v/>
      </c>
      <c r="HP33" s="11" t="str">
        <f t="shared" si="70"/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 t="shared" si="71"/>
        <v/>
      </c>
      <c r="IL33" s="40" t="str">
        <f t="shared" si="72"/>
        <v/>
      </c>
      <c r="IM33" s="40" t="str">
        <f t="shared" si="73"/>
        <v/>
      </c>
      <c r="IN33" s="40" t="str">
        <f t="shared" si="74"/>
        <v/>
      </c>
      <c r="IO33" s="40" t="str">
        <f t="shared" si="75"/>
        <v/>
      </c>
      <c r="IP33" s="40" t="str">
        <f t="shared" si="76"/>
        <v/>
      </c>
      <c r="IQ33" s="40" t="str">
        <f t="shared" si="77"/>
        <v/>
      </c>
      <c r="IR33" s="40" t="str">
        <f t="shared" si="78"/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 t="shared" si="79"/>
        <v/>
      </c>
      <c r="JN33" s="11" t="str">
        <f t="shared" si="80"/>
        <v/>
      </c>
      <c r="JO33" s="11" t="str">
        <f t="shared" si="81"/>
        <v/>
      </c>
      <c r="JP33" s="11" t="str">
        <f t="shared" si="82"/>
        <v/>
      </c>
      <c r="JQ33" s="11" t="str">
        <f t="shared" si="83"/>
        <v/>
      </c>
      <c r="JR33" s="11" t="str">
        <f t="shared" si="84"/>
        <v/>
      </c>
      <c r="JS33" s="11" t="str">
        <f t="shared" si="85"/>
        <v/>
      </c>
      <c r="JT33" s="11" t="str">
        <f t="shared" si="86"/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 t="shared" si="87"/>
        <v/>
      </c>
      <c r="KP33" s="40" t="str">
        <f t="shared" si="88"/>
        <v/>
      </c>
      <c r="KQ33" s="40" t="str">
        <f t="shared" si="89"/>
        <v/>
      </c>
      <c r="KR33" s="40" t="str">
        <f t="shared" si="90"/>
        <v/>
      </c>
      <c r="KS33" s="40" t="str">
        <f t="shared" si="91"/>
        <v/>
      </c>
      <c r="KT33" s="40" t="str">
        <f t="shared" si="92"/>
        <v/>
      </c>
      <c r="KU33" s="40" t="str">
        <f t="shared" si="93"/>
        <v/>
      </c>
      <c r="KV33" s="40" t="str">
        <f t="shared" si="94"/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 t="shared" si="95"/>
        <v/>
      </c>
      <c r="LR33" s="11" t="str">
        <f t="shared" si="96"/>
        <v/>
      </c>
      <c r="LS33" s="11" t="str">
        <f t="shared" si="97"/>
        <v/>
      </c>
      <c r="LT33" s="11" t="str">
        <f t="shared" si="98"/>
        <v/>
      </c>
      <c r="LU33" s="11" t="str">
        <f t="shared" si="99"/>
        <v/>
      </c>
      <c r="LV33" s="11" t="str">
        <f t="shared" si="100"/>
        <v/>
      </c>
      <c r="LW33" s="11" t="str">
        <f t="shared" si="101"/>
        <v/>
      </c>
      <c r="LX33" s="11" t="str">
        <f t="shared" si="102"/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 t="shared" si="103"/>
        <v/>
      </c>
      <c r="MT33" s="40" t="str">
        <f t="shared" si="104"/>
        <v/>
      </c>
      <c r="MU33" s="40" t="str">
        <f t="shared" si="105"/>
        <v/>
      </c>
      <c r="MV33" s="40" t="str">
        <f t="shared" si="106"/>
        <v/>
      </c>
      <c r="MW33" s="40" t="str">
        <f t="shared" si="107"/>
        <v/>
      </c>
      <c r="MX33" s="40" t="str">
        <f t="shared" si="108"/>
        <v/>
      </c>
      <c r="MY33" s="40" t="str">
        <f t="shared" si="109"/>
        <v/>
      </c>
      <c r="MZ33" s="40" t="str">
        <f t="shared" si="110"/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 t="shared" si="111"/>
        <v/>
      </c>
      <c r="NV33" s="11" t="str">
        <f t="shared" si="112"/>
        <v/>
      </c>
      <c r="NW33" s="11" t="str">
        <f t="shared" si="113"/>
        <v/>
      </c>
      <c r="NX33" s="11" t="str">
        <f t="shared" si="114"/>
        <v/>
      </c>
      <c r="NY33" s="11" t="str">
        <f t="shared" si="115"/>
        <v/>
      </c>
      <c r="NZ33" s="11" t="str">
        <f t="shared" si="116"/>
        <v/>
      </c>
      <c r="OA33" s="11" t="str">
        <f t="shared" si="117"/>
        <v/>
      </c>
      <c r="OB33" s="11" t="str">
        <f t="shared" si="118"/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 t="shared" si="119"/>
        <v/>
      </c>
      <c r="OX33" s="40" t="str">
        <f t="shared" si="120"/>
        <v/>
      </c>
      <c r="OY33" s="40" t="str">
        <f t="shared" si="121"/>
        <v/>
      </c>
      <c r="OZ33" s="40" t="str">
        <f t="shared" si="122"/>
        <v/>
      </c>
      <c r="PA33" s="40" t="str">
        <f t="shared" si="123"/>
        <v/>
      </c>
      <c r="PB33" s="40" t="str">
        <f t="shared" si="124"/>
        <v/>
      </c>
      <c r="PC33" s="40" t="str">
        <f t="shared" si="125"/>
        <v/>
      </c>
      <c r="PD33" s="40" t="str">
        <f t="shared" si="126"/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 t="shared" si="127"/>
        <v/>
      </c>
      <c r="PZ33" s="11" t="str">
        <f t="shared" si="128"/>
        <v/>
      </c>
      <c r="QA33" s="11" t="str">
        <f t="shared" si="129"/>
        <v/>
      </c>
      <c r="QB33" s="11" t="str">
        <f t="shared" si="130"/>
        <v/>
      </c>
      <c r="QC33" s="11" t="str">
        <f t="shared" si="131"/>
        <v/>
      </c>
      <c r="QD33" s="11" t="str">
        <f t="shared" si="132"/>
        <v/>
      </c>
      <c r="QE33" s="11" t="str">
        <f t="shared" si="133"/>
        <v/>
      </c>
      <c r="QF33" s="11" t="str">
        <f t="shared" si="134"/>
        <v/>
      </c>
      <c r="QG33" s="22">
        <f t="shared" si="135"/>
        <v>9.3000000000000007</v>
      </c>
      <c r="QH33" s="22">
        <f t="shared" si="136"/>
        <v>2.6</v>
      </c>
      <c r="QI33" s="22">
        <f t="shared" si="137"/>
        <v>0.3</v>
      </c>
      <c r="QJ33" s="22">
        <f t="shared" si="138"/>
        <v>0</v>
      </c>
      <c r="QK33" s="22">
        <f t="shared" si="139"/>
        <v>8.65</v>
      </c>
      <c r="QL33" s="22">
        <f t="shared" si="140"/>
        <v>1.2</v>
      </c>
      <c r="QM33" s="22">
        <f t="shared" si="141"/>
        <v>0</v>
      </c>
      <c r="QN33" s="22">
        <f t="shared" si="142"/>
        <v>0</v>
      </c>
      <c r="QO33" s="22">
        <f t="shared" si="143"/>
        <v>8.8000000000000007</v>
      </c>
      <c r="QP33" s="22">
        <f t="shared" si="144"/>
        <v>1.75</v>
      </c>
      <c r="QQ33" s="22">
        <f t="shared" si="145"/>
        <v>0.3</v>
      </c>
      <c r="QR33" s="22">
        <f t="shared" si="146"/>
        <v>0</v>
      </c>
      <c r="QS33" s="22">
        <f t="shared" si="147"/>
        <v>0</v>
      </c>
      <c r="QT33" s="22">
        <f t="shared" si="148"/>
        <v>0</v>
      </c>
      <c r="QU33" s="22">
        <f t="shared" si="149"/>
        <v>0</v>
      </c>
      <c r="QV33" s="22">
        <f t="shared" si="150"/>
        <v>0</v>
      </c>
      <c r="QW33" s="22">
        <f t="shared" si="151"/>
        <v>0</v>
      </c>
      <c r="QX33" s="22">
        <f t="shared" si="152"/>
        <v>0</v>
      </c>
      <c r="QY33" s="22">
        <f t="shared" si="153"/>
        <v>0</v>
      </c>
      <c r="QZ33" s="22">
        <f t="shared" si="154"/>
        <v>0</v>
      </c>
      <c r="RA33" s="27" t="s">
        <v>46</v>
      </c>
      <c r="RB33" s="40">
        <f t="shared" si="155"/>
        <v>3.8</v>
      </c>
      <c r="RC33" s="40">
        <f t="shared" si="156"/>
        <v>21.45</v>
      </c>
      <c r="RD33" s="40">
        <f t="shared" si="157"/>
        <v>10.25</v>
      </c>
      <c r="RE33" s="40">
        <f t="shared" si="158"/>
        <v>5.55</v>
      </c>
      <c r="RF33" s="40">
        <f t="shared" si="159"/>
        <v>31.7</v>
      </c>
      <c r="RG33" s="40" t="str">
        <f t="shared" si="160"/>
        <v/>
      </c>
      <c r="RH33" s="40" t="str">
        <f t="shared" si="161"/>
        <v/>
      </c>
      <c r="RI33" s="40">
        <f t="shared" si="162"/>
        <v>31.7</v>
      </c>
    </row>
    <row r="34" spans="1:477" x14ac:dyDescent="0.2">
      <c r="A34" s="4" t="str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/>
      </c>
      <c r="B34" s="4" t="str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/>
      </c>
      <c r="C34" s="5" t="s">
        <v>202</v>
      </c>
      <c r="D34" s="4" t="s">
        <v>4</v>
      </c>
      <c r="E34" s="4">
        <v>2005</v>
      </c>
      <c r="F34" s="9">
        <f t="shared" si="163"/>
        <v>65.400006540004327</v>
      </c>
      <c r="H34" s="3" t="str">
        <f t="shared" si="0"/>
        <v/>
      </c>
      <c r="I34" s="3" t="str">
        <f t="shared" si="1"/>
        <v/>
      </c>
      <c r="J34" s="36" t="str">
        <f t="shared" si="2"/>
        <v/>
      </c>
      <c r="K34" s="3" t="str">
        <f t="shared" si="3"/>
        <v/>
      </c>
      <c r="L34" s="8">
        <f>IF(COUNT(AS34,BV34,CY34)&gt;0,LARGE((AS34,BV34,CY34),1),0)</f>
        <v>43.2</v>
      </c>
      <c r="M34" s="8" t="str">
        <f t="shared" si="4"/>
        <v>2023 Nationals</v>
      </c>
      <c r="N34" s="8">
        <f>IF(COUNT(AS34,BV34,CY34)&gt;1,LARGE((AS34,BV34,CY34),2),0)</f>
        <v>0</v>
      </c>
      <c r="O34" s="8" t="str">
        <f t="shared" si="5"/>
        <v/>
      </c>
      <c r="P34" s="8">
        <f>IF(COUNT(AT34,BW34,CZ34)&gt;0,LARGE((AT34,BW34,CZ34),1),0)</f>
        <v>22.2</v>
      </c>
      <c r="Q34" s="8" t="str">
        <f t="shared" si="6"/>
        <v>2023 Nationals</v>
      </c>
      <c r="R34" s="8">
        <f t="shared" si="7"/>
        <v>0</v>
      </c>
      <c r="S34" s="8" t="str">
        <f t="shared" si="8"/>
        <v/>
      </c>
      <c r="T34" s="8" t="str">
        <f t="shared" si="9"/>
        <v/>
      </c>
      <c r="U34" s="11" t="str">
        <f t="shared" si="10"/>
        <v/>
      </c>
      <c r="V34" s="8" t="str">
        <f t="shared" si="11"/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 t="shared" si="12"/>
        <v/>
      </c>
      <c r="AS34" s="40" t="str">
        <f t="shared" si="13"/>
        <v/>
      </c>
      <c r="AT34" s="40" t="str">
        <f t="shared" si="14"/>
        <v/>
      </c>
      <c r="AU34" s="40" t="str">
        <f t="shared" si="15"/>
        <v/>
      </c>
      <c r="AV34" s="40" t="str">
        <f t="shared" si="16"/>
        <v/>
      </c>
      <c r="AW34" s="40" t="str">
        <f t="shared" si="17"/>
        <v/>
      </c>
      <c r="AX34" s="40" t="str">
        <f t="shared" si="18"/>
        <v/>
      </c>
      <c r="AY34" s="40" t="str">
        <f t="shared" si="19"/>
        <v/>
      </c>
      <c r="AZ34" s="18">
        <v>18.399999999999999</v>
      </c>
      <c r="BA34" s="18">
        <v>5.6</v>
      </c>
      <c r="BB34" s="18">
        <v>0.8</v>
      </c>
      <c r="BC34" s="18">
        <v>0</v>
      </c>
      <c r="BD34" s="18">
        <v>17.600000000000001</v>
      </c>
      <c r="BE34" s="18">
        <v>2.4</v>
      </c>
      <c r="BF34" s="18">
        <v>0</v>
      </c>
      <c r="BG34" s="18">
        <v>0</v>
      </c>
      <c r="BH34" s="18">
        <v>19.3</v>
      </c>
      <c r="BI34" s="18">
        <v>3.5</v>
      </c>
      <c r="BJ34" s="18">
        <v>0.6</v>
      </c>
      <c r="BK34" s="18">
        <v>0</v>
      </c>
      <c r="BL34" s="18"/>
      <c r="BM34" s="18"/>
      <c r="BN34" s="18"/>
      <c r="BO34" s="18"/>
      <c r="BP34" s="18"/>
      <c r="BQ34" s="18"/>
      <c r="BR34" s="18"/>
      <c r="BS34" s="18"/>
      <c r="BT34" s="28"/>
      <c r="BU34" s="11">
        <f t="shared" si="20"/>
        <v>8</v>
      </c>
      <c r="BV34" s="11">
        <f t="shared" si="21"/>
        <v>43.2</v>
      </c>
      <c r="BW34" s="11">
        <f t="shared" si="22"/>
        <v>22.2</v>
      </c>
      <c r="BX34" s="11">
        <f t="shared" si="23"/>
        <v>11.5</v>
      </c>
      <c r="BY34" s="11">
        <f t="shared" si="24"/>
        <v>65.400000000000006</v>
      </c>
      <c r="BZ34" s="11" t="str">
        <f t="shared" si="25"/>
        <v/>
      </c>
      <c r="CA34" s="11" t="str">
        <f t="shared" si="26"/>
        <v/>
      </c>
      <c r="CB34" s="11">
        <f t="shared" si="27"/>
        <v>65.400000000000006</v>
      </c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27"/>
      <c r="CX34" s="40" t="str">
        <f t="shared" si="28"/>
        <v/>
      </c>
      <c r="CY34" s="40" t="str">
        <f t="shared" si="29"/>
        <v/>
      </c>
      <c r="CZ34" s="40" t="str">
        <f t="shared" si="30"/>
        <v/>
      </c>
      <c r="DA34" s="40" t="str">
        <f t="shared" si="31"/>
        <v/>
      </c>
      <c r="DB34" s="40" t="str">
        <f t="shared" si="32"/>
        <v/>
      </c>
      <c r="DC34" s="40" t="str">
        <f t="shared" si="33"/>
        <v/>
      </c>
      <c r="DD34" s="40" t="str">
        <f t="shared" si="34"/>
        <v/>
      </c>
      <c r="DE34" s="40" t="str">
        <f t="shared" si="35"/>
        <v/>
      </c>
      <c r="DF34" s="50" t="str">
        <f t="shared" si="36"/>
        <v/>
      </c>
      <c r="DG34" s="50" t="str">
        <f t="shared" si="37"/>
        <v/>
      </c>
      <c r="DH34" s="50" t="str">
        <f t="shared" si="38"/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 t="shared" si="39"/>
        <v/>
      </c>
      <c r="ED34" s="40" t="str">
        <f t="shared" si="40"/>
        <v/>
      </c>
      <c r="EE34" s="40" t="str">
        <f t="shared" si="41"/>
        <v/>
      </c>
      <c r="EF34" s="40" t="str">
        <f t="shared" si="42"/>
        <v/>
      </c>
      <c r="EG34" s="40" t="str">
        <f t="shared" si="43"/>
        <v/>
      </c>
      <c r="EH34" s="40" t="str">
        <f t="shared" si="44"/>
        <v/>
      </c>
      <c r="EI34" s="40" t="str">
        <f t="shared" si="45"/>
        <v/>
      </c>
      <c r="EJ34" s="40" t="str">
        <f t="shared" si="46"/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 t="shared" si="47"/>
        <v/>
      </c>
      <c r="FF34" s="11" t="str">
        <f t="shared" si="48"/>
        <v/>
      </c>
      <c r="FG34" s="11" t="str">
        <f t="shared" si="49"/>
        <v/>
      </c>
      <c r="FH34" s="11" t="str">
        <f t="shared" si="50"/>
        <v/>
      </c>
      <c r="FI34" s="11" t="str">
        <f t="shared" si="51"/>
        <v/>
      </c>
      <c r="FJ34" s="11" t="str">
        <f t="shared" si="52"/>
        <v/>
      </c>
      <c r="FK34" s="11" t="str">
        <f t="shared" si="53"/>
        <v/>
      </c>
      <c r="FL34" s="11" t="str">
        <f t="shared" si="54"/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 t="shared" si="55"/>
        <v/>
      </c>
      <c r="GH34" s="40" t="str">
        <f t="shared" si="56"/>
        <v/>
      </c>
      <c r="GI34" s="40" t="str">
        <f t="shared" si="57"/>
        <v/>
      </c>
      <c r="GJ34" s="40" t="str">
        <f t="shared" si="58"/>
        <v/>
      </c>
      <c r="GK34" s="40" t="str">
        <f t="shared" si="59"/>
        <v/>
      </c>
      <c r="GL34" s="40" t="str">
        <f t="shared" si="60"/>
        <v/>
      </c>
      <c r="GM34" s="40" t="str">
        <f t="shared" si="61"/>
        <v/>
      </c>
      <c r="GN34" s="40" t="str">
        <f t="shared" si="62"/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 t="shared" si="63"/>
        <v/>
      </c>
      <c r="HJ34" s="11" t="str">
        <f t="shared" si="64"/>
        <v/>
      </c>
      <c r="HK34" s="11" t="str">
        <f t="shared" si="65"/>
        <v/>
      </c>
      <c r="HL34" s="11" t="str">
        <f t="shared" si="66"/>
        <v/>
      </c>
      <c r="HM34" s="11" t="str">
        <f t="shared" si="67"/>
        <v/>
      </c>
      <c r="HN34" s="11" t="str">
        <f t="shared" si="68"/>
        <v/>
      </c>
      <c r="HO34" s="11" t="str">
        <f t="shared" si="69"/>
        <v/>
      </c>
      <c r="HP34" s="11" t="str">
        <f t="shared" si="70"/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 t="shared" si="71"/>
        <v/>
      </c>
      <c r="IL34" s="40" t="str">
        <f t="shared" si="72"/>
        <v/>
      </c>
      <c r="IM34" s="40" t="str">
        <f t="shared" si="73"/>
        <v/>
      </c>
      <c r="IN34" s="40" t="str">
        <f t="shared" si="74"/>
        <v/>
      </c>
      <c r="IO34" s="40" t="str">
        <f t="shared" si="75"/>
        <v/>
      </c>
      <c r="IP34" s="40" t="str">
        <f t="shared" si="76"/>
        <v/>
      </c>
      <c r="IQ34" s="40" t="str">
        <f t="shared" si="77"/>
        <v/>
      </c>
      <c r="IR34" s="40" t="str">
        <f t="shared" si="78"/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 t="shared" si="79"/>
        <v/>
      </c>
      <c r="JN34" s="11" t="str">
        <f t="shared" si="80"/>
        <v/>
      </c>
      <c r="JO34" s="11" t="str">
        <f t="shared" si="81"/>
        <v/>
      </c>
      <c r="JP34" s="11" t="str">
        <f t="shared" si="82"/>
        <v/>
      </c>
      <c r="JQ34" s="11" t="str">
        <f t="shared" si="83"/>
        <v/>
      </c>
      <c r="JR34" s="11" t="str">
        <f t="shared" si="84"/>
        <v/>
      </c>
      <c r="JS34" s="11" t="str">
        <f t="shared" si="85"/>
        <v/>
      </c>
      <c r="JT34" s="11" t="str">
        <f t="shared" si="86"/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 t="shared" si="87"/>
        <v/>
      </c>
      <c r="KP34" s="40" t="str">
        <f t="shared" si="88"/>
        <v/>
      </c>
      <c r="KQ34" s="40" t="str">
        <f t="shared" si="89"/>
        <v/>
      </c>
      <c r="KR34" s="40" t="str">
        <f t="shared" si="90"/>
        <v/>
      </c>
      <c r="KS34" s="40" t="str">
        <f t="shared" si="91"/>
        <v/>
      </c>
      <c r="KT34" s="40" t="str">
        <f t="shared" si="92"/>
        <v/>
      </c>
      <c r="KU34" s="40" t="str">
        <f t="shared" si="93"/>
        <v/>
      </c>
      <c r="KV34" s="40" t="str">
        <f t="shared" si="94"/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 t="shared" si="95"/>
        <v/>
      </c>
      <c r="LR34" s="11" t="str">
        <f t="shared" si="96"/>
        <v/>
      </c>
      <c r="LS34" s="11" t="str">
        <f t="shared" si="97"/>
        <v/>
      </c>
      <c r="LT34" s="11" t="str">
        <f t="shared" si="98"/>
        <v/>
      </c>
      <c r="LU34" s="11" t="str">
        <f t="shared" si="99"/>
        <v/>
      </c>
      <c r="LV34" s="11" t="str">
        <f t="shared" si="100"/>
        <v/>
      </c>
      <c r="LW34" s="11" t="str">
        <f t="shared" si="101"/>
        <v/>
      </c>
      <c r="LX34" s="11" t="str">
        <f t="shared" si="102"/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 t="shared" si="103"/>
        <v/>
      </c>
      <c r="MT34" s="40" t="str">
        <f t="shared" si="104"/>
        <v/>
      </c>
      <c r="MU34" s="40" t="str">
        <f t="shared" si="105"/>
        <v/>
      </c>
      <c r="MV34" s="40" t="str">
        <f t="shared" si="106"/>
        <v/>
      </c>
      <c r="MW34" s="40" t="str">
        <f t="shared" si="107"/>
        <v/>
      </c>
      <c r="MX34" s="40" t="str">
        <f t="shared" si="108"/>
        <v/>
      </c>
      <c r="MY34" s="40" t="str">
        <f t="shared" si="109"/>
        <v/>
      </c>
      <c r="MZ34" s="40" t="str">
        <f t="shared" si="110"/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 t="shared" si="111"/>
        <v/>
      </c>
      <c r="NV34" s="11" t="str">
        <f t="shared" si="112"/>
        <v/>
      </c>
      <c r="NW34" s="11" t="str">
        <f t="shared" si="113"/>
        <v/>
      </c>
      <c r="NX34" s="11" t="str">
        <f t="shared" si="114"/>
        <v/>
      </c>
      <c r="NY34" s="11" t="str">
        <f t="shared" si="115"/>
        <v/>
      </c>
      <c r="NZ34" s="11" t="str">
        <f t="shared" si="116"/>
        <v/>
      </c>
      <c r="OA34" s="11" t="str">
        <f t="shared" si="117"/>
        <v/>
      </c>
      <c r="OB34" s="11" t="str">
        <f t="shared" si="118"/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 t="shared" si="119"/>
        <v/>
      </c>
      <c r="OX34" s="40" t="str">
        <f t="shared" si="120"/>
        <v/>
      </c>
      <c r="OY34" s="40" t="str">
        <f t="shared" si="121"/>
        <v/>
      </c>
      <c r="OZ34" s="40" t="str">
        <f t="shared" si="122"/>
        <v/>
      </c>
      <c r="PA34" s="40" t="str">
        <f t="shared" si="123"/>
        <v/>
      </c>
      <c r="PB34" s="40" t="str">
        <f t="shared" si="124"/>
        <v/>
      </c>
      <c r="PC34" s="40" t="str">
        <f t="shared" si="125"/>
        <v/>
      </c>
      <c r="PD34" s="40" t="str">
        <f t="shared" si="126"/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 t="shared" si="127"/>
        <v/>
      </c>
      <c r="PZ34" s="11" t="str">
        <f t="shared" si="128"/>
        <v/>
      </c>
      <c r="QA34" s="11" t="str">
        <f t="shared" si="129"/>
        <v/>
      </c>
      <c r="QB34" s="11" t="str">
        <f t="shared" si="130"/>
        <v/>
      </c>
      <c r="QC34" s="11" t="str">
        <f t="shared" si="131"/>
        <v/>
      </c>
      <c r="QD34" s="11" t="str">
        <f t="shared" si="132"/>
        <v/>
      </c>
      <c r="QE34" s="11" t="str">
        <f t="shared" si="133"/>
        <v/>
      </c>
      <c r="QF34" s="11" t="str">
        <f t="shared" si="134"/>
        <v/>
      </c>
      <c r="QG34" s="22">
        <f t="shared" si="135"/>
        <v>9.1999999999999993</v>
      </c>
      <c r="QH34" s="22">
        <f t="shared" si="136"/>
        <v>2.8</v>
      </c>
      <c r="QI34" s="22">
        <f t="shared" si="137"/>
        <v>0.4</v>
      </c>
      <c r="QJ34" s="22">
        <f t="shared" si="138"/>
        <v>0</v>
      </c>
      <c r="QK34" s="22">
        <f t="shared" si="139"/>
        <v>8.8000000000000007</v>
      </c>
      <c r="QL34" s="22">
        <f t="shared" si="140"/>
        <v>1.2</v>
      </c>
      <c r="QM34" s="22">
        <f t="shared" si="141"/>
        <v>0</v>
      </c>
      <c r="QN34" s="22">
        <f t="shared" si="142"/>
        <v>0</v>
      </c>
      <c r="QO34" s="22">
        <f t="shared" si="143"/>
        <v>9.65</v>
      </c>
      <c r="QP34" s="22">
        <f t="shared" si="144"/>
        <v>1.75</v>
      </c>
      <c r="QQ34" s="22">
        <f t="shared" si="145"/>
        <v>0.3</v>
      </c>
      <c r="QR34" s="22">
        <f t="shared" si="146"/>
        <v>0</v>
      </c>
      <c r="QS34" s="22">
        <f t="shared" si="147"/>
        <v>0</v>
      </c>
      <c r="QT34" s="22">
        <f t="shared" si="148"/>
        <v>0</v>
      </c>
      <c r="QU34" s="22">
        <f t="shared" si="149"/>
        <v>0</v>
      </c>
      <c r="QV34" s="22">
        <f t="shared" si="150"/>
        <v>0</v>
      </c>
      <c r="QW34" s="22">
        <f t="shared" si="151"/>
        <v>0</v>
      </c>
      <c r="QX34" s="22">
        <f t="shared" si="152"/>
        <v>0</v>
      </c>
      <c r="QY34" s="22">
        <f t="shared" si="153"/>
        <v>0</v>
      </c>
      <c r="QZ34" s="22">
        <f t="shared" si="154"/>
        <v>0</v>
      </c>
      <c r="RA34" s="27" t="s">
        <v>46</v>
      </c>
      <c r="RB34" s="40">
        <f t="shared" si="155"/>
        <v>4</v>
      </c>
      <c r="RC34" s="40">
        <f t="shared" si="156"/>
        <v>21.6</v>
      </c>
      <c r="RD34" s="40">
        <f t="shared" si="157"/>
        <v>11.1</v>
      </c>
      <c r="RE34" s="40">
        <f t="shared" si="158"/>
        <v>5.75</v>
      </c>
      <c r="RF34" s="40">
        <f t="shared" si="159"/>
        <v>32.700000000000003</v>
      </c>
      <c r="RG34" s="40" t="str">
        <f t="shared" si="160"/>
        <v/>
      </c>
      <c r="RH34" s="40" t="str">
        <f t="shared" si="161"/>
        <v/>
      </c>
      <c r="RI34" s="40">
        <f t="shared" si="162"/>
        <v>32.700000000000003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203</v>
      </c>
      <c r="D35" s="4" t="s">
        <v>4</v>
      </c>
      <c r="E35" s="4">
        <v>2004</v>
      </c>
      <c r="F35" s="9">
        <f t="shared" si="163"/>
        <v>64.600006460004437</v>
      </c>
      <c r="H35" s="3" t="str">
        <f t="shared" si="0"/>
        <v/>
      </c>
      <c r="I35" s="3" t="str">
        <f t="shared" si="1"/>
        <v/>
      </c>
      <c r="J35" s="36" t="str">
        <f t="shared" si="2"/>
        <v/>
      </c>
      <c r="K35" s="3" t="str">
        <f t="shared" si="3"/>
        <v/>
      </c>
      <c r="L35" s="8">
        <f>IF(COUNT(AS35,BV35,CY35)&gt;0,LARGE((AS35,BV35,CY35),1),0)</f>
        <v>44.400000000000006</v>
      </c>
      <c r="M35" s="8" t="str">
        <f t="shared" si="4"/>
        <v>2023 Nationals</v>
      </c>
      <c r="N35" s="8">
        <f>IF(COUNT(AS35,BV35,CY35)&gt;1,LARGE((AS35,BV35,CY35),2),0)</f>
        <v>0</v>
      </c>
      <c r="O35" s="8" t="str">
        <f t="shared" si="5"/>
        <v/>
      </c>
      <c r="P35" s="8">
        <f>IF(COUNT(AT35,BW35,CZ35)&gt;0,LARGE((AT35,BW35,CZ35),1),0)</f>
        <v>20.2</v>
      </c>
      <c r="Q35" s="8" t="str">
        <f t="shared" si="6"/>
        <v>2023 Nationals</v>
      </c>
      <c r="R35" s="8">
        <f t="shared" si="7"/>
        <v>0</v>
      </c>
      <c r="S35" s="8" t="str">
        <f t="shared" si="8"/>
        <v/>
      </c>
      <c r="T35" s="8" t="str">
        <f t="shared" si="9"/>
        <v/>
      </c>
      <c r="U35" s="11" t="str">
        <f t="shared" si="10"/>
        <v/>
      </c>
      <c r="V35" s="8" t="str">
        <f t="shared" si="11"/>
        <v/>
      </c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7"/>
      <c r="AR35" s="40" t="str">
        <f t="shared" si="12"/>
        <v/>
      </c>
      <c r="AS35" s="40" t="str">
        <f t="shared" si="13"/>
        <v/>
      </c>
      <c r="AT35" s="40" t="str">
        <f t="shared" si="14"/>
        <v/>
      </c>
      <c r="AU35" s="40" t="str">
        <f t="shared" si="15"/>
        <v/>
      </c>
      <c r="AV35" s="40" t="str">
        <f t="shared" si="16"/>
        <v/>
      </c>
      <c r="AW35" s="40" t="str">
        <f t="shared" si="17"/>
        <v/>
      </c>
      <c r="AX35" s="40" t="str">
        <f t="shared" si="18"/>
        <v/>
      </c>
      <c r="AY35" s="40" t="str">
        <f t="shared" si="19"/>
        <v/>
      </c>
      <c r="AZ35" s="18">
        <v>18.2</v>
      </c>
      <c r="BA35" s="18">
        <v>4.3</v>
      </c>
      <c r="BB35" s="18">
        <v>0.8</v>
      </c>
      <c r="BC35" s="18">
        <v>0</v>
      </c>
      <c r="BD35" s="18">
        <v>17.899999999999999</v>
      </c>
      <c r="BE35" s="18">
        <v>5.6</v>
      </c>
      <c r="BF35" s="18">
        <v>0.8</v>
      </c>
      <c r="BG35" s="18">
        <v>0</v>
      </c>
      <c r="BH35" s="18">
        <v>18.5</v>
      </c>
      <c r="BI35" s="18">
        <v>2.8</v>
      </c>
      <c r="BJ35" s="18">
        <v>1.1000000000000001</v>
      </c>
      <c r="BK35" s="18">
        <v>0</v>
      </c>
      <c r="BL35" s="18"/>
      <c r="BM35" s="18"/>
      <c r="BN35" s="18"/>
      <c r="BO35" s="18"/>
      <c r="BP35" s="18"/>
      <c r="BQ35" s="18"/>
      <c r="BR35" s="18"/>
      <c r="BS35" s="18"/>
      <c r="BT35" s="28"/>
      <c r="BU35" s="11">
        <f t="shared" si="20"/>
        <v>9.8999999999999986</v>
      </c>
      <c r="BV35" s="11">
        <f t="shared" si="21"/>
        <v>44.400000000000006</v>
      </c>
      <c r="BW35" s="11">
        <f t="shared" si="22"/>
        <v>20.2</v>
      </c>
      <c r="BX35" s="11">
        <f t="shared" si="23"/>
        <v>12.7</v>
      </c>
      <c r="BY35" s="11">
        <f t="shared" si="24"/>
        <v>64.600000000000009</v>
      </c>
      <c r="BZ35" s="11" t="str">
        <f t="shared" si="25"/>
        <v/>
      </c>
      <c r="CA35" s="11" t="str">
        <f t="shared" si="26"/>
        <v/>
      </c>
      <c r="CB35" s="11">
        <f t="shared" si="27"/>
        <v>64.600000000000009</v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 t="shared" si="28"/>
        <v/>
      </c>
      <c r="CY35" s="40" t="str">
        <f t="shared" si="29"/>
        <v/>
      </c>
      <c r="CZ35" s="40" t="str">
        <f t="shared" si="30"/>
        <v/>
      </c>
      <c r="DA35" s="40" t="str">
        <f t="shared" si="31"/>
        <v/>
      </c>
      <c r="DB35" s="40" t="str">
        <f t="shared" si="32"/>
        <v/>
      </c>
      <c r="DC35" s="40" t="str">
        <f t="shared" si="33"/>
        <v/>
      </c>
      <c r="DD35" s="40" t="str">
        <f t="shared" si="34"/>
        <v/>
      </c>
      <c r="DE35" s="40" t="str">
        <f t="shared" si="35"/>
        <v/>
      </c>
      <c r="DF35" s="50" t="str">
        <f t="shared" si="36"/>
        <v/>
      </c>
      <c r="DG35" s="50" t="str">
        <f t="shared" si="37"/>
        <v/>
      </c>
      <c r="DH35" s="50" t="str">
        <f t="shared" si="38"/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 t="shared" si="39"/>
        <v/>
      </c>
      <c r="ED35" s="40" t="str">
        <f t="shared" si="40"/>
        <v/>
      </c>
      <c r="EE35" s="40" t="str">
        <f t="shared" si="41"/>
        <v/>
      </c>
      <c r="EF35" s="40" t="str">
        <f t="shared" si="42"/>
        <v/>
      </c>
      <c r="EG35" s="40" t="str">
        <f t="shared" si="43"/>
        <v/>
      </c>
      <c r="EH35" s="40" t="str">
        <f t="shared" si="44"/>
        <v/>
      </c>
      <c r="EI35" s="40" t="str">
        <f t="shared" si="45"/>
        <v/>
      </c>
      <c r="EJ35" s="40" t="str">
        <f t="shared" si="46"/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 t="shared" si="47"/>
        <v/>
      </c>
      <c r="FF35" s="11" t="str">
        <f t="shared" si="48"/>
        <v/>
      </c>
      <c r="FG35" s="11" t="str">
        <f t="shared" si="49"/>
        <v/>
      </c>
      <c r="FH35" s="11" t="str">
        <f t="shared" si="50"/>
        <v/>
      </c>
      <c r="FI35" s="11" t="str">
        <f t="shared" si="51"/>
        <v/>
      </c>
      <c r="FJ35" s="11" t="str">
        <f t="shared" si="52"/>
        <v/>
      </c>
      <c r="FK35" s="11" t="str">
        <f t="shared" si="53"/>
        <v/>
      </c>
      <c r="FL35" s="11" t="str">
        <f t="shared" si="54"/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 t="shared" si="55"/>
        <v/>
      </c>
      <c r="GH35" s="40" t="str">
        <f t="shared" si="56"/>
        <v/>
      </c>
      <c r="GI35" s="40" t="str">
        <f t="shared" si="57"/>
        <v/>
      </c>
      <c r="GJ35" s="40" t="str">
        <f t="shared" si="58"/>
        <v/>
      </c>
      <c r="GK35" s="40" t="str">
        <f t="shared" si="59"/>
        <v/>
      </c>
      <c r="GL35" s="40" t="str">
        <f t="shared" si="60"/>
        <v/>
      </c>
      <c r="GM35" s="40" t="str">
        <f t="shared" si="61"/>
        <v/>
      </c>
      <c r="GN35" s="40" t="str">
        <f t="shared" si="62"/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 t="shared" si="63"/>
        <v/>
      </c>
      <c r="HJ35" s="11" t="str">
        <f t="shared" si="64"/>
        <v/>
      </c>
      <c r="HK35" s="11" t="str">
        <f t="shared" si="65"/>
        <v/>
      </c>
      <c r="HL35" s="11" t="str">
        <f t="shared" si="66"/>
        <v/>
      </c>
      <c r="HM35" s="11" t="str">
        <f t="shared" si="67"/>
        <v/>
      </c>
      <c r="HN35" s="11" t="str">
        <f t="shared" si="68"/>
        <v/>
      </c>
      <c r="HO35" s="11" t="str">
        <f t="shared" si="69"/>
        <v/>
      </c>
      <c r="HP35" s="11" t="str">
        <f t="shared" si="70"/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 t="shared" si="71"/>
        <v/>
      </c>
      <c r="IL35" s="40" t="str">
        <f t="shared" si="72"/>
        <v/>
      </c>
      <c r="IM35" s="40" t="str">
        <f t="shared" si="73"/>
        <v/>
      </c>
      <c r="IN35" s="40" t="str">
        <f t="shared" si="74"/>
        <v/>
      </c>
      <c r="IO35" s="40" t="str">
        <f t="shared" si="75"/>
        <v/>
      </c>
      <c r="IP35" s="40" t="str">
        <f t="shared" si="76"/>
        <v/>
      </c>
      <c r="IQ35" s="40" t="str">
        <f t="shared" si="77"/>
        <v/>
      </c>
      <c r="IR35" s="40" t="str">
        <f t="shared" si="78"/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 t="shared" si="79"/>
        <v/>
      </c>
      <c r="JN35" s="11" t="str">
        <f t="shared" si="80"/>
        <v/>
      </c>
      <c r="JO35" s="11" t="str">
        <f t="shared" si="81"/>
        <v/>
      </c>
      <c r="JP35" s="11" t="str">
        <f t="shared" si="82"/>
        <v/>
      </c>
      <c r="JQ35" s="11" t="str">
        <f t="shared" si="83"/>
        <v/>
      </c>
      <c r="JR35" s="11" t="str">
        <f t="shared" si="84"/>
        <v/>
      </c>
      <c r="JS35" s="11" t="str">
        <f t="shared" si="85"/>
        <v/>
      </c>
      <c r="JT35" s="11" t="str">
        <f t="shared" si="86"/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 t="shared" si="87"/>
        <v/>
      </c>
      <c r="KP35" s="40" t="str">
        <f t="shared" si="88"/>
        <v/>
      </c>
      <c r="KQ35" s="40" t="str">
        <f t="shared" si="89"/>
        <v/>
      </c>
      <c r="KR35" s="40" t="str">
        <f t="shared" si="90"/>
        <v/>
      </c>
      <c r="KS35" s="40" t="str">
        <f t="shared" si="91"/>
        <v/>
      </c>
      <c r="KT35" s="40" t="str">
        <f t="shared" si="92"/>
        <v/>
      </c>
      <c r="KU35" s="40" t="str">
        <f t="shared" si="93"/>
        <v/>
      </c>
      <c r="KV35" s="40" t="str">
        <f t="shared" si="94"/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 t="shared" si="95"/>
        <v/>
      </c>
      <c r="LR35" s="11" t="str">
        <f t="shared" si="96"/>
        <v/>
      </c>
      <c r="LS35" s="11" t="str">
        <f t="shared" si="97"/>
        <v/>
      </c>
      <c r="LT35" s="11" t="str">
        <f t="shared" si="98"/>
        <v/>
      </c>
      <c r="LU35" s="11" t="str">
        <f t="shared" si="99"/>
        <v/>
      </c>
      <c r="LV35" s="11" t="str">
        <f t="shared" si="100"/>
        <v/>
      </c>
      <c r="LW35" s="11" t="str">
        <f t="shared" si="101"/>
        <v/>
      </c>
      <c r="LX35" s="11" t="str">
        <f t="shared" si="102"/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 t="shared" si="103"/>
        <v/>
      </c>
      <c r="MT35" s="40" t="str">
        <f t="shared" si="104"/>
        <v/>
      </c>
      <c r="MU35" s="40" t="str">
        <f t="shared" si="105"/>
        <v/>
      </c>
      <c r="MV35" s="40" t="str">
        <f t="shared" si="106"/>
        <v/>
      </c>
      <c r="MW35" s="40" t="str">
        <f t="shared" si="107"/>
        <v/>
      </c>
      <c r="MX35" s="40" t="str">
        <f t="shared" si="108"/>
        <v/>
      </c>
      <c r="MY35" s="40" t="str">
        <f t="shared" si="109"/>
        <v/>
      </c>
      <c r="MZ35" s="40" t="str">
        <f t="shared" si="110"/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 t="shared" si="111"/>
        <v/>
      </c>
      <c r="NV35" s="11" t="str">
        <f t="shared" si="112"/>
        <v/>
      </c>
      <c r="NW35" s="11" t="str">
        <f t="shared" si="113"/>
        <v/>
      </c>
      <c r="NX35" s="11" t="str">
        <f t="shared" si="114"/>
        <v/>
      </c>
      <c r="NY35" s="11" t="str">
        <f t="shared" si="115"/>
        <v/>
      </c>
      <c r="NZ35" s="11" t="str">
        <f t="shared" si="116"/>
        <v/>
      </c>
      <c r="OA35" s="11" t="str">
        <f t="shared" si="117"/>
        <v/>
      </c>
      <c r="OB35" s="11" t="str">
        <f t="shared" si="118"/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 t="shared" si="119"/>
        <v/>
      </c>
      <c r="OX35" s="40" t="str">
        <f t="shared" si="120"/>
        <v/>
      </c>
      <c r="OY35" s="40" t="str">
        <f t="shared" si="121"/>
        <v/>
      </c>
      <c r="OZ35" s="40" t="str">
        <f t="shared" si="122"/>
        <v/>
      </c>
      <c r="PA35" s="40" t="str">
        <f t="shared" si="123"/>
        <v/>
      </c>
      <c r="PB35" s="40" t="str">
        <f t="shared" si="124"/>
        <v/>
      </c>
      <c r="PC35" s="40" t="str">
        <f t="shared" si="125"/>
        <v/>
      </c>
      <c r="PD35" s="40" t="str">
        <f t="shared" si="126"/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 t="shared" si="127"/>
        <v/>
      </c>
      <c r="PZ35" s="11" t="str">
        <f t="shared" si="128"/>
        <v/>
      </c>
      <c r="QA35" s="11" t="str">
        <f t="shared" si="129"/>
        <v/>
      </c>
      <c r="QB35" s="11" t="str">
        <f t="shared" si="130"/>
        <v/>
      </c>
      <c r="QC35" s="11" t="str">
        <f t="shared" si="131"/>
        <v/>
      </c>
      <c r="QD35" s="11" t="str">
        <f t="shared" si="132"/>
        <v/>
      </c>
      <c r="QE35" s="11" t="str">
        <f t="shared" si="133"/>
        <v/>
      </c>
      <c r="QF35" s="11" t="str">
        <f t="shared" si="134"/>
        <v/>
      </c>
      <c r="QG35" s="22">
        <f t="shared" si="135"/>
        <v>9.1</v>
      </c>
      <c r="QH35" s="22">
        <f t="shared" si="136"/>
        <v>2.15</v>
      </c>
      <c r="QI35" s="22">
        <f t="shared" si="137"/>
        <v>0.4</v>
      </c>
      <c r="QJ35" s="22">
        <f t="shared" si="138"/>
        <v>0</v>
      </c>
      <c r="QK35" s="22">
        <f t="shared" si="139"/>
        <v>8.9499999999999993</v>
      </c>
      <c r="QL35" s="22">
        <f t="shared" si="140"/>
        <v>2.8</v>
      </c>
      <c r="QM35" s="22">
        <f t="shared" si="141"/>
        <v>0.4</v>
      </c>
      <c r="QN35" s="22">
        <f t="shared" si="142"/>
        <v>0</v>
      </c>
      <c r="QO35" s="22">
        <f t="shared" si="143"/>
        <v>9.25</v>
      </c>
      <c r="QP35" s="22">
        <f t="shared" si="144"/>
        <v>1.4</v>
      </c>
      <c r="QQ35" s="22">
        <f t="shared" si="145"/>
        <v>0.55000000000000004</v>
      </c>
      <c r="QR35" s="22">
        <f t="shared" si="146"/>
        <v>0</v>
      </c>
      <c r="QS35" s="22">
        <f t="shared" si="147"/>
        <v>0</v>
      </c>
      <c r="QT35" s="22">
        <f t="shared" si="148"/>
        <v>0</v>
      </c>
      <c r="QU35" s="22">
        <f t="shared" si="149"/>
        <v>0</v>
      </c>
      <c r="QV35" s="22">
        <f t="shared" si="150"/>
        <v>0</v>
      </c>
      <c r="QW35" s="22">
        <f t="shared" si="151"/>
        <v>0</v>
      </c>
      <c r="QX35" s="22">
        <f t="shared" si="152"/>
        <v>0</v>
      </c>
      <c r="QY35" s="22">
        <f t="shared" si="153"/>
        <v>0</v>
      </c>
      <c r="QZ35" s="22">
        <f t="shared" si="154"/>
        <v>0</v>
      </c>
      <c r="RA35" s="27" t="s">
        <v>46</v>
      </c>
      <c r="RB35" s="40">
        <f t="shared" si="155"/>
        <v>4.9499999999999993</v>
      </c>
      <c r="RC35" s="40">
        <f t="shared" si="156"/>
        <v>22.200000000000003</v>
      </c>
      <c r="RD35" s="40">
        <f t="shared" si="157"/>
        <v>10.1</v>
      </c>
      <c r="RE35" s="40">
        <f t="shared" si="158"/>
        <v>6.35</v>
      </c>
      <c r="RF35" s="40">
        <f t="shared" si="159"/>
        <v>32.300000000000004</v>
      </c>
      <c r="RG35" s="40" t="str">
        <f t="shared" si="160"/>
        <v/>
      </c>
      <c r="RH35" s="40" t="str">
        <f t="shared" si="161"/>
        <v/>
      </c>
      <c r="RI35" s="40">
        <f t="shared" si="162"/>
        <v>32.300000000000004</v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156</v>
      </c>
      <c r="D36" s="4" t="s">
        <v>5</v>
      </c>
      <c r="E36" s="4">
        <v>2004</v>
      </c>
      <c r="F36" s="9">
        <f t="shared" si="163"/>
        <v>63.200006320003865</v>
      </c>
      <c r="H36" s="3" t="str">
        <f t="shared" si="0"/>
        <v/>
      </c>
      <c r="I36" s="3" t="str">
        <f t="shared" si="1"/>
        <v/>
      </c>
      <c r="J36" s="36" t="str">
        <f t="shared" si="2"/>
        <v/>
      </c>
      <c r="K36" s="3" t="str">
        <f t="shared" si="3"/>
        <v/>
      </c>
      <c r="L36" s="8">
        <f>IF(COUNT(AS36,BV36,CY36)&gt;0,LARGE((AS36,BV36,CY36),1),0)</f>
        <v>38.600000000000009</v>
      </c>
      <c r="M36" s="8" t="str">
        <f t="shared" si="4"/>
        <v>2023 Nationals</v>
      </c>
      <c r="N36" s="8">
        <f>IF(COUNT(AS36,BV36,CY36)&gt;1,LARGE((AS36,BV36,CY36),2),0)</f>
        <v>0</v>
      </c>
      <c r="O36" s="8" t="str">
        <f t="shared" si="5"/>
        <v/>
      </c>
      <c r="P36" s="8">
        <f>IF(COUNT(AT36,BW36,CZ36)&gt;0,LARGE((AT36,BW36,CZ36),1),0)</f>
        <v>24.6</v>
      </c>
      <c r="Q36" s="8" t="str">
        <f t="shared" si="6"/>
        <v>2023 Nationals</v>
      </c>
      <c r="R36" s="8">
        <f t="shared" si="7"/>
        <v>0</v>
      </c>
      <c r="S36" s="8" t="str">
        <f t="shared" si="8"/>
        <v/>
      </c>
      <c r="T36" s="8" t="str">
        <f t="shared" si="9"/>
        <v/>
      </c>
      <c r="U36" s="11" t="str">
        <f t="shared" si="10"/>
        <v/>
      </c>
      <c r="V36" s="8" t="str">
        <f t="shared" si="11"/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 t="shared" si="12"/>
        <v/>
      </c>
      <c r="AS36" s="40" t="str">
        <f t="shared" si="13"/>
        <v/>
      </c>
      <c r="AT36" s="40" t="str">
        <f t="shared" si="14"/>
        <v/>
      </c>
      <c r="AU36" s="40" t="str">
        <f t="shared" si="15"/>
        <v/>
      </c>
      <c r="AV36" s="40" t="str">
        <f t="shared" si="16"/>
        <v/>
      </c>
      <c r="AW36" s="40" t="str">
        <f t="shared" si="17"/>
        <v/>
      </c>
      <c r="AX36" s="40" t="str">
        <f t="shared" si="18"/>
        <v/>
      </c>
      <c r="AY36" s="40" t="str">
        <f t="shared" si="19"/>
        <v/>
      </c>
      <c r="AZ36" s="18">
        <v>18</v>
      </c>
      <c r="BA36" s="18">
        <v>5.2</v>
      </c>
      <c r="BB36" s="18">
        <v>0.8</v>
      </c>
      <c r="BC36" s="18">
        <v>0</v>
      </c>
      <c r="BD36" s="18">
        <v>18</v>
      </c>
      <c r="BE36" s="18">
        <v>0</v>
      </c>
      <c r="BF36" s="18">
        <v>1.8</v>
      </c>
      <c r="BG36" s="18">
        <v>0</v>
      </c>
      <c r="BH36" s="18">
        <v>18.600000000000001</v>
      </c>
      <c r="BI36" s="18">
        <v>6</v>
      </c>
      <c r="BJ36" s="18">
        <v>0</v>
      </c>
      <c r="BK36" s="18">
        <v>0</v>
      </c>
      <c r="BL36" s="18"/>
      <c r="BM36" s="18"/>
      <c r="BN36" s="18"/>
      <c r="BO36" s="18"/>
      <c r="BP36" s="18"/>
      <c r="BQ36" s="18"/>
      <c r="BR36" s="18"/>
      <c r="BS36" s="18"/>
      <c r="BT36" s="28"/>
      <c r="BU36" s="11">
        <f t="shared" si="20"/>
        <v>5.2</v>
      </c>
      <c r="BV36" s="11">
        <f t="shared" si="21"/>
        <v>38.600000000000009</v>
      </c>
      <c r="BW36" s="11">
        <f t="shared" si="22"/>
        <v>24.6</v>
      </c>
      <c r="BX36" s="11">
        <f t="shared" si="23"/>
        <v>11.2</v>
      </c>
      <c r="BY36" s="11">
        <f t="shared" si="24"/>
        <v>63.20000000000001</v>
      </c>
      <c r="BZ36" s="11" t="str">
        <f t="shared" si="25"/>
        <v/>
      </c>
      <c r="CA36" s="11" t="str">
        <f t="shared" si="26"/>
        <v/>
      </c>
      <c r="CB36" s="11">
        <f t="shared" si="27"/>
        <v>63.20000000000001</v>
      </c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27"/>
      <c r="CX36" s="40" t="str">
        <f t="shared" si="28"/>
        <v/>
      </c>
      <c r="CY36" s="40" t="str">
        <f t="shared" si="29"/>
        <v/>
      </c>
      <c r="CZ36" s="40" t="str">
        <f t="shared" si="30"/>
        <v/>
      </c>
      <c r="DA36" s="40" t="str">
        <f t="shared" si="31"/>
        <v/>
      </c>
      <c r="DB36" s="40" t="str">
        <f t="shared" si="32"/>
        <v/>
      </c>
      <c r="DC36" s="40" t="str">
        <f t="shared" si="33"/>
        <v/>
      </c>
      <c r="DD36" s="40" t="str">
        <f t="shared" si="34"/>
        <v/>
      </c>
      <c r="DE36" s="40" t="str">
        <f t="shared" si="35"/>
        <v/>
      </c>
      <c r="DF36" s="50" t="str">
        <f t="shared" si="36"/>
        <v/>
      </c>
      <c r="DG36" s="50" t="str">
        <f t="shared" si="37"/>
        <v/>
      </c>
      <c r="DH36" s="50" t="str">
        <f t="shared" si="38"/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 t="shared" si="39"/>
        <v/>
      </c>
      <c r="ED36" s="40" t="str">
        <f t="shared" si="40"/>
        <v/>
      </c>
      <c r="EE36" s="40" t="str">
        <f t="shared" si="41"/>
        <v/>
      </c>
      <c r="EF36" s="40" t="str">
        <f t="shared" si="42"/>
        <v/>
      </c>
      <c r="EG36" s="40" t="str">
        <f t="shared" si="43"/>
        <v/>
      </c>
      <c r="EH36" s="40" t="str">
        <f t="shared" si="44"/>
        <v/>
      </c>
      <c r="EI36" s="40" t="str">
        <f t="shared" si="45"/>
        <v/>
      </c>
      <c r="EJ36" s="40" t="str">
        <f t="shared" si="46"/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 t="shared" si="47"/>
        <v/>
      </c>
      <c r="FF36" s="11" t="str">
        <f t="shared" si="48"/>
        <v/>
      </c>
      <c r="FG36" s="11" t="str">
        <f t="shared" si="49"/>
        <v/>
      </c>
      <c r="FH36" s="11" t="str">
        <f t="shared" si="50"/>
        <v/>
      </c>
      <c r="FI36" s="11" t="str">
        <f t="shared" si="51"/>
        <v/>
      </c>
      <c r="FJ36" s="11" t="str">
        <f t="shared" si="52"/>
        <v/>
      </c>
      <c r="FK36" s="11" t="str">
        <f t="shared" si="53"/>
        <v/>
      </c>
      <c r="FL36" s="11" t="str">
        <f t="shared" si="54"/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 t="shared" si="55"/>
        <v/>
      </c>
      <c r="GH36" s="40" t="str">
        <f t="shared" si="56"/>
        <v/>
      </c>
      <c r="GI36" s="40" t="str">
        <f t="shared" si="57"/>
        <v/>
      </c>
      <c r="GJ36" s="40" t="str">
        <f t="shared" si="58"/>
        <v/>
      </c>
      <c r="GK36" s="40" t="str">
        <f t="shared" si="59"/>
        <v/>
      </c>
      <c r="GL36" s="40" t="str">
        <f t="shared" si="60"/>
        <v/>
      </c>
      <c r="GM36" s="40" t="str">
        <f t="shared" si="61"/>
        <v/>
      </c>
      <c r="GN36" s="40" t="str">
        <f t="shared" si="62"/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 t="shared" si="63"/>
        <v/>
      </c>
      <c r="HJ36" s="11" t="str">
        <f t="shared" si="64"/>
        <v/>
      </c>
      <c r="HK36" s="11" t="str">
        <f t="shared" si="65"/>
        <v/>
      </c>
      <c r="HL36" s="11" t="str">
        <f t="shared" si="66"/>
        <v/>
      </c>
      <c r="HM36" s="11" t="str">
        <f t="shared" si="67"/>
        <v/>
      </c>
      <c r="HN36" s="11" t="str">
        <f t="shared" si="68"/>
        <v/>
      </c>
      <c r="HO36" s="11" t="str">
        <f t="shared" si="69"/>
        <v/>
      </c>
      <c r="HP36" s="11" t="str">
        <f t="shared" si="70"/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 t="shared" si="71"/>
        <v/>
      </c>
      <c r="IL36" s="40" t="str">
        <f t="shared" si="72"/>
        <v/>
      </c>
      <c r="IM36" s="40" t="str">
        <f t="shared" si="73"/>
        <v/>
      </c>
      <c r="IN36" s="40" t="str">
        <f t="shared" si="74"/>
        <v/>
      </c>
      <c r="IO36" s="40" t="str">
        <f t="shared" si="75"/>
        <v/>
      </c>
      <c r="IP36" s="40" t="str">
        <f t="shared" si="76"/>
        <v/>
      </c>
      <c r="IQ36" s="40" t="str">
        <f t="shared" si="77"/>
        <v/>
      </c>
      <c r="IR36" s="40" t="str">
        <f t="shared" si="78"/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 t="shared" si="79"/>
        <v/>
      </c>
      <c r="JN36" s="11" t="str">
        <f t="shared" si="80"/>
        <v/>
      </c>
      <c r="JO36" s="11" t="str">
        <f t="shared" si="81"/>
        <v/>
      </c>
      <c r="JP36" s="11" t="str">
        <f t="shared" si="82"/>
        <v/>
      </c>
      <c r="JQ36" s="11" t="str">
        <f t="shared" si="83"/>
        <v/>
      </c>
      <c r="JR36" s="11" t="str">
        <f t="shared" si="84"/>
        <v/>
      </c>
      <c r="JS36" s="11" t="str">
        <f t="shared" si="85"/>
        <v/>
      </c>
      <c r="JT36" s="11" t="str">
        <f t="shared" si="86"/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 t="shared" si="87"/>
        <v/>
      </c>
      <c r="KP36" s="40" t="str">
        <f t="shared" si="88"/>
        <v/>
      </c>
      <c r="KQ36" s="40" t="str">
        <f t="shared" si="89"/>
        <v/>
      </c>
      <c r="KR36" s="40" t="str">
        <f t="shared" si="90"/>
        <v/>
      </c>
      <c r="KS36" s="40" t="str">
        <f t="shared" si="91"/>
        <v/>
      </c>
      <c r="KT36" s="40" t="str">
        <f t="shared" si="92"/>
        <v/>
      </c>
      <c r="KU36" s="40" t="str">
        <f t="shared" si="93"/>
        <v/>
      </c>
      <c r="KV36" s="40" t="str">
        <f t="shared" si="94"/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 t="shared" si="95"/>
        <v/>
      </c>
      <c r="LR36" s="11" t="str">
        <f t="shared" si="96"/>
        <v/>
      </c>
      <c r="LS36" s="11" t="str">
        <f t="shared" si="97"/>
        <v/>
      </c>
      <c r="LT36" s="11" t="str">
        <f t="shared" si="98"/>
        <v/>
      </c>
      <c r="LU36" s="11" t="str">
        <f t="shared" si="99"/>
        <v/>
      </c>
      <c r="LV36" s="11" t="str">
        <f t="shared" si="100"/>
        <v/>
      </c>
      <c r="LW36" s="11" t="str">
        <f t="shared" si="101"/>
        <v/>
      </c>
      <c r="LX36" s="11" t="str">
        <f t="shared" si="102"/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 t="shared" si="103"/>
        <v/>
      </c>
      <c r="MT36" s="40" t="str">
        <f t="shared" si="104"/>
        <v/>
      </c>
      <c r="MU36" s="40" t="str">
        <f t="shared" si="105"/>
        <v/>
      </c>
      <c r="MV36" s="40" t="str">
        <f t="shared" si="106"/>
        <v/>
      </c>
      <c r="MW36" s="40" t="str">
        <f t="shared" si="107"/>
        <v/>
      </c>
      <c r="MX36" s="40" t="str">
        <f t="shared" si="108"/>
        <v/>
      </c>
      <c r="MY36" s="40" t="str">
        <f t="shared" si="109"/>
        <v/>
      </c>
      <c r="MZ36" s="40" t="str">
        <f t="shared" si="110"/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 t="shared" si="111"/>
        <v/>
      </c>
      <c r="NV36" s="11" t="str">
        <f t="shared" si="112"/>
        <v/>
      </c>
      <c r="NW36" s="11" t="str">
        <f t="shared" si="113"/>
        <v/>
      </c>
      <c r="NX36" s="11" t="str">
        <f t="shared" si="114"/>
        <v/>
      </c>
      <c r="NY36" s="11" t="str">
        <f t="shared" si="115"/>
        <v/>
      </c>
      <c r="NZ36" s="11" t="str">
        <f t="shared" si="116"/>
        <v/>
      </c>
      <c r="OA36" s="11" t="str">
        <f t="shared" si="117"/>
        <v/>
      </c>
      <c r="OB36" s="11" t="str">
        <f t="shared" si="118"/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 t="shared" si="119"/>
        <v/>
      </c>
      <c r="OX36" s="40" t="str">
        <f t="shared" si="120"/>
        <v/>
      </c>
      <c r="OY36" s="40" t="str">
        <f t="shared" si="121"/>
        <v/>
      </c>
      <c r="OZ36" s="40" t="str">
        <f t="shared" si="122"/>
        <v/>
      </c>
      <c r="PA36" s="40" t="str">
        <f t="shared" si="123"/>
        <v/>
      </c>
      <c r="PB36" s="40" t="str">
        <f t="shared" si="124"/>
        <v/>
      </c>
      <c r="PC36" s="40" t="str">
        <f t="shared" si="125"/>
        <v/>
      </c>
      <c r="PD36" s="40" t="str">
        <f t="shared" si="126"/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 t="shared" si="127"/>
        <v/>
      </c>
      <c r="PZ36" s="11" t="str">
        <f t="shared" si="128"/>
        <v/>
      </c>
      <c r="QA36" s="11" t="str">
        <f t="shared" si="129"/>
        <v/>
      </c>
      <c r="QB36" s="11" t="str">
        <f t="shared" si="130"/>
        <v/>
      </c>
      <c r="QC36" s="11" t="str">
        <f t="shared" si="131"/>
        <v/>
      </c>
      <c r="QD36" s="11" t="str">
        <f t="shared" si="132"/>
        <v/>
      </c>
      <c r="QE36" s="11" t="str">
        <f t="shared" si="133"/>
        <v/>
      </c>
      <c r="QF36" s="11" t="str">
        <f t="shared" si="134"/>
        <v/>
      </c>
      <c r="QG36" s="22">
        <f t="shared" si="135"/>
        <v>9</v>
      </c>
      <c r="QH36" s="22">
        <f t="shared" si="136"/>
        <v>2.6</v>
      </c>
      <c r="QI36" s="22">
        <f t="shared" si="137"/>
        <v>0.4</v>
      </c>
      <c r="QJ36" s="22">
        <f t="shared" si="138"/>
        <v>0</v>
      </c>
      <c r="QK36" s="22">
        <f t="shared" si="139"/>
        <v>9</v>
      </c>
      <c r="QL36" s="22">
        <f t="shared" si="140"/>
        <v>0</v>
      </c>
      <c r="QM36" s="22">
        <f t="shared" si="141"/>
        <v>0.9</v>
      </c>
      <c r="QN36" s="22">
        <f t="shared" si="142"/>
        <v>0</v>
      </c>
      <c r="QO36" s="22">
        <f t="shared" si="143"/>
        <v>9.3000000000000007</v>
      </c>
      <c r="QP36" s="22">
        <f t="shared" si="144"/>
        <v>3</v>
      </c>
      <c r="QQ36" s="22">
        <f t="shared" si="145"/>
        <v>0</v>
      </c>
      <c r="QR36" s="22">
        <f t="shared" si="146"/>
        <v>0</v>
      </c>
      <c r="QS36" s="22">
        <f t="shared" si="147"/>
        <v>0</v>
      </c>
      <c r="QT36" s="22">
        <f t="shared" si="148"/>
        <v>0</v>
      </c>
      <c r="QU36" s="22">
        <f t="shared" si="149"/>
        <v>0</v>
      </c>
      <c r="QV36" s="22">
        <f t="shared" si="150"/>
        <v>0</v>
      </c>
      <c r="QW36" s="22">
        <f t="shared" si="151"/>
        <v>0</v>
      </c>
      <c r="QX36" s="22">
        <f t="shared" si="152"/>
        <v>0</v>
      </c>
      <c r="QY36" s="22">
        <f t="shared" si="153"/>
        <v>0</v>
      </c>
      <c r="QZ36" s="22">
        <f t="shared" si="154"/>
        <v>0</v>
      </c>
      <c r="RA36" s="27" t="s">
        <v>46</v>
      </c>
      <c r="RB36" s="40">
        <f t="shared" si="155"/>
        <v>2.6</v>
      </c>
      <c r="RC36" s="40">
        <f t="shared" si="156"/>
        <v>19.300000000000004</v>
      </c>
      <c r="RD36" s="40">
        <f t="shared" si="157"/>
        <v>12.3</v>
      </c>
      <c r="RE36" s="40">
        <f t="shared" si="158"/>
        <v>5.6</v>
      </c>
      <c r="RF36" s="40">
        <f t="shared" si="159"/>
        <v>31.600000000000005</v>
      </c>
      <c r="RG36" s="40" t="str">
        <f t="shared" si="160"/>
        <v/>
      </c>
      <c r="RH36" s="40" t="str">
        <f t="shared" si="161"/>
        <v/>
      </c>
      <c r="RI36" s="40">
        <f t="shared" si="162"/>
        <v>31.600000000000005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135</v>
      </c>
      <c r="D37" s="4" t="s">
        <v>5</v>
      </c>
      <c r="E37" s="4">
        <v>2003</v>
      </c>
      <c r="F37" s="9">
        <f t="shared" si="163"/>
        <v>60.800006080003818</v>
      </c>
      <c r="H37" s="3" t="str">
        <f t="shared" si="0"/>
        <v/>
      </c>
      <c r="I37" s="3" t="str">
        <f t="shared" si="1"/>
        <v/>
      </c>
      <c r="J37" s="36" t="str">
        <f t="shared" si="2"/>
        <v/>
      </c>
      <c r="K37" s="3" t="str">
        <f t="shared" si="3"/>
        <v/>
      </c>
      <c r="L37" s="8">
        <f>IF(COUNT(AS37,BV37,CY37)&gt;0,LARGE((AS37,BV37,CY37),1),0)</f>
        <v>38.199999999999996</v>
      </c>
      <c r="M37" s="8" t="str">
        <f t="shared" si="4"/>
        <v>2023 Nationals</v>
      </c>
      <c r="N37" s="8">
        <f>IF(COUNT(AS37,BV37,CY37)&gt;1,LARGE((AS37,BV37,CY37),2),0)</f>
        <v>0</v>
      </c>
      <c r="O37" s="8" t="str">
        <f t="shared" si="5"/>
        <v/>
      </c>
      <c r="P37" s="8">
        <f>IF(COUNT(AT37,BW37,CZ37)&gt;0,LARGE((AT37,BW37,CZ37),1),0)</f>
        <v>22.6</v>
      </c>
      <c r="Q37" s="8" t="str">
        <f t="shared" si="6"/>
        <v>2023 Nationals</v>
      </c>
      <c r="R37" s="8">
        <f t="shared" si="7"/>
        <v>0</v>
      </c>
      <c r="S37" s="8" t="str">
        <f t="shared" si="8"/>
        <v/>
      </c>
      <c r="T37" s="8" t="str">
        <f t="shared" si="9"/>
        <v/>
      </c>
      <c r="U37" s="11" t="str">
        <f t="shared" si="10"/>
        <v/>
      </c>
      <c r="V37" s="8" t="str">
        <f t="shared" si="11"/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 t="shared" si="12"/>
        <v/>
      </c>
      <c r="AS37" s="40" t="str">
        <f t="shared" si="13"/>
        <v/>
      </c>
      <c r="AT37" s="40" t="str">
        <f t="shared" si="14"/>
        <v/>
      </c>
      <c r="AU37" s="40" t="str">
        <f t="shared" si="15"/>
        <v/>
      </c>
      <c r="AV37" s="40" t="str">
        <f t="shared" si="16"/>
        <v/>
      </c>
      <c r="AW37" s="40" t="str">
        <f t="shared" si="17"/>
        <v/>
      </c>
      <c r="AX37" s="40" t="str">
        <f t="shared" si="18"/>
        <v/>
      </c>
      <c r="AY37" s="40" t="str">
        <f t="shared" si="19"/>
        <v/>
      </c>
      <c r="AZ37" s="18">
        <v>17.8</v>
      </c>
      <c r="BA37" s="18">
        <v>1.2</v>
      </c>
      <c r="BB37" s="18">
        <v>3.6</v>
      </c>
      <c r="BC37" s="18">
        <v>0</v>
      </c>
      <c r="BD37" s="18">
        <v>18.8</v>
      </c>
      <c r="BE37" s="18">
        <v>4</v>
      </c>
      <c r="BF37" s="18">
        <v>0</v>
      </c>
      <c r="BG37" s="18">
        <v>0</v>
      </c>
      <c r="BH37" s="18">
        <v>18.8</v>
      </c>
      <c r="BI37" s="18">
        <v>4.4000000000000004</v>
      </c>
      <c r="BJ37" s="18">
        <v>0.6</v>
      </c>
      <c r="BK37" s="18">
        <v>0</v>
      </c>
      <c r="BL37" s="18"/>
      <c r="BM37" s="18"/>
      <c r="BN37" s="18"/>
      <c r="BO37" s="18"/>
      <c r="BP37" s="18"/>
      <c r="BQ37" s="18"/>
      <c r="BR37" s="18"/>
      <c r="BS37" s="18"/>
      <c r="BT37" s="28"/>
      <c r="BU37" s="11">
        <f t="shared" si="20"/>
        <v>5.2</v>
      </c>
      <c r="BV37" s="11">
        <f t="shared" si="21"/>
        <v>38.199999999999996</v>
      </c>
      <c r="BW37" s="11">
        <f t="shared" si="22"/>
        <v>22.6</v>
      </c>
      <c r="BX37" s="11">
        <f t="shared" si="23"/>
        <v>9.6000000000000014</v>
      </c>
      <c r="BY37" s="11">
        <f t="shared" si="24"/>
        <v>60.8</v>
      </c>
      <c r="BZ37" s="11" t="str">
        <f t="shared" si="25"/>
        <v/>
      </c>
      <c r="CA37" s="11" t="str">
        <f t="shared" si="26"/>
        <v/>
      </c>
      <c r="CB37" s="11">
        <f t="shared" si="27"/>
        <v>60.8</v>
      </c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27"/>
      <c r="CX37" s="40" t="str">
        <f t="shared" si="28"/>
        <v/>
      </c>
      <c r="CY37" s="40" t="str">
        <f t="shared" si="29"/>
        <v/>
      </c>
      <c r="CZ37" s="40" t="str">
        <f t="shared" si="30"/>
        <v/>
      </c>
      <c r="DA37" s="40" t="str">
        <f t="shared" si="31"/>
        <v/>
      </c>
      <c r="DB37" s="40" t="str">
        <f t="shared" si="32"/>
        <v/>
      </c>
      <c r="DC37" s="40" t="str">
        <f t="shared" si="33"/>
        <v/>
      </c>
      <c r="DD37" s="40" t="str">
        <f t="shared" si="34"/>
        <v/>
      </c>
      <c r="DE37" s="40" t="str">
        <f t="shared" si="35"/>
        <v/>
      </c>
      <c r="DF37" s="50" t="str">
        <f t="shared" si="36"/>
        <v/>
      </c>
      <c r="DG37" s="50" t="str">
        <f t="shared" si="37"/>
        <v/>
      </c>
      <c r="DH37" s="50" t="str">
        <f t="shared" si="38"/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 t="shared" si="39"/>
        <v/>
      </c>
      <c r="ED37" s="40" t="str">
        <f t="shared" si="40"/>
        <v/>
      </c>
      <c r="EE37" s="40" t="str">
        <f t="shared" si="41"/>
        <v/>
      </c>
      <c r="EF37" s="40" t="str">
        <f t="shared" si="42"/>
        <v/>
      </c>
      <c r="EG37" s="40" t="str">
        <f t="shared" si="43"/>
        <v/>
      </c>
      <c r="EH37" s="40" t="str">
        <f t="shared" si="44"/>
        <v/>
      </c>
      <c r="EI37" s="40" t="str">
        <f t="shared" si="45"/>
        <v/>
      </c>
      <c r="EJ37" s="40" t="str">
        <f t="shared" si="46"/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 t="shared" si="47"/>
        <v/>
      </c>
      <c r="FF37" s="11" t="str">
        <f t="shared" si="48"/>
        <v/>
      </c>
      <c r="FG37" s="11" t="str">
        <f t="shared" si="49"/>
        <v/>
      </c>
      <c r="FH37" s="11" t="str">
        <f t="shared" si="50"/>
        <v/>
      </c>
      <c r="FI37" s="11" t="str">
        <f t="shared" si="51"/>
        <v/>
      </c>
      <c r="FJ37" s="11" t="str">
        <f t="shared" si="52"/>
        <v/>
      </c>
      <c r="FK37" s="11" t="str">
        <f t="shared" si="53"/>
        <v/>
      </c>
      <c r="FL37" s="11" t="str">
        <f t="shared" si="54"/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 t="shared" si="55"/>
        <v/>
      </c>
      <c r="GH37" s="40" t="str">
        <f t="shared" si="56"/>
        <v/>
      </c>
      <c r="GI37" s="40" t="str">
        <f t="shared" si="57"/>
        <v/>
      </c>
      <c r="GJ37" s="40" t="str">
        <f t="shared" si="58"/>
        <v/>
      </c>
      <c r="GK37" s="40" t="str">
        <f t="shared" si="59"/>
        <v/>
      </c>
      <c r="GL37" s="40" t="str">
        <f t="shared" si="60"/>
        <v/>
      </c>
      <c r="GM37" s="40" t="str">
        <f t="shared" si="61"/>
        <v/>
      </c>
      <c r="GN37" s="40" t="str">
        <f t="shared" si="62"/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 t="shared" si="63"/>
        <v/>
      </c>
      <c r="HJ37" s="11" t="str">
        <f t="shared" si="64"/>
        <v/>
      </c>
      <c r="HK37" s="11" t="str">
        <f t="shared" si="65"/>
        <v/>
      </c>
      <c r="HL37" s="11" t="str">
        <f t="shared" si="66"/>
        <v/>
      </c>
      <c r="HM37" s="11" t="str">
        <f t="shared" si="67"/>
        <v/>
      </c>
      <c r="HN37" s="11" t="str">
        <f t="shared" si="68"/>
        <v/>
      </c>
      <c r="HO37" s="11" t="str">
        <f t="shared" si="69"/>
        <v/>
      </c>
      <c r="HP37" s="11" t="str">
        <f t="shared" si="70"/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 t="shared" si="71"/>
        <v/>
      </c>
      <c r="IL37" s="40" t="str">
        <f t="shared" si="72"/>
        <v/>
      </c>
      <c r="IM37" s="40" t="str">
        <f t="shared" si="73"/>
        <v/>
      </c>
      <c r="IN37" s="40" t="str">
        <f t="shared" si="74"/>
        <v/>
      </c>
      <c r="IO37" s="40" t="str">
        <f t="shared" si="75"/>
        <v/>
      </c>
      <c r="IP37" s="40" t="str">
        <f t="shared" si="76"/>
        <v/>
      </c>
      <c r="IQ37" s="40" t="str">
        <f t="shared" si="77"/>
        <v/>
      </c>
      <c r="IR37" s="40" t="str">
        <f t="shared" si="78"/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 t="shared" si="79"/>
        <v/>
      </c>
      <c r="JN37" s="11" t="str">
        <f t="shared" si="80"/>
        <v/>
      </c>
      <c r="JO37" s="11" t="str">
        <f t="shared" si="81"/>
        <v/>
      </c>
      <c r="JP37" s="11" t="str">
        <f t="shared" si="82"/>
        <v/>
      </c>
      <c r="JQ37" s="11" t="str">
        <f t="shared" si="83"/>
        <v/>
      </c>
      <c r="JR37" s="11" t="str">
        <f t="shared" si="84"/>
        <v/>
      </c>
      <c r="JS37" s="11" t="str">
        <f t="shared" si="85"/>
        <v/>
      </c>
      <c r="JT37" s="11" t="str">
        <f t="shared" si="86"/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 t="shared" si="87"/>
        <v/>
      </c>
      <c r="KP37" s="40" t="str">
        <f t="shared" si="88"/>
        <v/>
      </c>
      <c r="KQ37" s="40" t="str">
        <f t="shared" si="89"/>
        <v/>
      </c>
      <c r="KR37" s="40" t="str">
        <f t="shared" si="90"/>
        <v/>
      </c>
      <c r="KS37" s="40" t="str">
        <f t="shared" si="91"/>
        <v/>
      </c>
      <c r="KT37" s="40" t="str">
        <f t="shared" si="92"/>
        <v/>
      </c>
      <c r="KU37" s="40" t="str">
        <f t="shared" si="93"/>
        <v/>
      </c>
      <c r="KV37" s="40" t="str">
        <f t="shared" si="94"/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 t="shared" si="95"/>
        <v/>
      </c>
      <c r="LR37" s="11" t="str">
        <f t="shared" si="96"/>
        <v/>
      </c>
      <c r="LS37" s="11" t="str">
        <f t="shared" si="97"/>
        <v/>
      </c>
      <c r="LT37" s="11" t="str">
        <f t="shared" si="98"/>
        <v/>
      </c>
      <c r="LU37" s="11" t="str">
        <f t="shared" si="99"/>
        <v/>
      </c>
      <c r="LV37" s="11" t="str">
        <f t="shared" si="100"/>
        <v/>
      </c>
      <c r="LW37" s="11" t="str">
        <f t="shared" si="101"/>
        <v/>
      </c>
      <c r="LX37" s="11" t="str">
        <f t="shared" si="102"/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 t="shared" si="103"/>
        <v/>
      </c>
      <c r="MT37" s="40" t="str">
        <f t="shared" si="104"/>
        <v/>
      </c>
      <c r="MU37" s="40" t="str">
        <f t="shared" si="105"/>
        <v/>
      </c>
      <c r="MV37" s="40" t="str">
        <f t="shared" si="106"/>
        <v/>
      </c>
      <c r="MW37" s="40" t="str">
        <f t="shared" si="107"/>
        <v/>
      </c>
      <c r="MX37" s="40" t="str">
        <f t="shared" si="108"/>
        <v/>
      </c>
      <c r="MY37" s="40" t="str">
        <f t="shared" si="109"/>
        <v/>
      </c>
      <c r="MZ37" s="40" t="str">
        <f t="shared" si="110"/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 t="shared" si="111"/>
        <v/>
      </c>
      <c r="NV37" s="11" t="str">
        <f t="shared" si="112"/>
        <v/>
      </c>
      <c r="NW37" s="11" t="str">
        <f t="shared" si="113"/>
        <v/>
      </c>
      <c r="NX37" s="11" t="str">
        <f t="shared" si="114"/>
        <v/>
      </c>
      <c r="NY37" s="11" t="str">
        <f t="shared" si="115"/>
        <v/>
      </c>
      <c r="NZ37" s="11" t="str">
        <f t="shared" si="116"/>
        <v/>
      </c>
      <c r="OA37" s="11" t="str">
        <f t="shared" si="117"/>
        <v/>
      </c>
      <c r="OB37" s="11" t="str">
        <f t="shared" si="118"/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 t="shared" si="119"/>
        <v/>
      </c>
      <c r="OX37" s="40" t="str">
        <f t="shared" si="120"/>
        <v/>
      </c>
      <c r="OY37" s="40" t="str">
        <f t="shared" si="121"/>
        <v/>
      </c>
      <c r="OZ37" s="40" t="str">
        <f t="shared" si="122"/>
        <v/>
      </c>
      <c r="PA37" s="40" t="str">
        <f t="shared" si="123"/>
        <v/>
      </c>
      <c r="PB37" s="40" t="str">
        <f t="shared" si="124"/>
        <v/>
      </c>
      <c r="PC37" s="40" t="str">
        <f t="shared" si="125"/>
        <v/>
      </c>
      <c r="PD37" s="40" t="str">
        <f t="shared" si="126"/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 t="shared" si="127"/>
        <v/>
      </c>
      <c r="PZ37" s="11" t="str">
        <f t="shared" si="128"/>
        <v/>
      </c>
      <c r="QA37" s="11" t="str">
        <f t="shared" si="129"/>
        <v/>
      </c>
      <c r="QB37" s="11" t="str">
        <f t="shared" si="130"/>
        <v/>
      </c>
      <c r="QC37" s="11" t="str">
        <f t="shared" si="131"/>
        <v/>
      </c>
      <c r="QD37" s="11" t="str">
        <f t="shared" si="132"/>
        <v/>
      </c>
      <c r="QE37" s="11" t="str">
        <f t="shared" si="133"/>
        <v/>
      </c>
      <c r="QF37" s="11" t="str">
        <f t="shared" si="134"/>
        <v/>
      </c>
      <c r="QG37" s="22">
        <f t="shared" si="135"/>
        <v>8.9</v>
      </c>
      <c r="QH37" s="22">
        <f t="shared" si="136"/>
        <v>0.6</v>
      </c>
      <c r="QI37" s="22">
        <f t="shared" si="137"/>
        <v>1.8</v>
      </c>
      <c r="QJ37" s="22">
        <f t="shared" si="138"/>
        <v>0</v>
      </c>
      <c r="QK37" s="22">
        <f t="shared" si="139"/>
        <v>9.4</v>
      </c>
      <c r="QL37" s="22">
        <f t="shared" si="140"/>
        <v>2</v>
      </c>
      <c r="QM37" s="22">
        <f t="shared" si="141"/>
        <v>0</v>
      </c>
      <c r="QN37" s="22">
        <f t="shared" si="142"/>
        <v>0</v>
      </c>
      <c r="QO37" s="22">
        <f t="shared" si="143"/>
        <v>9.4</v>
      </c>
      <c r="QP37" s="22">
        <f t="shared" si="144"/>
        <v>2.2000000000000002</v>
      </c>
      <c r="QQ37" s="22">
        <f t="shared" si="145"/>
        <v>0.3</v>
      </c>
      <c r="QR37" s="22">
        <f t="shared" si="146"/>
        <v>0</v>
      </c>
      <c r="QS37" s="22">
        <f t="shared" si="147"/>
        <v>0</v>
      </c>
      <c r="QT37" s="22">
        <f t="shared" si="148"/>
        <v>0</v>
      </c>
      <c r="QU37" s="22">
        <f t="shared" si="149"/>
        <v>0</v>
      </c>
      <c r="QV37" s="22">
        <f t="shared" si="150"/>
        <v>0</v>
      </c>
      <c r="QW37" s="22">
        <f t="shared" si="151"/>
        <v>0</v>
      </c>
      <c r="QX37" s="22">
        <f t="shared" si="152"/>
        <v>0</v>
      </c>
      <c r="QY37" s="22">
        <f t="shared" si="153"/>
        <v>0</v>
      </c>
      <c r="QZ37" s="22">
        <f t="shared" si="154"/>
        <v>0</v>
      </c>
      <c r="RA37" s="27" t="s">
        <v>46</v>
      </c>
      <c r="RB37" s="40">
        <f t="shared" si="155"/>
        <v>2.6</v>
      </c>
      <c r="RC37" s="40">
        <f t="shared" si="156"/>
        <v>19.099999999999998</v>
      </c>
      <c r="RD37" s="40">
        <f t="shared" si="157"/>
        <v>11.3</v>
      </c>
      <c r="RE37" s="40">
        <f t="shared" si="158"/>
        <v>4.8000000000000007</v>
      </c>
      <c r="RF37" s="40">
        <f t="shared" si="159"/>
        <v>30.4</v>
      </c>
      <c r="RG37" s="40" t="str">
        <f t="shared" si="160"/>
        <v/>
      </c>
      <c r="RH37" s="40" t="str">
        <f t="shared" si="161"/>
        <v/>
      </c>
      <c r="RI37" s="40">
        <f t="shared" si="162"/>
        <v>30.4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69</v>
      </c>
      <c r="D38" s="4" t="s">
        <v>5</v>
      </c>
      <c r="E38" s="4">
        <v>2002</v>
      </c>
      <c r="F38" s="9">
        <f t="shared" si="163"/>
        <v>46.000004600004594</v>
      </c>
      <c r="G38" s="66"/>
      <c r="H38" s="3" t="str">
        <f t="shared" si="0"/>
        <v/>
      </c>
      <c r="I38" s="3" t="str">
        <f t="shared" si="1"/>
        <v/>
      </c>
      <c r="J38" s="36" t="str">
        <f t="shared" si="2"/>
        <v/>
      </c>
      <c r="K38" s="3" t="str">
        <f t="shared" si="3"/>
        <v/>
      </c>
      <c r="L38" s="8">
        <f>IF(COUNT(AS38,BV38,CY38)&gt;0,LARGE((AS38,BV38,CY38),1),0)</f>
        <v>46</v>
      </c>
      <c r="M38" s="8" t="str">
        <f t="shared" si="4"/>
        <v>2023 Nationals</v>
      </c>
      <c r="N38" s="8">
        <f>IF(COUNT(AS38,BV38,CY38)&gt;1,LARGE((AS38,BV38,CY38),2),0)</f>
        <v>0</v>
      </c>
      <c r="O38" s="8" t="str">
        <f t="shared" si="5"/>
        <v/>
      </c>
      <c r="P38" s="8">
        <f>IF(COUNT(AT38,BW38,CZ38)&gt;0,LARGE((AT38,BW38,CZ38),1),0)</f>
        <v>0</v>
      </c>
      <c r="Q38" s="8" t="str">
        <f t="shared" si="6"/>
        <v/>
      </c>
      <c r="R38" s="8">
        <f t="shared" si="7"/>
        <v>0</v>
      </c>
      <c r="S38" s="8" t="str">
        <f t="shared" si="8"/>
        <v/>
      </c>
      <c r="T38" s="8" t="str">
        <f t="shared" si="9"/>
        <v/>
      </c>
      <c r="U38" s="11" t="str">
        <f t="shared" si="10"/>
        <v/>
      </c>
      <c r="V38" s="8" t="str">
        <f t="shared" si="11"/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 t="shared" si="12"/>
        <v/>
      </c>
      <c r="AS38" s="40" t="str">
        <f t="shared" si="13"/>
        <v/>
      </c>
      <c r="AT38" s="40" t="str">
        <f t="shared" si="14"/>
        <v/>
      </c>
      <c r="AU38" s="40" t="str">
        <f t="shared" si="15"/>
        <v/>
      </c>
      <c r="AV38" s="40" t="str">
        <f t="shared" si="16"/>
        <v/>
      </c>
      <c r="AW38" s="40" t="str">
        <f t="shared" si="17"/>
        <v/>
      </c>
      <c r="AX38" s="40" t="str">
        <f t="shared" si="18"/>
        <v/>
      </c>
      <c r="AY38" s="40" t="str">
        <f t="shared" si="19"/>
        <v/>
      </c>
      <c r="AZ38" s="18">
        <v>16.600000000000001</v>
      </c>
      <c r="BA38" s="18">
        <v>6</v>
      </c>
      <c r="BB38" s="18">
        <v>1</v>
      </c>
      <c r="BC38" s="18">
        <v>0</v>
      </c>
      <c r="BD38" s="18">
        <v>18.600000000000001</v>
      </c>
      <c r="BE38" s="18">
        <v>6.4</v>
      </c>
      <c r="BF38" s="18">
        <v>0.6</v>
      </c>
      <c r="BG38" s="18">
        <v>0</v>
      </c>
      <c r="BH38" s="18">
        <v>0</v>
      </c>
      <c r="BI38" s="18">
        <v>0</v>
      </c>
      <c r="BJ38" s="18">
        <v>0</v>
      </c>
      <c r="BK38" s="18">
        <v>0</v>
      </c>
      <c r="BL38" s="18"/>
      <c r="BM38" s="18"/>
      <c r="BN38" s="18"/>
      <c r="BO38" s="18"/>
      <c r="BP38" s="18"/>
      <c r="BQ38" s="18"/>
      <c r="BR38" s="18"/>
      <c r="BS38" s="18"/>
      <c r="BT38" s="28"/>
      <c r="BU38" s="11">
        <f t="shared" si="20"/>
        <v>12.4</v>
      </c>
      <c r="BV38" s="11">
        <f t="shared" si="21"/>
        <v>46</v>
      </c>
      <c r="BW38" s="11" t="str">
        <f t="shared" si="22"/>
        <v/>
      </c>
      <c r="BX38" s="11">
        <f t="shared" si="23"/>
        <v>12.4</v>
      </c>
      <c r="BY38" s="11">
        <f t="shared" si="24"/>
        <v>46</v>
      </c>
      <c r="BZ38" s="11" t="str">
        <f t="shared" si="25"/>
        <v/>
      </c>
      <c r="CA38" s="11" t="str">
        <f t="shared" si="26"/>
        <v/>
      </c>
      <c r="CB38" s="11">
        <f t="shared" si="27"/>
        <v>46</v>
      </c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27"/>
      <c r="CX38" s="40" t="str">
        <f t="shared" si="28"/>
        <v/>
      </c>
      <c r="CY38" s="40" t="str">
        <f t="shared" si="29"/>
        <v/>
      </c>
      <c r="CZ38" s="40" t="str">
        <f t="shared" si="30"/>
        <v/>
      </c>
      <c r="DA38" s="40" t="str">
        <f t="shared" si="31"/>
        <v/>
      </c>
      <c r="DB38" s="40" t="str">
        <f t="shared" si="32"/>
        <v/>
      </c>
      <c r="DC38" s="40" t="str">
        <f t="shared" si="33"/>
        <v/>
      </c>
      <c r="DD38" s="40" t="str">
        <f t="shared" si="34"/>
        <v/>
      </c>
      <c r="DE38" s="40" t="str">
        <f t="shared" si="35"/>
        <v/>
      </c>
      <c r="DF38" s="50" t="str">
        <f t="shared" si="36"/>
        <v/>
      </c>
      <c r="DG38" s="50" t="str">
        <f t="shared" si="37"/>
        <v/>
      </c>
      <c r="DH38" s="50" t="str">
        <f t="shared" si="38"/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 t="shared" si="39"/>
        <v/>
      </c>
      <c r="ED38" s="40" t="str">
        <f t="shared" si="40"/>
        <v/>
      </c>
      <c r="EE38" s="40" t="str">
        <f t="shared" si="41"/>
        <v/>
      </c>
      <c r="EF38" s="40" t="str">
        <f t="shared" si="42"/>
        <v/>
      </c>
      <c r="EG38" s="40" t="str">
        <f t="shared" si="43"/>
        <v/>
      </c>
      <c r="EH38" s="40" t="str">
        <f t="shared" si="44"/>
        <v/>
      </c>
      <c r="EI38" s="40" t="str">
        <f t="shared" si="45"/>
        <v/>
      </c>
      <c r="EJ38" s="40" t="str">
        <f t="shared" si="46"/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 t="shared" si="47"/>
        <v/>
      </c>
      <c r="FF38" s="11" t="str">
        <f t="shared" si="48"/>
        <v/>
      </c>
      <c r="FG38" s="11" t="str">
        <f t="shared" si="49"/>
        <v/>
      </c>
      <c r="FH38" s="11" t="str">
        <f t="shared" si="50"/>
        <v/>
      </c>
      <c r="FI38" s="11" t="str">
        <f t="shared" si="51"/>
        <v/>
      </c>
      <c r="FJ38" s="11" t="str">
        <f t="shared" si="52"/>
        <v/>
      </c>
      <c r="FK38" s="11" t="str">
        <f t="shared" si="53"/>
        <v/>
      </c>
      <c r="FL38" s="11" t="str">
        <f t="shared" si="54"/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 t="shared" si="55"/>
        <v/>
      </c>
      <c r="GH38" s="40" t="str">
        <f t="shared" si="56"/>
        <v/>
      </c>
      <c r="GI38" s="40" t="str">
        <f t="shared" si="57"/>
        <v/>
      </c>
      <c r="GJ38" s="40" t="str">
        <f t="shared" si="58"/>
        <v/>
      </c>
      <c r="GK38" s="40" t="str">
        <f t="shared" si="59"/>
        <v/>
      </c>
      <c r="GL38" s="40" t="str">
        <f t="shared" si="60"/>
        <v/>
      </c>
      <c r="GM38" s="40" t="str">
        <f t="shared" si="61"/>
        <v/>
      </c>
      <c r="GN38" s="40" t="str">
        <f t="shared" si="62"/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 t="shared" si="63"/>
        <v/>
      </c>
      <c r="HJ38" s="11" t="str">
        <f t="shared" si="64"/>
        <v/>
      </c>
      <c r="HK38" s="11" t="str">
        <f t="shared" si="65"/>
        <v/>
      </c>
      <c r="HL38" s="11" t="str">
        <f t="shared" si="66"/>
        <v/>
      </c>
      <c r="HM38" s="11" t="str">
        <f t="shared" si="67"/>
        <v/>
      </c>
      <c r="HN38" s="11" t="str">
        <f t="shared" si="68"/>
        <v/>
      </c>
      <c r="HO38" s="11" t="str">
        <f t="shared" si="69"/>
        <v/>
      </c>
      <c r="HP38" s="11" t="str">
        <f t="shared" si="70"/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 t="shared" si="71"/>
        <v/>
      </c>
      <c r="IL38" s="40" t="str">
        <f t="shared" si="72"/>
        <v/>
      </c>
      <c r="IM38" s="40" t="str">
        <f t="shared" si="73"/>
        <v/>
      </c>
      <c r="IN38" s="40" t="str">
        <f t="shared" si="74"/>
        <v/>
      </c>
      <c r="IO38" s="40" t="str">
        <f t="shared" si="75"/>
        <v/>
      </c>
      <c r="IP38" s="40" t="str">
        <f t="shared" si="76"/>
        <v/>
      </c>
      <c r="IQ38" s="40" t="str">
        <f t="shared" si="77"/>
        <v/>
      </c>
      <c r="IR38" s="40" t="str">
        <f t="shared" si="78"/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 t="shared" si="79"/>
        <v/>
      </c>
      <c r="JN38" s="11" t="str">
        <f t="shared" si="80"/>
        <v/>
      </c>
      <c r="JO38" s="11" t="str">
        <f t="shared" si="81"/>
        <v/>
      </c>
      <c r="JP38" s="11" t="str">
        <f t="shared" si="82"/>
        <v/>
      </c>
      <c r="JQ38" s="11" t="str">
        <f t="shared" si="83"/>
        <v/>
      </c>
      <c r="JR38" s="11" t="str">
        <f t="shared" si="84"/>
        <v/>
      </c>
      <c r="JS38" s="11" t="str">
        <f t="shared" si="85"/>
        <v/>
      </c>
      <c r="JT38" s="11" t="str">
        <f t="shared" si="86"/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 t="shared" si="87"/>
        <v/>
      </c>
      <c r="KP38" s="40" t="str">
        <f t="shared" si="88"/>
        <v/>
      </c>
      <c r="KQ38" s="40" t="str">
        <f t="shared" si="89"/>
        <v/>
      </c>
      <c r="KR38" s="40" t="str">
        <f t="shared" si="90"/>
        <v/>
      </c>
      <c r="KS38" s="40" t="str">
        <f t="shared" si="91"/>
        <v/>
      </c>
      <c r="KT38" s="40" t="str">
        <f t="shared" si="92"/>
        <v/>
      </c>
      <c r="KU38" s="40" t="str">
        <f t="shared" si="93"/>
        <v/>
      </c>
      <c r="KV38" s="40" t="str">
        <f t="shared" si="94"/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 t="shared" si="95"/>
        <v/>
      </c>
      <c r="LR38" s="11" t="str">
        <f t="shared" si="96"/>
        <v/>
      </c>
      <c r="LS38" s="11" t="str">
        <f t="shared" si="97"/>
        <v/>
      </c>
      <c r="LT38" s="11" t="str">
        <f t="shared" si="98"/>
        <v/>
      </c>
      <c r="LU38" s="11" t="str">
        <f t="shared" si="99"/>
        <v/>
      </c>
      <c r="LV38" s="11" t="str">
        <f t="shared" si="100"/>
        <v/>
      </c>
      <c r="LW38" s="11" t="str">
        <f t="shared" si="101"/>
        <v/>
      </c>
      <c r="LX38" s="11" t="str">
        <f t="shared" si="102"/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 t="shared" si="103"/>
        <v/>
      </c>
      <c r="MT38" s="40" t="str">
        <f t="shared" si="104"/>
        <v/>
      </c>
      <c r="MU38" s="40" t="str">
        <f t="shared" si="105"/>
        <v/>
      </c>
      <c r="MV38" s="40" t="str">
        <f t="shared" si="106"/>
        <v/>
      </c>
      <c r="MW38" s="40" t="str">
        <f t="shared" si="107"/>
        <v/>
      </c>
      <c r="MX38" s="40" t="str">
        <f t="shared" si="108"/>
        <v/>
      </c>
      <c r="MY38" s="40" t="str">
        <f t="shared" si="109"/>
        <v/>
      </c>
      <c r="MZ38" s="40" t="str">
        <f t="shared" si="110"/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 t="shared" si="111"/>
        <v/>
      </c>
      <c r="NV38" s="11" t="str">
        <f t="shared" si="112"/>
        <v/>
      </c>
      <c r="NW38" s="11" t="str">
        <f t="shared" si="113"/>
        <v/>
      </c>
      <c r="NX38" s="11" t="str">
        <f t="shared" si="114"/>
        <v/>
      </c>
      <c r="NY38" s="11" t="str">
        <f t="shared" si="115"/>
        <v/>
      </c>
      <c r="NZ38" s="11" t="str">
        <f t="shared" si="116"/>
        <v/>
      </c>
      <c r="OA38" s="11" t="str">
        <f t="shared" si="117"/>
        <v/>
      </c>
      <c r="OB38" s="11" t="str">
        <f t="shared" si="118"/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 t="shared" si="119"/>
        <v/>
      </c>
      <c r="OX38" s="40" t="str">
        <f t="shared" si="120"/>
        <v/>
      </c>
      <c r="OY38" s="40" t="str">
        <f t="shared" si="121"/>
        <v/>
      </c>
      <c r="OZ38" s="40" t="str">
        <f t="shared" si="122"/>
        <v/>
      </c>
      <c r="PA38" s="40" t="str">
        <f t="shared" si="123"/>
        <v/>
      </c>
      <c r="PB38" s="40" t="str">
        <f t="shared" si="124"/>
        <v/>
      </c>
      <c r="PC38" s="40" t="str">
        <f t="shared" si="125"/>
        <v/>
      </c>
      <c r="PD38" s="40" t="str">
        <f t="shared" si="126"/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 t="shared" si="127"/>
        <v/>
      </c>
      <c r="PZ38" s="11" t="str">
        <f t="shared" si="128"/>
        <v/>
      </c>
      <c r="QA38" s="11" t="str">
        <f t="shared" si="129"/>
        <v/>
      </c>
      <c r="QB38" s="11" t="str">
        <f t="shared" si="130"/>
        <v/>
      </c>
      <c r="QC38" s="11" t="str">
        <f t="shared" si="131"/>
        <v/>
      </c>
      <c r="QD38" s="11" t="str">
        <f t="shared" si="132"/>
        <v/>
      </c>
      <c r="QE38" s="11" t="str">
        <f t="shared" si="133"/>
        <v/>
      </c>
      <c r="QF38" s="11" t="str">
        <f t="shared" si="134"/>
        <v/>
      </c>
      <c r="QG38" s="22">
        <f t="shared" si="135"/>
        <v>8.3000000000000007</v>
      </c>
      <c r="QH38" s="22">
        <f t="shared" si="136"/>
        <v>3</v>
      </c>
      <c r="QI38" s="22">
        <f t="shared" si="137"/>
        <v>0.5</v>
      </c>
      <c r="QJ38" s="22">
        <f t="shared" si="138"/>
        <v>0</v>
      </c>
      <c r="QK38" s="22">
        <f t="shared" si="139"/>
        <v>9.3000000000000007</v>
      </c>
      <c r="QL38" s="22">
        <f t="shared" si="140"/>
        <v>3.2</v>
      </c>
      <c r="QM38" s="22">
        <f t="shared" si="141"/>
        <v>0.3</v>
      </c>
      <c r="QN38" s="22">
        <f t="shared" si="142"/>
        <v>0</v>
      </c>
      <c r="QO38" s="22">
        <f t="shared" si="143"/>
        <v>0</v>
      </c>
      <c r="QP38" s="22">
        <f t="shared" si="144"/>
        <v>0</v>
      </c>
      <c r="QQ38" s="22">
        <f t="shared" si="145"/>
        <v>0</v>
      </c>
      <c r="QR38" s="22">
        <f t="shared" si="146"/>
        <v>0</v>
      </c>
      <c r="QS38" s="22">
        <f t="shared" si="147"/>
        <v>0</v>
      </c>
      <c r="QT38" s="22">
        <f t="shared" si="148"/>
        <v>0</v>
      </c>
      <c r="QU38" s="22">
        <f t="shared" si="149"/>
        <v>0</v>
      </c>
      <c r="QV38" s="22">
        <f t="shared" si="150"/>
        <v>0</v>
      </c>
      <c r="QW38" s="22">
        <f t="shared" si="151"/>
        <v>0</v>
      </c>
      <c r="QX38" s="22">
        <f t="shared" si="152"/>
        <v>0</v>
      </c>
      <c r="QY38" s="22">
        <f t="shared" si="153"/>
        <v>0</v>
      </c>
      <c r="QZ38" s="22">
        <f t="shared" si="154"/>
        <v>0</v>
      </c>
      <c r="RA38" s="27" t="s">
        <v>46</v>
      </c>
      <c r="RB38" s="40">
        <f t="shared" si="155"/>
        <v>6.2</v>
      </c>
      <c r="RC38" s="40">
        <f t="shared" si="156"/>
        <v>23</v>
      </c>
      <c r="RD38" s="40" t="str">
        <f t="shared" si="157"/>
        <v/>
      </c>
      <c r="RE38" s="40">
        <f t="shared" si="158"/>
        <v>6.2</v>
      </c>
      <c r="RF38" s="40">
        <f t="shared" si="159"/>
        <v>23</v>
      </c>
      <c r="RG38" s="40" t="str">
        <f t="shared" si="160"/>
        <v/>
      </c>
      <c r="RH38" s="40" t="str">
        <f t="shared" si="161"/>
        <v/>
      </c>
      <c r="RI38" s="40">
        <f t="shared" si="162"/>
        <v>23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136</v>
      </c>
      <c r="D39" s="4" t="s">
        <v>5</v>
      </c>
      <c r="E39" s="4">
        <v>2005</v>
      </c>
      <c r="F39" s="9">
        <f t="shared" si="163"/>
        <v>44.000004400002403</v>
      </c>
      <c r="G39" s="66"/>
      <c r="H39" s="3" t="str">
        <f t="shared" si="0"/>
        <v/>
      </c>
      <c r="I39" s="3" t="str">
        <f t="shared" si="1"/>
        <v/>
      </c>
      <c r="J39" s="36" t="str">
        <f t="shared" si="2"/>
        <v/>
      </c>
      <c r="K39" s="3" t="str">
        <f t="shared" si="3"/>
        <v/>
      </c>
      <c r="L39" s="8">
        <f>IF(COUNT(AS39,BV39,CY39)&gt;0,LARGE((AS39,BV39,CY39),1),0)</f>
        <v>24</v>
      </c>
      <c r="M39" s="8" t="str">
        <f t="shared" si="4"/>
        <v>2023 Elite Canada</v>
      </c>
      <c r="N39" s="8">
        <f>IF(COUNT(AS39,BV39,CY39)&gt;1,LARGE((AS39,BV39,CY39),2),0)</f>
        <v>0</v>
      </c>
      <c r="O39" s="8" t="str">
        <f t="shared" si="5"/>
        <v/>
      </c>
      <c r="P39" s="8">
        <f>IF(COUNT(AT39,BW39,CZ39)&gt;0,LARGE((AT39,BW39,CZ39),1),0)</f>
        <v>20</v>
      </c>
      <c r="Q39" s="8" t="str">
        <f t="shared" si="6"/>
        <v>2023 Elite Canada</v>
      </c>
      <c r="R39" s="8">
        <f t="shared" si="7"/>
        <v>0</v>
      </c>
      <c r="S39" s="8" t="str">
        <f t="shared" si="8"/>
        <v/>
      </c>
      <c r="T39" s="8" t="str">
        <f t="shared" si="9"/>
        <v/>
      </c>
      <c r="U39" s="11" t="str">
        <f t="shared" si="10"/>
        <v/>
      </c>
      <c r="V39" s="8" t="str">
        <f t="shared" si="11"/>
        <v/>
      </c>
      <c r="W39" s="19">
        <v>18</v>
      </c>
      <c r="X39" s="19">
        <v>6.8</v>
      </c>
      <c r="Y39" s="19">
        <v>0.8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9">
        <v>17.2</v>
      </c>
      <c r="AF39" s="19">
        <v>2.8</v>
      </c>
      <c r="AG39" s="19">
        <v>0</v>
      </c>
      <c r="AH39" s="19">
        <v>0</v>
      </c>
      <c r="AI39" s="19"/>
      <c r="AJ39" s="19"/>
      <c r="AK39" s="19"/>
      <c r="AL39" s="19"/>
      <c r="AM39" s="19"/>
      <c r="AN39" s="19"/>
      <c r="AO39" s="19"/>
      <c r="AP39" s="19"/>
      <c r="AQ39" s="27"/>
      <c r="AR39" s="40">
        <f t="shared" si="12"/>
        <v>6.8</v>
      </c>
      <c r="AS39" s="40">
        <f t="shared" si="13"/>
        <v>24</v>
      </c>
      <c r="AT39" s="40">
        <f t="shared" si="14"/>
        <v>20</v>
      </c>
      <c r="AU39" s="40">
        <f t="shared" si="15"/>
        <v>9.6</v>
      </c>
      <c r="AV39" s="40">
        <f t="shared" si="16"/>
        <v>44</v>
      </c>
      <c r="AW39" s="40" t="str">
        <f t="shared" si="17"/>
        <v/>
      </c>
      <c r="AX39" s="40" t="str">
        <f t="shared" si="18"/>
        <v/>
      </c>
      <c r="AY39" s="40">
        <f t="shared" si="19"/>
        <v>44</v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 t="shared" si="20"/>
        <v/>
      </c>
      <c r="BV39" s="11" t="str">
        <f t="shared" si="21"/>
        <v/>
      </c>
      <c r="BW39" s="11" t="str">
        <f t="shared" si="22"/>
        <v/>
      </c>
      <c r="BX39" s="11" t="str">
        <f t="shared" si="23"/>
        <v/>
      </c>
      <c r="BY39" s="11" t="str">
        <f t="shared" si="24"/>
        <v/>
      </c>
      <c r="BZ39" s="11" t="str">
        <f t="shared" si="25"/>
        <v/>
      </c>
      <c r="CA39" s="11" t="str">
        <f t="shared" si="26"/>
        <v/>
      </c>
      <c r="CB39" s="11" t="str">
        <f t="shared" si="27"/>
        <v/>
      </c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27"/>
      <c r="CX39" s="40" t="str">
        <f t="shared" si="28"/>
        <v/>
      </c>
      <c r="CY39" s="40" t="str">
        <f t="shared" si="29"/>
        <v/>
      </c>
      <c r="CZ39" s="40" t="str">
        <f t="shared" si="30"/>
        <v/>
      </c>
      <c r="DA39" s="40" t="str">
        <f t="shared" si="31"/>
        <v/>
      </c>
      <c r="DB39" s="40" t="str">
        <f t="shared" si="32"/>
        <v/>
      </c>
      <c r="DC39" s="40" t="str">
        <f t="shared" si="33"/>
        <v/>
      </c>
      <c r="DD39" s="40" t="str">
        <f t="shared" si="34"/>
        <v/>
      </c>
      <c r="DE39" s="40" t="str">
        <f t="shared" si="35"/>
        <v/>
      </c>
      <c r="DF39" s="50" t="str">
        <f t="shared" si="36"/>
        <v/>
      </c>
      <c r="DG39" s="50" t="str">
        <f t="shared" si="37"/>
        <v/>
      </c>
      <c r="DH39" s="50" t="str">
        <f t="shared" si="38"/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 t="shared" si="39"/>
        <v/>
      </c>
      <c r="ED39" s="40" t="str">
        <f t="shared" si="40"/>
        <v/>
      </c>
      <c r="EE39" s="40" t="str">
        <f t="shared" si="41"/>
        <v/>
      </c>
      <c r="EF39" s="40" t="str">
        <f t="shared" si="42"/>
        <v/>
      </c>
      <c r="EG39" s="40" t="str">
        <f t="shared" si="43"/>
        <v/>
      </c>
      <c r="EH39" s="40" t="str">
        <f t="shared" si="44"/>
        <v/>
      </c>
      <c r="EI39" s="40" t="str">
        <f t="shared" si="45"/>
        <v/>
      </c>
      <c r="EJ39" s="40" t="str">
        <f t="shared" si="46"/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 t="shared" si="47"/>
        <v/>
      </c>
      <c r="FF39" s="11" t="str">
        <f t="shared" si="48"/>
        <v/>
      </c>
      <c r="FG39" s="11" t="str">
        <f t="shared" si="49"/>
        <v/>
      </c>
      <c r="FH39" s="11" t="str">
        <f t="shared" si="50"/>
        <v/>
      </c>
      <c r="FI39" s="11" t="str">
        <f t="shared" si="51"/>
        <v/>
      </c>
      <c r="FJ39" s="11" t="str">
        <f t="shared" si="52"/>
        <v/>
      </c>
      <c r="FK39" s="11" t="str">
        <f t="shared" si="53"/>
        <v/>
      </c>
      <c r="FL39" s="11" t="str">
        <f t="shared" si="54"/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 t="shared" si="55"/>
        <v/>
      </c>
      <c r="GH39" s="40" t="str">
        <f t="shared" si="56"/>
        <v/>
      </c>
      <c r="GI39" s="40" t="str">
        <f t="shared" si="57"/>
        <v/>
      </c>
      <c r="GJ39" s="40" t="str">
        <f t="shared" si="58"/>
        <v/>
      </c>
      <c r="GK39" s="40" t="str">
        <f t="shared" si="59"/>
        <v/>
      </c>
      <c r="GL39" s="40" t="str">
        <f t="shared" si="60"/>
        <v/>
      </c>
      <c r="GM39" s="40" t="str">
        <f t="shared" si="61"/>
        <v/>
      </c>
      <c r="GN39" s="40" t="str">
        <f t="shared" si="62"/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 t="shared" si="63"/>
        <v/>
      </c>
      <c r="HJ39" s="11" t="str">
        <f t="shared" si="64"/>
        <v/>
      </c>
      <c r="HK39" s="11" t="str">
        <f t="shared" si="65"/>
        <v/>
      </c>
      <c r="HL39" s="11" t="str">
        <f t="shared" si="66"/>
        <v/>
      </c>
      <c r="HM39" s="11" t="str">
        <f t="shared" si="67"/>
        <v/>
      </c>
      <c r="HN39" s="11" t="str">
        <f t="shared" si="68"/>
        <v/>
      </c>
      <c r="HO39" s="11" t="str">
        <f t="shared" si="69"/>
        <v/>
      </c>
      <c r="HP39" s="11" t="str">
        <f t="shared" si="70"/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 t="shared" si="71"/>
        <v/>
      </c>
      <c r="IL39" s="40" t="str">
        <f t="shared" si="72"/>
        <v/>
      </c>
      <c r="IM39" s="40" t="str">
        <f t="shared" si="73"/>
        <v/>
      </c>
      <c r="IN39" s="40" t="str">
        <f t="shared" si="74"/>
        <v/>
      </c>
      <c r="IO39" s="40" t="str">
        <f t="shared" si="75"/>
        <v/>
      </c>
      <c r="IP39" s="40" t="str">
        <f t="shared" si="76"/>
        <v/>
      </c>
      <c r="IQ39" s="40" t="str">
        <f t="shared" si="77"/>
        <v/>
      </c>
      <c r="IR39" s="40" t="str">
        <f t="shared" si="78"/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 t="shared" si="79"/>
        <v/>
      </c>
      <c r="JN39" s="11" t="str">
        <f t="shared" si="80"/>
        <v/>
      </c>
      <c r="JO39" s="11" t="str">
        <f t="shared" si="81"/>
        <v/>
      </c>
      <c r="JP39" s="11" t="str">
        <f t="shared" si="82"/>
        <v/>
      </c>
      <c r="JQ39" s="11" t="str">
        <f t="shared" si="83"/>
        <v/>
      </c>
      <c r="JR39" s="11" t="str">
        <f t="shared" si="84"/>
        <v/>
      </c>
      <c r="JS39" s="11" t="str">
        <f t="shared" si="85"/>
        <v/>
      </c>
      <c r="JT39" s="11" t="str">
        <f t="shared" si="86"/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 t="shared" si="87"/>
        <v/>
      </c>
      <c r="KP39" s="40" t="str">
        <f t="shared" si="88"/>
        <v/>
      </c>
      <c r="KQ39" s="40" t="str">
        <f t="shared" si="89"/>
        <v/>
      </c>
      <c r="KR39" s="40" t="str">
        <f t="shared" si="90"/>
        <v/>
      </c>
      <c r="KS39" s="40" t="str">
        <f t="shared" si="91"/>
        <v/>
      </c>
      <c r="KT39" s="40" t="str">
        <f t="shared" si="92"/>
        <v/>
      </c>
      <c r="KU39" s="40" t="str">
        <f t="shared" si="93"/>
        <v/>
      </c>
      <c r="KV39" s="40" t="str">
        <f t="shared" si="94"/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 t="shared" si="95"/>
        <v/>
      </c>
      <c r="LR39" s="11" t="str">
        <f t="shared" si="96"/>
        <v/>
      </c>
      <c r="LS39" s="11" t="str">
        <f t="shared" si="97"/>
        <v/>
      </c>
      <c r="LT39" s="11" t="str">
        <f t="shared" si="98"/>
        <v/>
      </c>
      <c r="LU39" s="11" t="str">
        <f t="shared" si="99"/>
        <v/>
      </c>
      <c r="LV39" s="11" t="str">
        <f t="shared" si="100"/>
        <v/>
      </c>
      <c r="LW39" s="11" t="str">
        <f t="shared" si="101"/>
        <v/>
      </c>
      <c r="LX39" s="11" t="str">
        <f t="shared" si="102"/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 t="shared" si="103"/>
        <v/>
      </c>
      <c r="MT39" s="40" t="str">
        <f t="shared" si="104"/>
        <v/>
      </c>
      <c r="MU39" s="40" t="str">
        <f t="shared" si="105"/>
        <v/>
      </c>
      <c r="MV39" s="40" t="str">
        <f t="shared" si="106"/>
        <v/>
      </c>
      <c r="MW39" s="40" t="str">
        <f t="shared" si="107"/>
        <v/>
      </c>
      <c r="MX39" s="40" t="str">
        <f t="shared" si="108"/>
        <v/>
      </c>
      <c r="MY39" s="40" t="str">
        <f t="shared" si="109"/>
        <v/>
      </c>
      <c r="MZ39" s="40" t="str">
        <f t="shared" si="110"/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 t="shared" si="111"/>
        <v/>
      </c>
      <c r="NV39" s="11" t="str">
        <f t="shared" si="112"/>
        <v/>
      </c>
      <c r="NW39" s="11" t="str">
        <f t="shared" si="113"/>
        <v/>
      </c>
      <c r="NX39" s="11" t="str">
        <f t="shared" si="114"/>
        <v/>
      </c>
      <c r="NY39" s="11" t="str">
        <f t="shared" si="115"/>
        <v/>
      </c>
      <c r="NZ39" s="11" t="str">
        <f t="shared" si="116"/>
        <v/>
      </c>
      <c r="OA39" s="11" t="str">
        <f t="shared" si="117"/>
        <v/>
      </c>
      <c r="OB39" s="11" t="str">
        <f t="shared" si="118"/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 t="shared" si="119"/>
        <v/>
      </c>
      <c r="OX39" s="40" t="str">
        <f t="shared" si="120"/>
        <v/>
      </c>
      <c r="OY39" s="40" t="str">
        <f t="shared" si="121"/>
        <v/>
      </c>
      <c r="OZ39" s="40" t="str">
        <f t="shared" si="122"/>
        <v/>
      </c>
      <c r="PA39" s="40" t="str">
        <f t="shared" si="123"/>
        <v/>
      </c>
      <c r="PB39" s="40" t="str">
        <f t="shared" si="124"/>
        <v/>
      </c>
      <c r="PC39" s="40" t="str">
        <f t="shared" si="125"/>
        <v/>
      </c>
      <c r="PD39" s="40" t="str">
        <f t="shared" si="126"/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 t="shared" si="127"/>
        <v/>
      </c>
      <c r="PZ39" s="11" t="str">
        <f t="shared" si="128"/>
        <v/>
      </c>
      <c r="QA39" s="11" t="str">
        <f t="shared" si="129"/>
        <v/>
      </c>
      <c r="QB39" s="11" t="str">
        <f t="shared" si="130"/>
        <v/>
      </c>
      <c r="QC39" s="11" t="str">
        <f t="shared" si="131"/>
        <v/>
      </c>
      <c r="QD39" s="11" t="str">
        <f t="shared" si="132"/>
        <v/>
      </c>
      <c r="QE39" s="11" t="str">
        <f t="shared" si="133"/>
        <v/>
      </c>
      <c r="QF39" s="11" t="str">
        <f t="shared" si="134"/>
        <v/>
      </c>
      <c r="QG39" s="22">
        <f t="shared" si="135"/>
        <v>0</v>
      </c>
      <c r="QH39" s="22">
        <f t="shared" si="136"/>
        <v>0</v>
      </c>
      <c r="QI39" s="22">
        <f t="shared" si="137"/>
        <v>0</v>
      </c>
      <c r="QJ39" s="22">
        <f t="shared" si="138"/>
        <v>0</v>
      </c>
      <c r="QK39" s="22">
        <f t="shared" si="139"/>
        <v>0</v>
      </c>
      <c r="QL39" s="22">
        <f t="shared" si="140"/>
        <v>0</v>
      </c>
      <c r="QM39" s="22">
        <f t="shared" si="141"/>
        <v>0</v>
      </c>
      <c r="QN39" s="22">
        <f t="shared" si="142"/>
        <v>0</v>
      </c>
      <c r="QO39" s="22">
        <f t="shared" si="143"/>
        <v>0</v>
      </c>
      <c r="QP39" s="22">
        <f t="shared" si="144"/>
        <v>0</v>
      </c>
      <c r="QQ39" s="22">
        <f t="shared" si="145"/>
        <v>0</v>
      </c>
      <c r="QR39" s="22">
        <f t="shared" si="146"/>
        <v>0</v>
      </c>
      <c r="QS39" s="22">
        <f t="shared" si="147"/>
        <v>0</v>
      </c>
      <c r="QT39" s="22">
        <f t="shared" si="148"/>
        <v>0</v>
      </c>
      <c r="QU39" s="22">
        <f t="shared" si="149"/>
        <v>0</v>
      </c>
      <c r="QV39" s="22">
        <f t="shared" si="150"/>
        <v>0</v>
      </c>
      <c r="QW39" s="22">
        <f t="shared" si="151"/>
        <v>0</v>
      </c>
      <c r="QX39" s="22">
        <f t="shared" si="152"/>
        <v>0</v>
      </c>
      <c r="QY39" s="22">
        <f t="shared" si="153"/>
        <v>0</v>
      </c>
      <c r="QZ39" s="22">
        <f t="shared" si="154"/>
        <v>0</v>
      </c>
      <c r="RA39" s="27" t="s">
        <v>46</v>
      </c>
      <c r="RB39" s="40" t="str">
        <f t="shared" si="155"/>
        <v/>
      </c>
      <c r="RC39" s="40" t="str">
        <f t="shared" si="156"/>
        <v/>
      </c>
      <c r="RD39" s="40" t="str">
        <f t="shared" si="157"/>
        <v/>
      </c>
      <c r="RE39" s="40" t="str">
        <f t="shared" si="158"/>
        <v/>
      </c>
      <c r="RF39" s="40" t="str">
        <f t="shared" si="159"/>
        <v/>
      </c>
      <c r="RG39" s="40" t="str">
        <f t="shared" si="160"/>
        <v/>
      </c>
      <c r="RH39" s="40" t="str">
        <f t="shared" si="161"/>
        <v/>
      </c>
      <c r="RI39" s="40" t="str">
        <f t="shared" si="162"/>
        <v/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13.2</v>
      </c>
      <c r="FE42" s="4"/>
      <c r="FL42" s="42">
        <v>13.2</v>
      </c>
      <c r="GG42" s="4"/>
      <c r="GN42" s="42">
        <v>13.2</v>
      </c>
      <c r="HI42" s="4"/>
      <c r="HP42" s="42">
        <v>13.2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49.6</v>
      </c>
      <c r="FE46" s="4"/>
      <c r="FL46" s="63">
        <v>49.6</v>
      </c>
      <c r="GG46" s="4"/>
      <c r="GN46" s="63">
        <v>49.6</v>
      </c>
      <c r="HI46" s="4"/>
      <c r="HP46" s="63">
        <v>49.6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39">
      <sortCondition descending="1" ref="H1:H40"/>
    </sortState>
  </autoFilter>
  <mergeCells count="119"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</mergeCells>
  <conditionalFormatting sqref="W4:AY39">
    <cfRule type="expression" dxfId="59" priority="7" stopIfTrue="1">
      <formula>IF($AQ4&lt;&gt;"",1,0)</formula>
    </cfRule>
  </conditionalFormatting>
  <conditionalFormatting sqref="AZ4:CB39">
    <cfRule type="expression" dxfId="58" priority="12" stopIfTrue="1">
      <formula>IF($BT4&lt;&gt;"",1,0)</formula>
    </cfRule>
  </conditionalFormatting>
  <conditionalFormatting sqref="O1:O3 Q1:Q3 M1:M1048576 S1:S1048576 O4:Q1048576">
    <cfRule type="expression" dxfId="57" priority="19">
      <formula>IF(M1=$CC$1,1,0)</formula>
    </cfRule>
    <cfRule type="expression" dxfId="56" priority="20">
      <formula>IF(M1=$AZ$1,1,0)</formula>
    </cfRule>
    <cfRule type="expression" dxfId="55" priority="21">
      <formula>IF(M1=$W$1,1,0)</formula>
    </cfRule>
  </conditionalFormatting>
  <conditionalFormatting sqref="CC4:DE39">
    <cfRule type="expression" dxfId="54" priority="13" stopIfTrue="1">
      <formula>IF($CW4&lt;&gt;"",1,0)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46" priority="59088" operator="between">
      <formula>AY$49</formula>
      <formula>1000</formula>
    </cfRule>
    <cfRule type="cellIs" dxfId="45" priority="59089" operator="between">
      <formula>AY$48</formula>
      <formula>AY$49</formula>
    </cfRule>
    <cfRule type="cellIs" dxfId="44" priority="59090" operator="between">
      <formula>AY$47</formula>
      <formula>AY$48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115263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115308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115353" operator="between">
      <formula>AY$42</formula>
      <formula>AY$43</formula>
    </cfRule>
    <cfRule type="cellIs" dxfId="40" priority="115354" operator="between">
      <formula>AY$43</formula>
      <formula>AY$44</formula>
    </cfRule>
    <cfRule type="cellIs" dxfId="39" priority="115355" operator="between">
      <formula>AY$44</formula>
      <formula>AY$45</formula>
    </cfRule>
    <cfRule type="cellIs" dxfId="38" priority="115356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115533" operator="between">
      <formula>AY$46</formula>
      <formula>AY$47</formula>
    </cfRule>
    <cfRule type="cellIs" dxfId="36" priority="115534" operator="between">
      <formula>AY$47</formula>
      <formula>AY$48</formula>
    </cfRule>
    <cfRule type="cellIs" dxfId="35" priority="115535" operator="between">
      <formula>AY$48</formula>
      <formula>AY$49</formula>
    </cfRule>
    <cfRule type="cellIs" dxfId="34" priority="115536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3" priority="115713" operator="between">
      <formula>AY$45</formula>
      <formula>1000</formula>
    </cfRule>
    <cfRule type="cellIs" dxfId="32" priority="115714" operator="between">
      <formula>AY$44</formula>
      <formula>AY$45</formula>
    </cfRule>
    <cfRule type="cellIs" dxfId="31" priority="115715" operator="between">
      <formula>AY$43</formula>
      <formula>AY$44</formula>
    </cfRule>
  </conditionalFormatting>
  <conditionalFormatting sqref="A1:B3">
    <cfRule type="expression" dxfId="30" priority="2">
      <formula>AND(I1&lt;&gt;"",H1="")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41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customWidth="1"/>
    <col min="337" max="356" width="10.83203125" hidden="1" customWidth="1"/>
    <col min="357" max="364" width="10.83203125" style="36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8" t="s">
        <v>229</v>
      </c>
      <c r="B1" s="78" t="s">
        <v>230</v>
      </c>
      <c r="C1" s="74" t="s">
        <v>22</v>
      </c>
      <c r="D1" s="74" t="s">
        <v>0</v>
      </c>
      <c r="E1" s="74" t="s">
        <v>48</v>
      </c>
      <c r="F1" s="74" t="s">
        <v>2</v>
      </c>
      <c r="G1" s="78" t="s">
        <v>231</v>
      </c>
      <c r="H1" s="78" t="s">
        <v>53</v>
      </c>
      <c r="I1" s="78" t="s">
        <v>8</v>
      </c>
      <c r="J1" s="74" t="s">
        <v>9</v>
      </c>
      <c r="K1" s="78" t="s">
        <v>70</v>
      </c>
      <c r="L1" s="75" t="s">
        <v>97</v>
      </c>
      <c r="M1" s="76" t="s">
        <v>25</v>
      </c>
      <c r="N1" s="75" t="s">
        <v>98</v>
      </c>
      <c r="O1" s="76" t="s">
        <v>25</v>
      </c>
      <c r="P1" s="75" t="s">
        <v>99</v>
      </c>
      <c r="Q1" s="76" t="s">
        <v>25</v>
      </c>
      <c r="R1" s="76" t="s">
        <v>10</v>
      </c>
      <c r="S1" s="76" t="s">
        <v>25</v>
      </c>
      <c r="T1" s="77" t="s">
        <v>11</v>
      </c>
      <c r="U1" s="76" t="s">
        <v>26</v>
      </c>
      <c r="V1" s="76" t="s">
        <v>25</v>
      </c>
      <c r="W1" s="71" t="s">
        <v>170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2" t="s">
        <v>196</v>
      </c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1" t="s">
        <v>225</v>
      </c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52</v>
      </c>
      <c r="DG1" s="73"/>
      <c r="DH1" s="73"/>
      <c r="DI1" s="71" t="s">
        <v>123</v>
      </c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2" t="s">
        <v>122</v>
      </c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1" t="s">
        <v>124</v>
      </c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2" t="s">
        <v>192</v>
      </c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 t="s">
        <v>194</v>
      </c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2" t="s">
        <v>195</v>
      </c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1" t="s">
        <v>224</v>
      </c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2" t="s">
        <v>233</v>
      </c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1" t="s">
        <v>236</v>
      </c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  <c r="PD1" s="71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1" t="s">
        <v>56</v>
      </c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</row>
    <row r="2" spans="1:477" x14ac:dyDescent="0.2">
      <c r="A2" s="78"/>
      <c r="B2" s="78"/>
      <c r="C2" s="74"/>
      <c r="D2" s="74"/>
      <c r="E2" s="74"/>
      <c r="F2" s="74"/>
      <c r="G2" s="78"/>
      <c r="H2" s="78"/>
      <c r="I2" s="78"/>
      <c r="J2" s="74"/>
      <c r="K2" s="78"/>
      <c r="L2" s="75"/>
      <c r="M2" s="76"/>
      <c r="N2" s="75"/>
      <c r="O2" s="76"/>
      <c r="P2" s="75"/>
      <c r="Q2" s="76"/>
      <c r="R2" s="76"/>
      <c r="S2" s="76"/>
      <c r="T2" s="77"/>
      <c r="U2" s="76"/>
      <c r="V2" s="76"/>
      <c r="W2" s="69" t="s">
        <v>89</v>
      </c>
      <c r="X2" s="69"/>
      <c r="Y2" s="69"/>
      <c r="Z2" s="69"/>
      <c r="AA2" s="69" t="s">
        <v>90</v>
      </c>
      <c r="AB2" s="69"/>
      <c r="AC2" s="69"/>
      <c r="AD2" s="69"/>
      <c r="AE2" s="69" t="s">
        <v>91</v>
      </c>
      <c r="AF2" s="69"/>
      <c r="AG2" s="69"/>
      <c r="AH2" s="69"/>
      <c r="AI2" s="69" t="s">
        <v>92</v>
      </c>
      <c r="AJ2" s="69"/>
      <c r="AK2" s="69"/>
      <c r="AL2" s="69"/>
      <c r="AM2" s="79" t="s">
        <v>93</v>
      </c>
      <c r="AN2" s="79"/>
      <c r="AO2" s="79"/>
      <c r="AP2" s="79"/>
      <c r="AQ2" s="14"/>
      <c r="AR2" s="14" t="s">
        <v>94</v>
      </c>
      <c r="AS2" s="14" t="s">
        <v>95</v>
      </c>
      <c r="AT2" s="14" t="s">
        <v>91</v>
      </c>
      <c r="AU2" s="14" t="s">
        <v>100</v>
      </c>
      <c r="AV2" s="14" t="s">
        <v>21</v>
      </c>
      <c r="AW2" s="14" t="s">
        <v>57</v>
      </c>
      <c r="AX2" s="14" t="s">
        <v>96</v>
      </c>
      <c r="AY2" s="14" t="s">
        <v>15</v>
      </c>
      <c r="AZ2" s="70" t="s">
        <v>89</v>
      </c>
      <c r="BA2" s="70"/>
      <c r="BB2" s="70"/>
      <c r="BC2" s="70"/>
      <c r="BD2" s="70" t="s">
        <v>90</v>
      </c>
      <c r="BE2" s="70"/>
      <c r="BF2" s="70"/>
      <c r="BG2" s="70"/>
      <c r="BH2" s="70" t="s">
        <v>91</v>
      </c>
      <c r="BI2" s="70"/>
      <c r="BJ2" s="70"/>
      <c r="BK2" s="70"/>
      <c r="BL2" s="70" t="s">
        <v>92</v>
      </c>
      <c r="BM2" s="70"/>
      <c r="BN2" s="70"/>
      <c r="BO2" s="70"/>
      <c r="BP2" s="80" t="s">
        <v>93</v>
      </c>
      <c r="BQ2" s="80"/>
      <c r="BR2" s="80"/>
      <c r="BS2" s="80"/>
      <c r="BT2" s="13"/>
      <c r="BU2" s="13" t="s">
        <v>94</v>
      </c>
      <c r="BV2" s="13" t="s">
        <v>95</v>
      </c>
      <c r="BW2" s="13" t="s">
        <v>91</v>
      </c>
      <c r="BX2" s="13" t="s">
        <v>100</v>
      </c>
      <c r="BY2" s="13" t="s">
        <v>21</v>
      </c>
      <c r="BZ2" s="13" t="s">
        <v>57</v>
      </c>
      <c r="CA2" s="13" t="s">
        <v>96</v>
      </c>
      <c r="CB2" s="13" t="s">
        <v>15</v>
      </c>
      <c r="CC2" s="69" t="s">
        <v>89</v>
      </c>
      <c r="CD2" s="69"/>
      <c r="CE2" s="69"/>
      <c r="CF2" s="69"/>
      <c r="CG2" s="69" t="s">
        <v>90</v>
      </c>
      <c r="CH2" s="69"/>
      <c r="CI2" s="69"/>
      <c r="CJ2" s="69"/>
      <c r="CK2" s="69" t="s">
        <v>91</v>
      </c>
      <c r="CL2" s="69"/>
      <c r="CM2" s="69"/>
      <c r="CN2" s="69"/>
      <c r="CO2" s="69" t="s">
        <v>92</v>
      </c>
      <c r="CP2" s="69"/>
      <c r="CQ2" s="69"/>
      <c r="CR2" s="69"/>
      <c r="CS2" s="79" t="s">
        <v>93</v>
      </c>
      <c r="CT2" s="79"/>
      <c r="CU2" s="79"/>
      <c r="CV2" s="79"/>
      <c r="CW2" s="14"/>
      <c r="CX2" s="14" t="s">
        <v>94</v>
      </c>
      <c r="CY2" s="14" t="s">
        <v>95</v>
      </c>
      <c r="CZ2" s="14" t="s">
        <v>91</v>
      </c>
      <c r="DA2" s="14" t="s">
        <v>100</v>
      </c>
      <c r="DB2" s="14" t="s">
        <v>21</v>
      </c>
      <c r="DC2" s="14" t="s">
        <v>57</v>
      </c>
      <c r="DD2" s="14" t="s">
        <v>96</v>
      </c>
      <c r="DE2" s="14" t="s">
        <v>15</v>
      </c>
      <c r="DF2" s="49" t="s">
        <v>95</v>
      </c>
      <c r="DG2" s="49" t="s">
        <v>91</v>
      </c>
      <c r="DH2" s="49" t="s">
        <v>20</v>
      </c>
      <c r="DI2" s="69" t="s">
        <v>89</v>
      </c>
      <c r="DJ2" s="69"/>
      <c r="DK2" s="69"/>
      <c r="DL2" s="69"/>
      <c r="DM2" s="69" t="s">
        <v>90</v>
      </c>
      <c r="DN2" s="69"/>
      <c r="DO2" s="69"/>
      <c r="DP2" s="69"/>
      <c r="DQ2" s="69" t="s">
        <v>91</v>
      </c>
      <c r="DR2" s="69"/>
      <c r="DS2" s="69"/>
      <c r="DT2" s="69"/>
      <c r="DU2" s="69" t="s">
        <v>92</v>
      </c>
      <c r="DV2" s="69"/>
      <c r="DW2" s="69"/>
      <c r="DX2" s="69"/>
      <c r="DY2" s="81" t="s">
        <v>93</v>
      </c>
      <c r="DZ2" s="81"/>
      <c r="EA2" s="81"/>
      <c r="EB2" s="81"/>
      <c r="EC2" s="14" t="s">
        <v>94</v>
      </c>
      <c r="ED2" s="14" t="s">
        <v>95</v>
      </c>
      <c r="EE2" s="14" t="s">
        <v>91</v>
      </c>
      <c r="EF2" s="14" t="s">
        <v>100</v>
      </c>
      <c r="EG2" s="14" t="s">
        <v>21</v>
      </c>
      <c r="EH2" s="14" t="s">
        <v>57</v>
      </c>
      <c r="EI2" s="14" t="s">
        <v>96</v>
      </c>
      <c r="EJ2" s="14" t="s">
        <v>15</v>
      </c>
      <c r="EK2" s="70" t="s">
        <v>89</v>
      </c>
      <c r="EL2" s="70"/>
      <c r="EM2" s="70"/>
      <c r="EN2" s="70"/>
      <c r="EO2" s="70" t="s">
        <v>90</v>
      </c>
      <c r="EP2" s="70"/>
      <c r="EQ2" s="70"/>
      <c r="ER2" s="70"/>
      <c r="ES2" s="70" t="s">
        <v>91</v>
      </c>
      <c r="ET2" s="70"/>
      <c r="EU2" s="70"/>
      <c r="EV2" s="70"/>
      <c r="EW2" s="70" t="s">
        <v>92</v>
      </c>
      <c r="EX2" s="70"/>
      <c r="EY2" s="70"/>
      <c r="EZ2" s="70"/>
      <c r="FA2" s="80" t="s">
        <v>93</v>
      </c>
      <c r="FB2" s="80"/>
      <c r="FC2" s="80"/>
      <c r="FD2" s="80"/>
      <c r="FE2" s="13" t="s">
        <v>94</v>
      </c>
      <c r="FF2" s="13" t="s">
        <v>95</v>
      </c>
      <c r="FG2" s="13" t="s">
        <v>91</v>
      </c>
      <c r="FH2" s="13" t="s">
        <v>100</v>
      </c>
      <c r="FI2" s="13" t="s">
        <v>21</v>
      </c>
      <c r="FJ2" s="13" t="s">
        <v>57</v>
      </c>
      <c r="FK2" s="13" t="s">
        <v>96</v>
      </c>
      <c r="FL2" s="13" t="s">
        <v>15</v>
      </c>
      <c r="FM2" s="69" t="s">
        <v>89</v>
      </c>
      <c r="FN2" s="69"/>
      <c r="FO2" s="69"/>
      <c r="FP2" s="69"/>
      <c r="FQ2" s="69" t="s">
        <v>90</v>
      </c>
      <c r="FR2" s="69"/>
      <c r="FS2" s="69"/>
      <c r="FT2" s="69"/>
      <c r="FU2" s="69" t="s">
        <v>91</v>
      </c>
      <c r="FV2" s="69"/>
      <c r="FW2" s="69"/>
      <c r="FX2" s="69"/>
      <c r="FY2" s="69" t="s">
        <v>92</v>
      </c>
      <c r="FZ2" s="69"/>
      <c r="GA2" s="69"/>
      <c r="GB2" s="69"/>
      <c r="GC2" s="81" t="s">
        <v>93</v>
      </c>
      <c r="GD2" s="81"/>
      <c r="GE2" s="81"/>
      <c r="GF2" s="81"/>
      <c r="GG2" s="14" t="s">
        <v>94</v>
      </c>
      <c r="GH2" s="14" t="s">
        <v>95</v>
      </c>
      <c r="GI2" s="14" t="s">
        <v>91</v>
      </c>
      <c r="GJ2" s="14" t="s">
        <v>100</v>
      </c>
      <c r="GK2" s="14" t="s">
        <v>21</v>
      </c>
      <c r="GL2" s="14" t="s">
        <v>57</v>
      </c>
      <c r="GM2" s="14" t="s">
        <v>96</v>
      </c>
      <c r="GN2" s="14" t="s">
        <v>15</v>
      </c>
      <c r="GO2" s="70" t="s">
        <v>89</v>
      </c>
      <c r="GP2" s="70"/>
      <c r="GQ2" s="70"/>
      <c r="GR2" s="70"/>
      <c r="GS2" s="70" t="s">
        <v>90</v>
      </c>
      <c r="GT2" s="70"/>
      <c r="GU2" s="70"/>
      <c r="GV2" s="70"/>
      <c r="GW2" s="70" t="s">
        <v>91</v>
      </c>
      <c r="GX2" s="70"/>
      <c r="GY2" s="70"/>
      <c r="GZ2" s="70"/>
      <c r="HA2" s="70" t="s">
        <v>92</v>
      </c>
      <c r="HB2" s="70"/>
      <c r="HC2" s="70"/>
      <c r="HD2" s="70"/>
      <c r="HE2" s="80" t="s">
        <v>93</v>
      </c>
      <c r="HF2" s="80"/>
      <c r="HG2" s="80"/>
      <c r="HH2" s="80"/>
      <c r="HI2" s="13" t="s">
        <v>94</v>
      </c>
      <c r="HJ2" s="13" t="s">
        <v>95</v>
      </c>
      <c r="HK2" s="13" t="s">
        <v>91</v>
      </c>
      <c r="HL2" s="13" t="s">
        <v>100</v>
      </c>
      <c r="HM2" s="13" t="s">
        <v>21</v>
      </c>
      <c r="HN2" s="13" t="s">
        <v>57</v>
      </c>
      <c r="HO2" s="13" t="s">
        <v>96</v>
      </c>
      <c r="HP2" s="13" t="s">
        <v>15</v>
      </c>
      <c r="HQ2" s="69" t="s">
        <v>89</v>
      </c>
      <c r="HR2" s="69"/>
      <c r="HS2" s="69"/>
      <c r="HT2" s="69"/>
      <c r="HU2" s="69" t="s">
        <v>90</v>
      </c>
      <c r="HV2" s="69"/>
      <c r="HW2" s="69"/>
      <c r="HX2" s="69"/>
      <c r="HY2" s="69" t="s">
        <v>91</v>
      </c>
      <c r="HZ2" s="69"/>
      <c r="IA2" s="69"/>
      <c r="IB2" s="69"/>
      <c r="IC2" s="69" t="s">
        <v>92</v>
      </c>
      <c r="ID2" s="69"/>
      <c r="IE2" s="69"/>
      <c r="IF2" s="69"/>
      <c r="IG2" s="81" t="s">
        <v>93</v>
      </c>
      <c r="IH2" s="81"/>
      <c r="II2" s="81"/>
      <c r="IJ2" s="81"/>
      <c r="IK2" s="14" t="s">
        <v>94</v>
      </c>
      <c r="IL2" s="14" t="s">
        <v>95</v>
      </c>
      <c r="IM2" s="14" t="s">
        <v>91</v>
      </c>
      <c r="IN2" s="14" t="s">
        <v>100</v>
      </c>
      <c r="IO2" s="14" t="s">
        <v>21</v>
      </c>
      <c r="IP2" s="14" t="s">
        <v>57</v>
      </c>
      <c r="IQ2" s="14" t="s">
        <v>96</v>
      </c>
      <c r="IR2" s="14" t="s">
        <v>15</v>
      </c>
      <c r="IS2" s="70" t="s">
        <v>89</v>
      </c>
      <c r="IT2" s="70"/>
      <c r="IU2" s="70"/>
      <c r="IV2" s="70"/>
      <c r="IW2" s="70" t="s">
        <v>90</v>
      </c>
      <c r="IX2" s="70"/>
      <c r="IY2" s="70"/>
      <c r="IZ2" s="70"/>
      <c r="JA2" s="70" t="s">
        <v>91</v>
      </c>
      <c r="JB2" s="70"/>
      <c r="JC2" s="70"/>
      <c r="JD2" s="70"/>
      <c r="JE2" s="70" t="s">
        <v>92</v>
      </c>
      <c r="JF2" s="70"/>
      <c r="JG2" s="70"/>
      <c r="JH2" s="70"/>
      <c r="JI2" s="80" t="s">
        <v>93</v>
      </c>
      <c r="JJ2" s="80"/>
      <c r="JK2" s="80"/>
      <c r="JL2" s="80"/>
      <c r="JM2" s="13" t="s">
        <v>94</v>
      </c>
      <c r="JN2" s="13" t="s">
        <v>95</v>
      </c>
      <c r="JO2" s="13" t="s">
        <v>91</v>
      </c>
      <c r="JP2" s="13" t="s">
        <v>100</v>
      </c>
      <c r="JQ2" s="13" t="s">
        <v>21</v>
      </c>
      <c r="JR2" s="13" t="s">
        <v>57</v>
      </c>
      <c r="JS2" s="13" t="s">
        <v>96</v>
      </c>
      <c r="JT2" s="13" t="s">
        <v>15</v>
      </c>
      <c r="JU2" s="69" t="s">
        <v>89</v>
      </c>
      <c r="JV2" s="69"/>
      <c r="JW2" s="69"/>
      <c r="JX2" s="69"/>
      <c r="JY2" s="69" t="s">
        <v>90</v>
      </c>
      <c r="JZ2" s="69"/>
      <c r="KA2" s="69"/>
      <c r="KB2" s="69"/>
      <c r="KC2" s="69" t="s">
        <v>91</v>
      </c>
      <c r="KD2" s="69"/>
      <c r="KE2" s="69"/>
      <c r="KF2" s="69"/>
      <c r="KG2" s="69" t="s">
        <v>92</v>
      </c>
      <c r="KH2" s="69"/>
      <c r="KI2" s="69"/>
      <c r="KJ2" s="69"/>
      <c r="KK2" s="81" t="s">
        <v>93</v>
      </c>
      <c r="KL2" s="81"/>
      <c r="KM2" s="81"/>
      <c r="KN2" s="81"/>
      <c r="KO2" s="14" t="s">
        <v>94</v>
      </c>
      <c r="KP2" s="14" t="s">
        <v>95</v>
      </c>
      <c r="KQ2" s="14" t="s">
        <v>91</v>
      </c>
      <c r="KR2" s="14" t="s">
        <v>100</v>
      </c>
      <c r="KS2" s="14" t="s">
        <v>21</v>
      </c>
      <c r="KT2" s="14" t="s">
        <v>57</v>
      </c>
      <c r="KU2" s="14" t="s">
        <v>96</v>
      </c>
      <c r="KV2" s="14" t="s">
        <v>15</v>
      </c>
      <c r="KW2" s="70" t="s">
        <v>89</v>
      </c>
      <c r="KX2" s="70"/>
      <c r="KY2" s="70"/>
      <c r="KZ2" s="70"/>
      <c r="LA2" s="70" t="s">
        <v>90</v>
      </c>
      <c r="LB2" s="70"/>
      <c r="LC2" s="70"/>
      <c r="LD2" s="70"/>
      <c r="LE2" s="70" t="s">
        <v>91</v>
      </c>
      <c r="LF2" s="70"/>
      <c r="LG2" s="70"/>
      <c r="LH2" s="70"/>
      <c r="LI2" s="70" t="s">
        <v>92</v>
      </c>
      <c r="LJ2" s="70"/>
      <c r="LK2" s="70"/>
      <c r="LL2" s="70"/>
      <c r="LM2" s="80" t="s">
        <v>93</v>
      </c>
      <c r="LN2" s="80"/>
      <c r="LO2" s="80"/>
      <c r="LP2" s="80"/>
      <c r="LQ2" s="13" t="s">
        <v>94</v>
      </c>
      <c r="LR2" s="13" t="s">
        <v>95</v>
      </c>
      <c r="LS2" s="13" t="s">
        <v>91</v>
      </c>
      <c r="LT2" s="13" t="s">
        <v>100</v>
      </c>
      <c r="LU2" s="13" t="s">
        <v>21</v>
      </c>
      <c r="LV2" s="13" t="s">
        <v>57</v>
      </c>
      <c r="LW2" s="13" t="s">
        <v>96</v>
      </c>
      <c r="LX2" s="13" t="s">
        <v>15</v>
      </c>
      <c r="LY2" s="69" t="s">
        <v>89</v>
      </c>
      <c r="LZ2" s="69"/>
      <c r="MA2" s="69"/>
      <c r="MB2" s="69"/>
      <c r="MC2" s="69" t="s">
        <v>90</v>
      </c>
      <c r="MD2" s="69"/>
      <c r="ME2" s="69"/>
      <c r="MF2" s="69"/>
      <c r="MG2" s="69" t="s">
        <v>91</v>
      </c>
      <c r="MH2" s="69"/>
      <c r="MI2" s="69"/>
      <c r="MJ2" s="69"/>
      <c r="MK2" s="69" t="s">
        <v>92</v>
      </c>
      <c r="ML2" s="69"/>
      <c r="MM2" s="69"/>
      <c r="MN2" s="69"/>
      <c r="MO2" s="81" t="s">
        <v>93</v>
      </c>
      <c r="MP2" s="81"/>
      <c r="MQ2" s="81"/>
      <c r="MR2" s="81"/>
      <c r="MS2" s="14" t="s">
        <v>94</v>
      </c>
      <c r="MT2" s="14" t="s">
        <v>95</v>
      </c>
      <c r="MU2" s="14" t="s">
        <v>91</v>
      </c>
      <c r="MV2" s="14" t="s">
        <v>100</v>
      </c>
      <c r="MW2" s="14" t="s">
        <v>21</v>
      </c>
      <c r="MX2" s="14" t="s">
        <v>57</v>
      </c>
      <c r="MY2" s="14" t="s">
        <v>96</v>
      </c>
      <c r="MZ2" s="14" t="s">
        <v>15</v>
      </c>
      <c r="NA2" s="70" t="s">
        <v>89</v>
      </c>
      <c r="NB2" s="70"/>
      <c r="NC2" s="70"/>
      <c r="ND2" s="70"/>
      <c r="NE2" s="70" t="s">
        <v>90</v>
      </c>
      <c r="NF2" s="70"/>
      <c r="NG2" s="70"/>
      <c r="NH2" s="70"/>
      <c r="NI2" s="70" t="s">
        <v>91</v>
      </c>
      <c r="NJ2" s="70"/>
      <c r="NK2" s="70"/>
      <c r="NL2" s="70"/>
      <c r="NM2" s="70" t="s">
        <v>92</v>
      </c>
      <c r="NN2" s="70"/>
      <c r="NO2" s="70"/>
      <c r="NP2" s="70"/>
      <c r="NQ2" s="80" t="s">
        <v>93</v>
      </c>
      <c r="NR2" s="80"/>
      <c r="NS2" s="80"/>
      <c r="NT2" s="80"/>
      <c r="NU2" s="13" t="s">
        <v>94</v>
      </c>
      <c r="NV2" s="13" t="s">
        <v>95</v>
      </c>
      <c r="NW2" s="13" t="s">
        <v>91</v>
      </c>
      <c r="NX2" s="13" t="s">
        <v>100</v>
      </c>
      <c r="NY2" s="13" t="s">
        <v>21</v>
      </c>
      <c r="NZ2" s="13" t="s">
        <v>57</v>
      </c>
      <c r="OA2" s="13" t="s">
        <v>96</v>
      </c>
      <c r="OB2" s="13" t="s">
        <v>15</v>
      </c>
      <c r="OC2" s="69" t="s">
        <v>89</v>
      </c>
      <c r="OD2" s="69"/>
      <c r="OE2" s="69"/>
      <c r="OF2" s="69"/>
      <c r="OG2" s="69" t="s">
        <v>90</v>
      </c>
      <c r="OH2" s="69"/>
      <c r="OI2" s="69"/>
      <c r="OJ2" s="69"/>
      <c r="OK2" s="69" t="s">
        <v>91</v>
      </c>
      <c r="OL2" s="69"/>
      <c r="OM2" s="69"/>
      <c r="ON2" s="69"/>
      <c r="OO2" s="69" t="s">
        <v>92</v>
      </c>
      <c r="OP2" s="69"/>
      <c r="OQ2" s="69"/>
      <c r="OR2" s="69"/>
      <c r="OS2" s="81" t="s">
        <v>93</v>
      </c>
      <c r="OT2" s="81"/>
      <c r="OU2" s="81"/>
      <c r="OV2" s="81"/>
      <c r="OW2" s="14" t="s">
        <v>94</v>
      </c>
      <c r="OX2" s="14" t="s">
        <v>95</v>
      </c>
      <c r="OY2" s="14" t="s">
        <v>91</v>
      </c>
      <c r="OZ2" s="14" t="s">
        <v>100</v>
      </c>
      <c r="PA2" s="14" t="s">
        <v>21</v>
      </c>
      <c r="PB2" s="14" t="s">
        <v>57</v>
      </c>
      <c r="PC2" s="14" t="s">
        <v>96</v>
      </c>
      <c r="PD2" s="14" t="s">
        <v>15</v>
      </c>
      <c r="PE2" s="70" t="s">
        <v>89</v>
      </c>
      <c r="PF2" s="70"/>
      <c r="PG2" s="70"/>
      <c r="PH2" s="70"/>
      <c r="PI2" s="70" t="s">
        <v>90</v>
      </c>
      <c r="PJ2" s="70"/>
      <c r="PK2" s="70"/>
      <c r="PL2" s="70"/>
      <c r="PM2" s="70" t="s">
        <v>91</v>
      </c>
      <c r="PN2" s="70"/>
      <c r="PO2" s="70"/>
      <c r="PP2" s="70"/>
      <c r="PQ2" s="70" t="s">
        <v>92</v>
      </c>
      <c r="PR2" s="70"/>
      <c r="PS2" s="70"/>
      <c r="PT2" s="70"/>
      <c r="PU2" s="80" t="s">
        <v>93</v>
      </c>
      <c r="PV2" s="80"/>
      <c r="PW2" s="80"/>
      <c r="PX2" s="80"/>
      <c r="PY2" s="13" t="s">
        <v>94</v>
      </c>
      <c r="PZ2" s="13" t="s">
        <v>95</v>
      </c>
      <c r="QA2" s="13" t="s">
        <v>91</v>
      </c>
      <c r="QB2" s="13" t="s">
        <v>100</v>
      </c>
      <c r="QC2" s="13" t="s">
        <v>21</v>
      </c>
      <c r="QD2" s="13" t="s">
        <v>57</v>
      </c>
      <c r="QE2" s="13" t="s">
        <v>96</v>
      </c>
      <c r="QF2" s="13" t="s">
        <v>15</v>
      </c>
      <c r="QG2" s="69" t="s">
        <v>89</v>
      </c>
      <c r="QH2" s="69"/>
      <c r="QI2" s="69"/>
      <c r="QJ2" s="69"/>
      <c r="QK2" s="69" t="s">
        <v>90</v>
      </c>
      <c r="QL2" s="69"/>
      <c r="QM2" s="69"/>
      <c r="QN2" s="69"/>
      <c r="QO2" s="69" t="s">
        <v>91</v>
      </c>
      <c r="QP2" s="69"/>
      <c r="QQ2" s="69"/>
      <c r="QR2" s="69"/>
      <c r="QS2" s="69" t="s">
        <v>92</v>
      </c>
      <c r="QT2" s="69"/>
      <c r="QU2" s="69"/>
      <c r="QV2" s="69"/>
      <c r="QW2" s="79" t="s">
        <v>93</v>
      </c>
      <c r="QX2" s="79"/>
      <c r="QY2" s="79"/>
      <c r="QZ2" s="79"/>
      <c r="RA2" s="14"/>
      <c r="RB2" s="14" t="s">
        <v>94</v>
      </c>
      <c r="RC2" s="14" t="s">
        <v>95</v>
      </c>
      <c r="RD2" s="14" t="s">
        <v>91</v>
      </c>
      <c r="RE2" s="14" t="s">
        <v>100</v>
      </c>
      <c r="RF2" s="14" t="s">
        <v>21</v>
      </c>
      <c r="RG2" s="14" t="s">
        <v>57</v>
      </c>
      <c r="RH2" s="14" t="s">
        <v>96</v>
      </c>
      <c r="RI2" s="14" t="s">
        <v>15</v>
      </c>
    </row>
    <row r="3" spans="1:477" x14ac:dyDescent="0.2">
      <c r="A3" s="78"/>
      <c r="B3" s="78"/>
      <c r="C3" s="74"/>
      <c r="D3" s="74"/>
      <c r="E3" s="74"/>
      <c r="F3" s="74"/>
      <c r="G3" s="78"/>
      <c r="H3" s="78"/>
      <c r="I3" s="78"/>
      <c r="J3" s="74"/>
      <c r="K3" s="78"/>
      <c r="L3" s="75"/>
      <c r="M3" s="76"/>
      <c r="N3" s="75"/>
      <c r="O3" s="76"/>
      <c r="P3" s="75"/>
      <c r="Q3" s="76"/>
      <c r="R3" s="76"/>
      <c r="S3" s="76"/>
      <c r="T3" s="77"/>
      <c r="U3" s="76"/>
      <c r="V3" s="76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DD"),SUMPRODUCT((J$4:J$27&lt;&gt;"")*(J$4:J$27&lt;&gt;"No DD")*(F$4:F$27&gt;F4))+1,IF(J4="No DD",SUMPRODUCT((J$4:J$27="No DD")*(F$4:F$27&gt;F4))+1+SUMPRODUCT((J$4:J$27&lt;&gt;"")*(J$4:J$27&lt;&gt;"No DD")),""))</f>
        <v>1</v>
      </c>
      <c r="B4" s="4" t="str" cm="1">
        <f t="array" ref="B4">IF(AND(J4&lt;&gt;"",J4&lt;&gt;"No DD",G4=""),SUMPRODUCT((J$4:J$27&lt;&gt;"")*(J$4:J$27&lt;&gt;"No DD")*(G$4:G$27="")*(F$4:F$27&gt;F4))+1,IF(J4="No DD",SUMPRODUCT((J$4:J$27="No DD")*(F$4:F$27&gt;F4)*(G$4:G$27=""))+1+SUMPRODUCT((J$4:J$27&lt;&gt;"")*(G$4:G$27="")*(J$4:J$27&lt;&gt;"No DD")),""))</f>
        <v/>
      </c>
      <c r="C4" s="5" t="s">
        <v>75</v>
      </c>
      <c r="D4" s="4" t="s">
        <v>31</v>
      </c>
      <c r="E4" s="4">
        <v>2002</v>
      </c>
      <c r="F4" s="9">
        <f t="shared" ref="F4:F26" si="0">SUM(L4:T4)+SUM(L4:P4)*0.0000001+SUM(L4)*0.0000000000001</f>
        <v>173.80001237000505</v>
      </c>
      <c r="G4" s="66" t="s">
        <v>46</v>
      </c>
      <c r="H4" s="3" t="str">
        <f t="shared" ref="H4:H26" si="1">IF(OR(AND(AR4&gt;=AY$29,AS4&gt;=AY$33,AR4&lt;&gt;"",AQ4=""),AND(AW4&gt;=AY$29,AX4&gt;=AY$33,AW4&lt;&gt;"",AQ4=""),AND(BU4&gt;=CB$29,BV4&gt;=CB$33,BU4&lt;&gt;"",BT4=""),AND(BZ4&gt;=CB$29,CA4&gt;=CB$33,BZ4&lt;&gt;"",BT4=""),AND(CX4&gt;=DE$29,CY4&gt;=DE$33,CX4&lt;&gt;"",CW4=""),AND(DC4&gt;=DE$29,DD4&gt;=DE$33,DC4&lt;&gt;""),AND(EC4&gt;=EJ$29,ED4&gt;=EJ$33,EC4&lt;&gt;""),AND(EH4&gt;=EJ$29,EI4&gt;=EJ$33,EH4&lt;&gt;""),AND(FE4&gt;=FL$29,FF4&gt;=FL$33,FE4&lt;&gt;""),AND(FJ4&gt;=FL$29,FK4&gt;=FL$33,FJ4&lt;&gt;""),AND(GG4&gt;=GN$29,GH4&gt;=GN$33,GG4&lt;&gt;""),AND(GL4&gt;=GN$29,GM4&gt;=GN$33,GL4&lt;&gt;""),AND(HI4&gt;=HP$29,HJ4&gt;=HP$33,HI4&lt;&gt;""),AND(HN4&gt;=HP$29,HO4&gt;=HP$33,HN4&lt;&gt;""),AND(IK4&gt;=IR$29,IL4&gt;=IR$33,IK4&lt;&gt;""),AND(IP4&gt;=IR$29,IQ4&gt;=IR$33,IP4&lt;&gt;""),AND(JM4&gt;=JT$29,JN4&gt;=JT$33,JM4&lt;&gt;""),AND(JR4&gt;=JT$29,JS4&gt;=JT$33,JR4&lt;&gt;""),AND(KO4&gt;=KV$29,KP4&gt;=KV$33,KO4&lt;&gt;""),AND(KT4&gt;=KV$29,KU4&gt;=KV$33,KT4&lt;&gt;""),AND(LQ4&gt;=LX$29,LR4&gt;=LX$33,LQ4&lt;&gt;""),AND(LV4&gt;=LX$29,LW4&gt;=LX$33,LV4&lt;&gt;""),AND(MS4&gt;=MZ$29,MT4&gt;=MZ$33,MS4&lt;&gt;""),AND(MX4&gt;=MZ$29,MY4&gt;=MZ$33,MX4&lt;&gt;""),AND(NU4&gt;=OB$29,NV4&gt;=OB$33,NU4&lt;&gt;""),AND(NZ4&gt;=OB$29,OA4&gt;=OB$33,NZ4&lt;&gt;""),AND(OW4&gt;=PD$29,OX4&gt;=PD$33,OW4&lt;&gt;""),AND(PB4&gt;=PD$29,PC4&gt;=PD$33,PB4&lt;&gt;""),AND(PY4&gt;=QF$29,PZ4&gt;=QF$33,PY4&lt;&gt;""),AND(QD4&gt;=QF$29,QE4&gt;=QF$33,QD4&lt;&gt;"")),"P","")</f>
        <v>P</v>
      </c>
      <c r="I4" s="3" t="str">
        <f t="shared" ref="I4:I26" si="2">IF(OR(AND(AS4&gt;=AY$33,AS4&lt;&gt;"",AQ4=""),AND(AX4&gt;=AY$33,AX4&lt;&gt;"",AQ4=""),AND(BV4&gt;=CB$33,BV4&lt;&gt;"",BT4=""),AND(CA4&gt;=CB$33,CA4&lt;&gt;"",BT4=""),AND(CY4&gt;=DE$33,CY4&lt;&gt;"",CW4=""),AND(DD4&gt;=DE$33,DD4&lt;&gt;"",CW4=""),AND(ED4&gt;=EJ$33,ED4&lt;&gt;""),AND(EI4&gt;=EJ$33,EI4&lt;&gt;""),AND(FF4&gt;=FL$33,FF4&lt;&gt;""),AND(FK4&gt;=FL$33,FK4&lt;&gt;""),AND(GH4&gt;=GN$33,GH4&lt;&gt;""),AND(GM4&gt;=GN$33,GM4&lt;&gt;""),AND(HJ4&gt;=HP$33,HJ4&lt;&gt;""),AND(HO4&gt;=HP$33,HO4&lt;&gt;""),AND(IL4&gt;=IR$33,IL4&lt;&gt;""),AND(IQ4&gt;=IR$33,IQ4&lt;&gt;""),AND(JN4&gt;=JT$33,JN4&lt;&gt;""),AND(JS4&gt;=JT$33,JS4&lt;&gt;""),AND(KP4&gt;=KV$33,KP4&lt;&gt;""),AND(KU4&gt;=KV$33,KU4&lt;&gt;""),AND(LR4&gt;=LX$33,LR4&lt;&gt;""),AND(LW4&gt;=LX$33,LW4&lt;&gt;""),AND(MT4&gt;=MZ$33,MT4&lt;&gt;""),AND(MY4&gt;=MZ$33,MY4&lt;&gt;""),AND(NV4&gt;=OB$33,NV4&lt;&gt;""),AND(OA4&gt;=OB$33,OA4&lt;&gt;""),AND(OX4&gt;=PD$33,OX4&lt;&gt;""),AND(PC4&gt;=PD$33,PC4&lt;&gt;""),AND(PZ4&gt;=QF$33,PZ4&lt;&gt;""),AND(QE4&gt;=QF$33,QE4&lt;&gt;"")),"P","")</f>
        <v>P</v>
      </c>
      <c r="J4" s="36" t="str">
        <f t="shared" ref="J4:J26" si="3">IF(AND(I4="P",H4=""),"No DD",IF(OR(AND(AU4&gt;=AY$32,AV4&gt;=AY$36,AU4&lt;&gt;"",AQ4=""),AND(BX4&gt;=CB$32,BY4&gt;=CB$36,BX4&lt;&gt;"",BT4=""),AND(DA4&gt;=DE$32,DB4&gt;=DE$36,DA4&lt;&gt;"",CW4=""),AND(EF4&gt;=EJ$32,EG4&gt;=EJ$36,EF4&lt;&gt;""),AND(FH4&gt;=FL$32,FI4&gt;=FL$36,FH4&lt;&gt;""),AND(GJ4&gt;=GN$32,GK4&gt;=GN$36,GJ4&lt;&gt;""),AND(HL4&gt;=HP$32,HM4&gt;=HP$36,HL4&lt;&gt;""),AND(IN4&gt;=IR$32,IO4&gt;=IR$36,IN4&lt;&gt;""),AND(JP4&gt;=JT$32,JQ4&gt;=JT$36,JP4&lt;&gt;""),AND(KR4&gt;=KV$32,KS4&gt;=KV$36,KR4&lt;&gt;""),AND(LT4&gt;=LX$32,LU4&gt;=LX$36,LT4&lt;&gt;""),AND(MV4&gt;=MZ$32,MW4&gt;=MZ$36,MV4&lt;&gt;""),AND(NX4&gt;=OB$32,NY4&gt;=OB$36,NX4&lt;&gt;""),AND(OZ4&gt;=PD$32,PA4&gt;=PD$36,OZ4&lt;&gt;""),AND(QB4&gt;=QF$32,QC4&gt;=QF$36,QB4&lt;&gt;"")),"Merit",IF(OR(AND(AU4&gt;=AY$31,AV4&gt;=AY$35,AU4&lt;&gt;"",AQ4=""),AND(BX4&gt;=CB$31,BY4&gt;=CB$35,BX4&lt;&gt;"",BT4=""),AND(DA4&gt;=DE$31,DB4&gt;=DE$35,DA4&lt;&gt;"",CW4=""),AND(EF4&gt;=EJ$31,EG4&gt;=EJ$35,EF4&lt;&gt;""),AND(FH4&gt;=FL$31,FI4&gt;=FL$35,FH4&lt;&gt;""),AND(GJ4&gt;=GN$31,GK4&gt;=GN$35,GJ4&lt;&gt;""),AND(HL4&gt;=HP$31,HM4&gt;=HP$35,HL4&lt;&gt;""),AND(IN4&gt;=IR$31,IO4&gt;=IR$35,IN4&lt;&gt;""),AND(JP4&gt;=JT$31,JQ4&gt;=JT$35,JP4&lt;&gt;""),AND(KR4&gt;=KV$31,KS4&gt;=KV$35,KR4&lt;&gt;""),AND(LT4&gt;=LX$31,LU4&gt;=LX$35,LT4&lt;&gt;""),AND(MV4&gt;=MZ$31,MW4&gt;=MZ$35,MV4&lt;&gt;""),AND(NX4&gt;=OB$31,NY4&gt;=OB$35,NX4&lt;&gt;""),AND(OZ4&gt;=PD$31,PA4&gt;=PD$35,OZ4&lt;&gt;""),AND(QB4&gt;=QF$31,QC4&gt;=QF$35,QB4&lt;&gt;"")),"Excellence",IF(K4="P","Worlds Team",IF(H4="P","National Team","")))))</f>
        <v>National Team</v>
      </c>
      <c r="K4" s="3" t="str">
        <f t="shared" ref="K4:K26" si="4">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P","")</f>
        <v/>
      </c>
      <c r="L4" s="8">
        <f>IF(COUNT(AS4,BV4,CY4)&gt;0,LARGE((AS4,BV4,CY4),1),0)</f>
        <v>50.499999999999993</v>
      </c>
      <c r="M4" s="8" t="str">
        <f t="shared" ref="M4:M26" si="5">IF(L4=0,"",IF(L4=CY4,$CC$1,IF(L4=BV4,$AZ$1,IF(L4=AS4,$W$1,""))))</f>
        <v>2023 Elite Canada</v>
      </c>
      <c r="N4" s="8">
        <f>IF(COUNT(AS4,BV4,CY4)&gt;1,LARGE((AS4,BV4,CY4),2),0)</f>
        <v>48.2</v>
      </c>
      <c r="O4" s="8" t="str">
        <f t="shared" ref="O4:O26" si="6">IF(N4=0,"",IF(N4=CY4,$CC$1,IF(N4=BV4,$AZ$1,IF(N4=AS4,$W$1,""))))</f>
        <v>2023 Nationals</v>
      </c>
      <c r="P4" s="8">
        <f>IF(COUNT(AT4,BW4,CZ4)&gt;0,LARGE((AT4,BW4,CZ4),1),0)</f>
        <v>25</v>
      </c>
      <c r="Q4" s="8" t="str">
        <f t="shared" ref="Q4:Q26" si="7">IF(P4=0,"",IF(P4=CZ4,$CC$1,IF(P4=BW4,$AZ$1,IF(P4=AT4,$W$1,""))))</f>
        <v>2023 3rd Domestic Trial</v>
      </c>
      <c r="R4" s="8">
        <f t="shared" ref="R4:R26" si="8">IF(MAX(AX4,CA4,DD4)&gt;0,MAX(AX4,CA4,DD4),0)</f>
        <v>49.999999999999993</v>
      </c>
      <c r="S4" s="8" t="str">
        <f t="shared" ref="S4:S26" si="9">IF(R4=0,"",IF(R4=DD4,$CC$1,IF(R4=CA4,$AZ$1,IF(R4=AX4,$W$1,""))))</f>
        <v>2023 Elite Canada</v>
      </c>
      <c r="T4" s="8">
        <f t="shared" ref="T4:T26" si="10">IF(MAX(DF4:DH4)&gt;0,MAX(DF4:DH4),"")</f>
        <v>9.9999999999994316E-2</v>
      </c>
      <c r="U4" s="11" t="str">
        <f t="shared" ref="U4:U26" si="11">IF(T4="","",IF(T4=DF4,"("&amp;DF$2&amp;")",IF(T4=DG4,"("&amp;DG$2&amp;")",IF(T4=DH4,"("&amp;DH$2&amp;")"))))</f>
        <v>(Q1)</v>
      </c>
      <c r="V4" s="8" t="str">
        <f t="shared" ref="V4:V26" si="12"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18.600000000000001</v>
      </c>
      <c r="X4" s="19">
        <v>6.4</v>
      </c>
      <c r="Y4" s="19">
        <v>0</v>
      </c>
      <c r="Z4" s="19">
        <v>0</v>
      </c>
      <c r="AA4" s="19">
        <v>18.399999999999999</v>
      </c>
      <c r="AB4" s="19">
        <v>6.8</v>
      </c>
      <c r="AC4" s="19">
        <v>0</v>
      </c>
      <c r="AD4" s="19">
        <v>0.3</v>
      </c>
      <c r="AE4" s="19">
        <v>16.2</v>
      </c>
      <c r="AF4" s="19">
        <v>5.2</v>
      </c>
      <c r="AG4" s="19">
        <v>0.2</v>
      </c>
      <c r="AH4" s="19">
        <v>0.3</v>
      </c>
      <c r="AI4" s="19">
        <v>18.399999999999999</v>
      </c>
      <c r="AJ4" s="19">
        <v>6.4</v>
      </c>
      <c r="AK4" s="19">
        <v>0.2</v>
      </c>
      <c r="AL4" s="19">
        <v>0</v>
      </c>
      <c r="AM4" s="19">
        <v>18.5</v>
      </c>
      <c r="AN4" s="19">
        <v>6.8</v>
      </c>
      <c r="AO4" s="19">
        <v>0.2</v>
      </c>
      <c r="AP4" s="19">
        <v>0.3</v>
      </c>
      <c r="AQ4" s="27"/>
      <c r="AR4" s="40">
        <f t="shared" ref="AR4:AR26" si="13">IF(SUM(X4,AB4)&gt;0,SUM(X4,AB4),"")</f>
        <v>13.2</v>
      </c>
      <c r="AS4" s="40">
        <f t="shared" ref="AS4:AS26" si="14">IF(SUM(W4:X4,Z4:AB4,AD4)-Y4-AC4&gt;0,SUM(W4:X4,Z4:AB4,AD4)-Y4-AC4,"")</f>
        <v>50.499999999999993</v>
      </c>
      <c r="AT4" s="40">
        <f t="shared" ref="AT4:AT26" si="15">IF(SUM(AE4:AF4,AH4)-AG4&gt;0,SUM(AE4:AF4,AH4)-AG4,"")</f>
        <v>21.5</v>
      </c>
      <c r="AU4" s="40">
        <f t="shared" ref="AU4:AU26" si="16">IF(SUM(X4,AB4,AF4)&gt;0,SUM(X4,AB4,AF4),"")</f>
        <v>18.399999999999999</v>
      </c>
      <c r="AV4" s="40">
        <f t="shared" ref="AV4:AV26" si="17">IF(SUM(AS4,AT4)&gt;0,SUM(AS4,AT4),"")</f>
        <v>72</v>
      </c>
      <c r="AW4" s="40">
        <f t="shared" ref="AW4:AW26" si="18">IF(SUM(AJ4,AN4)&gt;0,SUM(AJ4,AN4),"")</f>
        <v>13.2</v>
      </c>
      <c r="AX4" s="40">
        <f t="shared" ref="AX4:AX26" si="19">IF(SUM(AI4:AJ4,AL4:AN4,AP4)-SUM(AK4,AO4)&gt;0,SUM(AI4:AJ4,AL4:AN4,AP4)-SUM(AK4,AO4),"")</f>
        <v>49.999999999999993</v>
      </c>
      <c r="AY4" s="40">
        <f t="shared" ref="AY4:AY26" si="20">IF(SUM(AS4,AT4,AX4)&gt;0,SUM(AS4,AT4,AX4),"")</f>
        <v>122</v>
      </c>
      <c r="AZ4" s="18">
        <v>17.899999999999999</v>
      </c>
      <c r="BA4" s="18">
        <v>5.6</v>
      </c>
      <c r="BB4" s="18">
        <v>0</v>
      </c>
      <c r="BC4" s="18">
        <v>0</v>
      </c>
      <c r="BD4" s="18">
        <v>18.7</v>
      </c>
      <c r="BE4" s="18">
        <v>6</v>
      </c>
      <c r="BF4" s="18">
        <v>0</v>
      </c>
      <c r="BG4" s="18">
        <v>0</v>
      </c>
      <c r="BH4" s="18">
        <v>18</v>
      </c>
      <c r="BI4" s="18">
        <v>5.2</v>
      </c>
      <c r="BJ4" s="18">
        <v>0.6</v>
      </c>
      <c r="BK4" s="18">
        <v>0.3</v>
      </c>
      <c r="BL4" s="18">
        <v>18.600000000000001</v>
      </c>
      <c r="BM4" s="18">
        <v>6</v>
      </c>
      <c r="BN4" s="18">
        <v>0.2</v>
      </c>
      <c r="BO4" s="18">
        <v>0</v>
      </c>
      <c r="BP4" s="18">
        <v>18.600000000000001</v>
      </c>
      <c r="BQ4" s="18">
        <v>5.6</v>
      </c>
      <c r="BR4" s="18">
        <v>0</v>
      </c>
      <c r="BS4" s="18">
        <v>0</v>
      </c>
      <c r="BT4" s="28"/>
      <c r="BU4" s="11">
        <f t="shared" ref="BU4:BU26" si="21">IF(SUM(BA4,BE4)&gt;0,SUM(BA4,BE4),"")</f>
        <v>11.6</v>
      </c>
      <c r="BV4" s="11">
        <f t="shared" ref="BV4:BV26" si="22">IF(SUM(AZ4:BA4,BC4:BE4,BG4)-BB4-BF4&gt;0,SUM(AZ4:BA4,BC4:BE4,BG4)-BB4-BF4,"")</f>
        <v>48.2</v>
      </c>
      <c r="BW4" s="11">
        <f t="shared" ref="BW4:BW26" si="23">IF(SUM(BH4:BI4,BK4)-BJ4&gt;0,SUM(BH4:BI4,BK4)-BJ4,"")</f>
        <v>22.9</v>
      </c>
      <c r="BX4" s="11">
        <f t="shared" ref="BX4:BX26" si="24">IF(SUM(BA4,BE4,BI4)&gt;0,SUM(BA4,BE4,BI4),"")</f>
        <v>16.8</v>
      </c>
      <c r="BY4" s="11">
        <f t="shared" ref="BY4:BY26" si="25">IF(SUM(BV4,BW4)&gt;0,SUM(BV4,BW4),"")</f>
        <v>71.099999999999994</v>
      </c>
      <c r="BZ4" s="11">
        <f t="shared" ref="BZ4:BZ26" si="26">IF(SUM(BM4,BQ4)&gt;0,SUM(BM4,BQ4),"")</f>
        <v>11.6</v>
      </c>
      <c r="CA4" s="11">
        <f t="shared" ref="CA4:CA26" si="27">IF(SUM(BL4:BM4,BO4:BQ4,BS4)-SUM(BN4,BR4)&gt;0,SUM(BL4:BM4,BO4:BQ4,BS4)-SUM(BN4,BR4),"")</f>
        <v>48.6</v>
      </c>
      <c r="CB4" s="11">
        <f t="shared" ref="CB4:CB26" si="28">IF(SUM(BV4,BW4,CA4)&gt;0,SUM(BV4,BW4,CA4),"")</f>
        <v>119.69999999999999</v>
      </c>
      <c r="CC4" s="19">
        <v>18.2</v>
      </c>
      <c r="CD4" s="19">
        <v>6</v>
      </c>
      <c r="CE4" s="19">
        <v>0.2</v>
      </c>
      <c r="CF4" s="19">
        <v>0.3</v>
      </c>
      <c r="CG4" s="19">
        <v>17.600000000000001</v>
      </c>
      <c r="CH4" s="19">
        <v>2.4</v>
      </c>
      <c r="CI4" s="19">
        <v>0</v>
      </c>
      <c r="CJ4" s="19">
        <v>0</v>
      </c>
      <c r="CK4" s="19">
        <v>18.600000000000001</v>
      </c>
      <c r="CL4" s="19">
        <v>6.4</v>
      </c>
      <c r="CM4" s="19">
        <v>0</v>
      </c>
      <c r="CN4" s="19">
        <v>0</v>
      </c>
      <c r="CO4" s="19">
        <v>18.7</v>
      </c>
      <c r="CP4" s="19">
        <v>6.4</v>
      </c>
      <c r="CQ4" s="19">
        <v>0</v>
      </c>
      <c r="CR4" s="19">
        <v>0</v>
      </c>
      <c r="CS4" s="19">
        <v>18.2</v>
      </c>
      <c r="CT4" s="19">
        <v>6.8</v>
      </c>
      <c r="CU4" s="19">
        <v>0.6</v>
      </c>
      <c r="CV4" s="19">
        <v>0.3</v>
      </c>
      <c r="CW4" s="27"/>
      <c r="CX4" s="40">
        <f t="shared" ref="CX4:CX26" si="29">IF(SUM(CD4,CH4)&gt;0,SUM(CD4,CH4),"")</f>
        <v>8.4</v>
      </c>
      <c r="CY4" s="40">
        <f t="shared" ref="CY4:CY26" si="30">IF(SUM(CC4:CD4,CF4:CH4,CJ4)-CE4-CI4&gt;0,SUM(CC4:CD4,CF4:CH4,CJ4)-CE4-CI4,"")</f>
        <v>44.3</v>
      </c>
      <c r="CZ4" s="40">
        <f t="shared" ref="CZ4:CZ26" si="31">IF(SUM(CK4:CL4,CN4)-CM4&gt;0,SUM(CK4:CL4,CN4)-CM4,"")</f>
        <v>25</v>
      </c>
      <c r="DA4" s="40">
        <f t="shared" ref="DA4:DA26" si="32">IF(SUM(CD4,CH4,CL4)&gt;0,SUM(CD4,CH4,CL4),"")</f>
        <v>14.8</v>
      </c>
      <c r="DB4" s="40">
        <f t="shared" ref="DB4:DB26" si="33">IF(SUM(CY4,CZ4)&gt;0,SUM(CY4,CZ4),"")</f>
        <v>69.3</v>
      </c>
      <c r="DC4" s="40">
        <f t="shared" ref="DC4:DC26" si="34">IF(SUM(CP4,CT4)&gt;0,SUM(CP4,CT4),"")</f>
        <v>13.2</v>
      </c>
      <c r="DD4" s="40">
        <f t="shared" ref="DD4:DD26" si="35">IF(SUM(CO4:CP4,CR4:CT4,CV4)-SUM(CQ4,CU4)&gt;0,SUM(CO4:CP4,CR4:CT4,CV4)-SUM(CQ4,CU4),"")</f>
        <v>49.79999999999999</v>
      </c>
      <c r="DE4" s="40">
        <f t="shared" ref="DE4:DE26" si="36">IF(SUM(CY4,CZ4,DD4)&gt;0,SUM(CY4,CZ4,DD4),"")</f>
        <v>119.1</v>
      </c>
      <c r="DF4" s="50">
        <f t="shared" ref="DF4:DF26" si="37">IF(MAX(ED4,FF4,GH4,HJ4,IL4,JN4,KP4,LR4,MT4,NV4,OX4,PZ4)-IF(N4="",0,N4)&gt;0.001,MAX(ED4,FF4,GH4,HJ4,IL4,JN4,KP4,LR4,MT4,NV4,OX4,PZ4)-IF(N4="",0,N4),"")</f>
        <v>9.9999999999994316E-2</v>
      </c>
      <c r="DG4" s="50" t="str">
        <f t="shared" ref="DG4:DG26" si="38">IF(MAX(EE4,FG4,GI4,HK4,IM4,JO4,KQ4,LS4,MU4,NW4,OY4,QA4)-IF(P4="",0,P4)&gt;0.001,MAX(EE4,FG4,GI4,HK4,IM4,JO4,KQ4,LS4,MU4,NW4,OY4,QA4)-IF(P4="",0,P4),"")</f>
        <v/>
      </c>
      <c r="DH4" s="50" t="str">
        <f t="shared" ref="DH4:DH26" si="39">IF(MAX(EI4,FK4,GM4,HO4,IQ4,JS4,KU4,LW4,MY4,OA4,PC4,QE4)-IF(R4="",0,R4)&gt;0.001,MAX(EI4,FK4,GM4,HO4,IQ4,JS4,KU4,LW4,MY4,OA4,PC4,QE4)-IF(R4="",0,R4),"")</f>
        <v/>
      </c>
      <c r="DI4" s="17">
        <v>18.2</v>
      </c>
      <c r="DJ4" s="17">
        <v>7.2</v>
      </c>
      <c r="DK4" s="17">
        <v>0.2</v>
      </c>
      <c r="DL4" s="17">
        <v>0</v>
      </c>
      <c r="DM4" s="17">
        <v>17.600000000000001</v>
      </c>
      <c r="DN4" s="17">
        <v>6</v>
      </c>
      <c r="DO4" s="17">
        <v>0.8</v>
      </c>
      <c r="DP4" s="17">
        <v>0</v>
      </c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>
        <f t="shared" ref="EC4:EC26" si="40">IF(SUM(DJ4,DN4)&gt;0,SUM(DJ4,DN4),"")</f>
        <v>13.2</v>
      </c>
      <c r="ED4" s="40">
        <f t="shared" ref="ED4:ED26" si="41">IF(SUM(DI4:DJ4,DL4:DN4,DP4)-DK4-DO4&gt;0,SUM(DI4:DJ4,DL4:DN4,DP4)-DK4-DO4,"")</f>
        <v>48</v>
      </c>
      <c r="EE4" s="40" t="str">
        <f t="shared" ref="EE4:EE26" si="42">IF(SUM(DQ4:DR4,DT4)-DS4&gt;0,SUM(DQ4:DR4,DT4)-DS4,"")</f>
        <v/>
      </c>
      <c r="EF4" s="40">
        <f t="shared" ref="EF4:EF26" si="43">IF(SUM(DJ4,DN4,DR4)&gt;0,SUM(DJ4,DN4,DR4),"")</f>
        <v>13.2</v>
      </c>
      <c r="EG4" s="40">
        <f t="shared" ref="EG4:EG26" si="44">IF(SUM(ED4,EE4)&gt;0,SUM(ED4,EE4),"")</f>
        <v>48</v>
      </c>
      <c r="EH4" s="40" t="str">
        <f t="shared" ref="EH4:EH26" si="45">IF(SUM(DV4,DZ4)&gt;0,SUM(DV4,DZ4),"")</f>
        <v/>
      </c>
      <c r="EI4" s="40" t="str">
        <f t="shared" ref="EI4:EI26" si="46">IF(SUM(DU4:DV4,DX4:DZ4,EB4)-SUM(DW4,EA4)&gt;0,SUM(DU4:DV4,DX4:DZ4,EB4)-SUM(DW4,EA4),"")</f>
        <v/>
      </c>
      <c r="EJ4" s="40">
        <f t="shared" ref="EJ4:EJ26" si="47">IF(SUM(ED4,EE4,EI4)&gt;0,SUM(ED4,EE4,EI4),"")</f>
        <v>48</v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17.8</v>
      </c>
      <c r="FB4" s="18">
        <v>7.2</v>
      </c>
      <c r="FC4" s="18">
        <v>0.2</v>
      </c>
      <c r="FD4" s="18">
        <v>0</v>
      </c>
      <c r="FE4" s="11" t="str">
        <f t="shared" ref="FE4:FE26" si="48">IF(SUM(EL4,EP4)&gt;0,SUM(EL4,EP4),"")</f>
        <v/>
      </c>
      <c r="FF4" s="11" t="str">
        <f t="shared" ref="FF4:FF26" si="49">IF(SUM(EK4:EL4,EN4:EP4,ER4)-EM4-EQ4&gt;0,SUM(EK4:EL4,EN4:EP4,ER4)-EM4-EQ4,"")</f>
        <v/>
      </c>
      <c r="FG4" s="11" t="str">
        <f t="shared" ref="FG4:FG26" si="50">IF(SUM(ES4:ET4,EV4)-EU4&gt;0,SUM(ES4:ET4,EV4)-EU4,"")</f>
        <v/>
      </c>
      <c r="FH4" s="11" t="str">
        <f t="shared" ref="FH4:FH26" si="51">IF(SUM(EL4,EP4,ET4)&gt;0,SUM(EL4,EP4,ET4),"")</f>
        <v/>
      </c>
      <c r="FI4" s="11" t="str">
        <f t="shared" ref="FI4:FI26" si="52">IF(SUM(FF4,FG4)&gt;0,SUM(FF4,FG4),"")</f>
        <v/>
      </c>
      <c r="FJ4" s="11">
        <f t="shared" ref="FJ4:FJ26" si="53">IF(SUM(EX4,FB4)&gt;0,SUM(EX4,FB4),"")</f>
        <v>7.2</v>
      </c>
      <c r="FK4" s="11">
        <f t="shared" ref="FK4:FK26" si="54">IF(SUM(EW4:EX4,EZ4:FB4,FD4)-SUM(EY4,FC4)&gt;0,SUM(EW4:EX4,EZ4:FB4,FD4)-SUM(EY4,FC4),"")</f>
        <v>24.8</v>
      </c>
      <c r="FL4" s="11">
        <f t="shared" ref="FL4:FL26" si="55">IF(SUM(FF4,FG4,FK4)&gt;0,SUM(FF4,FG4,FK4),"")</f>
        <v>24.8</v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 t="shared" ref="GG4:GG26" si="56">IF(SUM(FN4,FR4)&gt;0,SUM(FN4,FR4),"")</f>
        <v/>
      </c>
      <c r="GH4" s="40" t="str">
        <f t="shared" ref="GH4:GH26" si="57">IF(SUM(FM4:FN4,FP4:FR4,FT4)-FO4-FS4&gt;0,SUM(FM4:FN4,FP4:FR4,FT4)-FO4-FS4,"")</f>
        <v/>
      </c>
      <c r="GI4" s="40" t="str">
        <f t="shared" ref="GI4:GI26" si="58">IF(SUM(FU4:FV4,FX4)-FW4&gt;0,SUM(FU4:FV4,FX4)-FW4,"")</f>
        <v/>
      </c>
      <c r="GJ4" s="40" t="str">
        <f t="shared" ref="GJ4:GJ26" si="59">IF(SUM(FN4,FR4,FV4)&gt;0,SUM(FN4,FR4,FV4),"")</f>
        <v/>
      </c>
      <c r="GK4" s="40" t="str">
        <f t="shared" ref="GK4:GK26" si="60">IF(SUM(GH4,GI4)&gt;0,SUM(GH4,GI4),"")</f>
        <v/>
      </c>
      <c r="GL4" s="40" t="str">
        <f t="shared" ref="GL4:GL26" si="61">IF(SUM(FZ4,GD4)&gt;0,SUM(FZ4,GD4),"")</f>
        <v/>
      </c>
      <c r="GM4" s="40" t="str">
        <f t="shared" ref="GM4:GM26" si="62">IF(SUM(FY4:FZ4,GB4:GD4,GF4)-SUM(GA4,GE4)&gt;0,SUM(FY4:FZ4,GB4:GD4,GF4)-SUM(GA4,GE4),"")</f>
        <v/>
      </c>
      <c r="GN4" s="40" t="str">
        <f t="shared" ref="GN4:GN26" si="63"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>
        <v>16.600000000000001</v>
      </c>
      <c r="HB4" s="18">
        <v>6</v>
      </c>
      <c r="HC4" s="18">
        <v>0.8</v>
      </c>
      <c r="HD4" s="18">
        <v>0</v>
      </c>
      <c r="HE4" s="18">
        <v>18.600000000000001</v>
      </c>
      <c r="HF4" s="18">
        <v>6.4</v>
      </c>
      <c r="HG4" s="18">
        <v>0.2</v>
      </c>
      <c r="HH4" s="18">
        <v>0</v>
      </c>
      <c r="HI4" s="11" t="str">
        <f t="shared" ref="HI4:HI26" si="64">IF(SUM(GP4,GT4)&gt;0,SUM(GP4,GT4),"")</f>
        <v/>
      </c>
      <c r="HJ4" s="11" t="str">
        <f t="shared" ref="HJ4:HJ26" si="65">IF(SUM(GO4:GP4,GR4:GT4,GV4)-GQ4-GU4&gt;0,SUM(GO4:GP4,GR4:GT4,GV4)-GQ4-GU4,"")</f>
        <v/>
      </c>
      <c r="HK4" s="11" t="str">
        <f t="shared" ref="HK4:HK26" si="66">IF(SUM(GW4:GX4,GZ4)-GY4&gt;0,SUM(GW4:GX4,GZ4)-GY4,"")</f>
        <v/>
      </c>
      <c r="HL4" s="11" t="str">
        <f t="shared" ref="HL4:HL26" si="67">IF(SUM(GP4,GT4,GX4)&gt;0,SUM(GP4,GT4,GX4),"")</f>
        <v/>
      </c>
      <c r="HM4" s="11" t="str">
        <f t="shared" ref="HM4:HM26" si="68">IF(SUM(HJ4,HK4)&gt;0,SUM(HJ4,HK4),"")</f>
        <v/>
      </c>
      <c r="HN4" s="11">
        <f t="shared" ref="HN4:HN26" si="69">IF(SUM(HB4,HF4)&gt;0,SUM(HB4,HF4),"")</f>
        <v>12.4</v>
      </c>
      <c r="HO4" s="11">
        <f t="shared" ref="HO4:HO26" si="70">IF(SUM(HA4:HB4,HD4:HF4,HH4)-SUM(HC4,HG4)&gt;0,SUM(HA4:HB4,HD4:HF4,HH4)-SUM(HC4,HG4),"")</f>
        <v>46.6</v>
      </c>
      <c r="HP4" s="11">
        <f t="shared" ref="HP4:HP26" si="71">IF(SUM(HJ4,HK4,HO4)&gt;0,SUM(HJ4,HK4,HO4),"")</f>
        <v>46.6</v>
      </c>
      <c r="HQ4" s="17">
        <v>18.5</v>
      </c>
      <c r="HR4" s="17">
        <v>6.4</v>
      </c>
      <c r="HS4" s="17">
        <v>0</v>
      </c>
      <c r="HT4" s="17">
        <v>0</v>
      </c>
      <c r="HU4" s="17">
        <v>17.5</v>
      </c>
      <c r="HV4" s="17">
        <v>2.4</v>
      </c>
      <c r="HW4" s="17">
        <v>0</v>
      </c>
      <c r="HX4" s="17">
        <v>0</v>
      </c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>
        <f t="shared" ref="IK4:IK26" si="72">IF(SUM(HR4,HV4)&gt;0,SUM(HR4,HV4),"")</f>
        <v>8.8000000000000007</v>
      </c>
      <c r="IL4" s="40">
        <f t="shared" ref="IL4:IL26" si="73">IF(SUM(HQ4:HR4,HT4:HV4,HX4)-HS4-HW4&gt;0,SUM(HQ4:HR4,HT4:HV4,HX4)-HS4-HW4,"")</f>
        <v>44.8</v>
      </c>
      <c r="IM4" s="40" t="str">
        <f t="shared" ref="IM4:IM26" si="74">IF(SUM(HY4:HZ4,IB4)-IA4&gt;0,SUM(HY4:HZ4,IB4)-IA4,"")</f>
        <v/>
      </c>
      <c r="IN4" s="40">
        <f t="shared" ref="IN4:IN26" si="75">IF(SUM(HR4,HV4,HZ4)&gt;0,SUM(HR4,HV4,HZ4),"")</f>
        <v>8.8000000000000007</v>
      </c>
      <c r="IO4" s="40">
        <f t="shared" ref="IO4:IO26" si="76">IF(SUM(IL4,IM4)&gt;0,SUM(IL4,IM4),"")</f>
        <v>44.8</v>
      </c>
      <c r="IP4" s="40" t="str">
        <f t="shared" ref="IP4:IP26" si="77">IF(SUM(ID4,IH4)&gt;0,SUM(ID4,IH4),"")</f>
        <v/>
      </c>
      <c r="IQ4" s="40" t="str">
        <f t="shared" ref="IQ4:IQ26" si="78">IF(SUM(IC4:ID4,IF4:IH4,IJ4)-SUM(IE4,II4)&gt;0,SUM(IC4:ID4,IF4:IH4,IJ4)-SUM(IE4,II4),"")</f>
        <v/>
      </c>
      <c r="IR4" s="40">
        <f t="shared" ref="IR4:IR26" si="79">IF(SUM(IL4,IM4,IQ4)&gt;0,SUM(IL4,IM4,IQ4),"")</f>
        <v>44.8</v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 t="shared" ref="JM4:JM26" si="80">IF(SUM(IT4,IX4)&gt;0,SUM(IT4,IX4),"")</f>
        <v/>
      </c>
      <c r="JN4" s="11" t="str">
        <f t="shared" ref="JN4:JN26" si="81">IF(SUM(IS4:IT4,IV4:IX4,IZ4)-IU4-IY4&gt;0,SUM(IS4:IT4,IV4:IX4,IZ4)-IU4-IY4,"")</f>
        <v/>
      </c>
      <c r="JO4" s="11" t="str">
        <f t="shared" ref="JO4:JO26" si="82">IF(SUM(JA4:JB4,JD4)-JC4&gt;0,SUM(JA4:JB4,JD4)-JC4,"")</f>
        <v/>
      </c>
      <c r="JP4" s="11" t="str">
        <f t="shared" ref="JP4:JP26" si="83">IF(SUM(IT4,IX4,JB4)&gt;0,SUM(IT4,IX4,JB4),"")</f>
        <v/>
      </c>
      <c r="JQ4" s="11" t="str">
        <f t="shared" ref="JQ4:JQ26" si="84">IF(SUM(JN4,JO4)&gt;0,SUM(JN4,JO4),"")</f>
        <v/>
      </c>
      <c r="JR4" s="11" t="str">
        <f t="shared" ref="JR4:JR26" si="85">IF(SUM(JF4,JJ4)&gt;0,SUM(JF4,JJ4),"")</f>
        <v/>
      </c>
      <c r="JS4" s="11" t="str">
        <f t="shared" ref="JS4:JS26" si="86">IF(SUM(JE4:JF4,JH4:JJ4,JL4)-SUM(JG4,JK4)&gt;0,SUM(JE4:JF4,JH4:JJ4,JL4)-SUM(JG4,JK4),"")</f>
        <v/>
      </c>
      <c r="JT4" s="11" t="str">
        <f t="shared" ref="JT4:JT26" si="87">IF(SUM(JN4,JO4,JS4)&gt;0,SUM(JN4,JO4,JS4),"")</f>
        <v/>
      </c>
      <c r="JU4" s="17">
        <v>18.399999999999999</v>
      </c>
      <c r="JV4" s="17">
        <v>6.4</v>
      </c>
      <c r="JW4" s="17">
        <v>0</v>
      </c>
      <c r="JX4" s="17">
        <v>0</v>
      </c>
      <c r="JY4" s="17">
        <v>18.399999999999999</v>
      </c>
      <c r="JZ4" s="17">
        <v>5.2</v>
      </c>
      <c r="KA4" s="17">
        <v>0.2</v>
      </c>
      <c r="KB4" s="17">
        <v>0</v>
      </c>
      <c r="KC4" s="17"/>
      <c r="KD4" s="17"/>
      <c r="KE4" s="17"/>
      <c r="KF4" s="17"/>
      <c r="KG4" s="17">
        <v>18.600000000000001</v>
      </c>
      <c r="KH4" s="17">
        <v>6.4</v>
      </c>
      <c r="KI4" s="17">
        <v>0</v>
      </c>
      <c r="KJ4" s="17">
        <v>0</v>
      </c>
      <c r="KK4" s="17">
        <v>18.600000000000001</v>
      </c>
      <c r="KL4" s="17">
        <v>5.2</v>
      </c>
      <c r="KM4" s="17">
        <v>0.6</v>
      </c>
      <c r="KN4" s="17">
        <v>0</v>
      </c>
      <c r="KO4" s="40">
        <f t="shared" ref="KO4:KO26" si="88">IF(SUM(JV4,JZ4)&gt;0,SUM(JV4,JZ4),"")</f>
        <v>11.600000000000001</v>
      </c>
      <c r="KP4" s="40">
        <f t="shared" ref="KP4:KP26" si="89">IF(SUM(JU4:JV4,JX4:JZ4,KB4)-JW4-KA4&gt;0,SUM(JU4:JV4,JX4:JZ4,KB4)-JW4-KA4,"")</f>
        <v>48.199999999999996</v>
      </c>
      <c r="KQ4" s="40" t="str">
        <f t="shared" ref="KQ4:KQ26" si="90">IF(SUM(KC4:KD4,KF4)-KE4&gt;0,SUM(KC4:KD4,KF4)-KE4,"")</f>
        <v/>
      </c>
      <c r="KR4" s="40">
        <f t="shared" ref="KR4:KR26" si="91">IF(SUM(JV4,JZ4,KD4)&gt;0,SUM(JV4,JZ4,KD4),"")</f>
        <v>11.600000000000001</v>
      </c>
      <c r="KS4" s="40">
        <f t="shared" ref="KS4:KS26" si="92">IF(SUM(KP4,KQ4)&gt;0,SUM(KP4,KQ4),"")</f>
        <v>48.199999999999996</v>
      </c>
      <c r="KT4" s="40">
        <f t="shared" ref="KT4:KT26" si="93">IF(SUM(KH4,KL4)&gt;0,SUM(KH4,KL4),"")</f>
        <v>11.600000000000001</v>
      </c>
      <c r="KU4" s="40">
        <f t="shared" ref="KU4:KU26" si="94">IF(SUM(KG4:KH4,KJ4:KL4,KN4)-SUM(KI4,KM4)&gt;0,SUM(KG4:KH4,KJ4:KL4,KN4)-SUM(KI4,KM4),"")</f>
        <v>48.2</v>
      </c>
      <c r="KV4" s="40">
        <f t="shared" ref="KV4:KV26" si="95">IF(SUM(KP4,KQ4,KU4)&gt;0,SUM(KP4,KQ4,KU4),"")</f>
        <v>96.4</v>
      </c>
      <c r="KW4" s="18">
        <v>17.8</v>
      </c>
      <c r="KX4" s="18">
        <v>5.6</v>
      </c>
      <c r="KY4" s="18">
        <v>0</v>
      </c>
      <c r="KZ4" s="18">
        <v>0</v>
      </c>
      <c r="LA4" s="18">
        <v>18.100000000000001</v>
      </c>
      <c r="LB4" s="18">
        <v>6.8</v>
      </c>
      <c r="LC4" s="18">
        <v>0</v>
      </c>
      <c r="LD4" s="18">
        <v>0</v>
      </c>
      <c r="LE4" s="18">
        <v>18.2</v>
      </c>
      <c r="LF4" s="18">
        <v>6.8</v>
      </c>
      <c r="LG4" s="18">
        <v>0.2</v>
      </c>
      <c r="LH4" s="18">
        <v>0</v>
      </c>
      <c r="LI4" s="18">
        <v>18.3</v>
      </c>
      <c r="LJ4" s="18">
        <v>7.2</v>
      </c>
      <c r="LK4" s="18">
        <v>0.2</v>
      </c>
      <c r="LL4" s="18">
        <v>0</v>
      </c>
      <c r="LM4" s="18"/>
      <c r="LN4" s="18"/>
      <c r="LO4" s="18"/>
      <c r="LP4" s="18"/>
      <c r="LQ4" s="11">
        <f t="shared" ref="LQ4:LQ26" si="96">IF(SUM(KX4,LB4)&gt;0,SUM(KX4,LB4),"")</f>
        <v>12.399999999999999</v>
      </c>
      <c r="LR4" s="11">
        <f t="shared" ref="LR4:LR26" si="97">IF(SUM(KW4:KX4,KZ4:LB4,LD4)-KY4-LC4&gt;0,SUM(KW4:KX4,KZ4:LB4,LD4)-KY4-LC4,"")</f>
        <v>48.3</v>
      </c>
      <c r="LS4" s="11">
        <f t="shared" ref="LS4:LS26" si="98">IF(SUM(LE4:LF4,LH4)-LG4&gt;0,SUM(LE4:LF4,LH4)-LG4,"")</f>
        <v>24.8</v>
      </c>
      <c r="LT4" s="11">
        <f t="shared" ref="LT4:LT26" si="99">IF(SUM(KX4,LB4,LF4)&gt;0,SUM(KX4,LB4,LF4),"")</f>
        <v>19.2</v>
      </c>
      <c r="LU4" s="11">
        <f t="shared" ref="LU4:LU26" si="100">IF(SUM(LR4,LS4)&gt;0,SUM(LR4,LS4),"")</f>
        <v>73.099999999999994</v>
      </c>
      <c r="LV4" s="11">
        <f t="shared" ref="LV4:LV26" si="101">IF(SUM(LJ4,LN4)&gt;0,SUM(LJ4,LN4),"")</f>
        <v>7.2</v>
      </c>
      <c r="LW4" s="11">
        <f t="shared" ref="LW4:LW26" si="102">IF(SUM(LI4:LJ4,LL4:LN4,LP4)-SUM(LK4,LO4)&gt;0,SUM(LI4:LJ4,LL4:LN4,LP4)-SUM(LK4,LO4),"")</f>
        <v>25.3</v>
      </c>
      <c r="LX4" s="11">
        <f t="shared" ref="LX4:LX26" si="103">IF(SUM(LR4,LS4,LW4)&gt;0,SUM(LR4,LS4,LW4),"")</f>
        <v>98.399999999999991</v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 t="shared" ref="MS4:MS26" si="104">IF(SUM(LZ4,MD4)&gt;0,SUM(LZ4,MD4),"")</f>
        <v/>
      </c>
      <c r="MT4" s="40" t="str">
        <f t="shared" ref="MT4:MT26" si="105">IF(SUM(LY4:LZ4,MB4:MD4,MF4)-MA4-ME4&gt;0,SUM(LY4:LZ4,MB4:MD4,MF4)-MA4-ME4,"")</f>
        <v/>
      </c>
      <c r="MU4" s="40" t="str">
        <f t="shared" ref="MU4:MU26" si="106">IF(SUM(MG4:MH4,MJ4)-MI4&gt;0,SUM(MG4:MH4,MJ4)-MI4,"")</f>
        <v/>
      </c>
      <c r="MV4" s="40" t="str">
        <f t="shared" ref="MV4:MV26" si="107">IF(SUM(LZ4,MD4,MH4)&gt;0,SUM(LZ4,MD4,MH4),"")</f>
        <v/>
      </c>
      <c r="MW4" s="40" t="str">
        <f t="shared" ref="MW4:MW26" si="108">IF(SUM(MT4,MU4)&gt;0,SUM(MT4,MU4),"")</f>
        <v/>
      </c>
      <c r="MX4" s="40" t="str">
        <f t="shared" ref="MX4:MX26" si="109">IF(SUM(ML4,MP4)&gt;0,SUM(ML4,MP4),"")</f>
        <v/>
      </c>
      <c r="MY4" s="40" t="str">
        <f t="shared" ref="MY4:MY26" si="110">IF(SUM(MK4:ML4,MN4:MP4,MR4)-SUM(MM4,MQ4)&gt;0,SUM(MK4:ML4,MN4:MP4,MR4)-SUM(MM4,MQ4),"")</f>
        <v/>
      </c>
      <c r="MZ4" s="40" t="str">
        <f t="shared" ref="MZ4:MZ26" si="111"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 t="shared" ref="NU4:NU26" si="112">IF(SUM(NB4,NF4)&gt;0,SUM(NB4,NF4),"")</f>
        <v/>
      </c>
      <c r="NV4" s="11" t="str">
        <f t="shared" ref="NV4:NV26" si="113">IF(SUM(NA4:NB4,ND4:NF4,NH4)-NC4-NG4&gt;0,SUM(NA4:NB4,ND4:NF4,NH4)-NC4-NG4,"")</f>
        <v/>
      </c>
      <c r="NW4" s="11" t="str">
        <f t="shared" ref="NW4:NW26" si="114">IF(SUM(NI4:NJ4,NL4)-NK4&gt;0,SUM(NI4:NJ4,NL4)-NK4,"")</f>
        <v/>
      </c>
      <c r="NX4" s="11" t="str">
        <f t="shared" ref="NX4:NX26" si="115">IF(SUM(NB4,NF4,NJ4)&gt;0,SUM(NB4,NF4,NJ4),"")</f>
        <v/>
      </c>
      <c r="NY4" s="11" t="str">
        <f t="shared" ref="NY4:NY26" si="116">IF(SUM(NV4,NW4)&gt;0,SUM(NV4,NW4),"")</f>
        <v/>
      </c>
      <c r="NZ4" s="11" t="str">
        <f t="shared" ref="NZ4:NZ26" si="117">IF(SUM(NN4,NR4)&gt;0,SUM(NN4,NR4),"")</f>
        <v/>
      </c>
      <c r="OA4" s="11" t="str">
        <f t="shared" ref="OA4:OA26" si="118">IF(SUM(NM4:NN4,NP4:NR4,NT4)-SUM(NO4,NS4)&gt;0,SUM(NM4:NN4,NP4:NR4,NT4)-SUM(NO4,NS4),"")</f>
        <v/>
      </c>
      <c r="OB4" s="11" t="str">
        <f t="shared" ref="OB4:OB26" si="119"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 t="shared" ref="OW4:OW26" si="120">IF(SUM(OD4,OH4)&gt;0,SUM(OD4,OH4),"")</f>
        <v/>
      </c>
      <c r="OX4" s="40" t="str">
        <f t="shared" ref="OX4:OX26" si="121">IF(SUM(OC4:OD4,OF4:OH4,OJ4)-OE4-OI4&gt;0,SUM(OC4:OD4,OF4:OH4,OJ4)-OE4-OI4,"")</f>
        <v/>
      </c>
      <c r="OY4" s="40" t="str">
        <f t="shared" ref="OY4:OY26" si="122">IF(SUM(OK4:OL4,ON4)-OM4&gt;0,SUM(OK4:OL4,ON4)-OM4,"")</f>
        <v/>
      </c>
      <c r="OZ4" s="40" t="str">
        <f t="shared" ref="OZ4:OZ26" si="123">IF(SUM(OD4,OH4,OL4)&gt;0,SUM(OD4,OH4,OL4),"")</f>
        <v/>
      </c>
      <c r="PA4" s="40" t="str">
        <f t="shared" ref="PA4:PA26" si="124">IF(SUM(OX4,OY4)&gt;0,SUM(OX4,OY4),"")</f>
        <v/>
      </c>
      <c r="PB4" s="40" t="str">
        <f t="shared" ref="PB4:PB26" si="125">IF(SUM(OP4,OT4)&gt;0,SUM(OP4,OT4),"")</f>
        <v/>
      </c>
      <c r="PC4" s="40" t="str">
        <f t="shared" ref="PC4:PC26" si="126">IF(SUM(OO4:OP4,OR4:OT4,OV4)-SUM(OQ4,OU4)&gt;0,SUM(OO4:OP4,OR4:OT4,OV4)-SUM(OQ4,OU4),"")</f>
        <v/>
      </c>
      <c r="PD4" s="40" t="str">
        <f t="shared" ref="PD4:PD26" si="127"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 t="shared" ref="PY4:PY26" si="128">IF(SUM(PF4,PJ4)&gt;0,SUM(PF4,PJ4),"")</f>
        <v/>
      </c>
      <c r="PZ4" s="11" t="str">
        <f t="shared" ref="PZ4:PZ26" si="129">IF(SUM(PE4:PF4,PH4:PJ4,PL4)-PG4-PK4&gt;0,SUM(PE4:PF4,PH4:PJ4,PL4)-PG4-PK4,"")</f>
        <v/>
      </c>
      <c r="QA4" s="11" t="str">
        <f t="shared" ref="QA4:QA26" si="130">IF(SUM(PM4:PN4,PP4)-PO4&gt;0,SUM(PM4:PN4,PP4)-PO4,"")</f>
        <v/>
      </c>
      <c r="QB4" s="11" t="str">
        <f t="shared" ref="QB4:QB26" si="131">IF(SUM(PF4,PJ4,PN4)&gt;0,SUM(PF4,PJ4,PN4),"")</f>
        <v/>
      </c>
      <c r="QC4" s="11" t="str">
        <f t="shared" ref="QC4:QC26" si="132">IF(SUM(PZ4,QA4)&gt;0,SUM(PZ4,QA4),"")</f>
        <v/>
      </c>
      <c r="QD4" s="11" t="str">
        <f t="shared" ref="QD4:QD26" si="133">IF(SUM(PR4,PV4)&gt;0,SUM(PR4,PV4),"")</f>
        <v/>
      </c>
      <c r="QE4" s="11" t="str">
        <f t="shared" ref="QE4:QE26" si="134">IF(SUM(PQ4:PR4,PT4:PV4,PX4)-SUM(PS4,PW4)&gt;0,SUM(PQ4:PR4,PT4:PV4,PX4)-SUM(PS4,PW4),"")</f>
        <v/>
      </c>
      <c r="QF4" s="11" t="str">
        <f t="shared" ref="QF4:QF26" si="135">IF(SUM(PZ4,QA4,QE4)&gt;0,SUM(PZ4,QA4,QE4),"")</f>
        <v/>
      </c>
      <c r="QG4" s="22">
        <f t="shared" ref="QG4:QG26" si="136">IF($CW4="P",CC4,(CC4+AZ4)/2)</f>
        <v>18.049999999999997</v>
      </c>
      <c r="QH4" s="22">
        <f t="shared" ref="QH4:QH26" si="137">IF($CW4="P",CD4,(CD4+BA4)/2)</f>
        <v>5.8</v>
      </c>
      <c r="QI4" s="22">
        <f t="shared" ref="QI4:QI26" si="138">IF($CW4="P",CE4,(CE4+BB4)/2)</f>
        <v>0.1</v>
      </c>
      <c r="QJ4" s="22">
        <f t="shared" ref="QJ4:QJ26" si="139">IF($CW4="P",CF4,(CF4+BC4)/2)</f>
        <v>0.15</v>
      </c>
      <c r="QK4" s="22">
        <f t="shared" ref="QK4:QK26" si="140">IF($CW4="P",CG4,(CG4+BD4)/2)</f>
        <v>18.149999999999999</v>
      </c>
      <c r="QL4" s="22">
        <f t="shared" ref="QL4:QL26" si="141">IF($CW4="P",CH4,(CH4+BE4)/2)</f>
        <v>4.2</v>
      </c>
      <c r="QM4" s="22">
        <f t="shared" ref="QM4:QM26" si="142">IF($CW4="P",CI4,(CI4+BF4)/2)</f>
        <v>0</v>
      </c>
      <c r="QN4" s="22">
        <f t="shared" ref="QN4:QN26" si="143">IF($CW4="P",CJ4,(CJ4+BG4)/2)</f>
        <v>0</v>
      </c>
      <c r="QO4" s="22">
        <f t="shared" ref="QO4:QO26" si="144">IF($CW4="P",CK4,(CK4+BH4)/2)</f>
        <v>18.3</v>
      </c>
      <c r="QP4" s="22">
        <f t="shared" ref="QP4:QP26" si="145">IF($CW4="P",CL4,(CL4+BI4)/2)</f>
        <v>5.8000000000000007</v>
      </c>
      <c r="QQ4" s="22">
        <f t="shared" ref="QQ4:QQ26" si="146">IF($CW4="P",CM4,(CM4+BJ4)/2)</f>
        <v>0.3</v>
      </c>
      <c r="QR4" s="22">
        <f t="shared" ref="QR4:QR26" si="147">IF($CW4="P",CN4,(CN4+BK4)/2)</f>
        <v>0.15</v>
      </c>
      <c r="QS4" s="22">
        <f t="shared" ref="QS4:QS26" si="148">IF($CW4="P",CO4,(CO4+BL4)/2)</f>
        <v>18.649999999999999</v>
      </c>
      <c r="QT4" s="22">
        <f t="shared" ref="QT4:QT26" si="149">IF($CW4="P",CP4,(CP4+BM4)/2)</f>
        <v>6.2</v>
      </c>
      <c r="QU4" s="22">
        <f t="shared" ref="QU4:QU26" si="150">IF($CW4="P",CQ4,(CQ4+BN4)/2)</f>
        <v>0.1</v>
      </c>
      <c r="QV4" s="22">
        <f t="shared" ref="QV4:QV26" si="151">IF($CW4="P",CR4,(CR4+BO4)/2)</f>
        <v>0</v>
      </c>
      <c r="QW4" s="22">
        <f t="shared" ref="QW4:QW26" si="152">IF($CW4="P",CS4,(CS4+BP4)/2)</f>
        <v>18.399999999999999</v>
      </c>
      <c r="QX4" s="22">
        <f t="shared" ref="QX4:QX26" si="153">IF($CW4="P",CT4,(CT4+BQ4)/2)</f>
        <v>6.1999999999999993</v>
      </c>
      <c r="QY4" s="22">
        <f t="shared" ref="QY4:QY26" si="154">IF($CW4="P",CU4,(CU4+BR4)/2)</f>
        <v>0.3</v>
      </c>
      <c r="QZ4" s="22">
        <f t="shared" ref="QZ4:QZ26" si="155">IF($CW4="P",CV4,(CV4+BS4)/2)</f>
        <v>0.15</v>
      </c>
      <c r="RA4" s="27" t="s">
        <v>46</v>
      </c>
      <c r="RB4" s="40">
        <f t="shared" ref="RB4:RB26" si="156">IF(SUM(QH4,QL4)&gt;0,SUM(QH4,QL4),"")</f>
        <v>10</v>
      </c>
      <c r="RC4" s="40">
        <f t="shared" ref="RC4:RC26" si="157">IF(SUM(QG4:QH4,QJ4:QL4,QN4)-QI4-QM4&gt;0,SUM(QG4:QH4,QJ4:QL4,QN4)-QI4-QM4,"")</f>
        <v>46.249999999999993</v>
      </c>
      <c r="RD4" s="40">
        <f t="shared" ref="RD4:RD26" si="158">IF(SUM(QO4:QP4,QR4)-QQ4&gt;0,SUM(QO4:QP4,QR4)-QQ4,"")</f>
        <v>23.95</v>
      </c>
      <c r="RE4" s="40">
        <f t="shared" ref="RE4:RE26" si="159">IF(SUM(QH4,QL4,QP4)&gt;0,SUM(QH4,QL4,QP4),"")</f>
        <v>15.8</v>
      </c>
      <c r="RF4" s="40">
        <f t="shared" ref="RF4:RF26" si="160">IF(SUM(RC4,RD4)&gt;0,SUM(RC4,RD4),"")</f>
        <v>70.199999999999989</v>
      </c>
      <c r="RG4" s="40">
        <f t="shared" ref="RG4:RG26" si="161">IF(SUM(QT4,QX4)&gt;0,SUM(QT4,QX4),"")</f>
        <v>12.399999999999999</v>
      </c>
      <c r="RH4" s="40">
        <f t="shared" ref="RH4:RH26" si="162">IF(SUM(QS4:QT4,QV4:QX4,QZ4)-SUM(QU4,QY4)&gt;0,SUM(QS4:QT4,QV4:QX4,QZ4)-SUM(QU4,QY4),"")</f>
        <v>49.2</v>
      </c>
      <c r="RI4" s="40">
        <f t="shared" ref="RI4:RI26" si="163">IF(SUM(RC4,RD4,RH4)&gt;0,SUM(RC4,RD4,RH4),"")</f>
        <v>119.39999999999999</v>
      </c>
    </row>
    <row r="5" spans="1:477" x14ac:dyDescent="0.2">
      <c r="A5" s="4" cm="1">
        <f t="array" ref="A5">IF(AND(J5&lt;&gt;"",J5&lt;&gt;"No DD"),SUMPRODUCT((J$4:J$27&lt;&gt;"")*(J$4:J$27&lt;&gt;"No DD")*(F$4:F$27&gt;F5))+1,IF(J5="No DD",SUMPRODUCT((J$4:J$27="No DD")*(F$4:F$27&gt;F5))+1+SUMPRODUCT((J$4:J$27&lt;&gt;"")*(J$4:J$27&lt;&gt;"No DD")),""))</f>
        <v>2</v>
      </c>
      <c r="B5" s="4" t="str" cm="1">
        <f t="array" ref="B5">IF(AND(J5&lt;&gt;"",J5&lt;&gt;"No DD",G5=""),SUMPRODUCT((J$4:J$27&lt;&gt;"")*(J$4:J$27&lt;&gt;"No DD")*(G$4:G$27="")*(F$4:F$27&gt;F5))+1,IF(J5="No DD",SUMPRODUCT((J$4:J$27="No DD")*(F$4:F$27&gt;F5)*(G$4:G$27=""))+1+SUMPRODUCT((J$4:J$27&lt;&gt;"")*(G$4:G$27="")*(J$4:J$27&lt;&gt;"No DD")),""))</f>
        <v/>
      </c>
      <c r="C5" s="5" t="s">
        <v>67</v>
      </c>
      <c r="D5" s="4" t="s">
        <v>4</v>
      </c>
      <c r="E5" s="4">
        <v>2003</v>
      </c>
      <c r="F5" s="9">
        <f t="shared" si="0"/>
        <v>173.70001239000499</v>
      </c>
      <c r="G5" s="66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IF(COUNT(AS5,BV5,CY5)&gt;0,LARGE((AS5,BV5,CY5),1),0)</f>
        <v>49.9</v>
      </c>
      <c r="M5" s="8" t="str">
        <f t="shared" si="5"/>
        <v>2023 Elite Canada</v>
      </c>
      <c r="N5" s="8">
        <f>IF(COUNT(AS5,BV5,CY5)&gt;1,LARGE((AS5,BV5,CY5),2),0)</f>
        <v>49.3</v>
      </c>
      <c r="O5" s="8" t="str">
        <f t="shared" si="6"/>
        <v>2023 Nationals</v>
      </c>
      <c r="P5" s="8">
        <f>IF(COUNT(AT5,BW5,CZ5)&gt;0,LARGE((AT5,BW5,CZ5),1),0)</f>
        <v>24.700000000000003</v>
      </c>
      <c r="Q5" s="8" t="str">
        <f t="shared" si="7"/>
        <v>2023 3rd Domestic Trial</v>
      </c>
      <c r="R5" s="8">
        <f t="shared" si="8"/>
        <v>49.7</v>
      </c>
      <c r="S5" s="8" t="str">
        <f t="shared" si="9"/>
        <v>2023 3rd Domestic Trial</v>
      </c>
      <c r="T5" s="8">
        <f t="shared" si="10"/>
        <v>0.10000000000000142</v>
      </c>
      <c r="U5" s="11" t="str">
        <f t="shared" si="11"/>
        <v>(Q1)</v>
      </c>
      <c r="V5" s="8" t="str">
        <f t="shared" si="12"/>
        <v>2023 World Championships (Nov 11)</v>
      </c>
      <c r="W5" s="19">
        <v>18.600000000000001</v>
      </c>
      <c r="X5" s="19">
        <v>6.4</v>
      </c>
      <c r="Y5" s="19">
        <v>0</v>
      </c>
      <c r="Z5" s="19">
        <v>0</v>
      </c>
      <c r="AA5" s="19">
        <v>18.600000000000001</v>
      </c>
      <c r="AB5" s="19">
        <v>6</v>
      </c>
      <c r="AC5" s="19">
        <v>0</v>
      </c>
      <c r="AD5" s="19">
        <v>0.3</v>
      </c>
      <c r="AE5" s="19">
        <v>18.100000000000001</v>
      </c>
      <c r="AF5" s="19">
        <v>5.2</v>
      </c>
      <c r="AG5" s="19">
        <v>0.6</v>
      </c>
      <c r="AH5" s="19">
        <v>0</v>
      </c>
      <c r="AI5" s="19">
        <v>18.7</v>
      </c>
      <c r="AJ5" s="19">
        <v>6.4</v>
      </c>
      <c r="AK5" s="19">
        <v>0</v>
      </c>
      <c r="AL5" s="19">
        <v>0</v>
      </c>
      <c r="AM5" s="19">
        <v>18.399999999999999</v>
      </c>
      <c r="AN5" s="19">
        <v>6</v>
      </c>
      <c r="AO5" s="19">
        <v>0.6</v>
      </c>
      <c r="AP5" s="19">
        <v>0.3</v>
      </c>
      <c r="AQ5" s="27"/>
      <c r="AR5" s="40">
        <f t="shared" si="13"/>
        <v>12.4</v>
      </c>
      <c r="AS5" s="40">
        <f t="shared" si="14"/>
        <v>49.9</v>
      </c>
      <c r="AT5" s="40">
        <f t="shared" si="15"/>
        <v>22.7</v>
      </c>
      <c r="AU5" s="40">
        <f t="shared" si="16"/>
        <v>17.600000000000001</v>
      </c>
      <c r="AV5" s="40">
        <f t="shared" si="17"/>
        <v>72.599999999999994</v>
      </c>
      <c r="AW5" s="40">
        <f t="shared" si="18"/>
        <v>12.4</v>
      </c>
      <c r="AX5" s="40">
        <f t="shared" si="19"/>
        <v>49.199999999999996</v>
      </c>
      <c r="AY5" s="40">
        <f t="shared" si="20"/>
        <v>121.79999999999998</v>
      </c>
      <c r="AZ5" s="18">
        <v>18.600000000000001</v>
      </c>
      <c r="BA5" s="18">
        <v>6.4</v>
      </c>
      <c r="BB5" s="18">
        <v>0</v>
      </c>
      <c r="BC5" s="18">
        <v>0</v>
      </c>
      <c r="BD5" s="18">
        <v>18.2</v>
      </c>
      <c r="BE5" s="18">
        <v>6</v>
      </c>
      <c r="BF5" s="18">
        <v>0.2</v>
      </c>
      <c r="BG5" s="18">
        <v>0.3</v>
      </c>
      <c r="BH5" s="18">
        <v>18</v>
      </c>
      <c r="BI5" s="18">
        <v>5.2</v>
      </c>
      <c r="BJ5" s="18">
        <v>0.2</v>
      </c>
      <c r="BK5" s="18">
        <v>0</v>
      </c>
      <c r="BL5" s="18">
        <v>18.600000000000001</v>
      </c>
      <c r="BM5" s="18">
        <v>6.4</v>
      </c>
      <c r="BN5" s="18">
        <v>0</v>
      </c>
      <c r="BO5" s="18">
        <v>0</v>
      </c>
      <c r="BP5" s="18">
        <v>16.3</v>
      </c>
      <c r="BQ5" s="18">
        <v>2.9</v>
      </c>
      <c r="BR5" s="18">
        <v>1.8</v>
      </c>
      <c r="BS5" s="18">
        <v>0</v>
      </c>
      <c r="BT5" s="28"/>
      <c r="BU5" s="11">
        <f t="shared" si="21"/>
        <v>12.4</v>
      </c>
      <c r="BV5" s="11">
        <f t="shared" si="22"/>
        <v>49.3</v>
      </c>
      <c r="BW5" s="11">
        <f t="shared" si="23"/>
        <v>23</v>
      </c>
      <c r="BX5" s="11">
        <f t="shared" si="24"/>
        <v>17.600000000000001</v>
      </c>
      <c r="BY5" s="11">
        <f t="shared" si="25"/>
        <v>72.3</v>
      </c>
      <c r="BZ5" s="11">
        <f t="shared" si="26"/>
        <v>9.3000000000000007</v>
      </c>
      <c r="CA5" s="11">
        <f t="shared" si="27"/>
        <v>42.4</v>
      </c>
      <c r="CB5" s="11">
        <f t="shared" si="28"/>
        <v>114.69999999999999</v>
      </c>
      <c r="CC5" s="19">
        <v>18</v>
      </c>
      <c r="CD5" s="19">
        <v>6</v>
      </c>
      <c r="CE5" s="19">
        <v>0</v>
      </c>
      <c r="CF5" s="19">
        <v>0.3</v>
      </c>
      <c r="CG5" s="19">
        <v>18.8</v>
      </c>
      <c r="CH5" s="19">
        <v>5.2</v>
      </c>
      <c r="CI5" s="19">
        <v>0</v>
      </c>
      <c r="CJ5" s="19">
        <v>0</v>
      </c>
      <c r="CK5" s="19">
        <v>18.3</v>
      </c>
      <c r="CL5" s="19">
        <v>6.4</v>
      </c>
      <c r="CM5" s="19">
        <v>0</v>
      </c>
      <c r="CN5" s="19">
        <v>0</v>
      </c>
      <c r="CO5" s="19">
        <v>18.399999999999999</v>
      </c>
      <c r="CP5" s="19">
        <v>7.2</v>
      </c>
      <c r="CQ5" s="19">
        <v>0.2</v>
      </c>
      <c r="CR5" s="19">
        <v>0.3</v>
      </c>
      <c r="CS5" s="19">
        <v>18.600000000000001</v>
      </c>
      <c r="CT5" s="19">
        <v>6</v>
      </c>
      <c r="CU5" s="19">
        <v>0.6</v>
      </c>
      <c r="CV5" s="19">
        <v>0</v>
      </c>
      <c r="CW5" s="27"/>
      <c r="CX5" s="40">
        <f t="shared" si="29"/>
        <v>11.2</v>
      </c>
      <c r="CY5" s="40">
        <f t="shared" si="30"/>
        <v>48.300000000000004</v>
      </c>
      <c r="CZ5" s="40">
        <f t="shared" si="31"/>
        <v>24.700000000000003</v>
      </c>
      <c r="DA5" s="40">
        <f t="shared" si="32"/>
        <v>17.600000000000001</v>
      </c>
      <c r="DB5" s="40">
        <f t="shared" si="33"/>
        <v>73</v>
      </c>
      <c r="DC5" s="40">
        <f t="shared" si="34"/>
        <v>13.2</v>
      </c>
      <c r="DD5" s="40">
        <f t="shared" si="35"/>
        <v>49.7</v>
      </c>
      <c r="DE5" s="40">
        <f t="shared" si="36"/>
        <v>122.7</v>
      </c>
      <c r="DF5" s="50">
        <f t="shared" si="37"/>
        <v>0.10000000000000142</v>
      </c>
      <c r="DG5" s="50" t="str">
        <f t="shared" si="38"/>
        <v/>
      </c>
      <c r="DH5" s="50" t="str">
        <f t="shared" si="39"/>
        <v/>
      </c>
      <c r="DI5" s="17">
        <v>18.100000000000001</v>
      </c>
      <c r="DJ5" s="17">
        <v>5.6</v>
      </c>
      <c r="DK5" s="17">
        <v>0</v>
      </c>
      <c r="DL5" s="17">
        <v>0</v>
      </c>
      <c r="DM5" s="17">
        <v>17.5</v>
      </c>
      <c r="DN5" s="17">
        <v>6.8</v>
      </c>
      <c r="DO5" s="17">
        <v>0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 t="shared" si="40"/>
        <v>12.399999999999999</v>
      </c>
      <c r="ED5" s="40">
        <f t="shared" si="41"/>
        <v>48</v>
      </c>
      <c r="EE5" s="40" t="str">
        <f t="shared" si="42"/>
        <v/>
      </c>
      <c r="EF5" s="40">
        <f t="shared" si="43"/>
        <v>12.399999999999999</v>
      </c>
      <c r="EG5" s="40">
        <f t="shared" si="44"/>
        <v>48</v>
      </c>
      <c r="EH5" s="40" t="str">
        <f t="shared" si="45"/>
        <v/>
      </c>
      <c r="EI5" s="40" t="str">
        <f t="shared" si="46"/>
        <v/>
      </c>
      <c r="EJ5" s="40">
        <f t="shared" si="47"/>
        <v>48</v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 t="shared" si="48"/>
        <v/>
      </c>
      <c r="FF5" s="11" t="str">
        <f t="shared" si="49"/>
        <v/>
      </c>
      <c r="FG5" s="11" t="str">
        <f t="shared" si="50"/>
        <v/>
      </c>
      <c r="FH5" s="11" t="str">
        <f t="shared" si="51"/>
        <v/>
      </c>
      <c r="FI5" s="11" t="str">
        <f t="shared" si="52"/>
        <v/>
      </c>
      <c r="FJ5" s="11" t="str">
        <f t="shared" si="53"/>
        <v/>
      </c>
      <c r="FK5" s="11" t="str">
        <f t="shared" si="54"/>
        <v/>
      </c>
      <c r="FL5" s="11" t="str">
        <f t="shared" si="55"/>
        <v/>
      </c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 t="str">
        <f t="shared" si="56"/>
        <v/>
      </c>
      <c r="GH5" s="40" t="str">
        <f t="shared" si="57"/>
        <v/>
      </c>
      <c r="GI5" s="40" t="str">
        <f t="shared" si="58"/>
        <v/>
      </c>
      <c r="GJ5" s="40" t="str">
        <f t="shared" si="59"/>
        <v/>
      </c>
      <c r="GK5" s="40" t="str">
        <f t="shared" si="60"/>
        <v/>
      </c>
      <c r="GL5" s="40" t="str">
        <f t="shared" si="61"/>
        <v/>
      </c>
      <c r="GM5" s="40" t="str">
        <f t="shared" si="62"/>
        <v/>
      </c>
      <c r="GN5" s="40" t="str">
        <f t="shared" si="63"/>
        <v/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 t="shared" si="64"/>
        <v/>
      </c>
      <c r="HJ5" s="11" t="str">
        <f t="shared" si="65"/>
        <v/>
      </c>
      <c r="HK5" s="11" t="str">
        <f t="shared" si="66"/>
        <v/>
      </c>
      <c r="HL5" s="11" t="str">
        <f t="shared" si="67"/>
        <v/>
      </c>
      <c r="HM5" s="11" t="str">
        <f t="shared" si="68"/>
        <v/>
      </c>
      <c r="HN5" s="11" t="str">
        <f t="shared" si="69"/>
        <v/>
      </c>
      <c r="HO5" s="11" t="str">
        <f t="shared" si="70"/>
        <v/>
      </c>
      <c r="HP5" s="11" t="str">
        <f t="shared" si="71"/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 t="shared" si="72"/>
        <v/>
      </c>
      <c r="IL5" s="40" t="str">
        <f t="shared" si="73"/>
        <v/>
      </c>
      <c r="IM5" s="40" t="str">
        <f t="shared" si="74"/>
        <v/>
      </c>
      <c r="IN5" s="40" t="str">
        <f t="shared" si="75"/>
        <v/>
      </c>
      <c r="IO5" s="40" t="str">
        <f t="shared" si="76"/>
        <v/>
      </c>
      <c r="IP5" s="40" t="str">
        <f t="shared" si="77"/>
        <v/>
      </c>
      <c r="IQ5" s="40" t="str">
        <f t="shared" si="78"/>
        <v/>
      </c>
      <c r="IR5" s="40" t="str">
        <f t="shared" si="79"/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 t="shared" si="80"/>
        <v/>
      </c>
      <c r="JN5" s="11" t="str">
        <f t="shared" si="81"/>
        <v/>
      </c>
      <c r="JO5" s="11" t="str">
        <f t="shared" si="82"/>
        <v/>
      </c>
      <c r="JP5" s="11" t="str">
        <f t="shared" si="83"/>
        <v/>
      </c>
      <c r="JQ5" s="11" t="str">
        <f t="shared" si="84"/>
        <v/>
      </c>
      <c r="JR5" s="11" t="str">
        <f t="shared" si="85"/>
        <v/>
      </c>
      <c r="JS5" s="11" t="str">
        <f t="shared" si="86"/>
        <v/>
      </c>
      <c r="JT5" s="11" t="str">
        <f t="shared" si="87"/>
        <v/>
      </c>
      <c r="JU5" s="17">
        <v>18.100000000000001</v>
      </c>
      <c r="JV5" s="17">
        <v>6.4</v>
      </c>
      <c r="JW5" s="17">
        <v>0</v>
      </c>
      <c r="JX5" s="17">
        <v>0</v>
      </c>
      <c r="JY5" s="17">
        <v>18.3</v>
      </c>
      <c r="JZ5" s="17">
        <v>5.2</v>
      </c>
      <c r="KA5" s="17">
        <v>0.8</v>
      </c>
      <c r="KB5" s="17">
        <v>0</v>
      </c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>
        <f t="shared" si="88"/>
        <v>11.600000000000001</v>
      </c>
      <c r="KP5" s="40">
        <f t="shared" si="89"/>
        <v>47.2</v>
      </c>
      <c r="KQ5" s="40" t="str">
        <f t="shared" si="90"/>
        <v/>
      </c>
      <c r="KR5" s="40">
        <f t="shared" si="91"/>
        <v>11.600000000000001</v>
      </c>
      <c r="KS5" s="40">
        <f t="shared" si="92"/>
        <v>47.2</v>
      </c>
      <c r="KT5" s="40" t="str">
        <f t="shared" si="93"/>
        <v/>
      </c>
      <c r="KU5" s="40" t="str">
        <f t="shared" si="94"/>
        <v/>
      </c>
      <c r="KV5" s="40">
        <f t="shared" si="95"/>
        <v>47.2</v>
      </c>
      <c r="KW5" s="18">
        <v>18.399999999999999</v>
      </c>
      <c r="KX5" s="18">
        <v>7.2</v>
      </c>
      <c r="KY5" s="18">
        <v>0</v>
      </c>
      <c r="KZ5" s="18">
        <v>0</v>
      </c>
      <c r="LA5" s="18">
        <v>18.399999999999999</v>
      </c>
      <c r="LB5" s="18">
        <v>6</v>
      </c>
      <c r="LC5" s="18">
        <v>0.6</v>
      </c>
      <c r="LD5" s="18">
        <v>0</v>
      </c>
      <c r="LE5" s="18">
        <v>18.100000000000001</v>
      </c>
      <c r="LF5" s="18">
        <v>6</v>
      </c>
      <c r="LG5" s="18">
        <v>0</v>
      </c>
      <c r="LH5" s="18">
        <v>0</v>
      </c>
      <c r="LI5" s="18">
        <v>18.399999999999999</v>
      </c>
      <c r="LJ5" s="18">
        <v>6.4</v>
      </c>
      <c r="LK5" s="18">
        <v>0</v>
      </c>
      <c r="LL5" s="18">
        <v>0</v>
      </c>
      <c r="LM5" s="18"/>
      <c r="LN5" s="18"/>
      <c r="LO5" s="18"/>
      <c r="LP5" s="18"/>
      <c r="LQ5" s="11">
        <f t="shared" si="96"/>
        <v>13.2</v>
      </c>
      <c r="LR5" s="11">
        <f t="shared" si="97"/>
        <v>49.4</v>
      </c>
      <c r="LS5" s="11">
        <f t="shared" si="98"/>
        <v>24.1</v>
      </c>
      <c r="LT5" s="11">
        <f t="shared" si="99"/>
        <v>19.2</v>
      </c>
      <c r="LU5" s="11">
        <f t="shared" si="100"/>
        <v>73.5</v>
      </c>
      <c r="LV5" s="11">
        <f t="shared" si="101"/>
        <v>6.4</v>
      </c>
      <c r="LW5" s="11">
        <f t="shared" si="102"/>
        <v>24.799999999999997</v>
      </c>
      <c r="LX5" s="11">
        <f t="shared" si="103"/>
        <v>98.3</v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 t="shared" si="104"/>
        <v/>
      </c>
      <c r="MT5" s="40" t="str">
        <f t="shared" si="105"/>
        <v/>
      </c>
      <c r="MU5" s="40" t="str">
        <f t="shared" si="106"/>
        <v/>
      </c>
      <c r="MV5" s="40" t="str">
        <f t="shared" si="107"/>
        <v/>
      </c>
      <c r="MW5" s="40" t="str">
        <f t="shared" si="108"/>
        <v/>
      </c>
      <c r="MX5" s="40" t="str">
        <f t="shared" si="109"/>
        <v/>
      </c>
      <c r="MY5" s="40" t="str">
        <f t="shared" si="110"/>
        <v/>
      </c>
      <c r="MZ5" s="40" t="str">
        <f t="shared" si="111"/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 t="shared" si="112"/>
        <v/>
      </c>
      <c r="NV5" s="11" t="str">
        <f t="shared" si="113"/>
        <v/>
      </c>
      <c r="NW5" s="11" t="str">
        <f t="shared" si="114"/>
        <v/>
      </c>
      <c r="NX5" s="11" t="str">
        <f t="shared" si="115"/>
        <v/>
      </c>
      <c r="NY5" s="11" t="str">
        <f t="shared" si="116"/>
        <v/>
      </c>
      <c r="NZ5" s="11" t="str">
        <f t="shared" si="117"/>
        <v/>
      </c>
      <c r="OA5" s="11" t="str">
        <f t="shared" si="118"/>
        <v/>
      </c>
      <c r="OB5" s="11" t="str">
        <f t="shared" si="119"/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 t="shared" si="120"/>
        <v/>
      </c>
      <c r="OX5" s="40" t="str">
        <f t="shared" si="121"/>
        <v/>
      </c>
      <c r="OY5" s="40" t="str">
        <f t="shared" si="122"/>
        <v/>
      </c>
      <c r="OZ5" s="40" t="str">
        <f t="shared" si="123"/>
        <v/>
      </c>
      <c r="PA5" s="40" t="str">
        <f t="shared" si="124"/>
        <v/>
      </c>
      <c r="PB5" s="40" t="str">
        <f t="shared" si="125"/>
        <v/>
      </c>
      <c r="PC5" s="40" t="str">
        <f t="shared" si="126"/>
        <v/>
      </c>
      <c r="PD5" s="40" t="str">
        <f t="shared" si="127"/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 t="shared" si="128"/>
        <v/>
      </c>
      <c r="PZ5" s="11" t="str">
        <f t="shared" si="129"/>
        <v/>
      </c>
      <c r="QA5" s="11" t="str">
        <f t="shared" si="130"/>
        <v/>
      </c>
      <c r="QB5" s="11" t="str">
        <f t="shared" si="131"/>
        <v/>
      </c>
      <c r="QC5" s="11" t="str">
        <f t="shared" si="132"/>
        <v/>
      </c>
      <c r="QD5" s="11" t="str">
        <f t="shared" si="133"/>
        <v/>
      </c>
      <c r="QE5" s="11" t="str">
        <f t="shared" si="134"/>
        <v/>
      </c>
      <c r="QF5" s="11" t="str">
        <f t="shared" si="135"/>
        <v/>
      </c>
      <c r="QG5" s="22">
        <f t="shared" si="136"/>
        <v>18.3</v>
      </c>
      <c r="QH5" s="22">
        <f t="shared" si="137"/>
        <v>6.2</v>
      </c>
      <c r="QI5" s="22">
        <f t="shared" si="138"/>
        <v>0</v>
      </c>
      <c r="QJ5" s="22">
        <f t="shared" si="139"/>
        <v>0.15</v>
      </c>
      <c r="QK5" s="22">
        <f t="shared" si="140"/>
        <v>18.5</v>
      </c>
      <c r="QL5" s="22">
        <f t="shared" si="141"/>
        <v>5.6</v>
      </c>
      <c r="QM5" s="22">
        <f t="shared" si="142"/>
        <v>0.1</v>
      </c>
      <c r="QN5" s="22">
        <f t="shared" si="143"/>
        <v>0.15</v>
      </c>
      <c r="QO5" s="22">
        <f t="shared" si="144"/>
        <v>18.149999999999999</v>
      </c>
      <c r="QP5" s="22">
        <f t="shared" si="145"/>
        <v>5.8000000000000007</v>
      </c>
      <c r="QQ5" s="22">
        <f t="shared" si="146"/>
        <v>0.1</v>
      </c>
      <c r="QR5" s="22">
        <f t="shared" si="147"/>
        <v>0</v>
      </c>
      <c r="QS5" s="22">
        <f t="shared" si="148"/>
        <v>18.5</v>
      </c>
      <c r="QT5" s="22">
        <f t="shared" si="149"/>
        <v>6.8000000000000007</v>
      </c>
      <c r="QU5" s="22">
        <f t="shared" si="150"/>
        <v>0.1</v>
      </c>
      <c r="QV5" s="22">
        <f t="shared" si="151"/>
        <v>0.15</v>
      </c>
      <c r="QW5" s="22">
        <f t="shared" si="152"/>
        <v>17.450000000000003</v>
      </c>
      <c r="QX5" s="22">
        <f t="shared" si="153"/>
        <v>4.45</v>
      </c>
      <c r="QY5" s="22">
        <f t="shared" si="154"/>
        <v>1.2</v>
      </c>
      <c r="QZ5" s="22">
        <f t="shared" si="155"/>
        <v>0</v>
      </c>
      <c r="RA5" s="27" t="s">
        <v>46</v>
      </c>
      <c r="RB5" s="40">
        <f t="shared" si="156"/>
        <v>11.8</v>
      </c>
      <c r="RC5" s="40">
        <f t="shared" si="157"/>
        <v>48.8</v>
      </c>
      <c r="RD5" s="40">
        <f t="shared" si="158"/>
        <v>23.849999999999998</v>
      </c>
      <c r="RE5" s="40">
        <f t="shared" si="159"/>
        <v>17.600000000000001</v>
      </c>
      <c r="RF5" s="40">
        <f t="shared" si="160"/>
        <v>72.649999999999991</v>
      </c>
      <c r="RG5" s="40">
        <f t="shared" si="161"/>
        <v>11.25</v>
      </c>
      <c r="RH5" s="40">
        <f t="shared" si="162"/>
        <v>46.050000000000011</v>
      </c>
      <c r="RI5" s="40">
        <f t="shared" si="163"/>
        <v>118.7</v>
      </c>
    </row>
    <row r="6" spans="1:477" x14ac:dyDescent="0.2">
      <c r="A6" s="4" cm="1">
        <f t="array" ref="A6">IF(AND(J6&lt;&gt;"",J6&lt;&gt;"No DD"),SUMPRODUCT((J$4:J$27&lt;&gt;"")*(J$4:J$27&lt;&gt;"No DD")*(F$4:F$27&gt;F6))+1,IF(J6="No DD",SUMPRODUCT((J$4:J$27="No DD")*(F$4:F$27&gt;F6))+1+SUMPRODUCT((J$4:J$27&lt;&gt;"")*(J$4:J$27&lt;&gt;"No DD")),""))</f>
        <v>3</v>
      </c>
      <c r="B6" s="4" t="str" cm="1">
        <f t="array" ref="B6">IF(AND(J6&lt;&gt;"",J6&lt;&gt;"No DD",G6=""),SUMPRODUCT((J$4:J$27&lt;&gt;"")*(J$4:J$27&lt;&gt;"No DD")*(G$4:G$27="")*(F$4:F$27&gt;F6))+1,IF(J6="No DD",SUMPRODUCT((J$4:J$27="No DD")*(F$4:F$27&gt;F6)*(G$4:G$27=""))+1+SUMPRODUCT((J$4:J$27&lt;&gt;"")*(G$4:G$27="")*(J$4:J$27&lt;&gt;"No DD")),""))</f>
        <v/>
      </c>
      <c r="C6" s="5" t="s">
        <v>76</v>
      </c>
      <c r="D6" s="4" t="s">
        <v>5</v>
      </c>
      <c r="E6" s="4">
        <v>2004</v>
      </c>
      <c r="F6" s="9">
        <f t="shared" si="0"/>
        <v>167.90001197000487</v>
      </c>
      <c r="G6" s="66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IF(COUNT(AS6,BV6,CY6)&gt;0,LARGE((AS6,BV6,CY6),1),0)</f>
        <v>48.6</v>
      </c>
      <c r="M6" s="8" t="str">
        <f t="shared" si="5"/>
        <v>2023 Elite Canada</v>
      </c>
      <c r="N6" s="8">
        <f>IF(COUNT(AS6,BV6,CY6)&gt;1,LARGE((AS6,BV6,CY6),2),0)</f>
        <v>47.100000000000009</v>
      </c>
      <c r="O6" s="8" t="str">
        <f t="shared" si="6"/>
        <v>2023 Nationals</v>
      </c>
      <c r="P6" s="8">
        <f>IF(COUNT(AT6,BW6,CZ6)&gt;0,LARGE((AT6,BW6,CZ6),1),0)</f>
        <v>24</v>
      </c>
      <c r="Q6" s="8" t="str">
        <f t="shared" si="7"/>
        <v>2023 Elite Canada</v>
      </c>
      <c r="R6" s="8">
        <f t="shared" si="8"/>
        <v>47.1</v>
      </c>
      <c r="S6" s="8" t="str">
        <f t="shared" si="9"/>
        <v>2023 Elite Canada</v>
      </c>
      <c r="T6" s="8">
        <f t="shared" si="10"/>
        <v>1.0999999999999872</v>
      </c>
      <c r="U6" s="11" t="str">
        <f t="shared" si="11"/>
        <v>(Q1)</v>
      </c>
      <c r="V6" s="8" t="str">
        <f t="shared" si="12"/>
        <v>2023 World Cup POR 2 (July 8)</v>
      </c>
      <c r="W6" s="19">
        <v>18.5</v>
      </c>
      <c r="X6" s="19">
        <v>6</v>
      </c>
      <c r="Y6" s="19">
        <v>0.2</v>
      </c>
      <c r="Z6" s="19">
        <v>0</v>
      </c>
      <c r="AA6" s="19">
        <v>18.7</v>
      </c>
      <c r="AB6" s="19">
        <v>5.6</v>
      </c>
      <c r="AC6" s="19">
        <v>0</v>
      </c>
      <c r="AD6" s="19">
        <v>0</v>
      </c>
      <c r="AE6" s="19">
        <v>18.8</v>
      </c>
      <c r="AF6" s="19">
        <v>5.2</v>
      </c>
      <c r="AG6" s="19">
        <v>0</v>
      </c>
      <c r="AH6" s="19">
        <v>0</v>
      </c>
      <c r="AI6" s="19">
        <v>18.2</v>
      </c>
      <c r="AJ6" s="19">
        <v>5.6</v>
      </c>
      <c r="AK6" s="19">
        <v>0.2</v>
      </c>
      <c r="AL6" s="19">
        <v>0</v>
      </c>
      <c r="AM6" s="19">
        <v>18.7</v>
      </c>
      <c r="AN6" s="19">
        <v>5.6</v>
      </c>
      <c r="AO6" s="19">
        <v>0.8</v>
      </c>
      <c r="AP6" s="19">
        <v>0</v>
      </c>
      <c r="AQ6" s="27"/>
      <c r="AR6" s="40">
        <f t="shared" si="13"/>
        <v>11.6</v>
      </c>
      <c r="AS6" s="40">
        <f t="shared" si="14"/>
        <v>48.6</v>
      </c>
      <c r="AT6" s="40">
        <f t="shared" si="15"/>
        <v>24</v>
      </c>
      <c r="AU6" s="40">
        <f t="shared" si="16"/>
        <v>16.8</v>
      </c>
      <c r="AV6" s="40">
        <f t="shared" si="17"/>
        <v>72.599999999999994</v>
      </c>
      <c r="AW6" s="40">
        <f t="shared" si="18"/>
        <v>11.2</v>
      </c>
      <c r="AX6" s="40">
        <f t="shared" si="19"/>
        <v>47.1</v>
      </c>
      <c r="AY6" s="40">
        <f t="shared" si="20"/>
        <v>119.69999999999999</v>
      </c>
      <c r="AZ6" s="18">
        <v>17</v>
      </c>
      <c r="BA6" s="18">
        <v>6.4</v>
      </c>
      <c r="BB6" s="18">
        <v>0.8</v>
      </c>
      <c r="BC6" s="18">
        <v>0</v>
      </c>
      <c r="BD6" s="18">
        <v>19.3</v>
      </c>
      <c r="BE6" s="18">
        <v>5.2</v>
      </c>
      <c r="BF6" s="18">
        <v>0</v>
      </c>
      <c r="BG6" s="18">
        <v>0</v>
      </c>
      <c r="BH6" s="18">
        <v>18.7</v>
      </c>
      <c r="BI6" s="18">
        <v>5.2</v>
      </c>
      <c r="BJ6" s="18">
        <v>0</v>
      </c>
      <c r="BK6" s="18">
        <v>0</v>
      </c>
      <c r="BL6" s="18">
        <v>17.600000000000001</v>
      </c>
      <c r="BM6" s="18">
        <v>2.8</v>
      </c>
      <c r="BN6" s="18">
        <v>0</v>
      </c>
      <c r="BO6" s="18">
        <v>0</v>
      </c>
      <c r="BP6" s="18">
        <v>18.600000000000001</v>
      </c>
      <c r="BQ6" s="18">
        <v>6</v>
      </c>
      <c r="BR6" s="18">
        <v>0.6</v>
      </c>
      <c r="BS6" s="18">
        <v>0</v>
      </c>
      <c r="BT6" s="28"/>
      <c r="BU6" s="11">
        <f t="shared" si="21"/>
        <v>11.600000000000001</v>
      </c>
      <c r="BV6" s="11">
        <f t="shared" si="22"/>
        <v>47.100000000000009</v>
      </c>
      <c r="BW6" s="11">
        <f t="shared" si="23"/>
        <v>23.9</v>
      </c>
      <c r="BX6" s="11">
        <f t="shared" si="24"/>
        <v>16.8</v>
      </c>
      <c r="BY6" s="11">
        <f t="shared" si="25"/>
        <v>71</v>
      </c>
      <c r="BZ6" s="11">
        <f t="shared" si="26"/>
        <v>8.8000000000000007</v>
      </c>
      <c r="CA6" s="11">
        <f t="shared" si="27"/>
        <v>44.4</v>
      </c>
      <c r="CB6" s="11">
        <f t="shared" si="28"/>
        <v>115.4</v>
      </c>
      <c r="CC6" s="19">
        <v>18.600000000000001</v>
      </c>
      <c r="CD6" s="19">
        <v>6.4</v>
      </c>
      <c r="CE6" s="19">
        <v>0</v>
      </c>
      <c r="CF6" s="19">
        <v>0</v>
      </c>
      <c r="CG6" s="19">
        <v>18.100000000000001</v>
      </c>
      <c r="CH6" s="19">
        <v>4.4000000000000004</v>
      </c>
      <c r="CI6" s="19">
        <v>0.6</v>
      </c>
      <c r="CJ6" s="19">
        <v>0</v>
      </c>
      <c r="CK6" s="19">
        <v>18.100000000000001</v>
      </c>
      <c r="CL6" s="19">
        <v>5.2</v>
      </c>
      <c r="CM6" s="19">
        <v>0.6</v>
      </c>
      <c r="CN6" s="19">
        <v>0</v>
      </c>
      <c r="CO6" s="19">
        <v>18</v>
      </c>
      <c r="CP6" s="19">
        <v>6.4</v>
      </c>
      <c r="CQ6" s="19">
        <v>0.6</v>
      </c>
      <c r="CR6" s="19">
        <v>0</v>
      </c>
      <c r="CS6" s="19">
        <v>0</v>
      </c>
      <c r="CT6" s="19">
        <v>0</v>
      </c>
      <c r="CU6" s="19">
        <v>0</v>
      </c>
      <c r="CV6" s="19">
        <v>0</v>
      </c>
      <c r="CW6" s="27"/>
      <c r="CX6" s="40">
        <f t="shared" si="29"/>
        <v>10.8</v>
      </c>
      <c r="CY6" s="40">
        <f t="shared" si="30"/>
        <v>46.9</v>
      </c>
      <c r="CZ6" s="40">
        <f t="shared" si="31"/>
        <v>22.7</v>
      </c>
      <c r="DA6" s="40">
        <f t="shared" si="32"/>
        <v>16</v>
      </c>
      <c r="DB6" s="40">
        <f t="shared" si="33"/>
        <v>69.599999999999994</v>
      </c>
      <c r="DC6" s="40">
        <f t="shared" si="34"/>
        <v>6.4</v>
      </c>
      <c r="DD6" s="40">
        <f t="shared" si="35"/>
        <v>23.799999999999997</v>
      </c>
      <c r="DE6" s="40">
        <f t="shared" si="36"/>
        <v>93.399999999999991</v>
      </c>
      <c r="DF6" s="50">
        <f t="shared" si="37"/>
        <v>1.0999999999999872</v>
      </c>
      <c r="DG6" s="50" t="str">
        <f t="shared" si="38"/>
        <v/>
      </c>
      <c r="DH6" s="50" t="str">
        <f t="shared" si="39"/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 t="shared" si="40"/>
        <v/>
      </c>
      <c r="ED6" s="40" t="str">
        <f t="shared" si="41"/>
        <v/>
      </c>
      <c r="EE6" s="40" t="str">
        <f t="shared" si="42"/>
        <v/>
      </c>
      <c r="EF6" s="40" t="str">
        <f t="shared" si="43"/>
        <v/>
      </c>
      <c r="EG6" s="40" t="str">
        <f t="shared" si="44"/>
        <v/>
      </c>
      <c r="EH6" s="40" t="str">
        <f t="shared" si="45"/>
        <v/>
      </c>
      <c r="EI6" s="40" t="str">
        <f t="shared" si="46"/>
        <v/>
      </c>
      <c r="EJ6" s="40" t="str">
        <f t="shared" si="47"/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 t="shared" si="48"/>
        <v/>
      </c>
      <c r="FF6" s="11" t="str">
        <f t="shared" si="49"/>
        <v/>
      </c>
      <c r="FG6" s="11" t="str">
        <f t="shared" si="50"/>
        <v/>
      </c>
      <c r="FH6" s="11" t="str">
        <f t="shared" si="51"/>
        <v/>
      </c>
      <c r="FI6" s="11" t="str">
        <f t="shared" si="52"/>
        <v/>
      </c>
      <c r="FJ6" s="11" t="str">
        <f t="shared" si="53"/>
        <v/>
      </c>
      <c r="FK6" s="11" t="str">
        <f t="shared" si="54"/>
        <v/>
      </c>
      <c r="FL6" s="11" t="str">
        <f t="shared" si="55"/>
        <v/>
      </c>
      <c r="FM6" s="17">
        <v>16.899999999999999</v>
      </c>
      <c r="FN6" s="17">
        <v>6</v>
      </c>
      <c r="FO6" s="17">
        <v>0.8</v>
      </c>
      <c r="FP6" s="17">
        <v>0</v>
      </c>
      <c r="FQ6" s="17">
        <v>18.8</v>
      </c>
      <c r="FR6" s="17">
        <v>5.6</v>
      </c>
      <c r="FS6" s="17">
        <v>0</v>
      </c>
      <c r="FT6" s="17">
        <v>0</v>
      </c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>
        <f t="shared" si="56"/>
        <v>11.6</v>
      </c>
      <c r="GH6" s="40">
        <f t="shared" si="57"/>
        <v>46.500000000000007</v>
      </c>
      <c r="GI6" s="40" t="str">
        <f t="shared" si="58"/>
        <v/>
      </c>
      <c r="GJ6" s="40">
        <f t="shared" si="59"/>
        <v>11.6</v>
      </c>
      <c r="GK6" s="40">
        <f t="shared" si="60"/>
        <v>46.500000000000007</v>
      </c>
      <c r="GL6" s="40" t="str">
        <f t="shared" si="61"/>
        <v/>
      </c>
      <c r="GM6" s="40" t="str">
        <f t="shared" si="62"/>
        <v/>
      </c>
      <c r="GN6" s="40">
        <f t="shared" si="63"/>
        <v>46.500000000000007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>
        <v>16.7</v>
      </c>
      <c r="HB6" s="18">
        <v>6.9</v>
      </c>
      <c r="HC6" s="18">
        <v>0.2</v>
      </c>
      <c r="HD6" s="18">
        <v>0</v>
      </c>
      <c r="HE6" s="18">
        <v>17.600000000000001</v>
      </c>
      <c r="HF6" s="18">
        <v>2.8</v>
      </c>
      <c r="HG6" s="18">
        <v>0</v>
      </c>
      <c r="HH6" s="18">
        <v>0</v>
      </c>
      <c r="HI6" s="11" t="str">
        <f t="shared" si="64"/>
        <v/>
      </c>
      <c r="HJ6" s="11" t="str">
        <f t="shared" si="65"/>
        <v/>
      </c>
      <c r="HK6" s="11" t="str">
        <f t="shared" si="66"/>
        <v/>
      </c>
      <c r="HL6" s="11" t="str">
        <f t="shared" si="67"/>
        <v/>
      </c>
      <c r="HM6" s="11" t="str">
        <f t="shared" si="68"/>
        <v/>
      </c>
      <c r="HN6" s="11">
        <f t="shared" si="69"/>
        <v>9.6999999999999993</v>
      </c>
      <c r="HO6" s="11">
        <f t="shared" si="70"/>
        <v>43.8</v>
      </c>
      <c r="HP6" s="11">
        <f t="shared" si="71"/>
        <v>43.8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 t="shared" si="72"/>
        <v/>
      </c>
      <c r="IL6" s="40" t="str">
        <f t="shared" si="73"/>
        <v/>
      </c>
      <c r="IM6" s="40" t="str">
        <f t="shared" si="74"/>
        <v/>
      </c>
      <c r="IN6" s="40" t="str">
        <f t="shared" si="75"/>
        <v/>
      </c>
      <c r="IO6" s="40" t="str">
        <f t="shared" si="76"/>
        <v/>
      </c>
      <c r="IP6" s="40" t="str">
        <f t="shared" si="77"/>
        <v/>
      </c>
      <c r="IQ6" s="40" t="str">
        <f t="shared" si="78"/>
        <v/>
      </c>
      <c r="IR6" s="40" t="str">
        <f t="shared" si="79"/>
        <v/>
      </c>
      <c r="IS6" s="18">
        <v>18.7</v>
      </c>
      <c r="IT6" s="18">
        <v>6.4</v>
      </c>
      <c r="IU6" s="18">
        <v>0.2</v>
      </c>
      <c r="IV6" s="18">
        <v>0</v>
      </c>
      <c r="IW6" s="18">
        <v>16.600000000000001</v>
      </c>
      <c r="IX6" s="18">
        <v>6.9</v>
      </c>
      <c r="IY6" s="18">
        <v>0.2</v>
      </c>
      <c r="IZ6" s="18">
        <v>0</v>
      </c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>
        <f t="shared" si="80"/>
        <v>13.3</v>
      </c>
      <c r="JN6" s="11">
        <f t="shared" si="81"/>
        <v>48.199999999999996</v>
      </c>
      <c r="JO6" s="11" t="str">
        <f t="shared" si="82"/>
        <v/>
      </c>
      <c r="JP6" s="11">
        <f t="shared" si="83"/>
        <v>13.3</v>
      </c>
      <c r="JQ6" s="11">
        <f t="shared" si="84"/>
        <v>48.199999999999996</v>
      </c>
      <c r="JR6" s="11" t="str">
        <f t="shared" si="85"/>
        <v/>
      </c>
      <c r="JS6" s="11" t="str">
        <f t="shared" si="86"/>
        <v/>
      </c>
      <c r="JT6" s="11">
        <f t="shared" si="87"/>
        <v>48.199999999999996</v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 t="shared" si="88"/>
        <v/>
      </c>
      <c r="KP6" s="40" t="str">
        <f t="shared" si="89"/>
        <v/>
      </c>
      <c r="KQ6" s="40" t="str">
        <f t="shared" si="90"/>
        <v/>
      </c>
      <c r="KR6" s="40" t="str">
        <f t="shared" si="91"/>
        <v/>
      </c>
      <c r="KS6" s="40" t="str">
        <f t="shared" si="92"/>
        <v/>
      </c>
      <c r="KT6" s="40" t="str">
        <f t="shared" si="93"/>
        <v/>
      </c>
      <c r="KU6" s="40" t="str">
        <f t="shared" si="94"/>
        <v/>
      </c>
      <c r="KV6" s="40" t="str">
        <f t="shared" si="95"/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 t="shared" si="96"/>
        <v/>
      </c>
      <c r="LR6" s="11" t="str">
        <f t="shared" si="97"/>
        <v/>
      </c>
      <c r="LS6" s="11" t="str">
        <f t="shared" si="98"/>
        <v/>
      </c>
      <c r="LT6" s="11" t="str">
        <f t="shared" si="99"/>
        <v/>
      </c>
      <c r="LU6" s="11" t="str">
        <f t="shared" si="100"/>
        <v/>
      </c>
      <c r="LV6" s="11" t="str">
        <f t="shared" si="101"/>
        <v/>
      </c>
      <c r="LW6" s="11" t="str">
        <f t="shared" si="102"/>
        <v/>
      </c>
      <c r="LX6" s="11" t="str">
        <f t="shared" si="103"/>
        <v/>
      </c>
      <c r="LY6" s="17">
        <v>0</v>
      </c>
      <c r="LZ6" s="17">
        <v>0</v>
      </c>
      <c r="MA6" s="17">
        <v>0</v>
      </c>
      <c r="MB6" s="17">
        <v>0</v>
      </c>
      <c r="MC6" s="17">
        <v>17.399999999999999</v>
      </c>
      <c r="MD6" s="17">
        <v>2.8</v>
      </c>
      <c r="ME6" s="17">
        <v>0</v>
      </c>
      <c r="MF6" s="17">
        <v>0</v>
      </c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>
        <f t="shared" si="104"/>
        <v>2.8</v>
      </c>
      <c r="MT6" s="40">
        <f t="shared" si="105"/>
        <v>20.2</v>
      </c>
      <c r="MU6" s="40" t="str">
        <f t="shared" si="106"/>
        <v/>
      </c>
      <c r="MV6" s="40">
        <f t="shared" si="107"/>
        <v>2.8</v>
      </c>
      <c r="MW6" s="40">
        <f t="shared" si="108"/>
        <v>20.2</v>
      </c>
      <c r="MX6" s="40" t="str">
        <f t="shared" si="109"/>
        <v/>
      </c>
      <c r="MY6" s="40" t="str">
        <f t="shared" si="110"/>
        <v/>
      </c>
      <c r="MZ6" s="40">
        <f t="shared" si="111"/>
        <v>20.2</v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 t="shared" si="112"/>
        <v/>
      </c>
      <c r="NV6" s="11" t="str">
        <f t="shared" si="113"/>
        <v/>
      </c>
      <c r="NW6" s="11" t="str">
        <f t="shared" si="114"/>
        <v/>
      </c>
      <c r="NX6" s="11" t="str">
        <f t="shared" si="115"/>
        <v/>
      </c>
      <c r="NY6" s="11" t="str">
        <f t="shared" si="116"/>
        <v/>
      </c>
      <c r="NZ6" s="11" t="str">
        <f t="shared" si="117"/>
        <v/>
      </c>
      <c r="OA6" s="11" t="str">
        <f t="shared" si="118"/>
        <v/>
      </c>
      <c r="OB6" s="11" t="str">
        <f t="shared" si="119"/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 t="shared" si="120"/>
        <v/>
      </c>
      <c r="OX6" s="40" t="str">
        <f t="shared" si="121"/>
        <v/>
      </c>
      <c r="OY6" s="40" t="str">
        <f t="shared" si="122"/>
        <v/>
      </c>
      <c r="OZ6" s="40" t="str">
        <f t="shared" si="123"/>
        <v/>
      </c>
      <c r="PA6" s="40" t="str">
        <f t="shared" si="124"/>
        <v/>
      </c>
      <c r="PB6" s="40" t="str">
        <f t="shared" si="125"/>
        <v/>
      </c>
      <c r="PC6" s="40" t="str">
        <f t="shared" si="126"/>
        <v/>
      </c>
      <c r="PD6" s="40" t="str">
        <f t="shared" si="127"/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 t="shared" si="128"/>
        <v/>
      </c>
      <c r="PZ6" s="11" t="str">
        <f t="shared" si="129"/>
        <v/>
      </c>
      <c r="QA6" s="11" t="str">
        <f t="shared" si="130"/>
        <v/>
      </c>
      <c r="QB6" s="11" t="str">
        <f t="shared" si="131"/>
        <v/>
      </c>
      <c r="QC6" s="11" t="str">
        <f t="shared" si="132"/>
        <v/>
      </c>
      <c r="QD6" s="11" t="str">
        <f t="shared" si="133"/>
        <v/>
      </c>
      <c r="QE6" s="11" t="str">
        <f t="shared" si="134"/>
        <v/>
      </c>
      <c r="QF6" s="11" t="str">
        <f t="shared" si="135"/>
        <v/>
      </c>
      <c r="QG6" s="22">
        <f t="shared" si="136"/>
        <v>17.8</v>
      </c>
      <c r="QH6" s="22">
        <f t="shared" si="137"/>
        <v>6.4</v>
      </c>
      <c r="QI6" s="22">
        <f t="shared" si="138"/>
        <v>0.4</v>
      </c>
      <c r="QJ6" s="22">
        <f t="shared" si="139"/>
        <v>0</v>
      </c>
      <c r="QK6" s="22">
        <f t="shared" si="140"/>
        <v>18.700000000000003</v>
      </c>
      <c r="QL6" s="22">
        <f t="shared" si="141"/>
        <v>4.8000000000000007</v>
      </c>
      <c r="QM6" s="22">
        <f t="shared" si="142"/>
        <v>0.3</v>
      </c>
      <c r="QN6" s="22">
        <f t="shared" si="143"/>
        <v>0</v>
      </c>
      <c r="QO6" s="22">
        <f t="shared" si="144"/>
        <v>18.399999999999999</v>
      </c>
      <c r="QP6" s="22">
        <f t="shared" si="145"/>
        <v>5.2</v>
      </c>
      <c r="QQ6" s="22">
        <f t="shared" si="146"/>
        <v>0.3</v>
      </c>
      <c r="QR6" s="22">
        <f t="shared" si="147"/>
        <v>0</v>
      </c>
      <c r="QS6" s="22">
        <f t="shared" si="148"/>
        <v>17.8</v>
      </c>
      <c r="QT6" s="22">
        <f t="shared" si="149"/>
        <v>4.5999999999999996</v>
      </c>
      <c r="QU6" s="22">
        <f t="shared" si="150"/>
        <v>0.3</v>
      </c>
      <c r="QV6" s="22">
        <f t="shared" si="151"/>
        <v>0</v>
      </c>
      <c r="QW6" s="22">
        <f t="shared" si="152"/>
        <v>9.3000000000000007</v>
      </c>
      <c r="QX6" s="22">
        <f t="shared" si="153"/>
        <v>3</v>
      </c>
      <c r="QY6" s="22">
        <f t="shared" si="154"/>
        <v>0.3</v>
      </c>
      <c r="QZ6" s="22">
        <f t="shared" si="155"/>
        <v>0</v>
      </c>
      <c r="RA6" s="27" t="s">
        <v>46</v>
      </c>
      <c r="RB6" s="40">
        <f t="shared" si="156"/>
        <v>11.200000000000001</v>
      </c>
      <c r="RC6" s="40">
        <f t="shared" si="157"/>
        <v>47.000000000000007</v>
      </c>
      <c r="RD6" s="40">
        <f t="shared" si="158"/>
        <v>23.299999999999997</v>
      </c>
      <c r="RE6" s="40">
        <f t="shared" si="159"/>
        <v>16.400000000000002</v>
      </c>
      <c r="RF6" s="40">
        <f t="shared" si="160"/>
        <v>70.300000000000011</v>
      </c>
      <c r="RG6" s="40">
        <f t="shared" si="161"/>
        <v>7.6</v>
      </c>
      <c r="RH6" s="40">
        <f t="shared" si="162"/>
        <v>34.1</v>
      </c>
      <c r="RI6" s="40">
        <f t="shared" si="163"/>
        <v>104.4</v>
      </c>
    </row>
    <row r="7" spans="1:477" x14ac:dyDescent="0.2">
      <c r="A7" s="4" cm="1">
        <f t="array" ref="A7">IF(AND(J7&lt;&gt;"",J7&lt;&gt;"No DD"),SUMPRODUCT((J$4:J$27&lt;&gt;"")*(J$4:J$27&lt;&gt;"No DD")*(F$4:F$27&gt;F7))+1,IF(J7="No DD",SUMPRODUCT((J$4:J$27="No DD")*(F$4:F$27&gt;F7))+1+SUMPRODUCT((J$4:J$27&lt;&gt;"")*(J$4:J$27&lt;&gt;"No DD")),""))</f>
        <v>4</v>
      </c>
      <c r="B7" s="4" cm="1">
        <f t="array" ref="B7">IF(AND(J7&lt;&gt;"",J7&lt;&gt;"No DD",G7=""),SUMPRODUCT((J$4:J$27&lt;&gt;"")*(J$4:J$27&lt;&gt;"No DD")*(G$4:G$27="")*(F$4:F$27&gt;F7))+1,IF(J7="No DD",SUMPRODUCT((J$4:J$27="No DD")*(F$4:F$27&gt;F7)*(G$4:G$27=""))+1+SUMPRODUCT((J$4:J$27&lt;&gt;"")*(G$4:G$27="")*(J$4:J$27&lt;&gt;"No DD")),""))</f>
        <v>1</v>
      </c>
      <c r="C7" s="5" t="s">
        <v>143</v>
      </c>
      <c r="D7" s="4" t="s">
        <v>6</v>
      </c>
      <c r="E7" s="4">
        <v>2002</v>
      </c>
      <c r="F7" s="9">
        <f t="shared" si="0"/>
        <v>166.20001184000472</v>
      </c>
      <c r="G7" s="66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IF(COUNT(AS7,BV7,CY7)&gt;0,LARGE((AS7,BV7,CY7),1),0)</f>
        <v>47.199999999999996</v>
      </c>
      <c r="M7" s="8" t="str">
        <f t="shared" si="5"/>
        <v>2023 Nationals</v>
      </c>
      <c r="N7" s="8">
        <f>IF(COUNT(AS7,BV7,CY7)&gt;1,LARGE((AS7,BV7,CY7),2),0)</f>
        <v>47</v>
      </c>
      <c r="O7" s="8" t="str">
        <f t="shared" si="6"/>
        <v>2023 Elite Canada</v>
      </c>
      <c r="P7" s="8">
        <f>IF(COUNT(AT7,BW7,CZ7)&gt;0,LARGE((AT7,BW7,CZ7),1),0)</f>
        <v>24.2</v>
      </c>
      <c r="Q7" s="8" t="str">
        <f t="shared" si="7"/>
        <v>2023 3rd Domestic Trial</v>
      </c>
      <c r="R7" s="8">
        <f t="shared" si="8"/>
        <v>47.800000000000004</v>
      </c>
      <c r="S7" s="8" t="str">
        <f t="shared" si="9"/>
        <v>2023 Nationals</v>
      </c>
      <c r="T7" s="8" t="str">
        <f t="shared" si="10"/>
        <v/>
      </c>
      <c r="U7" s="11" t="str">
        <f t="shared" si="11"/>
        <v/>
      </c>
      <c r="V7" s="8" t="str">
        <f t="shared" si="12"/>
        <v/>
      </c>
      <c r="W7" s="19">
        <v>18.2</v>
      </c>
      <c r="X7" s="19">
        <v>5.6</v>
      </c>
      <c r="Y7" s="19">
        <v>0.6</v>
      </c>
      <c r="Z7" s="19">
        <v>0</v>
      </c>
      <c r="AA7" s="19">
        <v>18.600000000000001</v>
      </c>
      <c r="AB7" s="19">
        <v>5.2</v>
      </c>
      <c r="AC7" s="19">
        <v>0</v>
      </c>
      <c r="AD7" s="19">
        <v>0</v>
      </c>
      <c r="AE7" s="19">
        <v>19</v>
      </c>
      <c r="AF7" s="19">
        <v>3.1</v>
      </c>
      <c r="AG7" s="19">
        <v>1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18.8</v>
      </c>
      <c r="AN7" s="19">
        <v>5.2</v>
      </c>
      <c r="AO7" s="19">
        <v>0.8</v>
      </c>
      <c r="AP7" s="19">
        <v>0</v>
      </c>
      <c r="AQ7" s="27"/>
      <c r="AR7" s="40">
        <f t="shared" si="13"/>
        <v>10.8</v>
      </c>
      <c r="AS7" s="40">
        <f t="shared" si="14"/>
        <v>47</v>
      </c>
      <c r="AT7" s="40">
        <f t="shared" si="15"/>
        <v>21.1</v>
      </c>
      <c r="AU7" s="40">
        <f t="shared" si="16"/>
        <v>13.9</v>
      </c>
      <c r="AV7" s="40">
        <f t="shared" si="17"/>
        <v>68.099999999999994</v>
      </c>
      <c r="AW7" s="40">
        <f t="shared" si="18"/>
        <v>5.2</v>
      </c>
      <c r="AX7" s="40">
        <f t="shared" si="19"/>
        <v>23.2</v>
      </c>
      <c r="AY7" s="40">
        <f t="shared" si="20"/>
        <v>91.3</v>
      </c>
      <c r="AZ7" s="18">
        <v>18.5</v>
      </c>
      <c r="BA7" s="18">
        <v>5.6</v>
      </c>
      <c r="BB7" s="18">
        <v>0</v>
      </c>
      <c r="BC7" s="18">
        <v>0</v>
      </c>
      <c r="BD7" s="18">
        <v>18.7</v>
      </c>
      <c r="BE7" s="18">
        <v>4.4000000000000004</v>
      </c>
      <c r="BF7" s="18">
        <v>0</v>
      </c>
      <c r="BG7" s="18">
        <v>0</v>
      </c>
      <c r="BH7" s="18">
        <v>19</v>
      </c>
      <c r="BI7" s="18">
        <v>3.5</v>
      </c>
      <c r="BJ7" s="18">
        <v>0.9</v>
      </c>
      <c r="BK7" s="18">
        <v>0</v>
      </c>
      <c r="BL7" s="18">
        <v>18.8</v>
      </c>
      <c r="BM7" s="18">
        <v>5.6</v>
      </c>
      <c r="BN7" s="18">
        <v>0.2</v>
      </c>
      <c r="BO7" s="18">
        <v>0</v>
      </c>
      <c r="BP7" s="18">
        <v>18.600000000000001</v>
      </c>
      <c r="BQ7" s="18">
        <v>5.2</v>
      </c>
      <c r="BR7" s="18">
        <v>0.2</v>
      </c>
      <c r="BS7" s="18">
        <v>0</v>
      </c>
      <c r="BT7" s="28"/>
      <c r="BU7" s="11">
        <f t="shared" si="21"/>
        <v>10</v>
      </c>
      <c r="BV7" s="11">
        <f t="shared" si="22"/>
        <v>47.199999999999996</v>
      </c>
      <c r="BW7" s="11">
        <f t="shared" si="23"/>
        <v>21.6</v>
      </c>
      <c r="BX7" s="11">
        <f t="shared" si="24"/>
        <v>13.5</v>
      </c>
      <c r="BY7" s="11">
        <f t="shared" si="25"/>
        <v>68.8</v>
      </c>
      <c r="BZ7" s="11">
        <f t="shared" si="26"/>
        <v>10.8</v>
      </c>
      <c r="CA7" s="11">
        <f t="shared" si="27"/>
        <v>47.800000000000004</v>
      </c>
      <c r="CB7" s="11">
        <f t="shared" si="28"/>
        <v>116.6</v>
      </c>
      <c r="CC7" s="19">
        <v>18.3</v>
      </c>
      <c r="CD7" s="19">
        <v>5.6</v>
      </c>
      <c r="CE7" s="19">
        <v>0</v>
      </c>
      <c r="CF7" s="19">
        <v>0</v>
      </c>
      <c r="CG7" s="19">
        <v>0</v>
      </c>
      <c r="CH7" s="19">
        <v>0</v>
      </c>
      <c r="CI7" s="19">
        <v>0</v>
      </c>
      <c r="CJ7" s="19">
        <v>0</v>
      </c>
      <c r="CK7" s="19">
        <v>19</v>
      </c>
      <c r="CL7" s="19">
        <v>5.2</v>
      </c>
      <c r="CM7" s="19">
        <v>0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 t="shared" si="29"/>
        <v>5.6</v>
      </c>
      <c r="CY7" s="40">
        <f t="shared" si="30"/>
        <v>23.9</v>
      </c>
      <c r="CZ7" s="40">
        <f t="shared" si="31"/>
        <v>24.2</v>
      </c>
      <c r="DA7" s="40">
        <f t="shared" si="32"/>
        <v>10.8</v>
      </c>
      <c r="DB7" s="40">
        <f t="shared" si="33"/>
        <v>48.099999999999994</v>
      </c>
      <c r="DC7" s="40" t="str">
        <f t="shared" si="34"/>
        <v/>
      </c>
      <c r="DD7" s="40" t="str">
        <f t="shared" si="35"/>
        <v/>
      </c>
      <c r="DE7" s="40">
        <f t="shared" si="36"/>
        <v>48.099999999999994</v>
      </c>
      <c r="DF7" s="50" t="str">
        <f t="shared" si="37"/>
        <v/>
      </c>
      <c r="DG7" s="50" t="str">
        <f t="shared" si="38"/>
        <v/>
      </c>
      <c r="DH7" s="50" t="str">
        <f t="shared" si="39"/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 t="shared" si="40"/>
        <v/>
      </c>
      <c r="ED7" s="40" t="str">
        <f t="shared" si="41"/>
        <v/>
      </c>
      <c r="EE7" s="40" t="str">
        <f t="shared" si="42"/>
        <v/>
      </c>
      <c r="EF7" s="40" t="str">
        <f t="shared" si="43"/>
        <v/>
      </c>
      <c r="EG7" s="40" t="str">
        <f t="shared" si="44"/>
        <v/>
      </c>
      <c r="EH7" s="40" t="str">
        <f t="shared" si="45"/>
        <v/>
      </c>
      <c r="EI7" s="40" t="str">
        <f t="shared" si="46"/>
        <v/>
      </c>
      <c r="EJ7" s="40" t="str">
        <f t="shared" si="47"/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 t="shared" si="48"/>
        <v/>
      </c>
      <c r="FF7" s="11" t="str">
        <f t="shared" si="49"/>
        <v/>
      </c>
      <c r="FG7" s="11" t="str">
        <f t="shared" si="50"/>
        <v/>
      </c>
      <c r="FH7" s="11" t="str">
        <f t="shared" si="51"/>
        <v/>
      </c>
      <c r="FI7" s="11" t="str">
        <f t="shared" si="52"/>
        <v/>
      </c>
      <c r="FJ7" s="11" t="str">
        <f t="shared" si="53"/>
        <v/>
      </c>
      <c r="FK7" s="11" t="str">
        <f t="shared" si="54"/>
        <v/>
      </c>
      <c r="FL7" s="11" t="str">
        <f t="shared" si="55"/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 t="shared" si="56"/>
        <v/>
      </c>
      <c r="GH7" s="40" t="str">
        <f t="shared" si="57"/>
        <v/>
      </c>
      <c r="GI7" s="40" t="str">
        <f t="shared" si="58"/>
        <v/>
      </c>
      <c r="GJ7" s="40" t="str">
        <f t="shared" si="59"/>
        <v/>
      </c>
      <c r="GK7" s="40" t="str">
        <f t="shared" si="60"/>
        <v/>
      </c>
      <c r="GL7" s="40" t="str">
        <f t="shared" si="61"/>
        <v/>
      </c>
      <c r="GM7" s="40" t="str">
        <f t="shared" si="62"/>
        <v/>
      </c>
      <c r="GN7" s="40" t="str">
        <f t="shared" si="63"/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 t="shared" si="64"/>
        <v/>
      </c>
      <c r="HJ7" s="11" t="str">
        <f t="shared" si="65"/>
        <v/>
      </c>
      <c r="HK7" s="11" t="str">
        <f t="shared" si="66"/>
        <v/>
      </c>
      <c r="HL7" s="11" t="str">
        <f t="shared" si="67"/>
        <v/>
      </c>
      <c r="HM7" s="11" t="str">
        <f t="shared" si="68"/>
        <v/>
      </c>
      <c r="HN7" s="11" t="str">
        <f t="shared" si="69"/>
        <v/>
      </c>
      <c r="HO7" s="11" t="str">
        <f t="shared" si="70"/>
        <v/>
      </c>
      <c r="HP7" s="11" t="str">
        <f t="shared" si="71"/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 t="shared" si="72"/>
        <v/>
      </c>
      <c r="IL7" s="40" t="str">
        <f t="shared" si="73"/>
        <v/>
      </c>
      <c r="IM7" s="40" t="str">
        <f t="shared" si="74"/>
        <v/>
      </c>
      <c r="IN7" s="40" t="str">
        <f t="shared" si="75"/>
        <v/>
      </c>
      <c r="IO7" s="40" t="str">
        <f t="shared" si="76"/>
        <v/>
      </c>
      <c r="IP7" s="40" t="str">
        <f t="shared" si="77"/>
        <v/>
      </c>
      <c r="IQ7" s="40" t="str">
        <f t="shared" si="78"/>
        <v/>
      </c>
      <c r="IR7" s="40" t="str">
        <f t="shared" si="79"/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 t="shared" si="80"/>
        <v/>
      </c>
      <c r="JN7" s="11" t="str">
        <f t="shared" si="81"/>
        <v/>
      </c>
      <c r="JO7" s="11" t="str">
        <f t="shared" si="82"/>
        <v/>
      </c>
      <c r="JP7" s="11" t="str">
        <f t="shared" si="83"/>
        <v/>
      </c>
      <c r="JQ7" s="11" t="str">
        <f t="shared" si="84"/>
        <v/>
      </c>
      <c r="JR7" s="11" t="str">
        <f t="shared" si="85"/>
        <v/>
      </c>
      <c r="JS7" s="11" t="str">
        <f t="shared" si="86"/>
        <v/>
      </c>
      <c r="JT7" s="11" t="str">
        <f t="shared" si="87"/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 t="shared" si="88"/>
        <v/>
      </c>
      <c r="KP7" s="40" t="str">
        <f t="shared" si="89"/>
        <v/>
      </c>
      <c r="KQ7" s="40" t="str">
        <f t="shared" si="90"/>
        <v/>
      </c>
      <c r="KR7" s="40" t="str">
        <f t="shared" si="91"/>
        <v/>
      </c>
      <c r="KS7" s="40" t="str">
        <f t="shared" si="92"/>
        <v/>
      </c>
      <c r="KT7" s="40" t="str">
        <f t="shared" si="93"/>
        <v/>
      </c>
      <c r="KU7" s="40" t="str">
        <f t="shared" si="94"/>
        <v/>
      </c>
      <c r="KV7" s="40" t="str">
        <f t="shared" si="95"/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 t="shared" si="96"/>
        <v/>
      </c>
      <c r="LR7" s="11" t="str">
        <f t="shared" si="97"/>
        <v/>
      </c>
      <c r="LS7" s="11" t="str">
        <f t="shared" si="98"/>
        <v/>
      </c>
      <c r="LT7" s="11" t="str">
        <f t="shared" si="99"/>
        <v/>
      </c>
      <c r="LU7" s="11" t="str">
        <f t="shared" si="100"/>
        <v/>
      </c>
      <c r="LV7" s="11" t="str">
        <f t="shared" si="101"/>
        <v/>
      </c>
      <c r="LW7" s="11" t="str">
        <f t="shared" si="102"/>
        <v/>
      </c>
      <c r="LX7" s="11" t="str">
        <f t="shared" si="103"/>
        <v/>
      </c>
      <c r="LY7" s="17">
        <v>18.600000000000001</v>
      </c>
      <c r="LZ7" s="17">
        <v>5.6</v>
      </c>
      <c r="MA7" s="17">
        <v>0</v>
      </c>
      <c r="MB7" s="17">
        <v>0</v>
      </c>
      <c r="MC7" s="17">
        <v>18.5</v>
      </c>
      <c r="MD7" s="17">
        <v>5.2</v>
      </c>
      <c r="ME7" s="17">
        <v>1</v>
      </c>
      <c r="MF7" s="17">
        <v>0</v>
      </c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>
        <f t="shared" si="104"/>
        <v>10.8</v>
      </c>
      <c r="MT7" s="40">
        <f t="shared" si="105"/>
        <v>46.900000000000006</v>
      </c>
      <c r="MU7" s="40" t="str">
        <f t="shared" si="106"/>
        <v/>
      </c>
      <c r="MV7" s="40">
        <f t="shared" si="107"/>
        <v>10.8</v>
      </c>
      <c r="MW7" s="40">
        <f t="shared" si="108"/>
        <v>46.900000000000006</v>
      </c>
      <c r="MX7" s="40" t="str">
        <f t="shared" si="109"/>
        <v/>
      </c>
      <c r="MY7" s="40" t="str">
        <f t="shared" si="110"/>
        <v/>
      </c>
      <c r="MZ7" s="40">
        <f t="shared" si="111"/>
        <v>46.900000000000006</v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 t="shared" si="112"/>
        <v/>
      </c>
      <c r="NV7" s="11" t="str">
        <f t="shared" si="113"/>
        <v/>
      </c>
      <c r="NW7" s="11" t="str">
        <f t="shared" si="114"/>
        <v/>
      </c>
      <c r="NX7" s="11" t="str">
        <f t="shared" si="115"/>
        <v/>
      </c>
      <c r="NY7" s="11" t="str">
        <f t="shared" si="116"/>
        <v/>
      </c>
      <c r="NZ7" s="11" t="str">
        <f t="shared" si="117"/>
        <v/>
      </c>
      <c r="OA7" s="11" t="str">
        <f t="shared" si="118"/>
        <v/>
      </c>
      <c r="OB7" s="11" t="str">
        <f t="shared" si="119"/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 t="shared" si="120"/>
        <v/>
      </c>
      <c r="OX7" s="40" t="str">
        <f t="shared" si="121"/>
        <v/>
      </c>
      <c r="OY7" s="40" t="str">
        <f t="shared" si="122"/>
        <v/>
      </c>
      <c r="OZ7" s="40" t="str">
        <f t="shared" si="123"/>
        <v/>
      </c>
      <c r="PA7" s="40" t="str">
        <f t="shared" si="124"/>
        <v/>
      </c>
      <c r="PB7" s="40" t="str">
        <f t="shared" si="125"/>
        <v/>
      </c>
      <c r="PC7" s="40" t="str">
        <f t="shared" si="126"/>
        <v/>
      </c>
      <c r="PD7" s="40" t="str">
        <f t="shared" si="127"/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 t="shared" si="128"/>
        <v/>
      </c>
      <c r="PZ7" s="11" t="str">
        <f t="shared" si="129"/>
        <v/>
      </c>
      <c r="QA7" s="11" t="str">
        <f t="shared" si="130"/>
        <v/>
      </c>
      <c r="QB7" s="11" t="str">
        <f t="shared" si="131"/>
        <v/>
      </c>
      <c r="QC7" s="11" t="str">
        <f t="shared" si="132"/>
        <v/>
      </c>
      <c r="QD7" s="11" t="str">
        <f t="shared" si="133"/>
        <v/>
      </c>
      <c r="QE7" s="11" t="str">
        <f t="shared" si="134"/>
        <v/>
      </c>
      <c r="QF7" s="11" t="str">
        <f t="shared" si="135"/>
        <v/>
      </c>
      <c r="QG7" s="22">
        <f t="shared" si="136"/>
        <v>18.399999999999999</v>
      </c>
      <c r="QH7" s="22">
        <f t="shared" si="137"/>
        <v>5.6</v>
      </c>
      <c r="QI7" s="22">
        <f t="shared" si="138"/>
        <v>0</v>
      </c>
      <c r="QJ7" s="22">
        <f t="shared" si="139"/>
        <v>0</v>
      </c>
      <c r="QK7" s="22">
        <f t="shared" si="140"/>
        <v>9.35</v>
      </c>
      <c r="QL7" s="22">
        <f t="shared" si="141"/>
        <v>2.2000000000000002</v>
      </c>
      <c r="QM7" s="22">
        <f t="shared" si="142"/>
        <v>0</v>
      </c>
      <c r="QN7" s="22">
        <f t="shared" si="143"/>
        <v>0</v>
      </c>
      <c r="QO7" s="22">
        <f t="shared" si="144"/>
        <v>19</v>
      </c>
      <c r="QP7" s="22">
        <f t="shared" si="145"/>
        <v>4.3499999999999996</v>
      </c>
      <c r="QQ7" s="22">
        <f t="shared" si="146"/>
        <v>0.45</v>
      </c>
      <c r="QR7" s="22">
        <f t="shared" si="147"/>
        <v>0</v>
      </c>
      <c r="QS7" s="22">
        <f t="shared" si="148"/>
        <v>9.4</v>
      </c>
      <c r="QT7" s="22">
        <f t="shared" si="149"/>
        <v>2.8</v>
      </c>
      <c r="QU7" s="22">
        <f t="shared" si="150"/>
        <v>0.1</v>
      </c>
      <c r="QV7" s="22">
        <f t="shared" si="151"/>
        <v>0</v>
      </c>
      <c r="QW7" s="22">
        <f t="shared" si="152"/>
        <v>9.3000000000000007</v>
      </c>
      <c r="QX7" s="22">
        <f t="shared" si="153"/>
        <v>2.6</v>
      </c>
      <c r="QY7" s="22">
        <f t="shared" si="154"/>
        <v>0.1</v>
      </c>
      <c r="QZ7" s="22">
        <f t="shared" si="155"/>
        <v>0</v>
      </c>
      <c r="RA7" s="27" t="s">
        <v>46</v>
      </c>
      <c r="RB7" s="40">
        <f t="shared" si="156"/>
        <v>7.8</v>
      </c>
      <c r="RC7" s="40">
        <f t="shared" si="157"/>
        <v>35.550000000000004</v>
      </c>
      <c r="RD7" s="40">
        <f t="shared" si="158"/>
        <v>22.900000000000002</v>
      </c>
      <c r="RE7" s="40">
        <f t="shared" si="159"/>
        <v>12.149999999999999</v>
      </c>
      <c r="RF7" s="40">
        <f t="shared" si="160"/>
        <v>58.45</v>
      </c>
      <c r="RG7" s="40">
        <f t="shared" si="161"/>
        <v>5.4</v>
      </c>
      <c r="RH7" s="40">
        <f t="shared" si="162"/>
        <v>23.900000000000002</v>
      </c>
      <c r="RI7" s="40">
        <f t="shared" si="163"/>
        <v>82.350000000000009</v>
      </c>
    </row>
    <row r="8" spans="1:477" x14ac:dyDescent="0.2">
      <c r="A8" s="4" cm="1">
        <f t="array" ref="A8">IF(AND(J8&lt;&gt;"",J8&lt;&gt;"No DD"),SUMPRODUCT((J$4:J$27&lt;&gt;"")*(J$4:J$27&lt;&gt;"No DD")*(F$4:F$27&gt;F8))+1,IF(J8="No DD",SUMPRODUCT((J$4:J$27="No DD")*(F$4:F$27&gt;F8))+1+SUMPRODUCT((J$4:J$27&lt;&gt;"")*(J$4:J$27&lt;&gt;"No DD")),""))</f>
        <v>5</v>
      </c>
      <c r="B8" s="4" cm="1">
        <f t="array" ref="B8">IF(AND(J8&lt;&gt;"",J8&lt;&gt;"No DD",G8=""),SUMPRODUCT((J$4:J$27&lt;&gt;"")*(J$4:J$27&lt;&gt;"No DD")*(G$4:G$27="")*(F$4:F$27&gt;F8))+1,IF(J8="No DD",SUMPRODUCT((J$4:J$27="No DD")*(F$4:F$27&gt;F8)*(G$4:G$27=""))+1+SUMPRODUCT((J$4:J$27&lt;&gt;"")*(G$4:G$27="")*(J$4:J$27&lt;&gt;"No DD")),""))</f>
        <v>2</v>
      </c>
      <c r="C8" s="5" t="s">
        <v>180</v>
      </c>
      <c r="D8" s="4" t="s">
        <v>4</v>
      </c>
      <c r="E8" s="4">
        <v>2006</v>
      </c>
      <c r="F8" s="9">
        <f t="shared" si="0"/>
        <v>165.30001176000485</v>
      </c>
      <c r="G8" s="66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IF(COUNT(AS8,BV8,CY8)&gt;0,LARGE((AS8,BV8,CY8),1),0)</f>
        <v>48.599999999999994</v>
      </c>
      <c r="M8" s="8" t="str">
        <f t="shared" si="5"/>
        <v>2023 3rd Domestic Trial</v>
      </c>
      <c r="N8" s="8">
        <f>IF(COUNT(AS8,BV8,CY8)&gt;1,LARGE((AS8,BV8,CY8),2),0)</f>
        <v>46.6</v>
      </c>
      <c r="O8" s="8" t="str">
        <f t="shared" si="6"/>
        <v>2023 Nationals</v>
      </c>
      <c r="P8" s="8">
        <f>IF(COUNT(AT8,BW8,CZ8)&gt;0,LARGE((AT8,BW8,CZ8),1),0)</f>
        <v>22.4</v>
      </c>
      <c r="Q8" s="8" t="str">
        <f t="shared" si="7"/>
        <v>2023 Nationals</v>
      </c>
      <c r="R8" s="8">
        <f t="shared" si="8"/>
        <v>47.699999999999996</v>
      </c>
      <c r="S8" s="8" t="str">
        <f t="shared" si="9"/>
        <v>2023 3rd Domestic Trial</v>
      </c>
      <c r="T8" s="8" t="str">
        <f t="shared" si="10"/>
        <v/>
      </c>
      <c r="U8" s="11" t="str">
        <f t="shared" si="11"/>
        <v/>
      </c>
      <c r="V8" s="8" t="str">
        <f t="shared" si="12"/>
        <v/>
      </c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7"/>
      <c r="AR8" s="40" t="str">
        <f t="shared" si="13"/>
        <v/>
      </c>
      <c r="AS8" s="40" t="str">
        <f t="shared" si="14"/>
        <v/>
      </c>
      <c r="AT8" s="40" t="str">
        <f t="shared" si="15"/>
        <v/>
      </c>
      <c r="AU8" s="40" t="str">
        <f t="shared" si="16"/>
        <v/>
      </c>
      <c r="AV8" s="40" t="str">
        <f t="shared" si="17"/>
        <v/>
      </c>
      <c r="AW8" s="40" t="str">
        <f t="shared" si="18"/>
        <v/>
      </c>
      <c r="AX8" s="40" t="str">
        <f t="shared" si="19"/>
        <v/>
      </c>
      <c r="AY8" s="40" t="str">
        <f t="shared" si="20"/>
        <v/>
      </c>
      <c r="AZ8" s="18">
        <v>18.399999999999999</v>
      </c>
      <c r="BA8" s="18">
        <v>5.6</v>
      </c>
      <c r="BB8" s="18">
        <v>0.8</v>
      </c>
      <c r="BC8" s="18">
        <v>0</v>
      </c>
      <c r="BD8" s="18">
        <v>18.399999999999999</v>
      </c>
      <c r="BE8" s="18">
        <v>6</v>
      </c>
      <c r="BF8" s="18">
        <v>1</v>
      </c>
      <c r="BG8" s="18">
        <v>0</v>
      </c>
      <c r="BH8" s="18">
        <v>17.7</v>
      </c>
      <c r="BI8" s="18">
        <v>5.2</v>
      </c>
      <c r="BJ8" s="18">
        <v>0.8</v>
      </c>
      <c r="BK8" s="18">
        <v>0.3</v>
      </c>
      <c r="BL8" s="18">
        <v>18</v>
      </c>
      <c r="BM8" s="18">
        <v>4.8</v>
      </c>
      <c r="BN8" s="18">
        <v>0.2</v>
      </c>
      <c r="BO8" s="18">
        <v>0</v>
      </c>
      <c r="BP8" s="18">
        <v>18</v>
      </c>
      <c r="BQ8" s="18">
        <v>5.2</v>
      </c>
      <c r="BR8" s="18">
        <v>0.8</v>
      </c>
      <c r="BS8" s="18">
        <v>0</v>
      </c>
      <c r="BT8" s="28"/>
      <c r="BU8" s="11">
        <f t="shared" si="21"/>
        <v>11.6</v>
      </c>
      <c r="BV8" s="11">
        <f t="shared" si="22"/>
        <v>46.6</v>
      </c>
      <c r="BW8" s="11">
        <f t="shared" si="23"/>
        <v>22.4</v>
      </c>
      <c r="BX8" s="11">
        <f t="shared" si="24"/>
        <v>16.8</v>
      </c>
      <c r="BY8" s="11">
        <f t="shared" si="25"/>
        <v>69</v>
      </c>
      <c r="BZ8" s="11">
        <f t="shared" si="26"/>
        <v>10</v>
      </c>
      <c r="CA8" s="11">
        <f t="shared" si="27"/>
        <v>45</v>
      </c>
      <c r="CB8" s="11">
        <f t="shared" si="28"/>
        <v>114</v>
      </c>
      <c r="CC8" s="19">
        <v>18.7</v>
      </c>
      <c r="CD8" s="19">
        <v>5.6</v>
      </c>
      <c r="CE8" s="19">
        <v>0</v>
      </c>
      <c r="CF8" s="19">
        <v>0</v>
      </c>
      <c r="CG8" s="19">
        <v>18.3</v>
      </c>
      <c r="CH8" s="19">
        <v>6</v>
      </c>
      <c r="CI8" s="19">
        <v>0</v>
      </c>
      <c r="CJ8" s="19">
        <v>0</v>
      </c>
      <c r="CK8" s="19">
        <v>17.2</v>
      </c>
      <c r="CL8" s="19">
        <v>2</v>
      </c>
      <c r="CM8" s="19">
        <v>0</v>
      </c>
      <c r="CN8" s="19">
        <v>0</v>
      </c>
      <c r="CO8" s="19">
        <v>18.3</v>
      </c>
      <c r="CP8" s="19">
        <v>5.6</v>
      </c>
      <c r="CQ8" s="19">
        <v>0</v>
      </c>
      <c r="CR8" s="19">
        <v>0</v>
      </c>
      <c r="CS8" s="19">
        <v>18.399999999999999</v>
      </c>
      <c r="CT8" s="19">
        <v>6</v>
      </c>
      <c r="CU8" s="19">
        <v>0.6</v>
      </c>
      <c r="CV8" s="19">
        <v>0</v>
      </c>
      <c r="CW8" s="27"/>
      <c r="CX8" s="40">
        <f t="shared" si="29"/>
        <v>11.6</v>
      </c>
      <c r="CY8" s="40">
        <f t="shared" si="30"/>
        <v>48.599999999999994</v>
      </c>
      <c r="CZ8" s="40">
        <f t="shared" si="31"/>
        <v>19.2</v>
      </c>
      <c r="DA8" s="40">
        <f t="shared" si="32"/>
        <v>13.6</v>
      </c>
      <c r="DB8" s="40">
        <f t="shared" si="33"/>
        <v>67.8</v>
      </c>
      <c r="DC8" s="40">
        <f t="shared" si="34"/>
        <v>11.6</v>
      </c>
      <c r="DD8" s="40">
        <f t="shared" si="35"/>
        <v>47.699999999999996</v>
      </c>
      <c r="DE8" s="40">
        <f t="shared" si="36"/>
        <v>115.5</v>
      </c>
      <c r="DF8" s="50" t="str">
        <f t="shared" si="37"/>
        <v/>
      </c>
      <c r="DG8" s="50" t="str">
        <f t="shared" si="38"/>
        <v/>
      </c>
      <c r="DH8" s="50" t="str">
        <f t="shared" si="39"/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 t="shared" si="40"/>
        <v/>
      </c>
      <c r="ED8" s="40" t="str">
        <f t="shared" si="41"/>
        <v/>
      </c>
      <c r="EE8" s="40" t="str">
        <f t="shared" si="42"/>
        <v/>
      </c>
      <c r="EF8" s="40" t="str">
        <f t="shared" si="43"/>
        <v/>
      </c>
      <c r="EG8" s="40" t="str">
        <f t="shared" si="44"/>
        <v/>
      </c>
      <c r="EH8" s="40" t="str">
        <f t="shared" si="45"/>
        <v/>
      </c>
      <c r="EI8" s="40" t="str">
        <f t="shared" si="46"/>
        <v/>
      </c>
      <c r="EJ8" s="40" t="str">
        <f t="shared" si="47"/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 t="shared" si="48"/>
        <v/>
      </c>
      <c r="FF8" s="11" t="str">
        <f t="shared" si="49"/>
        <v/>
      </c>
      <c r="FG8" s="11" t="str">
        <f t="shared" si="50"/>
        <v/>
      </c>
      <c r="FH8" s="11" t="str">
        <f t="shared" si="51"/>
        <v/>
      </c>
      <c r="FI8" s="11" t="str">
        <f t="shared" si="52"/>
        <v/>
      </c>
      <c r="FJ8" s="11" t="str">
        <f t="shared" si="53"/>
        <v/>
      </c>
      <c r="FK8" s="11" t="str">
        <f t="shared" si="54"/>
        <v/>
      </c>
      <c r="FL8" s="11" t="str">
        <f t="shared" si="55"/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 t="shared" si="56"/>
        <v/>
      </c>
      <c r="GH8" s="40" t="str">
        <f t="shared" si="57"/>
        <v/>
      </c>
      <c r="GI8" s="40" t="str">
        <f t="shared" si="58"/>
        <v/>
      </c>
      <c r="GJ8" s="40" t="str">
        <f t="shared" si="59"/>
        <v/>
      </c>
      <c r="GK8" s="40" t="str">
        <f t="shared" si="60"/>
        <v/>
      </c>
      <c r="GL8" s="40" t="str">
        <f t="shared" si="61"/>
        <v/>
      </c>
      <c r="GM8" s="40" t="str">
        <f t="shared" si="62"/>
        <v/>
      </c>
      <c r="GN8" s="40" t="str">
        <f t="shared" si="63"/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 t="shared" si="64"/>
        <v/>
      </c>
      <c r="HJ8" s="11" t="str">
        <f t="shared" si="65"/>
        <v/>
      </c>
      <c r="HK8" s="11" t="str">
        <f t="shared" si="66"/>
        <v/>
      </c>
      <c r="HL8" s="11" t="str">
        <f t="shared" si="67"/>
        <v/>
      </c>
      <c r="HM8" s="11" t="str">
        <f t="shared" si="68"/>
        <v/>
      </c>
      <c r="HN8" s="11" t="str">
        <f t="shared" si="69"/>
        <v/>
      </c>
      <c r="HO8" s="11" t="str">
        <f t="shared" si="70"/>
        <v/>
      </c>
      <c r="HP8" s="11" t="str">
        <f t="shared" si="71"/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 t="shared" si="72"/>
        <v/>
      </c>
      <c r="IL8" s="40" t="str">
        <f t="shared" si="73"/>
        <v/>
      </c>
      <c r="IM8" s="40" t="str">
        <f t="shared" si="74"/>
        <v/>
      </c>
      <c r="IN8" s="40" t="str">
        <f t="shared" si="75"/>
        <v/>
      </c>
      <c r="IO8" s="40" t="str">
        <f t="shared" si="76"/>
        <v/>
      </c>
      <c r="IP8" s="40" t="str">
        <f t="shared" si="77"/>
        <v/>
      </c>
      <c r="IQ8" s="40" t="str">
        <f t="shared" si="78"/>
        <v/>
      </c>
      <c r="IR8" s="40" t="str">
        <f t="shared" si="79"/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 t="shared" si="80"/>
        <v/>
      </c>
      <c r="JN8" s="11" t="str">
        <f t="shared" si="81"/>
        <v/>
      </c>
      <c r="JO8" s="11" t="str">
        <f t="shared" si="82"/>
        <v/>
      </c>
      <c r="JP8" s="11" t="str">
        <f t="shared" si="83"/>
        <v/>
      </c>
      <c r="JQ8" s="11" t="str">
        <f t="shared" si="84"/>
        <v/>
      </c>
      <c r="JR8" s="11" t="str">
        <f t="shared" si="85"/>
        <v/>
      </c>
      <c r="JS8" s="11" t="str">
        <f t="shared" si="86"/>
        <v/>
      </c>
      <c r="JT8" s="11" t="str">
        <f t="shared" si="87"/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 t="shared" si="88"/>
        <v/>
      </c>
      <c r="KP8" s="40" t="str">
        <f t="shared" si="89"/>
        <v/>
      </c>
      <c r="KQ8" s="40" t="str">
        <f t="shared" si="90"/>
        <v/>
      </c>
      <c r="KR8" s="40" t="str">
        <f t="shared" si="91"/>
        <v/>
      </c>
      <c r="KS8" s="40" t="str">
        <f t="shared" si="92"/>
        <v/>
      </c>
      <c r="KT8" s="40" t="str">
        <f t="shared" si="93"/>
        <v/>
      </c>
      <c r="KU8" s="40" t="str">
        <f t="shared" si="94"/>
        <v/>
      </c>
      <c r="KV8" s="40" t="str">
        <f t="shared" si="95"/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 t="shared" si="96"/>
        <v/>
      </c>
      <c r="LR8" s="11" t="str">
        <f t="shared" si="97"/>
        <v/>
      </c>
      <c r="LS8" s="11" t="str">
        <f t="shared" si="98"/>
        <v/>
      </c>
      <c r="LT8" s="11" t="str">
        <f t="shared" si="99"/>
        <v/>
      </c>
      <c r="LU8" s="11" t="str">
        <f t="shared" si="100"/>
        <v/>
      </c>
      <c r="LV8" s="11" t="str">
        <f t="shared" si="101"/>
        <v/>
      </c>
      <c r="LW8" s="11" t="str">
        <f t="shared" si="102"/>
        <v/>
      </c>
      <c r="LX8" s="11" t="str">
        <f t="shared" si="103"/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 t="shared" si="104"/>
        <v/>
      </c>
      <c r="MT8" s="40" t="str">
        <f t="shared" si="105"/>
        <v/>
      </c>
      <c r="MU8" s="40" t="str">
        <f t="shared" si="106"/>
        <v/>
      </c>
      <c r="MV8" s="40" t="str">
        <f t="shared" si="107"/>
        <v/>
      </c>
      <c r="MW8" s="40" t="str">
        <f t="shared" si="108"/>
        <v/>
      </c>
      <c r="MX8" s="40" t="str">
        <f t="shared" si="109"/>
        <v/>
      </c>
      <c r="MY8" s="40" t="str">
        <f t="shared" si="110"/>
        <v/>
      </c>
      <c r="MZ8" s="40" t="str">
        <f t="shared" si="111"/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 t="shared" si="112"/>
        <v/>
      </c>
      <c r="NV8" s="11" t="str">
        <f t="shared" si="113"/>
        <v/>
      </c>
      <c r="NW8" s="11" t="str">
        <f t="shared" si="114"/>
        <v/>
      </c>
      <c r="NX8" s="11" t="str">
        <f t="shared" si="115"/>
        <v/>
      </c>
      <c r="NY8" s="11" t="str">
        <f t="shared" si="116"/>
        <v/>
      </c>
      <c r="NZ8" s="11" t="str">
        <f t="shared" si="117"/>
        <v/>
      </c>
      <c r="OA8" s="11" t="str">
        <f t="shared" si="118"/>
        <v/>
      </c>
      <c r="OB8" s="11" t="str">
        <f t="shared" si="119"/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 t="shared" si="120"/>
        <v/>
      </c>
      <c r="OX8" s="40" t="str">
        <f t="shared" si="121"/>
        <v/>
      </c>
      <c r="OY8" s="40" t="str">
        <f t="shared" si="122"/>
        <v/>
      </c>
      <c r="OZ8" s="40" t="str">
        <f t="shared" si="123"/>
        <v/>
      </c>
      <c r="PA8" s="40" t="str">
        <f t="shared" si="124"/>
        <v/>
      </c>
      <c r="PB8" s="40" t="str">
        <f t="shared" si="125"/>
        <v/>
      </c>
      <c r="PC8" s="40" t="str">
        <f t="shared" si="126"/>
        <v/>
      </c>
      <c r="PD8" s="40" t="str">
        <f t="shared" si="127"/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 t="shared" si="128"/>
        <v/>
      </c>
      <c r="PZ8" s="11" t="str">
        <f t="shared" si="129"/>
        <v/>
      </c>
      <c r="QA8" s="11" t="str">
        <f t="shared" si="130"/>
        <v/>
      </c>
      <c r="QB8" s="11" t="str">
        <f t="shared" si="131"/>
        <v/>
      </c>
      <c r="QC8" s="11" t="str">
        <f t="shared" si="132"/>
        <v/>
      </c>
      <c r="QD8" s="11" t="str">
        <f t="shared" si="133"/>
        <v/>
      </c>
      <c r="QE8" s="11" t="str">
        <f t="shared" si="134"/>
        <v/>
      </c>
      <c r="QF8" s="11" t="str">
        <f t="shared" si="135"/>
        <v/>
      </c>
      <c r="QG8" s="22">
        <f t="shared" si="136"/>
        <v>18.549999999999997</v>
      </c>
      <c r="QH8" s="22">
        <f t="shared" si="137"/>
        <v>5.6</v>
      </c>
      <c r="QI8" s="22">
        <f t="shared" si="138"/>
        <v>0.4</v>
      </c>
      <c r="QJ8" s="22">
        <f t="shared" si="139"/>
        <v>0</v>
      </c>
      <c r="QK8" s="22">
        <f t="shared" si="140"/>
        <v>18.350000000000001</v>
      </c>
      <c r="QL8" s="22">
        <f t="shared" si="141"/>
        <v>6</v>
      </c>
      <c r="QM8" s="22">
        <f t="shared" si="142"/>
        <v>0.5</v>
      </c>
      <c r="QN8" s="22">
        <f t="shared" si="143"/>
        <v>0</v>
      </c>
      <c r="QO8" s="22">
        <f t="shared" si="144"/>
        <v>17.45</v>
      </c>
      <c r="QP8" s="22">
        <f t="shared" si="145"/>
        <v>3.6</v>
      </c>
      <c r="QQ8" s="22">
        <f t="shared" si="146"/>
        <v>0.4</v>
      </c>
      <c r="QR8" s="22">
        <f t="shared" si="147"/>
        <v>0.15</v>
      </c>
      <c r="QS8" s="22">
        <f t="shared" si="148"/>
        <v>18.149999999999999</v>
      </c>
      <c r="QT8" s="22">
        <f t="shared" si="149"/>
        <v>5.1999999999999993</v>
      </c>
      <c r="QU8" s="22">
        <f t="shared" si="150"/>
        <v>0.1</v>
      </c>
      <c r="QV8" s="22">
        <f t="shared" si="151"/>
        <v>0</v>
      </c>
      <c r="QW8" s="22">
        <f t="shared" si="152"/>
        <v>18.2</v>
      </c>
      <c r="QX8" s="22">
        <f t="shared" si="153"/>
        <v>5.6</v>
      </c>
      <c r="QY8" s="22">
        <f t="shared" si="154"/>
        <v>0.7</v>
      </c>
      <c r="QZ8" s="22">
        <f t="shared" si="155"/>
        <v>0</v>
      </c>
      <c r="RA8" s="27" t="s">
        <v>46</v>
      </c>
      <c r="RB8" s="40">
        <f t="shared" si="156"/>
        <v>11.6</v>
      </c>
      <c r="RC8" s="40">
        <f t="shared" si="157"/>
        <v>47.6</v>
      </c>
      <c r="RD8" s="40">
        <f t="shared" si="158"/>
        <v>20.8</v>
      </c>
      <c r="RE8" s="40">
        <f t="shared" si="159"/>
        <v>15.2</v>
      </c>
      <c r="RF8" s="40">
        <f t="shared" si="160"/>
        <v>68.400000000000006</v>
      </c>
      <c r="RG8" s="40">
        <f t="shared" si="161"/>
        <v>10.799999999999999</v>
      </c>
      <c r="RH8" s="40">
        <f t="shared" si="162"/>
        <v>46.35</v>
      </c>
      <c r="RI8" s="40">
        <f t="shared" si="163"/>
        <v>114.75</v>
      </c>
    </row>
    <row r="9" spans="1:477" x14ac:dyDescent="0.2">
      <c r="A9" s="4" cm="1">
        <f t="array" ref="A9">IF(AND(J9&lt;&gt;"",J9&lt;&gt;"No DD"),SUMPRODUCT((J$4:J$27&lt;&gt;"")*(J$4:J$27&lt;&gt;"No DD")*(F$4:F$27&gt;F9))+1,IF(J9="No DD",SUMPRODUCT((J$4:J$27="No DD")*(F$4:F$27&gt;F9))+1+SUMPRODUCT((J$4:J$27&lt;&gt;"")*(J$4:J$27&lt;&gt;"No DD")),""))</f>
        <v>6</v>
      </c>
      <c r="B9" s="4" cm="1">
        <f t="array" ref="B9">IF(AND(J9&lt;&gt;"",J9&lt;&gt;"No DD",G9=""),SUMPRODUCT((J$4:J$27&lt;&gt;"")*(J$4:J$27&lt;&gt;"No DD")*(G$4:G$27="")*(F$4:F$27&gt;F9))+1,IF(J9="No DD",SUMPRODUCT((J$4:J$27="No DD")*(F$4:F$27&gt;F9)*(G$4:G$27=""))+1+SUMPRODUCT((J$4:J$27&lt;&gt;"")*(G$4:G$27="")*(J$4:J$27&lt;&gt;"No DD")),""))</f>
        <v>3</v>
      </c>
      <c r="C9" s="5" t="s">
        <v>181</v>
      </c>
      <c r="D9" s="4" t="s">
        <v>4</v>
      </c>
      <c r="E9" s="4">
        <v>2005</v>
      </c>
      <c r="F9" s="9">
        <f t="shared" si="0"/>
        <v>164.20001161000471</v>
      </c>
      <c r="G9" s="66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IF(COUNT(AS9,BV9,CY9)&gt;0,LARGE((AS9,BV9,CY9),1),0)</f>
        <v>47.199999999999996</v>
      </c>
      <c r="M9" s="8" t="str">
        <f t="shared" si="5"/>
        <v>2023 Nationals</v>
      </c>
      <c r="N9" s="8">
        <f>IF(COUNT(AS9,BV9,CY9)&gt;1,LARGE((AS9,BV9,CY9),2),0)</f>
        <v>46.999999999999993</v>
      </c>
      <c r="O9" s="8" t="str">
        <f t="shared" si="6"/>
        <v>2023 Elite Canada</v>
      </c>
      <c r="P9" s="8">
        <f>IF(COUNT(AT9,BW9,CZ9)&gt;0,LARGE((AT9,BW9,CZ9),1),0)</f>
        <v>21.9</v>
      </c>
      <c r="Q9" s="8" t="str">
        <f t="shared" si="7"/>
        <v>2023 Elite Canada</v>
      </c>
      <c r="R9" s="8">
        <f t="shared" si="8"/>
        <v>47.3</v>
      </c>
      <c r="S9" s="8" t="str">
        <f t="shared" si="9"/>
        <v>2023 Nationals</v>
      </c>
      <c r="T9" s="8">
        <f t="shared" si="10"/>
        <v>0.80000000000001137</v>
      </c>
      <c r="U9" s="11" t="str">
        <f t="shared" si="11"/>
        <v>(Q1)</v>
      </c>
      <c r="V9" s="8" t="str">
        <f t="shared" si="12"/>
        <v>2023 WAGC (Nov 17)</v>
      </c>
      <c r="W9" s="19">
        <v>18.7</v>
      </c>
      <c r="X9" s="19">
        <v>5.2</v>
      </c>
      <c r="Y9" s="19">
        <v>0.2</v>
      </c>
      <c r="Z9" s="19">
        <v>0</v>
      </c>
      <c r="AA9" s="19">
        <v>18.399999999999999</v>
      </c>
      <c r="AB9" s="19">
        <v>5.2</v>
      </c>
      <c r="AC9" s="19">
        <v>0.6</v>
      </c>
      <c r="AD9" s="19">
        <v>0.3</v>
      </c>
      <c r="AE9" s="19">
        <v>18.399999999999999</v>
      </c>
      <c r="AF9" s="19">
        <v>3.5</v>
      </c>
      <c r="AG9" s="19">
        <v>0</v>
      </c>
      <c r="AH9" s="19">
        <v>0</v>
      </c>
      <c r="AI9" s="19">
        <v>18.100000000000001</v>
      </c>
      <c r="AJ9" s="19">
        <v>5.2</v>
      </c>
      <c r="AK9" s="19">
        <v>0.8</v>
      </c>
      <c r="AL9" s="19">
        <v>0</v>
      </c>
      <c r="AM9" s="19">
        <v>18.7</v>
      </c>
      <c r="AN9" s="19">
        <v>5.2</v>
      </c>
      <c r="AO9" s="19">
        <v>0.6</v>
      </c>
      <c r="AP9" s="19">
        <v>0.3</v>
      </c>
      <c r="AQ9" s="27"/>
      <c r="AR9" s="40">
        <f t="shared" si="13"/>
        <v>10.4</v>
      </c>
      <c r="AS9" s="40">
        <f t="shared" si="14"/>
        <v>46.999999999999993</v>
      </c>
      <c r="AT9" s="40">
        <f t="shared" si="15"/>
        <v>21.9</v>
      </c>
      <c r="AU9" s="40">
        <f t="shared" si="16"/>
        <v>13.9</v>
      </c>
      <c r="AV9" s="40">
        <f t="shared" si="17"/>
        <v>68.899999999999991</v>
      </c>
      <c r="AW9" s="40">
        <f t="shared" si="18"/>
        <v>10.4</v>
      </c>
      <c r="AX9" s="40">
        <f t="shared" si="19"/>
        <v>46.1</v>
      </c>
      <c r="AY9" s="40">
        <f t="shared" si="20"/>
        <v>115</v>
      </c>
      <c r="AZ9" s="18">
        <v>18.399999999999999</v>
      </c>
      <c r="BA9" s="18">
        <v>6</v>
      </c>
      <c r="BB9" s="18">
        <v>0.6</v>
      </c>
      <c r="BC9" s="18">
        <v>0</v>
      </c>
      <c r="BD9" s="18">
        <v>18.5</v>
      </c>
      <c r="BE9" s="18">
        <v>5.6</v>
      </c>
      <c r="BF9" s="18">
        <v>1</v>
      </c>
      <c r="BG9" s="18">
        <v>0.3</v>
      </c>
      <c r="BH9" s="18">
        <v>17.2</v>
      </c>
      <c r="BI9" s="18">
        <v>2.4</v>
      </c>
      <c r="BJ9" s="18">
        <v>0</v>
      </c>
      <c r="BK9" s="18">
        <v>0</v>
      </c>
      <c r="BL9" s="18">
        <v>18.399999999999999</v>
      </c>
      <c r="BM9" s="18">
        <v>6</v>
      </c>
      <c r="BN9" s="18">
        <v>1</v>
      </c>
      <c r="BO9" s="18">
        <v>0</v>
      </c>
      <c r="BP9" s="18">
        <v>18.600000000000001</v>
      </c>
      <c r="BQ9" s="18">
        <v>5.6</v>
      </c>
      <c r="BR9" s="18">
        <v>0.6</v>
      </c>
      <c r="BS9" s="18">
        <v>0.3</v>
      </c>
      <c r="BT9" s="28"/>
      <c r="BU9" s="11">
        <f t="shared" si="21"/>
        <v>11.6</v>
      </c>
      <c r="BV9" s="11">
        <f t="shared" si="22"/>
        <v>47.199999999999996</v>
      </c>
      <c r="BW9" s="11">
        <f t="shared" si="23"/>
        <v>19.599999999999998</v>
      </c>
      <c r="BX9" s="11">
        <f t="shared" si="24"/>
        <v>14</v>
      </c>
      <c r="BY9" s="11">
        <f t="shared" si="25"/>
        <v>66.8</v>
      </c>
      <c r="BZ9" s="11">
        <f t="shared" si="26"/>
        <v>11.6</v>
      </c>
      <c r="CA9" s="11">
        <f t="shared" si="27"/>
        <v>47.3</v>
      </c>
      <c r="CB9" s="11">
        <f t="shared" si="28"/>
        <v>114.1</v>
      </c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27"/>
      <c r="CX9" s="40" t="str">
        <f t="shared" si="29"/>
        <v/>
      </c>
      <c r="CY9" s="40" t="str">
        <f t="shared" si="30"/>
        <v/>
      </c>
      <c r="CZ9" s="40" t="str">
        <f t="shared" si="31"/>
        <v/>
      </c>
      <c r="DA9" s="40" t="str">
        <f t="shared" si="32"/>
        <v/>
      </c>
      <c r="DB9" s="40" t="str">
        <f t="shared" si="33"/>
        <v/>
      </c>
      <c r="DC9" s="40" t="str">
        <f t="shared" si="34"/>
        <v/>
      </c>
      <c r="DD9" s="40" t="str">
        <f t="shared" si="35"/>
        <v/>
      </c>
      <c r="DE9" s="40" t="str">
        <f t="shared" si="36"/>
        <v/>
      </c>
      <c r="DF9" s="50">
        <f t="shared" si="37"/>
        <v>0.80000000000001137</v>
      </c>
      <c r="DG9" s="50" t="str">
        <f t="shared" si="38"/>
        <v/>
      </c>
      <c r="DH9" s="50" t="str">
        <f t="shared" si="39"/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 t="shared" si="40"/>
        <v/>
      </c>
      <c r="ED9" s="40" t="str">
        <f t="shared" si="41"/>
        <v/>
      </c>
      <c r="EE9" s="40" t="str">
        <f t="shared" si="42"/>
        <v/>
      </c>
      <c r="EF9" s="40" t="str">
        <f t="shared" si="43"/>
        <v/>
      </c>
      <c r="EG9" s="40" t="str">
        <f t="shared" si="44"/>
        <v/>
      </c>
      <c r="EH9" s="40" t="str">
        <f t="shared" si="45"/>
        <v/>
      </c>
      <c r="EI9" s="40" t="str">
        <f t="shared" si="46"/>
        <v/>
      </c>
      <c r="EJ9" s="40" t="str">
        <f t="shared" si="47"/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 t="shared" si="48"/>
        <v/>
      </c>
      <c r="FF9" s="11" t="str">
        <f t="shared" si="49"/>
        <v/>
      </c>
      <c r="FG9" s="11" t="str">
        <f t="shared" si="50"/>
        <v/>
      </c>
      <c r="FH9" s="11" t="str">
        <f t="shared" si="51"/>
        <v/>
      </c>
      <c r="FI9" s="11" t="str">
        <f t="shared" si="52"/>
        <v/>
      </c>
      <c r="FJ9" s="11" t="str">
        <f t="shared" si="53"/>
        <v/>
      </c>
      <c r="FK9" s="11" t="str">
        <f t="shared" si="54"/>
        <v/>
      </c>
      <c r="FL9" s="11" t="str">
        <f t="shared" si="55"/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 t="shared" si="56"/>
        <v/>
      </c>
      <c r="GH9" s="40" t="str">
        <f t="shared" si="57"/>
        <v/>
      </c>
      <c r="GI9" s="40" t="str">
        <f t="shared" si="58"/>
        <v/>
      </c>
      <c r="GJ9" s="40" t="str">
        <f t="shared" si="59"/>
        <v/>
      </c>
      <c r="GK9" s="40" t="str">
        <f t="shared" si="60"/>
        <v/>
      </c>
      <c r="GL9" s="40" t="str">
        <f t="shared" si="61"/>
        <v/>
      </c>
      <c r="GM9" s="40" t="str">
        <f t="shared" si="62"/>
        <v/>
      </c>
      <c r="GN9" s="40" t="str">
        <f t="shared" si="63"/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 t="shared" si="64"/>
        <v/>
      </c>
      <c r="HJ9" s="11" t="str">
        <f t="shared" si="65"/>
        <v/>
      </c>
      <c r="HK9" s="11" t="str">
        <f t="shared" si="66"/>
        <v/>
      </c>
      <c r="HL9" s="11" t="str">
        <f t="shared" si="67"/>
        <v/>
      </c>
      <c r="HM9" s="11" t="str">
        <f t="shared" si="68"/>
        <v/>
      </c>
      <c r="HN9" s="11" t="str">
        <f t="shared" si="69"/>
        <v/>
      </c>
      <c r="HO9" s="11" t="str">
        <f t="shared" si="70"/>
        <v/>
      </c>
      <c r="HP9" s="11" t="str">
        <f t="shared" si="71"/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 t="shared" si="72"/>
        <v/>
      </c>
      <c r="IL9" s="40" t="str">
        <f t="shared" si="73"/>
        <v/>
      </c>
      <c r="IM9" s="40" t="str">
        <f t="shared" si="74"/>
        <v/>
      </c>
      <c r="IN9" s="40" t="str">
        <f t="shared" si="75"/>
        <v/>
      </c>
      <c r="IO9" s="40" t="str">
        <f t="shared" si="76"/>
        <v/>
      </c>
      <c r="IP9" s="40" t="str">
        <f t="shared" si="77"/>
        <v/>
      </c>
      <c r="IQ9" s="40" t="str">
        <f t="shared" si="78"/>
        <v/>
      </c>
      <c r="IR9" s="40" t="str">
        <f t="shared" si="79"/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 t="shared" si="80"/>
        <v/>
      </c>
      <c r="JN9" s="11" t="str">
        <f t="shared" si="81"/>
        <v/>
      </c>
      <c r="JO9" s="11" t="str">
        <f t="shared" si="82"/>
        <v/>
      </c>
      <c r="JP9" s="11" t="str">
        <f t="shared" si="83"/>
        <v/>
      </c>
      <c r="JQ9" s="11" t="str">
        <f t="shared" si="84"/>
        <v/>
      </c>
      <c r="JR9" s="11" t="str">
        <f t="shared" si="85"/>
        <v/>
      </c>
      <c r="JS9" s="11" t="str">
        <f t="shared" si="86"/>
        <v/>
      </c>
      <c r="JT9" s="11" t="str">
        <f t="shared" si="87"/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 t="shared" si="88"/>
        <v/>
      </c>
      <c r="KP9" s="40" t="str">
        <f t="shared" si="89"/>
        <v/>
      </c>
      <c r="KQ9" s="40" t="str">
        <f t="shared" si="90"/>
        <v/>
      </c>
      <c r="KR9" s="40" t="str">
        <f t="shared" si="91"/>
        <v/>
      </c>
      <c r="KS9" s="40" t="str">
        <f t="shared" si="92"/>
        <v/>
      </c>
      <c r="KT9" s="40" t="str">
        <f t="shared" si="93"/>
        <v/>
      </c>
      <c r="KU9" s="40" t="str">
        <f t="shared" si="94"/>
        <v/>
      </c>
      <c r="KV9" s="40" t="str">
        <f t="shared" si="95"/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 t="shared" si="96"/>
        <v/>
      </c>
      <c r="LR9" s="11" t="str">
        <f t="shared" si="97"/>
        <v/>
      </c>
      <c r="LS9" s="11" t="str">
        <f t="shared" si="98"/>
        <v/>
      </c>
      <c r="LT9" s="11" t="str">
        <f t="shared" si="99"/>
        <v/>
      </c>
      <c r="LU9" s="11" t="str">
        <f t="shared" si="100"/>
        <v/>
      </c>
      <c r="LV9" s="11" t="str">
        <f t="shared" si="101"/>
        <v/>
      </c>
      <c r="LW9" s="11" t="str">
        <f t="shared" si="102"/>
        <v/>
      </c>
      <c r="LX9" s="11" t="str">
        <f t="shared" si="103"/>
        <v/>
      </c>
      <c r="LY9" s="17">
        <v>18.3</v>
      </c>
      <c r="LZ9" s="17">
        <v>6</v>
      </c>
      <c r="MA9" s="17">
        <v>0.8</v>
      </c>
      <c r="MB9" s="17">
        <v>0</v>
      </c>
      <c r="MC9" s="17">
        <v>18.7</v>
      </c>
      <c r="MD9" s="17">
        <v>5.6</v>
      </c>
      <c r="ME9" s="17">
        <v>0</v>
      </c>
      <c r="MF9" s="17">
        <v>0</v>
      </c>
      <c r="MG9" s="17"/>
      <c r="MH9" s="17"/>
      <c r="MI9" s="17"/>
      <c r="MJ9" s="17"/>
      <c r="MK9" s="17">
        <v>18.2</v>
      </c>
      <c r="ML9" s="17">
        <v>6</v>
      </c>
      <c r="MM9" s="17">
        <v>0.8</v>
      </c>
      <c r="MN9" s="17">
        <v>0</v>
      </c>
      <c r="MO9" s="17"/>
      <c r="MP9" s="17"/>
      <c r="MQ9" s="17"/>
      <c r="MR9" s="17"/>
      <c r="MS9" s="40">
        <f t="shared" si="104"/>
        <v>11.6</v>
      </c>
      <c r="MT9" s="40">
        <f t="shared" si="105"/>
        <v>47.800000000000004</v>
      </c>
      <c r="MU9" s="40" t="str">
        <f t="shared" si="106"/>
        <v/>
      </c>
      <c r="MV9" s="40">
        <f t="shared" si="107"/>
        <v>11.6</v>
      </c>
      <c r="MW9" s="40">
        <f t="shared" si="108"/>
        <v>47.800000000000004</v>
      </c>
      <c r="MX9" s="40">
        <f t="shared" si="109"/>
        <v>6</v>
      </c>
      <c r="MY9" s="40">
        <f t="shared" si="110"/>
        <v>23.4</v>
      </c>
      <c r="MZ9" s="40">
        <f t="shared" si="111"/>
        <v>71.2</v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 t="shared" si="112"/>
        <v/>
      </c>
      <c r="NV9" s="11" t="str">
        <f t="shared" si="113"/>
        <v/>
      </c>
      <c r="NW9" s="11" t="str">
        <f t="shared" si="114"/>
        <v/>
      </c>
      <c r="NX9" s="11" t="str">
        <f t="shared" si="115"/>
        <v/>
      </c>
      <c r="NY9" s="11" t="str">
        <f t="shared" si="116"/>
        <v/>
      </c>
      <c r="NZ9" s="11" t="str">
        <f t="shared" si="117"/>
        <v/>
      </c>
      <c r="OA9" s="11" t="str">
        <f t="shared" si="118"/>
        <v/>
      </c>
      <c r="OB9" s="11" t="str">
        <f t="shared" si="119"/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 t="shared" si="120"/>
        <v/>
      </c>
      <c r="OX9" s="40" t="str">
        <f t="shared" si="121"/>
        <v/>
      </c>
      <c r="OY9" s="40" t="str">
        <f t="shared" si="122"/>
        <v/>
      </c>
      <c r="OZ9" s="40" t="str">
        <f t="shared" si="123"/>
        <v/>
      </c>
      <c r="PA9" s="40" t="str">
        <f t="shared" si="124"/>
        <v/>
      </c>
      <c r="PB9" s="40" t="str">
        <f t="shared" si="125"/>
        <v/>
      </c>
      <c r="PC9" s="40" t="str">
        <f t="shared" si="126"/>
        <v/>
      </c>
      <c r="PD9" s="40" t="str">
        <f t="shared" si="127"/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 t="shared" si="128"/>
        <v/>
      </c>
      <c r="PZ9" s="11" t="str">
        <f t="shared" si="129"/>
        <v/>
      </c>
      <c r="QA9" s="11" t="str">
        <f t="shared" si="130"/>
        <v/>
      </c>
      <c r="QB9" s="11" t="str">
        <f t="shared" si="131"/>
        <v/>
      </c>
      <c r="QC9" s="11" t="str">
        <f t="shared" si="132"/>
        <v/>
      </c>
      <c r="QD9" s="11" t="str">
        <f t="shared" si="133"/>
        <v/>
      </c>
      <c r="QE9" s="11" t="str">
        <f t="shared" si="134"/>
        <v/>
      </c>
      <c r="QF9" s="11" t="str">
        <f t="shared" si="135"/>
        <v/>
      </c>
      <c r="QG9" s="22">
        <f t="shared" si="136"/>
        <v>9.1999999999999993</v>
      </c>
      <c r="QH9" s="22">
        <f t="shared" si="137"/>
        <v>3</v>
      </c>
      <c r="QI9" s="22">
        <f t="shared" si="138"/>
        <v>0.3</v>
      </c>
      <c r="QJ9" s="22">
        <f t="shared" si="139"/>
        <v>0</v>
      </c>
      <c r="QK9" s="22">
        <f t="shared" si="140"/>
        <v>9.25</v>
      </c>
      <c r="QL9" s="22">
        <f t="shared" si="141"/>
        <v>2.8</v>
      </c>
      <c r="QM9" s="22">
        <f t="shared" si="142"/>
        <v>0.5</v>
      </c>
      <c r="QN9" s="22">
        <f t="shared" si="143"/>
        <v>0.15</v>
      </c>
      <c r="QO9" s="22">
        <f t="shared" si="144"/>
        <v>8.6</v>
      </c>
      <c r="QP9" s="22">
        <f t="shared" si="145"/>
        <v>1.2</v>
      </c>
      <c r="QQ9" s="22">
        <f t="shared" si="146"/>
        <v>0</v>
      </c>
      <c r="QR9" s="22">
        <f t="shared" si="147"/>
        <v>0</v>
      </c>
      <c r="QS9" s="22">
        <f t="shared" si="148"/>
        <v>9.1999999999999993</v>
      </c>
      <c r="QT9" s="22">
        <f t="shared" si="149"/>
        <v>3</v>
      </c>
      <c r="QU9" s="22">
        <f t="shared" si="150"/>
        <v>0.5</v>
      </c>
      <c r="QV9" s="22">
        <f t="shared" si="151"/>
        <v>0</v>
      </c>
      <c r="QW9" s="22">
        <f t="shared" si="152"/>
        <v>9.3000000000000007</v>
      </c>
      <c r="QX9" s="22">
        <f t="shared" si="153"/>
        <v>2.8</v>
      </c>
      <c r="QY9" s="22">
        <f t="shared" si="154"/>
        <v>0.3</v>
      </c>
      <c r="QZ9" s="22">
        <f t="shared" si="155"/>
        <v>0.15</v>
      </c>
      <c r="RA9" s="27" t="s">
        <v>46</v>
      </c>
      <c r="RB9" s="40">
        <f t="shared" si="156"/>
        <v>5.8</v>
      </c>
      <c r="RC9" s="40">
        <f t="shared" si="157"/>
        <v>23.599999999999998</v>
      </c>
      <c r="RD9" s="40">
        <f t="shared" si="158"/>
        <v>9.7999999999999989</v>
      </c>
      <c r="RE9" s="40">
        <f t="shared" si="159"/>
        <v>7</v>
      </c>
      <c r="RF9" s="40">
        <f t="shared" si="160"/>
        <v>33.4</v>
      </c>
      <c r="RG9" s="40">
        <f t="shared" si="161"/>
        <v>5.8</v>
      </c>
      <c r="RH9" s="40">
        <f t="shared" si="162"/>
        <v>23.65</v>
      </c>
      <c r="RI9" s="40">
        <f t="shared" si="163"/>
        <v>57.05</v>
      </c>
    </row>
    <row r="10" spans="1:477" x14ac:dyDescent="0.2">
      <c r="A10" s="4" cm="1">
        <f t="array" ref="A10">IF(AND(J10&lt;&gt;"",J10&lt;&gt;"No DD"),SUMPRODUCT((J$4:J$27&lt;&gt;"")*(J$4:J$27&lt;&gt;"No DD")*(F$4:F$27&gt;F10))+1,IF(J10="No DD",SUMPRODUCT((J$4:J$27="No DD")*(F$4:F$27&gt;F10))+1+SUMPRODUCT((J$4:J$27&lt;&gt;"")*(J$4:J$27&lt;&gt;"No DD")),""))</f>
        <v>7</v>
      </c>
      <c r="B10" s="4" cm="1">
        <f t="array" ref="B10">IF(AND(J10&lt;&gt;"",J10&lt;&gt;"No DD",G10=""),SUMPRODUCT((J$4:J$27&lt;&gt;"")*(J$4:J$27&lt;&gt;"No DD")*(G$4:G$27="")*(F$4:F$27&gt;F10))+1,IF(J10="No DD",SUMPRODUCT((J$4:J$27="No DD")*(F$4:F$27&gt;F10)*(G$4:G$27=""))+1+SUMPRODUCT((J$4:J$27&lt;&gt;"")*(G$4:G$27="")*(J$4:J$27&lt;&gt;"No DD")),""))</f>
        <v>4</v>
      </c>
      <c r="C10" s="5" t="s">
        <v>197</v>
      </c>
      <c r="D10" s="4" t="s">
        <v>5</v>
      </c>
      <c r="E10" s="4">
        <v>2005</v>
      </c>
      <c r="F10" s="9">
        <f t="shared" si="0"/>
        <v>161.10001153000468</v>
      </c>
      <c r="G10" s="66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IF(COUNT(AS10,BV10,CY10)&gt;0,LARGE((AS10,BV10,CY10),1),0)</f>
        <v>47</v>
      </c>
      <c r="M10" s="8" t="str">
        <f t="shared" si="5"/>
        <v>2023 3rd Domestic Trial</v>
      </c>
      <c r="N10" s="8">
        <f>IF(COUNT(AS10,BV10,CY10)&gt;1,LARGE((AS10,BV10,CY10),2),0)</f>
        <v>46.6</v>
      </c>
      <c r="O10" s="8" t="str">
        <f t="shared" si="6"/>
        <v>2023 Nationals</v>
      </c>
      <c r="P10" s="8">
        <f>IF(COUNT(AT10,BW10,CZ10)&gt;0,LARGE((AT10,BW10,CZ10),1),0)</f>
        <v>21.7</v>
      </c>
      <c r="Q10" s="8" t="str">
        <f t="shared" si="7"/>
        <v>2023 Nationals</v>
      </c>
      <c r="R10" s="8">
        <f t="shared" si="8"/>
        <v>45.8</v>
      </c>
      <c r="S10" s="8" t="str">
        <f t="shared" si="9"/>
        <v>2023 Nationals</v>
      </c>
      <c r="T10" s="8" t="str">
        <f t="shared" si="10"/>
        <v/>
      </c>
      <c r="U10" s="11" t="str">
        <f t="shared" si="11"/>
        <v/>
      </c>
      <c r="V10" s="8" t="str">
        <f t="shared" si="12"/>
        <v/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 t="shared" si="13"/>
        <v/>
      </c>
      <c r="AS10" s="40" t="str">
        <f t="shared" si="14"/>
        <v/>
      </c>
      <c r="AT10" s="40" t="str">
        <f t="shared" si="15"/>
        <v/>
      </c>
      <c r="AU10" s="40" t="str">
        <f t="shared" si="16"/>
        <v/>
      </c>
      <c r="AV10" s="40" t="str">
        <f t="shared" si="17"/>
        <v/>
      </c>
      <c r="AW10" s="40" t="str">
        <f t="shared" si="18"/>
        <v/>
      </c>
      <c r="AX10" s="40" t="str">
        <f t="shared" si="19"/>
        <v/>
      </c>
      <c r="AY10" s="40" t="str">
        <f t="shared" si="20"/>
        <v/>
      </c>
      <c r="AZ10" s="18">
        <v>18.600000000000001</v>
      </c>
      <c r="BA10" s="18">
        <v>5.2</v>
      </c>
      <c r="BB10" s="18">
        <v>0.2</v>
      </c>
      <c r="BC10" s="18">
        <v>0</v>
      </c>
      <c r="BD10" s="18">
        <v>18.3</v>
      </c>
      <c r="BE10" s="18">
        <v>5.2</v>
      </c>
      <c r="BF10" s="18">
        <v>0.8</v>
      </c>
      <c r="BG10" s="18">
        <v>0.3</v>
      </c>
      <c r="BH10" s="18">
        <v>18.8</v>
      </c>
      <c r="BI10" s="18">
        <v>3.7</v>
      </c>
      <c r="BJ10" s="18">
        <v>0.8</v>
      </c>
      <c r="BK10" s="18">
        <v>0</v>
      </c>
      <c r="BL10" s="18">
        <v>17.5</v>
      </c>
      <c r="BM10" s="18">
        <v>5.2</v>
      </c>
      <c r="BN10" s="18">
        <v>0.8</v>
      </c>
      <c r="BO10" s="18">
        <v>0</v>
      </c>
      <c r="BP10" s="18">
        <v>18.8</v>
      </c>
      <c r="BQ10" s="18">
        <v>5.6</v>
      </c>
      <c r="BR10" s="18">
        <v>0.8</v>
      </c>
      <c r="BS10" s="18">
        <v>0.3</v>
      </c>
      <c r="BT10" s="28"/>
      <c r="BU10" s="11">
        <f t="shared" si="21"/>
        <v>10.4</v>
      </c>
      <c r="BV10" s="11">
        <f t="shared" si="22"/>
        <v>46.6</v>
      </c>
      <c r="BW10" s="11">
        <f t="shared" si="23"/>
        <v>21.7</v>
      </c>
      <c r="BX10" s="11">
        <f t="shared" si="24"/>
        <v>14.100000000000001</v>
      </c>
      <c r="BY10" s="11">
        <f t="shared" si="25"/>
        <v>68.3</v>
      </c>
      <c r="BZ10" s="11">
        <f t="shared" si="26"/>
        <v>10.8</v>
      </c>
      <c r="CA10" s="11">
        <f t="shared" si="27"/>
        <v>45.8</v>
      </c>
      <c r="CB10" s="11">
        <f t="shared" si="28"/>
        <v>114.1</v>
      </c>
      <c r="CC10" s="19">
        <v>18.600000000000001</v>
      </c>
      <c r="CD10" s="19">
        <v>5.1999999999999993</v>
      </c>
      <c r="CE10" s="19">
        <v>0.2</v>
      </c>
      <c r="CF10" s="19">
        <v>0</v>
      </c>
      <c r="CG10" s="19">
        <v>18.7</v>
      </c>
      <c r="CH10" s="19">
        <v>5.1999999999999993</v>
      </c>
      <c r="CI10" s="19">
        <v>0.8</v>
      </c>
      <c r="CJ10" s="19">
        <v>0.3</v>
      </c>
      <c r="CK10" s="19">
        <v>16.8</v>
      </c>
      <c r="CL10" s="19">
        <v>3.3</v>
      </c>
      <c r="CM10" s="19">
        <v>1</v>
      </c>
      <c r="CN10" s="19">
        <v>0</v>
      </c>
      <c r="CO10" s="19">
        <v>16.8</v>
      </c>
      <c r="CP10" s="19">
        <v>5.1999999999999993</v>
      </c>
      <c r="CQ10" s="19">
        <v>0.8</v>
      </c>
      <c r="CR10" s="19">
        <v>0</v>
      </c>
      <c r="CS10" s="19">
        <v>0</v>
      </c>
      <c r="CT10" s="19">
        <v>0</v>
      </c>
      <c r="CU10" s="19">
        <v>0</v>
      </c>
      <c r="CV10" s="19">
        <v>0</v>
      </c>
      <c r="CW10" s="27"/>
      <c r="CX10" s="40">
        <f t="shared" si="29"/>
        <v>10.399999999999999</v>
      </c>
      <c r="CY10" s="40">
        <f t="shared" si="30"/>
        <v>47</v>
      </c>
      <c r="CZ10" s="40">
        <f t="shared" si="31"/>
        <v>19.100000000000001</v>
      </c>
      <c r="DA10" s="40">
        <f t="shared" si="32"/>
        <v>13.7</v>
      </c>
      <c r="DB10" s="40">
        <f t="shared" si="33"/>
        <v>66.099999999999994</v>
      </c>
      <c r="DC10" s="40">
        <f t="shared" si="34"/>
        <v>5.1999999999999993</v>
      </c>
      <c r="DD10" s="40">
        <f t="shared" si="35"/>
        <v>21.2</v>
      </c>
      <c r="DE10" s="40">
        <f t="shared" si="36"/>
        <v>87.3</v>
      </c>
      <c r="DF10" s="50" t="str">
        <f t="shared" si="37"/>
        <v/>
      </c>
      <c r="DG10" s="50" t="str">
        <f t="shared" si="38"/>
        <v/>
      </c>
      <c r="DH10" s="50" t="str">
        <f t="shared" si="39"/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 t="shared" si="40"/>
        <v/>
      </c>
      <c r="ED10" s="40" t="str">
        <f t="shared" si="41"/>
        <v/>
      </c>
      <c r="EE10" s="40" t="str">
        <f t="shared" si="42"/>
        <v/>
      </c>
      <c r="EF10" s="40" t="str">
        <f t="shared" si="43"/>
        <v/>
      </c>
      <c r="EG10" s="40" t="str">
        <f t="shared" si="44"/>
        <v/>
      </c>
      <c r="EH10" s="40" t="str">
        <f t="shared" si="45"/>
        <v/>
      </c>
      <c r="EI10" s="40" t="str">
        <f t="shared" si="46"/>
        <v/>
      </c>
      <c r="EJ10" s="40" t="str">
        <f t="shared" si="47"/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 t="shared" si="48"/>
        <v/>
      </c>
      <c r="FF10" s="11" t="str">
        <f t="shared" si="49"/>
        <v/>
      </c>
      <c r="FG10" s="11" t="str">
        <f t="shared" si="50"/>
        <v/>
      </c>
      <c r="FH10" s="11" t="str">
        <f t="shared" si="51"/>
        <v/>
      </c>
      <c r="FI10" s="11" t="str">
        <f t="shared" si="52"/>
        <v/>
      </c>
      <c r="FJ10" s="11" t="str">
        <f t="shared" si="53"/>
        <v/>
      </c>
      <c r="FK10" s="11" t="str">
        <f t="shared" si="54"/>
        <v/>
      </c>
      <c r="FL10" s="11" t="str">
        <f t="shared" si="55"/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 t="shared" si="56"/>
        <v/>
      </c>
      <c r="GH10" s="40" t="str">
        <f t="shared" si="57"/>
        <v/>
      </c>
      <c r="GI10" s="40" t="str">
        <f t="shared" si="58"/>
        <v/>
      </c>
      <c r="GJ10" s="40" t="str">
        <f t="shared" si="59"/>
        <v/>
      </c>
      <c r="GK10" s="40" t="str">
        <f t="shared" si="60"/>
        <v/>
      </c>
      <c r="GL10" s="40" t="str">
        <f t="shared" si="61"/>
        <v/>
      </c>
      <c r="GM10" s="40" t="str">
        <f t="shared" si="62"/>
        <v/>
      </c>
      <c r="GN10" s="40" t="str">
        <f t="shared" si="63"/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 t="shared" si="64"/>
        <v/>
      </c>
      <c r="HJ10" s="11" t="str">
        <f t="shared" si="65"/>
        <v/>
      </c>
      <c r="HK10" s="11" t="str">
        <f t="shared" si="66"/>
        <v/>
      </c>
      <c r="HL10" s="11" t="str">
        <f t="shared" si="67"/>
        <v/>
      </c>
      <c r="HM10" s="11" t="str">
        <f t="shared" si="68"/>
        <v/>
      </c>
      <c r="HN10" s="11" t="str">
        <f t="shared" si="69"/>
        <v/>
      </c>
      <c r="HO10" s="11" t="str">
        <f t="shared" si="70"/>
        <v/>
      </c>
      <c r="HP10" s="11" t="str">
        <f t="shared" si="71"/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 t="shared" si="72"/>
        <v/>
      </c>
      <c r="IL10" s="40" t="str">
        <f t="shared" si="73"/>
        <v/>
      </c>
      <c r="IM10" s="40" t="str">
        <f t="shared" si="74"/>
        <v/>
      </c>
      <c r="IN10" s="40" t="str">
        <f t="shared" si="75"/>
        <v/>
      </c>
      <c r="IO10" s="40" t="str">
        <f t="shared" si="76"/>
        <v/>
      </c>
      <c r="IP10" s="40" t="str">
        <f t="shared" si="77"/>
        <v/>
      </c>
      <c r="IQ10" s="40" t="str">
        <f t="shared" si="78"/>
        <v/>
      </c>
      <c r="IR10" s="40" t="str">
        <f t="shared" si="79"/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 t="shared" si="80"/>
        <v/>
      </c>
      <c r="JN10" s="11" t="str">
        <f t="shared" si="81"/>
        <v/>
      </c>
      <c r="JO10" s="11" t="str">
        <f t="shared" si="82"/>
        <v/>
      </c>
      <c r="JP10" s="11" t="str">
        <f t="shared" si="83"/>
        <v/>
      </c>
      <c r="JQ10" s="11" t="str">
        <f t="shared" si="84"/>
        <v/>
      </c>
      <c r="JR10" s="11" t="str">
        <f t="shared" si="85"/>
        <v/>
      </c>
      <c r="JS10" s="11" t="str">
        <f t="shared" si="86"/>
        <v/>
      </c>
      <c r="JT10" s="11" t="str">
        <f t="shared" si="87"/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 t="shared" si="88"/>
        <v/>
      </c>
      <c r="KP10" s="40" t="str">
        <f t="shared" si="89"/>
        <v/>
      </c>
      <c r="KQ10" s="40" t="str">
        <f t="shared" si="90"/>
        <v/>
      </c>
      <c r="KR10" s="40" t="str">
        <f t="shared" si="91"/>
        <v/>
      </c>
      <c r="KS10" s="40" t="str">
        <f t="shared" si="92"/>
        <v/>
      </c>
      <c r="KT10" s="40" t="str">
        <f t="shared" si="93"/>
        <v/>
      </c>
      <c r="KU10" s="40" t="str">
        <f t="shared" si="94"/>
        <v/>
      </c>
      <c r="KV10" s="40" t="str">
        <f t="shared" si="95"/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 t="shared" si="96"/>
        <v/>
      </c>
      <c r="LR10" s="11" t="str">
        <f t="shared" si="97"/>
        <v/>
      </c>
      <c r="LS10" s="11" t="str">
        <f t="shared" si="98"/>
        <v/>
      </c>
      <c r="LT10" s="11" t="str">
        <f t="shared" si="99"/>
        <v/>
      </c>
      <c r="LU10" s="11" t="str">
        <f t="shared" si="100"/>
        <v/>
      </c>
      <c r="LV10" s="11" t="str">
        <f t="shared" si="101"/>
        <v/>
      </c>
      <c r="LW10" s="11" t="str">
        <f t="shared" si="102"/>
        <v/>
      </c>
      <c r="LX10" s="11" t="str">
        <f t="shared" si="103"/>
        <v/>
      </c>
      <c r="LY10" s="17">
        <v>16.8</v>
      </c>
      <c r="LZ10" s="17">
        <v>5.2</v>
      </c>
      <c r="MA10" s="17">
        <v>0.8</v>
      </c>
      <c r="MB10" s="17">
        <v>0</v>
      </c>
      <c r="MC10" s="17">
        <v>16.7</v>
      </c>
      <c r="MD10" s="17">
        <v>5.2</v>
      </c>
      <c r="ME10" s="17">
        <v>0.2</v>
      </c>
      <c r="MF10" s="17">
        <v>0</v>
      </c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>
        <f t="shared" si="104"/>
        <v>10.4</v>
      </c>
      <c r="MT10" s="40">
        <f t="shared" si="105"/>
        <v>42.900000000000006</v>
      </c>
      <c r="MU10" s="40" t="str">
        <f t="shared" si="106"/>
        <v/>
      </c>
      <c r="MV10" s="40">
        <f t="shared" si="107"/>
        <v>10.4</v>
      </c>
      <c r="MW10" s="40">
        <f t="shared" si="108"/>
        <v>42.900000000000006</v>
      </c>
      <c r="MX10" s="40" t="str">
        <f t="shared" si="109"/>
        <v/>
      </c>
      <c r="MY10" s="40" t="str">
        <f t="shared" si="110"/>
        <v/>
      </c>
      <c r="MZ10" s="40">
        <f t="shared" si="111"/>
        <v>42.900000000000006</v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 t="shared" si="112"/>
        <v/>
      </c>
      <c r="NV10" s="11" t="str">
        <f t="shared" si="113"/>
        <v/>
      </c>
      <c r="NW10" s="11" t="str">
        <f t="shared" si="114"/>
        <v/>
      </c>
      <c r="NX10" s="11" t="str">
        <f t="shared" si="115"/>
        <v/>
      </c>
      <c r="NY10" s="11" t="str">
        <f t="shared" si="116"/>
        <v/>
      </c>
      <c r="NZ10" s="11" t="str">
        <f t="shared" si="117"/>
        <v/>
      </c>
      <c r="OA10" s="11" t="str">
        <f t="shared" si="118"/>
        <v/>
      </c>
      <c r="OB10" s="11" t="str">
        <f t="shared" si="119"/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 t="shared" si="120"/>
        <v/>
      </c>
      <c r="OX10" s="40" t="str">
        <f t="shared" si="121"/>
        <v/>
      </c>
      <c r="OY10" s="40" t="str">
        <f t="shared" si="122"/>
        <v/>
      </c>
      <c r="OZ10" s="40" t="str">
        <f t="shared" si="123"/>
        <v/>
      </c>
      <c r="PA10" s="40" t="str">
        <f t="shared" si="124"/>
        <v/>
      </c>
      <c r="PB10" s="40" t="str">
        <f t="shared" si="125"/>
        <v/>
      </c>
      <c r="PC10" s="40" t="str">
        <f t="shared" si="126"/>
        <v/>
      </c>
      <c r="PD10" s="40" t="str">
        <f t="shared" si="127"/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 t="shared" si="128"/>
        <v/>
      </c>
      <c r="PZ10" s="11" t="str">
        <f t="shared" si="129"/>
        <v/>
      </c>
      <c r="QA10" s="11" t="str">
        <f t="shared" si="130"/>
        <v/>
      </c>
      <c r="QB10" s="11" t="str">
        <f t="shared" si="131"/>
        <v/>
      </c>
      <c r="QC10" s="11" t="str">
        <f t="shared" si="132"/>
        <v/>
      </c>
      <c r="QD10" s="11" t="str">
        <f t="shared" si="133"/>
        <v/>
      </c>
      <c r="QE10" s="11" t="str">
        <f t="shared" si="134"/>
        <v/>
      </c>
      <c r="QF10" s="11" t="str">
        <f t="shared" si="135"/>
        <v/>
      </c>
      <c r="QG10" s="22">
        <f t="shared" si="136"/>
        <v>18.600000000000001</v>
      </c>
      <c r="QH10" s="22">
        <f t="shared" si="137"/>
        <v>5.1999999999999993</v>
      </c>
      <c r="QI10" s="22">
        <f t="shared" si="138"/>
        <v>0.2</v>
      </c>
      <c r="QJ10" s="22">
        <f t="shared" si="139"/>
        <v>0</v>
      </c>
      <c r="QK10" s="22">
        <f t="shared" si="140"/>
        <v>18.5</v>
      </c>
      <c r="QL10" s="22">
        <f t="shared" si="141"/>
        <v>5.1999999999999993</v>
      </c>
      <c r="QM10" s="22">
        <f t="shared" si="142"/>
        <v>0.8</v>
      </c>
      <c r="QN10" s="22">
        <f t="shared" si="143"/>
        <v>0.3</v>
      </c>
      <c r="QO10" s="22">
        <f t="shared" si="144"/>
        <v>17.8</v>
      </c>
      <c r="QP10" s="22">
        <f t="shared" si="145"/>
        <v>3.5</v>
      </c>
      <c r="QQ10" s="22">
        <f t="shared" si="146"/>
        <v>0.9</v>
      </c>
      <c r="QR10" s="22">
        <f t="shared" si="147"/>
        <v>0</v>
      </c>
      <c r="QS10" s="22">
        <f t="shared" si="148"/>
        <v>17.149999999999999</v>
      </c>
      <c r="QT10" s="22">
        <f t="shared" si="149"/>
        <v>5.1999999999999993</v>
      </c>
      <c r="QU10" s="22">
        <f t="shared" si="150"/>
        <v>0.8</v>
      </c>
      <c r="QV10" s="22">
        <f t="shared" si="151"/>
        <v>0</v>
      </c>
      <c r="QW10" s="22">
        <f t="shared" si="152"/>
        <v>9.4</v>
      </c>
      <c r="QX10" s="22">
        <f t="shared" si="153"/>
        <v>2.8</v>
      </c>
      <c r="QY10" s="22">
        <f t="shared" si="154"/>
        <v>0.4</v>
      </c>
      <c r="QZ10" s="22">
        <f t="shared" si="155"/>
        <v>0.15</v>
      </c>
      <c r="RA10" s="27" t="s">
        <v>46</v>
      </c>
      <c r="RB10" s="40">
        <f t="shared" si="156"/>
        <v>10.399999999999999</v>
      </c>
      <c r="RC10" s="40">
        <f t="shared" si="157"/>
        <v>46.8</v>
      </c>
      <c r="RD10" s="40">
        <f t="shared" si="158"/>
        <v>20.400000000000002</v>
      </c>
      <c r="RE10" s="40">
        <f t="shared" si="159"/>
        <v>13.899999999999999</v>
      </c>
      <c r="RF10" s="40">
        <f t="shared" si="160"/>
        <v>67.2</v>
      </c>
      <c r="RG10" s="40">
        <f t="shared" si="161"/>
        <v>7.9999999999999991</v>
      </c>
      <c r="RH10" s="40">
        <f t="shared" si="162"/>
        <v>33.499999999999993</v>
      </c>
      <c r="RI10" s="40">
        <f t="shared" si="163"/>
        <v>100.69999999999999</v>
      </c>
    </row>
    <row r="11" spans="1:477" x14ac:dyDescent="0.2">
      <c r="A11" s="4" cm="1">
        <f t="array" ref="A11">IF(AND(J11&lt;&gt;"",J11&lt;&gt;"No DD"),SUMPRODUCT((J$4:J$27&lt;&gt;"")*(J$4:J$27&lt;&gt;"No DD")*(F$4:F$27&gt;F11))+1,IF(J11="No DD",SUMPRODUCT((J$4:J$27="No DD")*(F$4:F$27&gt;F11))+1+SUMPRODUCT((J$4:J$27&lt;&gt;"")*(J$4:J$27&lt;&gt;"No DD")),""))</f>
        <v>8</v>
      </c>
      <c r="B11" s="4" cm="1">
        <f t="array" ref="B11">IF(AND(J11&lt;&gt;"",J11&lt;&gt;"No DD",G11=""),SUMPRODUCT((J$4:J$27&lt;&gt;"")*(J$4:J$27&lt;&gt;"No DD")*(G$4:G$27="")*(F$4:F$27&gt;F11))+1,IF(J11="No DD",SUMPRODUCT((J$4:J$27="No DD")*(F$4:F$27&gt;F11)*(G$4:G$27=""))+1+SUMPRODUCT((J$4:J$27&lt;&gt;"")*(G$4:G$27="")*(J$4:J$27&lt;&gt;"No DD")),""))</f>
        <v>5</v>
      </c>
      <c r="C11" s="5" t="s">
        <v>147</v>
      </c>
      <c r="D11" s="4" t="s">
        <v>3</v>
      </c>
      <c r="E11" s="4">
        <v>2002</v>
      </c>
      <c r="F11" s="9">
        <f t="shared" si="0"/>
        <v>155.50001123000476</v>
      </c>
      <c r="G11" s="66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IF(COUNT(AS11,BV11,CY11)&gt;0,LARGE((AS11,BV11,CY11),1),0)</f>
        <v>47.699999999999996</v>
      </c>
      <c r="M11" s="8" t="str">
        <f t="shared" si="5"/>
        <v>2023 3rd Domestic Trial</v>
      </c>
      <c r="N11" s="8">
        <f>IF(COUNT(AS11,BV11,CY11)&gt;1,LARGE((AS11,BV11,CY11),2),0)</f>
        <v>43.5</v>
      </c>
      <c r="O11" s="8" t="str">
        <f t="shared" si="6"/>
        <v>2023 Nationals</v>
      </c>
      <c r="P11" s="8">
        <f>IF(COUNT(AT11,BW11,CZ11)&gt;0,LARGE((AT11,BW11,CZ11),1),0)</f>
        <v>21.099999999999998</v>
      </c>
      <c r="Q11" s="8" t="str">
        <f t="shared" si="7"/>
        <v>2023 3rd Domestic Trial</v>
      </c>
      <c r="R11" s="8">
        <f t="shared" si="8"/>
        <v>43.199999999999996</v>
      </c>
      <c r="S11" s="8" t="str">
        <f t="shared" si="9"/>
        <v>2023 3rd Domestic Trial</v>
      </c>
      <c r="T11" s="8" t="str">
        <f t="shared" si="10"/>
        <v/>
      </c>
      <c r="U11" s="11" t="str">
        <f t="shared" si="11"/>
        <v/>
      </c>
      <c r="V11" s="8" t="str">
        <f t="shared" si="12"/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 t="shared" si="13"/>
        <v/>
      </c>
      <c r="AS11" s="40" t="str">
        <f t="shared" si="14"/>
        <v/>
      </c>
      <c r="AT11" s="40" t="str">
        <f t="shared" si="15"/>
        <v/>
      </c>
      <c r="AU11" s="40" t="str">
        <f t="shared" si="16"/>
        <v/>
      </c>
      <c r="AV11" s="40" t="str">
        <f t="shared" si="17"/>
        <v/>
      </c>
      <c r="AW11" s="40" t="str">
        <f t="shared" si="18"/>
        <v/>
      </c>
      <c r="AX11" s="40" t="str">
        <f t="shared" si="19"/>
        <v/>
      </c>
      <c r="AY11" s="40" t="str">
        <f t="shared" si="20"/>
        <v/>
      </c>
      <c r="AZ11" s="18">
        <v>17.8</v>
      </c>
      <c r="BA11" s="18">
        <v>4.8</v>
      </c>
      <c r="BB11" s="18">
        <v>1</v>
      </c>
      <c r="BC11" s="18">
        <v>0.3</v>
      </c>
      <c r="BD11" s="18">
        <v>16.600000000000001</v>
      </c>
      <c r="BE11" s="18">
        <v>5.2</v>
      </c>
      <c r="BF11" s="18">
        <v>0.2</v>
      </c>
      <c r="BG11" s="18">
        <v>0</v>
      </c>
      <c r="BH11" s="18">
        <v>17</v>
      </c>
      <c r="BI11" s="18">
        <v>3.9</v>
      </c>
      <c r="BJ11" s="18">
        <v>0.2</v>
      </c>
      <c r="BK11" s="18">
        <v>0</v>
      </c>
      <c r="BL11" s="18">
        <v>17.399999999999999</v>
      </c>
      <c r="BM11" s="18">
        <v>2.8</v>
      </c>
      <c r="BN11" s="18">
        <v>0</v>
      </c>
      <c r="BO11" s="18">
        <v>0.3</v>
      </c>
      <c r="BP11" s="18">
        <v>18.399999999999999</v>
      </c>
      <c r="BQ11" s="18">
        <v>2.7</v>
      </c>
      <c r="BR11" s="18">
        <v>0.3</v>
      </c>
      <c r="BS11" s="18">
        <v>0</v>
      </c>
      <c r="BT11" s="28"/>
      <c r="BU11" s="11">
        <f t="shared" si="21"/>
        <v>10</v>
      </c>
      <c r="BV11" s="11">
        <f t="shared" si="22"/>
        <v>43.5</v>
      </c>
      <c r="BW11" s="11">
        <f t="shared" si="23"/>
        <v>20.7</v>
      </c>
      <c r="BX11" s="11">
        <f t="shared" si="24"/>
        <v>13.9</v>
      </c>
      <c r="BY11" s="11">
        <f t="shared" si="25"/>
        <v>64.2</v>
      </c>
      <c r="BZ11" s="11">
        <f t="shared" si="26"/>
        <v>5.5</v>
      </c>
      <c r="CA11" s="11">
        <f t="shared" si="27"/>
        <v>41.300000000000004</v>
      </c>
      <c r="CB11" s="11">
        <f t="shared" si="28"/>
        <v>105.5</v>
      </c>
      <c r="CC11" s="19">
        <v>18.899999999999999</v>
      </c>
      <c r="CD11" s="19">
        <v>5.1999999999999993</v>
      </c>
      <c r="CE11" s="19">
        <v>0.6</v>
      </c>
      <c r="CF11" s="19">
        <v>0.3</v>
      </c>
      <c r="CG11" s="19">
        <v>18.7</v>
      </c>
      <c r="CH11" s="19">
        <v>5.1999999999999993</v>
      </c>
      <c r="CI11" s="19">
        <v>0</v>
      </c>
      <c r="CJ11" s="19">
        <v>0</v>
      </c>
      <c r="CK11" s="19">
        <v>18</v>
      </c>
      <c r="CL11" s="19">
        <v>3.9000000000000004</v>
      </c>
      <c r="CM11" s="19">
        <v>0.8</v>
      </c>
      <c r="CN11" s="19">
        <v>0</v>
      </c>
      <c r="CO11" s="19">
        <v>18.5</v>
      </c>
      <c r="CP11" s="19">
        <v>4.8</v>
      </c>
      <c r="CQ11" s="19">
        <v>0.6</v>
      </c>
      <c r="CR11" s="19">
        <v>0.3</v>
      </c>
      <c r="CS11" s="19">
        <v>18.399999999999999</v>
      </c>
      <c r="CT11" s="19">
        <v>2.4</v>
      </c>
      <c r="CU11" s="19">
        <v>0.6</v>
      </c>
      <c r="CV11" s="19">
        <v>0</v>
      </c>
      <c r="CW11" s="27"/>
      <c r="CX11" s="40">
        <f t="shared" si="29"/>
        <v>10.399999999999999</v>
      </c>
      <c r="CY11" s="40">
        <f t="shared" si="30"/>
        <v>47.699999999999996</v>
      </c>
      <c r="CZ11" s="40">
        <f t="shared" si="31"/>
        <v>21.099999999999998</v>
      </c>
      <c r="DA11" s="40">
        <f t="shared" si="32"/>
        <v>14.299999999999999</v>
      </c>
      <c r="DB11" s="40">
        <f t="shared" si="33"/>
        <v>68.8</v>
      </c>
      <c r="DC11" s="40">
        <f t="shared" si="34"/>
        <v>7.1999999999999993</v>
      </c>
      <c r="DD11" s="40">
        <f t="shared" si="35"/>
        <v>43.199999999999996</v>
      </c>
      <c r="DE11" s="40">
        <f t="shared" si="36"/>
        <v>112</v>
      </c>
      <c r="DF11" s="50" t="str">
        <f t="shared" si="37"/>
        <v/>
      </c>
      <c r="DG11" s="50" t="str">
        <f t="shared" si="38"/>
        <v/>
      </c>
      <c r="DH11" s="50" t="str">
        <f t="shared" si="39"/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 t="shared" si="40"/>
        <v/>
      </c>
      <c r="ED11" s="40" t="str">
        <f t="shared" si="41"/>
        <v/>
      </c>
      <c r="EE11" s="40" t="str">
        <f t="shared" si="42"/>
        <v/>
      </c>
      <c r="EF11" s="40" t="str">
        <f t="shared" si="43"/>
        <v/>
      </c>
      <c r="EG11" s="40" t="str">
        <f t="shared" si="44"/>
        <v/>
      </c>
      <c r="EH11" s="40" t="str">
        <f t="shared" si="45"/>
        <v/>
      </c>
      <c r="EI11" s="40" t="str">
        <f t="shared" si="46"/>
        <v/>
      </c>
      <c r="EJ11" s="40" t="str">
        <f t="shared" si="47"/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 t="shared" si="48"/>
        <v/>
      </c>
      <c r="FF11" s="11" t="str">
        <f t="shared" si="49"/>
        <v/>
      </c>
      <c r="FG11" s="11" t="str">
        <f t="shared" si="50"/>
        <v/>
      </c>
      <c r="FH11" s="11" t="str">
        <f t="shared" si="51"/>
        <v/>
      </c>
      <c r="FI11" s="11" t="str">
        <f t="shared" si="52"/>
        <v/>
      </c>
      <c r="FJ11" s="11" t="str">
        <f t="shared" si="53"/>
        <v/>
      </c>
      <c r="FK11" s="11" t="str">
        <f t="shared" si="54"/>
        <v/>
      </c>
      <c r="FL11" s="11" t="str">
        <f t="shared" si="55"/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 t="shared" si="56"/>
        <v/>
      </c>
      <c r="GH11" s="40" t="str">
        <f t="shared" si="57"/>
        <v/>
      </c>
      <c r="GI11" s="40" t="str">
        <f t="shared" si="58"/>
        <v/>
      </c>
      <c r="GJ11" s="40" t="str">
        <f t="shared" si="59"/>
        <v/>
      </c>
      <c r="GK11" s="40" t="str">
        <f t="shared" si="60"/>
        <v/>
      </c>
      <c r="GL11" s="40" t="str">
        <f t="shared" si="61"/>
        <v/>
      </c>
      <c r="GM11" s="40" t="str">
        <f t="shared" si="62"/>
        <v/>
      </c>
      <c r="GN11" s="40" t="str">
        <f t="shared" si="63"/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 t="shared" si="64"/>
        <v/>
      </c>
      <c r="HJ11" s="11" t="str">
        <f t="shared" si="65"/>
        <v/>
      </c>
      <c r="HK11" s="11" t="str">
        <f t="shared" si="66"/>
        <v/>
      </c>
      <c r="HL11" s="11" t="str">
        <f t="shared" si="67"/>
        <v/>
      </c>
      <c r="HM11" s="11" t="str">
        <f t="shared" si="68"/>
        <v/>
      </c>
      <c r="HN11" s="11" t="str">
        <f t="shared" si="69"/>
        <v/>
      </c>
      <c r="HO11" s="11" t="str">
        <f t="shared" si="70"/>
        <v/>
      </c>
      <c r="HP11" s="11" t="str">
        <f t="shared" si="71"/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 t="shared" si="72"/>
        <v/>
      </c>
      <c r="IL11" s="40" t="str">
        <f t="shared" si="73"/>
        <v/>
      </c>
      <c r="IM11" s="40" t="str">
        <f t="shared" si="74"/>
        <v/>
      </c>
      <c r="IN11" s="40" t="str">
        <f t="shared" si="75"/>
        <v/>
      </c>
      <c r="IO11" s="40" t="str">
        <f t="shared" si="76"/>
        <v/>
      </c>
      <c r="IP11" s="40" t="str">
        <f t="shared" si="77"/>
        <v/>
      </c>
      <c r="IQ11" s="40" t="str">
        <f t="shared" si="78"/>
        <v/>
      </c>
      <c r="IR11" s="40" t="str">
        <f t="shared" si="79"/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 t="shared" si="80"/>
        <v/>
      </c>
      <c r="JN11" s="11" t="str">
        <f t="shared" si="81"/>
        <v/>
      </c>
      <c r="JO11" s="11" t="str">
        <f t="shared" si="82"/>
        <v/>
      </c>
      <c r="JP11" s="11" t="str">
        <f t="shared" si="83"/>
        <v/>
      </c>
      <c r="JQ11" s="11" t="str">
        <f t="shared" si="84"/>
        <v/>
      </c>
      <c r="JR11" s="11" t="str">
        <f t="shared" si="85"/>
        <v/>
      </c>
      <c r="JS11" s="11" t="str">
        <f t="shared" si="86"/>
        <v/>
      </c>
      <c r="JT11" s="11" t="str">
        <f t="shared" si="87"/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 t="shared" si="88"/>
        <v/>
      </c>
      <c r="KP11" s="40" t="str">
        <f t="shared" si="89"/>
        <v/>
      </c>
      <c r="KQ11" s="40" t="str">
        <f t="shared" si="90"/>
        <v/>
      </c>
      <c r="KR11" s="40" t="str">
        <f t="shared" si="91"/>
        <v/>
      </c>
      <c r="KS11" s="40" t="str">
        <f t="shared" si="92"/>
        <v/>
      </c>
      <c r="KT11" s="40" t="str">
        <f t="shared" si="93"/>
        <v/>
      </c>
      <c r="KU11" s="40" t="str">
        <f t="shared" si="94"/>
        <v/>
      </c>
      <c r="KV11" s="40" t="str">
        <f t="shared" si="95"/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 t="shared" si="96"/>
        <v/>
      </c>
      <c r="LR11" s="11" t="str">
        <f t="shared" si="97"/>
        <v/>
      </c>
      <c r="LS11" s="11" t="str">
        <f t="shared" si="98"/>
        <v/>
      </c>
      <c r="LT11" s="11" t="str">
        <f t="shared" si="99"/>
        <v/>
      </c>
      <c r="LU11" s="11" t="str">
        <f t="shared" si="100"/>
        <v/>
      </c>
      <c r="LV11" s="11" t="str">
        <f t="shared" si="101"/>
        <v/>
      </c>
      <c r="LW11" s="11" t="str">
        <f t="shared" si="102"/>
        <v/>
      </c>
      <c r="LX11" s="11" t="str">
        <f t="shared" si="103"/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 t="shared" si="104"/>
        <v/>
      </c>
      <c r="MT11" s="40" t="str">
        <f t="shared" si="105"/>
        <v/>
      </c>
      <c r="MU11" s="40" t="str">
        <f t="shared" si="106"/>
        <v/>
      </c>
      <c r="MV11" s="40" t="str">
        <f t="shared" si="107"/>
        <v/>
      </c>
      <c r="MW11" s="40" t="str">
        <f t="shared" si="108"/>
        <v/>
      </c>
      <c r="MX11" s="40" t="str">
        <f t="shared" si="109"/>
        <v/>
      </c>
      <c r="MY11" s="40" t="str">
        <f t="shared" si="110"/>
        <v/>
      </c>
      <c r="MZ11" s="40" t="str">
        <f t="shared" si="111"/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 t="shared" si="112"/>
        <v/>
      </c>
      <c r="NV11" s="11" t="str">
        <f t="shared" si="113"/>
        <v/>
      </c>
      <c r="NW11" s="11" t="str">
        <f t="shared" si="114"/>
        <v/>
      </c>
      <c r="NX11" s="11" t="str">
        <f t="shared" si="115"/>
        <v/>
      </c>
      <c r="NY11" s="11" t="str">
        <f t="shared" si="116"/>
        <v/>
      </c>
      <c r="NZ11" s="11" t="str">
        <f t="shared" si="117"/>
        <v/>
      </c>
      <c r="OA11" s="11" t="str">
        <f t="shared" si="118"/>
        <v/>
      </c>
      <c r="OB11" s="11" t="str">
        <f t="shared" si="119"/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 t="shared" si="120"/>
        <v/>
      </c>
      <c r="OX11" s="40" t="str">
        <f t="shared" si="121"/>
        <v/>
      </c>
      <c r="OY11" s="40" t="str">
        <f t="shared" si="122"/>
        <v/>
      </c>
      <c r="OZ11" s="40" t="str">
        <f t="shared" si="123"/>
        <v/>
      </c>
      <c r="PA11" s="40" t="str">
        <f t="shared" si="124"/>
        <v/>
      </c>
      <c r="PB11" s="40" t="str">
        <f t="shared" si="125"/>
        <v/>
      </c>
      <c r="PC11" s="40" t="str">
        <f t="shared" si="126"/>
        <v/>
      </c>
      <c r="PD11" s="40" t="str">
        <f t="shared" si="127"/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 t="shared" si="128"/>
        <v/>
      </c>
      <c r="PZ11" s="11" t="str">
        <f t="shared" si="129"/>
        <v/>
      </c>
      <c r="QA11" s="11" t="str">
        <f t="shared" si="130"/>
        <v/>
      </c>
      <c r="QB11" s="11" t="str">
        <f t="shared" si="131"/>
        <v/>
      </c>
      <c r="QC11" s="11" t="str">
        <f t="shared" si="132"/>
        <v/>
      </c>
      <c r="QD11" s="11" t="str">
        <f t="shared" si="133"/>
        <v/>
      </c>
      <c r="QE11" s="11" t="str">
        <f t="shared" si="134"/>
        <v/>
      </c>
      <c r="QF11" s="11" t="str">
        <f t="shared" si="135"/>
        <v/>
      </c>
      <c r="QG11" s="22">
        <f t="shared" si="136"/>
        <v>18.350000000000001</v>
      </c>
      <c r="QH11" s="22">
        <f t="shared" si="137"/>
        <v>5</v>
      </c>
      <c r="QI11" s="22">
        <f t="shared" si="138"/>
        <v>0.8</v>
      </c>
      <c r="QJ11" s="22">
        <f t="shared" si="139"/>
        <v>0.3</v>
      </c>
      <c r="QK11" s="22">
        <f t="shared" si="140"/>
        <v>17.649999999999999</v>
      </c>
      <c r="QL11" s="22">
        <f t="shared" si="141"/>
        <v>5.1999999999999993</v>
      </c>
      <c r="QM11" s="22">
        <f t="shared" si="142"/>
        <v>0.1</v>
      </c>
      <c r="QN11" s="22">
        <f t="shared" si="143"/>
        <v>0</v>
      </c>
      <c r="QO11" s="22">
        <f t="shared" si="144"/>
        <v>17.5</v>
      </c>
      <c r="QP11" s="22">
        <f t="shared" si="145"/>
        <v>3.9000000000000004</v>
      </c>
      <c r="QQ11" s="22">
        <f t="shared" si="146"/>
        <v>0.5</v>
      </c>
      <c r="QR11" s="22">
        <f t="shared" si="147"/>
        <v>0</v>
      </c>
      <c r="QS11" s="22">
        <f t="shared" si="148"/>
        <v>17.95</v>
      </c>
      <c r="QT11" s="22">
        <f t="shared" si="149"/>
        <v>3.8</v>
      </c>
      <c r="QU11" s="22">
        <f t="shared" si="150"/>
        <v>0.3</v>
      </c>
      <c r="QV11" s="22">
        <f t="shared" si="151"/>
        <v>0.3</v>
      </c>
      <c r="QW11" s="22">
        <f t="shared" si="152"/>
        <v>18.399999999999999</v>
      </c>
      <c r="QX11" s="22">
        <f t="shared" si="153"/>
        <v>2.5499999999999998</v>
      </c>
      <c r="QY11" s="22">
        <f t="shared" si="154"/>
        <v>0.44999999999999996</v>
      </c>
      <c r="QZ11" s="22">
        <f t="shared" si="155"/>
        <v>0</v>
      </c>
      <c r="RA11" s="27" t="s">
        <v>46</v>
      </c>
      <c r="RB11" s="40">
        <f t="shared" si="156"/>
        <v>10.199999999999999</v>
      </c>
      <c r="RC11" s="40">
        <f t="shared" si="157"/>
        <v>45.6</v>
      </c>
      <c r="RD11" s="40">
        <f t="shared" si="158"/>
        <v>20.9</v>
      </c>
      <c r="RE11" s="40">
        <f t="shared" si="159"/>
        <v>14.1</v>
      </c>
      <c r="RF11" s="40">
        <f t="shared" si="160"/>
        <v>66.5</v>
      </c>
      <c r="RG11" s="40">
        <f t="shared" si="161"/>
        <v>6.35</v>
      </c>
      <c r="RH11" s="40">
        <f t="shared" si="162"/>
        <v>42.25</v>
      </c>
      <c r="RI11" s="40">
        <f t="shared" si="163"/>
        <v>108.75</v>
      </c>
    </row>
    <row r="12" spans="1:477" x14ac:dyDescent="0.2">
      <c r="A12" s="4" cm="1">
        <f t="array" ref="A12">IF(AND(J12&lt;&gt;"",J12&lt;&gt;"No DD"),SUMPRODUCT((J$4:J$27&lt;&gt;"")*(J$4:J$27&lt;&gt;"No DD")*(F$4:F$27&gt;F12))+1,IF(J12="No DD",SUMPRODUCT((J$4:J$27="No DD")*(F$4:F$27&gt;F12))+1+SUMPRODUCT((J$4:J$27&lt;&gt;"")*(J$4:J$27&lt;&gt;"No DD")),""))</f>
        <v>9</v>
      </c>
      <c r="B12" s="4" cm="1">
        <f t="array" ref="B12">IF(AND(J12&lt;&gt;"",J12&lt;&gt;"No DD",G12=""),SUMPRODUCT((J$4:J$27&lt;&gt;"")*(J$4:J$27&lt;&gt;"No DD")*(G$4:G$27="")*(F$4:F$27&gt;F12))+1,IF(J12="No DD",SUMPRODUCT((J$4:J$27="No DD")*(F$4:F$27&gt;F12)*(G$4:G$27=""))+1+SUMPRODUCT((J$4:J$27&lt;&gt;"")*(G$4:G$27="")*(J$4:J$27&lt;&gt;"No DD")),""))</f>
        <v>6</v>
      </c>
      <c r="C12" s="5" t="s">
        <v>72</v>
      </c>
      <c r="D12" s="4" t="s">
        <v>5</v>
      </c>
      <c r="E12" s="4">
        <v>2003</v>
      </c>
      <c r="F12" s="9">
        <f t="shared" si="0"/>
        <v>47.400000000000006</v>
      </c>
      <c r="G12" s="66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IF(COUNT(AS12,BV12,CY12)&gt;0,LARGE((AS12,BV12,CY12),1),0)</f>
        <v>0</v>
      </c>
      <c r="M12" s="8" t="str">
        <f t="shared" si="5"/>
        <v/>
      </c>
      <c r="N12" s="8">
        <f>IF(COUNT(AS12,BV12,CY12)&gt;1,LARGE((AS12,BV12,CY12),2),0)</f>
        <v>0</v>
      </c>
      <c r="O12" s="8" t="str">
        <f t="shared" si="6"/>
        <v/>
      </c>
      <c r="P12" s="8">
        <f>IF(COUNT(AT12,BW12,CZ12)&gt;0,LARGE((AT12,BW12,CZ12),1),0)</f>
        <v>0</v>
      </c>
      <c r="Q12" s="8" t="str">
        <f t="shared" si="7"/>
        <v/>
      </c>
      <c r="R12" s="8">
        <f t="shared" si="8"/>
        <v>0</v>
      </c>
      <c r="S12" s="8" t="str">
        <f t="shared" si="9"/>
        <v/>
      </c>
      <c r="T12" s="8">
        <f t="shared" si="10"/>
        <v>47.400000000000006</v>
      </c>
      <c r="U12" s="11" t="str">
        <f t="shared" si="11"/>
        <v>(Q1)</v>
      </c>
      <c r="V12" s="8" t="str">
        <f t="shared" si="12"/>
        <v>2022 WAGC (Nov 23)</v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 t="shared" si="13"/>
        <v/>
      </c>
      <c r="AS12" s="40" t="str">
        <f t="shared" si="14"/>
        <v/>
      </c>
      <c r="AT12" s="40" t="str">
        <f t="shared" si="15"/>
        <v/>
      </c>
      <c r="AU12" s="40" t="str">
        <f t="shared" si="16"/>
        <v/>
      </c>
      <c r="AV12" s="40" t="str">
        <f t="shared" si="17"/>
        <v/>
      </c>
      <c r="AW12" s="40" t="str">
        <f t="shared" si="18"/>
        <v/>
      </c>
      <c r="AX12" s="40" t="str">
        <f t="shared" si="19"/>
        <v/>
      </c>
      <c r="AY12" s="40" t="str">
        <f t="shared" si="20"/>
        <v/>
      </c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28"/>
      <c r="BU12" s="11" t="str">
        <f t="shared" si="21"/>
        <v/>
      </c>
      <c r="BV12" s="11" t="str">
        <f t="shared" si="22"/>
        <v/>
      </c>
      <c r="BW12" s="11" t="str">
        <f t="shared" si="23"/>
        <v/>
      </c>
      <c r="BX12" s="11" t="str">
        <f t="shared" si="24"/>
        <v/>
      </c>
      <c r="BY12" s="11" t="str">
        <f t="shared" si="25"/>
        <v/>
      </c>
      <c r="BZ12" s="11" t="str">
        <f t="shared" si="26"/>
        <v/>
      </c>
      <c r="CA12" s="11" t="str">
        <f t="shared" si="27"/>
        <v/>
      </c>
      <c r="CB12" s="11" t="str">
        <f t="shared" si="28"/>
        <v/>
      </c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27"/>
      <c r="CX12" s="40" t="str">
        <f t="shared" si="29"/>
        <v/>
      </c>
      <c r="CY12" s="40" t="str">
        <f t="shared" si="30"/>
        <v/>
      </c>
      <c r="CZ12" s="40" t="str">
        <f t="shared" si="31"/>
        <v/>
      </c>
      <c r="DA12" s="40" t="str">
        <f t="shared" si="32"/>
        <v/>
      </c>
      <c r="DB12" s="40" t="str">
        <f t="shared" si="33"/>
        <v/>
      </c>
      <c r="DC12" s="40" t="str">
        <f t="shared" si="34"/>
        <v/>
      </c>
      <c r="DD12" s="40" t="str">
        <f t="shared" si="35"/>
        <v/>
      </c>
      <c r="DE12" s="40" t="str">
        <f t="shared" si="36"/>
        <v/>
      </c>
      <c r="DF12" s="50">
        <f t="shared" si="37"/>
        <v>47.400000000000006</v>
      </c>
      <c r="DG12" s="50" t="str">
        <f t="shared" si="38"/>
        <v/>
      </c>
      <c r="DH12" s="50" t="str">
        <f t="shared" si="39"/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 t="shared" si="40"/>
        <v/>
      </c>
      <c r="ED12" s="40" t="str">
        <f t="shared" si="41"/>
        <v/>
      </c>
      <c r="EE12" s="40" t="str">
        <f t="shared" si="42"/>
        <v/>
      </c>
      <c r="EF12" s="40" t="str">
        <f t="shared" si="43"/>
        <v/>
      </c>
      <c r="EG12" s="40" t="str">
        <f t="shared" si="44"/>
        <v/>
      </c>
      <c r="EH12" s="40" t="str">
        <f t="shared" si="45"/>
        <v/>
      </c>
      <c r="EI12" s="40" t="str">
        <f t="shared" si="46"/>
        <v/>
      </c>
      <c r="EJ12" s="40" t="str">
        <f t="shared" si="47"/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 t="shared" si="48"/>
        <v/>
      </c>
      <c r="FF12" s="11" t="str">
        <f t="shared" si="49"/>
        <v/>
      </c>
      <c r="FG12" s="11" t="str">
        <f t="shared" si="50"/>
        <v/>
      </c>
      <c r="FH12" s="11" t="str">
        <f t="shared" si="51"/>
        <v/>
      </c>
      <c r="FI12" s="11" t="str">
        <f t="shared" si="52"/>
        <v/>
      </c>
      <c r="FJ12" s="11" t="str">
        <f t="shared" si="53"/>
        <v/>
      </c>
      <c r="FK12" s="11" t="str">
        <f t="shared" si="54"/>
        <v/>
      </c>
      <c r="FL12" s="11" t="str">
        <f t="shared" si="55"/>
        <v/>
      </c>
      <c r="FM12" s="17">
        <v>18.100000000000001</v>
      </c>
      <c r="FN12" s="17">
        <v>6</v>
      </c>
      <c r="FO12" s="17">
        <v>0</v>
      </c>
      <c r="FP12" s="17">
        <v>0</v>
      </c>
      <c r="FQ12" s="17">
        <v>18.3</v>
      </c>
      <c r="FR12" s="17">
        <v>5.6</v>
      </c>
      <c r="FS12" s="17">
        <v>0.6</v>
      </c>
      <c r="FT12" s="17">
        <v>0</v>
      </c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>
        <f t="shared" si="56"/>
        <v>11.6</v>
      </c>
      <c r="GH12" s="40">
        <f t="shared" si="57"/>
        <v>47.400000000000006</v>
      </c>
      <c r="GI12" s="40" t="str">
        <f t="shared" si="58"/>
        <v/>
      </c>
      <c r="GJ12" s="40">
        <f t="shared" si="59"/>
        <v>11.6</v>
      </c>
      <c r="GK12" s="40">
        <f t="shared" si="60"/>
        <v>47.400000000000006</v>
      </c>
      <c r="GL12" s="40" t="str">
        <f t="shared" si="61"/>
        <v/>
      </c>
      <c r="GM12" s="40" t="str">
        <f t="shared" si="62"/>
        <v/>
      </c>
      <c r="GN12" s="40">
        <f t="shared" si="63"/>
        <v>47.400000000000006</v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 t="shared" si="64"/>
        <v/>
      </c>
      <c r="HJ12" s="11" t="str">
        <f t="shared" si="65"/>
        <v/>
      </c>
      <c r="HK12" s="11" t="str">
        <f t="shared" si="66"/>
        <v/>
      </c>
      <c r="HL12" s="11" t="str">
        <f t="shared" si="67"/>
        <v/>
      </c>
      <c r="HM12" s="11" t="str">
        <f t="shared" si="68"/>
        <v/>
      </c>
      <c r="HN12" s="11" t="str">
        <f t="shared" si="69"/>
        <v/>
      </c>
      <c r="HO12" s="11" t="str">
        <f t="shared" si="70"/>
        <v/>
      </c>
      <c r="HP12" s="11" t="str">
        <f t="shared" si="71"/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 t="shared" si="72"/>
        <v/>
      </c>
      <c r="IL12" s="40" t="str">
        <f t="shared" si="73"/>
        <v/>
      </c>
      <c r="IM12" s="40" t="str">
        <f t="shared" si="74"/>
        <v/>
      </c>
      <c r="IN12" s="40" t="str">
        <f t="shared" si="75"/>
        <v/>
      </c>
      <c r="IO12" s="40" t="str">
        <f t="shared" si="76"/>
        <v/>
      </c>
      <c r="IP12" s="40" t="str">
        <f t="shared" si="77"/>
        <v/>
      </c>
      <c r="IQ12" s="40" t="str">
        <f t="shared" si="78"/>
        <v/>
      </c>
      <c r="IR12" s="40" t="str">
        <f t="shared" si="79"/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 t="shared" si="80"/>
        <v/>
      </c>
      <c r="JN12" s="11" t="str">
        <f t="shared" si="81"/>
        <v/>
      </c>
      <c r="JO12" s="11" t="str">
        <f t="shared" si="82"/>
        <v/>
      </c>
      <c r="JP12" s="11" t="str">
        <f t="shared" si="83"/>
        <v/>
      </c>
      <c r="JQ12" s="11" t="str">
        <f t="shared" si="84"/>
        <v/>
      </c>
      <c r="JR12" s="11" t="str">
        <f t="shared" si="85"/>
        <v/>
      </c>
      <c r="JS12" s="11" t="str">
        <f t="shared" si="86"/>
        <v/>
      </c>
      <c r="JT12" s="11" t="str">
        <f t="shared" si="87"/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 t="shared" si="88"/>
        <v/>
      </c>
      <c r="KP12" s="40" t="str">
        <f t="shared" si="89"/>
        <v/>
      </c>
      <c r="KQ12" s="40" t="str">
        <f t="shared" si="90"/>
        <v/>
      </c>
      <c r="KR12" s="40" t="str">
        <f t="shared" si="91"/>
        <v/>
      </c>
      <c r="KS12" s="40" t="str">
        <f t="shared" si="92"/>
        <v/>
      </c>
      <c r="KT12" s="40" t="str">
        <f t="shared" si="93"/>
        <v/>
      </c>
      <c r="KU12" s="40" t="str">
        <f t="shared" si="94"/>
        <v/>
      </c>
      <c r="KV12" s="40" t="str">
        <f t="shared" si="95"/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 t="shared" si="96"/>
        <v/>
      </c>
      <c r="LR12" s="11" t="str">
        <f t="shared" si="97"/>
        <v/>
      </c>
      <c r="LS12" s="11" t="str">
        <f t="shared" si="98"/>
        <v/>
      </c>
      <c r="LT12" s="11" t="str">
        <f t="shared" si="99"/>
        <v/>
      </c>
      <c r="LU12" s="11" t="str">
        <f t="shared" si="100"/>
        <v/>
      </c>
      <c r="LV12" s="11" t="str">
        <f t="shared" si="101"/>
        <v/>
      </c>
      <c r="LW12" s="11" t="str">
        <f t="shared" si="102"/>
        <v/>
      </c>
      <c r="LX12" s="11" t="str">
        <f t="shared" si="103"/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 t="shared" si="104"/>
        <v/>
      </c>
      <c r="MT12" s="40" t="str">
        <f t="shared" si="105"/>
        <v/>
      </c>
      <c r="MU12" s="40" t="str">
        <f t="shared" si="106"/>
        <v/>
      </c>
      <c r="MV12" s="40" t="str">
        <f t="shared" si="107"/>
        <v/>
      </c>
      <c r="MW12" s="40" t="str">
        <f t="shared" si="108"/>
        <v/>
      </c>
      <c r="MX12" s="40" t="str">
        <f t="shared" si="109"/>
        <v/>
      </c>
      <c r="MY12" s="40" t="str">
        <f t="shared" si="110"/>
        <v/>
      </c>
      <c r="MZ12" s="40" t="str">
        <f t="shared" si="111"/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 t="shared" si="112"/>
        <v/>
      </c>
      <c r="NV12" s="11" t="str">
        <f t="shared" si="113"/>
        <v/>
      </c>
      <c r="NW12" s="11" t="str">
        <f t="shared" si="114"/>
        <v/>
      </c>
      <c r="NX12" s="11" t="str">
        <f t="shared" si="115"/>
        <v/>
      </c>
      <c r="NY12" s="11" t="str">
        <f t="shared" si="116"/>
        <v/>
      </c>
      <c r="NZ12" s="11" t="str">
        <f t="shared" si="117"/>
        <v/>
      </c>
      <c r="OA12" s="11" t="str">
        <f t="shared" si="118"/>
        <v/>
      </c>
      <c r="OB12" s="11" t="str">
        <f t="shared" si="119"/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 t="shared" si="120"/>
        <v/>
      </c>
      <c r="OX12" s="40" t="str">
        <f t="shared" si="121"/>
        <v/>
      </c>
      <c r="OY12" s="40" t="str">
        <f t="shared" si="122"/>
        <v/>
      </c>
      <c r="OZ12" s="40" t="str">
        <f t="shared" si="123"/>
        <v/>
      </c>
      <c r="PA12" s="40" t="str">
        <f t="shared" si="124"/>
        <v/>
      </c>
      <c r="PB12" s="40" t="str">
        <f t="shared" si="125"/>
        <v/>
      </c>
      <c r="PC12" s="40" t="str">
        <f t="shared" si="126"/>
        <v/>
      </c>
      <c r="PD12" s="40" t="str">
        <f t="shared" si="127"/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 t="shared" si="128"/>
        <v/>
      </c>
      <c r="PZ12" s="11" t="str">
        <f t="shared" si="129"/>
        <v/>
      </c>
      <c r="QA12" s="11" t="str">
        <f t="shared" si="130"/>
        <v/>
      </c>
      <c r="QB12" s="11" t="str">
        <f t="shared" si="131"/>
        <v/>
      </c>
      <c r="QC12" s="11" t="str">
        <f t="shared" si="132"/>
        <v/>
      </c>
      <c r="QD12" s="11" t="str">
        <f t="shared" si="133"/>
        <v/>
      </c>
      <c r="QE12" s="11" t="str">
        <f t="shared" si="134"/>
        <v/>
      </c>
      <c r="QF12" s="11" t="str">
        <f t="shared" si="135"/>
        <v/>
      </c>
      <c r="QG12" s="22">
        <f t="shared" si="136"/>
        <v>0</v>
      </c>
      <c r="QH12" s="22">
        <f t="shared" si="137"/>
        <v>0</v>
      </c>
      <c r="QI12" s="22">
        <f t="shared" si="138"/>
        <v>0</v>
      </c>
      <c r="QJ12" s="22">
        <f t="shared" si="139"/>
        <v>0</v>
      </c>
      <c r="QK12" s="22">
        <f t="shared" si="140"/>
        <v>0</v>
      </c>
      <c r="QL12" s="22">
        <f t="shared" si="141"/>
        <v>0</v>
      </c>
      <c r="QM12" s="22">
        <f t="shared" si="142"/>
        <v>0</v>
      </c>
      <c r="QN12" s="22">
        <f t="shared" si="143"/>
        <v>0</v>
      </c>
      <c r="QO12" s="22">
        <f t="shared" si="144"/>
        <v>0</v>
      </c>
      <c r="QP12" s="22">
        <f t="shared" si="145"/>
        <v>0</v>
      </c>
      <c r="QQ12" s="22">
        <f t="shared" si="146"/>
        <v>0</v>
      </c>
      <c r="QR12" s="22">
        <f t="shared" si="147"/>
        <v>0</v>
      </c>
      <c r="QS12" s="22">
        <f t="shared" si="148"/>
        <v>0</v>
      </c>
      <c r="QT12" s="22">
        <f t="shared" si="149"/>
        <v>0</v>
      </c>
      <c r="QU12" s="22">
        <f t="shared" si="150"/>
        <v>0</v>
      </c>
      <c r="QV12" s="22">
        <f t="shared" si="151"/>
        <v>0</v>
      </c>
      <c r="QW12" s="22">
        <f t="shared" si="152"/>
        <v>0</v>
      </c>
      <c r="QX12" s="22">
        <f t="shared" si="153"/>
        <v>0</v>
      </c>
      <c r="QY12" s="22">
        <f t="shared" si="154"/>
        <v>0</v>
      </c>
      <c r="QZ12" s="22">
        <f t="shared" si="155"/>
        <v>0</v>
      </c>
      <c r="RA12" s="27" t="s">
        <v>46</v>
      </c>
      <c r="RB12" s="40" t="str">
        <f t="shared" si="156"/>
        <v/>
      </c>
      <c r="RC12" s="40" t="str">
        <f t="shared" si="157"/>
        <v/>
      </c>
      <c r="RD12" s="40" t="str">
        <f t="shared" si="158"/>
        <v/>
      </c>
      <c r="RE12" s="40" t="str">
        <f t="shared" si="159"/>
        <v/>
      </c>
      <c r="RF12" s="40" t="str">
        <f t="shared" si="160"/>
        <v/>
      </c>
      <c r="RG12" s="40" t="str">
        <f t="shared" si="161"/>
        <v/>
      </c>
      <c r="RH12" s="40" t="str">
        <f t="shared" si="162"/>
        <v/>
      </c>
      <c r="RI12" s="40" t="str">
        <f t="shared" si="163"/>
        <v/>
      </c>
    </row>
    <row r="13" spans="1:477" x14ac:dyDescent="0.2">
      <c r="A13" s="4" t="str" cm="1">
        <f t="array" ref="A13">IF(AND(J13&lt;&gt;"",J13&lt;&gt;"No DD"),SUMPRODUCT((J$4:J$27&lt;&gt;"")*(J$4:J$27&lt;&gt;"No DD")*(F$4:F$27&gt;F13))+1,IF(J13="No DD",SUMPRODUCT((J$4:J$27="No DD")*(F$4:F$27&gt;F13))+1+SUMPRODUCT((J$4:J$27&lt;&gt;"")*(J$4:J$27&lt;&gt;"No DD")),""))</f>
        <v/>
      </c>
      <c r="B13" s="4" t="str" cm="1">
        <f t="array" ref="B13">IF(AND(J13&lt;&gt;"",J13&lt;&gt;"No DD",G13=""),SUMPRODUCT((J$4:J$27&lt;&gt;"")*(J$4:J$27&lt;&gt;"No DD")*(G$4:G$27="")*(F$4:F$27&gt;F13))+1,IF(J13="No DD",SUMPRODUCT((J$4:J$27="No DD")*(F$4:F$27&gt;F13)*(G$4:G$27=""))+1+SUMPRODUCT((J$4:J$27&lt;&gt;"")*(G$4:G$27="")*(J$4:J$27&lt;&gt;"No DD")),""))</f>
        <v/>
      </c>
      <c r="C13" s="5" t="s">
        <v>139</v>
      </c>
      <c r="D13" s="4" t="s">
        <v>4</v>
      </c>
      <c r="E13" s="4">
        <v>2005</v>
      </c>
      <c r="F13" s="9">
        <f t="shared" si="0"/>
        <v>156.70001119000452</v>
      </c>
      <c r="G13" s="66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IF(COUNT(AS13,BV13,CY13)&gt;0,LARGE((AS13,BV13,CY13),1),0)</f>
        <v>45.1</v>
      </c>
      <c r="M13" s="8" t="str">
        <f t="shared" si="5"/>
        <v>2023 Nationals</v>
      </c>
      <c r="N13" s="8">
        <f>IF(COUNT(AS13,BV13,CY13)&gt;1,LARGE((AS13,BV13,CY13),2),0)</f>
        <v>44.7</v>
      </c>
      <c r="O13" s="8" t="str">
        <f t="shared" si="6"/>
        <v>2023 Elite Canada</v>
      </c>
      <c r="P13" s="8">
        <f>IF(COUNT(AT13,BW13,CZ13)&gt;0,LARGE((AT13,BW13,CZ13),1),0)</f>
        <v>22.099999999999998</v>
      </c>
      <c r="Q13" s="8" t="str">
        <f t="shared" si="7"/>
        <v>2023 Elite Canada</v>
      </c>
      <c r="R13" s="8">
        <f t="shared" si="8"/>
        <v>44.79999999999999</v>
      </c>
      <c r="S13" s="8" t="str">
        <f t="shared" si="9"/>
        <v>2023 Elite Canada</v>
      </c>
      <c r="T13" s="8" t="str">
        <f t="shared" si="10"/>
        <v/>
      </c>
      <c r="U13" s="11" t="str">
        <f t="shared" si="11"/>
        <v/>
      </c>
      <c r="V13" s="8" t="str">
        <f t="shared" si="12"/>
        <v/>
      </c>
      <c r="W13" s="19">
        <v>19</v>
      </c>
      <c r="X13" s="19">
        <v>3.5</v>
      </c>
      <c r="Y13" s="19">
        <v>0</v>
      </c>
      <c r="Z13" s="19">
        <v>0</v>
      </c>
      <c r="AA13" s="19">
        <v>18.2</v>
      </c>
      <c r="AB13" s="19">
        <v>4.8</v>
      </c>
      <c r="AC13" s="19">
        <v>0.8</v>
      </c>
      <c r="AD13" s="19">
        <v>0</v>
      </c>
      <c r="AE13" s="19">
        <v>17.899999999999999</v>
      </c>
      <c r="AF13" s="19">
        <v>4.4000000000000004</v>
      </c>
      <c r="AG13" s="19">
        <v>0.2</v>
      </c>
      <c r="AH13" s="19">
        <v>0</v>
      </c>
      <c r="AI13" s="19">
        <v>18.7</v>
      </c>
      <c r="AJ13" s="19">
        <v>3.5</v>
      </c>
      <c r="AK13" s="19">
        <v>0</v>
      </c>
      <c r="AL13" s="19">
        <v>0</v>
      </c>
      <c r="AM13" s="19">
        <v>18.399999999999999</v>
      </c>
      <c r="AN13" s="19">
        <v>4.8</v>
      </c>
      <c r="AO13" s="19">
        <v>0.6</v>
      </c>
      <c r="AP13" s="19">
        <v>0</v>
      </c>
      <c r="AQ13" s="27"/>
      <c r="AR13" s="40">
        <f t="shared" si="13"/>
        <v>8.3000000000000007</v>
      </c>
      <c r="AS13" s="40">
        <f t="shared" si="14"/>
        <v>44.7</v>
      </c>
      <c r="AT13" s="40">
        <f t="shared" si="15"/>
        <v>22.099999999999998</v>
      </c>
      <c r="AU13" s="40">
        <f t="shared" si="16"/>
        <v>12.700000000000001</v>
      </c>
      <c r="AV13" s="40">
        <f t="shared" si="17"/>
        <v>66.8</v>
      </c>
      <c r="AW13" s="40">
        <f t="shared" si="18"/>
        <v>8.3000000000000007</v>
      </c>
      <c r="AX13" s="40">
        <f t="shared" si="19"/>
        <v>44.79999999999999</v>
      </c>
      <c r="AY13" s="40">
        <f t="shared" si="20"/>
        <v>111.6</v>
      </c>
      <c r="AZ13" s="18">
        <v>19.2</v>
      </c>
      <c r="BA13" s="18">
        <v>3.5</v>
      </c>
      <c r="BB13" s="18">
        <v>0</v>
      </c>
      <c r="BC13" s="18">
        <v>0</v>
      </c>
      <c r="BD13" s="18">
        <v>18.8</v>
      </c>
      <c r="BE13" s="18">
        <v>3.6</v>
      </c>
      <c r="BF13" s="18">
        <v>0</v>
      </c>
      <c r="BG13" s="18">
        <v>0</v>
      </c>
      <c r="BH13" s="18">
        <v>0</v>
      </c>
      <c r="BI13" s="18">
        <v>0</v>
      </c>
      <c r="BJ13" s="18">
        <v>0</v>
      </c>
      <c r="BK13" s="18">
        <v>0</v>
      </c>
      <c r="BL13" s="18"/>
      <c r="BM13" s="18"/>
      <c r="BN13" s="18"/>
      <c r="BO13" s="18"/>
      <c r="BP13" s="18"/>
      <c r="BQ13" s="18"/>
      <c r="BR13" s="18"/>
      <c r="BS13" s="18"/>
      <c r="BT13" s="28"/>
      <c r="BU13" s="11">
        <f t="shared" si="21"/>
        <v>7.1</v>
      </c>
      <c r="BV13" s="11">
        <f t="shared" si="22"/>
        <v>45.1</v>
      </c>
      <c r="BW13" s="11" t="str">
        <f t="shared" si="23"/>
        <v/>
      </c>
      <c r="BX13" s="11">
        <f t="shared" si="24"/>
        <v>7.1</v>
      </c>
      <c r="BY13" s="11">
        <f t="shared" si="25"/>
        <v>45.1</v>
      </c>
      <c r="BZ13" s="11" t="str">
        <f t="shared" si="26"/>
        <v/>
      </c>
      <c r="CA13" s="11" t="str">
        <f t="shared" si="27"/>
        <v/>
      </c>
      <c r="CB13" s="11">
        <f t="shared" si="28"/>
        <v>45.1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 t="shared" si="29"/>
        <v/>
      </c>
      <c r="CY13" s="40" t="str">
        <f t="shared" si="30"/>
        <v/>
      </c>
      <c r="CZ13" s="40" t="str">
        <f t="shared" si="31"/>
        <v/>
      </c>
      <c r="DA13" s="40" t="str">
        <f t="shared" si="32"/>
        <v/>
      </c>
      <c r="DB13" s="40" t="str">
        <f t="shared" si="33"/>
        <v/>
      </c>
      <c r="DC13" s="40" t="str">
        <f t="shared" si="34"/>
        <v/>
      </c>
      <c r="DD13" s="40" t="str">
        <f t="shared" si="35"/>
        <v/>
      </c>
      <c r="DE13" s="40" t="str">
        <f t="shared" si="36"/>
        <v/>
      </c>
      <c r="DF13" s="50" t="str">
        <f t="shared" si="37"/>
        <v/>
      </c>
      <c r="DG13" s="50" t="str">
        <f t="shared" si="38"/>
        <v/>
      </c>
      <c r="DH13" s="50" t="str">
        <f t="shared" si="39"/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 t="shared" si="40"/>
        <v/>
      </c>
      <c r="ED13" s="40" t="str">
        <f t="shared" si="41"/>
        <v/>
      </c>
      <c r="EE13" s="40" t="str">
        <f t="shared" si="42"/>
        <v/>
      </c>
      <c r="EF13" s="40" t="str">
        <f t="shared" si="43"/>
        <v/>
      </c>
      <c r="EG13" s="40" t="str">
        <f t="shared" si="44"/>
        <v/>
      </c>
      <c r="EH13" s="40" t="str">
        <f t="shared" si="45"/>
        <v/>
      </c>
      <c r="EI13" s="40" t="str">
        <f t="shared" si="46"/>
        <v/>
      </c>
      <c r="EJ13" s="40" t="str">
        <f t="shared" si="47"/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 t="shared" si="48"/>
        <v/>
      </c>
      <c r="FF13" s="11" t="str">
        <f t="shared" si="49"/>
        <v/>
      </c>
      <c r="FG13" s="11" t="str">
        <f t="shared" si="50"/>
        <v/>
      </c>
      <c r="FH13" s="11" t="str">
        <f t="shared" si="51"/>
        <v/>
      </c>
      <c r="FI13" s="11" t="str">
        <f t="shared" si="52"/>
        <v/>
      </c>
      <c r="FJ13" s="11" t="str">
        <f t="shared" si="53"/>
        <v/>
      </c>
      <c r="FK13" s="11" t="str">
        <f t="shared" si="54"/>
        <v/>
      </c>
      <c r="FL13" s="11" t="str">
        <f t="shared" si="55"/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 t="shared" si="56"/>
        <v/>
      </c>
      <c r="GH13" s="40" t="str">
        <f t="shared" si="57"/>
        <v/>
      </c>
      <c r="GI13" s="40" t="str">
        <f t="shared" si="58"/>
        <v/>
      </c>
      <c r="GJ13" s="40" t="str">
        <f t="shared" si="59"/>
        <v/>
      </c>
      <c r="GK13" s="40" t="str">
        <f t="shared" si="60"/>
        <v/>
      </c>
      <c r="GL13" s="40" t="str">
        <f t="shared" si="61"/>
        <v/>
      </c>
      <c r="GM13" s="40" t="str">
        <f t="shared" si="62"/>
        <v/>
      </c>
      <c r="GN13" s="40" t="str">
        <f t="shared" si="63"/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 t="shared" si="64"/>
        <v/>
      </c>
      <c r="HJ13" s="11" t="str">
        <f t="shared" si="65"/>
        <v/>
      </c>
      <c r="HK13" s="11" t="str">
        <f t="shared" si="66"/>
        <v/>
      </c>
      <c r="HL13" s="11" t="str">
        <f t="shared" si="67"/>
        <v/>
      </c>
      <c r="HM13" s="11" t="str">
        <f t="shared" si="68"/>
        <v/>
      </c>
      <c r="HN13" s="11" t="str">
        <f t="shared" si="69"/>
        <v/>
      </c>
      <c r="HO13" s="11" t="str">
        <f t="shared" si="70"/>
        <v/>
      </c>
      <c r="HP13" s="11" t="str">
        <f t="shared" si="71"/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 t="shared" si="72"/>
        <v/>
      </c>
      <c r="IL13" s="40" t="str">
        <f t="shared" si="73"/>
        <v/>
      </c>
      <c r="IM13" s="40" t="str">
        <f t="shared" si="74"/>
        <v/>
      </c>
      <c r="IN13" s="40" t="str">
        <f t="shared" si="75"/>
        <v/>
      </c>
      <c r="IO13" s="40" t="str">
        <f t="shared" si="76"/>
        <v/>
      </c>
      <c r="IP13" s="40" t="str">
        <f t="shared" si="77"/>
        <v/>
      </c>
      <c r="IQ13" s="40" t="str">
        <f t="shared" si="78"/>
        <v/>
      </c>
      <c r="IR13" s="40" t="str">
        <f t="shared" si="79"/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 t="shared" si="80"/>
        <v/>
      </c>
      <c r="JN13" s="11" t="str">
        <f t="shared" si="81"/>
        <v/>
      </c>
      <c r="JO13" s="11" t="str">
        <f t="shared" si="82"/>
        <v/>
      </c>
      <c r="JP13" s="11" t="str">
        <f t="shared" si="83"/>
        <v/>
      </c>
      <c r="JQ13" s="11" t="str">
        <f t="shared" si="84"/>
        <v/>
      </c>
      <c r="JR13" s="11" t="str">
        <f t="shared" si="85"/>
        <v/>
      </c>
      <c r="JS13" s="11" t="str">
        <f t="shared" si="86"/>
        <v/>
      </c>
      <c r="JT13" s="11" t="str">
        <f t="shared" si="87"/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 t="shared" si="88"/>
        <v/>
      </c>
      <c r="KP13" s="40" t="str">
        <f t="shared" si="89"/>
        <v/>
      </c>
      <c r="KQ13" s="40" t="str">
        <f t="shared" si="90"/>
        <v/>
      </c>
      <c r="KR13" s="40" t="str">
        <f t="shared" si="91"/>
        <v/>
      </c>
      <c r="KS13" s="40" t="str">
        <f t="shared" si="92"/>
        <v/>
      </c>
      <c r="KT13" s="40" t="str">
        <f t="shared" si="93"/>
        <v/>
      </c>
      <c r="KU13" s="40" t="str">
        <f t="shared" si="94"/>
        <v/>
      </c>
      <c r="KV13" s="40" t="str">
        <f t="shared" si="95"/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 t="shared" si="96"/>
        <v/>
      </c>
      <c r="LR13" s="11" t="str">
        <f t="shared" si="97"/>
        <v/>
      </c>
      <c r="LS13" s="11" t="str">
        <f t="shared" si="98"/>
        <v/>
      </c>
      <c r="LT13" s="11" t="str">
        <f t="shared" si="99"/>
        <v/>
      </c>
      <c r="LU13" s="11" t="str">
        <f t="shared" si="100"/>
        <v/>
      </c>
      <c r="LV13" s="11" t="str">
        <f t="shared" si="101"/>
        <v/>
      </c>
      <c r="LW13" s="11" t="str">
        <f t="shared" si="102"/>
        <v/>
      </c>
      <c r="LX13" s="11" t="str">
        <f t="shared" si="103"/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 t="shared" si="104"/>
        <v/>
      </c>
      <c r="MT13" s="40" t="str">
        <f t="shared" si="105"/>
        <v/>
      </c>
      <c r="MU13" s="40" t="str">
        <f t="shared" si="106"/>
        <v/>
      </c>
      <c r="MV13" s="40" t="str">
        <f t="shared" si="107"/>
        <v/>
      </c>
      <c r="MW13" s="40" t="str">
        <f t="shared" si="108"/>
        <v/>
      </c>
      <c r="MX13" s="40" t="str">
        <f t="shared" si="109"/>
        <v/>
      </c>
      <c r="MY13" s="40" t="str">
        <f t="shared" si="110"/>
        <v/>
      </c>
      <c r="MZ13" s="40" t="str">
        <f t="shared" si="111"/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 t="shared" si="112"/>
        <v/>
      </c>
      <c r="NV13" s="11" t="str">
        <f t="shared" si="113"/>
        <v/>
      </c>
      <c r="NW13" s="11" t="str">
        <f t="shared" si="114"/>
        <v/>
      </c>
      <c r="NX13" s="11" t="str">
        <f t="shared" si="115"/>
        <v/>
      </c>
      <c r="NY13" s="11" t="str">
        <f t="shared" si="116"/>
        <v/>
      </c>
      <c r="NZ13" s="11" t="str">
        <f t="shared" si="117"/>
        <v/>
      </c>
      <c r="OA13" s="11" t="str">
        <f t="shared" si="118"/>
        <v/>
      </c>
      <c r="OB13" s="11" t="str">
        <f t="shared" si="119"/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 t="shared" si="120"/>
        <v/>
      </c>
      <c r="OX13" s="40" t="str">
        <f t="shared" si="121"/>
        <v/>
      </c>
      <c r="OY13" s="40" t="str">
        <f t="shared" si="122"/>
        <v/>
      </c>
      <c r="OZ13" s="40" t="str">
        <f t="shared" si="123"/>
        <v/>
      </c>
      <c r="PA13" s="40" t="str">
        <f t="shared" si="124"/>
        <v/>
      </c>
      <c r="PB13" s="40" t="str">
        <f t="shared" si="125"/>
        <v/>
      </c>
      <c r="PC13" s="40" t="str">
        <f t="shared" si="126"/>
        <v/>
      </c>
      <c r="PD13" s="40" t="str">
        <f t="shared" si="127"/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 t="shared" si="128"/>
        <v/>
      </c>
      <c r="PZ13" s="11" t="str">
        <f t="shared" si="129"/>
        <v/>
      </c>
      <c r="QA13" s="11" t="str">
        <f t="shared" si="130"/>
        <v/>
      </c>
      <c r="QB13" s="11" t="str">
        <f t="shared" si="131"/>
        <v/>
      </c>
      <c r="QC13" s="11" t="str">
        <f t="shared" si="132"/>
        <v/>
      </c>
      <c r="QD13" s="11" t="str">
        <f t="shared" si="133"/>
        <v/>
      </c>
      <c r="QE13" s="11" t="str">
        <f t="shared" si="134"/>
        <v/>
      </c>
      <c r="QF13" s="11" t="str">
        <f t="shared" si="135"/>
        <v/>
      </c>
      <c r="QG13" s="22">
        <f t="shared" si="136"/>
        <v>9.6</v>
      </c>
      <c r="QH13" s="22">
        <f t="shared" si="137"/>
        <v>1.75</v>
      </c>
      <c r="QI13" s="22">
        <f t="shared" si="138"/>
        <v>0</v>
      </c>
      <c r="QJ13" s="22">
        <f t="shared" si="139"/>
        <v>0</v>
      </c>
      <c r="QK13" s="22">
        <f t="shared" si="140"/>
        <v>9.4</v>
      </c>
      <c r="QL13" s="22">
        <f t="shared" si="141"/>
        <v>1.8</v>
      </c>
      <c r="QM13" s="22">
        <f t="shared" si="142"/>
        <v>0</v>
      </c>
      <c r="QN13" s="22">
        <f t="shared" si="143"/>
        <v>0</v>
      </c>
      <c r="QO13" s="22">
        <f t="shared" si="144"/>
        <v>0</v>
      </c>
      <c r="QP13" s="22">
        <f t="shared" si="145"/>
        <v>0</v>
      </c>
      <c r="QQ13" s="22">
        <f t="shared" si="146"/>
        <v>0</v>
      </c>
      <c r="QR13" s="22">
        <f t="shared" si="147"/>
        <v>0</v>
      </c>
      <c r="QS13" s="22">
        <f t="shared" si="148"/>
        <v>0</v>
      </c>
      <c r="QT13" s="22">
        <f t="shared" si="149"/>
        <v>0</v>
      </c>
      <c r="QU13" s="22">
        <f t="shared" si="150"/>
        <v>0</v>
      </c>
      <c r="QV13" s="22">
        <f t="shared" si="151"/>
        <v>0</v>
      </c>
      <c r="QW13" s="22">
        <f t="shared" si="152"/>
        <v>0</v>
      </c>
      <c r="QX13" s="22">
        <f t="shared" si="153"/>
        <v>0</v>
      </c>
      <c r="QY13" s="22">
        <f t="shared" si="154"/>
        <v>0</v>
      </c>
      <c r="QZ13" s="22">
        <f t="shared" si="155"/>
        <v>0</v>
      </c>
      <c r="RA13" s="27" t="s">
        <v>46</v>
      </c>
      <c r="RB13" s="40">
        <f t="shared" si="156"/>
        <v>3.55</v>
      </c>
      <c r="RC13" s="40">
        <f t="shared" si="157"/>
        <v>22.55</v>
      </c>
      <c r="RD13" s="40" t="str">
        <f t="shared" si="158"/>
        <v/>
      </c>
      <c r="RE13" s="40">
        <f t="shared" si="159"/>
        <v>3.55</v>
      </c>
      <c r="RF13" s="40">
        <f t="shared" si="160"/>
        <v>22.55</v>
      </c>
      <c r="RG13" s="40" t="str">
        <f t="shared" si="161"/>
        <v/>
      </c>
      <c r="RH13" s="40" t="str">
        <f t="shared" si="162"/>
        <v/>
      </c>
      <c r="RI13" s="40">
        <f t="shared" si="163"/>
        <v>22.55</v>
      </c>
    </row>
    <row r="14" spans="1:477" x14ac:dyDescent="0.2">
      <c r="A14" s="4" t="str" cm="1">
        <f t="array" ref="A14">IF(AND(J14&lt;&gt;"",J14&lt;&gt;"No DD"),SUMPRODUCT((J$4:J$27&lt;&gt;"")*(J$4:J$27&lt;&gt;"No DD")*(F$4:F$27&gt;F14))+1,IF(J14="No DD",SUMPRODUCT((J$4:J$27="No DD")*(F$4:F$27&gt;F14))+1+SUMPRODUCT((J$4:J$27&lt;&gt;"")*(J$4:J$27&lt;&gt;"No DD")),""))</f>
        <v/>
      </c>
      <c r="B14" s="4" t="str" cm="1">
        <f t="array" ref="B14">IF(AND(J14&lt;&gt;"",J14&lt;&gt;"No DD",G14=""),SUMPRODUCT((J$4:J$27&lt;&gt;"")*(J$4:J$27&lt;&gt;"No DD")*(G$4:G$27="")*(F$4:F$27&gt;F14))+1,IF(J14="No DD",SUMPRODUCT((J$4:J$27="No DD")*(F$4:F$27&gt;F14)*(G$4:G$27=""))+1+SUMPRODUCT((J$4:J$27&lt;&gt;"")*(G$4:G$27="")*(J$4:J$27&lt;&gt;"No DD")),""))</f>
        <v/>
      </c>
      <c r="C14" s="5" t="s">
        <v>189</v>
      </c>
      <c r="D14" s="4" t="s">
        <v>31</v>
      </c>
      <c r="E14" s="4">
        <v>2006</v>
      </c>
      <c r="F14" s="9">
        <f t="shared" si="0"/>
        <v>155.10001102000444</v>
      </c>
      <c r="G14" s="66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IF(COUNT(AS14,BV14,CY14)&gt;0,LARGE((AS14,BV14,CY14),1),0)</f>
        <v>44.2</v>
      </c>
      <c r="M14" s="8" t="str">
        <f t="shared" si="5"/>
        <v>2023 Nationals</v>
      </c>
      <c r="N14" s="8">
        <f>IF(COUNT(AS14,BV14,CY14)&gt;1,LARGE((AS14,BV14,CY14),2),0)</f>
        <v>43.3</v>
      </c>
      <c r="O14" s="8" t="str">
        <f t="shared" si="6"/>
        <v>2023 Elite Canada</v>
      </c>
      <c r="P14" s="8">
        <f>IF(COUNT(AT14,BW14,CZ14)&gt;0,LARGE((AT14,BW14,CZ14),1),0)</f>
        <v>22.7</v>
      </c>
      <c r="Q14" s="8" t="str">
        <f t="shared" si="7"/>
        <v>2023 Nationals</v>
      </c>
      <c r="R14" s="8">
        <f t="shared" si="8"/>
        <v>44.900000000000006</v>
      </c>
      <c r="S14" s="8" t="str">
        <f t="shared" si="9"/>
        <v>2023 Nationals</v>
      </c>
      <c r="T14" s="8" t="str">
        <f t="shared" si="10"/>
        <v/>
      </c>
      <c r="U14" s="11" t="str">
        <f t="shared" si="11"/>
        <v/>
      </c>
      <c r="V14" s="8" t="str">
        <f t="shared" si="12"/>
        <v/>
      </c>
      <c r="W14" s="19">
        <v>18.2</v>
      </c>
      <c r="X14" s="19">
        <v>3.5</v>
      </c>
      <c r="Y14" s="19">
        <v>0.2</v>
      </c>
      <c r="Z14" s="19">
        <v>0</v>
      </c>
      <c r="AA14" s="19">
        <v>18.2</v>
      </c>
      <c r="AB14" s="19">
        <v>3.6</v>
      </c>
      <c r="AC14" s="19">
        <v>0</v>
      </c>
      <c r="AD14" s="19">
        <v>0</v>
      </c>
      <c r="AE14" s="19">
        <v>18.5</v>
      </c>
      <c r="AF14" s="19">
        <v>3.7</v>
      </c>
      <c r="AG14" s="19">
        <v>0.2</v>
      </c>
      <c r="AH14" s="19">
        <v>0</v>
      </c>
      <c r="AI14" s="19">
        <v>18.600000000000001</v>
      </c>
      <c r="AJ14" s="19">
        <v>3.5</v>
      </c>
      <c r="AK14" s="19">
        <v>0</v>
      </c>
      <c r="AL14" s="19">
        <v>0</v>
      </c>
      <c r="AM14" s="19">
        <v>18.600000000000001</v>
      </c>
      <c r="AN14" s="19">
        <v>3.6</v>
      </c>
      <c r="AO14" s="19">
        <v>0</v>
      </c>
      <c r="AP14" s="19">
        <v>0</v>
      </c>
      <c r="AQ14" s="27"/>
      <c r="AR14" s="40">
        <f t="shared" si="13"/>
        <v>7.1</v>
      </c>
      <c r="AS14" s="40">
        <f t="shared" si="14"/>
        <v>43.3</v>
      </c>
      <c r="AT14" s="40">
        <f t="shared" si="15"/>
        <v>22</v>
      </c>
      <c r="AU14" s="40">
        <f t="shared" si="16"/>
        <v>10.8</v>
      </c>
      <c r="AV14" s="40">
        <f t="shared" si="17"/>
        <v>65.3</v>
      </c>
      <c r="AW14" s="40">
        <f t="shared" si="18"/>
        <v>7.1</v>
      </c>
      <c r="AX14" s="40">
        <f t="shared" si="19"/>
        <v>44.300000000000004</v>
      </c>
      <c r="AY14" s="40">
        <f t="shared" si="20"/>
        <v>109.6</v>
      </c>
      <c r="AZ14" s="18">
        <v>18.5</v>
      </c>
      <c r="BA14" s="18">
        <v>3.6</v>
      </c>
      <c r="BB14" s="18">
        <v>0.2</v>
      </c>
      <c r="BC14" s="18">
        <v>0</v>
      </c>
      <c r="BD14" s="18">
        <v>18.8</v>
      </c>
      <c r="BE14" s="18">
        <v>3.5</v>
      </c>
      <c r="BF14" s="18">
        <v>0</v>
      </c>
      <c r="BG14" s="18">
        <v>0</v>
      </c>
      <c r="BH14" s="18">
        <v>19</v>
      </c>
      <c r="BI14" s="18">
        <v>3.7</v>
      </c>
      <c r="BJ14" s="18">
        <v>0</v>
      </c>
      <c r="BK14" s="18">
        <v>0</v>
      </c>
      <c r="BL14" s="18">
        <v>19.100000000000001</v>
      </c>
      <c r="BM14" s="18">
        <v>3.5</v>
      </c>
      <c r="BN14" s="18">
        <v>0</v>
      </c>
      <c r="BO14" s="18">
        <v>0</v>
      </c>
      <c r="BP14" s="18">
        <v>18.600000000000001</v>
      </c>
      <c r="BQ14" s="18">
        <v>3.7</v>
      </c>
      <c r="BR14" s="18">
        <v>0</v>
      </c>
      <c r="BS14" s="18">
        <v>0</v>
      </c>
      <c r="BT14" s="28"/>
      <c r="BU14" s="11">
        <f t="shared" si="21"/>
        <v>7.1</v>
      </c>
      <c r="BV14" s="11">
        <f t="shared" si="22"/>
        <v>44.2</v>
      </c>
      <c r="BW14" s="11">
        <f t="shared" si="23"/>
        <v>22.7</v>
      </c>
      <c r="BX14" s="11">
        <f t="shared" si="24"/>
        <v>10.8</v>
      </c>
      <c r="BY14" s="11">
        <f t="shared" si="25"/>
        <v>66.900000000000006</v>
      </c>
      <c r="BZ14" s="11">
        <f t="shared" si="26"/>
        <v>7.2</v>
      </c>
      <c r="CA14" s="11">
        <f t="shared" si="27"/>
        <v>44.900000000000006</v>
      </c>
      <c r="CB14" s="11">
        <f t="shared" si="28"/>
        <v>111.80000000000001</v>
      </c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 t="str">
        <f t="shared" si="29"/>
        <v/>
      </c>
      <c r="CY14" s="40" t="str">
        <f t="shared" si="30"/>
        <v/>
      </c>
      <c r="CZ14" s="40" t="str">
        <f t="shared" si="31"/>
        <v/>
      </c>
      <c r="DA14" s="40" t="str">
        <f t="shared" si="32"/>
        <v/>
      </c>
      <c r="DB14" s="40" t="str">
        <f t="shared" si="33"/>
        <v/>
      </c>
      <c r="DC14" s="40" t="str">
        <f t="shared" si="34"/>
        <v/>
      </c>
      <c r="DD14" s="40" t="str">
        <f t="shared" si="35"/>
        <v/>
      </c>
      <c r="DE14" s="40" t="str">
        <f t="shared" si="36"/>
        <v/>
      </c>
      <c r="DF14" s="50" t="str">
        <f t="shared" si="37"/>
        <v/>
      </c>
      <c r="DG14" s="50" t="str">
        <f t="shared" si="38"/>
        <v/>
      </c>
      <c r="DH14" s="50" t="str">
        <f t="shared" si="39"/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 t="shared" si="40"/>
        <v/>
      </c>
      <c r="ED14" s="40" t="str">
        <f t="shared" si="41"/>
        <v/>
      </c>
      <c r="EE14" s="40" t="str">
        <f t="shared" si="42"/>
        <v/>
      </c>
      <c r="EF14" s="40" t="str">
        <f t="shared" si="43"/>
        <v/>
      </c>
      <c r="EG14" s="40" t="str">
        <f t="shared" si="44"/>
        <v/>
      </c>
      <c r="EH14" s="40" t="str">
        <f t="shared" si="45"/>
        <v/>
      </c>
      <c r="EI14" s="40" t="str">
        <f t="shared" si="46"/>
        <v/>
      </c>
      <c r="EJ14" s="40" t="str">
        <f t="shared" si="47"/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 t="shared" si="48"/>
        <v/>
      </c>
      <c r="FF14" s="11" t="str">
        <f t="shared" si="49"/>
        <v/>
      </c>
      <c r="FG14" s="11" t="str">
        <f t="shared" si="50"/>
        <v/>
      </c>
      <c r="FH14" s="11" t="str">
        <f t="shared" si="51"/>
        <v/>
      </c>
      <c r="FI14" s="11" t="str">
        <f t="shared" si="52"/>
        <v/>
      </c>
      <c r="FJ14" s="11" t="str">
        <f t="shared" si="53"/>
        <v/>
      </c>
      <c r="FK14" s="11" t="str">
        <f t="shared" si="54"/>
        <v/>
      </c>
      <c r="FL14" s="11" t="str">
        <f t="shared" si="55"/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 t="shared" si="56"/>
        <v/>
      </c>
      <c r="GH14" s="40" t="str">
        <f t="shared" si="57"/>
        <v/>
      </c>
      <c r="GI14" s="40" t="str">
        <f t="shared" si="58"/>
        <v/>
      </c>
      <c r="GJ14" s="40" t="str">
        <f t="shared" si="59"/>
        <v/>
      </c>
      <c r="GK14" s="40" t="str">
        <f t="shared" si="60"/>
        <v/>
      </c>
      <c r="GL14" s="40" t="str">
        <f t="shared" si="61"/>
        <v/>
      </c>
      <c r="GM14" s="40" t="str">
        <f t="shared" si="62"/>
        <v/>
      </c>
      <c r="GN14" s="40" t="str">
        <f t="shared" si="63"/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 t="shared" si="64"/>
        <v/>
      </c>
      <c r="HJ14" s="11" t="str">
        <f t="shared" si="65"/>
        <v/>
      </c>
      <c r="HK14" s="11" t="str">
        <f t="shared" si="66"/>
        <v/>
      </c>
      <c r="HL14" s="11" t="str">
        <f t="shared" si="67"/>
        <v/>
      </c>
      <c r="HM14" s="11" t="str">
        <f t="shared" si="68"/>
        <v/>
      </c>
      <c r="HN14" s="11" t="str">
        <f t="shared" si="69"/>
        <v/>
      </c>
      <c r="HO14" s="11" t="str">
        <f t="shared" si="70"/>
        <v/>
      </c>
      <c r="HP14" s="11" t="str">
        <f t="shared" si="71"/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 t="shared" si="72"/>
        <v/>
      </c>
      <c r="IL14" s="40" t="str">
        <f t="shared" si="73"/>
        <v/>
      </c>
      <c r="IM14" s="40" t="str">
        <f t="shared" si="74"/>
        <v/>
      </c>
      <c r="IN14" s="40" t="str">
        <f t="shared" si="75"/>
        <v/>
      </c>
      <c r="IO14" s="40" t="str">
        <f t="shared" si="76"/>
        <v/>
      </c>
      <c r="IP14" s="40" t="str">
        <f t="shared" si="77"/>
        <v/>
      </c>
      <c r="IQ14" s="40" t="str">
        <f t="shared" si="78"/>
        <v/>
      </c>
      <c r="IR14" s="40" t="str">
        <f t="shared" si="79"/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 t="shared" si="80"/>
        <v/>
      </c>
      <c r="JN14" s="11" t="str">
        <f t="shared" si="81"/>
        <v/>
      </c>
      <c r="JO14" s="11" t="str">
        <f t="shared" si="82"/>
        <v/>
      </c>
      <c r="JP14" s="11" t="str">
        <f t="shared" si="83"/>
        <v/>
      </c>
      <c r="JQ14" s="11" t="str">
        <f t="shared" si="84"/>
        <v/>
      </c>
      <c r="JR14" s="11" t="str">
        <f t="shared" si="85"/>
        <v/>
      </c>
      <c r="JS14" s="11" t="str">
        <f t="shared" si="86"/>
        <v/>
      </c>
      <c r="JT14" s="11" t="str">
        <f t="shared" si="87"/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 t="shared" si="88"/>
        <v/>
      </c>
      <c r="KP14" s="40" t="str">
        <f t="shared" si="89"/>
        <v/>
      </c>
      <c r="KQ14" s="40" t="str">
        <f t="shared" si="90"/>
        <v/>
      </c>
      <c r="KR14" s="40" t="str">
        <f t="shared" si="91"/>
        <v/>
      </c>
      <c r="KS14" s="40" t="str">
        <f t="shared" si="92"/>
        <v/>
      </c>
      <c r="KT14" s="40" t="str">
        <f t="shared" si="93"/>
        <v/>
      </c>
      <c r="KU14" s="40" t="str">
        <f t="shared" si="94"/>
        <v/>
      </c>
      <c r="KV14" s="40" t="str">
        <f t="shared" si="95"/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 t="shared" si="96"/>
        <v/>
      </c>
      <c r="LR14" s="11" t="str">
        <f t="shared" si="97"/>
        <v/>
      </c>
      <c r="LS14" s="11" t="str">
        <f t="shared" si="98"/>
        <v/>
      </c>
      <c r="LT14" s="11" t="str">
        <f t="shared" si="99"/>
        <v/>
      </c>
      <c r="LU14" s="11" t="str">
        <f t="shared" si="100"/>
        <v/>
      </c>
      <c r="LV14" s="11" t="str">
        <f t="shared" si="101"/>
        <v/>
      </c>
      <c r="LW14" s="11" t="str">
        <f t="shared" si="102"/>
        <v/>
      </c>
      <c r="LX14" s="11" t="str">
        <f t="shared" si="103"/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 t="shared" si="104"/>
        <v/>
      </c>
      <c r="MT14" s="40" t="str">
        <f t="shared" si="105"/>
        <v/>
      </c>
      <c r="MU14" s="40" t="str">
        <f t="shared" si="106"/>
        <v/>
      </c>
      <c r="MV14" s="40" t="str">
        <f t="shared" si="107"/>
        <v/>
      </c>
      <c r="MW14" s="40" t="str">
        <f t="shared" si="108"/>
        <v/>
      </c>
      <c r="MX14" s="40" t="str">
        <f t="shared" si="109"/>
        <v/>
      </c>
      <c r="MY14" s="40" t="str">
        <f t="shared" si="110"/>
        <v/>
      </c>
      <c r="MZ14" s="40" t="str">
        <f t="shared" si="111"/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 t="shared" si="112"/>
        <v/>
      </c>
      <c r="NV14" s="11" t="str">
        <f t="shared" si="113"/>
        <v/>
      </c>
      <c r="NW14" s="11" t="str">
        <f t="shared" si="114"/>
        <v/>
      </c>
      <c r="NX14" s="11" t="str">
        <f t="shared" si="115"/>
        <v/>
      </c>
      <c r="NY14" s="11" t="str">
        <f t="shared" si="116"/>
        <v/>
      </c>
      <c r="NZ14" s="11" t="str">
        <f t="shared" si="117"/>
        <v/>
      </c>
      <c r="OA14" s="11" t="str">
        <f t="shared" si="118"/>
        <v/>
      </c>
      <c r="OB14" s="11" t="str">
        <f t="shared" si="119"/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 t="shared" si="120"/>
        <v/>
      </c>
      <c r="OX14" s="40" t="str">
        <f t="shared" si="121"/>
        <v/>
      </c>
      <c r="OY14" s="40" t="str">
        <f t="shared" si="122"/>
        <v/>
      </c>
      <c r="OZ14" s="40" t="str">
        <f t="shared" si="123"/>
        <v/>
      </c>
      <c r="PA14" s="40" t="str">
        <f t="shared" si="124"/>
        <v/>
      </c>
      <c r="PB14" s="40" t="str">
        <f t="shared" si="125"/>
        <v/>
      </c>
      <c r="PC14" s="40" t="str">
        <f t="shared" si="126"/>
        <v/>
      </c>
      <c r="PD14" s="40" t="str">
        <f t="shared" si="127"/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 t="shared" si="128"/>
        <v/>
      </c>
      <c r="PZ14" s="11" t="str">
        <f t="shared" si="129"/>
        <v/>
      </c>
      <c r="QA14" s="11" t="str">
        <f t="shared" si="130"/>
        <v/>
      </c>
      <c r="QB14" s="11" t="str">
        <f t="shared" si="131"/>
        <v/>
      </c>
      <c r="QC14" s="11" t="str">
        <f t="shared" si="132"/>
        <v/>
      </c>
      <c r="QD14" s="11" t="str">
        <f t="shared" si="133"/>
        <v/>
      </c>
      <c r="QE14" s="11" t="str">
        <f t="shared" si="134"/>
        <v/>
      </c>
      <c r="QF14" s="11" t="str">
        <f t="shared" si="135"/>
        <v/>
      </c>
      <c r="QG14" s="22">
        <f t="shared" si="136"/>
        <v>9.25</v>
      </c>
      <c r="QH14" s="22">
        <f t="shared" si="137"/>
        <v>1.8</v>
      </c>
      <c r="QI14" s="22">
        <f t="shared" si="138"/>
        <v>0.1</v>
      </c>
      <c r="QJ14" s="22">
        <f t="shared" si="139"/>
        <v>0</v>
      </c>
      <c r="QK14" s="22">
        <f t="shared" si="140"/>
        <v>9.4</v>
      </c>
      <c r="QL14" s="22">
        <f t="shared" si="141"/>
        <v>1.75</v>
      </c>
      <c r="QM14" s="22">
        <f t="shared" si="142"/>
        <v>0</v>
      </c>
      <c r="QN14" s="22">
        <f t="shared" si="143"/>
        <v>0</v>
      </c>
      <c r="QO14" s="22">
        <f t="shared" si="144"/>
        <v>9.5</v>
      </c>
      <c r="QP14" s="22">
        <f t="shared" si="145"/>
        <v>1.85</v>
      </c>
      <c r="QQ14" s="22">
        <f t="shared" si="146"/>
        <v>0</v>
      </c>
      <c r="QR14" s="22">
        <f t="shared" si="147"/>
        <v>0</v>
      </c>
      <c r="QS14" s="22">
        <f t="shared" si="148"/>
        <v>9.5500000000000007</v>
      </c>
      <c r="QT14" s="22">
        <f t="shared" si="149"/>
        <v>1.75</v>
      </c>
      <c r="QU14" s="22">
        <f t="shared" si="150"/>
        <v>0</v>
      </c>
      <c r="QV14" s="22">
        <f t="shared" si="151"/>
        <v>0</v>
      </c>
      <c r="QW14" s="22">
        <f t="shared" si="152"/>
        <v>9.3000000000000007</v>
      </c>
      <c r="QX14" s="22">
        <f t="shared" si="153"/>
        <v>1.85</v>
      </c>
      <c r="QY14" s="22">
        <f t="shared" si="154"/>
        <v>0</v>
      </c>
      <c r="QZ14" s="22">
        <f t="shared" si="155"/>
        <v>0</v>
      </c>
      <c r="RA14" s="27" t="s">
        <v>46</v>
      </c>
      <c r="RB14" s="40">
        <f t="shared" si="156"/>
        <v>3.55</v>
      </c>
      <c r="RC14" s="40">
        <f t="shared" si="157"/>
        <v>22.1</v>
      </c>
      <c r="RD14" s="40">
        <f t="shared" si="158"/>
        <v>11.35</v>
      </c>
      <c r="RE14" s="40">
        <f t="shared" si="159"/>
        <v>5.4</v>
      </c>
      <c r="RF14" s="40">
        <f t="shared" si="160"/>
        <v>33.450000000000003</v>
      </c>
      <c r="RG14" s="40">
        <f t="shared" si="161"/>
        <v>3.6</v>
      </c>
      <c r="RH14" s="40">
        <f t="shared" si="162"/>
        <v>22.450000000000003</v>
      </c>
      <c r="RI14" s="40">
        <f t="shared" si="163"/>
        <v>55.900000000000006</v>
      </c>
    </row>
    <row r="15" spans="1:477" x14ac:dyDescent="0.2">
      <c r="A15" s="4" t="str" cm="1">
        <f t="array" ref="A15">IF(AND(J15&lt;&gt;"",J15&lt;&gt;"No DD"),SUMPRODUCT((J$4:J$27&lt;&gt;"")*(J$4:J$27&lt;&gt;"No DD")*(F$4:F$27&gt;F15))+1,IF(J15="No DD",SUMPRODUCT((J$4:J$27="No DD")*(F$4:F$27&gt;F15))+1+SUMPRODUCT((J$4:J$27&lt;&gt;"")*(J$4:J$27&lt;&gt;"No DD")),""))</f>
        <v/>
      </c>
      <c r="B15" s="4" t="str" cm="1">
        <f t="array" ref="B15">IF(AND(J15&lt;&gt;"",J15&lt;&gt;"No DD",G15=""),SUMPRODUCT((J$4:J$27&lt;&gt;"")*(J$4:J$27&lt;&gt;"No DD")*(G$4:G$27="")*(F$4:F$27&gt;F15))+1,IF(J15="No DD",SUMPRODUCT((J$4:J$27="No DD")*(F$4:F$27&gt;F15)*(G$4:G$27=""))+1+SUMPRODUCT((J$4:J$27&lt;&gt;"")*(G$4:G$27="")*(J$4:J$27&lt;&gt;"No DD")),""))</f>
        <v/>
      </c>
      <c r="C15" s="5" t="s">
        <v>144</v>
      </c>
      <c r="D15" s="4" t="s">
        <v>31</v>
      </c>
      <c r="E15" s="4">
        <v>2003</v>
      </c>
      <c r="F15" s="9">
        <f t="shared" si="0"/>
        <v>154.00001094000453</v>
      </c>
      <c r="G15" s="66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IF(COUNT(AS15,BV15,CY15)&gt;0,LARGE((AS15,BV15,CY15),1),0)</f>
        <v>45.300000000000011</v>
      </c>
      <c r="M15" s="8" t="str">
        <f t="shared" si="5"/>
        <v>2023 Elite Canada</v>
      </c>
      <c r="N15" s="8">
        <f>IF(COUNT(AS15,BV15,CY15)&gt;1,LARGE((AS15,BV15,CY15),2),0)</f>
        <v>41.8</v>
      </c>
      <c r="O15" s="8" t="str">
        <f t="shared" si="6"/>
        <v>2023 3rd Domestic Trial</v>
      </c>
      <c r="P15" s="8">
        <f>IF(COUNT(AT15,BW15,CZ15)&gt;0,LARGE((AT15,BW15,CZ15),1),0)</f>
        <v>22.3</v>
      </c>
      <c r="Q15" s="8" t="str">
        <f t="shared" si="7"/>
        <v>2023 3rd Domestic Trial</v>
      </c>
      <c r="R15" s="8">
        <f t="shared" si="8"/>
        <v>44.600000000000009</v>
      </c>
      <c r="S15" s="8" t="str">
        <f t="shared" si="9"/>
        <v>2023 Elite Canada</v>
      </c>
      <c r="T15" s="8" t="str">
        <f t="shared" si="10"/>
        <v/>
      </c>
      <c r="U15" s="11" t="str">
        <f t="shared" si="11"/>
        <v/>
      </c>
      <c r="V15" s="8" t="str">
        <f t="shared" si="12"/>
        <v/>
      </c>
      <c r="W15" s="19">
        <v>18.100000000000001</v>
      </c>
      <c r="X15" s="19">
        <v>5.2</v>
      </c>
      <c r="Y15" s="19">
        <v>0.8</v>
      </c>
      <c r="Z15" s="19">
        <v>0.3</v>
      </c>
      <c r="AA15" s="19">
        <v>18.100000000000001</v>
      </c>
      <c r="AB15" s="19">
        <v>5.2</v>
      </c>
      <c r="AC15" s="19">
        <v>0.8</v>
      </c>
      <c r="AD15" s="19">
        <v>0</v>
      </c>
      <c r="AE15" s="19">
        <v>18.600000000000001</v>
      </c>
      <c r="AF15" s="19">
        <v>3.7</v>
      </c>
      <c r="AG15" s="19">
        <v>0</v>
      </c>
      <c r="AH15" s="19">
        <v>0</v>
      </c>
      <c r="AI15" s="19">
        <v>18.600000000000001</v>
      </c>
      <c r="AJ15" s="19">
        <v>5.2</v>
      </c>
      <c r="AK15" s="19">
        <v>0.2</v>
      </c>
      <c r="AL15" s="19">
        <v>0.3</v>
      </c>
      <c r="AM15" s="19">
        <v>16.3</v>
      </c>
      <c r="AN15" s="19">
        <v>5.2</v>
      </c>
      <c r="AO15" s="19">
        <v>0.8</v>
      </c>
      <c r="AP15" s="19">
        <v>0</v>
      </c>
      <c r="AQ15" s="27"/>
      <c r="AR15" s="40">
        <f t="shared" si="13"/>
        <v>10.4</v>
      </c>
      <c r="AS15" s="40">
        <f t="shared" si="14"/>
        <v>45.300000000000011</v>
      </c>
      <c r="AT15" s="40">
        <f t="shared" si="15"/>
        <v>22.3</v>
      </c>
      <c r="AU15" s="40">
        <f t="shared" si="16"/>
        <v>14.100000000000001</v>
      </c>
      <c r="AV15" s="40">
        <f t="shared" si="17"/>
        <v>67.600000000000009</v>
      </c>
      <c r="AW15" s="40">
        <f t="shared" si="18"/>
        <v>10.4</v>
      </c>
      <c r="AX15" s="40">
        <f t="shared" si="19"/>
        <v>44.600000000000009</v>
      </c>
      <c r="AY15" s="40">
        <f t="shared" si="20"/>
        <v>112.20000000000002</v>
      </c>
      <c r="AZ15" s="18">
        <v>17.3</v>
      </c>
      <c r="BA15" s="18">
        <v>2.8</v>
      </c>
      <c r="BB15" s="18">
        <v>0</v>
      </c>
      <c r="BC15" s="18">
        <v>0.3</v>
      </c>
      <c r="BD15" s="18">
        <v>17.2</v>
      </c>
      <c r="BE15" s="18">
        <v>2.4</v>
      </c>
      <c r="BF15" s="18">
        <v>0</v>
      </c>
      <c r="BG15" s="18">
        <v>0</v>
      </c>
      <c r="BH15" s="18">
        <v>17.399999999999999</v>
      </c>
      <c r="BI15" s="18">
        <v>0.9</v>
      </c>
      <c r="BJ15" s="18">
        <v>0</v>
      </c>
      <c r="BK15" s="18">
        <v>0</v>
      </c>
      <c r="BL15" s="18"/>
      <c r="BM15" s="18"/>
      <c r="BN15" s="18"/>
      <c r="BO15" s="18"/>
      <c r="BP15" s="18"/>
      <c r="BQ15" s="18"/>
      <c r="BR15" s="18"/>
      <c r="BS15" s="18"/>
      <c r="BT15" s="28"/>
      <c r="BU15" s="11">
        <f t="shared" si="21"/>
        <v>5.1999999999999993</v>
      </c>
      <c r="BV15" s="11">
        <f t="shared" si="22"/>
        <v>40</v>
      </c>
      <c r="BW15" s="11">
        <f t="shared" si="23"/>
        <v>18.299999999999997</v>
      </c>
      <c r="BX15" s="11">
        <f t="shared" si="24"/>
        <v>6.1</v>
      </c>
      <c r="BY15" s="11">
        <f t="shared" si="25"/>
        <v>58.3</v>
      </c>
      <c r="BZ15" s="11" t="str">
        <f t="shared" si="26"/>
        <v/>
      </c>
      <c r="CA15" s="11" t="str">
        <f t="shared" si="27"/>
        <v/>
      </c>
      <c r="CB15" s="11">
        <f t="shared" si="28"/>
        <v>58.3</v>
      </c>
      <c r="CC15" s="19">
        <v>17.600000000000001</v>
      </c>
      <c r="CD15" s="19">
        <v>5.1999999999999993</v>
      </c>
      <c r="CE15" s="19">
        <v>0.8</v>
      </c>
      <c r="CF15" s="19">
        <v>0</v>
      </c>
      <c r="CG15" s="19">
        <v>17.2</v>
      </c>
      <c r="CH15" s="19">
        <v>2.8</v>
      </c>
      <c r="CI15" s="19">
        <v>0.2</v>
      </c>
      <c r="CJ15" s="19">
        <v>0</v>
      </c>
      <c r="CK15" s="19">
        <v>18.600000000000001</v>
      </c>
      <c r="CL15" s="19">
        <v>3.6999999999999997</v>
      </c>
      <c r="CM15" s="19">
        <v>0</v>
      </c>
      <c r="CN15" s="19">
        <v>0</v>
      </c>
      <c r="CO15" s="19">
        <v>18.2</v>
      </c>
      <c r="CP15" s="19">
        <v>4.4000000000000004</v>
      </c>
      <c r="CQ15" s="19">
        <v>0.4</v>
      </c>
      <c r="CR15" s="19">
        <v>0</v>
      </c>
      <c r="CS15" s="19">
        <v>17.2</v>
      </c>
      <c r="CT15" s="19">
        <v>0</v>
      </c>
      <c r="CU15" s="19">
        <v>0</v>
      </c>
      <c r="CV15" s="19">
        <v>0</v>
      </c>
      <c r="CW15" s="27"/>
      <c r="CX15" s="40">
        <f t="shared" si="29"/>
        <v>7.9999999999999991</v>
      </c>
      <c r="CY15" s="40">
        <f t="shared" si="30"/>
        <v>41.8</v>
      </c>
      <c r="CZ15" s="40">
        <f t="shared" si="31"/>
        <v>22.3</v>
      </c>
      <c r="DA15" s="40">
        <f t="shared" si="32"/>
        <v>11.7</v>
      </c>
      <c r="DB15" s="40">
        <f t="shared" si="33"/>
        <v>64.099999999999994</v>
      </c>
      <c r="DC15" s="40">
        <f t="shared" si="34"/>
        <v>4.4000000000000004</v>
      </c>
      <c r="DD15" s="40">
        <f t="shared" si="35"/>
        <v>39.4</v>
      </c>
      <c r="DE15" s="40">
        <f t="shared" si="36"/>
        <v>103.5</v>
      </c>
      <c r="DF15" s="50" t="str">
        <f t="shared" si="37"/>
        <v/>
      </c>
      <c r="DG15" s="50" t="str">
        <f t="shared" si="38"/>
        <v/>
      </c>
      <c r="DH15" s="50" t="str">
        <f t="shared" si="39"/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 t="shared" si="40"/>
        <v/>
      </c>
      <c r="ED15" s="40" t="str">
        <f t="shared" si="41"/>
        <v/>
      </c>
      <c r="EE15" s="40" t="str">
        <f t="shared" si="42"/>
        <v/>
      </c>
      <c r="EF15" s="40" t="str">
        <f t="shared" si="43"/>
        <v/>
      </c>
      <c r="EG15" s="40" t="str">
        <f t="shared" si="44"/>
        <v/>
      </c>
      <c r="EH15" s="40" t="str">
        <f t="shared" si="45"/>
        <v/>
      </c>
      <c r="EI15" s="40" t="str">
        <f t="shared" si="46"/>
        <v/>
      </c>
      <c r="EJ15" s="40" t="str">
        <f t="shared" si="47"/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 t="shared" si="48"/>
        <v/>
      </c>
      <c r="FF15" s="11" t="str">
        <f t="shared" si="49"/>
        <v/>
      </c>
      <c r="FG15" s="11" t="str">
        <f t="shared" si="50"/>
        <v/>
      </c>
      <c r="FH15" s="11" t="str">
        <f t="shared" si="51"/>
        <v/>
      </c>
      <c r="FI15" s="11" t="str">
        <f t="shared" si="52"/>
        <v/>
      </c>
      <c r="FJ15" s="11" t="str">
        <f t="shared" si="53"/>
        <v/>
      </c>
      <c r="FK15" s="11" t="str">
        <f t="shared" si="54"/>
        <v/>
      </c>
      <c r="FL15" s="11" t="str">
        <f t="shared" si="55"/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 t="shared" si="56"/>
        <v/>
      </c>
      <c r="GH15" s="40" t="str">
        <f t="shared" si="57"/>
        <v/>
      </c>
      <c r="GI15" s="40" t="str">
        <f t="shared" si="58"/>
        <v/>
      </c>
      <c r="GJ15" s="40" t="str">
        <f t="shared" si="59"/>
        <v/>
      </c>
      <c r="GK15" s="40" t="str">
        <f t="shared" si="60"/>
        <v/>
      </c>
      <c r="GL15" s="40" t="str">
        <f t="shared" si="61"/>
        <v/>
      </c>
      <c r="GM15" s="40" t="str">
        <f t="shared" si="62"/>
        <v/>
      </c>
      <c r="GN15" s="40" t="str">
        <f t="shared" si="63"/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 t="shared" si="64"/>
        <v/>
      </c>
      <c r="HJ15" s="11" t="str">
        <f t="shared" si="65"/>
        <v/>
      </c>
      <c r="HK15" s="11" t="str">
        <f t="shared" si="66"/>
        <v/>
      </c>
      <c r="HL15" s="11" t="str">
        <f t="shared" si="67"/>
        <v/>
      </c>
      <c r="HM15" s="11" t="str">
        <f t="shared" si="68"/>
        <v/>
      </c>
      <c r="HN15" s="11" t="str">
        <f t="shared" si="69"/>
        <v/>
      </c>
      <c r="HO15" s="11" t="str">
        <f t="shared" si="70"/>
        <v/>
      </c>
      <c r="HP15" s="11" t="str">
        <f t="shared" si="71"/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 t="shared" si="72"/>
        <v/>
      </c>
      <c r="IL15" s="40" t="str">
        <f t="shared" si="73"/>
        <v/>
      </c>
      <c r="IM15" s="40" t="str">
        <f t="shared" si="74"/>
        <v/>
      </c>
      <c r="IN15" s="40" t="str">
        <f t="shared" si="75"/>
        <v/>
      </c>
      <c r="IO15" s="40" t="str">
        <f t="shared" si="76"/>
        <v/>
      </c>
      <c r="IP15" s="40" t="str">
        <f t="shared" si="77"/>
        <v/>
      </c>
      <c r="IQ15" s="40" t="str">
        <f t="shared" si="78"/>
        <v/>
      </c>
      <c r="IR15" s="40" t="str">
        <f t="shared" si="79"/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 t="shared" si="80"/>
        <v/>
      </c>
      <c r="JN15" s="11" t="str">
        <f t="shared" si="81"/>
        <v/>
      </c>
      <c r="JO15" s="11" t="str">
        <f t="shared" si="82"/>
        <v/>
      </c>
      <c r="JP15" s="11" t="str">
        <f t="shared" si="83"/>
        <v/>
      </c>
      <c r="JQ15" s="11" t="str">
        <f t="shared" si="84"/>
        <v/>
      </c>
      <c r="JR15" s="11" t="str">
        <f t="shared" si="85"/>
        <v/>
      </c>
      <c r="JS15" s="11" t="str">
        <f t="shared" si="86"/>
        <v/>
      </c>
      <c r="JT15" s="11" t="str">
        <f t="shared" si="87"/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 t="shared" si="88"/>
        <v/>
      </c>
      <c r="KP15" s="40" t="str">
        <f t="shared" si="89"/>
        <v/>
      </c>
      <c r="KQ15" s="40" t="str">
        <f t="shared" si="90"/>
        <v/>
      </c>
      <c r="KR15" s="40" t="str">
        <f t="shared" si="91"/>
        <v/>
      </c>
      <c r="KS15" s="40" t="str">
        <f t="shared" si="92"/>
        <v/>
      </c>
      <c r="KT15" s="40" t="str">
        <f t="shared" si="93"/>
        <v/>
      </c>
      <c r="KU15" s="40" t="str">
        <f t="shared" si="94"/>
        <v/>
      </c>
      <c r="KV15" s="40" t="str">
        <f t="shared" si="95"/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 t="shared" si="96"/>
        <v/>
      </c>
      <c r="LR15" s="11" t="str">
        <f t="shared" si="97"/>
        <v/>
      </c>
      <c r="LS15" s="11" t="str">
        <f t="shared" si="98"/>
        <v/>
      </c>
      <c r="LT15" s="11" t="str">
        <f t="shared" si="99"/>
        <v/>
      </c>
      <c r="LU15" s="11" t="str">
        <f t="shared" si="100"/>
        <v/>
      </c>
      <c r="LV15" s="11" t="str">
        <f t="shared" si="101"/>
        <v/>
      </c>
      <c r="LW15" s="11" t="str">
        <f t="shared" si="102"/>
        <v/>
      </c>
      <c r="LX15" s="11" t="str">
        <f t="shared" si="103"/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 t="shared" si="104"/>
        <v/>
      </c>
      <c r="MT15" s="40" t="str">
        <f t="shared" si="105"/>
        <v/>
      </c>
      <c r="MU15" s="40" t="str">
        <f t="shared" si="106"/>
        <v/>
      </c>
      <c r="MV15" s="40" t="str">
        <f t="shared" si="107"/>
        <v/>
      </c>
      <c r="MW15" s="40" t="str">
        <f t="shared" si="108"/>
        <v/>
      </c>
      <c r="MX15" s="40" t="str">
        <f t="shared" si="109"/>
        <v/>
      </c>
      <c r="MY15" s="40" t="str">
        <f t="shared" si="110"/>
        <v/>
      </c>
      <c r="MZ15" s="40" t="str">
        <f t="shared" si="111"/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 t="shared" si="112"/>
        <v/>
      </c>
      <c r="NV15" s="11" t="str">
        <f t="shared" si="113"/>
        <v/>
      </c>
      <c r="NW15" s="11" t="str">
        <f t="shared" si="114"/>
        <v/>
      </c>
      <c r="NX15" s="11" t="str">
        <f t="shared" si="115"/>
        <v/>
      </c>
      <c r="NY15" s="11" t="str">
        <f t="shared" si="116"/>
        <v/>
      </c>
      <c r="NZ15" s="11" t="str">
        <f t="shared" si="117"/>
        <v/>
      </c>
      <c r="OA15" s="11" t="str">
        <f t="shared" si="118"/>
        <v/>
      </c>
      <c r="OB15" s="11" t="str">
        <f t="shared" si="119"/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 t="shared" si="120"/>
        <v/>
      </c>
      <c r="OX15" s="40" t="str">
        <f t="shared" si="121"/>
        <v/>
      </c>
      <c r="OY15" s="40" t="str">
        <f t="shared" si="122"/>
        <v/>
      </c>
      <c r="OZ15" s="40" t="str">
        <f t="shared" si="123"/>
        <v/>
      </c>
      <c r="PA15" s="40" t="str">
        <f t="shared" si="124"/>
        <v/>
      </c>
      <c r="PB15" s="40" t="str">
        <f t="shared" si="125"/>
        <v/>
      </c>
      <c r="PC15" s="40" t="str">
        <f t="shared" si="126"/>
        <v/>
      </c>
      <c r="PD15" s="40" t="str">
        <f t="shared" si="127"/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 t="shared" si="128"/>
        <v/>
      </c>
      <c r="PZ15" s="11" t="str">
        <f t="shared" si="129"/>
        <v/>
      </c>
      <c r="QA15" s="11" t="str">
        <f t="shared" si="130"/>
        <v/>
      </c>
      <c r="QB15" s="11" t="str">
        <f t="shared" si="131"/>
        <v/>
      </c>
      <c r="QC15" s="11" t="str">
        <f t="shared" si="132"/>
        <v/>
      </c>
      <c r="QD15" s="11" t="str">
        <f t="shared" si="133"/>
        <v/>
      </c>
      <c r="QE15" s="11" t="str">
        <f t="shared" si="134"/>
        <v/>
      </c>
      <c r="QF15" s="11" t="str">
        <f t="shared" si="135"/>
        <v/>
      </c>
      <c r="QG15" s="22">
        <f t="shared" si="136"/>
        <v>17.450000000000003</v>
      </c>
      <c r="QH15" s="22">
        <f t="shared" si="137"/>
        <v>3.9999999999999996</v>
      </c>
      <c r="QI15" s="22">
        <f t="shared" si="138"/>
        <v>0.4</v>
      </c>
      <c r="QJ15" s="22">
        <f t="shared" si="139"/>
        <v>0.15</v>
      </c>
      <c r="QK15" s="22">
        <f t="shared" si="140"/>
        <v>17.2</v>
      </c>
      <c r="QL15" s="22">
        <f t="shared" si="141"/>
        <v>2.5999999999999996</v>
      </c>
      <c r="QM15" s="22">
        <f t="shared" si="142"/>
        <v>0.1</v>
      </c>
      <c r="QN15" s="22">
        <f t="shared" si="143"/>
        <v>0</v>
      </c>
      <c r="QO15" s="22">
        <f t="shared" si="144"/>
        <v>18</v>
      </c>
      <c r="QP15" s="22">
        <f t="shared" si="145"/>
        <v>2.2999999999999998</v>
      </c>
      <c r="QQ15" s="22">
        <f t="shared" si="146"/>
        <v>0</v>
      </c>
      <c r="QR15" s="22">
        <f t="shared" si="147"/>
        <v>0</v>
      </c>
      <c r="QS15" s="22">
        <f t="shared" si="148"/>
        <v>9.1</v>
      </c>
      <c r="QT15" s="22">
        <f t="shared" si="149"/>
        <v>2.2000000000000002</v>
      </c>
      <c r="QU15" s="22">
        <f t="shared" si="150"/>
        <v>0.2</v>
      </c>
      <c r="QV15" s="22">
        <f t="shared" si="151"/>
        <v>0</v>
      </c>
      <c r="QW15" s="22">
        <f t="shared" si="152"/>
        <v>8.6</v>
      </c>
      <c r="QX15" s="22">
        <f t="shared" si="153"/>
        <v>0</v>
      </c>
      <c r="QY15" s="22">
        <f t="shared" si="154"/>
        <v>0</v>
      </c>
      <c r="QZ15" s="22">
        <f t="shared" si="155"/>
        <v>0</v>
      </c>
      <c r="RA15" s="27" t="s">
        <v>46</v>
      </c>
      <c r="RB15" s="40">
        <f t="shared" si="156"/>
        <v>6.6</v>
      </c>
      <c r="RC15" s="40">
        <f t="shared" si="157"/>
        <v>40.9</v>
      </c>
      <c r="RD15" s="40">
        <f t="shared" si="158"/>
        <v>20.3</v>
      </c>
      <c r="RE15" s="40">
        <f t="shared" si="159"/>
        <v>8.8999999999999986</v>
      </c>
      <c r="RF15" s="40">
        <f t="shared" si="160"/>
        <v>61.2</v>
      </c>
      <c r="RG15" s="40">
        <f t="shared" si="161"/>
        <v>2.2000000000000002</v>
      </c>
      <c r="RH15" s="40">
        <f t="shared" si="162"/>
        <v>19.7</v>
      </c>
      <c r="RI15" s="40">
        <f t="shared" si="163"/>
        <v>80.900000000000006</v>
      </c>
    </row>
    <row r="16" spans="1:477" x14ac:dyDescent="0.2">
      <c r="A16" s="4" t="str" cm="1">
        <f t="array" ref="A16">IF(AND(J16&lt;&gt;"",J16&lt;&gt;"No DD"),SUMPRODUCT((J$4:J$27&lt;&gt;"")*(J$4:J$27&lt;&gt;"No DD")*(F$4:F$27&gt;F16))+1,IF(J16="No DD",SUMPRODUCT((J$4:J$27="No DD")*(F$4:F$27&gt;F16))+1+SUMPRODUCT((J$4:J$27&lt;&gt;"")*(J$4:J$27&lt;&gt;"No DD")),""))</f>
        <v/>
      </c>
      <c r="B16" s="4" t="str" cm="1">
        <f t="array" ref="B16">IF(AND(J16&lt;&gt;"",J16&lt;&gt;"No DD",G16=""),SUMPRODUCT((J$4:J$27&lt;&gt;"")*(J$4:J$27&lt;&gt;"No DD")*(G$4:G$27="")*(F$4:F$27&gt;F16))+1,IF(J16="No DD",SUMPRODUCT((J$4:J$27="No DD")*(F$4:F$27&gt;F16)*(G$4:G$27=""))+1+SUMPRODUCT((J$4:J$27&lt;&gt;"")*(G$4:G$27="")*(J$4:J$27&lt;&gt;"No DD")),""))</f>
        <v/>
      </c>
      <c r="C16" s="5" t="s">
        <v>158</v>
      </c>
      <c r="D16" s="4" t="s">
        <v>5</v>
      </c>
      <c r="E16" s="4">
        <v>2005</v>
      </c>
      <c r="F16" s="9">
        <f t="shared" si="0"/>
        <v>153.00001103000443</v>
      </c>
      <c r="G16" s="66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IF(COUNT(AS16,BV16,CY16)&gt;0,LARGE((AS16,BV16,CY16),1),0)</f>
        <v>44.3</v>
      </c>
      <c r="M16" s="8" t="str">
        <f t="shared" si="5"/>
        <v>2023 3rd Domestic Trial</v>
      </c>
      <c r="N16" s="8">
        <f>IF(COUNT(AS16,BV16,CY16)&gt;1,LARGE((AS16,BV16,CY16),2),0)</f>
        <v>43.6</v>
      </c>
      <c r="O16" s="8" t="str">
        <f t="shared" si="6"/>
        <v>2023 Nationals</v>
      </c>
      <c r="P16" s="8">
        <f>IF(COUNT(AT16,BW16,CZ16)&gt;0,LARGE((AT16,BW16,CZ16),1),0)</f>
        <v>22.4</v>
      </c>
      <c r="Q16" s="8" t="str">
        <f t="shared" si="7"/>
        <v>2023 Elite Canada</v>
      </c>
      <c r="R16" s="8">
        <f t="shared" si="8"/>
        <v>42.7</v>
      </c>
      <c r="S16" s="8" t="str">
        <f t="shared" si="9"/>
        <v>2023 Elite Canada</v>
      </c>
      <c r="T16" s="8" t="str">
        <f t="shared" si="10"/>
        <v/>
      </c>
      <c r="U16" s="11" t="str">
        <f t="shared" si="11"/>
        <v/>
      </c>
      <c r="V16" s="8" t="str">
        <f t="shared" si="12"/>
        <v/>
      </c>
      <c r="W16" s="19">
        <v>17</v>
      </c>
      <c r="X16" s="19">
        <v>2.4</v>
      </c>
      <c r="Y16" s="19">
        <v>0</v>
      </c>
      <c r="Z16" s="19">
        <v>0</v>
      </c>
      <c r="AA16" s="19">
        <v>18.600000000000001</v>
      </c>
      <c r="AB16" s="19">
        <v>3.6</v>
      </c>
      <c r="AC16" s="19">
        <v>0</v>
      </c>
      <c r="AD16" s="19">
        <v>0</v>
      </c>
      <c r="AE16" s="19">
        <v>18.899999999999999</v>
      </c>
      <c r="AF16" s="19">
        <v>3.5</v>
      </c>
      <c r="AG16" s="19">
        <v>0</v>
      </c>
      <c r="AH16" s="19">
        <v>0</v>
      </c>
      <c r="AI16" s="19">
        <v>18.2</v>
      </c>
      <c r="AJ16" s="19">
        <v>2.7</v>
      </c>
      <c r="AK16" s="19">
        <v>0.3</v>
      </c>
      <c r="AL16" s="19">
        <v>0</v>
      </c>
      <c r="AM16" s="19">
        <v>18.5</v>
      </c>
      <c r="AN16" s="19">
        <v>3.6</v>
      </c>
      <c r="AO16" s="19">
        <v>0</v>
      </c>
      <c r="AP16" s="19">
        <v>0</v>
      </c>
      <c r="AQ16" s="27"/>
      <c r="AR16" s="40">
        <f t="shared" si="13"/>
        <v>6</v>
      </c>
      <c r="AS16" s="40">
        <f t="shared" si="14"/>
        <v>41.6</v>
      </c>
      <c r="AT16" s="40">
        <f t="shared" si="15"/>
        <v>22.4</v>
      </c>
      <c r="AU16" s="40">
        <f t="shared" si="16"/>
        <v>9.5</v>
      </c>
      <c r="AV16" s="40">
        <f t="shared" si="17"/>
        <v>64</v>
      </c>
      <c r="AW16" s="40">
        <f t="shared" si="18"/>
        <v>6.3000000000000007</v>
      </c>
      <c r="AX16" s="40">
        <f t="shared" si="19"/>
        <v>42.7</v>
      </c>
      <c r="AY16" s="40">
        <f t="shared" si="20"/>
        <v>106.7</v>
      </c>
      <c r="AZ16" s="18">
        <v>18.3</v>
      </c>
      <c r="BA16" s="18">
        <v>3.1</v>
      </c>
      <c r="BB16" s="18">
        <v>0</v>
      </c>
      <c r="BC16" s="18">
        <v>0</v>
      </c>
      <c r="BD16" s="18">
        <v>17.8</v>
      </c>
      <c r="BE16" s="18">
        <v>4.4000000000000004</v>
      </c>
      <c r="BF16" s="18">
        <v>0</v>
      </c>
      <c r="BG16" s="18">
        <v>0</v>
      </c>
      <c r="BH16" s="18">
        <v>18.899999999999999</v>
      </c>
      <c r="BI16" s="18">
        <v>1.2</v>
      </c>
      <c r="BJ16" s="18">
        <v>1.2</v>
      </c>
      <c r="BK16" s="18">
        <v>0</v>
      </c>
      <c r="BL16" s="18">
        <v>17.7</v>
      </c>
      <c r="BM16" s="18">
        <v>4.4000000000000004</v>
      </c>
      <c r="BN16" s="18">
        <v>0.4</v>
      </c>
      <c r="BO16" s="18">
        <v>0</v>
      </c>
      <c r="BP16" s="18">
        <v>17.2</v>
      </c>
      <c r="BQ16" s="18">
        <v>2.8</v>
      </c>
      <c r="BR16" s="18">
        <v>0</v>
      </c>
      <c r="BS16" s="18">
        <v>0.3</v>
      </c>
      <c r="BT16" s="28"/>
      <c r="BU16" s="11">
        <f t="shared" si="21"/>
        <v>7.5</v>
      </c>
      <c r="BV16" s="11">
        <f t="shared" si="22"/>
        <v>43.6</v>
      </c>
      <c r="BW16" s="11">
        <f t="shared" si="23"/>
        <v>18.899999999999999</v>
      </c>
      <c r="BX16" s="11">
        <f t="shared" si="24"/>
        <v>8.6999999999999993</v>
      </c>
      <c r="BY16" s="11">
        <f t="shared" si="25"/>
        <v>62.5</v>
      </c>
      <c r="BZ16" s="11">
        <f t="shared" si="26"/>
        <v>7.2</v>
      </c>
      <c r="CA16" s="11">
        <f t="shared" si="27"/>
        <v>41.999999999999993</v>
      </c>
      <c r="CB16" s="11">
        <f t="shared" si="28"/>
        <v>104.5</v>
      </c>
      <c r="CC16" s="19">
        <v>18.2</v>
      </c>
      <c r="CD16" s="19">
        <v>4.4000000000000004</v>
      </c>
      <c r="CE16" s="19">
        <v>0.8</v>
      </c>
      <c r="CF16" s="19">
        <v>0</v>
      </c>
      <c r="CG16" s="19">
        <v>17.2</v>
      </c>
      <c r="CH16" s="19">
        <v>5.1999999999999993</v>
      </c>
      <c r="CI16" s="19">
        <v>0.2</v>
      </c>
      <c r="CJ16" s="19">
        <v>0.3</v>
      </c>
      <c r="CK16" s="19">
        <v>17.5</v>
      </c>
      <c r="CL16" s="19">
        <v>1.2</v>
      </c>
      <c r="CM16" s="19">
        <v>0</v>
      </c>
      <c r="CN16" s="19">
        <v>0</v>
      </c>
      <c r="CO16" s="19">
        <v>18.399999999999999</v>
      </c>
      <c r="CP16" s="19">
        <v>3.2</v>
      </c>
      <c r="CQ16" s="19">
        <v>0.2</v>
      </c>
      <c r="CR16" s="19">
        <v>0</v>
      </c>
      <c r="CS16" s="19">
        <v>17</v>
      </c>
      <c r="CT16" s="19">
        <v>2.4</v>
      </c>
      <c r="CU16" s="19">
        <v>0</v>
      </c>
      <c r="CV16" s="19">
        <v>0</v>
      </c>
      <c r="CW16" s="27"/>
      <c r="CX16" s="40">
        <f t="shared" si="29"/>
        <v>9.6</v>
      </c>
      <c r="CY16" s="40">
        <f t="shared" si="30"/>
        <v>44.3</v>
      </c>
      <c r="CZ16" s="40">
        <f t="shared" si="31"/>
        <v>18.7</v>
      </c>
      <c r="DA16" s="40">
        <f t="shared" si="32"/>
        <v>10.799999999999999</v>
      </c>
      <c r="DB16" s="40">
        <f t="shared" si="33"/>
        <v>63</v>
      </c>
      <c r="DC16" s="40">
        <f t="shared" si="34"/>
        <v>5.6</v>
      </c>
      <c r="DD16" s="40">
        <f t="shared" si="35"/>
        <v>40.79999999999999</v>
      </c>
      <c r="DE16" s="40">
        <f t="shared" si="36"/>
        <v>103.79999999999998</v>
      </c>
      <c r="DF16" s="50" t="str">
        <f t="shared" si="37"/>
        <v/>
      </c>
      <c r="DG16" s="50" t="str">
        <f t="shared" si="38"/>
        <v/>
      </c>
      <c r="DH16" s="50" t="str">
        <f t="shared" si="39"/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 t="shared" si="40"/>
        <v/>
      </c>
      <c r="ED16" s="40" t="str">
        <f t="shared" si="41"/>
        <v/>
      </c>
      <c r="EE16" s="40" t="str">
        <f t="shared" si="42"/>
        <v/>
      </c>
      <c r="EF16" s="40" t="str">
        <f t="shared" si="43"/>
        <v/>
      </c>
      <c r="EG16" s="40" t="str">
        <f t="shared" si="44"/>
        <v/>
      </c>
      <c r="EH16" s="40" t="str">
        <f t="shared" si="45"/>
        <v/>
      </c>
      <c r="EI16" s="40" t="str">
        <f t="shared" si="46"/>
        <v/>
      </c>
      <c r="EJ16" s="40" t="str">
        <f t="shared" si="47"/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 t="shared" si="48"/>
        <v/>
      </c>
      <c r="FF16" s="11" t="str">
        <f t="shared" si="49"/>
        <v/>
      </c>
      <c r="FG16" s="11" t="str">
        <f t="shared" si="50"/>
        <v/>
      </c>
      <c r="FH16" s="11" t="str">
        <f t="shared" si="51"/>
        <v/>
      </c>
      <c r="FI16" s="11" t="str">
        <f t="shared" si="52"/>
        <v/>
      </c>
      <c r="FJ16" s="11" t="str">
        <f t="shared" si="53"/>
        <v/>
      </c>
      <c r="FK16" s="11" t="str">
        <f t="shared" si="54"/>
        <v/>
      </c>
      <c r="FL16" s="11" t="str">
        <f t="shared" si="55"/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 t="shared" si="56"/>
        <v/>
      </c>
      <c r="GH16" s="40" t="str">
        <f t="shared" si="57"/>
        <v/>
      </c>
      <c r="GI16" s="40" t="str">
        <f t="shared" si="58"/>
        <v/>
      </c>
      <c r="GJ16" s="40" t="str">
        <f t="shared" si="59"/>
        <v/>
      </c>
      <c r="GK16" s="40" t="str">
        <f t="shared" si="60"/>
        <v/>
      </c>
      <c r="GL16" s="40" t="str">
        <f t="shared" si="61"/>
        <v/>
      </c>
      <c r="GM16" s="40" t="str">
        <f t="shared" si="62"/>
        <v/>
      </c>
      <c r="GN16" s="40" t="str">
        <f t="shared" si="63"/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 t="shared" si="64"/>
        <v/>
      </c>
      <c r="HJ16" s="11" t="str">
        <f t="shared" si="65"/>
        <v/>
      </c>
      <c r="HK16" s="11" t="str">
        <f t="shared" si="66"/>
        <v/>
      </c>
      <c r="HL16" s="11" t="str">
        <f t="shared" si="67"/>
        <v/>
      </c>
      <c r="HM16" s="11" t="str">
        <f t="shared" si="68"/>
        <v/>
      </c>
      <c r="HN16" s="11" t="str">
        <f t="shared" si="69"/>
        <v/>
      </c>
      <c r="HO16" s="11" t="str">
        <f t="shared" si="70"/>
        <v/>
      </c>
      <c r="HP16" s="11" t="str">
        <f t="shared" si="71"/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 t="shared" si="72"/>
        <v/>
      </c>
      <c r="IL16" s="40" t="str">
        <f t="shared" si="73"/>
        <v/>
      </c>
      <c r="IM16" s="40" t="str">
        <f t="shared" si="74"/>
        <v/>
      </c>
      <c r="IN16" s="40" t="str">
        <f t="shared" si="75"/>
        <v/>
      </c>
      <c r="IO16" s="40" t="str">
        <f t="shared" si="76"/>
        <v/>
      </c>
      <c r="IP16" s="40" t="str">
        <f t="shared" si="77"/>
        <v/>
      </c>
      <c r="IQ16" s="40" t="str">
        <f t="shared" si="78"/>
        <v/>
      </c>
      <c r="IR16" s="40" t="str">
        <f t="shared" si="79"/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 t="shared" si="80"/>
        <v/>
      </c>
      <c r="JN16" s="11" t="str">
        <f t="shared" si="81"/>
        <v/>
      </c>
      <c r="JO16" s="11" t="str">
        <f t="shared" si="82"/>
        <v/>
      </c>
      <c r="JP16" s="11" t="str">
        <f t="shared" si="83"/>
        <v/>
      </c>
      <c r="JQ16" s="11" t="str">
        <f t="shared" si="84"/>
        <v/>
      </c>
      <c r="JR16" s="11" t="str">
        <f t="shared" si="85"/>
        <v/>
      </c>
      <c r="JS16" s="11" t="str">
        <f t="shared" si="86"/>
        <v/>
      </c>
      <c r="JT16" s="11" t="str">
        <f t="shared" si="87"/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 t="shared" si="88"/>
        <v/>
      </c>
      <c r="KP16" s="40" t="str">
        <f t="shared" si="89"/>
        <v/>
      </c>
      <c r="KQ16" s="40" t="str">
        <f t="shared" si="90"/>
        <v/>
      </c>
      <c r="KR16" s="40" t="str">
        <f t="shared" si="91"/>
        <v/>
      </c>
      <c r="KS16" s="40" t="str">
        <f t="shared" si="92"/>
        <v/>
      </c>
      <c r="KT16" s="40" t="str">
        <f t="shared" si="93"/>
        <v/>
      </c>
      <c r="KU16" s="40" t="str">
        <f t="shared" si="94"/>
        <v/>
      </c>
      <c r="KV16" s="40" t="str">
        <f t="shared" si="95"/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 t="shared" si="96"/>
        <v/>
      </c>
      <c r="LR16" s="11" t="str">
        <f t="shared" si="97"/>
        <v/>
      </c>
      <c r="LS16" s="11" t="str">
        <f t="shared" si="98"/>
        <v/>
      </c>
      <c r="LT16" s="11" t="str">
        <f t="shared" si="99"/>
        <v/>
      </c>
      <c r="LU16" s="11" t="str">
        <f t="shared" si="100"/>
        <v/>
      </c>
      <c r="LV16" s="11" t="str">
        <f t="shared" si="101"/>
        <v/>
      </c>
      <c r="LW16" s="11" t="str">
        <f t="shared" si="102"/>
        <v/>
      </c>
      <c r="LX16" s="11" t="str">
        <f t="shared" si="103"/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 t="shared" si="104"/>
        <v/>
      </c>
      <c r="MT16" s="40" t="str">
        <f t="shared" si="105"/>
        <v/>
      </c>
      <c r="MU16" s="40" t="str">
        <f t="shared" si="106"/>
        <v/>
      </c>
      <c r="MV16" s="40" t="str">
        <f t="shared" si="107"/>
        <v/>
      </c>
      <c r="MW16" s="40" t="str">
        <f t="shared" si="108"/>
        <v/>
      </c>
      <c r="MX16" s="40" t="str">
        <f t="shared" si="109"/>
        <v/>
      </c>
      <c r="MY16" s="40" t="str">
        <f t="shared" si="110"/>
        <v/>
      </c>
      <c r="MZ16" s="40" t="str">
        <f t="shared" si="111"/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 t="shared" si="112"/>
        <v/>
      </c>
      <c r="NV16" s="11" t="str">
        <f t="shared" si="113"/>
        <v/>
      </c>
      <c r="NW16" s="11" t="str">
        <f t="shared" si="114"/>
        <v/>
      </c>
      <c r="NX16" s="11" t="str">
        <f t="shared" si="115"/>
        <v/>
      </c>
      <c r="NY16" s="11" t="str">
        <f t="shared" si="116"/>
        <v/>
      </c>
      <c r="NZ16" s="11" t="str">
        <f t="shared" si="117"/>
        <v/>
      </c>
      <c r="OA16" s="11" t="str">
        <f t="shared" si="118"/>
        <v/>
      </c>
      <c r="OB16" s="11" t="str">
        <f t="shared" si="119"/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 t="shared" si="120"/>
        <v/>
      </c>
      <c r="OX16" s="40" t="str">
        <f t="shared" si="121"/>
        <v/>
      </c>
      <c r="OY16" s="40" t="str">
        <f t="shared" si="122"/>
        <v/>
      </c>
      <c r="OZ16" s="40" t="str">
        <f t="shared" si="123"/>
        <v/>
      </c>
      <c r="PA16" s="40" t="str">
        <f t="shared" si="124"/>
        <v/>
      </c>
      <c r="PB16" s="40" t="str">
        <f t="shared" si="125"/>
        <v/>
      </c>
      <c r="PC16" s="40" t="str">
        <f t="shared" si="126"/>
        <v/>
      </c>
      <c r="PD16" s="40" t="str">
        <f t="shared" si="127"/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 t="shared" si="128"/>
        <v/>
      </c>
      <c r="PZ16" s="11" t="str">
        <f t="shared" si="129"/>
        <v/>
      </c>
      <c r="QA16" s="11" t="str">
        <f t="shared" si="130"/>
        <v/>
      </c>
      <c r="QB16" s="11" t="str">
        <f t="shared" si="131"/>
        <v/>
      </c>
      <c r="QC16" s="11" t="str">
        <f t="shared" si="132"/>
        <v/>
      </c>
      <c r="QD16" s="11" t="str">
        <f t="shared" si="133"/>
        <v/>
      </c>
      <c r="QE16" s="11" t="str">
        <f t="shared" si="134"/>
        <v/>
      </c>
      <c r="QF16" s="11" t="str">
        <f t="shared" si="135"/>
        <v/>
      </c>
      <c r="QG16" s="22">
        <f t="shared" si="136"/>
        <v>18.25</v>
      </c>
      <c r="QH16" s="22">
        <f t="shared" si="137"/>
        <v>3.75</v>
      </c>
      <c r="QI16" s="22">
        <f t="shared" si="138"/>
        <v>0.4</v>
      </c>
      <c r="QJ16" s="22">
        <f t="shared" si="139"/>
        <v>0</v>
      </c>
      <c r="QK16" s="22">
        <f t="shared" si="140"/>
        <v>17.5</v>
      </c>
      <c r="QL16" s="22">
        <f t="shared" si="141"/>
        <v>4.8</v>
      </c>
      <c r="QM16" s="22">
        <f t="shared" si="142"/>
        <v>0.1</v>
      </c>
      <c r="QN16" s="22">
        <f t="shared" si="143"/>
        <v>0.15</v>
      </c>
      <c r="QO16" s="22">
        <f t="shared" si="144"/>
        <v>18.2</v>
      </c>
      <c r="QP16" s="22">
        <f t="shared" si="145"/>
        <v>1.2</v>
      </c>
      <c r="QQ16" s="22">
        <f t="shared" si="146"/>
        <v>0.6</v>
      </c>
      <c r="QR16" s="22">
        <f t="shared" si="147"/>
        <v>0</v>
      </c>
      <c r="QS16" s="22">
        <f t="shared" si="148"/>
        <v>18.049999999999997</v>
      </c>
      <c r="QT16" s="22">
        <f t="shared" si="149"/>
        <v>3.8000000000000003</v>
      </c>
      <c r="QU16" s="22">
        <f t="shared" si="150"/>
        <v>0.30000000000000004</v>
      </c>
      <c r="QV16" s="22">
        <f t="shared" si="151"/>
        <v>0</v>
      </c>
      <c r="QW16" s="22">
        <f t="shared" si="152"/>
        <v>17.100000000000001</v>
      </c>
      <c r="QX16" s="22">
        <f t="shared" si="153"/>
        <v>2.5999999999999996</v>
      </c>
      <c r="QY16" s="22">
        <f t="shared" si="154"/>
        <v>0</v>
      </c>
      <c r="QZ16" s="22">
        <f t="shared" si="155"/>
        <v>0.15</v>
      </c>
      <c r="RA16" s="27" t="s">
        <v>46</v>
      </c>
      <c r="RB16" s="40">
        <f t="shared" si="156"/>
        <v>8.5500000000000007</v>
      </c>
      <c r="RC16" s="40">
        <f t="shared" si="157"/>
        <v>43.949999999999996</v>
      </c>
      <c r="RD16" s="40">
        <f t="shared" si="158"/>
        <v>18.799999999999997</v>
      </c>
      <c r="RE16" s="40">
        <f t="shared" si="159"/>
        <v>9.75</v>
      </c>
      <c r="RF16" s="40">
        <f t="shared" si="160"/>
        <v>62.749999999999993</v>
      </c>
      <c r="RG16" s="40">
        <f t="shared" si="161"/>
        <v>6.4</v>
      </c>
      <c r="RH16" s="40">
        <f t="shared" si="162"/>
        <v>41.400000000000006</v>
      </c>
      <c r="RI16" s="40">
        <f t="shared" si="163"/>
        <v>104.15</v>
      </c>
    </row>
    <row r="17" spans="1:477" x14ac:dyDescent="0.2">
      <c r="A17" s="4" t="str" cm="1">
        <f t="array" ref="A17">IF(AND(J17&lt;&gt;"",J17&lt;&gt;"No DD"),SUMPRODUCT((J$4:J$27&lt;&gt;"")*(J$4:J$27&lt;&gt;"No DD")*(F$4:F$27&gt;F17))+1,IF(J17="No DD",SUMPRODUCT((J$4:J$27="No DD")*(F$4:F$27&gt;F17))+1+SUMPRODUCT((J$4:J$27&lt;&gt;"")*(J$4:J$27&lt;&gt;"No DD")),""))</f>
        <v/>
      </c>
      <c r="B17" s="4" t="str" cm="1">
        <f t="array" ref="B17">IF(AND(J17&lt;&gt;"",J17&lt;&gt;"No DD",G17=""),SUMPRODUCT((J$4:J$27&lt;&gt;"")*(J$4:J$27&lt;&gt;"No DD")*(G$4:G$27="")*(F$4:F$27&gt;F17))+1,IF(J17="No DD",SUMPRODUCT((J$4:J$27="No DD")*(F$4:F$27&gt;F17)*(G$4:G$27=""))+1+SUMPRODUCT((J$4:J$27&lt;&gt;"")*(G$4:G$27="")*(J$4:J$27&lt;&gt;"No DD")),""))</f>
        <v/>
      </c>
      <c r="C17" s="5" t="s">
        <v>161</v>
      </c>
      <c r="D17" s="4" t="s">
        <v>31</v>
      </c>
      <c r="E17" s="4">
        <v>2005</v>
      </c>
      <c r="F17" s="9">
        <f t="shared" si="0"/>
        <v>151.80001069000437</v>
      </c>
      <c r="G17" s="66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IF(COUNT(AS17,BV17,CY17)&gt;0,LARGE((AS17,BV17,CY17),1),0)</f>
        <v>43.5</v>
      </c>
      <c r="M17" s="8" t="str">
        <f t="shared" si="5"/>
        <v>2023 Nationals</v>
      </c>
      <c r="N17" s="8">
        <f>IF(COUNT(AS17,BV17,CY17)&gt;1,LARGE((AS17,BV17,CY17),2),0)</f>
        <v>41.5</v>
      </c>
      <c r="O17" s="8" t="str">
        <f t="shared" si="6"/>
        <v>2023 Elite Canada</v>
      </c>
      <c r="P17" s="8">
        <f>IF(COUNT(AT17,BW17,CZ17)&gt;0,LARGE((AT17,BW17,CZ17),1),0)</f>
        <v>21.900000000000002</v>
      </c>
      <c r="Q17" s="8" t="str">
        <f t="shared" si="7"/>
        <v>2023 Nationals</v>
      </c>
      <c r="R17" s="8">
        <f t="shared" si="8"/>
        <v>44.9</v>
      </c>
      <c r="S17" s="8" t="str">
        <f t="shared" si="9"/>
        <v>2023 Elite Canada</v>
      </c>
      <c r="T17" s="8" t="str">
        <f t="shared" si="10"/>
        <v/>
      </c>
      <c r="U17" s="11" t="str">
        <f t="shared" si="11"/>
        <v/>
      </c>
      <c r="V17" s="8" t="str">
        <f t="shared" si="12"/>
        <v/>
      </c>
      <c r="W17" s="19">
        <v>18.3</v>
      </c>
      <c r="X17" s="19">
        <v>4</v>
      </c>
      <c r="Y17" s="19">
        <v>0.8</v>
      </c>
      <c r="Z17" s="19">
        <v>0</v>
      </c>
      <c r="AA17" s="19">
        <v>16.2</v>
      </c>
      <c r="AB17" s="19">
        <v>4.4000000000000004</v>
      </c>
      <c r="AC17" s="19">
        <v>0.6</v>
      </c>
      <c r="AD17" s="19">
        <v>0</v>
      </c>
      <c r="AE17" s="19">
        <v>18</v>
      </c>
      <c r="AF17" s="19">
        <v>3.5</v>
      </c>
      <c r="AG17" s="19">
        <v>0.8</v>
      </c>
      <c r="AH17" s="19">
        <v>0</v>
      </c>
      <c r="AI17" s="19">
        <v>18.2</v>
      </c>
      <c r="AJ17" s="19">
        <v>4</v>
      </c>
      <c r="AK17" s="19">
        <v>0.2</v>
      </c>
      <c r="AL17" s="19">
        <v>0</v>
      </c>
      <c r="AM17" s="19">
        <v>18.5</v>
      </c>
      <c r="AN17" s="19">
        <v>4.4000000000000004</v>
      </c>
      <c r="AO17" s="19">
        <v>0</v>
      </c>
      <c r="AP17" s="19">
        <v>0</v>
      </c>
      <c r="AQ17" s="27"/>
      <c r="AR17" s="40">
        <f t="shared" si="13"/>
        <v>8.4</v>
      </c>
      <c r="AS17" s="40">
        <f t="shared" si="14"/>
        <v>41.5</v>
      </c>
      <c r="AT17" s="40">
        <f t="shared" si="15"/>
        <v>20.7</v>
      </c>
      <c r="AU17" s="40">
        <f t="shared" si="16"/>
        <v>11.9</v>
      </c>
      <c r="AV17" s="40">
        <f t="shared" si="17"/>
        <v>62.2</v>
      </c>
      <c r="AW17" s="40">
        <f t="shared" si="18"/>
        <v>8.4</v>
      </c>
      <c r="AX17" s="40">
        <f t="shared" si="19"/>
        <v>44.9</v>
      </c>
      <c r="AY17" s="40">
        <f t="shared" si="20"/>
        <v>107.1</v>
      </c>
      <c r="AZ17" s="18">
        <v>16.2</v>
      </c>
      <c r="BA17" s="18">
        <v>5.2</v>
      </c>
      <c r="BB17" s="18">
        <v>1</v>
      </c>
      <c r="BC17" s="18">
        <v>0.3</v>
      </c>
      <c r="BD17" s="18">
        <v>18.399999999999999</v>
      </c>
      <c r="BE17" s="18">
        <v>5.2</v>
      </c>
      <c r="BF17" s="18">
        <v>0.8</v>
      </c>
      <c r="BG17" s="18">
        <v>0</v>
      </c>
      <c r="BH17" s="18">
        <v>18.600000000000001</v>
      </c>
      <c r="BI17" s="18">
        <v>3.5</v>
      </c>
      <c r="BJ17" s="18">
        <v>0.2</v>
      </c>
      <c r="BK17" s="18">
        <v>0</v>
      </c>
      <c r="BL17" s="18">
        <v>18</v>
      </c>
      <c r="BM17" s="18">
        <v>5.2</v>
      </c>
      <c r="BN17" s="18">
        <v>0.8</v>
      </c>
      <c r="BO17" s="18">
        <v>0</v>
      </c>
      <c r="BP17" s="18">
        <v>16.399999999999999</v>
      </c>
      <c r="BQ17" s="18">
        <v>3.5</v>
      </c>
      <c r="BR17" s="18">
        <v>0.2</v>
      </c>
      <c r="BS17" s="18">
        <v>0</v>
      </c>
      <c r="BT17" s="28"/>
      <c r="BU17" s="11">
        <f t="shared" si="21"/>
        <v>10.4</v>
      </c>
      <c r="BV17" s="11">
        <f t="shared" si="22"/>
        <v>43.5</v>
      </c>
      <c r="BW17" s="11">
        <f t="shared" si="23"/>
        <v>21.900000000000002</v>
      </c>
      <c r="BX17" s="11">
        <f t="shared" si="24"/>
        <v>13.9</v>
      </c>
      <c r="BY17" s="11">
        <f t="shared" si="25"/>
        <v>65.400000000000006</v>
      </c>
      <c r="BZ17" s="11">
        <f t="shared" si="26"/>
        <v>8.6999999999999993</v>
      </c>
      <c r="CA17" s="11">
        <f t="shared" si="27"/>
        <v>42.099999999999994</v>
      </c>
      <c r="CB17" s="11">
        <f t="shared" si="28"/>
        <v>107.5</v>
      </c>
      <c r="CC17" s="19">
        <v>18</v>
      </c>
      <c r="CD17" s="19">
        <v>5.1999999999999993</v>
      </c>
      <c r="CE17" s="19">
        <v>0.6</v>
      </c>
      <c r="CF17" s="19">
        <v>0</v>
      </c>
      <c r="CG17" s="19">
        <v>16.2</v>
      </c>
      <c r="CH17" s="19">
        <v>2</v>
      </c>
      <c r="CI17" s="19">
        <v>2</v>
      </c>
      <c r="CJ17" s="19">
        <v>0</v>
      </c>
      <c r="CK17" s="19">
        <v>18.100000000000001</v>
      </c>
      <c r="CL17" s="19">
        <v>3.5</v>
      </c>
      <c r="CM17" s="19">
        <v>0.6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19">
        <v>0</v>
      </c>
      <c r="CV17" s="19">
        <v>0</v>
      </c>
      <c r="CW17" s="27"/>
      <c r="CX17" s="40">
        <f t="shared" si="29"/>
        <v>7.1999999999999993</v>
      </c>
      <c r="CY17" s="40">
        <f t="shared" si="30"/>
        <v>38.799999999999997</v>
      </c>
      <c r="CZ17" s="40">
        <f t="shared" si="31"/>
        <v>21</v>
      </c>
      <c r="DA17" s="40">
        <f t="shared" si="32"/>
        <v>10.7</v>
      </c>
      <c r="DB17" s="40">
        <f t="shared" si="33"/>
        <v>59.8</v>
      </c>
      <c r="DC17" s="40" t="str">
        <f t="shared" si="34"/>
        <v/>
      </c>
      <c r="DD17" s="40" t="str">
        <f t="shared" si="35"/>
        <v/>
      </c>
      <c r="DE17" s="40">
        <f t="shared" si="36"/>
        <v>59.8</v>
      </c>
      <c r="DF17" s="50" t="str">
        <f t="shared" si="37"/>
        <v/>
      </c>
      <c r="DG17" s="50" t="str">
        <f t="shared" si="38"/>
        <v/>
      </c>
      <c r="DH17" s="50" t="str">
        <f t="shared" si="39"/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 t="shared" si="40"/>
        <v/>
      </c>
      <c r="ED17" s="40" t="str">
        <f t="shared" si="41"/>
        <v/>
      </c>
      <c r="EE17" s="40" t="str">
        <f t="shared" si="42"/>
        <v/>
      </c>
      <c r="EF17" s="40" t="str">
        <f t="shared" si="43"/>
        <v/>
      </c>
      <c r="EG17" s="40" t="str">
        <f t="shared" si="44"/>
        <v/>
      </c>
      <c r="EH17" s="40" t="str">
        <f t="shared" si="45"/>
        <v/>
      </c>
      <c r="EI17" s="40" t="str">
        <f t="shared" si="46"/>
        <v/>
      </c>
      <c r="EJ17" s="40" t="str">
        <f t="shared" si="47"/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 t="shared" si="48"/>
        <v/>
      </c>
      <c r="FF17" s="11" t="str">
        <f t="shared" si="49"/>
        <v/>
      </c>
      <c r="FG17" s="11" t="str">
        <f t="shared" si="50"/>
        <v/>
      </c>
      <c r="FH17" s="11" t="str">
        <f t="shared" si="51"/>
        <v/>
      </c>
      <c r="FI17" s="11" t="str">
        <f t="shared" si="52"/>
        <v/>
      </c>
      <c r="FJ17" s="11" t="str">
        <f t="shared" si="53"/>
        <v/>
      </c>
      <c r="FK17" s="11" t="str">
        <f t="shared" si="54"/>
        <v/>
      </c>
      <c r="FL17" s="11" t="str">
        <f t="shared" si="55"/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 t="shared" si="56"/>
        <v/>
      </c>
      <c r="GH17" s="40" t="str">
        <f t="shared" si="57"/>
        <v/>
      </c>
      <c r="GI17" s="40" t="str">
        <f t="shared" si="58"/>
        <v/>
      </c>
      <c r="GJ17" s="40" t="str">
        <f t="shared" si="59"/>
        <v/>
      </c>
      <c r="GK17" s="40" t="str">
        <f t="shared" si="60"/>
        <v/>
      </c>
      <c r="GL17" s="40" t="str">
        <f t="shared" si="61"/>
        <v/>
      </c>
      <c r="GM17" s="40" t="str">
        <f t="shared" si="62"/>
        <v/>
      </c>
      <c r="GN17" s="40" t="str">
        <f t="shared" si="63"/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 t="shared" si="64"/>
        <v/>
      </c>
      <c r="HJ17" s="11" t="str">
        <f t="shared" si="65"/>
        <v/>
      </c>
      <c r="HK17" s="11" t="str">
        <f t="shared" si="66"/>
        <v/>
      </c>
      <c r="HL17" s="11" t="str">
        <f t="shared" si="67"/>
        <v/>
      </c>
      <c r="HM17" s="11" t="str">
        <f t="shared" si="68"/>
        <v/>
      </c>
      <c r="HN17" s="11" t="str">
        <f t="shared" si="69"/>
        <v/>
      </c>
      <c r="HO17" s="11" t="str">
        <f t="shared" si="70"/>
        <v/>
      </c>
      <c r="HP17" s="11" t="str">
        <f t="shared" si="71"/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 t="shared" si="72"/>
        <v/>
      </c>
      <c r="IL17" s="40" t="str">
        <f t="shared" si="73"/>
        <v/>
      </c>
      <c r="IM17" s="40" t="str">
        <f t="shared" si="74"/>
        <v/>
      </c>
      <c r="IN17" s="40" t="str">
        <f t="shared" si="75"/>
        <v/>
      </c>
      <c r="IO17" s="40" t="str">
        <f t="shared" si="76"/>
        <v/>
      </c>
      <c r="IP17" s="40" t="str">
        <f t="shared" si="77"/>
        <v/>
      </c>
      <c r="IQ17" s="40" t="str">
        <f t="shared" si="78"/>
        <v/>
      </c>
      <c r="IR17" s="40" t="str">
        <f t="shared" si="79"/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 t="shared" si="80"/>
        <v/>
      </c>
      <c r="JN17" s="11" t="str">
        <f t="shared" si="81"/>
        <v/>
      </c>
      <c r="JO17" s="11" t="str">
        <f t="shared" si="82"/>
        <v/>
      </c>
      <c r="JP17" s="11" t="str">
        <f t="shared" si="83"/>
        <v/>
      </c>
      <c r="JQ17" s="11" t="str">
        <f t="shared" si="84"/>
        <v/>
      </c>
      <c r="JR17" s="11" t="str">
        <f t="shared" si="85"/>
        <v/>
      </c>
      <c r="JS17" s="11" t="str">
        <f t="shared" si="86"/>
        <v/>
      </c>
      <c r="JT17" s="11" t="str">
        <f t="shared" si="87"/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 t="shared" si="88"/>
        <v/>
      </c>
      <c r="KP17" s="40" t="str">
        <f t="shared" si="89"/>
        <v/>
      </c>
      <c r="KQ17" s="40" t="str">
        <f t="shared" si="90"/>
        <v/>
      </c>
      <c r="KR17" s="40" t="str">
        <f t="shared" si="91"/>
        <v/>
      </c>
      <c r="KS17" s="40" t="str">
        <f t="shared" si="92"/>
        <v/>
      </c>
      <c r="KT17" s="40" t="str">
        <f t="shared" si="93"/>
        <v/>
      </c>
      <c r="KU17" s="40" t="str">
        <f t="shared" si="94"/>
        <v/>
      </c>
      <c r="KV17" s="40" t="str">
        <f t="shared" si="95"/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 t="shared" si="96"/>
        <v/>
      </c>
      <c r="LR17" s="11" t="str">
        <f t="shared" si="97"/>
        <v/>
      </c>
      <c r="LS17" s="11" t="str">
        <f t="shared" si="98"/>
        <v/>
      </c>
      <c r="LT17" s="11" t="str">
        <f t="shared" si="99"/>
        <v/>
      </c>
      <c r="LU17" s="11" t="str">
        <f t="shared" si="100"/>
        <v/>
      </c>
      <c r="LV17" s="11" t="str">
        <f t="shared" si="101"/>
        <v/>
      </c>
      <c r="LW17" s="11" t="str">
        <f t="shared" si="102"/>
        <v/>
      </c>
      <c r="LX17" s="11" t="str">
        <f t="shared" si="103"/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 t="shared" si="104"/>
        <v/>
      </c>
      <c r="MT17" s="40" t="str">
        <f t="shared" si="105"/>
        <v/>
      </c>
      <c r="MU17" s="40" t="str">
        <f t="shared" si="106"/>
        <v/>
      </c>
      <c r="MV17" s="40" t="str">
        <f t="shared" si="107"/>
        <v/>
      </c>
      <c r="MW17" s="40" t="str">
        <f t="shared" si="108"/>
        <v/>
      </c>
      <c r="MX17" s="40" t="str">
        <f t="shared" si="109"/>
        <v/>
      </c>
      <c r="MY17" s="40" t="str">
        <f t="shared" si="110"/>
        <v/>
      </c>
      <c r="MZ17" s="40" t="str">
        <f t="shared" si="111"/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 t="shared" si="112"/>
        <v/>
      </c>
      <c r="NV17" s="11" t="str">
        <f t="shared" si="113"/>
        <v/>
      </c>
      <c r="NW17" s="11" t="str">
        <f t="shared" si="114"/>
        <v/>
      </c>
      <c r="NX17" s="11" t="str">
        <f t="shared" si="115"/>
        <v/>
      </c>
      <c r="NY17" s="11" t="str">
        <f t="shared" si="116"/>
        <v/>
      </c>
      <c r="NZ17" s="11" t="str">
        <f t="shared" si="117"/>
        <v/>
      </c>
      <c r="OA17" s="11" t="str">
        <f t="shared" si="118"/>
        <v/>
      </c>
      <c r="OB17" s="11" t="str">
        <f t="shared" si="119"/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 t="shared" si="120"/>
        <v/>
      </c>
      <c r="OX17" s="40" t="str">
        <f t="shared" si="121"/>
        <v/>
      </c>
      <c r="OY17" s="40" t="str">
        <f t="shared" si="122"/>
        <v/>
      </c>
      <c r="OZ17" s="40" t="str">
        <f t="shared" si="123"/>
        <v/>
      </c>
      <c r="PA17" s="40" t="str">
        <f t="shared" si="124"/>
        <v/>
      </c>
      <c r="PB17" s="40" t="str">
        <f t="shared" si="125"/>
        <v/>
      </c>
      <c r="PC17" s="40" t="str">
        <f t="shared" si="126"/>
        <v/>
      </c>
      <c r="PD17" s="40" t="str">
        <f t="shared" si="127"/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 t="shared" si="128"/>
        <v/>
      </c>
      <c r="PZ17" s="11" t="str">
        <f t="shared" si="129"/>
        <v/>
      </c>
      <c r="QA17" s="11" t="str">
        <f t="shared" si="130"/>
        <v/>
      </c>
      <c r="QB17" s="11" t="str">
        <f t="shared" si="131"/>
        <v/>
      </c>
      <c r="QC17" s="11" t="str">
        <f t="shared" si="132"/>
        <v/>
      </c>
      <c r="QD17" s="11" t="str">
        <f t="shared" si="133"/>
        <v/>
      </c>
      <c r="QE17" s="11" t="str">
        <f t="shared" si="134"/>
        <v/>
      </c>
      <c r="QF17" s="11" t="str">
        <f t="shared" si="135"/>
        <v/>
      </c>
      <c r="QG17" s="22">
        <f t="shared" si="136"/>
        <v>17.100000000000001</v>
      </c>
      <c r="QH17" s="22">
        <f t="shared" si="137"/>
        <v>5.1999999999999993</v>
      </c>
      <c r="QI17" s="22">
        <f t="shared" si="138"/>
        <v>0.8</v>
      </c>
      <c r="QJ17" s="22">
        <f t="shared" si="139"/>
        <v>0.15</v>
      </c>
      <c r="QK17" s="22">
        <f t="shared" si="140"/>
        <v>17.299999999999997</v>
      </c>
      <c r="QL17" s="22">
        <f t="shared" si="141"/>
        <v>3.6</v>
      </c>
      <c r="QM17" s="22">
        <f t="shared" si="142"/>
        <v>1.4</v>
      </c>
      <c r="QN17" s="22">
        <f t="shared" si="143"/>
        <v>0</v>
      </c>
      <c r="QO17" s="22">
        <f t="shared" si="144"/>
        <v>18.350000000000001</v>
      </c>
      <c r="QP17" s="22">
        <f t="shared" si="145"/>
        <v>3.5</v>
      </c>
      <c r="QQ17" s="22">
        <f t="shared" si="146"/>
        <v>0.4</v>
      </c>
      <c r="QR17" s="22">
        <f t="shared" si="147"/>
        <v>0</v>
      </c>
      <c r="QS17" s="22">
        <f t="shared" si="148"/>
        <v>9</v>
      </c>
      <c r="QT17" s="22">
        <f t="shared" si="149"/>
        <v>2.6</v>
      </c>
      <c r="QU17" s="22">
        <f t="shared" si="150"/>
        <v>0.4</v>
      </c>
      <c r="QV17" s="22">
        <f t="shared" si="151"/>
        <v>0</v>
      </c>
      <c r="QW17" s="22">
        <f t="shared" si="152"/>
        <v>8.1999999999999993</v>
      </c>
      <c r="QX17" s="22">
        <f t="shared" si="153"/>
        <v>1.75</v>
      </c>
      <c r="QY17" s="22">
        <f t="shared" si="154"/>
        <v>0.1</v>
      </c>
      <c r="QZ17" s="22">
        <f t="shared" si="155"/>
        <v>0</v>
      </c>
      <c r="RA17" s="27" t="s">
        <v>46</v>
      </c>
      <c r="RB17" s="40">
        <f t="shared" si="156"/>
        <v>8.7999999999999989</v>
      </c>
      <c r="RC17" s="40">
        <f t="shared" si="157"/>
        <v>41.150000000000006</v>
      </c>
      <c r="RD17" s="40">
        <f t="shared" si="158"/>
        <v>21.450000000000003</v>
      </c>
      <c r="RE17" s="40">
        <f t="shared" si="159"/>
        <v>12.299999999999999</v>
      </c>
      <c r="RF17" s="40">
        <f t="shared" si="160"/>
        <v>62.600000000000009</v>
      </c>
      <c r="RG17" s="40">
        <f t="shared" si="161"/>
        <v>4.3499999999999996</v>
      </c>
      <c r="RH17" s="40">
        <f t="shared" si="162"/>
        <v>21.049999999999997</v>
      </c>
      <c r="RI17" s="40">
        <f t="shared" si="163"/>
        <v>83.65</v>
      </c>
    </row>
    <row r="18" spans="1:477" x14ac:dyDescent="0.2">
      <c r="A18" s="4" t="str" cm="1">
        <f t="array" ref="A18">IF(AND(J18&lt;&gt;"",J18&lt;&gt;"No DD"),SUMPRODUCT((J$4:J$27&lt;&gt;"")*(J$4:J$27&lt;&gt;"No DD")*(F$4:F$27&gt;F18))+1,IF(J18="No DD",SUMPRODUCT((J$4:J$27="No DD")*(F$4:F$27&gt;F18))+1+SUMPRODUCT((J$4:J$27&lt;&gt;"")*(J$4:J$27&lt;&gt;"No DD")),""))</f>
        <v/>
      </c>
      <c r="B18" s="4" t="str" cm="1">
        <f t="array" ref="B18">IF(AND(J18&lt;&gt;"",J18&lt;&gt;"No DD",G18=""),SUMPRODUCT((J$4:J$27&lt;&gt;"")*(J$4:J$27&lt;&gt;"No DD")*(G$4:G$27="")*(F$4:F$27&gt;F18))+1,IF(J18="No DD",SUMPRODUCT((J$4:J$27="No DD")*(F$4:F$27&gt;F18)*(G$4:G$27=""))+1+SUMPRODUCT((J$4:J$27&lt;&gt;"")*(G$4:G$27="")*(J$4:J$27&lt;&gt;"No DD")),""))</f>
        <v/>
      </c>
      <c r="C18" s="5" t="s">
        <v>191</v>
      </c>
      <c r="D18" s="4" t="s">
        <v>5</v>
      </c>
      <c r="E18" s="4">
        <v>2006</v>
      </c>
      <c r="F18" s="9">
        <f t="shared" si="0"/>
        <v>151.00001077000431</v>
      </c>
      <c r="G18" s="66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IF(COUNT(AS18,BV18,CY18)&gt;0,LARGE((AS18,BV18,CY18),1),0)</f>
        <v>43.599999999999987</v>
      </c>
      <c r="M18" s="8" t="str">
        <f t="shared" si="5"/>
        <v>2023 3rd Domestic Trial</v>
      </c>
      <c r="N18" s="8">
        <f>IF(COUNT(AS18,BV18,CY18)&gt;1,LARGE((AS18,BV18,CY18),2),0)</f>
        <v>41.79999999999999</v>
      </c>
      <c r="O18" s="8" t="str">
        <f t="shared" si="6"/>
        <v>2023 Nationals</v>
      </c>
      <c r="P18" s="8">
        <f>IF(COUNT(AT18,BW18,CZ18)&gt;0,LARGE((AT18,BW18,CZ18),1),0)</f>
        <v>22.3</v>
      </c>
      <c r="Q18" s="8" t="str">
        <f t="shared" si="7"/>
        <v>2023 Nationals</v>
      </c>
      <c r="R18" s="8">
        <f t="shared" si="8"/>
        <v>43.29999999999999</v>
      </c>
      <c r="S18" s="8" t="str">
        <f t="shared" si="9"/>
        <v>2023 Nationals</v>
      </c>
      <c r="T18" s="8" t="str">
        <f t="shared" si="10"/>
        <v/>
      </c>
      <c r="U18" s="11" t="str">
        <f t="shared" si="11"/>
        <v/>
      </c>
      <c r="V18" s="8" t="str">
        <f t="shared" si="12"/>
        <v/>
      </c>
      <c r="W18" s="19">
        <v>18.899999999999999</v>
      </c>
      <c r="X18" s="19">
        <v>5.2</v>
      </c>
      <c r="Y18" s="19">
        <v>0.2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>
        <v>0</v>
      </c>
      <c r="AH18" s="19">
        <v>0</v>
      </c>
      <c r="AI18" s="19"/>
      <c r="AJ18" s="19"/>
      <c r="AK18" s="19"/>
      <c r="AL18" s="19"/>
      <c r="AM18" s="19"/>
      <c r="AN18" s="19"/>
      <c r="AO18" s="19"/>
      <c r="AP18" s="19"/>
      <c r="AQ18" s="27"/>
      <c r="AR18" s="40">
        <f t="shared" si="13"/>
        <v>5.2</v>
      </c>
      <c r="AS18" s="40">
        <f t="shared" si="14"/>
        <v>23.9</v>
      </c>
      <c r="AT18" s="40" t="str">
        <f t="shared" si="15"/>
        <v/>
      </c>
      <c r="AU18" s="40">
        <f t="shared" si="16"/>
        <v>5.2</v>
      </c>
      <c r="AV18" s="40">
        <f t="shared" si="17"/>
        <v>23.9</v>
      </c>
      <c r="AW18" s="40" t="str">
        <f t="shared" si="18"/>
        <v/>
      </c>
      <c r="AX18" s="40" t="str">
        <f t="shared" si="19"/>
        <v/>
      </c>
      <c r="AY18" s="40">
        <f t="shared" si="20"/>
        <v>23.9</v>
      </c>
      <c r="AZ18" s="18">
        <v>16.899999999999999</v>
      </c>
      <c r="BA18" s="18">
        <v>4.8</v>
      </c>
      <c r="BB18" s="18">
        <v>0.2</v>
      </c>
      <c r="BC18" s="18">
        <v>0</v>
      </c>
      <c r="BD18" s="18">
        <v>17.2</v>
      </c>
      <c r="BE18" s="18">
        <v>2.8</v>
      </c>
      <c r="BF18" s="18">
        <v>0</v>
      </c>
      <c r="BG18" s="18">
        <v>0.3</v>
      </c>
      <c r="BH18" s="18">
        <v>19</v>
      </c>
      <c r="BI18" s="18">
        <v>3.5</v>
      </c>
      <c r="BJ18" s="18">
        <v>0.2</v>
      </c>
      <c r="BK18" s="18">
        <v>0</v>
      </c>
      <c r="BL18" s="18">
        <v>18.100000000000001</v>
      </c>
      <c r="BM18" s="18">
        <v>4.4000000000000004</v>
      </c>
      <c r="BN18" s="18">
        <v>0.2</v>
      </c>
      <c r="BO18" s="18">
        <v>0</v>
      </c>
      <c r="BP18" s="18">
        <v>18.3</v>
      </c>
      <c r="BQ18" s="18">
        <v>2.8</v>
      </c>
      <c r="BR18" s="18">
        <v>0.4</v>
      </c>
      <c r="BS18" s="18">
        <v>0.3</v>
      </c>
      <c r="BT18" s="28"/>
      <c r="BU18" s="11">
        <f t="shared" si="21"/>
        <v>7.6</v>
      </c>
      <c r="BV18" s="11">
        <f t="shared" si="22"/>
        <v>41.79999999999999</v>
      </c>
      <c r="BW18" s="11">
        <f t="shared" si="23"/>
        <v>22.3</v>
      </c>
      <c r="BX18" s="11">
        <f t="shared" si="24"/>
        <v>11.1</v>
      </c>
      <c r="BY18" s="11">
        <f t="shared" si="25"/>
        <v>64.099999999999994</v>
      </c>
      <c r="BZ18" s="11">
        <f t="shared" si="26"/>
        <v>7.2</v>
      </c>
      <c r="CA18" s="11">
        <f t="shared" si="27"/>
        <v>43.29999999999999</v>
      </c>
      <c r="CB18" s="11">
        <f t="shared" si="28"/>
        <v>107.39999999999998</v>
      </c>
      <c r="CC18" s="19">
        <v>18.5</v>
      </c>
      <c r="CD18" s="19">
        <v>4.4000000000000004</v>
      </c>
      <c r="CE18" s="19">
        <v>0.2</v>
      </c>
      <c r="CF18" s="19">
        <v>0</v>
      </c>
      <c r="CG18" s="19">
        <v>18</v>
      </c>
      <c r="CH18" s="19">
        <v>2.8</v>
      </c>
      <c r="CI18" s="19">
        <v>0.2</v>
      </c>
      <c r="CJ18" s="19">
        <v>0.3</v>
      </c>
      <c r="CK18" s="19">
        <v>19.100000000000001</v>
      </c>
      <c r="CL18" s="19">
        <v>1.2999999999999998</v>
      </c>
      <c r="CM18" s="19">
        <v>3.6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19">
        <v>0</v>
      </c>
      <c r="CV18" s="19">
        <v>0</v>
      </c>
      <c r="CW18" s="27"/>
      <c r="CX18" s="40">
        <f t="shared" si="29"/>
        <v>7.2</v>
      </c>
      <c r="CY18" s="40">
        <f t="shared" si="30"/>
        <v>43.599999999999987</v>
      </c>
      <c r="CZ18" s="40">
        <f t="shared" si="31"/>
        <v>16.8</v>
      </c>
      <c r="DA18" s="40">
        <f t="shared" si="32"/>
        <v>8.5</v>
      </c>
      <c r="DB18" s="40">
        <f t="shared" si="33"/>
        <v>60.399999999999991</v>
      </c>
      <c r="DC18" s="40" t="str">
        <f t="shared" si="34"/>
        <v/>
      </c>
      <c r="DD18" s="40" t="str">
        <f t="shared" si="35"/>
        <v/>
      </c>
      <c r="DE18" s="40">
        <f t="shared" si="36"/>
        <v>60.399999999999991</v>
      </c>
      <c r="DF18" s="50" t="str">
        <f t="shared" si="37"/>
        <v/>
      </c>
      <c r="DG18" s="50" t="str">
        <f t="shared" si="38"/>
        <v/>
      </c>
      <c r="DH18" s="50" t="str">
        <f t="shared" si="39"/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 t="shared" si="40"/>
        <v/>
      </c>
      <c r="ED18" s="40" t="str">
        <f t="shared" si="41"/>
        <v/>
      </c>
      <c r="EE18" s="40" t="str">
        <f t="shared" si="42"/>
        <v/>
      </c>
      <c r="EF18" s="40" t="str">
        <f t="shared" si="43"/>
        <v/>
      </c>
      <c r="EG18" s="40" t="str">
        <f t="shared" si="44"/>
        <v/>
      </c>
      <c r="EH18" s="40" t="str">
        <f t="shared" si="45"/>
        <v/>
      </c>
      <c r="EI18" s="40" t="str">
        <f t="shared" si="46"/>
        <v/>
      </c>
      <c r="EJ18" s="40" t="str">
        <f t="shared" si="47"/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 t="shared" si="48"/>
        <v/>
      </c>
      <c r="FF18" s="11" t="str">
        <f t="shared" si="49"/>
        <v/>
      </c>
      <c r="FG18" s="11" t="str">
        <f t="shared" si="50"/>
        <v/>
      </c>
      <c r="FH18" s="11" t="str">
        <f t="shared" si="51"/>
        <v/>
      </c>
      <c r="FI18" s="11" t="str">
        <f t="shared" si="52"/>
        <v/>
      </c>
      <c r="FJ18" s="11" t="str">
        <f t="shared" si="53"/>
        <v/>
      </c>
      <c r="FK18" s="11" t="str">
        <f t="shared" si="54"/>
        <v/>
      </c>
      <c r="FL18" s="11" t="str">
        <f t="shared" si="55"/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 t="shared" si="56"/>
        <v/>
      </c>
      <c r="GH18" s="40" t="str">
        <f t="shared" si="57"/>
        <v/>
      </c>
      <c r="GI18" s="40" t="str">
        <f t="shared" si="58"/>
        <v/>
      </c>
      <c r="GJ18" s="40" t="str">
        <f t="shared" si="59"/>
        <v/>
      </c>
      <c r="GK18" s="40" t="str">
        <f t="shared" si="60"/>
        <v/>
      </c>
      <c r="GL18" s="40" t="str">
        <f t="shared" si="61"/>
        <v/>
      </c>
      <c r="GM18" s="40" t="str">
        <f t="shared" si="62"/>
        <v/>
      </c>
      <c r="GN18" s="40" t="str">
        <f t="shared" si="63"/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 t="shared" si="64"/>
        <v/>
      </c>
      <c r="HJ18" s="11" t="str">
        <f t="shared" si="65"/>
        <v/>
      </c>
      <c r="HK18" s="11" t="str">
        <f t="shared" si="66"/>
        <v/>
      </c>
      <c r="HL18" s="11" t="str">
        <f t="shared" si="67"/>
        <v/>
      </c>
      <c r="HM18" s="11" t="str">
        <f t="shared" si="68"/>
        <v/>
      </c>
      <c r="HN18" s="11" t="str">
        <f t="shared" si="69"/>
        <v/>
      </c>
      <c r="HO18" s="11" t="str">
        <f t="shared" si="70"/>
        <v/>
      </c>
      <c r="HP18" s="11" t="str">
        <f t="shared" si="71"/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 t="shared" si="72"/>
        <v/>
      </c>
      <c r="IL18" s="40" t="str">
        <f t="shared" si="73"/>
        <v/>
      </c>
      <c r="IM18" s="40" t="str">
        <f t="shared" si="74"/>
        <v/>
      </c>
      <c r="IN18" s="40" t="str">
        <f t="shared" si="75"/>
        <v/>
      </c>
      <c r="IO18" s="40" t="str">
        <f t="shared" si="76"/>
        <v/>
      </c>
      <c r="IP18" s="40" t="str">
        <f t="shared" si="77"/>
        <v/>
      </c>
      <c r="IQ18" s="40" t="str">
        <f t="shared" si="78"/>
        <v/>
      </c>
      <c r="IR18" s="40" t="str">
        <f t="shared" si="79"/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 t="shared" si="80"/>
        <v/>
      </c>
      <c r="JN18" s="11" t="str">
        <f t="shared" si="81"/>
        <v/>
      </c>
      <c r="JO18" s="11" t="str">
        <f t="shared" si="82"/>
        <v/>
      </c>
      <c r="JP18" s="11" t="str">
        <f t="shared" si="83"/>
        <v/>
      </c>
      <c r="JQ18" s="11" t="str">
        <f t="shared" si="84"/>
        <v/>
      </c>
      <c r="JR18" s="11" t="str">
        <f t="shared" si="85"/>
        <v/>
      </c>
      <c r="JS18" s="11" t="str">
        <f t="shared" si="86"/>
        <v/>
      </c>
      <c r="JT18" s="11" t="str">
        <f t="shared" si="87"/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 t="shared" si="88"/>
        <v/>
      </c>
      <c r="KP18" s="40" t="str">
        <f t="shared" si="89"/>
        <v/>
      </c>
      <c r="KQ18" s="40" t="str">
        <f t="shared" si="90"/>
        <v/>
      </c>
      <c r="KR18" s="40" t="str">
        <f t="shared" si="91"/>
        <v/>
      </c>
      <c r="KS18" s="40" t="str">
        <f t="shared" si="92"/>
        <v/>
      </c>
      <c r="KT18" s="40" t="str">
        <f t="shared" si="93"/>
        <v/>
      </c>
      <c r="KU18" s="40" t="str">
        <f t="shared" si="94"/>
        <v/>
      </c>
      <c r="KV18" s="40" t="str">
        <f t="shared" si="95"/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 t="shared" si="96"/>
        <v/>
      </c>
      <c r="LR18" s="11" t="str">
        <f t="shared" si="97"/>
        <v/>
      </c>
      <c r="LS18" s="11" t="str">
        <f t="shared" si="98"/>
        <v/>
      </c>
      <c r="LT18" s="11" t="str">
        <f t="shared" si="99"/>
        <v/>
      </c>
      <c r="LU18" s="11" t="str">
        <f t="shared" si="100"/>
        <v/>
      </c>
      <c r="LV18" s="11" t="str">
        <f t="shared" si="101"/>
        <v/>
      </c>
      <c r="LW18" s="11" t="str">
        <f t="shared" si="102"/>
        <v/>
      </c>
      <c r="LX18" s="11" t="str">
        <f t="shared" si="103"/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 t="shared" si="104"/>
        <v/>
      </c>
      <c r="MT18" s="40" t="str">
        <f t="shared" si="105"/>
        <v/>
      </c>
      <c r="MU18" s="40" t="str">
        <f t="shared" si="106"/>
        <v/>
      </c>
      <c r="MV18" s="40" t="str">
        <f t="shared" si="107"/>
        <v/>
      </c>
      <c r="MW18" s="40" t="str">
        <f t="shared" si="108"/>
        <v/>
      </c>
      <c r="MX18" s="40" t="str">
        <f t="shared" si="109"/>
        <v/>
      </c>
      <c r="MY18" s="40" t="str">
        <f t="shared" si="110"/>
        <v/>
      </c>
      <c r="MZ18" s="40" t="str">
        <f t="shared" si="111"/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 t="shared" si="112"/>
        <v/>
      </c>
      <c r="NV18" s="11" t="str">
        <f t="shared" si="113"/>
        <v/>
      </c>
      <c r="NW18" s="11" t="str">
        <f t="shared" si="114"/>
        <v/>
      </c>
      <c r="NX18" s="11" t="str">
        <f t="shared" si="115"/>
        <v/>
      </c>
      <c r="NY18" s="11" t="str">
        <f t="shared" si="116"/>
        <v/>
      </c>
      <c r="NZ18" s="11" t="str">
        <f t="shared" si="117"/>
        <v/>
      </c>
      <c r="OA18" s="11" t="str">
        <f t="shared" si="118"/>
        <v/>
      </c>
      <c r="OB18" s="11" t="str">
        <f t="shared" si="119"/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 t="shared" si="120"/>
        <v/>
      </c>
      <c r="OX18" s="40" t="str">
        <f t="shared" si="121"/>
        <v/>
      </c>
      <c r="OY18" s="40" t="str">
        <f t="shared" si="122"/>
        <v/>
      </c>
      <c r="OZ18" s="40" t="str">
        <f t="shared" si="123"/>
        <v/>
      </c>
      <c r="PA18" s="40" t="str">
        <f t="shared" si="124"/>
        <v/>
      </c>
      <c r="PB18" s="40" t="str">
        <f t="shared" si="125"/>
        <v/>
      </c>
      <c r="PC18" s="40" t="str">
        <f t="shared" si="126"/>
        <v/>
      </c>
      <c r="PD18" s="40" t="str">
        <f t="shared" si="127"/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 t="shared" si="128"/>
        <v/>
      </c>
      <c r="PZ18" s="11" t="str">
        <f t="shared" si="129"/>
        <v/>
      </c>
      <c r="QA18" s="11" t="str">
        <f t="shared" si="130"/>
        <v/>
      </c>
      <c r="QB18" s="11" t="str">
        <f t="shared" si="131"/>
        <v/>
      </c>
      <c r="QC18" s="11" t="str">
        <f t="shared" si="132"/>
        <v/>
      </c>
      <c r="QD18" s="11" t="str">
        <f t="shared" si="133"/>
        <v/>
      </c>
      <c r="QE18" s="11" t="str">
        <f t="shared" si="134"/>
        <v/>
      </c>
      <c r="QF18" s="11" t="str">
        <f t="shared" si="135"/>
        <v/>
      </c>
      <c r="QG18" s="22">
        <f t="shared" si="136"/>
        <v>17.7</v>
      </c>
      <c r="QH18" s="22">
        <f t="shared" si="137"/>
        <v>4.5999999999999996</v>
      </c>
      <c r="QI18" s="22">
        <f t="shared" si="138"/>
        <v>0.2</v>
      </c>
      <c r="QJ18" s="22">
        <f t="shared" si="139"/>
        <v>0</v>
      </c>
      <c r="QK18" s="22">
        <f t="shared" si="140"/>
        <v>17.600000000000001</v>
      </c>
      <c r="QL18" s="22">
        <f t="shared" si="141"/>
        <v>2.8</v>
      </c>
      <c r="QM18" s="22">
        <f t="shared" si="142"/>
        <v>0.1</v>
      </c>
      <c r="QN18" s="22">
        <f t="shared" si="143"/>
        <v>0.3</v>
      </c>
      <c r="QO18" s="22">
        <f t="shared" si="144"/>
        <v>19.05</v>
      </c>
      <c r="QP18" s="22">
        <f t="shared" si="145"/>
        <v>2.4</v>
      </c>
      <c r="QQ18" s="22">
        <f t="shared" si="146"/>
        <v>1.9000000000000001</v>
      </c>
      <c r="QR18" s="22">
        <f t="shared" si="147"/>
        <v>0</v>
      </c>
      <c r="QS18" s="22">
        <f t="shared" si="148"/>
        <v>9.0500000000000007</v>
      </c>
      <c r="QT18" s="22">
        <f t="shared" si="149"/>
        <v>2.2000000000000002</v>
      </c>
      <c r="QU18" s="22">
        <f t="shared" si="150"/>
        <v>0.1</v>
      </c>
      <c r="QV18" s="22">
        <f t="shared" si="151"/>
        <v>0</v>
      </c>
      <c r="QW18" s="22">
        <f t="shared" si="152"/>
        <v>9.15</v>
      </c>
      <c r="QX18" s="22">
        <f t="shared" si="153"/>
        <v>1.4</v>
      </c>
      <c r="QY18" s="22">
        <f t="shared" si="154"/>
        <v>0.2</v>
      </c>
      <c r="QZ18" s="22">
        <f t="shared" si="155"/>
        <v>0.15</v>
      </c>
      <c r="RA18" s="27" t="s">
        <v>46</v>
      </c>
      <c r="RB18" s="40">
        <f t="shared" si="156"/>
        <v>7.3999999999999995</v>
      </c>
      <c r="RC18" s="40">
        <f t="shared" si="157"/>
        <v>42.699999999999989</v>
      </c>
      <c r="RD18" s="40">
        <f t="shared" si="158"/>
        <v>19.55</v>
      </c>
      <c r="RE18" s="40">
        <f t="shared" si="159"/>
        <v>9.7999999999999989</v>
      </c>
      <c r="RF18" s="40">
        <f t="shared" si="160"/>
        <v>62.249999999999986</v>
      </c>
      <c r="RG18" s="40">
        <f t="shared" si="161"/>
        <v>3.6</v>
      </c>
      <c r="RH18" s="40">
        <f t="shared" si="162"/>
        <v>21.649999999999995</v>
      </c>
      <c r="RI18" s="40">
        <f t="shared" si="163"/>
        <v>83.899999999999977</v>
      </c>
    </row>
    <row r="19" spans="1:477" x14ac:dyDescent="0.2">
      <c r="A19" s="4" t="str" cm="1">
        <f t="array" ref="A19">IF(AND(J19&lt;&gt;"",J19&lt;&gt;"No DD"),SUMPRODUCT((J$4:J$27&lt;&gt;"")*(J$4:J$27&lt;&gt;"No DD")*(F$4:F$27&gt;F19))+1,IF(J19="No DD",SUMPRODUCT((J$4:J$27="No DD")*(F$4:F$27&gt;F19))+1+SUMPRODUCT((J$4:J$27&lt;&gt;"")*(J$4:J$27&lt;&gt;"No DD")),""))</f>
        <v/>
      </c>
      <c r="B19" s="4" t="str" cm="1">
        <f t="array" ref="B19">IF(AND(J19&lt;&gt;"",J19&lt;&gt;"No DD",G19=""),SUMPRODUCT((J$4:J$27&lt;&gt;"")*(J$4:J$27&lt;&gt;"No DD")*(G$4:G$27="")*(F$4:F$27&gt;F19))+1,IF(J19="No DD",SUMPRODUCT((J$4:J$27="No DD")*(F$4:F$27&gt;F19)*(G$4:G$27=""))+1+SUMPRODUCT((J$4:J$27&lt;&gt;"")*(G$4:G$27="")*(J$4:J$27&lt;&gt;"No DD")),""))</f>
        <v/>
      </c>
      <c r="C19" s="5" t="s">
        <v>159</v>
      </c>
      <c r="D19" s="4" t="s">
        <v>4</v>
      </c>
      <c r="E19" s="4">
        <v>2002</v>
      </c>
      <c r="F19" s="9">
        <f t="shared" si="0"/>
        <v>146.70001050000425</v>
      </c>
      <c r="G19" s="66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IF(COUNT(AS19,BV19,CY19)&gt;0,LARGE((AS19,BV19,CY19),1),0)</f>
        <v>42.5</v>
      </c>
      <c r="M19" s="8" t="str">
        <f t="shared" si="5"/>
        <v>2023 Elite Canada</v>
      </c>
      <c r="N19" s="8">
        <f>IF(COUNT(AS19,BV19,CY19)&gt;1,LARGE((AS19,BV19,CY19),2),0)</f>
        <v>40.9</v>
      </c>
      <c r="O19" s="8" t="str">
        <f t="shared" si="6"/>
        <v>2023 Nationals</v>
      </c>
      <c r="P19" s="8">
        <f>IF(COUNT(AT19,BW19,CZ19)&gt;0,LARGE((AT19,BW19,CZ19),1),0)</f>
        <v>21.6</v>
      </c>
      <c r="Q19" s="8" t="str">
        <f t="shared" si="7"/>
        <v>2023 Elite Canada</v>
      </c>
      <c r="R19" s="8">
        <f t="shared" si="8"/>
        <v>41.699999999999996</v>
      </c>
      <c r="S19" s="8" t="str">
        <f t="shared" si="9"/>
        <v>2023 Elite Canada</v>
      </c>
      <c r="T19" s="8" t="str">
        <f t="shared" si="10"/>
        <v/>
      </c>
      <c r="U19" s="11" t="str">
        <f t="shared" si="11"/>
        <v/>
      </c>
      <c r="V19" s="8" t="str">
        <f t="shared" si="12"/>
        <v/>
      </c>
      <c r="W19" s="19">
        <v>18.399999999999999</v>
      </c>
      <c r="X19" s="19">
        <v>3.5</v>
      </c>
      <c r="Y19" s="19">
        <v>0</v>
      </c>
      <c r="Z19" s="19">
        <v>0</v>
      </c>
      <c r="AA19" s="19">
        <v>18.2</v>
      </c>
      <c r="AB19" s="19">
        <v>2.7</v>
      </c>
      <c r="AC19" s="19">
        <v>0.3</v>
      </c>
      <c r="AD19" s="19">
        <v>0</v>
      </c>
      <c r="AE19" s="19">
        <v>18.600000000000001</v>
      </c>
      <c r="AF19" s="19">
        <v>3</v>
      </c>
      <c r="AG19" s="19">
        <v>0</v>
      </c>
      <c r="AH19" s="19">
        <v>0</v>
      </c>
      <c r="AI19" s="19">
        <v>18.399999999999999</v>
      </c>
      <c r="AJ19" s="19">
        <v>2.7</v>
      </c>
      <c r="AK19" s="19">
        <v>0.3</v>
      </c>
      <c r="AL19" s="19">
        <v>0</v>
      </c>
      <c r="AM19" s="19">
        <v>18.7</v>
      </c>
      <c r="AN19" s="19">
        <v>3</v>
      </c>
      <c r="AO19" s="19">
        <v>0.8</v>
      </c>
      <c r="AP19" s="19">
        <v>0</v>
      </c>
      <c r="AQ19" s="27"/>
      <c r="AR19" s="40">
        <f t="shared" si="13"/>
        <v>6.2</v>
      </c>
      <c r="AS19" s="40">
        <f t="shared" si="14"/>
        <v>42.5</v>
      </c>
      <c r="AT19" s="40">
        <f t="shared" si="15"/>
        <v>21.6</v>
      </c>
      <c r="AU19" s="40">
        <f t="shared" si="16"/>
        <v>9.1999999999999993</v>
      </c>
      <c r="AV19" s="40">
        <f t="shared" si="17"/>
        <v>64.099999999999994</v>
      </c>
      <c r="AW19" s="40">
        <f t="shared" si="18"/>
        <v>5.7</v>
      </c>
      <c r="AX19" s="40">
        <f t="shared" si="19"/>
        <v>41.699999999999996</v>
      </c>
      <c r="AY19" s="40">
        <f t="shared" si="20"/>
        <v>105.79999999999998</v>
      </c>
      <c r="AZ19" s="18">
        <v>18</v>
      </c>
      <c r="BA19" s="18">
        <v>3.5</v>
      </c>
      <c r="BB19" s="18">
        <v>0.2</v>
      </c>
      <c r="BC19" s="18">
        <v>0</v>
      </c>
      <c r="BD19" s="18">
        <v>18</v>
      </c>
      <c r="BE19" s="18">
        <v>2.7</v>
      </c>
      <c r="BF19" s="18">
        <v>1.1000000000000001</v>
      </c>
      <c r="BG19" s="18">
        <v>0</v>
      </c>
      <c r="BH19" s="18">
        <v>17.600000000000001</v>
      </c>
      <c r="BI19" s="18">
        <v>0.6</v>
      </c>
      <c r="BJ19" s="18">
        <v>0</v>
      </c>
      <c r="BK19" s="18">
        <v>0</v>
      </c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 t="shared" si="21"/>
        <v>6.2</v>
      </c>
      <c r="BV19" s="11">
        <f t="shared" si="22"/>
        <v>40.9</v>
      </c>
      <c r="BW19" s="11">
        <f t="shared" si="23"/>
        <v>18.200000000000003</v>
      </c>
      <c r="BX19" s="11">
        <f t="shared" si="24"/>
        <v>6.8</v>
      </c>
      <c r="BY19" s="11">
        <f t="shared" si="25"/>
        <v>59.1</v>
      </c>
      <c r="BZ19" s="11" t="str">
        <f t="shared" si="26"/>
        <v/>
      </c>
      <c r="CA19" s="11" t="str">
        <f t="shared" si="27"/>
        <v/>
      </c>
      <c r="CB19" s="11">
        <f t="shared" si="28"/>
        <v>59.1</v>
      </c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27"/>
      <c r="CX19" s="40" t="str">
        <f t="shared" si="29"/>
        <v/>
      </c>
      <c r="CY19" s="40" t="str">
        <f t="shared" si="30"/>
        <v/>
      </c>
      <c r="CZ19" s="40" t="str">
        <f t="shared" si="31"/>
        <v/>
      </c>
      <c r="DA19" s="40" t="str">
        <f t="shared" si="32"/>
        <v/>
      </c>
      <c r="DB19" s="40" t="str">
        <f t="shared" si="33"/>
        <v/>
      </c>
      <c r="DC19" s="40" t="str">
        <f t="shared" si="34"/>
        <v/>
      </c>
      <c r="DD19" s="40" t="str">
        <f t="shared" si="35"/>
        <v/>
      </c>
      <c r="DE19" s="40" t="str">
        <f t="shared" si="36"/>
        <v/>
      </c>
      <c r="DF19" s="50" t="str">
        <f t="shared" si="37"/>
        <v/>
      </c>
      <c r="DG19" s="50" t="str">
        <f t="shared" si="38"/>
        <v/>
      </c>
      <c r="DH19" s="50" t="str">
        <f t="shared" si="39"/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 t="shared" si="40"/>
        <v/>
      </c>
      <c r="ED19" s="40" t="str">
        <f t="shared" si="41"/>
        <v/>
      </c>
      <c r="EE19" s="40" t="str">
        <f t="shared" si="42"/>
        <v/>
      </c>
      <c r="EF19" s="40" t="str">
        <f t="shared" si="43"/>
        <v/>
      </c>
      <c r="EG19" s="40" t="str">
        <f t="shared" si="44"/>
        <v/>
      </c>
      <c r="EH19" s="40" t="str">
        <f t="shared" si="45"/>
        <v/>
      </c>
      <c r="EI19" s="40" t="str">
        <f t="shared" si="46"/>
        <v/>
      </c>
      <c r="EJ19" s="40" t="str">
        <f t="shared" si="47"/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 t="shared" si="48"/>
        <v/>
      </c>
      <c r="FF19" s="11" t="str">
        <f t="shared" si="49"/>
        <v/>
      </c>
      <c r="FG19" s="11" t="str">
        <f t="shared" si="50"/>
        <v/>
      </c>
      <c r="FH19" s="11" t="str">
        <f t="shared" si="51"/>
        <v/>
      </c>
      <c r="FI19" s="11" t="str">
        <f t="shared" si="52"/>
        <v/>
      </c>
      <c r="FJ19" s="11" t="str">
        <f t="shared" si="53"/>
        <v/>
      </c>
      <c r="FK19" s="11" t="str">
        <f t="shared" si="54"/>
        <v/>
      </c>
      <c r="FL19" s="11" t="str">
        <f t="shared" si="55"/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 t="shared" si="56"/>
        <v/>
      </c>
      <c r="GH19" s="40" t="str">
        <f t="shared" si="57"/>
        <v/>
      </c>
      <c r="GI19" s="40" t="str">
        <f t="shared" si="58"/>
        <v/>
      </c>
      <c r="GJ19" s="40" t="str">
        <f t="shared" si="59"/>
        <v/>
      </c>
      <c r="GK19" s="40" t="str">
        <f t="shared" si="60"/>
        <v/>
      </c>
      <c r="GL19" s="40" t="str">
        <f t="shared" si="61"/>
        <v/>
      </c>
      <c r="GM19" s="40" t="str">
        <f t="shared" si="62"/>
        <v/>
      </c>
      <c r="GN19" s="40" t="str">
        <f t="shared" si="63"/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 t="shared" si="64"/>
        <v/>
      </c>
      <c r="HJ19" s="11" t="str">
        <f t="shared" si="65"/>
        <v/>
      </c>
      <c r="HK19" s="11" t="str">
        <f t="shared" si="66"/>
        <v/>
      </c>
      <c r="HL19" s="11" t="str">
        <f t="shared" si="67"/>
        <v/>
      </c>
      <c r="HM19" s="11" t="str">
        <f t="shared" si="68"/>
        <v/>
      </c>
      <c r="HN19" s="11" t="str">
        <f t="shared" si="69"/>
        <v/>
      </c>
      <c r="HO19" s="11" t="str">
        <f t="shared" si="70"/>
        <v/>
      </c>
      <c r="HP19" s="11" t="str">
        <f t="shared" si="71"/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 t="shared" si="72"/>
        <v/>
      </c>
      <c r="IL19" s="40" t="str">
        <f t="shared" si="73"/>
        <v/>
      </c>
      <c r="IM19" s="40" t="str">
        <f t="shared" si="74"/>
        <v/>
      </c>
      <c r="IN19" s="40" t="str">
        <f t="shared" si="75"/>
        <v/>
      </c>
      <c r="IO19" s="40" t="str">
        <f t="shared" si="76"/>
        <v/>
      </c>
      <c r="IP19" s="40" t="str">
        <f t="shared" si="77"/>
        <v/>
      </c>
      <c r="IQ19" s="40" t="str">
        <f t="shared" si="78"/>
        <v/>
      </c>
      <c r="IR19" s="40" t="str">
        <f t="shared" si="79"/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 t="shared" si="80"/>
        <v/>
      </c>
      <c r="JN19" s="11" t="str">
        <f t="shared" si="81"/>
        <v/>
      </c>
      <c r="JO19" s="11" t="str">
        <f t="shared" si="82"/>
        <v/>
      </c>
      <c r="JP19" s="11" t="str">
        <f t="shared" si="83"/>
        <v/>
      </c>
      <c r="JQ19" s="11" t="str">
        <f t="shared" si="84"/>
        <v/>
      </c>
      <c r="JR19" s="11" t="str">
        <f t="shared" si="85"/>
        <v/>
      </c>
      <c r="JS19" s="11" t="str">
        <f t="shared" si="86"/>
        <v/>
      </c>
      <c r="JT19" s="11" t="str">
        <f t="shared" si="87"/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 t="shared" si="88"/>
        <v/>
      </c>
      <c r="KP19" s="40" t="str">
        <f t="shared" si="89"/>
        <v/>
      </c>
      <c r="KQ19" s="40" t="str">
        <f t="shared" si="90"/>
        <v/>
      </c>
      <c r="KR19" s="40" t="str">
        <f t="shared" si="91"/>
        <v/>
      </c>
      <c r="KS19" s="40" t="str">
        <f t="shared" si="92"/>
        <v/>
      </c>
      <c r="KT19" s="40" t="str">
        <f t="shared" si="93"/>
        <v/>
      </c>
      <c r="KU19" s="40" t="str">
        <f t="shared" si="94"/>
        <v/>
      </c>
      <c r="KV19" s="40" t="str">
        <f t="shared" si="95"/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 t="shared" si="96"/>
        <v/>
      </c>
      <c r="LR19" s="11" t="str">
        <f t="shared" si="97"/>
        <v/>
      </c>
      <c r="LS19" s="11" t="str">
        <f t="shared" si="98"/>
        <v/>
      </c>
      <c r="LT19" s="11" t="str">
        <f t="shared" si="99"/>
        <v/>
      </c>
      <c r="LU19" s="11" t="str">
        <f t="shared" si="100"/>
        <v/>
      </c>
      <c r="LV19" s="11" t="str">
        <f t="shared" si="101"/>
        <v/>
      </c>
      <c r="LW19" s="11" t="str">
        <f t="shared" si="102"/>
        <v/>
      </c>
      <c r="LX19" s="11" t="str">
        <f t="shared" si="103"/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 t="shared" si="104"/>
        <v/>
      </c>
      <c r="MT19" s="40" t="str">
        <f t="shared" si="105"/>
        <v/>
      </c>
      <c r="MU19" s="40" t="str">
        <f t="shared" si="106"/>
        <v/>
      </c>
      <c r="MV19" s="40" t="str">
        <f t="shared" si="107"/>
        <v/>
      </c>
      <c r="MW19" s="40" t="str">
        <f t="shared" si="108"/>
        <v/>
      </c>
      <c r="MX19" s="40" t="str">
        <f t="shared" si="109"/>
        <v/>
      </c>
      <c r="MY19" s="40" t="str">
        <f t="shared" si="110"/>
        <v/>
      </c>
      <c r="MZ19" s="40" t="str">
        <f t="shared" si="111"/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 t="shared" si="112"/>
        <v/>
      </c>
      <c r="NV19" s="11" t="str">
        <f t="shared" si="113"/>
        <v/>
      </c>
      <c r="NW19" s="11" t="str">
        <f t="shared" si="114"/>
        <v/>
      </c>
      <c r="NX19" s="11" t="str">
        <f t="shared" si="115"/>
        <v/>
      </c>
      <c r="NY19" s="11" t="str">
        <f t="shared" si="116"/>
        <v/>
      </c>
      <c r="NZ19" s="11" t="str">
        <f t="shared" si="117"/>
        <v/>
      </c>
      <c r="OA19" s="11" t="str">
        <f t="shared" si="118"/>
        <v/>
      </c>
      <c r="OB19" s="11" t="str">
        <f t="shared" si="119"/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 t="shared" si="120"/>
        <v/>
      </c>
      <c r="OX19" s="40" t="str">
        <f t="shared" si="121"/>
        <v/>
      </c>
      <c r="OY19" s="40" t="str">
        <f t="shared" si="122"/>
        <v/>
      </c>
      <c r="OZ19" s="40" t="str">
        <f t="shared" si="123"/>
        <v/>
      </c>
      <c r="PA19" s="40" t="str">
        <f t="shared" si="124"/>
        <v/>
      </c>
      <c r="PB19" s="40" t="str">
        <f t="shared" si="125"/>
        <v/>
      </c>
      <c r="PC19" s="40" t="str">
        <f t="shared" si="126"/>
        <v/>
      </c>
      <c r="PD19" s="40" t="str">
        <f t="shared" si="127"/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 t="shared" si="128"/>
        <v/>
      </c>
      <c r="PZ19" s="11" t="str">
        <f t="shared" si="129"/>
        <v/>
      </c>
      <c r="QA19" s="11" t="str">
        <f t="shared" si="130"/>
        <v/>
      </c>
      <c r="QB19" s="11" t="str">
        <f t="shared" si="131"/>
        <v/>
      </c>
      <c r="QC19" s="11" t="str">
        <f t="shared" si="132"/>
        <v/>
      </c>
      <c r="QD19" s="11" t="str">
        <f t="shared" si="133"/>
        <v/>
      </c>
      <c r="QE19" s="11" t="str">
        <f t="shared" si="134"/>
        <v/>
      </c>
      <c r="QF19" s="11" t="str">
        <f t="shared" si="135"/>
        <v/>
      </c>
      <c r="QG19" s="22">
        <f t="shared" si="136"/>
        <v>9</v>
      </c>
      <c r="QH19" s="22">
        <f t="shared" si="137"/>
        <v>1.75</v>
      </c>
      <c r="QI19" s="22">
        <f t="shared" si="138"/>
        <v>0.1</v>
      </c>
      <c r="QJ19" s="22">
        <f t="shared" si="139"/>
        <v>0</v>
      </c>
      <c r="QK19" s="22">
        <f t="shared" si="140"/>
        <v>9</v>
      </c>
      <c r="QL19" s="22">
        <f t="shared" si="141"/>
        <v>1.35</v>
      </c>
      <c r="QM19" s="22">
        <f t="shared" si="142"/>
        <v>0.55000000000000004</v>
      </c>
      <c r="QN19" s="22">
        <f t="shared" si="143"/>
        <v>0</v>
      </c>
      <c r="QO19" s="22">
        <f t="shared" si="144"/>
        <v>8.8000000000000007</v>
      </c>
      <c r="QP19" s="22">
        <f t="shared" si="145"/>
        <v>0.3</v>
      </c>
      <c r="QQ19" s="22">
        <f t="shared" si="146"/>
        <v>0</v>
      </c>
      <c r="QR19" s="22">
        <f t="shared" si="147"/>
        <v>0</v>
      </c>
      <c r="QS19" s="22">
        <f t="shared" si="148"/>
        <v>0</v>
      </c>
      <c r="QT19" s="22">
        <f t="shared" si="149"/>
        <v>0</v>
      </c>
      <c r="QU19" s="22">
        <f t="shared" si="150"/>
        <v>0</v>
      </c>
      <c r="QV19" s="22">
        <f t="shared" si="151"/>
        <v>0</v>
      </c>
      <c r="QW19" s="22">
        <f t="shared" si="152"/>
        <v>0</v>
      </c>
      <c r="QX19" s="22">
        <f t="shared" si="153"/>
        <v>0</v>
      </c>
      <c r="QY19" s="22">
        <f t="shared" si="154"/>
        <v>0</v>
      </c>
      <c r="QZ19" s="22">
        <f t="shared" si="155"/>
        <v>0</v>
      </c>
      <c r="RA19" s="27" t="s">
        <v>46</v>
      </c>
      <c r="RB19" s="40">
        <f t="shared" si="156"/>
        <v>3.1</v>
      </c>
      <c r="RC19" s="40">
        <f t="shared" si="157"/>
        <v>20.45</v>
      </c>
      <c r="RD19" s="40">
        <f t="shared" si="158"/>
        <v>9.1000000000000014</v>
      </c>
      <c r="RE19" s="40">
        <f t="shared" si="159"/>
        <v>3.4</v>
      </c>
      <c r="RF19" s="40">
        <f t="shared" si="160"/>
        <v>29.55</v>
      </c>
      <c r="RG19" s="40" t="str">
        <f t="shared" si="161"/>
        <v/>
      </c>
      <c r="RH19" s="40" t="str">
        <f t="shared" si="162"/>
        <v/>
      </c>
      <c r="RI19" s="40">
        <f t="shared" si="163"/>
        <v>29.55</v>
      </c>
    </row>
    <row r="20" spans="1:477" x14ac:dyDescent="0.2">
      <c r="A20" s="4" t="str" cm="1">
        <f t="array" ref="A20">IF(AND(J20&lt;&gt;"",J20&lt;&gt;"No DD"),SUMPRODUCT((J$4:J$27&lt;&gt;"")*(J$4:J$27&lt;&gt;"No DD")*(F$4:F$27&gt;F20))+1,IF(J20="No DD",SUMPRODUCT((J$4:J$27="No DD")*(F$4:F$27&gt;F20))+1+SUMPRODUCT((J$4:J$27&lt;&gt;"")*(J$4:J$27&lt;&gt;"No DD")),""))</f>
        <v/>
      </c>
      <c r="B20" s="4" t="str" cm="1">
        <f t="array" ref="B20">IF(AND(J20&lt;&gt;"",J20&lt;&gt;"No DD",G20=""),SUMPRODUCT((J$4:J$27&lt;&gt;"")*(J$4:J$27&lt;&gt;"No DD")*(G$4:G$27="")*(F$4:F$27&gt;F20))+1,IF(J20="No DD",SUMPRODUCT((J$4:J$27="No DD")*(F$4:F$27&gt;F20)*(G$4:G$27=""))+1+SUMPRODUCT((J$4:J$27&lt;&gt;"")*(G$4:G$27="")*(J$4:J$27&lt;&gt;"No DD")),""))</f>
        <v/>
      </c>
      <c r="C20" s="5" t="s">
        <v>141</v>
      </c>
      <c r="D20" s="4" t="s">
        <v>4</v>
      </c>
      <c r="E20" s="4">
        <v>2004</v>
      </c>
      <c r="F20" s="9">
        <f t="shared" si="0"/>
        <v>140.30000991000398</v>
      </c>
      <c r="G20" s="66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IF(COUNT(AS20,BV20,CY20)&gt;0,LARGE((AS20,BV20,CY20),1),0)</f>
        <v>39.700000000000003</v>
      </c>
      <c r="M20" s="8" t="str">
        <f t="shared" si="5"/>
        <v>2023 Elite Canada</v>
      </c>
      <c r="N20" s="8">
        <f>IF(COUNT(AS20,BV20,CY20)&gt;1,LARGE((AS20,BV20,CY20),2),0)</f>
        <v>37.300000000000004</v>
      </c>
      <c r="O20" s="8" t="str">
        <f t="shared" si="6"/>
        <v>2023 Nationals</v>
      </c>
      <c r="P20" s="8">
        <f>IF(COUNT(AT20,BW20,CZ20)&gt;0,LARGE((AT20,BW20,CZ20),1),0)</f>
        <v>22.1</v>
      </c>
      <c r="Q20" s="8" t="str">
        <f t="shared" si="7"/>
        <v>2023 Nationals</v>
      </c>
      <c r="R20" s="8">
        <f t="shared" si="8"/>
        <v>41.2</v>
      </c>
      <c r="S20" s="8" t="str">
        <f t="shared" si="9"/>
        <v>2023 Elite Canada</v>
      </c>
      <c r="T20" s="8" t="str">
        <f t="shared" si="10"/>
        <v/>
      </c>
      <c r="U20" s="11" t="str">
        <f t="shared" si="11"/>
        <v/>
      </c>
      <c r="V20" s="8" t="str">
        <f t="shared" si="12"/>
        <v/>
      </c>
      <c r="W20" s="19">
        <v>18.7</v>
      </c>
      <c r="X20" s="19">
        <v>2.7</v>
      </c>
      <c r="Y20" s="19">
        <v>0.3</v>
      </c>
      <c r="Z20" s="19">
        <v>0</v>
      </c>
      <c r="AA20" s="19">
        <v>17.399999999999999</v>
      </c>
      <c r="AB20" s="19">
        <v>1.2</v>
      </c>
      <c r="AC20" s="19">
        <v>0</v>
      </c>
      <c r="AD20" s="19">
        <v>0</v>
      </c>
      <c r="AE20" s="19">
        <v>18.399999999999999</v>
      </c>
      <c r="AF20" s="19">
        <v>3.3</v>
      </c>
      <c r="AG20" s="19">
        <v>0</v>
      </c>
      <c r="AH20" s="19">
        <v>0</v>
      </c>
      <c r="AI20" s="19">
        <v>18.600000000000001</v>
      </c>
      <c r="AJ20" s="19">
        <v>2.7</v>
      </c>
      <c r="AK20" s="19">
        <v>0.3</v>
      </c>
      <c r="AL20" s="19">
        <v>0</v>
      </c>
      <c r="AM20" s="19">
        <v>16.8</v>
      </c>
      <c r="AN20" s="19">
        <v>3.6</v>
      </c>
      <c r="AO20" s="19">
        <v>0.2</v>
      </c>
      <c r="AP20" s="19">
        <v>0</v>
      </c>
      <c r="AQ20" s="27"/>
      <c r="AR20" s="40">
        <f t="shared" si="13"/>
        <v>3.9000000000000004</v>
      </c>
      <c r="AS20" s="40">
        <f t="shared" si="14"/>
        <v>39.700000000000003</v>
      </c>
      <c r="AT20" s="40">
        <f t="shared" si="15"/>
        <v>21.7</v>
      </c>
      <c r="AU20" s="40">
        <f t="shared" si="16"/>
        <v>7.2</v>
      </c>
      <c r="AV20" s="40">
        <f t="shared" si="17"/>
        <v>61.400000000000006</v>
      </c>
      <c r="AW20" s="40">
        <f t="shared" si="18"/>
        <v>6.3000000000000007</v>
      </c>
      <c r="AX20" s="40">
        <f t="shared" si="19"/>
        <v>41.2</v>
      </c>
      <c r="AY20" s="40">
        <f t="shared" si="20"/>
        <v>102.60000000000001</v>
      </c>
      <c r="AZ20" s="18">
        <v>17.8</v>
      </c>
      <c r="BA20" s="18">
        <v>0.7</v>
      </c>
      <c r="BB20" s="18">
        <v>0</v>
      </c>
      <c r="BC20" s="18">
        <v>0</v>
      </c>
      <c r="BD20" s="18">
        <v>17.600000000000001</v>
      </c>
      <c r="BE20" s="18">
        <v>1.2</v>
      </c>
      <c r="BF20" s="18">
        <v>0</v>
      </c>
      <c r="BG20" s="18">
        <v>0</v>
      </c>
      <c r="BH20" s="18">
        <v>18.8</v>
      </c>
      <c r="BI20" s="18">
        <v>3.3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 t="shared" si="21"/>
        <v>1.9</v>
      </c>
      <c r="BV20" s="11">
        <f t="shared" si="22"/>
        <v>37.300000000000004</v>
      </c>
      <c r="BW20" s="11">
        <f t="shared" si="23"/>
        <v>22.1</v>
      </c>
      <c r="BX20" s="11">
        <f t="shared" si="24"/>
        <v>5.1999999999999993</v>
      </c>
      <c r="BY20" s="11">
        <f t="shared" si="25"/>
        <v>59.400000000000006</v>
      </c>
      <c r="BZ20" s="11" t="str">
        <f t="shared" si="26"/>
        <v/>
      </c>
      <c r="CA20" s="11" t="str">
        <f t="shared" si="27"/>
        <v/>
      </c>
      <c r="CB20" s="11">
        <f t="shared" si="28"/>
        <v>59.400000000000006</v>
      </c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27"/>
      <c r="CX20" s="40" t="str">
        <f t="shared" si="29"/>
        <v/>
      </c>
      <c r="CY20" s="40" t="str">
        <f t="shared" si="30"/>
        <v/>
      </c>
      <c r="CZ20" s="40" t="str">
        <f t="shared" si="31"/>
        <v/>
      </c>
      <c r="DA20" s="40" t="str">
        <f t="shared" si="32"/>
        <v/>
      </c>
      <c r="DB20" s="40" t="str">
        <f t="shared" si="33"/>
        <v/>
      </c>
      <c r="DC20" s="40" t="str">
        <f t="shared" si="34"/>
        <v/>
      </c>
      <c r="DD20" s="40" t="str">
        <f t="shared" si="35"/>
        <v/>
      </c>
      <c r="DE20" s="40" t="str">
        <f t="shared" si="36"/>
        <v/>
      </c>
      <c r="DF20" s="50" t="str">
        <f t="shared" si="37"/>
        <v/>
      </c>
      <c r="DG20" s="50" t="str">
        <f t="shared" si="38"/>
        <v/>
      </c>
      <c r="DH20" s="50" t="str">
        <f t="shared" si="39"/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 t="shared" si="40"/>
        <v/>
      </c>
      <c r="ED20" s="40" t="str">
        <f t="shared" si="41"/>
        <v/>
      </c>
      <c r="EE20" s="40" t="str">
        <f t="shared" si="42"/>
        <v/>
      </c>
      <c r="EF20" s="40" t="str">
        <f t="shared" si="43"/>
        <v/>
      </c>
      <c r="EG20" s="40" t="str">
        <f t="shared" si="44"/>
        <v/>
      </c>
      <c r="EH20" s="40" t="str">
        <f t="shared" si="45"/>
        <v/>
      </c>
      <c r="EI20" s="40" t="str">
        <f t="shared" si="46"/>
        <v/>
      </c>
      <c r="EJ20" s="40" t="str">
        <f t="shared" si="47"/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 t="shared" si="48"/>
        <v/>
      </c>
      <c r="FF20" s="11" t="str">
        <f t="shared" si="49"/>
        <v/>
      </c>
      <c r="FG20" s="11" t="str">
        <f t="shared" si="50"/>
        <v/>
      </c>
      <c r="FH20" s="11" t="str">
        <f t="shared" si="51"/>
        <v/>
      </c>
      <c r="FI20" s="11" t="str">
        <f t="shared" si="52"/>
        <v/>
      </c>
      <c r="FJ20" s="11" t="str">
        <f t="shared" si="53"/>
        <v/>
      </c>
      <c r="FK20" s="11" t="str">
        <f t="shared" si="54"/>
        <v/>
      </c>
      <c r="FL20" s="11" t="str">
        <f t="shared" si="55"/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 t="shared" si="56"/>
        <v/>
      </c>
      <c r="GH20" s="40" t="str">
        <f t="shared" si="57"/>
        <v/>
      </c>
      <c r="GI20" s="40" t="str">
        <f t="shared" si="58"/>
        <v/>
      </c>
      <c r="GJ20" s="40" t="str">
        <f t="shared" si="59"/>
        <v/>
      </c>
      <c r="GK20" s="40" t="str">
        <f t="shared" si="60"/>
        <v/>
      </c>
      <c r="GL20" s="40" t="str">
        <f t="shared" si="61"/>
        <v/>
      </c>
      <c r="GM20" s="40" t="str">
        <f t="shared" si="62"/>
        <v/>
      </c>
      <c r="GN20" s="40" t="str">
        <f t="shared" si="63"/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 t="shared" si="64"/>
        <v/>
      </c>
      <c r="HJ20" s="11" t="str">
        <f t="shared" si="65"/>
        <v/>
      </c>
      <c r="HK20" s="11" t="str">
        <f t="shared" si="66"/>
        <v/>
      </c>
      <c r="HL20" s="11" t="str">
        <f t="shared" si="67"/>
        <v/>
      </c>
      <c r="HM20" s="11" t="str">
        <f t="shared" si="68"/>
        <v/>
      </c>
      <c r="HN20" s="11" t="str">
        <f t="shared" si="69"/>
        <v/>
      </c>
      <c r="HO20" s="11" t="str">
        <f t="shared" si="70"/>
        <v/>
      </c>
      <c r="HP20" s="11" t="str">
        <f t="shared" si="71"/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 t="shared" si="72"/>
        <v/>
      </c>
      <c r="IL20" s="40" t="str">
        <f t="shared" si="73"/>
        <v/>
      </c>
      <c r="IM20" s="40" t="str">
        <f t="shared" si="74"/>
        <v/>
      </c>
      <c r="IN20" s="40" t="str">
        <f t="shared" si="75"/>
        <v/>
      </c>
      <c r="IO20" s="40" t="str">
        <f t="shared" si="76"/>
        <v/>
      </c>
      <c r="IP20" s="40" t="str">
        <f t="shared" si="77"/>
        <v/>
      </c>
      <c r="IQ20" s="40" t="str">
        <f t="shared" si="78"/>
        <v/>
      </c>
      <c r="IR20" s="40" t="str">
        <f t="shared" si="79"/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 t="shared" si="80"/>
        <v/>
      </c>
      <c r="JN20" s="11" t="str">
        <f t="shared" si="81"/>
        <v/>
      </c>
      <c r="JO20" s="11" t="str">
        <f t="shared" si="82"/>
        <v/>
      </c>
      <c r="JP20" s="11" t="str">
        <f t="shared" si="83"/>
        <v/>
      </c>
      <c r="JQ20" s="11" t="str">
        <f t="shared" si="84"/>
        <v/>
      </c>
      <c r="JR20" s="11" t="str">
        <f t="shared" si="85"/>
        <v/>
      </c>
      <c r="JS20" s="11" t="str">
        <f t="shared" si="86"/>
        <v/>
      </c>
      <c r="JT20" s="11" t="str">
        <f t="shared" si="87"/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 t="shared" si="88"/>
        <v/>
      </c>
      <c r="KP20" s="40" t="str">
        <f t="shared" si="89"/>
        <v/>
      </c>
      <c r="KQ20" s="40" t="str">
        <f t="shared" si="90"/>
        <v/>
      </c>
      <c r="KR20" s="40" t="str">
        <f t="shared" si="91"/>
        <v/>
      </c>
      <c r="KS20" s="40" t="str">
        <f t="shared" si="92"/>
        <v/>
      </c>
      <c r="KT20" s="40" t="str">
        <f t="shared" si="93"/>
        <v/>
      </c>
      <c r="KU20" s="40" t="str">
        <f t="shared" si="94"/>
        <v/>
      </c>
      <c r="KV20" s="40" t="str">
        <f t="shared" si="95"/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 t="shared" si="96"/>
        <v/>
      </c>
      <c r="LR20" s="11" t="str">
        <f t="shared" si="97"/>
        <v/>
      </c>
      <c r="LS20" s="11" t="str">
        <f t="shared" si="98"/>
        <v/>
      </c>
      <c r="LT20" s="11" t="str">
        <f t="shared" si="99"/>
        <v/>
      </c>
      <c r="LU20" s="11" t="str">
        <f t="shared" si="100"/>
        <v/>
      </c>
      <c r="LV20" s="11" t="str">
        <f t="shared" si="101"/>
        <v/>
      </c>
      <c r="LW20" s="11" t="str">
        <f t="shared" si="102"/>
        <v/>
      </c>
      <c r="LX20" s="11" t="str">
        <f t="shared" si="103"/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 t="shared" si="104"/>
        <v/>
      </c>
      <c r="MT20" s="40" t="str">
        <f t="shared" si="105"/>
        <v/>
      </c>
      <c r="MU20" s="40" t="str">
        <f t="shared" si="106"/>
        <v/>
      </c>
      <c r="MV20" s="40" t="str">
        <f t="shared" si="107"/>
        <v/>
      </c>
      <c r="MW20" s="40" t="str">
        <f t="shared" si="108"/>
        <v/>
      </c>
      <c r="MX20" s="40" t="str">
        <f t="shared" si="109"/>
        <v/>
      </c>
      <c r="MY20" s="40" t="str">
        <f t="shared" si="110"/>
        <v/>
      </c>
      <c r="MZ20" s="40" t="str">
        <f t="shared" si="111"/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 t="shared" si="112"/>
        <v/>
      </c>
      <c r="NV20" s="11" t="str">
        <f t="shared" si="113"/>
        <v/>
      </c>
      <c r="NW20" s="11" t="str">
        <f t="shared" si="114"/>
        <v/>
      </c>
      <c r="NX20" s="11" t="str">
        <f t="shared" si="115"/>
        <v/>
      </c>
      <c r="NY20" s="11" t="str">
        <f t="shared" si="116"/>
        <v/>
      </c>
      <c r="NZ20" s="11" t="str">
        <f t="shared" si="117"/>
        <v/>
      </c>
      <c r="OA20" s="11" t="str">
        <f t="shared" si="118"/>
        <v/>
      </c>
      <c r="OB20" s="11" t="str">
        <f t="shared" si="119"/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 t="shared" si="120"/>
        <v/>
      </c>
      <c r="OX20" s="40" t="str">
        <f t="shared" si="121"/>
        <v/>
      </c>
      <c r="OY20" s="40" t="str">
        <f t="shared" si="122"/>
        <v/>
      </c>
      <c r="OZ20" s="40" t="str">
        <f t="shared" si="123"/>
        <v/>
      </c>
      <c r="PA20" s="40" t="str">
        <f t="shared" si="124"/>
        <v/>
      </c>
      <c r="PB20" s="40" t="str">
        <f t="shared" si="125"/>
        <v/>
      </c>
      <c r="PC20" s="40" t="str">
        <f t="shared" si="126"/>
        <v/>
      </c>
      <c r="PD20" s="40" t="str">
        <f t="shared" si="127"/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 t="shared" si="128"/>
        <v/>
      </c>
      <c r="PZ20" s="11" t="str">
        <f t="shared" si="129"/>
        <v/>
      </c>
      <c r="QA20" s="11" t="str">
        <f t="shared" si="130"/>
        <v/>
      </c>
      <c r="QB20" s="11" t="str">
        <f t="shared" si="131"/>
        <v/>
      </c>
      <c r="QC20" s="11" t="str">
        <f t="shared" si="132"/>
        <v/>
      </c>
      <c r="QD20" s="11" t="str">
        <f t="shared" si="133"/>
        <v/>
      </c>
      <c r="QE20" s="11" t="str">
        <f t="shared" si="134"/>
        <v/>
      </c>
      <c r="QF20" s="11" t="str">
        <f t="shared" si="135"/>
        <v/>
      </c>
      <c r="QG20" s="22">
        <f t="shared" si="136"/>
        <v>8.9</v>
      </c>
      <c r="QH20" s="22">
        <f t="shared" si="137"/>
        <v>0.35</v>
      </c>
      <c r="QI20" s="22">
        <f t="shared" si="138"/>
        <v>0</v>
      </c>
      <c r="QJ20" s="22">
        <f t="shared" si="139"/>
        <v>0</v>
      </c>
      <c r="QK20" s="22">
        <f t="shared" si="140"/>
        <v>8.8000000000000007</v>
      </c>
      <c r="QL20" s="22">
        <f t="shared" si="141"/>
        <v>0.6</v>
      </c>
      <c r="QM20" s="22">
        <f t="shared" si="142"/>
        <v>0</v>
      </c>
      <c r="QN20" s="22">
        <f t="shared" si="143"/>
        <v>0</v>
      </c>
      <c r="QO20" s="22">
        <f t="shared" si="144"/>
        <v>9.4</v>
      </c>
      <c r="QP20" s="22">
        <f t="shared" si="145"/>
        <v>1.65</v>
      </c>
      <c r="QQ20" s="22">
        <f t="shared" si="146"/>
        <v>0</v>
      </c>
      <c r="QR20" s="22">
        <f t="shared" si="147"/>
        <v>0</v>
      </c>
      <c r="QS20" s="22">
        <f t="shared" si="148"/>
        <v>0</v>
      </c>
      <c r="QT20" s="22">
        <f t="shared" si="149"/>
        <v>0</v>
      </c>
      <c r="QU20" s="22">
        <f t="shared" si="150"/>
        <v>0</v>
      </c>
      <c r="QV20" s="22">
        <f t="shared" si="151"/>
        <v>0</v>
      </c>
      <c r="QW20" s="22">
        <f t="shared" si="152"/>
        <v>0</v>
      </c>
      <c r="QX20" s="22">
        <f t="shared" si="153"/>
        <v>0</v>
      </c>
      <c r="QY20" s="22">
        <f t="shared" si="154"/>
        <v>0</v>
      </c>
      <c r="QZ20" s="22">
        <f t="shared" si="155"/>
        <v>0</v>
      </c>
      <c r="RA20" s="27" t="s">
        <v>46</v>
      </c>
      <c r="RB20" s="40">
        <f t="shared" si="156"/>
        <v>0.95</v>
      </c>
      <c r="RC20" s="40">
        <f t="shared" si="157"/>
        <v>18.650000000000002</v>
      </c>
      <c r="RD20" s="40">
        <f t="shared" si="158"/>
        <v>11.05</v>
      </c>
      <c r="RE20" s="40">
        <f t="shared" si="159"/>
        <v>2.5999999999999996</v>
      </c>
      <c r="RF20" s="40">
        <f t="shared" si="160"/>
        <v>29.700000000000003</v>
      </c>
      <c r="RG20" s="40" t="str">
        <f t="shared" si="161"/>
        <v/>
      </c>
      <c r="RH20" s="40" t="str">
        <f t="shared" si="162"/>
        <v/>
      </c>
      <c r="RI20" s="40">
        <f t="shared" si="163"/>
        <v>29.700000000000003</v>
      </c>
    </row>
    <row r="21" spans="1:477" x14ac:dyDescent="0.2">
      <c r="A21" s="4" t="str" cm="1">
        <f t="array" ref="A21">IF(AND(J21&lt;&gt;"",J21&lt;&gt;"No DD"),SUMPRODUCT((J$4:J$27&lt;&gt;"")*(J$4:J$27&lt;&gt;"No DD")*(F$4:F$27&gt;F21))+1,IF(J21="No DD",SUMPRODUCT((J$4:J$27="No DD")*(F$4:F$27&gt;F21))+1+SUMPRODUCT((J$4:J$27&lt;&gt;"")*(J$4:J$27&lt;&gt;"No DD")),""))</f>
        <v/>
      </c>
      <c r="B21" s="4" t="str" cm="1">
        <f t="array" ref="B21">IF(AND(J21&lt;&gt;"",J21&lt;&gt;"No DD",G21=""),SUMPRODUCT((J$4:J$27&lt;&gt;"")*(J$4:J$27&lt;&gt;"No DD")*(G$4:G$27="")*(F$4:F$27&gt;F21))+1,IF(J21="No DD",SUMPRODUCT((J$4:J$27="No DD")*(F$4:F$27&gt;F21)*(G$4:G$27=""))+1+SUMPRODUCT((J$4:J$27&lt;&gt;"")*(G$4:G$27="")*(J$4:J$27&lt;&gt;"No DD")),""))</f>
        <v/>
      </c>
      <c r="C21" s="5" t="s">
        <v>73</v>
      </c>
      <c r="D21" s="4" t="s">
        <v>5</v>
      </c>
      <c r="E21" s="4">
        <v>2003</v>
      </c>
      <c r="F21" s="9">
        <f t="shared" si="0"/>
        <v>110.6000110600045</v>
      </c>
      <c r="G21" s="66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IF(COUNT(AS21,BV21,CY21)&gt;0,LARGE((AS21,BV21,CY21),1),0)</f>
        <v>45.099999999999994</v>
      </c>
      <c r="M21" s="8" t="str">
        <f t="shared" si="5"/>
        <v>2023 Nationals</v>
      </c>
      <c r="N21" s="8">
        <f>IF(COUNT(AS21,BV21,CY21)&gt;1,LARGE((AS21,BV21,CY21),2),0)</f>
        <v>42.9</v>
      </c>
      <c r="O21" s="8" t="str">
        <f t="shared" si="6"/>
        <v>2023 Elite Canada</v>
      </c>
      <c r="P21" s="8">
        <f>IF(COUNT(AT21,BW21,CZ21)&gt;0,LARGE((AT21,BW21,CZ21),1),0)</f>
        <v>22.6</v>
      </c>
      <c r="Q21" s="8" t="str">
        <f t="shared" si="7"/>
        <v>2023 Nationals</v>
      </c>
      <c r="R21" s="8">
        <f t="shared" si="8"/>
        <v>0</v>
      </c>
      <c r="S21" s="8" t="str">
        <f t="shared" si="9"/>
        <v/>
      </c>
      <c r="T21" s="8" t="str">
        <f t="shared" si="10"/>
        <v/>
      </c>
      <c r="U21" s="11" t="str">
        <f t="shared" si="11"/>
        <v/>
      </c>
      <c r="V21" s="8" t="str">
        <f t="shared" si="12"/>
        <v/>
      </c>
      <c r="W21" s="19">
        <v>17.399999999999999</v>
      </c>
      <c r="X21" s="19">
        <v>2.9</v>
      </c>
      <c r="Y21" s="19">
        <v>1.2</v>
      </c>
      <c r="Z21" s="19">
        <v>0</v>
      </c>
      <c r="AA21" s="19">
        <v>18.2</v>
      </c>
      <c r="AB21" s="19">
        <v>5.6</v>
      </c>
      <c r="AC21" s="19">
        <v>0</v>
      </c>
      <c r="AD21" s="19">
        <v>0</v>
      </c>
      <c r="AE21" s="19">
        <v>17</v>
      </c>
      <c r="AF21" s="19">
        <v>2.8</v>
      </c>
      <c r="AG21" s="19">
        <v>0</v>
      </c>
      <c r="AH21" s="19">
        <v>0</v>
      </c>
      <c r="AI21" s="19"/>
      <c r="AJ21" s="19"/>
      <c r="AK21" s="19"/>
      <c r="AL21" s="19"/>
      <c r="AM21" s="19"/>
      <c r="AN21" s="19"/>
      <c r="AO21" s="19"/>
      <c r="AP21" s="19"/>
      <c r="AQ21" s="27"/>
      <c r="AR21" s="40">
        <f t="shared" si="13"/>
        <v>8.5</v>
      </c>
      <c r="AS21" s="40">
        <f t="shared" si="14"/>
        <v>42.9</v>
      </c>
      <c r="AT21" s="40">
        <f t="shared" si="15"/>
        <v>19.8</v>
      </c>
      <c r="AU21" s="40">
        <f t="shared" si="16"/>
        <v>11.3</v>
      </c>
      <c r="AV21" s="40">
        <f t="shared" si="17"/>
        <v>62.7</v>
      </c>
      <c r="AW21" s="40" t="str">
        <f t="shared" si="18"/>
        <v/>
      </c>
      <c r="AX21" s="40" t="str">
        <f t="shared" si="19"/>
        <v/>
      </c>
      <c r="AY21" s="40">
        <f t="shared" si="20"/>
        <v>62.7</v>
      </c>
      <c r="AZ21" s="18">
        <v>18</v>
      </c>
      <c r="BA21" s="18">
        <v>5.6</v>
      </c>
      <c r="BB21" s="18">
        <v>0.2</v>
      </c>
      <c r="BC21" s="18">
        <v>0</v>
      </c>
      <c r="BD21" s="18">
        <v>16.2</v>
      </c>
      <c r="BE21" s="18">
        <v>6</v>
      </c>
      <c r="BF21" s="18">
        <v>0.8</v>
      </c>
      <c r="BG21" s="18">
        <v>0.3</v>
      </c>
      <c r="BH21" s="18">
        <v>18</v>
      </c>
      <c r="BI21" s="18">
        <v>4.8</v>
      </c>
      <c r="BJ21" s="18">
        <v>0.2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 t="shared" si="21"/>
        <v>11.6</v>
      </c>
      <c r="BV21" s="11">
        <f t="shared" si="22"/>
        <v>45.099999999999994</v>
      </c>
      <c r="BW21" s="11">
        <f t="shared" si="23"/>
        <v>22.6</v>
      </c>
      <c r="BX21" s="11">
        <f t="shared" si="24"/>
        <v>16.399999999999999</v>
      </c>
      <c r="BY21" s="11">
        <f t="shared" si="25"/>
        <v>67.699999999999989</v>
      </c>
      <c r="BZ21" s="11" t="str">
        <f t="shared" si="26"/>
        <v/>
      </c>
      <c r="CA21" s="11" t="str">
        <f t="shared" si="27"/>
        <v/>
      </c>
      <c r="CB21" s="11">
        <f t="shared" si="28"/>
        <v>67.699999999999989</v>
      </c>
      <c r="CC21" s="19">
        <v>16.399999999999999</v>
      </c>
      <c r="CD21" s="19">
        <v>5.2</v>
      </c>
      <c r="CE21" s="19">
        <v>0.8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 t="shared" si="29"/>
        <v>5.2</v>
      </c>
      <c r="CY21" s="40">
        <f t="shared" si="30"/>
        <v>20.799999999999997</v>
      </c>
      <c r="CZ21" s="40" t="str">
        <f t="shared" si="31"/>
        <v/>
      </c>
      <c r="DA21" s="40">
        <f t="shared" si="32"/>
        <v>5.2</v>
      </c>
      <c r="DB21" s="40">
        <f t="shared" si="33"/>
        <v>20.799999999999997</v>
      </c>
      <c r="DC21" s="40" t="str">
        <f t="shared" si="34"/>
        <v/>
      </c>
      <c r="DD21" s="40" t="str">
        <f t="shared" si="35"/>
        <v/>
      </c>
      <c r="DE21" s="40">
        <f t="shared" si="36"/>
        <v>20.799999999999997</v>
      </c>
      <c r="DF21" s="50" t="str">
        <f t="shared" si="37"/>
        <v/>
      </c>
      <c r="DG21" s="50" t="str">
        <f t="shared" si="38"/>
        <v/>
      </c>
      <c r="DH21" s="50" t="str">
        <f t="shared" si="39"/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 t="shared" si="40"/>
        <v/>
      </c>
      <c r="ED21" s="40" t="str">
        <f t="shared" si="41"/>
        <v/>
      </c>
      <c r="EE21" s="40" t="str">
        <f t="shared" si="42"/>
        <v/>
      </c>
      <c r="EF21" s="40" t="str">
        <f t="shared" si="43"/>
        <v/>
      </c>
      <c r="EG21" s="40" t="str">
        <f t="shared" si="44"/>
        <v/>
      </c>
      <c r="EH21" s="40" t="str">
        <f t="shared" si="45"/>
        <v/>
      </c>
      <c r="EI21" s="40" t="str">
        <f t="shared" si="46"/>
        <v/>
      </c>
      <c r="EJ21" s="40" t="str">
        <f t="shared" si="47"/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 t="shared" si="48"/>
        <v/>
      </c>
      <c r="FF21" s="11" t="str">
        <f t="shared" si="49"/>
        <v/>
      </c>
      <c r="FG21" s="11" t="str">
        <f t="shared" si="50"/>
        <v/>
      </c>
      <c r="FH21" s="11" t="str">
        <f t="shared" si="51"/>
        <v/>
      </c>
      <c r="FI21" s="11" t="str">
        <f t="shared" si="52"/>
        <v/>
      </c>
      <c r="FJ21" s="11" t="str">
        <f t="shared" si="53"/>
        <v/>
      </c>
      <c r="FK21" s="11" t="str">
        <f t="shared" si="54"/>
        <v/>
      </c>
      <c r="FL21" s="11" t="str">
        <f t="shared" si="55"/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 t="shared" si="56"/>
        <v/>
      </c>
      <c r="GH21" s="40" t="str">
        <f t="shared" si="57"/>
        <v/>
      </c>
      <c r="GI21" s="40" t="str">
        <f t="shared" si="58"/>
        <v/>
      </c>
      <c r="GJ21" s="40" t="str">
        <f t="shared" si="59"/>
        <v/>
      </c>
      <c r="GK21" s="40" t="str">
        <f t="shared" si="60"/>
        <v/>
      </c>
      <c r="GL21" s="40" t="str">
        <f t="shared" si="61"/>
        <v/>
      </c>
      <c r="GM21" s="40" t="str">
        <f t="shared" si="62"/>
        <v/>
      </c>
      <c r="GN21" s="40" t="str">
        <f t="shared" si="63"/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 t="shared" si="64"/>
        <v/>
      </c>
      <c r="HJ21" s="11" t="str">
        <f t="shared" si="65"/>
        <v/>
      </c>
      <c r="HK21" s="11" t="str">
        <f t="shared" si="66"/>
        <v/>
      </c>
      <c r="HL21" s="11" t="str">
        <f t="shared" si="67"/>
        <v/>
      </c>
      <c r="HM21" s="11" t="str">
        <f t="shared" si="68"/>
        <v/>
      </c>
      <c r="HN21" s="11" t="str">
        <f t="shared" si="69"/>
        <v/>
      </c>
      <c r="HO21" s="11" t="str">
        <f t="shared" si="70"/>
        <v/>
      </c>
      <c r="HP21" s="11" t="str">
        <f t="shared" si="71"/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 t="shared" si="72"/>
        <v/>
      </c>
      <c r="IL21" s="40" t="str">
        <f t="shared" si="73"/>
        <v/>
      </c>
      <c r="IM21" s="40" t="str">
        <f t="shared" si="74"/>
        <v/>
      </c>
      <c r="IN21" s="40" t="str">
        <f t="shared" si="75"/>
        <v/>
      </c>
      <c r="IO21" s="40" t="str">
        <f t="shared" si="76"/>
        <v/>
      </c>
      <c r="IP21" s="40" t="str">
        <f t="shared" si="77"/>
        <v/>
      </c>
      <c r="IQ21" s="40" t="str">
        <f t="shared" si="78"/>
        <v/>
      </c>
      <c r="IR21" s="40" t="str">
        <f t="shared" si="79"/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 t="shared" si="80"/>
        <v/>
      </c>
      <c r="JN21" s="11" t="str">
        <f t="shared" si="81"/>
        <v/>
      </c>
      <c r="JO21" s="11" t="str">
        <f t="shared" si="82"/>
        <v/>
      </c>
      <c r="JP21" s="11" t="str">
        <f t="shared" si="83"/>
        <v/>
      </c>
      <c r="JQ21" s="11" t="str">
        <f t="shared" si="84"/>
        <v/>
      </c>
      <c r="JR21" s="11" t="str">
        <f t="shared" si="85"/>
        <v/>
      </c>
      <c r="JS21" s="11" t="str">
        <f t="shared" si="86"/>
        <v/>
      </c>
      <c r="JT21" s="11" t="str">
        <f t="shared" si="87"/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 t="shared" si="88"/>
        <v/>
      </c>
      <c r="KP21" s="40" t="str">
        <f t="shared" si="89"/>
        <v/>
      </c>
      <c r="KQ21" s="40" t="str">
        <f t="shared" si="90"/>
        <v/>
      </c>
      <c r="KR21" s="40" t="str">
        <f t="shared" si="91"/>
        <v/>
      </c>
      <c r="KS21" s="40" t="str">
        <f t="shared" si="92"/>
        <v/>
      </c>
      <c r="KT21" s="40" t="str">
        <f t="shared" si="93"/>
        <v/>
      </c>
      <c r="KU21" s="40" t="str">
        <f t="shared" si="94"/>
        <v/>
      </c>
      <c r="KV21" s="40" t="str">
        <f t="shared" si="95"/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 t="shared" si="96"/>
        <v/>
      </c>
      <c r="LR21" s="11" t="str">
        <f t="shared" si="97"/>
        <v/>
      </c>
      <c r="LS21" s="11" t="str">
        <f t="shared" si="98"/>
        <v/>
      </c>
      <c r="LT21" s="11" t="str">
        <f t="shared" si="99"/>
        <v/>
      </c>
      <c r="LU21" s="11" t="str">
        <f t="shared" si="100"/>
        <v/>
      </c>
      <c r="LV21" s="11" t="str">
        <f t="shared" si="101"/>
        <v/>
      </c>
      <c r="LW21" s="11" t="str">
        <f t="shared" si="102"/>
        <v/>
      </c>
      <c r="LX21" s="11" t="str">
        <f t="shared" si="103"/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 t="shared" si="104"/>
        <v/>
      </c>
      <c r="MT21" s="40" t="str">
        <f t="shared" si="105"/>
        <v/>
      </c>
      <c r="MU21" s="40" t="str">
        <f t="shared" si="106"/>
        <v/>
      </c>
      <c r="MV21" s="40" t="str">
        <f t="shared" si="107"/>
        <v/>
      </c>
      <c r="MW21" s="40" t="str">
        <f t="shared" si="108"/>
        <v/>
      </c>
      <c r="MX21" s="40" t="str">
        <f t="shared" si="109"/>
        <v/>
      </c>
      <c r="MY21" s="40" t="str">
        <f t="shared" si="110"/>
        <v/>
      </c>
      <c r="MZ21" s="40" t="str">
        <f t="shared" si="111"/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 t="shared" si="112"/>
        <v/>
      </c>
      <c r="NV21" s="11" t="str">
        <f t="shared" si="113"/>
        <v/>
      </c>
      <c r="NW21" s="11" t="str">
        <f t="shared" si="114"/>
        <v/>
      </c>
      <c r="NX21" s="11" t="str">
        <f t="shared" si="115"/>
        <v/>
      </c>
      <c r="NY21" s="11" t="str">
        <f t="shared" si="116"/>
        <v/>
      </c>
      <c r="NZ21" s="11" t="str">
        <f t="shared" si="117"/>
        <v/>
      </c>
      <c r="OA21" s="11" t="str">
        <f t="shared" si="118"/>
        <v/>
      </c>
      <c r="OB21" s="11" t="str">
        <f t="shared" si="119"/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 t="shared" si="120"/>
        <v/>
      </c>
      <c r="OX21" s="40" t="str">
        <f t="shared" si="121"/>
        <v/>
      </c>
      <c r="OY21" s="40" t="str">
        <f t="shared" si="122"/>
        <v/>
      </c>
      <c r="OZ21" s="40" t="str">
        <f t="shared" si="123"/>
        <v/>
      </c>
      <c r="PA21" s="40" t="str">
        <f t="shared" si="124"/>
        <v/>
      </c>
      <c r="PB21" s="40" t="str">
        <f t="shared" si="125"/>
        <v/>
      </c>
      <c r="PC21" s="40" t="str">
        <f t="shared" si="126"/>
        <v/>
      </c>
      <c r="PD21" s="40" t="str">
        <f t="shared" si="127"/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 t="shared" si="128"/>
        <v/>
      </c>
      <c r="PZ21" s="11" t="str">
        <f t="shared" si="129"/>
        <v/>
      </c>
      <c r="QA21" s="11" t="str">
        <f t="shared" si="130"/>
        <v/>
      </c>
      <c r="QB21" s="11" t="str">
        <f t="shared" si="131"/>
        <v/>
      </c>
      <c r="QC21" s="11" t="str">
        <f t="shared" si="132"/>
        <v/>
      </c>
      <c r="QD21" s="11" t="str">
        <f t="shared" si="133"/>
        <v/>
      </c>
      <c r="QE21" s="11" t="str">
        <f t="shared" si="134"/>
        <v/>
      </c>
      <c r="QF21" s="11" t="str">
        <f t="shared" si="135"/>
        <v/>
      </c>
      <c r="QG21" s="22">
        <f t="shared" si="136"/>
        <v>17.2</v>
      </c>
      <c r="QH21" s="22">
        <f t="shared" si="137"/>
        <v>5.4</v>
      </c>
      <c r="QI21" s="22">
        <f t="shared" si="138"/>
        <v>0.5</v>
      </c>
      <c r="QJ21" s="22">
        <f t="shared" si="139"/>
        <v>0</v>
      </c>
      <c r="QK21" s="22">
        <f t="shared" si="140"/>
        <v>8.1</v>
      </c>
      <c r="QL21" s="22">
        <f t="shared" si="141"/>
        <v>3</v>
      </c>
      <c r="QM21" s="22">
        <f t="shared" si="142"/>
        <v>0.4</v>
      </c>
      <c r="QN21" s="22">
        <f t="shared" si="143"/>
        <v>0.15</v>
      </c>
      <c r="QO21" s="22">
        <f t="shared" si="144"/>
        <v>9</v>
      </c>
      <c r="QP21" s="22">
        <f t="shared" si="145"/>
        <v>2.4</v>
      </c>
      <c r="QQ21" s="22">
        <f t="shared" si="146"/>
        <v>0.1</v>
      </c>
      <c r="QR21" s="22">
        <f t="shared" si="147"/>
        <v>0</v>
      </c>
      <c r="QS21" s="22">
        <f t="shared" si="148"/>
        <v>0</v>
      </c>
      <c r="QT21" s="22">
        <f t="shared" si="149"/>
        <v>0</v>
      </c>
      <c r="QU21" s="22">
        <f t="shared" si="150"/>
        <v>0</v>
      </c>
      <c r="QV21" s="22">
        <f t="shared" si="151"/>
        <v>0</v>
      </c>
      <c r="QW21" s="22">
        <f t="shared" si="152"/>
        <v>0</v>
      </c>
      <c r="QX21" s="22">
        <f t="shared" si="153"/>
        <v>0</v>
      </c>
      <c r="QY21" s="22">
        <f t="shared" si="154"/>
        <v>0</v>
      </c>
      <c r="QZ21" s="22">
        <f t="shared" si="155"/>
        <v>0</v>
      </c>
      <c r="RA21" s="27" t="s">
        <v>46</v>
      </c>
      <c r="RB21" s="40">
        <f t="shared" si="156"/>
        <v>8.4</v>
      </c>
      <c r="RC21" s="40">
        <f t="shared" si="157"/>
        <v>32.950000000000003</v>
      </c>
      <c r="RD21" s="40">
        <f t="shared" si="158"/>
        <v>11.3</v>
      </c>
      <c r="RE21" s="40">
        <f t="shared" si="159"/>
        <v>10.8</v>
      </c>
      <c r="RF21" s="40">
        <f t="shared" si="160"/>
        <v>44.25</v>
      </c>
      <c r="RG21" s="40" t="str">
        <f t="shared" si="161"/>
        <v/>
      </c>
      <c r="RH21" s="40" t="str">
        <f t="shared" si="162"/>
        <v/>
      </c>
      <c r="RI21" s="40">
        <f t="shared" si="163"/>
        <v>44.25</v>
      </c>
    </row>
    <row r="22" spans="1:477" x14ac:dyDescent="0.2">
      <c r="A22" s="4" t="str" cm="1">
        <f t="array" ref="A22">IF(AND(J22&lt;&gt;"",J22&lt;&gt;"No DD"),SUMPRODUCT((J$4:J$27&lt;&gt;"")*(J$4:J$27&lt;&gt;"No DD")*(F$4:F$27&gt;F22))+1,IF(J22="No DD",SUMPRODUCT((J$4:J$27="No DD")*(F$4:F$27&gt;F22))+1+SUMPRODUCT((J$4:J$27&lt;&gt;"")*(J$4:J$27&lt;&gt;"No DD")),""))</f>
        <v/>
      </c>
      <c r="B22" s="4" t="str" cm="1">
        <f t="array" ref="B22">IF(AND(J22&lt;&gt;"",J22&lt;&gt;"No DD",G22=""),SUMPRODUCT((J$4:J$27&lt;&gt;"")*(J$4:J$27&lt;&gt;"No DD")*(G$4:G$27="")*(F$4:F$27&gt;F22))+1,IF(J22="No DD",SUMPRODUCT((J$4:J$27="No DD")*(F$4:F$27&gt;F22)*(G$4:G$27=""))+1+SUMPRODUCT((J$4:J$27&lt;&gt;"")*(G$4:G$27="")*(J$4:J$27&lt;&gt;"No DD")),""))</f>
        <v/>
      </c>
      <c r="C22" s="5" t="s">
        <v>173</v>
      </c>
      <c r="D22" s="4" t="s">
        <v>31</v>
      </c>
      <c r="E22" s="4">
        <v>2006</v>
      </c>
      <c r="F22" s="9">
        <f t="shared" si="0"/>
        <v>108.10000645000426</v>
      </c>
      <c r="G22" s="66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IF(COUNT(AS22,BV22,CY22)&gt;0,LARGE((AS22,BV22,CY22),1),0)</f>
        <v>42.6</v>
      </c>
      <c r="M22" s="8" t="str">
        <f t="shared" si="5"/>
        <v>2023 Nationals</v>
      </c>
      <c r="N22" s="8">
        <f>IF(COUNT(AS22,BV22,CY22)&gt;1,LARGE((AS22,BV22,CY22),2),0)</f>
        <v>0</v>
      </c>
      <c r="O22" s="8" t="str">
        <f t="shared" si="6"/>
        <v/>
      </c>
      <c r="P22" s="8">
        <f>IF(COUNT(AT22,BW22,CZ22)&gt;0,LARGE((AT22,BW22,CZ22),1),0)</f>
        <v>21.900000000000002</v>
      </c>
      <c r="Q22" s="8" t="str">
        <f t="shared" si="7"/>
        <v>2023 Nationals</v>
      </c>
      <c r="R22" s="8">
        <f t="shared" si="8"/>
        <v>43.599999999999994</v>
      </c>
      <c r="S22" s="8" t="str">
        <f t="shared" si="9"/>
        <v>2023 Nationals</v>
      </c>
      <c r="T22" s="8" t="str">
        <f t="shared" si="10"/>
        <v/>
      </c>
      <c r="U22" s="11" t="str">
        <f t="shared" si="11"/>
        <v/>
      </c>
      <c r="V22" s="8" t="str">
        <f t="shared" si="12"/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 t="shared" si="13"/>
        <v/>
      </c>
      <c r="AS22" s="40" t="str">
        <f t="shared" si="14"/>
        <v/>
      </c>
      <c r="AT22" s="40" t="str">
        <f t="shared" si="15"/>
        <v/>
      </c>
      <c r="AU22" s="40" t="str">
        <f t="shared" si="16"/>
        <v/>
      </c>
      <c r="AV22" s="40" t="str">
        <f t="shared" si="17"/>
        <v/>
      </c>
      <c r="AW22" s="40" t="str">
        <f t="shared" si="18"/>
        <v/>
      </c>
      <c r="AX22" s="40" t="str">
        <f t="shared" si="19"/>
        <v/>
      </c>
      <c r="AY22" s="40" t="str">
        <f t="shared" si="20"/>
        <v/>
      </c>
      <c r="AZ22" s="18">
        <v>18.600000000000001</v>
      </c>
      <c r="BA22" s="18">
        <v>3.2</v>
      </c>
      <c r="BB22" s="18">
        <v>0.6</v>
      </c>
      <c r="BC22" s="18">
        <v>0</v>
      </c>
      <c r="BD22" s="18">
        <v>18.3</v>
      </c>
      <c r="BE22" s="18">
        <v>3.1</v>
      </c>
      <c r="BF22" s="18">
        <v>0</v>
      </c>
      <c r="BG22" s="18">
        <v>0</v>
      </c>
      <c r="BH22" s="18">
        <v>18.600000000000001</v>
      </c>
      <c r="BI22" s="18">
        <v>3.3</v>
      </c>
      <c r="BJ22" s="18">
        <v>0</v>
      </c>
      <c r="BK22" s="18">
        <v>0</v>
      </c>
      <c r="BL22" s="18">
        <v>18.399999999999999</v>
      </c>
      <c r="BM22" s="18">
        <v>3.2</v>
      </c>
      <c r="BN22" s="18">
        <v>0</v>
      </c>
      <c r="BO22" s="18">
        <v>0</v>
      </c>
      <c r="BP22" s="18">
        <v>18.7</v>
      </c>
      <c r="BQ22" s="18">
        <v>3.3</v>
      </c>
      <c r="BR22" s="18">
        <v>0</v>
      </c>
      <c r="BS22" s="18">
        <v>0</v>
      </c>
      <c r="BT22" s="28"/>
      <c r="BU22" s="11">
        <f t="shared" si="21"/>
        <v>6.3000000000000007</v>
      </c>
      <c r="BV22" s="11">
        <f t="shared" si="22"/>
        <v>42.6</v>
      </c>
      <c r="BW22" s="11">
        <f t="shared" si="23"/>
        <v>21.900000000000002</v>
      </c>
      <c r="BX22" s="11">
        <f t="shared" si="24"/>
        <v>9.6000000000000014</v>
      </c>
      <c r="BY22" s="11">
        <f t="shared" si="25"/>
        <v>64.5</v>
      </c>
      <c r="BZ22" s="11">
        <f t="shared" si="26"/>
        <v>6.5</v>
      </c>
      <c r="CA22" s="11">
        <f t="shared" si="27"/>
        <v>43.599999999999994</v>
      </c>
      <c r="CB22" s="11">
        <f t="shared" si="28"/>
        <v>108.1</v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 t="shared" si="29"/>
        <v/>
      </c>
      <c r="CY22" s="40" t="str">
        <f t="shared" si="30"/>
        <v/>
      </c>
      <c r="CZ22" s="40" t="str">
        <f t="shared" si="31"/>
        <v/>
      </c>
      <c r="DA22" s="40" t="str">
        <f t="shared" si="32"/>
        <v/>
      </c>
      <c r="DB22" s="40" t="str">
        <f t="shared" si="33"/>
        <v/>
      </c>
      <c r="DC22" s="40" t="str">
        <f t="shared" si="34"/>
        <v/>
      </c>
      <c r="DD22" s="40" t="str">
        <f t="shared" si="35"/>
        <v/>
      </c>
      <c r="DE22" s="40" t="str">
        <f t="shared" si="36"/>
        <v/>
      </c>
      <c r="DF22" s="50" t="str">
        <f t="shared" si="37"/>
        <v/>
      </c>
      <c r="DG22" s="50" t="str">
        <f t="shared" si="38"/>
        <v/>
      </c>
      <c r="DH22" s="50" t="str">
        <f t="shared" si="39"/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 t="shared" si="40"/>
        <v/>
      </c>
      <c r="ED22" s="40" t="str">
        <f t="shared" si="41"/>
        <v/>
      </c>
      <c r="EE22" s="40" t="str">
        <f t="shared" si="42"/>
        <v/>
      </c>
      <c r="EF22" s="40" t="str">
        <f t="shared" si="43"/>
        <v/>
      </c>
      <c r="EG22" s="40" t="str">
        <f t="shared" si="44"/>
        <v/>
      </c>
      <c r="EH22" s="40" t="str">
        <f t="shared" si="45"/>
        <v/>
      </c>
      <c r="EI22" s="40" t="str">
        <f t="shared" si="46"/>
        <v/>
      </c>
      <c r="EJ22" s="40" t="str">
        <f t="shared" si="47"/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 t="shared" si="48"/>
        <v/>
      </c>
      <c r="FF22" s="11" t="str">
        <f t="shared" si="49"/>
        <v/>
      </c>
      <c r="FG22" s="11" t="str">
        <f t="shared" si="50"/>
        <v/>
      </c>
      <c r="FH22" s="11" t="str">
        <f t="shared" si="51"/>
        <v/>
      </c>
      <c r="FI22" s="11" t="str">
        <f t="shared" si="52"/>
        <v/>
      </c>
      <c r="FJ22" s="11" t="str">
        <f t="shared" si="53"/>
        <v/>
      </c>
      <c r="FK22" s="11" t="str">
        <f t="shared" si="54"/>
        <v/>
      </c>
      <c r="FL22" s="11" t="str">
        <f t="shared" si="55"/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 t="shared" si="56"/>
        <v/>
      </c>
      <c r="GH22" s="40" t="str">
        <f t="shared" si="57"/>
        <v/>
      </c>
      <c r="GI22" s="40" t="str">
        <f t="shared" si="58"/>
        <v/>
      </c>
      <c r="GJ22" s="40" t="str">
        <f t="shared" si="59"/>
        <v/>
      </c>
      <c r="GK22" s="40" t="str">
        <f t="shared" si="60"/>
        <v/>
      </c>
      <c r="GL22" s="40" t="str">
        <f t="shared" si="61"/>
        <v/>
      </c>
      <c r="GM22" s="40" t="str">
        <f t="shared" si="62"/>
        <v/>
      </c>
      <c r="GN22" s="40" t="str">
        <f t="shared" si="63"/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 t="shared" si="64"/>
        <v/>
      </c>
      <c r="HJ22" s="11" t="str">
        <f t="shared" si="65"/>
        <v/>
      </c>
      <c r="HK22" s="11" t="str">
        <f t="shared" si="66"/>
        <v/>
      </c>
      <c r="HL22" s="11" t="str">
        <f t="shared" si="67"/>
        <v/>
      </c>
      <c r="HM22" s="11" t="str">
        <f t="shared" si="68"/>
        <v/>
      </c>
      <c r="HN22" s="11" t="str">
        <f t="shared" si="69"/>
        <v/>
      </c>
      <c r="HO22" s="11" t="str">
        <f t="shared" si="70"/>
        <v/>
      </c>
      <c r="HP22" s="11" t="str">
        <f t="shared" si="71"/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 t="shared" si="72"/>
        <v/>
      </c>
      <c r="IL22" s="40" t="str">
        <f t="shared" si="73"/>
        <v/>
      </c>
      <c r="IM22" s="40" t="str">
        <f t="shared" si="74"/>
        <v/>
      </c>
      <c r="IN22" s="40" t="str">
        <f t="shared" si="75"/>
        <v/>
      </c>
      <c r="IO22" s="40" t="str">
        <f t="shared" si="76"/>
        <v/>
      </c>
      <c r="IP22" s="40" t="str">
        <f t="shared" si="77"/>
        <v/>
      </c>
      <c r="IQ22" s="40" t="str">
        <f t="shared" si="78"/>
        <v/>
      </c>
      <c r="IR22" s="40" t="str">
        <f t="shared" si="79"/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 t="shared" si="80"/>
        <v/>
      </c>
      <c r="JN22" s="11" t="str">
        <f t="shared" si="81"/>
        <v/>
      </c>
      <c r="JO22" s="11" t="str">
        <f t="shared" si="82"/>
        <v/>
      </c>
      <c r="JP22" s="11" t="str">
        <f t="shared" si="83"/>
        <v/>
      </c>
      <c r="JQ22" s="11" t="str">
        <f t="shared" si="84"/>
        <v/>
      </c>
      <c r="JR22" s="11" t="str">
        <f t="shared" si="85"/>
        <v/>
      </c>
      <c r="JS22" s="11" t="str">
        <f t="shared" si="86"/>
        <v/>
      </c>
      <c r="JT22" s="11" t="str">
        <f t="shared" si="87"/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 t="shared" si="88"/>
        <v/>
      </c>
      <c r="KP22" s="40" t="str">
        <f t="shared" si="89"/>
        <v/>
      </c>
      <c r="KQ22" s="40" t="str">
        <f t="shared" si="90"/>
        <v/>
      </c>
      <c r="KR22" s="40" t="str">
        <f t="shared" si="91"/>
        <v/>
      </c>
      <c r="KS22" s="40" t="str">
        <f t="shared" si="92"/>
        <v/>
      </c>
      <c r="KT22" s="40" t="str">
        <f t="shared" si="93"/>
        <v/>
      </c>
      <c r="KU22" s="40" t="str">
        <f t="shared" si="94"/>
        <v/>
      </c>
      <c r="KV22" s="40" t="str">
        <f t="shared" si="95"/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 t="shared" si="96"/>
        <v/>
      </c>
      <c r="LR22" s="11" t="str">
        <f t="shared" si="97"/>
        <v/>
      </c>
      <c r="LS22" s="11" t="str">
        <f t="shared" si="98"/>
        <v/>
      </c>
      <c r="LT22" s="11" t="str">
        <f t="shared" si="99"/>
        <v/>
      </c>
      <c r="LU22" s="11" t="str">
        <f t="shared" si="100"/>
        <v/>
      </c>
      <c r="LV22" s="11" t="str">
        <f t="shared" si="101"/>
        <v/>
      </c>
      <c r="LW22" s="11" t="str">
        <f t="shared" si="102"/>
        <v/>
      </c>
      <c r="LX22" s="11" t="str">
        <f t="shared" si="103"/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 t="shared" si="104"/>
        <v/>
      </c>
      <c r="MT22" s="40" t="str">
        <f t="shared" si="105"/>
        <v/>
      </c>
      <c r="MU22" s="40" t="str">
        <f t="shared" si="106"/>
        <v/>
      </c>
      <c r="MV22" s="40" t="str">
        <f t="shared" si="107"/>
        <v/>
      </c>
      <c r="MW22" s="40" t="str">
        <f t="shared" si="108"/>
        <v/>
      </c>
      <c r="MX22" s="40" t="str">
        <f t="shared" si="109"/>
        <v/>
      </c>
      <c r="MY22" s="40" t="str">
        <f t="shared" si="110"/>
        <v/>
      </c>
      <c r="MZ22" s="40" t="str">
        <f t="shared" si="111"/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 t="shared" si="112"/>
        <v/>
      </c>
      <c r="NV22" s="11" t="str">
        <f t="shared" si="113"/>
        <v/>
      </c>
      <c r="NW22" s="11" t="str">
        <f t="shared" si="114"/>
        <v/>
      </c>
      <c r="NX22" s="11" t="str">
        <f t="shared" si="115"/>
        <v/>
      </c>
      <c r="NY22" s="11" t="str">
        <f t="shared" si="116"/>
        <v/>
      </c>
      <c r="NZ22" s="11" t="str">
        <f t="shared" si="117"/>
        <v/>
      </c>
      <c r="OA22" s="11" t="str">
        <f t="shared" si="118"/>
        <v/>
      </c>
      <c r="OB22" s="11" t="str">
        <f t="shared" si="119"/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 t="shared" si="120"/>
        <v/>
      </c>
      <c r="OX22" s="40" t="str">
        <f t="shared" si="121"/>
        <v/>
      </c>
      <c r="OY22" s="40" t="str">
        <f t="shared" si="122"/>
        <v/>
      </c>
      <c r="OZ22" s="40" t="str">
        <f t="shared" si="123"/>
        <v/>
      </c>
      <c r="PA22" s="40" t="str">
        <f t="shared" si="124"/>
        <v/>
      </c>
      <c r="PB22" s="40" t="str">
        <f t="shared" si="125"/>
        <v/>
      </c>
      <c r="PC22" s="40" t="str">
        <f t="shared" si="126"/>
        <v/>
      </c>
      <c r="PD22" s="40" t="str">
        <f t="shared" si="127"/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 t="shared" si="128"/>
        <v/>
      </c>
      <c r="PZ22" s="11" t="str">
        <f t="shared" si="129"/>
        <v/>
      </c>
      <c r="QA22" s="11" t="str">
        <f t="shared" si="130"/>
        <v/>
      </c>
      <c r="QB22" s="11" t="str">
        <f t="shared" si="131"/>
        <v/>
      </c>
      <c r="QC22" s="11" t="str">
        <f t="shared" si="132"/>
        <v/>
      </c>
      <c r="QD22" s="11" t="str">
        <f t="shared" si="133"/>
        <v/>
      </c>
      <c r="QE22" s="11" t="str">
        <f t="shared" si="134"/>
        <v/>
      </c>
      <c r="QF22" s="11" t="str">
        <f t="shared" si="135"/>
        <v/>
      </c>
      <c r="QG22" s="22">
        <f t="shared" si="136"/>
        <v>9.3000000000000007</v>
      </c>
      <c r="QH22" s="22">
        <f t="shared" si="137"/>
        <v>1.6</v>
      </c>
      <c r="QI22" s="22">
        <f t="shared" si="138"/>
        <v>0.3</v>
      </c>
      <c r="QJ22" s="22">
        <f t="shared" si="139"/>
        <v>0</v>
      </c>
      <c r="QK22" s="22">
        <f t="shared" si="140"/>
        <v>9.15</v>
      </c>
      <c r="QL22" s="22">
        <f t="shared" si="141"/>
        <v>1.55</v>
      </c>
      <c r="QM22" s="22">
        <f t="shared" si="142"/>
        <v>0</v>
      </c>
      <c r="QN22" s="22">
        <f t="shared" si="143"/>
        <v>0</v>
      </c>
      <c r="QO22" s="22">
        <f t="shared" si="144"/>
        <v>9.3000000000000007</v>
      </c>
      <c r="QP22" s="22">
        <f t="shared" si="145"/>
        <v>1.65</v>
      </c>
      <c r="QQ22" s="22">
        <f t="shared" si="146"/>
        <v>0</v>
      </c>
      <c r="QR22" s="22">
        <f t="shared" si="147"/>
        <v>0</v>
      </c>
      <c r="QS22" s="22">
        <f t="shared" si="148"/>
        <v>9.1999999999999993</v>
      </c>
      <c r="QT22" s="22">
        <f t="shared" si="149"/>
        <v>1.6</v>
      </c>
      <c r="QU22" s="22">
        <f t="shared" si="150"/>
        <v>0</v>
      </c>
      <c r="QV22" s="22">
        <f t="shared" si="151"/>
        <v>0</v>
      </c>
      <c r="QW22" s="22">
        <f t="shared" si="152"/>
        <v>9.35</v>
      </c>
      <c r="QX22" s="22">
        <f t="shared" si="153"/>
        <v>1.65</v>
      </c>
      <c r="QY22" s="22">
        <f t="shared" si="154"/>
        <v>0</v>
      </c>
      <c r="QZ22" s="22">
        <f t="shared" si="155"/>
        <v>0</v>
      </c>
      <c r="RA22" s="27" t="s">
        <v>46</v>
      </c>
      <c r="RB22" s="40">
        <f t="shared" si="156"/>
        <v>3.1500000000000004</v>
      </c>
      <c r="RC22" s="40">
        <f t="shared" si="157"/>
        <v>21.3</v>
      </c>
      <c r="RD22" s="40">
        <f t="shared" si="158"/>
        <v>10.950000000000001</v>
      </c>
      <c r="RE22" s="40">
        <f t="shared" si="159"/>
        <v>4.8000000000000007</v>
      </c>
      <c r="RF22" s="40">
        <f t="shared" si="160"/>
        <v>32.25</v>
      </c>
      <c r="RG22" s="40">
        <f t="shared" si="161"/>
        <v>3.25</v>
      </c>
      <c r="RH22" s="40">
        <f t="shared" si="162"/>
        <v>21.799999999999997</v>
      </c>
      <c r="RI22" s="40">
        <f t="shared" si="163"/>
        <v>54.05</v>
      </c>
    </row>
    <row r="23" spans="1:477" x14ac:dyDescent="0.2">
      <c r="A23" s="4" t="str" cm="1">
        <f t="array" ref="A23">IF(AND(J23&lt;&gt;"",J23&lt;&gt;"No DD"),SUMPRODUCT((J$4:J$27&lt;&gt;"")*(J$4:J$27&lt;&gt;"No DD")*(F$4:F$27&gt;F23))+1,IF(J23="No DD",SUMPRODUCT((J$4:J$27="No DD")*(F$4:F$27&gt;F23))+1+SUMPRODUCT((J$4:J$27&lt;&gt;"")*(J$4:J$27&lt;&gt;"No DD")),""))</f>
        <v/>
      </c>
      <c r="B23" s="4" t="str" cm="1">
        <f t="array" ref="B23">IF(AND(J23&lt;&gt;"",J23&lt;&gt;"No DD",G23=""),SUMPRODUCT((J$4:J$27&lt;&gt;"")*(J$4:J$27&lt;&gt;"No DD")*(G$4:G$27="")*(F$4:F$27&gt;F23))+1,IF(J23="No DD",SUMPRODUCT((J$4:J$27="No DD")*(F$4:F$27&gt;F23)*(G$4:G$27=""))+1+SUMPRODUCT((J$4:J$27&lt;&gt;"")*(G$4:G$27="")*(J$4:J$27&lt;&gt;"No DD")),""))</f>
        <v/>
      </c>
      <c r="C23" s="5" t="s">
        <v>190</v>
      </c>
      <c r="D23" s="4" t="s">
        <v>5</v>
      </c>
      <c r="E23" s="4">
        <v>2002</v>
      </c>
      <c r="F23" s="9">
        <f t="shared" si="0"/>
        <v>107.6000063800043</v>
      </c>
      <c r="G23" s="66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IF(COUNT(AS23,BV23,CY23)&gt;0,LARGE((AS23,BV23,CY23),1),0)</f>
        <v>43</v>
      </c>
      <c r="M23" s="8" t="str">
        <f t="shared" si="5"/>
        <v>2023 Elite Canada</v>
      </c>
      <c r="N23" s="8">
        <f>IF(COUNT(AS23,BV23,CY23)&gt;1,LARGE((AS23,BV23,CY23),2),0)</f>
        <v>0</v>
      </c>
      <c r="O23" s="8" t="str">
        <f t="shared" si="6"/>
        <v/>
      </c>
      <c r="P23" s="8">
        <f>IF(COUNT(AT23,BW23,CZ23)&gt;0,LARGE((AT23,BW23,CZ23),1),0)</f>
        <v>20.799999999999997</v>
      </c>
      <c r="Q23" s="8" t="str">
        <f t="shared" si="7"/>
        <v>2023 Elite Canada</v>
      </c>
      <c r="R23" s="8">
        <f t="shared" si="8"/>
        <v>43.800000000000004</v>
      </c>
      <c r="S23" s="8" t="str">
        <f t="shared" si="9"/>
        <v>2023 Elite Canada</v>
      </c>
      <c r="T23" s="8" t="str">
        <f t="shared" si="10"/>
        <v/>
      </c>
      <c r="U23" s="11" t="str">
        <f t="shared" si="11"/>
        <v/>
      </c>
      <c r="V23" s="8" t="str">
        <f t="shared" si="12"/>
        <v/>
      </c>
      <c r="W23" s="19">
        <v>18.8</v>
      </c>
      <c r="X23" s="19">
        <v>2.7</v>
      </c>
      <c r="Y23" s="19">
        <v>0.3</v>
      </c>
      <c r="Z23" s="19">
        <v>0</v>
      </c>
      <c r="AA23" s="19">
        <v>18.399999999999999</v>
      </c>
      <c r="AB23" s="19">
        <v>3.6</v>
      </c>
      <c r="AC23" s="19">
        <v>0.2</v>
      </c>
      <c r="AD23" s="19">
        <v>0</v>
      </c>
      <c r="AE23" s="19">
        <v>18</v>
      </c>
      <c r="AF23" s="19">
        <v>2.9</v>
      </c>
      <c r="AG23" s="19">
        <v>0.1</v>
      </c>
      <c r="AH23" s="19">
        <v>0</v>
      </c>
      <c r="AI23" s="19">
        <v>18.600000000000001</v>
      </c>
      <c r="AJ23" s="19">
        <v>3.1</v>
      </c>
      <c r="AK23" s="19">
        <v>0</v>
      </c>
      <c r="AL23" s="19">
        <v>0</v>
      </c>
      <c r="AM23" s="19">
        <v>18.899999999999999</v>
      </c>
      <c r="AN23" s="19">
        <v>3.2</v>
      </c>
      <c r="AO23" s="19">
        <v>0</v>
      </c>
      <c r="AP23" s="19">
        <v>0</v>
      </c>
      <c r="AQ23" s="27"/>
      <c r="AR23" s="40">
        <f t="shared" si="13"/>
        <v>6.3000000000000007</v>
      </c>
      <c r="AS23" s="40">
        <f t="shared" si="14"/>
        <v>43</v>
      </c>
      <c r="AT23" s="40">
        <f t="shared" si="15"/>
        <v>20.799999999999997</v>
      </c>
      <c r="AU23" s="40">
        <f t="shared" si="16"/>
        <v>9.2000000000000011</v>
      </c>
      <c r="AV23" s="40">
        <f t="shared" si="17"/>
        <v>63.8</v>
      </c>
      <c r="AW23" s="40">
        <f t="shared" si="18"/>
        <v>6.3000000000000007</v>
      </c>
      <c r="AX23" s="40">
        <f t="shared" si="19"/>
        <v>43.800000000000004</v>
      </c>
      <c r="AY23" s="40">
        <f t="shared" si="20"/>
        <v>107.6</v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 t="shared" si="21"/>
        <v/>
      </c>
      <c r="BV23" s="11" t="str">
        <f t="shared" si="22"/>
        <v/>
      </c>
      <c r="BW23" s="11" t="str">
        <f t="shared" si="23"/>
        <v/>
      </c>
      <c r="BX23" s="11" t="str">
        <f t="shared" si="24"/>
        <v/>
      </c>
      <c r="BY23" s="11" t="str">
        <f t="shared" si="25"/>
        <v/>
      </c>
      <c r="BZ23" s="11" t="str">
        <f t="shared" si="26"/>
        <v/>
      </c>
      <c r="CA23" s="11" t="str">
        <f t="shared" si="27"/>
        <v/>
      </c>
      <c r="CB23" s="11" t="str">
        <f t="shared" si="28"/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 t="shared" si="29"/>
        <v/>
      </c>
      <c r="CY23" s="40" t="str">
        <f t="shared" si="30"/>
        <v/>
      </c>
      <c r="CZ23" s="40" t="str">
        <f t="shared" si="31"/>
        <v/>
      </c>
      <c r="DA23" s="40" t="str">
        <f t="shared" si="32"/>
        <v/>
      </c>
      <c r="DB23" s="40" t="str">
        <f t="shared" si="33"/>
        <v/>
      </c>
      <c r="DC23" s="40" t="str">
        <f t="shared" si="34"/>
        <v/>
      </c>
      <c r="DD23" s="40" t="str">
        <f t="shared" si="35"/>
        <v/>
      </c>
      <c r="DE23" s="40" t="str">
        <f t="shared" si="36"/>
        <v/>
      </c>
      <c r="DF23" s="50" t="str">
        <f t="shared" si="37"/>
        <v/>
      </c>
      <c r="DG23" s="50" t="str">
        <f t="shared" si="38"/>
        <v/>
      </c>
      <c r="DH23" s="50" t="str">
        <f t="shared" si="39"/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 t="shared" si="40"/>
        <v/>
      </c>
      <c r="ED23" s="40" t="str">
        <f t="shared" si="41"/>
        <v/>
      </c>
      <c r="EE23" s="40" t="str">
        <f t="shared" si="42"/>
        <v/>
      </c>
      <c r="EF23" s="40" t="str">
        <f t="shared" si="43"/>
        <v/>
      </c>
      <c r="EG23" s="40" t="str">
        <f t="shared" si="44"/>
        <v/>
      </c>
      <c r="EH23" s="40" t="str">
        <f t="shared" si="45"/>
        <v/>
      </c>
      <c r="EI23" s="40" t="str">
        <f t="shared" si="46"/>
        <v/>
      </c>
      <c r="EJ23" s="40" t="str">
        <f t="shared" si="47"/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 t="shared" si="48"/>
        <v/>
      </c>
      <c r="FF23" s="11" t="str">
        <f t="shared" si="49"/>
        <v/>
      </c>
      <c r="FG23" s="11" t="str">
        <f t="shared" si="50"/>
        <v/>
      </c>
      <c r="FH23" s="11" t="str">
        <f t="shared" si="51"/>
        <v/>
      </c>
      <c r="FI23" s="11" t="str">
        <f t="shared" si="52"/>
        <v/>
      </c>
      <c r="FJ23" s="11" t="str">
        <f t="shared" si="53"/>
        <v/>
      </c>
      <c r="FK23" s="11" t="str">
        <f t="shared" si="54"/>
        <v/>
      </c>
      <c r="FL23" s="11" t="str">
        <f t="shared" si="55"/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 t="shared" si="56"/>
        <v/>
      </c>
      <c r="GH23" s="40" t="str">
        <f t="shared" si="57"/>
        <v/>
      </c>
      <c r="GI23" s="40" t="str">
        <f t="shared" si="58"/>
        <v/>
      </c>
      <c r="GJ23" s="40" t="str">
        <f t="shared" si="59"/>
        <v/>
      </c>
      <c r="GK23" s="40" t="str">
        <f t="shared" si="60"/>
        <v/>
      </c>
      <c r="GL23" s="40" t="str">
        <f t="shared" si="61"/>
        <v/>
      </c>
      <c r="GM23" s="40" t="str">
        <f t="shared" si="62"/>
        <v/>
      </c>
      <c r="GN23" s="40" t="str">
        <f t="shared" si="63"/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 t="shared" si="64"/>
        <v/>
      </c>
      <c r="HJ23" s="11" t="str">
        <f t="shared" si="65"/>
        <v/>
      </c>
      <c r="HK23" s="11" t="str">
        <f t="shared" si="66"/>
        <v/>
      </c>
      <c r="HL23" s="11" t="str">
        <f t="shared" si="67"/>
        <v/>
      </c>
      <c r="HM23" s="11" t="str">
        <f t="shared" si="68"/>
        <v/>
      </c>
      <c r="HN23" s="11" t="str">
        <f t="shared" si="69"/>
        <v/>
      </c>
      <c r="HO23" s="11" t="str">
        <f t="shared" si="70"/>
        <v/>
      </c>
      <c r="HP23" s="11" t="str">
        <f t="shared" si="71"/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 t="shared" si="72"/>
        <v/>
      </c>
      <c r="IL23" s="40" t="str">
        <f t="shared" si="73"/>
        <v/>
      </c>
      <c r="IM23" s="40" t="str">
        <f t="shared" si="74"/>
        <v/>
      </c>
      <c r="IN23" s="40" t="str">
        <f t="shared" si="75"/>
        <v/>
      </c>
      <c r="IO23" s="40" t="str">
        <f t="shared" si="76"/>
        <v/>
      </c>
      <c r="IP23" s="40" t="str">
        <f t="shared" si="77"/>
        <v/>
      </c>
      <c r="IQ23" s="40" t="str">
        <f t="shared" si="78"/>
        <v/>
      </c>
      <c r="IR23" s="40" t="str">
        <f t="shared" si="79"/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 t="shared" si="80"/>
        <v/>
      </c>
      <c r="JN23" s="11" t="str">
        <f t="shared" si="81"/>
        <v/>
      </c>
      <c r="JO23" s="11" t="str">
        <f t="shared" si="82"/>
        <v/>
      </c>
      <c r="JP23" s="11" t="str">
        <f t="shared" si="83"/>
        <v/>
      </c>
      <c r="JQ23" s="11" t="str">
        <f t="shared" si="84"/>
        <v/>
      </c>
      <c r="JR23" s="11" t="str">
        <f t="shared" si="85"/>
        <v/>
      </c>
      <c r="JS23" s="11" t="str">
        <f t="shared" si="86"/>
        <v/>
      </c>
      <c r="JT23" s="11" t="str">
        <f t="shared" si="87"/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 t="shared" si="88"/>
        <v/>
      </c>
      <c r="KP23" s="40" t="str">
        <f t="shared" si="89"/>
        <v/>
      </c>
      <c r="KQ23" s="40" t="str">
        <f t="shared" si="90"/>
        <v/>
      </c>
      <c r="KR23" s="40" t="str">
        <f t="shared" si="91"/>
        <v/>
      </c>
      <c r="KS23" s="40" t="str">
        <f t="shared" si="92"/>
        <v/>
      </c>
      <c r="KT23" s="40" t="str">
        <f t="shared" si="93"/>
        <v/>
      </c>
      <c r="KU23" s="40" t="str">
        <f t="shared" si="94"/>
        <v/>
      </c>
      <c r="KV23" s="40" t="str">
        <f t="shared" si="95"/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 t="shared" si="96"/>
        <v/>
      </c>
      <c r="LR23" s="11" t="str">
        <f t="shared" si="97"/>
        <v/>
      </c>
      <c r="LS23" s="11" t="str">
        <f t="shared" si="98"/>
        <v/>
      </c>
      <c r="LT23" s="11" t="str">
        <f t="shared" si="99"/>
        <v/>
      </c>
      <c r="LU23" s="11" t="str">
        <f t="shared" si="100"/>
        <v/>
      </c>
      <c r="LV23" s="11" t="str">
        <f t="shared" si="101"/>
        <v/>
      </c>
      <c r="LW23" s="11" t="str">
        <f t="shared" si="102"/>
        <v/>
      </c>
      <c r="LX23" s="11" t="str">
        <f t="shared" si="103"/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 t="shared" si="104"/>
        <v/>
      </c>
      <c r="MT23" s="40" t="str">
        <f t="shared" si="105"/>
        <v/>
      </c>
      <c r="MU23" s="40" t="str">
        <f t="shared" si="106"/>
        <v/>
      </c>
      <c r="MV23" s="40" t="str">
        <f t="shared" si="107"/>
        <v/>
      </c>
      <c r="MW23" s="40" t="str">
        <f t="shared" si="108"/>
        <v/>
      </c>
      <c r="MX23" s="40" t="str">
        <f t="shared" si="109"/>
        <v/>
      </c>
      <c r="MY23" s="40" t="str">
        <f t="shared" si="110"/>
        <v/>
      </c>
      <c r="MZ23" s="40" t="str">
        <f t="shared" si="111"/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 t="shared" si="112"/>
        <v/>
      </c>
      <c r="NV23" s="11" t="str">
        <f t="shared" si="113"/>
        <v/>
      </c>
      <c r="NW23" s="11" t="str">
        <f t="shared" si="114"/>
        <v/>
      </c>
      <c r="NX23" s="11" t="str">
        <f t="shared" si="115"/>
        <v/>
      </c>
      <c r="NY23" s="11" t="str">
        <f t="shared" si="116"/>
        <v/>
      </c>
      <c r="NZ23" s="11" t="str">
        <f t="shared" si="117"/>
        <v/>
      </c>
      <c r="OA23" s="11" t="str">
        <f t="shared" si="118"/>
        <v/>
      </c>
      <c r="OB23" s="11" t="str">
        <f t="shared" si="119"/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 t="shared" si="120"/>
        <v/>
      </c>
      <c r="OX23" s="40" t="str">
        <f t="shared" si="121"/>
        <v/>
      </c>
      <c r="OY23" s="40" t="str">
        <f t="shared" si="122"/>
        <v/>
      </c>
      <c r="OZ23" s="40" t="str">
        <f t="shared" si="123"/>
        <v/>
      </c>
      <c r="PA23" s="40" t="str">
        <f t="shared" si="124"/>
        <v/>
      </c>
      <c r="PB23" s="40" t="str">
        <f t="shared" si="125"/>
        <v/>
      </c>
      <c r="PC23" s="40" t="str">
        <f t="shared" si="126"/>
        <v/>
      </c>
      <c r="PD23" s="40" t="str">
        <f t="shared" si="127"/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 t="shared" si="128"/>
        <v/>
      </c>
      <c r="PZ23" s="11" t="str">
        <f t="shared" si="129"/>
        <v/>
      </c>
      <c r="QA23" s="11" t="str">
        <f t="shared" si="130"/>
        <v/>
      </c>
      <c r="QB23" s="11" t="str">
        <f t="shared" si="131"/>
        <v/>
      </c>
      <c r="QC23" s="11" t="str">
        <f t="shared" si="132"/>
        <v/>
      </c>
      <c r="QD23" s="11" t="str">
        <f t="shared" si="133"/>
        <v/>
      </c>
      <c r="QE23" s="11" t="str">
        <f t="shared" si="134"/>
        <v/>
      </c>
      <c r="QF23" s="11" t="str">
        <f t="shared" si="135"/>
        <v/>
      </c>
      <c r="QG23" s="22">
        <f t="shared" si="136"/>
        <v>0</v>
      </c>
      <c r="QH23" s="22">
        <f t="shared" si="137"/>
        <v>0</v>
      </c>
      <c r="QI23" s="22">
        <f t="shared" si="138"/>
        <v>0</v>
      </c>
      <c r="QJ23" s="22">
        <f t="shared" si="139"/>
        <v>0</v>
      </c>
      <c r="QK23" s="22">
        <f t="shared" si="140"/>
        <v>0</v>
      </c>
      <c r="QL23" s="22">
        <f t="shared" si="141"/>
        <v>0</v>
      </c>
      <c r="QM23" s="22">
        <f t="shared" si="142"/>
        <v>0</v>
      </c>
      <c r="QN23" s="22">
        <f t="shared" si="143"/>
        <v>0</v>
      </c>
      <c r="QO23" s="22">
        <f t="shared" si="144"/>
        <v>0</v>
      </c>
      <c r="QP23" s="22">
        <f t="shared" si="145"/>
        <v>0</v>
      </c>
      <c r="QQ23" s="22">
        <f t="shared" si="146"/>
        <v>0</v>
      </c>
      <c r="QR23" s="22">
        <f t="shared" si="147"/>
        <v>0</v>
      </c>
      <c r="QS23" s="22">
        <f t="shared" si="148"/>
        <v>0</v>
      </c>
      <c r="QT23" s="22">
        <f t="shared" si="149"/>
        <v>0</v>
      </c>
      <c r="QU23" s="22">
        <f t="shared" si="150"/>
        <v>0</v>
      </c>
      <c r="QV23" s="22">
        <f t="shared" si="151"/>
        <v>0</v>
      </c>
      <c r="QW23" s="22">
        <f t="shared" si="152"/>
        <v>0</v>
      </c>
      <c r="QX23" s="22">
        <f t="shared" si="153"/>
        <v>0</v>
      </c>
      <c r="QY23" s="22">
        <f t="shared" si="154"/>
        <v>0</v>
      </c>
      <c r="QZ23" s="22">
        <f t="shared" si="155"/>
        <v>0</v>
      </c>
      <c r="RA23" s="27" t="s">
        <v>46</v>
      </c>
      <c r="RB23" s="40" t="str">
        <f t="shared" si="156"/>
        <v/>
      </c>
      <c r="RC23" s="40" t="str">
        <f t="shared" si="157"/>
        <v/>
      </c>
      <c r="RD23" s="40" t="str">
        <f t="shared" si="158"/>
        <v/>
      </c>
      <c r="RE23" s="40" t="str">
        <f t="shared" si="159"/>
        <v/>
      </c>
      <c r="RF23" s="40" t="str">
        <f t="shared" si="160"/>
        <v/>
      </c>
      <c r="RG23" s="40" t="str">
        <f t="shared" si="161"/>
        <v/>
      </c>
      <c r="RH23" s="40" t="str">
        <f t="shared" si="162"/>
        <v/>
      </c>
      <c r="RI23" s="40" t="str">
        <f t="shared" si="163"/>
        <v/>
      </c>
    </row>
    <row r="24" spans="1:477" x14ac:dyDescent="0.2">
      <c r="A24" s="4" t="str" cm="1">
        <f t="array" ref="A24">IF(AND(J24&lt;&gt;"",J24&lt;&gt;"No DD"),SUMPRODUCT((J$4:J$27&lt;&gt;"")*(J$4:J$27&lt;&gt;"No DD")*(F$4:F$27&gt;F24))+1,IF(J24="No DD",SUMPRODUCT((J$4:J$27="No DD")*(F$4:F$27&gt;F24))+1+SUMPRODUCT((J$4:J$27&lt;&gt;"")*(J$4:J$27&lt;&gt;"No DD")),""))</f>
        <v/>
      </c>
      <c r="B24" s="4" t="str" cm="1">
        <f t="array" ref="B24">IF(AND(J24&lt;&gt;"",J24&lt;&gt;"No DD",G24=""),SUMPRODUCT((J$4:J$27&lt;&gt;"")*(J$4:J$27&lt;&gt;"No DD")*(G$4:G$27="")*(F$4:F$27&gt;F24))+1,IF(J24="No DD",SUMPRODUCT((J$4:J$27="No DD")*(F$4:F$27&gt;F24)*(G$4:G$27=""))+1+SUMPRODUCT((J$4:J$27&lt;&gt;"")*(G$4:G$27="")*(J$4:J$27&lt;&gt;"No DD")),""))</f>
        <v/>
      </c>
      <c r="C24" s="5" t="s">
        <v>160</v>
      </c>
      <c r="D24" s="4" t="s">
        <v>5</v>
      </c>
      <c r="E24" s="4">
        <v>2004</v>
      </c>
      <c r="F24" s="9">
        <f t="shared" si="0"/>
        <v>103.40001034000427</v>
      </c>
      <c r="G24" s="66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IF(COUNT(AS24,BV24,CY24)&gt;0,LARGE((AS24,BV24,CY24),1),0)</f>
        <v>42.6</v>
      </c>
      <c r="M24" s="8" t="str">
        <f t="shared" si="5"/>
        <v>2023 Nationals</v>
      </c>
      <c r="N24" s="8">
        <f>IF(COUNT(AS24,BV24,CY24)&gt;1,LARGE((AS24,BV24,CY24),2),0)</f>
        <v>39.400000000000006</v>
      </c>
      <c r="O24" s="8" t="str">
        <f t="shared" si="6"/>
        <v>2023 Elite Canada</v>
      </c>
      <c r="P24" s="8">
        <f>IF(COUNT(AT24,BW24,CZ24)&gt;0,LARGE((AT24,BW24,CZ24),1),0)</f>
        <v>21.4</v>
      </c>
      <c r="Q24" s="8" t="str">
        <f t="shared" si="7"/>
        <v>2023 Elite Canada</v>
      </c>
      <c r="R24" s="8">
        <f t="shared" si="8"/>
        <v>0</v>
      </c>
      <c r="S24" s="8" t="str">
        <f t="shared" si="9"/>
        <v/>
      </c>
      <c r="T24" s="8" t="str">
        <f t="shared" si="10"/>
        <v/>
      </c>
      <c r="U24" s="11" t="str">
        <f t="shared" si="11"/>
        <v/>
      </c>
      <c r="V24" s="8" t="str">
        <f t="shared" si="12"/>
        <v/>
      </c>
      <c r="W24" s="19">
        <v>18</v>
      </c>
      <c r="X24" s="19">
        <v>3.1</v>
      </c>
      <c r="Y24" s="19">
        <v>0</v>
      </c>
      <c r="Z24" s="19">
        <v>0</v>
      </c>
      <c r="AA24" s="19">
        <v>17.8</v>
      </c>
      <c r="AB24" s="19">
        <v>1.7</v>
      </c>
      <c r="AC24" s="19">
        <v>1.2</v>
      </c>
      <c r="AD24" s="19">
        <v>0</v>
      </c>
      <c r="AE24" s="19">
        <v>18.399999999999999</v>
      </c>
      <c r="AF24" s="19">
        <v>3</v>
      </c>
      <c r="AG24" s="19">
        <v>0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 t="shared" si="13"/>
        <v>4.8</v>
      </c>
      <c r="AS24" s="40">
        <f t="shared" si="14"/>
        <v>39.400000000000006</v>
      </c>
      <c r="AT24" s="40">
        <f t="shared" si="15"/>
        <v>21.4</v>
      </c>
      <c r="AU24" s="40">
        <f t="shared" si="16"/>
        <v>7.8</v>
      </c>
      <c r="AV24" s="40">
        <f t="shared" si="17"/>
        <v>60.800000000000004</v>
      </c>
      <c r="AW24" s="40" t="str">
        <f t="shared" si="18"/>
        <v/>
      </c>
      <c r="AX24" s="40" t="str">
        <f t="shared" si="19"/>
        <v/>
      </c>
      <c r="AY24" s="40">
        <f t="shared" si="20"/>
        <v>60.800000000000004</v>
      </c>
      <c r="AZ24" s="18">
        <v>18.8</v>
      </c>
      <c r="BA24" s="18">
        <v>2.7</v>
      </c>
      <c r="BB24" s="18">
        <v>0.9</v>
      </c>
      <c r="BC24" s="18">
        <v>0</v>
      </c>
      <c r="BD24" s="18">
        <v>18.399999999999999</v>
      </c>
      <c r="BE24" s="18">
        <v>3.6</v>
      </c>
      <c r="BF24" s="18">
        <v>0</v>
      </c>
      <c r="BG24" s="18">
        <v>0</v>
      </c>
      <c r="BH24" s="18">
        <v>17.600000000000001</v>
      </c>
      <c r="BI24" s="18">
        <v>0.7</v>
      </c>
      <c r="BJ24" s="18">
        <v>0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 t="shared" si="21"/>
        <v>6.3000000000000007</v>
      </c>
      <c r="BV24" s="11">
        <f t="shared" si="22"/>
        <v>42.6</v>
      </c>
      <c r="BW24" s="11">
        <f t="shared" si="23"/>
        <v>18.3</v>
      </c>
      <c r="BX24" s="11">
        <f t="shared" si="24"/>
        <v>7.0000000000000009</v>
      </c>
      <c r="BY24" s="11">
        <f t="shared" si="25"/>
        <v>60.900000000000006</v>
      </c>
      <c r="BZ24" s="11" t="str">
        <f t="shared" si="26"/>
        <v/>
      </c>
      <c r="CA24" s="11" t="str">
        <f t="shared" si="27"/>
        <v/>
      </c>
      <c r="CB24" s="11">
        <f t="shared" si="28"/>
        <v>60.900000000000006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 t="shared" si="29"/>
        <v/>
      </c>
      <c r="CY24" s="40" t="str">
        <f t="shared" si="30"/>
        <v/>
      </c>
      <c r="CZ24" s="40" t="str">
        <f t="shared" si="31"/>
        <v/>
      </c>
      <c r="DA24" s="40" t="str">
        <f t="shared" si="32"/>
        <v/>
      </c>
      <c r="DB24" s="40" t="str">
        <f t="shared" si="33"/>
        <v/>
      </c>
      <c r="DC24" s="40" t="str">
        <f t="shared" si="34"/>
        <v/>
      </c>
      <c r="DD24" s="40" t="str">
        <f t="shared" si="35"/>
        <v/>
      </c>
      <c r="DE24" s="40" t="str">
        <f t="shared" si="36"/>
        <v/>
      </c>
      <c r="DF24" s="50" t="str">
        <f t="shared" si="37"/>
        <v/>
      </c>
      <c r="DG24" s="50" t="str">
        <f t="shared" si="38"/>
        <v/>
      </c>
      <c r="DH24" s="50" t="str">
        <f t="shared" si="39"/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 t="shared" si="40"/>
        <v/>
      </c>
      <c r="ED24" s="40" t="str">
        <f t="shared" si="41"/>
        <v/>
      </c>
      <c r="EE24" s="40" t="str">
        <f t="shared" si="42"/>
        <v/>
      </c>
      <c r="EF24" s="40" t="str">
        <f t="shared" si="43"/>
        <v/>
      </c>
      <c r="EG24" s="40" t="str">
        <f t="shared" si="44"/>
        <v/>
      </c>
      <c r="EH24" s="40" t="str">
        <f t="shared" si="45"/>
        <v/>
      </c>
      <c r="EI24" s="40" t="str">
        <f t="shared" si="46"/>
        <v/>
      </c>
      <c r="EJ24" s="40" t="str">
        <f t="shared" si="47"/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 t="shared" si="48"/>
        <v/>
      </c>
      <c r="FF24" s="11" t="str">
        <f t="shared" si="49"/>
        <v/>
      </c>
      <c r="FG24" s="11" t="str">
        <f t="shared" si="50"/>
        <v/>
      </c>
      <c r="FH24" s="11" t="str">
        <f t="shared" si="51"/>
        <v/>
      </c>
      <c r="FI24" s="11" t="str">
        <f t="shared" si="52"/>
        <v/>
      </c>
      <c r="FJ24" s="11" t="str">
        <f t="shared" si="53"/>
        <v/>
      </c>
      <c r="FK24" s="11" t="str">
        <f t="shared" si="54"/>
        <v/>
      </c>
      <c r="FL24" s="11" t="str">
        <f t="shared" si="55"/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 t="shared" si="56"/>
        <v/>
      </c>
      <c r="GH24" s="40" t="str">
        <f t="shared" si="57"/>
        <v/>
      </c>
      <c r="GI24" s="40" t="str">
        <f t="shared" si="58"/>
        <v/>
      </c>
      <c r="GJ24" s="40" t="str">
        <f t="shared" si="59"/>
        <v/>
      </c>
      <c r="GK24" s="40" t="str">
        <f t="shared" si="60"/>
        <v/>
      </c>
      <c r="GL24" s="40" t="str">
        <f t="shared" si="61"/>
        <v/>
      </c>
      <c r="GM24" s="40" t="str">
        <f t="shared" si="62"/>
        <v/>
      </c>
      <c r="GN24" s="40" t="str">
        <f t="shared" si="63"/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 t="shared" si="64"/>
        <v/>
      </c>
      <c r="HJ24" s="11" t="str">
        <f t="shared" si="65"/>
        <v/>
      </c>
      <c r="HK24" s="11" t="str">
        <f t="shared" si="66"/>
        <v/>
      </c>
      <c r="HL24" s="11" t="str">
        <f t="shared" si="67"/>
        <v/>
      </c>
      <c r="HM24" s="11" t="str">
        <f t="shared" si="68"/>
        <v/>
      </c>
      <c r="HN24" s="11" t="str">
        <f t="shared" si="69"/>
        <v/>
      </c>
      <c r="HO24" s="11" t="str">
        <f t="shared" si="70"/>
        <v/>
      </c>
      <c r="HP24" s="11" t="str">
        <f t="shared" si="71"/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 t="shared" si="72"/>
        <v/>
      </c>
      <c r="IL24" s="40" t="str">
        <f t="shared" si="73"/>
        <v/>
      </c>
      <c r="IM24" s="40" t="str">
        <f t="shared" si="74"/>
        <v/>
      </c>
      <c r="IN24" s="40" t="str">
        <f t="shared" si="75"/>
        <v/>
      </c>
      <c r="IO24" s="40" t="str">
        <f t="shared" si="76"/>
        <v/>
      </c>
      <c r="IP24" s="40" t="str">
        <f t="shared" si="77"/>
        <v/>
      </c>
      <c r="IQ24" s="40" t="str">
        <f t="shared" si="78"/>
        <v/>
      </c>
      <c r="IR24" s="40" t="str">
        <f t="shared" si="79"/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 t="shared" si="80"/>
        <v/>
      </c>
      <c r="JN24" s="11" t="str">
        <f t="shared" si="81"/>
        <v/>
      </c>
      <c r="JO24" s="11" t="str">
        <f t="shared" si="82"/>
        <v/>
      </c>
      <c r="JP24" s="11" t="str">
        <f t="shared" si="83"/>
        <v/>
      </c>
      <c r="JQ24" s="11" t="str">
        <f t="shared" si="84"/>
        <v/>
      </c>
      <c r="JR24" s="11" t="str">
        <f t="shared" si="85"/>
        <v/>
      </c>
      <c r="JS24" s="11" t="str">
        <f t="shared" si="86"/>
        <v/>
      </c>
      <c r="JT24" s="11" t="str">
        <f t="shared" si="87"/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 t="shared" si="88"/>
        <v/>
      </c>
      <c r="KP24" s="40" t="str">
        <f t="shared" si="89"/>
        <v/>
      </c>
      <c r="KQ24" s="40" t="str">
        <f t="shared" si="90"/>
        <v/>
      </c>
      <c r="KR24" s="40" t="str">
        <f t="shared" si="91"/>
        <v/>
      </c>
      <c r="KS24" s="40" t="str">
        <f t="shared" si="92"/>
        <v/>
      </c>
      <c r="KT24" s="40" t="str">
        <f t="shared" si="93"/>
        <v/>
      </c>
      <c r="KU24" s="40" t="str">
        <f t="shared" si="94"/>
        <v/>
      </c>
      <c r="KV24" s="40" t="str">
        <f t="shared" si="95"/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 t="shared" si="96"/>
        <v/>
      </c>
      <c r="LR24" s="11" t="str">
        <f t="shared" si="97"/>
        <v/>
      </c>
      <c r="LS24" s="11" t="str">
        <f t="shared" si="98"/>
        <v/>
      </c>
      <c r="LT24" s="11" t="str">
        <f t="shared" si="99"/>
        <v/>
      </c>
      <c r="LU24" s="11" t="str">
        <f t="shared" si="100"/>
        <v/>
      </c>
      <c r="LV24" s="11" t="str">
        <f t="shared" si="101"/>
        <v/>
      </c>
      <c r="LW24" s="11" t="str">
        <f t="shared" si="102"/>
        <v/>
      </c>
      <c r="LX24" s="11" t="str">
        <f t="shared" si="103"/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 t="shared" si="104"/>
        <v/>
      </c>
      <c r="MT24" s="40" t="str">
        <f t="shared" si="105"/>
        <v/>
      </c>
      <c r="MU24" s="40" t="str">
        <f t="shared" si="106"/>
        <v/>
      </c>
      <c r="MV24" s="40" t="str">
        <f t="shared" si="107"/>
        <v/>
      </c>
      <c r="MW24" s="40" t="str">
        <f t="shared" si="108"/>
        <v/>
      </c>
      <c r="MX24" s="40" t="str">
        <f t="shared" si="109"/>
        <v/>
      </c>
      <c r="MY24" s="40" t="str">
        <f t="shared" si="110"/>
        <v/>
      </c>
      <c r="MZ24" s="40" t="str">
        <f t="shared" si="111"/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 t="shared" si="112"/>
        <v/>
      </c>
      <c r="NV24" s="11" t="str">
        <f t="shared" si="113"/>
        <v/>
      </c>
      <c r="NW24" s="11" t="str">
        <f t="shared" si="114"/>
        <v/>
      </c>
      <c r="NX24" s="11" t="str">
        <f t="shared" si="115"/>
        <v/>
      </c>
      <c r="NY24" s="11" t="str">
        <f t="shared" si="116"/>
        <v/>
      </c>
      <c r="NZ24" s="11" t="str">
        <f t="shared" si="117"/>
        <v/>
      </c>
      <c r="OA24" s="11" t="str">
        <f t="shared" si="118"/>
        <v/>
      </c>
      <c r="OB24" s="11" t="str">
        <f t="shared" si="119"/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 t="shared" si="120"/>
        <v/>
      </c>
      <c r="OX24" s="40" t="str">
        <f t="shared" si="121"/>
        <v/>
      </c>
      <c r="OY24" s="40" t="str">
        <f t="shared" si="122"/>
        <v/>
      </c>
      <c r="OZ24" s="40" t="str">
        <f t="shared" si="123"/>
        <v/>
      </c>
      <c r="PA24" s="40" t="str">
        <f t="shared" si="124"/>
        <v/>
      </c>
      <c r="PB24" s="40" t="str">
        <f t="shared" si="125"/>
        <v/>
      </c>
      <c r="PC24" s="40" t="str">
        <f t="shared" si="126"/>
        <v/>
      </c>
      <c r="PD24" s="40" t="str">
        <f t="shared" si="127"/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 t="shared" si="128"/>
        <v/>
      </c>
      <c r="PZ24" s="11" t="str">
        <f t="shared" si="129"/>
        <v/>
      </c>
      <c r="QA24" s="11" t="str">
        <f t="shared" si="130"/>
        <v/>
      </c>
      <c r="QB24" s="11" t="str">
        <f t="shared" si="131"/>
        <v/>
      </c>
      <c r="QC24" s="11" t="str">
        <f t="shared" si="132"/>
        <v/>
      </c>
      <c r="QD24" s="11" t="str">
        <f t="shared" si="133"/>
        <v/>
      </c>
      <c r="QE24" s="11" t="str">
        <f t="shared" si="134"/>
        <v/>
      </c>
      <c r="QF24" s="11" t="str">
        <f t="shared" si="135"/>
        <v/>
      </c>
      <c r="QG24" s="22">
        <f t="shared" si="136"/>
        <v>9.4</v>
      </c>
      <c r="QH24" s="22">
        <f t="shared" si="137"/>
        <v>1.35</v>
      </c>
      <c r="QI24" s="22">
        <f t="shared" si="138"/>
        <v>0.45</v>
      </c>
      <c r="QJ24" s="22">
        <f t="shared" si="139"/>
        <v>0</v>
      </c>
      <c r="QK24" s="22">
        <f t="shared" si="140"/>
        <v>9.1999999999999993</v>
      </c>
      <c r="QL24" s="22">
        <f t="shared" si="141"/>
        <v>1.8</v>
      </c>
      <c r="QM24" s="22">
        <f t="shared" si="142"/>
        <v>0</v>
      </c>
      <c r="QN24" s="22">
        <f t="shared" si="143"/>
        <v>0</v>
      </c>
      <c r="QO24" s="22">
        <f t="shared" si="144"/>
        <v>8.8000000000000007</v>
      </c>
      <c r="QP24" s="22">
        <f t="shared" si="145"/>
        <v>0.35</v>
      </c>
      <c r="QQ24" s="22">
        <f t="shared" si="146"/>
        <v>0</v>
      </c>
      <c r="QR24" s="22">
        <f t="shared" si="147"/>
        <v>0</v>
      </c>
      <c r="QS24" s="22">
        <f t="shared" si="148"/>
        <v>0</v>
      </c>
      <c r="QT24" s="22">
        <f t="shared" si="149"/>
        <v>0</v>
      </c>
      <c r="QU24" s="22">
        <f t="shared" si="150"/>
        <v>0</v>
      </c>
      <c r="QV24" s="22">
        <f t="shared" si="151"/>
        <v>0</v>
      </c>
      <c r="QW24" s="22">
        <f t="shared" si="152"/>
        <v>0</v>
      </c>
      <c r="QX24" s="22">
        <f t="shared" si="153"/>
        <v>0</v>
      </c>
      <c r="QY24" s="22">
        <f t="shared" si="154"/>
        <v>0</v>
      </c>
      <c r="QZ24" s="22">
        <f t="shared" si="155"/>
        <v>0</v>
      </c>
      <c r="RA24" s="27" t="s">
        <v>46</v>
      </c>
      <c r="RB24" s="40">
        <f t="shared" si="156"/>
        <v>3.1500000000000004</v>
      </c>
      <c r="RC24" s="40">
        <f t="shared" si="157"/>
        <v>21.3</v>
      </c>
      <c r="RD24" s="40">
        <f t="shared" si="158"/>
        <v>9.15</v>
      </c>
      <c r="RE24" s="40">
        <f t="shared" si="159"/>
        <v>3.5000000000000004</v>
      </c>
      <c r="RF24" s="40">
        <f t="shared" si="160"/>
        <v>30.450000000000003</v>
      </c>
      <c r="RG24" s="40" t="str">
        <f t="shared" si="161"/>
        <v/>
      </c>
      <c r="RH24" s="40" t="str">
        <f t="shared" si="162"/>
        <v/>
      </c>
      <c r="RI24" s="40">
        <f t="shared" si="163"/>
        <v>30.450000000000003</v>
      </c>
    </row>
    <row r="25" spans="1:477" x14ac:dyDescent="0.2">
      <c r="A25" s="4" t="str" cm="1">
        <f t="array" ref="A25">IF(AND(J25&lt;&gt;"",J25&lt;&gt;"No DD"),SUMPRODUCT((J$4:J$27&lt;&gt;"")*(J$4:J$27&lt;&gt;"No DD")*(F$4:F$27&gt;F25))+1,IF(J25="No DD",SUMPRODUCT((J$4:J$27="No DD")*(F$4:F$27&gt;F25))+1+SUMPRODUCT((J$4:J$27&lt;&gt;"")*(J$4:J$27&lt;&gt;"No DD")),""))</f>
        <v/>
      </c>
      <c r="B25" s="4" t="str" cm="1">
        <f t="array" ref="B25">IF(AND(J25&lt;&gt;"",J25&lt;&gt;"No DD",G25=""),SUMPRODUCT((J$4:J$27&lt;&gt;"")*(J$4:J$27&lt;&gt;"No DD")*(G$4:G$27="")*(F$4:F$27&gt;F25))+1,IF(J25="No DD",SUMPRODUCT((J$4:J$27="No DD")*(F$4:F$27&gt;F25)*(G$4:G$27=""))+1+SUMPRODUCT((J$4:J$27&lt;&gt;"")*(G$4:G$27="")*(J$4:J$27&lt;&gt;"No DD")),""))</f>
        <v/>
      </c>
      <c r="C25" s="5" t="s">
        <v>162</v>
      </c>
      <c r="D25" s="4" t="s">
        <v>4</v>
      </c>
      <c r="E25" s="4">
        <v>2003</v>
      </c>
      <c r="F25" s="9">
        <f t="shared" si="0"/>
        <v>99.60000996000413</v>
      </c>
      <c r="G25" s="66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IF(COUNT(AS25,BV25,CY25)&gt;0,LARGE((AS25,BV25,CY25),1),0)</f>
        <v>41.000000000000007</v>
      </c>
      <c r="M25" s="8" t="str">
        <f t="shared" si="5"/>
        <v>2023 Nationals</v>
      </c>
      <c r="N25" s="8">
        <f>IF(COUNT(AS25,BV25,CY25)&gt;1,LARGE((AS25,BV25,CY25),2),0)</f>
        <v>37.700000000000003</v>
      </c>
      <c r="O25" s="8" t="str">
        <f t="shared" si="6"/>
        <v>2023 Elite Canada</v>
      </c>
      <c r="P25" s="8">
        <f>IF(COUNT(AT25,BW25,CZ25)&gt;0,LARGE((AT25,BW25,CZ25),1),0)</f>
        <v>20.9</v>
      </c>
      <c r="Q25" s="8" t="str">
        <f t="shared" si="7"/>
        <v>2023 Elite Canada</v>
      </c>
      <c r="R25" s="8">
        <f t="shared" si="8"/>
        <v>0</v>
      </c>
      <c r="S25" s="8" t="str">
        <f t="shared" si="9"/>
        <v/>
      </c>
      <c r="T25" s="8" t="str">
        <f t="shared" si="10"/>
        <v/>
      </c>
      <c r="U25" s="11" t="str">
        <f t="shared" si="11"/>
        <v/>
      </c>
      <c r="V25" s="8" t="str">
        <f t="shared" si="12"/>
        <v/>
      </c>
      <c r="W25" s="19">
        <v>18.2</v>
      </c>
      <c r="X25" s="19">
        <v>2.7</v>
      </c>
      <c r="Y25" s="19">
        <v>1.1000000000000001</v>
      </c>
      <c r="Z25" s="19">
        <v>0</v>
      </c>
      <c r="AA25" s="19">
        <v>17.3</v>
      </c>
      <c r="AB25" s="19">
        <v>0.6</v>
      </c>
      <c r="AC25" s="19">
        <v>0</v>
      </c>
      <c r="AD25" s="19">
        <v>0</v>
      </c>
      <c r="AE25" s="19">
        <v>17.399999999999999</v>
      </c>
      <c r="AF25" s="19">
        <v>1.1000000000000001</v>
      </c>
      <c r="AG25" s="19">
        <v>0.6</v>
      </c>
      <c r="AH25" s="19">
        <v>3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 t="shared" si="13"/>
        <v>3.3000000000000003</v>
      </c>
      <c r="AS25" s="40">
        <f t="shared" si="14"/>
        <v>37.700000000000003</v>
      </c>
      <c r="AT25" s="40">
        <f t="shared" si="15"/>
        <v>20.9</v>
      </c>
      <c r="AU25" s="40">
        <f t="shared" si="16"/>
        <v>4.4000000000000004</v>
      </c>
      <c r="AV25" s="40">
        <f t="shared" si="17"/>
        <v>58.6</v>
      </c>
      <c r="AW25" s="40" t="str">
        <f t="shared" si="18"/>
        <v/>
      </c>
      <c r="AX25" s="40" t="str">
        <f t="shared" si="19"/>
        <v/>
      </c>
      <c r="AY25" s="40">
        <f t="shared" si="20"/>
        <v>58.6</v>
      </c>
      <c r="AZ25" s="18">
        <v>18.8</v>
      </c>
      <c r="BA25" s="18">
        <v>3</v>
      </c>
      <c r="BB25" s="18">
        <v>0</v>
      </c>
      <c r="BC25" s="18">
        <v>0</v>
      </c>
      <c r="BD25" s="18">
        <v>17.600000000000001</v>
      </c>
      <c r="BE25" s="18">
        <v>2.5</v>
      </c>
      <c r="BF25" s="18">
        <v>0.9</v>
      </c>
      <c r="BG25" s="18">
        <v>0</v>
      </c>
      <c r="BH25" s="18">
        <v>17.5</v>
      </c>
      <c r="BI25" s="18">
        <v>0.7</v>
      </c>
      <c r="BJ25" s="18">
        <v>0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 t="shared" si="21"/>
        <v>5.5</v>
      </c>
      <c r="BV25" s="11">
        <f t="shared" si="22"/>
        <v>41.000000000000007</v>
      </c>
      <c r="BW25" s="11">
        <f t="shared" si="23"/>
        <v>18.2</v>
      </c>
      <c r="BX25" s="11">
        <f t="shared" si="24"/>
        <v>6.2</v>
      </c>
      <c r="BY25" s="11">
        <f t="shared" si="25"/>
        <v>59.2</v>
      </c>
      <c r="BZ25" s="11" t="str">
        <f t="shared" si="26"/>
        <v/>
      </c>
      <c r="CA25" s="11" t="str">
        <f t="shared" si="27"/>
        <v/>
      </c>
      <c r="CB25" s="11">
        <f t="shared" si="28"/>
        <v>59.2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 t="shared" si="29"/>
        <v/>
      </c>
      <c r="CY25" s="40" t="str">
        <f t="shared" si="30"/>
        <v/>
      </c>
      <c r="CZ25" s="40" t="str">
        <f t="shared" si="31"/>
        <v/>
      </c>
      <c r="DA25" s="40" t="str">
        <f t="shared" si="32"/>
        <v/>
      </c>
      <c r="DB25" s="40" t="str">
        <f t="shared" si="33"/>
        <v/>
      </c>
      <c r="DC25" s="40" t="str">
        <f t="shared" si="34"/>
        <v/>
      </c>
      <c r="DD25" s="40" t="str">
        <f t="shared" si="35"/>
        <v/>
      </c>
      <c r="DE25" s="40" t="str">
        <f t="shared" si="36"/>
        <v/>
      </c>
      <c r="DF25" s="50" t="str">
        <f t="shared" si="37"/>
        <v/>
      </c>
      <c r="DG25" s="50" t="str">
        <f t="shared" si="38"/>
        <v/>
      </c>
      <c r="DH25" s="50" t="str">
        <f t="shared" si="39"/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 t="shared" si="40"/>
        <v/>
      </c>
      <c r="ED25" s="40" t="str">
        <f t="shared" si="41"/>
        <v/>
      </c>
      <c r="EE25" s="40" t="str">
        <f t="shared" si="42"/>
        <v/>
      </c>
      <c r="EF25" s="40" t="str">
        <f t="shared" si="43"/>
        <v/>
      </c>
      <c r="EG25" s="40" t="str">
        <f t="shared" si="44"/>
        <v/>
      </c>
      <c r="EH25" s="40" t="str">
        <f t="shared" si="45"/>
        <v/>
      </c>
      <c r="EI25" s="40" t="str">
        <f t="shared" si="46"/>
        <v/>
      </c>
      <c r="EJ25" s="40" t="str">
        <f t="shared" si="47"/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 t="shared" si="48"/>
        <v/>
      </c>
      <c r="FF25" s="11" t="str">
        <f t="shared" si="49"/>
        <v/>
      </c>
      <c r="FG25" s="11" t="str">
        <f t="shared" si="50"/>
        <v/>
      </c>
      <c r="FH25" s="11" t="str">
        <f t="shared" si="51"/>
        <v/>
      </c>
      <c r="FI25" s="11" t="str">
        <f t="shared" si="52"/>
        <v/>
      </c>
      <c r="FJ25" s="11" t="str">
        <f t="shared" si="53"/>
        <v/>
      </c>
      <c r="FK25" s="11" t="str">
        <f t="shared" si="54"/>
        <v/>
      </c>
      <c r="FL25" s="11" t="str">
        <f t="shared" si="55"/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 t="shared" si="56"/>
        <v/>
      </c>
      <c r="GH25" s="40" t="str">
        <f t="shared" si="57"/>
        <v/>
      </c>
      <c r="GI25" s="40" t="str">
        <f t="shared" si="58"/>
        <v/>
      </c>
      <c r="GJ25" s="40" t="str">
        <f t="shared" si="59"/>
        <v/>
      </c>
      <c r="GK25" s="40" t="str">
        <f t="shared" si="60"/>
        <v/>
      </c>
      <c r="GL25" s="40" t="str">
        <f t="shared" si="61"/>
        <v/>
      </c>
      <c r="GM25" s="40" t="str">
        <f t="shared" si="62"/>
        <v/>
      </c>
      <c r="GN25" s="40" t="str">
        <f t="shared" si="63"/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 t="shared" si="64"/>
        <v/>
      </c>
      <c r="HJ25" s="11" t="str">
        <f t="shared" si="65"/>
        <v/>
      </c>
      <c r="HK25" s="11" t="str">
        <f t="shared" si="66"/>
        <v/>
      </c>
      <c r="HL25" s="11" t="str">
        <f t="shared" si="67"/>
        <v/>
      </c>
      <c r="HM25" s="11" t="str">
        <f t="shared" si="68"/>
        <v/>
      </c>
      <c r="HN25" s="11" t="str">
        <f t="shared" si="69"/>
        <v/>
      </c>
      <c r="HO25" s="11" t="str">
        <f t="shared" si="70"/>
        <v/>
      </c>
      <c r="HP25" s="11" t="str">
        <f t="shared" si="71"/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 t="shared" si="72"/>
        <v/>
      </c>
      <c r="IL25" s="40" t="str">
        <f t="shared" si="73"/>
        <v/>
      </c>
      <c r="IM25" s="40" t="str">
        <f t="shared" si="74"/>
        <v/>
      </c>
      <c r="IN25" s="40" t="str">
        <f t="shared" si="75"/>
        <v/>
      </c>
      <c r="IO25" s="40" t="str">
        <f t="shared" si="76"/>
        <v/>
      </c>
      <c r="IP25" s="40" t="str">
        <f t="shared" si="77"/>
        <v/>
      </c>
      <c r="IQ25" s="40" t="str">
        <f t="shared" si="78"/>
        <v/>
      </c>
      <c r="IR25" s="40" t="str">
        <f t="shared" si="79"/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 t="shared" si="80"/>
        <v/>
      </c>
      <c r="JN25" s="11" t="str">
        <f t="shared" si="81"/>
        <v/>
      </c>
      <c r="JO25" s="11" t="str">
        <f t="shared" si="82"/>
        <v/>
      </c>
      <c r="JP25" s="11" t="str">
        <f t="shared" si="83"/>
        <v/>
      </c>
      <c r="JQ25" s="11" t="str">
        <f t="shared" si="84"/>
        <v/>
      </c>
      <c r="JR25" s="11" t="str">
        <f t="shared" si="85"/>
        <v/>
      </c>
      <c r="JS25" s="11" t="str">
        <f t="shared" si="86"/>
        <v/>
      </c>
      <c r="JT25" s="11" t="str">
        <f t="shared" si="87"/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 t="shared" si="88"/>
        <v/>
      </c>
      <c r="KP25" s="40" t="str">
        <f t="shared" si="89"/>
        <v/>
      </c>
      <c r="KQ25" s="40" t="str">
        <f t="shared" si="90"/>
        <v/>
      </c>
      <c r="KR25" s="40" t="str">
        <f t="shared" si="91"/>
        <v/>
      </c>
      <c r="KS25" s="40" t="str">
        <f t="shared" si="92"/>
        <v/>
      </c>
      <c r="KT25" s="40" t="str">
        <f t="shared" si="93"/>
        <v/>
      </c>
      <c r="KU25" s="40" t="str">
        <f t="shared" si="94"/>
        <v/>
      </c>
      <c r="KV25" s="40" t="str">
        <f t="shared" si="95"/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 t="shared" si="96"/>
        <v/>
      </c>
      <c r="LR25" s="11" t="str">
        <f t="shared" si="97"/>
        <v/>
      </c>
      <c r="LS25" s="11" t="str">
        <f t="shared" si="98"/>
        <v/>
      </c>
      <c r="LT25" s="11" t="str">
        <f t="shared" si="99"/>
        <v/>
      </c>
      <c r="LU25" s="11" t="str">
        <f t="shared" si="100"/>
        <v/>
      </c>
      <c r="LV25" s="11" t="str">
        <f t="shared" si="101"/>
        <v/>
      </c>
      <c r="LW25" s="11" t="str">
        <f t="shared" si="102"/>
        <v/>
      </c>
      <c r="LX25" s="11" t="str">
        <f t="shared" si="103"/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 t="shared" si="104"/>
        <v/>
      </c>
      <c r="MT25" s="40" t="str">
        <f t="shared" si="105"/>
        <v/>
      </c>
      <c r="MU25" s="40" t="str">
        <f t="shared" si="106"/>
        <v/>
      </c>
      <c r="MV25" s="40" t="str">
        <f t="shared" si="107"/>
        <v/>
      </c>
      <c r="MW25" s="40" t="str">
        <f t="shared" si="108"/>
        <v/>
      </c>
      <c r="MX25" s="40" t="str">
        <f t="shared" si="109"/>
        <v/>
      </c>
      <c r="MY25" s="40" t="str">
        <f t="shared" si="110"/>
        <v/>
      </c>
      <c r="MZ25" s="40" t="str">
        <f t="shared" si="111"/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 t="shared" si="112"/>
        <v/>
      </c>
      <c r="NV25" s="11" t="str">
        <f t="shared" si="113"/>
        <v/>
      </c>
      <c r="NW25" s="11" t="str">
        <f t="shared" si="114"/>
        <v/>
      </c>
      <c r="NX25" s="11" t="str">
        <f t="shared" si="115"/>
        <v/>
      </c>
      <c r="NY25" s="11" t="str">
        <f t="shared" si="116"/>
        <v/>
      </c>
      <c r="NZ25" s="11" t="str">
        <f t="shared" si="117"/>
        <v/>
      </c>
      <c r="OA25" s="11" t="str">
        <f t="shared" si="118"/>
        <v/>
      </c>
      <c r="OB25" s="11" t="str">
        <f t="shared" si="119"/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 t="shared" si="120"/>
        <v/>
      </c>
      <c r="OX25" s="40" t="str">
        <f t="shared" si="121"/>
        <v/>
      </c>
      <c r="OY25" s="40" t="str">
        <f t="shared" si="122"/>
        <v/>
      </c>
      <c r="OZ25" s="40" t="str">
        <f t="shared" si="123"/>
        <v/>
      </c>
      <c r="PA25" s="40" t="str">
        <f t="shared" si="124"/>
        <v/>
      </c>
      <c r="PB25" s="40" t="str">
        <f t="shared" si="125"/>
        <v/>
      </c>
      <c r="PC25" s="40" t="str">
        <f t="shared" si="126"/>
        <v/>
      </c>
      <c r="PD25" s="40" t="str">
        <f t="shared" si="127"/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 t="shared" si="128"/>
        <v/>
      </c>
      <c r="PZ25" s="11" t="str">
        <f t="shared" si="129"/>
        <v/>
      </c>
      <c r="QA25" s="11" t="str">
        <f t="shared" si="130"/>
        <v/>
      </c>
      <c r="QB25" s="11" t="str">
        <f t="shared" si="131"/>
        <v/>
      </c>
      <c r="QC25" s="11" t="str">
        <f t="shared" si="132"/>
        <v/>
      </c>
      <c r="QD25" s="11" t="str">
        <f t="shared" si="133"/>
        <v/>
      </c>
      <c r="QE25" s="11" t="str">
        <f t="shared" si="134"/>
        <v/>
      </c>
      <c r="QF25" s="11" t="str">
        <f t="shared" si="135"/>
        <v/>
      </c>
      <c r="QG25" s="22">
        <f t="shared" si="136"/>
        <v>9.4</v>
      </c>
      <c r="QH25" s="22">
        <f t="shared" si="137"/>
        <v>1.5</v>
      </c>
      <c r="QI25" s="22">
        <f t="shared" si="138"/>
        <v>0</v>
      </c>
      <c r="QJ25" s="22">
        <f t="shared" si="139"/>
        <v>0</v>
      </c>
      <c r="QK25" s="22">
        <f t="shared" si="140"/>
        <v>8.8000000000000007</v>
      </c>
      <c r="QL25" s="22">
        <f t="shared" si="141"/>
        <v>1.25</v>
      </c>
      <c r="QM25" s="22">
        <f t="shared" si="142"/>
        <v>0.45</v>
      </c>
      <c r="QN25" s="22">
        <f t="shared" si="143"/>
        <v>0</v>
      </c>
      <c r="QO25" s="22">
        <f t="shared" si="144"/>
        <v>8.75</v>
      </c>
      <c r="QP25" s="22">
        <f t="shared" si="145"/>
        <v>0.35</v>
      </c>
      <c r="QQ25" s="22">
        <f t="shared" si="146"/>
        <v>0</v>
      </c>
      <c r="QR25" s="22">
        <f t="shared" si="147"/>
        <v>0</v>
      </c>
      <c r="QS25" s="22">
        <f t="shared" si="148"/>
        <v>0</v>
      </c>
      <c r="QT25" s="22">
        <f t="shared" si="149"/>
        <v>0</v>
      </c>
      <c r="QU25" s="22">
        <f t="shared" si="150"/>
        <v>0</v>
      </c>
      <c r="QV25" s="22">
        <f t="shared" si="151"/>
        <v>0</v>
      </c>
      <c r="QW25" s="22">
        <f t="shared" si="152"/>
        <v>0</v>
      </c>
      <c r="QX25" s="22">
        <f t="shared" si="153"/>
        <v>0</v>
      </c>
      <c r="QY25" s="22">
        <f t="shared" si="154"/>
        <v>0</v>
      </c>
      <c r="QZ25" s="22">
        <f t="shared" si="155"/>
        <v>0</v>
      </c>
      <c r="RA25" s="27" t="s">
        <v>46</v>
      </c>
      <c r="RB25" s="40">
        <f t="shared" si="156"/>
        <v>2.75</v>
      </c>
      <c r="RC25" s="40">
        <f t="shared" si="157"/>
        <v>20.500000000000004</v>
      </c>
      <c r="RD25" s="40">
        <f t="shared" si="158"/>
        <v>9.1</v>
      </c>
      <c r="RE25" s="40">
        <f t="shared" si="159"/>
        <v>3.1</v>
      </c>
      <c r="RF25" s="40">
        <f t="shared" si="160"/>
        <v>29.6</v>
      </c>
      <c r="RG25" s="40" t="str">
        <f t="shared" si="161"/>
        <v/>
      </c>
      <c r="RH25" s="40" t="str">
        <f t="shared" si="162"/>
        <v/>
      </c>
      <c r="RI25" s="40">
        <f t="shared" si="163"/>
        <v>29.6</v>
      </c>
    </row>
    <row r="26" spans="1:477" x14ac:dyDescent="0.2">
      <c r="A26" s="4" t="str" cm="1">
        <f t="array" ref="A26">IF(AND(J26&lt;&gt;"",J26&lt;&gt;"No DD"),SUMPRODUCT((J$4:J$27&lt;&gt;"")*(J$4:J$27&lt;&gt;"No DD")*(F$4:F$27&gt;F26))+1,IF(J26="No DD",SUMPRODUCT((J$4:J$27="No DD")*(F$4:F$27&gt;F26))+1+SUMPRODUCT((J$4:J$27&lt;&gt;"")*(J$4:J$27&lt;&gt;"No DD")),""))</f>
        <v/>
      </c>
      <c r="B26" s="4" t="str" cm="1">
        <f t="array" ref="B26">IF(AND(J26&lt;&gt;"",J26&lt;&gt;"No DD",G26=""),SUMPRODUCT((J$4:J$27&lt;&gt;"")*(J$4:J$27&lt;&gt;"No DD")*(G$4:G$27="")*(F$4:F$27&gt;F26))+1,IF(J26="No DD",SUMPRODUCT((J$4:J$27="No DD")*(F$4:F$27&gt;F26)*(G$4:G$27=""))+1+SUMPRODUCT((J$4:J$27&lt;&gt;"")*(G$4:G$27="")*(J$4:J$27&lt;&gt;"No DD")),""))</f>
        <v/>
      </c>
      <c r="C26" s="5" t="s">
        <v>163</v>
      </c>
      <c r="D26" s="4" t="s">
        <v>4</v>
      </c>
      <c r="E26" s="4">
        <v>2005</v>
      </c>
      <c r="F26" s="9">
        <f t="shared" si="0"/>
        <v>59.800005980004194</v>
      </c>
      <c r="G26" s="66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IF(COUNT(AS26,BV26,CY26)&gt;0,LARGE((AS26,BV26,CY26),1),0)</f>
        <v>41.900000000000006</v>
      </c>
      <c r="M26" s="8" t="str">
        <f t="shared" si="5"/>
        <v>2023 Elite Canada</v>
      </c>
      <c r="N26" s="8">
        <f>IF(COUNT(AS26,BV26,CY26)&gt;1,LARGE((AS26,BV26,CY26),2),0)</f>
        <v>0</v>
      </c>
      <c r="O26" s="8" t="str">
        <f t="shared" si="6"/>
        <v/>
      </c>
      <c r="P26" s="8">
        <f>IF(COUNT(AT26,BW26,CZ26)&gt;0,LARGE((AT26,BW26,CZ26),1),0)</f>
        <v>17.899999999999999</v>
      </c>
      <c r="Q26" s="8" t="str">
        <f t="shared" si="7"/>
        <v>2023 Elite Canada</v>
      </c>
      <c r="R26" s="8">
        <f t="shared" si="8"/>
        <v>0</v>
      </c>
      <c r="S26" s="8" t="str">
        <f t="shared" si="9"/>
        <v/>
      </c>
      <c r="T26" s="8" t="str">
        <f t="shared" si="10"/>
        <v/>
      </c>
      <c r="U26" s="11" t="str">
        <f t="shared" si="11"/>
        <v/>
      </c>
      <c r="V26" s="8" t="str">
        <f t="shared" si="12"/>
        <v/>
      </c>
      <c r="W26" s="19">
        <v>17.600000000000001</v>
      </c>
      <c r="X26" s="19">
        <v>3.3</v>
      </c>
      <c r="Y26" s="19">
        <v>0.2</v>
      </c>
      <c r="Z26" s="19">
        <v>0</v>
      </c>
      <c r="AA26" s="19">
        <v>18</v>
      </c>
      <c r="AB26" s="19">
        <v>3.2</v>
      </c>
      <c r="AC26" s="19">
        <v>0</v>
      </c>
      <c r="AD26" s="19">
        <v>0</v>
      </c>
      <c r="AE26" s="19">
        <v>17.2</v>
      </c>
      <c r="AF26" s="19">
        <v>0.7</v>
      </c>
      <c r="AG26" s="19">
        <v>0</v>
      </c>
      <c r="AH26" s="19">
        <v>0</v>
      </c>
      <c r="AI26" s="19"/>
      <c r="AJ26" s="19"/>
      <c r="AK26" s="19"/>
      <c r="AL26" s="19"/>
      <c r="AM26" s="19"/>
      <c r="AN26" s="19"/>
      <c r="AO26" s="19"/>
      <c r="AP26" s="19"/>
      <c r="AQ26" s="27"/>
      <c r="AR26" s="40">
        <f t="shared" si="13"/>
        <v>6.5</v>
      </c>
      <c r="AS26" s="40">
        <f t="shared" si="14"/>
        <v>41.900000000000006</v>
      </c>
      <c r="AT26" s="40">
        <f t="shared" si="15"/>
        <v>17.899999999999999</v>
      </c>
      <c r="AU26" s="40">
        <f t="shared" si="16"/>
        <v>7.2</v>
      </c>
      <c r="AV26" s="40">
        <f t="shared" si="17"/>
        <v>59.800000000000004</v>
      </c>
      <c r="AW26" s="40" t="str">
        <f t="shared" si="18"/>
        <v/>
      </c>
      <c r="AX26" s="40" t="str">
        <f t="shared" si="19"/>
        <v/>
      </c>
      <c r="AY26" s="40">
        <f t="shared" si="20"/>
        <v>59.800000000000004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 t="shared" si="21"/>
        <v/>
      </c>
      <c r="BV26" s="11" t="str">
        <f t="shared" si="22"/>
        <v/>
      </c>
      <c r="BW26" s="11" t="str">
        <f t="shared" si="23"/>
        <v/>
      </c>
      <c r="BX26" s="11" t="str">
        <f t="shared" si="24"/>
        <v/>
      </c>
      <c r="BY26" s="11" t="str">
        <f t="shared" si="25"/>
        <v/>
      </c>
      <c r="BZ26" s="11" t="str">
        <f t="shared" si="26"/>
        <v/>
      </c>
      <c r="CA26" s="11" t="str">
        <f t="shared" si="27"/>
        <v/>
      </c>
      <c r="CB26" s="11" t="str">
        <f t="shared" si="28"/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 t="shared" si="29"/>
        <v/>
      </c>
      <c r="CY26" s="40" t="str">
        <f t="shared" si="30"/>
        <v/>
      </c>
      <c r="CZ26" s="40" t="str">
        <f t="shared" si="31"/>
        <v/>
      </c>
      <c r="DA26" s="40" t="str">
        <f t="shared" si="32"/>
        <v/>
      </c>
      <c r="DB26" s="40" t="str">
        <f t="shared" si="33"/>
        <v/>
      </c>
      <c r="DC26" s="40" t="str">
        <f t="shared" si="34"/>
        <v/>
      </c>
      <c r="DD26" s="40" t="str">
        <f t="shared" si="35"/>
        <v/>
      </c>
      <c r="DE26" s="40" t="str">
        <f t="shared" si="36"/>
        <v/>
      </c>
      <c r="DF26" s="50" t="str">
        <f t="shared" si="37"/>
        <v/>
      </c>
      <c r="DG26" s="50" t="str">
        <f t="shared" si="38"/>
        <v/>
      </c>
      <c r="DH26" s="50" t="str">
        <f t="shared" si="39"/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 t="shared" si="40"/>
        <v/>
      </c>
      <c r="ED26" s="40" t="str">
        <f t="shared" si="41"/>
        <v/>
      </c>
      <c r="EE26" s="40" t="str">
        <f t="shared" si="42"/>
        <v/>
      </c>
      <c r="EF26" s="40" t="str">
        <f t="shared" si="43"/>
        <v/>
      </c>
      <c r="EG26" s="40" t="str">
        <f t="shared" si="44"/>
        <v/>
      </c>
      <c r="EH26" s="40" t="str">
        <f t="shared" si="45"/>
        <v/>
      </c>
      <c r="EI26" s="40" t="str">
        <f t="shared" si="46"/>
        <v/>
      </c>
      <c r="EJ26" s="40" t="str">
        <f t="shared" si="47"/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 t="shared" si="48"/>
        <v/>
      </c>
      <c r="FF26" s="11" t="str">
        <f t="shared" si="49"/>
        <v/>
      </c>
      <c r="FG26" s="11" t="str">
        <f t="shared" si="50"/>
        <v/>
      </c>
      <c r="FH26" s="11" t="str">
        <f t="shared" si="51"/>
        <v/>
      </c>
      <c r="FI26" s="11" t="str">
        <f t="shared" si="52"/>
        <v/>
      </c>
      <c r="FJ26" s="11" t="str">
        <f t="shared" si="53"/>
        <v/>
      </c>
      <c r="FK26" s="11" t="str">
        <f t="shared" si="54"/>
        <v/>
      </c>
      <c r="FL26" s="11" t="str">
        <f t="shared" si="55"/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 t="shared" si="56"/>
        <v/>
      </c>
      <c r="GH26" s="40" t="str">
        <f t="shared" si="57"/>
        <v/>
      </c>
      <c r="GI26" s="40" t="str">
        <f t="shared" si="58"/>
        <v/>
      </c>
      <c r="GJ26" s="40" t="str">
        <f t="shared" si="59"/>
        <v/>
      </c>
      <c r="GK26" s="40" t="str">
        <f t="shared" si="60"/>
        <v/>
      </c>
      <c r="GL26" s="40" t="str">
        <f t="shared" si="61"/>
        <v/>
      </c>
      <c r="GM26" s="40" t="str">
        <f t="shared" si="62"/>
        <v/>
      </c>
      <c r="GN26" s="40" t="str">
        <f t="shared" si="63"/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 t="shared" si="64"/>
        <v/>
      </c>
      <c r="HJ26" s="11" t="str">
        <f t="shared" si="65"/>
        <v/>
      </c>
      <c r="HK26" s="11" t="str">
        <f t="shared" si="66"/>
        <v/>
      </c>
      <c r="HL26" s="11" t="str">
        <f t="shared" si="67"/>
        <v/>
      </c>
      <c r="HM26" s="11" t="str">
        <f t="shared" si="68"/>
        <v/>
      </c>
      <c r="HN26" s="11" t="str">
        <f t="shared" si="69"/>
        <v/>
      </c>
      <c r="HO26" s="11" t="str">
        <f t="shared" si="70"/>
        <v/>
      </c>
      <c r="HP26" s="11" t="str">
        <f t="shared" si="71"/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 t="shared" si="72"/>
        <v/>
      </c>
      <c r="IL26" s="40" t="str">
        <f t="shared" si="73"/>
        <v/>
      </c>
      <c r="IM26" s="40" t="str">
        <f t="shared" si="74"/>
        <v/>
      </c>
      <c r="IN26" s="40" t="str">
        <f t="shared" si="75"/>
        <v/>
      </c>
      <c r="IO26" s="40" t="str">
        <f t="shared" si="76"/>
        <v/>
      </c>
      <c r="IP26" s="40" t="str">
        <f t="shared" si="77"/>
        <v/>
      </c>
      <c r="IQ26" s="40" t="str">
        <f t="shared" si="78"/>
        <v/>
      </c>
      <c r="IR26" s="40" t="str">
        <f t="shared" si="79"/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 t="shared" si="80"/>
        <v/>
      </c>
      <c r="JN26" s="11" t="str">
        <f t="shared" si="81"/>
        <v/>
      </c>
      <c r="JO26" s="11" t="str">
        <f t="shared" si="82"/>
        <v/>
      </c>
      <c r="JP26" s="11" t="str">
        <f t="shared" si="83"/>
        <v/>
      </c>
      <c r="JQ26" s="11" t="str">
        <f t="shared" si="84"/>
        <v/>
      </c>
      <c r="JR26" s="11" t="str">
        <f t="shared" si="85"/>
        <v/>
      </c>
      <c r="JS26" s="11" t="str">
        <f t="shared" si="86"/>
        <v/>
      </c>
      <c r="JT26" s="11" t="str">
        <f t="shared" si="87"/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 t="shared" si="88"/>
        <v/>
      </c>
      <c r="KP26" s="40" t="str">
        <f t="shared" si="89"/>
        <v/>
      </c>
      <c r="KQ26" s="40" t="str">
        <f t="shared" si="90"/>
        <v/>
      </c>
      <c r="KR26" s="40" t="str">
        <f t="shared" si="91"/>
        <v/>
      </c>
      <c r="KS26" s="40" t="str">
        <f t="shared" si="92"/>
        <v/>
      </c>
      <c r="KT26" s="40" t="str">
        <f t="shared" si="93"/>
        <v/>
      </c>
      <c r="KU26" s="40" t="str">
        <f t="shared" si="94"/>
        <v/>
      </c>
      <c r="KV26" s="40" t="str">
        <f t="shared" si="95"/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 t="shared" si="96"/>
        <v/>
      </c>
      <c r="LR26" s="11" t="str">
        <f t="shared" si="97"/>
        <v/>
      </c>
      <c r="LS26" s="11" t="str">
        <f t="shared" si="98"/>
        <v/>
      </c>
      <c r="LT26" s="11" t="str">
        <f t="shared" si="99"/>
        <v/>
      </c>
      <c r="LU26" s="11" t="str">
        <f t="shared" si="100"/>
        <v/>
      </c>
      <c r="LV26" s="11" t="str">
        <f t="shared" si="101"/>
        <v/>
      </c>
      <c r="LW26" s="11" t="str">
        <f t="shared" si="102"/>
        <v/>
      </c>
      <c r="LX26" s="11" t="str">
        <f t="shared" si="103"/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 t="shared" si="104"/>
        <v/>
      </c>
      <c r="MT26" s="40" t="str">
        <f t="shared" si="105"/>
        <v/>
      </c>
      <c r="MU26" s="40" t="str">
        <f t="shared" si="106"/>
        <v/>
      </c>
      <c r="MV26" s="40" t="str">
        <f t="shared" si="107"/>
        <v/>
      </c>
      <c r="MW26" s="40" t="str">
        <f t="shared" si="108"/>
        <v/>
      </c>
      <c r="MX26" s="40" t="str">
        <f t="shared" si="109"/>
        <v/>
      </c>
      <c r="MY26" s="40" t="str">
        <f t="shared" si="110"/>
        <v/>
      </c>
      <c r="MZ26" s="40" t="str">
        <f t="shared" si="111"/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 t="shared" si="112"/>
        <v/>
      </c>
      <c r="NV26" s="11" t="str">
        <f t="shared" si="113"/>
        <v/>
      </c>
      <c r="NW26" s="11" t="str">
        <f t="shared" si="114"/>
        <v/>
      </c>
      <c r="NX26" s="11" t="str">
        <f t="shared" si="115"/>
        <v/>
      </c>
      <c r="NY26" s="11" t="str">
        <f t="shared" si="116"/>
        <v/>
      </c>
      <c r="NZ26" s="11" t="str">
        <f t="shared" si="117"/>
        <v/>
      </c>
      <c r="OA26" s="11" t="str">
        <f t="shared" si="118"/>
        <v/>
      </c>
      <c r="OB26" s="11" t="str">
        <f t="shared" si="119"/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 t="shared" si="120"/>
        <v/>
      </c>
      <c r="OX26" s="40" t="str">
        <f t="shared" si="121"/>
        <v/>
      </c>
      <c r="OY26" s="40" t="str">
        <f t="shared" si="122"/>
        <v/>
      </c>
      <c r="OZ26" s="40" t="str">
        <f t="shared" si="123"/>
        <v/>
      </c>
      <c r="PA26" s="40" t="str">
        <f t="shared" si="124"/>
        <v/>
      </c>
      <c r="PB26" s="40" t="str">
        <f t="shared" si="125"/>
        <v/>
      </c>
      <c r="PC26" s="40" t="str">
        <f t="shared" si="126"/>
        <v/>
      </c>
      <c r="PD26" s="40" t="str">
        <f t="shared" si="127"/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 t="shared" si="128"/>
        <v/>
      </c>
      <c r="PZ26" s="11" t="str">
        <f t="shared" si="129"/>
        <v/>
      </c>
      <c r="QA26" s="11" t="str">
        <f t="shared" si="130"/>
        <v/>
      </c>
      <c r="QB26" s="11" t="str">
        <f t="shared" si="131"/>
        <v/>
      </c>
      <c r="QC26" s="11" t="str">
        <f t="shared" si="132"/>
        <v/>
      </c>
      <c r="QD26" s="11" t="str">
        <f t="shared" si="133"/>
        <v/>
      </c>
      <c r="QE26" s="11" t="str">
        <f t="shared" si="134"/>
        <v/>
      </c>
      <c r="QF26" s="11" t="str">
        <f t="shared" si="135"/>
        <v/>
      </c>
      <c r="QG26" s="22">
        <f t="shared" si="136"/>
        <v>0</v>
      </c>
      <c r="QH26" s="22">
        <f t="shared" si="137"/>
        <v>0</v>
      </c>
      <c r="QI26" s="22">
        <f t="shared" si="138"/>
        <v>0</v>
      </c>
      <c r="QJ26" s="22">
        <f t="shared" si="139"/>
        <v>0</v>
      </c>
      <c r="QK26" s="22">
        <f t="shared" si="140"/>
        <v>0</v>
      </c>
      <c r="QL26" s="22">
        <f t="shared" si="141"/>
        <v>0</v>
      </c>
      <c r="QM26" s="22">
        <f t="shared" si="142"/>
        <v>0</v>
      </c>
      <c r="QN26" s="22">
        <f t="shared" si="143"/>
        <v>0</v>
      </c>
      <c r="QO26" s="22">
        <f t="shared" si="144"/>
        <v>0</v>
      </c>
      <c r="QP26" s="22">
        <f t="shared" si="145"/>
        <v>0</v>
      </c>
      <c r="QQ26" s="22">
        <f t="shared" si="146"/>
        <v>0</v>
      </c>
      <c r="QR26" s="22">
        <f t="shared" si="147"/>
        <v>0</v>
      </c>
      <c r="QS26" s="22">
        <f t="shared" si="148"/>
        <v>0</v>
      </c>
      <c r="QT26" s="22">
        <f t="shared" si="149"/>
        <v>0</v>
      </c>
      <c r="QU26" s="22">
        <f t="shared" si="150"/>
        <v>0</v>
      </c>
      <c r="QV26" s="22">
        <f t="shared" si="151"/>
        <v>0</v>
      </c>
      <c r="QW26" s="22">
        <f t="shared" si="152"/>
        <v>0</v>
      </c>
      <c r="QX26" s="22">
        <f t="shared" si="153"/>
        <v>0</v>
      </c>
      <c r="QY26" s="22">
        <f t="shared" si="154"/>
        <v>0</v>
      </c>
      <c r="QZ26" s="22">
        <f t="shared" si="155"/>
        <v>0</v>
      </c>
      <c r="RA26" s="27" t="s">
        <v>46</v>
      </c>
      <c r="RB26" s="40" t="str">
        <f t="shared" si="156"/>
        <v/>
      </c>
      <c r="RC26" s="40" t="str">
        <f t="shared" si="157"/>
        <v/>
      </c>
      <c r="RD26" s="40" t="str">
        <f t="shared" si="158"/>
        <v/>
      </c>
      <c r="RE26" s="40" t="str">
        <f t="shared" si="159"/>
        <v/>
      </c>
      <c r="RF26" s="40" t="str">
        <f t="shared" si="160"/>
        <v/>
      </c>
      <c r="RG26" s="40" t="str">
        <f t="shared" si="161"/>
        <v/>
      </c>
      <c r="RH26" s="40" t="str">
        <f t="shared" si="162"/>
        <v/>
      </c>
      <c r="RI26" s="40" t="str">
        <f t="shared" si="163"/>
        <v/>
      </c>
    </row>
    <row r="27" spans="1:477" ht="17" x14ac:dyDescent="0.2">
      <c r="G27" s="66"/>
      <c r="T27" s="10"/>
      <c r="U27" s="10"/>
      <c r="V27" s="10"/>
    </row>
    <row r="28" spans="1:477" ht="17" x14ac:dyDescent="0.2">
      <c r="G28" s="66"/>
      <c r="T28" s="10"/>
      <c r="U28" s="10"/>
      <c r="V28" s="10"/>
    </row>
    <row r="29" spans="1:477" ht="17" x14ac:dyDescent="0.2">
      <c r="C29" s="23" t="s">
        <v>44</v>
      </c>
      <c r="G29" s="66"/>
      <c r="T29" s="10"/>
      <c r="U29" s="10"/>
      <c r="V29" s="10"/>
      <c r="AR29" s="4"/>
      <c r="AY29" s="42">
        <v>9.6</v>
      </c>
      <c r="BU29" s="4"/>
      <c r="CB29" s="42">
        <v>9.6</v>
      </c>
      <c r="CX29" s="4"/>
      <c r="DE29" s="42">
        <v>9.6</v>
      </c>
      <c r="EC29" s="4"/>
      <c r="EJ29" s="42">
        <v>10</v>
      </c>
      <c r="FE29" s="4"/>
      <c r="FL29" s="42">
        <v>10</v>
      </c>
      <c r="GG29" s="4"/>
      <c r="GN29" s="42">
        <v>10</v>
      </c>
      <c r="HI29" s="4"/>
      <c r="HP29" s="42">
        <v>9.6</v>
      </c>
      <c r="IK29" s="4"/>
      <c r="IR29" s="42">
        <v>9.6</v>
      </c>
      <c r="JM29" s="4"/>
      <c r="JT29" s="42">
        <v>9.6</v>
      </c>
      <c r="KO29" s="4"/>
      <c r="KV29" s="42">
        <v>9.6</v>
      </c>
      <c r="LQ29" s="4"/>
      <c r="LX29" s="42">
        <v>9.6</v>
      </c>
      <c r="MS29" s="4"/>
      <c r="MZ29" s="42">
        <v>9.6</v>
      </c>
      <c r="NU29" s="4"/>
      <c r="OB29" s="42">
        <v>9.6</v>
      </c>
      <c r="OW29" s="4"/>
      <c r="PD29" s="42">
        <v>9.6</v>
      </c>
      <c r="PY29" s="4"/>
      <c r="QF29" s="42">
        <v>9.6</v>
      </c>
    </row>
    <row r="30" spans="1:477" ht="17" hidden="1" x14ac:dyDescent="0.2">
      <c r="C30" s="30" t="s">
        <v>43</v>
      </c>
      <c r="G30" s="66"/>
      <c r="T30" s="10"/>
      <c r="U30" s="10"/>
      <c r="V30" s="10"/>
      <c r="AR30" s="4"/>
      <c r="AY30" s="51">
        <v>1000</v>
      </c>
      <c r="BU30" s="4"/>
      <c r="CB30" s="51">
        <v>1000</v>
      </c>
      <c r="CX30" s="4"/>
      <c r="DE30" s="51">
        <v>1000</v>
      </c>
      <c r="EC30" s="4"/>
      <c r="EJ30" s="51">
        <v>1000</v>
      </c>
      <c r="FE30" s="4"/>
      <c r="FL30" s="51">
        <v>1000</v>
      </c>
      <c r="GG30" s="4"/>
      <c r="GN30" s="51">
        <v>1000</v>
      </c>
      <c r="HI30" s="4"/>
      <c r="HP30" s="51">
        <v>1000</v>
      </c>
      <c r="IK30" s="4"/>
      <c r="IR30" s="51">
        <v>1000</v>
      </c>
      <c r="JM30" s="4"/>
      <c r="JT30" s="51">
        <v>1000</v>
      </c>
      <c r="KO30" s="4"/>
      <c r="KV30" s="51">
        <v>1000</v>
      </c>
      <c r="LQ30" s="4"/>
      <c r="LX30" s="51">
        <v>1000</v>
      </c>
      <c r="MS30" s="4"/>
      <c r="MZ30" s="51">
        <v>1000</v>
      </c>
      <c r="NU30" s="4"/>
      <c r="OB30" s="51">
        <v>1000</v>
      </c>
      <c r="OW30" s="4"/>
      <c r="PD30" s="51">
        <v>1000</v>
      </c>
      <c r="PY30" s="4"/>
      <c r="QF30" s="51">
        <v>1000</v>
      </c>
    </row>
    <row r="31" spans="1:477" ht="17" hidden="1" x14ac:dyDescent="0.2">
      <c r="A31" s="5"/>
      <c r="B31" s="5"/>
      <c r="C31" s="31" t="s">
        <v>55</v>
      </c>
      <c r="D31" s="20"/>
      <c r="G31" s="66"/>
      <c r="T31" s="10"/>
      <c r="U31" s="10"/>
      <c r="V31" s="10"/>
      <c r="AR31" s="4"/>
      <c r="AY31" s="43">
        <v>1000</v>
      </c>
      <c r="BU31" s="4"/>
      <c r="CB31" s="43">
        <v>1000</v>
      </c>
      <c r="CX31" s="4"/>
      <c r="DE31" s="43">
        <v>1000</v>
      </c>
      <c r="EC31" s="4"/>
      <c r="EJ31" s="43">
        <v>1000</v>
      </c>
      <c r="FE31" s="4"/>
      <c r="FL31" s="43">
        <v>1000</v>
      </c>
      <c r="GG31" s="4"/>
      <c r="GN31" s="43">
        <v>1000</v>
      </c>
      <c r="HI31" s="4"/>
      <c r="HP31" s="43">
        <v>1000</v>
      </c>
      <c r="IK31" s="4"/>
      <c r="IR31" s="43">
        <v>1000</v>
      </c>
      <c r="JM31" s="4"/>
      <c r="JT31" s="43">
        <v>1000</v>
      </c>
      <c r="KO31" s="4"/>
      <c r="KV31" s="43">
        <v>1000</v>
      </c>
      <c r="LQ31" s="4"/>
      <c r="LX31" s="43">
        <v>1000</v>
      </c>
      <c r="MS31" s="4"/>
      <c r="MZ31" s="43">
        <v>1000</v>
      </c>
      <c r="NU31" s="4"/>
      <c r="OB31" s="43">
        <v>1000</v>
      </c>
      <c r="OW31" s="4"/>
      <c r="PD31" s="43">
        <v>1000</v>
      </c>
      <c r="PY31" s="4"/>
      <c r="QF31" s="43">
        <v>1000</v>
      </c>
    </row>
    <row r="32" spans="1:477" ht="17" hidden="1" x14ac:dyDescent="0.2">
      <c r="A32" s="5"/>
      <c r="B32" s="5"/>
      <c r="C32" s="35" t="s">
        <v>62</v>
      </c>
      <c r="D32" s="20"/>
      <c r="G32" s="66"/>
      <c r="T32" s="10"/>
      <c r="U32" s="10"/>
      <c r="V32" s="10"/>
      <c r="AR32" s="4"/>
      <c r="AY32" s="62">
        <v>1000</v>
      </c>
      <c r="BU32" s="4"/>
      <c r="CB32" s="62">
        <v>1000</v>
      </c>
      <c r="CX32" s="4"/>
      <c r="DE32" s="62">
        <v>1000</v>
      </c>
      <c r="EC32" s="4"/>
      <c r="EJ32" s="62">
        <v>1000</v>
      </c>
      <c r="FE32" s="4"/>
      <c r="FL32" s="62">
        <v>1000</v>
      </c>
      <c r="GG32" s="4"/>
      <c r="GN32" s="62">
        <v>1000</v>
      </c>
      <c r="HI32" s="4"/>
      <c r="HP32" s="62">
        <v>1000</v>
      </c>
      <c r="IK32" s="4"/>
      <c r="IR32" s="62">
        <v>1000</v>
      </c>
      <c r="JM32" s="4"/>
      <c r="JT32" s="62">
        <v>1000</v>
      </c>
      <c r="KO32" s="4"/>
      <c r="KV32" s="62">
        <v>1000</v>
      </c>
      <c r="LQ32" s="4"/>
      <c r="LX32" s="62">
        <v>1000</v>
      </c>
      <c r="MS32" s="4"/>
      <c r="MZ32" s="62">
        <v>1000</v>
      </c>
      <c r="NU32" s="4"/>
      <c r="OB32" s="62">
        <v>1000</v>
      </c>
      <c r="OW32" s="4"/>
      <c r="PD32" s="62">
        <v>1000</v>
      </c>
      <c r="PY32" s="4"/>
      <c r="QF32" s="62">
        <v>1000</v>
      </c>
    </row>
    <row r="33" spans="1:458" ht="17" x14ac:dyDescent="0.2">
      <c r="A33" s="5"/>
      <c r="B33" s="5"/>
      <c r="C33" s="34" t="s">
        <v>41</v>
      </c>
      <c r="D33" s="20"/>
      <c r="G33" s="66"/>
      <c r="T33" s="10"/>
      <c r="U33" s="10"/>
      <c r="V33" s="10"/>
      <c r="AR33" s="4"/>
      <c r="AY33" s="63">
        <v>46.5</v>
      </c>
      <c r="BU33" s="4"/>
      <c r="CB33" s="63">
        <v>46.5</v>
      </c>
      <c r="CX33" s="4"/>
      <c r="DE33" s="63">
        <v>46.5</v>
      </c>
      <c r="EC33" s="4"/>
      <c r="EJ33" s="63">
        <v>46.8</v>
      </c>
      <c r="FE33" s="4"/>
      <c r="FL33" s="63">
        <v>46.8</v>
      </c>
      <c r="GG33" s="4"/>
      <c r="GN33" s="63">
        <v>46.8</v>
      </c>
      <c r="HI33" s="4"/>
      <c r="HP33" s="63">
        <v>46.5</v>
      </c>
      <c r="IK33" s="4"/>
      <c r="IR33" s="63">
        <v>46.5</v>
      </c>
      <c r="JM33" s="4"/>
      <c r="JT33" s="63">
        <v>46.5</v>
      </c>
      <c r="KO33" s="4"/>
      <c r="KV33" s="63">
        <v>46.5</v>
      </c>
      <c r="LQ33" s="4"/>
      <c r="LX33" s="63">
        <v>46.5</v>
      </c>
      <c r="MS33" s="4"/>
      <c r="MZ33" s="63">
        <v>46.5</v>
      </c>
      <c r="NU33" s="4"/>
      <c r="OB33" s="63">
        <v>46.5</v>
      </c>
      <c r="OW33" s="4"/>
      <c r="PD33" s="63">
        <v>46.5</v>
      </c>
      <c r="PY33" s="4"/>
      <c r="QF33" s="63">
        <v>46.5</v>
      </c>
    </row>
    <row r="34" spans="1:458" ht="17" hidden="1" x14ac:dyDescent="0.2">
      <c r="A34" s="5"/>
      <c r="B34" s="5"/>
      <c r="C34" s="24" t="s">
        <v>42</v>
      </c>
      <c r="D34" s="20"/>
      <c r="T34" s="10"/>
      <c r="U34" s="10"/>
      <c r="V34" s="10"/>
      <c r="AR34" s="4"/>
      <c r="AY34" s="46">
        <v>1000</v>
      </c>
      <c r="BU34" s="4"/>
      <c r="CB34" s="46">
        <v>1000</v>
      </c>
      <c r="CX34" s="4"/>
      <c r="DE34" s="46">
        <v>1000</v>
      </c>
      <c r="EC34" s="4"/>
      <c r="EJ34" s="46">
        <v>1000</v>
      </c>
      <c r="FE34" s="4"/>
      <c r="FL34" s="46">
        <v>1000</v>
      </c>
      <c r="GG34" s="4"/>
      <c r="GN34" s="46">
        <v>1000</v>
      </c>
      <c r="HI34" s="4"/>
      <c r="HP34" s="46">
        <v>1000</v>
      </c>
      <c r="IK34" s="4"/>
      <c r="IR34" s="46">
        <v>1000</v>
      </c>
      <c r="JM34" s="4"/>
      <c r="JT34" s="46">
        <v>1000</v>
      </c>
      <c r="KO34" s="4"/>
      <c r="KV34" s="46">
        <v>1000</v>
      </c>
      <c r="LQ34" s="4"/>
      <c r="LX34" s="46">
        <v>1000</v>
      </c>
      <c r="MS34" s="4"/>
      <c r="MZ34" s="46">
        <v>1000</v>
      </c>
      <c r="NU34" s="4"/>
      <c r="OB34" s="46">
        <v>1000</v>
      </c>
      <c r="OW34" s="4"/>
      <c r="PD34" s="46">
        <v>1000</v>
      </c>
      <c r="PY34" s="4"/>
      <c r="QF34" s="46">
        <v>1000</v>
      </c>
    </row>
    <row r="35" spans="1:458" ht="17" hidden="1" x14ac:dyDescent="0.2">
      <c r="A35" s="5"/>
      <c r="B35" s="5"/>
      <c r="C35" s="33" t="s">
        <v>54</v>
      </c>
      <c r="D35" s="20"/>
      <c r="T35" s="10"/>
      <c r="U35" s="10"/>
      <c r="V35" s="10"/>
      <c r="AR35" s="4"/>
      <c r="AY35" s="47">
        <v>1000</v>
      </c>
      <c r="BU35" s="4"/>
      <c r="CB35" s="47">
        <v>1000</v>
      </c>
      <c r="CX35" s="4"/>
      <c r="DE35" s="47">
        <v>1000</v>
      </c>
      <c r="EC35" s="4"/>
      <c r="EJ35" s="47">
        <v>1000</v>
      </c>
      <c r="FE35" s="4"/>
      <c r="FL35" s="47">
        <v>1000</v>
      </c>
      <c r="GG35" s="4"/>
      <c r="GN35" s="47">
        <v>1000</v>
      </c>
      <c r="HI35" s="4"/>
      <c r="HP35" s="47">
        <v>1000</v>
      </c>
      <c r="IK35" s="4"/>
      <c r="IR35" s="47">
        <v>1000</v>
      </c>
      <c r="JM35" s="4"/>
      <c r="JT35" s="47">
        <v>1000</v>
      </c>
      <c r="KO35" s="4"/>
      <c r="KV35" s="47">
        <v>1000</v>
      </c>
      <c r="LQ35" s="4"/>
      <c r="LX35" s="47">
        <v>1000</v>
      </c>
      <c r="MS35" s="4"/>
      <c r="MZ35" s="47">
        <v>1000</v>
      </c>
      <c r="NU35" s="4"/>
      <c r="OB35" s="47">
        <v>1000</v>
      </c>
      <c r="OW35" s="4"/>
      <c r="PD35" s="47">
        <v>1000</v>
      </c>
      <c r="PY35" s="4"/>
      <c r="QF35" s="47">
        <v>1000</v>
      </c>
    </row>
    <row r="36" spans="1:458" ht="17" hidden="1" x14ac:dyDescent="0.2">
      <c r="A36" s="5"/>
      <c r="B36" s="5"/>
      <c r="C36" s="25" t="s">
        <v>27</v>
      </c>
      <c r="D36" s="20"/>
      <c r="T36" s="10"/>
      <c r="U36" s="10"/>
      <c r="V36" s="10"/>
      <c r="AR36" s="4"/>
      <c r="AY36" s="48">
        <v>1000</v>
      </c>
      <c r="BU36" s="4"/>
      <c r="CB36" s="48">
        <v>1000</v>
      </c>
      <c r="CX36" s="4"/>
      <c r="DE36" s="48">
        <v>1000</v>
      </c>
      <c r="EC36" s="4"/>
      <c r="EJ36" s="48">
        <v>1000</v>
      </c>
      <c r="FE36" s="4"/>
      <c r="FL36" s="48">
        <v>1000</v>
      </c>
      <c r="GG36" s="4"/>
      <c r="GN36" s="48">
        <v>1000</v>
      </c>
      <c r="HI36" s="4"/>
      <c r="HP36" s="48">
        <v>1000</v>
      </c>
      <c r="IK36" s="4"/>
      <c r="IR36" s="48">
        <v>1000</v>
      </c>
      <c r="JM36" s="4"/>
      <c r="JT36" s="48">
        <v>1000</v>
      </c>
      <c r="KO36" s="4"/>
      <c r="KV36" s="48">
        <v>1000</v>
      </c>
      <c r="LQ36" s="4"/>
      <c r="LX36" s="48">
        <v>1000</v>
      </c>
      <c r="MS36" s="4"/>
      <c r="MZ36" s="48">
        <v>1000</v>
      </c>
      <c r="NU36" s="4"/>
      <c r="OB36" s="48">
        <v>1000</v>
      </c>
      <c r="OW36" s="4"/>
      <c r="PD36" s="48">
        <v>1000</v>
      </c>
      <c r="PY36" s="4"/>
      <c r="QF36" s="48">
        <v>1000</v>
      </c>
    </row>
    <row r="37" spans="1:458" x14ac:dyDescent="0.2">
      <c r="C37" s="29" t="s">
        <v>47</v>
      </c>
      <c r="D37" s="2"/>
    </row>
    <row r="38" spans="1:458" x14ac:dyDescent="0.2">
      <c r="A38" s="5"/>
      <c r="B38" s="5"/>
      <c r="C38" s="5"/>
      <c r="D38" s="20"/>
      <c r="G38" s="66"/>
      <c r="QH38" s="2"/>
      <c r="QI38" s="2"/>
      <c r="QJ38" s="2"/>
      <c r="QK38" s="2"/>
      <c r="QL38" s="2"/>
      <c r="QM38" s="2"/>
      <c r="QN38" s="2"/>
      <c r="QO38" s="2"/>
      <c r="QP38" s="2"/>
    </row>
    <row r="39" spans="1:458" x14ac:dyDescent="0.2">
      <c r="A39" s="5"/>
      <c r="B39" s="5"/>
      <c r="C39" s="5"/>
      <c r="D39" s="20"/>
      <c r="G39" s="66"/>
    </row>
    <row r="40" spans="1:458" x14ac:dyDescent="0.2">
      <c r="A40" s="5"/>
      <c r="B40" s="5"/>
      <c r="C40" s="5"/>
      <c r="D40" s="20"/>
    </row>
    <row r="41" spans="1:458" x14ac:dyDescent="0.2">
      <c r="A41" s="5"/>
      <c r="B41" s="5"/>
      <c r="C41" s="5"/>
      <c r="D41" s="5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6:RI26">
      <sortCondition descending="1" ref="H1:H2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6">
    <cfRule type="expression" dxfId="29" priority="7" stopIfTrue="1">
      <formula>IF($AQ4&lt;&gt;"",1,0)</formula>
    </cfRule>
  </conditionalFormatting>
  <conditionalFormatting sqref="AZ4:CB26">
    <cfRule type="expression" dxfId="28" priority="12" stopIfTrue="1">
      <formula>IF($BT4&lt;&gt;"",1,0)</formula>
    </cfRule>
  </conditionalFormatting>
  <conditionalFormatting sqref="O1:O3 Q1:Q3 M1:M1048576 S1:S1048576 O4:Q1048576">
    <cfRule type="expression" dxfId="27" priority="19">
      <formula>IF(M1=$CC$1,1,0)</formula>
    </cfRule>
    <cfRule type="expression" dxfId="26" priority="20">
      <formula>IF(M1=$AZ$1,1,0)</formula>
    </cfRule>
    <cfRule type="expression" dxfId="25" priority="21">
      <formula>IF(M1=$W$1,1,0)</formula>
    </cfRule>
  </conditionalFormatting>
  <conditionalFormatting sqref="CC4:DE26">
    <cfRule type="expression" dxfId="24" priority="13" stopIfTrue="1">
      <formula>IF($CW4&lt;&gt;"",1,0)</formula>
    </cfRule>
  </conditionalFormatting>
  <conditionalFormatting sqref="A4:B1048576">
    <cfRule type="expression" dxfId="23" priority="22">
      <formula>IF(A4&gt;4,1,0)</formula>
    </cfRule>
    <cfRule type="expression" dxfId="22" priority="1">
      <formula>AND($I4="P",$H4="")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V37:AV1048576 BY37:BY1048576 EG37:EG1048576 BY1:BY35 DB1:DB1048576 EG1:EG35 FI1:FI1048576 GK1:GK1048576 HM1:HM1048576 IO1:IO1048576 JQ1:JQ1048576 KS1:KS1048576 LU1:LU1048576 MW1:MW1048576 NY1:NY1048576 PA1:PA1048576 QC1:QC1048576 AV1:AV35">
    <cfRule type="cellIs" dxfId="16" priority="60354" operator="between">
      <formula>AY$36</formula>
      <formula>1000</formula>
    </cfRule>
    <cfRule type="cellIs" dxfId="15" priority="60355" operator="between">
      <formula>AY$35</formula>
      <formula>AY$36</formula>
    </cfRule>
    <cfRule type="cellIs" dxfId="14" priority="60356" operator="between">
      <formula>AY$34</formula>
      <formula>AY$35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3" priority="109662" operator="between">
      <formula>AY$29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2" priority="109707" operator="between">
      <formula>AY$33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1" priority="109752" operator="between">
      <formula>AY$29</formula>
      <formula>AY$30</formula>
    </cfRule>
    <cfRule type="cellIs" dxfId="10" priority="109753" operator="between">
      <formula>AY$30</formula>
      <formula>AY$31</formula>
    </cfRule>
    <cfRule type="cellIs" dxfId="9" priority="109754" operator="between">
      <formula>AY$31</formula>
      <formula>AY$32</formula>
    </cfRule>
    <cfRule type="cellIs" dxfId="8" priority="109755" operator="between">
      <formula>AY$32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7" priority="109932" operator="between">
      <formula>AY$33</formula>
      <formula>AY$34</formula>
    </cfRule>
    <cfRule type="cellIs" dxfId="6" priority="109933" operator="between">
      <formula>AY$34</formula>
      <formula>AY$35</formula>
    </cfRule>
    <cfRule type="cellIs" dxfId="5" priority="109934" operator="between">
      <formula>AY$35</formula>
      <formula>AY$36</formula>
    </cfRule>
    <cfRule type="cellIs" dxfId="4" priority="109935" operator="between">
      <formula>AY$36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" priority="110112" operator="between">
      <formula>AY$32</formula>
      <formula>1000</formula>
    </cfRule>
    <cfRule type="cellIs" dxfId="2" priority="110113" operator="between">
      <formula>AY$31</formula>
      <formula>AY$32</formula>
    </cfRule>
    <cfRule type="cellIs" dxfId="1" priority="110114" operator="between">
      <formula>AY$30</formula>
      <formula>AY$31</formula>
    </cfRule>
  </conditionalFormatting>
  <conditionalFormatting sqref="A1:B3">
    <cfRule type="expression" dxfId="0" priority="2">
      <formula>AND(I1&lt;&gt;"",H1="")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2023-11-23T21:38:21Z</dcterms:modified>
</cp:coreProperties>
</file>