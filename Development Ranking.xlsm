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3F8E72EA-D683-634E-8CC1-4CBEFA82C9B5}" xr6:coauthVersionLast="47" xr6:coauthVersionMax="47" xr10:uidLastSave="{00000000-0000-0000-0000-000000000000}"/>
  <bookViews>
    <workbookView xWindow="0" yWindow="460" windowWidth="33600" windowHeight="20540" tabRatio="500" activeTab="1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20" i="17" l="1"/>
  <c r="NT20" i="17"/>
  <c r="NS20" i="17"/>
  <c r="NR20" i="17"/>
  <c r="NV20" i="17" s="1"/>
  <c r="NQ20" i="17"/>
  <c r="NU19" i="17"/>
  <c r="NV19" i="17" s="1"/>
  <c r="NT19" i="17"/>
  <c r="NS19" i="17"/>
  <c r="NR19" i="17"/>
  <c r="NQ19" i="17"/>
  <c r="NU18" i="17"/>
  <c r="NT18" i="17"/>
  <c r="NS18" i="17"/>
  <c r="NR18" i="17"/>
  <c r="NV18" i="17" s="1"/>
  <c r="NQ18" i="17"/>
  <c r="NU17" i="17"/>
  <c r="NT17" i="17"/>
  <c r="NS17" i="17"/>
  <c r="NR17" i="17"/>
  <c r="NV17" i="17" s="1"/>
  <c r="NQ17" i="17"/>
  <c r="NU16" i="17"/>
  <c r="NT16" i="17"/>
  <c r="NS16" i="17"/>
  <c r="NR16" i="17"/>
  <c r="NV16" i="17" s="1"/>
  <c r="NQ16" i="17"/>
  <c r="NU15" i="17"/>
  <c r="NV15" i="17" s="1"/>
  <c r="NT15" i="17"/>
  <c r="NS15" i="17"/>
  <c r="NR15" i="17"/>
  <c r="NQ15" i="17"/>
  <c r="NU14" i="17"/>
  <c r="NT14" i="17"/>
  <c r="NS14" i="17"/>
  <c r="NR14" i="17"/>
  <c r="NV14" i="17" s="1"/>
  <c r="NQ14" i="17"/>
  <c r="NU13" i="17"/>
  <c r="NT13" i="17"/>
  <c r="NS13" i="17"/>
  <c r="NR13" i="17"/>
  <c r="NV13" i="17" s="1"/>
  <c r="NQ13" i="17"/>
  <c r="NU12" i="17"/>
  <c r="NT12" i="17"/>
  <c r="NS12" i="17"/>
  <c r="NR12" i="17"/>
  <c r="NV12" i="17" s="1"/>
  <c r="NQ12" i="17"/>
  <c r="NU11" i="17"/>
  <c r="NV11" i="17" s="1"/>
  <c r="NT11" i="17"/>
  <c r="NS11" i="17"/>
  <c r="NR11" i="17"/>
  <c r="NQ11" i="17"/>
  <c r="NU10" i="17"/>
  <c r="NT10" i="17"/>
  <c r="NS10" i="17"/>
  <c r="NR10" i="17"/>
  <c r="NV10" i="17" s="1"/>
  <c r="NQ10" i="17"/>
  <c r="NU9" i="17"/>
  <c r="NT9" i="17"/>
  <c r="NS9" i="17"/>
  <c r="NR9" i="17"/>
  <c r="NV9" i="17" s="1"/>
  <c r="NQ9" i="17"/>
  <c r="NU8" i="17"/>
  <c r="NT8" i="17"/>
  <c r="NS8" i="17"/>
  <c r="NR8" i="17"/>
  <c r="NV8" i="17" s="1"/>
  <c r="NQ8" i="17"/>
  <c r="NU7" i="17"/>
  <c r="NV7" i="17" s="1"/>
  <c r="NT7" i="17"/>
  <c r="NS7" i="17"/>
  <c r="NR7" i="17"/>
  <c r="NQ7" i="17"/>
  <c r="NU6" i="17"/>
  <c r="NT6" i="17"/>
  <c r="NS6" i="17"/>
  <c r="NR6" i="17"/>
  <c r="NV6" i="17" s="1"/>
  <c r="NQ6" i="17"/>
  <c r="NU5" i="17"/>
  <c r="NT5" i="17"/>
  <c r="NS5" i="17"/>
  <c r="NR5" i="17"/>
  <c r="NV5" i="17" s="1"/>
  <c r="NQ5" i="17"/>
  <c r="NU4" i="17"/>
  <c r="NT4" i="17"/>
  <c r="NS4" i="17"/>
  <c r="NR4" i="17"/>
  <c r="NV4" i="17" s="1"/>
  <c r="NQ4" i="17"/>
  <c r="MU20" i="17"/>
  <c r="MT20" i="17"/>
  <c r="MS20" i="17"/>
  <c r="MR20" i="17"/>
  <c r="MV20" i="17" s="1"/>
  <c r="MQ20" i="17"/>
  <c r="MU19" i="17"/>
  <c r="MV19" i="17" s="1"/>
  <c r="MT19" i="17"/>
  <c r="MS19" i="17"/>
  <c r="MR19" i="17"/>
  <c r="MQ19" i="17"/>
  <c r="MU18" i="17"/>
  <c r="MV18" i="17" s="1"/>
  <c r="MT18" i="17"/>
  <c r="MS18" i="17"/>
  <c r="MR18" i="17"/>
  <c r="MQ18" i="17"/>
  <c r="MU17" i="17"/>
  <c r="MT17" i="17"/>
  <c r="MS17" i="17"/>
  <c r="MR17" i="17"/>
  <c r="MV17" i="17" s="1"/>
  <c r="MQ17" i="17"/>
  <c r="MU16" i="17"/>
  <c r="MT16" i="17"/>
  <c r="MS16" i="17"/>
  <c r="MR16" i="17"/>
  <c r="MV16" i="17" s="1"/>
  <c r="MQ16" i="17"/>
  <c r="MU15" i="17"/>
  <c r="MV15" i="17" s="1"/>
  <c r="MT15" i="17"/>
  <c r="MS15" i="17"/>
  <c r="MR15" i="17"/>
  <c r="MQ15" i="17"/>
  <c r="MU14" i="17"/>
  <c r="MV14" i="17" s="1"/>
  <c r="MT14" i="17"/>
  <c r="MS14" i="17"/>
  <c r="MR14" i="17"/>
  <c r="MQ14" i="17"/>
  <c r="MU13" i="17"/>
  <c r="MT13" i="17"/>
  <c r="MS13" i="17"/>
  <c r="MR13" i="17"/>
  <c r="MV13" i="17" s="1"/>
  <c r="MQ13" i="17"/>
  <c r="MU12" i="17"/>
  <c r="MT12" i="17"/>
  <c r="MS12" i="17"/>
  <c r="MR12" i="17"/>
  <c r="MV12" i="17" s="1"/>
  <c r="MQ12" i="17"/>
  <c r="MU11" i="17"/>
  <c r="MV11" i="17" s="1"/>
  <c r="MT11" i="17"/>
  <c r="MS11" i="17"/>
  <c r="MR11" i="17"/>
  <c r="MQ11" i="17"/>
  <c r="MU10" i="17"/>
  <c r="MV10" i="17" s="1"/>
  <c r="MT10" i="17"/>
  <c r="MS10" i="17"/>
  <c r="MR10" i="17"/>
  <c r="MQ10" i="17"/>
  <c r="MU9" i="17"/>
  <c r="MT9" i="17"/>
  <c r="MS9" i="17"/>
  <c r="MR9" i="17"/>
  <c r="MV9" i="17" s="1"/>
  <c r="MQ9" i="17"/>
  <c r="MU8" i="17"/>
  <c r="MT8" i="17"/>
  <c r="MS8" i="17"/>
  <c r="MR8" i="17"/>
  <c r="MV8" i="17" s="1"/>
  <c r="MQ8" i="17"/>
  <c r="MU7" i="17"/>
  <c r="MV7" i="17" s="1"/>
  <c r="MT7" i="17"/>
  <c r="MS7" i="17"/>
  <c r="MR7" i="17"/>
  <c r="MQ7" i="17"/>
  <c r="MU6" i="17"/>
  <c r="MV6" i="17" s="1"/>
  <c r="MT6" i="17"/>
  <c r="MS6" i="17"/>
  <c r="MR6" i="17"/>
  <c r="MQ6" i="17"/>
  <c r="MU5" i="17"/>
  <c r="MT5" i="17"/>
  <c r="MS5" i="17"/>
  <c r="MR5" i="17"/>
  <c r="MV5" i="17" s="1"/>
  <c r="MQ5" i="17"/>
  <c r="MU4" i="17"/>
  <c r="MT4" i="17"/>
  <c r="MS4" i="17"/>
  <c r="MR4" i="17"/>
  <c r="MV4" i="17" s="1"/>
  <c r="MQ4" i="17"/>
  <c r="LU20" i="17"/>
  <c r="LT20" i="17"/>
  <c r="LS20" i="17"/>
  <c r="LR20" i="17"/>
  <c r="LV20" i="17" s="1"/>
  <c r="LQ20" i="17"/>
  <c r="LU19" i="17"/>
  <c r="LV19" i="17" s="1"/>
  <c r="LT19" i="17"/>
  <c r="LS19" i="17"/>
  <c r="LR19" i="17"/>
  <c r="LQ19" i="17"/>
  <c r="LU18" i="17"/>
  <c r="LT18" i="17"/>
  <c r="LS18" i="17"/>
  <c r="LR18" i="17"/>
  <c r="LV18" i="17" s="1"/>
  <c r="LQ18" i="17"/>
  <c r="LU17" i="17"/>
  <c r="LT17" i="17"/>
  <c r="LS17" i="17"/>
  <c r="LR17" i="17"/>
  <c r="LV17" i="17" s="1"/>
  <c r="LQ17" i="17"/>
  <c r="LU16" i="17"/>
  <c r="LT16" i="17"/>
  <c r="LS16" i="17"/>
  <c r="LR16" i="17"/>
  <c r="LV16" i="17" s="1"/>
  <c r="LQ16" i="17"/>
  <c r="LU15" i="17"/>
  <c r="LV15" i="17" s="1"/>
  <c r="LT15" i="17"/>
  <c r="LS15" i="17"/>
  <c r="LR15" i="17"/>
  <c r="LQ15" i="17"/>
  <c r="LU14" i="17"/>
  <c r="LT14" i="17"/>
  <c r="LS14" i="17"/>
  <c r="LR14" i="17"/>
  <c r="LV14" i="17" s="1"/>
  <c r="LQ14" i="17"/>
  <c r="LU13" i="17"/>
  <c r="LT13" i="17"/>
  <c r="LS13" i="17"/>
  <c r="LR13" i="17"/>
  <c r="LV13" i="17" s="1"/>
  <c r="LQ13" i="17"/>
  <c r="LU12" i="17"/>
  <c r="LT12" i="17"/>
  <c r="LS12" i="17"/>
  <c r="LR12" i="17"/>
  <c r="LV12" i="17" s="1"/>
  <c r="LQ12" i="17"/>
  <c r="LU11" i="17"/>
  <c r="LV11" i="17" s="1"/>
  <c r="LT11" i="17"/>
  <c r="LS11" i="17"/>
  <c r="LR11" i="17"/>
  <c r="LQ11" i="17"/>
  <c r="LU10" i="17"/>
  <c r="LT10" i="17"/>
  <c r="LS10" i="17"/>
  <c r="LR10" i="17"/>
  <c r="LV10" i="17" s="1"/>
  <c r="LQ10" i="17"/>
  <c r="LU9" i="17"/>
  <c r="LT9" i="17"/>
  <c r="LS9" i="17"/>
  <c r="LR9" i="17"/>
  <c r="LV9" i="17" s="1"/>
  <c r="LQ9" i="17"/>
  <c r="LU8" i="17"/>
  <c r="LT8" i="17"/>
  <c r="LS8" i="17"/>
  <c r="LR8" i="17"/>
  <c r="LV8" i="17" s="1"/>
  <c r="LQ8" i="17"/>
  <c r="LU7" i="17"/>
  <c r="LV7" i="17" s="1"/>
  <c r="LT7" i="17"/>
  <c r="LS7" i="17"/>
  <c r="LR7" i="17"/>
  <c r="LQ7" i="17"/>
  <c r="LU6" i="17"/>
  <c r="LT6" i="17"/>
  <c r="LS6" i="17"/>
  <c r="LR6" i="17"/>
  <c r="LV6" i="17" s="1"/>
  <c r="LQ6" i="17"/>
  <c r="LU5" i="17"/>
  <c r="LT5" i="17"/>
  <c r="LS5" i="17"/>
  <c r="LR5" i="17"/>
  <c r="LV5" i="17" s="1"/>
  <c r="LQ5" i="17"/>
  <c r="LU4" i="17"/>
  <c r="LT4" i="17"/>
  <c r="LS4" i="17"/>
  <c r="LR4" i="17"/>
  <c r="LV4" i="17" s="1"/>
  <c r="LQ4" i="17"/>
  <c r="KU20" i="17"/>
  <c r="KT20" i="17"/>
  <c r="KS20" i="17"/>
  <c r="KR20" i="17"/>
  <c r="KV20" i="17" s="1"/>
  <c r="KQ20" i="17"/>
  <c r="KU19" i="17"/>
  <c r="KV19" i="17" s="1"/>
  <c r="KT19" i="17"/>
  <c r="KS19" i="17"/>
  <c r="KR19" i="17"/>
  <c r="KQ19" i="17"/>
  <c r="KU18" i="17"/>
  <c r="KV18" i="17" s="1"/>
  <c r="KT18" i="17"/>
  <c r="KS18" i="17"/>
  <c r="KR18" i="17"/>
  <c r="KQ18" i="17"/>
  <c r="KU17" i="17"/>
  <c r="KT17" i="17"/>
  <c r="KS17" i="17"/>
  <c r="KR17" i="17"/>
  <c r="KV17" i="17" s="1"/>
  <c r="KQ17" i="17"/>
  <c r="KU16" i="17"/>
  <c r="KT16" i="17"/>
  <c r="KS16" i="17"/>
  <c r="KR16" i="17"/>
  <c r="KV16" i="17" s="1"/>
  <c r="KQ16" i="17"/>
  <c r="KU15" i="17"/>
  <c r="KV15" i="17" s="1"/>
  <c r="KT15" i="17"/>
  <c r="KS15" i="17"/>
  <c r="KR15" i="17"/>
  <c r="KQ15" i="17"/>
  <c r="KU14" i="17"/>
  <c r="KV14" i="17" s="1"/>
  <c r="KT14" i="17"/>
  <c r="KS14" i="17"/>
  <c r="KR14" i="17"/>
  <c r="KQ14" i="17"/>
  <c r="KU13" i="17"/>
  <c r="KT13" i="17"/>
  <c r="KS13" i="17"/>
  <c r="KR13" i="17"/>
  <c r="KV13" i="17" s="1"/>
  <c r="KQ13" i="17"/>
  <c r="KU12" i="17"/>
  <c r="KT12" i="17"/>
  <c r="KS12" i="17"/>
  <c r="KR12" i="17"/>
  <c r="KV12" i="17" s="1"/>
  <c r="KQ12" i="17"/>
  <c r="KU11" i="17"/>
  <c r="KV11" i="17" s="1"/>
  <c r="KT11" i="17"/>
  <c r="KS11" i="17"/>
  <c r="KR11" i="17"/>
  <c r="KQ11" i="17"/>
  <c r="KU10" i="17"/>
  <c r="KV10" i="17" s="1"/>
  <c r="KT10" i="17"/>
  <c r="KS10" i="17"/>
  <c r="KR10" i="17"/>
  <c r="KQ10" i="17"/>
  <c r="KU9" i="17"/>
  <c r="KT9" i="17"/>
  <c r="KS9" i="17"/>
  <c r="KR9" i="17"/>
  <c r="KV9" i="17" s="1"/>
  <c r="KQ9" i="17"/>
  <c r="KU8" i="17"/>
  <c r="KT8" i="17"/>
  <c r="KS8" i="17"/>
  <c r="KR8" i="17"/>
  <c r="KV8" i="17" s="1"/>
  <c r="KQ8" i="17"/>
  <c r="KU7" i="17"/>
  <c r="KV7" i="17" s="1"/>
  <c r="KT7" i="17"/>
  <c r="KS7" i="17"/>
  <c r="KR7" i="17"/>
  <c r="KQ7" i="17"/>
  <c r="KU6" i="17"/>
  <c r="KV6" i="17" s="1"/>
  <c r="KT6" i="17"/>
  <c r="KS6" i="17"/>
  <c r="KR6" i="17"/>
  <c r="KQ6" i="17"/>
  <c r="KU5" i="17"/>
  <c r="KT5" i="17"/>
  <c r="KS5" i="17"/>
  <c r="KR5" i="17"/>
  <c r="KV5" i="17" s="1"/>
  <c r="KQ5" i="17"/>
  <c r="KU4" i="17"/>
  <c r="KT4" i="17"/>
  <c r="KS4" i="17"/>
  <c r="KR4" i="17"/>
  <c r="KV4" i="17" s="1"/>
  <c r="KQ4" i="17"/>
  <c r="JU20" i="17"/>
  <c r="JT20" i="17"/>
  <c r="JS20" i="17"/>
  <c r="JR20" i="17"/>
  <c r="JV20" i="17" s="1"/>
  <c r="JQ20" i="17"/>
  <c r="JU19" i="17"/>
  <c r="JV19" i="17" s="1"/>
  <c r="JT19" i="17"/>
  <c r="JS19" i="17"/>
  <c r="JR19" i="17"/>
  <c r="JQ19" i="17"/>
  <c r="JU18" i="17"/>
  <c r="JT18" i="17"/>
  <c r="JS18" i="17"/>
  <c r="JR18" i="17"/>
  <c r="JV18" i="17" s="1"/>
  <c r="JQ18" i="17"/>
  <c r="JU17" i="17"/>
  <c r="JT17" i="17"/>
  <c r="JS17" i="17"/>
  <c r="JR17" i="17"/>
  <c r="JV17" i="17" s="1"/>
  <c r="JQ17" i="17"/>
  <c r="JU16" i="17"/>
  <c r="JT16" i="17"/>
  <c r="JS16" i="17"/>
  <c r="JR16" i="17"/>
  <c r="JV16" i="17" s="1"/>
  <c r="JQ16" i="17"/>
  <c r="JU15" i="17"/>
  <c r="JV15" i="17" s="1"/>
  <c r="JT15" i="17"/>
  <c r="JS15" i="17"/>
  <c r="JR15" i="17"/>
  <c r="JQ15" i="17"/>
  <c r="JU14" i="17"/>
  <c r="JT14" i="17"/>
  <c r="JS14" i="17"/>
  <c r="JR14" i="17"/>
  <c r="JV14" i="17" s="1"/>
  <c r="JQ14" i="17"/>
  <c r="JU13" i="17"/>
  <c r="JT13" i="17"/>
  <c r="JS13" i="17"/>
  <c r="JR13" i="17"/>
  <c r="JV13" i="17" s="1"/>
  <c r="JQ13" i="17"/>
  <c r="JU12" i="17"/>
  <c r="JT12" i="17"/>
  <c r="JS12" i="17"/>
  <c r="JR12" i="17"/>
  <c r="JV12" i="17" s="1"/>
  <c r="JQ12" i="17"/>
  <c r="JU11" i="17"/>
  <c r="JV11" i="17" s="1"/>
  <c r="JT11" i="17"/>
  <c r="JS11" i="17"/>
  <c r="JR11" i="17"/>
  <c r="JQ11" i="17"/>
  <c r="JU10" i="17"/>
  <c r="JT10" i="17"/>
  <c r="JS10" i="17"/>
  <c r="JR10" i="17"/>
  <c r="JV10" i="17" s="1"/>
  <c r="JQ10" i="17"/>
  <c r="JU9" i="17"/>
  <c r="JT9" i="17"/>
  <c r="JS9" i="17"/>
  <c r="JR9" i="17"/>
  <c r="JV9" i="17" s="1"/>
  <c r="JQ9" i="17"/>
  <c r="JU8" i="17"/>
  <c r="JT8" i="17"/>
  <c r="JS8" i="17"/>
  <c r="JR8" i="17"/>
  <c r="JV8" i="17" s="1"/>
  <c r="JQ8" i="17"/>
  <c r="JU7" i="17"/>
  <c r="JV7" i="17" s="1"/>
  <c r="JT7" i="17"/>
  <c r="JS7" i="17"/>
  <c r="JR7" i="17"/>
  <c r="JQ7" i="17"/>
  <c r="JU6" i="17"/>
  <c r="JT6" i="17"/>
  <c r="JS6" i="17"/>
  <c r="JR6" i="17"/>
  <c r="JV6" i="17" s="1"/>
  <c r="JQ6" i="17"/>
  <c r="JU5" i="17"/>
  <c r="JT5" i="17"/>
  <c r="JS5" i="17"/>
  <c r="JR5" i="17"/>
  <c r="JV5" i="17" s="1"/>
  <c r="JQ5" i="17"/>
  <c r="JU4" i="17"/>
  <c r="JT4" i="17"/>
  <c r="JS4" i="17"/>
  <c r="JR4" i="17"/>
  <c r="JV4" i="17" s="1"/>
  <c r="JQ4" i="17"/>
  <c r="IU20" i="17"/>
  <c r="IT20" i="17"/>
  <c r="IS20" i="17"/>
  <c r="IR20" i="17"/>
  <c r="IV20" i="17" s="1"/>
  <c r="IQ20" i="17"/>
  <c r="IU19" i="17"/>
  <c r="IV19" i="17" s="1"/>
  <c r="IT19" i="17"/>
  <c r="IS19" i="17"/>
  <c r="IR19" i="17"/>
  <c r="IQ19" i="17"/>
  <c r="IU18" i="17"/>
  <c r="IT18" i="17"/>
  <c r="IS18" i="17"/>
  <c r="IR18" i="17"/>
  <c r="IV18" i="17" s="1"/>
  <c r="IQ18" i="17"/>
  <c r="IU17" i="17"/>
  <c r="IT17" i="17"/>
  <c r="IS17" i="17"/>
  <c r="IR17" i="17"/>
  <c r="IV17" i="17" s="1"/>
  <c r="IQ17" i="17"/>
  <c r="IV16" i="17"/>
  <c r="IU16" i="17"/>
  <c r="IT16" i="17"/>
  <c r="IS16" i="17"/>
  <c r="IR16" i="17"/>
  <c r="IQ16" i="17"/>
  <c r="IU15" i="17"/>
  <c r="IV15" i="17" s="1"/>
  <c r="IT15" i="17"/>
  <c r="IS15" i="17"/>
  <c r="IR15" i="17"/>
  <c r="IQ15" i="17"/>
  <c r="IU14" i="17"/>
  <c r="IT14" i="17"/>
  <c r="IS14" i="17"/>
  <c r="IR14" i="17"/>
  <c r="IV14" i="17" s="1"/>
  <c r="IQ14" i="17"/>
  <c r="IU13" i="17"/>
  <c r="IT13" i="17"/>
  <c r="IS13" i="17"/>
  <c r="IR13" i="17"/>
  <c r="IV13" i="17" s="1"/>
  <c r="IQ13" i="17"/>
  <c r="IV12" i="17"/>
  <c r="IU12" i="17"/>
  <c r="IT12" i="17"/>
  <c r="IS12" i="17"/>
  <c r="IR12" i="17"/>
  <c r="IQ12" i="17"/>
  <c r="IU11" i="17"/>
  <c r="IV11" i="17" s="1"/>
  <c r="IT11" i="17"/>
  <c r="IS11" i="17"/>
  <c r="IR11" i="17"/>
  <c r="IQ11" i="17"/>
  <c r="IU10" i="17"/>
  <c r="IT10" i="17"/>
  <c r="IS10" i="17"/>
  <c r="IR10" i="17"/>
  <c r="IV10" i="17" s="1"/>
  <c r="IQ10" i="17"/>
  <c r="IU9" i="17"/>
  <c r="IT9" i="17"/>
  <c r="IS9" i="17"/>
  <c r="IR9" i="17"/>
  <c r="IV9" i="17" s="1"/>
  <c r="IQ9" i="17"/>
  <c r="IV8" i="17"/>
  <c r="IU8" i="17"/>
  <c r="IT8" i="17"/>
  <c r="IS8" i="17"/>
  <c r="IR8" i="17"/>
  <c r="IQ8" i="17"/>
  <c r="IU7" i="17"/>
  <c r="IV7" i="17" s="1"/>
  <c r="IT7" i="17"/>
  <c r="IS7" i="17"/>
  <c r="IR7" i="17"/>
  <c r="IQ7" i="17"/>
  <c r="IU6" i="17"/>
  <c r="IT6" i="17"/>
  <c r="IS6" i="17"/>
  <c r="IR6" i="17"/>
  <c r="IV6" i="17" s="1"/>
  <c r="IQ6" i="17"/>
  <c r="IU5" i="17"/>
  <c r="IT5" i="17"/>
  <c r="IS5" i="17"/>
  <c r="IR5" i="17"/>
  <c r="IV5" i="17" s="1"/>
  <c r="IQ5" i="17"/>
  <c r="IU4" i="17"/>
  <c r="IV4" i="17" s="1"/>
  <c r="IT4" i="17"/>
  <c r="IS4" i="17"/>
  <c r="IR4" i="17"/>
  <c r="IQ4" i="17"/>
  <c r="HU20" i="17"/>
  <c r="HT20" i="17"/>
  <c r="HS20" i="17"/>
  <c r="HR20" i="17"/>
  <c r="HV20" i="17" s="1"/>
  <c r="HQ20" i="17"/>
  <c r="HU19" i="17"/>
  <c r="HV19" i="17" s="1"/>
  <c r="HT19" i="17"/>
  <c r="HS19" i="17"/>
  <c r="HR19" i="17"/>
  <c r="HQ19" i="17"/>
  <c r="HU18" i="17"/>
  <c r="HT18" i="17"/>
  <c r="HS18" i="17"/>
  <c r="HR18" i="17"/>
  <c r="HV18" i="17" s="1"/>
  <c r="HQ18" i="17"/>
  <c r="HU17" i="17"/>
  <c r="HT17" i="17"/>
  <c r="HS17" i="17"/>
  <c r="HR17" i="17"/>
  <c r="HV17" i="17" s="1"/>
  <c r="HQ17" i="17"/>
  <c r="HU16" i="17"/>
  <c r="HT16" i="17"/>
  <c r="HS16" i="17"/>
  <c r="HR16" i="17"/>
  <c r="HV16" i="17" s="1"/>
  <c r="HQ16" i="17"/>
  <c r="HU15" i="17"/>
  <c r="HV15" i="17" s="1"/>
  <c r="HT15" i="17"/>
  <c r="HS15" i="17"/>
  <c r="HR15" i="17"/>
  <c r="HQ15" i="17"/>
  <c r="HV14" i="17"/>
  <c r="HU14" i="17"/>
  <c r="HT14" i="17"/>
  <c r="HS14" i="17"/>
  <c r="HR14" i="17"/>
  <c r="HQ14" i="17"/>
  <c r="HU13" i="17"/>
  <c r="HT13" i="17"/>
  <c r="HS13" i="17"/>
  <c r="HR13" i="17"/>
  <c r="HV13" i="17" s="1"/>
  <c r="HQ13" i="17"/>
  <c r="HU12" i="17"/>
  <c r="HT12" i="17"/>
  <c r="HS12" i="17"/>
  <c r="HR12" i="17"/>
  <c r="HV12" i="17" s="1"/>
  <c r="HQ12" i="17"/>
  <c r="HU11" i="17"/>
  <c r="HV11" i="17" s="1"/>
  <c r="HT11" i="17"/>
  <c r="HS11" i="17"/>
  <c r="HR11" i="17"/>
  <c r="HQ11" i="17"/>
  <c r="HU10" i="17"/>
  <c r="HV10" i="17" s="1"/>
  <c r="HT10" i="17"/>
  <c r="HS10" i="17"/>
  <c r="HR10" i="17"/>
  <c r="HQ10" i="17"/>
  <c r="HU9" i="17"/>
  <c r="HT9" i="17"/>
  <c r="HS9" i="17"/>
  <c r="HR9" i="17"/>
  <c r="HV9" i="17" s="1"/>
  <c r="HQ9" i="17"/>
  <c r="HU8" i="17"/>
  <c r="HT8" i="17"/>
  <c r="HS8" i="17"/>
  <c r="HR8" i="17"/>
  <c r="HV8" i="17" s="1"/>
  <c r="HQ8" i="17"/>
  <c r="HU7" i="17"/>
  <c r="HV7" i="17" s="1"/>
  <c r="HT7" i="17"/>
  <c r="HS7" i="17"/>
  <c r="HR7" i="17"/>
  <c r="HQ7" i="17"/>
  <c r="HU6" i="17"/>
  <c r="HV6" i="17" s="1"/>
  <c r="HT6" i="17"/>
  <c r="HS6" i="17"/>
  <c r="HR6" i="17"/>
  <c r="HQ6" i="17"/>
  <c r="HU5" i="17"/>
  <c r="HT5" i="17"/>
  <c r="HS5" i="17"/>
  <c r="HR5" i="17"/>
  <c r="HV5" i="17" s="1"/>
  <c r="HQ5" i="17"/>
  <c r="HU4" i="17"/>
  <c r="HT4" i="17"/>
  <c r="HS4" i="17"/>
  <c r="HR4" i="17"/>
  <c r="HV4" i="17" s="1"/>
  <c r="HQ4" i="17"/>
  <c r="GU20" i="17"/>
  <c r="GT20" i="17"/>
  <c r="GS20" i="17"/>
  <c r="GR20" i="17"/>
  <c r="GV20" i="17" s="1"/>
  <c r="GQ20" i="17"/>
  <c r="GU19" i="17"/>
  <c r="GV19" i="17" s="1"/>
  <c r="GT19" i="17"/>
  <c r="GS19" i="17"/>
  <c r="GR19" i="17"/>
  <c r="GQ19" i="17"/>
  <c r="GU18" i="17"/>
  <c r="GV18" i="17" s="1"/>
  <c r="GT18" i="17"/>
  <c r="GS18" i="17"/>
  <c r="GR18" i="17"/>
  <c r="GQ18" i="17"/>
  <c r="GU17" i="17"/>
  <c r="GT17" i="17"/>
  <c r="GS17" i="17"/>
  <c r="GR17" i="17"/>
  <c r="GV17" i="17" s="1"/>
  <c r="GQ17" i="17"/>
  <c r="GU16" i="17"/>
  <c r="GT16" i="17"/>
  <c r="GS16" i="17"/>
  <c r="GR16" i="17"/>
  <c r="GV16" i="17" s="1"/>
  <c r="GQ16" i="17"/>
  <c r="GU15" i="17"/>
  <c r="GV15" i="17" s="1"/>
  <c r="GT15" i="17"/>
  <c r="GS15" i="17"/>
  <c r="GR15" i="17"/>
  <c r="GQ15" i="17"/>
  <c r="GU14" i="17"/>
  <c r="GV14" i="17" s="1"/>
  <c r="GT14" i="17"/>
  <c r="GS14" i="17"/>
  <c r="GR14" i="17"/>
  <c r="GQ14" i="17"/>
  <c r="GU13" i="17"/>
  <c r="GT13" i="17"/>
  <c r="GS13" i="17"/>
  <c r="GR13" i="17"/>
  <c r="GV13" i="17" s="1"/>
  <c r="GQ13" i="17"/>
  <c r="GU12" i="17"/>
  <c r="GT12" i="17"/>
  <c r="GS12" i="17"/>
  <c r="GR12" i="17"/>
  <c r="GV12" i="17" s="1"/>
  <c r="GQ12" i="17"/>
  <c r="GU11" i="17"/>
  <c r="GV11" i="17" s="1"/>
  <c r="GT11" i="17"/>
  <c r="GS11" i="17"/>
  <c r="GR11" i="17"/>
  <c r="GQ11" i="17"/>
  <c r="GU10" i="17"/>
  <c r="GV10" i="17" s="1"/>
  <c r="GT10" i="17"/>
  <c r="GS10" i="17"/>
  <c r="GR10" i="17"/>
  <c r="GQ10" i="17"/>
  <c r="GU9" i="17"/>
  <c r="GT9" i="17"/>
  <c r="GS9" i="17"/>
  <c r="GR9" i="17"/>
  <c r="GV9" i="17" s="1"/>
  <c r="GQ9" i="17"/>
  <c r="GU8" i="17"/>
  <c r="GT8" i="17"/>
  <c r="GS8" i="17"/>
  <c r="GR8" i="17"/>
  <c r="GV8" i="17" s="1"/>
  <c r="GQ8" i="17"/>
  <c r="GU7" i="17"/>
  <c r="GV7" i="17" s="1"/>
  <c r="GT7" i="17"/>
  <c r="GS7" i="17"/>
  <c r="GR7" i="17"/>
  <c r="GQ7" i="17"/>
  <c r="GU6" i="17"/>
  <c r="GV6" i="17" s="1"/>
  <c r="GT6" i="17"/>
  <c r="GS6" i="17"/>
  <c r="GR6" i="17"/>
  <c r="GQ6" i="17"/>
  <c r="GU5" i="17"/>
  <c r="GT5" i="17"/>
  <c r="GS5" i="17"/>
  <c r="GR5" i="17"/>
  <c r="GV5" i="17" s="1"/>
  <c r="GQ5" i="17"/>
  <c r="GU4" i="17"/>
  <c r="GT4" i="17"/>
  <c r="GS4" i="17"/>
  <c r="GR4" i="17"/>
  <c r="GV4" i="17" s="1"/>
  <c r="GQ4" i="17"/>
  <c r="FU20" i="17"/>
  <c r="FT20" i="17"/>
  <c r="FS20" i="17"/>
  <c r="FR20" i="17"/>
  <c r="FV20" i="17" s="1"/>
  <c r="FQ20" i="17"/>
  <c r="FU19" i="17"/>
  <c r="FV19" i="17" s="1"/>
  <c r="FT19" i="17"/>
  <c r="FS19" i="17"/>
  <c r="FR19" i="17"/>
  <c r="FQ19" i="17"/>
  <c r="FU18" i="17"/>
  <c r="FT18" i="17"/>
  <c r="FS18" i="17"/>
  <c r="FR18" i="17"/>
  <c r="FV18" i="17" s="1"/>
  <c r="FQ18" i="17"/>
  <c r="FU17" i="17"/>
  <c r="FT17" i="17"/>
  <c r="FS17" i="17"/>
  <c r="FR17" i="17"/>
  <c r="FV17" i="17" s="1"/>
  <c r="FQ17" i="17"/>
  <c r="FU16" i="17"/>
  <c r="FT16" i="17"/>
  <c r="FS16" i="17"/>
  <c r="FR16" i="17"/>
  <c r="FV16" i="17" s="1"/>
  <c r="FQ16" i="17"/>
  <c r="FU15" i="17"/>
  <c r="FV15" i="17" s="1"/>
  <c r="FT15" i="17"/>
  <c r="FS15" i="17"/>
  <c r="FR15" i="17"/>
  <c r="FQ15" i="17"/>
  <c r="FU14" i="17"/>
  <c r="FT14" i="17"/>
  <c r="FS14" i="17"/>
  <c r="FR14" i="17"/>
  <c r="FV14" i="17" s="1"/>
  <c r="FQ14" i="17"/>
  <c r="FU13" i="17"/>
  <c r="FT13" i="17"/>
  <c r="FS13" i="17"/>
  <c r="FR13" i="17"/>
  <c r="FV13" i="17" s="1"/>
  <c r="FQ13" i="17"/>
  <c r="FU12" i="17"/>
  <c r="FV12" i="17" s="1"/>
  <c r="FT12" i="17"/>
  <c r="FS12" i="17"/>
  <c r="FR12" i="17"/>
  <c r="FQ12" i="17"/>
  <c r="FU11" i="17"/>
  <c r="FV11" i="17" s="1"/>
  <c r="FT11" i="17"/>
  <c r="FS11" i="17"/>
  <c r="FR11" i="17"/>
  <c r="FQ11" i="17"/>
  <c r="FU10" i="17"/>
  <c r="FT10" i="17"/>
  <c r="FS10" i="17"/>
  <c r="FR10" i="17"/>
  <c r="FV10" i="17" s="1"/>
  <c r="FQ10" i="17"/>
  <c r="FU9" i="17"/>
  <c r="FT9" i="17"/>
  <c r="FS9" i="17"/>
  <c r="FR9" i="17"/>
  <c r="FV9" i="17" s="1"/>
  <c r="FQ9" i="17"/>
  <c r="FU8" i="17"/>
  <c r="FV8" i="17" s="1"/>
  <c r="FT8" i="17"/>
  <c r="FS8" i="17"/>
  <c r="FR8" i="17"/>
  <c r="FQ8" i="17"/>
  <c r="FU7" i="17"/>
  <c r="FV7" i="17" s="1"/>
  <c r="FT7" i="17"/>
  <c r="FS7" i="17"/>
  <c r="FR7" i="17"/>
  <c r="FQ7" i="17"/>
  <c r="FU6" i="17"/>
  <c r="FT6" i="17"/>
  <c r="FS6" i="17"/>
  <c r="FR6" i="17"/>
  <c r="FV6" i="17" s="1"/>
  <c r="FQ6" i="17"/>
  <c r="FU5" i="17"/>
  <c r="FT5" i="17"/>
  <c r="FS5" i="17"/>
  <c r="FR5" i="17"/>
  <c r="FV5" i="17" s="1"/>
  <c r="FQ5" i="17"/>
  <c r="FU4" i="17"/>
  <c r="FV4" i="17" s="1"/>
  <c r="FT4" i="17"/>
  <c r="FS4" i="17"/>
  <c r="FR4" i="17"/>
  <c r="FQ4" i="17"/>
  <c r="EU20" i="17"/>
  <c r="ET20" i="17"/>
  <c r="ES20" i="17"/>
  <c r="ER20" i="17"/>
  <c r="EV20" i="17" s="1"/>
  <c r="EQ20" i="17"/>
  <c r="EU19" i="17"/>
  <c r="EV19" i="17" s="1"/>
  <c r="ET19" i="17"/>
  <c r="ES19" i="17"/>
  <c r="ER19" i="17"/>
  <c r="EQ19" i="17"/>
  <c r="EU18" i="17"/>
  <c r="EV18" i="17" s="1"/>
  <c r="ET18" i="17"/>
  <c r="ES18" i="17"/>
  <c r="ER18" i="17"/>
  <c r="EQ18" i="17"/>
  <c r="EU17" i="17"/>
  <c r="ET17" i="17"/>
  <c r="ES17" i="17"/>
  <c r="ER17" i="17"/>
  <c r="EV17" i="17" s="1"/>
  <c r="EQ17" i="17"/>
  <c r="EU16" i="17"/>
  <c r="ET16" i="17"/>
  <c r="ES16" i="17"/>
  <c r="ER16" i="17"/>
  <c r="EV16" i="17" s="1"/>
  <c r="EQ16" i="17"/>
  <c r="EU15" i="17"/>
  <c r="EV15" i="17" s="1"/>
  <c r="ET15" i="17"/>
  <c r="ES15" i="17"/>
  <c r="ER15" i="17"/>
  <c r="EQ15" i="17"/>
  <c r="EU14" i="17"/>
  <c r="EV14" i="17" s="1"/>
  <c r="ET14" i="17"/>
  <c r="ES14" i="17"/>
  <c r="ER14" i="17"/>
  <c r="EQ14" i="17"/>
  <c r="EU13" i="17"/>
  <c r="ET13" i="17"/>
  <c r="ES13" i="17"/>
  <c r="ER13" i="17"/>
  <c r="EV13" i="17" s="1"/>
  <c r="EQ13" i="17"/>
  <c r="EU12" i="17"/>
  <c r="ET12" i="17"/>
  <c r="ES12" i="17"/>
  <c r="ER12" i="17"/>
  <c r="EV12" i="17" s="1"/>
  <c r="EQ12" i="17"/>
  <c r="EU11" i="17"/>
  <c r="EV11" i="17" s="1"/>
  <c r="ET11" i="17"/>
  <c r="ES11" i="17"/>
  <c r="ER11" i="17"/>
  <c r="EQ11" i="17"/>
  <c r="EU10" i="17"/>
  <c r="EV10" i="17" s="1"/>
  <c r="ET10" i="17"/>
  <c r="ES10" i="17"/>
  <c r="ER10" i="17"/>
  <c r="EQ10" i="17"/>
  <c r="EU9" i="17"/>
  <c r="ET9" i="17"/>
  <c r="ES9" i="17"/>
  <c r="ER9" i="17"/>
  <c r="EV9" i="17" s="1"/>
  <c r="EQ9" i="17"/>
  <c r="EU8" i="17"/>
  <c r="ET8" i="17"/>
  <c r="ES8" i="17"/>
  <c r="ER8" i="17"/>
  <c r="EV8" i="17" s="1"/>
  <c r="EQ8" i="17"/>
  <c r="EV7" i="17"/>
  <c r="EU7" i="17"/>
  <c r="ET7" i="17"/>
  <c r="ES7" i="17"/>
  <c r="ER7" i="17"/>
  <c r="EQ7" i="17"/>
  <c r="EU6" i="17"/>
  <c r="EV6" i="17" s="1"/>
  <c r="ET6" i="17"/>
  <c r="ES6" i="17"/>
  <c r="ER6" i="17"/>
  <c r="EQ6" i="17"/>
  <c r="EU5" i="17"/>
  <c r="ET5" i="17"/>
  <c r="ES5" i="17"/>
  <c r="ER5" i="17"/>
  <c r="EV5" i="17" s="1"/>
  <c r="EQ5" i="17"/>
  <c r="EU4" i="17"/>
  <c r="ET4" i="17"/>
  <c r="ES4" i="17"/>
  <c r="ER4" i="17"/>
  <c r="EV4" i="17" s="1"/>
  <c r="EQ4" i="17"/>
  <c r="DU20" i="17"/>
  <c r="DT20" i="17"/>
  <c r="DS20" i="17"/>
  <c r="DR20" i="17"/>
  <c r="DV20" i="17" s="1"/>
  <c r="DQ20" i="17"/>
  <c r="DU19" i="17"/>
  <c r="DT19" i="17"/>
  <c r="DS19" i="17"/>
  <c r="DR19" i="17"/>
  <c r="DV19" i="17" s="1"/>
  <c r="DQ19" i="17"/>
  <c r="DU18" i="17"/>
  <c r="DT18" i="17"/>
  <c r="DS18" i="17"/>
  <c r="DR18" i="17"/>
  <c r="DV18" i="17" s="1"/>
  <c r="DQ18" i="17"/>
  <c r="DV17" i="17"/>
  <c r="DU17" i="17"/>
  <c r="DT17" i="17"/>
  <c r="DS17" i="17"/>
  <c r="DR17" i="17"/>
  <c r="DQ17" i="17"/>
  <c r="DU16" i="17"/>
  <c r="DT16" i="17"/>
  <c r="DS16" i="17"/>
  <c r="DR16" i="17"/>
  <c r="DV16" i="17" s="1"/>
  <c r="DQ16" i="17"/>
  <c r="DU15" i="17"/>
  <c r="DT15" i="17"/>
  <c r="DS15" i="17"/>
  <c r="DR15" i="17"/>
  <c r="DV15" i="17" s="1"/>
  <c r="DQ15" i="17"/>
  <c r="DU14" i="17"/>
  <c r="DT14" i="17"/>
  <c r="DS14" i="17"/>
  <c r="DR14" i="17"/>
  <c r="DV14" i="17" s="1"/>
  <c r="DQ14" i="17"/>
  <c r="DV13" i="17"/>
  <c r="DU13" i="17"/>
  <c r="DT13" i="17"/>
  <c r="DS13" i="17"/>
  <c r="DR13" i="17"/>
  <c r="DQ13" i="17"/>
  <c r="DU12" i="17"/>
  <c r="DT12" i="17"/>
  <c r="DS12" i="17"/>
  <c r="DR12" i="17"/>
  <c r="DV12" i="17" s="1"/>
  <c r="DQ12" i="17"/>
  <c r="DU11" i="17"/>
  <c r="DT11" i="17"/>
  <c r="DS11" i="17"/>
  <c r="DR11" i="17"/>
  <c r="DV11" i="17" s="1"/>
  <c r="DQ11" i="17"/>
  <c r="DU10" i="17"/>
  <c r="DV10" i="17" s="1"/>
  <c r="DT10" i="17"/>
  <c r="DS10" i="17"/>
  <c r="DR10" i="17"/>
  <c r="DQ10" i="17"/>
  <c r="DV9" i="17"/>
  <c r="DU9" i="17"/>
  <c r="DT9" i="17"/>
  <c r="DS9" i="17"/>
  <c r="DR9" i="17"/>
  <c r="DQ9" i="17"/>
  <c r="DU8" i="17"/>
  <c r="DT8" i="17"/>
  <c r="DS8" i="17"/>
  <c r="DR8" i="17"/>
  <c r="DV8" i="17" s="1"/>
  <c r="DQ8" i="17"/>
  <c r="DU7" i="17"/>
  <c r="DT7" i="17"/>
  <c r="DS7" i="17"/>
  <c r="DR7" i="17"/>
  <c r="DV7" i="17" s="1"/>
  <c r="DQ7" i="17"/>
  <c r="DU6" i="17"/>
  <c r="DT6" i="17"/>
  <c r="DS6" i="17"/>
  <c r="DR6" i="17"/>
  <c r="DV6" i="17" s="1"/>
  <c r="DQ6" i="17"/>
  <c r="DU5" i="17"/>
  <c r="DT5" i="17"/>
  <c r="DS5" i="17"/>
  <c r="DR5" i="17"/>
  <c r="DV5" i="17" s="1"/>
  <c r="DQ5" i="17"/>
  <c r="DU4" i="17"/>
  <c r="DT4" i="17"/>
  <c r="DS4" i="17"/>
  <c r="DR4" i="17"/>
  <c r="DV4" i="17" s="1"/>
  <c r="DQ4" i="17"/>
  <c r="AQ12" i="16" l="1"/>
  <c r="AR12" i="16"/>
  <c r="AS12" i="16"/>
  <c r="AT12" i="16"/>
  <c r="AU12" i="16"/>
  <c r="AV12" i="16"/>
  <c r="AW12" i="16"/>
  <c r="BT12" i="16"/>
  <c r="BU12" i="16"/>
  <c r="BX12" i="16" s="1"/>
  <c r="BV12" i="16"/>
  <c r="BW12" i="16"/>
  <c r="BY12" i="16"/>
  <c r="BZ12" i="16"/>
  <c r="CW12" i="16"/>
  <c r="CX12" i="16"/>
  <c r="DD12" i="16" s="1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J12" i="16" s="1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R12" i="16" s="1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LT12" i="16" l="1"/>
  <c r="HL12" i="16"/>
  <c r="RF12" i="16"/>
  <c r="QB12" i="16"/>
  <c r="RA12" i="16"/>
  <c r="Q12" i="16"/>
  <c r="IN12" i="16"/>
  <c r="O12" i="16"/>
  <c r="P12" i="16" s="1"/>
  <c r="AX12" i="16"/>
  <c r="OZ12" i="16"/>
  <c r="NX12" i="16"/>
  <c r="MV12" i="16"/>
  <c r="JP12" i="16"/>
  <c r="FH12" i="16"/>
  <c r="DG12" i="16"/>
  <c r="EF12" i="16"/>
  <c r="DA12" i="16"/>
  <c r="CA12" i="16"/>
  <c r="RG12" i="16"/>
  <c r="RC12" i="16"/>
  <c r="RB12" i="16"/>
  <c r="RH12" i="16" s="1"/>
  <c r="M12" i="16"/>
  <c r="N12" i="16" s="1"/>
  <c r="F12" i="16"/>
  <c r="K12" i="16"/>
  <c r="L12" i="16" s="1"/>
  <c r="I12" i="16"/>
  <c r="J12" i="16" s="1"/>
  <c r="R12" i="16"/>
  <c r="RD12" i="16"/>
  <c r="QE12" i="16"/>
  <c r="PC12" i="16"/>
  <c r="OA12" i="16"/>
  <c r="MY12" i="16"/>
  <c r="LW12" i="16"/>
  <c r="KU12" i="16"/>
  <c r="JS12" i="16"/>
  <c r="IQ12" i="16"/>
  <c r="HO12" i="16"/>
  <c r="GM12" i="16"/>
  <c r="FK12" i="16"/>
  <c r="EI12" i="16"/>
  <c r="G12" i="16"/>
  <c r="RE12" i="16" l="1"/>
  <c r="DE12" i="16"/>
  <c r="S12" i="16" s="1"/>
  <c r="U12" i="16" s="1"/>
  <c r="H12" i="16"/>
  <c r="E12" i="16" l="1"/>
  <c r="T12" i="16"/>
  <c r="QY21" i="18" l="1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E21" i="18" s="1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S21" i="18" s="1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BZ21" i="18"/>
  <c r="BY21" i="18"/>
  <c r="BW21" i="18"/>
  <c r="BV21" i="18"/>
  <c r="BU21" i="18"/>
  <c r="BT21" i="18"/>
  <c r="AW21" i="18"/>
  <c r="AV21" i="18"/>
  <c r="AT21" i="18"/>
  <c r="AS21" i="18"/>
  <c r="AR21" i="18"/>
  <c r="AQ21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BZ20" i="18"/>
  <c r="BY20" i="18"/>
  <c r="BW20" i="18"/>
  <c r="BV20" i="18"/>
  <c r="BU20" i="18"/>
  <c r="BT20" i="18"/>
  <c r="AW20" i="18"/>
  <c r="AV20" i="18"/>
  <c r="AT20" i="18"/>
  <c r="AS20" i="18"/>
  <c r="AR20" i="18"/>
  <c r="AQ20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BZ19" i="18"/>
  <c r="BY19" i="18"/>
  <c r="BW19" i="18"/>
  <c r="BV19" i="18"/>
  <c r="BU19" i="18"/>
  <c r="BX19" i="18" s="1"/>
  <c r="BT19" i="18"/>
  <c r="AW19" i="18"/>
  <c r="AV19" i="18"/>
  <c r="AT19" i="18"/>
  <c r="AS19" i="18"/>
  <c r="AR19" i="18"/>
  <c r="AQ19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H16" i="18" s="1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BZ16" i="18"/>
  <c r="BY16" i="18"/>
  <c r="BW16" i="18"/>
  <c r="BV16" i="18"/>
  <c r="BU16" i="18"/>
  <c r="BT16" i="18"/>
  <c r="AW16" i="18"/>
  <c r="AV16" i="18"/>
  <c r="AT16" i="18"/>
  <c r="AS16" i="18"/>
  <c r="AR16" i="18"/>
  <c r="AU16" i="18" s="1"/>
  <c r="AQ16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M18" i="18" s="1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BZ18" i="18"/>
  <c r="BY18" i="18"/>
  <c r="BW18" i="18"/>
  <c r="BV18" i="18"/>
  <c r="BU18" i="18"/>
  <c r="BT18" i="18"/>
  <c r="AW18" i="18"/>
  <c r="AV18" i="18"/>
  <c r="AT18" i="18"/>
  <c r="AS18" i="18"/>
  <c r="AR18" i="18"/>
  <c r="AQ18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X15" i="18" s="1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T15" i="18" s="1"/>
  <c r="LP15" i="18"/>
  <c r="KT15" i="18"/>
  <c r="KS15" i="18"/>
  <c r="KQ15" i="18"/>
  <c r="KP15" i="18"/>
  <c r="KO15" i="18"/>
  <c r="KR15" i="18" s="1"/>
  <c r="KN15" i="18"/>
  <c r="JR15" i="18"/>
  <c r="JQ15" i="18"/>
  <c r="JO15" i="18"/>
  <c r="JN15" i="18"/>
  <c r="JM15" i="18"/>
  <c r="JP15" i="18" s="1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J15" i="18" s="1"/>
  <c r="GF15" i="18"/>
  <c r="FJ15" i="18"/>
  <c r="FI15" i="18"/>
  <c r="FG15" i="18"/>
  <c r="FF15" i="18"/>
  <c r="FE15" i="18"/>
  <c r="FH15" i="18" s="1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DA15" i="18" s="1"/>
  <c r="CW15" i="18"/>
  <c r="BZ15" i="18"/>
  <c r="BY15" i="18"/>
  <c r="BW15" i="18"/>
  <c r="BV15" i="18"/>
  <c r="BU15" i="18"/>
  <c r="BX15" i="18" s="1"/>
  <c r="BT15" i="18"/>
  <c r="AW15" i="18"/>
  <c r="AV15" i="18"/>
  <c r="AT15" i="18"/>
  <c r="AS15" i="18"/>
  <c r="AR15" i="18"/>
  <c r="AQ15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BZ17" i="18"/>
  <c r="BY17" i="18"/>
  <c r="BW17" i="18"/>
  <c r="BV17" i="18"/>
  <c r="BU17" i="18"/>
  <c r="BT17" i="18"/>
  <c r="AW17" i="18"/>
  <c r="AV17" i="18"/>
  <c r="AT17" i="18"/>
  <c r="AS17" i="18"/>
  <c r="AR17" i="18"/>
  <c r="AQ17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BZ13" i="18"/>
  <c r="BY13" i="18"/>
  <c r="BW13" i="18"/>
  <c r="BV13" i="18"/>
  <c r="BU13" i="18"/>
  <c r="BT13" i="18"/>
  <c r="AW13" i="18"/>
  <c r="AV13" i="18"/>
  <c r="AT13" i="18"/>
  <c r="AS13" i="18"/>
  <c r="AR13" i="18"/>
  <c r="AQ13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BZ14" i="18"/>
  <c r="BY14" i="18"/>
  <c r="BW14" i="18"/>
  <c r="BV14" i="18"/>
  <c r="BU14" i="18"/>
  <c r="BT14" i="18"/>
  <c r="AW14" i="18"/>
  <c r="AV14" i="18"/>
  <c r="AT14" i="18"/>
  <c r="AS14" i="18"/>
  <c r="AR14" i="18"/>
  <c r="AQ14" i="18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BZ12" i="18"/>
  <c r="BY12" i="18"/>
  <c r="BW12" i="18"/>
  <c r="BV12" i="18"/>
  <c r="BU12" i="18"/>
  <c r="BT12" i="18"/>
  <c r="AW12" i="18"/>
  <c r="AV12" i="18"/>
  <c r="AT12" i="18"/>
  <c r="AS12" i="18"/>
  <c r="AR12" i="18"/>
  <c r="AQ12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BZ10" i="18"/>
  <c r="BY10" i="18"/>
  <c r="BW10" i="18"/>
  <c r="BV10" i="18"/>
  <c r="BU10" i="18"/>
  <c r="BT10" i="18"/>
  <c r="AW10" i="18"/>
  <c r="AV10" i="18"/>
  <c r="AT10" i="18"/>
  <c r="AS10" i="18"/>
  <c r="AR10" i="18"/>
  <c r="AQ10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BZ11" i="18"/>
  <c r="BY11" i="18"/>
  <c r="BW11" i="18"/>
  <c r="BV11" i="18"/>
  <c r="BU11" i="18"/>
  <c r="BT11" i="18"/>
  <c r="AW11" i="18"/>
  <c r="AV11" i="18"/>
  <c r="AT11" i="18"/>
  <c r="AS11" i="18"/>
  <c r="AR11" i="18"/>
  <c r="AQ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BZ7" i="18"/>
  <c r="BY7" i="18"/>
  <c r="BW7" i="18"/>
  <c r="BV7" i="18"/>
  <c r="BU7" i="18"/>
  <c r="BX7" i="18" s="1"/>
  <c r="BT7" i="18"/>
  <c r="AW7" i="18"/>
  <c r="AV7" i="18"/>
  <c r="AT7" i="18"/>
  <c r="AS7" i="18"/>
  <c r="AR7" i="18"/>
  <c r="AQ7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QB6" i="18" s="1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L6" i="18" s="1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BZ6" i="18"/>
  <c r="BY6" i="18"/>
  <c r="BW6" i="18"/>
  <c r="BV6" i="18"/>
  <c r="BU6" i="18"/>
  <c r="BT6" i="18"/>
  <c r="AW6" i="18"/>
  <c r="AV6" i="18"/>
  <c r="AT6" i="18"/>
  <c r="AS6" i="18"/>
  <c r="AR6" i="18"/>
  <c r="AQ6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L5" i="18" s="1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BZ5" i="18"/>
  <c r="BY5" i="18"/>
  <c r="BW5" i="18"/>
  <c r="BV5" i="18"/>
  <c r="BU5" i="18"/>
  <c r="BT5" i="18"/>
  <c r="AW5" i="18"/>
  <c r="AV5" i="18"/>
  <c r="AT5" i="18"/>
  <c r="AS5" i="18"/>
  <c r="AR5" i="18"/>
  <c r="AQ5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BZ9" i="18"/>
  <c r="BY9" i="18"/>
  <c r="BW9" i="18"/>
  <c r="BV9" i="18"/>
  <c r="BU9" i="18"/>
  <c r="BT9" i="18"/>
  <c r="AW9" i="18"/>
  <c r="AV9" i="18"/>
  <c r="AT9" i="18"/>
  <c r="AS9" i="18"/>
  <c r="AR9" i="18"/>
  <c r="AQ9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BZ8" i="18"/>
  <c r="BY8" i="18"/>
  <c r="BW8" i="18"/>
  <c r="BV8" i="18"/>
  <c r="BU8" i="18"/>
  <c r="BT8" i="18"/>
  <c r="AW8" i="18"/>
  <c r="AV8" i="18"/>
  <c r="AT8" i="18"/>
  <c r="AS8" i="18"/>
  <c r="AR8" i="18"/>
  <c r="AQ8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E4" i="18"/>
  <c r="ED4" i="18"/>
  <c r="EC4" i="18"/>
  <c r="EB4" i="18"/>
  <c r="DC4" i="18"/>
  <c r="DB4" i="18"/>
  <c r="CZ4" i="18"/>
  <c r="CY4" i="18"/>
  <c r="CX4" i="18"/>
  <c r="CW4" i="18"/>
  <c r="BZ4" i="18"/>
  <c r="BY4" i="18"/>
  <c r="BW4" i="18"/>
  <c r="BV4" i="18"/>
  <c r="BU4" i="18"/>
  <c r="BT4" i="18"/>
  <c r="AW4" i="18"/>
  <c r="AV4" i="18"/>
  <c r="AT4" i="18"/>
  <c r="AS4" i="18"/>
  <c r="AR4" i="18"/>
  <c r="AQ4" i="18"/>
  <c r="AQ6" i="16"/>
  <c r="AR6" i="16"/>
  <c r="AS6" i="16"/>
  <c r="AT6" i="16"/>
  <c r="AV6" i="16"/>
  <c r="AW6" i="16"/>
  <c r="BT6" i="16"/>
  <c r="BU6" i="16"/>
  <c r="BV6" i="16"/>
  <c r="BW6" i="16"/>
  <c r="BY6" i="16"/>
  <c r="BZ6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L6" i="16" s="1"/>
  <c r="HJ6" i="16"/>
  <c r="HK6" i="16"/>
  <c r="HM6" i="16"/>
  <c r="HN6" i="16"/>
  <c r="IJ6" i="16"/>
  <c r="IK6" i="16"/>
  <c r="IN6" i="16" s="1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T6" i="16" s="1"/>
  <c r="LR6" i="16"/>
  <c r="LS6" i="16"/>
  <c r="LU6" i="16"/>
  <c r="LV6" i="16"/>
  <c r="MR6" i="16"/>
  <c r="MS6" i="16"/>
  <c r="MV6" i="16" s="1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QB6" i="16" s="1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AQ8" i="16"/>
  <c r="AR8" i="16"/>
  <c r="AS8" i="16"/>
  <c r="AT8" i="16"/>
  <c r="AV8" i="16"/>
  <c r="AW8" i="16"/>
  <c r="BT8" i="16"/>
  <c r="BU8" i="16"/>
  <c r="BX8" i="16" s="1"/>
  <c r="BV8" i="16"/>
  <c r="BW8" i="16"/>
  <c r="BY8" i="16"/>
  <c r="BZ8" i="16"/>
  <c r="CW8" i="16"/>
  <c r="CX8" i="16"/>
  <c r="CY8" i="16"/>
  <c r="CZ8" i="16"/>
  <c r="DB8" i="16"/>
  <c r="DC8" i="16"/>
  <c r="EB8" i="16"/>
  <c r="EC8" i="16"/>
  <c r="ED8" i="16"/>
  <c r="EE8" i="16"/>
  <c r="EG8" i="16"/>
  <c r="EH8" i="16"/>
  <c r="FD8" i="16"/>
  <c r="FE8" i="16"/>
  <c r="FF8" i="16"/>
  <c r="FG8" i="16"/>
  <c r="FI8" i="16"/>
  <c r="FJ8" i="16"/>
  <c r="GF8" i="16"/>
  <c r="GG8" i="16"/>
  <c r="GH8" i="16"/>
  <c r="GI8" i="16"/>
  <c r="GK8" i="16"/>
  <c r="GL8" i="16"/>
  <c r="HH8" i="16"/>
  <c r="HI8" i="16"/>
  <c r="HJ8" i="16"/>
  <c r="HK8" i="16"/>
  <c r="HM8" i="16"/>
  <c r="HN8" i="16"/>
  <c r="IJ8" i="16"/>
  <c r="IK8" i="16"/>
  <c r="IL8" i="16"/>
  <c r="IM8" i="16"/>
  <c r="IO8" i="16"/>
  <c r="IP8" i="16"/>
  <c r="JL8" i="16"/>
  <c r="JM8" i="16"/>
  <c r="JN8" i="16"/>
  <c r="JO8" i="16"/>
  <c r="JQ8" i="16"/>
  <c r="JR8" i="16"/>
  <c r="KN8" i="16"/>
  <c r="KO8" i="16"/>
  <c r="KP8" i="16"/>
  <c r="KQ8" i="16"/>
  <c r="KS8" i="16"/>
  <c r="KT8" i="16"/>
  <c r="LP8" i="16"/>
  <c r="LQ8" i="16"/>
  <c r="LR8" i="16"/>
  <c r="LS8" i="16"/>
  <c r="LU8" i="16"/>
  <c r="LV8" i="16"/>
  <c r="MR8" i="16"/>
  <c r="MS8" i="16"/>
  <c r="MT8" i="16"/>
  <c r="MU8" i="16"/>
  <c r="MW8" i="16"/>
  <c r="MX8" i="16"/>
  <c r="NT8" i="16"/>
  <c r="NU8" i="16"/>
  <c r="NV8" i="16"/>
  <c r="NW8" i="16"/>
  <c r="NY8" i="16"/>
  <c r="NZ8" i="16"/>
  <c r="OV8" i="16"/>
  <c r="OW8" i="16"/>
  <c r="OX8" i="16"/>
  <c r="OY8" i="16"/>
  <c r="PA8" i="16"/>
  <c r="PB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AQ13" i="16"/>
  <c r="AR13" i="16"/>
  <c r="AS13" i="16"/>
  <c r="AT13" i="16"/>
  <c r="AV13" i="16"/>
  <c r="AW13" i="16"/>
  <c r="BT13" i="16"/>
  <c r="BU13" i="16"/>
  <c r="BV13" i="16"/>
  <c r="BW13" i="16"/>
  <c r="BY13" i="16"/>
  <c r="BZ13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K13" i="16" s="1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AQ15" i="16"/>
  <c r="AR15" i="16"/>
  <c r="AS15" i="16"/>
  <c r="AT15" i="16"/>
  <c r="AV15" i="16"/>
  <c r="AW15" i="16"/>
  <c r="BT15" i="16"/>
  <c r="BU15" i="16"/>
  <c r="BV15" i="16"/>
  <c r="BW15" i="16"/>
  <c r="BY15" i="16"/>
  <c r="BZ15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AQ9" i="16"/>
  <c r="AR9" i="16"/>
  <c r="AS9" i="16"/>
  <c r="AT9" i="16"/>
  <c r="AV9" i="16"/>
  <c r="AW9" i="16"/>
  <c r="BT9" i="16"/>
  <c r="BU9" i="16"/>
  <c r="BV9" i="16"/>
  <c r="BW9" i="16"/>
  <c r="BY9" i="16"/>
  <c r="BZ9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AQ21" i="16"/>
  <c r="AR21" i="16"/>
  <c r="AS21" i="16"/>
  <c r="AT21" i="16"/>
  <c r="AV21" i="16"/>
  <c r="AW21" i="16"/>
  <c r="BT21" i="16"/>
  <c r="BU21" i="16"/>
  <c r="BX21" i="16" s="1"/>
  <c r="BV21" i="16"/>
  <c r="BW21" i="16"/>
  <c r="BY21" i="16"/>
  <c r="BZ21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H21" i="16" s="1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X21" i="16" s="1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AQ16" i="16"/>
  <c r="AR16" i="16"/>
  <c r="AS16" i="16"/>
  <c r="AT16" i="16"/>
  <c r="AV16" i="16"/>
  <c r="AW16" i="16"/>
  <c r="BT16" i="16"/>
  <c r="BU16" i="16"/>
  <c r="BV16" i="16"/>
  <c r="BW16" i="16"/>
  <c r="BY16" i="16"/>
  <c r="BZ16" i="16"/>
  <c r="CW16" i="16"/>
  <c r="CX16" i="16"/>
  <c r="CY16" i="16"/>
  <c r="CZ16" i="16"/>
  <c r="DB16" i="16"/>
  <c r="DC16" i="16"/>
  <c r="EB16" i="16"/>
  <c r="EC16" i="16"/>
  <c r="EF16" i="16" s="1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AQ22" i="16"/>
  <c r="AR22" i="16"/>
  <c r="AS22" i="16"/>
  <c r="AT22" i="16"/>
  <c r="AV22" i="16"/>
  <c r="AW22" i="16"/>
  <c r="BT22" i="16"/>
  <c r="BU22" i="16"/>
  <c r="BV22" i="16"/>
  <c r="BW22" i="16"/>
  <c r="BY22" i="16"/>
  <c r="BZ22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AQ18" i="16"/>
  <c r="AR18" i="16"/>
  <c r="AS18" i="16"/>
  <c r="AT18" i="16"/>
  <c r="AV18" i="16"/>
  <c r="AW18" i="16"/>
  <c r="BT18" i="16"/>
  <c r="BU18" i="16"/>
  <c r="BV18" i="16"/>
  <c r="BW18" i="16"/>
  <c r="BY18" i="16"/>
  <c r="BZ18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AQ20" i="16"/>
  <c r="AR20" i="16"/>
  <c r="AS20" i="16"/>
  <c r="AT20" i="16"/>
  <c r="AV20" i="16"/>
  <c r="AW20" i="16"/>
  <c r="BT20" i="16"/>
  <c r="BU20" i="16"/>
  <c r="BV20" i="16"/>
  <c r="BW20" i="16"/>
  <c r="BY20" i="16"/>
  <c r="BZ20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V20" i="16" s="1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AQ17" i="16"/>
  <c r="AR17" i="16"/>
  <c r="AS17" i="16"/>
  <c r="AT17" i="16"/>
  <c r="AV17" i="16"/>
  <c r="AW17" i="16"/>
  <c r="BT17" i="16"/>
  <c r="BU17" i="16"/>
  <c r="BV17" i="16"/>
  <c r="BW17" i="16"/>
  <c r="BY17" i="16"/>
  <c r="BZ17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AQ7" i="16"/>
  <c r="AR7" i="16"/>
  <c r="AS7" i="16"/>
  <c r="AT7" i="16"/>
  <c r="AV7" i="16"/>
  <c r="AW7" i="16"/>
  <c r="BT7" i="16"/>
  <c r="BU7" i="16"/>
  <c r="BV7" i="16"/>
  <c r="BW7" i="16"/>
  <c r="BY7" i="16"/>
  <c r="BZ7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AQ25" i="16"/>
  <c r="AR25" i="16"/>
  <c r="AS25" i="16"/>
  <c r="AT25" i="16"/>
  <c r="AV25" i="16"/>
  <c r="AW25" i="16"/>
  <c r="BT25" i="16"/>
  <c r="BU25" i="16"/>
  <c r="BV25" i="16"/>
  <c r="BW25" i="16"/>
  <c r="BY25" i="16"/>
  <c r="BZ25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AQ19" i="16"/>
  <c r="AR19" i="16"/>
  <c r="AS19" i="16"/>
  <c r="AT19" i="16"/>
  <c r="AV19" i="16"/>
  <c r="AW19" i="16"/>
  <c r="BT19" i="16"/>
  <c r="BU19" i="16"/>
  <c r="BV19" i="16"/>
  <c r="BW19" i="16"/>
  <c r="BY19" i="16"/>
  <c r="BZ19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AQ23" i="16"/>
  <c r="AR23" i="16"/>
  <c r="AS23" i="16"/>
  <c r="AT23" i="16"/>
  <c r="AV23" i="16"/>
  <c r="AW23" i="16"/>
  <c r="BT23" i="16"/>
  <c r="BU23" i="16"/>
  <c r="BV23" i="16"/>
  <c r="BW23" i="16"/>
  <c r="BY23" i="16"/>
  <c r="BZ23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AQ24" i="16"/>
  <c r="AR24" i="16"/>
  <c r="AS24" i="16"/>
  <c r="AT24" i="16"/>
  <c r="AV24" i="16"/>
  <c r="AW24" i="16"/>
  <c r="BT24" i="16"/>
  <c r="BU24" i="16"/>
  <c r="BV24" i="16"/>
  <c r="BW24" i="16"/>
  <c r="BY24" i="16"/>
  <c r="BZ24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M9" i="17"/>
  <c r="AN9" i="17"/>
  <c r="AR9" i="17" s="1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U9" i="17" s="1"/>
  <c r="PK9" i="17"/>
  <c r="PL9" i="17"/>
  <c r="PM9" i="17"/>
  <c r="PN9" i="17"/>
  <c r="PO9" i="17"/>
  <c r="PP9" i="17"/>
  <c r="AM10" i="17"/>
  <c r="AN10" i="17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11" i="17"/>
  <c r="AN11" i="17"/>
  <c r="AO11" i="17"/>
  <c r="AP11" i="17"/>
  <c r="AQ11" i="17"/>
  <c r="BN11" i="17"/>
  <c r="BO11" i="17"/>
  <c r="BP11" i="17"/>
  <c r="BQ11" i="17"/>
  <c r="BR11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7"/>
  <c r="AN13" i="17"/>
  <c r="AO13" i="17"/>
  <c r="AP13" i="17"/>
  <c r="AQ13" i="17"/>
  <c r="BN13" i="17"/>
  <c r="BO13" i="17"/>
  <c r="BP13" i="17"/>
  <c r="BQ13" i="17"/>
  <c r="BR13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AM6" i="17"/>
  <c r="AN6" i="17"/>
  <c r="AO6" i="17"/>
  <c r="AP6" i="17"/>
  <c r="AQ6" i="17"/>
  <c r="BN6" i="17"/>
  <c r="BO6" i="17"/>
  <c r="BP6" i="17"/>
  <c r="BQ6" i="17"/>
  <c r="BR6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6" i="17"/>
  <c r="AN16" i="17"/>
  <c r="AO16" i="17"/>
  <c r="AP16" i="17"/>
  <c r="AQ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PP20" i="17"/>
  <c r="PO20" i="17"/>
  <c r="PN20" i="17"/>
  <c r="PM20" i="17"/>
  <c r="PL20" i="17"/>
  <c r="PK20" i="17"/>
  <c r="PJ20" i="17"/>
  <c r="PI20" i="17"/>
  <c r="PH20" i="17"/>
  <c r="PG20" i="17"/>
  <c r="PF20" i="17"/>
  <c r="PE20" i="17"/>
  <c r="PD20" i="17"/>
  <c r="PC20" i="17"/>
  <c r="PB20" i="17"/>
  <c r="PA20" i="17"/>
  <c r="OZ20" i="17"/>
  <c r="OY20" i="17"/>
  <c r="OX20" i="17"/>
  <c r="OW20" i="17"/>
  <c r="OU20" i="17"/>
  <c r="OT20" i="17"/>
  <c r="OS20" i="17"/>
  <c r="OR20" i="17"/>
  <c r="OQ20" i="17"/>
  <c r="CS20" i="17"/>
  <c r="CR20" i="17"/>
  <c r="CQ20" i="17"/>
  <c r="CP20" i="17"/>
  <c r="CO20" i="17"/>
  <c r="BR20" i="17"/>
  <c r="BQ20" i="17"/>
  <c r="BP20" i="17"/>
  <c r="BO20" i="17"/>
  <c r="BN20" i="17"/>
  <c r="AQ20" i="17"/>
  <c r="AP20" i="17"/>
  <c r="AO20" i="17"/>
  <c r="AN20" i="17"/>
  <c r="AM20" i="17"/>
  <c r="PP19" i="17"/>
  <c r="PO19" i="17"/>
  <c r="PN19" i="17"/>
  <c r="PM19" i="17"/>
  <c r="PL19" i="17"/>
  <c r="PK19" i="17"/>
  <c r="PJ19" i="17"/>
  <c r="PI19" i="17"/>
  <c r="PH19" i="17"/>
  <c r="PG19" i="17"/>
  <c r="PF19" i="17"/>
  <c r="PE19" i="17"/>
  <c r="PD19" i="17"/>
  <c r="PC19" i="17"/>
  <c r="PB19" i="17"/>
  <c r="PA19" i="17"/>
  <c r="OZ19" i="17"/>
  <c r="OY19" i="17"/>
  <c r="OX19" i="17"/>
  <c r="OW19" i="17"/>
  <c r="OU19" i="17"/>
  <c r="OT19" i="17"/>
  <c r="OS19" i="17"/>
  <c r="OR19" i="17"/>
  <c r="OQ19" i="17"/>
  <c r="CS19" i="17"/>
  <c r="CR19" i="17"/>
  <c r="CQ19" i="17"/>
  <c r="CP19" i="17"/>
  <c r="CO19" i="17"/>
  <c r="BR19" i="17"/>
  <c r="BQ19" i="17"/>
  <c r="BP19" i="17"/>
  <c r="BO19" i="17"/>
  <c r="BN19" i="17"/>
  <c r="AQ19" i="17"/>
  <c r="AP19" i="17"/>
  <c r="AO19" i="17"/>
  <c r="AN19" i="17"/>
  <c r="AM19" i="17"/>
  <c r="PP18" i="17"/>
  <c r="PO18" i="17"/>
  <c r="PN18" i="17"/>
  <c r="PM18" i="17"/>
  <c r="PL18" i="17"/>
  <c r="PK18" i="17"/>
  <c r="PJ18" i="17"/>
  <c r="PI18" i="17"/>
  <c r="PH18" i="17"/>
  <c r="PG18" i="17"/>
  <c r="PF18" i="17"/>
  <c r="PE18" i="17"/>
  <c r="PD18" i="17"/>
  <c r="PC18" i="17"/>
  <c r="PB18" i="17"/>
  <c r="PA18" i="17"/>
  <c r="OZ18" i="17"/>
  <c r="OY18" i="17"/>
  <c r="OX18" i="17"/>
  <c r="OW18" i="17"/>
  <c r="OU18" i="17"/>
  <c r="OT18" i="17"/>
  <c r="OS18" i="17"/>
  <c r="OR18" i="17"/>
  <c r="OQ18" i="17"/>
  <c r="CS18" i="17"/>
  <c r="CR18" i="17"/>
  <c r="CQ18" i="17"/>
  <c r="CP18" i="17"/>
  <c r="CO18" i="17"/>
  <c r="BR18" i="17"/>
  <c r="BQ18" i="17"/>
  <c r="BP18" i="17"/>
  <c r="BO18" i="17"/>
  <c r="BN18" i="17"/>
  <c r="AQ18" i="17"/>
  <c r="AP18" i="17"/>
  <c r="AO18" i="17"/>
  <c r="AN18" i="17"/>
  <c r="AM18" i="17"/>
  <c r="PP17" i="17"/>
  <c r="PO17" i="17"/>
  <c r="PN17" i="17"/>
  <c r="PM17" i="17"/>
  <c r="PL17" i="17"/>
  <c r="PK17" i="17"/>
  <c r="PJ17" i="17"/>
  <c r="PI17" i="17"/>
  <c r="PH17" i="17"/>
  <c r="PG17" i="17"/>
  <c r="PF17" i="17"/>
  <c r="PE17" i="17"/>
  <c r="PD17" i="17"/>
  <c r="PC17" i="17"/>
  <c r="PB17" i="17"/>
  <c r="PA17" i="17"/>
  <c r="OZ17" i="17"/>
  <c r="OY17" i="17"/>
  <c r="OX17" i="17"/>
  <c r="OW17" i="17"/>
  <c r="OU17" i="17"/>
  <c r="OT17" i="17"/>
  <c r="OS17" i="17"/>
  <c r="OR17" i="17"/>
  <c r="OQ17" i="17"/>
  <c r="CS17" i="17"/>
  <c r="CR17" i="17"/>
  <c r="CQ17" i="17"/>
  <c r="CP17" i="17"/>
  <c r="CO17" i="17"/>
  <c r="BR17" i="17"/>
  <c r="BQ17" i="17"/>
  <c r="BP17" i="17"/>
  <c r="BO17" i="17"/>
  <c r="BN17" i="17"/>
  <c r="AQ17" i="17"/>
  <c r="AP17" i="17"/>
  <c r="AO17" i="17"/>
  <c r="AN17" i="17"/>
  <c r="AM17" i="17"/>
  <c r="PP8" i="17"/>
  <c r="PO8" i="17"/>
  <c r="PN8" i="17"/>
  <c r="PM8" i="17"/>
  <c r="PL8" i="17"/>
  <c r="PK8" i="17"/>
  <c r="PJ8" i="17"/>
  <c r="PI8" i="17"/>
  <c r="PH8" i="17"/>
  <c r="PG8" i="17"/>
  <c r="PF8" i="17"/>
  <c r="PE8" i="17"/>
  <c r="PD8" i="17"/>
  <c r="PC8" i="17"/>
  <c r="PB8" i="17"/>
  <c r="PA8" i="17"/>
  <c r="OZ8" i="17"/>
  <c r="OY8" i="17"/>
  <c r="OX8" i="17"/>
  <c r="OW8" i="17"/>
  <c r="OU8" i="17"/>
  <c r="OT8" i="17"/>
  <c r="OS8" i="17"/>
  <c r="OR8" i="17"/>
  <c r="OQ8" i="17"/>
  <c r="CS8" i="17"/>
  <c r="CR8" i="17"/>
  <c r="CQ8" i="17"/>
  <c r="CP8" i="17"/>
  <c r="CO8" i="17"/>
  <c r="BR8" i="17"/>
  <c r="BQ8" i="17"/>
  <c r="BP8" i="17"/>
  <c r="BO8" i="17"/>
  <c r="BN8" i="17"/>
  <c r="AQ8" i="17"/>
  <c r="AP8" i="17"/>
  <c r="AO8" i="17"/>
  <c r="AN8" i="17"/>
  <c r="AM8" i="17"/>
  <c r="PP7" i="17"/>
  <c r="PO7" i="17"/>
  <c r="PN7" i="17"/>
  <c r="PM7" i="17"/>
  <c r="PL7" i="17"/>
  <c r="PK7" i="17"/>
  <c r="PJ7" i="17"/>
  <c r="PI7" i="17"/>
  <c r="PH7" i="17"/>
  <c r="PG7" i="17"/>
  <c r="PF7" i="17"/>
  <c r="PE7" i="17"/>
  <c r="PD7" i="17"/>
  <c r="PC7" i="17"/>
  <c r="PB7" i="17"/>
  <c r="PA7" i="17"/>
  <c r="OZ7" i="17"/>
  <c r="OY7" i="17"/>
  <c r="OX7" i="17"/>
  <c r="OW7" i="17"/>
  <c r="OU7" i="17"/>
  <c r="OT7" i="17"/>
  <c r="OS7" i="17"/>
  <c r="OR7" i="17"/>
  <c r="OQ7" i="17"/>
  <c r="CS7" i="17"/>
  <c r="CR7" i="17"/>
  <c r="CQ7" i="17"/>
  <c r="CP7" i="17"/>
  <c r="CO7" i="17"/>
  <c r="BR7" i="17"/>
  <c r="BQ7" i="17"/>
  <c r="BP7" i="17"/>
  <c r="BO7" i="17"/>
  <c r="BN7" i="17"/>
  <c r="AQ7" i="17"/>
  <c r="AP7" i="17"/>
  <c r="AO7" i="17"/>
  <c r="AN7" i="17"/>
  <c r="AM7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JV5" i="15" s="1"/>
  <c r="KQ5" i="15"/>
  <c r="KR5" i="15"/>
  <c r="KV5" i="15" s="1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AM6" i="15"/>
  <c r="AN6" i="15"/>
  <c r="AO6" i="15"/>
  <c r="AP6" i="15"/>
  <c r="AQ6" i="15"/>
  <c r="BN6" i="15"/>
  <c r="BO6" i="15"/>
  <c r="BP6" i="15"/>
  <c r="BQ6" i="15"/>
  <c r="BR6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AM7" i="15"/>
  <c r="AN7" i="15"/>
  <c r="AO7" i="15"/>
  <c r="AP7" i="15"/>
  <c r="AQ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8" i="15"/>
  <c r="AN8" i="15"/>
  <c r="AO8" i="15"/>
  <c r="AP8" i="15"/>
  <c r="AQ8" i="15"/>
  <c r="BN8" i="15"/>
  <c r="BO8" i="15"/>
  <c r="BP8" i="15"/>
  <c r="BQ8" i="15"/>
  <c r="BR8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0" i="15"/>
  <c r="AN10" i="15"/>
  <c r="AO10" i="15"/>
  <c r="AP10" i="15"/>
  <c r="AQ10" i="15"/>
  <c r="BN10" i="15"/>
  <c r="BO10" i="15"/>
  <c r="BP10" i="15"/>
  <c r="BQ10" i="15"/>
  <c r="BR10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AM11" i="15"/>
  <c r="AN11" i="15"/>
  <c r="AO11" i="15"/>
  <c r="AP11" i="15"/>
  <c r="AQ11" i="15"/>
  <c r="BN11" i="15"/>
  <c r="BO11" i="15"/>
  <c r="BP11" i="15"/>
  <c r="BQ11" i="15"/>
  <c r="BR11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QY10" i="16"/>
  <c r="QX10" i="16"/>
  <c r="QW10" i="16"/>
  <c r="QV10" i="16"/>
  <c r="QU10" i="16"/>
  <c r="QT10" i="16"/>
  <c r="QS10" i="16"/>
  <c r="QR10" i="16"/>
  <c r="QQ10" i="16"/>
  <c r="QP10" i="16"/>
  <c r="QO10" i="16"/>
  <c r="QN10" i="16"/>
  <c r="QM10" i="16"/>
  <c r="QL10" i="16"/>
  <c r="QK10" i="16"/>
  <c r="QJ10" i="16"/>
  <c r="QI10" i="16"/>
  <c r="QH10" i="16"/>
  <c r="QG10" i="16"/>
  <c r="QF10" i="16"/>
  <c r="QD10" i="16"/>
  <c r="QC10" i="16"/>
  <c r="QA10" i="16"/>
  <c r="PZ10" i="16"/>
  <c r="PY10" i="16"/>
  <c r="PX10" i="16"/>
  <c r="PB10" i="16"/>
  <c r="PA10" i="16"/>
  <c r="OY10" i="16"/>
  <c r="OX10" i="16"/>
  <c r="OW10" i="16"/>
  <c r="OV10" i="16"/>
  <c r="NZ10" i="16"/>
  <c r="NY10" i="16"/>
  <c r="NW10" i="16"/>
  <c r="NV10" i="16"/>
  <c r="NU10" i="16"/>
  <c r="NT10" i="16"/>
  <c r="MX10" i="16"/>
  <c r="MW10" i="16"/>
  <c r="MU10" i="16"/>
  <c r="MT10" i="16"/>
  <c r="MS10" i="16"/>
  <c r="MR10" i="16"/>
  <c r="LV10" i="16"/>
  <c r="LU10" i="16"/>
  <c r="LS10" i="16"/>
  <c r="LR10" i="16"/>
  <c r="LQ10" i="16"/>
  <c r="LP10" i="16"/>
  <c r="KT10" i="16"/>
  <c r="KS10" i="16"/>
  <c r="KQ10" i="16"/>
  <c r="KP10" i="16"/>
  <c r="KO10" i="16"/>
  <c r="KN10" i="16"/>
  <c r="JR10" i="16"/>
  <c r="JQ10" i="16"/>
  <c r="JO10" i="16"/>
  <c r="JN10" i="16"/>
  <c r="JM10" i="16"/>
  <c r="JL10" i="16"/>
  <c r="IP10" i="16"/>
  <c r="IO10" i="16"/>
  <c r="IM10" i="16"/>
  <c r="IL10" i="16"/>
  <c r="IK10" i="16"/>
  <c r="IJ10" i="16"/>
  <c r="HN10" i="16"/>
  <c r="HM10" i="16"/>
  <c r="HK10" i="16"/>
  <c r="HJ10" i="16"/>
  <c r="HI10" i="16"/>
  <c r="HH10" i="16"/>
  <c r="GL10" i="16"/>
  <c r="GK10" i="16"/>
  <c r="GI10" i="16"/>
  <c r="GH10" i="16"/>
  <c r="GG10" i="16"/>
  <c r="GF10" i="16"/>
  <c r="FJ10" i="16"/>
  <c r="FI10" i="16"/>
  <c r="FG10" i="16"/>
  <c r="FF10" i="16"/>
  <c r="FE10" i="16"/>
  <c r="FD10" i="16"/>
  <c r="EH10" i="16"/>
  <c r="EG10" i="16"/>
  <c r="EE10" i="16"/>
  <c r="ED10" i="16"/>
  <c r="EC10" i="16"/>
  <c r="EB10" i="16"/>
  <c r="DC10" i="16"/>
  <c r="DB10" i="16"/>
  <c r="CZ10" i="16"/>
  <c r="CY10" i="16"/>
  <c r="CX10" i="16"/>
  <c r="CW10" i="16"/>
  <c r="BZ10" i="16"/>
  <c r="BY10" i="16"/>
  <c r="BW10" i="16"/>
  <c r="BV10" i="16"/>
  <c r="BU10" i="16"/>
  <c r="BT10" i="16"/>
  <c r="AW10" i="16"/>
  <c r="AV10" i="16"/>
  <c r="AT10" i="16"/>
  <c r="AS10" i="16"/>
  <c r="AR10" i="16"/>
  <c r="AQ10" i="16"/>
  <c r="QY11" i="16"/>
  <c r="QX11" i="16"/>
  <c r="QW11" i="16"/>
  <c r="QV11" i="16"/>
  <c r="QU11" i="16"/>
  <c r="QT11" i="16"/>
  <c r="QS11" i="16"/>
  <c r="QR11" i="16"/>
  <c r="QQ11" i="16"/>
  <c r="QP11" i="16"/>
  <c r="QO11" i="16"/>
  <c r="QN11" i="16"/>
  <c r="QM11" i="16"/>
  <c r="QL11" i="16"/>
  <c r="QK11" i="16"/>
  <c r="QJ11" i="16"/>
  <c r="QI11" i="16"/>
  <c r="QH11" i="16"/>
  <c r="QG11" i="16"/>
  <c r="QF11" i="16"/>
  <c r="QD11" i="16"/>
  <c r="QC11" i="16"/>
  <c r="QA11" i="16"/>
  <c r="PZ11" i="16"/>
  <c r="PY11" i="16"/>
  <c r="PX11" i="16"/>
  <c r="PB11" i="16"/>
  <c r="PA11" i="16"/>
  <c r="OY11" i="16"/>
  <c r="OX11" i="16"/>
  <c r="OW11" i="16"/>
  <c r="OV11" i="16"/>
  <c r="NZ11" i="16"/>
  <c r="NY11" i="16"/>
  <c r="NW11" i="16"/>
  <c r="NV11" i="16"/>
  <c r="NU11" i="16"/>
  <c r="NT11" i="16"/>
  <c r="MX11" i="16"/>
  <c r="MW11" i="16"/>
  <c r="MU11" i="16"/>
  <c r="MT11" i="16"/>
  <c r="MS11" i="16"/>
  <c r="MR11" i="16"/>
  <c r="LV11" i="16"/>
  <c r="LU11" i="16"/>
  <c r="LS11" i="16"/>
  <c r="LR11" i="16"/>
  <c r="LQ11" i="16"/>
  <c r="LP11" i="16"/>
  <c r="KT11" i="16"/>
  <c r="KS11" i="16"/>
  <c r="KQ11" i="16"/>
  <c r="KP11" i="16"/>
  <c r="KO11" i="16"/>
  <c r="KN11" i="16"/>
  <c r="JR11" i="16"/>
  <c r="JQ11" i="16"/>
  <c r="JO11" i="16"/>
  <c r="JN11" i="16"/>
  <c r="JM11" i="16"/>
  <c r="JL11" i="16"/>
  <c r="IP11" i="16"/>
  <c r="IO11" i="16"/>
  <c r="IM11" i="16"/>
  <c r="IL11" i="16"/>
  <c r="IK11" i="16"/>
  <c r="IJ11" i="16"/>
  <c r="HN11" i="16"/>
  <c r="HM11" i="16"/>
  <c r="HK11" i="16"/>
  <c r="HJ11" i="16"/>
  <c r="HI11" i="16"/>
  <c r="HH11" i="16"/>
  <c r="GL11" i="16"/>
  <c r="GK11" i="16"/>
  <c r="GI11" i="16"/>
  <c r="GH11" i="16"/>
  <c r="GG11" i="16"/>
  <c r="GF11" i="16"/>
  <c r="FJ11" i="16"/>
  <c r="FI11" i="16"/>
  <c r="FG11" i="16"/>
  <c r="FF11" i="16"/>
  <c r="FE11" i="16"/>
  <c r="FD11" i="16"/>
  <c r="EH11" i="16"/>
  <c r="EG11" i="16"/>
  <c r="EE11" i="16"/>
  <c r="ED11" i="16"/>
  <c r="EC11" i="16"/>
  <c r="EB11" i="16"/>
  <c r="DC11" i="16"/>
  <c r="DB11" i="16"/>
  <c r="CZ11" i="16"/>
  <c r="CY11" i="16"/>
  <c r="CX11" i="16"/>
  <c r="CW11" i="16"/>
  <c r="BZ11" i="16"/>
  <c r="BY11" i="16"/>
  <c r="BW11" i="16"/>
  <c r="BV11" i="16"/>
  <c r="BU11" i="16"/>
  <c r="BT11" i="16"/>
  <c r="AW11" i="16"/>
  <c r="AV11" i="16"/>
  <c r="AT11" i="16"/>
  <c r="AS11" i="16"/>
  <c r="AR11" i="16"/>
  <c r="AQ11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BZ5" i="16"/>
  <c r="BY5" i="16"/>
  <c r="BW5" i="16"/>
  <c r="BV5" i="16"/>
  <c r="BU5" i="16"/>
  <c r="BT5" i="16"/>
  <c r="AW5" i="16"/>
  <c r="AV5" i="16"/>
  <c r="AT5" i="16"/>
  <c r="AS5" i="16"/>
  <c r="AR5" i="16"/>
  <c r="AQ5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BZ4" i="16"/>
  <c r="BY4" i="16"/>
  <c r="BW4" i="16"/>
  <c r="BV4" i="16"/>
  <c r="BU4" i="16"/>
  <c r="BT4" i="16"/>
  <c r="AW4" i="16"/>
  <c r="AV4" i="16"/>
  <c r="AT4" i="16"/>
  <c r="AS4" i="16"/>
  <c r="AR4" i="16"/>
  <c r="AQ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GJ21" i="18" l="1"/>
  <c r="NX21" i="18"/>
  <c r="OA17" i="18"/>
  <c r="QB14" i="18"/>
  <c r="KR13" i="18"/>
  <c r="RC21" i="18"/>
  <c r="GJ11" i="16"/>
  <c r="KR11" i="16"/>
  <c r="DD20" i="16"/>
  <c r="JS13" i="16"/>
  <c r="LT14" i="16"/>
  <c r="HL14" i="16"/>
  <c r="KR16" i="16"/>
  <c r="GJ16" i="16"/>
  <c r="HO13" i="16"/>
  <c r="Q6" i="16"/>
  <c r="MY13" i="16"/>
  <c r="EF14" i="16"/>
  <c r="NX13" i="16"/>
  <c r="KR13" i="16"/>
  <c r="OV15" i="17"/>
  <c r="BS13" i="17"/>
  <c r="PR11" i="15"/>
  <c r="OV7" i="15"/>
  <c r="GV7" i="15"/>
  <c r="MV5" i="15"/>
  <c r="OV10" i="15"/>
  <c r="JV9" i="15"/>
  <c r="KR18" i="18"/>
  <c r="IQ12" i="18"/>
  <c r="KU12" i="18"/>
  <c r="NX9" i="18"/>
  <c r="Q15" i="18"/>
  <c r="R15" i="18" s="1"/>
  <c r="MY15" i="18"/>
  <c r="DD18" i="18"/>
  <c r="FK18" i="18"/>
  <c r="JS18" i="18"/>
  <c r="QB9" i="18"/>
  <c r="GJ5" i="18"/>
  <c r="FH14" i="18"/>
  <c r="OA6" i="18"/>
  <c r="QE13" i="18"/>
  <c r="EI17" i="18"/>
  <c r="IQ17" i="18"/>
  <c r="OZ9" i="18"/>
  <c r="FH6" i="18"/>
  <c r="NX5" i="18"/>
  <c r="IN6" i="18"/>
  <c r="EF15" i="18"/>
  <c r="MV15" i="18"/>
  <c r="GJ16" i="18"/>
  <c r="KR16" i="18"/>
  <c r="OZ16" i="18"/>
  <c r="AU19" i="18"/>
  <c r="LT16" i="16"/>
  <c r="HL16" i="16"/>
  <c r="DA16" i="16"/>
  <c r="EF21" i="16"/>
  <c r="IN17" i="16"/>
  <c r="NX20" i="16"/>
  <c r="PC9" i="16"/>
  <c r="FK15" i="16"/>
  <c r="OZ20" i="16"/>
  <c r="MY20" i="16"/>
  <c r="MV15" i="16"/>
  <c r="NX14" i="16"/>
  <c r="JP14" i="16"/>
  <c r="GM20" i="16"/>
  <c r="LW9" i="16"/>
  <c r="KU15" i="16"/>
  <c r="GM15" i="16"/>
  <c r="QE24" i="16"/>
  <c r="OA24" i="16"/>
  <c r="JS24" i="16"/>
  <c r="FK24" i="16"/>
  <c r="DA21" i="16"/>
  <c r="JP10" i="16"/>
  <c r="DA19" i="16"/>
  <c r="OZ17" i="16"/>
  <c r="IN13" i="16"/>
  <c r="NX6" i="16"/>
  <c r="JP6" i="16"/>
  <c r="FH6" i="16"/>
  <c r="EF15" i="16"/>
  <c r="FH14" i="16"/>
  <c r="OZ13" i="16"/>
  <c r="BX7" i="16"/>
  <c r="HL17" i="16"/>
  <c r="QE26" i="16"/>
  <c r="LW26" i="16"/>
  <c r="HO26" i="16"/>
  <c r="AX26" i="16"/>
  <c r="RA24" i="16"/>
  <c r="KU24" i="16"/>
  <c r="GM24" i="16"/>
  <c r="PC7" i="16"/>
  <c r="KU7" i="16"/>
  <c r="GM7" i="16"/>
  <c r="QE17" i="16"/>
  <c r="LW17" i="16"/>
  <c r="EI18" i="16"/>
  <c r="OZ14" i="16"/>
  <c r="QB13" i="16"/>
  <c r="IQ13" i="16"/>
  <c r="LT24" i="16"/>
  <c r="HL24" i="16"/>
  <c r="NX9" i="16"/>
  <c r="JP9" i="16"/>
  <c r="IQ23" i="16"/>
  <c r="AX19" i="16"/>
  <c r="CA25" i="16"/>
  <c r="AX18" i="16"/>
  <c r="IQ21" i="16"/>
  <c r="BX15" i="16"/>
  <c r="OA14" i="16"/>
  <c r="JS14" i="16"/>
  <c r="FK14" i="16"/>
  <c r="GJ13" i="16"/>
  <c r="MV24" i="16"/>
  <c r="IN24" i="16"/>
  <c r="EF24" i="16"/>
  <c r="BX19" i="16"/>
  <c r="JP17" i="16"/>
  <c r="FH20" i="16"/>
  <c r="GJ9" i="16"/>
  <c r="AR16" i="17"/>
  <c r="M12" i="17"/>
  <c r="BS6" i="17"/>
  <c r="OV16" i="17"/>
  <c r="OV11" i="17"/>
  <c r="MV11" i="15"/>
  <c r="FV8" i="15"/>
  <c r="JV7" i="15"/>
  <c r="PU6" i="15"/>
  <c r="IV11" i="15"/>
  <c r="KV10" i="15"/>
  <c r="NV9" i="15"/>
  <c r="FV9" i="15"/>
  <c r="OV6" i="15"/>
  <c r="AR5" i="15"/>
  <c r="NV4" i="15"/>
  <c r="PT11" i="15"/>
  <c r="FV10" i="15"/>
  <c r="LV8" i="15"/>
  <c r="NV5" i="15"/>
  <c r="FV5" i="15"/>
  <c r="OZ5" i="18"/>
  <c r="JP6" i="18"/>
  <c r="GJ10" i="18"/>
  <c r="KR10" i="18"/>
  <c r="OZ10" i="18"/>
  <c r="JP12" i="18"/>
  <c r="IN14" i="18"/>
  <c r="HL13" i="18"/>
  <c r="M6" i="18"/>
  <c r="N6" i="18" s="1"/>
  <c r="I15" i="18"/>
  <c r="J15" i="18" s="1"/>
  <c r="HL14" i="18"/>
  <c r="OZ17" i="18"/>
  <c r="FH21" i="18"/>
  <c r="QE9" i="18"/>
  <c r="EI5" i="18"/>
  <c r="PC13" i="18"/>
  <c r="K15" i="18"/>
  <c r="L15" i="18" s="1"/>
  <c r="DD15" i="18"/>
  <c r="GM4" i="18"/>
  <c r="KU4" i="18"/>
  <c r="GM9" i="18"/>
  <c r="RA5" i="18"/>
  <c r="AU11" i="18"/>
  <c r="GJ14" i="18"/>
  <c r="MV18" i="18"/>
  <c r="IQ21" i="18"/>
  <c r="MY21" i="18"/>
  <c r="GJ4" i="18"/>
  <c r="KR4" i="18"/>
  <c r="PC9" i="18"/>
  <c r="OA13" i="18"/>
  <c r="CA15" i="18"/>
  <c r="Q19" i="18"/>
  <c r="FK19" i="18"/>
  <c r="JS19" i="18"/>
  <c r="OA19" i="18"/>
  <c r="PC8" i="18"/>
  <c r="FK9" i="18"/>
  <c r="JS9" i="18"/>
  <c r="OA9" i="18"/>
  <c r="QB5" i="18"/>
  <c r="AU7" i="18"/>
  <c r="HO14" i="18"/>
  <c r="NX14" i="18"/>
  <c r="QE14" i="18"/>
  <c r="EF13" i="18"/>
  <c r="BX16" i="18"/>
  <c r="O19" i="18"/>
  <c r="P19" i="18" s="1"/>
  <c r="OZ4" i="18"/>
  <c r="FH8" i="18"/>
  <c r="JP8" i="18"/>
  <c r="NX8" i="18"/>
  <c r="MV9" i="18"/>
  <c r="AX15" i="18"/>
  <c r="K18" i="18"/>
  <c r="O20" i="18"/>
  <c r="P20" i="18" s="1"/>
  <c r="EF21" i="18"/>
  <c r="NX4" i="18"/>
  <c r="EF8" i="18"/>
  <c r="HL9" i="18"/>
  <c r="LT9" i="18"/>
  <c r="MY13" i="18"/>
  <c r="QB13" i="18"/>
  <c r="AU18" i="18"/>
  <c r="JP18" i="18"/>
  <c r="DG19" i="18"/>
  <c r="Q11" i="18"/>
  <c r="LW13" i="18"/>
  <c r="OZ13" i="18"/>
  <c r="IQ15" i="18"/>
  <c r="EF18" i="18"/>
  <c r="IQ18" i="18"/>
  <c r="EF16" i="18"/>
  <c r="FK8" i="18"/>
  <c r="HL8" i="18"/>
  <c r="OA8" i="18"/>
  <c r="QB8" i="18"/>
  <c r="GJ9" i="18"/>
  <c r="KR9" i="18"/>
  <c r="JS12" i="18"/>
  <c r="IQ13" i="18"/>
  <c r="KU13" i="18"/>
  <c r="NX13" i="18"/>
  <c r="EI19" i="18"/>
  <c r="IQ19" i="18"/>
  <c r="MY19" i="18"/>
  <c r="RD19" i="18"/>
  <c r="RF19" i="18"/>
  <c r="Q20" i="18"/>
  <c r="DG20" i="18" s="1"/>
  <c r="PC6" i="18"/>
  <c r="FK7" i="18"/>
  <c r="JS7" i="18"/>
  <c r="OA7" i="18"/>
  <c r="DD10" i="18"/>
  <c r="MV13" i="18"/>
  <c r="AU15" i="18"/>
  <c r="HO15" i="18"/>
  <c r="I4" i="18"/>
  <c r="J4" i="18" s="1"/>
  <c r="HO4" i="18"/>
  <c r="LW4" i="18"/>
  <c r="MY8" i="18"/>
  <c r="OZ8" i="18"/>
  <c r="AU5" i="18"/>
  <c r="AU6" i="18"/>
  <c r="JP7" i="18"/>
  <c r="NX7" i="18"/>
  <c r="KR12" i="18"/>
  <c r="OZ12" i="18"/>
  <c r="OZ14" i="18"/>
  <c r="RD14" i="18"/>
  <c r="RF14" i="18"/>
  <c r="AU13" i="18"/>
  <c r="JS13" i="18"/>
  <c r="LT13" i="18"/>
  <c r="JS17" i="18"/>
  <c r="LT18" i="18"/>
  <c r="QE18" i="18"/>
  <c r="I19" i="18"/>
  <c r="J19" i="18" s="1"/>
  <c r="BX20" i="18"/>
  <c r="OZ21" i="18"/>
  <c r="AU25" i="16"/>
  <c r="PC20" i="16"/>
  <c r="HL20" i="16"/>
  <c r="BX20" i="16"/>
  <c r="AU21" i="16"/>
  <c r="LT15" i="16"/>
  <c r="HL15" i="16"/>
  <c r="LT13" i="16"/>
  <c r="LW24" i="16"/>
  <c r="HO24" i="16"/>
  <c r="KU23" i="16"/>
  <c r="FH16" i="16"/>
  <c r="Q16" i="16"/>
  <c r="DG16" i="16" s="1"/>
  <c r="QB9" i="16"/>
  <c r="DA15" i="16"/>
  <c r="EF13" i="16"/>
  <c r="Q19" i="16"/>
  <c r="R19" i="16" s="1"/>
  <c r="IN20" i="16"/>
  <c r="HL9" i="16"/>
  <c r="IN15" i="16"/>
  <c r="MV14" i="16"/>
  <c r="IN14" i="16"/>
  <c r="MV13" i="16"/>
  <c r="KU13" i="16"/>
  <c r="FH13" i="16"/>
  <c r="MY24" i="16"/>
  <c r="IQ24" i="16"/>
  <c r="EI24" i="16"/>
  <c r="JS23" i="16"/>
  <c r="EI20" i="16"/>
  <c r="LW21" i="16"/>
  <c r="HO21" i="16"/>
  <c r="QE14" i="16"/>
  <c r="NX24" i="16"/>
  <c r="JP24" i="16"/>
  <c r="FH24" i="16"/>
  <c r="HO20" i="16"/>
  <c r="LW18" i="16"/>
  <c r="FH18" i="16"/>
  <c r="MV21" i="16"/>
  <c r="MY9" i="16"/>
  <c r="EI9" i="16"/>
  <c r="NX15" i="16"/>
  <c r="JP15" i="16"/>
  <c r="FH15" i="16"/>
  <c r="LW14" i="16"/>
  <c r="HO14" i="16"/>
  <c r="O14" i="16"/>
  <c r="P14" i="16" s="1"/>
  <c r="HL13" i="16"/>
  <c r="EI13" i="16"/>
  <c r="RA6" i="16"/>
  <c r="EF6" i="16"/>
  <c r="HL10" i="16"/>
  <c r="QB10" i="16"/>
  <c r="KR24" i="16"/>
  <c r="GJ24" i="16"/>
  <c r="OA7" i="16"/>
  <c r="JS7" i="16"/>
  <c r="FK7" i="16"/>
  <c r="DD7" i="16"/>
  <c r="KR17" i="16"/>
  <c r="GM17" i="16"/>
  <c r="QB20" i="16"/>
  <c r="FH9" i="16"/>
  <c r="MY15" i="16"/>
  <c r="EI15" i="16"/>
  <c r="QB14" i="16"/>
  <c r="KR14" i="16"/>
  <c r="GJ14" i="16"/>
  <c r="JP13" i="16"/>
  <c r="GM13" i="16"/>
  <c r="M26" i="16"/>
  <c r="N26" i="16" s="1"/>
  <c r="FK17" i="16"/>
  <c r="CA22" i="16"/>
  <c r="PC24" i="16"/>
  <c r="BX24" i="16"/>
  <c r="LT23" i="16"/>
  <c r="GJ23" i="16"/>
  <c r="MV25" i="16"/>
  <c r="IN25" i="16"/>
  <c r="EF25" i="16"/>
  <c r="MY17" i="16"/>
  <c r="JP20" i="16"/>
  <c r="EF20" i="16"/>
  <c r="BX18" i="16"/>
  <c r="KU9" i="16"/>
  <c r="OZ15" i="16"/>
  <c r="PC14" i="16"/>
  <c r="GM14" i="16"/>
  <c r="M14" i="16"/>
  <c r="N14" i="16" s="1"/>
  <c r="O18" i="16"/>
  <c r="P18" i="16" s="1"/>
  <c r="MV26" i="16"/>
  <c r="IN26" i="16"/>
  <c r="EF26" i="16"/>
  <c r="MV19" i="16"/>
  <c r="NX25" i="16"/>
  <c r="JP25" i="16"/>
  <c r="FH25" i="16"/>
  <c r="Q25" i="16"/>
  <c r="BX25" i="16"/>
  <c r="OZ7" i="16"/>
  <c r="KR7" i="16"/>
  <c r="GJ7" i="16"/>
  <c r="AU7" i="16"/>
  <c r="QB17" i="16"/>
  <c r="OA17" i="16"/>
  <c r="HO17" i="16"/>
  <c r="KR20" i="16"/>
  <c r="IQ20" i="16"/>
  <c r="OZ21" i="16"/>
  <c r="CA21" i="16"/>
  <c r="GM9" i="16"/>
  <c r="BX9" i="16"/>
  <c r="KR15" i="16"/>
  <c r="GJ15" i="16"/>
  <c r="IQ14" i="16"/>
  <c r="JS21" i="16"/>
  <c r="QE15" i="16"/>
  <c r="OA15" i="16"/>
  <c r="RA14" i="16"/>
  <c r="QE13" i="16"/>
  <c r="PC13" i="16"/>
  <c r="OA13" i="16"/>
  <c r="LW13" i="16"/>
  <c r="NX26" i="16"/>
  <c r="JP26" i="16"/>
  <c r="FH26" i="16"/>
  <c r="OZ24" i="16"/>
  <c r="OZ25" i="16"/>
  <c r="HL7" i="16"/>
  <c r="PC17" i="16"/>
  <c r="LT20" i="16"/>
  <c r="GJ20" i="16"/>
  <c r="CA20" i="16"/>
  <c r="LT21" i="16"/>
  <c r="KR21" i="16"/>
  <c r="GJ21" i="16"/>
  <c r="OZ9" i="16"/>
  <c r="IN9" i="16"/>
  <c r="KU14" i="16"/>
  <c r="EI17" i="16"/>
  <c r="CA17" i="16"/>
  <c r="QE20" i="16"/>
  <c r="QE21" i="16"/>
  <c r="OZ26" i="16"/>
  <c r="MY26" i="16"/>
  <c r="KR26" i="16"/>
  <c r="IQ26" i="16"/>
  <c r="GJ26" i="16"/>
  <c r="EI26" i="16"/>
  <c r="BX26" i="16"/>
  <c r="QB24" i="16"/>
  <c r="OZ23" i="16"/>
  <c r="KR23" i="16"/>
  <c r="Q23" i="16"/>
  <c r="I23" i="16"/>
  <c r="CA19" i="16"/>
  <c r="QB25" i="16"/>
  <c r="LT25" i="16"/>
  <c r="HL25" i="16"/>
  <c r="EF7" i="16"/>
  <c r="GJ17" i="16"/>
  <c r="FK20" i="16"/>
  <c r="MY14" i="16"/>
  <c r="EI14" i="16"/>
  <c r="BS10" i="17"/>
  <c r="OV19" i="17"/>
  <c r="BS15" i="17"/>
  <c r="OV10" i="17"/>
  <c r="OV6" i="17"/>
  <c r="CT13" i="17"/>
  <c r="OV14" i="17"/>
  <c r="BS9" i="17"/>
  <c r="M16" i="17"/>
  <c r="BS16" i="17"/>
  <c r="OV13" i="17"/>
  <c r="PU10" i="17"/>
  <c r="PR10" i="17"/>
  <c r="BS12" i="17"/>
  <c r="M13" i="17"/>
  <c r="CV13" i="17" s="1"/>
  <c r="DV8" i="15"/>
  <c r="GV6" i="15"/>
  <c r="IV10" i="15"/>
  <c r="AR10" i="15"/>
  <c r="LV9" i="15"/>
  <c r="M8" i="15"/>
  <c r="EV6" i="15"/>
  <c r="IV5" i="15"/>
  <c r="BS9" i="15"/>
  <c r="MV8" i="15"/>
  <c r="FV7" i="15"/>
  <c r="EV7" i="15"/>
  <c r="HV6" i="15"/>
  <c r="HV7" i="15"/>
  <c r="KV6" i="15"/>
  <c r="CT6" i="15"/>
  <c r="CT11" i="15"/>
  <c r="MV10" i="15"/>
  <c r="EV10" i="15"/>
  <c r="KV7" i="15"/>
  <c r="GV5" i="15"/>
  <c r="NV11" i="15"/>
  <c r="LV11" i="15"/>
  <c r="KV11" i="15"/>
  <c r="DV11" i="15"/>
  <c r="NV10" i="15"/>
  <c r="MV9" i="15"/>
  <c r="EV9" i="15"/>
  <c r="EV8" i="15"/>
  <c r="NV7" i="15"/>
  <c r="BS6" i="15"/>
  <c r="HV9" i="15"/>
  <c r="HV8" i="15"/>
  <c r="BS7" i="15"/>
  <c r="PR5" i="15"/>
  <c r="CT9" i="15"/>
  <c r="KV8" i="15"/>
  <c r="HV5" i="15"/>
  <c r="JV10" i="15"/>
  <c r="GV10" i="15"/>
  <c r="AR9" i="15"/>
  <c r="PR8" i="15"/>
  <c r="IV8" i="15"/>
  <c r="NV6" i="15"/>
  <c r="FV6" i="15"/>
  <c r="DV9" i="15"/>
  <c r="IV6" i="15"/>
  <c r="EV11" i="15"/>
  <c r="GV9" i="15"/>
  <c r="GV8" i="15"/>
  <c r="LV6" i="15"/>
  <c r="DV10" i="15"/>
  <c r="PU9" i="15"/>
  <c r="IV9" i="15"/>
  <c r="JV8" i="15"/>
  <c r="MV6" i="15"/>
  <c r="FV11" i="15"/>
  <c r="PS8" i="15"/>
  <c r="K8" i="15"/>
  <c r="L8" i="15" s="1"/>
  <c r="CT7" i="15"/>
  <c r="M7" i="15"/>
  <c r="JV6" i="15"/>
  <c r="DV6" i="15"/>
  <c r="PV11" i="15"/>
  <c r="OV11" i="15"/>
  <c r="PU10" i="15"/>
  <c r="HV10" i="15"/>
  <c r="BS10" i="15"/>
  <c r="NV8" i="15"/>
  <c r="LV7" i="15"/>
  <c r="IV7" i="15"/>
  <c r="OV5" i="15"/>
  <c r="LV5" i="15"/>
  <c r="KV9" i="15"/>
  <c r="M6" i="15"/>
  <c r="N6" i="15" s="1"/>
  <c r="AR4" i="15"/>
  <c r="JV11" i="15"/>
  <c r="HV11" i="15"/>
  <c r="GV11" i="15"/>
  <c r="LV10" i="15"/>
  <c r="BS8" i="15"/>
  <c r="DV7" i="15"/>
  <c r="EV5" i="15"/>
  <c r="DV5" i="15"/>
  <c r="BS11" i="15"/>
  <c r="OV8" i="15"/>
  <c r="MV7" i="15"/>
  <c r="OV9" i="15"/>
  <c r="BS5" i="15"/>
  <c r="PS12" i="17"/>
  <c r="OV20" i="17"/>
  <c r="M11" i="17"/>
  <c r="N11" i="17" s="1"/>
  <c r="BS11" i="17"/>
  <c r="PR16" i="17"/>
  <c r="AR13" i="17"/>
  <c r="OV9" i="17"/>
  <c r="OV12" i="17"/>
  <c r="BS14" i="17"/>
  <c r="MV23" i="16"/>
  <c r="EF23" i="16"/>
  <c r="NX19" i="16"/>
  <c r="JP19" i="16"/>
  <c r="FH19" i="16"/>
  <c r="MV18" i="16"/>
  <c r="IN18" i="16"/>
  <c r="DA18" i="16"/>
  <c r="M21" i="16"/>
  <c r="N21" i="16" s="1"/>
  <c r="I15" i="16"/>
  <c r="NX23" i="16"/>
  <c r="FH23" i="16"/>
  <c r="KR25" i="16"/>
  <c r="GJ25" i="16"/>
  <c r="NX18" i="16"/>
  <c r="LW23" i="16"/>
  <c r="OZ19" i="16"/>
  <c r="KR19" i="16"/>
  <c r="GJ19" i="16"/>
  <c r="M25" i="16"/>
  <c r="N25" i="16" s="1"/>
  <c r="QB7" i="16"/>
  <c r="LT7" i="16"/>
  <c r="AU17" i="16"/>
  <c r="JS20" i="16"/>
  <c r="OZ18" i="16"/>
  <c r="JP18" i="16"/>
  <c r="EF18" i="16"/>
  <c r="CA18" i="16"/>
  <c r="KU21" i="16"/>
  <c r="OA9" i="16"/>
  <c r="FK9" i="16"/>
  <c r="HO15" i="16"/>
  <c r="M15" i="16"/>
  <c r="N15" i="16" s="1"/>
  <c r="QB26" i="16"/>
  <c r="OA26" i="16"/>
  <c r="LT26" i="16"/>
  <c r="JS26" i="16"/>
  <c r="HL26" i="16"/>
  <c r="FK26" i="16"/>
  <c r="O24" i="16"/>
  <c r="P24" i="16" s="1"/>
  <c r="QB23" i="16"/>
  <c r="MY23" i="16"/>
  <c r="HL23" i="16"/>
  <c r="EI23" i="16"/>
  <c r="QE7" i="16"/>
  <c r="LW7" i="16"/>
  <c r="HO7" i="16"/>
  <c r="KU20" i="16"/>
  <c r="M20" i="16"/>
  <c r="N20" i="16" s="1"/>
  <c r="MY18" i="16"/>
  <c r="I21" i="16"/>
  <c r="J21" i="16" s="1"/>
  <c r="IQ15" i="16"/>
  <c r="AX15" i="16"/>
  <c r="RD13" i="16"/>
  <c r="RA13" i="16"/>
  <c r="Q8" i="16"/>
  <c r="DG8" i="16" s="1"/>
  <c r="AU8" i="16"/>
  <c r="RF6" i="16"/>
  <c r="CA6" i="16"/>
  <c r="RD23" i="16"/>
  <c r="OA23" i="16"/>
  <c r="IN23" i="16"/>
  <c r="FK23" i="16"/>
  <c r="BX23" i="16"/>
  <c r="QB19" i="16"/>
  <c r="LT19" i="16"/>
  <c r="HL19" i="16"/>
  <c r="K19" i="16"/>
  <c r="MV7" i="16"/>
  <c r="IN7" i="16"/>
  <c r="RF17" i="16"/>
  <c r="LT17" i="16"/>
  <c r="IQ17" i="16"/>
  <c r="BX17" i="16"/>
  <c r="LW20" i="16"/>
  <c r="DA20" i="16"/>
  <c r="QB18" i="16"/>
  <c r="OA18" i="16"/>
  <c r="KR18" i="16"/>
  <c r="GJ18" i="16"/>
  <c r="Q18" i="16"/>
  <c r="R18" i="16" s="1"/>
  <c r="Q22" i="16"/>
  <c r="R22" i="16" s="1"/>
  <c r="BX22" i="16"/>
  <c r="QB21" i="16"/>
  <c r="MY21" i="16"/>
  <c r="HL21" i="16"/>
  <c r="EI21" i="16"/>
  <c r="QE9" i="16"/>
  <c r="KR9" i="16"/>
  <c r="HO9" i="16"/>
  <c r="QB15" i="16"/>
  <c r="JS15" i="16"/>
  <c r="RA26" i="16"/>
  <c r="PC26" i="16"/>
  <c r="KU26" i="16"/>
  <c r="GM26" i="16"/>
  <c r="CA26" i="16"/>
  <c r="PC23" i="16"/>
  <c r="JP23" i="16"/>
  <c r="GM23" i="16"/>
  <c r="MY7" i="16"/>
  <c r="IQ7" i="16"/>
  <c r="EI7" i="16"/>
  <c r="CA7" i="16"/>
  <c r="MV17" i="16"/>
  <c r="JS17" i="16"/>
  <c r="EF17" i="16"/>
  <c r="M17" i="16"/>
  <c r="N17" i="16" s="1"/>
  <c r="M18" i="16"/>
  <c r="N18" i="16" s="1"/>
  <c r="OA21" i="16"/>
  <c r="IN21" i="16"/>
  <c r="FK21" i="16"/>
  <c r="LT9" i="16"/>
  <c r="IQ9" i="16"/>
  <c r="I13" i="16"/>
  <c r="RF8" i="16"/>
  <c r="QE23" i="16"/>
  <c r="HO23" i="16"/>
  <c r="IN19" i="16"/>
  <c r="EF19" i="16"/>
  <c r="NX7" i="16"/>
  <c r="JP7" i="16"/>
  <c r="FH7" i="16"/>
  <c r="NX17" i="16"/>
  <c r="KU17" i="16"/>
  <c r="FH17" i="16"/>
  <c r="OA20" i="16"/>
  <c r="Q20" i="16"/>
  <c r="DG20" i="16" s="1"/>
  <c r="RA18" i="16"/>
  <c r="LT18" i="16"/>
  <c r="JS18" i="16"/>
  <c r="HL18" i="16"/>
  <c r="FK18" i="16"/>
  <c r="CA16" i="16"/>
  <c r="PC21" i="16"/>
  <c r="JP21" i="16"/>
  <c r="GM21" i="16"/>
  <c r="MV9" i="16"/>
  <c r="JS9" i="16"/>
  <c r="EF9" i="16"/>
  <c r="M9" i="16"/>
  <c r="N9" i="16" s="1"/>
  <c r="CA9" i="16"/>
  <c r="LW15" i="16"/>
  <c r="DD15" i="16"/>
  <c r="HL4" i="18"/>
  <c r="LT4" i="18"/>
  <c r="GM14" i="18"/>
  <c r="JP14" i="18"/>
  <c r="HL17" i="18"/>
  <c r="PC17" i="18"/>
  <c r="LW15" i="18"/>
  <c r="OZ15" i="18"/>
  <c r="IN16" i="18"/>
  <c r="MV16" i="18"/>
  <c r="BX4" i="18"/>
  <c r="GJ8" i="18"/>
  <c r="GJ7" i="18"/>
  <c r="KR7" i="18"/>
  <c r="OZ7" i="18"/>
  <c r="M14" i="18"/>
  <c r="N14" i="18" s="1"/>
  <c r="M17" i="18"/>
  <c r="N17" i="18" s="1"/>
  <c r="Q10" i="18"/>
  <c r="R10" i="18" s="1"/>
  <c r="HL10" i="18"/>
  <c r="LT10" i="18"/>
  <c r="QB10" i="18"/>
  <c r="BX12" i="18"/>
  <c r="GJ12" i="18"/>
  <c r="BX14" i="18"/>
  <c r="MV14" i="18"/>
  <c r="KR17" i="18"/>
  <c r="HL16" i="18"/>
  <c r="LT16" i="18"/>
  <c r="QB16" i="18"/>
  <c r="BX21" i="18"/>
  <c r="FK4" i="18"/>
  <c r="JS4" i="18"/>
  <c r="MY5" i="18"/>
  <c r="GM6" i="18"/>
  <c r="MY6" i="18"/>
  <c r="OZ6" i="18"/>
  <c r="O7" i="18"/>
  <c r="P7" i="18" s="1"/>
  <c r="FH7" i="18"/>
  <c r="DE15" i="18"/>
  <c r="PC18" i="18"/>
  <c r="LW21" i="18"/>
  <c r="FH4" i="18"/>
  <c r="JP4" i="18"/>
  <c r="LW8" i="18"/>
  <c r="IQ9" i="18"/>
  <c r="M5" i="18"/>
  <c r="N5" i="18" s="1"/>
  <c r="FK6" i="18"/>
  <c r="NX6" i="18"/>
  <c r="EI7" i="18"/>
  <c r="IQ7" i="18"/>
  <c r="MY7" i="18"/>
  <c r="RF7" i="18"/>
  <c r="JS14" i="18"/>
  <c r="LT14" i="18"/>
  <c r="PC14" i="18"/>
  <c r="AX17" i="18"/>
  <c r="JP17" i="18"/>
  <c r="KU15" i="18"/>
  <c r="MV21" i="18"/>
  <c r="PC21" i="18"/>
  <c r="CA4" i="18"/>
  <c r="EI4" i="18"/>
  <c r="IQ4" i="18"/>
  <c r="CA8" i="18"/>
  <c r="FH9" i="18"/>
  <c r="CA5" i="18"/>
  <c r="LW5" i="18"/>
  <c r="LW6" i="18"/>
  <c r="O11" i="18"/>
  <c r="P11" i="18" s="1"/>
  <c r="JS15" i="18"/>
  <c r="HO18" i="18"/>
  <c r="OA18" i="18"/>
  <c r="KU21" i="18"/>
  <c r="IN4" i="18"/>
  <c r="MV4" i="18"/>
  <c r="GM8" i="18"/>
  <c r="MV8" i="18"/>
  <c r="EF9" i="18"/>
  <c r="JP9" i="18"/>
  <c r="AX5" i="18"/>
  <c r="LT5" i="18"/>
  <c r="MV5" i="18"/>
  <c r="GJ6" i="18"/>
  <c r="DA7" i="18"/>
  <c r="QE12" i="18"/>
  <c r="EF14" i="18"/>
  <c r="IQ14" i="18"/>
  <c r="KR14" i="18"/>
  <c r="EF17" i="18"/>
  <c r="MV17" i="18"/>
  <c r="QE17" i="18"/>
  <c r="O15" i="18"/>
  <c r="P15" i="18" s="1"/>
  <c r="OA15" i="18"/>
  <c r="QB15" i="18"/>
  <c r="IN18" i="18"/>
  <c r="JP16" i="18"/>
  <c r="NX16" i="18"/>
  <c r="QB21" i="18"/>
  <c r="K5" i="18"/>
  <c r="L5" i="18" s="1"/>
  <c r="AX8" i="18"/>
  <c r="BX5" i="18"/>
  <c r="DA16" i="18"/>
  <c r="DA21" i="18"/>
  <c r="RD13" i="18"/>
  <c r="M15" i="18"/>
  <c r="N15" i="18" s="1"/>
  <c r="K8" i="18"/>
  <c r="L8" i="18" s="1"/>
  <c r="K19" i="18"/>
  <c r="DE19" i="18" s="1"/>
  <c r="S19" i="18" s="1"/>
  <c r="DD16" i="18"/>
  <c r="I7" i="18"/>
  <c r="J7" i="18" s="1"/>
  <c r="RC14" i="18"/>
  <c r="DA18" i="18"/>
  <c r="RA10" i="18"/>
  <c r="RF10" i="18"/>
  <c r="Q12" i="18"/>
  <c r="R12" i="18" s="1"/>
  <c r="DA12" i="18"/>
  <c r="RA13" i="18"/>
  <c r="DA8" i="18"/>
  <c r="RD18" i="18"/>
  <c r="EI8" i="18"/>
  <c r="EF4" i="18"/>
  <c r="FH5" i="18"/>
  <c r="F4" i="18"/>
  <c r="RC9" i="18"/>
  <c r="DA14" i="18"/>
  <c r="RA14" i="18"/>
  <c r="RG20" i="18"/>
  <c r="F13" i="18"/>
  <c r="G19" i="18"/>
  <c r="M8" i="18"/>
  <c r="N8" i="18" s="1"/>
  <c r="Q7" i="18"/>
  <c r="DG7" i="18" s="1"/>
  <c r="RC13" i="18"/>
  <c r="DA20" i="18"/>
  <c r="DD11" i="18"/>
  <c r="RD12" i="18"/>
  <c r="RF12" i="18"/>
  <c r="O17" i="18"/>
  <c r="P17" i="18" s="1"/>
  <c r="RB18" i="18"/>
  <c r="RG18" i="18"/>
  <c r="RA18" i="18"/>
  <c r="RA16" i="18"/>
  <c r="M21" i="18"/>
  <c r="N21" i="18" s="1"/>
  <c r="O9" i="18"/>
  <c r="P9" i="18" s="1"/>
  <c r="Q5" i="18"/>
  <c r="DG5" i="18" s="1"/>
  <c r="M12" i="18"/>
  <c r="N12" i="18" s="1"/>
  <c r="F15" i="18"/>
  <c r="RC15" i="18"/>
  <c r="K21" i="18"/>
  <c r="L21" i="18" s="1"/>
  <c r="RD21" i="18"/>
  <c r="RD4" i="18"/>
  <c r="RF9" i="18"/>
  <c r="DD5" i="18"/>
  <c r="RF6" i="18"/>
  <c r="O14" i="18"/>
  <c r="P14" i="18" s="1"/>
  <c r="O13" i="18"/>
  <c r="P13" i="18" s="1"/>
  <c r="RC17" i="18"/>
  <c r="I16" i="18"/>
  <c r="M19" i="18"/>
  <c r="N19" i="18" s="1"/>
  <c r="DA19" i="18"/>
  <c r="RC8" i="18"/>
  <c r="Q17" i="18"/>
  <c r="R17" i="18" s="1"/>
  <c r="DA17" i="18"/>
  <c r="RD17" i="18"/>
  <c r="O16" i="18"/>
  <c r="P16" i="18" s="1"/>
  <c r="K20" i="18"/>
  <c r="K9" i="18"/>
  <c r="RA9" i="18"/>
  <c r="RA6" i="18"/>
  <c r="K7" i="18"/>
  <c r="F9" i="18"/>
  <c r="AX4" i="18"/>
  <c r="I5" i="18"/>
  <c r="J5" i="18" s="1"/>
  <c r="RB4" i="18"/>
  <c r="HO8" i="18"/>
  <c r="KR8" i="18"/>
  <c r="QE8" i="18"/>
  <c r="EI9" i="18"/>
  <c r="RD9" i="18"/>
  <c r="Q14" i="18"/>
  <c r="R14" i="18" s="1"/>
  <c r="G14" i="18"/>
  <c r="I6" i="18"/>
  <c r="J6" i="18" s="1"/>
  <c r="BX6" i="18"/>
  <c r="K6" i="18"/>
  <c r="RD7" i="18"/>
  <c r="RA7" i="18"/>
  <c r="LT12" i="18"/>
  <c r="LW12" i="18"/>
  <c r="DA4" i="18"/>
  <c r="IN8" i="18"/>
  <c r="RD8" i="18"/>
  <c r="RA8" i="18"/>
  <c r="RB9" i="18"/>
  <c r="DE18" i="18"/>
  <c r="L18" i="18"/>
  <c r="F8" i="18"/>
  <c r="KU5" i="18"/>
  <c r="KR5" i="18"/>
  <c r="HO12" i="18"/>
  <c r="QE4" i="18"/>
  <c r="PC4" i="18"/>
  <c r="KU8" i="18"/>
  <c r="Q9" i="18"/>
  <c r="R9" i="18" s="1"/>
  <c r="DA9" i="18"/>
  <c r="DD9" i="18"/>
  <c r="HO9" i="18"/>
  <c r="F5" i="18"/>
  <c r="JS5" i="18"/>
  <c r="JP5" i="18"/>
  <c r="EI6" i="18"/>
  <c r="EF6" i="18"/>
  <c r="CA11" i="18"/>
  <c r="I11" i="18"/>
  <c r="BX11" i="18"/>
  <c r="K11" i="18"/>
  <c r="DE11" i="18" s="1"/>
  <c r="I10" i="18"/>
  <c r="DE21" i="18"/>
  <c r="M4" i="18"/>
  <c r="N4" i="18" s="1"/>
  <c r="G4" i="18"/>
  <c r="OA4" i="18"/>
  <c r="RG4" i="18"/>
  <c r="RA4" i="18"/>
  <c r="JS8" i="18"/>
  <c r="M9" i="18"/>
  <c r="N9" i="18" s="1"/>
  <c r="MY9" i="18"/>
  <c r="EF5" i="18"/>
  <c r="KU6" i="18"/>
  <c r="KR6" i="18"/>
  <c r="MY4" i="18"/>
  <c r="QB4" i="18"/>
  <c r="RF4" i="18"/>
  <c r="IQ8" i="18"/>
  <c r="LT8" i="18"/>
  <c r="RB8" i="18"/>
  <c r="BX9" i="18"/>
  <c r="CA9" i="18"/>
  <c r="IN9" i="18"/>
  <c r="O5" i="18"/>
  <c r="P5" i="18" s="1"/>
  <c r="DA5" i="18"/>
  <c r="IQ5" i="18"/>
  <c r="IN5" i="18"/>
  <c r="DA6" i="18"/>
  <c r="F6" i="18"/>
  <c r="CA6" i="18"/>
  <c r="RG6" i="18"/>
  <c r="KU14" i="18"/>
  <c r="RG14" i="18"/>
  <c r="EI13" i="18"/>
  <c r="PC15" i="18"/>
  <c r="M18" i="18"/>
  <c r="N18" i="18" s="1"/>
  <c r="AX20" i="18"/>
  <c r="CA20" i="18"/>
  <c r="DD20" i="18"/>
  <c r="RG11" i="18"/>
  <c r="EF10" i="18"/>
  <c r="IN10" i="18"/>
  <c r="MV10" i="18"/>
  <c r="FH12" i="18"/>
  <c r="NX12" i="18"/>
  <c r="RG12" i="18"/>
  <c r="GJ13" i="18"/>
  <c r="GJ17" i="18"/>
  <c r="LT17" i="18"/>
  <c r="BX18" i="18"/>
  <c r="GM16" i="18"/>
  <c r="HO16" i="18"/>
  <c r="IQ16" i="18"/>
  <c r="JS16" i="18"/>
  <c r="KU16" i="18"/>
  <c r="LW16" i="18"/>
  <c r="MY16" i="18"/>
  <c r="OA16" i="18"/>
  <c r="PC16" i="18"/>
  <c r="QE16" i="18"/>
  <c r="DG11" i="18"/>
  <c r="RB10" i="18"/>
  <c r="RC10" i="18"/>
  <c r="EF12" i="18"/>
  <c r="MV12" i="18"/>
  <c r="RB14" i="18"/>
  <c r="FH13" i="18"/>
  <c r="FH17" i="18"/>
  <c r="G15" i="18"/>
  <c r="RB20" i="18"/>
  <c r="RH20" i="18" s="1"/>
  <c r="RC20" i="18"/>
  <c r="O21" i="18"/>
  <c r="P21" i="18" s="1"/>
  <c r="LT21" i="18"/>
  <c r="HO5" i="18"/>
  <c r="QE5" i="18"/>
  <c r="RC5" i="18"/>
  <c r="JS6" i="18"/>
  <c r="MV6" i="18"/>
  <c r="DD7" i="18"/>
  <c r="EF7" i="18"/>
  <c r="IN7" i="18"/>
  <c r="MV7" i="18"/>
  <c r="DA10" i="18"/>
  <c r="O12" i="18"/>
  <c r="P12" i="18" s="1"/>
  <c r="G13" i="18"/>
  <c r="Q13" i="18"/>
  <c r="R13" i="18" s="1"/>
  <c r="F17" i="18"/>
  <c r="MY17" i="18"/>
  <c r="IN15" i="18"/>
  <c r="CA18" i="18"/>
  <c r="EI18" i="18"/>
  <c r="HL18" i="18"/>
  <c r="MY18" i="18"/>
  <c r="QB18" i="18"/>
  <c r="RF18" i="18"/>
  <c r="K16" i="18"/>
  <c r="F16" i="18"/>
  <c r="CA16" i="18"/>
  <c r="FK16" i="18"/>
  <c r="RB16" i="18"/>
  <c r="RC16" i="18"/>
  <c r="R19" i="18"/>
  <c r="DD19" i="18"/>
  <c r="RB19" i="18"/>
  <c r="RC19" i="18"/>
  <c r="RG19" i="18"/>
  <c r="HO21" i="18"/>
  <c r="KR21" i="18"/>
  <c r="RG8" i="18"/>
  <c r="LW9" i="18"/>
  <c r="GM5" i="18"/>
  <c r="PC5" i="18"/>
  <c r="O6" i="18"/>
  <c r="P6" i="18" s="1"/>
  <c r="IQ6" i="18"/>
  <c r="LT6" i="18"/>
  <c r="RD6" i="18"/>
  <c r="F7" i="18"/>
  <c r="CA7" i="18"/>
  <c r="HO7" i="18"/>
  <c r="LW7" i="18"/>
  <c r="QE7" i="18"/>
  <c r="RG7" i="18"/>
  <c r="M11" i="18"/>
  <c r="N11" i="18" s="1"/>
  <c r="DA11" i="18"/>
  <c r="CA10" i="18"/>
  <c r="GM12" i="18"/>
  <c r="PC12" i="18"/>
  <c r="RB12" i="18"/>
  <c r="RC12" i="18"/>
  <c r="FK14" i="18"/>
  <c r="OA14" i="18"/>
  <c r="M13" i="18"/>
  <c r="N13" i="18" s="1"/>
  <c r="AX13" i="18"/>
  <c r="DD13" i="18"/>
  <c r="HO13" i="18"/>
  <c r="RF13" i="18"/>
  <c r="HO17" i="18"/>
  <c r="QB17" i="18"/>
  <c r="HL15" i="18"/>
  <c r="RF15" i="18"/>
  <c r="I18" i="18"/>
  <c r="J18" i="18" s="1"/>
  <c r="GJ18" i="18"/>
  <c r="LW18" i="18"/>
  <c r="OZ18" i="18"/>
  <c r="M16" i="18"/>
  <c r="N16" i="18" s="1"/>
  <c r="Q16" i="18"/>
  <c r="EI16" i="18"/>
  <c r="F19" i="18"/>
  <c r="CA19" i="18"/>
  <c r="HO19" i="18"/>
  <c r="LW19" i="18"/>
  <c r="QE19" i="18"/>
  <c r="AU20" i="18"/>
  <c r="I21" i="18"/>
  <c r="J21" i="18" s="1"/>
  <c r="AU21" i="18"/>
  <c r="DD21" i="18"/>
  <c r="GM21" i="18"/>
  <c r="JP21" i="18"/>
  <c r="RC4" i="18"/>
  <c r="G8" i="18"/>
  <c r="RF8" i="18"/>
  <c r="KU9" i="18"/>
  <c r="FK5" i="18"/>
  <c r="OA5" i="18"/>
  <c r="RB5" i="18"/>
  <c r="RH5" i="18" s="1"/>
  <c r="RG5" i="18"/>
  <c r="HO6" i="18"/>
  <c r="QE6" i="18"/>
  <c r="G7" i="18"/>
  <c r="HL7" i="18"/>
  <c r="LT7" i="18"/>
  <c r="QB7" i="18"/>
  <c r="F10" i="18"/>
  <c r="BX10" i="18"/>
  <c r="FK12" i="18"/>
  <c r="IN12" i="18"/>
  <c r="OA12" i="18"/>
  <c r="RA12" i="18"/>
  <c r="F14" i="18"/>
  <c r="EI14" i="18"/>
  <c r="MY14" i="18"/>
  <c r="GM13" i="18"/>
  <c r="JP13" i="18"/>
  <c r="GM17" i="18"/>
  <c r="LW17" i="18"/>
  <c r="NX17" i="18"/>
  <c r="RB15" i="18"/>
  <c r="FH18" i="18"/>
  <c r="KU18" i="18"/>
  <c r="NX18" i="18"/>
  <c r="AX19" i="18"/>
  <c r="I20" i="18"/>
  <c r="CA21" i="18"/>
  <c r="FK21" i="18"/>
  <c r="IN21" i="18"/>
  <c r="OA21" i="18"/>
  <c r="RB21" i="18"/>
  <c r="RG21" i="18"/>
  <c r="RA21" i="18"/>
  <c r="RF5" i="18"/>
  <c r="DD6" i="18"/>
  <c r="GM7" i="18"/>
  <c r="KU7" i="18"/>
  <c r="PC7" i="18"/>
  <c r="AX10" i="18"/>
  <c r="FH10" i="18"/>
  <c r="JP10" i="18"/>
  <c r="NX10" i="18"/>
  <c r="RG10" i="18"/>
  <c r="K12" i="18"/>
  <c r="DE12" i="18" s="1"/>
  <c r="EI12" i="18"/>
  <c r="HL12" i="18"/>
  <c r="MY12" i="18"/>
  <c r="QB12" i="18"/>
  <c r="K14" i="18"/>
  <c r="DE14" i="18" s="1"/>
  <c r="LW14" i="18"/>
  <c r="FK13" i="18"/>
  <c r="IN13" i="18"/>
  <c r="BX17" i="18"/>
  <c r="FK17" i="18"/>
  <c r="IN17" i="18"/>
  <c r="KU17" i="18"/>
  <c r="RA17" i="18"/>
  <c r="RG17" i="18"/>
  <c r="QE15" i="18"/>
  <c r="RC18" i="18"/>
  <c r="RE18" i="18" s="1"/>
  <c r="RD16" i="18"/>
  <c r="RF16" i="18"/>
  <c r="GM19" i="18"/>
  <c r="KU19" i="18"/>
  <c r="PC19" i="18"/>
  <c r="EI21" i="18"/>
  <c r="HL21" i="18"/>
  <c r="RF21" i="18"/>
  <c r="L9" i="18"/>
  <c r="DE9" i="18"/>
  <c r="EF11" i="18"/>
  <c r="EI11" i="18"/>
  <c r="IN11" i="18"/>
  <c r="IQ11" i="18"/>
  <c r="MV11" i="18"/>
  <c r="MY11" i="18"/>
  <c r="RA11" i="18"/>
  <c r="RD11" i="18"/>
  <c r="O4" i="18"/>
  <c r="P4" i="18" s="1"/>
  <c r="O8" i="18"/>
  <c r="P8" i="18" s="1"/>
  <c r="G9" i="18"/>
  <c r="AX9" i="18"/>
  <c r="G6" i="18"/>
  <c r="AX6" i="18"/>
  <c r="Q6" i="18"/>
  <c r="R11" i="18"/>
  <c r="RB11" i="18"/>
  <c r="RC11" i="18"/>
  <c r="DD4" i="18"/>
  <c r="DD8" i="18"/>
  <c r="F11" i="18"/>
  <c r="HL11" i="18"/>
  <c r="HO11" i="18"/>
  <c r="LT11" i="18"/>
  <c r="LW11" i="18"/>
  <c r="QB11" i="18"/>
  <c r="QE11" i="18"/>
  <c r="M10" i="18"/>
  <c r="N10" i="18" s="1"/>
  <c r="AU10" i="18"/>
  <c r="O10" i="18"/>
  <c r="P10" i="18" s="1"/>
  <c r="Q4" i="18"/>
  <c r="Q8" i="18"/>
  <c r="DE8" i="18"/>
  <c r="G11" i="18"/>
  <c r="RF11" i="18"/>
  <c r="AU9" i="18"/>
  <c r="I9" i="18"/>
  <c r="GJ11" i="18"/>
  <c r="GM11" i="18"/>
  <c r="KR11" i="18"/>
  <c r="KU11" i="18"/>
  <c r="OZ11" i="18"/>
  <c r="PC11" i="18"/>
  <c r="DE7" i="18"/>
  <c r="L7" i="18"/>
  <c r="J11" i="18"/>
  <c r="BX8" i="18"/>
  <c r="RG9" i="18"/>
  <c r="G5" i="18"/>
  <c r="RD5" i="18"/>
  <c r="RB6" i="18"/>
  <c r="RC6" i="18"/>
  <c r="FH11" i="18"/>
  <c r="FK11" i="18"/>
  <c r="JP11" i="18"/>
  <c r="JS11" i="18"/>
  <c r="NX11" i="18"/>
  <c r="OA11" i="18"/>
  <c r="K4" i="18"/>
  <c r="AU4" i="18"/>
  <c r="AU8" i="18"/>
  <c r="I8" i="18"/>
  <c r="RB7" i="18"/>
  <c r="RC7" i="18"/>
  <c r="G10" i="18"/>
  <c r="F12" i="18"/>
  <c r="AX12" i="18"/>
  <c r="CA12" i="18"/>
  <c r="DD12" i="18"/>
  <c r="K13" i="18"/>
  <c r="DD17" i="18"/>
  <c r="R20" i="18"/>
  <c r="FK20" i="18"/>
  <c r="FH20" i="18"/>
  <c r="JS20" i="18"/>
  <c r="JP20" i="18"/>
  <c r="OA20" i="18"/>
  <c r="NX20" i="18"/>
  <c r="DG10" i="18"/>
  <c r="EI10" i="18"/>
  <c r="FK10" i="18"/>
  <c r="GM10" i="18"/>
  <c r="HO10" i="18"/>
  <c r="IQ10" i="18"/>
  <c r="JS10" i="18"/>
  <c r="KU10" i="18"/>
  <c r="LW10" i="18"/>
  <c r="MY10" i="18"/>
  <c r="OA10" i="18"/>
  <c r="PC10" i="18"/>
  <c r="QE10" i="18"/>
  <c r="RD10" i="18"/>
  <c r="G12" i="18"/>
  <c r="AX14" i="18"/>
  <c r="CA14" i="18"/>
  <c r="DD14" i="18"/>
  <c r="CA17" i="18"/>
  <c r="DE16" i="18"/>
  <c r="L16" i="18"/>
  <c r="F20" i="18"/>
  <c r="Q18" i="18"/>
  <c r="G18" i="18"/>
  <c r="AX18" i="18"/>
  <c r="F18" i="18"/>
  <c r="EI20" i="18"/>
  <c r="G20" i="18"/>
  <c r="EF20" i="18"/>
  <c r="IQ20" i="18"/>
  <c r="IN20" i="18"/>
  <c r="MY20" i="18"/>
  <c r="MV20" i="18"/>
  <c r="RD20" i="18"/>
  <c r="RA20" i="18"/>
  <c r="R16" i="18"/>
  <c r="DG16" i="18"/>
  <c r="RH19" i="18"/>
  <c r="J10" i="18"/>
  <c r="I12" i="18"/>
  <c r="CA13" i="18"/>
  <c r="G17" i="18"/>
  <c r="GM15" i="18"/>
  <c r="RG16" i="18"/>
  <c r="RH16" i="18" s="1"/>
  <c r="HO20" i="18"/>
  <c r="HL20" i="18"/>
  <c r="LW20" i="18"/>
  <c r="LT20" i="18"/>
  <c r="QE20" i="18"/>
  <c r="QB20" i="18"/>
  <c r="M7" i="18"/>
  <c r="N7" i="18" s="1"/>
  <c r="AX7" i="18"/>
  <c r="L11" i="18"/>
  <c r="K10" i="18"/>
  <c r="AU12" i="18"/>
  <c r="I14" i="18"/>
  <c r="RB13" i="18"/>
  <c r="K17" i="18"/>
  <c r="AU17" i="18"/>
  <c r="I17" i="18"/>
  <c r="RB17" i="18"/>
  <c r="FK15" i="18"/>
  <c r="RG15" i="18"/>
  <c r="RF20" i="18"/>
  <c r="AX11" i="18"/>
  <c r="AU14" i="18"/>
  <c r="I13" i="18"/>
  <c r="DA13" i="18"/>
  <c r="EI15" i="18"/>
  <c r="RA15" i="18"/>
  <c r="RD15" i="18"/>
  <c r="J16" i="18"/>
  <c r="J20" i="18"/>
  <c r="GM20" i="18"/>
  <c r="GJ20" i="18"/>
  <c r="KU20" i="18"/>
  <c r="KR20" i="18"/>
  <c r="PC20" i="18"/>
  <c r="OZ20" i="18"/>
  <c r="BX13" i="18"/>
  <c r="RG13" i="18"/>
  <c r="DE20" i="18"/>
  <c r="Q21" i="18"/>
  <c r="G21" i="18"/>
  <c r="AX21" i="18"/>
  <c r="F21" i="18"/>
  <c r="AX16" i="18"/>
  <c r="EF19" i="18"/>
  <c r="FH19" i="18"/>
  <c r="GJ19" i="18"/>
  <c r="HL19" i="18"/>
  <c r="IN19" i="18"/>
  <c r="JP19" i="18"/>
  <c r="KR19" i="18"/>
  <c r="LT19" i="18"/>
  <c r="MV19" i="18"/>
  <c r="NX19" i="18"/>
  <c r="OZ19" i="18"/>
  <c r="QB19" i="18"/>
  <c r="RA19" i="18"/>
  <c r="RF17" i="18"/>
  <c r="O18" i="18"/>
  <c r="P18" i="18" s="1"/>
  <c r="G16" i="18"/>
  <c r="L20" i="18"/>
  <c r="M20" i="18"/>
  <c r="N20" i="18" s="1"/>
  <c r="RD7" i="16"/>
  <c r="RC13" i="16"/>
  <c r="DA6" i="16"/>
  <c r="RC19" i="16"/>
  <c r="M7" i="16"/>
  <c r="N7" i="16" s="1"/>
  <c r="DA9" i="16"/>
  <c r="RD21" i="16"/>
  <c r="M23" i="16"/>
  <c r="N23" i="16" s="1"/>
  <c r="DA7" i="16"/>
  <c r="RG19" i="16"/>
  <c r="RF21" i="16"/>
  <c r="RF14" i="16"/>
  <c r="RF13" i="16"/>
  <c r="RF24" i="16"/>
  <c r="DD26" i="16"/>
  <c r="RF20" i="16"/>
  <c r="RF22" i="16"/>
  <c r="F26" i="16"/>
  <c r="K26" i="16"/>
  <c r="RC15" i="16"/>
  <c r="RC26" i="16"/>
  <c r="RG24" i="16"/>
  <c r="RB20" i="16"/>
  <c r="RG16" i="16"/>
  <c r="DD9" i="16"/>
  <c r="RD14" i="16"/>
  <c r="DA8" i="16"/>
  <c r="Q24" i="16"/>
  <c r="RC23" i="16"/>
  <c r="I19" i="16"/>
  <c r="J19" i="16" s="1"/>
  <c r="RG25" i="16"/>
  <c r="RC9" i="16"/>
  <c r="O9" i="16"/>
  <c r="P9" i="16" s="1"/>
  <c r="RC14" i="16"/>
  <c r="Q14" i="16"/>
  <c r="R14" i="16" s="1"/>
  <c r="Q26" i="16"/>
  <c r="DG26" i="16" s="1"/>
  <c r="RA23" i="16"/>
  <c r="DD25" i="16"/>
  <c r="O25" i="16"/>
  <c r="P25" i="16" s="1"/>
  <c r="RG6" i="16"/>
  <c r="M6" i="16"/>
  <c r="N6" i="16" s="1"/>
  <c r="RD24" i="16"/>
  <c r="RC25" i="16"/>
  <c r="RB25" i="16"/>
  <c r="DD17" i="16"/>
  <c r="RD20" i="16"/>
  <c r="O20" i="16"/>
  <c r="P20" i="16" s="1"/>
  <c r="DD22" i="16"/>
  <c r="RC16" i="16"/>
  <c r="DD16" i="16"/>
  <c r="RC24" i="16"/>
  <c r="DA23" i="16"/>
  <c r="RF25" i="16"/>
  <c r="RA25" i="16"/>
  <c r="CA15" i="16"/>
  <c r="BX16" i="16"/>
  <c r="BX6" i="16"/>
  <c r="I16" i="16"/>
  <c r="J16" i="16" s="1"/>
  <c r="DG25" i="16"/>
  <c r="R25" i="16"/>
  <c r="DG6" i="16"/>
  <c r="R6" i="16"/>
  <c r="R23" i="16"/>
  <c r="DG23" i="16"/>
  <c r="I22" i="16"/>
  <c r="DA26" i="16"/>
  <c r="O26" i="16"/>
  <c r="P26" i="16" s="1"/>
  <c r="DA24" i="16"/>
  <c r="I18" i="16"/>
  <c r="J18" i="16" s="1"/>
  <c r="RG14" i="16"/>
  <c r="F19" i="16"/>
  <c r="RC17" i="16"/>
  <c r="RB17" i="16"/>
  <c r="O17" i="16"/>
  <c r="P17" i="16" s="1"/>
  <c r="RG22" i="16"/>
  <c r="RC22" i="16"/>
  <c r="RB16" i="16"/>
  <c r="RH16" i="16" s="1"/>
  <c r="G9" i="16"/>
  <c r="O15" i="16"/>
  <c r="P15" i="16" s="1"/>
  <c r="I8" i="16"/>
  <c r="J8" i="16" s="1"/>
  <c r="RB26" i="16"/>
  <c r="M24" i="16"/>
  <c r="N24" i="16" s="1"/>
  <c r="RB23" i="16"/>
  <c r="I25" i="16"/>
  <c r="J25" i="16" s="1"/>
  <c r="RF7" i="16"/>
  <c r="DA17" i="16"/>
  <c r="RG20" i="16"/>
  <c r="RH20" i="16" s="1"/>
  <c r="G20" i="16"/>
  <c r="RF18" i="16"/>
  <c r="RF16" i="16"/>
  <c r="K21" i="16"/>
  <c r="F9" i="16"/>
  <c r="RB15" i="16"/>
  <c r="K6" i="16"/>
  <c r="DE6" i="16" s="1"/>
  <c r="S6" i="16" s="1"/>
  <c r="Q15" i="16"/>
  <c r="RF26" i="16"/>
  <c r="RD26" i="16"/>
  <c r="I24" i="16"/>
  <c r="J24" i="16" s="1"/>
  <c r="DA25" i="16"/>
  <c r="RA7" i="16"/>
  <c r="DA22" i="16"/>
  <c r="K22" i="16"/>
  <c r="L22" i="16" s="1"/>
  <c r="RA21" i="16"/>
  <c r="RG21" i="16"/>
  <c r="RF9" i="16"/>
  <c r="RA9" i="16"/>
  <c r="RF15" i="16"/>
  <c r="RD15" i="16"/>
  <c r="DA13" i="16"/>
  <c r="Q13" i="16"/>
  <c r="RG26" i="16"/>
  <c r="RB24" i="16"/>
  <c r="RB19" i="16"/>
  <c r="RH19" i="16" s="1"/>
  <c r="K25" i="16"/>
  <c r="DE25" i="16" s="1"/>
  <c r="RG7" i="16"/>
  <c r="RC20" i="16"/>
  <c r="RE20" i="16" s="1"/>
  <c r="DD18" i="16"/>
  <c r="DD21" i="16"/>
  <c r="RG15" i="16"/>
  <c r="I26" i="16"/>
  <c r="J26" i="16" s="1"/>
  <c r="RF23" i="16"/>
  <c r="RF19" i="16"/>
  <c r="RA19" i="16"/>
  <c r="RC7" i="16"/>
  <c r="RE7" i="16" s="1"/>
  <c r="RB7" i="16"/>
  <c r="RA17" i="16"/>
  <c r="RG17" i="16"/>
  <c r="RG18" i="16"/>
  <c r="RC18" i="16"/>
  <c r="RB18" i="16"/>
  <c r="M16" i="16"/>
  <c r="N16" i="16" s="1"/>
  <c r="RC21" i="16"/>
  <c r="RB21" i="16"/>
  <c r="Q9" i="16"/>
  <c r="DG9" i="16" s="1"/>
  <c r="RB14" i="16"/>
  <c r="M8" i="16"/>
  <c r="N8" i="16" s="1"/>
  <c r="RC6" i="16"/>
  <c r="RB6" i="16"/>
  <c r="RH6" i="16" s="1"/>
  <c r="DD6" i="16"/>
  <c r="AX9" i="16"/>
  <c r="F24" i="16"/>
  <c r="F20" i="16"/>
  <c r="F6" i="16"/>
  <c r="K7" i="16"/>
  <c r="L7" i="16" s="1"/>
  <c r="AX20" i="16"/>
  <c r="K16" i="16"/>
  <c r="L16" i="16" s="1"/>
  <c r="K9" i="16"/>
  <c r="AU15" i="16"/>
  <c r="K15" i="16"/>
  <c r="F14" i="16"/>
  <c r="AU19" i="16"/>
  <c r="AX7" i="16"/>
  <c r="AX17" i="16"/>
  <c r="AU16" i="16"/>
  <c r="AU9" i="16"/>
  <c r="I9" i="16"/>
  <c r="J9" i="16" s="1"/>
  <c r="F7" i="16"/>
  <c r="I7" i="16"/>
  <c r="J7" i="16" s="1"/>
  <c r="F17" i="16"/>
  <c r="K17" i="16"/>
  <c r="I17" i="16"/>
  <c r="J17" i="16" s="1"/>
  <c r="AU20" i="16"/>
  <c r="AU6" i="16"/>
  <c r="I6" i="16"/>
  <c r="J6" i="16" s="1"/>
  <c r="R26" i="16"/>
  <c r="L19" i="16"/>
  <c r="DE19" i="16"/>
  <c r="RH25" i="16"/>
  <c r="RE25" i="16"/>
  <c r="R24" i="16"/>
  <c r="DG24" i="16"/>
  <c r="J23" i="16"/>
  <c r="G24" i="16"/>
  <c r="O23" i="16"/>
  <c r="P23" i="16" s="1"/>
  <c r="RA20" i="16"/>
  <c r="OZ22" i="16"/>
  <c r="PC22" i="16"/>
  <c r="KR22" i="16"/>
  <c r="KU22" i="16"/>
  <c r="GJ22" i="16"/>
  <c r="GM22" i="16"/>
  <c r="M22" i="16"/>
  <c r="N22" i="16" s="1"/>
  <c r="O22" i="16"/>
  <c r="P22" i="16" s="1"/>
  <c r="NX16" i="16"/>
  <c r="JP16" i="16"/>
  <c r="J15" i="16"/>
  <c r="BX14" i="16"/>
  <c r="CA14" i="16"/>
  <c r="QB8" i="16"/>
  <c r="QE8" i="16"/>
  <c r="LT8" i="16"/>
  <c r="LW8" i="16"/>
  <c r="HL8" i="16"/>
  <c r="HO8" i="16"/>
  <c r="OZ6" i="16"/>
  <c r="KR6" i="16"/>
  <c r="GJ6" i="16"/>
  <c r="DA11" i="16"/>
  <c r="IQ10" i="16"/>
  <c r="KR10" i="16"/>
  <c r="RA10" i="16"/>
  <c r="RF10" i="16"/>
  <c r="DD24" i="16"/>
  <c r="CA24" i="16"/>
  <c r="AX24" i="16"/>
  <c r="G23" i="16"/>
  <c r="RD19" i="16"/>
  <c r="QE19" i="16"/>
  <c r="PC19" i="16"/>
  <c r="OA19" i="16"/>
  <c r="MY19" i="16"/>
  <c r="LW19" i="16"/>
  <c r="KU19" i="16"/>
  <c r="JS19" i="16"/>
  <c r="IQ19" i="16"/>
  <c r="HO19" i="16"/>
  <c r="GM19" i="16"/>
  <c r="FK19" i="16"/>
  <c r="EI19" i="16"/>
  <c r="DG19" i="16"/>
  <c r="O19" i="16"/>
  <c r="P19" i="16" s="1"/>
  <c r="Q7" i="16"/>
  <c r="I20" i="16"/>
  <c r="PC18" i="16"/>
  <c r="GM18" i="16"/>
  <c r="G21" i="16"/>
  <c r="RB9" i="16"/>
  <c r="RG9" i="16"/>
  <c r="PC15" i="16"/>
  <c r="F15" i="16"/>
  <c r="DD23" i="16"/>
  <c r="CA23" i="16"/>
  <c r="AX23" i="16"/>
  <c r="F23" i="16"/>
  <c r="G19" i="16"/>
  <c r="RD25" i="16"/>
  <c r="QE25" i="16"/>
  <c r="PC25" i="16"/>
  <c r="OA25" i="16"/>
  <c r="MY25" i="16"/>
  <c r="LW25" i="16"/>
  <c r="KU25" i="16"/>
  <c r="JS25" i="16"/>
  <c r="IQ25" i="16"/>
  <c r="HO25" i="16"/>
  <c r="GM25" i="16"/>
  <c r="FK25" i="16"/>
  <c r="EI25" i="16"/>
  <c r="Q17" i="16"/>
  <c r="QE18" i="16"/>
  <c r="HO18" i="16"/>
  <c r="QB22" i="16"/>
  <c r="QE22" i="16"/>
  <c r="LT22" i="16"/>
  <c r="LW22" i="16"/>
  <c r="HL22" i="16"/>
  <c r="HO22" i="16"/>
  <c r="F22" i="16"/>
  <c r="OZ16" i="16"/>
  <c r="PC16" i="16"/>
  <c r="DA14" i="16"/>
  <c r="DD14" i="16"/>
  <c r="M13" i="16"/>
  <c r="N13" i="16" s="1"/>
  <c r="O13" i="16"/>
  <c r="P13" i="16" s="1"/>
  <c r="RA8" i="16"/>
  <c r="RD8" i="16"/>
  <c r="MV8" i="16"/>
  <c r="MY8" i="16"/>
  <c r="IN8" i="16"/>
  <c r="IQ8" i="16"/>
  <c r="EF8" i="16"/>
  <c r="EI8" i="16"/>
  <c r="G26" i="16"/>
  <c r="RH21" i="16"/>
  <c r="AU26" i="16"/>
  <c r="K24" i="16"/>
  <c r="DD19" i="16"/>
  <c r="M19" i="16"/>
  <c r="N19" i="16" s="1"/>
  <c r="G25" i="16"/>
  <c r="O7" i="16"/>
  <c r="P7" i="16" s="1"/>
  <c r="RD18" i="16"/>
  <c r="IQ18" i="16"/>
  <c r="AU18" i="16"/>
  <c r="K18" i="16"/>
  <c r="G18" i="16"/>
  <c r="RB22" i="16"/>
  <c r="F16" i="16"/>
  <c r="DG15" i="16"/>
  <c r="R15" i="16"/>
  <c r="J13" i="16"/>
  <c r="RC8" i="16"/>
  <c r="RB8" i="16"/>
  <c r="AU24" i="16"/>
  <c r="K23" i="16"/>
  <c r="AX25" i="16"/>
  <c r="F25" i="16"/>
  <c r="DE7" i="16"/>
  <c r="G7" i="16"/>
  <c r="H7" i="16" s="1"/>
  <c r="RD17" i="16"/>
  <c r="RA22" i="16"/>
  <c r="RD22" i="16"/>
  <c r="MV22" i="16"/>
  <c r="MY22" i="16"/>
  <c r="IN22" i="16"/>
  <c r="IQ22" i="16"/>
  <c r="EF22" i="16"/>
  <c r="EI22" i="16"/>
  <c r="DG22" i="16"/>
  <c r="QB16" i="16"/>
  <c r="QE16" i="16"/>
  <c r="AX21" i="16"/>
  <c r="Q21" i="16"/>
  <c r="RD9" i="16"/>
  <c r="RB13" i="16"/>
  <c r="F13" i="16"/>
  <c r="NX8" i="16"/>
  <c r="OA8" i="16"/>
  <c r="JP8" i="16"/>
  <c r="JS8" i="16"/>
  <c r="FH8" i="16"/>
  <c r="FK8" i="16"/>
  <c r="R13" i="16"/>
  <c r="DG13" i="16"/>
  <c r="RG23" i="16"/>
  <c r="RH23" i="16" s="1"/>
  <c r="AU23" i="16"/>
  <c r="G17" i="16"/>
  <c r="K20" i="16"/>
  <c r="KU18" i="16"/>
  <c r="F18" i="16"/>
  <c r="RE16" i="16"/>
  <c r="F21" i="16"/>
  <c r="DG14" i="16"/>
  <c r="BX13" i="16"/>
  <c r="NX22" i="16"/>
  <c r="OA22" i="16"/>
  <c r="JP22" i="16"/>
  <c r="JS22" i="16"/>
  <c r="FH22" i="16"/>
  <c r="FK22" i="16"/>
  <c r="AU22" i="16"/>
  <c r="J22" i="16"/>
  <c r="RA16" i="16"/>
  <c r="RD16" i="16"/>
  <c r="MV16" i="16"/>
  <c r="IN16" i="16"/>
  <c r="G15" i="16"/>
  <c r="RH14" i="16"/>
  <c r="I14" i="16"/>
  <c r="AU14" i="16"/>
  <c r="K14" i="16"/>
  <c r="AX14" i="16"/>
  <c r="G14" i="16"/>
  <c r="H14" i="16" s="1"/>
  <c r="RG13" i="16"/>
  <c r="RG8" i="16"/>
  <c r="OZ8" i="16"/>
  <c r="PC8" i="16"/>
  <c r="KR8" i="16"/>
  <c r="KU8" i="16"/>
  <c r="GJ8" i="16"/>
  <c r="GM8" i="16"/>
  <c r="R8" i="16"/>
  <c r="RA15" i="16"/>
  <c r="G13" i="16"/>
  <c r="O8" i="16"/>
  <c r="P8" i="16" s="1"/>
  <c r="DD13" i="16"/>
  <c r="CA13" i="16"/>
  <c r="AX13" i="16"/>
  <c r="G8" i="16"/>
  <c r="RD6" i="16"/>
  <c r="QE6" i="16"/>
  <c r="PC6" i="16"/>
  <c r="OA6" i="16"/>
  <c r="MY6" i="16"/>
  <c r="LW6" i="16"/>
  <c r="KU6" i="16"/>
  <c r="JS6" i="16"/>
  <c r="IQ6" i="16"/>
  <c r="HO6" i="16"/>
  <c r="GM6" i="16"/>
  <c r="FK6" i="16"/>
  <c r="EI6" i="16"/>
  <c r="O6" i="16"/>
  <c r="P6" i="16" s="1"/>
  <c r="G22" i="16"/>
  <c r="OA16" i="16"/>
  <c r="MY16" i="16"/>
  <c r="LW16" i="16"/>
  <c r="KU16" i="16"/>
  <c r="JS16" i="16"/>
  <c r="IQ16" i="16"/>
  <c r="HO16" i="16"/>
  <c r="GM16" i="16"/>
  <c r="FK16" i="16"/>
  <c r="EI16" i="16"/>
  <c r="O16" i="16"/>
  <c r="P16" i="16" s="1"/>
  <c r="DD8" i="16"/>
  <c r="CA8" i="16"/>
  <c r="AX8" i="16"/>
  <c r="F8" i="16"/>
  <c r="G6" i="16"/>
  <c r="H6" i="16" s="1"/>
  <c r="AX22" i="16"/>
  <c r="G16" i="16"/>
  <c r="O21" i="16"/>
  <c r="P21" i="16" s="1"/>
  <c r="K13" i="16"/>
  <c r="AX6" i="16"/>
  <c r="AX16" i="16"/>
  <c r="AU13" i="16"/>
  <c r="K8" i="16"/>
  <c r="AU11" i="16"/>
  <c r="NX5" i="16"/>
  <c r="O11" i="16"/>
  <c r="P11" i="16" s="1"/>
  <c r="OZ10" i="16"/>
  <c r="CA11" i="16"/>
  <c r="IQ11" i="16"/>
  <c r="MY11" i="16"/>
  <c r="DA4" i="16"/>
  <c r="GM4" i="16"/>
  <c r="KU4" i="16"/>
  <c r="PC4" i="16"/>
  <c r="JS5" i="16"/>
  <c r="K4" i="16"/>
  <c r="DE4" i="16" s="1"/>
  <c r="OA11" i="16"/>
  <c r="MV5" i="16"/>
  <c r="FH5" i="16"/>
  <c r="GJ10" i="16"/>
  <c r="M11" i="16"/>
  <c r="N11" i="16" s="1"/>
  <c r="BX11" i="16"/>
  <c r="FK11" i="16"/>
  <c r="JS11" i="16"/>
  <c r="HO10" i="16"/>
  <c r="DA5" i="16"/>
  <c r="LT5" i="16"/>
  <c r="EF10" i="16"/>
  <c r="HO4" i="16"/>
  <c r="LW4" i="16"/>
  <c r="QE4" i="16"/>
  <c r="CA5" i="16"/>
  <c r="KU5" i="16"/>
  <c r="IN10" i="16"/>
  <c r="MV10" i="16"/>
  <c r="K5" i="16"/>
  <c r="L5" i="16" s="1"/>
  <c r="I4" i="16"/>
  <c r="J4" i="16" s="1"/>
  <c r="I5" i="16"/>
  <c r="J5" i="16" s="1"/>
  <c r="FH10" i="16"/>
  <c r="Q11" i="16"/>
  <c r="DG11" i="16" s="1"/>
  <c r="DD11" i="16"/>
  <c r="GM10" i="16"/>
  <c r="NX10" i="16"/>
  <c r="DD4" i="16"/>
  <c r="IQ5" i="16"/>
  <c r="PC11" i="16"/>
  <c r="RA11" i="16"/>
  <c r="RF11" i="16"/>
  <c r="DD10" i="16"/>
  <c r="FK10" i="16"/>
  <c r="QE10" i="16"/>
  <c r="AU4" i="16"/>
  <c r="Q5" i="16"/>
  <c r="R5" i="16" s="1"/>
  <c r="AX11" i="16"/>
  <c r="HL11" i="16"/>
  <c r="PC10" i="16"/>
  <c r="RC10" i="16"/>
  <c r="RD5" i="16"/>
  <c r="RF5" i="16"/>
  <c r="QB11" i="16"/>
  <c r="JS10" i="16"/>
  <c r="LT10" i="16"/>
  <c r="OA10" i="16"/>
  <c r="RG4" i="16"/>
  <c r="DD5" i="16"/>
  <c r="EI11" i="16"/>
  <c r="LT11" i="16"/>
  <c r="RB10" i="16"/>
  <c r="O4" i="16"/>
  <c r="P4" i="16" s="1"/>
  <c r="BX4" i="16"/>
  <c r="HO5" i="16"/>
  <c r="KR5" i="16"/>
  <c r="QE5" i="16"/>
  <c r="RB5" i="16"/>
  <c r="RC5" i="16"/>
  <c r="RD11" i="16"/>
  <c r="RD10" i="16"/>
  <c r="JS4" i="16"/>
  <c r="OA4" i="16"/>
  <c r="BX5" i="16"/>
  <c r="GM5" i="16"/>
  <c r="JP5" i="16"/>
  <c r="PC5" i="16"/>
  <c r="F11" i="16"/>
  <c r="OZ11" i="16"/>
  <c r="O10" i="16"/>
  <c r="P10" i="16" s="1"/>
  <c r="RB11" i="16"/>
  <c r="EI10" i="16"/>
  <c r="MY10" i="16"/>
  <c r="FK4" i="16"/>
  <c r="G5" i="16"/>
  <c r="IN5" i="16"/>
  <c r="G11" i="16"/>
  <c r="AX4" i="16"/>
  <c r="EI4" i="16"/>
  <c r="IQ4" i="16"/>
  <c r="MY4" i="16"/>
  <c r="RD4" i="16"/>
  <c r="RF4" i="16"/>
  <c r="M5" i="16"/>
  <c r="N5" i="16" s="1"/>
  <c r="HL5" i="16"/>
  <c r="MY5" i="16"/>
  <c r="QB5" i="16"/>
  <c r="I11" i="16"/>
  <c r="J11" i="16" s="1"/>
  <c r="GM11" i="16"/>
  <c r="IN11" i="16"/>
  <c r="LW10" i="16"/>
  <c r="CA4" i="16"/>
  <c r="FK5" i="16"/>
  <c r="OA5" i="16"/>
  <c r="RG5" i="16"/>
  <c r="RA5" i="16"/>
  <c r="M4" i="16"/>
  <c r="N4" i="16" s="1"/>
  <c r="Q4" i="16"/>
  <c r="DG4" i="16" s="1"/>
  <c r="RB4" i="16"/>
  <c r="RC4" i="16"/>
  <c r="EF5" i="16"/>
  <c r="GJ5" i="16"/>
  <c r="LW5" i="16"/>
  <c r="OZ5" i="16"/>
  <c r="K11" i="16"/>
  <c r="L11" i="16" s="1"/>
  <c r="RC11" i="16"/>
  <c r="CA10" i="16"/>
  <c r="KU10" i="16"/>
  <c r="PT14" i="17"/>
  <c r="CT16" i="17"/>
  <c r="PV13" i="17"/>
  <c r="PU11" i="17"/>
  <c r="PU14" i="17"/>
  <c r="PT16" i="17"/>
  <c r="PV10" i="17"/>
  <c r="PS10" i="17"/>
  <c r="M6" i="17"/>
  <c r="PS13" i="17"/>
  <c r="PV6" i="17"/>
  <c r="CT6" i="17"/>
  <c r="F6" i="17"/>
  <c r="PT10" i="17"/>
  <c r="G10" i="17"/>
  <c r="I15" i="17"/>
  <c r="J15" i="17" s="1"/>
  <c r="PS14" i="17"/>
  <c r="CT11" i="17"/>
  <c r="CT10" i="17"/>
  <c r="PR14" i="17"/>
  <c r="CT14" i="17"/>
  <c r="PV16" i="17"/>
  <c r="PU15" i="17"/>
  <c r="PT15" i="17"/>
  <c r="PR15" i="17"/>
  <c r="PR9" i="17"/>
  <c r="F14" i="17"/>
  <c r="G11" i="17"/>
  <c r="F12" i="17"/>
  <c r="PT13" i="17"/>
  <c r="CT12" i="17"/>
  <c r="F11" i="17"/>
  <c r="PS16" i="17"/>
  <c r="PV14" i="17"/>
  <c r="K6" i="17"/>
  <c r="CU6" i="17" s="1"/>
  <c r="PU16" i="17"/>
  <c r="PT6" i="17"/>
  <c r="PS6" i="17"/>
  <c r="PT11" i="17"/>
  <c r="PS11" i="17"/>
  <c r="I11" i="17"/>
  <c r="J11" i="17" s="1"/>
  <c r="CT9" i="17"/>
  <c r="M9" i="17"/>
  <c r="N9" i="17" s="1"/>
  <c r="PU6" i="17"/>
  <c r="PR6" i="17"/>
  <c r="PU13" i="17"/>
  <c r="PR13" i="17"/>
  <c r="PU12" i="17"/>
  <c r="PR12" i="17"/>
  <c r="PR11" i="17"/>
  <c r="PV9" i="17"/>
  <c r="K16" i="17"/>
  <c r="L16" i="17" s="1"/>
  <c r="PS15" i="17"/>
  <c r="M15" i="17"/>
  <c r="N15" i="17" s="1"/>
  <c r="PV12" i="17"/>
  <c r="PW12" i="17" s="1"/>
  <c r="CT15" i="17"/>
  <c r="PV11" i="17"/>
  <c r="PT9" i="17"/>
  <c r="PS9" i="17"/>
  <c r="PW9" i="17" s="1"/>
  <c r="K9" i="17"/>
  <c r="L9" i="17" s="1"/>
  <c r="M14" i="17"/>
  <c r="CV14" i="17" s="1"/>
  <c r="G14" i="17"/>
  <c r="PT12" i="17"/>
  <c r="G12" i="17"/>
  <c r="F9" i="17"/>
  <c r="AR15" i="17"/>
  <c r="F16" i="17"/>
  <c r="F15" i="17"/>
  <c r="PW10" i="17"/>
  <c r="CV12" i="17"/>
  <c r="N12" i="17"/>
  <c r="CU16" i="17"/>
  <c r="CV15" i="17"/>
  <c r="CV16" i="17"/>
  <c r="N16" i="17"/>
  <c r="CV6" i="17"/>
  <c r="N6" i="17"/>
  <c r="I6" i="17"/>
  <c r="G13" i="17"/>
  <c r="K12" i="17"/>
  <c r="M10" i="17"/>
  <c r="F10" i="17"/>
  <c r="I16" i="17"/>
  <c r="PV15" i="17"/>
  <c r="G15" i="17"/>
  <c r="K14" i="17"/>
  <c r="F13" i="17"/>
  <c r="AR11" i="17"/>
  <c r="I9" i="17"/>
  <c r="AR6" i="17"/>
  <c r="I12" i="17"/>
  <c r="K10" i="17"/>
  <c r="PV20" i="17"/>
  <c r="I14" i="17"/>
  <c r="G6" i="17"/>
  <c r="K13" i="17"/>
  <c r="PU20" i="17"/>
  <c r="G16" i="17"/>
  <c r="K15" i="17"/>
  <c r="AR12" i="17"/>
  <c r="I10" i="17"/>
  <c r="G9" i="17"/>
  <c r="CT5" i="17"/>
  <c r="PU19" i="17"/>
  <c r="AR14" i="17"/>
  <c r="I13" i="17"/>
  <c r="K11" i="17"/>
  <c r="AR10" i="17"/>
  <c r="CT20" i="17"/>
  <c r="OV4" i="17"/>
  <c r="PR7" i="17"/>
  <c r="PT4" i="17"/>
  <c r="BS19" i="17"/>
  <c r="PU17" i="17"/>
  <c r="AR17" i="17"/>
  <c r="CT19" i="17"/>
  <c r="OV8" i="17"/>
  <c r="BS5" i="17"/>
  <c r="CT8" i="17"/>
  <c r="PT8" i="17"/>
  <c r="M17" i="17"/>
  <c r="N17" i="17" s="1"/>
  <c r="PS4" i="17"/>
  <c r="PR5" i="17"/>
  <c r="PU5" i="17"/>
  <c r="PS7" i="17"/>
  <c r="PT7" i="17"/>
  <c r="PR8" i="17"/>
  <c r="AR19" i="17"/>
  <c r="PT5" i="17"/>
  <c r="I7" i="17"/>
  <c r="J7" i="17" s="1"/>
  <c r="CT18" i="17"/>
  <c r="PR18" i="17"/>
  <c r="BS4" i="17"/>
  <c r="CT4" i="17"/>
  <c r="M20" i="17"/>
  <c r="N20" i="17" s="1"/>
  <c r="OV5" i="17"/>
  <c r="BS8" i="17"/>
  <c r="OV17" i="17"/>
  <c r="PT18" i="17"/>
  <c r="AR7" i="17"/>
  <c r="I18" i="17"/>
  <c r="J18" i="17" s="1"/>
  <c r="OV18" i="17"/>
  <c r="F19" i="17"/>
  <c r="BS18" i="17"/>
  <c r="PS5" i="17"/>
  <c r="I8" i="17"/>
  <c r="J8" i="17" s="1"/>
  <c r="K18" i="17"/>
  <c r="CU18" i="17" s="1"/>
  <c r="G17" i="17"/>
  <c r="AR20" i="17"/>
  <c r="I4" i="17"/>
  <c r="J4" i="17" s="1"/>
  <c r="M4" i="17"/>
  <c r="CV4" i="17" s="1"/>
  <c r="M5" i="17"/>
  <c r="N5" i="17" s="1"/>
  <c r="PS18" i="17"/>
  <c r="PV18" i="17"/>
  <c r="PS19" i="17"/>
  <c r="I20" i="17"/>
  <c r="J20" i="17" s="1"/>
  <c r="G20" i="17"/>
  <c r="OV7" i="17"/>
  <c r="PV7" i="17"/>
  <c r="PV8" i="17"/>
  <c r="PU8" i="17"/>
  <c r="BS17" i="17"/>
  <c r="PV17" i="17"/>
  <c r="PU18" i="17"/>
  <c r="PV19" i="17"/>
  <c r="F20" i="17"/>
  <c r="PR20" i="17"/>
  <c r="PV4" i="17"/>
  <c r="CT7" i="17"/>
  <c r="PU7" i="17"/>
  <c r="K8" i="17"/>
  <c r="L8" i="17" s="1"/>
  <c r="PS8" i="17"/>
  <c r="PR17" i="17"/>
  <c r="M18" i="17"/>
  <c r="N18" i="17" s="1"/>
  <c r="M19" i="17"/>
  <c r="CV19" i="17" s="1"/>
  <c r="PT19" i="17"/>
  <c r="PS20" i="17"/>
  <c r="PT20" i="17"/>
  <c r="PR4" i="17"/>
  <c r="PU4" i="17"/>
  <c r="PV5" i="17"/>
  <c r="M7" i="17"/>
  <c r="N7" i="17" s="1"/>
  <c r="PS17" i="17"/>
  <c r="PT17" i="17"/>
  <c r="PR19" i="17"/>
  <c r="AR5" i="17"/>
  <c r="F8" i="17"/>
  <c r="M8" i="17"/>
  <c r="G19" i="17"/>
  <c r="F4" i="17"/>
  <c r="K7" i="17"/>
  <c r="G8" i="17"/>
  <c r="I17" i="17"/>
  <c r="G4" i="17"/>
  <c r="I5" i="17"/>
  <c r="AR8" i="17"/>
  <c r="F18" i="17"/>
  <c r="K20" i="17"/>
  <c r="AR4" i="17"/>
  <c r="F7" i="17"/>
  <c r="BS7" i="17"/>
  <c r="K17" i="17"/>
  <c r="CT17" i="17"/>
  <c r="G18" i="17"/>
  <c r="I19" i="17"/>
  <c r="K4" i="17"/>
  <c r="K5" i="17"/>
  <c r="G7" i="17"/>
  <c r="AR18" i="17"/>
  <c r="BS20" i="17"/>
  <c r="G5" i="17"/>
  <c r="F17" i="17"/>
  <c r="K19" i="17"/>
  <c r="F5" i="17"/>
  <c r="G11" i="15"/>
  <c r="PT7" i="15"/>
  <c r="PU8" i="15"/>
  <c r="PS6" i="15"/>
  <c r="PV7" i="15"/>
  <c r="PS7" i="15"/>
  <c r="I7" i="15"/>
  <c r="J7" i="15" s="1"/>
  <c r="G6" i="15"/>
  <c r="PV8" i="15"/>
  <c r="PU7" i="15"/>
  <c r="PR7" i="15"/>
  <c r="PR6" i="15"/>
  <c r="PT6" i="15"/>
  <c r="PV9" i="15"/>
  <c r="CT8" i="15"/>
  <c r="PS9" i="15"/>
  <c r="PR9" i="15"/>
  <c r="F11" i="15"/>
  <c r="PT8" i="15"/>
  <c r="G9" i="15"/>
  <c r="PV6" i="15"/>
  <c r="PW6" i="15" s="1"/>
  <c r="CT5" i="15"/>
  <c r="PT10" i="15"/>
  <c r="PS10" i="15"/>
  <c r="CT10" i="15"/>
  <c r="M10" i="15"/>
  <c r="CV10" i="15" s="1"/>
  <c r="F9" i="15"/>
  <c r="PV5" i="15"/>
  <c r="PV10" i="15"/>
  <c r="PR10" i="15"/>
  <c r="M5" i="15"/>
  <c r="CV5" i="15" s="1"/>
  <c r="PS11" i="15"/>
  <c r="PW11" i="15" s="1"/>
  <c r="M11" i="15"/>
  <c r="CV11" i="15" s="1"/>
  <c r="PT9" i="15"/>
  <c r="F8" i="15"/>
  <c r="F7" i="15"/>
  <c r="PT5" i="15"/>
  <c r="PS5" i="15"/>
  <c r="K5" i="15"/>
  <c r="L5" i="15" s="1"/>
  <c r="PU11" i="15"/>
  <c r="K10" i="15"/>
  <c r="CU10" i="15" s="1"/>
  <c r="F6" i="15"/>
  <c r="PU5" i="15"/>
  <c r="F5" i="15"/>
  <c r="CV8" i="15"/>
  <c r="N8" i="15"/>
  <c r="CV7" i="15"/>
  <c r="N7" i="15"/>
  <c r="I10" i="15"/>
  <c r="K11" i="15"/>
  <c r="M9" i="15"/>
  <c r="AR7" i="15"/>
  <c r="I5" i="15"/>
  <c r="I8" i="15"/>
  <c r="G7" i="15"/>
  <c r="K6" i="15"/>
  <c r="I11" i="15"/>
  <c r="G10" i="15"/>
  <c r="K9" i="15"/>
  <c r="F10" i="15"/>
  <c r="AR8" i="15"/>
  <c r="I6" i="15"/>
  <c r="G5" i="15"/>
  <c r="AR11" i="15"/>
  <c r="I9" i="15"/>
  <c r="G8" i="15"/>
  <c r="K7" i="15"/>
  <c r="AR6" i="15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4" i="16"/>
  <c r="KR4" i="16"/>
  <c r="QB4" i="16"/>
  <c r="O5" i="16"/>
  <c r="P5" i="16" s="1"/>
  <c r="EI5" i="16"/>
  <c r="EF11" i="16"/>
  <c r="MV11" i="16"/>
  <c r="RG11" i="16"/>
  <c r="BX10" i="16"/>
  <c r="K10" i="16"/>
  <c r="AU10" i="16"/>
  <c r="I10" i="16"/>
  <c r="HO11" i="16"/>
  <c r="QE11" i="16"/>
  <c r="M10" i="16"/>
  <c r="N10" i="16" s="1"/>
  <c r="AU5" i="16"/>
  <c r="JP11" i="16"/>
  <c r="RG10" i="16"/>
  <c r="EF4" i="16"/>
  <c r="IN4" i="16"/>
  <c r="MV4" i="16"/>
  <c r="Q10" i="16"/>
  <c r="HL4" i="16"/>
  <c r="LT4" i="16"/>
  <c r="OZ4" i="16"/>
  <c r="RA4" i="16"/>
  <c r="G4" i="16"/>
  <c r="F5" i="16"/>
  <c r="AX5" i="16"/>
  <c r="LW11" i="16"/>
  <c r="G10" i="16"/>
  <c r="AX10" i="16"/>
  <c r="FH4" i="16"/>
  <c r="JP4" i="16"/>
  <c r="NX4" i="16"/>
  <c r="F4" i="16"/>
  <c r="F10" i="16"/>
  <c r="FH11" i="16"/>
  <c r="KU11" i="16"/>
  <c r="NX11" i="16"/>
  <c r="DA10" i="16"/>
  <c r="K4" i="15"/>
  <c r="I4" i="15"/>
  <c r="BS4" i="15"/>
  <c r="H9" i="17" l="1"/>
  <c r="H7" i="17"/>
  <c r="RE14" i="16"/>
  <c r="DG15" i="18"/>
  <c r="S15" i="18" s="1"/>
  <c r="E15" i="18" s="1"/>
  <c r="RH21" i="18"/>
  <c r="DG9" i="18"/>
  <c r="RE19" i="18"/>
  <c r="RH12" i="18"/>
  <c r="RH18" i="18"/>
  <c r="R16" i="16"/>
  <c r="H15" i="16"/>
  <c r="H19" i="16"/>
  <c r="DE16" i="16"/>
  <c r="S16" i="16" s="1"/>
  <c r="R20" i="16"/>
  <c r="A10" i="17"/>
  <c r="PW14" i="17"/>
  <c r="CV5" i="17"/>
  <c r="H6" i="17"/>
  <c r="H8" i="17"/>
  <c r="CV9" i="17"/>
  <c r="H15" i="17"/>
  <c r="H12" i="17"/>
  <c r="H19" i="17"/>
  <c r="H16" i="17"/>
  <c r="L6" i="17"/>
  <c r="H14" i="17"/>
  <c r="PW9" i="15"/>
  <c r="PW8" i="15"/>
  <c r="CU8" i="15"/>
  <c r="O8" i="15" s="1"/>
  <c r="Q8" i="15" s="1"/>
  <c r="CV6" i="15"/>
  <c r="H7" i="18"/>
  <c r="RE9" i="18"/>
  <c r="H11" i="18"/>
  <c r="L12" i="18"/>
  <c r="S11" i="18"/>
  <c r="DG12" i="18"/>
  <c r="H9" i="18"/>
  <c r="RH15" i="18"/>
  <c r="U19" i="18"/>
  <c r="T19" i="18"/>
  <c r="H17" i="18"/>
  <c r="H8" i="18"/>
  <c r="DE5" i="18"/>
  <c r="L19" i="18"/>
  <c r="R7" i="18"/>
  <c r="H19" i="18"/>
  <c r="H20" i="18"/>
  <c r="H16" i="18"/>
  <c r="DG14" i="18"/>
  <c r="RH10" i="18"/>
  <c r="H18" i="18"/>
  <c r="H13" i="18"/>
  <c r="H15" i="18"/>
  <c r="H4" i="18"/>
  <c r="H21" i="18"/>
  <c r="H10" i="18"/>
  <c r="H12" i="18"/>
  <c r="H5" i="18"/>
  <c r="H6" i="18"/>
  <c r="H14" i="18"/>
  <c r="H17" i="16"/>
  <c r="R9" i="16"/>
  <c r="DE22" i="16"/>
  <c r="L25" i="16"/>
  <c r="RE6" i="16"/>
  <c r="RE18" i="16"/>
  <c r="RH26" i="16"/>
  <c r="RE17" i="16"/>
  <c r="RH24" i="16"/>
  <c r="H26" i="16"/>
  <c r="H13" i="16"/>
  <c r="H10" i="16"/>
  <c r="H25" i="16"/>
  <c r="H8" i="16"/>
  <c r="DG18" i="16"/>
  <c r="H4" i="16"/>
  <c r="PW15" i="17"/>
  <c r="H5" i="17"/>
  <c r="N13" i="17"/>
  <c r="H20" i="17"/>
  <c r="H13" i="17"/>
  <c r="H10" i="17"/>
  <c r="H17" i="17"/>
  <c r="N14" i="17"/>
  <c r="H11" i="17"/>
  <c r="H18" i="17"/>
  <c r="H4" i="17"/>
  <c r="L18" i="17"/>
  <c r="CU9" i="17"/>
  <c r="PW13" i="17"/>
  <c r="N4" i="15"/>
  <c r="PW7" i="15"/>
  <c r="H21" i="16"/>
  <c r="H9" i="15"/>
  <c r="H8" i="15"/>
  <c r="H11" i="15"/>
  <c r="H4" i="15"/>
  <c r="H6" i="15"/>
  <c r="H10" i="15"/>
  <c r="N10" i="15"/>
  <c r="N11" i="15"/>
  <c r="H5" i="15"/>
  <c r="H7" i="15"/>
  <c r="CV11" i="17"/>
  <c r="PW11" i="17"/>
  <c r="H18" i="16"/>
  <c r="H5" i="16"/>
  <c r="H22" i="16"/>
  <c r="RE19" i="16"/>
  <c r="RH18" i="16"/>
  <c r="H20" i="16"/>
  <c r="H23" i="16"/>
  <c r="RH17" i="16"/>
  <c r="H9" i="16"/>
  <c r="H24" i="16"/>
  <c r="RH15" i="16"/>
  <c r="RE23" i="16"/>
  <c r="RE26" i="16"/>
  <c r="H11" i="16"/>
  <c r="H16" i="16"/>
  <c r="RE24" i="16"/>
  <c r="RE15" i="16"/>
  <c r="A21" i="18"/>
  <c r="RE21" i="18"/>
  <c r="R5" i="18"/>
  <c r="RE20" i="18"/>
  <c r="A13" i="18"/>
  <c r="A15" i="18"/>
  <c r="RH9" i="18"/>
  <c r="S5" i="18"/>
  <c r="T5" i="18" s="1"/>
  <c r="RE12" i="18"/>
  <c r="RE10" i="18"/>
  <c r="RE15" i="18"/>
  <c r="A19" i="18"/>
  <c r="S12" i="18"/>
  <c r="U12" i="18" s="1"/>
  <c r="DG13" i="18"/>
  <c r="DG17" i="18"/>
  <c r="S7" i="18"/>
  <c r="E7" i="18" s="1"/>
  <c r="E19" i="18"/>
  <c r="S20" i="18"/>
  <c r="U20" i="18" s="1"/>
  <c r="RE16" i="18"/>
  <c r="RE8" i="18"/>
  <c r="RH4" i="18"/>
  <c r="A18" i="18"/>
  <c r="RH14" i="18"/>
  <c r="RE5" i="18"/>
  <c r="RH8" i="18"/>
  <c r="RE4" i="18"/>
  <c r="RE14" i="18"/>
  <c r="L14" i="18"/>
  <c r="S16" i="18"/>
  <c r="E16" i="18" s="1"/>
  <c r="E11" i="18"/>
  <c r="DE6" i="18"/>
  <c r="L6" i="18"/>
  <c r="E20" i="18"/>
  <c r="R21" i="18"/>
  <c r="DG21" i="18"/>
  <c r="S21" i="18" s="1"/>
  <c r="J13" i="18"/>
  <c r="L10" i="18"/>
  <c r="DE10" i="18"/>
  <c r="S10" i="18" s="1"/>
  <c r="A20" i="18"/>
  <c r="RE7" i="18"/>
  <c r="RH7" i="18"/>
  <c r="U11" i="18"/>
  <c r="T11" i="18"/>
  <c r="J8" i="18"/>
  <c r="J9" i="18"/>
  <c r="RH17" i="18"/>
  <c r="RE17" i="18"/>
  <c r="T20" i="18"/>
  <c r="J17" i="18"/>
  <c r="RE6" i="18"/>
  <c r="RH6" i="18"/>
  <c r="RH11" i="18"/>
  <c r="RE11" i="18"/>
  <c r="J12" i="18"/>
  <c r="L4" i="18"/>
  <c r="DE4" i="18"/>
  <c r="L17" i="18"/>
  <c r="DE17" i="18"/>
  <c r="RH13" i="18"/>
  <c r="RE13" i="18"/>
  <c r="A16" i="18"/>
  <c r="DG6" i="18"/>
  <c r="R6" i="18"/>
  <c r="S9" i="18"/>
  <c r="J14" i="18"/>
  <c r="DE13" i="18"/>
  <c r="L13" i="18"/>
  <c r="A17" i="18"/>
  <c r="R8" i="18"/>
  <c r="DG8" i="18"/>
  <c r="S8" i="18" s="1"/>
  <c r="S14" i="18"/>
  <c r="R18" i="18"/>
  <c r="DG18" i="18"/>
  <c r="S18" i="18" s="1"/>
  <c r="R4" i="18"/>
  <c r="DG4" i="18"/>
  <c r="RE10" i="16"/>
  <c r="RH7" i="16"/>
  <c r="RE21" i="16"/>
  <c r="S25" i="16"/>
  <c r="T25" i="16" s="1"/>
  <c r="L26" i="16"/>
  <c r="DE26" i="16"/>
  <c r="S26" i="16" s="1"/>
  <c r="L6" i="16"/>
  <c r="E6" i="16" s="1"/>
  <c r="R11" i="16"/>
  <c r="RH10" i="16"/>
  <c r="DE21" i="16"/>
  <c r="L21" i="16"/>
  <c r="DE9" i="16"/>
  <c r="S9" i="16" s="1"/>
  <c r="T9" i="16" s="1"/>
  <c r="L9" i="16"/>
  <c r="DE17" i="16"/>
  <c r="L17" i="16"/>
  <c r="DE11" i="16"/>
  <c r="S11" i="16" s="1"/>
  <c r="U11" i="16" s="1"/>
  <c r="L15" i="16"/>
  <c r="DE15" i="16"/>
  <c r="S15" i="16" s="1"/>
  <c r="DG5" i="16"/>
  <c r="J14" i="16"/>
  <c r="L23" i="16"/>
  <c r="DE23" i="16"/>
  <c r="S23" i="16" s="1"/>
  <c r="DG17" i="16"/>
  <c r="R17" i="16"/>
  <c r="E16" i="16"/>
  <c r="J20" i="16"/>
  <c r="S19" i="16"/>
  <c r="RH13" i="16"/>
  <c r="RE13" i="16"/>
  <c r="RE9" i="16"/>
  <c r="RH9" i="16"/>
  <c r="L8" i="16"/>
  <c r="DE8" i="16"/>
  <c r="S8" i="16" s="1"/>
  <c r="RH8" i="16"/>
  <c r="RE8" i="16"/>
  <c r="DG7" i="16"/>
  <c r="S7" i="16" s="1"/>
  <c r="R7" i="16"/>
  <c r="DE20" i="16"/>
  <c r="S20" i="16" s="1"/>
  <c r="L20" i="16"/>
  <c r="DG21" i="16"/>
  <c r="R21" i="16"/>
  <c r="RH22" i="16"/>
  <c r="RE22" i="16"/>
  <c r="T6" i="16"/>
  <c r="U6" i="16"/>
  <c r="T16" i="16"/>
  <c r="U16" i="16"/>
  <c r="L14" i="16"/>
  <c r="DE14" i="16"/>
  <c r="S14" i="16" s="1"/>
  <c r="S22" i="16"/>
  <c r="L13" i="16"/>
  <c r="DE13" i="16"/>
  <c r="S13" i="16" s="1"/>
  <c r="L18" i="16"/>
  <c r="DE18" i="16"/>
  <c r="S18" i="16" s="1"/>
  <c r="L24" i="16"/>
  <c r="DE24" i="16"/>
  <c r="S24" i="16" s="1"/>
  <c r="S4" i="16"/>
  <c r="U4" i="16" s="1"/>
  <c r="L4" i="16"/>
  <c r="RH4" i="16"/>
  <c r="DE5" i="16"/>
  <c r="RE11" i="16"/>
  <c r="RH11" i="16"/>
  <c r="RH5" i="16"/>
  <c r="RE4" i="16"/>
  <c r="R4" i="16"/>
  <c r="RE5" i="16"/>
  <c r="A17" i="17"/>
  <c r="A13" i="17"/>
  <c r="PW16" i="17"/>
  <c r="A12" i="17"/>
  <c r="A11" i="17"/>
  <c r="A14" i="17"/>
  <c r="PW6" i="17"/>
  <c r="O16" i="17"/>
  <c r="Q16" i="17" s="1"/>
  <c r="PW18" i="17"/>
  <c r="PW4" i="17"/>
  <c r="CV17" i="17"/>
  <c r="J14" i="17"/>
  <c r="N10" i="17"/>
  <c r="CV10" i="17"/>
  <c r="L15" i="17"/>
  <c r="CU15" i="17"/>
  <c r="O15" i="17" s="1"/>
  <c r="E15" i="17" s="1"/>
  <c r="A15" i="17"/>
  <c r="O6" i="17"/>
  <c r="L12" i="17"/>
  <c r="CU12" i="17"/>
  <c r="O12" i="17" s="1"/>
  <c r="PW20" i="17"/>
  <c r="L10" i="17"/>
  <c r="CU10" i="17"/>
  <c r="L14" i="17"/>
  <c r="CU14" i="17"/>
  <c r="O14" i="17" s="1"/>
  <c r="J12" i="17"/>
  <c r="J6" i="17"/>
  <c r="A9" i="17"/>
  <c r="L11" i="17"/>
  <c r="CU11" i="17"/>
  <c r="J10" i="17"/>
  <c r="L13" i="17"/>
  <c r="CU13" i="17"/>
  <c r="O13" i="17" s="1"/>
  <c r="J16" i="17"/>
  <c r="O9" i="17"/>
  <c r="A16" i="17"/>
  <c r="J13" i="17"/>
  <c r="J9" i="17"/>
  <c r="A6" i="17"/>
  <c r="PW17" i="17"/>
  <c r="N4" i="17"/>
  <c r="CV18" i="17"/>
  <c r="O18" i="17" s="1"/>
  <c r="CV20" i="17"/>
  <c r="PW19" i="17"/>
  <c r="PW7" i="17"/>
  <c r="A20" i="17"/>
  <c r="CV7" i="17"/>
  <c r="N19" i="17"/>
  <c r="PW8" i="17"/>
  <c r="CU8" i="17"/>
  <c r="A19" i="17"/>
  <c r="PW5" i="17"/>
  <c r="A18" i="17"/>
  <c r="J5" i="17"/>
  <c r="CU4" i="17"/>
  <c r="O4" i="17" s="1"/>
  <c r="L4" i="17"/>
  <c r="J19" i="17"/>
  <c r="CU20" i="17"/>
  <c r="L20" i="17"/>
  <c r="CU19" i="17"/>
  <c r="O19" i="17" s="1"/>
  <c r="L19" i="17"/>
  <c r="CU7" i="17"/>
  <c r="L7" i="17"/>
  <c r="CU17" i="17"/>
  <c r="L17" i="17"/>
  <c r="N8" i="17"/>
  <c r="CV8" i="17"/>
  <c r="CU5" i="17"/>
  <c r="L5" i="17"/>
  <c r="J17" i="17"/>
  <c r="A8" i="17"/>
  <c r="PW5" i="15"/>
  <c r="N5" i="15"/>
  <c r="O10" i="15"/>
  <c r="P10" i="15" s="1"/>
  <c r="L10" i="15"/>
  <c r="CU5" i="15"/>
  <c r="O5" i="15" s="1"/>
  <c r="Q5" i="15" s="1"/>
  <c r="PW10" i="15"/>
  <c r="J11" i="15"/>
  <c r="CU11" i="15"/>
  <c r="O11" i="15" s="1"/>
  <c r="L11" i="15"/>
  <c r="J6" i="15"/>
  <c r="J10" i="15"/>
  <c r="CV9" i="15"/>
  <c r="N9" i="15"/>
  <c r="L6" i="15"/>
  <c r="CU6" i="15"/>
  <c r="J8" i="15"/>
  <c r="L7" i="15"/>
  <c r="CU7" i="15"/>
  <c r="O7" i="15" s="1"/>
  <c r="J5" i="15"/>
  <c r="J9" i="15"/>
  <c r="L9" i="15"/>
  <c r="CU9" i="15"/>
  <c r="PW4" i="15"/>
  <c r="J10" i="16"/>
  <c r="DE10" i="16"/>
  <c r="L10" i="16"/>
  <c r="R10" i="16"/>
  <c r="DG10" i="16"/>
  <c r="J4" i="15"/>
  <c r="CU4" i="15"/>
  <c r="O4" i="15" s="1"/>
  <c r="L4" i="15"/>
  <c r="O5" i="17" l="1"/>
  <c r="E5" i="17" s="1"/>
  <c r="E12" i="18"/>
  <c r="O6" i="15"/>
  <c r="T12" i="18"/>
  <c r="T15" i="18"/>
  <c r="U15" i="18"/>
  <c r="S13" i="18"/>
  <c r="U13" i="18" s="1"/>
  <c r="S5" i="16"/>
  <c r="T5" i="16" s="1"/>
  <c r="O17" i="17"/>
  <c r="Q17" i="17" s="1"/>
  <c r="E18" i="17"/>
  <c r="O11" i="17"/>
  <c r="P11" i="17" s="1"/>
  <c r="S17" i="18"/>
  <c r="U17" i="18" s="1"/>
  <c r="U5" i="18"/>
  <c r="T7" i="18"/>
  <c r="U7" i="18"/>
  <c r="E24" i="16"/>
  <c r="S17" i="16"/>
  <c r="E17" i="16" s="1"/>
  <c r="P16" i="17"/>
  <c r="Q10" i="15"/>
  <c r="S21" i="16"/>
  <c r="E21" i="16" s="1"/>
  <c r="P8" i="15"/>
  <c r="U9" i="16"/>
  <c r="U25" i="16"/>
  <c r="E25" i="16"/>
  <c r="T16" i="18"/>
  <c r="U16" i="18"/>
  <c r="E5" i="18"/>
  <c r="E21" i="18"/>
  <c r="E18" i="18"/>
  <c r="S4" i="18"/>
  <c r="T4" i="18" s="1"/>
  <c r="E14" i="18"/>
  <c r="S6" i="18"/>
  <c r="E6" i="18" s="1"/>
  <c r="A12" i="18" s="1"/>
  <c r="E13" i="18"/>
  <c r="E8" i="18"/>
  <c r="E10" i="18"/>
  <c r="E9" i="18"/>
  <c r="A11" i="18"/>
  <c r="U8" i="18"/>
  <c r="T8" i="18"/>
  <c r="U10" i="18"/>
  <c r="T10" i="18"/>
  <c r="U18" i="18"/>
  <c r="T18" i="18"/>
  <c r="U14" i="18"/>
  <c r="T14" i="18"/>
  <c r="U21" i="18"/>
  <c r="T21" i="18"/>
  <c r="U9" i="18"/>
  <c r="T9" i="18"/>
  <c r="T26" i="16"/>
  <c r="U26" i="16"/>
  <c r="E26" i="16"/>
  <c r="E7" i="16"/>
  <c r="E11" i="16"/>
  <c r="T11" i="16"/>
  <c r="E23" i="16"/>
  <c r="E15" i="16"/>
  <c r="T15" i="16"/>
  <c r="U15" i="16"/>
  <c r="E18" i="16"/>
  <c r="E8" i="16"/>
  <c r="E14" i="16"/>
  <c r="E13" i="16"/>
  <c r="E20" i="16"/>
  <c r="E9" i="16"/>
  <c r="T14" i="16"/>
  <c r="U14" i="16"/>
  <c r="U20" i="16"/>
  <c r="T20" i="16"/>
  <c r="T8" i="16"/>
  <c r="U8" i="16"/>
  <c r="T23" i="16"/>
  <c r="U23" i="16"/>
  <c r="T13" i="16"/>
  <c r="U13" i="16"/>
  <c r="T19" i="16"/>
  <c r="U19" i="16"/>
  <c r="E19" i="16"/>
  <c r="T24" i="16"/>
  <c r="U24" i="16"/>
  <c r="T7" i="16"/>
  <c r="U7" i="16"/>
  <c r="T22" i="16"/>
  <c r="U22" i="16"/>
  <c r="E22" i="16"/>
  <c r="T18" i="16"/>
  <c r="U18" i="16"/>
  <c r="T4" i="16"/>
  <c r="E4" i="16"/>
  <c r="O20" i="17"/>
  <c r="E20" i="17" s="1"/>
  <c r="E6" i="17"/>
  <c r="E16" i="17"/>
  <c r="P18" i="17"/>
  <c r="E13" i="17"/>
  <c r="O10" i="17"/>
  <c r="E10" i="17" s="1"/>
  <c r="O8" i="17"/>
  <c r="P8" i="17" s="1"/>
  <c r="E9" i="17"/>
  <c r="E12" i="17"/>
  <c r="E14" i="17"/>
  <c r="P13" i="17"/>
  <c r="Q13" i="17"/>
  <c r="Q18" i="17"/>
  <c r="P12" i="17"/>
  <c r="Q12" i="17"/>
  <c r="P6" i="17"/>
  <c r="Q6" i="17"/>
  <c r="P9" i="17"/>
  <c r="Q9" i="17"/>
  <c r="P14" i="17"/>
  <c r="Q14" i="17"/>
  <c r="P15" i="17"/>
  <c r="Q15" i="17"/>
  <c r="O7" i="17"/>
  <c r="P7" i="17" s="1"/>
  <c r="E4" i="17"/>
  <c r="E19" i="17"/>
  <c r="Q4" i="17"/>
  <c r="P4" i="17"/>
  <c r="Q19" i="17"/>
  <c r="P19" i="17"/>
  <c r="E10" i="15"/>
  <c r="E5" i="15"/>
  <c r="P5" i="15"/>
  <c r="E6" i="15"/>
  <c r="E11" i="15"/>
  <c r="O9" i="15"/>
  <c r="P9" i="15" s="1"/>
  <c r="E8" i="15"/>
  <c r="Q7" i="15"/>
  <c r="P7" i="15"/>
  <c r="P6" i="15"/>
  <c r="Q6" i="15"/>
  <c r="P11" i="15"/>
  <c r="Q11" i="15"/>
  <c r="E7" i="15"/>
  <c r="A7" i="15" s="1"/>
  <c r="E4" i="15"/>
  <c r="S10" i="16"/>
  <c r="Q4" i="15"/>
  <c r="P4" i="15"/>
  <c r="P5" i="17" l="1"/>
  <c r="Q5" i="17"/>
  <c r="T13" i="18"/>
  <c r="Q8" i="17"/>
  <c r="E17" i="17"/>
  <c r="T17" i="18"/>
  <c r="U5" i="16"/>
  <c r="T21" i="16"/>
  <c r="U21" i="16"/>
  <c r="E5" i="16"/>
  <c r="A12" i="16" s="1"/>
  <c r="P17" i="17"/>
  <c r="P20" i="17"/>
  <c r="E8" i="17"/>
  <c r="U4" i="18"/>
  <c r="E17" i="18"/>
  <c r="U17" i="16"/>
  <c r="T17" i="16"/>
  <c r="Q11" i="17"/>
  <c r="E11" i="17"/>
  <c r="Q20" i="17"/>
  <c r="E4" i="18"/>
  <c r="A6" i="18" s="1"/>
  <c r="U6" i="18"/>
  <c r="T6" i="18"/>
  <c r="A14" i="18"/>
  <c r="A7" i="16"/>
  <c r="P10" i="17"/>
  <c r="Q10" i="17"/>
  <c r="A4" i="17"/>
  <c r="Q7" i="17"/>
  <c r="E7" i="17"/>
  <c r="A5" i="17" s="1"/>
  <c r="A7" i="17"/>
  <c r="E9" i="15"/>
  <c r="A5" i="15" s="1"/>
  <c r="Q9" i="15"/>
  <c r="A11" i="15"/>
  <c r="A6" i="15"/>
  <c r="A8" i="15"/>
  <c r="A10" i="15"/>
  <c r="U10" i="16"/>
  <c r="T10" i="16"/>
  <c r="E10" i="16"/>
  <c r="A22" i="16" s="1"/>
  <c r="A4" i="15" l="1" a="1"/>
  <c r="A4" i="15" s="1"/>
  <c r="C15" i="11"/>
  <c r="D15" i="11"/>
  <c r="C16" i="11"/>
  <c r="D16" i="11"/>
  <c r="C17" i="11"/>
  <c r="D17" i="11"/>
  <c r="D14" i="11"/>
  <c r="C14" i="11"/>
  <c r="A9" i="15"/>
  <c r="A7" i="18"/>
  <c r="A4" i="18" a="1"/>
  <c r="A4" i="18" s="1"/>
  <c r="A5" i="18"/>
  <c r="A10" i="18"/>
  <c r="A8" i="18"/>
  <c r="A9" i="18"/>
  <c r="A23" i="16"/>
  <c r="A25" i="16"/>
  <c r="A26" i="16"/>
  <c r="A9" i="16"/>
  <c r="A6" i="16"/>
  <c r="A8" i="16"/>
  <c r="A24" i="16"/>
  <c r="A14" i="16"/>
  <c r="A21" i="16"/>
  <c r="A17" i="16"/>
  <c r="A18" i="16"/>
  <c r="A16" i="16"/>
  <c r="A19" i="16"/>
  <c r="A13" i="16"/>
  <c r="A15" i="16"/>
  <c r="A20" i="16"/>
  <c r="A11" i="16"/>
  <c r="A4" i="16" a="1"/>
  <c r="A4" i="16" s="1"/>
  <c r="A5" i="16"/>
  <c r="A10" i="16"/>
  <c r="C23" i="11" l="1"/>
  <c r="C22" i="11"/>
  <c r="D23" i="11"/>
  <c r="C24" i="11"/>
  <c r="D24" i="11"/>
  <c r="D22" i="11"/>
  <c r="C25" i="11"/>
  <c r="D25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AK11" i="4"/>
  <c r="AL11" i="4"/>
  <c r="AM11" i="4"/>
  <c r="AN11" i="4"/>
  <c r="AO11" i="4"/>
  <c r="AQ11" i="4"/>
  <c r="AR11" i="4"/>
  <c r="BO11" i="4"/>
  <c r="BP11" i="4"/>
  <c r="BQ11" i="4"/>
  <c r="BR11" i="4"/>
  <c r="BS11" i="4"/>
  <c r="BU11" i="4"/>
  <c r="BV11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X11" i="4" s="1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AK5" i="4"/>
  <c r="AL5" i="4"/>
  <c r="AM5" i="4"/>
  <c r="AN5" i="4"/>
  <c r="AO5" i="4"/>
  <c r="AQ5" i="4"/>
  <c r="AR5" i="4"/>
  <c r="BO5" i="4"/>
  <c r="BP5" i="4"/>
  <c r="BQ5" i="4"/>
  <c r="BR5" i="4"/>
  <c r="BS5" i="4"/>
  <c r="BU5" i="4"/>
  <c r="BV5" i="4"/>
  <c r="CS5" i="4"/>
  <c r="CT5" i="4"/>
  <c r="CU5" i="4"/>
  <c r="CV5" i="4"/>
  <c r="CW5" i="4"/>
  <c r="CY5" i="4"/>
  <c r="CZ5" i="4"/>
  <c r="DS5" i="4"/>
  <c r="DT5" i="4"/>
  <c r="DU5" i="4"/>
  <c r="DW5" i="4"/>
  <c r="DX5" i="4"/>
  <c r="EO5" i="4"/>
  <c r="EP5" i="4"/>
  <c r="EQ5" i="4"/>
  <c r="ES5" i="4"/>
  <c r="ET5" i="4"/>
  <c r="FK5" i="4"/>
  <c r="FL5" i="4"/>
  <c r="FM5" i="4"/>
  <c r="FO5" i="4"/>
  <c r="FP5" i="4"/>
  <c r="GG5" i="4"/>
  <c r="GH5" i="4"/>
  <c r="GI5" i="4"/>
  <c r="GK5" i="4"/>
  <c r="GL5" i="4"/>
  <c r="HC5" i="4"/>
  <c r="HD5" i="4"/>
  <c r="HE5" i="4"/>
  <c r="HG5" i="4"/>
  <c r="HH5" i="4"/>
  <c r="HY5" i="4"/>
  <c r="HZ5" i="4"/>
  <c r="IA5" i="4"/>
  <c r="IC5" i="4"/>
  <c r="ID5" i="4"/>
  <c r="IU5" i="4"/>
  <c r="IV5" i="4"/>
  <c r="IW5" i="4"/>
  <c r="IY5" i="4"/>
  <c r="IZ5" i="4"/>
  <c r="JQ5" i="4"/>
  <c r="JR5" i="4"/>
  <c r="JS5" i="4"/>
  <c r="JU5" i="4"/>
  <c r="JV5" i="4"/>
  <c r="KM5" i="4"/>
  <c r="KN5" i="4"/>
  <c r="KO5" i="4"/>
  <c r="KQ5" i="4"/>
  <c r="KR5" i="4"/>
  <c r="LI5" i="4"/>
  <c r="LJ5" i="4"/>
  <c r="LK5" i="4"/>
  <c r="LM5" i="4"/>
  <c r="LN5" i="4"/>
  <c r="ME5" i="4"/>
  <c r="MF5" i="4"/>
  <c r="MG5" i="4"/>
  <c r="MI5" i="4"/>
  <c r="MJ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AK9" i="4"/>
  <c r="AL9" i="4"/>
  <c r="AM9" i="4"/>
  <c r="AN9" i="4"/>
  <c r="AO9" i="4"/>
  <c r="AQ9" i="4"/>
  <c r="AR9" i="4"/>
  <c r="BO9" i="4"/>
  <c r="BP9" i="4"/>
  <c r="BQ9" i="4"/>
  <c r="BR9" i="4"/>
  <c r="BS9" i="4"/>
  <c r="BU9" i="4"/>
  <c r="BV9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AK26" i="4"/>
  <c r="AL26" i="4"/>
  <c r="AM26" i="4"/>
  <c r="AN26" i="4"/>
  <c r="AO26" i="4"/>
  <c r="AQ26" i="4"/>
  <c r="AR26" i="4"/>
  <c r="BO26" i="4"/>
  <c r="BP26" i="4"/>
  <c r="BQ26" i="4"/>
  <c r="BR26" i="4"/>
  <c r="BS26" i="4"/>
  <c r="BU26" i="4"/>
  <c r="BV26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AK31" i="4"/>
  <c r="AL31" i="4"/>
  <c r="AM31" i="4"/>
  <c r="AN31" i="4"/>
  <c r="AO31" i="4"/>
  <c r="AQ31" i="4"/>
  <c r="AR31" i="4"/>
  <c r="BO31" i="4"/>
  <c r="BP31" i="4"/>
  <c r="BQ31" i="4"/>
  <c r="BR31" i="4"/>
  <c r="BS31" i="4"/>
  <c r="BU31" i="4"/>
  <c r="BV31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NU31" i="4"/>
  <c r="NV31" i="4"/>
  <c r="NW31" i="4"/>
  <c r="NX31" i="4"/>
  <c r="NY31" i="4"/>
  <c r="OI31" i="4" s="1"/>
  <c r="NZ31" i="4"/>
  <c r="OA31" i="4"/>
  <c r="OF31" i="4"/>
  <c r="AK29" i="4"/>
  <c r="AL29" i="4"/>
  <c r="AM29" i="4"/>
  <c r="AN29" i="4"/>
  <c r="AO29" i="4"/>
  <c r="AQ29" i="4"/>
  <c r="AR29" i="4"/>
  <c r="BO29" i="4"/>
  <c r="BP29" i="4"/>
  <c r="BQ29" i="4"/>
  <c r="BR29" i="4"/>
  <c r="BS29" i="4"/>
  <c r="BU29" i="4"/>
  <c r="BV29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AK27" i="4"/>
  <c r="AL27" i="4"/>
  <c r="AM27" i="4"/>
  <c r="AN27" i="4"/>
  <c r="AO27" i="4"/>
  <c r="AQ27" i="4"/>
  <c r="AR27" i="4"/>
  <c r="BO27" i="4"/>
  <c r="BP27" i="4"/>
  <c r="BQ27" i="4"/>
  <c r="BR27" i="4"/>
  <c r="BS27" i="4"/>
  <c r="BU27" i="4"/>
  <c r="BV27" i="4"/>
  <c r="CS27" i="4"/>
  <c r="CT27" i="4"/>
  <c r="CU27" i="4"/>
  <c r="CV27" i="4"/>
  <c r="CW27" i="4"/>
  <c r="CY27" i="4"/>
  <c r="CZ27" i="4"/>
  <c r="DS27" i="4"/>
  <c r="DT27" i="4"/>
  <c r="DU27" i="4"/>
  <c r="DW27" i="4"/>
  <c r="DX27" i="4"/>
  <c r="EO27" i="4"/>
  <c r="EP27" i="4"/>
  <c r="EQ27" i="4"/>
  <c r="ES27" i="4"/>
  <c r="ET27" i="4"/>
  <c r="FK27" i="4"/>
  <c r="FL27" i="4"/>
  <c r="FM27" i="4"/>
  <c r="FO27" i="4"/>
  <c r="FP27" i="4"/>
  <c r="GG27" i="4"/>
  <c r="GH27" i="4"/>
  <c r="GI27" i="4"/>
  <c r="GK27" i="4"/>
  <c r="GL27" i="4"/>
  <c r="HC27" i="4"/>
  <c r="HD27" i="4"/>
  <c r="HE27" i="4"/>
  <c r="HG27" i="4"/>
  <c r="HH27" i="4"/>
  <c r="HY27" i="4"/>
  <c r="HZ27" i="4"/>
  <c r="IA27" i="4"/>
  <c r="IC27" i="4"/>
  <c r="ID27" i="4"/>
  <c r="IU27" i="4"/>
  <c r="IV27" i="4"/>
  <c r="IW27" i="4"/>
  <c r="IY27" i="4"/>
  <c r="IZ27" i="4"/>
  <c r="JQ27" i="4"/>
  <c r="JR27" i="4"/>
  <c r="JS27" i="4"/>
  <c r="JU27" i="4"/>
  <c r="JV27" i="4"/>
  <c r="KM27" i="4"/>
  <c r="KN27" i="4"/>
  <c r="KO27" i="4"/>
  <c r="KQ27" i="4"/>
  <c r="KR27" i="4"/>
  <c r="LI27" i="4"/>
  <c r="LJ27" i="4"/>
  <c r="LK27" i="4"/>
  <c r="LM27" i="4"/>
  <c r="LN27" i="4"/>
  <c r="ME27" i="4"/>
  <c r="MF27" i="4"/>
  <c r="MG27" i="4"/>
  <c r="MI27" i="4"/>
  <c r="MJ27" i="4"/>
  <c r="NA27" i="4"/>
  <c r="NB27" i="4"/>
  <c r="NC27" i="4"/>
  <c r="NE27" i="4"/>
  <c r="NF27" i="4"/>
  <c r="NH27" i="4"/>
  <c r="NI27" i="4"/>
  <c r="NJ27" i="4"/>
  <c r="NK27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AK30" i="4"/>
  <c r="AL30" i="4"/>
  <c r="AM30" i="4"/>
  <c r="AN30" i="4"/>
  <c r="AO30" i="4"/>
  <c r="AQ30" i="4"/>
  <c r="AR30" i="4"/>
  <c r="BO30" i="4"/>
  <c r="BP30" i="4"/>
  <c r="BQ30" i="4"/>
  <c r="BR30" i="4"/>
  <c r="BS30" i="4"/>
  <c r="BU30" i="4"/>
  <c r="BV30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AK21" i="4"/>
  <c r="AL21" i="4"/>
  <c r="AM21" i="4"/>
  <c r="AN21" i="4"/>
  <c r="AO21" i="4"/>
  <c r="AQ21" i="4"/>
  <c r="AR21" i="4"/>
  <c r="BO21" i="4"/>
  <c r="BP21" i="4"/>
  <c r="BQ21" i="4"/>
  <c r="BR21" i="4"/>
  <c r="BS21" i="4"/>
  <c r="BU21" i="4"/>
  <c r="BV21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AK18" i="4"/>
  <c r="AL18" i="4"/>
  <c r="AM18" i="4"/>
  <c r="AN18" i="4"/>
  <c r="AO18" i="4"/>
  <c r="AQ18" i="4"/>
  <c r="AR18" i="4"/>
  <c r="BO18" i="4"/>
  <c r="BP18" i="4"/>
  <c r="BQ18" i="4"/>
  <c r="BR18" i="4"/>
  <c r="BS18" i="4"/>
  <c r="BU18" i="4"/>
  <c r="BV18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AK25" i="4"/>
  <c r="AL25" i="4"/>
  <c r="AM25" i="4"/>
  <c r="AN25" i="4"/>
  <c r="AO25" i="4"/>
  <c r="AQ25" i="4"/>
  <c r="AR25" i="4"/>
  <c r="BO25" i="4"/>
  <c r="BP25" i="4"/>
  <c r="BQ25" i="4"/>
  <c r="BR25" i="4"/>
  <c r="BS25" i="4"/>
  <c r="BU25" i="4"/>
  <c r="BV25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AK25" i="14"/>
  <c r="AL25" i="14"/>
  <c r="AM25" i="14"/>
  <c r="AN25" i="14"/>
  <c r="AO25" i="14"/>
  <c r="AQ25" i="14"/>
  <c r="AR25" i="14"/>
  <c r="BO25" i="14"/>
  <c r="BP25" i="14"/>
  <c r="BQ25" i="14"/>
  <c r="BR25" i="14"/>
  <c r="BS25" i="14"/>
  <c r="BU25" i="14"/>
  <c r="BV25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AK24" i="14"/>
  <c r="AL24" i="14"/>
  <c r="AM24" i="14"/>
  <c r="AN24" i="14"/>
  <c r="AO24" i="14"/>
  <c r="AQ24" i="14"/>
  <c r="AR24" i="14"/>
  <c r="BO24" i="14"/>
  <c r="BP24" i="14"/>
  <c r="BQ24" i="14"/>
  <c r="BR24" i="14"/>
  <c r="BS24" i="14"/>
  <c r="BU24" i="14"/>
  <c r="BV24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AK23" i="14"/>
  <c r="AL23" i="14"/>
  <c r="AM23" i="14"/>
  <c r="AN23" i="14"/>
  <c r="AO23" i="14"/>
  <c r="AQ23" i="14"/>
  <c r="AR23" i="14"/>
  <c r="BO23" i="14"/>
  <c r="BP23" i="14"/>
  <c r="BQ23" i="14"/>
  <c r="BR23" i="14"/>
  <c r="BS23" i="14"/>
  <c r="BU23" i="14"/>
  <c r="BV23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F25" i="14" l="1"/>
  <c r="A25" i="14" s="1" a="1"/>
  <c r="A25" i="14" s="1"/>
  <c r="F18" i="4"/>
  <c r="G5" i="4"/>
  <c r="G31" i="4"/>
  <c r="G25" i="4"/>
  <c r="G29" i="4"/>
  <c r="G9" i="4"/>
  <c r="G21" i="4"/>
  <c r="G11" i="4"/>
  <c r="G27" i="4"/>
  <c r="G26" i="4"/>
  <c r="G18" i="4"/>
  <c r="G30" i="4"/>
  <c r="G24" i="14"/>
  <c r="F24" i="14"/>
  <c r="G23" i="14"/>
  <c r="G28" i="14"/>
  <c r="F23" i="14"/>
  <c r="F28" i="14"/>
  <c r="G25" i="14"/>
  <c r="GJ23" i="14"/>
  <c r="GM23" i="14" s="1"/>
  <c r="F5" i="4"/>
  <c r="H5" i="4" s="1"/>
  <c r="F30" i="4"/>
  <c r="F31" i="4"/>
  <c r="F25" i="4"/>
  <c r="F29" i="4"/>
  <c r="F9" i="4"/>
  <c r="H9" i="4" s="1"/>
  <c r="LL11" i="4"/>
  <c r="F21" i="4"/>
  <c r="F11" i="4"/>
  <c r="F27" i="4"/>
  <c r="F26" i="4"/>
  <c r="IX5" i="4"/>
  <c r="JA5" i="4" s="1"/>
  <c r="LL5" i="4"/>
  <c r="LO5" i="4" s="1"/>
  <c r="KP28" i="14"/>
  <c r="KS28" i="14" s="1"/>
  <c r="IX28" i="14"/>
  <c r="JA28" i="14" s="1"/>
  <c r="CX11" i="4"/>
  <c r="DA11" i="4" s="1"/>
  <c r="FN11" i="4"/>
  <c r="FQ11" i="4" s="1"/>
  <c r="DV11" i="4"/>
  <c r="KP11" i="4"/>
  <c r="KS11" i="4" s="1"/>
  <c r="IX24" i="14"/>
  <c r="JA24" i="14" s="1"/>
  <c r="BT23" i="14"/>
  <c r="BW23" i="14" s="1"/>
  <c r="LL28" i="14"/>
  <c r="LO28" i="14" s="1"/>
  <c r="MH28" i="14"/>
  <c r="MK28" i="14" s="1"/>
  <c r="ER25" i="14"/>
  <c r="EU25" i="14" s="1"/>
  <c r="CX5" i="4"/>
  <c r="DA5" i="4" s="1"/>
  <c r="LO11" i="4"/>
  <c r="JA11" i="4"/>
  <c r="BT11" i="4"/>
  <c r="BW11" i="4" s="1"/>
  <c r="JT5" i="4"/>
  <c r="JW5" i="4" s="1"/>
  <c r="CX28" i="14"/>
  <c r="DA28" i="14" s="1"/>
  <c r="MH25" i="14"/>
  <c r="MK25" i="14" s="1"/>
  <c r="ND28" i="14"/>
  <c r="NG28" i="14" s="1"/>
  <c r="FN28" i="14"/>
  <c r="FQ28" i="14" s="1"/>
  <c r="BT28" i="14"/>
  <c r="BW28" i="14" s="1"/>
  <c r="FN24" i="14"/>
  <c r="FQ24" i="14" s="1"/>
  <c r="ND25" i="14"/>
  <c r="NG25" i="14" s="1"/>
  <c r="OE28" i="14"/>
  <c r="JT28" i="14"/>
  <c r="JW28" i="14" s="1"/>
  <c r="MH26" i="4"/>
  <c r="MK26" i="4" s="1"/>
  <c r="IB26" i="4"/>
  <c r="IE26" i="4" s="1"/>
  <c r="IX9" i="4"/>
  <c r="JA9" i="4" s="1"/>
  <c r="AP9" i="4"/>
  <c r="AS9" i="4" s="1"/>
  <c r="JT29" i="4"/>
  <c r="JW29" i="4" s="1"/>
  <c r="MH9" i="4"/>
  <c r="FN26" i="4"/>
  <c r="MH31" i="4"/>
  <c r="MK31" i="4" s="1"/>
  <c r="FN31" i="4"/>
  <c r="FQ31" i="4" s="1"/>
  <c r="MH11" i="4"/>
  <c r="MK11" i="4" s="1"/>
  <c r="JT11" i="4"/>
  <c r="JW11" i="4" s="1"/>
  <c r="HF11" i="4"/>
  <c r="HI11" i="4" s="1"/>
  <c r="ER11" i="4"/>
  <c r="EU11" i="4" s="1"/>
  <c r="MK9" i="4"/>
  <c r="FN5" i="4"/>
  <c r="FQ5" i="4" s="1"/>
  <c r="ND5" i="4"/>
  <c r="NG5" i="4" s="1"/>
  <c r="IB5" i="4"/>
  <c r="IE5" i="4" s="1"/>
  <c r="GJ28" i="14"/>
  <c r="GM28" i="14" s="1"/>
  <c r="DV28" i="14"/>
  <c r="DY28" i="14" s="1"/>
  <c r="ER28" i="14"/>
  <c r="EU28" i="14" s="1"/>
  <c r="FN25" i="14"/>
  <c r="FQ25" i="14" s="1"/>
  <c r="BT25" i="14"/>
  <c r="BW25" i="14" s="1"/>
  <c r="BT24" i="14"/>
  <c r="BW24" i="14" s="1"/>
  <c r="CX25" i="14"/>
  <c r="DA25" i="14" s="1"/>
  <c r="OG28" i="14"/>
  <c r="BT5" i="4"/>
  <c r="BW5" i="4" s="1"/>
  <c r="ND11" i="4"/>
  <c r="NG11" i="4" s="1"/>
  <c r="IB11" i="4"/>
  <c r="IE11" i="4" s="1"/>
  <c r="GJ11" i="4"/>
  <c r="GM11" i="4" s="1"/>
  <c r="OC11" i="4"/>
  <c r="OG11" i="4"/>
  <c r="OJ31" i="4"/>
  <c r="OE11" i="4"/>
  <c r="I11" i="4"/>
  <c r="AP11" i="4"/>
  <c r="K11" i="4"/>
  <c r="DV5" i="4"/>
  <c r="LL26" i="4"/>
  <c r="LO26" i="4" s="1"/>
  <c r="ER5" i="4"/>
  <c r="EU5" i="4" s="1"/>
  <c r="IX29" i="4"/>
  <c r="JA29" i="4" s="1"/>
  <c r="MH5" i="4"/>
  <c r="MK5" i="4" s="1"/>
  <c r="HF5" i="4"/>
  <c r="HI5" i="4" s="1"/>
  <c r="ER29" i="4"/>
  <c r="EU29" i="4" s="1"/>
  <c r="JT31" i="4"/>
  <c r="JW31" i="4" s="1"/>
  <c r="KP9" i="4"/>
  <c r="KS9" i="4" s="1"/>
  <c r="KP5" i="4"/>
  <c r="KS5" i="4" s="1"/>
  <c r="GJ5" i="4"/>
  <c r="GM5" i="4" s="1"/>
  <c r="OG5" i="4"/>
  <c r="K5" i="4"/>
  <c r="L5" i="4" s="1"/>
  <c r="OE5" i="4"/>
  <c r="I5" i="4"/>
  <c r="OC5" i="4"/>
  <c r="OJ30" i="4"/>
  <c r="AP5" i="4"/>
  <c r="AS5" i="4" s="1"/>
  <c r="DV30" i="4"/>
  <c r="IB9" i="4"/>
  <c r="IE9" i="4" s="1"/>
  <c r="CX9" i="4"/>
  <c r="DA9" i="4" s="1"/>
  <c r="GJ31" i="4"/>
  <c r="GM31" i="4" s="1"/>
  <c r="IX26" i="4"/>
  <c r="JA26" i="4" s="1"/>
  <c r="LL9" i="4"/>
  <c r="LO9" i="4" s="1"/>
  <c r="ER31" i="4"/>
  <c r="EU31" i="4" s="1"/>
  <c r="HF26" i="4"/>
  <c r="HI26" i="4" s="1"/>
  <c r="JT9" i="4"/>
  <c r="JW9" i="4" s="1"/>
  <c r="FN9" i="4"/>
  <c r="FQ9" i="4" s="1"/>
  <c r="KP26" i="4"/>
  <c r="KS26" i="4" s="1"/>
  <c r="DV26" i="4"/>
  <c r="BT31" i="4"/>
  <c r="BW31" i="4" s="1"/>
  <c r="BT9" i="4"/>
  <c r="BW9" i="4" s="1"/>
  <c r="OC9" i="4"/>
  <c r="ND9" i="4"/>
  <c r="NG9" i="4" s="1"/>
  <c r="HF9" i="4"/>
  <c r="HI9" i="4" s="1"/>
  <c r="GJ9" i="4"/>
  <c r="GM9" i="4" s="1"/>
  <c r="ER9" i="4"/>
  <c r="EU9" i="4" s="1"/>
  <c r="DV9" i="4"/>
  <c r="OG9" i="4"/>
  <c r="I9" i="4"/>
  <c r="OE9" i="4"/>
  <c r="K9" i="4"/>
  <c r="FN29" i="4"/>
  <c r="FQ29" i="4" s="1"/>
  <c r="IB31" i="4"/>
  <c r="IE31" i="4" s="1"/>
  <c r="CX31" i="4"/>
  <c r="DA31" i="4" s="1"/>
  <c r="GJ26" i="4"/>
  <c r="GM26" i="4" s="1"/>
  <c r="ER26" i="4"/>
  <c r="EU26" i="4" s="1"/>
  <c r="AP26" i="4"/>
  <c r="AS26" i="4" s="1"/>
  <c r="JT26" i="4"/>
  <c r="JW26" i="4" s="1"/>
  <c r="ND26" i="4"/>
  <c r="NG26" i="4" s="1"/>
  <c r="FQ26" i="4"/>
  <c r="CX26" i="4"/>
  <c r="DA26" i="4" s="1"/>
  <c r="OE26" i="4"/>
  <c r="BT26" i="4"/>
  <c r="BW26" i="4" s="1"/>
  <c r="OG26" i="4"/>
  <c r="OC26" i="4"/>
  <c r="K26" i="4"/>
  <c r="I26" i="4"/>
  <c r="KP31" i="4"/>
  <c r="KS31" i="4" s="1"/>
  <c r="OG21" i="4"/>
  <c r="IB27" i="4"/>
  <c r="IE27" i="4" s="1"/>
  <c r="BT29" i="4"/>
  <c r="BW29" i="4" s="1"/>
  <c r="ND31" i="4"/>
  <c r="NG31" i="4" s="1"/>
  <c r="JT21" i="4"/>
  <c r="JW21" i="4" s="1"/>
  <c r="CX27" i="4"/>
  <c r="DA27" i="4" s="1"/>
  <c r="CX29" i="4"/>
  <c r="DA29" i="4" s="1"/>
  <c r="OG31" i="4"/>
  <c r="LL31" i="4"/>
  <c r="LO31" i="4" s="1"/>
  <c r="IX31" i="4"/>
  <c r="JA31" i="4" s="1"/>
  <c r="OE31" i="4"/>
  <c r="HF31" i="4"/>
  <c r="HI31" i="4" s="1"/>
  <c r="MH29" i="4"/>
  <c r="MK29" i="4" s="1"/>
  <c r="HF29" i="4"/>
  <c r="HI29" i="4" s="1"/>
  <c r="AP27" i="4"/>
  <c r="AS27" i="4" s="1"/>
  <c r="DV31" i="4"/>
  <c r="OC31" i="4"/>
  <c r="OJ27" i="4"/>
  <c r="I31" i="4"/>
  <c r="AP31" i="4"/>
  <c r="AS31" i="4" s="1"/>
  <c r="K31" i="4"/>
  <c r="LL29" i="4"/>
  <c r="LO29" i="4" s="1"/>
  <c r="DV29" i="4"/>
  <c r="LL27" i="4"/>
  <c r="LO27" i="4" s="1"/>
  <c r="ER27" i="4"/>
  <c r="EU27" i="4" s="1"/>
  <c r="KP29" i="4"/>
  <c r="KS29" i="4" s="1"/>
  <c r="LL30" i="4"/>
  <c r="LO30" i="4" s="1"/>
  <c r="ER30" i="4"/>
  <c r="EU30" i="4" s="1"/>
  <c r="JT27" i="4"/>
  <c r="JW27" i="4" s="1"/>
  <c r="ND29" i="4"/>
  <c r="NG29" i="4" s="1"/>
  <c r="IB29" i="4"/>
  <c r="IE29" i="4" s="1"/>
  <c r="GJ29" i="4"/>
  <c r="GM29" i="4" s="1"/>
  <c r="OG29" i="4"/>
  <c r="OE29" i="4"/>
  <c r="OJ26" i="4"/>
  <c r="OC29" i="4"/>
  <c r="I29" i="4"/>
  <c r="K29" i="4"/>
  <c r="DC29" i="4" s="1"/>
  <c r="AP29" i="4"/>
  <c r="AS29" i="4" s="1"/>
  <c r="KP27" i="4"/>
  <c r="KS27" i="4" s="1"/>
  <c r="IX18" i="4"/>
  <c r="JA18" i="4" s="1"/>
  <c r="BT30" i="4"/>
  <c r="BW30" i="4" s="1"/>
  <c r="DV27" i="4"/>
  <c r="MH21" i="4"/>
  <c r="MK21" i="4" s="1"/>
  <c r="KP30" i="4"/>
  <c r="KS30" i="4" s="1"/>
  <c r="CX30" i="4"/>
  <c r="DA30" i="4" s="1"/>
  <c r="IX27" i="4"/>
  <c r="JA27" i="4" s="1"/>
  <c r="MH30" i="4"/>
  <c r="MK30" i="4" s="1"/>
  <c r="BT21" i="4"/>
  <c r="BW21" i="4" s="1"/>
  <c r="GJ18" i="4"/>
  <c r="GM18" i="4" s="1"/>
  <c r="HF21" i="4"/>
  <c r="HI21" i="4" s="1"/>
  <c r="FN30" i="4"/>
  <c r="FQ30" i="4" s="1"/>
  <c r="LL21" i="4"/>
  <c r="LO21" i="4" s="1"/>
  <c r="ER21" i="4"/>
  <c r="EU21" i="4" s="1"/>
  <c r="JT30" i="4"/>
  <c r="JW30" i="4" s="1"/>
  <c r="MH27" i="4"/>
  <c r="MK27" i="4" s="1"/>
  <c r="FN27" i="4"/>
  <c r="FQ27" i="4" s="1"/>
  <c r="ND27" i="4"/>
  <c r="NG27" i="4" s="1"/>
  <c r="HF27" i="4"/>
  <c r="HI27" i="4" s="1"/>
  <c r="GJ27" i="4"/>
  <c r="GM27" i="4" s="1"/>
  <c r="OG27" i="4"/>
  <c r="OE27" i="4"/>
  <c r="OC27" i="4"/>
  <c r="OJ25" i="4"/>
  <c r="BT27" i="4"/>
  <c r="BW27" i="4" s="1"/>
  <c r="K27" i="4"/>
  <c r="I27" i="4"/>
  <c r="IB21" i="4"/>
  <c r="IE21" i="4" s="1"/>
  <c r="IB25" i="4"/>
  <c r="IE25" i="4" s="1"/>
  <c r="BT25" i="4"/>
  <c r="BW25" i="4" s="1"/>
  <c r="ND18" i="4"/>
  <c r="NG18" i="4" s="1"/>
  <c r="BT18" i="4"/>
  <c r="BW18" i="4" s="1"/>
  <c r="CX21" i="4"/>
  <c r="DA21" i="4" s="1"/>
  <c r="CX25" i="4"/>
  <c r="DA25" i="4" s="1"/>
  <c r="HF30" i="4"/>
  <c r="HI30" i="4" s="1"/>
  <c r="ND30" i="4"/>
  <c r="NG30" i="4" s="1"/>
  <c r="IX30" i="4"/>
  <c r="JA30" i="4" s="1"/>
  <c r="IB30" i="4"/>
  <c r="IE30" i="4" s="1"/>
  <c r="GJ30" i="4"/>
  <c r="GM30" i="4" s="1"/>
  <c r="OG30" i="4"/>
  <c r="OE30" i="4"/>
  <c r="OC30" i="4"/>
  <c r="AP30" i="4"/>
  <c r="K30" i="4"/>
  <c r="I30" i="4"/>
  <c r="ND21" i="4"/>
  <c r="NG21" i="4" s="1"/>
  <c r="KP21" i="4"/>
  <c r="KS21" i="4" s="1"/>
  <c r="DV21" i="4"/>
  <c r="IX21" i="4"/>
  <c r="JA21" i="4" s="1"/>
  <c r="LL25" i="4"/>
  <c r="LO25" i="4" s="1"/>
  <c r="JT18" i="4"/>
  <c r="JW18" i="4" s="1"/>
  <c r="ER18" i="4"/>
  <c r="EU18" i="4" s="1"/>
  <c r="FN25" i="4"/>
  <c r="FQ25" i="4" s="1"/>
  <c r="KP18" i="4"/>
  <c r="KS18" i="4" s="1"/>
  <c r="FN21" i="4"/>
  <c r="FQ21" i="4" s="1"/>
  <c r="GJ21" i="4"/>
  <c r="GM21" i="4" s="1"/>
  <c r="OE21" i="4"/>
  <c r="OC21" i="4"/>
  <c r="I21" i="4"/>
  <c r="AP21" i="4"/>
  <c r="K21" i="4"/>
  <c r="HF25" i="4"/>
  <c r="HI25" i="4" s="1"/>
  <c r="FN18" i="4"/>
  <c r="FQ18" i="4" s="1"/>
  <c r="MH18" i="4"/>
  <c r="MK18" i="4" s="1"/>
  <c r="LL18" i="4"/>
  <c r="LO18" i="4" s="1"/>
  <c r="IB18" i="4"/>
  <c r="IE18" i="4" s="1"/>
  <c r="HF18" i="4"/>
  <c r="HI18" i="4" s="1"/>
  <c r="DV18" i="4"/>
  <c r="OE18" i="4"/>
  <c r="CX18" i="4"/>
  <c r="DA18" i="4" s="1"/>
  <c r="OC18" i="4"/>
  <c r="K18" i="4"/>
  <c r="DC18" i="4" s="1"/>
  <c r="AP18" i="4"/>
  <c r="OG18" i="4"/>
  <c r="I18" i="4"/>
  <c r="IX25" i="4"/>
  <c r="JA25" i="4" s="1"/>
  <c r="ER25" i="4"/>
  <c r="EU25" i="4" s="1"/>
  <c r="DV25" i="4"/>
  <c r="OC25" i="4"/>
  <c r="AP25" i="4"/>
  <c r="KP25" i="4"/>
  <c r="KS25" i="4" s="1"/>
  <c r="JT25" i="4"/>
  <c r="JW25" i="4" s="1"/>
  <c r="OG25" i="4"/>
  <c r="ND25" i="4"/>
  <c r="NG25" i="4" s="1"/>
  <c r="MH25" i="4"/>
  <c r="MK25" i="4" s="1"/>
  <c r="GJ25" i="4"/>
  <c r="GM25" i="4" s="1"/>
  <c r="OE25" i="4"/>
  <c r="OJ21" i="4"/>
  <c r="K25" i="4"/>
  <c r="I25" i="4"/>
  <c r="IB28" i="14"/>
  <c r="IE28" i="14" s="1"/>
  <c r="HF28" i="14"/>
  <c r="HI28" i="14" s="1"/>
  <c r="OC28" i="14"/>
  <c r="OJ28" i="14"/>
  <c r="I28" i="14"/>
  <c r="DB28" i="14" s="1"/>
  <c r="AP28" i="14"/>
  <c r="AS28" i="14" s="1"/>
  <c r="K28" i="14"/>
  <c r="IX25" i="14"/>
  <c r="JA25" i="14" s="1"/>
  <c r="ER24" i="14"/>
  <c r="EU24" i="14" s="1"/>
  <c r="LL25" i="14"/>
  <c r="LO25" i="14" s="1"/>
  <c r="JT25" i="14"/>
  <c r="JW25" i="14" s="1"/>
  <c r="MH24" i="14"/>
  <c r="MK24" i="14" s="1"/>
  <c r="MH23" i="14"/>
  <c r="MK23" i="14" s="1"/>
  <c r="KP24" i="14"/>
  <c r="KS24" i="14" s="1"/>
  <c r="KP25" i="14"/>
  <c r="KS25" i="14" s="1"/>
  <c r="IB25" i="14"/>
  <c r="IE25" i="14" s="1"/>
  <c r="HF25" i="14"/>
  <c r="HI25" i="14" s="1"/>
  <c r="GJ25" i="14"/>
  <c r="GM25" i="14" s="1"/>
  <c r="DV25" i="14"/>
  <c r="DY25" i="14" s="1"/>
  <c r="OG25" i="14"/>
  <c r="OE25" i="14"/>
  <c r="OC25" i="14"/>
  <c r="I25" i="14"/>
  <c r="J25" i="14" s="1"/>
  <c r="K25" i="14"/>
  <c r="L25" i="14" s="1"/>
  <c r="AP25" i="14"/>
  <c r="GJ24" i="14"/>
  <c r="GM24" i="14" s="1"/>
  <c r="JT24" i="14"/>
  <c r="JW24" i="14" s="1"/>
  <c r="HF24" i="14"/>
  <c r="HI24" i="14" s="1"/>
  <c r="KP23" i="14"/>
  <c r="KS23" i="14" s="1"/>
  <c r="DV24" i="14"/>
  <c r="DY24" i="14" s="1"/>
  <c r="FN23" i="14"/>
  <c r="FQ23" i="14" s="1"/>
  <c r="ND24" i="14"/>
  <c r="NG24" i="14" s="1"/>
  <c r="LL24" i="14"/>
  <c r="LO24" i="14" s="1"/>
  <c r="IB24" i="14"/>
  <c r="IE24" i="14" s="1"/>
  <c r="OG24" i="14"/>
  <c r="CX24" i="14"/>
  <c r="DA24" i="14" s="1"/>
  <c r="OE24" i="14"/>
  <c r="OC24" i="14"/>
  <c r="I24" i="14"/>
  <c r="DB24" i="14" s="1"/>
  <c r="AP24" i="14"/>
  <c r="AS24" i="14" s="1"/>
  <c r="K24" i="14"/>
  <c r="IX23" i="14"/>
  <c r="JA23" i="14" s="1"/>
  <c r="JT23" i="14"/>
  <c r="JW23" i="14" s="1"/>
  <c r="ND23" i="14"/>
  <c r="NG23" i="14" s="1"/>
  <c r="DV23" i="14"/>
  <c r="DY23" i="14" s="1"/>
  <c r="OC23" i="14"/>
  <c r="LL23" i="14"/>
  <c r="LO23" i="14" s="1"/>
  <c r="IB23" i="14"/>
  <c r="IE23" i="14" s="1"/>
  <c r="HF23" i="14"/>
  <c r="HI23" i="14" s="1"/>
  <c r="ER23" i="14"/>
  <c r="EU23" i="14" s="1"/>
  <c r="CX23" i="14"/>
  <c r="DA23" i="14" s="1"/>
  <c r="OG23" i="14"/>
  <c r="OJ25" i="14"/>
  <c r="OE23" i="14"/>
  <c r="I23" i="14"/>
  <c r="DB23" i="14" s="1"/>
  <c r="AP23" i="14"/>
  <c r="AS23" i="14" s="1"/>
  <c r="K23" i="14"/>
  <c r="H25" i="14" l="1"/>
  <c r="A27" i="4" a="1"/>
  <c r="A27" i="4" s="1"/>
  <c r="H27" i="4"/>
  <c r="A11" i="4" a="1"/>
  <c r="A11" i="4" s="1"/>
  <c r="H11" i="4"/>
  <c r="H21" i="4"/>
  <c r="A21" i="4" a="1"/>
  <c r="A21" i="4" s="1"/>
  <c r="A29" i="4" a="1"/>
  <c r="A29" i="4" s="1"/>
  <c r="H29" i="4"/>
  <c r="H25" i="4"/>
  <c r="A25" i="4" a="1"/>
  <c r="A25" i="4" s="1"/>
  <c r="A26" i="4" a="1"/>
  <c r="A26" i="4" s="1"/>
  <c r="H26" i="4"/>
  <c r="A31" i="4" a="1"/>
  <c r="A31" i="4" s="1"/>
  <c r="H31" i="4"/>
  <c r="A18" i="4" a="1"/>
  <c r="A18" i="4" s="1"/>
  <c r="H18" i="4"/>
  <c r="H30" i="4"/>
  <c r="A30" i="4" a="1"/>
  <c r="A30" i="4" s="1"/>
  <c r="H28" i="14"/>
  <c r="A28" i="14" a="1"/>
  <c r="A28" i="14" s="1"/>
  <c r="H23" i="14"/>
  <c r="A23" i="14" a="1"/>
  <c r="A23" i="14" s="1"/>
  <c r="H24" i="14"/>
  <c r="A24" i="14" a="1"/>
  <c r="A24" i="14" s="1"/>
  <c r="DY18" i="4"/>
  <c r="DY27" i="4"/>
  <c r="DY11" i="4"/>
  <c r="DY29" i="4"/>
  <c r="DY30" i="4"/>
  <c r="DY9" i="4"/>
  <c r="DY26" i="4"/>
  <c r="DY5" i="4"/>
  <c r="DY31" i="4"/>
  <c r="DY25" i="4"/>
  <c r="DY21" i="4"/>
  <c r="J9" i="4"/>
  <c r="J11" i="4"/>
  <c r="DB31" i="4"/>
  <c r="DB5" i="4"/>
  <c r="DB29" i="4"/>
  <c r="M29" i="4" s="1"/>
  <c r="J21" i="4"/>
  <c r="OH28" i="14"/>
  <c r="OK28" i="14" s="1"/>
  <c r="AS11" i="4"/>
  <c r="AS25" i="14"/>
  <c r="DB25" i="14"/>
  <c r="J28" i="14"/>
  <c r="OH11" i="4"/>
  <c r="DC5" i="4"/>
  <c r="DB11" i="4"/>
  <c r="DC11" i="4"/>
  <c r="L11" i="4"/>
  <c r="OH5" i="4"/>
  <c r="J5" i="4"/>
  <c r="J31" i="4"/>
  <c r="OH27" i="4"/>
  <c r="OH26" i="4"/>
  <c r="OH9" i="4"/>
  <c r="DB9" i="4"/>
  <c r="DC9" i="4"/>
  <c r="L9" i="4"/>
  <c r="OH31" i="4"/>
  <c r="DC26" i="4"/>
  <c r="L26" i="4"/>
  <c r="J26" i="4"/>
  <c r="DB26" i="4"/>
  <c r="OH29" i="4"/>
  <c r="DC31" i="4"/>
  <c r="L31" i="4"/>
  <c r="OH30" i="4"/>
  <c r="L29" i="4"/>
  <c r="J29" i="4"/>
  <c r="OH21" i="4"/>
  <c r="DC27" i="4"/>
  <c r="L27" i="4"/>
  <c r="J27" i="4"/>
  <c r="DB27" i="4"/>
  <c r="AS30" i="4"/>
  <c r="DC30" i="4"/>
  <c r="L30" i="4"/>
  <c r="J30" i="4"/>
  <c r="DB30" i="4"/>
  <c r="OH18" i="4"/>
  <c r="AS21" i="4"/>
  <c r="OH25" i="4"/>
  <c r="DB21" i="4"/>
  <c r="DC21" i="4"/>
  <c r="L21" i="4"/>
  <c r="L18" i="4"/>
  <c r="AS18" i="4"/>
  <c r="DB18" i="4"/>
  <c r="M18" i="4" s="1"/>
  <c r="J18" i="4"/>
  <c r="AS25" i="4"/>
  <c r="DC25" i="4"/>
  <c r="L25" i="4"/>
  <c r="J25" i="4"/>
  <c r="DB25" i="4"/>
  <c r="DC28" i="14"/>
  <c r="M28" i="14" s="1"/>
  <c r="L28" i="14"/>
  <c r="OH25" i="14"/>
  <c r="DC25" i="14"/>
  <c r="OH23" i="14"/>
  <c r="OH24" i="14"/>
  <c r="J24" i="14"/>
  <c r="DC24" i="14"/>
  <c r="M24" i="14" s="1"/>
  <c r="L24" i="14"/>
  <c r="J23" i="14"/>
  <c r="DC23" i="14"/>
  <c r="M23" i="14" s="1"/>
  <c r="L23" i="14"/>
  <c r="M31" i="4" l="1"/>
  <c r="N31" i="4" s="1"/>
  <c r="E18" i="4"/>
  <c r="E29" i="4"/>
  <c r="M5" i="4"/>
  <c r="E5" i="4" s="1"/>
  <c r="OK25" i="14"/>
  <c r="OK26" i="4"/>
  <c r="OK25" i="4"/>
  <c r="OK30" i="4"/>
  <c r="OK27" i="4"/>
  <c r="OK21" i="4"/>
  <c r="OK31" i="4"/>
  <c r="M25" i="14"/>
  <c r="N25" i="14" s="1"/>
  <c r="M11" i="4"/>
  <c r="E11" i="4" s="1"/>
  <c r="M9" i="4"/>
  <c r="E9" i="4" s="1"/>
  <c r="M26" i="4"/>
  <c r="E26" i="4" s="1"/>
  <c r="N29" i="4"/>
  <c r="O29" i="4"/>
  <c r="M27" i="4"/>
  <c r="E27" i="4" s="1"/>
  <c r="M21" i="4"/>
  <c r="E21" i="4" s="1"/>
  <c r="M30" i="4"/>
  <c r="N18" i="4"/>
  <c r="O18" i="4"/>
  <c r="M25" i="4"/>
  <c r="E25" i="4" s="1"/>
  <c r="N28" i="14"/>
  <c r="O28" i="14"/>
  <c r="E28" i="14"/>
  <c r="E24" i="14"/>
  <c r="N24" i="14"/>
  <c r="O24" i="14"/>
  <c r="N23" i="14"/>
  <c r="O23" i="14"/>
  <c r="E23" i="14"/>
  <c r="O31" i="4" l="1"/>
  <c r="E31" i="4"/>
  <c r="N30" i="4"/>
  <c r="E30" i="4"/>
  <c r="O5" i="4"/>
  <c r="N5" i="4"/>
  <c r="O11" i="4"/>
  <c r="N11" i="4"/>
  <c r="E25" i="14"/>
  <c r="O25" i="14"/>
  <c r="O9" i="4"/>
  <c r="N9" i="4"/>
  <c r="N26" i="4"/>
  <c r="O26" i="4"/>
  <c r="O21" i="4"/>
  <c r="N21" i="4"/>
  <c r="O30" i="4"/>
  <c r="N27" i="4"/>
  <c r="O27" i="4"/>
  <c r="N25" i="4"/>
  <c r="O25" i="4"/>
  <c r="BV7" i="14" l="1"/>
  <c r="BU7" i="14"/>
  <c r="BS7" i="14"/>
  <c r="BR7" i="14"/>
  <c r="BQ7" i="14"/>
  <c r="BP7" i="14"/>
  <c r="BO7" i="14"/>
  <c r="BV15" i="14"/>
  <c r="BU15" i="14"/>
  <c r="BS15" i="14"/>
  <c r="BR15" i="14"/>
  <c r="BQ15" i="14"/>
  <c r="BP15" i="14"/>
  <c r="BO15" i="14"/>
  <c r="BV22" i="14"/>
  <c r="BU22" i="14"/>
  <c r="BS22" i="14"/>
  <c r="BR22" i="14"/>
  <c r="BQ22" i="14"/>
  <c r="BP22" i="14"/>
  <c r="BO22" i="14"/>
  <c r="BV19" i="14"/>
  <c r="BU19" i="14"/>
  <c r="BS19" i="14"/>
  <c r="BR19" i="14"/>
  <c r="BQ19" i="14"/>
  <c r="BP19" i="14"/>
  <c r="BO19" i="14"/>
  <c r="BV21" i="14"/>
  <c r="BU21" i="14"/>
  <c r="BS21" i="14"/>
  <c r="BR21" i="14"/>
  <c r="BQ21" i="14"/>
  <c r="BP21" i="14"/>
  <c r="BO21" i="14"/>
  <c r="BV27" i="14"/>
  <c r="BU27" i="14"/>
  <c r="BS27" i="14"/>
  <c r="BR27" i="14"/>
  <c r="BQ27" i="14"/>
  <c r="BP27" i="14"/>
  <c r="BO27" i="14"/>
  <c r="BV20" i="14"/>
  <c r="BU20" i="14"/>
  <c r="BS20" i="14"/>
  <c r="BR20" i="14"/>
  <c r="BQ20" i="14"/>
  <c r="BP20" i="14"/>
  <c r="BO20" i="14"/>
  <c r="BV12" i="14"/>
  <c r="BU12" i="14"/>
  <c r="BS12" i="14"/>
  <c r="BR12" i="14"/>
  <c r="BQ12" i="14"/>
  <c r="BP12" i="14"/>
  <c r="BO12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1" i="14"/>
  <c r="BU11" i="14"/>
  <c r="BS11" i="14"/>
  <c r="BR11" i="14"/>
  <c r="BQ11" i="14"/>
  <c r="BP11" i="14"/>
  <c r="BO11" i="14"/>
  <c r="BV16" i="14"/>
  <c r="BU16" i="14"/>
  <c r="BS16" i="14"/>
  <c r="BR16" i="14"/>
  <c r="BQ16" i="14"/>
  <c r="BP16" i="14"/>
  <c r="BO16" i="14"/>
  <c r="BV26" i="14"/>
  <c r="BU26" i="14"/>
  <c r="BS26" i="14"/>
  <c r="BR26" i="14"/>
  <c r="BQ26" i="14"/>
  <c r="BP26" i="14"/>
  <c r="BO26" i="14"/>
  <c r="BV13" i="14"/>
  <c r="BU13" i="14"/>
  <c r="BS13" i="14"/>
  <c r="BR13" i="14"/>
  <c r="BQ13" i="14"/>
  <c r="BP13" i="14"/>
  <c r="BO13" i="14"/>
  <c r="BV14" i="14"/>
  <c r="BU14" i="14"/>
  <c r="BS14" i="14"/>
  <c r="BR14" i="14"/>
  <c r="BQ14" i="14"/>
  <c r="BP14" i="14"/>
  <c r="BO14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6" i="14"/>
  <c r="BU6" i="14"/>
  <c r="BS6" i="14"/>
  <c r="BR6" i="14"/>
  <c r="BQ6" i="14"/>
  <c r="BP6" i="14"/>
  <c r="BO6" i="14"/>
  <c r="BV8" i="14"/>
  <c r="BU8" i="14"/>
  <c r="BS8" i="14"/>
  <c r="BR8" i="14"/>
  <c r="BQ8" i="14"/>
  <c r="BP8" i="14"/>
  <c r="BO8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7" i="14"/>
  <c r="AQ7" i="14"/>
  <c r="AO7" i="14"/>
  <c r="AN7" i="14"/>
  <c r="AM7" i="14"/>
  <c r="AL7" i="14"/>
  <c r="AK7" i="14"/>
  <c r="AR15" i="14"/>
  <c r="AQ15" i="14"/>
  <c r="AO15" i="14"/>
  <c r="AN15" i="14"/>
  <c r="AM15" i="14"/>
  <c r="AL15" i="14"/>
  <c r="AK15" i="14"/>
  <c r="AR22" i="14"/>
  <c r="AQ22" i="14"/>
  <c r="AO22" i="14"/>
  <c r="AN22" i="14"/>
  <c r="AM22" i="14"/>
  <c r="AL22" i="14"/>
  <c r="AK22" i="14"/>
  <c r="AR19" i="14"/>
  <c r="AQ19" i="14"/>
  <c r="AO19" i="14"/>
  <c r="AN19" i="14"/>
  <c r="AM19" i="14"/>
  <c r="AL19" i="14"/>
  <c r="AK19" i="14"/>
  <c r="AR21" i="14"/>
  <c r="AQ21" i="14"/>
  <c r="AO21" i="14"/>
  <c r="AN21" i="14"/>
  <c r="AM21" i="14"/>
  <c r="AL21" i="14"/>
  <c r="AK21" i="14"/>
  <c r="AR27" i="14"/>
  <c r="AQ27" i="14"/>
  <c r="AO27" i="14"/>
  <c r="AN27" i="14"/>
  <c r="AM27" i="14"/>
  <c r="AL27" i="14"/>
  <c r="AK27" i="14"/>
  <c r="AR20" i="14"/>
  <c r="AQ20" i="14"/>
  <c r="AO20" i="14"/>
  <c r="AN20" i="14"/>
  <c r="AM20" i="14"/>
  <c r="AL20" i="14"/>
  <c r="AK20" i="14"/>
  <c r="AR12" i="14"/>
  <c r="AQ12" i="14"/>
  <c r="AO12" i="14"/>
  <c r="AN12" i="14"/>
  <c r="AM12" i="14"/>
  <c r="AL12" i="14"/>
  <c r="AK12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1" i="14"/>
  <c r="AQ11" i="14"/>
  <c r="AO11" i="14"/>
  <c r="AN11" i="14"/>
  <c r="AM11" i="14"/>
  <c r="AL11" i="14"/>
  <c r="AK11" i="14"/>
  <c r="AR16" i="14"/>
  <c r="AQ16" i="14"/>
  <c r="AO16" i="14"/>
  <c r="AN16" i="14"/>
  <c r="AM16" i="14"/>
  <c r="AL16" i="14"/>
  <c r="AK16" i="14"/>
  <c r="AR26" i="14"/>
  <c r="AQ26" i="14"/>
  <c r="AO26" i="14"/>
  <c r="AN26" i="14"/>
  <c r="AM26" i="14"/>
  <c r="AL26" i="14"/>
  <c r="AK26" i="14"/>
  <c r="AR13" i="14"/>
  <c r="AQ13" i="14"/>
  <c r="AO13" i="14"/>
  <c r="AN13" i="14"/>
  <c r="AM13" i="14"/>
  <c r="AL13" i="14"/>
  <c r="AK13" i="14"/>
  <c r="AR14" i="14"/>
  <c r="AQ14" i="14"/>
  <c r="AO14" i="14"/>
  <c r="AN14" i="14"/>
  <c r="AM14" i="14"/>
  <c r="AL14" i="14"/>
  <c r="AK14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6" i="14"/>
  <c r="AQ6" i="14"/>
  <c r="AO6" i="14"/>
  <c r="AN6" i="14"/>
  <c r="AM6" i="14"/>
  <c r="AL6" i="14"/>
  <c r="AK6" i="14"/>
  <c r="AR8" i="14"/>
  <c r="AQ8" i="14"/>
  <c r="AO8" i="14"/>
  <c r="AN8" i="14"/>
  <c r="AM8" i="14"/>
  <c r="AL8" i="14"/>
  <c r="AK8" i="14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28" i="4"/>
  <c r="BU28" i="4"/>
  <c r="BS28" i="4"/>
  <c r="BR28" i="4"/>
  <c r="BQ28" i="4"/>
  <c r="BP28" i="4"/>
  <c r="BO28" i="4"/>
  <c r="BV24" i="4"/>
  <c r="BU24" i="4"/>
  <c r="BS24" i="4"/>
  <c r="BR24" i="4"/>
  <c r="BQ24" i="4"/>
  <c r="BP24" i="4"/>
  <c r="BO24" i="4"/>
  <c r="BV10" i="4"/>
  <c r="BU10" i="4"/>
  <c r="BS10" i="4"/>
  <c r="BR10" i="4"/>
  <c r="BQ10" i="4"/>
  <c r="BP10" i="4"/>
  <c r="BO10" i="4"/>
  <c r="BV23" i="4"/>
  <c r="BU23" i="4"/>
  <c r="BS23" i="4"/>
  <c r="BR23" i="4"/>
  <c r="BQ23" i="4"/>
  <c r="BP23" i="4"/>
  <c r="BO23" i="4"/>
  <c r="BV20" i="4"/>
  <c r="BU20" i="4"/>
  <c r="BS20" i="4"/>
  <c r="BR20" i="4"/>
  <c r="BQ20" i="4"/>
  <c r="BP20" i="4"/>
  <c r="BO20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V13" i="4"/>
  <c r="BU13" i="4"/>
  <c r="BS13" i="4"/>
  <c r="BR13" i="4"/>
  <c r="BQ13" i="4"/>
  <c r="BP13" i="4"/>
  <c r="BO13" i="4"/>
  <c r="BV14" i="4"/>
  <c r="BU14" i="4"/>
  <c r="BS14" i="4"/>
  <c r="BR14" i="4"/>
  <c r="BQ14" i="4"/>
  <c r="BP14" i="4"/>
  <c r="BO14" i="4"/>
  <c r="BV15" i="4"/>
  <c r="BU15" i="4"/>
  <c r="BS15" i="4"/>
  <c r="BR15" i="4"/>
  <c r="BQ15" i="4"/>
  <c r="BP15" i="4"/>
  <c r="BO15" i="4"/>
  <c r="BV6" i="4"/>
  <c r="BU6" i="4"/>
  <c r="BS6" i="4"/>
  <c r="BR6" i="4"/>
  <c r="BQ6" i="4"/>
  <c r="BP6" i="4"/>
  <c r="BO6" i="4"/>
  <c r="BV12" i="4"/>
  <c r="BU12" i="4"/>
  <c r="BS12" i="4"/>
  <c r="BR12" i="4"/>
  <c r="BQ12" i="4"/>
  <c r="BP12" i="4"/>
  <c r="BO12" i="4"/>
  <c r="BV8" i="4"/>
  <c r="BU8" i="4"/>
  <c r="BS8" i="4"/>
  <c r="BR8" i="4"/>
  <c r="BQ8" i="4"/>
  <c r="BP8" i="4"/>
  <c r="BO8" i="4"/>
  <c r="BV7" i="4"/>
  <c r="BU7" i="4"/>
  <c r="BS7" i="4"/>
  <c r="BR7" i="4"/>
  <c r="BQ7" i="4"/>
  <c r="BP7" i="4"/>
  <c r="BO7" i="4"/>
  <c r="BV22" i="4"/>
  <c r="BU22" i="4"/>
  <c r="BS22" i="4"/>
  <c r="BR22" i="4"/>
  <c r="BQ22" i="4"/>
  <c r="BP22" i="4"/>
  <c r="BO22" i="4"/>
  <c r="BV19" i="4"/>
  <c r="BU19" i="4"/>
  <c r="BS19" i="4"/>
  <c r="BR19" i="4"/>
  <c r="BQ19" i="4"/>
  <c r="BP19" i="4"/>
  <c r="BO19" i="4"/>
  <c r="BV4" i="4"/>
  <c r="BU4" i="4"/>
  <c r="BS4" i="4"/>
  <c r="BR4" i="4"/>
  <c r="BQ4" i="4"/>
  <c r="BP4" i="4"/>
  <c r="BO4" i="4"/>
  <c r="AR28" i="4"/>
  <c r="AQ28" i="4"/>
  <c r="AO28" i="4"/>
  <c r="AN28" i="4"/>
  <c r="AM28" i="4"/>
  <c r="AL28" i="4"/>
  <c r="AK28" i="4"/>
  <c r="AR24" i="4"/>
  <c r="AQ24" i="4"/>
  <c r="AO24" i="4"/>
  <c r="AN24" i="4"/>
  <c r="AM24" i="4"/>
  <c r="AL24" i="4"/>
  <c r="AK24" i="4"/>
  <c r="AR10" i="4"/>
  <c r="AQ10" i="4"/>
  <c r="AO10" i="4"/>
  <c r="AN10" i="4"/>
  <c r="AM10" i="4"/>
  <c r="AL10" i="4"/>
  <c r="AK10" i="4"/>
  <c r="AR23" i="4"/>
  <c r="AQ23" i="4"/>
  <c r="AO23" i="4"/>
  <c r="AN23" i="4"/>
  <c r="AM23" i="4"/>
  <c r="AL23" i="4"/>
  <c r="AK23" i="4"/>
  <c r="AR20" i="4"/>
  <c r="AQ20" i="4"/>
  <c r="AO20" i="4"/>
  <c r="AN20" i="4"/>
  <c r="AM20" i="4"/>
  <c r="AL20" i="4"/>
  <c r="AK20" i="4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3" i="4"/>
  <c r="AQ13" i="4"/>
  <c r="AO13" i="4"/>
  <c r="AN13" i="4"/>
  <c r="AM13" i="4"/>
  <c r="AL13" i="4"/>
  <c r="AK13" i="4"/>
  <c r="AR14" i="4"/>
  <c r="AQ14" i="4"/>
  <c r="AO14" i="4"/>
  <c r="AN14" i="4"/>
  <c r="AM14" i="4"/>
  <c r="AL14" i="4"/>
  <c r="AK14" i="4"/>
  <c r="AR15" i="4"/>
  <c r="AQ15" i="4"/>
  <c r="AO15" i="4"/>
  <c r="AN15" i="4"/>
  <c r="AM15" i="4"/>
  <c r="AL15" i="4"/>
  <c r="AK15" i="4"/>
  <c r="AR6" i="4"/>
  <c r="AQ6" i="4"/>
  <c r="AO6" i="4"/>
  <c r="AN6" i="4"/>
  <c r="AM6" i="4"/>
  <c r="AL6" i="4"/>
  <c r="AK6" i="4"/>
  <c r="AR12" i="4"/>
  <c r="AQ12" i="4"/>
  <c r="AO12" i="4"/>
  <c r="AN12" i="4"/>
  <c r="AM12" i="4"/>
  <c r="AL12" i="4"/>
  <c r="AK12" i="4"/>
  <c r="AR8" i="4"/>
  <c r="AQ8" i="4"/>
  <c r="AO8" i="4"/>
  <c r="AN8" i="4"/>
  <c r="AM8" i="4"/>
  <c r="AL8" i="4"/>
  <c r="AK8" i="4"/>
  <c r="AR7" i="4"/>
  <c r="AQ7" i="4"/>
  <c r="AO7" i="4"/>
  <c r="AN7" i="4"/>
  <c r="AM7" i="4"/>
  <c r="AL7" i="4"/>
  <c r="AK7" i="4"/>
  <c r="AR22" i="4"/>
  <c r="AQ22" i="4"/>
  <c r="AO22" i="4"/>
  <c r="AN22" i="4"/>
  <c r="AM22" i="4"/>
  <c r="AL22" i="4"/>
  <c r="AK22" i="4"/>
  <c r="AR19" i="4"/>
  <c r="AQ19" i="4"/>
  <c r="AO19" i="4"/>
  <c r="AN19" i="4"/>
  <c r="AM19" i="4"/>
  <c r="AL19" i="4"/>
  <c r="AK19" i="4"/>
  <c r="AR4" i="4"/>
  <c r="AQ4" i="4"/>
  <c r="AO4" i="4"/>
  <c r="AN4" i="4"/>
  <c r="AM4" i="4"/>
  <c r="AL4" i="4"/>
  <c r="AK4" i="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16" i="14"/>
  <c r="CT16" i="14"/>
  <c r="CU16" i="14"/>
  <c r="CV16" i="14"/>
  <c r="CW16" i="14"/>
  <c r="CY16" i="14"/>
  <c r="CZ16" i="14"/>
  <c r="DS16" i="14"/>
  <c r="DT16" i="14"/>
  <c r="DU16" i="14"/>
  <c r="DW16" i="14"/>
  <c r="DX16" i="14"/>
  <c r="EO16" i="14"/>
  <c r="EP16" i="14"/>
  <c r="EQ16" i="14"/>
  <c r="ES16" i="14"/>
  <c r="ET16" i="14"/>
  <c r="FK16" i="14"/>
  <c r="FL16" i="14"/>
  <c r="FM16" i="14"/>
  <c r="FO16" i="14"/>
  <c r="FP16" i="14"/>
  <c r="GG16" i="14"/>
  <c r="GH16" i="14"/>
  <c r="GI16" i="14"/>
  <c r="GK16" i="14"/>
  <c r="GL16" i="14"/>
  <c r="HC16" i="14"/>
  <c r="HD16" i="14"/>
  <c r="HE16" i="14"/>
  <c r="HG16" i="14"/>
  <c r="HH16" i="14"/>
  <c r="HY16" i="14"/>
  <c r="HZ16" i="14"/>
  <c r="IA16" i="14"/>
  <c r="IC16" i="14"/>
  <c r="ID16" i="14"/>
  <c r="IU16" i="14"/>
  <c r="IV16" i="14"/>
  <c r="IW16" i="14"/>
  <c r="IY16" i="14"/>
  <c r="IZ16" i="14"/>
  <c r="JQ16" i="14"/>
  <c r="JR16" i="14"/>
  <c r="JS16" i="14"/>
  <c r="JU16" i="14"/>
  <c r="JV16" i="14"/>
  <c r="KM16" i="14"/>
  <c r="KN16" i="14"/>
  <c r="KO16" i="14"/>
  <c r="KQ16" i="14"/>
  <c r="KR16" i="14"/>
  <c r="LI16" i="14"/>
  <c r="LJ16" i="14"/>
  <c r="LK16" i="14"/>
  <c r="LM16" i="14"/>
  <c r="LN16" i="14"/>
  <c r="ME16" i="14"/>
  <c r="MF16" i="14"/>
  <c r="MG16" i="14"/>
  <c r="MI16" i="14"/>
  <c r="MJ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G23" i="4" l="1"/>
  <c r="G17" i="4"/>
  <c r="OJ28" i="4"/>
  <c r="G28" i="4"/>
  <c r="G24" i="4"/>
  <c r="F6" i="14"/>
  <c r="G18" i="14"/>
  <c r="G7" i="14"/>
  <c r="G6" i="14"/>
  <c r="F22" i="14"/>
  <c r="F16" i="14"/>
  <c r="G22" i="14"/>
  <c r="G16" i="14"/>
  <c r="F21" i="14"/>
  <c r="G21" i="14"/>
  <c r="F18" i="14"/>
  <c r="F7" i="14"/>
  <c r="AP8" i="14"/>
  <c r="F23" i="4"/>
  <c r="F17" i="4"/>
  <c r="F28" i="4"/>
  <c r="F24" i="4"/>
  <c r="BT26" i="14"/>
  <c r="BW26" i="14" s="1"/>
  <c r="BT21" i="14"/>
  <c r="BW21" i="14" s="1"/>
  <c r="BT6" i="4"/>
  <c r="BW6" i="4" s="1"/>
  <c r="BT17" i="4"/>
  <c r="BW17" i="4" s="1"/>
  <c r="OJ23" i="4"/>
  <c r="BT10" i="4"/>
  <c r="BW10" i="4" s="1"/>
  <c r="BT8" i="14"/>
  <c r="BW8" i="14" s="1"/>
  <c r="BT27" i="14"/>
  <c r="BW27" i="14" s="1"/>
  <c r="OJ24" i="4"/>
  <c r="OJ29" i="4"/>
  <c r="BT24" i="4"/>
  <c r="BW24" i="4" s="1"/>
  <c r="AS8" i="14"/>
  <c r="AP21" i="14"/>
  <c r="AS21" i="14" s="1"/>
  <c r="BT15" i="14"/>
  <c r="BW15" i="14" s="1"/>
  <c r="BT22" i="14"/>
  <c r="BW22" i="14" s="1"/>
  <c r="AP19" i="4"/>
  <c r="AS19" i="4" s="1"/>
  <c r="AP11" i="14"/>
  <c r="AS11" i="14" s="1"/>
  <c r="AP27" i="14"/>
  <c r="AS27" i="14" s="1"/>
  <c r="BT14" i="14"/>
  <c r="BW14" i="14" s="1"/>
  <c r="BT12" i="14"/>
  <c r="BW12" i="14" s="1"/>
  <c r="AP10" i="14"/>
  <c r="AS10" i="14" s="1"/>
  <c r="AP6" i="4"/>
  <c r="AS6" i="4" s="1"/>
  <c r="BT20" i="4"/>
  <c r="BW20" i="4" s="1"/>
  <c r="AP17" i="4"/>
  <c r="AS17" i="4" s="1"/>
  <c r="AP15" i="4"/>
  <c r="AS15" i="4" s="1"/>
  <c r="AP12" i="4"/>
  <c r="AS12" i="4" s="1"/>
  <c r="BT19" i="14"/>
  <c r="BW19" i="14" s="1"/>
  <c r="AP18" i="14"/>
  <c r="AS18" i="14" s="1"/>
  <c r="BT7" i="14"/>
  <c r="BW7" i="14" s="1"/>
  <c r="AP22" i="14"/>
  <c r="AS22" i="14" s="1"/>
  <c r="BT10" i="14"/>
  <c r="BW10" i="14" s="1"/>
  <c r="AP26" i="14"/>
  <c r="AS26" i="14" s="1"/>
  <c r="AP6" i="14"/>
  <c r="AS6" i="14" s="1"/>
  <c r="AP14" i="14"/>
  <c r="AS14" i="14" s="1"/>
  <c r="AP16" i="14"/>
  <c r="AS16" i="14" s="1"/>
  <c r="AP20" i="14"/>
  <c r="AS20" i="14" s="1"/>
  <c r="BT11" i="14"/>
  <c r="BW11" i="14" s="1"/>
  <c r="AP12" i="14"/>
  <c r="AS12" i="14" s="1"/>
  <c r="BT5" i="14"/>
  <c r="BW5" i="14" s="1"/>
  <c r="BT9" i="14"/>
  <c r="BW9" i="14" s="1"/>
  <c r="AP19" i="14"/>
  <c r="AS19" i="14" s="1"/>
  <c r="BT4" i="14"/>
  <c r="BW4" i="14" s="1"/>
  <c r="BT18" i="14"/>
  <c r="BW18" i="14" s="1"/>
  <c r="AP5" i="14"/>
  <c r="AS5" i="14" s="1"/>
  <c r="AP9" i="14"/>
  <c r="AS9" i="14" s="1"/>
  <c r="BT17" i="14"/>
  <c r="BW17" i="14" s="1"/>
  <c r="AP4" i="14"/>
  <c r="AS4" i="14" s="1"/>
  <c r="AP7" i="14"/>
  <c r="AS7" i="14" s="1"/>
  <c r="BT6" i="14"/>
  <c r="BW6" i="14" s="1"/>
  <c r="BT13" i="14"/>
  <c r="BW13" i="14" s="1"/>
  <c r="AP17" i="14"/>
  <c r="AS17" i="14" s="1"/>
  <c r="AP13" i="14"/>
  <c r="AS13" i="14" s="1"/>
  <c r="BT16" i="14"/>
  <c r="BW16" i="14" s="1"/>
  <c r="BT20" i="14"/>
  <c r="BW20" i="14" s="1"/>
  <c r="AP15" i="14"/>
  <c r="AS15" i="14" s="1"/>
  <c r="BT4" i="4"/>
  <c r="BW4" i="4" s="1"/>
  <c r="AP7" i="4"/>
  <c r="AS7" i="4" s="1"/>
  <c r="AP10" i="4"/>
  <c r="AS10" i="4" s="1"/>
  <c r="BT8" i="4"/>
  <c r="BW8" i="4" s="1"/>
  <c r="BT23" i="4"/>
  <c r="BW23" i="4" s="1"/>
  <c r="AP4" i="4"/>
  <c r="AS4" i="4" s="1"/>
  <c r="BT19" i="4"/>
  <c r="BW19" i="4" s="1"/>
  <c r="AP20" i="4"/>
  <c r="AS20" i="4" s="1"/>
  <c r="BT22" i="4"/>
  <c r="BW22" i="4" s="1"/>
  <c r="AP16" i="4"/>
  <c r="AS16" i="4" s="1"/>
  <c r="BT12" i="4"/>
  <c r="BW12" i="4" s="1"/>
  <c r="BT16" i="4"/>
  <c r="BW16" i="4" s="1"/>
  <c r="AP13" i="4"/>
  <c r="AS13" i="4" s="1"/>
  <c r="BT13" i="4"/>
  <c r="BW13" i="4" s="1"/>
  <c r="AP14" i="4"/>
  <c r="AS14" i="4" s="1"/>
  <c r="AP28" i="4"/>
  <c r="AS28" i="4" s="1"/>
  <c r="BT14" i="4"/>
  <c r="BW14" i="4" s="1"/>
  <c r="AP8" i="4"/>
  <c r="AS8" i="4" s="1"/>
  <c r="AP24" i="4"/>
  <c r="AS24" i="4" s="1"/>
  <c r="BT28" i="4"/>
  <c r="BW28" i="4" s="1"/>
  <c r="AP22" i="4"/>
  <c r="AS22" i="4" s="1"/>
  <c r="AP23" i="4"/>
  <c r="AS23" i="4" s="1"/>
  <c r="BT7" i="4"/>
  <c r="BW7" i="4" s="1"/>
  <c r="BT15" i="4"/>
  <c r="BW15" i="4" s="1"/>
  <c r="ND28" i="4"/>
  <c r="NG28" i="4" s="1"/>
  <c r="LL18" i="14"/>
  <c r="LO18" i="14" s="1"/>
  <c r="ER18" i="14"/>
  <c r="EU18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17" i="4"/>
  <c r="FQ17" i="4" s="1"/>
  <c r="ND7" i="14"/>
  <c r="NG7" i="14" s="1"/>
  <c r="OC7" i="14"/>
  <c r="OE7" i="14"/>
  <c r="I7" i="14"/>
  <c r="J7" i="14" s="1"/>
  <c r="K7" i="14"/>
  <c r="MH18" i="14"/>
  <c r="MK18" i="14" s="1"/>
  <c r="ND6" i="14"/>
  <c r="NG6" i="14" s="1"/>
  <c r="GJ6" i="14"/>
  <c r="GM6" i="14" s="1"/>
  <c r="MH6" i="14"/>
  <c r="MK6" i="14" s="1"/>
  <c r="IX6" i="14"/>
  <c r="JA6" i="14" s="1"/>
  <c r="JT6" i="14"/>
  <c r="JW6" i="14" s="1"/>
  <c r="IB18" i="14"/>
  <c r="IE18" i="14" s="1"/>
  <c r="IB6" i="14"/>
  <c r="IE6" i="14" s="1"/>
  <c r="DV6" i="14"/>
  <c r="DY6" i="14" s="1"/>
  <c r="ND21" i="14"/>
  <c r="NG21" i="14" s="1"/>
  <c r="LL21" i="14"/>
  <c r="LO21" i="14" s="1"/>
  <c r="KP6" i="14"/>
  <c r="KS6" i="14" s="1"/>
  <c r="KP18" i="14"/>
  <c r="KS18" i="14" s="1"/>
  <c r="ER17" i="4"/>
  <c r="EU17" i="4" s="1"/>
  <c r="ER24" i="4"/>
  <c r="EU24" i="4" s="1"/>
  <c r="MH24" i="4"/>
  <c r="MK24" i="4" s="1"/>
  <c r="FN24" i="4"/>
  <c r="FQ24" i="4" s="1"/>
  <c r="CX17" i="4"/>
  <c r="DA17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L6" i="14" s="1"/>
  <c r="I6" i="14"/>
  <c r="J6" i="14" s="1"/>
  <c r="MH22" i="14"/>
  <c r="MK22" i="14" s="1"/>
  <c r="GJ21" i="14"/>
  <c r="GM21" i="14" s="1"/>
  <c r="JT18" i="14"/>
  <c r="JW18" i="14" s="1"/>
  <c r="FN18" i="14"/>
  <c r="FQ18" i="14" s="1"/>
  <c r="ER22" i="14"/>
  <c r="EU22" i="14" s="1"/>
  <c r="FN22" i="14"/>
  <c r="FQ22" i="14" s="1"/>
  <c r="KP22" i="14"/>
  <c r="KS22" i="14" s="1"/>
  <c r="KP21" i="14"/>
  <c r="KS21" i="14" s="1"/>
  <c r="LL16" i="14"/>
  <c r="LO16" i="14" s="1"/>
  <c r="MH16" i="14"/>
  <c r="MK16" i="14" s="1"/>
  <c r="IB21" i="14"/>
  <c r="IE21" i="14" s="1"/>
  <c r="ND22" i="14"/>
  <c r="NG22" i="14" s="1"/>
  <c r="CX18" i="14"/>
  <c r="DA18" i="14" s="1"/>
  <c r="OG22" i="14"/>
  <c r="DV22" i="14"/>
  <c r="DY22" i="14" s="1"/>
  <c r="IX18" i="14"/>
  <c r="JA18" i="14" s="1"/>
  <c r="GJ18" i="14"/>
  <c r="GM18" i="14" s="1"/>
  <c r="IX16" i="14"/>
  <c r="JA16" i="14" s="1"/>
  <c r="ND24" i="4"/>
  <c r="NG24" i="4" s="1"/>
  <c r="GJ24" i="4"/>
  <c r="GM24" i="4" s="1"/>
  <c r="IX17" i="4"/>
  <c r="JA17" i="4" s="1"/>
  <c r="HF17" i="4"/>
  <c r="HI17" i="4" s="1"/>
  <c r="JT17" i="4"/>
  <c r="JW17" i="4" s="1"/>
  <c r="OE17" i="4"/>
  <c r="KP24" i="4"/>
  <c r="KS24" i="4" s="1"/>
  <c r="IB17" i="4"/>
  <c r="IE17" i="4" s="1"/>
  <c r="CX24" i="4"/>
  <c r="DA24" i="4" s="1"/>
  <c r="OG17" i="4"/>
  <c r="GJ17" i="4"/>
  <c r="GM17" i="4" s="1"/>
  <c r="DV17" i="4"/>
  <c r="OC18" i="14"/>
  <c r="CX22" i="14"/>
  <c r="DA22" i="14" s="1"/>
  <c r="OE22" i="14"/>
  <c r="CX21" i="14"/>
  <c r="DA21" i="14" s="1"/>
  <c r="ND18" i="14"/>
  <c r="NG18" i="14" s="1"/>
  <c r="HF18" i="14"/>
  <c r="HI18" i="14" s="1"/>
  <c r="DV18" i="14"/>
  <c r="DY18" i="14" s="1"/>
  <c r="OG18" i="14"/>
  <c r="OE18" i="14"/>
  <c r="K18" i="14"/>
  <c r="L18" i="14" s="1"/>
  <c r="I18" i="14"/>
  <c r="J18" i="14" s="1"/>
  <c r="ER21" i="14"/>
  <c r="EU21" i="14" s="1"/>
  <c r="JT21" i="14"/>
  <c r="JW21" i="14" s="1"/>
  <c r="DV21" i="14"/>
  <c r="DY2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DB22" i="14" s="1"/>
  <c r="K22" i="14"/>
  <c r="IB16" i="14"/>
  <c r="IE16" i="14" s="1"/>
  <c r="CX16" i="14"/>
  <c r="DA16" i="14" s="1"/>
  <c r="IX21" i="14"/>
  <c r="JA21" i="14" s="1"/>
  <c r="KP16" i="14"/>
  <c r="KS16" i="14" s="1"/>
  <c r="OC21" i="14"/>
  <c r="MH21" i="14"/>
  <c r="MK21" i="14" s="1"/>
  <c r="OG21" i="14"/>
  <c r="FN21" i="14"/>
  <c r="FQ21" i="14" s="1"/>
  <c r="HF21" i="14"/>
  <c r="HI21" i="14" s="1"/>
  <c r="I21" i="14"/>
  <c r="J21" i="14" s="1"/>
  <c r="OE21" i="14"/>
  <c r="K21" i="14"/>
  <c r="L21" i="14" s="1"/>
  <c r="OC16" i="14"/>
  <c r="ER16" i="14"/>
  <c r="EU16" i="14" s="1"/>
  <c r="DV16" i="14"/>
  <c r="DY16" i="14" s="1"/>
  <c r="JT16" i="14"/>
  <c r="JW16" i="14" s="1"/>
  <c r="ND16" i="14"/>
  <c r="NG16" i="14" s="1"/>
  <c r="FN16" i="14"/>
  <c r="FQ16" i="14" s="1"/>
  <c r="HF16" i="14"/>
  <c r="HI16" i="14" s="1"/>
  <c r="GJ16" i="14"/>
  <c r="GM16" i="14" s="1"/>
  <c r="OG16" i="14"/>
  <c r="OE16" i="14"/>
  <c r="I16" i="14"/>
  <c r="J16" i="14" s="1"/>
  <c r="K16" i="14"/>
  <c r="FN23" i="4"/>
  <c r="FQ23" i="4" s="1"/>
  <c r="IX24" i="4"/>
  <c r="JA24" i="4" s="1"/>
  <c r="LL17" i="4"/>
  <c r="LO17" i="4" s="1"/>
  <c r="KP28" i="4"/>
  <c r="KS28" i="4" s="1"/>
  <c r="LL24" i="4"/>
  <c r="LO24" i="4" s="1"/>
  <c r="IX28" i="4"/>
  <c r="JA28" i="4" s="1"/>
  <c r="OG24" i="4"/>
  <c r="DV23" i="4"/>
  <c r="IX23" i="4"/>
  <c r="JA23" i="4" s="1"/>
  <c r="GJ28" i="4"/>
  <c r="GM28" i="4" s="1"/>
  <c r="FN28" i="4"/>
  <c r="FQ28" i="4" s="1"/>
  <c r="ND17" i="4"/>
  <c r="NG17" i="4" s="1"/>
  <c r="OE24" i="4"/>
  <c r="CX23" i="4"/>
  <c r="DA23" i="4" s="1"/>
  <c r="MH17" i="4"/>
  <c r="MK17" i="4" s="1"/>
  <c r="KP17" i="4"/>
  <c r="KS17" i="4" s="1"/>
  <c r="OC17" i="4"/>
  <c r="K17" i="4"/>
  <c r="DC17" i="4" s="1"/>
  <c r="I17" i="4"/>
  <c r="JT28" i="4"/>
  <c r="JW28" i="4" s="1"/>
  <c r="ER28" i="4"/>
  <c r="EU28" i="4" s="1"/>
  <c r="DV24" i="4"/>
  <c r="JT24" i="4"/>
  <c r="JW24" i="4" s="1"/>
  <c r="HF24" i="4"/>
  <c r="HI24" i="4" s="1"/>
  <c r="IB24" i="4"/>
  <c r="IE24" i="4" s="1"/>
  <c r="OC24" i="4"/>
  <c r="K24" i="4"/>
  <c r="L24" i="4" s="1"/>
  <c r="I24" i="4"/>
  <c r="LL28" i="4"/>
  <c r="LO28" i="4" s="1"/>
  <c r="DV28" i="4"/>
  <c r="MH28" i="4"/>
  <c r="MK28" i="4" s="1"/>
  <c r="OG28" i="4"/>
  <c r="IB28" i="4"/>
  <c r="IE28" i="4" s="1"/>
  <c r="HF28" i="4"/>
  <c r="HI28" i="4" s="1"/>
  <c r="CX28" i="4"/>
  <c r="DA28" i="4" s="1"/>
  <c r="I28" i="4"/>
  <c r="OE28" i="4"/>
  <c r="OC28" i="4"/>
  <c r="K28" i="4"/>
  <c r="DC28" i="4" s="1"/>
  <c r="OG23" i="4"/>
  <c r="LL23" i="4"/>
  <c r="LO23" i="4" s="1"/>
  <c r="MH23" i="4"/>
  <c r="MK23" i="4" s="1"/>
  <c r="HF23" i="4"/>
  <c r="HI23" i="4" s="1"/>
  <c r="JT23" i="4"/>
  <c r="JW23" i="4" s="1"/>
  <c r="KP23" i="4"/>
  <c r="KS23" i="4" s="1"/>
  <c r="ND23" i="4"/>
  <c r="NG23" i="4" s="1"/>
  <c r="IB23" i="4"/>
  <c r="IE23" i="4" s="1"/>
  <c r="GJ23" i="4"/>
  <c r="GM23" i="4" s="1"/>
  <c r="ER23" i="4"/>
  <c r="EU23" i="4" s="1"/>
  <c r="OC23" i="4"/>
  <c r="OE23" i="4"/>
  <c r="I23" i="4"/>
  <c r="K23" i="4"/>
  <c r="MJ11" i="14"/>
  <c r="MI11" i="14"/>
  <c r="MG11" i="14"/>
  <c r="MF11" i="14"/>
  <c r="ME11" i="14"/>
  <c r="MJ10" i="14"/>
  <c r="MI10" i="14"/>
  <c r="MG10" i="14"/>
  <c r="MF10" i="14"/>
  <c r="ME10" i="14"/>
  <c r="MJ9" i="14"/>
  <c r="MI9" i="14"/>
  <c r="MG9" i="14"/>
  <c r="MF9" i="14"/>
  <c r="ME9" i="14"/>
  <c r="MJ19" i="14"/>
  <c r="MI19" i="14"/>
  <c r="MG19" i="14"/>
  <c r="MF19" i="14"/>
  <c r="ME19" i="14"/>
  <c r="MJ17" i="14"/>
  <c r="MI17" i="14"/>
  <c r="MG17" i="14"/>
  <c r="MF17" i="14"/>
  <c r="ME17" i="14"/>
  <c r="MJ20" i="14"/>
  <c r="MI20" i="14"/>
  <c r="MG20" i="14"/>
  <c r="MF20" i="14"/>
  <c r="ME20" i="14"/>
  <c r="MJ12" i="14"/>
  <c r="MI12" i="14"/>
  <c r="MG12" i="14"/>
  <c r="MF12" i="14"/>
  <c r="ME12" i="14"/>
  <c r="MJ15" i="14"/>
  <c r="MI15" i="14"/>
  <c r="MG15" i="14"/>
  <c r="MF15" i="14"/>
  <c r="ME15" i="14"/>
  <c r="MJ27" i="14"/>
  <c r="MI27" i="14"/>
  <c r="MG27" i="14"/>
  <c r="MF27" i="14"/>
  <c r="ME27" i="14"/>
  <c r="MJ14" i="14"/>
  <c r="MI14" i="14"/>
  <c r="MG14" i="14"/>
  <c r="MF14" i="14"/>
  <c r="ME14" i="14"/>
  <c r="MJ26" i="14"/>
  <c r="MI26" i="14"/>
  <c r="MG26" i="14"/>
  <c r="MF26" i="14"/>
  <c r="ME26" i="14"/>
  <c r="MJ8" i="14"/>
  <c r="MI8" i="14"/>
  <c r="MG8" i="14"/>
  <c r="MF8" i="14"/>
  <c r="ME8" i="14"/>
  <c r="MJ13" i="14"/>
  <c r="MI13" i="14"/>
  <c r="MG13" i="14"/>
  <c r="MF13" i="14"/>
  <c r="ME13" i="14"/>
  <c r="MJ5" i="14"/>
  <c r="MI5" i="14"/>
  <c r="MG5" i="14"/>
  <c r="MF5" i="14"/>
  <c r="ME5" i="14"/>
  <c r="MJ4" i="14"/>
  <c r="MI4" i="14"/>
  <c r="MG4" i="14"/>
  <c r="MF4" i="14"/>
  <c r="ME4" i="14"/>
  <c r="LN11" i="14"/>
  <c r="LM11" i="14"/>
  <c r="LK11" i="14"/>
  <c r="LJ11" i="14"/>
  <c r="LI11" i="14"/>
  <c r="LN10" i="14"/>
  <c r="LM10" i="14"/>
  <c r="LK10" i="14"/>
  <c r="LJ10" i="14"/>
  <c r="LI10" i="14"/>
  <c r="LN9" i="14"/>
  <c r="LM9" i="14"/>
  <c r="LK9" i="14"/>
  <c r="LJ9" i="14"/>
  <c r="LI9" i="14"/>
  <c r="LN19" i="14"/>
  <c r="LM19" i="14"/>
  <c r="LK19" i="14"/>
  <c r="LJ19" i="14"/>
  <c r="LI19" i="14"/>
  <c r="LN17" i="14"/>
  <c r="LM17" i="14"/>
  <c r="LK17" i="14"/>
  <c r="LJ17" i="14"/>
  <c r="LI17" i="14"/>
  <c r="LN20" i="14"/>
  <c r="LM20" i="14"/>
  <c r="LK20" i="14"/>
  <c r="LJ20" i="14"/>
  <c r="LI20" i="14"/>
  <c r="LN12" i="14"/>
  <c r="LM12" i="14"/>
  <c r="LK12" i="14"/>
  <c r="LJ12" i="14"/>
  <c r="LI12" i="14"/>
  <c r="LN15" i="14"/>
  <c r="LM15" i="14"/>
  <c r="LK15" i="14"/>
  <c r="LJ15" i="14"/>
  <c r="LI15" i="14"/>
  <c r="LN27" i="14"/>
  <c r="LM27" i="14"/>
  <c r="LK27" i="14"/>
  <c r="LJ27" i="14"/>
  <c r="LI27" i="14"/>
  <c r="LN14" i="14"/>
  <c r="LM14" i="14"/>
  <c r="LK14" i="14"/>
  <c r="LJ14" i="14"/>
  <c r="LI14" i="14"/>
  <c r="LN26" i="14"/>
  <c r="LM26" i="14"/>
  <c r="LK26" i="14"/>
  <c r="LJ26" i="14"/>
  <c r="LI26" i="14"/>
  <c r="LN8" i="14"/>
  <c r="LM8" i="14"/>
  <c r="LK8" i="14"/>
  <c r="LJ8" i="14"/>
  <c r="LI8" i="14"/>
  <c r="LN13" i="14"/>
  <c r="LM13" i="14"/>
  <c r="LK13" i="14"/>
  <c r="LJ13" i="14"/>
  <c r="LI13" i="14"/>
  <c r="LN5" i="14"/>
  <c r="LM5" i="14"/>
  <c r="LK5" i="14"/>
  <c r="LJ5" i="14"/>
  <c r="LI5" i="14"/>
  <c r="LN4" i="14"/>
  <c r="LM4" i="14"/>
  <c r="LK4" i="14"/>
  <c r="LJ4" i="14"/>
  <c r="LI4" i="14"/>
  <c r="KR11" i="14"/>
  <c r="KQ11" i="14"/>
  <c r="KO11" i="14"/>
  <c r="KN11" i="14"/>
  <c r="KM11" i="14"/>
  <c r="KR10" i="14"/>
  <c r="KQ10" i="14"/>
  <c r="KO10" i="14"/>
  <c r="KN10" i="14"/>
  <c r="KM10" i="14"/>
  <c r="KR9" i="14"/>
  <c r="KQ9" i="14"/>
  <c r="KO9" i="14"/>
  <c r="KN9" i="14"/>
  <c r="KM9" i="14"/>
  <c r="KR19" i="14"/>
  <c r="KQ19" i="14"/>
  <c r="KO19" i="14"/>
  <c r="KN19" i="14"/>
  <c r="KM19" i="14"/>
  <c r="KR17" i="14"/>
  <c r="KQ17" i="14"/>
  <c r="KO17" i="14"/>
  <c r="KN17" i="14"/>
  <c r="KM17" i="14"/>
  <c r="KR20" i="14"/>
  <c r="KQ20" i="14"/>
  <c r="KO20" i="14"/>
  <c r="KN20" i="14"/>
  <c r="KM20" i="14"/>
  <c r="KR12" i="14"/>
  <c r="KQ12" i="14"/>
  <c r="KO12" i="14"/>
  <c r="KN12" i="14"/>
  <c r="KM12" i="14"/>
  <c r="KR15" i="14"/>
  <c r="KQ15" i="14"/>
  <c r="KO15" i="14"/>
  <c r="KN15" i="14"/>
  <c r="KM15" i="14"/>
  <c r="KR27" i="14"/>
  <c r="KQ27" i="14"/>
  <c r="KO27" i="14"/>
  <c r="KN27" i="14"/>
  <c r="KM27" i="14"/>
  <c r="KR14" i="14"/>
  <c r="KQ14" i="14"/>
  <c r="KO14" i="14"/>
  <c r="KN14" i="14"/>
  <c r="KM14" i="14"/>
  <c r="KR26" i="14"/>
  <c r="KQ26" i="14"/>
  <c r="KO26" i="14"/>
  <c r="KN26" i="14"/>
  <c r="KM26" i="14"/>
  <c r="KR8" i="14"/>
  <c r="KQ8" i="14"/>
  <c r="KO8" i="14"/>
  <c r="KN8" i="14"/>
  <c r="KM8" i="14"/>
  <c r="KR13" i="14"/>
  <c r="KQ13" i="14"/>
  <c r="KO13" i="14"/>
  <c r="KN13" i="14"/>
  <c r="KM13" i="14"/>
  <c r="KR5" i="14"/>
  <c r="KQ5" i="14"/>
  <c r="KO5" i="14"/>
  <c r="KN5" i="14"/>
  <c r="KM5" i="14"/>
  <c r="KR4" i="14"/>
  <c r="KQ4" i="14"/>
  <c r="KO4" i="14"/>
  <c r="KN4" i="14"/>
  <c r="KM4" i="14"/>
  <c r="JV11" i="14"/>
  <c r="JU11" i="14"/>
  <c r="JS11" i="14"/>
  <c r="JR11" i="14"/>
  <c r="JQ11" i="14"/>
  <c r="JV10" i="14"/>
  <c r="JU10" i="14"/>
  <c r="JS10" i="14"/>
  <c r="JR10" i="14"/>
  <c r="JQ10" i="14"/>
  <c r="JV9" i="14"/>
  <c r="JU9" i="14"/>
  <c r="JS9" i="14"/>
  <c r="JR9" i="14"/>
  <c r="JQ9" i="14"/>
  <c r="JV19" i="14"/>
  <c r="JU19" i="14"/>
  <c r="JS19" i="14"/>
  <c r="JR19" i="14"/>
  <c r="JQ19" i="14"/>
  <c r="JV17" i="14"/>
  <c r="JU17" i="14"/>
  <c r="JS17" i="14"/>
  <c r="JR17" i="14"/>
  <c r="JQ17" i="14"/>
  <c r="JV20" i="14"/>
  <c r="JU20" i="14"/>
  <c r="JS20" i="14"/>
  <c r="JR20" i="14"/>
  <c r="JQ20" i="14"/>
  <c r="JV12" i="14"/>
  <c r="JU12" i="14"/>
  <c r="JS12" i="14"/>
  <c r="JR12" i="14"/>
  <c r="JQ12" i="14"/>
  <c r="JV15" i="14"/>
  <c r="JU15" i="14"/>
  <c r="JS15" i="14"/>
  <c r="JR15" i="14"/>
  <c r="JQ15" i="14"/>
  <c r="JV27" i="14"/>
  <c r="JU27" i="14"/>
  <c r="JS27" i="14"/>
  <c r="JR27" i="14"/>
  <c r="JQ27" i="14"/>
  <c r="JV14" i="14"/>
  <c r="JU14" i="14"/>
  <c r="JS14" i="14"/>
  <c r="JR14" i="14"/>
  <c r="JQ14" i="14"/>
  <c r="JV26" i="14"/>
  <c r="JU26" i="14"/>
  <c r="JS26" i="14"/>
  <c r="JR26" i="14"/>
  <c r="JQ26" i="14"/>
  <c r="JV8" i="14"/>
  <c r="JU8" i="14"/>
  <c r="JS8" i="14"/>
  <c r="JR8" i="14"/>
  <c r="JQ8" i="14"/>
  <c r="JV13" i="14"/>
  <c r="JU13" i="14"/>
  <c r="JS13" i="14"/>
  <c r="JR13" i="14"/>
  <c r="JQ13" i="14"/>
  <c r="JV5" i="14"/>
  <c r="JU5" i="14"/>
  <c r="JS5" i="14"/>
  <c r="JR5" i="14"/>
  <c r="JQ5" i="14"/>
  <c r="JV4" i="14"/>
  <c r="JU4" i="14"/>
  <c r="JS4" i="14"/>
  <c r="JR4" i="14"/>
  <c r="JQ4" i="14"/>
  <c r="IZ11" i="14"/>
  <c r="IY11" i="14"/>
  <c r="IW11" i="14"/>
  <c r="IV11" i="14"/>
  <c r="IU11" i="14"/>
  <c r="IZ10" i="14"/>
  <c r="IY10" i="14"/>
  <c r="IW10" i="14"/>
  <c r="IV10" i="14"/>
  <c r="IU10" i="14"/>
  <c r="IZ9" i="14"/>
  <c r="IY9" i="14"/>
  <c r="IW9" i="14"/>
  <c r="IV9" i="14"/>
  <c r="IU9" i="14"/>
  <c r="IZ19" i="14"/>
  <c r="IY19" i="14"/>
  <c r="IW19" i="14"/>
  <c r="IV19" i="14"/>
  <c r="IU19" i="14"/>
  <c r="IZ17" i="14"/>
  <c r="IY17" i="14"/>
  <c r="IW17" i="14"/>
  <c r="IV17" i="14"/>
  <c r="IU17" i="14"/>
  <c r="IZ20" i="14"/>
  <c r="IY20" i="14"/>
  <c r="IW20" i="14"/>
  <c r="IV20" i="14"/>
  <c r="IU20" i="14"/>
  <c r="IZ12" i="14"/>
  <c r="IY12" i="14"/>
  <c r="IW12" i="14"/>
  <c r="IV12" i="14"/>
  <c r="IU12" i="14"/>
  <c r="IZ15" i="14"/>
  <c r="IY15" i="14"/>
  <c r="IW15" i="14"/>
  <c r="IV15" i="14"/>
  <c r="IU15" i="14"/>
  <c r="IZ27" i="14"/>
  <c r="IY27" i="14"/>
  <c r="IW27" i="14"/>
  <c r="IV27" i="14"/>
  <c r="IU27" i="14"/>
  <c r="IZ14" i="14"/>
  <c r="IY14" i="14"/>
  <c r="IW14" i="14"/>
  <c r="IV14" i="14"/>
  <c r="IU14" i="14"/>
  <c r="IZ26" i="14"/>
  <c r="IY26" i="14"/>
  <c r="IW26" i="14"/>
  <c r="IV26" i="14"/>
  <c r="IU26" i="14"/>
  <c r="IZ8" i="14"/>
  <c r="IY8" i="14"/>
  <c r="IW8" i="14"/>
  <c r="IV8" i="14"/>
  <c r="IU8" i="14"/>
  <c r="IZ13" i="14"/>
  <c r="IY13" i="14"/>
  <c r="IW13" i="14"/>
  <c r="IV13" i="14"/>
  <c r="IU13" i="14"/>
  <c r="IZ5" i="14"/>
  <c r="IY5" i="14"/>
  <c r="IW5" i="14"/>
  <c r="IV5" i="14"/>
  <c r="IU5" i="14"/>
  <c r="IZ4" i="14"/>
  <c r="IY4" i="14"/>
  <c r="IW4" i="14"/>
  <c r="IV4" i="14"/>
  <c r="IU4" i="14"/>
  <c r="ID11" i="14"/>
  <c r="IC11" i="14"/>
  <c r="IA11" i="14"/>
  <c r="HZ11" i="14"/>
  <c r="HY11" i="14"/>
  <c r="ID10" i="14"/>
  <c r="IC10" i="14"/>
  <c r="IA10" i="14"/>
  <c r="HZ10" i="14"/>
  <c r="HY10" i="14"/>
  <c r="ID9" i="14"/>
  <c r="IC9" i="14"/>
  <c r="IA9" i="14"/>
  <c r="HZ9" i="14"/>
  <c r="HY9" i="14"/>
  <c r="ID19" i="14"/>
  <c r="IC19" i="14"/>
  <c r="IA19" i="14"/>
  <c r="HZ19" i="14"/>
  <c r="HY19" i="14"/>
  <c r="ID17" i="14"/>
  <c r="IC17" i="14"/>
  <c r="IA17" i="14"/>
  <c r="HZ17" i="14"/>
  <c r="HY17" i="14"/>
  <c r="ID20" i="14"/>
  <c r="IC20" i="14"/>
  <c r="IA20" i="14"/>
  <c r="HZ20" i="14"/>
  <c r="HY20" i="14"/>
  <c r="ID12" i="14"/>
  <c r="IC12" i="14"/>
  <c r="IA12" i="14"/>
  <c r="HZ12" i="14"/>
  <c r="HY12" i="14"/>
  <c r="ID15" i="14"/>
  <c r="IC15" i="14"/>
  <c r="IA15" i="14"/>
  <c r="HZ15" i="14"/>
  <c r="HY15" i="14"/>
  <c r="ID27" i="14"/>
  <c r="IC27" i="14"/>
  <c r="IA27" i="14"/>
  <c r="HZ27" i="14"/>
  <c r="HY27" i="14"/>
  <c r="ID14" i="14"/>
  <c r="IC14" i="14"/>
  <c r="IA14" i="14"/>
  <c r="HZ14" i="14"/>
  <c r="HY14" i="14"/>
  <c r="ID26" i="14"/>
  <c r="IC26" i="14"/>
  <c r="IA26" i="14"/>
  <c r="HZ26" i="14"/>
  <c r="HY26" i="14"/>
  <c r="ID8" i="14"/>
  <c r="IC8" i="14"/>
  <c r="IA8" i="14"/>
  <c r="HZ8" i="14"/>
  <c r="HY8" i="14"/>
  <c r="ID13" i="14"/>
  <c r="IC13" i="14"/>
  <c r="IA13" i="14"/>
  <c r="HZ13" i="14"/>
  <c r="HY13" i="14"/>
  <c r="ID5" i="14"/>
  <c r="IC5" i="14"/>
  <c r="IA5" i="14"/>
  <c r="HZ5" i="14"/>
  <c r="HY5" i="14"/>
  <c r="ID4" i="14"/>
  <c r="IC4" i="14"/>
  <c r="IA4" i="14"/>
  <c r="HZ4" i="14"/>
  <c r="HY4" i="14"/>
  <c r="HH11" i="14"/>
  <c r="HG11" i="14"/>
  <c r="HE11" i="14"/>
  <c r="HD11" i="14"/>
  <c r="HC11" i="14"/>
  <c r="HH10" i="14"/>
  <c r="HG10" i="14"/>
  <c r="HE10" i="14"/>
  <c r="HD10" i="14"/>
  <c r="HC10" i="14"/>
  <c r="HH9" i="14"/>
  <c r="HG9" i="14"/>
  <c r="HE9" i="14"/>
  <c r="HD9" i="14"/>
  <c r="HC9" i="14"/>
  <c r="HH19" i="14"/>
  <c r="HG19" i="14"/>
  <c r="HE19" i="14"/>
  <c r="HD19" i="14"/>
  <c r="HC19" i="14"/>
  <c r="HH17" i="14"/>
  <c r="HG17" i="14"/>
  <c r="HE17" i="14"/>
  <c r="HD17" i="14"/>
  <c r="HC17" i="14"/>
  <c r="HH20" i="14"/>
  <c r="HG20" i="14"/>
  <c r="HE20" i="14"/>
  <c r="HD20" i="14"/>
  <c r="HC20" i="14"/>
  <c r="HH12" i="14"/>
  <c r="HG12" i="14"/>
  <c r="HE12" i="14"/>
  <c r="HD12" i="14"/>
  <c r="HC12" i="14"/>
  <c r="HH15" i="14"/>
  <c r="HG15" i="14"/>
  <c r="HE15" i="14"/>
  <c r="HD15" i="14"/>
  <c r="HC15" i="14"/>
  <c r="HH27" i="14"/>
  <c r="HG27" i="14"/>
  <c r="HE27" i="14"/>
  <c r="HD27" i="14"/>
  <c r="HC27" i="14"/>
  <c r="HH14" i="14"/>
  <c r="HG14" i="14"/>
  <c r="HE14" i="14"/>
  <c r="HD14" i="14"/>
  <c r="HC14" i="14"/>
  <c r="HH26" i="14"/>
  <c r="HG26" i="14"/>
  <c r="HE26" i="14"/>
  <c r="HD26" i="14"/>
  <c r="HC26" i="14"/>
  <c r="HH8" i="14"/>
  <c r="HG8" i="14"/>
  <c r="HE8" i="14"/>
  <c r="HD8" i="14"/>
  <c r="HC8" i="14"/>
  <c r="HH13" i="14"/>
  <c r="HG13" i="14"/>
  <c r="HE13" i="14"/>
  <c r="HD13" i="14"/>
  <c r="HC13" i="14"/>
  <c r="HH5" i="14"/>
  <c r="HG5" i="14"/>
  <c r="HE5" i="14"/>
  <c r="HD5" i="14"/>
  <c r="HC5" i="14"/>
  <c r="HH4" i="14"/>
  <c r="HG4" i="14"/>
  <c r="HE4" i="14"/>
  <c r="HD4" i="14"/>
  <c r="HC4" i="14"/>
  <c r="GL11" i="14"/>
  <c r="GK11" i="14"/>
  <c r="GI11" i="14"/>
  <c r="GH11" i="14"/>
  <c r="GG11" i="14"/>
  <c r="GL10" i="14"/>
  <c r="GK10" i="14"/>
  <c r="GI10" i="14"/>
  <c r="GH10" i="14"/>
  <c r="GG10" i="14"/>
  <c r="GL9" i="14"/>
  <c r="GK9" i="14"/>
  <c r="GI9" i="14"/>
  <c r="GH9" i="14"/>
  <c r="GG9" i="14"/>
  <c r="GL19" i="14"/>
  <c r="GK19" i="14"/>
  <c r="GI19" i="14"/>
  <c r="GH19" i="14"/>
  <c r="GG19" i="14"/>
  <c r="GL17" i="14"/>
  <c r="GK17" i="14"/>
  <c r="GI17" i="14"/>
  <c r="GH17" i="14"/>
  <c r="GG17" i="14"/>
  <c r="GL20" i="14"/>
  <c r="GK20" i="14"/>
  <c r="GI20" i="14"/>
  <c r="GH20" i="14"/>
  <c r="GG20" i="14"/>
  <c r="GL12" i="14"/>
  <c r="GK12" i="14"/>
  <c r="GI12" i="14"/>
  <c r="GH12" i="14"/>
  <c r="GG12" i="14"/>
  <c r="GL15" i="14"/>
  <c r="GK15" i="14"/>
  <c r="GI15" i="14"/>
  <c r="GH15" i="14"/>
  <c r="GG15" i="14"/>
  <c r="GL27" i="14"/>
  <c r="GK27" i="14"/>
  <c r="GI27" i="14"/>
  <c r="GH27" i="14"/>
  <c r="GG27" i="14"/>
  <c r="GL14" i="14"/>
  <c r="GK14" i="14"/>
  <c r="GI14" i="14"/>
  <c r="GH14" i="14"/>
  <c r="GG14" i="14"/>
  <c r="GL26" i="14"/>
  <c r="GK26" i="14"/>
  <c r="GI26" i="14"/>
  <c r="GH26" i="14"/>
  <c r="GG26" i="14"/>
  <c r="GL8" i="14"/>
  <c r="GK8" i="14"/>
  <c r="GI8" i="14"/>
  <c r="GH8" i="14"/>
  <c r="GG8" i="14"/>
  <c r="GL13" i="14"/>
  <c r="GK13" i="14"/>
  <c r="GI13" i="14"/>
  <c r="GH13" i="14"/>
  <c r="GG13" i="14"/>
  <c r="GL5" i="14"/>
  <c r="GK5" i="14"/>
  <c r="GI5" i="14"/>
  <c r="GH5" i="14"/>
  <c r="GG5" i="14"/>
  <c r="GL4" i="14"/>
  <c r="GK4" i="14"/>
  <c r="GI4" i="14"/>
  <c r="GH4" i="14"/>
  <c r="GG4" i="14"/>
  <c r="FP11" i="14"/>
  <c r="FO11" i="14"/>
  <c r="FM11" i="14"/>
  <c r="FL11" i="14"/>
  <c r="FK11" i="14"/>
  <c r="FP10" i="14"/>
  <c r="FO10" i="14"/>
  <c r="FM10" i="14"/>
  <c r="FL10" i="14"/>
  <c r="FK10" i="14"/>
  <c r="FP9" i="14"/>
  <c r="FO9" i="14"/>
  <c r="FM9" i="14"/>
  <c r="FL9" i="14"/>
  <c r="FK9" i="14"/>
  <c r="FP19" i="14"/>
  <c r="FO19" i="14"/>
  <c r="FM19" i="14"/>
  <c r="FL19" i="14"/>
  <c r="FK19" i="14"/>
  <c r="FP17" i="14"/>
  <c r="FO17" i="14"/>
  <c r="FM17" i="14"/>
  <c r="FL17" i="14"/>
  <c r="FK17" i="14"/>
  <c r="FP20" i="14"/>
  <c r="FO20" i="14"/>
  <c r="FM20" i="14"/>
  <c r="FL20" i="14"/>
  <c r="FK20" i="14"/>
  <c r="FP12" i="14"/>
  <c r="FO12" i="14"/>
  <c r="FM12" i="14"/>
  <c r="FL12" i="14"/>
  <c r="FK12" i="14"/>
  <c r="FP15" i="14"/>
  <c r="FO15" i="14"/>
  <c r="FM15" i="14"/>
  <c r="FL15" i="14"/>
  <c r="FK15" i="14"/>
  <c r="FP27" i="14"/>
  <c r="FO27" i="14"/>
  <c r="FM27" i="14"/>
  <c r="FL27" i="14"/>
  <c r="FK27" i="14"/>
  <c r="FP14" i="14"/>
  <c r="FO14" i="14"/>
  <c r="FM14" i="14"/>
  <c r="FL14" i="14"/>
  <c r="FK14" i="14"/>
  <c r="FP26" i="14"/>
  <c r="FO26" i="14"/>
  <c r="FM26" i="14"/>
  <c r="FL26" i="14"/>
  <c r="FK26" i="14"/>
  <c r="FP8" i="14"/>
  <c r="FO8" i="14"/>
  <c r="FM8" i="14"/>
  <c r="FL8" i="14"/>
  <c r="FK8" i="14"/>
  <c r="FP13" i="14"/>
  <c r="FO13" i="14"/>
  <c r="FM13" i="14"/>
  <c r="FL13" i="14"/>
  <c r="FK13" i="14"/>
  <c r="FP5" i="14"/>
  <c r="FO5" i="14"/>
  <c r="FM5" i="14"/>
  <c r="FL5" i="14"/>
  <c r="FK5" i="14"/>
  <c r="FP4" i="14"/>
  <c r="FO4" i="14"/>
  <c r="FM4" i="14"/>
  <c r="FL4" i="14"/>
  <c r="FK4" i="14"/>
  <c r="ET11" i="14"/>
  <c r="ES11" i="14"/>
  <c r="EQ11" i="14"/>
  <c r="EP11" i="14"/>
  <c r="EO11" i="14"/>
  <c r="ET10" i="14"/>
  <c r="ES10" i="14"/>
  <c r="EQ10" i="14"/>
  <c r="EP10" i="14"/>
  <c r="EO10" i="14"/>
  <c r="ET9" i="14"/>
  <c r="ES9" i="14"/>
  <c r="EQ9" i="14"/>
  <c r="EP9" i="14"/>
  <c r="EO9" i="14"/>
  <c r="ET19" i="14"/>
  <c r="ES19" i="14"/>
  <c r="EQ19" i="14"/>
  <c r="EP19" i="14"/>
  <c r="EO19" i="14"/>
  <c r="ET17" i="14"/>
  <c r="ES17" i="14"/>
  <c r="EQ17" i="14"/>
  <c r="EP17" i="14"/>
  <c r="EO17" i="14"/>
  <c r="ET20" i="14"/>
  <c r="ES20" i="14"/>
  <c r="EQ20" i="14"/>
  <c r="EP20" i="14"/>
  <c r="EO20" i="14"/>
  <c r="ET12" i="14"/>
  <c r="ES12" i="14"/>
  <c r="EQ12" i="14"/>
  <c r="EP12" i="14"/>
  <c r="EO12" i="14"/>
  <c r="ET15" i="14"/>
  <c r="ES15" i="14"/>
  <c r="EQ15" i="14"/>
  <c r="EP15" i="14"/>
  <c r="EO15" i="14"/>
  <c r="ET27" i="14"/>
  <c r="ES27" i="14"/>
  <c r="EQ27" i="14"/>
  <c r="EP27" i="14"/>
  <c r="EO27" i="14"/>
  <c r="ET14" i="14"/>
  <c r="ES14" i="14"/>
  <c r="EQ14" i="14"/>
  <c r="EP14" i="14"/>
  <c r="EO14" i="14"/>
  <c r="ET26" i="14"/>
  <c r="ES26" i="14"/>
  <c r="EQ26" i="14"/>
  <c r="EP26" i="14"/>
  <c r="EO26" i="14"/>
  <c r="ET8" i="14"/>
  <c r="ES8" i="14"/>
  <c r="EQ8" i="14"/>
  <c r="EP8" i="14"/>
  <c r="EO8" i="14"/>
  <c r="ET13" i="14"/>
  <c r="ES13" i="14"/>
  <c r="EQ13" i="14"/>
  <c r="EP13" i="14"/>
  <c r="EO13" i="14"/>
  <c r="ET5" i="14"/>
  <c r="ES5" i="14"/>
  <c r="EQ5" i="14"/>
  <c r="EP5" i="14"/>
  <c r="EO5" i="14"/>
  <c r="ET4" i="14"/>
  <c r="ES4" i="14"/>
  <c r="EQ4" i="14"/>
  <c r="EP4" i="14"/>
  <c r="EO4" i="14"/>
  <c r="DX11" i="14"/>
  <c r="DW11" i="14"/>
  <c r="DU11" i="14"/>
  <c r="DT11" i="14"/>
  <c r="DS11" i="14"/>
  <c r="DX10" i="14"/>
  <c r="DW10" i="14"/>
  <c r="DU10" i="14"/>
  <c r="DT10" i="14"/>
  <c r="DS10" i="14"/>
  <c r="DX9" i="14"/>
  <c r="DW9" i="14"/>
  <c r="DU9" i="14"/>
  <c r="DT9" i="14"/>
  <c r="DS9" i="14"/>
  <c r="DX19" i="14"/>
  <c r="DW19" i="14"/>
  <c r="DU19" i="14"/>
  <c r="DT19" i="14"/>
  <c r="DS19" i="14"/>
  <c r="DX17" i="14"/>
  <c r="DW17" i="14"/>
  <c r="DU17" i="14"/>
  <c r="DT17" i="14"/>
  <c r="DS17" i="14"/>
  <c r="DX20" i="14"/>
  <c r="DW20" i="14"/>
  <c r="DU20" i="14"/>
  <c r="DT20" i="14"/>
  <c r="DS20" i="14"/>
  <c r="DX12" i="14"/>
  <c r="DW12" i="14"/>
  <c r="DU12" i="14"/>
  <c r="DT12" i="14"/>
  <c r="DS12" i="14"/>
  <c r="DX15" i="14"/>
  <c r="DW15" i="14"/>
  <c r="DU15" i="14"/>
  <c r="DT15" i="14"/>
  <c r="DS15" i="14"/>
  <c r="DX27" i="14"/>
  <c r="DW27" i="14"/>
  <c r="DU27" i="14"/>
  <c r="DT27" i="14"/>
  <c r="DS27" i="14"/>
  <c r="DX14" i="14"/>
  <c r="DW14" i="14"/>
  <c r="DU14" i="14"/>
  <c r="DT14" i="14"/>
  <c r="DS14" i="14"/>
  <c r="DX26" i="14"/>
  <c r="DW26" i="14"/>
  <c r="DU26" i="14"/>
  <c r="DT26" i="14"/>
  <c r="DS26" i="14"/>
  <c r="DX8" i="14"/>
  <c r="DW8" i="14"/>
  <c r="DU8" i="14"/>
  <c r="DT8" i="14"/>
  <c r="DS8" i="14"/>
  <c r="DX13" i="14"/>
  <c r="DW13" i="14"/>
  <c r="DU13" i="14"/>
  <c r="DT13" i="14"/>
  <c r="DS13" i="14"/>
  <c r="DX5" i="14"/>
  <c r="DW5" i="14"/>
  <c r="DU5" i="14"/>
  <c r="DT5" i="14"/>
  <c r="DS5" i="14"/>
  <c r="DX4" i="14"/>
  <c r="DW4" i="14"/>
  <c r="DU4" i="14"/>
  <c r="DT4" i="14"/>
  <c r="DS4" i="14"/>
  <c r="MJ20" i="4"/>
  <c r="MI20" i="4"/>
  <c r="MG20" i="4"/>
  <c r="MF20" i="4"/>
  <c r="ME20" i="4"/>
  <c r="MJ14" i="4"/>
  <c r="MI14" i="4"/>
  <c r="MG14" i="4"/>
  <c r="MF14" i="4"/>
  <c r="ME14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12" i="4"/>
  <c r="MI12" i="4"/>
  <c r="MG12" i="4"/>
  <c r="MF12" i="4"/>
  <c r="ME12" i="4"/>
  <c r="MJ16" i="4"/>
  <c r="MI16" i="4"/>
  <c r="MG16" i="4"/>
  <c r="MF16" i="4"/>
  <c r="ME16" i="4"/>
  <c r="MJ15" i="4"/>
  <c r="MI15" i="4"/>
  <c r="MG15" i="4"/>
  <c r="MF15" i="4"/>
  <c r="ME15" i="4"/>
  <c r="MJ7" i="4"/>
  <c r="MI7" i="4"/>
  <c r="MG7" i="4"/>
  <c r="MF7" i="4"/>
  <c r="ME7" i="4"/>
  <c r="MJ8" i="4"/>
  <c r="MI8" i="4"/>
  <c r="MG8" i="4"/>
  <c r="MF8" i="4"/>
  <c r="ME8" i="4"/>
  <c r="MJ22" i="4"/>
  <c r="MI22" i="4"/>
  <c r="MG22" i="4"/>
  <c r="MF22" i="4"/>
  <c r="ME22" i="4"/>
  <c r="MJ19" i="4"/>
  <c r="MI19" i="4"/>
  <c r="MG19" i="4"/>
  <c r="MF19" i="4"/>
  <c r="ME19" i="4"/>
  <c r="MJ4" i="4"/>
  <c r="MI4" i="4"/>
  <c r="MG4" i="4"/>
  <c r="MF4" i="4"/>
  <c r="ME4" i="4"/>
  <c r="LN20" i="4"/>
  <c r="LM20" i="4"/>
  <c r="LK20" i="4"/>
  <c r="LJ20" i="4"/>
  <c r="LI20" i="4"/>
  <c r="LN14" i="4"/>
  <c r="LM14" i="4"/>
  <c r="LK14" i="4"/>
  <c r="LJ14" i="4"/>
  <c r="LI14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12" i="4"/>
  <c r="LM12" i="4"/>
  <c r="LK12" i="4"/>
  <c r="LJ12" i="4"/>
  <c r="LI12" i="4"/>
  <c r="LN16" i="4"/>
  <c r="LM16" i="4"/>
  <c r="LK16" i="4"/>
  <c r="LJ16" i="4"/>
  <c r="LI16" i="4"/>
  <c r="LN15" i="4"/>
  <c r="LM15" i="4"/>
  <c r="LK15" i="4"/>
  <c r="LJ15" i="4"/>
  <c r="LI15" i="4"/>
  <c r="LN7" i="4"/>
  <c r="LM7" i="4"/>
  <c r="LK7" i="4"/>
  <c r="LJ7" i="4"/>
  <c r="LI7" i="4"/>
  <c r="LN8" i="4"/>
  <c r="LM8" i="4"/>
  <c r="LK8" i="4"/>
  <c r="LJ8" i="4"/>
  <c r="LI8" i="4"/>
  <c r="LN22" i="4"/>
  <c r="LM22" i="4"/>
  <c r="LK22" i="4"/>
  <c r="LJ22" i="4"/>
  <c r="LI22" i="4"/>
  <c r="LN19" i="4"/>
  <c r="LM19" i="4"/>
  <c r="LK19" i="4"/>
  <c r="LJ19" i="4"/>
  <c r="LI19" i="4"/>
  <c r="LN4" i="4"/>
  <c r="LM4" i="4"/>
  <c r="LK4" i="4"/>
  <c r="LJ4" i="4"/>
  <c r="LI4" i="4"/>
  <c r="KR20" i="4"/>
  <c r="KQ20" i="4"/>
  <c r="KO20" i="4"/>
  <c r="KN20" i="4"/>
  <c r="KM20" i="4"/>
  <c r="KR14" i="4"/>
  <c r="KQ14" i="4"/>
  <c r="KO14" i="4"/>
  <c r="KN14" i="4"/>
  <c r="KM14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12" i="4"/>
  <c r="KQ12" i="4"/>
  <c r="KO12" i="4"/>
  <c r="KN12" i="4"/>
  <c r="KM12" i="4"/>
  <c r="KR16" i="4"/>
  <c r="KQ16" i="4"/>
  <c r="KO16" i="4"/>
  <c r="KN16" i="4"/>
  <c r="KM16" i="4"/>
  <c r="KR15" i="4"/>
  <c r="KQ15" i="4"/>
  <c r="KO15" i="4"/>
  <c r="KN15" i="4"/>
  <c r="KM15" i="4"/>
  <c r="KR7" i="4"/>
  <c r="KQ7" i="4"/>
  <c r="KO7" i="4"/>
  <c r="KN7" i="4"/>
  <c r="KM7" i="4"/>
  <c r="KR8" i="4"/>
  <c r="KQ8" i="4"/>
  <c r="KO8" i="4"/>
  <c r="KN8" i="4"/>
  <c r="KM8" i="4"/>
  <c r="KR22" i="4"/>
  <c r="KQ22" i="4"/>
  <c r="KO22" i="4"/>
  <c r="KN22" i="4"/>
  <c r="KM22" i="4"/>
  <c r="KR19" i="4"/>
  <c r="KQ19" i="4"/>
  <c r="KO19" i="4"/>
  <c r="KN19" i="4"/>
  <c r="KM19" i="4"/>
  <c r="KR4" i="4"/>
  <c r="KQ4" i="4"/>
  <c r="KO4" i="4"/>
  <c r="KN4" i="4"/>
  <c r="KM4" i="4"/>
  <c r="JV20" i="4"/>
  <c r="JU20" i="4"/>
  <c r="JS20" i="4"/>
  <c r="JR20" i="4"/>
  <c r="JQ20" i="4"/>
  <c r="JV14" i="4"/>
  <c r="JU14" i="4"/>
  <c r="JS14" i="4"/>
  <c r="JR14" i="4"/>
  <c r="JQ14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12" i="4"/>
  <c r="JU12" i="4"/>
  <c r="JS12" i="4"/>
  <c r="JR12" i="4"/>
  <c r="JQ12" i="4"/>
  <c r="JV16" i="4"/>
  <c r="JU16" i="4"/>
  <c r="JS16" i="4"/>
  <c r="JR16" i="4"/>
  <c r="JQ16" i="4"/>
  <c r="JV15" i="4"/>
  <c r="JU15" i="4"/>
  <c r="JS15" i="4"/>
  <c r="JR15" i="4"/>
  <c r="JQ15" i="4"/>
  <c r="JV7" i="4"/>
  <c r="JU7" i="4"/>
  <c r="JS7" i="4"/>
  <c r="JR7" i="4"/>
  <c r="JQ7" i="4"/>
  <c r="JV8" i="4"/>
  <c r="JU8" i="4"/>
  <c r="JS8" i="4"/>
  <c r="JR8" i="4"/>
  <c r="JQ8" i="4"/>
  <c r="JV22" i="4"/>
  <c r="JU22" i="4"/>
  <c r="JS22" i="4"/>
  <c r="JR22" i="4"/>
  <c r="JQ22" i="4"/>
  <c r="JV19" i="4"/>
  <c r="JU19" i="4"/>
  <c r="JS19" i="4"/>
  <c r="JR19" i="4"/>
  <c r="JQ19" i="4"/>
  <c r="JV4" i="4"/>
  <c r="JU4" i="4"/>
  <c r="JS4" i="4"/>
  <c r="JR4" i="4"/>
  <c r="JQ4" i="4"/>
  <c r="IZ20" i="4"/>
  <c r="IY20" i="4"/>
  <c r="IW20" i="4"/>
  <c r="IV20" i="4"/>
  <c r="IU20" i="4"/>
  <c r="IZ14" i="4"/>
  <c r="IY14" i="4"/>
  <c r="IW14" i="4"/>
  <c r="IV14" i="4"/>
  <c r="IU14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12" i="4"/>
  <c r="IY12" i="4"/>
  <c r="IW12" i="4"/>
  <c r="IV12" i="4"/>
  <c r="IU12" i="4"/>
  <c r="IZ16" i="4"/>
  <c r="IY16" i="4"/>
  <c r="IW16" i="4"/>
  <c r="IV16" i="4"/>
  <c r="IU16" i="4"/>
  <c r="IZ15" i="4"/>
  <c r="IY15" i="4"/>
  <c r="IW15" i="4"/>
  <c r="IV15" i="4"/>
  <c r="IU15" i="4"/>
  <c r="IZ7" i="4"/>
  <c r="IY7" i="4"/>
  <c r="IW7" i="4"/>
  <c r="IV7" i="4"/>
  <c r="IU7" i="4"/>
  <c r="IZ8" i="4"/>
  <c r="IY8" i="4"/>
  <c r="IW8" i="4"/>
  <c r="IV8" i="4"/>
  <c r="IU8" i="4"/>
  <c r="IZ22" i="4"/>
  <c r="IY22" i="4"/>
  <c r="IW22" i="4"/>
  <c r="IV22" i="4"/>
  <c r="IU22" i="4"/>
  <c r="IZ19" i="4"/>
  <c r="IY19" i="4"/>
  <c r="IW19" i="4"/>
  <c r="IV19" i="4"/>
  <c r="IU19" i="4"/>
  <c r="IZ4" i="4"/>
  <c r="IY4" i="4"/>
  <c r="IW4" i="4"/>
  <c r="IV4" i="4"/>
  <c r="IU4" i="4"/>
  <c r="ID20" i="4"/>
  <c r="IC20" i="4"/>
  <c r="IA20" i="4"/>
  <c r="HZ20" i="4"/>
  <c r="HY20" i="4"/>
  <c r="ID14" i="4"/>
  <c r="IC14" i="4"/>
  <c r="IA14" i="4"/>
  <c r="HZ14" i="4"/>
  <c r="HY14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12" i="4"/>
  <c r="IC12" i="4"/>
  <c r="IA12" i="4"/>
  <c r="HZ12" i="4"/>
  <c r="HY12" i="4"/>
  <c r="ID16" i="4"/>
  <c r="IC16" i="4"/>
  <c r="IA16" i="4"/>
  <c r="HZ16" i="4"/>
  <c r="HY16" i="4"/>
  <c r="ID15" i="4"/>
  <c r="IC15" i="4"/>
  <c r="IA15" i="4"/>
  <c r="HZ15" i="4"/>
  <c r="HY15" i="4"/>
  <c r="ID7" i="4"/>
  <c r="IC7" i="4"/>
  <c r="IA7" i="4"/>
  <c r="HZ7" i="4"/>
  <c r="HY7" i="4"/>
  <c r="ID8" i="4"/>
  <c r="IC8" i="4"/>
  <c r="IA8" i="4"/>
  <c r="HZ8" i="4"/>
  <c r="HY8" i="4"/>
  <c r="ID22" i="4"/>
  <c r="IC22" i="4"/>
  <c r="IA22" i="4"/>
  <c r="HZ22" i="4"/>
  <c r="HY22" i="4"/>
  <c r="ID19" i="4"/>
  <c r="IC19" i="4"/>
  <c r="IA19" i="4"/>
  <c r="HZ19" i="4"/>
  <c r="HY19" i="4"/>
  <c r="ID4" i="4"/>
  <c r="IC4" i="4"/>
  <c r="IA4" i="4"/>
  <c r="HZ4" i="4"/>
  <c r="HY4" i="4"/>
  <c r="HH20" i="4"/>
  <c r="HG20" i="4"/>
  <c r="HE20" i="4"/>
  <c r="HD20" i="4"/>
  <c r="HC20" i="4"/>
  <c r="HH14" i="4"/>
  <c r="HG14" i="4"/>
  <c r="HE14" i="4"/>
  <c r="HD14" i="4"/>
  <c r="HC14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12" i="4"/>
  <c r="HG12" i="4"/>
  <c r="HE12" i="4"/>
  <c r="HD12" i="4"/>
  <c r="HC12" i="4"/>
  <c r="HH16" i="4"/>
  <c r="HG16" i="4"/>
  <c r="HE16" i="4"/>
  <c r="HD16" i="4"/>
  <c r="HC16" i="4"/>
  <c r="HH15" i="4"/>
  <c r="HG15" i="4"/>
  <c r="HE15" i="4"/>
  <c r="HD15" i="4"/>
  <c r="HC15" i="4"/>
  <c r="HH7" i="4"/>
  <c r="HG7" i="4"/>
  <c r="HE7" i="4"/>
  <c r="HD7" i="4"/>
  <c r="HC7" i="4"/>
  <c r="HH8" i="4"/>
  <c r="HG8" i="4"/>
  <c r="HE8" i="4"/>
  <c r="HD8" i="4"/>
  <c r="HC8" i="4"/>
  <c r="HH22" i="4"/>
  <c r="HG22" i="4"/>
  <c r="HE22" i="4"/>
  <c r="HD22" i="4"/>
  <c r="HC22" i="4"/>
  <c r="HH19" i="4"/>
  <c r="HG19" i="4"/>
  <c r="HE19" i="4"/>
  <c r="HD19" i="4"/>
  <c r="HC19" i="4"/>
  <c r="HH4" i="4"/>
  <c r="HG4" i="4"/>
  <c r="HE4" i="4"/>
  <c r="HD4" i="4"/>
  <c r="HC4" i="4"/>
  <c r="GL20" i="4"/>
  <c r="GK20" i="4"/>
  <c r="GI20" i="4"/>
  <c r="GH20" i="4"/>
  <c r="GG20" i="4"/>
  <c r="GL14" i="4"/>
  <c r="GK14" i="4"/>
  <c r="GI14" i="4"/>
  <c r="GH14" i="4"/>
  <c r="GG14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12" i="4"/>
  <c r="GK12" i="4"/>
  <c r="GI12" i="4"/>
  <c r="GH12" i="4"/>
  <c r="GG12" i="4"/>
  <c r="GL16" i="4"/>
  <c r="GK16" i="4"/>
  <c r="GI16" i="4"/>
  <c r="GH16" i="4"/>
  <c r="GG16" i="4"/>
  <c r="GL15" i="4"/>
  <c r="GK15" i="4"/>
  <c r="GI15" i="4"/>
  <c r="GH15" i="4"/>
  <c r="GG15" i="4"/>
  <c r="GL7" i="4"/>
  <c r="GK7" i="4"/>
  <c r="GI7" i="4"/>
  <c r="GH7" i="4"/>
  <c r="GG7" i="4"/>
  <c r="GL8" i="4"/>
  <c r="GK8" i="4"/>
  <c r="GI8" i="4"/>
  <c r="GH8" i="4"/>
  <c r="GG8" i="4"/>
  <c r="GL22" i="4"/>
  <c r="GK22" i="4"/>
  <c r="GI22" i="4"/>
  <c r="GH22" i="4"/>
  <c r="GG22" i="4"/>
  <c r="GL19" i="4"/>
  <c r="GK19" i="4"/>
  <c r="GI19" i="4"/>
  <c r="GH19" i="4"/>
  <c r="GG19" i="4"/>
  <c r="GL4" i="4"/>
  <c r="GK4" i="4"/>
  <c r="GI4" i="4"/>
  <c r="GH4" i="4"/>
  <c r="GG4" i="4"/>
  <c r="FP20" i="4"/>
  <c r="FO20" i="4"/>
  <c r="FM20" i="4"/>
  <c r="FL20" i="4"/>
  <c r="FK20" i="4"/>
  <c r="FP14" i="4"/>
  <c r="FO14" i="4"/>
  <c r="FM14" i="4"/>
  <c r="FL14" i="4"/>
  <c r="FK14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12" i="4"/>
  <c r="FO12" i="4"/>
  <c r="FM12" i="4"/>
  <c r="FL12" i="4"/>
  <c r="FK12" i="4"/>
  <c r="FP16" i="4"/>
  <c r="FO16" i="4"/>
  <c r="FM16" i="4"/>
  <c r="FL16" i="4"/>
  <c r="FK16" i="4"/>
  <c r="FP15" i="4"/>
  <c r="FO15" i="4"/>
  <c r="FM15" i="4"/>
  <c r="FL15" i="4"/>
  <c r="FK15" i="4"/>
  <c r="FP7" i="4"/>
  <c r="FO7" i="4"/>
  <c r="FM7" i="4"/>
  <c r="FL7" i="4"/>
  <c r="FK7" i="4"/>
  <c r="FP8" i="4"/>
  <c r="FO8" i="4"/>
  <c r="FM8" i="4"/>
  <c r="FL8" i="4"/>
  <c r="FK8" i="4"/>
  <c r="FP22" i="4"/>
  <c r="FO22" i="4"/>
  <c r="FM22" i="4"/>
  <c r="FL22" i="4"/>
  <c r="FK22" i="4"/>
  <c r="FP19" i="4"/>
  <c r="FO19" i="4"/>
  <c r="FM19" i="4"/>
  <c r="FL19" i="4"/>
  <c r="FK19" i="4"/>
  <c r="FP4" i="4"/>
  <c r="FO4" i="4"/>
  <c r="FM4" i="4"/>
  <c r="FL4" i="4"/>
  <c r="FK4" i="4"/>
  <c r="ET20" i="4"/>
  <c r="ES20" i="4"/>
  <c r="EQ20" i="4"/>
  <c r="EP20" i="4"/>
  <c r="EO20" i="4"/>
  <c r="ET14" i="4"/>
  <c r="ES14" i="4"/>
  <c r="EQ14" i="4"/>
  <c r="EP14" i="4"/>
  <c r="EO14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12" i="4"/>
  <c r="ES12" i="4"/>
  <c r="EQ12" i="4"/>
  <c r="EP12" i="4"/>
  <c r="EO12" i="4"/>
  <c r="ET16" i="4"/>
  <c r="ES16" i="4"/>
  <c r="EQ16" i="4"/>
  <c r="EP16" i="4"/>
  <c r="EO16" i="4"/>
  <c r="ET15" i="4"/>
  <c r="ES15" i="4"/>
  <c r="EQ15" i="4"/>
  <c r="EP15" i="4"/>
  <c r="EO15" i="4"/>
  <c r="ET7" i="4"/>
  <c r="ES7" i="4"/>
  <c r="EQ7" i="4"/>
  <c r="EP7" i="4"/>
  <c r="EO7" i="4"/>
  <c r="ET8" i="4"/>
  <c r="ES8" i="4"/>
  <c r="EQ8" i="4"/>
  <c r="EP8" i="4"/>
  <c r="EO8" i="4"/>
  <c r="ET22" i="4"/>
  <c r="ES22" i="4"/>
  <c r="EQ22" i="4"/>
  <c r="EP22" i="4"/>
  <c r="EO22" i="4"/>
  <c r="ET19" i="4"/>
  <c r="ES19" i="4"/>
  <c r="EQ19" i="4"/>
  <c r="EP19" i="4"/>
  <c r="EO19" i="4"/>
  <c r="ET4" i="4"/>
  <c r="ES4" i="4"/>
  <c r="EQ4" i="4"/>
  <c r="EP4" i="4"/>
  <c r="EO4" i="4"/>
  <c r="DX20" i="4"/>
  <c r="DW20" i="4"/>
  <c r="DU20" i="4"/>
  <c r="DT20" i="4"/>
  <c r="DS20" i="4"/>
  <c r="DX14" i="4"/>
  <c r="DW14" i="4"/>
  <c r="DU14" i="4"/>
  <c r="DT14" i="4"/>
  <c r="DS14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12" i="4"/>
  <c r="DW12" i="4"/>
  <c r="DU12" i="4"/>
  <c r="DT12" i="4"/>
  <c r="DS12" i="4"/>
  <c r="DX16" i="4"/>
  <c r="DW16" i="4"/>
  <c r="DU16" i="4"/>
  <c r="DT16" i="4"/>
  <c r="DS16" i="4"/>
  <c r="DX15" i="4"/>
  <c r="DW15" i="4"/>
  <c r="DU15" i="4"/>
  <c r="DT15" i="4"/>
  <c r="DS15" i="4"/>
  <c r="DX7" i="4"/>
  <c r="DW7" i="4"/>
  <c r="DU7" i="4"/>
  <c r="DT7" i="4"/>
  <c r="DS7" i="4"/>
  <c r="DX8" i="4"/>
  <c r="DW8" i="4"/>
  <c r="DU8" i="4"/>
  <c r="DT8" i="4"/>
  <c r="DS8" i="4"/>
  <c r="DX22" i="4"/>
  <c r="DW22" i="4"/>
  <c r="DU22" i="4"/>
  <c r="DT22" i="4"/>
  <c r="DS22" i="4"/>
  <c r="DX19" i="4"/>
  <c r="DW19" i="4"/>
  <c r="DU19" i="4"/>
  <c r="DT19" i="4"/>
  <c r="DS19" i="4"/>
  <c r="DX4" i="4"/>
  <c r="DW4" i="4"/>
  <c r="DU4" i="4"/>
  <c r="DT4" i="4"/>
  <c r="DS4" i="4"/>
  <c r="CS10" i="14"/>
  <c r="CT10" i="14"/>
  <c r="CU10" i="14"/>
  <c r="G10" i="14" s="1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17" i="14"/>
  <c r="CT17" i="14"/>
  <c r="CU17" i="14"/>
  <c r="G17" i="14" s="1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OF17" i="14" s="1"/>
  <c r="NU17" i="14"/>
  <c r="NV17" i="14"/>
  <c r="NW17" i="14"/>
  <c r="NX17" i="14"/>
  <c r="NY17" i="14"/>
  <c r="OI17" i="14" s="1"/>
  <c r="NZ17" i="14"/>
  <c r="OA17" i="14"/>
  <c r="CS12" i="14"/>
  <c r="CT12" i="14"/>
  <c r="CU12" i="14"/>
  <c r="G12" i="14" s="1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F10" i="14" l="1"/>
  <c r="F12" i="14"/>
  <c r="H12" i="14" s="1"/>
  <c r="F17" i="14"/>
  <c r="H17" i="14" s="1"/>
  <c r="G13" i="4"/>
  <c r="A23" i="4" a="1"/>
  <c r="A23" i="4" s="1"/>
  <c r="H23" i="4"/>
  <c r="F13" i="4"/>
  <c r="A24" i="4" a="1"/>
  <c r="A24" i="4" s="1"/>
  <c r="H24" i="4"/>
  <c r="A28" i="4" a="1"/>
  <c r="A28" i="4" s="1"/>
  <c r="H28" i="4"/>
  <c r="H17" i="4"/>
  <c r="A17" i="4" a="1"/>
  <c r="A17" i="4" s="1"/>
  <c r="G9" i="14"/>
  <c r="F9" i="14"/>
  <c r="H9" i="14" s="1"/>
  <c r="H10" i="14"/>
  <c r="A10" i="14" a="1"/>
  <c r="A10" i="14" s="1"/>
  <c r="H21" i="14"/>
  <c r="A21" i="14" a="1"/>
  <c r="A21" i="14" s="1"/>
  <c r="H16" i="14"/>
  <c r="A16" i="14" a="1"/>
  <c r="A16" i="14" s="1"/>
  <c r="H18" i="14"/>
  <c r="A18" i="14" a="1"/>
  <c r="A18" i="14" s="1"/>
  <c r="H22" i="14"/>
  <c r="A22" i="14" a="1"/>
  <c r="A22" i="14" s="1"/>
  <c r="H7" i="14"/>
  <c r="H6" i="14"/>
  <c r="DY28" i="4"/>
  <c r="DY24" i="4"/>
  <c r="DY23" i="4"/>
  <c r="DY17" i="4"/>
  <c r="J23" i="4"/>
  <c r="DB17" i="4"/>
  <c r="M17" i="4" s="1"/>
  <c r="DB28" i="4"/>
  <c r="M28" i="4" s="1"/>
  <c r="N28" i="4" s="1"/>
  <c r="OH7" i="14"/>
  <c r="DB7" i="14"/>
  <c r="DC7" i="14"/>
  <c r="L7" i="14"/>
  <c r="IB8" i="14"/>
  <c r="IE8" i="14" s="1"/>
  <c r="DB6" i="14"/>
  <c r="OH6" i="14"/>
  <c r="OH17" i="4"/>
  <c r="DC6" i="14"/>
  <c r="DV13" i="14"/>
  <c r="J22" i="14"/>
  <c r="OH22" i="14"/>
  <c r="OH24" i="4"/>
  <c r="OK24" i="4" s="1"/>
  <c r="DC18" i="14"/>
  <c r="OH21" i="14"/>
  <c r="OH18" i="14"/>
  <c r="DB18" i="14"/>
  <c r="HF12" i="14"/>
  <c r="HI12" i="14" s="1"/>
  <c r="IB27" i="14"/>
  <c r="IE27" i="14" s="1"/>
  <c r="JT5" i="14"/>
  <c r="JW5" i="14" s="1"/>
  <c r="DB21" i="14"/>
  <c r="DC22" i="14"/>
  <c r="M22" i="14" s="1"/>
  <c r="L22" i="14"/>
  <c r="OH16" i="14"/>
  <c r="LL17" i="14"/>
  <c r="LO17" i="14" s="1"/>
  <c r="MH5" i="14"/>
  <c r="MK5" i="14" s="1"/>
  <c r="MH11" i="14"/>
  <c r="MK11" i="14" s="1"/>
  <c r="DC21" i="14"/>
  <c r="KP17" i="14"/>
  <c r="KS17" i="14" s="1"/>
  <c r="LL5" i="14"/>
  <c r="LO5" i="14" s="1"/>
  <c r="LL12" i="14"/>
  <c r="LO12" i="14" s="1"/>
  <c r="DB16" i="14"/>
  <c r="DC16" i="14"/>
  <c r="L16" i="14"/>
  <c r="MH27" i="14"/>
  <c r="MK27" i="14" s="1"/>
  <c r="HF9" i="14"/>
  <c r="HI9" i="14" s="1"/>
  <c r="JT14" i="14"/>
  <c r="JW14" i="14" s="1"/>
  <c r="MH6" i="4"/>
  <c r="MK6" i="4" s="1"/>
  <c r="DV6" i="4"/>
  <c r="J17" i="4"/>
  <c r="L17" i="4"/>
  <c r="DC24" i="4"/>
  <c r="OH28" i="4"/>
  <c r="OH23" i="4"/>
  <c r="OK23" i="4" s="1"/>
  <c r="IB6" i="4"/>
  <c r="IE6" i="4" s="1"/>
  <c r="IX10" i="4"/>
  <c r="JA10" i="4" s="1"/>
  <c r="JT16" i="4"/>
  <c r="JW16" i="4" s="1"/>
  <c r="J28" i="4"/>
  <c r="MH20" i="4"/>
  <c r="MK20" i="4" s="1"/>
  <c r="J24" i="4"/>
  <c r="DB24" i="4"/>
  <c r="MH14" i="4"/>
  <c r="MK14" i="4" s="1"/>
  <c r="LL12" i="4"/>
  <c r="LO12" i="4" s="1"/>
  <c r="IB14" i="4"/>
  <c r="IE14" i="4" s="1"/>
  <c r="IX13" i="4"/>
  <c r="JA13" i="4" s="1"/>
  <c r="KP15" i="4"/>
  <c r="KS15" i="4" s="1"/>
  <c r="LL4" i="4"/>
  <c r="LO4" i="4" s="1"/>
  <c r="LL14" i="4"/>
  <c r="LO14" i="4" s="1"/>
  <c r="MH8" i="4"/>
  <c r="MK8" i="4" s="1"/>
  <c r="MH13" i="4"/>
  <c r="MK13" i="4" s="1"/>
  <c r="L28" i="4"/>
  <c r="DB23" i="4"/>
  <c r="DC23" i="4"/>
  <c r="L23" i="4"/>
  <c r="ER10" i="4"/>
  <c r="EU10" i="4" s="1"/>
  <c r="DV10" i="4"/>
  <c r="IB9" i="14"/>
  <c r="IE9" i="14" s="1"/>
  <c r="ER17" i="14"/>
  <c r="EU17" i="14" s="1"/>
  <c r="GJ14" i="14"/>
  <c r="GM14" i="14" s="1"/>
  <c r="HF8" i="14"/>
  <c r="HI8" i="14" s="1"/>
  <c r="LL26" i="14"/>
  <c r="LO26" i="14" s="1"/>
  <c r="MH9" i="14"/>
  <c r="MK9" i="14" s="1"/>
  <c r="HF17" i="14"/>
  <c r="HI17" i="14" s="1"/>
  <c r="IB11" i="14"/>
  <c r="IE11" i="14" s="1"/>
  <c r="GJ5" i="14"/>
  <c r="GM5" i="14" s="1"/>
  <c r="IB20" i="14"/>
  <c r="IE20" i="14" s="1"/>
  <c r="DV5" i="14"/>
  <c r="DY5" i="14" s="1"/>
  <c r="ER9" i="14"/>
  <c r="EU9" i="14" s="1"/>
  <c r="HF4" i="14"/>
  <c r="HI4" i="14" s="1"/>
  <c r="IB19" i="14"/>
  <c r="IE19" i="14" s="1"/>
  <c r="IX27" i="14"/>
  <c r="JA27" i="14" s="1"/>
  <c r="LL14" i="14"/>
  <c r="LO14" i="14" s="1"/>
  <c r="LL8" i="14"/>
  <c r="LO8" i="14" s="1"/>
  <c r="LL15" i="14"/>
  <c r="LO15" i="14" s="1"/>
  <c r="FN6" i="4"/>
  <c r="FQ6" i="4" s="1"/>
  <c r="HF16" i="4"/>
  <c r="HI16" i="4" s="1"/>
  <c r="IX6" i="4"/>
  <c r="JA6" i="4" s="1"/>
  <c r="JT10" i="4"/>
  <c r="JW10" i="4" s="1"/>
  <c r="LL20" i="4"/>
  <c r="LO20" i="4" s="1"/>
  <c r="HF14" i="4"/>
  <c r="HI14" i="4" s="1"/>
  <c r="KP10" i="4"/>
  <c r="KS10" i="4" s="1"/>
  <c r="IB10" i="4"/>
  <c r="IE10" i="4" s="1"/>
  <c r="FN7" i="4"/>
  <c r="FQ7" i="4" s="1"/>
  <c r="FN14" i="4"/>
  <c r="FQ14" i="4" s="1"/>
  <c r="GJ8" i="4"/>
  <c r="GM8" i="4" s="1"/>
  <c r="GJ13" i="4"/>
  <c r="GM13" i="4" s="1"/>
  <c r="MH10" i="4"/>
  <c r="MK10" i="4" s="1"/>
  <c r="DV4" i="4"/>
  <c r="DV7" i="4"/>
  <c r="DV13" i="4"/>
  <c r="ER12" i="4"/>
  <c r="EU12" i="4" s="1"/>
  <c r="ER4" i="4"/>
  <c r="EU4" i="4" s="1"/>
  <c r="FN12" i="4"/>
  <c r="FQ12" i="4" s="1"/>
  <c r="GJ6" i="4"/>
  <c r="GM6" i="4" s="1"/>
  <c r="HF10" i="4"/>
  <c r="HI10" i="4" s="1"/>
  <c r="LL10" i="4"/>
  <c r="LO10" i="4" s="1"/>
  <c r="MH16" i="4"/>
  <c r="MK16" i="4" s="1"/>
  <c r="FN9" i="14"/>
  <c r="FQ9" i="14" s="1"/>
  <c r="FN8" i="14"/>
  <c r="FQ8" i="14" s="1"/>
  <c r="IB13" i="14"/>
  <c r="IE13" i="14" s="1"/>
  <c r="GJ12" i="14"/>
  <c r="GM12" i="14" s="1"/>
  <c r="GJ19" i="14"/>
  <c r="GM19" i="14" s="1"/>
  <c r="HF27" i="14"/>
  <c r="HI27" i="14" s="1"/>
  <c r="IX5" i="14"/>
  <c r="JA5" i="14" s="1"/>
  <c r="IX11" i="14"/>
  <c r="JA11" i="14" s="1"/>
  <c r="JT11" i="14"/>
  <c r="JW11" i="14" s="1"/>
  <c r="KP14" i="14"/>
  <c r="KS14" i="14" s="1"/>
  <c r="KP9" i="14"/>
  <c r="KS9" i="14" s="1"/>
  <c r="MH15" i="14"/>
  <c r="MK15" i="14" s="1"/>
  <c r="LL10" i="14"/>
  <c r="LO10" i="14" s="1"/>
  <c r="ER13" i="14"/>
  <c r="EU13" i="14" s="1"/>
  <c r="ER12" i="14"/>
  <c r="EU12" i="14" s="1"/>
  <c r="FN27" i="14"/>
  <c r="FQ27" i="14" s="1"/>
  <c r="GJ17" i="14"/>
  <c r="GM17" i="14" s="1"/>
  <c r="IX8" i="14"/>
  <c r="JA8" i="14" s="1"/>
  <c r="IX20" i="14"/>
  <c r="JA20" i="14" s="1"/>
  <c r="IX9" i="14"/>
  <c r="JA9" i="14" s="1"/>
  <c r="JT20" i="14"/>
  <c r="JW20" i="14" s="1"/>
  <c r="KP4" i="14"/>
  <c r="KS4" i="14" s="1"/>
  <c r="KP10" i="14"/>
  <c r="KS10" i="14" s="1"/>
  <c r="KP13" i="14"/>
  <c r="KS13" i="14" s="1"/>
  <c r="KP12" i="14"/>
  <c r="KS12" i="14" s="1"/>
  <c r="LL13" i="14"/>
  <c r="LO13" i="14" s="1"/>
  <c r="FN26" i="14"/>
  <c r="FQ26" i="14" s="1"/>
  <c r="HF26" i="14"/>
  <c r="HI26" i="14" s="1"/>
  <c r="IB17" i="14"/>
  <c r="IE17" i="14" s="1"/>
  <c r="IX26" i="14"/>
  <c r="JA26" i="14" s="1"/>
  <c r="KP5" i="14"/>
  <c r="KS5" i="14" s="1"/>
  <c r="LL9" i="14"/>
  <c r="LO9" i="14" s="1"/>
  <c r="MH8" i="14"/>
  <c r="MK8" i="14" s="1"/>
  <c r="MH14" i="14"/>
  <c r="MK14" i="14" s="1"/>
  <c r="MH20" i="14"/>
  <c r="MK20" i="14" s="1"/>
  <c r="DV27" i="14"/>
  <c r="DY27" i="14" s="1"/>
  <c r="DV17" i="14"/>
  <c r="DY17" i="14" s="1"/>
  <c r="ER5" i="14"/>
  <c r="EU5" i="14" s="1"/>
  <c r="ER11" i="14"/>
  <c r="EU11" i="14" s="1"/>
  <c r="FN14" i="14"/>
  <c r="FQ14" i="14" s="1"/>
  <c r="FN11" i="14"/>
  <c r="FQ11" i="14" s="1"/>
  <c r="HF14" i="14"/>
  <c r="HI14" i="14" s="1"/>
  <c r="HF11" i="14"/>
  <c r="HI11" i="14" s="1"/>
  <c r="IB14" i="14"/>
  <c r="IE14" i="14" s="1"/>
  <c r="IX14" i="14"/>
  <c r="JA14" i="14" s="1"/>
  <c r="JT9" i="14"/>
  <c r="JW9" i="14" s="1"/>
  <c r="KP20" i="14"/>
  <c r="KS20" i="14" s="1"/>
  <c r="MH10" i="14"/>
  <c r="MK10" i="14" s="1"/>
  <c r="DV14" i="14"/>
  <c r="DY14" i="14" s="1"/>
  <c r="DV9" i="14"/>
  <c r="DY9" i="14" s="1"/>
  <c r="ER8" i="14"/>
  <c r="EU8" i="14" s="1"/>
  <c r="ER14" i="14"/>
  <c r="EU14" i="14" s="1"/>
  <c r="ER20" i="14"/>
  <c r="EU20" i="14" s="1"/>
  <c r="FN15" i="14"/>
  <c r="FQ15" i="14" s="1"/>
  <c r="GJ4" i="14"/>
  <c r="GM4" i="14" s="1"/>
  <c r="GJ20" i="14"/>
  <c r="GM20" i="14" s="1"/>
  <c r="GJ9" i="14"/>
  <c r="GM9" i="14" s="1"/>
  <c r="HF20" i="14"/>
  <c r="HI20" i="14" s="1"/>
  <c r="IB4" i="14"/>
  <c r="IE4" i="14" s="1"/>
  <c r="IB15" i="14"/>
  <c r="IE15" i="14" s="1"/>
  <c r="JT4" i="14"/>
  <c r="JW4" i="14" s="1"/>
  <c r="JT15" i="14"/>
  <c r="JW15" i="14" s="1"/>
  <c r="JT10" i="14"/>
  <c r="JW10" i="14" s="1"/>
  <c r="MH13" i="14"/>
  <c r="MK13" i="14" s="1"/>
  <c r="MH12" i="14"/>
  <c r="MK12" i="14" s="1"/>
  <c r="MH19" i="14"/>
  <c r="MK19" i="14" s="1"/>
  <c r="ER4" i="14"/>
  <c r="EU4" i="14" s="1"/>
  <c r="ER10" i="14"/>
  <c r="EU10" i="14" s="1"/>
  <c r="FN10" i="14"/>
  <c r="FQ10" i="14" s="1"/>
  <c r="GJ15" i="14"/>
  <c r="GM15" i="14" s="1"/>
  <c r="DV4" i="14"/>
  <c r="DY4" i="14" s="1"/>
  <c r="DV15" i="14"/>
  <c r="DY15" i="14" s="1"/>
  <c r="FN13" i="14"/>
  <c r="FQ13" i="14" s="1"/>
  <c r="IB12" i="14"/>
  <c r="IE12" i="14" s="1"/>
  <c r="IX13" i="14"/>
  <c r="JA13" i="14" s="1"/>
  <c r="IX12" i="14"/>
  <c r="JA12" i="14" s="1"/>
  <c r="IX19" i="14"/>
  <c r="JA19" i="14" s="1"/>
  <c r="LL27" i="14"/>
  <c r="LO27" i="14" s="1"/>
  <c r="MH17" i="14"/>
  <c r="MK17" i="14" s="1"/>
  <c r="DV22" i="4"/>
  <c r="ER14" i="4"/>
  <c r="EU14" i="4" s="1"/>
  <c r="GJ15" i="4"/>
  <c r="GM15" i="4" s="1"/>
  <c r="GJ10" i="4"/>
  <c r="GM10" i="4" s="1"/>
  <c r="HF4" i="4"/>
  <c r="HI4" i="4" s="1"/>
  <c r="HF7" i="4"/>
  <c r="HI7" i="4" s="1"/>
  <c r="JT4" i="4"/>
  <c r="JW4" i="4" s="1"/>
  <c r="JT7" i="4"/>
  <c r="JW7" i="4" s="1"/>
  <c r="JT14" i="4"/>
  <c r="JW14" i="4" s="1"/>
  <c r="KP8" i="4"/>
  <c r="KS8" i="4" s="1"/>
  <c r="KP13" i="4"/>
  <c r="KS13" i="4" s="1"/>
  <c r="DV8" i="4"/>
  <c r="FN4" i="4"/>
  <c r="FQ4" i="4" s="1"/>
  <c r="IB8" i="4"/>
  <c r="IE8" i="4" s="1"/>
  <c r="IB13" i="4"/>
  <c r="IE13" i="4" s="1"/>
  <c r="KP4" i="4"/>
  <c r="KS4" i="4" s="1"/>
  <c r="KP7" i="4"/>
  <c r="KS7" i="4" s="1"/>
  <c r="KP14" i="4"/>
  <c r="KS14" i="4" s="1"/>
  <c r="LL8" i="4"/>
  <c r="LO8" i="4" s="1"/>
  <c r="LL13" i="4"/>
  <c r="LO13" i="4" s="1"/>
  <c r="IB4" i="4"/>
  <c r="IE4" i="4" s="1"/>
  <c r="IB7" i="4"/>
  <c r="IE7" i="4" s="1"/>
  <c r="LL19" i="4"/>
  <c r="LO19" i="4" s="1"/>
  <c r="LL16" i="4"/>
  <c r="LO16" i="4" s="1"/>
  <c r="CX13" i="4"/>
  <c r="DA13" i="4" s="1"/>
  <c r="ER8" i="4"/>
  <c r="EU8" i="4" s="1"/>
  <c r="ER20" i="4"/>
  <c r="EU20" i="4" s="1"/>
  <c r="FN10" i="4"/>
  <c r="FQ10" i="4" s="1"/>
  <c r="GJ19" i="4"/>
  <c r="GM19" i="4" s="1"/>
  <c r="HF12" i="4"/>
  <c r="HI12" i="4" s="1"/>
  <c r="IB15" i="4"/>
  <c r="IE15" i="4" s="1"/>
  <c r="IX16" i="4"/>
  <c r="JA16" i="4" s="1"/>
  <c r="JT12" i="4"/>
  <c r="JW12" i="4" s="1"/>
  <c r="ER19" i="4"/>
  <c r="EU19" i="4" s="1"/>
  <c r="ER16" i="4"/>
  <c r="EU16" i="4" s="1"/>
  <c r="ER13" i="4"/>
  <c r="EU13" i="4" s="1"/>
  <c r="FN15" i="4"/>
  <c r="FQ15" i="4" s="1"/>
  <c r="GJ4" i="4"/>
  <c r="GM4" i="4" s="1"/>
  <c r="GJ7" i="4"/>
  <c r="GM7" i="4" s="1"/>
  <c r="GJ14" i="4"/>
  <c r="GM14" i="4" s="1"/>
  <c r="IX4" i="4"/>
  <c r="JA4" i="4" s="1"/>
  <c r="IX14" i="4"/>
  <c r="JA14" i="4" s="1"/>
  <c r="MH4" i="4"/>
  <c r="MK4" i="4" s="1"/>
  <c r="MH7" i="4"/>
  <c r="MK7" i="4" s="1"/>
  <c r="DV16" i="4"/>
  <c r="DV20" i="4"/>
  <c r="ER15" i="4"/>
  <c r="EU15" i="4" s="1"/>
  <c r="FN22" i="4"/>
  <c r="FQ22" i="4" s="1"/>
  <c r="FN20" i="4"/>
  <c r="FQ20" i="4" s="1"/>
  <c r="HF22" i="4"/>
  <c r="HI22" i="4" s="1"/>
  <c r="HF6" i="4"/>
  <c r="HI6" i="4" s="1"/>
  <c r="IB12" i="4"/>
  <c r="IE12" i="4" s="1"/>
  <c r="IX7" i="4"/>
  <c r="JA7" i="4" s="1"/>
  <c r="JT22" i="4"/>
  <c r="JW22" i="4" s="1"/>
  <c r="JT6" i="4"/>
  <c r="JW6" i="4" s="1"/>
  <c r="KP16" i="4"/>
  <c r="KS16" i="4" s="1"/>
  <c r="KP20" i="4"/>
  <c r="KS20" i="4" s="1"/>
  <c r="LL15" i="4"/>
  <c r="LO15" i="4" s="1"/>
  <c r="MH19" i="4"/>
  <c r="MK19" i="4" s="1"/>
  <c r="MH12" i="4"/>
  <c r="MK12" i="4" s="1"/>
  <c r="ER22" i="4"/>
  <c r="EU22" i="4" s="1"/>
  <c r="ER6" i="4"/>
  <c r="EU6" i="4" s="1"/>
  <c r="FN19" i="4"/>
  <c r="FQ19" i="4" s="1"/>
  <c r="FN8" i="4"/>
  <c r="FQ8" i="4" s="1"/>
  <c r="GJ22" i="4"/>
  <c r="GM22" i="4" s="1"/>
  <c r="HF19" i="4"/>
  <c r="HI19" i="4" s="1"/>
  <c r="HF8" i="4"/>
  <c r="HI8" i="4" s="1"/>
  <c r="HF20" i="4"/>
  <c r="HI20" i="4" s="1"/>
  <c r="IB16" i="4"/>
  <c r="IE16" i="4" s="1"/>
  <c r="IB20" i="4"/>
  <c r="IE20" i="4" s="1"/>
  <c r="IX15" i="4"/>
  <c r="JA15" i="4" s="1"/>
  <c r="JT19" i="4"/>
  <c r="JW19" i="4" s="1"/>
  <c r="JT8" i="4"/>
  <c r="JW8" i="4" s="1"/>
  <c r="JT20" i="4"/>
  <c r="JW20" i="4" s="1"/>
  <c r="LL22" i="4"/>
  <c r="LO22" i="4" s="1"/>
  <c r="LL6" i="4"/>
  <c r="LO6" i="4" s="1"/>
  <c r="DV15" i="4"/>
  <c r="DV14" i="4"/>
  <c r="HF13" i="4"/>
  <c r="HI13" i="4" s="1"/>
  <c r="JT13" i="4"/>
  <c r="JW13" i="4" s="1"/>
  <c r="GJ12" i="4"/>
  <c r="GM12" i="4" s="1"/>
  <c r="IB22" i="4"/>
  <c r="IE22" i="4" s="1"/>
  <c r="IX22" i="4"/>
  <c r="JA22" i="4" s="1"/>
  <c r="KP22" i="4"/>
  <c r="KS22" i="4" s="1"/>
  <c r="IX12" i="4"/>
  <c r="JA12" i="4" s="1"/>
  <c r="OG13" i="4"/>
  <c r="DV19" i="4"/>
  <c r="DV12" i="4"/>
  <c r="ER7" i="4"/>
  <c r="EU7" i="4" s="1"/>
  <c r="FN16" i="4"/>
  <c r="FQ16" i="4" s="1"/>
  <c r="FN13" i="4"/>
  <c r="FQ13" i="4" s="1"/>
  <c r="GJ16" i="4"/>
  <c r="GM16" i="4" s="1"/>
  <c r="GJ20" i="4"/>
  <c r="GM20" i="4" s="1"/>
  <c r="HF15" i="4"/>
  <c r="HI15" i="4" s="1"/>
  <c r="IB19" i="4"/>
  <c r="IE19" i="4" s="1"/>
  <c r="IX19" i="4"/>
  <c r="JA19" i="4" s="1"/>
  <c r="IX8" i="4"/>
  <c r="JA8" i="4" s="1"/>
  <c r="IX20" i="4"/>
  <c r="JA20" i="4" s="1"/>
  <c r="JT15" i="4"/>
  <c r="JW15" i="4" s="1"/>
  <c r="KP19" i="4"/>
  <c r="KS19" i="4" s="1"/>
  <c r="KP12" i="4"/>
  <c r="KS12" i="4" s="1"/>
  <c r="KP6" i="4"/>
  <c r="KS6" i="4" s="1"/>
  <c r="LL7" i="4"/>
  <c r="LO7" i="4" s="1"/>
  <c r="MH22" i="4"/>
  <c r="MK22" i="4" s="1"/>
  <c r="MH15" i="4"/>
  <c r="MK15" i="4" s="1"/>
  <c r="ER19" i="14"/>
  <c r="EU19" i="14" s="1"/>
  <c r="IX10" i="14"/>
  <c r="JA10" i="14" s="1"/>
  <c r="LL19" i="14"/>
  <c r="LO19" i="14" s="1"/>
  <c r="OG10" i="14"/>
  <c r="DV8" i="14"/>
  <c r="DY8" i="14" s="1"/>
  <c r="ER26" i="14"/>
  <c r="EU26" i="14" s="1"/>
  <c r="ER27" i="14"/>
  <c r="EU27" i="14" s="1"/>
  <c r="FN12" i="14"/>
  <c r="FQ12" i="14" s="1"/>
  <c r="FN19" i="14"/>
  <c r="FQ19" i="14" s="1"/>
  <c r="GJ13" i="14"/>
  <c r="GM13" i="14" s="1"/>
  <c r="GJ10" i="14"/>
  <c r="GM10" i="14" s="1"/>
  <c r="IB5" i="14"/>
  <c r="IE5" i="14" s="1"/>
  <c r="IX17" i="14"/>
  <c r="JA17" i="14" s="1"/>
  <c r="JT13" i="14"/>
  <c r="JW13" i="14" s="1"/>
  <c r="KP8" i="14"/>
  <c r="KS8" i="14" s="1"/>
  <c r="KP11" i="14"/>
  <c r="KS11" i="14" s="1"/>
  <c r="MH4" i="14"/>
  <c r="MK4" i="14" s="1"/>
  <c r="DV20" i="14"/>
  <c r="DY20" i="14" s="1"/>
  <c r="DV11" i="14"/>
  <c r="DY11" i="14" s="1"/>
  <c r="FN5" i="14"/>
  <c r="FQ5" i="14" s="1"/>
  <c r="FN17" i="14"/>
  <c r="FQ17" i="14" s="1"/>
  <c r="GJ26" i="14"/>
  <c r="GM26" i="14" s="1"/>
  <c r="GJ27" i="14"/>
  <c r="GM27" i="14" s="1"/>
  <c r="HF13" i="14"/>
  <c r="HI13" i="14" s="1"/>
  <c r="HF15" i="14"/>
  <c r="HI15" i="14" s="1"/>
  <c r="IB26" i="14"/>
  <c r="IE26" i="14" s="1"/>
  <c r="IB10" i="14"/>
  <c r="IE10" i="14" s="1"/>
  <c r="IX4" i="14"/>
  <c r="JA4" i="14" s="1"/>
  <c r="JT26" i="14"/>
  <c r="JW26" i="14" s="1"/>
  <c r="JT27" i="14"/>
  <c r="JW27" i="14" s="1"/>
  <c r="JT12" i="14"/>
  <c r="JW12" i="14" s="1"/>
  <c r="JT19" i="14"/>
  <c r="JW19" i="14" s="1"/>
  <c r="KP15" i="14"/>
  <c r="KS15" i="14" s="1"/>
  <c r="LL4" i="14"/>
  <c r="LO4" i="14" s="1"/>
  <c r="DY13" i="14"/>
  <c r="LL11" i="14"/>
  <c r="LO11" i="14" s="1"/>
  <c r="MH26" i="14"/>
  <c r="MK26" i="14" s="1"/>
  <c r="HF19" i="14"/>
  <c r="HI19" i="14" s="1"/>
  <c r="IX15" i="14"/>
  <c r="JA15" i="14" s="1"/>
  <c r="JT17" i="14"/>
  <c r="JW17" i="14" s="1"/>
  <c r="KP19" i="14"/>
  <c r="KS19" i="14" s="1"/>
  <c r="DV26" i="14"/>
  <c r="DY26" i="14" s="1"/>
  <c r="DV12" i="14"/>
  <c r="DY12" i="14" s="1"/>
  <c r="DV19" i="14"/>
  <c r="DY19" i="14" s="1"/>
  <c r="DV10" i="14"/>
  <c r="DY10" i="14" s="1"/>
  <c r="ER15" i="14"/>
  <c r="EU15" i="14" s="1"/>
  <c r="FN4" i="14"/>
  <c r="FQ4" i="14" s="1"/>
  <c r="FN20" i="14"/>
  <c r="FQ20" i="14" s="1"/>
  <c r="GJ8" i="14"/>
  <c r="GM8" i="14" s="1"/>
  <c r="GJ11" i="14"/>
  <c r="GM11" i="14" s="1"/>
  <c r="HF5" i="14"/>
  <c r="HI5" i="14" s="1"/>
  <c r="HF10" i="14"/>
  <c r="HI10" i="14" s="1"/>
  <c r="JT8" i="14"/>
  <c r="JW8" i="14" s="1"/>
  <c r="KP26" i="14"/>
  <c r="KS26" i="14" s="1"/>
  <c r="KP27" i="14"/>
  <c r="KS27" i="14" s="1"/>
  <c r="LL20" i="14"/>
  <c r="LO20" i="14" s="1"/>
  <c r="ND10" i="14"/>
  <c r="NG10" i="14" s="1"/>
  <c r="CX12" i="14"/>
  <c r="DA12" i="14" s="1"/>
  <c r="ND17" i="14"/>
  <c r="NG17" i="14" s="1"/>
  <c r="CX17" i="14"/>
  <c r="DA17" i="14" s="1"/>
  <c r="CX9" i="14"/>
  <c r="DA9" i="14" s="1"/>
  <c r="CX10" i="14"/>
  <c r="DA10" i="14" s="1"/>
  <c r="OG12" i="14"/>
  <c r="ND13" i="4"/>
  <c r="NG13" i="4" s="1"/>
  <c r="OE10" i="14"/>
  <c r="OC10" i="14"/>
  <c r="I10" i="14"/>
  <c r="DB10" i="14" s="1"/>
  <c r="K10" i="14"/>
  <c r="ND9" i="14"/>
  <c r="NG9" i="14" s="1"/>
  <c r="OG9" i="14"/>
  <c r="OE9" i="14"/>
  <c r="OC9" i="14"/>
  <c r="I9" i="14"/>
  <c r="DB9" i="14" s="1"/>
  <c r="K9" i="14"/>
  <c r="OG17" i="14"/>
  <c r="OE17" i="14"/>
  <c r="OC17" i="14"/>
  <c r="I17" i="14"/>
  <c r="DB17" i="14" s="1"/>
  <c r="K17" i="14"/>
  <c r="ND12" i="14"/>
  <c r="NG12" i="14" s="1"/>
  <c r="OE12" i="14"/>
  <c r="OC12" i="14"/>
  <c r="K12" i="14"/>
  <c r="I12" i="14"/>
  <c r="OE13" i="4"/>
  <c r="OC13" i="4"/>
  <c r="I13" i="4"/>
  <c r="K13" i="4"/>
  <c r="A12" i="14" l="1" a="1"/>
  <c r="A12" i="14" s="1"/>
  <c r="A17" i="14" a="1"/>
  <c r="A17" i="14" s="1"/>
  <c r="OK29" i="4"/>
  <c r="OK28" i="4"/>
  <c r="H13" i="4"/>
  <c r="A13" i="4" a="1"/>
  <c r="A13" i="4" s="1"/>
  <c r="DY8" i="4"/>
  <c r="DY6" i="4"/>
  <c r="DY16" i="4"/>
  <c r="DY13" i="4"/>
  <c r="DY22" i="4"/>
  <c r="DY7" i="4"/>
  <c r="DY15" i="4"/>
  <c r="DY12" i="4"/>
  <c r="DY4" i="4"/>
  <c r="DY10" i="4"/>
  <c r="E28" i="4"/>
  <c r="DY19" i="4"/>
  <c r="DY14" i="4"/>
  <c r="DY20" i="4"/>
  <c r="E17" i="4"/>
  <c r="J13" i="4"/>
  <c r="M7" i="14"/>
  <c r="E7" i="14" s="1"/>
  <c r="M6" i="14"/>
  <c r="E6" i="14" s="1"/>
  <c r="M18" i="14"/>
  <c r="N18" i="14" s="1"/>
  <c r="M21" i="14"/>
  <c r="O21" i="14" s="1"/>
  <c r="E22" i="14"/>
  <c r="N22" i="14"/>
  <c r="O22" i="14"/>
  <c r="M16" i="14"/>
  <c r="E16" i="14" s="1"/>
  <c r="O17" i="4"/>
  <c r="M24" i="4"/>
  <c r="N24" i="4" s="1"/>
  <c r="N17" i="4"/>
  <c r="O28" i="4"/>
  <c r="M23" i="4"/>
  <c r="E23" i="4" s="1"/>
  <c r="OH17" i="14"/>
  <c r="OH10" i="14"/>
  <c r="J10" i="14"/>
  <c r="DC10" i="14"/>
  <c r="M10" i="14" s="1"/>
  <c r="L10" i="14"/>
  <c r="J9" i="14"/>
  <c r="OH9" i="14"/>
  <c r="DC9" i="14"/>
  <c r="M9" i="14" s="1"/>
  <c r="L9" i="14"/>
  <c r="J17" i="14"/>
  <c r="DC17" i="14"/>
  <c r="M17" i="14" s="1"/>
  <c r="L17" i="14"/>
  <c r="OH12" i="14"/>
  <c r="DC12" i="14"/>
  <c r="L12" i="14"/>
  <c r="J12" i="14"/>
  <c r="DB12" i="14"/>
  <c r="OH13" i="4"/>
  <c r="DB13" i="4"/>
  <c r="DC13" i="4"/>
  <c r="L13" i="4"/>
  <c r="CS7" i="4"/>
  <c r="CT7" i="4"/>
  <c r="CU7" i="4"/>
  <c r="CV7" i="4"/>
  <c r="CW7" i="4"/>
  <c r="CY7" i="4"/>
  <c r="CZ7" i="4"/>
  <c r="NA7" i="4"/>
  <c r="NB7" i="4"/>
  <c r="NC7" i="4"/>
  <c r="NE7" i="4"/>
  <c r="NF7" i="4"/>
  <c r="NH7" i="4"/>
  <c r="NI7" i="4"/>
  <c r="NJ7" i="4"/>
  <c r="NK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4" i="4"/>
  <c r="CT4" i="4"/>
  <c r="CU4" i="4"/>
  <c r="CV4" i="4"/>
  <c r="CW4" i="4"/>
  <c r="CY4" i="4"/>
  <c r="CZ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4" i="14"/>
  <c r="CT4" i="14"/>
  <c r="CU4" i="14"/>
  <c r="CV4" i="14"/>
  <c r="CW4" i="14"/>
  <c r="CY4" i="14"/>
  <c r="CZ4" i="14"/>
  <c r="NA4" i="14"/>
  <c r="NB4" i="14"/>
  <c r="NC4" i="14"/>
  <c r="NE4" i="14"/>
  <c r="NF4" i="14"/>
  <c r="NH4" i="14"/>
  <c r="NI4" i="14"/>
  <c r="NJ4" i="14"/>
  <c r="NK4" i="14"/>
  <c r="NL4" i="14"/>
  <c r="NM4" i="14"/>
  <c r="NN4" i="14"/>
  <c r="NO4" i="14"/>
  <c r="OD4" i="14" s="1"/>
  <c r="NP4" i="14"/>
  <c r="NQ4" i="14"/>
  <c r="NR4" i="14"/>
  <c r="NS4" i="14"/>
  <c r="NT4" i="14"/>
  <c r="OF4" i="14" s="1"/>
  <c r="NU4" i="14"/>
  <c r="NV4" i="14"/>
  <c r="NW4" i="14"/>
  <c r="NX4" i="14"/>
  <c r="NY4" i="14"/>
  <c r="OI4" i="14" s="1"/>
  <c r="NZ4" i="14"/>
  <c r="OA4" i="14"/>
  <c r="F4" i="4" l="1"/>
  <c r="H4" i="4" s="1"/>
  <c r="F19" i="4"/>
  <c r="G4" i="4"/>
  <c r="G19" i="4"/>
  <c r="G7" i="4"/>
  <c r="F4" i="14"/>
  <c r="G4" i="14"/>
  <c r="F7" i="4"/>
  <c r="H7" i="4" s="1"/>
  <c r="E24" i="4"/>
  <c r="O7" i="14"/>
  <c r="N7" i="14"/>
  <c r="N6" i="14"/>
  <c r="O6" i="14"/>
  <c r="E18" i="14"/>
  <c r="O18" i="14"/>
  <c r="E21" i="14"/>
  <c r="O16" i="14"/>
  <c r="N16" i="14"/>
  <c r="N21" i="14"/>
  <c r="O24" i="4"/>
  <c r="O23" i="4"/>
  <c r="N23" i="4"/>
  <c r="M13" i="4"/>
  <c r="N13" i="4" s="1"/>
  <c r="E10" i="14"/>
  <c r="N10" i="14"/>
  <c r="O10" i="14"/>
  <c r="E9" i="14"/>
  <c r="N9" i="14"/>
  <c r="O9" i="14"/>
  <c r="M12" i="14"/>
  <c r="E12" i="14" s="1"/>
  <c r="E17" i="14"/>
  <c r="N17" i="14"/>
  <c r="O17" i="14"/>
  <c r="ND7" i="4"/>
  <c r="OG7" i="4"/>
  <c r="CX7" i="4"/>
  <c r="DA7" i="4" s="1"/>
  <c r="OE7" i="4"/>
  <c r="OC7" i="4"/>
  <c r="I7" i="4"/>
  <c r="K7" i="4"/>
  <c r="ND19" i="4"/>
  <c r="CX4" i="14"/>
  <c r="DA4" i="14" s="1"/>
  <c r="CX19" i="4"/>
  <c r="DA19" i="4" s="1"/>
  <c r="OG19" i="4"/>
  <c r="K19" i="4"/>
  <c r="DC19" i="4" s="1"/>
  <c r="OE19" i="4"/>
  <c r="OC19" i="4"/>
  <c r="I19" i="4"/>
  <c r="CX4" i="4"/>
  <c r="DA4" i="4" s="1"/>
  <c r="ND4" i="4"/>
  <c r="OG4" i="4"/>
  <c r="OE4" i="4"/>
  <c r="OC4" i="4"/>
  <c r="K4" i="4"/>
  <c r="I4" i="4"/>
  <c r="ND4" i="14"/>
  <c r="NG4" i="14" s="1"/>
  <c r="OG4" i="14"/>
  <c r="OE4" i="14"/>
  <c r="OC4" i="14"/>
  <c r="K4" i="14"/>
  <c r="I4" i="14"/>
  <c r="A19" i="4" l="1" a="1"/>
  <c r="A19" i="4" s="1"/>
  <c r="H19" i="4"/>
  <c r="H4" i="14"/>
  <c r="NG4" i="4"/>
  <c r="NG19" i="4"/>
  <c r="NG7" i="4"/>
  <c r="E13" i="4"/>
  <c r="J7" i="4"/>
  <c r="DB7" i="4"/>
  <c r="O13" i="4"/>
  <c r="O12" i="14"/>
  <c r="N12" i="14"/>
  <c r="OH7" i="4"/>
  <c r="DC7" i="4"/>
  <c r="L7" i="4"/>
  <c r="OH19" i="4"/>
  <c r="L19" i="4"/>
  <c r="J19" i="4"/>
  <c r="DB19" i="4"/>
  <c r="M19" i="4" s="1"/>
  <c r="OH4" i="4"/>
  <c r="DC4" i="4"/>
  <c r="L4" i="4"/>
  <c r="J4" i="4"/>
  <c r="DB4" i="4"/>
  <c r="OH4" i="14"/>
  <c r="DC4" i="14"/>
  <c r="L4" i="14"/>
  <c r="J4" i="14"/>
  <c r="DB4" i="14"/>
  <c r="E19" i="4" l="1"/>
  <c r="M7" i="4"/>
  <c r="E7" i="4" s="1"/>
  <c r="N19" i="4"/>
  <c r="O19" i="4"/>
  <c r="M4" i="4"/>
  <c r="E4" i="4" s="1"/>
  <c r="M4" i="14"/>
  <c r="E4" i="14" s="1"/>
  <c r="O7" i="4" l="1"/>
  <c r="N7" i="4"/>
  <c r="N4" i="4"/>
  <c r="O4" i="4"/>
  <c r="O4" i="14"/>
  <c r="N4" i="1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5" i="14"/>
  <c r="CT15" i="14"/>
  <c r="CU15" i="14"/>
  <c r="CV15" i="14"/>
  <c r="CW15" i="14"/>
  <c r="CY15" i="14"/>
  <c r="CZ15" i="14"/>
  <c r="NA15" i="14"/>
  <c r="NB15" i="14"/>
  <c r="NC15" i="14"/>
  <c r="NE15" i="14"/>
  <c r="NF15" i="14"/>
  <c r="NH15" i="14"/>
  <c r="NI15" i="14"/>
  <c r="NJ15" i="14"/>
  <c r="NK15" i="14"/>
  <c r="NL15" i="14"/>
  <c r="NM15" i="14"/>
  <c r="NN15" i="14"/>
  <c r="NO15" i="14"/>
  <c r="OD15" i="14" s="1"/>
  <c r="NP15" i="14"/>
  <c r="NQ15" i="14"/>
  <c r="NR15" i="14"/>
  <c r="NS15" i="14"/>
  <c r="NT15" i="14"/>
  <c r="NU15" i="14"/>
  <c r="NV15" i="14"/>
  <c r="NW15" i="14"/>
  <c r="NX15" i="14"/>
  <c r="NY15" i="14"/>
  <c r="OI15" i="14" s="1"/>
  <c r="NZ15" i="14"/>
  <c r="OA15" i="14"/>
  <c r="OF15" i="14"/>
  <c r="CS8" i="14"/>
  <c r="CT8" i="14"/>
  <c r="CU8" i="14"/>
  <c r="CV8" i="14"/>
  <c r="CW8" i="14"/>
  <c r="CY8" i="14"/>
  <c r="CZ8" i="14"/>
  <c r="NA8" i="14"/>
  <c r="NB8" i="14"/>
  <c r="NC8" i="14"/>
  <c r="NE8" i="14"/>
  <c r="NF8" i="14"/>
  <c r="NH8" i="14"/>
  <c r="NI8" i="14"/>
  <c r="NJ8" i="14"/>
  <c r="NK8" i="14"/>
  <c r="NL8" i="14"/>
  <c r="NM8" i="14"/>
  <c r="NN8" i="14"/>
  <c r="NO8" i="14"/>
  <c r="OD8" i="14" s="1"/>
  <c r="NP8" i="14"/>
  <c r="NQ8" i="14"/>
  <c r="NR8" i="14"/>
  <c r="NS8" i="14"/>
  <c r="NT8" i="14"/>
  <c r="OF8" i="14" s="1"/>
  <c r="NU8" i="14"/>
  <c r="NV8" i="14"/>
  <c r="NW8" i="14"/>
  <c r="NX8" i="14"/>
  <c r="NY8" i="14"/>
  <c r="OI8" i="14" s="1"/>
  <c r="NZ8" i="14"/>
  <c r="OA8" i="14"/>
  <c r="CS26" i="14"/>
  <c r="CT26" i="14"/>
  <c r="CU26" i="14"/>
  <c r="CV26" i="14"/>
  <c r="CW26" i="14"/>
  <c r="CY26" i="14"/>
  <c r="CZ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6" i="4"/>
  <c r="CT16" i="4"/>
  <c r="CU16" i="4"/>
  <c r="CV16" i="4"/>
  <c r="CW16" i="4"/>
  <c r="CY16" i="4"/>
  <c r="CZ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2" i="4"/>
  <c r="CT12" i="4"/>
  <c r="CU12" i="4"/>
  <c r="CV12" i="4"/>
  <c r="CW12" i="4"/>
  <c r="CY12" i="4"/>
  <c r="CZ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15" i="4"/>
  <c r="CT15" i="4"/>
  <c r="CU15" i="4"/>
  <c r="CV15" i="4"/>
  <c r="CW15" i="4"/>
  <c r="CY15" i="4"/>
  <c r="CZ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G11" i="14" s="1"/>
  <c r="CT11" i="14"/>
  <c r="CS11" i="14"/>
  <c r="OA20" i="14"/>
  <c r="NZ20" i="14"/>
  <c r="NY20" i="14"/>
  <c r="OI20" i="14" s="1"/>
  <c r="NX20" i="14"/>
  <c r="NW20" i="14"/>
  <c r="NV20" i="14"/>
  <c r="NU20" i="14"/>
  <c r="NT20" i="14"/>
  <c r="OF20" i="14" s="1"/>
  <c r="NS20" i="14"/>
  <c r="NR20" i="14"/>
  <c r="NQ20" i="14"/>
  <c r="NP20" i="14"/>
  <c r="NO20" i="14"/>
  <c r="OD20" i="14" s="1"/>
  <c r="NN20" i="14"/>
  <c r="NM20" i="14"/>
  <c r="NL20" i="14"/>
  <c r="NK20" i="14"/>
  <c r="NJ20" i="14"/>
  <c r="NI20" i="14"/>
  <c r="NH20" i="14"/>
  <c r="NF20" i="14"/>
  <c r="NE20" i="14"/>
  <c r="NC20" i="14"/>
  <c r="NB20" i="14"/>
  <c r="NA20" i="14"/>
  <c r="CZ20" i="14"/>
  <c r="CY20" i="14"/>
  <c r="CW20" i="14"/>
  <c r="CV20" i="14"/>
  <c r="CU20" i="14"/>
  <c r="G20" i="14" s="1"/>
  <c r="CT20" i="14"/>
  <c r="CS20" i="14"/>
  <c r="OA5" i="14"/>
  <c r="NZ5" i="14"/>
  <c r="NY5" i="14"/>
  <c r="OI5" i="14" s="1"/>
  <c r="NX5" i="14"/>
  <c r="NW5" i="14"/>
  <c r="NV5" i="14"/>
  <c r="NU5" i="14"/>
  <c r="NT5" i="14"/>
  <c r="OF5" i="14" s="1"/>
  <c r="NS5" i="14"/>
  <c r="NR5" i="14"/>
  <c r="NQ5" i="14"/>
  <c r="NP5" i="14"/>
  <c r="NO5" i="14"/>
  <c r="OD5" i="14" s="1"/>
  <c r="NN5" i="14"/>
  <c r="NM5" i="14"/>
  <c r="NL5" i="14"/>
  <c r="NK5" i="14"/>
  <c r="NJ5" i="14"/>
  <c r="NI5" i="14"/>
  <c r="NH5" i="14"/>
  <c r="NF5" i="14"/>
  <c r="NE5" i="14"/>
  <c r="NC5" i="14"/>
  <c r="NB5" i="14"/>
  <c r="NA5" i="14"/>
  <c r="CZ5" i="14"/>
  <c r="CY5" i="14"/>
  <c r="CW5" i="14"/>
  <c r="CV5" i="14"/>
  <c r="CU5" i="14"/>
  <c r="G5" i="14" s="1"/>
  <c r="CT5" i="14"/>
  <c r="CS5" i="14"/>
  <c r="OA13" i="14"/>
  <c r="NZ13" i="14"/>
  <c r="NY13" i="14"/>
  <c r="OI13" i="14" s="1"/>
  <c r="NX13" i="14"/>
  <c r="NW13" i="14"/>
  <c r="NV13" i="14"/>
  <c r="NU13" i="14"/>
  <c r="NT13" i="14"/>
  <c r="OF13" i="14" s="1"/>
  <c r="NS13" i="14"/>
  <c r="NR13" i="14"/>
  <c r="NQ13" i="14"/>
  <c r="NP13" i="14"/>
  <c r="NO13" i="14"/>
  <c r="OD13" i="14" s="1"/>
  <c r="NN13" i="14"/>
  <c r="NM13" i="14"/>
  <c r="NL13" i="14"/>
  <c r="NK13" i="14"/>
  <c r="NJ13" i="14"/>
  <c r="NI13" i="14"/>
  <c r="NH13" i="14"/>
  <c r="NF13" i="14"/>
  <c r="NE13" i="14"/>
  <c r="NC13" i="14"/>
  <c r="NB13" i="14"/>
  <c r="NA13" i="14"/>
  <c r="CZ13" i="14"/>
  <c r="CY13" i="14"/>
  <c r="CW13" i="14"/>
  <c r="CV13" i="14"/>
  <c r="CU13" i="14"/>
  <c r="G13" i="14" s="1"/>
  <c r="CT13" i="14"/>
  <c r="CS13" i="14"/>
  <c r="NR8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NM8" i="4"/>
  <c r="NN8" i="4"/>
  <c r="NO8" i="4"/>
  <c r="OD8" i="4" s="1"/>
  <c r="NP8" i="4"/>
  <c r="NQ8" i="4"/>
  <c r="NS8" i="4"/>
  <c r="NT8" i="4"/>
  <c r="OF8" i="4" s="1"/>
  <c r="NU8" i="4"/>
  <c r="NV8" i="4"/>
  <c r="NW8" i="4"/>
  <c r="NX8" i="4"/>
  <c r="NY8" i="4"/>
  <c r="OI8" i="4" s="1"/>
  <c r="NZ8" i="4"/>
  <c r="OA8" i="4"/>
  <c r="CS22" i="4"/>
  <c r="CT22" i="4"/>
  <c r="CU22" i="4"/>
  <c r="CV22" i="4"/>
  <c r="CW22" i="4"/>
  <c r="CY22" i="4"/>
  <c r="CZ22" i="4"/>
  <c r="CS6" i="4"/>
  <c r="CT6" i="4"/>
  <c r="CU6" i="4"/>
  <c r="CV6" i="4"/>
  <c r="CW6" i="4"/>
  <c r="CY6" i="4"/>
  <c r="CZ6" i="4"/>
  <c r="CS20" i="4"/>
  <c r="CT20" i="4"/>
  <c r="CU20" i="4"/>
  <c r="CV20" i="4"/>
  <c r="CW20" i="4"/>
  <c r="CY20" i="4"/>
  <c r="CZ20" i="4"/>
  <c r="CS10" i="4"/>
  <c r="CT10" i="4"/>
  <c r="CU10" i="4"/>
  <c r="CV10" i="4"/>
  <c r="CW10" i="4"/>
  <c r="CY10" i="4"/>
  <c r="CZ10" i="4"/>
  <c r="CS14" i="4"/>
  <c r="CT14" i="4"/>
  <c r="CU14" i="4"/>
  <c r="CV14" i="4"/>
  <c r="CW14" i="4"/>
  <c r="CY14" i="4"/>
  <c r="CZ14" i="4"/>
  <c r="CW8" i="4"/>
  <c r="CV8" i="4"/>
  <c r="CT8" i="4"/>
  <c r="CU8" i="4"/>
  <c r="CS8" i="4"/>
  <c r="G15" i="4" l="1"/>
  <c r="G12" i="4"/>
  <c r="G16" i="4"/>
  <c r="G8" i="14"/>
  <c r="F19" i="14"/>
  <c r="F14" i="14"/>
  <c r="F26" i="14"/>
  <c r="F8" i="14"/>
  <c r="G15" i="14"/>
  <c r="G19" i="14"/>
  <c r="F15" i="14"/>
  <c r="G27" i="14"/>
  <c r="G26" i="14"/>
  <c r="F27" i="14"/>
  <c r="G14" i="14"/>
  <c r="F13" i="14"/>
  <c r="F5" i="14"/>
  <c r="F20" i="14"/>
  <c r="F11" i="14"/>
  <c r="F15" i="4"/>
  <c r="F12" i="4"/>
  <c r="F16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6" i="4"/>
  <c r="DA16" i="4" s="1"/>
  <c r="OJ13" i="4"/>
  <c r="OJ14" i="4"/>
  <c r="OJ17" i="4"/>
  <c r="ND15" i="4"/>
  <c r="ND16" i="4"/>
  <c r="CX15" i="14"/>
  <c r="DA15" i="14" s="1"/>
  <c r="CX27" i="14"/>
  <c r="DA27" i="14" s="1"/>
  <c r="CX12" i="4"/>
  <c r="DA12" i="4" s="1"/>
  <c r="ND12" i="4"/>
  <c r="OG12" i="4"/>
  <c r="CX15" i="4"/>
  <c r="DA15" i="4" s="1"/>
  <c r="OE27" i="14"/>
  <c r="OC27" i="14"/>
  <c r="OJ15" i="14"/>
  <c r="OG27" i="14"/>
  <c r="I27" i="14"/>
  <c r="J27" i="14" s="1"/>
  <c r="K27" i="14"/>
  <c r="ND15" i="14"/>
  <c r="NG15" i="14" s="1"/>
  <c r="CX8" i="14"/>
  <c r="DA8" i="14" s="1"/>
  <c r="OG15" i="14"/>
  <c r="OE15" i="14"/>
  <c r="OC15" i="14"/>
  <c r="OJ14" i="14"/>
  <c r="I15" i="14"/>
  <c r="J15" i="14" s="1"/>
  <c r="K15" i="14"/>
  <c r="L15" i="14" s="1"/>
  <c r="CX26" i="14"/>
  <c r="DA26" i="14" s="1"/>
  <c r="OG8" i="14"/>
  <c r="ND8" i="14"/>
  <c r="NG8" i="14" s="1"/>
  <c r="OE8" i="14"/>
  <c r="OC8" i="14"/>
  <c r="I8" i="14"/>
  <c r="DB8" i="14" s="1"/>
  <c r="K8" i="14"/>
  <c r="OJ13" i="14"/>
  <c r="ND19" i="14"/>
  <c r="NG19" i="14" s="1"/>
  <c r="CX14" i="14"/>
  <c r="DA14" i="14" s="1"/>
  <c r="ND26" i="14"/>
  <c r="NG26" i="14" s="1"/>
  <c r="OE26" i="14"/>
  <c r="OC26" i="14"/>
  <c r="OG26" i="14"/>
  <c r="I26" i="14"/>
  <c r="J26" i="14" s="1"/>
  <c r="K26" i="14"/>
  <c r="OJ12" i="14"/>
  <c r="ND14" i="14"/>
  <c r="NG14" i="14" s="1"/>
  <c r="CX19" i="14"/>
  <c r="DA19" i="14" s="1"/>
  <c r="OE14" i="14"/>
  <c r="OC14" i="14"/>
  <c r="OJ11" i="14"/>
  <c r="OG14" i="14"/>
  <c r="I14" i="14"/>
  <c r="J14" i="14" s="1"/>
  <c r="K14" i="14"/>
  <c r="OE19" i="14"/>
  <c r="OC19" i="14"/>
  <c r="OJ10" i="14"/>
  <c r="OG19" i="14"/>
  <c r="I19" i="14"/>
  <c r="J19" i="14" s="1"/>
  <c r="K19" i="14"/>
  <c r="OJ9" i="14"/>
  <c r="OJ8" i="14"/>
  <c r="K20" i="14"/>
  <c r="OC16" i="4"/>
  <c r="OE16" i="4"/>
  <c r="K16" i="4"/>
  <c r="L16" i="4" s="1"/>
  <c r="OJ12" i="4"/>
  <c r="I16" i="4"/>
  <c r="OG16" i="4"/>
  <c r="OE12" i="4"/>
  <c r="OC12" i="4"/>
  <c r="K12" i="4"/>
  <c r="L12" i="4" s="1"/>
  <c r="I12" i="4"/>
  <c r="OC15" i="4"/>
  <c r="OG15" i="4"/>
  <c r="OJ11" i="4"/>
  <c r="OE15" i="4"/>
  <c r="K15" i="4"/>
  <c r="L15" i="4" s="1"/>
  <c r="I15" i="4"/>
  <c r="K13" i="14"/>
  <c r="DC13" i="14" s="1"/>
  <c r="K11" i="14"/>
  <c r="L11" i="14" s="1"/>
  <c r="K5" i="14"/>
  <c r="DC5" i="14" s="1"/>
  <c r="CX5" i="14"/>
  <c r="DA5" i="14" s="1"/>
  <c r="OE13" i="14"/>
  <c r="ND11" i="14"/>
  <c r="NG11" i="14" s="1"/>
  <c r="CX20" i="14"/>
  <c r="DA20" i="14" s="1"/>
  <c r="ND13" i="14"/>
  <c r="NG13" i="14" s="1"/>
  <c r="ND5" i="14"/>
  <c r="NG5" i="14" s="1"/>
  <c r="CX11" i="14"/>
  <c r="DA11" i="14" s="1"/>
  <c r="OC11" i="14"/>
  <c r="OC5" i="14"/>
  <c r="OE11" i="14"/>
  <c r="OE5" i="14"/>
  <c r="OG5" i="14"/>
  <c r="I5" i="14"/>
  <c r="DB5" i="14" s="1"/>
  <c r="OJ6" i="14"/>
  <c r="OC13" i="14"/>
  <c r="OJ7" i="14"/>
  <c r="I20" i="14"/>
  <c r="DB20" i="14" s="1"/>
  <c r="OE20" i="14"/>
  <c r="OG11" i="14"/>
  <c r="OG13" i="14"/>
  <c r="OG20" i="14"/>
  <c r="OJ5" i="14"/>
  <c r="CX13" i="14"/>
  <c r="DA13" i="14" s="1"/>
  <c r="OJ4" i="14"/>
  <c r="ND20" i="14"/>
  <c r="NG20" i="14" s="1"/>
  <c r="OC20" i="14"/>
  <c r="I13" i="14"/>
  <c r="I11" i="14"/>
  <c r="OG20" i="4"/>
  <c r="OG6" i="4"/>
  <c r="OG22" i="4"/>
  <c r="OJ10" i="4"/>
  <c r="OJ9" i="4"/>
  <c r="OJ8" i="4"/>
  <c r="OJ7" i="4"/>
  <c r="OJ6" i="4"/>
  <c r="OJ5" i="4"/>
  <c r="OJ4" i="4"/>
  <c r="OG14" i="4"/>
  <c r="OE10" i="4"/>
  <c r="OE20" i="4"/>
  <c r="OE6" i="4"/>
  <c r="OE22" i="4"/>
  <c r="OE8" i="4"/>
  <c r="CX8" i="4"/>
  <c r="OG10" i="4"/>
  <c r="OE14" i="4"/>
  <c r="OG8" i="4"/>
  <c r="CX6" i="4"/>
  <c r="DA6" i="4" s="1"/>
  <c r="CX20" i="4"/>
  <c r="DA20" i="4" s="1"/>
  <c r="CX10" i="4"/>
  <c r="DA10" i="4" s="1"/>
  <c r="CX22" i="4"/>
  <c r="DA22" i="4" s="1"/>
  <c r="CX14" i="4"/>
  <c r="DA14" i="4" s="1"/>
  <c r="NH8" i="4"/>
  <c r="NI8" i="4"/>
  <c r="NJ8" i="4"/>
  <c r="NK8" i="4"/>
  <c r="NL8" i="4"/>
  <c r="NI22" i="4"/>
  <c r="NJ22" i="4"/>
  <c r="NK22" i="4"/>
  <c r="NI6" i="4"/>
  <c r="NJ6" i="4"/>
  <c r="NK6" i="4"/>
  <c r="NI20" i="4"/>
  <c r="NJ20" i="4"/>
  <c r="NK20" i="4"/>
  <c r="NI10" i="4"/>
  <c r="NJ10" i="4"/>
  <c r="NK10" i="4"/>
  <c r="NI14" i="4"/>
  <c r="NJ14" i="4"/>
  <c r="NK14" i="4"/>
  <c r="NH22" i="4"/>
  <c r="NH6" i="4"/>
  <c r="NH20" i="4"/>
  <c r="NH10" i="4"/>
  <c r="NH14" i="4"/>
  <c r="A16" i="4" l="1" a="1"/>
  <c r="A16" i="4" s="1"/>
  <c r="H16" i="4"/>
  <c r="A12" i="4" a="1"/>
  <c r="A12" i="4" s="1"/>
  <c r="H12" i="4"/>
  <c r="A15" i="4" a="1"/>
  <c r="A15" i="4" s="1"/>
  <c r="H15" i="4"/>
  <c r="H11" i="14"/>
  <c r="A11" i="14" a="1"/>
  <c r="A11" i="14" s="1"/>
  <c r="H15" i="14"/>
  <c r="A15" i="14" a="1"/>
  <c r="A15" i="14" s="1"/>
  <c r="H20" i="14"/>
  <c r="A20" i="14" a="1"/>
  <c r="A20" i="14" s="1"/>
  <c r="H5" i="14"/>
  <c r="H13" i="14"/>
  <c r="A13" i="14" a="1"/>
  <c r="A13" i="14" s="1"/>
  <c r="H8" i="14"/>
  <c r="H26" i="14"/>
  <c r="A26" i="14" a="1"/>
  <c r="A26" i="14" s="1"/>
  <c r="H27" i="14"/>
  <c r="A27" i="14" a="1"/>
  <c r="A27" i="14" s="1"/>
  <c r="H14" i="14"/>
  <c r="A14" i="14" a="1"/>
  <c r="A14" i="14" s="1"/>
  <c r="H19" i="14"/>
  <c r="A19" i="14" a="1"/>
  <c r="A19" i="14" s="1"/>
  <c r="NG16" i="4"/>
  <c r="NG12" i="4"/>
  <c r="NG15" i="4"/>
  <c r="J16" i="4"/>
  <c r="J15" i="4"/>
  <c r="J12" i="4"/>
  <c r="OH26" i="14"/>
  <c r="OK26" i="14" s="1"/>
  <c r="OH16" i="4"/>
  <c r="DC12" i="4"/>
  <c r="DC16" i="4"/>
  <c r="OH27" i="14"/>
  <c r="OK27" i="14" s="1"/>
  <c r="DB27" i="14"/>
  <c r="DC27" i="14"/>
  <c r="L27" i="14"/>
  <c r="OH15" i="14"/>
  <c r="DB15" i="14"/>
  <c r="DC15" i="14"/>
  <c r="OH13" i="14"/>
  <c r="J20" i="14"/>
  <c r="OH8" i="14"/>
  <c r="J8" i="14"/>
  <c r="DC8" i="14"/>
  <c r="M8" i="14" s="1"/>
  <c r="L8" i="14"/>
  <c r="DB26" i="14"/>
  <c r="DC26" i="14"/>
  <c r="L26" i="14"/>
  <c r="DB14" i="14"/>
  <c r="OH14" i="14"/>
  <c r="DC14" i="14"/>
  <c r="L14" i="14"/>
  <c r="OH5" i="14"/>
  <c r="J5" i="14"/>
  <c r="DB19" i="14"/>
  <c r="OH19" i="14"/>
  <c r="DC19" i="14"/>
  <c r="L19" i="14"/>
  <c r="DC11" i="14"/>
  <c r="OH20" i="14"/>
  <c r="DB16" i="4"/>
  <c r="OH15" i="4"/>
  <c r="DB12" i="4"/>
  <c r="OH12" i="4"/>
  <c r="DC15" i="4"/>
  <c r="DB15" i="4"/>
  <c r="OH11" i="14"/>
  <c r="M5" i="14"/>
  <c r="L13" i="14"/>
  <c r="L5" i="14"/>
  <c r="DC20" i="14"/>
  <c r="M20" i="14" s="1"/>
  <c r="L20" i="14"/>
  <c r="DB13" i="14"/>
  <c r="M13" i="14" s="1"/>
  <c r="J13" i="14"/>
  <c r="DB11" i="14"/>
  <c r="J11" i="14"/>
  <c r="OC14" i="4"/>
  <c r="OH14" i="4" s="1"/>
  <c r="OC10" i="4"/>
  <c r="OH10" i="4" s="1"/>
  <c r="OC6" i="4"/>
  <c r="OH6" i="4" s="1"/>
  <c r="OC8" i="4"/>
  <c r="OH8" i="4" s="1"/>
  <c r="OC22" i="4"/>
  <c r="OH22" i="4" s="1"/>
  <c r="OK22" i="4" s="1"/>
  <c r="OC20" i="4"/>
  <c r="OH20" i="4" s="1"/>
  <c r="CZ8" i="4"/>
  <c r="CY8" i="4"/>
  <c r="OK19" i="14" l="1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2" i="4"/>
  <c r="E12" i="4" s="1"/>
  <c r="M26" i="14"/>
  <c r="N26" i="14" s="1"/>
  <c r="OK6" i="14"/>
  <c r="OK14" i="14"/>
  <c r="OK15" i="14"/>
  <c r="OK16" i="14"/>
  <c r="OK13" i="4"/>
  <c r="OK11" i="4"/>
  <c r="OK17" i="4"/>
  <c r="OK12" i="4"/>
  <c r="M19" i="14"/>
  <c r="E19" i="14" s="1"/>
  <c r="M16" i="4"/>
  <c r="E16" i="4" s="1"/>
  <c r="M15" i="4"/>
  <c r="E15" i="4" s="1"/>
  <c r="M27" i="14"/>
  <c r="N27" i="14" s="1"/>
  <c r="M11" i="14"/>
  <c r="N11" i="14" s="1"/>
  <c r="M15" i="14"/>
  <c r="E15" i="14" s="1"/>
  <c r="N8" i="14"/>
  <c r="O8" i="14"/>
  <c r="E8" i="14"/>
  <c r="M14" i="14"/>
  <c r="N14" i="14" s="1"/>
  <c r="OK5" i="14"/>
  <c r="OK7" i="14"/>
  <c r="E5" i="14"/>
  <c r="OK4" i="14"/>
  <c r="OK5" i="4"/>
  <c r="OK4" i="4"/>
  <c r="E20" i="14"/>
  <c r="E13" i="14"/>
  <c r="O20" i="14"/>
  <c r="N20" i="14"/>
  <c r="O13" i="14"/>
  <c r="N13" i="14"/>
  <c r="OK6" i="4"/>
  <c r="OK7" i="4"/>
  <c r="OK8" i="4"/>
  <c r="OK9" i="4"/>
  <c r="OK10" i="4"/>
  <c r="DA8" i="4"/>
  <c r="A4" i="14" l="1" a="1"/>
  <c r="A4" i="14" s="1"/>
  <c r="A5" i="14" a="1"/>
  <c r="A5" i="14" s="1"/>
  <c r="O12" i="4"/>
  <c r="E26" i="14"/>
  <c r="N12" i="4"/>
  <c r="O26" i="14"/>
  <c r="E11" i="14"/>
  <c r="O11" i="14"/>
  <c r="O19" i="14"/>
  <c r="N19" i="14"/>
  <c r="N16" i="4"/>
  <c r="O16" i="4"/>
  <c r="N15" i="4"/>
  <c r="O15" i="4"/>
  <c r="E27" i="14"/>
  <c r="O27" i="14"/>
  <c r="N15" i="14"/>
  <c r="O15" i="14"/>
  <c r="E14" i="14"/>
  <c r="A8" i="14" s="1" a="1"/>
  <c r="A8" i="14" s="1"/>
  <c r="O14" i="14"/>
  <c r="O5" i="14"/>
  <c r="N5" i="14"/>
  <c r="A7" i="14" l="1" a="1"/>
  <c r="A7" i="14" s="1"/>
  <c r="A9" i="14" a="1"/>
  <c r="A9" i="14" s="1"/>
  <c r="A6" i="14" a="1"/>
  <c r="A6" i="14" s="1"/>
  <c r="C7" i="11" l="1"/>
  <c r="C9" i="11"/>
  <c r="D9" i="11"/>
  <c r="D7" i="11"/>
  <c r="D8" i="11"/>
  <c r="D6" i="11"/>
  <c r="C6" i="11"/>
  <c r="C8" i="11"/>
  <c r="NE14" i="4"/>
  <c r="NE10" i="4"/>
  <c r="NE6" i="4"/>
  <c r="NE20" i="4"/>
  <c r="NE22" i="4"/>
  <c r="NE8" i="4"/>
  <c r="NA8" i="4" l="1"/>
  <c r="NA22" i="4"/>
  <c r="NA10" i="4"/>
  <c r="NA20" i="4"/>
  <c r="NA14" i="4"/>
  <c r="NA6" i="4"/>
  <c r="K20" i="4" l="1"/>
  <c r="L20" i="4" s="1"/>
  <c r="I20" i="4"/>
  <c r="I14" i="4"/>
  <c r="K14" i="4"/>
  <c r="L14" i="4" s="1"/>
  <c r="K6" i="4"/>
  <c r="L6" i="4" s="1"/>
  <c r="I6" i="4"/>
  <c r="K8" i="4"/>
  <c r="I8" i="4"/>
  <c r="K22" i="4"/>
  <c r="L22" i="4" s="1"/>
  <c r="I22" i="4"/>
  <c r="I10" i="4"/>
  <c r="K10" i="4"/>
  <c r="L10" i="4" s="1"/>
  <c r="L8" i="4" l="1"/>
  <c r="J6" i="4"/>
  <c r="J22" i="4"/>
  <c r="J14" i="4"/>
  <c r="J8" i="4"/>
  <c r="J20" i="4"/>
  <c r="J10" i="4"/>
  <c r="NB8" i="4" l="1"/>
  <c r="NC8" i="4"/>
  <c r="NF8" i="4"/>
  <c r="DC8" i="4" s="1"/>
  <c r="F8" i="4" l="1"/>
  <c r="H8" i="4" s="1"/>
  <c r="G8" i="4"/>
  <c r="DB8" i="4"/>
  <c r="M8" i="4" s="1"/>
  <c r="E8" i="4" s="1"/>
  <c r="ND8" i="4"/>
  <c r="NG8" i="4" l="1"/>
  <c r="O8" i="4" l="1"/>
  <c r="N8" i="4"/>
  <c r="NF20" i="4" l="1"/>
  <c r="NC20" i="4"/>
  <c r="NB20" i="4"/>
  <c r="NF14" i="4"/>
  <c r="NC14" i="4"/>
  <c r="NB14" i="4"/>
  <c r="F20" i="4" l="1"/>
  <c r="G20" i="4"/>
  <c r="F14" i="4"/>
  <c r="G14" i="4"/>
  <c r="DB20" i="4"/>
  <c r="DB14" i="4"/>
  <c r="DC14" i="4"/>
  <c r="DC20" i="4"/>
  <c r="ND20" i="4"/>
  <c r="ND14" i="4"/>
  <c r="A14" i="4" l="1" a="1"/>
  <c r="A14" i="4" s="1"/>
  <c r="H14" i="4"/>
  <c r="H20" i="4"/>
  <c r="A20" i="4" a="1"/>
  <c r="A20" i="4" s="1"/>
  <c r="M20" i="4"/>
  <c r="E20" i="4" s="1"/>
  <c r="M14" i="4"/>
  <c r="E14" i="4" s="1"/>
  <c r="NG20" i="4"/>
  <c r="NG14" i="4"/>
  <c r="NB10" i="4" l="1"/>
  <c r="NC10" i="4"/>
  <c r="NF10" i="4"/>
  <c r="NB22" i="4"/>
  <c r="NC22" i="4"/>
  <c r="NF22" i="4"/>
  <c r="NB6" i="4"/>
  <c r="NC6" i="4"/>
  <c r="NF6" i="4"/>
  <c r="F10" i="4" l="1"/>
  <c r="G10" i="4"/>
  <c r="F6" i="4"/>
  <c r="H6" i="4" s="1"/>
  <c r="G6" i="4"/>
  <c r="F22" i="4"/>
  <c r="G22" i="4"/>
  <c r="DB22" i="4"/>
  <c r="DB10" i="4"/>
  <c r="DB6" i="4"/>
  <c r="O14" i="4"/>
  <c r="DC22" i="4"/>
  <c r="DC6" i="4"/>
  <c r="DC10" i="4"/>
  <c r="N14" i="4"/>
  <c r="ND22" i="4"/>
  <c r="ND6" i="4"/>
  <c r="ND10" i="4"/>
  <c r="A22" i="4" l="1" a="1"/>
  <c r="A22" i="4" s="1"/>
  <c r="H22" i="4"/>
  <c r="A10" i="4" a="1"/>
  <c r="A10" i="4" s="1"/>
  <c r="H10" i="4"/>
  <c r="M22" i="4"/>
  <c r="E22" i="4" s="1"/>
  <c r="M10" i="4"/>
  <c r="E10" i="4" s="1"/>
  <c r="M6" i="4"/>
  <c r="E6" i="4" s="1"/>
  <c r="O20" i="4"/>
  <c r="NG6" i="4"/>
  <c r="NG10" i="4"/>
  <c r="NG22" i="4"/>
  <c r="N20" i="4"/>
  <c r="A4" i="4" l="1" a="1"/>
  <c r="A4" i="4" s="1"/>
  <c r="A5" i="4" a="1"/>
  <c r="A5" i="4" s="1"/>
  <c r="A7" i="4" a="1"/>
  <c r="A7" i="4" s="1"/>
  <c r="A8" i="4" a="1"/>
  <c r="A8" i="4" s="1"/>
  <c r="A9" i="4" a="1"/>
  <c r="A9" i="4" s="1"/>
  <c r="A6" i="4" a="1"/>
  <c r="A6" i="4" s="1"/>
  <c r="O6" i="4"/>
  <c r="O22" i="4"/>
  <c r="N22" i="4"/>
  <c r="N6" i="4"/>
  <c r="O10" i="4" l="1"/>
  <c r="N10" i="4"/>
  <c r="C2" i="11" l="1"/>
  <c r="D3" i="11"/>
  <c r="D4" i="11"/>
  <c r="C4" i="11"/>
  <c r="D5" i="11"/>
  <c r="C5" i="11"/>
  <c r="C3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<sst xmlns="http://schemas.openxmlformats.org/spreadsheetml/2006/main" count="3547" uniqueCount="181">
  <si>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</si>
  <si>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</si>
  <si>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</si>
  <si>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</si>
  <si>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</si>
  <si>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</si>
  <si>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</si>
  <si>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</si>
  <si>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</si>
  <si>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</si>
  <si>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</si>
  <si>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</si>
  <si>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</si>
  <si>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</si>
  <si>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</si>
  <si>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</si>
  <si>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</si>
  <si>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</si>
  <si>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</si>
  <si>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</si>
  <si>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</si>
  <si>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</si>
  <si>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</si>
  <si>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</si>
  <si>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</si>
  <si>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</si>
  <si>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</si>
  <si>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</si>
  <si>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</si>
  <si>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</si>
  <si>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</si>
  <si>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</si>
  <si>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</si>
  <si>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</si>
  <si>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</si>
  <si>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</si>
  <si>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</si>
  <si>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</si>
  <si>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</si>
  <si>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</si>
  <si>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</si>
  <si>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</si>
  <si>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</si>
  <si>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</si>
  <si>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</si>
  <si>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</si>
  <si>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</si>
  <si>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</si>
  <si>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</si>
  <si>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</si>
  <si>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</si>
  <si>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</si>
  <si>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</si>
  <si>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</si>
  <si>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</si>
  <si>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</si>
  <si>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</si>
  <si>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</si>
  <si>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</si>
  <si>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</si>
  <si>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</si>
  <si>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</si>
  <si>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</si>
  <si>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</si>
  <si>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</si>
  <si>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</si>
  <si>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</si>
  <si>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</si>
  <si>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</si>
  <si>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</si>
  <si>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</si>
  <si>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</si>
  <si>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</si>
  <si>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</si>
  <si>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</si>
  <si>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</si>
  <si>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</si>
  <si>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</si>
  <si>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</si>
  <si>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</si>
  <si>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</si>
  <si>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</si>
  <si>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</si>
  <si>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</si>
  <si>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</si>
  <si>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</si>
  <si>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</si>
  <si>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</si>
  <si>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</si>
  <si>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</si>
  <si>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</si>
  <si>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</si>
  <si>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</si>
  <si>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</si>
  <si>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</si>
  <si>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</si>
  <si>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</si>
  <si>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</si>
  <si>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</si>
  <si>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</si>
  <si>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</si>
  <si>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</si>
  <si>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</si>
  <si>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</si>
  <si>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</si>
  <si>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MOORE, Sara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</si>
  <si>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</si>
  <si>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</si>
  <si>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</si>
  <si>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</si>
  <si>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</si>
  <si>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</si>
  <si>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</si>
  <si>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</si>
  <si>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</si>
  <si>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</si>
  <si>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</si>
  <si>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</si>
  <si>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</si>
  <si>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</si>
  <si>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</si>
  <si>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</si>
  <si>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</si>
  <si>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</si>
  <si>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</si>
  <si>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</si>
  <si>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</si>
  <si>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</si>
  <si>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</si>
  <si>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</si>
  <si>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</si>
  <si>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</si>
  <si>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</si>
  <si>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Elite Canada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</si>
  <si>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</si>
  <si>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</si>
  <si>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</si>
  <si>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</si>
  <si>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</si>
  <si>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</si>
  <si>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</si>
  <si>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</si>
  <si>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</si>
  <si>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CAELYN, Angst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</si>
  <si>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</si>
  <si>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</si>
  <si>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</si>
  <si>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</si>
  <si>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</si>
  <si>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</si>
  <si>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</si>
  <si>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</si>
  <si>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</si>
  <si>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</si>
  <si>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</si>
  <si>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</si>
  <si>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</si>
  <si>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</si>
  <si>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</si>
  <si>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</si>
  <si>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</si>
  <si>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</si>
  <si>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</si>
  <si>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</si>
  <si>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</si>
  <si>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</si>
  <si>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</si>
  <si>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</si>
  <si>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</si>
  <si>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</si>
  <si>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</si>
  <si>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</si>
  <si>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</si>
  <si>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</si>
  <si>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</si>
  <si>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</si>
  <si>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Rules</t>
  </si>
  <si>
    <t>2022 World Games Technical Trial #1 (Mar 12)</t>
  </si>
  <si>
    <t>BRENNER, Adin</t>
  </si>
  <si>
    <t>DYKMAN, Matvey</t>
  </si>
  <si>
    <t>*Scores removed but hit standards remain for 2022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</si>
</sst>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3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 applyAlignme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9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7" t="s">
        <v>9</v>
      </c>
      <c r="E1" s="31"/>
      <c r="F1" s="31"/>
      <c r="J1" s="31"/>
      <c r="K1" s="31"/>
      <c r="L1" s="31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AUBIN, Rémi</v>
      </c>
      <c r="D2" s="64" t="str">
        <f>IF(B2&gt;MAX('TRA-M'!A:A),"",INDEX('TRA-M'!H:H,MATCH(B2,'TRA-M'!A:A,0)))</f>
        <v>National Team</v>
      </c>
      <c r="E2" s="21"/>
      <c r="F2" s="21"/>
    </row>
    <row r="3" spans="1:12" x14ac:dyDescent="0.2">
      <c r="A3" s="10"/>
      <c r="B3" s="10">
        <v>2</v>
      </c>
      <c r="C3" s="10" t="str">
        <f>IF(B3&gt;MAX('TRA-M'!A:A),"",INDEX('TRA-M'!B:B,MATCH(B3,'TRA-M'!A:A,0)))</f>
        <v>CHARTIER, Jérémy</v>
      </c>
      <c r="D3" s="64" t="str">
        <f>IF(B3&gt;MAX('TRA-M'!A:A),"",INDEX('TRA-M'!H:H,MATCH(B3,'TRA-M'!A:A,0)))</f>
        <v>National Team</v>
      </c>
      <c r="E3" s="21"/>
      <c r="F3" s="21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4" t="str">
        <f>IF(B4&gt;MAX('TRA-M'!A:A),"",INDEX('TRA-M'!H:H,MATCH(B4,'TRA-M'!A:A,0)))</f>
        <v>National Team</v>
      </c>
      <c r="E4" s="21"/>
      <c r="F4" s="21"/>
    </row>
    <row r="5" spans="1:12" x14ac:dyDescent="0.2">
      <c r="A5" s="10"/>
      <c r="B5" s="10">
        <v>4</v>
      </c>
      <c r="C5" s="10" t="str">
        <f>IF(B5&gt;MAX('TRA-M'!A:A),"",INDEX('TRA-M'!B:B,MATCH(B5,'TRA-M'!A:A,0)))</f>
        <v>MCLEAN, Declan</v>
      </c>
      <c r="D5" s="64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FLYNN, Gabby</v>
      </c>
      <c r="D6" s="65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BONHAM, Maja</v>
      </c>
      <c r="D7" s="69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9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9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4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2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PEDERSEN, Mitchel</v>
      </c>
      <c r="D12" s="72" t="str">
        <f>IF(B4&gt;MAX('TUM-M'!A:A),"",INDEX('TUM-M'!H:H,MATCH(B4,'TUM-M'!A:A,0)))</f>
        <v>National Team</v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2" t="str">
        <f>IF(B5&gt;MAX('TUM-M'!A:A),"",INDEX('TUM-M'!H:H,MATCH(B5,'TUM-M'!A:A,0)))</f>
        <v/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5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DONG, Helen</v>
      </c>
      <c r="D15" s="71" t="str">
        <f>IF(B3&gt;MAX('TUM-W'!A:A),"",INDEX('TUM-W'!H:H,MATCH(B3,'TUM-W'!A:A,0)))</f>
        <v>National Team</v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1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1" t="str">
        <f>IF(B5&gt;MAX('TUM-W'!A:A),"",INDEX('TUM-W'!H:H,MATCH(B5,'TUM-W'!A:A,0)))</f>
        <v/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LUPISH, Kieran</v>
      </c>
      <c r="D18" s="64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DODD, Gavin</v>
      </c>
      <c r="D19" s="72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DYKMAN, Matvey</v>
      </c>
      <c r="D20" s="72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BOLDIZAR, Samson</v>
      </c>
      <c r="D21" s="72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5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1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DODD, Kristina</v>
      </c>
      <c r="D24" s="71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1" t="str">
        <f>IF(B5&gt;MAX('DMT-W'!A:A),"",INDEX('DMT-W'!H:H,MATCH(B5,'DMT-W'!A:A,0)))</f>
        <v>National Team</v>
      </c>
    </row>
    <row r="26" spans="1:5" x14ac:dyDescent="0.2">
      <c r="D26" s="67"/>
    </row>
    <row r="27" spans="1:5" x14ac:dyDescent="0.2">
      <c r="B27" s="31" t="s">
        <v>31</v>
      </c>
    </row>
    <row r="28" spans="1:5" x14ac:dyDescent="0.2">
      <c r="B28" s="31" t="s">
        <v>29</v>
      </c>
    </row>
    <row r="29" spans="1:5" x14ac:dyDescent="0.2">
      <c r="B29" s="31" t="s">
        <v>30</v>
      </c>
    </row>
    <row r="30" spans="1:5" x14ac:dyDescent="0.2">
      <c r="B30" s="21" t="s">
        <v>51</v>
      </c>
      <c r="D30" s="31" t="s">
        <v>49</v>
      </c>
    </row>
    <row r="31" spans="1:5" x14ac:dyDescent="0.2">
      <c r="B31" s="21" t="s">
        <v>58</v>
      </c>
      <c r="D31" s="31" t="s">
        <v>49</v>
      </c>
      <c r="E31" t="s">
        <v>49</v>
      </c>
    </row>
    <row r="32" spans="1:5" x14ac:dyDescent="0.2">
      <c r="B32" s="31" t="s">
        <v>50</v>
      </c>
      <c r="D32" s="31"/>
    </row>
    <row r="33" spans="1:4" x14ac:dyDescent="0.2">
      <c r="B33" s="31" t="s">
        <v>59</v>
      </c>
      <c r="D33" s="31"/>
    </row>
    <row r="34" spans="1:4" x14ac:dyDescent="0.2">
      <c r="A34" t="s">
        <v>35</v>
      </c>
      <c r="B34" s="99">
        <v>44658</v>
      </c>
      <c r="C34" s="99"/>
    </row>
    <row r="35" spans="1:4" x14ac:dyDescent="0.2">
      <c r="B35" t="s">
        <v>133</v>
      </c>
    </row>
    <row r="36" spans="1:4" x14ac:dyDescent="0.2">
      <c r="B36" s="53" t="s">
        <v>176</v>
      </c>
    </row>
    <row r="37" spans="1:4" x14ac:dyDescent="0.2">
      <c r="B37" s="31"/>
    </row>
    <row r="38" spans="1:4" x14ac:dyDescent="0.2">
      <c r="B38" s="31"/>
    </row>
    <row r="39" spans="1:4" x14ac:dyDescent="0.2">
      <c r="B39" s="31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3"/>
  <sheetViews>
    <sheetView tabSelected="1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134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127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44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43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55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23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24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23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24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23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24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23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24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23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24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23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24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51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23" t="s">
        <v>12</v>
      </c>
      <c r="Q3" s="23" t="s">
        <v>13</v>
      </c>
      <c r="R3" s="23" t="s">
        <v>7</v>
      </c>
      <c r="S3" s="23" t="s">
        <v>14</v>
      </c>
      <c r="T3" s="28" t="s">
        <v>24</v>
      </c>
      <c r="U3" s="56" t="s">
        <v>12</v>
      </c>
      <c r="V3" s="56" t="s">
        <v>13</v>
      </c>
      <c r="W3" s="56" t="s">
        <v>7</v>
      </c>
      <c r="X3" s="56" t="s">
        <v>14</v>
      </c>
      <c r="Y3" s="56" t="s">
        <v>24</v>
      </c>
      <c r="Z3" s="23" t="s">
        <v>12</v>
      </c>
      <c r="AA3" s="23" t="s">
        <v>13</v>
      </c>
      <c r="AB3" s="23" t="s">
        <v>7</v>
      </c>
      <c r="AC3" s="23" t="s">
        <v>14</v>
      </c>
      <c r="AD3" s="28" t="s">
        <v>24</v>
      </c>
      <c r="AE3" s="23" t="s">
        <v>12</v>
      </c>
      <c r="AF3" s="23" t="s">
        <v>13</v>
      </c>
      <c r="AG3" s="23" t="s">
        <v>7</v>
      </c>
      <c r="AH3" s="23" t="s">
        <v>14</v>
      </c>
      <c r="AI3" s="28" t="s">
        <v>24</v>
      </c>
      <c r="AJ3" s="44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4" t="s">
        <v>12</v>
      </c>
      <c r="AU3" s="24" t="s">
        <v>13</v>
      </c>
      <c r="AV3" s="24" t="s">
        <v>7</v>
      </c>
      <c r="AW3" s="24" t="s">
        <v>14</v>
      </c>
      <c r="AX3" s="29" t="s">
        <v>24</v>
      </c>
      <c r="AY3" s="57" t="s">
        <v>12</v>
      </c>
      <c r="AZ3" s="57" t="s">
        <v>13</v>
      </c>
      <c r="BA3" s="57" t="s">
        <v>7</v>
      </c>
      <c r="BB3" s="57" t="s">
        <v>14</v>
      </c>
      <c r="BC3" s="57" t="s">
        <v>24</v>
      </c>
      <c r="BD3" s="24" t="s">
        <v>12</v>
      </c>
      <c r="BE3" s="24" t="s">
        <v>13</v>
      </c>
      <c r="BF3" s="24" t="s">
        <v>7</v>
      </c>
      <c r="BG3" s="24" t="s">
        <v>14</v>
      </c>
      <c r="BH3" s="29" t="s">
        <v>24</v>
      </c>
      <c r="BI3" s="24" t="s">
        <v>12</v>
      </c>
      <c r="BJ3" s="24" t="s">
        <v>13</v>
      </c>
      <c r="BK3" s="24" t="s">
        <v>7</v>
      </c>
      <c r="BL3" s="29" t="s">
        <v>14</v>
      </c>
      <c r="BM3" s="24" t="s">
        <v>24</v>
      </c>
      <c r="BN3" s="43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5" t="s">
        <v>12</v>
      </c>
      <c r="BY3" s="55" t="s">
        <v>13</v>
      </c>
      <c r="BZ3" s="55" t="s">
        <v>7</v>
      </c>
      <c r="CA3" s="55" t="s">
        <v>14</v>
      </c>
      <c r="CB3" s="55" t="s">
        <v>24</v>
      </c>
      <c r="CC3" s="56" t="s">
        <v>12</v>
      </c>
      <c r="CD3" s="56" t="s">
        <v>13</v>
      </c>
      <c r="CE3" s="56" t="s">
        <v>7</v>
      </c>
      <c r="CF3" s="56" t="s">
        <v>14</v>
      </c>
      <c r="CG3" s="56" t="s">
        <v>24</v>
      </c>
      <c r="CH3" s="55" t="s">
        <v>12</v>
      </c>
      <c r="CI3" s="55" t="s">
        <v>13</v>
      </c>
      <c r="CJ3" s="55" t="s">
        <v>7</v>
      </c>
      <c r="CK3" s="55" t="s">
        <v>14</v>
      </c>
      <c r="CL3" s="55" t="s">
        <v>24</v>
      </c>
      <c r="CM3" s="55" t="s">
        <v>12</v>
      </c>
      <c r="CN3" s="55" t="s">
        <v>13</v>
      </c>
      <c r="CO3" s="55" t="s">
        <v>7</v>
      </c>
      <c r="CP3" s="55" t="s">
        <v>14</v>
      </c>
      <c r="CQ3" s="55" t="s">
        <v>24</v>
      </c>
      <c r="CR3" s="55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23" t="s">
        <v>12</v>
      </c>
      <c r="DE3" s="23" t="s">
        <v>13</v>
      </c>
      <c r="DF3" s="23" t="s">
        <v>7</v>
      </c>
      <c r="DG3" s="23" t="s">
        <v>14</v>
      </c>
      <c r="DH3" s="28" t="s">
        <v>24</v>
      </c>
      <c r="DI3" s="23" t="s">
        <v>12</v>
      </c>
      <c r="DJ3" s="23" t="s">
        <v>13</v>
      </c>
      <c r="DK3" s="23" t="s">
        <v>7</v>
      </c>
      <c r="DL3" s="23" t="s">
        <v>14</v>
      </c>
      <c r="DM3" s="28" t="s">
        <v>24</v>
      </c>
      <c r="DN3" s="23" t="s">
        <v>12</v>
      </c>
      <c r="DO3" s="23" t="s">
        <v>13</v>
      </c>
      <c r="DP3" s="23" t="s">
        <v>7</v>
      </c>
      <c r="DQ3" s="23" t="s">
        <v>14</v>
      </c>
      <c r="DR3" s="28" t="s">
        <v>24</v>
      </c>
      <c r="DS3" s="10"/>
      <c r="DT3" s="9"/>
      <c r="DU3" s="9"/>
      <c r="DV3" s="9"/>
      <c r="DW3" s="9"/>
      <c r="DX3" s="10"/>
      <c r="DY3" s="10"/>
      <c r="DZ3" s="24" t="s">
        <v>12</v>
      </c>
      <c r="EA3" s="24" t="s">
        <v>13</v>
      </c>
      <c r="EB3" s="24" t="s">
        <v>7</v>
      </c>
      <c r="EC3" s="24" t="s">
        <v>14</v>
      </c>
      <c r="ED3" s="29" t="s">
        <v>24</v>
      </c>
      <c r="EE3" s="24" t="s">
        <v>12</v>
      </c>
      <c r="EF3" s="24" t="s">
        <v>13</v>
      </c>
      <c r="EG3" s="24" t="s">
        <v>7</v>
      </c>
      <c r="EH3" s="24" t="s">
        <v>14</v>
      </c>
      <c r="EI3" s="29" t="s">
        <v>24</v>
      </c>
      <c r="EJ3" s="24" t="s">
        <v>12</v>
      </c>
      <c r="EK3" s="24" t="s">
        <v>13</v>
      </c>
      <c r="EL3" s="24" t="s">
        <v>7</v>
      </c>
      <c r="EM3" s="24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23" t="s">
        <v>12</v>
      </c>
      <c r="EW3" s="23" t="s">
        <v>13</v>
      </c>
      <c r="EX3" s="23" t="s">
        <v>7</v>
      </c>
      <c r="EY3" s="23" t="s">
        <v>14</v>
      </c>
      <c r="EZ3" s="28" t="s">
        <v>24</v>
      </c>
      <c r="FA3" s="23" t="s">
        <v>12</v>
      </c>
      <c r="FB3" s="23" t="s">
        <v>13</v>
      </c>
      <c r="FC3" s="23" t="s">
        <v>7</v>
      </c>
      <c r="FD3" s="23" t="s">
        <v>14</v>
      </c>
      <c r="FE3" s="28" t="s">
        <v>24</v>
      </c>
      <c r="FF3" s="23" t="s">
        <v>12</v>
      </c>
      <c r="FG3" s="23" t="s">
        <v>13</v>
      </c>
      <c r="FH3" s="23" t="s">
        <v>7</v>
      </c>
      <c r="FI3" s="23" t="s">
        <v>14</v>
      </c>
      <c r="FJ3" s="28" t="s">
        <v>24</v>
      </c>
      <c r="FK3" s="10"/>
      <c r="FL3" s="9"/>
      <c r="FM3" s="9"/>
      <c r="FN3" s="9"/>
      <c r="FO3" s="9"/>
      <c r="FP3" s="10"/>
      <c r="FQ3" s="10"/>
      <c r="FR3" s="24" t="s">
        <v>12</v>
      </c>
      <c r="FS3" s="24" t="s">
        <v>13</v>
      </c>
      <c r="FT3" s="24" t="s">
        <v>7</v>
      </c>
      <c r="FU3" s="24" t="s">
        <v>14</v>
      </c>
      <c r="FV3" s="29" t="s">
        <v>24</v>
      </c>
      <c r="FW3" s="24" t="s">
        <v>12</v>
      </c>
      <c r="FX3" s="24" t="s">
        <v>13</v>
      </c>
      <c r="FY3" s="24" t="s">
        <v>7</v>
      </c>
      <c r="FZ3" s="24" t="s">
        <v>14</v>
      </c>
      <c r="GA3" s="29" t="s">
        <v>24</v>
      </c>
      <c r="GB3" s="24" t="s">
        <v>12</v>
      </c>
      <c r="GC3" s="24" t="s">
        <v>13</v>
      </c>
      <c r="GD3" s="24" t="s">
        <v>7</v>
      </c>
      <c r="GE3" s="24" t="s">
        <v>14</v>
      </c>
      <c r="GF3" s="29" t="s">
        <v>24</v>
      </c>
      <c r="GG3" s="13"/>
      <c r="GH3" s="12"/>
      <c r="GI3" s="12"/>
      <c r="GJ3" s="12"/>
      <c r="GK3" s="12"/>
      <c r="GL3" s="13"/>
      <c r="GM3" s="13"/>
      <c r="GN3" s="23" t="s">
        <v>12</v>
      </c>
      <c r="GO3" s="23" t="s">
        <v>13</v>
      </c>
      <c r="GP3" s="23" t="s">
        <v>7</v>
      </c>
      <c r="GQ3" s="23" t="s">
        <v>14</v>
      </c>
      <c r="GR3" s="28" t="s">
        <v>24</v>
      </c>
      <c r="GS3" s="23" t="s">
        <v>12</v>
      </c>
      <c r="GT3" s="23" t="s">
        <v>13</v>
      </c>
      <c r="GU3" s="23" t="s">
        <v>7</v>
      </c>
      <c r="GV3" s="23" t="s">
        <v>14</v>
      </c>
      <c r="GW3" s="28" t="s">
        <v>24</v>
      </c>
      <c r="GX3" s="23" t="s">
        <v>12</v>
      </c>
      <c r="GY3" s="23" t="s">
        <v>13</v>
      </c>
      <c r="GZ3" s="23" t="s">
        <v>7</v>
      </c>
      <c r="HA3" s="23" t="s">
        <v>14</v>
      </c>
      <c r="HB3" s="28" t="s">
        <v>24</v>
      </c>
      <c r="HC3" s="10"/>
      <c r="HD3" s="9"/>
      <c r="HE3" s="9"/>
      <c r="HF3" s="9"/>
      <c r="HG3" s="9"/>
      <c r="HH3" s="10"/>
      <c r="HI3" s="10"/>
      <c r="HJ3" s="24" t="s">
        <v>12</v>
      </c>
      <c r="HK3" s="24" t="s">
        <v>13</v>
      </c>
      <c r="HL3" s="24" t="s">
        <v>7</v>
      </c>
      <c r="HM3" s="24" t="s">
        <v>14</v>
      </c>
      <c r="HN3" s="29" t="s">
        <v>24</v>
      </c>
      <c r="HO3" s="24" t="s">
        <v>12</v>
      </c>
      <c r="HP3" s="24" t="s">
        <v>13</v>
      </c>
      <c r="HQ3" s="24" t="s">
        <v>7</v>
      </c>
      <c r="HR3" s="24" t="s">
        <v>14</v>
      </c>
      <c r="HS3" s="29" t="s">
        <v>24</v>
      </c>
      <c r="HT3" s="24" t="s">
        <v>12</v>
      </c>
      <c r="HU3" s="24" t="s">
        <v>13</v>
      </c>
      <c r="HV3" s="24" t="s">
        <v>7</v>
      </c>
      <c r="HW3" s="24" t="s">
        <v>14</v>
      </c>
      <c r="HX3" s="29" t="s">
        <v>24</v>
      </c>
      <c r="HY3" s="13"/>
      <c r="HZ3" s="12"/>
      <c r="IA3" s="12"/>
      <c r="IB3" s="12"/>
      <c r="IC3" s="12"/>
      <c r="ID3" s="13"/>
      <c r="IE3" s="13"/>
      <c r="IF3" s="23" t="s">
        <v>12</v>
      </c>
      <c r="IG3" s="23" t="s">
        <v>13</v>
      </c>
      <c r="IH3" s="23" t="s">
        <v>7</v>
      </c>
      <c r="II3" s="23" t="s">
        <v>14</v>
      </c>
      <c r="IJ3" s="28" t="s">
        <v>24</v>
      </c>
      <c r="IK3" s="23" t="s">
        <v>12</v>
      </c>
      <c r="IL3" s="23" t="s">
        <v>13</v>
      </c>
      <c r="IM3" s="23" t="s">
        <v>7</v>
      </c>
      <c r="IN3" s="23" t="s">
        <v>14</v>
      </c>
      <c r="IO3" s="28" t="s">
        <v>24</v>
      </c>
      <c r="IP3" s="23" t="s">
        <v>12</v>
      </c>
      <c r="IQ3" s="23" t="s">
        <v>13</v>
      </c>
      <c r="IR3" s="23" t="s">
        <v>7</v>
      </c>
      <c r="IS3" s="23" t="s">
        <v>14</v>
      </c>
      <c r="IT3" s="28" t="s">
        <v>24</v>
      </c>
      <c r="IU3" s="10"/>
      <c r="IV3" s="9"/>
      <c r="IW3" s="9"/>
      <c r="IX3" s="9"/>
      <c r="IY3" s="9"/>
      <c r="IZ3" s="10"/>
      <c r="JA3" s="10"/>
      <c r="JB3" s="24" t="s">
        <v>12</v>
      </c>
      <c r="JC3" s="24" t="s">
        <v>13</v>
      </c>
      <c r="JD3" s="24" t="s">
        <v>7</v>
      </c>
      <c r="JE3" s="24" t="s">
        <v>14</v>
      </c>
      <c r="JF3" s="29" t="s">
        <v>24</v>
      </c>
      <c r="JG3" s="24" t="s">
        <v>12</v>
      </c>
      <c r="JH3" s="24" t="s">
        <v>13</v>
      </c>
      <c r="JI3" s="24" t="s">
        <v>7</v>
      </c>
      <c r="JJ3" s="24" t="s">
        <v>14</v>
      </c>
      <c r="JK3" s="29" t="s">
        <v>24</v>
      </c>
      <c r="JL3" s="24" t="s">
        <v>12</v>
      </c>
      <c r="JM3" s="24" t="s">
        <v>13</v>
      </c>
      <c r="JN3" s="24" t="s">
        <v>7</v>
      </c>
      <c r="JO3" s="24" t="s">
        <v>14</v>
      </c>
      <c r="JP3" s="29" t="s">
        <v>24</v>
      </c>
      <c r="JQ3" s="13"/>
      <c r="JR3" s="12"/>
      <c r="JS3" s="12"/>
      <c r="JT3" s="12"/>
      <c r="JU3" s="12"/>
      <c r="JV3" s="13"/>
      <c r="JW3" s="13"/>
      <c r="JX3" s="23" t="s">
        <v>12</v>
      </c>
      <c r="JY3" s="23" t="s">
        <v>13</v>
      </c>
      <c r="JZ3" s="23" t="s">
        <v>7</v>
      </c>
      <c r="KA3" s="23" t="s">
        <v>14</v>
      </c>
      <c r="KB3" s="28" t="s">
        <v>24</v>
      </c>
      <c r="KC3" s="23" t="s">
        <v>12</v>
      </c>
      <c r="KD3" s="23" t="s">
        <v>13</v>
      </c>
      <c r="KE3" s="23" t="s">
        <v>7</v>
      </c>
      <c r="KF3" s="23" t="s">
        <v>14</v>
      </c>
      <c r="KG3" s="28" t="s">
        <v>24</v>
      </c>
      <c r="KH3" s="23" t="s">
        <v>12</v>
      </c>
      <c r="KI3" s="23" t="s">
        <v>13</v>
      </c>
      <c r="KJ3" s="23" t="s">
        <v>7</v>
      </c>
      <c r="KK3" s="23" t="s">
        <v>14</v>
      </c>
      <c r="KL3" s="28" t="s">
        <v>24</v>
      </c>
      <c r="KM3" s="10"/>
      <c r="KN3" s="9"/>
      <c r="KO3" s="9"/>
      <c r="KP3" s="9"/>
      <c r="KQ3" s="9"/>
      <c r="KR3" s="10"/>
      <c r="KS3" s="10"/>
      <c r="KT3" s="24" t="s">
        <v>12</v>
      </c>
      <c r="KU3" s="24" t="s">
        <v>13</v>
      </c>
      <c r="KV3" s="24" t="s">
        <v>7</v>
      </c>
      <c r="KW3" s="24" t="s">
        <v>14</v>
      </c>
      <c r="KX3" s="29" t="s">
        <v>24</v>
      </c>
      <c r="KY3" s="24" t="s">
        <v>12</v>
      </c>
      <c r="KZ3" s="24" t="s">
        <v>13</v>
      </c>
      <c r="LA3" s="24" t="s">
        <v>7</v>
      </c>
      <c r="LB3" s="24" t="s">
        <v>14</v>
      </c>
      <c r="LC3" s="29" t="s">
        <v>24</v>
      </c>
      <c r="LD3" s="24" t="s">
        <v>12</v>
      </c>
      <c r="LE3" s="24" t="s">
        <v>13</v>
      </c>
      <c r="LF3" s="24" t="s">
        <v>7</v>
      </c>
      <c r="LG3" s="24" t="s">
        <v>14</v>
      </c>
      <c r="LH3" s="29" t="s">
        <v>24</v>
      </c>
      <c r="LI3" s="13"/>
      <c r="LJ3" s="12"/>
      <c r="LK3" s="12"/>
      <c r="LL3" s="12"/>
      <c r="LM3" s="12"/>
      <c r="LN3" s="13"/>
      <c r="LO3" s="13"/>
      <c r="LP3" s="23" t="s">
        <v>12</v>
      </c>
      <c r="LQ3" s="23" t="s">
        <v>13</v>
      </c>
      <c r="LR3" s="23" t="s">
        <v>7</v>
      </c>
      <c r="LS3" s="23" t="s">
        <v>14</v>
      </c>
      <c r="LT3" s="28" t="s">
        <v>24</v>
      </c>
      <c r="LU3" s="23" t="s">
        <v>12</v>
      </c>
      <c r="LV3" s="23" t="s">
        <v>13</v>
      </c>
      <c r="LW3" s="23" t="s">
        <v>7</v>
      </c>
      <c r="LX3" s="23" t="s">
        <v>14</v>
      </c>
      <c r="LY3" s="28" t="s">
        <v>24</v>
      </c>
      <c r="LZ3" s="23" t="s">
        <v>12</v>
      </c>
      <c r="MA3" s="23" t="s">
        <v>13</v>
      </c>
      <c r="MB3" s="23" t="s">
        <v>7</v>
      </c>
      <c r="MC3" s="23" t="s">
        <v>14</v>
      </c>
      <c r="MD3" s="28" t="s">
        <v>24</v>
      </c>
      <c r="ME3" s="10"/>
      <c r="MF3" s="9"/>
      <c r="MG3" s="9"/>
      <c r="MH3" s="9"/>
      <c r="MI3" s="9"/>
      <c r="MJ3" s="10"/>
      <c r="MK3" s="10"/>
      <c r="ML3" s="24" t="s">
        <v>12</v>
      </c>
      <c r="MM3" s="24" t="s">
        <v>13</v>
      </c>
      <c r="MN3" s="24" t="s">
        <v>7</v>
      </c>
      <c r="MO3" s="24" t="s">
        <v>14</v>
      </c>
      <c r="MP3" s="29" t="s">
        <v>24</v>
      </c>
      <c r="MQ3" s="24" t="s">
        <v>12</v>
      </c>
      <c r="MR3" s="24" t="s">
        <v>13</v>
      </c>
      <c r="MS3" s="24" t="s">
        <v>7</v>
      </c>
      <c r="MT3" s="24" t="s">
        <v>14</v>
      </c>
      <c r="MU3" s="29" t="s">
        <v>24</v>
      </c>
      <c r="MV3" s="24" t="s">
        <v>12</v>
      </c>
      <c r="MW3" s="24" t="s">
        <v>13</v>
      </c>
      <c r="MX3" s="24" t="s">
        <v>7</v>
      </c>
      <c r="MY3" s="24" t="s">
        <v>14</v>
      </c>
      <c r="MZ3" s="29" t="s">
        <v>24</v>
      </c>
      <c r="NA3" s="13"/>
      <c r="NB3" s="12"/>
      <c r="NC3" s="12"/>
      <c r="ND3" s="12"/>
      <c r="NE3" s="12"/>
      <c r="NF3" s="13"/>
      <c r="NG3" s="13"/>
      <c r="NH3" s="51" t="s">
        <v>12</v>
      </c>
      <c r="NI3" s="51" t="s">
        <v>13</v>
      </c>
      <c r="NJ3" s="51" t="s">
        <v>7</v>
      </c>
      <c r="NK3" s="51" t="s">
        <v>14</v>
      </c>
      <c r="NL3" s="51" t="s">
        <v>24</v>
      </c>
      <c r="NM3" s="56" t="s">
        <v>12</v>
      </c>
      <c r="NN3" s="56" t="s">
        <v>13</v>
      </c>
      <c r="NO3" s="56" t="s">
        <v>7</v>
      </c>
      <c r="NP3" s="56" t="s">
        <v>14</v>
      </c>
      <c r="NQ3" s="56" t="s">
        <v>24</v>
      </c>
      <c r="NR3" s="51" t="s">
        <v>12</v>
      </c>
      <c r="NS3" s="51" t="s">
        <v>13</v>
      </c>
      <c r="NT3" s="51" t="s">
        <v>7</v>
      </c>
      <c r="NU3" s="51" t="s">
        <v>14</v>
      </c>
      <c r="NV3" s="51" t="s">
        <v>24</v>
      </c>
      <c r="NW3" s="51" t="s">
        <v>12</v>
      </c>
      <c r="NX3" s="51" t="s">
        <v>13</v>
      </c>
      <c r="NY3" s="51" t="s">
        <v>7</v>
      </c>
      <c r="NZ3" s="51" t="s">
        <v>14</v>
      </c>
      <c r="OA3" s="51" t="s">
        <v>24</v>
      </c>
      <c r="OB3" s="51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6" t="s">
        <v>94</v>
      </c>
      <c r="C4" s="7" t="s">
        <v>6</v>
      </c>
      <c r="D4" s="22">
        <v>2001</v>
      </c>
      <c r="E4" s="15">
        <f t="shared" ref="E4:E31" si="0">SUM(I4:M4)+I4*0.0000001</f>
        <v>117.48500588850001</v>
      </c>
      <c r="F4" s="3" t="str">
        <f t="shared" ref="F4:F31" si="1">IF(OR(AND(AL4&gt;=AS$34,AM4&gt;=AS$38,AL4&lt;&gt;"",AJ4=""),AND(AN4&gt;=AS$34,AO4&gt;=AS$38,AN4&lt;&gt;"",AN4=""),AND(AQ4&gt;=AS$34,AR4&gt;=AS$38,AQ4&lt;&gt;"",AJ4=""),AND(BP4&gt;=BW$34,BQ4&gt;=BW$38,BP4&lt;&gt;"",BN4=""),AND(BR4&gt;=BW$34,BS4&gt;=BW$38,BR4&lt;&gt;"",BN4=""),AND(BU4&gt;=BW$34,BV4&gt;=BW$38,BU4&lt;&gt;"",BN4=""),AND(CT4&gt;=DA$34,CU4&gt;=DA$38,CT4&lt;&gt;"",CR4=""),AND(CV4&gt;=DA$34,CW4&gt;=DA$38,CV4&lt;&gt;"",CR4=""),AND(CY4&gt;=DA$34,CZ4&gt;=DA$38,CY4&lt;&gt;"",CR4=""),AND(DS4&gt;=DY$34,DU4&gt;=DY$38,DS4&lt;&gt;""),AND(DW4&gt;=DY$34,DX4&gt;=DY$38,DW4&lt;&gt;""),AND(EO4&gt;=EU$34,EQ4&gt;=EU$38,EO4&lt;&gt;""),AND(ES4&gt;=EU$34,ET4&gt;=EU$38,ES4&lt;&gt;""),AND(FK4&gt;=FQ$34,FM4&gt;=FQ$38,FK4&lt;&gt;""),AND(FO4&gt;=FQ$34,FP4&gt;=FQ$38,FO4&lt;&gt;""),AND(GG4&gt;=GM$34,GI4&gt;=GM$38,GG4&lt;&gt;""),AND(GK4&gt;=GM$34,GL4&gt;=GM$38,GK4&lt;&gt;""),AND(HC4&gt;=HI$34,HE4&gt;=HI$38,HC4&lt;&gt;""),AND(HG4&gt;=HI$34,HH4&gt;=HI$38,HG4&lt;&gt;""),AND(HY4&gt;=IE$34,IA4&gt;=IE$38,HY4&lt;&gt;""),AND(IC4&gt;=IE$34,ID4&gt;=IE$38,IC4&lt;&gt;""),AND(IU4&gt;=JA$34,IW4&gt;=JA$38,IU4&lt;&gt;""),AND(IY4&gt;=JA$34,IZ4&gt;=JA$38,IY4&lt;&gt;""),AND(JQ4&gt;=JW$34,JS4&gt;=JW$38,JQ4&lt;&gt;""),AND(JU4&gt;=JW$34,JV4&gt;=JW$38,JU4&lt;&gt;""),AND(KM4&gt;=KS$34,KO4&gt;=KS$38,KM4&lt;&gt;""),AND(KQ4&gt;=KS$34,KR4&gt;=KS$38,KQ4&lt;&gt;""),AND(LI4&gt;=LO$34,LK4&gt;=LO$38,LI4&lt;&gt;""),AND(LM4&gt;=LO$34,LN4&gt;=LO$38,LM4&lt;&gt;""),AND(ME4&gt;=MK$34,MG4&gt;=MK$38,ME4&lt;&gt;""),AND(MI4&gt;=MK$34,MJ4&gt;=MK$38,MI4&lt;&gt;""),AND(NA4&gt;=NG$34,NC4&gt;=NG$38,NA4&lt;&gt;""),AND(NE4&gt;=NG$34,NF4&gt;=NG$38,NE4&lt;&gt;"")),"P","")</f>
        <v>P</v>
      </c>
      <c r="G4" s="3" t="str">
        <f t="shared" ref="G4:G31" si="2">IF(OR(AND(AM4&gt;=AS$38,AL4&lt;&gt;"",AJ4=""),AND(AO4&gt;=AS$38,AN4&lt;&gt;"",AN4=""),AND(AR4&gt;=AS$38,AQ4&lt;&gt;"",AJ4=""),AND(BQ4&gt;=BW$38,BP4&lt;&gt;"",BN4=""),AND(BS4&gt;=BW$38,BR4&lt;&gt;"",BN4=""),AND(BV4&gt;=BW$38,BU4&lt;&gt;"",BN4=""),AND(CU4&gt;=DA$38,CT4&lt;&gt;"",CR4=""),AND(CW4&gt;=DA$38,CV4&lt;&gt;"",CR4=""),AND(CZ4&gt;=DA$38,CY4&lt;&gt;"",CR4=""),AND(DU4&gt;=DY$38,DS4&lt;&gt;""),AND(DX4&gt;=DY$38,DW4&lt;&gt;""),AND(EQ4&gt;=EU$38,EO4&lt;&gt;""),AND(ET4&gt;=EU$38,ES4&lt;&gt;""),AND(FM4&gt;=FQ$38,FK4&lt;&gt;""),AND(FP4&gt;=FQ$38,FO4&lt;&gt;""),AND(GI4&gt;=GM$38,GG4&lt;&gt;""),AND(GL4&gt;=GM$38,GK4&lt;&gt;""),AND(HE4&gt;=HI$38,HC4&lt;&gt;""),AND(HH4&gt;=HI$38,HG4&lt;&gt;""),AND(IA4&gt;=IE$38,HY4&lt;&gt;""),AND(ID4&gt;=IE$38,IC4&lt;&gt;""),AND(IW4&gt;=JA$38,IU4&lt;&gt;""),AND(IZ4&gt;=JA$38,IY4&lt;&gt;""),AND(JS4&gt;=JW$38,JQ4&lt;&gt;""),AND(JV4&gt;=JW$38,JU4&lt;&gt;""),AND(KO4&gt;=KS$38,KM4&lt;&gt;""),AND(KR4&gt;=KS$38,KQ4&lt;&gt;""),AND(LK4&gt;=LO$38,LI4&lt;&gt;""),AND(LN4&gt;=LO$38,LM4&lt;&gt;""),AND(MG4&gt;=MK$38,ME4&lt;&gt;""),AND(MJ4&gt;=MK$38,MI4&lt;&gt;""),AND(NC4&gt;=NG$38,NA4&lt;&gt;""),AND(NF4&gt;=NG$38,NE4&lt;&gt;"")),"P","")</f>
        <v>P</v>
      </c>
      <c r="H4" s="67" t="str">
        <f t="shared" ref="H4:H31" si="3">IF(F4="P","National Team",IF(G4="P","No DD",""))</f>
        <v>National Team</v>
      </c>
      <c r="I4" s="14">
        <f t="shared" ref="I4:I31" si="4">MAX(AM4,AO4,AR4,BQ4,BS4,BV4,CU4,CW4,CZ4)</f>
        <v>58.885000000000005</v>
      </c>
      <c r="J4" s="14" t="str">
        <f t="shared" ref="J4:J31" si="5">IF(I4=0,"",IF(OR(I4=CW4,I4=CU4,I4=CZ4),$BX$1,IF(OR(I4=BS4,I4=BQ4,I4=BV4),$AT$1,IF(OR(I4=AO4,I4=AM4,I4=AR4),$P$1,""))))</f>
        <v>2021 Canadian Championships</v>
      </c>
      <c r="K4" s="14">
        <f>IF(COUNT(AM4,AO4,AR4,BQ4,BS4,BV4,CU4,CW4,CZ4)&gt;1,LARGE((AM4,AO4,AR4,BQ4,BS4,BV4,CU4,CW4,CZ4),2),0)</f>
        <v>58.6</v>
      </c>
      <c r="L4" s="14" t="str">
        <f t="shared" ref="L4:L31" si="6">IF(K4=0,"",IF(OR(K4=CW4,K4=CU4,K4=CZ4),$BX$1,IF(OR(K4=BS4,K4=BQ4,K4=BV4),$AT$1,IF(OR(K4=AO4,K4=AM4,K4=AR4),$P$1,""))))</f>
        <v>2021 Elite Canada</v>
      </c>
      <c r="M4" s="14" t="str">
        <f t="shared" ref="M4:M31" si="7"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6</v>
      </c>
      <c r="Q4" s="38">
        <v>2.8</v>
      </c>
      <c r="R4" s="38">
        <v>0</v>
      </c>
      <c r="S4" s="38">
        <v>5.83</v>
      </c>
      <c r="T4" s="38">
        <v>0.2</v>
      </c>
      <c r="U4" s="38">
        <v>16.2</v>
      </c>
      <c r="V4" s="38">
        <v>9.1</v>
      </c>
      <c r="W4" s="38">
        <v>15.6</v>
      </c>
      <c r="X4" s="38">
        <v>17.25</v>
      </c>
      <c r="Y4" s="38">
        <v>0</v>
      </c>
      <c r="Z4" s="38">
        <v>16.5</v>
      </c>
      <c r="AA4" s="38">
        <v>9.1</v>
      </c>
      <c r="AB4" s="38">
        <v>15.6</v>
      </c>
      <c r="AC4" s="38">
        <v>17.399999999999999</v>
      </c>
      <c r="AD4" s="38">
        <v>0</v>
      </c>
      <c r="AE4" s="38"/>
      <c r="AF4" s="38"/>
      <c r="AG4" s="38"/>
      <c r="AH4" s="38"/>
      <c r="AI4" s="38"/>
      <c r="AJ4" s="45"/>
      <c r="AK4" s="11">
        <f t="shared" ref="AK4:AK31" si="8">IF(SUM(P4:S4)-T4&gt;0,SUM(P4:S4)-T4,"")</f>
        <v>14.430000000000001</v>
      </c>
      <c r="AL4" s="11">
        <f t="shared" ref="AL4:AL31" si="9">IF(W4&gt;0,W4,"")</f>
        <v>15.6</v>
      </c>
      <c r="AM4" s="11">
        <f t="shared" ref="AM4:AM31" si="10">IF(SUM(U4:X4)-Y4&gt;0,SUM(U4:X4)-Y4,"")</f>
        <v>58.15</v>
      </c>
      <c r="AN4" s="11">
        <f t="shared" ref="AN4:AN31" si="11">IF(AB4&gt;0,AB4,"")</f>
        <v>15.6</v>
      </c>
      <c r="AO4" s="11">
        <f t="shared" ref="AO4:AO31" si="12">IF(SUM(Z4:AC4)-AD4&gt;0,SUM(Z4:AC4)-AD4,"")</f>
        <v>58.6</v>
      </c>
      <c r="AP4" s="11">
        <f t="shared" ref="AP4:AP31" si="13">IF(AK4="",IF(MAX(AM4,AO4)&gt;0,MAX(AM4,AO4),""),MAX(AM4,AO4)+AK4)</f>
        <v>73.03</v>
      </c>
      <c r="AQ4" s="11" t="str">
        <f t="shared" ref="AQ4:AQ31" si="14">IF(AG4&gt;0,AG4,"")</f>
        <v/>
      </c>
      <c r="AR4" s="11" t="str">
        <f t="shared" ref="AR4:AR31" si="15">IF(SUM(AE4:AH4)-AI4&gt;0,SUM(AE4:AH4)-AI4,"")</f>
        <v/>
      </c>
      <c r="AS4" s="11">
        <f t="shared" ref="AS4:AS31" si="16">IF(SUM(AP4,AR4)&gt;0,SUM(AP4,AR4),"")</f>
        <v>73.03</v>
      </c>
      <c r="AT4" s="42">
        <v>18.5</v>
      </c>
      <c r="AU4" s="42">
        <v>9.4</v>
      </c>
      <c r="AV4" s="42">
        <v>5</v>
      </c>
      <c r="AW4" s="42">
        <v>18.405000000000001</v>
      </c>
      <c r="AX4" s="42">
        <v>0</v>
      </c>
      <c r="AY4" s="42">
        <v>15.8</v>
      </c>
      <c r="AZ4" s="42">
        <v>9.1</v>
      </c>
      <c r="BA4" s="42">
        <v>15</v>
      </c>
      <c r="BB4" s="42">
        <v>16.75</v>
      </c>
      <c r="BC4" s="42">
        <v>0</v>
      </c>
      <c r="BD4" s="42">
        <v>16.100000000000001</v>
      </c>
      <c r="BE4" s="42">
        <v>9</v>
      </c>
      <c r="BF4" s="42">
        <v>15.6</v>
      </c>
      <c r="BG4" s="42">
        <v>17.22</v>
      </c>
      <c r="BH4" s="42">
        <v>0</v>
      </c>
      <c r="BI4" s="42">
        <v>16.7</v>
      </c>
      <c r="BJ4" s="42">
        <v>9.4</v>
      </c>
      <c r="BK4" s="42">
        <v>15.6</v>
      </c>
      <c r="BL4" s="42">
        <v>17.184999999999999</v>
      </c>
      <c r="BM4" s="42">
        <v>0</v>
      </c>
      <c r="BN4" s="46"/>
      <c r="BO4" s="14">
        <f t="shared" ref="BO4:BO31" si="17">IF(SUM(AT4:AW4)-AX4&gt;0,SUM(AT4:AW4)-AX4,"")</f>
        <v>51.305</v>
      </c>
      <c r="BP4" s="14">
        <f t="shared" ref="BP4:BP31" si="18">IF(BA4&gt;0,BA4,"")</f>
        <v>15</v>
      </c>
      <c r="BQ4" s="14">
        <f t="shared" ref="BQ4:BQ31" si="19">IF(SUM(AY4:BB4)-BC4&gt;0,SUM(AY4:BB4)-BC4,"")</f>
        <v>56.65</v>
      </c>
      <c r="BR4" s="14">
        <f t="shared" ref="BR4:BR31" si="20">IF(BF4&gt;0,BF4,"")</f>
        <v>15.6</v>
      </c>
      <c r="BS4" s="14">
        <f t="shared" ref="BS4:BS31" si="21">IF(SUM(BD4:BG4)-BH4&gt;0,SUM(BD4:BG4)-BH4,"")</f>
        <v>57.92</v>
      </c>
      <c r="BT4" s="14">
        <f t="shared" ref="BT4:BT31" si="22">IF(BO4="",IF(MAX(BQ4,BS4)&gt;0,MAX(BQ4,BS4),""),MAX(BQ4,BS4)+BO4)</f>
        <v>109.22499999999999</v>
      </c>
      <c r="BU4" s="14">
        <f t="shared" ref="BU4:BU31" si="23">IF(BK4&gt;0,BK4,"")</f>
        <v>15.6</v>
      </c>
      <c r="BV4" s="14">
        <f t="shared" ref="BV4:BV31" si="24">IF(SUM(BI4:BL4)-BM4&gt;0,SUM(BI4:BL4)-BM4,"")</f>
        <v>58.885000000000005</v>
      </c>
      <c r="BW4" s="14">
        <f t="shared" ref="BW4:BW31" si="25">IF(SUM(BT4,BV4)&gt;0,SUM(BT4,BV4),"")</f>
        <v>168.11</v>
      </c>
      <c r="BX4" s="38"/>
      <c r="BY4" s="38"/>
      <c r="BZ4" s="38"/>
      <c r="CA4" s="38"/>
      <c r="CB4" s="38"/>
      <c r="CC4" s="38">
        <v>16.100000000000001</v>
      </c>
      <c r="CD4" s="38">
        <v>9</v>
      </c>
      <c r="CE4" s="38">
        <v>15</v>
      </c>
      <c r="CF4" s="38">
        <v>17.309999999999999</v>
      </c>
      <c r="CG4" s="38">
        <v>0</v>
      </c>
      <c r="CH4" s="38">
        <v>14.9</v>
      </c>
      <c r="CI4" s="38">
        <v>9</v>
      </c>
      <c r="CJ4" s="38">
        <v>12.7</v>
      </c>
      <c r="CK4" s="38">
        <v>17.29</v>
      </c>
      <c r="CL4" s="38">
        <v>0.8</v>
      </c>
      <c r="CM4" s="38">
        <v>15.7</v>
      </c>
      <c r="CN4" s="38">
        <v>9.4</v>
      </c>
      <c r="CO4" s="38">
        <v>15.6</v>
      </c>
      <c r="CP4" s="38">
        <v>17.350000000000001</v>
      </c>
      <c r="CQ4" s="38">
        <v>0</v>
      </c>
      <c r="CR4" s="45"/>
      <c r="CS4" s="11" t="str">
        <f t="shared" ref="CS4:CS31" si="26">IF(SUM(BX4:CA4)-CB4&gt;0,SUM(BX4:CA4)-CB4,"")</f>
        <v/>
      </c>
      <c r="CT4" s="11">
        <f t="shared" ref="CT4:CT31" si="27">IF(CE4&gt;0,CE4,"")</f>
        <v>15</v>
      </c>
      <c r="CU4" s="11">
        <f t="shared" ref="CU4:CU31" si="28">IF(SUM(CC4:CF4)-CG4&gt;0,SUM(CC4:CF4)-CG4,"")</f>
        <v>57.41</v>
      </c>
      <c r="CV4" s="11">
        <f t="shared" ref="CV4:CV31" si="29">IF(CJ4&gt;0,CJ4,"")</f>
        <v>12.7</v>
      </c>
      <c r="CW4" s="11">
        <f t="shared" ref="CW4:CW31" si="30">IF(SUM(CH4:CK4)-CL4&gt;0,SUM(CH4:CK4)-CL4,"")</f>
        <v>53.089999999999996</v>
      </c>
      <c r="CX4" s="11">
        <f t="shared" ref="CX4:CX31" si="31">IF(CS4="",IF(MAX(CU4,CW4)&gt;0,MAX(CU4,CW4),""),MAX(CU4,CW4)+CS4)</f>
        <v>57.41</v>
      </c>
      <c r="CY4" s="11">
        <f t="shared" ref="CY4:CY31" si="32">IF(CO4&gt;0,CO4,"")</f>
        <v>15.6</v>
      </c>
      <c r="CZ4" s="11">
        <f t="shared" ref="CZ4:CZ31" si="33">IF(SUM(CM4:CP4)-CQ4&gt;0,SUM(CM4:CP4)-CQ4,"")</f>
        <v>58.050000000000004</v>
      </c>
      <c r="DA4" s="11">
        <f t="shared" ref="DA4:DA31" si="34">IF(SUM(CX4,CZ4)&gt;0,SUM(CX4,CZ4),"")</f>
        <v>115.46000000000001</v>
      </c>
      <c r="DB4" s="19" t="str">
        <f t="shared" ref="DB4:DB31" si="35">IF(MAX(DU4,EQ4,FM4,GI4,HE4,IA4,IW4,JS4,KO4,LK4,MG4,NC4)-IF(I4="",0,I4)&gt;0.001,MAX(DU4,EQ4,FM4,GI4,HE4,IA4,IW4,JS4,KO4,LK4,MG4,NC4)-IF(I4="",0,I4),"")</f>
        <v/>
      </c>
      <c r="DC4" s="19" t="str">
        <f t="shared" ref="DC4:DC31" si="36">IF(MAX(DX4,ET4,FP4,GL4,HH4,ID4,IZ4,JV4,KR4,LN4,MJ4,NF4)-IF(K4="",0,K4)&gt;0.001,MAX(DX4,ET4,FP4,GL4,HH4,ID4,IZ4,JV4,KR4,LN4,MJ4,NF4)-IF(K4="",0,K4),"")</f>
        <v/>
      </c>
      <c r="DD4" s="25">
        <v>17.7</v>
      </c>
      <c r="DE4" s="25">
        <v>9.5</v>
      </c>
      <c r="DF4" s="25">
        <v>5</v>
      </c>
      <c r="DG4" s="25">
        <v>17.73</v>
      </c>
      <c r="DH4" s="25">
        <v>0</v>
      </c>
      <c r="DI4" s="25">
        <v>14.9</v>
      </c>
      <c r="DJ4" s="25">
        <v>9.1999999999999993</v>
      </c>
      <c r="DK4" s="25">
        <v>15.4</v>
      </c>
      <c r="DL4" s="25">
        <v>16.43</v>
      </c>
      <c r="DM4" s="25"/>
      <c r="DN4" s="25"/>
      <c r="DO4" s="25"/>
      <c r="DP4" s="25"/>
      <c r="DQ4" s="25"/>
      <c r="DR4" s="25"/>
      <c r="DS4" s="11">
        <f t="shared" ref="DS4:DS31" si="37">IF(DK4&gt;0,DK4,"")</f>
        <v>15.4</v>
      </c>
      <c r="DT4" s="11">
        <f t="shared" ref="DT4:DT31" si="38">IF(SUM(DD4:DG4)-DH4&gt;0,SUM(DD4:DG4)-DH4,"")</f>
        <v>49.930000000000007</v>
      </c>
      <c r="DU4" s="11">
        <f t="shared" ref="DU4:DU31" si="39">IF(SUM(DI4:DL4)-DM4&gt;0,SUM(DI4:DL4)-DM4,"")</f>
        <v>55.93</v>
      </c>
      <c r="DV4" s="11">
        <f t="shared" ref="DV4:DV31" si="40">IF(SUM(DT4:DU4)&gt;0,SUM(DT4:DU4),"")</f>
        <v>105.86000000000001</v>
      </c>
      <c r="DW4" s="11" t="str">
        <f t="shared" ref="DW4:DW31" si="41">IF(DP4&gt;0,DP4,"")</f>
        <v/>
      </c>
      <c r="DX4" s="11" t="str">
        <f t="shared" ref="DX4:DX31" si="42">IF(SUM(DN4:DQ4)-DR4&gt;0,SUM(DN4:DQ4)-DR4,"")</f>
        <v/>
      </c>
      <c r="DY4" s="11">
        <f t="shared" ref="DY4:DY31" si="43">IF(SUM(DV4,DX4)&gt;0,SUM(DV4,DX4),"")</f>
        <v>105.86000000000001</v>
      </c>
      <c r="DZ4" s="26">
        <v>17.8</v>
      </c>
      <c r="EA4" s="26">
        <v>9</v>
      </c>
      <c r="EB4" s="26">
        <v>2.7</v>
      </c>
      <c r="EC4" s="26">
        <v>17.754999999999999</v>
      </c>
      <c r="ED4" s="26">
        <v>0</v>
      </c>
      <c r="EE4" s="26">
        <v>14.4</v>
      </c>
      <c r="EF4" s="26">
        <v>9.5</v>
      </c>
      <c r="EG4" s="26">
        <v>15.4</v>
      </c>
      <c r="EH4" s="26">
        <v>16.574999999999999</v>
      </c>
      <c r="EI4" s="26">
        <v>0</v>
      </c>
      <c r="EJ4" s="26">
        <v>3</v>
      </c>
      <c r="EK4" s="26">
        <v>1.8</v>
      </c>
      <c r="EL4" s="26">
        <v>3.2</v>
      </c>
      <c r="EM4" s="26">
        <v>3.5649999999999999</v>
      </c>
      <c r="EN4" s="26">
        <v>0</v>
      </c>
      <c r="EO4" s="14">
        <f t="shared" ref="EO4:EO31" si="44">IF(EG4&gt;0,EG4,"")</f>
        <v>15.4</v>
      </c>
      <c r="EP4" s="14">
        <f t="shared" ref="EP4:EP31" si="45">IF(SUM(DZ4:EC4)-ED4&gt;0,SUM(DZ4:EC4)-ED4,"")</f>
        <v>47.254999999999995</v>
      </c>
      <c r="EQ4" s="14">
        <f t="shared" ref="EQ4:EQ31" si="46">IF(SUM(EE4:EH4)-EI4&gt;0,SUM(EE4:EH4)-EI4,"")</f>
        <v>55.875</v>
      </c>
      <c r="ER4" s="14">
        <f t="shared" ref="ER4:ER31" si="47">IF(SUM(EP4:EQ4)&gt;0,SUM(EP4:EQ4),"")</f>
        <v>103.13</v>
      </c>
      <c r="ES4" s="14">
        <f t="shared" ref="ES4:ES31" si="48">IF(EL4&gt;0,EL4,"")</f>
        <v>3.2</v>
      </c>
      <c r="ET4" s="14">
        <f t="shared" ref="ET4:ET31" si="49">IF(SUM(EJ4:EM4)-EN4&gt;0,SUM(EJ4:EM4)-EN4,"")</f>
        <v>11.565</v>
      </c>
      <c r="EU4" s="14">
        <f t="shared" ref="EU4:EU31" si="50">IF(SUM(ER4,ET4)&gt;0,SUM(ER4,ET4),"")</f>
        <v>114.69499999999999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 t="shared" ref="FK4:FK31" si="51">IF(FC4&gt;0,FC4,"")</f>
        <v/>
      </c>
      <c r="FL4" s="11" t="str">
        <f t="shared" ref="FL4:FL31" si="52">IF(SUM(EV4:EY4)-EZ4&gt;0,SUM(EV4:EY4)-EZ4,"")</f>
        <v/>
      </c>
      <c r="FM4" s="11" t="str">
        <f t="shared" ref="FM4:FM31" si="53">IF(SUM(FA4:FD4)-FE4&gt;0,SUM(FA4:FD4)-FE4,"")</f>
        <v/>
      </c>
      <c r="FN4" s="11" t="str">
        <f t="shared" ref="FN4:FN31" si="54">IF(SUM(FL4:FM4)&gt;0,SUM(FL4:FM4),"")</f>
        <v/>
      </c>
      <c r="FO4" s="11" t="str">
        <f t="shared" ref="FO4:FO31" si="55">IF(FH4&gt;0,FH4,"")</f>
        <v/>
      </c>
      <c r="FP4" s="11" t="str">
        <f t="shared" ref="FP4:FP31" si="56">IF(SUM(FF4:FI4)-FJ4&gt;0,SUM(FF4:FI4)-FJ4,"")</f>
        <v/>
      </c>
      <c r="FQ4" s="11" t="str">
        <f t="shared" ref="FQ4:FQ31" si="57"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 t="shared" ref="GG4:GG31" si="58">IF(FY4&gt;0,FY4,"")</f>
        <v/>
      </c>
      <c r="GH4" s="14" t="str">
        <f t="shared" ref="GH4:GH31" si="59">IF(SUM(FR4:FU4)-FV4&gt;0,SUM(FR4:FU4)-FV4,"")</f>
        <v/>
      </c>
      <c r="GI4" s="14" t="str">
        <f t="shared" ref="GI4:GI31" si="60">IF(SUM(FW4:FZ4)-GA4&gt;0,SUM(FW4:FZ4)-GA4,"")</f>
        <v/>
      </c>
      <c r="GJ4" s="14" t="str">
        <f t="shared" ref="GJ4:GJ31" si="61">IF(SUM(GH4:GI4)&gt;0,SUM(GH4:GI4),"")</f>
        <v/>
      </c>
      <c r="GK4" s="14" t="str">
        <f t="shared" ref="GK4:GK31" si="62">IF(GD4&gt;0,GD4,"")</f>
        <v/>
      </c>
      <c r="GL4" s="14" t="str">
        <f t="shared" ref="GL4:GL31" si="63">IF(SUM(GB4:GE4)-GF4&gt;0,SUM(GB4:GE4)-GF4,"")</f>
        <v/>
      </c>
      <c r="GM4" s="14" t="str">
        <f t="shared" ref="GM4:GM31" si="64"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 t="shared" ref="HC4:HC31" si="65">IF(GU4&gt;0,GU4,"")</f>
        <v/>
      </c>
      <c r="HD4" s="11" t="str">
        <f t="shared" ref="HD4:HD31" si="66">IF(SUM(GN4:GQ4)-GR4&gt;0,SUM(GN4:GQ4)-GR4,"")</f>
        <v/>
      </c>
      <c r="HE4" s="11" t="str">
        <f t="shared" ref="HE4:HE31" si="67">IF(SUM(GS4:GV4)-GW4&gt;0,SUM(GS4:GV4)-GW4,"")</f>
        <v/>
      </c>
      <c r="HF4" s="11" t="str">
        <f t="shared" ref="HF4:HF31" si="68">IF(SUM(HD4:HE4)&gt;0,SUM(HD4:HE4),"")</f>
        <v/>
      </c>
      <c r="HG4" s="11" t="str">
        <f t="shared" ref="HG4:HG31" si="69">IF(GZ4&gt;0,GZ4,"")</f>
        <v/>
      </c>
      <c r="HH4" s="11" t="str">
        <f t="shared" ref="HH4:HH31" si="70">IF(SUM(GX4:HA4)-HB4&gt;0,SUM(GX4:HA4)-HB4,"")</f>
        <v/>
      </c>
      <c r="HI4" s="11" t="str">
        <f t="shared" ref="HI4:HI31" si="71"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 t="shared" ref="HY4:HY31" si="72">IF(HQ4&gt;0,HQ4,"")</f>
        <v/>
      </c>
      <c r="HZ4" s="14" t="str">
        <f t="shared" ref="HZ4:HZ31" si="73">IF(SUM(HJ4:HM4)-HN4&gt;0,SUM(HJ4:HM4)-HN4,"")</f>
        <v/>
      </c>
      <c r="IA4" s="14" t="str">
        <f t="shared" ref="IA4:IA31" si="74">IF(SUM(HO4:HR4)-HS4&gt;0,SUM(HO4:HR4)-HS4,"")</f>
        <v/>
      </c>
      <c r="IB4" s="14" t="str">
        <f t="shared" ref="IB4:IB31" si="75">IF(SUM(HZ4:IA4)&gt;0,SUM(HZ4:IA4),"")</f>
        <v/>
      </c>
      <c r="IC4" s="14" t="str">
        <f t="shared" ref="IC4:IC31" si="76">IF(HV4&gt;0,HV4,"")</f>
        <v/>
      </c>
      <c r="ID4" s="14" t="str">
        <f t="shared" ref="ID4:ID31" si="77">IF(SUM(HT4:HW4)-HX4&gt;0,SUM(HT4:HW4)-HX4,"")</f>
        <v/>
      </c>
      <c r="IE4" s="14" t="str">
        <f t="shared" ref="IE4:IE31" si="78"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 t="shared" ref="IU4:IU31" si="79">IF(IM4&gt;0,IM4,"")</f>
        <v/>
      </c>
      <c r="IV4" s="11" t="str">
        <f t="shared" ref="IV4:IV31" si="80">IF(SUM(IF4:II4)-IJ4&gt;0,SUM(IF4:II4)-IJ4,"")</f>
        <v/>
      </c>
      <c r="IW4" s="11" t="str">
        <f t="shared" ref="IW4:IW31" si="81">IF(SUM(IK4:IN4)-IO4&gt;0,SUM(IK4:IN4)-IO4,"")</f>
        <v/>
      </c>
      <c r="IX4" s="11" t="str">
        <f t="shared" ref="IX4:IX31" si="82">IF(SUM(IV4:IW4)&gt;0,SUM(IV4:IW4),"")</f>
        <v/>
      </c>
      <c r="IY4" s="11" t="str">
        <f t="shared" ref="IY4:IY31" si="83">IF(IR4&gt;0,IR4,"")</f>
        <v/>
      </c>
      <c r="IZ4" s="11" t="str">
        <f t="shared" ref="IZ4:IZ31" si="84">IF(SUM(IP4:IS4)-IT4&gt;0,SUM(IP4:IS4)-IT4,"")</f>
        <v/>
      </c>
      <c r="JA4" s="11" t="str">
        <f t="shared" ref="JA4:JA31" si="85"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 t="shared" ref="JQ4:JQ31" si="86">IF(JI4&gt;0,JI4,"")</f>
        <v/>
      </c>
      <c r="JR4" s="14" t="str">
        <f t="shared" ref="JR4:JR31" si="87">IF(SUM(JB4:JE4)-JF4&gt;0,SUM(JB4:JE4)-JF4,"")</f>
        <v/>
      </c>
      <c r="JS4" s="14" t="str">
        <f t="shared" ref="JS4:JS31" si="88">IF(SUM(JG4:JJ4)-JK4&gt;0,SUM(JG4:JJ4)-JK4,"")</f>
        <v/>
      </c>
      <c r="JT4" s="14" t="str">
        <f t="shared" ref="JT4:JT31" si="89">IF(SUM(JR4:JS4)&gt;0,SUM(JR4:JS4),"")</f>
        <v/>
      </c>
      <c r="JU4" s="14" t="str">
        <f t="shared" ref="JU4:JU31" si="90">IF(JN4&gt;0,JN4,"")</f>
        <v/>
      </c>
      <c r="JV4" s="14" t="str">
        <f t="shared" ref="JV4:JV31" si="91">IF(SUM(JL4:JO4)-JP4&gt;0,SUM(JL4:JO4)-JP4,"")</f>
        <v/>
      </c>
      <c r="JW4" s="14" t="str">
        <f t="shared" ref="JW4:JW31" si="92"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 t="shared" ref="KM4:KM31" si="93">IF(KE4&gt;0,KE4,"")</f>
        <v/>
      </c>
      <c r="KN4" s="11" t="str">
        <f t="shared" ref="KN4:KN31" si="94">IF(SUM(JX4:KA4)-KB4&gt;0,SUM(JX4:KA4)-KB4,"")</f>
        <v/>
      </c>
      <c r="KO4" s="11" t="str">
        <f t="shared" ref="KO4:KO31" si="95">IF(SUM(KC4:KF4)-KG4&gt;0,SUM(KC4:KF4)-KG4,"")</f>
        <v/>
      </c>
      <c r="KP4" s="11" t="str">
        <f t="shared" ref="KP4:KP31" si="96">IF(SUM(KN4:KO4)&gt;0,SUM(KN4:KO4),"")</f>
        <v/>
      </c>
      <c r="KQ4" s="11" t="str">
        <f t="shared" ref="KQ4:KQ31" si="97">IF(KJ4&gt;0,KJ4,"")</f>
        <v/>
      </c>
      <c r="KR4" s="11" t="str">
        <f t="shared" ref="KR4:KR31" si="98">IF(SUM(KH4:KK4)-KL4&gt;0,SUM(KH4:KK4)-KL4,"")</f>
        <v/>
      </c>
      <c r="KS4" s="11" t="str">
        <f t="shared" ref="KS4:KS31" si="99"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 t="shared" ref="LI4:LI31" si="100">IF(LA4&gt;0,LA4,"")</f>
        <v/>
      </c>
      <c r="LJ4" s="14" t="str">
        <f t="shared" ref="LJ4:LJ31" si="101">IF(SUM(KT4:KW4)-KX4&gt;0,SUM(KT4:KW4)-KX4,"")</f>
        <v/>
      </c>
      <c r="LK4" s="14" t="str">
        <f t="shared" ref="LK4:LK31" si="102">IF(SUM(KY4:LB4)-LC4&gt;0,SUM(KY4:LB4)-LC4,"")</f>
        <v/>
      </c>
      <c r="LL4" s="14" t="str">
        <f t="shared" ref="LL4:LL31" si="103">IF(SUM(LJ4:LK4)&gt;0,SUM(LJ4:LK4),"")</f>
        <v/>
      </c>
      <c r="LM4" s="14" t="str">
        <f t="shared" ref="LM4:LM31" si="104">IF(LF4&gt;0,LF4,"")</f>
        <v/>
      </c>
      <c r="LN4" s="14" t="str">
        <f t="shared" ref="LN4:LN31" si="105">IF(SUM(LD4:LG4)-LH4&gt;0,SUM(LD4:LG4)-LH4,"")</f>
        <v/>
      </c>
      <c r="LO4" s="14" t="str">
        <f t="shared" ref="LO4:LO31" si="106"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 t="shared" ref="ME4:ME31" si="107">IF(LW4&gt;0,LW4,"")</f>
        <v/>
      </c>
      <c r="MF4" s="11" t="str">
        <f t="shared" ref="MF4:MF31" si="108">IF(SUM(LP4:LS4)-LT4&gt;0,SUM(LP4:LS4)-LT4,"")</f>
        <v/>
      </c>
      <c r="MG4" s="11" t="str">
        <f t="shared" ref="MG4:MG31" si="109">IF(SUM(LU4:LX4)-LY4&gt;0,SUM(LU4:LX4)-LY4,"")</f>
        <v/>
      </c>
      <c r="MH4" s="11" t="str">
        <f t="shared" ref="MH4:MH31" si="110">IF(SUM(MF4:MG4)&gt;0,SUM(MF4:MG4),"")</f>
        <v/>
      </c>
      <c r="MI4" s="11" t="str">
        <f t="shared" ref="MI4:MI31" si="111">IF(MB4&gt;0,MB4,"")</f>
        <v/>
      </c>
      <c r="MJ4" s="11" t="str">
        <f t="shared" ref="MJ4:MJ31" si="112">IF(SUM(LZ4:MC4)-MD4&gt;0,SUM(LZ4:MC4)-MD4,"")</f>
        <v/>
      </c>
      <c r="MK4" s="11" t="str">
        <f t="shared" ref="MK4:MK31" si="113"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 t="shared" ref="NA4:NA31" si="114">IF(MS4&gt;0,MS4,"")</f>
        <v/>
      </c>
      <c r="NB4" s="14" t="str">
        <f t="shared" ref="NB4:NB31" si="115">IF(SUM(ML4:MO4)-MP4&gt;0,SUM(ML4:MO4)-MP4,"")</f>
        <v/>
      </c>
      <c r="NC4" s="14" t="str">
        <f t="shared" ref="NC4:NC31" si="116">IF(SUM(MQ4:MT4)-MU4&gt;0,SUM(MQ4:MT4)-MU4,"")</f>
        <v/>
      </c>
      <c r="ND4" s="14" t="str">
        <f t="shared" ref="ND4:ND31" si="117">IF(SUM(NB4:NC4)&gt;0,SUM(NB4:NC4),"")</f>
        <v/>
      </c>
      <c r="NE4" s="14" t="str">
        <f t="shared" ref="NE4:NE31" si="118">IF(MX4&gt;0,MX4,"")</f>
        <v/>
      </c>
      <c r="NF4" s="14" t="str">
        <f t="shared" ref="NF4:NF31" si="119">IF(SUM(MV4:MY4)-MZ4&gt;0,SUM(MV4:MY4)-MZ4,"")</f>
        <v/>
      </c>
      <c r="NG4" s="14" t="str">
        <f t="shared" ref="NG4:NG31" si="120">IF(SUM(ND4,NF4)&gt;0,SUM(ND4,NF4),"")</f>
        <v/>
      </c>
      <c r="NH4" s="38">
        <f t="shared" ref="NH4:NH31" si="121">IF($CR4="P",BX4,(BX4+AT4)/2)</f>
        <v>9.25</v>
      </c>
      <c r="NI4" s="38">
        <f t="shared" ref="NI4:NI31" si="122">IF($CR4="P",BY4,(BY4+AU4)/2)</f>
        <v>4.7</v>
      </c>
      <c r="NJ4" s="38">
        <f t="shared" ref="NJ4:NJ31" si="123">IF($CR4="P",BZ4,(BZ4+AV4)/2)</f>
        <v>2.5</v>
      </c>
      <c r="NK4" s="38">
        <f t="shared" ref="NK4:NK31" si="124">IF($CR4="P",CA4,(CA4+AW4)/2)</f>
        <v>9.2025000000000006</v>
      </c>
      <c r="NL4" s="38">
        <f t="shared" ref="NL4:NL31" si="125">IF($CR4="P",CB4,(CB4+AX4)/2)</f>
        <v>0</v>
      </c>
      <c r="NM4" s="38">
        <f t="shared" ref="NM4:NM31" si="126">IF($CR4="P",CC4,(CC4+AY4)/2)</f>
        <v>15.950000000000001</v>
      </c>
      <c r="NN4" s="38">
        <f t="shared" ref="NN4:NN31" si="127">IF($CR4="P",CD4,(CD4+AZ4)/2)</f>
        <v>9.0500000000000007</v>
      </c>
      <c r="NO4" s="38">
        <f t="shared" ref="NO4:NO31" si="128">IF($CR4="P",CE4,(CE4+BA4)/2)</f>
        <v>15</v>
      </c>
      <c r="NP4" s="38">
        <f t="shared" ref="NP4:NP31" si="129">IF($CR4="P",CF4,(CF4+BB4)/2)</f>
        <v>17.03</v>
      </c>
      <c r="NQ4" s="38">
        <f t="shared" ref="NQ4:NQ31" si="130">IF($CR4="P",CG4,(CG4+BC4)/2)</f>
        <v>0</v>
      </c>
      <c r="NR4" s="38">
        <f t="shared" ref="NR4:NR31" si="131">IF($CR4="P",CH4,(CH4+BD4)/2)</f>
        <v>15.5</v>
      </c>
      <c r="NS4" s="38">
        <f t="shared" ref="NS4:NS31" si="132">IF($CR4="P",CI4,(CI4+BE4)/2)</f>
        <v>9</v>
      </c>
      <c r="NT4" s="38">
        <f t="shared" ref="NT4:NT31" si="133">IF($CR4="P",CJ4,(CJ4+BF4)/2)</f>
        <v>14.149999999999999</v>
      </c>
      <c r="NU4" s="38">
        <f t="shared" ref="NU4:NU31" si="134">IF($CR4="P",CK4,(CK4+BG4)/2)</f>
        <v>17.254999999999999</v>
      </c>
      <c r="NV4" s="38">
        <f t="shared" ref="NV4:NV31" si="135">IF($CR4="P",CL4,(CL4+BH4)/2)</f>
        <v>0.4</v>
      </c>
      <c r="NW4" s="38">
        <f t="shared" ref="NW4:NW31" si="136">IF($CR4="P",CM4,(CM4+BI4)/2)</f>
        <v>16.2</v>
      </c>
      <c r="NX4" s="38">
        <f t="shared" ref="NX4:NX31" si="137">IF($CR4="P",CN4,(CN4+BJ4)/2)</f>
        <v>9.4</v>
      </c>
      <c r="NY4" s="38">
        <f t="shared" ref="NY4:NY31" si="138">IF($CR4="P",CO4,(CO4+BK4)/2)</f>
        <v>15.6</v>
      </c>
      <c r="NZ4" s="38">
        <f t="shared" ref="NZ4:NZ31" si="139">IF($CR4="P",CP4,(CP4+BL4)/2)</f>
        <v>17.267499999999998</v>
      </c>
      <c r="OA4" s="38">
        <f t="shared" ref="OA4:OA31" si="140">IF($CR4="P",CQ4,(CQ4+BM4)/2)</f>
        <v>0</v>
      </c>
      <c r="OB4" s="45" t="s">
        <v>46</v>
      </c>
      <c r="OC4" s="11">
        <f t="shared" ref="OC4:OC31" si="141">IF(SUM(NH4:NK4)-NL4&gt;0,SUM(NH4:NK4)-NL4,"")</f>
        <v>25.6525</v>
      </c>
      <c r="OD4" s="11">
        <f t="shared" ref="OD4:OD31" si="142">IF(NO4&gt;0,NO4,"")</f>
        <v>15</v>
      </c>
      <c r="OE4" s="11">
        <f t="shared" ref="OE4:OE31" si="143">IF(SUM(NM4:NP4)-NQ4&gt;0,SUM(NM4:NP4)-NQ4,"")</f>
        <v>57.03</v>
      </c>
      <c r="OF4" s="11">
        <f t="shared" ref="OF4:OF31" si="144">IF(NT4&gt;0,NT4,"")</f>
        <v>14.149999999999999</v>
      </c>
      <c r="OG4" s="11">
        <f t="shared" ref="OG4:OG31" si="145">IF(SUM(NR4:NU4)-NV4&gt;0,SUM(NR4:NU4)-NV4,"")</f>
        <v>55.505000000000003</v>
      </c>
      <c r="OH4" s="11">
        <f t="shared" ref="OH4:OH31" si="146">IF(OR(OC4&lt;&gt;"",OE4&lt;&gt;"",OG4&lt;&gt;""),OC4+MAX(OE4,OG4),"")</f>
        <v>82.682500000000005</v>
      </c>
      <c r="OI4" s="11">
        <f t="shared" ref="OI4:OI31" si="147">IF(NY4&gt;0,NY4,"")</f>
        <v>15.6</v>
      </c>
      <c r="OJ4" s="11">
        <f t="shared" ref="OJ4:OJ10" si="148">IF(SUM(NW4:NZ4)-OA4&gt;0,SUM(NW4:NZ4)-OA4,"")</f>
        <v>58.467500000000001</v>
      </c>
      <c r="OK4" s="11">
        <f>IF(SUM(OH4,OJ4)&gt;0,SUM(OH4,OJ4),"")</f>
        <v>141.15</v>
      </c>
    </row>
    <row r="5" spans="1:401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6" t="s">
        <v>162</v>
      </c>
      <c r="C5" s="7" t="s">
        <v>6</v>
      </c>
      <c r="D5" s="5">
        <v>2001</v>
      </c>
      <c r="E5" s="15">
        <f t="shared" si="0"/>
        <v>116.11000580549998</v>
      </c>
      <c r="F5" s="3" t="str">
        <f t="shared" si="1"/>
        <v>P</v>
      </c>
      <c r="G5" s="3" t="str">
        <f t="shared" si="2"/>
        <v>P</v>
      </c>
      <c r="H5" s="67" t="str">
        <f t="shared" si="3"/>
        <v>National Team</v>
      </c>
      <c r="I5" s="14">
        <f t="shared" si="4"/>
        <v>58.054999999999993</v>
      </c>
      <c r="J5" s="14" t="str">
        <f t="shared" si="5"/>
        <v>2022 Elite Canada</v>
      </c>
      <c r="K5" s="14">
        <f>IF(COUNT(AM5,AO5,AR5,BQ5,BS5,BV5,CU5,CW5,CZ5)&gt;1,LARGE((AM5,AO5,AR5,BQ5,BS5,BV5,CU5,CW5,CZ5),2),0)</f>
        <v>58.054999999999993</v>
      </c>
      <c r="L5" s="14" t="str">
        <f t="shared" si="6"/>
        <v>2022 Elite Canada</v>
      </c>
      <c r="M5" s="14" t="str">
        <f t="shared" si="7"/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/>
      <c r="Q5" s="38"/>
      <c r="R5" s="38"/>
      <c r="S5" s="38"/>
      <c r="T5" s="38"/>
      <c r="U5" s="38">
        <v>15</v>
      </c>
      <c r="V5" s="38">
        <v>7.7750000000000004</v>
      </c>
      <c r="W5" s="38">
        <v>13.75</v>
      </c>
      <c r="X5" s="38">
        <v>15.302499999999998</v>
      </c>
      <c r="Y5" s="38">
        <v>0</v>
      </c>
      <c r="Z5" s="38">
        <v>10</v>
      </c>
      <c r="AA5" s="38">
        <v>5.3999999999999995</v>
      </c>
      <c r="AB5" s="38">
        <v>9.7999999999999989</v>
      </c>
      <c r="AC5" s="38">
        <v>10.385</v>
      </c>
      <c r="AD5" s="38">
        <v>0</v>
      </c>
      <c r="AE5" s="38">
        <v>12</v>
      </c>
      <c r="AF5" s="38">
        <v>6.3</v>
      </c>
      <c r="AG5" s="38">
        <v>11.45</v>
      </c>
      <c r="AH5" s="38">
        <v>12.270000000000001</v>
      </c>
      <c r="AI5" s="38">
        <v>0</v>
      </c>
      <c r="AJ5" s="45" t="s">
        <v>46</v>
      </c>
      <c r="AK5" s="11" t="str">
        <f t="shared" si="8"/>
        <v/>
      </c>
      <c r="AL5" s="11">
        <f t="shared" si="9"/>
        <v>13.75</v>
      </c>
      <c r="AM5" s="11">
        <f t="shared" si="10"/>
        <v>51.827500000000001</v>
      </c>
      <c r="AN5" s="11">
        <f t="shared" si="11"/>
        <v>9.7999999999999989</v>
      </c>
      <c r="AO5" s="11">
        <f t="shared" si="12"/>
        <v>35.584999999999994</v>
      </c>
      <c r="AP5" s="11">
        <f t="shared" si="13"/>
        <v>51.827500000000001</v>
      </c>
      <c r="AQ5" s="11">
        <f t="shared" si="14"/>
        <v>11.45</v>
      </c>
      <c r="AR5" s="11">
        <f t="shared" si="15"/>
        <v>42.02</v>
      </c>
      <c r="AS5" s="11">
        <f t="shared" si="16"/>
        <v>93.847499999999997</v>
      </c>
      <c r="AT5" s="42"/>
      <c r="AU5" s="42"/>
      <c r="AV5" s="42"/>
      <c r="AW5" s="42"/>
      <c r="AX5" s="42"/>
      <c r="AY5" s="42">
        <v>13.8</v>
      </c>
      <c r="AZ5" s="42">
        <v>6.6</v>
      </c>
      <c r="BA5" s="42">
        <v>12.1</v>
      </c>
      <c r="BB5" s="42">
        <v>13.935</v>
      </c>
      <c r="BC5" s="42">
        <v>0</v>
      </c>
      <c r="BD5" s="42">
        <v>16.899999999999999</v>
      </c>
      <c r="BE5" s="42">
        <v>8.3000000000000007</v>
      </c>
      <c r="BF5" s="42">
        <v>15.6</v>
      </c>
      <c r="BG5" s="42">
        <v>17.254999999999999</v>
      </c>
      <c r="BH5" s="42">
        <v>0</v>
      </c>
      <c r="BI5" s="42">
        <v>3.1</v>
      </c>
      <c r="BJ5" s="42">
        <v>1.7</v>
      </c>
      <c r="BK5" s="42">
        <v>3.8</v>
      </c>
      <c r="BL5" s="42">
        <v>3.55</v>
      </c>
      <c r="BM5" s="42">
        <v>0</v>
      </c>
      <c r="BN5" s="46"/>
      <c r="BO5" s="14" t="str">
        <f t="shared" si="17"/>
        <v/>
      </c>
      <c r="BP5" s="14">
        <f t="shared" si="18"/>
        <v>12.1</v>
      </c>
      <c r="BQ5" s="14">
        <f t="shared" si="19"/>
        <v>46.435000000000002</v>
      </c>
      <c r="BR5" s="14">
        <f t="shared" si="20"/>
        <v>15.6</v>
      </c>
      <c r="BS5" s="14">
        <f t="shared" si="21"/>
        <v>58.054999999999993</v>
      </c>
      <c r="BT5" s="14">
        <f t="shared" si="22"/>
        <v>58.054999999999993</v>
      </c>
      <c r="BU5" s="14">
        <f t="shared" si="23"/>
        <v>3.8</v>
      </c>
      <c r="BV5" s="14">
        <f t="shared" si="24"/>
        <v>12.149999999999999</v>
      </c>
      <c r="BW5" s="14">
        <f t="shared" si="25"/>
        <v>70.204999999999984</v>
      </c>
      <c r="BX5" s="38"/>
      <c r="BY5" s="38"/>
      <c r="BZ5" s="38"/>
      <c r="CA5" s="38"/>
      <c r="CB5" s="38"/>
      <c r="CC5" s="38">
        <v>13.8</v>
      </c>
      <c r="CD5" s="38">
        <v>6.6</v>
      </c>
      <c r="CE5" s="38">
        <v>12.1</v>
      </c>
      <c r="CF5" s="38">
        <v>13.935</v>
      </c>
      <c r="CG5" s="38">
        <v>0</v>
      </c>
      <c r="CH5" s="38">
        <v>16.899999999999999</v>
      </c>
      <c r="CI5" s="38">
        <v>8.3000000000000007</v>
      </c>
      <c r="CJ5" s="38">
        <v>15.6</v>
      </c>
      <c r="CK5" s="38">
        <v>17.254999999999999</v>
      </c>
      <c r="CL5" s="38">
        <v>0</v>
      </c>
      <c r="CM5" s="38">
        <v>3.1</v>
      </c>
      <c r="CN5" s="38">
        <v>1.7</v>
      </c>
      <c r="CO5" s="38">
        <v>3.8</v>
      </c>
      <c r="CP5" s="38">
        <v>3.55</v>
      </c>
      <c r="CQ5" s="38">
        <v>0</v>
      </c>
      <c r="CR5" s="45"/>
      <c r="CS5" s="11" t="str">
        <f t="shared" si="26"/>
        <v/>
      </c>
      <c r="CT5" s="11">
        <f t="shared" si="27"/>
        <v>12.1</v>
      </c>
      <c r="CU5" s="11">
        <f t="shared" si="28"/>
        <v>46.435000000000002</v>
      </c>
      <c r="CV5" s="11">
        <f t="shared" si="29"/>
        <v>15.6</v>
      </c>
      <c r="CW5" s="11">
        <f t="shared" si="30"/>
        <v>58.054999999999993</v>
      </c>
      <c r="CX5" s="11">
        <f t="shared" si="31"/>
        <v>58.054999999999993</v>
      </c>
      <c r="CY5" s="11">
        <f t="shared" si="32"/>
        <v>3.8</v>
      </c>
      <c r="CZ5" s="11">
        <f t="shared" si="33"/>
        <v>12.149999999999999</v>
      </c>
      <c r="DA5" s="11">
        <f t="shared" si="34"/>
        <v>70.204999999999984</v>
      </c>
      <c r="DB5" s="19" t="str">
        <f t="shared" si="35"/>
        <v/>
      </c>
      <c r="DC5" s="19" t="str">
        <f t="shared" si="36"/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11" t="str">
        <f t="shared" si="37"/>
        <v/>
      </c>
      <c r="DT5" s="11" t="str">
        <f t="shared" si="38"/>
        <v/>
      </c>
      <c r="DU5" s="11" t="str">
        <f t="shared" si="39"/>
        <v/>
      </c>
      <c r="DV5" s="11" t="str">
        <f t="shared" si="40"/>
        <v/>
      </c>
      <c r="DW5" s="11" t="str">
        <f t="shared" si="41"/>
        <v/>
      </c>
      <c r="DX5" s="11" t="str">
        <f t="shared" si="42"/>
        <v/>
      </c>
      <c r="DY5" s="11" t="str">
        <f t="shared" si="43"/>
        <v/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 t="shared" si="44"/>
        <v/>
      </c>
      <c r="EP5" s="14" t="str">
        <f t="shared" si="45"/>
        <v/>
      </c>
      <c r="EQ5" s="14" t="str">
        <f t="shared" si="46"/>
        <v/>
      </c>
      <c r="ER5" s="14" t="str">
        <f t="shared" si="47"/>
        <v/>
      </c>
      <c r="ES5" s="14" t="str">
        <f t="shared" si="48"/>
        <v/>
      </c>
      <c r="ET5" s="14" t="str">
        <f t="shared" si="49"/>
        <v/>
      </c>
      <c r="EU5" s="14" t="str">
        <f t="shared" si="50"/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 t="shared" si="51"/>
        <v/>
      </c>
      <c r="FL5" s="11" t="str">
        <f t="shared" si="52"/>
        <v/>
      </c>
      <c r="FM5" s="11" t="str">
        <f t="shared" si="53"/>
        <v/>
      </c>
      <c r="FN5" s="11" t="str">
        <f t="shared" si="54"/>
        <v/>
      </c>
      <c r="FO5" s="11" t="str">
        <f t="shared" si="55"/>
        <v/>
      </c>
      <c r="FP5" s="11" t="str">
        <f t="shared" si="56"/>
        <v/>
      </c>
      <c r="FQ5" s="11" t="str">
        <f t="shared" si="57"/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 t="shared" si="58"/>
        <v/>
      </c>
      <c r="GH5" s="14" t="str">
        <f t="shared" si="59"/>
        <v/>
      </c>
      <c r="GI5" s="14" t="str">
        <f t="shared" si="60"/>
        <v/>
      </c>
      <c r="GJ5" s="14" t="str">
        <f t="shared" si="61"/>
        <v/>
      </c>
      <c r="GK5" s="14" t="str">
        <f t="shared" si="62"/>
        <v/>
      </c>
      <c r="GL5" s="14" t="str">
        <f t="shared" si="63"/>
        <v/>
      </c>
      <c r="GM5" s="14" t="str">
        <f t="shared" si="64"/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 t="shared" si="65"/>
        <v/>
      </c>
      <c r="HD5" s="11" t="str">
        <f t="shared" si="66"/>
        <v/>
      </c>
      <c r="HE5" s="11" t="str">
        <f t="shared" si="67"/>
        <v/>
      </c>
      <c r="HF5" s="11" t="str">
        <f t="shared" si="68"/>
        <v/>
      </c>
      <c r="HG5" s="11" t="str">
        <f t="shared" si="69"/>
        <v/>
      </c>
      <c r="HH5" s="11" t="str">
        <f t="shared" si="70"/>
        <v/>
      </c>
      <c r="HI5" s="11" t="str">
        <f t="shared" si="71"/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 t="shared" si="72"/>
        <v/>
      </c>
      <c r="HZ5" s="14" t="str">
        <f t="shared" si="73"/>
        <v/>
      </c>
      <c r="IA5" s="14" t="str">
        <f t="shared" si="74"/>
        <v/>
      </c>
      <c r="IB5" s="14" t="str">
        <f t="shared" si="75"/>
        <v/>
      </c>
      <c r="IC5" s="14" t="str">
        <f t="shared" si="76"/>
        <v/>
      </c>
      <c r="ID5" s="14" t="str">
        <f t="shared" si="77"/>
        <v/>
      </c>
      <c r="IE5" s="14" t="str">
        <f t="shared" si="78"/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 t="shared" si="79"/>
        <v/>
      </c>
      <c r="IV5" s="11" t="str">
        <f t="shared" si="80"/>
        <v/>
      </c>
      <c r="IW5" s="11" t="str">
        <f t="shared" si="81"/>
        <v/>
      </c>
      <c r="IX5" s="11" t="str">
        <f t="shared" si="82"/>
        <v/>
      </c>
      <c r="IY5" s="11" t="str">
        <f t="shared" si="83"/>
        <v/>
      </c>
      <c r="IZ5" s="11" t="str">
        <f t="shared" si="84"/>
        <v/>
      </c>
      <c r="JA5" s="11" t="str">
        <f t="shared" si="85"/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 t="shared" si="86"/>
        <v/>
      </c>
      <c r="JR5" s="14" t="str">
        <f t="shared" si="87"/>
        <v/>
      </c>
      <c r="JS5" s="14" t="str">
        <f t="shared" si="88"/>
        <v/>
      </c>
      <c r="JT5" s="14" t="str">
        <f t="shared" si="89"/>
        <v/>
      </c>
      <c r="JU5" s="14" t="str">
        <f t="shared" si="90"/>
        <v/>
      </c>
      <c r="JV5" s="14" t="str">
        <f t="shared" si="91"/>
        <v/>
      </c>
      <c r="JW5" s="14" t="str">
        <f t="shared" si="92"/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 t="shared" si="93"/>
        <v/>
      </c>
      <c r="KN5" s="11" t="str">
        <f t="shared" si="94"/>
        <v/>
      </c>
      <c r="KO5" s="11" t="str">
        <f t="shared" si="95"/>
        <v/>
      </c>
      <c r="KP5" s="11" t="str">
        <f t="shared" si="96"/>
        <v/>
      </c>
      <c r="KQ5" s="11" t="str">
        <f t="shared" si="97"/>
        <v/>
      </c>
      <c r="KR5" s="11" t="str">
        <f t="shared" si="98"/>
        <v/>
      </c>
      <c r="KS5" s="11" t="str">
        <f t="shared" si="99"/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 t="shared" si="100"/>
        <v/>
      </c>
      <c r="LJ5" s="14" t="str">
        <f t="shared" si="101"/>
        <v/>
      </c>
      <c r="LK5" s="14" t="str">
        <f t="shared" si="102"/>
        <v/>
      </c>
      <c r="LL5" s="14" t="str">
        <f t="shared" si="103"/>
        <v/>
      </c>
      <c r="LM5" s="14" t="str">
        <f t="shared" si="104"/>
        <v/>
      </c>
      <c r="LN5" s="14" t="str">
        <f t="shared" si="105"/>
        <v/>
      </c>
      <c r="LO5" s="14" t="str">
        <f t="shared" si="106"/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25"/>
      <c r="MA5" s="25"/>
      <c r="MB5" s="25"/>
      <c r="MC5" s="25"/>
      <c r="MD5" s="25"/>
      <c r="ME5" s="11" t="str">
        <f t="shared" si="107"/>
        <v/>
      </c>
      <c r="MF5" s="11" t="str">
        <f t="shared" si="108"/>
        <v/>
      </c>
      <c r="MG5" s="11" t="str">
        <f t="shared" si="109"/>
        <v/>
      </c>
      <c r="MH5" s="11" t="str">
        <f t="shared" si="110"/>
        <v/>
      </c>
      <c r="MI5" s="11" t="str">
        <f t="shared" si="111"/>
        <v/>
      </c>
      <c r="MJ5" s="11" t="str">
        <f t="shared" si="112"/>
        <v/>
      </c>
      <c r="MK5" s="11" t="str">
        <f t="shared" si="113"/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 t="shared" si="114"/>
        <v/>
      </c>
      <c r="NB5" s="14" t="str">
        <f t="shared" si="115"/>
        <v/>
      </c>
      <c r="NC5" s="14" t="str">
        <f t="shared" si="116"/>
        <v/>
      </c>
      <c r="ND5" s="14" t="str">
        <f t="shared" si="117"/>
        <v/>
      </c>
      <c r="NE5" s="14" t="str">
        <f t="shared" si="118"/>
        <v/>
      </c>
      <c r="NF5" s="14" t="str">
        <f t="shared" si="119"/>
        <v/>
      </c>
      <c r="NG5" s="14" t="str">
        <f t="shared" si="120"/>
        <v/>
      </c>
      <c r="NH5" s="38">
        <f t="shared" si="121"/>
        <v>0</v>
      </c>
      <c r="NI5" s="38">
        <f t="shared" si="122"/>
        <v>0</v>
      </c>
      <c r="NJ5" s="38">
        <f t="shared" si="123"/>
        <v>0</v>
      </c>
      <c r="NK5" s="38">
        <f t="shared" si="124"/>
        <v>0</v>
      </c>
      <c r="NL5" s="38">
        <f t="shared" si="125"/>
        <v>0</v>
      </c>
      <c r="NM5" s="38">
        <f t="shared" si="126"/>
        <v>13.8</v>
      </c>
      <c r="NN5" s="38">
        <f t="shared" si="127"/>
        <v>6.6</v>
      </c>
      <c r="NO5" s="38">
        <f t="shared" si="128"/>
        <v>12.1</v>
      </c>
      <c r="NP5" s="38">
        <f t="shared" si="129"/>
        <v>13.935</v>
      </c>
      <c r="NQ5" s="38">
        <f t="shared" si="130"/>
        <v>0</v>
      </c>
      <c r="NR5" s="38">
        <f t="shared" si="131"/>
        <v>16.899999999999999</v>
      </c>
      <c r="NS5" s="38">
        <f t="shared" si="132"/>
        <v>8.3000000000000007</v>
      </c>
      <c r="NT5" s="38">
        <f t="shared" si="133"/>
        <v>15.6</v>
      </c>
      <c r="NU5" s="38">
        <f t="shared" si="134"/>
        <v>17.254999999999999</v>
      </c>
      <c r="NV5" s="38">
        <f t="shared" si="135"/>
        <v>0</v>
      </c>
      <c r="NW5" s="38">
        <f t="shared" si="136"/>
        <v>3.1</v>
      </c>
      <c r="NX5" s="38">
        <f t="shared" si="137"/>
        <v>1.7</v>
      </c>
      <c r="NY5" s="38">
        <f t="shared" si="138"/>
        <v>3.8</v>
      </c>
      <c r="NZ5" s="38">
        <f t="shared" si="139"/>
        <v>3.55</v>
      </c>
      <c r="OA5" s="38">
        <f t="shared" si="140"/>
        <v>0</v>
      </c>
      <c r="OB5" s="45" t="s">
        <v>46</v>
      </c>
      <c r="OC5" s="11" t="str">
        <f t="shared" si="141"/>
        <v/>
      </c>
      <c r="OD5" s="11">
        <f t="shared" si="142"/>
        <v>12.1</v>
      </c>
      <c r="OE5" s="11">
        <f t="shared" si="143"/>
        <v>46.435000000000002</v>
      </c>
      <c r="OF5" s="11">
        <f t="shared" si="144"/>
        <v>15.6</v>
      </c>
      <c r="OG5" s="11">
        <f t="shared" si="145"/>
        <v>58.054999999999993</v>
      </c>
      <c r="OH5" s="11" t="e">
        <f t="shared" si="146"/>
        <v>#VALUE!</v>
      </c>
      <c r="OI5" s="11">
        <f t="shared" si="147"/>
        <v>3.8</v>
      </c>
      <c r="OJ5" s="11">
        <f t="shared" si="148"/>
        <v>12.149999999999999</v>
      </c>
      <c r="OK5" s="11" t="e">
        <f t="shared" ref="OK5:OK10" si="149">IF(SUM(OH5,OJ5)&gt;0,SUM(OH5,OJ5),"")</f>
        <v>#VALUE!</v>
      </c>
    </row>
    <row r="6" spans="1:401" x14ac:dyDescent="0.2">
      <c r="A6" s="5" cm="1">
        <f t="array" ref="A6">IF(AND(F6="P",G6="P"),SUMPRODUCT((F$4:F$32="P")*(G$4:G$32="P")*(E$4:E$32&gt;E6))+1,IF(G6="P",SUMPRODUCT((F$4:F$32="")*(G$4:G$32="P")*(E$4:E$32&gt;E6))+1+SUMPRODUCT((F$4:F$32="P")*(G$4:G$32="P")),""))</f>
        <v>3</v>
      </c>
      <c r="B6" s="6" t="s">
        <v>107</v>
      </c>
      <c r="C6" s="7" t="s">
        <v>108</v>
      </c>
      <c r="D6" s="22">
        <v>2004</v>
      </c>
      <c r="E6" s="15">
        <f t="shared" si="0"/>
        <v>106.780005367</v>
      </c>
      <c r="F6" s="3" t="str">
        <f t="shared" si="1"/>
        <v>P</v>
      </c>
      <c r="G6" s="3" t="str">
        <f t="shared" si="2"/>
        <v>P</v>
      </c>
      <c r="H6" s="67" t="str">
        <f t="shared" si="3"/>
        <v>National Team</v>
      </c>
      <c r="I6" s="14">
        <f t="shared" si="4"/>
        <v>53.67</v>
      </c>
      <c r="J6" s="14" t="str">
        <f t="shared" si="5"/>
        <v>2022 Elite Canada</v>
      </c>
      <c r="K6" s="14">
        <f>IF(COUNT(AM6,AO6,AR6,BQ6,BS6,BV6,CU6,CW6,CZ6)&gt;1,LARGE((AM6,AO6,AR6,BQ6,BS6,BV6,CU6,CW6,CZ6),2),0)</f>
        <v>53.11</v>
      </c>
      <c r="L6" s="14" t="str">
        <f t="shared" si="6"/>
        <v>2021 Elite Canada</v>
      </c>
      <c r="M6" s="14" t="str">
        <f t="shared" si="7"/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>
        <v>14.9</v>
      </c>
      <c r="Q6" s="38">
        <v>8.4</v>
      </c>
      <c r="R6" s="38">
        <v>3.8</v>
      </c>
      <c r="S6" s="38">
        <v>16.71</v>
      </c>
      <c r="T6" s="38">
        <v>0</v>
      </c>
      <c r="U6" s="38">
        <v>15</v>
      </c>
      <c r="V6" s="38">
        <v>8.3000000000000007</v>
      </c>
      <c r="W6" s="38">
        <v>12.5</v>
      </c>
      <c r="X6" s="38">
        <v>16.074999999999999</v>
      </c>
      <c r="Y6" s="38">
        <v>0</v>
      </c>
      <c r="Z6" s="38"/>
      <c r="AA6" s="38"/>
      <c r="AB6" s="38"/>
      <c r="AC6" s="38"/>
      <c r="AD6" s="38"/>
      <c r="AE6" s="38">
        <v>15.8</v>
      </c>
      <c r="AF6" s="38">
        <v>8.6</v>
      </c>
      <c r="AG6" s="38">
        <v>12.5</v>
      </c>
      <c r="AH6" s="38">
        <v>16.21</v>
      </c>
      <c r="AI6" s="38">
        <v>0</v>
      </c>
      <c r="AJ6" s="45"/>
      <c r="AK6" s="11">
        <f t="shared" si="8"/>
        <v>43.81</v>
      </c>
      <c r="AL6" s="11">
        <f t="shared" si="9"/>
        <v>12.5</v>
      </c>
      <c r="AM6" s="11">
        <f t="shared" si="10"/>
        <v>51.875</v>
      </c>
      <c r="AN6" s="11" t="str">
        <f t="shared" si="11"/>
        <v/>
      </c>
      <c r="AO6" s="11" t="str">
        <f t="shared" si="12"/>
        <v/>
      </c>
      <c r="AP6" s="11">
        <f t="shared" si="13"/>
        <v>95.685000000000002</v>
      </c>
      <c r="AQ6" s="11">
        <f t="shared" si="14"/>
        <v>12.5</v>
      </c>
      <c r="AR6" s="11">
        <f t="shared" si="15"/>
        <v>53.11</v>
      </c>
      <c r="AS6" s="11">
        <f t="shared" si="16"/>
        <v>148.79500000000002</v>
      </c>
      <c r="AT6" s="42">
        <v>16.899999999999999</v>
      </c>
      <c r="AU6" s="42">
        <v>9.1</v>
      </c>
      <c r="AV6" s="42">
        <v>3.8</v>
      </c>
      <c r="AW6" s="42">
        <v>17.094999999999999</v>
      </c>
      <c r="AX6" s="42">
        <v>0</v>
      </c>
      <c r="AY6" s="42">
        <v>7.4</v>
      </c>
      <c r="AZ6" s="42">
        <v>4.4000000000000004</v>
      </c>
      <c r="BA6" s="42">
        <v>6.9</v>
      </c>
      <c r="BB6" s="42">
        <v>8.3949999999999996</v>
      </c>
      <c r="BC6" s="42">
        <v>0</v>
      </c>
      <c r="BD6" s="42"/>
      <c r="BE6" s="42"/>
      <c r="BF6" s="42"/>
      <c r="BG6" s="42"/>
      <c r="BH6" s="42"/>
      <c r="BI6" s="42">
        <v>5.4</v>
      </c>
      <c r="BJ6" s="42">
        <v>3.1</v>
      </c>
      <c r="BK6" s="42">
        <v>5.6</v>
      </c>
      <c r="BL6" s="42">
        <v>6.63</v>
      </c>
      <c r="BM6" s="42">
        <v>0</v>
      </c>
      <c r="BN6" s="46"/>
      <c r="BO6" s="14">
        <f t="shared" si="17"/>
        <v>46.894999999999996</v>
      </c>
      <c r="BP6" s="14">
        <f t="shared" si="18"/>
        <v>6.9</v>
      </c>
      <c r="BQ6" s="14">
        <f t="shared" si="19"/>
        <v>27.095000000000002</v>
      </c>
      <c r="BR6" s="14" t="str">
        <f t="shared" si="20"/>
        <v/>
      </c>
      <c r="BS6" s="14" t="str">
        <f t="shared" si="21"/>
        <v/>
      </c>
      <c r="BT6" s="14">
        <f t="shared" si="22"/>
        <v>73.989999999999995</v>
      </c>
      <c r="BU6" s="14">
        <f t="shared" si="23"/>
        <v>5.6</v>
      </c>
      <c r="BV6" s="14">
        <f t="shared" si="24"/>
        <v>20.73</v>
      </c>
      <c r="BW6" s="14">
        <f t="shared" si="25"/>
        <v>94.72</v>
      </c>
      <c r="BX6" s="38">
        <v>14.8</v>
      </c>
      <c r="BY6" s="38">
        <v>9.1</v>
      </c>
      <c r="BZ6" s="38">
        <v>2.9</v>
      </c>
      <c r="CA6" s="38">
        <v>16.86</v>
      </c>
      <c r="CB6" s="38">
        <v>0</v>
      </c>
      <c r="CC6" s="38">
        <v>13.9</v>
      </c>
      <c r="CD6" s="38">
        <v>8.8000000000000007</v>
      </c>
      <c r="CE6" s="38">
        <v>14</v>
      </c>
      <c r="CF6" s="38">
        <v>15.96</v>
      </c>
      <c r="CG6" s="38">
        <v>0</v>
      </c>
      <c r="CH6" s="38"/>
      <c r="CI6" s="38"/>
      <c r="CJ6" s="38"/>
      <c r="CK6" s="38"/>
      <c r="CL6" s="38"/>
      <c r="CM6" s="38">
        <v>14.5</v>
      </c>
      <c r="CN6" s="38">
        <v>9.1</v>
      </c>
      <c r="CO6" s="38">
        <v>13.8</v>
      </c>
      <c r="CP6" s="38">
        <v>16.27</v>
      </c>
      <c r="CQ6" s="38">
        <v>0</v>
      </c>
      <c r="CR6" s="45"/>
      <c r="CS6" s="11">
        <f t="shared" si="26"/>
        <v>43.66</v>
      </c>
      <c r="CT6" s="11">
        <f t="shared" si="27"/>
        <v>14</v>
      </c>
      <c r="CU6" s="11">
        <f t="shared" si="28"/>
        <v>52.660000000000004</v>
      </c>
      <c r="CV6" s="11" t="str">
        <f t="shared" si="29"/>
        <v/>
      </c>
      <c r="CW6" s="11" t="str">
        <f t="shared" si="30"/>
        <v/>
      </c>
      <c r="CX6" s="11">
        <f t="shared" si="31"/>
        <v>96.32</v>
      </c>
      <c r="CY6" s="11">
        <f t="shared" si="32"/>
        <v>13.8</v>
      </c>
      <c r="CZ6" s="11">
        <f t="shared" si="33"/>
        <v>53.67</v>
      </c>
      <c r="DA6" s="11">
        <f t="shared" si="34"/>
        <v>149.99</v>
      </c>
      <c r="DB6" s="19" t="str">
        <f t="shared" si="35"/>
        <v/>
      </c>
      <c r="DC6" s="19" t="str">
        <f t="shared" si="36"/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 t="shared" si="37"/>
        <v/>
      </c>
      <c r="DT6" s="11" t="str">
        <f t="shared" si="38"/>
        <v/>
      </c>
      <c r="DU6" s="11" t="str">
        <f t="shared" si="39"/>
        <v/>
      </c>
      <c r="DV6" s="11" t="str">
        <f t="shared" si="40"/>
        <v/>
      </c>
      <c r="DW6" s="11" t="str">
        <f t="shared" si="41"/>
        <v/>
      </c>
      <c r="DX6" s="11" t="str">
        <f t="shared" si="42"/>
        <v/>
      </c>
      <c r="DY6" s="11" t="str">
        <f t="shared" si="43"/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 t="shared" si="44"/>
        <v/>
      </c>
      <c r="EP6" s="14" t="str">
        <f t="shared" si="45"/>
        <v/>
      </c>
      <c r="EQ6" s="14" t="str">
        <f t="shared" si="46"/>
        <v/>
      </c>
      <c r="ER6" s="14" t="str">
        <f t="shared" si="47"/>
        <v/>
      </c>
      <c r="ES6" s="14" t="str">
        <f t="shared" si="48"/>
        <v/>
      </c>
      <c r="ET6" s="14" t="str">
        <f t="shared" si="49"/>
        <v/>
      </c>
      <c r="EU6" s="14" t="str">
        <f t="shared" si="50"/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 t="shared" si="51"/>
        <v/>
      </c>
      <c r="FL6" s="11" t="str">
        <f t="shared" si="52"/>
        <v/>
      </c>
      <c r="FM6" s="11" t="str">
        <f t="shared" si="53"/>
        <v/>
      </c>
      <c r="FN6" s="11" t="str">
        <f t="shared" si="54"/>
        <v/>
      </c>
      <c r="FO6" s="11" t="str">
        <f t="shared" si="55"/>
        <v/>
      </c>
      <c r="FP6" s="11" t="str">
        <f t="shared" si="56"/>
        <v/>
      </c>
      <c r="FQ6" s="11" t="str">
        <f t="shared" si="57"/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 t="shared" si="58"/>
        <v/>
      </c>
      <c r="GH6" s="14" t="str">
        <f t="shared" si="59"/>
        <v/>
      </c>
      <c r="GI6" s="14" t="str">
        <f t="shared" si="60"/>
        <v/>
      </c>
      <c r="GJ6" s="14" t="str">
        <f t="shared" si="61"/>
        <v/>
      </c>
      <c r="GK6" s="14" t="str">
        <f t="shared" si="62"/>
        <v/>
      </c>
      <c r="GL6" s="14" t="str">
        <f t="shared" si="63"/>
        <v/>
      </c>
      <c r="GM6" s="14" t="str">
        <f t="shared" si="64"/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 t="shared" si="65"/>
        <v/>
      </c>
      <c r="HD6" s="11" t="str">
        <f t="shared" si="66"/>
        <v/>
      </c>
      <c r="HE6" s="11" t="str">
        <f t="shared" si="67"/>
        <v/>
      </c>
      <c r="HF6" s="11" t="str">
        <f t="shared" si="68"/>
        <v/>
      </c>
      <c r="HG6" s="11" t="str">
        <f t="shared" si="69"/>
        <v/>
      </c>
      <c r="HH6" s="11" t="str">
        <f t="shared" si="70"/>
        <v/>
      </c>
      <c r="HI6" s="11" t="str">
        <f t="shared" si="71"/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 t="shared" si="72"/>
        <v/>
      </c>
      <c r="HZ6" s="14" t="str">
        <f t="shared" si="73"/>
        <v/>
      </c>
      <c r="IA6" s="14" t="str">
        <f t="shared" si="74"/>
        <v/>
      </c>
      <c r="IB6" s="14" t="str">
        <f t="shared" si="75"/>
        <v/>
      </c>
      <c r="IC6" s="14" t="str">
        <f t="shared" si="76"/>
        <v/>
      </c>
      <c r="ID6" s="14" t="str">
        <f t="shared" si="77"/>
        <v/>
      </c>
      <c r="IE6" s="14" t="str">
        <f t="shared" si="78"/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 t="shared" si="79"/>
        <v/>
      </c>
      <c r="IV6" s="11" t="str">
        <f t="shared" si="80"/>
        <v/>
      </c>
      <c r="IW6" s="11" t="str">
        <f t="shared" si="81"/>
        <v/>
      </c>
      <c r="IX6" s="11" t="str">
        <f t="shared" si="82"/>
        <v/>
      </c>
      <c r="IY6" s="11" t="str">
        <f t="shared" si="83"/>
        <v/>
      </c>
      <c r="IZ6" s="11" t="str">
        <f t="shared" si="84"/>
        <v/>
      </c>
      <c r="JA6" s="11" t="str">
        <f t="shared" si="85"/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 t="shared" si="86"/>
        <v/>
      </c>
      <c r="JR6" s="14" t="str">
        <f t="shared" si="87"/>
        <v/>
      </c>
      <c r="JS6" s="14" t="str">
        <f t="shared" si="88"/>
        <v/>
      </c>
      <c r="JT6" s="14" t="str">
        <f t="shared" si="89"/>
        <v/>
      </c>
      <c r="JU6" s="14" t="str">
        <f t="shared" si="90"/>
        <v/>
      </c>
      <c r="JV6" s="14" t="str">
        <f t="shared" si="91"/>
        <v/>
      </c>
      <c r="JW6" s="14" t="str">
        <f t="shared" si="92"/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 t="shared" si="93"/>
        <v/>
      </c>
      <c r="KN6" s="11" t="str">
        <f t="shared" si="94"/>
        <v/>
      </c>
      <c r="KO6" s="11" t="str">
        <f t="shared" si="95"/>
        <v/>
      </c>
      <c r="KP6" s="11" t="str">
        <f t="shared" si="96"/>
        <v/>
      </c>
      <c r="KQ6" s="11" t="str">
        <f t="shared" si="97"/>
        <v/>
      </c>
      <c r="KR6" s="11" t="str">
        <f t="shared" si="98"/>
        <v/>
      </c>
      <c r="KS6" s="11" t="str">
        <f t="shared" si="99"/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 t="shared" si="100"/>
        <v/>
      </c>
      <c r="LJ6" s="14" t="str">
        <f t="shared" si="101"/>
        <v/>
      </c>
      <c r="LK6" s="14" t="str">
        <f t="shared" si="102"/>
        <v/>
      </c>
      <c r="LL6" s="14" t="str">
        <f t="shared" si="103"/>
        <v/>
      </c>
      <c r="LM6" s="14" t="str">
        <f t="shared" si="104"/>
        <v/>
      </c>
      <c r="LN6" s="14" t="str">
        <f t="shared" si="105"/>
        <v/>
      </c>
      <c r="LO6" s="14" t="str">
        <f t="shared" si="106"/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 t="shared" si="107"/>
        <v/>
      </c>
      <c r="MF6" s="11" t="str">
        <f t="shared" si="108"/>
        <v/>
      </c>
      <c r="MG6" s="11" t="str">
        <f t="shared" si="109"/>
        <v/>
      </c>
      <c r="MH6" s="11" t="str">
        <f t="shared" si="110"/>
        <v/>
      </c>
      <c r="MI6" s="11" t="str">
        <f t="shared" si="111"/>
        <v/>
      </c>
      <c r="MJ6" s="11" t="str">
        <f t="shared" si="112"/>
        <v/>
      </c>
      <c r="MK6" s="11" t="str">
        <f t="shared" si="113"/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 t="shared" si="114"/>
        <v/>
      </c>
      <c r="NB6" s="14" t="str">
        <f t="shared" si="115"/>
        <v/>
      </c>
      <c r="NC6" s="14" t="str">
        <f t="shared" si="116"/>
        <v/>
      </c>
      <c r="ND6" s="14" t="str">
        <f t="shared" si="117"/>
        <v/>
      </c>
      <c r="NE6" s="14" t="str">
        <f t="shared" si="118"/>
        <v/>
      </c>
      <c r="NF6" s="14" t="str">
        <f t="shared" si="119"/>
        <v/>
      </c>
      <c r="NG6" s="14" t="str">
        <f t="shared" si="120"/>
        <v/>
      </c>
      <c r="NH6" s="38">
        <f t="shared" si="121"/>
        <v>15.85</v>
      </c>
      <c r="NI6" s="38">
        <f t="shared" si="122"/>
        <v>9.1</v>
      </c>
      <c r="NJ6" s="38">
        <f t="shared" si="123"/>
        <v>3.3499999999999996</v>
      </c>
      <c r="NK6" s="38">
        <f t="shared" si="124"/>
        <v>16.977499999999999</v>
      </c>
      <c r="NL6" s="38">
        <f t="shared" si="125"/>
        <v>0</v>
      </c>
      <c r="NM6" s="38">
        <f t="shared" si="126"/>
        <v>10.65</v>
      </c>
      <c r="NN6" s="38">
        <f t="shared" si="127"/>
        <v>6.6000000000000005</v>
      </c>
      <c r="NO6" s="38">
        <f t="shared" si="128"/>
        <v>10.45</v>
      </c>
      <c r="NP6" s="38">
        <f t="shared" si="129"/>
        <v>12.1775</v>
      </c>
      <c r="NQ6" s="38">
        <f t="shared" si="130"/>
        <v>0</v>
      </c>
      <c r="NR6" s="38">
        <f t="shared" si="131"/>
        <v>0</v>
      </c>
      <c r="NS6" s="38">
        <f t="shared" si="132"/>
        <v>0</v>
      </c>
      <c r="NT6" s="38">
        <f t="shared" si="133"/>
        <v>0</v>
      </c>
      <c r="NU6" s="38">
        <f t="shared" si="134"/>
        <v>0</v>
      </c>
      <c r="NV6" s="38">
        <f t="shared" si="135"/>
        <v>0</v>
      </c>
      <c r="NW6" s="38">
        <f t="shared" si="136"/>
        <v>9.9499999999999993</v>
      </c>
      <c r="NX6" s="38">
        <f t="shared" si="137"/>
        <v>6.1</v>
      </c>
      <c r="NY6" s="38">
        <f t="shared" si="138"/>
        <v>9.6999999999999993</v>
      </c>
      <c r="NZ6" s="38">
        <f t="shared" si="139"/>
        <v>11.45</v>
      </c>
      <c r="OA6" s="38">
        <f t="shared" si="140"/>
        <v>0</v>
      </c>
      <c r="OB6" s="45" t="s">
        <v>46</v>
      </c>
      <c r="OC6" s="11">
        <f t="shared" si="141"/>
        <v>45.277499999999996</v>
      </c>
      <c r="OD6" s="11">
        <f t="shared" si="142"/>
        <v>10.45</v>
      </c>
      <c r="OE6" s="11">
        <f t="shared" si="143"/>
        <v>39.877499999999998</v>
      </c>
      <c r="OF6" s="11" t="str">
        <f t="shared" si="144"/>
        <v/>
      </c>
      <c r="OG6" s="11" t="str">
        <f t="shared" si="145"/>
        <v/>
      </c>
      <c r="OH6" s="11">
        <f t="shared" si="146"/>
        <v>85.155000000000001</v>
      </c>
      <c r="OI6" s="11">
        <f t="shared" si="147"/>
        <v>9.6999999999999993</v>
      </c>
      <c r="OJ6" s="11">
        <f t="shared" si="148"/>
        <v>37.199999999999996</v>
      </c>
      <c r="OK6" s="11">
        <f t="shared" si="149"/>
        <v>122.35499999999999</v>
      </c>
    </row>
    <row r="7" spans="1:401" x14ac:dyDescent="0.2">
      <c r="A7" s="5" cm="1">
        <f t="array" ref="A7">IF(AND(F7="P",G7="P"),SUMPRODUCT((F$4:F$32="P")*(G$4:G$32="P")*(E$4:E$32&gt;E7))+1,IF(G7="P",SUMPRODUCT((F$4:F$32="")*(G$4:G$32="P")*(E$4:E$32&gt;E7))+1+SUMPRODUCT((F$4:F$32="P")*(G$4:G$32="P")),""))</f>
        <v>4</v>
      </c>
      <c r="B7" s="6" t="s">
        <v>99</v>
      </c>
      <c r="C7" s="7" t="s">
        <v>5</v>
      </c>
      <c r="D7" s="22">
        <v>2001</v>
      </c>
      <c r="E7" s="15">
        <f t="shared" si="0"/>
        <v>106.6750053895</v>
      </c>
      <c r="F7" s="3" t="str">
        <f t="shared" si="1"/>
        <v>P</v>
      </c>
      <c r="G7" s="3" t="str">
        <f t="shared" si="2"/>
        <v>P</v>
      </c>
      <c r="H7" s="67" t="str">
        <f t="shared" si="3"/>
        <v>National Team</v>
      </c>
      <c r="I7" s="14">
        <f t="shared" si="4"/>
        <v>53.894999999999996</v>
      </c>
      <c r="J7" s="14" t="str">
        <f t="shared" si="5"/>
        <v>2021 Elite Canada</v>
      </c>
      <c r="K7" s="14">
        <f>IF(COUNT(AM7,AO7,AR7,BQ7,BS7,BV7,CU7,CW7,CZ7)&gt;1,LARGE((AM7,AO7,AR7,BQ7,BS7,BV7,CU7,CW7,CZ7),2),0)</f>
        <v>52.78</v>
      </c>
      <c r="L7" s="14" t="str">
        <f t="shared" si="6"/>
        <v>2021 Canadian Championships</v>
      </c>
      <c r="M7" s="14" t="str">
        <f t="shared" si="7"/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>
        <v>14.8</v>
      </c>
      <c r="Q7" s="38">
        <v>9</v>
      </c>
      <c r="R7" s="38">
        <v>4.5</v>
      </c>
      <c r="S7" s="38">
        <v>16.695</v>
      </c>
      <c r="T7" s="38">
        <v>0</v>
      </c>
      <c r="U7" s="38">
        <v>14</v>
      </c>
      <c r="V7" s="38">
        <v>9.1</v>
      </c>
      <c r="W7" s="38">
        <v>14.4</v>
      </c>
      <c r="X7" s="38">
        <v>16.395</v>
      </c>
      <c r="Y7" s="38">
        <v>0</v>
      </c>
      <c r="Z7" s="38">
        <v>2.8</v>
      </c>
      <c r="AA7" s="38">
        <v>1.7</v>
      </c>
      <c r="AB7" s="38">
        <v>3.2</v>
      </c>
      <c r="AC7" s="38">
        <v>3.4550000000000001</v>
      </c>
      <c r="AD7" s="38">
        <v>0</v>
      </c>
      <c r="AE7" s="38">
        <v>4.3</v>
      </c>
      <c r="AF7" s="38">
        <v>3</v>
      </c>
      <c r="AG7" s="38">
        <v>3.8</v>
      </c>
      <c r="AH7" s="38">
        <v>4.95</v>
      </c>
      <c r="AI7" s="38">
        <v>0</v>
      </c>
      <c r="AJ7" s="45"/>
      <c r="AK7" s="11">
        <f t="shared" si="8"/>
        <v>44.995000000000005</v>
      </c>
      <c r="AL7" s="11">
        <f t="shared" si="9"/>
        <v>14.4</v>
      </c>
      <c r="AM7" s="11">
        <f t="shared" si="10"/>
        <v>53.894999999999996</v>
      </c>
      <c r="AN7" s="11">
        <f t="shared" si="11"/>
        <v>3.2</v>
      </c>
      <c r="AO7" s="11">
        <f t="shared" si="12"/>
        <v>11.155000000000001</v>
      </c>
      <c r="AP7" s="11">
        <f t="shared" si="13"/>
        <v>98.89</v>
      </c>
      <c r="AQ7" s="11">
        <f t="shared" si="14"/>
        <v>3.8</v>
      </c>
      <c r="AR7" s="11">
        <f t="shared" si="15"/>
        <v>16.05</v>
      </c>
      <c r="AS7" s="11">
        <f t="shared" si="16"/>
        <v>114.94</v>
      </c>
      <c r="AT7" s="42">
        <v>17.899999999999999</v>
      </c>
      <c r="AU7" s="42">
        <v>9.6999999999999993</v>
      </c>
      <c r="AV7" s="42">
        <v>3.7</v>
      </c>
      <c r="AW7" s="42">
        <v>16.79</v>
      </c>
      <c r="AX7" s="42">
        <v>0</v>
      </c>
      <c r="AY7" s="42">
        <v>6.6</v>
      </c>
      <c r="AZ7" s="42">
        <v>4.7</v>
      </c>
      <c r="BA7" s="42">
        <v>6.8</v>
      </c>
      <c r="BB7" s="42">
        <v>8.0250000000000004</v>
      </c>
      <c r="BC7" s="42">
        <v>0</v>
      </c>
      <c r="BD7" s="42">
        <v>13.8</v>
      </c>
      <c r="BE7" s="42">
        <v>8.8000000000000007</v>
      </c>
      <c r="BF7" s="42">
        <v>14.2</v>
      </c>
      <c r="BG7" s="42">
        <v>15.98</v>
      </c>
      <c r="BH7" s="42">
        <v>0</v>
      </c>
      <c r="BI7" s="42">
        <v>12.2</v>
      </c>
      <c r="BJ7" s="42">
        <v>7.9</v>
      </c>
      <c r="BK7" s="42">
        <v>11.9</v>
      </c>
      <c r="BL7" s="42">
        <v>14.44</v>
      </c>
      <c r="BM7" s="42">
        <v>0</v>
      </c>
      <c r="BN7" s="46"/>
      <c r="BO7" s="14">
        <f t="shared" si="17"/>
        <v>48.089999999999996</v>
      </c>
      <c r="BP7" s="14">
        <f t="shared" si="18"/>
        <v>6.8</v>
      </c>
      <c r="BQ7" s="14">
        <f t="shared" si="19"/>
        <v>26.125</v>
      </c>
      <c r="BR7" s="14">
        <f t="shared" si="20"/>
        <v>14.2</v>
      </c>
      <c r="BS7" s="14">
        <f t="shared" si="21"/>
        <v>52.78</v>
      </c>
      <c r="BT7" s="14">
        <f t="shared" si="22"/>
        <v>100.87</v>
      </c>
      <c r="BU7" s="14">
        <f t="shared" si="23"/>
        <v>11.9</v>
      </c>
      <c r="BV7" s="14">
        <f t="shared" si="24"/>
        <v>46.44</v>
      </c>
      <c r="BW7" s="14">
        <f t="shared" si="25"/>
        <v>147.31</v>
      </c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45"/>
      <c r="CS7" s="11" t="str">
        <f t="shared" si="26"/>
        <v/>
      </c>
      <c r="CT7" s="11" t="str">
        <f t="shared" si="27"/>
        <v/>
      </c>
      <c r="CU7" s="11" t="str">
        <f t="shared" si="28"/>
        <v/>
      </c>
      <c r="CV7" s="11" t="str">
        <f t="shared" si="29"/>
        <v/>
      </c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19" t="str">
        <f t="shared" si="35"/>
        <v/>
      </c>
      <c r="DC7" s="19" t="str">
        <f t="shared" si="36"/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 t="shared" si="37"/>
        <v/>
      </c>
      <c r="DT7" s="11" t="str">
        <f t="shared" si="38"/>
        <v/>
      </c>
      <c r="DU7" s="11" t="str">
        <f t="shared" si="39"/>
        <v/>
      </c>
      <c r="DV7" s="11" t="str">
        <f t="shared" si="40"/>
        <v/>
      </c>
      <c r="DW7" s="11" t="str">
        <f t="shared" si="41"/>
        <v/>
      </c>
      <c r="DX7" s="11" t="str">
        <f t="shared" si="42"/>
        <v/>
      </c>
      <c r="DY7" s="11" t="str">
        <f t="shared" si="43"/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 t="shared" si="44"/>
        <v/>
      </c>
      <c r="EP7" s="14" t="str">
        <f t="shared" si="45"/>
        <v/>
      </c>
      <c r="EQ7" s="14" t="str">
        <f t="shared" si="46"/>
        <v/>
      </c>
      <c r="ER7" s="14" t="str">
        <f t="shared" si="47"/>
        <v/>
      </c>
      <c r="ES7" s="14" t="str">
        <f t="shared" si="48"/>
        <v/>
      </c>
      <c r="ET7" s="14" t="str">
        <f t="shared" si="49"/>
        <v/>
      </c>
      <c r="EU7" s="14" t="str">
        <f t="shared" si="50"/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 t="shared" si="51"/>
        <v/>
      </c>
      <c r="FL7" s="11" t="str">
        <f t="shared" si="52"/>
        <v/>
      </c>
      <c r="FM7" s="11" t="str">
        <f t="shared" si="53"/>
        <v/>
      </c>
      <c r="FN7" s="11" t="str">
        <f t="shared" si="54"/>
        <v/>
      </c>
      <c r="FO7" s="11" t="str">
        <f t="shared" si="55"/>
        <v/>
      </c>
      <c r="FP7" s="11" t="str">
        <f t="shared" si="56"/>
        <v/>
      </c>
      <c r="FQ7" s="11" t="str">
        <f t="shared" si="57"/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 t="shared" si="58"/>
        <v/>
      </c>
      <c r="GH7" s="14" t="str">
        <f t="shared" si="59"/>
        <v/>
      </c>
      <c r="GI7" s="14" t="str">
        <f t="shared" si="60"/>
        <v/>
      </c>
      <c r="GJ7" s="14" t="str">
        <f t="shared" si="61"/>
        <v/>
      </c>
      <c r="GK7" s="14" t="str">
        <f t="shared" si="62"/>
        <v/>
      </c>
      <c r="GL7" s="14" t="str">
        <f t="shared" si="63"/>
        <v/>
      </c>
      <c r="GM7" s="14" t="str">
        <f t="shared" si="64"/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 t="shared" si="65"/>
        <v/>
      </c>
      <c r="HD7" s="11" t="str">
        <f t="shared" si="66"/>
        <v/>
      </c>
      <c r="HE7" s="11" t="str">
        <f t="shared" si="67"/>
        <v/>
      </c>
      <c r="HF7" s="11" t="str">
        <f t="shared" si="68"/>
        <v/>
      </c>
      <c r="HG7" s="11" t="str">
        <f t="shared" si="69"/>
        <v/>
      </c>
      <c r="HH7" s="11" t="str">
        <f t="shared" si="70"/>
        <v/>
      </c>
      <c r="HI7" s="11" t="str">
        <f t="shared" si="71"/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 t="shared" si="72"/>
        <v/>
      </c>
      <c r="HZ7" s="14" t="str">
        <f t="shared" si="73"/>
        <v/>
      </c>
      <c r="IA7" s="14" t="str">
        <f t="shared" si="74"/>
        <v/>
      </c>
      <c r="IB7" s="14" t="str">
        <f t="shared" si="75"/>
        <v/>
      </c>
      <c r="IC7" s="14" t="str">
        <f t="shared" si="76"/>
        <v/>
      </c>
      <c r="ID7" s="14" t="str">
        <f t="shared" si="77"/>
        <v/>
      </c>
      <c r="IE7" s="14" t="str">
        <f t="shared" si="78"/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 t="shared" si="79"/>
        <v/>
      </c>
      <c r="IV7" s="11" t="str">
        <f t="shared" si="80"/>
        <v/>
      </c>
      <c r="IW7" s="11" t="str">
        <f t="shared" si="81"/>
        <v/>
      </c>
      <c r="IX7" s="11" t="str">
        <f t="shared" si="82"/>
        <v/>
      </c>
      <c r="IY7" s="11" t="str">
        <f t="shared" si="83"/>
        <v/>
      </c>
      <c r="IZ7" s="11" t="str">
        <f t="shared" si="84"/>
        <v/>
      </c>
      <c r="JA7" s="11" t="str">
        <f t="shared" si="85"/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 t="shared" si="86"/>
        <v/>
      </c>
      <c r="JR7" s="14" t="str">
        <f t="shared" si="87"/>
        <v/>
      </c>
      <c r="JS7" s="14" t="str">
        <f t="shared" si="88"/>
        <v/>
      </c>
      <c r="JT7" s="14" t="str">
        <f t="shared" si="89"/>
        <v/>
      </c>
      <c r="JU7" s="14" t="str">
        <f t="shared" si="90"/>
        <v/>
      </c>
      <c r="JV7" s="14" t="str">
        <f t="shared" si="91"/>
        <v/>
      </c>
      <c r="JW7" s="14" t="str">
        <f t="shared" si="92"/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 t="shared" si="93"/>
        <v/>
      </c>
      <c r="KN7" s="11" t="str">
        <f t="shared" si="94"/>
        <v/>
      </c>
      <c r="KO7" s="11" t="str">
        <f t="shared" si="95"/>
        <v/>
      </c>
      <c r="KP7" s="11" t="str">
        <f t="shared" si="96"/>
        <v/>
      </c>
      <c r="KQ7" s="11" t="str">
        <f t="shared" si="97"/>
        <v/>
      </c>
      <c r="KR7" s="11" t="str">
        <f t="shared" si="98"/>
        <v/>
      </c>
      <c r="KS7" s="11" t="str">
        <f t="shared" si="99"/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 t="shared" si="100"/>
        <v/>
      </c>
      <c r="LJ7" s="14" t="str">
        <f t="shared" si="101"/>
        <v/>
      </c>
      <c r="LK7" s="14" t="str">
        <f t="shared" si="102"/>
        <v/>
      </c>
      <c r="LL7" s="14" t="str">
        <f t="shared" si="103"/>
        <v/>
      </c>
      <c r="LM7" s="14" t="str">
        <f t="shared" si="104"/>
        <v/>
      </c>
      <c r="LN7" s="14" t="str">
        <f t="shared" si="105"/>
        <v/>
      </c>
      <c r="LO7" s="14" t="str">
        <f t="shared" si="106"/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 t="shared" si="107"/>
        <v/>
      </c>
      <c r="MF7" s="11" t="str">
        <f t="shared" si="108"/>
        <v/>
      </c>
      <c r="MG7" s="11" t="str">
        <f t="shared" si="109"/>
        <v/>
      </c>
      <c r="MH7" s="11" t="str">
        <f t="shared" si="110"/>
        <v/>
      </c>
      <c r="MI7" s="11" t="str">
        <f t="shared" si="111"/>
        <v/>
      </c>
      <c r="MJ7" s="11" t="str">
        <f t="shared" si="112"/>
        <v/>
      </c>
      <c r="MK7" s="11" t="str">
        <f t="shared" si="113"/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 t="shared" si="114"/>
        <v/>
      </c>
      <c r="NB7" s="14" t="str">
        <f t="shared" si="115"/>
        <v/>
      </c>
      <c r="NC7" s="14" t="str">
        <f t="shared" si="116"/>
        <v/>
      </c>
      <c r="ND7" s="14" t="str">
        <f t="shared" si="117"/>
        <v/>
      </c>
      <c r="NE7" s="14" t="str">
        <f t="shared" si="118"/>
        <v/>
      </c>
      <c r="NF7" s="14" t="str">
        <f t="shared" si="119"/>
        <v/>
      </c>
      <c r="NG7" s="14" t="str">
        <f t="shared" si="120"/>
        <v/>
      </c>
      <c r="NH7" s="38">
        <f t="shared" si="121"/>
        <v>8.9499999999999993</v>
      </c>
      <c r="NI7" s="38">
        <f t="shared" si="122"/>
        <v>4.8499999999999996</v>
      </c>
      <c r="NJ7" s="38">
        <f t="shared" si="123"/>
        <v>1.85</v>
      </c>
      <c r="NK7" s="38">
        <f t="shared" si="124"/>
        <v>8.3949999999999996</v>
      </c>
      <c r="NL7" s="38">
        <f t="shared" si="125"/>
        <v>0</v>
      </c>
      <c r="NM7" s="38">
        <f t="shared" si="126"/>
        <v>3.3</v>
      </c>
      <c r="NN7" s="38">
        <f t="shared" si="127"/>
        <v>2.35</v>
      </c>
      <c r="NO7" s="38">
        <f t="shared" si="128"/>
        <v>3.4</v>
      </c>
      <c r="NP7" s="38">
        <f t="shared" si="129"/>
        <v>4.0125000000000002</v>
      </c>
      <c r="NQ7" s="38">
        <f t="shared" si="130"/>
        <v>0</v>
      </c>
      <c r="NR7" s="38">
        <f t="shared" si="131"/>
        <v>6.9</v>
      </c>
      <c r="NS7" s="38">
        <f t="shared" si="132"/>
        <v>4.4000000000000004</v>
      </c>
      <c r="NT7" s="38">
        <f t="shared" si="133"/>
        <v>7.1</v>
      </c>
      <c r="NU7" s="38">
        <f t="shared" si="134"/>
        <v>7.99</v>
      </c>
      <c r="NV7" s="38">
        <f t="shared" si="135"/>
        <v>0</v>
      </c>
      <c r="NW7" s="38">
        <f t="shared" si="136"/>
        <v>6.1</v>
      </c>
      <c r="NX7" s="38">
        <f t="shared" si="137"/>
        <v>3.95</v>
      </c>
      <c r="NY7" s="38">
        <f t="shared" si="138"/>
        <v>5.95</v>
      </c>
      <c r="NZ7" s="38">
        <f t="shared" si="139"/>
        <v>7.22</v>
      </c>
      <c r="OA7" s="38">
        <f t="shared" si="140"/>
        <v>0</v>
      </c>
      <c r="OB7" s="45" t="s">
        <v>46</v>
      </c>
      <c r="OC7" s="11">
        <f t="shared" si="141"/>
        <v>24.044999999999998</v>
      </c>
      <c r="OD7" s="11">
        <f t="shared" si="142"/>
        <v>3.4</v>
      </c>
      <c r="OE7" s="11">
        <f t="shared" si="143"/>
        <v>13.0625</v>
      </c>
      <c r="OF7" s="11">
        <f t="shared" si="144"/>
        <v>7.1</v>
      </c>
      <c r="OG7" s="11">
        <f t="shared" si="145"/>
        <v>26.39</v>
      </c>
      <c r="OH7" s="11">
        <f t="shared" si="146"/>
        <v>50.435000000000002</v>
      </c>
      <c r="OI7" s="11">
        <f t="shared" si="147"/>
        <v>5.95</v>
      </c>
      <c r="OJ7" s="11">
        <f t="shared" si="148"/>
        <v>23.22</v>
      </c>
      <c r="OK7" s="11">
        <f t="shared" si="149"/>
        <v>73.655000000000001</v>
      </c>
    </row>
    <row r="8" spans="1:401" x14ac:dyDescent="0.2">
      <c r="A8" s="5" cm="1">
        <f t="array" ref="A8">IF(AND(F8="P",G8="P"),SUMPRODUCT((F$4:F$32="P")*(G$4:G$32="P")*(E$4:E$32&gt;E8))+1,IF(G8="P",SUMPRODUCT((F$4:F$32="")*(G$4:G$32="P")*(E$4:E$32&gt;E8))+1+SUMPRODUCT((F$4:F$32="P")*(G$4:G$32="P")),""))</f>
        <v>5</v>
      </c>
      <c r="B8" s="6" t="s">
        <v>67</v>
      </c>
      <c r="C8" s="7" t="s">
        <v>3</v>
      </c>
      <c r="D8" s="7">
        <v>2003</v>
      </c>
      <c r="E8" s="15">
        <f t="shared" si="0"/>
        <v>106.67500535300002</v>
      </c>
      <c r="F8" s="3" t="str">
        <f t="shared" si="1"/>
        <v>P</v>
      </c>
      <c r="G8" s="3" t="str">
        <f t="shared" si="2"/>
        <v>P</v>
      </c>
      <c r="H8" s="67" t="str">
        <f t="shared" si="3"/>
        <v>National Team</v>
      </c>
      <c r="I8" s="14">
        <f t="shared" si="4"/>
        <v>53.53</v>
      </c>
      <c r="J8" s="14" t="str">
        <f t="shared" si="5"/>
        <v>2021 Canadian Championships</v>
      </c>
      <c r="K8" s="14">
        <f>IF(COUNT(AM8,AO8,AR8,BQ8,BS8,BV8,CU8,CW8,CZ8)&gt;1,LARGE((AM8,AO8,AR8,BQ8,BS8,BV8,CU8,CW8,CZ8),2),0)</f>
        <v>53.145000000000003</v>
      </c>
      <c r="L8" s="14" t="str">
        <f t="shared" si="6"/>
        <v>2021 Elite Canada</v>
      </c>
      <c r="M8" s="14" t="str">
        <f t="shared" si="7"/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15.4</v>
      </c>
      <c r="Q8" s="38">
        <v>8.9</v>
      </c>
      <c r="R8" s="38">
        <v>5.2</v>
      </c>
      <c r="S8" s="38">
        <v>16.46</v>
      </c>
      <c r="T8" s="38">
        <v>0</v>
      </c>
      <c r="U8" s="38">
        <v>14</v>
      </c>
      <c r="V8" s="38">
        <v>8.8000000000000007</v>
      </c>
      <c r="W8" s="38">
        <v>14.4</v>
      </c>
      <c r="X8" s="38">
        <v>15.945</v>
      </c>
      <c r="Y8" s="38">
        <v>0</v>
      </c>
      <c r="Z8" s="38">
        <v>13.2</v>
      </c>
      <c r="AA8" s="38">
        <v>8.6999999999999993</v>
      </c>
      <c r="AB8" s="38">
        <v>14.4</v>
      </c>
      <c r="AC8" s="38">
        <v>15.88</v>
      </c>
      <c r="AD8" s="38">
        <v>0</v>
      </c>
      <c r="AE8" s="38">
        <v>10.8</v>
      </c>
      <c r="AF8" s="38">
        <v>8.3000000000000007</v>
      </c>
      <c r="AG8" s="38">
        <v>14.4</v>
      </c>
      <c r="AH8" s="38">
        <v>16.024999999999999</v>
      </c>
      <c r="AI8" s="38">
        <v>0</v>
      </c>
      <c r="AJ8" s="45"/>
      <c r="AK8" s="11">
        <f t="shared" si="8"/>
        <v>45.96</v>
      </c>
      <c r="AL8" s="11">
        <f t="shared" si="9"/>
        <v>14.4</v>
      </c>
      <c r="AM8" s="11">
        <f t="shared" si="10"/>
        <v>53.145000000000003</v>
      </c>
      <c r="AN8" s="11">
        <f t="shared" si="11"/>
        <v>14.4</v>
      </c>
      <c r="AO8" s="11">
        <f t="shared" si="12"/>
        <v>52.18</v>
      </c>
      <c r="AP8" s="11">
        <f t="shared" si="13"/>
        <v>99.105000000000004</v>
      </c>
      <c r="AQ8" s="11">
        <f t="shared" si="14"/>
        <v>14.4</v>
      </c>
      <c r="AR8" s="11">
        <f t="shared" si="15"/>
        <v>49.524999999999999</v>
      </c>
      <c r="AS8" s="11">
        <f t="shared" si="16"/>
        <v>148.63</v>
      </c>
      <c r="AT8" s="42">
        <v>15.4</v>
      </c>
      <c r="AU8" s="42">
        <v>8.1999999999999993</v>
      </c>
      <c r="AV8" s="42">
        <v>3.8</v>
      </c>
      <c r="AW8" s="42">
        <v>14.565</v>
      </c>
      <c r="AX8" s="42">
        <v>0</v>
      </c>
      <c r="AY8" s="42">
        <v>14.3</v>
      </c>
      <c r="AZ8" s="42">
        <v>9</v>
      </c>
      <c r="BA8" s="42">
        <v>14.4</v>
      </c>
      <c r="BB8" s="42">
        <v>15.83</v>
      </c>
      <c r="BC8" s="42">
        <v>0</v>
      </c>
      <c r="BD8" s="42">
        <v>2.9</v>
      </c>
      <c r="BE8" s="42">
        <v>1.7</v>
      </c>
      <c r="BF8" s="42">
        <v>3.4</v>
      </c>
      <c r="BG8" s="42">
        <v>3.4</v>
      </c>
      <c r="BH8" s="42">
        <v>0</v>
      </c>
      <c r="BI8" s="42">
        <v>13.4</v>
      </c>
      <c r="BJ8" s="42">
        <v>8.5</v>
      </c>
      <c r="BK8" s="42">
        <v>14.4</v>
      </c>
      <c r="BL8" s="42">
        <v>15.62</v>
      </c>
      <c r="BM8" s="42">
        <v>0</v>
      </c>
      <c r="BN8" s="46"/>
      <c r="BO8" s="14">
        <f t="shared" si="17"/>
        <v>41.965000000000003</v>
      </c>
      <c r="BP8" s="14">
        <f t="shared" si="18"/>
        <v>14.4</v>
      </c>
      <c r="BQ8" s="14">
        <f t="shared" si="19"/>
        <v>53.53</v>
      </c>
      <c r="BR8" s="14">
        <f t="shared" si="20"/>
        <v>3.4</v>
      </c>
      <c r="BS8" s="14">
        <f t="shared" si="21"/>
        <v>11.4</v>
      </c>
      <c r="BT8" s="14">
        <f t="shared" si="22"/>
        <v>95.495000000000005</v>
      </c>
      <c r="BU8" s="14">
        <f t="shared" si="23"/>
        <v>14.4</v>
      </c>
      <c r="BV8" s="14">
        <f t="shared" si="24"/>
        <v>51.919999999999995</v>
      </c>
      <c r="BW8" s="14">
        <f t="shared" si="25"/>
        <v>147.41499999999999</v>
      </c>
      <c r="BX8" s="38"/>
      <c r="BY8" s="38"/>
      <c r="BZ8" s="38"/>
      <c r="CA8" s="38"/>
      <c r="CB8" s="38"/>
      <c r="CC8" s="38">
        <v>6.8</v>
      </c>
      <c r="CD8" s="38">
        <v>4.5999999999999996</v>
      </c>
      <c r="CE8" s="38">
        <v>8.1999999999999993</v>
      </c>
      <c r="CF8" s="38">
        <v>8.0500000000000007</v>
      </c>
      <c r="CG8" s="38">
        <v>0</v>
      </c>
      <c r="CH8" s="38">
        <v>10.8</v>
      </c>
      <c r="CI8" s="38">
        <v>8.9</v>
      </c>
      <c r="CJ8" s="38">
        <v>13.6</v>
      </c>
      <c r="CK8" s="38">
        <v>15.505000000000001</v>
      </c>
      <c r="CL8" s="38">
        <v>0</v>
      </c>
      <c r="CM8" s="38"/>
      <c r="CN8" s="38"/>
      <c r="CO8" s="38"/>
      <c r="CP8" s="38"/>
      <c r="CQ8" s="38"/>
      <c r="CR8" s="45"/>
      <c r="CS8" s="11" t="str">
        <f t="shared" si="26"/>
        <v/>
      </c>
      <c r="CT8" s="11">
        <f t="shared" si="27"/>
        <v>8.1999999999999993</v>
      </c>
      <c r="CU8" s="11">
        <f t="shared" si="28"/>
        <v>27.65</v>
      </c>
      <c r="CV8" s="11">
        <f t="shared" si="29"/>
        <v>13.6</v>
      </c>
      <c r="CW8" s="11">
        <f t="shared" si="30"/>
        <v>48.805000000000007</v>
      </c>
      <c r="CX8" s="11">
        <f t="shared" si="31"/>
        <v>48.805000000000007</v>
      </c>
      <c r="CY8" s="11" t="str">
        <f t="shared" si="32"/>
        <v/>
      </c>
      <c r="CZ8" s="11" t="str">
        <f t="shared" si="33"/>
        <v/>
      </c>
      <c r="DA8" s="11">
        <f t="shared" si="34"/>
        <v>48.805000000000007</v>
      </c>
      <c r="DB8" s="19" t="str">
        <f t="shared" si="35"/>
        <v/>
      </c>
      <c r="DC8" s="19" t="str">
        <f t="shared" si="36"/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11" t="str">
        <f t="shared" si="37"/>
        <v/>
      </c>
      <c r="DT8" s="11" t="str">
        <f t="shared" si="38"/>
        <v/>
      </c>
      <c r="DU8" s="11" t="str">
        <f t="shared" si="39"/>
        <v/>
      </c>
      <c r="DV8" s="11" t="str">
        <f t="shared" si="40"/>
        <v/>
      </c>
      <c r="DW8" s="11" t="str">
        <f t="shared" si="41"/>
        <v/>
      </c>
      <c r="DX8" s="11" t="str">
        <f t="shared" si="42"/>
        <v/>
      </c>
      <c r="DY8" s="11" t="str">
        <f t="shared" si="43"/>
        <v/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 t="shared" si="44"/>
        <v/>
      </c>
      <c r="EP8" s="14" t="str">
        <f t="shared" si="45"/>
        <v/>
      </c>
      <c r="EQ8" s="14" t="str">
        <f t="shared" si="46"/>
        <v/>
      </c>
      <c r="ER8" s="14" t="str">
        <f t="shared" si="47"/>
        <v/>
      </c>
      <c r="ES8" s="14" t="str">
        <f t="shared" si="48"/>
        <v/>
      </c>
      <c r="ET8" s="14" t="str">
        <f t="shared" si="49"/>
        <v/>
      </c>
      <c r="EU8" s="14" t="str">
        <f t="shared" si="50"/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 t="shared" si="51"/>
        <v/>
      </c>
      <c r="FL8" s="11" t="str">
        <f t="shared" si="52"/>
        <v/>
      </c>
      <c r="FM8" s="11" t="str">
        <f t="shared" si="53"/>
        <v/>
      </c>
      <c r="FN8" s="11" t="str">
        <f t="shared" si="54"/>
        <v/>
      </c>
      <c r="FO8" s="11" t="str">
        <f t="shared" si="55"/>
        <v/>
      </c>
      <c r="FP8" s="11" t="str">
        <f t="shared" si="56"/>
        <v/>
      </c>
      <c r="FQ8" s="11" t="str">
        <f t="shared" si="57"/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 t="shared" si="58"/>
        <v/>
      </c>
      <c r="GH8" s="14" t="str">
        <f t="shared" si="59"/>
        <v/>
      </c>
      <c r="GI8" s="14" t="str">
        <f t="shared" si="60"/>
        <v/>
      </c>
      <c r="GJ8" s="14" t="str">
        <f t="shared" si="61"/>
        <v/>
      </c>
      <c r="GK8" s="14" t="str">
        <f t="shared" si="62"/>
        <v/>
      </c>
      <c r="GL8" s="14" t="str">
        <f t="shared" si="63"/>
        <v/>
      </c>
      <c r="GM8" s="14" t="str">
        <f t="shared" si="64"/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 t="shared" si="65"/>
        <v/>
      </c>
      <c r="HD8" s="11" t="str">
        <f t="shared" si="66"/>
        <v/>
      </c>
      <c r="HE8" s="11" t="str">
        <f t="shared" si="67"/>
        <v/>
      </c>
      <c r="HF8" s="11" t="str">
        <f t="shared" si="68"/>
        <v/>
      </c>
      <c r="HG8" s="11" t="str">
        <f t="shared" si="69"/>
        <v/>
      </c>
      <c r="HH8" s="11" t="str">
        <f t="shared" si="70"/>
        <v/>
      </c>
      <c r="HI8" s="11" t="str">
        <f t="shared" si="71"/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 t="shared" si="72"/>
        <v/>
      </c>
      <c r="HZ8" s="14" t="str">
        <f t="shared" si="73"/>
        <v/>
      </c>
      <c r="IA8" s="14" t="str">
        <f t="shared" si="74"/>
        <v/>
      </c>
      <c r="IB8" s="14" t="str">
        <f t="shared" si="75"/>
        <v/>
      </c>
      <c r="IC8" s="14" t="str">
        <f t="shared" si="76"/>
        <v/>
      </c>
      <c r="ID8" s="14" t="str">
        <f t="shared" si="77"/>
        <v/>
      </c>
      <c r="IE8" s="14" t="str">
        <f t="shared" si="78"/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 t="shared" si="79"/>
        <v/>
      </c>
      <c r="IV8" s="11" t="str">
        <f t="shared" si="80"/>
        <v/>
      </c>
      <c r="IW8" s="11" t="str">
        <f t="shared" si="81"/>
        <v/>
      </c>
      <c r="IX8" s="11" t="str">
        <f t="shared" si="82"/>
        <v/>
      </c>
      <c r="IY8" s="11" t="str">
        <f t="shared" si="83"/>
        <v/>
      </c>
      <c r="IZ8" s="11" t="str">
        <f t="shared" si="84"/>
        <v/>
      </c>
      <c r="JA8" s="11" t="str">
        <f t="shared" si="85"/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 t="shared" si="86"/>
        <v/>
      </c>
      <c r="JR8" s="14" t="str">
        <f t="shared" si="87"/>
        <v/>
      </c>
      <c r="JS8" s="14" t="str">
        <f t="shared" si="88"/>
        <v/>
      </c>
      <c r="JT8" s="14" t="str">
        <f t="shared" si="89"/>
        <v/>
      </c>
      <c r="JU8" s="14" t="str">
        <f t="shared" si="90"/>
        <v/>
      </c>
      <c r="JV8" s="14" t="str">
        <f t="shared" si="91"/>
        <v/>
      </c>
      <c r="JW8" s="14" t="str">
        <f t="shared" si="92"/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 t="shared" si="93"/>
        <v/>
      </c>
      <c r="KN8" s="11" t="str">
        <f t="shared" si="94"/>
        <v/>
      </c>
      <c r="KO8" s="11" t="str">
        <f t="shared" si="95"/>
        <v/>
      </c>
      <c r="KP8" s="11" t="str">
        <f t="shared" si="96"/>
        <v/>
      </c>
      <c r="KQ8" s="11" t="str">
        <f t="shared" si="97"/>
        <v/>
      </c>
      <c r="KR8" s="11" t="str">
        <f t="shared" si="98"/>
        <v/>
      </c>
      <c r="KS8" s="11" t="str">
        <f t="shared" si="99"/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 t="shared" si="100"/>
        <v/>
      </c>
      <c r="LJ8" s="14" t="str">
        <f t="shared" si="101"/>
        <v/>
      </c>
      <c r="LK8" s="14" t="str">
        <f t="shared" si="102"/>
        <v/>
      </c>
      <c r="LL8" s="14" t="str">
        <f t="shared" si="103"/>
        <v/>
      </c>
      <c r="LM8" s="14" t="str">
        <f t="shared" si="104"/>
        <v/>
      </c>
      <c r="LN8" s="14" t="str">
        <f t="shared" si="105"/>
        <v/>
      </c>
      <c r="LO8" s="14" t="str">
        <f t="shared" si="106"/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 t="shared" si="107"/>
        <v/>
      </c>
      <c r="MF8" s="11" t="str">
        <f t="shared" si="108"/>
        <v/>
      </c>
      <c r="MG8" s="11" t="str">
        <f t="shared" si="109"/>
        <v/>
      </c>
      <c r="MH8" s="11" t="str">
        <f t="shared" si="110"/>
        <v/>
      </c>
      <c r="MI8" s="11" t="str">
        <f t="shared" si="111"/>
        <v/>
      </c>
      <c r="MJ8" s="11" t="str">
        <f t="shared" si="112"/>
        <v/>
      </c>
      <c r="MK8" s="11" t="str">
        <f t="shared" si="113"/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 t="shared" si="114"/>
        <v/>
      </c>
      <c r="NB8" s="14" t="str">
        <f t="shared" si="115"/>
        <v/>
      </c>
      <c r="NC8" s="14" t="str">
        <f t="shared" si="116"/>
        <v/>
      </c>
      <c r="ND8" s="14" t="str">
        <f t="shared" si="117"/>
        <v/>
      </c>
      <c r="NE8" s="14" t="str">
        <f t="shared" si="118"/>
        <v/>
      </c>
      <c r="NF8" s="14" t="str">
        <f t="shared" si="119"/>
        <v/>
      </c>
      <c r="NG8" s="14" t="str">
        <f t="shared" si="120"/>
        <v/>
      </c>
      <c r="NH8" s="38">
        <f t="shared" si="121"/>
        <v>7.7</v>
      </c>
      <c r="NI8" s="38">
        <f t="shared" si="122"/>
        <v>4.0999999999999996</v>
      </c>
      <c r="NJ8" s="38">
        <f t="shared" si="123"/>
        <v>1.9</v>
      </c>
      <c r="NK8" s="38">
        <f t="shared" si="124"/>
        <v>7.2824999999999998</v>
      </c>
      <c r="NL8" s="38">
        <f t="shared" si="125"/>
        <v>0</v>
      </c>
      <c r="NM8" s="38">
        <f t="shared" si="126"/>
        <v>10.55</v>
      </c>
      <c r="NN8" s="38">
        <f t="shared" si="127"/>
        <v>6.8</v>
      </c>
      <c r="NO8" s="38">
        <f t="shared" si="128"/>
        <v>11.3</v>
      </c>
      <c r="NP8" s="38">
        <f t="shared" si="129"/>
        <v>11.940000000000001</v>
      </c>
      <c r="NQ8" s="38">
        <f t="shared" si="130"/>
        <v>0</v>
      </c>
      <c r="NR8" s="38">
        <f t="shared" si="131"/>
        <v>6.8500000000000005</v>
      </c>
      <c r="NS8" s="38">
        <f t="shared" si="132"/>
        <v>5.3</v>
      </c>
      <c r="NT8" s="38">
        <f t="shared" si="133"/>
        <v>8.5</v>
      </c>
      <c r="NU8" s="38">
        <f t="shared" si="134"/>
        <v>9.4525000000000006</v>
      </c>
      <c r="NV8" s="38">
        <f t="shared" si="135"/>
        <v>0</v>
      </c>
      <c r="NW8" s="38">
        <f t="shared" si="136"/>
        <v>6.7</v>
      </c>
      <c r="NX8" s="38">
        <f t="shared" si="137"/>
        <v>4.25</v>
      </c>
      <c r="NY8" s="38">
        <f t="shared" si="138"/>
        <v>7.2</v>
      </c>
      <c r="NZ8" s="38">
        <f t="shared" si="139"/>
        <v>7.81</v>
      </c>
      <c r="OA8" s="38">
        <f t="shared" si="140"/>
        <v>0</v>
      </c>
      <c r="OB8" s="45" t="s">
        <v>46</v>
      </c>
      <c r="OC8" s="11">
        <f t="shared" si="141"/>
        <v>20.982500000000002</v>
      </c>
      <c r="OD8" s="11">
        <f t="shared" si="142"/>
        <v>11.3</v>
      </c>
      <c r="OE8" s="11">
        <f t="shared" si="143"/>
        <v>40.590000000000003</v>
      </c>
      <c r="OF8" s="11">
        <f t="shared" si="144"/>
        <v>8.5</v>
      </c>
      <c r="OG8" s="11">
        <f t="shared" si="145"/>
        <v>30.102499999999999</v>
      </c>
      <c r="OH8" s="11">
        <f t="shared" si="146"/>
        <v>61.572500000000005</v>
      </c>
      <c r="OI8" s="11">
        <f t="shared" si="147"/>
        <v>7.2</v>
      </c>
      <c r="OJ8" s="11">
        <f t="shared" si="148"/>
        <v>25.959999999999997</v>
      </c>
      <c r="OK8" s="11">
        <f t="shared" si="149"/>
        <v>87.532499999999999</v>
      </c>
    </row>
    <row r="9" spans="1:401" x14ac:dyDescent="0.2">
      <c r="A9" s="5" cm="1">
        <f t="array" ref="A9">IF(AND(F9="P",G9="P"),SUMPRODUCT((F$4:F$32="P")*(G$4:G$32="P")*(E$4:E$32&gt;E9))+1,IF(G9="P",SUMPRODUCT((F$4:F$32="")*(G$4:G$32="P")*(E$4:E$32&gt;E9))+1+SUMPRODUCT((F$4:F$32="P")*(G$4:G$32="P")),""))</f>
        <v>6</v>
      </c>
      <c r="B9" s="6" t="s">
        <v>152</v>
      </c>
      <c r="C9" s="7" t="s">
        <v>6</v>
      </c>
      <c r="D9" s="5">
        <v>2005</v>
      </c>
      <c r="E9" s="15">
        <f t="shared" si="0"/>
        <v>106.34500532999999</v>
      </c>
      <c r="F9" s="3" t="str">
        <f t="shared" si="1"/>
        <v>P</v>
      </c>
      <c r="G9" s="3" t="str">
        <f t="shared" si="2"/>
        <v>P</v>
      </c>
      <c r="H9" s="67" t="str">
        <f t="shared" si="3"/>
        <v>National Team</v>
      </c>
      <c r="I9" s="14">
        <f t="shared" si="4"/>
        <v>53.3</v>
      </c>
      <c r="J9" s="14" t="str">
        <f t="shared" si="5"/>
        <v>2021 Elite Canada</v>
      </c>
      <c r="K9" s="14">
        <f>IF(COUNT(AM9,AO9,AR9,BQ9,BS9,BV9,CU9,CW9,CZ9)&gt;1,LARGE((AM9,AO9,AR9,BQ9,BS9,BV9,CU9,CW9,CZ9),2),0)</f>
        <v>53.044999999999995</v>
      </c>
      <c r="L9" s="14" t="str">
        <f t="shared" si="6"/>
        <v>2022 Elite Canada</v>
      </c>
      <c r="M9" s="14" t="str">
        <f t="shared" si="7"/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18.399999999999999</v>
      </c>
      <c r="Q9" s="38">
        <v>9.6</v>
      </c>
      <c r="R9" s="38">
        <v>0</v>
      </c>
      <c r="S9" s="38">
        <v>16.015000000000001</v>
      </c>
      <c r="T9" s="38">
        <v>0</v>
      </c>
      <c r="U9" s="38">
        <v>16</v>
      </c>
      <c r="V9" s="38">
        <v>8.9</v>
      </c>
      <c r="W9" s="38">
        <v>13.5</v>
      </c>
      <c r="X9" s="38">
        <v>14.9</v>
      </c>
      <c r="Y9" s="38">
        <v>0</v>
      </c>
      <c r="Z9" s="38"/>
      <c r="AA9" s="38"/>
      <c r="AB9" s="38"/>
      <c r="AC9" s="38"/>
      <c r="AD9" s="38"/>
      <c r="AE9" s="38">
        <v>16.100000000000001</v>
      </c>
      <c r="AF9" s="38">
        <v>8.6</v>
      </c>
      <c r="AG9" s="38">
        <v>13.3</v>
      </c>
      <c r="AH9" s="38">
        <v>14.715</v>
      </c>
      <c r="AI9" s="38">
        <v>0</v>
      </c>
      <c r="AJ9" s="45"/>
      <c r="AK9" s="11">
        <f t="shared" si="8"/>
        <v>44.015000000000001</v>
      </c>
      <c r="AL9" s="11">
        <f t="shared" si="9"/>
        <v>13.5</v>
      </c>
      <c r="AM9" s="11">
        <f t="shared" si="10"/>
        <v>53.3</v>
      </c>
      <c r="AN9" s="11" t="str">
        <f t="shared" si="11"/>
        <v/>
      </c>
      <c r="AO9" s="11" t="str">
        <f t="shared" si="12"/>
        <v/>
      </c>
      <c r="AP9" s="11">
        <f t="shared" si="13"/>
        <v>97.314999999999998</v>
      </c>
      <c r="AQ9" s="11">
        <f t="shared" si="14"/>
        <v>13.3</v>
      </c>
      <c r="AR9" s="11">
        <f t="shared" si="15"/>
        <v>52.715000000000003</v>
      </c>
      <c r="AS9" s="11">
        <f t="shared" si="16"/>
        <v>150.03</v>
      </c>
      <c r="AT9" s="42">
        <v>18.5</v>
      </c>
      <c r="AU9" s="42">
        <v>9.5</v>
      </c>
      <c r="AV9" s="42">
        <v>0</v>
      </c>
      <c r="AW9" s="42">
        <v>16.05</v>
      </c>
      <c r="AX9" s="42">
        <v>0</v>
      </c>
      <c r="AY9" s="42">
        <v>15.3</v>
      </c>
      <c r="AZ9" s="42">
        <v>9.1</v>
      </c>
      <c r="BA9" s="42">
        <v>12.5</v>
      </c>
      <c r="BB9" s="42">
        <v>14.185</v>
      </c>
      <c r="BC9" s="42">
        <v>0</v>
      </c>
      <c r="BD9" s="42"/>
      <c r="BE9" s="42"/>
      <c r="BF9" s="42"/>
      <c r="BG9" s="42"/>
      <c r="BH9" s="42"/>
      <c r="BI9" s="42">
        <v>15.3</v>
      </c>
      <c r="BJ9" s="42">
        <v>8.9</v>
      </c>
      <c r="BK9" s="42">
        <v>13.5</v>
      </c>
      <c r="BL9" s="42">
        <v>14.605</v>
      </c>
      <c r="BM9" s="42">
        <v>0</v>
      </c>
      <c r="BN9" s="46"/>
      <c r="BO9" s="14">
        <f t="shared" si="17"/>
        <v>44.05</v>
      </c>
      <c r="BP9" s="14">
        <f t="shared" si="18"/>
        <v>12.5</v>
      </c>
      <c r="BQ9" s="14">
        <f t="shared" si="19"/>
        <v>51.085000000000001</v>
      </c>
      <c r="BR9" s="14" t="str">
        <f t="shared" si="20"/>
        <v/>
      </c>
      <c r="BS9" s="14" t="str">
        <f t="shared" si="21"/>
        <v/>
      </c>
      <c r="BT9" s="14">
        <f t="shared" si="22"/>
        <v>95.134999999999991</v>
      </c>
      <c r="BU9" s="14">
        <f t="shared" si="23"/>
        <v>13.5</v>
      </c>
      <c r="BV9" s="14">
        <f t="shared" si="24"/>
        <v>52.305000000000007</v>
      </c>
      <c r="BW9" s="14">
        <f t="shared" si="25"/>
        <v>147.44</v>
      </c>
      <c r="BX9" s="38"/>
      <c r="BY9" s="38"/>
      <c r="BZ9" s="38"/>
      <c r="CA9" s="38"/>
      <c r="CB9" s="38"/>
      <c r="CC9" s="38">
        <v>15.7</v>
      </c>
      <c r="CD9" s="38">
        <v>9.3000000000000007</v>
      </c>
      <c r="CE9" s="38">
        <v>13.5</v>
      </c>
      <c r="CF9" s="38">
        <v>14.744999999999999</v>
      </c>
      <c r="CG9" s="38">
        <v>0.2</v>
      </c>
      <c r="CH9" s="38">
        <v>13.9</v>
      </c>
      <c r="CI9" s="38">
        <v>9.1</v>
      </c>
      <c r="CJ9" s="38">
        <v>12.5</v>
      </c>
      <c r="CK9" s="38">
        <v>14.91</v>
      </c>
      <c r="CL9" s="38">
        <v>1</v>
      </c>
      <c r="CM9" s="38">
        <v>6.3</v>
      </c>
      <c r="CN9" s="38">
        <v>3.2</v>
      </c>
      <c r="CO9" s="38">
        <v>5.6</v>
      </c>
      <c r="CP9" s="38">
        <v>6.29</v>
      </c>
      <c r="CQ9" s="38">
        <v>0</v>
      </c>
      <c r="CR9" s="45"/>
      <c r="CS9" s="11" t="str">
        <f t="shared" si="26"/>
        <v/>
      </c>
      <c r="CT9" s="11">
        <f t="shared" si="27"/>
        <v>13.5</v>
      </c>
      <c r="CU9" s="11">
        <f t="shared" si="28"/>
        <v>53.044999999999995</v>
      </c>
      <c r="CV9" s="11">
        <f t="shared" si="29"/>
        <v>12.5</v>
      </c>
      <c r="CW9" s="11">
        <f t="shared" si="30"/>
        <v>49.41</v>
      </c>
      <c r="CX9" s="11">
        <f t="shared" si="31"/>
        <v>53.044999999999995</v>
      </c>
      <c r="CY9" s="11">
        <f t="shared" si="32"/>
        <v>5.6</v>
      </c>
      <c r="CZ9" s="11">
        <f t="shared" si="33"/>
        <v>21.39</v>
      </c>
      <c r="DA9" s="11">
        <f t="shared" si="34"/>
        <v>74.435000000000002</v>
      </c>
      <c r="DB9" s="19" t="str">
        <f t="shared" si="35"/>
        <v/>
      </c>
      <c r="DC9" s="19" t="str">
        <f t="shared" si="36"/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 t="shared" si="37"/>
        <v/>
      </c>
      <c r="DT9" s="11" t="str">
        <f t="shared" si="38"/>
        <v/>
      </c>
      <c r="DU9" s="11" t="str">
        <f t="shared" si="39"/>
        <v/>
      </c>
      <c r="DV9" s="11" t="str">
        <f t="shared" si="40"/>
        <v/>
      </c>
      <c r="DW9" s="11" t="str">
        <f t="shared" si="41"/>
        <v/>
      </c>
      <c r="DX9" s="11" t="str">
        <f t="shared" si="42"/>
        <v/>
      </c>
      <c r="DY9" s="11" t="str">
        <f t="shared" si="43"/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 t="shared" si="44"/>
        <v/>
      </c>
      <c r="EP9" s="14" t="str">
        <f t="shared" si="45"/>
        <v/>
      </c>
      <c r="EQ9" s="14" t="str">
        <f t="shared" si="46"/>
        <v/>
      </c>
      <c r="ER9" s="14" t="str">
        <f t="shared" si="47"/>
        <v/>
      </c>
      <c r="ES9" s="14" t="str">
        <f t="shared" si="48"/>
        <v/>
      </c>
      <c r="ET9" s="14" t="str">
        <f t="shared" si="49"/>
        <v/>
      </c>
      <c r="EU9" s="14" t="str">
        <f t="shared" si="50"/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 t="shared" si="51"/>
        <v/>
      </c>
      <c r="FL9" s="11" t="str">
        <f t="shared" si="52"/>
        <v/>
      </c>
      <c r="FM9" s="11" t="str">
        <f t="shared" si="53"/>
        <v/>
      </c>
      <c r="FN9" s="11" t="str">
        <f t="shared" si="54"/>
        <v/>
      </c>
      <c r="FO9" s="11" t="str">
        <f t="shared" si="55"/>
        <v/>
      </c>
      <c r="FP9" s="11" t="str">
        <f t="shared" si="56"/>
        <v/>
      </c>
      <c r="FQ9" s="11" t="str">
        <f t="shared" si="57"/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 t="shared" si="58"/>
        <v/>
      </c>
      <c r="GH9" s="14" t="str">
        <f t="shared" si="59"/>
        <v/>
      </c>
      <c r="GI9" s="14" t="str">
        <f t="shared" si="60"/>
        <v/>
      </c>
      <c r="GJ9" s="14" t="str">
        <f t="shared" si="61"/>
        <v/>
      </c>
      <c r="GK9" s="14" t="str">
        <f t="shared" si="62"/>
        <v/>
      </c>
      <c r="GL9" s="14" t="str">
        <f t="shared" si="63"/>
        <v/>
      </c>
      <c r="GM9" s="14" t="str">
        <f t="shared" si="64"/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 t="shared" si="65"/>
        <v/>
      </c>
      <c r="HD9" s="11" t="str">
        <f t="shared" si="66"/>
        <v/>
      </c>
      <c r="HE9" s="11" t="str">
        <f t="shared" si="67"/>
        <v/>
      </c>
      <c r="HF9" s="11" t="str">
        <f t="shared" si="68"/>
        <v/>
      </c>
      <c r="HG9" s="11" t="str">
        <f t="shared" si="69"/>
        <v/>
      </c>
      <c r="HH9" s="11" t="str">
        <f t="shared" si="70"/>
        <v/>
      </c>
      <c r="HI9" s="11" t="str">
        <f t="shared" si="71"/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 t="shared" si="72"/>
        <v/>
      </c>
      <c r="HZ9" s="14" t="str">
        <f t="shared" si="73"/>
        <v/>
      </c>
      <c r="IA9" s="14" t="str">
        <f t="shared" si="74"/>
        <v/>
      </c>
      <c r="IB9" s="14" t="str">
        <f t="shared" si="75"/>
        <v/>
      </c>
      <c r="IC9" s="14" t="str">
        <f t="shared" si="76"/>
        <v/>
      </c>
      <c r="ID9" s="14" t="str">
        <f t="shared" si="77"/>
        <v/>
      </c>
      <c r="IE9" s="14" t="str">
        <f t="shared" si="78"/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 t="shared" si="79"/>
        <v/>
      </c>
      <c r="IV9" s="11" t="str">
        <f t="shared" si="80"/>
        <v/>
      </c>
      <c r="IW9" s="11" t="str">
        <f t="shared" si="81"/>
        <v/>
      </c>
      <c r="IX9" s="11" t="str">
        <f t="shared" si="82"/>
        <v/>
      </c>
      <c r="IY9" s="11" t="str">
        <f t="shared" si="83"/>
        <v/>
      </c>
      <c r="IZ9" s="11" t="str">
        <f t="shared" si="84"/>
        <v/>
      </c>
      <c r="JA9" s="11" t="str">
        <f t="shared" si="85"/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 t="shared" si="86"/>
        <v/>
      </c>
      <c r="JR9" s="14" t="str">
        <f t="shared" si="87"/>
        <v/>
      </c>
      <c r="JS9" s="14" t="str">
        <f t="shared" si="88"/>
        <v/>
      </c>
      <c r="JT9" s="14" t="str">
        <f t="shared" si="89"/>
        <v/>
      </c>
      <c r="JU9" s="14" t="str">
        <f t="shared" si="90"/>
        <v/>
      </c>
      <c r="JV9" s="14" t="str">
        <f t="shared" si="91"/>
        <v/>
      </c>
      <c r="JW9" s="14" t="str">
        <f t="shared" si="92"/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 t="shared" si="93"/>
        <v/>
      </c>
      <c r="KN9" s="11" t="str">
        <f t="shared" si="94"/>
        <v/>
      </c>
      <c r="KO9" s="11" t="str">
        <f t="shared" si="95"/>
        <v/>
      </c>
      <c r="KP9" s="11" t="str">
        <f t="shared" si="96"/>
        <v/>
      </c>
      <c r="KQ9" s="11" t="str">
        <f t="shared" si="97"/>
        <v/>
      </c>
      <c r="KR9" s="11" t="str">
        <f t="shared" si="98"/>
        <v/>
      </c>
      <c r="KS9" s="11" t="str">
        <f t="shared" si="99"/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 t="shared" si="100"/>
        <v/>
      </c>
      <c r="LJ9" s="14" t="str">
        <f t="shared" si="101"/>
        <v/>
      </c>
      <c r="LK9" s="14" t="str">
        <f t="shared" si="102"/>
        <v/>
      </c>
      <c r="LL9" s="14" t="str">
        <f t="shared" si="103"/>
        <v/>
      </c>
      <c r="LM9" s="14" t="str">
        <f t="shared" si="104"/>
        <v/>
      </c>
      <c r="LN9" s="14" t="str">
        <f t="shared" si="105"/>
        <v/>
      </c>
      <c r="LO9" s="14" t="str">
        <f t="shared" si="106"/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 t="shared" si="107"/>
        <v/>
      </c>
      <c r="MF9" s="11" t="str">
        <f t="shared" si="108"/>
        <v/>
      </c>
      <c r="MG9" s="11" t="str">
        <f t="shared" si="109"/>
        <v/>
      </c>
      <c r="MH9" s="11" t="str">
        <f t="shared" si="110"/>
        <v/>
      </c>
      <c r="MI9" s="11" t="str">
        <f t="shared" si="111"/>
        <v/>
      </c>
      <c r="MJ9" s="11" t="str">
        <f t="shared" si="112"/>
        <v/>
      </c>
      <c r="MK9" s="11" t="str">
        <f t="shared" si="113"/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 t="shared" si="114"/>
        <v/>
      </c>
      <c r="NB9" s="14" t="str">
        <f t="shared" si="115"/>
        <v/>
      </c>
      <c r="NC9" s="14" t="str">
        <f t="shared" si="116"/>
        <v/>
      </c>
      <c r="ND9" s="14" t="str">
        <f t="shared" si="117"/>
        <v/>
      </c>
      <c r="NE9" s="14" t="str">
        <f t="shared" si="118"/>
        <v/>
      </c>
      <c r="NF9" s="14" t="str">
        <f t="shared" si="119"/>
        <v/>
      </c>
      <c r="NG9" s="14" t="str">
        <f t="shared" si="120"/>
        <v/>
      </c>
      <c r="NH9" s="38">
        <f t="shared" si="121"/>
        <v>9.25</v>
      </c>
      <c r="NI9" s="38">
        <f t="shared" si="122"/>
        <v>4.75</v>
      </c>
      <c r="NJ9" s="38">
        <f t="shared" si="123"/>
        <v>0</v>
      </c>
      <c r="NK9" s="38">
        <f t="shared" si="124"/>
        <v>8.0250000000000004</v>
      </c>
      <c r="NL9" s="38">
        <f t="shared" si="125"/>
        <v>0</v>
      </c>
      <c r="NM9" s="38">
        <f t="shared" si="126"/>
        <v>15.5</v>
      </c>
      <c r="NN9" s="38">
        <f t="shared" si="127"/>
        <v>9.1999999999999993</v>
      </c>
      <c r="NO9" s="38">
        <f t="shared" si="128"/>
        <v>13</v>
      </c>
      <c r="NP9" s="38">
        <f t="shared" si="129"/>
        <v>14.465</v>
      </c>
      <c r="NQ9" s="38">
        <f t="shared" si="130"/>
        <v>0.1</v>
      </c>
      <c r="NR9" s="38">
        <f t="shared" si="131"/>
        <v>6.95</v>
      </c>
      <c r="NS9" s="38">
        <f t="shared" si="132"/>
        <v>4.55</v>
      </c>
      <c r="NT9" s="38">
        <f t="shared" si="133"/>
        <v>6.25</v>
      </c>
      <c r="NU9" s="38">
        <f t="shared" si="134"/>
        <v>7.4550000000000001</v>
      </c>
      <c r="NV9" s="38">
        <f t="shared" si="135"/>
        <v>0.5</v>
      </c>
      <c r="NW9" s="38">
        <f t="shared" si="136"/>
        <v>10.8</v>
      </c>
      <c r="NX9" s="38">
        <f t="shared" si="137"/>
        <v>6.0500000000000007</v>
      </c>
      <c r="NY9" s="38">
        <f t="shared" si="138"/>
        <v>9.5500000000000007</v>
      </c>
      <c r="NZ9" s="38">
        <f t="shared" si="139"/>
        <v>10.4475</v>
      </c>
      <c r="OA9" s="38">
        <f t="shared" si="140"/>
        <v>0</v>
      </c>
      <c r="OB9" s="45" t="s">
        <v>46</v>
      </c>
      <c r="OC9" s="11">
        <f t="shared" si="141"/>
        <v>22.024999999999999</v>
      </c>
      <c r="OD9" s="11">
        <f t="shared" si="142"/>
        <v>13</v>
      </c>
      <c r="OE9" s="11">
        <f t="shared" si="143"/>
        <v>52.065000000000005</v>
      </c>
      <c r="OF9" s="11">
        <f t="shared" si="144"/>
        <v>6.25</v>
      </c>
      <c r="OG9" s="11">
        <f t="shared" si="145"/>
        <v>24.704999999999998</v>
      </c>
      <c r="OH9" s="11">
        <f t="shared" si="146"/>
        <v>74.09</v>
      </c>
      <c r="OI9" s="11">
        <f t="shared" si="147"/>
        <v>9.5500000000000007</v>
      </c>
      <c r="OJ9" s="11">
        <f t="shared" si="148"/>
        <v>36.847500000000004</v>
      </c>
      <c r="OK9" s="11">
        <f t="shared" si="149"/>
        <v>110.9375</v>
      </c>
    </row>
    <row r="10" spans="1:401" x14ac:dyDescent="0.2">
      <c r="A10" s="5" t="str" cm="1">
        <f t="array" ref="A10">IF(AND(F10="P",G10="P"),SUMPRODUCT((F$4:F$32="P")*(G$4:G$32="P")*(E$4:E$32&gt;E10))+1,IF(G10="P",SUMPRODUCT((F$4:F$32="")*(G$4:G$32="P")*(E$4:E$32&gt;E10))+1+SUMPRODUCT((F$4:F$32="P")*(G$4:G$32="P")),""))</f>
        <v/>
      </c>
      <c r="B10" s="8" t="s">
        <v>70</v>
      </c>
      <c r="C10" s="4" t="s">
        <v>6</v>
      </c>
      <c r="D10" s="22">
        <v>2004</v>
      </c>
      <c r="E10" s="15">
        <f t="shared" si="0"/>
        <v>104.85500527950001</v>
      </c>
      <c r="F10" s="3" t="str">
        <f t="shared" si="1"/>
        <v/>
      </c>
      <c r="G10" s="3" t="str">
        <f t="shared" si="2"/>
        <v/>
      </c>
      <c r="H10" s="67" t="str">
        <f t="shared" si="3"/>
        <v/>
      </c>
      <c r="I10" s="14">
        <f t="shared" si="4"/>
        <v>52.795000000000002</v>
      </c>
      <c r="J10" s="14" t="str">
        <f t="shared" si="5"/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 t="shared" si="6"/>
        <v>2021 Canadian Championships</v>
      </c>
      <c r="M10" s="14" t="str">
        <f t="shared" si="7"/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 t="shared" si="8"/>
        <v/>
      </c>
      <c r="AL10" s="11" t="str">
        <f t="shared" si="9"/>
        <v/>
      </c>
      <c r="AM10" s="11" t="str">
        <f t="shared" si="10"/>
        <v/>
      </c>
      <c r="AN10" s="11" t="str">
        <f t="shared" si="11"/>
        <v/>
      </c>
      <c r="AO10" s="11" t="str">
        <f t="shared" si="12"/>
        <v/>
      </c>
      <c r="AP10" s="11" t="str">
        <f t="shared" si="13"/>
        <v/>
      </c>
      <c r="AQ10" s="11" t="str">
        <f t="shared" si="14"/>
        <v/>
      </c>
      <c r="AR10" s="11" t="str">
        <f t="shared" si="15"/>
        <v/>
      </c>
      <c r="AS10" s="11" t="str">
        <f t="shared" si="16"/>
        <v/>
      </c>
      <c r="AT10" s="42">
        <v>16</v>
      </c>
      <c r="AU10" s="42">
        <v>9.3000000000000007</v>
      </c>
      <c r="AV10" s="42">
        <v>3.3</v>
      </c>
      <c r="AW10" s="42">
        <v>15.77</v>
      </c>
      <c r="AX10" s="42">
        <v>0</v>
      </c>
      <c r="AY10" s="42">
        <v>10.9</v>
      </c>
      <c r="AZ10" s="42">
        <v>7.3</v>
      </c>
      <c r="BA10" s="42">
        <v>8.3000000000000007</v>
      </c>
      <c r="BB10" s="42">
        <v>11.654999999999999</v>
      </c>
      <c r="BC10" s="42">
        <v>0</v>
      </c>
      <c r="BD10" s="42">
        <v>15</v>
      </c>
      <c r="BE10" s="42">
        <v>9.3000000000000007</v>
      </c>
      <c r="BF10" s="42">
        <v>13.1</v>
      </c>
      <c r="BG10" s="42">
        <v>15.06</v>
      </c>
      <c r="BH10" s="42">
        <v>0.4</v>
      </c>
      <c r="BI10" s="42">
        <v>5.9</v>
      </c>
      <c r="BJ10" s="42">
        <v>3.9</v>
      </c>
      <c r="BK10" s="42">
        <v>5.4</v>
      </c>
      <c r="BL10" s="42">
        <v>6.085</v>
      </c>
      <c r="BM10" s="42">
        <v>0</v>
      </c>
      <c r="BN10" s="46"/>
      <c r="BO10" s="14">
        <f t="shared" si="17"/>
        <v>44.370000000000005</v>
      </c>
      <c r="BP10" s="14">
        <f t="shared" si="18"/>
        <v>8.3000000000000007</v>
      </c>
      <c r="BQ10" s="14">
        <f t="shared" si="19"/>
        <v>38.155000000000001</v>
      </c>
      <c r="BR10" s="14">
        <f t="shared" si="20"/>
        <v>13.1</v>
      </c>
      <c r="BS10" s="14">
        <f t="shared" si="21"/>
        <v>52.06</v>
      </c>
      <c r="BT10" s="14">
        <f t="shared" si="22"/>
        <v>96.43</v>
      </c>
      <c r="BU10" s="14">
        <f t="shared" si="23"/>
        <v>5.4</v>
      </c>
      <c r="BV10" s="14">
        <f t="shared" si="24"/>
        <v>21.285</v>
      </c>
      <c r="BW10" s="14">
        <f t="shared" si="25"/>
        <v>117.715</v>
      </c>
      <c r="BX10" s="38"/>
      <c r="BY10" s="38"/>
      <c r="BZ10" s="38"/>
      <c r="CA10" s="38"/>
      <c r="CB10" s="38"/>
      <c r="CC10" s="38">
        <v>14.5</v>
      </c>
      <c r="CD10" s="38">
        <v>8.9</v>
      </c>
      <c r="CE10" s="38">
        <v>12.6</v>
      </c>
      <c r="CF10" s="38">
        <v>14.345000000000001</v>
      </c>
      <c r="CG10" s="38">
        <v>0.9</v>
      </c>
      <c r="CH10" s="38">
        <v>14.7</v>
      </c>
      <c r="CI10" s="38">
        <v>9.6999999999999993</v>
      </c>
      <c r="CJ10" s="38">
        <v>13.5</v>
      </c>
      <c r="CK10" s="38">
        <v>14.895</v>
      </c>
      <c r="CL10" s="38">
        <v>0</v>
      </c>
      <c r="CM10" s="38">
        <v>12.9</v>
      </c>
      <c r="CN10" s="38">
        <v>9.6999999999999993</v>
      </c>
      <c r="CO10" s="38">
        <v>12.6</v>
      </c>
      <c r="CP10" s="38">
        <v>14.545</v>
      </c>
      <c r="CQ10" s="38">
        <v>0.9</v>
      </c>
      <c r="CR10" s="45"/>
      <c r="CS10" s="11" t="str">
        <f t="shared" si="26"/>
        <v/>
      </c>
      <c r="CT10" s="11">
        <f t="shared" si="27"/>
        <v>12.6</v>
      </c>
      <c r="CU10" s="11">
        <f t="shared" si="28"/>
        <v>49.445</v>
      </c>
      <c r="CV10" s="11">
        <f t="shared" si="29"/>
        <v>13.5</v>
      </c>
      <c r="CW10" s="11">
        <f t="shared" si="30"/>
        <v>52.795000000000002</v>
      </c>
      <c r="CX10" s="11">
        <f t="shared" si="31"/>
        <v>52.795000000000002</v>
      </c>
      <c r="CY10" s="11">
        <f t="shared" si="32"/>
        <v>12.6</v>
      </c>
      <c r="CZ10" s="11">
        <f t="shared" si="33"/>
        <v>48.845000000000006</v>
      </c>
      <c r="DA10" s="11">
        <f t="shared" si="34"/>
        <v>101.64000000000001</v>
      </c>
      <c r="DB10" s="19" t="str">
        <f t="shared" si="35"/>
        <v/>
      </c>
      <c r="DC10" s="19" t="str">
        <f t="shared" si="36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 t="shared" si="37"/>
        <v/>
      </c>
      <c r="DT10" s="11" t="str">
        <f t="shared" si="38"/>
        <v/>
      </c>
      <c r="DU10" s="11" t="str">
        <f t="shared" si="39"/>
        <v/>
      </c>
      <c r="DV10" s="11" t="str">
        <f t="shared" si="40"/>
        <v/>
      </c>
      <c r="DW10" s="11" t="str">
        <f t="shared" si="41"/>
        <v/>
      </c>
      <c r="DX10" s="11" t="str">
        <f t="shared" si="42"/>
        <v/>
      </c>
      <c r="DY10" s="11" t="str">
        <f t="shared" si="43"/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 t="shared" si="44"/>
        <v/>
      </c>
      <c r="EP10" s="14" t="str">
        <f t="shared" si="45"/>
        <v/>
      </c>
      <c r="EQ10" s="14" t="str">
        <f t="shared" si="46"/>
        <v/>
      </c>
      <c r="ER10" s="14" t="str">
        <f t="shared" si="47"/>
        <v/>
      </c>
      <c r="ES10" s="14" t="str">
        <f t="shared" si="48"/>
        <v/>
      </c>
      <c r="ET10" s="14" t="str">
        <f t="shared" si="49"/>
        <v/>
      </c>
      <c r="EU10" s="14" t="str">
        <f t="shared" si="50"/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 t="shared" si="51"/>
        <v/>
      </c>
      <c r="FL10" s="11" t="str">
        <f t="shared" si="52"/>
        <v/>
      </c>
      <c r="FM10" s="11" t="str">
        <f t="shared" si="53"/>
        <v/>
      </c>
      <c r="FN10" s="11" t="str">
        <f t="shared" si="54"/>
        <v/>
      </c>
      <c r="FO10" s="11" t="str">
        <f t="shared" si="55"/>
        <v/>
      </c>
      <c r="FP10" s="11" t="str">
        <f t="shared" si="56"/>
        <v/>
      </c>
      <c r="FQ10" s="11" t="str">
        <f t="shared" si="57"/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 t="shared" si="58"/>
        <v/>
      </c>
      <c r="GH10" s="14" t="str">
        <f t="shared" si="59"/>
        <v/>
      </c>
      <c r="GI10" s="14" t="str">
        <f t="shared" si="60"/>
        <v/>
      </c>
      <c r="GJ10" s="14" t="str">
        <f t="shared" si="61"/>
        <v/>
      </c>
      <c r="GK10" s="14" t="str">
        <f t="shared" si="62"/>
        <v/>
      </c>
      <c r="GL10" s="14" t="str">
        <f t="shared" si="63"/>
        <v/>
      </c>
      <c r="GM10" s="14" t="str">
        <f t="shared" si="64"/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 t="shared" si="65"/>
        <v/>
      </c>
      <c r="HD10" s="11" t="str">
        <f t="shared" si="66"/>
        <v/>
      </c>
      <c r="HE10" s="11" t="str">
        <f t="shared" si="67"/>
        <v/>
      </c>
      <c r="HF10" s="11" t="str">
        <f t="shared" si="68"/>
        <v/>
      </c>
      <c r="HG10" s="11" t="str">
        <f t="shared" si="69"/>
        <v/>
      </c>
      <c r="HH10" s="11" t="str">
        <f t="shared" si="70"/>
        <v/>
      </c>
      <c r="HI10" s="11" t="str">
        <f t="shared" si="71"/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 t="shared" si="72"/>
        <v/>
      </c>
      <c r="HZ10" s="14" t="str">
        <f t="shared" si="73"/>
        <v/>
      </c>
      <c r="IA10" s="14" t="str">
        <f t="shared" si="74"/>
        <v/>
      </c>
      <c r="IB10" s="14" t="str">
        <f t="shared" si="75"/>
        <v/>
      </c>
      <c r="IC10" s="14" t="str">
        <f t="shared" si="76"/>
        <v/>
      </c>
      <c r="ID10" s="14" t="str">
        <f t="shared" si="77"/>
        <v/>
      </c>
      <c r="IE10" s="14" t="str">
        <f t="shared" si="78"/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 t="shared" si="79"/>
        <v/>
      </c>
      <c r="IV10" s="11" t="str">
        <f t="shared" si="80"/>
        <v/>
      </c>
      <c r="IW10" s="11" t="str">
        <f t="shared" si="81"/>
        <v/>
      </c>
      <c r="IX10" s="11" t="str">
        <f t="shared" si="82"/>
        <v/>
      </c>
      <c r="IY10" s="11" t="str">
        <f t="shared" si="83"/>
        <v/>
      </c>
      <c r="IZ10" s="11" t="str">
        <f t="shared" si="84"/>
        <v/>
      </c>
      <c r="JA10" s="11" t="str">
        <f t="shared" si="85"/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 t="shared" si="86"/>
        <v/>
      </c>
      <c r="JR10" s="14" t="str">
        <f t="shared" si="87"/>
        <v/>
      </c>
      <c r="JS10" s="14" t="str">
        <f t="shared" si="88"/>
        <v/>
      </c>
      <c r="JT10" s="14" t="str">
        <f t="shared" si="89"/>
        <v/>
      </c>
      <c r="JU10" s="14" t="str">
        <f t="shared" si="90"/>
        <v/>
      </c>
      <c r="JV10" s="14" t="str">
        <f t="shared" si="91"/>
        <v/>
      </c>
      <c r="JW10" s="14" t="str">
        <f t="shared" si="92"/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 t="shared" si="93"/>
        <v/>
      </c>
      <c r="KN10" s="11" t="str">
        <f t="shared" si="94"/>
        <v/>
      </c>
      <c r="KO10" s="11" t="str">
        <f t="shared" si="95"/>
        <v/>
      </c>
      <c r="KP10" s="11" t="str">
        <f t="shared" si="96"/>
        <v/>
      </c>
      <c r="KQ10" s="11" t="str">
        <f t="shared" si="97"/>
        <v/>
      </c>
      <c r="KR10" s="11" t="str">
        <f t="shared" si="98"/>
        <v/>
      </c>
      <c r="KS10" s="11" t="str">
        <f t="shared" si="99"/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 t="shared" si="100"/>
        <v/>
      </c>
      <c r="LJ10" s="14" t="str">
        <f t="shared" si="101"/>
        <v/>
      </c>
      <c r="LK10" s="14" t="str">
        <f t="shared" si="102"/>
        <v/>
      </c>
      <c r="LL10" s="14" t="str">
        <f t="shared" si="103"/>
        <v/>
      </c>
      <c r="LM10" s="14" t="str">
        <f t="shared" si="104"/>
        <v/>
      </c>
      <c r="LN10" s="14" t="str">
        <f t="shared" si="105"/>
        <v/>
      </c>
      <c r="LO10" s="14" t="str">
        <f t="shared" si="106"/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 t="shared" si="107"/>
        <v/>
      </c>
      <c r="MF10" s="11" t="str">
        <f t="shared" si="108"/>
        <v/>
      </c>
      <c r="MG10" s="11" t="str">
        <f t="shared" si="109"/>
        <v/>
      </c>
      <c r="MH10" s="11" t="str">
        <f t="shared" si="110"/>
        <v/>
      </c>
      <c r="MI10" s="11" t="str">
        <f t="shared" si="111"/>
        <v/>
      </c>
      <c r="MJ10" s="11" t="str">
        <f t="shared" si="112"/>
        <v/>
      </c>
      <c r="MK10" s="11" t="str">
        <f t="shared" si="113"/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 t="shared" si="114"/>
        <v/>
      </c>
      <c r="NB10" s="14" t="str">
        <f t="shared" si="115"/>
        <v/>
      </c>
      <c r="NC10" s="14" t="str">
        <f t="shared" si="116"/>
        <v/>
      </c>
      <c r="ND10" s="14" t="str">
        <f t="shared" si="117"/>
        <v/>
      </c>
      <c r="NE10" s="14" t="str">
        <f t="shared" si="118"/>
        <v/>
      </c>
      <c r="NF10" s="14" t="str">
        <f t="shared" si="119"/>
        <v/>
      </c>
      <c r="NG10" s="14" t="str">
        <f t="shared" si="120"/>
        <v/>
      </c>
      <c r="NH10" s="38">
        <f t="shared" si="121"/>
        <v>8</v>
      </c>
      <c r="NI10" s="38">
        <f t="shared" si="122"/>
        <v>4.6500000000000004</v>
      </c>
      <c r="NJ10" s="38">
        <f t="shared" si="123"/>
        <v>1.65</v>
      </c>
      <c r="NK10" s="38">
        <f t="shared" si="124"/>
        <v>7.8849999999999998</v>
      </c>
      <c r="NL10" s="38">
        <f t="shared" si="125"/>
        <v>0</v>
      </c>
      <c r="NM10" s="38">
        <f t="shared" si="126"/>
        <v>12.7</v>
      </c>
      <c r="NN10" s="38">
        <f t="shared" si="127"/>
        <v>8.1</v>
      </c>
      <c r="NO10" s="38">
        <f t="shared" si="128"/>
        <v>10.45</v>
      </c>
      <c r="NP10" s="38">
        <f t="shared" si="129"/>
        <v>13</v>
      </c>
      <c r="NQ10" s="38">
        <f t="shared" si="130"/>
        <v>0.45</v>
      </c>
      <c r="NR10" s="38">
        <f t="shared" si="131"/>
        <v>14.85</v>
      </c>
      <c r="NS10" s="38">
        <f t="shared" si="132"/>
        <v>9.5</v>
      </c>
      <c r="NT10" s="38">
        <f t="shared" si="133"/>
        <v>13.3</v>
      </c>
      <c r="NU10" s="38">
        <f t="shared" si="134"/>
        <v>14.977499999999999</v>
      </c>
      <c r="NV10" s="38">
        <f t="shared" si="135"/>
        <v>0.2</v>
      </c>
      <c r="NW10" s="38">
        <f t="shared" si="136"/>
        <v>9.4</v>
      </c>
      <c r="NX10" s="38">
        <f t="shared" si="137"/>
        <v>6.8</v>
      </c>
      <c r="NY10" s="38">
        <f t="shared" si="138"/>
        <v>9</v>
      </c>
      <c r="NZ10" s="38">
        <f t="shared" si="139"/>
        <v>10.315</v>
      </c>
      <c r="OA10" s="38">
        <f t="shared" si="140"/>
        <v>0.45</v>
      </c>
      <c r="OB10" s="45" t="s">
        <v>46</v>
      </c>
      <c r="OC10" s="11">
        <f t="shared" si="141"/>
        <v>22.185000000000002</v>
      </c>
      <c r="OD10" s="11">
        <f t="shared" si="142"/>
        <v>10.45</v>
      </c>
      <c r="OE10" s="11">
        <f t="shared" si="143"/>
        <v>43.8</v>
      </c>
      <c r="OF10" s="11">
        <f t="shared" si="144"/>
        <v>13.3</v>
      </c>
      <c r="OG10" s="11">
        <f t="shared" si="145"/>
        <v>52.427500000000002</v>
      </c>
      <c r="OH10" s="11">
        <f t="shared" si="146"/>
        <v>74.612500000000011</v>
      </c>
      <c r="OI10" s="11">
        <f t="shared" si="147"/>
        <v>9</v>
      </c>
      <c r="OJ10" s="11">
        <f t="shared" si="148"/>
        <v>35.064999999999998</v>
      </c>
      <c r="OK10" s="11">
        <f t="shared" si="149"/>
        <v>109.67750000000001</v>
      </c>
    </row>
    <row r="11" spans="1:401" x14ac:dyDescent="0.2">
      <c r="A11" s="5" t="str" cm="1">
        <f t="array" ref="A11">IF(AND(F11="P",G11="P"),SUMPRODUCT((F$4:F$32="P")*(G$4:G$32="P")*(E$4:E$32&gt;E11))+1,IF(G11="P",SUMPRODUCT((F$4:F$32="")*(G$4:G$32="P")*(E$4:E$32&gt;E11))+1+SUMPRODUCT((F$4:F$32="P")*(G$4:G$32="P")),""))</f>
        <v/>
      </c>
      <c r="B11" s="6" t="s">
        <v>61</v>
      </c>
      <c r="C11" s="7" t="s">
        <v>3</v>
      </c>
      <c r="D11" s="5">
        <v>2003</v>
      </c>
      <c r="E11" s="15">
        <f t="shared" si="0"/>
        <v>103.45500517699999</v>
      </c>
      <c r="F11" s="3" t="str">
        <f t="shared" si="1"/>
        <v/>
      </c>
      <c r="G11" s="3" t="str">
        <f t="shared" si="2"/>
        <v/>
      </c>
      <c r="H11" s="67" t="str">
        <f t="shared" si="3"/>
        <v/>
      </c>
      <c r="I11" s="14">
        <f t="shared" si="4"/>
        <v>51.769999999999996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51.684999999999995</v>
      </c>
      <c r="L11" s="14" t="str">
        <f t="shared" si="6"/>
        <v>2022 Elite Canada</v>
      </c>
      <c r="M11" s="14" t="str">
        <f t="shared" si="7"/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45"/>
      <c r="AK11" s="11" t="str">
        <f t="shared" si="8"/>
        <v/>
      </c>
      <c r="AL11" s="11" t="str">
        <f t="shared" si="9"/>
        <v/>
      </c>
      <c r="AM11" s="11" t="str">
        <f t="shared" si="10"/>
        <v/>
      </c>
      <c r="AN11" s="11" t="str">
        <f t="shared" si="11"/>
        <v/>
      </c>
      <c r="AO11" s="11" t="str">
        <f t="shared" si="12"/>
        <v/>
      </c>
      <c r="AP11" s="11" t="str">
        <f t="shared" si="13"/>
        <v/>
      </c>
      <c r="AQ11" s="11" t="str">
        <f t="shared" si="14"/>
        <v/>
      </c>
      <c r="AR11" s="11" t="str">
        <f t="shared" si="15"/>
        <v/>
      </c>
      <c r="AS11" s="11" t="str">
        <f t="shared" si="16"/>
        <v/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6"/>
      <c r="BO11" s="14" t="str">
        <f t="shared" si="17"/>
        <v/>
      </c>
      <c r="BP11" s="14" t="str">
        <f t="shared" si="18"/>
        <v/>
      </c>
      <c r="BQ11" s="14" t="str">
        <f t="shared" si="19"/>
        <v/>
      </c>
      <c r="BR11" s="14" t="str">
        <f t="shared" si="20"/>
        <v/>
      </c>
      <c r="BS11" s="14" t="str">
        <f t="shared" si="21"/>
        <v/>
      </c>
      <c r="BT11" s="14" t="str">
        <f t="shared" si="22"/>
        <v/>
      </c>
      <c r="BU11" s="14" t="str">
        <f t="shared" si="23"/>
        <v/>
      </c>
      <c r="BV11" s="14" t="str">
        <f t="shared" si="24"/>
        <v/>
      </c>
      <c r="BW11" s="14" t="str">
        <f t="shared" si="25"/>
        <v/>
      </c>
      <c r="BX11" s="38"/>
      <c r="BY11" s="38"/>
      <c r="BZ11" s="38"/>
      <c r="CA11" s="38"/>
      <c r="CB11" s="38"/>
      <c r="CC11" s="38">
        <v>12.7</v>
      </c>
      <c r="CD11" s="38">
        <v>9.1</v>
      </c>
      <c r="CE11" s="38">
        <v>14.6</v>
      </c>
      <c r="CF11" s="38">
        <v>15.37</v>
      </c>
      <c r="CG11" s="38">
        <v>0</v>
      </c>
      <c r="CH11" s="38">
        <v>11.7</v>
      </c>
      <c r="CI11" s="38">
        <v>7.5</v>
      </c>
      <c r="CJ11" s="38">
        <v>11.9</v>
      </c>
      <c r="CK11" s="38">
        <v>12.055</v>
      </c>
      <c r="CL11" s="38">
        <v>0</v>
      </c>
      <c r="CM11" s="38">
        <v>13.5</v>
      </c>
      <c r="CN11" s="38">
        <v>9.1</v>
      </c>
      <c r="CO11" s="38">
        <v>14.2</v>
      </c>
      <c r="CP11" s="38">
        <v>14.885</v>
      </c>
      <c r="CQ11" s="38">
        <v>0</v>
      </c>
      <c r="CR11" s="45"/>
      <c r="CS11" s="11" t="str">
        <f t="shared" si="26"/>
        <v/>
      </c>
      <c r="CT11" s="11">
        <f t="shared" si="27"/>
        <v>14.6</v>
      </c>
      <c r="CU11" s="11">
        <f t="shared" si="28"/>
        <v>51.769999999999996</v>
      </c>
      <c r="CV11" s="11">
        <f t="shared" si="29"/>
        <v>11.9</v>
      </c>
      <c r="CW11" s="11">
        <f t="shared" si="30"/>
        <v>43.155000000000001</v>
      </c>
      <c r="CX11" s="11">
        <f t="shared" si="31"/>
        <v>51.769999999999996</v>
      </c>
      <c r="CY11" s="11">
        <f t="shared" si="32"/>
        <v>14.2</v>
      </c>
      <c r="CZ11" s="11">
        <f t="shared" si="33"/>
        <v>51.684999999999995</v>
      </c>
      <c r="DA11" s="11">
        <f t="shared" si="34"/>
        <v>103.45499999999998</v>
      </c>
      <c r="DB11" s="19" t="str">
        <f t="shared" si="35"/>
        <v/>
      </c>
      <c r="DC11" s="19" t="str">
        <f t="shared" si="36"/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 t="shared" si="37"/>
        <v/>
      </c>
      <c r="DT11" s="11" t="str">
        <f t="shared" si="38"/>
        <v/>
      </c>
      <c r="DU11" s="11" t="str">
        <f t="shared" si="39"/>
        <v/>
      </c>
      <c r="DV11" s="11" t="str">
        <f t="shared" si="40"/>
        <v/>
      </c>
      <c r="DW11" s="11" t="str">
        <f t="shared" si="41"/>
        <v/>
      </c>
      <c r="DX11" s="11" t="str">
        <f t="shared" si="42"/>
        <v/>
      </c>
      <c r="DY11" s="11" t="str">
        <f t="shared" si="43"/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 t="shared" si="44"/>
        <v/>
      </c>
      <c r="EP11" s="14" t="str">
        <f t="shared" si="45"/>
        <v/>
      </c>
      <c r="EQ11" s="14" t="str">
        <f t="shared" si="46"/>
        <v/>
      </c>
      <c r="ER11" s="14" t="str">
        <f t="shared" si="47"/>
        <v/>
      </c>
      <c r="ES11" s="14" t="str">
        <f t="shared" si="48"/>
        <v/>
      </c>
      <c r="ET11" s="14" t="str">
        <f t="shared" si="49"/>
        <v/>
      </c>
      <c r="EU11" s="14" t="str">
        <f t="shared" si="50"/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 t="shared" si="51"/>
        <v/>
      </c>
      <c r="FL11" s="11" t="str">
        <f t="shared" si="52"/>
        <v/>
      </c>
      <c r="FM11" s="11" t="str">
        <f t="shared" si="53"/>
        <v/>
      </c>
      <c r="FN11" s="11" t="str">
        <f t="shared" si="54"/>
        <v/>
      </c>
      <c r="FO11" s="11" t="str">
        <f t="shared" si="55"/>
        <v/>
      </c>
      <c r="FP11" s="11" t="str">
        <f t="shared" si="56"/>
        <v/>
      </c>
      <c r="FQ11" s="11" t="str">
        <f t="shared" si="57"/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 t="shared" si="58"/>
        <v/>
      </c>
      <c r="GH11" s="14" t="str">
        <f t="shared" si="59"/>
        <v/>
      </c>
      <c r="GI11" s="14" t="str">
        <f t="shared" si="60"/>
        <v/>
      </c>
      <c r="GJ11" s="14" t="str">
        <f t="shared" si="61"/>
        <v/>
      </c>
      <c r="GK11" s="14" t="str">
        <f t="shared" si="62"/>
        <v/>
      </c>
      <c r="GL11" s="14" t="str">
        <f t="shared" si="63"/>
        <v/>
      </c>
      <c r="GM11" s="14" t="str">
        <f t="shared" si="64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 t="shared" si="65"/>
        <v/>
      </c>
      <c r="HD11" s="11" t="str">
        <f t="shared" si="66"/>
        <v/>
      </c>
      <c r="HE11" s="11" t="str">
        <f t="shared" si="67"/>
        <v/>
      </c>
      <c r="HF11" s="11" t="str">
        <f t="shared" si="68"/>
        <v/>
      </c>
      <c r="HG11" s="11" t="str">
        <f t="shared" si="69"/>
        <v/>
      </c>
      <c r="HH11" s="11" t="str">
        <f t="shared" si="70"/>
        <v/>
      </c>
      <c r="HI11" s="11" t="str">
        <f t="shared" si="71"/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 t="shared" si="72"/>
        <v/>
      </c>
      <c r="HZ11" s="14" t="str">
        <f t="shared" si="73"/>
        <v/>
      </c>
      <c r="IA11" s="14" t="str">
        <f t="shared" si="74"/>
        <v/>
      </c>
      <c r="IB11" s="14" t="str">
        <f t="shared" si="75"/>
        <v/>
      </c>
      <c r="IC11" s="14" t="str">
        <f t="shared" si="76"/>
        <v/>
      </c>
      <c r="ID11" s="14" t="str">
        <f t="shared" si="77"/>
        <v/>
      </c>
      <c r="IE11" s="14" t="str">
        <f t="shared" si="78"/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 t="shared" si="79"/>
        <v/>
      </c>
      <c r="IV11" s="11" t="str">
        <f t="shared" si="80"/>
        <v/>
      </c>
      <c r="IW11" s="11" t="str">
        <f t="shared" si="81"/>
        <v/>
      </c>
      <c r="IX11" s="11" t="str">
        <f t="shared" si="82"/>
        <v/>
      </c>
      <c r="IY11" s="11" t="str">
        <f t="shared" si="83"/>
        <v/>
      </c>
      <c r="IZ11" s="11" t="str">
        <f t="shared" si="84"/>
        <v/>
      </c>
      <c r="JA11" s="11" t="str">
        <f t="shared" si="85"/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 t="shared" si="86"/>
        <v/>
      </c>
      <c r="JR11" s="14" t="str">
        <f t="shared" si="87"/>
        <v/>
      </c>
      <c r="JS11" s="14" t="str">
        <f t="shared" si="88"/>
        <v/>
      </c>
      <c r="JT11" s="14" t="str">
        <f t="shared" si="89"/>
        <v/>
      </c>
      <c r="JU11" s="14" t="str">
        <f t="shared" si="90"/>
        <v/>
      </c>
      <c r="JV11" s="14" t="str">
        <f t="shared" si="91"/>
        <v/>
      </c>
      <c r="JW11" s="14" t="str">
        <f t="shared" si="92"/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 t="shared" si="93"/>
        <v/>
      </c>
      <c r="KN11" s="11" t="str">
        <f t="shared" si="94"/>
        <v/>
      </c>
      <c r="KO11" s="11" t="str">
        <f t="shared" si="95"/>
        <v/>
      </c>
      <c r="KP11" s="11" t="str">
        <f t="shared" si="96"/>
        <v/>
      </c>
      <c r="KQ11" s="11" t="str">
        <f t="shared" si="97"/>
        <v/>
      </c>
      <c r="KR11" s="11" t="str">
        <f t="shared" si="98"/>
        <v/>
      </c>
      <c r="KS11" s="11" t="str">
        <f t="shared" si="99"/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 t="shared" si="100"/>
        <v/>
      </c>
      <c r="LJ11" s="14" t="str">
        <f t="shared" si="101"/>
        <v/>
      </c>
      <c r="LK11" s="14" t="str">
        <f t="shared" si="102"/>
        <v/>
      </c>
      <c r="LL11" s="14" t="str">
        <f t="shared" si="103"/>
        <v/>
      </c>
      <c r="LM11" s="14" t="str">
        <f t="shared" si="104"/>
        <v/>
      </c>
      <c r="LN11" s="14" t="str">
        <f t="shared" si="105"/>
        <v/>
      </c>
      <c r="LO11" s="14" t="str">
        <f t="shared" si="106"/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 t="shared" si="107"/>
        <v/>
      </c>
      <c r="MF11" s="11" t="str">
        <f t="shared" si="108"/>
        <v/>
      </c>
      <c r="MG11" s="11" t="str">
        <f t="shared" si="109"/>
        <v/>
      </c>
      <c r="MH11" s="11" t="str">
        <f t="shared" si="110"/>
        <v/>
      </c>
      <c r="MI11" s="11" t="str">
        <f t="shared" si="111"/>
        <v/>
      </c>
      <c r="MJ11" s="11" t="str">
        <f t="shared" si="112"/>
        <v/>
      </c>
      <c r="MK11" s="11" t="str">
        <f t="shared" si="113"/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 t="shared" si="114"/>
        <v/>
      </c>
      <c r="NB11" s="14" t="str">
        <f t="shared" si="115"/>
        <v/>
      </c>
      <c r="NC11" s="14" t="str">
        <f t="shared" si="116"/>
        <v/>
      </c>
      <c r="ND11" s="14" t="str">
        <f t="shared" si="117"/>
        <v/>
      </c>
      <c r="NE11" s="14" t="str">
        <f t="shared" si="118"/>
        <v/>
      </c>
      <c r="NF11" s="14" t="str">
        <f t="shared" si="119"/>
        <v/>
      </c>
      <c r="NG11" s="14" t="str">
        <f t="shared" si="120"/>
        <v/>
      </c>
      <c r="NH11" s="38">
        <f t="shared" si="121"/>
        <v>0</v>
      </c>
      <c r="NI11" s="38">
        <f t="shared" si="122"/>
        <v>0</v>
      </c>
      <c r="NJ11" s="38">
        <f t="shared" si="123"/>
        <v>0</v>
      </c>
      <c r="NK11" s="38">
        <f t="shared" si="124"/>
        <v>0</v>
      </c>
      <c r="NL11" s="38">
        <f t="shared" si="125"/>
        <v>0</v>
      </c>
      <c r="NM11" s="38">
        <f t="shared" si="126"/>
        <v>6.35</v>
      </c>
      <c r="NN11" s="38">
        <f t="shared" si="127"/>
        <v>4.55</v>
      </c>
      <c r="NO11" s="38">
        <f t="shared" si="128"/>
        <v>7.3</v>
      </c>
      <c r="NP11" s="38">
        <f t="shared" si="129"/>
        <v>7.6849999999999996</v>
      </c>
      <c r="NQ11" s="38">
        <f t="shared" si="130"/>
        <v>0</v>
      </c>
      <c r="NR11" s="38">
        <f t="shared" si="131"/>
        <v>5.85</v>
      </c>
      <c r="NS11" s="38">
        <f t="shared" si="132"/>
        <v>3.75</v>
      </c>
      <c r="NT11" s="38">
        <f t="shared" si="133"/>
        <v>5.95</v>
      </c>
      <c r="NU11" s="38">
        <f t="shared" si="134"/>
        <v>6.0274999999999999</v>
      </c>
      <c r="NV11" s="38">
        <f t="shared" si="135"/>
        <v>0</v>
      </c>
      <c r="NW11" s="38">
        <f t="shared" si="136"/>
        <v>6.75</v>
      </c>
      <c r="NX11" s="38">
        <f t="shared" si="137"/>
        <v>4.55</v>
      </c>
      <c r="NY11" s="38">
        <f t="shared" si="138"/>
        <v>7.1</v>
      </c>
      <c r="NZ11" s="38">
        <f t="shared" si="139"/>
        <v>7.4424999999999999</v>
      </c>
      <c r="OA11" s="38">
        <f t="shared" si="140"/>
        <v>0</v>
      </c>
      <c r="OB11" s="45" t="s">
        <v>46</v>
      </c>
      <c r="OC11" s="11" t="str">
        <f t="shared" si="141"/>
        <v/>
      </c>
      <c r="OD11" s="11">
        <f t="shared" si="142"/>
        <v>7.3</v>
      </c>
      <c r="OE11" s="11">
        <f t="shared" si="143"/>
        <v>25.884999999999998</v>
      </c>
      <c r="OF11" s="11">
        <f t="shared" si="144"/>
        <v>5.95</v>
      </c>
      <c r="OG11" s="11">
        <f t="shared" si="145"/>
        <v>21.577500000000001</v>
      </c>
      <c r="OH11" s="11" t="e">
        <f t="shared" si="146"/>
        <v>#VALUE!</v>
      </c>
      <c r="OI11" s="11">
        <f t="shared" si="147"/>
        <v>7.1</v>
      </c>
      <c r="OJ11" s="11">
        <f t="shared" ref="OJ11" si="150">IF(SUM(NW11:NZ11)-OA11&gt;0,SUM(NW11:NZ11)-OA11,"")</f>
        <v>25.842499999999998</v>
      </c>
      <c r="OK11" s="11" t="e">
        <f t="shared" ref="OK11" si="151">IF(SUM(OH11,OJ11)&gt;0,SUM(OH11,OJ11),"")</f>
        <v>#VALUE!</v>
      </c>
    </row>
    <row r="12" spans="1:401" x14ac:dyDescent="0.2">
      <c r="A12" s="5" t="str" cm="1">
        <f t="array" ref="A12">IF(AND(F12="P",G12="P"),SUMPRODUCT((F$4:F$32="P")*(G$4:G$32="P")*(E$4:E$32&gt;E12))+1,IF(G12="P",SUMPRODUCT((F$4:F$32="")*(G$4:G$32="P")*(E$4:E$32&gt;E12))+1+SUMPRODUCT((F$4:F$32="P")*(G$4:G$32="P")),""))</f>
        <v/>
      </c>
      <c r="B12" s="6" t="s">
        <v>74</v>
      </c>
      <c r="C12" s="7" t="s">
        <v>4</v>
      </c>
      <c r="D12" s="22">
        <v>2003</v>
      </c>
      <c r="E12" s="15">
        <f t="shared" si="0"/>
        <v>102.00000513499999</v>
      </c>
      <c r="F12" s="3" t="str">
        <f t="shared" si="1"/>
        <v/>
      </c>
      <c r="G12" s="3" t="str">
        <f t="shared" si="2"/>
        <v/>
      </c>
      <c r="H12" s="67" t="str">
        <f t="shared" si="3"/>
        <v/>
      </c>
      <c r="I12" s="14">
        <f t="shared" si="4"/>
        <v>51.35</v>
      </c>
      <c r="J12" s="14" t="str">
        <f t="shared" si="5"/>
        <v>2021 Elite Canada</v>
      </c>
      <c r="K12" s="14">
        <f>IF(COUNT(AM12,AO12,AR12,BQ12,BS12,BV12,CU12,CW12,CZ12)&gt;1,LARGE((AM12,AO12,AR12,BQ12,BS12,BV12,CU12,CW12,CZ12),2),0)</f>
        <v>50.65</v>
      </c>
      <c r="L12" s="14" t="str">
        <f t="shared" si="6"/>
        <v>2021 Elite Canada</v>
      </c>
      <c r="M12" s="14" t="str">
        <f t="shared" si="7"/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9.1999999999999993</v>
      </c>
      <c r="R12" s="38">
        <v>5.2</v>
      </c>
      <c r="S12" s="38">
        <v>14.965</v>
      </c>
      <c r="T12" s="38">
        <v>0</v>
      </c>
      <c r="U12" s="38">
        <v>13.4</v>
      </c>
      <c r="V12" s="38">
        <v>9</v>
      </c>
      <c r="W12" s="38">
        <v>13.5</v>
      </c>
      <c r="X12" s="38">
        <v>14.75</v>
      </c>
      <c r="Y12" s="38">
        <v>0</v>
      </c>
      <c r="Z12" s="38">
        <v>14.2</v>
      </c>
      <c r="AA12" s="38">
        <v>9</v>
      </c>
      <c r="AB12" s="38">
        <v>13.5</v>
      </c>
      <c r="AC12" s="38">
        <v>14.65</v>
      </c>
      <c r="AD12" s="38">
        <v>0</v>
      </c>
      <c r="AE12" s="38">
        <v>13.7</v>
      </c>
      <c r="AF12" s="38">
        <v>8.9</v>
      </c>
      <c r="AG12" s="38">
        <v>12.1</v>
      </c>
      <c r="AH12" s="38">
        <v>14.43</v>
      </c>
      <c r="AI12" s="38">
        <v>0</v>
      </c>
      <c r="AJ12" s="45"/>
      <c r="AK12" s="11">
        <f t="shared" si="8"/>
        <v>45.364999999999995</v>
      </c>
      <c r="AL12" s="11">
        <f t="shared" si="9"/>
        <v>13.5</v>
      </c>
      <c r="AM12" s="11">
        <f t="shared" si="10"/>
        <v>50.65</v>
      </c>
      <c r="AN12" s="11">
        <f t="shared" si="11"/>
        <v>13.5</v>
      </c>
      <c r="AO12" s="11">
        <f t="shared" si="12"/>
        <v>51.35</v>
      </c>
      <c r="AP12" s="11">
        <f t="shared" si="13"/>
        <v>96.715000000000003</v>
      </c>
      <c r="AQ12" s="11">
        <f t="shared" si="14"/>
        <v>12.1</v>
      </c>
      <c r="AR12" s="11">
        <f t="shared" si="15"/>
        <v>49.13</v>
      </c>
      <c r="AS12" s="11">
        <f t="shared" si="16"/>
        <v>145.845</v>
      </c>
      <c r="AT12" s="42">
        <v>16</v>
      </c>
      <c r="AU12" s="42">
        <v>9.3000000000000007</v>
      </c>
      <c r="AV12" s="42">
        <v>5.2</v>
      </c>
      <c r="AW12" s="42">
        <v>15.385</v>
      </c>
      <c r="AX12" s="42">
        <v>0</v>
      </c>
      <c r="AY12" s="42">
        <v>10.199999999999999</v>
      </c>
      <c r="AZ12" s="42">
        <v>6.6</v>
      </c>
      <c r="BA12" s="42">
        <v>9.6</v>
      </c>
      <c r="BB12" s="42">
        <v>12.215</v>
      </c>
      <c r="BC12" s="42">
        <v>0</v>
      </c>
      <c r="BD12" s="42">
        <v>9.8000000000000007</v>
      </c>
      <c r="BE12" s="42">
        <v>6.6</v>
      </c>
      <c r="BF12" s="42">
        <v>9.6</v>
      </c>
      <c r="BG12" s="42">
        <v>10.914999999999999</v>
      </c>
      <c r="BH12" s="42">
        <v>0</v>
      </c>
      <c r="BI12" s="42">
        <v>2.8</v>
      </c>
      <c r="BJ12" s="42">
        <v>1.8</v>
      </c>
      <c r="BK12" s="42">
        <v>2.7</v>
      </c>
      <c r="BL12" s="42">
        <v>3.15</v>
      </c>
      <c r="BM12" s="42">
        <v>0</v>
      </c>
      <c r="BN12" s="46"/>
      <c r="BO12" s="14">
        <f t="shared" si="17"/>
        <v>45.884999999999998</v>
      </c>
      <c r="BP12" s="14">
        <f t="shared" si="18"/>
        <v>9.6</v>
      </c>
      <c r="BQ12" s="14">
        <f t="shared" si="19"/>
        <v>38.614999999999995</v>
      </c>
      <c r="BR12" s="14">
        <f t="shared" si="20"/>
        <v>9.6</v>
      </c>
      <c r="BS12" s="14">
        <f t="shared" si="21"/>
        <v>36.914999999999999</v>
      </c>
      <c r="BT12" s="14">
        <f t="shared" si="22"/>
        <v>84.5</v>
      </c>
      <c r="BU12" s="14">
        <f t="shared" si="23"/>
        <v>2.7</v>
      </c>
      <c r="BV12" s="14">
        <f t="shared" si="24"/>
        <v>10.45</v>
      </c>
      <c r="BW12" s="14">
        <f t="shared" si="25"/>
        <v>94.95</v>
      </c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45"/>
      <c r="CS12" s="11" t="str">
        <f t="shared" si="26"/>
        <v/>
      </c>
      <c r="CT12" s="11" t="str">
        <f t="shared" si="27"/>
        <v/>
      </c>
      <c r="CU12" s="11" t="str">
        <f t="shared" si="28"/>
        <v/>
      </c>
      <c r="CV12" s="11" t="str">
        <f t="shared" si="29"/>
        <v/>
      </c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19" t="str">
        <f t="shared" si="35"/>
        <v/>
      </c>
      <c r="DC12" s="19" t="str">
        <f t="shared" si="36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 t="shared" si="37"/>
        <v/>
      </c>
      <c r="DT12" s="11" t="str">
        <f t="shared" si="38"/>
        <v/>
      </c>
      <c r="DU12" s="11" t="str">
        <f t="shared" si="39"/>
        <v/>
      </c>
      <c r="DV12" s="11" t="str">
        <f t="shared" si="40"/>
        <v/>
      </c>
      <c r="DW12" s="11" t="str">
        <f t="shared" si="41"/>
        <v/>
      </c>
      <c r="DX12" s="11" t="str">
        <f t="shared" si="42"/>
        <v/>
      </c>
      <c r="DY12" s="11" t="str">
        <f t="shared" si="43"/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 t="shared" si="44"/>
        <v/>
      </c>
      <c r="EP12" s="14" t="str">
        <f t="shared" si="45"/>
        <v/>
      </c>
      <c r="EQ12" s="14" t="str">
        <f t="shared" si="46"/>
        <v/>
      </c>
      <c r="ER12" s="14" t="str">
        <f t="shared" si="47"/>
        <v/>
      </c>
      <c r="ES12" s="14" t="str">
        <f t="shared" si="48"/>
        <v/>
      </c>
      <c r="ET12" s="14" t="str">
        <f t="shared" si="49"/>
        <v/>
      </c>
      <c r="EU12" s="14" t="str">
        <f t="shared" si="50"/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 t="shared" si="51"/>
        <v/>
      </c>
      <c r="FL12" s="11" t="str">
        <f t="shared" si="52"/>
        <v/>
      </c>
      <c r="FM12" s="11" t="str">
        <f t="shared" si="53"/>
        <v/>
      </c>
      <c r="FN12" s="11" t="str">
        <f t="shared" si="54"/>
        <v/>
      </c>
      <c r="FO12" s="11" t="str">
        <f t="shared" si="55"/>
        <v/>
      </c>
      <c r="FP12" s="11" t="str">
        <f t="shared" si="56"/>
        <v/>
      </c>
      <c r="FQ12" s="11" t="str">
        <f t="shared" si="57"/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 t="shared" si="58"/>
        <v/>
      </c>
      <c r="GH12" s="14" t="str">
        <f t="shared" si="59"/>
        <v/>
      </c>
      <c r="GI12" s="14" t="str">
        <f t="shared" si="60"/>
        <v/>
      </c>
      <c r="GJ12" s="14" t="str">
        <f t="shared" si="61"/>
        <v/>
      </c>
      <c r="GK12" s="14" t="str">
        <f t="shared" si="62"/>
        <v/>
      </c>
      <c r="GL12" s="14" t="str">
        <f t="shared" si="63"/>
        <v/>
      </c>
      <c r="GM12" s="14" t="str">
        <f t="shared" si="64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 t="shared" si="65"/>
        <v/>
      </c>
      <c r="HD12" s="11" t="str">
        <f t="shared" si="66"/>
        <v/>
      </c>
      <c r="HE12" s="11" t="str">
        <f t="shared" si="67"/>
        <v/>
      </c>
      <c r="HF12" s="11" t="str">
        <f t="shared" si="68"/>
        <v/>
      </c>
      <c r="HG12" s="11" t="str">
        <f t="shared" si="69"/>
        <v/>
      </c>
      <c r="HH12" s="11" t="str">
        <f t="shared" si="70"/>
        <v/>
      </c>
      <c r="HI12" s="11" t="str">
        <f t="shared" si="71"/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 t="shared" si="72"/>
        <v/>
      </c>
      <c r="HZ12" s="14" t="str">
        <f t="shared" si="73"/>
        <v/>
      </c>
      <c r="IA12" s="14" t="str">
        <f t="shared" si="74"/>
        <v/>
      </c>
      <c r="IB12" s="14" t="str">
        <f t="shared" si="75"/>
        <v/>
      </c>
      <c r="IC12" s="14" t="str">
        <f t="shared" si="76"/>
        <v/>
      </c>
      <c r="ID12" s="14" t="str">
        <f t="shared" si="77"/>
        <v/>
      </c>
      <c r="IE12" s="14" t="str">
        <f t="shared" si="78"/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 t="shared" si="79"/>
        <v/>
      </c>
      <c r="IV12" s="11" t="str">
        <f t="shared" si="80"/>
        <v/>
      </c>
      <c r="IW12" s="11" t="str">
        <f t="shared" si="81"/>
        <v/>
      </c>
      <c r="IX12" s="11" t="str">
        <f t="shared" si="82"/>
        <v/>
      </c>
      <c r="IY12" s="11" t="str">
        <f t="shared" si="83"/>
        <v/>
      </c>
      <c r="IZ12" s="11" t="str">
        <f t="shared" si="84"/>
        <v/>
      </c>
      <c r="JA12" s="11" t="str">
        <f t="shared" si="85"/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 t="shared" si="86"/>
        <v/>
      </c>
      <c r="JR12" s="14" t="str">
        <f t="shared" si="87"/>
        <v/>
      </c>
      <c r="JS12" s="14" t="str">
        <f t="shared" si="88"/>
        <v/>
      </c>
      <c r="JT12" s="14" t="str">
        <f t="shared" si="89"/>
        <v/>
      </c>
      <c r="JU12" s="14" t="str">
        <f t="shared" si="90"/>
        <v/>
      </c>
      <c r="JV12" s="14" t="str">
        <f t="shared" si="91"/>
        <v/>
      </c>
      <c r="JW12" s="14" t="str">
        <f t="shared" si="92"/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 t="shared" si="93"/>
        <v/>
      </c>
      <c r="KN12" s="11" t="str">
        <f t="shared" si="94"/>
        <v/>
      </c>
      <c r="KO12" s="11" t="str">
        <f t="shared" si="95"/>
        <v/>
      </c>
      <c r="KP12" s="11" t="str">
        <f t="shared" si="96"/>
        <v/>
      </c>
      <c r="KQ12" s="11" t="str">
        <f t="shared" si="97"/>
        <v/>
      </c>
      <c r="KR12" s="11" t="str">
        <f t="shared" si="98"/>
        <v/>
      </c>
      <c r="KS12" s="11" t="str">
        <f t="shared" si="99"/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 t="shared" si="100"/>
        <v/>
      </c>
      <c r="LJ12" s="14" t="str">
        <f t="shared" si="101"/>
        <v/>
      </c>
      <c r="LK12" s="14" t="str">
        <f t="shared" si="102"/>
        <v/>
      </c>
      <c r="LL12" s="14" t="str">
        <f t="shared" si="103"/>
        <v/>
      </c>
      <c r="LM12" s="14" t="str">
        <f t="shared" si="104"/>
        <v/>
      </c>
      <c r="LN12" s="14" t="str">
        <f t="shared" si="105"/>
        <v/>
      </c>
      <c r="LO12" s="14" t="str">
        <f t="shared" si="106"/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 t="shared" si="107"/>
        <v/>
      </c>
      <c r="MF12" s="11" t="str">
        <f t="shared" si="108"/>
        <v/>
      </c>
      <c r="MG12" s="11" t="str">
        <f t="shared" si="109"/>
        <v/>
      </c>
      <c r="MH12" s="11" t="str">
        <f t="shared" si="110"/>
        <v/>
      </c>
      <c r="MI12" s="11" t="str">
        <f t="shared" si="111"/>
        <v/>
      </c>
      <c r="MJ12" s="11" t="str">
        <f t="shared" si="112"/>
        <v/>
      </c>
      <c r="MK12" s="11" t="str">
        <f t="shared" si="113"/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 t="shared" si="114"/>
        <v/>
      </c>
      <c r="NB12" s="14" t="str">
        <f t="shared" si="115"/>
        <v/>
      </c>
      <c r="NC12" s="14" t="str">
        <f t="shared" si="116"/>
        <v/>
      </c>
      <c r="ND12" s="14" t="str">
        <f t="shared" si="117"/>
        <v/>
      </c>
      <c r="NE12" s="14" t="str">
        <f t="shared" si="118"/>
        <v/>
      </c>
      <c r="NF12" s="14" t="str">
        <f t="shared" si="119"/>
        <v/>
      </c>
      <c r="NG12" s="14" t="str">
        <f t="shared" si="120"/>
        <v/>
      </c>
      <c r="NH12" s="38">
        <f t="shared" si="121"/>
        <v>8</v>
      </c>
      <c r="NI12" s="38">
        <f t="shared" si="122"/>
        <v>4.6500000000000004</v>
      </c>
      <c r="NJ12" s="38">
        <f t="shared" si="123"/>
        <v>2.6</v>
      </c>
      <c r="NK12" s="38">
        <f t="shared" si="124"/>
        <v>7.6924999999999999</v>
      </c>
      <c r="NL12" s="38">
        <f t="shared" si="125"/>
        <v>0</v>
      </c>
      <c r="NM12" s="38">
        <f t="shared" si="126"/>
        <v>5.0999999999999996</v>
      </c>
      <c r="NN12" s="38">
        <f t="shared" si="127"/>
        <v>3.3</v>
      </c>
      <c r="NO12" s="38">
        <f t="shared" si="128"/>
        <v>4.8</v>
      </c>
      <c r="NP12" s="38">
        <f t="shared" si="129"/>
        <v>6.1074999999999999</v>
      </c>
      <c r="NQ12" s="38">
        <f t="shared" si="130"/>
        <v>0</v>
      </c>
      <c r="NR12" s="38">
        <f t="shared" si="131"/>
        <v>4.9000000000000004</v>
      </c>
      <c r="NS12" s="38">
        <f t="shared" si="132"/>
        <v>3.3</v>
      </c>
      <c r="NT12" s="38">
        <f t="shared" si="133"/>
        <v>4.8</v>
      </c>
      <c r="NU12" s="38">
        <f t="shared" si="134"/>
        <v>5.4574999999999996</v>
      </c>
      <c r="NV12" s="38">
        <f t="shared" si="135"/>
        <v>0</v>
      </c>
      <c r="NW12" s="38">
        <f t="shared" si="136"/>
        <v>1.4</v>
      </c>
      <c r="NX12" s="38">
        <f t="shared" si="137"/>
        <v>0.9</v>
      </c>
      <c r="NY12" s="38">
        <f t="shared" si="138"/>
        <v>1.35</v>
      </c>
      <c r="NZ12" s="38">
        <f t="shared" si="139"/>
        <v>1.575</v>
      </c>
      <c r="OA12" s="38">
        <f t="shared" si="140"/>
        <v>0</v>
      </c>
      <c r="OB12" s="45" t="s">
        <v>46</v>
      </c>
      <c r="OC12" s="11">
        <f t="shared" si="141"/>
        <v>22.942499999999999</v>
      </c>
      <c r="OD12" s="11">
        <f t="shared" si="142"/>
        <v>4.8</v>
      </c>
      <c r="OE12" s="11">
        <f t="shared" si="143"/>
        <v>19.307499999999997</v>
      </c>
      <c r="OF12" s="11">
        <f t="shared" si="144"/>
        <v>4.8</v>
      </c>
      <c r="OG12" s="11">
        <f t="shared" si="145"/>
        <v>18.4575</v>
      </c>
      <c r="OH12" s="11">
        <f t="shared" si="146"/>
        <v>42.25</v>
      </c>
      <c r="OI12" s="11">
        <f t="shared" si="147"/>
        <v>1.35</v>
      </c>
      <c r="OJ12" s="11">
        <f t="shared" ref="OJ12" si="152">IF(SUM(NW12:NZ12)-OA12&gt;0,SUM(NW12:NZ12)-OA12,"")</f>
        <v>5.2249999999999996</v>
      </c>
      <c r="OK12" s="11">
        <f t="shared" ref="OK12" si="153">IF(SUM(OH12,OJ12)&gt;0,SUM(OH12,OJ12),"")</f>
        <v>47.475000000000001</v>
      </c>
    </row>
    <row r="13" spans="1:401" x14ac:dyDescent="0.2">
      <c r="A13" s="5" t="str" cm="1">
        <f t="array" ref="A13">IF(AND(F13="P",G13="P"),SUMPRODUCT((F$4:F$32="P")*(G$4:G$32="P")*(E$4:E$32&gt;E13))+1,IF(G13="P",SUMPRODUCT((F$4:F$32="")*(G$4:G$32="P")*(E$4:E$32&gt;E13))+1+SUMPRODUCT((F$4:F$32="P")*(G$4:G$32="P")),""))</f>
        <v/>
      </c>
      <c r="B13" s="6" t="s">
        <v>88</v>
      </c>
      <c r="C13" s="7" t="s">
        <v>4</v>
      </c>
      <c r="D13" s="22">
        <v>2004</v>
      </c>
      <c r="E13" s="15">
        <f t="shared" si="0"/>
        <v>101.81000512399999</v>
      </c>
      <c r="F13" s="3" t="str">
        <f t="shared" si="1"/>
        <v/>
      </c>
      <c r="G13" s="3" t="str">
        <f t="shared" si="2"/>
        <v/>
      </c>
      <c r="H13" s="67" t="str">
        <f t="shared" si="3"/>
        <v/>
      </c>
      <c r="I13" s="14">
        <f t="shared" si="4"/>
        <v>51.239999999999995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50.569999999999993</v>
      </c>
      <c r="L13" s="14" t="str">
        <f t="shared" si="6"/>
        <v>2022 Elite Canada</v>
      </c>
      <c r="M13" s="14" t="str">
        <f t="shared" si="7"/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15.5</v>
      </c>
      <c r="Q13" s="38">
        <v>9.3000000000000007</v>
      </c>
      <c r="R13" s="38">
        <v>2.5</v>
      </c>
      <c r="S13" s="38">
        <v>15.824999999999999</v>
      </c>
      <c r="T13" s="38">
        <v>0</v>
      </c>
      <c r="U13" s="38">
        <v>13.2</v>
      </c>
      <c r="V13" s="38">
        <v>9.6</v>
      </c>
      <c r="W13" s="38">
        <v>11.3</v>
      </c>
      <c r="X13" s="38">
        <v>15.39</v>
      </c>
      <c r="Y13" s="38">
        <v>0</v>
      </c>
      <c r="Z13" s="38"/>
      <c r="AA13" s="38"/>
      <c r="AB13" s="38"/>
      <c r="AC13" s="38"/>
      <c r="AD13" s="38"/>
      <c r="AE13" s="38">
        <v>13.5</v>
      </c>
      <c r="AF13" s="38">
        <v>9.4</v>
      </c>
      <c r="AG13" s="38">
        <v>10.4</v>
      </c>
      <c r="AH13" s="38">
        <v>15.23</v>
      </c>
      <c r="AI13" s="38">
        <v>0</v>
      </c>
      <c r="AJ13" s="45"/>
      <c r="AK13" s="11">
        <f t="shared" si="8"/>
        <v>43.125</v>
      </c>
      <c r="AL13" s="11">
        <f t="shared" si="9"/>
        <v>11.3</v>
      </c>
      <c r="AM13" s="11">
        <f t="shared" si="10"/>
        <v>49.489999999999995</v>
      </c>
      <c r="AN13" s="11" t="str">
        <f t="shared" si="11"/>
        <v/>
      </c>
      <c r="AO13" s="11" t="str">
        <f t="shared" si="12"/>
        <v/>
      </c>
      <c r="AP13" s="11">
        <f t="shared" si="13"/>
        <v>92.614999999999995</v>
      </c>
      <c r="AQ13" s="11">
        <f t="shared" si="14"/>
        <v>10.4</v>
      </c>
      <c r="AR13" s="11">
        <f t="shared" si="15"/>
        <v>48.53</v>
      </c>
      <c r="AS13" s="11">
        <f t="shared" si="16"/>
        <v>141.14499999999998</v>
      </c>
      <c r="AT13" s="42">
        <v>16</v>
      </c>
      <c r="AU13" s="42">
        <v>8.5</v>
      </c>
      <c r="AV13" s="42">
        <v>2.5</v>
      </c>
      <c r="AW13" s="42">
        <v>15.105</v>
      </c>
      <c r="AX13" s="42">
        <v>0</v>
      </c>
      <c r="AY13" s="42">
        <v>14.6</v>
      </c>
      <c r="AZ13" s="42">
        <v>9.1</v>
      </c>
      <c r="BA13" s="42">
        <v>11.2</v>
      </c>
      <c r="BB13" s="42">
        <v>14.64</v>
      </c>
      <c r="BC13" s="42">
        <v>0</v>
      </c>
      <c r="BD13" s="42"/>
      <c r="BE13" s="42"/>
      <c r="BF13" s="42"/>
      <c r="BG13" s="42"/>
      <c r="BH13" s="42"/>
      <c r="BI13" s="42">
        <v>13.8</v>
      </c>
      <c r="BJ13" s="42">
        <v>8.6</v>
      </c>
      <c r="BK13" s="42">
        <v>11.2</v>
      </c>
      <c r="BL13" s="42">
        <v>14.404999999999999</v>
      </c>
      <c r="BM13" s="42">
        <v>0</v>
      </c>
      <c r="BN13" s="46"/>
      <c r="BO13" s="14">
        <f t="shared" si="17"/>
        <v>42.105000000000004</v>
      </c>
      <c r="BP13" s="14">
        <f t="shared" si="18"/>
        <v>11.2</v>
      </c>
      <c r="BQ13" s="14">
        <f t="shared" si="19"/>
        <v>49.54</v>
      </c>
      <c r="BR13" s="14" t="str">
        <f t="shared" si="20"/>
        <v/>
      </c>
      <c r="BS13" s="14" t="str">
        <f t="shared" si="21"/>
        <v/>
      </c>
      <c r="BT13" s="14">
        <f t="shared" si="22"/>
        <v>91.64500000000001</v>
      </c>
      <c r="BU13" s="14">
        <f t="shared" si="23"/>
        <v>11.2</v>
      </c>
      <c r="BV13" s="14">
        <f t="shared" si="24"/>
        <v>48.004999999999995</v>
      </c>
      <c r="BW13" s="14">
        <f t="shared" si="25"/>
        <v>139.65</v>
      </c>
      <c r="BX13" s="38">
        <v>16.3</v>
      </c>
      <c r="BY13" s="38">
        <v>9.6</v>
      </c>
      <c r="BZ13" s="38">
        <v>1.3</v>
      </c>
      <c r="CA13" s="38">
        <v>15.71</v>
      </c>
      <c r="CB13" s="38">
        <v>0</v>
      </c>
      <c r="CC13" s="38">
        <v>14.7</v>
      </c>
      <c r="CD13" s="38">
        <v>8.6</v>
      </c>
      <c r="CE13" s="38">
        <v>12.3</v>
      </c>
      <c r="CF13" s="38">
        <v>15.64</v>
      </c>
      <c r="CG13" s="38">
        <v>0</v>
      </c>
      <c r="CH13" s="38"/>
      <c r="CI13" s="38"/>
      <c r="CJ13" s="38"/>
      <c r="CK13" s="38"/>
      <c r="CL13" s="38"/>
      <c r="CM13" s="38">
        <v>14.2</v>
      </c>
      <c r="CN13" s="38">
        <v>8.6</v>
      </c>
      <c r="CO13" s="38">
        <v>12.3</v>
      </c>
      <c r="CP13" s="38">
        <v>15.47</v>
      </c>
      <c r="CQ13" s="38">
        <v>0</v>
      </c>
      <c r="CR13" s="45"/>
      <c r="CS13" s="11">
        <f t="shared" si="26"/>
        <v>42.91</v>
      </c>
      <c r="CT13" s="11">
        <f t="shared" si="27"/>
        <v>12.3</v>
      </c>
      <c r="CU13" s="11">
        <f t="shared" si="28"/>
        <v>51.239999999999995</v>
      </c>
      <c r="CV13" s="11" t="str">
        <f t="shared" si="29"/>
        <v/>
      </c>
      <c r="CW13" s="11" t="str">
        <f t="shared" si="30"/>
        <v/>
      </c>
      <c r="CX13" s="11">
        <f t="shared" si="31"/>
        <v>94.149999999999991</v>
      </c>
      <c r="CY13" s="11">
        <f t="shared" si="32"/>
        <v>12.3</v>
      </c>
      <c r="CZ13" s="11">
        <f t="shared" si="33"/>
        <v>50.569999999999993</v>
      </c>
      <c r="DA13" s="11">
        <f t="shared" si="34"/>
        <v>144.71999999999997</v>
      </c>
      <c r="DB13" s="19" t="str">
        <f t="shared" si="35"/>
        <v/>
      </c>
      <c r="DC13" s="19" t="str">
        <f t="shared" si="36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 t="shared" si="37"/>
        <v/>
      </c>
      <c r="DT13" s="11" t="str">
        <f t="shared" si="38"/>
        <v/>
      </c>
      <c r="DU13" s="11" t="str">
        <f t="shared" si="39"/>
        <v/>
      </c>
      <c r="DV13" s="11" t="str">
        <f t="shared" si="40"/>
        <v/>
      </c>
      <c r="DW13" s="11" t="str">
        <f t="shared" si="41"/>
        <v/>
      </c>
      <c r="DX13" s="11" t="str">
        <f t="shared" si="42"/>
        <v/>
      </c>
      <c r="DY13" s="11" t="str">
        <f t="shared" si="43"/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 t="shared" si="44"/>
        <v/>
      </c>
      <c r="EP13" s="14" t="str">
        <f t="shared" si="45"/>
        <v/>
      </c>
      <c r="EQ13" s="14" t="str">
        <f t="shared" si="46"/>
        <v/>
      </c>
      <c r="ER13" s="14" t="str">
        <f t="shared" si="47"/>
        <v/>
      </c>
      <c r="ES13" s="14" t="str">
        <f t="shared" si="48"/>
        <v/>
      </c>
      <c r="ET13" s="14" t="str">
        <f t="shared" si="49"/>
        <v/>
      </c>
      <c r="EU13" s="14" t="str">
        <f t="shared" si="50"/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 t="shared" si="51"/>
        <v/>
      </c>
      <c r="FL13" s="11" t="str">
        <f t="shared" si="52"/>
        <v/>
      </c>
      <c r="FM13" s="11" t="str">
        <f t="shared" si="53"/>
        <v/>
      </c>
      <c r="FN13" s="11" t="str">
        <f t="shared" si="54"/>
        <v/>
      </c>
      <c r="FO13" s="11" t="str">
        <f t="shared" si="55"/>
        <v/>
      </c>
      <c r="FP13" s="11" t="str">
        <f t="shared" si="56"/>
        <v/>
      </c>
      <c r="FQ13" s="11" t="str">
        <f t="shared" si="57"/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 t="shared" si="58"/>
        <v/>
      </c>
      <c r="GH13" s="14" t="str">
        <f t="shared" si="59"/>
        <v/>
      </c>
      <c r="GI13" s="14" t="str">
        <f t="shared" si="60"/>
        <v/>
      </c>
      <c r="GJ13" s="14" t="str">
        <f t="shared" si="61"/>
        <v/>
      </c>
      <c r="GK13" s="14" t="str">
        <f t="shared" si="62"/>
        <v/>
      </c>
      <c r="GL13" s="14" t="str">
        <f t="shared" si="63"/>
        <v/>
      </c>
      <c r="GM13" s="14" t="str">
        <f t="shared" si="64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 t="shared" si="65"/>
        <v/>
      </c>
      <c r="HD13" s="11" t="str">
        <f t="shared" si="66"/>
        <v/>
      </c>
      <c r="HE13" s="11" t="str">
        <f t="shared" si="67"/>
        <v/>
      </c>
      <c r="HF13" s="11" t="str">
        <f t="shared" si="68"/>
        <v/>
      </c>
      <c r="HG13" s="11" t="str">
        <f t="shared" si="69"/>
        <v/>
      </c>
      <c r="HH13" s="11" t="str">
        <f t="shared" si="70"/>
        <v/>
      </c>
      <c r="HI13" s="11" t="str">
        <f t="shared" si="71"/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 t="shared" si="72"/>
        <v/>
      </c>
      <c r="HZ13" s="14" t="str">
        <f t="shared" si="73"/>
        <v/>
      </c>
      <c r="IA13" s="14" t="str">
        <f t="shared" si="74"/>
        <v/>
      </c>
      <c r="IB13" s="14" t="str">
        <f t="shared" si="75"/>
        <v/>
      </c>
      <c r="IC13" s="14" t="str">
        <f t="shared" si="76"/>
        <v/>
      </c>
      <c r="ID13" s="14" t="str">
        <f t="shared" si="77"/>
        <v/>
      </c>
      <c r="IE13" s="14" t="str">
        <f t="shared" si="78"/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 t="shared" si="79"/>
        <v/>
      </c>
      <c r="IV13" s="11" t="str">
        <f t="shared" si="80"/>
        <v/>
      </c>
      <c r="IW13" s="11" t="str">
        <f t="shared" si="81"/>
        <v/>
      </c>
      <c r="IX13" s="11" t="str">
        <f t="shared" si="82"/>
        <v/>
      </c>
      <c r="IY13" s="11" t="str">
        <f t="shared" si="83"/>
        <v/>
      </c>
      <c r="IZ13" s="11" t="str">
        <f t="shared" si="84"/>
        <v/>
      </c>
      <c r="JA13" s="11" t="str">
        <f t="shared" si="85"/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 t="shared" si="86"/>
        <v/>
      </c>
      <c r="JR13" s="14" t="str">
        <f t="shared" si="87"/>
        <v/>
      </c>
      <c r="JS13" s="14" t="str">
        <f t="shared" si="88"/>
        <v/>
      </c>
      <c r="JT13" s="14" t="str">
        <f t="shared" si="89"/>
        <v/>
      </c>
      <c r="JU13" s="14" t="str">
        <f t="shared" si="90"/>
        <v/>
      </c>
      <c r="JV13" s="14" t="str">
        <f t="shared" si="91"/>
        <v/>
      </c>
      <c r="JW13" s="14" t="str">
        <f t="shared" si="92"/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 t="shared" si="93"/>
        <v/>
      </c>
      <c r="KN13" s="11" t="str">
        <f t="shared" si="94"/>
        <v/>
      </c>
      <c r="KO13" s="11" t="str">
        <f t="shared" si="95"/>
        <v/>
      </c>
      <c r="KP13" s="11" t="str">
        <f t="shared" si="96"/>
        <v/>
      </c>
      <c r="KQ13" s="11" t="str">
        <f t="shared" si="97"/>
        <v/>
      </c>
      <c r="KR13" s="11" t="str">
        <f t="shared" si="98"/>
        <v/>
      </c>
      <c r="KS13" s="11" t="str">
        <f t="shared" si="99"/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 t="shared" si="100"/>
        <v/>
      </c>
      <c r="LJ13" s="14" t="str">
        <f t="shared" si="101"/>
        <v/>
      </c>
      <c r="LK13" s="14" t="str">
        <f t="shared" si="102"/>
        <v/>
      </c>
      <c r="LL13" s="14" t="str">
        <f t="shared" si="103"/>
        <v/>
      </c>
      <c r="LM13" s="14" t="str">
        <f t="shared" si="104"/>
        <v/>
      </c>
      <c r="LN13" s="14" t="str">
        <f t="shared" si="105"/>
        <v/>
      </c>
      <c r="LO13" s="14" t="str">
        <f t="shared" si="106"/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 t="shared" si="107"/>
        <v/>
      </c>
      <c r="MF13" s="11" t="str">
        <f t="shared" si="108"/>
        <v/>
      </c>
      <c r="MG13" s="11" t="str">
        <f t="shared" si="109"/>
        <v/>
      </c>
      <c r="MH13" s="11" t="str">
        <f t="shared" si="110"/>
        <v/>
      </c>
      <c r="MI13" s="11" t="str">
        <f t="shared" si="111"/>
        <v/>
      </c>
      <c r="MJ13" s="11" t="str">
        <f t="shared" si="112"/>
        <v/>
      </c>
      <c r="MK13" s="11" t="str">
        <f t="shared" si="113"/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 t="shared" si="114"/>
        <v/>
      </c>
      <c r="NB13" s="14" t="str">
        <f t="shared" si="115"/>
        <v/>
      </c>
      <c r="NC13" s="14" t="str">
        <f t="shared" si="116"/>
        <v/>
      </c>
      <c r="ND13" s="14" t="str">
        <f t="shared" si="117"/>
        <v/>
      </c>
      <c r="NE13" s="14" t="str">
        <f t="shared" si="118"/>
        <v/>
      </c>
      <c r="NF13" s="14" t="str">
        <f t="shared" si="119"/>
        <v/>
      </c>
      <c r="NG13" s="14" t="str">
        <f t="shared" si="120"/>
        <v/>
      </c>
      <c r="NH13" s="38">
        <f t="shared" si="121"/>
        <v>16.149999999999999</v>
      </c>
      <c r="NI13" s="38">
        <f t="shared" si="122"/>
        <v>9.0500000000000007</v>
      </c>
      <c r="NJ13" s="38">
        <f t="shared" si="123"/>
        <v>1.9</v>
      </c>
      <c r="NK13" s="38">
        <f t="shared" si="124"/>
        <v>15.407500000000001</v>
      </c>
      <c r="NL13" s="38">
        <f t="shared" si="125"/>
        <v>0</v>
      </c>
      <c r="NM13" s="38">
        <f t="shared" si="126"/>
        <v>14.649999999999999</v>
      </c>
      <c r="NN13" s="38">
        <f t="shared" si="127"/>
        <v>8.85</v>
      </c>
      <c r="NO13" s="38">
        <f t="shared" si="128"/>
        <v>11.75</v>
      </c>
      <c r="NP13" s="38">
        <f t="shared" si="129"/>
        <v>15.14</v>
      </c>
      <c r="NQ13" s="38">
        <f t="shared" si="130"/>
        <v>0</v>
      </c>
      <c r="NR13" s="38">
        <f t="shared" si="131"/>
        <v>0</v>
      </c>
      <c r="NS13" s="38">
        <f t="shared" si="132"/>
        <v>0</v>
      </c>
      <c r="NT13" s="38">
        <f t="shared" si="133"/>
        <v>0</v>
      </c>
      <c r="NU13" s="38">
        <f t="shared" si="134"/>
        <v>0</v>
      </c>
      <c r="NV13" s="38">
        <f t="shared" si="135"/>
        <v>0</v>
      </c>
      <c r="NW13" s="38">
        <f t="shared" si="136"/>
        <v>14</v>
      </c>
      <c r="NX13" s="38">
        <f t="shared" si="137"/>
        <v>8.6</v>
      </c>
      <c r="NY13" s="38">
        <f t="shared" si="138"/>
        <v>11.75</v>
      </c>
      <c r="NZ13" s="38">
        <f t="shared" si="139"/>
        <v>14.9375</v>
      </c>
      <c r="OA13" s="38">
        <f t="shared" si="140"/>
        <v>0</v>
      </c>
      <c r="OB13" s="45" t="s">
        <v>46</v>
      </c>
      <c r="OC13" s="11">
        <f t="shared" si="141"/>
        <v>42.5075</v>
      </c>
      <c r="OD13" s="11">
        <f t="shared" si="142"/>
        <v>11.75</v>
      </c>
      <c r="OE13" s="11">
        <f t="shared" si="143"/>
        <v>50.39</v>
      </c>
      <c r="OF13" s="11" t="str">
        <f t="shared" si="144"/>
        <v/>
      </c>
      <c r="OG13" s="11" t="str">
        <f t="shared" si="145"/>
        <v/>
      </c>
      <c r="OH13" s="11">
        <f t="shared" si="146"/>
        <v>92.897500000000008</v>
      </c>
      <c r="OI13" s="11">
        <f t="shared" si="147"/>
        <v>11.75</v>
      </c>
      <c r="OJ13" s="11">
        <f t="shared" ref="OJ13" si="154">IF(SUM(NW13:NZ13)-OA13&gt;0,SUM(NW13:NZ13)-OA13,"")</f>
        <v>49.287500000000001</v>
      </c>
      <c r="OK13" s="11">
        <f t="shared" ref="OK13" si="155">IF(SUM(OH13,OJ13)&gt;0,SUM(OH13,OJ13),"")</f>
        <v>142.185</v>
      </c>
    </row>
    <row r="14" spans="1:401" x14ac:dyDescent="0.2">
      <c r="A14" s="5" t="str" cm="1">
        <f t="array" ref="A14">IF(AND(F14="P",G14="P"),SUMPRODUCT((F$4:F$32="P")*(G$4:G$32="P")*(E$4:E$32&gt;E14))+1,IF(G14="P",SUMPRODUCT((F$4:F$32="")*(G$4:G$32="P")*(E$4:E$32&gt;E14))+1+SUMPRODUCT((F$4:F$32="P")*(G$4:G$32="P")),""))</f>
        <v/>
      </c>
      <c r="B14" s="6" t="s">
        <v>109</v>
      </c>
      <c r="C14" s="7" t="s">
        <v>3</v>
      </c>
      <c r="D14" s="22">
        <v>2001</v>
      </c>
      <c r="E14" s="15">
        <f t="shared" si="0"/>
        <v>99.99000500199999</v>
      </c>
      <c r="F14" s="3" t="str">
        <f t="shared" si="1"/>
        <v/>
      </c>
      <c r="G14" s="3" t="str">
        <f t="shared" si="2"/>
        <v/>
      </c>
      <c r="H14" s="67" t="str">
        <f t="shared" si="3"/>
        <v/>
      </c>
      <c r="I14" s="14">
        <f t="shared" si="4"/>
        <v>50.019999999999996</v>
      </c>
      <c r="J14" s="14" t="str">
        <f t="shared" si="5"/>
        <v>2021 Canadian Championships</v>
      </c>
      <c r="K14" s="14">
        <f>IF(COUNT(AM14,AO14,AR14,BQ14,BS14,BV14,CU14,CW14,CZ14)&gt;1,LARGE((AM14,AO14,AR14,BQ14,BS14,BV14,CU14,CW14,CZ14),2),0)</f>
        <v>49.97</v>
      </c>
      <c r="L14" s="14" t="str">
        <f t="shared" si="6"/>
        <v>2021 Elite Canada</v>
      </c>
      <c r="M14" s="14" t="str">
        <f t="shared" si="7"/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16.100000000000001</v>
      </c>
      <c r="Q14" s="38">
        <v>10</v>
      </c>
      <c r="R14" s="38">
        <v>2.2000000000000002</v>
      </c>
      <c r="S14" s="38">
        <v>14.805</v>
      </c>
      <c r="T14" s="38">
        <v>0.2</v>
      </c>
      <c r="U14" s="38">
        <v>14.4</v>
      </c>
      <c r="V14" s="38">
        <v>9.8000000000000007</v>
      </c>
      <c r="W14" s="38">
        <v>11.2</v>
      </c>
      <c r="X14" s="38">
        <v>14.77</v>
      </c>
      <c r="Y14" s="38">
        <v>0.2</v>
      </c>
      <c r="Z14" s="38"/>
      <c r="AA14" s="38"/>
      <c r="AB14" s="38"/>
      <c r="AC14" s="38"/>
      <c r="AD14" s="38"/>
      <c r="AE14" s="38">
        <v>14.6</v>
      </c>
      <c r="AF14" s="38">
        <v>9.1999999999999993</v>
      </c>
      <c r="AG14" s="38">
        <v>11.2</v>
      </c>
      <c r="AH14" s="38">
        <v>14.795</v>
      </c>
      <c r="AI14" s="38">
        <v>0.2</v>
      </c>
      <c r="AJ14" s="45"/>
      <c r="AK14" s="11">
        <f t="shared" si="8"/>
        <v>42.905000000000001</v>
      </c>
      <c r="AL14" s="11">
        <f t="shared" si="9"/>
        <v>11.2</v>
      </c>
      <c r="AM14" s="11">
        <f t="shared" si="10"/>
        <v>49.97</v>
      </c>
      <c r="AN14" s="11" t="str">
        <f t="shared" si="11"/>
        <v/>
      </c>
      <c r="AO14" s="11" t="str">
        <f t="shared" si="12"/>
        <v/>
      </c>
      <c r="AP14" s="11">
        <f t="shared" si="13"/>
        <v>92.875</v>
      </c>
      <c r="AQ14" s="11">
        <f t="shared" si="14"/>
        <v>11.2</v>
      </c>
      <c r="AR14" s="11">
        <f t="shared" si="15"/>
        <v>49.594999999999999</v>
      </c>
      <c r="AS14" s="11">
        <f t="shared" si="16"/>
        <v>142.47</v>
      </c>
      <c r="AT14" s="42">
        <v>16.5</v>
      </c>
      <c r="AU14" s="42">
        <v>9.5</v>
      </c>
      <c r="AV14" s="42">
        <v>2.2000000000000002</v>
      </c>
      <c r="AW14" s="42">
        <v>14.994999999999999</v>
      </c>
      <c r="AX14" s="42">
        <v>0</v>
      </c>
      <c r="AY14" s="42">
        <v>12.9</v>
      </c>
      <c r="AZ14" s="42">
        <v>9</v>
      </c>
      <c r="BA14" s="42">
        <v>11.8</v>
      </c>
      <c r="BB14" s="42">
        <v>14.93</v>
      </c>
      <c r="BC14" s="42">
        <v>0</v>
      </c>
      <c r="BD14" s="42"/>
      <c r="BE14" s="42"/>
      <c r="BF14" s="42"/>
      <c r="BG14" s="42"/>
      <c r="BH14" s="42"/>
      <c r="BI14" s="42">
        <v>13.4</v>
      </c>
      <c r="BJ14" s="42">
        <v>9.5</v>
      </c>
      <c r="BK14" s="42">
        <v>12</v>
      </c>
      <c r="BL14" s="42">
        <v>15.12</v>
      </c>
      <c r="BM14" s="42">
        <v>0</v>
      </c>
      <c r="BN14" s="46"/>
      <c r="BO14" s="14">
        <f t="shared" si="17"/>
        <v>43.195</v>
      </c>
      <c r="BP14" s="14">
        <f t="shared" si="18"/>
        <v>11.8</v>
      </c>
      <c r="BQ14" s="14">
        <f t="shared" si="19"/>
        <v>48.63</v>
      </c>
      <c r="BR14" s="14" t="str">
        <f t="shared" si="20"/>
        <v/>
      </c>
      <c r="BS14" s="14" t="str">
        <f t="shared" si="21"/>
        <v/>
      </c>
      <c r="BT14" s="14">
        <f t="shared" si="22"/>
        <v>91.825000000000003</v>
      </c>
      <c r="BU14" s="14">
        <f t="shared" si="23"/>
        <v>12</v>
      </c>
      <c r="BV14" s="14">
        <f t="shared" si="24"/>
        <v>50.019999999999996</v>
      </c>
      <c r="BW14" s="14">
        <f t="shared" si="25"/>
        <v>141.845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 t="shared" si="26"/>
        <v/>
      </c>
      <c r="CT14" s="11" t="str">
        <f t="shared" si="27"/>
        <v/>
      </c>
      <c r="CU14" s="11" t="str">
        <f t="shared" si="28"/>
        <v/>
      </c>
      <c r="CV14" s="11" t="str">
        <f t="shared" si="29"/>
        <v/>
      </c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19" t="str">
        <f t="shared" si="35"/>
        <v/>
      </c>
      <c r="DC14" s="19" t="str">
        <f t="shared" si="36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11" t="str">
        <f t="shared" si="37"/>
        <v/>
      </c>
      <c r="DT14" s="11" t="str">
        <f t="shared" si="38"/>
        <v/>
      </c>
      <c r="DU14" s="11" t="str">
        <f t="shared" si="39"/>
        <v/>
      </c>
      <c r="DV14" s="11" t="str">
        <f t="shared" si="40"/>
        <v/>
      </c>
      <c r="DW14" s="11" t="str">
        <f t="shared" si="41"/>
        <v/>
      </c>
      <c r="DX14" s="11" t="str">
        <f t="shared" si="42"/>
        <v/>
      </c>
      <c r="DY14" s="11" t="str">
        <f t="shared" si="43"/>
        <v/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 t="shared" si="44"/>
        <v/>
      </c>
      <c r="EP14" s="14" t="str">
        <f t="shared" si="45"/>
        <v/>
      </c>
      <c r="EQ14" s="14" t="str">
        <f t="shared" si="46"/>
        <v/>
      </c>
      <c r="ER14" s="14" t="str">
        <f t="shared" si="47"/>
        <v/>
      </c>
      <c r="ES14" s="14" t="str">
        <f t="shared" si="48"/>
        <v/>
      </c>
      <c r="ET14" s="14" t="str">
        <f t="shared" si="49"/>
        <v/>
      </c>
      <c r="EU14" s="14" t="str">
        <f t="shared" si="50"/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 t="shared" si="51"/>
        <v/>
      </c>
      <c r="FL14" s="11" t="str">
        <f t="shared" si="52"/>
        <v/>
      </c>
      <c r="FM14" s="11" t="str">
        <f t="shared" si="53"/>
        <v/>
      </c>
      <c r="FN14" s="11" t="str">
        <f t="shared" si="54"/>
        <v/>
      </c>
      <c r="FO14" s="11" t="str">
        <f t="shared" si="55"/>
        <v/>
      </c>
      <c r="FP14" s="11" t="str">
        <f t="shared" si="56"/>
        <v/>
      </c>
      <c r="FQ14" s="11" t="str">
        <f t="shared" si="57"/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 t="shared" si="58"/>
        <v/>
      </c>
      <c r="GH14" s="14" t="str">
        <f t="shared" si="59"/>
        <v/>
      </c>
      <c r="GI14" s="14" t="str">
        <f t="shared" si="60"/>
        <v/>
      </c>
      <c r="GJ14" s="14" t="str">
        <f t="shared" si="61"/>
        <v/>
      </c>
      <c r="GK14" s="14" t="str">
        <f t="shared" si="62"/>
        <v/>
      </c>
      <c r="GL14" s="14" t="str">
        <f t="shared" si="63"/>
        <v/>
      </c>
      <c r="GM14" s="14" t="str">
        <f t="shared" si="64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 t="shared" si="65"/>
        <v/>
      </c>
      <c r="HD14" s="11" t="str">
        <f t="shared" si="66"/>
        <v/>
      </c>
      <c r="HE14" s="11" t="str">
        <f t="shared" si="67"/>
        <v/>
      </c>
      <c r="HF14" s="11" t="str">
        <f t="shared" si="68"/>
        <v/>
      </c>
      <c r="HG14" s="11" t="str">
        <f t="shared" si="69"/>
        <v/>
      </c>
      <c r="HH14" s="11" t="str">
        <f t="shared" si="70"/>
        <v/>
      </c>
      <c r="HI14" s="11" t="str">
        <f t="shared" si="71"/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 t="shared" si="72"/>
        <v/>
      </c>
      <c r="HZ14" s="14" t="str">
        <f t="shared" si="73"/>
        <v/>
      </c>
      <c r="IA14" s="14" t="str">
        <f t="shared" si="74"/>
        <v/>
      </c>
      <c r="IB14" s="14" t="str">
        <f t="shared" si="75"/>
        <v/>
      </c>
      <c r="IC14" s="14" t="str">
        <f t="shared" si="76"/>
        <v/>
      </c>
      <c r="ID14" s="14" t="str">
        <f t="shared" si="77"/>
        <v/>
      </c>
      <c r="IE14" s="14" t="str">
        <f t="shared" si="78"/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 t="shared" si="79"/>
        <v/>
      </c>
      <c r="IV14" s="11" t="str">
        <f t="shared" si="80"/>
        <v/>
      </c>
      <c r="IW14" s="11" t="str">
        <f t="shared" si="81"/>
        <v/>
      </c>
      <c r="IX14" s="11" t="str">
        <f t="shared" si="82"/>
        <v/>
      </c>
      <c r="IY14" s="11" t="str">
        <f t="shared" si="83"/>
        <v/>
      </c>
      <c r="IZ14" s="11" t="str">
        <f t="shared" si="84"/>
        <v/>
      </c>
      <c r="JA14" s="11" t="str">
        <f t="shared" si="85"/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 t="shared" si="86"/>
        <v/>
      </c>
      <c r="JR14" s="14" t="str">
        <f t="shared" si="87"/>
        <v/>
      </c>
      <c r="JS14" s="14" t="str">
        <f t="shared" si="88"/>
        <v/>
      </c>
      <c r="JT14" s="14" t="str">
        <f t="shared" si="89"/>
        <v/>
      </c>
      <c r="JU14" s="14" t="str">
        <f t="shared" si="90"/>
        <v/>
      </c>
      <c r="JV14" s="14" t="str">
        <f t="shared" si="91"/>
        <v/>
      </c>
      <c r="JW14" s="14" t="str">
        <f t="shared" si="92"/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 t="shared" si="93"/>
        <v/>
      </c>
      <c r="KN14" s="11" t="str">
        <f t="shared" si="94"/>
        <v/>
      </c>
      <c r="KO14" s="11" t="str">
        <f t="shared" si="95"/>
        <v/>
      </c>
      <c r="KP14" s="11" t="str">
        <f t="shared" si="96"/>
        <v/>
      </c>
      <c r="KQ14" s="11" t="str">
        <f t="shared" si="97"/>
        <v/>
      </c>
      <c r="KR14" s="11" t="str">
        <f t="shared" si="98"/>
        <v/>
      </c>
      <c r="KS14" s="11" t="str">
        <f t="shared" si="99"/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 t="shared" si="100"/>
        <v/>
      </c>
      <c r="LJ14" s="14" t="str">
        <f t="shared" si="101"/>
        <v/>
      </c>
      <c r="LK14" s="14" t="str">
        <f t="shared" si="102"/>
        <v/>
      </c>
      <c r="LL14" s="14" t="str">
        <f t="shared" si="103"/>
        <v/>
      </c>
      <c r="LM14" s="14" t="str">
        <f t="shared" si="104"/>
        <v/>
      </c>
      <c r="LN14" s="14" t="str">
        <f t="shared" si="105"/>
        <v/>
      </c>
      <c r="LO14" s="14" t="str">
        <f t="shared" si="106"/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 t="shared" si="107"/>
        <v/>
      </c>
      <c r="MF14" s="11" t="str">
        <f t="shared" si="108"/>
        <v/>
      </c>
      <c r="MG14" s="11" t="str">
        <f t="shared" si="109"/>
        <v/>
      </c>
      <c r="MH14" s="11" t="str">
        <f t="shared" si="110"/>
        <v/>
      </c>
      <c r="MI14" s="11" t="str">
        <f t="shared" si="111"/>
        <v/>
      </c>
      <c r="MJ14" s="11" t="str">
        <f t="shared" si="112"/>
        <v/>
      </c>
      <c r="MK14" s="11" t="str">
        <f t="shared" si="113"/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 t="shared" si="114"/>
        <v/>
      </c>
      <c r="NB14" s="14" t="str">
        <f t="shared" si="115"/>
        <v/>
      </c>
      <c r="NC14" s="14" t="str">
        <f t="shared" si="116"/>
        <v/>
      </c>
      <c r="ND14" s="14" t="str">
        <f t="shared" si="117"/>
        <v/>
      </c>
      <c r="NE14" s="14" t="str">
        <f t="shared" si="118"/>
        <v/>
      </c>
      <c r="NF14" s="14" t="str">
        <f t="shared" si="119"/>
        <v/>
      </c>
      <c r="NG14" s="14" t="str">
        <f t="shared" si="120"/>
        <v/>
      </c>
      <c r="NH14" s="38">
        <f t="shared" si="121"/>
        <v>8.25</v>
      </c>
      <c r="NI14" s="38">
        <f t="shared" si="122"/>
        <v>4.75</v>
      </c>
      <c r="NJ14" s="38">
        <f t="shared" si="123"/>
        <v>1.1000000000000001</v>
      </c>
      <c r="NK14" s="38">
        <f t="shared" si="124"/>
        <v>7.4974999999999996</v>
      </c>
      <c r="NL14" s="38">
        <f t="shared" si="125"/>
        <v>0</v>
      </c>
      <c r="NM14" s="38">
        <f t="shared" si="126"/>
        <v>6.45</v>
      </c>
      <c r="NN14" s="38">
        <f t="shared" si="127"/>
        <v>4.5</v>
      </c>
      <c r="NO14" s="38">
        <f t="shared" si="128"/>
        <v>5.9</v>
      </c>
      <c r="NP14" s="38">
        <f t="shared" si="129"/>
        <v>7.4649999999999999</v>
      </c>
      <c r="NQ14" s="38">
        <f t="shared" si="130"/>
        <v>0</v>
      </c>
      <c r="NR14" s="38">
        <f t="shared" si="131"/>
        <v>0</v>
      </c>
      <c r="NS14" s="38">
        <f t="shared" si="132"/>
        <v>0</v>
      </c>
      <c r="NT14" s="38">
        <f t="shared" si="133"/>
        <v>0</v>
      </c>
      <c r="NU14" s="38">
        <f t="shared" si="134"/>
        <v>0</v>
      </c>
      <c r="NV14" s="38">
        <f t="shared" si="135"/>
        <v>0</v>
      </c>
      <c r="NW14" s="38">
        <f t="shared" si="136"/>
        <v>6.7</v>
      </c>
      <c r="NX14" s="38">
        <f t="shared" si="137"/>
        <v>4.75</v>
      </c>
      <c r="NY14" s="38">
        <f t="shared" si="138"/>
        <v>6</v>
      </c>
      <c r="NZ14" s="38">
        <f t="shared" si="139"/>
        <v>7.56</v>
      </c>
      <c r="OA14" s="38">
        <f t="shared" si="140"/>
        <v>0</v>
      </c>
      <c r="OB14" s="45" t="s">
        <v>46</v>
      </c>
      <c r="OC14" s="11">
        <f t="shared" si="141"/>
        <v>21.5975</v>
      </c>
      <c r="OD14" s="11">
        <f t="shared" si="142"/>
        <v>5.9</v>
      </c>
      <c r="OE14" s="11">
        <f t="shared" si="143"/>
        <v>24.315000000000001</v>
      </c>
      <c r="OF14" s="11" t="str">
        <f t="shared" si="144"/>
        <v/>
      </c>
      <c r="OG14" s="11" t="str">
        <f t="shared" si="145"/>
        <v/>
      </c>
      <c r="OH14" s="11">
        <f t="shared" si="146"/>
        <v>45.912500000000001</v>
      </c>
      <c r="OI14" s="11">
        <f t="shared" si="147"/>
        <v>6</v>
      </c>
      <c r="OJ14" s="11">
        <f t="shared" ref="OJ14" si="156">IF(SUM(NW14:NZ14)-OA14&gt;0,SUM(NW14:NZ14)-OA14,"")</f>
        <v>25.009999999999998</v>
      </c>
      <c r="OK14" s="11">
        <f t="shared" ref="OK14" si="157">IF(SUM(OH14,OJ14)&gt;0,SUM(OH14,OJ14),"")</f>
        <v>70.922499999999999</v>
      </c>
    </row>
    <row r="15" spans="1:401" x14ac:dyDescent="0.2">
      <c r="A15" s="5" t="str" cm="1">
        <f t="array" ref="A15">IF(AND(F15="P",G15="P"),SUMPRODUCT((F$4:F$32="P")*(G$4:G$32="P")*(E$4:E$32&gt;E15))+1,IF(G15="P",SUMPRODUCT((F$4:F$32="")*(G$4:G$32="P")*(E$4:E$32&gt;E15))+1+SUMPRODUCT((F$4:F$32="P")*(G$4:G$32="P")),""))</f>
        <v/>
      </c>
      <c r="B15" s="6" t="s">
        <v>78</v>
      </c>
      <c r="C15" s="7" t="s">
        <v>4</v>
      </c>
      <c r="D15" s="22">
        <v>2002</v>
      </c>
      <c r="E15" s="15">
        <f t="shared" si="0"/>
        <v>99.465004984000004</v>
      </c>
      <c r="F15" s="3" t="str">
        <f t="shared" si="1"/>
        <v/>
      </c>
      <c r="G15" s="3" t="str">
        <f t="shared" si="2"/>
        <v/>
      </c>
      <c r="H15" s="67" t="str">
        <f t="shared" si="3"/>
        <v/>
      </c>
      <c r="I15" s="14">
        <f t="shared" si="4"/>
        <v>49.839999999999996</v>
      </c>
      <c r="J15" s="14" t="str">
        <f t="shared" si="5"/>
        <v>2021 Elite Canada</v>
      </c>
      <c r="K15" s="14">
        <f>IF(COUNT(AM15,AO15,AR15,BQ15,BS15,BV15,CU15,CW15,CZ15)&gt;1,LARGE((AM15,AO15,AR15,BQ15,BS15,BV15,CU15,CW15,CZ15),2),0)</f>
        <v>49.625</v>
      </c>
      <c r="L15" s="14" t="str">
        <f t="shared" si="6"/>
        <v>2021 Elite Canada</v>
      </c>
      <c r="M15" s="14" t="str">
        <f t="shared" si="7"/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>
        <v>16.3</v>
      </c>
      <c r="Q15" s="38">
        <v>9.3000000000000007</v>
      </c>
      <c r="R15" s="38">
        <v>2.7</v>
      </c>
      <c r="S15" s="38">
        <v>15.36</v>
      </c>
      <c r="T15" s="38">
        <v>0</v>
      </c>
      <c r="U15" s="38">
        <v>14.7</v>
      </c>
      <c r="V15" s="38">
        <v>9.1999999999999993</v>
      </c>
      <c r="W15" s="38">
        <v>11.2</v>
      </c>
      <c r="X15" s="38">
        <v>14.74</v>
      </c>
      <c r="Y15" s="38">
        <v>0</v>
      </c>
      <c r="Z15" s="38"/>
      <c r="AA15" s="38"/>
      <c r="AB15" s="38"/>
      <c r="AC15" s="38"/>
      <c r="AD15" s="38"/>
      <c r="AE15" s="38">
        <v>15.2</v>
      </c>
      <c r="AF15" s="38">
        <v>8.9</v>
      </c>
      <c r="AG15" s="38">
        <v>10.5</v>
      </c>
      <c r="AH15" s="38">
        <v>15.025</v>
      </c>
      <c r="AI15" s="38">
        <v>0</v>
      </c>
      <c r="AJ15" s="45"/>
      <c r="AK15" s="11">
        <f t="shared" si="8"/>
        <v>43.66</v>
      </c>
      <c r="AL15" s="11">
        <f t="shared" si="9"/>
        <v>11.2</v>
      </c>
      <c r="AM15" s="11">
        <f t="shared" si="10"/>
        <v>49.839999999999996</v>
      </c>
      <c r="AN15" s="11" t="str">
        <f t="shared" si="11"/>
        <v/>
      </c>
      <c r="AO15" s="11" t="str">
        <f t="shared" si="12"/>
        <v/>
      </c>
      <c r="AP15" s="11">
        <f t="shared" si="13"/>
        <v>93.5</v>
      </c>
      <c r="AQ15" s="11">
        <f t="shared" si="14"/>
        <v>10.5</v>
      </c>
      <c r="AR15" s="11">
        <f t="shared" si="15"/>
        <v>49.625</v>
      </c>
      <c r="AS15" s="11">
        <f t="shared" si="16"/>
        <v>143.125</v>
      </c>
      <c r="AT15" s="42">
        <v>1.4</v>
      </c>
      <c r="AU15" s="42">
        <v>1</v>
      </c>
      <c r="AV15" s="42">
        <v>1.5</v>
      </c>
      <c r="AW15" s="42">
        <v>1.63</v>
      </c>
      <c r="AX15" s="42">
        <v>0</v>
      </c>
      <c r="AY15" s="42">
        <v>9</v>
      </c>
      <c r="AZ15" s="42">
        <v>5.0999999999999996</v>
      </c>
      <c r="BA15" s="42">
        <v>6.2</v>
      </c>
      <c r="BB15" s="42">
        <v>9.0850000000000009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 t="shared" si="17"/>
        <v>5.5299999999999994</v>
      </c>
      <c r="BP15" s="14">
        <f t="shared" si="18"/>
        <v>6.2</v>
      </c>
      <c r="BQ15" s="14">
        <f t="shared" si="19"/>
        <v>29.385000000000002</v>
      </c>
      <c r="BR15" s="14" t="str">
        <f t="shared" si="20"/>
        <v/>
      </c>
      <c r="BS15" s="14" t="str">
        <f t="shared" si="21"/>
        <v/>
      </c>
      <c r="BT15" s="14">
        <f t="shared" si="22"/>
        <v>34.914999999999999</v>
      </c>
      <c r="BU15" s="14" t="str">
        <f t="shared" si="23"/>
        <v/>
      </c>
      <c r="BV15" s="14" t="str">
        <f t="shared" si="24"/>
        <v/>
      </c>
      <c r="BW15" s="14">
        <f t="shared" si="25"/>
        <v>34.914999999999999</v>
      </c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45"/>
      <c r="CS15" s="11" t="str">
        <f t="shared" si="26"/>
        <v/>
      </c>
      <c r="CT15" s="11" t="str">
        <f t="shared" si="27"/>
        <v/>
      </c>
      <c r="CU15" s="11" t="str">
        <f t="shared" si="28"/>
        <v/>
      </c>
      <c r="CV15" s="11" t="str">
        <f t="shared" si="29"/>
        <v/>
      </c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19" t="str">
        <f t="shared" si="35"/>
        <v/>
      </c>
      <c r="DC15" s="19" t="str">
        <f t="shared" si="36"/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 t="shared" si="37"/>
        <v/>
      </c>
      <c r="DT15" s="11" t="str">
        <f t="shared" si="38"/>
        <v/>
      </c>
      <c r="DU15" s="11" t="str">
        <f t="shared" si="39"/>
        <v/>
      </c>
      <c r="DV15" s="11" t="str">
        <f t="shared" si="40"/>
        <v/>
      </c>
      <c r="DW15" s="11" t="str">
        <f t="shared" si="41"/>
        <v/>
      </c>
      <c r="DX15" s="11" t="str">
        <f t="shared" si="42"/>
        <v/>
      </c>
      <c r="DY15" s="11" t="str">
        <f t="shared" si="43"/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 t="shared" si="44"/>
        <v/>
      </c>
      <c r="EP15" s="14" t="str">
        <f t="shared" si="45"/>
        <v/>
      </c>
      <c r="EQ15" s="14" t="str">
        <f t="shared" si="46"/>
        <v/>
      </c>
      <c r="ER15" s="14" t="str">
        <f t="shared" si="47"/>
        <v/>
      </c>
      <c r="ES15" s="14" t="str">
        <f t="shared" si="48"/>
        <v/>
      </c>
      <c r="ET15" s="14" t="str">
        <f t="shared" si="49"/>
        <v/>
      </c>
      <c r="EU15" s="14" t="str">
        <f t="shared" si="50"/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 t="shared" si="51"/>
        <v/>
      </c>
      <c r="FL15" s="11" t="str">
        <f t="shared" si="52"/>
        <v/>
      </c>
      <c r="FM15" s="11" t="str">
        <f t="shared" si="53"/>
        <v/>
      </c>
      <c r="FN15" s="11" t="str">
        <f t="shared" si="54"/>
        <v/>
      </c>
      <c r="FO15" s="11" t="str">
        <f t="shared" si="55"/>
        <v/>
      </c>
      <c r="FP15" s="11" t="str">
        <f t="shared" si="56"/>
        <v/>
      </c>
      <c r="FQ15" s="11" t="str">
        <f t="shared" si="57"/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 t="shared" si="58"/>
        <v/>
      </c>
      <c r="GH15" s="14" t="str">
        <f t="shared" si="59"/>
        <v/>
      </c>
      <c r="GI15" s="14" t="str">
        <f t="shared" si="60"/>
        <v/>
      </c>
      <c r="GJ15" s="14" t="str">
        <f t="shared" si="61"/>
        <v/>
      </c>
      <c r="GK15" s="14" t="str">
        <f t="shared" si="62"/>
        <v/>
      </c>
      <c r="GL15" s="14" t="str">
        <f t="shared" si="63"/>
        <v/>
      </c>
      <c r="GM15" s="14" t="str">
        <f t="shared" si="64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 t="shared" si="65"/>
        <v/>
      </c>
      <c r="HD15" s="11" t="str">
        <f t="shared" si="66"/>
        <v/>
      </c>
      <c r="HE15" s="11" t="str">
        <f t="shared" si="67"/>
        <v/>
      </c>
      <c r="HF15" s="11" t="str">
        <f t="shared" si="68"/>
        <v/>
      </c>
      <c r="HG15" s="11" t="str">
        <f t="shared" si="69"/>
        <v/>
      </c>
      <c r="HH15" s="11" t="str">
        <f t="shared" si="70"/>
        <v/>
      </c>
      <c r="HI15" s="11" t="str">
        <f t="shared" si="71"/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 t="shared" si="72"/>
        <v/>
      </c>
      <c r="HZ15" s="14" t="str">
        <f t="shared" si="73"/>
        <v/>
      </c>
      <c r="IA15" s="14" t="str">
        <f t="shared" si="74"/>
        <v/>
      </c>
      <c r="IB15" s="14" t="str">
        <f t="shared" si="75"/>
        <v/>
      </c>
      <c r="IC15" s="14" t="str">
        <f t="shared" si="76"/>
        <v/>
      </c>
      <c r="ID15" s="14" t="str">
        <f t="shared" si="77"/>
        <v/>
      </c>
      <c r="IE15" s="14" t="str">
        <f t="shared" si="78"/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 t="shared" si="79"/>
        <v/>
      </c>
      <c r="IV15" s="11" t="str">
        <f t="shared" si="80"/>
        <v/>
      </c>
      <c r="IW15" s="11" t="str">
        <f t="shared" si="81"/>
        <v/>
      </c>
      <c r="IX15" s="11" t="str">
        <f t="shared" si="82"/>
        <v/>
      </c>
      <c r="IY15" s="11" t="str">
        <f t="shared" si="83"/>
        <v/>
      </c>
      <c r="IZ15" s="11" t="str">
        <f t="shared" si="84"/>
        <v/>
      </c>
      <c r="JA15" s="11" t="str">
        <f t="shared" si="85"/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 t="shared" si="86"/>
        <v/>
      </c>
      <c r="JR15" s="14" t="str">
        <f t="shared" si="87"/>
        <v/>
      </c>
      <c r="JS15" s="14" t="str">
        <f t="shared" si="88"/>
        <v/>
      </c>
      <c r="JT15" s="14" t="str">
        <f t="shared" si="89"/>
        <v/>
      </c>
      <c r="JU15" s="14" t="str">
        <f t="shared" si="90"/>
        <v/>
      </c>
      <c r="JV15" s="14" t="str">
        <f t="shared" si="91"/>
        <v/>
      </c>
      <c r="JW15" s="14" t="str">
        <f t="shared" si="92"/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 t="shared" si="93"/>
        <v/>
      </c>
      <c r="KN15" s="11" t="str">
        <f t="shared" si="94"/>
        <v/>
      </c>
      <c r="KO15" s="11" t="str">
        <f t="shared" si="95"/>
        <v/>
      </c>
      <c r="KP15" s="11" t="str">
        <f t="shared" si="96"/>
        <v/>
      </c>
      <c r="KQ15" s="11" t="str">
        <f t="shared" si="97"/>
        <v/>
      </c>
      <c r="KR15" s="11" t="str">
        <f t="shared" si="98"/>
        <v/>
      </c>
      <c r="KS15" s="11" t="str">
        <f t="shared" si="99"/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 t="shared" si="100"/>
        <v/>
      </c>
      <c r="LJ15" s="14" t="str">
        <f t="shared" si="101"/>
        <v/>
      </c>
      <c r="LK15" s="14" t="str">
        <f t="shared" si="102"/>
        <v/>
      </c>
      <c r="LL15" s="14" t="str">
        <f t="shared" si="103"/>
        <v/>
      </c>
      <c r="LM15" s="14" t="str">
        <f t="shared" si="104"/>
        <v/>
      </c>
      <c r="LN15" s="14" t="str">
        <f t="shared" si="105"/>
        <v/>
      </c>
      <c r="LO15" s="14" t="str">
        <f t="shared" si="106"/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 t="shared" si="107"/>
        <v/>
      </c>
      <c r="MF15" s="11" t="str">
        <f t="shared" si="108"/>
        <v/>
      </c>
      <c r="MG15" s="11" t="str">
        <f t="shared" si="109"/>
        <v/>
      </c>
      <c r="MH15" s="11" t="str">
        <f t="shared" si="110"/>
        <v/>
      </c>
      <c r="MI15" s="11" t="str">
        <f t="shared" si="111"/>
        <v/>
      </c>
      <c r="MJ15" s="11" t="str">
        <f t="shared" si="112"/>
        <v/>
      </c>
      <c r="MK15" s="11" t="str">
        <f t="shared" si="113"/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 t="shared" si="114"/>
        <v/>
      </c>
      <c r="NB15" s="14" t="str">
        <f t="shared" si="115"/>
        <v/>
      </c>
      <c r="NC15" s="14" t="str">
        <f t="shared" si="116"/>
        <v/>
      </c>
      <c r="ND15" s="14" t="str">
        <f t="shared" si="117"/>
        <v/>
      </c>
      <c r="NE15" s="14" t="str">
        <f t="shared" si="118"/>
        <v/>
      </c>
      <c r="NF15" s="14" t="str">
        <f t="shared" si="119"/>
        <v/>
      </c>
      <c r="NG15" s="14" t="str">
        <f t="shared" si="120"/>
        <v/>
      </c>
      <c r="NH15" s="38">
        <f t="shared" si="121"/>
        <v>0.7</v>
      </c>
      <c r="NI15" s="38">
        <f t="shared" si="122"/>
        <v>0.5</v>
      </c>
      <c r="NJ15" s="38">
        <f t="shared" si="123"/>
        <v>0.75</v>
      </c>
      <c r="NK15" s="38">
        <f t="shared" si="124"/>
        <v>0.81499999999999995</v>
      </c>
      <c r="NL15" s="38">
        <f t="shared" si="125"/>
        <v>0</v>
      </c>
      <c r="NM15" s="38">
        <f t="shared" si="126"/>
        <v>4.5</v>
      </c>
      <c r="NN15" s="38">
        <f t="shared" si="127"/>
        <v>2.5499999999999998</v>
      </c>
      <c r="NO15" s="38">
        <f t="shared" si="128"/>
        <v>3.1</v>
      </c>
      <c r="NP15" s="38">
        <f t="shared" si="129"/>
        <v>4.5425000000000004</v>
      </c>
      <c r="NQ15" s="38">
        <f t="shared" si="130"/>
        <v>0</v>
      </c>
      <c r="NR15" s="38">
        <f t="shared" si="131"/>
        <v>0</v>
      </c>
      <c r="NS15" s="38">
        <f t="shared" si="132"/>
        <v>0</v>
      </c>
      <c r="NT15" s="38">
        <f t="shared" si="133"/>
        <v>0</v>
      </c>
      <c r="NU15" s="38">
        <f t="shared" si="134"/>
        <v>0</v>
      </c>
      <c r="NV15" s="38">
        <f t="shared" si="135"/>
        <v>0</v>
      </c>
      <c r="NW15" s="38">
        <f t="shared" si="136"/>
        <v>0</v>
      </c>
      <c r="NX15" s="38">
        <f t="shared" si="137"/>
        <v>0</v>
      </c>
      <c r="NY15" s="38">
        <f t="shared" si="138"/>
        <v>0</v>
      </c>
      <c r="NZ15" s="38">
        <f t="shared" si="139"/>
        <v>0</v>
      </c>
      <c r="OA15" s="38">
        <f t="shared" si="140"/>
        <v>0</v>
      </c>
      <c r="OB15" s="45" t="s">
        <v>46</v>
      </c>
      <c r="OC15" s="11">
        <f t="shared" si="141"/>
        <v>2.7649999999999997</v>
      </c>
      <c r="OD15" s="11">
        <f t="shared" si="142"/>
        <v>3.1</v>
      </c>
      <c r="OE15" s="11">
        <f t="shared" si="143"/>
        <v>14.692500000000001</v>
      </c>
      <c r="OF15" s="11" t="str">
        <f t="shared" si="144"/>
        <v/>
      </c>
      <c r="OG15" s="11" t="str">
        <f t="shared" si="145"/>
        <v/>
      </c>
      <c r="OH15" s="11">
        <f t="shared" si="146"/>
        <v>17.4575</v>
      </c>
      <c r="OI15" s="11" t="str">
        <f t="shared" si="147"/>
        <v/>
      </c>
      <c r="OJ15" s="11" t="str">
        <f t="shared" ref="OJ15" si="158">IF(SUM(NW15:NZ15)-OA15&gt;0,SUM(NW15:NZ15)-OA15,"")</f>
        <v/>
      </c>
      <c r="OK15" s="11">
        <f t="shared" ref="OK15" si="159">IF(SUM(OH15,OJ15)&gt;0,SUM(OH15,OJ15),"")</f>
        <v>17.4575</v>
      </c>
    </row>
    <row r="16" spans="1:401" x14ac:dyDescent="0.2">
      <c r="A16" s="5" t="str" cm="1">
        <f t="array" ref="A16">IF(AND(F16="P",G16="P"),SUMPRODUCT((F$4:F$32="P")*(G$4:G$32="P")*(E$4:E$32&gt;E16))+1,IF(G16="P",SUMPRODUCT((F$4:F$32="")*(G$4:G$32="P")*(E$4:E$32&gt;E16))+1+SUMPRODUCT((F$4:F$32="P")*(G$4:G$32="P")),""))</f>
        <v/>
      </c>
      <c r="B16" s="6" t="s">
        <v>79</v>
      </c>
      <c r="C16" s="7" t="s">
        <v>5</v>
      </c>
      <c r="D16" s="22">
        <v>2002</v>
      </c>
      <c r="E16" s="15">
        <f t="shared" si="0"/>
        <v>98.750004938999993</v>
      </c>
      <c r="F16" s="3" t="str">
        <f t="shared" si="1"/>
        <v/>
      </c>
      <c r="G16" s="3" t="str">
        <f t="shared" si="2"/>
        <v/>
      </c>
      <c r="H16" s="67" t="str">
        <f t="shared" si="3"/>
        <v/>
      </c>
      <c r="I16" s="14">
        <f t="shared" si="4"/>
        <v>49.39</v>
      </c>
      <c r="J16" s="14" t="str">
        <f t="shared" si="5"/>
        <v>2022 Elite Canada</v>
      </c>
      <c r="K16" s="14">
        <f>IF(COUNT(AM16,AO16,AR16,BQ16,BS16,BV16,CU16,CW16,CZ16)&gt;1,LARGE((AM16,AO16,AR16,BQ16,BS16,BV16,CU16,CW16,CZ16),2),0)</f>
        <v>49.36</v>
      </c>
      <c r="L16" s="14" t="str">
        <f t="shared" si="6"/>
        <v>2021 Canadian Championships</v>
      </c>
      <c r="M16" s="14" t="str">
        <f t="shared" si="7"/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9.1</v>
      </c>
      <c r="R16" s="38">
        <v>2</v>
      </c>
      <c r="S16" s="38">
        <v>15.66</v>
      </c>
      <c r="T16" s="38">
        <v>0</v>
      </c>
      <c r="U16" s="38">
        <v>11.4</v>
      </c>
      <c r="V16" s="38">
        <v>6.7</v>
      </c>
      <c r="W16" s="38">
        <v>8.4</v>
      </c>
      <c r="X16" s="38">
        <v>13.035</v>
      </c>
      <c r="Y16" s="38">
        <v>0.2</v>
      </c>
      <c r="Z16" s="38"/>
      <c r="AA16" s="38"/>
      <c r="AB16" s="38"/>
      <c r="AC16" s="38"/>
      <c r="AD16" s="38"/>
      <c r="AE16" s="38">
        <v>3.1</v>
      </c>
      <c r="AF16" s="38">
        <v>1.7</v>
      </c>
      <c r="AG16" s="38">
        <v>2</v>
      </c>
      <c r="AH16" s="38">
        <v>4.1550000000000002</v>
      </c>
      <c r="AI16" s="38">
        <v>0</v>
      </c>
      <c r="AJ16" s="45"/>
      <c r="AK16" s="11">
        <f t="shared" si="8"/>
        <v>42.760000000000005</v>
      </c>
      <c r="AL16" s="11">
        <f t="shared" si="9"/>
        <v>8.4</v>
      </c>
      <c r="AM16" s="11">
        <f t="shared" si="10"/>
        <v>39.334999999999994</v>
      </c>
      <c r="AN16" s="11" t="str">
        <f t="shared" si="11"/>
        <v/>
      </c>
      <c r="AO16" s="11" t="str">
        <f t="shared" si="12"/>
        <v/>
      </c>
      <c r="AP16" s="11">
        <f t="shared" si="13"/>
        <v>82.094999999999999</v>
      </c>
      <c r="AQ16" s="11">
        <f t="shared" si="14"/>
        <v>2</v>
      </c>
      <c r="AR16" s="11">
        <f t="shared" si="15"/>
        <v>10.955</v>
      </c>
      <c r="AS16" s="11">
        <f t="shared" si="16"/>
        <v>93.05</v>
      </c>
      <c r="AT16" s="42">
        <v>16.399999999999999</v>
      </c>
      <c r="AU16" s="42">
        <v>9.4</v>
      </c>
      <c r="AV16" s="42">
        <v>2</v>
      </c>
      <c r="AW16" s="42">
        <v>15.51</v>
      </c>
      <c r="AX16" s="42">
        <v>0</v>
      </c>
      <c r="AY16" s="42">
        <v>14.3</v>
      </c>
      <c r="AZ16" s="42">
        <v>8.9</v>
      </c>
      <c r="BA16" s="42">
        <v>10.4</v>
      </c>
      <c r="BB16" s="42">
        <v>15.375</v>
      </c>
      <c r="BC16" s="42">
        <v>0</v>
      </c>
      <c r="BD16" s="42"/>
      <c r="BE16" s="42"/>
      <c r="BF16" s="42"/>
      <c r="BG16" s="42"/>
      <c r="BH16" s="42"/>
      <c r="BI16" s="42">
        <v>15.4</v>
      </c>
      <c r="BJ16" s="42">
        <v>8.4</v>
      </c>
      <c r="BK16" s="42">
        <v>9.9</v>
      </c>
      <c r="BL16" s="42">
        <v>15.66</v>
      </c>
      <c r="BM16" s="42">
        <v>0</v>
      </c>
      <c r="BN16" s="46"/>
      <c r="BO16" s="14">
        <f t="shared" si="17"/>
        <v>43.309999999999995</v>
      </c>
      <c r="BP16" s="14">
        <f t="shared" si="18"/>
        <v>10.4</v>
      </c>
      <c r="BQ16" s="14">
        <f t="shared" si="19"/>
        <v>48.975000000000001</v>
      </c>
      <c r="BR16" s="14" t="str">
        <f t="shared" si="20"/>
        <v/>
      </c>
      <c r="BS16" s="14" t="str">
        <f t="shared" si="21"/>
        <v/>
      </c>
      <c r="BT16" s="14">
        <f t="shared" si="22"/>
        <v>92.284999999999997</v>
      </c>
      <c r="BU16" s="14">
        <f t="shared" si="23"/>
        <v>9.9</v>
      </c>
      <c r="BV16" s="14">
        <f t="shared" si="24"/>
        <v>49.36</v>
      </c>
      <c r="BW16" s="14">
        <f t="shared" si="25"/>
        <v>141.64499999999998</v>
      </c>
      <c r="BX16" s="38">
        <v>15</v>
      </c>
      <c r="BY16" s="38">
        <v>9.3000000000000007</v>
      </c>
      <c r="BZ16" s="38">
        <v>2</v>
      </c>
      <c r="CA16" s="38">
        <v>15.36</v>
      </c>
      <c r="CB16" s="38">
        <v>0</v>
      </c>
      <c r="CC16" s="38">
        <v>14</v>
      </c>
      <c r="CD16" s="38">
        <v>8.5</v>
      </c>
      <c r="CE16" s="38">
        <v>11.3</v>
      </c>
      <c r="CF16" s="38">
        <v>15.59</v>
      </c>
      <c r="CG16" s="38">
        <v>0</v>
      </c>
      <c r="CH16" s="38"/>
      <c r="CI16" s="38"/>
      <c r="CJ16" s="38"/>
      <c r="CK16" s="38"/>
      <c r="CL16" s="38"/>
      <c r="CM16" s="38">
        <v>12.6</v>
      </c>
      <c r="CN16" s="38">
        <v>8.5</v>
      </c>
      <c r="CO16" s="38">
        <v>10.6</v>
      </c>
      <c r="CP16" s="38">
        <v>14.01</v>
      </c>
      <c r="CQ16" s="38">
        <v>0</v>
      </c>
      <c r="CR16" s="45"/>
      <c r="CS16" s="11">
        <f t="shared" si="26"/>
        <v>41.66</v>
      </c>
      <c r="CT16" s="11">
        <f t="shared" si="27"/>
        <v>11.3</v>
      </c>
      <c r="CU16" s="11">
        <f t="shared" si="28"/>
        <v>49.39</v>
      </c>
      <c r="CV16" s="11" t="str">
        <f t="shared" si="29"/>
        <v/>
      </c>
      <c r="CW16" s="11" t="str">
        <f t="shared" si="30"/>
        <v/>
      </c>
      <c r="CX16" s="11">
        <f t="shared" si="31"/>
        <v>91.05</v>
      </c>
      <c r="CY16" s="11">
        <f t="shared" si="32"/>
        <v>10.6</v>
      </c>
      <c r="CZ16" s="11">
        <f t="shared" si="33"/>
        <v>45.71</v>
      </c>
      <c r="DA16" s="11">
        <f t="shared" si="34"/>
        <v>136.76</v>
      </c>
      <c r="DB16" s="19" t="str">
        <f t="shared" si="35"/>
        <v/>
      </c>
      <c r="DC16" s="19" t="str">
        <f t="shared" si="36"/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 t="shared" si="37"/>
        <v/>
      </c>
      <c r="DT16" s="11" t="str">
        <f t="shared" si="38"/>
        <v/>
      </c>
      <c r="DU16" s="11" t="str">
        <f t="shared" si="39"/>
        <v/>
      </c>
      <c r="DV16" s="11" t="str">
        <f t="shared" si="40"/>
        <v/>
      </c>
      <c r="DW16" s="11" t="str">
        <f t="shared" si="41"/>
        <v/>
      </c>
      <c r="DX16" s="11" t="str">
        <f t="shared" si="42"/>
        <v/>
      </c>
      <c r="DY16" s="11" t="str">
        <f t="shared" si="43"/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 t="shared" si="44"/>
        <v/>
      </c>
      <c r="EP16" s="14" t="str">
        <f t="shared" si="45"/>
        <v/>
      </c>
      <c r="EQ16" s="14" t="str">
        <f t="shared" si="46"/>
        <v/>
      </c>
      <c r="ER16" s="14" t="str">
        <f t="shared" si="47"/>
        <v/>
      </c>
      <c r="ES16" s="14" t="str">
        <f t="shared" si="48"/>
        <v/>
      </c>
      <c r="ET16" s="14" t="str">
        <f t="shared" si="49"/>
        <v/>
      </c>
      <c r="EU16" s="14" t="str">
        <f t="shared" si="50"/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 t="shared" si="51"/>
        <v/>
      </c>
      <c r="FL16" s="11" t="str">
        <f t="shared" si="52"/>
        <v/>
      </c>
      <c r="FM16" s="11" t="str">
        <f t="shared" si="53"/>
        <v/>
      </c>
      <c r="FN16" s="11" t="str">
        <f t="shared" si="54"/>
        <v/>
      </c>
      <c r="FO16" s="11" t="str">
        <f t="shared" si="55"/>
        <v/>
      </c>
      <c r="FP16" s="11" t="str">
        <f t="shared" si="56"/>
        <v/>
      </c>
      <c r="FQ16" s="11" t="str">
        <f t="shared" si="57"/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 t="shared" si="58"/>
        <v/>
      </c>
      <c r="GH16" s="14" t="str">
        <f t="shared" si="59"/>
        <v/>
      </c>
      <c r="GI16" s="14" t="str">
        <f t="shared" si="60"/>
        <v/>
      </c>
      <c r="GJ16" s="14" t="str">
        <f t="shared" si="61"/>
        <v/>
      </c>
      <c r="GK16" s="14" t="str">
        <f t="shared" si="62"/>
        <v/>
      </c>
      <c r="GL16" s="14" t="str">
        <f t="shared" si="63"/>
        <v/>
      </c>
      <c r="GM16" s="14" t="str">
        <f t="shared" si="64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 t="shared" si="65"/>
        <v/>
      </c>
      <c r="HD16" s="11" t="str">
        <f t="shared" si="66"/>
        <v/>
      </c>
      <c r="HE16" s="11" t="str">
        <f t="shared" si="67"/>
        <v/>
      </c>
      <c r="HF16" s="11" t="str">
        <f t="shared" si="68"/>
        <v/>
      </c>
      <c r="HG16" s="11" t="str">
        <f t="shared" si="69"/>
        <v/>
      </c>
      <c r="HH16" s="11" t="str">
        <f t="shared" si="70"/>
        <v/>
      </c>
      <c r="HI16" s="11" t="str">
        <f t="shared" si="71"/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 t="shared" si="72"/>
        <v/>
      </c>
      <c r="HZ16" s="14" t="str">
        <f t="shared" si="73"/>
        <v/>
      </c>
      <c r="IA16" s="14" t="str">
        <f t="shared" si="74"/>
        <v/>
      </c>
      <c r="IB16" s="14" t="str">
        <f t="shared" si="75"/>
        <v/>
      </c>
      <c r="IC16" s="14" t="str">
        <f t="shared" si="76"/>
        <v/>
      </c>
      <c r="ID16" s="14" t="str">
        <f t="shared" si="77"/>
        <v/>
      </c>
      <c r="IE16" s="14" t="str">
        <f t="shared" si="78"/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 t="shared" si="79"/>
        <v/>
      </c>
      <c r="IV16" s="11" t="str">
        <f t="shared" si="80"/>
        <v/>
      </c>
      <c r="IW16" s="11" t="str">
        <f t="shared" si="81"/>
        <v/>
      </c>
      <c r="IX16" s="11" t="str">
        <f t="shared" si="82"/>
        <v/>
      </c>
      <c r="IY16" s="11" t="str">
        <f t="shared" si="83"/>
        <v/>
      </c>
      <c r="IZ16" s="11" t="str">
        <f t="shared" si="84"/>
        <v/>
      </c>
      <c r="JA16" s="11" t="str">
        <f t="shared" si="85"/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 t="shared" si="86"/>
        <v/>
      </c>
      <c r="JR16" s="14" t="str">
        <f t="shared" si="87"/>
        <v/>
      </c>
      <c r="JS16" s="14" t="str">
        <f t="shared" si="88"/>
        <v/>
      </c>
      <c r="JT16" s="14" t="str">
        <f t="shared" si="89"/>
        <v/>
      </c>
      <c r="JU16" s="14" t="str">
        <f t="shared" si="90"/>
        <v/>
      </c>
      <c r="JV16" s="14" t="str">
        <f t="shared" si="91"/>
        <v/>
      </c>
      <c r="JW16" s="14" t="str">
        <f t="shared" si="92"/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 t="shared" si="93"/>
        <v/>
      </c>
      <c r="KN16" s="11" t="str">
        <f t="shared" si="94"/>
        <v/>
      </c>
      <c r="KO16" s="11" t="str">
        <f t="shared" si="95"/>
        <v/>
      </c>
      <c r="KP16" s="11" t="str">
        <f t="shared" si="96"/>
        <v/>
      </c>
      <c r="KQ16" s="11" t="str">
        <f t="shared" si="97"/>
        <v/>
      </c>
      <c r="KR16" s="11" t="str">
        <f t="shared" si="98"/>
        <v/>
      </c>
      <c r="KS16" s="11" t="str">
        <f t="shared" si="99"/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 t="shared" si="100"/>
        <v/>
      </c>
      <c r="LJ16" s="14" t="str">
        <f t="shared" si="101"/>
        <v/>
      </c>
      <c r="LK16" s="14" t="str">
        <f t="shared" si="102"/>
        <v/>
      </c>
      <c r="LL16" s="14" t="str">
        <f t="shared" si="103"/>
        <v/>
      </c>
      <c r="LM16" s="14" t="str">
        <f t="shared" si="104"/>
        <v/>
      </c>
      <c r="LN16" s="14" t="str">
        <f t="shared" si="105"/>
        <v/>
      </c>
      <c r="LO16" s="14" t="str">
        <f t="shared" si="106"/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 t="shared" si="107"/>
        <v/>
      </c>
      <c r="MF16" s="11" t="str">
        <f t="shared" si="108"/>
        <v/>
      </c>
      <c r="MG16" s="11" t="str">
        <f t="shared" si="109"/>
        <v/>
      </c>
      <c r="MH16" s="11" t="str">
        <f t="shared" si="110"/>
        <v/>
      </c>
      <c r="MI16" s="11" t="str">
        <f t="shared" si="111"/>
        <v/>
      </c>
      <c r="MJ16" s="11" t="str">
        <f t="shared" si="112"/>
        <v/>
      </c>
      <c r="MK16" s="11" t="str">
        <f t="shared" si="113"/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 t="shared" si="114"/>
        <v/>
      </c>
      <c r="NB16" s="14" t="str">
        <f t="shared" si="115"/>
        <v/>
      </c>
      <c r="NC16" s="14" t="str">
        <f t="shared" si="116"/>
        <v/>
      </c>
      <c r="ND16" s="14" t="str">
        <f t="shared" si="117"/>
        <v/>
      </c>
      <c r="NE16" s="14" t="str">
        <f t="shared" si="118"/>
        <v/>
      </c>
      <c r="NF16" s="14" t="str">
        <f t="shared" si="119"/>
        <v/>
      </c>
      <c r="NG16" s="14" t="str">
        <f t="shared" si="120"/>
        <v/>
      </c>
      <c r="NH16" s="38">
        <f t="shared" si="121"/>
        <v>15.7</v>
      </c>
      <c r="NI16" s="38">
        <f t="shared" si="122"/>
        <v>9.3500000000000014</v>
      </c>
      <c r="NJ16" s="38">
        <f t="shared" si="123"/>
        <v>2</v>
      </c>
      <c r="NK16" s="38">
        <f t="shared" si="124"/>
        <v>15.434999999999999</v>
      </c>
      <c r="NL16" s="38">
        <f t="shared" si="125"/>
        <v>0</v>
      </c>
      <c r="NM16" s="38">
        <f t="shared" si="126"/>
        <v>14.15</v>
      </c>
      <c r="NN16" s="38">
        <f t="shared" si="127"/>
        <v>8.6999999999999993</v>
      </c>
      <c r="NO16" s="38">
        <f t="shared" si="128"/>
        <v>10.850000000000001</v>
      </c>
      <c r="NP16" s="38">
        <f t="shared" si="129"/>
        <v>15.4825</v>
      </c>
      <c r="NQ16" s="38">
        <f t="shared" si="130"/>
        <v>0</v>
      </c>
      <c r="NR16" s="38">
        <f t="shared" si="131"/>
        <v>0</v>
      </c>
      <c r="NS16" s="38">
        <f t="shared" si="132"/>
        <v>0</v>
      </c>
      <c r="NT16" s="38">
        <f t="shared" si="133"/>
        <v>0</v>
      </c>
      <c r="NU16" s="38">
        <f t="shared" si="134"/>
        <v>0</v>
      </c>
      <c r="NV16" s="38">
        <f t="shared" si="135"/>
        <v>0</v>
      </c>
      <c r="NW16" s="38">
        <f t="shared" si="136"/>
        <v>14</v>
      </c>
      <c r="NX16" s="38">
        <f t="shared" si="137"/>
        <v>8.4499999999999993</v>
      </c>
      <c r="NY16" s="38">
        <f t="shared" si="138"/>
        <v>10.25</v>
      </c>
      <c r="NZ16" s="38">
        <f t="shared" si="139"/>
        <v>14.835000000000001</v>
      </c>
      <c r="OA16" s="38">
        <f t="shared" si="140"/>
        <v>0</v>
      </c>
      <c r="OB16" s="45" t="s">
        <v>46</v>
      </c>
      <c r="OC16" s="11">
        <f t="shared" si="141"/>
        <v>42.484999999999999</v>
      </c>
      <c r="OD16" s="11">
        <f t="shared" si="142"/>
        <v>10.850000000000001</v>
      </c>
      <c r="OE16" s="11">
        <f t="shared" si="143"/>
        <v>49.182500000000005</v>
      </c>
      <c r="OF16" s="11" t="str">
        <f t="shared" si="144"/>
        <v/>
      </c>
      <c r="OG16" s="11" t="str">
        <f t="shared" si="145"/>
        <v/>
      </c>
      <c r="OH16" s="11">
        <f t="shared" si="146"/>
        <v>91.667500000000004</v>
      </c>
      <c r="OI16" s="11">
        <f t="shared" si="147"/>
        <v>10.25</v>
      </c>
      <c r="OJ16" s="11">
        <f t="shared" ref="OJ16" si="160">IF(SUM(NW16:NZ16)-OA16&gt;0,SUM(NW16:NZ16)-OA16,"")</f>
        <v>47.535000000000004</v>
      </c>
      <c r="OK16" s="11">
        <f t="shared" ref="OK16" si="161">IF(SUM(OH16,OJ16)&gt;0,SUM(OH16,OJ16),"")</f>
        <v>139.20250000000001</v>
      </c>
    </row>
    <row r="17" spans="1:401" x14ac:dyDescent="0.2">
      <c r="A17" s="5" t="str" cm="1">
        <f t="array" ref="A17">IF(AND(F17="P",G17="P"),SUMPRODUCT((F$4:F$32="P")*(G$4:G$32="P")*(E$4:E$32&gt;E17))+1,IF(G17="P",SUMPRODUCT((F$4:F$32="")*(G$4:G$32="P")*(E$4:E$32&gt;E17))+1+SUMPRODUCT((F$4:F$32="P")*(G$4:G$32="P")),""))</f>
        <v/>
      </c>
      <c r="B17" s="6" t="s">
        <v>125</v>
      </c>
      <c r="C17" s="7" t="s">
        <v>6</v>
      </c>
      <c r="D17" s="22">
        <v>2004</v>
      </c>
      <c r="E17" s="15">
        <f t="shared" si="0"/>
        <v>98.160005033499999</v>
      </c>
      <c r="F17" s="3" t="str">
        <f t="shared" si="1"/>
        <v/>
      </c>
      <c r="G17" s="3" t="str">
        <f t="shared" si="2"/>
        <v/>
      </c>
      <c r="H17" s="67" t="str">
        <f t="shared" si="3"/>
        <v/>
      </c>
      <c r="I17" s="14">
        <f t="shared" si="4"/>
        <v>50.335000000000001</v>
      </c>
      <c r="J17" s="14" t="str">
        <f t="shared" si="5"/>
        <v>2021 Canadian Championships</v>
      </c>
      <c r="K17" s="14">
        <f>IF(COUNT(AM17,AO17,AR17,BQ17,BS17,BV17,CU17,CW17,CZ17)&gt;1,LARGE((AM17,AO17,AR17,BQ17,BS17,BV17,CU17,CW17,CZ17),2),0)</f>
        <v>47.825000000000003</v>
      </c>
      <c r="L17" s="14" t="str">
        <f t="shared" si="6"/>
        <v>2021 Elite Canada</v>
      </c>
      <c r="M17" s="14" t="str">
        <f t="shared" si="7"/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16.399999999999999</v>
      </c>
      <c r="Q17" s="38">
        <v>9.1999999999999993</v>
      </c>
      <c r="R17" s="38">
        <v>2</v>
      </c>
      <c r="S17" s="38">
        <v>16.14</v>
      </c>
      <c r="T17" s="38">
        <v>0</v>
      </c>
      <c r="U17" s="38">
        <v>14.3</v>
      </c>
      <c r="V17" s="38">
        <v>8.9</v>
      </c>
      <c r="W17" s="38">
        <v>9.6</v>
      </c>
      <c r="X17" s="38">
        <v>15.025</v>
      </c>
      <c r="Y17" s="38">
        <v>0</v>
      </c>
      <c r="Z17" s="38"/>
      <c r="AA17" s="38"/>
      <c r="AB17" s="38"/>
      <c r="AC17" s="38"/>
      <c r="AD17" s="38"/>
      <c r="AE17" s="38">
        <v>4.4000000000000004</v>
      </c>
      <c r="AF17" s="38">
        <v>2.7</v>
      </c>
      <c r="AG17" s="38">
        <v>4</v>
      </c>
      <c r="AH17" s="38">
        <v>4.75</v>
      </c>
      <c r="AI17" s="38">
        <v>0</v>
      </c>
      <c r="AJ17" s="45"/>
      <c r="AK17" s="11">
        <f t="shared" si="8"/>
        <v>43.739999999999995</v>
      </c>
      <c r="AL17" s="11">
        <f t="shared" si="9"/>
        <v>9.6</v>
      </c>
      <c r="AM17" s="11">
        <f t="shared" si="10"/>
        <v>47.825000000000003</v>
      </c>
      <c r="AN17" s="11" t="str">
        <f t="shared" si="11"/>
        <v/>
      </c>
      <c r="AO17" s="11" t="str">
        <f t="shared" si="12"/>
        <v/>
      </c>
      <c r="AP17" s="11">
        <f t="shared" si="13"/>
        <v>91.564999999999998</v>
      </c>
      <c r="AQ17" s="11">
        <f t="shared" si="14"/>
        <v>4</v>
      </c>
      <c r="AR17" s="11">
        <f t="shared" si="15"/>
        <v>15.850000000000001</v>
      </c>
      <c r="AS17" s="11">
        <f t="shared" si="16"/>
        <v>107.41499999999999</v>
      </c>
      <c r="AT17" s="42">
        <v>10.4</v>
      </c>
      <c r="AU17" s="42">
        <v>5.3</v>
      </c>
      <c r="AV17" s="42">
        <v>0.6</v>
      </c>
      <c r="AW17" s="42">
        <v>9.82</v>
      </c>
      <c r="AX17" s="42">
        <v>0</v>
      </c>
      <c r="AY17" s="42">
        <v>15</v>
      </c>
      <c r="AZ17" s="42">
        <v>9.1999999999999993</v>
      </c>
      <c r="BA17" s="42">
        <v>8.1999999999999993</v>
      </c>
      <c r="BB17" s="42">
        <v>15.02</v>
      </c>
      <c r="BC17" s="42">
        <v>1.4</v>
      </c>
      <c r="BD17" s="42"/>
      <c r="BE17" s="42"/>
      <c r="BF17" s="42"/>
      <c r="BG17" s="42"/>
      <c r="BH17" s="42"/>
      <c r="BI17" s="42">
        <v>16.2</v>
      </c>
      <c r="BJ17" s="42">
        <v>9.1</v>
      </c>
      <c r="BK17" s="42">
        <v>9.6</v>
      </c>
      <c r="BL17" s="42">
        <v>15.435</v>
      </c>
      <c r="BM17" s="42">
        <v>0</v>
      </c>
      <c r="BN17" s="46"/>
      <c r="BO17" s="14">
        <f t="shared" si="17"/>
        <v>26.12</v>
      </c>
      <c r="BP17" s="14">
        <f t="shared" si="18"/>
        <v>8.1999999999999993</v>
      </c>
      <c r="BQ17" s="14">
        <f t="shared" si="19"/>
        <v>46.02</v>
      </c>
      <c r="BR17" s="14" t="str">
        <f t="shared" si="20"/>
        <v/>
      </c>
      <c r="BS17" s="14" t="str">
        <f t="shared" si="21"/>
        <v/>
      </c>
      <c r="BT17" s="14">
        <f t="shared" si="22"/>
        <v>72.14</v>
      </c>
      <c r="BU17" s="14">
        <f t="shared" si="23"/>
        <v>9.6</v>
      </c>
      <c r="BV17" s="14">
        <f t="shared" si="24"/>
        <v>50.335000000000001</v>
      </c>
      <c r="BW17" s="14">
        <f t="shared" si="25"/>
        <v>122.47499999999999</v>
      </c>
      <c r="BX17" s="38">
        <v>16.899999999999999</v>
      </c>
      <c r="BY17" s="38">
        <v>9.3000000000000007</v>
      </c>
      <c r="BZ17" s="38">
        <v>2</v>
      </c>
      <c r="CA17" s="38">
        <v>15.69</v>
      </c>
      <c r="CB17" s="38">
        <v>0</v>
      </c>
      <c r="CC17" s="38">
        <v>3</v>
      </c>
      <c r="CD17" s="38">
        <v>1.9</v>
      </c>
      <c r="CE17" s="38">
        <v>2.5</v>
      </c>
      <c r="CF17" s="38">
        <v>3.25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 t="shared" si="26"/>
        <v>43.89</v>
      </c>
      <c r="CT17" s="11">
        <f t="shared" si="27"/>
        <v>2.5</v>
      </c>
      <c r="CU17" s="11">
        <f t="shared" si="28"/>
        <v>10.65</v>
      </c>
      <c r="CV17" s="11" t="str">
        <f t="shared" si="29"/>
        <v/>
      </c>
      <c r="CW17" s="11" t="str">
        <f t="shared" si="30"/>
        <v/>
      </c>
      <c r="CX17" s="11">
        <f t="shared" si="31"/>
        <v>54.54</v>
      </c>
      <c r="CY17" s="11" t="str">
        <f t="shared" si="32"/>
        <v/>
      </c>
      <c r="CZ17" s="11" t="str">
        <f t="shared" si="33"/>
        <v/>
      </c>
      <c r="DA17" s="11">
        <f t="shared" si="34"/>
        <v>54.54</v>
      </c>
      <c r="DB17" s="19" t="str">
        <f t="shared" si="35"/>
        <v/>
      </c>
      <c r="DC17" s="19" t="str">
        <f t="shared" si="36"/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 t="shared" si="37"/>
        <v/>
      </c>
      <c r="DT17" s="11" t="str">
        <f t="shared" si="38"/>
        <v/>
      </c>
      <c r="DU17" s="11" t="str">
        <f t="shared" si="39"/>
        <v/>
      </c>
      <c r="DV17" s="11" t="str">
        <f t="shared" si="40"/>
        <v/>
      </c>
      <c r="DW17" s="11" t="str">
        <f t="shared" si="41"/>
        <v/>
      </c>
      <c r="DX17" s="11" t="str">
        <f t="shared" si="42"/>
        <v/>
      </c>
      <c r="DY17" s="11" t="str">
        <f t="shared" si="43"/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 t="shared" si="44"/>
        <v/>
      </c>
      <c r="EP17" s="14" t="str">
        <f t="shared" si="45"/>
        <v/>
      </c>
      <c r="EQ17" s="14" t="str">
        <f t="shared" si="46"/>
        <v/>
      </c>
      <c r="ER17" s="14" t="str">
        <f t="shared" si="47"/>
        <v/>
      </c>
      <c r="ES17" s="14" t="str">
        <f t="shared" si="48"/>
        <v/>
      </c>
      <c r="ET17" s="14" t="str">
        <f t="shared" si="49"/>
        <v/>
      </c>
      <c r="EU17" s="14" t="str">
        <f t="shared" si="50"/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 t="shared" si="51"/>
        <v/>
      </c>
      <c r="FL17" s="11" t="str">
        <f t="shared" si="52"/>
        <v/>
      </c>
      <c r="FM17" s="11" t="str">
        <f t="shared" si="53"/>
        <v/>
      </c>
      <c r="FN17" s="11" t="str">
        <f t="shared" si="54"/>
        <v/>
      </c>
      <c r="FO17" s="11" t="str">
        <f t="shared" si="55"/>
        <v/>
      </c>
      <c r="FP17" s="11" t="str">
        <f t="shared" si="56"/>
        <v/>
      </c>
      <c r="FQ17" s="11" t="str">
        <f t="shared" si="57"/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 t="shared" si="58"/>
        <v/>
      </c>
      <c r="GH17" s="14" t="str">
        <f t="shared" si="59"/>
        <v/>
      </c>
      <c r="GI17" s="14" t="str">
        <f t="shared" si="60"/>
        <v/>
      </c>
      <c r="GJ17" s="14" t="str">
        <f t="shared" si="61"/>
        <v/>
      </c>
      <c r="GK17" s="14" t="str">
        <f t="shared" si="62"/>
        <v/>
      </c>
      <c r="GL17" s="14" t="str">
        <f t="shared" si="63"/>
        <v/>
      </c>
      <c r="GM17" s="14" t="str">
        <f t="shared" si="64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 t="shared" si="65"/>
        <v/>
      </c>
      <c r="HD17" s="11" t="str">
        <f t="shared" si="66"/>
        <v/>
      </c>
      <c r="HE17" s="11" t="str">
        <f t="shared" si="67"/>
        <v/>
      </c>
      <c r="HF17" s="11" t="str">
        <f t="shared" si="68"/>
        <v/>
      </c>
      <c r="HG17" s="11" t="str">
        <f t="shared" si="69"/>
        <v/>
      </c>
      <c r="HH17" s="11" t="str">
        <f t="shared" si="70"/>
        <v/>
      </c>
      <c r="HI17" s="11" t="str">
        <f t="shared" si="71"/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 t="shared" si="72"/>
        <v/>
      </c>
      <c r="HZ17" s="14" t="str">
        <f t="shared" si="73"/>
        <v/>
      </c>
      <c r="IA17" s="14" t="str">
        <f t="shared" si="74"/>
        <v/>
      </c>
      <c r="IB17" s="14" t="str">
        <f t="shared" si="75"/>
        <v/>
      </c>
      <c r="IC17" s="14" t="str">
        <f t="shared" si="76"/>
        <v/>
      </c>
      <c r="ID17" s="14" t="str">
        <f t="shared" si="77"/>
        <v/>
      </c>
      <c r="IE17" s="14" t="str">
        <f t="shared" si="78"/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 t="shared" si="79"/>
        <v/>
      </c>
      <c r="IV17" s="11" t="str">
        <f t="shared" si="80"/>
        <v/>
      </c>
      <c r="IW17" s="11" t="str">
        <f t="shared" si="81"/>
        <v/>
      </c>
      <c r="IX17" s="11" t="str">
        <f t="shared" si="82"/>
        <v/>
      </c>
      <c r="IY17" s="11" t="str">
        <f t="shared" si="83"/>
        <v/>
      </c>
      <c r="IZ17" s="11" t="str">
        <f t="shared" si="84"/>
        <v/>
      </c>
      <c r="JA17" s="11" t="str">
        <f t="shared" si="85"/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 t="shared" si="86"/>
        <v/>
      </c>
      <c r="JR17" s="14" t="str">
        <f t="shared" si="87"/>
        <v/>
      </c>
      <c r="JS17" s="14" t="str">
        <f t="shared" si="88"/>
        <v/>
      </c>
      <c r="JT17" s="14" t="str">
        <f t="shared" si="89"/>
        <v/>
      </c>
      <c r="JU17" s="14" t="str">
        <f t="shared" si="90"/>
        <v/>
      </c>
      <c r="JV17" s="14" t="str">
        <f t="shared" si="91"/>
        <v/>
      </c>
      <c r="JW17" s="14" t="str">
        <f t="shared" si="92"/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 t="shared" si="93"/>
        <v/>
      </c>
      <c r="KN17" s="11" t="str">
        <f t="shared" si="94"/>
        <v/>
      </c>
      <c r="KO17" s="11" t="str">
        <f t="shared" si="95"/>
        <v/>
      </c>
      <c r="KP17" s="11" t="str">
        <f t="shared" si="96"/>
        <v/>
      </c>
      <c r="KQ17" s="11" t="str">
        <f t="shared" si="97"/>
        <v/>
      </c>
      <c r="KR17" s="11" t="str">
        <f t="shared" si="98"/>
        <v/>
      </c>
      <c r="KS17" s="11" t="str">
        <f t="shared" si="99"/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 t="shared" si="100"/>
        <v/>
      </c>
      <c r="LJ17" s="14" t="str">
        <f t="shared" si="101"/>
        <v/>
      </c>
      <c r="LK17" s="14" t="str">
        <f t="shared" si="102"/>
        <v/>
      </c>
      <c r="LL17" s="14" t="str">
        <f t="shared" si="103"/>
        <v/>
      </c>
      <c r="LM17" s="14" t="str">
        <f t="shared" si="104"/>
        <v/>
      </c>
      <c r="LN17" s="14" t="str">
        <f t="shared" si="105"/>
        <v/>
      </c>
      <c r="LO17" s="14" t="str">
        <f t="shared" si="106"/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 t="shared" si="107"/>
        <v/>
      </c>
      <c r="MF17" s="11" t="str">
        <f t="shared" si="108"/>
        <v/>
      </c>
      <c r="MG17" s="11" t="str">
        <f t="shared" si="109"/>
        <v/>
      </c>
      <c r="MH17" s="11" t="str">
        <f t="shared" si="110"/>
        <v/>
      </c>
      <c r="MI17" s="11" t="str">
        <f t="shared" si="111"/>
        <v/>
      </c>
      <c r="MJ17" s="11" t="str">
        <f t="shared" si="112"/>
        <v/>
      </c>
      <c r="MK17" s="11" t="str">
        <f t="shared" si="113"/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 t="shared" si="114"/>
        <v/>
      </c>
      <c r="NB17" s="14" t="str">
        <f t="shared" si="115"/>
        <v/>
      </c>
      <c r="NC17" s="14" t="str">
        <f t="shared" si="116"/>
        <v/>
      </c>
      <c r="ND17" s="14" t="str">
        <f t="shared" si="117"/>
        <v/>
      </c>
      <c r="NE17" s="14" t="str">
        <f t="shared" si="118"/>
        <v/>
      </c>
      <c r="NF17" s="14" t="str">
        <f t="shared" si="119"/>
        <v/>
      </c>
      <c r="NG17" s="14" t="str">
        <f t="shared" si="120"/>
        <v/>
      </c>
      <c r="NH17" s="38">
        <f t="shared" si="121"/>
        <v>13.649999999999999</v>
      </c>
      <c r="NI17" s="38">
        <f t="shared" si="122"/>
        <v>7.3000000000000007</v>
      </c>
      <c r="NJ17" s="38">
        <f t="shared" si="123"/>
        <v>1.3</v>
      </c>
      <c r="NK17" s="38">
        <f t="shared" si="124"/>
        <v>12.754999999999999</v>
      </c>
      <c r="NL17" s="38">
        <f t="shared" si="125"/>
        <v>0</v>
      </c>
      <c r="NM17" s="38">
        <f t="shared" si="126"/>
        <v>9</v>
      </c>
      <c r="NN17" s="38">
        <f t="shared" si="127"/>
        <v>5.55</v>
      </c>
      <c r="NO17" s="38">
        <f t="shared" si="128"/>
        <v>5.35</v>
      </c>
      <c r="NP17" s="38">
        <f t="shared" si="129"/>
        <v>9.1349999999999998</v>
      </c>
      <c r="NQ17" s="38">
        <f t="shared" si="130"/>
        <v>0.7</v>
      </c>
      <c r="NR17" s="38">
        <f t="shared" si="131"/>
        <v>0</v>
      </c>
      <c r="NS17" s="38">
        <f t="shared" si="132"/>
        <v>0</v>
      </c>
      <c r="NT17" s="38">
        <f t="shared" si="133"/>
        <v>0</v>
      </c>
      <c r="NU17" s="38">
        <f t="shared" si="134"/>
        <v>0</v>
      </c>
      <c r="NV17" s="38">
        <f t="shared" si="135"/>
        <v>0</v>
      </c>
      <c r="NW17" s="38">
        <f t="shared" si="136"/>
        <v>8.1</v>
      </c>
      <c r="NX17" s="38">
        <f t="shared" si="137"/>
        <v>4.55</v>
      </c>
      <c r="NY17" s="38">
        <f t="shared" si="138"/>
        <v>4.8</v>
      </c>
      <c r="NZ17" s="38">
        <f t="shared" si="139"/>
        <v>7.7175000000000002</v>
      </c>
      <c r="OA17" s="38">
        <f t="shared" si="140"/>
        <v>0</v>
      </c>
      <c r="OB17" s="45" t="s">
        <v>46</v>
      </c>
      <c r="OC17" s="11">
        <f t="shared" si="141"/>
        <v>35.004999999999995</v>
      </c>
      <c r="OD17" s="11">
        <f t="shared" si="142"/>
        <v>5.35</v>
      </c>
      <c r="OE17" s="11">
        <f t="shared" si="143"/>
        <v>28.334999999999997</v>
      </c>
      <c r="OF17" s="11" t="str">
        <f t="shared" si="144"/>
        <v/>
      </c>
      <c r="OG17" s="11" t="str">
        <f t="shared" si="145"/>
        <v/>
      </c>
      <c r="OH17" s="11">
        <f t="shared" si="146"/>
        <v>63.339999999999989</v>
      </c>
      <c r="OI17" s="11">
        <f t="shared" si="147"/>
        <v>4.8</v>
      </c>
      <c r="OJ17" s="11">
        <f t="shared" ref="OJ17" si="162">IF(SUM(NW17:NZ17)-OA17&gt;0,SUM(NW17:NZ17)-OA17,"")</f>
        <v>25.1675</v>
      </c>
      <c r="OK17" s="11">
        <f t="shared" ref="OK17" si="163">IF(SUM(OH17,OJ17)&gt;0,SUM(OH17,OJ17),"")</f>
        <v>88.507499999999993</v>
      </c>
    </row>
    <row r="18" spans="1:401" x14ac:dyDescent="0.2">
      <c r="A18" s="5" t="str" cm="1">
        <f t="array" ref="A18">IF(AND(F18="P",G18="P"),SUMPRODUCT((F$4:F$32="P")*(G$4:G$32="P")*(E$4:E$32&gt;E18))+1,IF(G18="P",SUMPRODUCT((F$4:F$32="")*(G$4:G$32="P")*(E$4:E$32&gt;E18))+1+SUMPRODUCT((F$4:F$32="P")*(G$4:G$32="P")),""))</f>
        <v/>
      </c>
      <c r="B18" s="6" t="s">
        <v>160</v>
      </c>
      <c r="C18" s="7" t="s">
        <v>6</v>
      </c>
      <c r="D18" s="5">
        <v>2003</v>
      </c>
      <c r="E18" s="15">
        <f t="shared" si="0"/>
        <v>96.680004886000006</v>
      </c>
      <c r="F18" s="3" t="str">
        <f t="shared" si="1"/>
        <v/>
      </c>
      <c r="G18" s="3" t="str">
        <f t="shared" si="2"/>
        <v/>
      </c>
      <c r="H18" s="67" t="str">
        <f t="shared" si="3"/>
        <v/>
      </c>
      <c r="I18" s="14">
        <f t="shared" si="4"/>
        <v>48.86</v>
      </c>
      <c r="J18" s="14" t="str">
        <f t="shared" si="5"/>
        <v>2022 Elite Canada</v>
      </c>
      <c r="K18" s="14">
        <f>IF(COUNT(AM18,AO18,AR18,BQ18,BS18,BV18,CU18,CW18,CZ18)&gt;1,LARGE((AM18,AO18,AR18,BQ18,BS18,BV18,CU18,CW18,CZ18),2),0)</f>
        <v>47.82</v>
      </c>
      <c r="L18" s="14" t="str">
        <f t="shared" si="6"/>
        <v>2022 Elite Canada</v>
      </c>
      <c r="M18" s="14" t="str">
        <f t="shared" si="7"/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 t="str">
        <f t="shared" si="8"/>
        <v/>
      </c>
      <c r="AL18" s="11" t="str">
        <f t="shared" si="9"/>
        <v/>
      </c>
      <c r="AM18" s="11" t="str">
        <f t="shared" si="10"/>
        <v/>
      </c>
      <c r="AN18" s="11" t="str">
        <f t="shared" si="11"/>
        <v/>
      </c>
      <c r="AO18" s="11" t="str">
        <f t="shared" si="12"/>
        <v/>
      </c>
      <c r="AP18" s="11" t="str">
        <f t="shared" si="13"/>
        <v/>
      </c>
      <c r="AQ18" s="11" t="str">
        <f t="shared" si="14"/>
        <v/>
      </c>
      <c r="AR18" s="11" t="str">
        <f t="shared" si="15"/>
        <v/>
      </c>
      <c r="AS18" s="11" t="str">
        <f t="shared" si="16"/>
        <v/>
      </c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6"/>
      <c r="BO18" s="14" t="str">
        <f t="shared" si="17"/>
        <v/>
      </c>
      <c r="BP18" s="14" t="str">
        <f t="shared" si="18"/>
        <v/>
      </c>
      <c r="BQ18" s="14" t="str">
        <f t="shared" si="19"/>
        <v/>
      </c>
      <c r="BR18" s="14" t="str">
        <f t="shared" si="20"/>
        <v/>
      </c>
      <c r="BS18" s="14" t="str">
        <f t="shared" si="21"/>
        <v/>
      </c>
      <c r="BT18" s="14" t="str">
        <f t="shared" si="22"/>
        <v/>
      </c>
      <c r="BU18" s="14" t="str">
        <f t="shared" si="23"/>
        <v/>
      </c>
      <c r="BV18" s="14" t="str">
        <f t="shared" si="24"/>
        <v/>
      </c>
      <c r="BW18" s="14" t="str">
        <f t="shared" si="25"/>
        <v/>
      </c>
      <c r="BX18" s="38">
        <v>16.100000000000001</v>
      </c>
      <c r="BY18" s="38">
        <v>9.3000000000000007</v>
      </c>
      <c r="BZ18" s="38">
        <v>1.8</v>
      </c>
      <c r="CA18" s="38">
        <v>14.63</v>
      </c>
      <c r="CB18" s="38">
        <v>0</v>
      </c>
      <c r="CC18" s="38">
        <v>15.5</v>
      </c>
      <c r="CD18" s="38">
        <v>9.4</v>
      </c>
      <c r="CE18" s="38">
        <v>9.6</v>
      </c>
      <c r="CF18" s="38">
        <v>14.36</v>
      </c>
      <c r="CG18" s="38">
        <v>0</v>
      </c>
      <c r="CH18" s="38"/>
      <c r="CI18" s="38"/>
      <c r="CJ18" s="38"/>
      <c r="CK18" s="38"/>
      <c r="CL18" s="38"/>
      <c r="CM18" s="38">
        <v>14.6</v>
      </c>
      <c r="CN18" s="38">
        <v>9.1999999999999993</v>
      </c>
      <c r="CO18" s="38">
        <v>9.6</v>
      </c>
      <c r="CP18" s="38">
        <v>14.42</v>
      </c>
      <c r="CQ18" s="38">
        <v>0</v>
      </c>
      <c r="CR18" s="45"/>
      <c r="CS18" s="11">
        <f t="shared" si="26"/>
        <v>41.830000000000005</v>
      </c>
      <c r="CT18" s="11">
        <f t="shared" si="27"/>
        <v>9.6</v>
      </c>
      <c r="CU18" s="11">
        <f t="shared" si="28"/>
        <v>48.86</v>
      </c>
      <c r="CV18" s="11" t="str">
        <f t="shared" si="29"/>
        <v/>
      </c>
      <c r="CW18" s="11" t="str">
        <f t="shared" si="30"/>
        <v/>
      </c>
      <c r="CX18" s="11">
        <f t="shared" si="31"/>
        <v>90.69</v>
      </c>
      <c r="CY18" s="11">
        <f t="shared" si="32"/>
        <v>9.6</v>
      </c>
      <c r="CZ18" s="11">
        <f t="shared" si="33"/>
        <v>47.82</v>
      </c>
      <c r="DA18" s="11">
        <f t="shared" si="34"/>
        <v>138.51</v>
      </c>
      <c r="DB18" s="19" t="str">
        <f t="shared" si="35"/>
        <v/>
      </c>
      <c r="DC18" s="19" t="str">
        <f t="shared" si="36"/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 t="shared" si="37"/>
        <v/>
      </c>
      <c r="DT18" s="11" t="str">
        <f t="shared" si="38"/>
        <v/>
      </c>
      <c r="DU18" s="11" t="str">
        <f t="shared" si="39"/>
        <v/>
      </c>
      <c r="DV18" s="11" t="str">
        <f t="shared" si="40"/>
        <v/>
      </c>
      <c r="DW18" s="11" t="str">
        <f t="shared" si="41"/>
        <v/>
      </c>
      <c r="DX18" s="11" t="str">
        <f t="shared" si="42"/>
        <v/>
      </c>
      <c r="DY18" s="11" t="str">
        <f t="shared" si="43"/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 t="shared" si="44"/>
        <v/>
      </c>
      <c r="EP18" s="14" t="str">
        <f t="shared" si="45"/>
        <v/>
      </c>
      <c r="EQ18" s="14" t="str">
        <f t="shared" si="46"/>
        <v/>
      </c>
      <c r="ER18" s="14" t="str">
        <f t="shared" si="47"/>
        <v/>
      </c>
      <c r="ES18" s="14" t="str">
        <f t="shared" si="48"/>
        <v/>
      </c>
      <c r="ET18" s="14" t="str">
        <f t="shared" si="49"/>
        <v/>
      </c>
      <c r="EU18" s="14" t="str">
        <f t="shared" si="50"/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 t="shared" si="51"/>
        <v/>
      </c>
      <c r="FL18" s="11" t="str">
        <f t="shared" si="52"/>
        <v/>
      </c>
      <c r="FM18" s="11" t="str">
        <f t="shared" si="53"/>
        <v/>
      </c>
      <c r="FN18" s="11" t="str">
        <f t="shared" si="54"/>
        <v/>
      </c>
      <c r="FO18" s="11" t="str">
        <f t="shared" si="55"/>
        <v/>
      </c>
      <c r="FP18" s="11" t="str">
        <f t="shared" si="56"/>
        <v/>
      </c>
      <c r="FQ18" s="11" t="str">
        <f t="shared" si="57"/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 t="shared" si="58"/>
        <v/>
      </c>
      <c r="GH18" s="14" t="str">
        <f t="shared" si="59"/>
        <v/>
      </c>
      <c r="GI18" s="14" t="str">
        <f t="shared" si="60"/>
        <v/>
      </c>
      <c r="GJ18" s="14" t="str">
        <f t="shared" si="61"/>
        <v/>
      </c>
      <c r="GK18" s="14" t="str">
        <f t="shared" si="62"/>
        <v/>
      </c>
      <c r="GL18" s="14" t="str">
        <f t="shared" si="63"/>
        <v/>
      </c>
      <c r="GM18" s="14" t="str">
        <f t="shared" si="64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 t="shared" si="65"/>
        <v/>
      </c>
      <c r="HD18" s="11" t="str">
        <f t="shared" si="66"/>
        <v/>
      </c>
      <c r="HE18" s="11" t="str">
        <f t="shared" si="67"/>
        <v/>
      </c>
      <c r="HF18" s="11" t="str">
        <f t="shared" si="68"/>
        <v/>
      </c>
      <c r="HG18" s="11" t="str">
        <f t="shared" si="69"/>
        <v/>
      </c>
      <c r="HH18" s="11" t="str">
        <f t="shared" si="70"/>
        <v/>
      </c>
      <c r="HI18" s="11" t="str">
        <f t="shared" si="71"/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 t="shared" si="72"/>
        <v/>
      </c>
      <c r="HZ18" s="14" t="str">
        <f t="shared" si="73"/>
        <v/>
      </c>
      <c r="IA18" s="14" t="str">
        <f t="shared" si="74"/>
        <v/>
      </c>
      <c r="IB18" s="14" t="str">
        <f t="shared" si="75"/>
        <v/>
      </c>
      <c r="IC18" s="14" t="str">
        <f t="shared" si="76"/>
        <v/>
      </c>
      <c r="ID18" s="14" t="str">
        <f t="shared" si="77"/>
        <v/>
      </c>
      <c r="IE18" s="14" t="str">
        <f t="shared" si="78"/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 t="shared" si="79"/>
        <v/>
      </c>
      <c r="IV18" s="11" t="str">
        <f t="shared" si="80"/>
        <v/>
      </c>
      <c r="IW18" s="11" t="str">
        <f t="shared" si="81"/>
        <v/>
      </c>
      <c r="IX18" s="11" t="str">
        <f t="shared" si="82"/>
        <v/>
      </c>
      <c r="IY18" s="11" t="str">
        <f t="shared" si="83"/>
        <v/>
      </c>
      <c r="IZ18" s="11" t="str">
        <f t="shared" si="84"/>
        <v/>
      </c>
      <c r="JA18" s="11" t="str">
        <f t="shared" si="85"/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 t="shared" si="86"/>
        <v/>
      </c>
      <c r="JR18" s="14" t="str">
        <f t="shared" si="87"/>
        <v/>
      </c>
      <c r="JS18" s="14" t="str">
        <f t="shared" si="88"/>
        <v/>
      </c>
      <c r="JT18" s="14" t="str">
        <f t="shared" si="89"/>
        <v/>
      </c>
      <c r="JU18" s="14" t="str">
        <f t="shared" si="90"/>
        <v/>
      </c>
      <c r="JV18" s="14" t="str">
        <f t="shared" si="91"/>
        <v/>
      </c>
      <c r="JW18" s="14" t="str">
        <f t="shared" si="92"/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 t="shared" si="93"/>
        <v/>
      </c>
      <c r="KN18" s="11" t="str">
        <f t="shared" si="94"/>
        <v/>
      </c>
      <c r="KO18" s="11" t="str">
        <f t="shared" si="95"/>
        <v/>
      </c>
      <c r="KP18" s="11" t="str">
        <f t="shared" si="96"/>
        <v/>
      </c>
      <c r="KQ18" s="11" t="str">
        <f t="shared" si="97"/>
        <v/>
      </c>
      <c r="KR18" s="11" t="str">
        <f t="shared" si="98"/>
        <v/>
      </c>
      <c r="KS18" s="11" t="str">
        <f t="shared" si="99"/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 t="shared" si="100"/>
        <v/>
      </c>
      <c r="LJ18" s="14" t="str">
        <f t="shared" si="101"/>
        <v/>
      </c>
      <c r="LK18" s="14" t="str">
        <f t="shared" si="102"/>
        <v/>
      </c>
      <c r="LL18" s="14" t="str">
        <f t="shared" si="103"/>
        <v/>
      </c>
      <c r="LM18" s="14" t="str">
        <f t="shared" si="104"/>
        <v/>
      </c>
      <c r="LN18" s="14" t="str">
        <f t="shared" si="105"/>
        <v/>
      </c>
      <c r="LO18" s="14" t="str">
        <f t="shared" si="106"/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 t="shared" si="107"/>
        <v/>
      </c>
      <c r="MF18" s="11" t="str">
        <f t="shared" si="108"/>
        <v/>
      </c>
      <c r="MG18" s="11" t="str">
        <f t="shared" si="109"/>
        <v/>
      </c>
      <c r="MH18" s="11" t="str">
        <f t="shared" si="110"/>
        <v/>
      </c>
      <c r="MI18" s="11" t="str">
        <f t="shared" si="111"/>
        <v/>
      </c>
      <c r="MJ18" s="11" t="str">
        <f t="shared" si="112"/>
        <v/>
      </c>
      <c r="MK18" s="11" t="str">
        <f t="shared" si="113"/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 t="shared" si="114"/>
        <v/>
      </c>
      <c r="NB18" s="14" t="str">
        <f t="shared" si="115"/>
        <v/>
      </c>
      <c r="NC18" s="14" t="str">
        <f t="shared" si="116"/>
        <v/>
      </c>
      <c r="ND18" s="14" t="str">
        <f t="shared" si="117"/>
        <v/>
      </c>
      <c r="NE18" s="14" t="str">
        <f t="shared" si="118"/>
        <v/>
      </c>
      <c r="NF18" s="14" t="str">
        <f t="shared" si="119"/>
        <v/>
      </c>
      <c r="NG18" s="14" t="str">
        <f t="shared" si="120"/>
        <v/>
      </c>
      <c r="NH18" s="38">
        <f t="shared" si="121"/>
        <v>8.0500000000000007</v>
      </c>
      <c r="NI18" s="38">
        <f t="shared" si="122"/>
        <v>4.6500000000000004</v>
      </c>
      <c r="NJ18" s="38">
        <f t="shared" si="123"/>
        <v>0.9</v>
      </c>
      <c r="NK18" s="38">
        <f t="shared" si="124"/>
        <v>7.3150000000000004</v>
      </c>
      <c r="NL18" s="38">
        <f t="shared" si="125"/>
        <v>0</v>
      </c>
      <c r="NM18" s="38">
        <f t="shared" si="126"/>
        <v>7.75</v>
      </c>
      <c r="NN18" s="38">
        <f t="shared" si="127"/>
        <v>4.7</v>
      </c>
      <c r="NO18" s="38">
        <f t="shared" si="128"/>
        <v>4.8</v>
      </c>
      <c r="NP18" s="38">
        <f t="shared" si="129"/>
        <v>7.18</v>
      </c>
      <c r="NQ18" s="38">
        <f t="shared" si="130"/>
        <v>0</v>
      </c>
      <c r="NR18" s="38">
        <f t="shared" si="131"/>
        <v>0</v>
      </c>
      <c r="NS18" s="38">
        <f t="shared" si="132"/>
        <v>0</v>
      </c>
      <c r="NT18" s="38">
        <f t="shared" si="133"/>
        <v>0</v>
      </c>
      <c r="NU18" s="38">
        <f t="shared" si="134"/>
        <v>0</v>
      </c>
      <c r="NV18" s="38">
        <f t="shared" si="135"/>
        <v>0</v>
      </c>
      <c r="NW18" s="38">
        <f t="shared" si="136"/>
        <v>7.3</v>
      </c>
      <c r="NX18" s="38">
        <f t="shared" si="137"/>
        <v>4.5999999999999996</v>
      </c>
      <c r="NY18" s="38">
        <f t="shared" si="138"/>
        <v>4.8</v>
      </c>
      <c r="NZ18" s="38">
        <f t="shared" si="139"/>
        <v>7.21</v>
      </c>
      <c r="OA18" s="38">
        <f t="shared" si="140"/>
        <v>0</v>
      </c>
      <c r="OB18" s="45" t="s">
        <v>46</v>
      </c>
      <c r="OC18" s="11">
        <f t="shared" si="141"/>
        <v>20.915000000000003</v>
      </c>
      <c r="OD18" s="11">
        <f t="shared" si="142"/>
        <v>4.8</v>
      </c>
      <c r="OE18" s="11">
        <f t="shared" si="143"/>
        <v>24.43</v>
      </c>
      <c r="OF18" s="11" t="str">
        <f t="shared" si="144"/>
        <v/>
      </c>
      <c r="OG18" s="11" t="str">
        <f t="shared" si="145"/>
        <v/>
      </c>
      <c r="OH18" s="11">
        <f t="shared" si="146"/>
        <v>45.344999999999999</v>
      </c>
      <c r="OI18" s="11">
        <f t="shared" si="147"/>
        <v>4.8</v>
      </c>
      <c r="OJ18" s="11">
        <f t="shared" ref="OJ18" si="164">IF(SUM(NW18:NZ18)-OA18&gt;0,SUM(NW18:NZ18)-OA18,"")</f>
        <v>23.91</v>
      </c>
      <c r="OK18" s="11">
        <f t="shared" ref="OK18" si="165">IF(SUM(OH18,OJ18)&gt;0,SUM(OH18,OJ18),"")</f>
        <v>69.254999999999995</v>
      </c>
    </row>
    <row r="19" spans="1:401" x14ac:dyDescent="0.2">
      <c r="A19" s="5" t="str" cm="1">
        <f t="array" ref="A19">IF(AND(F19="P",G19="P"),SUMPRODUCT((F$4:F$32="P")*(G$4:G$32="P")*(E$4:E$32&gt;E19))+1,IF(G19="P",SUMPRODUCT((F$4:F$32="")*(G$4:G$32="P")*(E$4:E$32&gt;E19))+1+SUMPRODUCT((F$4:F$32="P")*(G$4:G$32="P")),""))</f>
        <v/>
      </c>
      <c r="B19" s="6" t="s">
        <v>96</v>
      </c>
      <c r="C19" s="7" t="s">
        <v>95</v>
      </c>
      <c r="D19" s="22">
        <v>2001</v>
      </c>
      <c r="E19" s="15">
        <f t="shared" si="0"/>
        <v>95.63000491599999</v>
      </c>
      <c r="F19" s="3" t="str">
        <f t="shared" si="1"/>
        <v/>
      </c>
      <c r="G19" s="3" t="str">
        <f t="shared" si="2"/>
        <v/>
      </c>
      <c r="H19" s="67" t="str">
        <f t="shared" si="3"/>
        <v/>
      </c>
      <c r="I19" s="14">
        <f t="shared" si="4"/>
        <v>49.16</v>
      </c>
      <c r="J19" s="14" t="str">
        <f t="shared" si="5"/>
        <v>2022 Elite Canada</v>
      </c>
      <c r="K19" s="14">
        <f>IF(COUNT(AM19,AO19,AR19,BQ19,BS19,BV19,CU19,CW19,CZ19)&gt;1,LARGE((AM19,AO19,AR19,BQ19,BS19,BV19,CU19,CW19,CZ19),2),0)</f>
        <v>46.47</v>
      </c>
      <c r="L19" s="14" t="str">
        <f t="shared" si="6"/>
        <v>2022 Elite Canada</v>
      </c>
      <c r="M19" s="14" t="str">
        <f t="shared" si="7"/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>
        <v>16.600000000000001</v>
      </c>
      <c r="Q19" s="38">
        <v>9.1999999999999993</v>
      </c>
      <c r="R19" s="38">
        <v>5</v>
      </c>
      <c r="S19" s="38">
        <v>16.225000000000001</v>
      </c>
      <c r="T19" s="38">
        <v>0</v>
      </c>
      <c r="U19" s="38">
        <v>5.3</v>
      </c>
      <c r="V19" s="38">
        <v>3.4</v>
      </c>
      <c r="W19" s="38">
        <v>6.3</v>
      </c>
      <c r="X19" s="38">
        <v>6.37</v>
      </c>
      <c r="Y19" s="38">
        <v>0</v>
      </c>
      <c r="Z19" s="38">
        <v>3.9</v>
      </c>
      <c r="AA19" s="38">
        <v>2.6</v>
      </c>
      <c r="AB19" s="38">
        <v>4.9000000000000004</v>
      </c>
      <c r="AC19" s="38">
        <v>4.835</v>
      </c>
      <c r="AD19" s="38">
        <v>0</v>
      </c>
      <c r="AE19" s="38"/>
      <c r="AF19" s="38"/>
      <c r="AG19" s="38"/>
      <c r="AH19" s="38"/>
      <c r="AI19" s="38"/>
      <c r="AJ19" s="45"/>
      <c r="AK19" s="11">
        <f t="shared" si="8"/>
        <v>47.025000000000006</v>
      </c>
      <c r="AL19" s="11">
        <f t="shared" si="9"/>
        <v>6.3</v>
      </c>
      <c r="AM19" s="11">
        <f t="shared" si="10"/>
        <v>21.37</v>
      </c>
      <c r="AN19" s="11">
        <f t="shared" si="11"/>
        <v>4.9000000000000004</v>
      </c>
      <c r="AO19" s="11">
        <f t="shared" si="12"/>
        <v>16.234999999999999</v>
      </c>
      <c r="AP19" s="11">
        <f t="shared" si="13"/>
        <v>68.39500000000001</v>
      </c>
      <c r="AQ19" s="11" t="str">
        <f t="shared" si="14"/>
        <v/>
      </c>
      <c r="AR19" s="11" t="str">
        <f t="shared" si="15"/>
        <v/>
      </c>
      <c r="AS19" s="11">
        <f t="shared" si="16"/>
        <v>68.39500000000001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 t="shared" si="17"/>
        <v/>
      </c>
      <c r="BP19" s="14" t="str">
        <f t="shared" si="18"/>
        <v/>
      </c>
      <c r="BQ19" s="14" t="str">
        <f t="shared" si="19"/>
        <v/>
      </c>
      <c r="BR19" s="14" t="str">
        <f t="shared" si="20"/>
        <v/>
      </c>
      <c r="BS19" s="14" t="str">
        <f t="shared" si="21"/>
        <v/>
      </c>
      <c r="BT19" s="14" t="str">
        <f t="shared" si="22"/>
        <v/>
      </c>
      <c r="BU19" s="14" t="str">
        <f t="shared" si="23"/>
        <v/>
      </c>
      <c r="BV19" s="14" t="str">
        <f t="shared" si="24"/>
        <v/>
      </c>
      <c r="BW19" s="14" t="str">
        <f t="shared" si="25"/>
        <v/>
      </c>
      <c r="BX19" s="38"/>
      <c r="BY19" s="38"/>
      <c r="BZ19" s="38"/>
      <c r="CA19" s="38"/>
      <c r="CB19" s="38"/>
      <c r="CC19" s="38">
        <v>13.7</v>
      </c>
      <c r="CD19" s="38">
        <v>9.1999999999999993</v>
      </c>
      <c r="CE19" s="38">
        <v>12.3</v>
      </c>
      <c r="CF19" s="38">
        <v>15.16</v>
      </c>
      <c r="CG19" s="38">
        <v>1.2</v>
      </c>
      <c r="CH19" s="38">
        <v>12.1</v>
      </c>
      <c r="CI19" s="38">
        <v>7.7</v>
      </c>
      <c r="CJ19" s="38">
        <v>13</v>
      </c>
      <c r="CK19" s="38">
        <v>13.67</v>
      </c>
      <c r="CL19" s="38">
        <v>0</v>
      </c>
      <c r="CM19" s="38"/>
      <c r="CN19" s="38"/>
      <c r="CO19" s="38"/>
      <c r="CP19" s="38"/>
      <c r="CQ19" s="38"/>
      <c r="CR19" s="45"/>
      <c r="CS19" s="11" t="str">
        <f t="shared" si="26"/>
        <v/>
      </c>
      <c r="CT19" s="11">
        <f t="shared" si="27"/>
        <v>12.3</v>
      </c>
      <c r="CU19" s="11">
        <f t="shared" si="28"/>
        <v>49.16</v>
      </c>
      <c r="CV19" s="11">
        <f t="shared" si="29"/>
        <v>13</v>
      </c>
      <c r="CW19" s="11">
        <f t="shared" si="30"/>
        <v>46.47</v>
      </c>
      <c r="CX19" s="11">
        <f t="shared" si="31"/>
        <v>49.16</v>
      </c>
      <c r="CY19" s="11" t="str">
        <f t="shared" si="32"/>
        <v/>
      </c>
      <c r="CZ19" s="11" t="str">
        <f t="shared" si="33"/>
        <v/>
      </c>
      <c r="DA19" s="11">
        <f t="shared" si="34"/>
        <v>49.16</v>
      </c>
      <c r="DB19" s="19" t="str">
        <f t="shared" si="35"/>
        <v/>
      </c>
      <c r="DC19" s="19" t="str">
        <f t="shared" si="36"/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 t="shared" si="37"/>
        <v/>
      </c>
      <c r="DT19" s="11" t="str">
        <f t="shared" si="38"/>
        <v/>
      </c>
      <c r="DU19" s="11" t="str">
        <f t="shared" si="39"/>
        <v/>
      </c>
      <c r="DV19" s="11" t="str">
        <f t="shared" si="40"/>
        <v/>
      </c>
      <c r="DW19" s="11" t="str">
        <f t="shared" si="41"/>
        <v/>
      </c>
      <c r="DX19" s="11" t="str">
        <f t="shared" si="42"/>
        <v/>
      </c>
      <c r="DY19" s="11" t="str">
        <f t="shared" si="43"/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 t="shared" si="44"/>
        <v/>
      </c>
      <c r="EP19" s="14" t="str">
        <f t="shared" si="45"/>
        <v/>
      </c>
      <c r="EQ19" s="14" t="str">
        <f t="shared" si="46"/>
        <v/>
      </c>
      <c r="ER19" s="14" t="str">
        <f t="shared" si="47"/>
        <v/>
      </c>
      <c r="ES19" s="14" t="str">
        <f t="shared" si="48"/>
        <v/>
      </c>
      <c r="ET19" s="14" t="str">
        <f t="shared" si="49"/>
        <v/>
      </c>
      <c r="EU19" s="14" t="str">
        <f t="shared" si="50"/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 t="shared" si="51"/>
        <v/>
      </c>
      <c r="FL19" s="11" t="str">
        <f t="shared" si="52"/>
        <v/>
      </c>
      <c r="FM19" s="11" t="str">
        <f t="shared" si="53"/>
        <v/>
      </c>
      <c r="FN19" s="11" t="str">
        <f t="shared" si="54"/>
        <v/>
      </c>
      <c r="FO19" s="11" t="str">
        <f t="shared" si="55"/>
        <v/>
      </c>
      <c r="FP19" s="11" t="str">
        <f t="shared" si="56"/>
        <v/>
      </c>
      <c r="FQ19" s="11" t="str">
        <f t="shared" si="57"/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 t="shared" si="58"/>
        <v/>
      </c>
      <c r="GH19" s="14" t="str">
        <f t="shared" si="59"/>
        <v/>
      </c>
      <c r="GI19" s="14" t="str">
        <f t="shared" si="60"/>
        <v/>
      </c>
      <c r="GJ19" s="14" t="str">
        <f t="shared" si="61"/>
        <v/>
      </c>
      <c r="GK19" s="14" t="str">
        <f t="shared" si="62"/>
        <v/>
      </c>
      <c r="GL19" s="14" t="str">
        <f t="shared" si="63"/>
        <v/>
      </c>
      <c r="GM19" s="14" t="str">
        <f t="shared" si="64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 t="shared" si="65"/>
        <v/>
      </c>
      <c r="HD19" s="11" t="str">
        <f t="shared" si="66"/>
        <v/>
      </c>
      <c r="HE19" s="11" t="str">
        <f t="shared" si="67"/>
        <v/>
      </c>
      <c r="HF19" s="11" t="str">
        <f t="shared" si="68"/>
        <v/>
      </c>
      <c r="HG19" s="11" t="str">
        <f t="shared" si="69"/>
        <v/>
      </c>
      <c r="HH19" s="11" t="str">
        <f t="shared" si="70"/>
        <v/>
      </c>
      <c r="HI19" s="11" t="str">
        <f t="shared" si="71"/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 t="shared" si="72"/>
        <v/>
      </c>
      <c r="HZ19" s="14" t="str">
        <f t="shared" si="73"/>
        <v/>
      </c>
      <c r="IA19" s="14" t="str">
        <f t="shared" si="74"/>
        <v/>
      </c>
      <c r="IB19" s="14" t="str">
        <f t="shared" si="75"/>
        <v/>
      </c>
      <c r="IC19" s="14" t="str">
        <f t="shared" si="76"/>
        <v/>
      </c>
      <c r="ID19" s="14" t="str">
        <f t="shared" si="77"/>
        <v/>
      </c>
      <c r="IE19" s="14" t="str">
        <f t="shared" si="78"/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 t="shared" si="79"/>
        <v/>
      </c>
      <c r="IV19" s="11" t="str">
        <f t="shared" si="80"/>
        <v/>
      </c>
      <c r="IW19" s="11" t="str">
        <f t="shared" si="81"/>
        <v/>
      </c>
      <c r="IX19" s="11" t="str">
        <f t="shared" si="82"/>
        <v/>
      </c>
      <c r="IY19" s="11" t="str">
        <f t="shared" si="83"/>
        <v/>
      </c>
      <c r="IZ19" s="11" t="str">
        <f t="shared" si="84"/>
        <v/>
      </c>
      <c r="JA19" s="11" t="str">
        <f t="shared" si="85"/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 t="shared" si="86"/>
        <v/>
      </c>
      <c r="JR19" s="14" t="str">
        <f t="shared" si="87"/>
        <v/>
      </c>
      <c r="JS19" s="14" t="str">
        <f t="shared" si="88"/>
        <v/>
      </c>
      <c r="JT19" s="14" t="str">
        <f t="shared" si="89"/>
        <v/>
      </c>
      <c r="JU19" s="14" t="str">
        <f t="shared" si="90"/>
        <v/>
      </c>
      <c r="JV19" s="14" t="str">
        <f t="shared" si="91"/>
        <v/>
      </c>
      <c r="JW19" s="14" t="str">
        <f t="shared" si="92"/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 t="shared" si="93"/>
        <v/>
      </c>
      <c r="KN19" s="11" t="str">
        <f t="shared" si="94"/>
        <v/>
      </c>
      <c r="KO19" s="11" t="str">
        <f t="shared" si="95"/>
        <v/>
      </c>
      <c r="KP19" s="11" t="str">
        <f t="shared" si="96"/>
        <v/>
      </c>
      <c r="KQ19" s="11" t="str">
        <f t="shared" si="97"/>
        <v/>
      </c>
      <c r="KR19" s="11" t="str">
        <f t="shared" si="98"/>
        <v/>
      </c>
      <c r="KS19" s="11" t="str">
        <f t="shared" si="99"/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 t="shared" si="100"/>
        <v/>
      </c>
      <c r="LJ19" s="14" t="str">
        <f t="shared" si="101"/>
        <v/>
      </c>
      <c r="LK19" s="14" t="str">
        <f t="shared" si="102"/>
        <v/>
      </c>
      <c r="LL19" s="14" t="str">
        <f t="shared" si="103"/>
        <v/>
      </c>
      <c r="LM19" s="14" t="str">
        <f t="shared" si="104"/>
        <v/>
      </c>
      <c r="LN19" s="14" t="str">
        <f t="shared" si="105"/>
        <v/>
      </c>
      <c r="LO19" s="14" t="str">
        <f t="shared" si="106"/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 t="shared" si="107"/>
        <v/>
      </c>
      <c r="MF19" s="11" t="str">
        <f t="shared" si="108"/>
        <v/>
      </c>
      <c r="MG19" s="11" t="str">
        <f t="shared" si="109"/>
        <v/>
      </c>
      <c r="MH19" s="11" t="str">
        <f t="shared" si="110"/>
        <v/>
      </c>
      <c r="MI19" s="11" t="str">
        <f t="shared" si="111"/>
        <v/>
      </c>
      <c r="MJ19" s="11" t="str">
        <f t="shared" si="112"/>
        <v/>
      </c>
      <c r="MK19" s="11" t="str">
        <f t="shared" si="113"/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 t="shared" si="114"/>
        <v/>
      </c>
      <c r="NB19" s="14" t="str">
        <f t="shared" si="115"/>
        <v/>
      </c>
      <c r="NC19" s="14" t="str">
        <f t="shared" si="116"/>
        <v/>
      </c>
      <c r="ND19" s="14" t="str">
        <f t="shared" si="117"/>
        <v/>
      </c>
      <c r="NE19" s="14" t="str">
        <f t="shared" si="118"/>
        <v/>
      </c>
      <c r="NF19" s="14" t="str">
        <f t="shared" si="119"/>
        <v/>
      </c>
      <c r="NG19" s="14" t="str">
        <f t="shared" si="120"/>
        <v/>
      </c>
      <c r="NH19" s="38">
        <f t="shared" si="121"/>
        <v>0</v>
      </c>
      <c r="NI19" s="38">
        <f t="shared" si="122"/>
        <v>0</v>
      </c>
      <c r="NJ19" s="38">
        <f t="shared" si="123"/>
        <v>0</v>
      </c>
      <c r="NK19" s="38">
        <f t="shared" si="124"/>
        <v>0</v>
      </c>
      <c r="NL19" s="38">
        <f t="shared" si="125"/>
        <v>0</v>
      </c>
      <c r="NM19" s="38">
        <f t="shared" si="126"/>
        <v>6.85</v>
      </c>
      <c r="NN19" s="38">
        <f t="shared" si="127"/>
        <v>4.5999999999999996</v>
      </c>
      <c r="NO19" s="38">
        <f t="shared" si="128"/>
        <v>6.15</v>
      </c>
      <c r="NP19" s="38">
        <f t="shared" si="129"/>
        <v>7.58</v>
      </c>
      <c r="NQ19" s="38">
        <f t="shared" si="130"/>
        <v>0.6</v>
      </c>
      <c r="NR19" s="38">
        <f t="shared" si="131"/>
        <v>6.05</v>
      </c>
      <c r="NS19" s="38">
        <f t="shared" si="132"/>
        <v>3.85</v>
      </c>
      <c r="NT19" s="38">
        <f t="shared" si="133"/>
        <v>6.5</v>
      </c>
      <c r="NU19" s="38">
        <f t="shared" si="134"/>
        <v>6.835</v>
      </c>
      <c r="NV19" s="38">
        <f t="shared" si="135"/>
        <v>0</v>
      </c>
      <c r="NW19" s="38">
        <f t="shared" si="136"/>
        <v>0</v>
      </c>
      <c r="NX19" s="38">
        <f t="shared" si="137"/>
        <v>0</v>
      </c>
      <c r="NY19" s="38">
        <f t="shared" si="138"/>
        <v>0</v>
      </c>
      <c r="NZ19" s="38">
        <f t="shared" si="139"/>
        <v>0</v>
      </c>
      <c r="OA19" s="38">
        <f t="shared" si="140"/>
        <v>0</v>
      </c>
      <c r="OB19" s="45" t="s">
        <v>46</v>
      </c>
      <c r="OC19" s="11" t="str">
        <f t="shared" si="141"/>
        <v/>
      </c>
      <c r="OD19" s="11">
        <f t="shared" si="142"/>
        <v>6.15</v>
      </c>
      <c r="OE19" s="11">
        <f t="shared" si="143"/>
        <v>24.58</v>
      </c>
      <c r="OF19" s="11">
        <f t="shared" si="144"/>
        <v>6.5</v>
      </c>
      <c r="OG19" s="11">
        <f t="shared" si="145"/>
        <v>23.234999999999999</v>
      </c>
      <c r="OH19" s="11" t="e">
        <f t="shared" si="146"/>
        <v>#VALUE!</v>
      </c>
      <c r="OI19" s="11" t="str">
        <f t="shared" si="147"/>
        <v/>
      </c>
      <c r="OJ19" s="11" t="str">
        <f t="shared" ref="OJ19" si="166">IF(SUM(NW19:NZ19)-OA19&gt;0,SUM(NW19:NZ19)-OA19,"")</f>
        <v/>
      </c>
      <c r="OK19" s="11" t="e">
        <f t="shared" ref="OK19" si="167">IF(SUM(OH19,OJ19)&gt;0,SUM(OH19,OJ19),"")</f>
        <v>#VALUE!</v>
      </c>
    </row>
    <row r="20" spans="1:401" x14ac:dyDescent="0.2">
      <c r="A20" s="5" t="str" cm="1">
        <f t="array" ref="A20">IF(AND(F20="P",G20="P"),SUMPRODUCT((F$4:F$32="P")*(G$4:G$32="P")*(E$4:E$32&gt;E20))+1,IF(G20="P",SUMPRODUCT((F$4:F$32="")*(G$4:G$32="P")*(E$4:E$32&gt;E20))+1+SUMPRODUCT((F$4:F$32="P")*(G$4:G$32="P")),""))</f>
        <v/>
      </c>
      <c r="B20" s="6" t="s">
        <v>69</v>
      </c>
      <c r="C20" s="7" t="s">
        <v>3</v>
      </c>
      <c r="D20" s="22">
        <v>2002</v>
      </c>
      <c r="E20" s="15">
        <f t="shared" si="0"/>
        <v>95.250005133000002</v>
      </c>
      <c r="F20" s="3" t="str">
        <f t="shared" si="1"/>
        <v/>
      </c>
      <c r="G20" s="3" t="str">
        <f t="shared" si="2"/>
        <v/>
      </c>
      <c r="H20" s="67" t="str">
        <f t="shared" si="3"/>
        <v/>
      </c>
      <c r="I20" s="14">
        <f t="shared" si="4"/>
        <v>51.33</v>
      </c>
      <c r="J20" s="14" t="str">
        <f t="shared" si="5"/>
        <v>2021 Elite Canada</v>
      </c>
      <c r="K20" s="14">
        <f>IF(COUNT(AM20,AO20,AR20,BQ20,BS20,BV20,CU20,CW20,CZ20)&gt;1,LARGE((AM20,AO20,AR20,BQ20,BS20,BV20,CU20,CW20,CZ20),2),0)</f>
        <v>43.92</v>
      </c>
      <c r="L20" s="14" t="str">
        <f t="shared" si="6"/>
        <v>2021 Canadian Championships</v>
      </c>
      <c r="M20" s="14" t="str">
        <f t="shared" si="7"/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16.600000000000001</v>
      </c>
      <c r="Q20" s="38">
        <v>9.1999999999999993</v>
      </c>
      <c r="R20" s="38">
        <v>2.7</v>
      </c>
      <c r="S20" s="38">
        <v>16.8</v>
      </c>
      <c r="T20" s="38">
        <v>0</v>
      </c>
      <c r="U20" s="38">
        <v>14.1</v>
      </c>
      <c r="V20" s="38">
        <v>8.9</v>
      </c>
      <c r="W20" s="38">
        <v>12.6</v>
      </c>
      <c r="X20" s="38">
        <v>15.73</v>
      </c>
      <c r="Y20" s="38">
        <v>0</v>
      </c>
      <c r="Z20" s="38">
        <v>1.4</v>
      </c>
      <c r="AA20" s="38">
        <v>0.8</v>
      </c>
      <c r="AB20" s="38">
        <v>2</v>
      </c>
      <c r="AC20" s="38">
        <v>1.7350000000000001</v>
      </c>
      <c r="AD20" s="38">
        <v>0</v>
      </c>
      <c r="AE20" s="38">
        <v>9</v>
      </c>
      <c r="AF20" s="38">
        <v>5.4</v>
      </c>
      <c r="AG20" s="38">
        <v>8.6</v>
      </c>
      <c r="AH20" s="38">
        <v>9.74</v>
      </c>
      <c r="AI20" s="38">
        <v>0</v>
      </c>
      <c r="AJ20" s="45"/>
      <c r="AK20" s="11">
        <f t="shared" si="8"/>
        <v>45.3</v>
      </c>
      <c r="AL20" s="11">
        <f t="shared" si="9"/>
        <v>12.6</v>
      </c>
      <c r="AM20" s="11">
        <f t="shared" si="10"/>
        <v>51.33</v>
      </c>
      <c r="AN20" s="11">
        <f t="shared" si="11"/>
        <v>2</v>
      </c>
      <c r="AO20" s="11">
        <f t="shared" si="12"/>
        <v>5.9350000000000005</v>
      </c>
      <c r="AP20" s="11">
        <f t="shared" si="13"/>
        <v>96.63</v>
      </c>
      <c r="AQ20" s="11">
        <f t="shared" si="14"/>
        <v>8.6</v>
      </c>
      <c r="AR20" s="11">
        <f t="shared" si="15"/>
        <v>32.74</v>
      </c>
      <c r="AS20" s="11">
        <f t="shared" si="16"/>
        <v>129.37</v>
      </c>
      <c r="AT20" s="42">
        <v>12.4</v>
      </c>
      <c r="AU20" s="42">
        <v>7</v>
      </c>
      <c r="AV20" s="42">
        <v>0.9</v>
      </c>
      <c r="AW20" s="42">
        <v>13.675000000000001</v>
      </c>
      <c r="AX20" s="42">
        <v>0</v>
      </c>
      <c r="AY20" s="42">
        <v>1.4</v>
      </c>
      <c r="AZ20" s="42">
        <v>1</v>
      </c>
      <c r="BA20" s="42">
        <v>2</v>
      </c>
      <c r="BB20" s="42">
        <v>1.7150000000000001</v>
      </c>
      <c r="BC20" s="42">
        <v>0</v>
      </c>
      <c r="BD20" s="42">
        <v>12</v>
      </c>
      <c r="BE20" s="42">
        <v>7.7</v>
      </c>
      <c r="BF20" s="42">
        <v>11</v>
      </c>
      <c r="BG20" s="42">
        <v>13.22</v>
      </c>
      <c r="BH20" s="42">
        <v>0</v>
      </c>
      <c r="BI20" s="42">
        <v>4.4000000000000004</v>
      </c>
      <c r="BJ20" s="42">
        <v>2.8</v>
      </c>
      <c r="BK20" s="42">
        <v>4.5</v>
      </c>
      <c r="BL20" s="42">
        <v>5.03</v>
      </c>
      <c r="BM20" s="42">
        <v>0</v>
      </c>
      <c r="BN20" s="46"/>
      <c r="BO20" s="14">
        <f t="shared" si="17"/>
        <v>33.974999999999994</v>
      </c>
      <c r="BP20" s="14">
        <f t="shared" si="18"/>
        <v>2</v>
      </c>
      <c r="BQ20" s="14">
        <f t="shared" si="19"/>
        <v>6.1150000000000002</v>
      </c>
      <c r="BR20" s="14">
        <f t="shared" si="20"/>
        <v>11</v>
      </c>
      <c r="BS20" s="14">
        <f t="shared" si="21"/>
        <v>43.92</v>
      </c>
      <c r="BT20" s="14">
        <f t="shared" si="22"/>
        <v>77.894999999999996</v>
      </c>
      <c r="BU20" s="14">
        <f t="shared" si="23"/>
        <v>4.5</v>
      </c>
      <c r="BV20" s="14">
        <f t="shared" si="24"/>
        <v>16.73</v>
      </c>
      <c r="BW20" s="14">
        <f t="shared" si="25"/>
        <v>94.625</v>
      </c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 t="str">
        <f t="shared" si="26"/>
        <v/>
      </c>
      <c r="CT20" s="11" t="str">
        <f t="shared" si="27"/>
        <v/>
      </c>
      <c r="CU20" s="11" t="str">
        <f t="shared" si="28"/>
        <v/>
      </c>
      <c r="CV20" s="11" t="str">
        <f t="shared" si="29"/>
        <v/>
      </c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19" t="str">
        <f t="shared" si="35"/>
        <v/>
      </c>
      <c r="DC20" s="19" t="str">
        <f t="shared" si="36"/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 t="shared" si="37"/>
        <v/>
      </c>
      <c r="DT20" s="11" t="str">
        <f t="shared" si="38"/>
        <v/>
      </c>
      <c r="DU20" s="11" t="str">
        <f t="shared" si="39"/>
        <v/>
      </c>
      <c r="DV20" s="11" t="str">
        <f t="shared" si="40"/>
        <v/>
      </c>
      <c r="DW20" s="11" t="str">
        <f t="shared" si="41"/>
        <v/>
      </c>
      <c r="DX20" s="11" t="str">
        <f t="shared" si="42"/>
        <v/>
      </c>
      <c r="DY20" s="11" t="str">
        <f t="shared" si="43"/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 t="shared" si="44"/>
        <v/>
      </c>
      <c r="EP20" s="14" t="str">
        <f t="shared" si="45"/>
        <v/>
      </c>
      <c r="EQ20" s="14" t="str">
        <f t="shared" si="46"/>
        <v/>
      </c>
      <c r="ER20" s="14" t="str">
        <f t="shared" si="47"/>
        <v/>
      </c>
      <c r="ES20" s="14" t="str">
        <f t="shared" si="48"/>
        <v/>
      </c>
      <c r="ET20" s="14" t="str">
        <f t="shared" si="49"/>
        <v/>
      </c>
      <c r="EU20" s="14" t="str">
        <f t="shared" si="50"/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 t="shared" si="51"/>
        <v/>
      </c>
      <c r="FL20" s="11" t="str">
        <f t="shared" si="52"/>
        <v/>
      </c>
      <c r="FM20" s="11" t="str">
        <f t="shared" si="53"/>
        <v/>
      </c>
      <c r="FN20" s="11" t="str">
        <f t="shared" si="54"/>
        <v/>
      </c>
      <c r="FO20" s="11" t="str">
        <f t="shared" si="55"/>
        <v/>
      </c>
      <c r="FP20" s="11" t="str">
        <f t="shared" si="56"/>
        <v/>
      </c>
      <c r="FQ20" s="11" t="str">
        <f t="shared" si="57"/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 t="shared" si="58"/>
        <v/>
      </c>
      <c r="GH20" s="14" t="str">
        <f t="shared" si="59"/>
        <v/>
      </c>
      <c r="GI20" s="14" t="str">
        <f t="shared" si="60"/>
        <v/>
      </c>
      <c r="GJ20" s="14" t="str">
        <f t="shared" si="61"/>
        <v/>
      </c>
      <c r="GK20" s="14" t="str">
        <f t="shared" si="62"/>
        <v/>
      </c>
      <c r="GL20" s="14" t="str">
        <f t="shared" si="63"/>
        <v/>
      </c>
      <c r="GM20" s="14" t="str">
        <f t="shared" si="64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 t="shared" si="65"/>
        <v/>
      </c>
      <c r="HD20" s="11" t="str">
        <f t="shared" si="66"/>
        <v/>
      </c>
      <c r="HE20" s="11" t="str">
        <f t="shared" si="67"/>
        <v/>
      </c>
      <c r="HF20" s="11" t="str">
        <f t="shared" si="68"/>
        <v/>
      </c>
      <c r="HG20" s="11" t="str">
        <f t="shared" si="69"/>
        <v/>
      </c>
      <c r="HH20" s="11" t="str">
        <f t="shared" si="70"/>
        <v/>
      </c>
      <c r="HI20" s="11" t="str">
        <f t="shared" si="71"/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 t="shared" si="72"/>
        <v/>
      </c>
      <c r="HZ20" s="14" t="str">
        <f t="shared" si="73"/>
        <v/>
      </c>
      <c r="IA20" s="14" t="str">
        <f t="shared" si="74"/>
        <v/>
      </c>
      <c r="IB20" s="14" t="str">
        <f t="shared" si="75"/>
        <v/>
      </c>
      <c r="IC20" s="14" t="str">
        <f t="shared" si="76"/>
        <v/>
      </c>
      <c r="ID20" s="14" t="str">
        <f t="shared" si="77"/>
        <v/>
      </c>
      <c r="IE20" s="14" t="str">
        <f t="shared" si="78"/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 t="shared" si="79"/>
        <v/>
      </c>
      <c r="IV20" s="11" t="str">
        <f t="shared" si="80"/>
        <v/>
      </c>
      <c r="IW20" s="11" t="str">
        <f t="shared" si="81"/>
        <v/>
      </c>
      <c r="IX20" s="11" t="str">
        <f t="shared" si="82"/>
        <v/>
      </c>
      <c r="IY20" s="11" t="str">
        <f t="shared" si="83"/>
        <v/>
      </c>
      <c r="IZ20" s="11" t="str">
        <f t="shared" si="84"/>
        <v/>
      </c>
      <c r="JA20" s="11" t="str">
        <f t="shared" si="85"/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 t="shared" si="86"/>
        <v/>
      </c>
      <c r="JR20" s="14" t="str">
        <f t="shared" si="87"/>
        <v/>
      </c>
      <c r="JS20" s="14" t="str">
        <f t="shared" si="88"/>
        <v/>
      </c>
      <c r="JT20" s="14" t="str">
        <f t="shared" si="89"/>
        <v/>
      </c>
      <c r="JU20" s="14" t="str">
        <f t="shared" si="90"/>
        <v/>
      </c>
      <c r="JV20" s="14" t="str">
        <f t="shared" si="91"/>
        <v/>
      </c>
      <c r="JW20" s="14" t="str">
        <f t="shared" si="92"/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 t="shared" si="93"/>
        <v/>
      </c>
      <c r="KN20" s="11" t="str">
        <f t="shared" si="94"/>
        <v/>
      </c>
      <c r="KO20" s="11" t="str">
        <f t="shared" si="95"/>
        <v/>
      </c>
      <c r="KP20" s="11" t="str">
        <f t="shared" si="96"/>
        <v/>
      </c>
      <c r="KQ20" s="11" t="str">
        <f t="shared" si="97"/>
        <v/>
      </c>
      <c r="KR20" s="11" t="str">
        <f t="shared" si="98"/>
        <v/>
      </c>
      <c r="KS20" s="11" t="str">
        <f t="shared" si="99"/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 t="shared" si="100"/>
        <v/>
      </c>
      <c r="LJ20" s="14" t="str">
        <f t="shared" si="101"/>
        <v/>
      </c>
      <c r="LK20" s="14" t="str">
        <f t="shared" si="102"/>
        <v/>
      </c>
      <c r="LL20" s="14" t="str">
        <f t="shared" si="103"/>
        <v/>
      </c>
      <c r="LM20" s="14" t="str">
        <f t="shared" si="104"/>
        <v/>
      </c>
      <c r="LN20" s="14" t="str">
        <f t="shared" si="105"/>
        <v/>
      </c>
      <c r="LO20" s="14" t="str">
        <f t="shared" si="106"/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 t="shared" si="107"/>
        <v/>
      </c>
      <c r="MF20" s="11" t="str">
        <f t="shared" si="108"/>
        <v/>
      </c>
      <c r="MG20" s="11" t="str">
        <f t="shared" si="109"/>
        <v/>
      </c>
      <c r="MH20" s="11" t="str">
        <f t="shared" si="110"/>
        <v/>
      </c>
      <c r="MI20" s="11" t="str">
        <f t="shared" si="111"/>
        <v/>
      </c>
      <c r="MJ20" s="11" t="str">
        <f t="shared" si="112"/>
        <v/>
      </c>
      <c r="MK20" s="11" t="str">
        <f t="shared" si="113"/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 t="shared" si="114"/>
        <v/>
      </c>
      <c r="NB20" s="14" t="str">
        <f t="shared" si="115"/>
        <v/>
      </c>
      <c r="NC20" s="14" t="str">
        <f t="shared" si="116"/>
        <v/>
      </c>
      <c r="ND20" s="14" t="str">
        <f t="shared" si="117"/>
        <v/>
      </c>
      <c r="NE20" s="14" t="str">
        <f t="shared" si="118"/>
        <v/>
      </c>
      <c r="NF20" s="14" t="str">
        <f t="shared" si="119"/>
        <v/>
      </c>
      <c r="NG20" s="14" t="str">
        <f t="shared" si="120"/>
        <v/>
      </c>
      <c r="NH20" s="38">
        <f t="shared" si="121"/>
        <v>6.2</v>
      </c>
      <c r="NI20" s="38">
        <f t="shared" si="122"/>
        <v>3.5</v>
      </c>
      <c r="NJ20" s="38">
        <f t="shared" si="123"/>
        <v>0.45</v>
      </c>
      <c r="NK20" s="38">
        <f t="shared" si="124"/>
        <v>6.8375000000000004</v>
      </c>
      <c r="NL20" s="38">
        <f t="shared" si="125"/>
        <v>0</v>
      </c>
      <c r="NM20" s="38">
        <f t="shared" si="126"/>
        <v>0.7</v>
      </c>
      <c r="NN20" s="38">
        <f t="shared" si="127"/>
        <v>0.5</v>
      </c>
      <c r="NO20" s="38">
        <f t="shared" si="128"/>
        <v>1</v>
      </c>
      <c r="NP20" s="38">
        <f t="shared" si="129"/>
        <v>0.85750000000000004</v>
      </c>
      <c r="NQ20" s="38">
        <f t="shared" si="130"/>
        <v>0</v>
      </c>
      <c r="NR20" s="38">
        <f t="shared" si="131"/>
        <v>6</v>
      </c>
      <c r="NS20" s="38">
        <f t="shared" si="132"/>
        <v>3.85</v>
      </c>
      <c r="NT20" s="38">
        <f t="shared" si="133"/>
        <v>5.5</v>
      </c>
      <c r="NU20" s="38">
        <f t="shared" si="134"/>
        <v>6.61</v>
      </c>
      <c r="NV20" s="38">
        <f t="shared" si="135"/>
        <v>0</v>
      </c>
      <c r="NW20" s="38">
        <f t="shared" si="136"/>
        <v>2.2000000000000002</v>
      </c>
      <c r="NX20" s="38">
        <f t="shared" si="137"/>
        <v>1.4</v>
      </c>
      <c r="NY20" s="38">
        <f t="shared" si="138"/>
        <v>2.25</v>
      </c>
      <c r="NZ20" s="38">
        <f t="shared" si="139"/>
        <v>2.5150000000000001</v>
      </c>
      <c r="OA20" s="38">
        <f t="shared" si="140"/>
        <v>0</v>
      </c>
      <c r="OB20" s="45" t="s">
        <v>46</v>
      </c>
      <c r="OC20" s="11">
        <f t="shared" si="141"/>
        <v>16.987499999999997</v>
      </c>
      <c r="OD20" s="11">
        <f t="shared" si="142"/>
        <v>1</v>
      </c>
      <c r="OE20" s="11">
        <f t="shared" si="143"/>
        <v>3.0575000000000001</v>
      </c>
      <c r="OF20" s="11">
        <f t="shared" si="144"/>
        <v>5.5</v>
      </c>
      <c r="OG20" s="11">
        <f t="shared" si="145"/>
        <v>21.96</v>
      </c>
      <c r="OH20" s="11">
        <f t="shared" si="146"/>
        <v>38.947499999999998</v>
      </c>
      <c r="OI20" s="11">
        <f t="shared" si="147"/>
        <v>2.25</v>
      </c>
      <c r="OJ20" s="11">
        <f t="shared" ref="OJ20" si="168">IF(SUM(NW20:NZ20)-OA20&gt;0,SUM(NW20:NZ20)-OA20,"")</f>
        <v>8.3650000000000002</v>
      </c>
      <c r="OK20" s="11">
        <f t="shared" ref="OK20" si="169">IF(SUM(OH20,OJ20)&gt;0,SUM(OH20,OJ20),"")</f>
        <v>47.3125</v>
      </c>
    </row>
    <row r="21" spans="1:401" x14ac:dyDescent="0.2">
      <c r="A21" s="5" t="str" cm="1">
        <f t="array" ref="A21">IF(AND(F21="P",G21="P"),SUMPRODUCT((F$4:F$32="P")*(G$4:G$32="P")*(E$4:E$32&gt;E21))+1,IF(G21="P",SUMPRODUCT((F$4:F$32="")*(G$4:G$32="P")*(E$4:E$32&gt;E21))+1+SUMPRODUCT((F$4:F$32="P")*(G$4:G$32="P")),""))</f>
        <v/>
      </c>
      <c r="B21" s="6" t="s">
        <v>149</v>
      </c>
      <c r="C21" s="7" t="s">
        <v>3</v>
      </c>
      <c r="D21" s="5">
        <v>2005</v>
      </c>
      <c r="E21" s="15">
        <f t="shared" si="0"/>
        <v>95.090004755999999</v>
      </c>
      <c r="F21" s="3" t="str">
        <f t="shared" si="1"/>
        <v/>
      </c>
      <c r="G21" s="3" t="str">
        <f t="shared" si="2"/>
        <v/>
      </c>
      <c r="H21" s="67" t="str">
        <f t="shared" si="3"/>
        <v/>
      </c>
      <c r="I21" s="14">
        <f t="shared" si="4"/>
        <v>47.56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47.53</v>
      </c>
      <c r="L21" s="14" t="str">
        <f t="shared" si="6"/>
        <v>2022 Elite Canada</v>
      </c>
      <c r="M21" s="14" t="str">
        <f t="shared" si="7"/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 t="str">
        <f t="shared" si="8"/>
        <v/>
      </c>
      <c r="AL21" s="11" t="str">
        <f t="shared" si="9"/>
        <v/>
      </c>
      <c r="AM21" s="11" t="str">
        <f t="shared" si="10"/>
        <v/>
      </c>
      <c r="AN21" s="11" t="str">
        <f t="shared" si="11"/>
        <v/>
      </c>
      <c r="AO21" s="11" t="str">
        <f t="shared" si="12"/>
        <v/>
      </c>
      <c r="AP21" s="11" t="str">
        <f t="shared" si="13"/>
        <v/>
      </c>
      <c r="AQ21" s="11" t="str">
        <f t="shared" si="14"/>
        <v/>
      </c>
      <c r="AR21" s="11" t="str">
        <f t="shared" si="15"/>
        <v/>
      </c>
      <c r="AS21" s="11" t="str">
        <f t="shared" si="16"/>
        <v/>
      </c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6"/>
      <c r="BO21" s="14" t="str">
        <f t="shared" si="17"/>
        <v/>
      </c>
      <c r="BP21" s="14" t="str">
        <f t="shared" si="18"/>
        <v/>
      </c>
      <c r="BQ21" s="14" t="str">
        <f t="shared" si="19"/>
        <v/>
      </c>
      <c r="BR21" s="14" t="str">
        <f t="shared" si="20"/>
        <v/>
      </c>
      <c r="BS21" s="14" t="str">
        <f t="shared" si="21"/>
        <v/>
      </c>
      <c r="BT21" s="14" t="str">
        <f t="shared" si="22"/>
        <v/>
      </c>
      <c r="BU21" s="14" t="str">
        <f t="shared" si="23"/>
        <v/>
      </c>
      <c r="BV21" s="14" t="str">
        <f t="shared" si="24"/>
        <v/>
      </c>
      <c r="BW21" s="14" t="str">
        <f t="shared" si="25"/>
        <v/>
      </c>
      <c r="BX21" s="38">
        <v>14.6</v>
      </c>
      <c r="BY21" s="38">
        <v>9.6</v>
      </c>
      <c r="BZ21" s="38">
        <v>2.7</v>
      </c>
      <c r="CA21" s="38">
        <v>14.7</v>
      </c>
      <c r="CB21" s="38">
        <v>0</v>
      </c>
      <c r="CC21" s="38">
        <v>13.9</v>
      </c>
      <c r="CD21" s="38">
        <v>9.3000000000000007</v>
      </c>
      <c r="CE21" s="38">
        <v>10</v>
      </c>
      <c r="CF21" s="38">
        <v>14.33</v>
      </c>
      <c r="CG21" s="38">
        <v>0</v>
      </c>
      <c r="CH21" s="38"/>
      <c r="CI21" s="38"/>
      <c r="CJ21" s="38"/>
      <c r="CK21" s="38"/>
      <c r="CL21" s="38"/>
      <c r="CM21" s="38">
        <v>13.8</v>
      </c>
      <c r="CN21" s="38">
        <v>9.8000000000000007</v>
      </c>
      <c r="CO21" s="38">
        <v>10</v>
      </c>
      <c r="CP21" s="38">
        <v>14.16</v>
      </c>
      <c r="CQ21" s="38">
        <v>0.2</v>
      </c>
      <c r="CR21" s="45"/>
      <c r="CS21" s="11">
        <f t="shared" si="26"/>
        <v>41.599999999999994</v>
      </c>
      <c r="CT21" s="11">
        <f t="shared" si="27"/>
        <v>10</v>
      </c>
      <c r="CU21" s="11">
        <f t="shared" si="28"/>
        <v>47.53</v>
      </c>
      <c r="CV21" s="11" t="str">
        <f t="shared" si="29"/>
        <v/>
      </c>
      <c r="CW21" s="11" t="str">
        <f t="shared" si="30"/>
        <v/>
      </c>
      <c r="CX21" s="11">
        <f t="shared" si="31"/>
        <v>89.13</v>
      </c>
      <c r="CY21" s="11">
        <f t="shared" si="32"/>
        <v>10</v>
      </c>
      <c r="CZ21" s="11">
        <f t="shared" si="33"/>
        <v>47.56</v>
      </c>
      <c r="DA21" s="11">
        <f t="shared" si="34"/>
        <v>136.69</v>
      </c>
      <c r="DB21" s="19" t="str">
        <f t="shared" si="35"/>
        <v/>
      </c>
      <c r="DC21" s="19" t="str">
        <f t="shared" si="36"/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 t="shared" si="37"/>
        <v/>
      </c>
      <c r="DT21" s="11" t="str">
        <f t="shared" si="38"/>
        <v/>
      </c>
      <c r="DU21" s="11" t="str">
        <f t="shared" si="39"/>
        <v/>
      </c>
      <c r="DV21" s="11" t="str">
        <f t="shared" si="40"/>
        <v/>
      </c>
      <c r="DW21" s="11" t="str">
        <f t="shared" si="41"/>
        <v/>
      </c>
      <c r="DX21" s="11" t="str">
        <f t="shared" si="42"/>
        <v/>
      </c>
      <c r="DY21" s="11" t="str">
        <f t="shared" si="43"/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 t="shared" si="44"/>
        <v/>
      </c>
      <c r="EP21" s="14" t="str">
        <f t="shared" si="45"/>
        <v/>
      </c>
      <c r="EQ21" s="14" t="str">
        <f t="shared" si="46"/>
        <v/>
      </c>
      <c r="ER21" s="14" t="str">
        <f t="shared" si="47"/>
        <v/>
      </c>
      <c r="ES21" s="14" t="str">
        <f t="shared" si="48"/>
        <v/>
      </c>
      <c r="ET21" s="14" t="str">
        <f t="shared" si="49"/>
        <v/>
      </c>
      <c r="EU21" s="14" t="str">
        <f t="shared" si="50"/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 t="shared" si="51"/>
        <v/>
      </c>
      <c r="FL21" s="11" t="str">
        <f t="shared" si="52"/>
        <v/>
      </c>
      <c r="FM21" s="11" t="str">
        <f t="shared" si="53"/>
        <v/>
      </c>
      <c r="FN21" s="11" t="str">
        <f t="shared" si="54"/>
        <v/>
      </c>
      <c r="FO21" s="11" t="str">
        <f t="shared" si="55"/>
        <v/>
      </c>
      <c r="FP21" s="11" t="str">
        <f t="shared" si="56"/>
        <v/>
      </c>
      <c r="FQ21" s="11" t="str">
        <f t="shared" si="57"/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 t="shared" si="58"/>
        <v/>
      </c>
      <c r="GH21" s="14" t="str">
        <f t="shared" si="59"/>
        <v/>
      </c>
      <c r="GI21" s="14" t="str">
        <f t="shared" si="60"/>
        <v/>
      </c>
      <c r="GJ21" s="14" t="str">
        <f t="shared" si="61"/>
        <v/>
      </c>
      <c r="GK21" s="14" t="str">
        <f t="shared" si="62"/>
        <v/>
      </c>
      <c r="GL21" s="14" t="str">
        <f t="shared" si="63"/>
        <v/>
      </c>
      <c r="GM21" s="14" t="str">
        <f t="shared" si="64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 t="shared" si="65"/>
        <v/>
      </c>
      <c r="HD21" s="11" t="str">
        <f t="shared" si="66"/>
        <v/>
      </c>
      <c r="HE21" s="11" t="str">
        <f t="shared" si="67"/>
        <v/>
      </c>
      <c r="HF21" s="11" t="str">
        <f t="shared" si="68"/>
        <v/>
      </c>
      <c r="HG21" s="11" t="str">
        <f t="shared" si="69"/>
        <v/>
      </c>
      <c r="HH21" s="11" t="str">
        <f t="shared" si="70"/>
        <v/>
      </c>
      <c r="HI21" s="11" t="str">
        <f t="shared" si="71"/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 t="shared" si="72"/>
        <v/>
      </c>
      <c r="HZ21" s="14" t="str">
        <f t="shared" si="73"/>
        <v/>
      </c>
      <c r="IA21" s="14" t="str">
        <f t="shared" si="74"/>
        <v/>
      </c>
      <c r="IB21" s="14" t="str">
        <f t="shared" si="75"/>
        <v/>
      </c>
      <c r="IC21" s="14" t="str">
        <f t="shared" si="76"/>
        <v/>
      </c>
      <c r="ID21" s="14" t="str">
        <f t="shared" si="77"/>
        <v/>
      </c>
      <c r="IE21" s="14" t="str">
        <f t="shared" si="78"/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 t="shared" si="79"/>
        <v/>
      </c>
      <c r="IV21" s="11" t="str">
        <f t="shared" si="80"/>
        <v/>
      </c>
      <c r="IW21" s="11" t="str">
        <f t="shared" si="81"/>
        <v/>
      </c>
      <c r="IX21" s="11" t="str">
        <f t="shared" si="82"/>
        <v/>
      </c>
      <c r="IY21" s="11" t="str">
        <f t="shared" si="83"/>
        <v/>
      </c>
      <c r="IZ21" s="11" t="str">
        <f t="shared" si="84"/>
        <v/>
      </c>
      <c r="JA21" s="11" t="str">
        <f t="shared" si="85"/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 t="shared" si="86"/>
        <v/>
      </c>
      <c r="JR21" s="14" t="str">
        <f t="shared" si="87"/>
        <v/>
      </c>
      <c r="JS21" s="14" t="str">
        <f t="shared" si="88"/>
        <v/>
      </c>
      <c r="JT21" s="14" t="str">
        <f t="shared" si="89"/>
        <v/>
      </c>
      <c r="JU21" s="14" t="str">
        <f t="shared" si="90"/>
        <v/>
      </c>
      <c r="JV21" s="14" t="str">
        <f t="shared" si="91"/>
        <v/>
      </c>
      <c r="JW21" s="14" t="str">
        <f t="shared" si="92"/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 t="shared" si="93"/>
        <v/>
      </c>
      <c r="KN21" s="11" t="str">
        <f t="shared" si="94"/>
        <v/>
      </c>
      <c r="KO21" s="11" t="str">
        <f t="shared" si="95"/>
        <v/>
      </c>
      <c r="KP21" s="11" t="str">
        <f t="shared" si="96"/>
        <v/>
      </c>
      <c r="KQ21" s="11" t="str">
        <f t="shared" si="97"/>
        <v/>
      </c>
      <c r="KR21" s="11" t="str">
        <f t="shared" si="98"/>
        <v/>
      </c>
      <c r="KS21" s="11" t="str">
        <f t="shared" si="99"/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 t="shared" si="100"/>
        <v/>
      </c>
      <c r="LJ21" s="14" t="str">
        <f t="shared" si="101"/>
        <v/>
      </c>
      <c r="LK21" s="14" t="str">
        <f t="shared" si="102"/>
        <v/>
      </c>
      <c r="LL21" s="14" t="str">
        <f t="shared" si="103"/>
        <v/>
      </c>
      <c r="LM21" s="14" t="str">
        <f t="shared" si="104"/>
        <v/>
      </c>
      <c r="LN21" s="14" t="str">
        <f t="shared" si="105"/>
        <v/>
      </c>
      <c r="LO21" s="14" t="str">
        <f t="shared" si="106"/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 t="shared" si="107"/>
        <v/>
      </c>
      <c r="MF21" s="11" t="str">
        <f t="shared" si="108"/>
        <v/>
      </c>
      <c r="MG21" s="11" t="str">
        <f t="shared" si="109"/>
        <v/>
      </c>
      <c r="MH21" s="11" t="str">
        <f t="shared" si="110"/>
        <v/>
      </c>
      <c r="MI21" s="11" t="str">
        <f t="shared" si="111"/>
        <v/>
      </c>
      <c r="MJ21" s="11" t="str">
        <f t="shared" si="112"/>
        <v/>
      </c>
      <c r="MK21" s="11" t="str">
        <f t="shared" si="113"/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 t="shared" si="114"/>
        <v/>
      </c>
      <c r="NB21" s="14" t="str">
        <f t="shared" si="115"/>
        <v/>
      </c>
      <c r="NC21" s="14" t="str">
        <f t="shared" si="116"/>
        <v/>
      </c>
      <c r="ND21" s="14" t="str">
        <f t="shared" si="117"/>
        <v/>
      </c>
      <c r="NE21" s="14" t="str">
        <f t="shared" si="118"/>
        <v/>
      </c>
      <c r="NF21" s="14" t="str">
        <f t="shared" si="119"/>
        <v/>
      </c>
      <c r="NG21" s="14" t="str">
        <f t="shared" si="120"/>
        <v/>
      </c>
      <c r="NH21" s="38">
        <f t="shared" si="121"/>
        <v>7.3</v>
      </c>
      <c r="NI21" s="38">
        <f t="shared" si="122"/>
        <v>4.8</v>
      </c>
      <c r="NJ21" s="38">
        <f t="shared" si="123"/>
        <v>1.35</v>
      </c>
      <c r="NK21" s="38">
        <f t="shared" si="124"/>
        <v>7.35</v>
      </c>
      <c r="NL21" s="38">
        <f t="shared" si="125"/>
        <v>0</v>
      </c>
      <c r="NM21" s="38">
        <f t="shared" si="126"/>
        <v>6.95</v>
      </c>
      <c r="NN21" s="38">
        <f t="shared" si="127"/>
        <v>4.6500000000000004</v>
      </c>
      <c r="NO21" s="38">
        <f t="shared" si="128"/>
        <v>5</v>
      </c>
      <c r="NP21" s="38">
        <f t="shared" si="129"/>
        <v>7.165</v>
      </c>
      <c r="NQ21" s="38">
        <f t="shared" si="130"/>
        <v>0</v>
      </c>
      <c r="NR21" s="38">
        <f t="shared" si="131"/>
        <v>0</v>
      </c>
      <c r="NS21" s="38">
        <f t="shared" si="132"/>
        <v>0</v>
      </c>
      <c r="NT21" s="38">
        <f t="shared" si="133"/>
        <v>0</v>
      </c>
      <c r="NU21" s="38">
        <f t="shared" si="134"/>
        <v>0</v>
      </c>
      <c r="NV21" s="38">
        <f t="shared" si="135"/>
        <v>0</v>
      </c>
      <c r="NW21" s="38">
        <f t="shared" si="136"/>
        <v>6.9</v>
      </c>
      <c r="NX21" s="38">
        <f t="shared" si="137"/>
        <v>4.9000000000000004</v>
      </c>
      <c r="NY21" s="38">
        <f t="shared" si="138"/>
        <v>5</v>
      </c>
      <c r="NZ21" s="38">
        <f t="shared" si="139"/>
        <v>7.08</v>
      </c>
      <c r="OA21" s="38">
        <f t="shared" si="140"/>
        <v>0.1</v>
      </c>
      <c r="OB21" s="45" t="s">
        <v>46</v>
      </c>
      <c r="OC21" s="11">
        <f t="shared" si="141"/>
        <v>20.799999999999997</v>
      </c>
      <c r="OD21" s="11">
        <f t="shared" si="142"/>
        <v>5</v>
      </c>
      <c r="OE21" s="11">
        <f t="shared" si="143"/>
        <v>23.765000000000001</v>
      </c>
      <c r="OF21" s="11" t="str">
        <f t="shared" si="144"/>
        <v/>
      </c>
      <c r="OG21" s="11" t="str">
        <f t="shared" si="145"/>
        <v/>
      </c>
      <c r="OH21" s="11">
        <f t="shared" si="146"/>
        <v>44.564999999999998</v>
      </c>
      <c r="OI21" s="11">
        <f t="shared" si="147"/>
        <v>5</v>
      </c>
      <c r="OJ21" s="11">
        <f t="shared" ref="OJ21" si="170">IF(SUM(NW21:NZ21)-OA21&gt;0,SUM(NW21:NZ21)-OA21,"")</f>
        <v>23.78</v>
      </c>
      <c r="OK21" s="11">
        <f t="shared" ref="OK21" si="171">IF(SUM(OH21,OJ21)&gt;0,SUM(OH21,OJ21),"")</f>
        <v>68.344999999999999</v>
      </c>
    </row>
    <row r="22" spans="1:401" x14ac:dyDescent="0.2">
      <c r="A22" s="5" t="str" cm="1">
        <f t="array" ref="A22">IF(AND(F22="P",G22="P"),SUMPRODUCT((F$4:F$32="P")*(G$4:G$32="P")*(E$4:E$32&gt;E22))+1,IF(G22="P",SUMPRODUCT((F$4:F$32="")*(G$4:G$32="P")*(E$4:E$32&gt;E22))+1+SUMPRODUCT((F$4:F$32="P")*(G$4:G$32="P")),""))</f>
        <v/>
      </c>
      <c r="B22" s="6" t="s">
        <v>148</v>
      </c>
      <c r="C22" s="7" t="s">
        <v>5</v>
      </c>
      <c r="D22" s="5">
        <v>2005</v>
      </c>
      <c r="E22" s="15">
        <f t="shared" si="0"/>
        <v>93.620004681999987</v>
      </c>
      <c r="F22" s="3" t="str">
        <f t="shared" si="1"/>
        <v/>
      </c>
      <c r="G22" s="3" t="str">
        <f t="shared" si="2"/>
        <v/>
      </c>
      <c r="H22" s="67" t="str">
        <f t="shared" si="3"/>
        <v/>
      </c>
      <c r="I22" s="14">
        <f t="shared" si="4"/>
        <v>46.819999999999993</v>
      </c>
      <c r="J22" s="14" t="str">
        <f t="shared" si="5"/>
        <v>2021 Canadian Championships</v>
      </c>
      <c r="K22" s="14">
        <f>IF(COUNT(AM22,AO22,AR22,BQ22,BS22,BV22,CU22,CW22,CZ22)&gt;1,LARGE((AM22,AO22,AR22,BQ22,BS22,BV22,CU22,CW22,CZ22),2),0)</f>
        <v>46.8</v>
      </c>
      <c r="L22" s="14" t="str">
        <f t="shared" si="6"/>
        <v>2022 Elite Canada</v>
      </c>
      <c r="M22" s="14" t="str">
        <f t="shared" si="7"/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 t="str">
        <f t="shared" si="8"/>
        <v/>
      </c>
      <c r="AL22" s="11" t="str">
        <f t="shared" si="9"/>
        <v/>
      </c>
      <c r="AM22" s="11" t="str">
        <f t="shared" si="10"/>
        <v/>
      </c>
      <c r="AN22" s="11" t="str">
        <f t="shared" si="11"/>
        <v/>
      </c>
      <c r="AO22" s="11" t="str">
        <f t="shared" si="12"/>
        <v/>
      </c>
      <c r="AP22" s="11" t="str">
        <f t="shared" si="13"/>
        <v/>
      </c>
      <c r="AQ22" s="11" t="str">
        <f t="shared" si="14"/>
        <v/>
      </c>
      <c r="AR22" s="11" t="str">
        <f t="shared" si="15"/>
        <v/>
      </c>
      <c r="AS22" s="11" t="str">
        <f t="shared" si="16"/>
        <v/>
      </c>
      <c r="AT22" s="42">
        <v>16</v>
      </c>
      <c r="AU22" s="42">
        <v>8.9</v>
      </c>
      <c r="AV22" s="42">
        <v>0</v>
      </c>
      <c r="AW22" s="42">
        <v>14.51</v>
      </c>
      <c r="AX22" s="42">
        <v>0</v>
      </c>
      <c r="AY22" s="42">
        <v>13.1</v>
      </c>
      <c r="AZ22" s="42">
        <v>8.3000000000000007</v>
      </c>
      <c r="BA22" s="42">
        <v>10.9</v>
      </c>
      <c r="BB22" s="42">
        <v>14.52</v>
      </c>
      <c r="BC22" s="42">
        <v>0</v>
      </c>
      <c r="BD22" s="42"/>
      <c r="BE22" s="42"/>
      <c r="BF22" s="42"/>
      <c r="BG22" s="42"/>
      <c r="BH22" s="42"/>
      <c r="BI22" s="42">
        <v>5</v>
      </c>
      <c r="BJ22" s="42">
        <v>3.3</v>
      </c>
      <c r="BK22" s="42">
        <v>3.8</v>
      </c>
      <c r="BL22" s="42">
        <v>6.09</v>
      </c>
      <c r="BM22" s="42">
        <v>0</v>
      </c>
      <c r="BN22" s="46"/>
      <c r="BO22" s="14">
        <f t="shared" si="17"/>
        <v>39.409999999999997</v>
      </c>
      <c r="BP22" s="14">
        <f t="shared" si="18"/>
        <v>10.9</v>
      </c>
      <c r="BQ22" s="14">
        <f t="shared" si="19"/>
        <v>46.819999999999993</v>
      </c>
      <c r="BR22" s="14" t="str">
        <f t="shared" si="20"/>
        <v/>
      </c>
      <c r="BS22" s="14" t="str">
        <f t="shared" si="21"/>
        <v/>
      </c>
      <c r="BT22" s="14">
        <f t="shared" si="22"/>
        <v>86.22999999999999</v>
      </c>
      <c r="BU22" s="14">
        <f t="shared" si="23"/>
        <v>3.8</v>
      </c>
      <c r="BV22" s="14">
        <f t="shared" si="24"/>
        <v>18.190000000000001</v>
      </c>
      <c r="BW22" s="14">
        <f t="shared" si="25"/>
        <v>104.41999999999999</v>
      </c>
      <c r="BX22" s="38">
        <v>15.7</v>
      </c>
      <c r="BY22" s="38">
        <v>9.1</v>
      </c>
      <c r="BZ22" s="38">
        <v>2.9</v>
      </c>
      <c r="CA22" s="38">
        <v>15.03</v>
      </c>
      <c r="CB22" s="38">
        <v>0</v>
      </c>
      <c r="CC22" s="38">
        <v>12.3</v>
      </c>
      <c r="CD22" s="38">
        <v>9.3000000000000007</v>
      </c>
      <c r="CE22" s="38">
        <v>10</v>
      </c>
      <c r="CF22" s="38">
        <v>15.2</v>
      </c>
      <c r="CG22" s="38">
        <v>0</v>
      </c>
      <c r="CH22" s="38"/>
      <c r="CI22" s="38"/>
      <c r="CJ22" s="38"/>
      <c r="CK22" s="38"/>
      <c r="CL22" s="38"/>
      <c r="CM22" s="38">
        <v>9.1</v>
      </c>
      <c r="CN22" s="38">
        <v>6.1</v>
      </c>
      <c r="CO22" s="38">
        <v>7.9</v>
      </c>
      <c r="CP22" s="38">
        <v>10.5</v>
      </c>
      <c r="CQ22" s="38">
        <v>0</v>
      </c>
      <c r="CR22" s="45"/>
      <c r="CS22" s="11">
        <f t="shared" si="26"/>
        <v>42.73</v>
      </c>
      <c r="CT22" s="11">
        <f t="shared" si="27"/>
        <v>10</v>
      </c>
      <c r="CU22" s="11">
        <f t="shared" si="28"/>
        <v>46.8</v>
      </c>
      <c r="CV22" s="11" t="str">
        <f t="shared" si="29"/>
        <v/>
      </c>
      <c r="CW22" s="11" t="str">
        <f t="shared" si="30"/>
        <v/>
      </c>
      <c r="CX22" s="11">
        <f t="shared" si="31"/>
        <v>89.53</v>
      </c>
      <c r="CY22" s="11">
        <f t="shared" si="32"/>
        <v>7.9</v>
      </c>
      <c r="CZ22" s="11">
        <f t="shared" si="33"/>
        <v>33.6</v>
      </c>
      <c r="DA22" s="11">
        <f t="shared" si="34"/>
        <v>123.13</v>
      </c>
      <c r="DB22" s="19" t="str">
        <f t="shared" si="35"/>
        <v/>
      </c>
      <c r="DC22" s="19" t="str">
        <f t="shared" si="36"/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 t="shared" si="37"/>
        <v/>
      </c>
      <c r="DT22" s="11" t="str">
        <f t="shared" si="38"/>
        <v/>
      </c>
      <c r="DU22" s="11" t="str">
        <f t="shared" si="39"/>
        <v/>
      </c>
      <c r="DV22" s="11" t="str">
        <f t="shared" si="40"/>
        <v/>
      </c>
      <c r="DW22" s="11" t="str">
        <f t="shared" si="41"/>
        <v/>
      </c>
      <c r="DX22" s="11" t="str">
        <f t="shared" si="42"/>
        <v/>
      </c>
      <c r="DY22" s="11" t="str">
        <f t="shared" si="43"/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 t="shared" si="44"/>
        <v/>
      </c>
      <c r="EP22" s="14" t="str">
        <f t="shared" si="45"/>
        <v/>
      </c>
      <c r="EQ22" s="14" t="str">
        <f t="shared" si="46"/>
        <v/>
      </c>
      <c r="ER22" s="14" t="str">
        <f t="shared" si="47"/>
        <v/>
      </c>
      <c r="ES22" s="14" t="str">
        <f t="shared" si="48"/>
        <v/>
      </c>
      <c r="ET22" s="14" t="str">
        <f t="shared" si="49"/>
        <v/>
      </c>
      <c r="EU22" s="14" t="str">
        <f t="shared" si="50"/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 t="shared" si="51"/>
        <v/>
      </c>
      <c r="FL22" s="11" t="str">
        <f t="shared" si="52"/>
        <v/>
      </c>
      <c r="FM22" s="11" t="str">
        <f t="shared" si="53"/>
        <v/>
      </c>
      <c r="FN22" s="11" t="str">
        <f t="shared" si="54"/>
        <v/>
      </c>
      <c r="FO22" s="11" t="str">
        <f t="shared" si="55"/>
        <v/>
      </c>
      <c r="FP22" s="11" t="str">
        <f t="shared" si="56"/>
        <v/>
      </c>
      <c r="FQ22" s="11" t="str">
        <f t="shared" si="57"/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 t="shared" si="58"/>
        <v/>
      </c>
      <c r="GH22" s="14" t="str">
        <f t="shared" si="59"/>
        <v/>
      </c>
      <c r="GI22" s="14" t="str">
        <f t="shared" si="60"/>
        <v/>
      </c>
      <c r="GJ22" s="14" t="str">
        <f t="shared" si="61"/>
        <v/>
      </c>
      <c r="GK22" s="14" t="str">
        <f t="shared" si="62"/>
        <v/>
      </c>
      <c r="GL22" s="14" t="str">
        <f t="shared" si="63"/>
        <v/>
      </c>
      <c r="GM22" s="14" t="str">
        <f t="shared" si="64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 t="shared" si="65"/>
        <v/>
      </c>
      <c r="HD22" s="11" t="str">
        <f t="shared" si="66"/>
        <v/>
      </c>
      <c r="HE22" s="11" t="str">
        <f t="shared" si="67"/>
        <v/>
      </c>
      <c r="HF22" s="11" t="str">
        <f t="shared" si="68"/>
        <v/>
      </c>
      <c r="HG22" s="11" t="str">
        <f t="shared" si="69"/>
        <v/>
      </c>
      <c r="HH22" s="11" t="str">
        <f t="shared" si="70"/>
        <v/>
      </c>
      <c r="HI22" s="11" t="str">
        <f t="shared" si="71"/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 t="shared" si="72"/>
        <v/>
      </c>
      <c r="HZ22" s="14" t="str">
        <f t="shared" si="73"/>
        <v/>
      </c>
      <c r="IA22" s="14" t="str">
        <f t="shared" si="74"/>
        <v/>
      </c>
      <c r="IB22" s="14" t="str">
        <f t="shared" si="75"/>
        <v/>
      </c>
      <c r="IC22" s="14" t="str">
        <f t="shared" si="76"/>
        <v/>
      </c>
      <c r="ID22" s="14" t="str">
        <f t="shared" si="77"/>
        <v/>
      </c>
      <c r="IE22" s="14" t="str">
        <f t="shared" si="78"/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 t="shared" si="79"/>
        <v/>
      </c>
      <c r="IV22" s="11" t="str">
        <f t="shared" si="80"/>
        <v/>
      </c>
      <c r="IW22" s="11" t="str">
        <f t="shared" si="81"/>
        <v/>
      </c>
      <c r="IX22" s="11" t="str">
        <f t="shared" si="82"/>
        <v/>
      </c>
      <c r="IY22" s="11" t="str">
        <f t="shared" si="83"/>
        <v/>
      </c>
      <c r="IZ22" s="11" t="str">
        <f t="shared" si="84"/>
        <v/>
      </c>
      <c r="JA22" s="11" t="str">
        <f t="shared" si="85"/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 t="shared" si="86"/>
        <v/>
      </c>
      <c r="JR22" s="14" t="str">
        <f t="shared" si="87"/>
        <v/>
      </c>
      <c r="JS22" s="14" t="str">
        <f t="shared" si="88"/>
        <v/>
      </c>
      <c r="JT22" s="14" t="str">
        <f t="shared" si="89"/>
        <v/>
      </c>
      <c r="JU22" s="14" t="str">
        <f t="shared" si="90"/>
        <v/>
      </c>
      <c r="JV22" s="14" t="str">
        <f t="shared" si="91"/>
        <v/>
      </c>
      <c r="JW22" s="14" t="str">
        <f t="shared" si="92"/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 t="shared" si="93"/>
        <v/>
      </c>
      <c r="KN22" s="11" t="str">
        <f t="shared" si="94"/>
        <v/>
      </c>
      <c r="KO22" s="11" t="str">
        <f t="shared" si="95"/>
        <v/>
      </c>
      <c r="KP22" s="11" t="str">
        <f t="shared" si="96"/>
        <v/>
      </c>
      <c r="KQ22" s="11" t="str">
        <f t="shared" si="97"/>
        <v/>
      </c>
      <c r="KR22" s="11" t="str">
        <f t="shared" si="98"/>
        <v/>
      </c>
      <c r="KS22" s="11" t="str">
        <f t="shared" si="99"/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 t="shared" si="100"/>
        <v/>
      </c>
      <c r="LJ22" s="14" t="str">
        <f t="shared" si="101"/>
        <v/>
      </c>
      <c r="LK22" s="14" t="str">
        <f t="shared" si="102"/>
        <v/>
      </c>
      <c r="LL22" s="14" t="str">
        <f t="shared" si="103"/>
        <v/>
      </c>
      <c r="LM22" s="14" t="str">
        <f t="shared" si="104"/>
        <v/>
      </c>
      <c r="LN22" s="14" t="str">
        <f t="shared" si="105"/>
        <v/>
      </c>
      <c r="LO22" s="14" t="str">
        <f t="shared" si="106"/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 t="shared" si="107"/>
        <v/>
      </c>
      <c r="MF22" s="11" t="str">
        <f t="shared" si="108"/>
        <v/>
      </c>
      <c r="MG22" s="11" t="str">
        <f t="shared" si="109"/>
        <v/>
      </c>
      <c r="MH22" s="11" t="str">
        <f t="shared" si="110"/>
        <v/>
      </c>
      <c r="MI22" s="11" t="str">
        <f t="shared" si="111"/>
        <v/>
      </c>
      <c r="MJ22" s="11" t="str">
        <f t="shared" si="112"/>
        <v/>
      </c>
      <c r="MK22" s="11" t="str">
        <f t="shared" si="113"/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 t="shared" si="114"/>
        <v/>
      </c>
      <c r="NB22" s="14" t="str">
        <f t="shared" si="115"/>
        <v/>
      </c>
      <c r="NC22" s="14" t="str">
        <f t="shared" si="116"/>
        <v/>
      </c>
      <c r="ND22" s="14" t="str">
        <f t="shared" si="117"/>
        <v/>
      </c>
      <c r="NE22" s="14" t="str">
        <f t="shared" si="118"/>
        <v/>
      </c>
      <c r="NF22" s="14" t="str">
        <f t="shared" si="119"/>
        <v/>
      </c>
      <c r="NG22" s="14" t="str">
        <f t="shared" si="120"/>
        <v/>
      </c>
      <c r="NH22" s="38">
        <f t="shared" si="121"/>
        <v>15.85</v>
      </c>
      <c r="NI22" s="38">
        <f t="shared" si="122"/>
        <v>9</v>
      </c>
      <c r="NJ22" s="38">
        <f t="shared" si="123"/>
        <v>1.45</v>
      </c>
      <c r="NK22" s="38">
        <f t="shared" si="124"/>
        <v>14.77</v>
      </c>
      <c r="NL22" s="38">
        <f t="shared" si="125"/>
        <v>0</v>
      </c>
      <c r="NM22" s="38">
        <f t="shared" si="126"/>
        <v>12.7</v>
      </c>
      <c r="NN22" s="38">
        <f t="shared" si="127"/>
        <v>8.8000000000000007</v>
      </c>
      <c r="NO22" s="38">
        <f t="shared" si="128"/>
        <v>10.45</v>
      </c>
      <c r="NP22" s="38">
        <f t="shared" si="129"/>
        <v>14.86</v>
      </c>
      <c r="NQ22" s="38">
        <f t="shared" si="130"/>
        <v>0</v>
      </c>
      <c r="NR22" s="38">
        <f t="shared" si="131"/>
        <v>0</v>
      </c>
      <c r="NS22" s="38">
        <f t="shared" si="132"/>
        <v>0</v>
      </c>
      <c r="NT22" s="38">
        <f t="shared" si="133"/>
        <v>0</v>
      </c>
      <c r="NU22" s="38">
        <f t="shared" si="134"/>
        <v>0</v>
      </c>
      <c r="NV22" s="38">
        <f t="shared" si="135"/>
        <v>0</v>
      </c>
      <c r="NW22" s="38">
        <f t="shared" si="136"/>
        <v>7.05</v>
      </c>
      <c r="NX22" s="38">
        <f t="shared" si="137"/>
        <v>4.6999999999999993</v>
      </c>
      <c r="NY22" s="38">
        <f t="shared" si="138"/>
        <v>5.85</v>
      </c>
      <c r="NZ22" s="38">
        <f t="shared" si="139"/>
        <v>8.2949999999999999</v>
      </c>
      <c r="OA22" s="38">
        <f t="shared" si="140"/>
        <v>0</v>
      </c>
      <c r="OB22" s="45" t="s">
        <v>46</v>
      </c>
      <c r="OC22" s="11">
        <f t="shared" si="141"/>
        <v>41.07</v>
      </c>
      <c r="OD22" s="11">
        <f t="shared" si="142"/>
        <v>10.45</v>
      </c>
      <c r="OE22" s="11">
        <f t="shared" si="143"/>
        <v>46.81</v>
      </c>
      <c r="OF22" s="11" t="str">
        <f t="shared" si="144"/>
        <v/>
      </c>
      <c r="OG22" s="11" t="str">
        <f t="shared" si="145"/>
        <v/>
      </c>
      <c r="OH22" s="11">
        <f t="shared" si="146"/>
        <v>87.88</v>
      </c>
      <c r="OI22" s="11">
        <f t="shared" si="147"/>
        <v>5.85</v>
      </c>
      <c r="OJ22" s="11">
        <f t="shared" ref="OJ22" si="172">IF(SUM(NW22:NZ22)-OA22&gt;0,SUM(NW22:NZ22)-OA22,"")</f>
        <v>25.895000000000003</v>
      </c>
      <c r="OK22" s="11">
        <f t="shared" ref="OK22" si="173">IF(SUM(OH22,OJ22)&gt;0,SUM(OH22,OJ22),"")</f>
        <v>113.77500000000001</v>
      </c>
    </row>
    <row r="23" spans="1:401" x14ac:dyDescent="0.2">
      <c r="A23" s="5" t="str" cm="1">
        <f t="array" ref="A23">IF(AND(F23="P",G23="P"),SUMPRODUCT((F$4:F$32="P")*(G$4:G$32="P")*(E$4:E$32&gt;E23))+1,IF(G23="P",SUMPRODUCT((F$4:F$32="")*(G$4:G$32="P")*(E$4:E$32&gt;E23))+1+SUMPRODUCT((F$4:F$32="P")*(G$4:G$32="P")),""))</f>
        <v/>
      </c>
      <c r="B23" s="6" t="s">
        <v>110</v>
      </c>
      <c r="C23" s="7" t="s">
        <v>5</v>
      </c>
      <c r="D23" s="22">
        <v>2004</v>
      </c>
      <c r="E23" s="15">
        <f t="shared" si="0"/>
        <v>92.485004701000008</v>
      </c>
      <c r="F23" s="3" t="str">
        <f t="shared" si="1"/>
        <v/>
      </c>
      <c r="G23" s="3" t="str">
        <f t="shared" si="2"/>
        <v/>
      </c>
      <c r="H23" s="67" t="str">
        <f t="shared" si="3"/>
        <v/>
      </c>
      <c r="I23" s="14">
        <f t="shared" si="4"/>
        <v>47.010000000000005</v>
      </c>
      <c r="J23" s="14" t="str">
        <f t="shared" si="5"/>
        <v>2021 Elite Canada</v>
      </c>
      <c r="K23" s="14">
        <f>IF(COUNT(AM23,AO23,AR23,BQ23,BS23,BV23,CU23,CW23,CZ23)&gt;1,LARGE((AM23,AO23,AR23,BQ23,BS23,BV23,CU23,CW23,CZ23),2),0)</f>
        <v>45.475000000000001</v>
      </c>
      <c r="L23" s="14" t="str">
        <f t="shared" si="6"/>
        <v>2021 Canadian Championships</v>
      </c>
      <c r="M23" s="14" t="str">
        <f t="shared" si="7"/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>
        <v>16.2</v>
      </c>
      <c r="Q23" s="38">
        <v>9.6999999999999993</v>
      </c>
      <c r="R23" s="38">
        <v>2</v>
      </c>
      <c r="S23" s="38">
        <v>14.56</v>
      </c>
      <c r="T23" s="38">
        <v>0</v>
      </c>
      <c r="U23" s="38">
        <v>11.3</v>
      </c>
      <c r="V23" s="38">
        <v>9.1</v>
      </c>
      <c r="W23" s="38">
        <v>9.3000000000000007</v>
      </c>
      <c r="X23" s="38">
        <v>14.744999999999999</v>
      </c>
      <c r="Y23" s="38">
        <v>0.3</v>
      </c>
      <c r="Z23" s="38"/>
      <c r="AA23" s="38"/>
      <c r="AB23" s="38"/>
      <c r="AC23" s="38"/>
      <c r="AD23" s="38"/>
      <c r="AE23" s="38">
        <v>14.2</v>
      </c>
      <c r="AF23" s="38">
        <v>9.4</v>
      </c>
      <c r="AG23" s="38">
        <v>9.3000000000000007</v>
      </c>
      <c r="AH23" s="38">
        <v>14.41</v>
      </c>
      <c r="AI23" s="38">
        <v>0.3</v>
      </c>
      <c r="AJ23" s="45"/>
      <c r="AK23" s="11">
        <f t="shared" si="8"/>
        <v>42.46</v>
      </c>
      <c r="AL23" s="11">
        <f t="shared" si="9"/>
        <v>9.3000000000000007</v>
      </c>
      <c r="AM23" s="11">
        <f t="shared" si="10"/>
        <v>44.145000000000003</v>
      </c>
      <c r="AN23" s="11" t="str">
        <f t="shared" si="11"/>
        <v/>
      </c>
      <c r="AO23" s="11" t="str">
        <f t="shared" si="12"/>
        <v/>
      </c>
      <c r="AP23" s="11">
        <f t="shared" si="13"/>
        <v>86.605000000000004</v>
      </c>
      <c r="AQ23" s="11">
        <f t="shared" si="14"/>
        <v>9.3000000000000007</v>
      </c>
      <c r="AR23" s="11">
        <f t="shared" si="15"/>
        <v>47.010000000000005</v>
      </c>
      <c r="AS23" s="11">
        <f t="shared" si="16"/>
        <v>133.61500000000001</v>
      </c>
      <c r="AT23" s="42">
        <v>15.1</v>
      </c>
      <c r="AU23" s="42">
        <v>9.1</v>
      </c>
      <c r="AV23" s="42">
        <v>2</v>
      </c>
      <c r="AW23" s="42">
        <v>14.565</v>
      </c>
      <c r="AX23" s="42">
        <v>0</v>
      </c>
      <c r="AY23" s="42">
        <v>13.6</v>
      </c>
      <c r="AZ23" s="42">
        <v>8.6</v>
      </c>
      <c r="BA23" s="42">
        <v>9.3000000000000007</v>
      </c>
      <c r="BB23" s="42">
        <v>14.275</v>
      </c>
      <c r="BC23" s="42">
        <v>0.3</v>
      </c>
      <c r="BD23" s="42"/>
      <c r="BE23" s="42"/>
      <c r="BF23" s="42"/>
      <c r="BG23" s="42"/>
      <c r="BH23" s="42"/>
      <c r="BI23" s="42">
        <v>6.7</v>
      </c>
      <c r="BJ23" s="42">
        <v>4.4000000000000004</v>
      </c>
      <c r="BK23" s="42">
        <v>6.1</v>
      </c>
      <c r="BL23" s="42">
        <v>7.24</v>
      </c>
      <c r="BM23" s="42">
        <v>0</v>
      </c>
      <c r="BN23" s="46"/>
      <c r="BO23" s="14">
        <f t="shared" si="17"/>
        <v>40.765000000000001</v>
      </c>
      <c r="BP23" s="14">
        <f t="shared" si="18"/>
        <v>9.3000000000000007</v>
      </c>
      <c r="BQ23" s="14">
        <f t="shared" si="19"/>
        <v>45.475000000000001</v>
      </c>
      <c r="BR23" s="14" t="str">
        <f t="shared" si="20"/>
        <v/>
      </c>
      <c r="BS23" s="14" t="str">
        <f t="shared" si="21"/>
        <v/>
      </c>
      <c r="BT23" s="14">
        <f t="shared" si="22"/>
        <v>86.240000000000009</v>
      </c>
      <c r="BU23" s="14">
        <f t="shared" si="23"/>
        <v>6.1</v>
      </c>
      <c r="BV23" s="14">
        <f t="shared" si="24"/>
        <v>24.440000000000005</v>
      </c>
      <c r="BW23" s="14">
        <f t="shared" si="25"/>
        <v>110.68</v>
      </c>
      <c r="BX23" s="38">
        <v>14.7</v>
      </c>
      <c r="BY23" s="38">
        <v>9.4</v>
      </c>
      <c r="BZ23" s="38">
        <v>1.8</v>
      </c>
      <c r="CA23" s="38">
        <v>14.43</v>
      </c>
      <c r="CB23" s="38">
        <v>0</v>
      </c>
      <c r="CC23" s="38">
        <v>10.6</v>
      </c>
      <c r="CD23" s="38">
        <v>9.1999999999999993</v>
      </c>
      <c r="CE23" s="38">
        <v>8.3000000000000007</v>
      </c>
      <c r="CF23" s="38">
        <v>13.8</v>
      </c>
      <c r="CG23" s="38">
        <v>0.8</v>
      </c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45"/>
      <c r="CS23" s="11">
        <f t="shared" si="26"/>
        <v>40.33</v>
      </c>
      <c r="CT23" s="11">
        <f t="shared" si="27"/>
        <v>8.3000000000000007</v>
      </c>
      <c r="CU23" s="11">
        <f t="shared" si="28"/>
        <v>41.1</v>
      </c>
      <c r="CV23" s="11" t="str">
        <f t="shared" si="29"/>
        <v/>
      </c>
      <c r="CW23" s="11" t="str">
        <f t="shared" si="30"/>
        <v/>
      </c>
      <c r="CX23" s="11">
        <f t="shared" si="31"/>
        <v>81.430000000000007</v>
      </c>
      <c r="CY23" s="11" t="str">
        <f t="shared" si="32"/>
        <v/>
      </c>
      <c r="CZ23" s="11" t="str">
        <f t="shared" si="33"/>
        <v/>
      </c>
      <c r="DA23" s="11">
        <f t="shared" si="34"/>
        <v>81.430000000000007</v>
      </c>
      <c r="DB23" s="19" t="str">
        <f t="shared" si="35"/>
        <v/>
      </c>
      <c r="DC23" s="19" t="str">
        <f t="shared" si="36"/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 t="shared" si="37"/>
        <v/>
      </c>
      <c r="DT23" s="11" t="str">
        <f t="shared" si="38"/>
        <v/>
      </c>
      <c r="DU23" s="11" t="str">
        <f t="shared" si="39"/>
        <v/>
      </c>
      <c r="DV23" s="11" t="str">
        <f t="shared" si="40"/>
        <v/>
      </c>
      <c r="DW23" s="11" t="str">
        <f t="shared" si="41"/>
        <v/>
      </c>
      <c r="DX23" s="11" t="str">
        <f t="shared" si="42"/>
        <v/>
      </c>
      <c r="DY23" s="11" t="str">
        <f t="shared" si="43"/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 t="shared" si="44"/>
        <v/>
      </c>
      <c r="EP23" s="14" t="str">
        <f t="shared" si="45"/>
        <v/>
      </c>
      <c r="EQ23" s="14" t="str">
        <f t="shared" si="46"/>
        <v/>
      </c>
      <c r="ER23" s="14" t="str">
        <f t="shared" si="47"/>
        <v/>
      </c>
      <c r="ES23" s="14" t="str">
        <f t="shared" si="48"/>
        <v/>
      </c>
      <c r="ET23" s="14" t="str">
        <f t="shared" si="49"/>
        <v/>
      </c>
      <c r="EU23" s="14" t="str">
        <f t="shared" si="50"/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 t="shared" si="51"/>
        <v/>
      </c>
      <c r="FL23" s="11" t="str">
        <f t="shared" si="52"/>
        <v/>
      </c>
      <c r="FM23" s="11" t="str">
        <f t="shared" si="53"/>
        <v/>
      </c>
      <c r="FN23" s="11" t="str">
        <f t="shared" si="54"/>
        <v/>
      </c>
      <c r="FO23" s="11" t="str">
        <f t="shared" si="55"/>
        <v/>
      </c>
      <c r="FP23" s="11" t="str">
        <f t="shared" si="56"/>
        <v/>
      </c>
      <c r="FQ23" s="11" t="str">
        <f t="shared" si="57"/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 t="shared" si="58"/>
        <v/>
      </c>
      <c r="GH23" s="14" t="str">
        <f t="shared" si="59"/>
        <v/>
      </c>
      <c r="GI23" s="14" t="str">
        <f t="shared" si="60"/>
        <v/>
      </c>
      <c r="GJ23" s="14" t="str">
        <f t="shared" si="61"/>
        <v/>
      </c>
      <c r="GK23" s="14" t="str">
        <f t="shared" si="62"/>
        <v/>
      </c>
      <c r="GL23" s="14" t="str">
        <f t="shared" si="63"/>
        <v/>
      </c>
      <c r="GM23" s="14" t="str">
        <f t="shared" si="64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 t="shared" si="65"/>
        <v/>
      </c>
      <c r="HD23" s="11" t="str">
        <f t="shared" si="66"/>
        <v/>
      </c>
      <c r="HE23" s="11" t="str">
        <f t="shared" si="67"/>
        <v/>
      </c>
      <c r="HF23" s="11" t="str">
        <f t="shared" si="68"/>
        <v/>
      </c>
      <c r="HG23" s="11" t="str">
        <f t="shared" si="69"/>
        <v/>
      </c>
      <c r="HH23" s="11" t="str">
        <f t="shared" si="70"/>
        <v/>
      </c>
      <c r="HI23" s="11" t="str">
        <f t="shared" si="71"/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 t="shared" si="72"/>
        <v/>
      </c>
      <c r="HZ23" s="14" t="str">
        <f t="shared" si="73"/>
        <v/>
      </c>
      <c r="IA23" s="14" t="str">
        <f t="shared" si="74"/>
        <v/>
      </c>
      <c r="IB23" s="14" t="str">
        <f t="shared" si="75"/>
        <v/>
      </c>
      <c r="IC23" s="14" t="str">
        <f t="shared" si="76"/>
        <v/>
      </c>
      <c r="ID23" s="14" t="str">
        <f t="shared" si="77"/>
        <v/>
      </c>
      <c r="IE23" s="14" t="str">
        <f t="shared" si="78"/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 t="shared" si="79"/>
        <v/>
      </c>
      <c r="IV23" s="11" t="str">
        <f t="shared" si="80"/>
        <v/>
      </c>
      <c r="IW23" s="11" t="str">
        <f t="shared" si="81"/>
        <v/>
      </c>
      <c r="IX23" s="11" t="str">
        <f t="shared" si="82"/>
        <v/>
      </c>
      <c r="IY23" s="11" t="str">
        <f t="shared" si="83"/>
        <v/>
      </c>
      <c r="IZ23" s="11" t="str">
        <f t="shared" si="84"/>
        <v/>
      </c>
      <c r="JA23" s="11" t="str">
        <f t="shared" si="85"/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 t="shared" si="86"/>
        <v/>
      </c>
      <c r="JR23" s="14" t="str">
        <f t="shared" si="87"/>
        <v/>
      </c>
      <c r="JS23" s="14" t="str">
        <f t="shared" si="88"/>
        <v/>
      </c>
      <c r="JT23" s="14" t="str">
        <f t="shared" si="89"/>
        <v/>
      </c>
      <c r="JU23" s="14" t="str">
        <f t="shared" si="90"/>
        <v/>
      </c>
      <c r="JV23" s="14" t="str">
        <f t="shared" si="91"/>
        <v/>
      </c>
      <c r="JW23" s="14" t="str">
        <f t="shared" si="92"/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 t="shared" si="93"/>
        <v/>
      </c>
      <c r="KN23" s="11" t="str">
        <f t="shared" si="94"/>
        <v/>
      </c>
      <c r="KO23" s="11" t="str">
        <f t="shared" si="95"/>
        <v/>
      </c>
      <c r="KP23" s="11" t="str">
        <f t="shared" si="96"/>
        <v/>
      </c>
      <c r="KQ23" s="11" t="str">
        <f t="shared" si="97"/>
        <v/>
      </c>
      <c r="KR23" s="11" t="str">
        <f t="shared" si="98"/>
        <v/>
      </c>
      <c r="KS23" s="11" t="str">
        <f t="shared" si="99"/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 t="shared" si="100"/>
        <v/>
      </c>
      <c r="LJ23" s="14" t="str">
        <f t="shared" si="101"/>
        <v/>
      </c>
      <c r="LK23" s="14" t="str">
        <f t="shared" si="102"/>
        <v/>
      </c>
      <c r="LL23" s="14" t="str">
        <f t="shared" si="103"/>
        <v/>
      </c>
      <c r="LM23" s="14" t="str">
        <f t="shared" si="104"/>
        <v/>
      </c>
      <c r="LN23" s="14" t="str">
        <f t="shared" si="105"/>
        <v/>
      </c>
      <c r="LO23" s="14" t="str">
        <f t="shared" si="106"/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 t="shared" si="107"/>
        <v/>
      </c>
      <c r="MF23" s="11" t="str">
        <f t="shared" si="108"/>
        <v/>
      </c>
      <c r="MG23" s="11" t="str">
        <f t="shared" si="109"/>
        <v/>
      </c>
      <c r="MH23" s="11" t="str">
        <f t="shared" si="110"/>
        <v/>
      </c>
      <c r="MI23" s="11" t="str">
        <f t="shared" si="111"/>
        <v/>
      </c>
      <c r="MJ23" s="11" t="str">
        <f t="shared" si="112"/>
        <v/>
      </c>
      <c r="MK23" s="11" t="str">
        <f t="shared" si="113"/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 t="shared" si="114"/>
        <v/>
      </c>
      <c r="NB23" s="14" t="str">
        <f t="shared" si="115"/>
        <v/>
      </c>
      <c r="NC23" s="14" t="str">
        <f t="shared" si="116"/>
        <v/>
      </c>
      <c r="ND23" s="14" t="str">
        <f t="shared" si="117"/>
        <v/>
      </c>
      <c r="NE23" s="14" t="str">
        <f t="shared" si="118"/>
        <v/>
      </c>
      <c r="NF23" s="14" t="str">
        <f t="shared" si="119"/>
        <v/>
      </c>
      <c r="NG23" s="14" t="str">
        <f t="shared" si="120"/>
        <v/>
      </c>
      <c r="NH23" s="38">
        <f t="shared" si="121"/>
        <v>14.899999999999999</v>
      </c>
      <c r="NI23" s="38">
        <f t="shared" si="122"/>
        <v>9.25</v>
      </c>
      <c r="NJ23" s="38">
        <f t="shared" si="123"/>
        <v>1.9</v>
      </c>
      <c r="NK23" s="38">
        <f t="shared" si="124"/>
        <v>14.497499999999999</v>
      </c>
      <c r="NL23" s="38">
        <f t="shared" si="125"/>
        <v>0</v>
      </c>
      <c r="NM23" s="38">
        <f t="shared" si="126"/>
        <v>12.1</v>
      </c>
      <c r="NN23" s="38">
        <f t="shared" si="127"/>
        <v>8.8999999999999986</v>
      </c>
      <c r="NO23" s="38">
        <f t="shared" si="128"/>
        <v>8.8000000000000007</v>
      </c>
      <c r="NP23" s="38">
        <f t="shared" si="129"/>
        <v>14.037500000000001</v>
      </c>
      <c r="NQ23" s="38">
        <f t="shared" si="130"/>
        <v>0.55000000000000004</v>
      </c>
      <c r="NR23" s="38">
        <f t="shared" si="131"/>
        <v>0</v>
      </c>
      <c r="NS23" s="38">
        <f t="shared" si="132"/>
        <v>0</v>
      </c>
      <c r="NT23" s="38">
        <f t="shared" si="133"/>
        <v>0</v>
      </c>
      <c r="NU23" s="38">
        <f t="shared" si="134"/>
        <v>0</v>
      </c>
      <c r="NV23" s="38">
        <f t="shared" si="135"/>
        <v>0</v>
      </c>
      <c r="NW23" s="38">
        <f t="shared" si="136"/>
        <v>3.35</v>
      </c>
      <c r="NX23" s="38">
        <f t="shared" si="137"/>
        <v>2.2000000000000002</v>
      </c>
      <c r="NY23" s="38">
        <f t="shared" si="138"/>
        <v>3.05</v>
      </c>
      <c r="NZ23" s="38">
        <f t="shared" si="139"/>
        <v>3.62</v>
      </c>
      <c r="OA23" s="38">
        <f t="shared" si="140"/>
        <v>0</v>
      </c>
      <c r="OB23" s="45" t="s">
        <v>46</v>
      </c>
      <c r="OC23" s="11">
        <f t="shared" si="141"/>
        <v>40.547499999999999</v>
      </c>
      <c r="OD23" s="11">
        <f t="shared" si="142"/>
        <v>8.8000000000000007</v>
      </c>
      <c r="OE23" s="11">
        <f t="shared" si="143"/>
        <v>43.287500000000009</v>
      </c>
      <c r="OF23" s="11" t="str">
        <f t="shared" si="144"/>
        <v/>
      </c>
      <c r="OG23" s="11" t="str">
        <f t="shared" si="145"/>
        <v/>
      </c>
      <c r="OH23" s="11">
        <f t="shared" si="146"/>
        <v>83.835000000000008</v>
      </c>
      <c r="OI23" s="11">
        <f t="shared" si="147"/>
        <v>3.05</v>
      </c>
      <c r="OJ23" s="11">
        <f t="shared" ref="OJ23" si="174">IF(SUM(NW23:NZ23)-OA23&gt;0,SUM(NW23:NZ23)-OA23,"")</f>
        <v>12.220000000000002</v>
      </c>
      <c r="OK23" s="11">
        <f t="shared" ref="OK23" si="175">IF(SUM(OH23,OJ23)&gt;0,SUM(OH23,OJ23),"")</f>
        <v>96.055000000000007</v>
      </c>
    </row>
    <row r="24" spans="1:401" x14ac:dyDescent="0.2">
      <c r="A24" s="5" t="str" cm="1">
        <f t="array" ref="A24">IF(AND(F24="P",G24="P"),SUMPRODUCT((F$4:F$32="P")*(G$4:G$32="P")*(E$4:E$32&gt;E24))+1,IF(G24="P",SUMPRODUCT((F$4:F$32="")*(G$4:G$32="P")*(E$4:E$32&gt;E24))+1+SUMPRODUCT((F$4:F$32="P")*(G$4:G$32="P")),""))</f>
        <v/>
      </c>
      <c r="B24" s="6" t="s">
        <v>112</v>
      </c>
      <c r="C24" s="7" t="s">
        <v>5</v>
      </c>
      <c r="D24" s="22">
        <v>2003</v>
      </c>
      <c r="E24" s="15">
        <f t="shared" si="0"/>
        <v>88.090004762000007</v>
      </c>
      <c r="F24" s="3" t="str">
        <f t="shared" si="1"/>
        <v/>
      </c>
      <c r="G24" s="3" t="str">
        <f t="shared" si="2"/>
        <v/>
      </c>
      <c r="H24" s="67" t="str">
        <f t="shared" si="3"/>
        <v/>
      </c>
      <c r="I24" s="14">
        <f t="shared" si="4"/>
        <v>47.620000000000005</v>
      </c>
      <c r="J24" s="14" t="str">
        <f t="shared" si="5"/>
        <v>2021 Canadian Championships</v>
      </c>
      <c r="K24" s="14">
        <f>IF(COUNT(AM24,AO24,AR24,BQ24,BS24,BV24,CU24,CW24,CZ24)&gt;1,LARGE((AM24,AO24,AR24,BQ24,BS24,BV24,CU24,CW24,CZ24),2),0)</f>
        <v>40.47</v>
      </c>
      <c r="L24" s="14" t="str">
        <f t="shared" si="6"/>
        <v>2021 Elite Canada</v>
      </c>
      <c r="M24" s="14" t="str">
        <f t="shared" si="7"/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>
        <v>14.2</v>
      </c>
      <c r="Q24" s="38">
        <v>9.5</v>
      </c>
      <c r="R24" s="38">
        <v>2.7</v>
      </c>
      <c r="S24" s="38">
        <v>14.904999999999999</v>
      </c>
      <c r="T24" s="38">
        <v>0</v>
      </c>
      <c r="U24" s="38">
        <v>5.8</v>
      </c>
      <c r="V24" s="38">
        <v>4.5</v>
      </c>
      <c r="W24" s="38">
        <v>4.8</v>
      </c>
      <c r="X24" s="38">
        <v>7.47</v>
      </c>
      <c r="Y24" s="38">
        <v>0</v>
      </c>
      <c r="Z24" s="38"/>
      <c r="AA24" s="38"/>
      <c r="AB24" s="38"/>
      <c r="AC24" s="38"/>
      <c r="AD24" s="38"/>
      <c r="AE24" s="38">
        <v>10.1</v>
      </c>
      <c r="AF24" s="38">
        <v>8.8000000000000007</v>
      </c>
      <c r="AG24" s="38">
        <v>8.5</v>
      </c>
      <c r="AH24" s="38">
        <v>14.17</v>
      </c>
      <c r="AI24" s="38">
        <v>1.1000000000000001</v>
      </c>
      <c r="AJ24" s="45"/>
      <c r="AK24" s="11">
        <f t="shared" si="8"/>
        <v>41.305</v>
      </c>
      <c r="AL24" s="11">
        <f t="shared" si="9"/>
        <v>4.8</v>
      </c>
      <c r="AM24" s="11">
        <f t="shared" si="10"/>
        <v>22.57</v>
      </c>
      <c r="AN24" s="11" t="str">
        <f t="shared" si="11"/>
        <v/>
      </c>
      <c r="AO24" s="11" t="str">
        <f t="shared" si="12"/>
        <v/>
      </c>
      <c r="AP24" s="11">
        <f t="shared" si="13"/>
        <v>63.875</v>
      </c>
      <c r="AQ24" s="11">
        <f t="shared" si="14"/>
        <v>8.5</v>
      </c>
      <c r="AR24" s="11">
        <f t="shared" si="15"/>
        <v>40.47</v>
      </c>
      <c r="AS24" s="11">
        <f t="shared" si="16"/>
        <v>104.345</v>
      </c>
      <c r="AT24" s="42">
        <v>14.3</v>
      </c>
      <c r="AU24" s="42">
        <v>9.5</v>
      </c>
      <c r="AV24" s="42">
        <v>2.7</v>
      </c>
      <c r="AW24" s="42">
        <v>15.07</v>
      </c>
      <c r="AX24" s="42">
        <v>0</v>
      </c>
      <c r="AY24" s="42">
        <v>10.9</v>
      </c>
      <c r="AZ24" s="42">
        <v>7.6</v>
      </c>
      <c r="BA24" s="42">
        <v>8.1999999999999993</v>
      </c>
      <c r="BB24" s="42">
        <v>11.94</v>
      </c>
      <c r="BC24" s="42">
        <v>0</v>
      </c>
      <c r="BD24" s="42"/>
      <c r="BE24" s="42"/>
      <c r="BF24" s="42"/>
      <c r="BG24" s="42"/>
      <c r="BH24" s="42"/>
      <c r="BI24" s="42">
        <v>13.2</v>
      </c>
      <c r="BJ24" s="42">
        <v>9.4</v>
      </c>
      <c r="BK24" s="42">
        <v>10</v>
      </c>
      <c r="BL24" s="42">
        <v>15.02</v>
      </c>
      <c r="BM24" s="42">
        <v>0</v>
      </c>
      <c r="BN24" s="46"/>
      <c r="BO24" s="14">
        <f t="shared" si="17"/>
        <v>41.57</v>
      </c>
      <c r="BP24" s="14">
        <f t="shared" si="18"/>
        <v>8.1999999999999993</v>
      </c>
      <c r="BQ24" s="14">
        <f t="shared" si="19"/>
        <v>38.64</v>
      </c>
      <c r="BR24" s="14" t="str">
        <f t="shared" si="20"/>
        <v/>
      </c>
      <c r="BS24" s="14" t="str">
        <f t="shared" si="21"/>
        <v/>
      </c>
      <c r="BT24" s="14">
        <f t="shared" si="22"/>
        <v>80.210000000000008</v>
      </c>
      <c r="BU24" s="14">
        <f t="shared" si="23"/>
        <v>10</v>
      </c>
      <c r="BV24" s="14">
        <f t="shared" si="24"/>
        <v>47.620000000000005</v>
      </c>
      <c r="BW24" s="14">
        <f t="shared" si="25"/>
        <v>127.83000000000001</v>
      </c>
      <c r="BX24" s="38">
        <v>12</v>
      </c>
      <c r="BY24" s="38">
        <v>7.3</v>
      </c>
      <c r="BZ24" s="38">
        <v>0</v>
      </c>
      <c r="CA24" s="38">
        <v>12.41</v>
      </c>
      <c r="CB24" s="38">
        <v>0</v>
      </c>
      <c r="CC24" s="38">
        <v>5.8</v>
      </c>
      <c r="CD24" s="38">
        <v>4.2</v>
      </c>
      <c r="CE24" s="38">
        <v>6.7</v>
      </c>
      <c r="CF24" s="38">
        <v>7.73</v>
      </c>
      <c r="CG24" s="38">
        <v>0</v>
      </c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45"/>
      <c r="CS24" s="11">
        <f t="shared" si="26"/>
        <v>31.71</v>
      </c>
      <c r="CT24" s="11">
        <f t="shared" si="27"/>
        <v>6.7</v>
      </c>
      <c r="CU24" s="11">
        <f t="shared" si="28"/>
        <v>24.43</v>
      </c>
      <c r="CV24" s="11" t="str">
        <f t="shared" si="29"/>
        <v/>
      </c>
      <c r="CW24" s="11" t="str">
        <f t="shared" si="30"/>
        <v/>
      </c>
      <c r="CX24" s="11">
        <f t="shared" si="31"/>
        <v>56.14</v>
      </c>
      <c r="CY24" s="11" t="str">
        <f t="shared" si="32"/>
        <v/>
      </c>
      <c r="CZ24" s="11" t="str">
        <f t="shared" si="33"/>
        <v/>
      </c>
      <c r="DA24" s="11">
        <f t="shared" si="34"/>
        <v>56.14</v>
      </c>
      <c r="DB24" s="19" t="str">
        <f t="shared" si="35"/>
        <v/>
      </c>
      <c r="DC24" s="19" t="str">
        <f t="shared" si="36"/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 t="shared" si="37"/>
        <v/>
      </c>
      <c r="DT24" s="11" t="str">
        <f t="shared" si="38"/>
        <v/>
      </c>
      <c r="DU24" s="11" t="str">
        <f t="shared" si="39"/>
        <v/>
      </c>
      <c r="DV24" s="11" t="str">
        <f t="shared" si="40"/>
        <v/>
      </c>
      <c r="DW24" s="11" t="str">
        <f t="shared" si="41"/>
        <v/>
      </c>
      <c r="DX24" s="11" t="str">
        <f t="shared" si="42"/>
        <v/>
      </c>
      <c r="DY24" s="11" t="str">
        <f t="shared" si="43"/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 t="shared" si="44"/>
        <v/>
      </c>
      <c r="EP24" s="14" t="str">
        <f t="shared" si="45"/>
        <v/>
      </c>
      <c r="EQ24" s="14" t="str">
        <f t="shared" si="46"/>
        <v/>
      </c>
      <c r="ER24" s="14" t="str">
        <f t="shared" si="47"/>
        <v/>
      </c>
      <c r="ES24" s="14" t="str">
        <f t="shared" si="48"/>
        <v/>
      </c>
      <c r="ET24" s="14" t="str">
        <f t="shared" si="49"/>
        <v/>
      </c>
      <c r="EU24" s="14" t="str">
        <f t="shared" si="50"/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 t="shared" si="51"/>
        <v/>
      </c>
      <c r="FL24" s="11" t="str">
        <f t="shared" si="52"/>
        <v/>
      </c>
      <c r="FM24" s="11" t="str">
        <f t="shared" si="53"/>
        <v/>
      </c>
      <c r="FN24" s="11" t="str">
        <f t="shared" si="54"/>
        <v/>
      </c>
      <c r="FO24" s="11" t="str">
        <f t="shared" si="55"/>
        <v/>
      </c>
      <c r="FP24" s="11" t="str">
        <f t="shared" si="56"/>
        <v/>
      </c>
      <c r="FQ24" s="11" t="str">
        <f t="shared" si="57"/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 t="shared" si="58"/>
        <v/>
      </c>
      <c r="GH24" s="14" t="str">
        <f t="shared" si="59"/>
        <v/>
      </c>
      <c r="GI24" s="14" t="str">
        <f t="shared" si="60"/>
        <v/>
      </c>
      <c r="GJ24" s="14" t="str">
        <f t="shared" si="61"/>
        <v/>
      </c>
      <c r="GK24" s="14" t="str">
        <f t="shared" si="62"/>
        <v/>
      </c>
      <c r="GL24" s="14" t="str">
        <f t="shared" si="63"/>
        <v/>
      </c>
      <c r="GM24" s="14" t="str">
        <f t="shared" si="64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 t="shared" si="65"/>
        <v/>
      </c>
      <c r="HD24" s="11" t="str">
        <f t="shared" si="66"/>
        <v/>
      </c>
      <c r="HE24" s="11" t="str">
        <f t="shared" si="67"/>
        <v/>
      </c>
      <c r="HF24" s="11" t="str">
        <f t="shared" si="68"/>
        <v/>
      </c>
      <c r="HG24" s="11" t="str">
        <f t="shared" si="69"/>
        <v/>
      </c>
      <c r="HH24" s="11" t="str">
        <f t="shared" si="70"/>
        <v/>
      </c>
      <c r="HI24" s="11" t="str">
        <f t="shared" si="71"/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 t="shared" si="72"/>
        <v/>
      </c>
      <c r="HZ24" s="14" t="str">
        <f t="shared" si="73"/>
        <v/>
      </c>
      <c r="IA24" s="14" t="str">
        <f t="shared" si="74"/>
        <v/>
      </c>
      <c r="IB24" s="14" t="str">
        <f t="shared" si="75"/>
        <v/>
      </c>
      <c r="IC24" s="14" t="str">
        <f t="shared" si="76"/>
        <v/>
      </c>
      <c r="ID24" s="14" t="str">
        <f t="shared" si="77"/>
        <v/>
      </c>
      <c r="IE24" s="14" t="str">
        <f t="shared" si="78"/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 t="shared" si="79"/>
        <v/>
      </c>
      <c r="IV24" s="11" t="str">
        <f t="shared" si="80"/>
        <v/>
      </c>
      <c r="IW24" s="11" t="str">
        <f t="shared" si="81"/>
        <v/>
      </c>
      <c r="IX24" s="11" t="str">
        <f t="shared" si="82"/>
        <v/>
      </c>
      <c r="IY24" s="11" t="str">
        <f t="shared" si="83"/>
        <v/>
      </c>
      <c r="IZ24" s="11" t="str">
        <f t="shared" si="84"/>
        <v/>
      </c>
      <c r="JA24" s="11" t="str">
        <f t="shared" si="85"/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 t="shared" si="86"/>
        <v/>
      </c>
      <c r="JR24" s="14" t="str">
        <f t="shared" si="87"/>
        <v/>
      </c>
      <c r="JS24" s="14" t="str">
        <f t="shared" si="88"/>
        <v/>
      </c>
      <c r="JT24" s="14" t="str">
        <f t="shared" si="89"/>
        <v/>
      </c>
      <c r="JU24" s="14" t="str">
        <f t="shared" si="90"/>
        <v/>
      </c>
      <c r="JV24" s="14" t="str">
        <f t="shared" si="91"/>
        <v/>
      </c>
      <c r="JW24" s="14" t="str">
        <f t="shared" si="92"/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 t="shared" si="93"/>
        <v/>
      </c>
      <c r="KN24" s="11" t="str">
        <f t="shared" si="94"/>
        <v/>
      </c>
      <c r="KO24" s="11" t="str">
        <f t="shared" si="95"/>
        <v/>
      </c>
      <c r="KP24" s="11" t="str">
        <f t="shared" si="96"/>
        <v/>
      </c>
      <c r="KQ24" s="11" t="str">
        <f t="shared" si="97"/>
        <v/>
      </c>
      <c r="KR24" s="11" t="str">
        <f t="shared" si="98"/>
        <v/>
      </c>
      <c r="KS24" s="11" t="str">
        <f t="shared" si="99"/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 t="shared" si="100"/>
        <v/>
      </c>
      <c r="LJ24" s="14" t="str">
        <f t="shared" si="101"/>
        <v/>
      </c>
      <c r="LK24" s="14" t="str">
        <f t="shared" si="102"/>
        <v/>
      </c>
      <c r="LL24" s="14" t="str">
        <f t="shared" si="103"/>
        <v/>
      </c>
      <c r="LM24" s="14" t="str">
        <f t="shared" si="104"/>
        <v/>
      </c>
      <c r="LN24" s="14" t="str">
        <f t="shared" si="105"/>
        <v/>
      </c>
      <c r="LO24" s="14" t="str">
        <f t="shared" si="106"/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 t="shared" si="107"/>
        <v/>
      </c>
      <c r="MF24" s="11" t="str">
        <f t="shared" si="108"/>
        <v/>
      </c>
      <c r="MG24" s="11" t="str">
        <f t="shared" si="109"/>
        <v/>
      </c>
      <c r="MH24" s="11" t="str">
        <f t="shared" si="110"/>
        <v/>
      </c>
      <c r="MI24" s="11" t="str">
        <f t="shared" si="111"/>
        <v/>
      </c>
      <c r="MJ24" s="11" t="str">
        <f t="shared" si="112"/>
        <v/>
      </c>
      <c r="MK24" s="11" t="str">
        <f t="shared" si="113"/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 t="shared" si="114"/>
        <v/>
      </c>
      <c r="NB24" s="14" t="str">
        <f t="shared" si="115"/>
        <v/>
      </c>
      <c r="NC24" s="14" t="str">
        <f t="shared" si="116"/>
        <v/>
      </c>
      <c r="ND24" s="14" t="str">
        <f t="shared" si="117"/>
        <v/>
      </c>
      <c r="NE24" s="14" t="str">
        <f t="shared" si="118"/>
        <v/>
      </c>
      <c r="NF24" s="14" t="str">
        <f t="shared" si="119"/>
        <v/>
      </c>
      <c r="NG24" s="14" t="str">
        <f t="shared" si="120"/>
        <v/>
      </c>
      <c r="NH24" s="38">
        <f t="shared" si="121"/>
        <v>13.15</v>
      </c>
      <c r="NI24" s="38">
        <f t="shared" si="122"/>
        <v>8.4</v>
      </c>
      <c r="NJ24" s="38">
        <f t="shared" si="123"/>
        <v>1.35</v>
      </c>
      <c r="NK24" s="38">
        <f t="shared" si="124"/>
        <v>13.74</v>
      </c>
      <c r="NL24" s="38">
        <f t="shared" si="125"/>
        <v>0</v>
      </c>
      <c r="NM24" s="38">
        <f t="shared" si="126"/>
        <v>8.35</v>
      </c>
      <c r="NN24" s="38">
        <f t="shared" si="127"/>
        <v>5.9</v>
      </c>
      <c r="NO24" s="38">
        <f t="shared" si="128"/>
        <v>7.4499999999999993</v>
      </c>
      <c r="NP24" s="38">
        <f t="shared" si="129"/>
        <v>9.8350000000000009</v>
      </c>
      <c r="NQ24" s="38">
        <f t="shared" si="130"/>
        <v>0</v>
      </c>
      <c r="NR24" s="38">
        <f t="shared" si="131"/>
        <v>0</v>
      </c>
      <c r="NS24" s="38">
        <f t="shared" si="132"/>
        <v>0</v>
      </c>
      <c r="NT24" s="38">
        <f t="shared" si="133"/>
        <v>0</v>
      </c>
      <c r="NU24" s="38">
        <f t="shared" si="134"/>
        <v>0</v>
      </c>
      <c r="NV24" s="38">
        <f t="shared" si="135"/>
        <v>0</v>
      </c>
      <c r="NW24" s="38">
        <f t="shared" si="136"/>
        <v>6.6</v>
      </c>
      <c r="NX24" s="38">
        <f t="shared" si="137"/>
        <v>4.7</v>
      </c>
      <c r="NY24" s="38">
        <f t="shared" si="138"/>
        <v>5</v>
      </c>
      <c r="NZ24" s="38">
        <f t="shared" si="139"/>
        <v>7.51</v>
      </c>
      <c r="OA24" s="38">
        <f t="shared" si="140"/>
        <v>0</v>
      </c>
      <c r="OB24" s="45" t="s">
        <v>46</v>
      </c>
      <c r="OC24" s="11">
        <f t="shared" si="141"/>
        <v>36.64</v>
      </c>
      <c r="OD24" s="11">
        <f t="shared" si="142"/>
        <v>7.4499999999999993</v>
      </c>
      <c r="OE24" s="11">
        <f t="shared" si="143"/>
        <v>31.535</v>
      </c>
      <c r="OF24" s="11" t="str">
        <f t="shared" si="144"/>
        <v/>
      </c>
      <c r="OG24" s="11" t="str">
        <f t="shared" si="145"/>
        <v/>
      </c>
      <c r="OH24" s="11">
        <f t="shared" si="146"/>
        <v>68.174999999999997</v>
      </c>
      <c r="OI24" s="11">
        <f t="shared" si="147"/>
        <v>5</v>
      </c>
      <c r="OJ24" s="11">
        <f t="shared" ref="OJ24" si="176">IF(SUM(NW24:NZ24)-OA24&gt;0,SUM(NW24:NZ24)-OA24,"")</f>
        <v>23.810000000000002</v>
      </c>
      <c r="OK24" s="11">
        <f t="shared" ref="OK24" si="177">IF(SUM(OH24,OJ24)&gt;0,SUM(OH24,OJ24),"")</f>
        <v>91.984999999999999</v>
      </c>
    </row>
    <row r="25" spans="1:401" x14ac:dyDescent="0.2">
      <c r="A25" s="5" t="str" cm="1">
        <f t="array" ref="A25">IF(AND(F25="P",G25="P"),SUMPRODUCT((F$4:F$32="P")*(G$4:G$32="P")*(E$4:E$32&gt;E25))+1,IF(G25="P",SUMPRODUCT((F$4:F$32="")*(G$4:G$32="P")*(E$4:E$32&gt;E25))+1+SUMPRODUCT((F$4:F$32="P")*(G$4:G$32="P")),""))</f>
        <v/>
      </c>
      <c r="B25" s="6" t="s">
        <v>144</v>
      </c>
      <c r="C25" s="7" t="s">
        <v>3</v>
      </c>
      <c r="D25" s="5">
        <v>2005</v>
      </c>
      <c r="E25" s="15">
        <f t="shared" si="0"/>
        <v>85.305005098000009</v>
      </c>
      <c r="F25" s="3" t="str">
        <f t="shared" si="1"/>
        <v/>
      </c>
      <c r="G25" s="3" t="str">
        <f t="shared" si="2"/>
        <v/>
      </c>
      <c r="H25" s="67" t="str">
        <f t="shared" si="3"/>
        <v/>
      </c>
      <c r="I25" s="14">
        <f t="shared" si="4"/>
        <v>50.980000000000004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34.325000000000003</v>
      </c>
      <c r="L25" s="14" t="str">
        <f t="shared" si="6"/>
        <v>2021 Canadian Championships</v>
      </c>
      <c r="M25" s="14" t="str">
        <f t="shared" si="7"/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 t="shared" si="8"/>
        <v/>
      </c>
      <c r="AL25" s="11" t="str">
        <f t="shared" si="9"/>
        <v/>
      </c>
      <c r="AM25" s="11" t="str">
        <f t="shared" si="10"/>
        <v/>
      </c>
      <c r="AN25" s="11" t="str">
        <f t="shared" si="11"/>
        <v/>
      </c>
      <c r="AO25" s="11" t="str">
        <f t="shared" si="12"/>
        <v/>
      </c>
      <c r="AP25" s="11" t="str">
        <f t="shared" si="13"/>
        <v/>
      </c>
      <c r="AQ25" s="11" t="str">
        <f t="shared" si="14"/>
        <v/>
      </c>
      <c r="AR25" s="11" t="str">
        <f t="shared" si="15"/>
        <v/>
      </c>
      <c r="AS25" s="11" t="str">
        <f t="shared" si="16"/>
        <v/>
      </c>
      <c r="AT25" s="42">
        <v>5.6</v>
      </c>
      <c r="AU25" s="42">
        <v>3.7</v>
      </c>
      <c r="AV25" s="42">
        <v>0</v>
      </c>
      <c r="AW25" s="42">
        <v>5.84</v>
      </c>
      <c r="AX25" s="42">
        <v>0</v>
      </c>
      <c r="AY25" s="42">
        <v>9.8000000000000007</v>
      </c>
      <c r="AZ25" s="42">
        <v>6.4</v>
      </c>
      <c r="BA25" s="42">
        <v>7.9</v>
      </c>
      <c r="BB25" s="42">
        <v>10.425000000000001</v>
      </c>
      <c r="BC25" s="42">
        <v>0.2</v>
      </c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>
        <f t="shared" si="17"/>
        <v>15.14</v>
      </c>
      <c r="BP25" s="14">
        <f t="shared" si="18"/>
        <v>7.9</v>
      </c>
      <c r="BQ25" s="14">
        <f t="shared" si="19"/>
        <v>34.325000000000003</v>
      </c>
      <c r="BR25" s="14" t="str">
        <f t="shared" si="20"/>
        <v/>
      </c>
      <c r="BS25" s="14" t="str">
        <f t="shared" si="21"/>
        <v/>
      </c>
      <c r="BT25" s="14">
        <f t="shared" si="22"/>
        <v>49.465000000000003</v>
      </c>
      <c r="BU25" s="14" t="str">
        <f t="shared" si="23"/>
        <v/>
      </c>
      <c r="BV25" s="14" t="str">
        <f t="shared" si="24"/>
        <v/>
      </c>
      <c r="BW25" s="14">
        <f t="shared" si="25"/>
        <v>49.465000000000003</v>
      </c>
      <c r="BX25" s="38">
        <v>16.2</v>
      </c>
      <c r="BY25" s="38">
        <v>9.4</v>
      </c>
      <c r="BZ25" s="38">
        <v>2.7</v>
      </c>
      <c r="CA25" s="38">
        <v>14.73</v>
      </c>
      <c r="CB25" s="38">
        <v>0</v>
      </c>
      <c r="CC25" s="38">
        <v>15.9</v>
      </c>
      <c r="CD25" s="38">
        <v>9.3000000000000007</v>
      </c>
      <c r="CE25" s="38">
        <v>11.2</v>
      </c>
      <c r="CF25" s="38">
        <v>14.58</v>
      </c>
      <c r="CG25" s="38">
        <v>0</v>
      </c>
      <c r="CH25" s="38"/>
      <c r="CI25" s="38"/>
      <c r="CJ25" s="38"/>
      <c r="CK25" s="38"/>
      <c r="CL25" s="38"/>
      <c r="CM25" s="38">
        <v>4.8</v>
      </c>
      <c r="CN25" s="38">
        <v>2.7</v>
      </c>
      <c r="CO25" s="38">
        <v>3.8</v>
      </c>
      <c r="CP25" s="38">
        <v>4.4800000000000004</v>
      </c>
      <c r="CQ25" s="38">
        <v>0</v>
      </c>
      <c r="CR25" s="45"/>
      <c r="CS25" s="11">
        <f t="shared" si="26"/>
        <v>43.03</v>
      </c>
      <c r="CT25" s="11">
        <f t="shared" si="27"/>
        <v>11.2</v>
      </c>
      <c r="CU25" s="11">
        <f t="shared" si="28"/>
        <v>50.980000000000004</v>
      </c>
      <c r="CV25" s="11" t="str">
        <f t="shared" si="29"/>
        <v/>
      </c>
      <c r="CW25" s="11" t="str">
        <f t="shared" si="30"/>
        <v/>
      </c>
      <c r="CX25" s="11">
        <f t="shared" si="31"/>
        <v>94.01</v>
      </c>
      <c r="CY25" s="11">
        <f t="shared" si="32"/>
        <v>3.8</v>
      </c>
      <c r="CZ25" s="11">
        <f t="shared" si="33"/>
        <v>15.780000000000001</v>
      </c>
      <c r="DA25" s="11">
        <f t="shared" si="34"/>
        <v>109.79</v>
      </c>
      <c r="DB25" s="19" t="str">
        <f t="shared" si="35"/>
        <v/>
      </c>
      <c r="DC25" s="19" t="str">
        <f t="shared" si="36"/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 t="shared" si="37"/>
        <v/>
      </c>
      <c r="DT25" s="11" t="str">
        <f t="shared" si="38"/>
        <v/>
      </c>
      <c r="DU25" s="11" t="str">
        <f t="shared" si="39"/>
        <v/>
      </c>
      <c r="DV25" s="11" t="str">
        <f t="shared" si="40"/>
        <v/>
      </c>
      <c r="DW25" s="11" t="str">
        <f t="shared" si="41"/>
        <v/>
      </c>
      <c r="DX25" s="11" t="str">
        <f t="shared" si="42"/>
        <v/>
      </c>
      <c r="DY25" s="11" t="str">
        <f t="shared" si="43"/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 t="shared" si="44"/>
        <v/>
      </c>
      <c r="EP25" s="14" t="str">
        <f t="shared" si="45"/>
        <v/>
      </c>
      <c r="EQ25" s="14" t="str">
        <f t="shared" si="46"/>
        <v/>
      </c>
      <c r="ER25" s="14" t="str">
        <f t="shared" si="47"/>
        <v/>
      </c>
      <c r="ES25" s="14" t="str">
        <f t="shared" si="48"/>
        <v/>
      </c>
      <c r="ET25" s="14" t="str">
        <f t="shared" si="49"/>
        <v/>
      </c>
      <c r="EU25" s="14" t="str">
        <f t="shared" si="50"/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 t="shared" si="51"/>
        <v/>
      </c>
      <c r="FL25" s="11" t="str">
        <f t="shared" si="52"/>
        <v/>
      </c>
      <c r="FM25" s="11" t="str">
        <f t="shared" si="53"/>
        <v/>
      </c>
      <c r="FN25" s="11" t="str">
        <f t="shared" si="54"/>
        <v/>
      </c>
      <c r="FO25" s="11" t="str">
        <f t="shared" si="55"/>
        <v/>
      </c>
      <c r="FP25" s="11" t="str">
        <f t="shared" si="56"/>
        <v/>
      </c>
      <c r="FQ25" s="11" t="str">
        <f t="shared" si="57"/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 t="shared" si="58"/>
        <v/>
      </c>
      <c r="GH25" s="14" t="str">
        <f t="shared" si="59"/>
        <v/>
      </c>
      <c r="GI25" s="14" t="str">
        <f t="shared" si="60"/>
        <v/>
      </c>
      <c r="GJ25" s="14" t="str">
        <f t="shared" si="61"/>
        <v/>
      </c>
      <c r="GK25" s="14" t="str">
        <f t="shared" si="62"/>
        <v/>
      </c>
      <c r="GL25" s="14" t="str">
        <f t="shared" si="63"/>
        <v/>
      </c>
      <c r="GM25" s="14" t="str">
        <f t="shared" si="64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 t="shared" si="65"/>
        <v/>
      </c>
      <c r="HD25" s="11" t="str">
        <f t="shared" si="66"/>
        <v/>
      </c>
      <c r="HE25" s="11" t="str">
        <f t="shared" si="67"/>
        <v/>
      </c>
      <c r="HF25" s="11" t="str">
        <f t="shared" si="68"/>
        <v/>
      </c>
      <c r="HG25" s="11" t="str">
        <f t="shared" si="69"/>
        <v/>
      </c>
      <c r="HH25" s="11" t="str">
        <f t="shared" si="70"/>
        <v/>
      </c>
      <c r="HI25" s="11" t="str">
        <f t="shared" si="71"/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 t="shared" si="72"/>
        <v/>
      </c>
      <c r="HZ25" s="14" t="str">
        <f t="shared" si="73"/>
        <v/>
      </c>
      <c r="IA25" s="14" t="str">
        <f t="shared" si="74"/>
        <v/>
      </c>
      <c r="IB25" s="14" t="str">
        <f t="shared" si="75"/>
        <v/>
      </c>
      <c r="IC25" s="14" t="str">
        <f t="shared" si="76"/>
        <v/>
      </c>
      <c r="ID25" s="14" t="str">
        <f t="shared" si="77"/>
        <v/>
      </c>
      <c r="IE25" s="14" t="str">
        <f t="shared" si="78"/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 t="shared" si="79"/>
        <v/>
      </c>
      <c r="IV25" s="11" t="str">
        <f t="shared" si="80"/>
        <v/>
      </c>
      <c r="IW25" s="11" t="str">
        <f t="shared" si="81"/>
        <v/>
      </c>
      <c r="IX25" s="11" t="str">
        <f t="shared" si="82"/>
        <v/>
      </c>
      <c r="IY25" s="11" t="str">
        <f t="shared" si="83"/>
        <v/>
      </c>
      <c r="IZ25" s="11" t="str">
        <f t="shared" si="84"/>
        <v/>
      </c>
      <c r="JA25" s="11" t="str">
        <f t="shared" si="85"/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 t="shared" si="86"/>
        <v/>
      </c>
      <c r="JR25" s="14" t="str">
        <f t="shared" si="87"/>
        <v/>
      </c>
      <c r="JS25" s="14" t="str">
        <f t="shared" si="88"/>
        <v/>
      </c>
      <c r="JT25" s="14" t="str">
        <f t="shared" si="89"/>
        <v/>
      </c>
      <c r="JU25" s="14" t="str">
        <f t="shared" si="90"/>
        <v/>
      </c>
      <c r="JV25" s="14" t="str">
        <f t="shared" si="91"/>
        <v/>
      </c>
      <c r="JW25" s="14" t="str">
        <f t="shared" si="92"/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 t="shared" si="93"/>
        <v/>
      </c>
      <c r="KN25" s="11" t="str">
        <f t="shared" si="94"/>
        <v/>
      </c>
      <c r="KO25" s="11" t="str">
        <f t="shared" si="95"/>
        <v/>
      </c>
      <c r="KP25" s="11" t="str">
        <f t="shared" si="96"/>
        <v/>
      </c>
      <c r="KQ25" s="11" t="str">
        <f t="shared" si="97"/>
        <v/>
      </c>
      <c r="KR25" s="11" t="str">
        <f t="shared" si="98"/>
        <v/>
      </c>
      <c r="KS25" s="11" t="str">
        <f t="shared" si="99"/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 t="shared" si="100"/>
        <v/>
      </c>
      <c r="LJ25" s="14" t="str">
        <f t="shared" si="101"/>
        <v/>
      </c>
      <c r="LK25" s="14" t="str">
        <f t="shared" si="102"/>
        <v/>
      </c>
      <c r="LL25" s="14" t="str">
        <f t="shared" si="103"/>
        <v/>
      </c>
      <c r="LM25" s="14" t="str">
        <f t="shared" si="104"/>
        <v/>
      </c>
      <c r="LN25" s="14" t="str">
        <f t="shared" si="105"/>
        <v/>
      </c>
      <c r="LO25" s="14" t="str">
        <f t="shared" si="106"/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 t="shared" si="107"/>
        <v/>
      </c>
      <c r="MF25" s="11" t="str">
        <f t="shared" si="108"/>
        <v/>
      </c>
      <c r="MG25" s="11" t="str">
        <f t="shared" si="109"/>
        <v/>
      </c>
      <c r="MH25" s="11" t="str">
        <f t="shared" si="110"/>
        <v/>
      </c>
      <c r="MI25" s="11" t="str">
        <f t="shared" si="111"/>
        <v/>
      </c>
      <c r="MJ25" s="11" t="str">
        <f t="shared" si="112"/>
        <v/>
      </c>
      <c r="MK25" s="11" t="str">
        <f t="shared" si="113"/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 t="shared" si="114"/>
        <v/>
      </c>
      <c r="NB25" s="14" t="str">
        <f t="shared" si="115"/>
        <v/>
      </c>
      <c r="NC25" s="14" t="str">
        <f t="shared" si="116"/>
        <v/>
      </c>
      <c r="ND25" s="14" t="str">
        <f t="shared" si="117"/>
        <v/>
      </c>
      <c r="NE25" s="14" t="str">
        <f t="shared" si="118"/>
        <v/>
      </c>
      <c r="NF25" s="14" t="str">
        <f t="shared" si="119"/>
        <v/>
      </c>
      <c r="NG25" s="14" t="str">
        <f t="shared" si="120"/>
        <v/>
      </c>
      <c r="NH25" s="38">
        <f t="shared" si="121"/>
        <v>10.899999999999999</v>
      </c>
      <c r="NI25" s="38">
        <f t="shared" si="122"/>
        <v>6.5500000000000007</v>
      </c>
      <c r="NJ25" s="38">
        <f t="shared" si="123"/>
        <v>1.35</v>
      </c>
      <c r="NK25" s="38">
        <f t="shared" si="124"/>
        <v>10.285</v>
      </c>
      <c r="NL25" s="38">
        <f t="shared" si="125"/>
        <v>0</v>
      </c>
      <c r="NM25" s="38">
        <f t="shared" si="126"/>
        <v>12.850000000000001</v>
      </c>
      <c r="NN25" s="38">
        <f t="shared" si="127"/>
        <v>7.8500000000000005</v>
      </c>
      <c r="NO25" s="38">
        <f t="shared" si="128"/>
        <v>9.5500000000000007</v>
      </c>
      <c r="NP25" s="38">
        <f t="shared" si="129"/>
        <v>12.502500000000001</v>
      </c>
      <c r="NQ25" s="38">
        <f t="shared" si="130"/>
        <v>0.1</v>
      </c>
      <c r="NR25" s="38">
        <f t="shared" si="131"/>
        <v>0</v>
      </c>
      <c r="NS25" s="38">
        <f t="shared" si="132"/>
        <v>0</v>
      </c>
      <c r="NT25" s="38">
        <f t="shared" si="133"/>
        <v>0</v>
      </c>
      <c r="NU25" s="38">
        <f t="shared" si="134"/>
        <v>0</v>
      </c>
      <c r="NV25" s="38">
        <f t="shared" si="135"/>
        <v>0</v>
      </c>
      <c r="NW25" s="38">
        <f t="shared" si="136"/>
        <v>2.4</v>
      </c>
      <c r="NX25" s="38">
        <f t="shared" si="137"/>
        <v>1.35</v>
      </c>
      <c r="NY25" s="38">
        <f t="shared" si="138"/>
        <v>1.9</v>
      </c>
      <c r="NZ25" s="38">
        <f t="shared" si="139"/>
        <v>2.2400000000000002</v>
      </c>
      <c r="OA25" s="38">
        <f t="shared" si="140"/>
        <v>0</v>
      </c>
      <c r="OB25" s="45" t="s">
        <v>46</v>
      </c>
      <c r="OC25" s="11">
        <f t="shared" si="141"/>
        <v>29.085000000000001</v>
      </c>
      <c r="OD25" s="11">
        <f t="shared" si="142"/>
        <v>9.5500000000000007</v>
      </c>
      <c r="OE25" s="11">
        <f t="shared" si="143"/>
        <v>42.652500000000003</v>
      </c>
      <c r="OF25" s="11" t="str">
        <f t="shared" si="144"/>
        <v/>
      </c>
      <c r="OG25" s="11" t="str">
        <f t="shared" si="145"/>
        <v/>
      </c>
      <c r="OH25" s="11">
        <f t="shared" si="146"/>
        <v>71.737500000000011</v>
      </c>
      <c r="OI25" s="11">
        <f t="shared" si="147"/>
        <v>1.9</v>
      </c>
      <c r="OJ25" s="11">
        <f t="shared" ref="OJ25" si="178">IF(SUM(NW25:NZ25)-OA25&gt;0,SUM(NW25:NZ25)-OA25,"")</f>
        <v>7.8900000000000006</v>
      </c>
      <c r="OK25" s="11">
        <f t="shared" ref="OK25" si="179">IF(SUM(OH25,OJ25)&gt;0,SUM(OH25,OJ25),"")</f>
        <v>79.627500000000012</v>
      </c>
    </row>
    <row r="26" spans="1:401" x14ac:dyDescent="0.2">
      <c r="A26" s="5" t="str" cm="1">
        <f t="array" ref="A26">IF(AND(F26="P",G26="P"),SUMPRODUCT((F$4:F$32="P")*(G$4:G$32="P")*(E$4:E$32&gt;E26))+1,IF(G26="P",SUMPRODUCT((F$4:F$32="")*(G$4:G$32="P")*(E$4:E$32&gt;E26))+1+SUMPRODUCT((F$4:F$32="P")*(G$4:G$32="P")),""))</f>
        <v/>
      </c>
      <c r="B26" s="6" t="s">
        <v>147</v>
      </c>
      <c r="C26" s="7" t="s">
        <v>5</v>
      </c>
      <c r="D26" s="5">
        <v>2005</v>
      </c>
      <c r="E26" s="15">
        <f t="shared" si="0"/>
        <v>82.370004807000001</v>
      </c>
      <c r="F26" s="3" t="str">
        <f t="shared" si="1"/>
        <v/>
      </c>
      <c r="G26" s="3" t="str">
        <f t="shared" si="2"/>
        <v/>
      </c>
      <c r="H26" s="67" t="str">
        <f t="shared" si="3"/>
        <v/>
      </c>
      <c r="I26" s="14">
        <f t="shared" si="4"/>
        <v>48.07</v>
      </c>
      <c r="J26" s="14" t="str">
        <f t="shared" si="5"/>
        <v>2021 Canadian Championships</v>
      </c>
      <c r="K26" s="14">
        <f>IF(COUNT(AM26,AO26,AR26,BQ26,BS26,BV26,CU26,CW26,CZ26)&gt;1,LARGE((AM26,AO26,AR26,BQ26,BS26,BV26,CU26,CW26,CZ26),2),0)</f>
        <v>34.299999999999997</v>
      </c>
      <c r="L26" s="14" t="str">
        <f t="shared" si="6"/>
        <v>2021 Canadian Championships</v>
      </c>
      <c r="M26" s="14" t="str">
        <f t="shared" si="7"/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 t="str">
        <f t="shared" si="8"/>
        <v/>
      </c>
      <c r="AL26" s="11" t="str">
        <f t="shared" si="9"/>
        <v/>
      </c>
      <c r="AM26" s="11" t="str">
        <f t="shared" si="10"/>
        <v/>
      </c>
      <c r="AN26" s="11" t="str">
        <f t="shared" si="11"/>
        <v/>
      </c>
      <c r="AO26" s="11" t="str">
        <f t="shared" si="12"/>
        <v/>
      </c>
      <c r="AP26" s="11" t="str">
        <f t="shared" si="13"/>
        <v/>
      </c>
      <c r="AQ26" s="11" t="str">
        <f t="shared" si="14"/>
        <v/>
      </c>
      <c r="AR26" s="11" t="str">
        <f t="shared" si="15"/>
        <v/>
      </c>
      <c r="AS26" s="11" t="str">
        <f t="shared" si="16"/>
        <v/>
      </c>
      <c r="AT26" s="42">
        <v>16.600000000000001</v>
      </c>
      <c r="AU26" s="42">
        <v>9.5</v>
      </c>
      <c r="AV26" s="42">
        <v>0</v>
      </c>
      <c r="AW26" s="42">
        <v>14.77</v>
      </c>
      <c r="AX26" s="42">
        <v>0</v>
      </c>
      <c r="AY26" s="42">
        <v>10.199999999999999</v>
      </c>
      <c r="AZ26" s="42">
        <v>6.5</v>
      </c>
      <c r="BA26" s="42">
        <v>7.3</v>
      </c>
      <c r="BB26" s="42">
        <v>10.3</v>
      </c>
      <c r="BC26" s="42">
        <v>0</v>
      </c>
      <c r="BD26" s="42"/>
      <c r="BE26" s="42"/>
      <c r="BF26" s="42"/>
      <c r="BG26" s="42"/>
      <c r="BH26" s="42"/>
      <c r="BI26" s="42">
        <v>14.3</v>
      </c>
      <c r="BJ26" s="42">
        <v>9.3000000000000007</v>
      </c>
      <c r="BK26" s="42">
        <v>10.5</v>
      </c>
      <c r="BL26" s="42">
        <v>13.97</v>
      </c>
      <c r="BM26" s="42">
        <v>0</v>
      </c>
      <c r="BN26" s="46"/>
      <c r="BO26" s="14">
        <f t="shared" si="17"/>
        <v>40.870000000000005</v>
      </c>
      <c r="BP26" s="14">
        <f t="shared" si="18"/>
        <v>7.3</v>
      </c>
      <c r="BQ26" s="14">
        <f t="shared" si="19"/>
        <v>34.299999999999997</v>
      </c>
      <c r="BR26" s="14" t="str">
        <f t="shared" si="20"/>
        <v/>
      </c>
      <c r="BS26" s="14" t="str">
        <f t="shared" si="21"/>
        <v/>
      </c>
      <c r="BT26" s="14">
        <f t="shared" si="22"/>
        <v>75.17</v>
      </c>
      <c r="BU26" s="14">
        <f t="shared" si="23"/>
        <v>10.5</v>
      </c>
      <c r="BV26" s="14">
        <f t="shared" si="24"/>
        <v>48.07</v>
      </c>
      <c r="BW26" s="14">
        <f t="shared" si="25"/>
        <v>123.24000000000001</v>
      </c>
      <c r="BX26" s="38">
        <v>15.7</v>
      </c>
      <c r="BY26" s="38">
        <v>9.4</v>
      </c>
      <c r="BZ26" s="38">
        <v>2.2999999999999998</v>
      </c>
      <c r="CA26" s="38">
        <v>14.47</v>
      </c>
      <c r="CB26" s="38">
        <v>0</v>
      </c>
      <c r="CC26" s="38">
        <v>1.4</v>
      </c>
      <c r="CD26" s="38">
        <v>0.8</v>
      </c>
      <c r="CE26" s="38">
        <v>1.5</v>
      </c>
      <c r="CF26" s="38">
        <v>1.48</v>
      </c>
      <c r="CG26" s="38">
        <v>0</v>
      </c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>
        <f t="shared" si="26"/>
        <v>41.870000000000005</v>
      </c>
      <c r="CT26" s="11">
        <f t="shared" si="27"/>
        <v>1.5</v>
      </c>
      <c r="CU26" s="11">
        <f t="shared" si="28"/>
        <v>5.18</v>
      </c>
      <c r="CV26" s="11" t="str">
        <f t="shared" si="29"/>
        <v/>
      </c>
      <c r="CW26" s="11" t="str">
        <f t="shared" si="30"/>
        <v/>
      </c>
      <c r="CX26" s="11">
        <f t="shared" si="31"/>
        <v>47.050000000000004</v>
      </c>
      <c r="CY26" s="11" t="str">
        <f t="shared" si="32"/>
        <v/>
      </c>
      <c r="CZ26" s="11" t="str">
        <f t="shared" si="33"/>
        <v/>
      </c>
      <c r="DA26" s="11">
        <f t="shared" si="34"/>
        <v>47.050000000000004</v>
      </c>
      <c r="DB26" s="19" t="str">
        <f t="shared" si="35"/>
        <v/>
      </c>
      <c r="DC26" s="19" t="str">
        <f t="shared" si="36"/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 t="shared" si="37"/>
        <v/>
      </c>
      <c r="DT26" s="11" t="str">
        <f t="shared" si="38"/>
        <v/>
      </c>
      <c r="DU26" s="11" t="str">
        <f t="shared" si="39"/>
        <v/>
      </c>
      <c r="DV26" s="11" t="str">
        <f t="shared" si="40"/>
        <v/>
      </c>
      <c r="DW26" s="11" t="str">
        <f t="shared" si="41"/>
        <v/>
      </c>
      <c r="DX26" s="11" t="str">
        <f t="shared" si="42"/>
        <v/>
      </c>
      <c r="DY26" s="11" t="str">
        <f t="shared" si="43"/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 t="shared" si="44"/>
        <v/>
      </c>
      <c r="EP26" s="14" t="str">
        <f t="shared" si="45"/>
        <v/>
      </c>
      <c r="EQ26" s="14" t="str">
        <f t="shared" si="46"/>
        <v/>
      </c>
      <c r="ER26" s="14" t="str">
        <f t="shared" si="47"/>
        <v/>
      </c>
      <c r="ES26" s="14" t="str">
        <f t="shared" si="48"/>
        <v/>
      </c>
      <c r="ET26" s="14" t="str">
        <f t="shared" si="49"/>
        <v/>
      </c>
      <c r="EU26" s="14" t="str">
        <f t="shared" si="50"/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 t="shared" si="51"/>
        <v/>
      </c>
      <c r="FL26" s="11" t="str">
        <f t="shared" si="52"/>
        <v/>
      </c>
      <c r="FM26" s="11" t="str">
        <f t="shared" si="53"/>
        <v/>
      </c>
      <c r="FN26" s="11" t="str">
        <f t="shared" si="54"/>
        <v/>
      </c>
      <c r="FO26" s="11" t="str">
        <f t="shared" si="55"/>
        <v/>
      </c>
      <c r="FP26" s="11" t="str">
        <f t="shared" si="56"/>
        <v/>
      </c>
      <c r="FQ26" s="11" t="str">
        <f t="shared" si="57"/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 t="shared" si="58"/>
        <v/>
      </c>
      <c r="GH26" s="14" t="str">
        <f t="shared" si="59"/>
        <v/>
      </c>
      <c r="GI26" s="14" t="str">
        <f t="shared" si="60"/>
        <v/>
      </c>
      <c r="GJ26" s="14" t="str">
        <f t="shared" si="61"/>
        <v/>
      </c>
      <c r="GK26" s="14" t="str">
        <f t="shared" si="62"/>
        <v/>
      </c>
      <c r="GL26" s="14" t="str">
        <f t="shared" si="63"/>
        <v/>
      </c>
      <c r="GM26" s="14" t="str">
        <f t="shared" si="64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 t="shared" si="65"/>
        <v/>
      </c>
      <c r="HD26" s="11" t="str">
        <f t="shared" si="66"/>
        <v/>
      </c>
      <c r="HE26" s="11" t="str">
        <f t="shared" si="67"/>
        <v/>
      </c>
      <c r="HF26" s="11" t="str">
        <f t="shared" si="68"/>
        <v/>
      </c>
      <c r="HG26" s="11" t="str">
        <f t="shared" si="69"/>
        <v/>
      </c>
      <c r="HH26" s="11" t="str">
        <f t="shared" si="70"/>
        <v/>
      </c>
      <c r="HI26" s="11" t="str">
        <f t="shared" si="71"/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 t="shared" si="72"/>
        <v/>
      </c>
      <c r="HZ26" s="14" t="str">
        <f t="shared" si="73"/>
        <v/>
      </c>
      <c r="IA26" s="14" t="str">
        <f t="shared" si="74"/>
        <v/>
      </c>
      <c r="IB26" s="14" t="str">
        <f t="shared" si="75"/>
        <v/>
      </c>
      <c r="IC26" s="14" t="str">
        <f t="shared" si="76"/>
        <v/>
      </c>
      <c r="ID26" s="14" t="str">
        <f t="shared" si="77"/>
        <v/>
      </c>
      <c r="IE26" s="14" t="str">
        <f t="shared" si="78"/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 t="shared" si="79"/>
        <v/>
      </c>
      <c r="IV26" s="11" t="str">
        <f t="shared" si="80"/>
        <v/>
      </c>
      <c r="IW26" s="11" t="str">
        <f t="shared" si="81"/>
        <v/>
      </c>
      <c r="IX26" s="11" t="str">
        <f t="shared" si="82"/>
        <v/>
      </c>
      <c r="IY26" s="11" t="str">
        <f t="shared" si="83"/>
        <v/>
      </c>
      <c r="IZ26" s="11" t="str">
        <f t="shared" si="84"/>
        <v/>
      </c>
      <c r="JA26" s="11" t="str">
        <f t="shared" si="85"/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 t="shared" si="86"/>
        <v/>
      </c>
      <c r="JR26" s="14" t="str">
        <f t="shared" si="87"/>
        <v/>
      </c>
      <c r="JS26" s="14" t="str">
        <f t="shared" si="88"/>
        <v/>
      </c>
      <c r="JT26" s="14" t="str">
        <f t="shared" si="89"/>
        <v/>
      </c>
      <c r="JU26" s="14" t="str">
        <f t="shared" si="90"/>
        <v/>
      </c>
      <c r="JV26" s="14" t="str">
        <f t="shared" si="91"/>
        <v/>
      </c>
      <c r="JW26" s="14" t="str">
        <f t="shared" si="92"/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 t="shared" si="93"/>
        <v/>
      </c>
      <c r="KN26" s="11" t="str">
        <f t="shared" si="94"/>
        <v/>
      </c>
      <c r="KO26" s="11" t="str">
        <f t="shared" si="95"/>
        <v/>
      </c>
      <c r="KP26" s="11" t="str">
        <f t="shared" si="96"/>
        <v/>
      </c>
      <c r="KQ26" s="11" t="str">
        <f t="shared" si="97"/>
        <v/>
      </c>
      <c r="KR26" s="11" t="str">
        <f t="shared" si="98"/>
        <v/>
      </c>
      <c r="KS26" s="11" t="str">
        <f t="shared" si="99"/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 t="shared" si="100"/>
        <v/>
      </c>
      <c r="LJ26" s="14" t="str">
        <f t="shared" si="101"/>
        <v/>
      </c>
      <c r="LK26" s="14" t="str">
        <f t="shared" si="102"/>
        <v/>
      </c>
      <c r="LL26" s="14" t="str">
        <f t="shared" si="103"/>
        <v/>
      </c>
      <c r="LM26" s="14" t="str">
        <f t="shared" si="104"/>
        <v/>
      </c>
      <c r="LN26" s="14" t="str">
        <f t="shared" si="105"/>
        <v/>
      </c>
      <c r="LO26" s="14" t="str">
        <f t="shared" si="106"/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 t="shared" si="107"/>
        <v/>
      </c>
      <c r="MF26" s="11" t="str">
        <f t="shared" si="108"/>
        <v/>
      </c>
      <c r="MG26" s="11" t="str">
        <f t="shared" si="109"/>
        <v/>
      </c>
      <c r="MH26" s="11" t="str">
        <f t="shared" si="110"/>
        <v/>
      </c>
      <c r="MI26" s="11" t="str">
        <f t="shared" si="111"/>
        <v/>
      </c>
      <c r="MJ26" s="11" t="str">
        <f t="shared" si="112"/>
        <v/>
      </c>
      <c r="MK26" s="11" t="str">
        <f t="shared" si="113"/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 t="shared" si="114"/>
        <v/>
      </c>
      <c r="NB26" s="14" t="str">
        <f t="shared" si="115"/>
        <v/>
      </c>
      <c r="NC26" s="14" t="str">
        <f t="shared" si="116"/>
        <v/>
      </c>
      <c r="ND26" s="14" t="str">
        <f t="shared" si="117"/>
        <v/>
      </c>
      <c r="NE26" s="14" t="str">
        <f t="shared" si="118"/>
        <v/>
      </c>
      <c r="NF26" s="14" t="str">
        <f t="shared" si="119"/>
        <v/>
      </c>
      <c r="NG26" s="14" t="str">
        <f t="shared" si="120"/>
        <v/>
      </c>
      <c r="NH26" s="38">
        <f t="shared" si="121"/>
        <v>16.149999999999999</v>
      </c>
      <c r="NI26" s="38">
        <f t="shared" si="122"/>
        <v>9.4499999999999993</v>
      </c>
      <c r="NJ26" s="38">
        <f t="shared" si="123"/>
        <v>1.1499999999999999</v>
      </c>
      <c r="NK26" s="38">
        <f t="shared" si="124"/>
        <v>14.620000000000001</v>
      </c>
      <c r="NL26" s="38">
        <f t="shared" si="125"/>
        <v>0</v>
      </c>
      <c r="NM26" s="38">
        <f t="shared" si="126"/>
        <v>5.8</v>
      </c>
      <c r="NN26" s="38">
        <f t="shared" si="127"/>
        <v>3.65</v>
      </c>
      <c r="NO26" s="38">
        <f t="shared" si="128"/>
        <v>4.4000000000000004</v>
      </c>
      <c r="NP26" s="38">
        <f t="shared" si="129"/>
        <v>5.8900000000000006</v>
      </c>
      <c r="NQ26" s="38">
        <f t="shared" si="130"/>
        <v>0</v>
      </c>
      <c r="NR26" s="38">
        <f t="shared" si="131"/>
        <v>0</v>
      </c>
      <c r="NS26" s="38">
        <f t="shared" si="132"/>
        <v>0</v>
      </c>
      <c r="NT26" s="38">
        <f t="shared" si="133"/>
        <v>0</v>
      </c>
      <c r="NU26" s="38">
        <f t="shared" si="134"/>
        <v>0</v>
      </c>
      <c r="NV26" s="38">
        <f t="shared" si="135"/>
        <v>0</v>
      </c>
      <c r="NW26" s="38">
        <f t="shared" si="136"/>
        <v>7.15</v>
      </c>
      <c r="NX26" s="38">
        <f t="shared" si="137"/>
        <v>4.6500000000000004</v>
      </c>
      <c r="NY26" s="38">
        <f t="shared" si="138"/>
        <v>5.25</v>
      </c>
      <c r="NZ26" s="38">
        <f t="shared" si="139"/>
        <v>6.9850000000000003</v>
      </c>
      <c r="OA26" s="38">
        <f t="shared" si="140"/>
        <v>0</v>
      </c>
      <c r="OB26" s="45" t="s">
        <v>46</v>
      </c>
      <c r="OC26" s="11">
        <f t="shared" si="141"/>
        <v>41.37</v>
      </c>
      <c r="OD26" s="11">
        <f t="shared" si="142"/>
        <v>4.4000000000000004</v>
      </c>
      <c r="OE26" s="11">
        <f t="shared" si="143"/>
        <v>19.740000000000002</v>
      </c>
      <c r="OF26" s="11" t="str">
        <f t="shared" si="144"/>
        <v/>
      </c>
      <c r="OG26" s="11" t="str">
        <f t="shared" si="145"/>
        <v/>
      </c>
      <c r="OH26" s="11">
        <f t="shared" si="146"/>
        <v>61.11</v>
      </c>
      <c r="OI26" s="11">
        <f t="shared" si="147"/>
        <v>5.25</v>
      </c>
      <c r="OJ26" s="11">
        <f t="shared" ref="OJ26" si="180">IF(SUM(NW26:NZ26)-OA26&gt;0,SUM(NW26:NZ26)-OA26,"")</f>
        <v>24.035</v>
      </c>
      <c r="OK26" s="11">
        <f t="shared" ref="OK26" si="181">IF(SUM(OH26,OJ26)&gt;0,SUM(OH26,OJ26),"")</f>
        <v>85.144999999999996</v>
      </c>
    </row>
    <row r="27" spans="1:401" x14ac:dyDescent="0.2">
      <c r="A27" s="5" t="str" cm="1">
        <f t="array" ref="A27">IF(AND(F27="P",G27="P"),SUMPRODUCT((F$4:F$32="P")*(G$4:G$32="P")*(E$4:E$32&gt;E27))+1,IF(G27="P",SUMPRODUCT((F$4:F$32="")*(G$4:G$32="P")*(E$4:E$32&gt;E27))+1+SUMPRODUCT((F$4:F$32="P")*(G$4:G$32="P")),""))</f>
        <v/>
      </c>
      <c r="B27" s="6" t="s">
        <v>161</v>
      </c>
      <c r="C27" s="7" t="s">
        <v>6</v>
      </c>
      <c r="D27" s="5">
        <v>2005</v>
      </c>
      <c r="E27" s="15">
        <f t="shared" si="0"/>
        <v>78.550004903999991</v>
      </c>
      <c r="F27" s="3" t="str">
        <f t="shared" si="1"/>
        <v/>
      </c>
      <c r="G27" s="3" t="str">
        <f t="shared" si="2"/>
        <v/>
      </c>
      <c r="H27" s="67" t="str">
        <f t="shared" si="3"/>
        <v/>
      </c>
      <c r="I27" s="14">
        <f t="shared" si="4"/>
        <v>49.04</v>
      </c>
      <c r="J27" s="14" t="str">
        <f t="shared" si="5"/>
        <v>2022 Elite Canada</v>
      </c>
      <c r="K27" s="14">
        <f>IF(COUNT(AM27,AO27,AR27,BQ27,BS27,BV27,CU27,CW27,CZ27)&gt;1,LARGE((AM27,AO27,AR27,BQ27,BS27,BV27,CU27,CW27,CZ27),2),0)</f>
        <v>29.51</v>
      </c>
      <c r="L27" s="14" t="str">
        <f t="shared" si="6"/>
        <v>2022 Elite Canada</v>
      </c>
      <c r="M27" s="14" t="str">
        <f t="shared" si="7"/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 t="shared" si="8"/>
        <v/>
      </c>
      <c r="AL27" s="11" t="str">
        <f t="shared" si="9"/>
        <v/>
      </c>
      <c r="AM27" s="11" t="str">
        <f t="shared" si="10"/>
        <v/>
      </c>
      <c r="AN27" s="11" t="str">
        <f t="shared" si="11"/>
        <v/>
      </c>
      <c r="AO27" s="11" t="str">
        <f t="shared" si="12"/>
        <v/>
      </c>
      <c r="AP27" s="11" t="str">
        <f t="shared" si="13"/>
        <v/>
      </c>
      <c r="AQ27" s="11" t="str">
        <f t="shared" si="14"/>
        <v/>
      </c>
      <c r="AR27" s="11" t="str">
        <f t="shared" si="15"/>
        <v/>
      </c>
      <c r="AS27" s="11" t="str">
        <f t="shared" si="16"/>
        <v/>
      </c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 t="str">
        <f t="shared" si="17"/>
        <v/>
      </c>
      <c r="BP27" s="14" t="str">
        <f t="shared" si="18"/>
        <v/>
      </c>
      <c r="BQ27" s="14" t="str">
        <f t="shared" si="19"/>
        <v/>
      </c>
      <c r="BR27" s="14" t="str">
        <f t="shared" si="20"/>
        <v/>
      </c>
      <c r="BS27" s="14" t="str">
        <f t="shared" si="21"/>
        <v/>
      </c>
      <c r="BT27" s="14" t="str">
        <f t="shared" si="22"/>
        <v/>
      </c>
      <c r="BU27" s="14" t="str">
        <f t="shared" si="23"/>
        <v/>
      </c>
      <c r="BV27" s="14" t="str">
        <f t="shared" si="24"/>
        <v/>
      </c>
      <c r="BW27" s="14" t="str">
        <f t="shared" si="25"/>
        <v/>
      </c>
      <c r="BX27" s="38">
        <v>16.399999999999999</v>
      </c>
      <c r="BY27" s="38">
        <v>9.3000000000000007</v>
      </c>
      <c r="BZ27" s="38">
        <v>1.7</v>
      </c>
      <c r="CA27" s="38">
        <v>14.92</v>
      </c>
      <c r="CB27" s="38">
        <v>0</v>
      </c>
      <c r="CC27" s="38">
        <v>15.8</v>
      </c>
      <c r="CD27" s="38">
        <v>9</v>
      </c>
      <c r="CE27" s="38">
        <v>9.1999999999999993</v>
      </c>
      <c r="CF27" s="38">
        <v>15.04</v>
      </c>
      <c r="CG27" s="38">
        <v>0</v>
      </c>
      <c r="CH27" s="38"/>
      <c r="CI27" s="38"/>
      <c r="CJ27" s="38"/>
      <c r="CK27" s="38"/>
      <c r="CL27" s="38"/>
      <c r="CM27" s="38">
        <v>9.1999999999999993</v>
      </c>
      <c r="CN27" s="38">
        <v>5</v>
      </c>
      <c r="CO27" s="38">
        <v>5.9</v>
      </c>
      <c r="CP27" s="38">
        <v>9.41</v>
      </c>
      <c r="CQ27" s="38">
        <v>0</v>
      </c>
      <c r="CR27" s="45"/>
      <c r="CS27" s="11">
        <f t="shared" si="26"/>
        <v>42.32</v>
      </c>
      <c r="CT27" s="11">
        <f t="shared" si="27"/>
        <v>9.1999999999999993</v>
      </c>
      <c r="CU27" s="11">
        <f t="shared" si="28"/>
        <v>49.04</v>
      </c>
      <c r="CV27" s="11" t="str">
        <f t="shared" si="29"/>
        <v/>
      </c>
      <c r="CW27" s="11" t="str">
        <f t="shared" si="30"/>
        <v/>
      </c>
      <c r="CX27" s="11">
        <f t="shared" si="31"/>
        <v>91.36</v>
      </c>
      <c r="CY27" s="11">
        <f t="shared" si="32"/>
        <v>5.9</v>
      </c>
      <c r="CZ27" s="11">
        <f t="shared" si="33"/>
        <v>29.51</v>
      </c>
      <c r="DA27" s="11">
        <f t="shared" si="34"/>
        <v>120.87</v>
      </c>
      <c r="DB27" s="19" t="str">
        <f t="shared" si="35"/>
        <v/>
      </c>
      <c r="DC27" s="19" t="str">
        <f t="shared" si="36"/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 t="shared" si="37"/>
        <v/>
      </c>
      <c r="DT27" s="11" t="str">
        <f t="shared" si="38"/>
        <v/>
      </c>
      <c r="DU27" s="11" t="str">
        <f t="shared" si="39"/>
        <v/>
      </c>
      <c r="DV27" s="11" t="str">
        <f t="shared" si="40"/>
        <v/>
      </c>
      <c r="DW27" s="11" t="str">
        <f t="shared" si="41"/>
        <v/>
      </c>
      <c r="DX27" s="11" t="str">
        <f t="shared" si="42"/>
        <v/>
      </c>
      <c r="DY27" s="11" t="str">
        <f t="shared" si="43"/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 t="shared" si="44"/>
        <v/>
      </c>
      <c r="EP27" s="14" t="str">
        <f t="shared" si="45"/>
        <v/>
      </c>
      <c r="EQ27" s="14" t="str">
        <f t="shared" si="46"/>
        <v/>
      </c>
      <c r="ER27" s="14" t="str">
        <f t="shared" si="47"/>
        <v/>
      </c>
      <c r="ES27" s="14" t="str">
        <f t="shared" si="48"/>
        <v/>
      </c>
      <c r="ET27" s="14" t="str">
        <f t="shared" si="49"/>
        <v/>
      </c>
      <c r="EU27" s="14" t="str">
        <f t="shared" si="50"/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 t="shared" si="51"/>
        <v/>
      </c>
      <c r="FL27" s="11" t="str">
        <f t="shared" si="52"/>
        <v/>
      </c>
      <c r="FM27" s="11" t="str">
        <f t="shared" si="53"/>
        <v/>
      </c>
      <c r="FN27" s="11" t="str">
        <f t="shared" si="54"/>
        <v/>
      </c>
      <c r="FO27" s="11" t="str">
        <f t="shared" si="55"/>
        <v/>
      </c>
      <c r="FP27" s="11" t="str">
        <f t="shared" si="56"/>
        <v/>
      </c>
      <c r="FQ27" s="11" t="str">
        <f t="shared" si="57"/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 t="shared" si="58"/>
        <v/>
      </c>
      <c r="GH27" s="14" t="str">
        <f t="shared" si="59"/>
        <v/>
      </c>
      <c r="GI27" s="14" t="str">
        <f t="shared" si="60"/>
        <v/>
      </c>
      <c r="GJ27" s="14" t="str">
        <f t="shared" si="61"/>
        <v/>
      </c>
      <c r="GK27" s="14" t="str">
        <f t="shared" si="62"/>
        <v/>
      </c>
      <c r="GL27" s="14" t="str">
        <f t="shared" si="63"/>
        <v/>
      </c>
      <c r="GM27" s="14" t="str">
        <f t="shared" si="64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 t="shared" si="65"/>
        <v/>
      </c>
      <c r="HD27" s="11" t="str">
        <f t="shared" si="66"/>
        <v/>
      </c>
      <c r="HE27" s="11" t="str">
        <f t="shared" si="67"/>
        <v/>
      </c>
      <c r="HF27" s="11" t="str">
        <f t="shared" si="68"/>
        <v/>
      </c>
      <c r="HG27" s="11" t="str">
        <f t="shared" si="69"/>
        <v/>
      </c>
      <c r="HH27" s="11" t="str">
        <f t="shared" si="70"/>
        <v/>
      </c>
      <c r="HI27" s="11" t="str">
        <f t="shared" si="71"/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 t="shared" si="72"/>
        <v/>
      </c>
      <c r="HZ27" s="14" t="str">
        <f t="shared" si="73"/>
        <v/>
      </c>
      <c r="IA27" s="14" t="str">
        <f t="shared" si="74"/>
        <v/>
      </c>
      <c r="IB27" s="14" t="str">
        <f t="shared" si="75"/>
        <v/>
      </c>
      <c r="IC27" s="14" t="str">
        <f t="shared" si="76"/>
        <v/>
      </c>
      <c r="ID27" s="14" t="str">
        <f t="shared" si="77"/>
        <v/>
      </c>
      <c r="IE27" s="14" t="str">
        <f t="shared" si="78"/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 t="shared" si="79"/>
        <v/>
      </c>
      <c r="IV27" s="11" t="str">
        <f t="shared" si="80"/>
        <v/>
      </c>
      <c r="IW27" s="11" t="str">
        <f t="shared" si="81"/>
        <v/>
      </c>
      <c r="IX27" s="11" t="str">
        <f t="shared" si="82"/>
        <v/>
      </c>
      <c r="IY27" s="11" t="str">
        <f t="shared" si="83"/>
        <v/>
      </c>
      <c r="IZ27" s="11" t="str">
        <f t="shared" si="84"/>
        <v/>
      </c>
      <c r="JA27" s="11" t="str">
        <f t="shared" si="85"/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 t="shared" si="86"/>
        <v/>
      </c>
      <c r="JR27" s="14" t="str">
        <f t="shared" si="87"/>
        <v/>
      </c>
      <c r="JS27" s="14" t="str">
        <f t="shared" si="88"/>
        <v/>
      </c>
      <c r="JT27" s="14" t="str">
        <f t="shared" si="89"/>
        <v/>
      </c>
      <c r="JU27" s="14" t="str">
        <f t="shared" si="90"/>
        <v/>
      </c>
      <c r="JV27" s="14" t="str">
        <f t="shared" si="91"/>
        <v/>
      </c>
      <c r="JW27" s="14" t="str">
        <f t="shared" si="92"/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 t="shared" si="93"/>
        <v/>
      </c>
      <c r="KN27" s="11" t="str">
        <f t="shared" si="94"/>
        <v/>
      </c>
      <c r="KO27" s="11" t="str">
        <f t="shared" si="95"/>
        <v/>
      </c>
      <c r="KP27" s="11" t="str">
        <f t="shared" si="96"/>
        <v/>
      </c>
      <c r="KQ27" s="11" t="str">
        <f t="shared" si="97"/>
        <v/>
      </c>
      <c r="KR27" s="11" t="str">
        <f t="shared" si="98"/>
        <v/>
      </c>
      <c r="KS27" s="11" t="str">
        <f t="shared" si="99"/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 t="shared" si="100"/>
        <v/>
      </c>
      <c r="LJ27" s="14" t="str">
        <f t="shared" si="101"/>
        <v/>
      </c>
      <c r="LK27" s="14" t="str">
        <f t="shared" si="102"/>
        <v/>
      </c>
      <c r="LL27" s="14" t="str">
        <f t="shared" si="103"/>
        <v/>
      </c>
      <c r="LM27" s="14" t="str">
        <f t="shared" si="104"/>
        <v/>
      </c>
      <c r="LN27" s="14" t="str">
        <f t="shared" si="105"/>
        <v/>
      </c>
      <c r="LO27" s="14" t="str">
        <f t="shared" si="106"/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 t="shared" si="107"/>
        <v/>
      </c>
      <c r="MF27" s="11" t="str">
        <f t="shared" si="108"/>
        <v/>
      </c>
      <c r="MG27" s="11" t="str">
        <f t="shared" si="109"/>
        <v/>
      </c>
      <c r="MH27" s="11" t="str">
        <f t="shared" si="110"/>
        <v/>
      </c>
      <c r="MI27" s="11" t="str">
        <f t="shared" si="111"/>
        <v/>
      </c>
      <c r="MJ27" s="11" t="str">
        <f t="shared" si="112"/>
        <v/>
      </c>
      <c r="MK27" s="11" t="str">
        <f t="shared" si="113"/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 t="shared" si="114"/>
        <v/>
      </c>
      <c r="NB27" s="14" t="str">
        <f t="shared" si="115"/>
        <v/>
      </c>
      <c r="NC27" s="14" t="str">
        <f t="shared" si="116"/>
        <v/>
      </c>
      <c r="ND27" s="14" t="str">
        <f t="shared" si="117"/>
        <v/>
      </c>
      <c r="NE27" s="14" t="str">
        <f t="shared" si="118"/>
        <v/>
      </c>
      <c r="NF27" s="14" t="str">
        <f t="shared" si="119"/>
        <v/>
      </c>
      <c r="NG27" s="14" t="str">
        <f t="shared" si="120"/>
        <v/>
      </c>
      <c r="NH27" s="38">
        <f t="shared" si="121"/>
        <v>8.1999999999999993</v>
      </c>
      <c r="NI27" s="38">
        <f t="shared" si="122"/>
        <v>4.6500000000000004</v>
      </c>
      <c r="NJ27" s="38">
        <f t="shared" si="123"/>
        <v>0.85</v>
      </c>
      <c r="NK27" s="38">
        <f t="shared" si="124"/>
        <v>7.46</v>
      </c>
      <c r="NL27" s="38">
        <f t="shared" si="125"/>
        <v>0</v>
      </c>
      <c r="NM27" s="38">
        <f t="shared" si="126"/>
        <v>7.9</v>
      </c>
      <c r="NN27" s="38">
        <f t="shared" si="127"/>
        <v>4.5</v>
      </c>
      <c r="NO27" s="38">
        <f t="shared" si="128"/>
        <v>4.5999999999999996</v>
      </c>
      <c r="NP27" s="38">
        <f t="shared" si="129"/>
        <v>7.52</v>
      </c>
      <c r="NQ27" s="38">
        <f t="shared" si="130"/>
        <v>0</v>
      </c>
      <c r="NR27" s="38">
        <f t="shared" si="131"/>
        <v>0</v>
      </c>
      <c r="NS27" s="38">
        <f t="shared" si="132"/>
        <v>0</v>
      </c>
      <c r="NT27" s="38">
        <f t="shared" si="133"/>
        <v>0</v>
      </c>
      <c r="NU27" s="38">
        <f t="shared" si="134"/>
        <v>0</v>
      </c>
      <c r="NV27" s="38">
        <f t="shared" si="135"/>
        <v>0</v>
      </c>
      <c r="NW27" s="38">
        <f t="shared" si="136"/>
        <v>4.5999999999999996</v>
      </c>
      <c r="NX27" s="38">
        <f t="shared" si="137"/>
        <v>2.5</v>
      </c>
      <c r="NY27" s="38">
        <f t="shared" si="138"/>
        <v>2.95</v>
      </c>
      <c r="NZ27" s="38">
        <f t="shared" si="139"/>
        <v>4.7050000000000001</v>
      </c>
      <c r="OA27" s="38">
        <f t="shared" si="140"/>
        <v>0</v>
      </c>
      <c r="OB27" s="45" t="s">
        <v>46</v>
      </c>
      <c r="OC27" s="11">
        <f t="shared" si="141"/>
        <v>21.16</v>
      </c>
      <c r="OD27" s="11">
        <f t="shared" si="142"/>
        <v>4.5999999999999996</v>
      </c>
      <c r="OE27" s="11">
        <f t="shared" si="143"/>
        <v>24.52</v>
      </c>
      <c r="OF27" s="11" t="str">
        <f t="shared" si="144"/>
        <v/>
      </c>
      <c r="OG27" s="11" t="str">
        <f t="shared" si="145"/>
        <v/>
      </c>
      <c r="OH27" s="11">
        <f t="shared" si="146"/>
        <v>45.68</v>
      </c>
      <c r="OI27" s="11">
        <f t="shared" si="147"/>
        <v>2.95</v>
      </c>
      <c r="OJ27" s="11">
        <f t="shared" ref="OJ27" si="182">IF(SUM(NW27:NZ27)-OA27&gt;0,SUM(NW27:NZ27)-OA27,"")</f>
        <v>14.755000000000001</v>
      </c>
      <c r="OK27" s="11">
        <f t="shared" ref="OK27" si="183">IF(SUM(OH27,OJ27)&gt;0,SUM(OH27,OJ27),"")</f>
        <v>60.435000000000002</v>
      </c>
    </row>
    <row r="28" spans="1:401" x14ac:dyDescent="0.2">
      <c r="A28" s="5" t="str" cm="1">
        <f t="array" ref="A28">IF(AND(F28="P",G28="P"),SUMPRODUCT((F$4:F$32="P")*(G$4:G$32="P")*(E$4:E$32&gt;E28))+1,IF(G28="P",SUMPRODUCT((F$4:F$32="")*(G$4:G$32="P")*(E$4:E$32&gt;E28))+1+SUMPRODUCT((F$4:F$32="P")*(G$4:G$32="P")),""))</f>
        <v/>
      </c>
      <c r="B28" s="6" t="s">
        <v>111</v>
      </c>
      <c r="C28" s="7" t="s">
        <v>4</v>
      </c>
      <c r="D28" s="22">
        <v>2001</v>
      </c>
      <c r="E28" s="15">
        <f t="shared" si="0"/>
        <v>75.790004699500003</v>
      </c>
      <c r="F28" s="3" t="str">
        <f t="shared" si="1"/>
        <v/>
      </c>
      <c r="G28" s="3" t="str">
        <f t="shared" si="2"/>
        <v/>
      </c>
      <c r="H28" s="67" t="str">
        <f t="shared" si="3"/>
        <v/>
      </c>
      <c r="I28" s="14">
        <f t="shared" si="4"/>
        <v>46.995000000000005</v>
      </c>
      <c r="J28" s="14" t="str">
        <f t="shared" si="5"/>
        <v>2021 Elite Canada</v>
      </c>
      <c r="K28" s="14">
        <f>IF(COUNT(AM28,AO28,AR28,BQ28,BS28,BV28,CU28,CW28,CZ28)&gt;1,LARGE((AM28,AO28,AR28,BQ28,BS28,BV28,CU28,CW28,CZ28),2),0)</f>
        <v>28.794999999999998</v>
      </c>
      <c r="L28" s="14" t="str">
        <f t="shared" si="6"/>
        <v>2021 Elite Canada</v>
      </c>
      <c r="M28" s="14" t="str">
        <f t="shared" si="7"/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>
        <v>12.9</v>
      </c>
      <c r="Q28" s="38">
        <v>8.4</v>
      </c>
      <c r="R28" s="38">
        <v>1.3</v>
      </c>
      <c r="S28" s="38">
        <v>13.365</v>
      </c>
      <c r="T28" s="38">
        <v>0</v>
      </c>
      <c r="U28" s="38">
        <v>8</v>
      </c>
      <c r="V28" s="38">
        <v>5.4</v>
      </c>
      <c r="W28" s="38">
        <v>6.5</v>
      </c>
      <c r="X28" s="38">
        <v>8.8949999999999996</v>
      </c>
      <c r="Y28" s="38">
        <v>0</v>
      </c>
      <c r="Z28" s="38"/>
      <c r="AA28" s="38"/>
      <c r="AB28" s="38"/>
      <c r="AC28" s="38"/>
      <c r="AD28" s="38"/>
      <c r="AE28" s="38">
        <v>13</v>
      </c>
      <c r="AF28" s="38">
        <v>9.1</v>
      </c>
      <c r="AG28" s="38">
        <v>9.8000000000000007</v>
      </c>
      <c r="AH28" s="38">
        <v>15.095000000000001</v>
      </c>
      <c r="AI28" s="38">
        <v>0</v>
      </c>
      <c r="AJ28" s="45"/>
      <c r="AK28" s="11">
        <f t="shared" si="8"/>
        <v>35.965000000000003</v>
      </c>
      <c r="AL28" s="11">
        <f t="shared" si="9"/>
        <v>6.5</v>
      </c>
      <c r="AM28" s="11">
        <f t="shared" si="10"/>
        <v>28.794999999999998</v>
      </c>
      <c r="AN28" s="11" t="str">
        <f t="shared" si="11"/>
        <v/>
      </c>
      <c r="AO28" s="11" t="str">
        <f t="shared" si="12"/>
        <v/>
      </c>
      <c r="AP28" s="11">
        <f t="shared" si="13"/>
        <v>64.760000000000005</v>
      </c>
      <c r="AQ28" s="11">
        <f t="shared" si="14"/>
        <v>9.8000000000000007</v>
      </c>
      <c r="AR28" s="11">
        <f t="shared" si="15"/>
        <v>46.995000000000005</v>
      </c>
      <c r="AS28" s="11">
        <f t="shared" si="16"/>
        <v>111.75500000000001</v>
      </c>
      <c r="AT28" s="42">
        <v>12.9</v>
      </c>
      <c r="AU28" s="42">
        <v>8.8000000000000007</v>
      </c>
      <c r="AV28" s="42">
        <v>2.2999999999999998</v>
      </c>
      <c r="AW28" s="42">
        <v>15.23</v>
      </c>
      <c r="AX28" s="42">
        <v>0</v>
      </c>
      <c r="AY28" s="42">
        <v>1.3</v>
      </c>
      <c r="AZ28" s="42">
        <v>1</v>
      </c>
      <c r="BA28" s="42">
        <v>1.3</v>
      </c>
      <c r="BB28" s="42">
        <v>1.63</v>
      </c>
      <c r="BC28" s="42">
        <v>0</v>
      </c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>
        <f t="shared" si="17"/>
        <v>39.230000000000004</v>
      </c>
      <c r="BP28" s="14">
        <f t="shared" si="18"/>
        <v>1.3</v>
      </c>
      <c r="BQ28" s="14">
        <f t="shared" si="19"/>
        <v>5.2299999999999995</v>
      </c>
      <c r="BR28" s="14" t="str">
        <f t="shared" si="20"/>
        <v/>
      </c>
      <c r="BS28" s="14" t="str">
        <f t="shared" si="21"/>
        <v/>
      </c>
      <c r="BT28" s="14">
        <f t="shared" si="22"/>
        <v>44.46</v>
      </c>
      <c r="BU28" s="14" t="str">
        <f t="shared" si="23"/>
        <v/>
      </c>
      <c r="BV28" s="14" t="str">
        <f t="shared" si="24"/>
        <v/>
      </c>
      <c r="BW28" s="14">
        <f t="shared" si="25"/>
        <v>44.46</v>
      </c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45"/>
      <c r="CS28" s="11" t="str">
        <f t="shared" si="26"/>
        <v/>
      </c>
      <c r="CT28" s="11" t="str">
        <f t="shared" si="27"/>
        <v/>
      </c>
      <c r="CU28" s="11" t="str">
        <f t="shared" si="28"/>
        <v/>
      </c>
      <c r="CV28" s="11" t="str">
        <f t="shared" si="29"/>
        <v/>
      </c>
      <c r="CW28" s="11" t="str">
        <f t="shared" si="30"/>
        <v/>
      </c>
      <c r="CX28" s="11" t="str">
        <f t="shared" si="31"/>
        <v/>
      </c>
      <c r="CY28" s="11" t="str">
        <f t="shared" si="32"/>
        <v/>
      </c>
      <c r="CZ28" s="11" t="str">
        <f t="shared" si="33"/>
        <v/>
      </c>
      <c r="DA28" s="11" t="str">
        <f t="shared" si="34"/>
        <v/>
      </c>
      <c r="DB28" s="19" t="str">
        <f t="shared" si="35"/>
        <v/>
      </c>
      <c r="DC28" s="19" t="str">
        <f t="shared" si="36"/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 t="shared" si="37"/>
        <v/>
      </c>
      <c r="DT28" s="11" t="str">
        <f t="shared" si="38"/>
        <v/>
      </c>
      <c r="DU28" s="11" t="str">
        <f t="shared" si="39"/>
        <v/>
      </c>
      <c r="DV28" s="11" t="str">
        <f t="shared" si="40"/>
        <v/>
      </c>
      <c r="DW28" s="11" t="str">
        <f t="shared" si="41"/>
        <v/>
      </c>
      <c r="DX28" s="11" t="str">
        <f t="shared" si="42"/>
        <v/>
      </c>
      <c r="DY28" s="11" t="str">
        <f t="shared" si="43"/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 t="shared" si="44"/>
        <v/>
      </c>
      <c r="EP28" s="14" t="str">
        <f t="shared" si="45"/>
        <v/>
      </c>
      <c r="EQ28" s="14" t="str">
        <f t="shared" si="46"/>
        <v/>
      </c>
      <c r="ER28" s="14" t="str">
        <f t="shared" si="47"/>
        <v/>
      </c>
      <c r="ES28" s="14" t="str">
        <f t="shared" si="48"/>
        <v/>
      </c>
      <c r="ET28" s="14" t="str">
        <f t="shared" si="49"/>
        <v/>
      </c>
      <c r="EU28" s="14" t="str">
        <f t="shared" si="50"/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 t="shared" si="51"/>
        <v/>
      </c>
      <c r="FL28" s="11" t="str">
        <f t="shared" si="52"/>
        <v/>
      </c>
      <c r="FM28" s="11" t="str">
        <f t="shared" si="53"/>
        <v/>
      </c>
      <c r="FN28" s="11" t="str">
        <f t="shared" si="54"/>
        <v/>
      </c>
      <c r="FO28" s="11" t="str">
        <f t="shared" si="55"/>
        <v/>
      </c>
      <c r="FP28" s="11" t="str">
        <f t="shared" si="56"/>
        <v/>
      </c>
      <c r="FQ28" s="11" t="str">
        <f t="shared" si="57"/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 t="shared" si="58"/>
        <v/>
      </c>
      <c r="GH28" s="14" t="str">
        <f t="shared" si="59"/>
        <v/>
      </c>
      <c r="GI28" s="14" t="str">
        <f t="shared" si="60"/>
        <v/>
      </c>
      <c r="GJ28" s="14" t="str">
        <f t="shared" si="61"/>
        <v/>
      </c>
      <c r="GK28" s="14" t="str">
        <f t="shared" si="62"/>
        <v/>
      </c>
      <c r="GL28" s="14" t="str">
        <f t="shared" si="63"/>
        <v/>
      </c>
      <c r="GM28" s="14" t="str">
        <f t="shared" si="64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 t="shared" si="65"/>
        <v/>
      </c>
      <c r="HD28" s="11" t="str">
        <f t="shared" si="66"/>
        <v/>
      </c>
      <c r="HE28" s="11" t="str">
        <f t="shared" si="67"/>
        <v/>
      </c>
      <c r="HF28" s="11" t="str">
        <f t="shared" si="68"/>
        <v/>
      </c>
      <c r="HG28" s="11" t="str">
        <f t="shared" si="69"/>
        <v/>
      </c>
      <c r="HH28" s="11" t="str">
        <f t="shared" si="70"/>
        <v/>
      </c>
      <c r="HI28" s="11" t="str">
        <f t="shared" si="71"/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 t="shared" si="72"/>
        <v/>
      </c>
      <c r="HZ28" s="14" t="str">
        <f t="shared" si="73"/>
        <v/>
      </c>
      <c r="IA28" s="14" t="str">
        <f t="shared" si="74"/>
        <v/>
      </c>
      <c r="IB28" s="14" t="str">
        <f t="shared" si="75"/>
        <v/>
      </c>
      <c r="IC28" s="14" t="str">
        <f t="shared" si="76"/>
        <v/>
      </c>
      <c r="ID28" s="14" t="str">
        <f t="shared" si="77"/>
        <v/>
      </c>
      <c r="IE28" s="14" t="str">
        <f t="shared" si="78"/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 t="shared" si="79"/>
        <v/>
      </c>
      <c r="IV28" s="11" t="str">
        <f t="shared" si="80"/>
        <v/>
      </c>
      <c r="IW28" s="11" t="str">
        <f t="shared" si="81"/>
        <v/>
      </c>
      <c r="IX28" s="11" t="str">
        <f t="shared" si="82"/>
        <v/>
      </c>
      <c r="IY28" s="11" t="str">
        <f t="shared" si="83"/>
        <v/>
      </c>
      <c r="IZ28" s="11" t="str">
        <f t="shared" si="84"/>
        <v/>
      </c>
      <c r="JA28" s="11" t="str">
        <f t="shared" si="85"/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 t="shared" si="86"/>
        <v/>
      </c>
      <c r="JR28" s="14" t="str">
        <f t="shared" si="87"/>
        <v/>
      </c>
      <c r="JS28" s="14" t="str">
        <f t="shared" si="88"/>
        <v/>
      </c>
      <c r="JT28" s="14" t="str">
        <f t="shared" si="89"/>
        <v/>
      </c>
      <c r="JU28" s="14" t="str">
        <f t="shared" si="90"/>
        <v/>
      </c>
      <c r="JV28" s="14" t="str">
        <f t="shared" si="91"/>
        <v/>
      </c>
      <c r="JW28" s="14" t="str">
        <f t="shared" si="92"/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 t="shared" si="93"/>
        <v/>
      </c>
      <c r="KN28" s="11" t="str">
        <f t="shared" si="94"/>
        <v/>
      </c>
      <c r="KO28" s="11" t="str">
        <f t="shared" si="95"/>
        <v/>
      </c>
      <c r="KP28" s="11" t="str">
        <f t="shared" si="96"/>
        <v/>
      </c>
      <c r="KQ28" s="11" t="str">
        <f t="shared" si="97"/>
        <v/>
      </c>
      <c r="KR28" s="11" t="str">
        <f t="shared" si="98"/>
        <v/>
      </c>
      <c r="KS28" s="11" t="str">
        <f t="shared" si="99"/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 t="shared" si="100"/>
        <v/>
      </c>
      <c r="LJ28" s="14" t="str">
        <f t="shared" si="101"/>
        <v/>
      </c>
      <c r="LK28" s="14" t="str">
        <f t="shared" si="102"/>
        <v/>
      </c>
      <c r="LL28" s="14" t="str">
        <f t="shared" si="103"/>
        <v/>
      </c>
      <c r="LM28" s="14" t="str">
        <f t="shared" si="104"/>
        <v/>
      </c>
      <c r="LN28" s="14" t="str">
        <f t="shared" si="105"/>
        <v/>
      </c>
      <c r="LO28" s="14" t="str">
        <f t="shared" si="106"/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 t="shared" si="107"/>
        <v/>
      </c>
      <c r="MF28" s="11" t="str">
        <f t="shared" si="108"/>
        <v/>
      </c>
      <c r="MG28" s="11" t="str">
        <f t="shared" si="109"/>
        <v/>
      </c>
      <c r="MH28" s="11" t="str">
        <f t="shared" si="110"/>
        <v/>
      </c>
      <c r="MI28" s="11" t="str">
        <f t="shared" si="111"/>
        <v/>
      </c>
      <c r="MJ28" s="11" t="str">
        <f t="shared" si="112"/>
        <v/>
      </c>
      <c r="MK28" s="11" t="str">
        <f t="shared" si="113"/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 t="shared" si="114"/>
        <v/>
      </c>
      <c r="NB28" s="14" t="str">
        <f t="shared" si="115"/>
        <v/>
      </c>
      <c r="NC28" s="14" t="str">
        <f t="shared" si="116"/>
        <v/>
      </c>
      <c r="ND28" s="14" t="str">
        <f t="shared" si="117"/>
        <v/>
      </c>
      <c r="NE28" s="14" t="str">
        <f t="shared" si="118"/>
        <v/>
      </c>
      <c r="NF28" s="14" t="str">
        <f t="shared" si="119"/>
        <v/>
      </c>
      <c r="NG28" s="14" t="str">
        <f t="shared" si="120"/>
        <v/>
      </c>
      <c r="NH28" s="38">
        <f t="shared" si="121"/>
        <v>6.45</v>
      </c>
      <c r="NI28" s="38">
        <f t="shared" si="122"/>
        <v>4.4000000000000004</v>
      </c>
      <c r="NJ28" s="38">
        <f t="shared" si="123"/>
        <v>1.1499999999999999</v>
      </c>
      <c r="NK28" s="38">
        <f t="shared" si="124"/>
        <v>7.6150000000000002</v>
      </c>
      <c r="NL28" s="38">
        <f t="shared" si="125"/>
        <v>0</v>
      </c>
      <c r="NM28" s="38">
        <f t="shared" si="126"/>
        <v>0.65</v>
      </c>
      <c r="NN28" s="38">
        <f t="shared" si="127"/>
        <v>0.5</v>
      </c>
      <c r="NO28" s="38">
        <f t="shared" si="128"/>
        <v>0.65</v>
      </c>
      <c r="NP28" s="38">
        <f t="shared" si="129"/>
        <v>0.81499999999999995</v>
      </c>
      <c r="NQ28" s="38">
        <f t="shared" si="130"/>
        <v>0</v>
      </c>
      <c r="NR28" s="38">
        <f t="shared" si="131"/>
        <v>0</v>
      </c>
      <c r="NS28" s="38">
        <f t="shared" si="132"/>
        <v>0</v>
      </c>
      <c r="NT28" s="38">
        <f t="shared" si="133"/>
        <v>0</v>
      </c>
      <c r="NU28" s="38">
        <f t="shared" si="134"/>
        <v>0</v>
      </c>
      <c r="NV28" s="38">
        <f t="shared" si="135"/>
        <v>0</v>
      </c>
      <c r="NW28" s="38">
        <f t="shared" si="136"/>
        <v>0</v>
      </c>
      <c r="NX28" s="38">
        <f t="shared" si="137"/>
        <v>0</v>
      </c>
      <c r="NY28" s="38">
        <f t="shared" si="138"/>
        <v>0</v>
      </c>
      <c r="NZ28" s="38">
        <f t="shared" si="139"/>
        <v>0</v>
      </c>
      <c r="OA28" s="38">
        <f t="shared" si="140"/>
        <v>0</v>
      </c>
      <c r="OB28" s="45" t="s">
        <v>46</v>
      </c>
      <c r="OC28" s="11">
        <f t="shared" si="141"/>
        <v>19.615000000000002</v>
      </c>
      <c r="OD28" s="11">
        <f t="shared" si="142"/>
        <v>0.65</v>
      </c>
      <c r="OE28" s="11">
        <f t="shared" si="143"/>
        <v>2.6149999999999998</v>
      </c>
      <c r="OF28" s="11" t="str">
        <f t="shared" si="144"/>
        <v/>
      </c>
      <c r="OG28" s="11" t="str">
        <f t="shared" si="145"/>
        <v/>
      </c>
      <c r="OH28" s="11">
        <f t="shared" si="146"/>
        <v>22.23</v>
      </c>
      <c r="OI28" s="11" t="str">
        <f t="shared" si="147"/>
        <v/>
      </c>
      <c r="OJ28" s="11" t="str">
        <f t="shared" ref="OJ28" si="184">IF(SUM(NW28:NZ28)-OA28&gt;0,SUM(NW28:NZ28)-OA28,"")</f>
        <v/>
      </c>
      <c r="OK28" s="11">
        <f t="shared" ref="OK28" si="185">IF(SUM(OH28,OJ28)&gt;0,SUM(OH28,OJ28),"")</f>
        <v>22.23</v>
      </c>
    </row>
    <row r="29" spans="1:401" x14ac:dyDescent="0.2">
      <c r="A29" s="5" t="str" cm="1">
        <f t="array" ref="A29">IF(AND(F29="P",G29="P"),SUMPRODUCT((F$4:F$32="P")*(G$4:G$32="P")*(E$4:E$32&gt;E29))+1,IF(G29="P",SUMPRODUCT((F$4:F$32="")*(G$4:G$32="P")*(E$4:E$32&gt;E29))+1+SUMPRODUCT((F$4:F$32="P")*(G$4:G$32="P")),""))</f>
        <v/>
      </c>
      <c r="B29" s="6" t="s">
        <v>159</v>
      </c>
      <c r="C29" s="7" t="s">
        <v>6</v>
      </c>
      <c r="D29" s="5">
        <v>2001</v>
      </c>
      <c r="E29" s="15">
        <f t="shared" si="0"/>
        <v>53.480004793000006</v>
      </c>
      <c r="F29" s="3" t="str">
        <f t="shared" si="1"/>
        <v/>
      </c>
      <c r="G29" s="3" t="str">
        <f t="shared" si="2"/>
        <v/>
      </c>
      <c r="H29" s="67" t="str">
        <f t="shared" si="3"/>
        <v/>
      </c>
      <c r="I29" s="14">
        <f t="shared" si="4"/>
        <v>47.93</v>
      </c>
      <c r="J29" s="14" t="str">
        <f t="shared" si="5"/>
        <v>2022 Elite Canada</v>
      </c>
      <c r="K29" s="14">
        <f>IF(COUNT(AM29,AO29,AR29,BQ29,BS29,BV29,CU29,CW29,CZ29)&gt;1,LARGE((AM29,AO29,AR29,BQ29,BS29,BV29,CU29,CW29,CZ29),2),0)</f>
        <v>5.5500000000000007</v>
      </c>
      <c r="L29" s="14" t="str">
        <f t="shared" si="6"/>
        <v>2022 Elite Canada</v>
      </c>
      <c r="M29" s="14" t="str">
        <f t="shared" si="7"/>
        <v/>
      </c>
      <c r="N29" s="20" t="str">
        <f>IF(M29="","",IF(M29=#REF!,"(Vol 1)",IF(M29=DB29,"(Vol 2)",IF(M29=#REF!,"(Prelim)",IF(M29=DC29,"(Final)")))))</f>
        <v/>
      </c>
      <c r="O29" s="14" t="str">
        <f>IF(M29="","",IF(M29=#REF!,IF(M29+IF(#REF!="",0,#REF!)=NB29,$ML$1,IF(M29+IF(#REF!="",0,#REF!)=MF29,$LP$1,IF(M29+IF(#REF!="",0,#REF!)=LJ29,$KT$1,IF(M29+IF(#REF!="",0,#REF!)=KN29,$JX$1,IF(M29+IF(#REF!="",0,#REF!)=JR29,$JB$1,IF(M29+IF(#REF!="",0,#REF!)=IV29,$IF$1,IF(M29+IF(#REF!="",0,#REF!)=HZ29,$HJ$1,IF(M29+IF(#REF!="",0,#REF!)=HD29,$GN$1,IF(M29+IF(#REF!="",0,#REF!)=GH29,$FR$1,IF(M29+IF(#REF!="",0,#REF!)=FL29,$EV$1,IF(M29+IF(#REF!="",0,#REF!)=EP29,$DZ$1,IF(M29+IF(#REF!="",0,#REF!)=DT29,$DD$1)))))))))))),IF(M29=DB29,IF(M29+IF(I29="",0,I29)=NC29,$ML$1,IF(M29+IF(I29="",0,I29)=MG29,$LP$1,IF(M29+IF(I29="",0,I29)=LK29,$KT$1,IF(M29+IF(I29="",0,I29)=KO29,$JX$1,IF(M29+IF(I29="",0,I29)=JS29,$JB$1,IF(M29+IF(I29="",0,I29)=IW29,$IF$1,IF(M29+IF(I29="",0,I29)=IA29,$HJ$1,IF(M29+IF(I29="",0,I29)=HE29,$GN$1,IF(M29+IF(I29="",0,I29)=GI29,$FR$1,IF(M29+IF(I29="",0,I29)=FM29,$EV$1,IF(M29+IF(I29="",0,I29)=EQ29,$DZ$1,IF(M29+IF(I29="",0,I29)=DU29,$DD$1)))))))))))),IF(M29=#REF!,IF(M29+IF(#REF!="",0,#REF!)=ND29,$ML$1,IF(M29+IF(#REF!="",0,#REF!)=MH29,$LP$1,IF(M29+IF(#REF!="",0,#REF!)=LL29,$KT$1,IF(M29+IF(#REF!="",0,#REF!)=KP29,$JX$1,IF(M29+IF(#REF!="",0,#REF!)=JT29,$JB$1,IF(M29+IF(#REF!="",0,#REF!)=IX29,$IF$1,IF(M29+IF(#REF!="",0,#REF!)=IB29,$HJ$1,IF(M29+IF(#REF!="",0,#REF!)=HF29,$GN$1,IF(M29+IF(#REF!="",0,#REF!)=GJ29,$FR$1,IF(M29+IF(#REF!="",0,#REF!)=FN29,$EV$1,IF(M29+IF(#REF!="",0,#REF!)=ER29,$DZ$1,IF(M29+IF(#REF!="",0,#REF!)=DV29,$DD$1)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))</f>
        <v/>
      </c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45"/>
      <c r="AK29" s="11" t="str">
        <f t="shared" si="8"/>
        <v/>
      </c>
      <c r="AL29" s="11" t="str">
        <f t="shared" si="9"/>
        <v/>
      </c>
      <c r="AM29" s="11" t="str">
        <f t="shared" si="10"/>
        <v/>
      </c>
      <c r="AN29" s="11" t="str">
        <f t="shared" si="11"/>
        <v/>
      </c>
      <c r="AO29" s="11" t="str">
        <f t="shared" si="12"/>
        <v/>
      </c>
      <c r="AP29" s="11" t="str">
        <f t="shared" si="13"/>
        <v/>
      </c>
      <c r="AQ29" s="11" t="str">
        <f t="shared" si="14"/>
        <v/>
      </c>
      <c r="AR29" s="11" t="str">
        <f t="shared" si="15"/>
        <v/>
      </c>
      <c r="AS29" s="11" t="str">
        <f t="shared" si="16"/>
        <v/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6"/>
      <c r="BO29" s="14" t="str">
        <f t="shared" si="17"/>
        <v/>
      </c>
      <c r="BP29" s="14" t="str">
        <f t="shared" si="18"/>
        <v/>
      </c>
      <c r="BQ29" s="14" t="str">
        <f t="shared" si="19"/>
        <v/>
      </c>
      <c r="BR29" s="14" t="str">
        <f t="shared" si="20"/>
        <v/>
      </c>
      <c r="BS29" s="14" t="str">
        <f t="shared" si="21"/>
        <v/>
      </c>
      <c r="BT29" s="14" t="str">
        <f t="shared" si="22"/>
        <v/>
      </c>
      <c r="BU29" s="14" t="str">
        <f t="shared" si="23"/>
        <v/>
      </c>
      <c r="BV29" s="14" t="str">
        <f t="shared" si="24"/>
        <v/>
      </c>
      <c r="BW29" s="14" t="str">
        <f t="shared" si="25"/>
        <v/>
      </c>
      <c r="BX29" s="38">
        <v>14.3</v>
      </c>
      <c r="BY29" s="38">
        <v>8.4</v>
      </c>
      <c r="BZ29" s="38">
        <v>1</v>
      </c>
      <c r="CA29" s="38">
        <v>13.88</v>
      </c>
      <c r="CB29" s="38">
        <v>0</v>
      </c>
      <c r="CC29" s="38">
        <v>14.5</v>
      </c>
      <c r="CD29" s="38">
        <v>9.1999999999999993</v>
      </c>
      <c r="CE29" s="38">
        <v>9.1</v>
      </c>
      <c r="CF29" s="38">
        <v>15.13</v>
      </c>
      <c r="CG29" s="38">
        <v>0</v>
      </c>
      <c r="CH29" s="38"/>
      <c r="CI29" s="38"/>
      <c r="CJ29" s="38"/>
      <c r="CK29" s="38"/>
      <c r="CL29" s="38"/>
      <c r="CM29" s="38">
        <v>1.6</v>
      </c>
      <c r="CN29" s="38">
        <v>1</v>
      </c>
      <c r="CO29" s="38">
        <v>1.3</v>
      </c>
      <c r="CP29" s="38">
        <v>1.65</v>
      </c>
      <c r="CQ29" s="38">
        <v>0</v>
      </c>
      <c r="CR29" s="45"/>
      <c r="CS29" s="11">
        <f t="shared" si="26"/>
        <v>37.580000000000005</v>
      </c>
      <c r="CT29" s="11">
        <f t="shared" si="27"/>
        <v>9.1</v>
      </c>
      <c r="CU29" s="11">
        <f t="shared" si="28"/>
        <v>47.93</v>
      </c>
      <c r="CV29" s="11" t="str">
        <f t="shared" si="29"/>
        <v/>
      </c>
      <c r="CW29" s="11" t="str">
        <f t="shared" si="30"/>
        <v/>
      </c>
      <c r="CX29" s="11">
        <f t="shared" si="31"/>
        <v>85.51</v>
      </c>
      <c r="CY29" s="11">
        <f t="shared" si="32"/>
        <v>1.3</v>
      </c>
      <c r="CZ29" s="11">
        <f t="shared" si="33"/>
        <v>5.5500000000000007</v>
      </c>
      <c r="DA29" s="11">
        <f t="shared" si="34"/>
        <v>91.06</v>
      </c>
      <c r="DB29" s="19" t="str">
        <f t="shared" si="35"/>
        <v/>
      </c>
      <c r="DC29" s="19" t="str">
        <f t="shared" si="36"/>
        <v/>
      </c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11" t="str">
        <f t="shared" si="37"/>
        <v/>
      </c>
      <c r="DT29" s="11" t="str">
        <f t="shared" si="38"/>
        <v/>
      </c>
      <c r="DU29" s="11" t="str">
        <f t="shared" si="39"/>
        <v/>
      </c>
      <c r="DV29" s="11" t="str">
        <f t="shared" si="40"/>
        <v/>
      </c>
      <c r="DW29" s="11" t="str">
        <f t="shared" si="41"/>
        <v/>
      </c>
      <c r="DX29" s="11" t="str">
        <f t="shared" si="42"/>
        <v/>
      </c>
      <c r="DY29" s="11" t="str">
        <f t="shared" si="43"/>
        <v/>
      </c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14" t="str">
        <f t="shared" si="44"/>
        <v/>
      </c>
      <c r="EP29" s="14" t="str">
        <f t="shared" si="45"/>
        <v/>
      </c>
      <c r="EQ29" s="14" t="str">
        <f t="shared" si="46"/>
        <v/>
      </c>
      <c r="ER29" s="14" t="str">
        <f t="shared" si="47"/>
        <v/>
      </c>
      <c r="ES29" s="14" t="str">
        <f t="shared" si="48"/>
        <v/>
      </c>
      <c r="ET29" s="14" t="str">
        <f t="shared" si="49"/>
        <v/>
      </c>
      <c r="EU29" s="14" t="str">
        <f t="shared" si="50"/>
        <v/>
      </c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11" t="str">
        <f t="shared" si="51"/>
        <v/>
      </c>
      <c r="FL29" s="11" t="str">
        <f t="shared" si="52"/>
        <v/>
      </c>
      <c r="FM29" s="11" t="str">
        <f t="shared" si="53"/>
        <v/>
      </c>
      <c r="FN29" s="11" t="str">
        <f t="shared" si="54"/>
        <v/>
      </c>
      <c r="FO29" s="11" t="str">
        <f t="shared" si="55"/>
        <v/>
      </c>
      <c r="FP29" s="11" t="str">
        <f t="shared" si="56"/>
        <v/>
      </c>
      <c r="FQ29" s="11" t="str">
        <f t="shared" si="57"/>
        <v/>
      </c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14" t="str">
        <f t="shared" si="58"/>
        <v/>
      </c>
      <c r="GH29" s="14" t="str">
        <f t="shared" si="59"/>
        <v/>
      </c>
      <c r="GI29" s="14" t="str">
        <f t="shared" si="60"/>
        <v/>
      </c>
      <c r="GJ29" s="14" t="str">
        <f t="shared" si="61"/>
        <v/>
      </c>
      <c r="GK29" s="14" t="str">
        <f t="shared" si="62"/>
        <v/>
      </c>
      <c r="GL29" s="14" t="str">
        <f t="shared" si="63"/>
        <v/>
      </c>
      <c r="GM29" s="14" t="str">
        <f t="shared" si="64"/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11" t="str">
        <f t="shared" si="65"/>
        <v/>
      </c>
      <c r="HD29" s="11" t="str">
        <f t="shared" si="66"/>
        <v/>
      </c>
      <c r="HE29" s="11" t="str">
        <f t="shared" si="67"/>
        <v/>
      </c>
      <c r="HF29" s="11" t="str">
        <f t="shared" si="68"/>
        <v/>
      </c>
      <c r="HG29" s="11" t="str">
        <f t="shared" si="69"/>
        <v/>
      </c>
      <c r="HH29" s="11" t="str">
        <f t="shared" si="70"/>
        <v/>
      </c>
      <c r="HI29" s="11" t="str">
        <f t="shared" si="71"/>
        <v/>
      </c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14" t="str">
        <f t="shared" si="72"/>
        <v/>
      </c>
      <c r="HZ29" s="14" t="str">
        <f t="shared" si="73"/>
        <v/>
      </c>
      <c r="IA29" s="14" t="str">
        <f t="shared" si="74"/>
        <v/>
      </c>
      <c r="IB29" s="14" t="str">
        <f t="shared" si="75"/>
        <v/>
      </c>
      <c r="IC29" s="14" t="str">
        <f t="shared" si="76"/>
        <v/>
      </c>
      <c r="ID29" s="14" t="str">
        <f t="shared" si="77"/>
        <v/>
      </c>
      <c r="IE29" s="14" t="str">
        <f t="shared" si="78"/>
        <v/>
      </c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11" t="str">
        <f t="shared" si="79"/>
        <v/>
      </c>
      <c r="IV29" s="11" t="str">
        <f t="shared" si="80"/>
        <v/>
      </c>
      <c r="IW29" s="11" t="str">
        <f t="shared" si="81"/>
        <v/>
      </c>
      <c r="IX29" s="11" t="str">
        <f t="shared" si="82"/>
        <v/>
      </c>
      <c r="IY29" s="11" t="str">
        <f t="shared" si="83"/>
        <v/>
      </c>
      <c r="IZ29" s="11" t="str">
        <f t="shared" si="84"/>
        <v/>
      </c>
      <c r="JA29" s="11" t="str">
        <f t="shared" si="85"/>
        <v/>
      </c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14" t="str">
        <f t="shared" si="86"/>
        <v/>
      </c>
      <c r="JR29" s="14" t="str">
        <f t="shared" si="87"/>
        <v/>
      </c>
      <c r="JS29" s="14" t="str">
        <f t="shared" si="88"/>
        <v/>
      </c>
      <c r="JT29" s="14" t="str">
        <f t="shared" si="89"/>
        <v/>
      </c>
      <c r="JU29" s="14" t="str">
        <f t="shared" si="90"/>
        <v/>
      </c>
      <c r="JV29" s="14" t="str">
        <f t="shared" si="91"/>
        <v/>
      </c>
      <c r="JW29" s="14" t="str">
        <f t="shared" si="92"/>
        <v/>
      </c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11" t="str">
        <f t="shared" si="93"/>
        <v/>
      </c>
      <c r="KN29" s="11" t="str">
        <f t="shared" si="94"/>
        <v/>
      </c>
      <c r="KO29" s="11" t="str">
        <f t="shared" si="95"/>
        <v/>
      </c>
      <c r="KP29" s="11" t="str">
        <f t="shared" si="96"/>
        <v/>
      </c>
      <c r="KQ29" s="11" t="str">
        <f t="shared" si="97"/>
        <v/>
      </c>
      <c r="KR29" s="11" t="str">
        <f t="shared" si="98"/>
        <v/>
      </c>
      <c r="KS29" s="11" t="str">
        <f t="shared" si="99"/>
        <v/>
      </c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14" t="str">
        <f t="shared" si="100"/>
        <v/>
      </c>
      <c r="LJ29" s="14" t="str">
        <f t="shared" si="101"/>
        <v/>
      </c>
      <c r="LK29" s="14" t="str">
        <f t="shared" si="102"/>
        <v/>
      </c>
      <c r="LL29" s="14" t="str">
        <f t="shared" si="103"/>
        <v/>
      </c>
      <c r="LM29" s="14" t="str">
        <f t="shared" si="104"/>
        <v/>
      </c>
      <c r="LN29" s="14" t="str">
        <f t="shared" si="105"/>
        <v/>
      </c>
      <c r="LO29" s="14" t="str">
        <f t="shared" si="106"/>
        <v/>
      </c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11" t="str">
        <f t="shared" si="107"/>
        <v/>
      </c>
      <c r="MF29" s="11" t="str">
        <f t="shared" si="108"/>
        <v/>
      </c>
      <c r="MG29" s="11" t="str">
        <f t="shared" si="109"/>
        <v/>
      </c>
      <c r="MH29" s="11" t="str">
        <f t="shared" si="110"/>
        <v/>
      </c>
      <c r="MI29" s="11" t="str">
        <f t="shared" si="111"/>
        <v/>
      </c>
      <c r="MJ29" s="11" t="str">
        <f t="shared" si="112"/>
        <v/>
      </c>
      <c r="MK29" s="11" t="str">
        <f t="shared" si="113"/>
        <v/>
      </c>
      <c r="ML29" s="26"/>
      <c r="MM29" s="26"/>
      <c r="MN29" s="26"/>
      <c r="MO29" s="26"/>
      <c r="MP29" s="26"/>
      <c r="MQ29" s="26"/>
      <c r="MR29" s="26"/>
      <c r="MS29" s="26"/>
      <c r="MT29" s="26"/>
      <c r="MU29" s="26"/>
      <c r="MV29" s="26"/>
      <c r="MW29" s="26"/>
      <c r="MX29" s="26"/>
      <c r="MY29" s="26"/>
      <c r="MZ29" s="26"/>
      <c r="NA29" s="14" t="str">
        <f t="shared" si="114"/>
        <v/>
      </c>
      <c r="NB29" s="14" t="str">
        <f t="shared" si="115"/>
        <v/>
      </c>
      <c r="NC29" s="14" t="str">
        <f t="shared" si="116"/>
        <v/>
      </c>
      <c r="ND29" s="14" t="str">
        <f t="shared" si="117"/>
        <v/>
      </c>
      <c r="NE29" s="14" t="str">
        <f t="shared" si="118"/>
        <v/>
      </c>
      <c r="NF29" s="14" t="str">
        <f t="shared" si="119"/>
        <v/>
      </c>
      <c r="NG29" s="14" t="str">
        <f t="shared" si="120"/>
        <v/>
      </c>
      <c r="NH29" s="38">
        <f t="shared" si="121"/>
        <v>7.15</v>
      </c>
      <c r="NI29" s="38">
        <f t="shared" si="122"/>
        <v>4.2</v>
      </c>
      <c r="NJ29" s="38">
        <f t="shared" si="123"/>
        <v>0.5</v>
      </c>
      <c r="NK29" s="38">
        <f t="shared" si="124"/>
        <v>6.94</v>
      </c>
      <c r="NL29" s="38">
        <f t="shared" si="125"/>
        <v>0</v>
      </c>
      <c r="NM29" s="38">
        <f t="shared" si="126"/>
        <v>7.25</v>
      </c>
      <c r="NN29" s="38">
        <f t="shared" si="127"/>
        <v>4.5999999999999996</v>
      </c>
      <c r="NO29" s="38">
        <f t="shared" si="128"/>
        <v>4.55</v>
      </c>
      <c r="NP29" s="38">
        <f t="shared" si="129"/>
        <v>7.5650000000000004</v>
      </c>
      <c r="NQ29" s="38">
        <f t="shared" si="130"/>
        <v>0</v>
      </c>
      <c r="NR29" s="38">
        <f t="shared" si="131"/>
        <v>0</v>
      </c>
      <c r="NS29" s="38">
        <f t="shared" si="132"/>
        <v>0</v>
      </c>
      <c r="NT29" s="38">
        <f t="shared" si="133"/>
        <v>0</v>
      </c>
      <c r="NU29" s="38">
        <f t="shared" si="134"/>
        <v>0</v>
      </c>
      <c r="NV29" s="38">
        <f t="shared" si="135"/>
        <v>0</v>
      </c>
      <c r="NW29" s="38">
        <f t="shared" si="136"/>
        <v>0.8</v>
      </c>
      <c r="NX29" s="38">
        <f t="shared" si="137"/>
        <v>0.5</v>
      </c>
      <c r="NY29" s="38">
        <f t="shared" si="138"/>
        <v>0.65</v>
      </c>
      <c r="NZ29" s="38">
        <f t="shared" si="139"/>
        <v>0.82499999999999996</v>
      </c>
      <c r="OA29" s="38">
        <f t="shared" si="140"/>
        <v>0</v>
      </c>
      <c r="OB29" s="45" t="s">
        <v>46</v>
      </c>
      <c r="OC29" s="11">
        <f t="shared" si="141"/>
        <v>18.790000000000003</v>
      </c>
      <c r="OD29" s="11">
        <f t="shared" si="142"/>
        <v>4.55</v>
      </c>
      <c r="OE29" s="11">
        <f t="shared" si="143"/>
        <v>23.965</v>
      </c>
      <c r="OF29" s="11" t="str">
        <f t="shared" si="144"/>
        <v/>
      </c>
      <c r="OG29" s="11" t="str">
        <f t="shared" si="145"/>
        <v/>
      </c>
      <c r="OH29" s="11">
        <f t="shared" si="146"/>
        <v>42.755000000000003</v>
      </c>
      <c r="OI29" s="11">
        <f t="shared" si="147"/>
        <v>0.65</v>
      </c>
      <c r="OJ29" s="11">
        <f t="shared" ref="OJ29" si="186">IF(SUM(NW29:NZ29)-OA29&gt;0,SUM(NW29:NZ29)-OA29,"")</f>
        <v>2.7750000000000004</v>
      </c>
      <c r="OK29" s="11">
        <f t="shared" ref="OK29" si="187">IF(SUM(OH29,OJ29)&gt;0,SUM(OH29,OJ29),"")</f>
        <v>45.53</v>
      </c>
    </row>
    <row r="30" spans="1:401" x14ac:dyDescent="0.2">
      <c r="A30" s="5" t="str" cm="1">
        <f t="array" ref="A30">IF(AND(F30="P",G30="P"),SUMPRODUCT((F$4:F$32="P")*(G$4:G$32="P")*(E$4:E$32&gt;E30))+1,IF(G30="P",SUMPRODUCT((F$4:F$32="")*(G$4:G$32="P")*(E$4:E$32&gt;E30))+1+SUMPRODUCT((F$4:F$32="P")*(G$4:G$32="P")),""))</f>
        <v/>
      </c>
      <c r="B30" s="6" t="s">
        <v>157</v>
      </c>
      <c r="C30" s="7" t="s">
        <v>3</v>
      </c>
      <c r="D30" s="5">
        <v>2002</v>
      </c>
      <c r="E30" s="15">
        <f t="shared" si="0"/>
        <v>43.110004310999997</v>
      </c>
      <c r="F30" s="3" t="str">
        <f t="shared" si="1"/>
        <v/>
      </c>
      <c r="G30" s="3" t="str">
        <f t="shared" si="2"/>
        <v/>
      </c>
      <c r="H30" s="67" t="str">
        <f t="shared" si="3"/>
        <v/>
      </c>
      <c r="I30" s="14">
        <f t="shared" si="4"/>
        <v>43.11</v>
      </c>
      <c r="J30" s="14" t="str">
        <f t="shared" si="5"/>
        <v>2022 Elite Canada</v>
      </c>
      <c r="K30" s="14">
        <f>IF(COUNT(AM30,AO30,AR30,BQ30,BS30,BV30,CU30,CW30,CZ30)&gt;1,LARGE((AM30,AO30,AR30,BQ30,BS30,BV30,CU30,CW30,CZ30),2),0)</f>
        <v>0</v>
      </c>
      <c r="L30" s="14" t="str">
        <f t="shared" si="6"/>
        <v/>
      </c>
      <c r="M30" s="14" t="str">
        <f t="shared" si="7"/>
        <v/>
      </c>
      <c r="N30" s="20" t="str">
        <f>IF(M30="","",IF(M30=#REF!,"(Vol 1)",IF(M30=DB30,"(Vol 2)",IF(M30=#REF!,"(Prelim)",IF(M30=DC30,"(Final)")))))</f>
        <v/>
      </c>
      <c r="O30" s="14" t="str">
        <f>IF(M30="","",IF(M30=#REF!,IF(M30+IF(#REF!="",0,#REF!)=NB30,$ML$1,IF(M30+IF(#REF!="",0,#REF!)=MF30,$LP$1,IF(M30+IF(#REF!="",0,#REF!)=LJ30,$KT$1,IF(M30+IF(#REF!="",0,#REF!)=KN30,$JX$1,IF(M30+IF(#REF!="",0,#REF!)=JR30,$JB$1,IF(M30+IF(#REF!="",0,#REF!)=IV30,$IF$1,IF(M30+IF(#REF!="",0,#REF!)=HZ30,$HJ$1,IF(M30+IF(#REF!="",0,#REF!)=HD30,$GN$1,IF(M30+IF(#REF!="",0,#REF!)=GH30,$FR$1,IF(M30+IF(#REF!="",0,#REF!)=FL30,$EV$1,IF(M30+IF(#REF!="",0,#REF!)=EP30,$DZ$1,IF(M30+IF(#REF!="",0,#REF!)=DT30,$DD$1)))))))))))),IF(M30=DB30,IF(M30+IF(I30="",0,I30)=NC30,$ML$1,IF(M30+IF(I30="",0,I30)=MG30,$LP$1,IF(M30+IF(I30="",0,I30)=LK30,$KT$1,IF(M30+IF(I30="",0,I30)=KO30,$JX$1,IF(M30+IF(I30="",0,I30)=JS30,$JB$1,IF(M30+IF(I30="",0,I30)=IW30,$IF$1,IF(M30+IF(I30="",0,I30)=IA30,$HJ$1,IF(M30+IF(I30="",0,I30)=HE30,$GN$1,IF(M30+IF(I30="",0,I30)=GI30,$FR$1,IF(M30+IF(I30="",0,I30)=FM30,$EV$1,IF(M30+IF(I30="",0,I30)=EQ30,$DZ$1,IF(M30+IF(I30="",0,I30)=DU30,$DD$1)))))))))))),IF(M30=#REF!,IF(M30+IF(#REF!="",0,#REF!)=ND30,$ML$1,IF(M30+IF(#REF!="",0,#REF!)=MH30,$LP$1,IF(M30+IF(#REF!="",0,#REF!)=LL30,$KT$1,IF(M30+IF(#REF!="",0,#REF!)=KP30,$JX$1,IF(M30+IF(#REF!="",0,#REF!)=JT30,$JB$1,IF(M30+IF(#REF!="",0,#REF!)=IX30,$IF$1,IF(M30+IF(#REF!="",0,#REF!)=IB30,$HJ$1,IF(M30+IF(#REF!="",0,#REF!)=HF30,$GN$1,IF(M30+IF(#REF!="",0,#REF!)=GJ30,$FR$1,IF(M30+IF(#REF!="",0,#REF!)=FN30,$EV$1,IF(M30+IF(#REF!="",0,#REF!)=ER30,$DZ$1,IF(M30+IF(#REF!="",0,#REF!)=DV30,$DD$1)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))</f>
        <v/>
      </c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45"/>
      <c r="AK30" s="11" t="str">
        <f t="shared" si="8"/>
        <v/>
      </c>
      <c r="AL30" s="11" t="str">
        <f t="shared" si="9"/>
        <v/>
      </c>
      <c r="AM30" s="11" t="str">
        <f t="shared" si="10"/>
        <v/>
      </c>
      <c r="AN30" s="11" t="str">
        <f t="shared" si="11"/>
        <v/>
      </c>
      <c r="AO30" s="11" t="str">
        <f t="shared" si="12"/>
        <v/>
      </c>
      <c r="AP30" s="11" t="str">
        <f t="shared" si="13"/>
        <v/>
      </c>
      <c r="AQ30" s="11" t="str">
        <f t="shared" si="14"/>
        <v/>
      </c>
      <c r="AR30" s="11" t="str">
        <f t="shared" si="15"/>
        <v/>
      </c>
      <c r="AS30" s="11" t="str">
        <f t="shared" si="16"/>
        <v/>
      </c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6"/>
      <c r="BO30" s="14" t="str">
        <f t="shared" si="17"/>
        <v/>
      </c>
      <c r="BP30" s="14" t="str">
        <f t="shared" si="18"/>
        <v/>
      </c>
      <c r="BQ30" s="14" t="str">
        <f t="shared" si="19"/>
        <v/>
      </c>
      <c r="BR30" s="14" t="str">
        <f t="shared" si="20"/>
        <v/>
      </c>
      <c r="BS30" s="14" t="str">
        <f t="shared" si="21"/>
        <v/>
      </c>
      <c r="BT30" s="14" t="str">
        <f t="shared" si="22"/>
        <v/>
      </c>
      <c r="BU30" s="14" t="str">
        <f t="shared" si="23"/>
        <v/>
      </c>
      <c r="BV30" s="14" t="str">
        <f t="shared" si="24"/>
        <v/>
      </c>
      <c r="BW30" s="14" t="str">
        <f t="shared" si="25"/>
        <v/>
      </c>
      <c r="BX30" s="38">
        <v>15.1</v>
      </c>
      <c r="BY30" s="38">
        <v>9.5</v>
      </c>
      <c r="BZ30" s="38">
        <v>2.7</v>
      </c>
      <c r="CA30" s="38">
        <v>15.02</v>
      </c>
      <c r="CB30" s="38">
        <v>0</v>
      </c>
      <c r="CC30" s="38">
        <v>12.3</v>
      </c>
      <c r="CD30" s="38">
        <v>9.4</v>
      </c>
      <c r="CE30" s="38">
        <v>8</v>
      </c>
      <c r="CF30" s="38">
        <v>14.51</v>
      </c>
      <c r="CG30" s="38">
        <v>1.1000000000000001</v>
      </c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45"/>
      <c r="CS30" s="11">
        <f t="shared" si="26"/>
        <v>42.32</v>
      </c>
      <c r="CT30" s="11">
        <f t="shared" si="27"/>
        <v>8</v>
      </c>
      <c r="CU30" s="11">
        <f t="shared" si="28"/>
        <v>43.11</v>
      </c>
      <c r="CV30" s="11" t="str">
        <f t="shared" si="29"/>
        <v/>
      </c>
      <c r="CW30" s="11" t="str">
        <f t="shared" si="30"/>
        <v/>
      </c>
      <c r="CX30" s="11">
        <f t="shared" si="31"/>
        <v>85.43</v>
      </c>
      <c r="CY30" s="11" t="str">
        <f t="shared" si="32"/>
        <v/>
      </c>
      <c r="CZ30" s="11" t="str">
        <f t="shared" si="33"/>
        <v/>
      </c>
      <c r="DA30" s="11">
        <f t="shared" si="34"/>
        <v>85.43</v>
      </c>
      <c r="DB30" s="19" t="str">
        <f t="shared" si="35"/>
        <v/>
      </c>
      <c r="DC30" s="19" t="str">
        <f t="shared" si="36"/>
        <v/>
      </c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11" t="str">
        <f t="shared" si="37"/>
        <v/>
      </c>
      <c r="DT30" s="11" t="str">
        <f t="shared" si="38"/>
        <v/>
      </c>
      <c r="DU30" s="11" t="str">
        <f t="shared" si="39"/>
        <v/>
      </c>
      <c r="DV30" s="11" t="str">
        <f t="shared" si="40"/>
        <v/>
      </c>
      <c r="DW30" s="11" t="str">
        <f t="shared" si="41"/>
        <v/>
      </c>
      <c r="DX30" s="11" t="str">
        <f t="shared" si="42"/>
        <v/>
      </c>
      <c r="DY30" s="11" t="str">
        <f t="shared" si="43"/>
        <v/>
      </c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14" t="str">
        <f t="shared" si="44"/>
        <v/>
      </c>
      <c r="EP30" s="14" t="str">
        <f t="shared" si="45"/>
        <v/>
      </c>
      <c r="EQ30" s="14" t="str">
        <f t="shared" si="46"/>
        <v/>
      </c>
      <c r="ER30" s="14" t="str">
        <f t="shared" si="47"/>
        <v/>
      </c>
      <c r="ES30" s="14" t="str">
        <f t="shared" si="48"/>
        <v/>
      </c>
      <c r="ET30" s="14" t="str">
        <f t="shared" si="49"/>
        <v/>
      </c>
      <c r="EU30" s="14" t="str">
        <f t="shared" si="50"/>
        <v/>
      </c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11" t="str">
        <f t="shared" si="51"/>
        <v/>
      </c>
      <c r="FL30" s="11" t="str">
        <f t="shared" si="52"/>
        <v/>
      </c>
      <c r="FM30" s="11" t="str">
        <f t="shared" si="53"/>
        <v/>
      </c>
      <c r="FN30" s="11" t="str">
        <f t="shared" si="54"/>
        <v/>
      </c>
      <c r="FO30" s="11" t="str">
        <f t="shared" si="55"/>
        <v/>
      </c>
      <c r="FP30" s="11" t="str">
        <f t="shared" si="56"/>
        <v/>
      </c>
      <c r="FQ30" s="11" t="str">
        <f t="shared" si="57"/>
        <v/>
      </c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14" t="str">
        <f t="shared" si="58"/>
        <v/>
      </c>
      <c r="GH30" s="14" t="str">
        <f t="shared" si="59"/>
        <v/>
      </c>
      <c r="GI30" s="14" t="str">
        <f t="shared" si="60"/>
        <v/>
      </c>
      <c r="GJ30" s="14" t="str">
        <f t="shared" si="61"/>
        <v/>
      </c>
      <c r="GK30" s="14" t="str">
        <f t="shared" si="62"/>
        <v/>
      </c>
      <c r="GL30" s="14" t="str">
        <f t="shared" si="63"/>
        <v/>
      </c>
      <c r="GM30" s="14" t="str">
        <f t="shared" si="64"/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11" t="str">
        <f t="shared" si="65"/>
        <v/>
      </c>
      <c r="HD30" s="11" t="str">
        <f t="shared" si="66"/>
        <v/>
      </c>
      <c r="HE30" s="11" t="str">
        <f t="shared" si="67"/>
        <v/>
      </c>
      <c r="HF30" s="11" t="str">
        <f t="shared" si="68"/>
        <v/>
      </c>
      <c r="HG30" s="11" t="str">
        <f t="shared" si="69"/>
        <v/>
      </c>
      <c r="HH30" s="11" t="str">
        <f t="shared" si="70"/>
        <v/>
      </c>
      <c r="HI30" s="11" t="str">
        <f t="shared" si="71"/>
        <v/>
      </c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14" t="str">
        <f t="shared" si="72"/>
        <v/>
      </c>
      <c r="HZ30" s="14" t="str">
        <f t="shared" si="73"/>
        <v/>
      </c>
      <c r="IA30" s="14" t="str">
        <f t="shared" si="74"/>
        <v/>
      </c>
      <c r="IB30" s="14" t="str">
        <f t="shared" si="75"/>
        <v/>
      </c>
      <c r="IC30" s="14" t="str">
        <f t="shared" si="76"/>
        <v/>
      </c>
      <c r="ID30" s="14" t="str">
        <f t="shared" si="77"/>
        <v/>
      </c>
      <c r="IE30" s="14" t="str">
        <f t="shared" si="78"/>
        <v/>
      </c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11" t="str">
        <f t="shared" si="79"/>
        <v/>
      </c>
      <c r="IV30" s="11" t="str">
        <f t="shared" si="80"/>
        <v/>
      </c>
      <c r="IW30" s="11" t="str">
        <f t="shared" si="81"/>
        <v/>
      </c>
      <c r="IX30" s="11" t="str">
        <f t="shared" si="82"/>
        <v/>
      </c>
      <c r="IY30" s="11" t="str">
        <f t="shared" si="83"/>
        <v/>
      </c>
      <c r="IZ30" s="11" t="str">
        <f t="shared" si="84"/>
        <v/>
      </c>
      <c r="JA30" s="11" t="str">
        <f t="shared" si="85"/>
        <v/>
      </c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14" t="str">
        <f t="shared" si="86"/>
        <v/>
      </c>
      <c r="JR30" s="14" t="str">
        <f t="shared" si="87"/>
        <v/>
      </c>
      <c r="JS30" s="14" t="str">
        <f t="shared" si="88"/>
        <v/>
      </c>
      <c r="JT30" s="14" t="str">
        <f t="shared" si="89"/>
        <v/>
      </c>
      <c r="JU30" s="14" t="str">
        <f t="shared" si="90"/>
        <v/>
      </c>
      <c r="JV30" s="14" t="str">
        <f t="shared" si="91"/>
        <v/>
      </c>
      <c r="JW30" s="14" t="str">
        <f t="shared" si="92"/>
        <v/>
      </c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11" t="str">
        <f t="shared" si="93"/>
        <v/>
      </c>
      <c r="KN30" s="11" t="str">
        <f t="shared" si="94"/>
        <v/>
      </c>
      <c r="KO30" s="11" t="str">
        <f t="shared" si="95"/>
        <v/>
      </c>
      <c r="KP30" s="11" t="str">
        <f t="shared" si="96"/>
        <v/>
      </c>
      <c r="KQ30" s="11" t="str">
        <f t="shared" si="97"/>
        <v/>
      </c>
      <c r="KR30" s="11" t="str">
        <f t="shared" si="98"/>
        <v/>
      </c>
      <c r="KS30" s="11" t="str">
        <f t="shared" si="99"/>
        <v/>
      </c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14" t="str">
        <f t="shared" si="100"/>
        <v/>
      </c>
      <c r="LJ30" s="14" t="str">
        <f t="shared" si="101"/>
        <v/>
      </c>
      <c r="LK30" s="14" t="str">
        <f t="shared" si="102"/>
        <v/>
      </c>
      <c r="LL30" s="14" t="str">
        <f t="shared" si="103"/>
        <v/>
      </c>
      <c r="LM30" s="14" t="str">
        <f t="shared" si="104"/>
        <v/>
      </c>
      <c r="LN30" s="14" t="str">
        <f t="shared" si="105"/>
        <v/>
      </c>
      <c r="LO30" s="14" t="str">
        <f t="shared" si="106"/>
        <v/>
      </c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11" t="str">
        <f t="shared" si="107"/>
        <v/>
      </c>
      <c r="MF30" s="11" t="str">
        <f t="shared" si="108"/>
        <v/>
      </c>
      <c r="MG30" s="11" t="str">
        <f t="shared" si="109"/>
        <v/>
      </c>
      <c r="MH30" s="11" t="str">
        <f t="shared" si="110"/>
        <v/>
      </c>
      <c r="MI30" s="11" t="str">
        <f t="shared" si="111"/>
        <v/>
      </c>
      <c r="MJ30" s="11" t="str">
        <f t="shared" si="112"/>
        <v/>
      </c>
      <c r="MK30" s="11" t="str">
        <f t="shared" si="113"/>
        <v/>
      </c>
      <c r="ML30" s="26"/>
      <c r="MM30" s="26"/>
      <c r="MN30" s="26"/>
      <c r="MO30" s="26"/>
      <c r="MP30" s="26"/>
      <c r="MQ30" s="26"/>
      <c r="MR30" s="26"/>
      <c r="MS30" s="26"/>
      <c r="MT30" s="26"/>
      <c r="MU30" s="26"/>
      <c r="MV30" s="26"/>
      <c r="MW30" s="26"/>
      <c r="MX30" s="26"/>
      <c r="MY30" s="26"/>
      <c r="MZ30" s="26"/>
      <c r="NA30" s="14" t="str">
        <f t="shared" si="114"/>
        <v/>
      </c>
      <c r="NB30" s="14" t="str">
        <f t="shared" si="115"/>
        <v/>
      </c>
      <c r="NC30" s="14" t="str">
        <f t="shared" si="116"/>
        <v/>
      </c>
      <c r="ND30" s="14" t="str">
        <f t="shared" si="117"/>
        <v/>
      </c>
      <c r="NE30" s="14" t="str">
        <f t="shared" si="118"/>
        <v/>
      </c>
      <c r="NF30" s="14" t="str">
        <f t="shared" si="119"/>
        <v/>
      </c>
      <c r="NG30" s="14" t="str">
        <f t="shared" si="120"/>
        <v/>
      </c>
      <c r="NH30" s="38">
        <f t="shared" si="121"/>
        <v>7.55</v>
      </c>
      <c r="NI30" s="38">
        <f t="shared" si="122"/>
        <v>4.75</v>
      </c>
      <c r="NJ30" s="38">
        <f t="shared" si="123"/>
        <v>1.35</v>
      </c>
      <c r="NK30" s="38">
        <f t="shared" si="124"/>
        <v>7.51</v>
      </c>
      <c r="NL30" s="38">
        <f t="shared" si="125"/>
        <v>0</v>
      </c>
      <c r="NM30" s="38">
        <f t="shared" si="126"/>
        <v>6.15</v>
      </c>
      <c r="NN30" s="38">
        <f t="shared" si="127"/>
        <v>4.7</v>
      </c>
      <c r="NO30" s="38">
        <f t="shared" si="128"/>
        <v>4</v>
      </c>
      <c r="NP30" s="38">
        <f t="shared" si="129"/>
        <v>7.2549999999999999</v>
      </c>
      <c r="NQ30" s="38">
        <f t="shared" si="130"/>
        <v>0.55000000000000004</v>
      </c>
      <c r="NR30" s="38">
        <f t="shared" si="131"/>
        <v>0</v>
      </c>
      <c r="NS30" s="38">
        <f t="shared" si="132"/>
        <v>0</v>
      </c>
      <c r="NT30" s="38">
        <f t="shared" si="133"/>
        <v>0</v>
      </c>
      <c r="NU30" s="38">
        <f t="shared" si="134"/>
        <v>0</v>
      </c>
      <c r="NV30" s="38">
        <f t="shared" si="135"/>
        <v>0</v>
      </c>
      <c r="NW30" s="38">
        <f t="shared" si="136"/>
        <v>0</v>
      </c>
      <c r="NX30" s="38">
        <f t="shared" si="137"/>
        <v>0</v>
      </c>
      <c r="NY30" s="38">
        <f t="shared" si="138"/>
        <v>0</v>
      </c>
      <c r="NZ30" s="38">
        <f t="shared" si="139"/>
        <v>0</v>
      </c>
      <c r="OA30" s="38">
        <f t="shared" si="140"/>
        <v>0</v>
      </c>
      <c r="OB30" s="45" t="s">
        <v>46</v>
      </c>
      <c r="OC30" s="11">
        <f t="shared" si="141"/>
        <v>21.16</v>
      </c>
      <c r="OD30" s="11">
        <f t="shared" si="142"/>
        <v>4</v>
      </c>
      <c r="OE30" s="11">
        <f t="shared" si="143"/>
        <v>21.555</v>
      </c>
      <c r="OF30" s="11" t="str">
        <f t="shared" si="144"/>
        <v/>
      </c>
      <c r="OG30" s="11" t="str">
        <f t="shared" si="145"/>
        <v/>
      </c>
      <c r="OH30" s="11">
        <f t="shared" si="146"/>
        <v>42.715000000000003</v>
      </c>
      <c r="OI30" s="11" t="str">
        <f t="shared" si="147"/>
        <v/>
      </c>
      <c r="OJ30" s="11" t="str">
        <f t="shared" ref="OJ30" si="188">IF(SUM(NW30:NZ30)-OA30&gt;0,SUM(NW30:NZ30)-OA30,"")</f>
        <v/>
      </c>
      <c r="OK30" s="11">
        <f t="shared" ref="OK30" si="189">IF(SUM(OH30,OJ30)&gt;0,SUM(OH30,OJ30),"")</f>
        <v>42.715000000000003</v>
      </c>
    </row>
    <row r="31" spans="1:401" x14ac:dyDescent="0.2">
      <c r="A31" s="5" t="str" cm="1">
        <f t="array" ref="A31">IF(AND(F31="P",G31="P"),SUMPRODUCT((F$4:F$32="P")*(G$4:G$32="P")*(E$4:E$32&gt;E31))+1,IF(G31="P",SUMPRODUCT((F$4:F$32="")*(G$4:G$32="P")*(E$4:E$32&gt;E31))+1+SUMPRODUCT((F$4:F$32="P")*(G$4:G$32="P")),""))</f>
        <v/>
      </c>
      <c r="B31" s="6" t="s">
        <v>158</v>
      </c>
      <c r="C31" s="7" t="s">
        <v>3</v>
      </c>
      <c r="D31" s="5">
        <v>2005</v>
      </c>
      <c r="E31" s="15">
        <f t="shared" si="0"/>
        <v>10.530001053000001</v>
      </c>
      <c r="F31" s="3" t="str">
        <f t="shared" si="1"/>
        <v/>
      </c>
      <c r="G31" s="3" t="str">
        <f t="shared" si="2"/>
        <v/>
      </c>
      <c r="H31" s="67" t="str">
        <f t="shared" si="3"/>
        <v/>
      </c>
      <c r="I31" s="14">
        <f t="shared" si="4"/>
        <v>10.530000000000001</v>
      </c>
      <c r="J31" s="14" t="str">
        <f t="shared" si="5"/>
        <v>2022 Elite Canada</v>
      </c>
      <c r="K31" s="14">
        <f>IF(COUNT(AM31,AO31,AR31,BQ31,BS31,BV31,CU31,CW31,CZ31)&gt;1,LARGE((AM31,AO31,AR31,BQ31,BS31,BV31,CU31,CW31,CZ31),2),0)</f>
        <v>0</v>
      </c>
      <c r="L31" s="14" t="str">
        <f t="shared" si="6"/>
        <v/>
      </c>
      <c r="M31" s="14" t="str">
        <f t="shared" si="7"/>
        <v/>
      </c>
      <c r="N31" s="20" t="str">
        <f>IF(M31="","",IF(M31=#REF!,"(Vol 1)",IF(M31=DB31,"(Vol 2)",IF(M31=#REF!,"(Prelim)",IF(M31=DC31,"(Final)")))))</f>
        <v/>
      </c>
      <c r="O31" s="14" t="str">
        <f>IF(M31="","",IF(M31=#REF!,IF(M31+IF(#REF!="",0,#REF!)=NB31,$ML$1,IF(M31+IF(#REF!="",0,#REF!)=MF31,$LP$1,IF(M31+IF(#REF!="",0,#REF!)=LJ31,$KT$1,IF(M31+IF(#REF!="",0,#REF!)=KN31,$JX$1,IF(M31+IF(#REF!="",0,#REF!)=JR31,$JB$1,IF(M31+IF(#REF!="",0,#REF!)=IV31,$IF$1,IF(M31+IF(#REF!="",0,#REF!)=HZ31,$HJ$1,IF(M31+IF(#REF!="",0,#REF!)=HD31,$GN$1,IF(M31+IF(#REF!="",0,#REF!)=GH31,$FR$1,IF(M31+IF(#REF!="",0,#REF!)=FL31,$EV$1,IF(M31+IF(#REF!="",0,#REF!)=EP31,$DZ$1,IF(M31+IF(#REF!="",0,#REF!)=DT31,$DD$1)))))))))))),IF(M31=DB31,IF(M31+IF(I31="",0,I31)=NC31,$ML$1,IF(M31+IF(I31="",0,I31)=MG31,$LP$1,IF(M31+IF(I31="",0,I31)=LK31,$KT$1,IF(M31+IF(I31="",0,I31)=KO31,$JX$1,IF(M31+IF(I31="",0,I31)=JS31,$JB$1,IF(M31+IF(I31="",0,I31)=IW31,$IF$1,IF(M31+IF(I31="",0,I31)=IA31,$HJ$1,IF(M31+IF(I31="",0,I31)=HE31,$GN$1,IF(M31+IF(I31="",0,I31)=GI31,$FR$1,IF(M31+IF(I31="",0,I31)=FM31,$EV$1,IF(M31+IF(I31="",0,I31)=EQ31,$DZ$1,IF(M31+IF(I31="",0,I31)=DU31,$DD$1)))))))))))),IF(M31=#REF!,IF(M31+IF(#REF!="",0,#REF!)=ND31,$ML$1,IF(M31+IF(#REF!="",0,#REF!)=MH31,$LP$1,IF(M31+IF(#REF!="",0,#REF!)=LL31,$KT$1,IF(M31+IF(#REF!="",0,#REF!)=KP31,$JX$1,IF(M31+IF(#REF!="",0,#REF!)=JT31,$JB$1,IF(M31+IF(#REF!="",0,#REF!)=IX31,$IF$1,IF(M31+IF(#REF!="",0,#REF!)=IB31,$HJ$1,IF(M31+IF(#REF!="",0,#REF!)=HF31,$GN$1,IF(M31+IF(#REF!="",0,#REF!)=GJ31,$FR$1,IF(M31+IF(#REF!="",0,#REF!)=FN31,$EV$1,IF(M31+IF(#REF!="",0,#REF!)=ER31,$DZ$1,IF(M31+IF(#REF!="",0,#REF!)=DV31,$DD$1)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))</f>
        <v/>
      </c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45"/>
      <c r="AK31" s="11" t="str">
        <f t="shared" si="8"/>
        <v/>
      </c>
      <c r="AL31" s="11" t="str">
        <f t="shared" si="9"/>
        <v/>
      </c>
      <c r="AM31" s="11" t="str">
        <f t="shared" si="10"/>
        <v/>
      </c>
      <c r="AN31" s="11" t="str">
        <f t="shared" si="11"/>
        <v/>
      </c>
      <c r="AO31" s="11" t="str">
        <f t="shared" si="12"/>
        <v/>
      </c>
      <c r="AP31" s="11" t="str">
        <f t="shared" si="13"/>
        <v/>
      </c>
      <c r="AQ31" s="11" t="str">
        <f t="shared" si="14"/>
        <v/>
      </c>
      <c r="AR31" s="11" t="str">
        <f t="shared" si="15"/>
        <v/>
      </c>
      <c r="AS31" s="11" t="str">
        <f t="shared" si="16"/>
        <v/>
      </c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6"/>
      <c r="BO31" s="14" t="str">
        <f t="shared" si="17"/>
        <v/>
      </c>
      <c r="BP31" s="14" t="str">
        <f t="shared" si="18"/>
        <v/>
      </c>
      <c r="BQ31" s="14" t="str">
        <f t="shared" si="19"/>
        <v/>
      </c>
      <c r="BR31" s="14" t="str">
        <f t="shared" si="20"/>
        <v/>
      </c>
      <c r="BS31" s="14" t="str">
        <f t="shared" si="21"/>
        <v/>
      </c>
      <c r="BT31" s="14" t="str">
        <f t="shared" si="22"/>
        <v/>
      </c>
      <c r="BU31" s="14" t="str">
        <f t="shared" si="23"/>
        <v/>
      </c>
      <c r="BV31" s="14" t="str">
        <f t="shared" si="24"/>
        <v/>
      </c>
      <c r="BW31" s="14" t="str">
        <f t="shared" si="25"/>
        <v/>
      </c>
      <c r="BX31" s="38">
        <v>16.7</v>
      </c>
      <c r="BY31" s="38">
        <v>9.4</v>
      </c>
      <c r="BZ31" s="38">
        <v>2.4</v>
      </c>
      <c r="CA31" s="38">
        <v>15.69</v>
      </c>
      <c r="CB31" s="38">
        <v>0</v>
      </c>
      <c r="CC31" s="38">
        <v>2.9</v>
      </c>
      <c r="CD31" s="38">
        <v>1.8</v>
      </c>
      <c r="CE31" s="38">
        <v>2.7</v>
      </c>
      <c r="CF31" s="38">
        <v>3.13</v>
      </c>
      <c r="CG31" s="38">
        <v>0</v>
      </c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45"/>
      <c r="CS31" s="11">
        <f t="shared" si="26"/>
        <v>44.19</v>
      </c>
      <c r="CT31" s="11">
        <f t="shared" si="27"/>
        <v>2.7</v>
      </c>
      <c r="CU31" s="11">
        <f t="shared" si="28"/>
        <v>10.530000000000001</v>
      </c>
      <c r="CV31" s="11" t="str">
        <f t="shared" si="29"/>
        <v/>
      </c>
      <c r="CW31" s="11" t="str">
        <f t="shared" si="30"/>
        <v/>
      </c>
      <c r="CX31" s="11">
        <f t="shared" si="31"/>
        <v>54.72</v>
      </c>
      <c r="CY31" s="11" t="str">
        <f t="shared" si="32"/>
        <v/>
      </c>
      <c r="CZ31" s="11" t="str">
        <f t="shared" si="33"/>
        <v/>
      </c>
      <c r="DA31" s="11">
        <f t="shared" si="34"/>
        <v>54.72</v>
      </c>
      <c r="DB31" s="19" t="str">
        <f t="shared" si="35"/>
        <v/>
      </c>
      <c r="DC31" s="19" t="str">
        <f t="shared" si="36"/>
        <v/>
      </c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11" t="str">
        <f t="shared" si="37"/>
        <v/>
      </c>
      <c r="DT31" s="11" t="str">
        <f t="shared" si="38"/>
        <v/>
      </c>
      <c r="DU31" s="11" t="str">
        <f t="shared" si="39"/>
        <v/>
      </c>
      <c r="DV31" s="11" t="str">
        <f t="shared" si="40"/>
        <v/>
      </c>
      <c r="DW31" s="11" t="str">
        <f t="shared" si="41"/>
        <v/>
      </c>
      <c r="DX31" s="11" t="str">
        <f t="shared" si="42"/>
        <v/>
      </c>
      <c r="DY31" s="11" t="str">
        <f t="shared" si="43"/>
        <v/>
      </c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14" t="str">
        <f t="shared" si="44"/>
        <v/>
      </c>
      <c r="EP31" s="14" t="str">
        <f t="shared" si="45"/>
        <v/>
      </c>
      <c r="EQ31" s="14" t="str">
        <f t="shared" si="46"/>
        <v/>
      </c>
      <c r="ER31" s="14" t="str">
        <f t="shared" si="47"/>
        <v/>
      </c>
      <c r="ES31" s="14" t="str">
        <f t="shared" si="48"/>
        <v/>
      </c>
      <c r="ET31" s="14" t="str">
        <f t="shared" si="49"/>
        <v/>
      </c>
      <c r="EU31" s="14" t="str">
        <f t="shared" si="50"/>
        <v/>
      </c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11" t="str">
        <f t="shared" si="51"/>
        <v/>
      </c>
      <c r="FL31" s="11" t="str">
        <f t="shared" si="52"/>
        <v/>
      </c>
      <c r="FM31" s="11" t="str">
        <f t="shared" si="53"/>
        <v/>
      </c>
      <c r="FN31" s="11" t="str">
        <f t="shared" si="54"/>
        <v/>
      </c>
      <c r="FO31" s="11" t="str">
        <f t="shared" si="55"/>
        <v/>
      </c>
      <c r="FP31" s="11" t="str">
        <f t="shared" si="56"/>
        <v/>
      </c>
      <c r="FQ31" s="11" t="str">
        <f t="shared" si="57"/>
        <v/>
      </c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14" t="str">
        <f t="shared" si="58"/>
        <v/>
      </c>
      <c r="GH31" s="14" t="str">
        <f t="shared" si="59"/>
        <v/>
      </c>
      <c r="GI31" s="14" t="str">
        <f t="shared" si="60"/>
        <v/>
      </c>
      <c r="GJ31" s="14" t="str">
        <f t="shared" si="61"/>
        <v/>
      </c>
      <c r="GK31" s="14" t="str">
        <f t="shared" si="62"/>
        <v/>
      </c>
      <c r="GL31" s="14" t="str">
        <f t="shared" si="63"/>
        <v/>
      </c>
      <c r="GM31" s="14" t="str">
        <f t="shared" si="64"/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11" t="str">
        <f t="shared" si="65"/>
        <v/>
      </c>
      <c r="HD31" s="11" t="str">
        <f t="shared" si="66"/>
        <v/>
      </c>
      <c r="HE31" s="11" t="str">
        <f t="shared" si="67"/>
        <v/>
      </c>
      <c r="HF31" s="11" t="str">
        <f t="shared" si="68"/>
        <v/>
      </c>
      <c r="HG31" s="11" t="str">
        <f t="shared" si="69"/>
        <v/>
      </c>
      <c r="HH31" s="11" t="str">
        <f t="shared" si="70"/>
        <v/>
      </c>
      <c r="HI31" s="11" t="str">
        <f t="shared" si="71"/>
        <v/>
      </c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14" t="str">
        <f t="shared" si="72"/>
        <v/>
      </c>
      <c r="HZ31" s="14" t="str">
        <f t="shared" si="73"/>
        <v/>
      </c>
      <c r="IA31" s="14" t="str">
        <f t="shared" si="74"/>
        <v/>
      </c>
      <c r="IB31" s="14" t="str">
        <f t="shared" si="75"/>
        <v/>
      </c>
      <c r="IC31" s="14" t="str">
        <f t="shared" si="76"/>
        <v/>
      </c>
      <c r="ID31" s="14" t="str">
        <f t="shared" si="77"/>
        <v/>
      </c>
      <c r="IE31" s="14" t="str">
        <f t="shared" si="78"/>
        <v/>
      </c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11" t="str">
        <f t="shared" si="79"/>
        <v/>
      </c>
      <c r="IV31" s="11" t="str">
        <f t="shared" si="80"/>
        <v/>
      </c>
      <c r="IW31" s="11" t="str">
        <f t="shared" si="81"/>
        <v/>
      </c>
      <c r="IX31" s="11" t="str">
        <f t="shared" si="82"/>
        <v/>
      </c>
      <c r="IY31" s="11" t="str">
        <f t="shared" si="83"/>
        <v/>
      </c>
      <c r="IZ31" s="11" t="str">
        <f t="shared" si="84"/>
        <v/>
      </c>
      <c r="JA31" s="11" t="str">
        <f t="shared" si="85"/>
        <v/>
      </c>
      <c r="JB31" s="26"/>
      <c r="JC31" s="26"/>
      <c r="JD31" s="26"/>
      <c r="JE31" s="26"/>
      <c r="JF31" s="26"/>
      <c r="JG31" s="26"/>
      <c r="JH31" s="26"/>
      <c r="JI31" s="26"/>
      <c r="JJ31" s="26"/>
      <c r="JK31" s="26"/>
      <c r="JL31" s="26"/>
      <c r="JM31" s="26"/>
      <c r="JN31" s="26"/>
      <c r="JO31" s="26"/>
      <c r="JP31" s="26"/>
      <c r="JQ31" s="14" t="str">
        <f t="shared" si="86"/>
        <v/>
      </c>
      <c r="JR31" s="14" t="str">
        <f t="shared" si="87"/>
        <v/>
      </c>
      <c r="JS31" s="14" t="str">
        <f t="shared" si="88"/>
        <v/>
      </c>
      <c r="JT31" s="14" t="str">
        <f t="shared" si="89"/>
        <v/>
      </c>
      <c r="JU31" s="14" t="str">
        <f t="shared" si="90"/>
        <v/>
      </c>
      <c r="JV31" s="14" t="str">
        <f t="shared" si="91"/>
        <v/>
      </c>
      <c r="JW31" s="14" t="str">
        <f t="shared" si="92"/>
        <v/>
      </c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11" t="str">
        <f t="shared" si="93"/>
        <v/>
      </c>
      <c r="KN31" s="11" t="str">
        <f t="shared" si="94"/>
        <v/>
      </c>
      <c r="KO31" s="11" t="str">
        <f t="shared" si="95"/>
        <v/>
      </c>
      <c r="KP31" s="11" t="str">
        <f t="shared" si="96"/>
        <v/>
      </c>
      <c r="KQ31" s="11" t="str">
        <f t="shared" si="97"/>
        <v/>
      </c>
      <c r="KR31" s="11" t="str">
        <f t="shared" si="98"/>
        <v/>
      </c>
      <c r="KS31" s="11" t="str">
        <f t="shared" si="99"/>
        <v/>
      </c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14" t="str">
        <f t="shared" si="100"/>
        <v/>
      </c>
      <c r="LJ31" s="14" t="str">
        <f t="shared" si="101"/>
        <v/>
      </c>
      <c r="LK31" s="14" t="str">
        <f t="shared" si="102"/>
        <v/>
      </c>
      <c r="LL31" s="14" t="str">
        <f t="shared" si="103"/>
        <v/>
      </c>
      <c r="LM31" s="14" t="str">
        <f t="shared" si="104"/>
        <v/>
      </c>
      <c r="LN31" s="14" t="str">
        <f t="shared" si="105"/>
        <v/>
      </c>
      <c r="LO31" s="14" t="str">
        <f t="shared" si="106"/>
        <v/>
      </c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11" t="str">
        <f t="shared" si="107"/>
        <v/>
      </c>
      <c r="MF31" s="11" t="str">
        <f t="shared" si="108"/>
        <v/>
      </c>
      <c r="MG31" s="11" t="str">
        <f t="shared" si="109"/>
        <v/>
      </c>
      <c r="MH31" s="11" t="str">
        <f t="shared" si="110"/>
        <v/>
      </c>
      <c r="MI31" s="11" t="str">
        <f t="shared" si="111"/>
        <v/>
      </c>
      <c r="MJ31" s="11" t="str">
        <f t="shared" si="112"/>
        <v/>
      </c>
      <c r="MK31" s="11" t="str">
        <f t="shared" si="113"/>
        <v/>
      </c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14" t="str">
        <f t="shared" si="114"/>
        <v/>
      </c>
      <c r="NB31" s="14" t="str">
        <f t="shared" si="115"/>
        <v/>
      </c>
      <c r="NC31" s="14" t="str">
        <f t="shared" si="116"/>
        <v/>
      </c>
      <c r="ND31" s="14" t="str">
        <f t="shared" si="117"/>
        <v/>
      </c>
      <c r="NE31" s="14" t="str">
        <f t="shared" si="118"/>
        <v/>
      </c>
      <c r="NF31" s="14" t="str">
        <f t="shared" si="119"/>
        <v/>
      </c>
      <c r="NG31" s="14" t="str">
        <f t="shared" si="120"/>
        <v/>
      </c>
      <c r="NH31" s="38">
        <f t="shared" si="121"/>
        <v>8.35</v>
      </c>
      <c r="NI31" s="38">
        <f t="shared" si="122"/>
        <v>4.7</v>
      </c>
      <c r="NJ31" s="38">
        <f t="shared" si="123"/>
        <v>1.2</v>
      </c>
      <c r="NK31" s="38">
        <f t="shared" si="124"/>
        <v>7.8449999999999998</v>
      </c>
      <c r="NL31" s="38">
        <f t="shared" si="125"/>
        <v>0</v>
      </c>
      <c r="NM31" s="38">
        <f t="shared" si="126"/>
        <v>1.45</v>
      </c>
      <c r="NN31" s="38">
        <f t="shared" si="127"/>
        <v>0.9</v>
      </c>
      <c r="NO31" s="38">
        <f t="shared" si="128"/>
        <v>1.35</v>
      </c>
      <c r="NP31" s="38">
        <f t="shared" si="129"/>
        <v>1.5649999999999999</v>
      </c>
      <c r="NQ31" s="38">
        <f t="shared" si="130"/>
        <v>0</v>
      </c>
      <c r="NR31" s="38">
        <f t="shared" si="131"/>
        <v>0</v>
      </c>
      <c r="NS31" s="38">
        <f t="shared" si="132"/>
        <v>0</v>
      </c>
      <c r="NT31" s="38">
        <f t="shared" si="133"/>
        <v>0</v>
      </c>
      <c r="NU31" s="38">
        <f t="shared" si="134"/>
        <v>0</v>
      </c>
      <c r="NV31" s="38">
        <f t="shared" si="135"/>
        <v>0</v>
      </c>
      <c r="NW31" s="38">
        <f t="shared" si="136"/>
        <v>0</v>
      </c>
      <c r="NX31" s="38">
        <f t="shared" si="137"/>
        <v>0</v>
      </c>
      <c r="NY31" s="38">
        <f t="shared" si="138"/>
        <v>0</v>
      </c>
      <c r="NZ31" s="38">
        <f t="shared" si="139"/>
        <v>0</v>
      </c>
      <c r="OA31" s="38">
        <f t="shared" si="140"/>
        <v>0</v>
      </c>
      <c r="OB31" s="45" t="s">
        <v>46</v>
      </c>
      <c r="OC31" s="11">
        <f t="shared" si="141"/>
        <v>22.094999999999999</v>
      </c>
      <c r="OD31" s="11">
        <f t="shared" si="142"/>
        <v>1.35</v>
      </c>
      <c r="OE31" s="11">
        <f t="shared" si="143"/>
        <v>5.2650000000000006</v>
      </c>
      <c r="OF31" s="11" t="str">
        <f t="shared" si="144"/>
        <v/>
      </c>
      <c r="OG31" s="11" t="str">
        <f t="shared" si="145"/>
        <v/>
      </c>
      <c r="OH31" s="11">
        <f t="shared" si="146"/>
        <v>27.36</v>
      </c>
      <c r="OI31" s="11" t="str">
        <f t="shared" si="147"/>
        <v/>
      </c>
      <c r="OJ31" s="11" t="str">
        <f t="shared" ref="OJ31" si="190">IF(SUM(NW31:NZ31)-OA31&gt;0,SUM(NW31:NZ31)-OA31,"")</f>
        <v/>
      </c>
      <c r="OK31" s="11">
        <f t="shared" ref="OK31" si="191">IF(SUM(OH31,OJ31)&gt;0,SUM(OH31,OJ31),"")</f>
        <v>27.36</v>
      </c>
    </row>
    <row r="32" spans="1:401" x14ac:dyDescent="0.2">
      <c r="B32" s="6"/>
      <c r="D32" s="1"/>
    </row>
    <row r="34" spans="1:371" x14ac:dyDescent="0.2">
      <c r="B34" s="39" t="s">
        <v>44</v>
      </c>
      <c r="C34" s="34"/>
      <c r="AL34" s="66"/>
      <c r="AM34" s="66"/>
      <c r="AN34" s="66"/>
      <c r="AQ34" s="32"/>
      <c r="AS34" s="35">
        <v>13.5</v>
      </c>
      <c r="BP34" s="66"/>
      <c r="BQ34" s="66"/>
      <c r="BR34" s="66"/>
      <c r="BU34" s="32"/>
      <c r="BW34" s="35">
        <v>13.5</v>
      </c>
      <c r="CT34" s="66"/>
      <c r="CU34" s="66"/>
      <c r="CV34" s="66"/>
      <c r="CY34" s="32"/>
      <c r="DA34" s="35">
        <v>13.5</v>
      </c>
      <c r="DS34" s="34"/>
      <c r="DW34" s="32"/>
      <c r="DY34" s="35">
        <v>13.5</v>
      </c>
      <c r="EO34" s="34"/>
      <c r="ES34" s="32"/>
      <c r="EU34" s="35">
        <v>13.5</v>
      </c>
      <c r="FK34" s="34"/>
      <c r="FO34" s="32"/>
      <c r="FQ34" s="35">
        <v>13.5</v>
      </c>
      <c r="GG34" s="34"/>
      <c r="GK34" s="32"/>
      <c r="GM34" s="35">
        <v>13.5</v>
      </c>
      <c r="HC34" s="34"/>
      <c r="HG34" s="32"/>
      <c r="HI34" s="35">
        <v>13.5</v>
      </c>
      <c r="HY34" s="34"/>
      <c r="IC34" s="32"/>
      <c r="IE34" s="35">
        <v>13.5</v>
      </c>
      <c r="IU34" s="34"/>
      <c r="IY34" s="32"/>
      <c r="JA34" s="35">
        <v>13.5</v>
      </c>
      <c r="JQ34" s="34"/>
      <c r="JU34" s="32"/>
      <c r="JW34" s="35">
        <v>13.5</v>
      </c>
      <c r="KM34" s="34"/>
      <c r="KQ34" s="32"/>
      <c r="KS34" s="35">
        <v>13.5</v>
      </c>
      <c r="LI34" s="34"/>
      <c r="LM34" s="32"/>
      <c r="LO34" s="35">
        <v>13.5</v>
      </c>
      <c r="ME34" s="34"/>
      <c r="MI34" s="32"/>
      <c r="MK34" s="35">
        <v>13.5</v>
      </c>
      <c r="NA34" s="34"/>
      <c r="NE34" s="32"/>
      <c r="NG34" s="35">
        <v>13.5</v>
      </c>
    </row>
    <row r="35" spans="1:371" hidden="1" x14ac:dyDescent="0.2">
      <c r="B35" s="48" t="s">
        <v>43</v>
      </c>
      <c r="C35" s="34"/>
      <c r="AL35" s="66"/>
      <c r="AM35" s="66"/>
      <c r="AN35" s="66"/>
      <c r="AQ35" s="32"/>
      <c r="AS35" s="52">
        <v>1000</v>
      </c>
      <c r="BP35" s="66"/>
      <c r="BQ35" s="66"/>
      <c r="BR35" s="66"/>
      <c r="BU35" s="32"/>
      <c r="BW35" s="52">
        <v>1000</v>
      </c>
      <c r="CT35" s="66"/>
      <c r="CU35" s="66"/>
      <c r="CV35" s="66"/>
      <c r="CY35" s="32"/>
      <c r="DA35" s="52">
        <v>1000</v>
      </c>
      <c r="DS35" s="34"/>
      <c r="DW35" s="32"/>
      <c r="DY35" s="52">
        <v>1000</v>
      </c>
      <c r="EO35" s="34"/>
      <c r="ES35" s="32"/>
      <c r="EU35" s="52">
        <v>1000</v>
      </c>
      <c r="FK35" s="34"/>
      <c r="FO35" s="32"/>
      <c r="FQ35" s="52">
        <v>1000</v>
      </c>
      <c r="GG35" s="34"/>
      <c r="GK35" s="32"/>
      <c r="GM35" s="52">
        <v>1000</v>
      </c>
      <c r="HC35" s="34"/>
      <c r="HG35" s="32"/>
      <c r="HI35" s="52">
        <v>1000</v>
      </c>
      <c r="HY35" s="34"/>
      <c r="IC35" s="32"/>
      <c r="IE35" s="52">
        <v>1000</v>
      </c>
      <c r="IU35" s="34"/>
      <c r="IY35" s="32"/>
      <c r="JA35" s="52">
        <v>1000</v>
      </c>
      <c r="JQ35" s="34"/>
      <c r="JU35" s="32"/>
      <c r="JW35" s="52">
        <v>1000</v>
      </c>
      <c r="KM35" s="34"/>
      <c r="KQ35" s="32"/>
      <c r="KS35" s="52">
        <v>1000</v>
      </c>
      <c r="LI35" s="34"/>
      <c r="LM35" s="32"/>
      <c r="LO35" s="52">
        <v>1000</v>
      </c>
      <c r="ME35" s="34"/>
      <c r="MI35" s="32"/>
      <c r="MK35" s="52">
        <v>1000</v>
      </c>
      <c r="NA35" s="34"/>
      <c r="NE35" s="32"/>
      <c r="NG35" s="52">
        <v>1000</v>
      </c>
    </row>
    <row r="36" spans="1:371" hidden="1" x14ac:dyDescent="0.2">
      <c r="A36" s="34"/>
      <c r="B36" s="49" t="s">
        <v>55</v>
      </c>
      <c r="C36" s="34"/>
      <c r="AL36" s="66"/>
      <c r="AM36" s="66"/>
      <c r="AN36" s="66"/>
      <c r="AP36" s="32"/>
      <c r="AQ36" s="32"/>
      <c r="AR36" s="32"/>
      <c r="AS36" s="50">
        <v>1000</v>
      </c>
      <c r="BP36" s="66"/>
      <c r="BQ36" s="66"/>
      <c r="BR36" s="66"/>
      <c r="BU36" s="32"/>
      <c r="BW36" s="50">
        <v>1000</v>
      </c>
      <c r="CT36" s="66"/>
      <c r="CU36" s="66"/>
      <c r="CV36" s="66"/>
      <c r="CX36" s="32"/>
      <c r="CY36" s="32"/>
      <c r="CZ36" s="32"/>
      <c r="DA36" s="50">
        <v>1000</v>
      </c>
      <c r="DS36" s="34"/>
      <c r="DW36" s="32"/>
      <c r="DY36" s="50">
        <v>1000</v>
      </c>
      <c r="EO36" s="34"/>
      <c r="ES36" s="32"/>
      <c r="EU36" s="50">
        <v>1000</v>
      </c>
      <c r="FK36" s="34"/>
      <c r="FO36" s="32"/>
      <c r="FQ36" s="50">
        <v>1000</v>
      </c>
      <c r="GG36" s="34"/>
      <c r="GK36" s="32"/>
      <c r="GM36" s="50">
        <v>1000</v>
      </c>
      <c r="HC36" s="34"/>
      <c r="HG36" s="32"/>
      <c r="HI36" s="50">
        <v>1000</v>
      </c>
      <c r="HY36" s="34"/>
      <c r="IC36" s="32"/>
      <c r="IE36" s="50">
        <v>1000</v>
      </c>
      <c r="IU36" s="34"/>
      <c r="IY36" s="32"/>
      <c r="JA36" s="50">
        <v>1000</v>
      </c>
      <c r="JQ36" s="34"/>
      <c r="JU36" s="32"/>
      <c r="JW36" s="50">
        <v>1000</v>
      </c>
      <c r="KM36" s="34"/>
      <c r="KQ36" s="32"/>
      <c r="KS36" s="50">
        <v>1000</v>
      </c>
      <c r="LI36" s="34"/>
      <c r="LM36" s="32"/>
      <c r="LO36" s="50">
        <v>1000</v>
      </c>
      <c r="ME36" s="34"/>
      <c r="MI36" s="32"/>
      <c r="MK36" s="50">
        <v>1000</v>
      </c>
      <c r="NA36" s="34"/>
      <c r="NE36" s="32"/>
      <c r="NG36" s="50">
        <v>1000</v>
      </c>
    </row>
    <row r="37" spans="1:371" hidden="1" x14ac:dyDescent="0.2">
      <c r="A37" s="34"/>
      <c r="B37" s="62" t="s">
        <v>62</v>
      </c>
      <c r="C37" s="34"/>
      <c r="AL37" s="66"/>
      <c r="AM37" s="66"/>
      <c r="AN37" s="66"/>
      <c r="AP37" s="32"/>
      <c r="AQ37" s="32"/>
      <c r="AR37" s="32"/>
      <c r="AS37" s="63">
        <v>1000</v>
      </c>
      <c r="BP37" s="66"/>
      <c r="BQ37" s="66"/>
      <c r="BR37" s="66"/>
      <c r="BU37" s="32"/>
      <c r="BW37" s="63">
        <v>1000</v>
      </c>
      <c r="CT37" s="66"/>
      <c r="CU37" s="66"/>
      <c r="CV37" s="66"/>
      <c r="CX37" s="32"/>
      <c r="CY37" s="32"/>
      <c r="CZ37" s="32"/>
      <c r="DA37" s="63">
        <v>1000</v>
      </c>
      <c r="DS37" s="34"/>
      <c r="DW37" s="32"/>
      <c r="DY37" s="63">
        <v>1000</v>
      </c>
      <c r="EO37" s="34"/>
      <c r="ES37" s="32"/>
      <c r="EU37" s="63">
        <v>1000</v>
      </c>
      <c r="FK37" s="34"/>
      <c r="FO37" s="32"/>
      <c r="FQ37" s="63">
        <v>1000</v>
      </c>
      <c r="GG37" s="34"/>
      <c r="GK37" s="32"/>
      <c r="GM37" s="63">
        <v>1000</v>
      </c>
      <c r="HC37" s="34"/>
      <c r="HG37" s="32"/>
      <c r="HI37" s="63">
        <v>1000</v>
      </c>
      <c r="HY37" s="34"/>
      <c r="IC37" s="32"/>
      <c r="IE37" s="63">
        <v>1000</v>
      </c>
      <c r="IU37" s="34"/>
      <c r="IY37" s="32"/>
      <c r="JA37" s="63">
        <v>1000</v>
      </c>
      <c r="JQ37" s="34"/>
      <c r="JU37" s="32"/>
      <c r="JW37" s="63">
        <v>1000</v>
      </c>
      <c r="KM37" s="34"/>
      <c r="KQ37" s="32"/>
      <c r="KS37" s="63">
        <v>1000</v>
      </c>
      <c r="LI37" s="34"/>
      <c r="LM37" s="32"/>
      <c r="LO37" s="63">
        <v>1000</v>
      </c>
      <c r="ME37" s="34"/>
      <c r="MI37" s="32"/>
      <c r="MK37" s="63">
        <v>1000</v>
      </c>
      <c r="NA37" s="34"/>
      <c r="NE37" s="32"/>
      <c r="NG37" s="63">
        <v>1000</v>
      </c>
    </row>
    <row r="38" spans="1:371" x14ac:dyDescent="0.2">
      <c r="A38" s="34"/>
      <c r="B38" s="60" t="s">
        <v>41</v>
      </c>
      <c r="C38" s="34"/>
      <c r="I38" s="2"/>
      <c r="AL38" s="66"/>
      <c r="AM38" s="66"/>
      <c r="AN38" s="66"/>
      <c r="AP38" s="32"/>
      <c r="AQ38" s="32"/>
      <c r="AR38" s="32"/>
      <c r="AS38" s="61">
        <v>52.8</v>
      </c>
      <c r="BP38" s="66"/>
      <c r="BQ38" s="66"/>
      <c r="BR38" s="66"/>
      <c r="BU38" s="32"/>
      <c r="BW38" s="61">
        <v>52.8</v>
      </c>
      <c r="CT38" s="66"/>
      <c r="CU38" s="66"/>
      <c r="CV38" s="66"/>
      <c r="CX38" s="32"/>
      <c r="CY38" s="32"/>
      <c r="CZ38" s="32"/>
      <c r="DA38" s="61">
        <v>52.8</v>
      </c>
      <c r="DS38" s="34"/>
      <c r="DW38" s="32"/>
      <c r="DY38" s="61">
        <v>52.8</v>
      </c>
      <c r="EO38" s="34"/>
      <c r="ES38" s="32"/>
      <c r="EU38" s="61">
        <v>52.8</v>
      </c>
      <c r="FK38" s="34"/>
      <c r="FO38" s="32"/>
      <c r="FQ38" s="61">
        <v>52.8</v>
      </c>
      <c r="GG38" s="34"/>
      <c r="GK38" s="32"/>
      <c r="GM38" s="61">
        <v>52.8</v>
      </c>
      <c r="HC38" s="34"/>
      <c r="HG38" s="32"/>
      <c r="HI38" s="61">
        <v>52.8</v>
      </c>
      <c r="HY38" s="34"/>
      <c r="IC38" s="32"/>
      <c r="IE38" s="61">
        <v>52.8</v>
      </c>
      <c r="IU38" s="34"/>
      <c r="IY38" s="32"/>
      <c r="JA38" s="61">
        <v>52.8</v>
      </c>
      <c r="JQ38" s="34"/>
      <c r="JU38" s="32"/>
      <c r="JW38" s="61">
        <v>52.8</v>
      </c>
      <c r="KM38" s="34"/>
      <c r="KQ38" s="32"/>
      <c r="KS38" s="61">
        <v>52.8</v>
      </c>
      <c r="LI38" s="34"/>
      <c r="LM38" s="32"/>
      <c r="LO38" s="61">
        <v>52.8</v>
      </c>
      <c r="ME38" s="34"/>
      <c r="MI38" s="32"/>
      <c r="MK38" s="61">
        <v>52.8</v>
      </c>
      <c r="NA38" s="34"/>
      <c r="NE38" s="32"/>
      <c r="NG38" s="61">
        <v>52.8</v>
      </c>
    </row>
    <row r="39" spans="1:371" hidden="1" x14ac:dyDescent="0.2">
      <c r="A39" s="34"/>
      <c r="B39" s="40" t="s">
        <v>42</v>
      </c>
      <c r="C39" s="34"/>
      <c r="I39" s="2"/>
      <c r="AL39" s="66"/>
      <c r="AM39" s="66"/>
      <c r="AN39" s="66"/>
      <c r="AP39" s="32"/>
      <c r="AQ39" s="32"/>
      <c r="AR39" s="32"/>
      <c r="AS39" s="36">
        <v>1000</v>
      </c>
      <c r="BP39" s="66"/>
      <c r="BQ39" s="66"/>
      <c r="BR39" s="66"/>
      <c r="BU39" s="32"/>
      <c r="BW39" s="36">
        <v>1000</v>
      </c>
      <c r="CT39" s="66"/>
      <c r="CU39" s="66"/>
      <c r="CV39" s="66"/>
      <c r="CX39" s="32"/>
      <c r="CY39" s="32"/>
      <c r="CZ39" s="32"/>
      <c r="DA39" s="36">
        <v>1000</v>
      </c>
      <c r="DS39" s="34"/>
      <c r="DW39" s="32"/>
      <c r="DY39" s="36">
        <v>1000</v>
      </c>
      <c r="EO39" s="34"/>
      <c r="ES39" s="32"/>
      <c r="EU39" s="36">
        <v>1000</v>
      </c>
      <c r="FK39" s="34"/>
      <c r="FO39" s="32"/>
      <c r="FQ39" s="36">
        <v>1000</v>
      </c>
      <c r="GG39" s="34"/>
      <c r="GK39" s="32"/>
      <c r="GM39" s="36">
        <v>1000</v>
      </c>
      <c r="HC39" s="34"/>
      <c r="HG39" s="32"/>
      <c r="HI39" s="36">
        <v>1000</v>
      </c>
      <c r="HY39" s="34"/>
      <c r="IC39" s="32"/>
      <c r="IE39" s="36">
        <v>1000</v>
      </c>
      <c r="IU39" s="34"/>
      <c r="IY39" s="32"/>
      <c r="JA39" s="36">
        <v>1000</v>
      </c>
      <c r="JQ39" s="34"/>
      <c r="JU39" s="32"/>
      <c r="JW39" s="36">
        <v>1000</v>
      </c>
      <c r="KM39" s="34"/>
      <c r="KQ39" s="32"/>
      <c r="KS39" s="36">
        <v>1000</v>
      </c>
      <c r="LI39" s="34"/>
      <c r="LM39" s="32"/>
      <c r="LO39" s="36">
        <v>1000</v>
      </c>
      <c r="ME39" s="34"/>
      <c r="MI39" s="32"/>
      <c r="MK39" s="36">
        <v>1000</v>
      </c>
      <c r="NA39" s="34"/>
      <c r="NE39" s="32"/>
      <c r="NG39" s="36">
        <v>1000</v>
      </c>
    </row>
    <row r="40" spans="1:371" hidden="1" x14ac:dyDescent="0.2">
      <c r="A40" s="34"/>
      <c r="B40" s="58" t="s">
        <v>54</v>
      </c>
      <c r="C40" s="34"/>
      <c r="AL40" s="66"/>
      <c r="AM40" s="66"/>
      <c r="AN40" s="66"/>
      <c r="AP40" s="32"/>
      <c r="AQ40" s="32"/>
      <c r="AR40" s="32"/>
      <c r="AS40" s="59">
        <v>1000</v>
      </c>
      <c r="BP40" s="66"/>
      <c r="BQ40" s="66"/>
      <c r="BR40" s="66"/>
      <c r="BU40" s="32"/>
      <c r="BV40" s="68"/>
      <c r="BW40" s="59">
        <v>1000</v>
      </c>
      <c r="CT40" s="66"/>
      <c r="CU40" s="66"/>
      <c r="CV40" s="66"/>
      <c r="CX40" s="32"/>
      <c r="CY40" s="32"/>
      <c r="CZ40" s="32"/>
      <c r="DA40" s="59">
        <v>1000</v>
      </c>
      <c r="DS40" s="34"/>
      <c r="DW40" s="32"/>
      <c r="DX40" s="68"/>
      <c r="DY40" s="59">
        <v>1000</v>
      </c>
      <c r="EO40" s="34"/>
      <c r="ES40" s="32"/>
      <c r="EU40" s="59">
        <v>1000</v>
      </c>
      <c r="FK40" s="34"/>
      <c r="FO40" s="32"/>
      <c r="FQ40" s="59">
        <v>1000</v>
      </c>
      <c r="GG40" s="34"/>
      <c r="GK40" s="32"/>
      <c r="GL40" s="68"/>
      <c r="GM40" s="59">
        <v>1000</v>
      </c>
      <c r="HC40" s="34"/>
      <c r="HG40" s="32"/>
      <c r="HH40" s="68"/>
      <c r="HI40" s="59">
        <v>1000</v>
      </c>
      <c r="HY40" s="34"/>
      <c r="IC40" s="32"/>
      <c r="ID40" s="68"/>
      <c r="IE40" s="59">
        <v>1000</v>
      </c>
      <c r="IU40" s="34"/>
      <c r="IY40" s="32"/>
      <c r="JA40" s="59">
        <v>1000</v>
      </c>
      <c r="JQ40" s="34"/>
      <c r="JU40" s="32"/>
      <c r="JW40" s="59">
        <v>1000</v>
      </c>
      <c r="KM40" s="34"/>
      <c r="KQ40" s="32"/>
      <c r="KS40" s="59">
        <v>1000</v>
      </c>
      <c r="LI40" s="34"/>
      <c r="LM40" s="32"/>
      <c r="LO40" s="59">
        <v>1000</v>
      </c>
      <c r="ME40" s="34"/>
      <c r="MI40" s="32"/>
      <c r="MK40" s="59">
        <v>1000</v>
      </c>
      <c r="NA40" s="34"/>
      <c r="NE40" s="32"/>
      <c r="NG40" s="59">
        <v>1000</v>
      </c>
    </row>
    <row r="41" spans="1:371" hidden="1" x14ac:dyDescent="0.2">
      <c r="A41" s="34"/>
      <c r="B41" s="41" t="s">
        <v>28</v>
      </c>
      <c r="C41" s="34"/>
      <c r="I41" s="2"/>
      <c r="AL41" s="66"/>
      <c r="AM41" s="66"/>
      <c r="AN41" s="66"/>
      <c r="AP41" s="32"/>
      <c r="AQ41" s="32"/>
      <c r="AR41" s="32"/>
      <c r="AS41" s="37">
        <v>1000</v>
      </c>
      <c r="BP41" s="66"/>
      <c r="BQ41" s="66"/>
      <c r="BR41" s="66"/>
      <c r="BU41" s="32"/>
      <c r="BW41" s="37">
        <v>1000</v>
      </c>
      <c r="CT41" s="66"/>
      <c r="CU41" s="66"/>
      <c r="CV41" s="66"/>
      <c r="CX41" s="32"/>
      <c r="CY41" s="32"/>
      <c r="CZ41" s="32"/>
      <c r="DA41" s="37">
        <v>1000</v>
      </c>
      <c r="DS41" s="34"/>
      <c r="DW41" s="32"/>
      <c r="DY41" s="37">
        <v>1000</v>
      </c>
      <c r="EO41" s="34"/>
      <c r="ES41" s="32"/>
      <c r="EU41" s="37">
        <v>1000</v>
      </c>
      <c r="FK41" s="34"/>
      <c r="FO41" s="32"/>
      <c r="FQ41" s="37">
        <v>1000</v>
      </c>
      <c r="GG41" s="34"/>
      <c r="GK41" s="32"/>
      <c r="GM41" s="37">
        <v>1000</v>
      </c>
      <c r="HC41" s="34"/>
      <c r="HG41" s="32"/>
      <c r="HI41" s="37">
        <v>1000</v>
      </c>
      <c r="HY41" s="34"/>
      <c r="IC41" s="32"/>
      <c r="ID41" s="68"/>
      <c r="IE41" s="37">
        <v>1000</v>
      </c>
      <c r="IU41" s="34"/>
      <c r="IY41" s="32"/>
      <c r="JA41" s="37">
        <v>1000</v>
      </c>
      <c r="JQ41" s="34"/>
      <c r="JU41" s="32"/>
      <c r="JW41" s="37">
        <v>1000</v>
      </c>
      <c r="KM41" s="34"/>
      <c r="KQ41" s="32"/>
      <c r="KS41" s="37">
        <v>1000</v>
      </c>
      <c r="LI41" s="34"/>
      <c r="LM41" s="32"/>
      <c r="LO41" s="37">
        <v>1000</v>
      </c>
      <c r="ME41" s="34"/>
      <c r="MI41" s="32"/>
      <c r="MK41" s="37">
        <v>1000</v>
      </c>
      <c r="NA41" s="34"/>
      <c r="NE41" s="32"/>
      <c r="NG41" s="37">
        <v>1000</v>
      </c>
    </row>
    <row r="42" spans="1:371" x14ac:dyDescent="0.2">
      <c r="B42" s="47" t="s">
        <v>47</v>
      </c>
      <c r="C42" s="2"/>
      <c r="AO42" s="32"/>
      <c r="AP42" s="32"/>
      <c r="AR42" s="32"/>
      <c r="CW42" s="32"/>
      <c r="CX42" s="32"/>
      <c r="CZ42" s="32"/>
      <c r="EP42" s="32"/>
    </row>
    <row r="43" spans="1:371" x14ac:dyDescent="0.2">
      <c r="A43" s="34"/>
      <c r="B43" s="34"/>
      <c r="C43" s="33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A44" s="34"/>
      <c r="B44" s="34"/>
      <c r="C44" s="33"/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A45" s="34"/>
      <c r="B45" s="34"/>
      <c r="C45" s="33"/>
      <c r="M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AK46" s="32"/>
      <c r="AL46" s="32"/>
      <c r="AM46" s="32"/>
      <c r="AN46" s="32"/>
      <c r="AO46" s="32"/>
      <c r="AP46" s="32"/>
      <c r="AR46" s="32"/>
      <c r="CS46" s="32"/>
      <c r="CT46" s="32"/>
      <c r="CU46" s="32"/>
      <c r="CV46" s="32"/>
      <c r="CW46" s="32"/>
      <c r="CX46" s="32"/>
      <c r="CZ46" s="32"/>
    </row>
    <row r="47" spans="1:371" ht="17" x14ac:dyDescent="0.2">
      <c r="M47" s="16"/>
      <c r="N47" s="16"/>
      <c r="AK47" s="32"/>
      <c r="AL47" s="32"/>
      <c r="AM47" s="32"/>
      <c r="AN47" s="32"/>
      <c r="AO47" s="32"/>
      <c r="AP47" s="32"/>
      <c r="AR47" s="32"/>
      <c r="CS47" s="32"/>
      <c r="CT47" s="32"/>
      <c r="CU47" s="32"/>
      <c r="CV47" s="32"/>
      <c r="CW47" s="32"/>
      <c r="CX47" s="32"/>
      <c r="CZ47" s="32"/>
    </row>
    <row r="48" spans="1:371" ht="17" x14ac:dyDescent="0.2">
      <c r="M48" s="16"/>
      <c r="N48" s="16"/>
      <c r="AK48" s="32"/>
      <c r="AL48" s="32"/>
      <c r="AM48" s="32"/>
      <c r="AN48" s="32"/>
      <c r="AO48" s="32"/>
      <c r="AP48" s="32"/>
      <c r="AR48" s="32"/>
      <c r="CS48" s="32"/>
      <c r="CT48" s="32"/>
      <c r="CU48" s="32"/>
      <c r="CV48" s="32"/>
      <c r="CW48" s="32"/>
      <c r="CX48" s="32"/>
      <c r="CZ48" s="32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  <row r="61" spans="13:15" ht="17" x14ac:dyDescent="0.2">
      <c r="M61" s="16"/>
      <c r="N61" s="16"/>
      <c r="O61" s="16"/>
    </row>
    <row r="62" spans="13:15" ht="17" x14ac:dyDescent="0.2">
      <c r="M62" s="16"/>
      <c r="N62" s="16"/>
      <c r="O62" s="16"/>
    </row>
    <row r="63" spans="13:15" ht="17" x14ac:dyDescent="0.2">
      <c r="M63" s="16"/>
      <c r="N63" s="16"/>
      <c r="O63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1">
      <sortCondition descending="1" ref="F1:F32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P4:AS31">
    <cfRule type="expression" dxfId="181" priority="1" stopIfTrue="1">
      <formula>IF($AJ4&lt;&gt;"",1,0)</formula>
    </cfRule>
  </conditionalFormatting>
  <conditionalFormatting sqref="AT4:BW31">
    <cfRule type="expression" dxfId="180" priority="3" stopIfTrue="1">
      <formula>IF($BN4&lt;&gt;"",1,0)</formula>
    </cfRule>
  </conditionalFormatting>
  <conditionalFormatting sqref="J1:J1048576 L1:L1048576">
    <cfRule type="expression" dxfId="179" priority="10">
      <formula>IF(J1=$BX$1,1,0)</formula>
    </cfRule>
    <cfRule type="expression" dxfId="178" priority="11">
      <formula>IF(J1=$AT$1,1,0)</formula>
    </cfRule>
    <cfRule type="expression" dxfId="177" priority="12">
      <formula>IF(J1=$P$1,1,0)</formula>
    </cfRule>
  </conditionalFormatting>
  <conditionalFormatting sqref="BX4:DA31">
    <cfRule type="expression" dxfId="176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75" priority="48339" operator="between">
      <formula>AS$38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74" priority="48384" operator="between">
      <formula>AS$38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73" priority="48429" operator="between">
      <formula>DY$37</formula>
      <formula>1000</formula>
    </cfRule>
    <cfRule type="cellIs" dxfId="172" priority="48430" operator="between">
      <formula>DY$36</formula>
      <formula>DY$37</formula>
    </cfRule>
    <cfRule type="cellIs" dxfId="171" priority="48431" operator="between">
      <formula>DY$35</formula>
      <formula>DY$36</formula>
    </cfRule>
    <cfRule type="cellIs" dxfId="170" priority="48432" operator="between">
      <formula>DY$34</formula>
      <formula>DY$35</formula>
    </cfRule>
  </conditionalFormatting>
  <conditionalFormatting sqref="AL1:AL1048576 BP1:BP1048576 CT1:CT1048576">
    <cfRule type="cellIs" dxfId="169" priority="48573" operator="between">
      <formula>AS$37</formula>
      <formula>1000</formula>
    </cfRule>
    <cfRule type="cellIs" dxfId="168" priority="48574" operator="between">
      <formula>AS$36</formula>
      <formula>AS$37</formula>
    </cfRule>
    <cfRule type="cellIs" dxfId="167" priority="48575" operator="between">
      <formula>AS$35</formula>
      <formula>AS$36</formula>
    </cfRule>
    <cfRule type="cellIs" dxfId="166" priority="48576" operator="between">
      <formula>AS$34</formula>
      <formula>AS$35</formula>
    </cfRule>
  </conditionalFormatting>
  <conditionalFormatting sqref="AM1:AM1048576 BQ1:BQ1048576 CU1:CU1048576">
    <cfRule type="cellIs" dxfId="165" priority="48609" operator="between">
      <formula>AS$38</formula>
      <formula>1000</formula>
    </cfRule>
  </conditionalFormatting>
  <conditionalFormatting sqref="AN1:AN1048576 BR1:BR1048576 CV1:CV1048576">
    <cfRule type="cellIs" dxfId="164" priority="48618" operator="between">
      <formula>AS$37</formula>
      <formula>1000</formula>
    </cfRule>
    <cfRule type="cellIs" dxfId="163" priority="48619" operator="between">
      <formula>AS$36</formula>
      <formula>AS$37</formula>
    </cfRule>
    <cfRule type="cellIs" dxfId="162" priority="48620" operator="between">
      <formula>AS$35</formula>
      <formula>AS$36</formula>
    </cfRule>
    <cfRule type="cellIs" dxfId="161" priority="48621" operator="between">
      <formula>AS$34</formula>
      <formula>AS$35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60" priority="48654" operator="between">
      <formula>AS$37</formula>
      <formula>1000</formula>
    </cfRule>
    <cfRule type="cellIs" dxfId="159" priority="48655" operator="between">
      <formula>AS$36</formula>
      <formula>AS$37</formula>
    </cfRule>
    <cfRule type="cellIs" dxfId="158" priority="48656" operator="between">
      <formula>AS$35</formula>
      <formula>AS$36</formula>
    </cfRule>
    <cfRule type="cellIs" dxfId="157" priority="48657" operator="between">
      <formula>AS$34</formula>
      <formula>AS$35</formula>
    </cfRule>
  </conditionalFormatting>
  <conditionalFormatting sqref="A1:A1048576">
    <cfRule type="expression" dxfId="156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134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130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70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69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70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70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69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70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69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70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69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70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69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70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69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70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69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7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70" t="s">
        <v>12</v>
      </c>
      <c r="Q3" s="70" t="s">
        <v>13</v>
      </c>
      <c r="R3" s="70" t="s">
        <v>7</v>
      </c>
      <c r="S3" s="70" t="s">
        <v>14</v>
      </c>
      <c r="T3" s="70" t="s">
        <v>24</v>
      </c>
      <c r="U3" s="70" t="s">
        <v>12</v>
      </c>
      <c r="V3" s="70" t="s">
        <v>13</v>
      </c>
      <c r="W3" s="70" t="s">
        <v>7</v>
      </c>
      <c r="X3" s="70" t="s">
        <v>14</v>
      </c>
      <c r="Y3" s="70" t="s">
        <v>24</v>
      </c>
      <c r="Z3" s="70" t="s">
        <v>12</v>
      </c>
      <c r="AA3" s="70" t="s">
        <v>13</v>
      </c>
      <c r="AB3" s="70" t="s">
        <v>7</v>
      </c>
      <c r="AC3" s="70" t="s">
        <v>14</v>
      </c>
      <c r="AD3" s="70" t="s">
        <v>24</v>
      </c>
      <c r="AE3" s="70" t="s">
        <v>12</v>
      </c>
      <c r="AF3" s="70" t="s">
        <v>13</v>
      </c>
      <c r="AG3" s="70" t="s">
        <v>7</v>
      </c>
      <c r="AH3" s="70" t="s">
        <v>14</v>
      </c>
      <c r="AI3" s="70" t="s">
        <v>24</v>
      </c>
      <c r="AJ3" s="70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9" t="s">
        <v>12</v>
      </c>
      <c r="AU3" s="69" t="s">
        <v>13</v>
      </c>
      <c r="AV3" s="69" t="s">
        <v>7</v>
      </c>
      <c r="AW3" s="69" t="s">
        <v>14</v>
      </c>
      <c r="AX3" s="69" t="s">
        <v>24</v>
      </c>
      <c r="AY3" s="69" t="s">
        <v>12</v>
      </c>
      <c r="AZ3" s="69" t="s">
        <v>13</v>
      </c>
      <c r="BA3" s="69" t="s">
        <v>7</v>
      </c>
      <c r="BB3" s="69" t="s">
        <v>14</v>
      </c>
      <c r="BC3" s="69" t="s">
        <v>24</v>
      </c>
      <c r="BD3" s="69" t="s">
        <v>12</v>
      </c>
      <c r="BE3" s="69" t="s">
        <v>13</v>
      </c>
      <c r="BF3" s="69" t="s">
        <v>7</v>
      </c>
      <c r="BG3" s="69" t="s">
        <v>14</v>
      </c>
      <c r="BH3" s="69" t="s">
        <v>24</v>
      </c>
      <c r="BI3" s="69" t="s">
        <v>12</v>
      </c>
      <c r="BJ3" s="69" t="s">
        <v>13</v>
      </c>
      <c r="BK3" s="69" t="s">
        <v>7</v>
      </c>
      <c r="BL3" s="69" t="s">
        <v>14</v>
      </c>
      <c r="BM3" s="69" t="s">
        <v>24</v>
      </c>
      <c r="BN3" s="69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70" t="s">
        <v>12</v>
      </c>
      <c r="BY3" s="70" t="s">
        <v>13</v>
      </c>
      <c r="BZ3" s="70" t="s">
        <v>7</v>
      </c>
      <c r="CA3" s="70" t="s">
        <v>14</v>
      </c>
      <c r="CB3" s="70" t="s">
        <v>24</v>
      </c>
      <c r="CC3" s="70" t="s">
        <v>12</v>
      </c>
      <c r="CD3" s="70" t="s">
        <v>13</v>
      </c>
      <c r="CE3" s="70" t="s">
        <v>7</v>
      </c>
      <c r="CF3" s="70" t="s">
        <v>14</v>
      </c>
      <c r="CG3" s="70" t="s">
        <v>24</v>
      </c>
      <c r="CH3" s="70" t="s">
        <v>12</v>
      </c>
      <c r="CI3" s="70" t="s">
        <v>13</v>
      </c>
      <c r="CJ3" s="70" t="s">
        <v>7</v>
      </c>
      <c r="CK3" s="70" t="s">
        <v>14</v>
      </c>
      <c r="CL3" s="70" t="s">
        <v>24</v>
      </c>
      <c r="CM3" s="70" t="s">
        <v>12</v>
      </c>
      <c r="CN3" s="70" t="s">
        <v>13</v>
      </c>
      <c r="CO3" s="70" t="s">
        <v>7</v>
      </c>
      <c r="CP3" s="70" t="s">
        <v>14</v>
      </c>
      <c r="CQ3" s="70" t="s">
        <v>24</v>
      </c>
      <c r="CR3" s="70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70" t="s">
        <v>12</v>
      </c>
      <c r="DE3" s="70" t="s">
        <v>13</v>
      </c>
      <c r="DF3" s="70" t="s">
        <v>7</v>
      </c>
      <c r="DG3" s="70" t="s">
        <v>14</v>
      </c>
      <c r="DH3" s="70" t="s">
        <v>24</v>
      </c>
      <c r="DI3" s="70" t="s">
        <v>12</v>
      </c>
      <c r="DJ3" s="70" t="s">
        <v>13</v>
      </c>
      <c r="DK3" s="70" t="s">
        <v>7</v>
      </c>
      <c r="DL3" s="70" t="s">
        <v>14</v>
      </c>
      <c r="DM3" s="70" t="s">
        <v>24</v>
      </c>
      <c r="DN3" s="70" t="s">
        <v>12</v>
      </c>
      <c r="DO3" s="70" t="s">
        <v>13</v>
      </c>
      <c r="DP3" s="70" t="s">
        <v>7</v>
      </c>
      <c r="DQ3" s="70" t="s">
        <v>14</v>
      </c>
      <c r="DR3" s="70" t="s">
        <v>24</v>
      </c>
      <c r="DS3" s="10"/>
      <c r="DT3" s="9"/>
      <c r="DU3" s="9"/>
      <c r="DV3" s="9"/>
      <c r="DW3" s="9"/>
      <c r="DX3" s="10"/>
      <c r="DY3" s="10"/>
      <c r="DZ3" s="69" t="s">
        <v>12</v>
      </c>
      <c r="EA3" s="69" t="s">
        <v>13</v>
      </c>
      <c r="EB3" s="69" t="s">
        <v>7</v>
      </c>
      <c r="EC3" s="69" t="s">
        <v>14</v>
      </c>
      <c r="ED3" s="69" t="s">
        <v>24</v>
      </c>
      <c r="EE3" s="69" t="s">
        <v>12</v>
      </c>
      <c r="EF3" s="69" t="s">
        <v>13</v>
      </c>
      <c r="EG3" s="69" t="s">
        <v>7</v>
      </c>
      <c r="EH3" s="69" t="s">
        <v>14</v>
      </c>
      <c r="EI3" s="69" t="s">
        <v>24</v>
      </c>
      <c r="EJ3" s="69" t="s">
        <v>12</v>
      </c>
      <c r="EK3" s="69" t="s">
        <v>13</v>
      </c>
      <c r="EL3" s="69" t="s">
        <v>7</v>
      </c>
      <c r="EM3" s="69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70" t="s">
        <v>12</v>
      </c>
      <c r="EW3" s="70" t="s">
        <v>13</v>
      </c>
      <c r="EX3" s="70" t="s">
        <v>7</v>
      </c>
      <c r="EY3" s="70" t="s">
        <v>14</v>
      </c>
      <c r="EZ3" s="70" t="s">
        <v>24</v>
      </c>
      <c r="FA3" s="70" t="s">
        <v>12</v>
      </c>
      <c r="FB3" s="70" t="s">
        <v>13</v>
      </c>
      <c r="FC3" s="70" t="s">
        <v>7</v>
      </c>
      <c r="FD3" s="70" t="s">
        <v>14</v>
      </c>
      <c r="FE3" s="70" t="s">
        <v>24</v>
      </c>
      <c r="FF3" s="70" t="s">
        <v>12</v>
      </c>
      <c r="FG3" s="70" t="s">
        <v>13</v>
      </c>
      <c r="FH3" s="70" t="s">
        <v>7</v>
      </c>
      <c r="FI3" s="70" t="s">
        <v>14</v>
      </c>
      <c r="FJ3" s="70" t="s">
        <v>24</v>
      </c>
      <c r="FK3" s="10"/>
      <c r="FL3" s="9"/>
      <c r="FM3" s="9"/>
      <c r="FN3" s="9"/>
      <c r="FO3" s="9"/>
      <c r="FP3" s="10"/>
      <c r="FQ3" s="10"/>
      <c r="FR3" s="69" t="s">
        <v>12</v>
      </c>
      <c r="FS3" s="69" t="s">
        <v>13</v>
      </c>
      <c r="FT3" s="69" t="s">
        <v>7</v>
      </c>
      <c r="FU3" s="69" t="s">
        <v>14</v>
      </c>
      <c r="FV3" s="69" t="s">
        <v>24</v>
      </c>
      <c r="FW3" s="69" t="s">
        <v>12</v>
      </c>
      <c r="FX3" s="69" t="s">
        <v>13</v>
      </c>
      <c r="FY3" s="69" t="s">
        <v>7</v>
      </c>
      <c r="FZ3" s="69" t="s">
        <v>14</v>
      </c>
      <c r="GA3" s="69" t="s">
        <v>24</v>
      </c>
      <c r="GB3" s="69" t="s">
        <v>12</v>
      </c>
      <c r="GC3" s="69" t="s">
        <v>13</v>
      </c>
      <c r="GD3" s="69" t="s">
        <v>7</v>
      </c>
      <c r="GE3" s="69" t="s">
        <v>14</v>
      </c>
      <c r="GF3" s="69" t="s">
        <v>24</v>
      </c>
      <c r="GG3" s="13"/>
      <c r="GH3" s="12"/>
      <c r="GI3" s="12"/>
      <c r="GJ3" s="12"/>
      <c r="GK3" s="12"/>
      <c r="GL3" s="13"/>
      <c r="GM3" s="13"/>
      <c r="GN3" s="70" t="s">
        <v>12</v>
      </c>
      <c r="GO3" s="70" t="s">
        <v>13</v>
      </c>
      <c r="GP3" s="70" t="s">
        <v>7</v>
      </c>
      <c r="GQ3" s="70" t="s">
        <v>14</v>
      </c>
      <c r="GR3" s="70" t="s">
        <v>24</v>
      </c>
      <c r="GS3" s="70" t="s">
        <v>12</v>
      </c>
      <c r="GT3" s="70" t="s">
        <v>13</v>
      </c>
      <c r="GU3" s="70" t="s">
        <v>7</v>
      </c>
      <c r="GV3" s="70" t="s">
        <v>14</v>
      </c>
      <c r="GW3" s="70" t="s">
        <v>24</v>
      </c>
      <c r="GX3" s="70" t="s">
        <v>12</v>
      </c>
      <c r="GY3" s="70" t="s">
        <v>13</v>
      </c>
      <c r="GZ3" s="70" t="s">
        <v>7</v>
      </c>
      <c r="HA3" s="70" t="s">
        <v>14</v>
      </c>
      <c r="HB3" s="70" t="s">
        <v>24</v>
      </c>
      <c r="HC3" s="10"/>
      <c r="HD3" s="9"/>
      <c r="HE3" s="9"/>
      <c r="HF3" s="9"/>
      <c r="HG3" s="9"/>
      <c r="HH3" s="10"/>
      <c r="HI3" s="10"/>
      <c r="HJ3" s="69" t="s">
        <v>12</v>
      </c>
      <c r="HK3" s="69" t="s">
        <v>13</v>
      </c>
      <c r="HL3" s="69" t="s">
        <v>7</v>
      </c>
      <c r="HM3" s="69" t="s">
        <v>14</v>
      </c>
      <c r="HN3" s="69" t="s">
        <v>24</v>
      </c>
      <c r="HO3" s="69" t="s">
        <v>12</v>
      </c>
      <c r="HP3" s="69" t="s">
        <v>13</v>
      </c>
      <c r="HQ3" s="69" t="s">
        <v>7</v>
      </c>
      <c r="HR3" s="69" t="s">
        <v>14</v>
      </c>
      <c r="HS3" s="69" t="s">
        <v>24</v>
      </c>
      <c r="HT3" s="69" t="s">
        <v>12</v>
      </c>
      <c r="HU3" s="69" t="s">
        <v>13</v>
      </c>
      <c r="HV3" s="69" t="s">
        <v>7</v>
      </c>
      <c r="HW3" s="69" t="s">
        <v>14</v>
      </c>
      <c r="HX3" s="69" t="s">
        <v>24</v>
      </c>
      <c r="HY3" s="13"/>
      <c r="HZ3" s="12"/>
      <c r="IA3" s="12"/>
      <c r="IB3" s="12"/>
      <c r="IC3" s="12"/>
      <c r="ID3" s="13"/>
      <c r="IE3" s="13"/>
      <c r="IF3" s="70" t="s">
        <v>12</v>
      </c>
      <c r="IG3" s="70" t="s">
        <v>13</v>
      </c>
      <c r="IH3" s="70" t="s">
        <v>7</v>
      </c>
      <c r="II3" s="70" t="s">
        <v>14</v>
      </c>
      <c r="IJ3" s="70" t="s">
        <v>24</v>
      </c>
      <c r="IK3" s="70" t="s">
        <v>12</v>
      </c>
      <c r="IL3" s="70" t="s">
        <v>13</v>
      </c>
      <c r="IM3" s="70" t="s">
        <v>7</v>
      </c>
      <c r="IN3" s="70" t="s">
        <v>14</v>
      </c>
      <c r="IO3" s="70" t="s">
        <v>24</v>
      </c>
      <c r="IP3" s="70" t="s">
        <v>12</v>
      </c>
      <c r="IQ3" s="70" t="s">
        <v>13</v>
      </c>
      <c r="IR3" s="70" t="s">
        <v>7</v>
      </c>
      <c r="IS3" s="70" t="s">
        <v>14</v>
      </c>
      <c r="IT3" s="70" t="s">
        <v>24</v>
      </c>
      <c r="IU3" s="10"/>
      <c r="IV3" s="9"/>
      <c r="IW3" s="9"/>
      <c r="IX3" s="9"/>
      <c r="IY3" s="9"/>
      <c r="IZ3" s="10"/>
      <c r="JA3" s="10"/>
      <c r="JB3" s="69" t="s">
        <v>12</v>
      </c>
      <c r="JC3" s="69" t="s">
        <v>13</v>
      </c>
      <c r="JD3" s="69" t="s">
        <v>7</v>
      </c>
      <c r="JE3" s="69" t="s">
        <v>14</v>
      </c>
      <c r="JF3" s="69" t="s">
        <v>24</v>
      </c>
      <c r="JG3" s="69" t="s">
        <v>12</v>
      </c>
      <c r="JH3" s="69" t="s">
        <v>13</v>
      </c>
      <c r="JI3" s="69" t="s">
        <v>7</v>
      </c>
      <c r="JJ3" s="69" t="s">
        <v>14</v>
      </c>
      <c r="JK3" s="69" t="s">
        <v>24</v>
      </c>
      <c r="JL3" s="69" t="s">
        <v>12</v>
      </c>
      <c r="JM3" s="69" t="s">
        <v>13</v>
      </c>
      <c r="JN3" s="69" t="s">
        <v>7</v>
      </c>
      <c r="JO3" s="69" t="s">
        <v>14</v>
      </c>
      <c r="JP3" s="69" t="s">
        <v>24</v>
      </c>
      <c r="JQ3" s="13"/>
      <c r="JR3" s="12"/>
      <c r="JS3" s="12"/>
      <c r="JT3" s="12"/>
      <c r="JU3" s="12"/>
      <c r="JV3" s="13"/>
      <c r="JW3" s="13"/>
      <c r="JX3" s="70" t="s">
        <v>12</v>
      </c>
      <c r="JY3" s="70" t="s">
        <v>13</v>
      </c>
      <c r="JZ3" s="70" t="s">
        <v>7</v>
      </c>
      <c r="KA3" s="70" t="s">
        <v>14</v>
      </c>
      <c r="KB3" s="70" t="s">
        <v>24</v>
      </c>
      <c r="KC3" s="70" t="s">
        <v>12</v>
      </c>
      <c r="KD3" s="70" t="s">
        <v>13</v>
      </c>
      <c r="KE3" s="70" t="s">
        <v>7</v>
      </c>
      <c r="KF3" s="70" t="s">
        <v>14</v>
      </c>
      <c r="KG3" s="70" t="s">
        <v>24</v>
      </c>
      <c r="KH3" s="70" t="s">
        <v>12</v>
      </c>
      <c r="KI3" s="70" t="s">
        <v>13</v>
      </c>
      <c r="KJ3" s="70" t="s">
        <v>7</v>
      </c>
      <c r="KK3" s="70" t="s">
        <v>14</v>
      </c>
      <c r="KL3" s="70" t="s">
        <v>24</v>
      </c>
      <c r="KM3" s="10"/>
      <c r="KN3" s="9"/>
      <c r="KO3" s="9"/>
      <c r="KP3" s="9"/>
      <c r="KQ3" s="9"/>
      <c r="KR3" s="10"/>
      <c r="KS3" s="10"/>
      <c r="KT3" s="69" t="s">
        <v>12</v>
      </c>
      <c r="KU3" s="69" t="s">
        <v>13</v>
      </c>
      <c r="KV3" s="69" t="s">
        <v>7</v>
      </c>
      <c r="KW3" s="69" t="s">
        <v>14</v>
      </c>
      <c r="KX3" s="69" t="s">
        <v>24</v>
      </c>
      <c r="KY3" s="69" t="s">
        <v>12</v>
      </c>
      <c r="KZ3" s="69" t="s">
        <v>13</v>
      </c>
      <c r="LA3" s="69" t="s">
        <v>7</v>
      </c>
      <c r="LB3" s="69" t="s">
        <v>14</v>
      </c>
      <c r="LC3" s="69" t="s">
        <v>24</v>
      </c>
      <c r="LD3" s="69" t="s">
        <v>12</v>
      </c>
      <c r="LE3" s="69" t="s">
        <v>13</v>
      </c>
      <c r="LF3" s="69" t="s">
        <v>7</v>
      </c>
      <c r="LG3" s="69" t="s">
        <v>14</v>
      </c>
      <c r="LH3" s="69" t="s">
        <v>24</v>
      </c>
      <c r="LI3" s="13"/>
      <c r="LJ3" s="12"/>
      <c r="LK3" s="12"/>
      <c r="LL3" s="12"/>
      <c r="LM3" s="12"/>
      <c r="LN3" s="13"/>
      <c r="LO3" s="13"/>
      <c r="LP3" s="70" t="s">
        <v>12</v>
      </c>
      <c r="LQ3" s="70" t="s">
        <v>13</v>
      </c>
      <c r="LR3" s="70" t="s">
        <v>7</v>
      </c>
      <c r="LS3" s="70" t="s">
        <v>14</v>
      </c>
      <c r="LT3" s="70" t="s">
        <v>24</v>
      </c>
      <c r="LU3" s="70" t="s">
        <v>12</v>
      </c>
      <c r="LV3" s="70" t="s">
        <v>13</v>
      </c>
      <c r="LW3" s="70" t="s">
        <v>7</v>
      </c>
      <c r="LX3" s="70" t="s">
        <v>14</v>
      </c>
      <c r="LY3" s="70" t="s">
        <v>24</v>
      </c>
      <c r="LZ3" s="70" t="s">
        <v>12</v>
      </c>
      <c r="MA3" s="70" t="s">
        <v>13</v>
      </c>
      <c r="MB3" s="70" t="s">
        <v>7</v>
      </c>
      <c r="MC3" s="70" t="s">
        <v>14</v>
      </c>
      <c r="MD3" s="70" t="s">
        <v>24</v>
      </c>
      <c r="ME3" s="10"/>
      <c r="MF3" s="9"/>
      <c r="MG3" s="9"/>
      <c r="MH3" s="9"/>
      <c r="MI3" s="9"/>
      <c r="MJ3" s="10"/>
      <c r="MK3" s="10"/>
      <c r="ML3" s="69" t="s">
        <v>12</v>
      </c>
      <c r="MM3" s="69" t="s">
        <v>13</v>
      </c>
      <c r="MN3" s="69" t="s">
        <v>7</v>
      </c>
      <c r="MO3" s="69" t="s">
        <v>14</v>
      </c>
      <c r="MP3" s="69" t="s">
        <v>24</v>
      </c>
      <c r="MQ3" s="69" t="s">
        <v>12</v>
      </c>
      <c r="MR3" s="69" t="s">
        <v>13</v>
      </c>
      <c r="MS3" s="69" t="s">
        <v>7</v>
      </c>
      <c r="MT3" s="69" t="s">
        <v>14</v>
      </c>
      <c r="MU3" s="69" t="s">
        <v>24</v>
      </c>
      <c r="MV3" s="69" t="s">
        <v>12</v>
      </c>
      <c r="MW3" s="69" t="s">
        <v>13</v>
      </c>
      <c r="MX3" s="69" t="s">
        <v>7</v>
      </c>
      <c r="MY3" s="69" t="s">
        <v>14</v>
      </c>
      <c r="MZ3" s="69" t="s">
        <v>24</v>
      </c>
      <c r="NA3" s="13"/>
      <c r="NB3" s="12"/>
      <c r="NC3" s="12"/>
      <c r="ND3" s="12"/>
      <c r="NE3" s="12"/>
      <c r="NF3" s="13"/>
      <c r="NG3" s="13"/>
      <c r="NH3" s="70" t="s">
        <v>12</v>
      </c>
      <c r="NI3" s="70" t="s">
        <v>13</v>
      </c>
      <c r="NJ3" s="70" t="s">
        <v>7</v>
      </c>
      <c r="NK3" s="70" t="s">
        <v>14</v>
      </c>
      <c r="NL3" s="70" t="s">
        <v>24</v>
      </c>
      <c r="NM3" s="70" t="s">
        <v>12</v>
      </c>
      <c r="NN3" s="70" t="s">
        <v>13</v>
      </c>
      <c r="NO3" s="70" t="s">
        <v>7</v>
      </c>
      <c r="NP3" s="70" t="s">
        <v>14</v>
      </c>
      <c r="NQ3" s="70" t="s">
        <v>24</v>
      </c>
      <c r="NR3" s="70" t="s">
        <v>12</v>
      </c>
      <c r="NS3" s="70" t="s">
        <v>13</v>
      </c>
      <c r="NT3" s="70" t="s">
        <v>7</v>
      </c>
      <c r="NU3" s="70" t="s">
        <v>14</v>
      </c>
      <c r="NV3" s="70" t="s">
        <v>24</v>
      </c>
      <c r="NW3" s="70" t="s">
        <v>12</v>
      </c>
      <c r="NX3" s="70" t="s">
        <v>13</v>
      </c>
      <c r="NY3" s="70" t="s">
        <v>7</v>
      </c>
      <c r="NZ3" s="70" t="s">
        <v>14</v>
      </c>
      <c r="OA3" s="70" t="s">
        <v>24</v>
      </c>
      <c r="OB3" s="7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8" t="s">
        <v>93</v>
      </c>
      <c r="C4" s="4" t="s">
        <v>5</v>
      </c>
      <c r="D4" s="22">
        <v>2001</v>
      </c>
      <c r="E4" s="15">
        <f t="shared" ref="E4:E28" si="0">SUM(I4:M4)</f>
        <v>102.57</v>
      </c>
      <c r="F4" s="3" t="str">
        <f t="shared" ref="F4:F28" si="1">IF(OR(AND(AL4&gt;=AS$31,AM4&gt;=AS$35,AL4&lt;&gt;"",AJ4=""),AND(AN4&gt;=AS$31,AO4&gt;=AS$35,AN4&lt;&gt;"",AN4=""),AND(AQ4&gt;=AS$31,AR4&gt;=AS$35,AQ4&lt;&gt;"",AJ4=""),AND(BP4&gt;=BW$31,BQ4&gt;=BW$35,BP4&lt;&gt;"",BN4=""),AND(BR4&gt;=BW$31,BS4&gt;=BW$35,BR4&lt;&gt;"",BN4=""),AND(BU4&gt;=BW$31,BV4&gt;=BW$35,BU4&lt;&gt;"",BN4=""),AND(CT4&gt;=DA$31,CU4&gt;=DA$35,CT4&lt;&gt;"",CR4=""),AND(CV4&gt;=DA$31,CW4&gt;=DA$35,CV4&lt;&gt;"",CR4=""),AND(CY4&gt;=DA$31,CZ4&gt;=DA$35,CY4&lt;&gt;"",CR4=""),AND(DS4&gt;=DY$31,DU4&gt;=DY$35,DS4&lt;&gt;""),AND(DW4&gt;=DY$31,DX4&gt;=DY$35,DW4&lt;&gt;""),AND(EO4&gt;=EU$31,EQ4&gt;=EU$35,EO4&lt;&gt;""),AND(ES4&gt;=EU$31,ET4&gt;=EU$35,ES4&lt;&gt;""),AND(FK4&gt;=FQ$31,FM4&gt;=FQ$35,FK4&lt;&gt;""),AND(FO4&gt;=FQ$31,FP4&gt;=FQ$35,FO4&lt;&gt;""),AND(GG4&gt;=GM$31,GI4&gt;=GM$35,GG4&lt;&gt;""),AND(GK4&gt;=GM$31,GL4&gt;=GM$35,GK4&lt;&gt;""),AND(HC4&gt;=HI$31,HE4&gt;=HI$35,HC4&lt;&gt;""),AND(HG4&gt;=HI$31,HH4&gt;=HI$35,HG4&lt;&gt;""),AND(HY4&gt;=IE$31,IA4&gt;=IE$35,HY4&lt;&gt;""),AND(IC4&gt;=IE$31,ID4&gt;=IE$35,IC4&lt;&gt;""),AND(IU4&gt;=JA$31,IW4&gt;=JA$35,IU4&lt;&gt;""),AND(IY4&gt;=JA$31,IZ4&gt;=JA$35,IY4&lt;&gt;""),AND(JQ4&gt;=JW$31,JS4&gt;=JW$35,JQ4&lt;&gt;""),AND(JU4&gt;=JW$31,JV4&gt;=JW$35,JU4&lt;&gt;""),AND(KM4&gt;=KS$31,KO4&gt;=KS$35,KM4&lt;&gt;""),AND(KQ4&gt;=KS$31,KR4&gt;=KS$35,KQ4&lt;&gt;""),AND(LI4&gt;=LO$31,LK4&gt;=LO$35,LI4&lt;&gt;""),AND(LM4&gt;=LO$31,LN4&gt;=LO$35,LM4&lt;&gt;""),AND(ME4&gt;=MK$31,MG4&gt;=MK$35,ME4&lt;&gt;""),AND(MI4&gt;=MK$31,MJ4&gt;=MK$35,MI4&lt;&gt;""),AND(NA4&gt;=NG$31,NC4&gt;=NG$35,NA4&lt;&gt;""),AND(NE4&gt;=NG$31,NF4&gt;=NG$35,NE4&lt;&gt;"")),"P","")</f>
        <v>P</v>
      </c>
      <c r="G4" s="3" t="str">
        <f t="shared" ref="G4:G28" si="2">IF(OR(AND(AM4&gt;=AS$35,AL4&lt;&gt;"",AJ4=""),AND(AO4&gt;=AS$35,AN4&lt;&gt;"",AN4=""),AND(AR4&gt;=AS$35,AQ4&lt;&gt;"",AJ4=""),AND(BQ4&gt;=BW$35,BP4&lt;&gt;"",BN4=""),AND(BS4&gt;=BW$35,BR4&lt;&gt;"",BN4=""),AND(BV4&gt;=BW$35,BU4&lt;&gt;"",BN4=""),AND(CU4&gt;=DA$35,CT4&lt;&gt;"",CR4=""),AND(CW4&gt;=DA$35,CV4&lt;&gt;"",CR4=""),AND(CZ4&gt;=DA$35,CY4&lt;&gt;"",CR4=""),AND(DU4&gt;=DY$35,DS4&lt;&gt;""),AND(DX4&gt;=DY$35,DW4&lt;&gt;""),AND(EQ4&gt;=EU$35,EO4&lt;&gt;""),AND(ET4&gt;=EU$35,ES4&lt;&gt;""),AND(FM4&gt;=FQ$35,FK4&lt;&gt;""),AND(FP4&gt;=FQ$35,FO4&lt;&gt;""),AND(GI4&gt;=GM$35,GG4&lt;&gt;""),AND(GL4&gt;=GM$35,GK4&lt;&gt;""),AND(HE4&gt;=HI$35,HC4&lt;&gt;""),AND(HH4&gt;=HI$35,HG4&lt;&gt;""),AND(IA4&gt;=IE$35,HY4&lt;&gt;""),AND(ID4&gt;=IE$35,IC4&lt;&gt;""),AND(IW4&gt;=JA$35,IU4&lt;&gt;""),AND(IZ4&gt;=JA$35,IY4&lt;&gt;""),AND(JS4&gt;=JW$35,JQ4&lt;&gt;""),AND(JV4&gt;=JW$35,JU4&lt;&gt;""),AND(KO4&gt;=KS$35,KM4&lt;&gt;""),AND(KR4&gt;=KS$35,KQ4&lt;&gt;""),AND(LK4&gt;=LO$35,LI4&lt;&gt;""),AND(LN4&gt;=LO$35,LM4&lt;&gt;""),AND(MG4&gt;=MK$35,ME4&lt;&gt;""),AND(MJ4&gt;=MK$35,MI4&lt;&gt;""),AND(NC4&gt;=NG$35,NA4&lt;&gt;""),AND(NF4&gt;=NG$35,NE4&lt;&gt;"")),"P","")</f>
        <v>P</v>
      </c>
      <c r="H4" s="67" t="str">
        <f t="shared" ref="H4:H28" si="3">IF(F4="P","National Team",IF(G4="P","No DD",""))</f>
        <v>National Team</v>
      </c>
      <c r="I4" s="14">
        <f t="shared" ref="I4:I28" si="4">MAX(AM4,AO4,AR4,BQ4,BS4,BV4,CU4,CW4,CZ4)</f>
        <v>51.56</v>
      </c>
      <c r="J4" s="14" t="str">
        <f t="shared" ref="J4:J28" si="5">IF(I4=0,"",IF(OR(I4=CW4,I4=CU4,I4=CZ4),$BX$1,IF(OR(I4=BS4,I4=BQ4,I4=BV4),$AT$1,IF(OR(I4=AO4,I4=AM4,I4=AR4),$P$1,""))))</f>
        <v>2021 Elite Canada</v>
      </c>
      <c r="K4" s="14">
        <f>IF(COUNT(AM4,AO4,AR4,BQ4,BS4,BV4,CU4,CW4,CZ4)&gt;1,LARGE((AM4,AO4,AR4,BQ4,BS4,BV4,CU4,CW4,CZ4),2),0)</f>
        <v>51.01</v>
      </c>
      <c r="L4" s="14" t="str">
        <f t="shared" ref="L4:L28" si="6">IF(K4=0,"",IF(OR(K4=CW4,K4=CU4,K4=CZ4),$BX$1,IF(OR(K4=BS4,K4=BQ4,K4=BV4),$AT$1,IF(OR(K4=AO4,K4=AM4,K4=AR4),$P$1,""))))</f>
        <v>2022 Elite Canada</v>
      </c>
      <c r="M4" s="14" t="str">
        <f t="shared" ref="M4:M28" si="7"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15.6</v>
      </c>
      <c r="Q4" s="38">
        <v>9.1</v>
      </c>
      <c r="R4" s="38">
        <v>3.7</v>
      </c>
      <c r="S4" s="38">
        <v>15.08</v>
      </c>
      <c r="T4" s="38">
        <v>0</v>
      </c>
      <c r="U4" s="38">
        <v>13</v>
      </c>
      <c r="V4" s="38">
        <v>9.1999999999999993</v>
      </c>
      <c r="W4" s="38">
        <v>13.3</v>
      </c>
      <c r="X4" s="38">
        <v>14.365</v>
      </c>
      <c r="Y4" s="38">
        <v>0</v>
      </c>
      <c r="Z4" s="38">
        <v>13.5</v>
      </c>
      <c r="AA4" s="38">
        <v>9.3000000000000007</v>
      </c>
      <c r="AB4" s="38">
        <v>13.3</v>
      </c>
      <c r="AC4" s="38">
        <v>14.63</v>
      </c>
      <c r="AD4" s="38">
        <v>0</v>
      </c>
      <c r="AE4" s="38">
        <v>14</v>
      </c>
      <c r="AF4" s="38">
        <v>9.6</v>
      </c>
      <c r="AG4" s="38">
        <v>13.3</v>
      </c>
      <c r="AH4" s="38">
        <v>14.66</v>
      </c>
      <c r="AI4" s="38">
        <v>0</v>
      </c>
      <c r="AJ4" s="45"/>
      <c r="AK4" s="11">
        <f t="shared" ref="AK4:AK28" si="8">IF(SUM(P4:S4)-T4&gt;0,SUM(P4:S4)-T4,"")</f>
        <v>43.48</v>
      </c>
      <c r="AL4" s="11">
        <f t="shared" ref="AL4:AL28" si="9">IF(W4&gt;0,W4,"")</f>
        <v>13.3</v>
      </c>
      <c r="AM4" s="11">
        <f t="shared" ref="AM4:AM28" si="10">IF(SUM(U4:X4)-Y4&gt;0,SUM(U4:X4)-Y4,"")</f>
        <v>49.865000000000002</v>
      </c>
      <c r="AN4" s="11">
        <f t="shared" ref="AN4:AN28" si="11">IF(AB4&gt;0,AB4,"")</f>
        <v>13.3</v>
      </c>
      <c r="AO4" s="11">
        <f t="shared" ref="AO4:AO28" si="12">IF(SUM(Z4:AC4)-AD4&gt;0,SUM(Z4:AC4)-AD4,"")</f>
        <v>50.730000000000004</v>
      </c>
      <c r="AP4" s="11">
        <f t="shared" ref="AP4:AP28" si="13">IF(AK4="",IF(MAX(AM4,AO4)&gt;0,MAX(AM4,AO4),""),MAX(AM4,AO4)+AK4)</f>
        <v>94.210000000000008</v>
      </c>
      <c r="AQ4" s="11">
        <f t="shared" ref="AQ4:AQ28" si="14">IF(AG4&gt;0,AG4,"")</f>
        <v>13.3</v>
      </c>
      <c r="AR4" s="11">
        <f t="shared" ref="AR4:AR28" si="15">IF(SUM(AE4:AH4)-AI4&gt;0,SUM(AE4:AH4)-AI4,"")</f>
        <v>51.56</v>
      </c>
      <c r="AS4" s="11">
        <f t="shared" ref="AS4:AS28" si="16">IF(SUM(AP4,AR4)&gt;0,SUM(AP4,AR4),"")</f>
        <v>145.77000000000001</v>
      </c>
      <c r="AT4" s="42">
        <v>16.3</v>
      </c>
      <c r="AU4" s="42">
        <v>8.6999999999999993</v>
      </c>
      <c r="AV4" s="42">
        <v>3.5</v>
      </c>
      <c r="AW4" s="42">
        <v>15.31</v>
      </c>
      <c r="AX4" s="42">
        <v>0</v>
      </c>
      <c r="AY4" s="42">
        <v>11.8</v>
      </c>
      <c r="AZ4" s="42">
        <v>8.5</v>
      </c>
      <c r="BA4" s="42">
        <v>11.9</v>
      </c>
      <c r="BB4" s="42">
        <v>14.21</v>
      </c>
      <c r="BC4" s="42">
        <v>0</v>
      </c>
      <c r="BD4" s="42">
        <v>6.6</v>
      </c>
      <c r="BE4" s="42">
        <v>4.4000000000000004</v>
      </c>
      <c r="BF4" s="42">
        <v>7.1</v>
      </c>
      <c r="BG4" s="42">
        <v>7.5949999999999998</v>
      </c>
      <c r="BH4" s="42">
        <v>0</v>
      </c>
      <c r="BI4" s="42">
        <v>10.8</v>
      </c>
      <c r="BJ4" s="42">
        <v>8.4</v>
      </c>
      <c r="BK4" s="42">
        <v>11.7</v>
      </c>
      <c r="BL4" s="42">
        <v>13.29</v>
      </c>
      <c r="BM4" s="42">
        <v>0</v>
      </c>
      <c r="BN4" s="46"/>
      <c r="BO4" s="14">
        <f t="shared" ref="BO4:BO28" si="17">IF(SUM(AT4:AW4)-AX4&gt;0,SUM(AT4:AW4)-AX4,"")</f>
        <v>43.81</v>
      </c>
      <c r="BP4" s="14">
        <f t="shared" ref="BP4:BP28" si="18">IF(BA4&gt;0,BA4,"")</f>
        <v>11.9</v>
      </c>
      <c r="BQ4" s="14">
        <f t="shared" ref="BQ4:BQ28" si="19">IF(SUM(AY4:BB4)-BC4&gt;0,SUM(AY4:BB4)-BC4,"")</f>
        <v>46.410000000000004</v>
      </c>
      <c r="BR4" s="14">
        <f t="shared" ref="BR4:BR28" si="20">IF(BF4&gt;0,BF4,"")</f>
        <v>7.1</v>
      </c>
      <c r="BS4" s="14">
        <f t="shared" ref="BS4:BS28" si="21">IF(SUM(BD4:BG4)-BH4&gt;0,SUM(BD4:BG4)-BH4,"")</f>
        <v>25.695</v>
      </c>
      <c r="BT4" s="14">
        <f t="shared" ref="BT4:BT28" si="22">IF(BO4="",IF(MAX(BQ4,BS4)&gt;0,MAX(BQ4,BS4),""),MAX(BQ4,BS4)+BO4)</f>
        <v>90.22</v>
      </c>
      <c r="BU4" s="14">
        <f t="shared" ref="BU4:BU28" si="23">IF(BK4&gt;0,BK4,"")</f>
        <v>11.7</v>
      </c>
      <c r="BV4" s="14">
        <f t="shared" ref="BV4:BV28" si="24">IF(SUM(BI4:BL4)-BM4&gt;0,SUM(BI4:BL4)-BM4,"")</f>
        <v>44.19</v>
      </c>
      <c r="BW4" s="14">
        <f t="shared" ref="BW4:BW28" si="25">IF(SUM(BT4,BV4)&gt;0,SUM(BT4,BV4),"")</f>
        <v>134.41</v>
      </c>
      <c r="BX4" s="38"/>
      <c r="BY4" s="38"/>
      <c r="BZ4" s="38"/>
      <c r="CA4" s="38"/>
      <c r="CB4" s="38"/>
      <c r="CC4" s="38">
        <v>13.6</v>
      </c>
      <c r="CD4" s="38">
        <v>9.4</v>
      </c>
      <c r="CE4" s="38">
        <v>13.3</v>
      </c>
      <c r="CF4" s="38">
        <v>14.71</v>
      </c>
      <c r="CG4" s="38">
        <v>0</v>
      </c>
      <c r="CH4" s="38">
        <v>12.1</v>
      </c>
      <c r="CI4" s="38">
        <v>9.1999999999999993</v>
      </c>
      <c r="CJ4" s="38">
        <v>13.4</v>
      </c>
      <c r="CK4" s="38">
        <v>14.34</v>
      </c>
      <c r="CL4" s="38">
        <v>0</v>
      </c>
      <c r="CM4" s="38">
        <v>8.1999999999999993</v>
      </c>
      <c r="CN4" s="38">
        <v>5.2</v>
      </c>
      <c r="CO4" s="38">
        <v>8.1</v>
      </c>
      <c r="CP4" s="38">
        <v>8.99</v>
      </c>
      <c r="CQ4" s="38">
        <v>0</v>
      </c>
      <c r="CR4" s="45"/>
      <c r="CS4" s="11" t="str">
        <f t="shared" ref="CS4:CS28" si="26">IF(SUM(BX4:CA4)-CB4&gt;0,SUM(BX4:CA4)-CB4,"")</f>
        <v/>
      </c>
      <c r="CT4" s="11">
        <f t="shared" ref="CT4:CT28" si="27">IF(CE4&gt;0,CE4,"")</f>
        <v>13.3</v>
      </c>
      <c r="CU4" s="11">
        <f t="shared" ref="CU4:CU28" si="28">IF(SUM(CC4:CF4)-CG4&gt;0,SUM(CC4:CF4)-CG4,"")</f>
        <v>51.01</v>
      </c>
      <c r="CV4" s="11">
        <f t="shared" ref="CV4:CV28" si="29">IF(CJ4&gt;0,CJ4,"")</f>
        <v>13.4</v>
      </c>
      <c r="CW4" s="11">
        <f t="shared" ref="CW4:CW28" si="30">IF(SUM(CH4:CK4)-CL4&gt;0,SUM(CH4:CK4)-CL4,"")</f>
        <v>49.039999999999992</v>
      </c>
      <c r="CX4" s="11">
        <f t="shared" ref="CX4:CX28" si="31">IF(CS4="",IF(MAX(CU4,CW4)&gt;0,MAX(CU4,CW4),""),MAX(CU4,CW4)+CS4)</f>
        <v>51.01</v>
      </c>
      <c r="CY4" s="11">
        <f t="shared" ref="CY4:CY28" si="32">IF(CO4&gt;0,CO4,"")</f>
        <v>8.1</v>
      </c>
      <c r="CZ4" s="11">
        <f t="shared" ref="CZ4:CZ28" si="33">IF(SUM(CM4:CP4)-CQ4&gt;0,SUM(CM4:CP4)-CQ4,"")</f>
        <v>30.490000000000002</v>
      </c>
      <c r="DA4" s="11">
        <f t="shared" ref="DA4:DA28" si="34">IF(SUM(CX4,CZ4)&gt;0,SUM(CX4,CZ4),"")</f>
        <v>81.5</v>
      </c>
      <c r="DB4" s="19" t="str">
        <f t="shared" ref="DB4:DB28" si="35">IF(MAX(DU4,EQ4,FM4,GI4,HE4,IA4,IW4,JS4,KO4,LK4,MG4,NC4)-IF(I4="",0,I4)&gt;0.001,MAX(DU4,EQ4,FM4,GI4,HE4,IA4,IW4,JS4,KO4,LK4,MG4,NC4)-IF(I4="",0,I4),"")</f>
        <v/>
      </c>
      <c r="DC4" s="19" t="str">
        <f t="shared" ref="DC4:DC28" si="36">IF(MAX(DX4,ET4,FP4,GL4,HH4,ID4,IZ4,JV4,KR4,LN4,MJ4,NF4)-IF(K4="",0,K4)&gt;0.001,MAX(DX4,ET4,FP4,GL4,HH4,ID4,IZ4,JV4,KR4,LN4,MJ4,NF4)-IF(K4="",0,K4),"")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11" t="str">
        <f t="shared" ref="DS4:DS28" si="37">IF(DK4&gt;0,DK4,"")</f>
        <v/>
      </c>
      <c r="DT4" s="11" t="str">
        <f t="shared" ref="DT4:DT28" si="38">IF(SUM(DD4:DG4)-DH4&gt;0,SUM(DD4:DG4)-DH4,"")</f>
        <v/>
      </c>
      <c r="DU4" s="11" t="str">
        <f t="shared" ref="DU4:DU28" si="39">IF(SUM(DI4:DL4)-DM4&gt;0,SUM(DI4:DL4)-DM4,"")</f>
        <v/>
      </c>
      <c r="DV4" s="11" t="str">
        <f t="shared" ref="DV4:DV28" si="40">IF(SUM(DT4:DU4)&gt;0,SUM(DT4:DU4),"")</f>
        <v/>
      </c>
      <c r="DW4" s="11" t="str">
        <f t="shared" ref="DW4:DW28" si="41">IF(DP4&gt;0,DP4,"")</f>
        <v/>
      </c>
      <c r="DX4" s="11" t="str">
        <f t="shared" ref="DX4:DX28" si="42">IF(SUM(DN4:DQ4)-DR4&gt;0,SUM(DN4:DQ4)-DR4,"")</f>
        <v/>
      </c>
      <c r="DY4" s="11" t="str">
        <f t="shared" ref="DY4:DY28" si="43">IF(SUM(DV4,DX4)&gt;0,SUM(DV4,DX4),"")</f>
        <v/>
      </c>
      <c r="DZ4" s="26">
        <v>15</v>
      </c>
      <c r="EA4" s="26">
        <v>9.1999999999999993</v>
      </c>
      <c r="EB4" s="26">
        <v>2.7</v>
      </c>
      <c r="EC4" s="26">
        <v>15.16</v>
      </c>
      <c r="ED4" s="26">
        <v>0</v>
      </c>
      <c r="EE4" s="26">
        <v>12.8</v>
      </c>
      <c r="EF4" s="26">
        <v>8.6999999999999993</v>
      </c>
      <c r="EG4" s="26">
        <v>11.1</v>
      </c>
      <c r="EH4" s="26">
        <v>14.565</v>
      </c>
      <c r="EI4" s="26">
        <v>0</v>
      </c>
      <c r="EJ4" s="26">
        <v>3.2</v>
      </c>
      <c r="EK4" s="26">
        <v>1.8</v>
      </c>
      <c r="EL4" s="26">
        <v>2</v>
      </c>
      <c r="EM4" s="26">
        <v>3.31</v>
      </c>
      <c r="EN4" s="26">
        <v>0</v>
      </c>
      <c r="EO4" s="14">
        <f t="shared" ref="EO4:EO28" si="44">IF(EG4&gt;0,EG4,"")</f>
        <v>11.1</v>
      </c>
      <c r="EP4" s="14">
        <f t="shared" ref="EP4:EP28" si="45">IF(SUM(DZ4:EC4)-ED4&gt;0,SUM(DZ4:EC4)-ED4,"")</f>
        <v>42.06</v>
      </c>
      <c r="EQ4" s="14">
        <f t="shared" ref="EQ4:EQ28" si="46">IF(SUM(EE4:EH4)-EI4&gt;0,SUM(EE4:EH4)-EI4,"")</f>
        <v>47.164999999999999</v>
      </c>
      <c r="ER4" s="14">
        <f t="shared" ref="ER4:ER28" si="47">IF(SUM(EP4:EQ4)&gt;0,SUM(EP4:EQ4),"")</f>
        <v>89.224999999999994</v>
      </c>
      <c r="ES4" s="14">
        <f t="shared" ref="ES4:ES28" si="48">IF(EL4&gt;0,EL4,"")</f>
        <v>2</v>
      </c>
      <c r="ET4" s="14">
        <f t="shared" ref="ET4:ET28" si="49">IF(SUM(EJ4:EM4)-EN4&gt;0,SUM(EJ4:EM4)-EN4,"")</f>
        <v>10.31</v>
      </c>
      <c r="EU4" s="14">
        <f t="shared" ref="EU4:EU28" si="50">IF(SUM(ER4,ET4)&gt;0,SUM(ER4,ET4),"")</f>
        <v>99.534999999999997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 t="shared" ref="FK4:FK28" si="51">IF(FC4&gt;0,FC4,"")</f>
        <v/>
      </c>
      <c r="FL4" s="11" t="str">
        <f t="shared" ref="FL4:FL28" si="52">IF(SUM(EV4:EY4)-EZ4&gt;0,SUM(EV4:EY4)-EZ4,"")</f>
        <v/>
      </c>
      <c r="FM4" s="11" t="str">
        <f t="shared" ref="FM4:FM28" si="53">IF(SUM(FA4:FD4)-FE4&gt;0,SUM(FA4:FD4)-FE4,"")</f>
        <v/>
      </c>
      <c r="FN4" s="11" t="str">
        <f t="shared" ref="FN4:FN28" si="54">IF(SUM(FL4:FM4)&gt;0,SUM(FL4:FM4),"")</f>
        <v/>
      </c>
      <c r="FO4" s="11" t="str">
        <f t="shared" ref="FO4:FO28" si="55">IF(FH4&gt;0,FH4,"")</f>
        <v/>
      </c>
      <c r="FP4" s="11" t="str">
        <f t="shared" ref="FP4:FP28" si="56">IF(SUM(FF4:FI4)-FJ4&gt;0,SUM(FF4:FI4)-FJ4,"")</f>
        <v/>
      </c>
      <c r="FQ4" s="11" t="str">
        <f t="shared" ref="FQ4:FQ28" si="57"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 t="shared" ref="GG4:GG28" si="58">IF(FY4&gt;0,FY4,"")</f>
        <v/>
      </c>
      <c r="GH4" s="14" t="str">
        <f t="shared" ref="GH4:GH28" si="59">IF(SUM(FR4:FU4)-FV4&gt;0,SUM(FR4:FU4)-FV4,"")</f>
        <v/>
      </c>
      <c r="GI4" s="14" t="str">
        <f t="shared" ref="GI4:GI28" si="60">IF(SUM(FW4:FZ4)-GA4&gt;0,SUM(FW4:FZ4)-GA4,"")</f>
        <v/>
      </c>
      <c r="GJ4" s="14" t="str">
        <f t="shared" ref="GJ4:GJ28" si="61">IF(SUM(GH4:GI4)&gt;0,SUM(GH4:GI4),"")</f>
        <v/>
      </c>
      <c r="GK4" s="14" t="str">
        <f t="shared" ref="GK4:GK28" si="62">IF(GD4&gt;0,GD4,"")</f>
        <v/>
      </c>
      <c r="GL4" s="14" t="str">
        <f t="shared" ref="GL4:GL28" si="63">IF(SUM(GB4:GE4)-GF4&gt;0,SUM(GB4:GE4)-GF4,"")</f>
        <v/>
      </c>
      <c r="GM4" s="14" t="str">
        <f t="shared" ref="GM4:GM28" si="64"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 t="shared" ref="HC4:HC28" si="65">IF(GU4&gt;0,GU4,"")</f>
        <v/>
      </c>
      <c r="HD4" s="11" t="str">
        <f t="shared" ref="HD4:HD28" si="66">IF(SUM(GN4:GQ4)-GR4&gt;0,SUM(GN4:GQ4)-GR4,"")</f>
        <v/>
      </c>
      <c r="HE4" s="11" t="str">
        <f t="shared" ref="HE4:HE28" si="67">IF(SUM(GS4:GV4)-GW4&gt;0,SUM(GS4:GV4)-GW4,"")</f>
        <v/>
      </c>
      <c r="HF4" s="11" t="str">
        <f t="shared" ref="HF4:HF28" si="68">IF(SUM(HD4:HE4)&gt;0,SUM(HD4:HE4),"")</f>
        <v/>
      </c>
      <c r="HG4" s="11" t="str">
        <f t="shared" ref="HG4:HG28" si="69">IF(GZ4&gt;0,GZ4,"")</f>
        <v/>
      </c>
      <c r="HH4" s="11" t="str">
        <f t="shared" ref="HH4:HH28" si="70">IF(SUM(GX4:HA4)-HB4&gt;0,SUM(GX4:HA4)-HB4,"")</f>
        <v/>
      </c>
      <c r="HI4" s="11" t="str">
        <f t="shared" ref="HI4:HI28" si="71"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 t="shared" ref="HY4:HY28" si="72">IF(HQ4&gt;0,HQ4,"")</f>
        <v/>
      </c>
      <c r="HZ4" s="14" t="str">
        <f t="shared" ref="HZ4:HZ28" si="73">IF(SUM(HJ4:HM4)-HN4&gt;0,SUM(HJ4:HM4)-HN4,"")</f>
        <v/>
      </c>
      <c r="IA4" s="14" t="str">
        <f t="shared" ref="IA4:IA28" si="74">IF(SUM(HO4:HR4)-HS4&gt;0,SUM(HO4:HR4)-HS4,"")</f>
        <v/>
      </c>
      <c r="IB4" s="14" t="str">
        <f t="shared" ref="IB4:IB28" si="75">IF(SUM(HZ4:IA4)&gt;0,SUM(HZ4:IA4),"")</f>
        <v/>
      </c>
      <c r="IC4" s="14" t="str">
        <f t="shared" ref="IC4:IC28" si="76">IF(HV4&gt;0,HV4,"")</f>
        <v/>
      </c>
      <c r="ID4" s="14" t="str">
        <f t="shared" ref="ID4:ID28" si="77">IF(SUM(HT4:HW4)-HX4&gt;0,SUM(HT4:HW4)-HX4,"")</f>
        <v/>
      </c>
      <c r="IE4" s="14" t="str">
        <f t="shared" ref="IE4:IE28" si="78"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 t="shared" ref="IU4:IU28" si="79">IF(IM4&gt;0,IM4,"")</f>
        <v/>
      </c>
      <c r="IV4" s="11" t="str">
        <f t="shared" ref="IV4:IV28" si="80">IF(SUM(IF4:II4)-IJ4&gt;0,SUM(IF4:II4)-IJ4,"")</f>
        <v/>
      </c>
      <c r="IW4" s="11" t="str">
        <f t="shared" ref="IW4:IW28" si="81">IF(SUM(IK4:IN4)-IO4&gt;0,SUM(IK4:IN4)-IO4,"")</f>
        <v/>
      </c>
      <c r="IX4" s="11" t="str">
        <f t="shared" ref="IX4:IX28" si="82">IF(SUM(IV4:IW4)&gt;0,SUM(IV4:IW4),"")</f>
        <v/>
      </c>
      <c r="IY4" s="11" t="str">
        <f t="shared" ref="IY4:IY28" si="83">IF(IR4&gt;0,IR4,"")</f>
        <v/>
      </c>
      <c r="IZ4" s="11" t="str">
        <f t="shared" ref="IZ4:IZ28" si="84">IF(SUM(IP4:IS4)-IT4&gt;0,SUM(IP4:IS4)-IT4,"")</f>
        <v/>
      </c>
      <c r="JA4" s="11" t="str">
        <f t="shared" ref="JA4:JA28" si="85"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 t="shared" ref="JQ4:JQ28" si="86">IF(JI4&gt;0,JI4,"")</f>
        <v/>
      </c>
      <c r="JR4" s="14" t="str">
        <f t="shared" ref="JR4:JR28" si="87">IF(SUM(JB4:JE4)-JF4&gt;0,SUM(JB4:JE4)-JF4,"")</f>
        <v/>
      </c>
      <c r="JS4" s="14" t="str">
        <f t="shared" ref="JS4:JS28" si="88">IF(SUM(JG4:JJ4)-JK4&gt;0,SUM(JG4:JJ4)-JK4,"")</f>
        <v/>
      </c>
      <c r="JT4" s="14" t="str">
        <f t="shared" ref="JT4:JT28" si="89">IF(SUM(JR4:JS4)&gt;0,SUM(JR4:JS4),"")</f>
        <v/>
      </c>
      <c r="JU4" s="14" t="str">
        <f t="shared" ref="JU4:JU28" si="90">IF(JN4&gt;0,JN4,"")</f>
        <v/>
      </c>
      <c r="JV4" s="14" t="str">
        <f t="shared" ref="JV4:JV28" si="91">IF(SUM(JL4:JO4)-JP4&gt;0,SUM(JL4:JO4)-JP4,"")</f>
        <v/>
      </c>
      <c r="JW4" s="14" t="str">
        <f t="shared" ref="JW4:JW28" si="92"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 t="shared" ref="KM4:KM28" si="93">IF(KE4&gt;0,KE4,"")</f>
        <v/>
      </c>
      <c r="KN4" s="11" t="str">
        <f t="shared" ref="KN4:KN28" si="94">IF(SUM(JX4:KA4)-KB4&gt;0,SUM(JX4:KA4)-KB4,"")</f>
        <v/>
      </c>
      <c r="KO4" s="11" t="str">
        <f t="shared" ref="KO4:KO28" si="95">IF(SUM(KC4:KF4)-KG4&gt;0,SUM(KC4:KF4)-KG4,"")</f>
        <v/>
      </c>
      <c r="KP4" s="11" t="str">
        <f t="shared" ref="KP4:KP28" si="96">IF(SUM(KN4:KO4)&gt;0,SUM(KN4:KO4),"")</f>
        <v/>
      </c>
      <c r="KQ4" s="11" t="str">
        <f t="shared" ref="KQ4:KQ28" si="97">IF(KJ4&gt;0,KJ4,"")</f>
        <v/>
      </c>
      <c r="KR4" s="11" t="str">
        <f t="shared" ref="KR4:KR28" si="98">IF(SUM(KH4:KK4)-KL4&gt;0,SUM(KH4:KK4)-KL4,"")</f>
        <v/>
      </c>
      <c r="KS4" s="11" t="str">
        <f t="shared" ref="KS4:KS28" si="99"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 t="shared" ref="LI4:LI28" si="100">IF(LA4&gt;0,LA4,"")</f>
        <v/>
      </c>
      <c r="LJ4" s="14" t="str">
        <f t="shared" ref="LJ4:LJ28" si="101">IF(SUM(KT4:KW4)-KX4&gt;0,SUM(KT4:KW4)-KX4,"")</f>
        <v/>
      </c>
      <c r="LK4" s="14" t="str">
        <f t="shared" ref="LK4:LK28" si="102">IF(SUM(KY4:LB4)-LC4&gt;0,SUM(KY4:LB4)-LC4,"")</f>
        <v/>
      </c>
      <c r="LL4" s="14" t="str">
        <f t="shared" ref="LL4:LL28" si="103">IF(SUM(LJ4:LK4)&gt;0,SUM(LJ4:LK4),"")</f>
        <v/>
      </c>
      <c r="LM4" s="14" t="str">
        <f t="shared" ref="LM4:LM28" si="104">IF(LF4&gt;0,LF4,"")</f>
        <v/>
      </c>
      <c r="LN4" s="14" t="str">
        <f t="shared" ref="LN4:LN28" si="105">IF(SUM(LD4:LG4)-LH4&gt;0,SUM(LD4:LG4)-LH4,"")</f>
        <v/>
      </c>
      <c r="LO4" s="14" t="str">
        <f t="shared" ref="LO4:LO28" si="106"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 t="shared" ref="ME4:ME28" si="107">IF(LW4&gt;0,LW4,"")</f>
        <v/>
      </c>
      <c r="MF4" s="11" t="str">
        <f t="shared" ref="MF4:MF28" si="108">IF(SUM(LP4:LS4)-LT4&gt;0,SUM(LP4:LS4)-LT4,"")</f>
        <v/>
      </c>
      <c r="MG4" s="11" t="str">
        <f t="shared" ref="MG4:MG28" si="109">IF(SUM(LU4:LX4)-LY4&gt;0,SUM(LU4:LX4)-LY4,"")</f>
        <v/>
      </c>
      <c r="MH4" s="11" t="str">
        <f t="shared" ref="MH4:MH28" si="110">IF(SUM(MF4:MG4)&gt;0,SUM(MF4:MG4),"")</f>
        <v/>
      </c>
      <c r="MI4" s="11" t="str">
        <f t="shared" ref="MI4:MI28" si="111">IF(MB4&gt;0,MB4,"")</f>
        <v/>
      </c>
      <c r="MJ4" s="11" t="str">
        <f t="shared" ref="MJ4:MJ28" si="112">IF(SUM(LZ4:MC4)-MD4&gt;0,SUM(LZ4:MC4)-MD4,"")</f>
        <v/>
      </c>
      <c r="MK4" s="11" t="str">
        <f t="shared" ref="MK4:MK28" si="113"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 t="shared" ref="NA4:NA28" si="114">IF(MS4&gt;0,MS4,"")</f>
        <v/>
      </c>
      <c r="NB4" s="14" t="str">
        <f t="shared" ref="NB4:NB28" si="115">IF(SUM(ML4:MO4)-MP4&gt;0,SUM(ML4:MO4)-MP4,"")</f>
        <v/>
      </c>
      <c r="NC4" s="14" t="str">
        <f t="shared" ref="NC4:NC28" si="116">IF(SUM(MQ4:MT4)-MU4&gt;0,SUM(MQ4:MT4)-MU4,"")</f>
        <v/>
      </c>
      <c r="ND4" s="14" t="str">
        <f t="shared" ref="ND4:ND28" si="117">IF(SUM(NB4:NC4)&gt;0,SUM(NB4:NC4),"")</f>
        <v/>
      </c>
      <c r="NE4" s="14" t="str">
        <f t="shared" ref="NE4:NE28" si="118">IF(MX4&gt;0,MX4,"")</f>
        <v/>
      </c>
      <c r="NF4" s="14" t="str">
        <f t="shared" ref="NF4:NF28" si="119">IF(SUM(MV4:MY4)-MZ4&gt;0,SUM(MV4:MY4)-MZ4,"")</f>
        <v/>
      </c>
      <c r="NG4" s="14" t="str">
        <f t="shared" ref="NG4:NG28" si="120">IF(SUM(ND4,NF4)&gt;0,SUM(ND4,NF4),"")</f>
        <v/>
      </c>
      <c r="NH4" s="38">
        <f t="shared" ref="NH4:NH28" si="121">IF($CR4="P",BX4,(BX4+AT4)/2)</f>
        <v>8.15</v>
      </c>
      <c r="NI4" s="38">
        <f t="shared" ref="NI4:NI28" si="122">IF($CR4="P",BY4,(BY4+AU4)/2)</f>
        <v>4.3499999999999996</v>
      </c>
      <c r="NJ4" s="38">
        <f t="shared" ref="NJ4:NJ28" si="123">IF($CR4="P",BZ4,(BZ4+AV4)/2)</f>
        <v>1.75</v>
      </c>
      <c r="NK4" s="38">
        <f t="shared" ref="NK4:NK28" si="124">IF($CR4="P",CA4,(CA4+AW4)/2)</f>
        <v>7.6550000000000002</v>
      </c>
      <c r="NL4" s="38">
        <f t="shared" ref="NL4:NL28" si="125">IF($CR4="P",CB4,(CB4+AX4)/2)</f>
        <v>0</v>
      </c>
      <c r="NM4" s="38">
        <f t="shared" ref="NM4:NM28" si="126">IF($CR4="P",CC4,(CC4+AY4)/2)</f>
        <v>12.7</v>
      </c>
      <c r="NN4" s="38">
        <f t="shared" ref="NN4:NN28" si="127">IF($CR4="P",CD4,(CD4+AZ4)/2)</f>
        <v>8.9499999999999993</v>
      </c>
      <c r="NO4" s="38">
        <f t="shared" ref="NO4:NO28" si="128">IF($CR4="P",CE4,(CE4+BA4)/2)</f>
        <v>12.600000000000001</v>
      </c>
      <c r="NP4" s="38">
        <f t="shared" ref="NP4:NP28" si="129">IF($CR4="P",CF4,(CF4+BB4)/2)</f>
        <v>14.46</v>
      </c>
      <c r="NQ4" s="38">
        <f t="shared" ref="NQ4:NQ28" si="130">IF($CR4="P",CG4,(CG4+BC4)/2)</f>
        <v>0</v>
      </c>
      <c r="NR4" s="38">
        <f t="shared" ref="NR4:NR28" si="131">IF($CR4="P",CH4,(CH4+BD4)/2)</f>
        <v>9.35</v>
      </c>
      <c r="NS4" s="38">
        <f t="shared" ref="NS4:NS28" si="132">IF($CR4="P",CI4,(CI4+BE4)/2)</f>
        <v>6.8</v>
      </c>
      <c r="NT4" s="38">
        <f t="shared" ref="NT4:NT28" si="133">IF($CR4="P",CJ4,(CJ4+BF4)/2)</f>
        <v>10.25</v>
      </c>
      <c r="NU4" s="38">
        <f t="shared" ref="NU4:NU28" si="134">IF($CR4="P",CK4,(CK4+BG4)/2)</f>
        <v>10.967499999999999</v>
      </c>
      <c r="NV4" s="38">
        <f t="shared" ref="NV4:NV28" si="135">IF($CR4="P",CL4,(CL4+BH4)/2)</f>
        <v>0</v>
      </c>
      <c r="NW4" s="38">
        <f t="shared" ref="NW4:NW28" si="136">IF($CR4="P",CM4,(CM4+BI4)/2)</f>
        <v>9.5</v>
      </c>
      <c r="NX4" s="38">
        <f t="shared" ref="NX4:NX28" si="137">IF($CR4="P",CN4,(CN4+BJ4)/2)</f>
        <v>6.8000000000000007</v>
      </c>
      <c r="NY4" s="38">
        <f t="shared" ref="NY4:NY28" si="138">IF($CR4="P",CO4,(CO4+BK4)/2)</f>
        <v>9.8999999999999986</v>
      </c>
      <c r="NZ4" s="38">
        <f t="shared" ref="NZ4:NZ28" si="139">IF($CR4="P",CP4,(CP4+BL4)/2)</f>
        <v>11.14</v>
      </c>
      <c r="OA4" s="38">
        <f t="shared" ref="OA4:OA28" si="140">IF($CR4="P",CQ4,(CQ4+BM4)/2)</f>
        <v>0</v>
      </c>
      <c r="OB4" s="45" t="s">
        <v>46</v>
      </c>
      <c r="OC4" s="11">
        <f t="shared" ref="OC4:OC28" si="141">IF(SUM(NH4:NK4)-NL4&gt;0,SUM(NH4:NK4)-NL4,"")</f>
        <v>21.905000000000001</v>
      </c>
      <c r="OD4" s="11">
        <f t="shared" ref="OD4:OD28" si="142">IF(NO4&gt;0,NO4,"")</f>
        <v>12.600000000000001</v>
      </c>
      <c r="OE4" s="11">
        <f t="shared" ref="OE4:OE28" si="143">IF(SUM(NM4:NP4)-NQ4&gt;0,SUM(NM4:NP4)-NQ4,"")</f>
        <v>48.71</v>
      </c>
      <c r="OF4" s="11">
        <f t="shared" ref="OF4:OF28" si="144">IF(NT4&gt;0,NT4,"")</f>
        <v>10.25</v>
      </c>
      <c r="OG4" s="11">
        <f t="shared" ref="OG4:OG28" si="145">IF(SUM(NR4:NU4)-NV4&gt;0,SUM(NR4:NU4)-NV4,"")</f>
        <v>37.3675</v>
      </c>
      <c r="OH4" s="11">
        <f t="shared" ref="OH4:OH28" si="146">IF(OR(OC4&lt;&gt;"",OE4&lt;&gt;"",OG4&lt;&gt;""),OC4+MAX(OE4,OG4),"")</f>
        <v>70.615000000000009</v>
      </c>
      <c r="OI4" s="11">
        <f t="shared" ref="OI4:OI28" si="147">IF(NY4&gt;0,NY4,"")</f>
        <v>9.8999999999999986</v>
      </c>
      <c r="OJ4" s="11">
        <f t="shared" ref="OJ4:OJ7" si="148">IF(SUM(NW4:NZ4)-OA4&gt;0,SUM(NW4:NZ4)-OA4,"")</f>
        <v>37.340000000000003</v>
      </c>
      <c r="OK4" s="11">
        <f t="shared" ref="OK4:OK7" si="149">IF(SUM(OH4,OJ4)&gt;0,SUM(OH4,OJ4),"")</f>
        <v>107.95500000000001</v>
      </c>
    </row>
    <row r="5" spans="1:401" x14ac:dyDescent="0.2">
      <c r="A5" s="5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8" t="s">
        <v>72</v>
      </c>
      <c r="C5" s="4" t="s">
        <v>5</v>
      </c>
      <c r="D5" s="5">
        <v>2002</v>
      </c>
      <c r="E5" s="15">
        <f t="shared" si="0"/>
        <v>101.87</v>
      </c>
      <c r="F5" s="3" t="str">
        <f t="shared" si="1"/>
        <v>P</v>
      </c>
      <c r="G5" s="3" t="str">
        <f t="shared" si="2"/>
        <v>P</v>
      </c>
      <c r="H5" s="67" t="str">
        <f t="shared" si="3"/>
        <v>National Team</v>
      </c>
      <c r="I5" s="14">
        <f t="shared" si="4"/>
        <v>51.075000000000003</v>
      </c>
      <c r="J5" s="14" t="str">
        <f t="shared" si="5"/>
        <v>2022 Elite Canada</v>
      </c>
      <c r="K5" s="14">
        <f>IF(COUNT(AM5,AO5,AR5,BQ5,BS5,BV5,CU5,CW5,CZ5)&gt;1,LARGE((AM5,AO5,AR5,BQ5,BS5,BV5,CU5,CW5,CZ5),2),0)</f>
        <v>50.795000000000002</v>
      </c>
      <c r="L5" s="14" t="str">
        <f t="shared" si="6"/>
        <v>2021 Elite Canada</v>
      </c>
      <c r="M5" s="14" t="str">
        <f t="shared" si="7"/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>
        <v>17.7</v>
      </c>
      <c r="Q5" s="38">
        <v>9.5</v>
      </c>
      <c r="R5" s="38">
        <v>3.9</v>
      </c>
      <c r="S5" s="38">
        <v>15.395</v>
      </c>
      <c r="T5" s="38">
        <v>0</v>
      </c>
      <c r="U5" s="38">
        <v>14.7</v>
      </c>
      <c r="V5" s="38">
        <v>9</v>
      </c>
      <c r="W5" s="38">
        <v>12.7</v>
      </c>
      <c r="X5" s="38">
        <v>14.395</v>
      </c>
      <c r="Y5" s="38">
        <v>0</v>
      </c>
      <c r="Z5" s="38">
        <v>14.5</v>
      </c>
      <c r="AA5" s="38">
        <v>9.1</v>
      </c>
      <c r="AB5" s="38">
        <v>12.7</v>
      </c>
      <c r="AC5" s="38">
        <v>14.265000000000001</v>
      </c>
      <c r="AD5" s="38">
        <v>0</v>
      </c>
      <c r="AE5" s="38">
        <v>14.4</v>
      </c>
      <c r="AF5" s="38">
        <v>8.5</v>
      </c>
      <c r="AG5" s="38">
        <v>11.4</v>
      </c>
      <c r="AH5" s="38">
        <v>13.994999999999999</v>
      </c>
      <c r="AI5" s="38">
        <v>0</v>
      </c>
      <c r="AJ5" s="45"/>
      <c r="AK5" s="11">
        <f t="shared" si="8"/>
        <v>46.494999999999997</v>
      </c>
      <c r="AL5" s="11">
        <f t="shared" si="9"/>
        <v>12.7</v>
      </c>
      <c r="AM5" s="11">
        <f t="shared" si="10"/>
        <v>50.795000000000002</v>
      </c>
      <c r="AN5" s="11">
        <f t="shared" si="11"/>
        <v>12.7</v>
      </c>
      <c r="AO5" s="11">
        <f t="shared" si="12"/>
        <v>50.564999999999998</v>
      </c>
      <c r="AP5" s="11">
        <f t="shared" si="13"/>
        <v>97.289999999999992</v>
      </c>
      <c r="AQ5" s="11">
        <f t="shared" si="14"/>
        <v>11.4</v>
      </c>
      <c r="AR5" s="11">
        <f t="shared" si="15"/>
        <v>48.294999999999995</v>
      </c>
      <c r="AS5" s="11">
        <f t="shared" si="16"/>
        <v>145.58499999999998</v>
      </c>
      <c r="AT5" s="42">
        <v>17.2</v>
      </c>
      <c r="AU5" s="42">
        <v>9.6</v>
      </c>
      <c r="AV5" s="42">
        <v>3.7</v>
      </c>
      <c r="AW5" s="42">
        <v>15.17</v>
      </c>
      <c r="AX5" s="42">
        <v>0</v>
      </c>
      <c r="AY5" s="42">
        <v>11.8</v>
      </c>
      <c r="AZ5" s="42">
        <v>8.3000000000000007</v>
      </c>
      <c r="BA5" s="42">
        <v>11.2</v>
      </c>
      <c r="BB5" s="42">
        <v>12.154999999999999</v>
      </c>
      <c r="BC5" s="42">
        <v>0</v>
      </c>
      <c r="BD5" s="42">
        <v>4.2</v>
      </c>
      <c r="BE5" s="42">
        <v>2.7</v>
      </c>
      <c r="BF5" s="42">
        <v>3.4</v>
      </c>
      <c r="BG5" s="42">
        <v>4.4950000000000001</v>
      </c>
      <c r="BH5" s="42">
        <v>0</v>
      </c>
      <c r="BI5" s="42">
        <v>12.2</v>
      </c>
      <c r="BJ5" s="42">
        <v>8.1999999999999993</v>
      </c>
      <c r="BK5" s="42">
        <v>11.5</v>
      </c>
      <c r="BL5" s="42">
        <v>12.61</v>
      </c>
      <c r="BM5" s="42">
        <v>0</v>
      </c>
      <c r="BN5" s="46"/>
      <c r="BO5" s="14">
        <f t="shared" si="17"/>
        <v>45.669999999999995</v>
      </c>
      <c r="BP5" s="14">
        <f t="shared" si="18"/>
        <v>11.2</v>
      </c>
      <c r="BQ5" s="14">
        <f t="shared" si="19"/>
        <v>43.454999999999998</v>
      </c>
      <c r="BR5" s="14">
        <f t="shared" si="20"/>
        <v>3.4</v>
      </c>
      <c r="BS5" s="14">
        <f t="shared" si="21"/>
        <v>14.795000000000002</v>
      </c>
      <c r="BT5" s="14">
        <f t="shared" si="22"/>
        <v>89.125</v>
      </c>
      <c r="BU5" s="14">
        <f t="shared" si="23"/>
        <v>11.5</v>
      </c>
      <c r="BV5" s="14">
        <f t="shared" si="24"/>
        <v>44.51</v>
      </c>
      <c r="BW5" s="14">
        <f t="shared" si="25"/>
        <v>133.63499999999999</v>
      </c>
      <c r="BX5" s="38"/>
      <c r="BY5" s="38"/>
      <c r="BZ5" s="38"/>
      <c r="CA5" s="38"/>
      <c r="CB5" s="38"/>
      <c r="CC5" s="38">
        <v>14.1</v>
      </c>
      <c r="CD5" s="38">
        <v>8.9</v>
      </c>
      <c r="CE5" s="38">
        <v>12.9</v>
      </c>
      <c r="CF5" s="38">
        <v>13.875</v>
      </c>
      <c r="CG5" s="38">
        <v>0</v>
      </c>
      <c r="CH5" s="38">
        <v>4.4000000000000004</v>
      </c>
      <c r="CI5" s="38">
        <v>2.8</v>
      </c>
      <c r="CJ5" s="38">
        <v>4.4000000000000004</v>
      </c>
      <c r="CK5" s="38">
        <v>4.3449999999999998</v>
      </c>
      <c r="CL5" s="38">
        <v>0</v>
      </c>
      <c r="CM5" s="38">
        <v>14.9</v>
      </c>
      <c r="CN5" s="38">
        <v>9.1999999999999993</v>
      </c>
      <c r="CO5" s="38">
        <v>12.9</v>
      </c>
      <c r="CP5" s="38">
        <v>14.074999999999999</v>
      </c>
      <c r="CQ5" s="38">
        <v>0</v>
      </c>
      <c r="CR5" s="45"/>
      <c r="CS5" s="11" t="str">
        <f t="shared" si="26"/>
        <v/>
      </c>
      <c r="CT5" s="11">
        <f t="shared" si="27"/>
        <v>12.9</v>
      </c>
      <c r="CU5" s="11">
        <f t="shared" si="28"/>
        <v>49.774999999999999</v>
      </c>
      <c r="CV5" s="11">
        <f t="shared" si="29"/>
        <v>4.4000000000000004</v>
      </c>
      <c r="CW5" s="11">
        <f t="shared" si="30"/>
        <v>15.945</v>
      </c>
      <c r="CX5" s="11">
        <f t="shared" si="31"/>
        <v>49.774999999999999</v>
      </c>
      <c r="CY5" s="11">
        <f t="shared" si="32"/>
        <v>12.9</v>
      </c>
      <c r="CZ5" s="11">
        <f t="shared" si="33"/>
        <v>51.075000000000003</v>
      </c>
      <c r="DA5" s="11">
        <f t="shared" si="34"/>
        <v>100.85</v>
      </c>
      <c r="DB5" s="19" t="str">
        <f t="shared" si="35"/>
        <v/>
      </c>
      <c r="DC5" s="19" t="str">
        <f t="shared" si="36"/>
        <v/>
      </c>
      <c r="DD5" s="25">
        <v>16.899999999999999</v>
      </c>
      <c r="DE5" s="25">
        <v>9.1999999999999993</v>
      </c>
      <c r="DF5" s="25">
        <v>2.7</v>
      </c>
      <c r="DG5" s="25">
        <v>14.935</v>
      </c>
      <c r="DH5" s="25">
        <v>0</v>
      </c>
      <c r="DI5" s="25">
        <v>14.5</v>
      </c>
      <c r="DJ5" s="25">
        <v>8.9</v>
      </c>
      <c r="DK5" s="25">
        <v>10.7</v>
      </c>
      <c r="DL5" s="25">
        <v>13.74</v>
      </c>
      <c r="DM5" s="25">
        <v>0</v>
      </c>
      <c r="DN5" s="25"/>
      <c r="DO5" s="25"/>
      <c r="DP5" s="25"/>
      <c r="DQ5" s="25"/>
      <c r="DR5" s="25"/>
      <c r="DS5" s="11">
        <f t="shared" si="37"/>
        <v>10.7</v>
      </c>
      <c r="DT5" s="11">
        <f t="shared" si="38"/>
        <v>43.734999999999999</v>
      </c>
      <c r="DU5" s="11">
        <f t="shared" si="39"/>
        <v>47.839999999999996</v>
      </c>
      <c r="DV5" s="11">
        <f t="shared" si="40"/>
        <v>91.574999999999989</v>
      </c>
      <c r="DW5" s="11" t="str">
        <f t="shared" si="41"/>
        <v/>
      </c>
      <c r="DX5" s="11" t="str">
        <f t="shared" si="42"/>
        <v/>
      </c>
      <c r="DY5" s="11">
        <f t="shared" si="43"/>
        <v>91.574999999999989</v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 t="shared" si="44"/>
        <v/>
      </c>
      <c r="EP5" s="14" t="str">
        <f t="shared" si="45"/>
        <v/>
      </c>
      <c r="EQ5" s="14" t="str">
        <f t="shared" si="46"/>
        <v/>
      </c>
      <c r="ER5" s="14" t="str">
        <f t="shared" si="47"/>
        <v/>
      </c>
      <c r="ES5" s="14" t="str">
        <f t="shared" si="48"/>
        <v/>
      </c>
      <c r="ET5" s="14" t="str">
        <f t="shared" si="49"/>
        <v/>
      </c>
      <c r="EU5" s="14" t="str">
        <f t="shared" si="50"/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 t="shared" si="51"/>
        <v/>
      </c>
      <c r="FL5" s="11" t="str">
        <f t="shared" si="52"/>
        <v/>
      </c>
      <c r="FM5" s="11" t="str">
        <f t="shared" si="53"/>
        <v/>
      </c>
      <c r="FN5" s="11" t="str">
        <f t="shared" si="54"/>
        <v/>
      </c>
      <c r="FO5" s="11" t="str">
        <f t="shared" si="55"/>
        <v/>
      </c>
      <c r="FP5" s="11" t="str">
        <f t="shared" si="56"/>
        <v/>
      </c>
      <c r="FQ5" s="11" t="str">
        <f t="shared" si="57"/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 t="shared" si="58"/>
        <v/>
      </c>
      <c r="GH5" s="14" t="str">
        <f t="shared" si="59"/>
        <v/>
      </c>
      <c r="GI5" s="14" t="str">
        <f t="shared" si="60"/>
        <v/>
      </c>
      <c r="GJ5" s="14" t="str">
        <f t="shared" si="61"/>
        <v/>
      </c>
      <c r="GK5" s="14" t="str">
        <f t="shared" si="62"/>
        <v/>
      </c>
      <c r="GL5" s="14" t="str">
        <f t="shared" si="63"/>
        <v/>
      </c>
      <c r="GM5" s="14" t="str">
        <f t="shared" si="64"/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 t="shared" si="65"/>
        <v/>
      </c>
      <c r="HD5" s="11" t="str">
        <f t="shared" si="66"/>
        <v/>
      </c>
      <c r="HE5" s="11" t="str">
        <f t="shared" si="67"/>
        <v/>
      </c>
      <c r="HF5" s="11" t="str">
        <f t="shared" si="68"/>
        <v/>
      </c>
      <c r="HG5" s="11" t="str">
        <f t="shared" si="69"/>
        <v/>
      </c>
      <c r="HH5" s="11" t="str">
        <f t="shared" si="70"/>
        <v/>
      </c>
      <c r="HI5" s="11" t="str">
        <f t="shared" si="71"/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 t="shared" si="72"/>
        <v/>
      </c>
      <c r="HZ5" s="14" t="str">
        <f t="shared" si="73"/>
        <v/>
      </c>
      <c r="IA5" s="14" t="str">
        <f t="shared" si="74"/>
        <v/>
      </c>
      <c r="IB5" s="14" t="str">
        <f t="shared" si="75"/>
        <v/>
      </c>
      <c r="IC5" s="14" t="str">
        <f t="shared" si="76"/>
        <v/>
      </c>
      <c r="ID5" s="14" t="str">
        <f t="shared" si="77"/>
        <v/>
      </c>
      <c r="IE5" s="14" t="str">
        <f t="shared" si="78"/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 t="shared" si="79"/>
        <v/>
      </c>
      <c r="IV5" s="11" t="str">
        <f t="shared" si="80"/>
        <v/>
      </c>
      <c r="IW5" s="11" t="str">
        <f t="shared" si="81"/>
        <v/>
      </c>
      <c r="IX5" s="11" t="str">
        <f t="shared" si="82"/>
        <v/>
      </c>
      <c r="IY5" s="11" t="str">
        <f t="shared" si="83"/>
        <v/>
      </c>
      <c r="IZ5" s="11" t="str">
        <f t="shared" si="84"/>
        <v/>
      </c>
      <c r="JA5" s="11" t="str">
        <f t="shared" si="85"/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 t="shared" si="86"/>
        <v/>
      </c>
      <c r="JR5" s="14" t="str">
        <f t="shared" si="87"/>
        <v/>
      </c>
      <c r="JS5" s="14" t="str">
        <f t="shared" si="88"/>
        <v/>
      </c>
      <c r="JT5" s="14" t="str">
        <f t="shared" si="89"/>
        <v/>
      </c>
      <c r="JU5" s="14" t="str">
        <f t="shared" si="90"/>
        <v/>
      </c>
      <c r="JV5" s="14" t="str">
        <f t="shared" si="91"/>
        <v/>
      </c>
      <c r="JW5" s="14" t="str">
        <f t="shared" si="92"/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 t="shared" si="93"/>
        <v/>
      </c>
      <c r="KN5" s="11" t="str">
        <f t="shared" si="94"/>
        <v/>
      </c>
      <c r="KO5" s="11" t="str">
        <f t="shared" si="95"/>
        <v/>
      </c>
      <c r="KP5" s="11" t="str">
        <f t="shared" si="96"/>
        <v/>
      </c>
      <c r="KQ5" s="11" t="str">
        <f t="shared" si="97"/>
        <v/>
      </c>
      <c r="KR5" s="11" t="str">
        <f t="shared" si="98"/>
        <v/>
      </c>
      <c r="KS5" s="11" t="str">
        <f t="shared" si="99"/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 t="shared" si="100"/>
        <v/>
      </c>
      <c r="LJ5" s="14" t="str">
        <f t="shared" si="101"/>
        <v/>
      </c>
      <c r="LK5" s="14" t="str">
        <f t="shared" si="102"/>
        <v/>
      </c>
      <c r="LL5" s="14" t="str">
        <f t="shared" si="103"/>
        <v/>
      </c>
      <c r="LM5" s="14" t="str">
        <f t="shared" si="104"/>
        <v/>
      </c>
      <c r="LN5" s="14" t="str">
        <f t="shared" si="105"/>
        <v/>
      </c>
      <c r="LO5" s="14" t="str">
        <f t="shared" si="106"/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54"/>
      <c r="MA5" s="25"/>
      <c r="MB5" s="25"/>
      <c r="MC5" s="25"/>
      <c r="MD5" s="25"/>
      <c r="ME5" s="11" t="str">
        <f t="shared" si="107"/>
        <v/>
      </c>
      <c r="MF5" s="11" t="str">
        <f t="shared" si="108"/>
        <v/>
      </c>
      <c r="MG5" s="11" t="str">
        <f t="shared" si="109"/>
        <v/>
      </c>
      <c r="MH5" s="11" t="str">
        <f t="shared" si="110"/>
        <v/>
      </c>
      <c r="MI5" s="11" t="str">
        <f t="shared" si="111"/>
        <v/>
      </c>
      <c r="MJ5" s="11" t="str">
        <f t="shared" si="112"/>
        <v/>
      </c>
      <c r="MK5" s="11" t="str">
        <f t="shared" si="113"/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 t="shared" si="114"/>
        <v/>
      </c>
      <c r="NB5" s="14" t="str">
        <f t="shared" si="115"/>
        <v/>
      </c>
      <c r="NC5" s="14" t="str">
        <f t="shared" si="116"/>
        <v/>
      </c>
      <c r="ND5" s="14" t="str">
        <f t="shared" si="117"/>
        <v/>
      </c>
      <c r="NE5" s="14" t="str">
        <f t="shared" si="118"/>
        <v/>
      </c>
      <c r="NF5" s="14" t="str">
        <f t="shared" si="119"/>
        <v/>
      </c>
      <c r="NG5" s="14" t="str">
        <f t="shared" si="120"/>
        <v/>
      </c>
      <c r="NH5" s="38">
        <f t="shared" si="121"/>
        <v>8.6</v>
      </c>
      <c r="NI5" s="38">
        <f t="shared" si="122"/>
        <v>4.8</v>
      </c>
      <c r="NJ5" s="38">
        <f t="shared" si="123"/>
        <v>1.85</v>
      </c>
      <c r="NK5" s="38">
        <f t="shared" si="124"/>
        <v>7.585</v>
      </c>
      <c r="NL5" s="38">
        <f t="shared" si="125"/>
        <v>0</v>
      </c>
      <c r="NM5" s="38">
        <f t="shared" si="126"/>
        <v>12.95</v>
      </c>
      <c r="NN5" s="38">
        <f t="shared" si="127"/>
        <v>8.6000000000000014</v>
      </c>
      <c r="NO5" s="38">
        <f t="shared" si="128"/>
        <v>12.05</v>
      </c>
      <c r="NP5" s="38">
        <f t="shared" si="129"/>
        <v>13.015000000000001</v>
      </c>
      <c r="NQ5" s="38">
        <f t="shared" si="130"/>
        <v>0</v>
      </c>
      <c r="NR5" s="38">
        <f t="shared" si="131"/>
        <v>4.3000000000000007</v>
      </c>
      <c r="NS5" s="38">
        <f t="shared" si="132"/>
        <v>2.75</v>
      </c>
      <c r="NT5" s="38">
        <f t="shared" si="133"/>
        <v>3.9000000000000004</v>
      </c>
      <c r="NU5" s="38">
        <f t="shared" si="134"/>
        <v>4.42</v>
      </c>
      <c r="NV5" s="38">
        <f t="shared" si="135"/>
        <v>0</v>
      </c>
      <c r="NW5" s="38">
        <f t="shared" si="136"/>
        <v>13.55</v>
      </c>
      <c r="NX5" s="38">
        <f t="shared" si="137"/>
        <v>8.6999999999999993</v>
      </c>
      <c r="NY5" s="38">
        <f t="shared" si="138"/>
        <v>12.2</v>
      </c>
      <c r="NZ5" s="38">
        <f t="shared" si="139"/>
        <v>13.342499999999999</v>
      </c>
      <c r="OA5" s="38">
        <f t="shared" si="140"/>
        <v>0</v>
      </c>
      <c r="OB5" s="45" t="s">
        <v>46</v>
      </c>
      <c r="OC5" s="11">
        <f t="shared" si="141"/>
        <v>22.834999999999997</v>
      </c>
      <c r="OD5" s="11">
        <f t="shared" si="142"/>
        <v>12.05</v>
      </c>
      <c r="OE5" s="11">
        <f t="shared" si="143"/>
        <v>46.615000000000002</v>
      </c>
      <c r="OF5" s="11">
        <f t="shared" si="144"/>
        <v>3.9000000000000004</v>
      </c>
      <c r="OG5" s="11">
        <f t="shared" si="145"/>
        <v>15.370000000000001</v>
      </c>
      <c r="OH5" s="11">
        <f t="shared" si="146"/>
        <v>69.45</v>
      </c>
      <c r="OI5" s="11">
        <f t="shared" si="147"/>
        <v>12.2</v>
      </c>
      <c r="OJ5" s="11">
        <f t="shared" si="148"/>
        <v>47.792500000000004</v>
      </c>
      <c r="OK5" s="11">
        <f t="shared" si="149"/>
        <v>117.24250000000001</v>
      </c>
    </row>
    <row r="6" spans="1:401" x14ac:dyDescent="0.2">
      <c r="A6" s="5" cm="1">
        <f t="array" ref="A6">IF(AND(F6="P",G6="P"),SUMPRODUCT((F$4:F$29="P")*(G$4:G$29="P")*(E$4:E$29&gt;E6))+1,IF(G6="P",SUMPRODUCT((F$4:F$29="")*(G$4:G$29="P")*(E$4:E$29&gt;E6))+1+SUMPRODUCT((F$4:F$29="P")*(G$4:G$29="P")),""))</f>
        <v>3</v>
      </c>
      <c r="B6" s="6" t="s">
        <v>122</v>
      </c>
      <c r="C6" s="7" t="s">
        <v>3</v>
      </c>
      <c r="D6" s="22">
        <v>2001</v>
      </c>
      <c r="E6" s="15">
        <f t="shared" si="0"/>
        <v>101.19</v>
      </c>
      <c r="F6" s="3" t="str">
        <f t="shared" si="1"/>
        <v>P</v>
      </c>
      <c r="G6" s="3" t="str">
        <f t="shared" si="2"/>
        <v>P</v>
      </c>
      <c r="H6" s="67" t="str">
        <f t="shared" si="3"/>
        <v>National Team</v>
      </c>
      <c r="I6" s="14">
        <f t="shared" si="4"/>
        <v>51.120000000000005</v>
      </c>
      <c r="J6" s="14" t="str">
        <f t="shared" si="5"/>
        <v>2022 Elite Canada</v>
      </c>
      <c r="K6" s="14">
        <f>IF(COUNT(AM6,AO6,AR6,BQ6,BS6,BV6,CU6,CW6,CZ6)&gt;1,LARGE((AM6,AO6,AR6,BQ6,BS6,BV6,CU6,CW6,CZ6),2),0)</f>
        <v>50.069999999999993</v>
      </c>
      <c r="L6" s="14" t="str">
        <f t="shared" si="6"/>
        <v>2022 Elite Canada</v>
      </c>
      <c r="M6" s="14" t="str">
        <f t="shared" si="7"/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45"/>
      <c r="AK6" s="11" t="str">
        <f t="shared" si="8"/>
        <v/>
      </c>
      <c r="AL6" s="11" t="str">
        <f t="shared" si="9"/>
        <v/>
      </c>
      <c r="AM6" s="11" t="str">
        <f t="shared" si="10"/>
        <v/>
      </c>
      <c r="AN6" s="11" t="str">
        <f t="shared" si="11"/>
        <v/>
      </c>
      <c r="AO6" s="11" t="str">
        <f t="shared" si="12"/>
        <v/>
      </c>
      <c r="AP6" s="11" t="str">
        <f t="shared" si="13"/>
        <v/>
      </c>
      <c r="AQ6" s="11" t="str">
        <f t="shared" si="14"/>
        <v/>
      </c>
      <c r="AR6" s="11" t="str">
        <f t="shared" si="15"/>
        <v/>
      </c>
      <c r="AS6" s="11" t="str">
        <f t="shared" si="16"/>
        <v/>
      </c>
      <c r="AT6" s="42">
        <v>16.5</v>
      </c>
      <c r="AU6" s="42">
        <v>9</v>
      </c>
      <c r="AV6" s="42">
        <v>2.5</v>
      </c>
      <c r="AW6" s="42">
        <v>15.13</v>
      </c>
      <c r="AX6" s="42">
        <v>2</v>
      </c>
      <c r="AY6" s="42">
        <v>15.7</v>
      </c>
      <c r="AZ6" s="42">
        <v>8.9</v>
      </c>
      <c r="BA6" s="42">
        <v>8.5</v>
      </c>
      <c r="BB6" s="42">
        <v>14.505000000000001</v>
      </c>
      <c r="BC6" s="42">
        <v>0.3</v>
      </c>
      <c r="BD6" s="42"/>
      <c r="BE6" s="42"/>
      <c r="BF6" s="42"/>
      <c r="BG6" s="42"/>
      <c r="BH6" s="42"/>
      <c r="BI6" s="42">
        <v>15.3</v>
      </c>
      <c r="BJ6" s="42">
        <v>9.3000000000000007</v>
      </c>
      <c r="BK6" s="42">
        <v>10.4</v>
      </c>
      <c r="BL6" s="42">
        <v>14.64</v>
      </c>
      <c r="BM6" s="42">
        <v>0</v>
      </c>
      <c r="BN6" s="46"/>
      <c r="BO6" s="14">
        <f t="shared" si="17"/>
        <v>41.13</v>
      </c>
      <c r="BP6" s="14">
        <f t="shared" si="18"/>
        <v>8.5</v>
      </c>
      <c r="BQ6" s="14">
        <f t="shared" si="19"/>
        <v>47.305000000000007</v>
      </c>
      <c r="BR6" s="14" t="str">
        <f t="shared" si="20"/>
        <v/>
      </c>
      <c r="BS6" s="14" t="str">
        <f t="shared" si="21"/>
        <v/>
      </c>
      <c r="BT6" s="14">
        <f t="shared" si="22"/>
        <v>88.435000000000002</v>
      </c>
      <c r="BU6" s="14">
        <f t="shared" si="23"/>
        <v>10.4</v>
      </c>
      <c r="BV6" s="14">
        <f t="shared" si="24"/>
        <v>49.64</v>
      </c>
      <c r="BW6" s="14">
        <f t="shared" si="25"/>
        <v>138.07499999999999</v>
      </c>
      <c r="BX6" s="38"/>
      <c r="BY6" s="38"/>
      <c r="BZ6" s="38"/>
      <c r="CA6" s="38"/>
      <c r="CB6" s="38"/>
      <c r="CC6" s="38">
        <v>14.1</v>
      </c>
      <c r="CD6" s="38">
        <v>8.3000000000000007</v>
      </c>
      <c r="CE6" s="38">
        <v>10.8</v>
      </c>
      <c r="CF6" s="38">
        <v>13.17</v>
      </c>
      <c r="CG6" s="38">
        <v>0</v>
      </c>
      <c r="CH6" s="38">
        <v>14.2</v>
      </c>
      <c r="CI6" s="38">
        <v>9.4</v>
      </c>
      <c r="CJ6" s="38">
        <v>12.2</v>
      </c>
      <c r="CK6" s="38">
        <v>14.27</v>
      </c>
      <c r="CL6" s="38">
        <v>0</v>
      </c>
      <c r="CM6" s="38">
        <v>14.9</v>
      </c>
      <c r="CN6" s="38">
        <v>9.3000000000000007</v>
      </c>
      <c r="CO6" s="38">
        <v>12.2</v>
      </c>
      <c r="CP6" s="38">
        <v>14.72</v>
      </c>
      <c r="CQ6" s="38">
        <v>0</v>
      </c>
      <c r="CR6" s="45"/>
      <c r="CS6" s="11" t="str">
        <f t="shared" si="26"/>
        <v/>
      </c>
      <c r="CT6" s="11">
        <f t="shared" si="27"/>
        <v>10.8</v>
      </c>
      <c r="CU6" s="11">
        <f t="shared" si="28"/>
        <v>46.370000000000005</v>
      </c>
      <c r="CV6" s="11">
        <f t="shared" si="29"/>
        <v>12.2</v>
      </c>
      <c r="CW6" s="11">
        <f t="shared" si="30"/>
        <v>50.069999999999993</v>
      </c>
      <c r="CX6" s="11">
        <f t="shared" si="31"/>
        <v>50.069999999999993</v>
      </c>
      <c r="CY6" s="11">
        <f t="shared" si="32"/>
        <v>12.2</v>
      </c>
      <c r="CZ6" s="11">
        <f t="shared" si="33"/>
        <v>51.120000000000005</v>
      </c>
      <c r="DA6" s="11">
        <f t="shared" si="34"/>
        <v>101.19</v>
      </c>
      <c r="DB6" s="19" t="str">
        <f t="shared" si="35"/>
        <v/>
      </c>
      <c r="DC6" s="19" t="str">
        <f t="shared" si="36"/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 t="shared" si="37"/>
        <v/>
      </c>
      <c r="DT6" s="11" t="str">
        <f t="shared" si="38"/>
        <v/>
      </c>
      <c r="DU6" s="11" t="str">
        <f t="shared" si="39"/>
        <v/>
      </c>
      <c r="DV6" s="11" t="str">
        <f t="shared" si="40"/>
        <v/>
      </c>
      <c r="DW6" s="11" t="str">
        <f t="shared" si="41"/>
        <v/>
      </c>
      <c r="DX6" s="11" t="str">
        <f t="shared" si="42"/>
        <v/>
      </c>
      <c r="DY6" s="11" t="str">
        <f t="shared" si="43"/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 t="shared" si="44"/>
        <v/>
      </c>
      <c r="EP6" s="14" t="str">
        <f t="shared" si="45"/>
        <v/>
      </c>
      <c r="EQ6" s="14" t="str">
        <f t="shared" si="46"/>
        <v/>
      </c>
      <c r="ER6" s="14" t="str">
        <f t="shared" si="47"/>
        <v/>
      </c>
      <c r="ES6" s="14" t="str">
        <f t="shared" si="48"/>
        <v/>
      </c>
      <c r="ET6" s="14" t="str">
        <f t="shared" si="49"/>
        <v/>
      </c>
      <c r="EU6" s="14" t="str">
        <f t="shared" si="50"/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 t="shared" si="51"/>
        <v/>
      </c>
      <c r="FL6" s="11" t="str">
        <f t="shared" si="52"/>
        <v/>
      </c>
      <c r="FM6" s="11" t="str">
        <f t="shared" si="53"/>
        <v/>
      </c>
      <c r="FN6" s="11" t="str">
        <f t="shared" si="54"/>
        <v/>
      </c>
      <c r="FO6" s="11" t="str">
        <f t="shared" si="55"/>
        <v/>
      </c>
      <c r="FP6" s="11" t="str">
        <f t="shared" si="56"/>
        <v/>
      </c>
      <c r="FQ6" s="11" t="str">
        <f t="shared" si="57"/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 t="shared" si="58"/>
        <v/>
      </c>
      <c r="GH6" s="14" t="str">
        <f t="shared" si="59"/>
        <v/>
      </c>
      <c r="GI6" s="14" t="str">
        <f t="shared" si="60"/>
        <v/>
      </c>
      <c r="GJ6" s="14" t="str">
        <f t="shared" si="61"/>
        <v/>
      </c>
      <c r="GK6" s="14" t="str">
        <f t="shared" si="62"/>
        <v/>
      </c>
      <c r="GL6" s="14" t="str">
        <f t="shared" si="63"/>
        <v/>
      </c>
      <c r="GM6" s="14" t="str">
        <f t="shared" si="64"/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 t="shared" si="65"/>
        <v/>
      </c>
      <c r="HD6" s="11" t="str">
        <f t="shared" si="66"/>
        <v/>
      </c>
      <c r="HE6" s="11" t="str">
        <f t="shared" si="67"/>
        <v/>
      </c>
      <c r="HF6" s="11" t="str">
        <f t="shared" si="68"/>
        <v/>
      </c>
      <c r="HG6" s="11" t="str">
        <f t="shared" si="69"/>
        <v/>
      </c>
      <c r="HH6" s="11" t="str">
        <f t="shared" si="70"/>
        <v/>
      </c>
      <c r="HI6" s="11" t="str">
        <f t="shared" si="71"/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 t="shared" si="72"/>
        <v/>
      </c>
      <c r="HZ6" s="14" t="str">
        <f t="shared" si="73"/>
        <v/>
      </c>
      <c r="IA6" s="14" t="str">
        <f t="shared" si="74"/>
        <v/>
      </c>
      <c r="IB6" s="14" t="str">
        <f t="shared" si="75"/>
        <v/>
      </c>
      <c r="IC6" s="14" t="str">
        <f t="shared" si="76"/>
        <v/>
      </c>
      <c r="ID6" s="14" t="str">
        <f t="shared" si="77"/>
        <v/>
      </c>
      <c r="IE6" s="14" t="str">
        <f t="shared" si="78"/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 t="shared" si="79"/>
        <v/>
      </c>
      <c r="IV6" s="11" t="str">
        <f t="shared" si="80"/>
        <v/>
      </c>
      <c r="IW6" s="11" t="str">
        <f t="shared" si="81"/>
        <v/>
      </c>
      <c r="IX6" s="11" t="str">
        <f t="shared" si="82"/>
        <v/>
      </c>
      <c r="IY6" s="11" t="str">
        <f t="shared" si="83"/>
        <v/>
      </c>
      <c r="IZ6" s="11" t="str">
        <f t="shared" si="84"/>
        <v/>
      </c>
      <c r="JA6" s="11" t="str">
        <f t="shared" si="85"/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 t="shared" si="86"/>
        <v/>
      </c>
      <c r="JR6" s="14" t="str">
        <f t="shared" si="87"/>
        <v/>
      </c>
      <c r="JS6" s="14" t="str">
        <f t="shared" si="88"/>
        <v/>
      </c>
      <c r="JT6" s="14" t="str">
        <f t="shared" si="89"/>
        <v/>
      </c>
      <c r="JU6" s="14" t="str">
        <f t="shared" si="90"/>
        <v/>
      </c>
      <c r="JV6" s="14" t="str">
        <f t="shared" si="91"/>
        <v/>
      </c>
      <c r="JW6" s="14" t="str">
        <f t="shared" si="92"/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 t="shared" si="93"/>
        <v/>
      </c>
      <c r="KN6" s="11" t="str">
        <f t="shared" si="94"/>
        <v/>
      </c>
      <c r="KO6" s="11" t="str">
        <f t="shared" si="95"/>
        <v/>
      </c>
      <c r="KP6" s="11" t="str">
        <f t="shared" si="96"/>
        <v/>
      </c>
      <c r="KQ6" s="11" t="str">
        <f t="shared" si="97"/>
        <v/>
      </c>
      <c r="KR6" s="11" t="str">
        <f t="shared" si="98"/>
        <v/>
      </c>
      <c r="KS6" s="11" t="str">
        <f t="shared" si="99"/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 t="shared" si="100"/>
        <v/>
      </c>
      <c r="LJ6" s="14" t="str">
        <f t="shared" si="101"/>
        <v/>
      </c>
      <c r="LK6" s="14" t="str">
        <f t="shared" si="102"/>
        <v/>
      </c>
      <c r="LL6" s="14" t="str">
        <f t="shared" si="103"/>
        <v/>
      </c>
      <c r="LM6" s="14" t="str">
        <f t="shared" si="104"/>
        <v/>
      </c>
      <c r="LN6" s="14" t="str">
        <f t="shared" si="105"/>
        <v/>
      </c>
      <c r="LO6" s="14" t="str">
        <f t="shared" si="106"/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 t="shared" si="107"/>
        <v/>
      </c>
      <c r="MF6" s="11" t="str">
        <f t="shared" si="108"/>
        <v/>
      </c>
      <c r="MG6" s="11" t="str">
        <f t="shared" si="109"/>
        <v/>
      </c>
      <c r="MH6" s="11" t="str">
        <f t="shared" si="110"/>
        <v/>
      </c>
      <c r="MI6" s="11" t="str">
        <f t="shared" si="111"/>
        <v/>
      </c>
      <c r="MJ6" s="11" t="str">
        <f t="shared" si="112"/>
        <v/>
      </c>
      <c r="MK6" s="11" t="str">
        <f t="shared" si="113"/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 t="shared" si="114"/>
        <v/>
      </c>
      <c r="NB6" s="14" t="str">
        <f t="shared" si="115"/>
        <v/>
      </c>
      <c r="NC6" s="14" t="str">
        <f t="shared" si="116"/>
        <v/>
      </c>
      <c r="ND6" s="14" t="str">
        <f t="shared" si="117"/>
        <v/>
      </c>
      <c r="NE6" s="14" t="str">
        <f t="shared" si="118"/>
        <v/>
      </c>
      <c r="NF6" s="14" t="str">
        <f t="shared" si="119"/>
        <v/>
      </c>
      <c r="NG6" s="14" t="str">
        <f t="shared" si="120"/>
        <v/>
      </c>
      <c r="NH6" s="38">
        <f t="shared" si="121"/>
        <v>8.25</v>
      </c>
      <c r="NI6" s="38">
        <f t="shared" si="122"/>
        <v>4.5</v>
      </c>
      <c r="NJ6" s="38">
        <f t="shared" si="123"/>
        <v>1.25</v>
      </c>
      <c r="NK6" s="38">
        <f t="shared" si="124"/>
        <v>7.5650000000000004</v>
      </c>
      <c r="NL6" s="38">
        <f t="shared" si="125"/>
        <v>1</v>
      </c>
      <c r="NM6" s="38">
        <f t="shared" si="126"/>
        <v>14.899999999999999</v>
      </c>
      <c r="NN6" s="38">
        <f t="shared" si="127"/>
        <v>8.6000000000000014</v>
      </c>
      <c r="NO6" s="38">
        <f t="shared" si="128"/>
        <v>9.65</v>
      </c>
      <c r="NP6" s="38">
        <f t="shared" si="129"/>
        <v>13.8375</v>
      </c>
      <c r="NQ6" s="38">
        <f t="shared" si="130"/>
        <v>0.15</v>
      </c>
      <c r="NR6" s="38">
        <f t="shared" si="131"/>
        <v>7.1</v>
      </c>
      <c r="NS6" s="38">
        <f t="shared" si="132"/>
        <v>4.7</v>
      </c>
      <c r="NT6" s="38">
        <f t="shared" si="133"/>
        <v>6.1</v>
      </c>
      <c r="NU6" s="38">
        <f t="shared" si="134"/>
        <v>7.1349999999999998</v>
      </c>
      <c r="NV6" s="38">
        <f t="shared" si="135"/>
        <v>0</v>
      </c>
      <c r="NW6" s="38">
        <f t="shared" si="136"/>
        <v>15.100000000000001</v>
      </c>
      <c r="NX6" s="38">
        <f t="shared" si="137"/>
        <v>9.3000000000000007</v>
      </c>
      <c r="NY6" s="38">
        <f t="shared" si="138"/>
        <v>11.3</v>
      </c>
      <c r="NZ6" s="38">
        <f t="shared" si="139"/>
        <v>14.68</v>
      </c>
      <c r="OA6" s="38">
        <f t="shared" si="140"/>
        <v>0</v>
      </c>
      <c r="OB6" s="45" t="s">
        <v>46</v>
      </c>
      <c r="OC6" s="11">
        <f t="shared" si="141"/>
        <v>20.565000000000001</v>
      </c>
      <c r="OD6" s="11">
        <f t="shared" si="142"/>
        <v>9.65</v>
      </c>
      <c r="OE6" s="11">
        <f t="shared" si="143"/>
        <v>46.837499999999999</v>
      </c>
      <c r="OF6" s="11">
        <f t="shared" si="144"/>
        <v>6.1</v>
      </c>
      <c r="OG6" s="11">
        <f t="shared" si="145"/>
        <v>25.034999999999997</v>
      </c>
      <c r="OH6" s="11">
        <f t="shared" si="146"/>
        <v>67.402500000000003</v>
      </c>
      <c r="OI6" s="11">
        <f t="shared" si="147"/>
        <v>11.3</v>
      </c>
      <c r="OJ6" s="11">
        <f t="shared" si="148"/>
        <v>50.38</v>
      </c>
      <c r="OK6" s="11">
        <f t="shared" si="149"/>
        <v>117.7825</v>
      </c>
    </row>
    <row r="7" spans="1:401" x14ac:dyDescent="0.2">
      <c r="A7" s="5" cm="1">
        <f t="array" ref="A7">IF(AND(F7="P",G7="P"),SUMPRODUCT((F$4:F$29="P")*(G$4:G$29="P")*(E$4:E$29&gt;E7))+1,IF(G7="P",SUMPRODUCT((F$4:F$29="")*(G$4:G$29="P")*(E$4:E$29&gt;E7))+1+SUMPRODUCT((F$4:F$29="P")*(G$4:G$29="P")),""))</f>
        <v>4</v>
      </c>
      <c r="B7" s="6" t="s">
        <v>124</v>
      </c>
      <c r="C7" s="7" t="s">
        <v>3</v>
      </c>
      <c r="D7" s="22">
        <v>2004</v>
      </c>
      <c r="E7" s="15">
        <f t="shared" si="0"/>
        <v>98.97999999999999</v>
      </c>
      <c r="F7" s="3" t="str">
        <f t="shared" si="1"/>
        <v>P</v>
      </c>
      <c r="G7" s="3" t="str">
        <f t="shared" si="2"/>
        <v>P</v>
      </c>
      <c r="H7" s="67" t="str">
        <f t="shared" si="3"/>
        <v>National Team</v>
      </c>
      <c r="I7" s="14">
        <f t="shared" si="4"/>
        <v>49.56</v>
      </c>
      <c r="J7" s="14" t="str">
        <f t="shared" si="5"/>
        <v>2022 Elite Canada</v>
      </c>
      <c r="K7" s="14">
        <f>IF(COUNT(AM7,AO7,AR7,BQ7,BS7,BV7,CU7,CW7,CZ7)&gt;1,LARGE((AM7,AO7,AR7,BQ7,BS7,BV7,CU7,CW7,CZ7),2),0)</f>
        <v>49.419999999999995</v>
      </c>
      <c r="L7" s="14" t="str">
        <f t="shared" si="6"/>
        <v>2022 Elite Canada</v>
      </c>
      <c r="M7" s="14" t="str">
        <f t="shared" si="7"/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5"/>
      <c r="AK7" s="11" t="str">
        <f t="shared" si="8"/>
        <v/>
      </c>
      <c r="AL7" s="11" t="str">
        <f t="shared" si="9"/>
        <v/>
      </c>
      <c r="AM7" s="11" t="str">
        <f t="shared" si="10"/>
        <v/>
      </c>
      <c r="AN7" s="11" t="str">
        <f t="shared" si="11"/>
        <v/>
      </c>
      <c r="AO7" s="11" t="str">
        <f t="shared" si="12"/>
        <v/>
      </c>
      <c r="AP7" s="11" t="str">
        <f t="shared" si="13"/>
        <v/>
      </c>
      <c r="AQ7" s="11" t="str">
        <f t="shared" si="14"/>
        <v/>
      </c>
      <c r="AR7" s="11" t="str">
        <f t="shared" si="15"/>
        <v/>
      </c>
      <c r="AS7" s="11" t="str">
        <f t="shared" si="16"/>
        <v/>
      </c>
      <c r="AT7" s="42">
        <v>15.2</v>
      </c>
      <c r="AU7" s="42">
        <v>9.1</v>
      </c>
      <c r="AV7" s="42">
        <v>2.1</v>
      </c>
      <c r="AW7" s="42">
        <v>15.27</v>
      </c>
      <c r="AX7" s="42">
        <v>0</v>
      </c>
      <c r="AY7" s="42">
        <v>5.8</v>
      </c>
      <c r="AZ7" s="42">
        <v>3.7</v>
      </c>
      <c r="BA7" s="42">
        <v>5.2</v>
      </c>
      <c r="BB7" s="42">
        <v>6.03</v>
      </c>
      <c r="BC7" s="42">
        <v>0</v>
      </c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6"/>
      <c r="BO7" s="14">
        <f t="shared" si="17"/>
        <v>41.67</v>
      </c>
      <c r="BP7" s="14">
        <f t="shared" si="18"/>
        <v>5.2</v>
      </c>
      <c r="BQ7" s="14">
        <f t="shared" si="19"/>
        <v>20.73</v>
      </c>
      <c r="BR7" s="14" t="str">
        <f t="shared" si="20"/>
        <v/>
      </c>
      <c r="BS7" s="14" t="str">
        <f t="shared" si="21"/>
        <v/>
      </c>
      <c r="BT7" s="14">
        <f t="shared" si="22"/>
        <v>62.400000000000006</v>
      </c>
      <c r="BU7" s="14" t="str">
        <f t="shared" si="23"/>
        <v/>
      </c>
      <c r="BV7" s="14" t="str">
        <f t="shared" si="24"/>
        <v/>
      </c>
      <c r="BW7" s="14">
        <f t="shared" si="25"/>
        <v>62.400000000000006</v>
      </c>
      <c r="BX7" s="38">
        <v>15.6</v>
      </c>
      <c r="BY7" s="38">
        <v>9.4</v>
      </c>
      <c r="BZ7" s="38">
        <v>2.2999999999999998</v>
      </c>
      <c r="CA7" s="38">
        <v>15.66</v>
      </c>
      <c r="CB7" s="38">
        <v>0</v>
      </c>
      <c r="CC7" s="38">
        <v>13.5</v>
      </c>
      <c r="CD7" s="38">
        <v>9.5</v>
      </c>
      <c r="CE7" s="38">
        <v>11.8</v>
      </c>
      <c r="CF7" s="38">
        <v>14.62</v>
      </c>
      <c r="CG7" s="38">
        <v>0</v>
      </c>
      <c r="CH7" s="38"/>
      <c r="CI7" s="38"/>
      <c r="CJ7" s="38"/>
      <c r="CK7" s="38"/>
      <c r="CL7" s="38"/>
      <c r="CM7" s="38">
        <v>14.1</v>
      </c>
      <c r="CN7" s="38">
        <v>9.1</v>
      </c>
      <c r="CO7" s="38">
        <v>11.8</v>
      </c>
      <c r="CP7" s="38">
        <v>14.56</v>
      </c>
      <c r="CQ7" s="38">
        <v>0</v>
      </c>
      <c r="CR7" s="45"/>
      <c r="CS7" s="11">
        <f t="shared" si="26"/>
        <v>42.96</v>
      </c>
      <c r="CT7" s="11">
        <f t="shared" si="27"/>
        <v>11.8</v>
      </c>
      <c r="CU7" s="11">
        <f t="shared" si="28"/>
        <v>49.419999999999995</v>
      </c>
      <c r="CV7" s="11" t="str">
        <f t="shared" si="29"/>
        <v/>
      </c>
      <c r="CW7" s="11" t="str">
        <f t="shared" si="30"/>
        <v/>
      </c>
      <c r="CX7" s="11">
        <f t="shared" si="31"/>
        <v>92.38</v>
      </c>
      <c r="CY7" s="11">
        <f t="shared" si="32"/>
        <v>11.8</v>
      </c>
      <c r="CZ7" s="11">
        <f t="shared" si="33"/>
        <v>49.56</v>
      </c>
      <c r="DA7" s="11">
        <f t="shared" si="34"/>
        <v>141.94</v>
      </c>
      <c r="DB7" s="19" t="str">
        <f t="shared" si="35"/>
        <v/>
      </c>
      <c r="DC7" s="19" t="str">
        <f t="shared" si="36"/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 t="shared" si="37"/>
        <v/>
      </c>
      <c r="DT7" s="11" t="str">
        <f t="shared" si="38"/>
        <v/>
      </c>
      <c r="DU7" s="11" t="str">
        <f t="shared" si="39"/>
        <v/>
      </c>
      <c r="DV7" s="11" t="str">
        <f t="shared" si="40"/>
        <v/>
      </c>
      <c r="DW7" s="11" t="str">
        <f t="shared" si="41"/>
        <v/>
      </c>
      <c r="DX7" s="11" t="str">
        <f t="shared" si="42"/>
        <v/>
      </c>
      <c r="DY7" s="11" t="str">
        <f t="shared" si="43"/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 t="shared" si="44"/>
        <v/>
      </c>
      <c r="EP7" s="14" t="str">
        <f t="shared" si="45"/>
        <v/>
      </c>
      <c r="EQ7" s="14" t="str">
        <f t="shared" si="46"/>
        <v/>
      </c>
      <c r="ER7" s="14" t="str">
        <f t="shared" si="47"/>
        <v/>
      </c>
      <c r="ES7" s="14" t="str">
        <f t="shared" si="48"/>
        <v/>
      </c>
      <c r="ET7" s="14" t="str">
        <f t="shared" si="49"/>
        <v/>
      </c>
      <c r="EU7" s="14" t="str">
        <f t="shared" si="50"/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 t="shared" si="51"/>
        <v/>
      </c>
      <c r="FL7" s="11" t="str">
        <f t="shared" si="52"/>
        <v/>
      </c>
      <c r="FM7" s="11" t="str">
        <f t="shared" si="53"/>
        <v/>
      </c>
      <c r="FN7" s="11" t="str">
        <f t="shared" si="54"/>
        <v/>
      </c>
      <c r="FO7" s="11" t="str">
        <f t="shared" si="55"/>
        <v/>
      </c>
      <c r="FP7" s="11" t="str">
        <f t="shared" si="56"/>
        <v/>
      </c>
      <c r="FQ7" s="11" t="str">
        <f t="shared" si="57"/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 t="shared" si="58"/>
        <v/>
      </c>
      <c r="GH7" s="14" t="str">
        <f t="shared" si="59"/>
        <v/>
      </c>
      <c r="GI7" s="14" t="str">
        <f t="shared" si="60"/>
        <v/>
      </c>
      <c r="GJ7" s="14" t="str">
        <f t="shared" si="61"/>
        <v/>
      </c>
      <c r="GK7" s="14" t="str">
        <f t="shared" si="62"/>
        <v/>
      </c>
      <c r="GL7" s="14" t="str">
        <f t="shared" si="63"/>
        <v/>
      </c>
      <c r="GM7" s="14" t="str">
        <f t="shared" si="64"/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 t="shared" si="65"/>
        <v/>
      </c>
      <c r="HD7" s="11" t="str">
        <f t="shared" si="66"/>
        <v/>
      </c>
      <c r="HE7" s="11" t="str">
        <f t="shared" si="67"/>
        <v/>
      </c>
      <c r="HF7" s="11" t="str">
        <f t="shared" si="68"/>
        <v/>
      </c>
      <c r="HG7" s="11" t="str">
        <f t="shared" si="69"/>
        <v/>
      </c>
      <c r="HH7" s="11" t="str">
        <f t="shared" si="70"/>
        <v/>
      </c>
      <c r="HI7" s="11" t="str">
        <f t="shared" si="71"/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 t="shared" si="72"/>
        <v/>
      </c>
      <c r="HZ7" s="14" t="str">
        <f t="shared" si="73"/>
        <v/>
      </c>
      <c r="IA7" s="14" t="str">
        <f t="shared" si="74"/>
        <v/>
      </c>
      <c r="IB7" s="14" t="str">
        <f t="shared" si="75"/>
        <v/>
      </c>
      <c r="IC7" s="14" t="str">
        <f t="shared" si="76"/>
        <v/>
      </c>
      <c r="ID7" s="14" t="str">
        <f t="shared" si="77"/>
        <v/>
      </c>
      <c r="IE7" s="14" t="str">
        <f t="shared" si="78"/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 t="shared" si="79"/>
        <v/>
      </c>
      <c r="IV7" s="11" t="str">
        <f t="shared" si="80"/>
        <v/>
      </c>
      <c r="IW7" s="11" t="str">
        <f t="shared" si="81"/>
        <v/>
      </c>
      <c r="IX7" s="11" t="str">
        <f t="shared" si="82"/>
        <v/>
      </c>
      <c r="IY7" s="11" t="str">
        <f t="shared" si="83"/>
        <v/>
      </c>
      <c r="IZ7" s="11" t="str">
        <f t="shared" si="84"/>
        <v/>
      </c>
      <c r="JA7" s="11" t="str">
        <f t="shared" si="85"/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 t="shared" si="86"/>
        <v/>
      </c>
      <c r="JR7" s="14" t="str">
        <f t="shared" si="87"/>
        <v/>
      </c>
      <c r="JS7" s="14" t="str">
        <f t="shared" si="88"/>
        <v/>
      </c>
      <c r="JT7" s="14" t="str">
        <f t="shared" si="89"/>
        <v/>
      </c>
      <c r="JU7" s="14" t="str">
        <f t="shared" si="90"/>
        <v/>
      </c>
      <c r="JV7" s="14" t="str">
        <f t="shared" si="91"/>
        <v/>
      </c>
      <c r="JW7" s="14" t="str">
        <f t="shared" si="92"/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 t="shared" si="93"/>
        <v/>
      </c>
      <c r="KN7" s="11" t="str">
        <f t="shared" si="94"/>
        <v/>
      </c>
      <c r="KO7" s="11" t="str">
        <f t="shared" si="95"/>
        <v/>
      </c>
      <c r="KP7" s="11" t="str">
        <f t="shared" si="96"/>
        <v/>
      </c>
      <c r="KQ7" s="11" t="str">
        <f t="shared" si="97"/>
        <v/>
      </c>
      <c r="KR7" s="11" t="str">
        <f t="shared" si="98"/>
        <v/>
      </c>
      <c r="KS7" s="11" t="str">
        <f t="shared" si="99"/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 t="shared" si="100"/>
        <v/>
      </c>
      <c r="LJ7" s="14" t="str">
        <f t="shared" si="101"/>
        <v/>
      </c>
      <c r="LK7" s="14" t="str">
        <f t="shared" si="102"/>
        <v/>
      </c>
      <c r="LL7" s="14" t="str">
        <f t="shared" si="103"/>
        <v/>
      </c>
      <c r="LM7" s="14" t="str">
        <f t="shared" si="104"/>
        <v/>
      </c>
      <c r="LN7" s="14" t="str">
        <f t="shared" si="105"/>
        <v/>
      </c>
      <c r="LO7" s="14" t="str">
        <f t="shared" si="106"/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 t="shared" si="107"/>
        <v/>
      </c>
      <c r="MF7" s="11" t="str">
        <f t="shared" si="108"/>
        <v/>
      </c>
      <c r="MG7" s="11" t="str">
        <f t="shared" si="109"/>
        <v/>
      </c>
      <c r="MH7" s="11" t="str">
        <f t="shared" si="110"/>
        <v/>
      </c>
      <c r="MI7" s="11" t="str">
        <f t="shared" si="111"/>
        <v/>
      </c>
      <c r="MJ7" s="11" t="str">
        <f t="shared" si="112"/>
        <v/>
      </c>
      <c r="MK7" s="11" t="str">
        <f t="shared" si="113"/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 t="shared" si="114"/>
        <v/>
      </c>
      <c r="NB7" s="14" t="str">
        <f t="shared" si="115"/>
        <v/>
      </c>
      <c r="NC7" s="14" t="str">
        <f t="shared" si="116"/>
        <v/>
      </c>
      <c r="ND7" s="14" t="str">
        <f t="shared" si="117"/>
        <v/>
      </c>
      <c r="NE7" s="14" t="str">
        <f t="shared" si="118"/>
        <v/>
      </c>
      <c r="NF7" s="14" t="str">
        <f t="shared" si="119"/>
        <v/>
      </c>
      <c r="NG7" s="14" t="str">
        <f t="shared" si="120"/>
        <v/>
      </c>
      <c r="NH7" s="38">
        <f t="shared" si="121"/>
        <v>15.399999999999999</v>
      </c>
      <c r="NI7" s="38">
        <f t="shared" si="122"/>
        <v>9.25</v>
      </c>
      <c r="NJ7" s="38">
        <f t="shared" si="123"/>
        <v>2.2000000000000002</v>
      </c>
      <c r="NK7" s="38">
        <f t="shared" si="124"/>
        <v>15.465</v>
      </c>
      <c r="NL7" s="38">
        <f t="shared" si="125"/>
        <v>0</v>
      </c>
      <c r="NM7" s="38">
        <f t="shared" si="126"/>
        <v>9.65</v>
      </c>
      <c r="NN7" s="38">
        <f t="shared" si="127"/>
        <v>6.6</v>
      </c>
      <c r="NO7" s="38">
        <f t="shared" si="128"/>
        <v>8.5</v>
      </c>
      <c r="NP7" s="38">
        <f t="shared" si="129"/>
        <v>10.324999999999999</v>
      </c>
      <c r="NQ7" s="38">
        <f t="shared" si="130"/>
        <v>0</v>
      </c>
      <c r="NR7" s="38">
        <f t="shared" si="131"/>
        <v>0</v>
      </c>
      <c r="NS7" s="38">
        <f t="shared" si="132"/>
        <v>0</v>
      </c>
      <c r="NT7" s="38">
        <f t="shared" si="133"/>
        <v>0</v>
      </c>
      <c r="NU7" s="38">
        <f t="shared" si="134"/>
        <v>0</v>
      </c>
      <c r="NV7" s="38">
        <f t="shared" si="135"/>
        <v>0</v>
      </c>
      <c r="NW7" s="38">
        <f t="shared" si="136"/>
        <v>7.05</v>
      </c>
      <c r="NX7" s="38">
        <f t="shared" si="137"/>
        <v>4.55</v>
      </c>
      <c r="NY7" s="38">
        <f t="shared" si="138"/>
        <v>5.9</v>
      </c>
      <c r="NZ7" s="38">
        <f t="shared" si="139"/>
        <v>7.28</v>
      </c>
      <c r="OA7" s="38">
        <f t="shared" si="140"/>
        <v>0</v>
      </c>
      <c r="OB7" s="45" t="s">
        <v>46</v>
      </c>
      <c r="OC7" s="11">
        <f t="shared" si="141"/>
        <v>42.314999999999998</v>
      </c>
      <c r="OD7" s="11">
        <f t="shared" si="142"/>
        <v>8.5</v>
      </c>
      <c r="OE7" s="11">
        <f t="shared" si="143"/>
        <v>35.075000000000003</v>
      </c>
      <c r="OF7" s="11" t="str">
        <f t="shared" si="144"/>
        <v/>
      </c>
      <c r="OG7" s="11" t="str">
        <f t="shared" si="145"/>
        <v/>
      </c>
      <c r="OH7" s="11">
        <f t="shared" si="146"/>
        <v>77.39</v>
      </c>
      <c r="OI7" s="11">
        <f t="shared" si="147"/>
        <v>5.9</v>
      </c>
      <c r="OJ7" s="11">
        <f t="shared" si="148"/>
        <v>24.78</v>
      </c>
      <c r="OK7" s="11">
        <f t="shared" si="149"/>
        <v>102.17</v>
      </c>
    </row>
    <row r="8" spans="1:401" x14ac:dyDescent="0.2">
      <c r="A8" s="5" cm="1">
        <f t="array" ref="A8">IF(AND(F8="P",G8="P"),SUMPRODUCT((F$4:F$29="P")*(G$4:G$29="P")*(E$4:E$29&gt;E8))+1,IF(G8="P",SUMPRODUCT((F$4:F$29="")*(G$4:G$29="P")*(E$4:E$29&gt;E8))+1+SUMPRODUCT((F$4:F$29="P")*(G$4:G$29="P")),""))</f>
        <v>5</v>
      </c>
      <c r="B8" s="8" t="s">
        <v>84</v>
      </c>
      <c r="C8" s="4" t="s">
        <v>5</v>
      </c>
      <c r="D8" s="22">
        <v>2003</v>
      </c>
      <c r="E8" s="15">
        <f t="shared" si="0"/>
        <v>98.72999999999999</v>
      </c>
      <c r="F8" s="3" t="str">
        <f t="shared" si="1"/>
        <v/>
      </c>
      <c r="G8" s="3" t="str">
        <f t="shared" si="2"/>
        <v>P</v>
      </c>
      <c r="H8" s="67" t="str">
        <f t="shared" si="3"/>
        <v>No DD</v>
      </c>
      <c r="I8" s="14">
        <f t="shared" si="4"/>
        <v>49.964999999999996</v>
      </c>
      <c r="J8" s="14" t="str">
        <f t="shared" si="5"/>
        <v>2021 Elite Canada</v>
      </c>
      <c r="K8" s="14">
        <f>IF(COUNT(AM8,AO8,AR8,BQ8,BS8,BV8,CU8,CW8,CZ8)&gt;1,LARGE((AM8,AO8,AR8,BQ8,BS8,BV8,CU8,CW8,CZ8),2),0)</f>
        <v>48.765000000000001</v>
      </c>
      <c r="L8" s="14" t="str">
        <f t="shared" si="6"/>
        <v>2021 Elite Canada</v>
      </c>
      <c r="M8" s="14" t="str">
        <f t="shared" si="7"/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16.3</v>
      </c>
      <c r="Q8" s="38">
        <v>8.9</v>
      </c>
      <c r="R8" s="38">
        <v>2.1</v>
      </c>
      <c r="S8" s="38">
        <v>14.494999999999999</v>
      </c>
      <c r="T8" s="38">
        <v>0</v>
      </c>
      <c r="U8" s="38">
        <v>15.4</v>
      </c>
      <c r="V8" s="38">
        <v>8.9</v>
      </c>
      <c r="W8" s="38">
        <v>10.6</v>
      </c>
      <c r="X8" s="38">
        <v>13.865</v>
      </c>
      <c r="Y8" s="38">
        <v>0</v>
      </c>
      <c r="Z8" s="38"/>
      <c r="AA8" s="38"/>
      <c r="AB8" s="38"/>
      <c r="AC8" s="38"/>
      <c r="AD8" s="38"/>
      <c r="AE8" s="38">
        <v>15.8</v>
      </c>
      <c r="AF8" s="38">
        <v>9.5</v>
      </c>
      <c r="AG8" s="38">
        <v>10.6</v>
      </c>
      <c r="AH8" s="38">
        <v>14.065</v>
      </c>
      <c r="AI8" s="38">
        <v>0</v>
      </c>
      <c r="AJ8" s="45"/>
      <c r="AK8" s="11">
        <f t="shared" si="8"/>
        <v>41.795000000000002</v>
      </c>
      <c r="AL8" s="11">
        <f t="shared" si="9"/>
        <v>10.6</v>
      </c>
      <c r="AM8" s="11">
        <f t="shared" si="10"/>
        <v>48.765000000000001</v>
      </c>
      <c r="AN8" s="11" t="str">
        <f t="shared" si="11"/>
        <v/>
      </c>
      <c r="AO8" s="11" t="str">
        <f t="shared" si="12"/>
        <v/>
      </c>
      <c r="AP8" s="11">
        <f t="shared" si="13"/>
        <v>90.56</v>
      </c>
      <c r="AQ8" s="11">
        <f t="shared" si="14"/>
        <v>10.6</v>
      </c>
      <c r="AR8" s="11">
        <f t="shared" si="15"/>
        <v>49.964999999999996</v>
      </c>
      <c r="AS8" s="11">
        <f t="shared" si="16"/>
        <v>140.52500000000001</v>
      </c>
      <c r="AT8" s="42">
        <v>16.8</v>
      </c>
      <c r="AU8" s="42">
        <v>8.9</v>
      </c>
      <c r="AV8" s="42">
        <v>2.1</v>
      </c>
      <c r="AW8" s="42">
        <v>14.49</v>
      </c>
      <c r="AX8" s="42">
        <v>0</v>
      </c>
      <c r="AY8" s="42">
        <v>2.9</v>
      </c>
      <c r="AZ8" s="42">
        <v>1.7</v>
      </c>
      <c r="BA8" s="42">
        <v>2.5</v>
      </c>
      <c r="BB8" s="42">
        <v>2.83</v>
      </c>
      <c r="BC8" s="42">
        <v>0</v>
      </c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6"/>
      <c r="BO8" s="14">
        <f t="shared" si="17"/>
        <v>42.290000000000006</v>
      </c>
      <c r="BP8" s="14">
        <f t="shared" si="18"/>
        <v>2.5</v>
      </c>
      <c r="BQ8" s="14">
        <f t="shared" si="19"/>
        <v>9.93</v>
      </c>
      <c r="BR8" s="14" t="str">
        <f t="shared" si="20"/>
        <v/>
      </c>
      <c r="BS8" s="14" t="str">
        <f t="shared" si="21"/>
        <v/>
      </c>
      <c r="BT8" s="14">
        <f t="shared" si="22"/>
        <v>52.220000000000006</v>
      </c>
      <c r="BU8" s="14" t="str">
        <f t="shared" si="23"/>
        <v/>
      </c>
      <c r="BV8" s="14" t="str">
        <f t="shared" si="24"/>
        <v/>
      </c>
      <c r="BW8" s="14">
        <f t="shared" si="25"/>
        <v>52.220000000000006</v>
      </c>
      <c r="BX8" s="38">
        <v>16.34</v>
      </c>
      <c r="BY8" s="38">
        <v>9.5</v>
      </c>
      <c r="BZ8" s="38">
        <v>2.1</v>
      </c>
      <c r="CA8" s="38">
        <v>14.64</v>
      </c>
      <c r="CB8" s="38">
        <v>0</v>
      </c>
      <c r="CC8" s="38">
        <v>15.3</v>
      </c>
      <c r="CD8" s="38">
        <v>9.5</v>
      </c>
      <c r="CE8" s="38">
        <v>8.6</v>
      </c>
      <c r="CF8" s="38">
        <v>14.28</v>
      </c>
      <c r="CG8" s="38">
        <v>0.2</v>
      </c>
      <c r="CH8" s="38"/>
      <c r="CI8" s="38"/>
      <c r="CJ8" s="38"/>
      <c r="CK8" s="38"/>
      <c r="CL8" s="38"/>
      <c r="CM8" s="38">
        <v>14.8</v>
      </c>
      <c r="CN8" s="38">
        <v>9.1</v>
      </c>
      <c r="CO8" s="38">
        <v>10.5</v>
      </c>
      <c r="CP8" s="38">
        <v>13.89</v>
      </c>
      <c r="CQ8" s="38">
        <v>0</v>
      </c>
      <c r="CR8" s="45"/>
      <c r="CS8" s="11">
        <f t="shared" si="26"/>
        <v>42.58</v>
      </c>
      <c r="CT8" s="11">
        <f t="shared" si="27"/>
        <v>8.6</v>
      </c>
      <c r="CU8" s="11">
        <f t="shared" si="28"/>
        <v>47.48</v>
      </c>
      <c r="CV8" s="11" t="str">
        <f t="shared" si="29"/>
        <v/>
      </c>
      <c r="CW8" s="11" t="str">
        <f t="shared" si="30"/>
        <v/>
      </c>
      <c r="CX8" s="11">
        <f t="shared" si="31"/>
        <v>90.06</v>
      </c>
      <c r="CY8" s="11">
        <f t="shared" si="32"/>
        <v>10.5</v>
      </c>
      <c r="CZ8" s="11">
        <f t="shared" si="33"/>
        <v>48.29</v>
      </c>
      <c r="DA8" s="11">
        <f t="shared" si="34"/>
        <v>138.35</v>
      </c>
      <c r="DB8" s="19" t="str">
        <f t="shared" si="35"/>
        <v/>
      </c>
      <c r="DC8" s="19" t="str">
        <f t="shared" si="36"/>
        <v/>
      </c>
      <c r="DD8" s="25">
        <v>1.4</v>
      </c>
      <c r="DE8" s="25">
        <v>1</v>
      </c>
      <c r="DF8" s="25">
        <v>1.3</v>
      </c>
      <c r="DG8" s="25">
        <v>1.47</v>
      </c>
      <c r="DH8" s="25">
        <v>0</v>
      </c>
      <c r="DI8" s="25">
        <v>13.3</v>
      </c>
      <c r="DJ8" s="25">
        <v>8.9</v>
      </c>
      <c r="DK8" s="25">
        <v>10.6</v>
      </c>
      <c r="DL8" s="25">
        <v>13.425000000000001</v>
      </c>
      <c r="DM8" s="25">
        <v>0</v>
      </c>
      <c r="DN8" s="25"/>
      <c r="DO8" s="25"/>
      <c r="DP8" s="25"/>
      <c r="DQ8" s="25"/>
      <c r="DR8" s="25"/>
      <c r="DS8" s="11">
        <f t="shared" si="37"/>
        <v>10.6</v>
      </c>
      <c r="DT8" s="11">
        <f t="shared" si="38"/>
        <v>5.17</v>
      </c>
      <c r="DU8" s="11">
        <f t="shared" si="39"/>
        <v>46.225000000000009</v>
      </c>
      <c r="DV8" s="11">
        <f t="shared" si="40"/>
        <v>51.39500000000001</v>
      </c>
      <c r="DW8" s="11" t="str">
        <f t="shared" si="41"/>
        <v/>
      </c>
      <c r="DX8" s="11" t="str">
        <f t="shared" si="42"/>
        <v/>
      </c>
      <c r="DY8" s="11">
        <f t="shared" si="43"/>
        <v>51.39500000000001</v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 t="shared" si="44"/>
        <v/>
      </c>
      <c r="EP8" s="14" t="str">
        <f t="shared" si="45"/>
        <v/>
      </c>
      <c r="EQ8" s="14" t="str">
        <f t="shared" si="46"/>
        <v/>
      </c>
      <c r="ER8" s="14" t="str">
        <f t="shared" si="47"/>
        <v/>
      </c>
      <c r="ES8" s="14" t="str">
        <f t="shared" si="48"/>
        <v/>
      </c>
      <c r="ET8" s="14" t="str">
        <f t="shared" si="49"/>
        <v/>
      </c>
      <c r="EU8" s="14" t="str">
        <f t="shared" si="50"/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 t="shared" si="51"/>
        <v/>
      </c>
      <c r="FL8" s="11" t="str">
        <f t="shared" si="52"/>
        <v/>
      </c>
      <c r="FM8" s="11" t="str">
        <f t="shared" si="53"/>
        <v/>
      </c>
      <c r="FN8" s="11" t="str">
        <f t="shared" si="54"/>
        <v/>
      </c>
      <c r="FO8" s="11" t="str">
        <f t="shared" si="55"/>
        <v/>
      </c>
      <c r="FP8" s="11" t="str">
        <f t="shared" si="56"/>
        <v/>
      </c>
      <c r="FQ8" s="11" t="str">
        <f t="shared" si="57"/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 t="shared" si="58"/>
        <v/>
      </c>
      <c r="GH8" s="14" t="str">
        <f t="shared" si="59"/>
        <v/>
      </c>
      <c r="GI8" s="14" t="str">
        <f t="shared" si="60"/>
        <v/>
      </c>
      <c r="GJ8" s="14" t="str">
        <f t="shared" si="61"/>
        <v/>
      </c>
      <c r="GK8" s="14" t="str">
        <f t="shared" si="62"/>
        <v/>
      </c>
      <c r="GL8" s="14" t="str">
        <f t="shared" si="63"/>
        <v/>
      </c>
      <c r="GM8" s="14" t="str">
        <f t="shared" si="64"/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 t="shared" si="65"/>
        <v/>
      </c>
      <c r="HD8" s="11" t="str">
        <f t="shared" si="66"/>
        <v/>
      </c>
      <c r="HE8" s="11" t="str">
        <f t="shared" si="67"/>
        <v/>
      </c>
      <c r="HF8" s="11" t="str">
        <f t="shared" si="68"/>
        <v/>
      </c>
      <c r="HG8" s="11" t="str">
        <f t="shared" si="69"/>
        <v/>
      </c>
      <c r="HH8" s="11" t="str">
        <f t="shared" si="70"/>
        <v/>
      </c>
      <c r="HI8" s="11" t="str">
        <f t="shared" si="71"/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 t="shared" si="72"/>
        <v/>
      </c>
      <c r="HZ8" s="14" t="str">
        <f t="shared" si="73"/>
        <v/>
      </c>
      <c r="IA8" s="14" t="str">
        <f t="shared" si="74"/>
        <v/>
      </c>
      <c r="IB8" s="14" t="str">
        <f t="shared" si="75"/>
        <v/>
      </c>
      <c r="IC8" s="14" t="str">
        <f t="shared" si="76"/>
        <v/>
      </c>
      <c r="ID8" s="14" t="str">
        <f t="shared" si="77"/>
        <v/>
      </c>
      <c r="IE8" s="14" t="str">
        <f t="shared" si="78"/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 t="shared" si="79"/>
        <v/>
      </c>
      <c r="IV8" s="11" t="str">
        <f t="shared" si="80"/>
        <v/>
      </c>
      <c r="IW8" s="11" t="str">
        <f t="shared" si="81"/>
        <v/>
      </c>
      <c r="IX8" s="11" t="str">
        <f t="shared" si="82"/>
        <v/>
      </c>
      <c r="IY8" s="11" t="str">
        <f t="shared" si="83"/>
        <v/>
      </c>
      <c r="IZ8" s="11" t="str">
        <f t="shared" si="84"/>
        <v/>
      </c>
      <c r="JA8" s="11" t="str">
        <f t="shared" si="85"/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 t="shared" si="86"/>
        <v/>
      </c>
      <c r="JR8" s="14" t="str">
        <f t="shared" si="87"/>
        <v/>
      </c>
      <c r="JS8" s="14" t="str">
        <f t="shared" si="88"/>
        <v/>
      </c>
      <c r="JT8" s="14" t="str">
        <f t="shared" si="89"/>
        <v/>
      </c>
      <c r="JU8" s="14" t="str">
        <f t="shared" si="90"/>
        <v/>
      </c>
      <c r="JV8" s="14" t="str">
        <f t="shared" si="91"/>
        <v/>
      </c>
      <c r="JW8" s="14" t="str">
        <f t="shared" si="92"/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 t="shared" si="93"/>
        <v/>
      </c>
      <c r="KN8" s="11" t="str">
        <f t="shared" si="94"/>
        <v/>
      </c>
      <c r="KO8" s="11" t="str">
        <f t="shared" si="95"/>
        <v/>
      </c>
      <c r="KP8" s="11" t="str">
        <f t="shared" si="96"/>
        <v/>
      </c>
      <c r="KQ8" s="11" t="str">
        <f t="shared" si="97"/>
        <v/>
      </c>
      <c r="KR8" s="11" t="str">
        <f t="shared" si="98"/>
        <v/>
      </c>
      <c r="KS8" s="11" t="str">
        <f t="shared" si="99"/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 t="shared" si="100"/>
        <v/>
      </c>
      <c r="LJ8" s="14" t="str">
        <f t="shared" si="101"/>
        <v/>
      </c>
      <c r="LK8" s="14" t="str">
        <f t="shared" si="102"/>
        <v/>
      </c>
      <c r="LL8" s="14" t="str">
        <f t="shared" si="103"/>
        <v/>
      </c>
      <c r="LM8" s="14" t="str">
        <f t="shared" si="104"/>
        <v/>
      </c>
      <c r="LN8" s="14" t="str">
        <f t="shared" si="105"/>
        <v/>
      </c>
      <c r="LO8" s="14" t="str">
        <f t="shared" si="106"/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 t="shared" si="107"/>
        <v/>
      </c>
      <c r="MF8" s="11" t="str">
        <f t="shared" si="108"/>
        <v/>
      </c>
      <c r="MG8" s="11" t="str">
        <f t="shared" si="109"/>
        <v/>
      </c>
      <c r="MH8" s="11" t="str">
        <f t="shared" si="110"/>
        <v/>
      </c>
      <c r="MI8" s="11" t="str">
        <f t="shared" si="111"/>
        <v/>
      </c>
      <c r="MJ8" s="11" t="str">
        <f t="shared" si="112"/>
        <v/>
      </c>
      <c r="MK8" s="11" t="str">
        <f t="shared" si="113"/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 t="shared" si="114"/>
        <v/>
      </c>
      <c r="NB8" s="14" t="str">
        <f t="shared" si="115"/>
        <v/>
      </c>
      <c r="NC8" s="14" t="str">
        <f t="shared" si="116"/>
        <v/>
      </c>
      <c r="ND8" s="14" t="str">
        <f t="shared" si="117"/>
        <v/>
      </c>
      <c r="NE8" s="14" t="str">
        <f t="shared" si="118"/>
        <v/>
      </c>
      <c r="NF8" s="14" t="str">
        <f t="shared" si="119"/>
        <v/>
      </c>
      <c r="NG8" s="14" t="str">
        <f t="shared" si="120"/>
        <v/>
      </c>
      <c r="NH8" s="38">
        <f t="shared" si="121"/>
        <v>16.57</v>
      </c>
      <c r="NI8" s="38">
        <f t="shared" si="122"/>
        <v>9.1999999999999993</v>
      </c>
      <c r="NJ8" s="38">
        <f t="shared" si="123"/>
        <v>2.1</v>
      </c>
      <c r="NK8" s="38">
        <f t="shared" si="124"/>
        <v>14.565000000000001</v>
      </c>
      <c r="NL8" s="38">
        <f t="shared" si="125"/>
        <v>0</v>
      </c>
      <c r="NM8" s="38">
        <f t="shared" si="126"/>
        <v>9.1</v>
      </c>
      <c r="NN8" s="38">
        <f t="shared" si="127"/>
        <v>5.6</v>
      </c>
      <c r="NO8" s="38">
        <f t="shared" si="128"/>
        <v>5.55</v>
      </c>
      <c r="NP8" s="38">
        <f t="shared" si="129"/>
        <v>8.5549999999999997</v>
      </c>
      <c r="NQ8" s="38">
        <f t="shared" si="130"/>
        <v>0.1</v>
      </c>
      <c r="NR8" s="38">
        <f t="shared" si="131"/>
        <v>0</v>
      </c>
      <c r="NS8" s="38">
        <f t="shared" si="132"/>
        <v>0</v>
      </c>
      <c r="NT8" s="38">
        <f t="shared" si="133"/>
        <v>0</v>
      </c>
      <c r="NU8" s="38">
        <f t="shared" si="134"/>
        <v>0</v>
      </c>
      <c r="NV8" s="38">
        <f t="shared" si="135"/>
        <v>0</v>
      </c>
      <c r="NW8" s="38">
        <f t="shared" si="136"/>
        <v>7.4</v>
      </c>
      <c r="NX8" s="38">
        <f t="shared" si="137"/>
        <v>4.55</v>
      </c>
      <c r="NY8" s="38">
        <f t="shared" si="138"/>
        <v>5.25</v>
      </c>
      <c r="NZ8" s="38">
        <f t="shared" si="139"/>
        <v>6.9450000000000003</v>
      </c>
      <c r="OA8" s="38">
        <f t="shared" si="140"/>
        <v>0</v>
      </c>
      <c r="OB8" s="45" t="s">
        <v>46</v>
      </c>
      <c r="OC8" s="11">
        <f t="shared" si="141"/>
        <v>42.435000000000002</v>
      </c>
      <c r="OD8" s="11">
        <f t="shared" si="142"/>
        <v>5.55</v>
      </c>
      <c r="OE8" s="11">
        <f t="shared" si="143"/>
        <v>28.704999999999998</v>
      </c>
      <c r="OF8" s="11" t="str">
        <f t="shared" si="144"/>
        <v/>
      </c>
      <c r="OG8" s="11" t="str">
        <f t="shared" si="145"/>
        <v/>
      </c>
      <c r="OH8" s="11">
        <f t="shared" si="146"/>
        <v>71.14</v>
      </c>
      <c r="OI8" s="11">
        <f t="shared" si="147"/>
        <v>5.25</v>
      </c>
      <c r="OJ8" s="11">
        <f t="shared" ref="OJ8" si="150">IF(SUM(NW8:NZ8)-OA8&gt;0,SUM(NW8:NZ8)-OA8,"")</f>
        <v>24.145</v>
      </c>
      <c r="OK8" s="11">
        <f t="shared" ref="OK8" si="151">IF(SUM(OH8,OJ8)&gt;0,SUM(OH8,OJ8),"")</f>
        <v>95.284999999999997</v>
      </c>
    </row>
    <row r="9" spans="1:401" x14ac:dyDescent="0.2">
      <c r="A9" s="5" cm="1">
        <f t="array" ref="A9">IF(AND(F9="P",G9="P"),SUMPRODUCT((F$4:F$29="P")*(G$4:G$29="P")*(E$4:E$29&gt;E9))+1,IF(G9="P",SUMPRODUCT((F$4:F$29="")*(G$4:G$29="P")*(E$4:E$29&gt;E9))+1+SUMPRODUCT((F$4:F$29="P")*(G$4:G$29="P")),""))</f>
        <v>6</v>
      </c>
      <c r="B9" s="8" t="s">
        <v>103</v>
      </c>
      <c r="C9" s="4" t="s">
        <v>6</v>
      </c>
      <c r="D9" s="22">
        <v>2004</v>
      </c>
      <c r="E9" s="15">
        <f t="shared" si="0"/>
        <v>96.6</v>
      </c>
      <c r="F9" s="3" t="str">
        <f t="shared" si="1"/>
        <v/>
      </c>
      <c r="G9" s="3" t="str">
        <f t="shared" si="2"/>
        <v>P</v>
      </c>
      <c r="H9" s="67" t="str">
        <f t="shared" si="3"/>
        <v>No DD</v>
      </c>
      <c r="I9" s="14">
        <f t="shared" si="4"/>
        <v>48.725000000000001</v>
      </c>
      <c r="J9" s="14" t="str">
        <f t="shared" si="5"/>
        <v>2021 Elite Canada</v>
      </c>
      <c r="K9" s="14">
        <f>IF(COUNT(AM9,AO9,AR9,BQ9,BS9,BV9,CU9,CW9,CZ9)&gt;1,LARGE((AM9,AO9,AR9,BQ9,BS9,BV9,CU9,CW9,CZ9),2),0)</f>
        <v>47.875</v>
      </c>
      <c r="L9" s="14" t="str">
        <f t="shared" si="6"/>
        <v>2021 Canadian Championships</v>
      </c>
      <c r="M9" s="14" t="str">
        <f t="shared" si="7"/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17.3</v>
      </c>
      <c r="Q9" s="38">
        <v>9.4</v>
      </c>
      <c r="R9" s="38">
        <v>2</v>
      </c>
      <c r="S9" s="38">
        <v>14.074999999999999</v>
      </c>
      <c r="T9" s="38">
        <v>0</v>
      </c>
      <c r="U9" s="38">
        <v>7.2</v>
      </c>
      <c r="V9" s="38">
        <v>4.4000000000000004</v>
      </c>
      <c r="W9" s="38">
        <v>6.1</v>
      </c>
      <c r="X9" s="38">
        <v>6.92</v>
      </c>
      <c r="Y9" s="38">
        <v>0</v>
      </c>
      <c r="Z9" s="38"/>
      <c r="AA9" s="38"/>
      <c r="AB9" s="38"/>
      <c r="AC9" s="38"/>
      <c r="AD9" s="38"/>
      <c r="AE9" s="38">
        <v>15.7</v>
      </c>
      <c r="AF9" s="38">
        <v>9.4</v>
      </c>
      <c r="AG9" s="38">
        <v>10</v>
      </c>
      <c r="AH9" s="38">
        <v>13.625</v>
      </c>
      <c r="AI9" s="38">
        <v>0</v>
      </c>
      <c r="AJ9" s="45"/>
      <c r="AK9" s="11">
        <f t="shared" si="8"/>
        <v>42.775000000000006</v>
      </c>
      <c r="AL9" s="11">
        <f t="shared" si="9"/>
        <v>6.1</v>
      </c>
      <c r="AM9" s="11">
        <f t="shared" si="10"/>
        <v>24.620000000000005</v>
      </c>
      <c r="AN9" s="11" t="str">
        <f t="shared" si="11"/>
        <v/>
      </c>
      <c r="AO9" s="11" t="str">
        <f t="shared" si="12"/>
        <v/>
      </c>
      <c r="AP9" s="11">
        <f t="shared" si="13"/>
        <v>67.39500000000001</v>
      </c>
      <c r="AQ9" s="11">
        <f t="shared" si="14"/>
        <v>10</v>
      </c>
      <c r="AR9" s="11">
        <f t="shared" si="15"/>
        <v>48.725000000000001</v>
      </c>
      <c r="AS9" s="11">
        <f t="shared" si="16"/>
        <v>116.12</v>
      </c>
      <c r="AT9" s="42">
        <v>12.2</v>
      </c>
      <c r="AU9" s="42">
        <v>7.2</v>
      </c>
      <c r="AV9" s="42">
        <v>0.8</v>
      </c>
      <c r="AW9" s="42">
        <v>11.79</v>
      </c>
      <c r="AX9" s="42">
        <v>0</v>
      </c>
      <c r="AY9" s="42">
        <v>14.5</v>
      </c>
      <c r="AZ9" s="42">
        <v>9.4</v>
      </c>
      <c r="BA9" s="42">
        <v>10</v>
      </c>
      <c r="BB9" s="42">
        <v>13.975</v>
      </c>
      <c r="BC9" s="42">
        <v>0</v>
      </c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6"/>
      <c r="BO9" s="14">
        <f t="shared" si="17"/>
        <v>31.99</v>
      </c>
      <c r="BP9" s="14">
        <f t="shared" si="18"/>
        <v>10</v>
      </c>
      <c r="BQ9" s="14">
        <f t="shared" si="19"/>
        <v>47.875</v>
      </c>
      <c r="BR9" s="14" t="str">
        <f t="shared" si="20"/>
        <v/>
      </c>
      <c r="BS9" s="14" t="str">
        <f t="shared" si="21"/>
        <v/>
      </c>
      <c r="BT9" s="14">
        <f t="shared" si="22"/>
        <v>79.864999999999995</v>
      </c>
      <c r="BU9" s="14" t="str">
        <f t="shared" si="23"/>
        <v/>
      </c>
      <c r="BV9" s="14" t="str">
        <f t="shared" si="24"/>
        <v/>
      </c>
      <c r="BW9" s="14">
        <f t="shared" si="25"/>
        <v>79.864999999999995</v>
      </c>
      <c r="BX9" s="38">
        <v>14.8</v>
      </c>
      <c r="BY9" s="38">
        <v>9.1999999999999993</v>
      </c>
      <c r="BZ9" s="38">
        <v>2.9</v>
      </c>
      <c r="CA9" s="38">
        <v>13.97</v>
      </c>
      <c r="CB9" s="38">
        <v>2</v>
      </c>
      <c r="CC9" s="38">
        <v>13.6</v>
      </c>
      <c r="CD9" s="38">
        <v>9.1999999999999993</v>
      </c>
      <c r="CE9" s="38">
        <v>9.8000000000000007</v>
      </c>
      <c r="CF9" s="38">
        <v>13.69</v>
      </c>
      <c r="CG9" s="38">
        <v>0</v>
      </c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45"/>
      <c r="CS9" s="11">
        <f t="shared" si="26"/>
        <v>38.869999999999997</v>
      </c>
      <c r="CT9" s="11">
        <f t="shared" si="27"/>
        <v>9.8000000000000007</v>
      </c>
      <c r="CU9" s="11">
        <f t="shared" si="28"/>
        <v>46.289999999999992</v>
      </c>
      <c r="CV9" s="11" t="str">
        <f t="shared" si="29"/>
        <v/>
      </c>
      <c r="CW9" s="11" t="str">
        <f t="shared" si="30"/>
        <v/>
      </c>
      <c r="CX9" s="11">
        <f t="shared" si="31"/>
        <v>85.16</v>
      </c>
      <c r="CY9" s="11" t="str">
        <f t="shared" si="32"/>
        <v/>
      </c>
      <c r="CZ9" s="11" t="str">
        <f t="shared" si="33"/>
        <v/>
      </c>
      <c r="DA9" s="11">
        <f t="shared" si="34"/>
        <v>85.16</v>
      </c>
      <c r="DB9" s="19" t="str">
        <f t="shared" si="35"/>
        <v/>
      </c>
      <c r="DC9" s="19" t="str">
        <f t="shared" si="36"/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 t="shared" si="37"/>
        <v/>
      </c>
      <c r="DT9" s="11" t="str">
        <f t="shared" si="38"/>
        <v/>
      </c>
      <c r="DU9" s="11" t="str">
        <f t="shared" si="39"/>
        <v/>
      </c>
      <c r="DV9" s="11" t="str">
        <f t="shared" si="40"/>
        <v/>
      </c>
      <c r="DW9" s="11" t="str">
        <f t="shared" si="41"/>
        <v/>
      </c>
      <c r="DX9" s="11" t="str">
        <f t="shared" si="42"/>
        <v/>
      </c>
      <c r="DY9" s="11" t="str">
        <f t="shared" si="43"/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 t="shared" si="44"/>
        <v/>
      </c>
      <c r="EP9" s="14" t="str">
        <f t="shared" si="45"/>
        <v/>
      </c>
      <c r="EQ9" s="14" t="str">
        <f t="shared" si="46"/>
        <v/>
      </c>
      <c r="ER9" s="14" t="str">
        <f t="shared" si="47"/>
        <v/>
      </c>
      <c r="ES9" s="14" t="str">
        <f t="shared" si="48"/>
        <v/>
      </c>
      <c r="ET9" s="14" t="str">
        <f t="shared" si="49"/>
        <v/>
      </c>
      <c r="EU9" s="14" t="str">
        <f t="shared" si="50"/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 t="shared" si="51"/>
        <v/>
      </c>
      <c r="FL9" s="11" t="str">
        <f t="shared" si="52"/>
        <v/>
      </c>
      <c r="FM9" s="11" t="str">
        <f t="shared" si="53"/>
        <v/>
      </c>
      <c r="FN9" s="11" t="str">
        <f t="shared" si="54"/>
        <v/>
      </c>
      <c r="FO9" s="11" t="str">
        <f t="shared" si="55"/>
        <v/>
      </c>
      <c r="FP9" s="11" t="str">
        <f t="shared" si="56"/>
        <v/>
      </c>
      <c r="FQ9" s="11" t="str">
        <f t="shared" si="57"/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 t="shared" si="58"/>
        <v/>
      </c>
      <c r="GH9" s="14" t="str">
        <f t="shared" si="59"/>
        <v/>
      </c>
      <c r="GI9" s="14" t="str">
        <f t="shared" si="60"/>
        <v/>
      </c>
      <c r="GJ9" s="14" t="str">
        <f t="shared" si="61"/>
        <v/>
      </c>
      <c r="GK9" s="14" t="str">
        <f t="shared" si="62"/>
        <v/>
      </c>
      <c r="GL9" s="14" t="str">
        <f t="shared" si="63"/>
        <v/>
      </c>
      <c r="GM9" s="14" t="str">
        <f t="shared" si="64"/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 t="shared" si="65"/>
        <v/>
      </c>
      <c r="HD9" s="11" t="str">
        <f t="shared" si="66"/>
        <v/>
      </c>
      <c r="HE9" s="11" t="str">
        <f t="shared" si="67"/>
        <v/>
      </c>
      <c r="HF9" s="11" t="str">
        <f t="shared" si="68"/>
        <v/>
      </c>
      <c r="HG9" s="11" t="str">
        <f t="shared" si="69"/>
        <v/>
      </c>
      <c r="HH9" s="11" t="str">
        <f t="shared" si="70"/>
        <v/>
      </c>
      <c r="HI9" s="11" t="str">
        <f t="shared" si="71"/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 t="shared" si="72"/>
        <v/>
      </c>
      <c r="HZ9" s="14" t="str">
        <f t="shared" si="73"/>
        <v/>
      </c>
      <c r="IA9" s="14" t="str">
        <f t="shared" si="74"/>
        <v/>
      </c>
      <c r="IB9" s="14" t="str">
        <f t="shared" si="75"/>
        <v/>
      </c>
      <c r="IC9" s="14" t="str">
        <f t="shared" si="76"/>
        <v/>
      </c>
      <c r="ID9" s="14" t="str">
        <f t="shared" si="77"/>
        <v/>
      </c>
      <c r="IE9" s="14" t="str">
        <f t="shared" si="78"/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 t="shared" si="79"/>
        <v/>
      </c>
      <c r="IV9" s="11" t="str">
        <f t="shared" si="80"/>
        <v/>
      </c>
      <c r="IW9" s="11" t="str">
        <f t="shared" si="81"/>
        <v/>
      </c>
      <c r="IX9" s="11" t="str">
        <f t="shared" si="82"/>
        <v/>
      </c>
      <c r="IY9" s="11" t="str">
        <f t="shared" si="83"/>
        <v/>
      </c>
      <c r="IZ9" s="11" t="str">
        <f t="shared" si="84"/>
        <v/>
      </c>
      <c r="JA9" s="11" t="str">
        <f t="shared" si="85"/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 t="shared" si="86"/>
        <v/>
      </c>
      <c r="JR9" s="14" t="str">
        <f t="shared" si="87"/>
        <v/>
      </c>
      <c r="JS9" s="14" t="str">
        <f t="shared" si="88"/>
        <v/>
      </c>
      <c r="JT9" s="14" t="str">
        <f t="shared" si="89"/>
        <v/>
      </c>
      <c r="JU9" s="14" t="str">
        <f t="shared" si="90"/>
        <v/>
      </c>
      <c r="JV9" s="14" t="str">
        <f t="shared" si="91"/>
        <v/>
      </c>
      <c r="JW9" s="14" t="str">
        <f t="shared" si="92"/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 t="shared" si="93"/>
        <v/>
      </c>
      <c r="KN9" s="11" t="str">
        <f t="shared" si="94"/>
        <v/>
      </c>
      <c r="KO9" s="11" t="str">
        <f t="shared" si="95"/>
        <v/>
      </c>
      <c r="KP9" s="11" t="str">
        <f t="shared" si="96"/>
        <v/>
      </c>
      <c r="KQ9" s="11" t="str">
        <f t="shared" si="97"/>
        <v/>
      </c>
      <c r="KR9" s="11" t="str">
        <f t="shared" si="98"/>
        <v/>
      </c>
      <c r="KS9" s="11" t="str">
        <f t="shared" si="99"/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 t="shared" si="100"/>
        <v/>
      </c>
      <c r="LJ9" s="14" t="str">
        <f t="shared" si="101"/>
        <v/>
      </c>
      <c r="LK9" s="14" t="str">
        <f t="shared" si="102"/>
        <v/>
      </c>
      <c r="LL9" s="14" t="str">
        <f t="shared" si="103"/>
        <v/>
      </c>
      <c r="LM9" s="14" t="str">
        <f t="shared" si="104"/>
        <v/>
      </c>
      <c r="LN9" s="14" t="str">
        <f t="shared" si="105"/>
        <v/>
      </c>
      <c r="LO9" s="14" t="str">
        <f t="shared" si="106"/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 t="shared" si="107"/>
        <v/>
      </c>
      <c r="MF9" s="11" t="str">
        <f t="shared" si="108"/>
        <v/>
      </c>
      <c r="MG9" s="11" t="str">
        <f t="shared" si="109"/>
        <v/>
      </c>
      <c r="MH9" s="11" t="str">
        <f t="shared" si="110"/>
        <v/>
      </c>
      <c r="MI9" s="11" t="str">
        <f t="shared" si="111"/>
        <v/>
      </c>
      <c r="MJ9" s="11" t="str">
        <f t="shared" si="112"/>
        <v/>
      </c>
      <c r="MK9" s="11" t="str">
        <f t="shared" si="113"/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 t="shared" si="114"/>
        <v/>
      </c>
      <c r="NB9" s="14" t="str">
        <f t="shared" si="115"/>
        <v/>
      </c>
      <c r="NC9" s="14" t="str">
        <f t="shared" si="116"/>
        <v/>
      </c>
      <c r="ND9" s="14" t="str">
        <f t="shared" si="117"/>
        <v/>
      </c>
      <c r="NE9" s="14" t="str">
        <f t="shared" si="118"/>
        <v/>
      </c>
      <c r="NF9" s="14" t="str">
        <f t="shared" si="119"/>
        <v/>
      </c>
      <c r="NG9" s="14" t="str">
        <f t="shared" si="120"/>
        <v/>
      </c>
      <c r="NH9" s="38">
        <f t="shared" si="121"/>
        <v>13.5</v>
      </c>
      <c r="NI9" s="38">
        <f t="shared" si="122"/>
        <v>8.1999999999999993</v>
      </c>
      <c r="NJ9" s="38">
        <f t="shared" si="123"/>
        <v>1.85</v>
      </c>
      <c r="NK9" s="38">
        <f t="shared" si="124"/>
        <v>12.879999999999999</v>
      </c>
      <c r="NL9" s="38">
        <f t="shared" si="125"/>
        <v>1</v>
      </c>
      <c r="NM9" s="38">
        <f t="shared" si="126"/>
        <v>14.05</v>
      </c>
      <c r="NN9" s="38">
        <f t="shared" si="127"/>
        <v>9.3000000000000007</v>
      </c>
      <c r="NO9" s="38">
        <f t="shared" si="128"/>
        <v>9.9</v>
      </c>
      <c r="NP9" s="38">
        <f t="shared" si="129"/>
        <v>13.8325</v>
      </c>
      <c r="NQ9" s="38">
        <f t="shared" si="130"/>
        <v>0</v>
      </c>
      <c r="NR9" s="38">
        <f t="shared" si="131"/>
        <v>0</v>
      </c>
      <c r="NS9" s="38">
        <f t="shared" si="132"/>
        <v>0</v>
      </c>
      <c r="NT9" s="38">
        <f t="shared" si="133"/>
        <v>0</v>
      </c>
      <c r="NU9" s="38">
        <f t="shared" si="134"/>
        <v>0</v>
      </c>
      <c r="NV9" s="38">
        <f t="shared" si="135"/>
        <v>0</v>
      </c>
      <c r="NW9" s="38">
        <f t="shared" si="136"/>
        <v>0</v>
      </c>
      <c r="NX9" s="38">
        <f t="shared" si="137"/>
        <v>0</v>
      </c>
      <c r="NY9" s="38">
        <f t="shared" si="138"/>
        <v>0</v>
      </c>
      <c r="NZ9" s="38">
        <f t="shared" si="139"/>
        <v>0</v>
      </c>
      <c r="OA9" s="38">
        <f t="shared" si="140"/>
        <v>0</v>
      </c>
      <c r="OB9" s="45" t="s">
        <v>46</v>
      </c>
      <c r="OC9" s="11">
        <f t="shared" si="141"/>
        <v>35.43</v>
      </c>
      <c r="OD9" s="11">
        <f t="shared" si="142"/>
        <v>9.9</v>
      </c>
      <c r="OE9" s="11">
        <f t="shared" si="143"/>
        <v>47.082499999999996</v>
      </c>
      <c r="OF9" s="11" t="str">
        <f t="shared" si="144"/>
        <v/>
      </c>
      <c r="OG9" s="11" t="str">
        <f t="shared" si="145"/>
        <v/>
      </c>
      <c r="OH9" s="11">
        <f t="shared" si="146"/>
        <v>82.512499999999989</v>
      </c>
      <c r="OI9" s="11" t="str">
        <f t="shared" si="147"/>
        <v/>
      </c>
      <c r="OJ9" s="11" t="str">
        <f t="shared" ref="OJ9" si="152">IF(SUM(NW9:NZ9)-OA9&gt;0,SUM(NW9:NZ9)-OA9,"")</f>
        <v/>
      </c>
      <c r="OK9" s="11">
        <f t="shared" ref="OK9" si="153">IF(SUM(OH9,OJ9)&gt;0,SUM(OH9,OJ9),"")</f>
        <v>82.512499999999989</v>
      </c>
    </row>
    <row r="10" spans="1:401" x14ac:dyDescent="0.2">
      <c r="A10" s="5" t="str" cm="1">
        <f t="array" ref="A10">IF(AND(F10="P",G10="P"),SUMPRODUCT((F$4:F$29="P")*(G$4:G$29="P")*(E$4:E$29&gt;E10))+1,IF(G10="P",SUMPRODUCT((F$4:F$29="")*(G$4:G$29="P")*(E$4:E$29&gt;E10))+1+SUMPRODUCT((F$4:F$29="P")*(G$4:G$29="P")),""))</f>
        <v/>
      </c>
      <c r="B10" s="8" t="s">
        <v>75</v>
      </c>
      <c r="C10" s="4" t="s">
        <v>4</v>
      </c>
      <c r="D10" s="22">
        <v>2003</v>
      </c>
      <c r="E10" s="15">
        <f t="shared" si="0"/>
        <v>94.259999999999991</v>
      </c>
      <c r="F10" s="3" t="str">
        <f t="shared" si="1"/>
        <v/>
      </c>
      <c r="G10" s="3" t="str">
        <f t="shared" si="2"/>
        <v/>
      </c>
      <c r="H10" s="67" t="str">
        <f t="shared" si="3"/>
        <v/>
      </c>
      <c r="I10" s="14">
        <f t="shared" si="4"/>
        <v>47.254999999999995</v>
      </c>
      <c r="J10" s="14" t="str">
        <f t="shared" si="5"/>
        <v>2021 Canadian Championships</v>
      </c>
      <c r="K10" s="14">
        <f>IF(COUNT(AM10,AO10,AR10,BQ10,BS10,BV10,CU10,CW10,CZ10)&gt;1,LARGE((AM10,AO10,AR10,BQ10,BS10,BV10,CU10,CW10,CZ10),2),0)</f>
        <v>47.004999999999995</v>
      </c>
      <c r="L10" s="14" t="str">
        <f t="shared" si="6"/>
        <v>2021 Canadian Championships</v>
      </c>
      <c r="M10" s="14" t="str">
        <f t="shared" si="7"/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 t="shared" si="8"/>
        <v/>
      </c>
      <c r="AL10" s="11" t="str">
        <f t="shared" si="9"/>
        <v/>
      </c>
      <c r="AM10" s="11" t="str">
        <f t="shared" si="10"/>
        <v/>
      </c>
      <c r="AN10" s="11" t="str">
        <f t="shared" si="11"/>
        <v/>
      </c>
      <c r="AO10" s="11" t="str">
        <f t="shared" si="12"/>
        <v/>
      </c>
      <c r="AP10" s="11" t="str">
        <f t="shared" si="13"/>
        <v/>
      </c>
      <c r="AQ10" s="11" t="str">
        <f t="shared" si="14"/>
        <v/>
      </c>
      <c r="AR10" s="11" t="str">
        <f t="shared" si="15"/>
        <v/>
      </c>
      <c r="AS10" s="11" t="str">
        <f t="shared" si="16"/>
        <v/>
      </c>
      <c r="AT10" s="42">
        <v>14.9</v>
      </c>
      <c r="AU10" s="42">
        <v>9.1999999999999993</v>
      </c>
      <c r="AV10" s="42">
        <v>2.7</v>
      </c>
      <c r="AW10" s="42">
        <v>13.855</v>
      </c>
      <c r="AX10" s="42">
        <v>0</v>
      </c>
      <c r="AY10" s="42">
        <v>14.2</v>
      </c>
      <c r="AZ10" s="42">
        <v>9.6</v>
      </c>
      <c r="BA10" s="42">
        <v>9.8000000000000007</v>
      </c>
      <c r="BB10" s="42">
        <v>13.654999999999999</v>
      </c>
      <c r="BC10" s="42">
        <v>0</v>
      </c>
      <c r="BD10" s="42"/>
      <c r="BE10" s="42"/>
      <c r="BF10" s="42"/>
      <c r="BG10" s="42"/>
      <c r="BH10" s="42"/>
      <c r="BI10" s="42">
        <v>14.3</v>
      </c>
      <c r="BJ10" s="42">
        <v>9</v>
      </c>
      <c r="BK10" s="42">
        <v>10</v>
      </c>
      <c r="BL10" s="42">
        <v>13.705</v>
      </c>
      <c r="BM10" s="42">
        <v>0</v>
      </c>
      <c r="BN10" s="46"/>
      <c r="BO10" s="14">
        <f t="shared" si="17"/>
        <v>40.655000000000001</v>
      </c>
      <c r="BP10" s="14">
        <f t="shared" si="18"/>
        <v>9.8000000000000007</v>
      </c>
      <c r="BQ10" s="14">
        <f t="shared" si="19"/>
        <v>47.254999999999995</v>
      </c>
      <c r="BR10" s="14" t="str">
        <f t="shared" si="20"/>
        <v/>
      </c>
      <c r="BS10" s="14" t="str">
        <f t="shared" si="21"/>
        <v/>
      </c>
      <c r="BT10" s="14">
        <f t="shared" si="22"/>
        <v>87.91</v>
      </c>
      <c r="BU10" s="14">
        <f t="shared" si="23"/>
        <v>10</v>
      </c>
      <c r="BV10" s="14">
        <f t="shared" si="24"/>
        <v>47.004999999999995</v>
      </c>
      <c r="BW10" s="14">
        <f t="shared" si="25"/>
        <v>134.91499999999999</v>
      </c>
      <c r="BX10" s="38">
        <v>13.8</v>
      </c>
      <c r="BY10" s="38">
        <v>8.6999999999999993</v>
      </c>
      <c r="BZ10" s="38">
        <v>0.8</v>
      </c>
      <c r="CA10" s="38">
        <v>13.29</v>
      </c>
      <c r="CB10" s="38">
        <v>4</v>
      </c>
      <c r="CC10" s="38">
        <v>13.9</v>
      </c>
      <c r="CD10" s="38">
        <v>9.1</v>
      </c>
      <c r="CE10" s="38">
        <v>9.6999999999999993</v>
      </c>
      <c r="CF10" s="38">
        <v>13.4</v>
      </c>
      <c r="CG10" s="38">
        <v>0</v>
      </c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45"/>
      <c r="CS10" s="11">
        <f t="shared" si="26"/>
        <v>32.590000000000003</v>
      </c>
      <c r="CT10" s="11">
        <f t="shared" si="27"/>
        <v>9.6999999999999993</v>
      </c>
      <c r="CU10" s="11">
        <f t="shared" si="28"/>
        <v>46.1</v>
      </c>
      <c r="CV10" s="11" t="str">
        <f t="shared" si="29"/>
        <v/>
      </c>
      <c r="CW10" s="11" t="str">
        <f t="shared" si="30"/>
        <v/>
      </c>
      <c r="CX10" s="11">
        <f t="shared" si="31"/>
        <v>78.69</v>
      </c>
      <c r="CY10" s="11" t="str">
        <f t="shared" si="32"/>
        <v/>
      </c>
      <c r="CZ10" s="11" t="str">
        <f t="shared" si="33"/>
        <v/>
      </c>
      <c r="DA10" s="11">
        <f t="shared" si="34"/>
        <v>78.69</v>
      </c>
      <c r="DB10" s="19" t="str">
        <f t="shared" si="35"/>
        <v/>
      </c>
      <c r="DC10" s="19" t="str">
        <f t="shared" si="36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 t="shared" si="37"/>
        <v/>
      </c>
      <c r="DT10" s="11" t="str">
        <f t="shared" si="38"/>
        <v/>
      </c>
      <c r="DU10" s="11" t="str">
        <f t="shared" si="39"/>
        <v/>
      </c>
      <c r="DV10" s="11" t="str">
        <f t="shared" si="40"/>
        <v/>
      </c>
      <c r="DW10" s="11" t="str">
        <f t="shared" si="41"/>
        <v/>
      </c>
      <c r="DX10" s="11" t="str">
        <f t="shared" si="42"/>
        <v/>
      </c>
      <c r="DY10" s="11" t="str">
        <f t="shared" si="43"/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 t="shared" si="44"/>
        <v/>
      </c>
      <c r="EP10" s="14" t="str">
        <f t="shared" si="45"/>
        <v/>
      </c>
      <c r="EQ10" s="14" t="str">
        <f t="shared" si="46"/>
        <v/>
      </c>
      <c r="ER10" s="14" t="str">
        <f t="shared" si="47"/>
        <v/>
      </c>
      <c r="ES10" s="14" t="str">
        <f t="shared" si="48"/>
        <v/>
      </c>
      <c r="ET10" s="14" t="str">
        <f t="shared" si="49"/>
        <v/>
      </c>
      <c r="EU10" s="14" t="str">
        <f t="shared" si="50"/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 t="shared" si="51"/>
        <v/>
      </c>
      <c r="FL10" s="11" t="str">
        <f t="shared" si="52"/>
        <v/>
      </c>
      <c r="FM10" s="11" t="str">
        <f t="shared" si="53"/>
        <v/>
      </c>
      <c r="FN10" s="11" t="str">
        <f t="shared" si="54"/>
        <v/>
      </c>
      <c r="FO10" s="11" t="str">
        <f t="shared" si="55"/>
        <v/>
      </c>
      <c r="FP10" s="11" t="str">
        <f t="shared" si="56"/>
        <v/>
      </c>
      <c r="FQ10" s="11" t="str">
        <f t="shared" si="57"/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 t="shared" si="58"/>
        <v/>
      </c>
      <c r="GH10" s="14" t="str">
        <f t="shared" si="59"/>
        <v/>
      </c>
      <c r="GI10" s="14" t="str">
        <f t="shared" si="60"/>
        <v/>
      </c>
      <c r="GJ10" s="14" t="str">
        <f t="shared" si="61"/>
        <v/>
      </c>
      <c r="GK10" s="14" t="str">
        <f t="shared" si="62"/>
        <v/>
      </c>
      <c r="GL10" s="14" t="str">
        <f t="shared" si="63"/>
        <v/>
      </c>
      <c r="GM10" s="14" t="str">
        <f t="shared" si="64"/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 t="shared" si="65"/>
        <v/>
      </c>
      <c r="HD10" s="11" t="str">
        <f t="shared" si="66"/>
        <v/>
      </c>
      <c r="HE10" s="11" t="str">
        <f t="shared" si="67"/>
        <v/>
      </c>
      <c r="HF10" s="11" t="str">
        <f t="shared" si="68"/>
        <v/>
      </c>
      <c r="HG10" s="11" t="str">
        <f t="shared" si="69"/>
        <v/>
      </c>
      <c r="HH10" s="11" t="str">
        <f t="shared" si="70"/>
        <v/>
      </c>
      <c r="HI10" s="11" t="str">
        <f t="shared" si="71"/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 t="shared" si="72"/>
        <v/>
      </c>
      <c r="HZ10" s="14" t="str">
        <f t="shared" si="73"/>
        <v/>
      </c>
      <c r="IA10" s="14" t="str">
        <f t="shared" si="74"/>
        <v/>
      </c>
      <c r="IB10" s="14" t="str">
        <f t="shared" si="75"/>
        <v/>
      </c>
      <c r="IC10" s="14" t="str">
        <f t="shared" si="76"/>
        <v/>
      </c>
      <c r="ID10" s="14" t="str">
        <f t="shared" si="77"/>
        <v/>
      </c>
      <c r="IE10" s="14" t="str">
        <f t="shared" si="78"/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 t="shared" si="79"/>
        <v/>
      </c>
      <c r="IV10" s="11" t="str">
        <f t="shared" si="80"/>
        <v/>
      </c>
      <c r="IW10" s="11" t="str">
        <f t="shared" si="81"/>
        <v/>
      </c>
      <c r="IX10" s="11" t="str">
        <f t="shared" si="82"/>
        <v/>
      </c>
      <c r="IY10" s="11" t="str">
        <f t="shared" si="83"/>
        <v/>
      </c>
      <c r="IZ10" s="11" t="str">
        <f t="shared" si="84"/>
        <v/>
      </c>
      <c r="JA10" s="11" t="str">
        <f t="shared" si="85"/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 t="shared" si="86"/>
        <v/>
      </c>
      <c r="JR10" s="14" t="str">
        <f t="shared" si="87"/>
        <v/>
      </c>
      <c r="JS10" s="14" t="str">
        <f t="shared" si="88"/>
        <v/>
      </c>
      <c r="JT10" s="14" t="str">
        <f t="shared" si="89"/>
        <v/>
      </c>
      <c r="JU10" s="14" t="str">
        <f t="shared" si="90"/>
        <v/>
      </c>
      <c r="JV10" s="14" t="str">
        <f t="shared" si="91"/>
        <v/>
      </c>
      <c r="JW10" s="14" t="str">
        <f t="shared" si="92"/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 t="shared" si="93"/>
        <v/>
      </c>
      <c r="KN10" s="11" t="str">
        <f t="shared" si="94"/>
        <v/>
      </c>
      <c r="KO10" s="11" t="str">
        <f t="shared" si="95"/>
        <v/>
      </c>
      <c r="KP10" s="11" t="str">
        <f t="shared" si="96"/>
        <v/>
      </c>
      <c r="KQ10" s="11" t="str">
        <f t="shared" si="97"/>
        <v/>
      </c>
      <c r="KR10" s="11" t="str">
        <f t="shared" si="98"/>
        <v/>
      </c>
      <c r="KS10" s="11" t="str">
        <f t="shared" si="99"/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 t="shared" si="100"/>
        <v/>
      </c>
      <c r="LJ10" s="14" t="str">
        <f t="shared" si="101"/>
        <v/>
      </c>
      <c r="LK10" s="14" t="str">
        <f t="shared" si="102"/>
        <v/>
      </c>
      <c r="LL10" s="14" t="str">
        <f t="shared" si="103"/>
        <v/>
      </c>
      <c r="LM10" s="14" t="str">
        <f t="shared" si="104"/>
        <v/>
      </c>
      <c r="LN10" s="14" t="str">
        <f t="shared" si="105"/>
        <v/>
      </c>
      <c r="LO10" s="14" t="str">
        <f t="shared" si="106"/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 t="shared" si="107"/>
        <v/>
      </c>
      <c r="MF10" s="11" t="str">
        <f t="shared" si="108"/>
        <v/>
      </c>
      <c r="MG10" s="11" t="str">
        <f t="shared" si="109"/>
        <v/>
      </c>
      <c r="MH10" s="11" t="str">
        <f t="shared" si="110"/>
        <v/>
      </c>
      <c r="MI10" s="11" t="str">
        <f t="shared" si="111"/>
        <v/>
      </c>
      <c r="MJ10" s="11" t="str">
        <f t="shared" si="112"/>
        <v/>
      </c>
      <c r="MK10" s="11" t="str">
        <f t="shared" si="113"/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 t="shared" si="114"/>
        <v/>
      </c>
      <c r="NB10" s="14" t="str">
        <f t="shared" si="115"/>
        <v/>
      </c>
      <c r="NC10" s="14" t="str">
        <f t="shared" si="116"/>
        <v/>
      </c>
      <c r="ND10" s="14" t="str">
        <f t="shared" si="117"/>
        <v/>
      </c>
      <c r="NE10" s="14" t="str">
        <f t="shared" si="118"/>
        <v/>
      </c>
      <c r="NF10" s="14" t="str">
        <f t="shared" si="119"/>
        <v/>
      </c>
      <c r="NG10" s="14" t="str">
        <f t="shared" si="120"/>
        <v/>
      </c>
      <c r="NH10" s="38">
        <f t="shared" si="121"/>
        <v>14.350000000000001</v>
      </c>
      <c r="NI10" s="38">
        <f t="shared" si="122"/>
        <v>8.9499999999999993</v>
      </c>
      <c r="NJ10" s="38">
        <f t="shared" si="123"/>
        <v>1.75</v>
      </c>
      <c r="NK10" s="38">
        <f t="shared" si="124"/>
        <v>13.5725</v>
      </c>
      <c r="NL10" s="38">
        <f t="shared" si="125"/>
        <v>2</v>
      </c>
      <c r="NM10" s="38">
        <f t="shared" si="126"/>
        <v>14.05</v>
      </c>
      <c r="NN10" s="38">
        <f t="shared" si="127"/>
        <v>9.35</v>
      </c>
      <c r="NO10" s="38">
        <f t="shared" si="128"/>
        <v>9.75</v>
      </c>
      <c r="NP10" s="38">
        <f t="shared" si="129"/>
        <v>13.5275</v>
      </c>
      <c r="NQ10" s="38">
        <f t="shared" si="130"/>
        <v>0</v>
      </c>
      <c r="NR10" s="38">
        <f t="shared" si="131"/>
        <v>0</v>
      </c>
      <c r="NS10" s="38">
        <f t="shared" si="132"/>
        <v>0</v>
      </c>
      <c r="NT10" s="38">
        <f t="shared" si="133"/>
        <v>0</v>
      </c>
      <c r="NU10" s="38">
        <f t="shared" si="134"/>
        <v>0</v>
      </c>
      <c r="NV10" s="38">
        <f t="shared" si="135"/>
        <v>0</v>
      </c>
      <c r="NW10" s="38">
        <f t="shared" si="136"/>
        <v>7.15</v>
      </c>
      <c r="NX10" s="38">
        <f t="shared" si="137"/>
        <v>4.5</v>
      </c>
      <c r="NY10" s="38">
        <f t="shared" si="138"/>
        <v>5</v>
      </c>
      <c r="NZ10" s="38">
        <f t="shared" si="139"/>
        <v>6.8525</v>
      </c>
      <c r="OA10" s="38">
        <f t="shared" si="140"/>
        <v>0</v>
      </c>
      <c r="OB10" s="45" t="s">
        <v>46</v>
      </c>
      <c r="OC10" s="11">
        <f t="shared" si="141"/>
        <v>36.622500000000002</v>
      </c>
      <c r="OD10" s="11">
        <f t="shared" si="142"/>
        <v>9.75</v>
      </c>
      <c r="OE10" s="11">
        <f t="shared" si="143"/>
        <v>46.677499999999995</v>
      </c>
      <c r="OF10" s="11" t="str">
        <f t="shared" si="144"/>
        <v/>
      </c>
      <c r="OG10" s="11" t="str">
        <f t="shared" si="145"/>
        <v/>
      </c>
      <c r="OH10" s="11">
        <f t="shared" si="146"/>
        <v>83.3</v>
      </c>
      <c r="OI10" s="11">
        <f t="shared" si="147"/>
        <v>5</v>
      </c>
      <c r="OJ10" s="11">
        <f t="shared" ref="OJ10" si="154">IF(SUM(NW10:NZ10)-OA10&gt;0,SUM(NW10:NZ10)-OA10,"")</f>
        <v>23.502499999999998</v>
      </c>
      <c r="OK10" s="11">
        <f t="shared" ref="OK10" si="155">IF(SUM(OH10,OJ10)&gt;0,SUM(OH10,OJ10),"")</f>
        <v>106.80249999999999</v>
      </c>
    </row>
    <row r="11" spans="1:401" x14ac:dyDescent="0.2">
      <c r="A11" s="5" t="str" cm="1">
        <f t="array" ref="A11">IF(AND(F11="P",G11="P"),SUMPRODUCT((F$4:F$29="P")*(G$4:G$29="P")*(E$4:E$29&gt;E11))+1,IF(G11="P",SUMPRODUCT((F$4:F$29="")*(G$4:G$29="P")*(E$4:E$29&gt;E11))+1+SUMPRODUCT((F$4:F$29="P")*(G$4:G$29="P")),""))</f>
        <v/>
      </c>
      <c r="B11" s="6" t="s">
        <v>102</v>
      </c>
      <c r="C11" s="7" t="s">
        <v>5</v>
      </c>
      <c r="D11" s="22">
        <v>2001</v>
      </c>
      <c r="E11" s="15">
        <f t="shared" si="0"/>
        <v>93.88</v>
      </c>
      <c r="F11" s="3" t="str">
        <f t="shared" si="1"/>
        <v/>
      </c>
      <c r="G11" s="3" t="str">
        <f t="shared" si="2"/>
        <v/>
      </c>
      <c r="H11" s="67" t="str">
        <f t="shared" si="3"/>
        <v/>
      </c>
      <c r="I11" s="14">
        <f t="shared" si="4"/>
        <v>47.47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46.41</v>
      </c>
      <c r="L11" s="14" t="str">
        <f t="shared" si="6"/>
        <v>2021 Elite Canada</v>
      </c>
      <c r="M11" s="14" t="str">
        <f t="shared" si="7"/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>
        <v>16.100000000000001</v>
      </c>
      <c r="Q11" s="38">
        <v>9.6</v>
      </c>
      <c r="R11" s="38">
        <v>2.2000000000000002</v>
      </c>
      <c r="S11" s="38">
        <v>14.725</v>
      </c>
      <c r="T11" s="38">
        <v>0</v>
      </c>
      <c r="U11" s="38">
        <v>13.8</v>
      </c>
      <c r="V11" s="38">
        <v>9.5</v>
      </c>
      <c r="W11" s="38">
        <v>9.6999999999999993</v>
      </c>
      <c r="X11" s="38">
        <v>13.41</v>
      </c>
      <c r="Y11" s="38">
        <v>0</v>
      </c>
      <c r="Z11" s="38"/>
      <c r="AA11" s="38"/>
      <c r="AB11" s="38"/>
      <c r="AC11" s="38"/>
      <c r="AD11" s="38"/>
      <c r="AE11" s="38">
        <v>5.2</v>
      </c>
      <c r="AF11" s="38">
        <v>3.4</v>
      </c>
      <c r="AG11" s="38">
        <v>4.3</v>
      </c>
      <c r="AH11" s="38">
        <v>5.49</v>
      </c>
      <c r="AI11" s="38">
        <v>0</v>
      </c>
      <c r="AJ11" s="45"/>
      <c r="AK11" s="11">
        <f t="shared" si="8"/>
        <v>42.625</v>
      </c>
      <c r="AL11" s="11">
        <f t="shared" si="9"/>
        <v>9.6999999999999993</v>
      </c>
      <c r="AM11" s="11">
        <f t="shared" si="10"/>
        <v>46.41</v>
      </c>
      <c r="AN11" s="11" t="str">
        <f t="shared" si="11"/>
        <v/>
      </c>
      <c r="AO11" s="11" t="str">
        <f t="shared" si="12"/>
        <v/>
      </c>
      <c r="AP11" s="11">
        <f t="shared" si="13"/>
        <v>89.034999999999997</v>
      </c>
      <c r="AQ11" s="11">
        <f t="shared" si="14"/>
        <v>4.3</v>
      </c>
      <c r="AR11" s="11">
        <f t="shared" si="15"/>
        <v>18.39</v>
      </c>
      <c r="AS11" s="11">
        <f t="shared" si="16"/>
        <v>107.425</v>
      </c>
      <c r="AT11" s="42">
        <v>15.8</v>
      </c>
      <c r="AU11" s="42">
        <v>9.4</v>
      </c>
      <c r="AV11" s="42">
        <v>2</v>
      </c>
      <c r="AW11" s="42">
        <v>14.115</v>
      </c>
      <c r="AX11" s="42">
        <v>0</v>
      </c>
      <c r="AY11" s="42">
        <v>13.9</v>
      </c>
      <c r="AZ11" s="42">
        <v>8.8000000000000007</v>
      </c>
      <c r="BA11" s="42">
        <v>8.1999999999999993</v>
      </c>
      <c r="BB11" s="42">
        <v>13.39</v>
      </c>
      <c r="BC11" s="42">
        <v>0.6</v>
      </c>
      <c r="BD11" s="42"/>
      <c r="BE11" s="42"/>
      <c r="BF11" s="42"/>
      <c r="BG11" s="42"/>
      <c r="BH11" s="42"/>
      <c r="BI11" s="42">
        <v>14.1</v>
      </c>
      <c r="BJ11" s="42">
        <v>8.8000000000000007</v>
      </c>
      <c r="BK11" s="42">
        <v>9.4</v>
      </c>
      <c r="BL11" s="42">
        <v>11.71</v>
      </c>
      <c r="BM11" s="42">
        <v>0</v>
      </c>
      <c r="BN11" s="46"/>
      <c r="BO11" s="14">
        <f t="shared" si="17"/>
        <v>41.315000000000005</v>
      </c>
      <c r="BP11" s="14">
        <f t="shared" si="18"/>
        <v>8.1999999999999993</v>
      </c>
      <c r="BQ11" s="14">
        <f t="shared" si="19"/>
        <v>43.690000000000005</v>
      </c>
      <c r="BR11" s="14" t="str">
        <f t="shared" si="20"/>
        <v/>
      </c>
      <c r="BS11" s="14" t="str">
        <f t="shared" si="21"/>
        <v/>
      </c>
      <c r="BT11" s="14">
        <f t="shared" si="22"/>
        <v>85.00500000000001</v>
      </c>
      <c r="BU11" s="14">
        <f t="shared" si="23"/>
        <v>9.4</v>
      </c>
      <c r="BV11" s="14">
        <f t="shared" si="24"/>
        <v>44.01</v>
      </c>
      <c r="BW11" s="14">
        <f t="shared" si="25"/>
        <v>129.01500000000001</v>
      </c>
      <c r="BX11" s="38">
        <v>14.7</v>
      </c>
      <c r="BY11" s="38">
        <v>9.1999999999999993</v>
      </c>
      <c r="BZ11" s="38">
        <v>2</v>
      </c>
      <c r="CA11" s="38">
        <v>14.27</v>
      </c>
      <c r="CB11" s="38">
        <v>0</v>
      </c>
      <c r="CC11" s="38">
        <v>13.1</v>
      </c>
      <c r="CD11" s="38">
        <v>9.1</v>
      </c>
      <c r="CE11" s="38">
        <v>10.3</v>
      </c>
      <c r="CF11" s="38">
        <v>13.47</v>
      </c>
      <c r="CG11" s="38">
        <v>0</v>
      </c>
      <c r="CH11" s="38"/>
      <c r="CI11" s="38"/>
      <c r="CJ11" s="38"/>
      <c r="CK11" s="38"/>
      <c r="CL11" s="38"/>
      <c r="CM11" s="38">
        <v>14</v>
      </c>
      <c r="CN11" s="38">
        <v>9.4</v>
      </c>
      <c r="CO11" s="38">
        <v>10.3</v>
      </c>
      <c r="CP11" s="38">
        <v>13.77</v>
      </c>
      <c r="CQ11" s="38">
        <v>0</v>
      </c>
      <c r="CR11" s="45"/>
      <c r="CS11" s="11">
        <f t="shared" si="26"/>
        <v>40.17</v>
      </c>
      <c r="CT11" s="11">
        <f t="shared" si="27"/>
        <v>10.3</v>
      </c>
      <c r="CU11" s="11">
        <f t="shared" si="28"/>
        <v>45.97</v>
      </c>
      <c r="CV11" s="11" t="str">
        <f t="shared" si="29"/>
        <v/>
      </c>
      <c r="CW11" s="11" t="str">
        <f t="shared" si="30"/>
        <v/>
      </c>
      <c r="CX11" s="11">
        <f t="shared" si="31"/>
        <v>86.14</v>
      </c>
      <c r="CY11" s="11">
        <f t="shared" si="32"/>
        <v>10.3</v>
      </c>
      <c r="CZ11" s="11">
        <f t="shared" si="33"/>
        <v>47.47</v>
      </c>
      <c r="DA11" s="11">
        <f t="shared" si="34"/>
        <v>133.61000000000001</v>
      </c>
      <c r="DB11" s="19" t="str">
        <f t="shared" si="35"/>
        <v/>
      </c>
      <c r="DC11" s="19" t="str">
        <f t="shared" si="36"/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 t="shared" si="37"/>
        <v/>
      </c>
      <c r="DT11" s="11" t="str">
        <f t="shared" si="38"/>
        <v/>
      </c>
      <c r="DU11" s="11" t="str">
        <f t="shared" si="39"/>
        <v/>
      </c>
      <c r="DV11" s="11" t="str">
        <f t="shared" si="40"/>
        <v/>
      </c>
      <c r="DW11" s="11" t="str">
        <f t="shared" si="41"/>
        <v/>
      </c>
      <c r="DX11" s="11" t="str">
        <f t="shared" si="42"/>
        <v/>
      </c>
      <c r="DY11" s="11" t="str">
        <f t="shared" si="43"/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 t="shared" si="44"/>
        <v/>
      </c>
      <c r="EP11" s="14" t="str">
        <f t="shared" si="45"/>
        <v/>
      </c>
      <c r="EQ11" s="14" t="str">
        <f t="shared" si="46"/>
        <v/>
      </c>
      <c r="ER11" s="14" t="str">
        <f t="shared" si="47"/>
        <v/>
      </c>
      <c r="ES11" s="14" t="str">
        <f t="shared" si="48"/>
        <v/>
      </c>
      <c r="ET11" s="14" t="str">
        <f t="shared" si="49"/>
        <v/>
      </c>
      <c r="EU11" s="14" t="str">
        <f t="shared" si="50"/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 t="shared" si="51"/>
        <v/>
      </c>
      <c r="FL11" s="11" t="str">
        <f t="shared" si="52"/>
        <v/>
      </c>
      <c r="FM11" s="11" t="str">
        <f t="shared" si="53"/>
        <v/>
      </c>
      <c r="FN11" s="11" t="str">
        <f t="shared" si="54"/>
        <v/>
      </c>
      <c r="FO11" s="11" t="str">
        <f t="shared" si="55"/>
        <v/>
      </c>
      <c r="FP11" s="11" t="str">
        <f t="shared" si="56"/>
        <v/>
      </c>
      <c r="FQ11" s="11" t="str">
        <f t="shared" si="57"/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 t="shared" si="58"/>
        <v/>
      </c>
      <c r="GH11" s="14" t="str">
        <f t="shared" si="59"/>
        <v/>
      </c>
      <c r="GI11" s="14" t="str">
        <f t="shared" si="60"/>
        <v/>
      </c>
      <c r="GJ11" s="14" t="str">
        <f t="shared" si="61"/>
        <v/>
      </c>
      <c r="GK11" s="14" t="str">
        <f t="shared" si="62"/>
        <v/>
      </c>
      <c r="GL11" s="14" t="str">
        <f t="shared" si="63"/>
        <v/>
      </c>
      <c r="GM11" s="14" t="str">
        <f t="shared" si="64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 t="shared" si="65"/>
        <v/>
      </c>
      <c r="HD11" s="11" t="str">
        <f t="shared" si="66"/>
        <v/>
      </c>
      <c r="HE11" s="11" t="str">
        <f t="shared" si="67"/>
        <v/>
      </c>
      <c r="HF11" s="11" t="str">
        <f t="shared" si="68"/>
        <v/>
      </c>
      <c r="HG11" s="11" t="str">
        <f t="shared" si="69"/>
        <v/>
      </c>
      <c r="HH11" s="11" t="str">
        <f t="shared" si="70"/>
        <v/>
      </c>
      <c r="HI11" s="11" t="str">
        <f t="shared" si="71"/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 t="shared" si="72"/>
        <v/>
      </c>
      <c r="HZ11" s="14" t="str">
        <f t="shared" si="73"/>
        <v/>
      </c>
      <c r="IA11" s="14" t="str">
        <f t="shared" si="74"/>
        <v/>
      </c>
      <c r="IB11" s="14" t="str">
        <f t="shared" si="75"/>
        <v/>
      </c>
      <c r="IC11" s="14" t="str">
        <f t="shared" si="76"/>
        <v/>
      </c>
      <c r="ID11" s="14" t="str">
        <f t="shared" si="77"/>
        <v/>
      </c>
      <c r="IE11" s="14" t="str">
        <f t="shared" si="78"/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 t="shared" si="79"/>
        <v/>
      </c>
      <c r="IV11" s="11" t="str">
        <f t="shared" si="80"/>
        <v/>
      </c>
      <c r="IW11" s="11" t="str">
        <f t="shared" si="81"/>
        <v/>
      </c>
      <c r="IX11" s="11" t="str">
        <f t="shared" si="82"/>
        <v/>
      </c>
      <c r="IY11" s="11" t="str">
        <f t="shared" si="83"/>
        <v/>
      </c>
      <c r="IZ11" s="11" t="str">
        <f t="shared" si="84"/>
        <v/>
      </c>
      <c r="JA11" s="11" t="str">
        <f t="shared" si="85"/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 t="shared" si="86"/>
        <v/>
      </c>
      <c r="JR11" s="14" t="str">
        <f t="shared" si="87"/>
        <v/>
      </c>
      <c r="JS11" s="14" t="str">
        <f t="shared" si="88"/>
        <v/>
      </c>
      <c r="JT11" s="14" t="str">
        <f t="shared" si="89"/>
        <v/>
      </c>
      <c r="JU11" s="14" t="str">
        <f t="shared" si="90"/>
        <v/>
      </c>
      <c r="JV11" s="14" t="str">
        <f t="shared" si="91"/>
        <v/>
      </c>
      <c r="JW11" s="14" t="str">
        <f t="shared" si="92"/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 t="shared" si="93"/>
        <v/>
      </c>
      <c r="KN11" s="11" t="str">
        <f t="shared" si="94"/>
        <v/>
      </c>
      <c r="KO11" s="11" t="str">
        <f t="shared" si="95"/>
        <v/>
      </c>
      <c r="KP11" s="11" t="str">
        <f t="shared" si="96"/>
        <v/>
      </c>
      <c r="KQ11" s="11" t="str">
        <f t="shared" si="97"/>
        <v/>
      </c>
      <c r="KR11" s="11" t="str">
        <f t="shared" si="98"/>
        <v/>
      </c>
      <c r="KS11" s="11" t="str">
        <f t="shared" si="99"/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 t="shared" si="100"/>
        <v/>
      </c>
      <c r="LJ11" s="14" t="str">
        <f t="shared" si="101"/>
        <v/>
      </c>
      <c r="LK11" s="14" t="str">
        <f t="shared" si="102"/>
        <v/>
      </c>
      <c r="LL11" s="14" t="str">
        <f t="shared" si="103"/>
        <v/>
      </c>
      <c r="LM11" s="14" t="str">
        <f t="shared" si="104"/>
        <v/>
      </c>
      <c r="LN11" s="14" t="str">
        <f t="shared" si="105"/>
        <v/>
      </c>
      <c r="LO11" s="14" t="str">
        <f t="shared" si="106"/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 t="shared" si="107"/>
        <v/>
      </c>
      <c r="MF11" s="11" t="str">
        <f t="shared" si="108"/>
        <v/>
      </c>
      <c r="MG11" s="11" t="str">
        <f t="shared" si="109"/>
        <v/>
      </c>
      <c r="MH11" s="11" t="str">
        <f t="shared" si="110"/>
        <v/>
      </c>
      <c r="MI11" s="11" t="str">
        <f t="shared" si="111"/>
        <v/>
      </c>
      <c r="MJ11" s="11" t="str">
        <f t="shared" si="112"/>
        <v/>
      </c>
      <c r="MK11" s="11" t="str">
        <f t="shared" si="113"/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 t="shared" si="114"/>
        <v/>
      </c>
      <c r="NB11" s="14" t="str">
        <f t="shared" si="115"/>
        <v/>
      </c>
      <c r="NC11" s="14" t="str">
        <f t="shared" si="116"/>
        <v/>
      </c>
      <c r="ND11" s="14" t="str">
        <f t="shared" si="117"/>
        <v/>
      </c>
      <c r="NE11" s="14" t="str">
        <f t="shared" si="118"/>
        <v/>
      </c>
      <c r="NF11" s="14" t="str">
        <f t="shared" si="119"/>
        <v/>
      </c>
      <c r="NG11" s="14" t="str">
        <f t="shared" si="120"/>
        <v/>
      </c>
      <c r="NH11" s="38">
        <f t="shared" si="121"/>
        <v>15.25</v>
      </c>
      <c r="NI11" s="38">
        <f t="shared" si="122"/>
        <v>9.3000000000000007</v>
      </c>
      <c r="NJ11" s="38">
        <f t="shared" si="123"/>
        <v>2</v>
      </c>
      <c r="NK11" s="38">
        <f t="shared" si="124"/>
        <v>14.192499999999999</v>
      </c>
      <c r="NL11" s="38">
        <f t="shared" si="125"/>
        <v>0</v>
      </c>
      <c r="NM11" s="38">
        <f t="shared" si="126"/>
        <v>13.5</v>
      </c>
      <c r="NN11" s="38">
        <f t="shared" si="127"/>
        <v>8.9499999999999993</v>
      </c>
      <c r="NO11" s="38">
        <f t="shared" si="128"/>
        <v>9.25</v>
      </c>
      <c r="NP11" s="38">
        <f t="shared" si="129"/>
        <v>13.43</v>
      </c>
      <c r="NQ11" s="38">
        <f t="shared" si="130"/>
        <v>0.3</v>
      </c>
      <c r="NR11" s="38">
        <f t="shared" si="131"/>
        <v>0</v>
      </c>
      <c r="NS11" s="38">
        <f t="shared" si="132"/>
        <v>0</v>
      </c>
      <c r="NT11" s="38">
        <f t="shared" si="133"/>
        <v>0</v>
      </c>
      <c r="NU11" s="38">
        <f t="shared" si="134"/>
        <v>0</v>
      </c>
      <c r="NV11" s="38">
        <f t="shared" si="135"/>
        <v>0</v>
      </c>
      <c r="NW11" s="38">
        <f t="shared" si="136"/>
        <v>14.05</v>
      </c>
      <c r="NX11" s="38">
        <f t="shared" si="137"/>
        <v>9.1000000000000014</v>
      </c>
      <c r="NY11" s="38">
        <f t="shared" si="138"/>
        <v>9.8500000000000014</v>
      </c>
      <c r="NZ11" s="38">
        <f t="shared" si="139"/>
        <v>12.74</v>
      </c>
      <c r="OA11" s="38">
        <f t="shared" si="140"/>
        <v>0</v>
      </c>
      <c r="OB11" s="45" t="s">
        <v>46</v>
      </c>
      <c r="OC11" s="11">
        <f t="shared" si="141"/>
        <v>40.7425</v>
      </c>
      <c r="OD11" s="11">
        <f t="shared" si="142"/>
        <v>9.25</v>
      </c>
      <c r="OE11" s="11">
        <f t="shared" si="143"/>
        <v>44.83</v>
      </c>
      <c r="OF11" s="11" t="str">
        <f t="shared" si="144"/>
        <v/>
      </c>
      <c r="OG11" s="11" t="str">
        <f t="shared" si="145"/>
        <v/>
      </c>
      <c r="OH11" s="11">
        <f t="shared" si="146"/>
        <v>85.572499999999991</v>
      </c>
      <c r="OI11" s="11">
        <f t="shared" si="147"/>
        <v>9.8500000000000014</v>
      </c>
      <c r="OJ11" s="11">
        <f t="shared" ref="OJ11" si="156">IF(SUM(NW11:NZ11)-OA11&gt;0,SUM(NW11:NZ11)-OA11,"")</f>
        <v>45.74</v>
      </c>
      <c r="OK11" s="11">
        <f t="shared" ref="OK11" si="157">IF(SUM(OH11,OJ11)&gt;0,SUM(OH11,OJ11),"")</f>
        <v>131.3125</v>
      </c>
    </row>
    <row r="12" spans="1:401" x14ac:dyDescent="0.2">
      <c r="A12" s="5" t="str" cm="1">
        <f t="array" ref="A12">IF(AND(F12="P",G12="P"),SUMPRODUCT((F$4:F$29="P")*(G$4:G$29="P")*(E$4:E$29&gt;E12))+1,IF(G12="P",SUMPRODUCT((F$4:F$29="")*(G$4:G$29="P")*(E$4:E$29&gt;E12))+1+SUMPRODUCT((F$4:F$29="P")*(G$4:G$29="P")),""))</f>
        <v/>
      </c>
      <c r="B12" s="8" t="s">
        <v>137</v>
      </c>
      <c r="C12" s="4" t="s">
        <v>4</v>
      </c>
      <c r="D12" s="22">
        <v>2005</v>
      </c>
      <c r="E12" s="15">
        <f t="shared" si="0"/>
        <v>93.724999999999994</v>
      </c>
      <c r="F12" s="3" t="str">
        <f t="shared" si="1"/>
        <v/>
      </c>
      <c r="G12" s="3" t="str">
        <f t="shared" si="2"/>
        <v/>
      </c>
      <c r="H12" s="67" t="str">
        <f t="shared" si="3"/>
        <v/>
      </c>
      <c r="I12" s="14">
        <f t="shared" si="4"/>
        <v>46.97</v>
      </c>
      <c r="J12" s="14" t="str">
        <f t="shared" si="5"/>
        <v>2022 Elite Canada</v>
      </c>
      <c r="K12" s="14">
        <f>IF(COUNT(AM12,AO12,AR12,BQ12,BS12,BV12,CU12,CW12,CZ12)&gt;1,LARGE((AM12,AO12,AR12,BQ12,BS12,BV12,CU12,CW12,CZ12),2),0)</f>
        <v>46.755000000000003</v>
      </c>
      <c r="L12" s="14" t="str">
        <f t="shared" si="6"/>
        <v>2021 Elite Canada</v>
      </c>
      <c r="M12" s="14" t="str">
        <f t="shared" si="7"/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9.6999999999999993</v>
      </c>
      <c r="R12" s="38">
        <v>0</v>
      </c>
      <c r="S12" s="38">
        <v>14.27</v>
      </c>
      <c r="T12" s="38">
        <v>0</v>
      </c>
      <c r="U12" s="38">
        <v>14.6</v>
      </c>
      <c r="V12" s="38">
        <v>9.6</v>
      </c>
      <c r="W12" s="38">
        <v>9.1999999999999993</v>
      </c>
      <c r="X12" s="38">
        <v>13.654999999999999</v>
      </c>
      <c r="Y12" s="38">
        <v>0.3</v>
      </c>
      <c r="Z12" s="38"/>
      <c r="AA12" s="38"/>
      <c r="AB12" s="38"/>
      <c r="AC12" s="38"/>
      <c r="AD12" s="38"/>
      <c r="AE12" s="38">
        <v>13.8</v>
      </c>
      <c r="AF12" s="38">
        <v>9.4</v>
      </c>
      <c r="AG12" s="38">
        <v>9.1999999999999993</v>
      </c>
      <c r="AH12" s="38">
        <v>13.725</v>
      </c>
      <c r="AI12" s="38">
        <v>0.3</v>
      </c>
      <c r="AJ12" s="45"/>
      <c r="AK12" s="11">
        <f t="shared" si="8"/>
        <v>39.97</v>
      </c>
      <c r="AL12" s="11">
        <f t="shared" si="9"/>
        <v>9.1999999999999993</v>
      </c>
      <c r="AM12" s="11">
        <f t="shared" si="10"/>
        <v>46.755000000000003</v>
      </c>
      <c r="AN12" s="11" t="str">
        <f t="shared" si="11"/>
        <v/>
      </c>
      <c r="AO12" s="11" t="str">
        <f t="shared" si="12"/>
        <v/>
      </c>
      <c r="AP12" s="11">
        <f t="shared" si="13"/>
        <v>86.724999999999994</v>
      </c>
      <c r="AQ12" s="11">
        <f t="shared" si="14"/>
        <v>9.1999999999999993</v>
      </c>
      <c r="AR12" s="11">
        <f t="shared" si="15"/>
        <v>45.82500000000001</v>
      </c>
      <c r="AS12" s="11">
        <f t="shared" si="16"/>
        <v>132.55000000000001</v>
      </c>
      <c r="AT12" s="42">
        <v>16.3</v>
      </c>
      <c r="AU12" s="42">
        <v>9.3000000000000007</v>
      </c>
      <c r="AV12" s="42">
        <v>0</v>
      </c>
      <c r="AW12" s="42">
        <v>14.425000000000001</v>
      </c>
      <c r="AX12" s="42">
        <v>0</v>
      </c>
      <c r="AY12" s="42">
        <v>1.3</v>
      </c>
      <c r="AZ12" s="42">
        <v>1</v>
      </c>
      <c r="BA12" s="42">
        <v>1.5</v>
      </c>
      <c r="BB12" s="42">
        <v>1.43</v>
      </c>
      <c r="BC12" s="42">
        <v>0</v>
      </c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6"/>
      <c r="BO12" s="14">
        <f t="shared" si="17"/>
        <v>40.025000000000006</v>
      </c>
      <c r="BP12" s="14">
        <f t="shared" si="18"/>
        <v>1.5</v>
      </c>
      <c r="BQ12" s="14">
        <f t="shared" si="19"/>
        <v>5.2299999999999995</v>
      </c>
      <c r="BR12" s="14" t="str">
        <f t="shared" si="20"/>
        <v/>
      </c>
      <c r="BS12" s="14" t="str">
        <f t="shared" si="21"/>
        <v/>
      </c>
      <c r="BT12" s="14">
        <f t="shared" si="22"/>
        <v>45.255000000000003</v>
      </c>
      <c r="BU12" s="14" t="str">
        <f t="shared" si="23"/>
        <v/>
      </c>
      <c r="BV12" s="14" t="str">
        <f t="shared" si="24"/>
        <v/>
      </c>
      <c r="BW12" s="14">
        <f t="shared" si="25"/>
        <v>45.255000000000003</v>
      </c>
      <c r="BX12" s="38">
        <v>15.2</v>
      </c>
      <c r="BY12" s="38">
        <v>9.9</v>
      </c>
      <c r="BZ12" s="38">
        <v>1.5</v>
      </c>
      <c r="CA12" s="38">
        <v>14.62</v>
      </c>
      <c r="CB12" s="38">
        <v>0</v>
      </c>
      <c r="CC12" s="38">
        <v>13.6</v>
      </c>
      <c r="CD12" s="38">
        <v>9.5</v>
      </c>
      <c r="CE12" s="38">
        <v>9.6999999999999993</v>
      </c>
      <c r="CF12" s="38">
        <v>14.17</v>
      </c>
      <c r="CG12" s="38">
        <v>0</v>
      </c>
      <c r="CH12" s="38"/>
      <c r="CI12" s="38"/>
      <c r="CJ12" s="38"/>
      <c r="CK12" s="38"/>
      <c r="CL12" s="38"/>
      <c r="CM12" s="38">
        <v>12.7</v>
      </c>
      <c r="CN12" s="38">
        <v>8.6</v>
      </c>
      <c r="CO12" s="38">
        <v>8.4</v>
      </c>
      <c r="CP12" s="38">
        <v>13.65</v>
      </c>
      <c r="CQ12" s="38">
        <v>0.4</v>
      </c>
      <c r="CR12" s="45"/>
      <c r="CS12" s="11">
        <f t="shared" si="26"/>
        <v>41.22</v>
      </c>
      <c r="CT12" s="11">
        <f t="shared" si="27"/>
        <v>9.6999999999999993</v>
      </c>
      <c r="CU12" s="11">
        <f t="shared" si="28"/>
        <v>46.97</v>
      </c>
      <c r="CV12" s="11" t="str">
        <f t="shared" si="29"/>
        <v/>
      </c>
      <c r="CW12" s="11" t="str">
        <f t="shared" si="30"/>
        <v/>
      </c>
      <c r="CX12" s="11">
        <f t="shared" si="31"/>
        <v>88.19</v>
      </c>
      <c r="CY12" s="11">
        <f t="shared" si="32"/>
        <v>8.4</v>
      </c>
      <c r="CZ12" s="11">
        <f t="shared" si="33"/>
        <v>42.949999999999996</v>
      </c>
      <c r="DA12" s="11">
        <f t="shared" si="34"/>
        <v>131.13999999999999</v>
      </c>
      <c r="DB12" s="19" t="str">
        <f t="shared" si="35"/>
        <v/>
      </c>
      <c r="DC12" s="19" t="str">
        <f t="shared" si="36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 t="shared" si="37"/>
        <v/>
      </c>
      <c r="DT12" s="11" t="str">
        <f t="shared" si="38"/>
        <v/>
      </c>
      <c r="DU12" s="11" t="str">
        <f t="shared" si="39"/>
        <v/>
      </c>
      <c r="DV12" s="11" t="str">
        <f t="shared" si="40"/>
        <v/>
      </c>
      <c r="DW12" s="11" t="str">
        <f t="shared" si="41"/>
        <v/>
      </c>
      <c r="DX12" s="11" t="str">
        <f t="shared" si="42"/>
        <v/>
      </c>
      <c r="DY12" s="11" t="str">
        <f t="shared" si="43"/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 t="shared" si="44"/>
        <v/>
      </c>
      <c r="EP12" s="14" t="str">
        <f t="shared" si="45"/>
        <v/>
      </c>
      <c r="EQ12" s="14" t="str">
        <f t="shared" si="46"/>
        <v/>
      </c>
      <c r="ER12" s="14" t="str">
        <f t="shared" si="47"/>
        <v/>
      </c>
      <c r="ES12" s="14" t="str">
        <f t="shared" si="48"/>
        <v/>
      </c>
      <c r="ET12" s="14" t="str">
        <f t="shared" si="49"/>
        <v/>
      </c>
      <c r="EU12" s="14" t="str">
        <f t="shared" si="50"/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 t="shared" si="51"/>
        <v/>
      </c>
      <c r="FL12" s="11" t="str">
        <f t="shared" si="52"/>
        <v/>
      </c>
      <c r="FM12" s="11" t="str">
        <f t="shared" si="53"/>
        <v/>
      </c>
      <c r="FN12" s="11" t="str">
        <f t="shared" si="54"/>
        <v/>
      </c>
      <c r="FO12" s="11" t="str">
        <f t="shared" si="55"/>
        <v/>
      </c>
      <c r="FP12" s="11" t="str">
        <f t="shared" si="56"/>
        <v/>
      </c>
      <c r="FQ12" s="11" t="str">
        <f t="shared" si="57"/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 t="shared" si="58"/>
        <v/>
      </c>
      <c r="GH12" s="14" t="str">
        <f t="shared" si="59"/>
        <v/>
      </c>
      <c r="GI12" s="14" t="str">
        <f t="shared" si="60"/>
        <v/>
      </c>
      <c r="GJ12" s="14" t="str">
        <f t="shared" si="61"/>
        <v/>
      </c>
      <c r="GK12" s="14" t="str">
        <f t="shared" si="62"/>
        <v/>
      </c>
      <c r="GL12" s="14" t="str">
        <f t="shared" si="63"/>
        <v/>
      </c>
      <c r="GM12" s="14" t="str">
        <f t="shared" si="64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 t="shared" si="65"/>
        <v/>
      </c>
      <c r="HD12" s="11" t="str">
        <f t="shared" si="66"/>
        <v/>
      </c>
      <c r="HE12" s="11" t="str">
        <f t="shared" si="67"/>
        <v/>
      </c>
      <c r="HF12" s="11" t="str">
        <f t="shared" si="68"/>
        <v/>
      </c>
      <c r="HG12" s="11" t="str">
        <f t="shared" si="69"/>
        <v/>
      </c>
      <c r="HH12" s="11" t="str">
        <f t="shared" si="70"/>
        <v/>
      </c>
      <c r="HI12" s="11" t="str">
        <f t="shared" si="71"/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 t="shared" si="72"/>
        <v/>
      </c>
      <c r="HZ12" s="14" t="str">
        <f t="shared" si="73"/>
        <v/>
      </c>
      <c r="IA12" s="14" t="str">
        <f t="shared" si="74"/>
        <v/>
      </c>
      <c r="IB12" s="14" t="str">
        <f t="shared" si="75"/>
        <v/>
      </c>
      <c r="IC12" s="14" t="str">
        <f t="shared" si="76"/>
        <v/>
      </c>
      <c r="ID12" s="14" t="str">
        <f t="shared" si="77"/>
        <v/>
      </c>
      <c r="IE12" s="14" t="str">
        <f t="shared" si="78"/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 t="shared" si="79"/>
        <v/>
      </c>
      <c r="IV12" s="11" t="str">
        <f t="shared" si="80"/>
        <v/>
      </c>
      <c r="IW12" s="11" t="str">
        <f t="shared" si="81"/>
        <v/>
      </c>
      <c r="IX12" s="11" t="str">
        <f t="shared" si="82"/>
        <v/>
      </c>
      <c r="IY12" s="11" t="str">
        <f t="shared" si="83"/>
        <v/>
      </c>
      <c r="IZ12" s="11" t="str">
        <f t="shared" si="84"/>
        <v/>
      </c>
      <c r="JA12" s="11" t="str">
        <f t="shared" si="85"/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 t="shared" si="86"/>
        <v/>
      </c>
      <c r="JR12" s="14" t="str">
        <f t="shared" si="87"/>
        <v/>
      </c>
      <c r="JS12" s="14" t="str">
        <f t="shared" si="88"/>
        <v/>
      </c>
      <c r="JT12" s="14" t="str">
        <f t="shared" si="89"/>
        <v/>
      </c>
      <c r="JU12" s="14" t="str">
        <f t="shared" si="90"/>
        <v/>
      </c>
      <c r="JV12" s="14" t="str">
        <f t="shared" si="91"/>
        <v/>
      </c>
      <c r="JW12" s="14" t="str">
        <f t="shared" si="92"/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 t="shared" si="93"/>
        <v/>
      </c>
      <c r="KN12" s="11" t="str">
        <f t="shared" si="94"/>
        <v/>
      </c>
      <c r="KO12" s="11" t="str">
        <f t="shared" si="95"/>
        <v/>
      </c>
      <c r="KP12" s="11" t="str">
        <f t="shared" si="96"/>
        <v/>
      </c>
      <c r="KQ12" s="11" t="str">
        <f t="shared" si="97"/>
        <v/>
      </c>
      <c r="KR12" s="11" t="str">
        <f t="shared" si="98"/>
        <v/>
      </c>
      <c r="KS12" s="11" t="str">
        <f t="shared" si="99"/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 t="shared" si="100"/>
        <v/>
      </c>
      <c r="LJ12" s="14" t="str">
        <f t="shared" si="101"/>
        <v/>
      </c>
      <c r="LK12" s="14" t="str">
        <f t="shared" si="102"/>
        <v/>
      </c>
      <c r="LL12" s="14" t="str">
        <f t="shared" si="103"/>
        <v/>
      </c>
      <c r="LM12" s="14" t="str">
        <f t="shared" si="104"/>
        <v/>
      </c>
      <c r="LN12" s="14" t="str">
        <f t="shared" si="105"/>
        <v/>
      </c>
      <c r="LO12" s="14" t="str">
        <f t="shared" si="106"/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 t="shared" si="107"/>
        <v/>
      </c>
      <c r="MF12" s="11" t="str">
        <f t="shared" si="108"/>
        <v/>
      </c>
      <c r="MG12" s="11" t="str">
        <f t="shared" si="109"/>
        <v/>
      </c>
      <c r="MH12" s="11" t="str">
        <f t="shared" si="110"/>
        <v/>
      </c>
      <c r="MI12" s="11" t="str">
        <f t="shared" si="111"/>
        <v/>
      </c>
      <c r="MJ12" s="11" t="str">
        <f t="shared" si="112"/>
        <v/>
      </c>
      <c r="MK12" s="11" t="str">
        <f t="shared" si="113"/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 t="shared" si="114"/>
        <v/>
      </c>
      <c r="NB12" s="14" t="str">
        <f t="shared" si="115"/>
        <v/>
      </c>
      <c r="NC12" s="14" t="str">
        <f t="shared" si="116"/>
        <v/>
      </c>
      <c r="ND12" s="14" t="str">
        <f t="shared" si="117"/>
        <v/>
      </c>
      <c r="NE12" s="14" t="str">
        <f t="shared" si="118"/>
        <v/>
      </c>
      <c r="NF12" s="14" t="str">
        <f t="shared" si="119"/>
        <v/>
      </c>
      <c r="NG12" s="14" t="str">
        <f t="shared" si="120"/>
        <v/>
      </c>
      <c r="NH12" s="38">
        <f t="shared" si="121"/>
        <v>15.75</v>
      </c>
      <c r="NI12" s="38">
        <f t="shared" si="122"/>
        <v>9.6000000000000014</v>
      </c>
      <c r="NJ12" s="38">
        <f t="shared" si="123"/>
        <v>0.75</v>
      </c>
      <c r="NK12" s="38">
        <f t="shared" si="124"/>
        <v>14.522500000000001</v>
      </c>
      <c r="NL12" s="38">
        <f t="shared" si="125"/>
        <v>0</v>
      </c>
      <c r="NM12" s="38">
        <f t="shared" si="126"/>
        <v>7.45</v>
      </c>
      <c r="NN12" s="38">
        <f t="shared" si="127"/>
        <v>5.25</v>
      </c>
      <c r="NO12" s="38">
        <f t="shared" si="128"/>
        <v>5.6</v>
      </c>
      <c r="NP12" s="38">
        <f t="shared" si="129"/>
        <v>7.8</v>
      </c>
      <c r="NQ12" s="38">
        <f t="shared" si="130"/>
        <v>0</v>
      </c>
      <c r="NR12" s="38">
        <f t="shared" si="131"/>
        <v>0</v>
      </c>
      <c r="NS12" s="38">
        <f t="shared" si="132"/>
        <v>0</v>
      </c>
      <c r="NT12" s="38">
        <f t="shared" si="133"/>
        <v>0</v>
      </c>
      <c r="NU12" s="38">
        <f t="shared" si="134"/>
        <v>0</v>
      </c>
      <c r="NV12" s="38">
        <f t="shared" si="135"/>
        <v>0</v>
      </c>
      <c r="NW12" s="38">
        <f t="shared" si="136"/>
        <v>6.35</v>
      </c>
      <c r="NX12" s="38">
        <f t="shared" si="137"/>
        <v>4.3</v>
      </c>
      <c r="NY12" s="38">
        <f t="shared" si="138"/>
        <v>4.2</v>
      </c>
      <c r="NZ12" s="38">
        <f t="shared" si="139"/>
        <v>6.8250000000000002</v>
      </c>
      <c r="OA12" s="38">
        <f t="shared" si="140"/>
        <v>0.2</v>
      </c>
      <c r="OB12" s="45" t="s">
        <v>46</v>
      </c>
      <c r="OC12" s="11">
        <f t="shared" si="141"/>
        <v>40.622500000000002</v>
      </c>
      <c r="OD12" s="11">
        <f t="shared" si="142"/>
        <v>5.6</v>
      </c>
      <c r="OE12" s="11">
        <f t="shared" si="143"/>
        <v>26.099999999999998</v>
      </c>
      <c r="OF12" s="11" t="str">
        <f t="shared" si="144"/>
        <v/>
      </c>
      <c r="OG12" s="11" t="str">
        <f t="shared" si="145"/>
        <v/>
      </c>
      <c r="OH12" s="11">
        <f t="shared" si="146"/>
        <v>66.722499999999997</v>
      </c>
      <c r="OI12" s="11">
        <f t="shared" si="147"/>
        <v>4.2</v>
      </c>
      <c r="OJ12" s="11">
        <f t="shared" ref="OJ12" si="158">IF(SUM(NW12:NZ12)-OA12&gt;0,SUM(NW12:NZ12)-OA12,"")</f>
        <v>21.474999999999998</v>
      </c>
      <c r="OK12" s="11">
        <f t="shared" ref="OK12" si="159">IF(SUM(OH12,OJ12)&gt;0,SUM(OH12,OJ12),"")</f>
        <v>88.197499999999991</v>
      </c>
    </row>
    <row r="13" spans="1:401" x14ac:dyDescent="0.2">
      <c r="A13" s="5" t="str" cm="1">
        <f t="array" ref="A13">IF(AND(F13="P",G13="P"),SUMPRODUCT((F$4:F$29="P")*(G$4:G$29="P")*(E$4:E$29&gt;E13))+1,IF(G13="P",SUMPRODUCT((F$4:F$29="")*(G$4:G$29="P")*(E$4:E$29&gt;E13))+1+SUMPRODUCT((F$4:F$29="P")*(G$4:G$29="P")),""))</f>
        <v/>
      </c>
      <c r="B13" s="6" t="s">
        <v>71</v>
      </c>
      <c r="C13" s="7" t="s">
        <v>3</v>
      </c>
      <c r="D13" s="7">
        <v>2002</v>
      </c>
      <c r="E13" s="15">
        <f t="shared" si="0"/>
        <v>93.155000000000001</v>
      </c>
      <c r="F13" s="3" t="str">
        <f t="shared" si="1"/>
        <v/>
      </c>
      <c r="G13" s="3" t="str">
        <f t="shared" si="2"/>
        <v/>
      </c>
      <c r="H13" s="67" t="str">
        <f t="shared" si="3"/>
        <v/>
      </c>
      <c r="I13" s="14">
        <f t="shared" si="4"/>
        <v>47.089999999999996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46.064999999999998</v>
      </c>
      <c r="L13" s="14" t="str">
        <f t="shared" si="6"/>
        <v>2021 Canadian Championships</v>
      </c>
      <c r="M13" s="14" t="str">
        <f t="shared" si="7"/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16</v>
      </c>
      <c r="Q13" s="38">
        <v>9.4</v>
      </c>
      <c r="R13" s="38">
        <v>4</v>
      </c>
      <c r="S13" s="38">
        <v>14.795</v>
      </c>
      <c r="T13" s="38">
        <v>0.2</v>
      </c>
      <c r="U13" s="38">
        <v>15.2</v>
      </c>
      <c r="V13" s="38">
        <v>9.3000000000000007</v>
      </c>
      <c r="W13" s="38">
        <v>8.6</v>
      </c>
      <c r="X13" s="38">
        <v>14.645</v>
      </c>
      <c r="Y13" s="38">
        <v>2.8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14.8</v>
      </c>
      <c r="AF13" s="38">
        <v>9.1</v>
      </c>
      <c r="AG13" s="38">
        <v>9.1999999999999993</v>
      </c>
      <c r="AH13" s="38">
        <v>14.175000000000001</v>
      </c>
      <c r="AI13" s="38">
        <v>2.2000000000000002</v>
      </c>
      <c r="AJ13" s="45"/>
      <c r="AK13" s="11">
        <f t="shared" si="8"/>
        <v>43.994999999999997</v>
      </c>
      <c r="AL13" s="11">
        <f t="shared" si="9"/>
        <v>8.6</v>
      </c>
      <c r="AM13" s="11">
        <f t="shared" si="10"/>
        <v>44.945000000000007</v>
      </c>
      <c r="AN13" s="11" t="str">
        <f t="shared" si="11"/>
        <v/>
      </c>
      <c r="AO13" s="11" t="str">
        <f t="shared" si="12"/>
        <v/>
      </c>
      <c r="AP13" s="11">
        <f t="shared" si="13"/>
        <v>88.94</v>
      </c>
      <c r="AQ13" s="11">
        <f t="shared" si="14"/>
        <v>9.1999999999999993</v>
      </c>
      <c r="AR13" s="11">
        <f t="shared" si="15"/>
        <v>45.074999999999989</v>
      </c>
      <c r="AS13" s="11">
        <f t="shared" si="16"/>
        <v>134.01499999999999</v>
      </c>
      <c r="AT13" s="42">
        <v>15.8</v>
      </c>
      <c r="AU13" s="42">
        <v>9.5</v>
      </c>
      <c r="AV13" s="42">
        <v>4</v>
      </c>
      <c r="AW13" s="42">
        <v>14.865</v>
      </c>
      <c r="AX13" s="42">
        <v>0</v>
      </c>
      <c r="AY13" s="42">
        <v>2.6</v>
      </c>
      <c r="AZ13" s="42">
        <v>1.7</v>
      </c>
      <c r="BA13" s="42">
        <v>2.7</v>
      </c>
      <c r="BB13" s="42">
        <v>3.03</v>
      </c>
      <c r="BC13" s="42">
        <v>0</v>
      </c>
      <c r="BD13" s="42">
        <v>11.3</v>
      </c>
      <c r="BE13" s="42">
        <v>6.7</v>
      </c>
      <c r="BF13" s="42">
        <v>7</v>
      </c>
      <c r="BG13" s="42">
        <v>11.715</v>
      </c>
      <c r="BH13" s="42">
        <v>0</v>
      </c>
      <c r="BI13" s="42">
        <v>13.4</v>
      </c>
      <c r="BJ13" s="42">
        <v>8.9</v>
      </c>
      <c r="BK13" s="42">
        <v>10.5</v>
      </c>
      <c r="BL13" s="42">
        <v>13.965</v>
      </c>
      <c r="BM13" s="42">
        <v>0.7</v>
      </c>
      <c r="BN13" s="46"/>
      <c r="BO13" s="14">
        <f t="shared" si="17"/>
        <v>44.164999999999999</v>
      </c>
      <c r="BP13" s="14">
        <f t="shared" si="18"/>
        <v>2.7</v>
      </c>
      <c r="BQ13" s="14">
        <f t="shared" si="19"/>
        <v>10.029999999999999</v>
      </c>
      <c r="BR13" s="14">
        <f t="shared" si="20"/>
        <v>7</v>
      </c>
      <c r="BS13" s="14">
        <f t="shared" si="21"/>
        <v>36.715000000000003</v>
      </c>
      <c r="BT13" s="14">
        <f t="shared" si="22"/>
        <v>80.88</v>
      </c>
      <c r="BU13" s="14">
        <f t="shared" si="23"/>
        <v>10.5</v>
      </c>
      <c r="BV13" s="14">
        <f t="shared" si="24"/>
        <v>46.064999999999998</v>
      </c>
      <c r="BW13" s="14">
        <f t="shared" si="25"/>
        <v>126.94499999999999</v>
      </c>
      <c r="BX13" s="38"/>
      <c r="BY13" s="38"/>
      <c r="BZ13" s="38"/>
      <c r="CA13" s="38"/>
      <c r="CB13" s="38"/>
      <c r="CC13" s="38">
        <v>12.5</v>
      </c>
      <c r="CD13" s="38">
        <v>9.1999999999999993</v>
      </c>
      <c r="CE13" s="38">
        <v>10.6</v>
      </c>
      <c r="CF13" s="38">
        <v>13.984999999999999</v>
      </c>
      <c r="CG13" s="38">
        <v>0.6</v>
      </c>
      <c r="CH13" s="38">
        <v>13.4</v>
      </c>
      <c r="CI13" s="38">
        <v>9.1</v>
      </c>
      <c r="CJ13" s="38">
        <v>10.6</v>
      </c>
      <c r="CK13" s="38">
        <v>14.59</v>
      </c>
      <c r="CL13" s="38">
        <v>0.6</v>
      </c>
      <c r="CM13" s="38">
        <v>13.3</v>
      </c>
      <c r="CN13" s="38">
        <v>7.8</v>
      </c>
      <c r="CO13" s="38">
        <v>9.9</v>
      </c>
      <c r="CP13" s="38">
        <v>12.885</v>
      </c>
      <c r="CQ13" s="38">
        <v>0</v>
      </c>
      <c r="CR13" s="45"/>
      <c r="CS13" s="11" t="str">
        <f t="shared" si="26"/>
        <v/>
      </c>
      <c r="CT13" s="11">
        <f t="shared" si="27"/>
        <v>10.6</v>
      </c>
      <c r="CU13" s="11">
        <f t="shared" si="28"/>
        <v>45.684999999999995</v>
      </c>
      <c r="CV13" s="11">
        <f t="shared" si="29"/>
        <v>10.6</v>
      </c>
      <c r="CW13" s="11">
        <f t="shared" si="30"/>
        <v>47.089999999999996</v>
      </c>
      <c r="CX13" s="11">
        <f t="shared" si="31"/>
        <v>47.089999999999996</v>
      </c>
      <c r="CY13" s="11">
        <f t="shared" si="32"/>
        <v>9.9</v>
      </c>
      <c r="CZ13" s="11">
        <f t="shared" si="33"/>
        <v>43.884999999999998</v>
      </c>
      <c r="DA13" s="11">
        <f t="shared" si="34"/>
        <v>90.974999999999994</v>
      </c>
      <c r="DB13" s="19" t="str">
        <f t="shared" si="35"/>
        <v/>
      </c>
      <c r="DC13" s="19" t="str">
        <f t="shared" si="36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 t="shared" si="37"/>
        <v/>
      </c>
      <c r="DT13" s="11" t="str">
        <f t="shared" si="38"/>
        <v/>
      </c>
      <c r="DU13" s="11" t="str">
        <f t="shared" si="39"/>
        <v/>
      </c>
      <c r="DV13" s="11" t="str">
        <f t="shared" si="40"/>
        <v/>
      </c>
      <c r="DW13" s="11" t="str">
        <f t="shared" si="41"/>
        <v/>
      </c>
      <c r="DX13" s="11" t="str">
        <f t="shared" si="42"/>
        <v/>
      </c>
      <c r="DY13" s="11" t="str">
        <f t="shared" si="43"/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 t="shared" si="44"/>
        <v/>
      </c>
      <c r="EP13" s="14" t="str">
        <f t="shared" si="45"/>
        <v/>
      </c>
      <c r="EQ13" s="14" t="str">
        <f t="shared" si="46"/>
        <v/>
      </c>
      <c r="ER13" s="14" t="str">
        <f t="shared" si="47"/>
        <v/>
      </c>
      <c r="ES13" s="14" t="str">
        <f t="shared" si="48"/>
        <v/>
      </c>
      <c r="ET13" s="14" t="str">
        <f t="shared" si="49"/>
        <v/>
      </c>
      <c r="EU13" s="14" t="str">
        <f t="shared" si="50"/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 t="shared" si="51"/>
        <v/>
      </c>
      <c r="FL13" s="11" t="str">
        <f t="shared" si="52"/>
        <v/>
      </c>
      <c r="FM13" s="11" t="str">
        <f t="shared" si="53"/>
        <v/>
      </c>
      <c r="FN13" s="11" t="str">
        <f t="shared" si="54"/>
        <v/>
      </c>
      <c r="FO13" s="11" t="str">
        <f t="shared" si="55"/>
        <v/>
      </c>
      <c r="FP13" s="11" t="str">
        <f t="shared" si="56"/>
        <v/>
      </c>
      <c r="FQ13" s="11" t="str">
        <f t="shared" si="57"/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 t="shared" si="58"/>
        <v/>
      </c>
      <c r="GH13" s="14" t="str">
        <f t="shared" si="59"/>
        <v/>
      </c>
      <c r="GI13" s="14" t="str">
        <f t="shared" si="60"/>
        <v/>
      </c>
      <c r="GJ13" s="14" t="str">
        <f t="shared" si="61"/>
        <v/>
      </c>
      <c r="GK13" s="14" t="str">
        <f t="shared" si="62"/>
        <v/>
      </c>
      <c r="GL13" s="14" t="str">
        <f t="shared" si="63"/>
        <v/>
      </c>
      <c r="GM13" s="14" t="str">
        <f t="shared" si="64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 t="shared" si="65"/>
        <v/>
      </c>
      <c r="HD13" s="11" t="str">
        <f t="shared" si="66"/>
        <v/>
      </c>
      <c r="HE13" s="11" t="str">
        <f t="shared" si="67"/>
        <v/>
      </c>
      <c r="HF13" s="11" t="str">
        <f t="shared" si="68"/>
        <v/>
      </c>
      <c r="HG13" s="11" t="str">
        <f t="shared" si="69"/>
        <v/>
      </c>
      <c r="HH13" s="11" t="str">
        <f t="shared" si="70"/>
        <v/>
      </c>
      <c r="HI13" s="11" t="str">
        <f t="shared" si="71"/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 t="shared" si="72"/>
        <v/>
      </c>
      <c r="HZ13" s="14" t="str">
        <f t="shared" si="73"/>
        <v/>
      </c>
      <c r="IA13" s="14" t="str">
        <f t="shared" si="74"/>
        <v/>
      </c>
      <c r="IB13" s="14" t="str">
        <f t="shared" si="75"/>
        <v/>
      </c>
      <c r="IC13" s="14" t="str">
        <f t="shared" si="76"/>
        <v/>
      </c>
      <c r="ID13" s="14" t="str">
        <f t="shared" si="77"/>
        <v/>
      </c>
      <c r="IE13" s="14" t="str">
        <f t="shared" si="78"/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 t="shared" si="79"/>
        <v/>
      </c>
      <c r="IV13" s="11" t="str">
        <f t="shared" si="80"/>
        <v/>
      </c>
      <c r="IW13" s="11" t="str">
        <f t="shared" si="81"/>
        <v/>
      </c>
      <c r="IX13" s="11" t="str">
        <f t="shared" si="82"/>
        <v/>
      </c>
      <c r="IY13" s="11" t="str">
        <f t="shared" si="83"/>
        <v/>
      </c>
      <c r="IZ13" s="11" t="str">
        <f t="shared" si="84"/>
        <v/>
      </c>
      <c r="JA13" s="11" t="str">
        <f t="shared" si="85"/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 t="shared" si="86"/>
        <v/>
      </c>
      <c r="JR13" s="14" t="str">
        <f t="shared" si="87"/>
        <v/>
      </c>
      <c r="JS13" s="14" t="str">
        <f t="shared" si="88"/>
        <v/>
      </c>
      <c r="JT13" s="14" t="str">
        <f t="shared" si="89"/>
        <v/>
      </c>
      <c r="JU13" s="14" t="str">
        <f t="shared" si="90"/>
        <v/>
      </c>
      <c r="JV13" s="14" t="str">
        <f t="shared" si="91"/>
        <v/>
      </c>
      <c r="JW13" s="14" t="str">
        <f t="shared" si="92"/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 t="shared" si="93"/>
        <v/>
      </c>
      <c r="KN13" s="11" t="str">
        <f t="shared" si="94"/>
        <v/>
      </c>
      <c r="KO13" s="11" t="str">
        <f t="shared" si="95"/>
        <v/>
      </c>
      <c r="KP13" s="11" t="str">
        <f t="shared" si="96"/>
        <v/>
      </c>
      <c r="KQ13" s="11" t="str">
        <f t="shared" si="97"/>
        <v/>
      </c>
      <c r="KR13" s="11" t="str">
        <f t="shared" si="98"/>
        <v/>
      </c>
      <c r="KS13" s="11" t="str">
        <f t="shared" si="99"/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 t="shared" si="100"/>
        <v/>
      </c>
      <c r="LJ13" s="14" t="str">
        <f t="shared" si="101"/>
        <v/>
      </c>
      <c r="LK13" s="14" t="str">
        <f t="shared" si="102"/>
        <v/>
      </c>
      <c r="LL13" s="14" t="str">
        <f t="shared" si="103"/>
        <v/>
      </c>
      <c r="LM13" s="14" t="str">
        <f t="shared" si="104"/>
        <v/>
      </c>
      <c r="LN13" s="14" t="str">
        <f t="shared" si="105"/>
        <v/>
      </c>
      <c r="LO13" s="14" t="str">
        <f t="shared" si="106"/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 t="shared" si="107"/>
        <v/>
      </c>
      <c r="MF13" s="11" t="str">
        <f t="shared" si="108"/>
        <v/>
      </c>
      <c r="MG13" s="11" t="str">
        <f t="shared" si="109"/>
        <v/>
      </c>
      <c r="MH13" s="11" t="str">
        <f t="shared" si="110"/>
        <v/>
      </c>
      <c r="MI13" s="11" t="str">
        <f t="shared" si="111"/>
        <v/>
      </c>
      <c r="MJ13" s="11" t="str">
        <f t="shared" si="112"/>
        <v/>
      </c>
      <c r="MK13" s="11" t="str">
        <f t="shared" si="113"/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 t="shared" si="114"/>
        <v/>
      </c>
      <c r="NB13" s="14" t="str">
        <f t="shared" si="115"/>
        <v/>
      </c>
      <c r="NC13" s="14" t="str">
        <f t="shared" si="116"/>
        <v/>
      </c>
      <c r="ND13" s="14" t="str">
        <f t="shared" si="117"/>
        <v/>
      </c>
      <c r="NE13" s="14" t="str">
        <f t="shared" si="118"/>
        <v/>
      </c>
      <c r="NF13" s="14" t="str">
        <f t="shared" si="119"/>
        <v/>
      </c>
      <c r="NG13" s="14" t="str">
        <f t="shared" si="120"/>
        <v/>
      </c>
      <c r="NH13" s="38">
        <f t="shared" si="121"/>
        <v>7.9</v>
      </c>
      <c r="NI13" s="38">
        <f t="shared" si="122"/>
        <v>4.75</v>
      </c>
      <c r="NJ13" s="38">
        <f t="shared" si="123"/>
        <v>2</v>
      </c>
      <c r="NK13" s="38">
        <f t="shared" si="124"/>
        <v>7.4325000000000001</v>
      </c>
      <c r="NL13" s="38">
        <f t="shared" si="125"/>
        <v>0</v>
      </c>
      <c r="NM13" s="38">
        <f t="shared" si="126"/>
        <v>7.55</v>
      </c>
      <c r="NN13" s="38">
        <f t="shared" si="127"/>
        <v>5.4499999999999993</v>
      </c>
      <c r="NO13" s="38">
        <f t="shared" si="128"/>
        <v>6.65</v>
      </c>
      <c r="NP13" s="38">
        <f t="shared" si="129"/>
        <v>8.5075000000000003</v>
      </c>
      <c r="NQ13" s="38">
        <f t="shared" si="130"/>
        <v>0.3</v>
      </c>
      <c r="NR13" s="38">
        <f t="shared" si="131"/>
        <v>12.350000000000001</v>
      </c>
      <c r="NS13" s="38">
        <f t="shared" si="132"/>
        <v>7.9</v>
      </c>
      <c r="NT13" s="38">
        <f t="shared" si="133"/>
        <v>8.8000000000000007</v>
      </c>
      <c r="NU13" s="38">
        <f t="shared" si="134"/>
        <v>13.1525</v>
      </c>
      <c r="NV13" s="38">
        <f t="shared" si="135"/>
        <v>0.3</v>
      </c>
      <c r="NW13" s="38">
        <f t="shared" si="136"/>
        <v>13.350000000000001</v>
      </c>
      <c r="NX13" s="38">
        <f t="shared" si="137"/>
        <v>8.35</v>
      </c>
      <c r="NY13" s="38">
        <f t="shared" si="138"/>
        <v>10.199999999999999</v>
      </c>
      <c r="NZ13" s="38">
        <f t="shared" si="139"/>
        <v>13.425000000000001</v>
      </c>
      <c r="OA13" s="38">
        <f t="shared" si="140"/>
        <v>0.35</v>
      </c>
      <c r="OB13" s="45" t="s">
        <v>46</v>
      </c>
      <c r="OC13" s="11">
        <f t="shared" si="141"/>
        <v>22.0825</v>
      </c>
      <c r="OD13" s="11">
        <f t="shared" si="142"/>
        <v>6.65</v>
      </c>
      <c r="OE13" s="11">
        <f t="shared" si="143"/>
        <v>27.857499999999998</v>
      </c>
      <c r="OF13" s="11">
        <f t="shared" si="144"/>
        <v>8.8000000000000007</v>
      </c>
      <c r="OG13" s="11">
        <f t="shared" si="145"/>
        <v>41.902500000000003</v>
      </c>
      <c r="OH13" s="11">
        <f t="shared" si="146"/>
        <v>63.984999999999999</v>
      </c>
      <c r="OI13" s="11">
        <f t="shared" si="147"/>
        <v>10.199999999999999</v>
      </c>
      <c r="OJ13" s="11">
        <f t="shared" ref="OJ13" si="160">IF(SUM(NW13:NZ13)-OA13&gt;0,SUM(NW13:NZ13)-OA13,"")</f>
        <v>44.975000000000001</v>
      </c>
      <c r="OK13" s="11">
        <f t="shared" ref="OK13" si="161">IF(SUM(OH13,OJ13)&gt;0,SUM(OH13,OJ13),"")</f>
        <v>108.96000000000001</v>
      </c>
    </row>
    <row r="14" spans="1:401" x14ac:dyDescent="0.2">
      <c r="A14" s="5" t="str" cm="1">
        <f t="array" ref="A14">IF(AND(F14="P",G14="P"),SUMPRODUCT((F$4:F$29="P")*(G$4:G$29="P")*(E$4:E$29&gt;E14))+1,IF(G14="P",SUMPRODUCT((F$4:F$29="")*(G$4:G$29="P")*(E$4:E$29&gt;E14))+1+SUMPRODUCT((F$4:F$29="P")*(G$4:G$29="P")),""))</f>
        <v/>
      </c>
      <c r="B14" s="8" t="s">
        <v>82</v>
      </c>
      <c r="C14" s="4" t="s">
        <v>81</v>
      </c>
      <c r="D14" s="22">
        <v>2002</v>
      </c>
      <c r="E14" s="15">
        <f t="shared" si="0"/>
        <v>92.75</v>
      </c>
      <c r="F14" s="3" t="str">
        <f t="shared" si="1"/>
        <v/>
      </c>
      <c r="G14" s="3" t="str">
        <f t="shared" si="2"/>
        <v/>
      </c>
      <c r="H14" s="67" t="str">
        <f t="shared" si="3"/>
        <v/>
      </c>
      <c r="I14" s="14">
        <f t="shared" si="4"/>
        <v>46.410000000000004</v>
      </c>
      <c r="J14" s="14" t="str">
        <f t="shared" si="5"/>
        <v>2021 Elite Canada</v>
      </c>
      <c r="K14" s="14">
        <f>IF(COUNT(AM14,AO14,AR14,BQ14,BS14,BV14,CU14,CW14,CZ14)&gt;1,LARGE((AM14,AO14,AR14,BQ14,BS14,BV14,CU14,CW14,CZ14),2),0)</f>
        <v>46.339999999999996</v>
      </c>
      <c r="L14" s="14" t="str">
        <f t="shared" si="6"/>
        <v>2021 Elite Canada</v>
      </c>
      <c r="M14" s="14" t="str">
        <f t="shared" si="7"/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15.7</v>
      </c>
      <c r="Q14" s="38">
        <v>9.5</v>
      </c>
      <c r="R14" s="38">
        <v>2.2000000000000002</v>
      </c>
      <c r="S14" s="38">
        <v>13.38</v>
      </c>
      <c r="T14" s="38">
        <v>0</v>
      </c>
      <c r="U14" s="38">
        <v>14.8</v>
      </c>
      <c r="V14" s="38">
        <v>9.1</v>
      </c>
      <c r="W14" s="38">
        <v>9.6999999999999993</v>
      </c>
      <c r="X14" s="38">
        <v>12.74</v>
      </c>
      <c r="Y14" s="38">
        <v>0</v>
      </c>
      <c r="Z14" s="38"/>
      <c r="AA14" s="38"/>
      <c r="AB14" s="38"/>
      <c r="AC14" s="38"/>
      <c r="AD14" s="38"/>
      <c r="AE14" s="38">
        <v>14.8</v>
      </c>
      <c r="AF14" s="38">
        <v>8.9</v>
      </c>
      <c r="AG14" s="38">
        <v>9.6999999999999993</v>
      </c>
      <c r="AH14" s="38">
        <v>13.01</v>
      </c>
      <c r="AI14" s="38">
        <v>0</v>
      </c>
      <c r="AJ14" s="45"/>
      <c r="AK14" s="11">
        <f t="shared" si="8"/>
        <v>40.78</v>
      </c>
      <c r="AL14" s="11">
        <f t="shared" si="9"/>
        <v>9.6999999999999993</v>
      </c>
      <c r="AM14" s="11">
        <f t="shared" si="10"/>
        <v>46.339999999999996</v>
      </c>
      <c r="AN14" s="11" t="str">
        <f t="shared" si="11"/>
        <v/>
      </c>
      <c r="AO14" s="11" t="str">
        <f t="shared" si="12"/>
        <v/>
      </c>
      <c r="AP14" s="11">
        <f t="shared" si="13"/>
        <v>87.12</v>
      </c>
      <c r="AQ14" s="11">
        <f t="shared" si="14"/>
        <v>9.6999999999999993</v>
      </c>
      <c r="AR14" s="11">
        <f t="shared" si="15"/>
        <v>46.410000000000004</v>
      </c>
      <c r="AS14" s="11">
        <f t="shared" si="16"/>
        <v>133.53</v>
      </c>
      <c r="AT14" s="42">
        <v>15.3</v>
      </c>
      <c r="AU14" s="42">
        <v>9.6</v>
      </c>
      <c r="AV14" s="42">
        <v>2.2000000000000002</v>
      </c>
      <c r="AW14" s="42">
        <v>13.34</v>
      </c>
      <c r="AX14" s="42">
        <v>0</v>
      </c>
      <c r="AY14" s="42">
        <v>2.6</v>
      </c>
      <c r="AZ14" s="42">
        <v>1.8</v>
      </c>
      <c r="BA14" s="42">
        <v>2.2999999999999998</v>
      </c>
      <c r="BB14" s="42">
        <v>2.6</v>
      </c>
      <c r="BC14" s="42">
        <v>0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6"/>
      <c r="BO14" s="14">
        <f t="shared" si="17"/>
        <v>40.44</v>
      </c>
      <c r="BP14" s="14">
        <f t="shared" si="18"/>
        <v>2.2999999999999998</v>
      </c>
      <c r="BQ14" s="14">
        <f t="shared" si="19"/>
        <v>9.3000000000000007</v>
      </c>
      <c r="BR14" s="14" t="str">
        <f t="shared" si="20"/>
        <v/>
      </c>
      <c r="BS14" s="14" t="str">
        <f t="shared" si="21"/>
        <v/>
      </c>
      <c r="BT14" s="14">
        <f t="shared" si="22"/>
        <v>49.739999999999995</v>
      </c>
      <c r="BU14" s="14" t="str">
        <f t="shared" si="23"/>
        <v/>
      </c>
      <c r="BV14" s="14" t="str">
        <f t="shared" si="24"/>
        <v/>
      </c>
      <c r="BW14" s="14">
        <f t="shared" si="25"/>
        <v>49.739999999999995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 t="shared" si="26"/>
        <v/>
      </c>
      <c r="CT14" s="11" t="str">
        <f t="shared" si="27"/>
        <v/>
      </c>
      <c r="CU14" s="11" t="str">
        <f t="shared" si="28"/>
        <v/>
      </c>
      <c r="CV14" s="11" t="str">
        <f t="shared" si="29"/>
        <v/>
      </c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19" t="str">
        <f t="shared" si="35"/>
        <v/>
      </c>
      <c r="DC14" s="19" t="str">
        <f t="shared" si="36"/>
        <v/>
      </c>
      <c r="DD14" s="25">
        <v>14.1</v>
      </c>
      <c r="DE14" s="25">
        <v>9.4</v>
      </c>
      <c r="DF14" s="25">
        <v>1.8</v>
      </c>
      <c r="DG14" s="25">
        <v>13.734999999999999</v>
      </c>
      <c r="DH14" s="25">
        <v>0</v>
      </c>
      <c r="DI14" s="25">
        <v>12.2</v>
      </c>
      <c r="DJ14" s="25">
        <v>9.1999999999999993</v>
      </c>
      <c r="DK14" s="25">
        <v>9.6999999999999993</v>
      </c>
      <c r="DL14" s="25">
        <v>12.965</v>
      </c>
      <c r="DM14" s="25">
        <v>0</v>
      </c>
      <c r="DN14" s="25"/>
      <c r="DO14" s="25"/>
      <c r="DP14" s="25"/>
      <c r="DQ14" s="25"/>
      <c r="DR14" s="25"/>
      <c r="DS14" s="11">
        <f t="shared" si="37"/>
        <v>9.6999999999999993</v>
      </c>
      <c r="DT14" s="11">
        <f t="shared" si="38"/>
        <v>39.034999999999997</v>
      </c>
      <c r="DU14" s="11">
        <f t="shared" si="39"/>
        <v>44.064999999999998</v>
      </c>
      <c r="DV14" s="11">
        <f t="shared" si="40"/>
        <v>83.1</v>
      </c>
      <c r="DW14" s="11" t="str">
        <f t="shared" si="41"/>
        <v/>
      </c>
      <c r="DX14" s="11" t="str">
        <f t="shared" si="42"/>
        <v/>
      </c>
      <c r="DY14" s="11">
        <f t="shared" si="43"/>
        <v>83.1</v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 t="shared" si="44"/>
        <v/>
      </c>
      <c r="EP14" s="14" t="str">
        <f t="shared" si="45"/>
        <v/>
      </c>
      <c r="EQ14" s="14" t="str">
        <f t="shared" si="46"/>
        <v/>
      </c>
      <c r="ER14" s="14" t="str">
        <f t="shared" si="47"/>
        <v/>
      </c>
      <c r="ES14" s="14" t="str">
        <f t="shared" si="48"/>
        <v/>
      </c>
      <c r="ET14" s="14" t="str">
        <f t="shared" si="49"/>
        <v/>
      </c>
      <c r="EU14" s="14" t="str">
        <f t="shared" si="50"/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 t="shared" si="51"/>
        <v/>
      </c>
      <c r="FL14" s="11" t="str">
        <f t="shared" si="52"/>
        <v/>
      </c>
      <c r="FM14" s="11" t="str">
        <f t="shared" si="53"/>
        <v/>
      </c>
      <c r="FN14" s="11" t="str">
        <f t="shared" si="54"/>
        <v/>
      </c>
      <c r="FO14" s="11" t="str">
        <f t="shared" si="55"/>
        <v/>
      </c>
      <c r="FP14" s="11" t="str">
        <f t="shared" si="56"/>
        <v/>
      </c>
      <c r="FQ14" s="11" t="str">
        <f t="shared" si="57"/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 t="shared" si="58"/>
        <v/>
      </c>
      <c r="GH14" s="14" t="str">
        <f t="shared" si="59"/>
        <v/>
      </c>
      <c r="GI14" s="14" t="str">
        <f t="shared" si="60"/>
        <v/>
      </c>
      <c r="GJ14" s="14" t="str">
        <f t="shared" si="61"/>
        <v/>
      </c>
      <c r="GK14" s="14" t="str">
        <f t="shared" si="62"/>
        <v/>
      </c>
      <c r="GL14" s="14" t="str">
        <f t="shared" si="63"/>
        <v/>
      </c>
      <c r="GM14" s="14" t="str">
        <f t="shared" si="64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 t="shared" si="65"/>
        <v/>
      </c>
      <c r="HD14" s="11" t="str">
        <f t="shared" si="66"/>
        <v/>
      </c>
      <c r="HE14" s="11" t="str">
        <f t="shared" si="67"/>
        <v/>
      </c>
      <c r="HF14" s="11" t="str">
        <f t="shared" si="68"/>
        <v/>
      </c>
      <c r="HG14" s="11" t="str">
        <f t="shared" si="69"/>
        <v/>
      </c>
      <c r="HH14" s="11" t="str">
        <f t="shared" si="70"/>
        <v/>
      </c>
      <c r="HI14" s="11" t="str">
        <f t="shared" si="71"/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 t="shared" si="72"/>
        <v/>
      </c>
      <c r="HZ14" s="14" t="str">
        <f t="shared" si="73"/>
        <v/>
      </c>
      <c r="IA14" s="14" t="str">
        <f t="shared" si="74"/>
        <v/>
      </c>
      <c r="IB14" s="14" t="str">
        <f t="shared" si="75"/>
        <v/>
      </c>
      <c r="IC14" s="14" t="str">
        <f t="shared" si="76"/>
        <v/>
      </c>
      <c r="ID14" s="14" t="str">
        <f t="shared" si="77"/>
        <v/>
      </c>
      <c r="IE14" s="14" t="str">
        <f t="shared" si="78"/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 t="shared" si="79"/>
        <v/>
      </c>
      <c r="IV14" s="11" t="str">
        <f t="shared" si="80"/>
        <v/>
      </c>
      <c r="IW14" s="11" t="str">
        <f t="shared" si="81"/>
        <v/>
      </c>
      <c r="IX14" s="11" t="str">
        <f t="shared" si="82"/>
        <v/>
      </c>
      <c r="IY14" s="11" t="str">
        <f t="shared" si="83"/>
        <v/>
      </c>
      <c r="IZ14" s="11" t="str">
        <f t="shared" si="84"/>
        <v/>
      </c>
      <c r="JA14" s="11" t="str">
        <f t="shared" si="85"/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 t="shared" si="86"/>
        <v/>
      </c>
      <c r="JR14" s="14" t="str">
        <f t="shared" si="87"/>
        <v/>
      </c>
      <c r="JS14" s="14" t="str">
        <f t="shared" si="88"/>
        <v/>
      </c>
      <c r="JT14" s="14" t="str">
        <f t="shared" si="89"/>
        <v/>
      </c>
      <c r="JU14" s="14" t="str">
        <f t="shared" si="90"/>
        <v/>
      </c>
      <c r="JV14" s="14" t="str">
        <f t="shared" si="91"/>
        <v/>
      </c>
      <c r="JW14" s="14" t="str">
        <f t="shared" si="92"/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 t="shared" si="93"/>
        <v/>
      </c>
      <c r="KN14" s="11" t="str">
        <f t="shared" si="94"/>
        <v/>
      </c>
      <c r="KO14" s="11" t="str">
        <f t="shared" si="95"/>
        <v/>
      </c>
      <c r="KP14" s="11" t="str">
        <f t="shared" si="96"/>
        <v/>
      </c>
      <c r="KQ14" s="11" t="str">
        <f t="shared" si="97"/>
        <v/>
      </c>
      <c r="KR14" s="11" t="str">
        <f t="shared" si="98"/>
        <v/>
      </c>
      <c r="KS14" s="11" t="str">
        <f t="shared" si="99"/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 t="shared" si="100"/>
        <v/>
      </c>
      <c r="LJ14" s="14" t="str">
        <f t="shared" si="101"/>
        <v/>
      </c>
      <c r="LK14" s="14" t="str">
        <f t="shared" si="102"/>
        <v/>
      </c>
      <c r="LL14" s="14" t="str">
        <f t="shared" si="103"/>
        <v/>
      </c>
      <c r="LM14" s="14" t="str">
        <f t="shared" si="104"/>
        <v/>
      </c>
      <c r="LN14" s="14" t="str">
        <f t="shared" si="105"/>
        <v/>
      </c>
      <c r="LO14" s="14" t="str">
        <f t="shared" si="106"/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 t="shared" si="107"/>
        <v/>
      </c>
      <c r="MF14" s="11" t="str">
        <f t="shared" si="108"/>
        <v/>
      </c>
      <c r="MG14" s="11" t="str">
        <f t="shared" si="109"/>
        <v/>
      </c>
      <c r="MH14" s="11" t="str">
        <f t="shared" si="110"/>
        <v/>
      </c>
      <c r="MI14" s="11" t="str">
        <f t="shared" si="111"/>
        <v/>
      </c>
      <c r="MJ14" s="11" t="str">
        <f t="shared" si="112"/>
        <v/>
      </c>
      <c r="MK14" s="11" t="str">
        <f t="shared" si="113"/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 t="shared" si="114"/>
        <v/>
      </c>
      <c r="NB14" s="14" t="str">
        <f t="shared" si="115"/>
        <v/>
      </c>
      <c r="NC14" s="14" t="str">
        <f t="shared" si="116"/>
        <v/>
      </c>
      <c r="ND14" s="14" t="str">
        <f t="shared" si="117"/>
        <v/>
      </c>
      <c r="NE14" s="14" t="str">
        <f t="shared" si="118"/>
        <v/>
      </c>
      <c r="NF14" s="14" t="str">
        <f t="shared" si="119"/>
        <v/>
      </c>
      <c r="NG14" s="14" t="str">
        <f t="shared" si="120"/>
        <v/>
      </c>
      <c r="NH14" s="38">
        <f t="shared" si="121"/>
        <v>7.65</v>
      </c>
      <c r="NI14" s="38">
        <f t="shared" si="122"/>
        <v>4.8</v>
      </c>
      <c r="NJ14" s="38">
        <f t="shared" si="123"/>
        <v>1.1000000000000001</v>
      </c>
      <c r="NK14" s="38">
        <f t="shared" si="124"/>
        <v>6.67</v>
      </c>
      <c r="NL14" s="38">
        <f t="shared" si="125"/>
        <v>0</v>
      </c>
      <c r="NM14" s="38">
        <f t="shared" si="126"/>
        <v>1.3</v>
      </c>
      <c r="NN14" s="38">
        <f t="shared" si="127"/>
        <v>0.9</v>
      </c>
      <c r="NO14" s="38">
        <f t="shared" si="128"/>
        <v>1.1499999999999999</v>
      </c>
      <c r="NP14" s="38">
        <f t="shared" si="129"/>
        <v>1.3</v>
      </c>
      <c r="NQ14" s="38">
        <f t="shared" si="130"/>
        <v>0</v>
      </c>
      <c r="NR14" s="38">
        <f t="shared" si="131"/>
        <v>0</v>
      </c>
      <c r="NS14" s="38">
        <f t="shared" si="132"/>
        <v>0</v>
      </c>
      <c r="NT14" s="38">
        <f t="shared" si="133"/>
        <v>0</v>
      </c>
      <c r="NU14" s="38">
        <f t="shared" si="134"/>
        <v>0</v>
      </c>
      <c r="NV14" s="38">
        <f t="shared" si="135"/>
        <v>0</v>
      </c>
      <c r="NW14" s="38">
        <f t="shared" si="136"/>
        <v>0</v>
      </c>
      <c r="NX14" s="38">
        <f t="shared" si="137"/>
        <v>0</v>
      </c>
      <c r="NY14" s="38">
        <f t="shared" si="138"/>
        <v>0</v>
      </c>
      <c r="NZ14" s="38">
        <f t="shared" si="139"/>
        <v>0</v>
      </c>
      <c r="OA14" s="38">
        <f t="shared" si="140"/>
        <v>0</v>
      </c>
      <c r="OB14" s="45" t="s">
        <v>46</v>
      </c>
      <c r="OC14" s="11">
        <f t="shared" si="141"/>
        <v>20.22</v>
      </c>
      <c r="OD14" s="11">
        <f t="shared" si="142"/>
        <v>1.1499999999999999</v>
      </c>
      <c r="OE14" s="11">
        <f t="shared" si="143"/>
        <v>4.6500000000000004</v>
      </c>
      <c r="OF14" s="11" t="str">
        <f t="shared" si="144"/>
        <v/>
      </c>
      <c r="OG14" s="11" t="str">
        <f t="shared" si="145"/>
        <v/>
      </c>
      <c r="OH14" s="11">
        <f t="shared" si="146"/>
        <v>24.869999999999997</v>
      </c>
      <c r="OI14" s="11" t="str">
        <f t="shared" si="147"/>
        <v/>
      </c>
      <c r="OJ14" s="11" t="str">
        <f t="shared" ref="OJ14" si="162">IF(SUM(NW14:NZ14)-OA14&gt;0,SUM(NW14:NZ14)-OA14,"")</f>
        <v/>
      </c>
      <c r="OK14" s="11">
        <f t="shared" ref="OK14" si="163">IF(SUM(OH14,OJ14)&gt;0,SUM(OH14,OJ14),"")</f>
        <v>24.869999999999997</v>
      </c>
    </row>
    <row r="15" spans="1:401" x14ac:dyDescent="0.2">
      <c r="A15" s="5" t="str" cm="1">
        <f t="array" ref="A15">IF(AND(F15="P",G15="P"),SUMPRODUCT((F$4:F$29="P")*(G$4:G$29="P")*(E$4:E$29&gt;E15))+1,IF(G15="P",SUMPRODUCT((F$4:F$29="")*(G$4:G$29="P")*(E$4:E$29&gt;E15))+1+SUMPRODUCT((F$4:F$29="P")*(G$4:G$29="P")),""))</f>
        <v/>
      </c>
      <c r="B15" s="8" t="s">
        <v>98</v>
      </c>
      <c r="C15" s="4" t="s">
        <v>5</v>
      </c>
      <c r="D15" s="22">
        <v>2003</v>
      </c>
      <c r="E15" s="15">
        <f t="shared" si="0"/>
        <v>92.08</v>
      </c>
      <c r="F15" s="3" t="str">
        <f t="shared" si="1"/>
        <v/>
      </c>
      <c r="G15" s="3" t="str">
        <f t="shared" si="2"/>
        <v/>
      </c>
      <c r="H15" s="67" t="str">
        <f t="shared" si="3"/>
        <v/>
      </c>
      <c r="I15" s="14">
        <f t="shared" si="4"/>
        <v>46.68</v>
      </c>
      <c r="J15" s="14" t="str">
        <f t="shared" si="5"/>
        <v>2022 Elite Canada</v>
      </c>
      <c r="K15" s="14">
        <f>IF(COUNT(AM15,AO15,AR15,BQ15,BS15,BV15,CU15,CW15,CZ15)&gt;1,LARGE((AM15,AO15,AR15,BQ15,BS15,BV15,CU15,CW15,CZ15),2),0)</f>
        <v>45.4</v>
      </c>
      <c r="L15" s="14" t="str">
        <f t="shared" si="6"/>
        <v>2022 Elite Canada</v>
      </c>
      <c r="M15" s="14" t="str">
        <f t="shared" si="7"/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45"/>
      <c r="AK15" s="11" t="str">
        <f t="shared" si="8"/>
        <v/>
      </c>
      <c r="AL15" s="11" t="str">
        <f t="shared" si="9"/>
        <v/>
      </c>
      <c r="AM15" s="11" t="str">
        <f t="shared" si="10"/>
        <v/>
      </c>
      <c r="AN15" s="11" t="str">
        <f t="shared" si="11"/>
        <v/>
      </c>
      <c r="AO15" s="11" t="str">
        <f t="shared" si="12"/>
        <v/>
      </c>
      <c r="AP15" s="11" t="str">
        <f t="shared" si="13"/>
        <v/>
      </c>
      <c r="AQ15" s="11" t="str">
        <f t="shared" si="14"/>
        <v/>
      </c>
      <c r="AR15" s="11" t="str">
        <f t="shared" si="15"/>
        <v/>
      </c>
      <c r="AS15" s="11" t="str">
        <f t="shared" si="16"/>
        <v/>
      </c>
      <c r="AT15" s="42">
        <v>6.7</v>
      </c>
      <c r="AU15" s="42">
        <v>3.7</v>
      </c>
      <c r="AV15" s="42">
        <v>0.7</v>
      </c>
      <c r="AW15" s="42">
        <v>5.3849999999999998</v>
      </c>
      <c r="AX15" s="42">
        <v>0</v>
      </c>
      <c r="AY15" s="42">
        <v>8.1999999999999993</v>
      </c>
      <c r="AZ15" s="42">
        <v>5.0999999999999996</v>
      </c>
      <c r="BA15" s="42">
        <v>6</v>
      </c>
      <c r="BB15" s="42">
        <v>7.34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 t="shared" si="17"/>
        <v>16.484999999999999</v>
      </c>
      <c r="BP15" s="14">
        <f t="shared" si="18"/>
        <v>6</v>
      </c>
      <c r="BQ15" s="14">
        <f t="shared" si="19"/>
        <v>26.639999999999997</v>
      </c>
      <c r="BR15" s="14" t="str">
        <f t="shared" si="20"/>
        <v/>
      </c>
      <c r="BS15" s="14" t="str">
        <f t="shared" si="21"/>
        <v/>
      </c>
      <c r="BT15" s="14">
        <f t="shared" si="22"/>
        <v>43.125</v>
      </c>
      <c r="BU15" s="14" t="str">
        <f t="shared" si="23"/>
        <v/>
      </c>
      <c r="BV15" s="14" t="str">
        <f t="shared" si="24"/>
        <v/>
      </c>
      <c r="BW15" s="14">
        <f t="shared" si="25"/>
        <v>43.125</v>
      </c>
      <c r="BX15" s="38">
        <v>15.8</v>
      </c>
      <c r="BY15" s="38">
        <v>9.5</v>
      </c>
      <c r="BZ15" s="38">
        <v>2.2000000000000002</v>
      </c>
      <c r="CA15" s="38">
        <v>13.75</v>
      </c>
      <c r="CB15" s="38">
        <v>0</v>
      </c>
      <c r="CC15" s="38">
        <v>13.4</v>
      </c>
      <c r="CD15" s="38">
        <v>9.1999999999999993</v>
      </c>
      <c r="CE15" s="38">
        <v>9.9</v>
      </c>
      <c r="CF15" s="38">
        <v>12.9</v>
      </c>
      <c r="CG15" s="38">
        <v>0</v>
      </c>
      <c r="CH15" s="38"/>
      <c r="CI15" s="38"/>
      <c r="CJ15" s="38"/>
      <c r="CK15" s="38"/>
      <c r="CL15" s="38"/>
      <c r="CM15" s="38">
        <v>14</v>
      </c>
      <c r="CN15" s="38">
        <v>9.4</v>
      </c>
      <c r="CO15" s="38">
        <v>10.1</v>
      </c>
      <c r="CP15" s="38">
        <v>13.18</v>
      </c>
      <c r="CQ15" s="38">
        <v>0</v>
      </c>
      <c r="CR15" s="45"/>
      <c r="CS15" s="11">
        <f t="shared" si="26"/>
        <v>41.25</v>
      </c>
      <c r="CT15" s="11">
        <f t="shared" si="27"/>
        <v>9.9</v>
      </c>
      <c r="CU15" s="11">
        <f t="shared" si="28"/>
        <v>45.4</v>
      </c>
      <c r="CV15" s="11" t="str">
        <f t="shared" si="29"/>
        <v/>
      </c>
      <c r="CW15" s="11" t="str">
        <f t="shared" si="30"/>
        <v/>
      </c>
      <c r="CX15" s="11">
        <f t="shared" si="31"/>
        <v>86.65</v>
      </c>
      <c r="CY15" s="11">
        <f t="shared" si="32"/>
        <v>10.1</v>
      </c>
      <c r="CZ15" s="11">
        <f t="shared" si="33"/>
        <v>46.68</v>
      </c>
      <c r="DA15" s="11">
        <f t="shared" si="34"/>
        <v>133.33000000000001</v>
      </c>
      <c r="DB15" s="19" t="str">
        <f t="shared" si="35"/>
        <v/>
      </c>
      <c r="DC15" s="19" t="str">
        <f t="shared" si="36"/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 t="shared" si="37"/>
        <v/>
      </c>
      <c r="DT15" s="11" t="str">
        <f t="shared" si="38"/>
        <v/>
      </c>
      <c r="DU15" s="11" t="str">
        <f t="shared" si="39"/>
        <v/>
      </c>
      <c r="DV15" s="11" t="str">
        <f t="shared" si="40"/>
        <v/>
      </c>
      <c r="DW15" s="11" t="str">
        <f t="shared" si="41"/>
        <v/>
      </c>
      <c r="DX15" s="11" t="str">
        <f t="shared" si="42"/>
        <v/>
      </c>
      <c r="DY15" s="11" t="str">
        <f t="shared" si="43"/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 t="shared" si="44"/>
        <v/>
      </c>
      <c r="EP15" s="14" t="str">
        <f t="shared" si="45"/>
        <v/>
      </c>
      <c r="EQ15" s="14" t="str">
        <f t="shared" si="46"/>
        <v/>
      </c>
      <c r="ER15" s="14" t="str">
        <f t="shared" si="47"/>
        <v/>
      </c>
      <c r="ES15" s="14" t="str">
        <f t="shared" si="48"/>
        <v/>
      </c>
      <c r="ET15" s="14" t="str">
        <f t="shared" si="49"/>
        <v/>
      </c>
      <c r="EU15" s="14" t="str">
        <f t="shared" si="50"/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 t="shared" si="51"/>
        <v/>
      </c>
      <c r="FL15" s="11" t="str">
        <f t="shared" si="52"/>
        <v/>
      </c>
      <c r="FM15" s="11" t="str">
        <f t="shared" si="53"/>
        <v/>
      </c>
      <c r="FN15" s="11" t="str">
        <f t="shared" si="54"/>
        <v/>
      </c>
      <c r="FO15" s="11" t="str">
        <f t="shared" si="55"/>
        <v/>
      </c>
      <c r="FP15" s="11" t="str">
        <f t="shared" si="56"/>
        <v/>
      </c>
      <c r="FQ15" s="11" t="str">
        <f t="shared" si="57"/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 t="shared" si="58"/>
        <v/>
      </c>
      <c r="GH15" s="14" t="str">
        <f t="shared" si="59"/>
        <v/>
      </c>
      <c r="GI15" s="14" t="str">
        <f t="shared" si="60"/>
        <v/>
      </c>
      <c r="GJ15" s="14" t="str">
        <f t="shared" si="61"/>
        <v/>
      </c>
      <c r="GK15" s="14" t="str">
        <f t="shared" si="62"/>
        <v/>
      </c>
      <c r="GL15" s="14" t="str">
        <f t="shared" si="63"/>
        <v/>
      </c>
      <c r="GM15" s="14" t="str">
        <f t="shared" si="64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 t="shared" si="65"/>
        <v/>
      </c>
      <c r="HD15" s="11" t="str">
        <f t="shared" si="66"/>
        <v/>
      </c>
      <c r="HE15" s="11" t="str">
        <f t="shared" si="67"/>
        <v/>
      </c>
      <c r="HF15" s="11" t="str">
        <f t="shared" si="68"/>
        <v/>
      </c>
      <c r="HG15" s="11" t="str">
        <f t="shared" si="69"/>
        <v/>
      </c>
      <c r="HH15" s="11" t="str">
        <f t="shared" si="70"/>
        <v/>
      </c>
      <c r="HI15" s="11" t="str">
        <f t="shared" si="71"/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 t="shared" si="72"/>
        <v/>
      </c>
      <c r="HZ15" s="14" t="str">
        <f t="shared" si="73"/>
        <v/>
      </c>
      <c r="IA15" s="14" t="str">
        <f t="shared" si="74"/>
        <v/>
      </c>
      <c r="IB15" s="14" t="str">
        <f t="shared" si="75"/>
        <v/>
      </c>
      <c r="IC15" s="14" t="str">
        <f t="shared" si="76"/>
        <v/>
      </c>
      <c r="ID15" s="14" t="str">
        <f t="shared" si="77"/>
        <v/>
      </c>
      <c r="IE15" s="14" t="str">
        <f t="shared" si="78"/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 t="shared" si="79"/>
        <v/>
      </c>
      <c r="IV15" s="11" t="str">
        <f t="shared" si="80"/>
        <v/>
      </c>
      <c r="IW15" s="11" t="str">
        <f t="shared" si="81"/>
        <v/>
      </c>
      <c r="IX15" s="11" t="str">
        <f t="shared" si="82"/>
        <v/>
      </c>
      <c r="IY15" s="11" t="str">
        <f t="shared" si="83"/>
        <v/>
      </c>
      <c r="IZ15" s="11" t="str">
        <f t="shared" si="84"/>
        <v/>
      </c>
      <c r="JA15" s="11" t="str">
        <f t="shared" si="85"/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 t="shared" si="86"/>
        <v/>
      </c>
      <c r="JR15" s="14" t="str">
        <f t="shared" si="87"/>
        <v/>
      </c>
      <c r="JS15" s="14" t="str">
        <f t="shared" si="88"/>
        <v/>
      </c>
      <c r="JT15" s="14" t="str">
        <f t="shared" si="89"/>
        <v/>
      </c>
      <c r="JU15" s="14" t="str">
        <f t="shared" si="90"/>
        <v/>
      </c>
      <c r="JV15" s="14" t="str">
        <f t="shared" si="91"/>
        <v/>
      </c>
      <c r="JW15" s="14" t="str">
        <f t="shared" si="92"/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 t="shared" si="93"/>
        <v/>
      </c>
      <c r="KN15" s="11" t="str">
        <f t="shared" si="94"/>
        <v/>
      </c>
      <c r="KO15" s="11" t="str">
        <f t="shared" si="95"/>
        <v/>
      </c>
      <c r="KP15" s="11" t="str">
        <f t="shared" si="96"/>
        <v/>
      </c>
      <c r="KQ15" s="11" t="str">
        <f t="shared" si="97"/>
        <v/>
      </c>
      <c r="KR15" s="11" t="str">
        <f t="shared" si="98"/>
        <v/>
      </c>
      <c r="KS15" s="11" t="str">
        <f t="shared" si="99"/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 t="shared" si="100"/>
        <v/>
      </c>
      <c r="LJ15" s="14" t="str">
        <f t="shared" si="101"/>
        <v/>
      </c>
      <c r="LK15" s="14" t="str">
        <f t="shared" si="102"/>
        <v/>
      </c>
      <c r="LL15" s="14" t="str">
        <f t="shared" si="103"/>
        <v/>
      </c>
      <c r="LM15" s="14" t="str">
        <f t="shared" si="104"/>
        <v/>
      </c>
      <c r="LN15" s="14" t="str">
        <f t="shared" si="105"/>
        <v/>
      </c>
      <c r="LO15" s="14" t="str">
        <f t="shared" si="106"/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 t="shared" si="107"/>
        <v/>
      </c>
      <c r="MF15" s="11" t="str">
        <f t="shared" si="108"/>
        <v/>
      </c>
      <c r="MG15" s="11" t="str">
        <f t="shared" si="109"/>
        <v/>
      </c>
      <c r="MH15" s="11" t="str">
        <f t="shared" si="110"/>
        <v/>
      </c>
      <c r="MI15" s="11" t="str">
        <f t="shared" si="111"/>
        <v/>
      </c>
      <c r="MJ15" s="11" t="str">
        <f t="shared" si="112"/>
        <v/>
      </c>
      <c r="MK15" s="11" t="str">
        <f t="shared" si="113"/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 t="shared" si="114"/>
        <v/>
      </c>
      <c r="NB15" s="14" t="str">
        <f t="shared" si="115"/>
        <v/>
      </c>
      <c r="NC15" s="14" t="str">
        <f t="shared" si="116"/>
        <v/>
      </c>
      <c r="ND15" s="14" t="str">
        <f t="shared" si="117"/>
        <v/>
      </c>
      <c r="NE15" s="14" t="str">
        <f t="shared" si="118"/>
        <v/>
      </c>
      <c r="NF15" s="14" t="str">
        <f t="shared" si="119"/>
        <v/>
      </c>
      <c r="NG15" s="14" t="str">
        <f t="shared" si="120"/>
        <v/>
      </c>
      <c r="NH15" s="38">
        <f t="shared" si="121"/>
        <v>11.25</v>
      </c>
      <c r="NI15" s="38">
        <f t="shared" si="122"/>
        <v>6.6</v>
      </c>
      <c r="NJ15" s="38">
        <f t="shared" si="123"/>
        <v>1.4500000000000002</v>
      </c>
      <c r="NK15" s="38">
        <f t="shared" si="124"/>
        <v>9.567499999999999</v>
      </c>
      <c r="NL15" s="38">
        <f t="shared" si="125"/>
        <v>0</v>
      </c>
      <c r="NM15" s="38">
        <f t="shared" si="126"/>
        <v>10.8</v>
      </c>
      <c r="NN15" s="38">
        <f t="shared" si="127"/>
        <v>7.1499999999999995</v>
      </c>
      <c r="NO15" s="38">
        <f t="shared" si="128"/>
        <v>7.95</v>
      </c>
      <c r="NP15" s="38">
        <f t="shared" si="129"/>
        <v>10.120000000000001</v>
      </c>
      <c r="NQ15" s="38">
        <f t="shared" si="130"/>
        <v>0</v>
      </c>
      <c r="NR15" s="38">
        <f t="shared" si="131"/>
        <v>0</v>
      </c>
      <c r="NS15" s="38">
        <f t="shared" si="132"/>
        <v>0</v>
      </c>
      <c r="NT15" s="38">
        <f t="shared" si="133"/>
        <v>0</v>
      </c>
      <c r="NU15" s="38">
        <f t="shared" si="134"/>
        <v>0</v>
      </c>
      <c r="NV15" s="38">
        <f t="shared" si="135"/>
        <v>0</v>
      </c>
      <c r="NW15" s="38">
        <f t="shared" si="136"/>
        <v>7</v>
      </c>
      <c r="NX15" s="38">
        <f t="shared" si="137"/>
        <v>4.7</v>
      </c>
      <c r="NY15" s="38">
        <f t="shared" si="138"/>
        <v>5.05</v>
      </c>
      <c r="NZ15" s="38">
        <f t="shared" si="139"/>
        <v>6.59</v>
      </c>
      <c r="OA15" s="38">
        <f t="shared" si="140"/>
        <v>0</v>
      </c>
      <c r="OB15" s="45" t="s">
        <v>46</v>
      </c>
      <c r="OC15" s="11">
        <f t="shared" si="141"/>
        <v>28.8675</v>
      </c>
      <c r="OD15" s="11">
        <f t="shared" si="142"/>
        <v>7.95</v>
      </c>
      <c r="OE15" s="11">
        <f t="shared" si="143"/>
        <v>36.019999999999996</v>
      </c>
      <c r="OF15" s="11" t="str">
        <f t="shared" si="144"/>
        <v/>
      </c>
      <c r="OG15" s="11" t="str">
        <f t="shared" si="145"/>
        <v/>
      </c>
      <c r="OH15" s="11">
        <f t="shared" si="146"/>
        <v>64.887499999999989</v>
      </c>
      <c r="OI15" s="11">
        <f t="shared" si="147"/>
        <v>5.05</v>
      </c>
      <c r="OJ15" s="11">
        <f t="shared" ref="OJ15" si="164">IF(SUM(NW15:NZ15)-OA15&gt;0,SUM(NW15:NZ15)-OA15,"")</f>
        <v>23.34</v>
      </c>
      <c r="OK15" s="11">
        <f t="shared" ref="OK15" si="165">IF(SUM(OH15,OJ15)&gt;0,SUM(OH15,OJ15),"")</f>
        <v>88.227499999999992</v>
      </c>
    </row>
    <row r="16" spans="1:401" x14ac:dyDescent="0.2">
      <c r="A16" s="5" t="str" cm="1">
        <f t="array" ref="A16">IF(AND(F16="P",G16="P"),SUMPRODUCT((F$4:F$29="P")*(G$4:G$29="P")*(E$4:E$29&gt;E16))+1,IF(G16="P",SUMPRODUCT((F$4:F$29="")*(G$4:G$29="P")*(E$4:E$29&gt;E16))+1+SUMPRODUCT((F$4:F$29="P")*(G$4:G$29="P")),""))</f>
        <v/>
      </c>
      <c r="B16" s="6" t="s">
        <v>113</v>
      </c>
      <c r="C16" s="7" t="s">
        <v>6</v>
      </c>
      <c r="D16" s="22">
        <v>2003</v>
      </c>
      <c r="E16" s="15">
        <f t="shared" si="0"/>
        <v>91.960000000000008</v>
      </c>
      <c r="F16" s="3" t="str">
        <f t="shared" si="1"/>
        <v/>
      </c>
      <c r="G16" s="3" t="str">
        <f t="shared" si="2"/>
        <v/>
      </c>
      <c r="H16" s="67" t="str">
        <f t="shared" si="3"/>
        <v/>
      </c>
      <c r="I16" s="14">
        <f t="shared" si="4"/>
        <v>46.17</v>
      </c>
      <c r="J16" s="14" t="str">
        <f t="shared" si="5"/>
        <v>2022 Elite Canada</v>
      </c>
      <c r="K16" s="14">
        <f>IF(COUNT(AM16,AO16,AR16,BQ16,BS16,BV16,CU16,CW16,CZ16)&gt;1,LARGE((AM16,AO16,AR16,BQ16,BS16,BV16,CU16,CW16,CZ16),2),0)</f>
        <v>45.79</v>
      </c>
      <c r="L16" s="14" t="str">
        <f t="shared" si="6"/>
        <v>2021 Canadian Championships</v>
      </c>
      <c r="M16" s="14" t="str">
        <f t="shared" si="7"/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</v>
      </c>
      <c r="R16" s="38">
        <v>1.8</v>
      </c>
      <c r="S16" s="38">
        <v>13.46</v>
      </c>
      <c r="T16" s="38">
        <v>0</v>
      </c>
      <c r="U16" s="38">
        <v>15.4</v>
      </c>
      <c r="V16" s="38">
        <v>9.4</v>
      </c>
      <c r="W16" s="38">
        <v>7.8</v>
      </c>
      <c r="X16" s="38">
        <v>13.09</v>
      </c>
      <c r="Y16" s="38">
        <v>1</v>
      </c>
      <c r="Z16" s="38"/>
      <c r="AA16" s="38"/>
      <c r="AB16" s="38"/>
      <c r="AC16" s="38"/>
      <c r="AD16" s="38"/>
      <c r="AE16" s="38">
        <v>1.6</v>
      </c>
      <c r="AF16" s="38">
        <v>1</v>
      </c>
      <c r="AG16" s="38">
        <v>1.3</v>
      </c>
      <c r="AH16" s="38">
        <v>1.4350000000000001</v>
      </c>
      <c r="AI16" s="38">
        <v>0</v>
      </c>
      <c r="AJ16" s="45"/>
      <c r="AK16" s="11">
        <f t="shared" si="8"/>
        <v>40.260000000000005</v>
      </c>
      <c r="AL16" s="11">
        <f t="shared" si="9"/>
        <v>7.8</v>
      </c>
      <c r="AM16" s="11">
        <f t="shared" si="10"/>
        <v>44.69</v>
      </c>
      <c r="AN16" s="11" t="str">
        <f t="shared" si="11"/>
        <v/>
      </c>
      <c r="AO16" s="11" t="str">
        <f t="shared" si="12"/>
        <v/>
      </c>
      <c r="AP16" s="11">
        <f t="shared" si="13"/>
        <v>84.95</v>
      </c>
      <c r="AQ16" s="11">
        <f t="shared" si="14"/>
        <v>1.3</v>
      </c>
      <c r="AR16" s="11">
        <f t="shared" si="15"/>
        <v>5.3350000000000009</v>
      </c>
      <c r="AS16" s="11">
        <f t="shared" si="16"/>
        <v>90.284999999999997</v>
      </c>
      <c r="AT16" s="42">
        <v>15.9</v>
      </c>
      <c r="AU16" s="42">
        <v>9.6999999999999993</v>
      </c>
      <c r="AV16" s="42">
        <v>2</v>
      </c>
      <c r="AW16" s="42">
        <v>13.51</v>
      </c>
      <c r="AX16" s="42">
        <v>0</v>
      </c>
      <c r="AY16" s="42">
        <v>14.4</v>
      </c>
      <c r="AZ16" s="42">
        <v>9.4</v>
      </c>
      <c r="BA16" s="42">
        <v>8.8000000000000007</v>
      </c>
      <c r="BB16" s="42">
        <v>13.19</v>
      </c>
      <c r="BC16" s="42">
        <v>0</v>
      </c>
      <c r="BD16" s="42"/>
      <c r="BE16" s="42"/>
      <c r="BF16" s="42"/>
      <c r="BG16" s="42"/>
      <c r="BH16" s="42"/>
      <c r="BI16" s="42">
        <v>13.7</v>
      </c>
      <c r="BJ16" s="42">
        <v>9</v>
      </c>
      <c r="BK16" s="42">
        <v>8.1999999999999993</v>
      </c>
      <c r="BL16" s="42">
        <v>13.074999999999999</v>
      </c>
      <c r="BM16" s="42">
        <v>0.6</v>
      </c>
      <c r="BN16" s="46"/>
      <c r="BO16" s="14">
        <f t="shared" si="17"/>
        <v>41.11</v>
      </c>
      <c r="BP16" s="14">
        <f t="shared" si="18"/>
        <v>8.8000000000000007</v>
      </c>
      <c r="BQ16" s="14">
        <f t="shared" si="19"/>
        <v>45.79</v>
      </c>
      <c r="BR16" s="14" t="str">
        <f t="shared" si="20"/>
        <v/>
      </c>
      <c r="BS16" s="14" t="str">
        <f t="shared" si="21"/>
        <v/>
      </c>
      <c r="BT16" s="14">
        <f t="shared" si="22"/>
        <v>86.9</v>
      </c>
      <c r="BU16" s="14">
        <f t="shared" si="23"/>
        <v>8.1999999999999993</v>
      </c>
      <c r="BV16" s="14">
        <f t="shared" si="24"/>
        <v>43.374999999999993</v>
      </c>
      <c r="BW16" s="14">
        <f t="shared" si="25"/>
        <v>130.27500000000001</v>
      </c>
      <c r="BX16" s="38">
        <v>15.8</v>
      </c>
      <c r="BY16" s="38">
        <v>9.5</v>
      </c>
      <c r="BZ16" s="38">
        <v>2.2000000000000002</v>
      </c>
      <c r="CA16" s="38">
        <v>14.05</v>
      </c>
      <c r="CB16" s="38">
        <v>0</v>
      </c>
      <c r="CC16" s="38">
        <v>14.4</v>
      </c>
      <c r="CD16" s="38">
        <v>9.1</v>
      </c>
      <c r="CE16" s="38">
        <v>8.8000000000000007</v>
      </c>
      <c r="CF16" s="38">
        <v>13.21</v>
      </c>
      <c r="CG16" s="38">
        <v>0</v>
      </c>
      <c r="CH16" s="38"/>
      <c r="CI16" s="38"/>
      <c r="CJ16" s="38"/>
      <c r="CK16" s="38"/>
      <c r="CL16" s="38"/>
      <c r="CM16" s="38">
        <v>14.5</v>
      </c>
      <c r="CN16" s="38">
        <v>9.1999999999999993</v>
      </c>
      <c r="CO16" s="38">
        <v>8.8000000000000007</v>
      </c>
      <c r="CP16" s="38">
        <v>13.67</v>
      </c>
      <c r="CQ16" s="38">
        <v>0</v>
      </c>
      <c r="CR16" s="45"/>
      <c r="CS16" s="11">
        <f t="shared" si="26"/>
        <v>41.55</v>
      </c>
      <c r="CT16" s="11">
        <f t="shared" si="27"/>
        <v>8.8000000000000007</v>
      </c>
      <c r="CU16" s="11">
        <f t="shared" si="28"/>
        <v>45.51</v>
      </c>
      <c r="CV16" s="11" t="str">
        <f t="shared" si="29"/>
        <v/>
      </c>
      <c r="CW16" s="11" t="str">
        <f t="shared" si="30"/>
        <v/>
      </c>
      <c r="CX16" s="11">
        <f t="shared" si="31"/>
        <v>87.06</v>
      </c>
      <c r="CY16" s="11">
        <f t="shared" si="32"/>
        <v>8.8000000000000007</v>
      </c>
      <c r="CZ16" s="11">
        <f t="shared" si="33"/>
        <v>46.17</v>
      </c>
      <c r="DA16" s="11">
        <f t="shared" si="34"/>
        <v>133.23000000000002</v>
      </c>
      <c r="DB16" s="19" t="str">
        <f t="shared" si="35"/>
        <v/>
      </c>
      <c r="DC16" s="19" t="str">
        <f t="shared" si="36"/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 t="shared" si="37"/>
        <v/>
      </c>
      <c r="DT16" s="11" t="str">
        <f t="shared" si="38"/>
        <v/>
      </c>
      <c r="DU16" s="11" t="str">
        <f t="shared" si="39"/>
        <v/>
      </c>
      <c r="DV16" s="11" t="str">
        <f t="shared" si="40"/>
        <v/>
      </c>
      <c r="DW16" s="11" t="str">
        <f t="shared" si="41"/>
        <v/>
      </c>
      <c r="DX16" s="11" t="str">
        <f t="shared" si="42"/>
        <v/>
      </c>
      <c r="DY16" s="11" t="str">
        <f t="shared" si="43"/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 t="shared" si="44"/>
        <v/>
      </c>
      <c r="EP16" s="14" t="str">
        <f t="shared" si="45"/>
        <v/>
      </c>
      <c r="EQ16" s="14" t="str">
        <f t="shared" si="46"/>
        <v/>
      </c>
      <c r="ER16" s="14" t="str">
        <f t="shared" si="47"/>
        <v/>
      </c>
      <c r="ES16" s="14" t="str">
        <f t="shared" si="48"/>
        <v/>
      </c>
      <c r="ET16" s="14" t="str">
        <f t="shared" si="49"/>
        <v/>
      </c>
      <c r="EU16" s="14" t="str">
        <f t="shared" si="50"/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 t="shared" si="51"/>
        <v/>
      </c>
      <c r="FL16" s="11" t="str">
        <f t="shared" si="52"/>
        <v/>
      </c>
      <c r="FM16" s="11" t="str">
        <f t="shared" si="53"/>
        <v/>
      </c>
      <c r="FN16" s="11" t="str">
        <f t="shared" si="54"/>
        <v/>
      </c>
      <c r="FO16" s="11" t="str">
        <f t="shared" si="55"/>
        <v/>
      </c>
      <c r="FP16" s="11" t="str">
        <f t="shared" si="56"/>
        <v/>
      </c>
      <c r="FQ16" s="11" t="str">
        <f t="shared" si="57"/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 t="shared" si="58"/>
        <v/>
      </c>
      <c r="GH16" s="14" t="str">
        <f t="shared" si="59"/>
        <v/>
      </c>
      <c r="GI16" s="14" t="str">
        <f t="shared" si="60"/>
        <v/>
      </c>
      <c r="GJ16" s="14" t="str">
        <f t="shared" si="61"/>
        <v/>
      </c>
      <c r="GK16" s="14" t="str">
        <f t="shared" si="62"/>
        <v/>
      </c>
      <c r="GL16" s="14" t="str">
        <f t="shared" si="63"/>
        <v/>
      </c>
      <c r="GM16" s="14" t="str">
        <f t="shared" si="64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 t="shared" si="65"/>
        <v/>
      </c>
      <c r="HD16" s="11" t="str">
        <f t="shared" si="66"/>
        <v/>
      </c>
      <c r="HE16" s="11" t="str">
        <f t="shared" si="67"/>
        <v/>
      </c>
      <c r="HF16" s="11" t="str">
        <f t="shared" si="68"/>
        <v/>
      </c>
      <c r="HG16" s="11" t="str">
        <f t="shared" si="69"/>
        <v/>
      </c>
      <c r="HH16" s="11" t="str">
        <f t="shared" si="70"/>
        <v/>
      </c>
      <c r="HI16" s="11" t="str">
        <f t="shared" si="71"/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 t="shared" si="72"/>
        <v/>
      </c>
      <c r="HZ16" s="14" t="str">
        <f t="shared" si="73"/>
        <v/>
      </c>
      <c r="IA16" s="14" t="str">
        <f t="shared" si="74"/>
        <v/>
      </c>
      <c r="IB16" s="14" t="str">
        <f t="shared" si="75"/>
        <v/>
      </c>
      <c r="IC16" s="14" t="str">
        <f t="shared" si="76"/>
        <v/>
      </c>
      <c r="ID16" s="14" t="str">
        <f t="shared" si="77"/>
        <v/>
      </c>
      <c r="IE16" s="14" t="str">
        <f t="shared" si="78"/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 t="shared" si="79"/>
        <v/>
      </c>
      <c r="IV16" s="11" t="str">
        <f t="shared" si="80"/>
        <v/>
      </c>
      <c r="IW16" s="11" t="str">
        <f t="shared" si="81"/>
        <v/>
      </c>
      <c r="IX16" s="11" t="str">
        <f t="shared" si="82"/>
        <v/>
      </c>
      <c r="IY16" s="11" t="str">
        <f t="shared" si="83"/>
        <v/>
      </c>
      <c r="IZ16" s="11" t="str">
        <f t="shared" si="84"/>
        <v/>
      </c>
      <c r="JA16" s="11" t="str">
        <f t="shared" si="85"/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 t="shared" si="86"/>
        <v/>
      </c>
      <c r="JR16" s="14" t="str">
        <f t="shared" si="87"/>
        <v/>
      </c>
      <c r="JS16" s="14" t="str">
        <f t="shared" si="88"/>
        <v/>
      </c>
      <c r="JT16" s="14" t="str">
        <f t="shared" si="89"/>
        <v/>
      </c>
      <c r="JU16" s="14" t="str">
        <f t="shared" si="90"/>
        <v/>
      </c>
      <c r="JV16" s="14" t="str">
        <f t="shared" si="91"/>
        <v/>
      </c>
      <c r="JW16" s="14" t="str">
        <f t="shared" si="92"/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 t="shared" si="93"/>
        <v/>
      </c>
      <c r="KN16" s="11" t="str">
        <f t="shared" si="94"/>
        <v/>
      </c>
      <c r="KO16" s="11" t="str">
        <f t="shared" si="95"/>
        <v/>
      </c>
      <c r="KP16" s="11" t="str">
        <f t="shared" si="96"/>
        <v/>
      </c>
      <c r="KQ16" s="11" t="str">
        <f t="shared" si="97"/>
        <v/>
      </c>
      <c r="KR16" s="11" t="str">
        <f t="shared" si="98"/>
        <v/>
      </c>
      <c r="KS16" s="11" t="str">
        <f t="shared" si="99"/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 t="shared" si="100"/>
        <v/>
      </c>
      <c r="LJ16" s="14" t="str">
        <f t="shared" si="101"/>
        <v/>
      </c>
      <c r="LK16" s="14" t="str">
        <f t="shared" si="102"/>
        <v/>
      </c>
      <c r="LL16" s="14" t="str">
        <f t="shared" si="103"/>
        <v/>
      </c>
      <c r="LM16" s="14" t="str">
        <f t="shared" si="104"/>
        <v/>
      </c>
      <c r="LN16" s="14" t="str">
        <f t="shared" si="105"/>
        <v/>
      </c>
      <c r="LO16" s="14" t="str">
        <f t="shared" si="106"/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 t="shared" si="107"/>
        <v/>
      </c>
      <c r="MF16" s="11" t="str">
        <f t="shared" si="108"/>
        <v/>
      </c>
      <c r="MG16" s="11" t="str">
        <f t="shared" si="109"/>
        <v/>
      </c>
      <c r="MH16" s="11" t="str">
        <f t="shared" si="110"/>
        <v/>
      </c>
      <c r="MI16" s="11" t="str">
        <f t="shared" si="111"/>
        <v/>
      </c>
      <c r="MJ16" s="11" t="str">
        <f t="shared" si="112"/>
        <v/>
      </c>
      <c r="MK16" s="11" t="str">
        <f t="shared" si="113"/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 t="shared" si="114"/>
        <v/>
      </c>
      <c r="NB16" s="14" t="str">
        <f t="shared" si="115"/>
        <v/>
      </c>
      <c r="NC16" s="14" t="str">
        <f t="shared" si="116"/>
        <v/>
      </c>
      <c r="ND16" s="14" t="str">
        <f t="shared" si="117"/>
        <v/>
      </c>
      <c r="NE16" s="14" t="str">
        <f t="shared" si="118"/>
        <v/>
      </c>
      <c r="NF16" s="14" t="str">
        <f t="shared" si="119"/>
        <v/>
      </c>
      <c r="NG16" s="14" t="str">
        <f t="shared" si="120"/>
        <v/>
      </c>
      <c r="NH16" s="38">
        <f t="shared" si="121"/>
        <v>15.850000000000001</v>
      </c>
      <c r="NI16" s="38">
        <f t="shared" si="122"/>
        <v>9.6</v>
      </c>
      <c r="NJ16" s="38">
        <f t="shared" si="123"/>
        <v>2.1</v>
      </c>
      <c r="NK16" s="38">
        <f t="shared" si="124"/>
        <v>13.780000000000001</v>
      </c>
      <c r="NL16" s="38">
        <f t="shared" si="125"/>
        <v>0</v>
      </c>
      <c r="NM16" s="38">
        <f t="shared" si="126"/>
        <v>14.4</v>
      </c>
      <c r="NN16" s="38">
        <f t="shared" si="127"/>
        <v>9.25</v>
      </c>
      <c r="NO16" s="38">
        <f t="shared" si="128"/>
        <v>8.8000000000000007</v>
      </c>
      <c r="NP16" s="38">
        <f t="shared" si="129"/>
        <v>13.2</v>
      </c>
      <c r="NQ16" s="38">
        <f t="shared" si="130"/>
        <v>0</v>
      </c>
      <c r="NR16" s="38">
        <f t="shared" si="131"/>
        <v>0</v>
      </c>
      <c r="NS16" s="38">
        <f t="shared" si="132"/>
        <v>0</v>
      </c>
      <c r="NT16" s="38">
        <f t="shared" si="133"/>
        <v>0</v>
      </c>
      <c r="NU16" s="38">
        <f t="shared" si="134"/>
        <v>0</v>
      </c>
      <c r="NV16" s="38">
        <f t="shared" si="135"/>
        <v>0</v>
      </c>
      <c r="NW16" s="38">
        <f t="shared" si="136"/>
        <v>14.1</v>
      </c>
      <c r="NX16" s="38">
        <f t="shared" si="137"/>
        <v>9.1</v>
      </c>
      <c r="NY16" s="38">
        <f t="shared" si="138"/>
        <v>8.5</v>
      </c>
      <c r="NZ16" s="38">
        <f t="shared" si="139"/>
        <v>13.372499999999999</v>
      </c>
      <c r="OA16" s="38">
        <f t="shared" si="140"/>
        <v>0.3</v>
      </c>
      <c r="OB16" s="45" t="s">
        <v>46</v>
      </c>
      <c r="OC16" s="11">
        <f t="shared" si="141"/>
        <v>41.330000000000005</v>
      </c>
      <c r="OD16" s="11">
        <f t="shared" si="142"/>
        <v>8.8000000000000007</v>
      </c>
      <c r="OE16" s="11">
        <f t="shared" si="143"/>
        <v>45.650000000000006</v>
      </c>
      <c r="OF16" s="11" t="str">
        <f t="shared" si="144"/>
        <v/>
      </c>
      <c r="OG16" s="11" t="str">
        <f t="shared" si="145"/>
        <v/>
      </c>
      <c r="OH16" s="11">
        <f t="shared" si="146"/>
        <v>86.980000000000018</v>
      </c>
      <c r="OI16" s="11">
        <f t="shared" si="147"/>
        <v>8.5</v>
      </c>
      <c r="OJ16" s="11">
        <f t="shared" ref="OJ16" si="166">IF(SUM(NW16:NZ16)-OA16&gt;0,SUM(NW16:NZ16)-OA16,"")</f>
        <v>44.772500000000001</v>
      </c>
      <c r="OK16" s="11">
        <f t="shared" ref="OK16" si="167">IF(SUM(OH16,OJ16)&gt;0,SUM(OH16,OJ16),"")</f>
        <v>131.75250000000003</v>
      </c>
    </row>
    <row r="17" spans="1:401" x14ac:dyDescent="0.2">
      <c r="A17" s="5" t="str" cm="1">
        <f t="array" ref="A17">IF(AND(F17="P",G17="P"),SUMPRODUCT((F$4:F$29="P")*(G$4:G$29="P")*(E$4:E$29&gt;E17))+1,IF(G17="P",SUMPRODUCT((F$4:F$29="")*(G$4:G$29="P")*(E$4:E$29&gt;E17))+1+SUMPRODUCT((F$4:F$29="P")*(G$4:G$29="P")),""))</f>
        <v/>
      </c>
      <c r="B17" s="8" t="s">
        <v>80</v>
      </c>
      <c r="C17" s="4" t="s">
        <v>4</v>
      </c>
      <c r="D17" s="22">
        <v>2004</v>
      </c>
      <c r="E17" s="15">
        <f t="shared" si="0"/>
        <v>90.669999999999987</v>
      </c>
      <c r="F17" s="3" t="str">
        <f t="shared" si="1"/>
        <v/>
      </c>
      <c r="G17" s="3" t="str">
        <f t="shared" si="2"/>
        <v/>
      </c>
      <c r="H17" s="67" t="str">
        <f t="shared" si="3"/>
        <v/>
      </c>
      <c r="I17" s="14">
        <f t="shared" si="4"/>
        <v>45.54</v>
      </c>
      <c r="J17" s="14" t="str">
        <f t="shared" si="5"/>
        <v>2021 Canadian Championships</v>
      </c>
      <c r="K17" s="14">
        <f>IF(COUNT(AM17,AO17,AR17,BQ17,BS17,BV17,CU17,CW17,CZ17)&gt;1,LARGE((AM17,AO17,AR17,BQ17,BS17,BV17,CU17,CW17,CZ17),2),0)</f>
        <v>45.129999999999995</v>
      </c>
      <c r="L17" s="14" t="str">
        <f t="shared" si="6"/>
        <v>2022 Elite Canada</v>
      </c>
      <c r="M17" s="14" t="str">
        <f t="shared" si="7"/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15.9</v>
      </c>
      <c r="Q17" s="38">
        <v>9.5</v>
      </c>
      <c r="R17" s="38">
        <v>1.5</v>
      </c>
      <c r="S17" s="38">
        <v>13.79</v>
      </c>
      <c r="T17" s="38">
        <v>0</v>
      </c>
      <c r="U17" s="38">
        <v>7.1</v>
      </c>
      <c r="V17" s="38">
        <v>4.4000000000000004</v>
      </c>
      <c r="W17" s="38">
        <v>5.7</v>
      </c>
      <c r="X17" s="38">
        <v>6.585</v>
      </c>
      <c r="Y17" s="38">
        <v>0</v>
      </c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45"/>
      <c r="AK17" s="11">
        <f t="shared" si="8"/>
        <v>40.69</v>
      </c>
      <c r="AL17" s="11">
        <f t="shared" si="9"/>
        <v>5.7</v>
      </c>
      <c r="AM17" s="11">
        <f t="shared" si="10"/>
        <v>23.785</v>
      </c>
      <c r="AN17" s="11" t="str">
        <f t="shared" si="11"/>
        <v/>
      </c>
      <c r="AO17" s="11" t="str">
        <f t="shared" si="12"/>
        <v/>
      </c>
      <c r="AP17" s="11">
        <f t="shared" si="13"/>
        <v>64.474999999999994</v>
      </c>
      <c r="AQ17" s="11" t="str">
        <f t="shared" si="14"/>
        <v/>
      </c>
      <c r="AR17" s="11" t="str">
        <f t="shared" si="15"/>
        <v/>
      </c>
      <c r="AS17" s="11">
        <f t="shared" si="16"/>
        <v>64.474999999999994</v>
      </c>
      <c r="AT17" s="42">
        <v>16.7</v>
      </c>
      <c r="AU17" s="42">
        <v>9.8000000000000007</v>
      </c>
      <c r="AV17" s="42">
        <v>1.5</v>
      </c>
      <c r="AW17" s="42">
        <v>13.99</v>
      </c>
      <c r="AX17" s="42">
        <v>0</v>
      </c>
      <c r="AY17" s="42">
        <v>14.1</v>
      </c>
      <c r="AZ17" s="42">
        <v>9.1999999999999993</v>
      </c>
      <c r="BA17" s="42">
        <v>9.1</v>
      </c>
      <c r="BB17" s="42">
        <v>13.14</v>
      </c>
      <c r="BC17" s="42">
        <v>0</v>
      </c>
      <c r="BD17" s="42"/>
      <c r="BE17" s="42"/>
      <c r="BF17" s="42"/>
      <c r="BG17" s="42"/>
      <c r="BH17" s="42"/>
      <c r="BI17" s="42">
        <v>13.5</v>
      </c>
      <c r="BJ17" s="42">
        <v>8.9</v>
      </c>
      <c r="BK17" s="42">
        <v>8.5</v>
      </c>
      <c r="BL17" s="42">
        <v>13.355</v>
      </c>
      <c r="BM17" s="42">
        <v>0.3</v>
      </c>
      <c r="BN17" s="46"/>
      <c r="BO17" s="14">
        <f t="shared" si="17"/>
        <v>41.99</v>
      </c>
      <c r="BP17" s="14">
        <f t="shared" si="18"/>
        <v>9.1</v>
      </c>
      <c r="BQ17" s="14">
        <f t="shared" si="19"/>
        <v>45.54</v>
      </c>
      <c r="BR17" s="14" t="str">
        <f t="shared" si="20"/>
        <v/>
      </c>
      <c r="BS17" s="14" t="str">
        <f t="shared" si="21"/>
        <v/>
      </c>
      <c r="BT17" s="14">
        <f t="shared" si="22"/>
        <v>87.53</v>
      </c>
      <c r="BU17" s="14">
        <f t="shared" si="23"/>
        <v>8.5</v>
      </c>
      <c r="BV17" s="14">
        <f t="shared" si="24"/>
        <v>43.954999999999998</v>
      </c>
      <c r="BW17" s="14">
        <f t="shared" si="25"/>
        <v>131.48500000000001</v>
      </c>
      <c r="BX17" s="38">
        <v>14.1</v>
      </c>
      <c r="BY17" s="38">
        <v>9.6</v>
      </c>
      <c r="BZ17" s="38">
        <v>1.4</v>
      </c>
      <c r="CA17" s="38">
        <v>13.97</v>
      </c>
      <c r="CB17" s="38">
        <v>4</v>
      </c>
      <c r="CC17" s="38">
        <v>13.9</v>
      </c>
      <c r="CD17" s="38">
        <v>9</v>
      </c>
      <c r="CE17" s="38">
        <v>9</v>
      </c>
      <c r="CF17" s="38">
        <v>13.23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 t="shared" si="26"/>
        <v>35.07</v>
      </c>
      <c r="CT17" s="11">
        <f t="shared" si="27"/>
        <v>9</v>
      </c>
      <c r="CU17" s="11">
        <f t="shared" si="28"/>
        <v>45.129999999999995</v>
      </c>
      <c r="CV17" s="11" t="str">
        <f t="shared" si="29"/>
        <v/>
      </c>
      <c r="CW17" s="11" t="str">
        <f t="shared" si="30"/>
        <v/>
      </c>
      <c r="CX17" s="11">
        <f t="shared" si="31"/>
        <v>80.199999999999989</v>
      </c>
      <c r="CY17" s="11" t="str">
        <f t="shared" si="32"/>
        <v/>
      </c>
      <c r="CZ17" s="11" t="str">
        <f t="shared" si="33"/>
        <v/>
      </c>
      <c r="DA17" s="11">
        <f t="shared" si="34"/>
        <v>80.199999999999989</v>
      </c>
      <c r="DB17" s="19" t="str">
        <f t="shared" si="35"/>
        <v/>
      </c>
      <c r="DC17" s="19" t="str">
        <f t="shared" si="36"/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 t="shared" si="37"/>
        <v/>
      </c>
      <c r="DT17" s="11" t="str">
        <f t="shared" si="38"/>
        <v/>
      </c>
      <c r="DU17" s="11" t="str">
        <f t="shared" si="39"/>
        <v/>
      </c>
      <c r="DV17" s="11" t="str">
        <f t="shared" si="40"/>
        <v/>
      </c>
      <c r="DW17" s="11" t="str">
        <f t="shared" si="41"/>
        <v/>
      </c>
      <c r="DX17" s="11" t="str">
        <f t="shared" si="42"/>
        <v/>
      </c>
      <c r="DY17" s="11" t="str">
        <f t="shared" si="43"/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 t="shared" si="44"/>
        <v/>
      </c>
      <c r="EP17" s="14" t="str">
        <f t="shared" si="45"/>
        <v/>
      </c>
      <c r="EQ17" s="14" t="str">
        <f t="shared" si="46"/>
        <v/>
      </c>
      <c r="ER17" s="14" t="str">
        <f t="shared" si="47"/>
        <v/>
      </c>
      <c r="ES17" s="14" t="str">
        <f t="shared" si="48"/>
        <v/>
      </c>
      <c r="ET17" s="14" t="str">
        <f t="shared" si="49"/>
        <v/>
      </c>
      <c r="EU17" s="14" t="str">
        <f t="shared" si="50"/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 t="shared" si="51"/>
        <v/>
      </c>
      <c r="FL17" s="11" t="str">
        <f t="shared" si="52"/>
        <v/>
      </c>
      <c r="FM17" s="11" t="str">
        <f t="shared" si="53"/>
        <v/>
      </c>
      <c r="FN17" s="11" t="str">
        <f t="shared" si="54"/>
        <v/>
      </c>
      <c r="FO17" s="11" t="str">
        <f t="shared" si="55"/>
        <v/>
      </c>
      <c r="FP17" s="11" t="str">
        <f t="shared" si="56"/>
        <v/>
      </c>
      <c r="FQ17" s="11" t="str">
        <f t="shared" si="57"/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 t="shared" si="58"/>
        <v/>
      </c>
      <c r="GH17" s="14" t="str">
        <f t="shared" si="59"/>
        <v/>
      </c>
      <c r="GI17" s="14" t="str">
        <f t="shared" si="60"/>
        <v/>
      </c>
      <c r="GJ17" s="14" t="str">
        <f t="shared" si="61"/>
        <v/>
      </c>
      <c r="GK17" s="14" t="str">
        <f t="shared" si="62"/>
        <v/>
      </c>
      <c r="GL17" s="14" t="str">
        <f t="shared" si="63"/>
        <v/>
      </c>
      <c r="GM17" s="14" t="str">
        <f t="shared" si="64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 t="shared" si="65"/>
        <v/>
      </c>
      <c r="HD17" s="11" t="str">
        <f t="shared" si="66"/>
        <v/>
      </c>
      <c r="HE17" s="11" t="str">
        <f t="shared" si="67"/>
        <v/>
      </c>
      <c r="HF17" s="11" t="str">
        <f t="shared" si="68"/>
        <v/>
      </c>
      <c r="HG17" s="11" t="str">
        <f t="shared" si="69"/>
        <v/>
      </c>
      <c r="HH17" s="11" t="str">
        <f t="shared" si="70"/>
        <v/>
      </c>
      <c r="HI17" s="11" t="str">
        <f t="shared" si="71"/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 t="shared" si="72"/>
        <v/>
      </c>
      <c r="HZ17" s="14" t="str">
        <f t="shared" si="73"/>
        <v/>
      </c>
      <c r="IA17" s="14" t="str">
        <f t="shared" si="74"/>
        <v/>
      </c>
      <c r="IB17" s="14" t="str">
        <f t="shared" si="75"/>
        <v/>
      </c>
      <c r="IC17" s="14" t="str">
        <f t="shared" si="76"/>
        <v/>
      </c>
      <c r="ID17" s="14" t="str">
        <f t="shared" si="77"/>
        <v/>
      </c>
      <c r="IE17" s="14" t="str">
        <f t="shared" si="78"/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 t="shared" si="79"/>
        <v/>
      </c>
      <c r="IV17" s="11" t="str">
        <f t="shared" si="80"/>
        <v/>
      </c>
      <c r="IW17" s="11" t="str">
        <f t="shared" si="81"/>
        <v/>
      </c>
      <c r="IX17" s="11" t="str">
        <f t="shared" si="82"/>
        <v/>
      </c>
      <c r="IY17" s="11" t="str">
        <f t="shared" si="83"/>
        <v/>
      </c>
      <c r="IZ17" s="11" t="str">
        <f t="shared" si="84"/>
        <v/>
      </c>
      <c r="JA17" s="11" t="str">
        <f t="shared" si="85"/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 t="shared" si="86"/>
        <v/>
      </c>
      <c r="JR17" s="14" t="str">
        <f t="shared" si="87"/>
        <v/>
      </c>
      <c r="JS17" s="14" t="str">
        <f t="shared" si="88"/>
        <v/>
      </c>
      <c r="JT17" s="14" t="str">
        <f t="shared" si="89"/>
        <v/>
      </c>
      <c r="JU17" s="14" t="str">
        <f t="shared" si="90"/>
        <v/>
      </c>
      <c r="JV17" s="14" t="str">
        <f t="shared" si="91"/>
        <v/>
      </c>
      <c r="JW17" s="14" t="str">
        <f t="shared" si="92"/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 t="shared" si="93"/>
        <v/>
      </c>
      <c r="KN17" s="11" t="str">
        <f t="shared" si="94"/>
        <v/>
      </c>
      <c r="KO17" s="11" t="str">
        <f t="shared" si="95"/>
        <v/>
      </c>
      <c r="KP17" s="11" t="str">
        <f t="shared" si="96"/>
        <v/>
      </c>
      <c r="KQ17" s="11" t="str">
        <f t="shared" si="97"/>
        <v/>
      </c>
      <c r="KR17" s="11" t="str">
        <f t="shared" si="98"/>
        <v/>
      </c>
      <c r="KS17" s="11" t="str">
        <f t="shared" si="99"/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 t="shared" si="100"/>
        <v/>
      </c>
      <c r="LJ17" s="14" t="str">
        <f t="shared" si="101"/>
        <v/>
      </c>
      <c r="LK17" s="14" t="str">
        <f t="shared" si="102"/>
        <v/>
      </c>
      <c r="LL17" s="14" t="str">
        <f t="shared" si="103"/>
        <v/>
      </c>
      <c r="LM17" s="14" t="str">
        <f t="shared" si="104"/>
        <v/>
      </c>
      <c r="LN17" s="14" t="str">
        <f t="shared" si="105"/>
        <v/>
      </c>
      <c r="LO17" s="14" t="str">
        <f t="shared" si="106"/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 t="shared" si="107"/>
        <v/>
      </c>
      <c r="MF17" s="11" t="str">
        <f t="shared" si="108"/>
        <v/>
      </c>
      <c r="MG17" s="11" t="str">
        <f t="shared" si="109"/>
        <v/>
      </c>
      <c r="MH17" s="11" t="str">
        <f t="shared" si="110"/>
        <v/>
      </c>
      <c r="MI17" s="11" t="str">
        <f t="shared" si="111"/>
        <v/>
      </c>
      <c r="MJ17" s="11" t="str">
        <f t="shared" si="112"/>
        <v/>
      </c>
      <c r="MK17" s="11" t="str">
        <f t="shared" si="113"/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 t="shared" si="114"/>
        <v/>
      </c>
      <c r="NB17" s="14" t="str">
        <f t="shared" si="115"/>
        <v/>
      </c>
      <c r="NC17" s="14" t="str">
        <f t="shared" si="116"/>
        <v/>
      </c>
      <c r="ND17" s="14" t="str">
        <f t="shared" si="117"/>
        <v/>
      </c>
      <c r="NE17" s="14" t="str">
        <f t="shared" si="118"/>
        <v/>
      </c>
      <c r="NF17" s="14" t="str">
        <f t="shared" si="119"/>
        <v/>
      </c>
      <c r="NG17" s="14" t="str">
        <f t="shared" si="120"/>
        <v/>
      </c>
      <c r="NH17" s="38">
        <f t="shared" si="121"/>
        <v>15.399999999999999</v>
      </c>
      <c r="NI17" s="38">
        <f t="shared" si="122"/>
        <v>9.6999999999999993</v>
      </c>
      <c r="NJ17" s="38">
        <f t="shared" si="123"/>
        <v>1.45</v>
      </c>
      <c r="NK17" s="38">
        <f t="shared" si="124"/>
        <v>13.98</v>
      </c>
      <c r="NL17" s="38">
        <f t="shared" si="125"/>
        <v>2</v>
      </c>
      <c r="NM17" s="38">
        <f t="shared" si="126"/>
        <v>14</v>
      </c>
      <c r="NN17" s="38">
        <f t="shared" si="127"/>
        <v>9.1</v>
      </c>
      <c r="NO17" s="38">
        <f t="shared" si="128"/>
        <v>9.0500000000000007</v>
      </c>
      <c r="NP17" s="38">
        <f t="shared" si="129"/>
        <v>13.185</v>
      </c>
      <c r="NQ17" s="38">
        <f t="shared" si="130"/>
        <v>0</v>
      </c>
      <c r="NR17" s="38">
        <f t="shared" si="131"/>
        <v>0</v>
      </c>
      <c r="NS17" s="38">
        <f t="shared" si="132"/>
        <v>0</v>
      </c>
      <c r="NT17" s="38">
        <f t="shared" si="133"/>
        <v>0</v>
      </c>
      <c r="NU17" s="38">
        <f t="shared" si="134"/>
        <v>0</v>
      </c>
      <c r="NV17" s="38">
        <f t="shared" si="135"/>
        <v>0</v>
      </c>
      <c r="NW17" s="38">
        <f t="shared" si="136"/>
        <v>6.75</v>
      </c>
      <c r="NX17" s="38">
        <f t="shared" si="137"/>
        <v>4.45</v>
      </c>
      <c r="NY17" s="38">
        <f t="shared" si="138"/>
        <v>4.25</v>
      </c>
      <c r="NZ17" s="38">
        <f t="shared" si="139"/>
        <v>6.6775000000000002</v>
      </c>
      <c r="OA17" s="38">
        <f t="shared" si="140"/>
        <v>0.15</v>
      </c>
      <c r="OB17" s="45" t="s">
        <v>46</v>
      </c>
      <c r="OC17" s="11">
        <f t="shared" si="141"/>
        <v>38.53</v>
      </c>
      <c r="OD17" s="11">
        <f t="shared" si="142"/>
        <v>9.0500000000000007</v>
      </c>
      <c r="OE17" s="11">
        <f t="shared" si="143"/>
        <v>45.335000000000008</v>
      </c>
      <c r="OF17" s="11" t="str">
        <f t="shared" si="144"/>
        <v/>
      </c>
      <c r="OG17" s="11" t="str">
        <f t="shared" si="145"/>
        <v/>
      </c>
      <c r="OH17" s="11">
        <f t="shared" si="146"/>
        <v>83.865000000000009</v>
      </c>
      <c r="OI17" s="11">
        <f t="shared" si="147"/>
        <v>4.25</v>
      </c>
      <c r="OJ17" s="11">
        <f t="shared" ref="OJ17" si="168">IF(SUM(NW17:NZ17)-OA17&gt;0,SUM(NW17:NZ17)-OA17,"")</f>
        <v>21.977499999999999</v>
      </c>
      <c r="OK17" s="11">
        <f t="shared" ref="OK17" si="169">IF(SUM(OH17,OJ17)&gt;0,SUM(OH17,OJ17),"")</f>
        <v>105.8425</v>
      </c>
    </row>
    <row r="18" spans="1:401" x14ac:dyDescent="0.2">
      <c r="A18" s="5" t="str" cm="1">
        <f t="array" ref="A18">IF(AND(F18="P",G18="P"),SUMPRODUCT((F$4:F$29="P")*(G$4:G$29="P")*(E$4:E$29&gt;E18))+1,IF(G18="P",SUMPRODUCT((F$4:F$29="")*(G$4:G$29="P")*(E$4:E$29&gt;E18))+1+SUMPRODUCT((F$4:F$29="P")*(G$4:G$29="P")),""))</f>
        <v/>
      </c>
      <c r="B18" s="6" t="s">
        <v>116</v>
      </c>
      <c r="C18" s="7" t="s">
        <v>6</v>
      </c>
      <c r="D18" s="22">
        <v>2003</v>
      </c>
      <c r="E18" s="15">
        <f t="shared" si="0"/>
        <v>89.10499999999999</v>
      </c>
      <c r="F18" s="3" t="str">
        <f t="shared" si="1"/>
        <v/>
      </c>
      <c r="G18" s="3" t="str">
        <f t="shared" si="2"/>
        <v/>
      </c>
      <c r="H18" s="67" t="str">
        <f t="shared" si="3"/>
        <v/>
      </c>
      <c r="I18" s="14">
        <f t="shared" si="4"/>
        <v>46.384999999999991</v>
      </c>
      <c r="J18" s="14" t="str">
        <f t="shared" si="5"/>
        <v>2021 Canadian Championships</v>
      </c>
      <c r="K18" s="14">
        <f>IF(COUNT(AM18,AO18,AR18,BQ18,BS18,BV18,CU18,CW18,CZ18)&gt;1,LARGE((AM18,AO18,AR18,BQ18,BS18,BV18,CU18,CW18,CZ18),2),0)</f>
        <v>42.72</v>
      </c>
      <c r="L18" s="14" t="str">
        <f t="shared" si="6"/>
        <v>2021 Canadian Championships</v>
      </c>
      <c r="M18" s="14" t="str">
        <f t="shared" si="7"/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>
        <v>7.2</v>
      </c>
      <c r="Q18" s="38">
        <v>4.5999999999999996</v>
      </c>
      <c r="R18" s="38">
        <v>1.3</v>
      </c>
      <c r="S18" s="38">
        <v>7.3150000000000004</v>
      </c>
      <c r="T18" s="38">
        <v>0</v>
      </c>
      <c r="U18" s="38">
        <v>2.8</v>
      </c>
      <c r="V18" s="38">
        <v>1.8</v>
      </c>
      <c r="W18" s="38">
        <v>2.2999999999999998</v>
      </c>
      <c r="X18" s="38">
        <v>2.98</v>
      </c>
      <c r="Y18" s="38">
        <v>0</v>
      </c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>
        <f t="shared" si="8"/>
        <v>20.415000000000003</v>
      </c>
      <c r="AL18" s="11">
        <f t="shared" si="9"/>
        <v>2.2999999999999998</v>
      </c>
      <c r="AM18" s="11">
        <f t="shared" si="10"/>
        <v>9.879999999999999</v>
      </c>
      <c r="AN18" s="11" t="str">
        <f t="shared" si="11"/>
        <v/>
      </c>
      <c r="AO18" s="11" t="str">
        <f t="shared" si="12"/>
        <v/>
      </c>
      <c r="AP18" s="11">
        <f t="shared" si="13"/>
        <v>30.295000000000002</v>
      </c>
      <c r="AQ18" s="11" t="str">
        <f t="shared" si="14"/>
        <v/>
      </c>
      <c r="AR18" s="11" t="str">
        <f t="shared" si="15"/>
        <v/>
      </c>
      <c r="AS18" s="11">
        <f t="shared" si="16"/>
        <v>30.295000000000002</v>
      </c>
      <c r="AT18" s="42">
        <v>15</v>
      </c>
      <c r="AU18" s="42">
        <v>9.4</v>
      </c>
      <c r="AV18" s="42">
        <v>2.1</v>
      </c>
      <c r="AW18" s="42">
        <v>14.525</v>
      </c>
      <c r="AX18" s="42">
        <v>0</v>
      </c>
      <c r="AY18" s="42">
        <v>11.9</v>
      </c>
      <c r="AZ18" s="42">
        <v>8.9</v>
      </c>
      <c r="BA18" s="42">
        <v>8.8000000000000007</v>
      </c>
      <c r="BB18" s="42">
        <v>13.12</v>
      </c>
      <c r="BC18" s="42">
        <v>0</v>
      </c>
      <c r="BD18" s="42"/>
      <c r="BE18" s="42"/>
      <c r="BF18" s="42"/>
      <c r="BG18" s="42"/>
      <c r="BH18" s="42"/>
      <c r="BI18" s="42">
        <v>14.6</v>
      </c>
      <c r="BJ18" s="42">
        <v>9.1999999999999993</v>
      </c>
      <c r="BK18" s="42">
        <v>8.8000000000000007</v>
      </c>
      <c r="BL18" s="42">
        <v>13.785</v>
      </c>
      <c r="BM18" s="42">
        <v>0</v>
      </c>
      <c r="BN18" s="46"/>
      <c r="BO18" s="14">
        <f t="shared" si="17"/>
        <v>41.024999999999999</v>
      </c>
      <c r="BP18" s="14">
        <f t="shared" si="18"/>
        <v>8.8000000000000007</v>
      </c>
      <c r="BQ18" s="14">
        <f t="shared" si="19"/>
        <v>42.72</v>
      </c>
      <c r="BR18" s="14" t="str">
        <f t="shared" si="20"/>
        <v/>
      </c>
      <c r="BS18" s="14" t="str">
        <f t="shared" si="21"/>
        <v/>
      </c>
      <c r="BT18" s="14">
        <f t="shared" si="22"/>
        <v>83.745000000000005</v>
      </c>
      <c r="BU18" s="14">
        <f t="shared" si="23"/>
        <v>8.8000000000000007</v>
      </c>
      <c r="BV18" s="14">
        <f t="shared" si="24"/>
        <v>46.384999999999991</v>
      </c>
      <c r="BW18" s="14">
        <f t="shared" si="25"/>
        <v>130.13</v>
      </c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45"/>
      <c r="CS18" s="11" t="str">
        <f t="shared" si="26"/>
        <v/>
      </c>
      <c r="CT18" s="11" t="str">
        <f t="shared" si="27"/>
        <v/>
      </c>
      <c r="CU18" s="11" t="str">
        <f t="shared" si="28"/>
        <v/>
      </c>
      <c r="CV18" s="11" t="str">
        <f t="shared" si="29"/>
        <v/>
      </c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19" t="str">
        <f t="shared" si="35"/>
        <v/>
      </c>
      <c r="DC18" s="19" t="str">
        <f t="shared" si="36"/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 t="shared" si="37"/>
        <v/>
      </c>
      <c r="DT18" s="11" t="str">
        <f t="shared" si="38"/>
        <v/>
      </c>
      <c r="DU18" s="11" t="str">
        <f t="shared" si="39"/>
        <v/>
      </c>
      <c r="DV18" s="11" t="str">
        <f t="shared" si="40"/>
        <v/>
      </c>
      <c r="DW18" s="11" t="str">
        <f t="shared" si="41"/>
        <v/>
      </c>
      <c r="DX18" s="11" t="str">
        <f t="shared" si="42"/>
        <v/>
      </c>
      <c r="DY18" s="11" t="str">
        <f t="shared" si="43"/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 t="shared" si="44"/>
        <v/>
      </c>
      <c r="EP18" s="14" t="str">
        <f t="shared" si="45"/>
        <v/>
      </c>
      <c r="EQ18" s="14" t="str">
        <f t="shared" si="46"/>
        <v/>
      </c>
      <c r="ER18" s="14" t="str">
        <f t="shared" si="47"/>
        <v/>
      </c>
      <c r="ES18" s="14" t="str">
        <f t="shared" si="48"/>
        <v/>
      </c>
      <c r="ET18" s="14" t="str">
        <f t="shared" si="49"/>
        <v/>
      </c>
      <c r="EU18" s="14" t="str">
        <f t="shared" si="50"/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 t="shared" si="51"/>
        <v/>
      </c>
      <c r="FL18" s="11" t="str">
        <f t="shared" si="52"/>
        <v/>
      </c>
      <c r="FM18" s="11" t="str">
        <f t="shared" si="53"/>
        <v/>
      </c>
      <c r="FN18" s="11" t="str">
        <f t="shared" si="54"/>
        <v/>
      </c>
      <c r="FO18" s="11" t="str">
        <f t="shared" si="55"/>
        <v/>
      </c>
      <c r="FP18" s="11" t="str">
        <f t="shared" si="56"/>
        <v/>
      </c>
      <c r="FQ18" s="11" t="str">
        <f t="shared" si="57"/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 t="shared" si="58"/>
        <v/>
      </c>
      <c r="GH18" s="14" t="str">
        <f t="shared" si="59"/>
        <v/>
      </c>
      <c r="GI18" s="14" t="str">
        <f t="shared" si="60"/>
        <v/>
      </c>
      <c r="GJ18" s="14" t="str">
        <f t="shared" si="61"/>
        <v/>
      </c>
      <c r="GK18" s="14" t="str">
        <f t="shared" si="62"/>
        <v/>
      </c>
      <c r="GL18" s="14" t="str">
        <f t="shared" si="63"/>
        <v/>
      </c>
      <c r="GM18" s="14" t="str">
        <f t="shared" si="64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 t="shared" si="65"/>
        <v/>
      </c>
      <c r="HD18" s="11" t="str">
        <f t="shared" si="66"/>
        <v/>
      </c>
      <c r="HE18" s="11" t="str">
        <f t="shared" si="67"/>
        <v/>
      </c>
      <c r="HF18" s="11" t="str">
        <f t="shared" si="68"/>
        <v/>
      </c>
      <c r="HG18" s="11" t="str">
        <f t="shared" si="69"/>
        <v/>
      </c>
      <c r="HH18" s="11" t="str">
        <f t="shared" si="70"/>
        <v/>
      </c>
      <c r="HI18" s="11" t="str">
        <f t="shared" si="71"/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 t="shared" si="72"/>
        <v/>
      </c>
      <c r="HZ18" s="14" t="str">
        <f t="shared" si="73"/>
        <v/>
      </c>
      <c r="IA18" s="14" t="str">
        <f t="shared" si="74"/>
        <v/>
      </c>
      <c r="IB18" s="14" t="str">
        <f t="shared" si="75"/>
        <v/>
      </c>
      <c r="IC18" s="14" t="str">
        <f t="shared" si="76"/>
        <v/>
      </c>
      <c r="ID18" s="14" t="str">
        <f t="shared" si="77"/>
        <v/>
      </c>
      <c r="IE18" s="14" t="str">
        <f t="shared" si="78"/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 t="shared" si="79"/>
        <v/>
      </c>
      <c r="IV18" s="11" t="str">
        <f t="shared" si="80"/>
        <v/>
      </c>
      <c r="IW18" s="11" t="str">
        <f t="shared" si="81"/>
        <v/>
      </c>
      <c r="IX18" s="11" t="str">
        <f t="shared" si="82"/>
        <v/>
      </c>
      <c r="IY18" s="11" t="str">
        <f t="shared" si="83"/>
        <v/>
      </c>
      <c r="IZ18" s="11" t="str">
        <f t="shared" si="84"/>
        <v/>
      </c>
      <c r="JA18" s="11" t="str">
        <f t="shared" si="85"/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 t="shared" si="86"/>
        <v/>
      </c>
      <c r="JR18" s="14" t="str">
        <f t="shared" si="87"/>
        <v/>
      </c>
      <c r="JS18" s="14" t="str">
        <f t="shared" si="88"/>
        <v/>
      </c>
      <c r="JT18" s="14" t="str">
        <f t="shared" si="89"/>
        <v/>
      </c>
      <c r="JU18" s="14" t="str">
        <f t="shared" si="90"/>
        <v/>
      </c>
      <c r="JV18" s="14" t="str">
        <f t="shared" si="91"/>
        <v/>
      </c>
      <c r="JW18" s="14" t="str">
        <f t="shared" si="92"/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 t="shared" si="93"/>
        <v/>
      </c>
      <c r="KN18" s="11" t="str">
        <f t="shared" si="94"/>
        <v/>
      </c>
      <c r="KO18" s="11" t="str">
        <f t="shared" si="95"/>
        <v/>
      </c>
      <c r="KP18" s="11" t="str">
        <f t="shared" si="96"/>
        <v/>
      </c>
      <c r="KQ18" s="11" t="str">
        <f t="shared" si="97"/>
        <v/>
      </c>
      <c r="KR18" s="11" t="str">
        <f t="shared" si="98"/>
        <v/>
      </c>
      <c r="KS18" s="11" t="str">
        <f t="shared" si="99"/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 t="shared" si="100"/>
        <v/>
      </c>
      <c r="LJ18" s="14" t="str">
        <f t="shared" si="101"/>
        <v/>
      </c>
      <c r="LK18" s="14" t="str">
        <f t="shared" si="102"/>
        <v/>
      </c>
      <c r="LL18" s="14" t="str">
        <f t="shared" si="103"/>
        <v/>
      </c>
      <c r="LM18" s="14" t="str">
        <f t="shared" si="104"/>
        <v/>
      </c>
      <c r="LN18" s="14" t="str">
        <f t="shared" si="105"/>
        <v/>
      </c>
      <c r="LO18" s="14" t="str">
        <f t="shared" si="106"/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 t="shared" si="107"/>
        <v/>
      </c>
      <c r="MF18" s="11" t="str">
        <f t="shared" si="108"/>
        <v/>
      </c>
      <c r="MG18" s="11" t="str">
        <f t="shared" si="109"/>
        <v/>
      </c>
      <c r="MH18" s="11" t="str">
        <f t="shared" si="110"/>
        <v/>
      </c>
      <c r="MI18" s="11" t="str">
        <f t="shared" si="111"/>
        <v/>
      </c>
      <c r="MJ18" s="11" t="str">
        <f t="shared" si="112"/>
        <v/>
      </c>
      <c r="MK18" s="11" t="str">
        <f t="shared" si="113"/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 t="shared" si="114"/>
        <v/>
      </c>
      <c r="NB18" s="14" t="str">
        <f t="shared" si="115"/>
        <v/>
      </c>
      <c r="NC18" s="14" t="str">
        <f t="shared" si="116"/>
        <v/>
      </c>
      <c r="ND18" s="14" t="str">
        <f t="shared" si="117"/>
        <v/>
      </c>
      <c r="NE18" s="14" t="str">
        <f t="shared" si="118"/>
        <v/>
      </c>
      <c r="NF18" s="14" t="str">
        <f t="shared" si="119"/>
        <v/>
      </c>
      <c r="NG18" s="14" t="str">
        <f t="shared" si="120"/>
        <v/>
      </c>
      <c r="NH18" s="38">
        <f t="shared" si="121"/>
        <v>7.5</v>
      </c>
      <c r="NI18" s="38">
        <f t="shared" si="122"/>
        <v>4.7</v>
      </c>
      <c r="NJ18" s="38">
        <f t="shared" si="123"/>
        <v>1.05</v>
      </c>
      <c r="NK18" s="38">
        <f t="shared" si="124"/>
        <v>7.2625000000000002</v>
      </c>
      <c r="NL18" s="38">
        <f t="shared" si="125"/>
        <v>0</v>
      </c>
      <c r="NM18" s="38">
        <f t="shared" si="126"/>
        <v>5.95</v>
      </c>
      <c r="NN18" s="38">
        <f t="shared" si="127"/>
        <v>4.45</v>
      </c>
      <c r="NO18" s="38">
        <f t="shared" si="128"/>
        <v>4.4000000000000004</v>
      </c>
      <c r="NP18" s="38">
        <f t="shared" si="129"/>
        <v>6.56</v>
      </c>
      <c r="NQ18" s="38">
        <f t="shared" si="130"/>
        <v>0</v>
      </c>
      <c r="NR18" s="38">
        <f t="shared" si="131"/>
        <v>0</v>
      </c>
      <c r="NS18" s="38">
        <f t="shared" si="132"/>
        <v>0</v>
      </c>
      <c r="NT18" s="38">
        <f t="shared" si="133"/>
        <v>0</v>
      </c>
      <c r="NU18" s="38">
        <f t="shared" si="134"/>
        <v>0</v>
      </c>
      <c r="NV18" s="38">
        <f t="shared" si="135"/>
        <v>0</v>
      </c>
      <c r="NW18" s="38">
        <f t="shared" si="136"/>
        <v>7.3</v>
      </c>
      <c r="NX18" s="38">
        <f t="shared" si="137"/>
        <v>4.5999999999999996</v>
      </c>
      <c r="NY18" s="38">
        <f t="shared" si="138"/>
        <v>4.4000000000000004</v>
      </c>
      <c r="NZ18" s="38">
        <f t="shared" si="139"/>
        <v>6.8925000000000001</v>
      </c>
      <c r="OA18" s="38">
        <f t="shared" si="140"/>
        <v>0</v>
      </c>
      <c r="OB18" s="45" t="s">
        <v>46</v>
      </c>
      <c r="OC18" s="11">
        <f t="shared" si="141"/>
        <v>20.512499999999999</v>
      </c>
      <c r="OD18" s="11">
        <f t="shared" si="142"/>
        <v>4.4000000000000004</v>
      </c>
      <c r="OE18" s="11">
        <f t="shared" si="143"/>
        <v>21.36</v>
      </c>
      <c r="OF18" s="11" t="str">
        <f t="shared" si="144"/>
        <v/>
      </c>
      <c r="OG18" s="11" t="str">
        <f t="shared" si="145"/>
        <v/>
      </c>
      <c r="OH18" s="11">
        <f t="shared" si="146"/>
        <v>41.872500000000002</v>
      </c>
      <c r="OI18" s="11">
        <f t="shared" si="147"/>
        <v>4.4000000000000004</v>
      </c>
      <c r="OJ18" s="11">
        <f t="shared" ref="OJ18" si="170">IF(SUM(NW18:NZ18)-OA18&gt;0,SUM(NW18:NZ18)-OA18,"")</f>
        <v>23.192499999999995</v>
      </c>
      <c r="OK18" s="11">
        <f t="shared" ref="OK18" si="171">IF(SUM(OH18,OJ18)&gt;0,SUM(OH18,OJ18),"")</f>
        <v>65.064999999999998</v>
      </c>
    </row>
    <row r="19" spans="1:401" x14ac:dyDescent="0.2">
      <c r="A19" s="5" t="str" cm="1">
        <f t="array" ref="A19">IF(AND(F19="P",G19="P"),SUMPRODUCT((F$4:F$29="P")*(G$4:G$29="P")*(E$4:E$29&gt;E19))+1,IF(G19="P",SUMPRODUCT((F$4:F$29="")*(G$4:G$29="P")*(E$4:E$29&gt;E19))+1+SUMPRODUCT((F$4:F$29="P")*(G$4:G$29="P")),""))</f>
        <v/>
      </c>
      <c r="B19" s="8" t="s">
        <v>154</v>
      </c>
      <c r="C19" s="4" t="s">
        <v>4</v>
      </c>
      <c r="D19" s="22">
        <v>2004</v>
      </c>
      <c r="E19" s="15">
        <f t="shared" si="0"/>
        <v>88.72</v>
      </c>
      <c r="F19" s="3" t="str">
        <f t="shared" si="1"/>
        <v/>
      </c>
      <c r="G19" s="3" t="str">
        <f t="shared" si="2"/>
        <v/>
      </c>
      <c r="H19" s="67" t="str">
        <f t="shared" si="3"/>
        <v/>
      </c>
      <c r="I19" s="14">
        <f t="shared" si="4"/>
        <v>46.64</v>
      </c>
      <c r="J19" s="14" t="str">
        <f t="shared" si="5"/>
        <v>2022 Elite Canada</v>
      </c>
      <c r="K19" s="14">
        <f>IF(COUNT(AM19,AO19,AR19,BQ19,BS19,BV19,CU19,CW19,CZ19)&gt;1,LARGE((AM19,AO19,AR19,BQ19,BS19,BV19,CU19,CW19,CZ19),2),0)</f>
        <v>42.08</v>
      </c>
      <c r="L19" s="14" t="str">
        <f t="shared" si="6"/>
        <v>2022 Elite Canada</v>
      </c>
      <c r="M19" s="14" t="str">
        <f t="shared" si="7"/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45"/>
      <c r="AK19" s="11" t="str">
        <f t="shared" si="8"/>
        <v/>
      </c>
      <c r="AL19" s="11" t="str">
        <f t="shared" si="9"/>
        <v/>
      </c>
      <c r="AM19" s="11" t="str">
        <f t="shared" si="10"/>
        <v/>
      </c>
      <c r="AN19" s="11" t="str">
        <f t="shared" si="11"/>
        <v/>
      </c>
      <c r="AO19" s="11" t="str">
        <f t="shared" si="12"/>
        <v/>
      </c>
      <c r="AP19" s="11" t="str">
        <f t="shared" si="13"/>
        <v/>
      </c>
      <c r="AQ19" s="11" t="str">
        <f t="shared" si="14"/>
        <v/>
      </c>
      <c r="AR19" s="11" t="str">
        <f t="shared" si="15"/>
        <v/>
      </c>
      <c r="AS19" s="11" t="str">
        <f t="shared" si="16"/>
        <v/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 t="shared" si="17"/>
        <v/>
      </c>
      <c r="BP19" s="14" t="str">
        <f t="shared" si="18"/>
        <v/>
      </c>
      <c r="BQ19" s="14" t="str">
        <f t="shared" si="19"/>
        <v/>
      </c>
      <c r="BR19" s="14" t="str">
        <f t="shared" si="20"/>
        <v/>
      </c>
      <c r="BS19" s="14" t="str">
        <f t="shared" si="21"/>
        <v/>
      </c>
      <c r="BT19" s="14" t="str">
        <f t="shared" si="22"/>
        <v/>
      </c>
      <c r="BU19" s="14" t="str">
        <f t="shared" si="23"/>
        <v/>
      </c>
      <c r="BV19" s="14" t="str">
        <f t="shared" si="24"/>
        <v/>
      </c>
      <c r="BW19" s="14" t="str">
        <f t="shared" si="25"/>
        <v/>
      </c>
      <c r="BX19" s="38">
        <v>16.399999999999999</v>
      </c>
      <c r="BY19" s="38">
        <v>9.6</v>
      </c>
      <c r="BZ19" s="38">
        <v>1.5</v>
      </c>
      <c r="CA19" s="38">
        <v>13.7</v>
      </c>
      <c r="CB19" s="38">
        <v>0</v>
      </c>
      <c r="CC19" s="38">
        <v>15.3</v>
      </c>
      <c r="CD19" s="38">
        <v>9.3000000000000007</v>
      </c>
      <c r="CE19" s="38">
        <v>8.5</v>
      </c>
      <c r="CF19" s="38">
        <v>13.84</v>
      </c>
      <c r="CG19" s="38">
        <v>0.3</v>
      </c>
      <c r="CH19" s="38"/>
      <c r="CI19" s="38"/>
      <c r="CJ19" s="38"/>
      <c r="CK19" s="38"/>
      <c r="CL19" s="38"/>
      <c r="CM19" s="38">
        <v>12.2</v>
      </c>
      <c r="CN19" s="38">
        <v>9.3000000000000007</v>
      </c>
      <c r="CO19" s="38">
        <v>7.9</v>
      </c>
      <c r="CP19" s="38">
        <v>13.58</v>
      </c>
      <c r="CQ19" s="38">
        <v>0.9</v>
      </c>
      <c r="CR19" s="45"/>
      <c r="CS19" s="11">
        <f t="shared" si="26"/>
        <v>41.2</v>
      </c>
      <c r="CT19" s="11">
        <f t="shared" si="27"/>
        <v>8.5</v>
      </c>
      <c r="CU19" s="11">
        <f t="shared" si="28"/>
        <v>46.64</v>
      </c>
      <c r="CV19" s="11" t="str">
        <f t="shared" si="29"/>
        <v/>
      </c>
      <c r="CW19" s="11" t="str">
        <f t="shared" si="30"/>
        <v/>
      </c>
      <c r="CX19" s="11">
        <f t="shared" si="31"/>
        <v>87.84</v>
      </c>
      <c r="CY19" s="11">
        <f t="shared" si="32"/>
        <v>7.9</v>
      </c>
      <c r="CZ19" s="11">
        <f t="shared" si="33"/>
        <v>42.08</v>
      </c>
      <c r="DA19" s="11">
        <f t="shared" si="34"/>
        <v>129.92000000000002</v>
      </c>
      <c r="DB19" s="19" t="str">
        <f t="shared" si="35"/>
        <v/>
      </c>
      <c r="DC19" s="19" t="str">
        <f t="shared" si="36"/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 t="shared" si="37"/>
        <v/>
      </c>
      <c r="DT19" s="11" t="str">
        <f t="shared" si="38"/>
        <v/>
      </c>
      <c r="DU19" s="11" t="str">
        <f t="shared" si="39"/>
        <v/>
      </c>
      <c r="DV19" s="11" t="str">
        <f t="shared" si="40"/>
        <v/>
      </c>
      <c r="DW19" s="11" t="str">
        <f t="shared" si="41"/>
        <v/>
      </c>
      <c r="DX19" s="11" t="str">
        <f t="shared" si="42"/>
        <v/>
      </c>
      <c r="DY19" s="11" t="str">
        <f t="shared" si="43"/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 t="shared" si="44"/>
        <v/>
      </c>
      <c r="EP19" s="14" t="str">
        <f t="shared" si="45"/>
        <v/>
      </c>
      <c r="EQ19" s="14" t="str">
        <f t="shared" si="46"/>
        <v/>
      </c>
      <c r="ER19" s="14" t="str">
        <f t="shared" si="47"/>
        <v/>
      </c>
      <c r="ES19" s="14" t="str">
        <f t="shared" si="48"/>
        <v/>
      </c>
      <c r="ET19" s="14" t="str">
        <f t="shared" si="49"/>
        <v/>
      </c>
      <c r="EU19" s="14" t="str">
        <f t="shared" si="50"/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 t="shared" si="51"/>
        <v/>
      </c>
      <c r="FL19" s="11" t="str">
        <f t="shared" si="52"/>
        <v/>
      </c>
      <c r="FM19" s="11" t="str">
        <f t="shared" si="53"/>
        <v/>
      </c>
      <c r="FN19" s="11" t="str">
        <f t="shared" si="54"/>
        <v/>
      </c>
      <c r="FO19" s="11" t="str">
        <f t="shared" si="55"/>
        <v/>
      </c>
      <c r="FP19" s="11" t="str">
        <f t="shared" si="56"/>
        <v/>
      </c>
      <c r="FQ19" s="11" t="str">
        <f t="shared" si="57"/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 t="shared" si="58"/>
        <v/>
      </c>
      <c r="GH19" s="14" t="str">
        <f t="shared" si="59"/>
        <v/>
      </c>
      <c r="GI19" s="14" t="str">
        <f t="shared" si="60"/>
        <v/>
      </c>
      <c r="GJ19" s="14" t="str">
        <f t="shared" si="61"/>
        <v/>
      </c>
      <c r="GK19" s="14" t="str">
        <f t="shared" si="62"/>
        <v/>
      </c>
      <c r="GL19" s="14" t="str">
        <f t="shared" si="63"/>
        <v/>
      </c>
      <c r="GM19" s="14" t="str">
        <f t="shared" si="64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 t="shared" si="65"/>
        <v/>
      </c>
      <c r="HD19" s="11" t="str">
        <f t="shared" si="66"/>
        <v/>
      </c>
      <c r="HE19" s="11" t="str">
        <f t="shared" si="67"/>
        <v/>
      </c>
      <c r="HF19" s="11" t="str">
        <f t="shared" si="68"/>
        <v/>
      </c>
      <c r="HG19" s="11" t="str">
        <f t="shared" si="69"/>
        <v/>
      </c>
      <c r="HH19" s="11" t="str">
        <f t="shared" si="70"/>
        <v/>
      </c>
      <c r="HI19" s="11" t="str">
        <f t="shared" si="71"/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 t="shared" si="72"/>
        <v/>
      </c>
      <c r="HZ19" s="14" t="str">
        <f t="shared" si="73"/>
        <v/>
      </c>
      <c r="IA19" s="14" t="str">
        <f t="shared" si="74"/>
        <v/>
      </c>
      <c r="IB19" s="14" t="str">
        <f t="shared" si="75"/>
        <v/>
      </c>
      <c r="IC19" s="14" t="str">
        <f t="shared" si="76"/>
        <v/>
      </c>
      <c r="ID19" s="14" t="str">
        <f t="shared" si="77"/>
        <v/>
      </c>
      <c r="IE19" s="14" t="str">
        <f t="shared" si="78"/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 t="shared" si="79"/>
        <v/>
      </c>
      <c r="IV19" s="11" t="str">
        <f t="shared" si="80"/>
        <v/>
      </c>
      <c r="IW19" s="11" t="str">
        <f t="shared" si="81"/>
        <v/>
      </c>
      <c r="IX19" s="11" t="str">
        <f t="shared" si="82"/>
        <v/>
      </c>
      <c r="IY19" s="11" t="str">
        <f t="shared" si="83"/>
        <v/>
      </c>
      <c r="IZ19" s="11" t="str">
        <f t="shared" si="84"/>
        <v/>
      </c>
      <c r="JA19" s="11" t="str">
        <f t="shared" si="85"/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 t="shared" si="86"/>
        <v/>
      </c>
      <c r="JR19" s="14" t="str">
        <f t="shared" si="87"/>
        <v/>
      </c>
      <c r="JS19" s="14" t="str">
        <f t="shared" si="88"/>
        <v/>
      </c>
      <c r="JT19" s="14" t="str">
        <f t="shared" si="89"/>
        <v/>
      </c>
      <c r="JU19" s="14" t="str">
        <f t="shared" si="90"/>
        <v/>
      </c>
      <c r="JV19" s="14" t="str">
        <f t="shared" si="91"/>
        <v/>
      </c>
      <c r="JW19" s="14" t="str">
        <f t="shared" si="92"/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 t="shared" si="93"/>
        <v/>
      </c>
      <c r="KN19" s="11" t="str">
        <f t="shared" si="94"/>
        <v/>
      </c>
      <c r="KO19" s="11" t="str">
        <f t="shared" si="95"/>
        <v/>
      </c>
      <c r="KP19" s="11" t="str">
        <f t="shared" si="96"/>
        <v/>
      </c>
      <c r="KQ19" s="11" t="str">
        <f t="shared" si="97"/>
        <v/>
      </c>
      <c r="KR19" s="11" t="str">
        <f t="shared" si="98"/>
        <v/>
      </c>
      <c r="KS19" s="11" t="str">
        <f t="shared" si="99"/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 t="shared" si="100"/>
        <v/>
      </c>
      <c r="LJ19" s="14" t="str">
        <f t="shared" si="101"/>
        <v/>
      </c>
      <c r="LK19" s="14" t="str">
        <f t="shared" si="102"/>
        <v/>
      </c>
      <c r="LL19" s="14" t="str">
        <f t="shared" si="103"/>
        <v/>
      </c>
      <c r="LM19" s="14" t="str">
        <f t="shared" si="104"/>
        <v/>
      </c>
      <c r="LN19" s="14" t="str">
        <f t="shared" si="105"/>
        <v/>
      </c>
      <c r="LO19" s="14" t="str">
        <f t="shared" si="106"/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 t="shared" si="107"/>
        <v/>
      </c>
      <c r="MF19" s="11" t="str">
        <f t="shared" si="108"/>
        <v/>
      </c>
      <c r="MG19" s="11" t="str">
        <f t="shared" si="109"/>
        <v/>
      </c>
      <c r="MH19" s="11" t="str">
        <f t="shared" si="110"/>
        <v/>
      </c>
      <c r="MI19" s="11" t="str">
        <f t="shared" si="111"/>
        <v/>
      </c>
      <c r="MJ19" s="11" t="str">
        <f t="shared" si="112"/>
        <v/>
      </c>
      <c r="MK19" s="11" t="str">
        <f t="shared" si="113"/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 t="shared" si="114"/>
        <v/>
      </c>
      <c r="NB19" s="14" t="str">
        <f t="shared" si="115"/>
        <v/>
      </c>
      <c r="NC19" s="14" t="str">
        <f t="shared" si="116"/>
        <v/>
      </c>
      <c r="ND19" s="14" t="str">
        <f t="shared" si="117"/>
        <v/>
      </c>
      <c r="NE19" s="14" t="str">
        <f t="shared" si="118"/>
        <v/>
      </c>
      <c r="NF19" s="14" t="str">
        <f t="shared" si="119"/>
        <v/>
      </c>
      <c r="NG19" s="14" t="str">
        <f t="shared" si="120"/>
        <v/>
      </c>
      <c r="NH19" s="38">
        <f t="shared" si="121"/>
        <v>8.1999999999999993</v>
      </c>
      <c r="NI19" s="38">
        <f t="shared" si="122"/>
        <v>4.8</v>
      </c>
      <c r="NJ19" s="38">
        <f t="shared" si="123"/>
        <v>0.75</v>
      </c>
      <c r="NK19" s="38">
        <f t="shared" si="124"/>
        <v>6.85</v>
      </c>
      <c r="NL19" s="38">
        <f t="shared" si="125"/>
        <v>0</v>
      </c>
      <c r="NM19" s="38">
        <f t="shared" si="126"/>
        <v>7.65</v>
      </c>
      <c r="NN19" s="38">
        <f t="shared" si="127"/>
        <v>4.6500000000000004</v>
      </c>
      <c r="NO19" s="38">
        <f t="shared" si="128"/>
        <v>4.25</v>
      </c>
      <c r="NP19" s="38">
        <f t="shared" si="129"/>
        <v>6.92</v>
      </c>
      <c r="NQ19" s="38">
        <f t="shared" si="130"/>
        <v>0.15</v>
      </c>
      <c r="NR19" s="38">
        <f t="shared" si="131"/>
        <v>0</v>
      </c>
      <c r="NS19" s="38">
        <f t="shared" si="132"/>
        <v>0</v>
      </c>
      <c r="NT19" s="38">
        <f t="shared" si="133"/>
        <v>0</v>
      </c>
      <c r="NU19" s="38">
        <f t="shared" si="134"/>
        <v>0</v>
      </c>
      <c r="NV19" s="38">
        <f t="shared" si="135"/>
        <v>0</v>
      </c>
      <c r="NW19" s="38">
        <f t="shared" si="136"/>
        <v>6.1</v>
      </c>
      <c r="NX19" s="38">
        <f t="shared" si="137"/>
        <v>4.6500000000000004</v>
      </c>
      <c r="NY19" s="38">
        <f t="shared" si="138"/>
        <v>3.95</v>
      </c>
      <c r="NZ19" s="38">
        <f t="shared" si="139"/>
        <v>6.79</v>
      </c>
      <c r="OA19" s="38">
        <f t="shared" si="140"/>
        <v>0.45</v>
      </c>
      <c r="OB19" s="45" t="s">
        <v>46</v>
      </c>
      <c r="OC19" s="11">
        <f t="shared" si="141"/>
        <v>20.6</v>
      </c>
      <c r="OD19" s="11">
        <f t="shared" si="142"/>
        <v>4.25</v>
      </c>
      <c r="OE19" s="11">
        <f t="shared" si="143"/>
        <v>23.32</v>
      </c>
      <c r="OF19" s="11" t="str">
        <f t="shared" si="144"/>
        <v/>
      </c>
      <c r="OG19" s="11" t="str">
        <f t="shared" si="145"/>
        <v/>
      </c>
      <c r="OH19" s="11">
        <f t="shared" si="146"/>
        <v>43.92</v>
      </c>
      <c r="OI19" s="11">
        <f t="shared" si="147"/>
        <v>3.95</v>
      </c>
      <c r="OJ19" s="11">
        <f t="shared" ref="OJ19" si="172">IF(SUM(NW19:NZ19)-OA19&gt;0,SUM(NW19:NZ19)-OA19,"")</f>
        <v>21.04</v>
      </c>
      <c r="OK19" s="11">
        <f t="shared" ref="OK19" si="173">IF(SUM(OH19,OJ19)&gt;0,SUM(OH19,OJ19),"")</f>
        <v>64.960000000000008</v>
      </c>
    </row>
    <row r="20" spans="1:401" x14ac:dyDescent="0.2">
      <c r="A20" s="5" t="str" cm="1">
        <f t="array" ref="A20">IF(AND(F20="P",G20="P"),SUMPRODUCT((F$4:F$29="P")*(G$4:G$29="P")*(E$4:E$29&gt;E20))+1,IF(G20="P",SUMPRODUCT((F$4:F$29="")*(G$4:G$29="P")*(E$4:E$29&gt;E20))+1+SUMPRODUCT((F$4:F$29="P")*(G$4:G$29="P")),""))</f>
        <v/>
      </c>
      <c r="B20" s="6" t="s">
        <v>90</v>
      </c>
      <c r="C20" s="7" t="s">
        <v>5</v>
      </c>
      <c r="D20" s="5">
        <v>2004</v>
      </c>
      <c r="E20" s="15">
        <f t="shared" si="0"/>
        <v>87.88</v>
      </c>
      <c r="F20" s="3" t="str">
        <f t="shared" si="1"/>
        <v/>
      </c>
      <c r="G20" s="3" t="str">
        <f t="shared" si="2"/>
        <v/>
      </c>
      <c r="H20" s="67" t="str">
        <f t="shared" si="3"/>
        <v/>
      </c>
      <c r="I20" s="14">
        <f t="shared" si="4"/>
        <v>45.725000000000001</v>
      </c>
      <c r="J20" s="14" t="str">
        <f t="shared" si="5"/>
        <v>2021 Canadian Championships</v>
      </c>
      <c r="K20" s="14">
        <f>IF(COUNT(AM20,AO20,AR20,BQ20,BS20,BV20,CU20,CW20,CZ20)&gt;1,LARGE((AM20,AO20,AR20,BQ20,BS20,BV20,CU20,CW20,CZ20),2),0)</f>
        <v>42.155000000000001</v>
      </c>
      <c r="L20" s="14" t="str">
        <f t="shared" si="6"/>
        <v>2021 Elite Canada</v>
      </c>
      <c r="M20" s="14" t="str">
        <f t="shared" si="7"/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15.3</v>
      </c>
      <c r="Q20" s="38">
        <v>9.4</v>
      </c>
      <c r="R20" s="38">
        <v>2</v>
      </c>
      <c r="S20" s="38">
        <v>13.47</v>
      </c>
      <c r="T20" s="38">
        <v>0</v>
      </c>
      <c r="U20" s="38">
        <v>11.9</v>
      </c>
      <c r="V20" s="38">
        <v>9</v>
      </c>
      <c r="W20" s="38">
        <v>8.4</v>
      </c>
      <c r="X20" s="38">
        <v>13.255000000000001</v>
      </c>
      <c r="Y20" s="38">
        <v>0.4</v>
      </c>
      <c r="Z20" s="38"/>
      <c r="AA20" s="38"/>
      <c r="AB20" s="38"/>
      <c r="AC20" s="38"/>
      <c r="AD20" s="38"/>
      <c r="AE20" s="38">
        <v>10.6</v>
      </c>
      <c r="AF20" s="38">
        <v>7.2</v>
      </c>
      <c r="AG20" s="38">
        <v>6.8</v>
      </c>
      <c r="AH20" s="38">
        <v>10.574999999999999</v>
      </c>
      <c r="AI20" s="38">
        <v>0</v>
      </c>
      <c r="AJ20" s="45"/>
      <c r="AK20" s="11">
        <f t="shared" si="8"/>
        <v>40.17</v>
      </c>
      <c r="AL20" s="11">
        <f t="shared" si="9"/>
        <v>8.4</v>
      </c>
      <c r="AM20" s="11">
        <f t="shared" si="10"/>
        <v>42.155000000000001</v>
      </c>
      <c r="AN20" s="11" t="str">
        <f t="shared" si="11"/>
        <v/>
      </c>
      <c r="AO20" s="11" t="str">
        <f t="shared" si="12"/>
        <v/>
      </c>
      <c r="AP20" s="11">
        <f t="shared" si="13"/>
        <v>82.325000000000003</v>
      </c>
      <c r="AQ20" s="11">
        <f t="shared" si="14"/>
        <v>6.8</v>
      </c>
      <c r="AR20" s="11">
        <f t="shared" si="15"/>
        <v>35.174999999999997</v>
      </c>
      <c r="AS20" s="11">
        <f t="shared" si="16"/>
        <v>117.5</v>
      </c>
      <c r="AT20" s="42">
        <v>15.1</v>
      </c>
      <c r="AU20" s="42">
        <v>9.4</v>
      </c>
      <c r="AV20" s="42">
        <v>2</v>
      </c>
      <c r="AW20" s="42">
        <v>13.12</v>
      </c>
      <c r="AX20" s="42">
        <v>0</v>
      </c>
      <c r="AY20" s="42">
        <v>14</v>
      </c>
      <c r="AZ20" s="42">
        <v>9.1999999999999993</v>
      </c>
      <c r="BA20" s="42">
        <v>8.8000000000000007</v>
      </c>
      <c r="BB20" s="42">
        <v>13.725</v>
      </c>
      <c r="BC20" s="42">
        <v>0</v>
      </c>
      <c r="BD20" s="42"/>
      <c r="BE20" s="42"/>
      <c r="BF20" s="42"/>
      <c r="BG20" s="42"/>
      <c r="BH20" s="42"/>
      <c r="BI20" s="42">
        <v>9.4</v>
      </c>
      <c r="BJ20" s="42">
        <v>6.1</v>
      </c>
      <c r="BK20" s="42">
        <v>6.3</v>
      </c>
      <c r="BL20" s="42">
        <v>9.4049999999999994</v>
      </c>
      <c r="BM20" s="42">
        <v>0</v>
      </c>
      <c r="BN20" s="46"/>
      <c r="BO20" s="14">
        <f t="shared" si="17"/>
        <v>39.619999999999997</v>
      </c>
      <c r="BP20" s="14">
        <f t="shared" si="18"/>
        <v>8.8000000000000007</v>
      </c>
      <c r="BQ20" s="14">
        <f t="shared" si="19"/>
        <v>45.725000000000001</v>
      </c>
      <c r="BR20" s="14" t="str">
        <f t="shared" si="20"/>
        <v/>
      </c>
      <c r="BS20" s="14" t="str">
        <f t="shared" si="21"/>
        <v/>
      </c>
      <c r="BT20" s="14">
        <f t="shared" si="22"/>
        <v>85.344999999999999</v>
      </c>
      <c r="BU20" s="14">
        <f t="shared" si="23"/>
        <v>6.3</v>
      </c>
      <c r="BV20" s="14">
        <f t="shared" si="24"/>
        <v>31.204999999999998</v>
      </c>
      <c r="BW20" s="14">
        <f t="shared" si="25"/>
        <v>116.55</v>
      </c>
      <c r="BX20" s="38">
        <v>15.5</v>
      </c>
      <c r="BY20" s="38">
        <v>9.6999999999999993</v>
      </c>
      <c r="BZ20" s="38">
        <v>2</v>
      </c>
      <c r="CA20" s="38">
        <v>13.37</v>
      </c>
      <c r="CB20" s="38">
        <v>0</v>
      </c>
      <c r="CC20" s="38">
        <v>7.8</v>
      </c>
      <c r="CD20" s="38">
        <v>5.6</v>
      </c>
      <c r="CE20" s="38">
        <v>4.5</v>
      </c>
      <c r="CF20" s="38">
        <v>8.18</v>
      </c>
      <c r="CG20" s="38">
        <v>0</v>
      </c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>
        <f t="shared" si="26"/>
        <v>40.57</v>
      </c>
      <c r="CT20" s="11">
        <f t="shared" si="27"/>
        <v>4.5</v>
      </c>
      <c r="CU20" s="11">
        <f t="shared" si="28"/>
        <v>26.08</v>
      </c>
      <c r="CV20" s="11" t="str">
        <f t="shared" si="29"/>
        <v/>
      </c>
      <c r="CW20" s="11" t="str">
        <f t="shared" si="30"/>
        <v/>
      </c>
      <c r="CX20" s="11">
        <f t="shared" si="31"/>
        <v>66.650000000000006</v>
      </c>
      <c r="CY20" s="11" t="str">
        <f t="shared" si="32"/>
        <v/>
      </c>
      <c r="CZ20" s="11" t="str">
        <f t="shared" si="33"/>
        <v/>
      </c>
      <c r="DA20" s="11">
        <f t="shared" si="34"/>
        <v>66.650000000000006</v>
      </c>
      <c r="DB20" s="19" t="str">
        <f t="shared" si="35"/>
        <v/>
      </c>
      <c r="DC20" s="19" t="str">
        <f t="shared" si="36"/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 t="shared" si="37"/>
        <v/>
      </c>
      <c r="DT20" s="11" t="str">
        <f t="shared" si="38"/>
        <v/>
      </c>
      <c r="DU20" s="11" t="str">
        <f t="shared" si="39"/>
        <v/>
      </c>
      <c r="DV20" s="11" t="str">
        <f t="shared" si="40"/>
        <v/>
      </c>
      <c r="DW20" s="11" t="str">
        <f t="shared" si="41"/>
        <v/>
      </c>
      <c r="DX20" s="11" t="str">
        <f t="shared" si="42"/>
        <v/>
      </c>
      <c r="DY20" s="11" t="str">
        <f t="shared" si="43"/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 t="shared" si="44"/>
        <v/>
      </c>
      <c r="EP20" s="14" t="str">
        <f t="shared" si="45"/>
        <v/>
      </c>
      <c r="EQ20" s="14" t="str">
        <f t="shared" si="46"/>
        <v/>
      </c>
      <c r="ER20" s="14" t="str">
        <f t="shared" si="47"/>
        <v/>
      </c>
      <c r="ES20" s="14" t="str">
        <f t="shared" si="48"/>
        <v/>
      </c>
      <c r="ET20" s="14" t="str">
        <f t="shared" si="49"/>
        <v/>
      </c>
      <c r="EU20" s="14" t="str">
        <f t="shared" si="50"/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 t="shared" si="51"/>
        <v/>
      </c>
      <c r="FL20" s="11" t="str">
        <f t="shared" si="52"/>
        <v/>
      </c>
      <c r="FM20" s="11" t="str">
        <f t="shared" si="53"/>
        <v/>
      </c>
      <c r="FN20" s="11" t="str">
        <f t="shared" si="54"/>
        <v/>
      </c>
      <c r="FO20" s="11" t="str">
        <f t="shared" si="55"/>
        <v/>
      </c>
      <c r="FP20" s="11" t="str">
        <f t="shared" si="56"/>
        <v/>
      </c>
      <c r="FQ20" s="11" t="str">
        <f t="shared" si="57"/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 t="shared" si="58"/>
        <v/>
      </c>
      <c r="GH20" s="14" t="str">
        <f t="shared" si="59"/>
        <v/>
      </c>
      <c r="GI20" s="14" t="str">
        <f t="shared" si="60"/>
        <v/>
      </c>
      <c r="GJ20" s="14" t="str">
        <f t="shared" si="61"/>
        <v/>
      </c>
      <c r="GK20" s="14" t="str">
        <f t="shared" si="62"/>
        <v/>
      </c>
      <c r="GL20" s="14" t="str">
        <f t="shared" si="63"/>
        <v/>
      </c>
      <c r="GM20" s="14" t="str">
        <f t="shared" si="64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 t="shared" si="65"/>
        <v/>
      </c>
      <c r="HD20" s="11" t="str">
        <f t="shared" si="66"/>
        <v/>
      </c>
      <c r="HE20" s="11" t="str">
        <f t="shared" si="67"/>
        <v/>
      </c>
      <c r="HF20" s="11" t="str">
        <f t="shared" si="68"/>
        <v/>
      </c>
      <c r="HG20" s="11" t="str">
        <f t="shared" si="69"/>
        <v/>
      </c>
      <c r="HH20" s="11" t="str">
        <f t="shared" si="70"/>
        <v/>
      </c>
      <c r="HI20" s="11" t="str">
        <f t="shared" si="71"/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 t="shared" si="72"/>
        <v/>
      </c>
      <c r="HZ20" s="14" t="str">
        <f t="shared" si="73"/>
        <v/>
      </c>
      <c r="IA20" s="14" t="str">
        <f t="shared" si="74"/>
        <v/>
      </c>
      <c r="IB20" s="14" t="str">
        <f t="shared" si="75"/>
        <v/>
      </c>
      <c r="IC20" s="14" t="str">
        <f t="shared" si="76"/>
        <v/>
      </c>
      <c r="ID20" s="14" t="str">
        <f t="shared" si="77"/>
        <v/>
      </c>
      <c r="IE20" s="14" t="str">
        <f t="shared" si="78"/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 t="shared" si="79"/>
        <v/>
      </c>
      <c r="IV20" s="11" t="str">
        <f t="shared" si="80"/>
        <v/>
      </c>
      <c r="IW20" s="11" t="str">
        <f t="shared" si="81"/>
        <v/>
      </c>
      <c r="IX20" s="11" t="str">
        <f t="shared" si="82"/>
        <v/>
      </c>
      <c r="IY20" s="11" t="str">
        <f t="shared" si="83"/>
        <v/>
      </c>
      <c r="IZ20" s="11" t="str">
        <f t="shared" si="84"/>
        <v/>
      </c>
      <c r="JA20" s="11" t="str">
        <f t="shared" si="85"/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 t="shared" si="86"/>
        <v/>
      </c>
      <c r="JR20" s="14" t="str">
        <f t="shared" si="87"/>
        <v/>
      </c>
      <c r="JS20" s="14" t="str">
        <f t="shared" si="88"/>
        <v/>
      </c>
      <c r="JT20" s="14" t="str">
        <f t="shared" si="89"/>
        <v/>
      </c>
      <c r="JU20" s="14" t="str">
        <f t="shared" si="90"/>
        <v/>
      </c>
      <c r="JV20" s="14" t="str">
        <f t="shared" si="91"/>
        <v/>
      </c>
      <c r="JW20" s="14" t="str">
        <f t="shared" si="92"/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 t="shared" si="93"/>
        <v/>
      </c>
      <c r="KN20" s="11" t="str">
        <f t="shared" si="94"/>
        <v/>
      </c>
      <c r="KO20" s="11" t="str">
        <f t="shared" si="95"/>
        <v/>
      </c>
      <c r="KP20" s="11" t="str">
        <f t="shared" si="96"/>
        <v/>
      </c>
      <c r="KQ20" s="11" t="str">
        <f t="shared" si="97"/>
        <v/>
      </c>
      <c r="KR20" s="11" t="str">
        <f t="shared" si="98"/>
        <v/>
      </c>
      <c r="KS20" s="11" t="str">
        <f t="shared" si="99"/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 t="shared" si="100"/>
        <v/>
      </c>
      <c r="LJ20" s="14" t="str">
        <f t="shared" si="101"/>
        <v/>
      </c>
      <c r="LK20" s="14" t="str">
        <f t="shared" si="102"/>
        <v/>
      </c>
      <c r="LL20" s="14" t="str">
        <f t="shared" si="103"/>
        <v/>
      </c>
      <c r="LM20" s="14" t="str">
        <f t="shared" si="104"/>
        <v/>
      </c>
      <c r="LN20" s="14" t="str">
        <f t="shared" si="105"/>
        <v/>
      </c>
      <c r="LO20" s="14" t="str">
        <f t="shared" si="106"/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 t="shared" si="107"/>
        <v/>
      </c>
      <c r="MF20" s="11" t="str">
        <f t="shared" si="108"/>
        <v/>
      </c>
      <c r="MG20" s="11" t="str">
        <f t="shared" si="109"/>
        <v/>
      </c>
      <c r="MH20" s="11" t="str">
        <f t="shared" si="110"/>
        <v/>
      </c>
      <c r="MI20" s="11" t="str">
        <f t="shared" si="111"/>
        <v/>
      </c>
      <c r="MJ20" s="11" t="str">
        <f t="shared" si="112"/>
        <v/>
      </c>
      <c r="MK20" s="11" t="str">
        <f t="shared" si="113"/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 t="shared" si="114"/>
        <v/>
      </c>
      <c r="NB20" s="14" t="str">
        <f t="shared" si="115"/>
        <v/>
      </c>
      <c r="NC20" s="14" t="str">
        <f t="shared" si="116"/>
        <v/>
      </c>
      <c r="ND20" s="14" t="str">
        <f t="shared" si="117"/>
        <v/>
      </c>
      <c r="NE20" s="14" t="str">
        <f t="shared" si="118"/>
        <v/>
      </c>
      <c r="NF20" s="14" t="str">
        <f t="shared" si="119"/>
        <v/>
      </c>
      <c r="NG20" s="14" t="str">
        <f t="shared" si="120"/>
        <v/>
      </c>
      <c r="NH20" s="38">
        <f t="shared" si="121"/>
        <v>15.3</v>
      </c>
      <c r="NI20" s="38">
        <f t="shared" si="122"/>
        <v>9.5500000000000007</v>
      </c>
      <c r="NJ20" s="38">
        <f t="shared" si="123"/>
        <v>2</v>
      </c>
      <c r="NK20" s="38">
        <f t="shared" si="124"/>
        <v>13.244999999999999</v>
      </c>
      <c r="NL20" s="38">
        <f t="shared" si="125"/>
        <v>0</v>
      </c>
      <c r="NM20" s="38">
        <f t="shared" si="126"/>
        <v>10.9</v>
      </c>
      <c r="NN20" s="38">
        <f t="shared" si="127"/>
        <v>7.3999999999999995</v>
      </c>
      <c r="NO20" s="38">
        <f t="shared" si="128"/>
        <v>6.65</v>
      </c>
      <c r="NP20" s="38">
        <f t="shared" si="129"/>
        <v>10.952500000000001</v>
      </c>
      <c r="NQ20" s="38">
        <f t="shared" si="130"/>
        <v>0</v>
      </c>
      <c r="NR20" s="38">
        <f t="shared" si="131"/>
        <v>0</v>
      </c>
      <c r="NS20" s="38">
        <f t="shared" si="132"/>
        <v>0</v>
      </c>
      <c r="NT20" s="38">
        <f t="shared" si="133"/>
        <v>0</v>
      </c>
      <c r="NU20" s="38">
        <f t="shared" si="134"/>
        <v>0</v>
      </c>
      <c r="NV20" s="38">
        <f t="shared" si="135"/>
        <v>0</v>
      </c>
      <c r="NW20" s="38">
        <f t="shared" si="136"/>
        <v>4.7</v>
      </c>
      <c r="NX20" s="38">
        <f t="shared" si="137"/>
        <v>3.05</v>
      </c>
      <c r="NY20" s="38">
        <f t="shared" si="138"/>
        <v>3.15</v>
      </c>
      <c r="NZ20" s="38">
        <f t="shared" si="139"/>
        <v>4.7024999999999997</v>
      </c>
      <c r="OA20" s="38">
        <f t="shared" si="140"/>
        <v>0</v>
      </c>
      <c r="OB20" s="45" t="s">
        <v>46</v>
      </c>
      <c r="OC20" s="11">
        <f t="shared" si="141"/>
        <v>40.094999999999999</v>
      </c>
      <c r="OD20" s="11">
        <f t="shared" si="142"/>
        <v>6.65</v>
      </c>
      <c r="OE20" s="11">
        <f t="shared" si="143"/>
        <v>35.902500000000003</v>
      </c>
      <c r="OF20" s="11" t="str">
        <f t="shared" si="144"/>
        <v/>
      </c>
      <c r="OG20" s="11" t="str">
        <f t="shared" si="145"/>
        <v/>
      </c>
      <c r="OH20" s="11">
        <f t="shared" si="146"/>
        <v>75.997500000000002</v>
      </c>
      <c r="OI20" s="11">
        <f t="shared" si="147"/>
        <v>3.15</v>
      </c>
      <c r="OJ20" s="11">
        <f t="shared" ref="OJ20" si="174">IF(SUM(NW20:NZ20)-OA20&gt;0,SUM(NW20:NZ20)-OA20,"")</f>
        <v>15.602499999999999</v>
      </c>
      <c r="OK20" s="11">
        <f t="shared" ref="OK20" si="175">IF(SUM(OH20,OJ20)&gt;0,SUM(OH20,OJ20),"")</f>
        <v>91.6</v>
      </c>
    </row>
    <row r="21" spans="1:401" x14ac:dyDescent="0.2">
      <c r="A21" s="5" t="str" cm="1">
        <f t="array" ref="A21">IF(AND(F21="P",G21="P"),SUMPRODUCT((F$4:F$29="P")*(G$4:G$29="P")*(E$4:E$29&gt;E21))+1,IF(G21="P",SUMPRODUCT((F$4:F$29="")*(G$4:G$29="P")*(E$4:E$29&gt;E21))+1+SUMPRODUCT((F$4:F$29="P")*(G$4:G$29="P")),""))</f>
        <v/>
      </c>
      <c r="B21" s="6" t="s">
        <v>114</v>
      </c>
      <c r="C21" s="7" t="s">
        <v>4</v>
      </c>
      <c r="D21" s="22">
        <v>2002</v>
      </c>
      <c r="E21" s="15">
        <f t="shared" si="0"/>
        <v>86.055000000000007</v>
      </c>
      <c r="F21" s="3" t="str">
        <f t="shared" si="1"/>
        <v/>
      </c>
      <c r="G21" s="3" t="str">
        <f t="shared" si="2"/>
        <v/>
      </c>
      <c r="H21" s="67" t="str">
        <f t="shared" si="3"/>
        <v/>
      </c>
      <c r="I21" s="14">
        <f t="shared" si="4"/>
        <v>43.635000000000005</v>
      </c>
      <c r="J21" s="14" t="str">
        <f t="shared" si="5"/>
        <v>2021 Canadian Championships</v>
      </c>
      <c r="K21" s="14">
        <f>IF(COUNT(AM21,AO21,AR21,BQ21,BS21,BV21,CU21,CW21,CZ21)&gt;1,LARGE((AM21,AO21,AR21,BQ21,BS21,BV21,CU21,CW21,CZ21),2),0)</f>
        <v>42.42</v>
      </c>
      <c r="L21" s="14" t="str">
        <f t="shared" si="6"/>
        <v>2021 Elite Canada</v>
      </c>
      <c r="M21" s="14" t="str">
        <f t="shared" si="7"/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>
        <v>9.8000000000000007</v>
      </c>
      <c r="Q21" s="38">
        <v>5.0999999999999996</v>
      </c>
      <c r="R21" s="38">
        <v>0.9</v>
      </c>
      <c r="S21" s="38">
        <v>8.2850000000000001</v>
      </c>
      <c r="T21" s="38">
        <v>0</v>
      </c>
      <c r="U21" s="38">
        <v>15.2</v>
      </c>
      <c r="V21" s="38">
        <v>9.1999999999999993</v>
      </c>
      <c r="W21" s="38">
        <v>6.8</v>
      </c>
      <c r="X21" s="38">
        <v>13.22</v>
      </c>
      <c r="Y21" s="38">
        <v>2</v>
      </c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>
        <f t="shared" si="8"/>
        <v>24.085000000000001</v>
      </c>
      <c r="AL21" s="11">
        <f t="shared" si="9"/>
        <v>6.8</v>
      </c>
      <c r="AM21" s="11">
        <f t="shared" si="10"/>
        <v>42.42</v>
      </c>
      <c r="AN21" s="11" t="str">
        <f t="shared" si="11"/>
        <v/>
      </c>
      <c r="AO21" s="11" t="str">
        <f t="shared" si="12"/>
        <v/>
      </c>
      <c r="AP21" s="11">
        <f t="shared" si="13"/>
        <v>66.504999999999995</v>
      </c>
      <c r="AQ21" s="11" t="str">
        <f t="shared" si="14"/>
        <v/>
      </c>
      <c r="AR21" s="11" t="str">
        <f t="shared" si="15"/>
        <v/>
      </c>
      <c r="AS21" s="11">
        <f t="shared" si="16"/>
        <v>66.504999999999995</v>
      </c>
      <c r="AT21" s="42">
        <v>15</v>
      </c>
      <c r="AU21" s="42">
        <v>9.5</v>
      </c>
      <c r="AV21" s="42">
        <v>1.9</v>
      </c>
      <c r="AW21" s="42">
        <v>13.755000000000001</v>
      </c>
      <c r="AX21" s="42">
        <v>0</v>
      </c>
      <c r="AY21" s="42">
        <v>12.9</v>
      </c>
      <c r="AZ21" s="42">
        <v>9.3000000000000007</v>
      </c>
      <c r="BA21" s="42">
        <v>6.9</v>
      </c>
      <c r="BB21" s="42">
        <v>13.055</v>
      </c>
      <c r="BC21" s="42">
        <v>1.9</v>
      </c>
      <c r="BD21" s="42"/>
      <c r="BE21" s="42"/>
      <c r="BF21" s="42"/>
      <c r="BG21" s="42"/>
      <c r="BH21" s="42"/>
      <c r="BI21" s="42">
        <v>14.5</v>
      </c>
      <c r="BJ21" s="42">
        <v>8.9</v>
      </c>
      <c r="BK21" s="42">
        <v>8</v>
      </c>
      <c r="BL21" s="42">
        <v>13.035</v>
      </c>
      <c r="BM21" s="42">
        <v>0.8</v>
      </c>
      <c r="BN21" s="46"/>
      <c r="BO21" s="14">
        <f t="shared" si="17"/>
        <v>40.155000000000001</v>
      </c>
      <c r="BP21" s="14">
        <f t="shared" si="18"/>
        <v>6.9</v>
      </c>
      <c r="BQ21" s="14">
        <f t="shared" si="19"/>
        <v>40.255000000000003</v>
      </c>
      <c r="BR21" s="14" t="str">
        <f t="shared" si="20"/>
        <v/>
      </c>
      <c r="BS21" s="14" t="str">
        <f t="shared" si="21"/>
        <v/>
      </c>
      <c r="BT21" s="14">
        <f t="shared" si="22"/>
        <v>80.41</v>
      </c>
      <c r="BU21" s="14">
        <f t="shared" si="23"/>
        <v>8</v>
      </c>
      <c r="BV21" s="14">
        <f t="shared" si="24"/>
        <v>43.635000000000005</v>
      </c>
      <c r="BW21" s="14">
        <f t="shared" si="25"/>
        <v>124.045</v>
      </c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45"/>
      <c r="CS21" s="11" t="str">
        <f t="shared" si="26"/>
        <v/>
      </c>
      <c r="CT21" s="11" t="str">
        <f t="shared" si="27"/>
        <v/>
      </c>
      <c r="CU21" s="11" t="str">
        <f t="shared" si="28"/>
        <v/>
      </c>
      <c r="CV21" s="11" t="str">
        <f t="shared" si="29"/>
        <v/>
      </c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19" t="str">
        <f t="shared" si="35"/>
        <v/>
      </c>
      <c r="DC21" s="19" t="str">
        <f t="shared" si="36"/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 t="shared" si="37"/>
        <v/>
      </c>
      <c r="DT21" s="11" t="str">
        <f t="shared" si="38"/>
        <v/>
      </c>
      <c r="DU21" s="11" t="str">
        <f t="shared" si="39"/>
        <v/>
      </c>
      <c r="DV21" s="11" t="str">
        <f t="shared" si="40"/>
        <v/>
      </c>
      <c r="DW21" s="11" t="str">
        <f t="shared" si="41"/>
        <v/>
      </c>
      <c r="DX21" s="11" t="str">
        <f t="shared" si="42"/>
        <v/>
      </c>
      <c r="DY21" s="11" t="str">
        <f t="shared" si="43"/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 t="shared" si="44"/>
        <v/>
      </c>
      <c r="EP21" s="14" t="str">
        <f t="shared" si="45"/>
        <v/>
      </c>
      <c r="EQ21" s="14" t="str">
        <f t="shared" si="46"/>
        <v/>
      </c>
      <c r="ER21" s="14" t="str">
        <f t="shared" si="47"/>
        <v/>
      </c>
      <c r="ES21" s="14" t="str">
        <f t="shared" si="48"/>
        <v/>
      </c>
      <c r="ET21" s="14" t="str">
        <f t="shared" si="49"/>
        <v/>
      </c>
      <c r="EU21" s="14" t="str">
        <f t="shared" si="50"/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 t="shared" si="51"/>
        <v/>
      </c>
      <c r="FL21" s="11" t="str">
        <f t="shared" si="52"/>
        <v/>
      </c>
      <c r="FM21" s="11" t="str">
        <f t="shared" si="53"/>
        <v/>
      </c>
      <c r="FN21" s="11" t="str">
        <f t="shared" si="54"/>
        <v/>
      </c>
      <c r="FO21" s="11" t="str">
        <f t="shared" si="55"/>
        <v/>
      </c>
      <c r="FP21" s="11" t="str">
        <f t="shared" si="56"/>
        <v/>
      </c>
      <c r="FQ21" s="11" t="str">
        <f t="shared" si="57"/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 t="shared" si="58"/>
        <v/>
      </c>
      <c r="GH21" s="14" t="str">
        <f t="shared" si="59"/>
        <v/>
      </c>
      <c r="GI21" s="14" t="str">
        <f t="shared" si="60"/>
        <v/>
      </c>
      <c r="GJ21" s="14" t="str">
        <f t="shared" si="61"/>
        <v/>
      </c>
      <c r="GK21" s="14" t="str">
        <f t="shared" si="62"/>
        <v/>
      </c>
      <c r="GL21" s="14" t="str">
        <f t="shared" si="63"/>
        <v/>
      </c>
      <c r="GM21" s="14" t="str">
        <f t="shared" si="64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 t="shared" si="65"/>
        <v/>
      </c>
      <c r="HD21" s="11" t="str">
        <f t="shared" si="66"/>
        <v/>
      </c>
      <c r="HE21" s="11" t="str">
        <f t="shared" si="67"/>
        <v/>
      </c>
      <c r="HF21" s="11" t="str">
        <f t="shared" si="68"/>
        <v/>
      </c>
      <c r="HG21" s="11" t="str">
        <f t="shared" si="69"/>
        <v/>
      </c>
      <c r="HH21" s="11" t="str">
        <f t="shared" si="70"/>
        <v/>
      </c>
      <c r="HI21" s="11" t="str">
        <f t="shared" si="71"/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 t="shared" si="72"/>
        <v/>
      </c>
      <c r="HZ21" s="14" t="str">
        <f t="shared" si="73"/>
        <v/>
      </c>
      <c r="IA21" s="14" t="str">
        <f t="shared" si="74"/>
        <v/>
      </c>
      <c r="IB21" s="14" t="str">
        <f t="shared" si="75"/>
        <v/>
      </c>
      <c r="IC21" s="14" t="str">
        <f t="shared" si="76"/>
        <v/>
      </c>
      <c r="ID21" s="14" t="str">
        <f t="shared" si="77"/>
        <v/>
      </c>
      <c r="IE21" s="14" t="str">
        <f t="shared" si="78"/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 t="shared" si="79"/>
        <v/>
      </c>
      <c r="IV21" s="11" t="str">
        <f t="shared" si="80"/>
        <v/>
      </c>
      <c r="IW21" s="11" t="str">
        <f t="shared" si="81"/>
        <v/>
      </c>
      <c r="IX21" s="11" t="str">
        <f t="shared" si="82"/>
        <v/>
      </c>
      <c r="IY21" s="11" t="str">
        <f t="shared" si="83"/>
        <v/>
      </c>
      <c r="IZ21" s="11" t="str">
        <f t="shared" si="84"/>
        <v/>
      </c>
      <c r="JA21" s="11" t="str">
        <f t="shared" si="85"/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 t="shared" si="86"/>
        <v/>
      </c>
      <c r="JR21" s="14" t="str">
        <f t="shared" si="87"/>
        <v/>
      </c>
      <c r="JS21" s="14" t="str">
        <f t="shared" si="88"/>
        <v/>
      </c>
      <c r="JT21" s="14" t="str">
        <f t="shared" si="89"/>
        <v/>
      </c>
      <c r="JU21" s="14" t="str">
        <f t="shared" si="90"/>
        <v/>
      </c>
      <c r="JV21" s="14" t="str">
        <f t="shared" si="91"/>
        <v/>
      </c>
      <c r="JW21" s="14" t="str">
        <f t="shared" si="92"/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 t="shared" si="93"/>
        <v/>
      </c>
      <c r="KN21" s="11" t="str">
        <f t="shared" si="94"/>
        <v/>
      </c>
      <c r="KO21" s="11" t="str">
        <f t="shared" si="95"/>
        <v/>
      </c>
      <c r="KP21" s="11" t="str">
        <f t="shared" si="96"/>
        <v/>
      </c>
      <c r="KQ21" s="11" t="str">
        <f t="shared" si="97"/>
        <v/>
      </c>
      <c r="KR21" s="11" t="str">
        <f t="shared" si="98"/>
        <v/>
      </c>
      <c r="KS21" s="11" t="str">
        <f t="shared" si="99"/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 t="shared" si="100"/>
        <v/>
      </c>
      <c r="LJ21" s="14" t="str">
        <f t="shared" si="101"/>
        <v/>
      </c>
      <c r="LK21" s="14" t="str">
        <f t="shared" si="102"/>
        <v/>
      </c>
      <c r="LL21" s="14" t="str">
        <f t="shared" si="103"/>
        <v/>
      </c>
      <c r="LM21" s="14" t="str">
        <f t="shared" si="104"/>
        <v/>
      </c>
      <c r="LN21" s="14" t="str">
        <f t="shared" si="105"/>
        <v/>
      </c>
      <c r="LO21" s="14" t="str">
        <f t="shared" si="106"/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 t="shared" si="107"/>
        <v/>
      </c>
      <c r="MF21" s="11" t="str">
        <f t="shared" si="108"/>
        <v/>
      </c>
      <c r="MG21" s="11" t="str">
        <f t="shared" si="109"/>
        <v/>
      </c>
      <c r="MH21" s="11" t="str">
        <f t="shared" si="110"/>
        <v/>
      </c>
      <c r="MI21" s="11" t="str">
        <f t="shared" si="111"/>
        <v/>
      </c>
      <c r="MJ21" s="11" t="str">
        <f t="shared" si="112"/>
        <v/>
      </c>
      <c r="MK21" s="11" t="str">
        <f t="shared" si="113"/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 t="shared" si="114"/>
        <v/>
      </c>
      <c r="NB21" s="14" t="str">
        <f t="shared" si="115"/>
        <v/>
      </c>
      <c r="NC21" s="14" t="str">
        <f t="shared" si="116"/>
        <v/>
      </c>
      <c r="ND21" s="14" t="str">
        <f t="shared" si="117"/>
        <v/>
      </c>
      <c r="NE21" s="14" t="str">
        <f t="shared" si="118"/>
        <v/>
      </c>
      <c r="NF21" s="14" t="str">
        <f t="shared" si="119"/>
        <v/>
      </c>
      <c r="NG21" s="14" t="str">
        <f t="shared" si="120"/>
        <v/>
      </c>
      <c r="NH21" s="38">
        <f t="shared" si="121"/>
        <v>7.5</v>
      </c>
      <c r="NI21" s="38">
        <f t="shared" si="122"/>
        <v>4.75</v>
      </c>
      <c r="NJ21" s="38">
        <f t="shared" si="123"/>
        <v>0.95</v>
      </c>
      <c r="NK21" s="38">
        <f t="shared" si="124"/>
        <v>6.8775000000000004</v>
      </c>
      <c r="NL21" s="38">
        <f t="shared" si="125"/>
        <v>0</v>
      </c>
      <c r="NM21" s="38">
        <f t="shared" si="126"/>
        <v>6.45</v>
      </c>
      <c r="NN21" s="38">
        <f t="shared" si="127"/>
        <v>4.6500000000000004</v>
      </c>
      <c r="NO21" s="38">
        <f t="shared" si="128"/>
        <v>3.45</v>
      </c>
      <c r="NP21" s="38">
        <f t="shared" si="129"/>
        <v>6.5274999999999999</v>
      </c>
      <c r="NQ21" s="38">
        <f t="shared" si="130"/>
        <v>0.95</v>
      </c>
      <c r="NR21" s="38">
        <f t="shared" si="131"/>
        <v>0</v>
      </c>
      <c r="NS21" s="38">
        <f t="shared" si="132"/>
        <v>0</v>
      </c>
      <c r="NT21" s="38">
        <f t="shared" si="133"/>
        <v>0</v>
      </c>
      <c r="NU21" s="38">
        <f t="shared" si="134"/>
        <v>0</v>
      </c>
      <c r="NV21" s="38">
        <f t="shared" si="135"/>
        <v>0</v>
      </c>
      <c r="NW21" s="38">
        <f t="shared" si="136"/>
        <v>7.25</v>
      </c>
      <c r="NX21" s="38">
        <f t="shared" si="137"/>
        <v>4.45</v>
      </c>
      <c r="NY21" s="38">
        <f t="shared" si="138"/>
        <v>4</v>
      </c>
      <c r="NZ21" s="38">
        <f t="shared" si="139"/>
        <v>6.5175000000000001</v>
      </c>
      <c r="OA21" s="38">
        <f t="shared" si="140"/>
        <v>0.4</v>
      </c>
      <c r="OB21" s="45" t="s">
        <v>46</v>
      </c>
      <c r="OC21" s="11">
        <f t="shared" si="141"/>
        <v>20.077500000000001</v>
      </c>
      <c r="OD21" s="11">
        <f t="shared" si="142"/>
        <v>3.45</v>
      </c>
      <c r="OE21" s="11">
        <f t="shared" si="143"/>
        <v>20.127500000000001</v>
      </c>
      <c r="OF21" s="11" t="str">
        <f t="shared" si="144"/>
        <v/>
      </c>
      <c r="OG21" s="11" t="str">
        <f t="shared" si="145"/>
        <v/>
      </c>
      <c r="OH21" s="11">
        <f t="shared" si="146"/>
        <v>40.204999999999998</v>
      </c>
      <c r="OI21" s="11">
        <f t="shared" si="147"/>
        <v>4</v>
      </c>
      <c r="OJ21" s="11">
        <f t="shared" ref="OJ21" si="176">IF(SUM(NW21:NZ21)-OA21&gt;0,SUM(NW21:NZ21)-OA21,"")</f>
        <v>21.817500000000003</v>
      </c>
      <c r="OK21" s="11">
        <f t="shared" ref="OK21" si="177">IF(SUM(OH21,OJ21)&gt;0,SUM(OH21,OJ21),"")</f>
        <v>62.022500000000001</v>
      </c>
    </row>
    <row r="22" spans="1:401" x14ac:dyDescent="0.2">
      <c r="A22" s="5" t="str" cm="1">
        <f t="array" ref="A22">IF(AND(F22="P",G22="P"),SUMPRODUCT((F$4:F$29="P")*(G$4:G$29="P")*(E$4:E$29&gt;E22))+1,IF(G22="P",SUMPRODUCT((F$4:F$29="")*(G$4:G$29="P")*(E$4:E$29&gt;E22))+1+SUMPRODUCT((F$4:F$29="P")*(G$4:G$29="P")),""))</f>
        <v/>
      </c>
      <c r="B22" s="6" t="s">
        <v>115</v>
      </c>
      <c r="C22" s="7" t="s">
        <v>5</v>
      </c>
      <c r="D22" s="22">
        <v>2001</v>
      </c>
      <c r="E22" s="15">
        <f t="shared" si="0"/>
        <v>76.655000000000001</v>
      </c>
      <c r="F22" s="3" t="str">
        <f t="shared" si="1"/>
        <v/>
      </c>
      <c r="G22" s="3" t="str">
        <f t="shared" si="2"/>
        <v/>
      </c>
      <c r="H22" s="67" t="str">
        <f t="shared" si="3"/>
        <v/>
      </c>
      <c r="I22" s="14">
        <f t="shared" si="4"/>
        <v>46.25</v>
      </c>
      <c r="J22" s="14" t="str">
        <f t="shared" si="5"/>
        <v>2022 Elite Canada</v>
      </c>
      <c r="K22" s="14">
        <f>IF(COUNT(AM22,AO22,AR22,BQ22,BS22,BV22,CU22,CW22,CZ22)&gt;1,LARGE((AM22,AO22,AR22,BQ22,BS22,BV22,CU22,CW22,CZ22),2),0)</f>
        <v>30.405000000000001</v>
      </c>
      <c r="L22" s="14" t="str">
        <f t="shared" si="6"/>
        <v>2021 Canadian Championships</v>
      </c>
      <c r="M22" s="14" t="str">
        <f t="shared" si="7"/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>
        <v>14.9</v>
      </c>
      <c r="Q22" s="38">
        <v>8.4</v>
      </c>
      <c r="R22" s="38">
        <v>0.8</v>
      </c>
      <c r="S22" s="38">
        <v>12.41</v>
      </c>
      <c r="T22" s="38">
        <v>0</v>
      </c>
      <c r="U22" s="38">
        <v>1.4</v>
      </c>
      <c r="V22" s="38">
        <v>0.9</v>
      </c>
      <c r="W22" s="38">
        <v>1.5</v>
      </c>
      <c r="X22" s="38">
        <v>1.4550000000000001</v>
      </c>
      <c r="Y22" s="38">
        <v>0.2</v>
      </c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>
        <f t="shared" si="8"/>
        <v>36.510000000000005</v>
      </c>
      <c r="AL22" s="11">
        <f t="shared" si="9"/>
        <v>1.5</v>
      </c>
      <c r="AM22" s="11">
        <f t="shared" si="10"/>
        <v>5.0549999999999997</v>
      </c>
      <c r="AN22" s="11" t="str">
        <f t="shared" si="11"/>
        <v/>
      </c>
      <c r="AO22" s="11" t="str">
        <f t="shared" si="12"/>
        <v/>
      </c>
      <c r="AP22" s="11">
        <f t="shared" si="13"/>
        <v>41.565000000000005</v>
      </c>
      <c r="AQ22" s="11" t="str">
        <f t="shared" si="14"/>
        <v/>
      </c>
      <c r="AR22" s="11" t="str">
        <f t="shared" si="15"/>
        <v/>
      </c>
      <c r="AS22" s="11">
        <f t="shared" si="16"/>
        <v>41.565000000000005</v>
      </c>
      <c r="AT22" s="42">
        <v>15.4</v>
      </c>
      <c r="AU22" s="42">
        <v>8.9</v>
      </c>
      <c r="AV22" s="42">
        <v>2.1</v>
      </c>
      <c r="AW22" s="42">
        <v>13.574999999999999</v>
      </c>
      <c r="AX22" s="42">
        <v>0</v>
      </c>
      <c r="AY22" s="42">
        <v>9.1</v>
      </c>
      <c r="AZ22" s="42">
        <v>6.2</v>
      </c>
      <c r="BA22" s="42">
        <v>6.5</v>
      </c>
      <c r="BB22" s="42">
        <v>8.8049999999999997</v>
      </c>
      <c r="BC22" s="42">
        <v>0.2</v>
      </c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6"/>
      <c r="BO22" s="14">
        <f t="shared" si="17"/>
        <v>39.975000000000001</v>
      </c>
      <c r="BP22" s="14">
        <f t="shared" si="18"/>
        <v>6.5</v>
      </c>
      <c r="BQ22" s="14">
        <f t="shared" si="19"/>
        <v>30.405000000000001</v>
      </c>
      <c r="BR22" s="14" t="str">
        <f t="shared" si="20"/>
        <v/>
      </c>
      <c r="BS22" s="14" t="str">
        <f t="shared" si="21"/>
        <v/>
      </c>
      <c r="BT22" s="14">
        <f t="shared" si="22"/>
        <v>70.38</v>
      </c>
      <c r="BU22" s="14" t="str">
        <f t="shared" si="23"/>
        <v/>
      </c>
      <c r="BV22" s="14" t="str">
        <f t="shared" si="24"/>
        <v/>
      </c>
      <c r="BW22" s="14">
        <f t="shared" si="25"/>
        <v>70.38</v>
      </c>
      <c r="BX22" s="38">
        <v>15.6</v>
      </c>
      <c r="BY22" s="38">
        <v>9.8000000000000007</v>
      </c>
      <c r="BZ22" s="38">
        <v>2.1</v>
      </c>
      <c r="CA22" s="38">
        <v>13.28</v>
      </c>
      <c r="CB22" s="38">
        <v>0</v>
      </c>
      <c r="CC22" s="38">
        <v>13.9</v>
      </c>
      <c r="CD22" s="38">
        <v>9.5</v>
      </c>
      <c r="CE22" s="38">
        <v>9.6</v>
      </c>
      <c r="CF22" s="38">
        <v>13.25</v>
      </c>
      <c r="CG22" s="38">
        <v>0</v>
      </c>
      <c r="CH22" s="38"/>
      <c r="CI22" s="38"/>
      <c r="CJ22" s="38"/>
      <c r="CK22" s="38"/>
      <c r="CL22" s="38"/>
      <c r="CM22" s="38">
        <v>3.8</v>
      </c>
      <c r="CN22" s="38">
        <v>2.5</v>
      </c>
      <c r="CO22" s="38">
        <v>3.3</v>
      </c>
      <c r="CP22" s="38">
        <v>3.9</v>
      </c>
      <c r="CQ22" s="38">
        <v>0</v>
      </c>
      <c r="CR22" s="45"/>
      <c r="CS22" s="11">
        <f t="shared" si="26"/>
        <v>40.78</v>
      </c>
      <c r="CT22" s="11">
        <f t="shared" si="27"/>
        <v>9.6</v>
      </c>
      <c r="CU22" s="11">
        <f t="shared" si="28"/>
        <v>46.25</v>
      </c>
      <c r="CV22" s="11" t="str">
        <f t="shared" si="29"/>
        <v/>
      </c>
      <c r="CW22" s="11" t="str">
        <f t="shared" si="30"/>
        <v/>
      </c>
      <c r="CX22" s="11">
        <f t="shared" si="31"/>
        <v>87.03</v>
      </c>
      <c r="CY22" s="11">
        <f t="shared" si="32"/>
        <v>3.3</v>
      </c>
      <c r="CZ22" s="11">
        <f t="shared" si="33"/>
        <v>13.5</v>
      </c>
      <c r="DA22" s="11">
        <f t="shared" si="34"/>
        <v>100.53</v>
      </c>
      <c r="DB22" s="19" t="str">
        <f t="shared" si="35"/>
        <v/>
      </c>
      <c r="DC22" s="19" t="str">
        <f t="shared" si="36"/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 t="shared" si="37"/>
        <v/>
      </c>
      <c r="DT22" s="11" t="str">
        <f t="shared" si="38"/>
        <v/>
      </c>
      <c r="DU22" s="11" t="str">
        <f t="shared" si="39"/>
        <v/>
      </c>
      <c r="DV22" s="11" t="str">
        <f t="shared" si="40"/>
        <v/>
      </c>
      <c r="DW22" s="11" t="str">
        <f t="shared" si="41"/>
        <v/>
      </c>
      <c r="DX22" s="11" t="str">
        <f t="shared" si="42"/>
        <v/>
      </c>
      <c r="DY22" s="11" t="str">
        <f t="shared" si="43"/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 t="shared" si="44"/>
        <v/>
      </c>
      <c r="EP22" s="14" t="str">
        <f t="shared" si="45"/>
        <v/>
      </c>
      <c r="EQ22" s="14" t="str">
        <f t="shared" si="46"/>
        <v/>
      </c>
      <c r="ER22" s="14" t="str">
        <f t="shared" si="47"/>
        <v/>
      </c>
      <c r="ES22" s="14" t="str">
        <f t="shared" si="48"/>
        <v/>
      </c>
      <c r="ET22" s="14" t="str">
        <f t="shared" si="49"/>
        <v/>
      </c>
      <c r="EU22" s="14" t="str">
        <f t="shared" si="50"/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 t="shared" si="51"/>
        <v/>
      </c>
      <c r="FL22" s="11" t="str">
        <f t="shared" si="52"/>
        <v/>
      </c>
      <c r="FM22" s="11" t="str">
        <f t="shared" si="53"/>
        <v/>
      </c>
      <c r="FN22" s="11" t="str">
        <f t="shared" si="54"/>
        <v/>
      </c>
      <c r="FO22" s="11" t="str">
        <f t="shared" si="55"/>
        <v/>
      </c>
      <c r="FP22" s="11" t="str">
        <f t="shared" si="56"/>
        <v/>
      </c>
      <c r="FQ22" s="11" t="str">
        <f t="shared" si="57"/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 t="shared" si="58"/>
        <v/>
      </c>
      <c r="GH22" s="14" t="str">
        <f t="shared" si="59"/>
        <v/>
      </c>
      <c r="GI22" s="14" t="str">
        <f t="shared" si="60"/>
        <v/>
      </c>
      <c r="GJ22" s="14" t="str">
        <f t="shared" si="61"/>
        <v/>
      </c>
      <c r="GK22" s="14" t="str">
        <f t="shared" si="62"/>
        <v/>
      </c>
      <c r="GL22" s="14" t="str">
        <f t="shared" si="63"/>
        <v/>
      </c>
      <c r="GM22" s="14" t="str">
        <f t="shared" si="64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 t="shared" si="65"/>
        <v/>
      </c>
      <c r="HD22" s="11" t="str">
        <f t="shared" si="66"/>
        <v/>
      </c>
      <c r="HE22" s="11" t="str">
        <f t="shared" si="67"/>
        <v/>
      </c>
      <c r="HF22" s="11" t="str">
        <f t="shared" si="68"/>
        <v/>
      </c>
      <c r="HG22" s="11" t="str">
        <f t="shared" si="69"/>
        <v/>
      </c>
      <c r="HH22" s="11" t="str">
        <f t="shared" si="70"/>
        <v/>
      </c>
      <c r="HI22" s="11" t="str">
        <f t="shared" si="71"/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 t="shared" si="72"/>
        <v/>
      </c>
      <c r="HZ22" s="14" t="str">
        <f t="shared" si="73"/>
        <v/>
      </c>
      <c r="IA22" s="14" t="str">
        <f t="shared" si="74"/>
        <v/>
      </c>
      <c r="IB22" s="14" t="str">
        <f t="shared" si="75"/>
        <v/>
      </c>
      <c r="IC22" s="14" t="str">
        <f t="shared" si="76"/>
        <v/>
      </c>
      <c r="ID22" s="14" t="str">
        <f t="shared" si="77"/>
        <v/>
      </c>
      <c r="IE22" s="14" t="str">
        <f t="shared" si="78"/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 t="shared" si="79"/>
        <v/>
      </c>
      <c r="IV22" s="11" t="str">
        <f t="shared" si="80"/>
        <v/>
      </c>
      <c r="IW22" s="11" t="str">
        <f t="shared" si="81"/>
        <v/>
      </c>
      <c r="IX22" s="11" t="str">
        <f t="shared" si="82"/>
        <v/>
      </c>
      <c r="IY22" s="11" t="str">
        <f t="shared" si="83"/>
        <v/>
      </c>
      <c r="IZ22" s="11" t="str">
        <f t="shared" si="84"/>
        <v/>
      </c>
      <c r="JA22" s="11" t="str">
        <f t="shared" si="85"/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 t="shared" si="86"/>
        <v/>
      </c>
      <c r="JR22" s="14" t="str">
        <f t="shared" si="87"/>
        <v/>
      </c>
      <c r="JS22" s="14" t="str">
        <f t="shared" si="88"/>
        <v/>
      </c>
      <c r="JT22" s="14" t="str">
        <f t="shared" si="89"/>
        <v/>
      </c>
      <c r="JU22" s="14" t="str">
        <f t="shared" si="90"/>
        <v/>
      </c>
      <c r="JV22" s="14" t="str">
        <f t="shared" si="91"/>
        <v/>
      </c>
      <c r="JW22" s="14" t="str">
        <f t="shared" si="92"/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 t="shared" si="93"/>
        <v/>
      </c>
      <c r="KN22" s="11" t="str">
        <f t="shared" si="94"/>
        <v/>
      </c>
      <c r="KO22" s="11" t="str">
        <f t="shared" si="95"/>
        <v/>
      </c>
      <c r="KP22" s="11" t="str">
        <f t="shared" si="96"/>
        <v/>
      </c>
      <c r="KQ22" s="11" t="str">
        <f t="shared" si="97"/>
        <v/>
      </c>
      <c r="KR22" s="11" t="str">
        <f t="shared" si="98"/>
        <v/>
      </c>
      <c r="KS22" s="11" t="str">
        <f t="shared" si="99"/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 t="shared" si="100"/>
        <v/>
      </c>
      <c r="LJ22" s="14" t="str">
        <f t="shared" si="101"/>
        <v/>
      </c>
      <c r="LK22" s="14" t="str">
        <f t="shared" si="102"/>
        <v/>
      </c>
      <c r="LL22" s="14" t="str">
        <f t="shared" si="103"/>
        <v/>
      </c>
      <c r="LM22" s="14" t="str">
        <f t="shared" si="104"/>
        <v/>
      </c>
      <c r="LN22" s="14" t="str">
        <f t="shared" si="105"/>
        <v/>
      </c>
      <c r="LO22" s="14" t="str">
        <f t="shared" si="106"/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 t="shared" si="107"/>
        <v/>
      </c>
      <c r="MF22" s="11" t="str">
        <f t="shared" si="108"/>
        <v/>
      </c>
      <c r="MG22" s="11" t="str">
        <f t="shared" si="109"/>
        <v/>
      </c>
      <c r="MH22" s="11" t="str">
        <f t="shared" si="110"/>
        <v/>
      </c>
      <c r="MI22" s="11" t="str">
        <f t="shared" si="111"/>
        <v/>
      </c>
      <c r="MJ22" s="11" t="str">
        <f t="shared" si="112"/>
        <v/>
      </c>
      <c r="MK22" s="11" t="str">
        <f t="shared" si="113"/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 t="shared" si="114"/>
        <v/>
      </c>
      <c r="NB22" s="14" t="str">
        <f t="shared" si="115"/>
        <v/>
      </c>
      <c r="NC22" s="14" t="str">
        <f t="shared" si="116"/>
        <v/>
      </c>
      <c r="ND22" s="14" t="str">
        <f t="shared" si="117"/>
        <v/>
      </c>
      <c r="NE22" s="14" t="str">
        <f t="shared" si="118"/>
        <v/>
      </c>
      <c r="NF22" s="14" t="str">
        <f t="shared" si="119"/>
        <v/>
      </c>
      <c r="NG22" s="14" t="str">
        <f t="shared" si="120"/>
        <v/>
      </c>
      <c r="NH22" s="38">
        <f t="shared" si="121"/>
        <v>15.5</v>
      </c>
      <c r="NI22" s="38">
        <f t="shared" si="122"/>
        <v>9.3500000000000014</v>
      </c>
      <c r="NJ22" s="38">
        <f t="shared" si="123"/>
        <v>2.1</v>
      </c>
      <c r="NK22" s="38">
        <f t="shared" si="124"/>
        <v>13.427499999999998</v>
      </c>
      <c r="NL22" s="38">
        <f t="shared" si="125"/>
        <v>0</v>
      </c>
      <c r="NM22" s="38">
        <f t="shared" si="126"/>
        <v>11.5</v>
      </c>
      <c r="NN22" s="38">
        <f t="shared" si="127"/>
        <v>7.85</v>
      </c>
      <c r="NO22" s="38">
        <f t="shared" si="128"/>
        <v>8.0500000000000007</v>
      </c>
      <c r="NP22" s="38">
        <f t="shared" si="129"/>
        <v>11.0275</v>
      </c>
      <c r="NQ22" s="38">
        <f t="shared" si="130"/>
        <v>0.1</v>
      </c>
      <c r="NR22" s="38">
        <f t="shared" si="131"/>
        <v>0</v>
      </c>
      <c r="NS22" s="38">
        <f t="shared" si="132"/>
        <v>0</v>
      </c>
      <c r="NT22" s="38">
        <f t="shared" si="133"/>
        <v>0</v>
      </c>
      <c r="NU22" s="38">
        <f t="shared" si="134"/>
        <v>0</v>
      </c>
      <c r="NV22" s="38">
        <f t="shared" si="135"/>
        <v>0</v>
      </c>
      <c r="NW22" s="38">
        <f t="shared" si="136"/>
        <v>1.9</v>
      </c>
      <c r="NX22" s="38">
        <f t="shared" si="137"/>
        <v>1.25</v>
      </c>
      <c r="NY22" s="38">
        <f t="shared" si="138"/>
        <v>1.65</v>
      </c>
      <c r="NZ22" s="38">
        <f t="shared" si="139"/>
        <v>1.95</v>
      </c>
      <c r="OA22" s="38">
        <f t="shared" si="140"/>
        <v>0</v>
      </c>
      <c r="OB22" s="45" t="s">
        <v>46</v>
      </c>
      <c r="OC22" s="11">
        <f t="shared" si="141"/>
        <v>40.377499999999998</v>
      </c>
      <c r="OD22" s="11">
        <f t="shared" si="142"/>
        <v>8.0500000000000007</v>
      </c>
      <c r="OE22" s="11">
        <f t="shared" si="143"/>
        <v>38.327500000000001</v>
      </c>
      <c r="OF22" s="11" t="str">
        <f t="shared" si="144"/>
        <v/>
      </c>
      <c r="OG22" s="11" t="str">
        <f t="shared" si="145"/>
        <v/>
      </c>
      <c r="OH22" s="11">
        <f t="shared" si="146"/>
        <v>78.704999999999998</v>
      </c>
      <c r="OI22" s="11">
        <f t="shared" si="147"/>
        <v>1.65</v>
      </c>
      <c r="OJ22" s="11">
        <f t="shared" ref="OJ22" si="178">IF(SUM(NW22:NZ22)-OA22&gt;0,SUM(NW22:NZ22)-OA22,"")</f>
        <v>6.75</v>
      </c>
      <c r="OK22" s="11">
        <f t="shared" ref="OK22" si="179">IF(SUM(OH22,OJ22)&gt;0,SUM(OH22,OJ22),"")</f>
        <v>85.454999999999998</v>
      </c>
    </row>
    <row r="23" spans="1:401" x14ac:dyDescent="0.2">
      <c r="A23" s="5" t="str" cm="1">
        <f t="array" ref="A23">IF(AND(F23="P",G23="P"),SUMPRODUCT((F$4:F$29="P")*(G$4:G$29="P")*(E$4:E$29&gt;E23))+1,IF(G23="P",SUMPRODUCT((F$4:F$29="")*(G$4:G$29="P")*(E$4:E$29&gt;E23))+1+SUMPRODUCT((F$4:F$29="P")*(G$4:G$29="P")),""))</f>
        <v/>
      </c>
      <c r="B23" s="8" t="s">
        <v>85</v>
      </c>
      <c r="C23" s="4" t="s">
        <v>5</v>
      </c>
      <c r="D23" s="22">
        <v>2004</v>
      </c>
      <c r="E23" s="15">
        <f t="shared" si="0"/>
        <v>55.149999999999991</v>
      </c>
      <c r="F23" s="3" t="str">
        <f t="shared" si="1"/>
        <v/>
      </c>
      <c r="G23" s="3" t="str">
        <f t="shared" si="2"/>
        <v/>
      </c>
      <c r="H23" s="67" t="str">
        <f t="shared" si="3"/>
        <v/>
      </c>
      <c r="I23" s="14">
        <f t="shared" si="4"/>
        <v>45.389999999999993</v>
      </c>
      <c r="J23" s="14" t="str">
        <f t="shared" si="5"/>
        <v>2022 Elite Canada</v>
      </c>
      <c r="K23" s="14">
        <f>IF(COUNT(AM23,AO23,AR23,BQ23,BS23,BV23,CU23,CW23,CZ23)&gt;1,LARGE((AM23,AO23,AR23,BQ23,BS23,BV23,CU23,CW23,CZ23),2),0)</f>
        <v>9.76</v>
      </c>
      <c r="L23" s="14" t="str">
        <f t="shared" si="6"/>
        <v>2022 Elite Canada</v>
      </c>
      <c r="M23" s="14" t="str">
        <f t="shared" si="7"/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45"/>
      <c r="AK23" s="11" t="str">
        <f t="shared" si="8"/>
        <v/>
      </c>
      <c r="AL23" s="11" t="str">
        <f t="shared" si="9"/>
        <v/>
      </c>
      <c r="AM23" s="11" t="str">
        <f t="shared" si="10"/>
        <v/>
      </c>
      <c r="AN23" s="11" t="str">
        <f t="shared" si="11"/>
        <v/>
      </c>
      <c r="AO23" s="11" t="str">
        <f t="shared" si="12"/>
        <v/>
      </c>
      <c r="AP23" s="11" t="str">
        <f t="shared" si="13"/>
        <v/>
      </c>
      <c r="AQ23" s="11" t="str">
        <f t="shared" si="14"/>
        <v/>
      </c>
      <c r="AR23" s="11" t="str">
        <f t="shared" si="15"/>
        <v/>
      </c>
      <c r="AS23" s="11" t="str">
        <f t="shared" si="16"/>
        <v/>
      </c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6"/>
      <c r="BO23" s="14" t="str">
        <f t="shared" si="17"/>
        <v/>
      </c>
      <c r="BP23" s="14" t="str">
        <f t="shared" si="18"/>
        <v/>
      </c>
      <c r="BQ23" s="14" t="str">
        <f t="shared" si="19"/>
        <v/>
      </c>
      <c r="BR23" s="14" t="str">
        <f t="shared" si="20"/>
        <v/>
      </c>
      <c r="BS23" s="14" t="str">
        <f t="shared" si="21"/>
        <v/>
      </c>
      <c r="BT23" s="14" t="str">
        <f t="shared" si="22"/>
        <v/>
      </c>
      <c r="BU23" s="14" t="str">
        <f t="shared" si="23"/>
        <v/>
      </c>
      <c r="BV23" s="14" t="str">
        <f t="shared" si="24"/>
        <v/>
      </c>
      <c r="BW23" s="14" t="str">
        <f t="shared" si="25"/>
        <v/>
      </c>
      <c r="BX23" s="38">
        <v>16.899999999999999</v>
      </c>
      <c r="BY23" s="38">
        <v>9.6999999999999993</v>
      </c>
      <c r="BZ23" s="38">
        <v>1.4</v>
      </c>
      <c r="CA23" s="38">
        <v>13.63</v>
      </c>
      <c r="CB23" s="38">
        <v>0</v>
      </c>
      <c r="CC23" s="38">
        <v>14.9</v>
      </c>
      <c r="CD23" s="38">
        <v>9.1999999999999993</v>
      </c>
      <c r="CE23" s="38">
        <v>8.1999999999999993</v>
      </c>
      <c r="CF23" s="38">
        <v>13.69</v>
      </c>
      <c r="CG23" s="38">
        <v>0.6</v>
      </c>
      <c r="CH23" s="38"/>
      <c r="CI23" s="38"/>
      <c r="CJ23" s="38"/>
      <c r="CK23" s="38"/>
      <c r="CL23" s="38"/>
      <c r="CM23" s="38">
        <v>3.2</v>
      </c>
      <c r="CN23" s="38">
        <v>1.9</v>
      </c>
      <c r="CO23" s="38">
        <v>1.8</v>
      </c>
      <c r="CP23" s="38">
        <v>2.86</v>
      </c>
      <c r="CQ23" s="38">
        <v>0</v>
      </c>
      <c r="CR23" s="45"/>
      <c r="CS23" s="11">
        <f t="shared" si="26"/>
        <v>41.629999999999995</v>
      </c>
      <c r="CT23" s="11">
        <f t="shared" si="27"/>
        <v>8.1999999999999993</v>
      </c>
      <c r="CU23" s="11">
        <f t="shared" si="28"/>
        <v>45.389999999999993</v>
      </c>
      <c r="CV23" s="11" t="str">
        <f t="shared" si="29"/>
        <v/>
      </c>
      <c r="CW23" s="11" t="str">
        <f t="shared" si="30"/>
        <v/>
      </c>
      <c r="CX23" s="11">
        <f t="shared" si="31"/>
        <v>87.019999999999982</v>
      </c>
      <c r="CY23" s="11">
        <f t="shared" si="32"/>
        <v>1.8</v>
      </c>
      <c r="CZ23" s="11">
        <f t="shared" si="33"/>
        <v>9.76</v>
      </c>
      <c r="DA23" s="11">
        <f t="shared" si="34"/>
        <v>96.779999999999987</v>
      </c>
      <c r="DB23" s="19" t="str">
        <f t="shared" si="35"/>
        <v/>
      </c>
      <c r="DC23" s="19" t="str">
        <f t="shared" si="36"/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 t="shared" si="37"/>
        <v/>
      </c>
      <c r="DT23" s="11" t="str">
        <f t="shared" si="38"/>
        <v/>
      </c>
      <c r="DU23" s="11" t="str">
        <f t="shared" si="39"/>
        <v/>
      </c>
      <c r="DV23" s="11" t="str">
        <f t="shared" si="40"/>
        <v/>
      </c>
      <c r="DW23" s="11" t="str">
        <f t="shared" si="41"/>
        <v/>
      </c>
      <c r="DX23" s="11" t="str">
        <f t="shared" si="42"/>
        <v/>
      </c>
      <c r="DY23" s="11" t="str">
        <f t="shared" si="43"/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 t="shared" si="44"/>
        <v/>
      </c>
      <c r="EP23" s="14" t="str">
        <f t="shared" si="45"/>
        <v/>
      </c>
      <c r="EQ23" s="14" t="str">
        <f t="shared" si="46"/>
        <v/>
      </c>
      <c r="ER23" s="14" t="str">
        <f t="shared" si="47"/>
        <v/>
      </c>
      <c r="ES23" s="14" t="str">
        <f t="shared" si="48"/>
        <v/>
      </c>
      <c r="ET23" s="14" t="str">
        <f t="shared" si="49"/>
        <v/>
      </c>
      <c r="EU23" s="14" t="str">
        <f t="shared" si="50"/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 t="shared" si="51"/>
        <v/>
      </c>
      <c r="FL23" s="11" t="str">
        <f t="shared" si="52"/>
        <v/>
      </c>
      <c r="FM23" s="11" t="str">
        <f t="shared" si="53"/>
        <v/>
      </c>
      <c r="FN23" s="11" t="str">
        <f t="shared" si="54"/>
        <v/>
      </c>
      <c r="FO23" s="11" t="str">
        <f t="shared" si="55"/>
        <v/>
      </c>
      <c r="FP23" s="11" t="str">
        <f t="shared" si="56"/>
        <v/>
      </c>
      <c r="FQ23" s="11" t="str">
        <f t="shared" si="57"/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 t="shared" si="58"/>
        <v/>
      </c>
      <c r="GH23" s="14" t="str">
        <f t="shared" si="59"/>
        <v/>
      </c>
      <c r="GI23" s="14" t="str">
        <f t="shared" si="60"/>
        <v/>
      </c>
      <c r="GJ23" s="14" t="str">
        <f t="shared" si="61"/>
        <v/>
      </c>
      <c r="GK23" s="14" t="str">
        <f t="shared" si="62"/>
        <v/>
      </c>
      <c r="GL23" s="14" t="str">
        <f t="shared" si="63"/>
        <v/>
      </c>
      <c r="GM23" s="14" t="str">
        <f t="shared" si="64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 t="shared" si="65"/>
        <v/>
      </c>
      <c r="HD23" s="11" t="str">
        <f t="shared" si="66"/>
        <v/>
      </c>
      <c r="HE23" s="11" t="str">
        <f t="shared" si="67"/>
        <v/>
      </c>
      <c r="HF23" s="11" t="str">
        <f t="shared" si="68"/>
        <v/>
      </c>
      <c r="HG23" s="11" t="str">
        <f t="shared" si="69"/>
        <v/>
      </c>
      <c r="HH23" s="11" t="str">
        <f t="shared" si="70"/>
        <v/>
      </c>
      <c r="HI23" s="11" t="str">
        <f t="shared" si="71"/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 t="shared" si="72"/>
        <v/>
      </c>
      <c r="HZ23" s="14" t="str">
        <f t="shared" si="73"/>
        <v/>
      </c>
      <c r="IA23" s="14" t="str">
        <f t="shared" si="74"/>
        <v/>
      </c>
      <c r="IB23" s="14" t="str">
        <f t="shared" si="75"/>
        <v/>
      </c>
      <c r="IC23" s="14" t="str">
        <f t="shared" si="76"/>
        <v/>
      </c>
      <c r="ID23" s="14" t="str">
        <f t="shared" si="77"/>
        <v/>
      </c>
      <c r="IE23" s="14" t="str">
        <f t="shared" si="78"/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 t="shared" si="79"/>
        <v/>
      </c>
      <c r="IV23" s="11" t="str">
        <f t="shared" si="80"/>
        <v/>
      </c>
      <c r="IW23" s="11" t="str">
        <f t="shared" si="81"/>
        <v/>
      </c>
      <c r="IX23" s="11" t="str">
        <f t="shared" si="82"/>
        <v/>
      </c>
      <c r="IY23" s="11" t="str">
        <f t="shared" si="83"/>
        <v/>
      </c>
      <c r="IZ23" s="11" t="str">
        <f t="shared" si="84"/>
        <v/>
      </c>
      <c r="JA23" s="11" t="str">
        <f t="shared" si="85"/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 t="shared" si="86"/>
        <v/>
      </c>
      <c r="JR23" s="14" t="str">
        <f t="shared" si="87"/>
        <v/>
      </c>
      <c r="JS23" s="14" t="str">
        <f t="shared" si="88"/>
        <v/>
      </c>
      <c r="JT23" s="14" t="str">
        <f t="shared" si="89"/>
        <v/>
      </c>
      <c r="JU23" s="14" t="str">
        <f t="shared" si="90"/>
        <v/>
      </c>
      <c r="JV23" s="14" t="str">
        <f t="shared" si="91"/>
        <v/>
      </c>
      <c r="JW23" s="14" t="str">
        <f t="shared" si="92"/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 t="shared" si="93"/>
        <v/>
      </c>
      <c r="KN23" s="11" t="str">
        <f t="shared" si="94"/>
        <v/>
      </c>
      <c r="KO23" s="11" t="str">
        <f t="shared" si="95"/>
        <v/>
      </c>
      <c r="KP23" s="11" t="str">
        <f t="shared" si="96"/>
        <v/>
      </c>
      <c r="KQ23" s="11" t="str">
        <f t="shared" si="97"/>
        <v/>
      </c>
      <c r="KR23" s="11" t="str">
        <f t="shared" si="98"/>
        <v/>
      </c>
      <c r="KS23" s="11" t="str">
        <f t="shared" si="99"/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 t="shared" si="100"/>
        <v/>
      </c>
      <c r="LJ23" s="14" t="str">
        <f t="shared" si="101"/>
        <v/>
      </c>
      <c r="LK23" s="14" t="str">
        <f t="shared" si="102"/>
        <v/>
      </c>
      <c r="LL23" s="14" t="str">
        <f t="shared" si="103"/>
        <v/>
      </c>
      <c r="LM23" s="14" t="str">
        <f t="shared" si="104"/>
        <v/>
      </c>
      <c r="LN23" s="14" t="str">
        <f t="shared" si="105"/>
        <v/>
      </c>
      <c r="LO23" s="14" t="str">
        <f t="shared" si="106"/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 t="shared" si="107"/>
        <v/>
      </c>
      <c r="MF23" s="11" t="str">
        <f t="shared" si="108"/>
        <v/>
      </c>
      <c r="MG23" s="11" t="str">
        <f t="shared" si="109"/>
        <v/>
      </c>
      <c r="MH23" s="11" t="str">
        <f t="shared" si="110"/>
        <v/>
      </c>
      <c r="MI23" s="11" t="str">
        <f t="shared" si="111"/>
        <v/>
      </c>
      <c r="MJ23" s="11" t="str">
        <f t="shared" si="112"/>
        <v/>
      </c>
      <c r="MK23" s="11" t="str">
        <f t="shared" si="113"/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 t="shared" si="114"/>
        <v/>
      </c>
      <c r="NB23" s="14" t="str">
        <f t="shared" si="115"/>
        <v/>
      </c>
      <c r="NC23" s="14" t="str">
        <f t="shared" si="116"/>
        <v/>
      </c>
      <c r="ND23" s="14" t="str">
        <f t="shared" si="117"/>
        <v/>
      </c>
      <c r="NE23" s="14" t="str">
        <f t="shared" si="118"/>
        <v/>
      </c>
      <c r="NF23" s="14" t="str">
        <f t="shared" si="119"/>
        <v/>
      </c>
      <c r="NG23" s="14" t="str">
        <f t="shared" si="120"/>
        <v/>
      </c>
      <c r="NH23" s="38">
        <f t="shared" si="121"/>
        <v>8.4499999999999993</v>
      </c>
      <c r="NI23" s="38">
        <f t="shared" si="122"/>
        <v>4.8499999999999996</v>
      </c>
      <c r="NJ23" s="38">
        <f t="shared" si="123"/>
        <v>0.7</v>
      </c>
      <c r="NK23" s="38">
        <f t="shared" si="124"/>
        <v>6.8150000000000004</v>
      </c>
      <c r="NL23" s="38">
        <f t="shared" si="125"/>
        <v>0</v>
      </c>
      <c r="NM23" s="38">
        <f t="shared" si="126"/>
        <v>7.45</v>
      </c>
      <c r="NN23" s="38">
        <f t="shared" si="127"/>
        <v>4.5999999999999996</v>
      </c>
      <c r="NO23" s="38">
        <f t="shared" si="128"/>
        <v>4.0999999999999996</v>
      </c>
      <c r="NP23" s="38">
        <f t="shared" si="129"/>
        <v>6.8449999999999998</v>
      </c>
      <c r="NQ23" s="38">
        <f t="shared" si="130"/>
        <v>0.3</v>
      </c>
      <c r="NR23" s="38">
        <f t="shared" si="131"/>
        <v>0</v>
      </c>
      <c r="NS23" s="38">
        <f t="shared" si="132"/>
        <v>0</v>
      </c>
      <c r="NT23" s="38">
        <f t="shared" si="133"/>
        <v>0</v>
      </c>
      <c r="NU23" s="38">
        <f t="shared" si="134"/>
        <v>0</v>
      </c>
      <c r="NV23" s="38">
        <f t="shared" si="135"/>
        <v>0</v>
      </c>
      <c r="NW23" s="38">
        <f t="shared" si="136"/>
        <v>1.6</v>
      </c>
      <c r="NX23" s="38">
        <f t="shared" si="137"/>
        <v>0.95</v>
      </c>
      <c r="NY23" s="38">
        <f t="shared" si="138"/>
        <v>0.9</v>
      </c>
      <c r="NZ23" s="38">
        <f t="shared" si="139"/>
        <v>1.43</v>
      </c>
      <c r="OA23" s="38">
        <f t="shared" si="140"/>
        <v>0</v>
      </c>
      <c r="OB23" s="45" t="s">
        <v>46</v>
      </c>
      <c r="OC23" s="11">
        <f t="shared" si="141"/>
        <v>20.814999999999998</v>
      </c>
      <c r="OD23" s="11">
        <f t="shared" si="142"/>
        <v>4.0999999999999996</v>
      </c>
      <c r="OE23" s="11">
        <f t="shared" si="143"/>
        <v>22.694999999999997</v>
      </c>
      <c r="OF23" s="11" t="str">
        <f t="shared" si="144"/>
        <v/>
      </c>
      <c r="OG23" s="11" t="str">
        <f t="shared" si="145"/>
        <v/>
      </c>
      <c r="OH23" s="11">
        <f t="shared" si="146"/>
        <v>43.509999999999991</v>
      </c>
      <c r="OI23" s="11">
        <f t="shared" si="147"/>
        <v>0.9</v>
      </c>
      <c r="OJ23" s="11">
        <f t="shared" ref="OJ23" si="180">IF(SUM(NW23:NZ23)-OA23&gt;0,SUM(NW23:NZ23)-OA23,"")</f>
        <v>4.88</v>
      </c>
      <c r="OK23" s="11">
        <f t="shared" ref="OK23" si="181">IF(SUM(OH23,OJ23)&gt;0,SUM(OH23,OJ23),"")</f>
        <v>48.389999999999993</v>
      </c>
    </row>
    <row r="24" spans="1:401" x14ac:dyDescent="0.2">
      <c r="A24" s="5" t="str" cm="1">
        <f t="array" ref="A24">IF(AND(F24="P",G24="P"),SUMPRODUCT((F$4:F$29="P")*(G$4:G$29="P")*(E$4:E$29&gt;E24))+1,IF(G24="P",SUMPRODUCT((F$4:F$29="")*(G$4:G$29="P")*(E$4:E$29&gt;E24))+1+SUMPRODUCT((F$4:F$29="P")*(G$4:G$29="P")),""))</f>
        <v/>
      </c>
      <c r="B24" s="8" t="s">
        <v>156</v>
      </c>
      <c r="C24" s="4" t="s">
        <v>3</v>
      </c>
      <c r="D24" s="22">
        <v>2004</v>
      </c>
      <c r="E24" s="15">
        <f t="shared" si="0"/>
        <v>41.78</v>
      </c>
      <c r="F24" s="3" t="str">
        <f t="shared" si="1"/>
        <v/>
      </c>
      <c r="G24" s="3" t="str">
        <f t="shared" si="2"/>
        <v/>
      </c>
      <c r="H24" s="67" t="str">
        <f t="shared" si="3"/>
        <v/>
      </c>
      <c r="I24" s="14">
        <f t="shared" si="4"/>
        <v>41.78</v>
      </c>
      <c r="J24" s="14" t="str">
        <f t="shared" si="5"/>
        <v>2022 Elite Canada</v>
      </c>
      <c r="K24" s="14">
        <f>IF(COUNT(AM24,AO24,AR24,BQ24,BS24,BV24,CU24,CW24,CZ24)&gt;1,LARGE((AM24,AO24,AR24,BQ24,BS24,BV24,CU24,CW24,CZ24),2),0)</f>
        <v>0</v>
      </c>
      <c r="L24" s="14" t="str">
        <f t="shared" si="6"/>
        <v/>
      </c>
      <c r="M24" s="14" t="str">
        <f t="shared" si="7"/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45"/>
      <c r="AK24" s="11" t="str">
        <f t="shared" si="8"/>
        <v/>
      </c>
      <c r="AL24" s="11" t="str">
        <f t="shared" si="9"/>
        <v/>
      </c>
      <c r="AM24" s="11" t="str">
        <f t="shared" si="10"/>
        <v/>
      </c>
      <c r="AN24" s="11" t="str">
        <f t="shared" si="11"/>
        <v/>
      </c>
      <c r="AO24" s="11" t="str">
        <f t="shared" si="12"/>
        <v/>
      </c>
      <c r="AP24" s="11" t="str">
        <f t="shared" si="13"/>
        <v/>
      </c>
      <c r="AQ24" s="11" t="str">
        <f t="shared" si="14"/>
        <v/>
      </c>
      <c r="AR24" s="11" t="str">
        <f t="shared" si="15"/>
        <v/>
      </c>
      <c r="AS24" s="11" t="str">
        <f t="shared" si="16"/>
        <v/>
      </c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6"/>
      <c r="BO24" s="14" t="str">
        <f t="shared" si="17"/>
        <v/>
      </c>
      <c r="BP24" s="14" t="str">
        <f t="shared" si="18"/>
        <v/>
      </c>
      <c r="BQ24" s="14" t="str">
        <f t="shared" si="19"/>
        <v/>
      </c>
      <c r="BR24" s="14" t="str">
        <f t="shared" si="20"/>
        <v/>
      </c>
      <c r="BS24" s="14" t="str">
        <f t="shared" si="21"/>
        <v/>
      </c>
      <c r="BT24" s="14" t="str">
        <f t="shared" si="22"/>
        <v/>
      </c>
      <c r="BU24" s="14" t="str">
        <f t="shared" si="23"/>
        <v/>
      </c>
      <c r="BV24" s="14" t="str">
        <f t="shared" si="24"/>
        <v/>
      </c>
      <c r="BW24" s="14" t="str">
        <f t="shared" si="25"/>
        <v/>
      </c>
      <c r="BX24" s="38">
        <v>16.3</v>
      </c>
      <c r="BY24" s="38">
        <v>9.6</v>
      </c>
      <c r="BZ24" s="38">
        <v>1.5</v>
      </c>
      <c r="CA24" s="38">
        <v>14.6</v>
      </c>
      <c r="CB24" s="38">
        <v>0</v>
      </c>
      <c r="CC24" s="38">
        <v>13</v>
      </c>
      <c r="CD24" s="38">
        <v>8</v>
      </c>
      <c r="CE24" s="38">
        <v>8.3000000000000007</v>
      </c>
      <c r="CF24" s="38">
        <v>12.98</v>
      </c>
      <c r="CG24" s="38">
        <v>0.5</v>
      </c>
      <c r="CH24" s="38"/>
      <c r="CI24" s="38"/>
      <c r="CJ24" s="38"/>
      <c r="CK24" s="38"/>
      <c r="CL24" s="38"/>
      <c r="CM24" s="38">
        <v>0</v>
      </c>
      <c r="CN24" s="38">
        <v>0</v>
      </c>
      <c r="CO24" s="38">
        <v>0</v>
      </c>
      <c r="CP24" s="38">
        <v>0</v>
      </c>
      <c r="CQ24" s="38">
        <v>0</v>
      </c>
      <c r="CR24" s="45"/>
      <c r="CS24" s="11">
        <f t="shared" si="26"/>
        <v>42</v>
      </c>
      <c r="CT24" s="11">
        <f t="shared" si="27"/>
        <v>8.3000000000000007</v>
      </c>
      <c r="CU24" s="11">
        <f t="shared" si="28"/>
        <v>41.78</v>
      </c>
      <c r="CV24" s="11" t="str">
        <f t="shared" si="29"/>
        <v/>
      </c>
      <c r="CW24" s="11" t="str">
        <f t="shared" si="30"/>
        <v/>
      </c>
      <c r="CX24" s="11">
        <f t="shared" si="31"/>
        <v>83.78</v>
      </c>
      <c r="CY24" s="11" t="str">
        <f t="shared" si="32"/>
        <v/>
      </c>
      <c r="CZ24" s="11" t="str">
        <f t="shared" si="33"/>
        <v/>
      </c>
      <c r="DA24" s="11">
        <f t="shared" si="34"/>
        <v>83.78</v>
      </c>
      <c r="DB24" s="19" t="str">
        <f t="shared" si="35"/>
        <v/>
      </c>
      <c r="DC24" s="19" t="str">
        <f t="shared" si="36"/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 t="shared" si="37"/>
        <v/>
      </c>
      <c r="DT24" s="11" t="str">
        <f t="shared" si="38"/>
        <v/>
      </c>
      <c r="DU24" s="11" t="str">
        <f t="shared" si="39"/>
        <v/>
      </c>
      <c r="DV24" s="11" t="str">
        <f t="shared" si="40"/>
        <v/>
      </c>
      <c r="DW24" s="11" t="str">
        <f t="shared" si="41"/>
        <v/>
      </c>
      <c r="DX24" s="11" t="str">
        <f t="shared" si="42"/>
        <v/>
      </c>
      <c r="DY24" s="11" t="str">
        <f t="shared" si="43"/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 t="shared" si="44"/>
        <v/>
      </c>
      <c r="EP24" s="14" t="str">
        <f t="shared" si="45"/>
        <v/>
      </c>
      <c r="EQ24" s="14" t="str">
        <f t="shared" si="46"/>
        <v/>
      </c>
      <c r="ER24" s="14" t="str">
        <f t="shared" si="47"/>
        <v/>
      </c>
      <c r="ES24" s="14" t="str">
        <f t="shared" si="48"/>
        <v/>
      </c>
      <c r="ET24" s="14" t="str">
        <f t="shared" si="49"/>
        <v/>
      </c>
      <c r="EU24" s="14" t="str">
        <f t="shared" si="50"/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 t="shared" si="51"/>
        <v/>
      </c>
      <c r="FL24" s="11" t="str">
        <f t="shared" si="52"/>
        <v/>
      </c>
      <c r="FM24" s="11" t="str">
        <f t="shared" si="53"/>
        <v/>
      </c>
      <c r="FN24" s="11" t="str">
        <f t="shared" si="54"/>
        <v/>
      </c>
      <c r="FO24" s="11" t="str">
        <f t="shared" si="55"/>
        <v/>
      </c>
      <c r="FP24" s="11" t="str">
        <f t="shared" si="56"/>
        <v/>
      </c>
      <c r="FQ24" s="11" t="str">
        <f t="shared" si="57"/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 t="shared" si="58"/>
        <v/>
      </c>
      <c r="GH24" s="14" t="str">
        <f t="shared" si="59"/>
        <v/>
      </c>
      <c r="GI24" s="14" t="str">
        <f t="shared" si="60"/>
        <v/>
      </c>
      <c r="GJ24" s="14" t="str">
        <f t="shared" si="61"/>
        <v/>
      </c>
      <c r="GK24" s="14" t="str">
        <f t="shared" si="62"/>
        <v/>
      </c>
      <c r="GL24" s="14" t="str">
        <f t="shared" si="63"/>
        <v/>
      </c>
      <c r="GM24" s="14" t="str">
        <f t="shared" si="64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 t="shared" si="65"/>
        <v/>
      </c>
      <c r="HD24" s="11" t="str">
        <f t="shared" si="66"/>
        <v/>
      </c>
      <c r="HE24" s="11" t="str">
        <f t="shared" si="67"/>
        <v/>
      </c>
      <c r="HF24" s="11" t="str">
        <f t="shared" si="68"/>
        <v/>
      </c>
      <c r="HG24" s="11" t="str">
        <f t="shared" si="69"/>
        <v/>
      </c>
      <c r="HH24" s="11" t="str">
        <f t="shared" si="70"/>
        <v/>
      </c>
      <c r="HI24" s="11" t="str">
        <f t="shared" si="71"/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 t="shared" si="72"/>
        <v/>
      </c>
      <c r="HZ24" s="14" t="str">
        <f t="shared" si="73"/>
        <v/>
      </c>
      <c r="IA24" s="14" t="str">
        <f t="shared" si="74"/>
        <v/>
      </c>
      <c r="IB24" s="14" t="str">
        <f t="shared" si="75"/>
        <v/>
      </c>
      <c r="IC24" s="14" t="str">
        <f t="shared" si="76"/>
        <v/>
      </c>
      <c r="ID24" s="14" t="str">
        <f t="shared" si="77"/>
        <v/>
      </c>
      <c r="IE24" s="14" t="str">
        <f t="shared" si="78"/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 t="shared" si="79"/>
        <v/>
      </c>
      <c r="IV24" s="11" t="str">
        <f t="shared" si="80"/>
        <v/>
      </c>
      <c r="IW24" s="11" t="str">
        <f t="shared" si="81"/>
        <v/>
      </c>
      <c r="IX24" s="11" t="str">
        <f t="shared" si="82"/>
        <v/>
      </c>
      <c r="IY24" s="11" t="str">
        <f t="shared" si="83"/>
        <v/>
      </c>
      <c r="IZ24" s="11" t="str">
        <f t="shared" si="84"/>
        <v/>
      </c>
      <c r="JA24" s="11" t="str">
        <f t="shared" si="85"/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 t="shared" si="86"/>
        <v/>
      </c>
      <c r="JR24" s="14" t="str">
        <f t="shared" si="87"/>
        <v/>
      </c>
      <c r="JS24" s="14" t="str">
        <f t="shared" si="88"/>
        <v/>
      </c>
      <c r="JT24" s="14" t="str">
        <f t="shared" si="89"/>
        <v/>
      </c>
      <c r="JU24" s="14" t="str">
        <f t="shared" si="90"/>
        <v/>
      </c>
      <c r="JV24" s="14" t="str">
        <f t="shared" si="91"/>
        <v/>
      </c>
      <c r="JW24" s="14" t="str">
        <f t="shared" si="92"/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 t="shared" si="93"/>
        <v/>
      </c>
      <c r="KN24" s="11" t="str">
        <f t="shared" si="94"/>
        <v/>
      </c>
      <c r="KO24" s="11" t="str">
        <f t="shared" si="95"/>
        <v/>
      </c>
      <c r="KP24" s="11" t="str">
        <f t="shared" si="96"/>
        <v/>
      </c>
      <c r="KQ24" s="11" t="str">
        <f t="shared" si="97"/>
        <v/>
      </c>
      <c r="KR24" s="11" t="str">
        <f t="shared" si="98"/>
        <v/>
      </c>
      <c r="KS24" s="11" t="str">
        <f t="shared" si="99"/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 t="shared" si="100"/>
        <v/>
      </c>
      <c r="LJ24" s="14" t="str">
        <f t="shared" si="101"/>
        <v/>
      </c>
      <c r="LK24" s="14" t="str">
        <f t="shared" si="102"/>
        <v/>
      </c>
      <c r="LL24" s="14" t="str">
        <f t="shared" si="103"/>
        <v/>
      </c>
      <c r="LM24" s="14" t="str">
        <f t="shared" si="104"/>
        <v/>
      </c>
      <c r="LN24" s="14" t="str">
        <f t="shared" si="105"/>
        <v/>
      </c>
      <c r="LO24" s="14" t="str">
        <f t="shared" si="106"/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 t="shared" si="107"/>
        <v/>
      </c>
      <c r="MF24" s="11" t="str">
        <f t="shared" si="108"/>
        <v/>
      </c>
      <c r="MG24" s="11" t="str">
        <f t="shared" si="109"/>
        <v/>
      </c>
      <c r="MH24" s="11" t="str">
        <f t="shared" si="110"/>
        <v/>
      </c>
      <c r="MI24" s="11" t="str">
        <f t="shared" si="111"/>
        <v/>
      </c>
      <c r="MJ24" s="11" t="str">
        <f t="shared" si="112"/>
        <v/>
      </c>
      <c r="MK24" s="11" t="str">
        <f t="shared" si="113"/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 t="shared" si="114"/>
        <v/>
      </c>
      <c r="NB24" s="14" t="str">
        <f t="shared" si="115"/>
        <v/>
      </c>
      <c r="NC24" s="14" t="str">
        <f t="shared" si="116"/>
        <v/>
      </c>
      <c r="ND24" s="14" t="str">
        <f t="shared" si="117"/>
        <v/>
      </c>
      <c r="NE24" s="14" t="str">
        <f t="shared" si="118"/>
        <v/>
      </c>
      <c r="NF24" s="14" t="str">
        <f t="shared" si="119"/>
        <v/>
      </c>
      <c r="NG24" s="14" t="str">
        <f t="shared" si="120"/>
        <v/>
      </c>
      <c r="NH24" s="38">
        <f t="shared" si="121"/>
        <v>8.15</v>
      </c>
      <c r="NI24" s="38">
        <f t="shared" si="122"/>
        <v>4.8</v>
      </c>
      <c r="NJ24" s="38">
        <f t="shared" si="123"/>
        <v>0.75</v>
      </c>
      <c r="NK24" s="38">
        <f t="shared" si="124"/>
        <v>7.3</v>
      </c>
      <c r="NL24" s="38">
        <f t="shared" si="125"/>
        <v>0</v>
      </c>
      <c r="NM24" s="38">
        <f t="shared" si="126"/>
        <v>6.5</v>
      </c>
      <c r="NN24" s="38">
        <f t="shared" si="127"/>
        <v>4</v>
      </c>
      <c r="NO24" s="38">
        <f t="shared" si="128"/>
        <v>4.1500000000000004</v>
      </c>
      <c r="NP24" s="38">
        <f t="shared" si="129"/>
        <v>6.49</v>
      </c>
      <c r="NQ24" s="38">
        <f t="shared" si="130"/>
        <v>0.25</v>
      </c>
      <c r="NR24" s="38">
        <f t="shared" si="131"/>
        <v>0</v>
      </c>
      <c r="NS24" s="38">
        <f t="shared" si="132"/>
        <v>0</v>
      </c>
      <c r="NT24" s="38">
        <f t="shared" si="133"/>
        <v>0</v>
      </c>
      <c r="NU24" s="38">
        <f t="shared" si="134"/>
        <v>0</v>
      </c>
      <c r="NV24" s="38">
        <f t="shared" si="135"/>
        <v>0</v>
      </c>
      <c r="NW24" s="38">
        <f t="shared" si="136"/>
        <v>0</v>
      </c>
      <c r="NX24" s="38">
        <f t="shared" si="137"/>
        <v>0</v>
      </c>
      <c r="NY24" s="38">
        <f t="shared" si="138"/>
        <v>0</v>
      </c>
      <c r="NZ24" s="38">
        <f t="shared" si="139"/>
        <v>0</v>
      </c>
      <c r="OA24" s="38">
        <f t="shared" si="140"/>
        <v>0</v>
      </c>
      <c r="OB24" s="45" t="s">
        <v>46</v>
      </c>
      <c r="OC24" s="11">
        <f t="shared" si="141"/>
        <v>21</v>
      </c>
      <c r="OD24" s="11">
        <f t="shared" si="142"/>
        <v>4.1500000000000004</v>
      </c>
      <c r="OE24" s="11">
        <f t="shared" si="143"/>
        <v>20.89</v>
      </c>
      <c r="OF24" s="11" t="str">
        <f t="shared" si="144"/>
        <v/>
      </c>
      <c r="OG24" s="11" t="str">
        <f t="shared" si="145"/>
        <v/>
      </c>
      <c r="OH24" s="11">
        <f t="shared" si="146"/>
        <v>41.89</v>
      </c>
      <c r="OI24" s="11" t="str">
        <f t="shared" si="147"/>
        <v/>
      </c>
      <c r="OJ24" s="11" t="str">
        <f t="shared" ref="OJ24" si="182">IF(SUM(NW24:NZ24)-OA24&gt;0,SUM(NW24:NZ24)-OA24,"")</f>
        <v/>
      </c>
      <c r="OK24" s="11">
        <f t="shared" ref="OK24" si="183">IF(SUM(OH24,OJ24)&gt;0,SUM(OH24,OJ24),"")</f>
        <v>41.89</v>
      </c>
    </row>
    <row r="25" spans="1:401" x14ac:dyDescent="0.2">
      <c r="A25" s="5" t="str" cm="1">
        <f t="array" ref="A25">IF(AND(F25="P",G25="P"),SUMPRODUCT((F$4:F$29="P")*(G$4:G$29="P")*(E$4:E$29&gt;E25))+1,IF(G25="P",SUMPRODUCT((F$4:F$29="")*(G$4:G$29="P")*(E$4:E$29&gt;E25))+1+SUMPRODUCT((F$4:F$29="P")*(G$4:G$29="P")),""))</f>
        <v/>
      </c>
      <c r="B25" s="8" t="s">
        <v>155</v>
      </c>
      <c r="C25" s="4" t="s">
        <v>3</v>
      </c>
      <c r="D25" s="22">
        <v>2005</v>
      </c>
      <c r="E25" s="15">
        <f t="shared" si="0"/>
        <v>41.1</v>
      </c>
      <c r="F25" s="3" t="str">
        <f t="shared" si="1"/>
        <v/>
      </c>
      <c r="G25" s="3" t="str">
        <f t="shared" si="2"/>
        <v/>
      </c>
      <c r="H25" s="67" t="str">
        <f t="shared" si="3"/>
        <v/>
      </c>
      <c r="I25" s="14">
        <f t="shared" si="4"/>
        <v>41.1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0</v>
      </c>
      <c r="L25" s="14" t="str">
        <f t="shared" si="6"/>
        <v/>
      </c>
      <c r="M25" s="14" t="str">
        <f t="shared" si="7"/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 t="shared" si="8"/>
        <v/>
      </c>
      <c r="AL25" s="11" t="str">
        <f t="shared" si="9"/>
        <v/>
      </c>
      <c r="AM25" s="11" t="str">
        <f t="shared" si="10"/>
        <v/>
      </c>
      <c r="AN25" s="11" t="str">
        <f t="shared" si="11"/>
        <v/>
      </c>
      <c r="AO25" s="11" t="str">
        <f t="shared" si="12"/>
        <v/>
      </c>
      <c r="AP25" s="11" t="str">
        <f t="shared" si="13"/>
        <v/>
      </c>
      <c r="AQ25" s="11" t="str">
        <f t="shared" si="14"/>
        <v/>
      </c>
      <c r="AR25" s="11" t="str">
        <f t="shared" si="15"/>
        <v/>
      </c>
      <c r="AS25" s="11" t="str">
        <f t="shared" si="16"/>
        <v/>
      </c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 t="str">
        <f t="shared" si="17"/>
        <v/>
      </c>
      <c r="BP25" s="14" t="str">
        <f t="shared" si="18"/>
        <v/>
      </c>
      <c r="BQ25" s="14" t="str">
        <f t="shared" si="19"/>
        <v/>
      </c>
      <c r="BR25" s="14" t="str">
        <f t="shared" si="20"/>
        <v/>
      </c>
      <c r="BS25" s="14" t="str">
        <f t="shared" si="21"/>
        <v/>
      </c>
      <c r="BT25" s="14" t="str">
        <f t="shared" si="22"/>
        <v/>
      </c>
      <c r="BU25" s="14" t="str">
        <f t="shared" si="23"/>
        <v/>
      </c>
      <c r="BV25" s="14" t="str">
        <f t="shared" si="24"/>
        <v/>
      </c>
      <c r="BW25" s="14" t="str">
        <f t="shared" si="25"/>
        <v/>
      </c>
      <c r="BX25" s="38">
        <v>13.7</v>
      </c>
      <c r="BY25" s="38">
        <v>9.3000000000000007</v>
      </c>
      <c r="BZ25" s="38">
        <v>2.2999999999999998</v>
      </c>
      <c r="CA25" s="38">
        <v>13.36</v>
      </c>
      <c r="CB25" s="38">
        <v>0</v>
      </c>
      <c r="CC25" s="38">
        <v>11.8</v>
      </c>
      <c r="CD25" s="38">
        <v>9.1999999999999993</v>
      </c>
      <c r="CE25" s="38">
        <v>8</v>
      </c>
      <c r="CF25" s="38">
        <v>12.9</v>
      </c>
      <c r="CG25" s="38">
        <v>0.8</v>
      </c>
      <c r="CH25" s="38"/>
      <c r="CI25" s="38"/>
      <c r="CJ25" s="38"/>
      <c r="CK25" s="38"/>
      <c r="CL25" s="38"/>
      <c r="CM25" s="38">
        <v>0</v>
      </c>
      <c r="CN25" s="38">
        <v>0</v>
      </c>
      <c r="CO25" s="38">
        <v>0</v>
      </c>
      <c r="CP25" s="38">
        <v>0</v>
      </c>
      <c r="CQ25" s="38">
        <v>0</v>
      </c>
      <c r="CR25" s="45"/>
      <c r="CS25" s="11">
        <f t="shared" si="26"/>
        <v>38.659999999999997</v>
      </c>
      <c r="CT25" s="11">
        <f t="shared" si="27"/>
        <v>8</v>
      </c>
      <c r="CU25" s="11">
        <f t="shared" si="28"/>
        <v>41.1</v>
      </c>
      <c r="CV25" s="11" t="str">
        <f t="shared" si="29"/>
        <v/>
      </c>
      <c r="CW25" s="11" t="str">
        <f t="shared" si="30"/>
        <v/>
      </c>
      <c r="CX25" s="11">
        <f t="shared" si="31"/>
        <v>79.759999999999991</v>
      </c>
      <c r="CY25" s="11" t="str">
        <f t="shared" si="32"/>
        <v/>
      </c>
      <c r="CZ25" s="11" t="str">
        <f t="shared" si="33"/>
        <v/>
      </c>
      <c r="DA25" s="11">
        <f t="shared" si="34"/>
        <v>79.759999999999991</v>
      </c>
      <c r="DB25" s="19" t="str">
        <f t="shared" si="35"/>
        <v/>
      </c>
      <c r="DC25" s="19" t="str">
        <f t="shared" si="36"/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 t="shared" si="37"/>
        <v/>
      </c>
      <c r="DT25" s="11" t="str">
        <f t="shared" si="38"/>
        <v/>
      </c>
      <c r="DU25" s="11" t="str">
        <f t="shared" si="39"/>
        <v/>
      </c>
      <c r="DV25" s="11" t="str">
        <f t="shared" si="40"/>
        <v/>
      </c>
      <c r="DW25" s="11" t="str">
        <f t="shared" si="41"/>
        <v/>
      </c>
      <c r="DX25" s="11" t="str">
        <f t="shared" si="42"/>
        <v/>
      </c>
      <c r="DY25" s="11" t="str">
        <f t="shared" si="43"/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 t="shared" si="44"/>
        <v/>
      </c>
      <c r="EP25" s="14" t="str">
        <f t="shared" si="45"/>
        <v/>
      </c>
      <c r="EQ25" s="14" t="str">
        <f t="shared" si="46"/>
        <v/>
      </c>
      <c r="ER25" s="14" t="str">
        <f t="shared" si="47"/>
        <v/>
      </c>
      <c r="ES25" s="14" t="str">
        <f t="shared" si="48"/>
        <v/>
      </c>
      <c r="ET25" s="14" t="str">
        <f t="shared" si="49"/>
        <v/>
      </c>
      <c r="EU25" s="14" t="str">
        <f t="shared" si="50"/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 t="shared" si="51"/>
        <v/>
      </c>
      <c r="FL25" s="11" t="str">
        <f t="shared" si="52"/>
        <v/>
      </c>
      <c r="FM25" s="11" t="str">
        <f t="shared" si="53"/>
        <v/>
      </c>
      <c r="FN25" s="11" t="str">
        <f t="shared" si="54"/>
        <v/>
      </c>
      <c r="FO25" s="11" t="str">
        <f t="shared" si="55"/>
        <v/>
      </c>
      <c r="FP25" s="11" t="str">
        <f t="shared" si="56"/>
        <v/>
      </c>
      <c r="FQ25" s="11" t="str">
        <f t="shared" si="57"/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 t="shared" si="58"/>
        <v/>
      </c>
      <c r="GH25" s="14" t="str">
        <f t="shared" si="59"/>
        <v/>
      </c>
      <c r="GI25" s="14" t="str">
        <f t="shared" si="60"/>
        <v/>
      </c>
      <c r="GJ25" s="14" t="str">
        <f t="shared" si="61"/>
        <v/>
      </c>
      <c r="GK25" s="14" t="str">
        <f t="shared" si="62"/>
        <v/>
      </c>
      <c r="GL25" s="14" t="str">
        <f t="shared" si="63"/>
        <v/>
      </c>
      <c r="GM25" s="14" t="str">
        <f t="shared" si="64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 t="shared" si="65"/>
        <v/>
      </c>
      <c r="HD25" s="11" t="str">
        <f t="shared" si="66"/>
        <v/>
      </c>
      <c r="HE25" s="11" t="str">
        <f t="shared" si="67"/>
        <v/>
      </c>
      <c r="HF25" s="11" t="str">
        <f t="shared" si="68"/>
        <v/>
      </c>
      <c r="HG25" s="11" t="str">
        <f t="shared" si="69"/>
        <v/>
      </c>
      <c r="HH25" s="11" t="str">
        <f t="shared" si="70"/>
        <v/>
      </c>
      <c r="HI25" s="11" t="str">
        <f t="shared" si="71"/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 t="shared" si="72"/>
        <v/>
      </c>
      <c r="HZ25" s="14" t="str">
        <f t="shared" si="73"/>
        <v/>
      </c>
      <c r="IA25" s="14" t="str">
        <f t="shared" si="74"/>
        <v/>
      </c>
      <c r="IB25" s="14" t="str">
        <f t="shared" si="75"/>
        <v/>
      </c>
      <c r="IC25" s="14" t="str">
        <f t="shared" si="76"/>
        <v/>
      </c>
      <c r="ID25" s="14" t="str">
        <f t="shared" si="77"/>
        <v/>
      </c>
      <c r="IE25" s="14" t="str">
        <f t="shared" si="78"/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 t="shared" si="79"/>
        <v/>
      </c>
      <c r="IV25" s="11" t="str">
        <f t="shared" si="80"/>
        <v/>
      </c>
      <c r="IW25" s="11" t="str">
        <f t="shared" si="81"/>
        <v/>
      </c>
      <c r="IX25" s="11" t="str">
        <f t="shared" si="82"/>
        <v/>
      </c>
      <c r="IY25" s="11" t="str">
        <f t="shared" si="83"/>
        <v/>
      </c>
      <c r="IZ25" s="11" t="str">
        <f t="shared" si="84"/>
        <v/>
      </c>
      <c r="JA25" s="11" t="str">
        <f t="shared" si="85"/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 t="shared" si="86"/>
        <v/>
      </c>
      <c r="JR25" s="14" t="str">
        <f t="shared" si="87"/>
        <v/>
      </c>
      <c r="JS25" s="14" t="str">
        <f t="shared" si="88"/>
        <v/>
      </c>
      <c r="JT25" s="14" t="str">
        <f t="shared" si="89"/>
        <v/>
      </c>
      <c r="JU25" s="14" t="str">
        <f t="shared" si="90"/>
        <v/>
      </c>
      <c r="JV25" s="14" t="str">
        <f t="shared" si="91"/>
        <v/>
      </c>
      <c r="JW25" s="14" t="str">
        <f t="shared" si="92"/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 t="shared" si="93"/>
        <v/>
      </c>
      <c r="KN25" s="11" t="str">
        <f t="shared" si="94"/>
        <v/>
      </c>
      <c r="KO25" s="11" t="str">
        <f t="shared" si="95"/>
        <v/>
      </c>
      <c r="KP25" s="11" t="str">
        <f t="shared" si="96"/>
        <v/>
      </c>
      <c r="KQ25" s="11" t="str">
        <f t="shared" si="97"/>
        <v/>
      </c>
      <c r="KR25" s="11" t="str">
        <f t="shared" si="98"/>
        <v/>
      </c>
      <c r="KS25" s="11" t="str">
        <f t="shared" si="99"/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 t="shared" si="100"/>
        <v/>
      </c>
      <c r="LJ25" s="14" t="str">
        <f t="shared" si="101"/>
        <v/>
      </c>
      <c r="LK25" s="14" t="str">
        <f t="shared" si="102"/>
        <v/>
      </c>
      <c r="LL25" s="14" t="str">
        <f t="shared" si="103"/>
        <v/>
      </c>
      <c r="LM25" s="14" t="str">
        <f t="shared" si="104"/>
        <v/>
      </c>
      <c r="LN25" s="14" t="str">
        <f t="shared" si="105"/>
        <v/>
      </c>
      <c r="LO25" s="14" t="str">
        <f t="shared" si="106"/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 t="shared" si="107"/>
        <v/>
      </c>
      <c r="MF25" s="11" t="str">
        <f t="shared" si="108"/>
        <v/>
      </c>
      <c r="MG25" s="11" t="str">
        <f t="shared" si="109"/>
        <v/>
      </c>
      <c r="MH25" s="11" t="str">
        <f t="shared" si="110"/>
        <v/>
      </c>
      <c r="MI25" s="11" t="str">
        <f t="shared" si="111"/>
        <v/>
      </c>
      <c r="MJ25" s="11" t="str">
        <f t="shared" si="112"/>
        <v/>
      </c>
      <c r="MK25" s="11" t="str">
        <f t="shared" si="113"/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 t="shared" si="114"/>
        <v/>
      </c>
      <c r="NB25" s="14" t="str">
        <f t="shared" si="115"/>
        <v/>
      </c>
      <c r="NC25" s="14" t="str">
        <f t="shared" si="116"/>
        <v/>
      </c>
      <c r="ND25" s="14" t="str">
        <f t="shared" si="117"/>
        <v/>
      </c>
      <c r="NE25" s="14" t="str">
        <f t="shared" si="118"/>
        <v/>
      </c>
      <c r="NF25" s="14" t="str">
        <f t="shared" si="119"/>
        <v/>
      </c>
      <c r="NG25" s="14" t="str">
        <f t="shared" si="120"/>
        <v/>
      </c>
      <c r="NH25" s="38">
        <f t="shared" si="121"/>
        <v>6.85</v>
      </c>
      <c r="NI25" s="38">
        <f t="shared" si="122"/>
        <v>4.6500000000000004</v>
      </c>
      <c r="NJ25" s="38">
        <f t="shared" si="123"/>
        <v>1.1499999999999999</v>
      </c>
      <c r="NK25" s="38">
        <f t="shared" si="124"/>
        <v>6.68</v>
      </c>
      <c r="NL25" s="38">
        <f t="shared" si="125"/>
        <v>0</v>
      </c>
      <c r="NM25" s="38">
        <f t="shared" si="126"/>
        <v>5.9</v>
      </c>
      <c r="NN25" s="38">
        <f t="shared" si="127"/>
        <v>4.5999999999999996</v>
      </c>
      <c r="NO25" s="38">
        <f t="shared" si="128"/>
        <v>4</v>
      </c>
      <c r="NP25" s="38">
        <f t="shared" si="129"/>
        <v>6.45</v>
      </c>
      <c r="NQ25" s="38">
        <f t="shared" si="130"/>
        <v>0.4</v>
      </c>
      <c r="NR25" s="38">
        <f t="shared" si="131"/>
        <v>0</v>
      </c>
      <c r="NS25" s="38">
        <f t="shared" si="132"/>
        <v>0</v>
      </c>
      <c r="NT25" s="38">
        <f t="shared" si="133"/>
        <v>0</v>
      </c>
      <c r="NU25" s="38">
        <f t="shared" si="134"/>
        <v>0</v>
      </c>
      <c r="NV25" s="38">
        <f t="shared" si="135"/>
        <v>0</v>
      </c>
      <c r="NW25" s="38">
        <f t="shared" si="136"/>
        <v>0</v>
      </c>
      <c r="NX25" s="38">
        <f t="shared" si="137"/>
        <v>0</v>
      </c>
      <c r="NY25" s="38">
        <f t="shared" si="138"/>
        <v>0</v>
      </c>
      <c r="NZ25" s="38">
        <f t="shared" si="139"/>
        <v>0</v>
      </c>
      <c r="OA25" s="38">
        <f t="shared" si="140"/>
        <v>0</v>
      </c>
      <c r="OB25" s="45" t="s">
        <v>46</v>
      </c>
      <c r="OC25" s="11">
        <f t="shared" si="141"/>
        <v>19.329999999999998</v>
      </c>
      <c r="OD25" s="11">
        <f t="shared" si="142"/>
        <v>4</v>
      </c>
      <c r="OE25" s="11">
        <f t="shared" si="143"/>
        <v>20.55</v>
      </c>
      <c r="OF25" s="11" t="str">
        <f t="shared" si="144"/>
        <v/>
      </c>
      <c r="OG25" s="11" t="str">
        <f t="shared" si="145"/>
        <v/>
      </c>
      <c r="OH25" s="11">
        <f t="shared" si="146"/>
        <v>39.879999999999995</v>
      </c>
      <c r="OI25" s="11" t="str">
        <f t="shared" si="147"/>
        <v/>
      </c>
      <c r="OJ25" s="11" t="str">
        <f t="shared" ref="OJ25" si="184">IF(SUM(NW25:NZ25)-OA25&gt;0,SUM(NW25:NZ25)-OA25,"")</f>
        <v/>
      </c>
      <c r="OK25" s="11">
        <f t="shared" ref="OK25" si="185">IF(SUM(OH25,OJ25)&gt;0,SUM(OH25,OJ25),"")</f>
        <v>39.879999999999995</v>
      </c>
    </row>
    <row r="26" spans="1:401" x14ac:dyDescent="0.2">
      <c r="A26" s="5" t="str" cm="1">
        <f t="array" ref="A26">IF(AND(F26="P",G26="P"),SUMPRODUCT((F$4:F$29="P")*(G$4:G$29="P")*(E$4:E$29&gt;E26))+1,IF(G26="P",SUMPRODUCT((F$4:F$29="")*(G$4:G$29="P")*(E$4:E$29&gt;E26))+1+SUMPRODUCT((F$4:F$29="P")*(G$4:G$29="P")),""))</f>
        <v/>
      </c>
      <c r="B26" s="8" t="s">
        <v>83</v>
      </c>
      <c r="C26" s="4" t="s">
        <v>4</v>
      </c>
      <c r="D26" s="22">
        <v>2004</v>
      </c>
      <c r="E26" s="15">
        <f t="shared" si="0"/>
        <v>34.715000000000003</v>
      </c>
      <c r="F26" s="3" t="str">
        <f t="shared" si="1"/>
        <v/>
      </c>
      <c r="G26" s="3" t="str">
        <f t="shared" si="2"/>
        <v/>
      </c>
      <c r="H26" s="67" t="str">
        <f t="shared" si="3"/>
        <v/>
      </c>
      <c r="I26" s="14">
        <f t="shared" si="4"/>
        <v>24.35</v>
      </c>
      <c r="J26" s="14" t="str">
        <f t="shared" si="5"/>
        <v>2021 Elite Canada</v>
      </c>
      <c r="K26" s="14">
        <f>IF(COUNT(AM26,AO26,AR26,BQ26,BS26,BV26,CU26,CW26,CZ26)&gt;1,LARGE((AM26,AO26,AR26,BQ26,BS26,BV26,CU26,CW26,CZ26),2),0)</f>
        <v>10.365</v>
      </c>
      <c r="L26" s="14" t="str">
        <f t="shared" si="6"/>
        <v>2021 Canadian Championships</v>
      </c>
      <c r="M26" s="14" t="str">
        <f t="shared" si="7"/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>
        <v>14.5</v>
      </c>
      <c r="Q26" s="38">
        <v>9.1999999999999993</v>
      </c>
      <c r="R26" s="38">
        <v>2.9</v>
      </c>
      <c r="S26" s="38">
        <v>15.175000000000001</v>
      </c>
      <c r="T26" s="38">
        <v>0</v>
      </c>
      <c r="U26" s="38">
        <v>7.4</v>
      </c>
      <c r="V26" s="38">
        <v>4.3</v>
      </c>
      <c r="W26" s="38">
        <v>5.3</v>
      </c>
      <c r="X26" s="38">
        <v>7.35</v>
      </c>
      <c r="Y26" s="38">
        <v>0</v>
      </c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>
        <f t="shared" si="8"/>
        <v>41.774999999999999</v>
      </c>
      <c r="AL26" s="11">
        <f t="shared" si="9"/>
        <v>5.3</v>
      </c>
      <c r="AM26" s="11">
        <f t="shared" si="10"/>
        <v>24.35</v>
      </c>
      <c r="AN26" s="11" t="str">
        <f t="shared" si="11"/>
        <v/>
      </c>
      <c r="AO26" s="11" t="str">
        <f t="shared" si="12"/>
        <v/>
      </c>
      <c r="AP26" s="11">
        <f t="shared" si="13"/>
        <v>66.125</v>
      </c>
      <c r="AQ26" s="11" t="str">
        <f t="shared" si="14"/>
        <v/>
      </c>
      <c r="AR26" s="11" t="str">
        <f t="shared" si="15"/>
        <v/>
      </c>
      <c r="AS26" s="11">
        <f t="shared" si="16"/>
        <v>66.125</v>
      </c>
      <c r="AT26" s="42">
        <v>15.1</v>
      </c>
      <c r="AU26" s="42">
        <v>8.8000000000000007</v>
      </c>
      <c r="AV26" s="42">
        <v>2.9</v>
      </c>
      <c r="AW26" s="42">
        <v>15.46</v>
      </c>
      <c r="AX26" s="42">
        <v>0</v>
      </c>
      <c r="AY26" s="42">
        <v>3</v>
      </c>
      <c r="AZ26" s="42">
        <v>1.7</v>
      </c>
      <c r="BA26" s="42">
        <v>2.5</v>
      </c>
      <c r="BB26" s="42">
        <v>3.165</v>
      </c>
      <c r="BC26" s="42">
        <v>0</v>
      </c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6"/>
      <c r="BO26" s="14">
        <f t="shared" si="17"/>
        <v>42.26</v>
      </c>
      <c r="BP26" s="14">
        <f t="shared" si="18"/>
        <v>2.5</v>
      </c>
      <c r="BQ26" s="14">
        <f t="shared" si="19"/>
        <v>10.365</v>
      </c>
      <c r="BR26" s="14" t="str">
        <f t="shared" si="20"/>
        <v/>
      </c>
      <c r="BS26" s="14" t="str">
        <f t="shared" si="21"/>
        <v/>
      </c>
      <c r="BT26" s="14">
        <f t="shared" si="22"/>
        <v>52.625</v>
      </c>
      <c r="BU26" s="14" t="str">
        <f t="shared" si="23"/>
        <v/>
      </c>
      <c r="BV26" s="14" t="str">
        <f t="shared" si="24"/>
        <v/>
      </c>
      <c r="BW26" s="14">
        <f t="shared" si="25"/>
        <v>52.625</v>
      </c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 t="str">
        <f t="shared" si="26"/>
        <v/>
      </c>
      <c r="CT26" s="11" t="str">
        <f t="shared" si="27"/>
        <v/>
      </c>
      <c r="CU26" s="11" t="str">
        <f t="shared" si="28"/>
        <v/>
      </c>
      <c r="CV26" s="11" t="str">
        <f t="shared" si="29"/>
        <v/>
      </c>
      <c r="CW26" s="11" t="str">
        <f t="shared" si="30"/>
        <v/>
      </c>
      <c r="CX26" s="11" t="str">
        <f t="shared" si="31"/>
        <v/>
      </c>
      <c r="CY26" s="11" t="str">
        <f t="shared" si="32"/>
        <v/>
      </c>
      <c r="CZ26" s="11" t="str">
        <f t="shared" si="33"/>
        <v/>
      </c>
      <c r="DA26" s="11" t="str">
        <f t="shared" si="34"/>
        <v/>
      </c>
      <c r="DB26" s="19" t="str">
        <f t="shared" si="35"/>
        <v/>
      </c>
      <c r="DC26" s="19" t="str">
        <f t="shared" si="36"/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 t="shared" si="37"/>
        <v/>
      </c>
      <c r="DT26" s="11" t="str">
        <f t="shared" si="38"/>
        <v/>
      </c>
      <c r="DU26" s="11" t="str">
        <f t="shared" si="39"/>
        <v/>
      </c>
      <c r="DV26" s="11" t="str">
        <f t="shared" si="40"/>
        <v/>
      </c>
      <c r="DW26" s="11" t="str">
        <f t="shared" si="41"/>
        <v/>
      </c>
      <c r="DX26" s="11" t="str">
        <f t="shared" si="42"/>
        <v/>
      </c>
      <c r="DY26" s="11" t="str">
        <f t="shared" si="43"/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 t="shared" si="44"/>
        <v/>
      </c>
      <c r="EP26" s="14" t="str">
        <f t="shared" si="45"/>
        <v/>
      </c>
      <c r="EQ26" s="14" t="str">
        <f t="shared" si="46"/>
        <v/>
      </c>
      <c r="ER26" s="14" t="str">
        <f t="shared" si="47"/>
        <v/>
      </c>
      <c r="ES26" s="14" t="str">
        <f t="shared" si="48"/>
        <v/>
      </c>
      <c r="ET26" s="14" t="str">
        <f t="shared" si="49"/>
        <v/>
      </c>
      <c r="EU26" s="14" t="str">
        <f t="shared" si="50"/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 t="shared" si="51"/>
        <v/>
      </c>
      <c r="FL26" s="11" t="str">
        <f t="shared" si="52"/>
        <v/>
      </c>
      <c r="FM26" s="11" t="str">
        <f t="shared" si="53"/>
        <v/>
      </c>
      <c r="FN26" s="11" t="str">
        <f t="shared" si="54"/>
        <v/>
      </c>
      <c r="FO26" s="11" t="str">
        <f t="shared" si="55"/>
        <v/>
      </c>
      <c r="FP26" s="11" t="str">
        <f t="shared" si="56"/>
        <v/>
      </c>
      <c r="FQ26" s="11" t="str">
        <f t="shared" si="57"/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 t="shared" si="58"/>
        <v/>
      </c>
      <c r="GH26" s="14" t="str">
        <f t="shared" si="59"/>
        <v/>
      </c>
      <c r="GI26" s="14" t="str">
        <f t="shared" si="60"/>
        <v/>
      </c>
      <c r="GJ26" s="14" t="str">
        <f t="shared" si="61"/>
        <v/>
      </c>
      <c r="GK26" s="14" t="str">
        <f t="shared" si="62"/>
        <v/>
      </c>
      <c r="GL26" s="14" t="str">
        <f t="shared" si="63"/>
        <v/>
      </c>
      <c r="GM26" s="14" t="str">
        <f t="shared" si="64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 t="shared" si="65"/>
        <v/>
      </c>
      <c r="HD26" s="11" t="str">
        <f t="shared" si="66"/>
        <v/>
      </c>
      <c r="HE26" s="11" t="str">
        <f t="shared" si="67"/>
        <v/>
      </c>
      <c r="HF26" s="11" t="str">
        <f t="shared" si="68"/>
        <v/>
      </c>
      <c r="HG26" s="11" t="str">
        <f t="shared" si="69"/>
        <v/>
      </c>
      <c r="HH26" s="11" t="str">
        <f t="shared" si="70"/>
        <v/>
      </c>
      <c r="HI26" s="11" t="str">
        <f t="shared" si="71"/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 t="shared" si="72"/>
        <v/>
      </c>
      <c r="HZ26" s="14" t="str">
        <f t="shared" si="73"/>
        <v/>
      </c>
      <c r="IA26" s="14" t="str">
        <f t="shared" si="74"/>
        <v/>
      </c>
      <c r="IB26" s="14" t="str">
        <f t="shared" si="75"/>
        <v/>
      </c>
      <c r="IC26" s="14" t="str">
        <f t="shared" si="76"/>
        <v/>
      </c>
      <c r="ID26" s="14" t="str">
        <f t="shared" si="77"/>
        <v/>
      </c>
      <c r="IE26" s="14" t="str">
        <f t="shared" si="78"/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 t="shared" si="79"/>
        <v/>
      </c>
      <c r="IV26" s="11" t="str">
        <f t="shared" si="80"/>
        <v/>
      </c>
      <c r="IW26" s="11" t="str">
        <f t="shared" si="81"/>
        <v/>
      </c>
      <c r="IX26" s="11" t="str">
        <f t="shared" si="82"/>
        <v/>
      </c>
      <c r="IY26" s="11" t="str">
        <f t="shared" si="83"/>
        <v/>
      </c>
      <c r="IZ26" s="11" t="str">
        <f t="shared" si="84"/>
        <v/>
      </c>
      <c r="JA26" s="11" t="str">
        <f t="shared" si="85"/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 t="shared" si="86"/>
        <v/>
      </c>
      <c r="JR26" s="14" t="str">
        <f t="shared" si="87"/>
        <v/>
      </c>
      <c r="JS26" s="14" t="str">
        <f t="shared" si="88"/>
        <v/>
      </c>
      <c r="JT26" s="14" t="str">
        <f t="shared" si="89"/>
        <v/>
      </c>
      <c r="JU26" s="14" t="str">
        <f t="shared" si="90"/>
        <v/>
      </c>
      <c r="JV26" s="14" t="str">
        <f t="shared" si="91"/>
        <v/>
      </c>
      <c r="JW26" s="14" t="str">
        <f t="shared" si="92"/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 t="shared" si="93"/>
        <v/>
      </c>
      <c r="KN26" s="11" t="str">
        <f t="shared" si="94"/>
        <v/>
      </c>
      <c r="KO26" s="11" t="str">
        <f t="shared" si="95"/>
        <v/>
      </c>
      <c r="KP26" s="11" t="str">
        <f t="shared" si="96"/>
        <v/>
      </c>
      <c r="KQ26" s="11" t="str">
        <f t="shared" si="97"/>
        <v/>
      </c>
      <c r="KR26" s="11" t="str">
        <f t="shared" si="98"/>
        <v/>
      </c>
      <c r="KS26" s="11" t="str">
        <f t="shared" si="99"/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 t="shared" si="100"/>
        <v/>
      </c>
      <c r="LJ26" s="14" t="str">
        <f t="shared" si="101"/>
        <v/>
      </c>
      <c r="LK26" s="14" t="str">
        <f t="shared" si="102"/>
        <v/>
      </c>
      <c r="LL26" s="14" t="str">
        <f t="shared" si="103"/>
        <v/>
      </c>
      <c r="LM26" s="14" t="str">
        <f t="shared" si="104"/>
        <v/>
      </c>
      <c r="LN26" s="14" t="str">
        <f t="shared" si="105"/>
        <v/>
      </c>
      <c r="LO26" s="14" t="str">
        <f t="shared" si="106"/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 t="shared" si="107"/>
        <v/>
      </c>
      <c r="MF26" s="11" t="str">
        <f t="shared" si="108"/>
        <v/>
      </c>
      <c r="MG26" s="11" t="str">
        <f t="shared" si="109"/>
        <v/>
      </c>
      <c r="MH26" s="11" t="str">
        <f t="shared" si="110"/>
        <v/>
      </c>
      <c r="MI26" s="11" t="str">
        <f t="shared" si="111"/>
        <v/>
      </c>
      <c r="MJ26" s="11" t="str">
        <f t="shared" si="112"/>
        <v/>
      </c>
      <c r="MK26" s="11" t="str">
        <f t="shared" si="113"/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 t="shared" si="114"/>
        <v/>
      </c>
      <c r="NB26" s="14" t="str">
        <f t="shared" si="115"/>
        <v/>
      </c>
      <c r="NC26" s="14" t="str">
        <f t="shared" si="116"/>
        <v/>
      </c>
      <c r="ND26" s="14" t="str">
        <f t="shared" si="117"/>
        <v/>
      </c>
      <c r="NE26" s="14" t="str">
        <f t="shared" si="118"/>
        <v/>
      </c>
      <c r="NF26" s="14" t="str">
        <f t="shared" si="119"/>
        <v/>
      </c>
      <c r="NG26" s="14" t="str">
        <f t="shared" si="120"/>
        <v/>
      </c>
      <c r="NH26" s="38">
        <f t="shared" si="121"/>
        <v>7.55</v>
      </c>
      <c r="NI26" s="38">
        <f t="shared" si="122"/>
        <v>4.4000000000000004</v>
      </c>
      <c r="NJ26" s="38">
        <f t="shared" si="123"/>
        <v>1.45</v>
      </c>
      <c r="NK26" s="38">
        <f t="shared" si="124"/>
        <v>7.73</v>
      </c>
      <c r="NL26" s="38">
        <f t="shared" si="125"/>
        <v>0</v>
      </c>
      <c r="NM26" s="38">
        <f t="shared" si="126"/>
        <v>1.5</v>
      </c>
      <c r="NN26" s="38">
        <f t="shared" si="127"/>
        <v>0.85</v>
      </c>
      <c r="NO26" s="38">
        <f t="shared" si="128"/>
        <v>1.25</v>
      </c>
      <c r="NP26" s="38">
        <f t="shared" si="129"/>
        <v>1.5825</v>
      </c>
      <c r="NQ26" s="38">
        <f t="shared" si="130"/>
        <v>0</v>
      </c>
      <c r="NR26" s="38">
        <f t="shared" si="131"/>
        <v>0</v>
      </c>
      <c r="NS26" s="38">
        <f t="shared" si="132"/>
        <v>0</v>
      </c>
      <c r="NT26" s="38">
        <f t="shared" si="133"/>
        <v>0</v>
      </c>
      <c r="NU26" s="38">
        <f t="shared" si="134"/>
        <v>0</v>
      </c>
      <c r="NV26" s="38">
        <f t="shared" si="135"/>
        <v>0</v>
      </c>
      <c r="NW26" s="38">
        <f t="shared" si="136"/>
        <v>0</v>
      </c>
      <c r="NX26" s="38">
        <f t="shared" si="137"/>
        <v>0</v>
      </c>
      <c r="NY26" s="38">
        <f t="shared" si="138"/>
        <v>0</v>
      </c>
      <c r="NZ26" s="38">
        <f t="shared" si="139"/>
        <v>0</v>
      </c>
      <c r="OA26" s="38">
        <f t="shared" si="140"/>
        <v>0</v>
      </c>
      <c r="OB26" s="45" t="s">
        <v>46</v>
      </c>
      <c r="OC26" s="11">
        <f t="shared" si="141"/>
        <v>21.13</v>
      </c>
      <c r="OD26" s="11">
        <f t="shared" si="142"/>
        <v>1.25</v>
      </c>
      <c r="OE26" s="11">
        <f t="shared" si="143"/>
        <v>5.1825000000000001</v>
      </c>
      <c r="OF26" s="11" t="str">
        <f t="shared" si="144"/>
        <v/>
      </c>
      <c r="OG26" s="11" t="str">
        <f t="shared" si="145"/>
        <v/>
      </c>
      <c r="OH26" s="11">
        <f t="shared" si="146"/>
        <v>26.3125</v>
      </c>
      <c r="OI26" s="11" t="str">
        <f t="shared" si="147"/>
        <v/>
      </c>
      <c r="OJ26" s="11" t="str">
        <f t="shared" ref="OJ26" si="186">IF(SUM(NW26:NZ26)-OA26&gt;0,SUM(NW26:NZ26)-OA26,"")</f>
        <v/>
      </c>
      <c r="OK26" s="11">
        <f t="shared" ref="OK26" si="187">IF(SUM(OH26,OJ26)&gt;0,SUM(OH26,OJ26),"")</f>
        <v>26.3125</v>
      </c>
    </row>
    <row r="27" spans="1:401" x14ac:dyDescent="0.2">
      <c r="A27" s="5" t="str" cm="1">
        <f t="array" ref="A27">IF(AND(F27="P",G27="P"),SUMPRODUCT((F$4:F$29="P")*(G$4:G$29="P")*(E$4:E$29&gt;E27))+1,IF(G27="P",SUMPRODUCT((F$4:F$29="")*(G$4:G$29="P")*(E$4:E$29&gt;E27))+1+SUMPRODUCT((F$4:F$29="P")*(G$4:G$29="P")),""))</f>
        <v/>
      </c>
      <c r="B27" s="8" t="s">
        <v>86</v>
      </c>
      <c r="C27" s="4" t="s">
        <v>5</v>
      </c>
      <c r="D27" s="22">
        <v>2003</v>
      </c>
      <c r="E27" s="15">
        <f t="shared" si="0"/>
        <v>22.794999999999998</v>
      </c>
      <c r="F27" s="3" t="str">
        <f t="shared" si="1"/>
        <v/>
      </c>
      <c r="G27" s="3" t="str">
        <f t="shared" si="2"/>
        <v/>
      </c>
      <c r="H27" s="67" t="str">
        <f t="shared" si="3"/>
        <v/>
      </c>
      <c r="I27" s="14">
        <f t="shared" si="4"/>
        <v>22.794999999999998</v>
      </c>
      <c r="J27" s="14" t="str">
        <f t="shared" si="5"/>
        <v>2021 Canadian Championships</v>
      </c>
      <c r="K27" s="14">
        <f>IF(COUNT(AM27,AO27,AR27,BQ27,BS27,BV27,CU27,CW27,CZ27)&gt;1,LARGE((AM27,AO27,AR27,BQ27,BS27,BV27,CU27,CW27,CZ27),2),0)</f>
        <v>0</v>
      </c>
      <c r="L27" s="14" t="str">
        <f t="shared" si="6"/>
        <v/>
      </c>
      <c r="M27" s="14" t="str">
        <f t="shared" si="7"/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 t="shared" si="8"/>
        <v/>
      </c>
      <c r="AL27" s="11" t="str">
        <f t="shared" si="9"/>
        <v/>
      </c>
      <c r="AM27" s="11" t="str">
        <f t="shared" si="10"/>
        <v/>
      </c>
      <c r="AN27" s="11" t="str">
        <f t="shared" si="11"/>
        <v/>
      </c>
      <c r="AO27" s="11" t="str">
        <f t="shared" si="12"/>
        <v/>
      </c>
      <c r="AP27" s="11" t="str">
        <f t="shared" si="13"/>
        <v/>
      </c>
      <c r="AQ27" s="11" t="str">
        <f t="shared" si="14"/>
        <v/>
      </c>
      <c r="AR27" s="11" t="str">
        <f t="shared" si="15"/>
        <v/>
      </c>
      <c r="AS27" s="11" t="str">
        <f t="shared" si="16"/>
        <v/>
      </c>
      <c r="AT27" s="42">
        <v>15.4</v>
      </c>
      <c r="AU27" s="42">
        <v>9.4</v>
      </c>
      <c r="AV27" s="42">
        <v>1.4</v>
      </c>
      <c r="AW27" s="42">
        <v>13.64</v>
      </c>
      <c r="AX27" s="42">
        <v>0</v>
      </c>
      <c r="AY27" s="42">
        <v>6.1</v>
      </c>
      <c r="AZ27" s="42">
        <v>4.7</v>
      </c>
      <c r="BA27" s="42">
        <v>5.6</v>
      </c>
      <c r="BB27" s="42">
        <v>6.3949999999999996</v>
      </c>
      <c r="BC27" s="42">
        <v>0</v>
      </c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>
        <f t="shared" si="17"/>
        <v>39.840000000000003</v>
      </c>
      <c r="BP27" s="14">
        <f t="shared" si="18"/>
        <v>5.6</v>
      </c>
      <c r="BQ27" s="14">
        <f t="shared" si="19"/>
        <v>22.794999999999998</v>
      </c>
      <c r="BR27" s="14" t="str">
        <f t="shared" si="20"/>
        <v/>
      </c>
      <c r="BS27" s="14" t="str">
        <f t="shared" si="21"/>
        <v/>
      </c>
      <c r="BT27" s="14">
        <f t="shared" si="22"/>
        <v>62.635000000000005</v>
      </c>
      <c r="BU27" s="14" t="str">
        <f t="shared" si="23"/>
        <v/>
      </c>
      <c r="BV27" s="14" t="str">
        <f t="shared" si="24"/>
        <v/>
      </c>
      <c r="BW27" s="14">
        <f t="shared" si="25"/>
        <v>62.635000000000005</v>
      </c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45"/>
      <c r="CS27" s="11" t="str">
        <f t="shared" si="26"/>
        <v/>
      </c>
      <c r="CT27" s="11" t="str">
        <f t="shared" si="27"/>
        <v/>
      </c>
      <c r="CU27" s="11" t="str">
        <f t="shared" si="28"/>
        <v/>
      </c>
      <c r="CV27" s="11" t="str">
        <f t="shared" si="29"/>
        <v/>
      </c>
      <c r="CW27" s="11" t="str">
        <f t="shared" si="30"/>
        <v/>
      </c>
      <c r="CX27" s="11" t="str">
        <f t="shared" si="31"/>
        <v/>
      </c>
      <c r="CY27" s="11" t="str">
        <f t="shared" si="32"/>
        <v/>
      </c>
      <c r="CZ27" s="11" t="str">
        <f t="shared" si="33"/>
        <v/>
      </c>
      <c r="DA27" s="11" t="str">
        <f t="shared" si="34"/>
        <v/>
      </c>
      <c r="DB27" s="19" t="str">
        <f t="shared" si="35"/>
        <v/>
      </c>
      <c r="DC27" s="19" t="str">
        <f t="shared" si="36"/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 t="shared" si="37"/>
        <v/>
      </c>
      <c r="DT27" s="11" t="str">
        <f t="shared" si="38"/>
        <v/>
      </c>
      <c r="DU27" s="11" t="str">
        <f t="shared" si="39"/>
        <v/>
      </c>
      <c r="DV27" s="11" t="str">
        <f t="shared" si="40"/>
        <v/>
      </c>
      <c r="DW27" s="11" t="str">
        <f t="shared" si="41"/>
        <v/>
      </c>
      <c r="DX27" s="11" t="str">
        <f t="shared" si="42"/>
        <v/>
      </c>
      <c r="DY27" s="11" t="str">
        <f t="shared" si="43"/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 t="shared" si="44"/>
        <v/>
      </c>
      <c r="EP27" s="14" t="str">
        <f t="shared" si="45"/>
        <v/>
      </c>
      <c r="EQ27" s="14" t="str">
        <f t="shared" si="46"/>
        <v/>
      </c>
      <c r="ER27" s="14" t="str">
        <f t="shared" si="47"/>
        <v/>
      </c>
      <c r="ES27" s="14" t="str">
        <f t="shared" si="48"/>
        <v/>
      </c>
      <c r="ET27" s="14" t="str">
        <f t="shared" si="49"/>
        <v/>
      </c>
      <c r="EU27" s="14" t="str">
        <f t="shared" si="50"/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 t="shared" si="51"/>
        <v/>
      </c>
      <c r="FL27" s="11" t="str">
        <f t="shared" si="52"/>
        <v/>
      </c>
      <c r="FM27" s="11" t="str">
        <f t="shared" si="53"/>
        <v/>
      </c>
      <c r="FN27" s="11" t="str">
        <f t="shared" si="54"/>
        <v/>
      </c>
      <c r="FO27" s="11" t="str">
        <f t="shared" si="55"/>
        <v/>
      </c>
      <c r="FP27" s="11" t="str">
        <f t="shared" si="56"/>
        <v/>
      </c>
      <c r="FQ27" s="11" t="str">
        <f t="shared" si="57"/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 t="shared" si="58"/>
        <v/>
      </c>
      <c r="GH27" s="14" t="str">
        <f t="shared" si="59"/>
        <v/>
      </c>
      <c r="GI27" s="14" t="str">
        <f t="shared" si="60"/>
        <v/>
      </c>
      <c r="GJ27" s="14" t="str">
        <f t="shared" si="61"/>
        <v/>
      </c>
      <c r="GK27" s="14" t="str">
        <f t="shared" si="62"/>
        <v/>
      </c>
      <c r="GL27" s="14" t="str">
        <f t="shared" si="63"/>
        <v/>
      </c>
      <c r="GM27" s="14" t="str">
        <f t="shared" si="64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 t="shared" si="65"/>
        <v/>
      </c>
      <c r="HD27" s="11" t="str">
        <f t="shared" si="66"/>
        <v/>
      </c>
      <c r="HE27" s="11" t="str">
        <f t="shared" si="67"/>
        <v/>
      </c>
      <c r="HF27" s="11" t="str">
        <f t="shared" si="68"/>
        <v/>
      </c>
      <c r="HG27" s="11" t="str">
        <f t="shared" si="69"/>
        <v/>
      </c>
      <c r="HH27" s="11" t="str">
        <f t="shared" si="70"/>
        <v/>
      </c>
      <c r="HI27" s="11" t="str">
        <f t="shared" si="71"/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 t="shared" si="72"/>
        <v/>
      </c>
      <c r="HZ27" s="14" t="str">
        <f t="shared" si="73"/>
        <v/>
      </c>
      <c r="IA27" s="14" t="str">
        <f t="shared" si="74"/>
        <v/>
      </c>
      <c r="IB27" s="14" t="str">
        <f t="shared" si="75"/>
        <v/>
      </c>
      <c r="IC27" s="14" t="str">
        <f t="shared" si="76"/>
        <v/>
      </c>
      <c r="ID27" s="14" t="str">
        <f t="shared" si="77"/>
        <v/>
      </c>
      <c r="IE27" s="14" t="str">
        <f t="shared" si="78"/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 t="shared" si="79"/>
        <v/>
      </c>
      <c r="IV27" s="11" t="str">
        <f t="shared" si="80"/>
        <v/>
      </c>
      <c r="IW27" s="11" t="str">
        <f t="shared" si="81"/>
        <v/>
      </c>
      <c r="IX27" s="11" t="str">
        <f t="shared" si="82"/>
        <v/>
      </c>
      <c r="IY27" s="11" t="str">
        <f t="shared" si="83"/>
        <v/>
      </c>
      <c r="IZ27" s="11" t="str">
        <f t="shared" si="84"/>
        <v/>
      </c>
      <c r="JA27" s="11" t="str">
        <f t="shared" si="85"/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 t="shared" si="86"/>
        <v/>
      </c>
      <c r="JR27" s="14" t="str">
        <f t="shared" si="87"/>
        <v/>
      </c>
      <c r="JS27" s="14" t="str">
        <f t="shared" si="88"/>
        <v/>
      </c>
      <c r="JT27" s="14" t="str">
        <f t="shared" si="89"/>
        <v/>
      </c>
      <c r="JU27" s="14" t="str">
        <f t="shared" si="90"/>
        <v/>
      </c>
      <c r="JV27" s="14" t="str">
        <f t="shared" si="91"/>
        <v/>
      </c>
      <c r="JW27" s="14" t="str">
        <f t="shared" si="92"/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 t="shared" si="93"/>
        <v/>
      </c>
      <c r="KN27" s="11" t="str">
        <f t="shared" si="94"/>
        <v/>
      </c>
      <c r="KO27" s="11" t="str">
        <f t="shared" si="95"/>
        <v/>
      </c>
      <c r="KP27" s="11" t="str">
        <f t="shared" si="96"/>
        <v/>
      </c>
      <c r="KQ27" s="11" t="str">
        <f t="shared" si="97"/>
        <v/>
      </c>
      <c r="KR27" s="11" t="str">
        <f t="shared" si="98"/>
        <v/>
      </c>
      <c r="KS27" s="11" t="str">
        <f t="shared" si="99"/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 t="shared" si="100"/>
        <v/>
      </c>
      <c r="LJ27" s="14" t="str">
        <f t="shared" si="101"/>
        <v/>
      </c>
      <c r="LK27" s="14" t="str">
        <f t="shared" si="102"/>
        <v/>
      </c>
      <c r="LL27" s="14" t="str">
        <f t="shared" si="103"/>
        <v/>
      </c>
      <c r="LM27" s="14" t="str">
        <f t="shared" si="104"/>
        <v/>
      </c>
      <c r="LN27" s="14" t="str">
        <f t="shared" si="105"/>
        <v/>
      </c>
      <c r="LO27" s="14" t="str">
        <f t="shared" si="106"/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 t="shared" si="107"/>
        <v/>
      </c>
      <c r="MF27" s="11" t="str">
        <f t="shared" si="108"/>
        <v/>
      </c>
      <c r="MG27" s="11" t="str">
        <f t="shared" si="109"/>
        <v/>
      </c>
      <c r="MH27" s="11" t="str">
        <f t="shared" si="110"/>
        <v/>
      </c>
      <c r="MI27" s="11" t="str">
        <f t="shared" si="111"/>
        <v/>
      </c>
      <c r="MJ27" s="11" t="str">
        <f t="shared" si="112"/>
        <v/>
      </c>
      <c r="MK27" s="11" t="str">
        <f t="shared" si="113"/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 t="shared" si="114"/>
        <v/>
      </c>
      <c r="NB27" s="14" t="str">
        <f t="shared" si="115"/>
        <v/>
      </c>
      <c r="NC27" s="14" t="str">
        <f t="shared" si="116"/>
        <v/>
      </c>
      <c r="ND27" s="14" t="str">
        <f t="shared" si="117"/>
        <v/>
      </c>
      <c r="NE27" s="14" t="str">
        <f t="shared" si="118"/>
        <v/>
      </c>
      <c r="NF27" s="14" t="str">
        <f t="shared" si="119"/>
        <v/>
      </c>
      <c r="NG27" s="14" t="str">
        <f t="shared" si="120"/>
        <v/>
      </c>
      <c r="NH27" s="38">
        <f t="shared" si="121"/>
        <v>7.7</v>
      </c>
      <c r="NI27" s="38">
        <f t="shared" si="122"/>
        <v>4.7</v>
      </c>
      <c r="NJ27" s="38">
        <f t="shared" si="123"/>
        <v>0.7</v>
      </c>
      <c r="NK27" s="38">
        <f t="shared" si="124"/>
        <v>6.82</v>
      </c>
      <c r="NL27" s="38">
        <f t="shared" si="125"/>
        <v>0</v>
      </c>
      <c r="NM27" s="38">
        <f t="shared" si="126"/>
        <v>3.05</v>
      </c>
      <c r="NN27" s="38">
        <f t="shared" si="127"/>
        <v>2.35</v>
      </c>
      <c r="NO27" s="38">
        <f t="shared" si="128"/>
        <v>2.8</v>
      </c>
      <c r="NP27" s="38">
        <f t="shared" si="129"/>
        <v>3.1974999999999998</v>
      </c>
      <c r="NQ27" s="38">
        <f t="shared" si="130"/>
        <v>0</v>
      </c>
      <c r="NR27" s="38">
        <f t="shared" si="131"/>
        <v>0</v>
      </c>
      <c r="NS27" s="38">
        <f t="shared" si="132"/>
        <v>0</v>
      </c>
      <c r="NT27" s="38">
        <f t="shared" si="133"/>
        <v>0</v>
      </c>
      <c r="NU27" s="38">
        <f t="shared" si="134"/>
        <v>0</v>
      </c>
      <c r="NV27" s="38">
        <f t="shared" si="135"/>
        <v>0</v>
      </c>
      <c r="NW27" s="38">
        <f t="shared" si="136"/>
        <v>0</v>
      </c>
      <c r="NX27" s="38">
        <f t="shared" si="137"/>
        <v>0</v>
      </c>
      <c r="NY27" s="38">
        <f t="shared" si="138"/>
        <v>0</v>
      </c>
      <c r="NZ27" s="38">
        <f t="shared" si="139"/>
        <v>0</v>
      </c>
      <c r="OA27" s="38">
        <f t="shared" si="140"/>
        <v>0</v>
      </c>
      <c r="OB27" s="45" t="s">
        <v>46</v>
      </c>
      <c r="OC27" s="11">
        <f t="shared" si="141"/>
        <v>19.920000000000002</v>
      </c>
      <c r="OD27" s="11">
        <f t="shared" si="142"/>
        <v>2.8</v>
      </c>
      <c r="OE27" s="11">
        <f t="shared" si="143"/>
        <v>11.397499999999999</v>
      </c>
      <c r="OF27" s="11" t="str">
        <f t="shared" si="144"/>
        <v/>
      </c>
      <c r="OG27" s="11" t="str">
        <f t="shared" si="145"/>
        <v/>
      </c>
      <c r="OH27" s="11">
        <f t="shared" si="146"/>
        <v>31.317500000000003</v>
      </c>
      <c r="OI27" s="11" t="str">
        <f t="shared" si="147"/>
        <v/>
      </c>
      <c r="OJ27" s="11" t="str">
        <f t="shared" ref="OJ27" si="188">IF(SUM(NW27:NZ27)-OA27&gt;0,SUM(NW27:NZ27)-OA27,"")</f>
        <v/>
      </c>
      <c r="OK27" s="11">
        <f t="shared" ref="OK27" si="189">IF(SUM(OH27,OJ27)&gt;0,SUM(OH27,OJ27),"")</f>
        <v>31.317500000000003</v>
      </c>
    </row>
    <row r="28" spans="1:401" x14ac:dyDescent="0.2">
      <c r="A28" s="5" t="str" cm="1">
        <f t="array" ref="A28">IF(AND(F28="P",G28="P"),SUMPRODUCT((F$4:F$29="P")*(G$4:G$29="P")*(E$4:E$29&gt;E28))+1,IF(G28="P",SUMPRODUCT((F$4:F$29="")*(G$4:G$29="P")*(E$4:E$29&gt;E28))+1+SUMPRODUCT((F$4:F$29="P")*(G$4:G$29="P")),""))</f>
        <v/>
      </c>
      <c r="B28" s="8" t="s">
        <v>92</v>
      </c>
      <c r="C28" s="4" t="s">
        <v>5</v>
      </c>
      <c r="D28" s="22">
        <v>2001</v>
      </c>
      <c r="E28" s="15">
        <f t="shared" si="0"/>
        <v>21.14</v>
      </c>
      <c r="F28" s="3" t="str">
        <f t="shared" si="1"/>
        <v/>
      </c>
      <c r="G28" s="3" t="str">
        <f t="shared" si="2"/>
        <v/>
      </c>
      <c r="H28" s="67" t="str">
        <f t="shared" si="3"/>
        <v/>
      </c>
      <c r="I28" s="14">
        <f t="shared" si="4"/>
        <v>21.14</v>
      </c>
      <c r="J28" s="14" t="str">
        <f t="shared" si="5"/>
        <v>2022 Elite Canada</v>
      </c>
      <c r="K28" s="14">
        <f>IF(COUNT(AM28,AO28,AR28,BQ28,BS28,BV28,CU28,CW28,CZ28)&gt;1,LARGE((AM28,AO28,AR28,BQ28,BS28,BV28,CU28,CW28,CZ28),2),0)</f>
        <v>0</v>
      </c>
      <c r="L28" s="14" t="str">
        <f t="shared" si="6"/>
        <v/>
      </c>
      <c r="M28" s="14" t="str">
        <f t="shared" si="7"/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45"/>
      <c r="AK28" s="11" t="str">
        <f t="shared" si="8"/>
        <v/>
      </c>
      <c r="AL28" s="11" t="str">
        <f t="shared" si="9"/>
        <v/>
      </c>
      <c r="AM28" s="11" t="str">
        <f t="shared" si="10"/>
        <v/>
      </c>
      <c r="AN28" s="11" t="str">
        <f t="shared" si="11"/>
        <v/>
      </c>
      <c r="AO28" s="11" t="str">
        <f t="shared" si="12"/>
        <v/>
      </c>
      <c r="AP28" s="11" t="str">
        <f t="shared" si="13"/>
        <v/>
      </c>
      <c r="AQ28" s="11" t="str">
        <f t="shared" si="14"/>
        <v/>
      </c>
      <c r="AR28" s="11" t="str">
        <f t="shared" si="15"/>
        <v/>
      </c>
      <c r="AS28" s="11" t="str">
        <f t="shared" si="16"/>
        <v/>
      </c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 t="str">
        <f t="shared" si="17"/>
        <v/>
      </c>
      <c r="BP28" s="14" t="str">
        <f t="shared" si="18"/>
        <v/>
      </c>
      <c r="BQ28" s="14" t="str">
        <f t="shared" si="19"/>
        <v/>
      </c>
      <c r="BR28" s="14" t="str">
        <f t="shared" si="20"/>
        <v/>
      </c>
      <c r="BS28" s="14" t="str">
        <f t="shared" si="21"/>
        <v/>
      </c>
      <c r="BT28" s="14" t="str">
        <f t="shared" si="22"/>
        <v/>
      </c>
      <c r="BU28" s="14" t="str">
        <f t="shared" si="23"/>
        <v/>
      </c>
      <c r="BV28" s="14" t="str">
        <f t="shared" si="24"/>
        <v/>
      </c>
      <c r="BW28" s="14" t="str">
        <f t="shared" si="25"/>
        <v/>
      </c>
      <c r="BX28" s="38">
        <v>14.6</v>
      </c>
      <c r="BY28" s="38">
        <v>9.6999999999999993</v>
      </c>
      <c r="BZ28" s="38">
        <v>1.4</v>
      </c>
      <c r="CA28" s="38">
        <v>12.62</v>
      </c>
      <c r="CB28" s="38">
        <v>0</v>
      </c>
      <c r="CC28" s="38">
        <v>6.7</v>
      </c>
      <c r="CD28" s="38">
        <v>4.5</v>
      </c>
      <c r="CE28" s="38">
        <v>3.4</v>
      </c>
      <c r="CF28" s="38">
        <v>6.54</v>
      </c>
      <c r="CG28" s="38">
        <v>0</v>
      </c>
      <c r="CH28" s="38"/>
      <c r="CI28" s="38"/>
      <c r="CJ28" s="38"/>
      <c r="CK28" s="38"/>
      <c r="CL28" s="38"/>
      <c r="CM28" s="38">
        <v>0</v>
      </c>
      <c r="CN28" s="38">
        <v>0</v>
      </c>
      <c r="CO28" s="38">
        <v>0</v>
      </c>
      <c r="CP28" s="38">
        <v>0</v>
      </c>
      <c r="CQ28" s="38">
        <v>0</v>
      </c>
      <c r="CR28" s="45"/>
      <c r="CS28" s="11">
        <f t="shared" si="26"/>
        <v>38.319999999999993</v>
      </c>
      <c r="CT28" s="11">
        <f t="shared" si="27"/>
        <v>3.4</v>
      </c>
      <c r="CU28" s="11">
        <f t="shared" si="28"/>
        <v>21.14</v>
      </c>
      <c r="CV28" s="11" t="str">
        <f t="shared" si="29"/>
        <v/>
      </c>
      <c r="CW28" s="11" t="str">
        <f t="shared" si="30"/>
        <v/>
      </c>
      <c r="CX28" s="11">
        <f t="shared" si="31"/>
        <v>59.459999999999994</v>
      </c>
      <c r="CY28" s="11" t="str">
        <f t="shared" si="32"/>
        <v/>
      </c>
      <c r="CZ28" s="11" t="str">
        <f t="shared" si="33"/>
        <v/>
      </c>
      <c r="DA28" s="11">
        <f t="shared" si="34"/>
        <v>59.459999999999994</v>
      </c>
      <c r="DB28" s="19" t="str">
        <f t="shared" si="35"/>
        <v/>
      </c>
      <c r="DC28" s="19" t="str">
        <f t="shared" si="36"/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 t="shared" si="37"/>
        <v/>
      </c>
      <c r="DT28" s="11" t="str">
        <f t="shared" si="38"/>
        <v/>
      </c>
      <c r="DU28" s="11" t="str">
        <f t="shared" si="39"/>
        <v/>
      </c>
      <c r="DV28" s="11" t="str">
        <f t="shared" si="40"/>
        <v/>
      </c>
      <c r="DW28" s="11" t="str">
        <f t="shared" si="41"/>
        <v/>
      </c>
      <c r="DX28" s="11" t="str">
        <f t="shared" si="42"/>
        <v/>
      </c>
      <c r="DY28" s="11" t="str">
        <f t="shared" si="43"/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 t="shared" si="44"/>
        <v/>
      </c>
      <c r="EP28" s="14" t="str">
        <f t="shared" si="45"/>
        <v/>
      </c>
      <c r="EQ28" s="14" t="str">
        <f t="shared" si="46"/>
        <v/>
      </c>
      <c r="ER28" s="14" t="str">
        <f t="shared" si="47"/>
        <v/>
      </c>
      <c r="ES28" s="14" t="str">
        <f t="shared" si="48"/>
        <v/>
      </c>
      <c r="ET28" s="14" t="str">
        <f t="shared" si="49"/>
        <v/>
      </c>
      <c r="EU28" s="14" t="str">
        <f t="shared" si="50"/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 t="shared" si="51"/>
        <v/>
      </c>
      <c r="FL28" s="11" t="str">
        <f t="shared" si="52"/>
        <v/>
      </c>
      <c r="FM28" s="11" t="str">
        <f t="shared" si="53"/>
        <v/>
      </c>
      <c r="FN28" s="11" t="str">
        <f t="shared" si="54"/>
        <v/>
      </c>
      <c r="FO28" s="11" t="str">
        <f t="shared" si="55"/>
        <v/>
      </c>
      <c r="FP28" s="11" t="str">
        <f t="shared" si="56"/>
        <v/>
      </c>
      <c r="FQ28" s="11" t="str">
        <f t="shared" si="57"/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 t="shared" si="58"/>
        <v/>
      </c>
      <c r="GH28" s="14" t="str">
        <f t="shared" si="59"/>
        <v/>
      </c>
      <c r="GI28" s="14" t="str">
        <f t="shared" si="60"/>
        <v/>
      </c>
      <c r="GJ28" s="14" t="str">
        <f t="shared" si="61"/>
        <v/>
      </c>
      <c r="GK28" s="14" t="str">
        <f t="shared" si="62"/>
        <v/>
      </c>
      <c r="GL28" s="14" t="str">
        <f t="shared" si="63"/>
        <v/>
      </c>
      <c r="GM28" s="14" t="str">
        <f t="shared" si="64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 t="shared" si="65"/>
        <v/>
      </c>
      <c r="HD28" s="11" t="str">
        <f t="shared" si="66"/>
        <v/>
      </c>
      <c r="HE28" s="11" t="str">
        <f t="shared" si="67"/>
        <v/>
      </c>
      <c r="HF28" s="11" t="str">
        <f t="shared" si="68"/>
        <v/>
      </c>
      <c r="HG28" s="11" t="str">
        <f t="shared" si="69"/>
        <v/>
      </c>
      <c r="HH28" s="11" t="str">
        <f t="shared" si="70"/>
        <v/>
      </c>
      <c r="HI28" s="11" t="str">
        <f t="shared" si="71"/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 t="shared" si="72"/>
        <v/>
      </c>
      <c r="HZ28" s="14" t="str">
        <f t="shared" si="73"/>
        <v/>
      </c>
      <c r="IA28" s="14" t="str">
        <f t="shared" si="74"/>
        <v/>
      </c>
      <c r="IB28" s="14" t="str">
        <f t="shared" si="75"/>
        <v/>
      </c>
      <c r="IC28" s="14" t="str">
        <f t="shared" si="76"/>
        <v/>
      </c>
      <c r="ID28" s="14" t="str">
        <f t="shared" si="77"/>
        <v/>
      </c>
      <c r="IE28" s="14" t="str">
        <f t="shared" si="78"/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 t="shared" si="79"/>
        <v/>
      </c>
      <c r="IV28" s="11" t="str">
        <f t="shared" si="80"/>
        <v/>
      </c>
      <c r="IW28" s="11" t="str">
        <f t="shared" si="81"/>
        <v/>
      </c>
      <c r="IX28" s="11" t="str">
        <f t="shared" si="82"/>
        <v/>
      </c>
      <c r="IY28" s="11" t="str">
        <f t="shared" si="83"/>
        <v/>
      </c>
      <c r="IZ28" s="11" t="str">
        <f t="shared" si="84"/>
        <v/>
      </c>
      <c r="JA28" s="11" t="str">
        <f t="shared" si="85"/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 t="shared" si="86"/>
        <v/>
      </c>
      <c r="JR28" s="14" t="str">
        <f t="shared" si="87"/>
        <v/>
      </c>
      <c r="JS28" s="14" t="str">
        <f t="shared" si="88"/>
        <v/>
      </c>
      <c r="JT28" s="14" t="str">
        <f t="shared" si="89"/>
        <v/>
      </c>
      <c r="JU28" s="14" t="str">
        <f t="shared" si="90"/>
        <v/>
      </c>
      <c r="JV28" s="14" t="str">
        <f t="shared" si="91"/>
        <v/>
      </c>
      <c r="JW28" s="14" t="str">
        <f t="shared" si="92"/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 t="shared" si="93"/>
        <v/>
      </c>
      <c r="KN28" s="11" t="str">
        <f t="shared" si="94"/>
        <v/>
      </c>
      <c r="KO28" s="11" t="str">
        <f t="shared" si="95"/>
        <v/>
      </c>
      <c r="KP28" s="11" t="str">
        <f t="shared" si="96"/>
        <v/>
      </c>
      <c r="KQ28" s="11" t="str">
        <f t="shared" si="97"/>
        <v/>
      </c>
      <c r="KR28" s="11" t="str">
        <f t="shared" si="98"/>
        <v/>
      </c>
      <c r="KS28" s="11" t="str">
        <f t="shared" si="99"/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 t="shared" si="100"/>
        <v/>
      </c>
      <c r="LJ28" s="14" t="str">
        <f t="shared" si="101"/>
        <v/>
      </c>
      <c r="LK28" s="14" t="str">
        <f t="shared" si="102"/>
        <v/>
      </c>
      <c r="LL28" s="14" t="str">
        <f t="shared" si="103"/>
        <v/>
      </c>
      <c r="LM28" s="14" t="str">
        <f t="shared" si="104"/>
        <v/>
      </c>
      <c r="LN28" s="14" t="str">
        <f t="shared" si="105"/>
        <v/>
      </c>
      <c r="LO28" s="14" t="str">
        <f t="shared" si="106"/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 t="shared" si="107"/>
        <v/>
      </c>
      <c r="MF28" s="11" t="str">
        <f t="shared" si="108"/>
        <v/>
      </c>
      <c r="MG28" s="11" t="str">
        <f t="shared" si="109"/>
        <v/>
      </c>
      <c r="MH28" s="11" t="str">
        <f t="shared" si="110"/>
        <v/>
      </c>
      <c r="MI28" s="11" t="str">
        <f t="shared" si="111"/>
        <v/>
      </c>
      <c r="MJ28" s="11" t="str">
        <f t="shared" si="112"/>
        <v/>
      </c>
      <c r="MK28" s="11" t="str">
        <f t="shared" si="113"/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 t="shared" si="114"/>
        <v/>
      </c>
      <c r="NB28" s="14" t="str">
        <f t="shared" si="115"/>
        <v/>
      </c>
      <c r="NC28" s="14" t="str">
        <f t="shared" si="116"/>
        <v/>
      </c>
      <c r="ND28" s="14" t="str">
        <f t="shared" si="117"/>
        <v/>
      </c>
      <c r="NE28" s="14" t="str">
        <f t="shared" si="118"/>
        <v/>
      </c>
      <c r="NF28" s="14" t="str">
        <f t="shared" si="119"/>
        <v/>
      </c>
      <c r="NG28" s="14" t="str">
        <f t="shared" si="120"/>
        <v/>
      </c>
      <c r="NH28" s="38">
        <f t="shared" si="121"/>
        <v>7.3</v>
      </c>
      <c r="NI28" s="38">
        <f t="shared" si="122"/>
        <v>4.8499999999999996</v>
      </c>
      <c r="NJ28" s="38">
        <f t="shared" si="123"/>
        <v>0.7</v>
      </c>
      <c r="NK28" s="38">
        <f t="shared" si="124"/>
        <v>6.31</v>
      </c>
      <c r="NL28" s="38">
        <f t="shared" si="125"/>
        <v>0</v>
      </c>
      <c r="NM28" s="38">
        <f t="shared" si="126"/>
        <v>3.35</v>
      </c>
      <c r="NN28" s="38">
        <f t="shared" si="127"/>
        <v>2.25</v>
      </c>
      <c r="NO28" s="38">
        <f t="shared" si="128"/>
        <v>1.7</v>
      </c>
      <c r="NP28" s="38">
        <f t="shared" si="129"/>
        <v>3.27</v>
      </c>
      <c r="NQ28" s="38">
        <f t="shared" si="130"/>
        <v>0</v>
      </c>
      <c r="NR28" s="38">
        <f t="shared" si="131"/>
        <v>0</v>
      </c>
      <c r="NS28" s="38">
        <f t="shared" si="132"/>
        <v>0</v>
      </c>
      <c r="NT28" s="38">
        <f t="shared" si="133"/>
        <v>0</v>
      </c>
      <c r="NU28" s="38">
        <f t="shared" si="134"/>
        <v>0</v>
      </c>
      <c r="NV28" s="38">
        <f t="shared" si="135"/>
        <v>0</v>
      </c>
      <c r="NW28" s="38">
        <f t="shared" si="136"/>
        <v>0</v>
      </c>
      <c r="NX28" s="38">
        <f t="shared" si="137"/>
        <v>0</v>
      </c>
      <c r="NY28" s="38">
        <f t="shared" si="138"/>
        <v>0</v>
      </c>
      <c r="NZ28" s="38">
        <f t="shared" si="139"/>
        <v>0</v>
      </c>
      <c r="OA28" s="38">
        <f t="shared" si="140"/>
        <v>0</v>
      </c>
      <c r="OB28" s="45" t="s">
        <v>46</v>
      </c>
      <c r="OC28" s="11">
        <f t="shared" si="141"/>
        <v>19.159999999999997</v>
      </c>
      <c r="OD28" s="11">
        <f t="shared" si="142"/>
        <v>1.7</v>
      </c>
      <c r="OE28" s="11">
        <f t="shared" si="143"/>
        <v>10.57</v>
      </c>
      <c r="OF28" s="11" t="str">
        <f t="shared" si="144"/>
        <v/>
      </c>
      <c r="OG28" s="11" t="str">
        <f t="shared" si="145"/>
        <v/>
      </c>
      <c r="OH28" s="11">
        <f t="shared" si="146"/>
        <v>29.729999999999997</v>
      </c>
      <c r="OI28" s="11" t="str">
        <f t="shared" si="147"/>
        <v/>
      </c>
      <c r="OJ28" s="11" t="str">
        <f t="shared" ref="OJ28" si="190">IF(SUM(NW28:NZ28)-OA28&gt;0,SUM(NW28:NZ28)-OA28,"")</f>
        <v/>
      </c>
      <c r="OK28" s="11">
        <f t="shared" ref="OK28" si="191">IF(SUM(OH28,OJ28)&gt;0,SUM(OH28,OJ28),"")</f>
        <v>29.729999999999997</v>
      </c>
    </row>
    <row r="29" spans="1:401" x14ac:dyDescent="0.2">
      <c r="B29" s="6"/>
      <c r="D29" s="1"/>
    </row>
    <row r="31" spans="1:401" x14ac:dyDescent="0.2">
      <c r="B31" s="39" t="s">
        <v>44</v>
      </c>
      <c r="C31" s="34"/>
      <c r="AL31" s="66"/>
      <c r="AM31" s="66"/>
      <c r="AN31" s="66"/>
      <c r="AQ31" s="32"/>
      <c r="AS31" s="35">
        <v>11.2</v>
      </c>
      <c r="BP31" s="66"/>
      <c r="BQ31" s="66"/>
      <c r="BR31" s="66"/>
      <c r="BU31" s="32"/>
      <c r="BW31" s="35">
        <v>11.2</v>
      </c>
      <c r="CT31" s="66"/>
      <c r="CU31" s="66"/>
      <c r="CV31" s="66"/>
      <c r="CY31" s="32"/>
      <c r="DA31" s="35">
        <v>11.2</v>
      </c>
      <c r="DS31" s="34"/>
      <c r="DW31" s="32"/>
      <c r="DY31" s="35">
        <v>11.2</v>
      </c>
      <c r="EO31" s="34"/>
      <c r="ES31" s="32"/>
      <c r="EU31" s="35">
        <v>11.2</v>
      </c>
      <c r="FK31" s="34"/>
      <c r="FO31" s="32"/>
      <c r="FQ31" s="35">
        <v>11.2</v>
      </c>
      <c r="GG31" s="34"/>
      <c r="GK31" s="32"/>
      <c r="GM31" s="35">
        <v>11.2</v>
      </c>
      <c r="HC31" s="34"/>
      <c r="HG31" s="32"/>
      <c r="HI31" s="35">
        <v>11.2</v>
      </c>
      <c r="HY31" s="34"/>
      <c r="IC31" s="32"/>
      <c r="IE31" s="35">
        <v>11.2</v>
      </c>
      <c r="IU31" s="34"/>
      <c r="IY31" s="32"/>
      <c r="JA31" s="35">
        <v>11.2</v>
      </c>
      <c r="JQ31" s="34"/>
      <c r="JU31" s="32"/>
      <c r="JW31" s="35">
        <v>11.2</v>
      </c>
      <c r="KM31" s="34"/>
      <c r="KQ31" s="32"/>
      <c r="KS31" s="35">
        <v>11.2</v>
      </c>
      <c r="LI31" s="34"/>
      <c r="LM31" s="32"/>
      <c r="LO31" s="35">
        <v>11.2</v>
      </c>
      <c r="ME31" s="34"/>
      <c r="MI31" s="32"/>
      <c r="MK31" s="35">
        <v>11.2</v>
      </c>
      <c r="NA31" s="34"/>
      <c r="NE31" s="32"/>
      <c r="NG31" s="35">
        <v>11.2</v>
      </c>
    </row>
    <row r="32" spans="1:401" hidden="1" x14ac:dyDescent="0.2">
      <c r="B32" s="48" t="s">
        <v>43</v>
      </c>
      <c r="C32" s="34"/>
      <c r="AL32" s="66"/>
      <c r="AM32" s="66"/>
      <c r="AN32" s="66"/>
      <c r="AQ32" s="32"/>
      <c r="AS32" s="52">
        <v>1000</v>
      </c>
      <c r="BP32" s="66"/>
      <c r="BQ32" s="66"/>
      <c r="BR32" s="66"/>
      <c r="BU32" s="32"/>
      <c r="BW32" s="52">
        <v>1000</v>
      </c>
      <c r="CT32" s="66"/>
      <c r="CU32" s="66"/>
      <c r="CV32" s="66"/>
      <c r="CY32" s="32"/>
      <c r="DA32" s="52">
        <v>1000</v>
      </c>
      <c r="DS32" s="34"/>
      <c r="DW32" s="32"/>
      <c r="DY32" s="52">
        <v>1000</v>
      </c>
      <c r="EO32" s="34"/>
      <c r="ES32" s="32"/>
      <c r="EU32" s="52">
        <v>1000</v>
      </c>
      <c r="FK32" s="34"/>
      <c r="FO32" s="32"/>
      <c r="FQ32" s="52">
        <v>1000</v>
      </c>
      <c r="GG32" s="34"/>
      <c r="GK32" s="32"/>
      <c r="GM32" s="52">
        <v>1000</v>
      </c>
      <c r="HC32" s="34"/>
      <c r="HG32" s="32"/>
      <c r="HI32" s="52">
        <v>1000</v>
      </c>
      <c r="HY32" s="34"/>
      <c r="IC32" s="32"/>
      <c r="IE32" s="52">
        <v>1000</v>
      </c>
      <c r="IU32" s="34"/>
      <c r="IY32" s="32"/>
      <c r="JA32" s="52">
        <v>1000</v>
      </c>
      <c r="JQ32" s="34"/>
      <c r="JU32" s="32"/>
      <c r="JW32" s="52">
        <v>1000</v>
      </c>
      <c r="KM32" s="34"/>
      <c r="KQ32" s="32"/>
      <c r="KS32" s="52">
        <v>1000</v>
      </c>
      <c r="LI32" s="34"/>
      <c r="LM32" s="32"/>
      <c r="LO32" s="52">
        <v>1000</v>
      </c>
      <c r="ME32" s="34"/>
      <c r="MI32" s="32"/>
      <c r="MK32" s="52">
        <v>1000</v>
      </c>
      <c r="NA32" s="34"/>
      <c r="NE32" s="32"/>
      <c r="NG32" s="52">
        <v>1000</v>
      </c>
    </row>
    <row r="33" spans="1:371" hidden="1" x14ac:dyDescent="0.2">
      <c r="A33" s="34"/>
      <c r="B33" s="49" t="s">
        <v>55</v>
      </c>
      <c r="C33" s="34"/>
      <c r="AL33" s="66"/>
      <c r="AM33" s="66"/>
      <c r="AN33" s="66"/>
      <c r="AP33" s="32"/>
      <c r="AQ33" s="32"/>
      <c r="AR33" s="32"/>
      <c r="AS33" s="50">
        <v>1000</v>
      </c>
      <c r="BP33" s="66"/>
      <c r="BQ33" s="66"/>
      <c r="BR33" s="66"/>
      <c r="BU33" s="32"/>
      <c r="BW33" s="50">
        <v>1000</v>
      </c>
      <c r="CT33" s="66"/>
      <c r="CU33" s="66"/>
      <c r="CV33" s="66"/>
      <c r="CX33" s="32"/>
      <c r="CY33" s="32"/>
      <c r="CZ33" s="32"/>
      <c r="DA33" s="50">
        <v>1000</v>
      </c>
      <c r="DS33" s="34"/>
      <c r="DW33" s="32"/>
      <c r="DY33" s="50">
        <v>1000</v>
      </c>
      <c r="EO33" s="34"/>
      <c r="ES33" s="32"/>
      <c r="EU33" s="50">
        <v>1000</v>
      </c>
      <c r="FK33" s="34"/>
      <c r="FO33" s="32"/>
      <c r="FQ33" s="50">
        <v>1000</v>
      </c>
      <c r="GG33" s="34"/>
      <c r="GK33" s="32"/>
      <c r="GM33" s="50">
        <v>1000</v>
      </c>
      <c r="HC33" s="34"/>
      <c r="HG33" s="32"/>
      <c r="HI33" s="50">
        <v>1000</v>
      </c>
      <c r="HY33" s="34"/>
      <c r="IC33" s="32"/>
      <c r="IE33" s="50">
        <v>1000</v>
      </c>
      <c r="IU33" s="34"/>
      <c r="IY33" s="32"/>
      <c r="JA33" s="50">
        <v>1000</v>
      </c>
      <c r="JQ33" s="34"/>
      <c r="JU33" s="32"/>
      <c r="JW33" s="50">
        <v>1000</v>
      </c>
      <c r="KM33" s="34"/>
      <c r="KQ33" s="32"/>
      <c r="KS33" s="50">
        <v>1000</v>
      </c>
      <c r="LI33" s="34"/>
      <c r="LM33" s="32"/>
      <c r="LO33" s="50">
        <v>1000</v>
      </c>
      <c r="ME33" s="34"/>
      <c r="MI33" s="32"/>
      <c r="MK33" s="50">
        <v>1000</v>
      </c>
      <c r="NA33" s="34"/>
      <c r="NE33" s="32"/>
      <c r="NG33" s="50">
        <v>1000</v>
      </c>
    </row>
    <row r="34" spans="1:371" hidden="1" x14ac:dyDescent="0.2">
      <c r="A34" s="34"/>
      <c r="B34" s="62" t="s">
        <v>62</v>
      </c>
      <c r="C34" s="34"/>
      <c r="AL34" s="66"/>
      <c r="AM34" s="66"/>
      <c r="AN34" s="66"/>
      <c r="AP34" s="32"/>
      <c r="AQ34" s="32"/>
      <c r="AR34" s="32"/>
      <c r="AS34" s="63">
        <v>1000</v>
      </c>
      <c r="BP34" s="66"/>
      <c r="BQ34" s="66"/>
      <c r="BR34" s="66"/>
      <c r="BU34" s="32"/>
      <c r="BW34" s="63">
        <v>1000</v>
      </c>
      <c r="CT34" s="66"/>
      <c r="CU34" s="66"/>
      <c r="CV34" s="66"/>
      <c r="CX34" s="32"/>
      <c r="CY34" s="32"/>
      <c r="CZ34" s="32"/>
      <c r="DA34" s="63">
        <v>1000</v>
      </c>
      <c r="DS34" s="34"/>
      <c r="DW34" s="32"/>
      <c r="DY34" s="63">
        <v>1000</v>
      </c>
      <c r="EO34" s="34"/>
      <c r="ES34" s="32"/>
      <c r="EU34" s="63">
        <v>1000</v>
      </c>
      <c r="FK34" s="34"/>
      <c r="FO34" s="32"/>
      <c r="FQ34" s="63">
        <v>1000</v>
      </c>
      <c r="GG34" s="34"/>
      <c r="GK34" s="32"/>
      <c r="GM34" s="63">
        <v>1000</v>
      </c>
      <c r="HC34" s="34"/>
      <c r="HG34" s="32"/>
      <c r="HI34" s="63">
        <v>1000</v>
      </c>
      <c r="HY34" s="34"/>
      <c r="IC34" s="32"/>
      <c r="IE34" s="63">
        <v>1000</v>
      </c>
      <c r="IU34" s="34"/>
      <c r="IY34" s="32"/>
      <c r="JA34" s="63">
        <v>1000</v>
      </c>
      <c r="JQ34" s="34"/>
      <c r="JU34" s="32"/>
      <c r="JW34" s="63">
        <v>1000</v>
      </c>
      <c r="KM34" s="34"/>
      <c r="KQ34" s="32"/>
      <c r="KS34" s="63">
        <v>1000</v>
      </c>
      <c r="LI34" s="34"/>
      <c r="LM34" s="32"/>
      <c r="LO34" s="63">
        <v>1000</v>
      </c>
      <c r="ME34" s="34"/>
      <c r="MI34" s="32"/>
      <c r="MK34" s="63">
        <v>1000</v>
      </c>
      <c r="NA34" s="34"/>
      <c r="NE34" s="32"/>
      <c r="NG34" s="63">
        <v>1000</v>
      </c>
    </row>
    <row r="35" spans="1:371" x14ac:dyDescent="0.2">
      <c r="A35" s="34"/>
      <c r="B35" s="60" t="s">
        <v>41</v>
      </c>
      <c r="C35" s="34"/>
      <c r="I35" s="2"/>
      <c r="AL35" s="66"/>
      <c r="AM35" s="66"/>
      <c r="AN35" s="66"/>
      <c r="AP35" s="32"/>
      <c r="AQ35" s="32"/>
      <c r="AR35" s="32"/>
      <c r="AS35" s="61">
        <v>48.3</v>
      </c>
      <c r="BP35" s="66"/>
      <c r="BQ35" s="66"/>
      <c r="BR35" s="66"/>
      <c r="BU35" s="32"/>
      <c r="BW35" s="61">
        <v>48.3</v>
      </c>
      <c r="CT35" s="66"/>
      <c r="CU35" s="66"/>
      <c r="CV35" s="66"/>
      <c r="CX35" s="32"/>
      <c r="CY35" s="32"/>
      <c r="CZ35" s="32"/>
      <c r="DA35" s="61">
        <v>48.3</v>
      </c>
      <c r="DS35" s="34"/>
      <c r="DW35" s="32"/>
      <c r="DY35" s="61">
        <v>48.3</v>
      </c>
      <c r="EO35" s="34"/>
      <c r="ES35" s="32"/>
      <c r="EU35" s="61">
        <v>48.3</v>
      </c>
      <c r="FK35" s="34"/>
      <c r="FO35" s="32"/>
      <c r="FQ35" s="61">
        <v>48.3</v>
      </c>
      <c r="GG35" s="34"/>
      <c r="GK35" s="32"/>
      <c r="GM35" s="61">
        <v>48.3</v>
      </c>
      <c r="HC35" s="34"/>
      <c r="HG35" s="32"/>
      <c r="HI35" s="61">
        <v>48.3</v>
      </c>
      <c r="HY35" s="34"/>
      <c r="IC35" s="32"/>
      <c r="IE35" s="61">
        <v>48.3</v>
      </c>
      <c r="IU35" s="34"/>
      <c r="IY35" s="32"/>
      <c r="JA35" s="61">
        <v>48.3</v>
      </c>
      <c r="JQ35" s="34"/>
      <c r="JU35" s="32"/>
      <c r="JW35" s="61">
        <v>48.3</v>
      </c>
      <c r="KM35" s="34"/>
      <c r="KQ35" s="32"/>
      <c r="KS35" s="61">
        <v>48.3</v>
      </c>
      <c r="LI35" s="34"/>
      <c r="LM35" s="32"/>
      <c r="LO35" s="61">
        <v>48.3</v>
      </c>
      <c r="ME35" s="34"/>
      <c r="MI35" s="32"/>
      <c r="MK35" s="61">
        <v>48.3</v>
      </c>
      <c r="NA35" s="34"/>
      <c r="NE35" s="32"/>
      <c r="NG35" s="61">
        <v>48.3</v>
      </c>
    </row>
    <row r="36" spans="1:371" hidden="1" x14ac:dyDescent="0.2">
      <c r="A36" s="34"/>
      <c r="B36" s="40" t="s">
        <v>42</v>
      </c>
      <c r="C36" s="34"/>
      <c r="I36" s="2"/>
      <c r="AL36" s="66"/>
      <c r="AM36" s="66"/>
      <c r="AN36" s="66"/>
      <c r="AP36" s="32"/>
      <c r="AQ36" s="32"/>
      <c r="AR36" s="32"/>
      <c r="AS36" s="36">
        <v>1000</v>
      </c>
      <c r="BP36" s="66"/>
      <c r="BQ36" s="66"/>
      <c r="BR36" s="66"/>
      <c r="BU36" s="32"/>
      <c r="BW36" s="36">
        <v>1000</v>
      </c>
      <c r="CT36" s="66"/>
      <c r="CU36" s="66"/>
      <c r="CV36" s="66"/>
      <c r="CX36" s="32"/>
      <c r="CY36" s="32"/>
      <c r="CZ36" s="32"/>
      <c r="DA36" s="36">
        <v>1000</v>
      </c>
      <c r="DS36" s="34"/>
      <c r="DW36" s="32"/>
      <c r="DY36" s="36">
        <v>1000</v>
      </c>
      <c r="EO36" s="34"/>
      <c r="ES36" s="32"/>
      <c r="EU36" s="36">
        <v>1000</v>
      </c>
      <c r="FK36" s="34"/>
      <c r="FO36" s="32"/>
      <c r="FQ36" s="36">
        <v>1000</v>
      </c>
      <c r="GG36" s="34"/>
      <c r="GK36" s="32"/>
      <c r="GM36" s="36">
        <v>1000</v>
      </c>
      <c r="HC36" s="34"/>
      <c r="HG36" s="32"/>
      <c r="HI36" s="36">
        <v>1000</v>
      </c>
      <c r="HY36" s="34"/>
      <c r="IC36" s="32"/>
      <c r="IE36" s="36">
        <v>1000</v>
      </c>
      <c r="IU36" s="34"/>
      <c r="IY36" s="32"/>
      <c r="JA36" s="36">
        <v>1000</v>
      </c>
      <c r="JQ36" s="34"/>
      <c r="JU36" s="32"/>
      <c r="JW36" s="36">
        <v>1000</v>
      </c>
      <c r="KM36" s="34"/>
      <c r="KQ36" s="32"/>
      <c r="KS36" s="36">
        <v>1000</v>
      </c>
      <c r="LI36" s="34"/>
      <c r="LM36" s="32"/>
      <c r="LO36" s="36">
        <v>1000</v>
      </c>
      <c r="ME36" s="34"/>
      <c r="MI36" s="32"/>
      <c r="MK36" s="36">
        <v>1000</v>
      </c>
      <c r="NA36" s="34"/>
      <c r="NE36" s="32"/>
      <c r="NG36" s="36">
        <v>1000</v>
      </c>
    </row>
    <row r="37" spans="1:371" hidden="1" x14ac:dyDescent="0.2">
      <c r="A37" s="34"/>
      <c r="B37" s="58" t="s">
        <v>54</v>
      </c>
      <c r="C37" s="34"/>
      <c r="AL37" s="66"/>
      <c r="AM37" s="66"/>
      <c r="AN37" s="66"/>
      <c r="AP37" s="32"/>
      <c r="AQ37" s="32"/>
      <c r="AR37" s="32"/>
      <c r="AS37" s="59">
        <v>1000</v>
      </c>
      <c r="BP37" s="66"/>
      <c r="BQ37" s="66"/>
      <c r="BR37" s="66"/>
      <c r="BU37" s="32"/>
      <c r="BV37" s="68"/>
      <c r="BW37" s="59">
        <v>1000</v>
      </c>
      <c r="CT37" s="66"/>
      <c r="CU37" s="66"/>
      <c r="CV37" s="66"/>
      <c r="CX37" s="32"/>
      <c r="CY37" s="32"/>
      <c r="CZ37" s="32"/>
      <c r="DA37" s="59">
        <v>1000</v>
      </c>
      <c r="DS37" s="34"/>
      <c r="DW37" s="32"/>
      <c r="DX37" s="68"/>
      <c r="DY37" s="59">
        <v>1000</v>
      </c>
      <c r="EO37" s="34"/>
      <c r="ES37" s="32"/>
      <c r="EU37" s="59">
        <v>1000</v>
      </c>
      <c r="FK37" s="34"/>
      <c r="FO37" s="32"/>
      <c r="FQ37" s="59">
        <v>1000</v>
      </c>
      <c r="GG37" s="34"/>
      <c r="GK37" s="32"/>
      <c r="GL37" s="68"/>
      <c r="GM37" s="59">
        <v>1000</v>
      </c>
      <c r="HC37" s="34"/>
      <c r="HG37" s="32"/>
      <c r="HH37" s="68"/>
      <c r="HI37" s="59">
        <v>1000</v>
      </c>
      <c r="HY37" s="34"/>
      <c r="IC37" s="32"/>
      <c r="ID37" s="68"/>
      <c r="IE37" s="59">
        <v>1000</v>
      </c>
      <c r="IU37" s="34"/>
      <c r="IY37" s="32"/>
      <c r="JA37" s="59">
        <v>1000</v>
      </c>
      <c r="JQ37" s="34"/>
      <c r="JU37" s="32"/>
      <c r="JW37" s="59">
        <v>1000</v>
      </c>
      <c r="KM37" s="34"/>
      <c r="KQ37" s="32"/>
      <c r="KS37" s="59">
        <v>1000</v>
      </c>
      <c r="LI37" s="34"/>
      <c r="LM37" s="32"/>
      <c r="LO37" s="59">
        <v>1000</v>
      </c>
      <c r="ME37" s="34"/>
      <c r="MI37" s="32"/>
      <c r="MK37" s="59">
        <v>1000</v>
      </c>
      <c r="NA37" s="34"/>
      <c r="NE37" s="32"/>
      <c r="NG37" s="59">
        <v>1000</v>
      </c>
    </row>
    <row r="38" spans="1:371" hidden="1" x14ac:dyDescent="0.2">
      <c r="A38" s="34"/>
      <c r="B38" s="41" t="s">
        <v>28</v>
      </c>
      <c r="C38" s="34"/>
      <c r="I38" s="2"/>
      <c r="AL38" s="66"/>
      <c r="AM38" s="66"/>
      <c r="AN38" s="66"/>
      <c r="AP38" s="32"/>
      <c r="AQ38" s="32"/>
      <c r="AR38" s="32"/>
      <c r="AS38" s="37">
        <v>1000</v>
      </c>
      <c r="BP38" s="66"/>
      <c r="BQ38" s="66"/>
      <c r="BR38" s="66"/>
      <c r="BU38" s="32"/>
      <c r="BW38" s="37">
        <v>1000</v>
      </c>
      <c r="CT38" s="66"/>
      <c r="CU38" s="66"/>
      <c r="CV38" s="66"/>
      <c r="CX38" s="32"/>
      <c r="CY38" s="32"/>
      <c r="CZ38" s="32"/>
      <c r="DA38" s="37">
        <v>1000</v>
      </c>
      <c r="DS38" s="34"/>
      <c r="DW38" s="32"/>
      <c r="DY38" s="37">
        <v>1000</v>
      </c>
      <c r="EO38" s="34"/>
      <c r="ES38" s="32"/>
      <c r="EU38" s="37">
        <v>1000</v>
      </c>
      <c r="FK38" s="34"/>
      <c r="FO38" s="32"/>
      <c r="FQ38" s="37">
        <v>1000</v>
      </c>
      <c r="GG38" s="34"/>
      <c r="GK38" s="32"/>
      <c r="GM38" s="37">
        <v>1000</v>
      </c>
      <c r="HC38" s="34"/>
      <c r="HG38" s="32"/>
      <c r="HI38" s="37">
        <v>1000</v>
      </c>
      <c r="HY38" s="34"/>
      <c r="IC38" s="32"/>
      <c r="ID38" s="68"/>
      <c r="IE38" s="37">
        <v>1000</v>
      </c>
      <c r="IU38" s="34"/>
      <c r="IY38" s="32"/>
      <c r="JA38" s="37">
        <v>1000</v>
      </c>
      <c r="JQ38" s="34"/>
      <c r="JU38" s="32"/>
      <c r="JW38" s="37">
        <v>1000</v>
      </c>
      <c r="KM38" s="34"/>
      <c r="KQ38" s="32"/>
      <c r="KS38" s="37">
        <v>1000</v>
      </c>
      <c r="LI38" s="34"/>
      <c r="LM38" s="32"/>
      <c r="LO38" s="37">
        <v>1000</v>
      </c>
      <c r="ME38" s="34"/>
      <c r="MI38" s="32"/>
      <c r="MK38" s="37">
        <v>1000</v>
      </c>
      <c r="NA38" s="34"/>
      <c r="NE38" s="32"/>
      <c r="NG38" s="37">
        <v>1000</v>
      </c>
    </row>
    <row r="39" spans="1:371" x14ac:dyDescent="0.2">
      <c r="B39" s="47" t="s">
        <v>47</v>
      </c>
      <c r="C39" s="2"/>
      <c r="AO39" s="32"/>
      <c r="AP39" s="32"/>
      <c r="AR39" s="32"/>
      <c r="CW39" s="32"/>
      <c r="CX39" s="32"/>
      <c r="CZ39" s="32"/>
      <c r="EP39" s="32"/>
    </row>
    <row r="40" spans="1:371" x14ac:dyDescent="0.2">
      <c r="A40" s="34"/>
      <c r="B40" s="34"/>
      <c r="C40" s="33"/>
      <c r="AK40" s="32"/>
      <c r="AL40" s="32"/>
      <c r="AM40" s="32"/>
      <c r="AN40" s="32"/>
      <c r="AO40" s="32"/>
      <c r="AP40" s="32"/>
      <c r="AR40" s="32"/>
      <c r="CS40" s="32"/>
      <c r="CT40" s="32"/>
      <c r="CU40" s="32"/>
      <c r="CV40" s="32"/>
      <c r="CW40" s="32"/>
      <c r="CX40" s="32"/>
      <c r="CZ40" s="32"/>
    </row>
    <row r="41" spans="1:371" ht="17" x14ac:dyDescent="0.2">
      <c r="A41" s="34"/>
      <c r="B41" s="34"/>
      <c r="C41" s="33"/>
      <c r="M41" s="16"/>
      <c r="N41" s="16"/>
      <c r="AK41" s="32"/>
      <c r="AL41" s="32"/>
      <c r="AM41" s="32"/>
      <c r="AN41" s="32"/>
      <c r="AO41" s="32"/>
      <c r="AP41" s="32"/>
      <c r="AR41" s="32"/>
      <c r="CS41" s="32"/>
      <c r="CT41" s="32"/>
      <c r="CU41" s="32"/>
      <c r="CV41" s="32"/>
      <c r="CW41" s="32"/>
      <c r="CX41" s="32"/>
      <c r="CZ41" s="32"/>
    </row>
    <row r="42" spans="1:371" ht="17" x14ac:dyDescent="0.2">
      <c r="A42" s="34"/>
      <c r="B42" s="34"/>
      <c r="C42" s="33"/>
      <c r="M42" s="16"/>
      <c r="AK42" s="32"/>
      <c r="AL42" s="32"/>
      <c r="AM42" s="32"/>
      <c r="AN42" s="32"/>
      <c r="AO42" s="32"/>
      <c r="AP42" s="32"/>
      <c r="AR42" s="32"/>
      <c r="CS42" s="32"/>
      <c r="CT42" s="32"/>
      <c r="CU42" s="32"/>
      <c r="CV42" s="32"/>
      <c r="CW42" s="32"/>
      <c r="CX42" s="32"/>
      <c r="CZ42" s="32"/>
    </row>
    <row r="43" spans="1:371" ht="17" x14ac:dyDescent="0.2">
      <c r="M43" s="16"/>
      <c r="N43" s="16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M45" s="16"/>
      <c r="N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O46" s="16"/>
    </row>
    <row r="47" spans="1:371" ht="17" x14ac:dyDescent="0.2">
      <c r="M47" s="16"/>
      <c r="N47" s="16"/>
      <c r="O47" s="16"/>
    </row>
    <row r="48" spans="1:371" ht="17" x14ac:dyDescent="0.2">
      <c r="M48" s="16"/>
      <c r="N48" s="16"/>
      <c r="O48" s="16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28">
      <sortCondition descending="1" ref="F1:F29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55" priority="9" operator="containsText" text="No DD">
      <formula>NOT(ISERROR(SEARCH("No DD",H4)))</formula>
    </cfRule>
    <cfRule type="containsText" dxfId="154" priority="10" operator="containsText" text="Merit">
      <formula>NOT(ISERROR(SEARCH("Merit",H4)))</formula>
    </cfRule>
    <cfRule type="containsText" dxfId="153" priority="11" operator="containsText" text="Excellence">
      <formula>NOT(ISERROR(SEARCH("Excellence",H4)))</formula>
    </cfRule>
    <cfRule type="containsText" dxfId="152" priority="12" operator="containsText" text="Worlds Team">
      <formula>NOT(ISERROR(SEARCH("Worlds Team",H4)))</formula>
    </cfRule>
    <cfRule type="containsText" dxfId="151" priority="13" operator="containsText" text="National Team">
      <formula>NOT(ISERROR(SEARCH("National Team",H4)))</formula>
    </cfRule>
  </conditionalFormatting>
  <conditionalFormatting sqref="P4:AS28">
    <cfRule type="expression" dxfId="150" priority="6" stopIfTrue="1">
      <formula>IF($AJ4&lt;&gt;"",1,0)</formula>
    </cfRule>
  </conditionalFormatting>
  <conditionalFormatting sqref="AT4:BW28">
    <cfRule type="expression" dxfId="149" priority="7" stopIfTrue="1">
      <formula>IF($BN4&lt;&gt;"",1,0)</formula>
    </cfRule>
  </conditionalFormatting>
  <conditionalFormatting sqref="J1:J1048576 L1:L1048576">
    <cfRule type="expression" dxfId="148" priority="14">
      <formula>IF(J1=$BX$1,1,0)</formula>
    </cfRule>
    <cfRule type="expression" dxfId="147" priority="15">
      <formula>IF(J1=$AT$1,1,0)</formula>
    </cfRule>
    <cfRule type="expression" dxfId="146" priority="16">
      <formula>IF(J1=$P$1,1,0)</formula>
    </cfRule>
  </conditionalFormatting>
  <conditionalFormatting sqref="BX4:DA28">
    <cfRule type="expression" dxfId="145" priority="8" stopIfTrue="1">
      <formula>IF($CR4&lt;&gt;"",1,0)</formula>
    </cfRule>
  </conditionalFormatting>
  <conditionalFormatting sqref="A1:A1048576">
    <cfRule type="expression" dxfId="144" priority="50443">
      <formula>AND(G1&lt;&gt;"",F1="")</formula>
    </cfRule>
  </conditionalFormatting>
  <conditionalFormatting sqref="H1:H3">
    <cfRule type="containsText" dxfId="143" priority="1" operator="containsText" text="No DD">
      <formula>NOT(ISERROR(SEARCH("No DD",H1)))</formula>
    </cfRule>
    <cfRule type="containsText" dxfId="142" priority="2" operator="containsText" text="Merit">
      <formula>NOT(ISERROR(SEARCH("Merit",H1)))</formula>
    </cfRule>
    <cfRule type="containsText" dxfId="141" priority="3" operator="containsText" text="Excellence">
      <formula>NOT(ISERROR(SEARCH("Excellence",H1)))</formula>
    </cfRule>
    <cfRule type="containsText" dxfId="140" priority="4" operator="containsText" text="Worlds Team">
      <formula>NOT(ISERROR(SEARCH("Worlds Team",H1)))</formula>
    </cfRule>
    <cfRule type="containsText" dxfId="139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8" priority="50483" operator="between">
      <formula>AS$35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37" priority="50528" operator="between">
      <formula>AS$35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36" priority="50573" operator="between">
      <formula>DY$34</formula>
      <formula>1000</formula>
    </cfRule>
    <cfRule type="cellIs" dxfId="135" priority="50574" operator="between">
      <formula>DY$33</formula>
      <formula>DY$34</formula>
    </cfRule>
    <cfRule type="cellIs" dxfId="134" priority="50575" operator="between">
      <formula>DY$32</formula>
      <formula>DY$33</formula>
    </cfRule>
    <cfRule type="cellIs" dxfId="133" priority="50576" operator="between">
      <formula>DY$31</formula>
      <formula>DY$32</formula>
    </cfRule>
  </conditionalFormatting>
  <conditionalFormatting sqref="AL1:AL1048576 BP1:BP1048576 CT1:CT1048576">
    <cfRule type="cellIs" dxfId="132" priority="50717" operator="between">
      <formula>AS$34</formula>
      <formula>1000</formula>
    </cfRule>
    <cfRule type="cellIs" dxfId="131" priority="50718" operator="between">
      <formula>AS$33</formula>
      <formula>AS$34</formula>
    </cfRule>
    <cfRule type="cellIs" dxfId="130" priority="50719" operator="between">
      <formula>AS$32</formula>
      <formula>AS$33</formula>
    </cfRule>
    <cfRule type="cellIs" dxfId="129" priority="50720" operator="between">
      <formula>AS$31</formula>
      <formula>AS$32</formula>
    </cfRule>
  </conditionalFormatting>
  <conditionalFormatting sqref="AM1:AM1048576 BQ1:BQ1048576 CU1:CU1048576">
    <cfRule type="cellIs" dxfId="128" priority="50753" operator="between">
      <formula>AS$35</formula>
      <formula>1000</formula>
    </cfRule>
  </conditionalFormatting>
  <conditionalFormatting sqref="AN1:AN1048576 BR1:BR1048576 CV1:CV1048576">
    <cfRule type="cellIs" dxfId="127" priority="50762" operator="between">
      <formula>AS$34</formula>
      <formula>1000</formula>
    </cfRule>
    <cfRule type="cellIs" dxfId="126" priority="50763" operator="between">
      <formula>AS$33</formula>
      <formula>AS$34</formula>
    </cfRule>
    <cfRule type="cellIs" dxfId="125" priority="50764" operator="between">
      <formula>AS$32</formula>
      <formula>AS$33</formula>
    </cfRule>
    <cfRule type="cellIs" dxfId="124" priority="50765" operator="between">
      <formula>AS$31</formula>
      <formula>AS$32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23" priority="50798" operator="between">
      <formula>AS$34</formula>
      <formula>1000</formula>
    </cfRule>
    <cfRule type="cellIs" dxfId="122" priority="50799" operator="between">
      <formula>AS$33</formula>
      <formula>AS$34</formula>
    </cfRule>
    <cfRule type="cellIs" dxfId="121" priority="50800" operator="between">
      <formula>AS$32</formula>
      <formula>AS$33</formula>
    </cfRule>
    <cfRule type="cellIs" dxfId="120" priority="50801" operator="between">
      <formula>AS$31</formula>
      <formula>AS$32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134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165</v>
      </c>
      <c r="CV1" s="102"/>
      <c r="CW1" s="100" t="s">
        <v>128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 t="s">
        <v>129</v>
      </c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 t="s">
        <v>177</v>
      </c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166</v>
      </c>
      <c r="S2" s="101"/>
      <c r="T2" s="101"/>
      <c r="U2" s="101"/>
      <c r="V2" s="101" t="s">
        <v>167</v>
      </c>
      <c r="W2" s="101"/>
      <c r="X2" s="101"/>
      <c r="Y2" s="101"/>
      <c r="Z2" s="101" t="s">
        <v>168</v>
      </c>
      <c r="AA2" s="101"/>
      <c r="AB2" s="101"/>
      <c r="AC2" s="101"/>
      <c r="AD2" s="101" t="s">
        <v>169</v>
      </c>
      <c r="AE2" s="101"/>
      <c r="AF2" s="101"/>
      <c r="AG2" s="101"/>
      <c r="AH2" s="111" t="s">
        <v>170</v>
      </c>
      <c r="AI2" s="111"/>
      <c r="AJ2" s="111"/>
      <c r="AK2" s="111"/>
      <c r="AL2" s="72"/>
      <c r="AM2" s="72" t="s">
        <v>171</v>
      </c>
      <c r="AN2" s="72" t="s">
        <v>172</v>
      </c>
      <c r="AO2" s="72" t="s">
        <v>168</v>
      </c>
      <c r="AP2" s="72" t="s">
        <v>57</v>
      </c>
      <c r="AQ2" s="72" t="s">
        <v>173</v>
      </c>
      <c r="AR2" s="72" t="s">
        <v>15</v>
      </c>
      <c r="AS2" s="103" t="s">
        <v>166</v>
      </c>
      <c r="AT2" s="103"/>
      <c r="AU2" s="103"/>
      <c r="AV2" s="103"/>
      <c r="AW2" s="103" t="s">
        <v>167</v>
      </c>
      <c r="AX2" s="103"/>
      <c r="AY2" s="103"/>
      <c r="AZ2" s="103"/>
      <c r="BA2" s="103" t="s">
        <v>168</v>
      </c>
      <c r="BB2" s="103"/>
      <c r="BC2" s="103"/>
      <c r="BD2" s="103"/>
      <c r="BE2" s="103" t="s">
        <v>169</v>
      </c>
      <c r="BF2" s="103"/>
      <c r="BG2" s="103"/>
      <c r="BH2" s="103"/>
      <c r="BI2" s="112" t="s">
        <v>170</v>
      </c>
      <c r="BJ2" s="112"/>
      <c r="BK2" s="112"/>
      <c r="BL2" s="112"/>
      <c r="BM2" s="71"/>
      <c r="BN2" s="71" t="s">
        <v>171</v>
      </c>
      <c r="BO2" s="71" t="s">
        <v>172</v>
      </c>
      <c r="BP2" s="71" t="s">
        <v>168</v>
      </c>
      <c r="BQ2" s="71" t="s">
        <v>57</v>
      </c>
      <c r="BR2" s="71" t="s">
        <v>173</v>
      </c>
      <c r="BS2" s="71" t="s">
        <v>15</v>
      </c>
      <c r="BT2" s="101" t="s">
        <v>166</v>
      </c>
      <c r="BU2" s="101"/>
      <c r="BV2" s="101"/>
      <c r="BW2" s="101"/>
      <c r="BX2" s="101" t="s">
        <v>167</v>
      </c>
      <c r="BY2" s="101"/>
      <c r="BZ2" s="101"/>
      <c r="CA2" s="101"/>
      <c r="CB2" s="101" t="s">
        <v>168</v>
      </c>
      <c r="CC2" s="101"/>
      <c r="CD2" s="101"/>
      <c r="CE2" s="101"/>
      <c r="CF2" s="101" t="s">
        <v>169</v>
      </c>
      <c r="CG2" s="101"/>
      <c r="CH2" s="101"/>
      <c r="CI2" s="101"/>
      <c r="CJ2" s="111" t="s">
        <v>170</v>
      </c>
      <c r="CK2" s="111"/>
      <c r="CL2" s="111"/>
      <c r="CM2" s="111"/>
      <c r="CN2" s="72"/>
      <c r="CO2" s="72" t="s">
        <v>171</v>
      </c>
      <c r="CP2" s="72" t="s">
        <v>172</v>
      </c>
      <c r="CQ2" s="72" t="s">
        <v>168</v>
      </c>
      <c r="CR2" s="72" t="s">
        <v>57</v>
      </c>
      <c r="CS2" s="72" t="s">
        <v>173</v>
      </c>
      <c r="CT2" s="72" t="s">
        <v>15</v>
      </c>
      <c r="CU2" s="77" t="s">
        <v>172</v>
      </c>
      <c r="CV2" s="77" t="s">
        <v>20</v>
      </c>
      <c r="CW2" s="101" t="s">
        <v>166</v>
      </c>
      <c r="CX2" s="101"/>
      <c r="CY2" s="101"/>
      <c r="CZ2" s="101"/>
      <c r="DA2" s="101" t="s">
        <v>167</v>
      </c>
      <c r="DB2" s="101"/>
      <c r="DC2" s="101"/>
      <c r="DD2" s="101"/>
      <c r="DE2" s="101" t="s">
        <v>168</v>
      </c>
      <c r="DF2" s="101"/>
      <c r="DG2" s="101"/>
      <c r="DH2" s="101"/>
      <c r="DI2" s="101" t="s">
        <v>169</v>
      </c>
      <c r="DJ2" s="101"/>
      <c r="DK2" s="101"/>
      <c r="DL2" s="101"/>
      <c r="DM2" s="110" t="s">
        <v>170</v>
      </c>
      <c r="DN2" s="110"/>
      <c r="DO2" s="110"/>
      <c r="DP2" s="110"/>
      <c r="DQ2" s="72" t="s">
        <v>171</v>
      </c>
      <c r="DR2" s="72" t="s">
        <v>172</v>
      </c>
      <c r="DS2" s="72" t="s">
        <v>168</v>
      </c>
      <c r="DT2" s="72" t="s">
        <v>57</v>
      </c>
      <c r="DU2" s="72" t="s">
        <v>173</v>
      </c>
      <c r="DV2" s="72" t="s">
        <v>15</v>
      </c>
      <c r="DW2" s="103" t="s">
        <v>166</v>
      </c>
      <c r="DX2" s="103"/>
      <c r="DY2" s="103"/>
      <c r="DZ2" s="103"/>
      <c r="EA2" s="103" t="s">
        <v>167</v>
      </c>
      <c r="EB2" s="103"/>
      <c r="EC2" s="103"/>
      <c r="ED2" s="103"/>
      <c r="EE2" s="103" t="s">
        <v>168</v>
      </c>
      <c r="EF2" s="103"/>
      <c r="EG2" s="103"/>
      <c r="EH2" s="103"/>
      <c r="EI2" s="103" t="s">
        <v>169</v>
      </c>
      <c r="EJ2" s="103"/>
      <c r="EK2" s="103"/>
      <c r="EL2" s="103"/>
      <c r="EM2" s="112" t="s">
        <v>170</v>
      </c>
      <c r="EN2" s="112"/>
      <c r="EO2" s="112"/>
      <c r="EP2" s="112"/>
      <c r="EQ2" s="71" t="s">
        <v>171</v>
      </c>
      <c r="ER2" s="71" t="s">
        <v>172</v>
      </c>
      <c r="ES2" s="71" t="s">
        <v>168</v>
      </c>
      <c r="ET2" s="71" t="s">
        <v>57</v>
      </c>
      <c r="EU2" s="71" t="s">
        <v>173</v>
      </c>
      <c r="EV2" s="71" t="s">
        <v>15</v>
      </c>
      <c r="EW2" s="101" t="s">
        <v>166</v>
      </c>
      <c r="EX2" s="101"/>
      <c r="EY2" s="101"/>
      <c r="EZ2" s="101"/>
      <c r="FA2" s="101" t="s">
        <v>167</v>
      </c>
      <c r="FB2" s="101"/>
      <c r="FC2" s="101"/>
      <c r="FD2" s="101"/>
      <c r="FE2" s="101" t="s">
        <v>168</v>
      </c>
      <c r="FF2" s="101"/>
      <c r="FG2" s="101"/>
      <c r="FH2" s="101"/>
      <c r="FI2" s="101" t="s">
        <v>169</v>
      </c>
      <c r="FJ2" s="101"/>
      <c r="FK2" s="101"/>
      <c r="FL2" s="101"/>
      <c r="FM2" s="110" t="s">
        <v>170</v>
      </c>
      <c r="FN2" s="110"/>
      <c r="FO2" s="110"/>
      <c r="FP2" s="110"/>
      <c r="FQ2" s="72" t="s">
        <v>171</v>
      </c>
      <c r="FR2" s="72" t="s">
        <v>172</v>
      </c>
      <c r="FS2" s="72" t="s">
        <v>168</v>
      </c>
      <c r="FT2" s="72" t="s">
        <v>57</v>
      </c>
      <c r="FU2" s="72" t="s">
        <v>173</v>
      </c>
      <c r="FV2" s="72" t="s">
        <v>15</v>
      </c>
      <c r="FW2" s="103" t="s">
        <v>166</v>
      </c>
      <c r="FX2" s="103"/>
      <c r="FY2" s="103"/>
      <c r="FZ2" s="103"/>
      <c r="GA2" s="103" t="s">
        <v>167</v>
      </c>
      <c r="GB2" s="103"/>
      <c r="GC2" s="103"/>
      <c r="GD2" s="103"/>
      <c r="GE2" s="103" t="s">
        <v>168</v>
      </c>
      <c r="GF2" s="103"/>
      <c r="GG2" s="103"/>
      <c r="GH2" s="103"/>
      <c r="GI2" s="103" t="s">
        <v>169</v>
      </c>
      <c r="GJ2" s="103"/>
      <c r="GK2" s="103"/>
      <c r="GL2" s="103"/>
      <c r="GM2" s="112" t="s">
        <v>170</v>
      </c>
      <c r="GN2" s="112"/>
      <c r="GO2" s="112"/>
      <c r="GP2" s="112"/>
      <c r="GQ2" s="71" t="s">
        <v>171</v>
      </c>
      <c r="GR2" s="71" t="s">
        <v>172</v>
      </c>
      <c r="GS2" s="71" t="s">
        <v>168</v>
      </c>
      <c r="GT2" s="71" t="s">
        <v>57</v>
      </c>
      <c r="GU2" s="71" t="s">
        <v>173</v>
      </c>
      <c r="GV2" s="71" t="s">
        <v>15</v>
      </c>
      <c r="GW2" s="101" t="s">
        <v>166</v>
      </c>
      <c r="GX2" s="101"/>
      <c r="GY2" s="101"/>
      <c r="GZ2" s="101"/>
      <c r="HA2" s="101" t="s">
        <v>167</v>
      </c>
      <c r="HB2" s="101"/>
      <c r="HC2" s="101"/>
      <c r="HD2" s="101"/>
      <c r="HE2" s="101" t="s">
        <v>168</v>
      </c>
      <c r="HF2" s="101"/>
      <c r="HG2" s="101"/>
      <c r="HH2" s="101"/>
      <c r="HI2" s="101" t="s">
        <v>169</v>
      </c>
      <c r="HJ2" s="101"/>
      <c r="HK2" s="101"/>
      <c r="HL2" s="101"/>
      <c r="HM2" s="110" t="s">
        <v>170</v>
      </c>
      <c r="HN2" s="110"/>
      <c r="HO2" s="110"/>
      <c r="HP2" s="110"/>
      <c r="HQ2" s="72" t="s">
        <v>171</v>
      </c>
      <c r="HR2" s="72" t="s">
        <v>172</v>
      </c>
      <c r="HS2" s="72" t="s">
        <v>168</v>
      </c>
      <c r="HT2" s="72" t="s">
        <v>57</v>
      </c>
      <c r="HU2" s="72" t="s">
        <v>173</v>
      </c>
      <c r="HV2" s="72" t="s">
        <v>15</v>
      </c>
      <c r="HW2" s="103" t="s">
        <v>166</v>
      </c>
      <c r="HX2" s="103"/>
      <c r="HY2" s="103"/>
      <c r="HZ2" s="103"/>
      <c r="IA2" s="103" t="s">
        <v>167</v>
      </c>
      <c r="IB2" s="103"/>
      <c r="IC2" s="103"/>
      <c r="ID2" s="103"/>
      <c r="IE2" s="103" t="s">
        <v>168</v>
      </c>
      <c r="IF2" s="103"/>
      <c r="IG2" s="103"/>
      <c r="IH2" s="103"/>
      <c r="II2" s="103" t="s">
        <v>169</v>
      </c>
      <c r="IJ2" s="103"/>
      <c r="IK2" s="103"/>
      <c r="IL2" s="103"/>
      <c r="IM2" s="112" t="s">
        <v>170</v>
      </c>
      <c r="IN2" s="112"/>
      <c r="IO2" s="112"/>
      <c r="IP2" s="112"/>
      <c r="IQ2" s="71" t="s">
        <v>171</v>
      </c>
      <c r="IR2" s="71" t="s">
        <v>172</v>
      </c>
      <c r="IS2" s="71" t="s">
        <v>168</v>
      </c>
      <c r="IT2" s="71" t="s">
        <v>57</v>
      </c>
      <c r="IU2" s="71" t="s">
        <v>173</v>
      </c>
      <c r="IV2" s="71" t="s">
        <v>15</v>
      </c>
      <c r="IW2" s="101" t="s">
        <v>166</v>
      </c>
      <c r="IX2" s="101"/>
      <c r="IY2" s="101"/>
      <c r="IZ2" s="101"/>
      <c r="JA2" s="101" t="s">
        <v>167</v>
      </c>
      <c r="JB2" s="101"/>
      <c r="JC2" s="101"/>
      <c r="JD2" s="101"/>
      <c r="JE2" s="101" t="s">
        <v>168</v>
      </c>
      <c r="JF2" s="101"/>
      <c r="JG2" s="101"/>
      <c r="JH2" s="101"/>
      <c r="JI2" s="101" t="s">
        <v>169</v>
      </c>
      <c r="JJ2" s="101"/>
      <c r="JK2" s="101"/>
      <c r="JL2" s="101"/>
      <c r="JM2" s="110" t="s">
        <v>170</v>
      </c>
      <c r="JN2" s="110"/>
      <c r="JO2" s="110"/>
      <c r="JP2" s="110"/>
      <c r="JQ2" s="72" t="s">
        <v>171</v>
      </c>
      <c r="JR2" s="72" t="s">
        <v>172</v>
      </c>
      <c r="JS2" s="72" t="s">
        <v>168</v>
      </c>
      <c r="JT2" s="72" t="s">
        <v>57</v>
      </c>
      <c r="JU2" s="72" t="s">
        <v>173</v>
      </c>
      <c r="JV2" s="72" t="s">
        <v>15</v>
      </c>
      <c r="JW2" s="103" t="s">
        <v>166</v>
      </c>
      <c r="JX2" s="103"/>
      <c r="JY2" s="103"/>
      <c r="JZ2" s="103"/>
      <c r="KA2" s="103" t="s">
        <v>167</v>
      </c>
      <c r="KB2" s="103"/>
      <c r="KC2" s="103"/>
      <c r="KD2" s="103"/>
      <c r="KE2" s="103" t="s">
        <v>168</v>
      </c>
      <c r="KF2" s="103"/>
      <c r="KG2" s="103"/>
      <c r="KH2" s="103"/>
      <c r="KI2" s="103" t="s">
        <v>169</v>
      </c>
      <c r="KJ2" s="103"/>
      <c r="KK2" s="103"/>
      <c r="KL2" s="103"/>
      <c r="KM2" s="112" t="s">
        <v>170</v>
      </c>
      <c r="KN2" s="112"/>
      <c r="KO2" s="112"/>
      <c r="KP2" s="112"/>
      <c r="KQ2" s="71" t="s">
        <v>171</v>
      </c>
      <c r="KR2" s="71" t="s">
        <v>172</v>
      </c>
      <c r="KS2" s="71" t="s">
        <v>168</v>
      </c>
      <c r="KT2" s="71" t="s">
        <v>57</v>
      </c>
      <c r="KU2" s="71" t="s">
        <v>173</v>
      </c>
      <c r="KV2" s="71" t="s">
        <v>15</v>
      </c>
      <c r="KW2" s="101" t="s">
        <v>166</v>
      </c>
      <c r="KX2" s="101"/>
      <c r="KY2" s="101"/>
      <c r="KZ2" s="101"/>
      <c r="LA2" s="101" t="s">
        <v>167</v>
      </c>
      <c r="LB2" s="101"/>
      <c r="LC2" s="101"/>
      <c r="LD2" s="101"/>
      <c r="LE2" s="101" t="s">
        <v>168</v>
      </c>
      <c r="LF2" s="101"/>
      <c r="LG2" s="101"/>
      <c r="LH2" s="101"/>
      <c r="LI2" s="101" t="s">
        <v>169</v>
      </c>
      <c r="LJ2" s="101"/>
      <c r="LK2" s="101"/>
      <c r="LL2" s="101"/>
      <c r="LM2" s="110" t="s">
        <v>170</v>
      </c>
      <c r="LN2" s="110"/>
      <c r="LO2" s="110"/>
      <c r="LP2" s="110"/>
      <c r="LQ2" s="72" t="s">
        <v>171</v>
      </c>
      <c r="LR2" s="72" t="s">
        <v>172</v>
      </c>
      <c r="LS2" s="72" t="s">
        <v>168</v>
      </c>
      <c r="LT2" s="72" t="s">
        <v>57</v>
      </c>
      <c r="LU2" s="72" t="s">
        <v>173</v>
      </c>
      <c r="LV2" s="72" t="s">
        <v>15</v>
      </c>
      <c r="LW2" s="103" t="s">
        <v>166</v>
      </c>
      <c r="LX2" s="103"/>
      <c r="LY2" s="103"/>
      <c r="LZ2" s="103"/>
      <c r="MA2" s="103" t="s">
        <v>167</v>
      </c>
      <c r="MB2" s="103"/>
      <c r="MC2" s="103"/>
      <c r="MD2" s="103"/>
      <c r="ME2" s="103" t="s">
        <v>168</v>
      </c>
      <c r="MF2" s="103"/>
      <c r="MG2" s="103"/>
      <c r="MH2" s="103"/>
      <c r="MI2" s="103" t="s">
        <v>169</v>
      </c>
      <c r="MJ2" s="103"/>
      <c r="MK2" s="103"/>
      <c r="ML2" s="103"/>
      <c r="MM2" s="112" t="s">
        <v>170</v>
      </c>
      <c r="MN2" s="112"/>
      <c r="MO2" s="112"/>
      <c r="MP2" s="112"/>
      <c r="MQ2" s="71" t="s">
        <v>171</v>
      </c>
      <c r="MR2" s="71" t="s">
        <v>172</v>
      </c>
      <c r="MS2" s="71" t="s">
        <v>168</v>
      </c>
      <c r="MT2" s="71" t="s">
        <v>57</v>
      </c>
      <c r="MU2" s="71" t="s">
        <v>173</v>
      </c>
      <c r="MV2" s="71" t="s">
        <v>15</v>
      </c>
      <c r="MW2" s="101" t="s">
        <v>166</v>
      </c>
      <c r="MX2" s="101"/>
      <c r="MY2" s="101"/>
      <c r="MZ2" s="101"/>
      <c r="NA2" s="101" t="s">
        <v>167</v>
      </c>
      <c r="NB2" s="101"/>
      <c r="NC2" s="101"/>
      <c r="ND2" s="101"/>
      <c r="NE2" s="101" t="s">
        <v>168</v>
      </c>
      <c r="NF2" s="101"/>
      <c r="NG2" s="101"/>
      <c r="NH2" s="101"/>
      <c r="NI2" s="101" t="s">
        <v>169</v>
      </c>
      <c r="NJ2" s="101"/>
      <c r="NK2" s="101"/>
      <c r="NL2" s="101"/>
      <c r="NM2" s="110" t="s">
        <v>170</v>
      </c>
      <c r="NN2" s="110"/>
      <c r="NO2" s="110"/>
      <c r="NP2" s="110"/>
      <c r="NQ2" s="72" t="s">
        <v>171</v>
      </c>
      <c r="NR2" s="72" t="s">
        <v>172</v>
      </c>
      <c r="NS2" s="72" t="s">
        <v>168</v>
      </c>
      <c r="NT2" s="72" t="s">
        <v>57</v>
      </c>
      <c r="NU2" s="72" t="s">
        <v>173</v>
      </c>
      <c r="NV2" s="72" t="s">
        <v>15</v>
      </c>
      <c r="NW2" s="103" t="s">
        <v>166</v>
      </c>
      <c r="NX2" s="103"/>
      <c r="NY2" s="103"/>
      <c r="NZ2" s="103"/>
      <c r="OA2" s="103" t="s">
        <v>167</v>
      </c>
      <c r="OB2" s="103"/>
      <c r="OC2" s="103"/>
      <c r="OD2" s="103"/>
      <c r="OE2" s="103" t="s">
        <v>168</v>
      </c>
      <c r="OF2" s="103"/>
      <c r="OG2" s="103"/>
      <c r="OH2" s="103"/>
      <c r="OI2" s="103" t="s">
        <v>169</v>
      </c>
      <c r="OJ2" s="103"/>
      <c r="OK2" s="103"/>
      <c r="OL2" s="103"/>
      <c r="OM2" s="112" t="s">
        <v>170</v>
      </c>
      <c r="ON2" s="112"/>
      <c r="OO2" s="112"/>
      <c r="OP2" s="112"/>
      <c r="OQ2" s="71" t="s">
        <v>171</v>
      </c>
      <c r="OR2" s="71" t="s">
        <v>172</v>
      </c>
      <c r="OS2" s="71" t="s">
        <v>168</v>
      </c>
      <c r="OT2" s="71" t="s">
        <v>57</v>
      </c>
      <c r="OU2" s="71" t="s">
        <v>173</v>
      </c>
      <c r="OV2" s="71" t="s">
        <v>15</v>
      </c>
      <c r="OW2" s="101" t="s">
        <v>166</v>
      </c>
      <c r="OX2" s="101"/>
      <c r="OY2" s="101"/>
      <c r="OZ2" s="101"/>
      <c r="PA2" s="101" t="s">
        <v>167</v>
      </c>
      <c r="PB2" s="101"/>
      <c r="PC2" s="101"/>
      <c r="PD2" s="101"/>
      <c r="PE2" s="101" t="s">
        <v>168</v>
      </c>
      <c r="PF2" s="101"/>
      <c r="PG2" s="101"/>
      <c r="PH2" s="101"/>
      <c r="PI2" s="101" t="s">
        <v>169</v>
      </c>
      <c r="PJ2" s="101"/>
      <c r="PK2" s="101"/>
      <c r="PL2" s="101"/>
      <c r="PM2" s="111" t="s">
        <v>170</v>
      </c>
      <c r="PN2" s="111"/>
      <c r="PO2" s="111"/>
      <c r="PP2" s="111"/>
      <c r="PQ2" s="72"/>
      <c r="PR2" s="72" t="s">
        <v>171</v>
      </c>
      <c r="PS2" s="72" t="s">
        <v>172</v>
      </c>
      <c r="PT2" s="72" t="s">
        <v>168</v>
      </c>
      <c r="PU2" s="72" t="s">
        <v>57</v>
      </c>
      <c r="PV2" s="72" t="s">
        <v>173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 cm="1">
        <f t="array" ref="A4">IF(AND(F4="P",G4="P"),SUMPRODUCT((F$4:F$12="P")*(G$4:G$12="P")*(E$4:E$12&gt;E4))+1,IF(G4="P",SUMPRODUCT((F$4:F$12="")*(G$4:G$12="P")*(E$4:E$12&gt;E4))+1+SUMPRODUCT((F$4:F$12="P")*(G$4:G$12="P")),""))</f>
        <v>1</v>
      </c>
      <c r="B4" s="78" t="s">
        <v>153</v>
      </c>
      <c r="C4" s="5" t="s">
        <v>3</v>
      </c>
      <c r="D4" s="5">
        <v>2003</v>
      </c>
      <c r="E4" s="15">
        <f t="shared" ref="E4:E11" si="0">SUM(I4:O4)+SUM(I4:M4)*0.0000001+SUM(I4)*0.0000000000001</f>
        <v>96.960009696004832</v>
      </c>
      <c r="F4" s="3" t="str">
        <f t="shared" ref="F4:F11" si="1"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 t="shared" ref="G4:G11" si="2"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67" t="str">
        <f t="shared" ref="H4:H11" si="3"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National Team</v>
      </c>
      <c r="I4" s="14">
        <f>IF(COUNT(AN4,BO4,CP4)&gt;0,LARGE((AN4,BO4,CP4),1),0)</f>
        <v>48.26</v>
      </c>
      <c r="J4" s="14" t="str">
        <f t="shared" ref="J4:J11" si="4">IF(I4=0,"",IF(I4=CP4,$BT$1,IF(I4=BO4,$AS$1,IF(I4=AN4,$R$1,""))))</f>
        <v>2022 Elite Canada</v>
      </c>
      <c r="K4" s="14">
        <f>IF(COUNT(AN4,BO4,CP4)&gt;1,LARGE((AN4,BO4,CP4),2),0)</f>
        <v>0</v>
      </c>
      <c r="L4" s="14" t="str">
        <f t="shared" ref="L4:L11" si="5">IF(K4=0,"",IF(K4=CP4,$BT$1,IF(K4=BO4,$AS$1,IF(K4=AN4,$R$1,""))))</f>
        <v/>
      </c>
      <c r="M4" s="14">
        <f t="shared" ref="M4:M11" si="6">IF(MAX(AQ4,BR4,CS4)&gt;0,MAX(AQ4,BR4,CS4),0)</f>
        <v>48.699999999999996</v>
      </c>
      <c r="N4" s="14" t="str">
        <f t="shared" ref="N4:N11" si="7">IF(M4=0,"",IF(M4=CS4,$BT$1,IF(M4=BR4,$AS$1,IF(M4=AQ4,$R$1,""))))</f>
        <v>2022 Elite Canada</v>
      </c>
      <c r="O4" s="14" t="str">
        <f t="shared" ref="O4:O11" si="8">IF(MAX(CU4:CV4)&gt;0,MAX(CU4:CV4),"")</f>
        <v/>
      </c>
      <c r="P4" s="20" t="str">
        <f t="shared" ref="P4:P11" si="9">IF(O4="","",IF(O4=CU4,"("&amp;CU$2&amp;")",IF(O4=CV4,"("&amp;CV$2&amp;")")))</f>
        <v/>
      </c>
      <c r="Q4" s="14" t="str">
        <f t="shared" ref="Q4:Q11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 t="shared" ref="AM4:AM11" si="11">IF(SUM(S4,W4)&gt;0,SUM(S4,W4),"")</f>
        <v/>
      </c>
      <c r="AN4" s="79" t="str">
        <f t="shared" ref="AN4:AN11" si="12">IF(SUM(R4:S4,U4:W4,Y4)-T4-X4&gt;0,SUM(R4:S4,U4:W4,Y4)-T4-X4,"")</f>
        <v/>
      </c>
      <c r="AO4" s="79" t="str">
        <f t="shared" ref="AO4:AO11" si="13">IF(SUM(Z4:AA4,AC4)-AB4&gt;0,SUM(Z4:AA4,AC4)-AB4,"")</f>
        <v/>
      </c>
      <c r="AP4" s="79" t="str">
        <f t="shared" ref="AP4:AP11" si="14">IF(SUM(AE4,AI4)&gt;0,SUM(AE4,AI4),"")</f>
        <v/>
      </c>
      <c r="AQ4" s="79" t="str">
        <f t="shared" ref="AQ4:AQ11" si="15">IF(SUM(AD4:AE4,AG4:AI4,AK4)-SUM(AF4,AJ4)&gt;0,SUM(AD4:AE4,AG4:AI4,AK4)-SUM(AF4,AJ4),"")</f>
        <v/>
      </c>
      <c r="AR4" s="79" t="str">
        <f t="shared" ref="AR4:AR11" si="16">IF(SUM(AN4,AQ4)&gt;0,SUM(AN4,AQ4),"")</f>
        <v/>
      </c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 t="str">
        <f t="shared" ref="BN4:BN11" si="17">IF(SUM(AT4,AX4)&gt;0,SUM(AT4,AX4),"")</f>
        <v/>
      </c>
      <c r="BO4" s="20" t="str">
        <f t="shared" ref="BO4:BO11" si="18">IF(SUM(AS4:AT4,AV4:AX4,AZ4)-AU4-AY4&gt;0,SUM(AS4:AT4,AV4:AX4,AZ4)-AU4-AY4,"")</f>
        <v/>
      </c>
      <c r="BP4" s="20" t="str">
        <f t="shared" ref="BP4:BP11" si="19">IF(SUM(BA4:BB4,BD4)-BC4&gt;0,SUM(BA4:BB4,BD4)-BC4,"")</f>
        <v/>
      </c>
      <c r="BQ4" s="20" t="str">
        <f t="shared" ref="BQ4:BQ11" si="20">IF(SUM(BF4,BJ4)&gt;0,SUM(BF4,BJ4),"")</f>
        <v/>
      </c>
      <c r="BR4" s="20" t="str">
        <f t="shared" ref="BR4:BR11" si="21">IF(SUM(BE4:BF4,BH4:BJ4,BL4)-SUM(BG4,BK4)&gt;0,SUM(BE4:BF4,BH4:BJ4,BL4)-SUM(BG4,BK4),"")</f>
        <v/>
      </c>
      <c r="BS4" s="20" t="str">
        <f t="shared" ref="BS4:BS11" si="22">IF(SUM(BO4,BR4)&gt;0,SUM(BO4,BR4),"")</f>
        <v/>
      </c>
      <c r="BT4" s="27">
        <v>17.5</v>
      </c>
      <c r="BU4" s="27">
        <v>6.5</v>
      </c>
      <c r="BV4" s="27">
        <v>0</v>
      </c>
      <c r="BW4" s="27">
        <v>0</v>
      </c>
      <c r="BX4" s="27">
        <v>18.36</v>
      </c>
      <c r="BY4" s="27">
        <v>5.9</v>
      </c>
      <c r="BZ4" s="27">
        <v>0</v>
      </c>
      <c r="CA4" s="27">
        <v>0</v>
      </c>
      <c r="CB4" s="27"/>
      <c r="CC4" s="27"/>
      <c r="CD4" s="27"/>
      <c r="CE4" s="27"/>
      <c r="CF4" s="27">
        <v>18.100000000000001</v>
      </c>
      <c r="CG4" s="27">
        <v>6.5</v>
      </c>
      <c r="CH4" s="27">
        <v>0</v>
      </c>
      <c r="CI4" s="27">
        <v>0</v>
      </c>
      <c r="CJ4" s="27">
        <v>18.2</v>
      </c>
      <c r="CK4" s="27">
        <v>5.9</v>
      </c>
      <c r="CL4" s="27">
        <v>0</v>
      </c>
      <c r="CM4" s="27">
        <v>0</v>
      </c>
      <c r="CN4" s="45"/>
      <c r="CO4" s="79">
        <f t="shared" ref="CO4:CO11" si="23">IF(SUM(BU4,BY4)&gt;0,SUM(BU4,BY4),"")</f>
        <v>12.4</v>
      </c>
      <c r="CP4" s="79">
        <f t="shared" ref="CP4:CP11" si="24">IF(SUM(BT4:BU4,BW4:BY4,CA4)-BV4-BZ4&gt;0,SUM(BT4:BU4,BW4:BY4,CA4)-BV4-BZ4,"")</f>
        <v>48.26</v>
      </c>
      <c r="CQ4" s="79" t="str">
        <f t="shared" ref="CQ4:CQ11" si="25">IF(SUM(CB4:CC4,CE4)-CD4&gt;0,SUM(CB4:CC4,CE4)-CD4,"")</f>
        <v/>
      </c>
      <c r="CR4" s="79">
        <f t="shared" ref="CR4:CR11" si="26">IF(SUM(CG4,CK4)&gt;0,SUM(CG4,CK4),"")</f>
        <v>12.4</v>
      </c>
      <c r="CS4" s="79">
        <f t="shared" ref="CS4:CS11" si="27">IF(SUM(CF4:CG4,CI4:CK4,CM4)-SUM(CH4,CL4)&gt;0,SUM(CF4:CG4,CI4:CK4,CM4)-SUM(CH4,CL4),"")</f>
        <v>48.699999999999996</v>
      </c>
      <c r="CT4" s="79">
        <f t="shared" ref="CT4:CT11" si="28">IF(SUM(CP4,CS4)&gt;0,SUM(CP4,CS4),"")</f>
        <v>96.96</v>
      </c>
      <c r="CU4" s="80" t="str">
        <f t="shared" ref="CU4:CU11" si="29">IF(MAX(DR4,ER4,FR4,GR4,HR4,IR4,JR4,KR4,LR4,MR4,NR4,OR4)-IF(K4="",0,K4)&gt;0.001,MAX(DR4,ER4,FR4,GR4,HR4,IR4,JR4,KR4,LR4,MR4,NR4,OR4)-IF(K4="",0,K4),"")</f>
        <v/>
      </c>
      <c r="CV4" s="80" t="str">
        <f t="shared" ref="CV4:CV11" si="30">IF(MAX(DU4,EU4,FU4,GU4,HU4,IU4,JU4,KU4,LU4,MU4,NU4,OU4)-IF(M4="",0,M4)&gt;0.001,MAX(DU4,EU4,FU4,GU4,HU4,IU4,JU4,KU4,LU4,MU4,NU4,OU4)-IF(M4="",0,M4),"")</f>
        <v/>
      </c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79" t="str">
        <f t="shared" ref="DQ4:DQ11" si="31">IF(SUM(CX4,DB4)&gt;0,SUM(CX4,DB4),"")</f>
        <v/>
      </c>
      <c r="DR4" s="79" t="str">
        <f t="shared" ref="DR4:DR11" si="32">IF(SUM(CW4:CX4,CZ4:DB4,DD4)-CY4-DC4&gt;0,SUM(CW4:CX4,CZ4:DB4,DD4)-CY4-DC4,"")</f>
        <v/>
      </c>
      <c r="DS4" s="79" t="str">
        <f t="shared" ref="DS4:DS11" si="33">IF(SUM(DE4:DF4,DH4)-DG4&gt;0,SUM(DE4:DF4,DH4)-DG4,"")</f>
        <v/>
      </c>
      <c r="DT4" s="79" t="str">
        <f t="shared" ref="DT4:DT11" si="34">IF(SUM(DJ4,DN4)&gt;0,SUM(DJ4,DN4),"")</f>
        <v/>
      </c>
      <c r="DU4" s="79" t="str">
        <f t="shared" ref="DU4:DU11" si="35">IF(SUM(DI4:DJ4,DL4:DN4,DP4)-SUM(DK4,DO4)&gt;0,SUM(DI4:DJ4,DL4:DN4,DP4)-SUM(DK4,DO4),"")</f>
        <v/>
      </c>
      <c r="DV4" s="79" t="str">
        <f t="shared" ref="DV4:DV11" si="36">IF(SUM(DR4,DU4)&gt;0,SUM(DR4,DU4),"")</f>
        <v/>
      </c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0" t="str">
        <f t="shared" ref="EQ4:EQ11" si="37">IF(SUM(DX4,EB4)&gt;0,SUM(DX4,EB4),"")</f>
        <v/>
      </c>
      <c r="ER4" s="20" t="str">
        <f t="shared" ref="ER4:ER11" si="38">IF(SUM(DW4:DX4,DZ4:EB4,ED4)-DY4-EC4&gt;0,SUM(DW4:DX4,DZ4:EB4,ED4)-DY4-EC4,"")</f>
        <v/>
      </c>
      <c r="ES4" s="20" t="str">
        <f t="shared" ref="ES4:ES11" si="39">IF(SUM(EE4:EF4,EH4)-EG4&gt;0,SUM(EE4:EF4,EH4)-EG4,"")</f>
        <v/>
      </c>
      <c r="ET4" s="20" t="str">
        <f t="shared" ref="ET4:ET11" si="40">IF(SUM(EJ4,EN4)&gt;0,SUM(EJ4,EN4),"")</f>
        <v/>
      </c>
      <c r="EU4" s="20" t="str">
        <f t="shared" ref="EU4:EU11" si="41">IF(SUM(EI4:EJ4,EL4:EN4,EP4)-SUM(EK4,EO4)&gt;0,SUM(EI4:EJ4,EL4:EN4,EP4)-SUM(EK4,EO4),"")</f>
        <v/>
      </c>
      <c r="EV4" s="20" t="str">
        <f t="shared" ref="EV4:EV11" si="42">IF(SUM(ER4,EU4)&gt;0,SUM(ER4,EU4),"")</f>
        <v/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 t="shared" ref="FQ4:FQ11" si="43">IF(SUM(EX4,FB4)&gt;0,SUM(EX4,FB4),"")</f>
        <v/>
      </c>
      <c r="FR4" s="79" t="str">
        <f t="shared" ref="FR4:FR11" si="44">IF(SUM(EW4:EX4,EZ4:FB4,FD4)-EY4-FC4&gt;0,SUM(EW4:EX4,EZ4:FB4,FD4)-EY4-FC4,"")</f>
        <v/>
      </c>
      <c r="FS4" s="79" t="str">
        <f t="shared" ref="FS4:FS11" si="45">IF(SUM(FE4:FF4,FH4)-FG4&gt;0,SUM(FE4:FF4,FH4)-FG4,"")</f>
        <v/>
      </c>
      <c r="FT4" s="79" t="str">
        <f t="shared" ref="FT4:FT11" si="46">IF(SUM(FJ4,FN4)&gt;0,SUM(FJ4,FN4),"")</f>
        <v/>
      </c>
      <c r="FU4" s="79" t="str">
        <f t="shared" ref="FU4:FU11" si="47">IF(SUM(FI4:FJ4,FL4:FN4,FP4)-SUM(FK4,FO4)&gt;0,SUM(FI4:FJ4,FL4:FN4,FP4)-SUM(FK4,FO4),"")</f>
        <v/>
      </c>
      <c r="FV4" s="79" t="str">
        <f t="shared" ref="FV4:FV11" si="48">IF(SUM(FR4,FU4)&gt;0,SUM(FR4,FU4),"")</f>
        <v/>
      </c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0" t="str">
        <f t="shared" ref="GQ4:GQ11" si="49">IF(SUM(FX4,GB4)&gt;0,SUM(FX4,GB4),"")</f>
        <v/>
      </c>
      <c r="GR4" s="20" t="str">
        <f t="shared" ref="GR4:GR11" si="50">IF(SUM(FW4:FX4,FZ4:GB4,GD4)-FY4-GC4&gt;0,SUM(FW4:FX4,FZ4:GB4,GD4)-FY4-GC4,"")</f>
        <v/>
      </c>
      <c r="GS4" s="20" t="str">
        <f t="shared" ref="GS4:GS11" si="51">IF(SUM(GE4:GF4,GH4)-GG4&gt;0,SUM(GE4:GF4,GH4)-GG4,"")</f>
        <v/>
      </c>
      <c r="GT4" s="20" t="str">
        <f t="shared" ref="GT4:GT11" si="52">IF(SUM(GJ4,GN4)&gt;0,SUM(GJ4,GN4),"")</f>
        <v/>
      </c>
      <c r="GU4" s="20" t="str">
        <f t="shared" ref="GU4:GU11" si="53">IF(SUM(GI4:GJ4,GL4:GN4,GP4)-SUM(GK4,GO4)&gt;0,SUM(GI4:GJ4,GL4:GN4,GP4)-SUM(GK4,GO4),"")</f>
        <v/>
      </c>
      <c r="GV4" s="20" t="str">
        <f t="shared" ref="GV4:GV11" si="54">IF(SUM(GR4,GU4)&gt;0,SUM(GR4,GU4),"")</f>
        <v/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 t="shared" ref="HQ4:HQ11" si="55">IF(SUM(GX4,HB4)&gt;0,SUM(GX4,HB4),"")</f>
        <v/>
      </c>
      <c r="HR4" s="79" t="str">
        <f t="shared" ref="HR4:HR11" si="56">IF(SUM(GW4:GX4,GZ4:HB4,HD4)-GY4-HC4&gt;0,SUM(GW4:GX4,GZ4:HB4,HD4)-GY4-HC4,"")</f>
        <v/>
      </c>
      <c r="HS4" s="79" t="str">
        <f t="shared" ref="HS4:HS11" si="57">IF(SUM(HE4:HF4,HH4)-HG4&gt;0,SUM(HE4:HF4,HH4)-HG4,"")</f>
        <v/>
      </c>
      <c r="HT4" s="79" t="str">
        <f t="shared" ref="HT4:HT11" si="58">IF(SUM(HJ4,HN4)&gt;0,SUM(HJ4,HN4),"")</f>
        <v/>
      </c>
      <c r="HU4" s="79" t="str">
        <f t="shared" ref="HU4:HU11" si="59">IF(SUM(HI4:HJ4,HL4:HN4,HP4)-SUM(HK4,HO4)&gt;0,SUM(HI4:HJ4,HL4:HN4,HP4)-SUM(HK4,HO4),"")</f>
        <v/>
      </c>
      <c r="HV4" s="79" t="str">
        <f t="shared" ref="HV4:HV11" si="60"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 t="shared" ref="IQ4:IQ11" si="61">IF(SUM(HX4,IB4)&gt;0,SUM(HX4,IB4),"")</f>
        <v/>
      </c>
      <c r="IR4" s="20" t="str">
        <f t="shared" ref="IR4:IR11" si="62">IF(SUM(HW4:HX4,HZ4:IB4,ID4)-HY4-IC4&gt;0,SUM(HW4:HX4,HZ4:IB4,ID4)-HY4-IC4,"")</f>
        <v/>
      </c>
      <c r="IS4" s="20" t="str">
        <f t="shared" ref="IS4:IS11" si="63">IF(SUM(IE4:IF4,IH4)-IG4&gt;0,SUM(IE4:IF4,IH4)-IG4,"")</f>
        <v/>
      </c>
      <c r="IT4" s="20" t="str">
        <f t="shared" ref="IT4:IT11" si="64">IF(SUM(IJ4,IN4)&gt;0,SUM(IJ4,IN4),"")</f>
        <v/>
      </c>
      <c r="IU4" s="20" t="str">
        <f t="shared" ref="IU4:IU11" si="65">IF(SUM(II4:IJ4,IL4:IN4,IP4)-SUM(IK4,IO4)&gt;0,SUM(II4:IJ4,IL4:IN4,IP4)-SUM(IK4,IO4),"")</f>
        <v/>
      </c>
      <c r="IV4" s="20" t="str">
        <f t="shared" ref="IV4:IV11" si="66"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 t="shared" ref="JQ4:JQ11" si="67">IF(SUM(IX4,JB4)&gt;0,SUM(IX4,JB4),"")</f>
        <v/>
      </c>
      <c r="JR4" s="79" t="str">
        <f t="shared" ref="JR4:JR11" si="68">IF(SUM(IW4:IX4,IZ4:JB4,JD4)-IY4-JC4&gt;0,SUM(IW4:IX4,IZ4:JB4,JD4)-IY4-JC4,"")</f>
        <v/>
      </c>
      <c r="JS4" s="79" t="str">
        <f t="shared" ref="JS4:JS11" si="69">IF(SUM(JE4:JF4,JH4)-JG4&gt;0,SUM(JE4:JF4,JH4)-JG4,"")</f>
        <v/>
      </c>
      <c r="JT4" s="79" t="str">
        <f t="shared" ref="JT4:JT11" si="70">IF(SUM(JJ4,JN4)&gt;0,SUM(JJ4,JN4),"")</f>
        <v/>
      </c>
      <c r="JU4" s="79" t="str">
        <f t="shared" ref="JU4:JU11" si="71">IF(SUM(JI4:JJ4,JL4:JN4,JP4)-SUM(JK4,JO4)&gt;0,SUM(JI4:JJ4,JL4:JN4,JP4)-SUM(JK4,JO4),"")</f>
        <v/>
      </c>
      <c r="JV4" s="79" t="str">
        <f t="shared" ref="JV4:JV11" si="72"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 t="shared" ref="KQ4:KQ11" si="73">IF(SUM(JX4,KB4)&gt;0,SUM(JX4,KB4),"")</f>
        <v/>
      </c>
      <c r="KR4" s="20" t="str">
        <f t="shared" ref="KR4:KR11" si="74">IF(SUM(JW4:JX4,JZ4:KB4,KD4)-JY4-KC4&gt;0,SUM(JW4:JX4,JZ4:KB4,KD4)-JY4-KC4,"")</f>
        <v/>
      </c>
      <c r="KS4" s="20" t="str">
        <f t="shared" ref="KS4:KS11" si="75">IF(SUM(KE4:KF4,KH4)-KG4&gt;0,SUM(KE4:KF4,KH4)-KG4,"")</f>
        <v/>
      </c>
      <c r="KT4" s="20" t="str">
        <f t="shared" ref="KT4:KT11" si="76">IF(SUM(KJ4,KN4)&gt;0,SUM(KJ4,KN4),"")</f>
        <v/>
      </c>
      <c r="KU4" s="20" t="str">
        <f t="shared" ref="KU4:KU11" si="77">IF(SUM(KI4:KJ4,KL4:KN4,KP4)-SUM(KK4,KO4)&gt;0,SUM(KI4:KJ4,KL4:KN4,KP4)-SUM(KK4,KO4),"")</f>
        <v/>
      </c>
      <c r="KV4" s="20" t="str">
        <f t="shared" ref="KV4:KV11" si="78"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 t="shared" ref="LQ4:LQ11" si="79">IF(SUM(KX4,LB4)&gt;0,SUM(KX4,LB4),"")</f>
        <v/>
      </c>
      <c r="LR4" s="79" t="str">
        <f t="shared" ref="LR4:LR11" si="80">IF(SUM(KW4:KX4,KZ4:LB4,LD4)-KY4-LC4&gt;0,SUM(KW4:KX4,KZ4:LB4,LD4)-KY4-LC4,"")</f>
        <v/>
      </c>
      <c r="LS4" s="79" t="str">
        <f t="shared" ref="LS4:LS11" si="81">IF(SUM(LE4:LF4,LH4)-LG4&gt;0,SUM(LE4:LF4,LH4)-LG4,"")</f>
        <v/>
      </c>
      <c r="LT4" s="79" t="str">
        <f t="shared" ref="LT4:LT11" si="82">IF(SUM(LJ4,LN4)&gt;0,SUM(LJ4,LN4),"")</f>
        <v/>
      </c>
      <c r="LU4" s="79" t="str">
        <f t="shared" ref="LU4:LU11" si="83">IF(SUM(LI4:LJ4,LL4:LN4,LP4)-SUM(LK4,LO4)&gt;0,SUM(LI4:LJ4,LL4:LN4,LP4)-SUM(LK4,LO4),"")</f>
        <v/>
      </c>
      <c r="LV4" s="79" t="str">
        <f t="shared" ref="LV4:LV11" si="84"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 t="shared" ref="MQ4:MQ11" si="85">IF(SUM(LX4,MB4)&gt;0,SUM(LX4,MB4),"")</f>
        <v/>
      </c>
      <c r="MR4" s="20" t="str">
        <f t="shared" ref="MR4:MR11" si="86">IF(SUM(LW4:LX4,LZ4:MB4,MD4)-LY4-MC4&gt;0,SUM(LW4:LX4,LZ4:MB4,MD4)-LY4-MC4,"")</f>
        <v/>
      </c>
      <c r="MS4" s="20" t="str">
        <f t="shared" ref="MS4:MS11" si="87">IF(SUM(ME4:MF4,MH4)-MG4&gt;0,SUM(ME4:MF4,MH4)-MG4,"")</f>
        <v/>
      </c>
      <c r="MT4" s="20" t="str">
        <f t="shared" ref="MT4:MT11" si="88">IF(SUM(MJ4,MN4)&gt;0,SUM(MJ4,MN4),"")</f>
        <v/>
      </c>
      <c r="MU4" s="20" t="str">
        <f t="shared" ref="MU4:MU11" si="89">IF(SUM(MI4:MJ4,ML4:MN4,MP4)-SUM(MK4,MO4)&gt;0,SUM(MI4:MJ4,ML4:MN4,MP4)-SUM(MK4,MO4),"")</f>
        <v/>
      </c>
      <c r="MV4" s="20" t="str">
        <f t="shared" ref="MV4:MV11" si="90"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 t="shared" ref="NQ4:NQ11" si="91">IF(SUM(MX4,NB4)&gt;0,SUM(MX4,NB4),"")</f>
        <v/>
      </c>
      <c r="NR4" s="79" t="str">
        <f t="shared" ref="NR4:NR11" si="92">IF(SUM(MW4:MX4,MZ4:NB4,ND4)-MY4-NC4&gt;0,SUM(MW4:MX4,MZ4:NB4,ND4)-MY4-NC4,"")</f>
        <v/>
      </c>
      <c r="NS4" s="79" t="str">
        <f t="shared" ref="NS4:NS11" si="93">IF(SUM(NE4:NF4,NH4)-NG4&gt;0,SUM(NE4:NF4,NH4)-NG4,"")</f>
        <v/>
      </c>
      <c r="NT4" s="79" t="str">
        <f t="shared" ref="NT4:NT11" si="94">IF(SUM(NJ4,NN4)&gt;0,SUM(NJ4,NN4),"")</f>
        <v/>
      </c>
      <c r="NU4" s="79" t="str">
        <f t="shared" ref="NU4:NU11" si="95">IF(SUM(NI4:NJ4,NL4:NN4,NP4)-SUM(NK4,NO4)&gt;0,SUM(NI4:NJ4,NL4:NN4,NP4)-SUM(NK4,NO4),"")</f>
        <v/>
      </c>
      <c r="NV4" s="79" t="str">
        <f t="shared" ref="NV4:NV11" si="96"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 t="shared" ref="OQ4:OQ11" si="97">IF(SUM(NX4,OB4)&gt;0,SUM(NX4,OB4),"")</f>
        <v/>
      </c>
      <c r="OR4" s="20" t="str">
        <f t="shared" ref="OR4:OR11" si="98">IF(SUM(NW4:NX4,NZ4:OB4,OD4)-NY4-OC4&gt;0,SUM(NW4:NX4,NZ4:OB4,OD4)-NY4-OC4,"")</f>
        <v/>
      </c>
      <c r="OS4" s="20" t="str">
        <f t="shared" ref="OS4:OS11" si="99">IF(SUM(OE4:OF4,OH4)-OG4&gt;0,SUM(OE4:OF4,OH4)-OG4,"")</f>
        <v/>
      </c>
      <c r="OT4" s="20" t="str">
        <f t="shared" ref="OT4:OT11" si="100">IF(SUM(OJ4,ON4)&gt;0,SUM(OJ4,ON4),"")</f>
        <v/>
      </c>
      <c r="OU4" s="20" t="str">
        <f t="shared" ref="OU4:OU11" si="101">IF(SUM(OI4:OJ4,OL4:ON4,OP4)-SUM(OK4,OO4)&gt;0,SUM(OI4:OJ4,OL4:ON4,OP4)-SUM(OK4,OO4),"")</f>
        <v/>
      </c>
      <c r="OV4" s="20" t="str">
        <f t="shared" ref="OV4:OV11" si="102">IF(SUM(OR4,OU4)&gt;0,SUM(OR4,OU4),"")</f>
        <v/>
      </c>
      <c r="OW4" s="38">
        <f t="shared" ref="OW4:PF11" si="103">IF($CN4="P",BT4,(BT4+AS4)/2)</f>
        <v>8.75</v>
      </c>
      <c r="OX4" s="38">
        <f t="shared" si="103"/>
        <v>3.25</v>
      </c>
      <c r="OY4" s="38">
        <f t="shared" si="103"/>
        <v>0</v>
      </c>
      <c r="OZ4" s="38">
        <f t="shared" si="103"/>
        <v>0</v>
      </c>
      <c r="PA4" s="38">
        <f t="shared" si="103"/>
        <v>9.18</v>
      </c>
      <c r="PB4" s="38">
        <f t="shared" si="103"/>
        <v>2.95</v>
      </c>
      <c r="PC4" s="38">
        <f t="shared" si="103"/>
        <v>0</v>
      </c>
      <c r="PD4" s="38">
        <f t="shared" si="103"/>
        <v>0</v>
      </c>
      <c r="PE4" s="38">
        <f t="shared" si="103"/>
        <v>0</v>
      </c>
      <c r="PF4" s="38">
        <f t="shared" si="103"/>
        <v>0</v>
      </c>
      <c r="PG4" s="38">
        <f t="shared" ref="PG4:PP11" si="104">IF($CN4="P",CD4,(CD4+BC4)/2)</f>
        <v>0</v>
      </c>
      <c r="PH4" s="38">
        <f t="shared" si="104"/>
        <v>0</v>
      </c>
      <c r="PI4" s="38">
        <f t="shared" si="104"/>
        <v>9.0500000000000007</v>
      </c>
      <c r="PJ4" s="38">
        <f t="shared" si="104"/>
        <v>3.25</v>
      </c>
      <c r="PK4" s="38">
        <f t="shared" si="104"/>
        <v>0</v>
      </c>
      <c r="PL4" s="38">
        <f t="shared" si="104"/>
        <v>0</v>
      </c>
      <c r="PM4" s="38">
        <f t="shared" si="104"/>
        <v>9.1</v>
      </c>
      <c r="PN4" s="38">
        <f t="shared" si="104"/>
        <v>2.95</v>
      </c>
      <c r="PO4" s="38">
        <f t="shared" si="104"/>
        <v>0</v>
      </c>
      <c r="PP4" s="38">
        <f t="shared" si="104"/>
        <v>0</v>
      </c>
      <c r="PQ4" s="45" t="s">
        <v>46</v>
      </c>
      <c r="PR4" s="79">
        <f t="shared" ref="PR4:PR11" si="105">IF(SUM(OX4,PB4)&gt;0,SUM(OX4,PB4),"")</f>
        <v>6.2</v>
      </c>
      <c r="PS4" s="79">
        <f t="shared" ref="PS4:PS11" si="106">IF(SUM(OW4:OX4,OZ4:PB4,PD4)-OY4-PC4&gt;0,SUM(OW4:OX4,OZ4:PB4,PD4)-OY4-PC4,"")</f>
        <v>24.13</v>
      </c>
      <c r="PT4" s="79" t="str">
        <f t="shared" ref="PT4:PT11" si="107">IF(SUM(PE4:PF4,PH4)-PG4&gt;0,SUM(PE4:PF4,PH4)-PG4,"")</f>
        <v/>
      </c>
      <c r="PU4" s="79">
        <f t="shared" ref="PU4:PU11" si="108">IF(SUM(PJ4,PN4)&gt;0,SUM(PJ4,PN4),"")</f>
        <v>6.2</v>
      </c>
      <c r="PV4" s="79">
        <f t="shared" ref="PV4:PV11" si="109">IF(SUM(PI4:PJ4,PL4:PN4,PP4)-SUM(PK4,PO4)&gt;0,SUM(PI4:PJ4,PL4:PN4,PP4)-SUM(PK4,PO4),"")</f>
        <v>24.349999999999998</v>
      </c>
      <c r="PW4" s="79">
        <f t="shared" ref="PW4:PW11" si="110">IF(SUM(PS4,PV4)&gt;0,SUM(PS4,PV4),"")</f>
        <v>48.48</v>
      </c>
    </row>
    <row r="5" spans="1:439" x14ac:dyDescent="0.2">
      <c r="A5" s="5">
        <f t="shared" ref="A5:A11" si="111">IF(AND(F5="P",G5="P"),SUMPRODUCT((F$4:F$12="P")*(G$4:G$12="P")*(E$4:E$12&gt;E5))+1,IF(G5="P",SUMPRODUCT((F$4:F$12="")*(G$4:G$12="P")*(E$4:E$12&gt;E5))+1+SUMPRODUCT((F$4:F$12="P")*(G$4:G$12="P")),""))</f>
        <v>2</v>
      </c>
      <c r="B5" s="78" t="s">
        <v>100</v>
      </c>
      <c r="C5" s="5" t="s">
        <v>4</v>
      </c>
      <c r="D5" s="5">
        <v>2004</v>
      </c>
      <c r="E5" s="15">
        <f t="shared" si="0"/>
        <v>88.70000887000441</v>
      </c>
      <c r="F5" s="3" t="str">
        <f t="shared" si="1"/>
        <v>P</v>
      </c>
      <c r="G5" s="3" t="str">
        <f t="shared" si="2"/>
        <v>P</v>
      </c>
      <c r="H5" s="67" t="str">
        <f t="shared" si="3"/>
        <v>National Team</v>
      </c>
      <c r="I5" s="14">
        <f>IF(COUNT(AN5,BO5,CP5)&gt;0,LARGE((AN5,BO5,CP5),1),0)</f>
        <v>44.1</v>
      </c>
      <c r="J5" s="14" t="str">
        <f t="shared" si="4"/>
        <v>2022 Elite Canada</v>
      </c>
      <c r="K5" s="14">
        <f>IF(COUNT(AN5,BO5,CP5)&gt;1,LARGE((AN5,BO5,CP5),2),0)</f>
        <v>0</v>
      </c>
      <c r="L5" s="14" t="str">
        <f t="shared" si="5"/>
        <v/>
      </c>
      <c r="M5" s="14">
        <f t="shared" si="6"/>
        <v>44.6</v>
      </c>
      <c r="N5" s="14" t="str">
        <f t="shared" si="7"/>
        <v>2022 Elite Canada</v>
      </c>
      <c r="O5" s="14" t="str">
        <f t="shared" si="8"/>
        <v/>
      </c>
      <c r="P5" s="20" t="str">
        <f t="shared" si="9"/>
        <v/>
      </c>
      <c r="Q5" s="14" t="str">
        <f t="shared" si="10"/>
        <v/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 t="str">
        <f t="shared" si="11"/>
        <v/>
      </c>
      <c r="AN5" s="79" t="str">
        <f t="shared" si="12"/>
        <v/>
      </c>
      <c r="AO5" s="79" t="str">
        <f t="shared" si="13"/>
        <v/>
      </c>
      <c r="AP5" s="79" t="str">
        <f t="shared" si="14"/>
        <v/>
      </c>
      <c r="AQ5" s="79" t="str">
        <f t="shared" si="15"/>
        <v/>
      </c>
      <c r="AR5" s="79" t="str">
        <f t="shared" si="16"/>
        <v/>
      </c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 t="str">
        <f t="shared" si="17"/>
        <v/>
      </c>
      <c r="BO5" s="20" t="str">
        <f t="shared" si="18"/>
        <v/>
      </c>
      <c r="BP5" s="20" t="str">
        <f t="shared" si="19"/>
        <v/>
      </c>
      <c r="BQ5" s="20" t="str">
        <f t="shared" si="20"/>
        <v/>
      </c>
      <c r="BR5" s="20" t="str">
        <f t="shared" si="21"/>
        <v/>
      </c>
      <c r="BS5" s="20" t="str">
        <f t="shared" si="22"/>
        <v/>
      </c>
      <c r="BT5" s="27">
        <v>16.5</v>
      </c>
      <c r="BU5" s="27">
        <v>4.7</v>
      </c>
      <c r="BV5" s="27">
        <v>0</v>
      </c>
      <c r="BW5" s="27">
        <v>0.3</v>
      </c>
      <c r="BX5" s="27">
        <v>17</v>
      </c>
      <c r="BY5" s="27">
        <v>5</v>
      </c>
      <c r="BZ5" s="27">
        <v>0</v>
      </c>
      <c r="CA5" s="27">
        <v>0.6</v>
      </c>
      <c r="CB5" s="27"/>
      <c r="CC5" s="27"/>
      <c r="CD5" s="27"/>
      <c r="CE5" s="27"/>
      <c r="CF5" s="27">
        <v>17.399999999999999</v>
      </c>
      <c r="CG5" s="27">
        <v>4.7</v>
      </c>
      <c r="CH5" s="27">
        <v>0</v>
      </c>
      <c r="CI5" s="27">
        <v>0.3</v>
      </c>
      <c r="CJ5" s="27">
        <v>16.8</v>
      </c>
      <c r="CK5" s="27">
        <v>4.8</v>
      </c>
      <c r="CL5" s="27">
        <v>0</v>
      </c>
      <c r="CM5" s="27">
        <v>0.6</v>
      </c>
      <c r="CN5" s="45"/>
      <c r="CO5" s="79">
        <f t="shared" si="23"/>
        <v>9.6999999999999993</v>
      </c>
      <c r="CP5" s="79">
        <f t="shared" si="24"/>
        <v>44.1</v>
      </c>
      <c r="CQ5" s="79" t="str">
        <f t="shared" si="25"/>
        <v/>
      </c>
      <c r="CR5" s="79">
        <f t="shared" si="26"/>
        <v>9.5</v>
      </c>
      <c r="CS5" s="79">
        <f t="shared" si="27"/>
        <v>44.6</v>
      </c>
      <c r="CT5" s="79">
        <f t="shared" si="28"/>
        <v>88.7</v>
      </c>
      <c r="CU5" s="80" t="str">
        <f t="shared" si="29"/>
        <v/>
      </c>
      <c r="CV5" s="80" t="str">
        <f t="shared" si="30"/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 t="shared" si="31"/>
        <v/>
      </c>
      <c r="DR5" s="79" t="str">
        <f t="shared" si="32"/>
        <v/>
      </c>
      <c r="DS5" s="79" t="str">
        <f t="shared" si="33"/>
        <v/>
      </c>
      <c r="DT5" s="79" t="str">
        <f t="shared" si="34"/>
        <v/>
      </c>
      <c r="DU5" s="79" t="str">
        <f t="shared" si="35"/>
        <v/>
      </c>
      <c r="DV5" s="79" t="str">
        <f t="shared" si="36"/>
        <v/>
      </c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0" t="str">
        <f t="shared" si="37"/>
        <v/>
      </c>
      <c r="ER5" s="20" t="str">
        <f t="shared" si="38"/>
        <v/>
      </c>
      <c r="ES5" s="20" t="str">
        <f t="shared" si="39"/>
        <v/>
      </c>
      <c r="ET5" s="20" t="str">
        <f t="shared" si="40"/>
        <v/>
      </c>
      <c r="EU5" s="20" t="str">
        <f t="shared" si="41"/>
        <v/>
      </c>
      <c r="EV5" s="20" t="str">
        <f t="shared" si="42"/>
        <v/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 t="shared" si="43"/>
        <v/>
      </c>
      <c r="FR5" s="79" t="str">
        <f t="shared" si="44"/>
        <v/>
      </c>
      <c r="FS5" s="79" t="str">
        <f t="shared" si="45"/>
        <v/>
      </c>
      <c r="FT5" s="79" t="str">
        <f t="shared" si="46"/>
        <v/>
      </c>
      <c r="FU5" s="79" t="str">
        <f t="shared" si="47"/>
        <v/>
      </c>
      <c r="FV5" s="79" t="str">
        <f t="shared" si="48"/>
        <v/>
      </c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0" t="str">
        <f t="shared" si="49"/>
        <v/>
      </c>
      <c r="GR5" s="20" t="str">
        <f t="shared" si="50"/>
        <v/>
      </c>
      <c r="GS5" s="20" t="str">
        <f t="shared" si="51"/>
        <v/>
      </c>
      <c r="GT5" s="20" t="str">
        <f t="shared" si="52"/>
        <v/>
      </c>
      <c r="GU5" s="20" t="str">
        <f t="shared" si="53"/>
        <v/>
      </c>
      <c r="GV5" s="20" t="str">
        <f t="shared" si="54"/>
        <v/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 t="shared" si="55"/>
        <v/>
      </c>
      <c r="HR5" s="79" t="str">
        <f t="shared" si="56"/>
        <v/>
      </c>
      <c r="HS5" s="79" t="str">
        <f t="shared" si="57"/>
        <v/>
      </c>
      <c r="HT5" s="79" t="str">
        <f t="shared" si="58"/>
        <v/>
      </c>
      <c r="HU5" s="79" t="str">
        <f t="shared" si="59"/>
        <v/>
      </c>
      <c r="HV5" s="79" t="str">
        <f t="shared" si="60"/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 t="shared" si="61"/>
        <v/>
      </c>
      <c r="IR5" s="20" t="str">
        <f t="shared" si="62"/>
        <v/>
      </c>
      <c r="IS5" s="20" t="str">
        <f t="shared" si="63"/>
        <v/>
      </c>
      <c r="IT5" s="20" t="str">
        <f t="shared" si="64"/>
        <v/>
      </c>
      <c r="IU5" s="20" t="str">
        <f t="shared" si="65"/>
        <v/>
      </c>
      <c r="IV5" s="20" t="str">
        <f t="shared" si="66"/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 t="shared" si="67"/>
        <v/>
      </c>
      <c r="JR5" s="79" t="str">
        <f t="shared" si="68"/>
        <v/>
      </c>
      <c r="JS5" s="79" t="str">
        <f t="shared" si="69"/>
        <v/>
      </c>
      <c r="JT5" s="79" t="str">
        <f t="shared" si="70"/>
        <v/>
      </c>
      <c r="JU5" s="79" t="str">
        <f t="shared" si="71"/>
        <v/>
      </c>
      <c r="JV5" s="79" t="str">
        <f t="shared" si="72"/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 t="shared" si="73"/>
        <v/>
      </c>
      <c r="KR5" s="20" t="str">
        <f t="shared" si="74"/>
        <v/>
      </c>
      <c r="KS5" s="20" t="str">
        <f t="shared" si="75"/>
        <v/>
      </c>
      <c r="KT5" s="20" t="str">
        <f t="shared" si="76"/>
        <v/>
      </c>
      <c r="KU5" s="20" t="str">
        <f t="shared" si="77"/>
        <v/>
      </c>
      <c r="KV5" s="20" t="str">
        <f t="shared" si="78"/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 t="shared" si="79"/>
        <v/>
      </c>
      <c r="LR5" s="79" t="str">
        <f t="shared" si="80"/>
        <v/>
      </c>
      <c r="LS5" s="79" t="str">
        <f t="shared" si="81"/>
        <v/>
      </c>
      <c r="LT5" s="79" t="str">
        <f t="shared" si="82"/>
        <v/>
      </c>
      <c r="LU5" s="79" t="str">
        <f t="shared" si="83"/>
        <v/>
      </c>
      <c r="LV5" s="79" t="str">
        <f t="shared" si="84"/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 t="shared" si="85"/>
        <v/>
      </c>
      <c r="MR5" s="20" t="str">
        <f t="shared" si="86"/>
        <v/>
      </c>
      <c r="MS5" s="20" t="str">
        <f t="shared" si="87"/>
        <v/>
      </c>
      <c r="MT5" s="20" t="str">
        <f t="shared" si="88"/>
        <v/>
      </c>
      <c r="MU5" s="20" t="str">
        <f t="shared" si="89"/>
        <v/>
      </c>
      <c r="MV5" s="20" t="str">
        <f t="shared" si="90"/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 t="shared" si="91"/>
        <v/>
      </c>
      <c r="NR5" s="79" t="str">
        <f t="shared" si="92"/>
        <v/>
      </c>
      <c r="NS5" s="79" t="str">
        <f t="shared" si="93"/>
        <v/>
      </c>
      <c r="NT5" s="79" t="str">
        <f t="shared" si="94"/>
        <v/>
      </c>
      <c r="NU5" s="79" t="str">
        <f t="shared" si="95"/>
        <v/>
      </c>
      <c r="NV5" s="79" t="str">
        <f t="shared" si="96"/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 t="shared" si="97"/>
        <v/>
      </c>
      <c r="OR5" s="20" t="str">
        <f t="shared" si="98"/>
        <v/>
      </c>
      <c r="OS5" s="20" t="str">
        <f t="shared" si="99"/>
        <v/>
      </c>
      <c r="OT5" s="20" t="str">
        <f t="shared" si="100"/>
        <v/>
      </c>
      <c r="OU5" s="20" t="str">
        <f t="shared" si="101"/>
        <v/>
      </c>
      <c r="OV5" s="20" t="str">
        <f t="shared" si="102"/>
        <v/>
      </c>
      <c r="OW5" s="38">
        <f t="shared" si="103"/>
        <v>8.25</v>
      </c>
      <c r="OX5" s="38">
        <f t="shared" si="103"/>
        <v>2.35</v>
      </c>
      <c r="OY5" s="38">
        <f t="shared" si="103"/>
        <v>0</v>
      </c>
      <c r="OZ5" s="38">
        <f t="shared" si="103"/>
        <v>0.15</v>
      </c>
      <c r="PA5" s="38">
        <f t="shared" si="103"/>
        <v>8.5</v>
      </c>
      <c r="PB5" s="38">
        <f t="shared" si="103"/>
        <v>2.5</v>
      </c>
      <c r="PC5" s="38">
        <f t="shared" si="103"/>
        <v>0</v>
      </c>
      <c r="PD5" s="38">
        <f t="shared" si="103"/>
        <v>0.3</v>
      </c>
      <c r="PE5" s="38">
        <f t="shared" si="103"/>
        <v>0</v>
      </c>
      <c r="PF5" s="38">
        <f t="shared" si="103"/>
        <v>0</v>
      </c>
      <c r="PG5" s="38">
        <f t="shared" si="104"/>
        <v>0</v>
      </c>
      <c r="PH5" s="38">
        <f t="shared" si="104"/>
        <v>0</v>
      </c>
      <c r="PI5" s="38">
        <f t="shared" si="104"/>
        <v>8.6999999999999993</v>
      </c>
      <c r="PJ5" s="38">
        <f t="shared" si="104"/>
        <v>2.35</v>
      </c>
      <c r="PK5" s="38">
        <f t="shared" si="104"/>
        <v>0</v>
      </c>
      <c r="PL5" s="38">
        <f t="shared" si="104"/>
        <v>0.15</v>
      </c>
      <c r="PM5" s="38">
        <f t="shared" si="104"/>
        <v>8.4</v>
      </c>
      <c r="PN5" s="38">
        <f t="shared" si="104"/>
        <v>2.4</v>
      </c>
      <c r="PO5" s="38">
        <f t="shared" si="104"/>
        <v>0</v>
      </c>
      <c r="PP5" s="38">
        <f t="shared" si="104"/>
        <v>0.3</v>
      </c>
      <c r="PQ5" s="45" t="s">
        <v>46</v>
      </c>
      <c r="PR5" s="79">
        <f t="shared" si="105"/>
        <v>4.8499999999999996</v>
      </c>
      <c r="PS5" s="79">
        <f t="shared" si="106"/>
        <v>22.05</v>
      </c>
      <c r="PT5" s="79" t="str">
        <f t="shared" si="107"/>
        <v/>
      </c>
      <c r="PU5" s="79">
        <f t="shared" si="108"/>
        <v>4.75</v>
      </c>
      <c r="PV5" s="79">
        <f t="shared" si="109"/>
        <v>22.3</v>
      </c>
      <c r="PW5" s="79">
        <f t="shared" si="110"/>
        <v>44.35</v>
      </c>
    </row>
    <row r="6" spans="1:439" x14ac:dyDescent="0.2">
      <c r="A6" s="5">
        <f t="shared" si="111"/>
        <v>3</v>
      </c>
      <c r="B6" s="78" t="s">
        <v>73</v>
      </c>
      <c r="C6" s="5" t="s">
        <v>4</v>
      </c>
      <c r="D6" s="5">
        <v>2002</v>
      </c>
      <c r="E6" s="15">
        <f t="shared" si="0"/>
        <v>44.900200000019993</v>
      </c>
      <c r="F6" s="3" t="str">
        <f t="shared" si="1"/>
        <v>P</v>
      </c>
      <c r="G6" s="3" t="str">
        <f t="shared" si="2"/>
        <v>P</v>
      </c>
      <c r="H6" s="67" t="str">
        <f t="shared" si="3"/>
        <v>National Team</v>
      </c>
      <c r="I6" s="14">
        <f>IF(COUNT(AN6,BO6,CP6)&gt;0,LARGE((AN6,BO6,CP6),1),0)</f>
        <v>2.0000000000000001E-4</v>
      </c>
      <c r="J6" s="14" t="str">
        <f t="shared" si="4"/>
        <v>2021 Elite Canada</v>
      </c>
      <c r="K6" s="14">
        <f>IF(COUNT(AN6,BO6,CP6)&gt;1,LARGE((AN6,BO6,CP6),2),0)</f>
        <v>0</v>
      </c>
      <c r="L6" s="14" t="str">
        <f t="shared" si="5"/>
        <v/>
      </c>
      <c r="M6" s="14">
        <f t="shared" si="6"/>
        <v>0</v>
      </c>
      <c r="N6" s="14" t="str">
        <f t="shared" si="7"/>
        <v/>
      </c>
      <c r="O6" s="14">
        <f t="shared" si="8"/>
        <v>44.899999999999991</v>
      </c>
      <c r="P6" s="20" t="str">
        <f t="shared" si="9"/>
        <v>(Q1)</v>
      </c>
      <c r="Q6" s="14" t="str">
        <f t="shared" si="10"/>
        <v>2022 World Games Technical Trial #1 (Mar 12)</v>
      </c>
      <c r="R6" s="27">
        <v>1E-4</v>
      </c>
      <c r="S6" s="27">
        <v>1E-4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>
        <f t="shared" si="11"/>
        <v>1E-4</v>
      </c>
      <c r="AN6" s="79">
        <f t="shared" si="12"/>
        <v>2.0000000000000001E-4</v>
      </c>
      <c r="AO6" s="79" t="str">
        <f t="shared" si="13"/>
        <v/>
      </c>
      <c r="AP6" s="79" t="str">
        <f t="shared" si="14"/>
        <v/>
      </c>
      <c r="AQ6" s="79" t="str">
        <f t="shared" si="15"/>
        <v/>
      </c>
      <c r="AR6" s="79">
        <f t="shared" si="16"/>
        <v>2.0000000000000001E-4</v>
      </c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 t="str">
        <f t="shared" si="17"/>
        <v/>
      </c>
      <c r="BO6" s="20" t="str">
        <f t="shared" si="18"/>
        <v/>
      </c>
      <c r="BP6" s="20" t="str">
        <f t="shared" si="19"/>
        <v/>
      </c>
      <c r="BQ6" s="20" t="str">
        <f t="shared" si="20"/>
        <v/>
      </c>
      <c r="BR6" s="20" t="str">
        <f t="shared" si="21"/>
        <v/>
      </c>
      <c r="BS6" s="20" t="str">
        <f t="shared" si="22"/>
        <v/>
      </c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45"/>
      <c r="CO6" s="79" t="str">
        <f t="shared" si="23"/>
        <v/>
      </c>
      <c r="CP6" s="79" t="str">
        <f t="shared" si="24"/>
        <v/>
      </c>
      <c r="CQ6" s="79" t="str">
        <f t="shared" si="25"/>
        <v/>
      </c>
      <c r="CR6" s="79" t="str">
        <f t="shared" si="26"/>
        <v/>
      </c>
      <c r="CS6" s="79" t="str">
        <f t="shared" si="27"/>
        <v/>
      </c>
      <c r="CT6" s="79" t="str">
        <f t="shared" si="28"/>
        <v/>
      </c>
      <c r="CU6" s="80">
        <f t="shared" si="29"/>
        <v>44.899999999999991</v>
      </c>
      <c r="CV6" s="80">
        <f t="shared" si="30"/>
        <v>44.899999999999991</v>
      </c>
      <c r="CW6" s="25"/>
      <c r="CX6" s="25">
        <v>1E-4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79">
        <f t="shared" si="31"/>
        <v>1E-4</v>
      </c>
      <c r="DR6" s="79">
        <f t="shared" si="32"/>
        <v>1E-4</v>
      </c>
      <c r="DS6" s="79" t="str">
        <f t="shared" si="33"/>
        <v/>
      </c>
      <c r="DT6" s="79" t="str">
        <f t="shared" si="34"/>
        <v/>
      </c>
      <c r="DU6" s="79" t="str">
        <f t="shared" si="35"/>
        <v/>
      </c>
      <c r="DV6" s="79">
        <f t="shared" si="36"/>
        <v>1E-4</v>
      </c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0" t="str">
        <f t="shared" si="37"/>
        <v/>
      </c>
      <c r="ER6" s="20" t="str">
        <f t="shared" si="38"/>
        <v/>
      </c>
      <c r="ES6" s="20" t="str">
        <f t="shared" si="39"/>
        <v/>
      </c>
      <c r="ET6" s="20" t="str">
        <f t="shared" si="40"/>
        <v/>
      </c>
      <c r="EU6" s="20" t="str">
        <f t="shared" si="41"/>
        <v/>
      </c>
      <c r="EV6" s="20" t="str">
        <f t="shared" si="42"/>
        <v/>
      </c>
      <c r="EW6" s="25">
        <v>17.2</v>
      </c>
      <c r="EX6" s="25">
        <v>5.5</v>
      </c>
      <c r="EY6" s="25">
        <v>0</v>
      </c>
      <c r="EZ6" s="25">
        <v>0</v>
      </c>
      <c r="FA6" s="25">
        <v>16.899999999999999</v>
      </c>
      <c r="FB6" s="25">
        <v>5.3</v>
      </c>
      <c r="FC6" s="25">
        <v>0</v>
      </c>
      <c r="FD6" s="25">
        <v>0</v>
      </c>
      <c r="FE6" s="25"/>
      <c r="FF6" s="25"/>
      <c r="FG6" s="25"/>
      <c r="FH6" s="25"/>
      <c r="FI6" s="25">
        <v>17.2</v>
      </c>
      <c r="FJ6" s="25">
        <v>5.5</v>
      </c>
      <c r="FK6" s="25">
        <v>0</v>
      </c>
      <c r="FL6" s="25">
        <v>0</v>
      </c>
      <c r="FM6" s="25">
        <v>16.899999999999999</v>
      </c>
      <c r="FN6" s="25">
        <v>5.3</v>
      </c>
      <c r="FO6" s="25">
        <v>0</v>
      </c>
      <c r="FP6" s="25">
        <v>0</v>
      </c>
      <c r="FQ6" s="79">
        <f t="shared" si="43"/>
        <v>10.8</v>
      </c>
      <c r="FR6" s="79">
        <f t="shared" si="44"/>
        <v>44.899999999999991</v>
      </c>
      <c r="FS6" s="79" t="str">
        <f t="shared" si="45"/>
        <v/>
      </c>
      <c r="FT6" s="79">
        <f t="shared" si="46"/>
        <v>10.8</v>
      </c>
      <c r="FU6" s="79">
        <f t="shared" si="47"/>
        <v>44.899999999999991</v>
      </c>
      <c r="FV6" s="79">
        <f t="shared" si="48"/>
        <v>89.799999999999983</v>
      </c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0" t="str">
        <f t="shared" si="49"/>
        <v/>
      </c>
      <c r="GR6" s="20" t="str">
        <f t="shared" si="50"/>
        <v/>
      </c>
      <c r="GS6" s="20" t="str">
        <f t="shared" si="51"/>
        <v/>
      </c>
      <c r="GT6" s="20" t="str">
        <f t="shared" si="52"/>
        <v/>
      </c>
      <c r="GU6" s="20" t="str">
        <f t="shared" si="53"/>
        <v/>
      </c>
      <c r="GV6" s="20" t="str">
        <f t="shared" si="54"/>
        <v/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 t="shared" si="55"/>
        <v/>
      </c>
      <c r="HR6" s="79" t="str">
        <f t="shared" si="56"/>
        <v/>
      </c>
      <c r="HS6" s="79" t="str">
        <f t="shared" si="57"/>
        <v/>
      </c>
      <c r="HT6" s="79" t="str">
        <f t="shared" si="58"/>
        <v/>
      </c>
      <c r="HU6" s="79" t="str">
        <f t="shared" si="59"/>
        <v/>
      </c>
      <c r="HV6" s="79" t="str">
        <f t="shared" si="60"/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 t="shared" si="61"/>
        <v/>
      </c>
      <c r="IR6" s="20" t="str">
        <f t="shared" si="62"/>
        <v/>
      </c>
      <c r="IS6" s="20" t="str">
        <f t="shared" si="63"/>
        <v/>
      </c>
      <c r="IT6" s="20" t="str">
        <f t="shared" si="64"/>
        <v/>
      </c>
      <c r="IU6" s="20" t="str">
        <f t="shared" si="65"/>
        <v/>
      </c>
      <c r="IV6" s="20" t="str">
        <f t="shared" si="66"/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 t="shared" si="67"/>
        <v/>
      </c>
      <c r="JR6" s="79" t="str">
        <f t="shared" si="68"/>
        <v/>
      </c>
      <c r="JS6" s="79" t="str">
        <f t="shared" si="69"/>
        <v/>
      </c>
      <c r="JT6" s="79" t="str">
        <f t="shared" si="70"/>
        <v/>
      </c>
      <c r="JU6" s="79" t="str">
        <f t="shared" si="71"/>
        <v/>
      </c>
      <c r="JV6" s="79" t="str">
        <f t="shared" si="72"/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 t="shared" si="73"/>
        <v/>
      </c>
      <c r="KR6" s="20" t="str">
        <f t="shared" si="74"/>
        <v/>
      </c>
      <c r="KS6" s="20" t="str">
        <f t="shared" si="75"/>
        <v/>
      </c>
      <c r="KT6" s="20" t="str">
        <f t="shared" si="76"/>
        <v/>
      </c>
      <c r="KU6" s="20" t="str">
        <f t="shared" si="77"/>
        <v/>
      </c>
      <c r="KV6" s="20" t="str">
        <f t="shared" si="78"/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 t="shared" si="79"/>
        <v/>
      </c>
      <c r="LR6" s="79" t="str">
        <f t="shared" si="80"/>
        <v/>
      </c>
      <c r="LS6" s="79" t="str">
        <f t="shared" si="81"/>
        <v/>
      </c>
      <c r="LT6" s="79" t="str">
        <f t="shared" si="82"/>
        <v/>
      </c>
      <c r="LU6" s="79" t="str">
        <f t="shared" si="83"/>
        <v/>
      </c>
      <c r="LV6" s="79" t="str">
        <f t="shared" si="84"/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 t="shared" si="85"/>
        <v/>
      </c>
      <c r="MR6" s="20" t="str">
        <f t="shared" si="86"/>
        <v/>
      </c>
      <c r="MS6" s="20" t="str">
        <f t="shared" si="87"/>
        <v/>
      </c>
      <c r="MT6" s="20" t="str">
        <f t="shared" si="88"/>
        <v/>
      </c>
      <c r="MU6" s="20" t="str">
        <f t="shared" si="89"/>
        <v/>
      </c>
      <c r="MV6" s="20" t="str">
        <f t="shared" si="90"/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 t="shared" si="91"/>
        <v/>
      </c>
      <c r="NR6" s="79" t="str">
        <f t="shared" si="92"/>
        <v/>
      </c>
      <c r="NS6" s="79" t="str">
        <f t="shared" si="93"/>
        <v/>
      </c>
      <c r="NT6" s="79" t="str">
        <f t="shared" si="94"/>
        <v/>
      </c>
      <c r="NU6" s="79" t="str">
        <f t="shared" si="95"/>
        <v/>
      </c>
      <c r="NV6" s="79" t="str">
        <f t="shared" si="96"/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 t="shared" si="97"/>
        <v/>
      </c>
      <c r="OR6" s="20" t="str">
        <f t="shared" si="98"/>
        <v/>
      </c>
      <c r="OS6" s="20" t="str">
        <f t="shared" si="99"/>
        <v/>
      </c>
      <c r="OT6" s="20" t="str">
        <f t="shared" si="100"/>
        <v/>
      </c>
      <c r="OU6" s="20" t="str">
        <f t="shared" si="101"/>
        <v/>
      </c>
      <c r="OV6" s="20" t="str">
        <f t="shared" si="102"/>
        <v/>
      </c>
      <c r="OW6" s="38">
        <f t="shared" si="103"/>
        <v>0</v>
      </c>
      <c r="OX6" s="38">
        <f t="shared" si="103"/>
        <v>0</v>
      </c>
      <c r="OY6" s="38">
        <f t="shared" si="103"/>
        <v>0</v>
      </c>
      <c r="OZ6" s="38">
        <f t="shared" si="103"/>
        <v>0</v>
      </c>
      <c r="PA6" s="38">
        <f t="shared" si="103"/>
        <v>0</v>
      </c>
      <c r="PB6" s="38">
        <f t="shared" si="103"/>
        <v>0</v>
      </c>
      <c r="PC6" s="38">
        <f t="shared" si="103"/>
        <v>0</v>
      </c>
      <c r="PD6" s="38">
        <f t="shared" si="103"/>
        <v>0</v>
      </c>
      <c r="PE6" s="38">
        <f t="shared" si="103"/>
        <v>0</v>
      </c>
      <c r="PF6" s="38">
        <f t="shared" si="103"/>
        <v>0</v>
      </c>
      <c r="PG6" s="38">
        <f t="shared" si="104"/>
        <v>0</v>
      </c>
      <c r="PH6" s="38">
        <f t="shared" si="104"/>
        <v>0</v>
      </c>
      <c r="PI6" s="38">
        <f t="shared" si="104"/>
        <v>0</v>
      </c>
      <c r="PJ6" s="38">
        <f t="shared" si="104"/>
        <v>0</v>
      </c>
      <c r="PK6" s="38">
        <f t="shared" si="104"/>
        <v>0</v>
      </c>
      <c r="PL6" s="38">
        <f t="shared" si="104"/>
        <v>0</v>
      </c>
      <c r="PM6" s="38">
        <f t="shared" si="104"/>
        <v>0</v>
      </c>
      <c r="PN6" s="38">
        <f t="shared" si="104"/>
        <v>0</v>
      </c>
      <c r="PO6" s="38">
        <f t="shared" si="104"/>
        <v>0</v>
      </c>
      <c r="PP6" s="38">
        <f t="shared" si="104"/>
        <v>0</v>
      </c>
      <c r="PQ6" s="45" t="s">
        <v>46</v>
      </c>
      <c r="PR6" s="79" t="str">
        <f t="shared" si="105"/>
        <v/>
      </c>
      <c r="PS6" s="79" t="str">
        <f t="shared" si="106"/>
        <v/>
      </c>
      <c r="PT6" s="79" t="str">
        <f t="shared" si="107"/>
        <v/>
      </c>
      <c r="PU6" s="79" t="str">
        <f t="shared" si="108"/>
        <v/>
      </c>
      <c r="PV6" s="79" t="str">
        <f t="shared" si="109"/>
        <v/>
      </c>
      <c r="PW6" s="79" t="str">
        <f t="shared" si="110"/>
        <v/>
      </c>
    </row>
    <row r="7" spans="1:439" x14ac:dyDescent="0.2">
      <c r="A7" s="5" t="str">
        <f t="shared" si="111"/>
        <v/>
      </c>
      <c r="B7" s="78" t="s">
        <v>74</v>
      </c>
      <c r="C7" s="5" t="s">
        <v>4</v>
      </c>
      <c r="D7" s="5">
        <v>2003</v>
      </c>
      <c r="E7" s="15">
        <f t="shared" si="0"/>
        <v>81.700008170004168</v>
      </c>
      <c r="F7" s="3" t="str">
        <f t="shared" si="1"/>
        <v/>
      </c>
      <c r="G7" s="3" t="str">
        <f t="shared" si="2"/>
        <v/>
      </c>
      <c r="H7" s="67" t="str">
        <f t="shared" si="3"/>
        <v/>
      </c>
      <c r="I7" s="14">
        <f>IF(COUNT(AN7,BO7,CP7)&gt;0,LARGE((AN7,BO7,CP7),1),0)</f>
        <v>41.6</v>
      </c>
      <c r="J7" s="14" t="str">
        <f t="shared" si="4"/>
        <v>2022 Elite Canada</v>
      </c>
      <c r="K7" s="14">
        <f>IF(COUNT(AN7,BO7,CP7)&gt;1,LARGE((AN7,BO7,CP7),2),0)</f>
        <v>0</v>
      </c>
      <c r="L7" s="14" t="str">
        <f t="shared" si="5"/>
        <v/>
      </c>
      <c r="M7" s="14">
        <f t="shared" si="6"/>
        <v>40.1</v>
      </c>
      <c r="N7" s="14" t="str">
        <f t="shared" si="7"/>
        <v>2022 Elite Canada</v>
      </c>
      <c r="O7" s="14" t="str">
        <f t="shared" si="8"/>
        <v/>
      </c>
      <c r="P7" s="20" t="str">
        <f t="shared" si="9"/>
        <v/>
      </c>
      <c r="Q7" s="14" t="str">
        <f t="shared" si="10"/>
        <v/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 t="str">
        <f t="shared" si="11"/>
        <v/>
      </c>
      <c r="AN7" s="79" t="str">
        <f t="shared" si="12"/>
        <v/>
      </c>
      <c r="AO7" s="79" t="str">
        <f t="shared" si="13"/>
        <v/>
      </c>
      <c r="AP7" s="79" t="str">
        <f t="shared" si="14"/>
        <v/>
      </c>
      <c r="AQ7" s="79" t="str">
        <f t="shared" si="15"/>
        <v/>
      </c>
      <c r="AR7" s="79" t="str">
        <f t="shared" si="16"/>
        <v/>
      </c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 t="str">
        <f t="shared" si="17"/>
        <v/>
      </c>
      <c r="BO7" s="20" t="str">
        <f t="shared" si="18"/>
        <v/>
      </c>
      <c r="BP7" s="20" t="str">
        <f t="shared" si="19"/>
        <v/>
      </c>
      <c r="BQ7" s="20" t="str">
        <f t="shared" si="20"/>
        <v/>
      </c>
      <c r="BR7" s="20" t="str">
        <f t="shared" si="21"/>
        <v/>
      </c>
      <c r="BS7" s="20" t="str">
        <f t="shared" si="22"/>
        <v/>
      </c>
      <c r="BT7" s="27">
        <v>15.4</v>
      </c>
      <c r="BU7" s="27">
        <v>5.0999999999999996</v>
      </c>
      <c r="BV7" s="27">
        <v>0</v>
      </c>
      <c r="BW7" s="27">
        <v>0.3</v>
      </c>
      <c r="BX7" s="27">
        <v>15.2</v>
      </c>
      <c r="BY7" s="27">
        <v>5</v>
      </c>
      <c r="BZ7" s="27">
        <v>0</v>
      </c>
      <c r="CA7" s="27">
        <v>0.6</v>
      </c>
      <c r="CB7" s="27"/>
      <c r="CC7" s="27"/>
      <c r="CD7" s="27"/>
      <c r="CE7" s="27"/>
      <c r="CF7" s="27">
        <v>15.7</v>
      </c>
      <c r="CG7" s="27">
        <v>4.2</v>
      </c>
      <c r="CH7" s="27">
        <v>0.4</v>
      </c>
      <c r="CI7" s="27">
        <v>0.3</v>
      </c>
      <c r="CJ7" s="27">
        <v>16.7</v>
      </c>
      <c r="CK7" s="27">
        <v>3.6</v>
      </c>
      <c r="CL7" s="27">
        <v>0</v>
      </c>
      <c r="CM7" s="27">
        <v>0</v>
      </c>
      <c r="CN7" s="45"/>
      <c r="CO7" s="79">
        <f t="shared" si="23"/>
        <v>10.1</v>
      </c>
      <c r="CP7" s="79">
        <f t="shared" si="24"/>
        <v>41.6</v>
      </c>
      <c r="CQ7" s="79" t="str">
        <f t="shared" si="25"/>
        <v/>
      </c>
      <c r="CR7" s="79">
        <f t="shared" si="26"/>
        <v>7.8000000000000007</v>
      </c>
      <c r="CS7" s="79">
        <f t="shared" si="27"/>
        <v>40.1</v>
      </c>
      <c r="CT7" s="79">
        <f t="shared" si="28"/>
        <v>81.7</v>
      </c>
      <c r="CU7" s="80" t="str">
        <f t="shared" si="29"/>
        <v/>
      </c>
      <c r="CV7" s="80" t="str">
        <f t="shared" si="30"/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 t="shared" si="31"/>
        <v/>
      </c>
      <c r="DR7" s="79" t="str">
        <f t="shared" si="32"/>
        <v/>
      </c>
      <c r="DS7" s="79" t="str">
        <f t="shared" si="33"/>
        <v/>
      </c>
      <c r="DT7" s="79" t="str">
        <f t="shared" si="34"/>
        <v/>
      </c>
      <c r="DU7" s="79" t="str">
        <f t="shared" si="35"/>
        <v/>
      </c>
      <c r="DV7" s="79" t="str">
        <f t="shared" si="36"/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 t="shared" si="37"/>
        <v/>
      </c>
      <c r="ER7" s="20" t="str">
        <f t="shared" si="38"/>
        <v/>
      </c>
      <c r="ES7" s="20" t="str">
        <f t="shared" si="39"/>
        <v/>
      </c>
      <c r="ET7" s="20" t="str">
        <f t="shared" si="40"/>
        <v/>
      </c>
      <c r="EU7" s="20" t="str">
        <f t="shared" si="41"/>
        <v/>
      </c>
      <c r="EV7" s="20" t="str">
        <f t="shared" si="42"/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 t="shared" si="43"/>
        <v/>
      </c>
      <c r="FR7" s="79" t="str">
        <f t="shared" si="44"/>
        <v/>
      </c>
      <c r="FS7" s="79" t="str">
        <f t="shared" si="45"/>
        <v/>
      </c>
      <c r="FT7" s="79" t="str">
        <f t="shared" si="46"/>
        <v/>
      </c>
      <c r="FU7" s="79" t="str">
        <f t="shared" si="47"/>
        <v/>
      </c>
      <c r="FV7" s="79" t="str">
        <f t="shared" si="48"/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 t="shared" si="49"/>
        <v/>
      </c>
      <c r="GR7" s="20" t="str">
        <f t="shared" si="50"/>
        <v/>
      </c>
      <c r="GS7" s="20" t="str">
        <f t="shared" si="51"/>
        <v/>
      </c>
      <c r="GT7" s="20" t="str">
        <f t="shared" si="52"/>
        <v/>
      </c>
      <c r="GU7" s="20" t="str">
        <f t="shared" si="53"/>
        <v/>
      </c>
      <c r="GV7" s="20" t="str">
        <f t="shared" si="54"/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 t="shared" si="55"/>
        <v/>
      </c>
      <c r="HR7" s="79" t="str">
        <f t="shared" si="56"/>
        <v/>
      </c>
      <c r="HS7" s="79" t="str">
        <f t="shared" si="57"/>
        <v/>
      </c>
      <c r="HT7" s="79" t="str">
        <f t="shared" si="58"/>
        <v/>
      </c>
      <c r="HU7" s="79" t="str">
        <f t="shared" si="59"/>
        <v/>
      </c>
      <c r="HV7" s="79" t="str">
        <f t="shared" si="60"/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 t="shared" si="61"/>
        <v/>
      </c>
      <c r="IR7" s="20" t="str">
        <f t="shared" si="62"/>
        <v/>
      </c>
      <c r="IS7" s="20" t="str">
        <f t="shared" si="63"/>
        <v/>
      </c>
      <c r="IT7" s="20" t="str">
        <f t="shared" si="64"/>
        <v/>
      </c>
      <c r="IU7" s="20" t="str">
        <f t="shared" si="65"/>
        <v/>
      </c>
      <c r="IV7" s="20" t="str">
        <f t="shared" si="66"/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 t="shared" si="67"/>
        <v/>
      </c>
      <c r="JR7" s="79" t="str">
        <f t="shared" si="68"/>
        <v/>
      </c>
      <c r="JS7" s="79" t="str">
        <f t="shared" si="69"/>
        <v/>
      </c>
      <c r="JT7" s="79" t="str">
        <f t="shared" si="70"/>
        <v/>
      </c>
      <c r="JU7" s="79" t="str">
        <f t="shared" si="71"/>
        <v/>
      </c>
      <c r="JV7" s="79" t="str">
        <f t="shared" si="72"/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 t="shared" si="73"/>
        <v/>
      </c>
      <c r="KR7" s="20" t="str">
        <f t="shared" si="74"/>
        <v/>
      </c>
      <c r="KS7" s="20" t="str">
        <f t="shared" si="75"/>
        <v/>
      </c>
      <c r="KT7" s="20" t="str">
        <f t="shared" si="76"/>
        <v/>
      </c>
      <c r="KU7" s="20" t="str">
        <f t="shared" si="77"/>
        <v/>
      </c>
      <c r="KV7" s="20" t="str">
        <f t="shared" si="78"/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 t="shared" si="79"/>
        <v/>
      </c>
      <c r="LR7" s="79" t="str">
        <f t="shared" si="80"/>
        <v/>
      </c>
      <c r="LS7" s="79" t="str">
        <f t="shared" si="81"/>
        <v/>
      </c>
      <c r="LT7" s="79" t="str">
        <f t="shared" si="82"/>
        <v/>
      </c>
      <c r="LU7" s="79" t="str">
        <f t="shared" si="83"/>
        <v/>
      </c>
      <c r="LV7" s="79" t="str">
        <f t="shared" si="84"/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 t="shared" si="85"/>
        <v/>
      </c>
      <c r="MR7" s="20" t="str">
        <f t="shared" si="86"/>
        <v/>
      </c>
      <c r="MS7" s="20" t="str">
        <f t="shared" si="87"/>
        <v/>
      </c>
      <c r="MT7" s="20" t="str">
        <f t="shared" si="88"/>
        <v/>
      </c>
      <c r="MU7" s="20" t="str">
        <f t="shared" si="89"/>
        <v/>
      </c>
      <c r="MV7" s="20" t="str">
        <f t="shared" si="90"/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 t="shared" si="91"/>
        <v/>
      </c>
      <c r="NR7" s="79" t="str">
        <f t="shared" si="92"/>
        <v/>
      </c>
      <c r="NS7" s="79" t="str">
        <f t="shared" si="93"/>
        <v/>
      </c>
      <c r="NT7" s="79" t="str">
        <f t="shared" si="94"/>
        <v/>
      </c>
      <c r="NU7" s="79" t="str">
        <f t="shared" si="95"/>
        <v/>
      </c>
      <c r="NV7" s="79" t="str">
        <f t="shared" si="96"/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 t="shared" si="97"/>
        <v/>
      </c>
      <c r="OR7" s="20" t="str">
        <f t="shared" si="98"/>
        <v/>
      </c>
      <c r="OS7" s="20" t="str">
        <f t="shared" si="99"/>
        <v/>
      </c>
      <c r="OT7" s="20" t="str">
        <f t="shared" si="100"/>
        <v/>
      </c>
      <c r="OU7" s="20" t="str">
        <f t="shared" si="101"/>
        <v/>
      </c>
      <c r="OV7" s="20" t="str">
        <f t="shared" si="102"/>
        <v/>
      </c>
      <c r="OW7" s="38">
        <f t="shared" si="103"/>
        <v>7.7</v>
      </c>
      <c r="OX7" s="38">
        <f t="shared" si="103"/>
        <v>2.5499999999999998</v>
      </c>
      <c r="OY7" s="38">
        <f t="shared" si="103"/>
        <v>0</v>
      </c>
      <c r="OZ7" s="38">
        <f t="shared" si="103"/>
        <v>0.15</v>
      </c>
      <c r="PA7" s="38">
        <f t="shared" si="103"/>
        <v>7.6</v>
      </c>
      <c r="PB7" s="38">
        <f t="shared" si="103"/>
        <v>2.5</v>
      </c>
      <c r="PC7" s="38">
        <f t="shared" si="103"/>
        <v>0</v>
      </c>
      <c r="PD7" s="38">
        <f t="shared" si="103"/>
        <v>0.3</v>
      </c>
      <c r="PE7" s="38">
        <f t="shared" si="103"/>
        <v>0</v>
      </c>
      <c r="PF7" s="38">
        <f t="shared" si="103"/>
        <v>0</v>
      </c>
      <c r="PG7" s="38">
        <f t="shared" si="104"/>
        <v>0</v>
      </c>
      <c r="PH7" s="38">
        <f t="shared" si="104"/>
        <v>0</v>
      </c>
      <c r="PI7" s="38">
        <f t="shared" si="104"/>
        <v>7.85</v>
      </c>
      <c r="PJ7" s="38">
        <f t="shared" si="104"/>
        <v>2.1</v>
      </c>
      <c r="PK7" s="38">
        <f t="shared" si="104"/>
        <v>0.2</v>
      </c>
      <c r="PL7" s="38">
        <f t="shared" si="104"/>
        <v>0.15</v>
      </c>
      <c r="PM7" s="38">
        <f t="shared" si="104"/>
        <v>8.35</v>
      </c>
      <c r="PN7" s="38">
        <f t="shared" si="104"/>
        <v>1.8</v>
      </c>
      <c r="PO7" s="38">
        <f t="shared" si="104"/>
        <v>0</v>
      </c>
      <c r="PP7" s="38">
        <f t="shared" si="104"/>
        <v>0</v>
      </c>
      <c r="PQ7" s="45" t="s">
        <v>46</v>
      </c>
      <c r="PR7" s="79">
        <f t="shared" si="105"/>
        <v>5.05</v>
      </c>
      <c r="PS7" s="79">
        <f t="shared" si="106"/>
        <v>20.8</v>
      </c>
      <c r="PT7" s="79" t="str">
        <f t="shared" si="107"/>
        <v/>
      </c>
      <c r="PU7" s="79">
        <f t="shared" si="108"/>
        <v>3.9000000000000004</v>
      </c>
      <c r="PV7" s="79">
        <f t="shared" si="109"/>
        <v>20.05</v>
      </c>
      <c r="PW7" s="79">
        <f t="shared" si="110"/>
        <v>40.85</v>
      </c>
    </row>
    <row r="8" spans="1:439" x14ac:dyDescent="0.2">
      <c r="A8" s="5" t="str">
        <f t="shared" si="111"/>
        <v/>
      </c>
      <c r="B8" s="78" t="s">
        <v>117</v>
      </c>
      <c r="C8" s="5" t="s">
        <v>4</v>
      </c>
      <c r="D8" s="5">
        <v>2004</v>
      </c>
      <c r="E8" s="15">
        <f t="shared" si="0"/>
        <v>79.20010792001402</v>
      </c>
      <c r="F8" s="3" t="str">
        <f t="shared" si="1"/>
        <v/>
      </c>
      <c r="G8" s="3" t="str">
        <f t="shared" si="2"/>
        <v/>
      </c>
      <c r="H8" s="67" t="str">
        <f t="shared" si="3"/>
        <v/>
      </c>
      <c r="I8" s="14">
        <f>IF(COUNT(AN8,BO8,CP8)&gt;0,LARGE((AN8,BO8,CP8),1),0)</f>
        <v>40.199999999999996</v>
      </c>
      <c r="J8" s="14" t="str">
        <f t="shared" si="4"/>
        <v>2022 Elite Canada</v>
      </c>
      <c r="K8" s="14">
        <f>IF(COUNT(AN8,BO8,CP8)&gt;1,LARGE((AN8,BO8,CP8),2),0)</f>
        <v>1E-4</v>
      </c>
      <c r="L8" s="14" t="str">
        <f t="shared" si="5"/>
        <v>2021 Canadian Championships</v>
      </c>
      <c r="M8" s="14">
        <f t="shared" si="6"/>
        <v>38.999999999999993</v>
      </c>
      <c r="N8" s="14" t="str">
        <f t="shared" si="7"/>
        <v>2022 Elite Canada</v>
      </c>
      <c r="O8" s="14" t="str">
        <f t="shared" si="8"/>
        <v/>
      </c>
      <c r="P8" s="20" t="str">
        <f t="shared" si="9"/>
        <v/>
      </c>
      <c r="Q8" s="14" t="str">
        <f t="shared" si="10"/>
        <v/>
      </c>
      <c r="R8" s="27"/>
      <c r="S8" s="27">
        <v>1E-4</v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>
        <f t="shared" si="11"/>
        <v>1E-4</v>
      </c>
      <c r="AN8" s="79">
        <f t="shared" si="12"/>
        <v>1E-4</v>
      </c>
      <c r="AO8" s="79" t="str">
        <f t="shared" si="13"/>
        <v/>
      </c>
      <c r="AP8" s="79" t="str">
        <f t="shared" si="14"/>
        <v/>
      </c>
      <c r="AQ8" s="79" t="str">
        <f t="shared" si="15"/>
        <v/>
      </c>
      <c r="AR8" s="79">
        <f t="shared" si="16"/>
        <v>1E-4</v>
      </c>
      <c r="AS8" s="26"/>
      <c r="AT8" s="26">
        <v>1E-4</v>
      </c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>
        <f t="shared" si="17"/>
        <v>1E-4</v>
      </c>
      <c r="BO8" s="20">
        <f t="shared" si="18"/>
        <v>1E-4</v>
      </c>
      <c r="BP8" s="20" t="str">
        <f t="shared" si="19"/>
        <v/>
      </c>
      <c r="BQ8" s="20" t="str">
        <f t="shared" si="20"/>
        <v/>
      </c>
      <c r="BR8" s="20" t="str">
        <f t="shared" si="21"/>
        <v/>
      </c>
      <c r="BS8" s="20">
        <f t="shared" si="22"/>
        <v>1E-4</v>
      </c>
      <c r="BT8" s="27">
        <v>15.9</v>
      </c>
      <c r="BU8" s="27">
        <v>4.5999999999999996</v>
      </c>
      <c r="BV8" s="27">
        <v>0</v>
      </c>
      <c r="BW8" s="27">
        <v>0.3</v>
      </c>
      <c r="BX8" s="27">
        <v>15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15.5</v>
      </c>
      <c r="CG8" s="27">
        <v>3.2</v>
      </c>
      <c r="CH8" s="27">
        <v>0.2</v>
      </c>
      <c r="CI8" s="27">
        <v>0</v>
      </c>
      <c r="CJ8" s="27">
        <v>16.100000000000001</v>
      </c>
      <c r="CK8" s="27">
        <v>4.0999999999999996</v>
      </c>
      <c r="CL8" s="27">
        <v>0</v>
      </c>
      <c r="CM8" s="27">
        <v>0.3</v>
      </c>
      <c r="CN8" s="45"/>
      <c r="CO8" s="79">
        <f t="shared" si="23"/>
        <v>8.6999999999999993</v>
      </c>
      <c r="CP8" s="79">
        <f t="shared" si="24"/>
        <v>40.199999999999996</v>
      </c>
      <c r="CQ8" s="79" t="str">
        <f t="shared" si="25"/>
        <v/>
      </c>
      <c r="CR8" s="79">
        <f t="shared" si="26"/>
        <v>7.3</v>
      </c>
      <c r="CS8" s="79">
        <f t="shared" si="27"/>
        <v>38.999999999999993</v>
      </c>
      <c r="CT8" s="79">
        <f t="shared" si="28"/>
        <v>79.199999999999989</v>
      </c>
      <c r="CU8" s="80" t="str">
        <f t="shared" si="29"/>
        <v/>
      </c>
      <c r="CV8" s="80" t="str">
        <f t="shared" si="30"/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 t="shared" si="31"/>
        <v/>
      </c>
      <c r="DR8" s="79" t="str">
        <f t="shared" si="32"/>
        <v/>
      </c>
      <c r="DS8" s="79" t="str">
        <f t="shared" si="33"/>
        <v/>
      </c>
      <c r="DT8" s="79" t="str">
        <f t="shared" si="34"/>
        <v/>
      </c>
      <c r="DU8" s="79" t="str">
        <f t="shared" si="35"/>
        <v/>
      </c>
      <c r="DV8" s="79" t="str">
        <f t="shared" si="36"/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 t="shared" si="37"/>
        <v/>
      </c>
      <c r="ER8" s="20" t="str">
        <f t="shared" si="38"/>
        <v/>
      </c>
      <c r="ES8" s="20" t="str">
        <f t="shared" si="39"/>
        <v/>
      </c>
      <c r="ET8" s="20" t="str">
        <f t="shared" si="40"/>
        <v/>
      </c>
      <c r="EU8" s="20" t="str">
        <f t="shared" si="41"/>
        <v/>
      </c>
      <c r="EV8" s="20" t="str">
        <f t="shared" si="42"/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 t="shared" si="43"/>
        <v/>
      </c>
      <c r="FR8" s="79" t="str">
        <f t="shared" si="44"/>
        <v/>
      </c>
      <c r="FS8" s="79" t="str">
        <f t="shared" si="45"/>
        <v/>
      </c>
      <c r="FT8" s="79" t="str">
        <f t="shared" si="46"/>
        <v/>
      </c>
      <c r="FU8" s="79" t="str">
        <f t="shared" si="47"/>
        <v/>
      </c>
      <c r="FV8" s="79" t="str">
        <f t="shared" si="48"/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 t="shared" si="49"/>
        <v/>
      </c>
      <c r="GR8" s="20" t="str">
        <f t="shared" si="50"/>
        <v/>
      </c>
      <c r="GS8" s="20" t="str">
        <f t="shared" si="51"/>
        <v/>
      </c>
      <c r="GT8" s="20" t="str">
        <f t="shared" si="52"/>
        <v/>
      </c>
      <c r="GU8" s="20" t="str">
        <f t="shared" si="53"/>
        <v/>
      </c>
      <c r="GV8" s="20" t="str">
        <f t="shared" si="54"/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 t="shared" si="55"/>
        <v/>
      </c>
      <c r="HR8" s="79" t="str">
        <f t="shared" si="56"/>
        <v/>
      </c>
      <c r="HS8" s="79" t="str">
        <f t="shared" si="57"/>
        <v/>
      </c>
      <c r="HT8" s="79" t="str">
        <f t="shared" si="58"/>
        <v/>
      </c>
      <c r="HU8" s="79" t="str">
        <f t="shared" si="59"/>
        <v/>
      </c>
      <c r="HV8" s="79" t="str">
        <f t="shared" si="60"/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 t="shared" si="61"/>
        <v/>
      </c>
      <c r="IR8" s="20" t="str">
        <f t="shared" si="62"/>
        <v/>
      </c>
      <c r="IS8" s="20" t="str">
        <f t="shared" si="63"/>
        <v/>
      </c>
      <c r="IT8" s="20" t="str">
        <f t="shared" si="64"/>
        <v/>
      </c>
      <c r="IU8" s="20" t="str">
        <f t="shared" si="65"/>
        <v/>
      </c>
      <c r="IV8" s="20" t="str">
        <f t="shared" si="66"/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 t="shared" si="67"/>
        <v/>
      </c>
      <c r="JR8" s="79" t="str">
        <f t="shared" si="68"/>
        <v/>
      </c>
      <c r="JS8" s="79" t="str">
        <f t="shared" si="69"/>
        <v/>
      </c>
      <c r="JT8" s="79" t="str">
        <f t="shared" si="70"/>
        <v/>
      </c>
      <c r="JU8" s="79" t="str">
        <f t="shared" si="71"/>
        <v/>
      </c>
      <c r="JV8" s="79" t="str">
        <f t="shared" si="72"/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 t="shared" si="73"/>
        <v/>
      </c>
      <c r="KR8" s="20" t="str">
        <f t="shared" si="74"/>
        <v/>
      </c>
      <c r="KS8" s="20" t="str">
        <f t="shared" si="75"/>
        <v/>
      </c>
      <c r="KT8" s="20" t="str">
        <f t="shared" si="76"/>
        <v/>
      </c>
      <c r="KU8" s="20" t="str">
        <f t="shared" si="77"/>
        <v/>
      </c>
      <c r="KV8" s="20" t="str">
        <f t="shared" si="78"/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 t="shared" si="79"/>
        <v/>
      </c>
      <c r="LR8" s="79" t="str">
        <f t="shared" si="80"/>
        <v/>
      </c>
      <c r="LS8" s="79" t="str">
        <f t="shared" si="81"/>
        <v/>
      </c>
      <c r="LT8" s="79" t="str">
        <f t="shared" si="82"/>
        <v/>
      </c>
      <c r="LU8" s="79" t="str">
        <f t="shared" si="83"/>
        <v/>
      </c>
      <c r="LV8" s="79" t="str">
        <f t="shared" si="84"/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 t="shared" si="85"/>
        <v/>
      </c>
      <c r="MR8" s="20" t="str">
        <f t="shared" si="86"/>
        <v/>
      </c>
      <c r="MS8" s="20" t="str">
        <f t="shared" si="87"/>
        <v/>
      </c>
      <c r="MT8" s="20" t="str">
        <f t="shared" si="88"/>
        <v/>
      </c>
      <c r="MU8" s="20" t="str">
        <f t="shared" si="89"/>
        <v/>
      </c>
      <c r="MV8" s="20" t="str">
        <f t="shared" si="90"/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 t="shared" si="91"/>
        <v/>
      </c>
      <c r="NR8" s="79" t="str">
        <f t="shared" si="92"/>
        <v/>
      </c>
      <c r="NS8" s="79" t="str">
        <f t="shared" si="93"/>
        <v/>
      </c>
      <c r="NT8" s="79" t="str">
        <f t="shared" si="94"/>
        <v/>
      </c>
      <c r="NU8" s="79" t="str">
        <f t="shared" si="95"/>
        <v/>
      </c>
      <c r="NV8" s="79" t="str">
        <f t="shared" si="96"/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 t="shared" si="97"/>
        <v/>
      </c>
      <c r="OR8" s="20" t="str">
        <f t="shared" si="98"/>
        <v/>
      </c>
      <c r="OS8" s="20" t="str">
        <f t="shared" si="99"/>
        <v/>
      </c>
      <c r="OT8" s="20" t="str">
        <f t="shared" si="100"/>
        <v/>
      </c>
      <c r="OU8" s="20" t="str">
        <f t="shared" si="101"/>
        <v/>
      </c>
      <c r="OV8" s="20" t="str">
        <f t="shared" si="102"/>
        <v/>
      </c>
      <c r="OW8" s="38">
        <f t="shared" si="103"/>
        <v>7.95</v>
      </c>
      <c r="OX8" s="38">
        <f t="shared" si="103"/>
        <v>2.3000499999999997</v>
      </c>
      <c r="OY8" s="38">
        <f t="shared" si="103"/>
        <v>0</v>
      </c>
      <c r="OZ8" s="38">
        <f t="shared" si="103"/>
        <v>0.15</v>
      </c>
      <c r="PA8" s="38">
        <f t="shared" si="103"/>
        <v>7.5</v>
      </c>
      <c r="PB8" s="38">
        <f t="shared" si="103"/>
        <v>2.0499999999999998</v>
      </c>
      <c r="PC8" s="38">
        <f t="shared" si="103"/>
        <v>0</v>
      </c>
      <c r="PD8" s="38">
        <f t="shared" si="103"/>
        <v>0.15</v>
      </c>
      <c r="PE8" s="38">
        <f t="shared" si="103"/>
        <v>0</v>
      </c>
      <c r="PF8" s="38">
        <f t="shared" si="103"/>
        <v>0</v>
      </c>
      <c r="PG8" s="38">
        <f t="shared" si="104"/>
        <v>0</v>
      </c>
      <c r="PH8" s="38">
        <f t="shared" si="104"/>
        <v>0</v>
      </c>
      <c r="PI8" s="38">
        <f t="shared" si="104"/>
        <v>7.75</v>
      </c>
      <c r="PJ8" s="38">
        <f t="shared" si="104"/>
        <v>1.6</v>
      </c>
      <c r="PK8" s="38">
        <f t="shared" si="104"/>
        <v>0.1</v>
      </c>
      <c r="PL8" s="38">
        <f t="shared" si="104"/>
        <v>0</v>
      </c>
      <c r="PM8" s="38">
        <f t="shared" si="104"/>
        <v>8.0500000000000007</v>
      </c>
      <c r="PN8" s="38">
        <f t="shared" si="104"/>
        <v>2.0499999999999998</v>
      </c>
      <c r="PO8" s="38">
        <f t="shared" si="104"/>
        <v>0</v>
      </c>
      <c r="PP8" s="38">
        <f t="shared" si="104"/>
        <v>0.15</v>
      </c>
      <c r="PQ8" s="45" t="s">
        <v>46</v>
      </c>
      <c r="PR8" s="79">
        <f t="shared" si="105"/>
        <v>4.3500499999999995</v>
      </c>
      <c r="PS8" s="79">
        <f t="shared" si="106"/>
        <v>20.10005</v>
      </c>
      <c r="PT8" s="79" t="str">
        <f t="shared" si="107"/>
        <v/>
      </c>
      <c r="PU8" s="79">
        <f t="shared" si="108"/>
        <v>3.65</v>
      </c>
      <c r="PV8" s="79">
        <f t="shared" si="109"/>
        <v>19.499999999999996</v>
      </c>
      <c r="PW8" s="79">
        <f t="shared" si="110"/>
        <v>39.600049999999996</v>
      </c>
    </row>
    <row r="9" spans="1:439" x14ac:dyDescent="0.2">
      <c r="A9" s="5" t="str">
        <f t="shared" si="111"/>
        <v/>
      </c>
      <c r="B9" s="78" t="s">
        <v>135</v>
      </c>
      <c r="C9" s="5" t="s">
        <v>4</v>
      </c>
      <c r="D9" s="5">
        <v>2005</v>
      </c>
      <c r="E9" s="15">
        <f t="shared" si="0"/>
        <v>76.200007620003859</v>
      </c>
      <c r="F9" s="3" t="str">
        <f t="shared" si="1"/>
        <v/>
      </c>
      <c r="G9" s="3" t="str">
        <f t="shared" si="2"/>
        <v/>
      </c>
      <c r="H9" s="67" t="str">
        <f t="shared" si="3"/>
        <v/>
      </c>
      <c r="I9" s="14">
        <f>IF(COUNT(AN9,BO9,CP9)&gt;0,LARGE((AN9,BO9,CP9),1),0)</f>
        <v>38.6</v>
      </c>
      <c r="J9" s="14" t="str">
        <f t="shared" si="4"/>
        <v>2022 Elite Canada</v>
      </c>
      <c r="K9" s="14">
        <f>IF(COUNT(AN9,BO9,CP9)&gt;1,LARGE((AN9,BO9,CP9),2),0)</f>
        <v>0</v>
      </c>
      <c r="L9" s="14" t="str">
        <f t="shared" si="5"/>
        <v/>
      </c>
      <c r="M9" s="14">
        <f t="shared" si="6"/>
        <v>37.599999999999994</v>
      </c>
      <c r="N9" s="14" t="str">
        <f t="shared" si="7"/>
        <v>2022 Elite Canada</v>
      </c>
      <c r="O9" s="14" t="str">
        <f t="shared" si="8"/>
        <v/>
      </c>
      <c r="P9" s="20" t="str">
        <f t="shared" si="9"/>
        <v/>
      </c>
      <c r="Q9" s="14" t="str">
        <f t="shared" si="10"/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 t="shared" si="11"/>
        <v/>
      </c>
      <c r="AN9" s="79" t="str">
        <f t="shared" si="12"/>
        <v/>
      </c>
      <c r="AO9" s="79" t="str">
        <f t="shared" si="13"/>
        <v/>
      </c>
      <c r="AP9" s="79" t="str">
        <f t="shared" si="14"/>
        <v/>
      </c>
      <c r="AQ9" s="79" t="str">
        <f t="shared" si="15"/>
        <v/>
      </c>
      <c r="AR9" s="79" t="str">
        <f t="shared" si="16"/>
        <v/>
      </c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 t="str">
        <f t="shared" si="17"/>
        <v/>
      </c>
      <c r="BO9" s="20" t="str">
        <f t="shared" si="18"/>
        <v/>
      </c>
      <c r="BP9" s="20" t="str">
        <f t="shared" si="19"/>
        <v/>
      </c>
      <c r="BQ9" s="20" t="str">
        <f t="shared" si="20"/>
        <v/>
      </c>
      <c r="BR9" s="20" t="str">
        <f t="shared" si="21"/>
        <v/>
      </c>
      <c r="BS9" s="20" t="str">
        <f t="shared" si="22"/>
        <v/>
      </c>
      <c r="BT9" s="27">
        <v>15.6</v>
      </c>
      <c r="BU9" s="27">
        <v>3.2</v>
      </c>
      <c r="BV9" s="27">
        <v>0</v>
      </c>
      <c r="BW9" s="27">
        <v>0</v>
      </c>
      <c r="BX9" s="27">
        <v>15.4</v>
      </c>
      <c r="BY9" s="27">
        <v>4.0999999999999996</v>
      </c>
      <c r="BZ9" s="27">
        <v>0</v>
      </c>
      <c r="CA9" s="27">
        <v>0.3</v>
      </c>
      <c r="CB9" s="27"/>
      <c r="CC9" s="27"/>
      <c r="CD9" s="27"/>
      <c r="CE9" s="27"/>
      <c r="CF9" s="27">
        <v>14.8</v>
      </c>
      <c r="CG9" s="27">
        <v>3.4</v>
      </c>
      <c r="CH9" s="27">
        <v>0</v>
      </c>
      <c r="CI9" s="27">
        <v>0</v>
      </c>
      <c r="CJ9" s="27">
        <v>15.2</v>
      </c>
      <c r="CK9" s="27">
        <v>3.9</v>
      </c>
      <c r="CL9" s="27">
        <v>0</v>
      </c>
      <c r="CM9" s="27">
        <v>0.3</v>
      </c>
      <c r="CN9" s="45"/>
      <c r="CO9" s="79">
        <f t="shared" si="23"/>
        <v>7.3</v>
      </c>
      <c r="CP9" s="79">
        <f t="shared" si="24"/>
        <v>38.6</v>
      </c>
      <c r="CQ9" s="79" t="str">
        <f t="shared" si="25"/>
        <v/>
      </c>
      <c r="CR9" s="79">
        <f t="shared" si="26"/>
        <v>7.3</v>
      </c>
      <c r="CS9" s="79">
        <f t="shared" si="27"/>
        <v>37.599999999999994</v>
      </c>
      <c r="CT9" s="79">
        <f t="shared" si="28"/>
        <v>76.199999999999989</v>
      </c>
      <c r="CU9" s="80" t="str">
        <f t="shared" si="29"/>
        <v/>
      </c>
      <c r="CV9" s="80" t="str">
        <f t="shared" si="30"/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 t="shared" si="31"/>
        <v/>
      </c>
      <c r="DR9" s="79" t="str">
        <f t="shared" si="32"/>
        <v/>
      </c>
      <c r="DS9" s="79" t="str">
        <f t="shared" si="33"/>
        <v/>
      </c>
      <c r="DT9" s="79" t="str">
        <f t="shared" si="34"/>
        <v/>
      </c>
      <c r="DU9" s="79" t="str">
        <f t="shared" si="35"/>
        <v/>
      </c>
      <c r="DV9" s="79" t="str">
        <f t="shared" si="36"/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 t="shared" si="37"/>
        <v/>
      </c>
      <c r="ER9" s="20" t="str">
        <f t="shared" si="38"/>
        <v/>
      </c>
      <c r="ES9" s="20" t="str">
        <f t="shared" si="39"/>
        <v/>
      </c>
      <c r="ET9" s="20" t="str">
        <f t="shared" si="40"/>
        <v/>
      </c>
      <c r="EU9" s="20" t="str">
        <f t="shared" si="41"/>
        <v/>
      </c>
      <c r="EV9" s="20" t="str">
        <f t="shared" si="42"/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 t="shared" si="43"/>
        <v/>
      </c>
      <c r="FR9" s="79" t="str">
        <f t="shared" si="44"/>
        <v/>
      </c>
      <c r="FS9" s="79" t="str">
        <f t="shared" si="45"/>
        <v/>
      </c>
      <c r="FT9" s="79" t="str">
        <f t="shared" si="46"/>
        <v/>
      </c>
      <c r="FU9" s="79" t="str">
        <f t="shared" si="47"/>
        <v/>
      </c>
      <c r="FV9" s="79" t="str">
        <f t="shared" si="48"/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 t="shared" si="49"/>
        <v/>
      </c>
      <c r="GR9" s="20" t="str">
        <f t="shared" si="50"/>
        <v/>
      </c>
      <c r="GS9" s="20" t="str">
        <f t="shared" si="51"/>
        <v/>
      </c>
      <c r="GT9" s="20" t="str">
        <f t="shared" si="52"/>
        <v/>
      </c>
      <c r="GU9" s="20" t="str">
        <f t="shared" si="53"/>
        <v/>
      </c>
      <c r="GV9" s="20" t="str">
        <f t="shared" si="54"/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 t="shared" si="55"/>
        <v/>
      </c>
      <c r="HR9" s="79" t="str">
        <f t="shared" si="56"/>
        <v/>
      </c>
      <c r="HS9" s="79" t="str">
        <f t="shared" si="57"/>
        <v/>
      </c>
      <c r="HT9" s="79" t="str">
        <f t="shared" si="58"/>
        <v/>
      </c>
      <c r="HU9" s="79" t="str">
        <f t="shared" si="59"/>
        <v/>
      </c>
      <c r="HV9" s="79" t="str">
        <f t="shared" si="60"/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 t="shared" si="61"/>
        <v/>
      </c>
      <c r="IR9" s="20" t="str">
        <f t="shared" si="62"/>
        <v/>
      </c>
      <c r="IS9" s="20" t="str">
        <f t="shared" si="63"/>
        <v/>
      </c>
      <c r="IT9" s="20" t="str">
        <f t="shared" si="64"/>
        <v/>
      </c>
      <c r="IU9" s="20" t="str">
        <f t="shared" si="65"/>
        <v/>
      </c>
      <c r="IV9" s="20" t="str">
        <f t="shared" si="66"/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 t="shared" si="67"/>
        <v/>
      </c>
      <c r="JR9" s="79" t="str">
        <f t="shared" si="68"/>
        <v/>
      </c>
      <c r="JS9" s="79" t="str">
        <f t="shared" si="69"/>
        <v/>
      </c>
      <c r="JT9" s="79" t="str">
        <f t="shared" si="70"/>
        <v/>
      </c>
      <c r="JU9" s="79" t="str">
        <f t="shared" si="71"/>
        <v/>
      </c>
      <c r="JV9" s="79" t="str">
        <f t="shared" si="72"/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 t="shared" si="73"/>
        <v/>
      </c>
      <c r="KR9" s="20" t="str">
        <f t="shared" si="74"/>
        <v/>
      </c>
      <c r="KS9" s="20" t="str">
        <f t="shared" si="75"/>
        <v/>
      </c>
      <c r="KT9" s="20" t="str">
        <f t="shared" si="76"/>
        <v/>
      </c>
      <c r="KU9" s="20" t="str">
        <f t="shared" si="77"/>
        <v/>
      </c>
      <c r="KV9" s="20" t="str">
        <f t="shared" si="78"/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 t="shared" si="79"/>
        <v/>
      </c>
      <c r="LR9" s="79" t="str">
        <f t="shared" si="80"/>
        <v/>
      </c>
      <c r="LS9" s="79" t="str">
        <f t="shared" si="81"/>
        <v/>
      </c>
      <c r="LT9" s="79" t="str">
        <f t="shared" si="82"/>
        <v/>
      </c>
      <c r="LU9" s="79" t="str">
        <f t="shared" si="83"/>
        <v/>
      </c>
      <c r="LV9" s="79" t="str">
        <f t="shared" si="84"/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 t="shared" si="85"/>
        <v/>
      </c>
      <c r="MR9" s="20" t="str">
        <f t="shared" si="86"/>
        <v/>
      </c>
      <c r="MS9" s="20" t="str">
        <f t="shared" si="87"/>
        <v/>
      </c>
      <c r="MT9" s="20" t="str">
        <f t="shared" si="88"/>
        <v/>
      </c>
      <c r="MU9" s="20" t="str">
        <f t="shared" si="89"/>
        <v/>
      </c>
      <c r="MV9" s="20" t="str">
        <f t="shared" si="90"/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 t="shared" si="91"/>
        <v/>
      </c>
      <c r="NR9" s="79" t="str">
        <f t="shared" si="92"/>
        <v/>
      </c>
      <c r="NS9" s="79" t="str">
        <f t="shared" si="93"/>
        <v/>
      </c>
      <c r="NT9" s="79" t="str">
        <f t="shared" si="94"/>
        <v/>
      </c>
      <c r="NU9" s="79" t="str">
        <f t="shared" si="95"/>
        <v/>
      </c>
      <c r="NV9" s="79" t="str">
        <f t="shared" si="96"/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 t="shared" si="97"/>
        <v/>
      </c>
      <c r="OR9" s="20" t="str">
        <f t="shared" si="98"/>
        <v/>
      </c>
      <c r="OS9" s="20" t="str">
        <f t="shared" si="99"/>
        <v/>
      </c>
      <c r="OT9" s="20" t="str">
        <f t="shared" si="100"/>
        <v/>
      </c>
      <c r="OU9" s="20" t="str">
        <f t="shared" si="101"/>
        <v/>
      </c>
      <c r="OV9" s="20" t="str">
        <f t="shared" si="102"/>
        <v/>
      </c>
      <c r="OW9" s="38">
        <f t="shared" si="103"/>
        <v>7.8</v>
      </c>
      <c r="OX9" s="38">
        <f t="shared" si="103"/>
        <v>1.6</v>
      </c>
      <c r="OY9" s="38">
        <f t="shared" si="103"/>
        <v>0</v>
      </c>
      <c r="OZ9" s="38">
        <f t="shared" si="103"/>
        <v>0</v>
      </c>
      <c r="PA9" s="38">
        <f t="shared" si="103"/>
        <v>7.7</v>
      </c>
      <c r="PB9" s="38">
        <f t="shared" si="103"/>
        <v>2.0499999999999998</v>
      </c>
      <c r="PC9" s="38">
        <f t="shared" si="103"/>
        <v>0</v>
      </c>
      <c r="PD9" s="38">
        <f t="shared" si="103"/>
        <v>0.15</v>
      </c>
      <c r="PE9" s="38">
        <f t="shared" si="103"/>
        <v>0</v>
      </c>
      <c r="PF9" s="38">
        <f t="shared" si="103"/>
        <v>0</v>
      </c>
      <c r="PG9" s="38">
        <f t="shared" si="104"/>
        <v>0</v>
      </c>
      <c r="PH9" s="38">
        <f t="shared" si="104"/>
        <v>0</v>
      </c>
      <c r="PI9" s="38">
        <f t="shared" si="104"/>
        <v>7.4</v>
      </c>
      <c r="PJ9" s="38">
        <f t="shared" si="104"/>
        <v>1.7</v>
      </c>
      <c r="PK9" s="38">
        <f t="shared" si="104"/>
        <v>0</v>
      </c>
      <c r="PL9" s="38">
        <f t="shared" si="104"/>
        <v>0</v>
      </c>
      <c r="PM9" s="38">
        <f t="shared" si="104"/>
        <v>7.6</v>
      </c>
      <c r="PN9" s="38">
        <f t="shared" si="104"/>
        <v>1.95</v>
      </c>
      <c r="PO9" s="38">
        <f t="shared" si="104"/>
        <v>0</v>
      </c>
      <c r="PP9" s="38">
        <f t="shared" si="104"/>
        <v>0.15</v>
      </c>
      <c r="PQ9" s="45" t="s">
        <v>46</v>
      </c>
      <c r="PR9" s="79">
        <f t="shared" si="105"/>
        <v>3.65</v>
      </c>
      <c r="PS9" s="79">
        <f t="shared" si="106"/>
        <v>19.3</v>
      </c>
      <c r="PT9" s="79" t="str">
        <f t="shared" si="107"/>
        <v/>
      </c>
      <c r="PU9" s="79">
        <f t="shared" si="108"/>
        <v>3.65</v>
      </c>
      <c r="PV9" s="79">
        <f t="shared" si="109"/>
        <v>18.799999999999997</v>
      </c>
      <c r="PW9" s="79">
        <f t="shared" si="110"/>
        <v>38.099999999999994</v>
      </c>
    </row>
    <row r="10" spans="1:439" x14ac:dyDescent="0.2">
      <c r="A10" s="5" t="str">
        <f t="shared" si="111"/>
        <v/>
      </c>
      <c r="B10" s="78" t="s">
        <v>87</v>
      </c>
      <c r="C10" s="5" t="s">
        <v>4</v>
      </c>
      <c r="D10" s="5">
        <v>2004</v>
      </c>
      <c r="E10" s="15">
        <f t="shared" si="0"/>
        <v>35.30010353001353</v>
      </c>
      <c r="F10" s="3" t="str">
        <f t="shared" si="1"/>
        <v/>
      </c>
      <c r="G10" s="3" t="str">
        <f t="shared" si="2"/>
        <v/>
      </c>
      <c r="H10" s="67" t="str">
        <f t="shared" si="3"/>
        <v/>
      </c>
      <c r="I10" s="14">
        <f>IF(COUNT(AN10,BO10,CP10)&gt;0,LARGE((AN10,BO10,CP10),1),0)</f>
        <v>35.299999999999997</v>
      </c>
      <c r="J10" s="14" t="str">
        <f t="shared" si="4"/>
        <v>2022 Elite Canada</v>
      </c>
      <c r="K10" s="14">
        <f>IF(COUNT(AN10,BO10,CP10)&gt;1,LARGE((AN10,BO10,CP10),2),0)</f>
        <v>1E-4</v>
      </c>
      <c r="L10" s="14" t="str">
        <f t="shared" si="5"/>
        <v>2021 Canadian Championships</v>
      </c>
      <c r="M10" s="14">
        <f t="shared" si="6"/>
        <v>0</v>
      </c>
      <c r="N10" s="14" t="str">
        <f t="shared" si="7"/>
        <v/>
      </c>
      <c r="O10" s="14" t="str">
        <f t="shared" si="8"/>
        <v/>
      </c>
      <c r="P10" s="20" t="str">
        <f t="shared" si="9"/>
        <v/>
      </c>
      <c r="Q10" s="14" t="str">
        <f t="shared" si="10"/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 t="shared" si="11"/>
        <v/>
      </c>
      <c r="AN10" s="79" t="str">
        <f t="shared" si="12"/>
        <v/>
      </c>
      <c r="AO10" s="79" t="str">
        <f t="shared" si="13"/>
        <v/>
      </c>
      <c r="AP10" s="79" t="str">
        <f t="shared" si="14"/>
        <v/>
      </c>
      <c r="AQ10" s="79" t="str">
        <f t="shared" si="15"/>
        <v/>
      </c>
      <c r="AR10" s="79" t="str">
        <f t="shared" si="16"/>
        <v/>
      </c>
      <c r="AS10" s="26"/>
      <c r="AT10" s="26">
        <v>1E-4</v>
      </c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>
        <f t="shared" si="17"/>
        <v>1E-4</v>
      </c>
      <c r="BO10" s="20">
        <f t="shared" si="18"/>
        <v>1E-4</v>
      </c>
      <c r="BP10" s="20" t="str">
        <f t="shared" si="19"/>
        <v/>
      </c>
      <c r="BQ10" s="20" t="str">
        <f t="shared" si="20"/>
        <v/>
      </c>
      <c r="BR10" s="20" t="str">
        <f t="shared" si="21"/>
        <v/>
      </c>
      <c r="BS10" s="20">
        <f t="shared" si="22"/>
        <v>1E-4</v>
      </c>
      <c r="BT10" s="27">
        <v>16.600000000000001</v>
      </c>
      <c r="BU10" s="27">
        <v>1.2</v>
      </c>
      <c r="BV10" s="27">
        <v>0.2</v>
      </c>
      <c r="BW10" s="27">
        <v>0</v>
      </c>
      <c r="BX10" s="27">
        <v>16.7</v>
      </c>
      <c r="BY10" s="27">
        <v>1.2</v>
      </c>
      <c r="BZ10" s="27">
        <v>0.2</v>
      </c>
      <c r="CA10" s="27">
        <v>0</v>
      </c>
      <c r="CB10" s="27"/>
      <c r="CC10" s="27"/>
      <c r="CD10" s="27"/>
      <c r="CE10" s="27"/>
      <c r="CF10" s="27">
        <v>0</v>
      </c>
      <c r="CG10" s="27">
        <v>0</v>
      </c>
      <c r="CH10" s="27">
        <v>0</v>
      </c>
      <c r="CI10" s="27">
        <v>0</v>
      </c>
      <c r="CJ10" s="27">
        <v>0</v>
      </c>
      <c r="CK10" s="27">
        <v>0</v>
      </c>
      <c r="CL10" s="27">
        <v>0</v>
      </c>
      <c r="CM10" s="27">
        <v>0</v>
      </c>
      <c r="CN10" s="45"/>
      <c r="CO10" s="79">
        <f t="shared" si="23"/>
        <v>2.4</v>
      </c>
      <c r="CP10" s="79">
        <f t="shared" si="24"/>
        <v>35.299999999999997</v>
      </c>
      <c r="CQ10" s="79" t="str">
        <f t="shared" si="25"/>
        <v/>
      </c>
      <c r="CR10" s="79" t="str">
        <f t="shared" si="26"/>
        <v/>
      </c>
      <c r="CS10" s="79" t="str">
        <f t="shared" si="27"/>
        <v/>
      </c>
      <c r="CT10" s="79">
        <f t="shared" si="28"/>
        <v>35.299999999999997</v>
      </c>
      <c r="CU10" s="80" t="str">
        <f t="shared" si="29"/>
        <v/>
      </c>
      <c r="CV10" s="80" t="str">
        <f t="shared" si="30"/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 t="shared" si="31"/>
        <v/>
      </c>
      <c r="DR10" s="79" t="str">
        <f t="shared" si="32"/>
        <v/>
      </c>
      <c r="DS10" s="79" t="str">
        <f t="shared" si="33"/>
        <v/>
      </c>
      <c r="DT10" s="79" t="str">
        <f t="shared" si="34"/>
        <v/>
      </c>
      <c r="DU10" s="79" t="str">
        <f t="shared" si="35"/>
        <v/>
      </c>
      <c r="DV10" s="79" t="str">
        <f t="shared" si="36"/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 t="shared" si="37"/>
        <v/>
      </c>
      <c r="ER10" s="20" t="str">
        <f t="shared" si="38"/>
        <v/>
      </c>
      <c r="ES10" s="20" t="str">
        <f t="shared" si="39"/>
        <v/>
      </c>
      <c r="ET10" s="20" t="str">
        <f t="shared" si="40"/>
        <v/>
      </c>
      <c r="EU10" s="20" t="str">
        <f t="shared" si="41"/>
        <v/>
      </c>
      <c r="EV10" s="20" t="str">
        <f t="shared" si="42"/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 t="shared" si="43"/>
        <v/>
      </c>
      <c r="FR10" s="79" t="str">
        <f t="shared" si="44"/>
        <v/>
      </c>
      <c r="FS10" s="79" t="str">
        <f t="shared" si="45"/>
        <v/>
      </c>
      <c r="FT10" s="79" t="str">
        <f t="shared" si="46"/>
        <v/>
      </c>
      <c r="FU10" s="79" t="str">
        <f t="shared" si="47"/>
        <v/>
      </c>
      <c r="FV10" s="79" t="str">
        <f t="shared" si="48"/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 t="shared" si="49"/>
        <v/>
      </c>
      <c r="GR10" s="20" t="str">
        <f t="shared" si="50"/>
        <v/>
      </c>
      <c r="GS10" s="20" t="str">
        <f t="shared" si="51"/>
        <v/>
      </c>
      <c r="GT10" s="20" t="str">
        <f t="shared" si="52"/>
        <v/>
      </c>
      <c r="GU10" s="20" t="str">
        <f t="shared" si="53"/>
        <v/>
      </c>
      <c r="GV10" s="20" t="str">
        <f t="shared" si="54"/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 t="shared" si="55"/>
        <v/>
      </c>
      <c r="HR10" s="79" t="str">
        <f t="shared" si="56"/>
        <v/>
      </c>
      <c r="HS10" s="79" t="str">
        <f t="shared" si="57"/>
        <v/>
      </c>
      <c r="HT10" s="79" t="str">
        <f t="shared" si="58"/>
        <v/>
      </c>
      <c r="HU10" s="79" t="str">
        <f t="shared" si="59"/>
        <v/>
      </c>
      <c r="HV10" s="79" t="str">
        <f t="shared" si="60"/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 t="shared" si="61"/>
        <v/>
      </c>
      <c r="IR10" s="20" t="str">
        <f t="shared" si="62"/>
        <v/>
      </c>
      <c r="IS10" s="20" t="str">
        <f t="shared" si="63"/>
        <v/>
      </c>
      <c r="IT10" s="20" t="str">
        <f t="shared" si="64"/>
        <v/>
      </c>
      <c r="IU10" s="20" t="str">
        <f t="shared" si="65"/>
        <v/>
      </c>
      <c r="IV10" s="20" t="str">
        <f t="shared" si="66"/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 t="shared" si="67"/>
        <v/>
      </c>
      <c r="JR10" s="79" t="str">
        <f t="shared" si="68"/>
        <v/>
      </c>
      <c r="JS10" s="79" t="str">
        <f t="shared" si="69"/>
        <v/>
      </c>
      <c r="JT10" s="79" t="str">
        <f t="shared" si="70"/>
        <v/>
      </c>
      <c r="JU10" s="79" t="str">
        <f t="shared" si="71"/>
        <v/>
      </c>
      <c r="JV10" s="79" t="str">
        <f t="shared" si="72"/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 t="shared" si="73"/>
        <v/>
      </c>
      <c r="KR10" s="20" t="str">
        <f t="shared" si="74"/>
        <v/>
      </c>
      <c r="KS10" s="20" t="str">
        <f t="shared" si="75"/>
        <v/>
      </c>
      <c r="KT10" s="20" t="str">
        <f t="shared" si="76"/>
        <v/>
      </c>
      <c r="KU10" s="20" t="str">
        <f t="shared" si="77"/>
        <v/>
      </c>
      <c r="KV10" s="20" t="str">
        <f t="shared" si="78"/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 t="shared" si="79"/>
        <v/>
      </c>
      <c r="LR10" s="79" t="str">
        <f t="shared" si="80"/>
        <v/>
      </c>
      <c r="LS10" s="79" t="str">
        <f t="shared" si="81"/>
        <v/>
      </c>
      <c r="LT10" s="79" t="str">
        <f t="shared" si="82"/>
        <v/>
      </c>
      <c r="LU10" s="79" t="str">
        <f t="shared" si="83"/>
        <v/>
      </c>
      <c r="LV10" s="79" t="str">
        <f t="shared" si="84"/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 t="shared" si="85"/>
        <v/>
      </c>
      <c r="MR10" s="20" t="str">
        <f t="shared" si="86"/>
        <v/>
      </c>
      <c r="MS10" s="20" t="str">
        <f t="shared" si="87"/>
        <v/>
      </c>
      <c r="MT10" s="20" t="str">
        <f t="shared" si="88"/>
        <v/>
      </c>
      <c r="MU10" s="20" t="str">
        <f t="shared" si="89"/>
        <v/>
      </c>
      <c r="MV10" s="20" t="str">
        <f t="shared" si="90"/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 t="shared" si="91"/>
        <v/>
      </c>
      <c r="NR10" s="79" t="str">
        <f t="shared" si="92"/>
        <v/>
      </c>
      <c r="NS10" s="79" t="str">
        <f t="shared" si="93"/>
        <v/>
      </c>
      <c r="NT10" s="79" t="str">
        <f t="shared" si="94"/>
        <v/>
      </c>
      <c r="NU10" s="79" t="str">
        <f t="shared" si="95"/>
        <v/>
      </c>
      <c r="NV10" s="79" t="str">
        <f t="shared" si="96"/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 t="shared" si="97"/>
        <v/>
      </c>
      <c r="OR10" s="20" t="str">
        <f t="shared" si="98"/>
        <v/>
      </c>
      <c r="OS10" s="20" t="str">
        <f t="shared" si="99"/>
        <v/>
      </c>
      <c r="OT10" s="20" t="str">
        <f t="shared" si="100"/>
        <v/>
      </c>
      <c r="OU10" s="20" t="str">
        <f t="shared" si="101"/>
        <v/>
      </c>
      <c r="OV10" s="20" t="str">
        <f t="shared" si="102"/>
        <v/>
      </c>
      <c r="OW10" s="38">
        <f t="shared" si="103"/>
        <v>8.3000000000000007</v>
      </c>
      <c r="OX10" s="38">
        <f t="shared" si="103"/>
        <v>0.60004999999999997</v>
      </c>
      <c r="OY10" s="38">
        <f t="shared" si="103"/>
        <v>0.1</v>
      </c>
      <c r="OZ10" s="38">
        <f t="shared" si="103"/>
        <v>0</v>
      </c>
      <c r="PA10" s="38">
        <f t="shared" si="103"/>
        <v>8.35</v>
      </c>
      <c r="PB10" s="38">
        <f t="shared" si="103"/>
        <v>0.6</v>
      </c>
      <c r="PC10" s="38">
        <f t="shared" si="103"/>
        <v>0.1</v>
      </c>
      <c r="PD10" s="38">
        <f t="shared" si="103"/>
        <v>0</v>
      </c>
      <c r="PE10" s="38">
        <f t="shared" si="103"/>
        <v>0</v>
      </c>
      <c r="PF10" s="38">
        <f t="shared" si="103"/>
        <v>0</v>
      </c>
      <c r="PG10" s="38">
        <f t="shared" si="104"/>
        <v>0</v>
      </c>
      <c r="PH10" s="38">
        <f t="shared" si="104"/>
        <v>0</v>
      </c>
      <c r="PI10" s="38">
        <f t="shared" si="104"/>
        <v>0</v>
      </c>
      <c r="PJ10" s="38">
        <f t="shared" si="104"/>
        <v>0</v>
      </c>
      <c r="PK10" s="38">
        <f t="shared" si="104"/>
        <v>0</v>
      </c>
      <c r="PL10" s="38">
        <f t="shared" si="104"/>
        <v>0</v>
      </c>
      <c r="PM10" s="38">
        <f t="shared" si="104"/>
        <v>0</v>
      </c>
      <c r="PN10" s="38">
        <f t="shared" si="104"/>
        <v>0</v>
      </c>
      <c r="PO10" s="38">
        <f t="shared" si="104"/>
        <v>0</v>
      </c>
      <c r="PP10" s="38">
        <f t="shared" si="104"/>
        <v>0</v>
      </c>
      <c r="PQ10" s="45" t="s">
        <v>46</v>
      </c>
      <c r="PR10" s="79">
        <f t="shared" si="105"/>
        <v>1.2000500000000001</v>
      </c>
      <c r="PS10" s="79">
        <f t="shared" si="106"/>
        <v>17.65005</v>
      </c>
      <c r="PT10" s="79" t="str">
        <f t="shared" si="107"/>
        <v/>
      </c>
      <c r="PU10" s="79" t="str">
        <f t="shared" si="108"/>
        <v/>
      </c>
      <c r="PV10" s="79" t="str">
        <f t="shared" si="109"/>
        <v/>
      </c>
      <c r="PW10" s="79">
        <f t="shared" si="110"/>
        <v>17.65005</v>
      </c>
    </row>
    <row r="11" spans="1:439" x14ac:dyDescent="0.2">
      <c r="A11" s="5" t="str">
        <f t="shared" si="111"/>
        <v/>
      </c>
      <c r="B11" s="78" t="s">
        <v>104</v>
      </c>
      <c r="C11" s="5" t="s">
        <v>3</v>
      </c>
      <c r="D11" s="5">
        <v>2003</v>
      </c>
      <c r="E11" s="15">
        <f t="shared" si="0"/>
        <v>1.0000001000001001E-4</v>
      </c>
      <c r="F11" s="3" t="str">
        <f t="shared" si="1"/>
        <v/>
      </c>
      <c r="G11" s="3" t="str">
        <f t="shared" si="2"/>
        <v/>
      </c>
      <c r="H11" s="67" t="str">
        <f t="shared" si="3"/>
        <v/>
      </c>
      <c r="I11" s="14">
        <f>IF(COUNT(AN11,BO11,CP11)&gt;0,LARGE((AN11,BO11,CP11),1),0)</f>
        <v>1E-4</v>
      </c>
      <c r="J11" s="14" t="str">
        <f t="shared" si="4"/>
        <v>2021 Elite Canada</v>
      </c>
      <c r="K11" s="14">
        <f>IF(COUNT(AN11,BO11,CP11)&gt;1,LARGE((AN11,BO11,CP11),2),0)</f>
        <v>0</v>
      </c>
      <c r="L11" s="14" t="str">
        <f t="shared" si="5"/>
        <v/>
      </c>
      <c r="M11" s="14">
        <f t="shared" si="6"/>
        <v>0</v>
      </c>
      <c r="N11" s="14" t="str">
        <f t="shared" si="7"/>
        <v/>
      </c>
      <c r="O11" s="14" t="str">
        <f t="shared" si="8"/>
        <v/>
      </c>
      <c r="P11" s="20" t="str">
        <f t="shared" si="9"/>
        <v/>
      </c>
      <c r="Q11" s="14" t="str">
        <f t="shared" si="10"/>
        <v/>
      </c>
      <c r="R11" s="27"/>
      <c r="S11" s="27">
        <v>1E-4</v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>
        <f t="shared" si="11"/>
        <v>1E-4</v>
      </c>
      <c r="AN11" s="79">
        <f t="shared" si="12"/>
        <v>1E-4</v>
      </c>
      <c r="AO11" s="79" t="str">
        <f t="shared" si="13"/>
        <v/>
      </c>
      <c r="AP11" s="79" t="str">
        <f t="shared" si="14"/>
        <v/>
      </c>
      <c r="AQ11" s="79" t="str">
        <f t="shared" si="15"/>
        <v/>
      </c>
      <c r="AR11" s="79">
        <f t="shared" si="16"/>
        <v>1E-4</v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 t="shared" si="17"/>
        <v/>
      </c>
      <c r="BO11" s="20" t="str">
        <f t="shared" si="18"/>
        <v/>
      </c>
      <c r="BP11" s="20" t="str">
        <f t="shared" si="19"/>
        <v/>
      </c>
      <c r="BQ11" s="20" t="str">
        <f t="shared" si="20"/>
        <v/>
      </c>
      <c r="BR11" s="20" t="str">
        <f t="shared" si="21"/>
        <v/>
      </c>
      <c r="BS11" s="20" t="str">
        <f t="shared" si="22"/>
        <v/>
      </c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45"/>
      <c r="CO11" s="79" t="str">
        <f t="shared" si="23"/>
        <v/>
      </c>
      <c r="CP11" s="79" t="str">
        <f t="shared" si="24"/>
        <v/>
      </c>
      <c r="CQ11" s="79" t="str">
        <f t="shared" si="25"/>
        <v/>
      </c>
      <c r="CR11" s="79" t="str">
        <f t="shared" si="26"/>
        <v/>
      </c>
      <c r="CS11" s="79" t="str">
        <f t="shared" si="27"/>
        <v/>
      </c>
      <c r="CT11" s="79" t="str">
        <f t="shared" si="28"/>
        <v/>
      </c>
      <c r="CU11" s="80" t="str">
        <f t="shared" si="29"/>
        <v/>
      </c>
      <c r="CV11" s="80" t="str">
        <f t="shared" si="30"/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 t="shared" si="31"/>
        <v/>
      </c>
      <c r="DR11" s="79" t="str">
        <f t="shared" si="32"/>
        <v/>
      </c>
      <c r="DS11" s="79" t="str">
        <f t="shared" si="33"/>
        <v/>
      </c>
      <c r="DT11" s="79" t="str">
        <f t="shared" si="34"/>
        <v/>
      </c>
      <c r="DU11" s="79" t="str">
        <f t="shared" si="35"/>
        <v/>
      </c>
      <c r="DV11" s="79" t="str">
        <f t="shared" si="36"/>
        <v/>
      </c>
      <c r="DW11" s="26"/>
      <c r="DX11" s="26">
        <v>1E-4</v>
      </c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>
        <f t="shared" si="37"/>
        <v>1E-4</v>
      </c>
      <c r="ER11" s="20">
        <f t="shared" si="38"/>
        <v>1E-4</v>
      </c>
      <c r="ES11" s="20" t="str">
        <f t="shared" si="39"/>
        <v/>
      </c>
      <c r="ET11" s="20" t="str">
        <f t="shared" si="40"/>
        <v/>
      </c>
      <c r="EU11" s="20" t="str">
        <f t="shared" si="41"/>
        <v/>
      </c>
      <c r="EV11" s="20">
        <f t="shared" si="42"/>
        <v>1E-4</v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 t="shared" si="43"/>
        <v/>
      </c>
      <c r="FR11" s="79" t="str">
        <f t="shared" si="44"/>
        <v/>
      </c>
      <c r="FS11" s="79" t="str">
        <f t="shared" si="45"/>
        <v/>
      </c>
      <c r="FT11" s="79" t="str">
        <f t="shared" si="46"/>
        <v/>
      </c>
      <c r="FU11" s="79" t="str">
        <f t="shared" si="47"/>
        <v/>
      </c>
      <c r="FV11" s="79" t="str">
        <f t="shared" si="48"/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 t="shared" si="49"/>
        <v/>
      </c>
      <c r="GR11" s="20" t="str">
        <f t="shared" si="50"/>
        <v/>
      </c>
      <c r="GS11" s="20" t="str">
        <f t="shared" si="51"/>
        <v/>
      </c>
      <c r="GT11" s="20" t="str">
        <f t="shared" si="52"/>
        <v/>
      </c>
      <c r="GU11" s="20" t="str">
        <f t="shared" si="53"/>
        <v/>
      </c>
      <c r="GV11" s="20" t="str">
        <f t="shared" si="54"/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 t="shared" si="55"/>
        <v/>
      </c>
      <c r="HR11" s="79" t="str">
        <f t="shared" si="56"/>
        <v/>
      </c>
      <c r="HS11" s="79" t="str">
        <f t="shared" si="57"/>
        <v/>
      </c>
      <c r="HT11" s="79" t="str">
        <f t="shared" si="58"/>
        <v/>
      </c>
      <c r="HU11" s="79" t="str">
        <f t="shared" si="59"/>
        <v/>
      </c>
      <c r="HV11" s="79" t="str">
        <f t="shared" si="60"/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 t="shared" si="61"/>
        <v/>
      </c>
      <c r="IR11" s="20" t="str">
        <f t="shared" si="62"/>
        <v/>
      </c>
      <c r="IS11" s="20" t="str">
        <f t="shared" si="63"/>
        <v/>
      </c>
      <c r="IT11" s="20" t="str">
        <f t="shared" si="64"/>
        <v/>
      </c>
      <c r="IU11" s="20" t="str">
        <f t="shared" si="65"/>
        <v/>
      </c>
      <c r="IV11" s="20" t="str">
        <f t="shared" si="66"/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 t="shared" si="67"/>
        <v/>
      </c>
      <c r="JR11" s="79" t="str">
        <f t="shared" si="68"/>
        <v/>
      </c>
      <c r="JS11" s="79" t="str">
        <f t="shared" si="69"/>
        <v/>
      </c>
      <c r="JT11" s="79" t="str">
        <f t="shared" si="70"/>
        <v/>
      </c>
      <c r="JU11" s="79" t="str">
        <f t="shared" si="71"/>
        <v/>
      </c>
      <c r="JV11" s="79" t="str">
        <f t="shared" si="72"/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 t="shared" si="73"/>
        <v/>
      </c>
      <c r="KR11" s="20" t="str">
        <f t="shared" si="74"/>
        <v/>
      </c>
      <c r="KS11" s="20" t="str">
        <f t="shared" si="75"/>
        <v/>
      </c>
      <c r="KT11" s="20" t="str">
        <f t="shared" si="76"/>
        <v/>
      </c>
      <c r="KU11" s="20" t="str">
        <f t="shared" si="77"/>
        <v/>
      </c>
      <c r="KV11" s="20" t="str">
        <f t="shared" si="78"/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 t="shared" si="79"/>
        <v/>
      </c>
      <c r="LR11" s="79" t="str">
        <f t="shared" si="80"/>
        <v/>
      </c>
      <c r="LS11" s="79" t="str">
        <f t="shared" si="81"/>
        <v/>
      </c>
      <c r="LT11" s="79" t="str">
        <f t="shared" si="82"/>
        <v/>
      </c>
      <c r="LU11" s="79" t="str">
        <f t="shared" si="83"/>
        <v/>
      </c>
      <c r="LV11" s="79" t="str">
        <f t="shared" si="84"/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 t="shared" si="85"/>
        <v/>
      </c>
      <c r="MR11" s="20" t="str">
        <f t="shared" si="86"/>
        <v/>
      </c>
      <c r="MS11" s="20" t="str">
        <f t="shared" si="87"/>
        <v/>
      </c>
      <c r="MT11" s="20" t="str">
        <f t="shared" si="88"/>
        <v/>
      </c>
      <c r="MU11" s="20" t="str">
        <f t="shared" si="89"/>
        <v/>
      </c>
      <c r="MV11" s="20" t="str">
        <f t="shared" si="90"/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 t="shared" si="91"/>
        <v/>
      </c>
      <c r="NR11" s="79" t="str">
        <f t="shared" si="92"/>
        <v/>
      </c>
      <c r="NS11" s="79" t="str">
        <f t="shared" si="93"/>
        <v/>
      </c>
      <c r="NT11" s="79" t="str">
        <f t="shared" si="94"/>
        <v/>
      </c>
      <c r="NU11" s="79" t="str">
        <f t="shared" si="95"/>
        <v/>
      </c>
      <c r="NV11" s="79" t="str">
        <f t="shared" si="96"/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 t="shared" si="97"/>
        <v/>
      </c>
      <c r="OR11" s="20" t="str">
        <f t="shared" si="98"/>
        <v/>
      </c>
      <c r="OS11" s="20" t="str">
        <f t="shared" si="99"/>
        <v/>
      </c>
      <c r="OT11" s="20" t="str">
        <f t="shared" si="100"/>
        <v/>
      </c>
      <c r="OU11" s="20" t="str">
        <f t="shared" si="101"/>
        <v/>
      </c>
      <c r="OV11" s="20" t="str">
        <f t="shared" si="102"/>
        <v/>
      </c>
      <c r="OW11" s="38">
        <f t="shared" si="103"/>
        <v>0</v>
      </c>
      <c r="OX11" s="38">
        <f t="shared" si="103"/>
        <v>0</v>
      </c>
      <c r="OY11" s="38">
        <f t="shared" si="103"/>
        <v>0</v>
      </c>
      <c r="OZ11" s="38">
        <f t="shared" si="103"/>
        <v>0</v>
      </c>
      <c r="PA11" s="38">
        <f t="shared" si="103"/>
        <v>0</v>
      </c>
      <c r="PB11" s="38">
        <f t="shared" si="103"/>
        <v>0</v>
      </c>
      <c r="PC11" s="38">
        <f t="shared" si="103"/>
        <v>0</v>
      </c>
      <c r="PD11" s="38">
        <f t="shared" si="103"/>
        <v>0</v>
      </c>
      <c r="PE11" s="38">
        <f t="shared" si="103"/>
        <v>0</v>
      </c>
      <c r="PF11" s="38">
        <f t="shared" si="103"/>
        <v>0</v>
      </c>
      <c r="PG11" s="38">
        <f t="shared" si="104"/>
        <v>0</v>
      </c>
      <c r="PH11" s="38">
        <f t="shared" si="104"/>
        <v>0</v>
      </c>
      <c r="PI11" s="38">
        <f t="shared" si="104"/>
        <v>0</v>
      </c>
      <c r="PJ11" s="38">
        <f t="shared" si="104"/>
        <v>0</v>
      </c>
      <c r="PK11" s="38">
        <f t="shared" si="104"/>
        <v>0</v>
      </c>
      <c r="PL11" s="38">
        <f t="shared" si="104"/>
        <v>0</v>
      </c>
      <c r="PM11" s="38">
        <f t="shared" si="104"/>
        <v>0</v>
      </c>
      <c r="PN11" s="38">
        <f t="shared" si="104"/>
        <v>0</v>
      </c>
      <c r="PO11" s="38">
        <f t="shared" si="104"/>
        <v>0</v>
      </c>
      <c r="PP11" s="38">
        <f t="shared" si="104"/>
        <v>0</v>
      </c>
      <c r="PQ11" s="45" t="s">
        <v>46</v>
      </c>
      <c r="PR11" s="79" t="str">
        <f t="shared" si="105"/>
        <v/>
      </c>
      <c r="PS11" s="79" t="str">
        <f t="shared" si="106"/>
        <v/>
      </c>
      <c r="PT11" s="79" t="str">
        <f t="shared" si="107"/>
        <v/>
      </c>
      <c r="PU11" s="79" t="str">
        <f t="shared" si="108"/>
        <v/>
      </c>
      <c r="PV11" s="79" t="str">
        <f t="shared" si="109"/>
        <v/>
      </c>
      <c r="PW11" s="79" t="str">
        <f t="shared" si="110"/>
        <v/>
      </c>
    </row>
    <row r="12" spans="1:439" ht="17" x14ac:dyDescent="0.2">
      <c r="O12" s="16"/>
      <c r="P12" s="16"/>
      <c r="Q12" s="16"/>
    </row>
    <row r="13" spans="1:439" ht="17" x14ac:dyDescent="0.2">
      <c r="O13" s="16"/>
      <c r="P13" s="16"/>
      <c r="Q13" s="16"/>
    </row>
    <row r="14" spans="1:439" ht="17" x14ac:dyDescent="0.2">
      <c r="B14" s="81" t="s">
        <v>44</v>
      </c>
      <c r="O14" s="16"/>
      <c r="P14" s="16"/>
      <c r="Q14" s="16"/>
      <c r="AM14" s="5"/>
      <c r="AR14" s="82">
        <v>1E-4</v>
      </c>
      <c r="BN14" s="5"/>
      <c r="BS14" s="82">
        <v>1E-4</v>
      </c>
      <c r="CO14" s="5"/>
      <c r="CT14" s="82">
        <v>9.1</v>
      </c>
      <c r="DQ14" s="5"/>
      <c r="DV14" s="82">
        <v>1E-4</v>
      </c>
      <c r="EQ14" s="5"/>
      <c r="EV14" s="82">
        <v>1E-4</v>
      </c>
      <c r="FQ14" s="5"/>
      <c r="FV14" s="82">
        <v>9.1</v>
      </c>
      <c r="GQ14" s="5"/>
      <c r="GV14" s="82">
        <v>9.1</v>
      </c>
      <c r="HQ14" s="5"/>
      <c r="HV14" s="82">
        <v>9.1</v>
      </c>
      <c r="IQ14" s="5"/>
      <c r="IV14" s="82">
        <v>9.1</v>
      </c>
      <c r="JQ14" s="5"/>
      <c r="JV14" s="82">
        <v>9.1</v>
      </c>
      <c r="KQ14" s="5"/>
      <c r="KV14" s="82">
        <v>9.1</v>
      </c>
      <c r="LQ14" s="5"/>
      <c r="LV14" s="82">
        <v>9.1</v>
      </c>
      <c r="MQ14" s="5"/>
      <c r="MV14" s="82">
        <v>9.1</v>
      </c>
      <c r="NQ14" s="5"/>
      <c r="NV14" s="82">
        <v>9.1</v>
      </c>
      <c r="OQ14" s="5"/>
      <c r="OV14" s="82">
        <v>9.1</v>
      </c>
    </row>
    <row r="15" spans="1:439" ht="17" hidden="1" x14ac:dyDescent="0.2">
      <c r="B15" s="83" t="s">
        <v>43</v>
      </c>
      <c r="O15" s="16"/>
      <c r="P15" s="16"/>
      <c r="Q15" s="16"/>
      <c r="AM15" s="5"/>
      <c r="AR15" s="84">
        <v>1000</v>
      </c>
      <c r="BN15" s="5"/>
      <c r="BS15" s="84">
        <v>1000</v>
      </c>
      <c r="CO15" s="5"/>
      <c r="CT15" s="84">
        <v>1000</v>
      </c>
      <c r="DQ15" s="5"/>
      <c r="DV15" s="84">
        <v>1000</v>
      </c>
      <c r="EQ15" s="5"/>
      <c r="EV15" s="84">
        <v>1000</v>
      </c>
      <c r="FQ15" s="5"/>
      <c r="FV15" s="84">
        <v>1000</v>
      </c>
      <c r="GQ15" s="5"/>
      <c r="GV15" s="84">
        <v>1000</v>
      </c>
      <c r="HQ15" s="5"/>
      <c r="HV15" s="84">
        <v>1000</v>
      </c>
      <c r="IQ15" s="5"/>
      <c r="IV15" s="84">
        <v>1000</v>
      </c>
      <c r="JQ15" s="5"/>
      <c r="JV15" s="84">
        <v>1000</v>
      </c>
      <c r="KQ15" s="5"/>
      <c r="KV15" s="84">
        <v>1000</v>
      </c>
      <c r="LQ15" s="5"/>
      <c r="LV15" s="84">
        <v>1000</v>
      </c>
      <c r="MQ15" s="5"/>
      <c r="MV15" s="84">
        <v>1000</v>
      </c>
      <c r="NQ15" s="5"/>
      <c r="NV15" s="84">
        <v>1000</v>
      </c>
      <c r="OQ15" s="5"/>
      <c r="OV15" s="84">
        <v>1000</v>
      </c>
    </row>
    <row r="16" spans="1:439" ht="17" hidden="1" x14ac:dyDescent="0.2">
      <c r="A16" s="78"/>
      <c r="B16" s="76" t="s">
        <v>55</v>
      </c>
      <c r="C16" s="85"/>
      <c r="O16" s="16"/>
      <c r="P16" s="16"/>
      <c r="Q16" s="16"/>
      <c r="AM16" s="5"/>
      <c r="AR16" s="86">
        <v>1000</v>
      </c>
      <c r="BN16" s="5"/>
      <c r="BS16" s="86">
        <v>1000</v>
      </c>
      <c r="CO16" s="5"/>
      <c r="CT16" s="86">
        <v>1000</v>
      </c>
      <c r="DQ16" s="5"/>
      <c r="DV16" s="86">
        <v>1000</v>
      </c>
      <c r="EQ16" s="5"/>
      <c r="EV16" s="86">
        <v>1000</v>
      </c>
      <c r="FQ16" s="5"/>
      <c r="FV16" s="86">
        <v>1000</v>
      </c>
      <c r="GQ16" s="5"/>
      <c r="GV16" s="86">
        <v>1000</v>
      </c>
      <c r="HQ16" s="5"/>
      <c r="HV16" s="86">
        <v>1000</v>
      </c>
      <c r="IQ16" s="5"/>
      <c r="IV16" s="86">
        <v>1000</v>
      </c>
      <c r="JQ16" s="5"/>
      <c r="JV16" s="86">
        <v>1000</v>
      </c>
      <c r="KQ16" s="5"/>
      <c r="KV16" s="86">
        <v>1000</v>
      </c>
      <c r="LQ16" s="5"/>
      <c r="LV16" s="86">
        <v>1000</v>
      </c>
      <c r="MQ16" s="5"/>
      <c r="MV16" s="86">
        <v>1000</v>
      </c>
      <c r="NQ16" s="5"/>
      <c r="NV16" s="86">
        <v>1000</v>
      </c>
      <c r="OQ16" s="5"/>
      <c r="OV16" s="86">
        <v>1000</v>
      </c>
    </row>
    <row r="17" spans="1:412" ht="17" hidden="1" x14ac:dyDescent="0.2">
      <c r="A17" s="78"/>
      <c r="B17" s="87" t="s">
        <v>62</v>
      </c>
      <c r="C17" s="85"/>
      <c r="O17" s="16"/>
      <c r="P17" s="16"/>
      <c r="Q17" s="16"/>
      <c r="AM17" s="5"/>
      <c r="AR17" s="88">
        <v>1000</v>
      </c>
      <c r="BN17" s="5"/>
      <c r="BS17" s="88">
        <v>1000</v>
      </c>
      <c r="CO17" s="5"/>
      <c r="CT17" s="88">
        <v>1000</v>
      </c>
      <c r="DQ17" s="5"/>
      <c r="DV17" s="88">
        <v>1000</v>
      </c>
      <c r="EQ17" s="5"/>
      <c r="EV17" s="88">
        <v>1000</v>
      </c>
      <c r="FQ17" s="5"/>
      <c r="FV17" s="88">
        <v>1000</v>
      </c>
      <c r="GQ17" s="5"/>
      <c r="GV17" s="88">
        <v>1000</v>
      </c>
      <c r="HQ17" s="5"/>
      <c r="HV17" s="88">
        <v>1000</v>
      </c>
      <c r="IQ17" s="5"/>
      <c r="IV17" s="88">
        <v>1000</v>
      </c>
      <c r="JQ17" s="5"/>
      <c r="JV17" s="88">
        <v>1000</v>
      </c>
      <c r="KQ17" s="5"/>
      <c r="KV17" s="88">
        <v>1000</v>
      </c>
      <c r="LQ17" s="5"/>
      <c r="LV17" s="88">
        <v>1000</v>
      </c>
      <c r="MQ17" s="5"/>
      <c r="MV17" s="88">
        <v>1000</v>
      </c>
      <c r="NQ17" s="5"/>
      <c r="NV17" s="88">
        <v>1000</v>
      </c>
      <c r="OQ17" s="5"/>
      <c r="OV17" s="88">
        <v>1000</v>
      </c>
    </row>
    <row r="18" spans="1:412" ht="17" x14ac:dyDescent="0.2">
      <c r="A18" s="78"/>
      <c r="B18" s="89" t="s">
        <v>41</v>
      </c>
      <c r="C18" s="85"/>
      <c r="O18" s="16"/>
      <c r="P18" s="16"/>
      <c r="Q18" s="16"/>
      <c r="AM18" s="5"/>
      <c r="AO18" s="67" t="s">
        <v>180</v>
      </c>
      <c r="AR18" s="90">
        <v>2.0000000000000001E-4</v>
      </c>
      <c r="BN18" s="5"/>
      <c r="BP18" s="67" t="s">
        <v>180</v>
      </c>
      <c r="BS18" s="90">
        <v>2.0000000000000001E-4</v>
      </c>
      <c r="CO18" s="5"/>
      <c r="CT18" s="90">
        <v>44.1</v>
      </c>
      <c r="DQ18" s="5"/>
      <c r="DS18" s="67" t="s">
        <v>180</v>
      </c>
      <c r="DV18" s="90">
        <v>2.0000000000000001E-4</v>
      </c>
      <c r="EQ18" s="5"/>
      <c r="ES18" s="67" t="s">
        <v>180</v>
      </c>
      <c r="EV18" s="90">
        <v>2.0000000000000001E-4</v>
      </c>
      <c r="FQ18" s="5"/>
      <c r="FV18" s="90">
        <v>44.1</v>
      </c>
      <c r="GQ18" s="5"/>
      <c r="GV18" s="90">
        <v>44.1</v>
      </c>
      <c r="HQ18" s="5"/>
      <c r="HV18" s="90">
        <v>44.1</v>
      </c>
      <c r="IQ18" s="5"/>
      <c r="IV18" s="90">
        <v>44.1</v>
      </c>
      <c r="JQ18" s="5"/>
      <c r="JV18" s="90">
        <v>44.1</v>
      </c>
      <c r="KQ18" s="5"/>
      <c r="KV18" s="90">
        <v>44.1</v>
      </c>
      <c r="LQ18" s="5"/>
      <c r="LV18" s="90">
        <v>44.1</v>
      </c>
      <c r="MQ18" s="5"/>
      <c r="MV18" s="90">
        <v>44.1</v>
      </c>
      <c r="NQ18" s="5"/>
      <c r="NV18" s="90">
        <v>44.1</v>
      </c>
      <c r="OQ18" s="5"/>
      <c r="OV18" s="90">
        <v>44.1</v>
      </c>
    </row>
    <row r="19" spans="1:412" ht="17" hidden="1" x14ac:dyDescent="0.2">
      <c r="A19" s="78"/>
      <c r="B19" s="91" t="s">
        <v>42</v>
      </c>
      <c r="C19" s="85"/>
      <c r="O19" s="16"/>
      <c r="P19" s="16"/>
      <c r="Q19" s="16"/>
      <c r="AM19" s="5"/>
      <c r="AR19" s="92">
        <v>1000</v>
      </c>
      <c r="BN19" s="5"/>
      <c r="BS19" s="92">
        <v>1000</v>
      </c>
      <c r="CO19" s="5"/>
      <c r="CT19" s="92">
        <v>1000</v>
      </c>
      <c r="DQ19" s="5"/>
      <c r="DV19" s="92">
        <v>1000</v>
      </c>
      <c r="EQ19" s="5"/>
      <c r="EV19" s="92">
        <v>1000</v>
      </c>
      <c r="FQ19" s="5"/>
      <c r="FV19" s="92">
        <v>1000</v>
      </c>
      <c r="GQ19" s="5"/>
      <c r="GV19" s="92">
        <v>1000</v>
      </c>
      <c r="HQ19" s="5"/>
      <c r="HV19" s="92">
        <v>1000</v>
      </c>
      <c r="IQ19" s="5"/>
      <c r="IV19" s="92">
        <v>1000</v>
      </c>
      <c r="JQ19" s="5"/>
      <c r="JV19" s="92">
        <v>1000</v>
      </c>
      <c r="KQ19" s="5"/>
      <c r="KV19" s="92">
        <v>1000</v>
      </c>
      <c r="LQ19" s="5"/>
      <c r="LV19" s="92">
        <v>1000</v>
      </c>
      <c r="MQ19" s="5"/>
      <c r="MV19" s="92">
        <v>1000</v>
      </c>
      <c r="NQ19" s="5"/>
      <c r="NV19" s="92">
        <v>1000</v>
      </c>
      <c r="OQ19" s="5"/>
      <c r="OV19" s="92">
        <v>1000</v>
      </c>
    </row>
    <row r="20" spans="1:412" ht="17" hidden="1" x14ac:dyDescent="0.2">
      <c r="A20" s="78"/>
      <c r="B20" s="93" t="s">
        <v>54</v>
      </c>
      <c r="C20" s="85"/>
      <c r="O20" s="16"/>
      <c r="P20" s="16"/>
      <c r="Q20" s="16"/>
      <c r="AM20" s="5"/>
      <c r="AR20" s="94">
        <v>1000</v>
      </c>
      <c r="BN20" s="5"/>
      <c r="BS20" s="94">
        <v>1000</v>
      </c>
      <c r="CO20" s="5"/>
      <c r="CT20" s="94">
        <v>1000</v>
      </c>
      <c r="DQ20" s="5"/>
      <c r="DV20" s="94">
        <v>1000</v>
      </c>
      <c r="EQ20" s="5"/>
      <c r="EV20" s="94">
        <v>1000</v>
      </c>
      <c r="FQ20" s="5"/>
      <c r="FV20" s="94">
        <v>1000</v>
      </c>
      <c r="GQ20" s="5"/>
      <c r="GV20" s="94">
        <v>1000</v>
      </c>
      <c r="HQ20" s="5"/>
      <c r="HV20" s="94">
        <v>1000</v>
      </c>
      <c r="IQ20" s="5"/>
      <c r="IV20" s="94">
        <v>1000</v>
      </c>
      <c r="JQ20" s="5"/>
      <c r="JV20" s="94">
        <v>1000</v>
      </c>
      <c r="KQ20" s="5"/>
      <c r="KV20" s="94">
        <v>1000</v>
      </c>
      <c r="LQ20" s="5"/>
      <c r="LV20" s="94">
        <v>1000</v>
      </c>
      <c r="MQ20" s="5"/>
      <c r="MV20" s="94">
        <v>1000</v>
      </c>
      <c r="NQ20" s="5"/>
      <c r="NV20" s="94">
        <v>1000</v>
      </c>
      <c r="OQ20" s="5"/>
      <c r="OV20" s="94">
        <v>1000</v>
      </c>
    </row>
    <row r="21" spans="1:412" ht="17" hidden="1" x14ac:dyDescent="0.2">
      <c r="A21" s="78"/>
      <c r="B21" s="95" t="s">
        <v>28</v>
      </c>
      <c r="C21" s="85"/>
      <c r="O21" s="16"/>
      <c r="P21" s="16"/>
      <c r="Q21" s="16"/>
      <c r="AM21" s="5"/>
      <c r="AR21" s="96">
        <v>1000</v>
      </c>
      <c r="BN21" s="5"/>
      <c r="BS21" s="96">
        <v>1000</v>
      </c>
      <c r="CO21" s="5"/>
      <c r="CT21" s="96">
        <v>1000</v>
      </c>
      <c r="DQ21" s="5"/>
      <c r="DV21" s="96">
        <v>1000</v>
      </c>
      <c r="EQ21" s="5"/>
      <c r="EV21" s="96">
        <v>1000</v>
      </c>
      <c r="FQ21" s="5"/>
      <c r="FV21" s="96">
        <v>1000</v>
      </c>
      <c r="GQ21" s="5"/>
      <c r="GV21" s="96">
        <v>1000</v>
      </c>
      <c r="HQ21" s="5"/>
      <c r="HV21" s="96">
        <v>1000</v>
      </c>
      <c r="IQ21" s="5"/>
      <c r="IV21" s="96">
        <v>1000</v>
      </c>
      <c r="JQ21" s="5"/>
      <c r="JV21" s="96">
        <v>1000</v>
      </c>
      <c r="KQ21" s="5"/>
      <c r="KV21" s="96">
        <v>1000</v>
      </c>
      <c r="LQ21" s="5"/>
      <c r="LV21" s="96">
        <v>1000</v>
      </c>
      <c r="MQ21" s="5"/>
      <c r="MV21" s="96">
        <v>1000</v>
      </c>
      <c r="NQ21" s="5"/>
      <c r="NV21" s="96">
        <v>1000</v>
      </c>
      <c r="OQ21" s="5"/>
      <c r="OV21" s="96">
        <v>1000</v>
      </c>
    </row>
    <row r="22" spans="1:412" x14ac:dyDescent="0.2">
      <c r="B22" s="47" t="s">
        <v>47</v>
      </c>
      <c r="C22" s="2"/>
    </row>
    <row r="23" spans="1:412" x14ac:dyDescent="0.2">
      <c r="A23" s="78"/>
      <c r="B23" s="78"/>
      <c r="C23" s="85"/>
    </row>
    <row r="24" spans="1:412" x14ac:dyDescent="0.2">
      <c r="A24" s="78"/>
      <c r="B24" s="78"/>
      <c r="C24" s="85"/>
    </row>
    <row r="25" spans="1:412" x14ac:dyDescent="0.2">
      <c r="A25" s="78"/>
      <c r="B25" s="78"/>
      <c r="C25" s="85"/>
    </row>
    <row r="26" spans="1:412" x14ac:dyDescent="0.2">
      <c r="A26" s="78"/>
      <c r="B26" s="78"/>
      <c r="C26" s="78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1">
      <sortCondition descending="1" ref="F1:F12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1">
    <cfRule type="expression" dxfId="119" priority="5" stopIfTrue="1">
      <formula>IF($AL4&lt;&gt;"",1,0)</formula>
    </cfRule>
  </conditionalFormatting>
  <conditionalFormatting sqref="AS4:BS11">
    <cfRule type="expression" dxfId="118" priority="10" stopIfTrue="1">
      <formula>IF($BM4&lt;&gt;"",1,0)</formula>
    </cfRule>
  </conditionalFormatting>
  <conditionalFormatting sqref="J1:J1048576 L1:L1048576 N1:N1048576">
    <cfRule type="expression" dxfId="117" priority="17">
      <formula>IF(J1=$BT$1,1,0)</formula>
    </cfRule>
    <cfRule type="expression" dxfId="116" priority="18">
      <formula>IF(J1=$AS$1,1,0)</formula>
    </cfRule>
    <cfRule type="expression" dxfId="115" priority="19">
      <formula>IF(J1=$R$1,1,0)</formula>
    </cfRule>
  </conditionalFormatting>
  <conditionalFormatting sqref="BT4:CT11">
    <cfRule type="expression" dxfId="114" priority="11" stopIfTrue="1">
      <formula>IF($CN4&lt;&gt;"",1,0)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107" priority="50850" operator="between">
      <formula>AR$17</formula>
      <formula>1000</formula>
    </cfRule>
    <cfRule type="cellIs" dxfId="106" priority="50851" operator="between">
      <formula>AR$16</formula>
      <formula>AR$17</formula>
    </cfRule>
    <cfRule type="cellIs" dxfId="105" priority="50852" operator="between">
      <formula>AR$15</formula>
      <formula>AR$16</formula>
    </cfRule>
    <cfRule type="cellIs" dxfId="104" priority="50853" operator="between">
      <formula>AR$14</formula>
      <formula>AR$15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103" priority="51030" operator="between">
      <formula>AR$21</formula>
      <formula>1000</formula>
    </cfRule>
    <cfRule type="cellIs" dxfId="102" priority="51031" operator="between">
      <formula>AR$20</formula>
      <formula>AR$21</formula>
    </cfRule>
    <cfRule type="cellIs" dxfId="101" priority="51032" operator="between">
      <formula>AR$19</formula>
      <formula>AR$20</formula>
    </cfRule>
    <cfRule type="cellIs" dxfId="100" priority="51033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9" priority="51210" operator="between">
      <formula>AR$14</formula>
      <formula>AR$15</formula>
    </cfRule>
    <cfRule type="cellIs" dxfId="98" priority="51211" operator="between">
      <formula>AR$15</formula>
      <formula>AR$16</formula>
    </cfRule>
    <cfRule type="cellIs" dxfId="97" priority="51212" operator="between">
      <formula>AR$16</formula>
      <formula>AR$17</formula>
    </cfRule>
    <cfRule type="cellIs" dxfId="96" priority="51213" operator="between">
      <formula>AR$17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5" priority="51390" operator="between">
      <formula>AR$18</formula>
      <formula>AR$19</formula>
    </cfRule>
    <cfRule type="cellIs" dxfId="94" priority="51391" operator="between">
      <formula>AR$19</formula>
      <formula>AR$20</formula>
    </cfRule>
    <cfRule type="cellIs" dxfId="93" priority="51392" operator="between">
      <formula>AR$20</formula>
      <formula>AR$21</formula>
    </cfRule>
    <cfRule type="cellIs" dxfId="92" priority="51393" operator="between">
      <formula>AR$21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5"/>
  <sheetViews>
    <sheetView workbookViewId="0">
      <pane xSplit="3" topLeftCell="BS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134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165</v>
      </c>
      <c r="CV1" s="102"/>
      <c r="CW1" s="100" t="s">
        <v>177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166</v>
      </c>
      <c r="S2" s="101"/>
      <c r="T2" s="101"/>
      <c r="U2" s="101"/>
      <c r="V2" s="101" t="s">
        <v>167</v>
      </c>
      <c r="W2" s="101"/>
      <c r="X2" s="101"/>
      <c r="Y2" s="101"/>
      <c r="Z2" s="101" t="s">
        <v>168</v>
      </c>
      <c r="AA2" s="101"/>
      <c r="AB2" s="101"/>
      <c r="AC2" s="101"/>
      <c r="AD2" s="101" t="s">
        <v>169</v>
      </c>
      <c r="AE2" s="101"/>
      <c r="AF2" s="101"/>
      <c r="AG2" s="101"/>
      <c r="AH2" s="111" t="s">
        <v>170</v>
      </c>
      <c r="AI2" s="111"/>
      <c r="AJ2" s="111"/>
      <c r="AK2" s="111"/>
      <c r="AL2" s="72"/>
      <c r="AM2" s="72" t="s">
        <v>171</v>
      </c>
      <c r="AN2" s="72" t="s">
        <v>172</v>
      </c>
      <c r="AO2" s="72" t="s">
        <v>168</v>
      </c>
      <c r="AP2" s="72" t="s">
        <v>57</v>
      </c>
      <c r="AQ2" s="72" t="s">
        <v>173</v>
      </c>
      <c r="AR2" s="72" t="s">
        <v>15</v>
      </c>
      <c r="AS2" s="103" t="s">
        <v>166</v>
      </c>
      <c r="AT2" s="103"/>
      <c r="AU2" s="103"/>
      <c r="AV2" s="103"/>
      <c r="AW2" s="103" t="s">
        <v>167</v>
      </c>
      <c r="AX2" s="103"/>
      <c r="AY2" s="103"/>
      <c r="AZ2" s="103"/>
      <c r="BA2" s="103" t="s">
        <v>168</v>
      </c>
      <c r="BB2" s="103"/>
      <c r="BC2" s="103"/>
      <c r="BD2" s="103"/>
      <c r="BE2" s="103" t="s">
        <v>169</v>
      </c>
      <c r="BF2" s="103"/>
      <c r="BG2" s="103"/>
      <c r="BH2" s="103"/>
      <c r="BI2" s="112" t="s">
        <v>170</v>
      </c>
      <c r="BJ2" s="112"/>
      <c r="BK2" s="112"/>
      <c r="BL2" s="112"/>
      <c r="BM2" s="71"/>
      <c r="BN2" s="71" t="s">
        <v>171</v>
      </c>
      <c r="BO2" s="71" t="s">
        <v>172</v>
      </c>
      <c r="BP2" s="71" t="s">
        <v>168</v>
      </c>
      <c r="BQ2" s="71" t="s">
        <v>57</v>
      </c>
      <c r="BR2" s="71" t="s">
        <v>173</v>
      </c>
      <c r="BS2" s="71" t="s">
        <v>15</v>
      </c>
      <c r="BT2" s="101" t="s">
        <v>166</v>
      </c>
      <c r="BU2" s="101"/>
      <c r="BV2" s="101"/>
      <c r="BW2" s="101"/>
      <c r="BX2" s="101" t="s">
        <v>167</v>
      </c>
      <c r="BY2" s="101"/>
      <c r="BZ2" s="101"/>
      <c r="CA2" s="101"/>
      <c r="CB2" s="101" t="s">
        <v>168</v>
      </c>
      <c r="CC2" s="101"/>
      <c r="CD2" s="101"/>
      <c r="CE2" s="101"/>
      <c r="CF2" s="101" t="s">
        <v>169</v>
      </c>
      <c r="CG2" s="101"/>
      <c r="CH2" s="101"/>
      <c r="CI2" s="101"/>
      <c r="CJ2" s="111" t="s">
        <v>170</v>
      </c>
      <c r="CK2" s="111"/>
      <c r="CL2" s="111"/>
      <c r="CM2" s="111"/>
      <c r="CN2" s="72"/>
      <c r="CO2" s="72" t="s">
        <v>171</v>
      </c>
      <c r="CP2" s="72" t="s">
        <v>172</v>
      </c>
      <c r="CQ2" s="72" t="s">
        <v>168</v>
      </c>
      <c r="CR2" s="72" t="s">
        <v>57</v>
      </c>
      <c r="CS2" s="72" t="s">
        <v>173</v>
      </c>
      <c r="CT2" s="72" t="s">
        <v>15</v>
      </c>
      <c r="CU2" s="77" t="s">
        <v>172</v>
      </c>
      <c r="CV2" s="77" t="s">
        <v>20</v>
      </c>
      <c r="CW2" s="101" t="s">
        <v>166</v>
      </c>
      <c r="CX2" s="101"/>
      <c r="CY2" s="101"/>
      <c r="CZ2" s="101"/>
      <c r="DA2" s="101" t="s">
        <v>167</v>
      </c>
      <c r="DB2" s="101"/>
      <c r="DC2" s="101"/>
      <c r="DD2" s="101"/>
      <c r="DE2" s="101" t="s">
        <v>168</v>
      </c>
      <c r="DF2" s="101"/>
      <c r="DG2" s="101"/>
      <c r="DH2" s="101"/>
      <c r="DI2" s="101" t="s">
        <v>169</v>
      </c>
      <c r="DJ2" s="101"/>
      <c r="DK2" s="101"/>
      <c r="DL2" s="101"/>
      <c r="DM2" s="110" t="s">
        <v>170</v>
      </c>
      <c r="DN2" s="110"/>
      <c r="DO2" s="110"/>
      <c r="DP2" s="110"/>
      <c r="DQ2" s="72" t="s">
        <v>171</v>
      </c>
      <c r="DR2" s="72" t="s">
        <v>172</v>
      </c>
      <c r="DS2" s="72" t="s">
        <v>168</v>
      </c>
      <c r="DT2" s="72" t="s">
        <v>57</v>
      </c>
      <c r="DU2" s="72" t="s">
        <v>173</v>
      </c>
      <c r="DV2" s="72" t="s">
        <v>15</v>
      </c>
      <c r="DW2" s="103" t="s">
        <v>166</v>
      </c>
      <c r="DX2" s="103"/>
      <c r="DY2" s="103"/>
      <c r="DZ2" s="103"/>
      <c r="EA2" s="103" t="s">
        <v>167</v>
      </c>
      <c r="EB2" s="103"/>
      <c r="EC2" s="103"/>
      <c r="ED2" s="103"/>
      <c r="EE2" s="103" t="s">
        <v>168</v>
      </c>
      <c r="EF2" s="103"/>
      <c r="EG2" s="103"/>
      <c r="EH2" s="103"/>
      <c r="EI2" s="103" t="s">
        <v>169</v>
      </c>
      <c r="EJ2" s="103"/>
      <c r="EK2" s="103"/>
      <c r="EL2" s="103"/>
      <c r="EM2" s="112" t="s">
        <v>170</v>
      </c>
      <c r="EN2" s="112"/>
      <c r="EO2" s="112"/>
      <c r="EP2" s="112"/>
      <c r="EQ2" s="71" t="s">
        <v>171</v>
      </c>
      <c r="ER2" s="71" t="s">
        <v>172</v>
      </c>
      <c r="ES2" s="71" t="s">
        <v>168</v>
      </c>
      <c r="ET2" s="71" t="s">
        <v>57</v>
      </c>
      <c r="EU2" s="71" t="s">
        <v>173</v>
      </c>
      <c r="EV2" s="71" t="s">
        <v>15</v>
      </c>
      <c r="EW2" s="101" t="s">
        <v>166</v>
      </c>
      <c r="EX2" s="101"/>
      <c r="EY2" s="101"/>
      <c r="EZ2" s="101"/>
      <c r="FA2" s="101" t="s">
        <v>167</v>
      </c>
      <c r="FB2" s="101"/>
      <c r="FC2" s="101"/>
      <c r="FD2" s="101"/>
      <c r="FE2" s="101" t="s">
        <v>168</v>
      </c>
      <c r="FF2" s="101"/>
      <c r="FG2" s="101"/>
      <c r="FH2" s="101"/>
      <c r="FI2" s="101" t="s">
        <v>169</v>
      </c>
      <c r="FJ2" s="101"/>
      <c r="FK2" s="101"/>
      <c r="FL2" s="101"/>
      <c r="FM2" s="110" t="s">
        <v>170</v>
      </c>
      <c r="FN2" s="110"/>
      <c r="FO2" s="110"/>
      <c r="FP2" s="110"/>
      <c r="FQ2" s="72" t="s">
        <v>171</v>
      </c>
      <c r="FR2" s="72" t="s">
        <v>172</v>
      </c>
      <c r="FS2" s="72" t="s">
        <v>168</v>
      </c>
      <c r="FT2" s="72" t="s">
        <v>57</v>
      </c>
      <c r="FU2" s="72" t="s">
        <v>173</v>
      </c>
      <c r="FV2" s="72" t="s">
        <v>15</v>
      </c>
      <c r="FW2" s="103" t="s">
        <v>166</v>
      </c>
      <c r="FX2" s="103"/>
      <c r="FY2" s="103"/>
      <c r="FZ2" s="103"/>
      <c r="GA2" s="103" t="s">
        <v>167</v>
      </c>
      <c r="GB2" s="103"/>
      <c r="GC2" s="103"/>
      <c r="GD2" s="103"/>
      <c r="GE2" s="103" t="s">
        <v>168</v>
      </c>
      <c r="GF2" s="103"/>
      <c r="GG2" s="103"/>
      <c r="GH2" s="103"/>
      <c r="GI2" s="103" t="s">
        <v>169</v>
      </c>
      <c r="GJ2" s="103"/>
      <c r="GK2" s="103"/>
      <c r="GL2" s="103"/>
      <c r="GM2" s="112" t="s">
        <v>170</v>
      </c>
      <c r="GN2" s="112"/>
      <c r="GO2" s="112"/>
      <c r="GP2" s="112"/>
      <c r="GQ2" s="71" t="s">
        <v>171</v>
      </c>
      <c r="GR2" s="71" t="s">
        <v>172</v>
      </c>
      <c r="GS2" s="71" t="s">
        <v>168</v>
      </c>
      <c r="GT2" s="71" t="s">
        <v>57</v>
      </c>
      <c r="GU2" s="71" t="s">
        <v>173</v>
      </c>
      <c r="GV2" s="71" t="s">
        <v>15</v>
      </c>
      <c r="GW2" s="101" t="s">
        <v>166</v>
      </c>
      <c r="GX2" s="101"/>
      <c r="GY2" s="101"/>
      <c r="GZ2" s="101"/>
      <c r="HA2" s="101" t="s">
        <v>167</v>
      </c>
      <c r="HB2" s="101"/>
      <c r="HC2" s="101"/>
      <c r="HD2" s="101"/>
      <c r="HE2" s="101" t="s">
        <v>168</v>
      </c>
      <c r="HF2" s="101"/>
      <c r="HG2" s="101"/>
      <c r="HH2" s="101"/>
      <c r="HI2" s="101" t="s">
        <v>169</v>
      </c>
      <c r="HJ2" s="101"/>
      <c r="HK2" s="101"/>
      <c r="HL2" s="101"/>
      <c r="HM2" s="110" t="s">
        <v>170</v>
      </c>
      <c r="HN2" s="110"/>
      <c r="HO2" s="110"/>
      <c r="HP2" s="110"/>
      <c r="HQ2" s="72" t="s">
        <v>171</v>
      </c>
      <c r="HR2" s="72" t="s">
        <v>172</v>
      </c>
      <c r="HS2" s="72" t="s">
        <v>168</v>
      </c>
      <c r="HT2" s="72" t="s">
        <v>57</v>
      </c>
      <c r="HU2" s="72" t="s">
        <v>173</v>
      </c>
      <c r="HV2" s="72" t="s">
        <v>15</v>
      </c>
      <c r="HW2" s="103" t="s">
        <v>166</v>
      </c>
      <c r="HX2" s="103"/>
      <c r="HY2" s="103"/>
      <c r="HZ2" s="103"/>
      <c r="IA2" s="103" t="s">
        <v>167</v>
      </c>
      <c r="IB2" s="103"/>
      <c r="IC2" s="103"/>
      <c r="ID2" s="103"/>
      <c r="IE2" s="103" t="s">
        <v>168</v>
      </c>
      <c r="IF2" s="103"/>
      <c r="IG2" s="103"/>
      <c r="IH2" s="103"/>
      <c r="II2" s="103" t="s">
        <v>169</v>
      </c>
      <c r="IJ2" s="103"/>
      <c r="IK2" s="103"/>
      <c r="IL2" s="103"/>
      <c r="IM2" s="112" t="s">
        <v>170</v>
      </c>
      <c r="IN2" s="112"/>
      <c r="IO2" s="112"/>
      <c r="IP2" s="112"/>
      <c r="IQ2" s="71" t="s">
        <v>171</v>
      </c>
      <c r="IR2" s="71" t="s">
        <v>172</v>
      </c>
      <c r="IS2" s="71" t="s">
        <v>168</v>
      </c>
      <c r="IT2" s="71" t="s">
        <v>57</v>
      </c>
      <c r="IU2" s="71" t="s">
        <v>173</v>
      </c>
      <c r="IV2" s="71" t="s">
        <v>15</v>
      </c>
      <c r="IW2" s="101" t="s">
        <v>166</v>
      </c>
      <c r="IX2" s="101"/>
      <c r="IY2" s="101"/>
      <c r="IZ2" s="101"/>
      <c r="JA2" s="101" t="s">
        <v>167</v>
      </c>
      <c r="JB2" s="101"/>
      <c r="JC2" s="101"/>
      <c r="JD2" s="101"/>
      <c r="JE2" s="101" t="s">
        <v>168</v>
      </c>
      <c r="JF2" s="101"/>
      <c r="JG2" s="101"/>
      <c r="JH2" s="101"/>
      <c r="JI2" s="101" t="s">
        <v>169</v>
      </c>
      <c r="JJ2" s="101"/>
      <c r="JK2" s="101"/>
      <c r="JL2" s="101"/>
      <c r="JM2" s="110" t="s">
        <v>170</v>
      </c>
      <c r="JN2" s="110"/>
      <c r="JO2" s="110"/>
      <c r="JP2" s="110"/>
      <c r="JQ2" s="72" t="s">
        <v>171</v>
      </c>
      <c r="JR2" s="72" t="s">
        <v>172</v>
      </c>
      <c r="JS2" s="72" t="s">
        <v>168</v>
      </c>
      <c r="JT2" s="72" t="s">
        <v>57</v>
      </c>
      <c r="JU2" s="72" t="s">
        <v>173</v>
      </c>
      <c r="JV2" s="72" t="s">
        <v>15</v>
      </c>
      <c r="JW2" s="103" t="s">
        <v>166</v>
      </c>
      <c r="JX2" s="103"/>
      <c r="JY2" s="103"/>
      <c r="JZ2" s="103"/>
      <c r="KA2" s="103" t="s">
        <v>167</v>
      </c>
      <c r="KB2" s="103"/>
      <c r="KC2" s="103"/>
      <c r="KD2" s="103"/>
      <c r="KE2" s="103" t="s">
        <v>168</v>
      </c>
      <c r="KF2" s="103"/>
      <c r="KG2" s="103"/>
      <c r="KH2" s="103"/>
      <c r="KI2" s="103" t="s">
        <v>169</v>
      </c>
      <c r="KJ2" s="103"/>
      <c r="KK2" s="103"/>
      <c r="KL2" s="103"/>
      <c r="KM2" s="112" t="s">
        <v>170</v>
      </c>
      <c r="KN2" s="112"/>
      <c r="KO2" s="112"/>
      <c r="KP2" s="112"/>
      <c r="KQ2" s="71" t="s">
        <v>171</v>
      </c>
      <c r="KR2" s="71" t="s">
        <v>172</v>
      </c>
      <c r="KS2" s="71" t="s">
        <v>168</v>
      </c>
      <c r="KT2" s="71" t="s">
        <v>57</v>
      </c>
      <c r="KU2" s="71" t="s">
        <v>173</v>
      </c>
      <c r="KV2" s="71" t="s">
        <v>15</v>
      </c>
      <c r="KW2" s="101" t="s">
        <v>166</v>
      </c>
      <c r="KX2" s="101"/>
      <c r="KY2" s="101"/>
      <c r="KZ2" s="101"/>
      <c r="LA2" s="101" t="s">
        <v>167</v>
      </c>
      <c r="LB2" s="101"/>
      <c r="LC2" s="101"/>
      <c r="LD2" s="101"/>
      <c r="LE2" s="101" t="s">
        <v>168</v>
      </c>
      <c r="LF2" s="101"/>
      <c r="LG2" s="101"/>
      <c r="LH2" s="101"/>
      <c r="LI2" s="101" t="s">
        <v>169</v>
      </c>
      <c r="LJ2" s="101"/>
      <c r="LK2" s="101"/>
      <c r="LL2" s="101"/>
      <c r="LM2" s="110" t="s">
        <v>170</v>
      </c>
      <c r="LN2" s="110"/>
      <c r="LO2" s="110"/>
      <c r="LP2" s="110"/>
      <c r="LQ2" s="72" t="s">
        <v>171</v>
      </c>
      <c r="LR2" s="72" t="s">
        <v>172</v>
      </c>
      <c r="LS2" s="72" t="s">
        <v>168</v>
      </c>
      <c r="LT2" s="72" t="s">
        <v>57</v>
      </c>
      <c r="LU2" s="72" t="s">
        <v>173</v>
      </c>
      <c r="LV2" s="72" t="s">
        <v>15</v>
      </c>
      <c r="LW2" s="103" t="s">
        <v>166</v>
      </c>
      <c r="LX2" s="103"/>
      <c r="LY2" s="103"/>
      <c r="LZ2" s="103"/>
      <c r="MA2" s="103" t="s">
        <v>167</v>
      </c>
      <c r="MB2" s="103"/>
      <c r="MC2" s="103"/>
      <c r="MD2" s="103"/>
      <c r="ME2" s="103" t="s">
        <v>168</v>
      </c>
      <c r="MF2" s="103"/>
      <c r="MG2" s="103"/>
      <c r="MH2" s="103"/>
      <c r="MI2" s="103" t="s">
        <v>169</v>
      </c>
      <c r="MJ2" s="103"/>
      <c r="MK2" s="103"/>
      <c r="ML2" s="103"/>
      <c r="MM2" s="112" t="s">
        <v>170</v>
      </c>
      <c r="MN2" s="112"/>
      <c r="MO2" s="112"/>
      <c r="MP2" s="112"/>
      <c r="MQ2" s="71" t="s">
        <v>171</v>
      </c>
      <c r="MR2" s="71" t="s">
        <v>172</v>
      </c>
      <c r="MS2" s="71" t="s">
        <v>168</v>
      </c>
      <c r="MT2" s="71" t="s">
        <v>57</v>
      </c>
      <c r="MU2" s="71" t="s">
        <v>173</v>
      </c>
      <c r="MV2" s="71" t="s">
        <v>15</v>
      </c>
      <c r="MW2" s="101" t="s">
        <v>166</v>
      </c>
      <c r="MX2" s="101"/>
      <c r="MY2" s="101"/>
      <c r="MZ2" s="101"/>
      <c r="NA2" s="101" t="s">
        <v>167</v>
      </c>
      <c r="NB2" s="101"/>
      <c r="NC2" s="101"/>
      <c r="ND2" s="101"/>
      <c r="NE2" s="101" t="s">
        <v>168</v>
      </c>
      <c r="NF2" s="101"/>
      <c r="NG2" s="101"/>
      <c r="NH2" s="101"/>
      <c r="NI2" s="101" t="s">
        <v>169</v>
      </c>
      <c r="NJ2" s="101"/>
      <c r="NK2" s="101"/>
      <c r="NL2" s="101"/>
      <c r="NM2" s="110" t="s">
        <v>170</v>
      </c>
      <c r="NN2" s="110"/>
      <c r="NO2" s="110"/>
      <c r="NP2" s="110"/>
      <c r="NQ2" s="72" t="s">
        <v>171</v>
      </c>
      <c r="NR2" s="72" t="s">
        <v>172</v>
      </c>
      <c r="NS2" s="72" t="s">
        <v>168</v>
      </c>
      <c r="NT2" s="72" t="s">
        <v>57</v>
      </c>
      <c r="NU2" s="72" t="s">
        <v>173</v>
      </c>
      <c r="NV2" s="72" t="s">
        <v>15</v>
      </c>
      <c r="NW2" s="103" t="s">
        <v>166</v>
      </c>
      <c r="NX2" s="103"/>
      <c r="NY2" s="103"/>
      <c r="NZ2" s="103"/>
      <c r="OA2" s="103" t="s">
        <v>167</v>
      </c>
      <c r="OB2" s="103"/>
      <c r="OC2" s="103"/>
      <c r="OD2" s="103"/>
      <c r="OE2" s="103" t="s">
        <v>168</v>
      </c>
      <c r="OF2" s="103"/>
      <c r="OG2" s="103"/>
      <c r="OH2" s="103"/>
      <c r="OI2" s="103" t="s">
        <v>169</v>
      </c>
      <c r="OJ2" s="103"/>
      <c r="OK2" s="103"/>
      <c r="OL2" s="103"/>
      <c r="OM2" s="112" t="s">
        <v>170</v>
      </c>
      <c r="ON2" s="112"/>
      <c r="OO2" s="112"/>
      <c r="OP2" s="112"/>
      <c r="OQ2" s="71" t="s">
        <v>171</v>
      </c>
      <c r="OR2" s="71" t="s">
        <v>172</v>
      </c>
      <c r="OS2" s="71" t="s">
        <v>168</v>
      </c>
      <c r="OT2" s="71" t="s">
        <v>57</v>
      </c>
      <c r="OU2" s="71" t="s">
        <v>173</v>
      </c>
      <c r="OV2" s="71" t="s">
        <v>15</v>
      </c>
      <c r="OW2" s="101" t="s">
        <v>166</v>
      </c>
      <c r="OX2" s="101"/>
      <c r="OY2" s="101"/>
      <c r="OZ2" s="101"/>
      <c r="PA2" s="101" t="s">
        <v>167</v>
      </c>
      <c r="PB2" s="101"/>
      <c r="PC2" s="101"/>
      <c r="PD2" s="101"/>
      <c r="PE2" s="101" t="s">
        <v>168</v>
      </c>
      <c r="PF2" s="101"/>
      <c r="PG2" s="101"/>
      <c r="PH2" s="101"/>
      <c r="PI2" s="101" t="s">
        <v>169</v>
      </c>
      <c r="PJ2" s="101"/>
      <c r="PK2" s="101"/>
      <c r="PL2" s="101"/>
      <c r="PM2" s="111" t="s">
        <v>170</v>
      </c>
      <c r="PN2" s="111"/>
      <c r="PO2" s="111"/>
      <c r="PP2" s="111"/>
      <c r="PQ2" s="72"/>
      <c r="PR2" s="72" t="s">
        <v>171</v>
      </c>
      <c r="PS2" s="72" t="s">
        <v>172</v>
      </c>
      <c r="PT2" s="72" t="s">
        <v>168</v>
      </c>
      <c r="PU2" s="72" t="s">
        <v>57</v>
      </c>
      <c r="PV2" s="72" t="s">
        <v>173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>
        <f t="shared" ref="A4:A20" si="0">IF(AND(F4="P",G4="P"),SUMPRODUCT((F$4:F$21="P")*(G$4:G$21="P")*(E$4:E$21&gt;E4))+1,IF(G4="P",SUMPRODUCT((F$4:F$21="")*(G$4:G$21="P")*(E$4:E$21&gt;E4))+1+SUMPRODUCT((F$4:F$21="P")*(G$4:G$21="P")),""))</f>
        <v>1</v>
      </c>
      <c r="B4" s="78" t="s">
        <v>118</v>
      </c>
      <c r="C4" s="5" t="s">
        <v>3</v>
      </c>
      <c r="D4" s="5">
        <v>2004</v>
      </c>
      <c r="E4" s="15">
        <f t="shared" ref="E4:E20" si="1">SUM(I4:O4)+SUM(I4:M4)*0.0000001+SUM(I4)*0.0000000000001</f>
        <v>131.34000879402544</v>
      </c>
      <c r="F4" s="3" t="str">
        <f t="shared" ref="F4:F20" si="2">IF(OR(AND(AM4&gt;=AR$23,AN4&gt;=AR$27,AM4&lt;&gt;"",AL4=""),AND(AP4&gt;=AR$23,AQ4&gt;=AR$27,AP4&lt;&gt;"",AL4=""),AND(BN4&gt;=BS$23,BO4&gt;=BS$27,BN4&lt;&gt;"",BM4=""),AND(BQ4&gt;=BS$23,BR4&gt;=BS$27,BQ4&lt;&gt;"",BM4=""),AND(CO4&gt;=CT$23,CP4&gt;=CT$27,CO4&lt;&gt;"",CN4=""),AND(CR4&gt;=CT$23,CS4&gt;=CT$27,CR4&lt;&gt;""),AND(DQ4&gt;=DV$23,DR4&gt;=DV$27,DQ4&lt;&gt;""),AND(DT4&gt;=DV$23,DU4&gt;=DV$27,DT4&lt;&gt;""),AND(EQ4&gt;=EV$23,ER4&gt;=EV$27,EQ4&lt;&gt;""),AND(ET4&gt;=EV$23,EU4&gt;=EV$27,ET4&lt;&gt;""),AND(FQ4&gt;=FV$23,FR4&gt;=FV$27,FQ4&lt;&gt;""),AND(FT4&gt;=FV$23,FU4&gt;=FV$27,FT4&lt;&gt;""),AND(GQ4&gt;=GV$23,GR4&gt;=GV$27,GQ4&lt;&gt;""),AND(GT4&gt;=GV$23,GU4&gt;=GV$27,GT4&lt;&gt;""),AND(HQ4&gt;=HV$23,HR4&gt;=HV$27,HQ4&lt;&gt;""),AND(HT4&gt;=HV$23,HU4&gt;=HV$27,HT4&lt;&gt;""),AND(IQ4&gt;=IV$23,IR4&gt;=IV$27,IQ4&lt;&gt;""),AND(IT4&gt;=IV$23,IU4&gt;=IV$27,IT4&lt;&gt;""),AND(JQ4&gt;=JV$23,JR4&gt;=JV$27,JQ4&lt;&gt;""),AND(JT4&gt;=JV$23,JU4&gt;=JV$27,JT4&lt;&gt;""),AND(KQ4&gt;=KV$23,KR4&gt;=KV$27,KQ4&lt;&gt;""),AND(KT4&gt;=KV$23,KU4&gt;=KV$27,KT4&lt;&gt;""),AND(LQ4&gt;=LV$23,LR4&gt;=LV$27,LQ4&lt;&gt;""),AND(LT4&gt;=LV$23,LU4&gt;=LV$27,LT4&lt;&gt;""),AND(MQ4&gt;=MV$23,MR4&gt;=MV$27,MQ4&lt;&gt;""),AND(MT4&gt;=MV$23,MU4&gt;=MV$27,MT4&lt;&gt;""),AND(NQ4&gt;=NV$23,NR4&gt;=NV$27,NQ4&lt;&gt;""),AND(NT4&gt;=NV$23,NU4&gt;=NV$27,NT4&lt;&gt;""),AND(OQ4&gt;=OV$23,OR4&gt;=OV$27,OQ4&lt;&gt;""),AND(OT4&gt;=OV$23,OU4&gt;=OV$27,OT4&lt;&gt;"")),"P","")</f>
        <v>P</v>
      </c>
      <c r="G4" s="3" t="str">
        <f t="shared" ref="G4:G20" si="3">IF(OR(AND(AN4&gt;=AR$27,AN4&lt;&gt;"",AL4=""),AND(AQ4&gt;=AR$27,AQ4&lt;&gt;"",AL4=""),AND(BO4&gt;=BS$27,BO4&lt;&gt;"",BM4=""),AND(BR4&gt;=BS$27,BR4&lt;&gt;"",BM4=""),AND(CP4&gt;=CT$27,CP4&lt;&gt;"",CN4=""),AND(CS4&gt;=CT$27,CS4&lt;&gt;"",CN4=""),AND(DR4&gt;=DV$27,DR4&lt;&gt;""),AND(DU4&gt;=DV$27,DU4&lt;&gt;""),AND(ER4&gt;=EV$27,ER4&lt;&gt;""),AND(EU4&gt;=EV$27,EU4&lt;&gt;""),AND(FR4&gt;=FV$27,FR4&lt;&gt;""),AND(FU4&gt;=FV$27,FU4&lt;&gt;""),AND(GR4&gt;=GV$27,GR4&lt;&gt;""),AND(GU4&gt;=GV$27,GU4&lt;&gt;""),AND(HR4&gt;=HV$27,HR4&lt;&gt;""),AND(HU4&gt;=HV$27,HU4&lt;&gt;""),AND(IR4&gt;=IV$27,IR4&lt;&gt;""),AND(IU4&gt;=IV$27,IU4&lt;&gt;""),AND(JR4&gt;=JV$27,JR4&lt;&gt;""),AND(JU4&gt;=JV$27,JU4&lt;&gt;""),AND(KR4&gt;=KV$27,KR4&lt;&gt;""),AND(KU4&gt;=KV$27,KU4&lt;&gt;""),AND(LR4&gt;=LV$27,LR4&lt;&gt;""),AND(LU4&gt;=LV$27,LU4&lt;&gt;""),AND(MR4&gt;=MV$27,MR4&lt;&gt;""),AND(MU4&gt;=MV$27,MU4&lt;&gt;""),AND(NR4&gt;=NV$27,NR4&lt;&gt;""),AND(NU4&gt;=NV$27,NU4&lt;&gt;""),AND(OR4&gt;=OV$27,OR4&lt;&gt;""),AND(OU4&gt;=OV$27,OU4&lt;&gt;"")),"P","")</f>
        <v>P</v>
      </c>
      <c r="H4" s="67" t="str">
        <f t="shared" ref="H4:H20" si="4">IF(AND(G4="P",F4=""),"No DD",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Merit",IF(OR(AND(AM4&gt;=AR$25,AN4&gt;=AR$29,AM4&lt;&gt;"",AL4=""),AND(AP4&gt;=AR$25,AQ4&gt;=AR$29,AP4&lt;&gt;"",AL4=""),AND(BN4&gt;=BS$25,BO4&gt;=BS$29,BN4&lt;&gt;"",BM4=""),AND(BQ4&gt;=BS$25,BR4&gt;=BS$29,BQ4&lt;&gt;"",BM4=""),AND(CO4&gt;=CT$25,CP4&gt;=CT$29,CO4&lt;&gt;"",CN4=""),AND(CR4&gt;=CT$25,CS4&gt;=CT$29,CR4&lt;&gt;""),AND(DQ4&gt;=DV$25,DR4&gt;=DV$29,DQ4&lt;&gt;""),AND(DT4&gt;=DV$25,DU4&gt;=DV$29,DT4&lt;&gt;""),AND(EQ4&gt;=EV$25,ER4&gt;=EV$29,EQ4&lt;&gt;""),AND(ET4&gt;=EV$25,EU4&gt;=EV$29,ET4&lt;&gt;""),AND(FQ4&gt;=FV$25,FR4&gt;=FV$29,FQ4&lt;&gt;""),AND(FT4&gt;=FV$25,FU4&gt;=FV$29,FT4&lt;&gt;""),AND(GQ4&gt;=GV$25,GR4&gt;=GV$29,GQ4&lt;&gt;""),AND(GT4&gt;=GV$25,GU4&gt;=GV$29,GT4&lt;&gt;""),AND(HQ4&gt;=HV$25,HR4&gt;=HV$29,HQ4&lt;&gt;""),AND(HT4&gt;=HV$25,HU4&gt;=HV$29,HT4&lt;&gt;""),AND(IQ4&gt;=IV$25,IR4&gt;=IV$29,IQ4&lt;&gt;""),AND(IT4&gt;=IV$25,IU4&gt;=IV$29,IT4&lt;&gt;""),AND(JQ4&gt;=JV$25,JR4&gt;=JV$29,JQ4&lt;&gt;""),AND(JT4&gt;=JV$25,JU4&gt;=JV$29,JT4&lt;&gt;""),AND(KQ4&gt;=KV$25,KR4&gt;=KV$29,KQ4&lt;&gt;""),AND(KT4&gt;=KV$25,KU4&gt;=KV$29,KT4&lt;&gt;""),AND(LQ4&gt;=LV$25,LR4&gt;=LV$29,LQ4&lt;&gt;""),AND(LT4&gt;=LV$25,LU4&gt;=LV$29,LT4&lt;&gt;""),AND(MQ4&gt;=MV$25,MR4&gt;=MV$29,MQ4&lt;&gt;""),AND(MT4&gt;=MV$25,MU4&gt;=MV$29,MT4&lt;&gt;""),AND(NQ4&gt;=NV$25,NR4&gt;=NV$29,NQ4&lt;&gt;""),AND(NT4&gt;=NV$25,NU4&gt;=NV$29,NT4&lt;&gt;""),AND(OQ4&gt;=OV$25,OR4&gt;=OV$29,OQ4&lt;&gt;""),AND(OT4&gt;=OV$25,OU4&gt;=OV$29,OT4&lt;&gt;"")),"Excellence",IF(F4="P","National Team",""))))</f>
        <v>National Team</v>
      </c>
      <c r="I4" s="14">
        <f>IF(COUNT(AN4,BO4,CP4)&gt;0,LARGE((AN4,BO4,CP4),1),0)</f>
        <v>44.2</v>
      </c>
      <c r="J4" s="14" t="str">
        <f t="shared" ref="J4:J20" si="5">IF(I4=0,"",IF(I4=CP4,$BT$1,IF(I4=BO4,$AS$1,IF(I4=AN4,$R$1,""))))</f>
        <v>2022 Elite Canada</v>
      </c>
      <c r="K4" s="14">
        <f>IF(COUNT(AN4,BO4,CP4)&gt;1,LARGE((AN4,BO4,CP4),2),0)</f>
        <v>2.1000000000000001E-4</v>
      </c>
      <c r="L4" s="14" t="str">
        <f t="shared" ref="L4:L20" si="6">IF(K4=0,"",IF(K4=CP4,$BT$1,IF(K4=BO4,$AS$1,IF(K4=AN4,$R$1,""))))</f>
        <v>2021 Canadian Championships</v>
      </c>
      <c r="M4" s="14">
        <f t="shared" ref="M4:M20" si="7">IF(MAX(AQ4,BR4,CS4)&gt;0,MAX(AQ4,BR4,CS4),0)</f>
        <v>43.739999999999995</v>
      </c>
      <c r="N4" s="14" t="str">
        <f t="shared" ref="N4:N20" si="8">IF(M4=0,"",IF(M4=CS4,$BT$1,IF(M4=BR4,$AS$1,IF(M4=AQ4,$R$1,""))))</f>
        <v>2022 Elite Canada</v>
      </c>
      <c r="O4" s="14">
        <f t="shared" ref="O4:O20" si="9">IF(MAX(CU4:CV4)&gt;0,MAX(CU4:CV4),"")</f>
        <v>43.399789999999996</v>
      </c>
      <c r="P4" s="20" t="str">
        <f t="shared" ref="P4:P20" si="10">IF(O4="","",IF(O4=CU4,"("&amp;CU$2&amp;")",IF(O4=CV4,"("&amp;CV$2&amp;")")))</f>
        <v>(Q1)</v>
      </c>
      <c r="Q4" s="14" t="str">
        <f t="shared" ref="Q4:Q20" si="11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 t="shared" ref="AM4:AM20" si="12">IF(SUM(S4,W4)&gt;0,SUM(S4,W4),"")</f>
        <v/>
      </c>
      <c r="AN4" s="79" t="str">
        <f t="shared" ref="AN4:AN20" si="13">IF(SUM(R4:S4,U4:W4,Y4)-T4-X4&gt;0,SUM(R4:S4,U4:W4,Y4)-T4-X4,"")</f>
        <v/>
      </c>
      <c r="AO4" s="79" t="str">
        <f t="shared" ref="AO4:AO20" si="14">IF(SUM(Z4:AA4,AC4)-AB4&gt;0,SUM(Z4:AA4,AC4)-AB4,"")</f>
        <v/>
      </c>
      <c r="AP4" s="79" t="str">
        <f t="shared" ref="AP4:AP20" si="15">IF(SUM(AE4,AI4)&gt;0,SUM(AE4,AI4),"")</f>
        <v/>
      </c>
      <c r="AQ4" s="79" t="str">
        <f t="shared" ref="AQ4:AQ20" si="16">IF(SUM(AD4:AE4,AG4:AI4,AK4)-SUM(AF4,AJ4)&gt;0,SUM(AD4:AE4,AG4:AI4,AK4)-SUM(AF4,AJ4),"")</f>
        <v/>
      </c>
      <c r="AR4" s="79" t="str">
        <f t="shared" ref="AR4:AR20" si="17">IF(SUM(AN4,AQ4)&gt;0,SUM(AN4,AQ4),"")</f>
        <v/>
      </c>
      <c r="AS4" s="26">
        <v>1.1E-4</v>
      </c>
      <c r="AT4" s="26">
        <v>1E-4</v>
      </c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>
        <f t="shared" ref="BN4:BN20" si="18">IF(SUM(AT4,AX4)&gt;0,SUM(AT4,AX4),"")</f>
        <v>1E-4</v>
      </c>
      <c r="BO4" s="20">
        <f t="shared" ref="BO4:BO20" si="19">IF(SUM(AS4:AT4,AV4:AX4,AZ4)-AU4-AY4&gt;0,SUM(AS4:AT4,AV4:AX4,AZ4)-AU4-AY4,"")</f>
        <v>2.1000000000000001E-4</v>
      </c>
      <c r="BP4" s="20" t="str">
        <f t="shared" ref="BP4:BP20" si="20">IF(SUM(BA4:BB4,BD4)-BC4&gt;0,SUM(BA4:BB4,BD4)-BC4,"")</f>
        <v/>
      </c>
      <c r="BQ4" s="20" t="str">
        <f t="shared" ref="BQ4:BQ20" si="21">IF(SUM(BF4,BJ4)&gt;0,SUM(BF4,BJ4),"")</f>
        <v/>
      </c>
      <c r="BR4" s="20" t="str">
        <f t="shared" ref="BR4:BR20" si="22">IF(SUM(BE4:BF4,BH4:BJ4,BL4)-SUM(BG4,BK4)&gt;0,SUM(BE4:BF4,BH4:BJ4,BL4)-SUM(BG4,BK4),"")</f>
        <v/>
      </c>
      <c r="BS4" s="20">
        <f t="shared" ref="BS4:BS20" si="23">IF(SUM(BO4,BR4)&gt;0,SUM(BO4,BR4),"")</f>
        <v>2.1000000000000001E-4</v>
      </c>
      <c r="BT4" s="27">
        <v>18.2</v>
      </c>
      <c r="BU4" s="27">
        <v>3.6</v>
      </c>
      <c r="BV4" s="27">
        <v>0</v>
      </c>
      <c r="BW4" s="27">
        <v>0</v>
      </c>
      <c r="BX4" s="27">
        <v>17.600000000000001</v>
      </c>
      <c r="BY4" s="27">
        <v>4.5</v>
      </c>
      <c r="BZ4" s="27">
        <v>0</v>
      </c>
      <c r="CA4" s="27">
        <v>0.3</v>
      </c>
      <c r="CB4" s="27"/>
      <c r="CC4" s="27"/>
      <c r="CD4" s="27"/>
      <c r="CE4" s="27"/>
      <c r="CF4" s="27">
        <v>17.940000000000001</v>
      </c>
      <c r="CG4" s="27">
        <v>3.6</v>
      </c>
      <c r="CH4" s="27">
        <v>0</v>
      </c>
      <c r="CI4" s="27">
        <v>0</v>
      </c>
      <c r="CJ4" s="27">
        <v>17.399999999999999</v>
      </c>
      <c r="CK4" s="27">
        <v>4.5</v>
      </c>
      <c r="CL4" s="27">
        <v>0</v>
      </c>
      <c r="CM4" s="27">
        <v>0.3</v>
      </c>
      <c r="CN4" s="45"/>
      <c r="CO4" s="79">
        <f t="shared" ref="CO4:CO20" si="24">IF(SUM(BU4,BY4)&gt;0,SUM(BU4,BY4),"")</f>
        <v>8.1</v>
      </c>
      <c r="CP4" s="79">
        <f t="shared" ref="CP4:CP20" si="25">IF(SUM(BT4:BU4,BW4:BY4,CA4)-BV4-BZ4&gt;0,SUM(BT4:BU4,BW4:BY4,CA4)-BV4-BZ4,"")</f>
        <v>44.2</v>
      </c>
      <c r="CQ4" s="79" t="str">
        <f t="shared" ref="CQ4:CQ20" si="26">IF(SUM(CB4:CC4,CE4)-CD4&gt;0,SUM(CB4:CC4,CE4)-CD4,"")</f>
        <v/>
      </c>
      <c r="CR4" s="79">
        <f t="shared" ref="CR4:CR20" si="27">IF(SUM(CG4,CK4)&gt;0,SUM(CG4,CK4),"")</f>
        <v>8.1</v>
      </c>
      <c r="CS4" s="79">
        <f t="shared" ref="CS4:CS20" si="28">IF(SUM(CF4:CG4,CI4:CK4,CM4)-SUM(CH4,CL4)&gt;0,SUM(CF4:CG4,CI4:CK4,CM4)-SUM(CH4,CL4),"")</f>
        <v>43.739999999999995</v>
      </c>
      <c r="CT4" s="79">
        <f t="shared" ref="CT4:CT20" si="29">IF(SUM(CP4,CS4)&gt;0,SUM(CP4,CS4),"")</f>
        <v>87.94</v>
      </c>
      <c r="CU4" s="80">
        <f t="shared" ref="CU4:CU20" si="30">IF(MAX(DR4,ER4,FR4,GR4,HR4,IR4,JR4,KR4,LR4,MR4,NR4,OR4)-IF(K4="",0,K4)&gt;0.001,MAX(DR4,ER4,FR4,GR4,HR4,IR4,JR4,KR4,LR4,MR4,NR4,OR4)-IF(K4="",0,K4),"")</f>
        <v>43.399789999999996</v>
      </c>
      <c r="CV4" s="80">
        <f t="shared" ref="CV4:CV20" si="31">IF(MAX(DU4,EU4,FU4,GU4,HU4,IU4,JU4,KU4,LU4,MU4,NU4,OU4)-IF(M4="",0,M4)&gt;0.001,MAX(DU4,EU4,FU4,GU4,HU4,IU4,JU4,KU4,LU4,MU4,NU4,OU4)-IF(M4="",0,M4),"")</f>
        <v>0.16000000000000369</v>
      </c>
      <c r="CW4" s="25">
        <v>17.600000000000001</v>
      </c>
      <c r="CX4" s="25">
        <v>3.6</v>
      </c>
      <c r="CY4" s="25">
        <v>0</v>
      </c>
      <c r="CZ4" s="25">
        <v>0</v>
      </c>
      <c r="DA4" s="25">
        <v>17.399999999999999</v>
      </c>
      <c r="DB4" s="25">
        <v>4.5</v>
      </c>
      <c r="DC4" s="25">
        <v>0</v>
      </c>
      <c r="DD4" s="25">
        <v>0.3</v>
      </c>
      <c r="DE4" s="25"/>
      <c r="DF4" s="25"/>
      <c r="DG4" s="25"/>
      <c r="DH4" s="25"/>
      <c r="DI4" s="25">
        <v>18.100000000000001</v>
      </c>
      <c r="DJ4" s="25">
        <v>3.6</v>
      </c>
      <c r="DK4" s="25">
        <v>0</v>
      </c>
      <c r="DL4" s="25">
        <v>0</v>
      </c>
      <c r="DM4" s="25">
        <v>17.399999999999999</v>
      </c>
      <c r="DN4" s="25">
        <v>4.5</v>
      </c>
      <c r="DO4" s="25">
        <v>0</v>
      </c>
      <c r="DP4" s="25">
        <v>0.3</v>
      </c>
      <c r="DQ4" s="79">
        <f t="shared" ref="DQ4:DQ20" si="32">IF(SUM(CX4,DB4)&gt;0,SUM(CX4,DB4),"")</f>
        <v>8.1</v>
      </c>
      <c r="DR4" s="79">
        <f t="shared" ref="DR4:DR20" si="33">IF(SUM(CW4:CX4,CZ4:DB4,DD4)-CY4-DC4&gt;0,SUM(CW4:CX4,CZ4:DB4,DD4)-CY4-DC4,"")</f>
        <v>43.4</v>
      </c>
      <c r="DS4" s="79" t="str">
        <f t="shared" ref="DS4:DS20" si="34">IF(SUM(DE4:DF4,DH4)-DG4&gt;0,SUM(DE4:DF4,DH4)-DG4,"")</f>
        <v/>
      </c>
      <c r="DT4" s="79">
        <f t="shared" ref="DT4:DT20" si="35">IF(SUM(DJ4,DN4)&gt;0,SUM(DJ4,DN4),"")</f>
        <v>8.1</v>
      </c>
      <c r="DU4" s="79">
        <f t="shared" ref="DU4:DU20" si="36">IF(SUM(DI4:DJ4,DL4:DN4,DP4)-SUM(DK4,DO4)&gt;0,SUM(DI4:DJ4,DL4:DN4,DP4)-SUM(DK4,DO4),"")</f>
        <v>43.9</v>
      </c>
      <c r="DV4" s="79">
        <f t="shared" ref="DV4:DV20" si="37">IF(SUM(DR4,DU4)&gt;0,SUM(DR4,DU4),"")</f>
        <v>87.3</v>
      </c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0" t="str">
        <f t="shared" ref="EQ4:EQ20" si="38">IF(SUM(DX4,EB4)&gt;0,SUM(DX4,EB4),"")</f>
        <v/>
      </c>
      <c r="ER4" s="20" t="str">
        <f t="shared" ref="ER4:ER20" si="39">IF(SUM(DW4:DX4,DZ4:EB4,ED4)-DY4-EC4&gt;0,SUM(DW4:DX4,DZ4:EB4,ED4)-DY4-EC4,"")</f>
        <v/>
      </c>
      <c r="ES4" s="20" t="str">
        <f t="shared" ref="ES4:ES20" si="40">IF(SUM(EE4:EF4,EH4)-EG4&gt;0,SUM(EE4:EF4,EH4)-EG4,"")</f>
        <v/>
      </c>
      <c r="ET4" s="20" t="str">
        <f t="shared" ref="ET4:ET20" si="41">IF(SUM(EJ4,EN4)&gt;0,SUM(EJ4,EN4),"")</f>
        <v/>
      </c>
      <c r="EU4" s="20" t="str">
        <f t="shared" ref="EU4:EU20" si="42">IF(SUM(EI4:EJ4,EL4:EN4,EP4)-SUM(EK4,EO4)&gt;0,SUM(EI4:EJ4,EL4:EN4,EP4)-SUM(EK4,EO4),"")</f>
        <v/>
      </c>
      <c r="EV4" s="20" t="str">
        <f t="shared" ref="EV4:EV20" si="43">IF(SUM(ER4,EU4)&gt;0,SUM(ER4,EU4),"")</f>
        <v/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 t="shared" ref="FQ4:FQ20" si="44">IF(SUM(EX4,FB4)&gt;0,SUM(EX4,FB4),"")</f>
        <v/>
      </c>
      <c r="FR4" s="79" t="str">
        <f t="shared" ref="FR4:FR20" si="45">IF(SUM(EW4:EX4,EZ4:FB4,FD4)-EY4-FC4&gt;0,SUM(EW4:EX4,EZ4:FB4,FD4)-EY4-FC4,"")</f>
        <v/>
      </c>
      <c r="FS4" s="79" t="str">
        <f t="shared" ref="FS4:FS20" si="46">IF(SUM(FE4:FF4,FH4)-FG4&gt;0,SUM(FE4:FF4,FH4)-FG4,"")</f>
        <v/>
      </c>
      <c r="FT4" s="79" t="str">
        <f t="shared" ref="FT4:FT20" si="47">IF(SUM(FJ4,FN4)&gt;0,SUM(FJ4,FN4),"")</f>
        <v/>
      </c>
      <c r="FU4" s="79" t="str">
        <f t="shared" ref="FU4:FU20" si="48">IF(SUM(FI4:FJ4,FL4:FN4,FP4)-SUM(FK4,FO4)&gt;0,SUM(FI4:FJ4,FL4:FN4,FP4)-SUM(FK4,FO4),"")</f>
        <v/>
      </c>
      <c r="FV4" s="79" t="str">
        <f t="shared" ref="FV4:FV20" si="49">IF(SUM(FR4,FU4)&gt;0,SUM(FR4,FU4),"")</f>
        <v/>
      </c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0" t="str">
        <f t="shared" ref="GQ4:GQ20" si="50">IF(SUM(FX4,GB4)&gt;0,SUM(FX4,GB4),"")</f>
        <v/>
      </c>
      <c r="GR4" s="20" t="str">
        <f t="shared" ref="GR4:GR20" si="51">IF(SUM(FW4:FX4,FZ4:GB4,GD4)-FY4-GC4&gt;0,SUM(FW4:FX4,FZ4:GB4,GD4)-FY4-GC4,"")</f>
        <v/>
      </c>
      <c r="GS4" s="20" t="str">
        <f t="shared" ref="GS4:GS20" si="52">IF(SUM(GE4:GF4,GH4)-GG4&gt;0,SUM(GE4:GF4,GH4)-GG4,"")</f>
        <v/>
      </c>
      <c r="GT4" s="20" t="str">
        <f t="shared" ref="GT4:GT20" si="53">IF(SUM(GJ4,GN4)&gt;0,SUM(GJ4,GN4),"")</f>
        <v/>
      </c>
      <c r="GU4" s="20" t="str">
        <f t="shared" ref="GU4:GU20" si="54">IF(SUM(GI4:GJ4,GL4:GN4,GP4)-SUM(GK4,GO4)&gt;0,SUM(GI4:GJ4,GL4:GN4,GP4)-SUM(GK4,GO4),"")</f>
        <v/>
      </c>
      <c r="GV4" s="20" t="str">
        <f t="shared" ref="GV4:GV20" si="55">IF(SUM(GR4,GU4)&gt;0,SUM(GR4,GU4),"")</f>
        <v/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 t="shared" ref="HQ4:HQ20" si="56">IF(SUM(GX4,HB4)&gt;0,SUM(GX4,HB4),"")</f>
        <v/>
      </c>
      <c r="HR4" s="79" t="str">
        <f t="shared" ref="HR4:HR20" si="57">IF(SUM(GW4:GX4,GZ4:HB4,HD4)-GY4-HC4&gt;0,SUM(GW4:GX4,GZ4:HB4,HD4)-GY4-HC4,"")</f>
        <v/>
      </c>
      <c r="HS4" s="79" t="str">
        <f t="shared" ref="HS4:HS20" si="58">IF(SUM(HE4:HF4,HH4)-HG4&gt;0,SUM(HE4:HF4,HH4)-HG4,"")</f>
        <v/>
      </c>
      <c r="HT4" s="79" t="str">
        <f t="shared" ref="HT4:HT20" si="59">IF(SUM(HJ4,HN4)&gt;0,SUM(HJ4,HN4),"")</f>
        <v/>
      </c>
      <c r="HU4" s="79" t="str">
        <f t="shared" ref="HU4:HU20" si="60">IF(SUM(HI4:HJ4,HL4:HN4,HP4)-SUM(HK4,HO4)&gt;0,SUM(HI4:HJ4,HL4:HN4,HP4)-SUM(HK4,HO4),"")</f>
        <v/>
      </c>
      <c r="HV4" s="79" t="str">
        <f t="shared" ref="HV4:HV20" si="61"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 t="shared" ref="IQ4:IQ20" si="62">IF(SUM(HX4,IB4)&gt;0,SUM(HX4,IB4),"")</f>
        <v/>
      </c>
      <c r="IR4" s="20" t="str">
        <f t="shared" ref="IR4:IR20" si="63">IF(SUM(HW4:HX4,HZ4:IB4,ID4)-HY4-IC4&gt;0,SUM(HW4:HX4,HZ4:IB4,ID4)-HY4-IC4,"")</f>
        <v/>
      </c>
      <c r="IS4" s="20" t="str">
        <f t="shared" ref="IS4:IS20" si="64">IF(SUM(IE4:IF4,IH4)-IG4&gt;0,SUM(IE4:IF4,IH4)-IG4,"")</f>
        <v/>
      </c>
      <c r="IT4" s="20" t="str">
        <f t="shared" ref="IT4:IT20" si="65">IF(SUM(IJ4,IN4)&gt;0,SUM(IJ4,IN4),"")</f>
        <v/>
      </c>
      <c r="IU4" s="20" t="str">
        <f t="shared" ref="IU4:IU20" si="66">IF(SUM(II4:IJ4,IL4:IN4,IP4)-SUM(IK4,IO4)&gt;0,SUM(II4:IJ4,IL4:IN4,IP4)-SUM(IK4,IO4),"")</f>
        <v/>
      </c>
      <c r="IV4" s="20" t="str">
        <f t="shared" ref="IV4:IV20" si="67"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 t="shared" ref="JQ4:JQ20" si="68">IF(SUM(IX4,JB4)&gt;0,SUM(IX4,JB4),"")</f>
        <v/>
      </c>
      <c r="JR4" s="79" t="str">
        <f t="shared" ref="JR4:JR20" si="69">IF(SUM(IW4:IX4,IZ4:JB4,JD4)-IY4-JC4&gt;0,SUM(IW4:IX4,IZ4:JB4,JD4)-IY4-JC4,"")</f>
        <v/>
      </c>
      <c r="JS4" s="79" t="str">
        <f t="shared" ref="JS4:JS20" si="70">IF(SUM(JE4:JF4,JH4)-JG4&gt;0,SUM(JE4:JF4,JH4)-JG4,"")</f>
        <v/>
      </c>
      <c r="JT4" s="79" t="str">
        <f t="shared" ref="JT4:JT20" si="71">IF(SUM(JJ4,JN4)&gt;0,SUM(JJ4,JN4),"")</f>
        <v/>
      </c>
      <c r="JU4" s="79" t="str">
        <f t="shared" ref="JU4:JU20" si="72">IF(SUM(JI4:JJ4,JL4:JN4,JP4)-SUM(JK4,JO4)&gt;0,SUM(JI4:JJ4,JL4:JN4,JP4)-SUM(JK4,JO4),"")</f>
        <v/>
      </c>
      <c r="JV4" s="79" t="str">
        <f t="shared" ref="JV4:JV20" si="73"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 t="shared" ref="KQ4:KQ20" si="74">IF(SUM(JX4,KB4)&gt;0,SUM(JX4,KB4),"")</f>
        <v/>
      </c>
      <c r="KR4" s="20" t="str">
        <f t="shared" ref="KR4:KR20" si="75">IF(SUM(JW4:JX4,JZ4:KB4,KD4)-JY4-KC4&gt;0,SUM(JW4:JX4,JZ4:KB4,KD4)-JY4-KC4,"")</f>
        <v/>
      </c>
      <c r="KS4" s="20" t="str">
        <f t="shared" ref="KS4:KS20" si="76">IF(SUM(KE4:KF4,KH4)-KG4&gt;0,SUM(KE4:KF4,KH4)-KG4,"")</f>
        <v/>
      </c>
      <c r="KT4" s="20" t="str">
        <f t="shared" ref="KT4:KT20" si="77">IF(SUM(KJ4,KN4)&gt;0,SUM(KJ4,KN4),"")</f>
        <v/>
      </c>
      <c r="KU4" s="20" t="str">
        <f t="shared" ref="KU4:KU20" si="78">IF(SUM(KI4:KJ4,KL4:KN4,KP4)-SUM(KK4,KO4)&gt;0,SUM(KI4:KJ4,KL4:KN4,KP4)-SUM(KK4,KO4),"")</f>
        <v/>
      </c>
      <c r="KV4" s="20" t="str">
        <f t="shared" ref="KV4:KV20" si="79"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 t="shared" ref="LQ4:LQ20" si="80">IF(SUM(KX4,LB4)&gt;0,SUM(KX4,LB4),"")</f>
        <v/>
      </c>
      <c r="LR4" s="79" t="str">
        <f t="shared" ref="LR4:LR20" si="81">IF(SUM(KW4:KX4,KZ4:LB4,LD4)-KY4-LC4&gt;0,SUM(KW4:KX4,KZ4:LB4,LD4)-KY4-LC4,"")</f>
        <v/>
      </c>
      <c r="LS4" s="79" t="str">
        <f t="shared" ref="LS4:LS20" si="82">IF(SUM(LE4:LF4,LH4)-LG4&gt;0,SUM(LE4:LF4,LH4)-LG4,"")</f>
        <v/>
      </c>
      <c r="LT4" s="79" t="str">
        <f t="shared" ref="LT4:LT20" si="83">IF(SUM(LJ4,LN4)&gt;0,SUM(LJ4,LN4),"")</f>
        <v/>
      </c>
      <c r="LU4" s="79" t="str">
        <f t="shared" ref="LU4:LU20" si="84">IF(SUM(LI4:LJ4,LL4:LN4,LP4)-SUM(LK4,LO4)&gt;0,SUM(LI4:LJ4,LL4:LN4,LP4)-SUM(LK4,LO4),"")</f>
        <v/>
      </c>
      <c r="LV4" s="79" t="str">
        <f t="shared" ref="LV4:LV20" si="85"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 t="shared" ref="MQ4:MQ20" si="86">IF(SUM(LX4,MB4)&gt;0,SUM(LX4,MB4),"")</f>
        <v/>
      </c>
      <c r="MR4" s="20" t="str">
        <f t="shared" ref="MR4:MR20" si="87">IF(SUM(LW4:LX4,LZ4:MB4,MD4)-LY4-MC4&gt;0,SUM(LW4:LX4,LZ4:MB4,MD4)-LY4-MC4,"")</f>
        <v/>
      </c>
      <c r="MS4" s="20" t="str">
        <f t="shared" ref="MS4:MS20" si="88">IF(SUM(ME4:MF4,MH4)-MG4&gt;0,SUM(ME4:MF4,MH4)-MG4,"")</f>
        <v/>
      </c>
      <c r="MT4" s="20" t="str">
        <f t="shared" ref="MT4:MT20" si="89">IF(SUM(MJ4,MN4)&gt;0,SUM(MJ4,MN4),"")</f>
        <v/>
      </c>
      <c r="MU4" s="20" t="str">
        <f t="shared" ref="MU4:MU20" si="90">IF(SUM(MI4:MJ4,ML4:MN4,MP4)-SUM(MK4,MO4)&gt;0,SUM(MI4:MJ4,ML4:MN4,MP4)-SUM(MK4,MO4),"")</f>
        <v/>
      </c>
      <c r="MV4" s="20" t="str">
        <f t="shared" ref="MV4:MV20" si="91"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 t="shared" ref="NQ4:NQ20" si="92">IF(SUM(MX4,NB4)&gt;0,SUM(MX4,NB4),"")</f>
        <v/>
      </c>
      <c r="NR4" s="79" t="str">
        <f t="shared" ref="NR4:NR20" si="93">IF(SUM(MW4:MX4,MZ4:NB4,ND4)-MY4-NC4&gt;0,SUM(MW4:MX4,MZ4:NB4,ND4)-MY4-NC4,"")</f>
        <v/>
      </c>
      <c r="NS4" s="79" t="str">
        <f t="shared" ref="NS4:NS20" si="94">IF(SUM(NE4:NF4,NH4)-NG4&gt;0,SUM(NE4:NF4,NH4)-NG4,"")</f>
        <v/>
      </c>
      <c r="NT4" s="79" t="str">
        <f t="shared" ref="NT4:NT20" si="95">IF(SUM(NJ4,NN4)&gt;0,SUM(NJ4,NN4),"")</f>
        <v/>
      </c>
      <c r="NU4" s="79" t="str">
        <f t="shared" ref="NU4:NU20" si="96">IF(SUM(NI4:NJ4,NL4:NN4,NP4)-SUM(NK4,NO4)&gt;0,SUM(NI4:NJ4,NL4:NN4,NP4)-SUM(NK4,NO4),"")</f>
        <v/>
      </c>
      <c r="NV4" s="79" t="str">
        <f t="shared" ref="NV4:NV20" si="97"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 t="shared" ref="OQ4:OQ20" si="98">IF(SUM(NX4,OB4)&gt;0,SUM(NX4,OB4),"")</f>
        <v/>
      </c>
      <c r="OR4" s="20" t="str">
        <f t="shared" ref="OR4:OR20" si="99">IF(SUM(NW4:NX4,NZ4:OB4,OD4)-NY4-OC4&gt;0,SUM(NW4:NX4,NZ4:OB4,OD4)-NY4-OC4,"")</f>
        <v/>
      </c>
      <c r="OS4" s="20" t="str">
        <f t="shared" ref="OS4:OS20" si="100">IF(SUM(OE4:OF4,OH4)-OG4&gt;0,SUM(OE4:OF4,OH4)-OG4,"")</f>
        <v/>
      </c>
      <c r="OT4" s="20" t="str">
        <f t="shared" ref="OT4:OT20" si="101">IF(SUM(OJ4,ON4)&gt;0,SUM(OJ4,ON4),"")</f>
        <v/>
      </c>
      <c r="OU4" s="20" t="str">
        <f t="shared" ref="OU4:OU20" si="102">IF(SUM(OI4:OJ4,OL4:ON4,OP4)-SUM(OK4,OO4)&gt;0,SUM(OI4:OJ4,OL4:ON4,OP4)-SUM(OK4,OO4),"")</f>
        <v/>
      </c>
      <c r="OV4" s="20" t="str">
        <f t="shared" ref="OV4:OV20" si="103">IF(SUM(OR4,OU4)&gt;0,SUM(OR4,OU4),"")</f>
        <v/>
      </c>
      <c r="OW4" s="38">
        <f t="shared" ref="OW4:OW20" si="104">IF($CN4="P",BT4,(BT4+AS4)/2)</f>
        <v>9.1000549999999993</v>
      </c>
      <c r="OX4" s="38">
        <f t="shared" ref="OX4:OX20" si="105">IF($CN4="P",BU4,(BU4+AT4)/2)</f>
        <v>1.8000500000000001</v>
      </c>
      <c r="OY4" s="38">
        <f t="shared" ref="OY4:OY20" si="106">IF($CN4="P",BV4,(BV4+AU4)/2)</f>
        <v>0</v>
      </c>
      <c r="OZ4" s="38">
        <f t="shared" ref="OZ4:OZ20" si="107">IF($CN4="P",BW4,(BW4+AV4)/2)</f>
        <v>0</v>
      </c>
      <c r="PA4" s="38">
        <f t="shared" ref="PA4:PA20" si="108">IF($CN4="P",BX4,(BX4+AW4)/2)</f>
        <v>8.8000000000000007</v>
      </c>
      <c r="PB4" s="38">
        <f t="shared" ref="PB4:PB20" si="109">IF($CN4="P",BY4,(BY4+AX4)/2)</f>
        <v>2.25</v>
      </c>
      <c r="PC4" s="38">
        <f t="shared" ref="PC4:PC20" si="110">IF($CN4="P",BZ4,(BZ4+AY4)/2)</f>
        <v>0</v>
      </c>
      <c r="PD4" s="38">
        <f t="shared" ref="PD4:PD20" si="111">IF($CN4="P",CA4,(CA4+AZ4)/2)</f>
        <v>0.15</v>
      </c>
      <c r="PE4" s="38">
        <f t="shared" ref="PE4:PE20" si="112">IF($CN4="P",CB4,(CB4+BA4)/2)</f>
        <v>0</v>
      </c>
      <c r="PF4" s="38">
        <f t="shared" ref="PF4:PF20" si="113">IF($CN4="P",CC4,(CC4+BB4)/2)</f>
        <v>0</v>
      </c>
      <c r="PG4" s="38">
        <f t="shared" ref="PG4:PG20" si="114">IF($CN4="P",CD4,(CD4+BC4)/2)</f>
        <v>0</v>
      </c>
      <c r="PH4" s="38">
        <f t="shared" ref="PH4:PH20" si="115">IF($CN4="P",CE4,(CE4+BD4)/2)</f>
        <v>0</v>
      </c>
      <c r="PI4" s="38">
        <f t="shared" ref="PI4:PI20" si="116">IF($CN4="P",CF4,(CF4+BE4)/2)</f>
        <v>8.9700000000000006</v>
      </c>
      <c r="PJ4" s="38">
        <f t="shared" ref="PJ4:PJ20" si="117">IF($CN4="P",CG4,(CG4+BF4)/2)</f>
        <v>1.8</v>
      </c>
      <c r="PK4" s="38">
        <f t="shared" ref="PK4:PK20" si="118">IF($CN4="P",CH4,(CH4+BG4)/2)</f>
        <v>0</v>
      </c>
      <c r="PL4" s="38">
        <f t="shared" ref="PL4:PL20" si="119">IF($CN4="P",CI4,(CI4+BH4)/2)</f>
        <v>0</v>
      </c>
      <c r="PM4" s="38">
        <f t="shared" ref="PM4:PM20" si="120">IF($CN4="P",CJ4,(CJ4+BI4)/2)</f>
        <v>8.6999999999999993</v>
      </c>
      <c r="PN4" s="38">
        <f t="shared" ref="PN4:PN20" si="121">IF($CN4="P",CK4,(CK4+BJ4)/2)</f>
        <v>2.25</v>
      </c>
      <c r="PO4" s="38">
        <f t="shared" ref="PO4:PO20" si="122">IF($CN4="P",CL4,(CL4+BK4)/2)</f>
        <v>0</v>
      </c>
      <c r="PP4" s="38">
        <f t="shared" ref="PP4:PP20" si="123">IF($CN4="P",CM4,(CM4+BL4)/2)</f>
        <v>0.15</v>
      </c>
      <c r="PQ4" s="45" t="s">
        <v>46</v>
      </c>
      <c r="PR4" s="79">
        <f t="shared" ref="PR4:PR20" si="124">IF(SUM(OX4,PB4)&gt;0,SUM(OX4,PB4),"")</f>
        <v>4.0500500000000006</v>
      </c>
      <c r="PS4" s="79">
        <f t="shared" ref="PS4:PS20" si="125">IF(SUM(OW4:OX4,OZ4:PB4,PD4)-OY4-PC4&gt;0,SUM(OW4:OX4,OZ4:PB4,PD4)-OY4-PC4,"")</f>
        <v>22.100104999999999</v>
      </c>
      <c r="PT4" s="79" t="str">
        <f t="shared" ref="PT4:PT20" si="126">IF(SUM(PE4:PF4,PH4)-PG4&gt;0,SUM(PE4:PF4,PH4)-PG4,"")</f>
        <v/>
      </c>
      <c r="PU4" s="79">
        <f t="shared" ref="PU4:PU20" si="127">IF(SUM(PJ4,PN4)&gt;0,SUM(PJ4,PN4),"")</f>
        <v>4.05</v>
      </c>
      <c r="PV4" s="79">
        <f t="shared" ref="PV4:PV20" si="128">IF(SUM(PI4:PJ4,PL4:PN4,PP4)-SUM(PK4,PO4)&gt;0,SUM(PI4:PJ4,PL4:PN4,PP4)-SUM(PK4,PO4),"")</f>
        <v>21.869999999999997</v>
      </c>
      <c r="PW4" s="79">
        <f t="shared" ref="PW4:PW20" si="129">IF(SUM(PS4,PV4)&gt;0,SUM(PS4,PV4),"")</f>
        <v>43.970104999999997</v>
      </c>
    </row>
    <row r="5" spans="1:439" x14ac:dyDescent="0.2">
      <c r="A5" s="5">
        <f t="shared" si="0"/>
        <v>2</v>
      </c>
      <c r="B5" s="78" t="s">
        <v>119</v>
      </c>
      <c r="C5" s="5" t="s">
        <v>3</v>
      </c>
      <c r="D5" s="5">
        <v>2003</v>
      </c>
      <c r="E5" s="15">
        <f t="shared" si="1"/>
        <v>3.0000003000002002E-4</v>
      </c>
      <c r="F5" s="3" t="str">
        <f t="shared" si="2"/>
        <v>P</v>
      </c>
      <c r="G5" s="3" t="str">
        <f t="shared" si="3"/>
        <v>P</v>
      </c>
      <c r="H5" s="67" t="str">
        <f t="shared" si="4"/>
        <v>National Team</v>
      </c>
      <c r="I5" s="14">
        <f>IF(COUNT(AN5,BO5,CP5)&gt;0,LARGE((AN5,BO5,CP5),1),0)</f>
        <v>2.0000000000000001E-4</v>
      </c>
      <c r="J5" s="14" t="str">
        <f t="shared" si="5"/>
        <v>2021 Canadian Championships</v>
      </c>
      <c r="K5" s="14">
        <f>IF(COUNT(AN5,BO5,CP5)&gt;1,LARGE((AN5,BO5,CP5),2),0)</f>
        <v>1E-4</v>
      </c>
      <c r="L5" s="14" t="str">
        <f t="shared" si="6"/>
        <v>2021 Elite Canada</v>
      </c>
      <c r="M5" s="14">
        <f t="shared" si="7"/>
        <v>0</v>
      </c>
      <c r="N5" s="14" t="str">
        <f t="shared" si="8"/>
        <v/>
      </c>
      <c r="O5" s="14" t="str">
        <f t="shared" si="9"/>
        <v/>
      </c>
      <c r="P5" s="20" t="str">
        <f t="shared" si="10"/>
        <v/>
      </c>
      <c r="Q5" s="14" t="str">
        <f t="shared" si="11"/>
        <v/>
      </c>
      <c r="R5" s="27"/>
      <c r="S5" s="27">
        <v>1E-4</v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>
        <f t="shared" si="12"/>
        <v>1E-4</v>
      </c>
      <c r="AN5" s="79">
        <f t="shared" si="13"/>
        <v>1E-4</v>
      </c>
      <c r="AO5" s="79" t="str">
        <f t="shared" si="14"/>
        <v/>
      </c>
      <c r="AP5" s="79" t="str">
        <f t="shared" si="15"/>
        <v/>
      </c>
      <c r="AQ5" s="79" t="str">
        <f t="shared" si="16"/>
        <v/>
      </c>
      <c r="AR5" s="79">
        <f t="shared" si="17"/>
        <v>1E-4</v>
      </c>
      <c r="AS5" s="26">
        <v>1E-4</v>
      </c>
      <c r="AT5" s="26">
        <v>1E-4</v>
      </c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>
        <f t="shared" si="18"/>
        <v>1E-4</v>
      </c>
      <c r="BO5" s="20">
        <f t="shared" si="19"/>
        <v>2.0000000000000001E-4</v>
      </c>
      <c r="BP5" s="20" t="str">
        <f t="shared" si="20"/>
        <v/>
      </c>
      <c r="BQ5" s="20" t="str">
        <f t="shared" si="21"/>
        <v/>
      </c>
      <c r="BR5" s="20" t="str">
        <f t="shared" si="22"/>
        <v/>
      </c>
      <c r="BS5" s="20">
        <f t="shared" si="23"/>
        <v>2.0000000000000001E-4</v>
      </c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45"/>
      <c r="CO5" s="79" t="str">
        <f t="shared" si="24"/>
        <v/>
      </c>
      <c r="CP5" s="79" t="str">
        <f t="shared" si="25"/>
        <v/>
      </c>
      <c r="CQ5" s="79" t="str">
        <f t="shared" si="26"/>
        <v/>
      </c>
      <c r="CR5" s="79" t="str">
        <f t="shared" si="27"/>
        <v/>
      </c>
      <c r="CS5" s="79" t="str">
        <f t="shared" si="28"/>
        <v/>
      </c>
      <c r="CT5" s="79" t="str">
        <f t="shared" si="29"/>
        <v/>
      </c>
      <c r="CU5" s="80" t="str">
        <f t="shared" si="30"/>
        <v/>
      </c>
      <c r="CV5" s="80" t="str">
        <f t="shared" si="31"/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 t="shared" si="32"/>
        <v/>
      </c>
      <c r="DR5" s="79" t="str">
        <f t="shared" si="33"/>
        <v/>
      </c>
      <c r="DS5" s="79" t="str">
        <f t="shared" si="34"/>
        <v/>
      </c>
      <c r="DT5" s="79" t="str">
        <f t="shared" si="35"/>
        <v/>
      </c>
      <c r="DU5" s="79" t="str">
        <f t="shared" si="36"/>
        <v/>
      </c>
      <c r="DV5" s="79" t="str">
        <f t="shared" si="37"/>
        <v/>
      </c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0" t="str">
        <f t="shared" si="38"/>
        <v/>
      </c>
      <c r="ER5" s="20" t="str">
        <f t="shared" si="39"/>
        <v/>
      </c>
      <c r="ES5" s="20" t="str">
        <f t="shared" si="40"/>
        <v/>
      </c>
      <c r="ET5" s="20" t="str">
        <f t="shared" si="41"/>
        <v/>
      </c>
      <c r="EU5" s="20" t="str">
        <f t="shared" si="42"/>
        <v/>
      </c>
      <c r="EV5" s="20" t="str">
        <f t="shared" si="43"/>
        <v/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 t="shared" si="44"/>
        <v/>
      </c>
      <c r="FR5" s="79" t="str">
        <f t="shared" si="45"/>
        <v/>
      </c>
      <c r="FS5" s="79" t="str">
        <f t="shared" si="46"/>
        <v/>
      </c>
      <c r="FT5" s="79" t="str">
        <f t="shared" si="47"/>
        <v/>
      </c>
      <c r="FU5" s="79" t="str">
        <f t="shared" si="48"/>
        <v/>
      </c>
      <c r="FV5" s="79" t="str">
        <f t="shared" si="49"/>
        <v/>
      </c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0" t="str">
        <f t="shared" si="50"/>
        <v/>
      </c>
      <c r="GR5" s="20" t="str">
        <f t="shared" si="51"/>
        <v/>
      </c>
      <c r="GS5" s="20" t="str">
        <f t="shared" si="52"/>
        <v/>
      </c>
      <c r="GT5" s="20" t="str">
        <f t="shared" si="53"/>
        <v/>
      </c>
      <c r="GU5" s="20" t="str">
        <f t="shared" si="54"/>
        <v/>
      </c>
      <c r="GV5" s="20" t="str">
        <f t="shared" si="55"/>
        <v/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 t="shared" si="56"/>
        <v/>
      </c>
      <c r="HR5" s="79" t="str">
        <f t="shared" si="57"/>
        <v/>
      </c>
      <c r="HS5" s="79" t="str">
        <f t="shared" si="58"/>
        <v/>
      </c>
      <c r="HT5" s="79" t="str">
        <f t="shared" si="59"/>
        <v/>
      </c>
      <c r="HU5" s="79" t="str">
        <f t="shared" si="60"/>
        <v/>
      </c>
      <c r="HV5" s="79" t="str">
        <f t="shared" si="61"/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 t="shared" si="62"/>
        <v/>
      </c>
      <c r="IR5" s="20" t="str">
        <f t="shared" si="63"/>
        <v/>
      </c>
      <c r="IS5" s="20" t="str">
        <f t="shared" si="64"/>
        <v/>
      </c>
      <c r="IT5" s="20" t="str">
        <f t="shared" si="65"/>
        <v/>
      </c>
      <c r="IU5" s="20" t="str">
        <f t="shared" si="66"/>
        <v/>
      </c>
      <c r="IV5" s="20" t="str">
        <f t="shared" si="67"/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 t="shared" si="68"/>
        <v/>
      </c>
      <c r="JR5" s="79" t="str">
        <f t="shared" si="69"/>
        <v/>
      </c>
      <c r="JS5" s="79" t="str">
        <f t="shared" si="70"/>
        <v/>
      </c>
      <c r="JT5" s="79" t="str">
        <f t="shared" si="71"/>
        <v/>
      </c>
      <c r="JU5" s="79" t="str">
        <f t="shared" si="72"/>
        <v/>
      </c>
      <c r="JV5" s="79" t="str">
        <f t="shared" si="73"/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 t="shared" si="74"/>
        <v/>
      </c>
      <c r="KR5" s="20" t="str">
        <f t="shared" si="75"/>
        <v/>
      </c>
      <c r="KS5" s="20" t="str">
        <f t="shared" si="76"/>
        <v/>
      </c>
      <c r="KT5" s="20" t="str">
        <f t="shared" si="77"/>
        <v/>
      </c>
      <c r="KU5" s="20" t="str">
        <f t="shared" si="78"/>
        <v/>
      </c>
      <c r="KV5" s="20" t="str">
        <f t="shared" si="79"/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 t="shared" si="80"/>
        <v/>
      </c>
      <c r="LR5" s="79" t="str">
        <f t="shared" si="81"/>
        <v/>
      </c>
      <c r="LS5" s="79" t="str">
        <f t="shared" si="82"/>
        <v/>
      </c>
      <c r="LT5" s="79" t="str">
        <f t="shared" si="83"/>
        <v/>
      </c>
      <c r="LU5" s="79" t="str">
        <f t="shared" si="84"/>
        <v/>
      </c>
      <c r="LV5" s="79" t="str">
        <f t="shared" si="85"/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 t="shared" si="86"/>
        <v/>
      </c>
      <c r="MR5" s="20" t="str">
        <f t="shared" si="87"/>
        <v/>
      </c>
      <c r="MS5" s="20" t="str">
        <f t="shared" si="88"/>
        <v/>
      </c>
      <c r="MT5" s="20" t="str">
        <f t="shared" si="89"/>
        <v/>
      </c>
      <c r="MU5" s="20" t="str">
        <f t="shared" si="90"/>
        <v/>
      </c>
      <c r="MV5" s="20" t="str">
        <f t="shared" si="91"/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 t="shared" si="92"/>
        <v/>
      </c>
      <c r="NR5" s="79" t="str">
        <f t="shared" si="93"/>
        <v/>
      </c>
      <c r="NS5" s="79" t="str">
        <f t="shared" si="94"/>
        <v/>
      </c>
      <c r="NT5" s="79" t="str">
        <f t="shared" si="95"/>
        <v/>
      </c>
      <c r="NU5" s="79" t="str">
        <f t="shared" si="96"/>
        <v/>
      </c>
      <c r="NV5" s="79" t="str">
        <f t="shared" si="97"/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 t="shared" si="98"/>
        <v/>
      </c>
      <c r="OR5" s="20" t="str">
        <f t="shared" si="99"/>
        <v/>
      </c>
      <c r="OS5" s="20" t="str">
        <f t="shared" si="100"/>
        <v/>
      </c>
      <c r="OT5" s="20" t="str">
        <f t="shared" si="101"/>
        <v/>
      </c>
      <c r="OU5" s="20" t="str">
        <f t="shared" si="102"/>
        <v/>
      </c>
      <c r="OV5" s="20" t="str">
        <f t="shared" si="103"/>
        <v/>
      </c>
      <c r="OW5" s="38">
        <f t="shared" si="104"/>
        <v>5.0000000000000002E-5</v>
      </c>
      <c r="OX5" s="38">
        <f t="shared" si="105"/>
        <v>5.0000000000000002E-5</v>
      </c>
      <c r="OY5" s="38">
        <f t="shared" si="106"/>
        <v>0</v>
      </c>
      <c r="OZ5" s="38">
        <f t="shared" si="107"/>
        <v>0</v>
      </c>
      <c r="PA5" s="38">
        <f t="shared" si="108"/>
        <v>0</v>
      </c>
      <c r="PB5" s="38">
        <f t="shared" si="109"/>
        <v>0</v>
      </c>
      <c r="PC5" s="38">
        <f t="shared" si="110"/>
        <v>0</v>
      </c>
      <c r="PD5" s="38">
        <f t="shared" si="111"/>
        <v>0</v>
      </c>
      <c r="PE5" s="38">
        <f t="shared" si="112"/>
        <v>0</v>
      </c>
      <c r="PF5" s="38">
        <f t="shared" si="113"/>
        <v>0</v>
      </c>
      <c r="PG5" s="38">
        <f t="shared" si="114"/>
        <v>0</v>
      </c>
      <c r="PH5" s="38">
        <f t="shared" si="115"/>
        <v>0</v>
      </c>
      <c r="PI5" s="38">
        <f t="shared" si="116"/>
        <v>0</v>
      </c>
      <c r="PJ5" s="38">
        <f t="shared" si="117"/>
        <v>0</v>
      </c>
      <c r="PK5" s="38">
        <f t="shared" si="118"/>
        <v>0</v>
      </c>
      <c r="PL5" s="38">
        <f t="shared" si="119"/>
        <v>0</v>
      </c>
      <c r="PM5" s="38">
        <f t="shared" si="120"/>
        <v>0</v>
      </c>
      <c r="PN5" s="38">
        <f t="shared" si="121"/>
        <v>0</v>
      </c>
      <c r="PO5" s="38">
        <f t="shared" si="122"/>
        <v>0</v>
      </c>
      <c r="PP5" s="38">
        <f t="shared" si="123"/>
        <v>0</v>
      </c>
      <c r="PQ5" s="45" t="s">
        <v>46</v>
      </c>
      <c r="PR5" s="79">
        <f t="shared" si="124"/>
        <v>5.0000000000000002E-5</v>
      </c>
      <c r="PS5" s="79">
        <f t="shared" si="125"/>
        <v>1E-4</v>
      </c>
      <c r="PT5" s="79" t="str">
        <f t="shared" si="126"/>
        <v/>
      </c>
      <c r="PU5" s="79" t="str">
        <f t="shared" si="127"/>
        <v/>
      </c>
      <c r="PV5" s="79" t="str">
        <f t="shared" si="128"/>
        <v/>
      </c>
      <c r="PW5" s="79">
        <f t="shared" si="129"/>
        <v>1E-4</v>
      </c>
    </row>
    <row r="6" spans="1:439" x14ac:dyDescent="0.2">
      <c r="A6" s="5" t="str">
        <f t="shared" si="0"/>
        <v/>
      </c>
      <c r="B6" s="78" t="s">
        <v>60</v>
      </c>
      <c r="C6" s="5" t="s">
        <v>3</v>
      </c>
      <c r="D6" s="5">
        <v>2003</v>
      </c>
      <c r="E6" s="15">
        <f t="shared" si="1"/>
        <v>108.5600079460139</v>
      </c>
      <c r="F6" s="3" t="str">
        <f t="shared" si="2"/>
        <v/>
      </c>
      <c r="G6" s="3" t="str">
        <f t="shared" si="3"/>
        <v/>
      </c>
      <c r="H6" s="67" t="str">
        <f t="shared" si="4"/>
        <v/>
      </c>
      <c r="I6" s="14">
        <f>IF(COUNT(AN6,BO6,CP6)&gt;0,LARGE((AN6,BO6,CP6),1),0)</f>
        <v>38.9</v>
      </c>
      <c r="J6" s="14" t="str">
        <f t="shared" si="5"/>
        <v>2022 Elite Canada</v>
      </c>
      <c r="K6" s="14">
        <f>IF(COUNT(AN6,BO6,CP6)&gt;1,LARGE((AN6,BO6,CP6),2),0)</f>
        <v>1E-4</v>
      </c>
      <c r="L6" s="14" t="str">
        <f t="shared" si="6"/>
        <v>2021 Canadian Championships</v>
      </c>
      <c r="M6" s="14">
        <f t="shared" si="7"/>
        <v>40.559999999999995</v>
      </c>
      <c r="N6" s="14" t="str">
        <f t="shared" si="8"/>
        <v>2022 Elite Canada</v>
      </c>
      <c r="O6" s="14">
        <f t="shared" si="9"/>
        <v>29.099900000000002</v>
      </c>
      <c r="P6" s="20" t="str">
        <f t="shared" si="10"/>
        <v>(Q1)</v>
      </c>
      <c r="Q6" s="14" t="str">
        <f t="shared" si="11"/>
        <v>2022 World Games Technical Trial #1 (Mar 12)</v>
      </c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 t="str">
        <f t="shared" si="12"/>
        <v/>
      </c>
      <c r="AN6" s="79" t="str">
        <f t="shared" si="13"/>
        <v/>
      </c>
      <c r="AO6" s="79" t="str">
        <f t="shared" si="14"/>
        <v/>
      </c>
      <c r="AP6" s="79" t="str">
        <f t="shared" si="15"/>
        <v/>
      </c>
      <c r="AQ6" s="79" t="str">
        <f t="shared" si="16"/>
        <v/>
      </c>
      <c r="AR6" s="79" t="str">
        <f t="shared" si="17"/>
        <v/>
      </c>
      <c r="AS6" s="26"/>
      <c r="AT6" s="26">
        <v>1E-4</v>
      </c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>
        <f t="shared" si="18"/>
        <v>1E-4</v>
      </c>
      <c r="BO6" s="20">
        <f t="shared" si="19"/>
        <v>1E-4</v>
      </c>
      <c r="BP6" s="20" t="str">
        <f t="shared" si="20"/>
        <v/>
      </c>
      <c r="BQ6" s="20" t="str">
        <f t="shared" si="21"/>
        <v/>
      </c>
      <c r="BR6" s="20" t="str">
        <f t="shared" si="22"/>
        <v/>
      </c>
      <c r="BS6" s="20">
        <f t="shared" si="23"/>
        <v>1E-4</v>
      </c>
      <c r="BT6" s="27">
        <v>16.600000000000001</v>
      </c>
      <c r="BU6" s="27">
        <v>3.9</v>
      </c>
      <c r="BV6" s="27">
        <v>0</v>
      </c>
      <c r="BW6" s="27">
        <v>0.3</v>
      </c>
      <c r="BX6" s="27">
        <v>15.9</v>
      </c>
      <c r="BY6" s="27">
        <v>1.9</v>
      </c>
      <c r="BZ6" s="27">
        <v>0</v>
      </c>
      <c r="CA6" s="27">
        <v>0.3</v>
      </c>
      <c r="CB6" s="27"/>
      <c r="CC6" s="27"/>
      <c r="CD6" s="27"/>
      <c r="CE6" s="27"/>
      <c r="CF6" s="27">
        <v>15.1</v>
      </c>
      <c r="CG6" s="27">
        <v>4.0999999999999996</v>
      </c>
      <c r="CH6" s="27">
        <v>0.2</v>
      </c>
      <c r="CI6" s="27">
        <v>0.3</v>
      </c>
      <c r="CJ6" s="27">
        <v>16.46</v>
      </c>
      <c r="CK6" s="27">
        <v>4.5</v>
      </c>
      <c r="CL6" s="27">
        <v>0</v>
      </c>
      <c r="CM6" s="27">
        <v>0.3</v>
      </c>
      <c r="CN6" s="45"/>
      <c r="CO6" s="79">
        <f t="shared" si="24"/>
        <v>5.8</v>
      </c>
      <c r="CP6" s="79">
        <f t="shared" si="25"/>
        <v>38.9</v>
      </c>
      <c r="CQ6" s="79" t="str">
        <f t="shared" si="26"/>
        <v/>
      </c>
      <c r="CR6" s="79">
        <f t="shared" si="27"/>
        <v>8.6</v>
      </c>
      <c r="CS6" s="79">
        <f t="shared" si="28"/>
        <v>40.559999999999995</v>
      </c>
      <c r="CT6" s="79">
        <f t="shared" si="29"/>
        <v>79.459999999999994</v>
      </c>
      <c r="CU6" s="80">
        <f t="shared" si="30"/>
        <v>29.099900000000002</v>
      </c>
      <c r="CV6" s="80" t="str">
        <f t="shared" si="31"/>
        <v/>
      </c>
      <c r="CW6" s="25">
        <v>9.8000000000000007</v>
      </c>
      <c r="CX6" s="25">
        <v>1.4</v>
      </c>
      <c r="CY6" s="25">
        <v>0</v>
      </c>
      <c r="CZ6" s="25">
        <v>0.3</v>
      </c>
      <c r="DA6" s="25">
        <v>15.4</v>
      </c>
      <c r="DB6" s="25">
        <v>1.9</v>
      </c>
      <c r="DC6" s="25">
        <v>0</v>
      </c>
      <c r="DD6" s="25">
        <v>0.3</v>
      </c>
      <c r="DE6" s="25"/>
      <c r="DF6" s="25"/>
      <c r="DG6" s="25"/>
      <c r="DH6" s="25"/>
      <c r="DI6" s="25">
        <v>16.2</v>
      </c>
      <c r="DJ6" s="25">
        <v>1.7</v>
      </c>
      <c r="DK6" s="25">
        <v>1.9</v>
      </c>
      <c r="DL6" s="25">
        <v>0</v>
      </c>
      <c r="DM6" s="25">
        <v>0</v>
      </c>
      <c r="DN6" s="25">
        <v>0</v>
      </c>
      <c r="DO6" s="25">
        <v>0</v>
      </c>
      <c r="DP6" s="25">
        <v>0</v>
      </c>
      <c r="DQ6" s="79">
        <f t="shared" si="32"/>
        <v>3.3</v>
      </c>
      <c r="DR6" s="79">
        <f t="shared" si="33"/>
        <v>29.1</v>
      </c>
      <c r="DS6" s="79" t="str">
        <f t="shared" si="34"/>
        <v/>
      </c>
      <c r="DT6" s="79">
        <f t="shared" si="35"/>
        <v>1.7</v>
      </c>
      <c r="DU6" s="79">
        <f t="shared" si="36"/>
        <v>15.999999999999998</v>
      </c>
      <c r="DV6" s="79">
        <f t="shared" si="37"/>
        <v>45.1</v>
      </c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0" t="str">
        <f t="shared" si="38"/>
        <v/>
      </c>
      <c r="ER6" s="20" t="str">
        <f t="shared" si="39"/>
        <v/>
      </c>
      <c r="ES6" s="20" t="str">
        <f t="shared" si="40"/>
        <v/>
      </c>
      <c r="ET6" s="20" t="str">
        <f t="shared" si="41"/>
        <v/>
      </c>
      <c r="EU6" s="20" t="str">
        <f t="shared" si="42"/>
        <v/>
      </c>
      <c r="EV6" s="20" t="str">
        <f t="shared" si="43"/>
        <v/>
      </c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79" t="str">
        <f t="shared" si="44"/>
        <v/>
      </c>
      <c r="FR6" s="79" t="str">
        <f t="shared" si="45"/>
        <v/>
      </c>
      <c r="FS6" s="79" t="str">
        <f t="shared" si="46"/>
        <v/>
      </c>
      <c r="FT6" s="79" t="str">
        <f t="shared" si="47"/>
        <v/>
      </c>
      <c r="FU6" s="79" t="str">
        <f t="shared" si="48"/>
        <v/>
      </c>
      <c r="FV6" s="79" t="str">
        <f t="shared" si="49"/>
        <v/>
      </c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0" t="str">
        <f t="shared" si="50"/>
        <v/>
      </c>
      <c r="GR6" s="20" t="str">
        <f t="shared" si="51"/>
        <v/>
      </c>
      <c r="GS6" s="20" t="str">
        <f t="shared" si="52"/>
        <v/>
      </c>
      <c r="GT6" s="20" t="str">
        <f t="shared" si="53"/>
        <v/>
      </c>
      <c r="GU6" s="20" t="str">
        <f t="shared" si="54"/>
        <v/>
      </c>
      <c r="GV6" s="20" t="str">
        <f t="shared" si="55"/>
        <v/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 t="shared" si="56"/>
        <v/>
      </c>
      <c r="HR6" s="79" t="str">
        <f t="shared" si="57"/>
        <v/>
      </c>
      <c r="HS6" s="79" t="str">
        <f t="shared" si="58"/>
        <v/>
      </c>
      <c r="HT6" s="79" t="str">
        <f t="shared" si="59"/>
        <v/>
      </c>
      <c r="HU6" s="79" t="str">
        <f t="shared" si="60"/>
        <v/>
      </c>
      <c r="HV6" s="79" t="str">
        <f t="shared" si="61"/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 t="shared" si="62"/>
        <v/>
      </c>
      <c r="IR6" s="20" t="str">
        <f t="shared" si="63"/>
        <v/>
      </c>
      <c r="IS6" s="20" t="str">
        <f t="shared" si="64"/>
        <v/>
      </c>
      <c r="IT6" s="20" t="str">
        <f t="shared" si="65"/>
        <v/>
      </c>
      <c r="IU6" s="20" t="str">
        <f t="shared" si="66"/>
        <v/>
      </c>
      <c r="IV6" s="20" t="str">
        <f t="shared" si="67"/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 t="shared" si="68"/>
        <v/>
      </c>
      <c r="JR6" s="79" t="str">
        <f t="shared" si="69"/>
        <v/>
      </c>
      <c r="JS6" s="79" t="str">
        <f t="shared" si="70"/>
        <v/>
      </c>
      <c r="JT6" s="79" t="str">
        <f t="shared" si="71"/>
        <v/>
      </c>
      <c r="JU6" s="79" t="str">
        <f t="shared" si="72"/>
        <v/>
      </c>
      <c r="JV6" s="79" t="str">
        <f t="shared" si="73"/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 t="shared" si="74"/>
        <v/>
      </c>
      <c r="KR6" s="20" t="str">
        <f t="shared" si="75"/>
        <v/>
      </c>
      <c r="KS6" s="20" t="str">
        <f t="shared" si="76"/>
        <v/>
      </c>
      <c r="KT6" s="20" t="str">
        <f t="shared" si="77"/>
        <v/>
      </c>
      <c r="KU6" s="20" t="str">
        <f t="shared" si="78"/>
        <v/>
      </c>
      <c r="KV6" s="20" t="str">
        <f t="shared" si="79"/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 t="shared" si="80"/>
        <v/>
      </c>
      <c r="LR6" s="79" t="str">
        <f t="shared" si="81"/>
        <v/>
      </c>
      <c r="LS6" s="79" t="str">
        <f t="shared" si="82"/>
        <v/>
      </c>
      <c r="LT6" s="79" t="str">
        <f t="shared" si="83"/>
        <v/>
      </c>
      <c r="LU6" s="79" t="str">
        <f t="shared" si="84"/>
        <v/>
      </c>
      <c r="LV6" s="79" t="str">
        <f t="shared" si="85"/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 t="shared" si="86"/>
        <v/>
      </c>
      <c r="MR6" s="20" t="str">
        <f t="shared" si="87"/>
        <v/>
      </c>
      <c r="MS6" s="20" t="str">
        <f t="shared" si="88"/>
        <v/>
      </c>
      <c r="MT6" s="20" t="str">
        <f t="shared" si="89"/>
        <v/>
      </c>
      <c r="MU6" s="20" t="str">
        <f t="shared" si="90"/>
        <v/>
      </c>
      <c r="MV6" s="20" t="str">
        <f t="shared" si="91"/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 t="shared" si="92"/>
        <v/>
      </c>
      <c r="NR6" s="79" t="str">
        <f t="shared" si="93"/>
        <v/>
      </c>
      <c r="NS6" s="79" t="str">
        <f t="shared" si="94"/>
        <v/>
      </c>
      <c r="NT6" s="79" t="str">
        <f t="shared" si="95"/>
        <v/>
      </c>
      <c r="NU6" s="79" t="str">
        <f t="shared" si="96"/>
        <v/>
      </c>
      <c r="NV6" s="79" t="str">
        <f t="shared" si="97"/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 t="shared" si="98"/>
        <v/>
      </c>
      <c r="OR6" s="20" t="str">
        <f t="shared" si="99"/>
        <v/>
      </c>
      <c r="OS6" s="20" t="str">
        <f t="shared" si="100"/>
        <v/>
      </c>
      <c r="OT6" s="20" t="str">
        <f t="shared" si="101"/>
        <v/>
      </c>
      <c r="OU6" s="20" t="str">
        <f t="shared" si="102"/>
        <v/>
      </c>
      <c r="OV6" s="20" t="str">
        <f t="shared" si="103"/>
        <v/>
      </c>
      <c r="OW6" s="38">
        <f t="shared" si="104"/>
        <v>8.3000000000000007</v>
      </c>
      <c r="OX6" s="38">
        <f t="shared" si="105"/>
        <v>1.9500500000000001</v>
      </c>
      <c r="OY6" s="38">
        <f t="shared" si="106"/>
        <v>0</v>
      </c>
      <c r="OZ6" s="38">
        <f t="shared" si="107"/>
        <v>0.15</v>
      </c>
      <c r="PA6" s="38">
        <f t="shared" si="108"/>
        <v>7.95</v>
      </c>
      <c r="PB6" s="38">
        <f t="shared" si="109"/>
        <v>0.95</v>
      </c>
      <c r="PC6" s="38">
        <f t="shared" si="110"/>
        <v>0</v>
      </c>
      <c r="PD6" s="38">
        <f t="shared" si="111"/>
        <v>0.15</v>
      </c>
      <c r="PE6" s="38">
        <f t="shared" si="112"/>
        <v>0</v>
      </c>
      <c r="PF6" s="38">
        <f t="shared" si="113"/>
        <v>0</v>
      </c>
      <c r="PG6" s="38">
        <f t="shared" si="114"/>
        <v>0</v>
      </c>
      <c r="PH6" s="38">
        <f t="shared" si="115"/>
        <v>0</v>
      </c>
      <c r="PI6" s="38">
        <f t="shared" si="116"/>
        <v>7.55</v>
      </c>
      <c r="PJ6" s="38">
        <f t="shared" si="117"/>
        <v>2.0499999999999998</v>
      </c>
      <c r="PK6" s="38">
        <f t="shared" si="118"/>
        <v>0.1</v>
      </c>
      <c r="PL6" s="38">
        <f t="shared" si="119"/>
        <v>0.15</v>
      </c>
      <c r="PM6" s="38">
        <f t="shared" si="120"/>
        <v>8.23</v>
      </c>
      <c r="PN6" s="38">
        <f t="shared" si="121"/>
        <v>2.25</v>
      </c>
      <c r="PO6" s="38">
        <f t="shared" si="122"/>
        <v>0</v>
      </c>
      <c r="PP6" s="38">
        <f t="shared" si="123"/>
        <v>0.15</v>
      </c>
      <c r="PQ6" s="45" t="s">
        <v>46</v>
      </c>
      <c r="PR6" s="79">
        <f t="shared" si="124"/>
        <v>2.9000500000000002</v>
      </c>
      <c r="PS6" s="79">
        <f t="shared" si="125"/>
        <v>19.450050000000001</v>
      </c>
      <c r="PT6" s="79" t="str">
        <f t="shared" si="126"/>
        <v/>
      </c>
      <c r="PU6" s="79">
        <f t="shared" si="127"/>
        <v>4.3</v>
      </c>
      <c r="PV6" s="79">
        <f t="shared" si="128"/>
        <v>20.279999999999998</v>
      </c>
      <c r="PW6" s="79">
        <f t="shared" si="129"/>
        <v>39.730049999999999</v>
      </c>
    </row>
    <row r="7" spans="1:439" x14ac:dyDescent="0.2">
      <c r="A7" s="5" t="str">
        <f t="shared" si="0"/>
        <v/>
      </c>
      <c r="B7" s="78" t="s">
        <v>91</v>
      </c>
      <c r="C7" s="5" t="s">
        <v>4</v>
      </c>
      <c r="D7" s="5">
        <v>2003</v>
      </c>
      <c r="E7" s="15">
        <f t="shared" si="1"/>
        <v>84.440008444004206</v>
      </c>
      <c r="F7" s="3" t="str">
        <f t="shared" si="2"/>
        <v/>
      </c>
      <c r="G7" s="3" t="str">
        <f t="shared" si="3"/>
        <v/>
      </c>
      <c r="H7" s="67" t="str">
        <f t="shared" si="4"/>
        <v/>
      </c>
      <c r="I7" s="14">
        <f>IF(COUNT(AN7,BO7,CP7)&gt;0,LARGE((AN7,BO7,CP7),1),0)</f>
        <v>42.1</v>
      </c>
      <c r="J7" s="14" t="str">
        <f t="shared" si="5"/>
        <v>2022 Elite Canada</v>
      </c>
      <c r="K7" s="14">
        <f>IF(COUNT(AN7,BO7,CP7)&gt;1,LARGE((AN7,BO7,CP7),2),0)</f>
        <v>0</v>
      </c>
      <c r="L7" s="14" t="str">
        <f t="shared" si="6"/>
        <v/>
      </c>
      <c r="M7" s="14">
        <f t="shared" si="7"/>
        <v>42.339999999999996</v>
      </c>
      <c r="N7" s="14" t="str">
        <f t="shared" si="8"/>
        <v>2022 Elite Canada</v>
      </c>
      <c r="O7" s="14" t="str">
        <f t="shared" si="9"/>
        <v/>
      </c>
      <c r="P7" s="20" t="str">
        <f t="shared" si="10"/>
        <v/>
      </c>
      <c r="Q7" s="14" t="str">
        <f t="shared" si="11"/>
        <v/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 t="str">
        <f t="shared" si="12"/>
        <v/>
      </c>
      <c r="AN7" s="79" t="str">
        <f t="shared" si="13"/>
        <v/>
      </c>
      <c r="AO7" s="79" t="str">
        <f t="shared" si="14"/>
        <v/>
      </c>
      <c r="AP7" s="79" t="str">
        <f t="shared" si="15"/>
        <v/>
      </c>
      <c r="AQ7" s="79" t="str">
        <f t="shared" si="16"/>
        <v/>
      </c>
      <c r="AR7" s="79" t="str">
        <f t="shared" si="17"/>
        <v/>
      </c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 t="str">
        <f t="shared" si="18"/>
        <v/>
      </c>
      <c r="BO7" s="20" t="str">
        <f t="shared" si="19"/>
        <v/>
      </c>
      <c r="BP7" s="20" t="str">
        <f t="shared" si="20"/>
        <v/>
      </c>
      <c r="BQ7" s="20" t="str">
        <f t="shared" si="21"/>
        <v/>
      </c>
      <c r="BR7" s="20" t="str">
        <f t="shared" si="22"/>
        <v/>
      </c>
      <c r="BS7" s="20" t="str">
        <f t="shared" si="23"/>
        <v/>
      </c>
      <c r="BT7" s="27">
        <v>16.7</v>
      </c>
      <c r="BU7" s="27">
        <v>3.9</v>
      </c>
      <c r="BV7" s="27">
        <v>0</v>
      </c>
      <c r="BW7" s="27">
        <v>0.3</v>
      </c>
      <c r="BX7" s="27">
        <v>16.8</v>
      </c>
      <c r="BY7" s="27">
        <v>4.0999999999999996</v>
      </c>
      <c r="BZ7" s="27">
        <v>0</v>
      </c>
      <c r="CA7" s="27">
        <v>0.3</v>
      </c>
      <c r="CB7" s="27"/>
      <c r="CC7" s="27"/>
      <c r="CD7" s="27"/>
      <c r="CE7" s="27"/>
      <c r="CF7" s="27">
        <v>17.079999999999998</v>
      </c>
      <c r="CG7" s="27">
        <v>3.9</v>
      </c>
      <c r="CH7" s="27">
        <v>0</v>
      </c>
      <c r="CI7" s="27">
        <v>0.3</v>
      </c>
      <c r="CJ7" s="27">
        <v>16.66</v>
      </c>
      <c r="CK7" s="27">
        <v>4.0999999999999996</v>
      </c>
      <c r="CL7" s="27">
        <v>0</v>
      </c>
      <c r="CM7" s="27">
        <v>0.3</v>
      </c>
      <c r="CN7" s="45"/>
      <c r="CO7" s="79">
        <f t="shared" si="24"/>
        <v>8</v>
      </c>
      <c r="CP7" s="79">
        <f t="shared" si="25"/>
        <v>42.1</v>
      </c>
      <c r="CQ7" s="79" t="str">
        <f t="shared" si="26"/>
        <v/>
      </c>
      <c r="CR7" s="79">
        <f t="shared" si="27"/>
        <v>8</v>
      </c>
      <c r="CS7" s="79">
        <f t="shared" si="28"/>
        <v>42.339999999999996</v>
      </c>
      <c r="CT7" s="79">
        <f t="shared" si="29"/>
        <v>84.44</v>
      </c>
      <c r="CU7" s="80" t="str">
        <f t="shared" si="30"/>
        <v/>
      </c>
      <c r="CV7" s="80" t="str">
        <f t="shared" si="31"/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 t="shared" si="32"/>
        <v/>
      </c>
      <c r="DR7" s="79" t="str">
        <f t="shared" si="33"/>
        <v/>
      </c>
      <c r="DS7" s="79" t="str">
        <f t="shared" si="34"/>
        <v/>
      </c>
      <c r="DT7" s="79" t="str">
        <f t="shared" si="35"/>
        <v/>
      </c>
      <c r="DU7" s="79" t="str">
        <f t="shared" si="36"/>
        <v/>
      </c>
      <c r="DV7" s="79" t="str">
        <f t="shared" si="37"/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 t="shared" si="38"/>
        <v/>
      </c>
      <c r="ER7" s="20" t="str">
        <f t="shared" si="39"/>
        <v/>
      </c>
      <c r="ES7" s="20" t="str">
        <f t="shared" si="40"/>
        <v/>
      </c>
      <c r="ET7" s="20" t="str">
        <f t="shared" si="41"/>
        <v/>
      </c>
      <c r="EU7" s="20" t="str">
        <f t="shared" si="42"/>
        <v/>
      </c>
      <c r="EV7" s="20" t="str">
        <f t="shared" si="43"/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 t="shared" si="44"/>
        <v/>
      </c>
      <c r="FR7" s="79" t="str">
        <f t="shared" si="45"/>
        <v/>
      </c>
      <c r="FS7" s="79" t="str">
        <f t="shared" si="46"/>
        <v/>
      </c>
      <c r="FT7" s="79" t="str">
        <f t="shared" si="47"/>
        <v/>
      </c>
      <c r="FU7" s="79" t="str">
        <f t="shared" si="48"/>
        <v/>
      </c>
      <c r="FV7" s="79" t="str">
        <f t="shared" si="49"/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 t="shared" si="50"/>
        <v/>
      </c>
      <c r="GR7" s="20" t="str">
        <f t="shared" si="51"/>
        <v/>
      </c>
      <c r="GS7" s="20" t="str">
        <f t="shared" si="52"/>
        <v/>
      </c>
      <c r="GT7" s="20" t="str">
        <f t="shared" si="53"/>
        <v/>
      </c>
      <c r="GU7" s="20" t="str">
        <f t="shared" si="54"/>
        <v/>
      </c>
      <c r="GV7" s="20" t="str">
        <f t="shared" si="55"/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 t="shared" si="56"/>
        <v/>
      </c>
      <c r="HR7" s="79" t="str">
        <f t="shared" si="57"/>
        <v/>
      </c>
      <c r="HS7" s="79" t="str">
        <f t="shared" si="58"/>
        <v/>
      </c>
      <c r="HT7" s="79" t="str">
        <f t="shared" si="59"/>
        <v/>
      </c>
      <c r="HU7" s="79" t="str">
        <f t="shared" si="60"/>
        <v/>
      </c>
      <c r="HV7" s="79" t="str">
        <f t="shared" si="61"/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 t="shared" si="62"/>
        <v/>
      </c>
      <c r="IR7" s="20" t="str">
        <f t="shared" si="63"/>
        <v/>
      </c>
      <c r="IS7" s="20" t="str">
        <f t="shared" si="64"/>
        <v/>
      </c>
      <c r="IT7" s="20" t="str">
        <f t="shared" si="65"/>
        <v/>
      </c>
      <c r="IU7" s="20" t="str">
        <f t="shared" si="66"/>
        <v/>
      </c>
      <c r="IV7" s="20" t="str">
        <f t="shared" si="67"/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 t="shared" si="68"/>
        <v/>
      </c>
      <c r="JR7" s="79" t="str">
        <f t="shared" si="69"/>
        <v/>
      </c>
      <c r="JS7" s="79" t="str">
        <f t="shared" si="70"/>
        <v/>
      </c>
      <c r="JT7" s="79" t="str">
        <f t="shared" si="71"/>
        <v/>
      </c>
      <c r="JU7" s="79" t="str">
        <f t="shared" si="72"/>
        <v/>
      </c>
      <c r="JV7" s="79" t="str">
        <f t="shared" si="73"/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 t="shared" si="74"/>
        <v/>
      </c>
      <c r="KR7" s="20" t="str">
        <f t="shared" si="75"/>
        <v/>
      </c>
      <c r="KS7" s="20" t="str">
        <f t="shared" si="76"/>
        <v/>
      </c>
      <c r="KT7" s="20" t="str">
        <f t="shared" si="77"/>
        <v/>
      </c>
      <c r="KU7" s="20" t="str">
        <f t="shared" si="78"/>
        <v/>
      </c>
      <c r="KV7" s="20" t="str">
        <f t="shared" si="79"/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 t="shared" si="80"/>
        <v/>
      </c>
      <c r="LR7" s="79" t="str">
        <f t="shared" si="81"/>
        <v/>
      </c>
      <c r="LS7" s="79" t="str">
        <f t="shared" si="82"/>
        <v/>
      </c>
      <c r="LT7" s="79" t="str">
        <f t="shared" si="83"/>
        <v/>
      </c>
      <c r="LU7" s="79" t="str">
        <f t="shared" si="84"/>
        <v/>
      </c>
      <c r="LV7" s="79" t="str">
        <f t="shared" si="85"/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 t="shared" si="86"/>
        <v/>
      </c>
      <c r="MR7" s="20" t="str">
        <f t="shared" si="87"/>
        <v/>
      </c>
      <c r="MS7" s="20" t="str">
        <f t="shared" si="88"/>
        <v/>
      </c>
      <c r="MT7" s="20" t="str">
        <f t="shared" si="89"/>
        <v/>
      </c>
      <c r="MU7" s="20" t="str">
        <f t="shared" si="90"/>
        <v/>
      </c>
      <c r="MV7" s="20" t="str">
        <f t="shared" si="91"/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 t="shared" si="92"/>
        <v/>
      </c>
      <c r="NR7" s="79" t="str">
        <f t="shared" si="93"/>
        <v/>
      </c>
      <c r="NS7" s="79" t="str">
        <f t="shared" si="94"/>
        <v/>
      </c>
      <c r="NT7" s="79" t="str">
        <f t="shared" si="95"/>
        <v/>
      </c>
      <c r="NU7" s="79" t="str">
        <f t="shared" si="96"/>
        <v/>
      </c>
      <c r="NV7" s="79" t="str">
        <f t="shared" si="97"/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 t="shared" si="98"/>
        <v/>
      </c>
      <c r="OR7" s="20" t="str">
        <f t="shared" si="99"/>
        <v/>
      </c>
      <c r="OS7" s="20" t="str">
        <f t="shared" si="100"/>
        <v/>
      </c>
      <c r="OT7" s="20" t="str">
        <f t="shared" si="101"/>
        <v/>
      </c>
      <c r="OU7" s="20" t="str">
        <f t="shared" si="102"/>
        <v/>
      </c>
      <c r="OV7" s="20" t="str">
        <f t="shared" si="103"/>
        <v/>
      </c>
      <c r="OW7" s="38">
        <f t="shared" si="104"/>
        <v>8.35</v>
      </c>
      <c r="OX7" s="38">
        <f t="shared" si="105"/>
        <v>1.95</v>
      </c>
      <c r="OY7" s="38">
        <f t="shared" si="106"/>
        <v>0</v>
      </c>
      <c r="OZ7" s="38">
        <f t="shared" si="107"/>
        <v>0.15</v>
      </c>
      <c r="PA7" s="38">
        <f t="shared" si="108"/>
        <v>8.4</v>
      </c>
      <c r="PB7" s="38">
        <f t="shared" si="109"/>
        <v>2.0499999999999998</v>
      </c>
      <c r="PC7" s="38">
        <f t="shared" si="110"/>
        <v>0</v>
      </c>
      <c r="PD7" s="38">
        <f t="shared" si="111"/>
        <v>0.15</v>
      </c>
      <c r="PE7" s="38">
        <f t="shared" si="112"/>
        <v>0</v>
      </c>
      <c r="PF7" s="38">
        <f t="shared" si="113"/>
        <v>0</v>
      </c>
      <c r="PG7" s="38">
        <f t="shared" si="114"/>
        <v>0</v>
      </c>
      <c r="PH7" s="38">
        <f t="shared" si="115"/>
        <v>0</v>
      </c>
      <c r="PI7" s="38">
        <f t="shared" si="116"/>
        <v>8.5399999999999991</v>
      </c>
      <c r="PJ7" s="38">
        <f t="shared" si="117"/>
        <v>1.95</v>
      </c>
      <c r="PK7" s="38">
        <f t="shared" si="118"/>
        <v>0</v>
      </c>
      <c r="PL7" s="38">
        <f t="shared" si="119"/>
        <v>0.15</v>
      </c>
      <c r="PM7" s="38">
        <f t="shared" si="120"/>
        <v>8.33</v>
      </c>
      <c r="PN7" s="38">
        <f t="shared" si="121"/>
        <v>2.0499999999999998</v>
      </c>
      <c r="PO7" s="38">
        <f t="shared" si="122"/>
        <v>0</v>
      </c>
      <c r="PP7" s="38">
        <f t="shared" si="123"/>
        <v>0.15</v>
      </c>
      <c r="PQ7" s="45" t="s">
        <v>46</v>
      </c>
      <c r="PR7" s="79">
        <f t="shared" si="124"/>
        <v>4</v>
      </c>
      <c r="PS7" s="79">
        <f t="shared" si="125"/>
        <v>21.05</v>
      </c>
      <c r="PT7" s="79" t="str">
        <f t="shared" si="126"/>
        <v/>
      </c>
      <c r="PU7" s="79">
        <f t="shared" si="127"/>
        <v>4</v>
      </c>
      <c r="PV7" s="79">
        <f t="shared" si="128"/>
        <v>21.169999999999998</v>
      </c>
      <c r="PW7" s="79">
        <f t="shared" si="129"/>
        <v>42.22</v>
      </c>
    </row>
    <row r="8" spans="1:439" x14ac:dyDescent="0.2">
      <c r="A8" s="5" t="str">
        <f t="shared" si="0"/>
        <v/>
      </c>
      <c r="B8" s="78" t="s">
        <v>136</v>
      </c>
      <c r="C8" s="5" t="s">
        <v>3</v>
      </c>
      <c r="D8" s="5">
        <v>2005</v>
      </c>
      <c r="E8" s="15">
        <f t="shared" si="1"/>
        <v>84.080008408004204</v>
      </c>
      <c r="F8" s="3" t="str">
        <f t="shared" si="2"/>
        <v/>
      </c>
      <c r="G8" s="3" t="str">
        <f t="shared" si="3"/>
        <v/>
      </c>
      <c r="H8" s="67" t="str">
        <f t="shared" si="4"/>
        <v/>
      </c>
      <c r="I8" s="14">
        <f>IF(COUNT(AN8,BO8,CP8)&gt;0,LARGE((AN8,BO8,CP8),1),0)</f>
        <v>42.22</v>
      </c>
      <c r="J8" s="14" t="str">
        <f t="shared" si="5"/>
        <v>2022 Elite Canada</v>
      </c>
      <c r="K8" s="14">
        <f>IF(COUNT(AN8,BO8,CP8)&gt;1,LARGE((AN8,BO8,CP8),2),0)</f>
        <v>0</v>
      </c>
      <c r="L8" s="14" t="str">
        <f t="shared" si="6"/>
        <v/>
      </c>
      <c r="M8" s="14">
        <f t="shared" si="7"/>
        <v>41.859999999999992</v>
      </c>
      <c r="N8" s="14" t="str">
        <f t="shared" si="8"/>
        <v>2022 Elite Canada</v>
      </c>
      <c r="O8" s="14" t="str">
        <f t="shared" si="9"/>
        <v/>
      </c>
      <c r="P8" s="20" t="str">
        <f t="shared" si="10"/>
        <v/>
      </c>
      <c r="Q8" s="14" t="str">
        <f t="shared" si="11"/>
        <v/>
      </c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 t="str">
        <f t="shared" si="12"/>
        <v/>
      </c>
      <c r="AN8" s="79" t="str">
        <f t="shared" si="13"/>
        <v/>
      </c>
      <c r="AO8" s="79" t="str">
        <f t="shared" si="14"/>
        <v/>
      </c>
      <c r="AP8" s="79" t="str">
        <f t="shared" si="15"/>
        <v/>
      </c>
      <c r="AQ8" s="79" t="str">
        <f t="shared" si="16"/>
        <v/>
      </c>
      <c r="AR8" s="79" t="str">
        <f t="shared" si="17"/>
        <v/>
      </c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 t="str">
        <f t="shared" si="18"/>
        <v/>
      </c>
      <c r="BO8" s="20" t="str">
        <f t="shared" si="19"/>
        <v/>
      </c>
      <c r="BP8" s="20" t="str">
        <f t="shared" si="20"/>
        <v/>
      </c>
      <c r="BQ8" s="20" t="str">
        <f t="shared" si="21"/>
        <v/>
      </c>
      <c r="BR8" s="20" t="str">
        <f t="shared" si="22"/>
        <v/>
      </c>
      <c r="BS8" s="20" t="str">
        <f t="shared" si="23"/>
        <v/>
      </c>
      <c r="BT8" s="27">
        <v>17.100000000000001</v>
      </c>
      <c r="BU8" s="27">
        <v>3.9</v>
      </c>
      <c r="BV8" s="27">
        <v>0</v>
      </c>
      <c r="BW8" s="27">
        <v>0.3</v>
      </c>
      <c r="BX8" s="27">
        <v>16.52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16.899999999999999</v>
      </c>
      <c r="CG8" s="27">
        <v>3.9</v>
      </c>
      <c r="CH8" s="27">
        <v>0</v>
      </c>
      <c r="CI8" s="27">
        <v>0.3</v>
      </c>
      <c r="CJ8" s="27">
        <v>16.36</v>
      </c>
      <c r="CK8" s="27">
        <v>4.0999999999999996</v>
      </c>
      <c r="CL8" s="27">
        <v>0</v>
      </c>
      <c r="CM8" s="27">
        <v>0.3</v>
      </c>
      <c r="CN8" s="45"/>
      <c r="CO8" s="79">
        <f t="shared" si="24"/>
        <v>8</v>
      </c>
      <c r="CP8" s="79">
        <f t="shared" si="25"/>
        <v>42.22</v>
      </c>
      <c r="CQ8" s="79" t="str">
        <f t="shared" si="26"/>
        <v/>
      </c>
      <c r="CR8" s="79">
        <f t="shared" si="27"/>
        <v>8</v>
      </c>
      <c r="CS8" s="79">
        <f t="shared" si="28"/>
        <v>41.859999999999992</v>
      </c>
      <c r="CT8" s="79">
        <f t="shared" si="29"/>
        <v>84.079999999999984</v>
      </c>
      <c r="CU8" s="80" t="str">
        <f t="shared" si="30"/>
        <v/>
      </c>
      <c r="CV8" s="80" t="str">
        <f t="shared" si="31"/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 t="shared" si="32"/>
        <v/>
      </c>
      <c r="DR8" s="79" t="str">
        <f t="shared" si="33"/>
        <v/>
      </c>
      <c r="DS8" s="79" t="str">
        <f t="shared" si="34"/>
        <v/>
      </c>
      <c r="DT8" s="79" t="str">
        <f t="shared" si="35"/>
        <v/>
      </c>
      <c r="DU8" s="79" t="str">
        <f t="shared" si="36"/>
        <v/>
      </c>
      <c r="DV8" s="79" t="str">
        <f t="shared" si="37"/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 t="shared" si="38"/>
        <v/>
      </c>
      <c r="ER8" s="20" t="str">
        <f t="shared" si="39"/>
        <v/>
      </c>
      <c r="ES8" s="20" t="str">
        <f t="shared" si="40"/>
        <v/>
      </c>
      <c r="ET8" s="20" t="str">
        <f t="shared" si="41"/>
        <v/>
      </c>
      <c r="EU8" s="20" t="str">
        <f t="shared" si="42"/>
        <v/>
      </c>
      <c r="EV8" s="20" t="str">
        <f t="shared" si="43"/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 t="shared" si="44"/>
        <v/>
      </c>
      <c r="FR8" s="79" t="str">
        <f t="shared" si="45"/>
        <v/>
      </c>
      <c r="FS8" s="79" t="str">
        <f t="shared" si="46"/>
        <v/>
      </c>
      <c r="FT8" s="79" t="str">
        <f t="shared" si="47"/>
        <v/>
      </c>
      <c r="FU8" s="79" t="str">
        <f t="shared" si="48"/>
        <v/>
      </c>
      <c r="FV8" s="79" t="str">
        <f t="shared" si="49"/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 t="shared" si="50"/>
        <v/>
      </c>
      <c r="GR8" s="20" t="str">
        <f t="shared" si="51"/>
        <v/>
      </c>
      <c r="GS8" s="20" t="str">
        <f t="shared" si="52"/>
        <v/>
      </c>
      <c r="GT8" s="20" t="str">
        <f t="shared" si="53"/>
        <v/>
      </c>
      <c r="GU8" s="20" t="str">
        <f t="shared" si="54"/>
        <v/>
      </c>
      <c r="GV8" s="20" t="str">
        <f t="shared" si="55"/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 t="shared" si="56"/>
        <v/>
      </c>
      <c r="HR8" s="79" t="str">
        <f t="shared" si="57"/>
        <v/>
      </c>
      <c r="HS8" s="79" t="str">
        <f t="shared" si="58"/>
        <v/>
      </c>
      <c r="HT8" s="79" t="str">
        <f t="shared" si="59"/>
        <v/>
      </c>
      <c r="HU8" s="79" t="str">
        <f t="shared" si="60"/>
        <v/>
      </c>
      <c r="HV8" s="79" t="str">
        <f t="shared" si="61"/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 t="shared" si="62"/>
        <v/>
      </c>
      <c r="IR8" s="20" t="str">
        <f t="shared" si="63"/>
        <v/>
      </c>
      <c r="IS8" s="20" t="str">
        <f t="shared" si="64"/>
        <v/>
      </c>
      <c r="IT8" s="20" t="str">
        <f t="shared" si="65"/>
        <v/>
      </c>
      <c r="IU8" s="20" t="str">
        <f t="shared" si="66"/>
        <v/>
      </c>
      <c r="IV8" s="20" t="str">
        <f t="shared" si="67"/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 t="shared" si="68"/>
        <v/>
      </c>
      <c r="JR8" s="79" t="str">
        <f t="shared" si="69"/>
        <v/>
      </c>
      <c r="JS8" s="79" t="str">
        <f t="shared" si="70"/>
        <v/>
      </c>
      <c r="JT8" s="79" t="str">
        <f t="shared" si="71"/>
        <v/>
      </c>
      <c r="JU8" s="79" t="str">
        <f t="shared" si="72"/>
        <v/>
      </c>
      <c r="JV8" s="79" t="str">
        <f t="shared" si="73"/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 t="shared" si="74"/>
        <v/>
      </c>
      <c r="KR8" s="20" t="str">
        <f t="shared" si="75"/>
        <v/>
      </c>
      <c r="KS8" s="20" t="str">
        <f t="shared" si="76"/>
        <v/>
      </c>
      <c r="KT8" s="20" t="str">
        <f t="shared" si="77"/>
        <v/>
      </c>
      <c r="KU8" s="20" t="str">
        <f t="shared" si="78"/>
        <v/>
      </c>
      <c r="KV8" s="20" t="str">
        <f t="shared" si="79"/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 t="shared" si="80"/>
        <v/>
      </c>
      <c r="LR8" s="79" t="str">
        <f t="shared" si="81"/>
        <v/>
      </c>
      <c r="LS8" s="79" t="str">
        <f t="shared" si="82"/>
        <v/>
      </c>
      <c r="LT8" s="79" t="str">
        <f t="shared" si="83"/>
        <v/>
      </c>
      <c r="LU8" s="79" t="str">
        <f t="shared" si="84"/>
        <v/>
      </c>
      <c r="LV8" s="79" t="str">
        <f t="shared" si="85"/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 t="shared" si="86"/>
        <v/>
      </c>
      <c r="MR8" s="20" t="str">
        <f t="shared" si="87"/>
        <v/>
      </c>
      <c r="MS8" s="20" t="str">
        <f t="shared" si="88"/>
        <v/>
      </c>
      <c r="MT8" s="20" t="str">
        <f t="shared" si="89"/>
        <v/>
      </c>
      <c r="MU8" s="20" t="str">
        <f t="shared" si="90"/>
        <v/>
      </c>
      <c r="MV8" s="20" t="str">
        <f t="shared" si="91"/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 t="shared" si="92"/>
        <v/>
      </c>
      <c r="NR8" s="79" t="str">
        <f t="shared" si="93"/>
        <v/>
      </c>
      <c r="NS8" s="79" t="str">
        <f t="shared" si="94"/>
        <v/>
      </c>
      <c r="NT8" s="79" t="str">
        <f t="shared" si="95"/>
        <v/>
      </c>
      <c r="NU8" s="79" t="str">
        <f t="shared" si="96"/>
        <v/>
      </c>
      <c r="NV8" s="79" t="str">
        <f t="shared" si="97"/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 t="shared" si="98"/>
        <v/>
      </c>
      <c r="OR8" s="20" t="str">
        <f t="shared" si="99"/>
        <v/>
      </c>
      <c r="OS8" s="20" t="str">
        <f t="shared" si="100"/>
        <v/>
      </c>
      <c r="OT8" s="20" t="str">
        <f t="shared" si="101"/>
        <v/>
      </c>
      <c r="OU8" s="20" t="str">
        <f t="shared" si="102"/>
        <v/>
      </c>
      <c r="OV8" s="20" t="str">
        <f t="shared" si="103"/>
        <v/>
      </c>
      <c r="OW8" s="38">
        <f t="shared" si="104"/>
        <v>8.5500000000000007</v>
      </c>
      <c r="OX8" s="38">
        <f t="shared" si="105"/>
        <v>1.95</v>
      </c>
      <c r="OY8" s="38">
        <f t="shared" si="106"/>
        <v>0</v>
      </c>
      <c r="OZ8" s="38">
        <f t="shared" si="107"/>
        <v>0.15</v>
      </c>
      <c r="PA8" s="38">
        <f t="shared" si="108"/>
        <v>8.26</v>
      </c>
      <c r="PB8" s="38">
        <f t="shared" si="109"/>
        <v>2.0499999999999998</v>
      </c>
      <c r="PC8" s="38">
        <f t="shared" si="110"/>
        <v>0</v>
      </c>
      <c r="PD8" s="38">
        <f t="shared" si="111"/>
        <v>0.15</v>
      </c>
      <c r="PE8" s="38">
        <f t="shared" si="112"/>
        <v>0</v>
      </c>
      <c r="PF8" s="38">
        <f t="shared" si="113"/>
        <v>0</v>
      </c>
      <c r="PG8" s="38">
        <f t="shared" si="114"/>
        <v>0</v>
      </c>
      <c r="PH8" s="38">
        <f t="shared" si="115"/>
        <v>0</v>
      </c>
      <c r="PI8" s="38">
        <f t="shared" si="116"/>
        <v>8.4499999999999993</v>
      </c>
      <c r="PJ8" s="38">
        <f t="shared" si="117"/>
        <v>1.95</v>
      </c>
      <c r="PK8" s="38">
        <f t="shared" si="118"/>
        <v>0</v>
      </c>
      <c r="PL8" s="38">
        <f t="shared" si="119"/>
        <v>0.15</v>
      </c>
      <c r="PM8" s="38">
        <f t="shared" si="120"/>
        <v>8.18</v>
      </c>
      <c r="PN8" s="38">
        <f t="shared" si="121"/>
        <v>2.0499999999999998</v>
      </c>
      <c r="PO8" s="38">
        <f t="shared" si="122"/>
        <v>0</v>
      </c>
      <c r="PP8" s="38">
        <f t="shared" si="123"/>
        <v>0.15</v>
      </c>
      <c r="PQ8" s="45" t="s">
        <v>46</v>
      </c>
      <c r="PR8" s="79">
        <f t="shared" si="124"/>
        <v>4</v>
      </c>
      <c r="PS8" s="79">
        <f t="shared" si="125"/>
        <v>21.11</v>
      </c>
      <c r="PT8" s="79" t="str">
        <f t="shared" si="126"/>
        <v/>
      </c>
      <c r="PU8" s="79">
        <f t="shared" si="127"/>
        <v>4</v>
      </c>
      <c r="PV8" s="79">
        <f t="shared" si="128"/>
        <v>20.929999999999996</v>
      </c>
      <c r="PW8" s="79">
        <f t="shared" si="129"/>
        <v>42.039999999999992</v>
      </c>
    </row>
    <row r="9" spans="1:439" x14ac:dyDescent="0.2">
      <c r="A9" s="5" t="str">
        <f t="shared" si="0"/>
        <v/>
      </c>
      <c r="B9" s="78" t="s">
        <v>101</v>
      </c>
      <c r="C9" s="5" t="s">
        <v>4</v>
      </c>
      <c r="D9" s="5">
        <v>2001</v>
      </c>
      <c r="E9" s="15">
        <f t="shared" si="1"/>
        <v>83.780108378014162</v>
      </c>
      <c r="F9" s="3" t="str">
        <f t="shared" si="2"/>
        <v/>
      </c>
      <c r="G9" s="3" t="str">
        <f t="shared" si="3"/>
        <v/>
      </c>
      <c r="H9" s="67" t="str">
        <f t="shared" si="4"/>
        <v/>
      </c>
      <c r="I9" s="14">
        <f>IF(COUNT(AN9,BO9,CP9)&gt;0,LARGE((AN9,BO9,CP9),1),0)</f>
        <v>41.580000000000005</v>
      </c>
      <c r="J9" s="14" t="str">
        <f t="shared" si="5"/>
        <v>2022 Elite Canada</v>
      </c>
      <c r="K9" s="14">
        <f>IF(COUNT(AN9,BO9,CP9)&gt;1,LARGE((AN9,BO9,CP9),2),0)</f>
        <v>1E-4</v>
      </c>
      <c r="L9" s="14" t="str">
        <f t="shared" si="6"/>
        <v>2021 Canadian Championships</v>
      </c>
      <c r="M9" s="14">
        <f t="shared" si="7"/>
        <v>42.2</v>
      </c>
      <c r="N9" s="14" t="str">
        <f t="shared" si="8"/>
        <v>2022 Elite Canada</v>
      </c>
      <c r="O9" s="14" t="str">
        <f t="shared" si="9"/>
        <v/>
      </c>
      <c r="P9" s="20" t="str">
        <f t="shared" si="10"/>
        <v/>
      </c>
      <c r="Q9" s="14" t="str">
        <f t="shared" si="11"/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 t="shared" si="12"/>
        <v/>
      </c>
      <c r="AN9" s="79" t="str">
        <f t="shared" si="13"/>
        <v/>
      </c>
      <c r="AO9" s="79" t="str">
        <f t="shared" si="14"/>
        <v/>
      </c>
      <c r="AP9" s="79" t="str">
        <f t="shared" si="15"/>
        <v/>
      </c>
      <c r="AQ9" s="79" t="str">
        <f t="shared" si="16"/>
        <v/>
      </c>
      <c r="AR9" s="79" t="str">
        <f t="shared" si="17"/>
        <v/>
      </c>
      <c r="AS9" s="26"/>
      <c r="AT9" s="26">
        <v>1E-4</v>
      </c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>
        <f t="shared" si="18"/>
        <v>1E-4</v>
      </c>
      <c r="BO9" s="20">
        <f t="shared" si="19"/>
        <v>1E-4</v>
      </c>
      <c r="BP9" s="20" t="str">
        <f t="shared" si="20"/>
        <v/>
      </c>
      <c r="BQ9" s="20" t="str">
        <f t="shared" si="21"/>
        <v/>
      </c>
      <c r="BR9" s="20" t="str">
        <f t="shared" si="22"/>
        <v/>
      </c>
      <c r="BS9" s="20">
        <f t="shared" si="23"/>
        <v>1E-4</v>
      </c>
      <c r="BT9" s="27">
        <v>16.54</v>
      </c>
      <c r="BU9" s="27">
        <v>4.0999999999999996</v>
      </c>
      <c r="BV9" s="27">
        <v>0</v>
      </c>
      <c r="BW9" s="27">
        <v>0.3</v>
      </c>
      <c r="BX9" s="27">
        <v>16.54</v>
      </c>
      <c r="BY9" s="27">
        <v>3.5</v>
      </c>
      <c r="BZ9" s="27">
        <v>0</v>
      </c>
      <c r="CA9" s="27">
        <v>0.6</v>
      </c>
      <c r="CB9" s="27"/>
      <c r="CC9" s="27"/>
      <c r="CD9" s="27"/>
      <c r="CE9" s="27"/>
      <c r="CF9" s="27">
        <v>16.899999999999999</v>
      </c>
      <c r="CG9" s="27">
        <v>4.0999999999999996</v>
      </c>
      <c r="CH9" s="27">
        <v>0</v>
      </c>
      <c r="CI9" s="27">
        <v>0.3</v>
      </c>
      <c r="CJ9" s="27">
        <v>16.399999999999999</v>
      </c>
      <c r="CK9" s="27">
        <v>3.9</v>
      </c>
      <c r="CL9" s="27">
        <v>0</v>
      </c>
      <c r="CM9" s="27">
        <v>0.6</v>
      </c>
      <c r="CN9" s="45"/>
      <c r="CO9" s="79">
        <f t="shared" si="24"/>
        <v>7.6</v>
      </c>
      <c r="CP9" s="79">
        <f t="shared" si="25"/>
        <v>41.580000000000005</v>
      </c>
      <c r="CQ9" s="79" t="str">
        <f t="shared" si="26"/>
        <v/>
      </c>
      <c r="CR9" s="79">
        <f t="shared" si="27"/>
        <v>8</v>
      </c>
      <c r="CS9" s="79">
        <f t="shared" si="28"/>
        <v>42.2</v>
      </c>
      <c r="CT9" s="79">
        <f t="shared" si="29"/>
        <v>83.78</v>
      </c>
      <c r="CU9" s="80" t="str">
        <f t="shared" si="30"/>
        <v/>
      </c>
      <c r="CV9" s="80" t="str">
        <f t="shared" si="31"/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 t="shared" si="32"/>
        <v/>
      </c>
      <c r="DR9" s="79" t="str">
        <f t="shared" si="33"/>
        <v/>
      </c>
      <c r="DS9" s="79" t="str">
        <f t="shared" si="34"/>
        <v/>
      </c>
      <c r="DT9" s="79" t="str">
        <f t="shared" si="35"/>
        <v/>
      </c>
      <c r="DU9" s="79" t="str">
        <f t="shared" si="36"/>
        <v/>
      </c>
      <c r="DV9" s="79" t="str">
        <f t="shared" si="37"/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 t="shared" si="38"/>
        <v/>
      </c>
      <c r="ER9" s="20" t="str">
        <f t="shared" si="39"/>
        <v/>
      </c>
      <c r="ES9" s="20" t="str">
        <f t="shared" si="40"/>
        <v/>
      </c>
      <c r="ET9" s="20" t="str">
        <f t="shared" si="41"/>
        <v/>
      </c>
      <c r="EU9" s="20" t="str">
        <f t="shared" si="42"/>
        <v/>
      </c>
      <c r="EV9" s="20" t="str">
        <f t="shared" si="43"/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 t="shared" si="44"/>
        <v/>
      </c>
      <c r="FR9" s="79" t="str">
        <f t="shared" si="45"/>
        <v/>
      </c>
      <c r="FS9" s="79" t="str">
        <f t="shared" si="46"/>
        <v/>
      </c>
      <c r="FT9" s="79" t="str">
        <f t="shared" si="47"/>
        <v/>
      </c>
      <c r="FU9" s="79" t="str">
        <f t="shared" si="48"/>
        <v/>
      </c>
      <c r="FV9" s="79" t="str">
        <f t="shared" si="49"/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 t="shared" si="50"/>
        <v/>
      </c>
      <c r="GR9" s="20" t="str">
        <f t="shared" si="51"/>
        <v/>
      </c>
      <c r="GS9" s="20" t="str">
        <f t="shared" si="52"/>
        <v/>
      </c>
      <c r="GT9" s="20" t="str">
        <f t="shared" si="53"/>
        <v/>
      </c>
      <c r="GU9" s="20" t="str">
        <f t="shared" si="54"/>
        <v/>
      </c>
      <c r="GV9" s="20" t="str">
        <f t="shared" si="55"/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 t="shared" si="56"/>
        <v/>
      </c>
      <c r="HR9" s="79" t="str">
        <f t="shared" si="57"/>
        <v/>
      </c>
      <c r="HS9" s="79" t="str">
        <f t="shared" si="58"/>
        <v/>
      </c>
      <c r="HT9" s="79" t="str">
        <f t="shared" si="59"/>
        <v/>
      </c>
      <c r="HU9" s="79" t="str">
        <f t="shared" si="60"/>
        <v/>
      </c>
      <c r="HV9" s="79" t="str">
        <f t="shared" si="61"/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 t="shared" si="62"/>
        <v/>
      </c>
      <c r="IR9" s="20" t="str">
        <f t="shared" si="63"/>
        <v/>
      </c>
      <c r="IS9" s="20" t="str">
        <f t="shared" si="64"/>
        <v/>
      </c>
      <c r="IT9" s="20" t="str">
        <f t="shared" si="65"/>
        <v/>
      </c>
      <c r="IU9" s="20" t="str">
        <f t="shared" si="66"/>
        <v/>
      </c>
      <c r="IV9" s="20" t="str">
        <f t="shared" si="67"/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 t="shared" si="68"/>
        <v/>
      </c>
      <c r="JR9" s="79" t="str">
        <f t="shared" si="69"/>
        <v/>
      </c>
      <c r="JS9" s="79" t="str">
        <f t="shared" si="70"/>
        <v/>
      </c>
      <c r="JT9" s="79" t="str">
        <f t="shared" si="71"/>
        <v/>
      </c>
      <c r="JU9" s="79" t="str">
        <f t="shared" si="72"/>
        <v/>
      </c>
      <c r="JV9" s="79" t="str">
        <f t="shared" si="73"/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 t="shared" si="74"/>
        <v/>
      </c>
      <c r="KR9" s="20" t="str">
        <f t="shared" si="75"/>
        <v/>
      </c>
      <c r="KS9" s="20" t="str">
        <f t="shared" si="76"/>
        <v/>
      </c>
      <c r="KT9" s="20" t="str">
        <f t="shared" si="77"/>
        <v/>
      </c>
      <c r="KU9" s="20" t="str">
        <f t="shared" si="78"/>
        <v/>
      </c>
      <c r="KV9" s="20" t="str">
        <f t="shared" si="79"/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 t="shared" si="80"/>
        <v/>
      </c>
      <c r="LR9" s="79" t="str">
        <f t="shared" si="81"/>
        <v/>
      </c>
      <c r="LS9" s="79" t="str">
        <f t="shared" si="82"/>
        <v/>
      </c>
      <c r="LT9" s="79" t="str">
        <f t="shared" si="83"/>
        <v/>
      </c>
      <c r="LU9" s="79" t="str">
        <f t="shared" si="84"/>
        <v/>
      </c>
      <c r="LV9" s="79" t="str">
        <f t="shared" si="85"/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 t="shared" si="86"/>
        <v/>
      </c>
      <c r="MR9" s="20" t="str">
        <f t="shared" si="87"/>
        <v/>
      </c>
      <c r="MS9" s="20" t="str">
        <f t="shared" si="88"/>
        <v/>
      </c>
      <c r="MT9" s="20" t="str">
        <f t="shared" si="89"/>
        <v/>
      </c>
      <c r="MU9" s="20" t="str">
        <f t="shared" si="90"/>
        <v/>
      </c>
      <c r="MV9" s="20" t="str">
        <f t="shared" si="91"/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 t="shared" si="92"/>
        <v/>
      </c>
      <c r="NR9" s="79" t="str">
        <f t="shared" si="93"/>
        <v/>
      </c>
      <c r="NS9" s="79" t="str">
        <f t="shared" si="94"/>
        <v/>
      </c>
      <c r="NT9" s="79" t="str">
        <f t="shared" si="95"/>
        <v/>
      </c>
      <c r="NU9" s="79" t="str">
        <f t="shared" si="96"/>
        <v/>
      </c>
      <c r="NV9" s="79" t="str">
        <f t="shared" si="97"/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 t="shared" si="98"/>
        <v/>
      </c>
      <c r="OR9" s="20" t="str">
        <f t="shared" si="99"/>
        <v/>
      </c>
      <c r="OS9" s="20" t="str">
        <f t="shared" si="100"/>
        <v/>
      </c>
      <c r="OT9" s="20" t="str">
        <f t="shared" si="101"/>
        <v/>
      </c>
      <c r="OU9" s="20" t="str">
        <f t="shared" si="102"/>
        <v/>
      </c>
      <c r="OV9" s="20" t="str">
        <f t="shared" si="103"/>
        <v/>
      </c>
      <c r="OW9" s="38">
        <f t="shared" si="104"/>
        <v>8.27</v>
      </c>
      <c r="OX9" s="38">
        <f t="shared" si="105"/>
        <v>2.0500499999999997</v>
      </c>
      <c r="OY9" s="38">
        <f t="shared" si="106"/>
        <v>0</v>
      </c>
      <c r="OZ9" s="38">
        <f t="shared" si="107"/>
        <v>0.15</v>
      </c>
      <c r="PA9" s="38">
        <f t="shared" si="108"/>
        <v>8.27</v>
      </c>
      <c r="PB9" s="38">
        <f t="shared" si="109"/>
        <v>1.75</v>
      </c>
      <c r="PC9" s="38">
        <f t="shared" si="110"/>
        <v>0</v>
      </c>
      <c r="PD9" s="38">
        <f t="shared" si="111"/>
        <v>0.3</v>
      </c>
      <c r="PE9" s="38">
        <f t="shared" si="112"/>
        <v>0</v>
      </c>
      <c r="PF9" s="38">
        <f t="shared" si="113"/>
        <v>0</v>
      </c>
      <c r="PG9" s="38">
        <f t="shared" si="114"/>
        <v>0</v>
      </c>
      <c r="PH9" s="38">
        <f t="shared" si="115"/>
        <v>0</v>
      </c>
      <c r="PI9" s="38">
        <f t="shared" si="116"/>
        <v>8.4499999999999993</v>
      </c>
      <c r="PJ9" s="38">
        <f t="shared" si="117"/>
        <v>2.0499999999999998</v>
      </c>
      <c r="PK9" s="38">
        <f t="shared" si="118"/>
        <v>0</v>
      </c>
      <c r="PL9" s="38">
        <f t="shared" si="119"/>
        <v>0.15</v>
      </c>
      <c r="PM9" s="38">
        <f t="shared" si="120"/>
        <v>8.1999999999999993</v>
      </c>
      <c r="PN9" s="38">
        <f t="shared" si="121"/>
        <v>1.95</v>
      </c>
      <c r="PO9" s="38">
        <f t="shared" si="122"/>
        <v>0</v>
      </c>
      <c r="PP9" s="38">
        <f t="shared" si="123"/>
        <v>0.3</v>
      </c>
      <c r="PQ9" s="45" t="s">
        <v>46</v>
      </c>
      <c r="PR9" s="79">
        <f t="shared" si="124"/>
        <v>3.8000499999999997</v>
      </c>
      <c r="PS9" s="79">
        <f t="shared" si="125"/>
        <v>20.790049999999997</v>
      </c>
      <c r="PT9" s="79" t="str">
        <f t="shared" si="126"/>
        <v/>
      </c>
      <c r="PU9" s="79">
        <f t="shared" si="127"/>
        <v>4</v>
      </c>
      <c r="PV9" s="79">
        <f t="shared" si="128"/>
        <v>21.1</v>
      </c>
      <c r="PW9" s="79">
        <f t="shared" si="129"/>
        <v>41.890050000000002</v>
      </c>
    </row>
    <row r="10" spans="1:439" x14ac:dyDescent="0.2">
      <c r="A10" s="5" t="str">
        <f t="shared" si="0"/>
        <v/>
      </c>
      <c r="B10" s="78" t="s">
        <v>120</v>
      </c>
      <c r="C10" s="5" t="s">
        <v>3</v>
      </c>
      <c r="D10" s="5">
        <v>2004</v>
      </c>
      <c r="E10" s="15">
        <f t="shared" si="1"/>
        <v>83.760008376004151</v>
      </c>
      <c r="F10" s="3" t="str">
        <f t="shared" si="2"/>
        <v/>
      </c>
      <c r="G10" s="3" t="str">
        <f t="shared" si="3"/>
        <v/>
      </c>
      <c r="H10" s="67" t="str">
        <f t="shared" si="4"/>
        <v/>
      </c>
      <c r="I10" s="14">
        <f>IF(COUNT(AN10,BO10,CP10)&gt;0,LARGE((AN10,BO10,CP10),1),0)</f>
        <v>41.6</v>
      </c>
      <c r="J10" s="14" t="str">
        <f t="shared" si="5"/>
        <v>2022 Elite Canada</v>
      </c>
      <c r="K10" s="14">
        <f>IF(COUNT(AN10,BO10,CP10)&gt;1,LARGE((AN10,BO10,CP10),2),0)</f>
        <v>0</v>
      </c>
      <c r="L10" s="14" t="str">
        <f t="shared" si="6"/>
        <v/>
      </c>
      <c r="M10" s="14">
        <f t="shared" si="7"/>
        <v>42.159999999999989</v>
      </c>
      <c r="N10" s="14" t="str">
        <f t="shared" si="8"/>
        <v>2022 Elite Canada</v>
      </c>
      <c r="O10" s="14" t="str">
        <f t="shared" si="9"/>
        <v/>
      </c>
      <c r="P10" s="20" t="str">
        <f t="shared" si="10"/>
        <v/>
      </c>
      <c r="Q10" s="14" t="str">
        <f t="shared" si="11"/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 t="shared" si="12"/>
        <v/>
      </c>
      <c r="AN10" s="79" t="str">
        <f t="shared" si="13"/>
        <v/>
      </c>
      <c r="AO10" s="79" t="str">
        <f t="shared" si="14"/>
        <v/>
      </c>
      <c r="AP10" s="79" t="str">
        <f t="shared" si="15"/>
        <v/>
      </c>
      <c r="AQ10" s="79" t="str">
        <f t="shared" si="16"/>
        <v/>
      </c>
      <c r="AR10" s="79" t="str">
        <f t="shared" si="17"/>
        <v/>
      </c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 t="str">
        <f t="shared" si="18"/>
        <v/>
      </c>
      <c r="BO10" s="20" t="str">
        <f t="shared" si="19"/>
        <v/>
      </c>
      <c r="BP10" s="20" t="str">
        <f t="shared" si="20"/>
        <v/>
      </c>
      <c r="BQ10" s="20" t="str">
        <f t="shared" si="21"/>
        <v/>
      </c>
      <c r="BR10" s="20" t="str">
        <f t="shared" si="22"/>
        <v/>
      </c>
      <c r="BS10" s="20" t="str">
        <f t="shared" si="23"/>
        <v/>
      </c>
      <c r="BT10" s="27">
        <v>16.5</v>
      </c>
      <c r="BU10" s="27">
        <v>4.0999999999999996</v>
      </c>
      <c r="BV10" s="27">
        <v>0</v>
      </c>
      <c r="BW10" s="27">
        <v>0.3</v>
      </c>
      <c r="BX10" s="27">
        <v>16.5</v>
      </c>
      <c r="BY10" s="27">
        <v>3.9</v>
      </c>
      <c r="BZ10" s="27">
        <v>0</v>
      </c>
      <c r="CA10" s="27">
        <v>0.3</v>
      </c>
      <c r="CB10" s="27"/>
      <c r="CC10" s="27"/>
      <c r="CD10" s="27"/>
      <c r="CE10" s="27"/>
      <c r="CF10" s="27">
        <v>16.7</v>
      </c>
      <c r="CG10" s="27">
        <v>4.0999999999999996</v>
      </c>
      <c r="CH10" s="27">
        <v>0</v>
      </c>
      <c r="CI10" s="27">
        <v>0.3</v>
      </c>
      <c r="CJ10" s="27">
        <v>16.86</v>
      </c>
      <c r="CK10" s="27">
        <v>3.9</v>
      </c>
      <c r="CL10" s="27">
        <v>0</v>
      </c>
      <c r="CM10" s="27">
        <v>0.3</v>
      </c>
      <c r="CN10" s="45"/>
      <c r="CO10" s="79">
        <f t="shared" si="24"/>
        <v>8</v>
      </c>
      <c r="CP10" s="79">
        <f t="shared" si="25"/>
        <v>41.6</v>
      </c>
      <c r="CQ10" s="79" t="str">
        <f t="shared" si="26"/>
        <v/>
      </c>
      <c r="CR10" s="79">
        <f t="shared" si="27"/>
        <v>8</v>
      </c>
      <c r="CS10" s="79">
        <f t="shared" si="28"/>
        <v>42.159999999999989</v>
      </c>
      <c r="CT10" s="79">
        <f t="shared" si="29"/>
        <v>83.759999999999991</v>
      </c>
      <c r="CU10" s="80" t="str">
        <f t="shared" si="30"/>
        <v/>
      </c>
      <c r="CV10" s="80" t="str">
        <f t="shared" si="31"/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 t="shared" si="32"/>
        <v/>
      </c>
      <c r="DR10" s="79" t="str">
        <f t="shared" si="33"/>
        <v/>
      </c>
      <c r="DS10" s="79" t="str">
        <f t="shared" si="34"/>
        <v/>
      </c>
      <c r="DT10" s="79" t="str">
        <f t="shared" si="35"/>
        <v/>
      </c>
      <c r="DU10" s="79" t="str">
        <f t="shared" si="36"/>
        <v/>
      </c>
      <c r="DV10" s="79" t="str">
        <f t="shared" si="37"/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 t="shared" si="38"/>
        <v/>
      </c>
      <c r="ER10" s="20" t="str">
        <f t="shared" si="39"/>
        <v/>
      </c>
      <c r="ES10" s="20" t="str">
        <f t="shared" si="40"/>
        <v/>
      </c>
      <c r="ET10" s="20" t="str">
        <f t="shared" si="41"/>
        <v/>
      </c>
      <c r="EU10" s="20" t="str">
        <f t="shared" si="42"/>
        <v/>
      </c>
      <c r="EV10" s="20" t="str">
        <f t="shared" si="43"/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 t="shared" si="44"/>
        <v/>
      </c>
      <c r="FR10" s="79" t="str">
        <f t="shared" si="45"/>
        <v/>
      </c>
      <c r="FS10" s="79" t="str">
        <f t="shared" si="46"/>
        <v/>
      </c>
      <c r="FT10" s="79" t="str">
        <f t="shared" si="47"/>
        <v/>
      </c>
      <c r="FU10" s="79" t="str">
        <f t="shared" si="48"/>
        <v/>
      </c>
      <c r="FV10" s="79" t="str">
        <f t="shared" si="49"/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 t="shared" si="50"/>
        <v/>
      </c>
      <c r="GR10" s="20" t="str">
        <f t="shared" si="51"/>
        <v/>
      </c>
      <c r="GS10" s="20" t="str">
        <f t="shared" si="52"/>
        <v/>
      </c>
      <c r="GT10" s="20" t="str">
        <f t="shared" si="53"/>
        <v/>
      </c>
      <c r="GU10" s="20" t="str">
        <f t="shared" si="54"/>
        <v/>
      </c>
      <c r="GV10" s="20" t="str">
        <f t="shared" si="55"/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 t="shared" si="56"/>
        <v/>
      </c>
      <c r="HR10" s="79" t="str">
        <f t="shared" si="57"/>
        <v/>
      </c>
      <c r="HS10" s="79" t="str">
        <f t="shared" si="58"/>
        <v/>
      </c>
      <c r="HT10" s="79" t="str">
        <f t="shared" si="59"/>
        <v/>
      </c>
      <c r="HU10" s="79" t="str">
        <f t="shared" si="60"/>
        <v/>
      </c>
      <c r="HV10" s="79" t="str">
        <f t="shared" si="61"/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 t="shared" si="62"/>
        <v/>
      </c>
      <c r="IR10" s="20" t="str">
        <f t="shared" si="63"/>
        <v/>
      </c>
      <c r="IS10" s="20" t="str">
        <f t="shared" si="64"/>
        <v/>
      </c>
      <c r="IT10" s="20" t="str">
        <f t="shared" si="65"/>
        <v/>
      </c>
      <c r="IU10" s="20" t="str">
        <f t="shared" si="66"/>
        <v/>
      </c>
      <c r="IV10" s="20" t="str">
        <f t="shared" si="67"/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 t="shared" si="68"/>
        <v/>
      </c>
      <c r="JR10" s="79" t="str">
        <f t="shared" si="69"/>
        <v/>
      </c>
      <c r="JS10" s="79" t="str">
        <f t="shared" si="70"/>
        <v/>
      </c>
      <c r="JT10" s="79" t="str">
        <f t="shared" si="71"/>
        <v/>
      </c>
      <c r="JU10" s="79" t="str">
        <f t="shared" si="72"/>
        <v/>
      </c>
      <c r="JV10" s="79" t="str">
        <f t="shared" si="73"/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 t="shared" si="74"/>
        <v/>
      </c>
      <c r="KR10" s="20" t="str">
        <f t="shared" si="75"/>
        <v/>
      </c>
      <c r="KS10" s="20" t="str">
        <f t="shared" si="76"/>
        <v/>
      </c>
      <c r="KT10" s="20" t="str">
        <f t="shared" si="77"/>
        <v/>
      </c>
      <c r="KU10" s="20" t="str">
        <f t="shared" si="78"/>
        <v/>
      </c>
      <c r="KV10" s="20" t="str">
        <f t="shared" si="79"/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 t="shared" si="80"/>
        <v/>
      </c>
      <c r="LR10" s="79" t="str">
        <f t="shared" si="81"/>
        <v/>
      </c>
      <c r="LS10" s="79" t="str">
        <f t="shared" si="82"/>
        <v/>
      </c>
      <c r="LT10" s="79" t="str">
        <f t="shared" si="83"/>
        <v/>
      </c>
      <c r="LU10" s="79" t="str">
        <f t="shared" si="84"/>
        <v/>
      </c>
      <c r="LV10" s="79" t="str">
        <f t="shared" si="85"/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 t="shared" si="86"/>
        <v/>
      </c>
      <c r="MR10" s="20" t="str">
        <f t="shared" si="87"/>
        <v/>
      </c>
      <c r="MS10" s="20" t="str">
        <f t="shared" si="88"/>
        <v/>
      </c>
      <c r="MT10" s="20" t="str">
        <f t="shared" si="89"/>
        <v/>
      </c>
      <c r="MU10" s="20" t="str">
        <f t="shared" si="90"/>
        <v/>
      </c>
      <c r="MV10" s="20" t="str">
        <f t="shared" si="91"/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 t="shared" si="92"/>
        <v/>
      </c>
      <c r="NR10" s="79" t="str">
        <f t="shared" si="93"/>
        <v/>
      </c>
      <c r="NS10" s="79" t="str">
        <f t="shared" si="94"/>
        <v/>
      </c>
      <c r="NT10" s="79" t="str">
        <f t="shared" si="95"/>
        <v/>
      </c>
      <c r="NU10" s="79" t="str">
        <f t="shared" si="96"/>
        <v/>
      </c>
      <c r="NV10" s="79" t="str">
        <f t="shared" si="97"/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 t="shared" si="98"/>
        <v/>
      </c>
      <c r="OR10" s="20" t="str">
        <f t="shared" si="99"/>
        <v/>
      </c>
      <c r="OS10" s="20" t="str">
        <f t="shared" si="100"/>
        <v/>
      </c>
      <c r="OT10" s="20" t="str">
        <f t="shared" si="101"/>
        <v/>
      </c>
      <c r="OU10" s="20" t="str">
        <f t="shared" si="102"/>
        <v/>
      </c>
      <c r="OV10" s="20" t="str">
        <f t="shared" si="103"/>
        <v/>
      </c>
      <c r="OW10" s="38">
        <f t="shared" si="104"/>
        <v>8.25</v>
      </c>
      <c r="OX10" s="38">
        <f t="shared" si="105"/>
        <v>2.0499999999999998</v>
      </c>
      <c r="OY10" s="38">
        <f t="shared" si="106"/>
        <v>0</v>
      </c>
      <c r="OZ10" s="38">
        <f t="shared" si="107"/>
        <v>0.15</v>
      </c>
      <c r="PA10" s="38">
        <f t="shared" si="108"/>
        <v>8.25</v>
      </c>
      <c r="PB10" s="38">
        <f t="shared" si="109"/>
        <v>1.95</v>
      </c>
      <c r="PC10" s="38">
        <f t="shared" si="110"/>
        <v>0</v>
      </c>
      <c r="PD10" s="38">
        <f t="shared" si="111"/>
        <v>0.15</v>
      </c>
      <c r="PE10" s="38">
        <f t="shared" si="112"/>
        <v>0</v>
      </c>
      <c r="PF10" s="38">
        <f t="shared" si="113"/>
        <v>0</v>
      </c>
      <c r="PG10" s="38">
        <f t="shared" si="114"/>
        <v>0</v>
      </c>
      <c r="PH10" s="38">
        <f t="shared" si="115"/>
        <v>0</v>
      </c>
      <c r="PI10" s="38">
        <f t="shared" si="116"/>
        <v>8.35</v>
      </c>
      <c r="PJ10" s="38">
        <f t="shared" si="117"/>
        <v>2.0499999999999998</v>
      </c>
      <c r="PK10" s="38">
        <f t="shared" si="118"/>
        <v>0</v>
      </c>
      <c r="PL10" s="38">
        <f t="shared" si="119"/>
        <v>0.15</v>
      </c>
      <c r="PM10" s="38">
        <f t="shared" si="120"/>
        <v>8.43</v>
      </c>
      <c r="PN10" s="38">
        <f t="shared" si="121"/>
        <v>1.95</v>
      </c>
      <c r="PO10" s="38">
        <f t="shared" si="122"/>
        <v>0</v>
      </c>
      <c r="PP10" s="38">
        <f t="shared" si="123"/>
        <v>0.15</v>
      </c>
      <c r="PQ10" s="45" t="s">
        <v>46</v>
      </c>
      <c r="PR10" s="79">
        <f t="shared" si="124"/>
        <v>4</v>
      </c>
      <c r="PS10" s="79">
        <f t="shared" si="125"/>
        <v>20.8</v>
      </c>
      <c r="PT10" s="79" t="str">
        <f t="shared" si="126"/>
        <v/>
      </c>
      <c r="PU10" s="79">
        <f t="shared" si="127"/>
        <v>4</v>
      </c>
      <c r="PV10" s="79">
        <f t="shared" si="128"/>
        <v>21.079999999999995</v>
      </c>
      <c r="PW10" s="79">
        <f t="shared" si="129"/>
        <v>41.879999999999995</v>
      </c>
    </row>
    <row r="11" spans="1:439" x14ac:dyDescent="0.2">
      <c r="A11" s="5" t="str">
        <f t="shared" si="0"/>
        <v/>
      </c>
      <c r="B11" s="78" t="s">
        <v>97</v>
      </c>
      <c r="C11" s="5" t="s">
        <v>5</v>
      </c>
      <c r="D11" s="5">
        <v>2001</v>
      </c>
      <c r="E11" s="15">
        <f t="shared" si="1"/>
        <v>81.220008122003961</v>
      </c>
      <c r="F11" s="3" t="str">
        <f t="shared" si="2"/>
        <v/>
      </c>
      <c r="G11" s="3" t="str">
        <f t="shared" si="3"/>
        <v/>
      </c>
      <c r="H11" s="67" t="str">
        <f t="shared" si="4"/>
        <v/>
      </c>
      <c r="I11" s="14">
        <f>IF(COUNT(AN11,BO11,CP11)&gt;0,LARGE((AN11,BO11,CP11),1),0)</f>
        <v>39.699999999999996</v>
      </c>
      <c r="J11" s="14" t="str">
        <f t="shared" si="5"/>
        <v>2022 Elite Canada</v>
      </c>
      <c r="K11" s="14">
        <f>IF(COUNT(AN11,BO11,CP11)&gt;1,LARGE((AN11,BO11,CP11),2),0)</f>
        <v>0</v>
      </c>
      <c r="L11" s="14" t="str">
        <f t="shared" si="6"/>
        <v/>
      </c>
      <c r="M11" s="14">
        <f t="shared" si="7"/>
        <v>41.519999999999996</v>
      </c>
      <c r="N11" s="14" t="str">
        <f t="shared" si="8"/>
        <v>2022 Elite Canada</v>
      </c>
      <c r="O11" s="14" t="str">
        <f t="shared" si="9"/>
        <v/>
      </c>
      <c r="P11" s="20" t="str">
        <f t="shared" si="10"/>
        <v/>
      </c>
      <c r="Q11" s="14" t="str">
        <f t="shared" si="11"/>
        <v/>
      </c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 t="str">
        <f t="shared" si="12"/>
        <v/>
      </c>
      <c r="AN11" s="79" t="str">
        <f t="shared" si="13"/>
        <v/>
      </c>
      <c r="AO11" s="79" t="str">
        <f t="shared" si="14"/>
        <v/>
      </c>
      <c r="AP11" s="79" t="str">
        <f t="shared" si="15"/>
        <v/>
      </c>
      <c r="AQ11" s="79" t="str">
        <f t="shared" si="16"/>
        <v/>
      </c>
      <c r="AR11" s="79" t="str">
        <f t="shared" si="17"/>
        <v/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 t="shared" si="18"/>
        <v/>
      </c>
      <c r="BO11" s="20" t="str">
        <f t="shared" si="19"/>
        <v/>
      </c>
      <c r="BP11" s="20" t="str">
        <f t="shared" si="20"/>
        <v/>
      </c>
      <c r="BQ11" s="20" t="str">
        <f t="shared" si="21"/>
        <v/>
      </c>
      <c r="BR11" s="20" t="str">
        <f t="shared" si="22"/>
        <v/>
      </c>
      <c r="BS11" s="20" t="str">
        <f t="shared" si="23"/>
        <v/>
      </c>
      <c r="BT11" s="27">
        <v>14.8</v>
      </c>
      <c r="BU11" s="27">
        <v>4.0999999999999996</v>
      </c>
      <c r="BV11" s="27">
        <v>0</v>
      </c>
      <c r="BW11" s="27">
        <v>0.3</v>
      </c>
      <c r="BX11" s="27">
        <v>16.3</v>
      </c>
      <c r="BY11" s="27">
        <v>3.9</v>
      </c>
      <c r="BZ11" s="27">
        <v>0</v>
      </c>
      <c r="CA11" s="27">
        <v>0.3</v>
      </c>
      <c r="CB11" s="27"/>
      <c r="CC11" s="27"/>
      <c r="CD11" s="27"/>
      <c r="CE11" s="27"/>
      <c r="CF11" s="27">
        <v>16.5</v>
      </c>
      <c r="CG11" s="27">
        <v>4.0999999999999996</v>
      </c>
      <c r="CH11" s="27">
        <v>0</v>
      </c>
      <c r="CI11" s="27">
        <v>0.3</v>
      </c>
      <c r="CJ11" s="27">
        <v>16.62</v>
      </c>
      <c r="CK11" s="27">
        <v>3.9</v>
      </c>
      <c r="CL11" s="27">
        <v>0.2</v>
      </c>
      <c r="CM11" s="27">
        <v>0.3</v>
      </c>
      <c r="CN11" s="45"/>
      <c r="CO11" s="79">
        <f t="shared" si="24"/>
        <v>8</v>
      </c>
      <c r="CP11" s="79">
        <f t="shared" si="25"/>
        <v>39.699999999999996</v>
      </c>
      <c r="CQ11" s="79" t="str">
        <f t="shared" si="26"/>
        <v/>
      </c>
      <c r="CR11" s="79">
        <f t="shared" si="27"/>
        <v>8</v>
      </c>
      <c r="CS11" s="79">
        <f t="shared" si="28"/>
        <v>41.519999999999996</v>
      </c>
      <c r="CT11" s="79">
        <f t="shared" si="29"/>
        <v>81.22</v>
      </c>
      <c r="CU11" s="80" t="str">
        <f t="shared" si="30"/>
        <v/>
      </c>
      <c r="CV11" s="80" t="str">
        <f t="shared" si="31"/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 t="shared" si="32"/>
        <v/>
      </c>
      <c r="DR11" s="79" t="str">
        <f t="shared" si="33"/>
        <v/>
      </c>
      <c r="DS11" s="79" t="str">
        <f t="shared" si="34"/>
        <v/>
      </c>
      <c r="DT11" s="79" t="str">
        <f t="shared" si="35"/>
        <v/>
      </c>
      <c r="DU11" s="79" t="str">
        <f t="shared" si="36"/>
        <v/>
      </c>
      <c r="DV11" s="79" t="str">
        <f t="shared" si="37"/>
        <v/>
      </c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 t="str">
        <f t="shared" si="38"/>
        <v/>
      </c>
      <c r="ER11" s="20" t="str">
        <f t="shared" si="39"/>
        <v/>
      </c>
      <c r="ES11" s="20" t="str">
        <f t="shared" si="40"/>
        <v/>
      </c>
      <c r="ET11" s="20" t="str">
        <f t="shared" si="41"/>
        <v/>
      </c>
      <c r="EU11" s="20" t="str">
        <f t="shared" si="42"/>
        <v/>
      </c>
      <c r="EV11" s="20" t="str">
        <f t="shared" si="43"/>
        <v/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 t="shared" si="44"/>
        <v/>
      </c>
      <c r="FR11" s="79" t="str">
        <f t="shared" si="45"/>
        <v/>
      </c>
      <c r="FS11" s="79" t="str">
        <f t="shared" si="46"/>
        <v/>
      </c>
      <c r="FT11" s="79" t="str">
        <f t="shared" si="47"/>
        <v/>
      </c>
      <c r="FU11" s="79" t="str">
        <f t="shared" si="48"/>
        <v/>
      </c>
      <c r="FV11" s="79" t="str">
        <f t="shared" si="49"/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 t="shared" si="50"/>
        <v/>
      </c>
      <c r="GR11" s="20" t="str">
        <f t="shared" si="51"/>
        <v/>
      </c>
      <c r="GS11" s="20" t="str">
        <f t="shared" si="52"/>
        <v/>
      </c>
      <c r="GT11" s="20" t="str">
        <f t="shared" si="53"/>
        <v/>
      </c>
      <c r="GU11" s="20" t="str">
        <f t="shared" si="54"/>
        <v/>
      </c>
      <c r="GV11" s="20" t="str">
        <f t="shared" si="55"/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 t="shared" si="56"/>
        <v/>
      </c>
      <c r="HR11" s="79" t="str">
        <f t="shared" si="57"/>
        <v/>
      </c>
      <c r="HS11" s="79" t="str">
        <f t="shared" si="58"/>
        <v/>
      </c>
      <c r="HT11" s="79" t="str">
        <f t="shared" si="59"/>
        <v/>
      </c>
      <c r="HU11" s="79" t="str">
        <f t="shared" si="60"/>
        <v/>
      </c>
      <c r="HV11" s="79" t="str">
        <f t="shared" si="61"/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 t="shared" si="62"/>
        <v/>
      </c>
      <c r="IR11" s="20" t="str">
        <f t="shared" si="63"/>
        <v/>
      </c>
      <c r="IS11" s="20" t="str">
        <f t="shared" si="64"/>
        <v/>
      </c>
      <c r="IT11" s="20" t="str">
        <f t="shared" si="65"/>
        <v/>
      </c>
      <c r="IU11" s="20" t="str">
        <f t="shared" si="66"/>
        <v/>
      </c>
      <c r="IV11" s="20" t="str">
        <f t="shared" si="67"/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 t="shared" si="68"/>
        <v/>
      </c>
      <c r="JR11" s="79" t="str">
        <f t="shared" si="69"/>
        <v/>
      </c>
      <c r="JS11" s="79" t="str">
        <f t="shared" si="70"/>
        <v/>
      </c>
      <c r="JT11" s="79" t="str">
        <f t="shared" si="71"/>
        <v/>
      </c>
      <c r="JU11" s="79" t="str">
        <f t="shared" si="72"/>
        <v/>
      </c>
      <c r="JV11" s="79" t="str">
        <f t="shared" si="73"/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 t="shared" si="74"/>
        <v/>
      </c>
      <c r="KR11" s="20" t="str">
        <f t="shared" si="75"/>
        <v/>
      </c>
      <c r="KS11" s="20" t="str">
        <f t="shared" si="76"/>
        <v/>
      </c>
      <c r="KT11" s="20" t="str">
        <f t="shared" si="77"/>
        <v/>
      </c>
      <c r="KU11" s="20" t="str">
        <f t="shared" si="78"/>
        <v/>
      </c>
      <c r="KV11" s="20" t="str">
        <f t="shared" si="79"/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 t="shared" si="80"/>
        <v/>
      </c>
      <c r="LR11" s="79" t="str">
        <f t="shared" si="81"/>
        <v/>
      </c>
      <c r="LS11" s="79" t="str">
        <f t="shared" si="82"/>
        <v/>
      </c>
      <c r="LT11" s="79" t="str">
        <f t="shared" si="83"/>
        <v/>
      </c>
      <c r="LU11" s="79" t="str">
        <f t="shared" si="84"/>
        <v/>
      </c>
      <c r="LV11" s="79" t="str">
        <f t="shared" si="85"/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 t="shared" si="86"/>
        <v/>
      </c>
      <c r="MR11" s="20" t="str">
        <f t="shared" si="87"/>
        <v/>
      </c>
      <c r="MS11" s="20" t="str">
        <f t="shared" si="88"/>
        <v/>
      </c>
      <c r="MT11" s="20" t="str">
        <f t="shared" si="89"/>
        <v/>
      </c>
      <c r="MU11" s="20" t="str">
        <f t="shared" si="90"/>
        <v/>
      </c>
      <c r="MV11" s="20" t="str">
        <f t="shared" si="91"/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 t="shared" si="92"/>
        <v/>
      </c>
      <c r="NR11" s="79" t="str">
        <f t="shared" si="93"/>
        <v/>
      </c>
      <c r="NS11" s="79" t="str">
        <f t="shared" si="94"/>
        <v/>
      </c>
      <c r="NT11" s="79" t="str">
        <f t="shared" si="95"/>
        <v/>
      </c>
      <c r="NU11" s="79" t="str">
        <f t="shared" si="96"/>
        <v/>
      </c>
      <c r="NV11" s="79" t="str">
        <f t="shared" si="97"/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 t="shared" si="98"/>
        <v/>
      </c>
      <c r="OR11" s="20" t="str">
        <f t="shared" si="99"/>
        <v/>
      </c>
      <c r="OS11" s="20" t="str">
        <f t="shared" si="100"/>
        <v/>
      </c>
      <c r="OT11" s="20" t="str">
        <f t="shared" si="101"/>
        <v/>
      </c>
      <c r="OU11" s="20" t="str">
        <f t="shared" si="102"/>
        <v/>
      </c>
      <c r="OV11" s="20" t="str">
        <f t="shared" si="103"/>
        <v/>
      </c>
      <c r="OW11" s="38">
        <f t="shared" si="104"/>
        <v>7.4</v>
      </c>
      <c r="OX11" s="38">
        <f t="shared" si="105"/>
        <v>2.0499999999999998</v>
      </c>
      <c r="OY11" s="38">
        <f t="shared" si="106"/>
        <v>0</v>
      </c>
      <c r="OZ11" s="38">
        <f t="shared" si="107"/>
        <v>0.15</v>
      </c>
      <c r="PA11" s="38">
        <f t="shared" si="108"/>
        <v>8.15</v>
      </c>
      <c r="PB11" s="38">
        <f t="shared" si="109"/>
        <v>1.95</v>
      </c>
      <c r="PC11" s="38">
        <f t="shared" si="110"/>
        <v>0</v>
      </c>
      <c r="PD11" s="38">
        <f t="shared" si="111"/>
        <v>0.15</v>
      </c>
      <c r="PE11" s="38">
        <f t="shared" si="112"/>
        <v>0</v>
      </c>
      <c r="PF11" s="38">
        <f t="shared" si="113"/>
        <v>0</v>
      </c>
      <c r="PG11" s="38">
        <f t="shared" si="114"/>
        <v>0</v>
      </c>
      <c r="PH11" s="38">
        <f t="shared" si="115"/>
        <v>0</v>
      </c>
      <c r="PI11" s="38">
        <f t="shared" si="116"/>
        <v>8.25</v>
      </c>
      <c r="PJ11" s="38">
        <f t="shared" si="117"/>
        <v>2.0499999999999998</v>
      </c>
      <c r="PK11" s="38">
        <f t="shared" si="118"/>
        <v>0</v>
      </c>
      <c r="PL11" s="38">
        <f t="shared" si="119"/>
        <v>0.15</v>
      </c>
      <c r="PM11" s="38">
        <f t="shared" si="120"/>
        <v>8.31</v>
      </c>
      <c r="PN11" s="38">
        <f t="shared" si="121"/>
        <v>1.95</v>
      </c>
      <c r="PO11" s="38">
        <f t="shared" si="122"/>
        <v>0.1</v>
      </c>
      <c r="PP11" s="38">
        <f t="shared" si="123"/>
        <v>0.15</v>
      </c>
      <c r="PQ11" s="45" t="s">
        <v>46</v>
      </c>
      <c r="PR11" s="79">
        <f t="shared" si="124"/>
        <v>4</v>
      </c>
      <c r="PS11" s="79">
        <f t="shared" si="125"/>
        <v>19.849999999999998</v>
      </c>
      <c r="PT11" s="79" t="str">
        <f t="shared" si="126"/>
        <v/>
      </c>
      <c r="PU11" s="79">
        <f t="shared" si="127"/>
        <v>4</v>
      </c>
      <c r="PV11" s="79">
        <f t="shared" si="128"/>
        <v>20.759999999999998</v>
      </c>
      <c r="PW11" s="79">
        <f t="shared" si="129"/>
        <v>40.61</v>
      </c>
    </row>
    <row r="12" spans="1:439" x14ac:dyDescent="0.2">
      <c r="A12" s="5" t="str">
        <f t="shared" si="0"/>
        <v/>
      </c>
      <c r="B12" s="78" t="s">
        <v>137</v>
      </c>
      <c r="C12" s="5" t="s">
        <v>4</v>
      </c>
      <c r="D12" s="5">
        <v>2005</v>
      </c>
      <c r="E12" s="15">
        <f t="shared" si="1"/>
        <v>80.300008030004093</v>
      </c>
      <c r="F12" s="3" t="str">
        <f t="shared" si="2"/>
        <v/>
      </c>
      <c r="G12" s="3" t="str">
        <f t="shared" si="3"/>
        <v/>
      </c>
      <c r="H12" s="67" t="str">
        <f t="shared" si="4"/>
        <v/>
      </c>
      <c r="I12" s="14">
        <f>IF(COUNT(AN12,BO12,CP12)&gt;0,LARGE((AN12,BO12,CP12),1),0)</f>
        <v>40.800000000000004</v>
      </c>
      <c r="J12" s="14" t="str">
        <f t="shared" si="5"/>
        <v>2022 Elite Canada</v>
      </c>
      <c r="K12" s="14">
        <f>IF(COUNT(AN12,BO12,CP12)&gt;1,LARGE((AN12,BO12,CP12),2),0)</f>
        <v>0</v>
      </c>
      <c r="L12" s="14" t="str">
        <f t="shared" si="6"/>
        <v/>
      </c>
      <c r="M12" s="14">
        <f t="shared" si="7"/>
        <v>39.5</v>
      </c>
      <c r="N12" s="14" t="str">
        <f t="shared" si="8"/>
        <v>2022 Elite Canada</v>
      </c>
      <c r="O12" s="14" t="str">
        <f t="shared" si="9"/>
        <v/>
      </c>
      <c r="P12" s="20" t="str">
        <f t="shared" si="10"/>
        <v/>
      </c>
      <c r="Q12" s="14" t="str">
        <f t="shared" si="11"/>
        <v/>
      </c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45"/>
      <c r="AM12" s="79" t="str">
        <f t="shared" si="12"/>
        <v/>
      </c>
      <c r="AN12" s="79" t="str">
        <f t="shared" si="13"/>
        <v/>
      </c>
      <c r="AO12" s="79" t="str">
        <f t="shared" si="14"/>
        <v/>
      </c>
      <c r="AP12" s="79" t="str">
        <f t="shared" si="15"/>
        <v/>
      </c>
      <c r="AQ12" s="79" t="str">
        <f t="shared" si="16"/>
        <v/>
      </c>
      <c r="AR12" s="79" t="str">
        <f t="shared" si="17"/>
        <v/>
      </c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46"/>
      <c r="BN12" s="20" t="str">
        <f t="shared" si="18"/>
        <v/>
      </c>
      <c r="BO12" s="20" t="str">
        <f t="shared" si="19"/>
        <v/>
      </c>
      <c r="BP12" s="20" t="str">
        <f t="shared" si="20"/>
        <v/>
      </c>
      <c r="BQ12" s="20" t="str">
        <f t="shared" si="21"/>
        <v/>
      </c>
      <c r="BR12" s="20" t="str">
        <f t="shared" si="22"/>
        <v/>
      </c>
      <c r="BS12" s="20" t="str">
        <f t="shared" si="23"/>
        <v/>
      </c>
      <c r="BT12" s="27">
        <v>16.8</v>
      </c>
      <c r="BU12" s="27">
        <v>3.4</v>
      </c>
      <c r="BV12" s="27">
        <v>0</v>
      </c>
      <c r="BW12" s="27">
        <v>0</v>
      </c>
      <c r="BX12" s="27">
        <v>16.5</v>
      </c>
      <c r="BY12" s="27">
        <v>3.5</v>
      </c>
      <c r="BZ12" s="27">
        <v>0</v>
      </c>
      <c r="CA12" s="27">
        <v>0.6</v>
      </c>
      <c r="CB12" s="27"/>
      <c r="CC12" s="27"/>
      <c r="CD12" s="27"/>
      <c r="CE12" s="27"/>
      <c r="CF12" s="27">
        <v>16.7</v>
      </c>
      <c r="CG12" s="27">
        <v>3.4</v>
      </c>
      <c r="CH12" s="27">
        <v>0</v>
      </c>
      <c r="CI12" s="27">
        <v>0</v>
      </c>
      <c r="CJ12" s="27">
        <v>15.7</v>
      </c>
      <c r="CK12" s="27">
        <v>3.1</v>
      </c>
      <c r="CL12" s="27">
        <v>0</v>
      </c>
      <c r="CM12" s="27">
        <v>0.6</v>
      </c>
      <c r="CN12" s="45"/>
      <c r="CO12" s="79">
        <f t="shared" si="24"/>
        <v>6.9</v>
      </c>
      <c r="CP12" s="79">
        <f t="shared" si="25"/>
        <v>40.800000000000004</v>
      </c>
      <c r="CQ12" s="79" t="str">
        <f t="shared" si="26"/>
        <v/>
      </c>
      <c r="CR12" s="79">
        <f t="shared" si="27"/>
        <v>6.5</v>
      </c>
      <c r="CS12" s="79">
        <f t="shared" si="28"/>
        <v>39.5</v>
      </c>
      <c r="CT12" s="79">
        <f t="shared" si="29"/>
        <v>80.300000000000011</v>
      </c>
      <c r="CU12" s="80" t="str">
        <f t="shared" si="30"/>
        <v/>
      </c>
      <c r="CV12" s="80" t="str">
        <f t="shared" si="31"/>
        <v/>
      </c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79" t="str">
        <f t="shared" si="32"/>
        <v/>
      </c>
      <c r="DR12" s="79" t="str">
        <f t="shared" si="33"/>
        <v/>
      </c>
      <c r="DS12" s="79" t="str">
        <f t="shared" si="34"/>
        <v/>
      </c>
      <c r="DT12" s="79" t="str">
        <f t="shared" si="35"/>
        <v/>
      </c>
      <c r="DU12" s="79" t="str">
        <f t="shared" si="36"/>
        <v/>
      </c>
      <c r="DV12" s="79" t="str">
        <f t="shared" si="37"/>
        <v/>
      </c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0" t="str">
        <f t="shared" si="38"/>
        <v/>
      </c>
      <c r="ER12" s="20" t="str">
        <f t="shared" si="39"/>
        <v/>
      </c>
      <c r="ES12" s="20" t="str">
        <f t="shared" si="40"/>
        <v/>
      </c>
      <c r="ET12" s="20" t="str">
        <f t="shared" si="41"/>
        <v/>
      </c>
      <c r="EU12" s="20" t="str">
        <f t="shared" si="42"/>
        <v/>
      </c>
      <c r="EV12" s="20" t="str">
        <f t="shared" si="43"/>
        <v/>
      </c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79" t="str">
        <f t="shared" si="44"/>
        <v/>
      </c>
      <c r="FR12" s="79" t="str">
        <f t="shared" si="45"/>
        <v/>
      </c>
      <c r="FS12" s="79" t="str">
        <f t="shared" si="46"/>
        <v/>
      </c>
      <c r="FT12" s="79" t="str">
        <f t="shared" si="47"/>
        <v/>
      </c>
      <c r="FU12" s="79" t="str">
        <f t="shared" si="48"/>
        <v/>
      </c>
      <c r="FV12" s="79" t="str">
        <f t="shared" si="49"/>
        <v/>
      </c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0" t="str">
        <f t="shared" si="50"/>
        <v/>
      </c>
      <c r="GR12" s="20" t="str">
        <f t="shared" si="51"/>
        <v/>
      </c>
      <c r="GS12" s="20" t="str">
        <f t="shared" si="52"/>
        <v/>
      </c>
      <c r="GT12" s="20" t="str">
        <f t="shared" si="53"/>
        <v/>
      </c>
      <c r="GU12" s="20" t="str">
        <f t="shared" si="54"/>
        <v/>
      </c>
      <c r="GV12" s="20" t="str">
        <f t="shared" si="55"/>
        <v/>
      </c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79" t="str">
        <f t="shared" si="56"/>
        <v/>
      </c>
      <c r="HR12" s="79" t="str">
        <f t="shared" si="57"/>
        <v/>
      </c>
      <c r="HS12" s="79" t="str">
        <f t="shared" si="58"/>
        <v/>
      </c>
      <c r="HT12" s="79" t="str">
        <f t="shared" si="59"/>
        <v/>
      </c>
      <c r="HU12" s="79" t="str">
        <f t="shared" si="60"/>
        <v/>
      </c>
      <c r="HV12" s="79" t="str">
        <f t="shared" si="61"/>
        <v/>
      </c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0" t="str">
        <f t="shared" si="62"/>
        <v/>
      </c>
      <c r="IR12" s="20" t="str">
        <f t="shared" si="63"/>
        <v/>
      </c>
      <c r="IS12" s="20" t="str">
        <f t="shared" si="64"/>
        <v/>
      </c>
      <c r="IT12" s="20" t="str">
        <f t="shared" si="65"/>
        <v/>
      </c>
      <c r="IU12" s="20" t="str">
        <f t="shared" si="66"/>
        <v/>
      </c>
      <c r="IV12" s="20" t="str">
        <f t="shared" si="67"/>
        <v/>
      </c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79" t="str">
        <f t="shared" si="68"/>
        <v/>
      </c>
      <c r="JR12" s="79" t="str">
        <f t="shared" si="69"/>
        <v/>
      </c>
      <c r="JS12" s="79" t="str">
        <f t="shared" si="70"/>
        <v/>
      </c>
      <c r="JT12" s="79" t="str">
        <f t="shared" si="71"/>
        <v/>
      </c>
      <c r="JU12" s="79" t="str">
        <f t="shared" si="72"/>
        <v/>
      </c>
      <c r="JV12" s="79" t="str">
        <f t="shared" si="73"/>
        <v/>
      </c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0" t="str">
        <f t="shared" si="74"/>
        <v/>
      </c>
      <c r="KR12" s="20" t="str">
        <f t="shared" si="75"/>
        <v/>
      </c>
      <c r="KS12" s="20" t="str">
        <f t="shared" si="76"/>
        <v/>
      </c>
      <c r="KT12" s="20" t="str">
        <f t="shared" si="77"/>
        <v/>
      </c>
      <c r="KU12" s="20" t="str">
        <f t="shared" si="78"/>
        <v/>
      </c>
      <c r="KV12" s="20" t="str">
        <f t="shared" si="79"/>
        <v/>
      </c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79" t="str">
        <f t="shared" si="80"/>
        <v/>
      </c>
      <c r="LR12" s="79" t="str">
        <f t="shared" si="81"/>
        <v/>
      </c>
      <c r="LS12" s="79" t="str">
        <f t="shared" si="82"/>
        <v/>
      </c>
      <c r="LT12" s="79" t="str">
        <f t="shared" si="83"/>
        <v/>
      </c>
      <c r="LU12" s="79" t="str">
        <f t="shared" si="84"/>
        <v/>
      </c>
      <c r="LV12" s="79" t="str">
        <f t="shared" si="85"/>
        <v/>
      </c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0" t="str">
        <f t="shared" si="86"/>
        <v/>
      </c>
      <c r="MR12" s="20" t="str">
        <f t="shared" si="87"/>
        <v/>
      </c>
      <c r="MS12" s="20" t="str">
        <f t="shared" si="88"/>
        <v/>
      </c>
      <c r="MT12" s="20" t="str">
        <f t="shared" si="89"/>
        <v/>
      </c>
      <c r="MU12" s="20" t="str">
        <f t="shared" si="90"/>
        <v/>
      </c>
      <c r="MV12" s="20" t="str">
        <f t="shared" si="91"/>
        <v/>
      </c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79" t="str">
        <f t="shared" si="92"/>
        <v/>
      </c>
      <c r="NR12" s="79" t="str">
        <f t="shared" si="93"/>
        <v/>
      </c>
      <c r="NS12" s="79" t="str">
        <f t="shared" si="94"/>
        <v/>
      </c>
      <c r="NT12" s="79" t="str">
        <f t="shared" si="95"/>
        <v/>
      </c>
      <c r="NU12" s="79" t="str">
        <f t="shared" si="96"/>
        <v/>
      </c>
      <c r="NV12" s="79" t="str">
        <f t="shared" si="97"/>
        <v/>
      </c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0" t="str">
        <f t="shared" si="98"/>
        <v/>
      </c>
      <c r="OR12" s="20" t="str">
        <f t="shared" si="99"/>
        <v/>
      </c>
      <c r="OS12" s="20" t="str">
        <f t="shared" si="100"/>
        <v/>
      </c>
      <c r="OT12" s="20" t="str">
        <f t="shared" si="101"/>
        <v/>
      </c>
      <c r="OU12" s="20" t="str">
        <f t="shared" si="102"/>
        <v/>
      </c>
      <c r="OV12" s="20" t="str">
        <f t="shared" si="103"/>
        <v/>
      </c>
      <c r="OW12" s="38">
        <f t="shared" si="104"/>
        <v>8.4</v>
      </c>
      <c r="OX12" s="38">
        <f t="shared" si="105"/>
        <v>1.7</v>
      </c>
      <c r="OY12" s="38">
        <f t="shared" si="106"/>
        <v>0</v>
      </c>
      <c r="OZ12" s="38">
        <f t="shared" si="107"/>
        <v>0</v>
      </c>
      <c r="PA12" s="38">
        <f t="shared" si="108"/>
        <v>8.25</v>
      </c>
      <c r="PB12" s="38">
        <f t="shared" si="109"/>
        <v>1.75</v>
      </c>
      <c r="PC12" s="38">
        <f t="shared" si="110"/>
        <v>0</v>
      </c>
      <c r="PD12" s="38">
        <f t="shared" si="111"/>
        <v>0.3</v>
      </c>
      <c r="PE12" s="38">
        <f t="shared" si="112"/>
        <v>0</v>
      </c>
      <c r="PF12" s="38">
        <f t="shared" si="113"/>
        <v>0</v>
      </c>
      <c r="PG12" s="38">
        <f t="shared" si="114"/>
        <v>0</v>
      </c>
      <c r="PH12" s="38">
        <f t="shared" si="115"/>
        <v>0</v>
      </c>
      <c r="PI12" s="38">
        <f t="shared" si="116"/>
        <v>8.35</v>
      </c>
      <c r="PJ12" s="38">
        <f t="shared" si="117"/>
        <v>1.7</v>
      </c>
      <c r="PK12" s="38">
        <f t="shared" si="118"/>
        <v>0</v>
      </c>
      <c r="PL12" s="38">
        <f t="shared" si="119"/>
        <v>0</v>
      </c>
      <c r="PM12" s="38">
        <f t="shared" si="120"/>
        <v>7.85</v>
      </c>
      <c r="PN12" s="38">
        <f t="shared" si="121"/>
        <v>1.55</v>
      </c>
      <c r="PO12" s="38">
        <f t="shared" si="122"/>
        <v>0</v>
      </c>
      <c r="PP12" s="38">
        <f t="shared" si="123"/>
        <v>0.3</v>
      </c>
      <c r="PQ12" s="45" t="s">
        <v>46</v>
      </c>
      <c r="PR12" s="79">
        <f t="shared" si="124"/>
        <v>3.45</v>
      </c>
      <c r="PS12" s="79">
        <f t="shared" si="125"/>
        <v>20.400000000000002</v>
      </c>
      <c r="PT12" s="79" t="str">
        <f t="shared" si="126"/>
        <v/>
      </c>
      <c r="PU12" s="79">
        <f t="shared" si="127"/>
        <v>3.25</v>
      </c>
      <c r="PV12" s="79">
        <f t="shared" si="128"/>
        <v>19.75</v>
      </c>
      <c r="PW12" s="79">
        <f t="shared" si="129"/>
        <v>40.150000000000006</v>
      </c>
    </row>
    <row r="13" spans="1:439" x14ac:dyDescent="0.2">
      <c r="A13" s="5" t="str">
        <f t="shared" si="0"/>
        <v/>
      </c>
      <c r="B13" s="78" t="s">
        <v>141</v>
      </c>
      <c r="C13" s="5" t="s">
        <v>3</v>
      </c>
      <c r="D13" s="5">
        <v>2004</v>
      </c>
      <c r="E13" s="15">
        <f t="shared" si="1"/>
        <v>80.000008000003902</v>
      </c>
      <c r="F13" s="3" t="str">
        <f t="shared" si="2"/>
        <v/>
      </c>
      <c r="G13" s="3" t="str">
        <f t="shared" si="3"/>
        <v/>
      </c>
      <c r="H13" s="67" t="str">
        <f t="shared" si="4"/>
        <v/>
      </c>
      <c r="I13" s="14">
        <f>IF(COUNT(AN13,BO13,CP13)&gt;0,LARGE((AN13,BO13,CP13),1),0)</f>
        <v>39.099999999999994</v>
      </c>
      <c r="J13" s="14" t="str">
        <f t="shared" si="5"/>
        <v>2022 Elite Canada</v>
      </c>
      <c r="K13" s="14">
        <f>IF(COUNT(AN13,BO13,CP13)&gt;1,LARGE((AN13,BO13,CP13),2),0)</f>
        <v>0</v>
      </c>
      <c r="L13" s="14" t="str">
        <f t="shared" si="6"/>
        <v/>
      </c>
      <c r="M13" s="14">
        <f t="shared" si="7"/>
        <v>40.9</v>
      </c>
      <c r="N13" s="14" t="str">
        <f t="shared" si="8"/>
        <v>2022 Elite Canada</v>
      </c>
      <c r="O13" s="14" t="str">
        <f t="shared" si="9"/>
        <v/>
      </c>
      <c r="P13" s="20" t="str">
        <f t="shared" si="10"/>
        <v/>
      </c>
      <c r="Q13" s="14" t="str">
        <f t="shared" si="11"/>
        <v/>
      </c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45"/>
      <c r="AM13" s="79" t="str">
        <f t="shared" si="12"/>
        <v/>
      </c>
      <c r="AN13" s="79" t="str">
        <f t="shared" si="13"/>
        <v/>
      </c>
      <c r="AO13" s="79" t="str">
        <f t="shared" si="14"/>
        <v/>
      </c>
      <c r="AP13" s="79" t="str">
        <f t="shared" si="15"/>
        <v/>
      </c>
      <c r="AQ13" s="79" t="str">
        <f t="shared" si="16"/>
        <v/>
      </c>
      <c r="AR13" s="79" t="str">
        <f t="shared" si="17"/>
        <v/>
      </c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46"/>
      <c r="BN13" s="20" t="str">
        <f t="shared" si="18"/>
        <v/>
      </c>
      <c r="BO13" s="20" t="str">
        <f t="shared" si="19"/>
        <v/>
      </c>
      <c r="BP13" s="20" t="str">
        <f t="shared" si="20"/>
        <v/>
      </c>
      <c r="BQ13" s="20" t="str">
        <f t="shared" si="21"/>
        <v/>
      </c>
      <c r="BR13" s="20" t="str">
        <f t="shared" si="22"/>
        <v/>
      </c>
      <c r="BS13" s="20" t="str">
        <f t="shared" si="23"/>
        <v/>
      </c>
      <c r="BT13" s="27">
        <v>16.7</v>
      </c>
      <c r="BU13" s="27">
        <v>3.4</v>
      </c>
      <c r="BV13" s="27">
        <v>0</v>
      </c>
      <c r="BW13" s="27">
        <v>0</v>
      </c>
      <c r="BX13" s="27">
        <v>14.8</v>
      </c>
      <c r="BY13" s="27">
        <v>3.9</v>
      </c>
      <c r="BZ13" s="27">
        <v>0</v>
      </c>
      <c r="CA13" s="27">
        <v>0.3</v>
      </c>
      <c r="CB13" s="27"/>
      <c r="CC13" s="27"/>
      <c r="CD13" s="27"/>
      <c r="CE13" s="27"/>
      <c r="CF13" s="27">
        <v>16.600000000000001</v>
      </c>
      <c r="CG13" s="27">
        <v>3.4</v>
      </c>
      <c r="CH13" s="27">
        <v>0</v>
      </c>
      <c r="CI13" s="27">
        <v>0</v>
      </c>
      <c r="CJ13" s="27">
        <v>16.7</v>
      </c>
      <c r="CK13" s="27">
        <v>3.9</v>
      </c>
      <c r="CL13" s="27">
        <v>0</v>
      </c>
      <c r="CM13" s="27">
        <v>0.3</v>
      </c>
      <c r="CN13" s="45"/>
      <c r="CO13" s="79">
        <f t="shared" si="24"/>
        <v>7.3</v>
      </c>
      <c r="CP13" s="79">
        <f t="shared" si="25"/>
        <v>39.099999999999994</v>
      </c>
      <c r="CQ13" s="79" t="str">
        <f t="shared" si="26"/>
        <v/>
      </c>
      <c r="CR13" s="79">
        <f t="shared" si="27"/>
        <v>7.3</v>
      </c>
      <c r="CS13" s="79">
        <f t="shared" si="28"/>
        <v>40.9</v>
      </c>
      <c r="CT13" s="79">
        <f t="shared" si="29"/>
        <v>80</v>
      </c>
      <c r="CU13" s="80" t="str">
        <f t="shared" si="30"/>
        <v/>
      </c>
      <c r="CV13" s="80" t="str">
        <f t="shared" si="31"/>
        <v/>
      </c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79" t="str">
        <f t="shared" si="32"/>
        <v/>
      </c>
      <c r="DR13" s="79" t="str">
        <f t="shared" si="33"/>
        <v/>
      </c>
      <c r="DS13" s="79" t="str">
        <f t="shared" si="34"/>
        <v/>
      </c>
      <c r="DT13" s="79" t="str">
        <f t="shared" si="35"/>
        <v/>
      </c>
      <c r="DU13" s="79" t="str">
        <f t="shared" si="36"/>
        <v/>
      </c>
      <c r="DV13" s="79" t="str">
        <f t="shared" si="37"/>
        <v/>
      </c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0" t="str">
        <f t="shared" si="38"/>
        <v/>
      </c>
      <c r="ER13" s="20" t="str">
        <f t="shared" si="39"/>
        <v/>
      </c>
      <c r="ES13" s="20" t="str">
        <f t="shared" si="40"/>
        <v/>
      </c>
      <c r="ET13" s="20" t="str">
        <f t="shared" si="41"/>
        <v/>
      </c>
      <c r="EU13" s="20" t="str">
        <f t="shared" si="42"/>
        <v/>
      </c>
      <c r="EV13" s="20" t="str">
        <f t="shared" si="43"/>
        <v/>
      </c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79" t="str">
        <f t="shared" si="44"/>
        <v/>
      </c>
      <c r="FR13" s="79" t="str">
        <f t="shared" si="45"/>
        <v/>
      </c>
      <c r="FS13" s="79" t="str">
        <f t="shared" si="46"/>
        <v/>
      </c>
      <c r="FT13" s="79" t="str">
        <f t="shared" si="47"/>
        <v/>
      </c>
      <c r="FU13" s="79" t="str">
        <f t="shared" si="48"/>
        <v/>
      </c>
      <c r="FV13" s="79" t="str">
        <f t="shared" si="49"/>
        <v/>
      </c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0" t="str">
        <f t="shared" si="50"/>
        <v/>
      </c>
      <c r="GR13" s="20" t="str">
        <f t="shared" si="51"/>
        <v/>
      </c>
      <c r="GS13" s="20" t="str">
        <f t="shared" si="52"/>
        <v/>
      </c>
      <c r="GT13" s="20" t="str">
        <f t="shared" si="53"/>
        <v/>
      </c>
      <c r="GU13" s="20" t="str">
        <f t="shared" si="54"/>
        <v/>
      </c>
      <c r="GV13" s="20" t="str">
        <f t="shared" si="55"/>
        <v/>
      </c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79" t="str">
        <f t="shared" si="56"/>
        <v/>
      </c>
      <c r="HR13" s="79" t="str">
        <f t="shared" si="57"/>
        <v/>
      </c>
      <c r="HS13" s="79" t="str">
        <f t="shared" si="58"/>
        <v/>
      </c>
      <c r="HT13" s="79" t="str">
        <f t="shared" si="59"/>
        <v/>
      </c>
      <c r="HU13" s="79" t="str">
        <f t="shared" si="60"/>
        <v/>
      </c>
      <c r="HV13" s="79" t="str">
        <f t="shared" si="61"/>
        <v/>
      </c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0" t="str">
        <f t="shared" si="62"/>
        <v/>
      </c>
      <c r="IR13" s="20" t="str">
        <f t="shared" si="63"/>
        <v/>
      </c>
      <c r="IS13" s="20" t="str">
        <f t="shared" si="64"/>
        <v/>
      </c>
      <c r="IT13" s="20" t="str">
        <f t="shared" si="65"/>
        <v/>
      </c>
      <c r="IU13" s="20" t="str">
        <f t="shared" si="66"/>
        <v/>
      </c>
      <c r="IV13" s="20" t="str">
        <f t="shared" si="67"/>
        <v/>
      </c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79" t="str">
        <f t="shared" si="68"/>
        <v/>
      </c>
      <c r="JR13" s="79" t="str">
        <f t="shared" si="69"/>
        <v/>
      </c>
      <c r="JS13" s="79" t="str">
        <f t="shared" si="70"/>
        <v/>
      </c>
      <c r="JT13" s="79" t="str">
        <f t="shared" si="71"/>
        <v/>
      </c>
      <c r="JU13" s="79" t="str">
        <f t="shared" si="72"/>
        <v/>
      </c>
      <c r="JV13" s="79" t="str">
        <f t="shared" si="73"/>
        <v/>
      </c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0" t="str">
        <f t="shared" si="74"/>
        <v/>
      </c>
      <c r="KR13" s="20" t="str">
        <f t="shared" si="75"/>
        <v/>
      </c>
      <c r="KS13" s="20" t="str">
        <f t="shared" si="76"/>
        <v/>
      </c>
      <c r="KT13" s="20" t="str">
        <f t="shared" si="77"/>
        <v/>
      </c>
      <c r="KU13" s="20" t="str">
        <f t="shared" si="78"/>
        <v/>
      </c>
      <c r="KV13" s="20" t="str">
        <f t="shared" si="79"/>
        <v/>
      </c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79" t="str">
        <f t="shared" si="80"/>
        <v/>
      </c>
      <c r="LR13" s="79" t="str">
        <f t="shared" si="81"/>
        <v/>
      </c>
      <c r="LS13" s="79" t="str">
        <f t="shared" si="82"/>
        <v/>
      </c>
      <c r="LT13" s="79" t="str">
        <f t="shared" si="83"/>
        <v/>
      </c>
      <c r="LU13" s="79" t="str">
        <f t="shared" si="84"/>
        <v/>
      </c>
      <c r="LV13" s="79" t="str">
        <f t="shared" si="85"/>
        <v/>
      </c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0" t="str">
        <f t="shared" si="86"/>
        <v/>
      </c>
      <c r="MR13" s="20" t="str">
        <f t="shared" si="87"/>
        <v/>
      </c>
      <c r="MS13" s="20" t="str">
        <f t="shared" si="88"/>
        <v/>
      </c>
      <c r="MT13" s="20" t="str">
        <f t="shared" si="89"/>
        <v/>
      </c>
      <c r="MU13" s="20" t="str">
        <f t="shared" si="90"/>
        <v/>
      </c>
      <c r="MV13" s="20" t="str">
        <f t="shared" si="91"/>
        <v/>
      </c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79" t="str">
        <f t="shared" si="92"/>
        <v/>
      </c>
      <c r="NR13" s="79" t="str">
        <f t="shared" si="93"/>
        <v/>
      </c>
      <c r="NS13" s="79" t="str">
        <f t="shared" si="94"/>
        <v/>
      </c>
      <c r="NT13" s="79" t="str">
        <f t="shared" si="95"/>
        <v/>
      </c>
      <c r="NU13" s="79" t="str">
        <f t="shared" si="96"/>
        <v/>
      </c>
      <c r="NV13" s="79" t="str">
        <f t="shared" si="97"/>
        <v/>
      </c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0" t="str">
        <f t="shared" si="98"/>
        <v/>
      </c>
      <c r="OR13" s="20" t="str">
        <f t="shared" si="99"/>
        <v/>
      </c>
      <c r="OS13" s="20" t="str">
        <f t="shared" si="100"/>
        <v/>
      </c>
      <c r="OT13" s="20" t="str">
        <f t="shared" si="101"/>
        <v/>
      </c>
      <c r="OU13" s="20" t="str">
        <f t="shared" si="102"/>
        <v/>
      </c>
      <c r="OV13" s="20" t="str">
        <f t="shared" si="103"/>
        <v/>
      </c>
      <c r="OW13" s="38">
        <f t="shared" si="104"/>
        <v>8.35</v>
      </c>
      <c r="OX13" s="38">
        <f t="shared" si="105"/>
        <v>1.7</v>
      </c>
      <c r="OY13" s="38">
        <f t="shared" si="106"/>
        <v>0</v>
      </c>
      <c r="OZ13" s="38">
        <f t="shared" si="107"/>
        <v>0</v>
      </c>
      <c r="PA13" s="38">
        <f t="shared" si="108"/>
        <v>7.4</v>
      </c>
      <c r="PB13" s="38">
        <f t="shared" si="109"/>
        <v>1.95</v>
      </c>
      <c r="PC13" s="38">
        <f t="shared" si="110"/>
        <v>0</v>
      </c>
      <c r="PD13" s="38">
        <f t="shared" si="111"/>
        <v>0.15</v>
      </c>
      <c r="PE13" s="38">
        <f t="shared" si="112"/>
        <v>0</v>
      </c>
      <c r="PF13" s="38">
        <f t="shared" si="113"/>
        <v>0</v>
      </c>
      <c r="PG13" s="38">
        <f t="shared" si="114"/>
        <v>0</v>
      </c>
      <c r="PH13" s="38">
        <f t="shared" si="115"/>
        <v>0</v>
      </c>
      <c r="PI13" s="38">
        <f t="shared" si="116"/>
        <v>8.3000000000000007</v>
      </c>
      <c r="PJ13" s="38">
        <f t="shared" si="117"/>
        <v>1.7</v>
      </c>
      <c r="PK13" s="38">
        <f t="shared" si="118"/>
        <v>0</v>
      </c>
      <c r="PL13" s="38">
        <f t="shared" si="119"/>
        <v>0</v>
      </c>
      <c r="PM13" s="38">
        <f t="shared" si="120"/>
        <v>8.35</v>
      </c>
      <c r="PN13" s="38">
        <f t="shared" si="121"/>
        <v>1.95</v>
      </c>
      <c r="PO13" s="38">
        <f t="shared" si="122"/>
        <v>0</v>
      </c>
      <c r="PP13" s="38">
        <f t="shared" si="123"/>
        <v>0.15</v>
      </c>
      <c r="PQ13" s="45" t="s">
        <v>46</v>
      </c>
      <c r="PR13" s="79">
        <f t="shared" si="124"/>
        <v>3.65</v>
      </c>
      <c r="PS13" s="79">
        <f t="shared" si="125"/>
        <v>19.549999999999997</v>
      </c>
      <c r="PT13" s="79" t="str">
        <f t="shared" si="126"/>
        <v/>
      </c>
      <c r="PU13" s="79">
        <f t="shared" si="127"/>
        <v>3.65</v>
      </c>
      <c r="PV13" s="79">
        <f t="shared" si="128"/>
        <v>20.45</v>
      </c>
      <c r="PW13" s="79">
        <f t="shared" si="129"/>
        <v>40</v>
      </c>
    </row>
    <row r="14" spans="1:439" x14ac:dyDescent="0.2">
      <c r="A14" s="5" t="str">
        <f t="shared" si="0"/>
        <v/>
      </c>
      <c r="B14" s="78" t="s">
        <v>138</v>
      </c>
      <c r="C14" s="5" t="s">
        <v>81</v>
      </c>
      <c r="D14" s="5">
        <v>2005</v>
      </c>
      <c r="E14" s="15">
        <f t="shared" si="1"/>
        <v>78.060007806003881</v>
      </c>
      <c r="F14" s="3" t="str">
        <f t="shared" si="2"/>
        <v/>
      </c>
      <c r="G14" s="3" t="str">
        <f t="shared" si="3"/>
        <v/>
      </c>
      <c r="H14" s="67" t="str">
        <f t="shared" si="4"/>
        <v/>
      </c>
      <c r="I14" s="14">
        <f>IF(COUNT(AN14,BO14,CP14)&gt;0,LARGE((AN14,BO14,CP14),1),0)</f>
        <v>38.76</v>
      </c>
      <c r="J14" s="14" t="str">
        <f t="shared" si="5"/>
        <v>2022 Elite Canada</v>
      </c>
      <c r="K14" s="14">
        <f>IF(COUNT(AN14,BO14,CP14)&gt;1,LARGE((AN14,BO14,CP14),2),0)</f>
        <v>0</v>
      </c>
      <c r="L14" s="14" t="str">
        <f t="shared" si="6"/>
        <v/>
      </c>
      <c r="M14" s="14">
        <f t="shared" si="7"/>
        <v>39.299999999999997</v>
      </c>
      <c r="N14" s="14" t="str">
        <f t="shared" si="8"/>
        <v>2022 Elite Canada</v>
      </c>
      <c r="O14" s="14" t="str">
        <f t="shared" si="9"/>
        <v/>
      </c>
      <c r="P14" s="20" t="str">
        <f t="shared" si="10"/>
        <v/>
      </c>
      <c r="Q14" s="14" t="str">
        <f t="shared" si="11"/>
        <v/>
      </c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45"/>
      <c r="AM14" s="79" t="str">
        <f t="shared" si="12"/>
        <v/>
      </c>
      <c r="AN14" s="79" t="str">
        <f t="shared" si="13"/>
        <v/>
      </c>
      <c r="AO14" s="79" t="str">
        <f t="shared" si="14"/>
        <v/>
      </c>
      <c r="AP14" s="79" t="str">
        <f t="shared" si="15"/>
        <v/>
      </c>
      <c r="AQ14" s="79" t="str">
        <f t="shared" si="16"/>
        <v/>
      </c>
      <c r="AR14" s="79" t="str">
        <f t="shared" si="17"/>
        <v/>
      </c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46"/>
      <c r="BN14" s="20" t="str">
        <f t="shared" si="18"/>
        <v/>
      </c>
      <c r="BO14" s="20" t="str">
        <f t="shared" si="19"/>
        <v/>
      </c>
      <c r="BP14" s="20" t="str">
        <f t="shared" si="20"/>
        <v/>
      </c>
      <c r="BQ14" s="20" t="str">
        <f t="shared" si="21"/>
        <v/>
      </c>
      <c r="BR14" s="20" t="str">
        <f t="shared" si="22"/>
        <v/>
      </c>
      <c r="BS14" s="20" t="str">
        <f t="shared" si="23"/>
        <v/>
      </c>
      <c r="BT14" s="27">
        <v>16.559999999999999</v>
      </c>
      <c r="BU14" s="27">
        <v>3.1</v>
      </c>
      <c r="BV14" s="27">
        <v>0</v>
      </c>
      <c r="BW14" s="27">
        <v>0</v>
      </c>
      <c r="BX14" s="27">
        <v>15.8</v>
      </c>
      <c r="BY14" s="27">
        <v>3</v>
      </c>
      <c r="BZ14" s="27">
        <v>0</v>
      </c>
      <c r="CA14" s="27">
        <v>0.3</v>
      </c>
      <c r="CB14" s="27"/>
      <c r="CC14" s="27"/>
      <c r="CD14" s="27"/>
      <c r="CE14" s="27"/>
      <c r="CF14" s="27">
        <v>16.5</v>
      </c>
      <c r="CG14" s="27">
        <v>3.1</v>
      </c>
      <c r="CH14" s="27">
        <v>0</v>
      </c>
      <c r="CI14" s="27">
        <v>0</v>
      </c>
      <c r="CJ14" s="27">
        <v>16.399999999999999</v>
      </c>
      <c r="CK14" s="27">
        <v>3</v>
      </c>
      <c r="CL14" s="27">
        <v>0</v>
      </c>
      <c r="CM14" s="27">
        <v>0.3</v>
      </c>
      <c r="CN14" s="45"/>
      <c r="CO14" s="79">
        <f t="shared" si="24"/>
        <v>6.1</v>
      </c>
      <c r="CP14" s="79">
        <f t="shared" si="25"/>
        <v>38.76</v>
      </c>
      <c r="CQ14" s="79" t="str">
        <f t="shared" si="26"/>
        <v/>
      </c>
      <c r="CR14" s="79">
        <f t="shared" si="27"/>
        <v>6.1</v>
      </c>
      <c r="CS14" s="79">
        <f t="shared" si="28"/>
        <v>39.299999999999997</v>
      </c>
      <c r="CT14" s="79">
        <f t="shared" si="29"/>
        <v>78.06</v>
      </c>
      <c r="CU14" s="80" t="str">
        <f t="shared" si="30"/>
        <v/>
      </c>
      <c r="CV14" s="80" t="str">
        <f t="shared" si="31"/>
        <v/>
      </c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79" t="str">
        <f t="shared" si="32"/>
        <v/>
      </c>
      <c r="DR14" s="79" t="str">
        <f t="shared" si="33"/>
        <v/>
      </c>
      <c r="DS14" s="79" t="str">
        <f t="shared" si="34"/>
        <v/>
      </c>
      <c r="DT14" s="79" t="str">
        <f t="shared" si="35"/>
        <v/>
      </c>
      <c r="DU14" s="79" t="str">
        <f t="shared" si="36"/>
        <v/>
      </c>
      <c r="DV14" s="79" t="str">
        <f t="shared" si="37"/>
        <v/>
      </c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0" t="str">
        <f t="shared" si="38"/>
        <v/>
      </c>
      <c r="ER14" s="20" t="str">
        <f t="shared" si="39"/>
        <v/>
      </c>
      <c r="ES14" s="20" t="str">
        <f t="shared" si="40"/>
        <v/>
      </c>
      <c r="ET14" s="20" t="str">
        <f t="shared" si="41"/>
        <v/>
      </c>
      <c r="EU14" s="20" t="str">
        <f t="shared" si="42"/>
        <v/>
      </c>
      <c r="EV14" s="20" t="str">
        <f t="shared" si="43"/>
        <v/>
      </c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79" t="str">
        <f t="shared" si="44"/>
        <v/>
      </c>
      <c r="FR14" s="79" t="str">
        <f t="shared" si="45"/>
        <v/>
      </c>
      <c r="FS14" s="79" t="str">
        <f t="shared" si="46"/>
        <v/>
      </c>
      <c r="FT14" s="79" t="str">
        <f t="shared" si="47"/>
        <v/>
      </c>
      <c r="FU14" s="79" t="str">
        <f t="shared" si="48"/>
        <v/>
      </c>
      <c r="FV14" s="79" t="str">
        <f t="shared" si="49"/>
        <v/>
      </c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0" t="str">
        <f t="shared" si="50"/>
        <v/>
      </c>
      <c r="GR14" s="20" t="str">
        <f t="shared" si="51"/>
        <v/>
      </c>
      <c r="GS14" s="20" t="str">
        <f t="shared" si="52"/>
        <v/>
      </c>
      <c r="GT14" s="20" t="str">
        <f t="shared" si="53"/>
        <v/>
      </c>
      <c r="GU14" s="20" t="str">
        <f t="shared" si="54"/>
        <v/>
      </c>
      <c r="GV14" s="20" t="str">
        <f t="shared" si="55"/>
        <v/>
      </c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79" t="str">
        <f t="shared" si="56"/>
        <v/>
      </c>
      <c r="HR14" s="79" t="str">
        <f t="shared" si="57"/>
        <v/>
      </c>
      <c r="HS14" s="79" t="str">
        <f t="shared" si="58"/>
        <v/>
      </c>
      <c r="HT14" s="79" t="str">
        <f t="shared" si="59"/>
        <v/>
      </c>
      <c r="HU14" s="79" t="str">
        <f t="shared" si="60"/>
        <v/>
      </c>
      <c r="HV14" s="79" t="str">
        <f t="shared" si="61"/>
        <v/>
      </c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0" t="str">
        <f t="shared" si="62"/>
        <v/>
      </c>
      <c r="IR14" s="20" t="str">
        <f t="shared" si="63"/>
        <v/>
      </c>
      <c r="IS14" s="20" t="str">
        <f t="shared" si="64"/>
        <v/>
      </c>
      <c r="IT14" s="20" t="str">
        <f t="shared" si="65"/>
        <v/>
      </c>
      <c r="IU14" s="20" t="str">
        <f t="shared" si="66"/>
        <v/>
      </c>
      <c r="IV14" s="20" t="str">
        <f t="shared" si="67"/>
        <v/>
      </c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79" t="str">
        <f t="shared" si="68"/>
        <v/>
      </c>
      <c r="JR14" s="79" t="str">
        <f t="shared" si="69"/>
        <v/>
      </c>
      <c r="JS14" s="79" t="str">
        <f t="shared" si="70"/>
        <v/>
      </c>
      <c r="JT14" s="79" t="str">
        <f t="shared" si="71"/>
        <v/>
      </c>
      <c r="JU14" s="79" t="str">
        <f t="shared" si="72"/>
        <v/>
      </c>
      <c r="JV14" s="79" t="str">
        <f t="shared" si="73"/>
        <v/>
      </c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0" t="str">
        <f t="shared" si="74"/>
        <v/>
      </c>
      <c r="KR14" s="20" t="str">
        <f t="shared" si="75"/>
        <v/>
      </c>
      <c r="KS14" s="20" t="str">
        <f t="shared" si="76"/>
        <v/>
      </c>
      <c r="KT14" s="20" t="str">
        <f t="shared" si="77"/>
        <v/>
      </c>
      <c r="KU14" s="20" t="str">
        <f t="shared" si="78"/>
        <v/>
      </c>
      <c r="KV14" s="20" t="str">
        <f t="shared" si="79"/>
        <v/>
      </c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79" t="str">
        <f t="shared" si="80"/>
        <v/>
      </c>
      <c r="LR14" s="79" t="str">
        <f t="shared" si="81"/>
        <v/>
      </c>
      <c r="LS14" s="79" t="str">
        <f t="shared" si="82"/>
        <v/>
      </c>
      <c r="LT14" s="79" t="str">
        <f t="shared" si="83"/>
        <v/>
      </c>
      <c r="LU14" s="79" t="str">
        <f t="shared" si="84"/>
        <v/>
      </c>
      <c r="LV14" s="79" t="str">
        <f t="shared" si="85"/>
        <v/>
      </c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0" t="str">
        <f t="shared" si="86"/>
        <v/>
      </c>
      <c r="MR14" s="20" t="str">
        <f t="shared" si="87"/>
        <v/>
      </c>
      <c r="MS14" s="20" t="str">
        <f t="shared" si="88"/>
        <v/>
      </c>
      <c r="MT14" s="20" t="str">
        <f t="shared" si="89"/>
        <v/>
      </c>
      <c r="MU14" s="20" t="str">
        <f t="shared" si="90"/>
        <v/>
      </c>
      <c r="MV14" s="20" t="str">
        <f t="shared" si="91"/>
        <v/>
      </c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79" t="str">
        <f t="shared" si="92"/>
        <v/>
      </c>
      <c r="NR14" s="79" t="str">
        <f t="shared" si="93"/>
        <v/>
      </c>
      <c r="NS14" s="79" t="str">
        <f t="shared" si="94"/>
        <v/>
      </c>
      <c r="NT14" s="79" t="str">
        <f t="shared" si="95"/>
        <v/>
      </c>
      <c r="NU14" s="79" t="str">
        <f t="shared" si="96"/>
        <v/>
      </c>
      <c r="NV14" s="79" t="str">
        <f t="shared" si="97"/>
        <v/>
      </c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0" t="str">
        <f t="shared" si="98"/>
        <v/>
      </c>
      <c r="OR14" s="20" t="str">
        <f t="shared" si="99"/>
        <v/>
      </c>
      <c r="OS14" s="20" t="str">
        <f t="shared" si="100"/>
        <v/>
      </c>
      <c r="OT14" s="20" t="str">
        <f t="shared" si="101"/>
        <v/>
      </c>
      <c r="OU14" s="20" t="str">
        <f t="shared" si="102"/>
        <v/>
      </c>
      <c r="OV14" s="20" t="str">
        <f t="shared" si="103"/>
        <v/>
      </c>
      <c r="OW14" s="38">
        <f t="shared" si="104"/>
        <v>8.2799999999999994</v>
      </c>
      <c r="OX14" s="38">
        <f t="shared" si="105"/>
        <v>1.55</v>
      </c>
      <c r="OY14" s="38">
        <f t="shared" si="106"/>
        <v>0</v>
      </c>
      <c r="OZ14" s="38">
        <f t="shared" si="107"/>
        <v>0</v>
      </c>
      <c r="PA14" s="38">
        <f t="shared" si="108"/>
        <v>7.9</v>
      </c>
      <c r="PB14" s="38">
        <f t="shared" si="109"/>
        <v>1.5</v>
      </c>
      <c r="PC14" s="38">
        <f t="shared" si="110"/>
        <v>0</v>
      </c>
      <c r="PD14" s="38">
        <f t="shared" si="111"/>
        <v>0.15</v>
      </c>
      <c r="PE14" s="38">
        <f t="shared" si="112"/>
        <v>0</v>
      </c>
      <c r="PF14" s="38">
        <f t="shared" si="113"/>
        <v>0</v>
      </c>
      <c r="PG14" s="38">
        <f t="shared" si="114"/>
        <v>0</v>
      </c>
      <c r="PH14" s="38">
        <f t="shared" si="115"/>
        <v>0</v>
      </c>
      <c r="PI14" s="38">
        <f t="shared" si="116"/>
        <v>8.25</v>
      </c>
      <c r="PJ14" s="38">
        <f t="shared" si="117"/>
        <v>1.55</v>
      </c>
      <c r="PK14" s="38">
        <f t="shared" si="118"/>
        <v>0</v>
      </c>
      <c r="PL14" s="38">
        <f t="shared" si="119"/>
        <v>0</v>
      </c>
      <c r="PM14" s="38">
        <f t="shared" si="120"/>
        <v>8.1999999999999993</v>
      </c>
      <c r="PN14" s="38">
        <f t="shared" si="121"/>
        <v>1.5</v>
      </c>
      <c r="PO14" s="38">
        <f t="shared" si="122"/>
        <v>0</v>
      </c>
      <c r="PP14" s="38">
        <f t="shared" si="123"/>
        <v>0.15</v>
      </c>
      <c r="PQ14" s="45" t="s">
        <v>46</v>
      </c>
      <c r="PR14" s="79">
        <f t="shared" si="124"/>
        <v>3.05</v>
      </c>
      <c r="PS14" s="79">
        <f t="shared" si="125"/>
        <v>19.38</v>
      </c>
      <c r="PT14" s="79" t="str">
        <f t="shared" si="126"/>
        <v/>
      </c>
      <c r="PU14" s="79">
        <f t="shared" si="127"/>
        <v>3.05</v>
      </c>
      <c r="PV14" s="79">
        <f t="shared" si="128"/>
        <v>19.649999999999999</v>
      </c>
      <c r="PW14" s="79">
        <f t="shared" si="129"/>
        <v>39.03</v>
      </c>
    </row>
    <row r="15" spans="1:439" x14ac:dyDescent="0.2">
      <c r="A15" s="5" t="str">
        <f t="shared" si="0"/>
        <v/>
      </c>
      <c r="B15" s="78" t="s">
        <v>139</v>
      </c>
      <c r="C15" s="5" t="s">
        <v>6</v>
      </c>
      <c r="D15" s="5">
        <v>2005</v>
      </c>
      <c r="E15" s="15">
        <f t="shared" si="1"/>
        <v>77.740007774003786</v>
      </c>
      <c r="F15" s="3" t="str">
        <f t="shared" si="2"/>
        <v/>
      </c>
      <c r="G15" s="3" t="str">
        <f t="shared" si="3"/>
        <v/>
      </c>
      <c r="H15" s="67" t="str">
        <f t="shared" si="4"/>
        <v/>
      </c>
      <c r="I15" s="14">
        <f>IF(COUNT(AN15,BO15,CP15)&gt;0,LARGE((AN15,BO15,CP15),1),0)</f>
        <v>37.959999999999994</v>
      </c>
      <c r="J15" s="14" t="str">
        <f t="shared" si="5"/>
        <v>2022 Elite Canada</v>
      </c>
      <c r="K15" s="14">
        <f>IF(COUNT(AN15,BO15,CP15)&gt;1,LARGE((AN15,BO15,CP15),2),0)</f>
        <v>0</v>
      </c>
      <c r="L15" s="14" t="str">
        <f t="shared" si="6"/>
        <v/>
      </c>
      <c r="M15" s="14">
        <f t="shared" si="7"/>
        <v>39.78</v>
      </c>
      <c r="N15" s="14" t="str">
        <f t="shared" si="8"/>
        <v>2022 Elite Canada</v>
      </c>
      <c r="O15" s="14" t="str">
        <f t="shared" si="9"/>
        <v/>
      </c>
      <c r="P15" s="20" t="str">
        <f t="shared" si="10"/>
        <v/>
      </c>
      <c r="Q15" s="14" t="str">
        <f t="shared" si="11"/>
        <v/>
      </c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45"/>
      <c r="AM15" s="79" t="str">
        <f t="shared" si="12"/>
        <v/>
      </c>
      <c r="AN15" s="79" t="str">
        <f t="shared" si="13"/>
        <v/>
      </c>
      <c r="AO15" s="79" t="str">
        <f t="shared" si="14"/>
        <v/>
      </c>
      <c r="AP15" s="79" t="str">
        <f t="shared" si="15"/>
        <v/>
      </c>
      <c r="AQ15" s="79" t="str">
        <f t="shared" si="16"/>
        <v/>
      </c>
      <c r="AR15" s="79" t="str">
        <f t="shared" si="17"/>
        <v/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46"/>
      <c r="BN15" s="20" t="str">
        <f t="shared" si="18"/>
        <v/>
      </c>
      <c r="BO15" s="20" t="str">
        <f t="shared" si="19"/>
        <v/>
      </c>
      <c r="BP15" s="20" t="str">
        <f t="shared" si="20"/>
        <v/>
      </c>
      <c r="BQ15" s="20" t="str">
        <f t="shared" si="21"/>
        <v/>
      </c>
      <c r="BR15" s="20" t="str">
        <f t="shared" si="22"/>
        <v/>
      </c>
      <c r="BS15" s="20" t="str">
        <f t="shared" si="23"/>
        <v/>
      </c>
      <c r="BT15" s="27">
        <v>16.559999999999999</v>
      </c>
      <c r="BU15" s="27">
        <v>2.8</v>
      </c>
      <c r="BV15" s="27">
        <v>0.2</v>
      </c>
      <c r="BW15" s="27">
        <v>0.3</v>
      </c>
      <c r="BX15" s="27">
        <v>17</v>
      </c>
      <c r="BY15" s="27">
        <v>3.2</v>
      </c>
      <c r="BZ15" s="27">
        <v>2</v>
      </c>
      <c r="CA15" s="27">
        <v>0.3</v>
      </c>
      <c r="CB15" s="27"/>
      <c r="CC15" s="27"/>
      <c r="CD15" s="27"/>
      <c r="CE15" s="27"/>
      <c r="CF15" s="27">
        <v>16.579999999999998</v>
      </c>
      <c r="CG15" s="27">
        <v>2.8</v>
      </c>
      <c r="CH15" s="27">
        <v>0.2</v>
      </c>
      <c r="CI15" s="27">
        <v>0.3</v>
      </c>
      <c r="CJ15" s="27">
        <v>16.8</v>
      </c>
      <c r="CK15" s="27">
        <v>3.2</v>
      </c>
      <c r="CL15" s="27">
        <v>0</v>
      </c>
      <c r="CM15" s="27">
        <v>0.3</v>
      </c>
      <c r="CN15" s="45"/>
      <c r="CO15" s="79">
        <f t="shared" si="24"/>
        <v>6</v>
      </c>
      <c r="CP15" s="79">
        <f t="shared" si="25"/>
        <v>37.959999999999994</v>
      </c>
      <c r="CQ15" s="79" t="str">
        <f t="shared" si="26"/>
        <v/>
      </c>
      <c r="CR15" s="79">
        <f t="shared" si="27"/>
        <v>6</v>
      </c>
      <c r="CS15" s="79">
        <f t="shared" si="28"/>
        <v>39.78</v>
      </c>
      <c r="CT15" s="79">
        <f t="shared" si="29"/>
        <v>77.739999999999995</v>
      </c>
      <c r="CU15" s="80" t="str">
        <f t="shared" si="30"/>
        <v/>
      </c>
      <c r="CV15" s="80" t="str">
        <f t="shared" si="31"/>
        <v/>
      </c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79" t="str">
        <f t="shared" si="32"/>
        <v/>
      </c>
      <c r="DR15" s="79" t="str">
        <f t="shared" si="33"/>
        <v/>
      </c>
      <c r="DS15" s="79" t="str">
        <f t="shared" si="34"/>
        <v/>
      </c>
      <c r="DT15" s="79" t="str">
        <f t="shared" si="35"/>
        <v/>
      </c>
      <c r="DU15" s="79" t="str">
        <f t="shared" si="36"/>
        <v/>
      </c>
      <c r="DV15" s="79" t="str">
        <f t="shared" si="37"/>
        <v/>
      </c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0" t="str">
        <f t="shared" si="38"/>
        <v/>
      </c>
      <c r="ER15" s="20" t="str">
        <f t="shared" si="39"/>
        <v/>
      </c>
      <c r="ES15" s="20" t="str">
        <f t="shared" si="40"/>
        <v/>
      </c>
      <c r="ET15" s="20" t="str">
        <f t="shared" si="41"/>
        <v/>
      </c>
      <c r="EU15" s="20" t="str">
        <f t="shared" si="42"/>
        <v/>
      </c>
      <c r="EV15" s="20" t="str">
        <f t="shared" si="43"/>
        <v/>
      </c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79" t="str">
        <f t="shared" si="44"/>
        <v/>
      </c>
      <c r="FR15" s="79" t="str">
        <f t="shared" si="45"/>
        <v/>
      </c>
      <c r="FS15" s="79" t="str">
        <f t="shared" si="46"/>
        <v/>
      </c>
      <c r="FT15" s="79" t="str">
        <f t="shared" si="47"/>
        <v/>
      </c>
      <c r="FU15" s="79" t="str">
        <f t="shared" si="48"/>
        <v/>
      </c>
      <c r="FV15" s="79" t="str">
        <f t="shared" si="49"/>
        <v/>
      </c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0" t="str">
        <f t="shared" si="50"/>
        <v/>
      </c>
      <c r="GR15" s="20" t="str">
        <f t="shared" si="51"/>
        <v/>
      </c>
      <c r="GS15" s="20" t="str">
        <f t="shared" si="52"/>
        <v/>
      </c>
      <c r="GT15" s="20" t="str">
        <f t="shared" si="53"/>
        <v/>
      </c>
      <c r="GU15" s="20" t="str">
        <f t="shared" si="54"/>
        <v/>
      </c>
      <c r="GV15" s="20" t="str">
        <f t="shared" si="55"/>
        <v/>
      </c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79" t="str">
        <f t="shared" si="56"/>
        <v/>
      </c>
      <c r="HR15" s="79" t="str">
        <f t="shared" si="57"/>
        <v/>
      </c>
      <c r="HS15" s="79" t="str">
        <f t="shared" si="58"/>
        <v/>
      </c>
      <c r="HT15" s="79" t="str">
        <f t="shared" si="59"/>
        <v/>
      </c>
      <c r="HU15" s="79" t="str">
        <f t="shared" si="60"/>
        <v/>
      </c>
      <c r="HV15" s="79" t="str">
        <f t="shared" si="61"/>
        <v/>
      </c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0" t="str">
        <f t="shared" si="62"/>
        <v/>
      </c>
      <c r="IR15" s="20" t="str">
        <f t="shared" si="63"/>
        <v/>
      </c>
      <c r="IS15" s="20" t="str">
        <f t="shared" si="64"/>
        <v/>
      </c>
      <c r="IT15" s="20" t="str">
        <f t="shared" si="65"/>
        <v/>
      </c>
      <c r="IU15" s="20" t="str">
        <f t="shared" si="66"/>
        <v/>
      </c>
      <c r="IV15" s="20" t="str">
        <f t="shared" si="67"/>
        <v/>
      </c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79" t="str">
        <f t="shared" si="68"/>
        <v/>
      </c>
      <c r="JR15" s="79" t="str">
        <f t="shared" si="69"/>
        <v/>
      </c>
      <c r="JS15" s="79" t="str">
        <f t="shared" si="70"/>
        <v/>
      </c>
      <c r="JT15" s="79" t="str">
        <f t="shared" si="71"/>
        <v/>
      </c>
      <c r="JU15" s="79" t="str">
        <f t="shared" si="72"/>
        <v/>
      </c>
      <c r="JV15" s="79" t="str">
        <f t="shared" si="73"/>
        <v/>
      </c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0" t="str">
        <f t="shared" si="74"/>
        <v/>
      </c>
      <c r="KR15" s="20" t="str">
        <f t="shared" si="75"/>
        <v/>
      </c>
      <c r="KS15" s="20" t="str">
        <f t="shared" si="76"/>
        <v/>
      </c>
      <c r="KT15" s="20" t="str">
        <f t="shared" si="77"/>
        <v/>
      </c>
      <c r="KU15" s="20" t="str">
        <f t="shared" si="78"/>
        <v/>
      </c>
      <c r="KV15" s="20" t="str">
        <f t="shared" si="79"/>
        <v/>
      </c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79" t="str">
        <f t="shared" si="80"/>
        <v/>
      </c>
      <c r="LR15" s="79" t="str">
        <f t="shared" si="81"/>
        <v/>
      </c>
      <c r="LS15" s="79" t="str">
        <f t="shared" si="82"/>
        <v/>
      </c>
      <c r="LT15" s="79" t="str">
        <f t="shared" si="83"/>
        <v/>
      </c>
      <c r="LU15" s="79" t="str">
        <f t="shared" si="84"/>
        <v/>
      </c>
      <c r="LV15" s="79" t="str">
        <f t="shared" si="85"/>
        <v/>
      </c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6"/>
      <c r="MM15" s="26"/>
      <c r="MN15" s="26"/>
      <c r="MO15" s="26"/>
      <c r="MP15" s="26"/>
      <c r="MQ15" s="20" t="str">
        <f t="shared" si="86"/>
        <v/>
      </c>
      <c r="MR15" s="20" t="str">
        <f t="shared" si="87"/>
        <v/>
      </c>
      <c r="MS15" s="20" t="str">
        <f t="shared" si="88"/>
        <v/>
      </c>
      <c r="MT15" s="20" t="str">
        <f t="shared" si="89"/>
        <v/>
      </c>
      <c r="MU15" s="20" t="str">
        <f t="shared" si="90"/>
        <v/>
      </c>
      <c r="MV15" s="20" t="str">
        <f t="shared" si="91"/>
        <v/>
      </c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79" t="str">
        <f t="shared" si="92"/>
        <v/>
      </c>
      <c r="NR15" s="79" t="str">
        <f t="shared" si="93"/>
        <v/>
      </c>
      <c r="NS15" s="79" t="str">
        <f t="shared" si="94"/>
        <v/>
      </c>
      <c r="NT15" s="79" t="str">
        <f t="shared" si="95"/>
        <v/>
      </c>
      <c r="NU15" s="79" t="str">
        <f t="shared" si="96"/>
        <v/>
      </c>
      <c r="NV15" s="79" t="str">
        <f t="shared" si="97"/>
        <v/>
      </c>
      <c r="NW15" s="26"/>
      <c r="NX15" s="26"/>
      <c r="NY15" s="26"/>
      <c r="NZ15" s="26"/>
      <c r="OA15" s="26"/>
      <c r="OB15" s="26"/>
      <c r="OC15" s="26"/>
      <c r="OD15" s="26"/>
      <c r="OE15" s="26"/>
      <c r="OF15" s="26"/>
      <c r="OG15" s="26"/>
      <c r="OH15" s="26"/>
      <c r="OI15" s="26"/>
      <c r="OJ15" s="26"/>
      <c r="OK15" s="26"/>
      <c r="OL15" s="26"/>
      <c r="OM15" s="26"/>
      <c r="ON15" s="26"/>
      <c r="OO15" s="26"/>
      <c r="OP15" s="26"/>
      <c r="OQ15" s="20" t="str">
        <f t="shared" si="98"/>
        <v/>
      </c>
      <c r="OR15" s="20" t="str">
        <f t="shared" si="99"/>
        <v/>
      </c>
      <c r="OS15" s="20" t="str">
        <f t="shared" si="100"/>
        <v/>
      </c>
      <c r="OT15" s="20" t="str">
        <f t="shared" si="101"/>
        <v/>
      </c>
      <c r="OU15" s="20" t="str">
        <f t="shared" si="102"/>
        <v/>
      </c>
      <c r="OV15" s="20" t="str">
        <f t="shared" si="103"/>
        <v/>
      </c>
      <c r="OW15" s="38">
        <f t="shared" si="104"/>
        <v>8.2799999999999994</v>
      </c>
      <c r="OX15" s="38">
        <f t="shared" si="105"/>
        <v>1.4</v>
      </c>
      <c r="OY15" s="38">
        <f t="shared" si="106"/>
        <v>0.1</v>
      </c>
      <c r="OZ15" s="38">
        <f t="shared" si="107"/>
        <v>0.15</v>
      </c>
      <c r="PA15" s="38">
        <f t="shared" si="108"/>
        <v>8.5</v>
      </c>
      <c r="PB15" s="38">
        <f t="shared" si="109"/>
        <v>1.6</v>
      </c>
      <c r="PC15" s="38">
        <f t="shared" si="110"/>
        <v>1</v>
      </c>
      <c r="PD15" s="38">
        <f t="shared" si="111"/>
        <v>0.15</v>
      </c>
      <c r="PE15" s="38">
        <f t="shared" si="112"/>
        <v>0</v>
      </c>
      <c r="PF15" s="38">
        <f t="shared" si="113"/>
        <v>0</v>
      </c>
      <c r="PG15" s="38">
        <f t="shared" si="114"/>
        <v>0</v>
      </c>
      <c r="PH15" s="38">
        <f t="shared" si="115"/>
        <v>0</v>
      </c>
      <c r="PI15" s="38">
        <f t="shared" si="116"/>
        <v>8.2899999999999991</v>
      </c>
      <c r="PJ15" s="38">
        <f t="shared" si="117"/>
        <v>1.4</v>
      </c>
      <c r="PK15" s="38">
        <f t="shared" si="118"/>
        <v>0.1</v>
      </c>
      <c r="PL15" s="38">
        <f t="shared" si="119"/>
        <v>0.15</v>
      </c>
      <c r="PM15" s="38">
        <f t="shared" si="120"/>
        <v>8.4</v>
      </c>
      <c r="PN15" s="38">
        <f t="shared" si="121"/>
        <v>1.6</v>
      </c>
      <c r="PO15" s="38">
        <f t="shared" si="122"/>
        <v>0</v>
      </c>
      <c r="PP15" s="38">
        <f t="shared" si="123"/>
        <v>0.15</v>
      </c>
      <c r="PQ15" s="45" t="s">
        <v>46</v>
      </c>
      <c r="PR15" s="79">
        <f t="shared" si="124"/>
        <v>3</v>
      </c>
      <c r="PS15" s="79">
        <f t="shared" si="125"/>
        <v>18.979999999999997</v>
      </c>
      <c r="PT15" s="79" t="str">
        <f t="shared" si="126"/>
        <v/>
      </c>
      <c r="PU15" s="79">
        <f t="shared" si="127"/>
        <v>3</v>
      </c>
      <c r="PV15" s="79">
        <f t="shared" si="128"/>
        <v>19.89</v>
      </c>
      <c r="PW15" s="79">
        <f t="shared" si="129"/>
        <v>38.869999999999997</v>
      </c>
    </row>
    <row r="16" spans="1:439" x14ac:dyDescent="0.2">
      <c r="A16" s="5" t="str">
        <f t="shared" si="0"/>
        <v/>
      </c>
      <c r="B16" s="78" t="s">
        <v>126</v>
      </c>
      <c r="C16" s="5" t="s">
        <v>3</v>
      </c>
      <c r="D16" s="5">
        <v>2004</v>
      </c>
      <c r="E16" s="15">
        <f t="shared" si="1"/>
        <v>75.200007520003879</v>
      </c>
      <c r="F16" s="3" t="str">
        <f t="shared" si="2"/>
        <v/>
      </c>
      <c r="G16" s="3" t="str">
        <f t="shared" si="3"/>
        <v/>
      </c>
      <c r="H16" s="67" t="str">
        <f t="shared" si="4"/>
        <v/>
      </c>
      <c r="I16" s="14">
        <f>IF(COUNT(AN16,BO16,CP16)&gt;0,LARGE((AN16,BO16,CP16),1),0)</f>
        <v>38.999999999999993</v>
      </c>
      <c r="J16" s="14" t="str">
        <f t="shared" si="5"/>
        <v>2022 Elite Canada</v>
      </c>
      <c r="K16" s="14">
        <f>IF(COUNT(AN16,BO16,CP16)&gt;1,LARGE((AN16,BO16,CP16),2),0)</f>
        <v>0</v>
      </c>
      <c r="L16" s="14" t="str">
        <f t="shared" si="6"/>
        <v/>
      </c>
      <c r="M16" s="14">
        <f t="shared" si="7"/>
        <v>36.199999999999996</v>
      </c>
      <c r="N16" s="14" t="str">
        <f t="shared" si="8"/>
        <v>2022 Elite Canada</v>
      </c>
      <c r="O16" s="14" t="str">
        <f t="shared" si="9"/>
        <v/>
      </c>
      <c r="P16" s="20" t="str">
        <f t="shared" si="10"/>
        <v/>
      </c>
      <c r="Q16" s="14" t="str">
        <f t="shared" si="11"/>
        <v/>
      </c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45"/>
      <c r="AM16" s="79" t="str">
        <f t="shared" si="12"/>
        <v/>
      </c>
      <c r="AN16" s="79" t="str">
        <f t="shared" si="13"/>
        <v/>
      </c>
      <c r="AO16" s="79" t="str">
        <f t="shared" si="14"/>
        <v/>
      </c>
      <c r="AP16" s="79" t="str">
        <f t="shared" si="15"/>
        <v/>
      </c>
      <c r="AQ16" s="79" t="str">
        <f t="shared" si="16"/>
        <v/>
      </c>
      <c r="AR16" s="79" t="str">
        <f t="shared" si="17"/>
        <v/>
      </c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46"/>
      <c r="BN16" s="20" t="str">
        <f t="shared" si="18"/>
        <v/>
      </c>
      <c r="BO16" s="20" t="str">
        <f t="shared" si="19"/>
        <v/>
      </c>
      <c r="BP16" s="20" t="str">
        <f t="shared" si="20"/>
        <v/>
      </c>
      <c r="BQ16" s="20" t="str">
        <f t="shared" si="21"/>
        <v/>
      </c>
      <c r="BR16" s="20" t="str">
        <f t="shared" si="22"/>
        <v/>
      </c>
      <c r="BS16" s="20" t="str">
        <f t="shared" si="23"/>
        <v/>
      </c>
      <c r="BT16" s="27">
        <v>16.7</v>
      </c>
      <c r="BU16" s="27">
        <v>3.4</v>
      </c>
      <c r="BV16" s="27">
        <v>0</v>
      </c>
      <c r="BW16" s="27">
        <v>0</v>
      </c>
      <c r="BX16" s="27">
        <v>14.9</v>
      </c>
      <c r="BY16" s="27">
        <v>3.9</v>
      </c>
      <c r="BZ16" s="27">
        <v>0.2</v>
      </c>
      <c r="CA16" s="27">
        <v>0.3</v>
      </c>
      <c r="CB16" s="27"/>
      <c r="CC16" s="27"/>
      <c r="CD16" s="27"/>
      <c r="CE16" s="27"/>
      <c r="CF16" s="27">
        <v>15.1</v>
      </c>
      <c r="CG16" s="27">
        <v>3.2</v>
      </c>
      <c r="CH16" s="27">
        <v>0</v>
      </c>
      <c r="CI16" s="27">
        <v>0</v>
      </c>
      <c r="CJ16" s="27">
        <v>15.7</v>
      </c>
      <c r="CK16" s="27">
        <v>1.9</v>
      </c>
      <c r="CL16" s="27">
        <v>0</v>
      </c>
      <c r="CM16" s="27">
        <v>0.3</v>
      </c>
      <c r="CN16" s="45"/>
      <c r="CO16" s="79">
        <f t="shared" si="24"/>
        <v>7.3</v>
      </c>
      <c r="CP16" s="79">
        <f t="shared" si="25"/>
        <v>38.999999999999993</v>
      </c>
      <c r="CQ16" s="79" t="str">
        <f t="shared" si="26"/>
        <v/>
      </c>
      <c r="CR16" s="79">
        <f t="shared" si="27"/>
        <v>5.0999999999999996</v>
      </c>
      <c r="CS16" s="79">
        <f t="shared" si="28"/>
        <v>36.199999999999996</v>
      </c>
      <c r="CT16" s="79">
        <f t="shared" si="29"/>
        <v>75.199999999999989</v>
      </c>
      <c r="CU16" s="80" t="str">
        <f t="shared" si="30"/>
        <v/>
      </c>
      <c r="CV16" s="80" t="str">
        <f t="shared" si="31"/>
        <v/>
      </c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79" t="str">
        <f t="shared" si="32"/>
        <v/>
      </c>
      <c r="DR16" s="79" t="str">
        <f t="shared" si="33"/>
        <v/>
      </c>
      <c r="DS16" s="79" t="str">
        <f t="shared" si="34"/>
        <v/>
      </c>
      <c r="DT16" s="79" t="str">
        <f t="shared" si="35"/>
        <v/>
      </c>
      <c r="DU16" s="79" t="str">
        <f t="shared" si="36"/>
        <v/>
      </c>
      <c r="DV16" s="79" t="str">
        <f t="shared" si="37"/>
        <v/>
      </c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0" t="str">
        <f t="shared" si="38"/>
        <v/>
      </c>
      <c r="ER16" s="20" t="str">
        <f t="shared" si="39"/>
        <v/>
      </c>
      <c r="ES16" s="20" t="str">
        <f t="shared" si="40"/>
        <v/>
      </c>
      <c r="ET16" s="20" t="str">
        <f t="shared" si="41"/>
        <v/>
      </c>
      <c r="EU16" s="20" t="str">
        <f t="shared" si="42"/>
        <v/>
      </c>
      <c r="EV16" s="20" t="str">
        <f t="shared" si="43"/>
        <v/>
      </c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79" t="str">
        <f t="shared" si="44"/>
        <v/>
      </c>
      <c r="FR16" s="79" t="str">
        <f t="shared" si="45"/>
        <v/>
      </c>
      <c r="FS16" s="79" t="str">
        <f t="shared" si="46"/>
        <v/>
      </c>
      <c r="FT16" s="79" t="str">
        <f t="shared" si="47"/>
        <v/>
      </c>
      <c r="FU16" s="79" t="str">
        <f t="shared" si="48"/>
        <v/>
      </c>
      <c r="FV16" s="79" t="str">
        <f t="shared" si="49"/>
        <v/>
      </c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0" t="str">
        <f t="shared" si="50"/>
        <v/>
      </c>
      <c r="GR16" s="20" t="str">
        <f t="shared" si="51"/>
        <v/>
      </c>
      <c r="GS16" s="20" t="str">
        <f t="shared" si="52"/>
        <v/>
      </c>
      <c r="GT16" s="20" t="str">
        <f t="shared" si="53"/>
        <v/>
      </c>
      <c r="GU16" s="20" t="str">
        <f t="shared" si="54"/>
        <v/>
      </c>
      <c r="GV16" s="20" t="str">
        <f t="shared" si="55"/>
        <v/>
      </c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79" t="str">
        <f t="shared" si="56"/>
        <v/>
      </c>
      <c r="HR16" s="79" t="str">
        <f t="shared" si="57"/>
        <v/>
      </c>
      <c r="HS16" s="79" t="str">
        <f t="shared" si="58"/>
        <v/>
      </c>
      <c r="HT16" s="79" t="str">
        <f t="shared" si="59"/>
        <v/>
      </c>
      <c r="HU16" s="79" t="str">
        <f t="shared" si="60"/>
        <v/>
      </c>
      <c r="HV16" s="79" t="str">
        <f t="shared" si="61"/>
        <v/>
      </c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0" t="str">
        <f t="shared" si="62"/>
        <v/>
      </c>
      <c r="IR16" s="20" t="str">
        <f t="shared" si="63"/>
        <v/>
      </c>
      <c r="IS16" s="20" t="str">
        <f t="shared" si="64"/>
        <v/>
      </c>
      <c r="IT16" s="20" t="str">
        <f t="shared" si="65"/>
        <v/>
      </c>
      <c r="IU16" s="20" t="str">
        <f t="shared" si="66"/>
        <v/>
      </c>
      <c r="IV16" s="20" t="str">
        <f t="shared" si="67"/>
        <v/>
      </c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79" t="str">
        <f t="shared" si="68"/>
        <v/>
      </c>
      <c r="JR16" s="79" t="str">
        <f t="shared" si="69"/>
        <v/>
      </c>
      <c r="JS16" s="79" t="str">
        <f t="shared" si="70"/>
        <v/>
      </c>
      <c r="JT16" s="79" t="str">
        <f t="shared" si="71"/>
        <v/>
      </c>
      <c r="JU16" s="79" t="str">
        <f t="shared" si="72"/>
        <v/>
      </c>
      <c r="JV16" s="79" t="str">
        <f t="shared" si="73"/>
        <v/>
      </c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0" t="str">
        <f t="shared" si="74"/>
        <v/>
      </c>
      <c r="KR16" s="20" t="str">
        <f t="shared" si="75"/>
        <v/>
      </c>
      <c r="KS16" s="20" t="str">
        <f t="shared" si="76"/>
        <v/>
      </c>
      <c r="KT16" s="20" t="str">
        <f t="shared" si="77"/>
        <v/>
      </c>
      <c r="KU16" s="20" t="str">
        <f t="shared" si="78"/>
        <v/>
      </c>
      <c r="KV16" s="20" t="str">
        <f t="shared" si="79"/>
        <v/>
      </c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79" t="str">
        <f t="shared" si="80"/>
        <v/>
      </c>
      <c r="LR16" s="79" t="str">
        <f t="shared" si="81"/>
        <v/>
      </c>
      <c r="LS16" s="79" t="str">
        <f t="shared" si="82"/>
        <v/>
      </c>
      <c r="LT16" s="79" t="str">
        <f t="shared" si="83"/>
        <v/>
      </c>
      <c r="LU16" s="79" t="str">
        <f t="shared" si="84"/>
        <v/>
      </c>
      <c r="LV16" s="79" t="str">
        <f t="shared" si="85"/>
        <v/>
      </c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  <c r="MI16" s="26"/>
      <c r="MJ16" s="26"/>
      <c r="MK16" s="26"/>
      <c r="ML16" s="26"/>
      <c r="MM16" s="26"/>
      <c r="MN16" s="26"/>
      <c r="MO16" s="26"/>
      <c r="MP16" s="26"/>
      <c r="MQ16" s="20" t="str">
        <f t="shared" si="86"/>
        <v/>
      </c>
      <c r="MR16" s="20" t="str">
        <f t="shared" si="87"/>
        <v/>
      </c>
      <c r="MS16" s="20" t="str">
        <f t="shared" si="88"/>
        <v/>
      </c>
      <c r="MT16" s="20" t="str">
        <f t="shared" si="89"/>
        <v/>
      </c>
      <c r="MU16" s="20" t="str">
        <f t="shared" si="90"/>
        <v/>
      </c>
      <c r="MV16" s="20" t="str">
        <f t="shared" si="91"/>
        <v/>
      </c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79" t="str">
        <f t="shared" si="92"/>
        <v/>
      </c>
      <c r="NR16" s="79" t="str">
        <f t="shared" si="93"/>
        <v/>
      </c>
      <c r="NS16" s="79" t="str">
        <f t="shared" si="94"/>
        <v/>
      </c>
      <c r="NT16" s="79" t="str">
        <f t="shared" si="95"/>
        <v/>
      </c>
      <c r="NU16" s="79" t="str">
        <f t="shared" si="96"/>
        <v/>
      </c>
      <c r="NV16" s="79" t="str">
        <f t="shared" si="97"/>
        <v/>
      </c>
      <c r="NW16" s="26"/>
      <c r="NX16" s="26"/>
      <c r="NY16" s="26"/>
      <c r="NZ16" s="26"/>
      <c r="OA16" s="26"/>
      <c r="OB16" s="26"/>
      <c r="OC16" s="26"/>
      <c r="OD16" s="26"/>
      <c r="OE16" s="26"/>
      <c r="OF16" s="26"/>
      <c r="OG16" s="26"/>
      <c r="OH16" s="26"/>
      <c r="OI16" s="26"/>
      <c r="OJ16" s="26"/>
      <c r="OK16" s="26"/>
      <c r="OL16" s="26"/>
      <c r="OM16" s="26"/>
      <c r="ON16" s="26"/>
      <c r="OO16" s="26"/>
      <c r="OP16" s="26"/>
      <c r="OQ16" s="20" t="str">
        <f t="shared" si="98"/>
        <v/>
      </c>
      <c r="OR16" s="20" t="str">
        <f t="shared" si="99"/>
        <v/>
      </c>
      <c r="OS16" s="20" t="str">
        <f t="shared" si="100"/>
        <v/>
      </c>
      <c r="OT16" s="20" t="str">
        <f t="shared" si="101"/>
        <v/>
      </c>
      <c r="OU16" s="20" t="str">
        <f t="shared" si="102"/>
        <v/>
      </c>
      <c r="OV16" s="20" t="str">
        <f t="shared" si="103"/>
        <v/>
      </c>
      <c r="OW16" s="38">
        <f t="shared" si="104"/>
        <v>8.35</v>
      </c>
      <c r="OX16" s="38">
        <f t="shared" si="105"/>
        <v>1.7</v>
      </c>
      <c r="OY16" s="38">
        <f t="shared" si="106"/>
        <v>0</v>
      </c>
      <c r="OZ16" s="38">
        <f t="shared" si="107"/>
        <v>0</v>
      </c>
      <c r="PA16" s="38">
        <f t="shared" si="108"/>
        <v>7.45</v>
      </c>
      <c r="PB16" s="38">
        <f t="shared" si="109"/>
        <v>1.95</v>
      </c>
      <c r="PC16" s="38">
        <f t="shared" si="110"/>
        <v>0.1</v>
      </c>
      <c r="PD16" s="38">
        <f t="shared" si="111"/>
        <v>0.15</v>
      </c>
      <c r="PE16" s="38">
        <f t="shared" si="112"/>
        <v>0</v>
      </c>
      <c r="PF16" s="38">
        <f t="shared" si="113"/>
        <v>0</v>
      </c>
      <c r="PG16" s="38">
        <f t="shared" si="114"/>
        <v>0</v>
      </c>
      <c r="PH16" s="38">
        <f t="shared" si="115"/>
        <v>0</v>
      </c>
      <c r="PI16" s="38">
        <f t="shared" si="116"/>
        <v>7.55</v>
      </c>
      <c r="PJ16" s="38">
        <f t="shared" si="117"/>
        <v>1.6</v>
      </c>
      <c r="PK16" s="38">
        <f t="shared" si="118"/>
        <v>0</v>
      </c>
      <c r="PL16" s="38">
        <f t="shared" si="119"/>
        <v>0</v>
      </c>
      <c r="PM16" s="38">
        <f t="shared" si="120"/>
        <v>7.85</v>
      </c>
      <c r="PN16" s="38">
        <f t="shared" si="121"/>
        <v>0.95</v>
      </c>
      <c r="PO16" s="38">
        <f t="shared" si="122"/>
        <v>0</v>
      </c>
      <c r="PP16" s="38">
        <f t="shared" si="123"/>
        <v>0.15</v>
      </c>
      <c r="PQ16" s="45" t="s">
        <v>46</v>
      </c>
      <c r="PR16" s="79">
        <f t="shared" si="124"/>
        <v>3.65</v>
      </c>
      <c r="PS16" s="79">
        <f t="shared" si="125"/>
        <v>19.499999999999996</v>
      </c>
      <c r="PT16" s="79" t="str">
        <f t="shared" si="126"/>
        <v/>
      </c>
      <c r="PU16" s="79">
        <f t="shared" si="127"/>
        <v>2.5499999999999998</v>
      </c>
      <c r="PV16" s="79">
        <f t="shared" si="128"/>
        <v>18.099999999999998</v>
      </c>
      <c r="PW16" s="79">
        <f t="shared" si="129"/>
        <v>37.599999999999994</v>
      </c>
    </row>
    <row r="17" spans="1:439" x14ac:dyDescent="0.2">
      <c r="A17" s="5" t="str">
        <f t="shared" si="0"/>
        <v/>
      </c>
      <c r="B17" s="78" t="s">
        <v>140</v>
      </c>
      <c r="C17" s="5" t="s">
        <v>3</v>
      </c>
      <c r="D17" s="5">
        <v>2004</v>
      </c>
      <c r="E17" s="15">
        <f t="shared" si="1"/>
        <v>37.100003710003705</v>
      </c>
      <c r="F17" s="3" t="str">
        <f t="shared" si="2"/>
        <v/>
      </c>
      <c r="G17" s="3" t="str">
        <f t="shared" si="3"/>
        <v/>
      </c>
      <c r="H17" s="67" t="str">
        <f t="shared" si="4"/>
        <v/>
      </c>
      <c r="I17" s="14">
        <f>IF(COUNT(AN17,BO17,CP17)&gt;0,LARGE((AN17,BO17,CP17),1),0)</f>
        <v>37.099999999999994</v>
      </c>
      <c r="J17" s="14" t="str">
        <f t="shared" si="5"/>
        <v>2022 Elite Canada</v>
      </c>
      <c r="K17" s="14">
        <f>IF(COUNT(AN17,BO17,CP17)&gt;1,LARGE((AN17,BO17,CP17),2),0)</f>
        <v>0</v>
      </c>
      <c r="L17" s="14" t="str">
        <f t="shared" si="6"/>
        <v/>
      </c>
      <c r="M17" s="14">
        <f t="shared" si="7"/>
        <v>0</v>
      </c>
      <c r="N17" s="14" t="str">
        <f t="shared" si="8"/>
        <v/>
      </c>
      <c r="O17" s="14" t="str">
        <f t="shared" si="9"/>
        <v/>
      </c>
      <c r="P17" s="20" t="str">
        <f t="shared" si="10"/>
        <v/>
      </c>
      <c r="Q17" s="14" t="str">
        <f t="shared" si="11"/>
        <v/>
      </c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45"/>
      <c r="AM17" s="79" t="str">
        <f t="shared" si="12"/>
        <v/>
      </c>
      <c r="AN17" s="79" t="str">
        <f t="shared" si="13"/>
        <v/>
      </c>
      <c r="AO17" s="79" t="str">
        <f t="shared" si="14"/>
        <v/>
      </c>
      <c r="AP17" s="79" t="str">
        <f t="shared" si="15"/>
        <v/>
      </c>
      <c r="AQ17" s="79" t="str">
        <f t="shared" si="16"/>
        <v/>
      </c>
      <c r="AR17" s="79" t="str">
        <f t="shared" si="17"/>
        <v/>
      </c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46"/>
      <c r="BN17" s="20" t="str">
        <f t="shared" si="18"/>
        <v/>
      </c>
      <c r="BO17" s="20" t="str">
        <f t="shared" si="19"/>
        <v/>
      </c>
      <c r="BP17" s="20" t="str">
        <f t="shared" si="20"/>
        <v/>
      </c>
      <c r="BQ17" s="20" t="str">
        <f t="shared" si="21"/>
        <v/>
      </c>
      <c r="BR17" s="20" t="str">
        <f t="shared" si="22"/>
        <v/>
      </c>
      <c r="BS17" s="20" t="str">
        <f t="shared" si="23"/>
        <v/>
      </c>
      <c r="BT17" s="27">
        <v>15.8</v>
      </c>
      <c r="BU17" s="27">
        <v>3.2</v>
      </c>
      <c r="BV17" s="27">
        <v>0.2</v>
      </c>
      <c r="BW17" s="27">
        <v>0</v>
      </c>
      <c r="BX17" s="27">
        <v>15</v>
      </c>
      <c r="BY17" s="27">
        <v>3.2</v>
      </c>
      <c r="BZ17" s="27">
        <v>0.2</v>
      </c>
      <c r="CA17" s="27">
        <v>0.3</v>
      </c>
      <c r="CB17" s="27"/>
      <c r="CC17" s="27"/>
      <c r="CD17" s="27"/>
      <c r="CE17" s="27"/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>
        <v>0</v>
      </c>
      <c r="CL17" s="27">
        <v>0</v>
      </c>
      <c r="CM17" s="27">
        <v>0</v>
      </c>
      <c r="CN17" s="45"/>
      <c r="CO17" s="79">
        <f t="shared" si="24"/>
        <v>6.4</v>
      </c>
      <c r="CP17" s="79">
        <f t="shared" si="25"/>
        <v>37.099999999999994</v>
      </c>
      <c r="CQ17" s="79" t="str">
        <f t="shared" si="26"/>
        <v/>
      </c>
      <c r="CR17" s="79" t="str">
        <f t="shared" si="27"/>
        <v/>
      </c>
      <c r="CS17" s="79" t="str">
        <f t="shared" si="28"/>
        <v/>
      </c>
      <c r="CT17" s="79">
        <f t="shared" si="29"/>
        <v>37.099999999999994</v>
      </c>
      <c r="CU17" s="80" t="str">
        <f t="shared" si="30"/>
        <v/>
      </c>
      <c r="CV17" s="80" t="str">
        <f t="shared" si="31"/>
        <v/>
      </c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79" t="str">
        <f t="shared" si="32"/>
        <v/>
      </c>
      <c r="DR17" s="79" t="str">
        <f t="shared" si="33"/>
        <v/>
      </c>
      <c r="DS17" s="79" t="str">
        <f t="shared" si="34"/>
        <v/>
      </c>
      <c r="DT17" s="79" t="str">
        <f t="shared" si="35"/>
        <v/>
      </c>
      <c r="DU17" s="79" t="str">
        <f t="shared" si="36"/>
        <v/>
      </c>
      <c r="DV17" s="79" t="str">
        <f t="shared" si="37"/>
        <v/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0" t="str">
        <f t="shared" si="38"/>
        <v/>
      </c>
      <c r="ER17" s="20" t="str">
        <f t="shared" si="39"/>
        <v/>
      </c>
      <c r="ES17" s="20" t="str">
        <f t="shared" si="40"/>
        <v/>
      </c>
      <c r="ET17" s="20" t="str">
        <f t="shared" si="41"/>
        <v/>
      </c>
      <c r="EU17" s="20" t="str">
        <f t="shared" si="42"/>
        <v/>
      </c>
      <c r="EV17" s="20" t="str">
        <f t="shared" si="43"/>
        <v/>
      </c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79" t="str">
        <f t="shared" si="44"/>
        <v/>
      </c>
      <c r="FR17" s="79" t="str">
        <f t="shared" si="45"/>
        <v/>
      </c>
      <c r="FS17" s="79" t="str">
        <f t="shared" si="46"/>
        <v/>
      </c>
      <c r="FT17" s="79" t="str">
        <f t="shared" si="47"/>
        <v/>
      </c>
      <c r="FU17" s="79" t="str">
        <f t="shared" si="48"/>
        <v/>
      </c>
      <c r="FV17" s="79" t="str">
        <f t="shared" si="49"/>
        <v/>
      </c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0" t="str">
        <f t="shared" si="50"/>
        <v/>
      </c>
      <c r="GR17" s="20" t="str">
        <f t="shared" si="51"/>
        <v/>
      </c>
      <c r="GS17" s="20" t="str">
        <f t="shared" si="52"/>
        <v/>
      </c>
      <c r="GT17" s="20" t="str">
        <f t="shared" si="53"/>
        <v/>
      </c>
      <c r="GU17" s="20" t="str">
        <f t="shared" si="54"/>
        <v/>
      </c>
      <c r="GV17" s="20" t="str">
        <f t="shared" si="55"/>
        <v/>
      </c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79" t="str">
        <f t="shared" si="56"/>
        <v/>
      </c>
      <c r="HR17" s="79" t="str">
        <f t="shared" si="57"/>
        <v/>
      </c>
      <c r="HS17" s="79" t="str">
        <f t="shared" si="58"/>
        <v/>
      </c>
      <c r="HT17" s="79" t="str">
        <f t="shared" si="59"/>
        <v/>
      </c>
      <c r="HU17" s="79" t="str">
        <f t="shared" si="60"/>
        <v/>
      </c>
      <c r="HV17" s="79" t="str">
        <f t="shared" si="61"/>
        <v/>
      </c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0" t="str">
        <f t="shared" si="62"/>
        <v/>
      </c>
      <c r="IR17" s="20" t="str">
        <f t="shared" si="63"/>
        <v/>
      </c>
      <c r="IS17" s="20" t="str">
        <f t="shared" si="64"/>
        <v/>
      </c>
      <c r="IT17" s="20" t="str">
        <f t="shared" si="65"/>
        <v/>
      </c>
      <c r="IU17" s="20" t="str">
        <f t="shared" si="66"/>
        <v/>
      </c>
      <c r="IV17" s="20" t="str">
        <f t="shared" si="67"/>
        <v/>
      </c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79" t="str">
        <f t="shared" si="68"/>
        <v/>
      </c>
      <c r="JR17" s="79" t="str">
        <f t="shared" si="69"/>
        <v/>
      </c>
      <c r="JS17" s="79" t="str">
        <f t="shared" si="70"/>
        <v/>
      </c>
      <c r="JT17" s="79" t="str">
        <f t="shared" si="71"/>
        <v/>
      </c>
      <c r="JU17" s="79" t="str">
        <f t="shared" si="72"/>
        <v/>
      </c>
      <c r="JV17" s="79" t="str">
        <f t="shared" si="73"/>
        <v/>
      </c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0" t="str">
        <f t="shared" si="74"/>
        <v/>
      </c>
      <c r="KR17" s="20" t="str">
        <f t="shared" si="75"/>
        <v/>
      </c>
      <c r="KS17" s="20" t="str">
        <f t="shared" si="76"/>
        <v/>
      </c>
      <c r="KT17" s="20" t="str">
        <f t="shared" si="77"/>
        <v/>
      </c>
      <c r="KU17" s="20" t="str">
        <f t="shared" si="78"/>
        <v/>
      </c>
      <c r="KV17" s="20" t="str">
        <f t="shared" si="79"/>
        <v/>
      </c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79" t="str">
        <f t="shared" si="80"/>
        <v/>
      </c>
      <c r="LR17" s="79" t="str">
        <f t="shared" si="81"/>
        <v/>
      </c>
      <c r="LS17" s="79" t="str">
        <f t="shared" si="82"/>
        <v/>
      </c>
      <c r="LT17" s="79" t="str">
        <f t="shared" si="83"/>
        <v/>
      </c>
      <c r="LU17" s="79" t="str">
        <f t="shared" si="84"/>
        <v/>
      </c>
      <c r="LV17" s="79" t="str">
        <f t="shared" si="85"/>
        <v/>
      </c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0" t="str">
        <f t="shared" si="86"/>
        <v/>
      </c>
      <c r="MR17" s="20" t="str">
        <f t="shared" si="87"/>
        <v/>
      </c>
      <c r="MS17" s="20" t="str">
        <f t="shared" si="88"/>
        <v/>
      </c>
      <c r="MT17" s="20" t="str">
        <f t="shared" si="89"/>
        <v/>
      </c>
      <c r="MU17" s="20" t="str">
        <f t="shared" si="90"/>
        <v/>
      </c>
      <c r="MV17" s="20" t="str">
        <f t="shared" si="91"/>
        <v/>
      </c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79" t="str">
        <f t="shared" si="92"/>
        <v/>
      </c>
      <c r="NR17" s="79" t="str">
        <f t="shared" si="93"/>
        <v/>
      </c>
      <c r="NS17" s="79" t="str">
        <f t="shared" si="94"/>
        <v/>
      </c>
      <c r="NT17" s="79" t="str">
        <f t="shared" si="95"/>
        <v/>
      </c>
      <c r="NU17" s="79" t="str">
        <f t="shared" si="96"/>
        <v/>
      </c>
      <c r="NV17" s="79" t="str">
        <f t="shared" si="97"/>
        <v/>
      </c>
      <c r="NW17" s="26"/>
      <c r="NX17" s="26"/>
      <c r="NY17" s="26"/>
      <c r="NZ17" s="26"/>
      <c r="OA17" s="26"/>
      <c r="OB17" s="26"/>
      <c r="OC17" s="26"/>
      <c r="OD17" s="26"/>
      <c r="OE17" s="26"/>
      <c r="OF17" s="26"/>
      <c r="OG17" s="26"/>
      <c r="OH17" s="26"/>
      <c r="OI17" s="26"/>
      <c r="OJ17" s="26"/>
      <c r="OK17" s="26"/>
      <c r="OL17" s="26"/>
      <c r="OM17" s="26"/>
      <c r="ON17" s="26"/>
      <c r="OO17" s="26"/>
      <c r="OP17" s="26"/>
      <c r="OQ17" s="20" t="str">
        <f t="shared" si="98"/>
        <v/>
      </c>
      <c r="OR17" s="20" t="str">
        <f t="shared" si="99"/>
        <v/>
      </c>
      <c r="OS17" s="20" t="str">
        <f t="shared" si="100"/>
        <v/>
      </c>
      <c r="OT17" s="20" t="str">
        <f t="shared" si="101"/>
        <v/>
      </c>
      <c r="OU17" s="20" t="str">
        <f t="shared" si="102"/>
        <v/>
      </c>
      <c r="OV17" s="20" t="str">
        <f t="shared" si="103"/>
        <v/>
      </c>
      <c r="OW17" s="38">
        <f t="shared" si="104"/>
        <v>7.9</v>
      </c>
      <c r="OX17" s="38">
        <f t="shared" si="105"/>
        <v>1.6</v>
      </c>
      <c r="OY17" s="38">
        <f t="shared" si="106"/>
        <v>0.1</v>
      </c>
      <c r="OZ17" s="38">
        <f t="shared" si="107"/>
        <v>0</v>
      </c>
      <c r="PA17" s="38">
        <f t="shared" si="108"/>
        <v>7.5</v>
      </c>
      <c r="PB17" s="38">
        <f t="shared" si="109"/>
        <v>1.6</v>
      </c>
      <c r="PC17" s="38">
        <f t="shared" si="110"/>
        <v>0.1</v>
      </c>
      <c r="PD17" s="38">
        <f t="shared" si="111"/>
        <v>0.15</v>
      </c>
      <c r="PE17" s="38">
        <f t="shared" si="112"/>
        <v>0</v>
      </c>
      <c r="PF17" s="38">
        <f t="shared" si="113"/>
        <v>0</v>
      </c>
      <c r="PG17" s="38">
        <f t="shared" si="114"/>
        <v>0</v>
      </c>
      <c r="PH17" s="38">
        <f t="shared" si="115"/>
        <v>0</v>
      </c>
      <c r="PI17" s="38">
        <f t="shared" si="116"/>
        <v>0</v>
      </c>
      <c r="PJ17" s="38">
        <f t="shared" si="117"/>
        <v>0</v>
      </c>
      <c r="PK17" s="38">
        <f t="shared" si="118"/>
        <v>0</v>
      </c>
      <c r="PL17" s="38">
        <f t="shared" si="119"/>
        <v>0</v>
      </c>
      <c r="PM17" s="38">
        <f t="shared" si="120"/>
        <v>0</v>
      </c>
      <c r="PN17" s="38">
        <f t="shared" si="121"/>
        <v>0</v>
      </c>
      <c r="PO17" s="38">
        <f t="shared" si="122"/>
        <v>0</v>
      </c>
      <c r="PP17" s="38">
        <f t="shared" si="123"/>
        <v>0</v>
      </c>
      <c r="PQ17" s="45" t="s">
        <v>46</v>
      </c>
      <c r="PR17" s="79">
        <f t="shared" si="124"/>
        <v>3.2</v>
      </c>
      <c r="PS17" s="79">
        <f t="shared" si="125"/>
        <v>18.549999999999997</v>
      </c>
      <c r="PT17" s="79" t="str">
        <f t="shared" si="126"/>
        <v/>
      </c>
      <c r="PU17" s="79" t="str">
        <f t="shared" si="127"/>
        <v/>
      </c>
      <c r="PV17" s="79" t="str">
        <f t="shared" si="128"/>
        <v/>
      </c>
      <c r="PW17" s="79">
        <f t="shared" si="129"/>
        <v>18.549999999999997</v>
      </c>
    </row>
    <row r="18" spans="1:439" x14ac:dyDescent="0.2">
      <c r="A18" s="5" t="str">
        <f t="shared" si="0"/>
        <v/>
      </c>
      <c r="B18" s="78" t="s">
        <v>114</v>
      </c>
      <c r="C18" s="5" t="s">
        <v>4</v>
      </c>
      <c r="D18" s="5">
        <v>2002</v>
      </c>
      <c r="E18" s="15">
        <f t="shared" si="1"/>
        <v>35.70000357000356</v>
      </c>
      <c r="F18" s="3" t="str">
        <f t="shared" si="2"/>
        <v/>
      </c>
      <c r="G18" s="3" t="str">
        <f t="shared" si="3"/>
        <v/>
      </c>
      <c r="H18" s="67" t="str">
        <f t="shared" si="4"/>
        <v/>
      </c>
      <c r="I18" s="14">
        <f>IF(COUNT(AN18,BO18,CP18)&gt;0,LARGE((AN18,BO18,CP18),1),0)</f>
        <v>35.699999999999996</v>
      </c>
      <c r="J18" s="14" t="str">
        <f t="shared" si="5"/>
        <v>2022 Elite Canada</v>
      </c>
      <c r="K18" s="14">
        <f>IF(COUNT(AN18,BO18,CP18)&gt;1,LARGE((AN18,BO18,CP18),2),0)</f>
        <v>0</v>
      </c>
      <c r="L18" s="14" t="str">
        <f t="shared" si="6"/>
        <v/>
      </c>
      <c r="M18" s="14">
        <f t="shared" si="7"/>
        <v>0</v>
      </c>
      <c r="N18" s="14" t="str">
        <f t="shared" si="8"/>
        <v/>
      </c>
      <c r="O18" s="14" t="str">
        <f t="shared" si="9"/>
        <v/>
      </c>
      <c r="P18" s="20" t="str">
        <f t="shared" si="10"/>
        <v/>
      </c>
      <c r="Q18" s="14" t="str">
        <f t="shared" si="11"/>
        <v/>
      </c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45"/>
      <c r="AM18" s="79" t="str">
        <f t="shared" si="12"/>
        <v/>
      </c>
      <c r="AN18" s="79" t="str">
        <f t="shared" si="13"/>
        <v/>
      </c>
      <c r="AO18" s="79" t="str">
        <f t="shared" si="14"/>
        <v/>
      </c>
      <c r="AP18" s="79" t="str">
        <f t="shared" si="15"/>
        <v/>
      </c>
      <c r="AQ18" s="79" t="str">
        <f t="shared" si="16"/>
        <v/>
      </c>
      <c r="AR18" s="79" t="str">
        <f t="shared" si="17"/>
        <v/>
      </c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46"/>
      <c r="BN18" s="20" t="str">
        <f t="shared" si="18"/>
        <v/>
      </c>
      <c r="BO18" s="20" t="str">
        <f t="shared" si="19"/>
        <v/>
      </c>
      <c r="BP18" s="20" t="str">
        <f t="shared" si="20"/>
        <v/>
      </c>
      <c r="BQ18" s="20" t="str">
        <f t="shared" si="21"/>
        <v/>
      </c>
      <c r="BR18" s="20" t="str">
        <f t="shared" si="22"/>
        <v/>
      </c>
      <c r="BS18" s="20" t="str">
        <f t="shared" si="23"/>
        <v/>
      </c>
      <c r="BT18" s="27">
        <v>14</v>
      </c>
      <c r="BU18" s="27">
        <v>2.2999999999999998</v>
      </c>
      <c r="BV18" s="27">
        <v>0.2</v>
      </c>
      <c r="BW18" s="27">
        <v>0.6</v>
      </c>
      <c r="BX18" s="27">
        <v>16.100000000000001</v>
      </c>
      <c r="BY18" s="27">
        <v>2.9</v>
      </c>
      <c r="BZ18" s="27">
        <v>0.3</v>
      </c>
      <c r="CA18" s="27">
        <v>0.3</v>
      </c>
      <c r="CB18" s="27"/>
      <c r="CC18" s="27"/>
      <c r="CD18" s="27"/>
      <c r="CE18" s="27"/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45"/>
      <c r="CO18" s="79">
        <f t="shared" si="24"/>
        <v>5.1999999999999993</v>
      </c>
      <c r="CP18" s="79">
        <f t="shared" si="25"/>
        <v>35.699999999999996</v>
      </c>
      <c r="CQ18" s="79" t="str">
        <f t="shared" si="26"/>
        <v/>
      </c>
      <c r="CR18" s="79" t="str">
        <f t="shared" si="27"/>
        <v/>
      </c>
      <c r="CS18" s="79" t="str">
        <f t="shared" si="28"/>
        <v/>
      </c>
      <c r="CT18" s="79">
        <f t="shared" si="29"/>
        <v>35.699999999999996</v>
      </c>
      <c r="CU18" s="80" t="str">
        <f t="shared" si="30"/>
        <v/>
      </c>
      <c r="CV18" s="80" t="str">
        <f t="shared" si="31"/>
        <v/>
      </c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79" t="str">
        <f t="shared" si="32"/>
        <v/>
      </c>
      <c r="DR18" s="79" t="str">
        <f t="shared" si="33"/>
        <v/>
      </c>
      <c r="DS18" s="79" t="str">
        <f t="shared" si="34"/>
        <v/>
      </c>
      <c r="DT18" s="79" t="str">
        <f t="shared" si="35"/>
        <v/>
      </c>
      <c r="DU18" s="79" t="str">
        <f t="shared" si="36"/>
        <v/>
      </c>
      <c r="DV18" s="79" t="str">
        <f t="shared" si="37"/>
        <v/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0" t="str">
        <f t="shared" si="38"/>
        <v/>
      </c>
      <c r="ER18" s="20" t="str">
        <f t="shared" si="39"/>
        <v/>
      </c>
      <c r="ES18" s="20" t="str">
        <f t="shared" si="40"/>
        <v/>
      </c>
      <c r="ET18" s="20" t="str">
        <f t="shared" si="41"/>
        <v/>
      </c>
      <c r="EU18" s="20" t="str">
        <f t="shared" si="42"/>
        <v/>
      </c>
      <c r="EV18" s="20" t="str">
        <f t="shared" si="43"/>
        <v/>
      </c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79" t="str">
        <f t="shared" si="44"/>
        <v/>
      </c>
      <c r="FR18" s="79" t="str">
        <f t="shared" si="45"/>
        <v/>
      </c>
      <c r="FS18" s="79" t="str">
        <f t="shared" si="46"/>
        <v/>
      </c>
      <c r="FT18" s="79" t="str">
        <f t="shared" si="47"/>
        <v/>
      </c>
      <c r="FU18" s="79" t="str">
        <f t="shared" si="48"/>
        <v/>
      </c>
      <c r="FV18" s="79" t="str">
        <f t="shared" si="49"/>
        <v/>
      </c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0" t="str">
        <f t="shared" si="50"/>
        <v/>
      </c>
      <c r="GR18" s="20" t="str">
        <f t="shared" si="51"/>
        <v/>
      </c>
      <c r="GS18" s="20" t="str">
        <f t="shared" si="52"/>
        <v/>
      </c>
      <c r="GT18" s="20" t="str">
        <f t="shared" si="53"/>
        <v/>
      </c>
      <c r="GU18" s="20" t="str">
        <f t="shared" si="54"/>
        <v/>
      </c>
      <c r="GV18" s="20" t="str">
        <f t="shared" si="55"/>
        <v/>
      </c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79" t="str">
        <f t="shared" si="56"/>
        <v/>
      </c>
      <c r="HR18" s="79" t="str">
        <f t="shared" si="57"/>
        <v/>
      </c>
      <c r="HS18" s="79" t="str">
        <f t="shared" si="58"/>
        <v/>
      </c>
      <c r="HT18" s="79" t="str">
        <f t="shared" si="59"/>
        <v/>
      </c>
      <c r="HU18" s="79" t="str">
        <f t="shared" si="60"/>
        <v/>
      </c>
      <c r="HV18" s="79" t="str">
        <f t="shared" si="61"/>
        <v/>
      </c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0" t="str">
        <f t="shared" si="62"/>
        <v/>
      </c>
      <c r="IR18" s="20" t="str">
        <f t="shared" si="63"/>
        <v/>
      </c>
      <c r="IS18" s="20" t="str">
        <f t="shared" si="64"/>
        <v/>
      </c>
      <c r="IT18" s="20" t="str">
        <f t="shared" si="65"/>
        <v/>
      </c>
      <c r="IU18" s="20" t="str">
        <f t="shared" si="66"/>
        <v/>
      </c>
      <c r="IV18" s="20" t="str">
        <f t="shared" si="67"/>
        <v/>
      </c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79" t="str">
        <f t="shared" si="68"/>
        <v/>
      </c>
      <c r="JR18" s="79" t="str">
        <f t="shared" si="69"/>
        <v/>
      </c>
      <c r="JS18" s="79" t="str">
        <f t="shared" si="70"/>
        <v/>
      </c>
      <c r="JT18" s="79" t="str">
        <f t="shared" si="71"/>
        <v/>
      </c>
      <c r="JU18" s="79" t="str">
        <f t="shared" si="72"/>
        <v/>
      </c>
      <c r="JV18" s="79" t="str">
        <f t="shared" si="73"/>
        <v/>
      </c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0" t="str">
        <f t="shared" si="74"/>
        <v/>
      </c>
      <c r="KR18" s="20" t="str">
        <f t="shared" si="75"/>
        <v/>
      </c>
      <c r="KS18" s="20" t="str">
        <f t="shared" si="76"/>
        <v/>
      </c>
      <c r="KT18" s="20" t="str">
        <f t="shared" si="77"/>
        <v/>
      </c>
      <c r="KU18" s="20" t="str">
        <f t="shared" si="78"/>
        <v/>
      </c>
      <c r="KV18" s="20" t="str">
        <f t="shared" si="79"/>
        <v/>
      </c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79" t="str">
        <f t="shared" si="80"/>
        <v/>
      </c>
      <c r="LR18" s="79" t="str">
        <f t="shared" si="81"/>
        <v/>
      </c>
      <c r="LS18" s="79" t="str">
        <f t="shared" si="82"/>
        <v/>
      </c>
      <c r="LT18" s="79" t="str">
        <f t="shared" si="83"/>
        <v/>
      </c>
      <c r="LU18" s="79" t="str">
        <f t="shared" si="84"/>
        <v/>
      </c>
      <c r="LV18" s="79" t="str">
        <f t="shared" si="85"/>
        <v/>
      </c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  <c r="MI18" s="26"/>
      <c r="MJ18" s="26"/>
      <c r="MK18" s="26"/>
      <c r="ML18" s="26"/>
      <c r="MM18" s="26"/>
      <c r="MN18" s="26"/>
      <c r="MO18" s="26"/>
      <c r="MP18" s="26"/>
      <c r="MQ18" s="20" t="str">
        <f t="shared" si="86"/>
        <v/>
      </c>
      <c r="MR18" s="20" t="str">
        <f t="shared" si="87"/>
        <v/>
      </c>
      <c r="MS18" s="20" t="str">
        <f t="shared" si="88"/>
        <v/>
      </c>
      <c r="MT18" s="20" t="str">
        <f t="shared" si="89"/>
        <v/>
      </c>
      <c r="MU18" s="20" t="str">
        <f t="shared" si="90"/>
        <v/>
      </c>
      <c r="MV18" s="20" t="str">
        <f t="shared" si="91"/>
        <v/>
      </c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79" t="str">
        <f t="shared" si="92"/>
        <v/>
      </c>
      <c r="NR18" s="79" t="str">
        <f t="shared" si="93"/>
        <v/>
      </c>
      <c r="NS18" s="79" t="str">
        <f t="shared" si="94"/>
        <v/>
      </c>
      <c r="NT18" s="79" t="str">
        <f t="shared" si="95"/>
        <v/>
      </c>
      <c r="NU18" s="79" t="str">
        <f t="shared" si="96"/>
        <v/>
      </c>
      <c r="NV18" s="79" t="str">
        <f t="shared" si="97"/>
        <v/>
      </c>
      <c r="NW18" s="26"/>
      <c r="NX18" s="26"/>
      <c r="NY18" s="26"/>
      <c r="NZ18" s="26"/>
      <c r="OA18" s="26"/>
      <c r="OB18" s="26"/>
      <c r="OC18" s="26"/>
      <c r="OD18" s="26"/>
      <c r="OE18" s="26"/>
      <c r="OF18" s="26"/>
      <c r="OG18" s="26"/>
      <c r="OH18" s="26"/>
      <c r="OI18" s="26"/>
      <c r="OJ18" s="26"/>
      <c r="OK18" s="26"/>
      <c r="OL18" s="26"/>
      <c r="OM18" s="26"/>
      <c r="ON18" s="26"/>
      <c r="OO18" s="26"/>
      <c r="OP18" s="26"/>
      <c r="OQ18" s="20" t="str">
        <f t="shared" si="98"/>
        <v/>
      </c>
      <c r="OR18" s="20" t="str">
        <f t="shared" si="99"/>
        <v/>
      </c>
      <c r="OS18" s="20" t="str">
        <f t="shared" si="100"/>
        <v/>
      </c>
      <c r="OT18" s="20" t="str">
        <f t="shared" si="101"/>
        <v/>
      </c>
      <c r="OU18" s="20" t="str">
        <f t="shared" si="102"/>
        <v/>
      </c>
      <c r="OV18" s="20" t="str">
        <f t="shared" si="103"/>
        <v/>
      </c>
      <c r="OW18" s="38">
        <f t="shared" si="104"/>
        <v>7</v>
      </c>
      <c r="OX18" s="38">
        <f t="shared" si="105"/>
        <v>1.1499999999999999</v>
      </c>
      <c r="OY18" s="38">
        <f t="shared" si="106"/>
        <v>0.1</v>
      </c>
      <c r="OZ18" s="38">
        <f t="shared" si="107"/>
        <v>0.3</v>
      </c>
      <c r="PA18" s="38">
        <f t="shared" si="108"/>
        <v>8.0500000000000007</v>
      </c>
      <c r="PB18" s="38">
        <f t="shared" si="109"/>
        <v>1.45</v>
      </c>
      <c r="PC18" s="38">
        <f t="shared" si="110"/>
        <v>0.15</v>
      </c>
      <c r="PD18" s="38">
        <f t="shared" si="111"/>
        <v>0.15</v>
      </c>
      <c r="PE18" s="38">
        <f t="shared" si="112"/>
        <v>0</v>
      </c>
      <c r="PF18" s="38">
        <f t="shared" si="113"/>
        <v>0</v>
      </c>
      <c r="PG18" s="38">
        <f t="shared" si="114"/>
        <v>0</v>
      </c>
      <c r="PH18" s="38">
        <f t="shared" si="115"/>
        <v>0</v>
      </c>
      <c r="PI18" s="38">
        <f t="shared" si="116"/>
        <v>0</v>
      </c>
      <c r="PJ18" s="38">
        <f t="shared" si="117"/>
        <v>0</v>
      </c>
      <c r="PK18" s="38">
        <f t="shared" si="118"/>
        <v>0</v>
      </c>
      <c r="PL18" s="38">
        <f t="shared" si="119"/>
        <v>0</v>
      </c>
      <c r="PM18" s="38">
        <f t="shared" si="120"/>
        <v>0</v>
      </c>
      <c r="PN18" s="38">
        <f t="shared" si="121"/>
        <v>0</v>
      </c>
      <c r="PO18" s="38">
        <f t="shared" si="122"/>
        <v>0</v>
      </c>
      <c r="PP18" s="38">
        <f t="shared" si="123"/>
        <v>0</v>
      </c>
      <c r="PQ18" s="45" t="s">
        <v>46</v>
      </c>
      <c r="PR18" s="79">
        <f t="shared" si="124"/>
        <v>2.5999999999999996</v>
      </c>
      <c r="PS18" s="79">
        <f t="shared" si="125"/>
        <v>17.849999999999998</v>
      </c>
      <c r="PT18" s="79" t="str">
        <f t="shared" si="126"/>
        <v/>
      </c>
      <c r="PU18" s="79" t="str">
        <f t="shared" si="127"/>
        <v/>
      </c>
      <c r="PV18" s="79" t="str">
        <f t="shared" si="128"/>
        <v/>
      </c>
      <c r="PW18" s="79">
        <f t="shared" si="129"/>
        <v>17.849999999999998</v>
      </c>
    </row>
    <row r="19" spans="1:439" x14ac:dyDescent="0.2">
      <c r="A19" s="5" t="str">
        <f t="shared" si="0"/>
        <v/>
      </c>
      <c r="B19" s="78" t="s">
        <v>90</v>
      </c>
      <c r="C19" s="5" t="s">
        <v>5</v>
      </c>
      <c r="D19" s="5">
        <v>2004</v>
      </c>
      <c r="E19" s="15">
        <f t="shared" si="1"/>
        <v>33.800003380003382</v>
      </c>
      <c r="F19" s="3" t="str">
        <f t="shared" si="2"/>
        <v/>
      </c>
      <c r="G19" s="3" t="str">
        <f t="shared" si="3"/>
        <v/>
      </c>
      <c r="H19" s="67" t="str">
        <f t="shared" si="4"/>
        <v/>
      </c>
      <c r="I19" s="14">
        <f>IF(COUNT(AN19,BO19,CP19)&gt;0,LARGE((AN19,BO19,CP19),1),0)</f>
        <v>33.799999999999997</v>
      </c>
      <c r="J19" s="14" t="str">
        <f t="shared" si="5"/>
        <v>2022 Elite Canada</v>
      </c>
      <c r="K19" s="14">
        <f>IF(COUNT(AN19,BO19,CP19)&gt;1,LARGE((AN19,BO19,CP19),2),0)</f>
        <v>0</v>
      </c>
      <c r="L19" s="14" t="str">
        <f t="shared" si="6"/>
        <v/>
      </c>
      <c r="M19" s="14">
        <f t="shared" si="7"/>
        <v>0</v>
      </c>
      <c r="N19" s="14" t="str">
        <f t="shared" si="8"/>
        <v/>
      </c>
      <c r="O19" s="14" t="str">
        <f t="shared" si="9"/>
        <v/>
      </c>
      <c r="P19" s="20" t="str">
        <f t="shared" si="10"/>
        <v/>
      </c>
      <c r="Q19" s="14" t="str">
        <f t="shared" si="11"/>
        <v/>
      </c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45"/>
      <c r="AM19" s="79" t="str">
        <f t="shared" si="12"/>
        <v/>
      </c>
      <c r="AN19" s="79" t="str">
        <f t="shared" si="13"/>
        <v/>
      </c>
      <c r="AO19" s="79" t="str">
        <f t="shared" si="14"/>
        <v/>
      </c>
      <c r="AP19" s="79" t="str">
        <f t="shared" si="15"/>
        <v/>
      </c>
      <c r="AQ19" s="79" t="str">
        <f t="shared" si="16"/>
        <v/>
      </c>
      <c r="AR19" s="79" t="str">
        <f t="shared" si="17"/>
        <v/>
      </c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46"/>
      <c r="BN19" s="20" t="str">
        <f t="shared" si="18"/>
        <v/>
      </c>
      <c r="BO19" s="20" t="str">
        <f t="shared" si="19"/>
        <v/>
      </c>
      <c r="BP19" s="20" t="str">
        <f t="shared" si="20"/>
        <v/>
      </c>
      <c r="BQ19" s="20" t="str">
        <f t="shared" si="21"/>
        <v/>
      </c>
      <c r="BR19" s="20" t="str">
        <f t="shared" si="22"/>
        <v/>
      </c>
      <c r="BS19" s="20" t="str">
        <f t="shared" si="23"/>
        <v/>
      </c>
      <c r="BT19" s="27">
        <v>17</v>
      </c>
      <c r="BU19" s="27">
        <v>1.8</v>
      </c>
      <c r="BV19" s="27">
        <v>1.2</v>
      </c>
      <c r="BW19" s="27">
        <v>0</v>
      </c>
      <c r="BX19" s="27">
        <v>15.2</v>
      </c>
      <c r="BY19" s="27">
        <v>3.1</v>
      </c>
      <c r="BZ19" s="27">
        <v>2.4</v>
      </c>
      <c r="CA19" s="27">
        <v>0.3</v>
      </c>
      <c r="CB19" s="27"/>
      <c r="CC19" s="27"/>
      <c r="CD19" s="27"/>
      <c r="CE19" s="27"/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45"/>
      <c r="CO19" s="79">
        <f t="shared" si="24"/>
        <v>4.9000000000000004</v>
      </c>
      <c r="CP19" s="79">
        <f t="shared" si="25"/>
        <v>33.799999999999997</v>
      </c>
      <c r="CQ19" s="79" t="str">
        <f t="shared" si="26"/>
        <v/>
      </c>
      <c r="CR19" s="79" t="str">
        <f t="shared" si="27"/>
        <v/>
      </c>
      <c r="CS19" s="79" t="str">
        <f t="shared" si="28"/>
        <v/>
      </c>
      <c r="CT19" s="79">
        <f t="shared" si="29"/>
        <v>33.799999999999997</v>
      </c>
      <c r="CU19" s="80" t="str">
        <f t="shared" si="30"/>
        <v/>
      </c>
      <c r="CV19" s="80" t="str">
        <f t="shared" si="31"/>
        <v/>
      </c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79" t="str">
        <f t="shared" si="32"/>
        <v/>
      </c>
      <c r="DR19" s="79" t="str">
        <f t="shared" si="33"/>
        <v/>
      </c>
      <c r="DS19" s="79" t="str">
        <f t="shared" si="34"/>
        <v/>
      </c>
      <c r="DT19" s="79" t="str">
        <f t="shared" si="35"/>
        <v/>
      </c>
      <c r="DU19" s="79" t="str">
        <f t="shared" si="36"/>
        <v/>
      </c>
      <c r="DV19" s="79" t="str">
        <f t="shared" si="37"/>
        <v/>
      </c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0" t="str">
        <f t="shared" si="38"/>
        <v/>
      </c>
      <c r="ER19" s="20" t="str">
        <f t="shared" si="39"/>
        <v/>
      </c>
      <c r="ES19" s="20" t="str">
        <f t="shared" si="40"/>
        <v/>
      </c>
      <c r="ET19" s="20" t="str">
        <f t="shared" si="41"/>
        <v/>
      </c>
      <c r="EU19" s="20" t="str">
        <f t="shared" si="42"/>
        <v/>
      </c>
      <c r="EV19" s="20" t="str">
        <f t="shared" si="43"/>
        <v/>
      </c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79" t="str">
        <f t="shared" si="44"/>
        <v/>
      </c>
      <c r="FR19" s="79" t="str">
        <f t="shared" si="45"/>
        <v/>
      </c>
      <c r="FS19" s="79" t="str">
        <f t="shared" si="46"/>
        <v/>
      </c>
      <c r="FT19" s="79" t="str">
        <f t="shared" si="47"/>
        <v/>
      </c>
      <c r="FU19" s="79" t="str">
        <f t="shared" si="48"/>
        <v/>
      </c>
      <c r="FV19" s="79" t="str">
        <f t="shared" si="49"/>
        <v/>
      </c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0" t="str">
        <f t="shared" si="50"/>
        <v/>
      </c>
      <c r="GR19" s="20" t="str">
        <f t="shared" si="51"/>
        <v/>
      </c>
      <c r="GS19" s="20" t="str">
        <f t="shared" si="52"/>
        <v/>
      </c>
      <c r="GT19" s="20" t="str">
        <f t="shared" si="53"/>
        <v/>
      </c>
      <c r="GU19" s="20" t="str">
        <f t="shared" si="54"/>
        <v/>
      </c>
      <c r="GV19" s="20" t="str">
        <f t="shared" si="55"/>
        <v/>
      </c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79" t="str">
        <f t="shared" si="56"/>
        <v/>
      </c>
      <c r="HR19" s="79" t="str">
        <f t="shared" si="57"/>
        <v/>
      </c>
      <c r="HS19" s="79" t="str">
        <f t="shared" si="58"/>
        <v/>
      </c>
      <c r="HT19" s="79" t="str">
        <f t="shared" si="59"/>
        <v/>
      </c>
      <c r="HU19" s="79" t="str">
        <f t="shared" si="60"/>
        <v/>
      </c>
      <c r="HV19" s="79" t="str">
        <f t="shared" si="61"/>
        <v/>
      </c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0" t="str">
        <f t="shared" si="62"/>
        <v/>
      </c>
      <c r="IR19" s="20" t="str">
        <f t="shared" si="63"/>
        <v/>
      </c>
      <c r="IS19" s="20" t="str">
        <f t="shared" si="64"/>
        <v/>
      </c>
      <c r="IT19" s="20" t="str">
        <f t="shared" si="65"/>
        <v/>
      </c>
      <c r="IU19" s="20" t="str">
        <f t="shared" si="66"/>
        <v/>
      </c>
      <c r="IV19" s="20" t="str">
        <f t="shared" si="67"/>
        <v/>
      </c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79" t="str">
        <f t="shared" si="68"/>
        <v/>
      </c>
      <c r="JR19" s="79" t="str">
        <f t="shared" si="69"/>
        <v/>
      </c>
      <c r="JS19" s="79" t="str">
        <f t="shared" si="70"/>
        <v/>
      </c>
      <c r="JT19" s="79" t="str">
        <f t="shared" si="71"/>
        <v/>
      </c>
      <c r="JU19" s="79" t="str">
        <f t="shared" si="72"/>
        <v/>
      </c>
      <c r="JV19" s="79" t="str">
        <f t="shared" si="73"/>
        <v/>
      </c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0" t="str">
        <f t="shared" si="74"/>
        <v/>
      </c>
      <c r="KR19" s="20" t="str">
        <f t="shared" si="75"/>
        <v/>
      </c>
      <c r="KS19" s="20" t="str">
        <f t="shared" si="76"/>
        <v/>
      </c>
      <c r="KT19" s="20" t="str">
        <f t="shared" si="77"/>
        <v/>
      </c>
      <c r="KU19" s="20" t="str">
        <f t="shared" si="78"/>
        <v/>
      </c>
      <c r="KV19" s="20" t="str">
        <f t="shared" si="79"/>
        <v/>
      </c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79" t="str">
        <f t="shared" si="80"/>
        <v/>
      </c>
      <c r="LR19" s="79" t="str">
        <f t="shared" si="81"/>
        <v/>
      </c>
      <c r="LS19" s="79" t="str">
        <f t="shared" si="82"/>
        <v/>
      </c>
      <c r="LT19" s="79" t="str">
        <f t="shared" si="83"/>
        <v/>
      </c>
      <c r="LU19" s="79" t="str">
        <f t="shared" si="84"/>
        <v/>
      </c>
      <c r="LV19" s="79" t="str">
        <f t="shared" si="85"/>
        <v/>
      </c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0" t="str">
        <f t="shared" si="86"/>
        <v/>
      </c>
      <c r="MR19" s="20" t="str">
        <f t="shared" si="87"/>
        <v/>
      </c>
      <c r="MS19" s="20" t="str">
        <f t="shared" si="88"/>
        <v/>
      </c>
      <c r="MT19" s="20" t="str">
        <f t="shared" si="89"/>
        <v/>
      </c>
      <c r="MU19" s="20" t="str">
        <f t="shared" si="90"/>
        <v/>
      </c>
      <c r="MV19" s="20" t="str">
        <f t="shared" si="91"/>
        <v/>
      </c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79" t="str">
        <f t="shared" si="92"/>
        <v/>
      </c>
      <c r="NR19" s="79" t="str">
        <f t="shared" si="93"/>
        <v/>
      </c>
      <c r="NS19" s="79" t="str">
        <f t="shared" si="94"/>
        <v/>
      </c>
      <c r="NT19" s="79" t="str">
        <f t="shared" si="95"/>
        <v/>
      </c>
      <c r="NU19" s="79" t="str">
        <f t="shared" si="96"/>
        <v/>
      </c>
      <c r="NV19" s="79" t="str">
        <f t="shared" si="97"/>
        <v/>
      </c>
      <c r="NW19" s="26"/>
      <c r="NX19" s="26"/>
      <c r="NY19" s="26"/>
      <c r="NZ19" s="26"/>
      <c r="OA19" s="26"/>
      <c r="OB19" s="26"/>
      <c r="OC19" s="26"/>
      <c r="OD19" s="26"/>
      <c r="OE19" s="26"/>
      <c r="OF19" s="26"/>
      <c r="OG19" s="26"/>
      <c r="OH19" s="26"/>
      <c r="OI19" s="26"/>
      <c r="OJ19" s="26"/>
      <c r="OK19" s="26"/>
      <c r="OL19" s="26"/>
      <c r="OM19" s="26"/>
      <c r="ON19" s="26"/>
      <c r="OO19" s="26"/>
      <c r="OP19" s="26"/>
      <c r="OQ19" s="20" t="str">
        <f t="shared" si="98"/>
        <v/>
      </c>
      <c r="OR19" s="20" t="str">
        <f t="shared" si="99"/>
        <v/>
      </c>
      <c r="OS19" s="20" t="str">
        <f t="shared" si="100"/>
        <v/>
      </c>
      <c r="OT19" s="20" t="str">
        <f t="shared" si="101"/>
        <v/>
      </c>
      <c r="OU19" s="20" t="str">
        <f t="shared" si="102"/>
        <v/>
      </c>
      <c r="OV19" s="20" t="str">
        <f t="shared" si="103"/>
        <v/>
      </c>
      <c r="OW19" s="38">
        <f t="shared" si="104"/>
        <v>8.5</v>
      </c>
      <c r="OX19" s="38">
        <f t="shared" si="105"/>
        <v>0.9</v>
      </c>
      <c r="OY19" s="38">
        <f t="shared" si="106"/>
        <v>0.6</v>
      </c>
      <c r="OZ19" s="38">
        <f t="shared" si="107"/>
        <v>0</v>
      </c>
      <c r="PA19" s="38">
        <f t="shared" si="108"/>
        <v>7.6</v>
      </c>
      <c r="PB19" s="38">
        <f t="shared" si="109"/>
        <v>1.55</v>
      </c>
      <c r="PC19" s="38">
        <f t="shared" si="110"/>
        <v>1.2</v>
      </c>
      <c r="PD19" s="38">
        <f t="shared" si="111"/>
        <v>0.15</v>
      </c>
      <c r="PE19" s="38">
        <f t="shared" si="112"/>
        <v>0</v>
      </c>
      <c r="PF19" s="38">
        <f t="shared" si="113"/>
        <v>0</v>
      </c>
      <c r="PG19" s="38">
        <f t="shared" si="114"/>
        <v>0</v>
      </c>
      <c r="PH19" s="38">
        <f t="shared" si="115"/>
        <v>0</v>
      </c>
      <c r="PI19" s="38">
        <f t="shared" si="116"/>
        <v>0</v>
      </c>
      <c r="PJ19" s="38">
        <f t="shared" si="117"/>
        <v>0</v>
      </c>
      <c r="PK19" s="38">
        <f t="shared" si="118"/>
        <v>0</v>
      </c>
      <c r="PL19" s="38">
        <f t="shared" si="119"/>
        <v>0</v>
      </c>
      <c r="PM19" s="38">
        <f t="shared" si="120"/>
        <v>0</v>
      </c>
      <c r="PN19" s="38">
        <f t="shared" si="121"/>
        <v>0</v>
      </c>
      <c r="PO19" s="38">
        <f t="shared" si="122"/>
        <v>0</v>
      </c>
      <c r="PP19" s="38">
        <f t="shared" si="123"/>
        <v>0</v>
      </c>
      <c r="PQ19" s="45" t="s">
        <v>46</v>
      </c>
      <c r="PR19" s="79">
        <f t="shared" si="124"/>
        <v>2.4500000000000002</v>
      </c>
      <c r="PS19" s="79">
        <f t="shared" si="125"/>
        <v>16.899999999999999</v>
      </c>
      <c r="PT19" s="79" t="str">
        <f t="shared" si="126"/>
        <v/>
      </c>
      <c r="PU19" s="79" t="str">
        <f t="shared" si="127"/>
        <v/>
      </c>
      <c r="PV19" s="79" t="str">
        <f t="shared" si="128"/>
        <v/>
      </c>
      <c r="PW19" s="79">
        <f t="shared" si="129"/>
        <v>16.899999999999999</v>
      </c>
    </row>
    <row r="20" spans="1:439" x14ac:dyDescent="0.2">
      <c r="A20" s="5" t="str">
        <f t="shared" si="0"/>
        <v/>
      </c>
      <c r="B20" s="78" t="s">
        <v>105</v>
      </c>
      <c r="C20" s="5" t="s">
        <v>4</v>
      </c>
      <c r="D20" s="5">
        <v>2002</v>
      </c>
      <c r="E20" s="15">
        <f t="shared" si="1"/>
        <v>1.0000001000001001E-4</v>
      </c>
      <c r="F20" s="3" t="str">
        <f t="shared" si="2"/>
        <v/>
      </c>
      <c r="G20" s="3" t="str">
        <f t="shared" si="3"/>
        <v/>
      </c>
      <c r="H20" s="67" t="str">
        <f t="shared" si="4"/>
        <v/>
      </c>
      <c r="I20" s="14">
        <f>IF(COUNT(AN20,BO20,CP20)&gt;0,LARGE((AN20,BO20,CP20),1),0)</f>
        <v>1E-4</v>
      </c>
      <c r="J20" s="14" t="str">
        <f t="shared" si="5"/>
        <v>2021 Elite Canada</v>
      </c>
      <c r="K20" s="14">
        <f>IF(COUNT(AN20,BO20,CP20)&gt;1,LARGE((AN20,BO20,CP20),2),0)</f>
        <v>0</v>
      </c>
      <c r="L20" s="14" t="str">
        <f t="shared" si="6"/>
        <v/>
      </c>
      <c r="M20" s="14">
        <f t="shared" si="7"/>
        <v>0</v>
      </c>
      <c r="N20" s="14" t="str">
        <f t="shared" si="8"/>
        <v/>
      </c>
      <c r="O20" s="14" t="str">
        <f t="shared" si="9"/>
        <v/>
      </c>
      <c r="P20" s="20" t="str">
        <f t="shared" si="10"/>
        <v/>
      </c>
      <c r="Q20" s="14" t="str">
        <f t="shared" si="11"/>
        <v/>
      </c>
      <c r="R20" s="27"/>
      <c r="S20" s="27">
        <v>1E-4</v>
      </c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45"/>
      <c r="AM20" s="79">
        <f t="shared" si="12"/>
        <v>1E-4</v>
      </c>
      <c r="AN20" s="79">
        <f t="shared" si="13"/>
        <v>1E-4</v>
      </c>
      <c r="AO20" s="79" t="str">
        <f t="shared" si="14"/>
        <v/>
      </c>
      <c r="AP20" s="79" t="str">
        <f t="shared" si="15"/>
        <v/>
      </c>
      <c r="AQ20" s="79" t="str">
        <f t="shared" si="16"/>
        <v/>
      </c>
      <c r="AR20" s="79">
        <f t="shared" si="17"/>
        <v>1E-4</v>
      </c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46"/>
      <c r="BN20" s="20" t="str">
        <f t="shared" si="18"/>
        <v/>
      </c>
      <c r="BO20" s="20" t="str">
        <f t="shared" si="19"/>
        <v/>
      </c>
      <c r="BP20" s="20" t="str">
        <f t="shared" si="20"/>
        <v/>
      </c>
      <c r="BQ20" s="20" t="str">
        <f t="shared" si="21"/>
        <v/>
      </c>
      <c r="BR20" s="20" t="str">
        <f t="shared" si="22"/>
        <v/>
      </c>
      <c r="BS20" s="20" t="str">
        <f t="shared" si="23"/>
        <v/>
      </c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45"/>
      <c r="CO20" s="79" t="str">
        <f t="shared" si="24"/>
        <v/>
      </c>
      <c r="CP20" s="79" t="str">
        <f t="shared" si="25"/>
        <v/>
      </c>
      <c r="CQ20" s="79" t="str">
        <f t="shared" si="26"/>
        <v/>
      </c>
      <c r="CR20" s="79" t="str">
        <f t="shared" si="27"/>
        <v/>
      </c>
      <c r="CS20" s="79" t="str">
        <f t="shared" si="28"/>
        <v/>
      </c>
      <c r="CT20" s="79" t="str">
        <f t="shared" si="29"/>
        <v/>
      </c>
      <c r="CU20" s="80" t="str">
        <f t="shared" si="30"/>
        <v/>
      </c>
      <c r="CV20" s="80" t="str">
        <f t="shared" si="31"/>
        <v/>
      </c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79" t="str">
        <f t="shared" si="32"/>
        <v/>
      </c>
      <c r="DR20" s="79" t="str">
        <f t="shared" si="33"/>
        <v/>
      </c>
      <c r="DS20" s="79" t="str">
        <f t="shared" si="34"/>
        <v/>
      </c>
      <c r="DT20" s="79" t="str">
        <f t="shared" si="35"/>
        <v/>
      </c>
      <c r="DU20" s="79" t="str">
        <f t="shared" si="36"/>
        <v/>
      </c>
      <c r="DV20" s="79" t="str">
        <f t="shared" si="37"/>
        <v/>
      </c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0" t="str">
        <f t="shared" si="38"/>
        <v/>
      </c>
      <c r="ER20" s="20" t="str">
        <f t="shared" si="39"/>
        <v/>
      </c>
      <c r="ES20" s="20" t="str">
        <f t="shared" si="40"/>
        <v/>
      </c>
      <c r="ET20" s="20" t="str">
        <f t="shared" si="41"/>
        <v/>
      </c>
      <c r="EU20" s="20" t="str">
        <f t="shared" si="42"/>
        <v/>
      </c>
      <c r="EV20" s="20" t="str">
        <f t="shared" si="43"/>
        <v/>
      </c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79" t="str">
        <f t="shared" si="44"/>
        <v/>
      </c>
      <c r="FR20" s="79" t="str">
        <f t="shared" si="45"/>
        <v/>
      </c>
      <c r="FS20" s="79" t="str">
        <f t="shared" si="46"/>
        <v/>
      </c>
      <c r="FT20" s="79" t="str">
        <f t="shared" si="47"/>
        <v/>
      </c>
      <c r="FU20" s="79" t="str">
        <f t="shared" si="48"/>
        <v/>
      </c>
      <c r="FV20" s="79" t="str">
        <f t="shared" si="49"/>
        <v/>
      </c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0" t="str">
        <f t="shared" si="50"/>
        <v/>
      </c>
      <c r="GR20" s="20" t="str">
        <f t="shared" si="51"/>
        <v/>
      </c>
      <c r="GS20" s="20" t="str">
        <f t="shared" si="52"/>
        <v/>
      </c>
      <c r="GT20" s="20" t="str">
        <f t="shared" si="53"/>
        <v/>
      </c>
      <c r="GU20" s="20" t="str">
        <f t="shared" si="54"/>
        <v/>
      </c>
      <c r="GV20" s="20" t="str">
        <f t="shared" si="55"/>
        <v/>
      </c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79" t="str">
        <f t="shared" si="56"/>
        <v/>
      </c>
      <c r="HR20" s="79" t="str">
        <f t="shared" si="57"/>
        <v/>
      </c>
      <c r="HS20" s="79" t="str">
        <f t="shared" si="58"/>
        <v/>
      </c>
      <c r="HT20" s="79" t="str">
        <f t="shared" si="59"/>
        <v/>
      </c>
      <c r="HU20" s="79" t="str">
        <f t="shared" si="60"/>
        <v/>
      </c>
      <c r="HV20" s="79" t="str">
        <f t="shared" si="61"/>
        <v/>
      </c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0" t="str">
        <f t="shared" si="62"/>
        <v/>
      </c>
      <c r="IR20" s="20" t="str">
        <f t="shared" si="63"/>
        <v/>
      </c>
      <c r="IS20" s="20" t="str">
        <f t="shared" si="64"/>
        <v/>
      </c>
      <c r="IT20" s="20" t="str">
        <f t="shared" si="65"/>
        <v/>
      </c>
      <c r="IU20" s="20" t="str">
        <f t="shared" si="66"/>
        <v/>
      </c>
      <c r="IV20" s="20" t="str">
        <f t="shared" si="67"/>
        <v/>
      </c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79" t="str">
        <f t="shared" si="68"/>
        <v/>
      </c>
      <c r="JR20" s="79" t="str">
        <f t="shared" si="69"/>
        <v/>
      </c>
      <c r="JS20" s="79" t="str">
        <f t="shared" si="70"/>
        <v/>
      </c>
      <c r="JT20" s="79" t="str">
        <f t="shared" si="71"/>
        <v/>
      </c>
      <c r="JU20" s="79" t="str">
        <f t="shared" si="72"/>
        <v/>
      </c>
      <c r="JV20" s="79" t="str">
        <f t="shared" si="73"/>
        <v/>
      </c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26"/>
      <c r="KO20" s="26"/>
      <c r="KP20" s="26"/>
      <c r="KQ20" s="20" t="str">
        <f t="shared" si="74"/>
        <v/>
      </c>
      <c r="KR20" s="20" t="str">
        <f t="shared" si="75"/>
        <v/>
      </c>
      <c r="KS20" s="20" t="str">
        <f t="shared" si="76"/>
        <v/>
      </c>
      <c r="KT20" s="20" t="str">
        <f t="shared" si="77"/>
        <v/>
      </c>
      <c r="KU20" s="20" t="str">
        <f t="shared" si="78"/>
        <v/>
      </c>
      <c r="KV20" s="20" t="str">
        <f t="shared" si="79"/>
        <v/>
      </c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79" t="str">
        <f t="shared" si="80"/>
        <v/>
      </c>
      <c r="LR20" s="79" t="str">
        <f t="shared" si="81"/>
        <v/>
      </c>
      <c r="LS20" s="79" t="str">
        <f t="shared" si="82"/>
        <v/>
      </c>
      <c r="LT20" s="79" t="str">
        <f t="shared" si="83"/>
        <v/>
      </c>
      <c r="LU20" s="79" t="str">
        <f t="shared" si="84"/>
        <v/>
      </c>
      <c r="LV20" s="79" t="str">
        <f t="shared" si="85"/>
        <v/>
      </c>
      <c r="LW20" s="26"/>
      <c r="LX20" s="26"/>
      <c r="LY20" s="26"/>
      <c r="LZ20" s="26"/>
      <c r="MA20" s="26"/>
      <c r="MB20" s="26"/>
      <c r="MC20" s="26"/>
      <c r="MD20" s="26"/>
      <c r="ME20" s="26"/>
      <c r="MF20" s="26"/>
      <c r="MG20" s="26"/>
      <c r="MH20" s="26"/>
      <c r="MI20" s="26"/>
      <c r="MJ20" s="26"/>
      <c r="MK20" s="26"/>
      <c r="ML20" s="26"/>
      <c r="MM20" s="26"/>
      <c r="MN20" s="26"/>
      <c r="MO20" s="26"/>
      <c r="MP20" s="26"/>
      <c r="MQ20" s="20" t="str">
        <f t="shared" si="86"/>
        <v/>
      </c>
      <c r="MR20" s="20" t="str">
        <f t="shared" si="87"/>
        <v/>
      </c>
      <c r="MS20" s="20" t="str">
        <f t="shared" si="88"/>
        <v/>
      </c>
      <c r="MT20" s="20" t="str">
        <f t="shared" si="89"/>
        <v/>
      </c>
      <c r="MU20" s="20" t="str">
        <f t="shared" si="90"/>
        <v/>
      </c>
      <c r="MV20" s="20" t="str">
        <f t="shared" si="91"/>
        <v/>
      </c>
      <c r="MW20" s="25"/>
      <c r="MX20" s="25"/>
      <c r="MY20" s="25"/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79" t="str">
        <f t="shared" si="92"/>
        <v/>
      </c>
      <c r="NR20" s="79" t="str">
        <f t="shared" si="93"/>
        <v/>
      </c>
      <c r="NS20" s="79" t="str">
        <f t="shared" si="94"/>
        <v/>
      </c>
      <c r="NT20" s="79" t="str">
        <f t="shared" si="95"/>
        <v/>
      </c>
      <c r="NU20" s="79" t="str">
        <f t="shared" si="96"/>
        <v/>
      </c>
      <c r="NV20" s="79" t="str">
        <f t="shared" si="97"/>
        <v/>
      </c>
      <c r="NW20" s="26"/>
      <c r="NX20" s="26"/>
      <c r="NY20" s="26"/>
      <c r="NZ20" s="26"/>
      <c r="OA20" s="26"/>
      <c r="OB20" s="26"/>
      <c r="OC20" s="26"/>
      <c r="OD20" s="26"/>
      <c r="OE20" s="26"/>
      <c r="OF20" s="26"/>
      <c r="OG20" s="26"/>
      <c r="OH20" s="26"/>
      <c r="OI20" s="26"/>
      <c r="OJ20" s="26"/>
      <c r="OK20" s="26"/>
      <c r="OL20" s="26"/>
      <c r="OM20" s="26"/>
      <c r="ON20" s="26"/>
      <c r="OO20" s="26"/>
      <c r="OP20" s="26"/>
      <c r="OQ20" s="20" t="str">
        <f t="shared" si="98"/>
        <v/>
      </c>
      <c r="OR20" s="20" t="str">
        <f t="shared" si="99"/>
        <v/>
      </c>
      <c r="OS20" s="20" t="str">
        <f t="shared" si="100"/>
        <v/>
      </c>
      <c r="OT20" s="20" t="str">
        <f t="shared" si="101"/>
        <v/>
      </c>
      <c r="OU20" s="20" t="str">
        <f t="shared" si="102"/>
        <v/>
      </c>
      <c r="OV20" s="20" t="str">
        <f t="shared" si="103"/>
        <v/>
      </c>
      <c r="OW20" s="38">
        <f t="shared" si="104"/>
        <v>0</v>
      </c>
      <c r="OX20" s="38">
        <f t="shared" si="105"/>
        <v>0</v>
      </c>
      <c r="OY20" s="38">
        <f t="shared" si="106"/>
        <v>0</v>
      </c>
      <c r="OZ20" s="38">
        <f t="shared" si="107"/>
        <v>0</v>
      </c>
      <c r="PA20" s="38">
        <f t="shared" si="108"/>
        <v>0</v>
      </c>
      <c r="PB20" s="38">
        <f t="shared" si="109"/>
        <v>0</v>
      </c>
      <c r="PC20" s="38">
        <f t="shared" si="110"/>
        <v>0</v>
      </c>
      <c r="PD20" s="38">
        <f t="shared" si="111"/>
        <v>0</v>
      </c>
      <c r="PE20" s="38">
        <f t="shared" si="112"/>
        <v>0</v>
      </c>
      <c r="PF20" s="38">
        <f t="shared" si="113"/>
        <v>0</v>
      </c>
      <c r="PG20" s="38">
        <f t="shared" si="114"/>
        <v>0</v>
      </c>
      <c r="PH20" s="38">
        <f t="shared" si="115"/>
        <v>0</v>
      </c>
      <c r="PI20" s="38">
        <f t="shared" si="116"/>
        <v>0</v>
      </c>
      <c r="PJ20" s="38">
        <f t="shared" si="117"/>
        <v>0</v>
      </c>
      <c r="PK20" s="38">
        <f t="shared" si="118"/>
        <v>0</v>
      </c>
      <c r="PL20" s="38">
        <f t="shared" si="119"/>
        <v>0</v>
      </c>
      <c r="PM20" s="38">
        <f t="shared" si="120"/>
        <v>0</v>
      </c>
      <c r="PN20" s="38">
        <f t="shared" si="121"/>
        <v>0</v>
      </c>
      <c r="PO20" s="38">
        <f t="shared" si="122"/>
        <v>0</v>
      </c>
      <c r="PP20" s="38">
        <f t="shared" si="123"/>
        <v>0</v>
      </c>
      <c r="PQ20" s="45" t="s">
        <v>46</v>
      </c>
      <c r="PR20" s="79" t="str">
        <f t="shared" si="124"/>
        <v/>
      </c>
      <c r="PS20" s="79" t="str">
        <f t="shared" si="125"/>
        <v/>
      </c>
      <c r="PT20" s="79" t="str">
        <f t="shared" si="126"/>
        <v/>
      </c>
      <c r="PU20" s="79" t="str">
        <f t="shared" si="127"/>
        <v/>
      </c>
      <c r="PV20" s="79" t="str">
        <f t="shared" si="128"/>
        <v/>
      </c>
      <c r="PW20" s="79" t="str">
        <f t="shared" si="129"/>
        <v/>
      </c>
    </row>
    <row r="21" spans="1:439" ht="17" x14ac:dyDescent="0.2">
      <c r="O21" s="16"/>
      <c r="P21" s="16"/>
      <c r="Q21" s="16"/>
    </row>
    <row r="22" spans="1:439" ht="17" x14ac:dyDescent="0.2">
      <c r="O22" s="16"/>
      <c r="P22" s="16"/>
      <c r="Q22" s="16"/>
    </row>
    <row r="23" spans="1:439" ht="17" x14ac:dyDescent="0.2">
      <c r="B23" s="81" t="s">
        <v>44</v>
      </c>
      <c r="O23" s="16"/>
      <c r="P23" s="16"/>
      <c r="Q23" s="16"/>
      <c r="AM23" s="5"/>
      <c r="AR23" s="82">
        <v>1E-4</v>
      </c>
      <c r="BN23" s="5"/>
      <c r="BS23" s="82">
        <v>1E-4</v>
      </c>
      <c r="CO23" s="5"/>
      <c r="CT23" s="82">
        <v>7.2</v>
      </c>
      <c r="DQ23" s="5"/>
      <c r="DV23" s="82">
        <v>7.2</v>
      </c>
      <c r="EQ23" s="5"/>
      <c r="EV23" s="82">
        <v>7.2</v>
      </c>
      <c r="FQ23" s="5"/>
      <c r="FV23" s="82">
        <v>7.2</v>
      </c>
      <c r="GQ23" s="5"/>
      <c r="GV23" s="82">
        <v>7.2</v>
      </c>
      <c r="HQ23" s="5"/>
      <c r="HV23" s="82">
        <v>7.2</v>
      </c>
      <c r="IQ23" s="5"/>
      <c r="IV23" s="82">
        <v>7.2</v>
      </c>
      <c r="JQ23" s="5"/>
      <c r="JV23" s="82">
        <v>7.2</v>
      </c>
      <c r="KQ23" s="5"/>
      <c r="KV23" s="82">
        <v>7.2</v>
      </c>
      <c r="LQ23" s="5"/>
      <c r="LV23" s="82">
        <v>7.2</v>
      </c>
      <c r="MQ23" s="5"/>
      <c r="MV23" s="82">
        <v>7.2</v>
      </c>
      <c r="NQ23" s="5"/>
      <c r="NV23" s="82">
        <v>7.2</v>
      </c>
      <c r="OQ23" s="5"/>
      <c r="OV23" s="82">
        <v>7.2</v>
      </c>
    </row>
    <row r="24" spans="1:439" ht="17" hidden="1" x14ac:dyDescent="0.2">
      <c r="B24" s="83" t="s">
        <v>43</v>
      </c>
      <c r="O24" s="16"/>
      <c r="P24" s="16"/>
      <c r="Q24" s="16"/>
      <c r="AM24" s="5"/>
      <c r="AR24" s="84">
        <v>1000</v>
      </c>
      <c r="BN24" s="5"/>
      <c r="BS24" s="84">
        <v>1000</v>
      </c>
      <c r="CO24" s="5"/>
      <c r="CT24" s="84">
        <v>1000</v>
      </c>
      <c r="DQ24" s="5"/>
      <c r="DV24" s="84">
        <v>1000</v>
      </c>
      <c r="EQ24" s="5"/>
      <c r="EV24" s="84">
        <v>1000</v>
      </c>
      <c r="FQ24" s="5"/>
      <c r="FV24" s="84">
        <v>1000</v>
      </c>
      <c r="GQ24" s="5"/>
      <c r="GV24" s="84">
        <v>1000</v>
      </c>
      <c r="HQ24" s="5"/>
      <c r="HV24" s="84">
        <v>1000</v>
      </c>
      <c r="IQ24" s="5"/>
      <c r="IV24" s="84">
        <v>1000</v>
      </c>
      <c r="JQ24" s="5"/>
      <c r="JV24" s="84">
        <v>1000</v>
      </c>
      <c r="KQ24" s="5"/>
      <c r="KV24" s="84">
        <v>1000</v>
      </c>
      <c r="LQ24" s="5"/>
      <c r="LV24" s="84">
        <v>1000</v>
      </c>
      <c r="MQ24" s="5"/>
      <c r="MV24" s="84">
        <v>1000</v>
      </c>
      <c r="NQ24" s="5"/>
      <c r="NV24" s="84">
        <v>1000</v>
      </c>
      <c r="OQ24" s="5"/>
      <c r="OV24" s="84">
        <v>1000</v>
      </c>
    </row>
    <row r="25" spans="1:439" ht="17" hidden="1" x14ac:dyDescent="0.2">
      <c r="A25" s="78"/>
      <c r="B25" s="76" t="s">
        <v>55</v>
      </c>
      <c r="C25" s="85"/>
      <c r="O25" s="16"/>
      <c r="P25" s="16"/>
      <c r="Q25" s="16"/>
      <c r="AM25" s="5"/>
      <c r="AR25" s="86">
        <v>1000</v>
      </c>
      <c r="BN25" s="5"/>
      <c r="BS25" s="86">
        <v>1000</v>
      </c>
      <c r="CO25" s="5"/>
      <c r="CT25" s="86">
        <v>1000</v>
      </c>
      <c r="DQ25" s="5"/>
      <c r="DV25" s="86">
        <v>1000</v>
      </c>
      <c r="EQ25" s="5"/>
      <c r="EV25" s="86">
        <v>1000</v>
      </c>
      <c r="FQ25" s="5"/>
      <c r="FV25" s="86">
        <v>1000</v>
      </c>
      <c r="GQ25" s="5"/>
      <c r="GV25" s="86">
        <v>1000</v>
      </c>
      <c r="HQ25" s="5"/>
      <c r="HV25" s="86">
        <v>1000</v>
      </c>
      <c r="IQ25" s="5"/>
      <c r="IV25" s="86">
        <v>1000</v>
      </c>
      <c r="JQ25" s="5"/>
      <c r="JV25" s="86">
        <v>1000</v>
      </c>
      <c r="KQ25" s="5"/>
      <c r="KV25" s="86">
        <v>1000</v>
      </c>
      <c r="LQ25" s="5"/>
      <c r="LV25" s="86">
        <v>1000</v>
      </c>
      <c r="MQ25" s="5"/>
      <c r="MV25" s="86">
        <v>1000</v>
      </c>
      <c r="NQ25" s="5"/>
      <c r="NV25" s="86">
        <v>1000</v>
      </c>
      <c r="OQ25" s="5"/>
      <c r="OV25" s="86">
        <v>1000</v>
      </c>
    </row>
    <row r="26" spans="1:439" ht="17" hidden="1" x14ac:dyDescent="0.2">
      <c r="A26" s="78"/>
      <c r="B26" s="87" t="s">
        <v>62</v>
      </c>
      <c r="C26" s="85"/>
      <c r="O26" s="16"/>
      <c r="P26" s="16"/>
      <c r="Q26" s="16"/>
      <c r="AM26" s="5"/>
      <c r="AR26" s="88">
        <v>1000</v>
      </c>
      <c r="BN26" s="5"/>
      <c r="BS26" s="88">
        <v>1000</v>
      </c>
      <c r="CO26" s="5"/>
      <c r="CT26" s="88">
        <v>1000</v>
      </c>
      <c r="DQ26" s="5"/>
      <c r="DV26" s="88">
        <v>1000</v>
      </c>
      <c r="EQ26" s="5"/>
      <c r="EV26" s="88">
        <v>1000</v>
      </c>
      <c r="FQ26" s="5"/>
      <c r="FV26" s="88">
        <v>1000</v>
      </c>
      <c r="GQ26" s="5"/>
      <c r="GV26" s="88">
        <v>1000</v>
      </c>
      <c r="HQ26" s="5"/>
      <c r="HV26" s="88">
        <v>1000</v>
      </c>
      <c r="IQ26" s="5"/>
      <c r="IV26" s="88">
        <v>1000</v>
      </c>
      <c r="JQ26" s="5"/>
      <c r="JV26" s="88">
        <v>1000</v>
      </c>
      <c r="KQ26" s="5"/>
      <c r="KV26" s="88">
        <v>1000</v>
      </c>
      <c r="LQ26" s="5"/>
      <c r="LV26" s="88">
        <v>1000</v>
      </c>
      <c r="MQ26" s="5"/>
      <c r="MV26" s="88">
        <v>1000</v>
      </c>
      <c r="NQ26" s="5"/>
      <c r="NV26" s="88">
        <v>1000</v>
      </c>
      <c r="OQ26" s="5"/>
      <c r="OV26" s="88">
        <v>1000</v>
      </c>
    </row>
    <row r="27" spans="1:439" ht="17" x14ac:dyDescent="0.2">
      <c r="A27" s="78"/>
      <c r="B27" s="89" t="s">
        <v>41</v>
      </c>
      <c r="C27" s="85"/>
      <c r="O27" s="16"/>
      <c r="P27" s="16"/>
      <c r="Q27" s="16"/>
      <c r="AM27" s="5"/>
      <c r="AO27" s="67" t="s">
        <v>180</v>
      </c>
      <c r="AR27" s="90">
        <v>2.0000000000000001E-4</v>
      </c>
      <c r="BN27" s="5"/>
      <c r="BP27" s="67" t="s">
        <v>180</v>
      </c>
      <c r="BS27" s="90">
        <v>2.0000000000000001E-4</v>
      </c>
      <c r="CO27" s="5"/>
      <c r="CT27" s="90">
        <v>42.4</v>
      </c>
      <c r="DQ27" s="5"/>
      <c r="DV27" s="90">
        <v>42.4</v>
      </c>
      <c r="EQ27" s="5"/>
      <c r="EV27" s="90">
        <v>42.4</v>
      </c>
      <c r="FQ27" s="5"/>
      <c r="FV27" s="90">
        <v>42.4</v>
      </c>
      <c r="GQ27" s="5"/>
      <c r="GV27" s="90">
        <v>42.4</v>
      </c>
      <c r="HQ27" s="5"/>
      <c r="HV27" s="90">
        <v>42.4</v>
      </c>
      <c r="IQ27" s="5"/>
      <c r="IV27" s="90">
        <v>42.4</v>
      </c>
      <c r="JQ27" s="5"/>
      <c r="JV27" s="90">
        <v>42.4</v>
      </c>
      <c r="KQ27" s="5"/>
      <c r="KV27" s="90">
        <v>42.4</v>
      </c>
      <c r="LQ27" s="5"/>
      <c r="LV27" s="90">
        <v>42.4</v>
      </c>
      <c r="MQ27" s="5"/>
      <c r="MV27" s="90">
        <v>42.4</v>
      </c>
      <c r="NQ27" s="5"/>
      <c r="NV27" s="90">
        <v>42.4</v>
      </c>
      <c r="OQ27" s="5"/>
      <c r="OV27" s="90">
        <v>42.4</v>
      </c>
    </row>
    <row r="28" spans="1:439" ht="17" hidden="1" x14ac:dyDescent="0.2">
      <c r="A28" s="78"/>
      <c r="B28" s="91" t="s">
        <v>42</v>
      </c>
      <c r="C28" s="85"/>
      <c r="O28" s="16"/>
      <c r="P28" s="16"/>
      <c r="Q28" s="16"/>
      <c r="AM28" s="5"/>
      <c r="AR28" s="92">
        <v>1000</v>
      </c>
      <c r="BN28" s="5"/>
      <c r="BS28" s="92">
        <v>1000</v>
      </c>
      <c r="CO28" s="5"/>
      <c r="CT28" s="92">
        <v>1000</v>
      </c>
      <c r="DQ28" s="5"/>
      <c r="DV28" s="92">
        <v>1000</v>
      </c>
      <c r="EQ28" s="5"/>
      <c r="EV28" s="92">
        <v>1000</v>
      </c>
      <c r="FQ28" s="5"/>
      <c r="FV28" s="92">
        <v>1000</v>
      </c>
      <c r="GQ28" s="5"/>
      <c r="GV28" s="92">
        <v>1000</v>
      </c>
      <c r="HQ28" s="5"/>
      <c r="HV28" s="92">
        <v>1000</v>
      </c>
      <c r="IQ28" s="5"/>
      <c r="IV28" s="92">
        <v>1000</v>
      </c>
      <c r="JQ28" s="5"/>
      <c r="JV28" s="92">
        <v>1000</v>
      </c>
      <c r="KQ28" s="5"/>
      <c r="KV28" s="92">
        <v>1000</v>
      </c>
      <c r="LQ28" s="5"/>
      <c r="LV28" s="92">
        <v>1000</v>
      </c>
      <c r="MQ28" s="5"/>
      <c r="MV28" s="92">
        <v>1000</v>
      </c>
      <c r="NQ28" s="5"/>
      <c r="NV28" s="92">
        <v>1000</v>
      </c>
      <c r="OQ28" s="5"/>
      <c r="OV28" s="92">
        <v>1000</v>
      </c>
    </row>
    <row r="29" spans="1:439" ht="17" hidden="1" x14ac:dyDescent="0.2">
      <c r="A29" s="78"/>
      <c r="B29" s="93" t="s">
        <v>54</v>
      </c>
      <c r="C29" s="85"/>
      <c r="O29" s="16"/>
      <c r="P29" s="16"/>
      <c r="Q29" s="16"/>
      <c r="AM29" s="5"/>
      <c r="AR29" s="94">
        <v>1000</v>
      </c>
      <c r="BN29" s="5"/>
      <c r="BS29" s="94">
        <v>1000</v>
      </c>
      <c r="CO29" s="5"/>
      <c r="CT29" s="94">
        <v>1000</v>
      </c>
      <c r="DQ29" s="5"/>
      <c r="DV29" s="94">
        <v>1000</v>
      </c>
      <c r="EQ29" s="5"/>
      <c r="EV29" s="94">
        <v>1000</v>
      </c>
      <c r="FQ29" s="5"/>
      <c r="FV29" s="94">
        <v>1000</v>
      </c>
      <c r="GQ29" s="5"/>
      <c r="GV29" s="94">
        <v>1000</v>
      </c>
      <c r="HQ29" s="5"/>
      <c r="HV29" s="94">
        <v>1000</v>
      </c>
      <c r="IQ29" s="5"/>
      <c r="IV29" s="94">
        <v>1000</v>
      </c>
      <c r="JQ29" s="5"/>
      <c r="JV29" s="94">
        <v>1000</v>
      </c>
      <c r="KQ29" s="5"/>
      <c r="KV29" s="94">
        <v>1000</v>
      </c>
      <c r="LQ29" s="5"/>
      <c r="LV29" s="94">
        <v>1000</v>
      </c>
      <c r="MQ29" s="5"/>
      <c r="MV29" s="94">
        <v>1000</v>
      </c>
      <c r="NQ29" s="5"/>
      <c r="NV29" s="94">
        <v>1000</v>
      </c>
      <c r="OQ29" s="5"/>
      <c r="OV29" s="94">
        <v>1000</v>
      </c>
    </row>
    <row r="30" spans="1:439" ht="17" hidden="1" x14ac:dyDescent="0.2">
      <c r="A30" s="78"/>
      <c r="B30" s="95" t="s">
        <v>28</v>
      </c>
      <c r="C30" s="85"/>
      <c r="O30" s="16"/>
      <c r="P30" s="16"/>
      <c r="Q30" s="16"/>
      <c r="AM30" s="5"/>
      <c r="AR30" s="96">
        <v>1000</v>
      </c>
      <c r="BN30" s="5"/>
      <c r="BS30" s="96">
        <v>1000</v>
      </c>
      <c r="CO30" s="5"/>
      <c r="CT30" s="96">
        <v>1000</v>
      </c>
      <c r="DQ30" s="5"/>
      <c r="DV30" s="96">
        <v>1000</v>
      </c>
      <c r="EQ30" s="5"/>
      <c r="EV30" s="96">
        <v>1000</v>
      </c>
      <c r="FQ30" s="5"/>
      <c r="FV30" s="96">
        <v>1000</v>
      </c>
      <c r="GQ30" s="5"/>
      <c r="GV30" s="96">
        <v>1000</v>
      </c>
      <c r="HQ30" s="5"/>
      <c r="HV30" s="96">
        <v>1000</v>
      </c>
      <c r="IQ30" s="5"/>
      <c r="IV30" s="96">
        <v>1000</v>
      </c>
      <c r="JQ30" s="5"/>
      <c r="JV30" s="96">
        <v>1000</v>
      </c>
      <c r="KQ30" s="5"/>
      <c r="KV30" s="96">
        <v>1000</v>
      </c>
      <c r="LQ30" s="5"/>
      <c r="LV30" s="96">
        <v>1000</v>
      </c>
      <c r="MQ30" s="5"/>
      <c r="MV30" s="96">
        <v>1000</v>
      </c>
      <c r="NQ30" s="5"/>
      <c r="NV30" s="96">
        <v>1000</v>
      </c>
      <c r="OQ30" s="5"/>
      <c r="OV30" s="96">
        <v>1000</v>
      </c>
    </row>
    <row r="31" spans="1:439" x14ac:dyDescent="0.2">
      <c r="B31" s="47" t="s">
        <v>47</v>
      </c>
      <c r="C31" s="2"/>
    </row>
    <row r="32" spans="1:439" x14ac:dyDescent="0.2">
      <c r="A32" s="78"/>
      <c r="B32" s="78"/>
      <c r="C32" s="85"/>
    </row>
    <row r="33" spans="1:3" x14ac:dyDescent="0.2">
      <c r="A33" s="78"/>
      <c r="B33" s="78"/>
      <c r="C33" s="85"/>
    </row>
    <row r="34" spans="1:3" x14ac:dyDescent="0.2">
      <c r="A34" s="78"/>
      <c r="B34" s="78"/>
      <c r="C34" s="85"/>
    </row>
    <row r="35" spans="1:3" x14ac:dyDescent="0.2">
      <c r="A35" s="78"/>
      <c r="B35" s="78"/>
      <c r="C35" s="78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20">
      <sortCondition descending="1" ref="F1:F21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0">
    <cfRule type="expression" dxfId="91" priority="5" stopIfTrue="1">
      <formula>IF($AL4&lt;&gt;"",1,0)</formula>
    </cfRule>
  </conditionalFormatting>
  <conditionalFormatting sqref="AS4:BS20">
    <cfRule type="expression" dxfId="90" priority="10" stopIfTrue="1">
      <formula>IF($BM4&lt;&gt;"",1,0)</formula>
    </cfRule>
  </conditionalFormatting>
  <conditionalFormatting sqref="J1:J1048576 L1:L1048576 N1:N1048576">
    <cfRule type="expression" dxfId="89" priority="17">
      <formula>IF(J1=$BT$1,1,0)</formula>
    </cfRule>
    <cfRule type="expression" dxfId="88" priority="18">
      <formula>IF(J1=$AS$1,1,0)</formula>
    </cfRule>
    <cfRule type="expression" dxfId="87" priority="19">
      <formula>IF(J1=$R$1,1,0)</formula>
    </cfRule>
  </conditionalFormatting>
  <conditionalFormatting sqref="BT4:CT20">
    <cfRule type="expression" dxfId="86" priority="11" stopIfTrue="1">
      <formula>IF($CN4&lt;&gt;"",1,0)</formula>
    </cfRule>
  </conditionalFormatting>
  <conditionalFormatting sqref="A1:A1048576">
    <cfRule type="expression" dxfId="85" priority="20">
      <formula>AND(G1="P",F1="")</formula>
    </cfRule>
  </conditionalFormatting>
  <conditionalFormatting sqref="H1:H1048576">
    <cfRule type="containsText" dxfId="84" priority="12" operator="containsText" text="No DD">
      <formula>NOT(ISERROR(SEARCH("No DD",H1)))</formula>
    </cfRule>
    <cfRule type="containsText" dxfId="83" priority="13" operator="containsText" text="Merit">
      <formula>NOT(ISERROR(SEARCH("Merit",H1)))</formula>
    </cfRule>
    <cfRule type="containsText" dxfId="82" priority="14" operator="containsText" text="Excellence">
      <formula>NOT(ISERROR(SEARCH("Excellence",H1)))</formula>
    </cfRule>
    <cfRule type="containsText" dxfId="81" priority="15" operator="containsText" text="Worlds Team">
      <formula>NOT(ISERROR(SEARCH("Worlds Team",H1)))</formula>
    </cfRule>
    <cfRule type="containsText" dxfId="8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">
    <cfRule type="cellIs" dxfId="79" priority="21" operator="between">
      <formula>BS$26</formula>
      <formula>1000</formula>
    </cfRule>
    <cfRule type="cellIs" dxfId="78" priority="22" operator="between">
      <formula>BS$25</formula>
      <formula>BS$26</formula>
    </cfRule>
    <cfRule type="cellIs" dxfId="77" priority="23" operator="between">
      <formula>BS$24</formula>
      <formula>BS$25</formula>
    </cfRule>
    <cfRule type="cellIs" dxfId="76" priority="24" operator="between">
      <formula>BS$23</formula>
      <formula>BS$24</formula>
    </cfRule>
  </conditionalFormatting>
  <conditionalFormatting sqref="AM1:AM1048576">
    <cfRule type="cellIs" dxfId="75" priority="29" operator="between">
      <formula>AR$26</formula>
      <formula>1000</formula>
    </cfRule>
    <cfRule type="cellIs" dxfId="74" priority="30" operator="between">
      <formula>AR$25</formula>
      <formula>AR$26</formula>
    </cfRule>
    <cfRule type="cellIs" dxfId="73" priority="31" operator="between">
      <formula>AR$24</formula>
      <formula>AR$25</formula>
    </cfRule>
    <cfRule type="cellIs" dxfId="72" priority="32" operator="between">
      <formula>AR$23</formula>
      <formula>AR$24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1" priority="25" operator="between">
      <formula>BS$30</formula>
      <formula>1000</formula>
    </cfRule>
    <cfRule type="cellIs" dxfId="70" priority="26" operator="between">
      <formula>BS$29</formula>
      <formula>BS$30</formula>
    </cfRule>
    <cfRule type="cellIs" dxfId="69" priority="27" operator="between">
      <formula>BS$28</formula>
      <formula>BS$29</formula>
    </cfRule>
    <cfRule type="cellIs" dxfId="68" priority="28" operator="between">
      <formula>BS$27</formula>
      <formula>BS$28</formula>
    </cfRule>
  </conditionalFormatting>
  <conditionalFormatting sqref="AN1:AN1048576">
    <cfRule type="cellIs" dxfId="67" priority="33" operator="between">
      <formula>AR$30</formula>
      <formula>1000</formula>
    </cfRule>
    <cfRule type="cellIs" dxfId="66" priority="34" operator="between">
      <formula>AR$29</formula>
      <formula>AR$30</formula>
    </cfRule>
    <cfRule type="cellIs" dxfId="65" priority="35" operator="between">
      <formula>AR$28</formula>
      <formula>AR$29</formula>
    </cfRule>
    <cfRule type="cellIs" dxfId="64" priority="36" operator="between">
      <formula>AR$27</formula>
      <formula>AR$28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6" operator="between">
      <formula>AR$23</formula>
      <formula>AR$24</formula>
    </cfRule>
    <cfRule type="cellIs" dxfId="62" priority="7" operator="between">
      <formula>AR$24</formula>
      <formula>AR$25</formula>
    </cfRule>
    <cfRule type="cellIs" dxfId="61" priority="8" operator="between">
      <formula>AR$25</formula>
      <formula>AR$26</formula>
    </cfRule>
    <cfRule type="cellIs" dxfId="60" priority="9" operator="between">
      <formula>AR$26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1" operator="between">
      <formula>AR$27</formula>
      <formula>AR$28</formula>
    </cfRule>
    <cfRule type="cellIs" dxfId="58" priority="2" operator="between">
      <formula>AR$28</formula>
      <formula>AR$29</formula>
    </cfRule>
    <cfRule type="cellIs" dxfId="57" priority="3" operator="between">
      <formula>AR$29</formula>
      <formula>AR$30</formula>
    </cfRule>
    <cfRule type="cellIs" dxfId="56" priority="4" operator="between">
      <formula>AR$30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hidden="1" customWidth="1"/>
    <col min="196" max="215" width="10.83203125" hidden="1" customWidth="1"/>
    <col min="216" max="223" width="10.83203125" style="67" hidden="1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7" t="s">
        <v>174</v>
      </c>
      <c r="N1" s="108" t="s">
        <v>26</v>
      </c>
      <c r="O1" s="107" t="s">
        <v>175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134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165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177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01" t="s">
        <v>169</v>
      </c>
      <c r="AI2" s="101"/>
      <c r="AJ2" s="101"/>
      <c r="AK2" s="101"/>
      <c r="AL2" s="111" t="s">
        <v>170</v>
      </c>
      <c r="AM2" s="111"/>
      <c r="AN2" s="111"/>
      <c r="AO2" s="111"/>
      <c r="AP2" s="72"/>
      <c r="AQ2" s="72" t="s">
        <v>171</v>
      </c>
      <c r="AR2" s="72" t="s">
        <v>172</v>
      </c>
      <c r="AS2" s="72" t="s">
        <v>168</v>
      </c>
      <c r="AT2" s="72" t="s">
        <v>22</v>
      </c>
      <c r="AU2" s="72" t="s">
        <v>21</v>
      </c>
      <c r="AV2" s="72" t="s">
        <v>57</v>
      </c>
      <c r="AW2" s="72" t="s">
        <v>173</v>
      </c>
      <c r="AX2" s="72" t="s">
        <v>15</v>
      </c>
      <c r="AY2" s="103" t="s">
        <v>166</v>
      </c>
      <c r="AZ2" s="103"/>
      <c r="BA2" s="103"/>
      <c r="BB2" s="103"/>
      <c r="BC2" s="103" t="s">
        <v>167</v>
      </c>
      <c r="BD2" s="103"/>
      <c r="BE2" s="103"/>
      <c r="BF2" s="103"/>
      <c r="BG2" s="103" t="s">
        <v>168</v>
      </c>
      <c r="BH2" s="103"/>
      <c r="BI2" s="103"/>
      <c r="BJ2" s="103"/>
      <c r="BK2" s="103" t="s">
        <v>169</v>
      </c>
      <c r="BL2" s="103"/>
      <c r="BM2" s="103"/>
      <c r="BN2" s="103"/>
      <c r="BO2" s="112" t="s">
        <v>170</v>
      </c>
      <c r="BP2" s="112"/>
      <c r="BQ2" s="112"/>
      <c r="BR2" s="112"/>
      <c r="BS2" s="71"/>
      <c r="BT2" s="71" t="s">
        <v>171</v>
      </c>
      <c r="BU2" s="71" t="s">
        <v>172</v>
      </c>
      <c r="BV2" s="71" t="s">
        <v>168</v>
      </c>
      <c r="BW2" s="71" t="s">
        <v>22</v>
      </c>
      <c r="BX2" s="71" t="s">
        <v>21</v>
      </c>
      <c r="BY2" s="71" t="s">
        <v>57</v>
      </c>
      <c r="BZ2" s="71" t="s">
        <v>173</v>
      </c>
      <c r="CA2" s="71" t="s">
        <v>15</v>
      </c>
      <c r="CB2" s="101" t="s">
        <v>166</v>
      </c>
      <c r="CC2" s="101"/>
      <c r="CD2" s="101"/>
      <c r="CE2" s="101"/>
      <c r="CF2" s="101" t="s">
        <v>167</v>
      </c>
      <c r="CG2" s="101"/>
      <c r="CH2" s="101"/>
      <c r="CI2" s="101"/>
      <c r="CJ2" s="101" t="s">
        <v>168</v>
      </c>
      <c r="CK2" s="101"/>
      <c r="CL2" s="101"/>
      <c r="CM2" s="101"/>
      <c r="CN2" s="101" t="s">
        <v>169</v>
      </c>
      <c r="CO2" s="101"/>
      <c r="CP2" s="101"/>
      <c r="CQ2" s="101"/>
      <c r="CR2" s="111" t="s">
        <v>170</v>
      </c>
      <c r="CS2" s="111"/>
      <c r="CT2" s="111"/>
      <c r="CU2" s="111"/>
      <c r="CV2" s="72"/>
      <c r="CW2" s="72" t="s">
        <v>171</v>
      </c>
      <c r="CX2" s="72" t="s">
        <v>172</v>
      </c>
      <c r="CY2" s="72" t="s">
        <v>168</v>
      </c>
      <c r="CZ2" s="72" t="s">
        <v>22</v>
      </c>
      <c r="DA2" s="72" t="s">
        <v>21</v>
      </c>
      <c r="DB2" s="72" t="s">
        <v>57</v>
      </c>
      <c r="DC2" s="72" t="s">
        <v>173</v>
      </c>
      <c r="DD2" s="72" t="s">
        <v>15</v>
      </c>
      <c r="DE2" s="77" t="s">
        <v>172</v>
      </c>
      <c r="DF2" s="77" t="s">
        <v>168</v>
      </c>
      <c r="DG2" s="77" t="s">
        <v>20</v>
      </c>
      <c r="DH2" s="101" t="s">
        <v>166</v>
      </c>
      <c r="DI2" s="101"/>
      <c r="DJ2" s="101"/>
      <c r="DK2" s="101"/>
      <c r="DL2" s="101" t="s">
        <v>167</v>
      </c>
      <c r="DM2" s="101"/>
      <c r="DN2" s="101"/>
      <c r="DO2" s="101"/>
      <c r="DP2" s="101" t="s">
        <v>168</v>
      </c>
      <c r="DQ2" s="101"/>
      <c r="DR2" s="101"/>
      <c r="DS2" s="101"/>
      <c r="DT2" s="101" t="s">
        <v>169</v>
      </c>
      <c r="DU2" s="101"/>
      <c r="DV2" s="101"/>
      <c r="DW2" s="101"/>
      <c r="DX2" s="110" t="s">
        <v>170</v>
      </c>
      <c r="DY2" s="110"/>
      <c r="DZ2" s="110"/>
      <c r="EA2" s="110"/>
      <c r="EB2" s="72" t="s">
        <v>171</v>
      </c>
      <c r="EC2" s="72" t="s">
        <v>172</v>
      </c>
      <c r="ED2" s="72" t="s">
        <v>168</v>
      </c>
      <c r="EE2" s="72" t="s">
        <v>22</v>
      </c>
      <c r="EF2" s="72" t="s">
        <v>21</v>
      </c>
      <c r="EG2" s="72" t="s">
        <v>57</v>
      </c>
      <c r="EH2" s="72" t="s">
        <v>173</v>
      </c>
      <c r="EI2" s="72" t="s">
        <v>15</v>
      </c>
      <c r="EJ2" s="103" t="s">
        <v>166</v>
      </c>
      <c r="EK2" s="103"/>
      <c r="EL2" s="103"/>
      <c r="EM2" s="103"/>
      <c r="EN2" s="103" t="s">
        <v>167</v>
      </c>
      <c r="EO2" s="103"/>
      <c r="EP2" s="103"/>
      <c r="EQ2" s="103"/>
      <c r="ER2" s="103" t="s">
        <v>168</v>
      </c>
      <c r="ES2" s="103"/>
      <c r="ET2" s="103"/>
      <c r="EU2" s="103"/>
      <c r="EV2" s="103" t="s">
        <v>169</v>
      </c>
      <c r="EW2" s="103"/>
      <c r="EX2" s="103"/>
      <c r="EY2" s="103"/>
      <c r="EZ2" s="112" t="s">
        <v>170</v>
      </c>
      <c r="FA2" s="112"/>
      <c r="FB2" s="112"/>
      <c r="FC2" s="112"/>
      <c r="FD2" s="71" t="s">
        <v>171</v>
      </c>
      <c r="FE2" s="71" t="s">
        <v>172</v>
      </c>
      <c r="FF2" s="71" t="s">
        <v>168</v>
      </c>
      <c r="FG2" s="71" t="s">
        <v>22</v>
      </c>
      <c r="FH2" s="71" t="s">
        <v>21</v>
      </c>
      <c r="FI2" s="71" t="s">
        <v>57</v>
      </c>
      <c r="FJ2" s="71" t="s">
        <v>173</v>
      </c>
      <c r="FK2" s="71" t="s">
        <v>15</v>
      </c>
      <c r="FL2" s="101" t="s">
        <v>166</v>
      </c>
      <c r="FM2" s="101"/>
      <c r="FN2" s="101"/>
      <c r="FO2" s="101"/>
      <c r="FP2" s="101" t="s">
        <v>167</v>
      </c>
      <c r="FQ2" s="101"/>
      <c r="FR2" s="101"/>
      <c r="FS2" s="101"/>
      <c r="FT2" s="101" t="s">
        <v>168</v>
      </c>
      <c r="FU2" s="101"/>
      <c r="FV2" s="101"/>
      <c r="FW2" s="101"/>
      <c r="FX2" s="101" t="s">
        <v>169</v>
      </c>
      <c r="FY2" s="101"/>
      <c r="FZ2" s="101"/>
      <c r="GA2" s="101"/>
      <c r="GB2" s="110" t="s">
        <v>170</v>
      </c>
      <c r="GC2" s="110"/>
      <c r="GD2" s="110"/>
      <c r="GE2" s="110"/>
      <c r="GF2" s="72" t="s">
        <v>171</v>
      </c>
      <c r="GG2" s="72" t="s">
        <v>172</v>
      </c>
      <c r="GH2" s="72" t="s">
        <v>168</v>
      </c>
      <c r="GI2" s="72" t="s">
        <v>22</v>
      </c>
      <c r="GJ2" s="72" t="s">
        <v>21</v>
      </c>
      <c r="GK2" s="72" t="s">
        <v>57</v>
      </c>
      <c r="GL2" s="72" t="s">
        <v>173</v>
      </c>
      <c r="GM2" s="72" t="s">
        <v>15</v>
      </c>
      <c r="GN2" s="103" t="s">
        <v>166</v>
      </c>
      <c r="GO2" s="103"/>
      <c r="GP2" s="103"/>
      <c r="GQ2" s="103"/>
      <c r="GR2" s="103" t="s">
        <v>167</v>
      </c>
      <c r="GS2" s="103"/>
      <c r="GT2" s="103"/>
      <c r="GU2" s="103"/>
      <c r="GV2" s="103" t="s">
        <v>168</v>
      </c>
      <c r="GW2" s="103"/>
      <c r="GX2" s="103"/>
      <c r="GY2" s="103"/>
      <c r="GZ2" s="103" t="s">
        <v>169</v>
      </c>
      <c r="HA2" s="103"/>
      <c r="HB2" s="103"/>
      <c r="HC2" s="103"/>
      <c r="HD2" s="112" t="s">
        <v>170</v>
      </c>
      <c r="HE2" s="112"/>
      <c r="HF2" s="112"/>
      <c r="HG2" s="112"/>
      <c r="HH2" s="71" t="s">
        <v>171</v>
      </c>
      <c r="HI2" s="71" t="s">
        <v>172</v>
      </c>
      <c r="HJ2" s="71" t="s">
        <v>168</v>
      </c>
      <c r="HK2" s="71" t="s">
        <v>22</v>
      </c>
      <c r="HL2" s="71" t="s">
        <v>21</v>
      </c>
      <c r="HM2" s="71" t="s">
        <v>57</v>
      </c>
      <c r="HN2" s="71" t="s">
        <v>173</v>
      </c>
      <c r="HO2" s="71" t="s">
        <v>15</v>
      </c>
      <c r="HP2" s="101" t="s">
        <v>166</v>
      </c>
      <c r="HQ2" s="101"/>
      <c r="HR2" s="101"/>
      <c r="HS2" s="101"/>
      <c r="HT2" s="101" t="s">
        <v>167</v>
      </c>
      <c r="HU2" s="101"/>
      <c r="HV2" s="101"/>
      <c r="HW2" s="101"/>
      <c r="HX2" s="101" t="s">
        <v>168</v>
      </c>
      <c r="HY2" s="101"/>
      <c r="HZ2" s="101"/>
      <c r="IA2" s="101"/>
      <c r="IB2" s="101" t="s">
        <v>169</v>
      </c>
      <c r="IC2" s="101"/>
      <c r="ID2" s="101"/>
      <c r="IE2" s="101"/>
      <c r="IF2" s="110" t="s">
        <v>170</v>
      </c>
      <c r="IG2" s="110"/>
      <c r="IH2" s="110"/>
      <c r="II2" s="110"/>
      <c r="IJ2" s="72" t="s">
        <v>171</v>
      </c>
      <c r="IK2" s="72" t="s">
        <v>172</v>
      </c>
      <c r="IL2" s="72" t="s">
        <v>168</v>
      </c>
      <c r="IM2" s="72" t="s">
        <v>22</v>
      </c>
      <c r="IN2" s="72" t="s">
        <v>21</v>
      </c>
      <c r="IO2" s="72" t="s">
        <v>57</v>
      </c>
      <c r="IP2" s="72" t="s">
        <v>173</v>
      </c>
      <c r="IQ2" s="72" t="s">
        <v>15</v>
      </c>
      <c r="IR2" s="103" t="s">
        <v>166</v>
      </c>
      <c r="IS2" s="103"/>
      <c r="IT2" s="103"/>
      <c r="IU2" s="103"/>
      <c r="IV2" s="103" t="s">
        <v>167</v>
      </c>
      <c r="IW2" s="103"/>
      <c r="IX2" s="103"/>
      <c r="IY2" s="103"/>
      <c r="IZ2" s="103" t="s">
        <v>168</v>
      </c>
      <c r="JA2" s="103"/>
      <c r="JB2" s="103"/>
      <c r="JC2" s="103"/>
      <c r="JD2" s="103" t="s">
        <v>169</v>
      </c>
      <c r="JE2" s="103"/>
      <c r="JF2" s="103"/>
      <c r="JG2" s="103"/>
      <c r="JH2" s="112" t="s">
        <v>170</v>
      </c>
      <c r="JI2" s="112"/>
      <c r="JJ2" s="112"/>
      <c r="JK2" s="112"/>
      <c r="JL2" s="71" t="s">
        <v>171</v>
      </c>
      <c r="JM2" s="71" t="s">
        <v>172</v>
      </c>
      <c r="JN2" s="71" t="s">
        <v>168</v>
      </c>
      <c r="JO2" s="71" t="s">
        <v>22</v>
      </c>
      <c r="JP2" s="71" t="s">
        <v>21</v>
      </c>
      <c r="JQ2" s="71" t="s">
        <v>57</v>
      </c>
      <c r="JR2" s="71" t="s">
        <v>173</v>
      </c>
      <c r="JS2" s="71" t="s">
        <v>15</v>
      </c>
      <c r="JT2" s="101" t="s">
        <v>166</v>
      </c>
      <c r="JU2" s="101"/>
      <c r="JV2" s="101"/>
      <c r="JW2" s="101"/>
      <c r="JX2" s="101" t="s">
        <v>167</v>
      </c>
      <c r="JY2" s="101"/>
      <c r="JZ2" s="101"/>
      <c r="KA2" s="101"/>
      <c r="KB2" s="101" t="s">
        <v>168</v>
      </c>
      <c r="KC2" s="101"/>
      <c r="KD2" s="101"/>
      <c r="KE2" s="101"/>
      <c r="KF2" s="101" t="s">
        <v>169</v>
      </c>
      <c r="KG2" s="101"/>
      <c r="KH2" s="101"/>
      <c r="KI2" s="101"/>
      <c r="KJ2" s="110" t="s">
        <v>170</v>
      </c>
      <c r="KK2" s="110"/>
      <c r="KL2" s="110"/>
      <c r="KM2" s="110"/>
      <c r="KN2" s="72" t="s">
        <v>171</v>
      </c>
      <c r="KO2" s="72" t="s">
        <v>172</v>
      </c>
      <c r="KP2" s="72" t="s">
        <v>168</v>
      </c>
      <c r="KQ2" s="72" t="s">
        <v>22</v>
      </c>
      <c r="KR2" s="72" t="s">
        <v>21</v>
      </c>
      <c r="KS2" s="72" t="s">
        <v>57</v>
      </c>
      <c r="KT2" s="72" t="s">
        <v>173</v>
      </c>
      <c r="KU2" s="72" t="s">
        <v>15</v>
      </c>
      <c r="KV2" s="103" t="s">
        <v>166</v>
      </c>
      <c r="KW2" s="103"/>
      <c r="KX2" s="103"/>
      <c r="KY2" s="103"/>
      <c r="KZ2" s="103" t="s">
        <v>167</v>
      </c>
      <c r="LA2" s="103"/>
      <c r="LB2" s="103"/>
      <c r="LC2" s="103"/>
      <c r="LD2" s="103" t="s">
        <v>168</v>
      </c>
      <c r="LE2" s="103"/>
      <c r="LF2" s="103"/>
      <c r="LG2" s="103"/>
      <c r="LH2" s="103" t="s">
        <v>169</v>
      </c>
      <c r="LI2" s="103"/>
      <c r="LJ2" s="103"/>
      <c r="LK2" s="103"/>
      <c r="LL2" s="112" t="s">
        <v>170</v>
      </c>
      <c r="LM2" s="112"/>
      <c r="LN2" s="112"/>
      <c r="LO2" s="112"/>
      <c r="LP2" s="71" t="s">
        <v>171</v>
      </c>
      <c r="LQ2" s="71" t="s">
        <v>172</v>
      </c>
      <c r="LR2" s="71" t="s">
        <v>168</v>
      </c>
      <c r="LS2" s="71" t="s">
        <v>22</v>
      </c>
      <c r="LT2" s="71" t="s">
        <v>21</v>
      </c>
      <c r="LU2" s="71" t="s">
        <v>57</v>
      </c>
      <c r="LV2" s="71" t="s">
        <v>173</v>
      </c>
      <c r="LW2" s="71" t="s">
        <v>15</v>
      </c>
      <c r="LX2" s="101" t="s">
        <v>166</v>
      </c>
      <c r="LY2" s="101"/>
      <c r="LZ2" s="101"/>
      <c r="MA2" s="101"/>
      <c r="MB2" s="101" t="s">
        <v>167</v>
      </c>
      <c r="MC2" s="101"/>
      <c r="MD2" s="101"/>
      <c r="ME2" s="101"/>
      <c r="MF2" s="101" t="s">
        <v>168</v>
      </c>
      <c r="MG2" s="101"/>
      <c r="MH2" s="101"/>
      <c r="MI2" s="101"/>
      <c r="MJ2" s="101" t="s">
        <v>169</v>
      </c>
      <c r="MK2" s="101"/>
      <c r="ML2" s="101"/>
      <c r="MM2" s="101"/>
      <c r="MN2" s="110" t="s">
        <v>170</v>
      </c>
      <c r="MO2" s="110"/>
      <c r="MP2" s="110"/>
      <c r="MQ2" s="110"/>
      <c r="MR2" s="72" t="s">
        <v>171</v>
      </c>
      <c r="MS2" s="72" t="s">
        <v>172</v>
      </c>
      <c r="MT2" s="72" t="s">
        <v>168</v>
      </c>
      <c r="MU2" s="72" t="s">
        <v>22</v>
      </c>
      <c r="MV2" s="72" t="s">
        <v>21</v>
      </c>
      <c r="MW2" s="72" t="s">
        <v>57</v>
      </c>
      <c r="MX2" s="72" t="s">
        <v>173</v>
      </c>
      <c r="MY2" s="72" t="s">
        <v>15</v>
      </c>
      <c r="MZ2" s="103" t="s">
        <v>166</v>
      </c>
      <c r="NA2" s="103"/>
      <c r="NB2" s="103"/>
      <c r="NC2" s="103"/>
      <c r="ND2" s="103" t="s">
        <v>167</v>
      </c>
      <c r="NE2" s="103"/>
      <c r="NF2" s="103"/>
      <c r="NG2" s="103"/>
      <c r="NH2" s="103" t="s">
        <v>168</v>
      </c>
      <c r="NI2" s="103"/>
      <c r="NJ2" s="103"/>
      <c r="NK2" s="103"/>
      <c r="NL2" s="103" t="s">
        <v>169</v>
      </c>
      <c r="NM2" s="103"/>
      <c r="NN2" s="103"/>
      <c r="NO2" s="103"/>
      <c r="NP2" s="112" t="s">
        <v>170</v>
      </c>
      <c r="NQ2" s="112"/>
      <c r="NR2" s="112"/>
      <c r="NS2" s="112"/>
      <c r="NT2" s="71" t="s">
        <v>171</v>
      </c>
      <c r="NU2" s="71" t="s">
        <v>172</v>
      </c>
      <c r="NV2" s="71" t="s">
        <v>168</v>
      </c>
      <c r="NW2" s="71" t="s">
        <v>22</v>
      </c>
      <c r="NX2" s="71" t="s">
        <v>21</v>
      </c>
      <c r="NY2" s="71" t="s">
        <v>57</v>
      </c>
      <c r="NZ2" s="71" t="s">
        <v>173</v>
      </c>
      <c r="OA2" s="71" t="s">
        <v>15</v>
      </c>
      <c r="OB2" s="101" t="s">
        <v>166</v>
      </c>
      <c r="OC2" s="101"/>
      <c r="OD2" s="101"/>
      <c r="OE2" s="101"/>
      <c r="OF2" s="101" t="s">
        <v>167</v>
      </c>
      <c r="OG2" s="101"/>
      <c r="OH2" s="101"/>
      <c r="OI2" s="101"/>
      <c r="OJ2" s="101" t="s">
        <v>168</v>
      </c>
      <c r="OK2" s="101"/>
      <c r="OL2" s="101"/>
      <c r="OM2" s="101"/>
      <c r="ON2" s="101" t="s">
        <v>169</v>
      </c>
      <c r="OO2" s="101"/>
      <c r="OP2" s="101"/>
      <c r="OQ2" s="101"/>
      <c r="OR2" s="110" t="s">
        <v>170</v>
      </c>
      <c r="OS2" s="110"/>
      <c r="OT2" s="110"/>
      <c r="OU2" s="110"/>
      <c r="OV2" s="72" t="s">
        <v>171</v>
      </c>
      <c r="OW2" s="72" t="s">
        <v>172</v>
      </c>
      <c r="OX2" s="72" t="s">
        <v>168</v>
      </c>
      <c r="OY2" s="72" t="s">
        <v>22</v>
      </c>
      <c r="OZ2" s="72" t="s">
        <v>21</v>
      </c>
      <c r="PA2" s="72" t="s">
        <v>57</v>
      </c>
      <c r="PB2" s="72" t="s">
        <v>173</v>
      </c>
      <c r="PC2" s="72" t="s">
        <v>15</v>
      </c>
      <c r="PD2" s="103" t="s">
        <v>166</v>
      </c>
      <c r="PE2" s="103"/>
      <c r="PF2" s="103"/>
      <c r="PG2" s="103"/>
      <c r="PH2" s="103" t="s">
        <v>167</v>
      </c>
      <c r="PI2" s="103"/>
      <c r="PJ2" s="103"/>
      <c r="PK2" s="103"/>
      <c r="PL2" s="103" t="s">
        <v>168</v>
      </c>
      <c r="PM2" s="103"/>
      <c r="PN2" s="103"/>
      <c r="PO2" s="103"/>
      <c r="PP2" s="103" t="s">
        <v>169</v>
      </c>
      <c r="PQ2" s="103"/>
      <c r="PR2" s="103"/>
      <c r="PS2" s="103"/>
      <c r="PT2" s="112" t="s">
        <v>170</v>
      </c>
      <c r="PU2" s="112"/>
      <c r="PV2" s="112"/>
      <c r="PW2" s="112"/>
      <c r="PX2" s="71" t="s">
        <v>171</v>
      </c>
      <c r="PY2" s="71" t="s">
        <v>172</v>
      </c>
      <c r="PZ2" s="71" t="s">
        <v>168</v>
      </c>
      <c r="QA2" s="71" t="s">
        <v>22</v>
      </c>
      <c r="QB2" s="71" t="s">
        <v>21</v>
      </c>
      <c r="QC2" s="71" t="s">
        <v>57</v>
      </c>
      <c r="QD2" s="71" t="s">
        <v>173</v>
      </c>
      <c r="QE2" s="71" t="s">
        <v>15</v>
      </c>
      <c r="QF2" s="101" t="s">
        <v>166</v>
      </c>
      <c r="QG2" s="101"/>
      <c r="QH2" s="101"/>
      <c r="QI2" s="101"/>
      <c r="QJ2" s="101" t="s">
        <v>167</v>
      </c>
      <c r="QK2" s="101"/>
      <c r="QL2" s="101"/>
      <c r="QM2" s="101"/>
      <c r="QN2" s="101" t="s">
        <v>168</v>
      </c>
      <c r="QO2" s="101"/>
      <c r="QP2" s="101"/>
      <c r="QQ2" s="101"/>
      <c r="QR2" s="101" t="s">
        <v>169</v>
      </c>
      <c r="QS2" s="101"/>
      <c r="QT2" s="101"/>
      <c r="QU2" s="101"/>
      <c r="QV2" s="111" t="s">
        <v>170</v>
      </c>
      <c r="QW2" s="111"/>
      <c r="QX2" s="111"/>
      <c r="QY2" s="111"/>
      <c r="QZ2" s="72"/>
      <c r="RA2" s="72" t="s">
        <v>171</v>
      </c>
      <c r="RB2" s="72" t="s">
        <v>172</v>
      </c>
      <c r="RC2" s="72" t="s">
        <v>168</v>
      </c>
      <c r="RD2" s="72" t="s">
        <v>22</v>
      </c>
      <c r="RE2" s="72" t="s">
        <v>21</v>
      </c>
      <c r="RF2" s="72" t="s">
        <v>57</v>
      </c>
      <c r="RG2" s="72" t="s">
        <v>173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 cm="1">
        <f t="array" ref="A4">IF(AND(F4="P",G4="P"),SUMPRODUCT((F$4:F$27="P")*(G$4:G$27="P")*(E$4:E$27&gt;E4))+1,IF(G4="P",SUMPRODUCT((F$4:F$27="")*(G$4:G$27="P")*(E$4:E$27&gt;E4))+1+SUMPRODUCT((F$4:F$27="P")*(G$4:G$27="P")),""))</f>
        <v>1</v>
      </c>
      <c r="B4" s="78" t="s">
        <v>61</v>
      </c>
      <c r="C4" s="5" t="s">
        <v>3</v>
      </c>
      <c r="D4" s="5">
        <v>2003</v>
      </c>
      <c r="E4" s="15">
        <f t="shared" ref="E4:E26" si="0">SUM(I4:S4)+SUM(I4:O4)*0.0000001+SUM(I4)*0.0000000000001</f>
        <v>187.30000766002559</v>
      </c>
      <c r="F4" s="3" t="str">
        <f t="shared" ref="F4:F26" si="1">IF(OR(AND(AQ4&gt;=AX$29,AR4&gt;=AX$33,AQ4&lt;&gt;"",AP4=""),AND(AV4&gt;=AX$29,AW4&gt;=AX$33,AV4&lt;&gt;"",AP4=""),AND(BT4&gt;=CA$29,BU4&gt;=CA$33,BT4&lt;&gt;"",BS4=""),AND(BY4&gt;=CA$29,BZ4&gt;=CA$33,BY4&lt;&gt;"",BS4=""),AND(CW4&gt;=DD$29,CX4&gt;=DD$33,CW4&lt;&gt;"",CV4=""),AND(DB4&gt;=DD$29,DC4&gt;=DD$33,DB4&lt;&gt;""),AND(EB4&gt;=EI$29,EC4&gt;=EI$33,EB4&lt;&gt;""),AND(EG4&gt;=EI$29,EH4&gt;=EI$33,EG4&lt;&gt;""),AND(FD4&gt;=FK$29,FE4&gt;=FK$33,FD4&lt;&gt;""),AND(FI4&gt;=FK$29,FJ4&gt;=FK$33,FI4&lt;&gt;""),AND(GF4&gt;=GM$29,GG4&gt;=GM$33,GF4&lt;&gt;""),AND(GK4&gt;=GM$29,GL4&gt;=GM$33,GK4&lt;&gt;""),AND(HH4&gt;=HO$29,HI4&gt;=HO$33,HH4&lt;&gt;""),AND(HM4&gt;=HO$29,HN4&gt;=HO$33,HM4&lt;&gt;""),AND(IJ4&gt;=IQ$29,IK4&gt;=IQ$33,IJ4&lt;&gt;""),AND(IO4&gt;=IQ$29,IP4&gt;=IQ$33,IO4&lt;&gt;""),AND(JL4&gt;=JS$29,JM4&gt;=JS$33,JL4&lt;&gt;""),AND(JQ4&gt;=JS$29,JR4&gt;=JS$33,JQ4&lt;&gt;""),AND(KN4&gt;=KU$29,KO4&gt;=KU$33,KN4&lt;&gt;""),AND(KS4&gt;=KU$29,KT4&gt;=KU$33,KS4&lt;&gt;""),AND(LP4&gt;=LW$29,LQ4&gt;=LW$33,LP4&lt;&gt;""),AND(LU4&gt;=LW$29,LV4&gt;=LW$33,LU4&lt;&gt;""),AND(MR4&gt;=MY$29,MS4&gt;=MY$33,MR4&lt;&gt;""),AND(MW4&gt;=MY$29,MX4&gt;=MY$33,MW4&lt;&gt;""),AND(NT4&gt;=OA$29,NU4&gt;=OA$33,NT4&lt;&gt;""),AND(NY4&gt;=OA$29,NZ4&gt;=OA$33,NY4&lt;&gt;""),AND(OV4&gt;=PC$29,OW4&gt;=PC$33,OV4&lt;&gt;""),AND(PA4&gt;=PC$29,PB4&gt;=PC$33,PA4&lt;&gt;""),AND(PX4&gt;=QE$29,PY4&gt;=QE$33,PX4&lt;&gt;""),AND(QC4&gt;=QE$29,QD4&gt;=QE$33,QC4&lt;&gt;"")),"P","")</f>
        <v>P</v>
      </c>
      <c r="G4" s="3" t="str">
        <f t="shared" ref="G4:G26" si="2">IF(OR(AND(AR4&gt;=AX$33,AR4&lt;&gt;"",AP4=""),AND(AW4&gt;=AX$33,AW4&lt;&gt;"",AP4=""),AND(BU4&gt;=CA$33,BU4&lt;&gt;"",BS4=""),AND(BZ4&gt;=CA$33,BZ4&lt;&gt;"",BS4=""),AND(CX4&gt;=DD$33,CX4&lt;&gt;"",CV4=""),AND(DC4&gt;=DD$33,DC4&lt;&gt;"",CV4=""),AND(EC4&gt;=EI$33,EC4&lt;&gt;""),AND(EH4&gt;=EI$33,EH4&lt;&gt;""),AND(FE4&gt;=FK$33,FE4&lt;&gt;""),AND(FJ4&gt;=FK$33,FJ4&lt;&gt;""),AND(GG4&gt;=GM$33,GG4&lt;&gt;""),AND(GL4&gt;=GM$33,GL4&lt;&gt;""),AND(HI4&gt;=HO$33,HI4&lt;&gt;""),AND(HN4&gt;=HO$33,HN4&lt;&gt;""),AND(IK4&gt;=IQ$33,IK4&lt;&gt;""),AND(IP4&gt;=IQ$33,IP4&lt;&gt;""),AND(JM4&gt;=JS$33,JM4&lt;&gt;""),AND(JR4&gt;=JS$33,JR4&lt;&gt;""),AND(KO4&gt;=KU$33,KO4&lt;&gt;""),AND(KT4&gt;=KU$33,KT4&lt;&gt;""),AND(LQ4&gt;=LW$33,LQ4&lt;&gt;""),AND(LV4&gt;=LW$33,LV4&lt;&gt;""),AND(MS4&gt;=MY$33,MS4&lt;&gt;""),AND(MX4&gt;=MY$33,MX4&lt;&gt;""),AND(NU4&gt;=OA$33,NU4&lt;&gt;""),AND(NZ4&gt;=OA$33,NZ4&lt;&gt;""),AND(OW4&gt;=PC$33,OW4&lt;&gt;""),AND(PB4&gt;=PC$33,PB4&lt;&gt;""),AND(PY4&gt;=QE$33,PY4&lt;&gt;""),AND(QD4&gt;=QE$33,QD4&lt;&gt;"")),"P","")</f>
        <v>P</v>
      </c>
      <c r="H4" s="67" t="str">
        <f t="shared" ref="H4:H26" si="3">IF(AND(G4="P",F4=""),"No DD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Merit",IF(OR(AND(AT4&gt;=AX$31,AU4&gt;=AX$35,AT4&lt;&gt;"",AP4=""),AND(BW4&gt;=CA$31,BX4&gt;=CA$35,BW4&lt;&gt;"",BS4=""),AND(CZ4&gt;=DD$31,DA4&gt;=DD$35,CZ4&lt;&gt;"",CV4=""),AND(EE4&gt;=EI$31,EF4&gt;=EI$35,EE4&lt;&gt;""),AND(FG4&gt;=FK$31,FH4&gt;=FK$35,FG4&lt;&gt;""),AND(GI4&gt;=GM$31,GJ4&gt;=GM$35,GI4&lt;&gt;""),AND(HK4&gt;=HO$31,HL4&gt;=HO$35,HK4&lt;&gt;""),AND(IM4&gt;=IQ$31,IN4&gt;=IQ$35,IM4&lt;&gt;""),AND(JO4&gt;=JS$31,JP4&gt;=JS$35,JO4&lt;&gt;""),AND(KQ4&gt;=KU$31,KR4&gt;=KU$35,KQ4&lt;&gt;""),AND(LS4&gt;=LW$31,LT4&gt;=LW$35,LS4&lt;&gt;""),AND(MU4&gt;=MY$31,MV4&gt;=MY$35,MU4&lt;&gt;""),AND(NW4&gt;=OA$31,NX4&gt;=OA$35,NW4&lt;&gt;""),AND(OY4&gt;=PC$31,OZ4&gt;=PC$35,OY4&lt;&gt;""),AND(QA4&gt;=QE$31,QB4&gt;=QE$35,QA4&lt;&gt;"")),"Excellence",IF(F4="P","National Team",""))))</f>
        <v>National Team</v>
      </c>
      <c r="I4" s="14">
        <f>IF(COUNT(AR4,BU4,CX4)&gt;0,LARGE((AR4,BU4,CX4),1),0)</f>
        <v>55.999999999999993</v>
      </c>
      <c r="J4" s="14" t="str">
        <f t="shared" ref="J4:J26" si="4"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 t="shared" ref="L4:L26" si="5">IF(K4=0,"",IF(K4=CX4,$CB$1,IF(K4=BU4,$AY$1,IF(K4=AR4,$V$1,""))))</f>
        <v>2021 Canadian Championships</v>
      </c>
      <c r="M4" s="14">
        <f>IF(COUNT(AS4,BV4,CY4)&gt;0,LARGE((AS4,BV4,CY4),1),0)</f>
        <v>20.6</v>
      </c>
      <c r="N4" s="14" t="str">
        <f t="shared" ref="N4:N26" si="6">IF(M4=0,"",IF(M4=CY4,$CB$1,IF(M4=BV4,$AY$1,IF(M4=AS4,$V$1,""))))</f>
        <v>2022 Elite Canada</v>
      </c>
      <c r="O4" s="14">
        <f>IF(COUNT(AS4,BV4,CY4)&gt;1,LARGE((AS4,BV4,CY4),2),0)</f>
        <v>0</v>
      </c>
      <c r="P4" s="14" t="str">
        <f t="shared" ref="P4:P26" si="7">IF(O4=0,"",IF(O4=CY4,$CB$1,IF(O4=BV4,$AY$1,IF(O4=AS4,$V$1,""))))</f>
        <v/>
      </c>
      <c r="Q4" s="14">
        <f t="shared" ref="Q4:Q26" si="8">IF(MAX(AW4,BZ4,DC4)&gt;0,MAX(AW4,BZ4,DC4),0)</f>
        <v>54.599999999999994</v>
      </c>
      <c r="R4" s="14" t="str">
        <f t="shared" ref="R4:R26" si="9">IF(Q4=0,"",IF(Q4=DC4,$CB$1,IF(Q4=BZ4,$AY$1,IF(Q4=AW4,$V$1,""))))</f>
        <v>2022 Elite Canada</v>
      </c>
      <c r="S4" s="14">
        <f t="shared" ref="S4:S26" si="10">IF(MAX(DE4:DG4)&gt;0,MAX(DE4:DG4),"")</f>
        <v>56.099799999999995</v>
      </c>
      <c r="T4" s="20" t="str">
        <f t="shared" ref="T4:T26" si="11">IF(S4="","",IF(S4=DE4,"("&amp;DE$2&amp;")",IF(S4=DG4,"("&amp;DG$2&amp;")")))</f>
        <v>(Q1)</v>
      </c>
      <c r="U4" s="14" t="str">
        <f t="shared" ref="U4:U26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7">
        <v>1E-4</v>
      </c>
      <c r="W4" s="27">
        <v>1E-4</v>
      </c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>
        <f t="shared" ref="AQ4:AQ26" si="13">IF(SUM(W4,AA4)&gt;0,SUM(W4,AA4),"")</f>
        <v>1E-4</v>
      </c>
      <c r="AR4" s="79">
        <f t="shared" ref="AR4:AR26" si="14">IF(SUM(V4:W4,Y4:AA4,AC4)-X4-AB4&gt;0,SUM(V4:W4,Y4:AA4,AC4)-X4-AB4,"")</f>
        <v>2.0000000000000001E-4</v>
      </c>
      <c r="AS4" s="79" t="str">
        <f t="shared" ref="AS4:AS26" si="15">IF(SUM(AD4:AE4,AG4)-AF4&gt;0,SUM(AD4:AE4,AG4)-AF4,"")</f>
        <v/>
      </c>
      <c r="AT4" s="79">
        <f t="shared" ref="AT4:AT26" si="16">IF(SUM(W4,AA4,AE4)&gt;0,SUM(W4,AA4,AE4),"")</f>
        <v>1E-4</v>
      </c>
      <c r="AU4" s="79">
        <f t="shared" ref="AU4:AU26" si="17">IF(SUM(AR4,AS4)&gt;0,SUM(AR4,AS4),"")</f>
        <v>2.0000000000000001E-4</v>
      </c>
      <c r="AV4" s="79" t="str">
        <f t="shared" ref="AV4:AV26" si="18">IF(SUM(AI4,AM4)&gt;0,SUM(AI4,AM4),"")</f>
        <v/>
      </c>
      <c r="AW4" s="79" t="str">
        <f t="shared" ref="AW4:AW26" si="19">IF(SUM(AH4:AI4,AK4:AM4,AO4)-SUM(AJ4,AN4)&gt;0,SUM(AH4:AI4,AK4:AM4,AO4)-SUM(AJ4,AN4),"")</f>
        <v/>
      </c>
      <c r="AX4" s="79">
        <f t="shared" ref="AX4:AX26" si="20">IF(SUM(AR4,AW4)&gt;0,SUM(AR4,AW4),"")</f>
        <v>2.0000000000000001E-4</v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 t="shared" ref="BT4:BT26" si="21">IF(SUM(AZ4,BD4)&gt;0,SUM(AZ4,BD4),"")</f>
        <v>1E-4</v>
      </c>
      <c r="BU4" s="20">
        <f t="shared" ref="BU4:BU26" si="22">IF(SUM(AY4:AZ4,BB4:BD4,BF4)-BA4-BE4&gt;0,SUM(AY4:AZ4,BB4:BD4,BF4)-BA4-BE4,"")</f>
        <v>2.0000000000000001E-4</v>
      </c>
      <c r="BV4" s="20" t="str">
        <f t="shared" ref="BV4:BV26" si="23">IF(SUM(BG4:BH4,BJ4)-BI4&gt;0,SUM(BG4:BH4,BJ4)-BI4,"")</f>
        <v/>
      </c>
      <c r="BW4" s="20">
        <f t="shared" ref="BW4:BW26" si="24">IF(SUM(AZ4,BD4,BH4)&gt;0,SUM(AZ4,BD4,BH4),"")</f>
        <v>1E-4</v>
      </c>
      <c r="BX4" s="20">
        <f t="shared" ref="BX4:BX26" si="25">IF(SUM(BU4,BV4)&gt;0,SUM(BU4,BV4),"")</f>
        <v>2.0000000000000001E-4</v>
      </c>
      <c r="BY4" s="20" t="str">
        <f t="shared" ref="BY4:BY26" si="26">IF(SUM(BL4,BP4)&gt;0,SUM(BL4,BP4),"")</f>
        <v/>
      </c>
      <c r="BZ4" s="20" t="str">
        <f t="shared" ref="BZ4:BZ26" si="27">IF(SUM(BK4:BL4,BN4:BP4,BR4)-SUM(BM4,BQ4)&gt;0,SUM(BK4:BL4,BN4:BP4,BR4)-SUM(BM4,BQ4),"")</f>
        <v/>
      </c>
      <c r="CA4" s="20">
        <f t="shared" ref="CA4:CA26" si="28">IF(SUM(BU4,BZ4)&gt;0,SUM(BU4,BZ4),"")</f>
        <v>2.0000000000000001E-4</v>
      </c>
      <c r="CB4" s="27">
        <v>18.8</v>
      </c>
      <c r="CC4" s="27">
        <v>9.1999999999999993</v>
      </c>
      <c r="CD4" s="27">
        <v>0.6</v>
      </c>
      <c r="CE4" s="27">
        <v>0.3</v>
      </c>
      <c r="CF4" s="27">
        <v>19</v>
      </c>
      <c r="CG4" s="27">
        <v>9.1999999999999993</v>
      </c>
      <c r="CH4" s="27">
        <v>0.2</v>
      </c>
      <c r="CI4" s="27">
        <v>0.3</v>
      </c>
      <c r="CJ4" s="27">
        <v>17.8</v>
      </c>
      <c r="CK4" s="27">
        <v>2.8</v>
      </c>
      <c r="CL4" s="27">
        <v>0</v>
      </c>
      <c r="CM4" s="27">
        <v>0</v>
      </c>
      <c r="CN4" s="27">
        <v>19</v>
      </c>
      <c r="CO4" s="27">
        <v>8.5</v>
      </c>
      <c r="CP4" s="27">
        <v>0</v>
      </c>
      <c r="CQ4" s="27">
        <v>0.3</v>
      </c>
      <c r="CR4" s="27">
        <v>18.7</v>
      </c>
      <c r="CS4" s="27">
        <v>8.4</v>
      </c>
      <c r="CT4" s="27">
        <v>0.6</v>
      </c>
      <c r="CU4" s="27">
        <v>0.3</v>
      </c>
      <c r="CV4" s="45"/>
      <c r="CW4" s="79">
        <f t="shared" ref="CW4:CW26" si="29">IF(SUM(CC4,CG4)&gt;0,SUM(CC4,CG4),"")</f>
        <v>18.399999999999999</v>
      </c>
      <c r="CX4" s="79">
        <f t="shared" ref="CX4:CX26" si="30">IF(SUM(CB4:CC4,CE4:CG4,CI4)-CD4-CH4&gt;0,SUM(CB4:CC4,CE4:CG4,CI4)-CD4-CH4,"")</f>
        <v>55.999999999999993</v>
      </c>
      <c r="CY4" s="79">
        <f t="shared" ref="CY4:CY26" si="31">IF(SUM(CJ4:CK4,CM4)-CL4&gt;0,SUM(CJ4:CK4,CM4)-CL4,"")</f>
        <v>20.6</v>
      </c>
      <c r="CZ4" s="79">
        <f t="shared" ref="CZ4:CZ26" si="32">IF(SUM(CC4,CG4,CK4)&gt;0,SUM(CC4,CG4,CK4),"")</f>
        <v>21.2</v>
      </c>
      <c r="DA4" s="79">
        <f t="shared" ref="DA4:DA26" si="33">IF(SUM(CX4,CY4)&gt;0,SUM(CX4,CY4),"")</f>
        <v>76.599999999999994</v>
      </c>
      <c r="DB4" s="79">
        <f t="shared" ref="DB4:DB26" si="34">IF(SUM(CO4,CS4)&gt;0,SUM(CO4,CS4),"")</f>
        <v>16.899999999999999</v>
      </c>
      <c r="DC4" s="79">
        <f t="shared" ref="DC4:DC26" si="35">IF(SUM(CN4:CO4,CQ4:CS4,CU4)-SUM(CP4,CT4)&gt;0,SUM(CN4:CO4,CQ4:CS4,CU4)-SUM(CP4,CT4),"")</f>
        <v>54.599999999999994</v>
      </c>
      <c r="DD4" s="79">
        <f t="shared" ref="DD4:DD26" si="36">IF(SUM(CX4,DC4)&gt;0,SUM(CX4,DC4),"")</f>
        <v>110.6</v>
      </c>
      <c r="DE4" s="80">
        <f t="shared" ref="DE4:DE26" si="37">IF(MAX(EC4,FE4,GG4,HI4,IK4,JM4,KO4,LQ4,MS4,NU4,OW4,PY4)-IF(K4="",0,K4)&gt;0.001,MAX(EC4,FE4,GG4,HI4,IK4,JM4,KO4,LQ4,MS4,NU4,OW4,PY4)-IF(K4="",0,K4),"")</f>
        <v>56.099799999999995</v>
      </c>
      <c r="DF4" s="80"/>
      <c r="DG4" s="80">
        <f t="shared" ref="DG4:DG26" si="38">IF(MAX(EH4,FJ4,GL4,HN4,IP4,JR4,KT4,LV4,MX4,NZ4,PB4,QD4)-IF(Q4="",0,Q4)&gt;0.001,MAX(EH4,FJ4,GL4,HN4,IP4,JR4,KT4,LV4,MX4,NZ4,PB4,QD4)-IF(Q4="",0,Q4),"")</f>
        <v>2.0000000000000071</v>
      </c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 t="str">
        <f t="shared" ref="EB4:EB26" si="39">IF(SUM(DI4,DM4)&gt;0,SUM(DI4,DM4),"")</f>
        <v/>
      </c>
      <c r="EC4" s="79" t="str">
        <f t="shared" ref="EC4:EC26" si="40">IF(SUM(DH4:DI4,DK4:DM4,DO4)-DJ4-DN4&gt;0,SUM(DH4:DI4,DK4:DM4,DO4)-DJ4-DN4,"")</f>
        <v/>
      </c>
      <c r="ED4" s="79" t="str">
        <f t="shared" ref="ED4:ED26" si="41">IF(SUM(DP4:DQ4,DS4)-DR4&gt;0,SUM(DP4:DQ4,DS4)-DR4,"")</f>
        <v/>
      </c>
      <c r="EE4" s="79" t="str">
        <f t="shared" ref="EE4:EE26" si="42">IF(SUM(DI4,DM4,DQ4)&gt;0,SUM(DI4,DM4,DQ4),"")</f>
        <v/>
      </c>
      <c r="EF4" s="79" t="str">
        <f t="shared" ref="EF4:EF26" si="43">IF(SUM(EC4,ED4)&gt;0,SUM(EC4,ED4),"")</f>
        <v/>
      </c>
      <c r="EG4" s="79" t="str">
        <f t="shared" ref="EG4:EG26" si="44">IF(SUM(DU4,DY4)&gt;0,SUM(DU4,DY4),"")</f>
        <v/>
      </c>
      <c r="EH4" s="79" t="str">
        <f t="shared" ref="EH4:EH26" si="45">IF(SUM(DT4:DU4,DW4:DY4,EA4)-SUM(DV4,DZ4)&gt;0,SUM(DT4:DU4,DW4:DY4,EA4)-SUM(DV4,DZ4),"")</f>
        <v/>
      </c>
      <c r="EI4" s="79" t="str">
        <f t="shared" ref="EI4:EI26" si="46">IF(SUM(EC4,EH4)&gt;0,SUM(EC4,EH4),"")</f>
        <v/>
      </c>
      <c r="EJ4" s="26">
        <v>19.100000000000001</v>
      </c>
      <c r="EK4" s="26">
        <v>8.4</v>
      </c>
      <c r="EL4" s="26">
        <v>0.6</v>
      </c>
      <c r="EM4" s="26">
        <v>0</v>
      </c>
      <c r="EN4" s="26">
        <v>18.8</v>
      </c>
      <c r="EO4" s="26">
        <v>10</v>
      </c>
      <c r="EP4" s="26">
        <v>0.2</v>
      </c>
      <c r="EQ4" s="26">
        <v>0.6</v>
      </c>
      <c r="ER4" s="26"/>
      <c r="ES4" s="26"/>
      <c r="ET4" s="26"/>
      <c r="EU4" s="26"/>
      <c r="EV4" s="26">
        <v>19.2</v>
      </c>
      <c r="EW4" s="26">
        <v>9.1999999999999993</v>
      </c>
      <c r="EX4" s="26">
        <v>0</v>
      </c>
      <c r="EY4" s="26">
        <v>0.3</v>
      </c>
      <c r="EZ4" s="26">
        <v>19</v>
      </c>
      <c r="FA4" s="26">
        <v>9.1999999999999993</v>
      </c>
      <c r="FB4" s="26">
        <v>0.6</v>
      </c>
      <c r="FC4" s="26">
        <v>0.3</v>
      </c>
      <c r="FD4" s="20">
        <f t="shared" ref="FD4:FD26" si="47">IF(SUM(EK4,EO4)&gt;0,SUM(EK4,EO4),"")</f>
        <v>18.399999999999999</v>
      </c>
      <c r="FE4" s="20">
        <f t="shared" ref="FE4:FE26" si="48">IF(SUM(EJ4:EK4,EM4:EO4,EQ4)-EL4-EP4&gt;0,SUM(EJ4:EK4,EM4:EO4,EQ4)-EL4-EP4,"")</f>
        <v>56.099999999999994</v>
      </c>
      <c r="FF4" s="20" t="str">
        <f t="shared" ref="FF4:FF26" si="49">IF(SUM(ER4:ES4,EU4)-ET4&gt;0,SUM(ER4:ES4,EU4)-ET4,"")</f>
        <v/>
      </c>
      <c r="FG4" s="20">
        <f t="shared" ref="FG4:FG26" si="50">IF(SUM(EK4,EO4,ES4)&gt;0,SUM(EK4,EO4,ES4),"")</f>
        <v>18.399999999999999</v>
      </c>
      <c r="FH4" s="20">
        <f t="shared" ref="FH4:FH26" si="51">IF(SUM(FE4,FF4)&gt;0,SUM(FE4,FF4),"")</f>
        <v>56.099999999999994</v>
      </c>
      <c r="FI4" s="20">
        <f t="shared" ref="FI4:FI26" si="52">IF(SUM(EW4,FA4)&gt;0,SUM(EW4,FA4),"")</f>
        <v>18.399999999999999</v>
      </c>
      <c r="FJ4" s="20">
        <f t="shared" ref="FJ4:FJ26" si="53">IF(SUM(EV4:EW4,EY4:FA4,FC4)-SUM(EX4,FB4)&gt;0,SUM(EV4:EW4,EY4:FA4,FC4)-SUM(EX4,FB4),"")</f>
        <v>56.6</v>
      </c>
      <c r="FK4" s="20">
        <f t="shared" ref="FK4:FK26" si="54">IF(SUM(FE4,FJ4)&gt;0,SUM(FE4,FJ4),"")</f>
        <v>112.69999999999999</v>
      </c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79" t="str">
        <f t="shared" ref="GF4:GF26" si="55">IF(SUM(FM4,FQ4)&gt;0,SUM(FM4,FQ4),"")</f>
        <v/>
      </c>
      <c r="GG4" s="79" t="str">
        <f t="shared" ref="GG4:GG26" si="56">IF(SUM(FL4:FM4,FO4:FQ4,FS4)-FN4-FR4&gt;0,SUM(FL4:FM4,FO4:FQ4,FS4)-FN4-FR4,"")</f>
        <v/>
      </c>
      <c r="GH4" s="79" t="str">
        <f t="shared" ref="GH4:GH26" si="57">IF(SUM(FT4:FU4,FW4)-FV4&gt;0,SUM(FT4:FU4,FW4)-FV4,"")</f>
        <v/>
      </c>
      <c r="GI4" s="79" t="str">
        <f t="shared" ref="GI4:GI26" si="58">IF(SUM(FM4,FQ4,FU4)&gt;0,SUM(FM4,FQ4,FU4),"")</f>
        <v/>
      </c>
      <c r="GJ4" s="79" t="str">
        <f t="shared" ref="GJ4:GJ26" si="59">IF(SUM(GG4,GH4)&gt;0,SUM(GG4,GH4),"")</f>
        <v/>
      </c>
      <c r="GK4" s="79" t="str">
        <f t="shared" ref="GK4:GK26" si="60">IF(SUM(FY4,GC4)&gt;0,SUM(FY4,GC4),"")</f>
        <v/>
      </c>
      <c r="GL4" s="79" t="str">
        <f t="shared" ref="GL4:GL26" si="61">IF(SUM(FX4:FY4,GA4:GC4,GE4)-SUM(FZ4,GD4)&gt;0,SUM(FX4:FY4,GA4:GC4,GE4)-SUM(FZ4,GD4),"")</f>
        <v/>
      </c>
      <c r="GM4" s="79" t="str">
        <f t="shared" ref="GM4:GM26" si="62">IF(SUM(GG4,GL4)&gt;0,SUM(GG4,GL4),"")</f>
        <v/>
      </c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0" t="str">
        <f t="shared" ref="HH4:HH26" si="63">IF(SUM(GO4,GS4)&gt;0,SUM(GO4,GS4),"")</f>
        <v/>
      </c>
      <c r="HI4" s="20" t="str">
        <f t="shared" ref="HI4:HI26" si="64">IF(SUM(GN4:GO4,GQ4:GS4,GU4)-GP4-GT4&gt;0,SUM(GN4:GO4,GQ4:GS4,GU4)-GP4-GT4,"")</f>
        <v/>
      </c>
      <c r="HJ4" s="20" t="str">
        <f t="shared" ref="HJ4:HJ26" si="65">IF(SUM(GV4:GW4,GY4)-GX4&gt;0,SUM(GV4:GW4,GY4)-GX4,"")</f>
        <v/>
      </c>
      <c r="HK4" s="20" t="str">
        <f t="shared" ref="HK4:HK26" si="66">IF(SUM(GO4,GS4,GW4)&gt;0,SUM(GO4,GS4,GW4),"")</f>
        <v/>
      </c>
      <c r="HL4" s="20" t="str">
        <f t="shared" ref="HL4:HL26" si="67">IF(SUM(HI4,HJ4)&gt;0,SUM(HI4,HJ4),"")</f>
        <v/>
      </c>
      <c r="HM4" s="20" t="str">
        <f t="shared" ref="HM4:HM26" si="68">IF(SUM(HA4,HE4)&gt;0,SUM(HA4,HE4),"")</f>
        <v/>
      </c>
      <c r="HN4" s="20" t="str">
        <f t="shared" ref="HN4:HN26" si="69">IF(SUM(GZ4:HA4,HC4:HE4,HG4)-SUM(HB4,HF4)&gt;0,SUM(GZ4:HA4,HC4:HE4,HG4)-SUM(HB4,HF4),"")</f>
        <v/>
      </c>
      <c r="HO4" s="20" t="str">
        <f t="shared" ref="HO4:HO26" si="70">IF(SUM(HI4,HN4)&gt;0,SUM(HI4,HN4),"")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 t="shared" ref="IJ4:IJ26" si="71">IF(SUM(HQ4,HU4)&gt;0,SUM(HQ4,HU4),"")</f>
        <v/>
      </c>
      <c r="IK4" s="79" t="str">
        <f t="shared" ref="IK4:IK26" si="72">IF(SUM(HP4:HQ4,HS4:HU4,HW4)-HR4-HV4&gt;0,SUM(HP4:HQ4,HS4:HU4,HW4)-HR4-HV4,"")</f>
        <v/>
      </c>
      <c r="IL4" s="79" t="str">
        <f t="shared" ref="IL4:IL26" si="73">IF(SUM(HX4:HY4,IA4)-HZ4&gt;0,SUM(HX4:HY4,IA4)-HZ4,"")</f>
        <v/>
      </c>
      <c r="IM4" s="79" t="str">
        <f t="shared" ref="IM4:IM26" si="74">IF(SUM(HQ4,HU4,HY4)&gt;0,SUM(HQ4,HU4,HY4),"")</f>
        <v/>
      </c>
      <c r="IN4" s="79" t="str">
        <f t="shared" ref="IN4:IN26" si="75">IF(SUM(IK4,IL4)&gt;0,SUM(IK4,IL4),"")</f>
        <v/>
      </c>
      <c r="IO4" s="79" t="str">
        <f t="shared" ref="IO4:IO26" si="76">IF(SUM(IC4,IG4)&gt;0,SUM(IC4,IG4),"")</f>
        <v/>
      </c>
      <c r="IP4" s="79" t="str">
        <f t="shared" ref="IP4:IP26" si="77">IF(SUM(IB4:IC4,IE4:IG4,II4)-SUM(ID4,IH4)&gt;0,SUM(IB4:IC4,IE4:IG4,II4)-SUM(ID4,IH4),"")</f>
        <v/>
      </c>
      <c r="IQ4" s="79" t="str">
        <f t="shared" ref="IQ4:IQ26" si="78"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 t="shared" ref="JL4:JL26" si="79">IF(SUM(IS4,IW4)&gt;0,SUM(IS4,IW4),"")</f>
        <v/>
      </c>
      <c r="JM4" s="20" t="str">
        <f t="shared" ref="JM4:JM26" si="80">IF(SUM(IR4:IS4,IU4:IW4,IY4)-IT4-IX4&gt;0,SUM(IR4:IS4,IU4:IW4,IY4)-IT4-IX4,"")</f>
        <v/>
      </c>
      <c r="JN4" s="20" t="str">
        <f t="shared" ref="JN4:JN26" si="81">IF(SUM(IZ4:JA4,JC4)-JB4&gt;0,SUM(IZ4:JA4,JC4)-JB4,"")</f>
        <v/>
      </c>
      <c r="JO4" s="20" t="str">
        <f t="shared" ref="JO4:JO26" si="82">IF(SUM(IS4,IW4,JA4)&gt;0,SUM(IS4,IW4,JA4),"")</f>
        <v/>
      </c>
      <c r="JP4" s="20" t="str">
        <f t="shared" ref="JP4:JP26" si="83">IF(SUM(JM4,JN4)&gt;0,SUM(JM4,JN4),"")</f>
        <v/>
      </c>
      <c r="JQ4" s="20" t="str">
        <f t="shared" ref="JQ4:JQ26" si="84">IF(SUM(JE4,JI4)&gt;0,SUM(JE4,JI4),"")</f>
        <v/>
      </c>
      <c r="JR4" s="20" t="str">
        <f t="shared" ref="JR4:JR26" si="85">IF(SUM(JD4:JE4,JG4:JI4,JK4)-SUM(JF4,JJ4)&gt;0,SUM(JD4:JE4,JG4:JI4,JK4)-SUM(JF4,JJ4),"")</f>
        <v/>
      </c>
      <c r="JS4" s="20" t="str">
        <f t="shared" ref="JS4:JS26" si="86"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 t="shared" ref="KN4:KN26" si="87">IF(SUM(JU4,JY4)&gt;0,SUM(JU4,JY4),"")</f>
        <v/>
      </c>
      <c r="KO4" s="79" t="str">
        <f t="shared" ref="KO4:KO26" si="88">IF(SUM(JT4:JU4,JW4:JY4,KA4)-JV4-JZ4&gt;0,SUM(JT4:JU4,JW4:JY4,KA4)-JV4-JZ4,"")</f>
        <v/>
      </c>
      <c r="KP4" s="79" t="str">
        <f t="shared" ref="KP4:KP26" si="89">IF(SUM(KB4:KC4,KE4)-KD4&gt;0,SUM(KB4:KC4,KE4)-KD4,"")</f>
        <v/>
      </c>
      <c r="KQ4" s="79" t="str">
        <f t="shared" ref="KQ4:KQ26" si="90">IF(SUM(JU4,JY4,KC4)&gt;0,SUM(JU4,JY4,KC4),"")</f>
        <v/>
      </c>
      <c r="KR4" s="79" t="str">
        <f t="shared" ref="KR4:KR26" si="91">IF(SUM(KO4,KP4)&gt;0,SUM(KO4,KP4),"")</f>
        <v/>
      </c>
      <c r="KS4" s="79" t="str">
        <f t="shared" ref="KS4:KS26" si="92">IF(SUM(KG4,KK4)&gt;0,SUM(KG4,KK4),"")</f>
        <v/>
      </c>
      <c r="KT4" s="79" t="str">
        <f t="shared" ref="KT4:KT26" si="93">IF(SUM(KF4:KG4,KI4:KK4,KM4)-SUM(KH4,KL4)&gt;0,SUM(KF4:KG4,KI4:KK4,KM4)-SUM(KH4,KL4),"")</f>
        <v/>
      </c>
      <c r="KU4" s="79" t="str">
        <f t="shared" ref="KU4:KU26" si="94"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 t="shared" ref="LP4:LP26" si="95">IF(SUM(KW4,LA4)&gt;0,SUM(KW4,LA4),"")</f>
        <v/>
      </c>
      <c r="LQ4" s="20" t="str">
        <f t="shared" ref="LQ4:LQ26" si="96">IF(SUM(KV4:KW4,KY4:LA4,LC4)-KX4-LB4&gt;0,SUM(KV4:KW4,KY4:LA4,LC4)-KX4-LB4,"")</f>
        <v/>
      </c>
      <c r="LR4" s="20" t="str">
        <f t="shared" ref="LR4:LR26" si="97">IF(SUM(LD4:LE4,LG4)-LF4&gt;0,SUM(LD4:LE4,LG4)-LF4,"")</f>
        <v/>
      </c>
      <c r="LS4" s="20" t="str">
        <f t="shared" ref="LS4:LS26" si="98">IF(SUM(KW4,LA4,LE4)&gt;0,SUM(KW4,LA4,LE4),"")</f>
        <v/>
      </c>
      <c r="LT4" s="20" t="str">
        <f t="shared" ref="LT4:LT26" si="99">IF(SUM(LQ4,LR4)&gt;0,SUM(LQ4,LR4),"")</f>
        <v/>
      </c>
      <c r="LU4" s="20" t="str">
        <f t="shared" ref="LU4:LU26" si="100">IF(SUM(LI4,LM4)&gt;0,SUM(LI4,LM4),"")</f>
        <v/>
      </c>
      <c r="LV4" s="20" t="str">
        <f t="shared" ref="LV4:LV26" si="101">IF(SUM(LH4:LI4,LK4:LM4,LO4)-SUM(LJ4,LN4)&gt;0,SUM(LH4:LI4,LK4:LM4,LO4)-SUM(LJ4,LN4),"")</f>
        <v/>
      </c>
      <c r="LW4" s="20" t="str">
        <f t="shared" ref="LW4:LW26" si="102"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 t="shared" ref="MR4:MR26" si="103">IF(SUM(LY4,MC4)&gt;0,SUM(LY4,MC4),"")</f>
        <v/>
      </c>
      <c r="MS4" s="79" t="str">
        <f t="shared" ref="MS4:MS26" si="104">IF(SUM(LX4:LY4,MA4:MC4,ME4)-LZ4-MD4&gt;0,SUM(LX4:LY4,MA4:MC4,ME4)-LZ4-MD4,"")</f>
        <v/>
      </c>
      <c r="MT4" s="79" t="str">
        <f t="shared" ref="MT4:MT26" si="105">IF(SUM(MF4:MG4,MI4)-MH4&gt;0,SUM(MF4:MG4,MI4)-MH4,"")</f>
        <v/>
      </c>
      <c r="MU4" s="79" t="str">
        <f t="shared" ref="MU4:MU26" si="106">IF(SUM(LY4,MC4,MG4)&gt;0,SUM(LY4,MC4,MG4),"")</f>
        <v/>
      </c>
      <c r="MV4" s="79" t="str">
        <f t="shared" ref="MV4:MV26" si="107">IF(SUM(MS4,MT4)&gt;0,SUM(MS4,MT4),"")</f>
        <v/>
      </c>
      <c r="MW4" s="79" t="str">
        <f t="shared" ref="MW4:MW26" si="108">IF(SUM(MK4,MO4)&gt;0,SUM(MK4,MO4),"")</f>
        <v/>
      </c>
      <c r="MX4" s="79" t="str">
        <f t="shared" ref="MX4:MX26" si="109">IF(SUM(MJ4:MK4,MM4:MO4,MQ4)-SUM(ML4,MP4)&gt;0,SUM(MJ4:MK4,MM4:MO4,MQ4)-SUM(ML4,MP4),"")</f>
        <v/>
      </c>
      <c r="MY4" s="79" t="str">
        <f t="shared" ref="MY4:MY26" si="110"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 t="shared" ref="NT4:NT26" si="111">IF(SUM(NA4,NE4)&gt;0,SUM(NA4,NE4),"")</f>
        <v/>
      </c>
      <c r="NU4" s="20" t="str">
        <f t="shared" ref="NU4:NU26" si="112">IF(SUM(MZ4:NA4,NC4:NE4,NG4)-NB4-NF4&gt;0,SUM(MZ4:NA4,NC4:NE4,NG4)-NB4-NF4,"")</f>
        <v/>
      </c>
      <c r="NV4" s="20" t="str">
        <f t="shared" ref="NV4:NV26" si="113">IF(SUM(NH4:NI4,NK4)-NJ4&gt;0,SUM(NH4:NI4,NK4)-NJ4,"")</f>
        <v/>
      </c>
      <c r="NW4" s="20" t="str">
        <f t="shared" ref="NW4:NW26" si="114">IF(SUM(NA4,NE4,NI4)&gt;0,SUM(NA4,NE4,NI4),"")</f>
        <v/>
      </c>
      <c r="NX4" s="20" t="str">
        <f t="shared" ref="NX4:NX26" si="115">IF(SUM(NU4,NV4)&gt;0,SUM(NU4,NV4),"")</f>
        <v/>
      </c>
      <c r="NY4" s="20" t="str">
        <f t="shared" ref="NY4:NY26" si="116">IF(SUM(NM4,NQ4)&gt;0,SUM(NM4,NQ4),"")</f>
        <v/>
      </c>
      <c r="NZ4" s="20" t="str">
        <f t="shared" ref="NZ4:NZ26" si="117">IF(SUM(NL4:NM4,NO4:NQ4,NS4)-SUM(NN4,NR4)&gt;0,SUM(NL4:NM4,NO4:NQ4,NS4)-SUM(NN4,NR4),"")</f>
        <v/>
      </c>
      <c r="OA4" s="20" t="str">
        <f t="shared" ref="OA4:OA26" si="118"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 t="shared" ref="OV4:OV26" si="119">IF(SUM(OC4,OG4)&gt;0,SUM(OC4,OG4),"")</f>
        <v/>
      </c>
      <c r="OW4" s="79" t="str">
        <f t="shared" ref="OW4:OW26" si="120">IF(SUM(OB4:OC4,OE4:OG4,OI4)-OD4-OH4&gt;0,SUM(OB4:OC4,OE4:OG4,OI4)-OD4-OH4,"")</f>
        <v/>
      </c>
      <c r="OX4" s="79" t="str">
        <f t="shared" ref="OX4:OX26" si="121">IF(SUM(OJ4:OK4,OM4)-OL4&gt;0,SUM(OJ4:OK4,OM4)-OL4,"")</f>
        <v/>
      </c>
      <c r="OY4" s="79" t="str">
        <f t="shared" ref="OY4:OY26" si="122">IF(SUM(OC4,OG4,OK4)&gt;0,SUM(OC4,OG4,OK4),"")</f>
        <v/>
      </c>
      <c r="OZ4" s="79" t="str">
        <f t="shared" ref="OZ4:OZ26" si="123">IF(SUM(OW4,OX4)&gt;0,SUM(OW4,OX4),"")</f>
        <v/>
      </c>
      <c r="PA4" s="79" t="str">
        <f t="shared" ref="PA4:PA26" si="124">IF(SUM(OO4,OS4)&gt;0,SUM(OO4,OS4),"")</f>
        <v/>
      </c>
      <c r="PB4" s="79" t="str">
        <f t="shared" ref="PB4:PB26" si="125">IF(SUM(ON4:OO4,OQ4:OS4,OU4)-SUM(OP4,OT4)&gt;0,SUM(ON4:OO4,OQ4:OS4,OU4)-SUM(OP4,OT4),"")</f>
        <v/>
      </c>
      <c r="PC4" s="79" t="str">
        <f t="shared" ref="PC4:PC26" si="126"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 t="shared" ref="PX4:PX26" si="127">IF(SUM(PE4,PI4)&gt;0,SUM(PE4,PI4),"")</f>
        <v/>
      </c>
      <c r="PY4" s="20" t="str">
        <f t="shared" ref="PY4:PY26" si="128">IF(SUM(PD4:PE4,PG4:PI4,PK4)-PF4-PJ4&gt;0,SUM(PD4:PE4,PG4:PI4,PK4)-PF4-PJ4,"")</f>
        <v/>
      </c>
      <c r="PZ4" s="20" t="str">
        <f t="shared" ref="PZ4:PZ26" si="129">IF(SUM(PL4:PM4,PO4)-PN4&gt;0,SUM(PL4:PM4,PO4)-PN4,"")</f>
        <v/>
      </c>
      <c r="QA4" s="20" t="str">
        <f t="shared" ref="QA4:QA26" si="130">IF(SUM(PE4,PI4,PM4)&gt;0,SUM(PE4,PI4,PM4),"")</f>
        <v/>
      </c>
      <c r="QB4" s="20" t="str">
        <f t="shared" ref="QB4:QB26" si="131">IF(SUM(PY4,PZ4)&gt;0,SUM(PY4,PZ4),"")</f>
        <v/>
      </c>
      <c r="QC4" s="20" t="str">
        <f t="shared" ref="QC4:QC26" si="132">IF(SUM(PQ4,PU4)&gt;0,SUM(PQ4,PU4),"")</f>
        <v/>
      </c>
      <c r="QD4" s="20" t="str">
        <f t="shared" ref="QD4:QD26" si="133">IF(SUM(PP4:PQ4,PS4:PU4,PW4)-SUM(PR4,PV4)&gt;0,SUM(PP4:PQ4,PS4:PU4,PW4)-SUM(PR4,PV4),"")</f>
        <v/>
      </c>
      <c r="QE4" s="20" t="str">
        <f t="shared" ref="QE4:QE26" si="134">IF(SUM(PY4,QD4)&gt;0,SUM(PY4,QD4),"")</f>
        <v/>
      </c>
      <c r="QF4" s="38">
        <f t="shared" ref="QF4:QF26" si="135">IF($CV4="P",CB4,(CB4+AY4)/2)</f>
        <v>9.4000500000000002</v>
      </c>
      <c r="QG4" s="38">
        <f t="shared" ref="QG4:QG26" si="136">IF($CV4="P",CC4,(CC4+AZ4)/2)</f>
        <v>4.6000499999999995</v>
      </c>
      <c r="QH4" s="38">
        <f t="shared" ref="QH4:QH26" si="137">IF($CV4="P",CD4,(CD4+BA4)/2)</f>
        <v>0.3</v>
      </c>
      <c r="QI4" s="38">
        <f t="shared" ref="QI4:QI26" si="138">IF($CV4="P",CE4,(CE4+BB4)/2)</f>
        <v>0.15</v>
      </c>
      <c r="QJ4" s="38">
        <f t="shared" ref="QJ4:QJ26" si="139">IF($CV4="P",CF4,(CF4+BC4)/2)</f>
        <v>9.5</v>
      </c>
      <c r="QK4" s="38">
        <f t="shared" ref="QK4:QK26" si="140">IF($CV4="P",CG4,(CG4+BD4)/2)</f>
        <v>4.5999999999999996</v>
      </c>
      <c r="QL4" s="38">
        <f t="shared" ref="QL4:QL26" si="141">IF($CV4="P",CH4,(CH4+BE4)/2)</f>
        <v>0.1</v>
      </c>
      <c r="QM4" s="38">
        <f t="shared" ref="QM4:QM26" si="142">IF($CV4="P",CI4,(CI4+BF4)/2)</f>
        <v>0.15</v>
      </c>
      <c r="QN4" s="38">
        <f t="shared" ref="QN4:QN26" si="143">IF($CV4="P",CJ4,(CJ4+BG4)/2)</f>
        <v>8.9</v>
      </c>
      <c r="QO4" s="38">
        <f t="shared" ref="QO4:QO26" si="144">IF($CV4="P",CK4,(CK4+BH4)/2)</f>
        <v>1.4</v>
      </c>
      <c r="QP4" s="38">
        <f t="shared" ref="QP4:QP26" si="145">IF($CV4="P",CL4,(CL4+BI4)/2)</f>
        <v>0</v>
      </c>
      <c r="QQ4" s="38">
        <f t="shared" ref="QQ4:QQ26" si="146">IF($CV4="P",CM4,(CM4+BJ4)/2)</f>
        <v>0</v>
      </c>
      <c r="QR4" s="38">
        <f t="shared" ref="QR4:QR26" si="147">IF($CV4="P",CN4,(CN4+BK4)/2)</f>
        <v>9.5</v>
      </c>
      <c r="QS4" s="38">
        <f t="shared" ref="QS4:QS26" si="148">IF($CV4="P",CO4,(CO4+BL4)/2)</f>
        <v>4.25</v>
      </c>
      <c r="QT4" s="38">
        <f t="shared" ref="QT4:QT26" si="149">IF($CV4="P",CP4,(CP4+BM4)/2)</f>
        <v>0</v>
      </c>
      <c r="QU4" s="38">
        <f t="shared" ref="QU4:QU26" si="150">IF($CV4="P",CQ4,(CQ4+BN4)/2)</f>
        <v>0.15</v>
      </c>
      <c r="QV4" s="38">
        <f t="shared" ref="QV4:QV26" si="151">IF($CV4="P",CR4,(CR4+BO4)/2)</f>
        <v>9.35</v>
      </c>
      <c r="QW4" s="38">
        <f t="shared" ref="QW4:QW26" si="152">IF($CV4="P",CS4,(CS4+BP4)/2)</f>
        <v>4.2</v>
      </c>
      <c r="QX4" s="38">
        <f t="shared" ref="QX4:QX26" si="153">IF($CV4="P",CT4,(CT4+BQ4)/2)</f>
        <v>0.3</v>
      </c>
      <c r="QY4" s="38">
        <f t="shared" ref="QY4:QY26" si="154">IF($CV4="P",CU4,(CU4+BR4)/2)</f>
        <v>0.15</v>
      </c>
      <c r="QZ4" s="45" t="s">
        <v>46</v>
      </c>
      <c r="RA4" s="79">
        <f t="shared" ref="RA4:RA26" si="155">IF(SUM(QG4,QK4)&gt;0,SUM(QG4,QK4),"")</f>
        <v>9.2000499999999992</v>
      </c>
      <c r="RB4" s="79">
        <f t="shared" ref="RB4:RB26" si="156">IF(SUM(QF4:QG4,QI4:QK4,QM4)-QH4-QL4&gt;0,SUM(QF4:QG4,QI4:QK4,QM4)-QH4-QL4,"")</f>
        <v>28.0001</v>
      </c>
      <c r="RC4" s="79">
        <f t="shared" ref="RC4:RC26" si="157">IF(SUM(QN4:QO4,QQ4)-QP4&gt;0,SUM(QN4:QO4,QQ4)-QP4,"")</f>
        <v>10.3</v>
      </c>
      <c r="RD4" s="79">
        <f t="shared" ref="RD4:RD26" si="158">IF(SUM(QG4,QK4,QO4)&gt;0,SUM(QG4,QK4,QO4),"")</f>
        <v>10.60005</v>
      </c>
      <c r="RE4" s="79">
        <f t="shared" ref="RE4:RE26" si="159">IF(SUM(RB4,RC4)&gt;0,SUM(RB4,RC4),"")</f>
        <v>38.3001</v>
      </c>
      <c r="RF4" s="79">
        <f t="shared" ref="RF4:RF26" si="160">IF(SUM(QS4,QW4)&gt;0,SUM(QS4,QW4),"")</f>
        <v>8.4499999999999993</v>
      </c>
      <c r="RG4" s="79">
        <f t="shared" ref="RG4:RG26" si="161">IF(SUM(QR4:QS4,QU4:QW4,QY4)-SUM(QT4,QX4)&gt;0,SUM(QR4:QS4,QU4:QW4,QY4)-SUM(QT4,QX4),"")</f>
        <v>27.299999999999997</v>
      </c>
      <c r="RH4" s="79">
        <f t="shared" ref="RH4:RH26" si="162">IF(SUM(RB4,RG4)&gt;0,SUM(RB4,RG4),"")</f>
        <v>55.3001</v>
      </c>
    </row>
    <row r="5" spans="1:476" x14ac:dyDescent="0.2">
      <c r="A5" s="5">
        <f t="shared" ref="A5:A26" si="163">IF(AND(F5="P",G5="P"),SUMPRODUCT((F$4:F$27="P")*(G$4:G$27="P")*(E$4:E$27&gt;E5))+1,IF(G5="P",SUMPRODUCT((F$4:F$27="")*(G$4:G$27="P")*(E$4:E$27&gt;E5))+1+SUMPRODUCT((F$4:F$27="P")*(G$4:G$27="P")),""))</f>
        <v>2</v>
      </c>
      <c r="B5" s="78" t="s">
        <v>68</v>
      </c>
      <c r="C5" s="5" t="s">
        <v>5</v>
      </c>
      <c r="D5" s="5">
        <v>2003</v>
      </c>
      <c r="E5" s="15">
        <f t="shared" si="0"/>
        <v>181.30000790402534</v>
      </c>
      <c r="F5" s="3" t="str">
        <f t="shared" si="1"/>
        <v>P</v>
      </c>
      <c r="G5" s="3" t="str">
        <f t="shared" si="2"/>
        <v>P</v>
      </c>
      <c r="H5" s="67" t="str">
        <f t="shared" si="3"/>
        <v>National Team</v>
      </c>
      <c r="I5" s="14">
        <f>IF(COUNT(AR5,BU5,CX5)&gt;0,LARGE((AR5,BU5,CX5),1),0)</f>
        <v>53.239999999999995</v>
      </c>
      <c r="J5" s="14" t="str">
        <f t="shared" si="4"/>
        <v>2022 Elite Canada</v>
      </c>
      <c r="K5" s="14">
        <f>IF(COUNT(AR5,BU5,CX5)&gt;1,LARGE((AR5,BU5,CX5),2),0)</f>
        <v>2.0000000000000001E-4</v>
      </c>
      <c r="L5" s="14" t="str">
        <f t="shared" si="5"/>
        <v>2021 Canadian Championships</v>
      </c>
      <c r="M5" s="14">
        <f>IF(COUNT(AS5,BV5,CY5)&gt;0,LARGE((AS5,BV5,CY5),1),0)</f>
        <v>25.8</v>
      </c>
      <c r="N5" s="14" t="str">
        <f t="shared" si="6"/>
        <v>2022 Elite Canada</v>
      </c>
      <c r="O5" s="14">
        <f>IF(COUNT(AS5,BV5,CY5)&gt;1,LARGE((AS5,BV5,CY5),2),0)</f>
        <v>0</v>
      </c>
      <c r="P5" s="14" t="str">
        <f t="shared" si="7"/>
        <v/>
      </c>
      <c r="Q5" s="14">
        <f t="shared" si="8"/>
        <v>51.999999999999993</v>
      </c>
      <c r="R5" s="14" t="str">
        <f t="shared" si="9"/>
        <v>2022 Elite Canada</v>
      </c>
      <c r="S5" s="14">
        <f t="shared" si="10"/>
        <v>50.259799999999998</v>
      </c>
      <c r="T5" s="20" t="str">
        <f t="shared" si="11"/>
        <v>(Q1)</v>
      </c>
      <c r="U5" s="14" t="str">
        <f t="shared" si="12"/>
        <v>2022 World Games Technical Trial #1 (Mar 12)</v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 t="shared" si="13"/>
        <v>1E-4</v>
      </c>
      <c r="AR5" s="79">
        <f t="shared" si="14"/>
        <v>2.0000000000000001E-4</v>
      </c>
      <c r="AS5" s="79" t="str">
        <f t="shared" si="15"/>
        <v/>
      </c>
      <c r="AT5" s="79">
        <f t="shared" si="16"/>
        <v>1E-4</v>
      </c>
      <c r="AU5" s="79">
        <f t="shared" si="17"/>
        <v>2.0000000000000001E-4</v>
      </c>
      <c r="AV5" s="79" t="str">
        <f t="shared" si="18"/>
        <v/>
      </c>
      <c r="AW5" s="79" t="str">
        <f t="shared" si="19"/>
        <v/>
      </c>
      <c r="AX5" s="79">
        <f t="shared" si="20"/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 t="shared" si="21"/>
        <v>1E-4</v>
      </c>
      <c r="BU5" s="20">
        <f t="shared" si="22"/>
        <v>2.0000000000000001E-4</v>
      </c>
      <c r="BV5" s="20" t="str">
        <f t="shared" si="23"/>
        <v/>
      </c>
      <c r="BW5" s="20">
        <f t="shared" si="24"/>
        <v>1E-4</v>
      </c>
      <c r="BX5" s="20">
        <f t="shared" si="25"/>
        <v>2.0000000000000001E-4</v>
      </c>
      <c r="BY5" s="20" t="str">
        <f t="shared" si="26"/>
        <v/>
      </c>
      <c r="BZ5" s="20" t="str">
        <f t="shared" si="27"/>
        <v/>
      </c>
      <c r="CA5" s="20">
        <f t="shared" si="28"/>
        <v>2.0000000000000001E-4</v>
      </c>
      <c r="CB5" s="27">
        <v>18.34</v>
      </c>
      <c r="CC5" s="27">
        <v>7.2</v>
      </c>
      <c r="CD5" s="27">
        <v>0</v>
      </c>
      <c r="CE5" s="27">
        <v>0</v>
      </c>
      <c r="CF5" s="27">
        <v>18.600000000000001</v>
      </c>
      <c r="CG5" s="27">
        <v>8.8000000000000007</v>
      </c>
      <c r="CH5" s="27">
        <v>0</v>
      </c>
      <c r="CI5" s="27">
        <v>0.3</v>
      </c>
      <c r="CJ5" s="27">
        <v>18.399999999999999</v>
      </c>
      <c r="CK5" s="27">
        <v>7.1</v>
      </c>
      <c r="CL5" s="27">
        <v>0</v>
      </c>
      <c r="CM5" s="27">
        <v>0.3</v>
      </c>
      <c r="CN5" s="27">
        <v>18.3</v>
      </c>
      <c r="CO5" s="27">
        <v>6.4</v>
      </c>
      <c r="CP5" s="27">
        <v>0.6</v>
      </c>
      <c r="CQ5" s="27">
        <v>0</v>
      </c>
      <c r="CR5" s="27">
        <v>18.8</v>
      </c>
      <c r="CS5" s="27">
        <v>8.8000000000000007</v>
      </c>
      <c r="CT5" s="27">
        <v>0</v>
      </c>
      <c r="CU5" s="27">
        <v>0.3</v>
      </c>
      <c r="CV5" s="45"/>
      <c r="CW5" s="79">
        <f t="shared" si="29"/>
        <v>16</v>
      </c>
      <c r="CX5" s="79">
        <f t="shared" si="30"/>
        <v>53.239999999999995</v>
      </c>
      <c r="CY5" s="79">
        <f t="shared" si="31"/>
        <v>25.8</v>
      </c>
      <c r="CZ5" s="79">
        <f t="shared" si="32"/>
        <v>23.1</v>
      </c>
      <c r="DA5" s="79">
        <f t="shared" si="33"/>
        <v>79.039999999999992</v>
      </c>
      <c r="DB5" s="79">
        <f t="shared" si="34"/>
        <v>15.200000000000001</v>
      </c>
      <c r="DC5" s="79">
        <f t="shared" si="35"/>
        <v>51.999999999999993</v>
      </c>
      <c r="DD5" s="79">
        <f t="shared" si="36"/>
        <v>105.23999999999998</v>
      </c>
      <c r="DE5" s="80">
        <f t="shared" si="37"/>
        <v>50.259799999999998</v>
      </c>
      <c r="DF5" s="80"/>
      <c r="DG5" s="80">
        <f t="shared" si="38"/>
        <v>3</v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 t="shared" si="39"/>
        <v/>
      </c>
      <c r="EC5" s="79" t="str">
        <f t="shared" si="40"/>
        <v/>
      </c>
      <c r="ED5" s="79" t="str">
        <f t="shared" si="41"/>
        <v/>
      </c>
      <c r="EE5" s="79" t="str">
        <f t="shared" si="42"/>
        <v/>
      </c>
      <c r="EF5" s="79" t="str">
        <f t="shared" si="43"/>
        <v/>
      </c>
      <c r="EG5" s="79" t="str">
        <f t="shared" si="44"/>
        <v/>
      </c>
      <c r="EH5" s="79" t="str">
        <f t="shared" si="45"/>
        <v/>
      </c>
      <c r="EI5" s="79" t="str">
        <f t="shared" si="46"/>
        <v/>
      </c>
      <c r="EJ5" s="26">
        <v>18.96</v>
      </c>
      <c r="EK5" s="26">
        <v>9.1999999999999993</v>
      </c>
      <c r="EL5" s="26">
        <v>0.6</v>
      </c>
      <c r="EM5" s="26">
        <v>0.3</v>
      </c>
      <c r="EN5" s="26">
        <v>17.3</v>
      </c>
      <c r="EO5" s="26">
        <v>4.8</v>
      </c>
      <c r="EP5" s="26">
        <v>0</v>
      </c>
      <c r="EQ5" s="26">
        <v>0.3</v>
      </c>
      <c r="ER5" s="26"/>
      <c r="ES5" s="26"/>
      <c r="ET5" s="26"/>
      <c r="EU5" s="26"/>
      <c r="EV5" s="26">
        <v>18.899999999999999</v>
      </c>
      <c r="EW5" s="26">
        <v>9.1999999999999993</v>
      </c>
      <c r="EX5" s="26">
        <v>0.6</v>
      </c>
      <c r="EY5" s="26">
        <v>0.3</v>
      </c>
      <c r="EZ5" s="26">
        <v>19.2</v>
      </c>
      <c r="FA5" s="26">
        <v>8</v>
      </c>
      <c r="FB5" s="26">
        <v>0</v>
      </c>
      <c r="FC5" s="26">
        <v>0</v>
      </c>
      <c r="FD5" s="20">
        <f t="shared" si="47"/>
        <v>14</v>
      </c>
      <c r="FE5" s="20">
        <f t="shared" si="48"/>
        <v>50.26</v>
      </c>
      <c r="FF5" s="20" t="str">
        <f t="shared" si="49"/>
        <v/>
      </c>
      <c r="FG5" s="20">
        <f t="shared" si="50"/>
        <v>14</v>
      </c>
      <c r="FH5" s="20">
        <f t="shared" si="51"/>
        <v>50.26</v>
      </c>
      <c r="FI5" s="20">
        <f t="shared" si="52"/>
        <v>17.2</v>
      </c>
      <c r="FJ5" s="20">
        <f t="shared" si="53"/>
        <v>54.999999999999993</v>
      </c>
      <c r="FK5" s="20">
        <f t="shared" si="54"/>
        <v>105.25999999999999</v>
      </c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79" t="str">
        <f t="shared" si="55"/>
        <v/>
      </c>
      <c r="GG5" s="79" t="str">
        <f t="shared" si="56"/>
        <v/>
      </c>
      <c r="GH5" s="79" t="str">
        <f t="shared" si="57"/>
        <v/>
      </c>
      <c r="GI5" s="79" t="str">
        <f t="shared" si="58"/>
        <v/>
      </c>
      <c r="GJ5" s="79" t="str">
        <f t="shared" si="59"/>
        <v/>
      </c>
      <c r="GK5" s="79" t="str">
        <f t="shared" si="60"/>
        <v/>
      </c>
      <c r="GL5" s="79" t="str">
        <f t="shared" si="61"/>
        <v/>
      </c>
      <c r="GM5" s="79" t="str">
        <f t="shared" si="62"/>
        <v/>
      </c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0" t="str">
        <f t="shared" si="63"/>
        <v/>
      </c>
      <c r="HI5" s="20" t="str">
        <f t="shared" si="64"/>
        <v/>
      </c>
      <c r="HJ5" s="20" t="str">
        <f t="shared" si="65"/>
        <v/>
      </c>
      <c r="HK5" s="20" t="str">
        <f t="shared" si="66"/>
        <v/>
      </c>
      <c r="HL5" s="20" t="str">
        <f t="shared" si="67"/>
        <v/>
      </c>
      <c r="HM5" s="20" t="str">
        <f t="shared" si="68"/>
        <v/>
      </c>
      <c r="HN5" s="20" t="str">
        <f t="shared" si="69"/>
        <v/>
      </c>
      <c r="HO5" s="20" t="str">
        <f t="shared" si="70"/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 t="shared" si="71"/>
        <v/>
      </c>
      <c r="IK5" s="79" t="str">
        <f t="shared" si="72"/>
        <v/>
      </c>
      <c r="IL5" s="79" t="str">
        <f t="shared" si="73"/>
        <v/>
      </c>
      <c r="IM5" s="79" t="str">
        <f t="shared" si="74"/>
        <v/>
      </c>
      <c r="IN5" s="79" t="str">
        <f t="shared" si="75"/>
        <v/>
      </c>
      <c r="IO5" s="79" t="str">
        <f t="shared" si="76"/>
        <v/>
      </c>
      <c r="IP5" s="79" t="str">
        <f t="shared" si="77"/>
        <v/>
      </c>
      <c r="IQ5" s="79" t="str">
        <f t="shared" si="78"/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 t="shared" si="79"/>
        <v/>
      </c>
      <c r="JM5" s="20" t="str">
        <f t="shared" si="80"/>
        <v/>
      </c>
      <c r="JN5" s="20" t="str">
        <f t="shared" si="81"/>
        <v/>
      </c>
      <c r="JO5" s="20" t="str">
        <f t="shared" si="82"/>
        <v/>
      </c>
      <c r="JP5" s="20" t="str">
        <f t="shared" si="83"/>
        <v/>
      </c>
      <c r="JQ5" s="20" t="str">
        <f t="shared" si="84"/>
        <v/>
      </c>
      <c r="JR5" s="20" t="str">
        <f t="shared" si="85"/>
        <v/>
      </c>
      <c r="JS5" s="20" t="str">
        <f t="shared" si="86"/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 t="shared" si="87"/>
        <v/>
      </c>
      <c r="KO5" s="79" t="str">
        <f t="shared" si="88"/>
        <v/>
      </c>
      <c r="KP5" s="79" t="str">
        <f t="shared" si="89"/>
        <v/>
      </c>
      <c r="KQ5" s="79" t="str">
        <f t="shared" si="90"/>
        <v/>
      </c>
      <c r="KR5" s="79" t="str">
        <f t="shared" si="91"/>
        <v/>
      </c>
      <c r="KS5" s="79" t="str">
        <f t="shared" si="92"/>
        <v/>
      </c>
      <c r="KT5" s="79" t="str">
        <f t="shared" si="93"/>
        <v/>
      </c>
      <c r="KU5" s="79" t="str">
        <f t="shared" si="94"/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 t="shared" si="95"/>
        <v/>
      </c>
      <c r="LQ5" s="20" t="str">
        <f t="shared" si="96"/>
        <v/>
      </c>
      <c r="LR5" s="20" t="str">
        <f t="shared" si="97"/>
        <v/>
      </c>
      <c r="LS5" s="20" t="str">
        <f t="shared" si="98"/>
        <v/>
      </c>
      <c r="LT5" s="20" t="str">
        <f t="shared" si="99"/>
        <v/>
      </c>
      <c r="LU5" s="20" t="str">
        <f t="shared" si="100"/>
        <v/>
      </c>
      <c r="LV5" s="20" t="str">
        <f t="shared" si="101"/>
        <v/>
      </c>
      <c r="LW5" s="20" t="str">
        <f t="shared" si="102"/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 t="shared" si="103"/>
        <v/>
      </c>
      <c r="MS5" s="79" t="str">
        <f t="shared" si="104"/>
        <v/>
      </c>
      <c r="MT5" s="79" t="str">
        <f t="shared" si="105"/>
        <v/>
      </c>
      <c r="MU5" s="79" t="str">
        <f t="shared" si="106"/>
        <v/>
      </c>
      <c r="MV5" s="79" t="str">
        <f t="shared" si="107"/>
        <v/>
      </c>
      <c r="MW5" s="79" t="str">
        <f t="shared" si="108"/>
        <v/>
      </c>
      <c r="MX5" s="79" t="str">
        <f t="shared" si="109"/>
        <v/>
      </c>
      <c r="MY5" s="79" t="str">
        <f t="shared" si="110"/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 t="shared" si="111"/>
        <v/>
      </c>
      <c r="NU5" s="20" t="str">
        <f t="shared" si="112"/>
        <v/>
      </c>
      <c r="NV5" s="20" t="str">
        <f t="shared" si="113"/>
        <v/>
      </c>
      <c r="NW5" s="20" t="str">
        <f t="shared" si="114"/>
        <v/>
      </c>
      <c r="NX5" s="20" t="str">
        <f t="shared" si="115"/>
        <v/>
      </c>
      <c r="NY5" s="20" t="str">
        <f t="shared" si="116"/>
        <v/>
      </c>
      <c r="NZ5" s="20" t="str">
        <f t="shared" si="117"/>
        <v/>
      </c>
      <c r="OA5" s="20" t="str">
        <f t="shared" si="118"/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 t="shared" si="119"/>
        <v/>
      </c>
      <c r="OW5" s="79" t="str">
        <f t="shared" si="120"/>
        <v/>
      </c>
      <c r="OX5" s="79" t="str">
        <f t="shared" si="121"/>
        <v/>
      </c>
      <c r="OY5" s="79" t="str">
        <f t="shared" si="122"/>
        <v/>
      </c>
      <c r="OZ5" s="79" t="str">
        <f t="shared" si="123"/>
        <v/>
      </c>
      <c r="PA5" s="79" t="str">
        <f t="shared" si="124"/>
        <v/>
      </c>
      <c r="PB5" s="79" t="str">
        <f t="shared" si="125"/>
        <v/>
      </c>
      <c r="PC5" s="79" t="str">
        <f t="shared" si="126"/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 t="shared" si="127"/>
        <v/>
      </c>
      <c r="PY5" s="20" t="str">
        <f t="shared" si="128"/>
        <v/>
      </c>
      <c r="PZ5" s="20" t="str">
        <f t="shared" si="129"/>
        <v/>
      </c>
      <c r="QA5" s="20" t="str">
        <f t="shared" si="130"/>
        <v/>
      </c>
      <c r="QB5" s="20" t="str">
        <f t="shared" si="131"/>
        <v/>
      </c>
      <c r="QC5" s="20" t="str">
        <f t="shared" si="132"/>
        <v/>
      </c>
      <c r="QD5" s="20" t="str">
        <f t="shared" si="133"/>
        <v/>
      </c>
      <c r="QE5" s="20" t="str">
        <f t="shared" si="134"/>
        <v/>
      </c>
      <c r="QF5" s="38">
        <f t="shared" si="135"/>
        <v>9.1700499999999998</v>
      </c>
      <c r="QG5" s="38">
        <f t="shared" si="136"/>
        <v>3.60005</v>
      </c>
      <c r="QH5" s="38">
        <f t="shared" si="137"/>
        <v>0</v>
      </c>
      <c r="QI5" s="38">
        <f t="shared" si="138"/>
        <v>0</v>
      </c>
      <c r="QJ5" s="38">
        <f t="shared" si="139"/>
        <v>9.3000000000000007</v>
      </c>
      <c r="QK5" s="38">
        <f t="shared" si="140"/>
        <v>4.4000000000000004</v>
      </c>
      <c r="QL5" s="38">
        <f t="shared" si="141"/>
        <v>0</v>
      </c>
      <c r="QM5" s="38">
        <f t="shared" si="142"/>
        <v>0.15</v>
      </c>
      <c r="QN5" s="38">
        <f t="shared" si="143"/>
        <v>9.1999999999999993</v>
      </c>
      <c r="QO5" s="38">
        <f t="shared" si="144"/>
        <v>3.55</v>
      </c>
      <c r="QP5" s="38">
        <f t="shared" si="145"/>
        <v>0</v>
      </c>
      <c r="QQ5" s="38">
        <f t="shared" si="146"/>
        <v>0.15</v>
      </c>
      <c r="QR5" s="38">
        <f t="shared" si="147"/>
        <v>9.15</v>
      </c>
      <c r="QS5" s="38">
        <f t="shared" si="148"/>
        <v>3.2</v>
      </c>
      <c r="QT5" s="38">
        <f t="shared" si="149"/>
        <v>0.3</v>
      </c>
      <c r="QU5" s="38">
        <f t="shared" si="150"/>
        <v>0</v>
      </c>
      <c r="QV5" s="38">
        <f t="shared" si="151"/>
        <v>9.4</v>
      </c>
      <c r="QW5" s="38">
        <f t="shared" si="152"/>
        <v>4.4000000000000004</v>
      </c>
      <c r="QX5" s="38">
        <f t="shared" si="153"/>
        <v>0</v>
      </c>
      <c r="QY5" s="38">
        <f t="shared" si="154"/>
        <v>0.15</v>
      </c>
      <c r="QZ5" s="45" t="s">
        <v>46</v>
      </c>
      <c r="RA5" s="79">
        <f t="shared" si="155"/>
        <v>8.0000499999999999</v>
      </c>
      <c r="RB5" s="79">
        <f t="shared" si="156"/>
        <v>26.620100000000001</v>
      </c>
      <c r="RC5" s="79">
        <f t="shared" si="157"/>
        <v>12.9</v>
      </c>
      <c r="RD5" s="79">
        <f t="shared" si="158"/>
        <v>11.550049999999999</v>
      </c>
      <c r="RE5" s="79">
        <f t="shared" si="159"/>
        <v>39.520099999999999</v>
      </c>
      <c r="RF5" s="79">
        <f t="shared" si="160"/>
        <v>7.6000000000000005</v>
      </c>
      <c r="RG5" s="79">
        <f t="shared" si="161"/>
        <v>25.999999999999996</v>
      </c>
      <c r="RH5" s="79">
        <f t="shared" si="162"/>
        <v>52.620099999999994</v>
      </c>
    </row>
    <row r="6" spans="1:476" x14ac:dyDescent="0.2">
      <c r="A6" s="5">
        <f t="shared" si="163"/>
        <v>3</v>
      </c>
      <c r="B6" s="78" t="s">
        <v>179</v>
      </c>
      <c r="C6" s="5" t="s">
        <v>5</v>
      </c>
      <c r="D6" s="5">
        <v>2003</v>
      </c>
      <c r="E6" s="15">
        <f t="shared" si="0"/>
        <v>167.20000714002495</v>
      </c>
      <c r="F6" s="3" t="str">
        <f t="shared" si="1"/>
        <v>P</v>
      </c>
      <c r="G6" s="3" t="str">
        <f t="shared" si="2"/>
        <v>P</v>
      </c>
      <c r="H6" s="67" t="str">
        <f t="shared" si="3"/>
        <v>National Team</v>
      </c>
      <c r="I6" s="14">
        <f>IF(COUNT(AR6,BU6,CX6)&gt;0,LARGE((AR6,BU6,CX6),1),0)</f>
        <v>49.5</v>
      </c>
      <c r="J6" s="14" t="str">
        <f t="shared" si="4"/>
        <v>2022 Elite Canada</v>
      </c>
      <c r="K6" s="14">
        <f>IF(COUNT(AR6,BU6,CX6)&gt;1,LARGE((AR6,BU6,CX6),2),0)</f>
        <v>2.0000000000000001E-4</v>
      </c>
      <c r="L6" s="14" t="str">
        <f t="shared" si="5"/>
        <v>2021 Canadian Championships</v>
      </c>
      <c r="M6" s="14">
        <f>IF(COUNT(AS6,BV6,CY6)&gt;0,LARGE((AS6,BV6,CY6),1),0)</f>
        <v>21.9</v>
      </c>
      <c r="N6" s="14" t="str">
        <f t="shared" si="6"/>
        <v>2022 Elite Canada</v>
      </c>
      <c r="O6" s="14">
        <f>IF(COUNT(AS6,BV6,CY6)&gt;1,LARGE((AS6,BV6,CY6),2),0)</f>
        <v>0</v>
      </c>
      <c r="P6" s="14" t="str">
        <f t="shared" si="7"/>
        <v/>
      </c>
      <c r="Q6" s="14">
        <f t="shared" si="8"/>
        <v>45.100000000000009</v>
      </c>
      <c r="R6" s="14" t="str">
        <f t="shared" si="9"/>
        <v>2022 Elite Canada</v>
      </c>
      <c r="S6" s="14">
        <f t="shared" si="10"/>
        <v>50.699800000000003</v>
      </c>
      <c r="T6" s="20" t="str">
        <f t="shared" si="11"/>
        <v>(Q1)</v>
      </c>
      <c r="U6" s="14" t="str">
        <f t="shared" si="12"/>
        <v>2022 World Games Technical Trial #1 (Mar 12)</v>
      </c>
      <c r="V6" s="27">
        <v>1E-4</v>
      </c>
      <c r="W6" s="27">
        <v>1E-4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>
        <f t="shared" si="13"/>
        <v>1E-4</v>
      </c>
      <c r="AR6" s="79">
        <f t="shared" si="14"/>
        <v>2.0000000000000001E-4</v>
      </c>
      <c r="AS6" s="79" t="str">
        <f t="shared" si="15"/>
        <v/>
      </c>
      <c r="AT6" s="79">
        <f t="shared" si="16"/>
        <v>1E-4</v>
      </c>
      <c r="AU6" s="79">
        <f t="shared" si="17"/>
        <v>2.0000000000000001E-4</v>
      </c>
      <c r="AV6" s="79" t="str">
        <f t="shared" si="18"/>
        <v/>
      </c>
      <c r="AW6" s="79" t="str">
        <f t="shared" si="19"/>
        <v/>
      </c>
      <c r="AX6" s="79">
        <f t="shared" si="20"/>
        <v>2.0000000000000001E-4</v>
      </c>
      <c r="AY6" s="26">
        <v>1E-4</v>
      </c>
      <c r="AZ6" s="26">
        <v>1E-4</v>
      </c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>
        <f t="shared" si="21"/>
        <v>1E-4</v>
      </c>
      <c r="BU6" s="20">
        <f t="shared" si="22"/>
        <v>2.0000000000000001E-4</v>
      </c>
      <c r="BV6" s="20" t="str">
        <f t="shared" si="23"/>
        <v/>
      </c>
      <c r="BW6" s="20">
        <f t="shared" si="24"/>
        <v>1E-4</v>
      </c>
      <c r="BX6" s="20">
        <f t="shared" si="25"/>
        <v>2.0000000000000001E-4</v>
      </c>
      <c r="BY6" s="20" t="str">
        <f t="shared" si="26"/>
        <v/>
      </c>
      <c r="BZ6" s="20" t="str">
        <f t="shared" si="27"/>
        <v/>
      </c>
      <c r="CA6" s="20">
        <f t="shared" si="28"/>
        <v>2.0000000000000001E-4</v>
      </c>
      <c r="CB6" s="27">
        <v>18.899999999999999</v>
      </c>
      <c r="CC6" s="27">
        <v>6.4</v>
      </c>
      <c r="CD6" s="27">
        <v>0.8</v>
      </c>
      <c r="CE6" s="27">
        <v>0</v>
      </c>
      <c r="CF6" s="27">
        <v>18.3</v>
      </c>
      <c r="CG6" s="27">
        <v>7.7</v>
      </c>
      <c r="CH6" s="27">
        <v>1</v>
      </c>
      <c r="CI6" s="27">
        <v>0</v>
      </c>
      <c r="CJ6" s="27">
        <v>18.3</v>
      </c>
      <c r="CK6" s="27">
        <v>5.2</v>
      </c>
      <c r="CL6" s="27">
        <v>1.6</v>
      </c>
      <c r="CM6" s="27">
        <v>0</v>
      </c>
      <c r="CN6" s="27">
        <v>19</v>
      </c>
      <c r="CO6" s="27">
        <v>6.4</v>
      </c>
      <c r="CP6" s="27">
        <v>0.8</v>
      </c>
      <c r="CQ6" s="27">
        <v>0</v>
      </c>
      <c r="CR6" s="27">
        <v>17.3</v>
      </c>
      <c r="CS6" s="27">
        <v>3.2</v>
      </c>
      <c r="CT6" s="27">
        <v>0</v>
      </c>
      <c r="CU6" s="27">
        <v>0</v>
      </c>
      <c r="CV6" s="45"/>
      <c r="CW6" s="79">
        <f t="shared" si="29"/>
        <v>14.100000000000001</v>
      </c>
      <c r="CX6" s="79">
        <f t="shared" si="30"/>
        <v>49.5</v>
      </c>
      <c r="CY6" s="79">
        <f t="shared" si="31"/>
        <v>21.9</v>
      </c>
      <c r="CZ6" s="79">
        <f t="shared" si="32"/>
        <v>19.3</v>
      </c>
      <c r="DA6" s="79">
        <f t="shared" si="33"/>
        <v>71.400000000000006</v>
      </c>
      <c r="DB6" s="79">
        <f t="shared" si="34"/>
        <v>9.6000000000000014</v>
      </c>
      <c r="DC6" s="79">
        <f t="shared" si="35"/>
        <v>45.100000000000009</v>
      </c>
      <c r="DD6" s="79">
        <f t="shared" si="36"/>
        <v>94.600000000000009</v>
      </c>
      <c r="DE6" s="80">
        <f t="shared" si="37"/>
        <v>50.699800000000003</v>
      </c>
      <c r="DF6" s="80"/>
      <c r="DG6" s="80">
        <f t="shared" si="38"/>
        <v>5.2999999999999972</v>
      </c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 t="str">
        <f t="shared" si="39"/>
        <v/>
      </c>
      <c r="EC6" s="79" t="str">
        <f t="shared" si="40"/>
        <v/>
      </c>
      <c r="ED6" s="79" t="str">
        <f t="shared" si="41"/>
        <v/>
      </c>
      <c r="EE6" s="79" t="str">
        <f t="shared" si="42"/>
        <v/>
      </c>
      <c r="EF6" s="79" t="str">
        <f t="shared" si="43"/>
        <v/>
      </c>
      <c r="EG6" s="79" t="str">
        <f t="shared" si="44"/>
        <v/>
      </c>
      <c r="EH6" s="79" t="str">
        <f t="shared" si="45"/>
        <v/>
      </c>
      <c r="EI6" s="79" t="str">
        <f t="shared" si="46"/>
        <v/>
      </c>
      <c r="EJ6" s="26">
        <v>19.2</v>
      </c>
      <c r="EK6" s="26">
        <v>6.4</v>
      </c>
      <c r="EL6" s="26">
        <v>0</v>
      </c>
      <c r="EM6" s="26">
        <v>0</v>
      </c>
      <c r="EN6" s="26">
        <v>18</v>
      </c>
      <c r="EO6" s="26">
        <v>7.7</v>
      </c>
      <c r="EP6" s="26">
        <v>0.6</v>
      </c>
      <c r="EQ6" s="26">
        <v>0</v>
      </c>
      <c r="ER6" s="26"/>
      <c r="ES6" s="26"/>
      <c r="ET6" s="26"/>
      <c r="EU6" s="26"/>
      <c r="EV6" s="26">
        <v>18.600000000000001</v>
      </c>
      <c r="EW6" s="26">
        <v>7.2</v>
      </c>
      <c r="EX6" s="26">
        <v>0.6</v>
      </c>
      <c r="EY6" s="26">
        <v>0</v>
      </c>
      <c r="EZ6" s="26">
        <v>18.3</v>
      </c>
      <c r="FA6" s="26">
        <v>7.7</v>
      </c>
      <c r="FB6" s="26">
        <v>0.8</v>
      </c>
      <c r="FC6" s="26">
        <v>0</v>
      </c>
      <c r="FD6" s="20">
        <f t="shared" si="47"/>
        <v>14.100000000000001</v>
      </c>
      <c r="FE6" s="20">
        <f t="shared" si="48"/>
        <v>50.7</v>
      </c>
      <c r="FF6" s="20" t="str">
        <f t="shared" si="49"/>
        <v/>
      </c>
      <c r="FG6" s="20">
        <f t="shared" si="50"/>
        <v>14.100000000000001</v>
      </c>
      <c r="FH6" s="20">
        <f t="shared" si="51"/>
        <v>50.7</v>
      </c>
      <c r="FI6" s="20">
        <f t="shared" si="52"/>
        <v>14.9</v>
      </c>
      <c r="FJ6" s="20">
        <f t="shared" si="53"/>
        <v>50.400000000000006</v>
      </c>
      <c r="FK6" s="20">
        <f t="shared" si="54"/>
        <v>101.10000000000001</v>
      </c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79" t="str">
        <f t="shared" si="55"/>
        <v/>
      </c>
      <c r="GG6" s="79" t="str">
        <f t="shared" si="56"/>
        <v/>
      </c>
      <c r="GH6" s="79" t="str">
        <f t="shared" si="57"/>
        <v/>
      </c>
      <c r="GI6" s="79" t="str">
        <f t="shared" si="58"/>
        <v/>
      </c>
      <c r="GJ6" s="79" t="str">
        <f t="shared" si="59"/>
        <v/>
      </c>
      <c r="GK6" s="79" t="str">
        <f t="shared" si="60"/>
        <v/>
      </c>
      <c r="GL6" s="79" t="str">
        <f t="shared" si="61"/>
        <v/>
      </c>
      <c r="GM6" s="79" t="str">
        <f t="shared" si="62"/>
        <v/>
      </c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0" t="str">
        <f t="shared" si="63"/>
        <v/>
      </c>
      <c r="HI6" s="20" t="str">
        <f t="shared" si="64"/>
        <v/>
      </c>
      <c r="HJ6" s="20" t="str">
        <f t="shared" si="65"/>
        <v/>
      </c>
      <c r="HK6" s="20" t="str">
        <f t="shared" si="66"/>
        <v/>
      </c>
      <c r="HL6" s="20" t="str">
        <f t="shared" si="67"/>
        <v/>
      </c>
      <c r="HM6" s="20" t="str">
        <f t="shared" si="68"/>
        <v/>
      </c>
      <c r="HN6" s="20" t="str">
        <f t="shared" si="69"/>
        <v/>
      </c>
      <c r="HO6" s="20" t="str">
        <f t="shared" si="70"/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 t="shared" si="71"/>
        <v/>
      </c>
      <c r="IK6" s="79" t="str">
        <f t="shared" si="72"/>
        <v/>
      </c>
      <c r="IL6" s="79" t="str">
        <f t="shared" si="73"/>
        <v/>
      </c>
      <c r="IM6" s="79" t="str">
        <f t="shared" si="74"/>
        <v/>
      </c>
      <c r="IN6" s="79" t="str">
        <f t="shared" si="75"/>
        <v/>
      </c>
      <c r="IO6" s="79" t="str">
        <f t="shared" si="76"/>
        <v/>
      </c>
      <c r="IP6" s="79" t="str">
        <f t="shared" si="77"/>
        <v/>
      </c>
      <c r="IQ6" s="79" t="str">
        <f t="shared" si="78"/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 t="shared" si="79"/>
        <v/>
      </c>
      <c r="JM6" s="20" t="str">
        <f t="shared" si="80"/>
        <v/>
      </c>
      <c r="JN6" s="20" t="str">
        <f t="shared" si="81"/>
        <v/>
      </c>
      <c r="JO6" s="20" t="str">
        <f t="shared" si="82"/>
        <v/>
      </c>
      <c r="JP6" s="20" t="str">
        <f t="shared" si="83"/>
        <v/>
      </c>
      <c r="JQ6" s="20" t="str">
        <f t="shared" si="84"/>
        <v/>
      </c>
      <c r="JR6" s="20" t="str">
        <f t="shared" si="85"/>
        <v/>
      </c>
      <c r="JS6" s="20" t="str">
        <f t="shared" si="86"/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 t="shared" si="87"/>
        <v/>
      </c>
      <c r="KO6" s="79" t="str">
        <f t="shared" si="88"/>
        <v/>
      </c>
      <c r="KP6" s="79" t="str">
        <f t="shared" si="89"/>
        <v/>
      </c>
      <c r="KQ6" s="79" t="str">
        <f t="shared" si="90"/>
        <v/>
      </c>
      <c r="KR6" s="79" t="str">
        <f t="shared" si="91"/>
        <v/>
      </c>
      <c r="KS6" s="79" t="str">
        <f t="shared" si="92"/>
        <v/>
      </c>
      <c r="KT6" s="79" t="str">
        <f t="shared" si="93"/>
        <v/>
      </c>
      <c r="KU6" s="79" t="str">
        <f t="shared" si="94"/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 t="shared" si="95"/>
        <v/>
      </c>
      <c r="LQ6" s="20" t="str">
        <f t="shared" si="96"/>
        <v/>
      </c>
      <c r="LR6" s="20" t="str">
        <f t="shared" si="97"/>
        <v/>
      </c>
      <c r="LS6" s="20" t="str">
        <f t="shared" si="98"/>
        <v/>
      </c>
      <c r="LT6" s="20" t="str">
        <f t="shared" si="99"/>
        <v/>
      </c>
      <c r="LU6" s="20" t="str">
        <f t="shared" si="100"/>
        <v/>
      </c>
      <c r="LV6" s="20" t="str">
        <f t="shared" si="101"/>
        <v/>
      </c>
      <c r="LW6" s="20" t="str">
        <f t="shared" si="102"/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 t="shared" si="103"/>
        <v/>
      </c>
      <c r="MS6" s="79" t="str">
        <f t="shared" si="104"/>
        <v/>
      </c>
      <c r="MT6" s="79" t="str">
        <f t="shared" si="105"/>
        <v/>
      </c>
      <c r="MU6" s="79" t="str">
        <f t="shared" si="106"/>
        <v/>
      </c>
      <c r="MV6" s="79" t="str">
        <f t="shared" si="107"/>
        <v/>
      </c>
      <c r="MW6" s="79" t="str">
        <f t="shared" si="108"/>
        <v/>
      </c>
      <c r="MX6" s="79" t="str">
        <f t="shared" si="109"/>
        <v/>
      </c>
      <c r="MY6" s="79" t="str">
        <f t="shared" si="110"/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 t="shared" si="111"/>
        <v/>
      </c>
      <c r="NU6" s="20" t="str">
        <f t="shared" si="112"/>
        <v/>
      </c>
      <c r="NV6" s="20" t="str">
        <f t="shared" si="113"/>
        <v/>
      </c>
      <c r="NW6" s="20" t="str">
        <f t="shared" si="114"/>
        <v/>
      </c>
      <c r="NX6" s="20" t="str">
        <f t="shared" si="115"/>
        <v/>
      </c>
      <c r="NY6" s="20" t="str">
        <f t="shared" si="116"/>
        <v/>
      </c>
      <c r="NZ6" s="20" t="str">
        <f t="shared" si="117"/>
        <v/>
      </c>
      <c r="OA6" s="20" t="str">
        <f t="shared" si="118"/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 t="shared" si="119"/>
        <v/>
      </c>
      <c r="OW6" s="79" t="str">
        <f t="shared" si="120"/>
        <v/>
      </c>
      <c r="OX6" s="79" t="str">
        <f t="shared" si="121"/>
        <v/>
      </c>
      <c r="OY6" s="79" t="str">
        <f t="shared" si="122"/>
        <v/>
      </c>
      <c r="OZ6" s="79" t="str">
        <f t="shared" si="123"/>
        <v/>
      </c>
      <c r="PA6" s="79" t="str">
        <f t="shared" si="124"/>
        <v/>
      </c>
      <c r="PB6" s="79" t="str">
        <f t="shared" si="125"/>
        <v/>
      </c>
      <c r="PC6" s="79" t="str">
        <f t="shared" si="126"/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 t="shared" si="127"/>
        <v/>
      </c>
      <c r="PY6" s="20" t="str">
        <f t="shared" si="128"/>
        <v/>
      </c>
      <c r="PZ6" s="20" t="str">
        <f t="shared" si="129"/>
        <v/>
      </c>
      <c r="QA6" s="20" t="str">
        <f t="shared" si="130"/>
        <v/>
      </c>
      <c r="QB6" s="20" t="str">
        <f t="shared" si="131"/>
        <v/>
      </c>
      <c r="QC6" s="20" t="str">
        <f t="shared" si="132"/>
        <v/>
      </c>
      <c r="QD6" s="20" t="str">
        <f t="shared" si="133"/>
        <v/>
      </c>
      <c r="QE6" s="20" t="str">
        <f t="shared" si="134"/>
        <v/>
      </c>
      <c r="QF6" s="38">
        <f t="shared" si="135"/>
        <v>9.4500499999999992</v>
      </c>
      <c r="QG6" s="38">
        <f t="shared" si="136"/>
        <v>3.2000500000000001</v>
      </c>
      <c r="QH6" s="38">
        <f t="shared" si="137"/>
        <v>0.4</v>
      </c>
      <c r="QI6" s="38">
        <f t="shared" si="138"/>
        <v>0</v>
      </c>
      <c r="QJ6" s="38">
        <f t="shared" si="139"/>
        <v>9.15</v>
      </c>
      <c r="QK6" s="38">
        <f t="shared" si="140"/>
        <v>3.85</v>
      </c>
      <c r="QL6" s="38">
        <f t="shared" si="141"/>
        <v>0.5</v>
      </c>
      <c r="QM6" s="38">
        <f t="shared" si="142"/>
        <v>0</v>
      </c>
      <c r="QN6" s="38">
        <f t="shared" si="143"/>
        <v>9.15</v>
      </c>
      <c r="QO6" s="38">
        <f t="shared" si="144"/>
        <v>2.6</v>
      </c>
      <c r="QP6" s="38">
        <f t="shared" si="145"/>
        <v>0.8</v>
      </c>
      <c r="QQ6" s="38">
        <f t="shared" si="146"/>
        <v>0</v>
      </c>
      <c r="QR6" s="38">
        <f t="shared" si="147"/>
        <v>9.5</v>
      </c>
      <c r="QS6" s="38">
        <f t="shared" si="148"/>
        <v>3.2</v>
      </c>
      <c r="QT6" s="38">
        <f t="shared" si="149"/>
        <v>0.4</v>
      </c>
      <c r="QU6" s="38">
        <f t="shared" si="150"/>
        <v>0</v>
      </c>
      <c r="QV6" s="38">
        <f t="shared" si="151"/>
        <v>8.65</v>
      </c>
      <c r="QW6" s="38">
        <f t="shared" si="152"/>
        <v>1.6</v>
      </c>
      <c r="QX6" s="38">
        <f t="shared" si="153"/>
        <v>0</v>
      </c>
      <c r="QY6" s="38">
        <f t="shared" si="154"/>
        <v>0</v>
      </c>
      <c r="QZ6" s="45" t="s">
        <v>46</v>
      </c>
      <c r="RA6" s="79">
        <f t="shared" si="155"/>
        <v>7.0500500000000006</v>
      </c>
      <c r="RB6" s="79">
        <f t="shared" si="156"/>
        <v>24.750100000000003</v>
      </c>
      <c r="RC6" s="79">
        <f t="shared" si="157"/>
        <v>10.95</v>
      </c>
      <c r="RD6" s="79">
        <f t="shared" si="158"/>
        <v>9.6500500000000002</v>
      </c>
      <c r="RE6" s="79">
        <f t="shared" si="159"/>
        <v>35.700100000000006</v>
      </c>
      <c r="RF6" s="79">
        <f t="shared" si="160"/>
        <v>4.8000000000000007</v>
      </c>
      <c r="RG6" s="79">
        <f t="shared" si="161"/>
        <v>22.550000000000004</v>
      </c>
      <c r="RH6" s="79">
        <f t="shared" si="162"/>
        <v>47.300100000000008</v>
      </c>
    </row>
    <row r="7" spans="1:476" x14ac:dyDescent="0.2">
      <c r="A7" s="5">
        <f t="shared" si="163"/>
        <v>4</v>
      </c>
      <c r="B7" s="78" t="s">
        <v>151</v>
      </c>
      <c r="C7" s="5" t="s">
        <v>5</v>
      </c>
      <c r="D7" s="5">
        <v>2005</v>
      </c>
      <c r="E7" s="15">
        <f t="shared" si="0"/>
        <v>161.60000720000471</v>
      </c>
      <c r="F7" s="3" t="str">
        <f t="shared" si="1"/>
        <v>P</v>
      </c>
      <c r="G7" s="3" t="str">
        <f t="shared" si="2"/>
        <v>P</v>
      </c>
      <c r="H7" s="67" t="str">
        <f t="shared" si="3"/>
        <v>National Team</v>
      </c>
      <c r="I7" s="14">
        <f>IF(COUNT(AR7,BU7,CX7)&gt;0,LARGE((AR7,BU7,CX7),1),0)</f>
        <v>47.1</v>
      </c>
      <c r="J7" s="14" t="str">
        <f t="shared" si="4"/>
        <v>2022 Elite Canada</v>
      </c>
      <c r="K7" s="14">
        <f>IF(COUNT(AR7,BU7,CX7)&gt;1,LARGE((AR7,BU7,CX7),2),0)</f>
        <v>0</v>
      </c>
      <c r="L7" s="14" t="str">
        <f t="shared" si="5"/>
        <v/>
      </c>
      <c r="M7" s="14">
        <f>IF(COUNT(AS7,BV7,CY7)&gt;0,LARGE((AS7,BV7,CY7),1),0)</f>
        <v>24.9</v>
      </c>
      <c r="N7" s="14" t="str">
        <f t="shared" si="6"/>
        <v>2022 Elite Canada</v>
      </c>
      <c r="O7" s="14">
        <f>IF(COUNT(AS7,BV7,CY7)&gt;1,LARGE((AS7,BV7,CY7),2),0)</f>
        <v>0</v>
      </c>
      <c r="P7" s="14" t="str">
        <f t="shared" si="7"/>
        <v/>
      </c>
      <c r="Q7" s="14">
        <f t="shared" si="8"/>
        <v>39.999999999999993</v>
      </c>
      <c r="R7" s="14" t="str">
        <f t="shared" si="9"/>
        <v>2022 Elite Canada</v>
      </c>
      <c r="S7" s="14">
        <f t="shared" si="10"/>
        <v>49.599999999999994</v>
      </c>
      <c r="T7" s="20" t="str">
        <f t="shared" si="11"/>
        <v>(Q1)</v>
      </c>
      <c r="U7" s="14" t="str">
        <f t="shared" si="12"/>
        <v>2022 World Games Technical Trial #1 (Mar 12)</v>
      </c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 t="str">
        <f t="shared" si="13"/>
        <v/>
      </c>
      <c r="AR7" s="79" t="str">
        <f t="shared" si="14"/>
        <v/>
      </c>
      <c r="AS7" s="79" t="str">
        <f t="shared" si="15"/>
        <v/>
      </c>
      <c r="AT7" s="79" t="str">
        <f t="shared" si="16"/>
        <v/>
      </c>
      <c r="AU7" s="79" t="str">
        <f t="shared" si="17"/>
        <v/>
      </c>
      <c r="AV7" s="79" t="str">
        <f t="shared" si="18"/>
        <v/>
      </c>
      <c r="AW7" s="79" t="str">
        <f t="shared" si="19"/>
        <v/>
      </c>
      <c r="AX7" s="79" t="str">
        <f t="shared" si="20"/>
        <v/>
      </c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 t="str">
        <f t="shared" si="21"/>
        <v/>
      </c>
      <c r="BU7" s="20" t="str">
        <f t="shared" si="22"/>
        <v/>
      </c>
      <c r="BV7" s="20" t="str">
        <f t="shared" si="23"/>
        <v/>
      </c>
      <c r="BW7" s="20" t="str">
        <f t="shared" si="24"/>
        <v/>
      </c>
      <c r="BX7" s="20" t="str">
        <f t="shared" si="25"/>
        <v/>
      </c>
      <c r="BY7" s="20" t="str">
        <f t="shared" si="26"/>
        <v/>
      </c>
      <c r="BZ7" s="20" t="str">
        <f t="shared" si="27"/>
        <v/>
      </c>
      <c r="CA7" s="20" t="str">
        <f t="shared" si="28"/>
        <v/>
      </c>
      <c r="CB7" s="27">
        <v>18.899999999999999</v>
      </c>
      <c r="CC7" s="27">
        <v>7.2</v>
      </c>
      <c r="CD7" s="27">
        <v>0</v>
      </c>
      <c r="CE7" s="27">
        <v>0</v>
      </c>
      <c r="CF7" s="27">
        <v>17.399999999999999</v>
      </c>
      <c r="CG7" s="27">
        <v>3.6</v>
      </c>
      <c r="CH7" s="27">
        <v>0</v>
      </c>
      <c r="CI7" s="27">
        <v>0</v>
      </c>
      <c r="CJ7" s="27">
        <v>18.899999999999999</v>
      </c>
      <c r="CK7" s="27">
        <v>6</v>
      </c>
      <c r="CL7" s="27">
        <v>0</v>
      </c>
      <c r="CM7" s="27">
        <v>0</v>
      </c>
      <c r="CN7" s="27">
        <v>17.399999999999999</v>
      </c>
      <c r="CO7" s="27">
        <v>2.8</v>
      </c>
      <c r="CP7" s="27">
        <v>0</v>
      </c>
      <c r="CQ7" s="27">
        <v>0</v>
      </c>
      <c r="CR7" s="27">
        <v>17.399999999999999</v>
      </c>
      <c r="CS7" s="27">
        <v>2.4</v>
      </c>
      <c r="CT7" s="27">
        <v>0</v>
      </c>
      <c r="CU7" s="27">
        <v>0</v>
      </c>
      <c r="CV7" s="45"/>
      <c r="CW7" s="79">
        <f t="shared" si="29"/>
        <v>10.8</v>
      </c>
      <c r="CX7" s="79">
        <f t="shared" si="30"/>
        <v>47.1</v>
      </c>
      <c r="CY7" s="79">
        <f t="shared" si="31"/>
        <v>24.9</v>
      </c>
      <c r="CZ7" s="79">
        <f t="shared" si="32"/>
        <v>16.8</v>
      </c>
      <c r="DA7" s="79">
        <f t="shared" si="33"/>
        <v>72</v>
      </c>
      <c r="DB7" s="79">
        <f t="shared" si="34"/>
        <v>5.1999999999999993</v>
      </c>
      <c r="DC7" s="79">
        <f t="shared" si="35"/>
        <v>39.999999999999993</v>
      </c>
      <c r="DD7" s="79">
        <f t="shared" si="36"/>
        <v>87.1</v>
      </c>
      <c r="DE7" s="80">
        <f t="shared" si="37"/>
        <v>49.599999999999994</v>
      </c>
      <c r="DF7" s="80"/>
      <c r="DG7" s="80" t="str">
        <f t="shared" si="38"/>
        <v/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 t="shared" si="39"/>
        <v/>
      </c>
      <c r="EC7" s="79" t="str">
        <f t="shared" si="40"/>
        <v/>
      </c>
      <c r="ED7" s="79" t="str">
        <f t="shared" si="41"/>
        <v/>
      </c>
      <c r="EE7" s="79" t="str">
        <f t="shared" si="42"/>
        <v/>
      </c>
      <c r="EF7" s="79" t="str">
        <f t="shared" si="43"/>
        <v/>
      </c>
      <c r="EG7" s="79" t="str">
        <f t="shared" si="44"/>
        <v/>
      </c>
      <c r="EH7" s="79" t="str">
        <f t="shared" si="45"/>
        <v/>
      </c>
      <c r="EI7" s="79" t="str">
        <f t="shared" si="46"/>
        <v/>
      </c>
      <c r="EJ7" s="26">
        <v>18.600000000000001</v>
      </c>
      <c r="EK7" s="26">
        <v>7.2</v>
      </c>
      <c r="EL7" s="26">
        <v>0.6</v>
      </c>
      <c r="EM7" s="26">
        <v>0</v>
      </c>
      <c r="EN7" s="26">
        <v>17.8</v>
      </c>
      <c r="EO7" s="26">
        <v>6.8</v>
      </c>
      <c r="EP7" s="26">
        <v>0.2</v>
      </c>
      <c r="EQ7" s="26">
        <v>0</v>
      </c>
      <c r="ER7" s="26"/>
      <c r="ES7" s="26"/>
      <c r="ET7" s="26"/>
      <c r="EU7" s="26"/>
      <c r="EV7" s="26">
        <v>18.600000000000001</v>
      </c>
      <c r="EW7" s="26">
        <v>7.2</v>
      </c>
      <c r="EX7" s="26">
        <v>0.2</v>
      </c>
      <c r="EY7" s="26">
        <v>0</v>
      </c>
      <c r="EZ7" s="26">
        <v>0</v>
      </c>
      <c r="FA7" s="26">
        <v>0</v>
      </c>
      <c r="FB7" s="26">
        <v>0</v>
      </c>
      <c r="FC7" s="26">
        <v>0</v>
      </c>
      <c r="FD7" s="20">
        <f t="shared" si="47"/>
        <v>14</v>
      </c>
      <c r="FE7" s="20">
        <f t="shared" si="48"/>
        <v>49.599999999999994</v>
      </c>
      <c r="FF7" s="20" t="str">
        <f t="shared" si="49"/>
        <v/>
      </c>
      <c r="FG7" s="20">
        <f t="shared" si="50"/>
        <v>14</v>
      </c>
      <c r="FH7" s="20">
        <f t="shared" si="51"/>
        <v>49.599999999999994</v>
      </c>
      <c r="FI7" s="20">
        <f t="shared" si="52"/>
        <v>7.2</v>
      </c>
      <c r="FJ7" s="20">
        <f t="shared" si="53"/>
        <v>25.6</v>
      </c>
      <c r="FK7" s="20">
        <f t="shared" si="54"/>
        <v>75.199999999999989</v>
      </c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79" t="str">
        <f t="shared" si="55"/>
        <v/>
      </c>
      <c r="GG7" s="79" t="str">
        <f t="shared" si="56"/>
        <v/>
      </c>
      <c r="GH7" s="79" t="str">
        <f t="shared" si="57"/>
        <v/>
      </c>
      <c r="GI7" s="79" t="str">
        <f t="shared" si="58"/>
        <v/>
      </c>
      <c r="GJ7" s="79" t="str">
        <f t="shared" si="59"/>
        <v/>
      </c>
      <c r="GK7" s="79" t="str">
        <f t="shared" si="60"/>
        <v/>
      </c>
      <c r="GL7" s="79" t="str">
        <f t="shared" si="61"/>
        <v/>
      </c>
      <c r="GM7" s="79" t="str">
        <f t="shared" si="62"/>
        <v/>
      </c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0" t="str">
        <f t="shared" si="63"/>
        <v/>
      </c>
      <c r="HI7" s="20" t="str">
        <f t="shared" si="64"/>
        <v/>
      </c>
      <c r="HJ7" s="20" t="str">
        <f t="shared" si="65"/>
        <v/>
      </c>
      <c r="HK7" s="20" t="str">
        <f t="shared" si="66"/>
        <v/>
      </c>
      <c r="HL7" s="20" t="str">
        <f t="shared" si="67"/>
        <v/>
      </c>
      <c r="HM7" s="20" t="str">
        <f t="shared" si="68"/>
        <v/>
      </c>
      <c r="HN7" s="20" t="str">
        <f t="shared" si="69"/>
        <v/>
      </c>
      <c r="HO7" s="20" t="str">
        <f t="shared" si="70"/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 t="shared" si="71"/>
        <v/>
      </c>
      <c r="IK7" s="79" t="str">
        <f t="shared" si="72"/>
        <v/>
      </c>
      <c r="IL7" s="79" t="str">
        <f t="shared" si="73"/>
        <v/>
      </c>
      <c r="IM7" s="79" t="str">
        <f t="shared" si="74"/>
        <v/>
      </c>
      <c r="IN7" s="79" t="str">
        <f t="shared" si="75"/>
        <v/>
      </c>
      <c r="IO7" s="79" t="str">
        <f t="shared" si="76"/>
        <v/>
      </c>
      <c r="IP7" s="79" t="str">
        <f t="shared" si="77"/>
        <v/>
      </c>
      <c r="IQ7" s="79" t="str">
        <f t="shared" si="78"/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 t="shared" si="79"/>
        <v/>
      </c>
      <c r="JM7" s="20" t="str">
        <f t="shared" si="80"/>
        <v/>
      </c>
      <c r="JN7" s="20" t="str">
        <f t="shared" si="81"/>
        <v/>
      </c>
      <c r="JO7" s="20" t="str">
        <f t="shared" si="82"/>
        <v/>
      </c>
      <c r="JP7" s="20" t="str">
        <f t="shared" si="83"/>
        <v/>
      </c>
      <c r="JQ7" s="20" t="str">
        <f t="shared" si="84"/>
        <v/>
      </c>
      <c r="JR7" s="20" t="str">
        <f t="shared" si="85"/>
        <v/>
      </c>
      <c r="JS7" s="20" t="str">
        <f t="shared" si="86"/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 t="shared" si="87"/>
        <v/>
      </c>
      <c r="KO7" s="79" t="str">
        <f t="shared" si="88"/>
        <v/>
      </c>
      <c r="KP7" s="79" t="str">
        <f t="shared" si="89"/>
        <v/>
      </c>
      <c r="KQ7" s="79" t="str">
        <f t="shared" si="90"/>
        <v/>
      </c>
      <c r="KR7" s="79" t="str">
        <f t="shared" si="91"/>
        <v/>
      </c>
      <c r="KS7" s="79" t="str">
        <f t="shared" si="92"/>
        <v/>
      </c>
      <c r="KT7" s="79" t="str">
        <f t="shared" si="93"/>
        <v/>
      </c>
      <c r="KU7" s="79" t="str">
        <f t="shared" si="94"/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 t="shared" si="95"/>
        <v/>
      </c>
      <c r="LQ7" s="20" t="str">
        <f t="shared" si="96"/>
        <v/>
      </c>
      <c r="LR7" s="20" t="str">
        <f t="shared" si="97"/>
        <v/>
      </c>
      <c r="LS7" s="20" t="str">
        <f t="shared" si="98"/>
        <v/>
      </c>
      <c r="LT7" s="20" t="str">
        <f t="shared" si="99"/>
        <v/>
      </c>
      <c r="LU7" s="20" t="str">
        <f t="shared" si="100"/>
        <v/>
      </c>
      <c r="LV7" s="20" t="str">
        <f t="shared" si="101"/>
        <v/>
      </c>
      <c r="LW7" s="20" t="str">
        <f t="shared" si="102"/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 t="shared" si="103"/>
        <v/>
      </c>
      <c r="MS7" s="79" t="str">
        <f t="shared" si="104"/>
        <v/>
      </c>
      <c r="MT7" s="79" t="str">
        <f t="shared" si="105"/>
        <v/>
      </c>
      <c r="MU7" s="79" t="str">
        <f t="shared" si="106"/>
        <v/>
      </c>
      <c r="MV7" s="79" t="str">
        <f t="shared" si="107"/>
        <v/>
      </c>
      <c r="MW7" s="79" t="str">
        <f t="shared" si="108"/>
        <v/>
      </c>
      <c r="MX7" s="79" t="str">
        <f t="shared" si="109"/>
        <v/>
      </c>
      <c r="MY7" s="79" t="str">
        <f t="shared" si="110"/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 t="shared" si="111"/>
        <v/>
      </c>
      <c r="NU7" s="20" t="str">
        <f t="shared" si="112"/>
        <v/>
      </c>
      <c r="NV7" s="20" t="str">
        <f t="shared" si="113"/>
        <v/>
      </c>
      <c r="NW7" s="20" t="str">
        <f t="shared" si="114"/>
        <v/>
      </c>
      <c r="NX7" s="20" t="str">
        <f t="shared" si="115"/>
        <v/>
      </c>
      <c r="NY7" s="20" t="str">
        <f t="shared" si="116"/>
        <v/>
      </c>
      <c r="NZ7" s="20" t="str">
        <f t="shared" si="117"/>
        <v/>
      </c>
      <c r="OA7" s="20" t="str">
        <f t="shared" si="118"/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 t="shared" si="119"/>
        <v/>
      </c>
      <c r="OW7" s="79" t="str">
        <f t="shared" si="120"/>
        <v/>
      </c>
      <c r="OX7" s="79" t="str">
        <f t="shared" si="121"/>
        <v/>
      </c>
      <c r="OY7" s="79" t="str">
        <f t="shared" si="122"/>
        <v/>
      </c>
      <c r="OZ7" s="79" t="str">
        <f t="shared" si="123"/>
        <v/>
      </c>
      <c r="PA7" s="79" t="str">
        <f t="shared" si="124"/>
        <v/>
      </c>
      <c r="PB7" s="79" t="str">
        <f t="shared" si="125"/>
        <v/>
      </c>
      <c r="PC7" s="79" t="str">
        <f t="shared" si="126"/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 t="shared" si="127"/>
        <v/>
      </c>
      <c r="PY7" s="20" t="str">
        <f t="shared" si="128"/>
        <v/>
      </c>
      <c r="PZ7" s="20" t="str">
        <f t="shared" si="129"/>
        <v/>
      </c>
      <c r="QA7" s="20" t="str">
        <f t="shared" si="130"/>
        <v/>
      </c>
      <c r="QB7" s="20" t="str">
        <f t="shared" si="131"/>
        <v/>
      </c>
      <c r="QC7" s="20" t="str">
        <f t="shared" si="132"/>
        <v/>
      </c>
      <c r="QD7" s="20" t="str">
        <f t="shared" si="133"/>
        <v/>
      </c>
      <c r="QE7" s="20" t="str">
        <f t="shared" si="134"/>
        <v/>
      </c>
      <c r="QF7" s="38">
        <f t="shared" si="135"/>
        <v>9.4499999999999993</v>
      </c>
      <c r="QG7" s="38">
        <f t="shared" si="136"/>
        <v>3.6</v>
      </c>
      <c r="QH7" s="38">
        <f t="shared" si="137"/>
        <v>0</v>
      </c>
      <c r="QI7" s="38">
        <f t="shared" si="138"/>
        <v>0</v>
      </c>
      <c r="QJ7" s="38">
        <f t="shared" si="139"/>
        <v>8.6999999999999993</v>
      </c>
      <c r="QK7" s="38">
        <f t="shared" si="140"/>
        <v>1.8</v>
      </c>
      <c r="QL7" s="38">
        <f t="shared" si="141"/>
        <v>0</v>
      </c>
      <c r="QM7" s="38">
        <f t="shared" si="142"/>
        <v>0</v>
      </c>
      <c r="QN7" s="38">
        <f t="shared" si="143"/>
        <v>9.4499999999999993</v>
      </c>
      <c r="QO7" s="38">
        <f t="shared" si="144"/>
        <v>3</v>
      </c>
      <c r="QP7" s="38">
        <f t="shared" si="145"/>
        <v>0</v>
      </c>
      <c r="QQ7" s="38">
        <f t="shared" si="146"/>
        <v>0</v>
      </c>
      <c r="QR7" s="38">
        <f t="shared" si="147"/>
        <v>8.6999999999999993</v>
      </c>
      <c r="QS7" s="38">
        <f t="shared" si="148"/>
        <v>1.4</v>
      </c>
      <c r="QT7" s="38">
        <f t="shared" si="149"/>
        <v>0</v>
      </c>
      <c r="QU7" s="38">
        <f t="shared" si="150"/>
        <v>0</v>
      </c>
      <c r="QV7" s="38">
        <f t="shared" si="151"/>
        <v>8.6999999999999993</v>
      </c>
      <c r="QW7" s="38">
        <f t="shared" si="152"/>
        <v>1.2</v>
      </c>
      <c r="QX7" s="38">
        <f t="shared" si="153"/>
        <v>0</v>
      </c>
      <c r="QY7" s="38">
        <f t="shared" si="154"/>
        <v>0</v>
      </c>
      <c r="QZ7" s="45" t="s">
        <v>46</v>
      </c>
      <c r="RA7" s="79">
        <f t="shared" si="155"/>
        <v>5.4</v>
      </c>
      <c r="RB7" s="79">
        <f t="shared" si="156"/>
        <v>23.55</v>
      </c>
      <c r="RC7" s="79">
        <f t="shared" si="157"/>
        <v>12.45</v>
      </c>
      <c r="RD7" s="79">
        <f t="shared" si="158"/>
        <v>8.4</v>
      </c>
      <c r="RE7" s="79">
        <f t="shared" si="159"/>
        <v>36</v>
      </c>
      <c r="RF7" s="79">
        <f t="shared" si="160"/>
        <v>2.5999999999999996</v>
      </c>
      <c r="RG7" s="79">
        <f t="shared" si="161"/>
        <v>19.999999999999996</v>
      </c>
      <c r="RH7" s="79">
        <f t="shared" si="162"/>
        <v>43.55</v>
      </c>
    </row>
    <row r="8" spans="1:476" x14ac:dyDescent="0.2">
      <c r="A8" s="5">
        <f t="shared" si="163"/>
        <v>5</v>
      </c>
      <c r="B8" s="78" t="s">
        <v>73</v>
      </c>
      <c r="C8" s="5" t="s">
        <v>4</v>
      </c>
      <c r="D8" s="5">
        <v>2002</v>
      </c>
      <c r="E8" s="15">
        <f t="shared" si="0"/>
        <v>152.80000743002489</v>
      </c>
      <c r="F8" s="3" t="str">
        <f t="shared" si="1"/>
        <v>P</v>
      </c>
      <c r="G8" s="3" t="str">
        <f t="shared" si="2"/>
        <v>P</v>
      </c>
      <c r="H8" s="67" t="str">
        <f t="shared" si="3"/>
        <v>National Team</v>
      </c>
      <c r="I8" s="14">
        <f>IF(COUNT(AR8,BU8,CX8)&gt;0,LARGE((AR8,BU8,CX8),1),0)</f>
        <v>48.8</v>
      </c>
      <c r="J8" s="14" t="str">
        <f t="shared" si="4"/>
        <v>2022 Elite Canada</v>
      </c>
      <c r="K8" s="14">
        <f>IF(COUNT(AR8,BU8,CX8)&gt;1,LARGE((AR8,BU8,CX8),2),0)</f>
        <v>2.0000000000000001E-4</v>
      </c>
      <c r="L8" s="14" t="str">
        <f t="shared" si="5"/>
        <v>2021 Elite Canada</v>
      </c>
      <c r="M8" s="14">
        <f>IF(COUNT(AS8,BV8,CY8)&gt;0,LARGE((AS8,BV8,CY8),1),0)</f>
        <v>25.5</v>
      </c>
      <c r="N8" s="14" t="str">
        <f t="shared" si="6"/>
        <v>2022 Elite Canada</v>
      </c>
      <c r="O8" s="14">
        <f>IF(COUNT(AS8,BV8,CY8)&gt;1,LARGE((AS8,BV8,CY8),2),0)</f>
        <v>0</v>
      </c>
      <c r="P8" s="14" t="str">
        <f t="shared" si="7"/>
        <v/>
      </c>
      <c r="Q8" s="14">
        <f t="shared" si="8"/>
        <v>26.700000000000003</v>
      </c>
      <c r="R8" s="14" t="str">
        <f t="shared" si="9"/>
        <v>2022 Elite Canada</v>
      </c>
      <c r="S8" s="14">
        <f t="shared" si="10"/>
        <v>51.799800000000005</v>
      </c>
      <c r="T8" s="20" t="str">
        <f t="shared" si="11"/>
        <v>(Q1)</v>
      </c>
      <c r="U8" s="14" t="str">
        <f t="shared" si="12"/>
        <v>2022 World Games Technical Trial #1 (Mar 12)</v>
      </c>
      <c r="V8" s="27">
        <v>1E-4</v>
      </c>
      <c r="W8" s="27">
        <v>1E-4</v>
      </c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>
        <f t="shared" si="13"/>
        <v>1E-4</v>
      </c>
      <c r="AR8" s="79">
        <f t="shared" si="14"/>
        <v>2.0000000000000001E-4</v>
      </c>
      <c r="AS8" s="79" t="str">
        <f t="shared" si="15"/>
        <v/>
      </c>
      <c r="AT8" s="79">
        <f t="shared" si="16"/>
        <v>1E-4</v>
      </c>
      <c r="AU8" s="79">
        <f t="shared" si="17"/>
        <v>2.0000000000000001E-4</v>
      </c>
      <c r="AV8" s="79" t="str">
        <f t="shared" si="18"/>
        <v/>
      </c>
      <c r="AW8" s="79" t="str">
        <f t="shared" si="19"/>
        <v/>
      </c>
      <c r="AX8" s="79">
        <f t="shared" si="20"/>
        <v>2.0000000000000001E-4</v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 t="shared" si="21"/>
        <v/>
      </c>
      <c r="BU8" s="20" t="str">
        <f t="shared" si="22"/>
        <v/>
      </c>
      <c r="BV8" s="20" t="str">
        <f t="shared" si="23"/>
        <v/>
      </c>
      <c r="BW8" s="20" t="str">
        <f t="shared" si="24"/>
        <v/>
      </c>
      <c r="BX8" s="20" t="str">
        <f t="shared" si="25"/>
        <v/>
      </c>
      <c r="BY8" s="20" t="str">
        <f t="shared" si="26"/>
        <v/>
      </c>
      <c r="BZ8" s="20" t="str">
        <f t="shared" si="27"/>
        <v/>
      </c>
      <c r="CA8" s="20" t="str">
        <f t="shared" si="28"/>
        <v/>
      </c>
      <c r="CB8" s="27">
        <v>18.7</v>
      </c>
      <c r="CC8" s="27">
        <v>7.3</v>
      </c>
      <c r="CD8" s="27">
        <v>0.6</v>
      </c>
      <c r="CE8" s="27">
        <v>0</v>
      </c>
      <c r="CF8" s="27">
        <v>17.8</v>
      </c>
      <c r="CG8" s="27">
        <v>6.4</v>
      </c>
      <c r="CH8" s="27">
        <v>0.8</v>
      </c>
      <c r="CI8" s="27">
        <v>0</v>
      </c>
      <c r="CJ8" s="27">
        <v>18.5</v>
      </c>
      <c r="CK8" s="27">
        <v>7.6</v>
      </c>
      <c r="CL8" s="27">
        <v>0.6</v>
      </c>
      <c r="CM8" s="27">
        <v>0</v>
      </c>
      <c r="CN8" s="27">
        <v>18.5</v>
      </c>
      <c r="CO8" s="27">
        <v>8.1</v>
      </c>
      <c r="CP8" s="27">
        <v>0.2</v>
      </c>
      <c r="CQ8" s="27">
        <v>0.3</v>
      </c>
      <c r="CR8" s="27">
        <v>0</v>
      </c>
      <c r="CS8" s="27">
        <v>0</v>
      </c>
      <c r="CT8" s="27">
        <v>0</v>
      </c>
      <c r="CU8" s="27">
        <v>0</v>
      </c>
      <c r="CV8" s="45"/>
      <c r="CW8" s="79">
        <f t="shared" si="29"/>
        <v>13.7</v>
      </c>
      <c r="CX8" s="79">
        <f t="shared" si="30"/>
        <v>48.8</v>
      </c>
      <c r="CY8" s="79">
        <f t="shared" si="31"/>
        <v>25.5</v>
      </c>
      <c r="CZ8" s="79">
        <f t="shared" si="32"/>
        <v>21.299999999999997</v>
      </c>
      <c r="DA8" s="79">
        <f t="shared" si="33"/>
        <v>74.3</v>
      </c>
      <c r="DB8" s="79">
        <f t="shared" si="34"/>
        <v>8.1</v>
      </c>
      <c r="DC8" s="79">
        <f t="shared" si="35"/>
        <v>26.700000000000003</v>
      </c>
      <c r="DD8" s="79">
        <f t="shared" si="36"/>
        <v>75.5</v>
      </c>
      <c r="DE8" s="80">
        <f t="shared" si="37"/>
        <v>51.799800000000005</v>
      </c>
      <c r="DF8" s="80"/>
      <c r="DG8" s="80">
        <f t="shared" si="38"/>
        <v>19.599999999999987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 t="shared" si="39"/>
        <v/>
      </c>
      <c r="EC8" s="79" t="str">
        <f t="shared" si="40"/>
        <v/>
      </c>
      <c r="ED8" s="79" t="str">
        <f t="shared" si="41"/>
        <v/>
      </c>
      <c r="EE8" s="79" t="str">
        <f t="shared" si="42"/>
        <v/>
      </c>
      <c r="EF8" s="79" t="str">
        <f t="shared" si="43"/>
        <v/>
      </c>
      <c r="EG8" s="79" t="str">
        <f t="shared" si="44"/>
        <v/>
      </c>
      <c r="EH8" s="79" t="str">
        <f t="shared" si="45"/>
        <v/>
      </c>
      <c r="EI8" s="79" t="str">
        <f t="shared" si="46"/>
        <v/>
      </c>
      <c r="EJ8" s="26">
        <v>18.5</v>
      </c>
      <c r="EK8" s="26">
        <v>7.3</v>
      </c>
      <c r="EL8" s="26">
        <v>0</v>
      </c>
      <c r="EM8" s="26">
        <v>0</v>
      </c>
      <c r="EN8" s="26">
        <v>18.399999999999999</v>
      </c>
      <c r="EO8" s="26">
        <v>7.6</v>
      </c>
      <c r="EP8" s="26">
        <v>0</v>
      </c>
      <c r="EQ8" s="26">
        <v>0</v>
      </c>
      <c r="ER8" s="26"/>
      <c r="ES8" s="26"/>
      <c r="ET8" s="26"/>
      <c r="EU8" s="26"/>
      <c r="EV8" s="26">
        <v>17.2</v>
      </c>
      <c r="EW8" s="26">
        <v>4</v>
      </c>
      <c r="EX8" s="26">
        <v>0</v>
      </c>
      <c r="EY8" s="26">
        <v>0</v>
      </c>
      <c r="EZ8" s="26">
        <v>18.399999999999999</v>
      </c>
      <c r="FA8" s="26">
        <v>7.3</v>
      </c>
      <c r="FB8" s="26">
        <v>0.6</v>
      </c>
      <c r="FC8" s="26">
        <v>0</v>
      </c>
      <c r="FD8" s="20">
        <f t="shared" si="47"/>
        <v>14.899999999999999</v>
      </c>
      <c r="FE8" s="20">
        <f t="shared" si="48"/>
        <v>51.800000000000004</v>
      </c>
      <c r="FF8" s="20" t="str">
        <f t="shared" si="49"/>
        <v/>
      </c>
      <c r="FG8" s="20">
        <f t="shared" si="50"/>
        <v>14.899999999999999</v>
      </c>
      <c r="FH8" s="20">
        <f t="shared" si="51"/>
        <v>51.800000000000004</v>
      </c>
      <c r="FI8" s="20">
        <f t="shared" si="52"/>
        <v>11.3</v>
      </c>
      <c r="FJ8" s="20">
        <f t="shared" si="53"/>
        <v>46.29999999999999</v>
      </c>
      <c r="FK8" s="20">
        <f t="shared" si="54"/>
        <v>98.1</v>
      </c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79" t="str">
        <f t="shared" si="55"/>
        <v/>
      </c>
      <c r="GG8" s="79" t="str">
        <f t="shared" si="56"/>
        <v/>
      </c>
      <c r="GH8" s="79" t="str">
        <f t="shared" si="57"/>
        <v/>
      </c>
      <c r="GI8" s="79" t="str">
        <f t="shared" si="58"/>
        <v/>
      </c>
      <c r="GJ8" s="79" t="str">
        <f t="shared" si="59"/>
        <v/>
      </c>
      <c r="GK8" s="79" t="str">
        <f t="shared" si="60"/>
        <v/>
      </c>
      <c r="GL8" s="79" t="str">
        <f t="shared" si="61"/>
        <v/>
      </c>
      <c r="GM8" s="79" t="str">
        <f t="shared" si="62"/>
        <v/>
      </c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0" t="str">
        <f t="shared" si="63"/>
        <v/>
      </c>
      <c r="HI8" s="20" t="str">
        <f t="shared" si="64"/>
        <v/>
      </c>
      <c r="HJ8" s="20" t="str">
        <f t="shared" si="65"/>
        <v/>
      </c>
      <c r="HK8" s="20" t="str">
        <f t="shared" si="66"/>
        <v/>
      </c>
      <c r="HL8" s="20" t="str">
        <f t="shared" si="67"/>
        <v/>
      </c>
      <c r="HM8" s="20" t="str">
        <f t="shared" si="68"/>
        <v/>
      </c>
      <c r="HN8" s="20" t="str">
        <f t="shared" si="69"/>
        <v/>
      </c>
      <c r="HO8" s="20" t="str">
        <f t="shared" si="70"/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 t="shared" si="71"/>
        <v/>
      </c>
      <c r="IK8" s="79" t="str">
        <f t="shared" si="72"/>
        <v/>
      </c>
      <c r="IL8" s="79" t="str">
        <f t="shared" si="73"/>
        <v/>
      </c>
      <c r="IM8" s="79" t="str">
        <f t="shared" si="74"/>
        <v/>
      </c>
      <c r="IN8" s="79" t="str">
        <f t="shared" si="75"/>
        <v/>
      </c>
      <c r="IO8" s="79" t="str">
        <f t="shared" si="76"/>
        <v/>
      </c>
      <c r="IP8" s="79" t="str">
        <f t="shared" si="77"/>
        <v/>
      </c>
      <c r="IQ8" s="79" t="str">
        <f t="shared" si="78"/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 t="shared" si="79"/>
        <v/>
      </c>
      <c r="JM8" s="20" t="str">
        <f t="shared" si="80"/>
        <v/>
      </c>
      <c r="JN8" s="20" t="str">
        <f t="shared" si="81"/>
        <v/>
      </c>
      <c r="JO8" s="20" t="str">
        <f t="shared" si="82"/>
        <v/>
      </c>
      <c r="JP8" s="20" t="str">
        <f t="shared" si="83"/>
        <v/>
      </c>
      <c r="JQ8" s="20" t="str">
        <f t="shared" si="84"/>
        <v/>
      </c>
      <c r="JR8" s="20" t="str">
        <f t="shared" si="85"/>
        <v/>
      </c>
      <c r="JS8" s="20" t="str">
        <f t="shared" si="86"/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 t="shared" si="87"/>
        <v/>
      </c>
      <c r="KO8" s="79" t="str">
        <f t="shared" si="88"/>
        <v/>
      </c>
      <c r="KP8" s="79" t="str">
        <f t="shared" si="89"/>
        <v/>
      </c>
      <c r="KQ8" s="79" t="str">
        <f t="shared" si="90"/>
        <v/>
      </c>
      <c r="KR8" s="79" t="str">
        <f t="shared" si="91"/>
        <v/>
      </c>
      <c r="KS8" s="79" t="str">
        <f t="shared" si="92"/>
        <v/>
      </c>
      <c r="KT8" s="79" t="str">
        <f t="shared" si="93"/>
        <v/>
      </c>
      <c r="KU8" s="79" t="str">
        <f t="shared" si="94"/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 t="shared" si="95"/>
        <v/>
      </c>
      <c r="LQ8" s="20" t="str">
        <f t="shared" si="96"/>
        <v/>
      </c>
      <c r="LR8" s="20" t="str">
        <f t="shared" si="97"/>
        <v/>
      </c>
      <c r="LS8" s="20" t="str">
        <f t="shared" si="98"/>
        <v/>
      </c>
      <c r="LT8" s="20" t="str">
        <f t="shared" si="99"/>
        <v/>
      </c>
      <c r="LU8" s="20" t="str">
        <f t="shared" si="100"/>
        <v/>
      </c>
      <c r="LV8" s="20" t="str">
        <f t="shared" si="101"/>
        <v/>
      </c>
      <c r="LW8" s="20" t="str">
        <f t="shared" si="102"/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 t="shared" si="103"/>
        <v/>
      </c>
      <c r="MS8" s="79" t="str">
        <f t="shared" si="104"/>
        <v/>
      </c>
      <c r="MT8" s="79" t="str">
        <f t="shared" si="105"/>
        <v/>
      </c>
      <c r="MU8" s="79" t="str">
        <f t="shared" si="106"/>
        <v/>
      </c>
      <c r="MV8" s="79" t="str">
        <f t="shared" si="107"/>
        <v/>
      </c>
      <c r="MW8" s="79" t="str">
        <f t="shared" si="108"/>
        <v/>
      </c>
      <c r="MX8" s="79" t="str">
        <f t="shared" si="109"/>
        <v/>
      </c>
      <c r="MY8" s="79" t="str">
        <f t="shared" si="110"/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 t="shared" si="111"/>
        <v/>
      </c>
      <c r="NU8" s="20" t="str">
        <f t="shared" si="112"/>
        <v/>
      </c>
      <c r="NV8" s="20" t="str">
        <f t="shared" si="113"/>
        <v/>
      </c>
      <c r="NW8" s="20" t="str">
        <f t="shared" si="114"/>
        <v/>
      </c>
      <c r="NX8" s="20" t="str">
        <f t="shared" si="115"/>
        <v/>
      </c>
      <c r="NY8" s="20" t="str">
        <f t="shared" si="116"/>
        <v/>
      </c>
      <c r="NZ8" s="20" t="str">
        <f t="shared" si="117"/>
        <v/>
      </c>
      <c r="OA8" s="20" t="str">
        <f t="shared" si="118"/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 t="shared" si="119"/>
        <v/>
      </c>
      <c r="OW8" s="79" t="str">
        <f t="shared" si="120"/>
        <v/>
      </c>
      <c r="OX8" s="79" t="str">
        <f t="shared" si="121"/>
        <v/>
      </c>
      <c r="OY8" s="79" t="str">
        <f t="shared" si="122"/>
        <v/>
      </c>
      <c r="OZ8" s="79" t="str">
        <f t="shared" si="123"/>
        <v/>
      </c>
      <c r="PA8" s="79" t="str">
        <f t="shared" si="124"/>
        <v/>
      </c>
      <c r="PB8" s="79" t="str">
        <f t="shared" si="125"/>
        <v/>
      </c>
      <c r="PC8" s="79" t="str">
        <f t="shared" si="126"/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 t="shared" si="127"/>
        <v/>
      </c>
      <c r="PY8" s="20" t="str">
        <f t="shared" si="128"/>
        <v/>
      </c>
      <c r="PZ8" s="20" t="str">
        <f t="shared" si="129"/>
        <v/>
      </c>
      <c r="QA8" s="20" t="str">
        <f t="shared" si="130"/>
        <v/>
      </c>
      <c r="QB8" s="20" t="str">
        <f t="shared" si="131"/>
        <v/>
      </c>
      <c r="QC8" s="20" t="str">
        <f t="shared" si="132"/>
        <v/>
      </c>
      <c r="QD8" s="20" t="str">
        <f t="shared" si="133"/>
        <v/>
      </c>
      <c r="QE8" s="20" t="str">
        <f t="shared" si="134"/>
        <v/>
      </c>
      <c r="QF8" s="38">
        <f t="shared" si="135"/>
        <v>9.35</v>
      </c>
      <c r="QG8" s="38">
        <f t="shared" si="136"/>
        <v>3.65</v>
      </c>
      <c r="QH8" s="38">
        <f t="shared" si="137"/>
        <v>0.3</v>
      </c>
      <c r="QI8" s="38">
        <f t="shared" si="138"/>
        <v>0</v>
      </c>
      <c r="QJ8" s="38">
        <f t="shared" si="139"/>
        <v>8.9</v>
      </c>
      <c r="QK8" s="38">
        <f t="shared" si="140"/>
        <v>3.2</v>
      </c>
      <c r="QL8" s="38">
        <f t="shared" si="141"/>
        <v>0.4</v>
      </c>
      <c r="QM8" s="38">
        <f t="shared" si="142"/>
        <v>0</v>
      </c>
      <c r="QN8" s="38">
        <f t="shared" si="143"/>
        <v>9.25</v>
      </c>
      <c r="QO8" s="38">
        <f t="shared" si="144"/>
        <v>3.8</v>
      </c>
      <c r="QP8" s="38">
        <f t="shared" si="145"/>
        <v>0.3</v>
      </c>
      <c r="QQ8" s="38">
        <f t="shared" si="146"/>
        <v>0</v>
      </c>
      <c r="QR8" s="38">
        <f t="shared" si="147"/>
        <v>9.25</v>
      </c>
      <c r="QS8" s="38">
        <f t="shared" si="148"/>
        <v>4.05</v>
      </c>
      <c r="QT8" s="38">
        <f t="shared" si="149"/>
        <v>0.1</v>
      </c>
      <c r="QU8" s="38">
        <f t="shared" si="150"/>
        <v>0.15</v>
      </c>
      <c r="QV8" s="38">
        <f t="shared" si="151"/>
        <v>0</v>
      </c>
      <c r="QW8" s="38">
        <f t="shared" si="152"/>
        <v>0</v>
      </c>
      <c r="QX8" s="38">
        <f t="shared" si="153"/>
        <v>0</v>
      </c>
      <c r="QY8" s="38">
        <f t="shared" si="154"/>
        <v>0</v>
      </c>
      <c r="QZ8" s="45" t="s">
        <v>46</v>
      </c>
      <c r="RA8" s="79">
        <f t="shared" si="155"/>
        <v>6.85</v>
      </c>
      <c r="RB8" s="79">
        <f t="shared" si="156"/>
        <v>24.4</v>
      </c>
      <c r="RC8" s="79">
        <f t="shared" si="157"/>
        <v>12.75</v>
      </c>
      <c r="RD8" s="79">
        <f t="shared" si="158"/>
        <v>10.649999999999999</v>
      </c>
      <c r="RE8" s="79">
        <f t="shared" si="159"/>
        <v>37.15</v>
      </c>
      <c r="RF8" s="79">
        <f t="shared" si="160"/>
        <v>4.05</v>
      </c>
      <c r="RG8" s="79">
        <f t="shared" si="161"/>
        <v>13.350000000000001</v>
      </c>
      <c r="RH8" s="79">
        <f t="shared" si="162"/>
        <v>37.75</v>
      </c>
    </row>
    <row r="9" spans="1:476" x14ac:dyDescent="0.2">
      <c r="A9" s="5">
        <f t="shared" si="163"/>
        <v>6</v>
      </c>
      <c r="B9" s="78" t="s">
        <v>88</v>
      </c>
      <c r="C9" s="5" t="s">
        <v>4</v>
      </c>
      <c r="D9" s="5">
        <v>2004</v>
      </c>
      <c r="E9" s="15">
        <f t="shared" si="0"/>
        <v>122.90010731001487</v>
      </c>
      <c r="F9" s="3" t="str">
        <f t="shared" si="1"/>
        <v>P</v>
      </c>
      <c r="G9" s="3" t="str">
        <f t="shared" si="2"/>
        <v>P</v>
      </c>
      <c r="H9" s="67" t="str">
        <f t="shared" si="3"/>
        <v>National Team</v>
      </c>
      <c r="I9" s="14">
        <f>IF(COUNT(AR9,BU9,CX9)&gt;0,LARGE((AR9,BU9,CX9),1),0)</f>
        <v>48.8</v>
      </c>
      <c r="J9" s="14" t="str">
        <f t="shared" si="4"/>
        <v>2022 Elite Canada</v>
      </c>
      <c r="K9" s="14">
        <f>IF(COUNT(AR9,BU9,CX9)&gt;1,LARGE((AR9,BU9,CX9),2),0)</f>
        <v>1E-4</v>
      </c>
      <c r="L9" s="14" t="str">
        <f t="shared" si="5"/>
        <v>2021 Canadian Championships</v>
      </c>
      <c r="M9" s="14">
        <f>IF(COUNT(AS9,BV9,CY9)&gt;0,LARGE((AS9,BV9,CY9),1),0)</f>
        <v>24.3</v>
      </c>
      <c r="N9" s="14" t="str">
        <f t="shared" si="6"/>
        <v>2022 Elite Canada</v>
      </c>
      <c r="O9" s="14">
        <f>IF(COUNT(AS9,BV9,CY9)&gt;1,LARGE((AS9,BV9,CY9),2),0)</f>
        <v>0</v>
      </c>
      <c r="P9" s="14" t="str">
        <f t="shared" si="7"/>
        <v/>
      </c>
      <c r="Q9" s="14">
        <f t="shared" si="8"/>
        <v>49.8</v>
      </c>
      <c r="R9" s="14" t="str">
        <f t="shared" si="9"/>
        <v>2022 Elite Canada</v>
      </c>
      <c r="S9" s="14" t="str">
        <f t="shared" si="10"/>
        <v/>
      </c>
      <c r="T9" s="20" t="str">
        <f t="shared" si="11"/>
        <v/>
      </c>
      <c r="U9" s="14" t="str">
        <f t="shared" si="12"/>
        <v/>
      </c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 t="str">
        <f t="shared" si="13"/>
        <v/>
      </c>
      <c r="AR9" s="79" t="str">
        <f t="shared" si="14"/>
        <v/>
      </c>
      <c r="AS9" s="79" t="str">
        <f t="shared" si="15"/>
        <v/>
      </c>
      <c r="AT9" s="79" t="str">
        <f t="shared" si="16"/>
        <v/>
      </c>
      <c r="AU9" s="79" t="str">
        <f t="shared" si="17"/>
        <v/>
      </c>
      <c r="AV9" s="79" t="str">
        <f t="shared" si="18"/>
        <v/>
      </c>
      <c r="AW9" s="79" t="str">
        <f t="shared" si="19"/>
        <v/>
      </c>
      <c r="AX9" s="79" t="str">
        <f t="shared" si="20"/>
        <v/>
      </c>
      <c r="AY9" s="26"/>
      <c r="AZ9" s="26">
        <v>1E-4</v>
      </c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>
        <f t="shared" si="21"/>
        <v>1E-4</v>
      </c>
      <c r="BU9" s="20">
        <f t="shared" si="22"/>
        <v>1E-4</v>
      </c>
      <c r="BV9" s="20" t="str">
        <f t="shared" si="23"/>
        <v/>
      </c>
      <c r="BW9" s="20">
        <f t="shared" si="24"/>
        <v>1E-4</v>
      </c>
      <c r="BX9" s="20">
        <f t="shared" si="25"/>
        <v>1E-4</v>
      </c>
      <c r="BY9" s="20" t="str">
        <f t="shared" si="26"/>
        <v/>
      </c>
      <c r="BZ9" s="20" t="str">
        <f t="shared" si="27"/>
        <v/>
      </c>
      <c r="CA9" s="20">
        <f t="shared" si="28"/>
        <v>1E-4</v>
      </c>
      <c r="CB9" s="27">
        <v>18.7</v>
      </c>
      <c r="CC9" s="27">
        <v>6.8</v>
      </c>
      <c r="CD9" s="27">
        <v>0.6</v>
      </c>
      <c r="CE9" s="27">
        <v>0</v>
      </c>
      <c r="CF9" s="27">
        <v>18.899999999999999</v>
      </c>
      <c r="CG9" s="27">
        <v>5.6</v>
      </c>
      <c r="CH9" s="27">
        <v>0.6</v>
      </c>
      <c r="CI9" s="27">
        <v>0</v>
      </c>
      <c r="CJ9" s="27">
        <v>18.5</v>
      </c>
      <c r="CK9" s="27">
        <v>6</v>
      </c>
      <c r="CL9" s="27">
        <v>0.2</v>
      </c>
      <c r="CM9" s="27">
        <v>0</v>
      </c>
      <c r="CN9" s="27">
        <v>18.7</v>
      </c>
      <c r="CO9" s="27">
        <v>6.8</v>
      </c>
      <c r="CP9" s="27">
        <v>0.8</v>
      </c>
      <c r="CQ9" s="27">
        <v>0</v>
      </c>
      <c r="CR9" s="27">
        <v>19.3</v>
      </c>
      <c r="CS9" s="27">
        <v>6.4</v>
      </c>
      <c r="CT9" s="27">
        <v>0.6</v>
      </c>
      <c r="CU9" s="27">
        <v>0</v>
      </c>
      <c r="CV9" s="45"/>
      <c r="CW9" s="79">
        <f t="shared" si="29"/>
        <v>12.399999999999999</v>
      </c>
      <c r="CX9" s="79">
        <f t="shared" si="30"/>
        <v>48.8</v>
      </c>
      <c r="CY9" s="79">
        <f t="shared" si="31"/>
        <v>24.3</v>
      </c>
      <c r="CZ9" s="79">
        <f t="shared" si="32"/>
        <v>18.399999999999999</v>
      </c>
      <c r="DA9" s="79">
        <f t="shared" si="33"/>
        <v>73.099999999999994</v>
      </c>
      <c r="DB9" s="79">
        <f t="shared" si="34"/>
        <v>13.2</v>
      </c>
      <c r="DC9" s="79">
        <f t="shared" si="35"/>
        <v>49.8</v>
      </c>
      <c r="DD9" s="79">
        <f t="shared" si="36"/>
        <v>98.6</v>
      </c>
      <c r="DE9" s="80" t="str">
        <f t="shared" si="37"/>
        <v/>
      </c>
      <c r="DF9" s="80"/>
      <c r="DG9" s="80" t="str">
        <f t="shared" si="38"/>
        <v/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 t="shared" si="39"/>
        <v/>
      </c>
      <c r="EC9" s="79" t="str">
        <f t="shared" si="40"/>
        <v/>
      </c>
      <c r="ED9" s="79" t="str">
        <f t="shared" si="41"/>
        <v/>
      </c>
      <c r="EE9" s="79" t="str">
        <f t="shared" si="42"/>
        <v/>
      </c>
      <c r="EF9" s="79" t="str">
        <f t="shared" si="43"/>
        <v/>
      </c>
      <c r="EG9" s="79" t="str">
        <f t="shared" si="44"/>
        <v/>
      </c>
      <c r="EH9" s="79" t="str">
        <f t="shared" si="45"/>
        <v/>
      </c>
      <c r="EI9" s="79" t="str">
        <f t="shared" si="46"/>
        <v/>
      </c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0" t="str">
        <f t="shared" si="47"/>
        <v/>
      </c>
      <c r="FE9" s="20" t="str">
        <f t="shared" si="48"/>
        <v/>
      </c>
      <c r="FF9" s="20" t="str">
        <f t="shared" si="49"/>
        <v/>
      </c>
      <c r="FG9" s="20" t="str">
        <f t="shared" si="50"/>
        <v/>
      </c>
      <c r="FH9" s="20" t="str">
        <f t="shared" si="51"/>
        <v/>
      </c>
      <c r="FI9" s="20" t="str">
        <f t="shared" si="52"/>
        <v/>
      </c>
      <c r="FJ9" s="20" t="str">
        <f t="shared" si="53"/>
        <v/>
      </c>
      <c r="FK9" s="20" t="str">
        <f t="shared" si="54"/>
        <v/>
      </c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79" t="str">
        <f t="shared" si="55"/>
        <v/>
      </c>
      <c r="GG9" s="79" t="str">
        <f t="shared" si="56"/>
        <v/>
      </c>
      <c r="GH9" s="79" t="str">
        <f t="shared" si="57"/>
        <v/>
      </c>
      <c r="GI9" s="79" t="str">
        <f t="shared" si="58"/>
        <v/>
      </c>
      <c r="GJ9" s="79" t="str">
        <f t="shared" si="59"/>
        <v/>
      </c>
      <c r="GK9" s="79" t="str">
        <f t="shared" si="60"/>
        <v/>
      </c>
      <c r="GL9" s="79" t="str">
        <f t="shared" si="61"/>
        <v/>
      </c>
      <c r="GM9" s="79" t="str">
        <f t="shared" si="62"/>
        <v/>
      </c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0" t="str">
        <f t="shared" si="63"/>
        <v/>
      </c>
      <c r="HI9" s="20" t="str">
        <f t="shared" si="64"/>
        <v/>
      </c>
      <c r="HJ9" s="20" t="str">
        <f t="shared" si="65"/>
        <v/>
      </c>
      <c r="HK9" s="20" t="str">
        <f t="shared" si="66"/>
        <v/>
      </c>
      <c r="HL9" s="20" t="str">
        <f t="shared" si="67"/>
        <v/>
      </c>
      <c r="HM9" s="20" t="str">
        <f t="shared" si="68"/>
        <v/>
      </c>
      <c r="HN9" s="20" t="str">
        <f t="shared" si="69"/>
        <v/>
      </c>
      <c r="HO9" s="20" t="str">
        <f t="shared" si="70"/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 t="shared" si="71"/>
        <v/>
      </c>
      <c r="IK9" s="79" t="str">
        <f t="shared" si="72"/>
        <v/>
      </c>
      <c r="IL9" s="79" t="str">
        <f t="shared" si="73"/>
        <v/>
      </c>
      <c r="IM9" s="79" t="str">
        <f t="shared" si="74"/>
        <v/>
      </c>
      <c r="IN9" s="79" t="str">
        <f t="shared" si="75"/>
        <v/>
      </c>
      <c r="IO9" s="79" t="str">
        <f t="shared" si="76"/>
        <v/>
      </c>
      <c r="IP9" s="79" t="str">
        <f t="shared" si="77"/>
        <v/>
      </c>
      <c r="IQ9" s="79" t="str">
        <f t="shared" si="78"/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 t="shared" si="79"/>
        <v/>
      </c>
      <c r="JM9" s="20" t="str">
        <f t="shared" si="80"/>
        <v/>
      </c>
      <c r="JN9" s="20" t="str">
        <f t="shared" si="81"/>
        <v/>
      </c>
      <c r="JO9" s="20" t="str">
        <f t="shared" si="82"/>
        <v/>
      </c>
      <c r="JP9" s="20" t="str">
        <f t="shared" si="83"/>
        <v/>
      </c>
      <c r="JQ9" s="20" t="str">
        <f t="shared" si="84"/>
        <v/>
      </c>
      <c r="JR9" s="20" t="str">
        <f t="shared" si="85"/>
        <v/>
      </c>
      <c r="JS9" s="20" t="str">
        <f t="shared" si="86"/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 t="shared" si="87"/>
        <v/>
      </c>
      <c r="KO9" s="79" t="str">
        <f t="shared" si="88"/>
        <v/>
      </c>
      <c r="KP9" s="79" t="str">
        <f t="shared" si="89"/>
        <v/>
      </c>
      <c r="KQ9" s="79" t="str">
        <f t="shared" si="90"/>
        <v/>
      </c>
      <c r="KR9" s="79" t="str">
        <f t="shared" si="91"/>
        <v/>
      </c>
      <c r="KS9" s="79" t="str">
        <f t="shared" si="92"/>
        <v/>
      </c>
      <c r="KT9" s="79" t="str">
        <f t="shared" si="93"/>
        <v/>
      </c>
      <c r="KU9" s="79" t="str">
        <f t="shared" si="94"/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 t="shared" si="95"/>
        <v/>
      </c>
      <c r="LQ9" s="20" t="str">
        <f t="shared" si="96"/>
        <v/>
      </c>
      <c r="LR9" s="20" t="str">
        <f t="shared" si="97"/>
        <v/>
      </c>
      <c r="LS9" s="20" t="str">
        <f t="shared" si="98"/>
        <v/>
      </c>
      <c r="LT9" s="20" t="str">
        <f t="shared" si="99"/>
        <v/>
      </c>
      <c r="LU9" s="20" t="str">
        <f t="shared" si="100"/>
        <v/>
      </c>
      <c r="LV9" s="20" t="str">
        <f t="shared" si="101"/>
        <v/>
      </c>
      <c r="LW9" s="20" t="str">
        <f t="shared" si="102"/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 t="shared" si="103"/>
        <v/>
      </c>
      <c r="MS9" s="79" t="str">
        <f t="shared" si="104"/>
        <v/>
      </c>
      <c r="MT9" s="79" t="str">
        <f t="shared" si="105"/>
        <v/>
      </c>
      <c r="MU9" s="79" t="str">
        <f t="shared" si="106"/>
        <v/>
      </c>
      <c r="MV9" s="79" t="str">
        <f t="shared" si="107"/>
        <v/>
      </c>
      <c r="MW9" s="79" t="str">
        <f t="shared" si="108"/>
        <v/>
      </c>
      <c r="MX9" s="79" t="str">
        <f t="shared" si="109"/>
        <v/>
      </c>
      <c r="MY9" s="79" t="str">
        <f t="shared" si="110"/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 t="shared" si="111"/>
        <v/>
      </c>
      <c r="NU9" s="20" t="str">
        <f t="shared" si="112"/>
        <v/>
      </c>
      <c r="NV9" s="20" t="str">
        <f t="shared" si="113"/>
        <v/>
      </c>
      <c r="NW9" s="20" t="str">
        <f t="shared" si="114"/>
        <v/>
      </c>
      <c r="NX9" s="20" t="str">
        <f t="shared" si="115"/>
        <v/>
      </c>
      <c r="NY9" s="20" t="str">
        <f t="shared" si="116"/>
        <v/>
      </c>
      <c r="NZ9" s="20" t="str">
        <f t="shared" si="117"/>
        <v/>
      </c>
      <c r="OA9" s="20" t="str">
        <f t="shared" si="118"/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 t="shared" si="119"/>
        <v/>
      </c>
      <c r="OW9" s="79" t="str">
        <f t="shared" si="120"/>
        <v/>
      </c>
      <c r="OX9" s="79" t="str">
        <f t="shared" si="121"/>
        <v/>
      </c>
      <c r="OY9" s="79" t="str">
        <f t="shared" si="122"/>
        <v/>
      </c>
      <c r="OZ9" s="79" t="str">
        <f t="shared" si="123"/>
        <v/>
      </c>
      <c r="PA9" s="79" t="str">
        <f t="shared" si="124"/>
        <v/>
      </c>
      <c r="PB9" s="79" t="str">
        <f t="shared" si="125"/>
        <v/>
      </c>
      <c r="PC9" s="79" t="str">
        <f t="shared" si="126"/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 t="shared" si="127"/>
        <v/>
      </c>
      <c r="PY9" s="20" t="str">
        <f t="shared" si="128"/>
        <v/>
      </c>
      <c r="PZ9" s="20" t="str">
        <f t="shared" si="129"/>
        <v/>
      </c>
      <c r="QA9" s="20" t="str">
        <f t="shared" si="130"/>
        <v/>
      </c>
      <c r="QB9" s="20" t="str">
        <f t="shared" si="131"/>
        <v/>
      </c>
      <c r="QC9" s="20" t="str">
        <f t="shared" si="132"/>
        <v/>
      </c>
      <c r="QD9" s="20" t="str">
        <f t="shared" si="133"/>
        <v/>
      </c>
      <c r="QE9" s="20" t="str">
        <f t="shared" si="134"/>
        <v/>
      </c>
      <c r="QF9" s="38">
        <f t="shared" si="135"/>
        <v>9.35</v>
      </c>
      <c r="QG9" s="38">
        <f t="shared" si="136"/>
        <v>3.4000499999999998</v>
      </c>
      <c r="QH9" s="38">
        <f t="shared" si="137"/>
        <v>0.3</v>
      </c>
      <c r="QI9" s="38">
        <f t="shared" si="138"/>
        <v>0</v>
      </c>
      <c r="QJ9" s="38">
        <f t="shared" si="139"/>
        <v>9.4499999999999993</v>
      </c>
      <c r="QK9" s="38">
        <f t="shared" si="140"/>
        <v>2.8</v>
      </c>
      <c r="QL9" s="38">
        <f t="shared" si="141"/>
        <v>0.3</v>
      </c>
      <c r="QM9" s="38">
        <f t="shared" si="142"/>
        <v>0</v>
      </c>
      <c r="QN9" s="38">
        <f t="shared" si="143"/>
        <v>9.25</v>
      </c>
      <c r="QO9" s="38">
        <f t="shared" si="144"/>
        <v>3</v>
      </c>
      <c r="QP9" s="38">
        <f t="shared" si="145"/>
        <v>0.1</v>
      </c>
      <c r="QQ9" s="38">
        <f t="shared" si="146"/>
        <v>0</v>
      </c>
      <c r="QR9" s="38">
        <f t="shared" si="147"/>
        <v>9.35</v>
      </c>
      <c r="QS9" s="38">
        <f t="shared" si="148"/>
        <v>3.4</v>
      </c>
      <c r="QT9" s="38">
        <f t="shared" si="149"/>
        <v>0.4</v>
      </c>
      <c r="QU9" s="38">
        <f t="shared" si="150"/>
        <v>0</v>
      </c>
      <c r="QV9" s="38">
        <f t="shared" si="151"/>
        <v>9.65</v>
      </c>
      <c r="QW9" s="38">
        <f t="shared" si="152"/>
        <v>3.2</v>
      </c>
      <c r="QX9" s="38">
        <f t="shared" si="153"/>
        <v>0.3</v>
      </c>
      <c r="QY9" s="38">
        <f t="shared" si="154"/>
        <v>0</v>
      </c>
      <c r="QZ9" s="45" t="s">
        <v>46</v>
      </c>
      <c r="RA9" s="79">
        <f t="shared" si="155"/>
        <v>6.2000499999999992</v>
      </c>
      <c r="RB9" s="79">
        <f t="shared" si="156"/>
        <v>24.400049999999997</v>
      </c>
      <c r="RC9" s="79">
        <f t="shared" si="157"/>
        <v>12.15</v>
      </c>
      <c r="RD9" s="79">
        <f t="shared" si="158"/>
        <v>9.2000499999999992</v>
      </c>
      <c r="RE9" s="79">
        <f t="shared" si="159"/>
        <v>36.550049999999999</v>
      </c>
      <c r="RF9" s="79">
        <f t="shared" si="160"/>
        <v>6.6</v>
      </c>
      <c r="RG9" s="79">
        <f t="shared" si="161"/>
        <v>24.9</v>
      </c>
      <c r="RH9" s="79">
        <f t="shared" si="162"/>
        <v>49.300049999999999</v>
      </c>
    </row>
    <row r="10" spans="1:476" x14ac:dyDescent="0.2">
      <c r="A10" s="5">
        <f t="shared" si="163"/>
        <v>7</v>
      </c>
      <c r="B10" s="78" t="s">
        <v>74</v>
      </c>
      <c r="C10" s="5" t="s">
        <v>4</v>
      </c>
      <c r="D10" s="5">
        <v>2003</v>
      </c>
      <c r="E10" s="15">
        <f t="shared" si="0"/>
        <v>112.60020696002499</v>
      </c>
      <c r="F10" s="3" t="str">
        <f t="shared" si="1"/>
        <v>P</v>
      </c>
      <c r="G10" s="3" t="str">
        <f t="shared" si="2"/>
        <v>P</v>
      </c>
      <c r="H10" s="67" t="str">
        <f t="shared" si="3"/>
        <v>National Team</v>
      </c>
      <c r="I10" s="14">
        <f>IF(COUNT(AR10,BU10,CX10)&gt;0,LARGE((AR10,BU10,CX10),1),0)</f>
        <v>49.900000000000013</v>
      </c>
      <c r="J10" s="14" t="str">
        <f t="shared" si="4"/>
        <v>2022 Elite Canada</v>
      </c>
      <c r="K10" s="14">
        <f>IF(COUNT(AR10,BU10,CX10)&gt;1,LARGE((AR10,BU10,CX10),2),0)</f>
        <v>2.0000000000000001E-4</v>
      </c>
      <c r="L10" s="14" t="str">
        <f t="shared" si="5"/>
        <v>2021 Elite Canada</v>
      </c>
      <c r="M10" s="14">
        <f>IF(COUNT(AS10,BV10,CY10)&gt;0,LARGE((AS10,BV10,CY10),1),0)</f>
        <v>19.7</v>
      </c>
      <c r="N10" s="14" t="str">
        <f t="shared" si="6"/>
        <v>2022 Elite Canada</v>
      </c>
      <c r="O10" s="14">
        <f>IF(COUNT(AS10,BV10,CY10)&gt;1,LARGE((AS10,BV10,CY10),2),0)</f>
        <v>0</v>
      </c>
      <c r="P10" s="14" t="str">
        <f t="shared" si="7"/>
        <v/>
      </c>
      <c r="Q10" s="14">
        <f t="shared" si="8"/>
        <v>42.999999999999993</v>
      </c>
      <c r="R10" s="14" t="str">
        <f t="shared" si="9"/>
        <v>2022 Elite Canada</v>
      </c>
      <c r="S10" s="14" t="str">
        <f t="shared" si="10"/>
        <v/>
      </c>
      <c r="T10" s="20" t="str">
        <f t="shared" si="11"/>
        <v/>
      </c>
      <c r="U10" s="14" t="str">
        <f t="shared" si="12"/>
        <v/>
      </c>
      <c r="V10" s="27">
        <v>1E-4</v>
      </c>
      <c r="W10" s="27">
        <v>1E-4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>
        <f t="shared" si="13"/>
        <v>1E-4</v>
      </c>
      <c r="AR10" s="79">
        <f t="shared" si="14"/>
        <v>2.0000000000000001E-4</v>
      </c>
      <c r="AS10" s="79" t="str">
        <f t="shared" si="15"/>
        <v/>
      </c>
      <c r="AT10" s="79">
        <f t="shared" si="16"/>
        <v>1E-4</v>
      </c>
      <c r="AU10" s="79">
        <f t="shared" si="17"/>
        <v>2.0000000000000001E-4</v>
      </c>
      <c r="AV10" s="79" t="str">
        <f t="shared" si="18"/>
        <v/>
      </c>
      <c r="AW10" s="79" t="str">
        <f t="shared" si="19"/>
        <v/>
      </c>
      <c r="AX10" s="79">
        <f t="shared" si="20"/>
        <v>2.0000000000000001E-4</v>
      </c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 t="str">
        <f t="shared" si="21"/>
        <v/>
      </c>
      <c r="BU10" s="20" t="str">
        <f t="shared" si="22"/>
        <v/>
      </c>
      <c r="BV10" s="20" t="str">
        <f t="shared" si="23"/>
        <v/>
      </c>
      <c r="BW10" s="20" t="str">
        <f t="shared" si="24"/>
        <v/>
      </c>
      <c r="BX10" s="20" t="str">
        <f t="shared" si="25"/>
        <v/>
      </c>
      <c r="BY10" s="20" t="str">
        <f t="shared" si="26"/>
        <v/>
      </c>
      <c r="BZ10" s="20" t="str">
        <f t="shared" si="27"/>
        <v/>
      </c>
      <c r="CA10" s="20" t="str">
        <f t="shared" si="28"/>
        <v/>
      </c>
      <c r="CB10" s="27">
        <v>18.600000000000001</v>
      </c>
      <c r="CC10" s="27">
        <v>7.6</v>
      </c>
      <c r="CD10" s="27">
        <v>0.8</v>
      </c>
      <c r="CE10" s="27">
        <v>0</v>
      </c>
      <c r="CF10" s="27">
        <v>18.100000000000001</v>
      </c>
      <c r="CG10" s="27">
        <v>7.2</v>
      </c>
      <c r="CH10" s="27">
        <v>0.8</v>
      </c>
      <c r="CI10" s="27">
        <v>0</v>
      </c>
      <c r="CJ10" s="27">
        <v>17.3</v>
      </c>
      <c r="CK10" s="27">
        <v>2.4</v>
      </c>
      <c r="CL10" s="27">
        <v>0</v>
      </c>
      <c r="CM10" s="27">
        <v>0</v>
      </c>
      <c r="CN10" s="27">
        <v>18.5</v>
      </c>
      <c r="CO10" s="27">
        <v>6.8</v>
      </c>
      <c r="CP10" s="27">
        <v>0.2</v>
      </c>
      <c r="CQ10" s="27">
        <v>0</v>
      </c>
      <c r="CR10" s="27">
        <v>18.5</v>
      </c>
      <c r="CS10" s="27">
        <v>2.8</v>
      </c>
      <c r="CT10" s="27">
        <v>3.4</v>
      </c>
      <c r="CU10" s="27">
        <v>0</v>
      </c>
      <c r="CV10" s="45"/>
      <c r="CW10" s="79">
        <f t="shared" si="29"/>
        <v>14.8</v>
      </c>
      <c r="CX10" s="79">
        <f t="shared" si="30"/>
        <v>49.900000000000013</v>
      </c>
      <c r="CY10" s="79">
        <f t="shared" si="31"/>
        <v>19.7</v>
      </c>
      <c r="CZ10" s="79">
        <f t="shared" si="32"/>
        <v>17.2</v>
      </c>
      <c r="DA10" s="79">
        <f t="shared" si="33"/>
        <v>69.600000000000009</v>
      </c>
      <c r="DB10" s="79">
        <f t="shared" si="34"/>
        <v>9.6</v>
      </c>
      <c r="DC10" s="79">
        <f t="shared" si="35"/>
        <v>42.999999999999993</v>
      </c>
      <c r="DD10" s="79">
        <f t="shared" si="36"/>
        <v>92.9</v>
      </c>
      <c r="DE10" s="80" t="str">
        <f t="shared" si="37"/>
        <v/>
      </c>
      <c r="DF10" s="80"/>
      <c r="DG10" s="80" t="str">
        <f t="shared" si="38"/>
        <v/>
      </c>
      <c r="DH10" s="25"/>
      <c r="DI10" s="25">
        <v>1E-4</v>
      </c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>
        <f t="shared" si="39"/>
        <v>1E-4</v>
      </c>
      <c r="EC10" s="79">
        <f t="shared" si="40"/>
        <v>1E-4</v>
      </c>
      <c r="ED10" s="79" t="str">
        <f t="shared" si="41"/>
        <v/>
      </c>
      <c r="EE10" s="79">
        <f t="shared" si="42"/>
        <v>1E-4</v>
      </c>
      <c r="EF10" s="79">
        <f t="shared" si="43"/>
        <v>1E-4</v>
      </c>
      <c r="EG10" s="79" t="str">
        <f t="shared" si="44"/>
        <v/>
      </c>
      <c r="EH10" s="79" t="str">
        <f t="shared" si="45"/>
        <v/>
      </c>
      <c r="EI10" s="79">
        <f t="shared" si="46"/>
        <v>1E-4</v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 t="shared" si="47"/>
        <v/>
      </c>
      <c r="FE10" s="20" t="str">
        <f t="shared" si="48"/>
        <v/>
      </c>
      <c r="FF10" s="20" t="str">
        <f t="shared" si="49"/>
        <v/>
      </c>
      <c r="FG10" s="20" t="str">
        <f t="shared" si="50"/>
        <v/>
      </c>
      <c r="FH10" s="20" t="str">
        <f t="shared" si="51"/>
        <v/>
      </c>
      <c r="FI10" s="20" t="str">
        <f t="shared" si="52"/>
        <v/>
      </c>
      <c r="FJ10" s="20" t="str">
        <f t="shared" si="53"/>
        <v/>
      </c>
      <c r="FK10" s="20" t="str">
        <f t="shared" si="54"/>
        <v/>
      </c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79" t="str">
        <f t="shared" si="55"/>
        <v/>
      </c>
      <c r="GG10" s="79" t="str">
        <f t="shared" si="56"/>
        <v/>
      </c>
      <c r="GH10" s="79" t="str">
        <f t="shared" si="57"/>
        <v/>
      </c>
      <c r="GI10" s="79" t="str">
        <f t="shared" si="58"/>
        <v/>
      </c>
      <c r="GJ10" s="79" t="str">
        <f t="shared" si="59"/>
        <v/>
      </c>
      <c r="GK10" s="79" t="str">
        <f t="shared" si="60"/>
        <v/>
      </c>
      <c r="GL10" s="79" t="str">
        <f t="shared" si="61"/>
        <v/>
      </c>
      <c r="GM10" s="79" t="str">
        <f t="shared" si="62"/>
        <v/>
      </c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0" t="str">
        <f t="shared" si="63"/>
        <v/>
      </c>
      <c r="HI10" s="20" t="str">
        <f t="shared" si="64"/>
        <v/>
      </c>
      <c r="HJ10" s="20" t="str">
        <f t="shared" si="65"/>
        <v/>
      </c>
      <c r="HK10" s="20" t="str">
        <f t="shared" si="66"/>
        <v/>
      </c>
      <c r="HL10" s="20" t="str">
        <f t="shared" si="67"/>
        <v/>
      </c>
      <c r="HM10" s="20" t="str">
        <f t="shared" si="68"/>
        <v/>
      </c>
      <c r="HN10" s="20" t="str">
        <f t="shared" si="69"/>
        <v/>
      </c>
      <c r="HO10" s="20" t="str">
        <f t="shared" si="70"/>
        <v/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 t="shared" si="71"/>
        <v/>
      </c>
      <c r="IK10" s="79" t="str">
        <f t="shared" si="72"/>
        <v/>
      </c>
      <c r="IL10" s="79" t="str">
        <f t="shared" si="73"/>
        <v/>
      </c>
      <c r="IM10" s="79" t="str">
        <f t="shared" si="74"/>
        <v/>
      </c>
      <c r="IN10" s="79" t="str">
        <f t="shared" si="75"/>
        <v/>
      </c>
      <c r="IO10" s="79" t="str">
        <f t="shared" si="76"/>
        <v/>
      </c>
      <c r="IP10" s="79" t="str">
        <f t="shared" si="77"/>
        <v/>
      </c>
      <c r="IQ10" s="79" t="str">
        <f t="shared" si="78"/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 t="shared" si="79"/>
        <v/>
      </c>
      <c r="JM10" s="20" t="str">
        <f t="shared" si="80"/>
        <v/>
      </c>
      <c r="JN10" s="20" t="str">
        <f t="shared" si="81"/>
        <v/>
      </c>
      <c r="JO10" s="20" t="str">
        <f t="shared" si="82"/>
        <v/>
      </c>
      <c r="JP10" s="20" t="str">
        <f t="shared" si="83"/>
        <v/>
      </c>
      <c r="JQ10" s="20" t="str">
        <f t="shared" si="84"/>
        <v/>
      </c>
      <c r="JR10" s="20" t="str">
        <f t="shared" si="85"/>
        <v/>
      </c>
      <c r="JS10" s="20" t="str">
        <f t="shared" si="86"/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 t="shared" si="87"/>
        <v/>
      </c>
      <c r="KO10" s="79" t="str">
        <f t="shared" si="88"/>
        <v/>
      </c>
      <c r="KP10" s="79" t="str">
        <f t="shared" si="89"/>
        <v/>
      </c>
      <c r="KQ10" s="79" t="str">
        <f t="shared" si="90"/>
        <v/>
      </c>
      <c r="KR10" s="79" t="str">
        <f t="shared" si="91"/>
        <v/>
      </c>
      <c r="KS10" s="79" t="str">
        <f t="shared" si="92"/>
        <v/>
      </c>
      <c r="KT10" s="79" t="str">
        <f t="shared" si="93"/>
        <v/>
      </c>
      <c r="KU10" s="79" t="str">
        <f t="shared" si="94"/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 t="shared" si="95"/>
        <v/>
      </c>
      <c r="LQ10" s="20" t="str">
        <f t="shared" si="96"/>
        <v/>
      </c>
      <c r="LR10" s="20" t="str">
        <f t="shared" si="97"/>
        <v/>
      </c>
      <c r="LS10" s="20" t="str">
        <f t="shared" si="98"/>
        <v/>
      </c>
      <c r="LT10" s="20" t="str">
        <f t="shared" si="99"/>
        <v/>
      </c>
      <c r="LU10" s="20" t="str">
        <f t="shared" si="100"/>
        <v/>
      </c>
      <c r="LV10" s="20" t="str">
        <f t="shared" si="101"/>
        <v/>
      </c>
      <c r="LW10" s="20" t="str">
        <f t="shared" si="102"/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 t="shared" si="103"/>
        <v/>
      </c>
      <c r="MS10" s="79" t="str">
        <f t="shared" si="104"/>
        <v/>
      </c>
      <c r="MT10" s="79" t="str">
        <f t="shared" si="105"/>
        <v/>
      </c>
      <c r="MU10" s="79" t="str">
        <f t="shared" si="106"/>
        <v/>
      </c>
      <c r="MV10" s="79" t="str">
        <f t="shared" si="107"/>
        <v/>
      </c>
      <c r="MW10" s="79" t="str">
        <f t="shared" si="108"/>
        <v/>
      </c>
      <c r="MX10" s="79" t="str">
        <f t="shared" si="109"/>
        <v/>
      </c>
      <c r="MY10" s="79" t="str">
        <f t="shared" si="110"/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 t="shared" si="111"/>
        <v/>
      </c>
      <c r="NU10" s="20" t="str">
        <f t="shared" si="112"/>
        <v/>
      </c>
      <c r="NV10" s="20" t="str">
        <f t="shared" si="113"/>
        <v/>
      </c>
      <c r="NW10" s="20" t="str">
        <f t="shared" si="114"/>
        <v/>
      </c>
      <c r="NX10" s="20" t="str">
        <f t="shared" si="115"/>
        <v/>
      </c>
      <c r="NY10" s="20" t="str">
        <f t="shared" si="116"/>
        <v/>
      </c>
      <c r="NZ10" s="20" t="str">
        <f t="shared" si="117"/>
        <v/>
      </c>
      <c r="OA10" s="20" t="str">
        <f t="shared" si="118"/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 t="shared" si="119"/>
        <v/>
      </c>
      <c r="OW10" s="79" t="str">
        <f t="shared" si="120"/>
        <v/>
      </c>
      <c r="OX10" s="79" t="str">
        <f t="shared" si="121"/>
        <v/>
      </c>
      <c r="OY10" s="79" t="str">
        <f t="shared" si="122"/>
        <v/>
      </c>
      <c r="OZ10" s="79" t="str">
        <f t="shared" si="123"/>
        <v/>
      </c>
      <c r="PA10" s="79" t="str">
        <f t="shared" si="124"/>
        <v/>
      </c>
      <c r="PB10" s="79" t="str">
        <f t="shared" si="125"/>
        <v/>
      </c>
      <c r="PC10" s="79" t="str">
        <f t="shared" si="126"/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 t="shared" si="127"/>
        <v/>
      </c>
      <c r="PY10" s="20" t="str">
        <f t="shared" si="128"/>
        <v/>
      </c>
      <c r="PZ10" s="20" t="str">
        <f t="shared" si="129"/>
        <v/>
      </c>
      <c r="QA10" s="20" t="str">
        <f t="shared" si="130"/>
        <v/>
      </c>
      <c r="QB10" s="20" t="str">
        <f t="shared" si="131"/>
        <v/>
      </c>
      <c r="QC10" s="20" t="str">
        <f t="shared" si="132"/>
        <v/>
      </c>
      <c r="QD10" s="20" t="str">
        <f t="shared" si="133"/>
        <v/>
      </c>
      <c r="QE10" s="20" t="str">
        <f t="shared" si="134"/>
        <v/>
      </c>
      <c r="QF10" s="38">
        <f t="shared" si="135"/>
        <v>9.3000000000000007</v>
      </c>
      <c r="QG10" s="38">
        <f t="shared" si="136"/>
        <v>3.8</v>
      </c>
      <c r="QH10" s="38">
        <f t="shared" si="137"/>
        <v>0.4</v>
      </c>
      <c r="QI10" s="38">
        <f t="shared" si="138"/>
        <v>0</v>
      </c>
      <c r="QJ10" s="38">
        <f t="shared" si="139"/>
        <v>9.0500000000000007</v>
      </c>
      <c r="QK10" s="38">
        <f t="shared" si="140"/>
        <v>3.6</v>
      </c>
      <c r="QL10" s="38">
        <f t="shared" si="141"/>
        <v>0.4</v>
      </c>
      <c r="QM10" s="38">
        <f t="shared" si="142"/>
        <v>0</v>
      </c>
      <c r="QN10" s="38">
        <f t="shared" si="143"/>
        <v>8.65</v>
      </c>
      <c r="QO10" s="38">
        <f t="shared" si="144"/>
        <v>1.2</v>
      </c>
      <c r="QP10" s="38">
        <f t="shared" si="145"/>
        <v>0</v>
      </c>
      <c r="QQ10" s="38">
        <f t="shared" si="146"/>
        <v>0</v>
      </c>
      <c r="QR10" s="38">
        <f t="shared" si="147"/>
        <v>9.25</v>
      </c>
      <c r="QS10" s="38">
        <f t="shared" si="148"/>
        <v>3.4</v>
      </c>
      <c r="QT10" s="38">
        <f t="shared" si="149"/>
        <v>0.1</v>
      </c>
      <c r="QU10" s="38">
        <f t="shared" si="150"/>
        <v>0</v>
      </c>
      <c r="QV10" s="38">
        <f t="shared" si="151"/>
        <v>9.25</v>
      </c>
      <c r="QW10" s="38">
        <f t="shared" si="152"/>
        <v>1.4</v>
      </c>
      <c r="QX10" s="38">
        <f t="shared" si="153"/>
        <v>1.7</v>
      </c>
      <c r="QY10" s="38">
        <f t="shared" si="154"/>
        <v>0</v>
      </c>
      <c r="QZ10" s="45" t="s">
        <v>46</v>
      </c>
      <c r="RA10" s="79">
        <f t="shared" si="155"/>
        <v>7.4</v>
      </c>
      <c r="RB10" s="79">
        <f t="shared" si="156"/>
        <v>24.950000000000006</v>
      </c>
      <c r="RC10" s="79">
        <f t="shared" si="157"/>
        <v>9.85</v>
      </c>
      <c r="RD10" s="79">
        <f t="shared" si="158"/>
        <v>8.6</v>
      </c>
      <c r="RE10" s="79">
        <f t="shared" si="159"/>
        <v>34.800000000000004</v>
      </c>
      <c r="RF10" s="79">
        <f t="shared" si="160"/>
        <v>4.8</v>
      </c>
      <c r="RG10" s="79">
        <f t="shared" si="161"/>
        <v>21.499999999999996</v>
      </c>
      <c r="RH10" s="79">
        <f t="shared" si="162"/>
        <v>46.45</v>
      </c>
    </row>
    <row r="11" spans="1:476" x14ac:dyDescent="0.2">
      <c r="A11" s="5">
        <f t="shared" si="163"/>
        <v>8</v>
      </c>
      <c r="B11" s="78" t="s">
        <v>100</v>
      </c>
      <c r="C11" s="5" t="s">
        <v>4</v>
      </c>
      <c r="D11" s="5">
        <v>2004</v>
      </c>
      <c r="E11" s="15">
        <f t="shared" si="0"/>
        <v>100.6000075600051</v>
      </c>
      <c r="F11" s="3" t="str">
        <f t="shared" si="1"/>
        <v>P</v>
      </c>
      <c r="G11" s="3" t="str">
        <f t="shared" si="2"/>
        <v>P</v>
      </c>
      <c r="H11" s="67" t="str">
        <f t="shared" si="3"/>
        <v>National Team</v>
      </c>
      <c r="I11" s="14">
        <f>IF(COUNT(AR11,BU11,CX11)&gt;0,LARGE((AR11,BU11,CX11),1),0)</f>
        <v>50.900000000000006</v>
      </c>
      <c r="J11" s="14" t="str">
        <f t="shared" si="4"/>
        <v>2022 Elite Canada</v>
      </c>
      <c r="K11" s="14">
        <f>IF(COUNT(AR11,BU11,CX11)&gt;1,LARGE((AR11,BU11,CX11),2),0)</f>
        <v>0</v>
      </c>
      <c r="L11" s="14" t="str">
        <f t="shared" si="5"/>
        <v/>
      </c>
      <c r="M11" s="14">
        <f>IF(COUNT(AS11,BV11,CY11)&gt;0,LARGE((AS11,BV11,CY11),1),0)</f>
        <v>24.7</v>
      </c>
      <c r="N11" s="14" t="str">
        <f t="shared" si="6"/>
        <v>2022 Elite Canada</v>
      </c>
      <c r="O11" s="14">
        <f>IF(COUNT(AS11,BV11,CY11)&gt;1,LARGE((AS11,BV11,CY11),2),0)</f>
        <v>0</v>
      </c>
      <c r="P11" s="14" t="str">
        <f t="shared" si="7"/>
        <v/>
      </c>
      <c r="Q11" s="14">
        <f t="shared" si="8"/>
        <v>25</v>
      </c>
      <c r="R11" s="14" t="str">
        <f t="shared" si="9"/>
        <v>2022 Elite Canada</v>
      </c>
      <c r="S11" s="14" t="str">
        <f t="shared" si="10"/>
        <v/>
      </c>
      <c r="T11" s="20" t="str">
        <f t="shared" si="11"/>
        <v/>
      </c>
      <c r="U11" s="14" t="str">
        <f t="shared" si="12"/>
        <v/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 t="str">
        <f t="shared" si="13"/>
        <v/>
      </c>
      <c r="AR11" s="79" t="str">
        <f t="shared" si="14"/>
        <v/>
      </c>
      <c r="AS11" s="79" t="str">
        <f t="shared" si="15"/>
        <v/>
      </c>
      <c r="AT11" s="79" t="str">
        <f t="shared" si="16"/>
        <v/>
      </c>
      <c r="AU11" s="79" t="str">
        <f t="shared" si="17"/>
        <v/>
      </c>
      <c r="AV11" s="79" t="str">
        <f t="shared" si="18"/>
        <v/>
      </c>
      <c r="AW11" s="79" t="str">
        <f t="shared" si="19"/>
        <v/>
      </c>
      <c r="AX11" s="79" t="str">
        <f t="shared" si="20"/>
        <v/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 t="shared" si="21"/>
        <v/>
      </c>
      <c r="BU11" s="20" t="str">
        <f t="shared" si="22"/>
        <v/>
      </c>
      <c r="BV11" s="20" t="str">
        <f t="shared" si="23"/>
        <v/>
      </c>
      <c r="BW11" s="20" t="str">
        <f t="shared" si="24"/>
        <v/>
      </c>
      <c r="BX11" s="20" t="str">
        <f t="shared" si="25"/>
        <v/>
      </c>
      <c r="BY11" s="20" t="str">
        <f t="shared" si="26"/>
        <v/>
      </c>
      <c r="BZ11" s="20" t="str">
        <f t="shared" si="27"/>
        <v/>
      </c>
      <c r="CA11" s="20" t="str">
        <f t="shared" si="28"/>
        <v/>
      </c>
      <c r="CB11" s="27">
        <v>19</v>
      </c>
      <c r="CC11" s="27">
        <v>6.8</v>
      </c>
      <c r="CD11" s="27">
        <v>0.6</v>
      </c>
      <c r="CE11" s="27">
        <v>0</v>
      </c>
      <c r="CF11" s="27">
        <v>19.100000000000001</v>
      </c>
      <c r="CG11" s="27">
        <v>7.2</v>
      </c>
      <c r="CH11" s="27">
        <v>0.6</v>
      </c>
      <c r="CI11" s="27">
        <v>0</v>
      </c>
      <c r="CJ11" s="27">
        <v>18.399999999999999</v>
      </c>
      <c r="CK11" s="27">
        <v>7.3</v>
      </c>
      <c r="CL11" s="27">
        <v>1</v>
      </c>
      <c r="CM11" s="27">
        <v>0</v>
      </c>
      <c r="CN11" s="27">
        <v>18.8</v>
      </c>
      <c r="CO11" s="27">
        <v>6.8</v>
      </c>
      <c r="CP11" s="27">
        <v>0.6</v>
      </c>
      <c r="CQ11" s="27">
        <v>0</v>
      </c>
      <c r="CR11" s="27">
        <v>0</v>
      </c>
      <c r="CS11" s="27">
        <v>0</v>
      </c>
      <c r="CT11" s="27">
        <v>0</v>
      </c>
      <c r="CU11" s="27">
        <v>0</v>
      </c>
      <c r="CV11" s="45"/>
      <c r="CW11" s="79">
        <f t="shared" si="29"/>
        <v>14</v>
      </c>
      <c r="CX11" s="79">
        <f t="shared" si="30"/>
        <v>50.900000000000006</v>
      </c>
      <c r="CY11" s="79">
        <f t="shared" si="31"/>
        <v>24.7</v>
      </c>
      <c r="CZ11" s="79">
        <f t="shared" si="32"/>
        <v>21.3</v>
      </c>
      <c r="DA11" s="79">
        <f t="shared" si="33"/>
        <v>75.600000000000009</v>
      </c>
      <c r="DB11" s="79">
        <f t="shared" si="34"/>
        <v>6.8</v>
      </c>
      <c r="DC11" s="79">
        <f t="shared" si="35"/>
        <v>25</v>
      </c>
      <c r="DD11" s="79">
        <f t="shared" si="36"/>
        <v>75.900000000000006</v>
      </c>
      <c r="DE11" s="80" t="str">
        <f t="shared" si="37"/>
        <v/>
      </c>
      <c r="DF11" s="80"/>
      <c r="DG11" s="80" t="str">
        <f t="shared" si="38"/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 t="shared" si="39"/>
        <v/>
      </c>
      <c r="EC11" s="79" t="str">
        <f t="shared" si="40"/>
        <v/>
      </c>
      <c r="ED11" s="79" t="str">
        <f t="shared" si="41"/>
        <v/>
      </c>
      <c r="EE11" s="79" t="str">
        <f t="shared" si="42"/>
        <v/>
      </c>
      <c r="EF11" s="79" t="str">
        <f t="shared" si="43"/>
        <v/>
      </c>
      <c r="EG11" s="79" t="str">
        <f t="shared" si="44"/>
        <v/>
      </c>
      <c r="EH11" s="79" t="str">
        <f t="shared" si="45"/>
        <v/>
      </c>
      <c r="EI11" s="79" t="str">
        <f t="shared" si="46"/>
        <v/>
      </c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0" t="str">
        <f t="shared" si="47"/>
        <v/>
      </c>
      <c r="FE11" s="20" t="str">
        <f t="shared" si="48"/>
        <v/>
      </c>
      <c r="FF11" s="20" t="str">
        <f t="shared" si="49"/>
        <v/>
      </c>
      <c r="FG11" s="20" t="str">
        <f t="shared" si="50"/>
        <v/>
      </c>
      <c r="FH11" s="20" t="str">
        <f t="shared" si="51"/>
        <v/>
      </c>
      <c r="FI11" s="20" t="str">
        <f t="shared" si="52"/>
        <v/>
      </c>
      <c r="FJ11" s="20" t="str">
        <f t="shared" si="53"/>
        <v/>
      </c>
      <c r="FK11" s="20" t="str">
        <f t="shared" si="54"/>
        <v/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 t="shared" si="55"/>
        <v/>
      </c>
      <c r="GG11" s="79" t="str">
        <f t="shared" si="56"/>
        <v/>
      </c>
      <c r="GH11" s="79" t="str">
        <f t="shared" si="57"/>
        <v/>
      </c>
      <c r="GI11" s="79" t="str">
        <f t="shared" si="58"/>
        <v/>
      </c>
      <c r="GJ11" s="79" t="str">
        <f t="shared" si="59"/>
        <v/>
      </c>
      <c r="GK11" s="79" t="str">
        <f t="shared" si="60"/>
        <v/>
      </c>
      <c r="GL11" s="79" t="str">
        <f t="shared" si="61"/>
        <v/>
      </c>
      <c r="GM11" s="79" t="str">
        <f t="shared" si="62"/>
        <v/>
      </c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0" t="str">
        <f t="shared" si="63"/>
        <v/>
      </c>
      <c r="HI11" s="20" t="str">
        <f t="shared" si="64"/>
        <v/>
      </c>
      <c r="HJ11" s="20" t="str">
        <f t="shared" si="65"/>
        <v/>
      </c>
      <c r="HK11" s="20" t="str">
        <f t="shared" si="66"/>
        <v/>
      </c>
      <c r="HL11" s="20" t="str">
        <f t="shared" si="67"/>
        <v/>
      </c>
      <c r="HM11" s="20" t="str">
        <f t="shared" si="68"/>
        <v/>
      </c>
      <c r="HN11" s="20" t="str">
        <f t="shared" si="69"/>
        <v/>
      </c>
      <c r="HO11" s="20" t="str">
        <f t="shared" si="70"/>
        <v/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 t="shared" si="71"/>
        <v/>
      </c>
      <c r="IK11" s="79" t="str">
        <f t="shared" si="72"/>
        <v/>
      </c>
      <c r="IL11" s="79" t="str">
        <f t="shared" si="73"/>
        <v/>
      </c>
      <c r="IM11" s="79" t="str">
        <f t="shared" si="74"/>
        <v/>
      </c>
      <c r="IN11" s="79" t="str">
        <f t="shared" si="75"/>
        <v/>
      </c>
      <c r="IO11" s="79" t="str">
        <f t="shared" si="76"/>
        <v/>
      </c>
      <c r="IP11" s="79" t="str">
        <f t="shared" si="77"/>
        <v/>
      </c>
      <c r="IQ11" s="79" t="str">
        <f t="shared" si="78"/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 t="shared" si="79"/>
        <v/>
      </c>
      <c r="JM11" s="20" t="str">
        <f t="shared" si="80"/>
        <v/>
      </c>
      <c r="JN11" s="20" t="str">
        <f t="shared" si="81"/>
        <v/>
      </c>
      <c r="JO11" s="20" t="str">
        <f t="shared" si="82"/>
        <v/>
      </c>
      <c r="JP11" s="20" t="str">
        <f t="shared" si="83"/>
        <v/>
      </c>
      <c r="JQ11" s="20" t="str">
        <f t="shared" si="84"/>
        <v/>
      </c>
      <c r="JR11" s="20" t="str">
        <f t="shared" si="85"/>
        <v/>
      </c>
      <c r="JS11" s="20" t="str">
        <f t="shared" si="86"/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 t="shared" si="87"/>
        <v/>
      </c>
      <c r="KO11" s="79" t="str">
        <f t="shared" si="88"/>
        <v/>
      </c>
      <c r="KP11" s="79" t="str">
        <f t="shared" si="89"/>
        <v/>
      </c>
      <c r="KQ11" s="79" t="str">
        <f t="shared" si="90"/>
        <v/>
      </c>
      <c r="KR11" s="79" t="str">
        <f t="shared" si="91"/>
        <v/>
      </c>
      <c r="KS11" s="79" t="str">
        <f t="shared" si="92"/>
        <v/>
      </c>
      <c r="KT11" s="79" t="str">
        <f t="shared" si="93"/>
        <v/>
      </c>
      <c r="KU11" s="79" t="str">
        <f t="shared" si="94"/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 t="shared" si="95"/>
        <v/>
      </c>
      <c r="LQ11" s="20" t="str">
        <f t="shared" si="96"/>
        <v/>
      </c>
      <c r="LR11" s="20" t="str">
        <f t="shared" si="97"/>
        <v/>
      </c>
      <c r="LS11" s="20" t="str">
        <f t="shared" si="98"/>
        <v/>
      </c>
      <c r="LT11" s="20" t="str">
        <f t="shared" si="99"/>
        <v/>
      </c>
      <c r="LU11" s="20" t="str">
        <f t="shared" si="100"/>
        <v/>
      </c>
      <c r="LV11" s="20" t="str">
        <f t="shared" si="101"/>
        <v/>
      </c>
      <c r="LW11" s="20" t="str">
        <f t="shared" si="102"/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 t="shared" si="103"/>
        <v/>
      </c>
      <c r="MS11" s="79" t="str">
        <f t="shared" si="104"/>
        <v/>
      </c>
      <c r="MT11" s="79" t="str">
        <f t="shared" si="105"/>
        <v/>
      </c>
      <c r="MU11" s="79" t="str">
        <f t="shared" si="106"/>
        <v/>
      </c>
      <c r="MV11" s="79" t="str">
        <f t="shared" si="107"/>
        <v/>
      </c>
      <c r="MW11" s="79" t="str">
        <f t="shared" si="108"/>
        <v/>
      </c>
      <c r="MX11" s="79" t="str">
        <f t="shared" si="109"/>
        <v/>
      </c>
      <c r="MY11" s="79" t="str">
        <f t="shared" si="110"/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 t="shared" si="111"/>
        <v/>
      </c>
      <c r="NU11" s="20" t="str">
        <f t="shared" si="112"/>
        <v/>
      </c>
      <c r="NV11" s="20" t="str">
        <f t="shared" si="113"/>
        <v/>
      </c>
      <c r="NW11" s="20" t="str">
        <f t="shared" si="114"/>
        <v/>
      </c>
      <c r="NX11" s="20" t="str">
        <f t="shared" si="115"/>
        <v/>
      </c>
      <c r="NY11" s="20" t="str">
        <f t="shared" si="116"/>
        <v/>
      </c>
      <c r="NZ11" s="20" t="str">
        <f t="shared" si="117"/>
        <v/>
      </c>
      <c r="OA11" s="20" t="str">
        <f t="shared" si="118"/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 t="shared" si="119"/>
        <v/>
      </c>
      <c r="OW11" s="79" t="str">
        <f t="shared" si="120"/>
        <v/>
      </c>
      <c r="OX11" s="79" t="str">
        <f t="shared" si="121"/>
        <v/>
      </c>
      <c r="OY11" s="79" t="str">
        <f t="shared" si="122"/>
        <v/>
      </c>
      <c r="OZ11" s="79" t="str">
        <f t="shared" si="123"/>
        <v/>
      </c>
      <c r="PA11" s="79" t="str">
        <f t="shared" si="124"/>
        <v/>
      </c>
      <c r="PB11" s="79" t="str">
        <f t="shared" si="125"/>
        <v/>
      </c>
      <c r="PC11" s="79" t="str">
        <f t="shared" si="126"/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 t="shared" si="127"/>
        <v/>
      </c>
      <c r="PY11" s="20" t="str">
        <f t="shared" si="128"/>
        <v/>
      </c>
      <c r="PZ11" s="20" t="str">
        <f t="shared" si="129"/>
        <v/>
      </c>
      <c r="QA11" s="20" t="str">
        <f t="shared" si="130"/>
        <v/>
      </c>
      <c r="QB11" s="20" t="str">
        <f t="shared" si="131"/>
        <v/>
      </c>
      <c r="QC11" s="20" t="str">
        <f t="shared" si="132"/>
        <v/>
      </c>
      <c r="QD11" s="20" t="str">
        <f t="shared" si="133"/>
        <v/>
      </c>
      <c r="QE11" s="20" t="str">
        <f t="shared" si="134"/>
        <v/>
      </c>
      <c r="QF11" s="38">
        <f t="shared" si="135"/>
        <v>9.5</v>
      </c>
      <c r="QG11" s="38">
        <f t="shared" si="136"/>
        <v>3.4</v>
      </c>
      <c r="QH11" s="38">
        <f t="shared" si="137"/>
        <v>0.3</v>
      </c>
      <c r="QI11" s="38">
        <f t="shared" si="138"/>
        <v>0</v>
      </c>
      <c r="QJ11" s="38">
        <f t="shared" si="139"/>
        <v>9.5500000000000007</v>
      </c>
      <c r="QK11" s="38">
        <f t="shared" si="140"/>
        <v>3.6</v>
      </c>
      <c r="QL11" s="38">
        <f t="shared" si="141"/>
        <v>0.3</v>
      </c>
      <c r="QM11" s="38">
        <f t="shared" si="142"/>
        <v>0</v>
      </c>
      <c r="QN11" s="38">
        <f t="shared" si="143"/>
        <v>9.1999999999999993</v>
      </c>
      <c r="QO11" s="38">
        <f t="shared" si="144"/>
        <v>3.65</v>
      </c>
      <c r="QP11" s="38">
        <f t="shared" si="145"/>
        <v>0.5</v>
      </c>
      <c r="QQ11" s="38">
        <f t="shared" si="146"/>
        <v>0</v>
      </c>
      <c r="QR11" s="38">
        <f t="shared" si="147"/>
        <v>9.4</v>
      </c>
      <c r="QS11" s="38">
        <f t="shared" si="148"/>
        <v>3.4</v>
      </c>
      <c r="QT11" s="38">
        <f t="shared" si="149"/>
        <v>0.3</v>
      </c>
      <c r="QU11" s="38">
        <f t="shared" si="150"/>
        <v>0</v>
      </c>
      <c r="QV11" s="38">
        <f t="shared" si="151"/>
        <v>0</v>
      </c>
      <c r="QW11" s="38">
        <f t="shared" si="152"/>
        <v>0</v>
      </c>
      <c r="QX11" s="38">
        <f t="shared" si="153"/>
        <v>0</v>
      </c>
      <c r="QY11" s="38">
        <f t="shared" si="154"/>
        <v>0</v>
      </c>
      <c r="QZ11" s="45" t="s">
        <v>46</v>
      </c>
      <c r="RA11" s="79">
        <f t="shared" si="155"/>
        <v>7</v>
      </c>
      <c r="RB11" s="79">
        <f t="shared" si="156"/>
        <v>25.450000000000003</v>
      </c>
      <c r="RC11" s="79">
        <f t="shared" si="157"/>
        <v>12.35</v>
      </c>
      <c r="RD11" s="79">
        <f t="shared" si="158"/>
        <v>10.65</v>
      </c>
      <c r="RE11" s="79">
        <f t="shared" si="159"/>
        <v>37.800000000000004</v>
      </c>
      <c r="RF11" s="79">
        <f t="shared" si="160"/>
        <v>3.4</v>
      </c>
      <c r="RG11" s="79">
        <f t="shared" si="161"/>
        <v>12.5</v>
      </c>
      <c r="RH11" s="79">
        <f t="shared" si="162"/>
        <v>37.950000000000003</v>
      </c>
    </row>
    <row r="12" spans="1:476" x14ac:dyDescent="0.2">
      <c r="A12" s="5">
        <f t="shared" si="163"/>
        <v>9</v>
      </c>
      <c r="B12" s="78" t="s">
        <v>178</v>
      </c>
      <c r="C12" s="5" t="s">
        <v>5</v>
      </c>
      <c r="D12" s="5">
        <v>2001</v>
      </c>
      <c r="E12" s="15">
        <f t="shared" si="0"/>
        <v>51.9</v>
      </c>
      <c r="F12" s="3" t="str">
        <f t="shared" si="1"/>
        <v>P</v>
      </c>
      <c r="G12" s="3" t="str">
        <f t="shared" si="2"/>
        <v>P</v>
      </c>
      <c r="H12" s="67" t="str">
        <f t="shared" si="3"/>
        <v>National Team</v>
      </c>
      <c r="I12" s="14">
        <f>IF(COUNT(AR12,BU12,CX12)&gt;0,LARGE((AR12,BU12,CX12),1),0)</f>
        <v>0</v>
      </c>
      <c r="J12" s="14" t="str">
        <f t="shared" si="4"/>
        <v/>
      </c>
      <c r="K12" s="14">
        <f>IF(COUNT(AR12,BU12,CX12)&gt;1,LARGE((AR12,BU12,CX12),2),0)</f>
        <v>0</v>
      </c>
      <c r="L12" s="14" t="str">
        <f t="shared" si="5"/>
        <v/>
      </c>
      <c r="M12" s="14">
        <f>IF(COUNT(AS12,BV12,CY12)&gt;0,LARGE((AS12,BV12,CY12),1),0)</f>
        <v>0</v>
      </c>
      <c r="N12" s="14" t="str">
        <f t="shared" si="6"/>
        <v/>
      </c>
      <c r="O12" s="14">
        <f>IF(COUNT(AS12,BV12,CY12)&gt;1,LARGE((AS12,BV12,CY12),2),0)</f>
        <v>0</v>
      </c>
      <c r="P12" s="14" t="str">
        <f t="shared" si="7"/>
        <v/>
      </c>
      <c r="Q12" s="14">
        <f t="shared" si="8"/>
        <v>0</v>
      </c>
      <c r="R12" s="14" t="str">
        <f t="shared" si="9"/>
        <v/>
      </c>
      <c r="S12" s="14">
        <f t="shared" si="10"/>
        <v>51.9</v>
      </c>
      <c r="T12" s="20" t="str">
        <f t="shared" si="11"/>
        <v>(Q1)</v>
      </c>
      <c r="U12" s="14" t="str">
        <f t="shared" si="12"/>
        <v>2022 World Games Technical Trial #1 (Mar 12)</v>
      </c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 t="str">
        <f t="shared" si="13"/>
        <v/>
      </c>
      <c r="AR12" s="79" t="str">
        <f t="shared" si="14"/>
        <v/>
      </c>
      <c r="AS12" s="79" t="str">
        <f t="shared" si="15"/>
        <v/>
      </c>
      <c r="AT12" s="79" t="str">
        <f t="shared" si="16"/>
        <v/>
      </c>
      <c r="AU12" s="79" t="str">
        <f t="shared" si="17"/>
        <v/>
      </c>
      <c r="AV12" s="79" t="str">
        <f t="shared" si="18"/>
        <v/>
      </c>
      <c r="AW12" s="79" t="str">
        <f t="shared" si="19"/>
        <v/>
      </c>
      <c r="AX12" s="79" t="str">
        <f t="shared" si="20"/>
        <v/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 t="shared" si="21"/>
        <v/>
      </c>
      <c r="BU12" s="20" t="str">
        <f t="shared" si="22"/>
        <v/>
      </c>
      <c r="BV12" s="20" t="str">
        <f t="shared" si="23"/>
        <v/>
      </c>
      <c r="BW12" s="20" t="str">
        <f t="shared" si="24"/>
        <v/>
      </c>
      <c r="BX12" s="20" t="str">
        <f t="shared" si="25"/>
        <v/>
      </c>
      <c r="BY12" s="20" t="str">
        <f t="shared" si="26"/>
        <v/>
      </c>
      <c r="BZ12" s="20" t="str">
        <f t="shared" si="27"/>
        <v/>
      </c>
      <c r="CA12" s="20" t="str">
        <f t="shared" si="28"/>
        <v/>
      </c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45"/>
      <c r="CW12" s="79" t="str">
        <f t="shared" si="29"/>
        <v/>
      </c>
      <c r="CX12" s="79" t="str">
        <f t="shared" si="30"/>
        <v/>
      </c>
      <c r="CY12" s="79" t="str">
        <f t="shared" si="31"/>
        <v/>
      </c>
      <c r="CZ12" s="79" t="str">
        <f t="shared" si="32"/>
        <v/>
      </c>
      <c r="DA12" s="79" t="str">
        <f t="shared" si="33"/>
        <v/>
      </c>
      <c r="DB12" s="79" t="str">
        <f t="shared" si="34"/>
        <v/>
      </c>
      <c r="DC12" s="79" t="str">
        <f t="shared" si="35"/>
        <v/>
      </c>
      <c r="DD12" s="79" t="str">
        <f t="shared" si="36"/>
        <v/>
      </c>
      <c r="DE12" s="80">
        <f t="shared" si="37"/>
        <v>51.9</v>
      </c>
      <c r="DF12" s="80"/>
      <c r="DG12" s="80">
        <f t="shared" si="38"/>
        <v>45.500000000000007</v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 t="shared" si="39"/>
        <v/>
      </c>
      <c r="EC12" s="79" t="str">
        <f t="shared" si="40"/>
        <v/>
      </c>
      <c r="ED12" s="79" t="str">
        <f t="shared" si="41"/>
        <v/>
      </c>
      <c r="EE12" s="79" t="str">
        <f t="shared" si="42"/>
        <v/>
      </c>
      <c r="EF12" s="79" t="str">
        <f t="shared" si="43"/>
        <v/>
      </c>
      <c r="EG12" s="79" t="str">
        <f t="shared" si="44"/>
        <v/>
      </c>
      <c r="EH12" s="79" t="str">
        <f t="shared" si="45"/>
        <v/>
      </c>
      <c r="EI12" s="79" t="str">
        <f t="shared" si="46"/>
        <v/>
      </c>
      <c r="EJ12" s="26">
        <v>18.600000000000001</v>
      </c>
      <c r="EK12" s="26">
        <v>7.7</v>
      </c>
      <c r="EL12" s="26">
        <v>0.2</v>
      </c>
      <c r="EM12" s="26">
        <v>0.3</v>
      </c>
      <c r="EN12" s="26">
        <v>18.5</v>
      </c>
      <c r="EO12" s="26">
        <v>7.6</v>
      </c>
      <c r="EP12" s="26">
        <v>0.6</v>
      </c>
      <c r="EQ12" s="26">
        <v>0</v>
      </c>
      <c r="ER12" s="26"/>
      <c r="ES12" s="26"/>
      <c r="ET12" s="26"/>
      <c r="EU12" s="26"/>
      <c r="EV12" s="26">
        <v>18.600000000000001</v>
      </c>
      <c r="EW12" s="26">
        <v>7.3</v>
      </c>
      <c r="EX12" s="26">
        <v>0.8</v>
      </c>
      <c r="EY12" s="26">
        <v>0</v>
      </c>
      <c r="EZ12" s="26">
        <v>17.2</v>
      </c>
      <c r="FA12" s="26">
        <v>3.2</v>
      </c>
      <c r="FB12" s="26">
        <v>0</v>
      </c>
      <c r="FC12" s="26">
        <v>0</v>
      </c>
      <c r="FD12" s="20">
        <f t="shared" si="47"/>
        <v>15.3</v>
      </c>
      <c r="FE12" s="20">
        <f t="shared" si="48"/>
        <v>51.9</v>
      </c>
      <c r="FF12" s="20" t="str">
        <f t="shared" si="49"/>
        <v/>
      </c>
      <c r="FG12" s="20">
        <f t="shared" si="50"/>
        <v>15.3</v>
      </c>
      <c r="FH12" s="20">
        <f t="shared" si="51"/>
        <v>51.9</v>
      </c>
      <c r="FI12" s="20">
        <f t="shared" si="52"/>
        <v>10.5</v>
      </c>
      <c r="FJ12" s="20">
        <f t="shared" si="53"/>
        <v>45.500000000000007</v>
      </c>
      <c r="FK12" s="20">
        <f t="shared" si="54"/>
        <v>97.4</v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 t="shared" si="55"/>
        <v/>
      </c>
      <c r="GG12" s="79" t="str">
        <f t="shared" si="56"/>
        <v/>
      </c>
      <c r="GH12" s="79" t="str">
        <f t="shared" si="57"/>
        <v/>
      </c>
      <c r="GI12" s="79" t="str">
        <f t="shared" si="58"/>
        <v/>
      </c>
      <c r="GJ12" s="79" t="str">
        <f t="shared" si="59"/>
        <v/>
      </c>
      <c r="GK12" s="79" t="str">
        <f t="shared" si="60"/>
        <v/>
      </c>
      <c r="GL12" s="79" t="str">
        <f t="shared" si="61"/>
        <v/>
      </c>
      <c r="GM12" s="79" t="str">
        <f t="shared" si="62"/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 t="shared" si="63"/>
        <v/>
      </c>
      <c r="HI12" s="20" t="str">
        <f t="shared" si="64"/>
        <v/>
      </c>
      <c r="HJ12" s="20" t="str">
        <f t="shared" si="65"/>
        <v/>
      </c>
      <c r="HK12" s="20" t="str">
        <f t="shared" si="66"/>
        <v/>
      </c>
      <c r="HL12" s="20" t="str">
        <f t="shared" si="67"/>
        <v/>
      </c>
      <c r="HM12" s="20" t="str">
        <f t="shared" si="68"/>
        <v/>
      </c>
      <c r="HN12" s="20" t="str">
        <f t="shared" si="69"/>
        <v/>
      </c>
      <c r="HO12" s="20" t="str">
        <f t="shared" si="70"/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 t="shared" si="71"/>
        <v/>
      </c>
      <c r="IK12" s="79" t="str">
        <f t="shared" si="72"/>
        <v/>
      </c>
      <c r="IL12" s="79" t="str">
        <f t="shared" si="73"/>
        <v/>
      </c>
      <c r="IM12" s="79" t="str">
        <f t="shared" si="74"/>
        <v/>
      </c>
      <c r="IN12" s="79" t="str">
        <f t="shared" si="75"/>
        <v/>
      </c>
      <c r="IO12" s="79" t="str">
        <f t="shared" si="76"/>
        <v/>
      </c>
      <c r="IP12" s="79" t="str">
        <f t="shared" si="77"/>
        <v/>
      </c>
      <c r="IQ12" s="79" t="str">
        <f t="shared" si="78"/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 t="shared" si="79"/>
        <v/>
      </c>
      <c r="JM12" s="20" t="str">
        <f t="shared" si="80"/>
        <v/>
      </c>
      <c r="JN12" s="20" t="str">
        <f t="shared" si="81"/>
        <v/>
      </c>
      <c r="JO12" s="20" t="str">
        <f t="shared" si="82"/>
        <v/>
      </c>
      <c r="JP12" s="20" t="str">
        <f t="shared" si="83"/>
        <v/>
      </c>
      <c r="JQ12" s="20" t="str">
        <f t="shared" si="84"/>
        <v/>
      </c>
      <c r="JR12" s="20" t="str">
        <f t="shared" si="85"/>
        <v/>
      </c>
      <c r="JS12" s="20" t="str">
        <f t="shared" si="86"/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 t="shared" si="87"/>
        <v/>
      </c>
      <c r="KO12" s="79" t="str">
        <f t="shared" si="88"/>
        <v/>
      </c>
      <c r="KP12" s="79" t="str">
        <f t="shared" si="89"/>
        <v/>
      </c>
      <c r="KQ12" s="79" t="str">
        <f t="shared" si="90"/>
        <v/>
      </c>
      <c r="KR12" s="79" t="str">
        <f t="shared" si="91"/>
        <v/>
      </c>
      <c r="KS12" s="79" t="str">
        <f t="shared" si="92"/>
        <v/>
      </c>
      <c r="KT12" s="79" t="str">
        <f t="shared" si="93"/>
        <v/>
      </c>
      <c r="KU12" s="79" t="str">
        <f t="shared" si="94"/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 t="shared" si="95"/>
        <v/>
      </c>
      <c r="LQ12" s="20" t="str">
        <f t="shared" si="96"/>
        <v/>
      </c>
      <c r="LR12" s="20" t="str">
        <f t="shared" si="97"/>
        <v/>
      </c>
      <c r="LS12" s="20" t="str">
        <f t="shared" si="98"/>
        <v/>
      </c>
      <c r="LT12" s="20" t="str">
        <f t="shared" si="99"/>
        <v/>
      </c>
      <c r="LU12" s="20" t="str">
        <f t="shared" si="100"/>
        <v/>
      </c>
      <c r="LV12" s="20" t="str">
        <f t="shared" si="101"/>
        <v/>
      </c>
      <c r="LW12" s="20" t="str">
        <f t="shared" si="102"/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 t="shared" si="103"/>
        <v/>
      </c>
      <c r="MS12" s="79" t="str">
        <f t="shared" si="104"/>
        <v/>
      </c>
      <c r="MT12" s="79" t="str">
        <f t="shared" si="105"/>
        <v/>
      </c>
      <c r="MU12" s="79" t="str">
        <f t="shared" si="106"/>
        <v/>
      </c>
      <c r="MV12" s="79" t="str">
        <f t="shared" si="107"/>
        <v/>
      </c>
      <c r="MW12" s="79" t="str">
        <f t="shared" si="108"/>
        <v/>
      </c>
      <c r="MX12" s="79" t="str">
        <f t="shared" si="109"/>
        <v/>
      </c>
      <c r="MY12" s="79" t="str">
        <f t="shared" si="110"/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 t="shared" si="111"/>
        <v/>
      </c>
      <c r="NU12" s="20" t="str">
        <f t="shared" si="112"/>
        <v/>
      </c>
      <c r="NV12" s="20" t="str">
        <f t="shared" si="113"/>
        <v/>
      </c>
      <c r="NW12" s="20" t="str">
        <f t="shared" si="114"/>
        <v/>
      </c>
      <c r="NX12" s="20" t="str">
        <f t="shared" si="115"/>
        <v/>
      </c>
      <c r="NY12" s="20" t="str">
        <f t="shared" si="116"/>
        <v/>
      </c>
      <c r="NZ12" s="20" t="str">
        <f t="shared" si="117"/>
        <v/>
      </c>
      <c r="OA12" s="20" t="str">
        <f t="shared" si="118"/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 t="shared" si="119"/>
        <v/>
      </c>
      <c r="OW12" s="79" t="str">
        <f t="shared" si="120"/>
        <v/>
      </c>
      <c r="OX12" s="79" t="str">
        <f t="shared" si="121"/>
        <v/>
      </c>
      <c r="OY12" s="79" t="str">
        <f t="shared" si="122"/>
        <v/>
      </c>
      <c r="OZ12" s="79" t="str">
        <f t="shared" si="123"/>
        <v/>
      </c>
      <c r="PA12" s="79" t="str">
        <f t="shared" si="124"/>
        <v/>
      </c>
      <c r="PB12" s="79" t="str">
        <f t="shared" si="125"/>
        <v/>
      </c>
      <c r="PC12" s="79" t="str">
        <f t="shared" si="126"/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 t="shared" si="127"/>
        <v/>
      </c>
      <c r="PY12" s="20" t="str">
        <f t="shared" si="128"/>
        <v/>
      </c>
      <c r="PZ12" s="20" t="str">
        <f t="shared" si="129"/>
        <v/>
      </c>
      <c r="QA12" s="20" t="str">
        <f t="shared" si="130"/>
        <v/>
      </c>
      <c r="QB12" s="20" t="str">
        <f t="shared" si="131"/>
        <v/>
      </c>
      <c r="QC12" s="20" t="str">
        <f t="shared" si="132"/>
        <v/>
      </c>
      <c r="QD12" s="20" t="str">
        <f t="shared" si="133"/>
        <v/>
      </c>
      <c r="QE12" s="20" t="str">
        <f t="shared" si="134"/>
        <v/>
      </c>
      <c r="QF12" s="38">
        <f t="shared" si="135"/>
        <v>0</v>
      </c>
      <c r="QG12" s="38">
        <f t="shared" si="136"/>
        <v>0</v>
      </c>
      <c r="QH12" s="38">
        <f t="shared" si="137"/>
        <v>0</v>
      </c>
      <c r="QI12" s="38">
        <f t="shared" si="138"/>
        <v>0</v>
      </c>
      <c r="QJ12" s="38">
        <f t="shared" si="139"/>
        <v>0</v>
      </c>
      <c r="QK12" s="38">
        <f t="shared" si="140"/>
        <v>0</v>
      </c>
      <c r="QL12" s="38">
        <f t="shared" si="141"/>
        <v>0</v>
      </c>
      <c r="QM12" s="38">
        <f t="shared" si="142"/>
        <v>0</v>
      </c>
      <c r="QN12" s="38">
        <f t="shared" si="143"/>
        <v>0</v>
      </c>
      <c r="QO12" s="38">
        <f t="shared" si="144"/>
        <v>0</v>
      </c>
      <c r="QP12" s="38">
        <f t="shared" si="145"/>
        <v>0</v>
      </c>
      <c r="QQ12" s="38">
        <f t="shared" si="146"/>
        <v>0</v>
      </c>
      <c r="QR12" s="38">
        <f t="shared" si="147"/>
        <v>0</v>
      </c>
      <c r="QS12" s="38">
        <f t="shared" si="148"/>
        <v>0</v>
      </c>
      <c r="QT12" s="38">
        <f t="shared" si="149"/>
        <v>0</v>
      </c>
      <c r="QU12" s="38">
        <f t="shared" si="150"/>
        <v>0</v>
      </c>
      <c r="QV12" s="38">
        <f t="shared" si="151"/>
        <v>0</v>
      </c>
      <c r="QW12" s="38">
        <f t="shared" si="152"/>
        <v>0</v>
      </c>
      <c r="QX12" s="38">
        <f t="shared" si="153"/>
        <v>0</v>
      </c>
      <c r="QY12" s="38">
        <f t="shared" si="154"/>
        <v>0</v>
      </c>
      <c r="QZ12" s="45" t="s">
        <v>46</v>
      </c>
      <c r="RA12" s="79" t="str">
        <f t="shared" si="155"/>
        <v/>
      </c>
      <c r="RB12" s="79" t="str">
        <f t="shared" si="156"/>
        <v/>
      </c>
      <c r="RC12" s="79" t="str">
        <f t="shared" si="157"/>
        <v/>
      </c>
      <c r="RD12" s="79" t="str">
        <f t="shared" si="158"/>
        <v/>
      </c>
      <c r="RE12" s="79" t="str">
        <f t="shared" si="159"/>
        <v/>
      </c>
      <c r="RF12" s="79" t="str">
        <f t="shared" si="160"/>
        <v/>
      </c>
      <c r="RG12" s="79" t="str">
        <f t="shared" si="161"/>
        <v/>
      </c>
      <c r="RH12" s="79" t="str">
        <f t="shared" si="162"/>
        <v/>
      </c>
    </row>
    <row r="13" spans="1:476" x14ac:dyDescent="0.2">
      <c r="A13" s="5">
        <f t="shared" si="163"/>
        <v>10</v>
      </c>
      <c r="B13" s="78" t="s">
        <v>152</v>
      </c>
      <c r="C13" s="5" t="s">
        <v>6</v>
      </c>
      <c r="D13" s="5">
        <v>2005</v>
      </c>
      <c r="E13" s="15">
        <f t="shared" si="0"/>
        <v>20.000202000022</v>
      </c>
      <c r="F13" s="3" t="str">
        <f t="shared" si="1"/>
        <v>P</v>
      </c>
      <c r="G13" s="3" t="str">
        <f t="shared" si="2"/>
        <v>P</v>
      </c>
      <c r="H13" s="67" t="str">
        <f t="shared" si="3"/>
        <v>National Team</v>
      </c>
      <c r="I13" s="14">
        <f>IF(COUNT(AR13,BU13,CX13)&gt;0,LARGE((AR13,BU13,CX13),1),0)</f>
        <v>20</v>
      </c>
      <c r="J13" s="14" t="str">
        <f t="shared" si="4"/>
        <v>2022 Elite Canada</v>
      </c>
      <c r="K13" s="14">
        <f>IF(COUNT(AR13,BU13,CX13)&gt;1,LARGE((AR13,BU13,CX13),2),0)</f>
        <v>2.0000000000000001E-4</v>
      </c>
      <c r="L13" s="14" t="str">
        <f t="shared" si="5"/>
        <v>2021 Elite Canada</v>
      </c>
      <c r="M13" s="14">
        <f>IF(COUNT(AS13,BV13,CY13)&gt;0,LARGE((AS13,BV13,CY13),1),0)</f>
        <v>0</v>
      </c>
      <c r="N13" s="14" t="str">
        <f t="shared" si="6"/>
        <v/>
      </c>
      <c r="O13" s="14">
        <f>IF(COUNT(AS13,BV13,CY13)&gt;1,LARGE((AS13,BV13,CY13),2),0)</f>
        <v>0</v>
      </c>
      <c r="P13" s="14" t="str">
        <f t="shared" si="7"/>
        <v/>
      </c>
      <c r="Q13" s="14">
        <f t="shared" si="8"/>
        <v>0</v>
      </c>
      <c r="R13" s="14" t="str">
        <f t="shared" si="9"/>
        <v/>
      </c>
      <c r="S13" s="14" t="str">
        <f t="shared" si="10"/>
        <v/>
      </c>
      <c r="T13" s="20" t="str">
        <f t="shared" si="11"/>
        <v/>
      </c>
      <c r="U13" s="14" t="str">
        <f t="shared" si="12"/>
        <v/>
      </c>
      <c r="V13" s="27">
        <v>1E-4</v>
      </c>
      <c r="W13" s="27">
        <v>1E-4</v>
      </c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>
        <f t="shared" si="13"/>
        <v>1E-4</v>
      </c>
      <c r="AR13" s="79">
        <f t="shared" si="14"/>
        <v>2.0000000000000001E-4</v>
      </c>
      <c r="AS13" s="79" t="str">
        <f t="shared" si="15"/>
        <v/>
      </c>
      <c r="AT13" s="79">
        <f t="shared" si="16"/>
        <v>1E-4</v>
      </c>
      <c r="AU13" s="79">
        <f t="shared" si="17"/>
        <v>2.0000000000000001E-4</v>
      </c>
      <c r="AV13" s="79" t="str">
        <f t="shared" si="18"/>
        <v/>
      </c>
      <c r="AW13" s="79" t="str">
        <f t="shared" si="19"/>
        <v/>
      </c>
      <c r="AX13" s="79">
        <f t="shared" si="20"/>
        <v>2.0000000000000001E-4</v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 t="shared" si="21"/>
        <v/>
      </c>
      <c r="BU13" s="20" t="str">
        <f t="shared" si="22"/>
        <v/>
      </c>
      <c r="BV13" s="20" t="str">
        <f t="shared" si="23"/>
        <v/>
      </c>
      <c r="BW13" s="20" t="str">
        <f t="shared" si="24"/>
        <v/>
      </c>
      <c r="BX13" s="20" t="str">
        <f t="shared" si="25"/>
        <v/>
      </c>
      <c r="BY13" s="20" t="str">
        <f t="shared" si="26"/>
        <v/>
      </c>
      <c r="BZ13" s="20" t="str">
        <f t="shared" si="27"/>
        <v/>
      </c>
      <c r="CA13" s="20" t="str">
        <f t="shared" si="28"/>
        <v/>
      </c>
      <c r="CB13" s="27">
        <v>17.600000000000001</v>
      </c>
      <c r="CC13" s="27">
        <v>2.4</v>
      </c>
      <c r="CD13" s="27">
        <v>0</v>
      </c>
      <c r="CE13" s="27">
        <v>0</v>
      </c>
      <c r="CF13" s="27">
        <v>0</v>
      </c>
      <c r="CG13" s="27">
        <v>0</v>
      </c>
      <c r="CH13" s="27">
        <v>0</v>
      </c>
      <c r="CI13" s="27">
        <v>0</v>
      </c>
      <c r="CJ13" s="27">
        <v>0</v>
      </c>
      <c r="CK13" s="27">
        <v>0</v>
      </c>
      <c r="CL13" s="27">
        <v>0</v>
      </c>
      <c r="CM13" s="27">
        <v>0</v>
      </c>
      <c r="CN13" s="27"/>
      <c r="CO13" s="27"/>
      <c r="CP13" s="27"/>
      <c r="CQ13" s="27"/>
      <c r="CR13" s="27"/>
      <c r="CS13" s="27"/>
      <c r="CT13" s="27"/>
      <c r="CU13" s="27"/>
      <c r="CV13" s="45"/>
      <c r="CW13" s="79">
        <f t="shared" si="29"/>
        <v>2.4</v>
      </c>
      <c r="CX13" s="79">
        <f t="shared" si="30"/>
        <v>20</v>
      </c>
      <c r="CY13" s="79" t="str">
        <f t="shared" si="31"/>
        <v/>
      </c>
      <c r="CZ13" s="79">
        <f t="shared" si="32"/>
        <v>2.4</v>
      </c>
      <c r="DA13" s="79">
        <f t="shared" si="33"/>
        <v>20</v>
      </c>
      <c r="DB13" s="79" t="str">
        <f t="shared" si="34"/>
        <v/>
      </c>
      <c r="DC13" s="79" t="str">
        <f t="shared" si="35"/>
        <v/>
      </c>
      <c r="DD13" s="79">
        <f t="shared" si="36"/>
        <v>20</v>
      </c>
      <c r="DE13" s="80" t="str">
        <f t="shared" si="37"/>
        <v/>
      </c>
      <c r="DF13" s="80"/>
      <c r="DG13" s="80" t="str">
        <f t="shared" si="38"/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 t="shared" si="39"/>
        <v/>
      </c>
      <c r="EC13" s="79" t="str">
        <f t="shared" si="40"/>
        <v/>
      </c>
      <c r="ED13" s="79" t="str">
        <f t="shared" si="41"/>
        <v/>
      </c>
      <c r="EE13" s="79" t="str">
        <f t="shared" si="42"/>
        <v/>
      </c>
      <c r="EF13" s="79" t="str">
        <f t="shared" si="43"/>
        <v/>
      </c>
      <c r="EG13" s="79" t="str">
        <f t="shared" si="44"/>
        <v/>
      </c>
      <c r="EH13" s="79" t="str">
        <f t="shared" si="45"/>
        <v/>
      </c>
      <c r="EI13" s="79" t="str">
        <f t="shared" si="46"/>
        <v/>
      </c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0" t="str">
        <f t="shared" si="47"/>
        <v/>
      </c>
      <c r="FE13" s="20" t="str">
        <f t="shared" si="48"/>
        <v/>
      </c>
      <c r="FF13" s="20" t="str">
        <f t="shared" si="49"/>
        <v/>
      </c>
      <c r="FG13" s="20" t="str">
        <f t="shared" si="50"/>
        <v/>
      </c>
      <c r="FH13" s="20" t="str">
        <f t="shared" si="51"/>
        <v/>
      </c>
      <c r="FI13" s="20" t="str">
        <f t="shared" si="52"/>
        <v/>
      </c>
      <c r="FJ13" s="20" t="str">
        <f t="shared" si="53"/>
        <v/>
      </c>
      <c r="FK13" s="20" t="str">
        <f t="shared" si="54"/>
        <v/>
      </c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79" t="str">
        <f t="shared" si="55"/>
        <v/>
      </c>
      <c r="GG13" s="79" t="str">
        <f t="shared" si="56"/>
        <v/>
      </c>
      <c r="GH13" s="79" t="str">
        <f t="shared" si="57"/>
        <v/>
      </c>
      <c r="GI13" s="79" t="str">
        <f t="shared" si="58"/>
        <v/>
      </c>
      <c r="GJ13" s="79" t="str">
        <f t="shared" si="59"/>
        <v/>
      </c>
      <c r="GK13" s="79" t="str">
        <f t="shared" si="60"/>
        <v/>
      </c>
      <c r="GL13" s="79" t="str">
        <f t="shared" si="61"/>
        <v/>
      </c>
      <c r="GM13" s="79" t="str">
        <f t="shared" si="62"/>
        <v/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 t="shared" si="63"/>
        <v/>
      </c>
      <c r="HI13" s="20" t="str">
        <f t="shared" si="64"/>
        <v/>
      </c>
      <c r="HJ13" s="20" t="str">
        <f t="shared" si="65"/>
        <v/>
      </c>
      <c r="HK13" s="20" t="str">
        <f t="shared" si="66"/>
        <v/>
      </c>
      <c r="HL13" s="20" t="str">
        <f t="shared" si="67"/>
        <v/>
      </c>
      <c r="HM13" s="20" t="str">
        <f t="shared" si="68"/>
        <v/>
      </c>
      <c r="HN13" s="20" t="str">
        <f t="shared" si="69"/>
        <v/>
      </c>
      <c r="HO13" s="20" t="str">
        <f t="shared" si="70"/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 t="shared" si="71"/>
        <v/>
      </c>
      <c r="IK13" s="79" t="str">
        <f t="shared" si="72"/>
        <v/>
      </c>
      <c r="IL13" s="79" t="str">
        <f t="shared" si="73"/>
        <v/>
      </c>
      <c r="IM13" s="79" t="str">
        <f t="shared" si="74"/>
        <v/>
      </c>
      <c r="IN13" s="79" t="str">
        <f t="shared" si="75"/>
        <v/>
      </c>
      <c r="IO13" s="79" t="str">
        <f t="shared" si="76"/>
        <v/>
      </c>
      <c r="IP13" s="79" t="str">
        <f t="shared" si="77"/>
        <v/>
      </c>
      <c r="IQ13" s="79" t="str">
        <f t="shared" si="78"/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 t="shared" si="79"/>
        <v/>
      </c>
      <c r="JM13" s="20" t="str">
        <f t="shared" si="80"/>
        <v/>
      </c>
      <c r="JN13" s="20" t="str">
        <f t="shared" si="81"/>
        <v/>
      </c>
      <c r="JO13" s="20" t="str">
        <f t="shared" si="82"/>
        <v/>
      </c>
      <c r="JP13" s="20" t="str">
        <f t="shared" si="83"/>
        <v/>
      </c>
      <c r="JQ13" s="20" t="str">
        <f t="shared" si="84"/>
        <v/>
      </c>
      <c r="JR13" s="20" t="str">
        <f t="shared" si="85"/>
        <v/>
      </c>
      <c r="JS13" s="20" t="str">
        <f t="shared" si="86"/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 t="shared" si="87"/>
        <v/>
      </c>
      <c r="KO13" s="79" t="str">
        <f t="shared" si="88"/>
        <v/>
      </c>
      <c r="KP13" s="79" t="str">
        <f t="shared" si="89"/>
        <v/>
      </c>
      <c r="KQ13" s="79" t="str">
        <f t="shared" si="90"/>
        <v/>
      </c>
      <c r="KR13" s="79" t="str">
        <f t="shared" si="91"/>
        <v/>
      </c>
      <c r="KS13" s="79" t="str">
        <f t="shared" si="92"/>
        <v/>
      </c>
      <c r="KT13" s="79" t="str">
        <f t="shared" si="93"/>
        <v/>
      </c>
      <c r="KU13" s="79" t="str">
        <f t="shared" si="94"/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 t="shared" si="95"/>
        <v/>
      </c>
      <c r="LQ13" s="20" t="str">
        <f t="shared" si="96"/>
        <v/>
      </c>
      <c r="LR13" s="20" t="str">
        <f t="shared" si="97"/>
        <v/>
      </c>
      <c r="LS13" s="20" t="str">
        <f t="shared" si="98"/>
        <v/>
      </c>
      <c r="LT13" s="20" t="str">
        <f t="shared" si="99"/>
        <v/>
      </c>
      <c r="LU13" s="20" t="str">
        <f t="shared" si="100"/>
        <v/>
      </c>
      <c r="LV13" s="20" t="str">
        <f t="shared" si="101"/>
        <v/>
      </c>
      <c r="LW13" s="20" t="str">
        <f t="shared" si="102"/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 t="shared" si="103"/>
        <v/>
      </c>
      <c r="MS13" s="79" t="str">
        <f t="shared" si="104"/>
        <v/>
      </c>
      <c r="MT13" s="79" t="str">
        <f t="shared" si="105"/>
        <v/>
      </c>
      <c r="MU13" s="79" t="str">
        <f t="shared" si="106"/>
        <v/>
      </c>
      <c r="MV13" s="79" t="str">
        <f t="shared" si="107"/>
        <v/>
      </c>
      <c r="MW13" s="79" t="str">
        <f t="shared" si="108"/>
        <v/>
      </c>
      <c r="MX13" s="79" t="str">
        <f t="shared" si="109"/>
        <v/>
      </c>
      <c r="MY13" s="79" t="str">
        <f t="shared" si="110"/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 t="shared" si="111"/>
        <v/>
      </c>
      <c r="NU13" s="20" t="str">
        <f t="shared" si="112"/>
        <v/>
      </c>
      <c r="NV13" s="20" t="str">
        <f t="shared" si="113"/>
        <v/>
      </c>
      <c r="NW13" s="20" t="str">
        <f t="shared" si="114"/>
        <v/>
      </c>
      <c r="NX13" s="20" t="str">
        <f t="shared" si="115"/>
        <v/>
      </c>
      <c r="NY13" s="20" t="str">
        <f t="shared" si="116"/>
        <v/>
      </c>
      <c r="NZ13" s="20" t="str">
        <f t="shared" si="117"/>
        <v/>
      </c>
      <c r="OA13" s="20" t="str">
        <f t="shared" si="118"/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 t="shared" si="119"/>
        <v/>
      </c>
      <c r="OW13" s="79" t="str">
        <f t="shared" si="120"/>
        <v/>
      </c>
      <c r="OX13" s="79" t="str">
        <f t="shared" si="121"/>
        <v/>
      </c>
      <c r="OY13" s="79" t="str">
        <f t="shared" si="122"/>
        <v/>
      </c>
      <c r="OZ13" s="79" t="str">
        <f t="shared" si="123"/>
        <v/>
      </c>
      <c r="PA13" s="79" t="str">
        <f t="shared" si="124"/>
        <v/>
      </c>
      <c r="PB13" s="79" t="str">
        <f t="shared" si="125"/>
        <v/>
      </c>
      <c r="PC13" s="79" t="str">
        <f t="shared" si="126"/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 t="shared" si="127"/>
        <v/>
      </c>
      <c r="PY13" s="20" t="str">
        <f t="shared" si="128"/>
        <v/>
      </c>
      <c r="PZ13" s="20" t="str">
        <f t="shared" si="129"/>
        <v/>
      </c>
      <c r="QA13" s="20" t="str">
        <f t="shared" si="130"/>
        <v/>
      </c>
      <c r="QB13" s="20" t="str">
        <f t="shared" si="131"/>
        <v/>
      </c>
      <c r="QC13" s="20" t="str">
        <f t="shared" si="132"/>
        <v/>
      </c>
      <c r="QD13" s="20" t="str">
        <f t="shared" si="133"/>
        <v/>
      </c>
      <c r="QE13" s="20" t="str">
        <f t="shared" si="134"/>
        <v/>
      </c>
      <c r="QF13" s="38">
        <f t="shared" si="135"/>
        <v>8.8000000000000007</v>
      </c>
      <c r="QG13" s="38">
        <f t="shared" si="136"/>
        <v>1.2</v>
      </c>
      <c r="QH13" s="38">
        <f t="shared" si="137"/>
        <v>0</v>
      </c>
      <c r="QI13" s="38">
        <f t="shared" si="138"/>
        <v>0</v>
      </c>
      <c r="QJ13" s="38">
        <f t="shared" si="139"/>
        <v>0</v>
      </c>
      <c r="QK13" s="38">
        <f t="shared" si="140"/>
        <v>0</v>
      </c>
      <c r="QL13" s="38">
        <f t="shared" si="141"/>
        <v>0</v>
      </c>
      <c r="QM13" s="38">
        <f t="shared" si="142"/>
        <v>0</v>
      </c>
      <c r="QN13" s="38">
        <f t="shared" si="143"/>
        <v>0</v>
      </c>
      <c r="QO13" s="38">
        <f t="shared" si="144"/>
        <v>0</v>
      </c>
      <c r="QP13" s="38">
        <f t="shared" si="145"/>
        <v>0</v>
      </c>
      <c r="QQ13" s="38">
        <f t="shared" si="146"/>
        <v>0</v>
      </c>
      <c r="QR13" s="38">
        <f t="shared" si="147"/>
        <v>0</v>
      </c>
      <c r="QS13" s="38">
        <f t="shared" si="148"/>
        <v>0</v>
      </c>
      <c r="QT13" s="38">
        <f t="shared" si="149"/>
        <v>0</v>
      </c>
      <c r="QU13" s="38">
        <f t="shared" si="150"/>
        <v>0</v>
      </c>
      <c r="QV13" s="38">
        <f t="shared" si="151"/>
        <v>0</v>
      </c>
      <c r="QW13" s="38">
        <f t="shared" si="152"/>
        <v>0</v>
      </c>
      <c r="QX13" s="38">
        <f t="shared" si="153"/>
        <v>0</v>
      </c>
      <c r="QY13" s="38">
        <f t="shared" si="154"/>
        <v>0</v>
      </c>
      <c r="QZ13" s="45" t="s">
        <v>46</v>
      </c>
      <c r="RA13" s="79">
        <f t="shared" si="155"/>
        <v>1.2</v>
      </c>
      <c r="RB13" s="79">
        <f t="shared" si="156"/>
        <v>10</v>
      </c>
      <c r="RC13" s="79" t="str">
        <f t="shared" si="157"/>
        <v/>
      </c>
      <c r="RD13" s="79">
        <f t="shared" si="158"/>
        <v>1.2</v>
      </c>
      <c r="RE13" s="79">
        <f t="shared" si="159"/>
        <v>10</v>
      </c>
      <c r="RF13" s="79" t="str">
        <f t="shared" si="160"/>
        <v/>
      </c>
      <c r="RG13" s="79" t="str">
        <f t="shared" si="161"/>
        <v/>
      </c>
      <c r="RH13" s="79">
        <f t="shared" si="162"/>
        <v>10</v>
      </c>
    </row>
    <row r="14" spans="1:476" x14ac:dyDescent="0.2">
      <c r="A14" s="5">
        <f t="shared" si="163"/>
        <v>11</v>
      </c>
      <c r="B14" s="78" t="s">
        <v>144</v>
      </c>
      <c r="C14" s="5" t="s">
        <v>3</v>
      </c>
      <c r="D14" s="5">
        <v>2005</v>
      </c>
      <c r="E14" s="15">
        <f t="shared" si="0"/>
        <v>123.40010743001501</v>
      </c>
      <c r="F14" s="3" t="str">
        <f t="shared" si="1"/>
        <v/>
      </c>
      <c r="G14" s="3" t="str">
        <f t="shared" si="2"/>
        <v>P</v>
      </c>
      <c r="H14" s="67" t="str">
        <f t="shared" si="3"/>
        <v>No DD</v>
      </c>
      <c r="I14" s="14">
        <f>IF(COUNT(AR14,BU14,CX14)&gt;0,LARGE((AR14,BU14,CX14),1),0)</f>
        <v>50</v>
      </c>
      <c r="J14" s="14" t="str">
        <f t="shared" si="4"/>
        <v>2022 Elite Canada</v>
      </c>
      <c r="K14" s="14">
        <f>IF(COUNT(AR14,BU14,CX14)&gt;1,LARGE((AR14,BU14,CX14),2),0)</f>
        <v>1E-4</v>
      </c>
      <c r="L14" s="14" t="str">
        <f t="shared" si="5"/>
        <v>2021 Canadian Championships</v>
      </c>
      <c r="M14" s="14">
        <f>IF(COUNT(AS14,BV14,CY14)&gt;0,LARGE((AS14,BV14,CY14),1),0)</f>
        <v>24.299999999999997</v>
      </c>
      <c r="N14" s="14" t="str">
        <f t="shared" si="6"/>
        <v>2022 Elite Canada</v>
      </c>
      <c r="O14" s="14">
        <f>IF(COUNT(AS14,BV14,CY14)&gt;1,LARGE((AS14,BV14,CY14),2),0)</f>
        <v>0</v>
      </c>
      <c r="P14" s="14" t="str">
        <f t="shared" si="7"/>
        <v/>
      </c>
      <c r="Q14" s="14">
        <f t="shared" si="8"/>
        <v>49.1</v>
      </c>
      <c r="R14" s="14" t="str">
        <f t="shared" si="9"/>
        <v>2022 Elite Canada</v>
      </c>
      <c r="S14" s="14" t="str">
        <f t="shared" si="10"/>
        <v/>
      </c>
      <c r="T14" s="20" t="str">
        <f t="shared" si="11"/>
        <v/>
      </c>
      <c r="U14" s="14" t="str">
        <f t="shared" si="12"/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 t="shared" si="13"/>
        <v/>
      </c>
      <c r="AR14" s="79" t="str">
        <f t="shared" si="14"/>
        <v/>
      </c>
      <c r="AS14" s="79" t="str">
        <f t="shared" si="15"/>
        <v/>
      </c>
      <c r="AT14" s="79" t="str">
        <f t="shared" si="16"/>
        <v/>
      </c>
      <c r="AU14" s="79" t="str">
        <f t="shared" si="17"/>
        <v/>
      </c>
      <c r="AV14" s="79" t="str">
        <f t="shared" si="18"/>
        <v/>
      </c>
      <c r="AW14" s="79" t="str">
        <f t="shared" si="19"/>
        <v/>
      </c>
      <c r="AX14" s="79" t="str">
        <f t="shared" si="20"/>
        <v/>
      </c>
      <c r="AY14" s="26"/>
      <c r="AZ14" s="26">
        <v>1E-4</v>
      </c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>
        <f t="shared" si="21"/>
        <v>1E-4</v>
      </c>
      <c r="BU14" s="20">
        <f t="shared" si="22"/>
        <v>1E-4</v>
      </c>
      <c r="BV14" s="20" t="str">
        <f t="shared" si="23"/>
        <v/>
      </c>
      <c r="BW14" s="20">
        <f t="shared" si="24"/>
        <v>1E-4</v>
      </c>
      <c r="BX14" s="20">
        <f t="shared" si="25"/>
        <v>1E-4</v>
      </c>
      <c r="BY14" s="20" t="str">
        <f t="shared" si="26"/>
        <v/>
      </c>
      <c r="BZ14" s="20" t="str">
        <f t="shared" si="27"/>
        <v/>
      </c>
      <c r="CA14" s="20">
        <f t="shared" si="28"/>
        <v>1E-4</v>
      </c>
      <c r="CB14" s="27">
        <v>19</v>
      </c>
      <c r="CC14" s="27">
        <v>6</v>
      </c>
      <c r="CD14" s="27">
        <v>0</v>
      </c>
      <c r="CE14" s="27">
        <v>0</v>
      </c>
      <c r="CF14" s="27">
        <v>19.399999999999999</v>
      </c>
      <c r="CG14" s="27">
        <v>5.6</v>
      </c>
      <c r="CH14" s="27">
        <v>0</v>
      </c>
      <c r="CI14" s="27">
        <v>0</v>
      </c>
      <c r="CJ14" s="27">
        <v>19.2</v>
      </c>
      <c r="CK14" s="27">
        <v>5.0999999999999996</v>
      </c>
      <c r="CL14" s="27">
        <v>0</v>
      </c>
      <c r="CM14" s="27">
        <v>0</v>
      </c>
      <c r="CN14" s="27">
        <v>19</v>
      </c>
      <c r="CO14" s="27">
        <v>6</v>
      </c>
      <c r="CP14" s="27">
        <v>0.2</v>
      </c>
      <c r="CQ14" s="27">
        <v>0</v>
      </c>
      <c r="CR14" s="27">
        <v>19.3</v>
      </c>
      <c r="CS14" s="27">
        <v>5.6</v>
      </c>
      <c r="CT14" s="27">
        <v>0.6</v>
      </c>
      <c r="CU14" s="27">
        <v>0</v>
      </c>
      <c r="CV14" s="45"/>
      <c r="CW14" s="79">
        <f t="shared" si="29"/>
        <v>11.6</v>
      </c>
      <c r="CX14" s="79">
        <f t="shared" si="30"/>
        <v>50</v>
      </c>
      <c r="CY14" s="79">
        <f t="shared" si="31"/>
        <v>24.299999999999997</v>
      </c>
      <c r="CZ14" s="79">
        <f t="shared" si="32"/>
        <v>16.7</v>
      </c>
      <c r="DA14" s="79">
        <f t="shared" si="33"/>
        <v>74.3</v>
      </c>
      <c r="DB14" s="79">
        <f t="shared" si="34"/>
        <v>11.6</v>
      </c>
      <c r="DC14" s="79">
        <f t="shared" si="35"/>
        <v>49.1</v>
      </c>
      <c r="DD14" s="79">
        <f t="shared" si="36"/>
        <v>99.1</v>
      </c>
      <c r="DE14" s="80" t="str">
        <f t="shared" si="37"/>
        <v/>
      </c>
      <c r="DF14" s="80"/>
      <c r="DG14" s="80" t="str">
        <f t="shared" si="38"/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 t="shared" si="39"/>
        <v/>
      </c>
      <c r="EC14" s="79" t="str">
        <f t="shared" si="40"/>
        <v/>
      </c>
      <c r="ED14" s="79" t="str">
        <f t="shared" si="41"/>
        <v/>
      </c>
      <c r="EE14" s="79" t="str">
        <f t="shared" si="42"/>
        <v/>
      </c>
      <c r="EF14" s="79" t="str">
        <f t="shared" si="43"/>
        <v/>
      </c>
      <c r="EG14" s="79" t="str">
        <f t="shared" si="44"/>
        <v/>
      </c>
      <c r="EH14" s="79" t="str">
        <f t="shared" si="45"/>
        <v/>
      </c>
      <c r="EI14" s="79" t="str">
        <f t="shared" si="46"/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 t="shared" si="47"/>
        <v/>
      </c>
      <c r="FE14" s="20" t="str">
        <f t="shared" si="48"/>
        <v/>
      </c>
      <c r="FF14" s="20" t="str">
        <f t="shared" si="49"/>
        <v/>
      </c>
      <c r="FG14" s="20" t="str">
        <f t="shared" si="50"/>
        <v/>
      </c>
      <c r="FH14" s="20" t="str">
        <f t="shared" si="51"/>
        <v/>
      </c>
      <c r="FI14" s="20" t="str">
        <f t="shared" si="52"/>
        <v/>
      </c>
      <c r="FJ14" s="20" t="str">
        <f t="shared" si="53"/>
        <v/>
      </c>
      <c r="FK14" s="20" t="str">
        <f t="shared" si="54"/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 t="shared" si="55"/>
        <v/>
      </c>
      <c r="GG14" s="79" t="str">
        <f t="shared" si="56"/>
        <v/>
      </c>
      <c r="GH14" s="79" t="str">
        <f t="shared" si="57"/>
        <v/>
      </c>
      <c r="GI14" s="79" t="str">
        <f t="shared" si="58"/>
        <v/>
      </c>
      <c r="GJ14" s="79" t="str">
        <f t="shared" si="59"/>
        <v/>
      </c>
      <c r="GK14" s="79" t="str">
        <f t="shared" si="60"/>
        <v/>
      </c>
      <c r="GL14" s="79" t="str">
        <f t="shared" si="61"/>
        <v/>
      </c>
      <c r="GM14" s="79" t="str">
        <f t="shared" si="62"/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 t="shared" si="63"/>
        <v/>
      </c>
      <c r="HI14" s="20" t="str">
        <f t="shared" si="64"/>
        <v/>
      </c>
      <c r="HJ14" s="20" t="str">
        <f t="shared" si="65"/>
        <v/>
      </c>
      <c r="HK14" s="20" t="str">
        <f t="shared" si="66"/>
        <v/>
      </c>
      <c r="HL14" s="20" t="str">
        <f t="shared" si="67"/>
        <v/>
      </c>
      <c r="HM14" s="20" t="str">
        <f t="shared" si="68"/>
        <v/>
      </c>
      <c r="HN14" s="20" t="str">
        <f t="shared" si="69"/>
        <v/>
      </c>
      <c r="HO14" s="20" t="str">
        <f t="shared" si="70"/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 t="shared" si="71"/>
        <v/>
      </c>
      <c r="IK14" s="79" t="str">
        <f t="shared" si="72"/>
        <v/>
      </c>
      <c r="IL14" s="79" t="str">
        <f t="shared" si="73"/>
        <v/>
      </c>
      <c r="IM14" s="79" t="str">
        <f t="shared" si="74"/>
        <v/>
      </c>
      <c r="IN14" s="79" t="str">
        <f t="shared" si="75"/>
        <v/>
      </c>
      <c r="IO14" s="79" t="str">
        <f t="shared" si="76"/>
        <v/>
      </c>
      <c r="IP14" s="79" t="str">
        <f t="shared" si="77"/>
        <v/>
      </c>
      <c r="IQ14" s="79" t="str">
        <f t="shared" si="78"/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 t="shared" si="79"/>
        <v/>
      </c>
      <c r="JM14" s="20" t="str">
        <f t="shared" si="80"/>
        <v/>
      </c>
      <c r="JN14" s="20" t="str">
        <f t="shared" si="81"/>
        <v/>
      </c>
      <c r="JO14" s="20" t="str">
        <f t="shared" si="82"/>
        <v/>
      </c>
      <c r="JP14" s="20" t="str">
        <f t="shared" si="83"/>
        <v/>
      </c>
      <c r="JQ14" s="20" t="str">
        <f t="shared" si="84"/>
        <v/>
      </c>
      <c r="JR14" s="20" t="str">
        <f t="shared" si="85"/>
        <v/>
      </c>
      <c r="JS14" s="20" t="str">
        <f t="shared" si="86"/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 t="shared" si="87"/>
        <v/>
      </c>
      <c r="KO14" s="79" t="str">
        <f t="shared" si="88"/>
        <v/>
      </c>
      <c r="KP14" s="79" t="str">
        <f t="shared" si="89"/>
        <v/>
      </c>
      <c r="KQ14" s="79" t="str">
        <f t="shared" si="90"/>
        <v/>
      </c>
      <c r="KR14" s="79" t="str">
        <f t="shared" si="91"/>
        <v/>
      </c>
      <c r="KS14" s="79" t="str">
        <f t="shared" si="92"/>
        <v/>
      </c>
      <c r="KT14" s="79" t="str">
        <f t="shared" si="93"/>
        <v/>
      </c>
      <c r="KU14" s="79" t="str">
        <f t="shared" si="94"/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 t="shared" si="95"/>
        <v/>
      </c>
      <c r="LQ14" s="20" t="str">
        <f t="shared" si="96"/>
        <v/>
      </c>
      <c r="LR14" s="20" t="str">
        <f t="shared" si="97"/>
        <v/>
      </c>
      <c r="LS14" s="20" t="str">
        <f t="shared" si="98"/>
        <v/>
      </c>
      <c r="LT14" s="20" t="str">
        <f t="shared" si="99"/>
        <v/>
      </c>
      <c r="LU14" s="20" t="str">
        <f t="shared" si="100"/>
        <v/>
      </c>
      <c r="LV14" s="20" t="str">
        <f t="shared" si="101"/>
        <v/>
      </c>
      <c r="LW14" s="20" t="str">
        <f t="shared" si="102"/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 t="shared" si="103"/>
        <v/>
      </c>
      <c r="MS14" s="79" t="str">
        <f t="shared" si="104"/>
        <v/>
      </c>
      <c r="MT14" s="79" t="str">
        <f t="shared" si="105"/>
        <v/>
      </c>
      <c r="MU14" s="79" t="str">
        <f t="shared" si="106"/>
        <v/>
      </c>
      <c r="MV14" s="79" t="str">
        <f t="shared" si="107"/>
        <v/>
      </c>
      <c r="MW14" s="79" t="str">
        <f t="shared" si="108"/>
        <v/>
      </c>
      <c r="MX14" s="79" t="str">
        <f t="shared" si="109"/>
        <v/>
      </c>
      <c r="MY14" s="79" t="str">
        <f t="shared" si="110"/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 t="shared" si="111"/>
        <v/>
      </c>
      <c r="NU14" s="20" t="str">
        <f t="shared" si="112"/>
        <v/>
      </c>
      <c r="NV14" s="20" t="str">
        <f t="shared" si="113"/>
        <v/>
      </c>
      <c r="NW14" s="20" t="str">
        <f t="shared" si="114"/>
        <v/>
      </c>
      <c r="NX14" s="20" t="str">
        <f t="shared" si="115"/>
        <v/>
      </c>
      <c r="NY14" s="20" t="str">
        <f t="shared" si="116"/>
        <v/>
      </c>
      <c r="NZ14" s="20" t="str">
        <f t="shared" si="117"/>
        <v/>
      </c>
      <c r="OA14" s="20" t="str">
        <f t="shared" si="118"/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 t="shared" si="119"/>
        <v/>
      </c>
      <c r="OW14" s="79" t="str">
        <f t="shared" si="120"/>
        <v/>
      </c>
      <c r="OX14" s="79" t="str">
        <f t="shared" si="121"/>
        <v/>
      </c>
      <c r="OY14" s="79" t="str">
        <f t="shared" si="122"/>
        <v/>
      </c>
      <c r="OZ14" s="79" t="str">
        <f t="shared" si="123"/>
        <v/>
      </c>
      <c r="PA14" s="79" t="str">
        <f t="shared" si="124"/>
        <v/>
      </c>
      <c r="PB14" s="79" t="str">
        <f t="shared" si="125"/>
        <v/>
      </c>
      <c r="PC14" s="79" t="str">
        <f t="shared" si="126"/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 t="shared" si="127"/>
        <v/>
      </c>
      <c r="PY14" s="20" t="str">
        <f t="shared" si="128"/>
        <v/>
      </c>
      <c r="PZ14" s="20" t="str">
        <f t="shared" si="129"/>
        <v/>
      </c>
      <c r="QA14" s="20" t="str">
        <f t="shared" si="130"/>
        <v/>
      </c>
      <c r="QB14" s="20" t="str">
        <f t="shared" si="131"/>
        <v/>
      </c>
      <c r="QC14" s="20" t="str">
        <f t="shared" si="132"/>
        <v/>
      </c>
      <c r="QD14" s="20" t="str">
        <f t="shared" si="133"/>
        <v/>
      </c>
      <c r="QE14" s="20" t="str">
        <f t="shared" si="134"/>
        <v/>
      </c>
      <c r="QF14" s="38">
        <f t="shared" si="135"/>
        <v>9.5</v>
      </c>
      <c r="QG14" s="38">
        <f t="shared" si="136"/>
        <v>3.0000499999999999</v>
      </c>
      <c r="QH14" s="38">
        <f t="shared" si="137"/>
        <v>0</v>
      </c>
      <c r="QI14" s="38">
        <f t="shared" si="138"/>
        <v>0</v>
      </c>
      <c r="QJ14" s="38">
        <f t="shared" si="139"/>
        <v>9.6999999999999993</v>
      </c>
      <c r="QK14" s="38">
        <f t="shared" si="140"/>
        <v>2.8</v>
      </c>
      <c r="QL14" s="38">
        <f t="shared" si="141"/>
        <v>0</v>
      </c>
      <c r="QM14" s="38">
        <f t="shared" si="142"/>
        <v>0</v>
      </c>
      <c r="QN14" s="38">
        <f t="shared" si="143"/>
        <v>9.6</v>
      </c>
      <c r="QO14" s="38">
        <f t="shared" si="144"/>
        <v>2.5499999999999998</v>
      </c>
      <c r="QP14" s="38">
        <f t="shared" si="145"/>
        <v>0</v>
      </c>
      <c r="QQ14" s="38">
        <f t="shared" si="146"/>
        <v>0</v>
      </c>
      <c r="QR14" s="38">
        <f t="shared" si="147"/>
        <v>9.5</v>
      </c>
      <c r="QS14" s="38">
        <f t="shared" si="148"/>
        <v>3</v>
      </c>
      <c r="QT14" s="38">
        <f t="shared" si="149"/>
        <v>0.1</v>
      </c>
      <c r="QU14" s="38">
        <f t="shared" si="150"/>
        <v>0</v>
      </c>
      <c r="QV14" s="38">
        <f t="shared" si="151"/>
        <v>9.65</v>
      </c>
      <c r="QW14" s="38">
        <f t="shared" si="152"/>
        <v>2.8</v>
      </c>
      <c r="QX14" s="38">
        <f t="shared" si="153"/>
        <v>0.3</v>
      </c>
      <c r="QY14" s="38">
        <f t="shared" si="154"/>
        <v>0</v>
      </c>
      <c r="QZ14" s="45" t="s">
        <v>46</v>
      </c>
      <c r="RA14" s="79">
        <f t="shared" si="155"/>
        <v>5.8000499999999997</v>
      </c>
      <c r="RB14" s="79">
        <f t="shared" si="156"/>
        <v>25.000049999999998</v>
      </c>
      <c r="RC14" s="79">
        <f t="shared" si="157"/>
        <v>12.149999999999999</v>
      </c>
      <c r="RD14" s="79">
        <f t="shared" si="158"/>
        <v>8.3500499999999995</v>
      </c>
      <c r="RE14" s="79">
        <f t="shared" si="159"/>
        <v>37.150049999999993</v>
      </c>
      <c r="RF14" s="79">
        <f t="shared" si="160"/>
        <v>5.8</v>
      </c>
      <c r="RG14" s="79">
        <f t="shared" si="161"/>
        <v>24.55</v>
      </c>
      <c r="RH14" s="79">
        <f t="shared" si="162"/>
        <v>49.550049999999999</v>
      </c>
    </row>
    <row r="15" spans="1:476" x14ac:dyDescent="0.2">
      <c r="A15" s="5">
        <f t="shared" si="163"/>
        <v>12</v>
      </c>
      <c r="B15" s="78" t="s">
        <v>145</v>
      </c>
      <c r="C15" s="5" t="s">
        <v>146</v>
      </c>
      <c r="D15" s="5">
        <v>2002</v>
      </c>
      <c r="E15" s="15">
        <f t="shared" si="0"/>
        <v>122.10000718000494</v>
      </c>
      <c r="F15" s="3" t="str">
        <f t="shared" si="1"/>
        <v/>
      </c>
      <c r="G15" s="3" t="str">
        <f t="shared" si="2"/>
        <v>P</v>
      </c>
      <c r="H15" s="67" t="str">
        <f t="shared" si="3"/>
        <v>No DD</v>
      </c>
      <c r="I15" s="14">
        <f>IF(COUNT(AR15,BU15,CX15)&gt;0,LARGE((AR15,BU15,CX15),1),0)</f>
        <v>49.4</v>
      </c>
      <c r="J15" s="14" t="str">
        <f t="shared" si="4"/>
        <v>2022 Elite Canada</v>
      </c>
      <c r="K15" s="14">
        <f>IF(COUNT(AR15,BU15,CX15)&gt;1,LARGE((AR15,BU15,CX15),2),0)</f>
        <v>0</v>
      </c>
      <c r="L15" s="14" t="str">
        <f t="shared" si="5"/>
        <v/>
      </c>
      <c r="M15" s="14">
        <f>IF(COUNT(AS15,BV15,CY15)&gt;0,LARGE((AS15,BV15,CY15),1),0)</f>
        <v>22.4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50.3</v>
      </c>
      <c r="R15" s="14" t="str">
        <f t="shared" si="9"/>
        <v>2022 Elite Canada</v>
      </c>
      <c r="S15" s="14" t="str">
        <f t="shared" si="10"/>
        <v/>
      </c>
      <c r="T15" s="20" t="str">
        <f t="shared" si="11"/>
        <v/>
      </c>
      <c r="U15" s="14" t="str">
        <f t="shared" si="12"/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 t="shared" si="13"/>
        <v/>
      </c>
      <c r="AR15" s="79" t="str">
        <f t="shared" si="14"/>
        <v/>
      </c>
      <c r="AS15" s="79" t="str">
        <f t="shared" si="15"/>
        <v/>
      </c>
      <c r="AT15" s="79" t="str">
        <f t="shared" si="16"/>
        <v/>
      </c>
      <c r="AU15" s="79" t="str">
        <f t="shared" si="17"/>
        <v/>
      </c>
      <c r="AV15" s="79" t="str">
        <f t="shared" si="18"/>
        <v/>
      </c>
      <c r="AW15" s="79" t="str">
        <f t="shared" si="19"/>
        <v/>
      </c>
      <c r="AX15" s="79" t="str">
        <f t="shared" si="20"/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 t="shared" si="21"/>
        <v/>
      </c>
      <c r="BU15" s="20" t="str">
        <f t="shared" si="22"/>
        <v/>
      </c>
      <c r="BV15" s="20" t="str">
        <f t="shared" si="23"/>
        <v/>
      </c>
      <c r="BW15" s="20" t="str">
        <f t="shared" si="24"/>
        <v/>
      </c>
      <c r="BX15" s="20" t="str">
        <f t="shared" si="25"/>
        <v/>
      </c>
      <c r="BY15" s="20" t="str">
        <f t="shared" si="26"/>
        <v/>
      </c>
      <c r="BZ15" s="20" t="str">
        <f t="shared" si="27"/>
        <v/>
      </c>
      <c r="CA15" s="20" t="str">
        <f t="shared" si="28"/>
        <v/>
      </c>
      <c r="CB15" s="27">
        <v>19.2</v>
      </c>
      <c r="CC15" s="27">
        <v>6</v>
      </c>
      <c r="CD15" s="27">
        <v>0.6</v>
      </c>
      <c r="CE15" s="27">
        <v>0</v>
      </c>
      <c r="CF15" s="27">
        <v>19</v>
      </c>
      <c r="CG15" s="27">
        <v>6.4</v>
      </c>
      <c r="CH15" s="27">
        <v>0.6</v>
      </c>
      <c r="CI15" s="27">
        <v>0</v>
      </c>
      <c r="CJ15" s="27">
        <v>18.2</v>
      </c>
      <c r="CK15" s="27">
        <v>5.2</v>
      </c>
      <c r="CL15" s="27">
        <v>1</v>
      </c>
      <c r="CM15" s="27">
        <v>0</v>
      </c>
      <c r="CN15" s="27">
        <v>19.2</v>
      </c>
      <c r="CO15" s="27">
        <v>6</v>
      </c>
      <c r="CP15" s="27">
        <v>0</v>
      </c>
      <c r="CQ15" s="27">
        <v>0</v>
      </c>
      <c r="CR15" s="27">
        <v>18.7</v>
      </c>
      <c r="CS15" s="27">
        <v>6.4</v>
      </c>
      <c r="CT15" s="27">
        <v>0</v>
      </c>
      <c r="CU15" s="27">
        <v>0</v>
      </c>
      <c r="CV15" s="45"/>
      <c r="CW15" s="79">
        <f t="shared" si="29"/>
        <v>12.4</v>
      </c>
      <c r="CX15" s="79">
        <f t="shared" si="30"/>
        <v>49.4</v>
      </c>
      <c r="CY15" s="79">
        <f t="shared" si="31"/>
        <v>22.4</v>
      </c>
      <c r="CZ15" s="79">
        <f t="shared" si="32"/>
        <v>17.600000000000001</v>
      </c>
      <c r="DA15" s="79">
        <f t="shared" si="33"/>
        <v>71.8</v>
      </c>
      <c r="DB15" s="79">
        <f t="shared" si="34"/>
        <v>12.4</v>
      </c>
      <c r="DC15" s="79">
        <f t="shared" si="35"/>
        <v>50.3</v>
      </c>
      <c r="DD15" s="79">
        <f t="shared" si="36"/>
        <v>99.699999999999989</v>
      </c>
      <c r="DE15" s="80" t="str">
        <f t="shared" si="37"/>
        <v/>
      </c>
      <c r="DF15" s="80"/>
      <c r="DG15" s="80" t="str">
        <f t="shared" si="38"/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 t="shared" si="39"/>
        <v/>
      </c>
      <c r="EC15" s="79" t="str">
        <f t="shared" si="40"/>
        <v/>
      </c>
      <c r="ED15" s="79" t="str">
        <f t="shared" si="41"/>
        <v/>
      </c>
      <c r="EE15" s="79" t="str">
        <f t="shared" si="42"/>
        <v/>
      </c>
      <c r="EF15" s="79" t="str">
        <f t="shared" si="43"/>
        <v/>
      </c>
      <c r="EG15" s="79" t="str">
        <f t="shared" si="44"/>
        <v/>
      </c>
      <c r="EH15" s="79" t="str">
        <f t="shared" si="45"/>
        <v/>
      </c>
      <c r="EI15" s="79" t="str">
        <f t="shared" si="46"/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 t="shared" si="47"/>
        <v/>
      </c>
      <c r="FE15" s="20" t="str">
        <f t="shared" si="48"/>
        <v/>
      </c>
      <c r="FF15" s="20" t="str">
        <f t="shared" si="49"/>
        <v/>
      </c>
      <c r="FG15" s="20" t="str">
        <f t="shared" si="50"/>
        <v/>
      </c>
      <c r="FH15" s="20" t="str">
        <f t="shared" si="51"/>
        <v/>
      </c>
      <c r="FI15" s="20" t="str">
        <f t="shared" si="52"/>
        <v/>
      </c>
      <c r="FJ15" s="20" t="str">
        <f t="shared" si="53"/>
        <v/>
      </c>
      <c r="FK15" s="20" t="str">
        <f t="shared" si="54"/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 t="shared" si="55"/>
        <v/>
      </c>
      <c r="GG15" s="79" t="str">
        <f t="shared" si="56"/>
        <v/>
      </c>
      <c r="GH15" s="79" t="str">
        <f t="shared" si="57"/>
        <v/>
      </c>
      <c r="GI15" s="79" t="str">
        <f t="shared" si="58"/>
        <v/>
      </c>
      <c r="GJ15" s="79" t="str">
        <f t="shared" si="59"/>
        <v/>
      </c>
      <c r="GK15" s="79" t="str">
        <f t="shared" si="60"/>
        <v/>
      </c>
      <c r="GL15" s="79" t="str">
        <f t="shared" si="61"/>
        <v/>
      </c>
      <c r="GM15" s="79" t="str">
        <f t="shared" si="62"/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 t="shared" si="63"/>
        <v/>
      </c>
      <c r="HI15" s="20" t="str">
        <f t="shared" si="64"/>
        <v/>
      </c>
      <c r="HJ15" s="20" t="str">
        <f t="shared" si="65"/>
        <v/>
      </c>
      <c r="HK15" s="20" t="str">
        <f t="shared" si="66"/>
        <v/>
      </c>
      <c r="HL15" s="20" t="str">
        <f t="shared" si="67"/>
        <v/>
      </c>
      <c r="HM15" s="20" t="str">
        <f t="shared" si="68"/>
        <v/>
      </c>
      <c r="HN15" s="20" t="str">
        <f t="shared" si="69"/>
        <v/>
      </c>
      <c r="HO15" s="20" t="str">
        <f t="shared" si="70"/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 t="shared" si="71"/>
        <v/>
      </c>
      <c r="IK15" s="79" t="str">
        <f t="shared" si="72"/>
        <v/>
      </c>
      <c r="IL15" s="79" t="str">
        <f t="shared" si="73"/>
        <v/>
      </c>
      <c r="IM15" s="79" t="str">
        <f t="shared" si="74"/>
        <v/>
      </c>
      <c r="IN15" s="79" t="str">
        <f t="shared" si="75"/>
        <v/>
      </c>
      <c r="IO15" s="79" t="str">
        <f t="shared" si="76"/>
        <v/>
      </c>
      <c r="IP15" s="79" t="str">
        <f t="shared" si="77"/>
        <v/>
      </c>
      <c r="IQ15" s="79" t="str">
        <f t="shared" si="78"/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 t="shared" si="79"/>
        <v/>
      </c>
      <c r="JM15" s="20" t="str">
        <f t="shared" si="80"/>
        <v/>
      </c>
      <c r="JN15" s="20" t="str">
        <f t="shared" si="81"/>
        <v/>
      </c>
      <c r="JO15" s="20" t="str">
        <f t="shared" si="82"/>
        <v/>
      </c>
      <c r="JP15" s="20" t="str">
        <f t="shared" si="83"/>
        <v/>
      </c>
      <c r="JQ15" s="20" t="str">
        <f t="shared" si="84"/>
        <v/>
      </c>
      <c r="JR15" s="20" t="str">
        <f t="shared" si="85"/>
        <v/>
      </c>
      <c r="JS15" s="20" t="str">
        <f t="shared" si="86"/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 t="shared" si="87"/>
        <v/>
      </c>
      <c r="KO15" s="79" t="str">
        <f t="shared" si="88"/>
        <v/>
      </c>
      <c r="KP15" s="79" t="str">
        <f t="shared" si="89"/>
        <v/>
      </c>
      <c r="KQ15" s="79" t="str">
        <f t="shared" si="90"/>
        <v/>
      </c>
      <c r="KR15" s="79" t="str">
        <f t="shared" si="91"/>
        <v/>
      </c>
      <c r="KS15" s="79" t="str">
        <f t="shared" si="92"/>
        <v/>
      </c>
      <c r="KT15" s="79" t="str">
        <f t="shared" si="93"/>
        <v/>
      </c>
      <c r="KU15" s="79" t="str">
        <f t="shared" si="94"/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 t="shared" si="95"/>
        <v/>
      </c>
      <c r="LQ15" s="20" t="str">
        <f t="shared" si="96"/>
        <v/>
      </c>
      <c r="LR15" s="20" t="str">
        <f t="shared" si="97"/>
        <v/>
      </c>
      <c r="LS15" s="20" t="str">
        <f t="shared" si="98"/>
        <v/>
      </c>
      <c r="LT15" s="20" t="str">
        <f t="shared" si="99"/>
        <v/>
      </c>
      <c r="LU15" s="20" t="str">
        <f t="shared" si="100"/>
        <v/>
      </c>
      <c r="LV15" s="20" t="str">
        <f t="shared" si="101"/>
        <v/>
      </c>
      <c r="LW15" s="20" t="str">
        <f t="shared" si="102"/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 t="shared" si="103"/>
        <v/>
      </c>
      <c r="MS15" s="79" t="str">
        <f t="shared" si="104"/>
        <v/>
      </c>
      <c r="MT15" s="79" t="str">
        <f t="shared" si="105"/>
        <v/>
      </c>
      <c r="MU15" s="79" t="str">
        <f t="shared" si="106"/>
        <v/>
      </c>
      <c r="MV15" s="79" t="str">
        <f t="shared" si="107"/>
        <v/>
      </c>
      <c r="MW15" s="79" t="str">
        <f t="shared" si="108"/>
        <v/>
      </c>
      <c r="MX15" s="79" t="str">
        <f t="shared" si="109"/>
        <v/>
      </c>
      <c r="MY15" s="79" t="str">
        <f t="shared" si="110"/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 t="shared" si="111"/>
        <v/>
      </c>
      <c r="NU15" s="20" t="str">
        <f t="shared" si="112"/>
        <v/>
      </c>
      <c r="NV15" s="20" t="str">
        <f t="shared" si="113"/>
        <v/>
      </c>
      <c r="NW15" s="20" t="str">
        <f t="shared" si="114"/>
        <v/>
      </c>
      <c r="NX15" s="20" t="str">
        <f t="shared" si="115"/>
        <v/>
      </c>
      <c r="NY15" s="20" t="str">
        <f t="shared" si="116"/>
        <v/>
      </c>
      <c r="NZ15" s="20" t="str">
        <f t="shared" si="117"/>
        <v/>
      </c>
      <c r="OA15" s="20" t="str">
        <f t="shared" si="118"/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 t="shared" si="119"/>
        <v/>
      </c>
      <c r="OW15" s="79" t="str">
        <f t="shared" si="120"/>
        <v/>
      </c>
      <c r="OX15" s="79" t="str">
        <f t="shared" si="121"/>
        <v/>
      </c>
      <c r="OY15" s="79" t="str">
        <f t="shared" si="122"/>
        <v/>
      </c>
      <c r="OZ15" s="79" t="str">
        <f t="shared" si="123"/>
        <v/>
      </c>
      <c r="PA15" s="79" t="str">
        <f t="shared" si="124"/>
        <v/>
      </c>
      <c r="PB15" s="79" t="str">
        <f t="shared" si="125"/>
        <v/>
      </c>
      <c r="PC15" s="79" t="str">
        <f t="shared" si="126"/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 t="shared" si="127"/>
        <v/>
      </c>
      <c r="PY15" s="20" t="str">
        <f t="shared" si="128"/>
        <v/>
      </c>
      <c r="PZ15" s="20" t="str">
        <f t="shared" si="129"/>
        <v/>
      </c>
      <c r="QA15" s="20" t="str">
        <f t="shared" si="130"/>
        <v/>
      </c>
      <c r="QB15" s="20" t="str">
        <f t="shared" si="131"/>
        <v/>
      </c>
      <c r="QC15" s="20" t="str">
        <f t="shared" si="132"/>
        <v/>
      </c>
      <c r="QD15" s="20" t="str">
        <f t="shared" si="133"/>
        <v/>
      </c>
      <c r="QE15" s="20" t="str">
        <f t="shared" si="134"/>
        <v/>
      </c>
      <c r="QF15" s="38">
        <f t="shared" si="135"/>
        <v>9.6</v>
      </c>
      <c r="QG15" s="38">
        <f t="shared" si="136"/>
        <v>3</v>
      </c>
      <c r="QH15" s="38">
        <f t="shared" si="137"/>
        <v>0.3</v>
      </c>
      <c r="QI15" s="38">
        <f t="shared" si="138"/>
        <v>0</v>
      </c>
      <c r="QJ15" s="38">
        <f t="shared" si="139"/>
        <v>9.5</v>
      </c>
      <c r="QK15" s="38">
        <f t="shared" si="140"/>
        <v>3.2</v>
      </c>
      <c r="QL15" s="38">
        <f t="shared" si="141"/>
        <v>0.3</v>
      </c>
      <c r="QM15" s="38">
        <f t="shared" si="142"/>
        <v>0</v>
      </c>
      <c r="QN15" s="38">
        <f t="shared" si="143"/>
        <v>9.1</v>
      </c>
      <c r="QO15" s="38">
        <f t="shared" si="144"/>
        <v>2.6</v>
      </c>
      <c r="QP15" s="38">
        <f t="shared" si="145"/>
        <v>0.5</v>
      </c>
      <c r="QQ15" s="38">
        <f t="shared" si="146"/>
        <v>0</v>
      </c>
      <c r="QR15" s="38">
        <f t="shared" si="147"/>
        <v>9.6</v>
      </c>
      <c r="QS15" s="38">
        <f t="shared" si="148"/>
        <v>3</v>
      </c>
      <c r="QT15" s="38">
        <f t="shared" si="149"/>
        <v>0</v>
      </c>
      <c r="QU15" s="38">
        <f t="shared" si="150"/>
        <v>0</v>
      </c>
      <c r="QV15" s="38">
        <f t="shared" si="151"/>
        <v>9.35</v>
      </c>
      <c r="QW15" s="38">
        <f t="shared" si="152"/>
        <v>3.2</v>
      </c>
      <c r="QX15" s="38">
        <f t="shared" si="153"/>
        <v>0</v>
      </c>
      <c r="QY15" s="38">
        <f t="shared" si="154"/>
        <v>0</v>
      </c>
      <c r="QZ15" s="45" t="s">
        <v>46</v>
      </c>
      <c r="RA15" s="79">
        <f t="shared" si="155"/>
        <v>6.2</v>
      </c>
      <c r="RB15" s="79">
        <f t="shared" si="156"/>
        <v>24.7</v>
      </c>
      <c r="RC15" s="79">
        <f t="shared" si="157"/>
        <v>11.2</v>
      </c>
      <c r="RD15" s="79">
        <f t="shared" si="158"/>
        <v>8.8000000000000007</v>
      </c>
      <c r="RE15" s="79">
        <f t="shared" si="159"/>
        <v>35.9</v>
      </c>
      <c r="RF15" s="79">
        <f t="shared" si="160"/>
        <v>6.2</v>
      </c>
      <c r="RG15" s="79">
        <f t="shared" si="161"/>
        <v>25.15</v>
      </c>
      <c r="RH15" s="79">
        <f t="shared" si="162"/>
        <v>49.849999999999994</v>
      </c>
    </row>
    <row r="16" spans="1:476" x14ac:dyDescent="0.2">
      <c r="A16" s="5" t="str">
        <f t="shared" si="163"/>
        <v/>
      </c>
      <c r="B16" s="78" t="s">
        <v>147</v>
      </c>
      <c r="C16" s="5" t="s">
        <v>5</v>
      </c>
      <c r="D16" s="5">
        <v>2005</v>
      </c>
      <c r="E16" s="15">
        <f t="shared" si="0"/>
        <v>119.10010703001478</v>
      </c>
      <c r="F16" s="3" t="str">
        <f t="shared" si="1"/>
        <v/>
      </c>
      <c r="G16" s="3" t="str">
        <f t="shared" si="2"/>
        <v/>
      </c>
      <c r="H16" s="67" t="str">
        <f t="shared" si="3"/>
        <v/>
      </c>
      <c r="I16" s="14">
        <f>IF(COUNT(AR16,BU16,CX16)&gt;0,LARGE((AR16,BU16,CX16),1),0)</f>
        <v>48.099999999999987</v>
      </c>
      <c r="J16" s="14" t="str">
        <f t="shared" si="4"/>
        <v>2022 Elite Canada</v>
      </c>
      <c r="K16" s="14">
        <f>IF(COUNT(AR16,BU16,CX16)&gt;1,LARGE((AR16,BU16,CX16),2),0)</f>
        <v>1E-4</v>
      </c>
      <c r="L16" s="14" t="str">
        <f t="shared" si="5"/>
        <v>2021 Canadian Championships</v>
      </c>
      <c r="M16" s="14">
        <f>IF(COUNT(AS16,BV16,CY16)&gt;0,LARGE((AS16,BV16,CY16),1),0)</f>
        <v>22.2</v>
      </c>
      <c r="N16" s="14" t="str">
        <f t="shared" si="6"/>
        <v>2022 Elite Canada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48.8</v>
      </c>
      <c r="R16" s="14" t="str">
        <f t="shared" si="9"/>
        <v>2022 Elite Canada</v>
      </c>
      <c r="S16" s="14" t="str">
        <f t="shared" si="10"/>
        <v/>
      </c>
      <c r="T16" s="20" t="str">
        <f t="shared" si="11"/>
        <v/>
      </c>
      <c r="U16" s="14" t="str">
        <f t="shared" si="12"/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 t="shared" si="13"/>
        <v/>
      </c>
      <c r="AR16" s="79" t="str">
        <f t="shared" si="14"/>
        <v/>
      </c>
      <c r="AS16" s="79" t="str">
        <f t="shared" si="15"/>
        <v/>
      </c>
      <c r="AT16" s="79" t="str">
        <f t="shared" si="16"/>
        <v/>
      </c>
      <c r="AU16" s="79" t="str">
        <f t="shared" si="17"/>
        <v/>
      </c>
      <c r="AV16" s="79" t="str">
        <f t="shared" si="18"/>
        <v/>
      </c>
      <c r="AW16" s="79" t="str">
        <f t="shared" si="19"/>
        <v/>
      </c>
      <c r="AX16" s="79" t="str">
        <f t="shared" si="20"/>
        <v/>
      </c>
      <c r="AY16" s="26"/>
      <c r="AZ16" s="26">
        <v>1E-4</v>
      </c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>
        <f t="shared" si="21"/>
        <v>1E-4</v>
      </c>
      <c r="BU16" s="20">
        <f t="shared" si="22"/>
        <v>1E-4</v>
      </c>
      <c r="BV16" s="20" t="str">
        <f t="shared" si="23"/>
        <v/>
      </c>
      <c r="BW16" s="20">
        <f t="shared" si="24"/>
        <v>1E-4</v>
      </c>
      <c r="BX16" s="20">
        <f t="shared" si="25"/>
        <v>1E-4</v>
      </c>
      <c r="BY16" s="20" t="str">
        <f t="shared" si="26"/>
        <v/>
      </c>
      <c r="BZ16" s="20" t="str">
        <f t="shared" si="27"/>
        <v/>
      </c>
      <c r="CA16" s="20">
        <f t="shared" si="28"/>
        <v>1E-4</v>
      </c>
      <c r="CB16" s="27">
        <v>18.2</v>
      </c>
      <c r="CC16" s="27">
        <v>5.6</v>
      </c>
      <c r="CD16" s="27">
        <v>0.2</v>
      </c>
      <c r="CE16" s="27">
        <v>0</v>
      </c>
      <c r="CF16" s="27">
        <v>18.3</v>
      </c>
      <c r="CG16" s="27">
        <v>6.4</v>
      </c>
      <c r="CH16" s="27">
        <v>0.2</v>
      </c>
      <c r="CI16" s="27">
        <v>0</v>
      </c>
      <c r="CJ16" s="27">
        <v>18.8</v>
      </c>
      <c r="CK16" s="27">
        <v>4</v>
      </c>
      <c r="CL16" s="27">
        <v>0.6</v>
      </c>
      <c r="CM16" s="27">
        <v>0</v>
      </c>
      <c r="CN16" s="27">
        <v>18.2</v>
      </c>
      <c r="CO16" s="27">
        <v>5.6</v>
      </c>
      <c r="CP16" s="27">
        <v>0</v>
      </c>
      <c r="CQ16" s="27">
        <v>0</v>
      </c>
      <c r="CR16" s="27">
        <v>18.600000000000001</v>
      </c>
      <c r="CS16" s="27">
        <v>6.4</v>
      </c>
      <c r="CT16" s="27">
        <v>0</v>
      </c>
      <c r="CU16" s="27">
        <v>0</v>
      </c>
      <c r="CV16" s="45"/>
      <c r="CW16" s="79">
        <f t="shared" si="29"/>
        <v>12</v>
      </c>
      <c r="CX16" s="79">
        <f t="shared" si="30"/>
        <v>48.099999999999987</v>
      </c>
      <c r="CY16" s="79">
        <f t="shared" si="31"/>
        <v>22.2</v>
      </c>
      <c r="CZ16" s="79">
        <f t="shared" si="32"/>
        <v>16</v>
      </c>
      <c r="DA16" s="79">
        <f t="shared" si="33"/>
        <v>70.299999999999983</v>
      </c>
      <c r="DB16" s="79">
        <f t="shared" si="34"/>
        <v>12</v>
      </c>
      <c r="DC16" s="79">
        <f t="shared" si="35"/>
        <v>48.8</v>
      </c>
      <c r="DD16" s="79">
        <f t="shared" si="36"/>
        <v>96.899999999999977</v>
      </c>
      <c r="DE16" s="80" t="str">
        <f t="shared" si="37"/>
        <v/>
      </c>
      <c r="DF16" s="80"/>
      <c r="DG16" s="80" t="str">
        <f t="shared" si="38"/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 t="shared" si="39"/>
        <v/>
      </c>
      <c r="EC16" s="79" t="str">
        <f t="shared" si="40"/>
        <v/>
      </c>
      <c r="ED16" s="79" t="str">
        <f t="shared" si="41"/>
        <v/>
      </c>
      <c r="EE16" s="79" t="str">
        <f t="shared" si="42"/>
        <v/>
      </c>
      <c r="EF16" s="79" t="str">
        <f t="shared" si="43"/>
        <v/>
      </c>
      <c r="EG16" s="79" t="str">
        <f t="shared" si="44"/>
        <v/>
      </c>
      <c r="EH16" s="79" t="str">
        <f t="shared" si="45"/>
        <v/>
      </c>
      <c r="EI16" s="79" t="str">
        <f t="shared" si="46"/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 t="shared" si="47"/>
        <v/>
      </c>
      <c r="FE16" s="20" t="str">
        <f t="shared" si="48"/>
        <v/>
      </c>
      <c r="FF16" s="20" t="str">
        <f t="shared" si="49"/>
        <v/>
      </c>
      <c r="FG16" s="20" t="str">
        <f t="shared" si="50"/>
        <v/>
      </c>
      <c r="FH16" s="20" t="str">
        <f t="shared" si="51"/>
        <v/>
      </c>
      <c r="FI16" s="20" t="str">
        <f t="shared" si="52"/>
        <v/>
      </c>
      <c r="FJ16" s="20" t="str">
        <f t="shared" si="53"/>
        <v/>
      </c>
      <c r="FK16" s="20" t="str">
        <f t="shared" si="54"/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 t="shared" si="55"/>
        <v/>
      </c>
      <c r="GG16" s="79" t="str">
        <f t="shared" si="56"/>
        <v/>
      </c>
      <c r="GH16" s="79" t="str">
        <f t="shared" si="57"/>
        <v/>
      </c>
      <c r="GI16" s="79" t="str">
        <f t="shared" si="58"/>
        <v/>
      </c>
      <c r="GJ16" s="79" t="str">
        <f t="shared" si="59"/>
        <v/>
      </c>
      <c r="GK16" s="79" t="str">
        <f t="shared" si="60"/>
        <v/>
      </c>
      <c r="GL16" s="79" t="str">
        <f t="shared" si="61"/>
        <v/>
      </c>
      <c r="GM16" s="79" t="str">
        <f t="shared" si="62"/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 t="shared" si="63"/>
        <v/>
      </c>
      <c r="HI16" s="20" t="str">
        <f t="shared" si="64"/>
        <v/>
      </c>
      <c r="HJ16" s="20" t="str">
        <f t="shared" si="65"/>
        <v/>
      </c>
      <c r="HK16" s="20" t="str">
        <f t="shared" si="66"/>
        <v/>
      </c>
      <c r="HL16" s="20" t="str">
        <f t="shared" si="67"/>
        <v/>
      </c>
      <c r="HM16" s="20" t="str">
        <f t="shared" si="68"/>
        <v/>
      </c>
      <c r="HN16" s="20" t="str">
        <f t="shared" si="69"/>
        <v/>
      </c>
      <c r="HO16" s="20" t="str">
        <f t="shared" si="70"/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 t="shared" si="71"/>
        <v/>
      </c>
      <c r="IK16" s="79" t="str">
        <f t="shared" si="72"/>
        <v/>
      </c>
      <c r="IL16" s="79" t="str">
        <f t="shared" si="73"/>
        <v/>
      </c>
      <c r="IM16" s="79" t="str">
        <f t="shared" si="74"/>
        <v/>
      </c>
      <c r="IN16" s="79" t="str">
        <f t="shared" si="75"/>
        <v/>
      </c>
      <c r="IO16" s="79" t="str">
        <f t="shared" si="76"/>
        <v/>
      </c>
      <c r="IP16" s="79" t="str">
        <f t="shared" si="77"/>
        <v/>
      </c>
      <c r="IQ16" s="79" t="str">
        <f t="shared" si="78"/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 t="shared" si="79"/>
        <v/>
      </c>
      <c r="JM16" s="20" t="str">
        <f t="shared" si="80"/>
        <v/>
      </c>
      <c r="JN16" s="20" t="str">
        <f t="shared" si="81"/>
        <v/>
      </c>
      <c r="JO16" s="20" t="str">
        <f t="shared" si="82"/>
        <v/>
      </c>
      <c r="JP16" s="20" t="str">
        <f t="shared" si="83"/>
        <v/>
      </c>
      <c r="JQ16" s="20" t="str">
        <f t="shared" si="84"/>
        <v/>
      </c>
      <c r="JR16" s="20" t="str">
        <f t="shared" si="85"/>
        <v/>
      </c>
      <c r="JS16" s="20" t="str">
        <f t="shared" si="86"/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 t="shared" si="87"/>
        <v/>
      </c>
      <c r="KO16" s="79" t="str">
        <f t="shared" si="88"/>
        <v/>
      </c>
      <c r="KP16" s="79" t="str">
        <f t="shared" si="89"/>
        <v/>
      </c>
      <c r="KQ16" s="79" t="str">
        <f t="shared" si="90"/>
        <v/>
      </c>
      <c r="KR16" s="79" t="str">
        <f t="shared" si="91"/>
        <v/>
      </c>
      <c r="KS16" s="79" t="str">
        <f t="shared" si="92"/>
        <v/>
      </c>
      <c r="KT16" s="79" t="str">
        <f t="shared" si="93"/>
        <v/>
      </c>
      <c r="KU16" s="79" t="str">
        <f t="shared" si="94"/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 t="shared" si="95"/>
        <v/>
      </c>
      <c r="LQ16" s="20" t="str">
        <f t="shared" si="96"/>
        <v/>
      </c>
      <c r="LR16" s="20" t="str">
        <f t="shared" si="97"/>
        <v/>
      </c>
      <c r="LS16" s="20" t="str">
        <f t="shared" si="98"/>
        <v/>
      </c>
      <c r="LT16" s="20" t="str">
        <f t="shared" si="99"/>
        <v/>
      </c>
      <c r="LU16" s="20" t="str">
        <f t="shared" si="100"/>
        <v/>
      </c>
      <c r="LV16" s="20" t="str">
        <f t="shared" si="101"/>
        <v/>
      </c>
      <c r="LW16" s="20" t="str">
        <f t="shared" si="102"/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 t="shared" si="103"/>
        <v/>
      </c>
      <c r="MS16" s="79" t="str">
        <f t="shared" si="104"/>
        <v/>
      </c>
      <c r="MT16" s="79" t="str">
        <f t="shared" si="105"/>
        <v/>
      </c>
      <c r="MU16" s="79" t="str">
        <f t="shared" si="106"/>
        <v/>
      </c>
      <c r="MV16" s="79" t="str">
        <f t="shared" si="107"/>
        <v/>
      </c>
      <c r="MW16" s="79" t="str">
        <f t="shared" si="108"/>
        <v/>
      </c>
      <c r="MX16" s="79" t="str">
        <f t="shared" si="109"/>
        <v/>
      </c>
      <c r="MY16" s="79" t="str">
        <f t="shared" si="110"/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 t="shared" si="111"/>
        <v/>
      </c>
      <c r="NU16" s="20" t="str">
        <f t="shared" si="112"/>
        <v/>
      </c>
      <c r="NV16" s="20" t="str">
        <f t="shared" si="113"/>
        <v/>
      </c>
      <c r="NW16" s="20" t="str">
        <f t="shared" si="114"/>
        <v/>
      </c>
      <c r="NX16" s="20" t="str">
        <f t="shared" si="115"/>
        <v/>
      </c>
      <c r="NY16" s="20" t="str">
        <f t="shared" si="116"/>
        <v/>
      </c>
      <c r="NZ16" s="20" t="str">
        <f t="shared" si="117"/>
        <v/>
      </c>
      <c r="OA16" s="20" t="str">
        <f t="shared" si="118"/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 t="shared" si="119"/>
        <v/>
      </c>
      <c r="OW16" s="79" t="str">
        <f t="shared" si="120"/>
        <v/>
      </c>
      <c r="OX16" s="79" t="str">
        <f t="shared" si="121"/>
        <v/>
      </c>
      <c r="OY16" s="79" t="str">
        <f t="shared" si="122"/>
        <v/>
      </c>
      <c r="OZ16" s="79" t="str">
        <f t="shared" si="123"/>
        <v/>
      </c>
      <c r="PA16" s="79" t="str">
        <f t="shared" si="124"/>
        <v/>
      </c>
      <c r="PB16" s="79" t="str">
        <f t="shared" si="125"/>
        <v/>
      </c>
      <c r="PC16" s="79" t="str">
        <f t="shared" si="126"/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 t="shared" si="127"/>
        <v/>
      </c>
      <c r="PY16" s="20" t="str">
        <f t="shared" si="128"/>
        <v/>
      </c>
      <c r="PZ16" s="20" t="str">
        <f t="shared" si="129"/>
        <v/>
      </c>
      <c r="QA16" s="20" t="str">
        <f t="shared" si="130"/>
        <v/>
      </c>
      <c r="QB16" s="20" t="str">
        <f t="shared" si="131"/>
        <v/>
      </c>
      <c r="QC16" s="20" t="str">
        <f t="shared" si="132"/>
        <v/>
      </c>
      <c r="QD16" s="20" t="str">
        <f t="shared" si="133"/>
        <v/>
      </c>
      <c r="QE16" s="20" t="str">
        <f t="shared" si="134"/>
        <v/>
      </c>
      <c r="QF16" s="38">
        <f t="shared" si="135"/>
        <v>9.1</v>
      </c>
      <c r="QG16" s="38">
        <f t="shared" si="136"/>
        <v>2.8000499999999997</v>
      </c>
      <c r="QH16" s="38">
        <f t="shared" si="137"/>
        <v>0.1</v>
      </c>
      <c r="QI16" s="38">
        <f t="shared" si="138"/>
        <v>0</v>
      </c>
      <c r="QJ16" s="38">
        <f t="shared" si="139"/>
        <v>9.15</v>
      </c>
      <c r="QK16" s="38">
        <f t="shared" si="140"/>
        <v>3.2</v>
      </c>
      <c r="QL16" s="38">
        <f t="shared" si="141"/>
        <v>0.1</v>
      </c>
      <c r="QM16" s="38">
        <f t="shared" si="142"/>
        <v>0</v>
      </c>
      <c r="QN16" s="38">
        <f t="shared" si="143"/>
        <v>9.4</v>
      </c>
      <c r="QO16" s="38">
        <f t="shared" si="144"/>
        <v>2</v>
      </c>
      <c r="QP16" s="38">
        <f t="shared" si="145"/>
        <v>0.3</v>
      </c>
      <c r="QQ16" s="38">
        <f t="shared" si="146"/>
        <v>0</v>
      </c>
      <c r="QR16" s="38">
        <f t="shared" si="147"/>
        <v>9.1</v>
      </c>
      <c r="QS16" s="38">
        <f t="shared" si="148"/>
        <v>2.8</v>
      </c>
      <c r="QT16" s="38">
        <f t="shared" si="149"/>
        <v>0</v>
      </c>
      <c r="QU16" s="38">
        <f t="shared" si="150"/>
        <v>0</v>
      </c>
      <c r="QV16" s="38">
        <f t="shared" si="151"/>
        <v>9.3000000000000007</v>
      </c>
      <c r="QW16" s="38">
        <f t="shared" si="152"/>
        <v>3.2</v>
      </c>
      <c r="QX16" s="38">
        <f t="shared" si="153"/>
        <v>0</v>
      </c>
      <c r="QY16" s="38">
        <f t="shared" si="154"/>
        <v>0</v>
      </c>
      <c r="QZ16" s="45" t="s">
        <v>46</v>
      </c>
      <c r="RA16" s="79">
        <f t="shared" si="155"/>
        <v>6.0000499999999999</v>
      </c>
      <c r="RB16" s="79">
        <f t="shared" si="156"/>
        <v>24.050049999999995</v>
      </c>
      <c r="RC16" s="79">
        <f t="shared" si="157"/>
        <v>11.1</v>
      </c>
      <c r="RD16" s="79">
        <f t="shared" si="158"/>
        <v>8.0000499999999999</v>
      </c>
      <c r="RE16" s="79">
        <f t="shared" si="159"/>
        <v>35.150049999999993</v>
      </c>
      <c r="RF16" s="79">
        <f t="shared" si="160"/>
        <v>6</v>
      </c>
      <c r="RG16" s="79">
        <f t="shared" si="161"/>
        <v>24.4</v>
      </c>
      <c r="RH16" s="79">
        <f t="shared" si="162"/>
        <v>48.45004999999999</v>
      </c>
    </row>
    <row r="17" spans="1:476" x14ac:dyDescent="0.2">
      <c r="A17" s="5" t="str">
        <f t="shared" si="163"/>
        <v/>
      </c>
      <c r="B17" s="78" t="s">
        <v>70</v>
      </c>
      <c r="C17" s="5" t="s">
        <v>6</v>
      </c>
      <c r="D17" s="5">
        <v>2004</v>
      </c>
      <c r="E17" s="15">
        <f t="shared" si="0"/>
        <v>118.70000710000474</v>
      </c>
      <c r="F17" s="3" t="str">
        <f t="shared" si="1"/>
        <v/>
      </c>
      <c r="G17" s="3" t="str">
        <f t="shared" si="2"/>
        <v/>
      </c>
      <c r="H17" s="67" t="str">
        <f t="shared" si="3"/>
        <v/>
      </c>
      <c r="I17" s="14">
        <f>IF(COUNT(AR17,BU17,CX17)&gt;0,LARGE((AR17,BU17,CX17),1),0)</f>
        <v>47.300000000000004</v>
      </c>
      <c r="J17" s="14" t="str">
        <f t="shared" si="4"/>
        <v>2022 Elite Canada</v>
      </c>
      <c r="K17" s="14">
        <f>IF(COUNT(AR17,BU17,CX17)&gt;1,LARGE((AR17,BU17,CX17),2),0)</f>
        <v>0</v>
      </c>
      <c r="L17" s="14" t="str">
        <f t="shared" si="5"/>
        <v/>
      </c>
      <c r="M17" s="14">
        <f>IF(COUNT(AS17,BV17,CY17)&gt;0,LARGE((AS17,BV17,CY17),1),0)</f>
        <v>23.7</v>
      </c>
      <c r="N17" s="14" t="str">
        <f t="shared" si="6"/>
        <v>2022 Elite Canada</v>
      </c>
      <c r="O17" s="14">
        <f>IF(COUNT(AS17,BV17,CY17)&gt;1,LARGE((AS17,BV17,CY17),2),0)</f>
        <v>0</v>
      </c>
      <c r="P17" s="14" t="str">
        <f t="shared" si="7"/>
        <v/>
      </c>
      <c r="Q17" s="14">
        <f t="shared" si="8"/>
        <v>47.7</v>
      </c>
      <c r="R17" s="14" t="str">
        <f t="shared" si="9"/>
        <v>2022 Elite Canada</v>
      </c>
      <c r="S17" s="14" t="str">
        <f t="shared" si="10"/>
        <v/>
      </c>
      <c r="T17" s="20" t="str">
        <f t="shared" si="11"/>
        <v/>
      </c>
      <c r="U17" s="14" t="str">
        <f t="shared" si="12"/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 t="shared" si="13"/>
        <v/>
      </c>
      <c r="AR17" s="79" t="str">
        <f t="shared" si="14"/>
        <v/>
      </c>
      <c r="AS17" s="79" t="str">
        <f t="shared" si="15"/>
        <v/>
      </c>
      <c r="AT17" s="79" t="str">
        <f t="shared" si="16"/>
        <v/>
      </c>
      <c r="AU17" s="79" t="str">
        <f t="shared" si="17"/>
        <v/>
      </c>
      <c r="AV17" s="79" t="str">
        <f t="shared" si="18"/>
        <v/>
      </c>
      <c r="AW17" s="79" t="str">
        <f t="shared" si="19"/>
        <v/>
      </c>
      <c r="AX17" s="79" t="str">
        <f t="shared" si="20"/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 t="shared" si="21"/>
        <v/>
      </c>
      <c r="BU17" s="20" t="str">
        <f t="shared" si="22"/>
        <v/>
      </c>
      <c r="BV17" s="20" t="str">
        <f t="shared" si="23"/>
        <v/>
      </c>
      <c r="BW17" s="20" t="str">
        <f t="shared" si="24"/>
        <v/>
      </c>
      <c r="BX17" s="20" t="str">
        <f t="shared" si="25"/>
        <v/>
      </c>
      <c r="BY17" s="20" t="str">
        <f t="shared" si="26"/>
        <v/>
      </c>
      <c r="BZ17" s="20" t="str">
        <f t="shared" si="27"/>
        <v/>
      </c>
      <c r="CA17" s="20" t="str">
        <f t="shared" si="28"/>
        <v/>
      </c>
      <c r="CB17" s="27">
        <v>18.600000000000001</v>
      </c>
      <c r="CC17" s="27">
        <v>5.2</v>
      </c>
      <c r="CD17" s="27">
        <v>0.6</v>
      </c>
      <c r="CE17" s="27">
        <v>0</v>
      </c>
      <c r="CF17" s="27">
        <v>18.899999999999999</v>
      </c>
      <c r="CG17" s="27">
        <v>5.2</v>
      </c>
      <c r="CH17" s="27">
        <v>0</v>
      </c>
      <c r="CI17" s="27">
        <v>0</v>
      </c>
      <c r="CJ17" s="27">
        <v>19.399999999999999</v>
      </c>
      <c r="CK17" s="27">
        <v>4.3</v>
      </c>
      <c r="CL17" s="27">
        <v>0</v>
      </c>
      <c r="CM17" s="27">
        <v>0</v>
      </c>
      <c r="CN17" s="27">
        <v>18.8</v>
      </c>
      <c r="CO17" s="27">
        <v>5.2</v>
      </c>
      <c r="CP17" s="27">
        <v>0</v>
      </c>
      <c r="CQ17" s="27">
        <v>0</v>
      </c>
      <c r="CR17" s="27">
        <v>18.7</v>
      </c>
      <c r="CS17" s="27">
        <v>5.2</v>
      </c>
      <c r="CT17" s="27">
        <v>0.2</v>
      </c>
      <c r="CU17" s="27">
        <v>0</v>
      </c>
      <c r="CV17" s="45"/>
      <c r="CW17" s="79">
        <f t="shared" si="29"/>
        <v>10.4</v>
      </c>
      <c r="CX17" s="79">
        <f t="shared" si="30"/>
        <v>47.300000000000004</v>
      </c>
      <c r="CY17" s="79">
        <f t="shared" si="31"/>
        <v>23.7</v>
      </c>
      <c r="CZ17" s="79">
        <f t="shared" si="32"/>
        <v>14.7</v>
      </c>
      <c r="DA17" s="79">
        <f t="shared" si="33"/>
        <v>71</v>
      </c>
      <c r="DB17" s="79">
        <f t="shared" si="34"/>
        <v>10.4</v>
      </c>
      <c r="DC17" s="79">
        <f t="shared" si="35"/>
        <v>47.7</v>
      </c>
      <c r="DD17" s="79">
        <f t="shared" si="36"/>
        <v>95</v>
      </c>
      <c r="DE17" s="80" t="str">
        <f t="shared" si="37"/>
        <v/>
      </c>
      <c r="DF17" s="80"/>
      <c r="DG17" s="80" t="str">
        <f t="shared" si="38"/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 t="shared" si="39"/>
        <v/>
      </c>
      <c r="EC17" s="79" t="str">
        <f t="shared" si="40"/>
        <v/>
      </c>
      <c r="ED17" s="79" t="str">
        <f t="shared" si="41"/>
        <v/>
      </c>
      <c r="EE17" s="79" t="str">
        <f t="shared" si="42"/>
        <v/>
      </c>
      <c r="EF17" s="79" t="str">
        <f t="shared" si="43"/>
        <v/>
      </c>
      <c r="EG17" s="79" t="str">
        <f t="shared" si="44"/>
        <v/>
      </c>
      <c r="EH17" s="79" t="str">
        <f t="shared" si="45"/>
        <v/>
      </c>
      <c r="EI17" s="79" t="str">
        <f t="shared" si="46"/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 t="shared" si="47"/>
        <v/>
      </c>
      <c r="FE17" s="20" t="str">
        <f t="shared" si="48"/>
        <v/>
      </c>
      <c r="FF17" s="20" t="str">
        <f t="shared" si="49"/>
        <v/>
      </c>
      <c r="FG17" s="20" t="str">
        <f t="shared" si="50"/>
        <v/>
      </c>
      <c r="FH17" s="20" t="str">
        <f t="shared" si="51"/>
        <v/>
      </c>
      <c r="FI17" s="20" t="str">
        <f t="shared" si="52"/>
        <v/>
      </c>
      <c r="FJ17" s="20" t="str">
        <f t="shared" si="53"/>
        <v/>
      </c>
      <c r="FK17" s="20" t="str">
        <f t="shared" si="54"/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 t="shared" si="55"/>
        <v/>
      </c>
      <c r="GG17" s="79" t="str">
        <f t="shared" si="56"/>
        <v/>
      </c>
      <c r="GH17" s="79" t="str">
        <f t="shared" si="57"/>
        <v/>
      </c>
      <c r="GI17" s="79" t="str">
        <f t="shared" si="58"/>
        <v/>
      </c>
      <c r="GJ17" s="79" t="str">
        <f t="shared" si="59"/>
        <v/>
      </c>
      <c r="GK17" s="79" t="str">
        <f t="shared" si="60"/>
        <v/>
      </c>
      <c r="GL17" s="79" t="str">
        <f t="shared" si="61"/>
        <v/>
      </c>
      <c r="GM17" s="79" t="str">
        <f t="shared" si="62"/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 t="shared" si="63"/>
        <v/>
      </c>
      <c r="HI17" s="20" t="str">
        <f t="shared" si="64"/>
        <v/>
      </c>
      <c r="HJ17" s="20" t="str">
        <f t="shared" si="65"/>
        <v/>
      </c>
      <c r="HK17" s="20" t="str">
        <f t="shared" si="66"/>
        <v/>
      </c>
      <c r="HL17" s="20" t="str">
        <f t="shared" si="67"/>
        <v/>
      </c>
      <c r="HM17" s="20" t="str">
        <f t="shared" si="68"/>
        <v/>
      </c>
      <c r="HN17" s="20" t="str">
        <f t="shared" si="69"/>
        <v/>
      </c>
      <c r="HO17" s="20" t="str">
        <f t="shared" si="70"/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 t="shared" si="71"/>
        <v/>
      </c>
      <c r="IK17" s="79" t="str">
        <f t="shared" si="72"/>
        <v/>
      </c>
      <c r="IL17" s="79" t="str">
        <f t="shared" si="73"/>
        <v/>
      </c>
      <c r="IM17" s="79" t="str">
        <f t="shared" si="74"/>
        <v/>
      </c>
      <c r="IN17" s="79" t="str">
        <f t="shared" si="75"/>
        <v/>
      </c>
      <c r="IO17" s="79" t="str">
        <f t="shared" si="76"/>
        <v/>
      </c>
      <c r="IP17" s="79" t="str">
        <f t="shared" si="77"/>
        <v/>
      </c>
      <c r="IQ17" s="79" t="str">
        <f t="shared" si="78"/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 t="shared" si="79"/>
        <v/>
      </c>
      <c r="JM17" s="20" t="str">
        <f t="shared" si="80"/>
        <v/>
      </c>
      <c r="JN17" s="20" t="str">
        <f t="shared" si="81"/>
        <v/>
      </c>
      <c r="JO17" s="20" t="str">
        <f t="shared" si="82"/>
        <v/>
      </c>
      <c r="JP17" s="20" t="str">
        <f t="shared" si="83"/>
        <v/>
      </c>
      <c r="JQ17" s="20" t="str">
        <f t="shared" si="84"/>
        <v/>
      </c>
      <c r="JR17" s="20" t="str">
        <f t="shared" si="85"/>
        <v/>
      </c>
      <c r="JS17" s="20" t="str">
        <f t="shared" si="86"/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 t="shared" si="87"/>
        <v/>
      </c>
      <c r="KO17" s="79" t="str">
        <f t="shared" si="88"/>
        <v/>
      </c>
      <c r="KP17" s="79" t="str">
        <f t="shared" si="89"/>
        <v/>
      </c>
      <c r="KQ17" s="79" t="str">
        <f t="shared" si="90"/>
        <v/>
      </c>
      <c r="KR17" s="79" t="str">
        <f t="shared" si="91"/>
        <v/>
      </c>
      <c r="KS17" s="79" t="str">
        <f t="shared" si="92"/>
        <v/>
      </c>
      <c r="KT17" s="79" t="str">
        <f t="shared" si="93"/>
        <v/>
      </c>
      <c r="KU17" s="79" t="str">
        <f t="shared" si="94"/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 t="shared" si="95"/>
        <v/>
      </c>
      <c r="LQ17" s="20" t="str">
        <f t="shared" si="96"/>
        <v/>
      </c>
      <c r="LR17" s="20" t="str">
        <f t="shared" si="97"/>
        <v/>
      </c>
      <c r="LS17" s="20" t="str">
        <f t="shared" si="98"/>
        <v/>
      </c>
      <c r="LT17" s="20" t="str">
        <f t="shared" si="99"/>
        <v/>
      </c>
      <c r="LU17" s="20" t="str">
        <f t="shared" si="100"/>
        <v/>
      </c>
      <c r="LV17" s="20" t="str">
        <f t="shared" si="101"/>
        <v/>
      </c>
      <c r="LW17" s="20" t="str">
        <f t="shared" si="102"/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 t="shared" si="103"/>
        <v/>
      </c>
      <c r="MS17" s="79" t="str">
        <f t="shared" si="104"/>
        <v/>
      </c>
      <c r="MT17" s="79" t="str">
        <f t="shared" si="105"/>
        <v/>
      </c>
      <c r="MU17" s="79" t="str">
        <f t="shared" si="106"/>
        <v/>
      </c>
      <c r="MV17" s="79" t="str">
        <f t="shared" si="107"/>
        <v/>
      </c>
      <c r="MW17" s="79" t="str">
        <f t="shared" si="108"/>
        <v/>
      </c>
      <c r="MX17" s="79" t="str">
        <f t="shared" si="109"/>
        <v/>
      </c>
      <c r="MY17" s="79" t="str">
        <f t="shared" si="110"/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 t="shared" si="111"/>
        <v/>
      </c>
      <c r="NU17" s="20" t="str">
        <f t="shared" si="112"/>
        <v/>
      </c>
      <c r="NV17" s="20" t="str">
        <f t="shared" si="113"/>
        <v/>
      </c>
      <c r="NW17" s="20" t="str">
        <f t="shared" si="114"/>
        <v/>
      </c>
      <c r="NX17" s="20" t="str">
        <f t="shared" si="115"/>
        <v/>
      </c>
      <c r="NY17" s="20" t="str">
        <f t="shared" si="116"/>
        <v/>
      </c>
      <c r="NZ17" s="20" t="str">
        <f t="shared" si="117"/>
        <v/>
      </c>
      <c r="OA17" s="20" t="str">
        <f t="shared" si="118"/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 t="shared" si="119"/>
        <v/>
      </c>
      <c r="OW17" s="79" t="str">
        <f t="shared" si="120"/>
        <v/>
      </c>
      <c r="OX17" s="79" t="str">
        <f t="shared" si="121"/>
        <v/>
      </c>
      <c r="OY17" s="79" t="str">
        <f t="shared" si="122"/>
        <v/>
      </c>
      <c r="OZ17" s="79" t="str">
        <f t="shared" si="123"/>
        <v/>
      </c>
      <c r="PA17" s="79" t="str">
        <f t="shared" si="124"/>
        <v/>
      </c>
      <c r="PB17" s="79" t="str">
        <f t="shared" si="125"/>
        <v/>
      </c>
      <c r="PC17" s="79" t="str">
        <f t="shared" si="126"/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 t="shared" si="127"/>
        <v/>
      </c>
      <c r="PY17" s="20" t="str">
        <f t="shared" si="128"/>
        <v/>
      </c>
      <c r="PZ17" s="20" t="str">
        <f t="shared" si="129"/>
        <v/>
      </c>
      <c r="QA17" s="20" t="str">
        <f t="shared" si="130"/>
        <v/>
      </c>
      <c r="QB17" s="20" t="str">
        <f t="shared" si="131"/>
        <v/>
      </c>
      <c r="QC17" s="20" t="str">
        <f t="shared" si="132"/>
        <v/>
      </c>
      <c r="QD17" s="20" t="str">
        <f t="shared" si="133"/>
        <v/>
      </c>
      <c r="QE17" s="20" t="str">
        <f t="shared" si="134"/>
        <v/>
      </c>
      <c r="QF17" s="38">
        <f t="shared" si="135"/>
        <v>9.3000000000000007</v>
      </c>
      <c r="QG17" s="38">
        <f t="shared" si="136"/>
        <v>2.6</v>
      </c>
      <c r="QH17" s="38">
        <f t="shared" si="137"/>
        <v>0.3</v>
      </c>
      <c r="QI17" s="38">
        <f t="shared" si="138"/>
        <v>0</v>
      </c>
      <c r="QJ17" s="38">
        <f t="shared" si="139"/>
        <v>9.4499999999999993</v>
      </c>
      <c r="QK17" s="38">
        <f t="shared" si="140"/>
        <v>2.6</v>
      </c>
      <c r="QL17" s="38">
        <f t="shared" si="141"/>
        <v>0</v>
      </c>
      <c r="QM17" s="38">
        <f t="shared" si="142"/>
        <v>0</v>
      </c>
      <c r="QN17" s="38">
        <f t="shared" si="143"/>
        <v>9.6999999999999993</v>
      </c>
      <c r="QO17" s="38">
        <f t="shared" si="144"/>
        <v>2.15</v>
      </c>
      <c r="QP17" s="38">
        <f t="shared" si="145"/>
        <v>0</v>
      </c>
      <c r="QQ17" s="38">
        <f t="shared" si="146"/>
        <v>0</v>
      </c>
      <c r="QR17" s="38">
        <f t="shared" si="147"/>
        <v>9.4</v>
      </c>
      <c r="QS17" s="38">
        <f t="shared" si="148"/>
        <v>2.6</v>
      </c>
      <c r="QT17" s="38">
        <f t="shared" si="149"/>
        <v>0</v>
      </c>
      <c r="QU17" s="38">
        <f t="shared" si="150"/>
        <v>0</v>
      </c>
      <c r="QV17" s="38">
        <f t="shared" si="151"/>
        <v>9.35</v>
      </c>
      <c r="QW17" s="38">
        <f t="shared" si="152"/>
        <v>2.6</v>
      </c>
      <c r="QX17" s="38">
        <f t="shared" si="153"/>
        <v>0.1</v>
      </c>
      <c r="QY17" s="38">
        <f t="shared" si="154"/>
        <v>0</v>
      </c>
      <c r="QZ17" s="45" t="s">
        <v>46</v>
      </c>
      <c r="RA17" s="79">
        <f t="shared" si="155"/>
        <v>5.2</v>
      </c>
      <c r="RB17" s="79">
        <f t="shared" si="156"/>
        <v>23.650000000000002</v>
      </c>
      <c r="RC17" s="79">
        <f t="shared" si="157"/>
        <v>11.85</v>
      </c>
      <c r="RD17" s="79">
        <f t="shared" si="158"/>
        <v>7.35</v>
      </c>
      <c r="RE17" s="79">
        <f t="shared" si="159"/>
        <v>35.5</v>
      </c>
      <c r="RF17" s="79">
        <f t="shared" si="160"/>
        <v>5.2</v>
      </c>
      <c r="RG17" s="79">
        <f t="shared" si="161"/>
        <v>23.85</v>
      </c>
      <c r="RH17" s="79">
        <f t="shared" si="162"/>
        <v>47.5</v>
      </c>
    </row>
    <row r="18" spans="1:476" x14ac:dyDescent="0.2">
      <c r="A18" s="5" t="str">
        <f t="shared" si="163"/>
        <v/>
      </c>
      <c r="B18" s="78" t="s">
        <v>121</v>
      </c>
      <c r="C18" s="5" t="s">
        <v>4</v>
      </c>
      <c r="D18" s="5">
        <v>2004</v>
      </c>
      <c r="E18" s="15">
        <f t="shared" si="0"/>
        <v>117.2000070200048</v>
      </c>
      <c r="F18" s="3" t="str">
        <f t="shared" si="1"/>
        <v/>
      </c>
      <c r="G18" s="3" t="str">
        <f t="shared" si="2"/>
        <v/>
      </c>
      <c r="H18" s="67" t="str">
        <f t="shared" si="3"/>
        <v/>
      </c>
      <c r="I18" s="14">
        <f>IF(COUNT(AR18,BU18,CX18)&gt;0,LARGE((AR18,BU18,CX18),1),0)</f>
        <v>47.9</v>
      </c>
      <c r="J18" s="14" t="str">
        <f t="shared" si="4"/>
        <v>2022 Elite Canada</v>
      </c>
      <c r="K18" s="14">
        <f>IF(COUNT(AR18,BU18,CX18)&gt;1,LARGE((AR18,BU18,CX18),2),0)</f>
        <v>0</v>
      </c>
      <c r="L18" s="14" t="str">
        <f t="shared" si="5"/>
        <v/>
      </c>
      <c r="M18" s="14">
        <f>IF(COUNT(AS18,BV18,CY18)&gt;0,LARGE((AS18,BV18,CY18),1),0)</f>
        <v>22.3</v>
      </c>
      <c r="N18" s="14" t="str">
        <f t="shared" si="6"/>
        <v>2022 Elite Canada</v>
      </c>
      <c r="O18" s="14">
        <f>IF(COUNT(AS18,BV18,CY18)&gt;1,LARGE((AS18,BV18,CY18),2),0)</f>
        <v>0</v>
      </c>
      <c r="P18" s="14" t="str">
        <f t="shared" si="7"/>
        <v/>
      </c>
      <c r="Q18" s="14">
        <f t="shared" si="8"/>
        <v>47.000000000000007</v>
      </c>
      <c r="R18" s="14" t="str">
        <f t="shared" si="9"/>
        <v>2022 Elite Canada</v>
      </c>
      <c r="S18" s="14" t="str">
        <f t="shared" si="10"/>
        <v/>
      </c>
      <c r="T18" s="20" t="str">
        <f t="shared" si="11"/>
        <v/>
      </c>
      <c r="U18" s="14" t="str">
        <f t="shared" si="12"/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 t="shared" si="13"/>
        <v/>
      </c>
      <c r="AR18" s="79" t="str">
        <f t="shared" si="14"/>
        <v/>
      </c>
      <c r="AS18" s="79" t="str">
        <f t="shared" si="15"/>
        <v/>
      </c>
      <c r="AT18" s="79" t="str">
        <f t="shared" si="16"/>
        <v/>
      </c>
      <c r="AU18" s="79" t="str">
        <f t="shared" si="17"/>
        <v/>
      </c>
      <c r="AV18" s="79" t="str">
        <f t="shared" si="18"/>
        <v/>
      </c>
      <c r="AW18" s="79" t="str">
        <f t="shared" si="19"/>
        <v/>
      </c>
      <c r="AX18" s="79" t="str">
        <f t="shared" si="20"/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 t="shared" si="21"/>
        <v/>
      </c>
      <c r="BU18" s="20" t="str">
        <f t="shared" si="22"/>
        <v/>
      </c>
      <c r="BV18" s="20" t="str">
        <f t="shared" si="23"/>
        <v/>
      </c>
      <c r="BW18" s="20" t="str">
        <f t="shared" si="24"/>
        <v/>
      </c>
      <c r="BX18" s="20" t="str">
        <f t="shared" si="25"/>
        <v/>
      </c>
      <c r="BY18" s="20" t="str">
        <f t="shared" si="26"/>
        <v/>
      </c>
      <c r="BZ18" s="20" t="str">
        <f t="shared" si="27"/>
        <v/>
      </c>
      <c r="CA18" s="20" t="str">
        <f t="shared" si="28"/>
        <v/>
      </c>
      <c r="CB18" s="27">
        <v>18.399999999999999</v>
      </c>
      <c r="CC18" s="27">
        <v>6</v>
      </c>
      <c r="CD18" s="27">
        <v>0.2</v>
      </c>
      <c r="CE18" s="27">
        <v>0</v>
      </c>
      <c r="CF18" s="27">
        <v>18.3</v>
      </c>
      <c r="CG18" s="27">
        <v>6</v>
      </c>
      <c r="CH18" s="27">
        <v>0.6</v>
      </c>
      <c r="CI18" s="27">
        <v>0</v>
      </c>
      <c r="CJ18" s="27">
        <v>19</v>
      </c>
      <c r="CK18" s="27">
        <v>3.5</v>
      </c>
      <c r="CL18" s="27">
        <v>0.2</v>
      </c>
      <c r="CM18" s="27">
        <v>0</v>
      </c>
      <c r="CN18" s="27">
        <v>18</v>
      </c>
      <c r="CO18" s="27">
        <v>6</v>
      </c>
      <c r="CP18" s="27">
        <v>0.8</v>
      </c>
      <c r="CQ18" s="27">
        <v>0</v>
      </c>
      <c r="CR18" s="27">
        <v>18.2</v>
      </c>
      <c r="CS18" s="27">
        <v>5.6</v>
      </c>
      <c r="CT18" s="27">
        <v>0</v>
      </c>
      <c r="CU18" s="27">
        <v>0</v>
      </c>
      <c r="CV18" s="45"/>
      <c r="CW18" s="79">
        <f t="shared" si="29"/>
        <v>12</v>
      </c>
      <c r="CX18" s="79">
        <f t="shared" si="30"/>
        <v>47.9</v>
      </c>
      <c r="CY18" s="79">
        <f t="shared" si="31"/>
        <v>22.3</v>
      </c>
      <c r="CZ18" s="79">
        <f t="shared" si="32"/>
        <v>15.5</v>
      </c>
      <c r="DA18" s="79">
        <f t="shared" si="33"/>
        <v>70.2</v>
      </c>
      <c r="DB18" s="79">
        <f t="shared" si="34"/>
        <v>11.6</v>
      </c>
      <c r="DC18" s="79">
        <f t="shared" si="35"/>
        <v>47.000000000000007</v>
      </c>
      <c r="DD18" s="79">
        <f t="shared" si="36"/>
        <v>94.9</v>
      </c>
      <c r="DE18" s="80" t="str">
        <f t="shared" si="37"/>
        <v/>
      </c>
      <c r="DF18" s="80"/>
      <c r="DG18" s="80" t="str">
        <f t="shared" si="38"/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 t="shared" si="39"/>
        <v/>
      </c>
      <c r="EC18" s="79" t="str">
        <f t="shared" si="40"/>
        <v/>
      </c>
      <c r="ED18" s="79" t="str">
        <f t="shared" si="41"/>
        <v/>
      </c>
      <c r="EE18" s="79" t="str">
        <f t="shared" si="42"/>
        <v/>
      </c>
      <c r="EF18" s="79" t="str">
        <f t="shared" si="43"/>
        <v/>
      </c>
      <c r="EG18" s="79" t="str">
        <f t="shared" si="44"/>
        <v/>
      </c>
      <c r="EH18" s="79" t="str">
        <f t="shared" si="45"/>
        <v/>
      </c>
      <c r="EI18" s="79" t="str">
        <f t="shared" si="46"/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 t="shared" si="47"/>
        <v/>
      </c>
      <c r="FE18" s="20" t="str">
        <f t="shared" si="48"/>
        <v/>
      </c>
      <c r="FF18" s="20" t="str">
        <f t="shared" si="49"/>
        <v/>
      </c>
      <c r="FG18" s="20" t="str">
        <f t="shared" si="50"/>
        <v/>
      </c>
      <c r="FH18" s="20" t="str">
        <f t="shared" si="51"/>
        <v/>
      </c>
      <c r="FI18" s="20" t="str">
        <f t="shared" si="52"/>
        <v/>
      </c>
      <c r="FJ18" s="20" t="str">
        <f t="shared" si="53"/>
        <v/>
      </c>
      <c r="FK18" s="20" t="str">
        <f t="shared" si="54"/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 t="shared" si="55"/>
        <v/>
      </c>
      <c r="GG18" s="79" t="str">
        <f t="shared" si="56"/>
        <v/>
      </c>
      <c r="GH18" s="79" t="str">
        <f t="shared" si="57"/>
        <v/>
      </c>
      <c r="GI18" s="79" t="str">
        <f t="shared" si="58"/>
        <v/>
      </c>
      <c r="GJ18" s="79" t="str">
        <f t="shared" si="59"/>
        <v/>
      </c>
      <c r="GK18" s="79" t="str">
        <f t="shared" si="60"/>
        <v/>
      </c>
      <c r="GL18" s="79" t="str">
        <f t="shared" si="61"/>
        <v/>
      </c>
      <c r="GM18" s="79" t="str">
        <f t="shared" si="62"/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 t="shared" si="63"/>
        <v/>
      </c>
      <c r="HI18" s="20" t="str">
        <f t="shared" si="64"/>
        <v/>
      </c>
      <c r="HJ18" s="20" t="str">
        <f t="shared" si="65"/>
        <v/>
      </c>
      <c r="HK18" s="20" t="str">
        <f t="shared" si="66"/>
        <v/>
      </c>
      <c r="HL18" s="20" t="str">
        <f t="shared" si="67"/>
        <v/>
      </c>
      <c r="HM18" s="20" t="str">
        <f t="shared" si="68"/>
        <v/>
      </c>
      <c r="HN18" s="20" t="str">
        <f t="shared" si="69"/>
        <v/>
      </c>
      <c r="HO18" s="20" t="str">
        <f t="shared" si="70"/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 t="shared" si="71"/>
        <v/>
      </c>
      <c r="IK18" s="79" t="str">
        <f t="shared" si="72"/>
        <v/>
      </c>
      <c r="IL18" s="79" t="str">
        <f t="shared" si="73"/>
        <v/>
      </c>
      <c r="IM18" s="79" t="str">
        <f t="shared" si="74"/>
        <v/>
      </c>
      <c r="IN18" s="79" t="str">
        <f t="shared" si="75"/>
        <v/>
      </c>
      <c r="IO18" s="79" t="str">
        <f t="shared" si="76"/>
        <v/>
      </c>
      <c r="IP18" s="79" t="str">
        <f t="shared" si="77"/>
        <v/>
      </c>
      <c r="IQ18" s="79" t="str">
        <f t="shared" si="78"/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 t="shared" si="79"/>
        <v/>
      </c>
      <c r="JM18" s="20" t="str">
        <f t="shared" si="80"/>
        <v/>
      </c>
      <c r="JN18" s="20" t="str">
        <f t="shared" si="81"/>
        <v/>
      </c>
      <c r="JO18" s="20" t="str">
        <f t="shared" si="82"/>
        <v/>
      </c>
      <c r="JP18" s="20" t="str">
        <f t="shared" si="83"/>
        <v/>
      </c>
      <c r="JQ18" s="20" t="str">
        <f t="shared" si="84"/>
        <v/>
      </c>
      <c r="JR18" s="20" t="str">
        <f t="shared" si="85"/>
        <v/>
      </c>
      <c r="JS18" s="20" t="str">
        <f t="shared" si="86"/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 t="shared" si="87"/>
        <v/>
      </c>
      <c r="KO18" s="79" t="str">
        <f t="shared" si="88"/>
        <v/>
      </c>
      <c r="KP18" s="79" t="str">
        <f t="shared" si="89"/>
        <v/>
      </c>
      <c r="KQ18" s="79" t="str">
        <f t="shared" si="90"/>
        <v/>
      </c>
      <c r="KR18" s="79" t="str">
        <f t="shared" si="91"/>
        <v/>
      </c>
      <c r="KS18" s="79" t="str">
        <f t="shared" si="92"/>
        <v/>
      </c>
      <c r="KT18" s="79" t="str">
        <f t="shared" si="93"/>
        <v/>
      </c>
      <c r="KU18" s="79" t="str">
        <f t="shared" si="94"/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 t="shared" si="95"/>
        <v/>
      </c>
      <c r="LQ18" s="20" t="str">
        <f t="shared" si="96"/>
        <v/>
      </c>
      <c r="LR18" s="20" t="str">
        <f t="shared" si="97"/>
        <v/>
      </c>
      <c r="LS18" s="20" t="str">
        <f t="shared" si="98"/>
        <v/>
      </c>
      <c r="LT18" s="20" t="str">
        <f t="shared" si="99"/>
        <v/>
      </c>
      <c r="LU18" s="20" t="str">
        <f t="shared" si="100"/>
        <v/>
      </c>
      <c r="LV18" s="20" t="str">
        <f t="shared" si="101"/>
        <v/>
      </c>
      <c r="LW18" s="20" t="str">
        <f t="shared" si="102"/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 t="shared" si="103"/>
        <v/>
      </c>
      <c r="MS18" s="79" t="str">
        <f t="shared" si="104"/>
        <v/>
      </c>
      <c r="MT18" s="79" t="str">
        <f t="shared" si="105"/>
        <v/>
      </c>
      <c r="MU18" s="79" t="str">
        <f t="shared" si="106"/>
        <v/>
      </c>
      <c r="MV18" s="79" t="str">
        <f t="shared" si="107"/>
        <v/>
      </c>
      <c r="MW18" s="79" t="str">
        <f t="shared" si="108"/>
        <v/>
      </c>
      <c r="MX18" s="79" t="str">
        <f t="shared" si="109"/>
        <v/>
      </c>
      <c r="MY18" s="79" t="str">
        <f t="shared" si="110"/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 t="shared" si="111"/>
        <v/>
      </c>
      <c r="NU18" s="20" t="str">
        <f t="shared" si="112"/>
        <v/>
      </c>
      <c r="NV18" s="20" t="str">
        <f t="shared" si="113"/>
        <v/>
      </c>
      <c r="NW18" s="20" t="str">
        <f t="shared" si="114"/>
        <v/>
      </c>
      <c r="NX18" s="20" t="str">
        <f t="shared" si="115"/>
        <v/>
      </c>
      <c r="NY18" s="20" t="str">
        <f t="shared" si="116"/>
        <v/>
      </c>
      <c r="NZ18" s="20" t="str">
        <f t="shared" si="117"/>
        <v/>
      </c>
      <c r="OA18" s="20" t="str">
        <f t="shared" si="118"/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 t="shared" si="119"/>
        <v/>
      </c>
      <c r="OW18" s="79" t="str">
        <f t="shared" si="120"/>
        <v/>
      </c>
      <c r="OX18" s="79" t="str">
        <f t="shared" si="121"/>
        <v/>
      </c>
      <c r="OY18" s="79" t="str">
        <f t="shared" si="122"/>
        <v/>
      </c>
      <c r="OZ18" s="79" t="str">
        <f t="shared" si="123"/>
        <v/>
      </c>
      <c r="PA18" s="79" t="str">
        <f t="shared" si="124"/>
        <v/>
      </c>
      <c r="PB18" s="79" t="str">
        <f t="shared" si="125"/>
        <v/>
      </c>
      <c r="PC18" s="79" t="str">
        <f t="shared" si="126"/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 t="shared" si="127"/>
        <v/>
      </c>
      <c r="PY18" s="20" t="str">
        <f t="shared" si="128"/>
        <v/>
      </c>
      <c r="PZ18" s="20" t="str">
        <f t="shared" si="129"/>
        <v/>
      </c>
      <c r="QA18" s="20" t="str">
        <f t="shared" si="130"/>
        <v/>
      </c>
      <c r="QB18" s="20" t="str">
        <f t="shared" si="131"/>
        <v/>
      </c>
      <c r="QC18" s="20" t="str">
        <f t="shared" si="132"/>
        <v/>
      </c>
      <c r="QD18" s="20" t="str">
        <f t="shared" si="133"/>
        <v/>
      </c>
      <c r="QE18" s="20" t="str">
        <f t="shared" si="134"/>
        <v/>
      </c>
      <c r="QF18" s="38">
        <f t="shared" si="135"/>
        <v>9.1999999999999993</v>
      </c>
      <c r="QG18" s="38">
        <f t="shared" si="136"/>
        <v>3</v>
      </c>
      <c r="QH18" s="38">
        <f t="shared" si="137"/>
        <v>0.1</v>
      </c>
      <c r="QI18" s="38">
        <f t="shared" si="138"/>
        <v>0</v>
      </c>
      <c r="QJ18" s="38">
        <f t="shared" si="139"/>
        <v>9.15</v>
      </c>
      <c r="QK18" s="38">
        <f t="shared" si="140"/>
        <v>3</v>
      </c>
      <c r="QL18" s="38">
        <f t="shared" si="141"/>
        <v>0.3</v>
      </c>
      <c r="QM18" s="38">
        <f t="shared" si="142"/>
        <v>0</v>
      </c>
      <c r="QN18" s="38">
        <f t="shared" si="143"/>
        <v>9.5</v>
      </c>
      <c r="QO18" s="38">
        <f t="shared" si="144"/>
        <v>1.75</v>
      </c>
      <c r="QP18" s="38">
        <f t="shared" si="145"/>
        <v>0.1</v>
      </c>
      <c r="QQ18" s="38">
        <f t="shared" si="146"/>
        <v>0</v>
      </c>
      <c r="QR18" s="38">
        <f t="shared" si="147"/>
        <v>9</v>
      </c>
      <c r="QS18" s="38">
        <f t="shared" si="148"/>
        <v>3</v>
      </c>
      <c r="QT18" s="38">
        <f t="shared" si="149"/>
        <v>0.4</v>
      </c>
      <c r="QU18" s="38">
        <f t="shared" si="150"/>
        <v>0</v>
      </c>
      <c r="QV18" s="38">
        <f t="shared" si="151"/>
        <v>9.1</v>
      </c>
      <c r="QW18" s="38">
        <f t="shared" si="152"/>
        <v>2.8</v>
      </c>
      <c r="QX18" s="38">
        <f t="shared" si="153"/>
        <v>0</v>
      </c>
      <c r="QY18" s="38">
        <f t="shared" si="154"/>
        <v>0</v>
      </c>
      <c r="QZ18" s="45" t="s">
        <v>46</v>
      </c>
      <c r="RA18" s="79">
        <f t="shared" si="155"/>
        <v>6</v>
      </c>
      <c r="RB18" s="79">
        <f t="shared" si="156"/>
        <v>23.95</v>
      </c>
      <c r="RC18" s="79">
        <f t="shared" si="157"/>
        <v>11.15</v>
      </c>
      <c r="RD18" s="79">
        <f t="shared" si="158"/>
        <v>7.75</v>
      </c>
      <c r="RE18" s="79">
        <f t="shared" si="159"/>
        <v>35.1</v>
      </c>
      <c r="RF18" s="79">
        <f t="shared" si="160"/>
        <v>5.8</v>
      </c>
      <c r="RG18" s="79">
        <f t="shared" si="161"/>
        <v>23.500000000000004</v>
      </c>
      <c r="RH18" s="79">
        <f t="shared" si="162"/>
        <v>47.45</v>
      </c>
    </row>
    <row r="19" spans="1:476" x14ac:dyDescent="0.2">
      <c r="A19" s="5" t="str">
        <f t="shared" si="163"/>
        <v/>
      </c>
      <c r="B19" s="78" t="s">
        <v>96</v>
      </c>
      <c r="C19" s="5" t="s">
        <v>95</v>
      </c>
      <c r="D19" s="5">
        <v>2001</v>
      </c>
      <c r="E19" s="15">
        <f t="shared" si="0"/>
        <v>116.0000067300043</v>
      </c>
      <c r="F19" s="3" t="str">
        <f t="shared" si="1"/>
        <v/>
      </c>
      <c r="G19" s="3" t="str">
        <f t="shared" si="2"/>
        <v/>
      </c>
      <c r="H19" s="67" t="str">
        <f t="shared" si="3"/>
        <v/>
      </c>
      <c r="I19" s="14">
        <f>IF(COUNT(AR19,BU19,CX19)&gt;0,LARGE((AR19,BU19,CX19),1),0)</f>
        <v>43</v>
      </c>
      <c r="J19" s="14" t="str">
        <f t="shared" si="4"/>
        <v>2022 Elite Canada</v>
      </c>
      <c r="K19" s="14">
        <f>IF(COUNT(AR19,BU19,CX19)&gt;1,LARGE((AR19,BU19,CX19),2),0)</f>
        <v>0</v>
      </c>
      <c r="L19" s="14" t="str">
        <f t="shared" si="5"/>
        <v/>
      </c>
      <c r="M19" s="14">
        <f>IF(COUNT(AS19,BV19,CY19)&gt;0,LARGE((AS19,BV19,CY19),1),0)</f>
        <v>24.3</v>
      </c>
      <c r="N19" s="14" t="str">
        <f t="shared" si="6"/>
        <v>2022 Elite Canada</v>
      </c>
      <c r="O19" s="14">
        <f>IF(COUNT(AS19,BV19,CY19)&gt;1,LARGE((AS19,BV19,CY19),2),0)</f>
        <v>0</v>
      </c>
      <c r="P19" s="14" t="str">
        <f t="shared" si="7"/>
        <v/>
      </c>
      <c r="Q19" s="14">
        <f t="shared" si="8"/>
        <v>48.7</v>
      </c>
      <c r="R19" s="14" t="str">
        <f t="shared" si="9"/>
        <v>2022 Elite Canada</v>
      </c>
      <c r="S19" s="14" t="str">
        <f t="shared" si="10"/>
        <v/>
      </c>
      <c r="T19" s="20" t="str">
        <f t="shared" si="11"/>
        <v/>
      </c>
      <c r="U19" s="14" t="str">
        <f t="shared" si="12"/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 t="shared" si="13"/>
        <v/>
      </c>
      <c r="AR19" s="79" t="str">
        <f t="shared" si="14"/>
        <v/>
      </c>
      <c r="AS19" s="79" t="str">
        <f t="shared" si="15"/>
        <v/>
      </c>
      <c r="AT19" s="79" t="str">
        <f t="shared" si="16"/>
        <v/>
      </c>
      <c r="AU19" s="79" t="str">
        <f t="shared" si="17"/>
        <v/>
      </c>
      <c r="AV19" s="79" t="str">
        <f t="shared" si="18"/>
        <v/>
      </c>
      <c r="AW19" s="79" t="str">
        <f t="shared" si="19"/>
        <v/>
      </c>
      <c r="AX19" s="79" t="str">
        <f t="shared" si="20"/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 t="shared" si="21"/>
        <v/>
      </c>
      <c r="BU19" s="20" t="str">
        <f t="shared" si="22"/>
        <v/>
      </c>
      <c r="BV19" s="20" t="str">
        <f t="shared" si="23"/>
        <v/>
      </c>
      <c r="BW19" s="20" t="str">
        <f t="shared" si="24"/>
        <v/>
      </c>
      <c r="BX19" s="20" t="str">
        <f t="shared" si="25"/>
        <v/>
      </c>
      <c r="BY19" s="20" t="str">
        <f t="shared" si="26"/>
        <v/>
      </c>
      <c r="BZ19" s="20" t="str">
        <f t="shared" si="27"/>
        <v/>
      </c>
      <c r="CA19" s="20" t="str">
        <f t="shared" si="28"/>
        <v/>
      </c>
      <c r="CB19" s="27">
        <v>17.2</v>
      </c>
      <c r="CC19" s="27">
        <v>2.4</v>
      </c>
      <c r="CD19" s="27">
        <v>0</v>
      </c>
      <c r="CE19" s="27">
        <v>0</v>
      </c>
      <c r="CF19" s="27">
        <v>18.399999999999999</v>
      </c>
      <c r="CG19" s="27">
        <v>5.6</v>
      </c>
      <c r="CH19" s="27">
        <v>0.6</v>
      </c>
      <c r="CI19" s="27">
        <v>0</v>
      </c>
      <c r="CJ19" s="27">
        <v>18.5</v>
      </c>
      <c r="CK19" s="27">
        <v>6</v>
      </c>
      <c r="CL19" s="27">
        <v>0.2</v>
      </c>
      <c r="CM19" s="27">
        <v>0</v>
      </c>
      <c r="CN19" s="27">
        <v>18.399999999999999</v>
      </c>
      <c r="CO19" s="27">
        <v>6</v>
      </c>
      <c r="CP19" s="27">
        <v>0.6</v>
      </c>
      <c r="CQ19" s="27">
        <v>0</v>
      </c>
      <c r="CR19" s="27">
        <v>18.3</v>
      </c>
      <c r="CS19" s="27">
        <v>6.8</v>
      </c>
      <c r="CT19" s="27">
        <v>0.2</v>
      </c>
      <c r="CU19" s="27">
        <v>0</v>
      </c>
      <c r="CV19" s="45"/>
      <c r="CW19" s="79">
        <f t="shared" si="29"/>
        <v>8</v>
      </c>
      <c r="CX19" s="79">
        <f t="shared" si="30"/>
        <v>43</v>
      </c>
      <c r="CY19" s="79">
        <f t="shared" si="31"/>
        <v>24.3</v>
      </c>
      <c r="CZ19" s="79">
        <f t="shared" si="32"/>
        <v>14</v>
      </c>
      <c r="DA19" s="79">
        <f t="shared" si="33"/>
        <v>67.3</v>
      </c>
      <c r="DB19" s="79">
        <f t="shared" si="34"/>
        <v>12.8</v>
      </c>
      <c r="DC19" s="79">
        <f t="shared" si="35"/>
        <v>48.7</v>
      </c>
      <c r="DD19" s="79">
        <f t="shared" si="36"/>
        <v>91.7</v>
      </c>
      <c r="DE19" s="80" t="str">
        <f t="shared" si="37"/>
        <v/>
      </c>
      <c r="DF19" s="80"/>
      <c r="DG19" s="80" t="str">
        <f t="shared" si="38"/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 t="shared" si="39"/>
        <v/>
      </c>
      <c r="EC19" s="79" t="str">
        <f t="shared" si="40"/>
        <v/>
      </c>
      <c r="ED19" s="79" t="str">
        <f t="shared" si="41"/>
        <v/>
      </c>
      <c r="EE19" s="79" t="str">
        <f t="shared" si="42"/>
        <v/>
      </c>
      <c r="EF19" s="79" t="str">
        <f t="shared" si="43"/>
        <v/>
      </c>
      <c r="EG19" s="79" t="str">
        <f t="shared" si="44"/>
        <v/>
      </c>
      <c r="EH19" s="79" t="str">
        <f t="shared" si="45"/>
        <v/>
      </c>
      <c r="EI19" s="79" t="str">
        <f t="shared" si="46"/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 t="shared" si="47"/>
        <v/>
      </c>
      <c r="FE19" s="20" t="str">
        <f t="shared" si="48"/>
        <v/>
      </c>
      <c r="FF19" s="20" t="str">
        <f t="shared" si="49"/>
        <v/>
      </c>
      <c r="FG19" s="20" t="str">
        <f t="shared" si="50"/>
        <v/>
      </c>
      <c r="FH19" s="20" t="str">
        <f t="shared" si="51"/>
        <v/>
      </c>
      <c r="FI19" s="20" t="str">
        <f t="shared" si="52"/>
        <v/>
      </c>
      <c r="FJ19" s="20" t="str">
        <f t="shared" si="53"/>
        <v/>
      </c>
      <c r="FK19" s="20" t="str">
        <f t="shared" si="54"/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 t="shared" si="55"/>
        <v/>
      </c>
      <c r="GG19" s="79" t="str">
        <f t="shared" si="56"/>
        <v/>
      </c>
      <c r="GH19" s="79" t="str">
        <f t="shared" si="57"/>
        <v/>
      </c>
      <c r="GI19" s="79" t="str">
        <f t="shared" si="58"/>
        <v/>
      </c>
      <c r="GJ19" s="79" t="str">
        <f t="shared" si="59"/>
        <v/>
      </c>
      <c r="GK19" s="79" t="str">
        <f t="shared" si="60"/>
        <v/>
      </c>
      <c r="GL19" s="79" t="str">
        <f t="shared" si="61"/>
        <v/>
      </c>
      <c r="GM19" s="79" t="str">
        <f t="shared" si="62"/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 t="shared" si="63"/>
        <v/>
      </c>
      <c r="HI19" s="20" t="str">
        <f t="shared" si="64"/>
        <v/>
      </c>
      <c r="HJ19" s="20" t="str">
        <f t="shared" si="65"/>
        <v/>
      </c>
      <c r="HK19" s="20" t="str">
        <f t="shared" si="66"/>
        <v/>
      </c>
      <c r="HL19" s="20" t="str">
        <f t="shared" si="67"/>
        <v/>
      </c>
      <c r="HM19" s="20" t="str">
        <f t="shared" si="68"/>
        <v/>
      </c>
      <c r="HN19" s="20" t="str">
        <f t="shared" si="69"/>
        <v/>
      </c>
      <c r="HO19" s="20" t="str">
        <f t="shared" si="70"/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 t="shared" si="71"/>
        <v/>
      </c>
      <c r="IK19" s="79" t="str">
        <f t="shared" si="72"/>
        <v/>
      </c>
      <c r="IL19" s="79" t="str">
        <f t="shared" si="73"/>
        <v/>
      </c>
      <c r="IM19" s="79" t="str">
        <f t="shared" si="74"/>
        <v/>
      </c>
      <c r="IN19" s="79" t="str">
        <f t="shared" si="75"/>
        <v/>
      </c>
      <c r="IO19" s="79" t="str">
        <f t="shared" si="76"/>
        <v/>
      </c>
      <c r="IP19" s="79" t="str">
        <f t="shared" si="77"/>
        <v/>
      </c>
      <c r="IQ19" s="79" t="str">
        <f t="shared" si="78"/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 t="shared" si="79"/>
        <v/>
      </c>
      <c r="JM19" s="20" t="str">
        <f t="shared" si="80"/>
        <v/>
      </c>
      <c r="JN19" s="20" t="str">
        <f t="shared" si="81"/>
        <v/>
      </c>
      <c r="JO19" s="20" t="str">
        <f t="shared" si="82"/>
        <v/>
      </c>
      <c r="JP19" s="20" t="str">
        <f t="shared" si="83"/>
        <v/>
      </c>
      <c r="JQ19" s="20" t="str">
        <f t="shared" si="84"/>
        <v/>
      </c>
      <c r="JR19" s="20" t="str">
        <f t="shared" si="85"/>
        <v/>
      </c>
      <c r="JS19" s="20" t="str">
        <f t="shared" si="86"/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 t="shared" si="87"/>
        <v/>
      </c>
      <c r="KO19" s="79" t="str">
        <f t="shared" si="88"/>
        <v/>
      </c>
      <c r="KP19" s="79" t="str">
        <f t="shared" si="89"/>
        <v/>
      </c>
      <c r="KQ19" s="79" t="str">
        <f t="shared" si="90"/>
        <v/>
      </c>
      <c r="KR19" s="79" t="str">
        <f t="shared" si="91"/>
        <v/>
      </c>
      <c r="KS19" s="79" t="str">
        <f t="shared" si="92"/>
        <v/>
      </c>
      <c r="KT19" s="79" t="str">
        <f t="shared" si="93"/>
        <v/>
      </c>
      <c r="KU19" s="79" t="str">
        <f t="shared" si="94"/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 t="shared" si="95"/>
        <v/>
      </c>
      <c r="LQ19" s="20" t="str">
        <f t="shared" si="96"/>
        <v/>
      </c>
      <c r="LR19" s="20" t="str">
        <f t="shared" si="97"/>
        <v/>
      </c>
      <c r="LS19" s="20" t="str">
        <f t="shared" si="98"/>
        <v/>
      </c>
      <c r="LT19" s="20" t="str">
        <f t="shared" si="99"/>
        <v/>
      </c>
      <c r="LU19" s="20" t="str">
        <f t="shared" si="100"/>
        <v/>
      </c>
      <c r="LV19" s="20" t="str">
        <f t="shared" si="101"/>
        <v/>
      </c>
      <c r="LW19" s="20" t="str">
        <f t="shared" si="102"/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 t="shared" si="103"/>
        <v/>
      </c>
      <c r="MS19" s="79" t="str">
        <f t="shared" si="104"/>
        <v/>
      </c>
      <c r="MT19" s="79" t="str">
        <f t="shared" si="105"/>
        <v/>
      </c>
      <c r="MU19" s="79" t="str">
        <f t="shared" si="106"/>
        <v/>
      </c>
      <c r="MV19" s="79" t="str">
        <f t="shared" si="107"/>
        <v/>
      </c>
      <c r="MW19" s="79" t="str">
        <f t="shared" si="108"/>
        <v/>
      </c>
      <c r="MX19" s="79" t="str">
        <f t="shared" si="109"/>
        <v/>
      </c>
      <c r="MY19" s="79" t="str">
        <f t="shared" si="110"/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 t="shared" si="111"/>
        <v/>
      </c>
      <c r="NU19" s="20" t="str">
        <f t="shared" si="112"/>
        <v/>
      </c>
      <c r="NV19" s="20" t="str">
        <f t="shared" si="113"/>
        <v/>
      </c>
      <c r="NW19" s="20" t="str">
        <f t="shared" si="114"/>
        <v/>
      </c>
      <c r="NX19" s="20" t="str">
        <f t="shared" si="115"/>
        <v/>
      </c>
      <c r="NY19" s="20" t="str">
        <f t="shared" si="116"/>
        <v/>
      </c>
      <c r="NZ19" s="20" t="str">
        <f t="shared" si="117"/>
        <v/>
      </c>
      <c r="OA19" s="20" t="str">
        <f t="shared" si="118"/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 t="shared" si="119"/>
        <v/>
      </c>
      <c r="OW19" s="79" t="str">
        <f t="shared" si="120"/>
        <v/>
      </c>
      <c r="OX19" s="79" t="str">
        <f t="shared" si="121"/>
        <v/>
      </c>
      <c r="OY19" s="79" t="str">
        <f t="shared" si="122"/>
        <v/>
      </c>
      <c r="OZ19" s="79" t="str">
        <f t="shared" si="123"/>
        <v/>
      </c>
      <c r="PA19" s="79" t="str">
        <f t="shared" si="124"/>
        <v/>
      </c>
      <c r="PB19" s="79" t="str">
        <f t="shared" si="125"/>
        <v/>
      </c>
      <c r="PC19" s="79" t="str">
        <f t="shared" si="126"/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 t="shared" si="127"/>
        <v/>
      </c>
      <c r="PY19" s="20" t="str">
        <f t="shared" si="128"/>
        <v/>
      </c>
      <c r="PZ19" s="20" t="str">
        <f t="shared" si="129"/>
        <v/>
      </c>
      <c r="QA19" s="20" t="str">
        <f t="shared" si="130"/>
        <v/>
      </c>
      <c r="QB19" s="20" t="str">
        <f t="shared" si="131"/>
        <v/>
      </c>
      <c r="QC19" s="20" t="str">
        <f t="shared" si="132"/>
        <v/>
      </c>
      <c r="QD19" s="20" t="str">
        <f t="shared" si="133"/>
        <v/>
      </c>
      <c r="QE19" s="20" t="str">
        <f t="shared" si="134"/>
        <v/>
      </c>
      <c r="QF19" s="38">
        <f t="shared" si="135"/>
        <v>8.6</v>
      </c>
      <c r="QG19" s="38">
        <f t="shared" si="136"/>
        <v>1.2</v>
      </c>
      <c r="QH19" s="38">
        <f t="shared" si="137"/>
        <v>0</v>
      </c>
      <c r="QI19" s="38">
        <f t="shared" si="138"/>
        <v>0</v>
      </c>
      <c r="QJ19" s="38">
        <f t="shared" si="139"/>
        <v>9.1999999999999993</v>
      </c>
      <c r="QK19" s="38">
        <f t="shared" si="140"/>
        <v>2.8</v>
      </c>
      <c r="QL19" s="38">
        <f t="shared" si="141"/>
        <v>0.3</v>
      </c>
      <c r="QM19" s="38">
        <f t="shared" si="142"/>
        <v>0</v>
      </c>
      <c r="QN19" s="38">
        <f t="shared" si="143"/>
        <v>9.25</v>
      </c>
      <c r="QO19" s="38">
        <f t="shared" si="144"/>
        <v>3</v>
      </c>
      <c r="QP19" s="38">
        <f t="shared" si="145"/>
        <v>0.1</v>
      </c>
      <c r="QQ19" s="38">
        <f t="shared" si="146"/>
        <v>0</v>
      </c>
      <c r="QR19" s="38">
        <f t="shared" si="147"/>
        <v>9.1999999999999993</v>
      </c>
      <c r="QS19" s="38">
        <f t="shared" si="148"/>
        <v>3</v>
      </c>
      <c r="QT19" s="38">
        <f t="shared" si="149"/>
        <v>0.3</v>
      </c>
      <c r="QU19" s="38">
        <f t="shared" si="150"/>
        <v>0</v>
      </c>
      <c r="QV19" s="38">
        <f t="shared" si="151"/>
        <v>9.15</v>
      </c>
      <c r="QW19" s="38">
        <f t="shared" si="152"/>
        <v>3.4</v>
      </c>
      <c r="QX19" s="38">
        <f t="shared" si="153"/>
        <v>0.1</v>
      </c>
      <c r="QY19" s="38">
        <f t="shared" si="154"/>
        <v>0</v>
      </c>
      <c r="QZ19" s="45" t="s">
        <v>46</v>
      </c>
      <c r="RA19" s="79">
        <f t="shared" si="155"/>
        <v>4</v>
      </c>
      <c r="RB19" s="79">
        <f t="shared" si="156"/>
        <v>21.5</v>
      </c>
      <c r="RC19" s="79">
        <f t="shared" si="157"/>
        <v>12.15</v>
      </c>
      <c r="RD19" s="79">
        <f t="shared" si="158"/>
        <v>7</v>
      </c>
      <c r="RE19" s="79">
        <f t="shared" si="159"/>
        <v>33.65</v>
      </c>
      <c r="RF19" s="79">
        <f t="shared" si="160"/>
        <v>6.4</v>
      </c>
      <c r="RG19" s="79">
        <f t="shared" si="161"/>
        <v>24.35</v>
      </c>
      <c r="RH19" s="79">
        <f t="shared" si="162"/>
        <v>45.85</v>
      </c>
    </row>
    <row r="20" spans="1:476" x14ac:dyDescent="0.2">
      <c r="A20" s="5" t="str">
        <f t="shared" si="163"/>
        <v/>
      </c>
      <c r="B20" s="78" t="s">
        <v>87</v>
      </c>
      <c r="C20" s="5" t="s">
        <v>4</v>
      </c>
      <c r="D20" s="5">
        <v>2004</v>
      </c>
      <c r="E20" s="15">
        <f t="shared" si="0"/>
        <v>113.70000696000473</v>
      </c>
      <c r="F20" s="3" t="str">
        <f t="shared" si="1"/>
        <v/>
      </c>
      <c r="G20" s="3" t="str">
        <f t="shared" si="2"/>
        <v/>
      </c>
      <c r="H20" s="67" t="str">
        <f t="shared" si="3"/>
        <v/>
      </c>
      <c r="I20" s="14">
        <f>IF(COUNT(AR20,BU20,CX20)&gt;0,LARGE((AR20,BU20,CX20),1),0)</f>
        <v>47.4</v>
      </c>
      <c r="J20" s="14" t="str">
        <f t="shared" si="4"/>
        <v>2022 Elite Canada</v>
      </c>
      <c r="K20" s="14">
        <f>IF(COUNT(AR20,BU20,CX20)&gt;1,LARGE((AR20,BU20,CX20),2),0)</f>
        <v>0</v>
      </c>
      <c r="L20" s="14" t="str">
        <f t="shared" si="5"/>
        <v/>
      </c>
      <c r="M20" s="14">
        <f>IF(COUNT(AS20,BV20,CY20)&gt;0,LARGE((AS20,BV20,CY20),1),0)</f>
        <v>22.200000000000003</v>
      </c>
      <c r="N20" s="14" t="str">
        <f t="shared" si="6"/>
        <v>2022 Elite Canada</v>
      </c>
      <c r="O20" s="14">
        <f>IF(COUNT(AS20,BV20,CY20)&gt;1,LARGE((AS20,BV20,CY20),2),0)</f>
        <v>0</v>
      </c>
      <c r="P20" s="14" t="str">
        <f t="shared" si="7"/>
        <v/>
      </c>
      <c r="Q20" s="14">
        <f t="shared" si="8"/>
        <v>44.1</v>
      </c>
      <c r="R20" s="14" t="str">
        <f t="shared" si="9"/>
        <v>2022 Elite Canada</v>
      </c>
      <c r="S20" s="14" t="str">
        <f t="shared" si="10"/>
        <v/>
      </c>
      <c r="T20" s="20" t="str">
        <f t="shared" si="11"/>
        <v/>
      </c>
      <c r="U20" s="14" t="str">
        <f t="shared" si="12"/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 t="shared" si="13"/>
        <v/>
      </c>
      <c r="AR20" s="79" t="str">
        <f t="shared" si="14"/>
        <v/>
      </c>
      <c r="AS20" s="79" t="str">
        <f t="shared" si="15"/>
        <v/>
      </c>
      <c r="AT20" s="79" t="str">
        <f t="shared" si="16"/>
        <v/>
      </c>
      <c r="AU20" s="79" t="str">
        <f t="shared" si="17"/>
        <v/>
      </c>
      <c r="AV20" s="79" t="str">
        <f t="shared" si="18"/>
        <v/>
      </c>
      <c r="AW20" s="79" t="str">
        <f t="shared" si="19"/>
        <v/>
      </c>
      <c r="AX20" s="79" t="str">
        <f t="shared" si="20"/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 t="shared" si="21"/>
        <v/>
      </c>
      <c r="BU20" s="20" t="str">
        <f t="shared" si="22"/>
        <v/>
      </c>
      <c r="BV20" s="20" t="str">
        <f t="shared" si="23"/>
        <v/>
      </c>
      <c r="BW20" s="20" t="str">
        <f t="shared" si="24"/>
        <v/>
      </c>
      <c r="BX20" s="20" t="str">
        <f t="shared" si="25"/>
        <v/>
      </c>
      <c r="BY20" s="20" t="str">
        <f t="shared" si="26"/>
        <v/>
      </c>
      <c r="BZ20" s="20" t="str">
        <f t="shared" si="27"/>
        <v/>
      </c>
      <c r="CA20" s="20" t="str">
        <f t="shared" si="28"/>
        <v/>
      </c>
      <c r="CB20" s="27">
        <v>18.2</v>
      </c>
      <c r="CC20" s="27">
        <v>5.6</v>
      </c>
      <c r="CD20" s="27">
        <v>0</v>
      </c>
      <c r="CE20" s="27">
        <v>0</v>
      </c>
      <c r="CF20" s="27">
        <v>18.399999999999999</v>
      </c>
      <c r="CG20" s="27">
        <v>6</v>
      </c>
      <c r="CH20" s="27">
        <v>0.8</v>
      </c>
      <c r="CI20" s="27">
        <v>0</v>
      </c>
      <c r="CJ20" s="27">
        <v>17.100000000000001</v>
      </c>
      <c r="CK20" s="27">
        <v>5.0999999999999996</v>
      </c>
      <c r="CL20" s="27">
        <v>0</v>
      </c>
      <c r="CM20" s="27">
        <v>0</v>
      </c>
      <c r="CN20" s="27">
        <v>17.5</v>
      </c>
      <c r="CO20" s="27">
        <v>2.4</v>
      </c>
      <c r="CP20" s="27">
        <v>0</v>
      </c>
      <c r="CQ20" s="27">
        <v>0</v>
      </c>
      <c r="CR20" s="27">
        <v>18.8</v>
      </c>
      <c r="CS20" s="27">
        <v>6</v>
      </c>
      <c r="CT20" s="27">
        <v>0.6</v>
      </c>
      <c r="CU20" s="27">
        <v>0</v>
      </c>
      <c r="CV20" s="45"/>
      <c r="CW20" s="79">
        <f t="shared" si="29"/>
        <v>11.6</v>
      </c>
      <c r="CX20" s="79">
        <f t="shared" si="30"/>
        <v>47.4</v>
      </c>
      <c r="CY20" s="79">
        <f t="shared" si="31"/>
        <v>22.200000000000003</v>
      </c>
      <c r="CZ20" s="79">
        <f t="shared" si="32"/>
        <v>16.7</v>
      </c>
      <c r="DA20" s="79">
        <f t="shared" si="33"/>
        <v>69.599999999999994</v>
      </c>
      <c r="DB20" s="79">
        <f t="shared" si="34"/>
        <v>8.4</v>
      </c>
      <c r="DC20" s="79">
        <f t="shared" si="35"/>
        <v>44.1</v>
      </c>
      <c r="DD20" s="79">
        <f t="shared" si="36"/>
        <v>91.5</v>
      </c>
      <c r="DE20" s="80" t="str">
        <f t="shared" si="37"/>
        <v/>
      </c>
      <c r="DF20" s="80"/>
      <c r="DG20" s="80" t="str">
        <f t="shared" si="38"/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 t="shared" si="39"/>
        <v/>
      </c>
      <c r="EC20" s="79" t="str">
        <f t="shared" si="40"/>
        <v/>
      </c>
      <c r="ED20" s="79" t="str">
        <f t="shared" si="41"/>
        <v/>
      </c>
      <c r="EE20" s="79" t="str">
        <f t="shared" si="42"/>
        <v/>
      </c>
      <c r="EF20" s="79" t="str">
        <f t="shared" si="43"/>
        <v/>
      </c>
      <c r="EG20" s="79" t="str">
        <f t="shared" si="44"/>
        <v/>
      </c>
      <c r="EH20" s="79" t="str">
        <f t="shared" si="45"/>
        <v/>
      </c>
      <c r="EI20" s="79" t="str">
        <f t="shared" si="46"/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 t="shared" si="47"/>
        <v/>
      </c>
      <c r="FE20" s="20" t="str">
        <f t="shared" si="48"/>
        <v/>
      </c>
      <c r="FF20" s="20" t="str">
        <f t="shared" si="49"/>
        <v/>
      </c>
      <c r="FG20" s="20" t="str">
        <f t="shared" si="50"/>
        <v/>
      </c>
      <c r="FH20" s="20" t="str">
        <f t="shared" si="51"/>
        <v/>
      </c>
      <c r="FI20" s="20" t="str">
        <f t="shared" si="52"/>
        <v/>
      </c>
      <c r="FJ20" s="20" t="str">
        <f t="shared" si="53"/>
        <v/>
      </c>
      <c r="FK20" s="20" t="str">
        <f t="shared" si="54"/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 t="shared" si="55"/>
        <v/>
      </c>
      <c r="GG20" s="79" t="str">
        <f t="shared" si="56"/>
        <v/>
      </c>
      <c r="GH20" s="79" t="str">
        <f t="shared" si="57"/>
        <v/>
      </c>
      <c r="GI20" s="79" t="str">
        <f t="shared" si="58"/>
        <v/>
      </c>
      <c r="GJ20" s="79" t="str">
        <f t="shared" si="59"/>
        <v/>
      </c>
      <c r="GK20" s="79" t="str">
        <f t="shared" si="60"/>
        <v/>
      </c>
      <c r="GL20" s="79" t="str">
        <f t="shared" si="61"/>
        <v/>
      </c>
      <c r="GM20" s="79" t="str">
        <f t="shared" si="62"/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 t="shared" si="63"/>
        <v/>
      </c>
      <c r="HI20" s="20" t="str">
        <f t="shared" si="64"/>
        <v/>
      </c>
      <c r="HJ20" s="20" t="str">
        <f t="shared" si="65"/>
        <v/>
      </c>
      <c r="HK20" s="20" t="str">
        <f t="shared" si="66"/>
        <v/>
      </c>
      <c r="HL20" s="20" t="str">
        <f t="shared" si="67"/>
        <v/>
      </c>
      <c r="HM20" s="20" t="str">
        <f t="shared" si="68"/>
        <v/>
      </c>
      <c r="HN20" s="20" t="str">
        <f t="shared" si="69"/>
        <v/>
      </c>
      <c r="HO20" s="20" t="str">
        <f t="shared" si="70"/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 t="shared" si="71"/>
        <v/>
      </c>
      <c r="IK20" s="79" t="str">
        <f t="shared" si="72"/>
        <v/>
      </c>
      <c r="IL20" s="79" t="str">
        <f t="shared" si="73"/>
        <v/>
      </c>
      <c r="IM20" s="79" t="str">
        <f t="shared" si="74"/>
        <v/>
      </c>
      <c r="IN20" s="79" t="str">
        <f t="shared" si="75"/>
        <v/>
      </c>
      <c r="IO20" s="79" t="str">
        <f t="shared" si="76"/>
        <v/>
      </c>
      <c r="IP20" s="79" t="str">
        <f t="shared" si="77"/>
        <v/>
      </c>
      <c r="IQ20" s="79" t="str">
        <f t="shared" si="78"/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 t="shared" si="79"/>
        <v/>
      </c>
      <c r="JM20" s="20" t="str">
        <f t="shared" si="80"/>
        <v/>
      </c>
      <c r="JN20" s="20" t="str">
        <f t="shared" si="81"/>
        <v/>
      </c>
      <c r="JO20" s="20" t="str">
        <f t="shared" si="82"/>
        <v/>
      </c>
      <c r="JP20" s="20" t="str">
        <f t="shared" si="83"/>
        <v/>
      </c>
      <c r="JQ20" s="20" t="str">
        <f t="shared" si="84"/>
        <v/>
      </c>
      <c r="JR20" s="20" t="str">
        <f t="shared" si="85"/>
        <v/>
      </c>
      <c r="JS20" s="20" t="str">
        <f t="shared" si="86"/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 t="shared" si="87"/>
        <v/>
      </c>
      <c r="KO20" s="79" t="str">
        <f t="shared" si="88"/>
        <v/>
      </c>
      <c r="KP20" s="79" t="str">
        <f t="shared" si="89"/>
        <v/>
      </c>
      <c r="KQ20" s="79" t="str">
        <f t="shared" si="90"/>
        <v/>
      </c>
      <c r="KR20" s="79" t="str">
        <f t="shared" si="91"/>
        <v/>
      </c>
      <c r="KS20" s="79" t="str">
        <f t="shared" si="92"/>
        <v/>
      </c>
      <c r="KT20" s="79" t="str">
        <f t="shared" si="93"/>
        <v/>
      </c>
      <c r="KU20" s="79" t="str">
        <f t="shared" si="94"/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 t="shared" si="95"/>
        <v/>
      </c>
      <c r="LQ20" s="20" t="str">
        <f t="shared" si="96"/>
        <v/>
      </c>
      <c r="LR20" s="20" t="str">
        <f t="shared" si="97"/>
        <v/>
      </c>
      <c r="LS20" s="20" t="str">
        <f t="shared" si="98"/>
        <v/>
      </c>
      <c r="LT20" s="20" t="str">
        <f t="shared" si="99"/>
        <v/>
      </c>
      <c r="LU20" s="20" t="str">
        <f t="shared" si="100"/>
        <v/>
      </c>
      <c r="LV20" s="20" t="str">
        <f t="shared" si="101"/>
        <v/>
      </c>
      <c r="LW20" s="20" t="str">
        <f t="shared" si="102"/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 t="shared" si="103"/>
        <v/>
      </c>
      <c r="MS20" s="79" t="str">
        <f t="shared" si="104"/>
        <v/>
      </c>
      <c r="MT20" s="79" t="str">
        <f t="shared" si="105"/>
        <v/>
      </c>
      <c r="MU20" s="79" t="str">
        <f t="shared" si="106"/>
        <v/>
      </c>
      <c r="MV20" s="79" t="str">
        <f t="shared" si="107"/>
        <v/>
      </c>
      <c r="MW20" s="79" t="str">
        <f t="shared" si="108"/>
        <v/>
      </c>
      <c r="MX20" s="79" t="str">
        <f t="shared" si="109"/>
        <v/>
      </c>
      <c r="MY20" s="79" t="str">
        <f t="shared" si="110"/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 t="shared" si="111"/>
        <v/>
      </c>
      <c r="NU20" s="20" t="str">
        <f t="shared" si="112"/>
        <v/>
      </c>
      <c r="NV20" s="20" t="str">
        <f t="shared" si="113"/>
        <v/>
      </c>
      <c r="NW20" s="20" t="str">
        <f t="shared" si="114"/>
        <v/>
      </c>
      <c r="NX20" s="20" t="str">
        <f t="shared" si="115"/>
        <v/>
      </c>
      <c r="NY20" s="20" t="str">
        <f t="shared" si="116"/>
        <v/>
      </c>
      <c r="NZ20" s="20" t="str">
        <f t="shared" si="117"/>
        <v/>
      </c>
      <c r="OA20" s="20" t="str">
        <f t="shared" si="118"/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 t="shared" si="119"/>
        <v/>
      </c>
      <c r="OW20" s="79" t="str">
        <f t="shared" si="120"/>
        <v/>
      </c>
      <c r="OX20" s="79" t="str">
        <f t="shared" si="121"/>
        <v/>
      </c>
      <c r="OY20" s="79" t="str">
        <f t="shared" si="122"/>
        <v/>
      </c>
      <c r="OZ20" s="79" t="str">
        <f t="shared" si="123"/>
        <v/>
      </c>
      <c r="PA20" s="79" t="str">
        <f t="shared" si="124"/>
        <v/>
      </c>
      <c r="PB20" s="79" t="str">
        <f t="shared" si="125"/>
        <v/>
      </c>
      <c r="PC20" s="79" t="str">
        <f t="shared" si="126"/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 t="shared" si="127"/>
        <v/>
      </c>
      <c r="PY20" s="20" t="str">
        <f t="shared" si="128"/>
        <v/>
      </c>
      <c r="PZ20" s="20" t="str">
        <f t="shared" si="129"/>
        <v/>
      </c>
      <c r="QA20" s="20" t="str">
        <f t="shared" si="130"/>
        <v/>
      </c>
      <c r="QB20" s="20" t="str">
        <f t="shared" si="131"/>
        <v/>
      </c>
      <c r="QC20" s="20" t="str">
        <f t="shared" si="132"/>
        <v/>
      </c>
      <c r="QD20" s="20" t="str">
        <f t="shared" si="133"/>
        <v/>
      </c>
      <c r="QE20" s="20" t="str">
        <f t="shared" si="134"/>
        <v/>
      </c>
      <c r="QF20" s="38">
        <f t="shared" si="135"/>
        <v>9.1</v>
      </c>
      <c r="QG20" s="38">
        <f t="shared" si="136"/>
        <v>2.8</v>
      </c>
      <c r="QH20" s="38">
        <f t="shared" si="137"/>
        <v>0</v>
      </c>
      <c r="QI20" s="38">
        <f t="shared" si="138"/>
        <v>0</v>
      </c>
      <c r="QJ20" s="38">
        <f t="shared" si="139"/>
        <v>9.1999999999999993</v>
      </c>
      <c r="QK20" s="38">
        <f t="shared" si="140"/>
        <v>3</v>
      </c>
      <c r="QL20" s="38">
        <f t="shared" si="141"/>
        <v>0.4</v>
      </c>
      <c r="QM20" s="38">
        <f t="shared" si="142"/>
        <v>0</v>
      </c>
      <c r="QN20" s="38">
        <f t="shared" si="143"/>
        <v>8.5500000000000007</v>
      </c>
      <c r="QO20" s="38">
        <f t="shared" si="144"/>
        <v>2.5499999999999998</v>
      </c>
      <c r="QP20" s="38">
        <f t="shared" si="145"/>
        <v>0</v>
      </c>
      <c r="QQ20" s="38">
        <f t="shared" si="146"/>
        <v>0</v>
      </c>
      <c r="QR20" s="38">
        <f t="shared" si="147"/>
        <v>8.75</v>
      </c>
      <c r="QS20" s="38">
        <f t="shared" si="148"/>
        <v>1.2</v>
      </c>
      <c r="QT20" s="38">
        <f t="shared" si="149"/>
        <v>0</v>
      </c>
      <c r="QU20" s="38">
        <f t="shared" si="150"/>
        <v>0</v>
      </c>
      <c r="QV20" s="38">
        <f t="shared" si="151"/>
        <v>9.4</v>
      </c>
      <c r="QW20" s="38">
        <f t="shared" si="152"/>
        <v>3</v>
      </c>
      <c r="QX20" s="38">
        <f t="shared" si="153"/>
        <v>0.3</v>
      </c>
      <c r="QY20" s="38">
        <f t="shared" si="154"/>
        <v>0</v>
      </c>
      <c r="QZ20" s="45" t="s">
        <v>46</v>
      </c>
      <c r="RA20" s="79">
        <f t="shared" si="155"/>
        <v>5.8</v>
      </c>
      <c r="RB20" s="79">
        <f t="shared" si="156"/>
        <v>23.7</v>
      </c>
      <c r="RC20" s="79">
        <f t="shared" si="157"/>
        <v>11.100000000000001</v>
      </c>
      <c r="RD20" s="79">
        <f t="shared" si="158"/>
        <v>8.35</v>
      </c>
      <c r="RE20" s="79">
        <f t="shared" si="159"/>
        <v>34.799999999999997</v>
      </c>
      <c r="RF20" s="79">
        <f t="shared" si="160"/>
        <v>4.2</v>
      </c>
      <c r="RG20" s="79">
        <f t="shared" si="161"/>
        <v>22.05</v>
      </c>
      <c r="RH20" s="79">
        <f t="shared" si="162"/>
        <v>45.75</v>
      </c>
    </row>
    <row r="21" spans="1:476" x14ac:dyDescent="0.2">
      <c r="A21" s="5" t="str">
        <f t="shared" si="163"/>
        <v/>
      </c>
      <c r="B21" s="78" t="s">
        <v>79</v>
      </c>
      <c r="C21" s="5" t="s">
        <v>5</v>
      </c>
      <c r="D21" s="5">
        <v>2002</v>
      </c>
      <c r="E21" s="15">
        <f t="shared" si="0"/>
        <v>113.3000067500048</v>
      </c>
      <c r="F21" s="3" t="str">
        <f t="shared" si="1"/>
        <v/>
      </c>
      <c r="G21" s="3" t="str">
        <f t="shared" si="2"/>
        <v/>
      </c>
      <c r="H21" s="67" t="str">
        <f t="shared" si="3"/>
        <v/>
      </c>
      <c r="I21" s="14">
        <f>IF(COUNT(AR21,BU21,CX21)&gt;0,LARGE((AR21,BU21,CX21),1),0)</f>
        <v>48.2</v>
      </c>
      <c r="J21" s="14" t="str">
        <f t="shared" si="4"/>
        <v>2022 Elite Canada</v>
      </c>
      <c r="K21" s="14">
        <f>IF(COUNT(AR21,BU21,CX21)&gt;1,LARGE((AR21,BU21,CX21),2),0)</f>
        <v>0</v>
      </c>
      <c r="L21" s="14" t="str">
        <f t="shared" si="5"/>
        <v/>
      </c>
      <c r="M21" s="14">
        <f>IF(COUNT(AS21,BV21,CY21)&gt;0,LARGE((AS21,BV21,CY21),1),0)</f>
        <v>19.300000000000004</v>
      </c>
      <c r="N21" s="14" t="str">
        <f t="shared" si="6"/>
        <v>2022 Elite Canada</v>
      </c>
      <c r="O21" s="14">
        <f>IF(COUNT(AS21,BV21,CY21)&gt;1,LARGE((AS21,BV21,CY21),2),0)</f>
        <v>0</v>
      </c>
      <c r="P21" s="14" t="str">
        <f t="shared" si="7"/>
        <v/>
      </c>
      <c r="Q21" s="14">
        <f t="shared" si="8"/>
        <v>0</v>
      </c>
      <c r="R21" s="14" t="str">
        <f t="shared" si="9"/>
        <v/>
      </c>
      <c r="S21" s="14">
        <f t="shared" si="10"/>
        <v>45.79999999999999</v>
      </c>
      <c r="T21" s="20" t="str">
        <f t="shared" si="11"/>
        <v>(Q1)</v>
      </c>
      <c r="U21" s="14" t="str">
        <f t="shared" si="12"/>
        <v>2022 World Games Technical Trial #1 (Mar 12)</v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 t="shared" si="13"/>
        <v/>
      </c>
      <c r="AR21" s="79" t="str">
        <f t="shared" si="14"/>
        <v/>
      </c>
      <c r="AS21" s="79" t="str">
        <f t="shared" si="15"/>
        <v/>
      </c>
      <c r="AT21" s="79" t="str">
        <f t="shared" si="16"/>
        <v/>
      </c>
      <c r="AU21" s="79" t="str">
        <f t="shared" si="17"/>
        <v/>
      </c>
      <c r="AV21" s="79" t="str">
        <f t="shared" si="18"/>
        <v/>
      </c>
      <c r="AW21" s="79" t="str">
        <f t="shared" si="19"/>
        <v/>
      </c>
      <c r="AX21" s="79" t="str">
        <f t="shared" si="20"/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 t="shared" si="21"/>
        <v/>
      </c>
      <c r="BU21" s="20" t="str">
        <f t="shared" si="22"/>
        <v/>
      </c>
      <c r="BV21" s="20" t="str">
        <f t="shared" si="23"/>
        <v/>
      </c>
      <c r="BW21" s="20" t="str">
        <f t="shared" si="24"/>
        <v/>
      </c>
      <c r="BX21" s="20" t="str">
        <f t="shared" si="25"/>
        <v/>
      </c>
      <c r="BY21" s="20" t="str">
        <f t="shared" si="26"/>
        <v/>
      </c>
      <c r="BZ21" s="20" t="str">
        <f t="shared" si="27"/>
        <v/>
      </c>
      <c r="CA21" s="20" t="str">
        <f t="shared" si="28"/>
        <v/>
      </c>
      <c r="CB21" s="27">
        <v>18.2</v>
      </c>
      <c r="CC21" s="27">
        <v>6</v>
      </c>
      <c r="CD21" s="27">
        <v>0.8</v>
      </c>
      <c r="CE21" s="27">
        <v>0</v>
      </c>
      <c r="CF21" s="27">
        <v>19</v>
      </c>
      <c r="CG21" s="27">
        <v>6.4</v>
      </c>
      <c r="CH21" s="27">
        <v>0.6</v>
      </c>
      <c r="CI21" s="27">
        <v>0</v>
      </c>
      <c r="CJ21" s="27">
        <v>18.100000000000001</v>
      </c>
      <c r="CK21" s="27">
        <v>4.0999999999999996</v>
      </c>
      <c r="CL21" s="27">
        <v>2.9</v>
      </c>
      <c r="CM21" s="27">
        <v>0</v>
      </c>
      <c r="CN21" s="27"/>
      <c r="CO21" s="27"/>
      <c r="CP21" s="27"/>
      <c r="CQ21" s="27"/>
      <c r="CR21" s="27"/>
      <c r="CS21" s="27"/>
      <c r="CT21" s="27"/>
      <c r="CU21" s="27"/>
      <c r="CV21" s="45"/>
      <c r="CW21" s="79">
        <f t="shared" si="29"/>
        <v>12.4</v>
      </c>
      <c r="CX21" s="79">
        <f t="shared" si="30"/>
        <v>48.2</v>
      </c>
      <c r="CY21" s="79">
        <f t="shared" si="31"/>
        <v>19.300000000000004</v>
      </c>
      <c r="CZ21" s="79">
        <f t="shared" si="32"/>
        <v>16.5</v>
      </c>
      <c r="DA21" s="79">
        <f t="shared" si="33"/>
        <v>67.5</v>
      </c>
      <c r="DB21" s="79" t="str">
        <f t="shared" si="34"/>
        <v/>
      </c>
      <c r="DC21" s="79" t="str">
        <f t="shared" si="35"/>
        <v/>
      </c>
      <c r="DD21" s="79">
        <f t="shared" si="36"/>
        <v>48.2</v>
      </c>
      <c r="DE21" s="80">
        <f t="shared" si="37"/>
        <v>45.79999999999999</v>
      </c>
      <c r="DF21" s="80"/>
      <c r="DG21" s="80" t="str">
        <f t="shared" si="38"/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 t="shared" si="39"/>
        <v/>
      </c>
      <c r="EC21" s="79" t="str">
        <f t="shared" si="40"/>
        <v/>
      </c>
      <c r="ED21" s="79" t="str">
        <f t="shared" si="41"/>
        <v/>
      </c>
      <c r="EE21" s="79" t="str">
        <f t="shared" si="42"/>
        <v/>
      </c>
      <c r="EF21" s="79" t="str">
        <f t="shared" si="43"/>
        <v/>
      </c>
      <c r="EG21" s="79" t="str">
        <f t="shared" si="44"/>
        <v/>
      </c>
      <c r="EH21" s="79" t="str">
        <f t="shared" si="45"/>
        <v/>
      </c>
      <c r="EI21" s="79" t="str">
        <f t="shared" si="46"/>
        <v/>
      </c>
      <c r="EJ21" s="26">
        <v>18</v>
      </c>
      <c r="EK21" s="26">
        <v>3.2</v>
      </c>
      <c r="EL21" s="26">
        <v>0</v>
      </c>
      <c r="EM21" s="26">
        <v>0</v>
      </c>
      <c r="EN21" s="26">
        <v>18.399999999999999</v>
      </c>
      <c r="EO21" s="26">
        <v>6.4</v>
      </c>
      <c r="EP21" s="26">
        <v>0.2</v>
      </c>
      <c r="EQ21" s="26">
        <v>0</v>
      </c>
      <c r="ER21" s="26"/>
      <c r="ES21" s="26"/>
      <c r="ET21" s="26"/>
      <c r="EU21" s="26"/>
      <c r="EV21" s="26">
        <v>0</v>
      </c>
      <c r="EW21" s="26">
        <v>0</v>
      </c>
      <c r="EX21" s="26">
        <v>0</v>
      </c>
      <c r="EY21" s="26">
        <v>0</v>
      </c>
      <c r="EZ21" s="26">
        <v>0</v>
      </c>
      <c r="FA21" s="26">
        <v>0</v>
      </c>
      <c r="FB21" s="26">
        <v>0</v>
      </c>
      <c r="FC21" s="26">
        <v>0</v>
      </c>
      <c r="FD21" s="20">
        <f t="shared" si="47"/>
        <v>9.6000000000000014</v>
      </c>
      <c r="FE21" s="20">
        <f t="shared" si="48"/>
        <v>45.79999999999999</v>
      </c>
      <c r="FF21" s="20" t="str">
        <f t="shared" si="49"/>
        <v/>
      </c>
      <c r="FG21" s="20">
        <f t="shared" si="50"/>
        <v>9.6000000000000014</v>
      </c>
      <c r="FH21" s="20">
        <f t="shared" si="51"/>
        <v>45.79999999999999</v>
      </c>
      <c r="FI21" s="20" t="str">
        <f t="shared" si="52"/>
        <v/>
      </c>
      <c r="FJ21" s="20" t="str">
        <f t="shared" si="53"/>
        <v/>
      </c>
      <c r="FK21" s="20">
        <f t="shared" si="54"/>
        <v>45.79999999999999</v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 t="shared" si="55"/>
        <v/>
      </c>
      <c r="GG21" s="79" t="str">
        <f t="shared" si="56"/>
        <v/>
      </c>
      <c r="GH21" s="79" t="str">
        <f t="shared" si="57"/>
        <v/>
      </c>
      <c r="GI21" s="79" t="str">
        <f t="shared" si="58"/>
        <v/>
      </c>
      <c r="GJ21" s="79" t="str">
        <f t="shared" si="59"/>
        <v/>
      </c>
      <c r="GK21" s="79" t="str">
        <f t="shared" si="60"/>
        <v/>
      </c>
      <c r="GL21" s="79" t="str">
        <f t="shared" si="61"/>
        <v/>
      </c>
      <c r="GM21" s="79" t="str">
        <f t="shared" si="62"/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 t="shared" si="63"/>
        <v/>
      </c>
      <c r="HI21" s="20" t="str">
        <f t="shared" si="64"/>
        <v/>
      </c>
      <c r="HJ21" s="20" t="str">
        <f t="shared" si="65"/>
        <v/>
      </c>
      <c r="HK21" s="20" t="str">
        <f t="shared" si="66"/>
        <v/>
      </c>
      <c r="HL21" s="20" t="str">
        <f t="shared" si="67"/>
        <v/>
      </c>
      <c r="HM21" s="20" t="str">
        <f t="shared" si="68"/>
        <v/>
      </c>
      <c r="HN21" s="20" t="str">
        <f t="shared" si="69"/>
        <v/>
      </c>
      <c r="HO21" s="20" t="str">
        <f t="shared" si="70"/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 t="shared" si="71"/>
        <v/>
      </c>
      <c r="IK21" s="79" t="str">
        <f t="shared" si="72"/>
        <v/>
      </c>
      <c r="IL21" s="79" t="str">
        <f t="shared" si="73"/>
        <v/>
      </c>
      <c r="IM21" s="79" t="str">
        <f t="shared" si="74"/>
        <v/>
      </c>
      <c r="IN21" s="79" t="str">
        <f t="shared" si="75"/>
        <v/>
      </c>
      <c r="IO21" s="79" t="str">
        <f t="shared" si="76"/>
        <v/>
      </c>
      <c r="IP21" s="79" t="str">
        <f t="shared" si="77"/>
        <v/>
      </c>
      <c r="IQ21" s="79" t="str">
        <f t="shared" si="78"/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 t="shared" si="79"/>
        <v/>
      </c>
      <c r="JM21" s="20" t="str">
        <f t="shared" si="80"/>
        <v/>
      </c>
      <c r="JN21" s="20" t="str">
        <f t="shared" si="81"/>
        <v/>
      </c>
      <c r="JO21" s="20" t="str">
        <f t="shared" si="82"/>
        <v/>
      </c>
      <c r="JP21" s="20" t="str">
        <f t="shared" si="83"/>
        <v/>
      </c>
      <c r="JQ21" s="20" t="str">
        <f t="shared" si="84"/>
        <v/>
      </c>
      <c r="JR21" s="20" t="str">
        <f t="shared" si="85"/>
        <v/>
      </c>
      <c r="JS21" s="20" t="str">
        <f t="shared" si="86"/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 t="shared" si="87"/>
        <v/>
      </c>
      <c r="KO21" s="79" t="str">
        <f t="shared" si="88"/>
        <v/>
      </c>
      <c r="KP21" s="79" t="str">
        <f t="shared" si="89"/>
        <v/>
      </c>
      <c r="KQ21" s="79" t="str">
        <f t="shared" si="90"/>
        <v/>
      </c>
      <c r="KR21" s="79" t="str">
        <f t="shared" si="91"/>
        <v/>
      </c>
      <c r="KS21" s="79" t="str">
        <f t="shared" si="92"/>
        <v/>
      </c>
      <c r="KT21" s="79" t="str">
        <f t="shared" si="93"/>
        <v/>
      </c>
      <c r="KU21" s="79" t="str">
        <f t="shared" si="94"/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 t="shared" si="95"/>
        <v/>
      </c>
      <c r="LQ21" s="20" t="str">
        <f t="shared" si="96"/>
        <v/>
      </c>
      <c r="LR21" s="20" t="str">
        <f t="shared" si="97"/>
        <v/>
      </c>
      <c r="LS21" s="20" t="str">
        <f t="shared" si="98"/>
        <v/>
      </c>
      <c r="LT21" s="20" t="str">
        <f t="shared" si="99"/>
        <v/>
      </c>
      <c r="LU21" s="20" t="str">
        <f t="shared" si="100"/>
        <v/>
      </c>
      <c r="LV21" s="20" t="str">
        <f t="shared" si="101"/>
        <v/>
      </c>
      <c r="LW21" s="20" t="str">
        <f t="shared" si="102"/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 t="shared" si="103"/>
        <v/>
      </c>
      <c r="MS21" s="79" t="str">
        <f t="shared" si="104"/>
        <v/>
      </c>
      <c r="MT21" s="79" t="str">
        <f t="shared" si="105"/>
        <v/>
      </c>
      <c r="MU21" s="79" t="str">
        <f t="shared" si="106"/>
        <v/>
      </c>
      <c r="MV21" s="79" t="str">
        <f t="shared" si="107"/>
        <v/>
      </c>
      <c r="MW21" s="79" t="str">
        <f t="shared" si="108"/>
        <v/>
      </c>
      <c r="MX21" s="79" t="str">
        <f t="shared" si="109"/>
        <v/>
      </c>
      <c r="MY21" s="79" t="str">
        <f t="shared" si="110"/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 t="shared" si="111"/>
        <v/>
      </c>
      <c r="NU21" s="20" t="str">
        <f t="shared" si="112"/>
        <v/>
      </c>
      <c r="NV21" s="20" t="str">
        <f t="shared" si="113"/>
        <v/>
      </c>
      <c r="NW21" s="20" t="str">
        <f t="shared" si="114"/>
        <v/>
      </c>
      <c r="NX21" s="20" t="str">
        <f t="shared" si="115"/>
        <v/>
      </c>
      <c r="NY21" s="20" t="str">
        <f t="shared" si="116"/>
        <v/>
      </c>
      <c r="NZ21" s="20" t="str">
        <f t="shared" si="117"/>
        <v/>
      </c>
      <c r="OA21" s="20" t="str">
        <f t="shared" si="118"/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 t="shared" si="119"/>
        <v/>
      </c>
      <c r="OW21" s="79" t="str">
        <f t="shared" si="120"/>
        <v/>
      </c>
      <c r="OX21" s="79" t="str">
        <f t="shared" si="121"/>
        <v/>
      </c>
      <c r="OY21" s="79" t="str">
        <f t="shared" si="122"/>
        <v/>
      </c>
      <c r="OZ21" s="79" t="str">
        <f t="shared" si="123"/>
        <v/>
      </c>
      <c r="PA21" s="79" t="str">
        <f t="shared" si="124"/>
        <v/>
      </c>
      <c r="PB21" s="79" t="str">
        <f t="shared" si="125"/>
        <v/>
      </c>
      <c r="PC21" s="79" t="str">
        <f t="shared" si="126"/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 t="shared" si="127"/>
        <v/>
      </c>
      <c r="PY21" s="20" t="str">
        <f t="shared" si="128"/>
        <v/>
      </c>
      <c r="PZ21" s="20" t="str">
        <f t="shared" si="129"/>
        <v/>
      </c>
      <c r="QA21" s="20" t="str">
        <f t="shared" si="130"/>
        <v/>
      </c>
      <c r="QB21" s="20" t="str">
        <f t="shared" si="131"/>
        <v/>
      </c>
      <c r="QC21" s="20" t="str">
        <f t="shared" si="132"/>
        <v/>
      </c>
      <c r="QD21" s="20" t="str">
        <f t="shared" si="133"/>
        <v/>
      </c>
      <c r="QE21" s="20" t="str">
        <f t="shared" si="134"/>
        <v/>
      </c>
      <c r="QF21" s="38">
        <f t="shared" si="135"/>
        <v>9.1</v>
      </c>
      <c r="QG21" s="38">
        <f t="shared" si="136"/>
        <v>3</v>
      </c>
      <c r="QH21" s="38">
        <f t="shared" si="137"/>
        <v>0.4</v>
      </c>
      <c r="QI21" s="38">
        <f t="shared" si="138"/>
        <v>0</v>
      </c>
      <c r="QJ21" s="38">
        <f t="shared" si="139"/>
        <v>9.5</v>
      </c>
      <c r="QK21" s="38">
        <f t="shared" si="140"/>
        <v>3.2</v>
      </c>
      <c r="QL21" s="38">
        <f t="shared" si="141"/>
        <v>0.3</v>
      </c>
      <c r="QM21" s="38">
        <f t="shared" si="142"/>
        <v>0</v>
      </c>
      <c r="QN21" s="38">
        <f t="shared" si="143"/>
        <v>9.0500000000000007</v>
      </c>
      <c r="QO21" s="38">
        <f t="shared" si="144"/>
        <v>2.0499999999999998</v>
      </c>
      <c r="QP21" s="38">
        <f t="shared" si="145"/>
        <v>1.45</v>
      </c>
      <c r="QQ21" s="38">
        <f t="shared" si="146"/>
        <v>0</v>
      </c>
      <c r="QR21" s="38">
        <f t="shared" si="147"/>
        <v>0</v>
      </c>
      <c r="QS21" s="38">
        <f t="shared" si="148"/>
        <v>0</v>
      </c>
      <c r="QT21" s="38">
        <f t="shared" si="149"/>
        <v>0</v>
      </c>
      <c r="QU21" s="38">
        <f t="shared" si="150"/>
        <v>0</v>
      </c>
      <c r="QV21" s="38">
        <f t="shared" si="151"/>
        <v>0</v>
      </c>
      <c r="QW21" s="38">
        <f t="shared" si="152"/>
        <v>0</v>
      </c>
      <c r="QX21" s="38">
        <f t="shared" si="153"/>
        <v>0</v>
      </c>
      <c r="QY21" s="38">
        <f t="shared" si="154"/>
        <v>0</v>
      </c>
      <c r="QZ21" s="45" t="s">
        <v>46</v>
      </c>
      <c r="RA21" s="79">
        <f t="shared" si="155"/>
        <v>6.2</v>
      </c>
      <c r="RB21" s="79">
        <f t="shared" si="156"/>
        <v>24.1</v>
      </c>
      <c r="RC21" s="79">
        <f t="shared" si="157"/>
        <v>9.6500000000000021</v>
      </c>
      <c r="RD21" s="79">
        <f t="shared" si="158"/>
        <v>8.25</v>
      </c>
      <c r="RE21" s="79">
        <f t="shared" si="159"/>
        <v>33.75</v>
      </c>
      <c r="RF21" s="79" t="str">
        <f t="shared" si="160"/>
        <v/>
      </c>
      <c r="RG21" s="79" t="str">
        <f t="shared" si="161"/>
        <v/>
      </c>
      <c r="RH21" s="79">
        <f t="shared" si="162"/>
        <v>24.1</v>
      </c>
    </row>
    <row r="22" spans="1:476" x14ac:dyDescent="0.2">
      <c r="A22" s="5" t="str">
        <f t="shared" si="163"/>
        <v/>
      </c>
      <c r="B22" s="78" t="s">
        <v>148</v>
      </c>
      <c r="C22" s="5" t="s">
        <v>5</v>
      </c>
      <c r="D22" s="5">
        <v>2005</v>
      </c>
      <c r="E22" s="15">
        <f t="shared" si="0"/>
        <v>112.9000065100048</v>
      </c>
      <c r="F22" s="3" t="str">
        <f t="shared" si="1"/>
        <v/>
      </c>
      <c r="G22" s="3" t="str">
        <f t="shared" si="2"/>
        <v/>
      </c>
      <c r="H22" s="67" t="str">
        <f t="shared" si="3"/>
        <v/>
      </c>
      <c r="I22" s="14">
        <f>IF(COUNT(AR22,BU22,CX22)&gt;0,LARGE((AR22,BU22,CX22),1),0)</f>
        <v>48</v>
      </c>
      <c r="J22" s="14" t="str">
        <f t="shared" si="4"/>
        <v>2022 Elite Canada</v>
      </c>
      <c r="K22" s="14">
        <f>IF(COUNT(AR22,BU22,CX22)&gt;1,LARGE((AR22,BU22,CX22),2),0)</f>
        <v>0</v>
      </c>
      <c r="L22" s="14" t="str">
        <f t="shared" si="5"/>
        <v/>
      </c>
      <c r="M22" s="14">
        <f>IF(COUNT(AS22,BV22,CY22)&gt;0,LARGE((AS22,BV22,CY22),1),0)</f>
        <v>17.100000000000001</v>
      </c>
      <c r="N22" s="14" t="str">
        <f t="shared" si="6"/>
        <v>2022 Elite Canada</v>
      </c>
      <c r="O22" s="14">
        <f>IF(COUNT(AS22,BV22,CY22)&gt;1,LARGE((AS22,BV22,CY22),2),0)</f>
        <v>0</v>
      </c>
      <c r="P22" s="14" t="str">
        <f t="shared" si="7"/>
        <v/>
      </c>
      <c r="Q22" s="14">
        <f t="shared" si="8"/>
        <v>47.8</v>
      </c>
      <c r="R22" s="14" t="str">
        <f t="shared" si="9"/>
        <v>2022 Elite Canada</v>
      </c>
      <c r="S22" s="14" t="str">
        <f t="shared" si="10"/>
        <v/>
      </c>
      <c r="T22" s="20" t="str">
        <f t="shared" si="11"/>
        <v/>
      </c>
      <c r="U22" s="14" t="str">
        <f t="shared" si="12"/>
        <v/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45"/>
      <c r="AQ22" s="79" t="str">
        <f t="shared" si="13"/>
        <v/>
      </c>
      <c r="AR22" s="79" t="str">
        <f t="shared" si="14"/>
        <v/>
      </c>
      <c r="AS22" s="79" t="str">
        <f t="shared" si="15"/>
        <v/>
      </c>
      <c r="AT22" s="79" t="str">
        <f t="shared" si="16"/>
        <v/>
      </c>
      <c r="AU22" s="79" t="str">
        <f t="shared" si="17"/>
        <v/>
      </c>
      <c r="AV22" s="79" t="str">
        <f t="shared" si="18"/>
        <v/>
      </c>
      <c r="AW22" s="79" t="str">
        <f t="shared" si="19"/>
        <v/>
      </c>
      <c r="AX22" s="79" t="str">
        <f t="shared" si="20"/>
        <v/>
      </c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46"/>
      <c r="BT22" s="20" t="str">
        <f t="shared" si="21"/>
        <v/>
      </c>
      <c r="BU22" s="20" t="str">
        <f t="shared" si="22"/>
        <v/>
      </c>
      <c r="BV22" s="20" t="str">
        <f t="shared" si="23"/>
        <v/>
      </c>
      <c r="BW22" s="20" t="str">
        <f t="shared" si="24"/>
        <v/>
      </c>
      <c r="BX22" s="20" t="str">
        <f t="shared" si="25"/>
        <v/>
      </c>
      <c r="BY22" s="20" t="str">
        <f t="shared" si="26"/>
        <v/>
      </c>
      <c r="BZ22" s="20" t="str">
        <f t="shared" si="27"/>
        <v/>
      </c>
      <c r="CA22" s="20" t="str">
        <f t="shared" si="28"/>
        <v/>
      </c>
      <c r="CB22" s="27">
        <v>18.399999999999999</v>
      </c>
      <c r="CC22" s="27">
        <v>6.8</v>
      </c>
      <c r="CD22" s="27">
        <v>0.6</v>
      </c>
      <c r="CE22" s="27">
        <v>0</v>
      </c>
      <c r="CF22" s="27">
        <v>18</v>
      </c>
      <c r="CG22" s="27">
        <v>5.6</v>
      </c>
      <c r="CH22" s="27">
        <v>0.2</v>
      </c>
      <c r="CI22" s="27">
        <v>0</v>
      </c>
      <c r="CJ22" s="27">
        <v>17.100000000000001</v>
      </c>
      <c r="CK22" s="27">
        <v>0</v>
      </c>
      <c r="CL22" s="27">
        <v>0</v>
      </c>
      <c r="CM22" s="27">
        <v>0</v>
      </c>
      <c r="CN22" s="27">
        <v>18.399999999999999</v>
      </c>
      <c r="CO22" s="27">
        <v>7.2</v>
      </c>
      <c r="CP22" s="27">
        <v>0</v>
      </c>
      <c r="CQ22" s="27">
        <v>0</v>
      </c>
      <c r="CR22" s="27">
        <v>16.399999999999999</v>
      </c>
      <c r="CS22" s="27">
        <v>6.8</v>
      </c>
      <c r="CT22" s="27">
        <v>1</v>
      </c>
      <c r="CU22" s="27">
        <v>0</v>
      </c>
      <c r="CV22" s="45"/>
      <c r="CW22" s="79">
        <f t="shared" si="29"/>
        <v>12.399999999999999</v>
      </c>
      <c r="CX22" s="79">
        <f t="shared" si="30"/>
        <v>48</v>
      </c>
      <c r="CY22" s="79">
        <f t="shared" si="31"/>
        <v>17.100000000000001</v>
      </c>
      <c r="CZ22" s="79">
        <f t="shared" si="32"/>
        <v>12.399999999999999</v>
      </c>
      <c r="DA22" s="79">
        <f t="shared" si="33"/>
        <v>65.099999999999994</v>
      </c>
      <c r="DB22" s="79">
        <f t="shared" si="34"/>
        <v>14</v>
      </c>
      <c r="DC22" s="79">
        <f t="shared" si="35"/>
        <v>47.8</v>
      </c>
      <c r="DD22" s="79">
        <f t="shared" si="36"/>
        <v>95.8</v>
      </c>
      <c r="DE22" s="80" t="str">
        <f t="shared" si="37"/>
        <v/>
      </c>
      <c r="DF22" s="80"/>
      <c r="DG22" s="80" t="str">
        <f t="shared" si="38"/>
        <v/>
      </c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79" t="str">
        <f t="shared" si="39"/>
        <v/>
      </c>
      <c r="EC22" s="79" t="str">
        <f t="shared" si="40"/>
        <v/>
      </c>
      <c r="ED22" s="79" t="str">
        <f t="shared" si="41"/>
        <v/>
      </c>
      <c r="EE22" s="79" t="str">
        <f t="shared" si="42"/>
        <v/>
      </c>
      <c r="EF22" s="79" t="str">
        <f t="shared" si="43"/>
        <v/>
      </c>
      <c r="EG22" s="79" t="str">
        <f t="shared" si="44"/>
        <v/>
      </c>
      <c r="EH22" s="79" t="str">
        <f t="shared" si="45"/>
        <v/>
      </c>
      <c r="EI22" s="79" t="str">
        <f t="shared" si="46"/>
        <v/>
      </c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0" t="str">
        <f t="shared" si="47"/>
        <v/>
      </c>
      <c r="FE22" s="20" t="str">
        <f t="shared" si="48"/>
        <v/>
      </c>
      <c r="FF22" s="20" t="str">
        <f t="shared" si="49"/>
        <v/>
      </c>
      <c r="FG22" s="20" t="str">
        <f t="shared" si="50"/>
        <v/>
      </c>
      <c r="FH22" s="20" t="str">
        <f t="shared" si="51"/>
        <v/>
      </c>
      <c r="FI22" s="20" t="str">
        <f t="shared" si="52"/>
        <v/>
      </c>
      <c r="FJ22" s="20" t="str">
        <f t="shared" si="53"/>
        <v/>
      </c>
      <c r="FK22" s="20" t="str">
        <f t="shared" si="54"/>
        <v/>
      </c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79" t="str">
        <f t="shared" si="55"/>
        <v/>
      </c>
      <c r="GG22" s="79" t="str">
        <f t="shared" si="56"/>
        <v/>
      </c>
      <c r="GH22" s="79" t="str">
        <f t="shared" si="57"/>
        <v/>
      </c>
      <c r="GI22" s="79" t="str">
        <f t="shared" si="58"/>
        <v/>
      </c>
      <c r="GJ22" s="79" t="str">
        <f t="shared" si="59"/>
        <v/>
      </c>
      <c r="GK22" s="79" t="str">
        <f t="shared" si="60"/>
        <v/>
      </c>
      <c r="GL22" s="79" t="str">
        <f t="shared" si="61"/>
        <v/>
      </c>
      <c r="GM22" s="79" t="str">
        <f t="shared" si="62"/>
        <v/>
      </c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0" t="str">
        <f t="shared" si="63"/>
        <v/>
      </c>
      <c r="HI22" s="20" t="str">
        <f t="shared" si="64"/>
        <v/>
      </c>
      <c r="HJ22" s="20" t="str">
        <f t="shared" si="65"/>
        <v/>
      </c>
      <c r="HK22" s="20" t="str">
        <f t="shared" si="66"/>
        <v/>
      </c>
      <c r="HL22" s="20" t="str">
        <f t="shared" si="67"/>
        <v/>
      </c>
      <c r="HM22" s="20" t="str">
        <f t="shared" si="68"/>
        <v/>
      </c>
      <c r="HN22" s="20" t="str">
        <f t="shared" si="69"/>
        <v/>
      </c>
      <c r="HO22" s="20" t="str">
        <f t="shared" si="70"/>
        <v/>
      </c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79" t="str">
        <f t="shared" si="71"/>
        <v/>
      </c>
      <c r="IK22" s="79" t="str">
        <f t="shared" si="72"/>
        <v/>
      </c>
      <c r="IL22" s="79" t="str">
        <f t="shared" si="73"/>
        <v/>
      </c>
      <c r="IM22" s="79" t="str">
        <f t="shared" si="74"/>
        <v/>
      </c>
      <c r="IN22" s="79" t="str">
        <f t="shared" si="75"/>
        <v/>
      </c>
      <c r="IO22" s="79" t="str">
        <f t="shared" si="76"/>
        <v/>
      </c>
      <c r="IP22" s="79" t="str">
        <f t="shared" si="77"/>
        <v/>
      </c>
      <c r="IQ22" s="79" t="str">
        <f t="shared" si="78"/>
        <v/>
      </c>
      <c r="IR22" s="26"/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0" t="str">
        <f t="shared" si="79"/>
        <v/>
      </c>
      <c r="JM22" s="20" t="str">
        <f t="shared" si="80"/>
        <v/>
      </c>
      <c r="JN22" s="20" t="str">
        <f t="shared" si="81"/>
        <v/>
      </c>
      <c r="JO22" s="20" t="str">
        <f t="shared" si="82"/>
        <v/>
      </c>
      <c r="JP22" s="20" t="str">
        <f t="shared" si="83"/>
        <v/>
      </c>
      <c r="JQ22" s="20" t="str">
        <f t="shared" si="84"/>
        <v/>
      </c>
      <c r="JR22" s="20" t="str">
        <f t="shared" si="85"/>
        <v/>
      </c>
      <c r="JS22" s="20" t="str">
        <f t="shared" si="86"/>
        <v/>
      </c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79" t="str">
        <f t="shared" si="87"/>
        <v/>
      </c>
      <c r="KO22" s="79" t="str">
        <f t="shared" si="88"/>
        <v/>
      </c>
      <c r="KP22" s="79" t="str">
        <f t="shared" si="89"/>
        <v/>
      </c>
      <c r="KQ22" s="79" t="str">
        <f t="shared" si="90"/>
        <v/>
      </c>
      <c r="KR22" s="79" t="str">
        <f t="shared" si="91"/>
        <v/>
      </c>
      <c r="KS22" s="79" t="str">
        <f t="shared" si="92"/>
        <v/>
      </c>
      <c r="KT22" s="79" t="str">
        <f t="shared" si="93"/>
        <v/>
      </c>
      <c r="KU22" s="79" t="str">
        <f t="shared" si="94"/>
        <v/>
      </c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0" t="str">
        <f t="shared" si="95"/>
        <v/>
      </c>
      <c r="LQ22" s="20" t="str">
        <f t="shared" si="96"/>
        <v/>
      </c>
      <c r="LR22" s="20" t="str">
        <f t="shared" si="97"/>
        <v/>
      </c>
      <c r="LS22" s="20" t="str">
        <f t="shared" si="98"/>
        <v/>
      </c>
      <c r="LT22" s="20" t="str">
        <f t="shared" si="99"/>
        <v/>
      </c>
      <c r="LU22" s="20" t="str">
        <f t="shared" si="100"/>
        <v/>
      </c>
      <c r="LV22" s="20" t="str">
        <f t="shared" si="101"/>
        <v/>
      </c>
      <c r="LW22" s="20" t="str">
        <f t="shared" si="102"/>
        <v/>
      </c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79" t="str">
        <f t="shared" si="103"/>
        <v/>
      </c>
      <c r="MS22" s="79" t="str">
        <f t="shared" si="104"/>
        <v/>
      </c>
      <c r="MT22" s="79" t="str">
        <f t="shared" si="105"/>
        <v/>
      </c>
      <c r="MU22" s="79" t="str">
        <f t="shared" si="106"/>
        <v/>
      </c>
      <c r="MV22" s="79" t="str">
        <f t="shared" si="107"/>
        <v/>
      </c>
      <c r="MW22" s="79" t="str">
        <f t="shared" si="108"/>
        <v/>
      </c>
      <c r="MX22" s="79" t="str">
        <f t="shared" si="109"/>
        <v/>
      </c>
      <c r="MY22" s="79" t="str">
        <f t="shared" si="110"/>
        <v/>
      </c>
      <c r="MZ22" s="26"/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0" t="str">
        <f t="shared" si="111"/>
        <v/>
      </c>
      <c r="NU22" s="20" t="str">
        <f t="shared" si="112"/>
        <v/>
      </c>
      <c r="NV22" s="20" t="str">
        <f t="shared" si="113"/>
        <v/>
      </c>
      <c r="NW22" s="20" t="str">
        <f t="shared" si="114"/>
        <v/>
      </c>
      <c r="NX22" s="20" t="str">
        <f t="shared" si="115"/>
        <v/>
      </c>
      <c r="NY22" s="20" t="str">
        <f t="shared" si="116"/>
        <v/>
      </c>
      <c r="NZ22" s="20" t="str">
        <f t="shared" si="117"/>
        <v/>
      </c>
      <c r="OA22" s="20" t="str">
        <f t="shared" si="118"/>
        <v/>
      </c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79" t="str">
        <f t="shared" si="119"/>
        <v/>
      </c>
      <c r="OW22" s="79" t="str">
        <f t="shared" si="120"/>
        <v/>
      </c>
      <c r="OX22" s="79" t="str">
        <f t="shared" si="121"/>
        <v/>
      </c>
      <c r="OY22" s="79" t="str">
        <f t="shared" si="122"/>
        <v/>
      </c>
      <c r="OZ22" s="79" t="str">
        <f t="shared" si="123"/>
        <v/>
      </c>
      <c r="PA22" s="79" t="str">
        <f t="shared" si="124"/>
        <v/>
      </c>
      <c r="PB22" s="79" t="str">
        <f t="shared" si="125"/>
        <v/>
      </c>
      <c r="PC22" s="79" t="str">
        <f t="shared" si="126"/>
        <v/>
      </c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0" t="str">
        <f t="shared" si="127"/>
        <v/>
      </c>
      <c r="PY22" s="20" t="str">
        <f t="shared" si="128"/>
        <v/>
      </c>
      <c r="PZ22" s="20" t="str">
        <f t="shared" si="129"/>
        <v/>
      </c>
      <c r="QA22" s="20" t="str">
        <f t="shared" si="130"/>
        <v/>
      </c>
      <c r="QB22" s="20" t="str">
        <f t="shared" si="131"/>
        <v/>
      </c>
      <c r="QC22" s="20" t="str">
        <f t="shared" si="132"/>
        <v/>
      </c>
      <c r="QD22" s="20" t="str">
        <f t="shared" si="133"/>
        <v/>
      </c>
      <c r="QE22" s="20" t="str">
        <f t="shared" si="134"/>
        <v/>
      </c>
      <c r="QF22" s="38">
        <f t="shared" si="135"/>
        <v>9.1999999999999993</v>
      </c>
      <c r="QG22" s="38">
        <f t="shared" si="136"/>
        <v>3.4</v>
      </c>
      <c r="QH22" s="38">
        <f t="shared" si="137"/>
        <v>0.3</v>
      </c>
      <c r="QI22" s="38">
        <f t="shared" si="138"/>
        <v>0</v>
      </c>
      <c r="QJ22" s="38">
        <f t="shared" si="139"/>
        <v>9</v>
      </c>
      <c r="QK22" s="38">
        <f t="shared" si="140"/>
        <v>2.8</v>
      </c>
      <c r="QL22" s="38">
        <f t="shared" si="141"/>
        <v>0.1</v>
      </c>
      <c r="QM22" s="38">
        <f t="shared" si="142"/>
        <v>0</v>
      </c>
      <c r="QN22" s="38">
        <f t="shared" si="143"/>
        <v>8.5500000000000007</v>
      </c>
      <c r="QO22" s="38">
        <f t="shared" si="144"/>
        <v>0</v>
      </c>
      <c r="QP22" s="38">
        <f t="shared" si="145"/>
        <v>0</v>
      </c>
      <c r="QQ22" s="38">
        <f t="shared" si="146"/>
        <v>0</v>
      </c>
      <c r="QR22" s="38">
        <f t="shared" si="147"/>
        <v>9.1999999999999993</v>
      </c>
      <c r="QS22" s="38">
        <f t="shared" si="148"/>
        <v>3.6</v>
      </c>
      <c r="QT22" s="38">
        <f t="shared" si="149"/>
        <v>0</v>
      </c>
      <c r="QU22" s="38">
        <f t="shared" si="150"/>
        <v>0</v>
      </c>
      <c r="QV22" s="38">
        <f t="shared" si="151"/>
        <v>8.1999999999999993</v>
      </c>
      <c r="QW22" s="38">
        <f t="shared" si="152"/>
        <v>3.4</v>
      </c>
      <c r="QX22" s="38">
        <f t="shared" si="153"/>
        <v>0.5</v>
      </c>
      <c r="QY22" s="38">
        <f t="shared" si="154"/>
        <v>0</v>
      </c>
      <c r="QZ22" s="45" t="s">
        <v>46</v>
      </c>
      <c r="RA22" s="79">
        <f t="shared" si="155"/>
        <v>6.1999999999999993</v>
      </c>
      <c r="RB22" s="79">
        <f t="shared" si="156"/>
        <v>24</v>
      </c>
      <c r="RC22" s="79">
        <f t="shared" si="157"/>
        <v>8.5500000000000007</v>
      </c>
      <c r="RD22" s="79">
        <f t="shared" si="158"/>
        <v>6.1999999999999993</v>
      </c>
      <c r="RE22" s="79">
        <f t="shared" si="159"/>
        <v>32.549999999999997</v>
      </c>
      <c r="RF22" s="79">
        <f t="shared" si="160"/>
        <v>7</v>
      </c>
      <c r="RG22" s="79">
        <f t="shared" si="161"/>
        <v>23.9</v>
      </c>
      <c r="RH22" s="79">
        <f t="shared" si="162"/>
        <v>47.9</v>
      </c>
    </row>
    <row r="23" spans="1:476" x14ac:dyDescent="0.2">
      <c r="A23" s="5" t="str">
        <f t="shared" si="163"/>
        <v/>
      </c>
      <c r="B23" s="78" t="s">
        <v>135</v>
      </c>
      <c r="C23" s="5" t="s">
        <v>4</v>
      </c>
      <c r="D23" s="5">
        <v>2005</v>
      </c>
      <c r="E23" s="15">
        <f t="shared" si="0"/>
        <v>62.500006250004077</v>
      </c>
      <c r="F23" s="3" t="str">
        <f t="shared" si="1"/>
        <v/>
      </c>
      <c r="G23" s="3" t="str">
        <f t="shared" si="2"/>
        <v/>
      </c>
      <c r="H23" s="67" t="str">
        <f t="shared" si="3"/>
        <v/>
      </c>
      <c r="I23" s="14">
        <f>IF(COUNT(AR23,BU23,CX23)&gt;0,LARGE((AR23,BU23,CX23),1),0)</f>
        <v>40.799999999999997</v>
      </c>
      <c r="J23" s="14" t="str">
        <f t="shared" si="4"/>
        <v>2022 Elite Canada</v>
      </c>
      <c r="K23" s="14">
        <f>IF(COUNT(AR23,BU23,CX23)&gt;1,LARGE((AR23,BU23,CX23),2),0)</f>
        <v>0</v>
      </c>
      <c r="L23" s="14" t="str">
        <f t="shared" si="5"/>
        <v/>
      </c>
      <c r="M23" s="14">
        <f>IF(COUNT(AS23,BV23,CY23)&gt;0,LARGE((AS23,BV23,CY23),1),0)</f>
        <v>21.7</v>
      </c>
      <c r="N23" s="14" t="str">
        <f t="shared" si="6"/>
        <v>2022 Elite Canada</v>
      </c>
      <c r="O23" s="14">
        <f>IF(COUNT(AS23,BV23,CY23)&gt;1,LARGE((AS23,BV23,CY23),2),0)</f>
        <v>0</v>
      </c>
      <c r="P23" s="14" t="str">
        <f t="shared" si="7"/>
        <v/>
      </c>
      <c r="Q23" s="14">
        <f t="shared" si="8"/>
        <v>0</v>
      </c>
      <c r="R23" s="14" t="str">
        <f t="shared" si="9"/>
        <v/>
      </c>
      <c r="S23" s="14" t="str">
        <f t="shared" si="10"/>
        <v/>
      </c>
      <c r="T23" s="20" t="str">
        <f t="shared" si="11"/>
        <v/>
      </c>
      <c r="U23" s="14" t="str">
        <f t="shared" si="12"/>
        <v/>
      </c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45"/>
      <c r="AQ23" s="79" t="str">
        <f t="shared" si="13"/>
        <v/>
      </c>
      <c r="AR23" s="79" t="str">
        <f t="shared" si="14"/>
        <v/>
      </c>
      <c r="AS23" s="79" t="str">
        <f t="shared" si="15"/>
        <v/>
      </c>
      <c r="AT23" s="79" t="str">
        <f t="shared" si="16"/>
        <v/>
      </c>
      <c r="AU23" s="79" t="str">
        <f t="shared" si="17"/>
        <v/>
      </c>
      <c r="AV23" s="79" t="str">
        <f t="shared" si="18"/>
        <v/>
      </c>
      <c r="AW23" s="79" t="str">
        <f t="shared" si="19"/>
        <v/>
      </c>
      <c r="AX23" s="79" t="str">
        <f t="shared" si="20"/>
        <v/>
      </c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46"/>
      <c r="BT23" s="20" t="str">
        <f t="shared" si="21"/>
        <v/>
      </c>
      <c r="BU23" s="20" t="str">
        <f t="shared" si="22"/>
        <v/>
      </c>
      <c r="BV23" s="20" t="str">
        <f t="shared" si="23"/>
        <v/>
      </c>
      <c r="BW23" s="20" t="str">
        <f t="shared" si="24"/>
        <v/>
      </c>
      <c r="BX23" s="20" t="str">
        <f t="shared" si="25"/>
        <v/>
      </c>
      <c r="BY23" s="20" t="str">
        <f t="shared" si="26"/>
        <v/>
      </c>
      <c r="BZ23" s="20" t="str">
        <f t="shared" si="27"/>
        <v/>
      </c>
      <c r="CA23" s="20" t="str">
        <f t="shared" si="28"/>
        <v/>
      </c>
      <c r="CB23" s="27">
        <v>17.899999999999999</v>
      </c>
      <c r="CC23" s="27">
        <v>4.4000000000000004</v>
      </c>
      <c r="CD23" s="27">
        <v>0.8</v>
      </c>
      <c r="CE23" s="27">
        <v>0</v>
      </c>
      <c r="CF23" s="27">
        <v>18</v>
      </c>
      <c r="CG23" s="27">
        <v>2.4</v>
      </c>
      <c r="CH23" s="27">
        <v>1.1000000000000001</v>
      </c>
      <c r="CI23" s="27">
        <v>0</v>
      </c>
      <c r="CJ23" s="27">
        <v>18.2</v>
      </c>
      <c r="CK23" s="27">
        <v>3.5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45"/>
      <c r="CW23" s="79">
        <f t="shared" si="29"/>
        <v>6.8000000000000007</v>
      </c>
      <c r="CX23" s="79">
        <f t="shared" si="30"/>
        <v>40.799999999999997</v>
      </c>
      <c r="CY23" s="79">
        <f t="shared" si="31"/>
        <v>21.7</v>
      </c>
      <c r="CZ23" s="79">
        <f t="shared" si="32"/>
        <v>10.3</v>
      </c>
      <c r="DA23" s="79">
        <f t="shared" si="33"/>
        <v>62.5</v>
      </c>
      <c r="DB23" s="79" t="str">
        <f t="shared" si="34"/>
        <v/>
      </c>
      <c r="DC23" s="79" t="str">
        <f t="shared" si="35"/>
        <v/>
      </c>
      <c r="DD23" s="79">
        <f t="shared" si="36"/>
        <v>40.799999999999997</v>
      </c>
      <c r="DE23" s="80" t="str">
        <f t="shared" si="37"/>
        <v/>
      </c>
      <c r="DF23" s="80"/>
      <c r="DG23" s="80" t="str">
        <f t="shared" si="38"/>
        <v/>
      </c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79" t="str">
        <f t="shared" si="39"/>
        <v/>
      </c>
      <c r="EC23" s="79" t="str">
        <f t="shared" si="40"/>
        <v/>
      </c>
      <c r="ED23" s="79" t="str">
        <f t="shared" si="41"/>
        <v/>
      </c>
      <c r="EE23" s="79" t="str">
        <f t="shared" si="42"/>
        <v/>
      </c>
      <c r="EF23" s="79" t="str">
        <f t="shared" si="43"/>
        <v/>
      </c>
      <c r="EG23" s="79" t="str">
        <f t="shared" si="44"/>
        <v/>
      </c>
      <c r="EH23" s="79" t="str">
        <f t="shared" si="45"/>
        <v/>
      </c>
      <c r="EI23" s="79" t="str">
        <f t="shared" si="46"/>
        <v/>
      </c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0" t="str">
        <f t="shared" si="47"/>
        <v/>
      </c>
      <c r="FE23" s="20" t="str">
        <f t="shared" si="48"/>
        <v/>
      </c>
      <c r="FF23" s="20" t="str">
        <f t="shared" si="49"/>
        <v/>
      </c>
      <c r="FG23" s="20" t="str">
        <f t="shared" si="50"/>
        <v/>
      </c>
      <c r="FH23" s="20" t="str">
        <f t="shared" si="51"/>
        <v/>
      </c>
      <c r="FI23" s="20" t="str">
        <f t="shared" si="52"/>
        <v/>
      </c>
      <c r="FJ23" s="20" t="str">
        <f t="shared" si="53"/>
        <v/>
      </c>
      <c r="FK23" s="20" t="str">
        <f t="shared" si="54"/>
        <v/>
      </c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79" t="str">
        <f t="shared" si="55"/>
        <v/>
      </c>
      <c r="GG23" s="79" t="str">
        <f t="shared" si="56"/>
        <v/>
      </c>
      <c r="GH23" s="79" t="str">
        <f t="shared" si="57"/>
        <v/>
      </c>
      <c r="GI23" s="79" t="str">
        <f t="shared" si="58"/>
        <v/>
      </c>
      <c r="GJ23" s="79" t="str">
        <f t="shared" si="59"/>
        <v/>
      </c>
      <c r="GK23" s="79" t="str">
        <f t="shared" si="60"/>
        <v/>
      </c>
      <c r="GL23" s="79" t="str">
        <f t="shared" si="61"/>
        <v/>
      </c>
      <c r="GM23" s="79" t="str">
        <f t="shared" si="62"/>
        <v/>
      </c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0" t="str">
        <f t="shared" si="63"/>
        <v/>
      </c>
      <c r="HI23" s="20" t="str">
        <f t="shared" si="64"/>
        <v/>
      </c>
      <c r="HJ23" s="20" t="str">
        <f t="shared" si="65"/>
        <v/>
      </c>
      <c r="HK23" s="20" t="str">
        <f t="shared" si="66"/>
        <v/>
      </c>
      <c r="HL23" s="20" t="str">
        <f t="shared" si="67"/>
        <v/>
      </c>
      <c r="HM23" s="20" t="str">
        <f t="shared" si="68"/>
        <v/>
      </c>
      <c r="HN23" s="20" t="str">
        <f t="shared" si="69"/>
        <v/>
      </c>
      <c r="HO23" s="20" t="str">
        <f t="shared" si="70"/>
        <v/>
      </c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79" t="str">
        <f t="shared" si="71"/>
        <v/>
      </c>
      <c r="IK23" s="79" t="str">
        <f t="shared" si="72"/>
        <v/>
      </c>
      <c r="IL23" s="79" t="str">
        <f t="shared" si="73"/>
        <v/>
      </c>
      <c r="IM23" s="79" t="str">
        <f t="shared" si="74"/>
        <v/>
      </c>
      <c r="IN23" s="79" t="str">
        <f t="shared" si="75"/>
        <v/>
      </c>
      <c r="IO23" s="79" t="str">
        <f t="shared" si="76"/>
        <v/>
      </c>
      <c r="IP23" s="79" t="str">
        <f t="shared" si="77"/>
        <v/>
      </c>
      <c r="IQ23" s="79" t="str">
        <f t="shared" si="78"/>
        <v/>
      </c>
      <c r="IR23" s="26"/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0" t="str">
        <f t="shared" si="79"/>
        <v/>
      </c>
      <c r="JM23" s="20" t="str">
        <f t="shared" si="80"/>
        <v/>
      </c>
      <c r="JN23" s="20" t="str">
        <f t="shared" si="81"/>
        <v/>
      </c>
      <c r="JO23" s="20" t="str">
        <f t="shared" si="82"/>
        <v/>
      </c>
      <c r="JP23" s="20" t="str">
        <f t="shared" si="83"/>
        <v/>
      </c>
      <c r="JQ23" s="20" t="str">
        <f t="shared" si="84"/>
        <v/>
      </c>
      <c r="JR23" s="20" t="str">
        <f t="shared" si="85"/>
        <v/>
      </c>
      <c r="JS23" s="20" t="str">
        <f t="shared" si="86"/>
        <v/>
      </c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79" t="str">
        <f t="shared" si="87"/>
        <v/>
      </c>
      <c r="KO23" s="79" t="str">
        <f t="shared" si="88"/>
        <v/>
      </c>
      <c r="KP23" s="79" t="str">
        <f t="shared" si="89"/>
        <v/>
      </c>
      <c r="KQ23" s="79" t="str">
        <f t="shared" si="90"/>
        <v/>
      </c>
      <c r="KR23" s="79" t="str">
        <f t="shared" si="91"/>
        <v/>
      </c>
      <c r="KS23" s="79" t="str">
        <f t="shared" si="92"/>
        <v/>
      </c>
      <c r="KT23" s="79" t="str">
        <f t="shared" si="93"/>
        <v/>
      </c>
      <c r="KU23" s="79" t="str">
        <f t="shared" si="94"/>
        <v/>
      </c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0" t="str">
        <f t="shared" si="95"/>
        <v/>
      </c>
      <c r="LQ23" s="20" t="str">
        <f t="shared" si="96"/>
        <v/>
      </c>
      <c r="LR23" s="20" t="str">
        <f t="shared" si="97"/>
        <v/>
      </c>
      <c r="LS23" s="20" t="str">
        <f t="shared" si="98"/>
        <v/>
      </c>
      <c r="LT23" s="20" t="str">
        <f t="shared" si="99"/>
        <v/>
      </c>
      <c r="LU23" s="20" t="str">
        <f t="shared" si="100"/>
        <v/>
      </c>
      <c r="LV23" s="20" t="str">
        <f t="shared" si="101"/>
        <v/>
      </c>
      <c r="LW23" s="20" t="str">
        <f t="shared" si="102"/>
        <v/>
      </c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79" t="str">
        <f t="shared" si="103"/>
        <v/>
      </c>
      <c r="MS23" s="79" t="str">
        <f t="shared" si="104"/>
        <v/>
      </c>
      <c r="MT23" s="79" t="str">
        <f t="shared" si="105"/>
        <v/>
      </c>
      <c r="MU23" s="79" t="str">
        <f t="shared" si="106"/>
        <v/>
      </c>
      <c r="MV23" s="79" t="str">
        <f t="shared" si="107"/>
        <v/>
      </c>
      <c r="MW23" s="79" t="str">
        <f t="shared" si="108"/>
        <v/>
      </c>
      <c r="MX23" s="79" t="str">
        <f t="shared" si="109"/>
        <v/>
      </c>
      <c r="MY23" s="79" t="str">
        <f t="shared" si="110"/>
        <v/>
      </c>
      <c r="MZ23" s="26"/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0" t="str">
        <f t="shared" si="111"/>
        <v/>
      </c>
      <c r="NU23" s="20" t="str">
        <f t="shared" si="112"/>
        <v/>
      </c>
      <c r="NV23" s="20" t="str">
        <f t="shared" si="113"/>
        <v/>
      </c>
      <c r="NW23" s="20" t="str">
        <f t="shared" si="114"/>
        <v/>
      </c>
      <c r="NX23" s="20" t="str">
        <f t="shared" si="115"/>
        <v/>
      </c>
      <c r="NY23" s="20" t="str">
        <f t="shared" si="116"/>
        <v/>
      </c>
      <c r="NZ23" s="20" t="str">
        <f t="shared" si="117"/>
        <v/>
      </c>
      <c r="OA23" s="20" t="str">
        <f t="shared" si="118"/>
        <v/>
      </c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79" t="str">
        <f t="shared" si="119"/>
        <v/>
      </c>
      <c r="OW23" s="79" t="str">
        <f t="shared" si="120"/>
        <v/>
      </c>
      <c r="OX23" s="79" t="str">
        <f t="shared" si="121"/>
        <v/>
      </c>
      <c r="OY23" s="79" t="str">
        <f t="shared" si="122"/>
        <v/>
      </c>
      <c r="OZ23" s="79" t="str">
        <f t="shared" si="123"/>
        <v/>
      </c>
      <c r="PA23" s="79" t="str">
        <f t="shared" si="124"/>
        <v/>
      </c>
      <c r="PB23" s="79" t="str">
        <f t="shared" si="125"/>
        <v/>
      </c>
      <c r="PC23" s="79" t="str">
        <f t="shared" si="126"/>
        <v/>
      </c>
      <c r="PD23" s="26"/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0" t="str">
        <f t="shared" si="127"/>
        <v/>
      </c>
      <c r="PY23" s="20" t="str">
        <f t="shared" si="128"/>
        <v/>
      </c>
      <c r="PZ23" s="20" t="str">
        <f t="shared" si="129"/>
        <v/>
      </c>
      <c r="QA23" s="20" t="str">
        <f t="shared" si="130"/>
        <v/>
      </c>
      <c r="QB23" s="20" t="str">
        <f t="shared" si="131"/>
        <v/>
      </c>
      <c r="QC23" s="20" t="str">
        <f t="shared" si="132"/>
        <v/>
      </c>
      <c r="QD23" s="20" t="str">
        <f t="shared" si="133"/>
        <v/>
      </c>
      <c r="QE23" s="20" t="str">
        <f t="shared" si="134"/>
        <v/>
      </c>
      <c r="QF23" s="38">
        <f t="shared" si="135"/>
        <v>8.9499999999999993</v>
      </c>
      <c r="QG23" s="38">
        <f t="shared" si="136"/>
        <v>2.2000000000000002</v>
      </c>
      <c r="QH23" s="38">
        <f t="shared" si="137"/>
        <v>0.4</v>
      </c>
      <c r="QI23" s="38">
        <f t="shared" si="138"/>
        <v>0</v>
      </c>
      <c r="QJ23" s="38">
        <f t="shared" si="139"/>
        <v>9</v>
      </c>
      <c r="QK23" s="38">
        <f t="shared" si="140"/>
        <v>1.2</v>
      </c>
      <c r="QL23" s="38">
        <f t="shared" si="141"/>
        <v>0.55000000000000004</v>
      </c>
      <c r="QM23" s="38">
        <f t="shared" si="142"/>
        <v>0</v>
      </c>
      <c r="QN23" s="38">
        <f t="shared" si="143"/>
        <v>9.1</v>
      </c>
      <c r="QO23" s="38">
        <f t="shared" si="144"/>
        <v>1.75</v>
      </c>
      <c r="QP23" s="38">
        <f t="shared" si="145"/>
        <v>0</v>
      </c>
      <c r="QQ23" s="38">
        <f t="shared" si="146"/>
        <v>0</v>
      </c>
      <c r="QR23" s="38">
        <f t="shared" si="147"/>
        <v>0</v>
      </c>
      <c r="QS23" s="38">
        <f t="shared" si="148"/>
        <v>0</v>
      </c>
      <c r="QT23" s="38">
        <f t="shared" si="149"/>
        <v>0</v>
      </c>
      <c r="QU23" s="38">
        <f t="shared" si="150"/>
        <v>0</v>
      </c>
      <c r="QV23" s="38">
        <f t="shared" si="151"/>
        <v>0</v>
      </c>
      <c r="QW23" s="38">
        <f t="shared" si="152"/>
        <v>0</v>
      </c>
      <c r="QX23" s="38">
        <f t="shared" si="153"/>
        <v>0</v>
      </c>
      <c r="QY23" s="38">
        <f t="shared" si="154"/>
        <v>0</v>
      </c>
      <c r="QZ23" s="45" t="s">
        <v>46</v>
      </c>
      <c r="RA23" s="79">
        <f t="shared" si="155"/>
        <v>3.4000000000000004</v>
      </c>
      <c r="RB23" s="79">
        <f t="shared" si="156"/>
        <v>20.399999999999999</v>
      </c>
      <c r="RC23" s="79">
        <f t="shared" si="157"/>
        <v>10.85</v>
      </c>
      <c r="RD23" s="79">
        <f t="shared" si="158"/>
        <v>5.15</v>
      </c>
      <c r="RE23" s="79">
        <f t="shared" si="159"/>
        <v>31.25</v>
      </c>
      <c r="RF23" s="79" t="str">
        <f t="shared" si="160"/>
        <v/>
      </c>
      <c r="RG23" s="79" t="str">
        <f t="shared" si="161"/>
        <v/>
      </c>
      <c r="RH23" s="79">
        <f t="shared" si="162"/>
        <v>20.399999999999999</v>
      </c>
    </row>
    <row r="24" spans="1:476" x14ac:dyDescent="0.2">
      <c r="A24" s="5" t="str">
        <f t="shared" si="163"/>
        <v/>
      </c>
      <c r="B24" s="78" t="s">
        <v>110</v>
      </c>
      <c r="C24" s="5" t="s">
        <v>5</v>
      </c>
      <c r="D24" s="5">
        <v>2004</v>
      </c>
      <c r="E24" s="15">
        <f t="shared" si="0"/>
        <v>61.300006130003858</v>
      </c>
      <c r="F24" s="3" t="str">
        <f t="shared" si="1"/>
        <v/>
      </c>
      <c r="G24" s="3" t="str">
        <f t="shared" si="2"/>
        <v/>
      </c>
      <c r="H24" s="67" t="str">
        <f t="shared" si="3"/>
        <v/>
      </c>
      <c r="I24" s="14">
        <f>IF(COUNT(AR24,BU24,CX24)&gt;0,LARGE((AR24,BU24,CX24),1),0)</f>
        <v>38.6</v>
      </c>
      <c r="J24" s="14" t="str">
        <f t="shared" si="4"/>
        <v>2022 Elite Canada</v>
      </c>
      <c r="K24" s="14">
        <f>IF(COUNT(AR24,BU24,CX24)&gt;1,LARGE((AR24,BU24,CX24),2),0)</f>
        <v>0</v>
      </c>
      <c r="L24" s="14" t="str">
        <f t="shared" si="5"/>
        <v/>
      </c>
      <c r="M24" s="14">
        <f>IF(COUNT(AS24,BV24,CY24)&gt;0,LARGE((AS24,BV24,CY24),1),0)</f>
        <v>22.7</v>
      </c>
      <c r="N24" s="14" t="str">
        <f t="shared" si="6"/>
        <v>2022 Elite Canada</v>
      </c>
      <c r="O24" s="14">
        <f>IF(COUNT(AS24,BV24,CY24)&gt;1,LARGE((AS24,BV24,CY24),2),0)</f>
        <v>0</v>
      </c>
      <c r="P24" s="14" t="str">
        <f t="shared" si="7"/>
        <v/>
      </c>
      <c r="Q24" s="14">
        <f t="shared" si="8"/>
        <v>0</v>
      </c>
      <c r="R24" s="14" t="str">
        <f t="shared" si="9"/>
        <v/>
      </c>
      <c r="S24" s="14" t="str">
        <f t="shared" si="10"/>
        <v/>
      </c>
      <c r="T24" s="20" t="str">
        <f t="shared" si="11"/>
        <v/>
      </c>
      <c r="U24" s="14" t="str">
        <f t="shared" si="12"/>
        <v/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45"/>
      <c r="AQ24" s="79" t="str">
        <f t="shared" si="13"/>
        <v/>
      </c>
      <c r="AR24" s="79" t="str">
        <f t="shared" si="14"/>
        <v/>
      </c>
      <c r="AS24" s="79" t="str">
        <f t="shared" si="15"/>
        <v/>
      </c>
      <c r="AT24" s="79" t="str">
        <f t="shared" si="16"/>
        <v/>
      </c>
      <c r="AU24" s="79" t="str">
        <f t="shared" si="17"/>
        <v/>
      </c>
      <c r="AV24" s="79" t="str">
        <f t="shared" si="18"/>
        <v/>
      </c>
      <c r="AW24" s="79" t="str">
        <f t="shared" si="19"/>
        <v/>
      </c>
      <c r="AX24" s="79" t="str">
        <f t="shared" si="20"/>
        <v/>
      </c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46"/>
      <c r="BT24" s="20" t="str">
        <f t="shared" si="21"/>
        <v/>
      </c>
      <c r="BU24" s="20" t="str">
        <f t="shared" si="22"/>
        <v/>
      </c>
      <c r="BV24" s="20" t="str">
        <f t="shared" si="23"/>
        <v/>
      </c>
      <c r="BW24" s="20" t="str">
        <f t="shared" si="24"/>
        <v/>
      </c>
      <c r="BX24" s="20" t="str">
        <f t="shared" si="25"/>
        <v/>
      </c>
      <c r="BY24" s="20" t="str">
        <f t="shared" si="26"/>
        <v/>
      </c>
      <c r="BZ24" s="20" t="str">
        <f t="shared" si="27"/>
        <v/>
      </c>
      <c r="CA24" s="20" t="str">
        <f t="shared" si="28"/>
        <v/>
      </c>
      <c r="CB24" s="27">
        <v>17.600000000000001</v>
      </c>
      <c r="CC24" s="27">
        <v>4.4000000000000004</v>
      </c>
      <c r="CD24" s="27">
        <v>0.6</v>
      </c>
      <c r="CE24" s="27">
        <v>0</v>
      </c>
      <c r="CF24" s="27">
        <v>17.2</v>
      </c>
      <c r="CG24" s="27">
        <v>0</v>
      </c>
      <c r="CH24" s="27">
        <v>0</v>
      </c>
      <c r="CI24" s="27">
        <v>0</v>
      </c>
      <c r="CJ24" s="27">
        <v>18.8</v>
      </c>
      <c r="CK24" s="27">
        <v>3.9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45"/>
      <c r="CW24" s="79">
        <f t="shared" si="29"/>
        <v>4.4000000000000004</v>
      </c>
      <c r="CX24" s="79">
        <f t="shared" si="30"/>
        <v>38.6</v>
      </c>
      <c r="CY24" s="79">
        <f t="shared" si="31"/>
        <v>22.7</v>
      </c>
      <c r="CZ24" s="79">
        <f t="shared" si="32"/>
        <v>8.3000000000000007</v>
      </c>
      <c r="DA24" s="79">
        <f t="shared" si="33"/>
        <v>61.3</v>
      </c>
      <c r="DB24" s="79" t="str">
        <f t="shared" si="34"/>
        <v/>
      </c>
      <c r="DC24" s="79" t="str">
        <f t="shared" si="35"/>
        <v/>
      </c>
      <c r="DD24" s="79">
        <f t="shared" si="36"/>
        <v>38.6</v>
      </c>
      <c r="DE24" s="80" t="str">
        <f t="shared" si="37"/>
        <v/>
      </c>
      <c r="DF24" s="80"/>
      <c r="DG24" s="80" t="str">
        <f t="shared" si="38"/>
        <v/>
      </c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79" t="str">
        <f t="shared" si="39"/>
        <v/>
      </c>
      <c r="EC24" s="79" t="str">
        <f t="shared" si="40"/>
        <v/>
      </c>
      <c r="ED24" s="79" t="str">
        <f t="shared" si="41"/>
        <v/>
      </c>
      <c r="EE24" s="79" t="str">
        <f t="shared" si="42"/>
        <v/>
      </c>
      <c r="EF24" s="79" t="str">
        <f t="shared" si="43"/>
        <v/>
      </c>
      <c r="EG24" s="79" t="str">
        <f t="shared" si="44"/>
        <v/>
      </c>
      <c r="EH24" s="79" t="str">
        <f t="shared" si="45"/>
        <v/>
      </c>
      <c r="EI24" s="79" t="str">
        <f t="shared" si="46"/>
        <v/>
      </c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0" t="str">
        <f t="shared" si="47"/>
        <v/>
      </c>
      <c r="FE24" s="20" t="str">
        <f t="shared" si="48"/>
        <v/>
      </c>
      <c r="FF24" s="20" t="str">
        <f t="shared" si="49"/>
        <v/>
      </c>
      <c r="FG24" s="20" t="str">
        <f t="shared" si="50"/>
        <v/>
      </c>
      <c r="FH24" s="20" t="str">
        <f t="shared" si="51"/>
        <v/>
      </c>
      <c r="FI24" s="20" t="str">
        <f t="shared" si="52"/>
        <v/>
      </c>
      <c r="FJ24" s="20" t="str">
        <f t="shared" si="53"/>
        <v/>
      </c>
      <c r="FK24" s="20" t="str">
        <f t="shared" si="54"/>
        <v/>
      </c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79" t="str">
        <f t="shared" si="55"/>
        <v/>
      </c>
      <c r="GG24" s="79" t="str">
        <f t="shared" si="56"/>
        <v/>
      </c>
      <c r="GH24" s="79" t="str">
        <f t="shared" si="57"/>
        <v/>
      </c>
      <c r="GI24" s="79" t="str">
        <f t="shared" si="58"/>
        <v/>
      </c>
      <c r="GJ24" s="79" t="str">
        <f t="shared" si="59"/>
        <v/>
      </c>
      <c r="GK24" s="79" t="str">
        <f t="shared" si="60"/>
        <v/>
      </c>
      <c r="GL24" s="79" t="str">
        <f t="shared" si="61"/>
        <v/>
      </c>
      <c r="GM24" s="79" t="str">
        <f t="shared" si="62"/>
        <v/>
      </c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0" t="str">
        <f t="shared" si="63"/>
        <v/>
      </c>
      <c r="HI24" s="20" t="str">
        <f t="shared" si="64"/>
        <v/>
      </c>
      <c r="HJ24" s="20" t="str">
        <f t="shared" si="65"/>
        <v/>
      </c>
      <c r="HK24" s="20" t="str">
        <f t="shared" si="66"/>
        <v/>
      </c>
      <c r="HL24" s="20" t="str">
        <f t="shared" si="67"/>
        <v/>
      </c>
      <c r="HM24" s="20" t="str">
        <f t="shared" si="68"/>
        <v/>
      </c>
      <c r="HN24" s="20" t="str">
        <f t="shared" si="69"/>
        <v/>
      </c>
      <c r="HO24" s="20" t="str">
        <f t="shared" si="70"/>
        <v/>
      </c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79" t="str">
        <f t="shared" si="71"/>
        <v/>
      </c>
      <c r="IK24" s="79" t="str">
        <f t="shared" si="72"/>
        <v/>
      </c>
      <c r="IL24" s="79" t="str">
        <f t="shared" si="73"/>
        <v/>
      </c>
      <c r="IM24" s="79" t="str">
        <f t="shared" si="74"/>
        <v/>
      </c>
      <c r="IN24" s="79" t="str">
        <f t="shared" si="75"/>
        <v/>
      </c>
      <c r="IO24" s="79" t="str">
        <f t="shared" si="76"/>
        <v/>
      </c>
      <c r="IP24" s="79" t="str">
        <f t="shared" si="77"/>
        <v/>
      </c>
      <c r="IQ24" s="79" t="str">
        <f t="shared" si="78"/>
        <v/>
      </c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0" t="str">
        <f t="shared" si="79"/>
        <v/>
      </c>
      <c r="JM24" s="20" t="str">
        <f t="shared" si="80"/>
        <v/>
      </c>
      <c r="JN24" s="20" t="str">
        <f t="shared" si="81"/>
        <v/>
      </c>
      <c r="JO24" s="20" t="str">
        <f t="shared" si="82"/>
        <v/>
      </c>
      <c r="JP24" s="20" t="str">
        <f t="shared" si="83"/>
        <v/>
      </c>
      <c r="JQ24" s="20" t="str">
        <f t="shared" si="84"/>
        <v/>
      </c>
      <c r="JR24" s="20" t="str">
        <f t="shared" si="85"/>
        <v/>
      </c>
      <c r="JS24" s="20" t="str">
        <f t="shared" si="86"/>
        <v/>
      </c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79" t="str">
        <f t="shared" si="87"/>
        <v/>
      </c>
      <c r="KO24" s="79" t="str">
        <f t="shared" si="88"/>
        <v/>
      </c>
      <c r="KP24" s="79" t="str">
        <f t="shared" si="89"/>
        <v/>
      </c>
      <c r="KQ24" s="79" t="str">
        <f t="shared" si="90"/>
        <v/>
      </c>
      <c r="KR24" s="79" t="str">
        <f t="shared" si="91"/>
        <v/>
      </c>
      <c r="KS24" s="79" t="str">
        <f t="shared" si="92"/>
        <v/>
      </c>
      <c r="KT24" s="79" t="str">
        <f t="shared" si="93"/>
        <v/>
      </c>
      <c r="KU24" s="79" t="str">
        <f t="shared" si="94"/>
        <v/>
      </c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0" t="str">
        <f t="shared" si="95"/>
        <v/>
      </c>
      <c r="LQ24" s="20" t="str">
        <f t="shared" si="96"/>
        <v/>
      </c>
      <c r="LR24" s="20" t="str">
        <f t="shared" si="97"/>
        <v/>
      </c>
      <c r="LS24" s="20" t="str">
        <f t="shared" si="98"/>
        <v/>
      </c>
      <c r="LT24" s="20" t="str">
        <f t="shared" si="99"/>
        <v/>
      </c>
      <c r="LU24" s="20" t="str">
        <f t="shared" si="100"/>
        <v/>
      </c>
      <c r="LV24" s="20" t="str">
        <f t="shared" si="101"/>
        <v/>
      </c>
      <c r="LW24" s="20" t="str">
        <f t="shared" si="102"/>
        <v/>
      </c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79" t="str">
        <f t="shared" si="103"/>
        <v/>
      </c>
      <c r="MS24" s="79" t="str">
        <f t="shared" si="104"/>
        <v/>
      </c>
      <c r="MT24" s="79" t="str">
        <f t="shared" si="105"/>
        <v/>
      </c>
      <c r="MU24" s="79" t="str">
        <f t="shared" si="106"/>
        <v/>
      </c>
      <c r="MV24" s="79" t="str">
        <f t="shared" si="107"/>
        <v/>
      </c>
      <c r="MW24" s="79" t="str">
        <f t="shared" si="108"/>
        <v/>
      </c>
      <c r="MX24" s="79" t="str">
        <f t="shared" si="109"/>
        <v/>
      </c>
      <c r="MY24" s="79" t="str">
        <f t="shared" si="110"/>
        <v/>
      </c>
      <c r="MZ24" s="26"/>
      <c r="NA24" s="26"/>
      <c r="NB24" s="26"/>
      <c r="NC24" s="26"/>
      <c r="ND24" s="26"/>
      <c r="NE24" s="26"/>
      <c r="NF24" s="26"/>
      <c r="NG24" s="26"/>
      <c r="NH24" s="26"/>
      <c r="NI24" s="26"/>
      <c r="NJ24" s="26"/>
      <c r="NK24" s="26"/>
      <c r="NL24" s="26"/>
      <c r="NM24" s="26"/>
      <c r="NN24" s="26"/>
      <c r="NO24" s="26"/>
      <c r="NP24" s="26"/>
      <c r="NQ24" s="26"/>
      <c r="NR24" s="26"/>
      <c r="NS24" s="26"/>
      <c r="NT24" s="20" t="str">
        <f t="shared" si="111"/>
        <v/>
      </c>
      <c r="NU24" s="20" t="str">
        <f t="shared" si="112"/>
        <v/>
      </c>
      <c r="NV24" s="20" t="str">
        <f t="shared" si="113"/>
        <v/>
      </c>
      <c r="NW24" s="20" t="str">
        <f t="shared" si="114"/>
        <v/>
      </c>
      <c r="NX24" s="20" t="str">
        <f t="shared" si="115"/>
        <v/>
      </c>
      <c r="NY24" s="20" t="str">
        <f t="shared" si="116"/>
        <v/>
      </c>
      <c r="NZ24" s="20" t="str">
        <f t="shared" si="117"/>
        <v/>
      </c>
      <c r="OA24" s="20" t="str">
        <f t="shared" si="118"/>
        <v/>
      </c>
      <c r="OB24" s="25"/>
      <c r="OC24" s="25"/>
      <c r="OD24" s="25"/>
      <c r="OE24" s="25"/>
      <c r="OF24" s="25"/>
      <c r="OG24" s="25"/>
      <c r="OH24" s="25"/>
      <c r="OI24" s="25"/>
      <c r="OJ24" s="25"/>
      <c r="OK24" s="25"/>
      <c r="OL24" s="25"/>
      <c r="OM24" s="25"/>
      <c r="ON24" s="25"/>
      <c r="OO24" s="25"/>
      <c r="OP24" s="25"/>
      <c r="OQ24" s="25"/>
      <c r="OR24" s="25"/>
      <c r="OS24" s="25"/>
      <c r="OT24" s="25"/>
      <c r="OU24" s="25"/>
      <c r="OV24" s="79" t="str">
        <f t="shared" si="119"/>
        <v/>
      </c>
      <c r="OW24" s="79" t="str">
        <f t="shared" si="120"/>
        <v/>
      </c>
      <c r="OX24" s="79" t="str">
        <f t="shared" si="121"/>
        <v/>
      </c>
      <c r="OY24" s="79" t="str">
        <f t="shared" si="122"/>
        <v/>
      </c>
      <c r="OZ24" s="79" t="str">
        <f t="shared" si="123"/>
        <v/>
      </c>
      <c r="PA24" s="79" t="str">
        <f t="shared" si="124"/>
        <v/>
      </c>
      <c r="PB24" s="79" t="str">
        <f t="shared" si="125"/>
        <v/>
      </c>
      <c r="PC24" s="79" t="str">
        <f t="shared" si="126"/>
        <v/>
      </c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26"/>
      <c r="PS24" s="26"/>
      <c r="PT24" s="26"/>
      <c r="PU24" s="26"/>
      <c r="PV24" s="26"/>
      <c r="PW24" s="26"/>
      <c r="PX24" s="20" t="str">
        <f t="shared" si="127"/>
        <v/>
      </c>
      <c r="PY24" s="20" t="str">
        <f t="shared" si="128"/>
        <v/>
      </c>
      <c r="PZ24" s="20" t="str">
        <f t="shared" si="129"/>
        <v/>
      </c>
      <c r="QA24" s="20" t="str">
        <f t="shared" si="130"/>
        <v/>
      </c>
      <c r="QB24" s="20" t="str">
        <f t="shared" si="131"/>
        <v/>
      </c>
      <c r="QC24" s="20" t="str">
        <f t="shared" si="132"/>
        <v/>
      </c>
      <c r="QD24" s="20" t="str">
        <f t="shared" si="133"/>
        <v/>
      </c>
      <c r="QE24" s="20" t="str">
        <f t="shared" si="134"/>
        <v/>
      </c>
      <c r="QF24" s="38">
        <f t="shared" si="135"/>
        <v>8.8000000000000007</v>
      </c>
      <c r="QG24" s="38">
        <f t="shared" si="136"/>
        <v>2.2000000000000002</v>
      </c>
      <c r="QH24" s="38">
        <f t="shared" si="137"/>
        <v>0.3</v>
      </c>
      <c r="QI24" s="38">
        <f t="shared" si="138"/>
        <v>0</v>
      </c>
      <c r="QJ24" s="38">
        <f t="shared" si="139"/>
        <v>8.6</v>
      </c>
      <c r="QK24" s="38">
        <f t="shared" si="140"/>
        <v>0</v>
      </c>
      <c r="QL24" s="38">
        <f t="shared" si="141"/>
        <v>0</v>
      </c>
      <c r="QM24" s="38">
        <f t="shared" si="142"/>
        <v>0</v>
      </c>
      <c r="QN24" s="38">
        <f t="shared" si="143"/>
        <v>9.4</v>
      </c>
      <c r="QO24" s="38">
        <f t="shared" si="144"/>
        <v>1.95</v>
      </c>
      <c r="QP24" s="38">
        <f t="shared" si="145"/>
        <v>0</v>
      </c>
      <c r="QQ24" s="38">
        <f t="shared" si="146"/>
        <v>0</v>
      </c>
      <c r="QR24" s="38">
        <f t="shared" si="147"/>
        <v>0</v>
      </c>
      <c r="QS24" s="38">
        <f t="shared" si="148"/>
        <v>0</v>
      </c>
      <c r="QT24" s="38">
        <f t="shared" si="149"/>
        <v>0</v>
      </c>
      <c r="QU24" s="38">
        <f t="shared" si="150"/>
        <v>0</v>
      </c>
      <c r="QV24" s="38">
        <f t="shared" si="151"/>
        <v>0</v>
      </c>
      <c r="QW24" s="38">
        <f t="shared" si="152"/>
        <v>0</v>
      </c>
      <c r="QX24" s="38">
        <f t="shared" si="153"/>
        <v>0</v>
      </c>
      <c r="QY24" s="38">
        <f t="shared" si="154"/>
        <v>0</v>
      </c>
      <c r="QZ24" s="45" t="s">
        <v>46</v>
      </c>
      <c r="RA24" s="79">
        <f t="shared" si="155"/>
        <v>2.2000000000000002</v>
      </c>
      <c r="RB24" s="79">
        <f t="shared" si="156"/>
        <v>19.3</v>
      </c>
      <c r="RC24" s="79">
        <f t="shared" si="157"/>
        <v>11.35</v>
      </c>
      <c r="RD24" s="79">
        <f t="shared" si="158"/>
        <v>4.1500000000000004</v>
      </c>
      <c r="RE24" s="79">
        <f t="shared" si="159"/>
        <v>30.65</v>
      </c>
      <c r="RF24" s="79" t="str">
        <f t="shared" si="160"/>
        <v/>
      </c>
      <c r="RG24" s="79" t="str">
        <f t="shared" si="161"/>
        <v/>
      </c>
      <c r="RH24" s="79">
        <f t="shared" si="162"/>
        <v>19.3</v>
      </c>
    </row>
    <row r="25" spans="1:476" x14ac:dyDescent="0.2">
      <c r="A25" s="5" t="str">
        <f t="shared" si="163"/>
        <v/>
      </c>
      <c r="B25" s="78" t="s">
        <v>149</v>
      </c>
      <c r="C25" s="5" t="s">
        <v>3</v>
      </c>
      <c r="D25" s="5">
        <v>2005</v>
      </c>
      <c r="E25" s="15">
        <f t="shared" si="0"/>
        <v>61.000006100004491</v>
      </c>
      <c r="F25" s="3" t="str">
        <f t="shared" si="1"/>
        <v/>
      </c>
      <c r="G25" s="3" t="str">
        <f t="shared" si="2"/>
        <v/>
      </c>
      <c r="H25" s="67" t="str">
        <f t="shared" si="3"/>
        <v/>
      </c>
      <c r="I25" s="14">
        <f>IF(COUNT(AR25,BU25,CX25)&gt;0,LARGE((AR25,BU25,CX25),1),0)</f>
        <v>44.9</v>
      </c>
      <c r="J25" s="14" t="str">
        <f t="shared" si="4"/>
        <v>2022 Elite Canada</v>
      </c>
      <c r="K25" s="14">
        <f>IF(COUNT(AR25,BU25,CX25)&gt;1,LARGE((AR25,BU25,CX25),2),0)</f>
        <v>0</v>
      </c>
      <c r="L25" s="14" t="str">
        <f t="shared" si="5"/>
        <v/>
      </c>
      <c r="M25" s="14">
        <f>IF(COUNT(AS25,BV25,CY25)&gt;0,LARGE((AS25,BV25,CY25),1),0)</f>
        <v>16.100000000000001</v>
      </c>
      <c r="N25" s="14" t="str">
        <f t="shared" si="6"/>
        <v>2022 Elite Canada</v>
      </c>
      <c r="O25" s="14">
        <f>IF(COUNT(AS25,BV25,CY25)&gt;1,LARGE((AS25,BV25,CY25),2),0)</f>
        <v>0</v>
      </c>
      <c r="P25" s="14" t="str">
        <f t="shared" si="7"/>
        <v/>
      </c>
      <c r="Q25" s="14">
        <f t="shared" si="8"/>
        <v>0</v>
      </c>
      <c r="R25" s="14" t="str">
        <f t="shared" si="9"/>
        <v/>
      </c>
      <c r="S25" s="14" t="str">
        <f t="shared" si="10"/>
        <v/>
      </c>
      <c r="T25" s="20" t="str">
        <f t="shared" si="11"/>
        <v/>
      </c>
      <c r="U25" s="14" t="str">
        <f t="shared" si="12"/>
        <v/>
      </c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45"/>
      <c r="AQ25" s="79" t="str">
        <f t="shared" si="13"/>
        <v/>
      </c>
      <c r="AR25" s="79" t="str">
        <f t="shared" si="14"/>
        <v/>
      </c>
      <c r="AS25" s="79" t="str">
        <f t="shared" si="15"/>
        <v/>
      </c>
      <c r="AT25" s="79" t="str">
        <f t="shared" si="16"/>
        <v/>
      </c>
      <c r="AU25" s="79" t="str">
        <f t="shared" si="17"/>
        <v/>
      </c>
      <c r="AV25" s="79" t="str">
        <f t="shared" si="18"/>
        <v/>
      </c>
      <c r="AW25" s="79" t="str">
        <f t="shared" si="19"/>
        <v/>
      </c>
      <c r="AX25" s="79" t="str">
        <f t="shared" si="20"/>
        <v/>
      </c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46"/>
      <c r="BT25" s="20" t="str">
        <f t="shared" si="21"/>
        <v/>
      </c>
      <c r="BU25" s="20" t="str">
        <f t="shared" si="22"/>
        <v/>
      </c>
      <c r="BV25" s="20" t="str">
        <f t="shared" si="23"/>
        <v/>
      </c>
      <c r="BW25" s="20" t="str">
        <f t="shared" si="24"/>
        <v/>
      </c>
      <c r="BX25" s="20" t="str">
        <f t="shared" si="25"/>
        <v/>
      </c>
      <c r="BY25" s="20" t="str">
        <f t="shared" si="26"/>
        <v/>
      </c>
      <c r="BZ25" s="20" t="str">
        <f t="shared" si="27"/>
        <v/>
      </c>
      <c r="CA25" s="20" t="str">
        <f t="shared" si="28"/>
        <v/>
      </c>
      <c r="CB25" s="27">
        <v>18.600000000000001</v>
      </c>
      <c r="CC25" s="27">
        <v>3.6</v>
      </c>
      <c r="CD25" s="27">
        <v>0</v>
      </c>
      <c r="CE25" s="27">
        <v>0</v>
      </c>
      <c r="CF25" s="27">
        <v>18.3</v>
      </c>
      <c r="CG25" s="27">
        <v>4.4000000000000004</v>
      </c>
      <c r="CH25" s="27">
        <v>0</v>
      </c>
      <c r="CI25" s="27">
        <v>0</v>
      </c>
      <c r="CJ25" s="27">
        <v>18.8</v>
      </c>
      <c r="CK25" s="27">
        <v>0.6</v>
      </c>
      <c r="CL25" s="27">
        <v>3.3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45"/>
      <c r="CW25" s="79">
        <f t="shared" si="29"/>
        <v>8</v>
      </c>
      <c r="CX25" s="79">
        <f t="shared" si="30"/>
        <v>44.9</v>
      </c>
      <c r="CY25" s="79">
        <f t="shared" si="31"/>
        <v>16.100000000000001</v>
      </c>
      <c r="CZ25" s="79">
        <f t="shared" si="32"/>
        <v>8.6</v>
      </c>
      <c r="DA25" s="79">
        <f t="shared" si="33"/>
        <v>61</v>
      </c>
      <c r="DB25" s="79" t="str">
        <f t="shared" si="34"/>
        <v/>
      </c>
      <c r="DC25" s="79" t="str">
        <f t="shared" si="35"/>
        <v/>
      </c>
      <c r="DD25" s="79">
        <f t="shared" si="36"/>
        <v>44.9</v>
      </c>
      <c r="DE25" s="80" t="str">
        <f t="shared" si="37"/>
        <v/>
      </c>
      <c r="DF25" s="80"/>
      <c r="DG25" s="80" t="str">
        <f t="shared" si="38"/>
        <v/>
      </c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79" t="str">
        <f t="shared" si="39"/>
        <v/>
      </c>
      <c r="EC25" s="79" t="str">
        <f t="shared" si="40"/>
        <v/>
      </c>
      <c r="ED25" s="79" t="str">
        <f t="shared" si="41"/>
        <v/>
      </c>
      <c r="EE25" s="79" t="str">
        <f t="shared" si="42"/>
        <v/>
      </c>
      <c r="EF25" s="79" t="str">
        <f t="shared" si="43"/>
        <v/>
      </c>
      <c r="EG25" s="79" t="str">
        <f t="shared" si="44"/>
        <v/>
      </c>
      <c r="EH25" s="79" t="str">
        <f t="shared" si="45"/>
        <v/>
      </c>
      <c r="EI25" s="79" t="str">
        <f t="shared" si="46"/>
        <v/>
      </c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0" t="str">
        <f t="shared" si="47"/>
        <v/>
      </c>
      <c r="FE25" s="20" t="str">
        <f t="shared" si="48"/>
        <v/>
      </c>
      <c r="FF25" s="20" t="str">
        <f t="shared" si="49"/>
        <v/>
      </c>
      <c r="FG25" s="20" t="str">
        <f t="shared" si="50"/>
        <v/>
      </c>
      <c r="FH25" s="20" t="str">
        <f t="shared" si="51"/>
        <v/>
      </c>
      <c r="FI25" s="20" t="str">
        <f t="shared" si="52"/>
        <v/>
      </c>
      <c r="FJ25" s="20" t="str">
        <f t="shared" si="53"/>
        <v/>
      </c>
      <c r="FK25" s="20" t="str">
        <f t="shared" si="54"/>
        <v/>
      </c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79" t="str">
        <f t="shared" si="55"/>
        <v/>
      </c>
      <c r="GG25" s="79" t="str">
        <f t="shared" si="56"/>
        <v/>
      </c>
      <c r="GH25" s="79" t="str">
        <f t="shared" si="57"/>
        <v/>
      </c>
      <c r="GI25" s="79" t="str">
        <f t="shared" si="58"/>
        <v/>
      </c>
      <c r="GJ25" s="79" t="str">
        <f t="shared" si="59"/>
        <v/>
      </c>
      <c r="GK25" s="79" t="str">
        <f t="shared" si="60"/>
        <v/>
      </c>
      <c r="GL25" s="79" t="str">
        <f t="shared" si="61"/>
        <v/>
      </c>
      <c r="GM25" s="79" t="str">
        <f t="shared" si="62"/>
        <v/>
      </c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0" t="str">
        <f t="shared" si="63"/>
        <v/>
      </c>
      <c r="HI25" s="20" t="str">
        <f t="shared" si="64"/>
        <v/>
      </c>
      <c r="HJ25" s="20" t="str">
        <f t="shared" si="65"/>
        <v/>
      </c>
      <c r="HK25" s="20" t="str">
        <f t="shared" si="66"/>
        <v/>
      </c>
      <c r="HL25" s="20" t="str">
        <f t="shared" si="67"/>
        <v/>
      </c>
      <c r="HM25" s="20" t="str">
        <f t="shared" si="68"/>
        <v/>
      </c>
      <c r="HN25" s="20" t="str">
        <f t="shared" si="69"/>
        <v/>
      </c>
      <c r="HO25" s="20" t="str">
        <f t="shared" si="70"/>
        <v/>
      </c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79" t="str">
        <f t="shared" si="71"/>
        <v/>
      </c>
      <c r="IK25" s="79" t="str">
        <f t="shared" si="72"/>
        <v/>
      </c>
      <c r="IL25" s="79" t="str">
        <f t="shared" si="73"/>
        <v/>
      </c>
      <c r="IM25" s="79" t="str">
        <f t="shared" si="74"/>
        <v/>
      </c>
      <c r="IN25" s="79" t="str">
        <f t="shared" si="75"/>
        <v/>
      </c>
      <c r="IO25" s="79" t="str">
        <f t="shared" si="76"/>
        <v/>
      </c>
      <c r="IP25" s="79" t="str">
        <f t="shared" si="77"/>
        <v/>
      </c>
      <c r="IQ25" s="79" t="str">
        <f t="shared" si="78"/>
        <v/>
      </c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0" t="str">
        <f t="shared" si="79"/>
        <v/>
      </c>
      <c r="JM25" s="20" t="str">
        <f t="shared" si="80"/>
        <v/>
      </c>
      <c r="JN25" s="20" t="str">
        <f t="shared" si="81"/>
        <v/>
      </c>
      <c r="JO25" s="20" t="str">
        <f t="shared" si="82"/>
        <v/>
      </c>
      <c r="JP25" s="20" t="str">
        <f t="shared" si="83"/>
        <v/>
      </c>
      <c r="JQ25" s="20" t="str">
        <f t="shared" si="84"/>
        <v/>
      </c>
      <c r="JR25" s="20" t="str">
        <f t="shared" si="85"/>
        <v/>
      </c>
      <c r="JS25" s="20" t="str">
        <f t="shared" si="86"/>
        <v/>
      </c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79" t="str">
        <f t="shared" si="87"/>
        <v/>
      </c>
      <c r="KO25" s="79" t="str">
        <f t="shared" si="88"/>
        <v/>
      </c>
      <c r="KP25" s="79" t="str">
        <f t="shared" si="89"/>
        <v/>
      </c>
      <c r="KQ25" s="79" t="str">
        <f t="shared" si="90"/>
        <v/>
      </c>
      <c r="KR25" s="79" t="str">
        <f t="shared" si="91"/>
        <v/>
      </c>
      <c r="KS25" s="79" t="str">
        <f t="shared" si="92"/>
        <v/>
      </c>
      <c r="KT25" s="79" t="str">
        <f t="shared" si="93"/>
        <v/>
      </c>
      <c r="KU25" s="79" t="str">
        <f t="shared" si="94"/>
        <v/>
      </c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0" t="str">
        <f t="shared" si="95"/>
        <v/>
      </c>
      <c r="LQ25" s="20" t="str">
        <f t="shared" si="96"/>
        <v/>
      </c>
      <c r="LR25" s="20" t="str">
        <f t="shared" si="97"/>
        <v/>
      </c>
      <c r="LS25" s="20" t="str">
        <f t="shared" si="98"/>
        <v/>
      </c>
      <c r="LT25" s="20" t="str">
        <f t="shared" si="99"/>
        <v/>
      </c>
      <c r="LU25" s="20" t="str">
        <f t="shared" si="100"/>
        <v/>
      </c>
      <c r="LV25" s="20" t="str">
        <f t="shared" si="101"/>
        <v/>
      </c>
      <c r="LW25" s="20" t="str">
        <f t="shared" si="102"/>
        <v/>
      </c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79" t="str">
        <f t="shared" si="103"/>
        <v/>
      </c>
      <c r="MS25" s="79" t="str">
        <f t="shared" si="104"/>
        <v/>
      </c>
      <c r="MT25" s="79" t="str">
        <f t="shared" si="105"/>
        <v/>
      </c>
      <c r="MU25" s="79" t="str">
        <f t="shared" si="106"/>
        <v/>
      </c>
      <c r="MV25" s="79" t="str">
        <f t="shared" si="107"/>
        <v/>
      </c>
      <c r="MW25" s="79" t="str">
        <f t="shared" si="108"/>
        <v/>
      </c>
      <c r="MX25" s="79" t="str">
        <f t="shared" si="109"/>
        <v/>
      </c>
      <c r="MY25" s="79" t="str">
        <f t="shared" si="110"/>
        <v/>
      </c>
      <c r="MZ25" s="26"/>
      <c r="NA25" s="26"/>
      <c r="NB25" s="26"/>
      <c r="NC25" s="26"/>
      <c r="ND25" s="26"/>
      <c r="NE25" s="26"/>
      <c r="NF25" s="26"/>
      <c r="NG25" s="26"/>
      <c r="NH25" s="26"/>
      <c r="NI25" s="26"/>
      <c r="NJ25" s="26"/>
      <c r="NK25" s="26"/>
      <c r="NL25" s="26"/>
      <c r="NM25" s="26"/>
      <c r="NN25" s="26"/>
      <c r="NO25" s="26"/>
      <c r="NP25" s="26"/>
      <c r="NQ25" s="26"/>
      <c r="NR25" s="26"/>
      <c r="NS25" s="26"/>
      <c r="NT25" s="20" t="str">
        <f t="shared" si="111"/>
        <v/>
      </c>
      <c r="NU25" s="20" t="str">
        <f t="shared" si="112"/>
        <v/>
      </c>
      <c r="NV25" s="20" t="str">
        <f t="shared" si="113"/>
        <v/>
      </c>
      <c r="NW25" s="20" t="str">
        <f t="shared" si="114"/>
        <v/>
      </c>
      <c r="NX25" s="20" t="str">
        <f t="shared" si="115"/>
        <v/>
      </c>
      <c r="NY25" s="20" t="str">
        <f t="shared" si="116"/>
        <v/>
      </c>
      <c r="NZ25" s="20" t="str">
        <f t="shared" si="117"/>
        <v/>
      </c>
      <c r="OA25" s="20" t="str">
        <f t="shared" si="118"/>
        <v/>
      </c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79" t="str">
        <f t="shared" si="119"/>
        <v/>
      </c>
      <c r="OW25" s="79" t="str">
        <f t="shared" si="120"/>
        <v/>
      </c>
      <c r="OX25" s="79" t="str">
        <f t="shared" si="121"/>
        <v/>
      </c>
      <c r="OY25" s="79" t="str">
        <f t="shared" si="122"/>
        <v/>
      </c>
      <c r="OZ25" s="79" t="str">
        <f t="shared" si="123"/>
        <v/>
      </c>
      <c r="PA25" s="79" t="str">
        <f t="shared" si="124"/>
        <v/>
      </c>
      <c r="PB25" s="79" t="str">
        <f t="shared" si="125"/>
        <v/>
      </c>
      <c r="PC25" s="79" t="str">
        <f t="shared" si="126"/>
        <v/>
      </c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26"/>
      <c r="PS25" s="26"/>
      <c r="PT25" s="26"/>
      <c r="PU25" s="26"/>
      <c r="PV25" s="26"/>
      <c r="PW25" s="26"/>
      <c r="PX25" s="20" t="str">
        <f t="shared" si="127"/>
        <v/>
      </c>
      <c r="PY25" s="20" t="str">
        <f t="shared" si="128"/>
        <v/>
      </c>
      <c r="PZ25" s="20" t="str">
        <f t="shared" si="129"/>
        <v/>
      </c>
      <c r="QA25" s="20" t="str">
        <f t="shared" si="130"/>
        <v/>
      </c>
      <c r="QB25" s="20" t="str">
        <f t="shared" si="131"/>
        <v/>
      </c>
      <c r="QC25" s="20" t="str">
        <f t="shared" si="132"/>
        <v/>
      </c>
      <c r="QD25" s="20" t="str">
        <f t="shared" si="133"/>
        <v/>
      </c>
      <c r="QE25" s="20" t="str">
        <f t="shared" si="134"/>
        <v/>
      </c>
      <c r="QF25" s="38">
        <f t="shared" si="135"/>
        <v>9.3000000000000007</v>
      </c>
      <c r="QG25" s="38">
        <f t="shared" si="136"/>
        <v>1.8</v>
      </c>
      <c r="QH25" s="38">
        <f t="shared" si="137"/>
        <v>0</v>
      </c>
      <c r="QI25" s="38">
        <f t="shared" si="138"/>
        <v>0</v>
      </c>
      <c r="QJ25" s="38">
        <f t="shared" si="139"/>
        <v>9.15</v>
      </c>
      <c r="QK25" s="38">
        <f t="shared" si="140"/>
        <v>2.2000000000000002</v>
      </c>
      <c r="QL25" s="38">
        <f t="shared" si="141"/>
        <v>0</v>
      </c>
      <c r="QM25" s="38">
        <f t="shared" si="142"/>
        <v>0</v>
      </c>
      <c r="QN25" s="38">
        <f t="shared" si="143"/>
        <v>9.4</v>
      </c>
      <c r="QO25" s="38">
        <f t="shared" si="144"/>
        <v>0.3</v>
      </c>
      <c r="QP25" s="38">
        <f t="shared" si="145"/>
        <v>1.65</v>
      </c>
      <c r="QQ25" s="38">
        <f t="shared" si="146"/>
        <v>0</v>
      </c>
      <c r="QR25" s="38">
        <f t="shared" si="147"/>
        <v>0</v>
      </c>
      <c r="QS25" s="38">
        <f t="shared" si="148"/>
        <v>0</v>
      </c>
      <c r="QT25" s="38">
        <f t="shared" si="149"/>
        <v>0</v>
      </c>
      <c r="QU25" s="38">
        <f t="shared" si="150"/>
        <v>0</v>
      </c>
      <c r="QV25" s="38">
        <f t="shared" si="151"/>
        <v>0</v>
      </c>
      <c r="QW25" s="38">
        <f t="shared" si="152"/>
        <v>0</v>
      </c>
      <c r="QX25" s="38">
        <f t="shared" si="153"/>
        <v>0</v>
      </c>
      <c r="QY25" s="38">
        <f t="shared" si="154"/>
        <v>0</v>
      </c>
      <c r="QZ25" s="45" t="s">
        <v>46</v>
      </c>
      <c r="RA25" s="79">
        <f t="shared" si="155"/>
        <v>4</v>
      </c>
      <c r="RB25" s="79">
        <f t="shared" si="156"/>
        <v>22.45</v>
      </c>
      <c r="RC25" s="79">
        <f t="shared" si="157"/>
        <v>8.0500000000000007</v>
      </c>
      <c r="RD25" s="79">
        <f t="shared" si="158"/>
        <v>4.3</v>
      </c>
      <c r="RE25" s="79">
        <f t="shared" si="159"/>
        <v>30.5</v>
      </c>
      <c r="RF25" s="79" t="str">
        <f t="shared" si="160"/>
        <v/>
      </c>
      <c r="RG25" s="79" t="str">
        <f t="shared" si="161"/>
        <v/>
      </c>
      <c r="RH25" s="79">
        <f t="shared" si="162"/>
        <v>22.45</v>
      </c>
    </row>
    <row r="26" spans="1:476" x14ac:dyDescent="0.2">
      <c r="A26" s="5" t="str">
        <f t="shared" si="163"/>
        <v/>
      </c>
      <c r="B26" s="78" t="s">
        <v>150</v>
      </c>
      <c r="C26" s="5" t="s">
        <v>6</v>
      </c>
      <c r="D26" s="5">
        <v>2004</v>
      </c>
      <c r="E26" s="15">
        <f t="shared" si="0"/>
        <v>44.400004440002355</v>
      </c>
      <c r="F26" s="3" t="str">
        <f t="shared" si="1"/>
        <v/>
      </c>
      <c r="G26" s="3" t="str">
        <f t="shared" si="2"/>
        <v/>
      </c>
      <c r="H26" s="67" t="str">
        <f t="shared" si="3"/>
        <v/>
      </c>
      <c r="I26" s="14">
        <f>IF(COUNT(AR26,BU26,CX26)&gt;0,LARGE((AR26,BU26,CX26),1),0)</f>
        <v>23.5</v>
      </c>
      <c r="J26" s="14" t="str">
        <f t="shared" si="4"/>
        <v>2022 Elite Canada</v>
      </c>
      <c r="K26" s="14">
        <f>IF(COUNT(AR26,BU26,CX26)&gt;1,LARGE((AR26,BU26,CX26),2),0)</f>
        <v>0</v>
      </c>
      <c r="L26" s="14" t="str">
        <f t="shared" si="5"/>
        <v/>
      </c>
      <c r="M26" s="14">
        <f>IF(COUNT(AS26,BV26,CY26)&gt;0,LARGE((AS26,BV26,CY26),1),0)</f>
        <v>20.900000000000002</v>
      </c>
      <c r="N26" s="14" t="str">
        <f t="shared" si="6"/>
        <v>2022 Elite Canada</v>
      </c>
      <c r="O26" s="14">
        <f>IF(COUNT(AS26,BV26,CY26)&gt;1,LARGE((AS26,BV26,CY26),2),0)</f>
        <v>0</v>
      </c>
      <c r="P26" s="14" t="str">
        <f t="shared" si="7"/>
        <v/>
      </c>
      <c r="Q26" s="14">
        <f t="shared" si="8"/>
        <v>0</v>
      </c>
      <c r="R26" s="14" t="str">
        <f t="shared" si="9"/>
        <v/>
      </c>
      <c r="S26" s="14" t="str">
        <f t="shared" si="10"/>
        <v/>
      </c>
      <c r="T26" s="20" t="str">
        <f t="shared" si="11"/>
        <v/>
      </c>
      <c r="U26" s="14" t="str">
        <f t="shared" si="12"/>
        <v/>
      </c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45"/>
      <c r="AQ26" s="79" t="str">
        <f t="shared" si="13"/>
        <v/>
      </c>
      <c r="AR26" s="79" t="str">
        <f t="shared" si="14"/>
        <v/>
      </c>
      <c r="AS26" s="79" t="str">
        <f t="shared" si="15"/>
        <v/>
      </c>
      <c r="AT26" s="79" t="str">
        <f t="shared" si="16"/>
        <v/>
      </c>
      <c r="AU26" s="79" t="str">
        <f t="shared" si="17"/>
        <v/>
      </c>
      <c r="AV26" s="79" t="str">
        <f t="shared" si="18"/>
        <v/>
      </c>
      <c r="AW26" s="79" t="str">
        <f t="shared" si="19"/>
        <v/>
      </c>
      <c r="AX26" s="79" t="str">
        <f t="shared" si="20"/>
        <v/>
      </c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46"/>
      <c r="BT26" s="20" t="str">
        <f t="shared" si="21"/>
        <v/>
      </c>
      <c r="BU26" s="20" t="str">
        <f t="shared" si="22"/>
        <v/>
      </c>
      <c r="BV26" s="20" t="str">
        <f t="shared" si="23"/>
        <v/>
      </c>
      <c r="BW26" s="20" t="str">
        <f t="shared" si="24"/>
        <v/>
      </c>
      <c r="BX26" s="20" t="str">
        <f t="shared" si="25"/>
        <v/>
      </c>
      <c r="BY26" s="20" t="str">
        <f t="shared" si="26"/>
        <v/>
      </c>
      <c r="BZ26" s="20" t="str">
        <f t="shared" si="27"/>
        <v/>
      </c>
      <c r="CA26" s="20" t="str">
        <f t="shared" si="28"/>
        <v/>
      </c>
      <c r="CB26" s="27">
        <v>0</v>
      </c>
      <c r="CC26" s="27">
        <v>0</v>
      </c>
      <c r="CD26" s="27">
        <v>0</v>
      </c>
      <c r="CE26" s="27">
        <v>0</v>
      </c>
      <c r="CF26" s="27">
        <v>19.3</v>
      </c>
      <c r="CG26" s="27">
        <v>4.8</v>
      </c>
      <c r="CH26" s="27">
        <v>0.6</v>
      </c>
      <c r="CI26" s="27">
        <v>0</v>
      </c>
      <c r="CJ26" s="27">
        <v>16.8</v>
      </c>
      <c r="CK26" s="27">
        <v>4.3</v>
      </c>
      <c r="CL26" s="27">
        <v>0.2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45"/>
      <c r="CW26" s="79">
        <f t="shared" si="29"/>
        <v>4.8</v>
      </c>
      <c r="CX26" s="79">
        <f t="shared" si="30"/>
        <v>23.5</v>
      </c>
      <c r="CY26" s="79">
        <f t="shared" si="31"/>
        <v>20.900000000000002</v>
      </c>
      <c r="CZ26" s="79">
        <f t="shared" si="32"/>
        <v>9.1</v>
      </c>
      <c r="DA26" s="79">
        <f t="shared" si="33"/>
        <v>44.400000000000006</v>
      </c>
      <c r="DB26" s="79" t="str">
        <f t="shared" si="34"/>
        <v/>
      </c>
      <c r="DC26" s="79" t="str">
        <f t="shared" si="35"/>
        <v/>
      </c>
      <c r="DD26" s="79">
        <f t="shared" si="36"/>
        <v>23.5</v>
      </c>
      <c r="DE26" s="80" t="str">
        <f t="shared" si="37"/>
        <v/>
      </c>
      <c r="DF26" s="80"/>
      <c r="DG26" s="80" t="str">
        <f t="shared" si="38"/>
        <v/>
      </c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79" t="str">
        <f t="shared" si="39"/>
        <v/>
      </c>
      <c r="EC26" s="79" t="str">
        <f t="shared" si="40"/>
        <v/>
      </c>
      <c r="ED26" s="79" t="str">
        <f t="shared" si="41"/>
        <v/>
      </c>
      <c r="EE26" s="79" t="str">
        <f t="shared" si="42"/>
        <v/>
      </c>
      <c r="EF26" s="79" t="str">
        <f t="shared" si="43"/>
        <v/>
      </c>
      <c r="EG26" s="79" t="str">
        <f t="shared" si="44"/>
        <v/>
      </c>
      <c r="EH26" s="79" t="str">
        <f t="shared" si="45"/>
        <v/>
      </c>
      <c r="EI26" s="79" t="str">
        <f t="shared" si="46"/>
        <v/>
      </c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0" t="str">
        <f t="shared" si="47"/>
        <v/>
      </c>
      <c r="FE26" s="20" t="str">
        <f t="shared" si="48"/>
        <v/>
      </c>
      <c r="FF26" s="20" t="str">
        <f t="shared" si="49"/>
        <v/>
      </c>
      <c r="FG26" s="20" t="str">
        <f t="shared" si="50"/>
        <v/>
      </c>
      <c r="FH26" s="20" t="str">
        <f t="shared" si="51"/>
        <v/>
      </c>
      <c r="FI26" s="20" t="str">
        <f t="shared" si="52"/>
        <v/>
      </c>
      <c r="FJ26" s="20" t="str">
        <f t="shared" si="53"/>
        <v/>
      </c>
      <c r="FK26" s="20" t="str">
        <f t="shared" si="54"/>
        <v/>
      </c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79" t="str">
        <f t="shared" si="55"/>
        <v/>
      </c>
      <c r="GG26" s="79" t="str">
        <f t="shared" si="56"/>
        <v/>
      </c>
      <c r="GH26" s="79" t="str">
        <f t="shared" si="57"/>
        <v/>
      </c>
      <c r="GI26" s="79" t="str">
        <f t="shared" si="58"/>
        <v/>
      </c>
      <c r="GJ26" s="79" t="str">
        <f t="shared" si="59"/>
        <v/>
      </c>
      <c r="GK26" s="79" t="str">
        <f t="shared" si="60"/>
        <v/>
      </c>
      <c r="GL26" s="79" t="str">
        <f t="shared" si="61"/>
        <v/>
      </c>
      <c r="GM26" s="79" t="str">
        <f t="shared" si="62"/>
        <v/>
      </c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0" t="str">
        <f t="shared" si="63"/>
        <v/>
      </c>
      <c r="HI26" s="20" t="str">
        <f t="shared" si="64"/>
        <v/>
      </c>
      <c r="HJ26" s="20" t="str">
        <f t="shared" si="65"/>
        <v/>
      </c>
      <c r="HK26" s="20" t="str">
        <f t="shared" si="66"/>
        <v/>
      </c>
      <c r="HL26" s="20" t="str">
        <f t="shared" si="67"/>
        <v/>
      </c>
      <c r="HM26" s="20" t="str">
        <f t="shared" si="68"/>
        <v/>
      </c>
      <c r="HN26" s="20" t="str">
        <f t="shared" si="69"/>
        <v/>
      </c>
      <c r="HO26" s="20" t="str">
        <f t="shared" si="70"/>
        <v/>
      </c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79" t="str">
        <f t="shared" si="71"/>
        <v/>
      </c>
      <c r="IK26" s="79" t="str">
        <f t="shared" si="72"/>
        <v/>
      </c>
      <c r="IL26" s="79" t="str">
        <f t="shared" si="73"/>
        <v/>
      </c>
      <c r="IM26" s="79" t="str">
        <f t="shared" si="74"/>
        <v/>
      </c>
      <c r="IN26" s="79" t="str">
        <f t="shared" si="75"/>
        <v/>
      </c>
      <c r="IO26" s="79" t="str">
        <f t="shared" si="76"/>
        <v/>
      </c>
      <c r="IP26" s="79" t="str">
        <f t="shared" si="77"/>
        <v/>
      </c>
      <c r="IQ26" s="79" t="str">
        <f t="shared" si="78"/>
        <v/>
      </c>
      <c r="IR26" s="26"/>
      <c r="IS26" s="26"/>
      <c r="IT26" s="26"/>
      <c r="IU26" s="26"/>
      <c r="IV26" s="26"/>
      <c r="IW26" s="26"/>
      <c r="IX26" s="26"/>
      <c r="IY26" s="26"/>
      <c r="IZ26" s="26"/>
      <c r="JA26" s="26"/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0" t="str">
        <f t="shared" si="79"/>
        <v/>
      </c>
      <c r="JM26" s="20" t="str">
        <f t="shared" si="80"/>
        <v/>
      </c>
      <c r="JN26" s="20" t="str">
        <f t="shared" si="81"/>
        <v/>
      </c>
      <c r="JO26" s="20" t="str">
        <f t="shared" si="82"/>
        <v/>
      </c>
      <c r="JP26" s="20" t="str">
        <f t="shared" si="83"/>
        <v/>
      </c>
      <c r="JQ26" s="20" t="str">
        <f t="shared" si="84"/>
        <v/>
      </c>
      <c r="JR26" s="20" t="str">
        <f t="shared" si="85"/>
        <v/>
      </c>
      <c r="JS26" s="20" t="str">
        <f t="shared" si="86"/>
        <v/>
      </c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79" t="str">
        <f t="shared" si="87"/>
        <v/>
      </c>
      <c r="KO26" s="79" t="str">
        <f t="shared" si="88"/>
        <v/>
      </c>
      <c r="KP26" s="79" t="str">
        <f t="shared" si="89"/>
        <v/>
      </c>
      <c r="KQ26" s="79" t="str">
        <f t="shared" si="90"/>
        <v/>
      </c>
      <c r="KR26" s="79" t="str">
        <f t="shared" si="91"/>
        <v/>
      </c>
      <c r="KS26" s="79" t="str">
        <f t="shared" si="92"/>
        <v/>
      </c>
      <c r="KT26" s="79" t="str">
        <f t="shared" si="93"/>
        <v/>
      </c>
      <c r="KU26" s="79" t="str">
        <f t="shared" si="94"/>
        <v/>
      </c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0" t="str">
        <f t="shared" si="95"/>
        <v/>
      </c>
      <c r="LQ26" s="20" t="str">
        <f t="shared" si="96"/>
        <v/>
      </c>
      <c r="LR26" s="20" t="str">
        <f t="shared" si="97"/>
        <v/>
      </c>
      <c r="LS26" s="20" t="str">
        <f t="shared" si="98"/>
        <v/>
      </c>
      <c r="LT26" s="20" t="str">
        <f t="shared" si="99"/>
        <v/>
      </c>
      <c r="LU26" s="20" t="str">
        <f t="shared" si="100"/>
        <v/>
      </c>
      <c r="LV26" s="20" t="str">
        <f t="shared" si="101"/>
        <v/>
      </c>
      <c r="LW26" s="20" t="str">
        <f t="shared" si="102"/>
        <v/>
      </c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79" t="str">
        <f t="shared" si="103"/>
        <v/>
      </c>
      <c r="MS26" s="79" t="str">
        <f t="shared" si="104"/>
        <v/>
      </c>
      <c r="MT26" s="79" t="str">
        <f t="shared" si="105"/>
        <v/>
      </c>
      <c r="MU26" s="79" t="str">
        <f t="shared" si="106"/>
        <v/>
      </c>
      <c r="MV26" s="79" t="str">
        <f t="shared" si="107"/>
        <v/>
      </c>
      <c r="MW26" s="79" t="str">
        <f t="shared" si="108"/>
        <v/>
      </c>
      <c r="MX26" s="79" t="str">
        <f t="shared" si="109"/>
        <v/>
      </c>
      <c r="MY26" s="79" t="str">
        <f t="shared" si="110"/>
        <v/>
      </c>
      <c r="MZ26" s="26"/>
      <c r="NA26" s="26"/>
      <c r="NB26" s="26"/>
      <c r="NC26" s="26"/>
      <c r="ND26" s="26"/>
      <c r="NE26" s="26"/>
      <c r="NF26" s="26"/>
      <c r="NG26" s="26"/>
      <c r="NH26" s="26"/>
      <c r="NI26" s="26"/>
      <c r="NJ26" s="26"/>
      <c r="NK26" s="26"/>
      <c r="NL26" s="26"/>
      <c r="NM26" s="26"/>
      <c r="NN26" s="26"/>
      <c r="NO26" s="26"/>
      <c r="NP26" s="26"/>
      <c r="NQ26" s="26"/>
      <c r="NR26" s="26"/>
      <c r="NS26" s="26"/>
      <c r="NT26" s="20" t="str">
        <f t="shared" si="111"/>
        <v/>
      </c>
      <c r="NU26" s="20" t="str">
        <f t="shared" si="112"/>
        <v/>
      </c>
      <c r="NV26" s="20" t="str">
        <f t="shared" si="113"/>
        <v/>
      </c>
      <c r="NW26" s="20" t="str">
        <f t="shared" si="114"/>
        <v/>
      </c>
      <c r="NX26" s="20" t="str">
        <f t="shared" si="115"/>
        <v/>
      </c>
      <c r="NY26" s="20" t="str">
        <f t="shared" si="116"/>
        <v/>
      </c>
      <c r="NZ26" s="20" t="str">
        <f t="shared" si="117"/>
        <v/>
      </c>
      <c r="OA26" s="20" t="str">
        <f t="shared" si="118"/>
        <v/>
      </c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79" t="str">
        <f t="shared" si="119"/>
        <v/>
      </c>
      <c r="OW26" s="79" t="str">
        <f t="shared" si="120"/>
        <v/>
      </c>
      <c r="OX26" s="79" t="str">
        <f t="shared" si="121"/>
        <v/>
      </c>
      <c r="OY26" s="79" t="str">
        <f t="shared" si="122"/>
        <v/>
      </c>
      <c r="OZ26" s="79" t="str">
        <f t="shared" si="123"/>
        <v/>
      </c>
      <c r="PA26" s="79" t="str">
        <f t="shared" si="124"/>
        <v/>
      </c>
      <c r="PB26" s="79" t="str">
        <f t="shared" si="125"/>
        <v/>
      </c>
      <c r="PC26" s="79" t="str">
        <f t="shared" si="126"/>
        <v/>
      </c>
      <c r="PD26" s="26"/>
      <c r="PE26" s="26"/>
      <c r="PF26" s="26"/>
      <c r="PG26" s="26"/>
      <c r="PH26" s="26"/>
      <c r="PI26" s="26"/>
      <c r="PJ26" s="26"/>
      <c r="PK26" s="26"/>
      <c r="PL26" s="26"/>
      <c r="PM26" s="26"/>
      <c r="PN26" s="26"/>
      <c r="PO26" s="26"/>
      <c r="PP26" s="26"/>
      <c r="PQ26" s="26"/>
      <c r="PR26" s="26"/>
      <c r="PS26" s="26"/>
      <c r="PT26" s="26"/>
      <c r="PU26" s="26"/>
      <c r="PV26" s="26"/>
      <c r="PW26" s="26"/>
      <c r="PX26" s="20" t="str">
        <f t="shared" si="127"/>
        <v/>
      </c>
      <c r="PY26" s="20" t="str">
        <f t="shared" si="128"/>
        <v/>
      </c>
      <c r="PZ26" s="20" t="str">
        <f t="shared" si="129"/>
        <v/>
      </c>
      <c r="QA26" s="20" t="str">
        <f t="shared" si="130"/>
        <v/>
      </c>
      <c r="QB26" s="20" t="str">
        <f t="shared" si="131"/>
        <v/>
      </c>
      <c r="QC26" s="20" t="str">
        <f t="shared" si="132"/>
        <v/>
      </c>
      <c r="QD26" s="20" t="str">
        <f t="shared" si="133"/>
        <v/>
      </c>
      <c r="QE26" s="20" t="str">
        <f t="shared" si="134"/>
        <v/>
      </c>
      <c r="QF26" s="38">
        <f t="shared" si="135"/>
        <v>0</v>
      </c>
      <c r="QG26" s="38">
        <f t="shared" si="136"/>
        <v>0</v>
      </c>
      <c r="QH26" s="38">
        <f t="shared" si="137"/>
        <v>0</v>
      </c>
      <c r="QI26" s="38">
        <f t="shared" si="138"/>
        <v>0</v>
      </c>
      <c r="QJ26" s="38">
        <f t="shared" si="139"/>
        <v>9.65</v>
      </c>
      <c r="QK26" s="38">
        <f t="shared" si="140"/>
        <v>2.4</v>
      </c>
      <c r="QL26" s="38">
        <f t="shared" si="141"/>
        <v>0.3</v>
      </c>
      <c r="QM26" s="38">
        <f t="shared" si="142"/>
        <v>0</v>
      </c>
      <c r="QN26" s="38">
        <f t="shared" si="143"/>
        <v>8.4</v>
      </c>
      <c r="QO26" s="38">
        <f t="shared" si="144"/>
        <v>2.15</v>
      </c>
      <c r="QP26" s="38">
        <f t="shared" si="145"/>
        <v>0.1</v>
      </c>
      <c r="QQ26" s="38">
        <f t="shared" si="146"/>
        <v>0</v>
      </c>
      <c r="QR26" s="38">
        <f t="shared" si="147"/>
        <v>0</v>
      </c>
      <c r="QS26" s="38">
        <f t="shared" si="148"/>
        <v>0</v>
      </c>
      <c r="QT26" s="38">
        <f t="shared" si="149"/>
        <v>0</v>
      </c>
      <c r="QU26" s="38">
        <f t="shared" si="150"/>
        <v>0</v>
      </c>
      <c r="QV26" s="38">
        <f t="shared" si="151"/>
        <v>0</v>
      </c>
      <c r="QW26" s="38">
        <f t="shared" si="152"/>
        <v>0</v>
      </c>
      <c r="QX26" s="38">
        <f t="shared" si="153"/>
        <v>0</v>
      </c>
      <c r="QY26" s="38">
        <f t="shared" si="154"/>
        <v>0</v>
      </c>
      <c r="QZ26" s="45" t="s">
        <v>46</v>
      </c>
      <c r="RA26" s="79">
        <f t="shared" si="155"/>
        <v>2.4</v>
      </c>
      <c r="RB26" s="79">
        <f t="shared" si="156"/>
        <v>11.75</v>
      </c>
      <c r="RC26" s="79">
        <f t="shared" si="157"/>
        <v>10.450000000000001</v>
      </c>
      <c r="RD26" s="79">
        <f t="shared" si="158"/>
        <v>4.55</v>
      </c>
      <c r="RE26" s="79">
        <f t="shared" si="159"/>
        <v>22.200000000000003</v>
      </c>
      <c r="RF26" s="79" t="str">
        <f t="shared" si="160"/>
        <v/>
      </c>
      <c r="RG26" s="79" t="str">
        <f t="shared" si="161"/>
        <v/>
      </c>
      <c r="RH26" s="79">
        <f t="shared" si="162"/>
        <v>11.75</v>
      </c>
    </row>
    <row r="27" spans="1:476" ht="17" x14ac:dyDescent="0.2">
      <c r="S27" s="16"/>
      <c r="T27" s="16"/>
      <c r="U27" s="16"/>
    </row>
    <row r="28" spans="1:476" ht="17" x14ac:dyDescent="0.2">
      <c r="S28" s="16"/>
      <c r="T28" s="16"/>
      <c r="U28" s="16"/>
    </row>
    <row r="29" spans="1:476" ht="17" x14ac:dyDescent="0.2">
      <c r="B29" s="81" t="s">
        <v>44</v>
      </c>
      <c r="S29" s="16"/>
      <c r="T29" s="16"/>
      <c r="U29" s="16"/>
      <c r="AQ29" s="5"/>
      <c r="AX29" s="82">
        <v>1E-4</v>
      </c>
      <c r="BT29" s="5"/>
      <c r="CA29" s="82">
        <v>1E-4</v>
      </c>
      <c r="CW29" s="5"/>
      <c r="DD29" s="82">
        <v>13.2</v>
      </c>
      <c r="EB29" s="5"/>
      <c r="EI29" s="82">
        <v>1E-4</v>
      </c>
      <c r="FD29" s="5"/>
      <c r="FK29" s="82">
        <v>13.2</v>
      </c>
      <c r="GF29" s="5"/>
      <c r="GM29" s="82">
        <v>13.2</v>
      </c>
      <c r="HH29" s="5"/>
      <c r="HO29" s="82">
        <v>13.2</v>
      </c>
      <c r="IJ29" s="5"/>
      <c r="IQ29" s="82">
        <v>13.2</v>
      </c>
      <c r="JL29" s="5"/>
      <c r="JS29" s="82">
        <v>13.2</v>
      </c>
      <c r="KN29" s="5"/>
      <c r="KU29" s="82">
        <v>13.2</v>
      </c>
      <c r="LP29" s="5"/>
      <c r="LW29" s="82">
        <v>13.2</v>
      </c>
      <c r="MR29" s="5"/>
      <c r="MY29" s="82">
        <v>13.2</v>
      </c>
      <c r="NT29" s="5"/>
      <c r="OA29" s="82">
        <v>13.2</v>
      </c>
      <c r="OV29" s="5"/>
      <c r="PC29" s="82">
        <v>13.2</v>
      </c>
      <c r="PX29" s="5"/>
      <c r="QE29" s="82">
        <v>13.2</v>
      </c>
    </row>
    <row r="30" spans="1:476" ht="17" hidden="1" x14ac:dyDescent="0.2">
      <c r="B30" s="83" t="s">
        <v>43</v>
      </c>
      <c r="S30" s="16"/>
      <c r="T30" s="16"/>
      <c r="U30" s="16"/>
      <c r="AQ30" s="5"/>
      <c r="AX30" s="84">
        <v>1000</v>
      </c>
      <c r="BT30" s="5"/>
      <c r="CA30" s="84">
        <v>1000</v>
      </c>
      <c r="CW30" s="5"/>
      <c r="DD30" s="84">
        <v>1000</v>
      </c>
      <c r="EB30" s="5"/>
      <c r="EI30" s="84">
        <v>1000</v>
      </c>
      <c r="FD30" s="5"/>
      <c r="FK30" s="84">
        <v>1000</v>
      </c>
      <c r="GF30" s="5"/>
      <c r="GM30" s="84">
        <v>1000</v>
      </c>
      <c r="HH30" s="5"/>
      <c r="HO30" s="84">
        <v>1000</v>
      </c>
      <c r="IJ30" s="5"/>
      <c r="IQ30" s="84">
        <v>1000</v>
      </c>
      <c r="JL30" s="5"/>
      <c r="JS30" s="84">
        <v>1000</v>
      </c>
      <c r="KN30" s="5"/>
      <c r="KU30" s="84">
        <v>1000</v>
      </c>
      <c r="LP30" s="5"/>
      <c r="LW30" s="84">
        <v>1000</v>
      </c>
      <c r="MR30" s="5"/>
      <c r="MY30" s="84">
        <v>1000</v>
      </c>
      <c r="NT30" s="5"/>
      <c r="OA30" s="84">
        <v>1000</v>
      </c>
      <c r="OV30" s="5"/>
      <c r="PC30" s="84">
        <v>1000</v>
      </c>
      <c r="PX30" s="5"/>
      <c r="QE30" s="84">
        <v>1000</v>
      </c>
    </row>
    <row r="31" spans="1:476" ht="17" hidden="1" x14ac:dyDescent="0.2">
      <c r="A31" s="78"/>
      <c r="B31" s="76" t="s">
        <v>55</v>
      </c>
      <c r="C31" s="85"/>
      <c r="S31" s="16"/>
      <c r="T31" s="16"/>
      <c r="U31" s="16"/>
      <c r="AQ31" s="5"/>
      <c r="AX31" s="86">
        <v>1000</v>
      </c>
      <c r="BT31" s="5"/>
      <c r="CA31" s="86">
        <v>1000</v>
      </c>
      <c r="CW31" s="5"/>
      <c r="DD31" s="86">
        <v>1000</v>
      </c>
      <c r="EB31" s="5"/>
      <c r="EI31" s="86">
        <v>1000</v>
      </c>
      <c r="FD31" s="5"/>
      <c r="FK31" s="86">
        <v>1000</v>
      </c>
      <c r="GF31" s="5"/>
      <c r="GM31" s="86">
        <v>1000</v>
      </c>
      <c r="HH31" s="5"/>
      <c r="HO31" s="86">
        <v>1000</v>
      </c>
      <c r="IJ31" s="5"/>
      <c r="IQ31" s="86">
        <v>1000</v>
      </c>
      <c r="JL31" s="5"/>
      <c r="JS31" s="86">
        <v>1000</v>
      </c>
      <c r="KN31" s="5"/>
      <c r="KU31" s="86">
        <v>1000</v>
      </c>
      <c r="LP31" s="5"/>
      <c r="LW31" s="86">
        <v>1000</v>
      </c>
      <c r="MR31" s="5"/>
      <c r="MY31" s="86">
        <v>1000</v>
      </c>
      <c r="NT31" s="5"/>
      <c r="OA31" s="86">
        <v>1000</v>
      </c>
      <c r="OV31" s="5"/>
      <c r="PC31" s="86">
        <v>1000</v>
      </c>
      <c r="PX31" s="5"/>
      <c r="QE31" s="86">
        <v>1000</v>
      </c>
    </row>
    <row r="32" spans="1:476" ht="17" hidden="1" x14ac:dyDescent="0.2">
      <c r="A32" s="78"/>
      <c r="B32" s="87" t="s">
        <v>62</v>
      </c>
      <c r="C32" s="85"/>
      <c r="S32" s="16"/>
      <c r="T32" s="16"/>
      <c r="U32" s="16"/>
      <c r="AQ32" s="5"/>
      <c r="AX32" s="97">
        <v>1000</v>
      </c>
      <c r="BT32" s="5"/>
      <c r="CA32" s="97">
        <v>1000</v>
      </c>
      <c r="CW32" s="5"/>
      <c r="DD32" s="97">
        <v>1000</v>
      </c>
      <c r="EB32" s="5"/>
      <c r="EI32" s="97">
        <v>1000</v>
      </c>
      <c r="FD32" s="5"/>
      <c r="FK32" s="97">
        <v>1000</v>
      </c>
      <c r="GF32" s="5"/>
      <c r="GM32" s="97">
        <v>1000</v>
      </c>
      <c r="HH32" s="5"/>
      <c r="HO32" s="97">
        <v>1000</v>
      </c>
      <c r="IJ32" s="5"/>
      <c r="IQ32" s="97">
        <v>1000</v>
      </c>
      <c r="JL32" s="5"/>
      <c r="JS32" s="97">
        <v>1000</v>
      </c>
      <c r="KN32" s="5"/>
      <c r="KU32" s="97">
        <v>1000</v>
      </c>
      <c r="LP32" s="5"/>
      <c r="LW32" s="97">
        <v>1000</v>
      </c>
      <c r="MR32" s="5"/>
      <c r="MY32" s="97">
        <v>1000</v>
      </c>
      <c r="NT32" s="5"/>
      <c r="OA32" s="97">
        <v>1000</v>
      </c>
      <c r="OV32" s="5"/>
      <c r="PC32" s="97">
        <v>1000</v>
      </c>
      <c r="PX32" s="5"/>
      <c r="QE32" s="97">
        <v>1000</v>
      </c>
    </row>
    <row r="33" spans="1:457" ht="17" x14ac:dyDescent="0.2">
      <c r="A33" s="78"/>
      <c r="B33" s="89" t="s">
        <v>41</v>
      </c>
      <c r="C33" s="85"/>
      <c r="S33" s="16"/>
      <c r="T33" s="16"/>
      <c r="U33" s="16"/>
      <c r="AQ33" s="5"/>
      <c r="AU33" s="67" t="s">
        <v>180</v>
      </c>
      <c r="AX33" s="98">
        <v>2.0000000000000001E-4</v>
      </c>
      <c r="BT33" s="5"/>
      <c r="BX33" s="67" t="s">
        <v>180</v>
      </c>
      <c r="CA33" s="98">
        <v>2.0000000000000001E-4</v>
      </c>
      <c r="CW33" s="5"/>
      <c r="DD33" s="98">
        <v>49.6</v>
      </c>
      <c r="EB33" s="5"/>
      <c r="EF33" s="67" t="s">
        <v>180</v>
      </c>
      <c r="EI33" s="98">
        <v>2.0000000000000001E-4</v>
      </c>
      <c r="FD33" s="5"/>
      <c r="FK33" s="98">
        <v>49.6</v>
      </c>
      <c r="GF33" s="5"/>
      <c r="GM33" s="98">
        <v>49.6</v>
      </c>
      <c r="HH33" s="5"/>
      <c r="HO33" s="98">
        <v>49.6</v>
      </c>
      <c r="IJ33" s="5"/>
      <c r="IQ33" s="98">
        <v>49.6</v>
      </c>
      <c r="JL33" s="5"/>
      <c r="JS33" s="98">
        <v>49.6</v>
      </c>
      <c r="KN33" s="5"/>
      <c r="KU33" s="98">
        <v>49.6</v>
      </c>
      <c r="LP33" s="5"/>
      <c r="LW33" s="98">
        <v>49.6</v>
      </c>
      <c r="MR33" s="5"/>
      <c r="MY33" s="98">
        <v>49.6</v>
      </c>
      <c r="NT33" s="5"/>
      <c r="OA33" s="98">
        <v>49.6</v>
      </c>
      <c r="OV33" s="5"/>
      <c r="PC33" s="98">
        <v>49.6</v>
      </c>
      <c r="PX33" s="5"/>
      <c r="QE33" s="98">
        <v>49.6</v>
      </c>
    </row>
    <row r="34" spans="1:457" ht="17" hidden="1" x14ac:dyDescent="0.2">
      <c r="A34" s="78"/>
      <c r="B34" s="91" t="s">
        <v>42</v>
      </c>
      <c r="C34" s="85"/>
      <c r="S34" s="16"/>
      <c r="T34" s="16"/>
      <c r="U34" s="16"/>
      <c r="AQ34" s="5"/>
      <c r="AX34" s="92">
        <v>1000</v>
      </c>
      <c r="BT34" s="5"/>
      <c r="CA34" s="92">
        <v>1000</v>
      </c>
      <c r="CW34" s="5"/>
      <c r="DD34" s="92">
        <v>1000</v>
      </c>
      <c r="EB34" s="5"/>
      <c r="EI34" s="92">
        <v>1000</v>
      </c>
      <c r="FD34" s="5"/>
      <c r="FK34" s="92">
        <v>1000</v>
      </c>
      <c r="GF34" s="5"/>
      <c r="GM34" s="92">
        <v>1000</v>
      </c>
      <c r="HH34" s="5"/>
      <c r="HO34" s="92">
        <v>1000</v>
      </c>
      <c r="IJ34" s="5"/>
      <c r="IQ34" s="92">
        <v>1000</v>
      </c>
      <c r="JL34" s="5"/>
      <c r="JS34" s="92">
        <v>1000</v>
      </c>
      <c r="KN34" s="5"/>
      <c r="KU34" s="92">
        <v>1000</v>
      </c>
      <c r="LP34" s="5"/>
      <c r="LW34" s="92">
        <v>1000</v>
      </c>
      <c r="MR34" s="5"/>
      <c r="MY34" s="92">
        <v>1000</v>
      </c>
      <c r="NT34" s="5"/>
      <c r="OA34" s="92">
        <v>1000</v>
      </c>
      <c r="OV34" s="5"/>
      <c r="PC34" s="92">
        <v>1000</v>
      </c>
      <c r="PX34" s="5"/>
      <c r="QE34" s="92">
        <v>1000</v>
      </c>
    </row>
    <row r="35" spans="1:457" ht="17" hidden="1" x14ac:dyDescent="0.2">
      <c r="A35" s="78"/>
      <c r="B35" s="93" t="s">
        <v>54</v>
      </c>
      <c r="C35" s="85"/>
      <c r="S35" s="16"/>
      <c r="T35" s="16"/>
      <c r="U35" s="16"/>
      <c r="AQ35" s="5"/>
      <c r="AX35" s="94">
        <v>1000</v>
      </c>
      <c r="BT35" s="5"/>
      <c r="CA35" s="94">
        <v>1000</v>
      </c>
      <c r="CW35" s="5"/>
      <c r="DD35" s="94">
        <v>1000</v>
      </c>
      <c r="EB35" s="5"/>
      <c r="EI35" s="94">
        <v>1000</v>
      </c>
      <c r="FD35" s="5"/>
      <c r="FK35" s="94">
        <v>1000</v>
      </c>
      <c r="GF35" s="5"/>
      <c r="GM35" s="94">
        <v>1000</v>
      </c>
      <c r="HH35" s="5"/>
      <c r="HO35" s="94">
        <v>1000</v>
      </c>
      <c r="IJ35" s="5"/>
      <c r="IQ35" s="94">
        <v>1000</v>
      </c>
      <c r="JL35" s="5"/>
      <c r="JS35" s="94">
        <v>1000</v>
      </c>
      <c r="KN35" s="5"/>
      <c r="KU35" s="94">
        <v>1000</v>
      </c>
      <c r="LP35" s="5"/>
      <c r="LW35" s="94">
        <v>1000</v>
      </c>
      <c r="MR35" s="5"/>
      <c r="MY35" s="94">
        <v>1000</v>
      </c>
      <c r="NT35" s="5"/>
      <c r="OA35" s="94">
        <v>1000</v>
      </c>
      <c r="OV35" s="5"/>
      <c r="PC35" s="94">
        <v>1000</v>
      </c>
      <c r="PX35" s="5"/>
      <c r="QE35" s="94">
        <v>1000</v>
      </c>
    </row>
    <row r="36" spans="1:457" ht="17" hidden="1" x14ac:dyDescent="0.2">
      <c r="A36" s="78"/>
      <c r="B36" s="95" t="s">
        <v>28</v>
      </c>
      <c r="C36" s="85"/>
      <c r="S36" s="16"/>
      <c r="T36" s="16"/>
      <c r="U36" s="16"/>
      <c r="AQ36" s="5"/>
      <c r="AX36" s="96">
        <v>1000</v>
      </c>
      <c r="BT36" s="5"/>
      <c r="CA36" s="96">
        <v>1000</v>
      </c>
      <c r="CW36" s="5"/>
      <c r="DD36" s="96">
        <v>1000</v>
      </c>
      <c r="EB36" s="5"/>
      <c r="EI36" s="96">
        <v>1000</v>
      </c>
      <c r="FD36" s="5"/>
      <c r="FK36" s="96">
        <v>1000</v>
      </c>
      <c r="GF36" s="5"/>
      <c r="GM36" s="96">
        <v>1000</v>
      </c>
      <c r="HH36" s="5"/>
      <c r="HO36" s="96">
        <v>1000</v>
      </c>
      <c r="IJ36" s="5"/>
      <c r="IQ36" s="96">
        <v>1000</v>
      </c>
      <c r="JL36" s="5"/>
      <c r="JS36" s="96">
        <v>1000</v>
      </c>
      <c r="KN36" s="5"/>
      <c r="KU36" s="96">
        <v>1000</v>
      </c>
      <c r="LP36" s="5"/>
      <c r="LW36" s="96">
        <v>1000</v>
      </c>
      <c r="MR36" s="5"/>
      <c r="MY36" s="96">
        <v>1000</v>
      </c>
      <c r="NT36" s="5"/>
      <c r="OA36" s="96">
        <v>1000</v>
      </c>
      <c r="OV36" s="5"/>
      <c r="PC36" s="96">
        <v>1000</v>
      </c>
      <c r="PX36" s="5"/>
      <c r="QE36" s="96">
        <v>1000</v>
      </c>
    </row>
    <row r="37" spans="1:457" x14ac:dyDescent="0.2">
      <c r="B37" s="47" t="s">
        <v>47</v>
      </c>
      <c r="C37" s="2"/>
    </row>
    <row r="38" spans="1:457" x14ac:dyDescent="0.2">
      <c r="A38" s="78"/>
      <c r="B38" s="78"/>
      <c r="C38" s="85"/>
      <c r="QG38" s="2"/>
      <c r="QH38" s="2"/>
      <c r="QI38" s="2"/>
      <c r="QJ38" s="2"/>
      <c r="QK38" s="2"/>
      <c r="QL38" s="2"/>
      <c r="QM38" s="2"/>
      <c r="QN38" s="2"/>
      <c r="QO38" s="2"/>
    </row>
    <row r="39" spans="1:457" x14ac:dyDescent="0.2">
      <c r="A39" s="78"/>
      <c r="B39" s="78"/>
      <c r="C39" s="85"/>
    </row>
    <row r="40" spans="1:457" x14ac:dyDescent="0.2">
      <c r="A40" s="78"/>
      <c r="B40" s="78"/>
      <c r="C40" s="85"/>
    </row>
    <row r="41" spans="1:457" x14ac:dyDescent="0.2">
      <c r="A41" s="78"/>
      <c r="B41" s="78"/>
      <c r="C41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6">
      <sortCondition descending="1" ref="F1:F27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6">
    <cfRule type="expression" dxfId="55" priority="1" stopIfTrue="1">
      <formula>IF($AP4&lt;&gt;"",1,0)</formula>
    </cfRule>
  </conditionalFormatting>
  <conditionalFormatting sqref="AY4:CA26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26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3" priority="13" operator="between">
      <formula>AX$29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" operator="between">
      <formula>AX$33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41" priority="15" operator="between">
      <formula>AX$29</formula>
      <formula>AX$30</formula>
    </cfRule>
    <cfRule type="cellIs" dxfId="40" priority="16" operator="between">
      <formula>AX$30</formula>
      <formula>AX$31</formula>
    </cfRule>
    <cfRule type="cellIs" dxfId="39" priority="17" operator="between">
      <formula>AX$31</formula>
      <formula>AX$32</formula>
    </cfRule>
    <cfRule type="cellIs" dxfId="38" priority="18" operator="between">
      <formula>AX$32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7" priority="19" operator="between">
      <formula>AX$33</formula>
      <formula>AX$34</formula>
    </cfRule>
    <cfRule type="cellIs" dxfId="36" priority="20" operator="between">
      <formula>AX$34</formula>
      <formula>AX$35</formula>
    </cfRule>
    <cfRule type="cellIs" dxfId="35" priority="21" operator="between">
      <formula>AX$35</formula>
      <formula>AX$36</formula>
    </cfRule>
    <cfRule type="cellIs" dxfId="34" priority="22" operator="between">
      <formula>AX$36</formula>
      <formula>1000</formula>
    </cfRule>
  </conditionalFormatting>
  <conditionalFormatting sqref="BX1:BX32 DA1:DA1048576 EF1:EF32 FH1:FH1048576 GJ1:GJ1048576 HL1:HL1048576 IN1:IN1048576 JP1:JP1048576 KR1:KR1048576 LT1:LT1048576 MV1:MV1048576 NX1:NX1048576 OZ1:OZ1048576 QB1:QB1048576 AU1:AU32 AU34:AU1048576 BX34:BX1048576 EF34:EF1048576">
    <cfRule type="cellIs" dxfId="33" priority="23" operator="between">
      <formula>AX$36</formula>
      <formula>1000</formula>
    </cfRule>
    <cfRule type="cellIs" dxfId="32" priority="24" operator="between">
      <formula>AX$35</formula>
      <formula>AX$36</formula>
    </cfRule>
    <cfRule type="cellIs" dxfId="31" priority="25" operator="between">
      <formula>AX$34</formula>
      <formula>AX$35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26" operator="between">
      <formula>AX$32</formula>
      <formula>1000</formula>
    </cfRule>
    <cfRule type="cellIs" dxfId="29" priority="27" operator="between">
      <formula>AX$31</formula>
      <formula>AX$32</formula>
    </cfRule>
    <cfRule type="cellIs" dxfId="28" priority="28" operator="between">
      <formula>AX$30</formula>
      <formula>AX$31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3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customWidth="1"/>
    <col min="196" max="215" width="10.83203125" hidden="1" customWidth="1"/>
    <col min="216" max="223" width="10.83203125" style="67" hidden="1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7" t="s">
        <v>174</v>
      </c>
      <c r="N1" s="108" t="s">
        <v>26</v>
      </c>
      <c r="O1" s="107" t="s">
        <v>175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134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165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131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 t="s">
        <v>177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01" t="s">
        <v>169</v>
      </c>
      <c r="AI2" s="101"/>
      <c r="AJ2" s="101"/>
      <c r="AK2" s="101"/>
      <c r="AL2" s="111" t="s">
        <v>170</v>
      </c>
      <c r="AM2" s="111"/>
      <c r="AN2" s="111"/>
      <c r="AO2" s="111"/>
      <c r="AP2" s="72"/>
      <c r="AQ2" s="72" t="s">
        <v>171</v>
      </c>
      <c r="AR2" s="72" t="s">
        <v>172</v>
      </c>
      <c r="AS2" s="72" t="s">
        <v>168</v>
      </c>
      <c r="AT2" s="72" t="s">
        <v>22</v>
      </c>
      <c r="AU2" s="72" t="s">
        <v>21</v>
      </c>
      <c r="AV2" s="72" t="s">
        <v>57</v>
      </c>
      <c r="AW2" s="72" t="s">
        <v>173</v>
      </c>
      <c r="AX2" s="72" t="s">
        <v>15</v>
      </c>
      <c r="AY2" s="103" t="s">
        <v>166</v>
      </c>
      <c r="AZ2" s="103"/>
      <c r="BA2" s="103"/>
      <c r="BB2" s="103"/>
      <c r="BC2" s="103" t="s">
        <v>167</v>
      </c>
      <c r="BD2" s="103"/>
      <c r="BE2" s="103"/>
      <c r="BF2" s="103"/>
      <c r="BG2" s="103" t="s">
        <v>168</v>
      </c>
      <c r="BH2" s="103"/>
      <c r="BI2" s="103"/>
      <c r="BJ2" s="103"/>
      <c r="BK2" s="103" t="s">
        <v>169</v>
      </c>
      <c r="BL2" s="103"/>
      <c r="BM2" s="103"/>
      <c r="BN2" s="103"/>
      <c r="BO2" s="112" t="s">
        <v>170</v>
      </c>
      <c r="BP2" s="112"/>
      <c r="BQ2" s="112"/>
      <c r="BR2" s="112"/>
      <c r="BS2" s="71"/>
      <c r="BT2" s="71" t="s">
        <v>171</v>
      </c>
      <c r="BU2" s="71" t="s">
        <v>172</v>
      </c>
      <c r="BV2" s="71" t="s">
        <v>168</v>
      </c>
      <c r="BW2" s="71" t="s">
        <v>22</v>
      </c>
      <c r="BX2" s="71" t="s">
        <v>21</v>
      </c>
      <c r="BY2" s="71" t="s">
        <v>57</v>
      </c>
      <c r="BZ2" s="71" t="s">
        <v>173</v>
      </c>
      <c r="CA2" s="71" t="s">
        <v>15</v>
      </c>
      <c r="CB2" s="101" t="s">
        <v>166</v>
      </c>
      <c r="CC2" s="101"/>
      <c r="CD2" s="101"/>
      <c r="CE2" s="101"/>
      <c r="CF2" s="101" t="s">
        <v>167</v>
      </c>
      <c r="CG2" s="101"/>
      <c r="CH2" s="101"/>
      <c r="CI2" s="101"/>
      <c r="CJ2" s="101" t="s">
        <v>168</v>
      </c>
      <c r="CK2" s="101"/>
      <c r="CL2" s="101"/>
      <c r="CM2" s="101"/>
      <c r="CN2" s="101" t="s">
        <v>169</v>
      </c>
      <c r="CO2" s="101"/>
      <c r="CP2" s="101"/>
      <c r="CQ2" s="101"/>
      <c r="CR2" s="111" t="s">
        <v>170</v>
      </c>
      <c r="CS2" s="111"/>
      <c r="CT2" s="111"/>
      <c r="CU2" s="111"/>
      <c r="CV2" s="72"/>
      <c r="CW2" s="72" t="s">
        <v>171</v>
      </c>
      <c r="CX2" s="72" t="s">
        <v>172</v>
      </c>
      <c r="CY2" s="72" t="s">
        <v>168</v>
      </c>
      <c r="CZ2" s="72" t="s">
        <v>22</v>
      </c>
      <c r="DA2" s="72" t="s">
        <v>21</v>
      </c>
      <c r="DB2" s="72" t="s">
        <v>57</v>
      </c>
      <c r="DC2" s="72" t="s">
        <v>173</v>
      </c>
      <c r="DD2" s="72" t="s">
        <v>15</v>
      </c>
      <c r="DE2" s="77" t="s">
        <v>172</v>
      </c>
      <c r="DF2" s="77" t="s">
        <v>168</v>
      </c>
      <c r="DG2" s="77" t="s">
        <v>20</v>
      </c>
      <c r="DH2" s="101" t="s">
        <v>166</v>
      </c>
      <c r="DI2" s="101"/>
      <c r="DJ2" s="101"/>
      <c r="DK2" s="101"/>
      <c r="DL2" s="101" t="s">
        <v>167</v>
      </c>
      <c r="DM2" s="101"/>
      <c r="DN2" s="101"/>
      <c r="DO2" s="101"/>
      <c r="DP2" s="101" t="s">
        <v>168</v>
      </c>
      <c r="DQ2" s="101"/>
      <c r="DR2" s="101"/>
      <c r="DS2" s="101"/>
      <c r="DT2" s="101" t="s">
        <v>169</v>
      </c>
      <c r="DU2" s="101"/>
      <c r="DV2" s="101"/>
      <c r="DW2" s="101"/>
      <c r="DX2" s="110" t="s">
        <v>170</v>
      </c>
      <c r="DY2" s="110"/>
      <c r="DZ2" s="110"/>
      <c r="EA2" s="110"/>
      <c r="EB2" s="72" t="s">
        <v>171</v>
      </c>
      <c r="EC2" s="72" t="s">
        <v>172</v>
      </c>
      <c r="ED2" s="72" t="s">
        <v>168</v>
      </c>
      <c r="EE2" s="72" t="s">
        <v>22</v>
      </c>
      <c r="EF2" s="72" t="s">
        <v>21</v>
      </c>
      <c r="EG2" s="72" t="s">
        <v>57</v>
      </c>
      <c r="EH2" s="72" t="s">
        <v>173</v>
      </c>
      <c r="EI2" s="72" t="s">
        <v>15</v>
      </c>
      <c r="EJ2" s="103" t="s">
        <v>166</v>
      </c>
      <c r="EK2" s="103"/>
      <c r="EL2" s="103"/>
      <c r="EM2" s="103"/>
      <c r="EN2" s="103" t="s">
        <v>167</v>
      </c>
      <c r="EO2" s="103"/>
      <c r="EP2" s="103"/>
      <c r="EQ2" s="103"/>
      <c r="ER2" s="103" t="s">
        <v>168</v>
      </c>
      <c r="ES2" s="103"/>
      <c r="ET2" s="103"/>
      <c r="EU2" s="103"/>
      <c r="EV2" s="103" t="s">
        <v>169</v>
      </c>
      <c r="EW2" s="103"/>
      <c r="EX2" s="103"/>
      <c r="EY2" s="103"/>
      <c r="EZ2" s="112" t="s">
        <v>170</v>
      </c>
      <c r="FA2" s="112"/>
      <c r="FB2" s="112"/>
      <c r="FC2" s="112"/>
      <c r="FD2" s="71" t="s">
        <v>171</v>
      </c>
      <c r="FE2" s="71" t="s">
        <v>172</v>
      </c>
      <c r="FF2" s="71" t="s">
        <v>168</v>
      </c>
      <c r="FG2" s="71" t="s">
        <v>22</v>
      </c>
      <c r="FH2" s="71" t="s">
        <v>21</v>
      </c>
      <c r="FI2" s="71" t="s">
        <v>57</v>
      </c>
      <c r="FJ2" s="71" t="s">
        <v>173</v>
      </c>
      <c r="FK2" s="71" t="s">
        <v>15</v>
      </c>
      <c r="FL2" s="101" t="s">
        <v>166</v>
      </c>
      <c r="FM2" s="101"/>
      <c r="FN2" s="101"/>
      <c r="FO2" s="101"/>
      <c r="FP2" s="101" t="s">
        <v>167</v>
      </c>
      <c r="FQ2" s="101"/>
      <c r="FR2" s="101"/>
      <c r="FS2" s="101"/>
      <c r="FT2" s="101" t="s">
        <v>168</v>
      </c>
      <c r="FU2" s="101"/>
      <c r="FV2" s="101"/>
      <c r="FW2" s="101"/>
      <c r="FX2" s="101" t="s">
        <v>169</v>
      </c>
      <c r="FY2" s="101"/>
      <c r="FZ2" s="101"/>
      <c r="GA2" s="101"/>
      <c r="GB2" s="110" t="s">
        <v>170</v>
      </c>
      <c r="GC2" s="110"/>
      <c r="GD2" s="110"/>
      <c r="GE2" s="110"/>
      <c r="GF2" s="72" t="s">
        <v>171</v>
      </c>
      <c r="GG2" s="72" t="s">
        <v>172</v>
      </c>
      <c r="GH2" s="72" t="s">
        <v>168</v>
      </c>
      <c r="GI2" s="72" t="s">
        <v>22</v>
      </c>
      <c r="GJ2" s="72" t="s">
        <v>21</v>
      </c>
      <c r="GK2" s="72" t="s">
        <v>57</v>
      </c>
      <c r="GL2" s="72" t="s">
        <v>173</v>
      </c>
      <c r="GM2" s="72" t="s">
        <v>15</v>
      </c>
      <c r="GN2" s="103" t="s">
        <v>166</v>
      </c>
      <c r="GO2" s="103"/>
      <c r="GP2" s="103"/>
      <c r="GQ2" s="103"/>
      <c r="GR2" s="103" t="s">
        <v>167</v>
      </c>
      <c r="GS2" s="103"/>
      <c r="GT2" s="103"/>
      <c r="GU2" s="103"/>
      <c r="GV2" s="103" t="s">
        <v>168</v>
      </c>
      <c r="GW2" s="103"/>
      <c r="GX2" s="103"/>
      <c r="GY2" s="103"/>
      <c r="GZ2" s="103" t="s">
        <v>169</v>
      </c>
      <c r="HA2" s="103"/>
      <c r="HB2" s="103"/>
      <c r="HC2" s="103"/>
      <c r="HD2" s="112" t="s">
        <v>170</v>
      </c>
      <c r="HE2" s="112"/>
      <c r="HF2" s="112"/>
      <c r="HG2" s="112"/>
      <c r="HH2" s="71" t="s">
        <v>171</v>
      </c>
      <c r="HI2" s="71" t="s">
        <v>172</v>
      </c>
      <c r="HJ2" s="71" t="s">
        <v>168</v>
      </c>
      <c r="HK2" s="71" t="s">
        <v>22</v>
      </c>
      <c r="HL2" s="71" t="s">
        <v>21</v>
      </c>
      <c r="HM2" s="71" t="s">
        <v>57</v>
      </c>
      <c r="HN2" s="71" t="s">
        <v>173</v>
      </c>
      <c r="HO2" s="71" t="s">
        <v>15</v>
      </c>
      <c r="HP2" s="101" t="s">
        <v>166</v>
      </c>
      <c r="HQ2" s="101"/>
      <c r="HR2" s="101"/>
      <c r="HS2" s="101"/>
      <c r="HT2" s="101" t="s">
        <v>167</v>
      </c>
      <c r="HU2" s="101"/>
      <c r="HV2" s="101"/>
      <c r="HW2" s="101"/>
      <c r="HX2" s="101" t="s">
        <v>168</v>
      </c>
      <c r="HY2" s="101"/>
      <c r="HZ2" s="101"/>
      <c r="IA2" s="101"/>
      <c r="IB2" s="101" t="s">
        <v>169</v>
      </c>
      <c r="IC2" s="101"/>
      <c r="ID2" s="101"/>
      <c r="IE2" s="101"/>
      <c r="IF2" s="110" t="s">
        <v>170</v>
      </c>
      <c r="IG2" s="110"/>
      <c r="IH2" s="110"/>
      <c r="II2" s="110"/>
      <c r="IJ2" s="72" t="s">
        <v>171</v>
      </c>
      <c r="IK2" s="72" t="s">
        <v>172</v>
      </c>
      <c r="IL2" s="72" t="s">
        <v>168</v>
      </c>
      <c r="IM2" s="72" t="s">
        <v>22</v>
      </c>
      <c r="IN2" s="72" t="s">
        <v>21</v>
      </c>
      <c r="IO2" s="72" t="s">
        <v>57</v>
      </c>
      <c r="IP2" s="72" t="s">
        <v>173</v>
      </c>
      <c r="IQ2" s="72" t="s">
        <v>15</v>
      </c>
      <c r="IR2" s="103" t="s">
        <v>166</v>
      </c>
      <c r="IS2" s="103"/>
      <c r="IT2" s="103"/>
      <c r="IU2" s="103"/>
      <c r="IV2" s="103" t="s">
        <v>167</v>
      </c>
      <c r="IW2" s="103"/>
      <c r="IX2" s="103"/>
      <c r="IY2" s="103"/>
      <c r="IZ2" s="103" t="s">
        <v>168</v>
      </c>
      <c r="JA2" s="103"/>
      <c r="JB2" s="103"/>
      <c r="JC2" s="103"/>
      <c r="JD2" s="103" t="s">
        <v>169</v>
      </c>
      <c r="JE2" s="103"/>
      <c r="JF2" s="103"/>
      <c r="JG2" s="103"/>
      <c r="JH2" s="112" t="s">
        <v>170</v>
      </c>
      <c r="JI2" s="112"/>
      <c r="JJ2" s="112"/>
      <c r="JK2" s="112"/>
      <c r="JL2" s="71" t="s">
        <v>171</v>
      </c>
      <c r="JM2" s="71" t="s">
        <v>172</v>
      </c>
      <c r="JN2" s="71" t="s">
        <v>168</v>
      </c>
      <c r="JO2" s="71" t="s">
        <v>22</v>
      </c>
      <c r="JP2" s="71" t="s">
        <v>21</v>
      </c>
      <c r="JQ2" s="71" t="s">
        <v>57</v>
      </c>
      <c r="JR2" s="71" t="s">
        <v>173</v>
      </c>
      <c r="JS2" s="71" t="s">
        <v>15</v>
      </c>
      <c r="JT2" s="101" t="s">
        <v>166</v>
      </c>
      <c r="JU2" s="101"/>
      <c r="JV2" s="101"/>
      <c r="JW2" s="101"/>
      <c r="JX2" s="101" t="s">
        <v>167</v>
      </c>
      <c r="JY2" s="101"/>
      <c r="JZ2" s="101"/>
      <c r="KA2" s="101"/>
      <c r="KB2" s="101" t="s">
        <v>168</v>
      </c>
      <c r="KC2" s="101"/>
      <c r="KD2" s="101"/>
      <c r="KE2" s="101"/>
      <c r="KF2" s="101" t="s">
        <v>169</v>
      </c>
      <c r="KG2" s="101"/>
      <c r="KH2" s="101"/>
      <c r="KI2" s="101"/>
      <c r="KJ2" s="110" t="s">
        <v>170</v>
      </c>
      <c r="KK2" s="110"/>
      <c r="KL2" s="110"/>
      <c r="KM2" s="110"/>
      <c r="KN2" s="72" t="s">
        <v>171</v>
      </c>
      <c r="KO2" s="72" t="s">
        <v>172</v>
      </c>
      <c r="KP2" s="72" t="s">
        <v>168</v>
      </c>
      <c r="KQ2" s="72" t="s">
        <v>22</v>
      </c>
      <c r="KR2" s="72" t="s">
        <v>21</v>
      </c>
      <c r="KS2" s="72" t="s">
        <v>57</v>
      </c>
      <c r="KT2" s="72" t="s">
        <v>173</v>
      </c>
      <c r="KU2" s="72" t="s">
        <v>15</v>
      </c>
      <c r="KV2" s="103" t="s">
        <v>166</v>
      </c>
      <c r="KW2" s="103"/>
      <c r="KX2" s="103"/>
      <c r="KY2" s="103"/>
      <c r="KZ2" s="103" t="s">
        <v>167</v>
      </c>
      <c r="LA2" s="103"/>
      <c r="LB2" s="103"/>
      <c r="LC2" s="103"/>
      <c r="LD2" s="103" t="s">
        <v>168</v>
      </c>
      <c r="LE2" s="103"/>
      <c r="LF2" s="103"/>
      <c r="LG2" s="103"/>
      <c r="LH2" s="103" t="s">
        <v>169</v>
      </c>
      <c r="LI2" s="103"/>
      <c r="LJ2" s="103"/>
      <c r="LK2" s="103"/>
      <c r="LL2" s="112" t="s">
        <v>170</v>
      </c>
      <c r="LM2" s="112"/>
      <c r="LN2" s="112"/>
      <c r="LO2" s="112"/>
      <c r="LP2" s="71" t="s">
        <v>171</v>
      </c>
      <c r="LQ2" s="71" t="s">
        <v>172</v>
      </c>
      <c r="LR2" s="71" t="s">
        <v>168</v>
      </c>
      <c r="LS2" s="71" t="s">
        <v>22</v>
      </c>
      <c r="LT2" s="71" t="s">
        <v>21</v>
      </c>
      <c r="LU2" s="71" t="s">
        <v>57</v>
      </c>
      <c r="LV2" s="71" t="s">
        <v>173</v>
      </c>
      <c r="LW2" s="71" t="s">
        <v>15</v>
      </c>
      <c r="LX2" s="101" t="s">
        <v>166</v>
      </c>
      <c r="LY2" s="101"/>
      <c r="LZ2" s="101"/>
      <c r="MA2" s="101"/>
      <c r="MB2" s="101" t="s">
        <v>167</v>
      </c>
      <c r="MC2" s="101"/>
      <c r="MD2" s="101"/>
      <c r="ME2" s="101"/>
      <c r="MF2" s="101" t="s">
        <v>168</v>
      </c>
      <c r="MG2" s="101"/>
      <c r="MH2" s="101"/>
      <c r="MI2" s="101"/>
      <c r="MJ2" s="101" t="s">
        <v>169</v>
      </c>
      <c r="MK2" s="101"/>
      <c r="ML2" s="101"/>
      <c r="MM2" s="101"/>
      <c r="MN2" s="110" t="s">
        <v>170</v>
      </c>
      <c r="MO2" s="110"/>
      <c r="MP2" s="110"/>
      <c r="MQ2" s="110"/>
      <c r="MR2" s="72" t="s">
        <v>171</v>
      </c>
      <c r="MS2" s="72" t="s">
        <v>172</v>
      </c>
      <c r="MT2" s="72" t="s">
        <v>168</v>
      </c>
      <c r="MU2" s="72" t="s">
        <v>22</v>
      </c>
      <c r="MV2" s="72" t="s">
        <v>21</v>
      </c>
      <c r="MW2" s="72" t="s">
        <v>57</v>
      </c>
      <c r="MX2" s="72" t="s">
        <v>173</v>
      </c>
      <c r="MY2" s="72" t="s">
        <v>15</v>
      </c>
      <c r="MZ2" s="103" t="s">
        <v>166</v>
      </c>
      <c r="NA2" s="103"/>
      <c r="NB2" s="103"/>
      <c r="NC2" s="103"/>
      <c r="ND2" s="103" t="s">
        <v>167</v>
      </c>
      <c r="NE2" s="103"/>
      <c r="NF2" s="103"/>
      <c r="NG2" s="103"/>
      <c r="NH2" s="103" t="s">
        <v>168</v>
      </c>
      <c r="NI2" s="103"/>
      <c r="NJ2" s="103"/>
      <c r="NK2" s="103"/>
      <c r="NL2" s="103" t="s">
        <v>169</v>
      </c>
      <c r="NM2" s="103"/>
      <c r="NN2" s="103"/>
      <c r="NO2" s="103"/>
      <c r="NP2" s="112" t="s">
        <v>170</v>
      </c>
      <c r="NQ2" s="112"/>
      <c r="NR2" s="112"/>
      <c r="NS2" s="112"/>
      <c r="NT2" s="71" t="s">
        <v>171</v>
      </c>
      <c r="NU2" s="71" t="s">
        <v>172</v>
      </c>
      <c r="NV2" s="71" t="s">
        <v>168</v>
      </c>
      <c r="NW2" s="71" t="s">
        <v>22</v>
      </c>
      <c r="NX2" s="71" t="s">
        <v>21</v>
      </c>
      <c r="NY2" s="71" t="s">
        <v>57</v>
      </c>
      <c r="NZ2" s="71" t="s">
        <v>173</v>
      </c>
      <c r="OA2" s="71" t="s">
        <v>15</v>
      </c>
      <c r="OB2" s="101" t="s">
        <v>166</v>
      </c>
      <c r="OC2" s="101"/>
      <c r="OD2" s="101"/>
      <c r="OE2" s="101"/>
      <c r="OF2" s="101" t="s">
        <v>167</v>
      </c>
      <c r="OG2" s="101"/>
      <c r="OH2" s="101"/>
      <c r="OI2" s="101"/>
      <c r="OJ2" s="101" t="s">
        <v>168</v>
      </c>
      <c r="OK2" s="101"/>
      <c r="OL2" s="101"/>
      <c r="OM2" s="101"/>
      <c r="ON2" s="101" t="s">
        <v>169</v>
      </c>
      <c r="OO2" s="101"/>
      <c r="OP2" s="101"/>
      <c r="OQ2" s="101"/>
      <c r="OR2" s="110" t="s">
        <v>170</v>
      </c>
      <c r="OS2" s="110"/>
      <c r="OT2" s="110"/>
      <c r="OU2" s="110"/>
      <c r="OV2" s="72" t="s">
        <v>171</v>
      </c>
      <c r="OW2" s="72" t="s">
        <v>172</v>
      </c>
      <c r="OX2" s="72" t="s">
        <v>168</v>
      </c>
      <c r="OY2" s="72" t="s">
        <v>22</v>
      </c>
      <c r="OZ2" s="72" t="s">
        <v>21</v>
      </c>
      <c r="PA2" s="72" t="s">
        <v>57</v>
      </c>
      <c r="PB2" s="72" t="s">
        <v>173</v>
      </c>
      <c r="PC2" s="72" t="s">
        <v>15</v>
      </c>
      <c r="PD2" s="103" t="s">
        <v>166</v>
      </c>
      <c r="PE2" s="103"/>
      <c r="PF2" s="103"/>
      <c r="PG2" s="103"/>
      <c r="PH2" s="103" t="s">
        <v>167</v>
      </c>
      <c r="PI2" s="103"/>
      <c r="PJ2" s="103"/>
      <c r="PK2" s="103"/>
      <c r="PL2" s="103" t="s">
        <v>168</v>
      </c>
      <c r="PM2" s="103"/>
      <c r="PN2" s="103"/>
      <c r="PO2" s="103"/>
      <c r="PP2" s="103" t="s">
        <v>169</v>
      </c>
      <c r="PQ2" s="103"/>
      <c r="PR2" s="103"/>
      <c r="PS2" s="103"/>
      <c r="PT2" s="112" t="s">
        <v>170</v>
      </c>
      <c r="PU2" s="112"/>
      <c r="PV2" s="112"/>
      <c r="PW2" s="112"/>
      <c r="PX2" s="71" t="s">
        <v>171</v>
      </c>
      <c r="PY2" s="71" t="s">
        <v>172</v>
      </c>
      <c r="PZ2" s="71" t="s">
        <v>168</v>
      </c>
      <c r="QA2" s="71" t="s">
        <v>22</v>
      </c>
      <c r="QB2" s="71" t="s">
        <v>21</v>
      </c>
      <c r="QC2" s="71" t="s">
        <v>57</v>
      </c>
      <c r="QD2" s="71" t="s">
        <v>173</v>
      </c>
      <c r="QE2" s="71" t="s">
        <v>15</v>
      </c>
      <c r="QF2" s="101" t="s">
        <v>166</v>
      </c>
      <c r="QG2" s="101"/>
      <c r="QH2" s="101"/>
      <c r="QI2" s="101"/>
      <c r="QJ2" s="101" t="s">
        <v>167</v>
      </c>
      <c r="QK2" s="101"/>
      <c r="QL2" s="101"/>
      <c r="QM2" s="101"/>
      <c r="QN2" s="101" t="s">
        <v>168</v>
      </c>
      <c r="QO2" s="101"/>
      <c r="QP2" s="101"/>
      <c r="QQ2" s="101"/>
      <c r="QR2" s="101" t="s">
        <v>169</v>
      </c>
      <c r="QS2" s="101"/>
      <c r="QT2" s="101"/>
      <c r="QU2" s="101"/>
      <c r="QV2" s="111" t="s">
        <v>170</v>
      </c>
      <c r="QW2" s="111"/>
      <c r="QX2" s="111"/>
      <c r="QY2" s="111"/>
      <c r="QZ2" s="72"/>
      <c r="RA2" s="72" t="s">
        <v>171</v>
      </c>
      <c r="RB2" s="72" t="s">
        <v>172</v>
      </c>
      <c r="RC2" s="72" t="s">
        <v>168</v>
      </c>
      <c r="RD2" s="72" t="s">
        <v>22</v>
      </c>
      <c r="RE2" s="72" t="s">
        <v>21</v>
      </c>
      <c r="RF2" s="72" t="s">
        <v>57</v>
      </c>
      <c r="RG2" s="72" t="s">
        <v>173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 cm="1">
        <f t="array" ref="A4">IF(AND(F4="P",G4="P"),SUMPRODUCT((F$4:F$22="P")*(G$4:G$22="P")*(E$4:E$22&gt;E4))+1,IF(G4="P",SUMPRODUCT((F$4:F$22="")*(G$4:G$22="P")*(E$4:E$22&gt;E4))+1+SUMPRODUCT((F$4:F$22="P")*(G$4:G$22="P")),""))</f>
        <v>1</v>
      </c>
      <c r="B4" s="78" t="s">
        <v>93</v>
      </c>
      <c r="C4" s="5" t="s">
        <v>5</v>
      </c>
      <c r="D4" s="5">
        <v>2001</v>
      </c>
      <c r="E4" s="15">
        <f t="shared" ref="E4:E21" si="0">SUM(I4:S4)+SUM(I4:O4)*0.0000001+SUM(I4)*0.0000000000001</f>
        <v>175.80000743002506</v>
      </c>
      <c r="F4" s="3" t="str">
        <f t="shared" ref="F4:F21" si="1">IF(OR(AND(AQ4&gt;=AX$24,AR4&gt;=AX$28,AQ4&lt;&gt;"",AP4=""),AND(AV4&gt;=AX$24,AW4&gt;=AX$28,AV4&lt;&gt;"",AP4=""),AND(BT4&gt;=CA$24,BU4&gt;=CA$28,BT4&lt;&gt;"",BS4=""),AND(BY4&gt;=CA$24,BZ4&gt;=CA$28,BY4&lt;&gt;"",BS4=""),AND(CW4&gt;=DD$24,CX4&gt;=DD$28,CW4&lt;&gt;"",CV4=""),AND(DB4&gt;=DD$24,DC4&gt;=DD$28,DB4&lt;&gt;""),AND(EB4&gt;=EI$24,EC4&gt;=EI$28,EB4&lt;&gt;""),AND(EG4&gt;=EI$24,EH4&gt;=EI$28,EG4&lt;&gt;""),AND(FD4&gt;=FK$24,FE4&gt;=FK$28,FD4&lt;&gt;""),AND(FI4&gt;=FK$24,FJ4&gt;=FK$28,FI4&lt;&gt;""),AND(GF4&gt;=GM$24,GG4&gt;=GM$28,GF4&lt;&gt;""),AND(GK4&gt;=GM$24,GL4&gt;=GM$28,GK4&lt;&gt;""),AND(HH4&gt;=HO$24,HI4&gt;=HO$28,HH4&lt;&gt;""),AND(HM4&gt;=HO$24,HN4&gt;=HO$28,HM4&lt;&gt;""),AND(IJ4&gt;=IQ$24,IK4&gt;=IQ$28,IJ4&lt;&gt;""),AND(IO4&gt;=IQ$24,IP4&gt;=IQ$28,IO4&lt;&gt;""),AND(JL4&gt;=JS$24,JM4&gt;=JS$28,JL4&lt;&gt;""),AND(JQ4&gt;=JS$24,JR4&gt;=JS$28,JQ4&lt;&gt;""),AND(KN4&gt;=KU$24,KO4&gt;=KU$28,KN4&lt;&gt;""),AND(KS4&gt;=KU$24,KT4&gt;=KU$28,KS4&lt;&gt;""),AND(LP4&gt;=LW$24,LQ4&gt;=LW$28,LP4&lt;&gt;""),AND(LU4&gt;=LW$24,LV4&gt;=LW$28,LU4&lt;&gt;""),AND(MR4&gt;=MY$24,MS4&gt;=MY$28,MR4&lt;&gt;""),AND(MW4&gt;=MY$24,MX4&gt;=MY$28,MW4&lt;&gt;""),AND(NT4&gt;=OA$24,NU4&gt;=OA$28,NT4&lt;&gt;""),AND(NY4&gt;=OA$24,NZ4&gt;=OA$28,NY4&lt;&gt;""),AND(OV4&gt;=PC$24,OW4&gt;=PC$28,OV4&lt;&gt;""),AND(PA4&gt;=PC$24,PB4&gt;=PC$28,PA4&lt;&gt;""),AND(PX4&gt;=QE$24,PY4&gt;=QE$28,PX4&lt;&gt;""),AND(QC4&gt;=QE$24,QD4&gt;=QE$28,QC4&lt;&gt;"")),"P","")</f>
        <v>P</v>
      </c>
      <c r="G4" s="3" t="str">
        <f t="shared" ref="G4:G21" si="2">IF(OR(AND(AR4&gt;=AX$28,AR4&lt;&gt;"",AP4=""),AND(AW4&gt;=AX$28,AW4&lt;&gt;"",AP4=""),AND(BU4&gt;=CA$28,BU4&lt;&gt;"",BS4=""),AND(BZ4&gt;=CA$28,BZ4&lt;&gt;"",BS4=""),AND(CX4&gt;=DD$28,CX4&lt;&gt;"",CV4=""),AND(DC4&gt;=DD$28,DC4&lt;&gt;"",CV4=""),AND(EC4&gt;=EI$28,EC4&lt;&gt;""),AND(EH4&gt;=EI$28,EH4&lt;&gt;""),AND(FE4&gt;=FK$28,FE4&lt;&gt;""),AND(FJ4&gt;=FK$28,FJ4&lt;&gt;""),AND(GG4&gt;=GM$28,GG4&lt;&gt;""),AND(GL4&gt;=GM$28,GL4&lt;&gt;""),AND(HI4&gt;=HO$28,HI4&lt;&gt;""),AND(HN4&gt;=HO$28,HN4&lt;&gt;""),AND(IK4&gt;=IQ$28,IK4&lt;&gt;""),AND(IP4&gt;=IQ$28,IP4&lt;&gt;""),AND(JM4&gt;=JS$28,JM4&lt;&gt;""),AND(JR4&gt;=JS$28,JR4&lt;&gt;""),AND(KO4&gt;=KU$28,KO4&lt;&gt;""),AND(KT4&gt;=KU$28,KT4&lt;&gt;""),AND(LQ4&gt;=LW$28,LQ4&lt;&gt;""),AND(LV4&gt;=LW$28,LV4&lt;&gt;""),AND(MS4&gt;=MY$28,MS4&lt;&gt;""),AND(MX4&gt;=MY$28,MX4&lt;&gt;""),AND(NU4&gt;=OA$28,NU4&lt;&gt;""),AND(NZ4&gt;=OA$28,NZ4&lt;&gt;""),AND(OW4&gt;=PC$28,OW4&lt;&gt;""),AND(PB4&gt;=PC$28,PB4&lt;&gt;""),AND(PY4&gt;=QE$28,PY4&lt;&gt;""),AND(QD4&gt;=QE$28,QD4&lt;&gt;"")),"P","")</f>
        <v>P</v>
      </c>
      <c r="H4" s="67" t="str">
        <f t="shared" ref="H4:H21" si="3">IF(AND(G4="P",F4=""),"No DD",IF(OR(AND(AT4&gt;=AX$27,AU4&gt;=AX$31,AT4&lt;&gt;"",AP4=""),AND(BW4&gt;=CA$27,BX4&gt;=CA$31,BW4&lt;&gt;"",BS4=""),AND(CZ4&gt;=DD$27,DA4&gt;=DD$31,CZ4&lt;&gt;"",CV4=""),AND(EE4&gt;=EI$27,EF4&gt;=EI$31,EE4&lt;&gt;""),AND(FG4&gt;=FK$27,FH4&gt;=FK$31,FG4&lt;&gt;""),AND(GI4&gt;=GM$27,GJ4&gt;=GM$31,GI4&lt;&gt;""),AND(HK4&gt;=HO$27,HL4&gt;=HO$31,HK4&lt;&gt;""),AND(IM4&gt;=IQ$27,IN4&gt;=IQ$31,IM4&lt;&gt;""),AND(JO4&gt;=JS$27,JP4&gt;=JS$31,JO4&lt;&gt;""),AND(KQ4&gt;=KU$27,KR4&gt;=KU$31,KQ4&lt;&gt;""),AND(LS4&gt;=LW$27,LT4&gt;=LW$31,LS4&lt;&gt;""),AND(MU4&gt;=MY$27,MV4&gt;=MY$31,MU4&lt;&gt;""),AND(NW4&gt;=OA$27,NX4&gt;=OA$31,NW4&lt;&gt;""),AND(OY4&gt;=PC$27,OZ4&gt;=PC$31,OY4&lt;&gt;""),AND(QA4&gt;=QE$27,QB4&gt;=QE$31,QA4&lt;&gt;"")),"Merit",IF(OR(AND(AT4&gt;=AX$26,AU4&gt;=AX$30,AT4&lt;&gt;"",AP4=""),AND(BW4&gt;=CA$26,BX4&gt;=CA$30,BW4&lt;&gt;"",BS4=""),AND(CZ4&gt;=DD$26,DA4&gt;=DD$30,CZ4&lt;&gt;"",CV4=""),AND(EE4&gt;=EI$26,EF4&gt;=EI$30,EE4&lt;&gt;""),AND(FG4&gt;=FK$26,FH4&gt;=FK$30,FG4&lt;&gt;""),AND(GI4&gt;=GM$26,GJ4&gt;=GM$30,GI4&lt;&gt;""),AND(HK4&gt;=HO$26,HL4&gt;=HO$30,HK4&lt;&gt;""),AND(IM4&gt;=IQ$26,IN4&gt;=IQ$30,IM4&lt;&gt;""),AND(JO4&gt;=JS$26,JP4&gt;=JS$30,JO4&lt;&gt;""),AND(KQ4&gt;=KU$26,KR4&gt;=KU$30,KQ4&lt;&gt;""),AND(LS4&gt;=LW$26,LT4&gt;=LW$30,LS4&lt;&gt;""),AND(MU4&gt;=MY$26,MV4&gt;=MY$30,MU4&lt;&gt;""),AND(NW4&gt;=OA$26,NX4&gt;=OA$30,NW4&lt;&gt;""),AND(OY4&gt;=PC$26,OZ4&gt;=PC$30,OY4&lt;&gt;""),AND(QA4&gt;=QE$26,QB4&gt;=QE$30,QA4&lt;&gt;"")),"Excellence",IF(F4="P","National Team",""))))</f>
        <v>National Team</v>
      </c>
      <c r="I4" s="14">
        <f>IF(COUNT(AR4,BU4,CX4)&gt;0,LARGE((AR4,BU4,CX4),1),0)</f>
        <v>50.8</v>
      </c>
      <c r="J4" s="14" t="str">
        <f t="shared" ref="J4:J21" si="4"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 t="shared" ref="L4:L21" si="5">IF(K4=0,"",IF(K4=CX4,$CB$1,IF(K4=BU4,$AY$1,IF(K4=AR4,$V$1,""))))</f>
        <v>2021 Canadian Championships</v>
      </c>
      <c r="M4" s="14">
        <f>IF(COUNT(AS4,BV4,CY4)&gt;0,LARGE((AS4,BV4,CY4),1),0)</f>
        <v>23.5</v>
      </c>
      <c r="N4" s="14" t="str">
        <f t="shared" ref="N4:N21" si="6">IF(M4=0,"",IF(M4=CY4,$CB$1,IF(M4=BV4,$AY$1,IF(M4=AS4,$V$1,""))))</f>
        <v>2022 Elite Canada</v>
      </c>
      <c r="O4" s="14">
        <f>IF(COUNT(AS4,BV4,CY4)&gt;1,LARGE((AS4,BV4,CY4),2),0)</f>
        <v>0</v>
      </c>
      <c r="P4" s="14" t="str">
        <f t="shared" ref="P4:P21" si="7">IF(O4=0,"",IF(O4=CY4,$CB$1,IF(O4=BV4,$AY$1,IF(O4=AS4,$V$1,""))))</f>
        <v/>
      </c>
      <c r="Q4" s="14">
        <f t="shared" ref="Q4:Q21" si="8">IF(MAX(AW4,BZ4,DC4)&gt;0,MAX(AW4,BZ4,DC4),0)</f>
        <v>50.5</v>
      </c>
      <c r="R4" s="14" t="str">
        <f t="shared" ref="R4:R21" si="9">IF(Q4=0,"",IF(Q4=DC4,$CB$1,IF(Q4=BZ4,$AY$1,IF(Q4=AW4,$V$1,""))))</f>
        <v>2022 Elite Canada</v>
      </c>
      <c r="S4" s="14">
        <f t="shared" ref="S4:S21" si="10">IF(MAX(DE4:DG4)&gt;0,MAX(DE4:DG4),"")</f>
        <v>50.999799999999993</v>
      </c>
      <c r="T4" s="20" t="str">
        <f t="shared" ref="T4:T21" si="11">IF(S4="","",IF(S4=DE4,"("&amp;DE$2&amp;")",IF(S4=DG4,"("&amp;DG$2&amp;")")))</f>
        <v>(Q1)</v>
      </c>
      <c r="U4" s="14" t="str">
        <f t="shared" ref="U4:U21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 t="str">
        <f t="shared" ref="AQ4:AQ21" si="13">IF(SUM(W4,AA4)&gt;0,SUM(W4,AA4),"")</f>
        <v/>
      </c>
      <c r="AR4" s="79" t="str">
        <f t="shared" ref="AR4:AR21" si="14">IF(SUM(V4:W4,Y4:AA4,AC4)-X4-AB4&gt;0,SUM(V4:W4,Y4:AA4,AC4)-X4-AB4,"")</f>
        <v/>
      </c>
      <c r="AS4" s="79" t="str">
        <f t="shared" ref="AS4:AS21" si="15">IF(SUM(AD4:AE4,AG4)-AF4&gt;0,SUM(AD4:AE4,AG4)-AF4,"")</f>
        <v/>
      </c>
      <c r="AT4" s="79" t="str">
        <f t="shared" ref="AT4:AT21" si="16">IF(SUM(W4,AA4,AE4)&gt;0,SUM(W4,AA4,AE4),"")</f>
        <v/>
      </c>
      <c r="AU4" s="79" t="str">
        <f t="shared" ref="AU4:AU21" si="17">IF(SUM(AR4,AS4)&gt;0,SUM(AR4,AS4),"")</f>
        <v/>
      </c>
      <c r="AV4" s="79" t="str">
        <f t="shared" ref="AV4:AV21" si="18">IF(SUM(AI4,AM4)&gt;0,SUM(AI4,AM4),"")</f>
        <v/>
      </c>
      <c r="AW4" s="79" t="str">
        <f t="shared" ref="AW4:AW21" si="19">IF(SUM(AH4:AI4,AK4:AM4,AO4)-SUM(AJ4,AN4)&gt;0,SUM(AH4:AI4,AK4:AM4,AO4)-SUM(AJ4,AN4),"")</f>
        <v/>
      </c>
      <c r="AX4" s="79" t="str">
        <f t="shared" ref="AX4:AX21" si="20">IF(SUM(AR4,AW4)&gt;0,SUM(AR4,AW4),"")</f>
        <v/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 t="shared" ref="BT4:BT21" si="21">IF(SUM(AZ4,BD4)&gt;0,SUM(AZ4,BD4),"")</f>
        <v>1E-4</v>
      </c>
      <c r="BU4" s="20">
        <f t="shared" ref="BU4:BU21" si="22">IF(SUM(AY4:AZ4,BB4:BD4,BF4)-BA4-BE4&gt;0,SUM(AY4:AZ4,BB4:BD4,BF4)-BA4-BE4,"")</f>
        <v>2.0000000000000001E-4</v>
      </c>
      <c r="BV4" s="20" t="str">
        <f t="shared" ref="BV4:BV21" si="23">IF(SUM(BG4:BH4,BJ4)-BI4&gt;0,SUM(BG4:BH4,BJ4)-BI4,"")</f>
        <v/>
      </c>
      <c r="BW4" s="20">
        <f t="shared" ref="BW4:BW21" si="24">IF(SUM(AZ4,BD4,BH4)&gt;0,SUM(AZ4,BD4,BH4),"")</f>
        <v>1E-4</v>
      </c>
      <c r="BX4" s="20">
        <f t="shared" ref="BX4:BX21" si="25">IF(SUM(BU4,BV4)&gt;0,SUM(BU4,BV4),"")</f>
        <v>2.0000000000000001E-4</v>
      </c>
      <c r="BY4" s="20" t="str">
        <f t="shared" ref="BY4:BY21" si="26">IF(SUM(BL4,BP4)&gt;0,SUM(BL4,BP4),"")</f>
        <v/>
      </c>
      <c r="BZ4" s="20" t="str">
        <f t="shared" ref="BZ4:BZ21" si="27">IF(SUM(BK4:BL4,BN4:BP4,BR4)-SUM(BM4,BQ4)&gt;0,SUM(BK4:BL4,BN4:BP4,BR4)-SUM(BM4,BQ4),"")</f>
        <v/>
      </c>
      <c r="CA4" s="20">
        <f t="shared" ref="CA4:CA21" si="28">IF(SUM(BU4,BZ4)&gt;0,SUM(BU4,BZ4),"")</f>
        <v>2.0000000000000001E-4</v>
      </c>
      <c r="CB4" s="27">
        <v>18.8</v>
      </c>
      <c r="CC4" s="27">
        <v>6.8</v>
      </c>
      <c r="CD4" s="27">
        <v>0</v>
      </c>
      <c r="CE4" s="27">
        <v>0.3</v>
      </c>
      <c r="CF4" s="27">
        <v>18.600000000000001</v>
      </c>
      <c r="CG4" s="27">
        <v>6.8</v>
      </c>
      <c r="CH4" s="27">
        <v>0.8</v>
      </c>
      <c r="CI4" s="27">
        <v>0.3</v>
      </c>
      <c r="CJ4" s="27">
        <v>18.5</v>
      </c>
      <c r="CK4" s="27">
        <v>5.6</v>
      </c>
      <c r="CL4" s="27">
        <v>0.6</v>
      </c>
      <c r="CM4" s="27">
        <v>0</v>
      </c>
      <c r="CN4" s="27">
        <v>18.100000000000001</v>
      </c>
      <c r="CO4" s="27">
        <v>6.8</v>
      </c>
      <c r="CP4" s="27">
        <v>0.2</v>
      </c>
      <c r="CQ4" s="27">
        <v>0.6</v>
      </c>
      <c r="CR4" s="27">
        <v>18.8</v>
      </c>
      <c r="CS4" s="27">
        <v>6.4</v>
      </c>
      <c r="CT4" s="27">
        <v>0</v>
      </c>
      <c r="CU4" s="27">
        <v>0</v>
      </c>
      <c r="CV4" s="45"/>
      <c r="CW4" s="79">
        <f t="shared" ref="CW4:CW21" si="29">IF(SUM(CC4,CG4)&gt;0,SUM(CC4,CG4),"")</f>
        <v>13.6</v>
      </c>
      <c r="CX4" s="79">
        <f t="shared" ref="CX4:CX21" si="30">IF(SUM(CB4:CC4,CE4:CG4,CI4)-CD4-CH4&gt;0,SUM(CB4:CC4,CE4:CG4,CI4)-CD4-CH4,"")</f>
        <v>50.8</v>
      </c>
      <c r="CY4" s="79">
        <f t="shared" ref="CY4:CY21" si="31">IF(SUM(CJ4:CK4,CM4)-CL4&gt;0,SUM(CJ4:CK4,CM4)-CL4,"")</f>
        <v>23.5</v>
      </c>
      <c r="CZ4" s="79">
        <f t="shared" ref="CZ4:CZ21" si="32">IF(SUM(CC4,CG4,CK4)&gt;0,SUM(CC4,CG4,CK4),"")</f>
        <v>19.2</v>
      </c>
      <c r="DA4" s="79">
        <f t="shared" ref="DA4:DA21" si="33">IF(SUM(CX4,CY4)&gt;0,SUM(CX4,CY4),"")</f>
        <v>74.3</v>
      </c>
      <c r="DB4" s="79">
        <f t="shared" ref="DB4:DB21" si="34">IF(SUM(CO4,CS4)&gt;0,SUM(CO4,CS4),"")</f>
        <v>13.2</v>
      </c>
      <c r="DC4" s="79">
        <f t="shared" ref="DC4:DC21" si="35">IF(SUM(CN4:CO4,CQ4:CS4,CU4)-SUM(CP4,CT4)&gt;0,SUM(CN4:CO4,CQ4:CS4,CU4)-SUM(CP4,CT4),"")</f>
        <v>50.5</v>
      </c>
      <c r="DD4" s="79">
        <f t="shared" ref="DD4:DD21" si="36">IF(SUM(CX4,DC4)&gt;0,SUM(CX4,DC4),"")</f>
        <v>101.3</v>
      </c>
      <c r="DE4" s="80">
        <f t="shared" ref="DE4:DE21" si="37">IF(MAX(EC4,FE4,GG4,HI4,IK4,JM4,KO4,LQ4,MS4,NU4,OW4,PY4)-IF(K4="",0,K4)&gt;0.001,MAX(EC4,FE4,GG4,HI4,IK4,JM4,KO4,LQ4,MS4,NU4,OW4,PY4)-IF(K4="",0,K4),"")</f>
        <v>50.999799999999993</v>
      </c>
      <c r="DF4" s="80"/>
      <c r="DG4" s="80" t="str">
        <f t="shared" ref="DG4:DG21" si="38">IF(MAX(EH4,FJ4,GL4,HN4,IP4,JR4,KT4,LV4,MX4,NZ4,PB4,QD4)-IF(Q4="",0,Q4)&gt;0.001,MAX(EH4,FJ4,GL4,HN4,IP4,JR4,KT4,LV4,MX4,NZ4,PB4,QD4)-IF(Q4="",0,Q4),"")</f>
        <v/>
      </c>
      <c r="DH4" s="25">
        <v>1E-4</v>
      </c>
      <c r="DI4" s="25">
        <v>1E-4</v>
      </c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>
        <f t="shared" ref="EB4:EB21" si="39">IF(SUM(DI4,DM4)&gt;0,SUM(DI4,DM4),"")</f>
        <v>1E-4</v>
      </c>
      <c r="EC4" s="79">
        <f t="shared" ref="EC4:EC21" si="40">IF(SUM(DH4:DI4,DK4:DM4,DO4)-DJ4-DN4&gt;0,SUM(DH4:DI4,DK4:DM4,DO4)-DJ4-DN4,"")</f>
        <v>2.0000000000000001E-4</v>
      </c>
      <c r="ED4" s="79" t="str">
        <f t="shared" ref="ED4:ED21" si="41">IF(SUM(DP4:DQ4,DS4)-DR4&gt;0,SUM(DP4:DQ4,DS4)-DR4,"")</f>
        <v/>
      </c>
      <c r="EE4" s="79">
        <f t="shared" ref="EE4:EE21" si="42">IF(SUM(DI4,DM4,DQ4)&gt;0,SUM(DI4,DM4,DQ4),"")</f>
        <v>1E-4</v>
      </c>
      <c r="EF4" s="79">
        <f t="shared" ref="EF4:EF21" si="43">IF(SUM(EC4,ED4)&gt;0,SUM(EC4,ED4),"")</f>
        <v>2.0000000000000001E-4</v>
      </c>
      <c r="EG4" s="79" t="str">
        <f t="shared" ref="EG4:EG21" si="44">IF(SUM(DU4,DY4)&gt;0,SUM(DU4,DY4),"")</f>
        <v/>
      </c>
      <c r="EH4" s="79" t="str">
        <f t="shared" ref="EH4:EH21" si="45">IF(SUM(DT4:DU4,DW4:DY4,EA4)-SUM(DV4,DZ4)&gt;0,SUM(DT4:DU4,DW4:DY4,EA4)-SUM(DV4,DZ4),"")</f>
        <v/>
      </c>
      <c r="EI4" s="79">
        <f t="shared" ref="EI4:EI21" si="46">IF(SUM(EC4,EH4)&gt;0,SUM(EC4,EH4),"")</f>
        <v>2.0000000000000001E-4</v>
      </c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0" t="str">
        <f t="shared" ref="FD4:FD21" si="47">IF(SUM(EK4,EO4)&gt;0,SUM(EK4,EO4),"")</f>
        <v/>
      </c>
      <c r="FE4" s="20" t="str">
        <f t="shared" ref="FE4:FE21" si="48">IF(SUM(EJ4:EK4,EM4:EO4,EQ4)-EL4-EP4&gt;0,SUM(EJ4:EK4,EM4:EO4,EQ4)-EL4-EP4,"")</f>
        <v/>
      </c>
      <c r="FF4" s="20" t="str">
        <f t="shared" ref="FF4:FF21" si="49">IF(SUM(ER4:ES4,EU4)-ET4&gt;0,SUM(ER4:ES4,EU4)-ET4,"")</f>
        <v/>
      </c>
      <c r="FG4" s="20" t="str">
        <f t="shared" ref="FG4:FG21" si="50">IF(SUM(EK4,EO4,ES4)&gt;0,SUM(EK4,EO4,ES4),"")</f>
        <v/>
      </c>
      <c r="FH4" s="20" t="str">
        <f t="shared" ref="FH4:FH21" si="51">IF(SUM(FE4,FF4)&gt;0,SUM(FE4,FF4),"")</f>
        <v/>
      </c>
      <c r="FI4" s="20" t="str">
        <f t="shared" ref="FI4:FI21" si="52">IF(SUM(EW4,FA4)&gt;0,SUM(EW4,FA4),"")</f>
        <v/>
      </c>
      <c r="FJ4" s="20" t="str">
        <f t="shared" ref="FJ4:FJ21" si="53">IF(SUM(EV4:EW4,EY4:FA4,FC4)-SUM(EX4,FB4)&gt;0,SUM(EV4:EW4,EY4:FA4,FC4)-SUM(EX4,FB4),"")</f>
        <v/>
      </c>
      <c r="FK4" s="20" t="str">
        <f t="shared" ref="FK4:FK21" si="54">IF(SUM(FE4,FJ4)&gt;0,SUM(FE4,FJ4),"")</f>
        <v/>
      </c>
      <c r="FL4" s="25">
        <v>18.8</v>
      </c>
      <c r="FM4" s="25">
        <v>6.8</v>
      </c>
      <c r="FN4" s="25">
        <v>0.6</v>
      </c>
      <c r="FO4" s="25">
        <v>0.3</v>
      </c>
      <c r="FP4" s="25">
        <v>18.8</v>
      </c>
      <c r="FQ4" s="25">
        <v>6.8</v>
      </c>
      <c r="FR4" s="25">
        <v>0.2</v>
      </c>
      <c r="FS4" s="25">
        <v>0.3</v>
      </c>
      <c r="FT4" s="25"/>
      <c r="FU4" s="25"/>
      <c r="FV4" s="25"/>
      <c r="FW4" s="25"/>
      <c r="FX4" s="25">
        <v>18.399999999999999</v>
      </c>
      <c r="FY4" s="25">
        <v>4.4000000000000004</v>
      </c>
      <c r="FZ4" s="25">
        <v>1</v>
      </c>
      <c r="GA4" s="25">
        <v>0</v>
      </c>
      <c r="GB4" s="25">
        <v>18.600000000000001</v>
      </c>
      <c r="GC4" s="25">
        <v>6.8</v>
      </c>
      <c r="GD4" s="25">
        <v>0</v>
      </c>
      <c r="GE4" s="25">
        <v>0.3</v>
      </c>
      <c r="GF4" s="79">
        <f t="shared" ref="GF4:GF21" si="55">IF(SUM(FM4,FQ4)&gt;0,SUM(FM4,FQ4),"")</f>
        <v>13.6</v>
      </c>
      <c r="GG4" s="79">
        <f t="shared" ref="GG4:GG21" si="56">IF(SUM(FL4:FM4,FO4:FQ4,FS4)-FN4-FR4&gt;0,SUM(FL4:FM4,FO4:FQ4,FS4)-FN4-FR4,"")</f>
        <v>50.999999999999993</v>
      </c>
      <c r="GH4" s="79" t="str">
        <f t="shared" ref="GH4:GH21" si="57">IF(SUM(FT4:FU4,FW4)-FV4&gt;0,SUM(FT4:FU4,FW4)-FV4,"")</f>
        <v/>
      </c>
      <c r="GI4" s="79">
        <f t="shared" ref="GI4:GI21" si="58">IF(SUM(FM4,FQ4,FU4)&gt;0,SUM(FM4,FQ4,FU4),"")</f>
        <v>13.6</v>
      </c>
      <c r="GJ4" s="79">
        <f t="shared" ref="GJ4:GJ21" si="59">IF(SUM(GG4,GH4)&gt;0,SUM(GG4,GH4),"")</f>
        <v>50.999999999999993</v>
      </c>
      <c r="GK4" s="79">
        <f t="shared" ref="GK4:GK21" si="60">IF(SUM(FY4,GC4)&gt;0,SUM(FY4,GC4),"")</f>
        <v>11.2</v>
      </c>
      <c r="GL4" s="79">
        <f t="shared" ref="GL4:GL21" si="61">IF(SUM(FX4:FY4,GA4:GC4,GE4)-SUM(FZ4,GD4)&gt;0,SUM(FX4:FY4,GA4:GC4,GE4)-SUM(FZ4,GD4),"")</f>
        <v>47.499999999999993</v>
      </c>
      <c r="GM4" s="79">
        <f t="shared" ref="GM4:GM21" si="62">IF(SUM(GG4,GL4)&gt;0,SUM(GG4,GL4),"")</f>
        <v>98.499999999999986</v>
      </c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0" t="str">
        <f t="shared" ref="HH4:HH21" si="63">IF(SUM(GO4,GS4)&gt;0,SUM(GO4,GS4),"")</f>
        <v/>
      </c>
      <c r="HI4" s="20" t="str">
        <f t="shared" ref="HI4:HI21" si="64">IF(SUM(GN4:GO4,GQ4:GS4,GU4)-GP4-GT4&gt;0,SUM(GN4:GO4,GQ4:GS4,GU4)-GP4-GT4,"")</f>
        <v/>
      </c>
      <c r="HJ4" s="20" t="str">
        <f t="shared" ref="HJ4:HJ21" si="65">IF(SUM(GV4:GW4,GY4)-GX4&gt;0,SUM(GV4:GW4,GY4)-GX4,"")</f>
        <v/>
      </c>
      <c r="HK4" s="20" t="str">
        <f t="shared" ref="HK4:HK21" si="66">IF(SUM(GO4,GS4,GW4)&gt;0,SUM(GO4,GS4,GW4),"")</f>
        <v/>
      </c>
      <c r="HL4" s="20" t="str">
        <f t="shared" ref="HL4:HL21" si="67">IF(SUM(HI4,HJ4)&gt;0,SUM(HI4,HJ4),"")</f>
        <v/>
      </c>
      <c r="HM4" s="20" t="str">
        <f t="shared" ref="HM4:HM21" si="68">IF(SUM(HA4,HE4)&gt;0,SUM(HA4,HE4),"")</f>
        <v/>
      </c>
      <c r="HN4" s="20" t="str">
        <f t="shared" ref="HN4:HN21" si="69">IF(SUM(GZ4:HA4,HC4:HE4,HG4)-SUM(HB4,HF4)&gt;0,SUM(GZ4:HA4,HC4:HE4,HG4)-SUM(HB4,HF4),"")</f>
        <v/>
      </c>
      <c r="HO4" s="20" t="str">
        <f t="shared" ref="HO4:HO21" si="70">IF(SUM(HI4,HN4)&gt;0,SUM(HI4,HN4),"")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 t="shared" ref="IJ4:IJ21" si="71">IF(SUM(HQ4,HU4)&gt;0,SUM(HQ4,HU4),"")</f>
        <v/>
      </c>
      <c r="IK4" s="79" t="str">
        <f t="shared" ref="IK4:IK21" si="72">IF(SUM(HP4:HQ4,HS4:HU4,HW4)-HR4-HV4&gt;0,SUM(HP4:HQ4,HS4:HU4,HW4)-HR4-HV4,"")</f>
        <v/>
      </c>
      <c r="IL4" s="79" t="str">
        <f t="shared" ref="IL4:IL21" si="73">IF(SUM(HX4:HY4,IA4)-HZ4&gt;0,SUM(HX4:HY4,IA4)-HZ4,"")</f>
        <v/>
      </c>
      <c r="IM4" s="79" t="str">
        <f t="shared" ref="IM4:IM21" si="74">IF(SUM(HQ4,HU4,HY4)&gt;0,SUM(HQ4,HU4,HY4),"")</f>
        <v/>
      </c>
      <c r="IN4" s="79" t="str">
        <f t="shared" ref="IN4:IN21" si="75">IF(SUM(IK4,IL4)&gt;0,SUM(IK4,IL4),"")</f>
        <v/>
      </c>
      <c r="IO4" s="79" t="str">
        <f t="shared" ref="IO4:IO21" si="76">IF(SUM(IC4,IG4)&gt;0,SUM(IC4,IG4),"")</f>
        <v/>
      </c>
      <c r="IP4" s="79" t="str">
        <f t="shared" ref="IP4:IP21" si="77">IF(SUM(IB4:IC4,IE4:IG4,II4)-SUM(ID4,IH4)&gt;0,SUM(IB4:IC4,IE4:IG4,II4)-SUM(ID4,IH4),"")</f>
        <v/>
      </c>
      <c r="IQ4" s="79" t="str">
        <f t="shared" ref="IQ4:IQ21" si="78"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 t="shared" ref="JL4:JL21" si="79">IF(SUM(IS4,IW4)&gt;0,SUM(IS4,IW4),"")</f>
        <v/>
      </c>
      <c r="JM4" s="20" t="str">
        <f t="shared" ref="JM4:JM21" si="80">IF(SUM(IR4:IS4,IU4:IW4,IY4)-IT4-IX4&gt;0,SUM(IR4:IS4,IU4:IW4,IY4)-IT4-IX4,"")</f>
        <v/>
      </c>
      <c r="JN4" s="20" t="str">
        <f t="shared" ref="JN4:JN21" si="81">IF(SUM(IZ4:JA4,JC4)-JB4&gt;0,SUM(IZ4:JA4,JC4)-JB4,"")</f>
        <v/>
      </c>
      <c r="JO4" s="20" t="str">
        <f t="shared" ref="JO4:JO21" si="82">IF(SUM(IS4,IW4,JA4)&gt;0,SUM(IS4,IW4,JA4),"")</f>
        <v/>
      </c>
      <c r="JP4" s="20" t="str">
        <f t="shared" ref="JP4:JP21" si="83">IF(SUM(JM4,JN4)&gt;0,SUM(JM4,JN4),"")</f>
        <v/>
      </c>
      <c r="JQ4" s="20" t="str">
        <f t="shared" ref="JQ4:JQ21" si="84">IF(SUM(JE4,JI4)&gt;0,SUM(JE4,JI4),"")</f>
        <v/>
      </c>
      <c r="JR4" s="20" t="str">
        <f t="shared" ref="JR4:JR21" si="85">IF(SUM(JD4:JE4,JG4:JI4,JK4)-SUM(JF4,JJ4)&gt;0,SUM(JD4:JE4,JG4:JI4,JK4)-SUM(JF4,JJ4),"")</f>
        <v/>
      </c>
      <c r="JS4" s="20" t="str">
        <f t="shared" ref="JS4:JS21" si="86"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 t="shared" ref="KN4:KN21" si="87">IF(SUM(JU4,JY4)&gt;0,SUM(JU4,JY4),"")</f>
        <v/>
      </c>
      <c r="KO4" s="79" t="str">
        <f t="shared" ref="KO4:KO21" si="88">IF(SUM(JT4:JU4,JW4:JY4,KA4)-JV4-JZ4&gt;0,SUM(JT4:JU4,JW4:JY4,KA4)-JV4-JZ4,"")</f>
        <v/>
      </c>
      <c r="KP4" s="79" t="str">
        <f t="shared" ref="KP4:KP21" si="89">IF(SUM(KB4:KC4,KE4)-KD4&gt;0,SUM(KB4:KC4,KE4)-KD4,"")</f>
        <v/>
      </c>
      <c r="KQ4" s="79" t="str">
        <f t="shared" ref="KQ4:KQ21" si="90">IF(SUM(JU4,JY4,KC4)&gt;0,SUM(JU4,JY4,KC4),"")</f>
        <v/>
      </c>
      <c r="KR4" s="79" t="str">
        <f t="shared" ref="KR4:KR21" si="91">IF(SUM(KO4,KP4)&gt;0,SUM(KO4,KP4),"")</f>
        <v/>
      </c>
      <c r="KS4" s="79" t="str">
        <f t="shared" ref="KS4:KS21" si="92">IF(SUM(KG4,KK4)&gt;0,SUM(KG4,KK4),"")</f>
        <v/>
      </c>
      <c r="KT4" s="79" t="str">
        <f t="shared" ref="KT4:KT21" si="93">IF(SUM(KF4:KG4,KI4:KK4,KM4)-SUM(KH4,KL4)&gt;0,SUM(KF4:KG4,KI4:KK4,KM4)-SUM(KH4,KL4),"")</f>
        <v/>
      </c>
      <c r="KU4" s="79" t="str">
        <f t="shared" ref="KU4:KU21" si="94"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 t="shared" ref="LP4:LP21" si="95">IF(SUM(KW4,LA4)&gt;0,SUM(KW4,LA4),"")</f>
        <v/>
      </c>
      <c r="LQ4" s="20" t="str">
        <f t="shared" ref="LQ4:LQ21" si="96">IF(SUM(KV4:KW4,KY4:LA4,LC4)-KX4-LB4&gt;0,SUM(KV4:KW4,KY4:LA4,LC4)-KX4-LB4,"")</f>
        <v/>
      </c>
      <c r="LR4" s="20" t="str">
        <f t="shared" ref="LR4:LR21" si="97">IF(SUM(LD4:LE4,LG4)-LF4&gt;0,SUM(LD4:LE4,LG4)-LF4,"")</f>
        <v/>
      </c>
      <c r="LS4" s="20" t="str">
        <f t="shared" ref="LS4:LS21" si="98">IF(SUM(KW4,LA4,LE4)&gt;0,SUM(KW4,LA4,LE4),"")</f>
        <v/>
      </c>
      <c r="LT4" s="20" t="str">
        <f t="shared" ref="LT4:LT21" si="99">IF(SUM(LQ4,LR4)&gt;0,SUM(LQ4,LR4),"")</f>
        <v/>
      </c>
      <c r="LU4" s="20" t="str">
        <f t="shared" ref="LU4:LU21" si="100">IF(SUM(LI4,LM4)&gt;0,SUM(LI4,LM4),"")</f>
        <v/>
      </c>
      <c r="LV4" s="20" t="str">
        <f t="shared" ref="LV4:LV21" si="101">IF(SUM(LH4:LI4,LK4:LM4,LO4)-SUM(LJ4,LN4)&gt;0,SUM(LH4:LI4,LK4:LM4,LO4)-SUM(LJ4,LN4),"")</f>
        <v/>
      </c>
      <c r="LW4" s="20" t="str">
        <f t="shared" ref="LW4:LW21" si="102"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 t="shared" ref="MR4:MR21" si="103">IF(SUM(LY4,MC4)&gt;0,SUM(LY4,MC4),"")</f>
        <v/>
      </c>
      <c r="MS4" s="79" t="str">
        <f t="shared" ref="MS4:MS21" si="104">IF(SUM(LX4:LY4,MA4:MC4,ME4)-LZ4-MD4&gt;0,SUM(LX4:LY4,MA4:MC4,ME4)-LZ4-MD4,"")</f>
        <v/>
      </c>
      <c r="MT4" s="79" t="str">
        <f t="shared" ref="MT4:MT21" si="105">IF(SUM(MF4:MG4,MI4)-MH4&gt;0,SUM(MF4:MG4,MI4)-MH4,"")</f>
        <v/>
      </c>
      <c r="MU4" s="79" t="str">
        <f t="shared" ref="MU4:MU21" si="106">IF(SUM(LY4,MC4,MG4)&gt;0,SUM(LY4,MC4,MG4),"")</f>
        <v/>
      </c>
      <c r="MV4" s="79" t="str">
        <f t="shared" ref="MV4:MV21" si="107">IF(SUM(MS4,MT4)&gt;0,SUM(MS4,MT4),"")</f>
        <v/>
      </c>
      <c r="MW4" s="79" t="str">
        <f t="shared" ref="MW4:MW21" si="108">IF(SUM(MK4,MO4)&gt;0,SUM(MK4,MO4),"")</f>
        <v/>
      </c>
      <c r="MX4" s="79" t="str">
        <f t="shared" ref="MX4:MX21" si="109">IF(SUM(MJ4:MK4,MM4:MO4,MQ4)-SUM(ML4,MP4)&gt;0,SUM(MJ4:MK4,MM4:MO4,MQ4)-SUM(ML4,MP4),"")</f>
        <v/>
      </c>
      <c r="MY4" s="79" t="str">
        <f t="shared" ref="MY4:MY21" si="110"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 t="shared" ref="NT4:NT21" si="111">IF(SUM(NA4,NE4)&gt;0,SUM(NA4,NE4),"")</f>
        <v/>
      </c>
      <c r="NU4" s="20" t="str">
        <f t="shared" ref="NU4:NU21" si="112">IF(SUM(MZ4:NA4,NC4:NE4,NG4)-NB4-NF4&gt;0,SUM(MZ4:NA4,NC4:NE4,NG4)-NB4-NF4,"")</f>
        <v/>
      </c>
      <c r="NV4" s="20" t="str">
        <f t="shared" ref="NV4:NV21" si="113">IF(SUM(NH4:NI4,NK4)-NJ4&gt;0,SUM(NH4:NI4,NK4)-NJ4,"")</f>
        <v/>
      </c>
      <c r="NW4" s="20" t="str">
        <f t="shared" ref="NW4:NW21" si="114">IF(SUM(NA4,NE4,NI4)&gt;0,SUM(NA4,NE4,NI4),"")</f>
        <v/>
      </c>
      <c r="NX4" s="20" t="str">
        <f t="shared" ref="NX4:NX21" si="115">IF(SUM(NU4,NV4)&gt;0,SUM(NU4,NV4),"")</f>
        <v/>
      </c>
      <c r="NY4" s="20" t="str">
        <f t="shared" ref="NY4:NY21" si="116">IF(SUM(NM4,NQ4)&gt;0,SUM(NM4,NQ4),"")</f>
        <v/>
      </c>
      <c r="NZ4" s="20" t="str">
        <f t="shared" ref="NZ4:NZ21" si="117">IF(SUM(NL4:NM4,NO4:NQ4,NS4)-SUM(NN4,NR4)&gt;0,SUM(NL4:NM4,NO4:NQ4,NS4)-SUM(NN4,NR4),"")</f>
        <v/>
      </c>
      <c r="OA4" s="20" t="str">
        <f t="shared" ref="OA4:OA21" si="118"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 t="shared" ref="OV4:OV21" si="119">IF(SUM(OC4,OG4)&gt;0,SUM(OC4,OG4),"")</f>
        <v/>
      </c>
      <c r="OW4" s="79" t="str">
        <f t="shared" ref="OW4:OW21" si="120">IF(SUM(OB4:OC4,OE4:OG4,OI4)-OD4-OH4&gt;0,SUM(OB4:OC4,OE4:OG4,OI4)-OD4-OH4,"")</f>
        <v/>
      </c>
      <c r="OX4" s="79" t="str">
        <f t="shared" ref="OX4:OX21" si="121">IF(SUM(OJ4:OK4,OM4)-OL4&gt;0,SUM(OJ4:OK4,OM4)-OL4,"")</f>
        <v/>
      </c>
      <c r="OY4" s="79" t="str">
        <f t="shared" ref="OY4:OY21" si="122">IF(SUM(OC4,OG4,OK4)&gt;0,SUM(OC4,OG4,OK4),"")</f>
        <v/>
      </c>
      <c r="OZ4" s="79" t="str">
        <f t="shared" ref="OZ4:OZ21" si="123">IF(SUM(OW4,OX4)&gt;0,SUM(OW4,OX4),"")</f>
        <v/>
      </c>
      <c r="PA4" s="79" t="str">
        <f t="shared" ref="PA4:PA21" si="124">IF(SUM(OO4,OS4)&gt;0,SUM(OO4,OS4),"")</f>
        <v/>
      </c>
      <c r="PB4" s="79" t="str">
        <f t="shared" ref="PB4:PB21" si="125">IF(SUM(ON4:OO4,OQ4:OS4,OU4)-SUM(OP4,OT4)&gt;0,SUM(ON4:OO4,OQ4:OS4,OU4)-SUM(OP4,OT4),"")</f>
        <v/>
      </c>
      <c r="PC4" s="79" t="str">
        <f t="shared" ref="PC4:PC21" si="126"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 t="shared" ref="PX4:PX21" si="127">IF(SUM(PE4,PI4)&gt;0,SUM(PE4,PI4),"")</f>
        <v/>
      </c>
      <c r="PY4" s="20" t="str">
        <f t="shared" ref="PY4:PY21" si="128">IF(SUM(PD4:PE4,PG4:PI4,PK4)-PF4-PJ4&gt;0,SUM(PD4:PE4,PG4:PI4,PK4)-PF4-PJ4,"")</f>
        <v/>
      </c>
      <c r="PZ4" s="20" t="str">
        <f t="shared" ref="PZ4:PZ21" si="129">IF(SUM(PL4:PM4,PO4)-PN4&gt;0,SUM(PL4:PM4,PO4)-PN4,"")</f>
        <v/>
      </c>
      <c r="QA4" s="20" t="str">
        <f t="shared" ref="QA4:QA21" si="130">IF(SUM(PE4,PI4,PM4)&gt;0,SUM(PE4,PI4,PM4),"")</f>
        <v/>
      </c>
      <c r="QB4" s="20" t="str">
        <f t="shared" ref="QB4:QB21" si="131">IF(SUM(PY4,PZ4)&gt;0,SUM(PY4,PZ4),"")</f>
        <v/>
      </c>
      <c r="QC4" s="20" t="str">
        <f t="shared" ref="QC4:QC21" si="132">IF(SUM(PQ4,PU4)&gt;0,SUM(PQ4,PU4),"")</f>
        <v/>
      </c>
      <c r="QD4" s="20" t="str">
        <f t="shared" ref="QD4:QD21" si="133">IF(SUM(PP4:PQ4,PS4:PU4,PW4)-SUM(PR4,PV4)&gt;0,SUM(PP4:PQ4,PS4:PU4,PW4)-SUM(PR4,PV4),"")</f>
        <v/>
      </c>
      <c r="QE4" s="20" t="str">
        <f t="shared" ref="QE4:QE21" si="134">IF(SUM(PY4,QD4)&gt;0,SUM(PY4,QD4),"")</f>
        <v/>
      </c>
      <c r="QF4" s="38">
        <f t="shared" ref="QF4:QF21" si="135">IF($CV4="P",CB4,(CB4+AY4)/2)</f>
        <v>9.4000500000000002</v>
      </c>
      <c r="QG4" s="38">
        <f t="shared" ref="QG4:QG21" si="136">IF($CV4="P",CC4,(CC4+AZ4)/2)</f>
        <v>3.4000499999999998</v>
      </c>
      <c r="QH4" s="38">
        <f t="shared" ref="QH4:QH21" si="137">IF($CV4="P",CD4,(CD4+BA4)/2)</f>
        <v>0</v>
      </c>
      <c r="QI4" s="38">
        <f t="shared" ref="QI4:QI21" si="138">IF($CV4="P",CE4,(CE4+BB4)/2)</f>
        <v>0.15</v>
      </c>
      <c r="QJ4" s="38">
        <f t="shared" ref="QJ4:QJ21" si="139">IF($CV4="P",CF4,(CF4+BC4)/2)</f>
        <v>9.3000000000000007</v>
      </c>
      <c r="QK4" s="38">
        <f t="shared" ref="QK4:QK21" si="140">IF($CV4="P",CG4,(CG4+BD4)/2)</f>
        <v>3.4</v>
      </c>
      <c r="QL4" s="38">
        <f t="shared" ref="QL4:QL21" si="141">IF($CV4="P",CH4,(CH4+BE4)/2)</f>
        <v>0.4</v>
      </c>
      <c r="QM4" s="38">
        <f t="shared" ref="QM4:QM21" si="142">IF($CV4="P",CI4,(CI4+BF4)/2)</f>
        <v>0.15</v>
      </c>
      <c r="QN4" s="38">
        <f t="shared" ref="QN4:QN21" si="143">IF($CV4="P",CJ4,(CJ4+BG4)/2)</f>
        <v>9.25</v>
      </c>
      <c r="QO4" s="38">
        <f t="shared" ref="QO4:QO21" si="144">IF($CV4="P",CK4,(CK4+BH4)/2)</f>
        <v>2.8</v>
      </c>
      <c r="QP4" s="38">
        <f t="shared" ref="QP4:QP21" si="145">IF($CV4="P",CL4,(CL4+BI4)/2)</f>
        <v>0.3</v>
      </c>
      <c r="QQ4" s="38">
        <f t="shared" ref="QQ4:QQ21" si="146">IF($CV4="P",CM4,(CM4+BJ4)/2)</f>
        <v>0</v>
      </c>
      <c r="QR4" s="38">
        <f t="shared" ref="QR4:QR21" si="147">IF($CV4="P",CN4,(CN4+BK4)/2)</f>
        <v>9.0500000000000007</v>
      </c>
      <c r="QS4" s="38">
        <f t="shared" ref="QS4:QS21" si="148">IF($CV4="P",CO4,(CO4+BL4)/2)</f>
        <v>3.4</v>
      </c>
      <c r="QT4" s="38">
        <f t="shared" ref="QT4:QT21" si="149">IF($CV4="P",CP4,(CP4+BM4)/2)</f>
        <v>0.1</v>
      </c>
      <c r="QU4" s="38">
        <f t="shared" ref="QU4:QU21" si="150">IF($CV4="P",CQ4,(CQ4+BN4)/2)</f>
        <v>0.3</v>
      </c>
      <c r="QV4" s="38">
        <f t="shared" ref="QV4:QV21" si="151">IF($CV4="P",CR4,(CR4+BO4)/2)</f>
        <v>9.4</v>
      </c>
      <c r="QW4" s="38">
        <f t="shared" ref="QW4:QW21" si="152">IF($CV4="P",CS4,(CS4+BP4)/2)</f>
        <v>3.2</v>
      </c>
      <c r="QX4" s="38">
        <f t="shared" ref="QX4:QX21" si="153">IF($CV4="P",CT4,(CT4+BQ4)/2)</f>
        <v>0</v>
      </c>
      <c r="QY4" s="38">
        <f t="shared" ref="QY4:QY21" si="154">IF($CV4="P",CU4,(CU4+BR4)/2)</f>
        <v>0</v>
      </c>
      <c r="QZ4" s="45" t="s">
        <v>46</v>
      </c>
      <c r="RA4" s="79">
        <f t="shared" ref="RA4:RA21" si="155">IF(SUM(QG4,QK4)&gt;0,SUM(QG4,QK4),"")</f>
        <v>6.8000499999999997</v>
      </c>
      <c r="RB4" s="79">
        <f t="shared" ref="RB4:RB21" si="156">IF(SUM(QF4:QG4,QI4:QK4,QM4)-QH4-QL4&gt;0,SUM(QF4:QG4,QI4:QK4,QM4)-QH4-QL4,"")</f>
        <v>25.400100000000002</v>
      </c>
      <c r="RC4" s="79">
        <f t="shared" ref="RC4:RC21" si="157">IF(SUM(QN4:QO4,QQ4)-QP4&gt;0,SUM(QN4:QO4,QQ4)-QP4,"")</f>
        <v>11.75</v>
      </c>
      <c r="RD4" s="79">
        <f t="shared" ref="RD4:RD21" si="158">IF(SUM(QG4,QK4,QO4)&gt;0,SUM(QG4,QK4,QO4),"")</f>
        <v>9.6000499999999995</v>
      </c>
      <c r="RE4" s="79">
        <f t="shared" ref="RE4:RE21" si="159">IF(SUM(RB4,RC4)&gt;0,SUM(RB4,RC4),"")</f>
        <v>37.150100000000002</v>
      </c>
      <c r="RF4" s="79">
        <f t="shared" ref="RF4:RF21" si="160">IF(SUM(QS4,QW4)&gt;0,SUM(QS4,QW4),"")</f>
        <v>6.6</v>
      </c>
      <c r="RG4" s="79">
        <f t="shared" ref="RG4:RG21" si="161">IF(SUM(QR4:QS4,QU4:QW4,QY4)-SUM(QT4,QX4)&gt;0,SUM(QR4:QS4,QU4:QW4,QY4)-SUM(QT4,QX4),"")</f>
        <v>25.25</v>
      </c>
      <c r="RH4" s="79">
        <f t="shared" ref="RH4:RH21" si="162">IF(SUM(RB4,RG4)&gt;0,SUM(RB4,RG4),"")</f>
        <v>50.650100000000002</v>
      </c>
    </row>
    <row r="5" spans="1:476" x14ac:dyDescent="0.2">
      <c r="A5" s="5">
        <f t="shared" ref="A5:A21" si="163">IF(AND(F5="P",G5="P"),SUMPRODUCT((F$4:F$22="P")*(G$4:G$22="P")*(E$4:E$22&gt;E5))+1,IF(G5="P",SUMPRODUCT((F$4:F$22="")*(G$4:G$22="P")*(E$4:E$22&gt;E5))+1+SUMPRODUCT((F$4:F$22="P")*(G$4:G$22="P")),""))</f>
        <v>2</v>
      </c>
      <c r="B5" s="78" t="s">
        <v>82</v>
      </c>
      <c r="C5" s="5" t="s">
        <v>81</v>
      </c>
      <c r="D5" s="5">
        <v>2002</v>
      </c>
      <c r="E5" s="15">
        <f t="shared" si="0"/>
        <v>171.50000728002485</v>
      </c>
      <c r="F5" s="3" t="str">
        <f t="shared" si="1"/>
        <v>P</v>
      </c>
      <c r="G5" s="3" t="str">
        <f t="shared" si="2"/>
        <v>P</v>
      </c>
      <c r="H5" s="67" t="str">
        <f t="shared" si="3"/>
        <v>National Team</v>
      </c>
      <c r="I5" s="14">
        <f>IF(COUNT(AR5,BU5,CX5)&gt;0,LARGE((AR5,BU5,CX5),1),0)</f>
        <v>48.5</v>
      </c>
      <c r="J5" s="14" t="str">
        <f t="shared" si="4"/>
        <v>2022 Elite Canada</v>
      </c>
      <c r="K5" s="14">
        <f>IF(COUNT(AR5,BU5,CX5)&gt;1,LARGE((AR5,BU5,CX5),2),0)</f>
        <v>2.0000000000000001E-4</v>
      </c>
      <c r="L5" s="14" t="str">
        <f t="shared" si="5"/>
        <v>2021 Canadian Championships</v>
      </c>
      <c r="M5" s="14">
        <f>IF(COUNT(AS5,BV5,CY5)&gt;0,LARGE((AS5,BV5,CY5),1),0)</f>
        <v>24.3</v>
      </c>
      <c r="N5" s="14" t="str">
        <f t="shared" si="6"/>
        <v>2022 Elite Canada</v>
      </c>
      <c r="O5" s="14">
        <f>IF(COUNT(AS5,BV5,CY5)&gt;1,LARGE((AS5,BV5,CY5),2),0)</f>
        <v>0</v>
      </c>
      <c r="P5" s="14" t="str">
        <f t="shared" si="7"/>
        <v/>
      </c>
      <c r="Q5" s="14">
        <f t="shared" si="8"/>
        <v>49.8</v>
      </c>
      <c r="R5" s="14" t="str">
        <f t="shared" si="9"/>
        <v>2022 Elite Canada</v>
      </c>
      <c r="S5" s="14">
        <f t="shared" si="10"/>
        <v>48.899799999999999</v>
      </c>
      <c r="T5" s="20" t="str">
        <f t="shared" si="11"/>
        <v>(Q1)</v>
      </c>
      <c r="U5" s="14" t="str">
        <f t="shared" si="12"/>
        <v>2022 World Games Technical Trial #1 (Mar 12)</v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 t="shared" si="13"/>
        <v>1E-4</v>
      </c>
      <c r="AR5" s="79">
        <f t="shared" si="14"/>
        <v>2.0000000000000001E-4</v>
      </c>
      <c r="AS5" s="79" t="str">
        <f t="shared" si="15"/>
        <v/>
      </c>
      <c r="AT5" s="79">
        <f t="shared" si="16"/>
        <v>1E-4</v>
      </c>
      <c r="AU5" s="79">
        <f t="shared" si="17"/>
        <v>2.0000000000000001E-4</v>
      </c>
      <c r="AV5" s="79" t="str">
        <f t="shared" si="18"/>
        <v/>
      </c>
      <c r="AW5" s="79" t="str">
        <f t="shared" si="19"/>
        <v/>
      </c>
      <c r="AX5" s="79">
        <f t="shared" si="20"/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 t="shared" si="21"/>
        <v>1E-4</v>
      </c>
      <c r="BU5" s="20">
        <f t="shared" si="22"/>
        <v>2.0000000000000001E-4</v>
      </c>
      <c r="BV5" s="20" t="str">
        <f t="shared" si="23"/>
        <v/>
      </c>
      <c r="BW5" s="20">
        <f t="shared" si="24"/>
        <v>1E-4</v>
      </c>
      <c r="BX5" s="20">
        <f t="shared" si="25"/>
        <v>2.0000000000000001E-4</v>
      </c>
      <c r="BY5" s="20" t="str">
        <f t="shared" si="26"/>
        <v/>
      </c>
      <c r="BZ5" s="20" t="str">
        <f t="shared" si="27"/>
        <v/>
      </c>
      <c r="CA5" s="20">
        <f t="shared" si="28"/>
        <v>2.0000000000000001E-4</v>
      </c>
      <c r="CB5" s="27">
        <v>18.600000000000001</v>
      </c>
      <c r="CC5" s="27">
        <v>5.6</v>
      </c>
      <c r="CD5" s="27">
        <v>0.6</v>
      </c>
      <c r="CE5" s="27">
        <v>0</v>
      </c>
      <c r="CF5" s="27">
        <v>18.899999999999999</v>
      </c>
      <c r="CG5" s="27">
        <v>6</v>
      </c>
      <c r="CH5" s="27">
        <v>0</v>
      </c>
      <c r="CI5" s="27">
        <v>0</v>
      </c>
      <c r="CJ5" s="27">
        <v>18.600000000000001</v>
      </c>
      <c r="CK5" s="27">
        <v>6</v>
      </c>
      <c r="CL5" s="27">
        <v>0.6</v>
      </c>
      <c r="CM5" s="27">
        <v>0.3</v>
      </c>
      <c r="CN5" s="27">
        <v>19</v>
      </c>
      <c r="CO5" s="27">
        <v>6.4</v>
      </c>
      <c r="CP5" s="27">
        <v>0</v>
      </c>
      <c r="CQ5" s="27">
        <v>0</v>
      </c>
      <c r="CR5" s="27">
        <v>19.2</v>
      </c>
      <c r="CS5" s="27">
        <v>5.2</v>
      </c>
      <c r="CT5" s="27">
        <v>0</v>
      </c>
      <c r="CU5" s="27">
        <v>0</v>
      </c>
      <c r="CV5" s="45"/>
      <c r="CW5" s="79">
        <f t="shared" si="29"/>
        <v>11.6</v>
      </c>
      <c r="CX5" s="79">
        <f t="shared" si="30"/>
        <v>48.5</v>
      </c>
      <c r="CY5" s="79">
        <f t="shared" si="31"/>
        <v>24.3</v>
      </c>
      <c r="CZ5" s="79">
        <f t="shared" si="32"/>
        <v>17.600000000000001</v>
      </c>
      <c r="DA5" s="79">
        <f t="shared" si="33"/>
        <v>72.8</v>
      </c>
      <c r="DB5" s="79">
        <f t="shared" si="34"/>
        <v>11.600000000000001</v>
      </c>
      <c r="DC5" s="79">
        <f t="shared" si="35"/>
        <v>49.8</v>
      </c>
      <c r="DD5" s="79">
        <f t="shared" si="36"/>
        <v>98.3</v>
      </c>
      <c r="DE5" s="80">
        <f t="shared" si="37"/>
        <v>48.899799999999999</v>
      </c>
      <c r="DF5" s="80"/>
      <c r="DG5" s="80" t="str">
        <f t="shared" si="38"/>
        <v/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 t="shared" si="39"/>
        <v/>
      </c>
      <c r="EC5" s="79" t="str">
        <f t="shared" si="40"/>
        <v/>
      </c>
      <c r="ED5" s="79" t="str">
        <f t="shared" si="41"/>
        <v/>
      </c>
      <c r="EE5" s="79" t="str">
        <f t="shared" si="42"/>
        <v/>
      </c>
      <c r="EF5" s="79" t="str">
        <f t="shared" si="43"/>
        <v/>
      </c>
      <c r="EG5" s="79" t="str">
        <f t="shared" si="44"/>
        <v/>
      </c>
      <c r="EH5" s="79" t="str">
        <f t="shared" si="45"/>
        <v/>
      </c>
      <c r="EI5" s="79" t="str">
        <f t="shared" si="46"/>
        <v/>
      </c>
      <c r="EJ5" s="26">
        <v>1E-4</v>
      </c>
      <c r="EK5" s="26">
        <v>1E-4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0">
        <f t="shared" si="47"/>
        <v>1E-4</v>
      </c>
      <c r="FE5" s="20">
        <f t="shared" si="48"/>
        <v>2.0000000000000001E-4</v>
      </c>
      <c r="FF5" s="20" t="str">
        <f t="shared" si="49"/>
        <v/>
      </c>
      <c r="FG5" s="20">
        <f t="shared" si="50"/>
        <v>1E-4</v>
      </c>
      <c r="FH5" s="20">
        <f t="shared" si="51"/>
        <v>2.0000000000000001E-4</v>
      </c>
      <c r="FI5" s="20" t="str">
        <f t="shared" si="52"/>
        <v/>
      </c>
      <c r="FJ5" s="20" t="str">
        <f t="shared" si="53"/>
        <v/>
      </c>
      <c r="FK5" s="20">
        <f t="shared" si="54"/>
        <v>2.0000000000000001E-4</v>
      </c>
      <c r="FL5" s="25">
        <v>18.8</v>
      </c>
      <c r="FM5" s="25">
        <v>5.2</v>
      </c>
      <c r="FN5" s="25">
        <v>0</v>
      </c>
      <c r="FO5" s="25">
        <v>0</v>
      </c>
      <c r="FP5" s="25">
        <v>18.5</v>
      </c>
      <c r="FQ5" s="25">
        <v>6.4</v>
      </c>
      <c r="FR5" s="25">
        <v>0</v>
      </c>
      <c r="FS5" s="25">
        <v>0</v>
      </c>
      <c r="FT5" s="25"/>
      <c r="FU5" s="25"/>
      <c r="FV5" s="25"/>
      <c r="FW5" s="25"/>
      <c r="FX5" s="25">
        <v>19</v>
      </c>
      <c r="FY5" s="25">
        <v>5.2</v>
      </c>
      <c r="FZ5" s="25">
        <v>0</v>
      </c>
      <c r="GA5" s="25">
        <v>0</v>
      </c>
      <c r="GB5" s="25">
        <v>18.399999999999999</v>
      </c>
      <c r="GC5" s="25">
        <v>6.4</v>
      </c>
      <c r="GD5" s="25">
        <v>0.2</v>
      </c>
      <c r="GE5" s="25">
        <v>0</v>
      </c>
      <c r="GF5" s="79">
        <f t="shared" si="55"/>
        <v>11.600000000000001</v>
      </c>
      <c r="GG5" s="79">
        <f t="shared" si="56"/>
        <v>48.9</v>
      </c>
      <c r="GH5" s="79" t="str">
        <f t="shared" si="57"/>
        <v/>
      </c>
      <c r="GI5" s="79">
        <f t="shared" si="58"/>
        <v>11.600000000000001</v>
      </c>
      <c r="GJ5" s="79">
        <f t="shared" si="59"/>
        <v>48.9</v>
      </c>
      <c r="GK5" s="79">
        <f t="shared" si="60"/>
        <v>11.600000000000001</v>
      </c>
      <c r="GL5" s="79">
        <f t="shared" si="61"/>
        <v>48.79999999999999</v>
      </c>
      <c r="GM5" s="79">
        <f t="shared" si="62"/>
        <v>97.699999999999989</v>
      </c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0" t="str">
        <f t="shared" si="63"/>
        <v/>
      </c>
      <c r="HI5" s="20" t="str">
        <f t="shared" si="64"/>
        <v/>
      </c>
      <c r="HJ5" s="20" t="str">
        <f t="shared" si="65"/>
        <v/>
      </c>
      <c r="HK5" s="20" t="str">
        <f t="shared" si="66"/>
        <v/>
      </c>
      <c r="HL5" s="20" t="str">
        <f t="shared" si="67"/>
        <v/>
      </c>
      <c r="HM5" s="20" t="str">
        <f t="shared" si="68"/>
        <v/>
      </c>
      <c r="HN5" s="20" t="str">
        <f t="shared" si="69"/>
        <v/>
      </c>
      <c r="HO5" s="20" t="str">
        <f t="shared" si="70"/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 t="shared" si="71"/>
        <v/>
      </c>
      <c r="IK5" s="79" t="str">
        <f t="shared" si="72"/>
        <v/>
      </c>
      <c r="IL5" s="79" t="str">
        <f t="shared" si="73"/>
        <v/>
      </c>
      <c r="IM5" s="79" t="str">
        <f t="shared" si="74"/>
        <v/>
      </c>
      <c r="IN5" s="79" t="str">
        <f t="shared" si="75"/>
        <v/>
      </c>
      <c r="IO5" s="79" t="str">
        <f t="shared" si="76"/>
        <v/>
      </c>
      <c r="IP5" s="79" t="str">
        <f t="shared" si="77"/>
        <v/>
      </c>
      <c r="IQ5" s="79" t="str">
        <f t="shared" si="78"/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 t="shared" si="79"/>
        <v/>
      </c>
      <c r="JM5" s="20" t="str">
        <f t="shared" si="80"/>
        <v/>
      </c>
      <c r="JN5" s="20" t="str">
        <f t="shared" si="81"/>
        <v/>
      </c>
      <c r="JO5" s="20" t="str">
        <f t="shared" si="82"/>
        <v/>
      </c>
      <c r="JP5" s="20" t="str">
        <f t="shared" si="83"/>
        <v/>
      </c>
      <c r="JQ5" s="20" t="str">
        <f t="shared" si="84"/>
        <v/>
      </c>
      <c r="JR5" s="20" t="str">
        <f t="shared" si="85"/>
        <v/>
      </c>
      <c r="JS5" s="20" t="str">
        <f t="shared" si="86"/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 t="shared" si="87"/>
        <v/>
      </c>
      <c r="KO5" s="79" t="str">
        <f t="shared" si="88"/>
        <v/>
      </c>
      <c r="KP5" s="79" t="str">
        <f t="shared" si="89"/>
        <v/>
      </c>
      <c r="KQ5" s="79" t="str">
        <f t="shared" si="90"/>
        <v/>
      </c>
      <c r="KR5" s="79" t="str">
        <f t="shared" si="91"/>
        <v/>
      </c>
      <c r="KS5" s="79" t="str">
        <f t="shared" si="92"/>
        <v/>
      </c>
      <c r="KT5" s="79" t="str">
        <f t="shared" si="93"/>
        <v/>
      </c>
      <c r="KU5" s="79" t="str">
        <f t="shared" si="94"/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 t="shared" si="95"/>
        <v/>
      </c>
      <c r="LQ5" s="20" t="str">
        <f t="shared" si="96"/>
        <v/>
      </c>
      <c r="LR5" s="20" t="str">
        <f t="shared" si="97"/>
        <v/>
      </c>
      <c r="LS5" s="20" t="str">
        <f t="shared" si="98"/>
        <v/>
      </c>
      <c r="LT5" s="20" t="str">
        <f t="shared" si="99"/>
        <v/>
      </c>
      <c r="LU5" s="20" t="str">
        <f t="shared" si="100"/>
        <v/>
      </c>
      <c r="LV5" s="20" t="str">
        <f t="shared" si="101"/>
        <v/>
      </c>
      <c r="LW5" s="20" t="str">
        <f t="shared" si="102"/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 t="shared" si="103"/>
        <v/>
      </c>
      <c r="MS5" s="79" t="str">
        <f t="shared" si="104"/>
        <v/>
      </c>
      <c r="MT5" s="79" t="str">
        <f t="shared" si="105"/>
        <v/>
      </c>
      <c r="MU5" s="79" t="str">
        <f t="shared" si="106"/>
        <v/>
      </c>
      <c r="MV5" s="79" t="str">
        <f t="shared" si="107"/>
        <v/>
      </c>
      <c r="MW5" s="79" t="str">
        <f t="shared" si="108"/>
        <v/>
      </c>
      <c r="MX5" s="79" t="str">
        <f t="shared" si="109"/>
        <v/>
      </c>
      <c r="MY5" s="79" t="str">
        <f t="shared" si="110"/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 t="shared" si="111"/>
        <v/>
      </c>
      <c r="NU5" s="20" t="str">
        <f t="shared" si="112"/>
        <v/>
      </c>
      <c r="NV5" s="20" t="str">
        <f t="shared" si="113"/>
        <v/>
      </c>
      <c r="NW5" s="20" t="str">
        <f t="shared" si="114"/>
        <v/>
      </c>
      <c r="NX5" s="20" t="str">
        <f t="shared" si="115"/>
        <v/>
      </c>
      <c r="NY5" s="20" t="str">
        <f t="shared" si="116"/>
        <v/>
      </c>
      <c r="NZ5" s="20" t="str">
        <f t="shared" si="117"/>
        <v/>
      </c>
      <c r="OA5" s="20" t="str">
        <f t="shared" si="118"/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 t="shared" si="119"/>
        <v/>
      </c>
      <c r="OW5" s="79" t="str">
        <f t="shared" si="120"/>
        <v/>
      </c>
      <c r="OX5" s="79" t="str">
        <f t="shared" si="121"/>
        <v/>
      </c>
      <c r="OY5" s="79" t="str">
        <f t="shared" si="122"/>
        <v/>
      </c>
      <c r="OZ5" s="79" t="str">
        <f t="shared" si="123"/>
        <v/>
      </c>
      <c r="PA5" s="79" t="str">
        <f t="shared" si="124"/>
        <v/>
      </c>
      <c r="PB5" s="79" t="str">
        <f t="shared" si="125"/>
        <v/>
      </c>
      <c r="PC5" s="79" t="str">
        <f t="shared" si="126"/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 t="shared" si="127"/>
        <v/>
      </c>
      <c r="PY5" s="20" t="str">
        <f t="shared" si="128"/>
        <v/>
      </c>
      <c r="PZ5" s="20" t="str">
        <f t="shared" si="129"/>
        <v/>
      </c>
      <c r="QA5" s="20" t="str">
        <f t="shared" si="130"/>
        <v/>
      </c>
      <c r="QB5" s="20" t="str">
        <f t="shared" si="131"/>
        <v/>
      </c>
      <c r="QC5" s="20" t="str">
        <f t="shared" si="132"/>
        <v/>
      </c>
      <c r="QD5" s="20" t="str">
        <f t="shared" si="133"/>
        <v/>
      </c>
      <c r="QE5" s="20" t="str">
        <f t="shared" si="134"/>
        <v/>
      </c>
      <c r="QF5" s="38">
        <f t="shared" si="135"/>
        <v>9.3000500000000006</v>
      </c>
      <c r="QG5" s="38">
        <f t="shared" si="136"/>
        <v>2.8000499999999997</v>
      </c>
      <c r="QH5" s="38">
        <f t="shared" si="137"/>
        <v>0.3</v>
      </c>
      <c r="QI5" s="38">
        <f t="shared" si="138"/>
        <v>0</v>
      </c>
      <c r="QJ5" s="38">
        <f t="shared" si="139"/>
        <v>9.4499999999999993</v>
      </c>
      <c r="QK5" s="38">
        <f t="shared" si="140"/>
        <v>3</v>
      </c>
      <c r="QL5" s="38">
        <f t="shared" si="141"/>
        <v>0</v>
      </c>
      <c r="QM5" s="38">
        <f t="shared" si="142"/>
        <v>0</v>
      </c>
      <c r="QN5" s="38">
        <f t="shared" si="143"/>
        <v>9.3000000000000007</v>
      </c>
      <c r="QO5" s="38">
        <f t="shared" si="144"/>
        <v>3</v>
      </c>
      <c r="QP5" s="38">
        <f t="shared" si="145"/>
        <v>0.3</v>
      </c>
      <c r="QQ5" s="38">
        <f t="shared" si="146"/>
        <v>0.15</v>
      </c>
      <c r="QR5" s="38">
        <f t="shared" si="147"/>
        <v>9.5</v>
      </c>
      <c r="QS5" s="38">
        <f t="shared" si="148"/>
        <v>3.2</v>
      </c>
      <c r="QT5" s="38">
        <f t="shared" si="149"/>
        <v>0</v>
      </c>
      <c r="QU5" s="38">
        <f t="shared" si="150"/>
        <v>0</v>
      </c>
      <c r="QV5" s="38">
        <f t="shared" si="151"/>
        <v>9.6</v>
      </c>
      <c r="QW5" s="38">
        <f t="shared" si="152"/>
        <v>2.6</v>
      </c>
      <c r="QX5" s="38">
        <f t="shared" si="153"/>
        <v>0</v>
      </c>
      <c r="QY5" s="38">
        <f t="shared" si="154"/>
        <v>0</v>
      </c>
      <c r="QZ5" s="45" t="s">
        <v>46</v>
      </c>
      <c r="RA5" s="79">
        <f t="shared" si="155"/>
        <v>5.8000499999999997</v>
      </c>
      <c r="RB5" s="79">
        <f t="shared" si="156"/>
        <v>24.2501</v>
      </c>
      <c r="RC5" s="79">
        <f t="shared" si="157"/>
        <v>12.15</v>
      </c>
      <c r="RD5" s="79">
        <f t="shared" si="158"/>
        <v>8.8000499999999988</v>
      </c>
      <c r="RE5" s="79">
        <f t="shared" si="159"/>
        <v>36.400100000000002</v>
      </c>
      <c r="RF5" s="79">
        <f t="shared" si="160"/>
        <v>5.8000000000000007</v>
      </c>
      <c r="RG5" s="79">
        <f t="shared" si="161"/>
        <v>24.9</v>
      </c>
      <c r="RH5" s="79">
        <f t="shared" si="162"/>
        <v>49.150099999999995</v>
      </c>
    </row>
    <row r="6" spans="1:476" x14ac:dyDescent="0.2">
      <c r="A6" s="5">
        <f t="shared" si="163"/>
        <v>3</v>
      </c>
      <c r="B6" s="78" t="s">
        <v>97</v>
      </c>
      <c r="C6" s="5" t="s">
        <v>5</v>
      </c>
      <c r="D6" s="5">
        <v>2001</v>
      </c>
      <c r="E6" s="15">
        <f t="shared" si="0"/>
        <v>167.40000723001486</v>
      </c>
      <c r="F6" s="3" t="str">
        <f t="shared" si="1"/>
        <v>P</v>
      </c>
      <c r="G6" s="3" t="str">
        <f t="shared" si="2"/>
        <v>P</v>
      </c>
      <c r="H6" s="67" t="str">
        <f t="shared" si="3"/>
        <v>National Team</v>
      </c>
      <c r="I6" s="14">
        <f>IF(COUNT(AR6,BU6,CX6)&gt;0,LARGE((AR6,BU6,CX6),1),0)</f>
        <v>48.5</v>
      </c>
      <c r="J6" s="14" t="str">
        <f t="shared" si="4"/>
        <v>2022 Elite Canada</v>
      </c>
      <c r="K6" s="14">
        <f>IF(COUNT(AR6,BU6,CX6)&gt;1,LARGE((AR6,BU6,CX6),2),0)</f>
        <v>1E-4</v>
      </c>
      <c r="L6" s="14" t="str">
        <f t="shared" si="5"/>
        <v>2021 Canadian Championships</v>
      </c>
      <c r="M6" s="14">
        <f>IF(COUNT(AS6,BV6,CY6)&gt;0,LARGE((AS6,BV6,CY6),1),0)</f>
        <v>23.8</v>
      </c>
      <c r="N6" s="14" t="str">
        <f t="shared" si="6"/>
        <v>2022 Elite Canada</v>
      </c>
      <c r="O6" s="14">
        <f>IF(COUNT(AS6,BV6,CY6)&gt;1,LARGE((AS6,BV6,CY6),2),0)</f>
        <v>0</v>
      </c>
      <c r="P6" s="14" t="str">
        <f t="shared" si="7"/>
        <v/>
      </c>
      <c r="Q6" s="14">
        <f t="shared" si="8"/>
        <v>47.5</v>
      </c>
      <c r="R6" s="14" t="str">
        <f t="shared" si="9"/>
        <v>2022 Elite Canada</v>
      </c>
      <c r="S6" s="14">
        <f t="shared" si="10"/>
        <v>47.599899999999998</v>
      </c>
      <c r="T6" s="20" t="str">
        <f t="shared" si="11"/>
        <v>(Q1)</v>
      </c>
      <c r="U6" s="14" t="str">
        <f t="shared" si="12"/>
        <v>2022 World Games Technical Trial #1 (Mar 12)</v>
      </c>
      <c r="V6" s="27"/>
      <c r="W6" s="27">
        <v>1E-4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>
        <f t="shared" si="13"/>
        <v>1E-4</v>
      </c>
      <c r="AR6" s="79">
        <f t="shared" si="14"/>
        <v>1E-4</v>
      </c>
      <c r="AS6" s="79" t="str">
        <f t="shared" si="15"/>
        <v/>
      </c>
      <c r="AT6" s="79">
        <f t="shared" si="16"/>
        <v>1E-4</v>
      </c>
      <c r="AU6" s="79">
        <f t="shared" si="17"/>
        <v>1E-4</v>
      </c>
      <c r="AV6" s="79" t="str">
        <f t="shared" si="18"/>
        <v/>
      </c>
      <c r="AW6" s="79" t="str">
        <f t="shared" si="19"/>
        <v/>
      </c>
      <c r="AX6" s="79">
        <f t="shared" si="20"/>
        <v>1E-4</v>
      </c>
      <c r="AY6" s="26"/>
      <c r="AZ6" s="26">
        <v>1E-4</v>
      </c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>
        <f t="shared" si="21"/>
        <v>1E-4</v>
      </c>
      <c r="BU6" s="20">
        <f t="shared" si="22"/>
        <v>1E-4</v>
      </c>
      <c r="BV6" s="20" t="str">
        <f t="shared" si="23"/>
        <v/>
      </c>
      <c r="BW6" s="20">
        <f t="shared" si="24"/>
        <v>1E-4</v>
      </c>
      <c r="BX6" s="20">
        <f t="shared" si="25"/>
        <v>1E-4</v>
      </c>
      <c r="BY6" s="20" t="str">
        <f t="shared" si="26"/>
        <v/>
      </c>
      <c r="BZ6" s="20" t="str">
        <f t="shared" si="27"/>
        <v/>
      </c>
      <c r="CA6" s="20">
        <f t="shared" si="28"/>
        <v>1E-4</v>
      </c>
      <c r="CB6" s="27">
        <v>18.600000000000001</v>
      </c>
      <c r="CC6" s="27">
        <v>5.6</v>
      </c>
      <c r="CD6" s="27">
        <v>0.2</v>
      </c>
      <c r="CE6" s="27">
        <v>0</v>
      </c>
      <c r="CF6" s="27">
        <v>18.5</v>
      </c>
      <c r="CG6" s="27">
        <v>6</v>
      </c>
      <c r="CH6" s="27">
        <v>0</v>
      </c>
      <c r="CI6" s="27">
        <v>0</v>
      </c>
      <c r="CJ6" s="27">
        <v>19</v>
      </c>
      <c r="CK6" s="27">
        <v>4.8</v>
      </c>
      <c r="CL6" s="27">
        <v>0</v>
      </c>
      <c r="CM6" s="27">
        <v>0</v>
      </c>
      <c r="CN6" s="27">
        <v>18.3</v>
      </c>
      <c r="CO6" s="27">
        <v>5.6</v>
      </c>
      <c r="CP6" s="27">
        <v>0.2</v>
      </c>
      <c r="CQ6" s="27">
        <v>0</v>
      </c>
      <c r="CR6" s="27">
        <v>18</v>
      </c>
      <c r="CS6" s="27">
        <v>6</v>
      </c>
      <c r="CT6" s="27">
        <v>0.2</v>
      </c>
      <c r="CU6" s="27">
        <v>0</v>
      </c>
      <c r="CV6" s="45"/>
      <c r="CW6" s="79">
        <f t="shared" si="29"/>
        <v>11.6</v>
      </c>
      <c r="CX6" s="79">
        <f t="shared" si="30"/>
        <v>48.5</v>
      </c>
      <c r="CY6" s="79">
        <f t="shared" si="31"/>
        <v>23.8</v>
      </c>
      <c r="CZ6" s="79">
        <f t="shared" si="32"/>
        <v>16.399999999999999</v>
      </c>
      <c r="DA6" s="79">
        <f t="shared" si="33"/>
        <v>72.3</v>
      </c>
      <c r="DB6" s="79">
        <f t="shared" si="34"/>
        <v>11.6</v>
      </c>
      <c r="DC6" s="79">
        <f t="shared" si="35"/>
        <v>47.5</v>
      </c>
      <c r="DD6" s="79">
        <f t="shared" si="36"/>
        <v>96</v>
      </c>
      <c r="DE6" s="80">
        <f t="shared" si="37"/>
        <v>47.599899999999998</v>
      </c>
      <c r="DF6" s="80"/>
      <c r="DG6" s="80">
        <f t="shared" si="38"/>
        <v>9.9999999999994316E-2</v>
      </c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 t="str">
        <f t="shared" si="39"/>
        <v/>
      </c>
      <c r="EC6" s="79" t="str">
        <f t="shared" si="40"/>
        <v/>
      </c>
      <c r="ED6" s="79" t="str">
        <f t="shared" si="41"/>
        <v/>
      </c>
      <c r="EE6" s="79" t="str">
        <f t="shared" si="42"/>
        <v/>
      </c>
      <c r="EF6" s="79" t="str">
        <f t="shared" si="43"/>
        <v/>
      </c>
      <c r="EG6" s="79" t="str">
        <f t="shared" si="44"/>
        <v/>
      </c>
      <c r="EH6" s="79" t="str">
        <f t="shared" si="45"/>
        <v/>
      </c>
      <c r="EI6" s="79" t="str">
        <f t="shared" si="46"/>
        <v/>
      </c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0" t="str">
        <f t="shared" si="47"/>
        <v/>
      </c>
      <c r="FE6" s="20" t="str">
        <f t="shared" si="48"/>
        <v/>
      </c>
      <c r="FF6" s="20" t="str">
        <f t="shared" si="49"/>
        <v/>
      </c>
      <c r="FG6" s="20" t="str">
        <f t="shared" si="50"/>
        <v/>
      </c>
      <c r="FH6" s="20" t="str">
        <f t="shared" si="51"/>
        <v/>
      </c>
      <c r="FI6" s="20" t="str">
        <f t="shared" si="52"/>
        <v/>
      </c>
      <c r="FJ6" s="20" t="str">
        <f t="shared" si="53"/>
        <v/>
      </c>
      <c r="FK6" s="20" t="str">
        <f t="shared" si="54"/>
        <v/>
      </c>
      <c r="FL6" s="25">
        <v>18.600000000000001</v>
      </c>
      <c r="FM6" s="25">
        <v>5.6</v>
      </c>
      <c r="FN6" s="25">
        <v>0</v>
      </c>
      <c r="FO6" s="25">
        <v>0</v>
      </c>
      <c r="FP6" s="25">
        <v>18</v>
      </c>
      <c r="FQ6" s="25">
        <v>5.6</v>
      </c>
      <c r="FR6" s="25">
        <v>0.2</v>
      </c>
      <c r="FS6" s="25">
        <v>0</v>
      </c>
      <c r="FT6" s="25"/>
      <c r="FU6" s="25"/>
      <c r="FV6" s="25"/>
      <c r="FW6" s="25"/>
      <c r="FX6" s="25">
        <v>18</v>
      </c>
      <c r="FY6" s="25">
        <v>5.6</v>
      </c>
      <c r="FZ6" s="25">
        <v>0.2</v>
      </c>
      <c r="GA6" s="25">
        <v>0</v>
      </c>
      <c r="GB6" s="25">
        <v>18.2</v>
      </c>
      <c r="GC6" s="25">
        <v>6</v>
      </c>
      <c r="GD6" s="25">
        <v>0</v>
      </c>
      <c r="GE6" s="25">
        <v>0</v>
      </c>
      <c r="GF6" s="79">
        <f t="shared" si="55"/>
        <v>11.2</v>
      </c>
      <c r="GG6" s="79">
        <f t="shared" si="56"/>
        <v>47.6</v>
      </c>
      <c r="GH6" s="79" t="str">
        <f t="shared" si="57"/>
        <v/>
      </c>
      <c r="GI6" s="79">
        <f t="shared" si="58"/>
        <v>11.2</v>
      </c>
      <c r="GJ6" s="79">
        <f t="shared" si="59"/>
        <v>47.6</v>
      </c>
      <c r="GK6" s="79">
        <f t="shared" si="60"/>
        <v>11.6</v>
      </c>
      <c r="GL6" s="79">
        <f t="shared" si="61"/>
        <v>47.599999999999994</v>
      </c>
      <c r="GM6" s="79">
        <f t="shared" si="62"/>
        <v>95.199999999999989</v>
      </c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0" t="str">
        <f t="shared" si="63"/>
        <v/>
      </c>
      <c r="HI6" s="20" t="str">
        <f t="shared" si="64"/>
        <v/>
      </c>
      <c r="HJ6" s="20" t="str">
        <f t="shared" si="65"/>
        <v/>
      </c>
      <c r="HK6" s="20" t="str">
        <f t="shared" si="66"/>
        <v/>
      </c>
      <c r="HL6" s="20" t="str">
        <f t="shared" si="67"/>
        <v/>
      </c>
      <c r="HM6" s="20" t="str">
        <f t="shared" si="68"/>
        <v/>
      </c>
      <c r="HN6" s="20" t="str">
        <f t="shared" si="69"/>
        <v/>
      </c>
      <c r="HO6" s="20" t="str">
        <f t="shared" si="70"/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 t="shared" si="71"/>
        <v/>
      </c>
      <c r="IK6" s="79" t="str">
        <f t="shared" si="72"/>
        <v/>
      </c>
      <c r="IL6" s="79" t="str">
        <f t="shared" si="73"/>
        <v/>
      </c>
      <c r="IM6" s="79" t="str">
        <f t="shared" si="74"/>
        <v/>
      </c>
      <c r="IN6" s="79" t="str">
        <f t="shared" si="75"/>
        <v/>
      </c>
      <c r="IO6" s="79" t="str">
        <f t="shared" si="76"/>
        <v/>
      </c>
      <c r="IP6" s="79" t="str">
        <f t="shared" si="77"/>
        <v/>
      </c>
      <c r="IQ6" s="79" t="str">
        <f t="shared" si="78"/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 t="shared" si="79"/>
        <v/>
      </c>
      <c r="JM6" s="20" t="str">
        <f t="shared" si="80"/>
        <v/>
      </c>
      <c r="JN6" s="20" t="str">
        <f t="shared" si="81"/>
        <v/>
      </c>
      <c r="JO6" s="20" t="str">
        <f t="shared" si="82"/>
        <v/>
      </c>
      <c r="JP6" s="20" t="str">
        <f t="shared" si="83"/>
        <v/>
      </c>
      <c r="JQ6" s="20" t="str">
        <f t="shared" si="84"/>
        <v/>
      </c>
      <c r="JR6" s="20" t="str">
        <f t="shared" si="85"/>
        <v/>
      </c>
      <c r="JS6" s="20" t="str">
        <f t="shared" si="86"/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 t="shared" si="87"/>
        <v/>
      </c>
      <c r="KO6" s="79" t="str">
        <f t="shared" si="88"/>
        <v/>
      </c>
      <c r="KP6" s="79" t="str">
        <f t="shared" si="89"/>
        <v/>
      </c>
      <c r="KQ6" s="79" t="str">
        <f t="shared" si="90"/>
        <v/>
      </c>
      <c r="KR6" s="79" t="str">
        <f t="shared" si="91"/>
        <v/>
      </c>
      <c r="KS6" s="79" t="str">
        <f t="shared" si="92"/>
        <v/>
      </c>
      <c r="KT6" s="79" t="str">
        <f t="shared" si="93"/>
        <v/>
      </c>
      <c r="KU6" s="79" t="str">
        <f t="shared" si="94"/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 t="shared" si="95"/>
        <v/>
      </c>
      <c r="LQ6" s="20" t="str">
        <f t="shared" si="96"/>
        <v/>
      </c>
      <c r="LR6" s="20" t="str">
        <f t="shared" si="97"/>
        <v/>
      </c>
      <c r="LS6" s="20" t="str">
        <f t="shared" si="98"/>
        <v/>
      </c>
      <c r="LT6" s="20" t="str">
        <f t="shared" si="99"/>
        <v/>
      </c>
      <c r="LU6" s="20" t="str">
        <f t="shared" si="100"/>
        <v/>
      </c>
      <c r="LV6" s="20" t="str">
        <f t="shared" si="101"/>
        <v/>
      </c>
      <c r="LW6" s="20" t="str">
        <f t="shared" si="102"/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 t="shared" si="103"/>
        <v/>
      </c>
      <c r="MS6" s="79" t="str">
        <f t="shared" si="104"/>
        <v/>
      </c>
      <c r="MT6" s="79" t="str">
        <f t="shared" si="105"/>
        <v/>
      </c>
      <c r="MU6" s="79" t="str">
        <f t="shared" si="106"/>
        <v/>
      </c>
      <c r="MV6" s="79" t="str">
        <f t="shared" si="107"/>
        <v/>
      </c>
      <c r="MW6" s="79" t="str">
        <f t="shared" si="108"/>
        <v/>
      </c>
      <c r="MX6" s="79" t="str">
        <f t="shared" si="109"/>
        <v/>
      </c>
      <c r="MY6" s="79" t="str">
        <f t="shared" si="110"/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 t="shared" si="111"/>
        <v/>
      </c>
      <c r="NU6" s="20" t="str">
        <f t="shared" si="112"/>
        <v/>
      </c>
      <c r="NV6" s="20" t="str">
        <f t="shared" si="113"/>
        <v/>
      </c>
      <c r="NW6" s="20" t="str">
        <f t="shared" si="114"/>
        <v/>
      </c>
      <c r="NX6" s="20" t="str">
        <f t="shared" si="115"/>
        <v/>
      </c>
      <c r="NY6" s="20" t="str">
        <f t="shared" si="116"/>
        <v/>
      </c>
      <c r="NZ6" s="20" t="str">
        <f t="shared" si="117"/>
        <v/>
      </c>
      <c r="OA6" s="20" t="str">
        <f t="shared" si="118"/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 t="shared" si="119"/>
        <v/>
      </c>
      <c r="OW6" s="79" t="str">
        <f t="shared" si="120"/>
        <v/>
      </c>
      <c r="OX6" s="79" t="str">
        <f t="shared" si="121"/>
        <v/>
      </c>
      <c r="OY6" s="79" t="str">
        <f t="shared" si="122"/>
        <v/>
      </c>
      <c r="OZ6" s="79" t="str">
        <f t="shared" si="123"/>
        <v/>
      </c>
      <c r="PA6" s="79" t="str">
        <f t="shared" si="124"/>
        <v/>
      </c>
      <c r="PB6" s="79" t="str">
        <f t="shared" si="125"/>
        <v/>
      </c>
      <c r="PC6" s="79" t="str">
        <f t="shared" si="126"/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 t="shared" si="127"/>
        <v/>
      </c>
      <c r="PY6" s="20" t="str">
        <f t="shared" si="128"/>
        <v/>
      </c>
      <c r="PZ6" s="20" t="str">
        <f t="shared" si="129"/>
        <v/>
      </c>
      <c r="QA6" s="20" t="str">
        <f t="shared" si="130"/>
        <v/>
      </c>
      <c r="QB6" s="20" t="str">
        <f t="shared" si="131"/>
        <v/>
      </c>
      <c r="QC6" s="20" t="str">
        <f t="shared" si="132"/>
        <v/>
      </c>
      <c r="QD6" s="20" t="str">
        <f t="shared" si="133"/>
        <v/>
      </c>
      <c r="QE6" s="20" t="str">
        <f t="shared" si="134"/>
        <v/>
      </c>
      <c r="QF6" s="38">
        <f t="shared" si="135"/>
        <v>9.3000000000000007</v>
      </c>
      <c r="QG6" s="38">
        <f t="shared" si="136"/>
        <v>2.8000499999999997</v>
      </c>
      <c r="QH6" s="38">
        <f t="shared" si="137"/>
        <v>0.1</v>
      </c>
      <c r="QI6" s="38">
        <f t="shared" si="138"/>
        <v>0</v>
      </c>
      <c r="QJ6" s="38">
        <f t="shared" si="139"/>
        <v>9.25</v>
      </c>
      <c r="QK6" s="38">
        <f t="shared" si="140"/>
        <v>3</v>
      </c>
      <c r="QL6" s="38">
        <f t="shared" si="141"/>
        <v>0</v>
      </c>
      <c r="QM6" s="38">
        <f t="shared" si="142"/>
        <v>0</v>
      </c>
      <c r="QN6" s="38">
        <f t="shared" si="143"/>
        <v>9.5</v>
      </c>
      <c r="QO6" s="38">
        <f t="shared" si="144"/>
        <v>2.4</v>
      </c>
      <c r="QP6" s="38">
        <f t="shared" si="145"/>
        <v>0</v>
      </c>
      <c r="QQ6" s="38">
        <f t="shared" si="146"/>
        <v>0</v>
      </c>
      <c r="QR6" s="38">
        <f t="shared" si="147"/>
        <v>9.15</v>
      </c>
      <c r="QS6" s="38">
        <f t="shared" si="148"/>
        <v>2.8</v>
      </c>
      <c r="QT6" s="38">
        <f t="shared" si="149"/>
        <v>0.1</v>
      </c>
      <c r="QU6" s="38">
        <f t="shared" si="150"/>
        <v>0</v>
      </c>
      <c r="QV6" s="38">
        <f t="shared" si="151"/>
        <v>9</v>
      </c>
      <c r="QW6" s="38">
        <f t="shared" si="152"/>
        <v>3</v>
      </c>
      <c r="QX6" s="38">
        <f t="shared" si="153"/>
        <v>0.1</v>
      </c>
      <c r="QY6" s="38">
        <f t="shared" si="154"/>
        <v>0</v>
      </c>
      <c r="QZ6" s="45" t="s">
        <v>46</v>
      </c>
      <c r="RA6" s="79">
        <f t="shared" si="155"/>
        <v>5.8000499999999997</v>
      </c>
      <c r="RB6" s="79">
        <f t="shared" si="156"/>
        <v>24.250049999999998</v>
      </c>
      <c r="RC6" s="79">
        <f t="shared" si="157"/>
        <v>11.9</v>
      </c>
      <c r="RD6" s="79">
        <f t="shared" si="158"/>
        <v>8.2000499999999992</v>
      </c>
      <c r="RE6" s="79">
        <f t="shared" si="159"/>
        <v>36.15005</v>
      </c>
      <c r="RF6" s="79">
        <f t="shared" si="160"/>
        <v>5.8</v>
      </c>
      <c r="RG6" s="79">
        <f t="shared" si="161"/>
        <v>23.75</v>
      </c>
      <c r="RH6" s="79">
        <f t="shared" si="162"/>
        <v>48.000050000000002</v>
      </c>
    </row>
    <row r="7" spans="1:476" x14ac:dyDescent="0.2">
      <c r="A7" s="5">
        <f t="shared" si="163"/>
        <v>4</v>
      </c>
      <c r="B7" s="78" t="s">
        <v>90</v>
      </c>
      <c r="C7" s="5" t="s">
        <v>5</v>
      </c>
      <c r="D7" s="5">
        <v>2004</v>
      </c>
      <c r="E7" s="15">
        <f t="shared" si="0"/>
        <v>164.50000692002473</v>
      </c>
      <c r="F7" s="3" t="str">
        <f t="shared" si="1"/>
        <v>P</v>
      </c>
      <c r="G7" s="3" t="str">
        <f t="shared" si="2"/>
        <v>P</v>
      </c>
      <c r="H7" s="67" t="str">
        <f t="shared" si="3"/>
        <v>National Team</v>
      </c>
      <c r="I7" s="14">
        <f>IF(COUNT(AR7,BU7,CX7)&gt;0,LARGE((AR7,BU7,CX7),1),0)</f>
        <v>47.000000000000007</v>
      </c>
      <c r="J7" s="14" t="str">
        <f t="shared" si="4"/>
        <v>2022 Elite Canada</v>
      </c>
      <c r="K7" s="14">
        <f>IF(COUNT(AR7,BU7,CX7)&gt;1,LARGE((AR7,BU7,CX7),2),0)</f>
        <v>2.0000000000000001E-4</v>
      </c>
      <c r="L7" s="14" t="str">
        <f t="shared" si="5"/>
        <v>2021 Canadian Championships</v>
      </c>
      <c r="M7" s="14">
        <f>IF(COUNT(AS7,BV7,CY7)&gt;0,LARGE((AS7,BV7,CY7),1),0)</f>
        <v>22.2</v>
      </c>
      <c r="N7" s="14" t="str">
        <f t="shared" si="6"/>
        <v>2022 Elite Canada</v>
      </c>
      <c r="O7" s="14">
        <f>IF(COUNT(AS7,BV7,CY7)&gt;1,LARGE((AS7,BV7,CY7),2),0)</f>
        <v>0</v>
      </c>
      <c r="P7" s="14" t="str">
        <f t="shared" si="7"/>
        <v/>
      </c>
      <c r="Q7" s="14">
        <f t="shared" si="8"/>
        <v>48.1</v>
      </c>
      <c r="R7" s="14" t="str">
        <f t="shared" si="9"/>
        <v>2022 Elite Canada</v>
      </c>
      <c r="S7" s="14">
        <f t="shared" si="10"/>
        <v>47.199800000000003</v>
      </c>
      <c r="T7" s="20" t="str">
        <f t="shared" si="11"/>
        <v>(Q1)</v>
      </c>
      <c r="U7" s="14" t="str">
        <f t="shared" si="12"/>
        <v>2022 World Games Technical Trial #1 (Mar 12)</v>
      </c>
      <c r="V7" s="27"/>
      <c r="W7" s="27">
        <v>1E-4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>
        <f t="shared" si="13"/>
        <v>1E-4</v>
      </c>
      <c r="AR7" s="79">
        <f t="shared" si="14"/>
        <v>1E-4</v>
      </c>
      <c r="AS7" s="79" t="str">
        <f t="shared" si="15"/>
        <v/>
      </c>
      <c r="AT7" s="79">
        <f t="shared" si="16"/>
        <v>1E-4</v>
      </c>
      <c r="AU7" s="79">
        <f t="shared" si="17"/>
        <v>1E-4</v>
      </c>
      <c r="AV7" s="79" t="str">
        <f t="shared" si="18"/>
        <v/>
      </c>
      <c r="AW7" s="79" t="str">
        <f t="shared" si="19"/>
        <v/>
      </c>
      <c r="AX7" s="79">
        <f t="shared" si="20"/>
        <v>1E-4</v>
      </c>
      <c r="AY7" s="26">
        <v>1E-4</v>
      </c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 t="shared" si="21"/>
        <v>1E-4</v>
      </c>
      <c r="BU7" s="20">
        <f t="shared" si="22"/>
        <v>2.0000000000000001E-4</v>
      </c>
      <c r="BV7" s="20" t="str">
        <f t="shared" si="23"/>
        <v/>
      </c>
      <c r="BW7" s="20">
        <f t="shared" si="24"/>
        <v>1E-4</v>
      </c>
      <c r="BX7" s="20">
        <f t="shared" si="25"/>
        <v>2.0000000000000001E-4</v>
      </c>
      <c r="BY7" s="20" t="str">
        <f t="shared" si="26"/>
        <v/>
      </c>
      <c r="BZ7" s="20" t="str">
        <f t="shared" si="27"/>
        <v/>
      </c>
      <c r="CA7" s="20">
        <f t="shared" si="28"/>
        <v>2.0000000000000001E-4</v>
      </c>
      <c r="CB7" s="27">
        <v>18.600000000000001</v>
      </c>
      <c r="CC7" s="27">
        <v>5.2</v>
      </c>
      <c r="CD7" s="27">
        <v>0.8</v>
      </c>
      <c r="CE7" s="27">
        <v>0</v>
      </c>
      <c r="CF7" s="27">
        <v>18.600000000000001</v>
      </c>
      <c r="CG7" s="27">
        <v>5.6</v>
      </c>
      <c r="CH7" s="27">
        <v>0.2</v>
      </c>
      <c r="CI7" s="27">
        <v>0</v>
      </c>
      <c r="CJ7" s="27">
        <v>18</v>
      </c>
      <c r="CK7" s="27">
        <v>4.8</v>
      </c>
      <c r="CL7" s="27">
        <v>0.6</v>
      </c>
      <c r="CM7" s="27">
        <v>0</v>
      </c>
      <c r="CN7" s="27">
        <v>18.5</v>
      </c>
      <c r="CO7" s="27">
        <v>5.2</v>
      </c>
      <c r="CP7" s="27">
        <v>0.2</v>
      </c>
      <c r="CQ7" s="27">
        <v>0</v>
      </c>
      <c r="CR7" s="27">
        <v>19</v>
      </c>
      <c r="CS7" s="27">
        <v>5.6</v>
      </c>
      <c r="CT7" s="27">
        <v>0</v>
      </c>
      <c r="CU7" s="27">
        <v>0</v>
      </c>
      <c r="CV7" s="45"/>
      <c r="CW7" s="79">
        <f t="shared" si="29"/>
        <v>10.8</v>
      </c>
      <c r="CX7" s="79">
        <f t="shared" si="30"/>
        <v>47.000000000000007</v>
      </c>
      <c r="CY7" s="79">
        <f t="shared" si="31"/>
        <v>22.2</v>
      </c>
      <c r="CZ7" s="79">
        <f t="shared" si="32"/>
        <v>15.600000000000001</v>
      </c>
      <c r="DA7" s="79">
        <f t="shared" si="33"/>
        <v>69.2</v>
      </c>
      <c r="DB7" s="79">
        <f t="shared" si="34"/>
        <v>10.8</v>
      </c>
      <c r="DC7" s="79">
        <f t="shared" si="35"/>
        <v>48.1</v>
      </c>
      <c r="DD7" s="79">
        <f t="shared" si="36"/>
        <v>95.100000000000009</v>
      </c>
      <c r="DE7" s="80">
        <f t="shared" si="37"/>
        <v>47.199800000000003</v>
      </c>
      <c r="DF7" s="80"/>
      <c r="DG7" s="80" t="str">
        <f t="shared" si="38"/>
        <v/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 t="shared" si="39"/>
        <v/>
      </c>
      <c r="EC7" s="79" t="str">
        <f t="shared" si="40"/>
        <v/>
      </c>
      <c r="ED7" s="79" t="str">
        <f t="shared" si="41"/>
        <v/>
      </c>
      <c r="EE7" s="79" t="str">
        <f t="shared" si="42"/>
        <v/>
      </c>
      <c r="EF7" s="79" t="str">
        <f t="shared" si="43"/>
        <v/>
      </c>
      <c r="EG7" s="79" t="str">
        <f t="shared" si="44"/>
        <v/>
      </c>
      <c r="EH7" s="79" t="str">
        <f t="shared" si="45"/>
        <v/>
      </c>
      <c r="EI7" s="79" t="str">
        <f t="shared" si="46"/>
        <v/>
      </c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0" t="str">
        <f t="shared" si="47"/>
        <v/>
      </c>
      <c r="FE7" s="20" t="str">
        <f t="shared" si="48"/>
        <v/>
      </c>
      <c r="FF7" s="20" t="str">
        <f t="shared" si="49"/>
        <v/>
      </c>
      <c r="FG7" s="20" t="str">
        <f t="shared" si="50"/>
        <v/>
      </c>
      <c r="FH7" s="20" t="str">
        <f t="shared" si="51"/>
        <v/>
      </c>
      <c r="FI7" s="20" t="str">
        <f t="shared" si="52"/>
        <v/>
      </c>
      <c r="FJ7" s="20" t="str">
        <f t="shared" si="53"/>
        <v/>
      </c>
      <c r="FK7" s="20" t="str">
        <f t="shared" si="54"/>
        <v/>
      </c>
      <c r="FL7" s="25">
        <v>18.600000000000001</v>
      </c>
      <c r="FM7" s="25">
        <v>5.2</v>
      </c>
      <c r="FN7" s="25">
        <v>0.6</v>
      </c>
      <c r="FO7" s="25">
        <v>0</v>
      </c>
      <c r="FP7" s="25">
        <v>18.600000000000001</v>
      </c>
      <c r="FQ7" s="25">
        <v>5.6</v>
      </c>
      <c r="FR7" s="25">
        <v>0.2</v>
      </c>
      <c r="FS7" s="25">
        <v>0</v>
      </c>
      <c r="FT7" s="25"/>
      <c r="FU7" s="25"/>
      <c r="FV7" s="25"/>
      <c r="FW7" s="25"/>
      <c r="FX7" s="25">
        <v>18.399999999999999</v>
      </c>
      <c r="FY7" s="25">
        <v>5.2</v>
      </c>
      <c r="FZ7" s="25">
        <v>0</v>
      </c>
      <c r="GA7" s="25">
        <v>0</v>
      </c>
      <c r="GB7" s="25">
        <v>18.8</v>
      </c>
      <c r="GC7" s="25">
        <v>5.6</v>
      </c>
      <c r="GD7" s="25">
        <v>0.2</v>
      </c>
      <c r="GE7" s="25">
        <v>0</v>
      </c>
      <c r="GF7" s="79">
        <f t="shared" si="55"/>
        <v>10.8</v>
      </c>
      <c r="GG7" s="79">
        <f t="shared" si="56"/>
        <v>47.2</v>
      </c>
      <c r="GH7" s="79" t="str">
        <f t="shared" si="57"/>
        <v/>
      </c>
      <c r="GI7" s="79">
        <f t="shared" si="58"/>
        <v>10.8</v>
      </c>
      <c r="GJ7" s="79">
        <f t="shared" si="59"/>
        <v>47.2</v>
      </c>
      <c r="GK7" s="79">
        <f t="shared" si="60"/>
        <v>10.8</v>
      </c>
      <c r="GL7" s="79">
        <f t="shared" si="61"/>
        <v>47.8</v>
      </c>
      <c r="GM7" s="79">
        <f t="shared" si="62"/>
        <v>95</v>
      </c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0" t="str">
        <f t="shared" si="63"/>
        <v/>
      </c>
      <c r="HI7" s="20" t="str">
        <f t="shared" si="64"/>
        <v/>
      </c>
      <c r="HJ7" s="20" t="str">
        <f t="shared" si="65"/>
        <v/>
      </c>
      <c r="HK7" s="20" t="str">
        <f t="shared" si="66"/>
        <v/>
      </c>
      <c r="HL7" s="20" t="str">
        <f t="shared" si="67"/>
        <v/>
      </c>
      <c r="HM7" s="20" t="str">
        <f t="shared" si="68"/>
        <v/>
      </c>
      <c r="HN7" s="20" t="str">
        <f t="shared" si="69"/>
        <v/>
      </c>
      <c r="HO7" s="20" t="str">
        <f t="shared" si="70"/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 t="shared" si="71"/>
        <v/>
      </c>
      <c r="IK7" s="79" t="str">
        <f t="shared" si="72"/>
        <v/>
      </c>
      <c r="IL7" s="79" t="str">
        <f t="shared" si="73"/>
        <v/>
      </c>
      <c r="IM7" s="79" t="str">
        <f t="shared" si="74"/>
        <v/>
      </c>
      <c r="IN7" s="79" t="str">
        <f t="shared" si="75"/>
        <v/>
      </c>
      <c r="IO7" s="79" t="str">
        <f t="shared" si="76"/>
        <v/>
      </c>
      <c r="IP7" s="79" t="str">
        <f t="shared" si="77"/>
        <v/>
      </c>
      <c r="IQ7" s="79" t="str">
        <f t="shared" si="78"/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 t="shared" si="79"/>
        <v/>
      </c>
      <c r="JM7" s="20" t="str">
        <f t="shared" si="80"/>
        <v/>
      </c>
      <c r="JN7" s="20" t="str">
        <f t="shared" si="81"/>
        <v/>
      </c>
      <c r="JO7" s="20" t="str">
        <f t="shared" si="82"/>
        <v/>
      </c>
      <c r="JP7" s="20" t="str">
        <f t="shared" si="83"/>
        <v/>
      </c>
      <c r="JQ7" s="20" t="str">
        <f t="shared" si="84"/>
        <v/>
      </c>
      <c r="JR7" s="20" t="str">
        <f t="shared" si="85"/>
        <v/>
      </c>
      <c r="JS7" s="20" t="str">
        <f t="shared" si="86"/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 t="shared" si="87"/>
        <v/>
      </c>
      <c r="KO7" s="79" t="str">
        <f t="shared" si="88"/>
        <v/>
      </c>
      <c r="KP7" s="79" t="str">
        <f t="shared" si="89"/>
        <v/>
      </c>
      <c r="KQ7" s="79" t="str">
        <f t="shared" si="90"/>
        <v/>
      </c>
      <c r="KR7" s="79" t="str">
        <f t="shared" si="91"/>
        <v/>
      </c>
      <c r="KS7" s="79" t="str">
        <f t="shared" si="92"/>
        <v/>
      </c>
      <c r="KT7" s="79" t="str">
        <f t="shared" si="93"/>
        <v/>
      </c>
      <c r="KU7" s="79" t="str">
        <f t="shared" si="94"/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 t="shared" si="95"/>
        <v/>
      </c>
      <c r="LQ7" s="20" t="str">
        <f t="shared" si="96"/>
        <v/>
      </c>
      <c r="LR7" s="20" t="str">
        <f t="shared" si="97"/>
        <v/>
      </c>
      <c r="LS7" s="20" t="str">
        <f t="shared" si="98"/>
        <v/>
      </c>
      <c r="LT7" s="20" t="str">
        <f t="shared" si="99"/>
        <v/>
      </c>
      <c r="LU7" s="20" t="str">
        <f t="shared" si="100"/>
        <v/>
      </c>
      <c r="LV7" s="20" t="str">
        <f t="shared" si="101"/>
        <v/>
      </c>
      <c r="LW7" s="20" t="str">
        <f t="shared" si="102"/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 t="shared" si="103"/>
        <v/>
      </c>
      <c r="MS7" s="79" t="str">
        <f t="shared" si="104"/>
        <v/>
      </c>
      <c r="MT7" s="79" t="str">
        <f t="shared" si="105"/>
        <v/>
      </c>
      <c r="MU7" s="79" t="str">
        <f t="shared" si="106"/>
        <v/>
      </c>
      <c r="MV7" s="79" t="str">
        <f t="shared" si="107"/>
        <v/>
      </c>
      <c r="MW7" s="79" t="str">
        <f t="shared" si="108"/>
        <v/>
      </c>
      <c r="MX7" s="79" t="str">
        <f t="shared" si="109"/>
        <v/>
      </c>
      <c r="MY7" s="79" t="str">
        <f t="shared" si="110"/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 t="shared" si="111"/>
        <v/>
      </c>
      <c r="NU7" s="20" t="str">
        <f t="shared" si="112"/>
        <v/>
      </c>
      <c r="NV7" s="20" t="str">
        <f t="shared" si="113"/>
        <v/>
      </c>
      <c r="NW7" s="20" t="str">
        <f t="shared" si="114"/>
        <v/>
      </c>
      <c r="NX7" s="20" t="str">
        <f t="shared" si="115"/>
        <v/>
      </c>
      <c r="NY7" s="20" t="str">
        <f t="shared" si="116"/>
        <v/>
      </c>
      <c r="NZ7" s="20" t="str">
        <f t="shared" si="117"/>
        <v/>
      </c>
      <c r="OA7" s="20" t="str">
        <f t="shared" si="118"/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 t="shared" si="119"/>
        <v/>
      </c>
      <c r="OW7" s="79" t="str">
        <f t="shared" si="120"/>
        <v/>
      </c>
      <c r="OX7" s="79" t="str">
        <f t="shared" si="121"/>
        <v/>
      </c>
      <c r="OY7" s="79" t="str">
        <f t="shared" si="122"/>
        <v/>
      </c>
      <c r="OZ7" s="79" t="str">
        <f t="shared" si="123"/>
        <v/>
      </c>
      <c r="PA7" s="79" t="str">
        <f t="shared" si="124"/>
        <v/>
      </c>
      <c r="PB7" s="79" t="str">
        <f t="shared" si="125"/>
        <v/>
      </c>
      <c r="PC7" s="79" t="str">
        <f t="shared" si="126"/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 t="shared" si="127"/>
        <v/>
      </c>
      <c r="PY7" s="20" t="str">
        <f t="shared" si="128"/>
        <v/>
      </c>
      <c r="PZ7" s="20" t="str">
        <f t="shared" si="129"/>
        <v/>
      </c>
      <c r="QA7" s="20" t="str">
        <f t="shared" si="130"/>
        <v/>
      </c>
      <c r="QB7" s="20" t="str">
        <f t="shared" si="131"/>
        <v/>
      </c>
      <c r="QC7" s="20" t="str">
        <f t="shared" si="132"/>
        <v/>
      </c>
      <c r="QD7" s="20" t="str">
        <f t="shared" si="133"/>
        <v/>
      </c>
      <c r="QE7" s="20" t="str">
        <f t="shared" si="134"/>
        <v/>
      </c>
      <c r="QF7" s="38">
        <f t="shared" si="135"/>
        <v>9.3000500000000006</v>
      </c>
      <c r="QG7" s="38">
        <f t="shared" si="136"/>
        <v>2.60005</v>
      </c>
      <c r="QH7" s="38">
        <f t="shared" si="137"/>
        <v>0.4</v>
      </c>
      <c r="QI7" s="38">
        <f t="shared" si="138"/>
        <v>0</v>
      </c>
      <c r="QJ7" s="38">
        <f t="shared" si="139"/>
        <v>9.3000000000000007</v>
      </c>
      <c r="QK7" s="38">
        <f t="shared" si="140"/>
        <v>2.8</v>
      </c>
      <c r="QL7" s="38">
        <f t="shared" si="141"/>
        <v>0.1</v>
      </c>
      <c r="QM7" s="38">
        <f t="shared" si="142"/>
        <v>0</v>
      </c>
      <c r="QN7" s="38">
        <f t="shared" si="143"/>
        <v>9</v>
      </c>
      <c r="QO7" s="38">
        <f t="shared" si="144"/>
        <v>2.4</v>
      </c>
      <c r="QP7" s="38">
        <f t="shared" si="145"/>
        <v>0.3</v>
      </c>
      <c r="QQ7" s="38">
        <f t="shared" si="146"/>
        <v>0</v>
      </c>
      <c r="QR7" s="38">
        <f t="shared" si="147"/>
        <v>9.25</v>
      </c>
      <c r="QS7" s="38">
        <f t="shared" si="148"/>
        <v>2.6</v>
      </c>
      <c r="QT7" s="38">
        <f t="shared" si="149"/>
        <v>0.1</v>
      </c>
      <c r="QU7" s="38">
        <f t="shared" si="150"/>
        <v>0</v>
      </c>
      <c r="QV7" s="38">
        <f t="shared" si="151"/>
        <v>9.5</v>
      </c>
      <c r="QW7" s="38">
        <f t="shared" si="152"/>
        <v>2.8</v>
      </c>
      <c r="QX7" s="38">
        <f t="shared" si="153"/>
        <v>0</v>
      </c>
      <c r="QY7" s="38">
        <f t="shared" si="154"/>
        <v>0</v>
      </c>
      <c r="QZ7" s="45" t="s">
        <v>46</v>
      </c>
      <c r="RA7" s="79">
        <f t="shared" si="155"/>
        <v>5.4000500000000002</v>
      </c>
      <c r="RB7" s="79">
        <f t="shared" si="156"/>
        <v>23.5001</v>
      </c>
      <c r="RC7" s="79">
        <f t="shared" si="157"/>
        <v>11.1</v>
      </c>
      <c r="RD7" s="79">
        <f t="shared" si="158"/>
        <v>7.8000500000000006</v>
      </c>
      <c r="RE7" s="79">
        <f t="shared" si="159"/>
        <v>34.600099999999998</v>
      </c>
      <c r="RF7" s="79">
        <f t="shared" si="160"/>
        <v>5.4</v>
      </c>
      <c r="RG7" s="79">
        <f t="shared" si="161"/>
        <v>24.05</v>
      </c>
      <c r="RH7" s="79">
        <f t="shared" si="162"/>
        <v>47.5501</v>
      </c>
    </row>
    <row r="8" spans="1:476" x14ac:dyDescent="0.2">
      <c r="A8" s="5">
        <f t="shared" si="163"/>
        <v>5</v>
      </c>
      <c r="B8" s="78" t="s">
        <v>75</v>
      </c>
      <c r="C8" s="5" t="s">
        <v>4</v>
      </c>
      <c r="D8" s="5">
        <v>2003</v>
      </c>
      <c r="E8" s="15">
        <f t="shared" si="0"/>
        <v>164.30000722000491</v>
      </c>
      <c r="F8" s="3" t="str">
        <f t="shared" si="1"/>
        <v>P</v>
      </c>
      <c r="G8" s="3" t="str">
        <f t="shared" si="2"/>
        <v>P</v>
      </c>
      <c r="H8" s="67" t="str">
        <f t="shared" si="3"/>
        <v>National Team</v>
      </c>
      <c r="I8" s="14">
        <f>IF(COUNT(AR8,BU8,CX8)&gt;0,LARGE((AR8,BU8,CX8),1),0)</f>
        <v>49.2</v>
      </c>
      <c r="J8" s="14" t="str">
        <f t="shared" si="4"/>
        <v>2022 Elite Canada</v>
      </c>
      <c r="K8" s="14">
        <f>IF(COUNT(AR8,BU8,CX8)&gt;1,LARGE((AR8,BU8,CX8),2),0)</f>
        <v>0</v>
      </c>
      <c r="L8" s="14" t="str">
        <f t="shared" si="5"/>
        <v/>
      </c>
      <c r="M8" s="14">
        <f>IF(COUNT(AS8,BV8,CY8)&gt;0,LARGE((AS8,BV8,CY8),1),0)</f>
        <v>22.999999999999996</v>
      </c>
      <c r="N8" s="14" t="str">
        <f t="shared" si="6"/>
        <v>2022 Elite Canada</v>
      </c>
      <c r="O8" s="14">
        <f>IF(COUNT(AS8,BV8,CY8)&gt;1,LARGE((AS8,BV8,CY8),2),0)</f>
        <v>0</v>
      </c>
      <c r="P8" s="14" t="str">
        <f t="shared" si="7"/>
        <v/>
      </c>
      <c r="Q8" s="14">
        <f t="shared" si="8"/>
        <v>48.000000000000007</v>
      </c>
      <c r="R8" s="14" t="str">
        <f t="shared" si="9"/>
        <v>2022 Elite Canada</v>
      </c>
      <c r="S8" s="14">
        <f t="shared" si="10"/>
        <v>44.1</v>
      </c>
      <c r="T8" s="20" t="str">
        <f t="shared" si="11"/>
        <v>(Q1)</v>
      </c>
      <c r="U8" s="14" t="str">
        <f t="shared" si="12"/>
        <v>2022 World Games Technical Trial #1 (Mar 12)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 t="str">
        <f t="shared" si="13"/>
        <v/>
      </c>
      <c r="AR8" s="79" t="str">
        <f t="shared" si="14"/>
        <v/>
      </c>
      <c r="AS8" s="79" t="str">
        <f t="shared" si="15"/>
        <v/>
      </c>
      <c r="AT8" s="79" t="str">
        <f t="shared" si="16"/>
        <v/>
      </c>
      <c r="AU8" s="79" t="str">
        <f t="shared" si="17"/>
        <v/>
      </c>
      <c r="AV8" s="79" t="str">
        <f t="shared" si="18"/>
        <v/>
      </c>
      <c r="AW8" s="79" t="str">
        <f t="shared" si="19"/>
        <v/>
      </c>
      <c r="AX8" s="79" t="str">
        <f t="shared" si="20"/>
        <v/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 t="shared" si="21"/>
        <v/>
      </c>
      <c r="BU8" s="20" t="str">
        <f t="shared" si="22"/>
        <v/>
      </c>
      <c r="BV8" s="20" t="str">
        <f t="shared" si="23"/>
        <v/>
      </c>
      <c r="BW8" s="20" t="str">
        <f t="shared" si="24"/>
        <v/>
      </c>
      <c r="BX8" s="20" t="str">
        <f t="shared" si="25"/>
        <v/>
      </c>
      <c r="BY8" s="20" t="str">
        <f t="shared" si="26"/>
        <v/>
      </c>
      <c r="BZ8" s="20" t="str">
        <f t="shared" si="27"/>
        <v/>
      </c>
      <c r="CA8" s="20" t="str">
        <f t="shared" si="28"/>
        <v/>
      </c>
      <c r="CB8" s="27">
        <v>19</v>
      </c>
      <c r="CC8" s="27">
        <v>5.6</v>
      </c>
      <c r="CD8" s="27">
        <v>0</v>
      </c>
      <c r="CE8" s="27">
        <v>0</v>
      </c>
      <c r="CF8" s="27">
        <v>18.600000000000001</v>
      </c>
      <c r="CG8" s="27">
        <v>6</v>
      </c>
      <c r="CH8" s="27">
        <v>0</v>
      </c>
      <c r="CI8" s="27">
        <v>0</v>
      </c>
      <c r="CJ8" s="27">
        <v>18.399999999999999</v>
      </c>
      <c r="CK8" s="27">
        <v>5.2</v>
      </c>
      <c r="CL8" s="27">
        <v>0.6</v>
      </c>
      <c r="CM8" s="27">
        <v>0</v>
      </c>
      <c r="CN8" s="27">
        <v>18.600000000000001</v>
      </c>
      <c r="CO8" s="27">
        <v>5.6</v>
      </c>
      <c r="CP8" s="27">
        <v>0</v>
      </c>
      <c r="CQ8" s="27">
        <v>0</v>
      </c>
      <c r="CR8" s="27">
        <v>18.600000000000001</v>
      </c>
      <c r="CS8" s="27">
        <v>6</v>
      </c>
      <c r="CT8" s="27">
        <v>0.8</v>
      </c>
      <c r="CU8" s="27">
        <v>0</v>
      </c>
      <c r="CV8" s="45"/>
      <c r="CW8" s="79">
        <f t="shared" si="29"/>
        <v>11.6</v>
      </c>
      <c r="CX8" s="79">
        <f t="shared" si="30"/>
        <v>49.2</v>
      </c>
      <c r="CY8" s="79">
        <f t="shared" si="31"/>
        <v>22.999999999999996</v>
      </c>
      <c r="CZ8" s="79">
        <f t="shared" si="32"/>
        <v>16.8</v>
      </c>
      <c r="DA8" s="79">
        <f t="shared" si="33"/>
        <v>72.2</v>
      </c>
      <c r="DB8" s="79">
        <f t="shared" si="34"/>
        <v>11.6</v>
      </c>
      <c r="DC8" s="79">
        <f t="shared" si="35"/>
        <v>48.000000000000007</v>
      </c>
      <c r="DD8" s="79">
        <f t="shared" si="36"/>
        <v>97.200000000000017</v>
      </c>
      <c r="DE8" s="80">
        <f t="shared" si="37"/>
        <v>44.1</v>
      </c>
      <c r="DF8" s="80"/>
      <c r="DG8" s="80">
        <f t="shared" si="38"/>
        <v>9.9999999999994316E-2</v>
      </c>
      <c r="DH8" s="25">
        <v>1E-4</v>
      </c>
      <c r="DI8" s="25">
        <v>1E-4</v>
      </c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>
        <f t="shared" si="39"/>
        <v>1E-4</v>
      </c>
      <c r="EC8" s="79">
        <f t="shared" si="40"/>
        <v>2.0000000000000001E-4</v>
      </c>
      <c r="ED8" s="79" t="str">
        <f t="shared" si="41"/>
        <v/>
      </c>
      <c r="EE8" s="79">
        <f t="shared" si="42"/>
        <v>1E-4</v>
      </c>
      <c r="EF8" s="79">
        <f t="shared" si="43"/>
        <v>2.0000000000000001E-4</v>
      </c>
      <c r="EG8" s="79" t="str">
        <f t="shared" si="44"/>
        <v/>
      </c>
      <c r="EH8" s="79" t="str">
        <f t="shared" si="45"/>
        <v/>
      </c>
      <c r="EI8" s="79">
        <f t="shared" si="46"/>
        <v>2.0000000000000001E-4</v>
      </c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0" t="str">
        <f t="shared" si="47"/>
        <v/>
      </c>
      <c r="FE8" s="20" t="str">
        <f t="shared" si="48"/>
        <v/>
      </c>
      <c r="FF8" s="20" t="str">
        <f t="shared" si="49"/>
        <v/>
      </c>
      <c r="FG8" s="20" t="str">
        <f t="shared" si="50"/>
        <v/>
      </c>
      <c r="FH8" s="20" t="str">
        <f t="shared" si="51"/>
        <v/>
      </c>
      <c r="FI8" s="20" t="str">
        <f t="shared" si="52"/>
        <v/>
      </c>
      <c r="FJ8" s="20" t="str">
        <f t="shared" si="53"/>
        <v/>
      </c>
      <c r="FK8" s="20" t="str">
        <f t="shared" si="54"/>
        <v/>
      </c>
      <c r="FL8" s="25">
        <v>18.8</v>
      </c>
      <c r="FM8" s="25">
        <v>5.6</v>
      </c>
      <c r="FN8" s="25">
        <v>0</v>
      </c>
      <c r="FO8" s="25">
        <v>0</v>
      </c>
      <c r="FP8" s="25">
        <v>17.3</v>
      </c>
      <c r="FQ8" s="25">
        <v>2.4</v>
      </c>
      <c r="FR8" s="25">
        <v>0</v>
      </c>
      <c r="FS8" s="25">
        <v>0</v>
      </c>
      <c r="FT8" s="25"/>
      <c r="FU8" s="25"/>
      <c r="FV8" s="25"/>
      <c r="FW8" s="25"/>
      <c r="FX8" s="25">
        <v>18.399999999999999</v>
      </c>
      <c r="FY8" s="25">
        <v>5.6</v>
      </c>
      <c r="FZ8" s="25">
        <v>0.6</v>
      </c>
      <c r="GA8" s="25">
        <v>0</v>
      </c>
      <c r="GB8" s="25">
        <v>18.7</v>
      </c>
      <c r="GC8" s="25">
        <v>6</v>
      </c>
      <c r="GD8" s="25">
        <v>0</v>
      </c>
      <c r="GE8" s="25">
        <v>0</v>
      </c>
      <c r="GF8" s="79">
        <f t="shared" si="55"/>
        <v>8</v>
      </c>
      <c r="GG8" s="79">
        <f t="shared" si="56"/>
        <v>44.1</v>
      </c>
      <c r="GH8" s="79" t="str">
        <f t="shared" si="57"/>
        <v/>
      </c>
      <c r="GI8" s="79">
        <f t="shared" si="58"/>
        <v>8</v>
      </c>
      <c r="GJ8" s="79">
        <f t="shared" si="59"/>
        <v>44.1</v>
      </c>
      <c r="GK8" s="79">
        <f t="shared" si="60"/>
        <v>11.6</v>
      </c>
      <c r="GL8" s="79">
        <f t="shared" si="61"/>
        <v>48.1</v>
      </c>
      <c r="GM8" s="79">
        <f t="shared" si="62"/>
        <v>92.2</v>
      </c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0" t="str">
        <f t="shared" si="63"/>
        <v/>
      </c>
      <c r="HI8" s="20" t="str">
        <f t="shared" si="64"/>
        <v/>
      </c>
      <c r="HJ8" s="20" t="str">
        <f t="shared" si="65"/>
        <v/>
      </c>
      <c r="HK8" s="20" t="str">
        <f t="shared" si="66"/>
        <v/>
      </c>
      <c r="HL8" s="20" t="str">
        <f t="shared" si="67"/>
        <v/>
      </c>
      <c r="HM8" s="20" t="str">
        <f t="shared" si="68"/>
        <v/>
      </c>
      <c r="HN8" s="20" t="str">
        <f t="shared" si="69"/>
        <v/>
      </c>
      <c r="HO8" s="20" t="str">
        <f t="shared" si="70"/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 t="shared" si="71"/>
        <v/>
      </c>
      <c r="IK8" s="79" t="str">
        <f t="shared" si="72"/>
        <v/>
      </c>
      <c r="IL8" s="79" t="str">
        <f t="shared" si="73"/>
        <v/>
      </c>
      <c r="IM8" s="79" t="str">
        <f t="shared" si="74"/>
        <v/>
      </c>
      <c r="IN8" s="79" t="str">
        <f t="shared" si="75"/>
        <v/>
      </c>
      <c r="IO8" s="79" t="str">
        <f t="shared" si="76"/>
        <v/>
      </c>
      <c r="IP8" s="79" t="str">
        <f t="shared" si="77"/>
        <v/>
      </c>
      <c r="IQ8" s="79" t="str">
        <f t="shared" si="78"/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 t="shared" si="79"/>
        <v/>
      </c>
      <c r="JM8" s="20" t="str">
        <f t="shared" si="80"/>
        <v/>
      </c>
      <c r="JN8" s="20" t="str">
        <f t="shared" si="81"/>
        <v/>
      </c>
      <c r="JO8" s="20" t="str">
        <f t="shared" si="82"/>
        <v/>
      </c>
      <c r="JP8" s="20" t="str">
        <f t="shared" si="83"/>
        <v/>
      </c>
      <c r="JQ8" s="20" t="str">
        <f t="shared" si="84"/>
        <v/>
      </c>
      <c r="JR8" s="20" t="str">
        <f t="shared" si="85"/>
        <v/>
      </c>
      <c r="JS8" s="20" t="str">
        <f t="shared" si="86"/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 t="shared" si="87"/>
        <v/>
      </c>
      <c r="KO8" s="79" t="str">
        <f t="shared" si="88"/>
        <v/>
      </c>
      <c r="KP8" s="79" t="str">
        <f t="shared" si="89"/>
        <v/>
      </c>
      <c r="KQ8" s="79" t="str">
        <f t="shared" si="90"/>
        <v/>
      </c>
      <c r="KR8" s="79" t="str">
        <f t="shared" si="91"/>
        <v/>
      </c>
      <c r="KS8" s="79" t="str">
        <f t="shared" si="92"/>
        <v/>
      </c>
      <c r="KT8" s="79" t="str">
        <f t="shared" si="93"/>
        <v/>
      </c>
      <c r="KU8" s="79" t="str">
        <f t="shared" si="94"/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 t="shared" si="95"/>
        <v/>
      </c>
      <c r="LQ8" s="20" t="str">
        <f t="shared" si="96"/>
        <v/>
      </c>
      <c r="LR8" s="20" t="str">
        <f t="shared" si="97"/>
        <v/>
      </c>
      <c r="LS8" s="20" t="str">
        <f t="shared" si="98"/>
        <v/>
      </c>
      <c r="LT8" s="20" t="str">
        <f t="shared" si="99"/>
        <v/>
      </c>
      <c r="LU8" s="20" t="str">
        <f t="shared" si="100"/>
        <v/>
      </c>
      <c r="LV8" s="20" t="str">
        <f t="shared" si="101"/>
        <v/>
      </c>
      <c r="LW8" s="20" t="str">
        <f t="shared" si="102"/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 t="shared" si="103"/>
        <v/>
      </c>
      <c r="MS8" s="79" t="str">
        <f t="shared" si="104"/>
        <v/>
      </c>
      <c r="MT8" s="79" t="str">
        <f t="shared" si="105"/>
        <v/>
      </c>
      <c r="MU8" s="79" t="str">
        <f t="shared" si="106"/>
        <v/>
      </c>
      <c r="MV8" s="79" t="str">
        <f t="shared" si="107"/>
        <v/>
      </c>
      <c r="MW8" s="79" t="str">
        <f t="shared" si="108"/>
        <v/>
      </c>
      <c r="MX8" s="79" t="str">
        <f t="shared" si="109"/>
        <v/>
      </c>
      <c r="MY8" s="79" t="str">
        <f t="shared" si="110"/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 t="shared" si="111"/>
        <v/>
      </c>
      <c r="NU8" s="20" t="str">
        <f t="shared" si="112"/>
        <v/>
      </c>
      <c r="NV8" s="20" t="str">
        <f t="shared" si="113"/>
        <v/>
      </c>
      <c r="NW8" s="20" t="str">
        <f t="shared" si="114"/>
        <v/>
      </c>
      <c r="NX8" s="20" t="str">
        <f t="shared" si="115"/>
        <v/>
      </c>
      <c r="NY8" s="20" t="str">
        <f t="shared" si="116"/>
        <v/>
      </c>
      <c r="NZ8" s="20" t="str">
        <f t="shared" si="117"/>
        <v/>
      </c>
      <c r="OA8" s="20" t="str">
        <f t="shared" si="118"/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 t="shared" si="119"/>
        <v/>
      </c>
      <c r="OW8" s="79" t="str">
        <f t="shared" si="120"/>
        <v/>
      </c>
      <c r="OX8" s="79" t="str">
        <f t="shared" si="121"/>
        <v/>
      </c>
      <c r="OY8" s="79" t="str">
        <f t="shared" si="122"/>
        <v/>
      </c>
      <c r="OZ8" s="79" t="str">
        <f t="shared" si="123"/>
        <v/>
      </c>
      <c r="PA8" s="79" t="str">
        <f t="shared" si="124"/>
        <v/>
      </c>
      <c r="PB8" s="79" t="str">
        <f t="shared" si="125"/>
        <v/>
      </c>
      <c r="PC8" s="79" t="str">
        <f t="shared" si="126"/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 t="shared" si="127"/>
        <v/>
      </c>
      <c r="PY8" s="20" t="str">
        <f t="shared" si="128"/>
        <v/>
      </c>
      <c r="PZ8" s="20" t="str">
        <f t="shared" si="129"/>
        <v/>
      </c>
      <c r="QA8" s="20" t="str">
        <f t="shared" si="130"/>
        <v/>
      </c>
      <c r="QB8" s="20" t="str">
        <f t="shared" si="131"/>
        <v/>
      </c>
      <c r="QC8" s="20" t="str">
        <f t="shared" si="132"/>
        <v/>
      </c>
      <c r="QD8" s="20" t="str">
        <f t="shared" si="133"/>
        <v/>
      </c>
      <c r="QE8" s="20" t="str">
        <f t="shared" si="134"/>
        <v/>
      </c>
      <c r="QF8" s="38">
        <f t="shared" si="135"/>
        <v>9.5</v>
      </c>
      <c r="QG8" s="38">
        <f t="shared" si="136"/>
        <v>2.8</v>
      </c>
      <c r="QH8" s="38">
        <f t="shared" si="137"/>
        <v>0</v>
      </c>
      <c r="QI8" s="38">
        <f t="shared" si="138"/>
        <v>0</v>
      </c>
      <c r="QJ8" s="38">
        <f t="shared" si="139"/>
        <v>9.3000000000000007</v>
      </c>
      <c r="QK8" s="38">
        <f t="shared" si="140"/>
        <v>3</v>
      </c>
      <c r="QL8" s="38">
        <f t="shared" si="141"/>
        <v>0</v>
      </c>
      <c r="QM8" s="38">
        <f t="shared" si="142"/>
        <v>0</v>
      </c>
      <c r="QN8" s="38">
        <f t="shared" si="143"/>
        <v>9.1999999999999993</v>
      </c>
      <c r="QO8" s="38">
        <f t="shared" si="144"/>
        <v>2.6</v>
      </c>
      <c r="QP8" s="38">
        <f t="shared" si="145"/>
        <v>0.3</v>
      </c>
      <c r="QQ8" s="38">
        <f t="shared" si="146"/>
        <v>0</v>
      </c>
      <c r="QR8" s="38">
        <f t="shared" si="147"/>
        <v>9.3000000000000007</v>
      </c>
      <c r="QS8" s="38">
        <f t="shared" si="148"/>
        <v>2.8</v>
      </c>
      <c r="QT8" s="38">
        <f t="shared" si="149"/>
        <v>0</v>
      </c>
      <c r="QU8" s="38">
        <f t="shared" si="150"/>
        <v>0</v>
      </c>
      <c r="QV8" s="38">
        <f t="shared" si="151"/>
        <v>9.3000000000000007</v>
      </c>
      <c r="QW8" s="38">
        <f t="shared" si="152"/>
        <v>3</v>
      </c>
      <c r="QX8" s="38">
        <f t="shared" si="153"/>
        <v>0.4</v>
      </c>
      <c r="QY8" s="38">
        <f t="shared" si="154"/>
        <v>0</v>
      </c>
      <c r="QZ8" s="45" t="s">
        <v>46</v>
      </c>
      <c r="RA8" s="79">
        <f t="shared" si="155"/>
        <v>5.8</v>
      </c>
      <c r="RB8" s="79">
        <f t="shared" si="156"/>
        <v>24.6</v>
      </c>
      <c r="RC8" s="79">
        <f t="shared" si="157"/>
        <v>11.499999999999998</v>
      </c>
      <c r="RD8" s="79">
        <f t="shared" si="158"/>
        <v>8.4</v>
      </c>
      <c r="RE8" s="79">
        <f t="shared" si="159"/>
        <v>36.1</v>
      </c>
      <c r="RF8" s="79">
        <f t="shared" si="160"/>
        <v>5.8</v>
      </c>
      <c r="RG8" s="79">
        <f t="shared" si="161"/>
        <v>24.000000000000004</v>
      </c>
      <c r="RH8" s="79">
        <f t="shared" si="162"/>
        <v>48.600000000000009</v>
      </c>
    </row>
    <row r="9" spans="1:476" x14ac:dyDescent="0.2">
      <c r="A9" s="5">
        <f t="shared" si="163"/>
        <v>6</v>
      </c>
      <c r="B9" s="78" t="s">
        <v>98</v>
      </c>
      <c r="C9" s="5" t="s">
        <v>5</v>
      </c>
      <c r="D9" s="5">
        <v>2003</v>
      </c>
      <c r="E9" s="15">
        <f t="shared" si="0"/>
        <v>159.74000688400486</v>
      </c>
      <c r="F9" s="3" t="str">
        <f t="shared" si="1"/>
        <v>P</v>
      </c>
      <c r="G9" s="3" t="str">
        <f t="shared" si="2"/>
        <v>P</v>
      </c>
      <c r="H9" s="67" t="str">
        <f t="shared" si="3"/>
        <v>National Team</v>
      </c>
      <c r="I9" s="14">
        <f>IF(COUNT(AR9,BU9,CX9)&gt;0,LARGE((AR9,BU9,CX9),1),0)</f>
        <v>48.64</v>
      </c>
      <c r="J9" s="14" t="str">
        <f t="shared" si="4"/>
        <v>2022 Elite Canada</v>
      </c>
      <c r="K9" s="14">
        <f>IF(COUNT(AR9,BU9,CX9)&gt;1,LARGE((AR9,BU9,CX9),2),0)</f>
        <v>0</v>
      </c>
      <c r="L9" s="14" t="str">
        <f t="shared" si="5"/>
        <v/>
      </c>
      <c r="M9" s="14">
        <f>IF(COUNT(AS9,BV9,CY9)&gt;0,LARGE((AS9,BV9,CY9),1),0)</f>
        <v>20.2</v>
      </c>
      <c r="N9" s="14" t="str">
        <f t="shared" si="6"/>
        <v>2022 Elite Canada</v>
      </c>
      <c r="O9" s="14">
        <f>IF(COUNT(AS9,BV9,CY9)&gt;1,LARGE((AS9,BV9,CY9),2),0)</f>
        <v>0</v>
      </c>
      <c r="P9" s="14" t="str">
        <f t="shared" si="7"/>
        <v/>
      </c>
      <c r="Q9" s="14">
        <f t="shared" si="8"/>
        <v>42.499999999999993</v>
      </c>
      <c r="R9" s="14" t="str">
        <f t="shared" si="9"/>
        <v>2022 Elite Canada</v>
      </c>
      <c r="S9" s="14">
        <f t="shared" si="10"/>
        <v>48.4</v>
      </c>
      <c r="T9" s="20" t="str">
        <f t="shared" si="11"/>
        <v>(Q1)</v>
      </c>
      <c r="U9" s="14" t="str">
        <f t="shared" si="12"/>
        <v>2022 World Games Technical Trial #1 (Mar 12)</v>
      </c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 t="str">
        <f t="shared" si="13"/>
        <v/>
      </c>
      <c r="AR9" s="79" t="str">
        <f t="shared" si="14"/>
        <v/>
      </c>
      <c r="AS9" s="79" t="str">
        <f t="shared" si="15"/>
        <v/>
      </c>
      <c r="AT9" s="79" t="str">
        <f t="shared" si="16"/>
        <v/>
      </c>
      <c r="AU9" s="79" t="str">
        <f t="shared" si="17"/>
        <v/>
      </c>
      <c r="AV9" s="79" t="str">
        <f t="shared" si="18"/>
        <v/>
      </c>
      <c r="AW9" s="79" t="str">
        <f t="shared" si="19"/>
        <v/>
      </c>
      <c r="AX9" s="79" t="str">
        <f t="shared" si="20"/>
        <v/>
      </c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 t="str">
        <f t="shared" si="21"/>
        <v/>
      </c>
      <c r="BU9" s="20" t="str">
        <f t="shared" si="22"/>
        <v/>
      </c>
      <c r="BV9" s="20" t="str">
        <f t="shared" si="23"/>
        <v/>
      </c>
      <c r="BW9" s="20" t="str">
        <f t="shared" si="24"/>
        <v/>
      </c>
      <c r="BX9" s="20" t="str">
        <f t="shared" si="25"/>
        <v/>
      </c>
      <c r="BY9" s="20" t="str">
        <f t="shared" si="26"/>
        <v/>
      </c>
      <c r="BZ9" s="20" t="str">
        <f t="shared" si="27"/>
        <v/>
      </c>
      <c r="CA9" s="20" t="str">
        <f t="shared" si="28"/>
        <v/>
      </c>
      <c r="CB9" s="27">
        <v>18.64</v>
      </c>
      <c r="CC9" s="27">
        <v>6</v>
      </c>
      <c r="CD9" s="27">
        <v>0</v>
      </c>
      <c r="CE9" s="27">
        <v>0</v>
      </c>
      <c r="CF9" s="27">
        <v>19</v>
      </c>
      <c r="CG9" s="27">
        <v>5.6</v>
      </c>
      <c r="CH9" s="27">
        <v>0.6</v>
      </c>
      <c r="CI9" s="27">
        <v>0</v>
      </c>
      <c r="CJ9" s="27">
        <v>17.399999999999999</v>
      </c>
      <c r="CK9" s="27">
        <v>2.8</v>
      </c>
      <c r="CL9" s="27">
        <v>0</v>
      </c>
      <c r="CM9" s="27">
        <v>0</v>
      </c>
      <c r="CN9" s="27">
        <v>17.399999999999999</v>
      </c>
      <c r="CO9" s="27">
        <v>2.4</v>
      </c>
      <c r="CP9" s="27">
        <v>0</v>
      </c>
      <c r="CQ9" s="27">
        <v>0</v>
      </c>
      <c r="CR9" s="27">
        <v>16.899999999999999</v>
      </c>
      <c r="CS9" s="27">
        <v>6.4</v>
      </c>
      <c r="CT9" s="27">
        <v>0.6</v>
      </c>
      <c r="CU9" s="27">
        <v>0</v>
      </c>
      <c r="CV9" s="45"/>
      <c r="CW9" s="79">
        <f t="shared" si="29"/>
        <v>11.6</v>
      </c>
      <c r="CX9" s="79">
        <f t="shared" si="30"/>
        <v>48.64</v>
      </c>
      <c r="CY9" s="79">
        <f t="shared" si="31"/>
        <v>20.2</v>
      </c>
      <c r="CZ9" s="79">
        <f t="shared" si="32"/>
        <v>14.399999999999999</v>
      </c>
      <c r="DA9" s="79">
        <f t="shared" si="33"/>
        <v>68.84</v>
      </c>
      <c r="DB9" s="79">
        <f t="shared" si="34"/>
        <v>8.8000000000000007</v>
      </c>
      <c r="DC9" s="79">
        <f t="shared" si="35"/>
        <v>42.499999999999993</v>
      </c>
      <c r="DD9" s="79">
        <f t="shared" si="36"/>
        <v>91.139999999999986</v>
      </c>
      <c r="DE9" s="80">
        <f t="shared" si="37"/>
        <v>48.4</v>
      </c>
      <c r="DF9" s="80"/>
      <c r="DG9" s="80">
        <f t="shared" si="38"/>
        <v>6.2000000000000028</v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 t="shared" si="39"/>
        <v/>
      </c>
      <c r="EC9" s="79" t="str">
        <f t="shared" si="40"/>
        <v/>
      </c>
      <c r="ED9" s="79" t="str">
        <f t="shared" si="41"/>
        <v/>
      </c>
      <c r="EE9" s="79" t="str">
        <f t="shared" si="42"/>
        <v/>
      </c>
      <c r="EF9" s="79" t="str">
        <f t="shared" si="43"/>
        <v/>
      </c>
      <c r="EG9" s="79" t="str">
        <f t="shared" si="44"/>
        <v/>
      </c>
      <c r="EH9" s="79" t="str">
        <f t="shared" si="45"/>
        <v/>
      </c>
      <c r="EI9" s="79" t="str">
        <f t="shared" si="46"/>
        <v/>
      </c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0" t="str">
        <f t="shared" si="47"/>
        <v/>
      </c>
      <c r="FE9" s="20" t="str">
        <f t="shared" si="48"/>
        <v/>
      </c>
      <c r="FF9" s="20" t="str">
        <f t="shared" si="49"/>
        <v/>
      </c>
      <c r="FG9" s="20" t="str">
        <f t="shared" si="50"/>
        <v/>
      </c>
      <c r="FH9" s="20" t="str">
        <f t="shared" si="51"/>
        <v/>
      </c>
      <c r="FI9" s="20" t="str">
        <f t="shared" si="52"/>
        <v/>
      </c>
      <c r="FJ9" s="20" t="str">
        <f t="shared" si="53"/>
        <v/>
      </c>
      <c r="FK9" s="20" t="str">
        <f t="shared" si="54"/>
        <v/>
      </c>
      <c r="FL9" s="25">
        <v>18.600000000000001</v>
      </c>
      <c r="FM9" s="25">
        <v>6</v>
      </c>
      <c r="FN9" s="25">
        <v>0.2</v>
      </c>
      <c r="FO9" s="25">
        <v>0</v>
      </c>
      <c r="FP9" s="25">
        <v>18.600000000000001</v>
      </c>
      <c r="FQ9" s="25">
        <v>5.6</v>
      </c>
      <c r="FR9" s="25">
        <v>0.2</v>
      </c>
      <c r="FS9" s="25">
        <v>0</v>
      </c>
      <c r="FT9" s="25"/>
      <c r="FU9" s="25"/>
      <c r="FV9" s="25"/>
      <c r="FW9" s="25"/>
      <c r="FX9" s="25">
        <v>18.600000000000001</v>
      </c>
      <c r="FY9" s="25">
        <v>6</v>
      </c>
      <c r="FZ9" s="25">
        <v>0.2</v>
      </c>
      <c r="GA9" s="25">
        <v>0</v>
      </c>
      <c r="GB9" s="25">
        <v>18.7</v>
      </c>
      <c r="GC9" s="25">
        <v>5.6</v>
      </c>
      <c r="GD9" s="25">
        <v>0</v>
      </c>
      <c r="GE9" s="25">
        <v>0</v>
      </c>
      <c r="GF9" s="79">
        <f t="shared" si="55"/>
        <v>11.6</v>
      </c>
      <c r="GG9" s="79">
        <f t="shared" si="56"/>
        <v>48.4</v>
      </c>
      <c r="GH9" s="79" t="str">
        <f t="shared" si="57"/>
        <v/>
      </c>
      <c r="GI9" s="79">
        <f t="shared" si="58"/>
        <v>11.6</v>
      </c>
      <c r="GJ9" s="79">
        <f t="shared" si="59"/>
        <v>48.4</v>
      </c>
      <c r="GK9" s="79">
        <f t="shared" si="60"/>
        <v>11.6</v>
      </c>
      <c r="GL9" s="79">
        <f t="shared" si="61"/>
        <v>48.699999999999996</v>
      </c>
      <c r="GM9" s="79">
        <f t="shared" si="62"/>
        <v>97.1</v>
      </c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0" t="str">
        <f t="shared" si="63"/>
        <v/>
      </c>
      <c r="HI9" s="20" t="str">
        <f t="shared" si="64"/>
        <v/>
      </c>
      <c r="HJ9" s="20" t="str">
        <f t="shared" si="65"/>
        <v/>
      </c>
      <c r="HK9" s="20" t="str">
        <f t="shared" si="66"/>
        <v/>
      </c>
      <c r="HL9" s="20" t="str">
        <f t="shared" si="67"/>
        <v/>
      </c>
      <c r="HM9" s="20" t="str">
        <f t="shared" si="68"/>
        <v/>
      </c>
      <c r="HN9" s="20" t="str">
        <f t="shared" si="69"/>
        <v/>
      </c>
      <c r="HO9" s="20" t="str">
        <f t="shared" si="70"/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 t="shared" si="71"/>
        <v/>
      </c>
      <c r="IK9" s="79" t="str">
        <f t="shared" si="72"/>
        <v/>
      </c>
      <c r="IL9" s="79" t="str">
        <f t="shared" si="73"/>
        <v/>
      </c>
      <c r="IM9" s="79" t="str">
        <f t="shared" si="74"/>
        <v/>
      </c>
      <c r="IN9" s="79" t="str">
        <f t="shared" si="75"/>
        <v/>
      </c>
      <c r="IO9" s="79" t="str">
        <f t="shared" si="76"/>
        <v/>
      </c>
      <c r="IP9" s="79" t="str">
        <f t="shared" si="77"/>
        <v/>
      </c>
      <c r="IQ9" s="79" t="str">
        <f t="shared" si="78"/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 t="shared" si="79"/>
        <v/>
      </c>
      <c r="JM9" s="20" t="str">
        <f t="shared" si="80"/>
        <v/>
      </c>
      <c r="JN9" s="20" t="str">
        <f t="shared" si="81"/>
        <v/>
      </c>
      <c r="JO9" s="20" t="str">
        <f t="shared" si="82"/>
        <v/>
      </c>
      <c r="JP9" s="20" t="str">
        <f t="shared" si="83"/>
        <v/>
      </c>
      <c r="JQ9" s="20" t="str">
        <f t="shared" si="84"/>
        <v/>
      </c>
      <c r="JR9" s="20" t="str">
        <f t="shared" si="85"/>
        <v/>
      </c>
      <c r="JS9" s="20" t="str">
        <f t="shared" si="86"/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 t="shared" si="87"/>
        <v/>
      </c>
      <c r="KO9" s="79" t="str">
        <f t="shared" si="88"/>
        <v/>
      </c>
      <c r="KP9" s="79" t="str">
        <f t="shared" si="89"/>
        <v/>
      </c>
      <c r="KQ9" s="79" t="str">
        <f t="shared" si="90"/>
        <v/>
      </c>
      <c r="KR9" s="79" t="str">
        <f t="shared" si="91"/>
        <v/>
      </c>
      <c r="KS9" s="79" t="str">
        <f t="shared" si="92"/>
        <v/>
      </c>
      <c r="KT9" s="79" t="str">
        <f t="shared" si="93"/>
        <v/>
      </c>
      <c r="KU9" s="79" t="str">
        <f t="shared" si="94"/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 t="shared" si="95"/>
        <v/>
      </c>
      <c r="LQ9" s="20" t="str">
        <f t="shared" si="96"/>
        <v/>
      </c>
      <c r="LR9" s="20" t="str">
        <f t="shared" si="97"/>
        <v/>
      </c>
      <c r="LS9" s="20" t="str">
        <f t="shared" si="98"/>
        <v/>
      </c>
      <c r="LT9" s="20" t="str">
        <f t="shared" si="99"/>
        <v/>
      </c>
      <c r="LU9" s="20" t="str">
        <f t="shared" si="100"/>
        <v/>
      </c>
      <c r="LV9" s="20" t="str">
        <f t="shared" si="101"/>
        <v/>
      </c>
      <c r="LW9" s="20" t="str">
        <f t="shared" si="102"/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 t="shared" si="103"/>
        <v/>
      </c>
      <c r="MS9" s="79" t="str">
        <f t="shared" si="104"/>
        <v/>
      </c>
      <c r="MT9" s="79" t="str">
        <f t="shared" si="105"/>
        <v/>
      </c>
      <c r="MU9" s="79" t="str">
        <f t="shared" si="106"/>
        <v/>
      </c>
      <c r="MV9" s="79" t="str">
        <f t="shared" si="107"/>
        <v/>
      </c>
      <c r="MW9" s="79" t="str">
        <f t="shared" si="108"/>
        <v/>
      </c>
      <c r="MX9" s="79" t="str">
        <f t="shared" si="109"/>
        <v/>
      </c>
      <c r="MY9" s="79" t="str">
        <f t="shared" si="110"/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 t="shared" si="111"/>
        <v/>
      </c>
      <c r="NU9" s="20" t="str">
        <f t="shared" si="112"/>
        <v/>
      </c>
      <c r="NV9" s="20" t="str">
        <f t="shared" si="113"/>
        <v/>
      </c>
      <c r="NW9" s="20" t="str">
        <f t="shared" si="114"/>
        <v/>
      </c>
      <c r="NX9" s="20" t="str">
        <f t="shared" si="115"/>
        <v/>
      </c>
      <c r="NY9" s="20" t="str">
        <f t="shared" si="116"/>
        <v/>
      </c>
      <c r="NZ9" s="20" t="str">
        <f t="shared" si="117"/>
        <v/>
      </c>
      <c r="OA9" s="20" t="str">
        <f t="shared" si="118"/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 t="shared" si="119"/>
        <v/>
      </c>
      <c r="OW9" s="79" t="str">
        <f t="shared" si="120"/>
        <v/>
      </c>
      <c r="OX9" s="79" t="str">
        <f t="shared" si="121"/>
        <v/>
      </c>
      <c r="OY9" s="79" t="str">
        <f t="shared" si="122"/>
        <v/>
      </c>
      <c r="OZ9" s="79" t="str">
        <f t="shared" si="123"/>
        <v/>
      </c>
      <c r="PA9" s="79" t="str">
        <f t="shared" si="124"/>
        <v/>
      </c>
      <c r="PB9" s="79" t="str">
        <f t="shared" si="125"/>
        <v/>
      </c>
      <c r="PC9" s="79" t="str">
        <f t="shared" si="126"/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 t="shared" si="127"/>
        <v/>
      </c>
      <c r="PY9" s="20" t="str">
        <f t="shared" si="128"/>
        <v/>
      </c>
      <c r="PZ9" s="20" t="str">
        <f t="shared" si="129"/>
        <v/>
      </c>
      <c r="QA9" s="20" t="str">
        <f t="shared" si="130"/>
        <v/>
      </c>
      <c r="QB9" s="20" t="str">
        <f t="shared" si="131"/>
        <v/>
      </c>
      <c r="QC9" s="20" t="str">
        <f t="shared" si="132"/>
        <v/>
      </c>
      <c r="QD9" s="20" t="str">
        <f t="shared" si="133"/>
        <v/>
      </c>
      <c r="QE9" s="20" t="str">
        <f t="shared" si="134"/>
        <v/>
      </c>
      <c r="QF9" s="38">
        <f t="shared" si="135"/>
        <v>9.32</v>
      </c>
      <c r="QG9" s="38">
        <f t="shared" si="136"/>
        <v>3</v>
      </c>
      <c r="QH9" s="38">
        <f t="shared" si="137"/>
        <v>0</v>
      </c>
      <c r="QI9" s="38">
        <f t="shared" si="138"/>
        <v>0</v>
      </c>
      <c r="QJ9" s="38">
        <f t="shared" si="139"/>
        <v>9.5</v>
      </c>
      <c r="QK9" s="38">
        <f t="shared" si="140"/>
        <v>2.8</v>
      </c>
      <c r="QL9" s="38">
        <f t="shared" si="141"/>
        <v>0.3</v>
      </c>
      <c r="QM9" s="38">
        <f t="shared" si="142"/>
        <v>0</v>
      </c>
      <c r="QN9" s="38">
        <f t="shared" si="143"/>
        <v>8.6999999999999993</v>
      </c>
      <c r="QO9" s="38">
        <f t="shared" si="144"/>
        <v>1.4</v>
      </c>
      <c r="QP9" s="38">
        <f t="shared" si="145"/>
        <v>0</v>
      </c>
      <c r="QQ9" s="38">
        <f t="shared" si="146"/>
        <v>0</v>
      </c>
      <c r="QR9" s="38">
        <f t="shared" si="147"/>
        <v>8.6999999999999993</v>
      </c>
      <c r="QS9" s="38">
        <f t="shared" si="148"/>
        <v>1.2</v>
      </c>
      <c r="QT9" s="38">
        <f t="shared" si="149"/>
        <v>0</v>
      </c>
      <c r="QU9" s="38">
        <f t="shared" si="150"/>
        <v>0</v>
      </c>
      <c r="QV9" s="38">
        <f t="shared" si="151"/>
        <v>8.4499999999999993</v>
      </c>
      <c r="QW9" s="38">
        <f t="shared" si="152"/>
        <v>3.2</v>
      </c>
      <c r="QX9" s="38">
        <f t="shared" si="153"/>
        <v>0.3</v>
      </c>
      <c r="QY9" s="38">
        <f t="shared" si="154"/>
        <v>0</v>
      </c>
      <c r="QZ9" s="45" t="s">
        <v>46</v>
      </c>
      <c r="RA9" s="79">
        <f t="shared" si="155"/>
        <v>5.8</v>
      </c>
      <c r="RB9" s="79">
        <f t="shared" si="156"/>
        <v>24.32</v>
      </c>
      <c r="RC9" s="79">
        <f t="shared" si="157"/>
        <v>10.1</v>
      </c>
      <c r="RD9" s="79">
        <f t="shared" si="158"/>
        <v>7.1999999999999993</v>
      </c>
      <c r="RE9" s="79">
        <f t="shared" si="159"/>
        <v>34.42</v>
      </c>
      <c r="RF9" s="79">
        <f t="shared" si="160"/>
        <v>4.4000000000000004</v>
      </c>
      <c r="RG9" s="79">
        <f t="shared" si="161"/>
        <v>21.249999999999996</v>
      </c>
      <c r="RH9" s="79">
        <f t="shared" si="162"/>
        <v>45.569999999999993</v>
      </c>
    </row>
    <row r="10" spans="1:476" x14ac:dyDescent="0.2">
      <c r="A10" s="5">
        <f t="shared" si="163"/>
        <v>7</v>
      </c>
      <c r="B10" s="78" t="s">
        <v>101</v>
      </c>
      <c r="C10" s="5" t="s">
        <v>4</v>
      </c>
      <c r="D10" s="5">
        <v>2001</v>
      </c>
      <c r="E10" s="15">
        <f t="shared" si="0"/>
        <v>116.30000691000458</v>
      </c>
      <c r="F10" s="3" t="str">
        <f t="shared" si="1"/>
        <v>P</v>
      </c>
      <c r="G10" s="3" t="str">
        <f t="shared" si="2"/>
        <v>P</v>
      </c>
      <c r="H10" s="67" t="str">
        <f t="shared" si="3"/>
        <v>National Team</v>
      </c>
      <c r="I10" s="14">
        <f>IF(COUNT(AR10,BU10,CX10)&gt;0,LARGE((AR10,BU10,CX10),1),0)</f>
        <v>46</v>
      </c>
      <c r="J10" s="14" t="str">
        <f t="shared" si="4"/>
        <v>2022 Elite Canada</v>
      </c>
      <c r="K10" s="14">
        <f>IF(COUNT(AR10,BU10,CX10)&gt;1,LARGE((AR10,BU10,CX10),2),0)</f>
        <v>0</v>
      </c>
      <c r="L10" s="14" t="str">
        <f t="shared" si="5"/>
        <v/>
      </c>
      <c r="M10" s="14">
        <f>IF(COUNT(AS10,BV10,CY10)&gt;0,LARGE((AS10,BV10,CY10),1),0)</f>
        <v>23.1</v>
      </c>
      <c r="N10" s="14" t="str">
        <f t="shared" si="6"/>
        <v>2022 Elite Canada</v>
      </c>
      <c r="O10" s="14">
        <f>IF(COUNT(AS10,BV10,CY10)&gt;1,LARGE((AS10,BV10,CY10),2),0)</f>
        <v>0</v>
      </c>
      <c r="P10" s="14" t="str">
        <f t="shared" si="7"/>
        <v/>
      </c>
      <c r="Q10" s="14">
        <f t="shared" si="8"/>
        <v>47.199999999999996</v>
      </c>
      <c r="R10" s="14" t="str">
        <f t="shared" si="9"/>
        <v>2022 Elite Canada</v>
      </c>
      <c r="S10" s="14" t="str">
        <f t="shared" si="10"/>
        <v/>
      </c>
      <c r="T10" s="20" t="str">
        <f t="shared" si="11"/>
        <v/>
      </c>
      <c r="U10" s="14" t="str">
        <f t="shared" si="12"/>
        <v/>
      </c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 t="str">
        <f t="shared" si="13"/>
        <v/>
      </c>
      <c r="AR10" s="79" t="str">
        <f t="shared" si="14"/>
        <v/>
      </c>
      <c r="AS10" s="79" t="str">
        <f t="shared" si="15"/>
        <v/>
      </c>
      <c r="AT10" s="79" t="str">
        <f t="shared" si="16"/>
        <v/>
      </c>
      <c r="AU10" s="79" t="str">
        <f t="shared" si="17"/>
        <v/>
      </c>
      <c r="AV10" s="79" t="str">
        <f t="shared" si="18"/>
        <v/>
      </c>
      <c r="AW10" s="79" t="str">
        <f t="shared" si="19"/>
        <v/>
      </c>
      <c r="AX10" s="79" t="str">
        <f t="shared" si="20"/>
        <v/>
      </c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 t="str">
        <f t="shared" si="21"/>
        <v/>
      </c>
      <c r="BU10" s="20" t="str">
        <f t="shared" si="22"/>
        <v/>
      </c>
      <c r="BV10" s="20" t="str">
        <f t="shared" si="23"/>
        <v/>
      </c>
      <c r="BW10" s="20" t="str">
        <f t="shared" si="24"/>
        <v/>
      </c>
      <c r="BX10" s="20" t="str">
        <f t="shared" si="25"/>
        <v/>
      </c>
      <c r="BY10" s="20" t="str">
        <f t="shared" si="26"/>
        <v/>
      </c>
      <c r="BZ10" s="20" t="str">
        <f t="shared" si="27"/>
        <v/>
      </c>
      <c r="CA10" s="20" t="str">
        <f t="shared" si="28"/>
        <v/>
      </c>
      <c r="CB10" s="27">
        <v>18.3</v>
      </c>
      <c r="CC10" s="27">
        <v>5.2</v>
      </c>
      <c r="CD10" s="27">
        <v>0</v>
      </c>
      <c r="CE10" s="27">
        <v>0</v>
      </c>
      <c r="CF10" s="27">
        <v>18</v>
      </c>
      <c r="CG10" s="27">
        <v>5.2</v>
      </c>
      <c r="CH10" s="27">
        <v>1</v>
      </c>
      <c r="CI10" s="27">
        <v>0.3</v>
      </c>
      <c r="CJ10" s="27">
        <v>18.8</v>
      </c>
      <c r="CK10" s="27">
        <v>4.3</v>
      </c>
      <c r="CL10" s="27">
        <v>0</v>
      </c>
      <c r="CM10" s="27">
        <v>0</v>
      </c>
      <c r="CN10" s="27">
        <v>18.5</v>
      </c>
      <c r="CO10" s="27">
        <v>5.2</v>
      </c>
      <c r="CP10" s="27">
        <v>0</v>
      </c>
      <c r="CQ10" s="27">
        <v>0</v>
      </c>
      <c r="CR10" s="27">
        <v>18.2</v>
      </c>
      <c r="CS10" s="27">
        <v>5.2</v>
      </c>
      <c r="CT10" s="27">
        <v>0.2</v>
      </c>
      <c r="CU10" s="27">
        <v>0.3</v>
      </c>
      <c r="CV10" s="45"/>
      <c r="CW10" s="79">
        <f t="shared" si="29"/>
        <v>10.4</v>
      </c>
      <c r="CX10" s="79">
        <f t="shared" si="30"/>
        <v>46</v>
      </c>
      <c r="CY10" s="79">
        <f t="shared" si="31"/>
        <v>23.1</v>
      </c>
      <c r="CZ10" s="79">
        <f t="shared" si="32"/>
        <v>14.7</v>
      </c>
      <c r="DA10" s="79">
        <f t="shared" si="33"/>
        <v>69.099999999999994</v>
      </c>
      <c r="DB10" s="79">
        <f t="shared" si="34"/>
        <v>10.4</v>
      </c>
      <c r="DC10" s="79">
        <f t="shared" si="35"/>
        <v>47.199999999999996</v>
      </c>
      <c r="DD10" s="79">
        <f t="shared" si="36"/>
        <v>93.199999999999989</v>
      </c>
      <c r="DE10" s="80" t="str">
        <f t="shared" si="37"/>
        <v/>
      </c>
      <c r="DF10" s="80"/>
      <c r="DG10" s="80" t="str">
        <f t="shared" si="38"/>
        <v/>
      </c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 t="str">
        <f t="shared" si="39"/>
        <v/>
      </c>
      <c r="EC10" s="79" t="str">
        <f t="shared" si="40"/>
        <v/>
      </c>
      <c r="ED10" s="79" t="str">
        <f t="shared" si="41"/>
        <v/>
      </c>
      <c r="EE10" s="79" t="str">
        <f t="shared" si="42"/>
        <v/>
      </c>
      <c r="EF10" s="79" t="str">
        <f t="shared" si="43"/>
        <v/>
      </c>
      <c r="EG10" s="79" t="str">
        <f t="shared" si="44"/>
        <v/>
      </c>
      <c r="EH10" s="79" t="str">
        <f t="shared" si="45"/>
        <v/>
      </c>
      <c r="EI10" s="79" t="str">
        <f t="shared" si="46"/>
        <v/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 t="shared" si="47"/>
        <v/>
      </c>
      <c r="FE10" s="20" t="str">
        <f t="shared" si="48"/>
        <v/>
      </c>
      <c r="FF10" s="20" t="str">
        <f t="shared" si="49"/>
        <v/>
      </c>
      <c r="FG10" s="20" t="str">
        <f t="shared" si="50"/>
        <v/>
      </c>
      <c r="FH10" s="20" t="str">
        <f t="shared" si="51"/>
        <v/>
      </c>
      <c r="FI10" s="20" t="str">
        <f t="shared" si="52"/>
        <v/>
      </c>
      <c r="FJ10" s="20" t="str">
        <f t="shared" si="53"/>
        <v/>
      </c>
      <c r="FK10" s="20" t="str">
        <f t="shared" si="54"/>
        <v/>
      </c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79" t="str">
        <f t="shared" si="55"/>
        <v/>
      </c>
      <c r="GG10" s="79" t="str">
        <f t="shared" si="56"/>
        <v/>
      </c>
      <c r="GH10" s="79" t="str">
        <f t="shared" si="57"/>
        <v/>
      </c>
      <c r="GI10" s="79" t="str">
        <f t="shared" si="58"/>
        <v/>
      </c>
      <c r="GJ10" s="79" t="str">
        <f t="shared" si="59"/>
        <v/>
      </c>
      <c r="GK10" s="79" t="str">
        <f t="shared" si="60"/>
        <v/>
      </c>
      <c r="GL10" s="79" t="str">
        <f t="shared" si="61"/>
        <v/>
      </c>
      <c r="GM10" s="79" t="str">
        <f t="shared" si="62"/>
        <v/>
      </c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0" t="str">
        <f t="shared" si="63"/>
        <v/>
      </c>
      <c r="HI10" s="20" t="str">
        <f t="shared" si="64"/>
        <v/>
      </c>
      <c r="HJ10" s="20" t="str">
        <f t="shared" si="65"/>
        <v/>
      </c>
      <c r="HK10" s="20" t="str">
        <f t="shared" si="66"/>
        <v/>
      </c>
      <c r="HL10" s="20" t="str">
        <f t="shared" si="67"/>
        <v/>
      </c>
      <c r="HM10" s="20" t="str">
        <f t="shared" si="68"/>
        <v/>
      </c>
      <c r="HN10" s="20" t="str">
        <f t="shared" si="69"/>
        <v/>
      </c>
      <c r="HO10" s="20" t="str">
        <f t="shared" si="70"/>
        <v/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 t="shared" si="71"/>
        <v/>
      </c>
      <c r="IK10" s="79" t="str">
        <f t="shared" si="72"/>
        <v/>
      </c>
      <c r="IL10" s="79" t="str">
        <f t="shared" si="73"/>
        <v/>
      </c>
      <c r="IM10" s="79" t="str">
        <f t="shared" si="74"/>
        <v/>
      </c>
      <c r="IN10" s="79" t="str">
        <f t="shared" si="75"/>
        <v/>
      </c>
      <c r="IO10" s="79" t="str">
        <f t="shared" si="76"/>
        <v/>
      </c>
      <c r="IP10" s="79" t="str">
        <f t="shared" si="77"/>
        <v/>
      </c>
      <c r="IQ10" s="79" t="str">
        <f t="shared" si="78"/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 t="shared" si="79"/>
        <v/>
      </c>
      <c r="JM10" s="20" t="str">
        <f t="shared" si="80"/>
        <v/>
      </c>
      <c r="JN10" s="20" t="str">
        <f t="shared" si="81"/>
        <v/>
      </c>
      <c r="JO10" s="20" t="str">
        <f t="shared" si="82"/>
        <v/>
      </c>
      <c r="JP10" s="20" t="str">
        <f t="shared" si="83"/>
        <v/>
      </c>
      <c r="JQ10" s="20" t="str">
        <f t="shared" si="84"/>
        <v/>
      </c>
      <c r="JR10" s="20" t="str">
        <f t="shared" si="85"/>
        <v/>
      </c>
      <c r="JS10" s="20" t="str">
        <f t="shared" si="86"/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 t="shared" si="87"/>
        <v/>
      </c>
      <c r="KO10" s="79" t="str">
        <f t="shared" si="88"/>
        <v/>
      </c>
      <c r="KP10" s="79" t="str">
        <f t="shared" si="89"/>
        <v/>
      </c>
      <c r="KQ10" s="79" t="str">
        <f t="shared" si="90"/>
        <v/>
      </c>
      <c r="KR10" s="79" t="str">
        <f t="shared" si="91"/>
        <v/>
      </c>
      <c r="KS10" s="79" t="str">
        <f t="shared" si="92"/>
        <v/>
      </c>
      <c r="KT10" s="79" t="str">
        <f t="shared" si="93"/>
        <v/>
      </c>
      <c r="KU10" s="79" t="str">
        <f t="shared" si="94"/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 t="shared" si="95"/>
        <v/>
      </c>
      <c r="LQ10" s="20" t="str">
        <f t="shared" si="96"/>
        <v/>
      </c>
      <c r="LR10" s="20" t="str">
        <f t="shared" si="97"/>
        <v/>
      </c>
      <c r="LS10" s="20" t="str">
        <f t="shared" si="98"/>
        <v/>
      </c>
      <c r="LT10" s="20" t="str">
        <f t="shared" si="99"/>
        <v/>
      </c>
      <c r="LU10" s="20" t="str">
        <f t="shared" si="100"/>
        <v/>
      </c>
      <c r="LV10" s="20" t="str">
        <f t="shared" si="101"/>
        <v/>
      </c>
      <c r="LW10" s="20" t="str">
        <f t="shared" si="102"/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 t="shared" si="103"/>
        <v/>
      </c>
      <c r="MS10" s="79" t="str">
        <f t="shared" si="104"/>
        <v/>
      </c>
      <c r="MT10" s="79" t="str">
        <f t="shared" si="105"/>
        <v/>
      </c>
      <c r="MU10" s="79" t="str">
        <f t="shared" si="106"/>
        <v/>
      </c>
      <c r="MV10" s="79" t="str">
        <f t="shared" si="107"/>
        <v/>
      </c>
      <c r="MW10" s="79" t="str">
        <f t="shared" si="108"/>
        <v/>
      </c>
      <c r="MX10" s="79" t="str">
        <f t="shared" si="109"/>
        <v/>
      </c>
      <c r="MY10" s="79" t="str">
        <f t="shared" si="110"/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 t="shared" si="111"/>
        <v/>
      </c>
      <c r="NU10" s="20" t="str">
        <f t="shared" si="112"/>
        <v/>
      </c>
      <c r="NV10" s="20" t="str">
        <f t="shared" si="113"/>
        <v/>
      </c>
      <c r="NW10" s="20" t="str">
        <f t="shared" si="114"/>
        <v/>
      </c>
      <c r="NX10" s="20" t="str">
        <f t="shared" si="115"/>
        <v/>
      </c>
      <c r="NY10" s="20" t="str">
        <f t="shared" si="116"/>
        <v/>
      </c>
      <c r="NZ10" s="20" t="str">
        <f t="shared" si="117"/>
        <v/>
      </c>
      <c r="OA10" s="20" t="str">
        <f t="shared" si="118"/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 t="shared" si="119"/>
        <v/>
      </c>
      <c r="OW10" s="79" t="str">
        <f t="shared" si="120"/>
        <v/>
      </c>
      <c r="OX10" s="79" t="str">
        <f t="shared" si="121"/>
        <v/>
      </c>
      <c r="OY10" s="79" t="str">
        <f t="shared" si="122"/>
        <v/>
      </c>
      <c r="OZ10" s="79" t="str">
        <f t="shared" si="123"/>
        <v/>
      </c>
      <c r="PA10" s="79" t="str">
        <f t="shared" si="124"/>
        <v/>
      </c>
      <c r="PB10" s="79" t="str">
        <f t="shared" si="125"/>
        <v/>
      </c>
      <c r="PC10" s="79" t="str">
        <f t="shared" si="126"/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 t="shared" si="127"/>
        <v/>
      </c>
      <c r="PY10" s="20" t="str">
        <f t="shared" si="128"/>
        <v/>
      </c>
      <c r="PZ10" s="20" t="str">
        <f t="shared" si="129"/>
        <v/>
      </c>
      <c r="QA10" s="20" t="str">
        <f t="shared" si="130"/>
        <v/>
      </c>
      <c r="QB10" s="20" t="str">
        <f t="shared" si="131"/>
        <v/>
      </c>
      <c r="QC10" s="20" t="str">
        <f t="shared" si="132"/>
        <v/>
      </c>
      <c r="QD10" s="20" t="str">
        <f t="shared" si="133"/>
        <v/>
      </c>
      <c r="QE10" s="20" t="str">
        <f t="shared" si="134"/>
        <v/>
      </c>
      <c r="QF10" s="38">
        <f t="shared" si="135"/>
        <v>9.15</v>
      </c>
      <c r="QG10" s="38">
        <f t="shared" si="136"/>
        <v>2.6</v>
      </c>
      <c r="QH10" s="38">
        <f t="shared" si="137"/>
        <v>0</v>
      </c>
      <c r="QI10" s="38">
        <f t="shared" si="138"/>
        <v>0</v>
      </c>
      <c r="QJ10" s="38">
        <f t="shared" si="139"/>
        <v>9</v>
      </c>
      <c r="QK10" s="38">
        <f t="shared" si="140"/>
        <v>2.6</v>
      </c>
      <c r="QL10" s="38">
        <f t="shared" si="141"/>
        <v>0.5</v>
      </c>
      <c r="QM10" s="38">
        <f t="shared" si="142"/>
        <v>0.15</v>
      </c>
      <c r="QN10" s="38">
        <f t="shared" si="143"/>
        <v>9.4</v>
      </c>
      <c r="QO10" s="38">
        <f t="shared" si="144"/>
        <v>2.15</v>
      </c>
      <c r="QP10" s="38">
        <f t="shared" si="145"/>
        <v>0</v>
      </c>
      <c r="QQ10" s="38">
        <f t="shared" si="146"/>
        <v>0</v>
      </c>
      <c r="QR10" s="38">
        <f t="shared" si="147"/>
        <v>9.25</v>
      </c>
      <c r="QS10" s="38">
        <f t="shared" si="148"/>
        <v>2.6</v>
      </c>
      <c r="QT10" s="38">
        <f t="shared" si="149"/>
        <v>0</v>
      </c>
      <c r="QU10" s="38">
        <f t="shared" si="150"/>
        <v>0</v>
      </c>
      <c r="QV10" s="38">
        <f t="shared" si="151"/>
        <v>9.1</v>
      </c>
      <c r="QW10" s="38">
        <f t="shared" si="152"/>
        <v>2.6</v>
      </c>
      <c r="QX10" s="38">
        <f t="shared" si="153"/>
        <v>0.1</v>
      </c>
      <c r="QY10" s="38">
        <f t="shared" si="154"/>
        <v>0.15</v>
      </c>
      <c r="QZ10" s="45" t="s">
        <v>46</v>
      </c>
      <c r="RA10" s="79">
        <f t="shared" si="155"/>
        <v>5.2</v>
      </c>
      <c r="RB10" s="79">
        <f t="shared" si="156"/>
        <v>23</v>
      </c>
      <c r="RC10" s="79">
        <f t="shared" si="157"/>
        <v>11.55</v>
      </c>
      <c r="RD10" s="79">
        <f t="shared" si="158"/>
        <v>7.35</v>
      </c>
      <c r="RE10" s="79">
        <f t="shared" si="159"/>
        <v>34.549999999999997</v>
      </c>
      <c r="RF10" s="79">
        <f t="shared" si="160"/>
        <v>5.2</v>
      </c>
      <c r="RG10" s="79">
        <f t="shared" si="161"/>
        <v>23.599999999999998</v>
      </c>
      <c r="RH10" s="79">
        <f t="shared" si="162"/>
        <v>46.599999999999994</v>
      </c>
    </row>
    <row r="11" spans="1:476" x14ac:dyDescent="0.2">
      <c r="A11" s="5" t="str">
        <f t="shared" si="163"/>
        <v/>
      </c>
      <c r="B11" s="78" t="s">
        <v>102</v>
      </c>
      <c r="C11" s="5" t="s">
        <v>5</v>
      </c>
      <c r="D11" s="5">
        <v>2001</v>
      </c>
      <c r="E11" s="15">
        <f t="shared" si="0"/>
        <v>112.7001068800146</v>
      </c>
      <c r="F11" s="3" t="str">
        <f t="shared" si="1"/>
        <v/>
      </c>
      <c r="G11" s="3" t="str">
        <f t="shared" si="2"/>
        <v/>
      </c>
      <c r="H11" s="67" t="str">
        <f t="shared" si="3"/>
        <v/>
      </c>
      <c r="I11" s="14">
        <f>IF(COUNT(AR11,BU11,CX11)&gt;0,LARGE((AR11,BU11,CX11),1),0)</f>
        <v>46</v>
      </c>
      <c r="J11" s="14" t="str">
        <f t="shared" si="4"/>
        <v>2022 Elite Canada</v>
      </c>
      <c r="K11" s="14">
        <f>IF(COUNT(AR11,BU11,CX11)&gt;1,LARGE((AR11,BU11,CX11),2),0)</f>
        <v>1E-4</v>
      </c>
      <c r="L11" s="14" t="str">
        <f t="shared" si="5"/>
        <v>2021 Elite Canada</v>
      </c>
      <c r="M11" s="14">
        <f>IF(COUNT(AS11,BV11,CY11)&gt;0,LARGE((AS11,BV11,CY11),1),0)</f>
        <v>22.8</v>
      </c>
      <c r="N11" s="14" t="str">
        <f t="shared" si="6"/>
        <v>2022 Elite Canada</v>
      </c>
      <c r="O11" s="14">
        <f>IF(COUNT(AS11,BV11,CY11)&gt;1,LARGE((AS11,BV11,CY11),2),0)</f>
        <v>0</v>
      </c>
      <c r="P11" s="14" t="str">
        <f t="shared" si="7"/>
        <v/>
      </c>
      <c r="Q11" s="14">
        <f t="shared" si="8"/>
        <v>43.899999999999991</v>
      </c>
      <c r="R11" s="14" t="str">
        <f t="shared" si="9"/>
        <v>2022 Elite Canada</v>
      </c>
      <c r="S11" s="14" t="str">
        <f t="shared" si="10"/>
        <v/>
      </c>
      <c r="T11" s="20" t="str">
        <f t="shared" si="11"/>
        <v/>
      </c>
      <c r="U11" s="14" t="str">
        <f t="shared" si="12"/>
        <v/>
      </c>
      <c r="V11" s="27"/>
      <c r="W11" s="27">
        <v>1E-4</v>
      </c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>
        <f t="shared" si="13"/>
        <v>1E-4</v>
      </c>
      <c r="AR11" s="79">
        <f t="shared" si="14"/>
        <v>1E-4</v>
      </c>
      <c r="AS11" s="79" t="str">
        <f t="shared" si="15"/>
        <v/>
      </c>
      <c r="AT11" s="79">
        <f t="shared" si="16"/>
        <v>1E-4</v>
      </c>
      <c r="AU11" s="79">
        <f t="shared" si="17"/>
        <v>1E-4</v>
      </c>
      <c r="AV11" s="79" t="str">
        <f t="shared" si="18"/>
        <v/>
      </c>
      <c r="AW11" s="79" t="str">
        <f t="shared" si="19"/>
        <v/>
      </c>
      <c r="AX11" s="79">
        <f t="shared" si="20"/>
        <v>1E-4</v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 t="shared" si="21"/>
        <v/>
      </c>
      <c r="BU11" s="20" t="str">
        <f t="shared" si="22"/>
        <v/>
      </c>
      <c r="BV11" s="20" t="str">
        <f t="shared" si="23"/>
        <v/>
      </c>
      <c r="BW11" s="20" t="str">
        <f t="shared" si="24"/>
        <v/>
      </c>
      <c r="BX11" s="20" t="str">
        <f t="shared" si="25"/>
        <v/>
      </c>
      <c r="BY11" s="20" t="str">
        <f t="shared" si="26"/>
        <v/>
      </c>
      <c r="BZ11" s="20" t="str">
        <f t="shared" si="27"/>
        <v/>
      </c>
      <c r="CA11" s="20" t="str">
        <f t="shared" si="28"/>
        <v/>
      </c>
      <c r="CB11" s="27">
        <v>18.5</v>
      </c>
      <c r="CC11" s="27">
        <v>5.2</v>
      </c>
      <c r="CD11" s="27">
        <v>0</v>
      </c>
      <c r="CE11" s="27">
        <v>0</v>
      </c>
      <c r="CF11" s="27">
        <v>17.8</v>
      </c>
      <c r="CG11" s="27">
        <v>5.2</v>
      </c>
      <c r="CH11" s="27">
        <v>1</v>
      </c>
      <c r="CI11" s="27">
        <v>0.3</v>
      </c>
      <c r="CJ11" s="27">
        <v>17.600000000000001</v>
      </c>
      <c r="CK11" s="27">
        <v>5.2</v>
      </c>
      <c r="CL11" s="27">
        <v>0</v>
      </c>
      <c r="CM11" s="27">
        <v>0</v>
      </c>
      <c r="CN11" s="27">
        <v>18.600000000000001</v>
      </c>
      <c r="CO11" s="27">
        <v>5.2</v>
      </c>
      <c r="CP11" s="27">
        <v>0.2</v>
      </c>
      <c r="CQ11" s="27">
        <v>0</v>
      </c>
      <c r="CR11" s="27">
        <v>17.2</v>
      </c>
      <c r="CS11" s="27">
        <v>2.8</v>
      </c>
      <c r="CT11" s="27">
        <v>0</v>
      </c>
      <c r="CU11" s="27">
        <v>0.3</v>
      </c>
      <c r="CV11" s="45"/>
      <c r="CW11" s="79">
        <f t="shared" si="29"/>
        <v>10.4</v>
      </c>
      <c r="CX11" s="79">
        <f t="shared" si="30"/>
        <v>46</v>
      </c>
      <c r="CY11" s="79">
        <f t="shared" si="31"/>
        <v>22.8</v>
      </c>
      <c r="CZ11" s="79">
        <f t="shared" si="32"/>
        <v>15.600000000000001</v>
      </c>
      <c r="DA11" s="79">
        <f t="shared" si="33"/>
        <v>68.8</v>
      </c>
      <c r="DB11" s="79">
        <f t="shared" si="34"/>
        <v>8</v>
      </c>
      <c r="DC11" s="79">
        <f t="shared" si="35"/>
        <v>43.899999999999991</v>
      </c>
      <c r="DD11" s="79">
        <f t="shared" si="36"/>
        <v>89.899999999999991</v>
      </c>
      <c r="DE11" s="80" t="str">
        <f t="shared" si="37"/>
        <v/>
      </c>
      <c r="DF11" s="80"/>
      <c r="DG11" s="80" t="str">
        <f t="shared" si="38"/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 t="shared" si="39"/>
        <v/>
      </c>
      <c r="EC11" s="79" t="str">
        <f t="shared" si="40"/>
        <v/>
      </c>
      <c r="ED11" s="79" t="str">
        <f t="shared" si="41"/>
        <v/>
      </c>
      <c r="EE11" s="79" t="str">
        <f t="shared" si="42"/>
        <v/>
      </c>
      <c r="EF11" s="79" t="str">
        <f t="shared" si="43"/>
        <v/>
      </c>
      <c r="EG11" s="79" t="str">
        <f t="shared" si="44"/>
        <v/>
      </c>
      <c r="EH11" s="79" t="str">
        <f t="shared" si="45"/>
        <v/>
      </c>
      <c r="EI11" s="79" t="str">
        <f t="shared" si="46"/>
        <v/>
      </c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0" t="str">
        <f t="shared" si="47"/>
        <v/>
      </c>
      <c r="FE11" s="20" t="str">
        <f t="shared" si="48"/>
        <v/>
      </c>
      <c r="FF11" s="20" t="str">
        <f t="shared" si="49"/>
        <v/>
      </c>
      <c r="FG11" s="20" t="str">
        <f t="shared" si="50"/>
        <v/>
      </c>
      <c r="FH11" s="20" t="str">
        <f t="shared" si="51"/>
        <v/>
      </c>
      <c r="FI11" s="20" t="str">
        <f t="shared" si="52"/>
        <v/>
      </c>
      <c r="FJ11" s="20" t="str">
        <f t="shared" si="53"/>
        <v/>
      </c>
      <c r="FK11" s="20" t="str">
        <f t="shared" si="54"/>
        <v/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 t="shared" si="55"/>
        <v/>
      </c>
      <c r="GG11" s="79" t="str">
        <f t="shared" si="56"/>
        <v/>
      </c>
      <c r="GH11" s="79" t="str">
        <f t="shared" si="57"/>
        <v/>
      </c>
      <c r="GI11" s="79" t="str">
        <f t="shared" si="58"/>
        <v/>
      </c>
      <c r="GJ11" s="79" t="str">
        <f t="shared" si="59"/>
        <v/>
      </c>
      <c r="GK11" s="79" t="str">
        <f t="shared" si="60"/>
        <v/>
      </c>
      <c r="GL11" s="79" t="str">
        <f t="shared" si="61"/>
        <v/>
      </c>
      <c r="GM11" s="79" t="str">
        <f t="shared" si="62"/>
        <v/>
      </c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0" t="str">
        <f t="shared" si="63"/>
        <v/>
      </c>
      <c r="HI11" s="20" t="str">
        <f t="shared" si="64"/>
        <v/>
      </c>
      <c r="HJ11" s="20" t="str">
        <f t="shared" si="65"/>
        <v/>
      </c>
      <c r="HK11" s="20" t="str">
        <f t="shared" si="66"/>
        <v/>
      </c>
      <c r="HL11" s="20" t="str">
        <f t="shared" si="67"/>
        <v/>
      </c>
      <c r="HM11" s="20" t="str">
        <f t="shared" si="68"/>
        <v/>
      </c>
      <c r="HN11" s="20" t="str">
        <f t="shared" si="69"/>
        <v/>
      </c>
      <c r="HO11" s="20" t="str">
        <f t="shared" si="70"/>
        <v/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 t="shared" si="71"/>
        <v/>
      </c>
      <c r="IK11" s="79" t="str">
        <f t="shared" si="72"/>
        <v/>
      </c>
      <c r="IL11" s="79" t="str">
        <f t="shared" si="73"/>
        <v/>
      </c>
      <c r="IM11" s="79" t="str">
        <f t="shared" si="74"/>
        <v/>
      </c>
      <c r="IN11" s="79" t="str">
        <f t="shared" si="75"/>
        <v/>
      </c>
      <c r="IO11" s="79" t="str">
        <f t="shared" si="76"/>
        <v/>
      </c>
      <c r="IP11" s="79" t="str">
        <f t="shared" si="77"/>
        <v/>
      </c>
      <c r="IQ11" s="79" t="str">
        <f t="shared" si="78"/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 t="shared" si="79"/>
        <v/>
      </c>
      <c r="JM11" s="20" t="str">
        <f t="shared" si="80"/>
        <v/>
      </c>
      <c r="JN11" s="20" t="str">
        <f t="shared" si="81"/>
        <v/>
      </c>
      <c r="JO11" s="20" t="str">
        <f t="shared" si="82"/>
        <v/>
      </c>
      <c r="JP11" s="20" t="str">
        <f t="shared" si="83"/>
        <v/>
      </c>
      <c r="JQ11" s="20" t="str">
        <f t="shared" si="84"/>
        <v/>
      </c>
      <c r="JR11" s="20" t="str">
        <f t="shared" si="85"/>
        <v/>
      </c>
      <c r="JS11" s="20" t="str">
        <f t="shared" si="86"/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 t="shared" si="87"/>
        <v/>
      </c>
      <c r="KO11" s="79" t="str">
        <f t="shared" si="88"/>
        <v/>
      </c>
      <c r="KP11" s="79" t="str">
        <f t="shared" si="89"/>
        <v/>
      </c>
      <c r="KQ11" s="79" t="str">
        <f t="shared" si="90"/>
        <v/>
      </c>
      <c r="KR11" s="79" t="str">
        <f t="shared" si="91"/>
        <v/>
      </c>
      <c r="KS11" s="79" t="str">
        <f t="shared" si="92"/>
        <v/>
      </c>
      <c r="KT11" s="79" t="str">
        <f t="shared" si="93"/>
        <v/>
      </c>
      <c r="KU11" s="79" t="str">
        <f t="shared" si="94"/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 t="shared" si="95"/>
        <v/>
      </c>
      <c r="LQ11" s="20" t="str">
        <f t="shared" si="96"/>
        <v/>
      </c>
      <c r="LR11" s="20" t="str">
        <f t="shared" si="97"/>
        <v/>
      </c>
      <c r="LS11" s="20" t="str">
        <f t="shared" si="98"/>
        <v/>
      </c>
      <c r="LT11" s="20" t="str">
        <f t="shared" si="99"/>
        <v/>
      </c>
      <c r="LU11" s="20" t="str">
        <f t="shared" si="100"/>
        <v/>
      </c>
      <c r="LV11" s="20" t="str">
        <f t="shared" si="101"/>
        <v/>
      </c>
      <c r="LW11" s="20" t="str">
        <f t="shared" si="102"/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 t="shared" si="103"/>
        <v/>
      </c>
      <c r="MS11" s="79" t="str">
        <f t="shared" si="104"/>
        <v/>
      </c>
      <c r="MT11" s="79" t="str">
        <f t="shared" si="105"/>
        <v/>
      </c>
      <c r="MU11" s="79" t="str">
        <f t="shared" si="106"/>
        <v/>
      </c>
      <c r="MV11" s="79" t="str">
        <f t="shared" si="107"/>
        <v/>
      </c>
      <c r="MW11" s="79" t="str">
        <f t="shared" si="108"/>
        <v/>
      </c>
      <c r="MX11" s="79" t="str">
        <f t="shared" si="109"/>
        <v/>
      </c>
      <c r="MY11" s="79" t="str">
        <f t="shared" si="110"/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 t="shared" si="111"/>
        <v/>
      </c>
      <c r="NU11" s="20" t="str">
        <f t="shared" si="112"/>
        <v/>
      </c>
      <c r="NV11" s="20" t="str">
        <f t="shared" si="113"/>
        <v/>
      </c>
      <c r="NW11" s="20" t="str">
        <f t="shared" si="114"/>
        <v/>
      </c>
      <c r="NX11" s="20" t="str">
        <f t="shared" si="115"/>
        <v/>
      </c>
      <c r="NY11" s="20" t="str">
        <f t="shared" si="116"/>
        <v/>
      </c>
      <c r="NZ11" s="20" t="str">
        <f t="shared" si="117"/>
        <v/>
      </c>
      <c r="OA11" s="20" t="str">
        <f t="shared" si="118"/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 t="shared" si="119"/>
        <v/>
      </c>
      <c r="OW11" s="79" t="str">
        <f t="shared" si="120"/>
        <v/>
      </c>
      <c r="OX11" s="79" t="str">
        <f t="shared" si="121"/>
        <v/>
      </c>
      <c r="OY11" s="79" t="str">
        <f t="shared" si="122"/>
        <v/>
      </c>
      <c r="OZ11" s="79" t="str">
        <f t="shared" si="123"/>
        <v/>
      </c>
      <c r="PA11" s="79" t="str">
        <f t="shared" si="124"/>
        <v/>
      </c>
      <c r="PB11" s="79" t="str">
        <f t="shared" si="125"/>
        <v/>
      </c>
      <c r="PC11" s="79" t="str">
        <f t="shared" si="126"/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 t="shared" si="127"/>
        <v/>
      </c>
      <c r="PY11" s="20" t="str">
        <f t="shared" si="128"/>
        <v/>
      </c>
      <c r="PZ11" s="20" t="str">
        <f t="shared" si="129"/>
        <v/>
      </c>
      <c r="QA11" s="20" t="str">
        <f t="shared" si="130"/>
        <v/>
      </c>
      <c r="QB11" s="20" t="str">
        <f t="shared" si="131"/>
        <v/>
      </c>
      <c r="QC11" s="20" t="str">
        <f t="shared" si="132"/>
        <v/>
      </c>
      <c r="QD11" s="20" t="str">
        <f t="shared" si="133"/>
        <v/>
      </c>
      <c r="QE11" s="20" t="str">
        <f t="shared" si="134"/>
        <v/>
      </c>
      <c r="QF11" s="38">
        <f t="shared" si="135"/>
        <v>9.25</v>
      </c>
      <c r="QG11" s="38">
        <f t="shared" si="136"/>
        <v>2.6</v>
      </c>
      <c r="QH11" s="38">
        <f t="shared" si="137"/>
        <v>0</v>
      </c>
      <c r="QI11" s="38">
        <f t="shared" si="138"/>
        <v>0</v>
      </c>
      <c r="QJ11" s="38">
        <f t="shared" si="139"/>
        <v>8.9</v>
      </c>
      <c r="QK11" s="38">
        <f t="shared" si="140"/>
        <v>2.6</v>
      </c>
      <c r="QL11" s="38">
        <f t="shared" si="141"/>
        <v>0.5</v>
      </c>
      <c r="QM11" s="38">
        <f t="shared" si="142"/>
        <v>0.15</v>
      </c>
      <c r="QN11" s="38">
        <f t="shared" si="143"/>
        <v>8.8000000000000007</v>
      </c>
      <c r="QO11" s="38">
        <f t="shared" si="144"/>
        <v>2.6</v>
      </c>
      <c r="QP11" s="38">
        <f t="shared" si="145"/>
        <v>0</v>
      </c>
      <c r="QQ11" s="38">
        <f t="shared" si="146"/>
        <v>0</v>
      </c>
      <c r="QR11" s="38">
        <f t="shared" si="147"/>
        <v>9.3000000000000007</v>
      </c>
      <c r="QS11" s="38">
        <f t="shared" si="148"/>
        <v>2.6</v>
      </c>
      <c r="QT11" s="38">
        <f t="shared" si="149"/>
        <v>0.1</v>
      </c>
      <c r="QU11" s="38">
        <f t="shared" si="150"/>
        <v>0</v>
      </c>
      <c r="QV11" s="38">
        <f t="shared" si="151"/>
        <v>8.6</v>
      </c>
      <c r="QW11" s="38">
        <f t="shared" si="152"/>
        <v>1.4</v>
      </c>
      <c r="QX11" s="38">
        <f t="shared" si="153"/>
        <v>0</v>
      </c>
      <c r="QY11" s="38">
        <f t="shared" si="154"/>
        <v>0.15</v>
      </c>
      <c r="QZ11" s="45" t="s">
        <v>46</v>
      </c>
      <c r="RA11" s="79">
        <f t="shared" si="155"/>
        <v>5.2</v>
      </c>
      <c r="RB11" s="79">
        <f t="shared" si="156"/>
        <v>23</v>
      </c>
      <c r="RC11" s="79">
        <f t="shared" si="157"/>
        <v>11.4</v>
      </c>
      <c r="RD11" s="79">
        <f t="shared" si="158"/>
        <v>7.8000000000000007</v>
      </c>
      <c r="RE11" s="79">
        <f t="shared" si="159"/>
        <v>34.4</v>
      </c>
      <c r="RF11" s="79">
        <f t="shared" si="160"/>
        <v>4</v>
      </c>
      <c r="RG11" s="79">
        <f t="shared" si="161"/>
        <v>21.949999999999996</v>
      </c>
      <c r="RH11" s="79">
        <f t="shared" si="162"/>
        <v>44.949999999999996</v>
      </c>
    </row>
    <row r="12" spans="1:476" x14ac:dyDescent="0.2">
      <c r="A12" s="5" t="str">
        <f t="shared" si="163"/>
        <v/>
      </c>
      <c r="B12" s="78" t="s">
        <v>80</v>
      </c>
      <c r="C12" s="5" t="s">
        <v>4</v>
      </c>
      <c r="D12" s="5">
        <v>2004</v>
      </c>
      <c r="E12" s="15">
        <f t="shared" si="0"/>
        <v>109.60000656000439</v>
      </c>
      <c r="F12" s="3" t="str">
        <f t="shared" si="1"/>
        <v/>
      </c>
      <c r="G12" s="3" t="str">
        <f t="shared" si="2"/>
        <v/>
      </c>
      <c r="H12" s="67" t="str">
        <f t="shared" si="3"/>
        <v/>
      </c>
      <c r="I12" s="14">
        <f>IF(COUNT(AR12,BU12,CX12)&gt;0,LARGE((AR12,BU12,CX12),1),0)</f>
        <v>43.9</v>
      </c>
      <c r="J12" s="14" t="str">
        <f t="shared" si="4"/>
        <v>2022 Elite Canada</v>
      </c>
      <c r="K12" s="14">
        <f>IF(COUNT(AR12,BU12,CX12)&gt;1,LARGE((AR12,BU12,CX12),2),0)</f>
        <v>0</v>
      </c>
      <c r="L12" s="14" t="str">
        <f t="shared" si="5"/>
        <v/>
      </c>
      <c r="M12" s="14">
        <f>IF(COUNT(AS12,BV12,CY12)&gt;0,LARGE((AS12,BV12,CY12),1),0)</f>
        <v>21.7</v>
      </c>
      <c r="N12" s="14" t="str">
        <f t="shared" si="6"/>
        <v>2022 Elite Canada</v>
      </c>
      <c r="O12" s="14">
        <f>IF(COUNT(AS12,BV12,CY12)&gt;1,LARGE((AS12,BV12,CY12),2),0)</f>
        <v>0</v>
      </c>
      <c r="P12" s="14" t="str">
        <f t="shared" si="7"/>
        <v/>
      </c>
      <c r="Q12" s="14">
        <f t="shared" si="8"/>
        <v>44</v>
      </c>
      <c r="R12" s="14" t="str">
        <f t="shared" si="9"/>
        <v>2022 Elite Canada</v>
      </c>
      <c r="S12" s="14" t="str">
        <f t="shared" si="10"/>
        <v/>
      </c>
      <c r="T12" s="20" t="str">
        <f t="shared" si="11"/>
        <v/>
      </c>
      <c r="U12" s="14" t="str">
        <f t="shared" si="12"/>
        <v/>
      </c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 t="str">
        <f t="shared" si="13"/>
        <v/>
      </c>
      <c r="AR12" s="79" t="str">
        <f t="shared" si="14"/>
        <v/>
      </c>
      <c r="AS12" s="79" t="str">
        <f t="shared" si="15"/>
        <v/>
      </c>
      <c r="AT12" s="79" t="str">
        <f t="shared" si="16"/>
        <v/>
      </c>
      <c r="AU12" s="79" t="str">
        <f t="shared" si="17"/>
        <v/>
      </c>
      <c r="AV12" s="79" t="str">
        <f t="shared" si="18"/>
        <v/>
      </c>
      <c r="AW12" s="79" t="str">
        <f t="shared" si="19"/>
        <v/>
      </c>
      <c r="AX12" s="79" t="str">
        <f t="shared" si="20"/>
        <v/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 t="shared" si="21"/>
        <v/>
      </c>
      <c r="BU12" s="20" t="str">
        <f t="shared" si="22"/>
        <v/>
      </c>
      <c r="BV12" s="20" t="str">
        <f t="shared" si="23"/>
        <v/>
      </c>
      <c r="BW12" s="20" t="str">
        <f t="shared" si="24"/>
        <v/>
      </c>
      <c r="BX12" s="20" t="str">
        <f t="shared" si="25"/>
        <v/>
      </c>
      <c r="BY12" s="20" t="str">
        <f t="shared" si="26"/>
        <v/>
      </c>
      <c r="BZ12" s="20" t="str">
        <f t="shared" si="27"/>
        <v/>
      </c>
      <c r="CA12" s="20" t="str">
        <f t="shared" si="28"/>
        <v/>
      </c>
      <c r="CB12" s="27">
        <v>18.399999999999999</v>
      </c>
      <c r="CC12" s="27">
        <v>3.5</v>
      </c>
      <c r="CD12" s="27">
        <v>0.2</v>
      </c>
      <c r="CE12" s="27">
        <v>0</v>
      </c>
      <c r="CF12" s="27">
        <v>18.600000000000001</v>
      </c>
      <c r="CG12" s="27">
        <v>3.6</v>
      </c>
      <c r="CH12" s="27">
        <v>0</v>
      </c>
      <c r="CI12" s="27">
        <v>0</v>
      </c>
      <c r="CJ12" s="27">
        <v>18.399999999999999</v>
      </c>
      <c r="CK12" s="27">
        <v>3.3</v>
      </c>
      <c r="CL12" s="27">
        <v>0</v>
      </c>
      <c r="CM12" s="27">
        <v>0</v>
      </c>
      <c r="CN12" s="27">
        <v>18.8</v>
      </c>
      <c r="CO12" s="27">
        <v>3.1</v>
      </c>
      <c r="CP12" s="27">
        <v>0.2</v>
      </c>
      <c r="CQ12" s="27">
        <v>0</v>
      </c>
      <c r="CR12" s="27">
        <v>18.7</v>
      </c>
      <c r="CS12" s="27">
        <v>3.6</v>
      </c>
      <c r="CT12" s="27">
        <v>0</v>
      </c>
      <c r="CU12" s="27">
        <v>0</v>
      </c>
      <c r="CV12" s="45"/>
      <c r="CW12" s="79">
        <f t="shared" si="29"/>
        <v>7.1</v>
      </c>
      <c r="CX12" s="79">
        <f t="shared" si="30"/>
        <v>43.9</v>
      </c>
      <c r="CY12" s="79">
        <f t="shared" si="31"/>
        <v>21.7</v>
      </c>
      <c r="CZ12" s="79">
        <f t="shared" si="32"/>
        <v>10.399999999999999</v>
      </c>
      <c r="DA12" s="79">
        <f t="shared" si="33"/>
        <v>65.599999999999994</v>
      </c>
      <c r="DB12" s="79">
        <f t="shared" si="34"/>
        <v>6.7</v>
      </c>
      <c r="DC12" s="79">
        <f t="shared" si="35"/>
        <v>44</v>
      </c>
      <c r="DD12" s="79">
        <f t="shared" si="36"/>
        <v>87.9</v>
      </c>
      <c r="DE12" s="80" t="str">
        <f t="shared" si="37"/>
        <v/>
      </c>
      <c r="DF12" s="80"/>
      <c r="DG12" s="80" t="str">
        <f t="shared" si="38"/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 t="shared" si="39"/>
        <v/>
      </c>
      <c r="EC12" s="79" t="str">
        <f t="shared" si="40"/>
        <v/>
      </c>
      <c r="ED12" s="79" t="str">
        <f t="shared" si="41"/>
        <v/>
      </c>
      <c r="EE12" s="79" t="str">
        <f t="shared" si="42"/>
        <v/>
      </c>
      <c r="EF12" s="79" t="str">
        <f t="shared" si="43"/>
        <v/>
      </c>
      <c r="EG12" s="79" t="str">
        <f t="shared" si="44"/>
        <v/>
      </c>
      <c r="EH12" s="79" t="str">
        <f t="shared" si="45"/>
        <v/>
      </c>
      <c r="EI12" s="79" t="str">
        <f t="shared" si="46"/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 t="shared" si="47"/>
        <v/>
      </c>
      <c r="FE12" s="20" t="str">
        <f t="shared" si="48"/>
        <v/>
      </c>
      <c r="FF12" s="20" t="str">
        <f t="shared" si="49"/>
        <v/>
      </c>
      <c r="FG12" s="20" t="str">
        <f t="shared" si="50"/>
        <v/>
      </c>
      <c r="FH12" s="20" t="str">
        <f t="shared" si="51"/>
        <v/>
      </c>
      <c r="FI12" s="20" t="str">
        <f t="shared" si="52"/>
        <v/>
      </c>
      <c r="FJ12" s="20" t="str">
        <f t="shared" si="53"/>
        <v/>
      </c>
      <c r="FK12" s="20" t="str">
        <f t="shared" si="54"/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 t="shared" si="55"/>
        <v/>
      </c>
      <c r="GG12" s="79" t="str">
        <f t="shared" si="56"/>
        <v/>
      </c>
      <c r="GH12" s="79" t="str">
        <f t="shared" si="57"/>
        <v/>
      </c>
      <c r="GI12" s="79" t="str">
        <f t="shared" si="58"/>
        <v/>
      </c>
      <c r="GJ12" s="79" t="str">
        <f t="shared" si="59"/>
        <v/>
      </c>
      <c r="GK12" s="79" t="str">
        <f t="shared" si="60"/>
        <v/>
      </c>
      <c r="GL12" s="79" t="str">
        <f t="shared" si="61"/>
        <v/>
      </c>
      <c r="GM12" s="79" t="str">
        <f t="shared" si="62"/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 t="shared" si="63"/>
        <v/>
      </c>
      <c r="HI12" s="20" t="str">
        <f t="shared" si="64"/>
        <v/>
      </c>
      <c r="HJ12" s="20" t="str">
        <f t="shared" si="65"/>
        <v/>
      </c>
      <c r="HK12" s="20" t="str">
        <f t="shared" si="66"/>
        <v/>
      </c>
      <c r="HL12" s="20" t="str">
        <f t="shared" si="67"/>
        <v/>
      </c>
      <c r="HM12" s="20" t="str">
        <f t="shared" si="68"/>
        <v/>
      </c>
      <c r="HN12" s="20" t="str">
        <f t="shared" si="69"/>
        <v/>
      </c>
      <c r="HO12" s="20" t="str">
        <f t="shared" si="70"/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 t="shared" si="71"/>
        <v/>
      </c>
      <c r="IK12" s="79" t="str">
        <f t="shared" si="72"/>
        <v/>
      </c>
      <c r="IL12" s="79" t="str">
        <f t="shared" si="73"/>
        <v/>
      </c>
      <c r="IM12" s="79" t="str">
        <f t="shared" si="74"/>
        <v/>
      </c>
      <c r="IN12" s="79" t="str">
        <f t="shared" si="75"/>
        <v/>
      </c>
      <c r="IO12" s="79" t="str">
        <f t="shared" si="76"/>
        <v/>
      </c>
      <c r="IP12" s="79" t="str">
        <f t="shared" si="77"/>
        <v/>
      </c>
      <c r="IQ12" s="79" t="str">
        <f t="shared" si="78"/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 t="shared" si="79"/>
        <v/>
      </c>
      <c r="JM12" s="20" t="str">
        <f t="shared" si="80"/>
        <v/>
      </c>
      <c r="JN12" s="20" t="str">
        <f t="shared" si="81"/>
        <v/>
      </c>
      <c r="JO12" s="20" t="str">
        <f t="shared" si="82"/>
        <v/>
      </c>
      <c r="JP12" s="20" t="str">
        <f t="shared" si="83"/>
        <v/>
      </c>
      <c r="JQ12" s="20" t="str">
        <f t="shared" si="84"/>
        <v/>
      </c>
      <c r="JR12" s="20" t="str">
        <f t="shared" si="85"/>
        <v/>
      </c>
      <c r="JS12" s="20" t="str">
        <f t="shared" si="86"/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 t="shared" si="87"/>
        <v/>
      </c>
      <c r="KO12" s="79" t="str">
        <f t="shared" si="88"/>
        <v/>
      </c>
      <c r="KP12" s="79" t="str">
        <f t="shared" si="89"/>
        <v/>
      </c>
      <c r="KQ12" s="79" t="str">
        <f t="shared" si="90"/>
        <v/>
      </c>
      <c r="KR12" s="79" t="str">
        <f t="shared" si="91"/>
        <v/>
      </c>
      <c r="KS12" s="79" t="str">
        <f t="shared" si="92"/>
        <v/>
      </c>
      <c r="KT12" s="79" t="str">
        <f t="shared" si="93"/>
        <v/>
      </c>
      <c r="KU12" s="79" t="str">
        <f t="shared" si="94"/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 t="shared" si="95"/>
        <v/>
      </c>
      <c r="LQ12" s="20" t="str">
        <f t="shared" si="96"/>
        <v/>
      </c>
      <c r="LR12" s="20" t="str">
        <f t="shared" si="97"/>
        <v/>
      </c>
      <c r="LS12" s="20" t="str">
        <f t="shared" si="98"/>
        <v/>
      </c>
      <c r="LT12" s="20" t="str">
        <f t="shared" si="99"/>
        <v/>
      </c>
      <c r="LU12" s="20" t="str">
        <f t="shared" si="100"/>
        <v/>
      </c>
      <c r="LV12" s="20" t="str">
        <f t="shared" si="101"/>
        <v/>
      </c>
      <c r="LW12" s="20" t="str">
        <f t="shared" si="102"/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 t="shared" si="103"/>
        <v/>
      </c>
      <c r="MS12" s="79" t="str">
        <f t="shared" si="104"/>
        <v/>
      </c>
      <c r="MT12" s="79" t="str">
        <f t="shared" si="105"/>
        <v/>
      </c>
      <c r="MU12" s="79" t="str">
        <f t="shared" si="106"/>
        <v/>
      </c>
      <c r="MV12" s="79" t="str">
        <f t="shared" si="107"/>
        <v/>
      </c>
      <c r="MW12" s="79" t="str">
        <f t="shared" si="108"/>
        <v/>
      </c>
      <c r="MX12" s="79" t="str">
        <f t="shared" si="109"/>
        <v/>
      </c>
      <c r="MY12" s="79" t="str">
        <f t="shared" si="110"/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 t="shared" si="111"/>
        <v/>
      </c>
      <c r="NU12" s="20" t="str">
        <f t="shared" si="112"/>
        <v/>
      </c>
      <c r="NV12" s="20" t="str">
        <f t="shared" si="113"/>
        <v/>
      </c>
      <c r="NW12" s="20" t="str">
        <f t="shared" si="114"/>
        <v/>
      </c>
      <c r="NX12" s="20" t="str">
        <f t="shared" si="115"/>
        <v/>
      </c>
      <c r="NY12" s="20" t="str">
        <f t="shared" si="116"/>
        <v/>
      </c>
      <c r="NZ12" s="20" t="str">
        <f t="shared" si="117"/>
        <v/>
      </c>
      <c r="OA12" s="20" t="str">
        <f t="shared" si="118"/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 t="shared" si="119"/>
        <v/>
      </c>
      <c r="OW12" s="79" t="str">
        <f t="shared" si="120"/>
        <v/>
      </c>
      <c r="OX12" s="79" t="str">
        <f t="shared" si="121"/>
        <v/>
      </c>
      <c r="OY12" s="79" t="str">
        <f t="shared" si="122"/>
        <v/>
      </c>
      <c r="OZ12" s="79" t="str">
        <f t="shared" si="123"/>
        <v/>
      </c>
      <c r="PA12" s="79" t="str">
        <f t="shared" si="124"/>
        <v/>
      </c>
      <c r="PB12" s="79" t="str">
        <f t="shared" si="125"/>
        <v/>
      </c>
      <c r="PC12" s="79" t="str">
        <f t="shared" si="126"/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 t="shared" si="127"/>
        <v/>
      </c>
      <c r="PY12" s="20" t="str">
        <f t="shared" si="128"/>
        <v/>
      </c>
      <c r="PZ12" s="20" t="str">
        <f t="shared" si="129"/>
        <v/>
      </c>
      <c r="QA12" s="20" t="str">
        <f t="shared" si="130"/>
        <v/>
      </c>
      <c r="QB12" s="20" t="str">
        <f t="shared" si="131"/>
        <v/>
      </c>
      <c r="QC12" s="20" t="str">
        <f t="shared" si="132"/>
        <v/>
      </c>
      <c r="QD12" s="20" t="str">
        <f t="shared" si="133"/>
        <v/>
      </c>
      <c r="QE12" s="20" t="str">
        <f t="shared" si="134"/>
        <v/>
      </c>
      <c r="QF12" s="38">
        <f t="shared" si="135"/>
        <v>9.1999999999999993</v>
      </c>
      <c r="QG12" s="38">
        <f t="shared" si="136"/>
        <v>1.75</v>
      </c>
      <c r="QH12" s="38">
        <f t="shared" si="137"/>
        <v>0.1</v>
      </c>
      <c r="QI12" s="38">
        <f t="shared" si="138"/>
        <v>0</v>
      </c>
      <c r="QJ12" s="38">
        <f t="shared" si="139"/>
        <v>9.3000000000000007</v>
      </c>
      <c r="QK12" s="38">
        <f t="shared" si="140"/>
        <v>1.8</v>
      </c>
      <c r="QL12" s="38">
        <f t="shared" si="141"/>
        <v>0</v>
      </c>
      <c r="QM12" s="38">
        <f t="shared" si="142"/>
        <v>0</v>
      </c>
      <c r="QN12" s="38">
        <f t="shared" si="143"/>
        <v>9.1999999999999993</v>
      </c>
      <c r="QO12" s="38">
        <f t="shared" si="144"/>
        <v>1.65</v>
      </c>
      <c r="QP12" s="38">
        <f t="shared" si="145"/>
        <v>0</v>
      </c>
      <c r="QQ12" s="38">
        <f t="shared" si="146"/>
        <v>0</v>
      </c>
      <c r="QR12" s="38">
        <f t="shared" si="147"/>
        <v>9.4</v>
      </c>
      <c r="QS12" s="38">
        <f t="shared" si="148"/>
        <v>1.55</v>
      </c>
      <c r="QT12" s="38">
        <f t="shared" si="149"/>
        <v>0.1</v>
      </c>
      <c r="QU12" s="38">
        <f t="shared" si="150"/>
        <v>0</v>
      </c>
      <c r="QV12" s="38">
        <f t="shared" si="151"/>
        <v>9.35</v>
      </c>
      <c r="QW12" s="38">
        <f t="shared" si="152"/>
        <v>1.8</v>
      </c>
      <c r="QX12" s="38">
        <f t="shared" si="153"/>
        <v>0</v>
      </c>
      <c r="QY12" s="38">
        <f t="shared" si="154"/>
        <v>0</v>
      </c>
      <c r="QZ12" s="45" t="s">
        <v>46</v>
      </c>
      <c r="RA12" s="79">
        <f t="shared" si="155"/>
        <v>3.55</v>
      </c>
      <c r="RB12" s="79">
        <f t="shared" si="156"/>
        <v>21.95</v>
      </c>
      <c r="RC12" s="79">
        <f t="shared" si="157"/>
        <v>10.85</v>
      </c>
      <c r="RD12" s="79">
        <f t="shared" si="158"/>
        <v>5.1999999999999993</v>
      </c>
      <c r="RE12" s="79">
        <f t="shared" si="159"/>
        <v>32.799999999999997</v>
      </c>
      <c r="RF12" s="79">
        <f t="shared" si="160"/>
        <v>3.35</v>
      </c>
      <c r="RG12" s="79">
        <f t="shared" si="161"/>
        <v>22</v>
      </c>
      <c r="RH12" s="79">
        <f t="shared" si="162"/>
        <v>43.95</v>
      </c>
    </row>
    <row r="13" spans="1:476" x14ac:dyDescent="0.2">
      <c r="A13" s="5" t="str">
        <f t="shared" si="163"/>
        <v/>
      </c>
      <c r="B13" s="78" t="s">
        <v>103</v>
      </c>
      <c r="C13" s="5" t="s">
        <v>6</v>
      </c>
      <c r="D13" s="5">
        <v>2004</v>
      </c>
      <c r="E13" s="15">
        <f t="shared" si="0"/>
        <v>109.50000654000435</v>
      </c>
      <c r="F13" s="3" t="str">
        <f t="shared" si="1"/>
        <v/>
      </c>
      <c r="G13" s="3" t="str">
        <f t="shared" si="2"/>
        <v/>
      </c>
      <c r="H13" s="67" t="str">
        <f t="shared" si="3"/>
        <v/>
      </c>
      <c r="I13" s="14">
        <f>IF(COUNT(AR13,BU13,CX13)&gt;0,LARGE((AR13,BU13,CX13),1),0)</f>
        <v>43.599999999999994</v>
      </c>
      <c r="J13" s="14" t="str">
        <f t="shared" si="4"/>
        <v>2022 Elite Canada</v>
      </c>
      <c r="K13" s="14">
        <f>IF(COUNT(AR13,BU13,CX13)&gt;1,LARGE((AR13,BU13,CX13),2),0)</f>
        <v>0</v>
      </c>
      <c r="L13" s="14" t="str">
        <f t="shared" si="5"/>
        <v/>
      </c>
      <c r="M13" s="14">
        <f>IF(COUNT(AS13,BV13,CY13)&gt;0,LARGE((AS13,BV13,CY13),1),0)</f>
        <v>21.799999999999997</v>
      </c>
      <c r="N13" s="14" t="str">
        <f t="shared" si="6"/>
        <v>2022 Elite Canada</v>
      </c>
      <c r="O13" s="14">
        <f>IF(COUNT(AS13,BV13,CY13)&gt;1,LARGE((AS13,BV13,CY13),2),0)</f>
        <v>0</v>
      </c>
      <c r="P13" s="14" t="str">
        <f t="shared" si="7"/>
        <v/>
      </c>
      <c r="Q13" s="14">
        <f t="shared" si="8"/>
        <v>44.099999999999994</v>
      </c>
      <c r="R13" s="14" t="str">
        <f t="shared" si="9"/>
        <v>2022 Elite Canada</v>
      </c>
      <c r="S13" s="14" t="str">
        <f t="shared" si="10"/>
        <v/>
      </c>
      <c r="T13" s="20" t="str">
        <f t="shared" si="11"/>
        <v/>
      </c>
      <c r="U13" s="14" t="str">
        <f t="shared" si="12"/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 t="shared" si="13"/>
        <v/>
      </c>
      <c r="AR13" s="79" t="str">
        <f t="shared" si="14"/>
        <v/>
      </c>
      <c r="AS13" s="79" t="str">
        <f t="shared" si="15"/>
        <v/>
      </c>
      <c r="AT13" s="79" t="str">
        <f t="shared" si="16"/>
        <v/>
      </c>
      <c r="AU13" s="79" t="str">
        <f t="shared" si="17"/>
        <v/>
      </c>
      <c r="AV13" s="79" t="str">
        <f t="shared" si="18"/>
        <v/>
      </c>
      <c r="AW13" s="79" t="str">
        <f t="shared" si="19"/>
        <v/>
      </c>
      <c r="AX13" s="79" t="str">
        <f t="shared" si="20"/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 t="shared" si="21"/>
        <v/>
      </c>
      <c r="BU13" s="20" t="str">
        <f t="shared" si="22"/>
        <v/>
      </c>
      <c r="BV13" s="20" t="str">
        <f t="shared" si="23"/>
        <v/>
      </c>
      <c r="BW13" s="20" t="str">
        <f t="shared" si="24"/>
        <v/>
      </c>
      <c r="BX13" s="20" t="str">
        <f t="shared" si="25"/>
        <v/>
      </c>
      <c r="BY13" s="20" t="str">
        <f t="shared" si="26"/>
        <v/>
      </c>
      <c r="BZ13" s="20" t="str">
        <f t="shared" si="27"/>
        <v/>
      </c>
      <c r="CA13" s="20" t="str">
        <f t="shared" si="28"/>
        <v/>
      </c>
      <c r="CB13" s="27">
        <v>18.7</v>
      </c>
      <c r="CC13" s="27">
        <v>3.5</v>
      </c>
      <c r="CD13" s="27">
        <v>0.6</v>
      </c>
      <c r="CE13" s="27">
        <v>0</v>
      </c>
      <c r="CF13" s="27">
        <v>18.2</v>
      </c>
      <c r="CG13" s="27">
        <v>4.4000000000000004</v>
      </c>
      <c r="CH13" s="27">
        <v>0.6</v>
      </c>
      <c r="CI13" s="27">
        <v>0</v>
      </c>
      <c r="CJ13" s="27">
        <v>18.7</v>
      </c>
      <c r="CK13" s="27">
        <v>3.7</v>
      </c>
      <c r="CL13" s="27">
        <v>0.6</v>
      </c>
      <c r="CM13" s="27">
        <v>0</v>
      </c>
      <c r="CN13" s="27">
        <v>19</v>
      </c>
      <c r="CO13" s="27">
        <v>3.5</v>
      </c>
      <c r="CP13" s="27">
        <v>0.6</v>
      </c>
      <c r="CQ13" s="27">
        <v>0</v>
      </c>
      <c r="CR13" s="27">
        <v>18.399999999999999</v>
      </c>
      <c r="CS13" s="27">
        <v>4.4000000000000004</v>
      </c>
      <c r="CT13" s="27">
        <v>0.6</v>
      </c>
      <c r="CU13" s="27">
        <v>0</v>
      </c>
      <c r="CV13" s="45"/>
      <c r="CW13" s="79">
        <f t="shared" si="29"/>
        <v>7.9</v>
      </c>
      <c r="CX13" s="79">
        <f t="shared" si="30"/>
        <v>43.599999999999994</v>
      </c>
      <c r="CY13" s="79">
        <f t="shared" si="31"/>
        <v>21.799999999999997</v>
      </c>
      <c r="CZ13" s="79">
        <f t="shared" si="32"/>
        <v>11.600000000000001</v>
      </c>
      <c r="DA13" s="79">
        <f t="shared" si="33"/>
        <v>65.399999999999991</v>
      </c>
      <c r="DB13" s="79">
        <f t="shared" si="34"/>
        <v>7.9</v>
      </c>
      <c r="DC13" s="79">
        <f t="shared" si="35"/>
        <v>44.099999999999994</v>
      </c>
      <c r="DD13" s="79">
        <f t="shared" si="36"/>
        <v>87.699999999999989</v>
      </c>
      <c r="DE13" s="80" t="str">
        <f t="shared" si="37"/>
        <v/>
      </c>
      <c r="DF13" s="80"/>
      <c r="DG13" s="80" t="str">
        <f t="shared" si="38"/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 t="shared" si="39"/>
        <v/>
      </c>
      <c r="EC13" s="79" t="str">
        <f t="shared" si="40"/>
        <v/>
      </c>
      <c r="ED13" s="79" t="str">
        <f t="shared" si="41"/>
        <v/>
      </c>
      <c r="EE13" s="79" t="str">
        <f t="shared" si="42"/>
        <v/>
      </c>
      <c r="EF13" s="79" t="str">
        <f t="shared" si="43"/>
        <v/>
      </c>
      <c r="EG13" s="79" t="str">
        <f t="shared" si="44"/>
        <v/>
      </c>
      <c r="EH13" s="79" t="str">
        <f t="shared" si="45"/>
        <v/>
      </c>
      <c r="EI13" s="79" t="str">
        <f t="shared" si="46"/>
        <v/>
      </c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0" t="str">
        <f t="shared" si="47"/>
        <v/>
      </c>
      <c r="FE13" s="20" t="str">
        <f t="shared" si="48"/>
        <v/>
      </c>
      <c r="FF13" s="20" t="str">
        <f t="shared" si="49"/>
        <v/>
      </c>
      <c r="FG13" s="20" t="str">
        <f t="shared" si="50"/>
        <v/>
      </c>
      <c r="FH13" s="20" t="str">
        <f t="shared" si="51"/>
        <v/>
      </c>
      <c r="FI13" s="20" t="str">
        <f t="shared" si="52"/>
        <v/>
      </c>
      <c r="FJ13" s="20" t="str">
        <f t="shared" si="53"/>
        <v/>
      </c>
      <c r="FK13" s="20" t="str">
        <f t="shared" si="54"/>
        <v/>
      </c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79" t="str">
        <f t="shared" si="55"/>
        <v/>
      </c>
      <c r="GG13" s="79" t="str">
        <f t="shared" si="56"/>
        <v/>
      </c>
      <c r="GH13" s="79" t="str">
        <f t="shared" si="57"/>
        <v/>
      </c>
      <c r="GI13" s="79" t="str">
        <f t="shared" si="58"/>
        <v/>
      </c>
      <c r="GJ13" s="79" t="str">
        <f t="shared" si="59"/>
        <v/>
      </c>
      <c r="GK13" s="79" t="str">
        <f t="shared" si="60"/>
        <v/>
      </c>
      <c r="GL13" s="79" t="str">
        <f t="shared" si="61"/>
        <v/>
      </c>
      <c r="GM13" s="79" t="str">
        <f t="shared" si="62"/>
        <v/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 t="shared" si="63"/>
        <v/>
      </c>
      <c r="HI13" s="20" t="str">
        <f t="shared" si="64"/>
        <v/>
      </c>
      <c r="HJ13" s="20" t="str">
        <f t="shared" si="65"/>
        <v/>
      </c>
      <c r="HK13" s="20" t="str">
        <f t="shared" si="66"/>
        <v/>
      </c>
      <c r="HL13" s="20" t="str">
        <f t="shared" si="67"/>
        <v/>
      </c>
      <c r="HM13" s="20" t="str">
        <f t="shared" si="68"/>
        <v/>
      </c>
      <c r="HN13" s="20" t="str">
        <f t="shared" si="69"/>
        <v/>
      </c>
      <c r="HO13" s="20" t="str">
        <f t="shared" si="70"/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 t="shared" si="71"/>
        <v/>
      </c>
      <c r="IK13" s="79" t="str">
        <f t="shared" si="72"/>
        <v/>
      </c>
      <c r="IL13" s="79" t="str">
        <f t="shared" si="73"/>
        <v/>
      </c>
      <c r="IM13" s="79" t="str">
        <f t="shared" si="74"/>
        <v/>
      </c>
      <c r="IN13" s="79" t="str">
        <f t="shared" si="75"/>
        <v/>
      </c>
      <c r="IO13" s="79" t="str">
        <f t="shared" si="76"/>
        <v/>
      </c>
      <c r="IP13" s="79" t="str">
        <f t="shared" si="77"/>
        <v/>
      </c>
      <c r="IQ13" s="79" t="str">
        <f t="shared" si="78"/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 t="shared" si="79"/>
        <v/>
      </c>
      <c r="JM13" s="20" t="str">
        <f t="shared" si="80"/>
        <v/>
      </c>
      <c r="JN13" s="20" t="str">
        <f t="shared" si="81"/>
        <v/>
      </c>
      <c r="JO13" s="20" t="str">
        <f t="shared" si="82"/>
        <v/>
      </c>
      <c r="JP13" s="20" t="str">
        <f t="shared" si="83"/>
        <v/>
      </c>
      <c r="JQ13" s="20" t="str">
        <f t="shared" si="84"/>
        <v/>
      </c>
      <c r="JR13" s="20" t="str">
        <f t="shared" si="85"/>
        <v/>
      </c>
      <c r="JS13" s="20" t="str">
        <f t="shared" si="86"/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 t="shared" si="87"/>
        <v/>
      </c>
      <c r="KO13" s="79" t="str">
        <f t="shared" si="88"/>
        <v/>
      </c>
      <c r="KP13" s="79" t="str">
        <f t="shared" si="89"/>
        <v/>
      </c>
      <c r="KQ13" s="79" t="str">
        <f t="shared" si="90"/>
        <v/>
      </c>
      <c r="KR13" s="79" t="str">
        <f t="shared" si="91"/>
        <v/>
      </c>
      <c r="KS13" s="79" t="str">
        <f t="shared" si="92"/>
        <v/>
      </c>
      <c r="KT13" s="79" t="str">
        <f t="shared" si="93"/>
        <v/>
      </c>
      <c r="KU13" s="79" t="str">
        <f t="shared" si="94"/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 t="shared" si="95"/>
        <v/>
      </c>
      <c r="LQ13" s="20" t="str">
        <f t="shared" si="96"/>
        <v/>
      </c>
      <c r="LR13" s="20" t="str">
        <f t="shared" si="97"/>
        <v/>
      </c>
      <c r="LS13" s="20" t="str">
        <f t="shared" si="98"/>
        <v/>
      </c>
      <c r="LT13" s="20" t="str">
        <f t="shared" si="99"/>
        <v/>
      </c>
      <c r="LU13" s="20" t="str">
        <f t="shared" si="100"/>
        <v/>
      </c>
      <c r="LV13" s="20" t="str">
        <f t="shared" si="101"/>
        <v/>
      </c>
      <c r="LW13" s="20" t="str">
        <f t="shared" si="102"/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 t="shared" si="103"/>
        <v/>
      </c>
      <c r="MS13" s="79" t="str">
        <f t="shared" si="104"/>
        <v/>
      </c>
      <c r="MT13" s="79" t="str">
        <f t="shared" si="105"/>
        <v/>
      </c>
      <c r="MU13" s="79" t="str">
        <f t="shared" si="106"/>
        <v/>
      </c>
      <c r="MV13" s="79" t="str">
        <f t="shared" si="107"/>
        <v/>
      </c>
      <c r="MW13" s="79" t="str">
        <f t="shared" si="108"/>
        <v/>
      </c>
      <c r="MX13" s="79" t="str">
        <f t="shared" si="109"/>
        <v/>
      </c>
      <c r="MY13" s="79" t="str">
        <f t="shared" si="110"/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 t="shared" si="111"/>
        <v/>
      </c>
      <c r="NU13" s="20" t="str">
        <f t="shared" si="112"/>
        <v/>
      </c>
      <c r="NV13" s="20" t="str">
        <f t="shared" si="113"/>
        <v/>
      </c>
      <c r="NW13" s="20" t="str">
        <f t="shared" si="114"/>
        <v/>
      </c>
      <c r="NX13" s="20" t="str">
        <f t="shared" si="115"/>
        <v/>
      </c>
      <c r="NY13" s="20" t="str">
        <f t="shared" si="116"/>
        <v/>
      </c>
      <c r="NZ13" s="20" t="str">
        <f t="shared" si="117"/>
        <v/>
      </c>
      <c r="OA13" s="20" t="str">
        <f t="shared" si="118"/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 t="shared" si="119"/>
        <v/>
      </c>
      <c r="OW13" s="79" t="str">
        <f t="shared" si="120"/>
        <v/>
      </c>
      <c r="OX13" s="79" t="str">
        <f t="shared" si="121"/>
        <v/>
      </c>
      <c r="OY13" s="79" t="str">
        <f t="shared" si="122"/>
        <v/>
      </c>
      <c r="OZ13" s="79" t="str">
        <f t="shared" si="123"/>
        <v/>
      </c>
      <c r="PA13" s="79" t="str">
        <f t="shared" si="124"/>
        <v/>
      </c>
      <c r="PB13" s="79" t="str">
        <f t="shared" si="125"/>
        <v/>
      </c>
      <c r="PC13" s="79" t="str">
        <f t="shared" si="126"/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 t="shared" si="127"/>
        <v/>
      </c>
      <c r="PY13" s="20" t="str">
        <f t="shared" si="128"/>
        <v/>
      </c>
      <c r="PZ13" s="20" t="str">
        <f t="shared" si="129"/>
        <v/>
      </c>
      <c r="QA13" s="20" t="str">
        <f t="shared" si="130"/>
        <v/>
      </c>
      <c r="QB13" s="20" t="str">
        <f t="shared" si="131"/>
        <v/>
      </c>
      <c r="QC13" s="20" t="str">
        <f t="shared" si="132"/>
        <v/>
      </c>
      <c r="QD13" s="20" t="str">
        <f t="shared" si="133"/>
        <v/>
      </c>
      <c r="QE13" s="20" t="str">
        <f t="shared" si="134"/>
        <v/>
      </c>
      <c r="QF13" s="38">
        <f t="shared" si="135"/>
        <v>9.35</v>
      </c>
      <c r="QG13" s="38">
        <f t="shared" si="136"/>
        <v>1.75</v>
      </c>
      <c r="QH13" s="38">
        <f t="shared" si="137"/>
        <v>0.3</v>
      </c>
      <c r="QI13" s="38">
        <f t="shared" si="138"/>
        <v>0</v>
      </c>
      <c r="QJ13" s="38">
        <f t="shared" si="139"/>
        <v>9.1</v>
      </c>
      <c r="QK13" s="38">
        <f t="shared" si="140"/>
        <v>2.2000000000000002</v>
      </c>
      <c r="QL13" s="38">
        <f t="shared" si="141"/>
        <v>0.3</v>
      </c>
      <c r="QM13" s="38">
        <f t="shared" si="142"/>
        <v>0</v>
      </c>
      <c r="QN13" s="38">
        <f t="shared" si="143"/>
        <v>9.35</v>
      </c>
      <c r="QO13" s="38">
        <f t="shared" si="144"/>
        <v>1.85</v>
      </c>
      <c r="QP13" s="38">
        <f t="shared" si="145"/>
        <v>0.3</v>
      </c>
      <c r="QQ13" s="38">
        <f t="shared" si="146"/>
        <v>0</v>
      </c>
      <c r="QR13" s="38">
        <f t="shared" si="147"/>
        <v>9.5</v>
      </c>
      <c r="QS13" s="38">
        <f t="shared" si="148"/>
        <v>1.75</v>
      </c>
      <c r="QT13" s="38">
        <f t="shared" si="149"/>
        <v>0.3</v>
      </c>
      <c r="QU13" s="38">
        <f t="shared" si="150"/>
        <v>0</v>
      </c>
      <c r="QV13" s="38">
        <f t="shared" si="151"/>
        <v>9.1999999999999993</v>
      </c>
      <c r="QW13" s="38">
        <f t="shared" si="152"/>
        <v>2.2000000000000002</v>
      </c>
      <c r="QX13" s="38">
        <f t="shared" si="153"/>
        <v>0.3</v>
      </c>
      <c r="QY13" s="38">
        <f t="shared" si="154"/>
        <v>0</v>
      </c>
      <c r="QZ13" s="45" t="s">
        <v>46</v>
      </c>
      <c r="RA13" s="79">
        <f t="shared" si="155"/>
        <v>3.95</v>
      </c>
      <c r="RB13" s="79">
        <f t="shared" si="156"/>
        <v>21.799999999999997</v>
      </c>
      <c r="RC13" s="79">
        <f t="shared" si="157"/>
        <v>10.899999999999999</v>
      </c>
      <c r="RD13" s="79">
        <f t="shared" si="158"/>
        <v>5.8000000000000007</v>
      </c>
      <c r="RE13" s="79">
        <f t="shared" si="159"/>
        <v>32.699999999999996</v>
      </c>
      <c r="RF13" s="79">
        <f t="shared" si="160"/>
        <v>3.95</v>
      </c>
      <c r="RG13" s="79">
        <f t="shared" si="161"/>
        <v>22.049999999999997</v>
      </c>
      <c r="RH13" s="79">
        <f t="shared" si="162"/>
        <v>43.849999999999994</v>
      </c>
    </row>
    <row r="14" spans="1:476" x14ac:dyDescent="0.2">
      <c r="A14" s="5" t="str">
        <f t="shared" si="163"/>
        <v/>
      </c>
      <c r="B14" s="78" t="s">
        <v>143</v>
      </c>
      <c r="C14" s="5" t="s">
        <v>5</v>
      </c>
      <c r="D14" s="5">
        <v>2005</v>
      </c>
      <c r="E14" s="15">
        <f t="shared" si="0"/>
        <v>109.40000655000438</v>
      </c>
      <c r="F14" s="3" t="str">
        <f t="shared" si="1"/>
        <v/>
      </c>
      <c r="G14" s="3" t="str">
        <f t="shared" si="2"/>
        <v/>
      </c>
      <c r="H14" s="67" t="str">
        <f t="shared" si="3"/>
        <v/>
      </c>
      <c r="I14" s="14">
        <f>IF(COUNT(AR14,BU14,CX14)&gt;0,LARGE((AR14,BU14,CX14),1),0)</f>
        <v>43.8</v>
      </c>
      <c r="J14" s="14" t="str">
        <f t="shared" si="4"/>
        <v>2022 Elite Canada</v>
      </c>
      <c r="K14" s="14">
        <f>IF(COUNT(AR14,BU14,CX14)&gt;1,LARGE((AR14,BU14,CX14),2),0)</f>
        <v>0</v>
      </c>
      <c r="L14" s="14" t="str">
        <f t="shared" si="5"/>
        <v/>
      </c>
      <c r="M14" s="14">
        <f>IF(COUNT(AS14,BV14,CY14)&gt;0,LARGE((AS14,BV14,CY14),1),0)</f>
        <v>21.7</v>
      </c>
      <c r="N14" s="14" t="str">
        <f t="shared" si="6"/>
        <v>2022 Elite Canada</v>
      </c>
      <c r="O14" s="14">
        <f>IF(COUNT(AS14,BV14,CY14)&gt;1,LARGE((AS14,BV14,CY14),2),0)</f>
        <v>0</v>
      </c>
      <c r="P14" s="14" t="str">
        <f t="shared" si="7"/>
        <v/>
      </c>
      <c r="Q14" s="14">
        <f t="shared" si="8"/>
        <v>43.9</v>
      </c>
      <c r="R14" s="14" t="str">
        <f t="shared" si="9"/>
        <v>2022 Elite Canada</v>
      </c>
      <c r="S14" s="14" t="str">
        <f t="shared" si="10"/>
        <v/>
      </c>
      <c r="T14" s="20" t="str">
        <f t="shared" si="11"/>
        <v/>
      </c>
      <c r="U14" s="14" t="str">
        <f t="shared" si="12"/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 t="shared" si="13"/>
        <v/>
      </c>
      <c r="AR14" s="79" t="str">
        <f t="shared" si="14"/>
        <v/>
      </c>
      <c r="AS14" s="79" t="str">
        <f t="shared" si="15"/>
        <v/>
      </c>
      <c r="AT14" s="79" t="str">
        <f t="shared" si="16"/>
        <v/>
      </c>
      <c r="AU14" s="79" t="str">
        <f t="shared" si="17"/>
        <v/>
      </c>
      <c r="AV14" s="79" t="str">
        <f t="shared" si="18"/>
        <v/>
      </c>
      <c r="AW14" s="79" t="str">
        <f t="shared" si="19"/>
        <v/>
      </c>
      <c r="AX14" s="79" t="str">
        <f t="shared" si="20"/>
        <v/>
      </c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 t="str">
        <f t="shared" si="21"/>
        <v/>
      </c>
      <c r="BU14" s="20" t="str">
        <f t="shared" si="22"/>
        <v/>
      </c>
      <c r="BV14" s="20" t="str">
        <f t="shared" si="23"/>
        <v/>
      </c>
      <c r="BW14" s="20" t="str">
        <f t="shared" si="24"/>
        <v/>
      </c>
      <c r="BX14" s="20" t="str">
        <f t="shared" si="25"/>
        <v/>
      </c>
      <c r="BY14" s="20" t="str">
        <f t="shared" si="26"/>
        <v/>
      </c>
      <c r="BZ14" s="20" t="str">
        <f t="shared" si="27"/>
        <v/>
      </c>
      <c r="CA14" s="20" t="str">
        <f t="shared" si="28"/>
        <v/>
      </c>
      <c r="CB14" s="27">
        <v>17.600000000000001</v>
      </c>
      <c r="CC14" s="27">
        <v>4.4000000000000004</v>
      </c>
      <c r="CD14" s="27">
        <v>0.2</v>
      </c>
      <c r="CE14" s="27">
        <v>0</v>
      </c>
      <c r="CF14" s="27">
        <v>18.399999999999999</v>
      </c>
      <c r="CG14" s="27">
        <v>3.6</v>
      </c>
      <c r="CH14" s="27">
        <v>0</v>
      </c>
      <c r="CI14" s="27">
        <v>0</v>
      </c>
      <c r="CJ14" s="27">
        <v>18.399999999999999</v>
      </c>
      <c r="CK14" s="27">
        <v>3.5</v>
      </c>
      <c r="CL14" s="27">
        <v>0.2</v>
      </c>
      <c r="CM14" s="27">
        <v>0</v>
      </c>
      <c r="CN14" s="27">
        <v>17.899999999999999</v>
      </c>
      <c r="CO14" s="27">
        <v>4.4000000000000004</v>
      </c>
      <c r="CP14" s="27">
        <v>0.6</v>
      </c>
      <c r="CQ14" s="27">
        <v>0</v>
      </c>
      <c r="CR14" s="27">
        <v>18.600000000000001</v>
      </c>
      <c r="CS14" s="27">
        <v>3.6</v>
      </c>
      <c r="CT14" s="27">
        <v>0</v>
      </c>
      <c r="CU14" s="27">
        <v>0</v>
      </c>
      <c r="CV14" s="45"/>
      <c r="CW14" s="79">
        <f t="shared" si="29"/>
        <v>8</v>
      </c>
      <c r="CX14" s="79">
        <f t="shared" si="30"/>
        <v>43.8</v>
      </c>
      <c r="CY14" s="79">
        <f t="shared" si="31"/>
        <v>21.7</v>
      </c>
      <c r="CZ14" s="79">
        <f t="shared" si="32"/>
        <v>11.5</v>
      </c>
      <c r="DA14" s="79">
        <f t="shared" si="33"/>
        <v>65.5</v>
      </c>
      <c r="DB14" s="79">
        <f t="shared" si="34"/>
        <v>8</v>
      </c>
      <c r="DC14" s="79">
        <f t="shared" si="35"/>
        <v>43.9</v>
      </c>
      <c r="DD14" s="79">
        <f t="shared" si="36"/>
        <v>87.699999999999989</v>
      </c>
      <c r="DE14" s="80" t="str">
        <f t="shared" si="37"/>
        <v/>
      </c>
      <c r="DF14" s="80"/>
      <c r="DG14" s="80" t="str">
        <f t="shared" si="38"/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 t="shared" si="39"/>
        <v/>
      </c>
      <c r="EC14" s="79" t="str">
        <f t="shared" si="40"/>
        <v/>
      </c>
      <c r="ED14" s="79" t="str">
        <f t="shared" si="41"/>
        <v/>
      </c>
      <c r="EE14" s="79" t="str">
        <f t="shared" si="42"/>
        <v/>
      </c>
      <c r="EF14" s="79" t="str">
        <f t="shared" si="43"/>
        <v/>
      </c>
      <c r="EG14" s="79" t="str">
        <f t="shared" si="44"/>
        <v/>
      </c>
      <c r="EH14" s="79" t="str">
        <f t="shared" si="45"/>
        <v/>
      </c>
      <c r="EI14" s="79" t="str">
        <f t="shared" si="46"/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 t="shared" si="47"/>
        <v/>
      </c>
      <c r="FE14" s="20" t="str">
        <f t="shared" si="48"/>
        <v/>
      </c>
      <c r="FF14" s="20" t="str">
        <f t="shared" si="49"/>
        <v/>
      </c>
      <c r="FG14" s="20" t="str">
        <f t="shared" si="50"/>
        <v/>
      </c>
      <c r="FH14" s="20" t="str">
        <f t="shared" si="51"/>
        <v/>
      </c>
      <c r="FI14" s="20" t="str">
        <f t="shared" si="52"/>
        <v/>
      </c>
      <c r="FJ14" s="20" t="str">
        <f t="shared" si="53"/>
        <v/>
      </c>
      <c r="FK14" s="20" t="str">
        <f t="shared" si="54"/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 t="shared" si="55"/>
        <v/>
      </c>
      <c r="GG14" s="79" t="str">
        <f t="shared" si="56"/>
        <v/>
      </c>
      <c r="GH14" s="79" t="str">
        <f t="shared" si="57"/>
        <v/>
      </c>
      <c r="GI14" s="79" t="str">
        <f t="shared" si="58"/>
        <v/>
      </c>
      <c r="GJ14" s="79" t="str">
        <f t="shared" si="59"/>
        <v/>
      </c>
      <c r="GK14" s="79" t="str">
        <f t="shared" si="60"/>
        <v/>
      </c>
      <c r="GL14" s="79" t="str">
        <f t="shared" si="61"/>
        <v/>
      </c>
      <c r="GM14" s="79" t="str">
        <f t="shared" si="62"/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 t="shared" si="63"/>
        <v/>
      </c>
      <c r="HI14" s="20" t="str">
        <f t="shared" si="64"/>
        <v/>
      </c>
      <c r="HJ14" s="20" t="str">
        <f t="shared" si="65"/>
        <v/>
      </c>
      <c r="HK14" s="20" t="str">
        <f t="shared" si="66"/>
        <v/>
      </c>
      <c r="HL14" s="20" t="str">
        <f t="shared" si="67"/>
        <v/>
      </c>
      <c r="HM14" s="20" t="str">
        <f t="shared" si="68"/>
        <v/>
      </c>
      <c r="HN14" s="20" t="str">
        <f t="shared" si="69"/>
        <v/>
      </c>
      <c r="HO14" s="20" t="str">
        <f t="shared" si="70"/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 t="shared" si="71"/>
        <v/>
      </c>
      <c r="IK14" s="79" t="str">
        <f t="shared" si="72"/>
        <v/>
      </c>
      <c r="IL14" s="79" t="str">
        <f t="shared" si="73"/>
        <v/>
      </c>
      <c r="IM14" s="79" t="str">
        <f t="shared" si="74"/>
        <v/>
      </c>
      <c r="IN14" s="79" t="str">
        <f t="shared" si="75"/>
        <v/>
      </c>
      <c r="IO14" s="79" t="str">
        <f t="shared" si="76"/>
        <v/>
      </c>
      <c r="IP14" s="79" t="str">
        <f t="shared" si="77"/>
        <v/>
      </c>
      <c r="IQ14" s="79" t="str">
        <f t="shared" si="78"/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 t="shared" si="79"/>
        <v/>
      </c>
      <c r="JM14" s="20" t="str">
        <f t="shared" si="80"/>
        <v/>
      </c>
      <c r="JN14" s="20" t="str">
        <f t="shared" si="81"/>
        <v/>
      </c>
      <c r="JO14" s="20" t="str">
        <f t="shared" si="82"/>
        <v/>
      </c>
      <c r="JP14" s="20" t="str">
        <f t="shared" si="83"/>
        <v/>
      </c>
      <c r="JQ14" s="20" t="str">
        <f t="shared" si="84"/>
        <v/>
      </c>
      <c r="JR14" s="20" t="str">
        <f t="shared" si="85"/>
        <v/>
      </c>
      <c r="JS14" s="20" t="str">
        <f t="shared" si="86"/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 t="shared" si="87"/>
        <v/>
      </c>
      <c r="KO14" s="79" t="str">
        <f t="shared" si="88"/>
        <v/>
      </c>
      <c r="KP14" s="79" t="str">
        <f t="shared" si="89"/>
        <v/>
      </c>
      <c r="KQ14" s="79" t="str">
        <f t="shared" si="90"/>
        <v/>
      </c>
      <c r="KR14" s="79" t="str">
        <f t="shared" si="91"/>
        <v/>
      </c>
      <c r="KS14" s="79" t="str">
        <f t="shared" si="92"/>
        <v/>
      </c>
      <c r="KT14" s="79" t="str">
        <f t="shared" si="93"/>
        <v/>
      </c>
      <c r="KU14" s="79" t="str">
        <f t="shared" si="94"/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 t="shared" si="95"/>
        <v/>
      </c>
      <c r="LQ14" s="20" t="str">
        <f t="shared" si="96"/>
        <v/>
      </c>
      <c r="LR14" s="20" t="str">
        <f t="shared" si="97"/>
        <v/>
      </c>
      <c r="LS14" s="20" t="str">
        <f t="shared" si="98"/>
        <v/>
      </c>
      <c r="LT14" s="20" t="str">
        <f t="shared" si="99"/>
        <v/>
      </c>
      <c r="LU14" s="20" t="str">
        <f t="shared" si="100"/>
        <v/>
      </c>
      <c r="LV14" s="20" t="str">
        <f t="shared" si="101"/>
        <v/>
      </c>
      <c r="LW14" s="20" t="str">
        <f t="shared" si="102"/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 t="shared" si="103"/>
        <v/>
      </c>
      <c r="MS14" s="79" t="str">
        <f t="shared" si="104"/>
        <v/>
      </c>
      <c r="MT14" s="79" t="str">
        <f t="shared" si="105"/>
        <v/>
      </c>
      <c r="MU14" s="79" t="str">
        <f t="shared" si="106"/>
        <v/>
      </c>
      <c r="MV14" s="79" t="str">
        <f t="shared" si="107"/>
        <v/>
      </c>
      <c r="MW14" s="79" t="str">
        <f t="shared" si="108"/>
        <v/>
      </c>
      <c r="MX14" s="79" t="str">
        <f t="shared" si="109"/>
        <v/>
      </c>
      <c r="MY14" s="79" t="str">
        <f t="shared" si="110"/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 t="shared" si="111"/>
        <v/>
      </c>
      <c r="NU14" s="20" t="str">
        <f t="shared" si="112"/>
        <v/>
      </c>
      <c r="NV14" s="20" t="str">
        <f t="shared" si="113"/>
        <v/>
      </c>
      <c r="NW14" s="20" t="str">
        <f t="shared" si="114"/>
        <v/>
      </c>
      <c r="NX14" s="20" t="str">
        <f t="shared" si="115"/>
        <v/>
      </c>
      <c r="NY14" s="20" t="str">
        <f t="shared" si="116"/>
        <v/>
      </c>
      <c r="NZ14" s="20" t="str">
        <f t="shared" si="117"/>
        <v/>
      </c>
      <c r="OA14" s="20" t="str">
        <f t="shared" si="118"/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 t="shared" si="119"/>
        <v/>
      </c>
      <c r="OW14" s="79" t="str">
        <f t="shared" si="120"/>
        <v/>
      </c>
      <c r="OX14" s="79" t="str">
        <f t="shared" si="121"/>
        <v/>
      </c>
      <c r="OY14" s="79" t="str">
        <f t="shared" si="122"/>
        <v/>
      </c>
      <c r="OZ14" s="79" t="str">
        <f t="shared" si="123"/>
        <v/>
      </c>
      <c r="PA14" s="79" t="str">
        <f t="shared" si="124"/>
        <v/>
      </c>
      <c r="PB14" s="79" t="str">
        <f t="shared" si="125"/>
        <v/>
      </c>
      <c r="PC14" s="79" t="str">
        <f t="shared" si="126"/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 t="shared" si="127"/>
        <v/>
      </c>
      <c r="PY14" s="20" t="str">
        <f t="shared" si="128"/>
        <v/>
      </c>
      <c r="PZ14" s="20" t="str">
        <f t="shared" si="129"/>
        <v/>
      </c>
      <c r="QA14" s="20" t="str">
        <f t="shared" si="130"/>
        <v/>
      </c>
      <c r="QB14" s="20" t="str">
        <f t="shared" si="131"/>
        <v/>
      </c>
      <c r="QC14" s="20" t="str">
        <f t="shared" si="132"/>
        <v/>
      </c>
      <c r="QD14" s="20" t="str">
        <f t="shared" si="133"/>
        <v/>
      </c>
      <c r="QE14" s="20" t="str">
        <f t="shared" si="134"/>
        <v/>
      </c>
      <c r="QF14" s="38">
        <f t="shared" si="135"/>
        <v>8.8000000000000007</v>
      </c>
      <c r="QG14" s="38">
        <f t="shared" si="136"/>
        <v>2.2000000000000002</v>
      </c>
      <c r="QH14" s="38">
        <f t="shared" si="137"/>
        <v>0.1</v>
      </c>
      <c r="QI14" s="38">
        <f t="shared" si="138"/>
        <v>0</v>
      </c>
      <c r="QJ14" s="38">
        <f t="shared" si="139"/>
        <v>9.1999999999999993</v>
      </c>
      <c r="QK14" s="38">
        <f t="shared" si="140"/>
        <v>1.8</v>
      </c>
      <c r="QL14" s="38">
        <f t="shared" si="141"/>
        <v>0</v>
      </c>
      <c r="QM14" s="38">
        <f t="shared" si="142"/>
        <v>0</v>
      </c>
      <c r="QN14" s="38">
        <f t="shared" si="143"/>
        <v>9.1999999999999993</v>
      </c>
      <c r="QO14" s="38">
        <f t="shared" si="144"/>
        <v>1.75</v>
      </c>
      <c r="QP14" s="38">
        <f t="shared" si="145"/>
        <v>0.1</v>
      </c>
      <c r="QQ14" s="38">
        <f t="shared" si="146"/>
        <v>0</v>
      </c>
      <c r="QR14" s="38">
        <f t="shared" si="147"/>
        <v>8.9499999999999993</v>
      </c>
      <c r="QS14" s="38">
        <f t="shared" si="148"/>
        <v>2.2000000000000002</v>
      </c>
      <c r="QT14" s="38">
        <f t="shared" si="149"/>
        <v>0.3</v>
      </c>
      <c r="QU14" s="38">
        <f t="shared" si="150"/>
        <v>0</v>
      </c>
      <c r="QV14" s="38">
        <f t="shared" si="151"/>
        <v>9.3000000000000007</v>
      </c>
      <c r="QW14" s="38">
        <f t="shared" si="152"/>
        <v>1.8</v>
      </c>
      <c r="QX14" s="38">
        <f t="shared" si="153"/>
        <v>0</v>
      </c>
      <c r="QY14" s="38">
        <f t="shared" si="154"/>
        <v>0</v>
      </c>
      <c r="QZ14" s="45" t="s">
        <v>46</v>
      </c>
      <c r="RA14" s="79">
        <f t="shared" si="155"/>
        <v>4</v>
      </c>
      <c r="RB14" s="79">
        <f t="shared" si="156"/>
        <v>21.9</v>
      </c>
      <c r="RC14" s="79">
        <f t="shared" si="157"/>
        <v>10.85</v>
      </c>
      <c r="RD14" s="79">
        <f t="shared" si="158"/>
        <v>5.75</v>
      </c>
      <c r="RE14" s="79">
        <f t="shared" si="159"/>
        <v>32.75</v>
      </c>
      <c r="RF14" s="79">
        <f t="shared" si="160"/>
        <v>4</v>
      </c>
      <c r="RG14" s="79">
        <f t="shared" si="161"/>
        <v>21.95</v>
      </c>
      <c r="RH14" s="79">
        <f t="shared" si="162"/>
        <v>43.849999999999994</v>
      </c>
    </row>
    <row r="15" spans="1:476" x14ac:dyDescent="0.2">
      <c r="A15" s="5" t="str">
        <f t="shared" si="163"/>
        <v/>
      </c>
      <c r="B15" s="78" t="s">
        <v>137</v>
      </c>
      <c r="C15" s="5" t="s">
        <v>4</v>
      </c>
      <c r="D15" s="5">
        <v>2005</v>
      </c>
      <c r="E15" s="15">
        <f t="shared" si="0"/>
        <v>107.40000622000424</v>
      </c>
      <c r="F15" s="3" t="str">
        <f t="shared" si="1"/>
        <v/>
      </c>
      <c r="G15" s="3" t="str">
        <f t="shared" si="2"/>
        <v/>
      </c>
      <c r="H15" s="67" t="str">
        <f t="shared" si="3"/>
        <v/>
      </c>
      <c r="I15" s="14">
        <f>IF(COUNT(AR15,BU15,CX15)&gt;0,LARGE((AR15,BU15,CX15),1),0)</f>
        <v>42.599999999999994</v>
      </c>
      <c r="J15" s="14" t="str">
        <f t="shared" si="4"/>
        <v>2022 Elite Canada</v>
      </c>
      <c r="K15" s="14">
        <f>IF(COUNT(AR15,BU15,CX15)&gt;1,LARGE((AR15,BU15,CX15),2),0)</f>
        <v>0</v>
      </c>
      <c r="L15" s="14" t="str">
        <f t="shared" si="5"/>
        <v/>
      </c>
      <c r="M15" s="14">
        <f>IF(COUNT(AS15,BV15,CY15)&gt;0,LARGE((AS15,BV15,CY15),1),0)</f>
        <v>19.599999999999998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45.199999999999996</v>
      </c>
      <c r="R15" s="14" t="str">
        <f t="shared" si="9"/>
        <v>2022 Elite Canada</v>
      </c>
      <c r="S15" s="14" t="str">
        <f t="shared" si="10"/>
        <v/>
      </c>
      <c r="T15" s="20" t="str">
        <f t="shared" si="11"/>
        <v/>
      </c>
      <c r="U15" s="14" t="str">
        <f t="shared" si="12"/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 t="shared" si="13"/>
        <v/>
      </c>
      <c r="AR15" s="79" t="str">
        <f t="shared" si="14"/>
        <v/>
      </c>
      <c r="AS15" s="79" t="str">
        <f t="shared" si="15"/>
        <v/>
      </c>
      <c r="AT15" s="79" t="str">
        <f t="shared" si="16"/>
        <v/>
      </c>
      <c r="AU15" s="79" t="str">
        <f t="shared" si="17"/>
        <v/>
      </c>
      <c r="AV15" s="79" t="str">
        <f t="shared" si="18"/>
        <v/>
      </c>
      <c r="AW15" s="79" t="str">
        <f t="shared" si="19"/>
        <v/>
      </c>
      <c r="AX15" s="79" t="str">
        <f t="shared" si="20"/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 t="shared" si="21"/>
        <v/>
      </c>
      <c r="BU15" s="20" t="str">
        <f t="shared" si="22"/>
        <v/>
      </c>
      <c r="BV15" s="20" t="str">
        <f t="shared" si="23"/>
        <v/>
      </c>
      <c r="BW15" s="20" t="str">
        <f t="shared" si="24"/>
        <v/>
      </c>
      <c r="BX15" s="20" t="str">
        <f t="shared" si="25"/>
        <v/>
      </c>
      <c r="BY15" s="20" t="str">
        <f t="shared" si="26"/>
        <v/>
      </c>
      <c r="BZ15" s="20" t="str">
        <f t="shared" si="27"/>
        <v/>
      </c>
      <c r="CA15" s="20" t="str">
        <f t="shared" si="28"/>
        <v/>
      </c>
      <c r="CB15" s="27">
        <v>18.899999999999999</v>
      </c>
      <c r="CC15" s="27">
        <v>3.5</v>
      </c>
      <c r="CD15" s="27">
        <v>0</v>
      </c>
      <c r="CE15" s="27">
        <v>0</v>
      </c>
      <c r="CF15" s="27">
        <v>16.2</v>
      </c>
      <c r="CG15" s="27">
        <v>4.8</v>
      </c>
      <c r="CH15" s="27">
        <v>0.8</v>
      </c>
      <c r="CI15" s="27">
        <v>0</v>
      </c>
      <c r="CJ15" s="27">
        <v>17.2</v>
      </c>
      <c r="CK15" s="27">
        <v>2.4</v>
      </c>
      <c r="CL15" s="27">
        <v>0</v>
      </c>
      <c r="CM15" s="27">
        <v>0</v>
      </c>
      <c r="CN15" s="27">
        <v>19.2</v>
      </c>
      <c r="CO15" s="27">
        <v>3.5</v>
      </c>
      <c r="CP15" s="27">
        <v>0.2</v>
      </c>
      <c r="CQ15" s="27">
        <v>0</v>
      </c>
      <c r="CR15" s="27">
        <v>18.100000000000001</v>
      </c>
      <c r="CS15" s="27">
        <v>4.8</v>
      </c>
      <c r="CT15" s="27">
        <v>0.2</v>
      </c>
      <c r="CU15" s="27">
        <v>0</v>
      </c>
      <c r="CV15" s="45"/>
      <c r="CW15" s="79">
        <f t="shared" si="29"/>
        <v>8.3000000000000007</v>
      </c>
      <c r="CX15" s="79">
        <f t="shared" si="30"/>
        <v>42.599999999999994</v>
      </c>
      <c r="CY15" s="79">
        <f t="shared" si="31"/>
        <v>19.599999999999998</v>
      </c>
      <c r="CZ15" s="79">
        <f t="shared" si="32"/>
        <v>10.700000000000001</v>
      </c>
      <c r="DA15" s="79">
        <f t="shared" si="33"/>
        <v>62.199999999999989</v>
      </c>
      <c r="DB15" s="79">
        <f t="shared" si="34"/>
        <v>8.3000000000000007</v>
      </c>
      <c r="DC15" s="79">
        <f t="shared" si="35"/>
        <v>45.199999999999996</v>
      </c>
      <c r="DD15" s="79">
        <f t="shared" si="36"/>
        <v>87.799999999999983</v>
      </c>
      <c r="DE15" s="80" t="str">
        <f t="shared" si="37"/>
        <v/>
      </c>
      <c r="DF15" s="80"/>
      <c r="DG15" s="80" t="str">
        <f t="shared" si="38"/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 t="shared" si="39"/>
        <v/>
      </c>
      <c r="EC15" s="79" t="str">
        <f t="shared" si="40"/>
        <v/>
      </c>
      <c r="ED15" s="79" t="str">
        <f t="shared" si="41"/>
        <v/>
      </c>
      <c r="EE15" s="79" t="str">
        <f t="shared" si="42"/>
        <v/>
      </c>
      <c r="EF15" s="79" t="str">
        <f t="shared" si="43"/>
        <v/>
      </c>
      <c r="EG15" s="79" t="str">
        <f t="shared" si="44"/>
        <v/>
      </c>
      <c r="EH15" s="79" t="str">
        <f t="shared" si="45"/>
        <v/>
      </c>
      <c r="EI15" s="79" t="str">
        <f t="shared" si="46"/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 t="shared" si="47"/>
        <v/>
      </c>
      <c r="FE15" s="20" t="str">
        <f t="shared" si="48"/>
        <v/>
      </c>
      <c r="FF15" s="20" t="str">
        <f t="shared" si="49"/>
        <v/>
      </c>
      <c r="FG15" s="20" t="str">
        <f t="shared" si="50"/>
        <v/>
      </c>
      <c r="FH15" s="20" t="str">
        <f t="shared" si="51"/>
        <v/>
      </c>
      <c r="FI15" s="20" t="str">
        <f t="shared" si="52"/>
        <v/>
      </c>
      <c r="FJ15" s="20" t="str">
        <f t="shared" si="53"/>
        <v/>
      </c>
      <c r="FK15" s="20" t="str">
        <f t="shared" si="54"/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 t="shared" si="55"/>
        <v/>
      </c>
      <c r="GG15" s="79" t="str">
        <f t="shared" si="56"/>
        <v/>
      </c>
      <c r="GH15" s="79" t="str">
        <f t="shared" si="57"/>
        <v/>
      </c>
      <c r="GI15" s="79" t="str">
        <f t="shared" si="58"/>
        <v/>
      </c>
      <c r="GJ15" s="79" t="str">
        <f t="shared" si="59"/>
        <v/>
      </c>
      <c r="GK15" s="79" t="str">
        <f t="shared" si="60"/>
        <v/>
      </c>
      <c r="GL15" s="79" t="str">
        <f t="shared" si="61"/>
        <v/>
      </c>
      <c r="GM15" s="79" t="str">
        <f t="shared" si="62"/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 t="shared" si="63"/>
        <v/>
      </c>
      <c r="HI15" s="20" t="str">
        <f t="shared" si="64"/>
        <v/>
      </c>
      <c r="HJ15" s="20" t="str">
        <f t="shared" si="65"/>
        <v/>
      </c>
      <c r="HK15" s="20" t="str">
        <f t="shared" si="66"/>
        <v/>
      </c>
      <c r="HL15" s="20" t="str">
        <f t="shared" si="67"/>
        <v/>
      </c>
      <c r="HM15" s="20" t="str">
        <f t="shared" si="68"/>
        <v/>
      </c>
      <c r="HN15" s="20" t="str">
        <f t="shared" si="69"/>
        <v/>
      </c>
      <c r="HO15" s="20" t="str">
        <f t="shared" si="70"/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 t="shared" si="71"/>
        <v/>
      </c>
      <c r="IK15" s="79" t="str">
        <f t="shared" si="72"/>
        <v/>
      </c>
      <c r="IL15" s="79" t="str">
        <f t="shared" si="73"/>
        <v/>
      </c>
      <c r="IM15" s="79" t="str">
        <f t="shared" si="74"/>
        <v/>
      </c>
      <c r="IN15" s="79" t="str">
        <f t="shared" si="75"/>
        <v/>
      </c>
      <c r="IO15" s="79" t="str">
        <f t="shared" si="76"/>
        <v/>
      </c>
      <c r="IP15" s="79" t="str">
        <f t="shared" si="77"/>
        <v/>
      </c>
      <c r="IQ15" s="79" t="str">
        <f t="shared" si="78"/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 t="shared" si="79"/>
        <v/>
      </c>
      <c r="JM15" s="20" t="str">
        <f t="shared" si="80"/>
        <v/>
      </c>
      <c r="JN15" s="20" t="str">
        <f t="shared" si="81"/>
        <v/>
      </c>
      <c r="JO15" s="20" t="str">
        <f t="shared" si="82"/>
        <v/>
      </c>
      <c r="JP15" s="20" t="str">
        <f t="shared" si="83"/>
        <v/>
      </c>
      <c r="JQ15" s="20" t="str">
        <f t="shared" si="84"/>
        <v/>
      </c>
      <c r="JR15" s="20" t="str">
        <f t="shared" si="85"/>
        <v/>
      </c>
      <c r="JS15" s="20" t="str">
        <f t="shared" si="86"/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 t="shared" si="87"/>
        <v/>
      </c>
      <c r="KO15" s="79" t="str">
        <f t="shared" si="88"/>
        <v/>
      </c>
      <c r="KP15" s="79" t="str">
        <f t="shared" si="89"/>
        <v/>
      </c>
      <c r="KQ15" s="79" t="str">
        <f t="shared" si="90"/>
        <v/>
      </c>
      <c r="KR15" s="79" t="str">
        <f t="shared" si="91"/>
        <v/>
      </c>
      <c r="KS15" s="79" t="str">
        <f t="shared" si="92"/>
        <v/>
      </c>
      <c r="KT15" s="79" t="str">
        <f t="shared" si="93"/>
        <v/>
      </c>
      <c r="KU15" s="79" t="str">
        <f t="shared" si="94"/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 t="shared" si="95"/>
        <v/>
      </c>
      <c r="LQ15" s="20" t="str">
        <f t="shared" si="96"/>
        <v/>
      </c>
      <c r="LR15" s="20" t="str">
        <f t="shared" si="97"/>
        <v/>
      </c>
      <c r="LS15" s="20" t="str">
        <f t="shared" si="98"/>
        <v/>
      </c>
      <c r="LT15" s="20" t="str">
        <f t="shared" si="99"/>
        <v/>
      </c>
      <c r="LU15" s="20" t="str">
        <f t="shared" si="100"/>
        <v/>
      </c>
      <c r="LV15" s="20" t="str">
        <f t="shared" si="101"/>
        <v/>
      </c>
      <c r="LW15" s="20" t="str">
        <f t="shared" si="102"/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 t="shared" si="103"/>
        <v/>
      </c>
      <c r="MS15" s="79" t="str">
        <f t="shared" si="104"/>
        <v/>
      </c>
      <c r="MT15" s="79" t="str">
        <f t="shared" si="105"/>
        <v/>
      </c>
      <c r="MU15" s="79" t="str">
        <f t="shared" si="106"/>
        <v/>
      </c>
      <c r="MV15" s="79" t="str">
        <f t="shared" si="107"/>
        <v/>
      </c>
      <c r="MW15" s="79" t="str">
        <f t="shared" si="108"/>
        <v/>
      </c>
      <c r="MX15" s="79" t="str">
        <f t="shared" si="109"/>
        <v/>
      </c>
      <c r="MY15" s="79" t="str">
        <f t="shared" si="110"/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 t="shared" si="111"/>
        <v/>
      </c>
      <c r="NU15" s="20" t="str">
        <f t="shared" si="112"/>
        <v/>
      </c>
      <c r="NV15" s="20" t="str">
        <f t="shared" si="113"/>
        <v/>
      </c>
      <c r="NW15" s="20" t="str">
        <f t="shared" si="114"/>
        <v/>
      </c>
      <c r="NX15" s="20" t="str">
        <f t="shared" si="115"/>
        <v/>
      </c>
      <c r="NY15" s="20" t="str">
        <f t="shared" si="116"/>
        <v/>
      </c>
      <c r="NZ15" s="20" t="str">
        <f t="shared" si="117"/>
        <v/>
      </c>
      <c r="OA15" s="20" t="str">
        <f t="shared" si="118"/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 t="shared" si="119"/>
        <v/>
      </c>
      <c r="OW15" s="79" t="str">
        <f t="shared" si="120"/>
        <v/>
      </c>
      <c r="OX15" s="79" t="str">
        <f t="shared" si="121"/>
        <v/>
      </c>
      <c r="OY15" s="79" t="str">
        <f t="shared" si="122"/>
        <v/>
      </c>
      <c r="OZ15" s="79" t="str">
        <f t="shared" si="123"/>
        <v/>
      </c>
      <c r="PA15" s="79" t="str">
        <f t="shared" si="124"/>
        <v/>
      </c>
      <c r="PB15" s="79" t="str">
        <f t="shared" si="125"/>
        <v/>
      </c>
      <c r="PC15" s="79" t="str">
        <f t="shared" si="126"/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 t="shared" si="127"/>
        <v/>
      </c>
      <c r="PY15" s="20" t="str">
        <f t="shared" si="128"/>
        <v/>
      </c>
      <c r="PZ15" s="20" t="str">
        <f t="shared" si="129"/>
        <v/>
      </c>
      <c r="QA15" s="20" t="str">
        <f t="shared" si="130"/>
        <v/>
      </c>
      <c r="QB15" s="20" t="str">
        <f t="shared" si="131"/>
        <v/>
      </c>
      <c r="QC15" s="20" t="str">
        <f t="shared" si="132"/>
        <v/>
      </c>
      <c r="QD15" s="20" t="str">
        <f t="shared" si="133"/>
        <v/>
      </c>
      <c r="QE15" s="20" t="str">
        <f t="shared" si="134"/>
        <v/>
      </c>
      <c r="QF15" s="38">
        <f t="shared" si="135"/>
        <v>9.4499999999999993</v>
      </c>
      <c r="QG15" s="38">
        <f t="shared" si="136"/>
        <v>1.75</v>
      </c>
      <c r="QH15" s="38">
        <f t="shared" si="137"/>
        <v>0</v>
      </c>
      <c r="QI15" s="38">
        <f t="shared" si="138"/>
        <v>0</v>
      </c>
      <c r="QJ15" s="38">
        <f t="shared" si="139"/>
        <v>8.1</v>
      </c>
      <c r="QK15" s="38">
        <f t="shared" si="140"/>
        <v>2.4</v>
      </c>
      <c r="QL15" s="38">
        <f t="shared" si="141"/>
        <v>0.4</v>
      </c>
      <c r="QM15" s="38">
        <f t="shared" si="142"/>
        <v>0</v>
      </c>
      <c r="QN15" s="38">
        <f t="shared" si="143"/>
        <v>8.6</v>
      </c>
      <c r="QO15" s="38">
        <f t="shared" si="144"/>
        <v>1.2</v>
      </c>
      <c r="QP15" s="38">
        <f t="shared" si="145"/>
        <v>0</v>
      </c>
      <c r="QQ15" s="38">
        <f t="shared" si="146"/>
        <v>0</v>
      </c>
      <c r="QR15" s="38">
        <f t="shared" si="147"/>
        <v>9.6</v>
      </c>
      <c r="QS15" s="38">
        <f t="shared" si="148"/>
        <v>1.75</v>
      </c>
      <c r="QT15" s="38">
        <f t="shared" si="149"/>
        <v>0.1</v>
      </c>
      <c r="QU15" s="38">
        <f t="shared" si="150"/>
        <v>0</v>
      </c>
      <c r="QV15" s="38">
        <f t="shared" si="151"/>
        <v>9.0500000000000007</v>
      </c>
      <c r="QW15" s="38">
        <f t="shared" si="152"/>
        <v>2.4</v>
      </c>
      <c r="QX15" s="38">
        <f t="shared" si="153"/>
        <v>0.1</v>
      </c>
      <c r="QY15" s="38">
        <f t="shared" si="154"/>
        <v>0</v>
      </c>
      <c r="QZ15" s="45" t="s">
        <v>46</v>
      </c>
      <c r="RA15" s="79">
        <f t="shared" si="155"/>
        <v>4.1500000000000004</v>
      </c>
      <c r="RB15" s="79">
        <f t="shared" si="156"/>
        <v>21.299999999999997</v>
      </c>
      <c r="RC15" s="79">
        <f t="shared" si="157"/>
        <v>9.7999999999999989</v>
      </c>
      <c r="RD15" s="79">
        <f t="shared" si="158"/>
        <v>5.3500000000000005</v>
      </c>
      <c r="RE15" s="79">
        <f t="shared" si="159"/>
        <v>31.099999999999994</v>
      </c>
      <c r="RF15" s="79">
        <f t="shared" si="160"/>
        <v>4.1500000000000004</v>
      </c>
      <c r="RG15" s="79">
        <f t="shared" si="161"/>
        <v>22.599999999999998</v>
      </c>
      <c r="RH15" s="79">
        <f t="shared" si="162"/>
        <v>43.899999999999991</v>
      </c>
    </row>
    <row r="16" spans="1:476" x14ac:dyDescent="0.2">
      <c r="A16" s="5" t="str">
        <f t="shared" si="163"/>
        <v/>
      </c>
      <c r="B16" s="78" t="s">
        <v>142</v>
      </c>
      <c r="C16" s="5" t="s">
        <v>81</v>
      </c>
      <c r="D16" s="5"/>
      <c r="E16" s="15">
        <f t="shared" si="0"/>
        <v>106.90000621000411</v>
      </c>
      <c r="F16" s="3" t="str">
        <f t="shared" si="1"/>
        <v/>
      </c>
      <c r="G16" s="3" t="str">
        <f t="shared" si="2"/>
        <v/>
      </c>
      <c r="H16" s="67" t="str">
        <f t="shared" si="3"/>
        <v/>
      </c>
      <c r="I16" s="14">
        <f>IF(COUNT(AR16,BU16,CX16)&gt;0,LARGE((AR16,BU16,CX16),1),0)</f>
        <v>41.100000000000009</v>
      </c>
      <c r="J16" s="14" t="str">
        <f t="shared" si="4"/>
        <v>2022 Elite Canada</v>
      </c>
      <c r="K16" s="14">
        <f>IF(COUNT(AR16,BU16,CX16)&gt;1,LARGE((AR16,BU16,CX16),2),0)</f>
        <v>0</v>
      </c>
      <c r="L16" s="14" t="str">
        <f t="shared" si="5"/>
        <v/>
      </c>
      <c r="M16" s="14">
        <f>IF(COUNT(AS16,BV16,CY16)&gt;0,LARGE((AS16,BV16,CY16),1),0)</f>
        <v>21</v>
      </c>
      <c r="N16" s="14" t="str">
        <f t="shared" si="6"/>
        <v>2022 Elite Canada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44.8</v>
      </c>
      <c r="R16" s="14" t="str">
        <f t="shared" si="9"/>
        <v>2022 Elite Canada</v>
      </c>
      <c r="S16" s="14" t="str">
        <f t="shared" si="10"/>
        <v/>
      </c>
      <c r="T16" s="20" t="str">
        <f t="shared" si="11"/>
        <v/>
      </c>
      <c r="U16" s="14" t="str">
        <f t="shared" si="12"/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 t="shared" si="13"/>
        <v/>
      </c>
      <c r="AR16" s="79" t="str">
        <f t="shared" si="14"/>
        <v/>
      </c>
      <c r="AS16" s="79" t="str">
        <f t="shared" si="15"/>
        <v/>
      </c>
      <c r="AT16" s="79" t="str">
        <f t="shared" si="16"/>
        <v/>
      </c>
      <c r="AU16" s="79" t="str">
        <f t="shared" si="17"/>
        <v/>
      </c>
      <c r="AV16" s="79" t="str">
        <f t="shared" si="18"/>
        <v/>
      </c>
      <c r="AW16" s="79" t="str">
        <f t="shared" si="19"/>
        <v/>
      </c>
      <c r="AX16" s="79" t="str">
        <f t="shared" si="20"/>
        <v/>
      </c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 t="str">
        <f t="shared" si="21"/>
        <v/>
      </c>
      <c r="BU16" s="20" t="str">
        <f t="shared" si="22"/>
        <v/>
      </c>
      <c r="BV16" s="20" t="str">
        <f t="shared" si="23"/>
        <v/>
      </c>
      <c r="BW16" s="20" t="str">
        <f t="shared" si="24"/>
        <v/>
      </c>
      <c r="BX16" s="20" t="str">
        <f t="shared" si="25"/>
        <v/>
      </c>
      <c r="BY16" s="20" t="str">
        <f t="shared" si="26"/>
        <v/>
      </c>
      <c r="BZ16" s="20" t="str">
        <f t="shared" si="27"/>
        <v/>
      </c>
      <c r="CA16" s="20" t="str">
        <f t="shared" si="28"/>
        <v/>
      </c>
      <c r="CB16" s="27">
        <v>18.2</v>
      </c>
      <c r="CC16" s="27">
        <v>3.6</v>
      </c>
      <c r="CD16" s="27">
        <v>0.8</v>
      </c>
      <c r="CE16" s="27">
        <v>0</v>
      </c>
      <c r="CF16" s="27">
        <v>16.600000000000001</v>
      </c>
      <c r="CG16" s="27">
        <v>3.5</v>
      </c>
      <c r="CH16" s="27">
        <v>0</v>
      </c>
      <c r="CI16" s="27">
        <v>0</v>
      </c>
      <c r="CJ16" s="27">
        <v>17.600000000000001</v>
      </c>
      <c r="CK16" s="27">
        <v>4.4000000000000004</v>
      </c>
      <c r="CL16" s="27">
        <v>1</v>
      </c>
      <c r="CM16" s="27">
        <v>0</v>
      </c>
      <c r="CN16" s="27">
        <v>18.899999999999999</v>
      </c>
      <c r="CO16" s="27">
        <v>3.5</v>
      </c>
      <c r="CP16" s="27">
        <v>0.2</v>
      </c>
      <c r="CQ16" s="27">
        <v>0</v>
      </c>
      <c r="CR16" s="27">
        <v>18.399999999999999</v>
      </c>
      <c r="CS16" s="27">
        <v>4.4000000000000004</v>
      </c>
      <c r="CT16" s="27">
        <v>0.2</v>
      </c>
      <c r="CU16" s="27">
        <v>0</v>
      </c>
      <c r="CV16" s="45"/>
      <c r="CW16" s="79">
        <f t="shared" si="29"/>
        <v>7.1</v>
      </c>
      <c r="CX16" s="79">
        <f t="shared" si="30"/>
        <v>41.100000000000009</v>
      </c>
      <c r="CY16" s="79">
        <f t="shared" si="31"/>
        <v>21</v>
      </c>
      <c r="CZ16" s="79">
        <f t="shared" si="32"/>
        <v>11.5</v>
      </c>
      <c r="DA16" s="79">
        <f t="shared" si="33"/>
        <v>62.100000000000009</v>
      </c>
      <c r="DB16" s="79">
        <f t="shared" si="34"/>
        <v>7.9</v>
      </c>
      <c r="DC16" s="79">
        <f t="shared" si="35"/>
        <v>44.8</v>
      </c>
      <c r="DD16" s="79">
        <f t="shared" si="36"/>
        <v>85.9</v>
      </c>
      <c r="DE16" s="80" t="str">
        <f t="shared" si="37"/>
        <v/>
      </c>
      <c r="DF16" s="80"/>
      <c r="DG16" s="80" t="str">
        <f t="shared" si="38"/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 t="shared" si="39"/>
        <v/>
      </c>
      <c r="EC16" s="79" t="str">
        <f t="shared" si="40"/>
        <v/>
      </c>
      <c r="ED16" s="79" t="str">
        <f t="shared" si="41"/>
        <v/>
      </c>
      <c r="EE16" s="79" t="str">
        <f t="shared" si="42"/>
        <v/>
      </c>
      <c r="EF16" s="79" t="str">
        <f t="shared" si="43"/>
        <v/>
      </c>
      <c r="EG16" s="79" t="str">
        <f t="shared" si="44"/>
        <v/>
      </c>
      <c r="EH16" s="79" t="str">
        <f t="shared" si="45"/>
        <v/>
      </c>
      <c r="EI16" s="79" t="str">
        <f t="shared" si="46"/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 t="shared" si="47"/>
        <v/>
      </c>
      <c r="FE16" s="20" t="str">
        <f t="shared" si="48"/>
        <v/>
      </c>
      <c r="FF16" s="20" t="str">
        <f t="shared" si="49"/>
        <v/>
      </c>
      <c r="FG16" s="20" t="str">
        <f t="shared" si="50"/>
        <v/>
      </c>
      <c r="FH16" s="20" t="str">
        <f t="shared" si="51"/>
        <v/>
      </c>
      <c r="FI16" s="20" t="str">
        <f t="shared" si="52"/>
        <v/>
      </c>
      <c r="FJ16" s="20" t="str">
        <f t="shared" si="53"/>
        <v/>
      </c>
      <c r="FK16" s="20" t="str">
        <f t="shared" si="54"/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 t="shared" si="55"/>
        <v/>
      </c>
      <c r="GG16" s="79" t="str">
        <f t="shared" si="56"/>
        <v/>
      </c>
      <c r="GH16" s="79" t="str">
        <f t="shared" si="57"/>
        <v/>
      </c>
      <c r="GI16" s="79" t="str">
        <f t="shared" si="58"/>
        <v/>
      </c>
      <c r="GJ16" s="79" t="str">
        <f t="shared" si="59"/>
        <v/>
      </c>
      <c r="GK16" s="79" t="str">
        <f t="shared" si="60"/>
        <v/>
      </c>
      <c r="GL16" s="79" t="str">
        <f t="shared" si="61"/>
        <v/>
      </c>
      <c r="GM16" s="79" t="str">
        <f t="shared" si="62"/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 t="shared" si="63"/>
        <v/>
      </c>
      <c r="HI16" s="20" t="str">
        <f t="shared" si="64"/>
        <v/>
      </c>
      <c r="HJ16" s="20" t="str">
        <f t="shared" si="65"/>
        <v/>
      </c>
      <c r="HK16" s="20" t="str">
        <f t="shared" si="66"/>
        <v/>
      </c>
      <c r="HL16" s="20" t="str">
        <f t="shared" si="67"/>
        <v/>
      </c>
      <c r="HM16" s="20" t="str">
        <f t="shared" si="68"/>
        <v/>
      </c>
      <c r="HN16" s="20" t="str">
        <f t="shared" si="69"/>
        <v/>
      </c>
      <c r="HO16" s="20" t="str">
        <f t="shared" si="70"/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 t="shared" si="71"/>
        <v/>
      </c>
      <c r="IK16" s="79" t="str">
        <f t="shared" si="72"/>
        <v/>
      </c>
      <c r="IL16" s="79" t="str">
        <f t="shared" si="73"/>
        <v/>
      </c>
      <c r="IM16" s="79" t="str">
        <f t="shared" si="74"/>
        <v/>
      </c>
      <c r="IN16" s="79" t="str">
        <f t="shared" si="75"/>
        <v/>
      </c>
      <c r="IO16" s="79" t="str">
        <f t="shared" si="76"/>
        <v/>
      </c>
      <c r="IP16" s="79" t="str">
        <f t="shared" si="77"/>
        <v/>
      </c>
      <c r="IQ16" s="79" t="str">
        <f t="shared" si="78"/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 t="shared" si="79"/>
        <v/>
      </c>
      <c r="JM16" s="20" t="str">
        <f t="shared" si="80"/>
        <v/>
      </c>
      <c r="JN16" s="20" t="str">
        <f t="shared" si="81"/>
        <v/>
      </c>
      <c r="JO16" s="20" t="str">
        <f t="shared" si="82"/>
        <v/>
      </c>
      <c r="JP16" s="20" t="str">
        <f t="shared" si="83"/>
        <v/>
      </c>
      <c r="JQ16" s="20" t="str">
        <f t="shared" si="84"/>
        <v/>
      </c>
      <c r="JR16" s="20" t="str">
        <f t="shared" si="85"/>
        <v/>
      </c>
      <c r="JS16" s="20" t="str">
        <f t="shared" si="86"/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 t="shared" si="87"/>
        <v/>
      </c>
      <c r="KO16" s="79" t="str">
        <f t="shared" si="88"/>
        <v/>
      </c>
      <c r="KP16" s="79" t="str">
        <f t="shared" si="89"/>
        <v/>
      </c>
      <c r="KQ16" s="79" t="str">
        <f t="shared" si="90"/>
        <v/>
      </c>
      <c r="KR16" s="79" t="str">
        <f t="shared" si="91"/>
        <v/>
      </c>
      <c r="KS16" s="79" t="str">
        <f t="shared" si="92"/>
        <v/>
      </c>
      <c r="KT16" s="79" t="str">
        <f t="shared" si="93"/>
        <v/>
      </c>
      <c r="KU16" s="79" t="str">
        <f t="shared" si="94"/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 t="shared" si="95"/>
        <v/>
      </c>
      <c r="LQ16" s="20" t="str">
        <f t="shared" si="96"/>
        <v/>
      </c>
      <c r="LR16" s="20" t="str">
        <f t="shared" si="97"/>
        <v/>
      </c>
      <c r="LS16" s="20" t="str">
        <f t="shared" si="98"/>
        <v/>
      </c>
      <c r="LT16" s="20" t="str">
        <f t="shared" si="99"/>
        <v/>
      </c>
      <c r="LU16" s="20" t="str">
        <f t="shared" si="100"/>
        <v/>
      </c>
      <c r="LV16" s="20" t="str">
        <f t="shared" si="101"/>
        <v/>
      </c>
      <c r="LW16" s="20" t="str">
        <f t="shared" si="102"/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 t="shared" si="103"/>
        <v/>
      </c>
      <c r="MS16" s="79" t="str">
        <f t="shared" si="104"/>
        <v/>
      </c>
      <c r="MT16" s="79" t="str">
        <f t="shared" si="105"/>
        <v/>
      </c>
      <c r="MU16" s="79" t="str">
        <f t="shared" si="106"/>
        <v/>
      </c>
      <c r="MV16" s="79" t="str">
        <f t="shared" si="107"/>
        <v/>
      </c>
      <c r="MW16" s="79" t="str">
        <f t="shared" si="108"/>
        <v/>
      </c>
      <c r="MX16" s="79" t="str">
        <f t="shared" si="109"/>
        <v/>
      </c>
      <c r="MY16" s="79" t="str">
        <f t="shared" si="110"/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 t="shared" si="111"/>
        <v/>
      </c>
      <c r="NU16" s="20" t="str">
        <f t="shared" si="112"/>
        <v/>
      </c>
      <c r="NV16" s="20" t="str">
        <f t="shared" si="113"/>
        <v/>
      </c>
      <c r="NW16" s="20" t="str">
        <f t="shared" si="114"/>
        <v/>
      </c>
      <c r="NX16" s="20" t="str">
        <f t="shared" si="115"/>
        <v/>
      </c>
      <c r="NY16" s="20" t="str">
        <f t="shared" si="116"/>
        <v/>
      </c>
      <c r="NZ16" s="20" t="str">
        <f t="shared" si="117"/>
        <v/>
      </c>
      <c r="OA16" s="20" t="str">
        <f t="shared" si="118"/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 t="shared" si="119"/>
        <v/>
      </c>
      <c r="OW16" s="79" t="str">
        <f t="shared" si="120"/>
        <v/>
      </c>
      <c r="OX16" s="79" t="str">
        <f t="shared" si="121"/>
        <v/>
      </c>
      <c r="OY16" s="79" t="str">
        <f t="shared" si="122"/>
        <v/>
      </c>
      <c r="OZ16" s="79" t="str">
        <f t="shared" si="123"/>
        <v/>
      </c>
      <c r="PA16" s="79" t="str">
        <f t="shared" si="124"/>
        <v/>
      </c>
      <c r="PB16" s="79" t="str">
        <f t="shared" si="125"/>
        <v/>
      </c>
      <c r="PC16" s="79" t="str">
        <f t="shared" si="126"/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 t="shared" si="127"/>
        <v/>
      </c>
      <c r="PY16" s="20" t="str">
        <f t="shared" si="128"/>
        <v/>
      </c>
      <c r="PZ16" s="20" t="str">
        <f t="shared" si="129"/>
        <v/>
      </c>
      <c r="QA16" s="20" t="str">
        <f t="shared" si="130"/>
        <v/>
      </c>
      <c r="QB16" s="20" t="str">
        <f t="shared" si="131"/>
        <v/>
      </c>
      <c r="QC16" s="20" t="str">
        <f t="shared" si="132"/>
        <v/>
      </c>
      <c r="QD16" s="20" t="str">
        <f t="shared" si="133"/>
        <v/>
      </c>
      <c r="QE16" s="20" t="str">
        <f t="shared" si="134"/>
        <v/>
      </c>
      <c r="QF16" s="38">
        <f t="shared" si="135"/>
        <v>9.1</v>
      </c>
      <c r="QG16" s="38">
        <f t="shared" si="136"/>
        <v>1.8</v>
      </c>
      <c r="QH16" s="38">
        <f t="shared" si="137"/>
        <v>0.4</v>
      </c>
      <c r="QI16" s="38">
        <f t="shared" si="138"/>
        <v>0</v>
      </c>
      <c r="QJ16" s="38">
        <f t="shared" si="139"/>
        <v>8.3000000000000007</v>
      </c>
      <c r="QK16" s="38">
        <f t="shared" si="140"/>
        <v>1.75</v>
      </c>
      <c r="QL16" s="38">
        <f t="shared" si="141"/>
        <v>0</v>
      </c>
      <c r="QM16" s="38">
        <f t="shared" si="142"/>
        <v>0</v>
      </c>
      <c r="QN16" s="38">
        <f t="shared" si="143"/>
        <v>8.8000000000000007</v>
      </c>
      <c r="QO16" s="38">
        <f t="shared" si="144"/>
        <v>2.2000000000000002</v>
      </c>
      <c r="QP16" s="38">
        <f t="shared" si="145"/>
        <v>0.5</v>
      </c>
      <c r="QQ16" s="38">
        <f t="shared" si="146"/>
        <v>0</v>
      </c>
      <c r="QR16" s="38">
        <f t="shared" si="147"/>
        <v>9.4499999999999993</v>
      </c>
      <c r="QS16" s="38">
        <f t="shared" si="148"/>
        <v>1.75</v>
      </c>
      <c r="QT16" s="38">
        <f t="shared" si="149"/>
        <v>0.1</v>
      </c>
      <c r="QU16" s="38">
        <f t="shared" si="150"/>
        <v>0</v>
      </c>
      <c r="QV16" s="38">
        <f t="shared" si="151"/>
        <v>9.1999999999999993</v>
      </c>
      <c r="QW16" s="38">
        <f t="shared" si="152"/>
        <v>2.2000000000000002</v>
      </c>
      <c r="QX16" s="38">
        <f t="shared" si="153"/>
        <v>0.1</v>
      </c>
      <c r="QY16" s="38">
        <f t="shared" si="154"/>
        <v>0</v>
      </c>
      <c r="QZ16" s="45" t="s">
        <v>46</v>
      </c>
      <c r="RA16" s="79">
        <f t="shared" si="155"/>
        <v>3.55</v>
      </c>
      <c r="RB16" s="79">
        <f t="shared" si="156"/>
        <v>20.550000000000004</v>
      </c>
      <c r="RC16" s="79">
        <f t="shared" si="157"/>
        <v>10.5</v>
      </c>
      <c r="RD16" s="79">
        <f t="shared" si="158"/>
        <v>5.75</v>
      </c>
      <c r="RE16" s="79">
        <f t="shared" si="159"/>
        <v>31.050000000000004</v>
      </c>
      <c r="RF16" s="79">
        <f t="shared" si="160"/>
        <v>3.95</v>
      </c>
      <c r="RG16" s="79">
        <f t="shared" si="161"/>
        <v>22.4</v>
      </c>
      <c r="RH16" s="79">
        <f t="shared" si="162"/>
        <v>42.95</v>
      </c>
    </row>
    <row r="17" spans="1:476" x14ac:dyDescent="0.2">
      <c r="A17" s="5" t="str">
        <f t="shared" si="163"/>
        <v/>
      </c>
      <c r="B17" s="78" t="s">
        <v>92</v>
      </c>
      <c r="C17" s="5" t="s">
        <v>5</v>
      </c>
      <c r="D17" s="5">
        <v>2001</v>
      </c>
      <c r="E17" s="15">
        <f t="shared" si="0"/>
        <v>106.70000650000429</v>
      </c>
      <c r="F17" s="3" t="str">
        <f t="shared" si="1"/>
        <v/>
      </c>
      <c r="G17" s="3" t="str">
        <f t="shared" si="2"/>
        <v/>
      </c>
      <c r="H17" s="67" t="str">
        <f t="shared" si="3"/>
        <v/>
      </c>
      <c r="I17" s="14">
        <f>IF(COUNT(AR17,BU17,CX17)&gt;0,LARGE((AR17,BU17,CX17),1),0)</f>
        <v>42.800000000000011</v>
      </c>
      <c r="J17" s="14" t="str">
        <f t="shared" si="4"/>
        <v>2022 Elite Canada</v>
      </c>
      <c r="K17" s="14">
        <f>IF(COUNT(AR17,BU17,CX17)&gt;1,LARGE((AR17,BU17,CX17),2),0)</f>
        <v>0</v>
      </c>
      <c r="L17" s="14" t="str">
        <f t="shared" si="5"/>
        <v/>
      </c>
      <c r="M17" s="14">
        <f>IF(COUNT(AS17,BV17,CY17)&gt;0,LARGE((AS17,BV17,CY17),1),0)</f>
        <v>22.200000000000003</v>
      </c>
      <c r="N17" s="14" t="str">
        <f t="shared" si="6"/>
        <v>2022 Elite Canada</v>
      </c>
      <c r="O17" s="14">
        <f>IF(COUNT(AS17,BV17,CY17)&gt;1,LARGE((AS17,BV17,CY17),2),0)</f>
        <v>0</v>
      </c>
      <c r="P17" s="14" t="str">
        <f t="shared" si="7"/>
        <v/>
      </c>
      <c r="Q17" s="14">
        <f t="shared" si="8"/>
        <v>41.699999999999996</v>
      </c>
      <c r="R17" s="14" t="str">
        <f t="shared" si="9"/>
        <v>2022 Elite Canada</v>
      </c>
      <c r="S17" s="14" t="str">
        <f t="shared" si="10"/>
        <v/>
      </c>
      <c r="T17" s="20" t="str">
        <f t="shared" si="11"/>
        <v/>
      </c>
      <c r="U17" s="14" t="str">
        <f t="shared" si="12"/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 t="shared" si="13"/>
        <v/>
      </c>
      <c r="AR17" s="79" t="str">
        <f t="shared" si="14"/>
        <v/>
      </c>
      <c r="AS17" s="79" t="str">
        <f t="shared" si="15"/>
        <v/>
      </c>
      <c r="AT17" s="79" t="str">
        <f t="shared" si="16"/>
        <v/>
      </c>
      <c r="AU17" s="79" t="str">
        <f t="shared" si="17"/>
        <v/>
      </c>
      <c r="AV17" s="79" t="str">
        <f t="shared" si="18"/>
        <v/>
      </c>
      <c r="AW17" s="79" t="str">
        <f t="shared" si="19"/>
        <v/>
      </c>
      <c r="AX17" s="79" t="str">
        <f t="shared" si="20"/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 t="shared" si="21"/>
        <v/>
      </c>
      <c r="BU17" s="20" t="str">
        <f t="shared" si="22"/>
        <v/>
      </c>
      <c r="BV17" s="20" t="str">
        <f t="shared" si="23"/>
        <v/>
      </c>
      <c r="BW17" s="20" t="str">
        <f t="shared" si="24"/>
        <v/>
      </c>
      <c r="BX17" s="20" t="str">
        <f t="shared" si="25"/>
        <v/>
      </c>
      <c r="BY17" s="20" t="str">
        <f t="shared" si="26"/>
        <v/>
      </c>
      <c r="BZ17" s="20" t="str">
        <f t="shared" si="27"/>
        <v/>
      </c>
      <c r="CA17" s="20" t="str">
        <f t="shared" si="28"/>
        <v/>
      </c>
      <c r="CB17" s="27">
        <v>18.600000000000001</v>
      </c>
      <c r="CC17" s="27">
        <v>3</v>
      </c>
      <c r="CD17" s="27">
        <v>0</v>
      </c>
      <c r="CE17" s="27">
        <v>0</v>
      </c>
      <c r="CF17" s="27">
        <v>18.8</v>
      </c>
      <c r="CG17" s="27">
        <v>2.7</v>
      </c>
      <c r="CH17" s="27">
        <v>0.3</v>
      </c>
      <c r="CI17" s="27">
        <v>0</v>
      </c>
      <c r="CJ17" s="27">
        <v>18.600000000000001</v>
      </c>
      <c r="CK17" s="27">
        <v>3.6</v>
      </c>
      <c r="CL17" s="27">
        <v>0</v>
      </c>
      <c r="CM17" s="27">
        <v>0</v>
      </c>
      <c r="CN17" s="27">
        <v>17.2</v>
      </c>
      <c r="CO17" s="27">
        <v>2.4</v>
      </c>
      <c r="CP17" s="27">
        <v>0</v>
      </c>
      <c r="CQ17" s="27">
        <v>0</v>
      </c>
      <c r="CR17" s="27">
        <v>19</v>
      </c>
      <c r="CS17" s="27">
        <v>3.1</v>
      </c>
      <c r="CT17" s="27">
        <v>0</v>
      </c>
      <c r="CU17" s="27">
        <v>0</v>
      </c>
      <c r="CV17" s="45"/>
      <c r="CW17" s="79">
        <f t="shared" si="29"/>
        <v>5.7</v>
      </c>
      <c r="CX17" s="79">
        <f t="shared" si="30"/>
        <v>42.800000000000011</v>
      </c>
      <c r="CY17" s="79">
        <f t="shared" si="31"/>
        <v>22.200000000000003</v>
      </c>
      <c r="CZ17" s="79">
        <f t="shared" si="32"/>
        <v>9.3000000000000007</v>
      </c>
      <c r="DA17" s="79">
        <f t="shared" si="33"/>
        <v>65.000000000000014</v>
      </c>
      <c r="DB17" s="79">
        <f t="shared" si="34"/>
        <v>5.5</v>
      </c>
      <c r="DC17" s="79">
        <f t="shared" si="35"/>
        <v>41.699999999999996</v>
      </c>
      <c r="DD17" s="79">
        <f t="shared" si="36"/>
        <v>84.5</v>
      </c>
      <c r="DE17" s="80" t="str">
        <f t="shared" si="37"/>
        <v/>
      </c>
      <c r="DF17" s="80"/>
      <c r="DG17" s="80" t="str">
        <f t="shared" si="38"/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 t="shared" si="39"/>
        <v/>
      </c>
      <c r="EC17" s="79" t="str">
        <f t="shared" si="40"/>
        <v/>
      </c>
      <c r="ED17" s="79" t="str">
        <f t="shared" si="41"/>
        <v/>
      </c>
      <c r="EE17" s="79" t="str">
        <f t="shared" si="42"/>
        <v/>
      </c>
      <c r="EF17" s="79" t="str">
        <f t="shared" si="43"/>
        <v/>
      </c>
      <c r="EG17" s="79" t="str">
        <f t="shared" si="44"/>
        <v/>
      </c>
      <c r="EH17" s="79" t="str">
        <f t="shared" si="45"/>
        <v/>
      </c>
      <c r="EI17" s="79" t="str">
        <f t="shared" si="46"/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 t="shared" si="47"/>
        <v/>
      </c>
      <c r="FE17" s="20" t="str">
        <f t="shared" si="48"/>
        <v/>
      </c>
      <c r="FF17" s="20" t="str">
        <f t="shared" si="49"/>
        <v/>
      </c>
      <c r="FG17" s="20" t="str">
        <f t="shared" si="50"/>
        <v/>
      </c>
      <c r="FH17" s="20" t="str">
        <f t="shared" si="51"/>
        <v/>
      </c>
      <c r="FI17" s="20" t="str">
        <f t="shared" si="52"/>
        <v/>
      </c>
      <c r="FJ17" s="20" t="str">
        <f t="shared" si="53"/>
        <v/>
      </c>
      <c r="FK17" s="20" t="str">
        <f t="shared" si="54"/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 t="shared" si="55"/>
        <v/>
      </c>
      <c r="GG17" s="79" t="str">
        <f t="shared" si="56"/>
        <v/>
      </c>
      <c r="GH17" s="79" t="str">
        <f t="shared" si="57"/>
        <v/>
      </c>
      <c r="GI17" s="79" t="str">
        <f t="shared" si="58"/>
        <v/>
      </c>
      <c r="GJ17" s="79" t="str">
        <f t="shared" si="59"/>
        <v/>
      </c>
      <c r="GK17" s="79" t="str">
        <f t="shared" si="60"/>
        <v/>
      </c>
      <c r="GL17" s="79" t="str">
        <f t="shared" si="61"/>
        <v/>
      </c>
      <c r="GM17" s="79" t="str">
        <f t="shared" si="62"/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 t="shared" si="63"/>
        <v/>
      </c>
      <c r="HI17" s="20" t="str">
        <f t="shared" si="64"/>
        <v/>
      </c>
      <c r="HJ17" s="20" t="str">
        <f t="shared" si="65"/>
        <v/>
      </c>
      <c r="HK17" s="20" t="str">
        <f t="shared" si="66"/>
        <v/>
      </c>
      <c r="HL17" s="20" t="str">
        <f t="shared" si="67"/>
        <v/>
      </c>
      <c r="HM17" s="20" t="str">
        <f t="shared" si="68"/>
        <v/>
      </c>
      <c r="HN17" s="20" t="str">
        <f t="shared" si="69"/>
        <v/>
      </c>
      <c r="HO17" s="20" t="str">
        <f t="shared" si="70"/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 t="shared" si="71"/>
        <v/>
      </c>
      <c r="IK17" s="79" t="str">
        <f t="shared" si="72"/>
        <v/>
      </c>
      <c r="IL17" s="79" t="str">
        <f t="shared" si="73"/>
        <v/>
      </c>
      <c r="IM17" s="79" t="str">
        <f t="shared" si="74"/>
        <v/>
      </c>
      <c r="IN17" s="79" t="str">
        <f t="shared" si="75"/>
        <v/>
      </c>
      <c r="IO17" s="79" t="str">
        <f t="shared" si="76"/>
        <v/>
      </c>
      <c r="IP17" s="79" t="str">
        <f t="shared" si="77"/>
        <v/>
      </c>
      <c r="IQ17" s="79" t="str">
        <f t="shared" si="78"/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 t="shared" si="79"/>
        <v/>
      </c>
      <c r="JM17" s="20" t="str">
        <f t="shared" si="80"/>
        <v/>
      </c>
      <c r="JN17" s="20" t="str">
        <f t="shared" si="81"/>
        <v/>
      </c>
      <c r="JO17" s="20" t="str">
        <f t="shared" si="82"/>
        <v/>
      </c>
      <c r="JP17" s="20" t="str">
        <f t="shared" si="83"/>
        <v/>
      </c>
      <c r="JQ17" s="20" t="str">
        <f t="shared" si="84"/>
        <v/>
      </c>
      <c r="JR17" s="20" t="str">
        <f t="shared" si="85"/>
        <v/>
      </c>
      <c r="JS17" s="20" t="str">
        <f t="shared" si="86"/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 t="shared" si="87"/>
        <v/>
      </c>
      <c r="KO17" s="79" t="str">
        <f t="shared" si="88"/>
        <v/>
      </c>
      <c r="KP17" s="79" t="str">
        <f t="shared" si="89"/>
        <v/>
      </c>
      <c r="KQ17" s="79" t="str">
        <f t="shared" si="90"/>
        <v/>
      </c>
      <c r="KR17" s="79" t="str">
        <f t="shared" si="91"/>
        <v/>
      </c>
      <c r="KS17" s="79" t="str">
        <f t="shared" si="92"/>
        <v/>
      </c>
      <c r="KT17" s="79" t="str">
        <f t="shared" si="93"/>
        <v/>
      </c>
      <c r="KU17" s="79" t="str">
        <f t="shared" si="94"/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 t="shared" si="95"/>
        <v/>
      </c>
      <c r="LQ17" s="20" t="str">
        <f t="shared" si="96"/>
        <v/>
      </c>
      <c r="LR17" s="20" t="str">
        <f t="shared" si="97"/>
        <v/>
      </c>
      <c r="LS17" s="20" t="str">
        <f t="shared" si="98"/>
        <v/>
      </c>
      <c r="LT17" s="20" t="str">
        <f t="shared" si="99"/>
        <v/>
      </c>
      <c r="LU17" s="20" t="str">
        <f t="shared" si="100"/>
        <v/>
      </c>
      <c r="LV17" s="20" t="str">
        <f t="shared" si="101"/>
        <v/>
      </c>
      <c r="LW17" s="20" t="str">
        <f t="shared" si="102"/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 t="shared" si="103"/>
        <v/>
      </c>
      <c r="MS17" s="79" t="str">
        <f t="shared" si="104"/>
        <v/>
      </c>
      <c r="MT17" s="79" t="str">
        <f t="shared" si="105"/>
        <v/>
      </c>
      <c r="MU17" s="79" t="str">
        <f t="shared" si="106"/>
        <v/>
      </c>
      <c r="MV17" s="79" t="str">
        <f t="shared" si="107"/>
        <v/>
      </c>
      <c r="MW17" s="79" t="str">
        <f t="shared" si="108"/>
        <v/>
      </c>
      <c r="MX17" s="79" t="str">
        <f t="shared" si="109"/>
        <v/>
      </c>
      <c r="MY17" s="79" t="str">
        <f t="shared" si="110"/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 t="shared" si="111"/>
        <v/>
      </c>
      <c r="NU17" s="20" t="str">
        <f t="shared" si="112"/>
        <v/>
      </c>
      <c r="NV17" s="20" t="str">
        <f t="shared" si="113"/>
        <v/>
      </c>
      <c r="NW17" s="20" t="str">
        <f t="shared" si="114"/>
        <v/>
      </c>
      <c r="NX17" s="20" t="str">
        <f t="shared" si="115"/>
        <v/>
      </c>
      <c r="NY17" s="20" t="str">
        <f t="shared" si="116"/>
        <v/>
      </c>
      <c r="NZ17" s="20" t="str">
        <f t="shared" si="117"/>
        <v/>
      </c>
      <c r="OA17" s="20" t="str">
        <f t="shared" si="118"/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 t="shared" si="119"/>
        <v/>
      </c>
      <c r="OW17" s="79" t="str">
        <f t="shared" si="120"/>
        <v/>
      </c>
      <c r="OX17" s="79" t="str">
        <f t="shared" si="121"/>
        <v/>
      </c>
      <c r="OY17" s="79" t="str">
        <f t="shared" si="122"/>
        <v/>
      </c>
      <c r="OZ17" s="79" t="str">
        <f t="shared" si="123"/>
        <v/>
      </c>
      <c r="PA17" s="79" t="str">
        <f t="shared" si="124"/>
        <v/>
      </c>
      <c r="PB17" s="79" t="str">
        <f t="shared" si="125"/>
        <v/>
      </c>
      <c r="PC17" s="79" t="str">
        <f t="shared" si="126"/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 t="shared" si="127"/>
        <v/>
      </c>
      <c r="PY17" s="20" t="str">
        <f t="shared" si="128"/>
        <v/>
      </c>
      <c r="PZ17" s="20" t="str">
        <f t="shared" si="129"/>
        <v/>
      </c>
      <c r="QA17" s="20" t="str">
        <f t="shared" si="130"/>
        <v/>
      </c>
      <c r="QB17" s="20" t="str">
        <f t="shared" si="131"/>
        <v/>
      </c>
      <c r="QC17" s="20" t="str">
        <f t="shared" si="132"/>
        <v/>
      </c>
      <c r="QD17" s="20" t="str">
        <f t="shared" si="133"/>
        <v/>
      </c>
      <c r="QE17" s="20" t="str">
        <f t="shared" si="134"/>
        <v/>
      </c>
      <c r="QF17" s="38">
        <f t="shared" si="135"/>
        <v>9.3000000000000007</v>
      </c>
      <c r="QG17" s="38">
        <f t="shared" si="136"/>
        <v>1.5</v>
      </c>
      <c r="QH17" s="38">
        <f t="shared" si="137"/>
        <v>0</v>
      </c>
      <c r="QI17" s="38">
        <f t="shared" si="138"/>
        <v>0</v>
      </c>
      <c r="QJ17" s="38">
        <f t="shared" si="139"/>
        <v>9.4</v>
      </c>
      <c r="QK17" s="38">
        <f t="shared" si="140"/>
        <v>1.35</v>
      </c>
      <c r="QL17" s="38">
        <f t="shared" si="141"/>
        <v>0.15</v>
      </c>
      <c r="QM17" s="38">
        <f t="shared" si="142"/>
        <v>0</v>
      </c>
      <c r="QN17" s="38">
        <f t="shared" si="143"/>
        <v>9.3000000000000007</v>
      </c>
      <c r="QO17" s="38">
        <f t="shared" si="144"/>
        <v>1.8</v>
      </c>
      <c r="QP17" s="38">
        <f t="shared" si="145"/>
        <v>0</v>
      </c>
      <c r="QQ17" s="38">
        <f t="shared" si="146"/>
        <v>0</v>
      </c>
      <c r="QR17" s="38">
        <f t="shared" si="147"/>
        <v>8.6</v>
      </c>
      <c r="QS17" s="38">
        <f t="shared" si="148"/>
        <v>1.2</v>
      </c>
      <c r="QT17" s="38">
        <f t="shared" si="149"/>
        <v>0</v>
      </c>
      <c r="QU17" s="38">
        <f t="shared" si="150"/>
        <v>0</v>
      </c>
      <c r="QV17" s="38">
        <f t="shared" si="151"/>
        <v>9.5</v>
      </c>
      <c r="QW17" s="38">
        <f t="shared" si="152"/>
        <v>1.55</v>
      </c>
      <c r="QX17" s="38">
        <f t="shared" si="153"/>
        <v>0</v>
      </c>
      <c r="QY17" s="38">
        <f t="shared" si="154"/>
        <v>0</v>
      </c>
      <c r="QZ17" s="45" t="s">
        <v>46</v>
      </c>
      <c r="RA17" s="79">
        <f t="shared" si="155"/>
        <v>2.85</v>
      </c>
      <c r="RB17" s="79">
        <f t="shared" si="156"/>
        <v>21.400000000000006</v>
      </c>
      <c r="RC17" s="79">
        <f t="shared" si="157"/>
        <v>11.100000000000001</v>
      </c>
      <c r="RD17" s="79">
        <f t="shared" si="158"/>
        <v>4.6500000000000004</v>
      </c>
      <c r="RE17" s="79">
        <f t="shared" si="159"/>
        <v>32.500000000000007</v>
      </c>
      <c r="RF17" s="79">
        <f t="shared" si="160"/>
        <v>2.75</v>
      </c>
      <c r="RG17" s="79">
        <f t="shared" si="161"/>
        <v>20.849999999999998</v>
      </c>
      <c r="RH17" s="79">
        <f t="shared" si="162"/>
        <v>42.25</v>
      </c>
    </row>
    <row r="18" spans="1:476" x14ac:dyDescent="0.2">
      <c r="A18" s="5" t="str">
        <f t="shared" si="163"/>
        <v/>
      </c>
      <c r="B18" s="78" t="s">
        <v>116</v>
      </c>
      <c r="C18" s="5" t="s">
        <v>6</v>
      </c>
      <c r="D18" s="5">
        <v>2003</v>
      </c>
      <c r="E18" s="15">
        <f t="shared" si="0"/>
        <v>64.500006450004193</v>
      </c>
      <c r="F18" s="3" t="str">
        <f t="shared" si="1"/>
        <v/>
      </c>
      <c r="G18" s="3" t="str">
        <f t="shared" si="2"/>
        <v/>
      </c>
      <c r="H18" s="67" t="str">
        <f t="shared" si="3"/>
        <v/>
      </c>
      <c r="I18" s="14">
        <f>IF(COUNT(AR18,BU18,CX18)&gt;0,LARGE((AR18,BU18,CX18),1),0)</f>
        <v>41.9</v>
      </c>
      <c r="J18" s="14" t="str">
        <f t="shared" si="4"/>
        <v>2022 Elite Canada</v>
      </c>
      <c r="K18" s="14">
        <f>IF(COUNT(AR18,BU18,CX18)&gt;1,LARGE((AR18,BU18,CX18),2),0)</f>
        <v>0</v>
      </c>
      <c r="L18" s="14" t="str">
        <f t="shared" si="5"/>
        <v/>
      </c>
      <c r="M18" s="14">
        <f>IF(COUNT(AS18,BV18,CY18)&gt;0,LARGE((AS18,BV18,CY18),1),0)</f>
        <v>22.6</v>
      </c>
      <c r="N18" s="14" t="str">
        <f t="shared" si="6"/>
        <v>2022 Elite Canada</v>
      </c>
      <c r="O18" s="14">
        <f>IF(COUNT(AS18,BV18,CY18)&gt;1,LARGE((AS18,BV18,CY18),2),0)</f>
        <v>0</v>
      </c>
      <c r="P18" s="14" t="str">
        <f t="shared" si="7"/>
        <v/>
      </c>
      <c r="Q18" s="14">
        <f t="shared" si="8"/>
        <v>0</v>
      </c>
      <c r="R18" s="14" t="str">
        <f t="shared" si="9"/>
        <v/>
      </c>
      <c r="S18" s="14" t="str">
        <f t="shared" si="10"/>
        <v/>
      </c>
      <c r="T18" s="20" t="str">
        <f t="shared" si="11"/>
        <v/>
      </c>
      <c r="U18" s="14" t="str">
        <f t="shared" si="12"/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 t="shared" si="13"/>
        <v/>
      </c>
      <c r="AR18" s="79" t="str">
        <f t="shared" si="14"/>
        <v/>
      </c>
      <c r="AS18" s="79" t="str">
        <f t="shared" si="15"/>
        <v/>
      </c>
      <c r="AT18" s="79" t="str">
        <f t="shared" si="16"/>
        <v/>
      </c>
      <c r="AU18" s="79" t="str">
        <f t="shared" si="17"/>
        <v/>
      </c>
      <c r="AV18" s="79" t="str">
        <f t="shared" si="18"/>
        <v/>
      </c>
      <c r="AW18" s="79" t="str">
        <f t="shared" si="19"/>
        <v/>
      </c>
      <c r="AX18" s="79" t="str">
        <f t="shared" si="20"/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 t="shared" si="21"/>
        <v/>
      </c>
      <c r="BU18" s="20" t="str">
        <f t="shared" si="22"/>
        <v/>
      </c>
      <c r="BV18" s="20" t="str">
        <f t="shared" si="23"/>
        <v/>
      </c>
      <c r="BW18" s="20" t="str">
        <f t="shared" si="24"/>
        <v/>
      </c>
      <c r="BX18" s="20" t="str">
        <f t="shared" si="25"/>
        <v/>
      </c>
      <c r="BY18" s="20" t="str">
        <f t="shared" si="26"/>
        <v/>
      </c>
      <c r="BZ18" s="20" t="str">
        <f t="shared" si="27"/>
        <v/>
      </c>
      <c r="CA18" s="20" t="str">
        <f t="shared" si="28"/>
        <v/>
      </c>
      <c r="CB18" s="27">
        <v>17.2</v>
      </c>
      <c r="CC18" s="27">
        <v>2.4</v>
      </c>
      <c r="CD18" s="27">
        <v>0</v>
      </c>
      <c r="CE18" s="27">
        <v>0</v>
      </c>
      <c r="CF18" s="27">
        <v>18.8</v>
      </c>
      <c r="CG18" s="27">
        <v>3.5</v>
      </c>
      <c r="CH18" s="27">
        <v>0</v>
      </c>
      <c r="CI18" s="27">
        <v>0</v>
      </c>
      <c r="CJ18" s="27">
        <v>19.100000000000001</v>
      </c>
      <c r="CK18" s="27">
        <v>3.5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45"/>
      <c r="CW18" s="79">
        <f t="shared" si="29"/>
        <v>5.9</v>
      </c>
      <c r="CX18" s="79">
        <f t="shared" si="30"/>
        <v>41.9</v>
      </c>
      <c r="CY18" s="79">
        <f t="shared" si="31"/>
        <v>22.6</v>
      </c>
      <c r="CZ18" s="79">
        <f t="shared" si="32"/>
        <v>9.4</v>
      </c>
      <c r="DA18" s="79">
        <f t="shared" si="33"/>
        <v>64.5</v>
      </c>
      <c r="DB18" s="79" t="str">
        <f t="shared" si="34"/>
        <v/>
      </c>
      <c r="DC18" s="79" t="str">
        <f t="shared" si="35"/>
        <v/>
      </c>
      <c r="DD18" s="79">
        <f t="shared" si="36"/>
        <v>41.9</v>
      </c>
      <c r="DE18" s="80" t="str">
        <f t="shared" si="37"/>
        <v/>
      </c>
      <c r="DF18" s="80"/>
      <c r="DG18" s="80" t="str">
        <f t="shared" si="38"/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 t="shared" si="39"/>
        <v/>
      </c>
      <c r="EC18" s="79" t="str">
        <f t="shared" si="40"/>
        <v/>
      </c>
      <c r="ED18" s="79" t="str">
        <f t="shared" si="41"/>
        <v/>
      </c>
      <c r="EE18" s="79" t="str">
        <f t="shared" si="42"/>
        <v/>
      </c>
      <c r="EF18" s="79" t="str">
        <f t="shared" si="43"/>
        <v/>
      </c>
      <c r="EG18" s="79" t="str">
        <f t="shared" si="44"/>
        <v/>
      </c>
      <c r="EH18" s="79" t="str">
        <f t="shared" si="45"/>
        <v/>
      </c>
      <c r="EI18" s="79" t="str">
        <f t="shared" si="46"/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 t="shared" si="47"/>
        <v/>
      </c>
      <c r="FE18" s="20" t="str">
        <f t="shared" si="48"/>
        <v/>
      </c>
      <c r="FF18" s="20" t="str">
        <f t="shared" si="49"/>
        <v/>
      </c>
      <c r="FG18" s="20" t="str">
        <f t="shared" si="50"/>
        <v/>
      </c>
      <c r="FH18" s="20" t="str">
        <f t="shared" si="51"/>
        <v/>
      </c>
      <c r="FI18" s="20" t="str">
        <f t="shared" si="52"/>
        <v/>
      </c>
      <c r="FJ18" s="20" t="str">
        <f t="shared" si="53"/>
        <v/>
      </c>
      <c r="FK18" s="20" t="str">
        <f t="shared" si="54"/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 t="shared" si="55"/>
        <v/>
      </c>
      <c r="GG18" s="79" t="str">
        <f t="shared" si="56"/>
        <v/>
      </c>
      <c r="GH18" s="79" t="str">
        <f t="shared" si="57"/>
        <v/>
      </c>
      <c r="GI18" s="79" t="str">
        <f t="shared" si="58"/>
        <v/>
      </c>
      <c r="GJ18" s="79" t="str">
        <f t="shared" si="59"/>
        <v/>
      </c>
      <c r="GK18" s="79" t="str">
        <f t="shared" si="60"/>
        <v/>
      </c>
      <c r="GL18" s="79" t="str">
        <f t="shared" si="61"/>
        <v/>
      </c>
      <c r="GM18" s="79" t="str">
        <f t="shared" si="62"/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 t="shared" si="63"/>
        <v/>
      </c>
      <c r="HI18" s="20" t="str">
        <f t="shared" si="64"/>
        <v/>
      </c>
      <c r="HJ18" s="20" t="str">
        <f t="shared" si="65"/>
        <v/>
      </c>
      <c r="HK18" s="20" t="str">
        <f t="shared" si="66"/>
        <v/>
      </c>
      <c r="HL18" s="20" t="str">
        <f t="shared" si="67"/>
        <v/>
      </c>
      <c r="HM18" s="20" t="str">
        <f t="shared" si="68"/>
        <v/>
      </c>
      <c r="HN18" s="20" t="str">
        <f t="shared" si="69"/>
        <v/>
      </c>
      <c r="HO18" s="20" t="str">
        <f t="shared" si="70"/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 t="shared" si="71"/>
        <v/>
      </c>
      <c r="IK18" s="79" t="str">
        <f t="shared" si="72"/>
        <v/>
      </c>
      <c r="IL18" s="79" t="str">
        <f t="shared" si="73"/>
        <v/>
      </c>
      <c r="IM18" s="79" t="str">
        <f t="shared" si="74"/>
        <v/>
      </c>
      <c r="IN18" s="79" t="str">
        <f t="shared" si="75"/>
        <v/>
      </c>
      <c r="IO18" s="79" t="str">
        <f t="shared" si="76"/>
        <v/>
      </c>
      <c r="IP18" s="79" t="str">
        <f t="shared" si="77"/>
        <v/>
      </c>
      <c r="IQ18" s="79" t="str">
        <f t="shared" si="78"/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 t="shared" si="79"/>
        <v/>
      </c>
      <c r="JM18" s="20" t="str">
        <f t="shared" si="80"/>
        <v/>
      </c>
      <c r="JN18" s="20" t="str">
        <f t="shared" si="81"/>
        <v/>
      </c>
      <c r="JO18" s="20" t="str">
        <f t="shared" si="82"/>
        <v/>
      </c>
      <c r="JP18" s="20" t="str">
        <f t="shared" si="83"/>
        <v/>
      </c>
      <c r="JQ18" s="20" t="str">
        <f t="shared" si="84"/>
        <v/>
      </c>
      <c r="JR18" s="20" t="str">
        <f t="shared" si="85"/>
        <v/>
      </c>
      <c r="JS18" s="20" t="str">
        <f t="shared" si="86"/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 t="shared" si="87"/>
        <v/>
      </c>
      <c r="KO18" s="79" t="str">
        <f t="shared" si="88"/>
        <v/>
      </c>
      <c r="KP18" s="79" t="str">
        <f t="shared" si="89"/>
        <v/>
      </c>
      <c r="KQ18" s="79" t="str">
        <f t="shared" si="90"/>
        <v/>
      </c>
      <c r="KR18" s="79" t="str">
        <f t="shared" si="91"/>
        <v/>
      </c>
      <c r="KS18" s="79" t="str">
        <f t="shared" si="92"/>
        <v/>
      </c>
      <c r="KT18" s="79" t="str">
        <f t="shared" si="93"/>
        <v/>
      </c>
      <c r="KU18" s="79" t="str">
        <f t="shared" si="94"/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 t="shared" si="95"/>
        <v/>
      </c>
      <c r="LQ18" s="20" t="str">
        <f t="shared" si="96"/>
        <v/>
      </c>
      <c r="LR18" s="20" t="str">
        <f t="shared" si="97"/>
        <v/>
      </c>
      <c r="LS18" s="20" t="str">
        <f t="shared" si="98"/>
        <v/>
      </c>
      <c r="LT18" s="20" t="str">
        <f t="shared" si="99"/>
        <v/>
      </c>
      <c r="LU18" s="20" t="str">
        <f t="shared" si="100"/>
        <v/>
      </c>
      <c r="LV18" s="20" t="str">
        <f t="shared" si="101"/>
        <v/>
      </c>
      <c r="LW18" s="20" t="str">
        <f t="shared" si="102"/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 t="shared" si="103"/>
        <v/>
      </c>
      <c r="MS18" s="79" t="str">
        <f t="shared" si="104"/>
        <v/>
      </c>
      <c r="MT18" s="79" t="str">
        <f t="shared" si="105"/>
        <v/>
      </c>
      <c r="MU18" s="79" t="str">
        <f t="shared" si="106"/>
        <v/>
      </c>
      <c r="MV18" s="79" t="str">
        <f t="shared" si="107"/>
        <v/>
      </c>
      <c r="MW18" s="79" t="str">
        <f t="shared" si="108"/>
        <v/>
      </c>
      <c r="MX18" s="79" t="str">
        <f t="shared" si="109"/>
        <v/>
      </c>
      <c r="MY18" s="79" t="str">
        <f t="shared" si="110"/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 t="shared" si="111"/>
        <v/>
      </c>
      <c r="NU18" s="20" t="str">
        <f t="shared" si="112"/>
        <v/>
      </c>
      <c r="NV18" s="20" t="str">
        <f t="shared" si="113"/>
        <v/>
      </c>
      <c r="NW18" s="20" t="str">
        <f t="shared" si="114"/>
        <v/>
      </c>
      <c r="NX18" s="20" t="str">
        <f t="shared" si="115"/>
        <v/>
      </c>
      <c r="NY18" s="20" t="str">
        <f t="shared" si="116"/>
        <v/>
      </c>
      <c r="NZ18" s="20" t="str">
        <f t="shared" si="117"/>
        <v/>
      </c>
      <c r="OA18" s="20" t="str">
        <f t="shared" si="118"/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 t="shared" si="119"/>
        <v/>
      </c>
      <c r="OW18" s="79" t="str">
        <f t="shared" si="120"/>
        <v/>
      </c>
      <c r="OX18" s="79" t="str">
        <f t="shared" si="121"/>
        <v/>
      </c>
      <c r="OY18" s="79" t="str">
        <f t="shared" si="122"/>
        <v/>
      </c>
      <c r="OZ18" s="79" t="str">
        <f t="shared" si="123"/>
        <v/>
      </c>
      <c r="PA18" s="79" t="str">
        <f t="shared" si="124"/>
        <v/>
      </c>
      <c r="PB18" s="79" t="str">
        <f t="shared" si="125"/>
        <v/>
      </c>
      <c r="PC18" s="79" t="str">
        <f t="shared" si="126"/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 t="shared" si="127"/>
        <v/>
      </c>
      <c r="PY18" s="20" t="str">
        <f t="shared" si="128"/>
        <v/>
      </c>
      <c r="PZ18" s="20" t="str">
        <f t="shared" si="129"/>
        <v/>
      </c>
      <c r="QA18" s="20" t="str">
        <f t="shared" si="130"/>
        <v/>
      </c>
      <c r="QB18" s="20" t="str">
        <f t="shared" si="131"/>
        <v/>
      </c>
      <c r="QC18" s="20" t="str">
        <f t="shared" si="132"/>
        <v/>
      </c>
      <c r="QD18" s="20" t="str">
        <f t="shared" si="133"/>
        <v/>
      </c>
      <c r="QE18" s="20" t="str">
        <f t="shared" si="134"/>
        <v/>
      </c>
      <c r="QF18" s="38">
        <f t="shared" si="135"/>
        <v>8.6</v>
      </c>
      <c r="QG18" s="38">
        <f t="shared" si="136"/>
        <v>1.2</v>
      </c>
      <c r="QH18" s="38">
        <f t="shared" si="137"/>
        <v>0</v>
      </c>
      <c r="QI18" s="38">
        <f t="shared" si="138"/>
        <v>0</v>
      </c>
      <c r="QJ18" s="38">
        <f t="shared" si="139"/>
        <v>9.4</v>
      </c>
      <c r="QK18" s="38">
        <f t="shared" si="140"/>
        <v>1.75</v>
      </c>
      <c r="QL18" s="38">
        <f t="shared" si="141"/>
        <v>0</v>
      </c>
      <c r="QM18" s="38">
        <f t="shared" si="142"/>
        <v>0</v>
      </c>
      <c r="QN18" s="38">
        <f t="shared" si="143"/>
        <v>9.5500000000000007</v>
      </c>
      <c r="QO18" s="38">
        <f t="shared" si="144"/>
        <v>1.75</v>
      </c>
      <c r="QP18" s="38">
        <f t="shared" si="145"/>
        <v>0</v>
      </c>
      <c r="QQ18" s="38">
        <f t="shared" si="146"/>
        <v>0</v>
      </c>
      <c r="QR18" s="38">
        <f t="shared" si="147"/>
        <v>0</v>
      </c>
      <c r="QS18" s="38">
        <f t="shared" si="148"/>
        <v>0</v>
      </c>
      <c r="QT18" s="38">
        <f t="shared" si="149"/>
        <v>0</v>
      </c>
      <c r="QU18" s="38">
        <f t="shared" si="150"/>
        <v>0</v>
      </c>
      <c r="QV18" s="38">
        <f t="shared" si="151"/>
        <v>0</v>
      </c>
      <c r="QW18" s="38">
        <f t="shared" si="152"/>
        <v>0</v>
      </c>
      <c r="QX18" s="38">
        <f t="shared" si="153"/>
        <v>0</v>
      </c>
      <c r="QY18" s="38">
        <f t="shared" si="154"/>
        <v>0</v>
      </c>
      <c r="QZ18" s="45" t="s">
        <v>46</v>
      </c>
      <c r="RA18" s="79">
        <f t="shared" si="155"/>
        <v>2.95</v>
      </c>
      <c r="RB18" s="79">
        <f t="shared" si="156"/>
        <v>20.95</v>
      </c>
      <c r="RC18" s="79">
        <f t="shared" si="157"/>
        <v>11.3</v>
      </c>
      <c r="RD18" s="79">
        <f t="shared" si="158"/>
        <v>4.7</v>
      </c>
      <c r="RE18" s="79">
        <f t="shared" si="159"/>
        <v>32.25</v>
      </c>
      <c r="RF18" s="79" t="str">
        <f t="shared" si="160"/>
        <v/>
      </c>
      <c r="RG18" s="79" t="str">
        <f t="shared" si="161"/>
        <v/>
      </c>
      <c r="RH18" s="79">
        <f t="shared" si="162"/>
        <v>20.95</v>
      </c>
    </row>
    <row r="19" spans="1:476" x14ac:dyDescent="0.2">
      <c r="A19" s="5" t="str">
        <f t="shared" si="163"/>
        <v/>
      </c>
      <c r="B19" s="78" t="s">
        <v>89</v>
      </c>
      <c r="C19" s="5" t="s">
        <v>5</v>
      </c>
      <c r="D19" s="5">
        <v>2003</v>
      </c>
      <c r="E19" s="15">
        <f t="shared" si="0"/>
        <v>63.900006390004052</v>
      </c>
      <c r="F19" s="3" t="str">
        <f t="shared" si="1"/>
        <v/>
      </c>
      <c r="G19" s="3" t="str">
        <f t="shared" si="2"/>
        <v/>
      </c>
      <c r="H19" s="67" t="str">
        <f t="shared" si="3"/>
        <v/>
      </c>
      <c r="I19" s="14">
        <f>IF(COUNT(AR19,BU19,CX19)&gt;0,LARGE((AR19,BU19,CX19),1),0)</f>
        <v>40.5</v>
      </c>
      <c r="J19" s="14" t="str">
        <f t="shared" si="4"/>
        <v>2022 Elite Canada</v>
      </c>
      <c r="K19" s="14">
        <f>IF(COUNT(AR19,BU19,CX19)&gt;1,LARGE((AR19,BU19,CX19),2),0)</f>
        <v>0</v>
      </c>
      <c r="L19" s="14" t="str">
        <f t="shared" si="5"/>
        <v/>
      </c>
      <c r="M19" s="14">
        <f>IF(COUNT(AS19,BV19,CY19)&gt;0,LARGE((AS19,BV19,CY19),1),0)</f>
        <v>23.4</v>
      </c>
      <c r="N19" s="14" t="str">
        <f t="shared" si="6"/>
        <v>2022 Elite Canada</v>
      </c>
      <c r="O19" s="14">
        <f>IF(COUNT(AS19,BV19,CY19)&gt;1,LARGE((AS19,BV19,CY19),2),0)</f>
        <v>0</v>
      </c>
      <c r="P19" s="14" t="str">
        <f t="shared" si="7"/>
        <v/>
      </c>
      <c r="Q19" s="14">
        <f t="shared" si="8"/>
        <v>0</v>
      </c>
      <c r="R19" s="14" t="str">
        <f t="shared" si="9"/>
        <v/>
      </c>
      <c r="S19" s="14" t="str">
        <f t="shared" si="10"/>
        <v/>
      </c>
      <c r="T19" s="20" t="str">
        <f t="shared" si="11"/>
        <v/>
      </c>
      <c r="U19" s="14" t="str">
        <f t="shared" si="12"/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 t="shared" si="13"/>
        <v/>
      </c>
      <c r="AR19" s="79" t="str">
        <f t="shared" si="14"/>
        <v/>
      </c>
      <c r="AS19" s="79" t="str">
        <f t="shared" si="15"/>
        <v/>
      </c>
      <c r="AT19" s="79" t="str">
        <f t="shared" si="16"/>
        <v/>
      </c>
      <c r="AU19" s="79" t="str">
        <f t="shared" si="17"/>
        <v/>
      </c>
      <c r="AV19" s="79" t="str">
        <f t="shared" si="18"/>
        <v/>
      </c>
      <c r="AW19" s="79" t="str">
        <f t="shared" si="19"/>
        <v/>
      </c>
      <c r="AX19" s="79" t="str">
        <f t="shared" si="20"/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 t="shared" si="21"/>
        <v/>
      </c>
      <c r="BU19" s="20" t="str">
        <f t="shared" si="22"/>
        <v/>
      </c>
      <c r="BV19" s="20" t="str">
        <f t="shared" si="23"/>
        <v/>
      </c>
      <c r="BW19" s="20" t="str">
        <f t="shared" si="24"/>
        <v/>
      </c>
      <c r="BX19" s="20" t="str">
        <f t="shared" si="25"/>
        <v/>
      </c>
      <c r="BY19" s="20" t="str">
        <f t="shared" si="26"/>
        <v/>
      </c>
      <c r="BZ19" s="20" t="str">
        <f t="shared" si="27"/>
        <v/>
      </c>
      <c r="CA19" s="20" t="str">
        <f t="shared" si="28"/>
        <v/>
      </c>
      <c r="CB19" s="27">
        <v>18.399999999999999</v>
      </c>
      <c r="CC19" s="27">
        <v>5.2</v>
      </c>
      <c r="CD19" s="27">
        <v>0.2</v>
      </c>
      <c r="CE19" s="27">
        <v>0</v>
      </c>
      <c r="CF19" s="27">
        <v>17.100000000000001</v>
      </c>
      <c r="CG19" s="27">
        <v>0</v>
      </c>
      <c r="CH19" s="27">
        <v>0</v>
      </c>
      <c r="CI19" s="27">
        <v>0</v>
      </c>
      <c r="CJ19" s="27">
        <v>18.399999999999999</v>
      </c>
      <c r="CK19" s="27">
        <v>5.2</v>
      </c>
      <c r="CL19" s="27">
        <v>0.2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45"/>
      <c r="CW19" s="79">
        <f t="shared" si="29"/>
        <v>5.2</v>
      </c>
      <c r="CX19" s="79">
        <f t="shared" si="30"/>
        <v>40.5</v>
      </c>
      <c r="CY19" s="79">
        <f t="shared" si="31"/>
        <v>23.4</v>
      </c>
      <c r="CZ19" s="79">
        <f t="shared" si="32"/>
        <v>10.4</v>
      </c>
      <c r="DA19" s="79">
        <f t="shared" si="33"/>
        <v>63.9</v>
      </c>
      <c r="DB19" s="79" t="str">
        <f t="shared" si="34"/>
        <v/>
      </c>
      <c r="DC19" s="79" t="str">
        <f t="shared" si="35"/>
        <v/>
      </c>
      <c r="DD19" s="79">
        <f t="shared" si="36"/>
        <v>40.5</v>
      </c>
      <c r="DE19" s="80" t="str">
        <f t="shared" si="37"/>
        <v/>
      </c>
      <c r="DF19" s="80"/>
      <c r="DG19" s="80" t="str">
        <f t="shared" si="38"/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 t="shared" si="39"/>
        <v/>
      </c>
      <c r="EC19" s="79" t="str">
        <f t="shared" si="40"/>
        <v/>
      </c>
      <c r="ED19" s="79" t="str">
        <f t="shared" si="41"/>
        <v/>
      </c>
      <c r="EE19" s="79" t="str">
        <f t="shared" si="42"/>
        <v/>
      </c>
      <c r="EF19" s="79" t="str">
        <f t="shared" si="43"/>
        <v/>
      </c>
      <c r="EG19" s="79" t="str">
        <f t="shared" si="44"/>
        <v/>
      </c>
      <c r="EH19" s="79" t="str">
        <f t="shared" si="45"/>
        <v/>
      </c>
      <c r="EI19" s="79" t="str">
        <f t="shared" si="46"/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 t="shared" si="47"/>
        <v/>
      </c>
      <c r="FE19" s="20" t="str">
        <f t="shared" si="48"/>
        <v/>
      </c>
      <c r="FF19" s="20" t="str">
        <f t="shared" si="49"/>
        <v/>
      </c>
      <c r="FG19" s="20" t="str">
        <f t="shared" si="50"/>
        <v/>
      </c>
      <c r="FH19" s="20" t="str">
        <f t="shared" si="51"/>
        <v/>
      </c>
      <c r="FI19" s="20" t="str">
        <f t="shared" si="52"/>
        <v/>
      </c>
      <c r="FJ19" s="20" t="str">
        <f t="shared" si="53"/>
        <v/>
      </c>
      <c r="FK19" s="20" t="str">
        <f t="shared" si="54"/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 t="shared" si="55"/>
        <v/>
      </c>
      <c r="GG19" s="79" t="str">
        <f t="shared" si="56"/>
        <v/>
      </c>
      <c r="GH19" s="79" t="str">
        <f t="shared" si="57"/>
        <v/>
      </c>
      <c r="GI19" s="79" t="str">
        <f t="shared" si="58"/>
        <v/>
      </c>
      <c r="GJ19" s="79" t="str">
        <f t="shared" si="59"/>
        <v/>
      </c>
      <c r="GK19" s="79" t="str">
        <f t="shared" si="60"/>
        <v/>
      </c>
      <c r="GL19" s="79" t="str">
        <f t="shared" si="61"/>
        <v/>
      </c>
      <c r="GM19" s="79" t="str">
        <f t="shared" si="62"/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 t="shared" si="63"/>
        <v/>
      </c>
      <c r="HI19" s="20" t="str">
        <f t="shared" si="64"/>
        <v/>
      </c>
      <c r="HJ19" s="20" t="str">
        <f t="shared" si="65"/>
        <v/>
      </c>
      <c r="HK19" s="20" t="str">
        <f t="shared" si="66"/>
        <v/>
      </c>
      <c r="HL19" s="20" t="str">
        <f t="shared" si="67"/>
        <v/>
      </c>
      <c r="HM19" s="20" t="str">
        <f t="shared" si="68"/>
        <v/>
      </c>
      <c r="HN19" s="20" t="str">
        <f t="shared" si="69"/>
        <v/>
      </c>
      <c r="HO19" s="20" t="str">
        <f t="shared" si="70"/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 t="shared" si="71"/>
        <v/>
      </c>
      <c r="IK19" s="79" t="str">
        <f t="shared" si="72"/>
        <v/>
      </c>
      <c r="IL19" s="79" t="str">
        <f t="shared" si="73"/>
        <v/>
      </c>
      <c r="IM19" s="79" t="str">
        <f t="shared" si="74"/>
        <v/>
      </c>
      <c r="IN19" s="79" t="str">
        <f t="shared" si="75"/>
        <v/>
      </c>
      <c r="IO19" s="79" t="str">
        <f t="shared" si="76"/>
        <v/>
      </c>
      <c r="IP19" s="79" t="str">
        <f t="shared" si="77"/>
        <v/>
      </c>
      <c r="IQ19" s="79" t="str">
        <f t="shared" si="78"/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 t="shared" si="79"/>
        <v/>
      </c>
      <c r="JM19" s="20" t="str">
        <f t="shared" si="80"/>
        <v/>
      </c>
      <c r="JN19" s="20" t="str">
        <f t="shared" si="81"/>
        <v/>
      </c>
      <c r="JO19" s="20" t="str">
        <f t="shared" si="82"/>
        <v/>
      </c>
      <c r="JP19" s="20" t="str">
        <f t="shared" si="83"/>
        <v/>
      </c>
      <c r="JQ19" s="20" t="str">
        <f t="shared" si="84"/>
        <v/>
      </c>
      <c r="JR19" s="20" t="str">
        <f t="shared" si="85"/>
        <v/>
      </c>
      <c r="JS19" s="20" t="str">
        <f t="shared" si="86"/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 t="shared" si="87"/>
        <v/>
      </c>
      <c r="KO19" s="79" t="str">
        <f t="shared" si="88"/>
        <v/>
      </c>
      <c r="KP19" s="79" t="str">
        <f t="shared" si="89"/>
        <v/>
      </c>
      <c r="KQ19" s="79" t="str">
        <f t="shared" si="90"/>
        <v/>
      </c>
      <c r="KR19" s="79" t="str">
        <f t="shared" si="91"/>
        <v/>
      </c>
      <c r="KS19" s="79" t="str">
        <f t="shared" si="92"/>
        <v/>
      </c>
      <c r="KT19" s="79" t="str">
        <f t="shared" si="93"/>
        <v/>
      </c>
      <c r="KU19" s="79" t="str">
        <f t="shared" si="94"/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 t="shared" si="95"/>
        <v/>
      </c>
      <c r="LQ19" s="20" t="str">
        <f t="shared" si="96"/>
        <v/>
      </c>
      <c r="LR19" s="20" t="str">
        <f t="shared" si="97"/>
        <v/>
      </c>
      <c r="LS19" s="20" t="str">
        <f t="shared" si="98"/>
        <v/>
      </c>
      <c r="LT19" s="20" t="str">
        <f t="shared" si="99"/>
        <v/>
      </c>
      <c r="LU19" s="20" t="str">
        <f t="shared" si="100"/>
        <v/>
      </c>
      <c r="LV19" s="20" t="str">
        <f t="shared" si="101"/>
        <v/>
      </c>
      <c r="LW19" s="20" t="str">
        <f t="shared" si="102"/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 t="shared" si="103"/>
        <v/>
      </c>
      <c r="MS19" s="79" t="str">
        <f t="shared" si="104"/>
        <v/>
      </c>
      <c r="MT19" s="79" t="str">
        <f t="shared" si="105"/>
        <v/>
      </c>
      <c r="MU19" s="79" t="str">
        <f t="shared" si="106"/>
        <v/>
      </c>
      <c r="MV19" s="79" t="str">
        <f t="shared" si="107"/>
        <v/>
      </c>
      <c r="MW19" s="79" t="str">
        <f t="shared" si="108"/>
        <v/>
      </c>
      <c r="MX19" s="79" t="str">
        <f t="shared" si="109"/>
        <v/>
      </c>
      <c r="MY19" s="79" t="str">
        <f t="shared" si="110"/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 t="shared" si="111"/>
        <v/>
      </c>
      <c r="NU19" s="20" t="str">
        <f t="shared" si="112"/>
        <v/>
      </c>
      <c r="NV19" s="20" t="str">
        <f t="shared" si="113"/>
        <v/>
      </c>
      <c r="NW19" s="20" t="str">
        <f t="shared" si="114"/>
        <v/>
      </c>
      <c r="NX19" s="20" t="str">
        <f t="shared" si="115"/>
        <v/>
      </c>
      <c r="NY19" s="20" t="str">
        <f t="shared" si="116"/>
        <v/>
      </c>
      <c r="NZ19" s="20" t="str">
        <f t="shared" si="117"/>
        <v/>
      </c>
      <c r="OA19" s="20" t="str">
        <f t="shared" si="118"/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 t="shared" si="119"/>
        <v/>
      </c>
      <c r="OW19" s="79" t="str">
        <f t="shared" si="120"/>
        <v/>
      </c>
      <c r="OX19" s="79" t="str">
        <f t="shared" si="121"/>
        <v/>
      </c>
      <c r="OY19" s="79" t="str">
        <f t="shared" si="122"/>
        <v/>
      </c>
      <c r="OZ19" s="79" t="str">
        <f t="shared" si="123"/>
        <v/>
      </c>
      <c r="PA19" s="79" t="str">
        <f t="shared" si="124"/>
        <v/>
      </c>
      <c r="PB19" s="79" t="str">
        <f t="shared" si="125"/>
        <v/>
      </c>
      <c r="PC19" s="79" t="str">
        <f t="shared" si="126"/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 t="shared" si="127"/>
        <v/>
      </c>
      <c r="PY19" s="20" t="str">
        <f t="shared" si="128"/>
        <v/>
      </c>
      <c r="PZ19" s="20" t="str">
        <f t="shared" si="129"/>
        <v/>
      </c>
      <c r="QA19" s="20" t="str">
        <f t="shared" si="130"/>
        <v/>
      </c>
      <c r="QB19" s="20" t="str">
        <f t="shared" si="131"/>
        <v/>
      </c>
      <c r="QC19" s="20" t="str">
        <f t="shared" si="132"/>
        <v/>
      </c>
      <c r="QD19" s="20" t="str">
        <f t="shared" si="133"/>
        <v/>
      </c>
      <c r="QE19" s="20" t="str">
        <f t="shared" si="134"/>
        <v/>
      </c>
      <c r="QF19" s="38">
        <f t="shared" si="135"/>
        <v>9.1999999999999993</v>
      </c>
      <c r="QG19" s="38">
        <f t="shared" si="136"/>
        <v>2.6</v>
      </c>
      <c r="QH19" s="38">
        <f t="shared" si="137"/>
        <v>0.1</v>
      </c>
      <c r="QI19" s="38">
        <f t="shared" si="138"/>
        <v>0</v>
      </c>
      <c r="QJ19" s="38">
        <f t="shared" si="139"/>
        <v>8.5500000000000007</v>
      </c>
      <c r="QK19" s="38">
        <f t="shared" si="140"/>
        <v>0</v>
      </c>
      <c r="QL19" s="38">
        <f t="shared" si="141"/>
        <v>0</v>
      </c>
      <c r="QM19" s="38">
        <f t="shared" si="142"/>
        <v>0</v>
      </c>
      <c r="QN19" s="38">
        <f t="shared" si="143"/>
        <v>9.1999999999999993</v>
      </c>
      <c r="QO19" s="38">
        <f t="shared" si="144"/>
        <v>2.6</v>
      </c>
      <c r="QP19" s="38">
        <f t="shared" si="145"/>
        <v>0.1</v>
      </c>
      <c r="QQ19" s="38">
        <f t="shared" si="146"/>
        <v>0</v>
      </c>
      <c r="QR19" s="38">
        <f t="shared" si="147"/>
        <v>0</v>
      </c>
      <c r="QS19" s="38">
        <f t="shared" si="148"/>
        <v>0</v>
      </c>
      <c r="QT19" s="38">
        <f t="shared" si="149"/>
        <v>0</v>
      </c>
      <c r="QU19" s="38">
        <f t="shared" si="150"/>
        <v>0</v>
      </c>
      <c r="QV19" s="38">
        <f t="shared" si="151"/>
        <v>0</v>
      </c>
      <c r="QW19" s="38">
        <f t="shared" si="152"/>
        <v>0</v>
      </c>
      <c r="QX19" s="38">
        <f t="shared" si="153"/>
        <v>0</v>
      </c>
      <c r="QY19" s="38">
        <f t="shared" si="154"/>
        <v>0</v>
      </c>
      <c r="QZ19" s="45" t="s">
        <v>46</v>
      </c>
      <c r="RA19" s="79">
        <f t="shared" si="155"/>
        <v>2.6</v>
      </c>
      <c r="RB19" s="79">
        <f t="shared" si="156"/>
        <v>20.25</v>
      </c>
      <c r="RC19" s="79">
        <f t="shared" si="157"/>
        <v>11.7</v>
      </c>
      <c r="RD19" s="79">
        <f t="shared" si="158"/>
        <v>5.2</v>
      </c>
      <c r="RE19" s="79">
        <f t="shared" si="159"/>
        <v>31.95</v>
      </c>
      <c r="RF19" s="79" t="str">
        <f t="shared" si="160"/>
        <v/>
      </c>
      <c r="RG19" s="79" t="str">
        <f t="shared" si="161"/>
        <v/>
      </c>
      <c r="RH19" s="79">
        <f t="shared" si="162"/>
        <v>20.25</v>
      </c>
    </row>
    <row r="20" spans="1:476" x14ac:dyDescent="0.2">
      <c r="A20" s="5" t="str">
        <f t="shared" si="163"/>
        <v/>
      </c>
      <c r="B20" s="78" t="s">
        <v>85</v>
      </c>
      <c r="C20" s="5" t="s">
        <v>5</v>
      </c>
      <c r="D20" s="5">
        <v>2004</v>
      </c>
      <c r="E20" s="15">
        <f t="shared" si="0"/>
        <v>60.600006060003935</v>
      </c>
      <c r="F20" s="3" t="str">
        <f t="shared" si="1"/>
        <v/>
      </c>
      <c r="G20" s="3" t="str">
        <f t="shared" si="2"/>
        <v/>
      </c>
      <c r="H20" s="67" t="str">
        <f t="shared" si="3"/>
        <v/>
      </c>
      <c r="I20" s="14">
        <f>IF(COUNT(AR20,BU20,CX20)&gt;0,LARGE((AR20,BU20,CX20),1),0)</f>
        <v>39.4</v>
      </c>
      <c r="J20" s="14" t="str">
        <f t="shared" si="4"/>
        <v>2022 Elite Canada</v>
      </c>
      <c r="K20" s="14">
        <f>IF(COUNT(AR20,BU20,CX20)&gt;1,LARGE((AR20,BU20,CX20),2),0)</f>
        <v>0</v>
      </c>
      <c r="L20" s="14" t="str">
        <f t="shared" si="5"/>
        <v/>
      </c>
      <c r="M20" s="14">
        <f>IF(COUNT(AS20,BV20,CY20)&gt;0,LARGE((AS20,BV20,CY20),1),0)</f>
        <v>21.2</v>
      </c>
      <c r="N20" s="14" t="str">
        <f t="shared" si="6"/>
        <v>2022 Elite Canada</v>
      </c>
      <c r="O20" s="14">
        <f>IF(COUNT(AS20,BV20,CY20)&gt;1,LARGE((AS20,BV20,CY20),2),0)</f>
        <v>0</v>
      </c>
      <c r="P20" s="14" t="str">
        <f t="shared" si="7"/>
        <v/>
      </c>
      <c r="Q20" s="14">
        <f t="shared" si="8"/>
        <v>0</v>
      </c>
      <c r="R20" s="14" t="str">
        <f t="shared" si="9"/>
        <v/>
      </c>
      <c r="S20" s="14" t="str">
        <f t="shared" si="10"/>
        <v/>
      </c>
      <c r="T20" s="20" t="str">
        <f t="shared" si="11"/>
        <v/>
      </c>
      <c r="U20" s="14" t="str">
        <f t="shared" si="12"/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 t="shared" si="13"/>
        <v/>
      </c>
      <c r="AR20" s="79" t="str">
        <f t="shared" si="14"/>
        <v/>
      </c>
      <c r="AS20" s="79" t="str">
        <f t="shared" si="15"/>
        <v/>
      </c>
      <c r="AT20" s="79" t="str">
        <f t="shared" si="16"/>
        <v/>
      </c>
      <c r="AU20" s="79" t="str">
        <f t="shared" si="17"/>
        <v/>
      </c>
      <c r="AV20" s="79" t="str">
        <f t="shared" si="18"/>
        <v/>
      </c>
      <c r="AW20" s="79" t="str">
        <f t="shared" si="19"/>
        <v/>
      </c>
      <c r="AX20" s="79" t="str">
        <f t="shared" si="20"/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 t="shared" si="21"/>
        <v/>
      </c>
      <c r="BU20" s="20" t="str">
        <f t="shared" si="22"/>
        <v/>
      </c>
      <c r="BV20" s="20" t="str">
        <f t="shared" si="23"/>
        <v/>
      </c>
      <c r="BW20" s="20" t="str">
        <f t="shared" si="24"/>
        <v/>
      </c>
      <c r="BX20" s="20" t="str">
        <f t="shared" si="25"/>
        <v/>
      </c>
      <c r="BY20" s="20" t="str">
        <f t="shared" si="26"/>
        <v/>
      </c>
      <c r="BZ20" s="20" t="str">
        <f t="shared" si="27"/>
        <v/>
      </c>
      <c r="CA20" s="20" t="str">
        <f t="shared" si="28"/>
        <v/>
      </c>
      <c r="CB20" s="27">
        <v>17</v>
      </c>
      <c r="CC20" s="27">
        <v>0.5</v>
      </c>
      <c r="CD20" s="27">
        <v>0</v>
      </c>
      <c r="CE20" s="27">
        <v>0</v>
      </c>
      <c r="CF20" s="27">
        <v>18.8</v>
      </c>
      <c r="CG20" s="27">
        <v>3.1</v>
      </c>
      <c r="CH20" s="27">
        <v>0</v>
      </c>
      <c r="CI20" s="27">
        <v>0</v>
      </c>
      <c r="CJ20" s="27">
        <v>18.8</v>
      </c>
      <c r="CK20" s="27">
        <v>2.7</v>
      </c>
      <c r="CL20" s="27">
        <v>0.3</v>
      </c>
      <c r="CM20" s="27">
        <v>0</v>
      </c>
      <c r="CN20" s="27"/>
      <c r="CO20" s="27"/>
      <c r="CP20" s="27"/>
      <c r="CQ20" s="27"/>
      <c r="CR20" s="27"/>
      <c r="CS20" s="27"/>
      <c r="CT20" s="27"/>
      <c r="CU20" s="27"/>
      <c r="CV20" s="45"/>
      <c r="CW20" s="79">
        <f t="shared" si="29"/>
        <v>3.6</v>
      </c>
      <c r="CX20" s="79">
        <f t="shared" si="30"/>
        <v>39.4</v>
      </c>
      <c r="CY20" s="79">
        <f t="shared" si="31"/>
        <v>21.2</v>
      </c>
      <c r="CZ20" s="79">
        <f t="shared" si="32"/>
        <v>6.3000000000000007</v>
      </c>
      <c r="DA20" s="79">
        <f t="shared" si="33"/>
        <v>60.599999999999994</v>
      </c>
      <c r="DB20" s="79" t="str">
        <f t="shared" si="34"/>
        <v/>
      </c>
      <c r="DC20" s="79" t="str">
        <f t="shared" si="35"/>
        <v/>
      </c>
      <c r="DD20" s="79">
        <f t="shared" si="36"/>
        <v>39.4</v>
      </c>
      <c r="DE20" s="80" t="str">
        <f t="shared" si="37"/>
        <v/>
      </c>
      <c r="DF20" s="80"/>
      <c r="DG20" s="80" t="str">
        <f t="shared" si="38"/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 t="shared" si="39"/>
        <v/>
      </c>
      <c r="EC20" s="79" t="str">
        <f t="shared" si="40"/>
        <v/>
      </c>
      <c r="ED20" s="79" t="str">
        <f t="shared" si="41"/>
        <v/>
      </c>
      <c r="EE20" s="79" t="str">
        <f t="shared" si="42"/>
        <v/>
      </c>
      <c r="EF20" s="79" t="str">
        <f t="shared" si="43"/>
        <v/>
      </c>
      <c r="EG20" s="79" t="str">
        <f t="shared" si="44"/>
        <v/>
      </c>
      <c r="EH20" s="79" t="str">
        <f t="shared" si="45"/>
        <v/>
      </c>
      <c r="EI20" s="79" t="str">
        <f t="shared" si="46"/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 t="shared" si="47"/>
        <v/>
      </c>
      <c r="FE20" s="20" t="str">
        <f t="shared" si="48"/>
        <v/>
      </c>
      <c r="FF20" s="20" t="str">
        <f t="shared" si="49"/>
        <v/>
      </c>
      <c r="FG20" s="20" t="str">
        <f t="shared" si="50"/>
        <v/>
      </c>
      <c r="FH20" s="20" t="str">
        <f t="shared" si="51"/>
        <v/>
      </c>
      <c r="FI20" s="20" t="str">
        <f t="shared" si="52"/>
        <v/>
      </c>
      <c r="FJ20" s="20" t="str">
        <f t="shared" si="53"/>
        <v/>
      </c>
      <c r="FK20" s="20" t="str">
        <f t="shared" si="54"/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 t="shared" si="55"/>
        <v/>
      </c>
      <c r="GG20" s="79" t="str">
        <f t="shared" si="56"/>
        <v/>
      </c>
      <c r="GH20" s="79" t="str">
        <f t="shared" si="57"/>
        <v/>
      </c>
      <c r="GI20" s="79" t="str">
        <f t="shared" si="58"/>
        <v/>
      </c>
      <c r="GJ20" s="79" t="str">
        <f t="shared" si="59"/>
        <v/>
      </c>
      <c r="GK20" s="79" t="str">
        <f t="shared" si="60"/>
        <v/>
      </c>
      <c r="GL20" s="79" t="str">
        <f t="shared" si="61"/>
        <v/>
      </c>
      <c r="GM20" s="79" t="str">
        <f t="shared" si="62"/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 t="shared" si="63"/>
        <v/>
      </c>
      <c r="HI20" s="20" t="str">
        <f t="shared" si="64"/>
        <v/>
      </c>
      <c r="HJ20" s="20" t="str">
        <f t="shared" si="65"/>
        <v/>
      </c>
      <c r="HK20" s="20" t="str">
        <f t="shared" si="66"/>
        <v/>
      </c>
      <c r="HL20" s="20" t="str">
        <f t="shared" si="67"/>
        <v/>
      </c>
      <c r="HM20" s="20" t="str">
        <f t="shared" si="68"/>
        <v/>
      </c>
      <c r="HN20" s="20" t="str">
        <f t="shared" si="69"/>
        <v/>
      </c>
      <c r="HO20" s="20" t="str">
        <f t="shared" si="70"/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 t="shared" si="71"/>
        <v/>
      </c>
      <c r="IK20" s="79" t="str">
        <f t="shared" si="72"/>
        <v/>
      </c>
      <c r="IL20" s="79" t="str">
        <f t="shared" si="73"/>
        <v/>
      </c>
      <c r="IM20" s="79" t="str">
        <f t="shared" si="74"/>
        <v/>
      </c>
      <c r="IN20" s="79" t="str">
        <f t="shared" si="75"/>
        <v/>
      </c>
      <c r="IO20" s="79" t="str">
        <f t="shared" si="76"/>
        <v/>
      </c>
      <c r="IP20" s="79" t="str">
        <f t="shared" si="77"/>
        <v/>
      </c>
      <c r="IQ20" s="79" t="str">
        <f t="shared" si="78"/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 t="shared" si="79"/>
        <v/>
      </c>
      <c r="JM20" s="20" t="str">
        <f t="shared" si="80"/>
        <v/>
      </c>
      <c r="JN20" s="20" t="str">
        <f t="shared" si="81"/>
        <v/>
      </c>
      <c r="JO20" s="20" t="str">
        <f t="shared" si="82"/>
        <v/>
      </c>
      <c r="JP20" s="20" t="str">
        <f t="shared" si="83"/>
        <v/>
      </c>
      <c r="JQ20" s="20" t="str">
        <f t="shared" si="84"/>
        <v/>
      </c>
      <c r="JR20" s="20" t="str">
        <f t="shared" si="85"/>
        <v/>
      </c>
      <c r="JS20" s="20" t="str">
        <f t="shared" si="86"/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 t="shared" si="87"/>
        <v/>
      </c>
      <c r="KO20" s="79" t="str">
        <f t="shared" si="88"/>
        <v/>
      </c>
      <c r="KP20" s="79" t="str">
        <f t="shared" si="89"/>
        <v/>
      </c>
      <c r="KQ20" s="79" t="str">
        <f t="shared" si="90"/>
        <v/>
      </c>
      <c r="KR20" s="79" t="str">
        <f t="shared" si="91"/>
        <v/>
      </c>
      <c r="KS20" s="79" t="str">
        <f t="shared" si="92"/>
        <v/>
      </c>
      <c r="KT20" s="79" t="str">
        <f t="shared" si="93"/>
        <v/>
      </c>
      <c r="KU20" s="79" t="str">
        <f t="shared" si="94"/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 t="shared" si="95"/>
        <v/>
      </c>
      <c r="LQ20" s="20" t="str">
        <f t="shared" si="96"/>
        <v/>
      </c>
      <c r="LR20" s="20" t="str">
        <f t="shared" si="97"/>
        <v/>
      </c>
      <c r="LS20" s="20" t="str">
        <f t="shared" si="98"/>
        <v/>
      </c>
      <c r="LT20" s="20" t="str">
        <f t="shared" si="99"/>
        <v/>
      </c>
      <c r="LU20" s="20" t="str">
        <f t="shared" si="100"/>
        <v/>
      </c>
      <c r="LV20" s="20" t="str">
        <f t="shared" si="101"/>
        <v/>
      </c>
      <c r="LW20" s="20" t="str">
        <f t="shared" si="102"/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 t="shared" si="103"/>
        <v/>
      </c>
      <c r="MS20" s="79" t="str">
        <f t="shared" si="104"/>
        <v/>
      </c>
      <c r="MT20" s="79" t="str">
        <f t="shared" si="105"/>
        <v/>
      </c>
      <c r="MU20" s="79" t="str">
        <f t="shared" si="106"/>
        <v/>
      </c>
      <c r="MV20" s="79" t="str">
        <f t="shared" si="107"/>
        <v/>
      </c>
      <c r="MW20" s="79" t="str">
        <f t="shared" si="108"/>
        <v/>
      </c>
      <c r="MX20" s="79" t="str">
        <f t="shared" si="109"/>
        <v/>
      </c>
      <c r="MY20" s="79" t="str">
        <f t="shared" si="110"/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 t="shared" si="111"/>
        <v/>
      </c>
      <c r="NU20" s="20" t="str">
        <f t="shared" si="112"/>
        <v/>
      </c>
      <c r="NV20" s="20" t="str">
        <f t="shared" si="113"/>
        <v/>
      </c>
      <c r="NW20" s="20" t="str">
        <f t="shared" si="114"/>
        <v/>
      </c>
      <c r="NX20" s="20" t="str">
        <f t="shared" si="115"/>
        <v/>
      </c>
      <c r="NY20" s="20" t="str">
        <f t="shared" si="116"/>
        <v/>
      </c>
      <c r="NZ20" s="20" t="str">
        <f t="shared" si="117"/>
        <v/>
      </c>
      <c r="OA20" s="20" t="str">
        <f t="shared" si="118"/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 t="shared" si="119"/>
        <v/>
      </c>
      <c r="OW20" s="79" t="str">
        <f t="shared" si="120"/>
        <v/>
      </c>
      <c r="OX20" s="79" t="str">
        <f t="shared" si="121"/>
        <v/>
      </c>
      <c r="OY20" s="79" t="str">
        <f t="shared" si="122"/>
        <v/>
      </c>
      <c r="OZ20" s="79" t="str">
        <f t="shared" si="123"/>
        <v/>
      </c>
      <c r="PA20" s="79" t="str">
        <f t="shared" si="124"/>
        <v/>
      </c>
      <c r="PB20" s="79" t="str">
        <f t="shared" si="125"/>
        <v/>
      </c>
      <c r="PC20" s="79" t="str">
        <f t="shared" si="126"/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 t="shared" si="127"/>
        <v/>
      </c>
      <c r="PY20" s="20" t="str">
        <f t="shared" si="128"/>
        <v/>
      </c>
      <c r="PZ20" s="20" t="str">
        <f t="shared" si="129"/>
        <v/>
      </c>
      <c r="QA20" s="20" t="str">
        <f t="shared" si="130"/>
        <v/>
      </c>
      <c r="QB20" s="20" t="str">
        <f t="shared" si="131"/>
        <v/>
      </c>
      <c r="QC20" s="20" t="str">
        <f t="shared" si="132"/>
        <v/>
      </c>
      <c r="QD20" s="20" t="str">
        <f t="shared" si="133"/>
        <v/>
      </c>
      <c r="QE20" s="20" t="str">
        <f t="shared" si="134"/>
        <v/>
      </c>
      <c r="QF20" s="38">
        <f t="shared" si="135"/>
        <v>8.5</v>
      </c>
      <c r="QG20" s="38">
        <f t="shared" si="136"/>
        <v>0.25</v>
      </c>
      <c r="QH20" s="38">
        <f t="shared" si="137"/>
        <v>0</v>
      </c>
      <c r="QI20" s="38">
        <f t="shared" si="138"/>
        <v>0</v>
      </c>
      <c r="QJ20" s="38">
        <f t="shared" si="139"/>
        <v>9.4</v>
      </c>
      <c r="QK20" s="38">
        <f t="shared" si="140"/>
        <v>1.55</v>
      </c>
      <c r="QL20" s="38">
        <f t="shared" si="141"/>
        <v>0</v>
      </c>
      <c r="QM20" s="38">
        <f t="shared" si="142"/>
        <v>0</v>
      </c>
      <c r="QN20" s="38">
        <f t="shared" si="143"/>
        <v>9.4</v>
      </c>
      <c r="QO20" s="38">
        <f t="shared" si="144"/>
        <v>1.35</v>
      </c>
      <c r="QP20" s="38">
        <f t="shared" si="145"/>
        <v>0.15</v>
      </c>
      <c r="QQ20" s="38">
        <f t="shared" si="146"/>
        <v>0</v>
      </c>
      <c r="QR20" s="38">
        <f t="shared" si="147"/>
        <v>0</v>
      </c>
      <c r="QS20" s="38">
        <f t="shared" si="148"/>
        <v>0</v>
      </c>
      <c r="QT20" s="38">
        <f t="shared" si="149"/>
        <v>0</v>
      </c>
      <c r="QU20" s="38">
        <f t="shared" si="150"/>
        <v>0</v>
      </c>
      <c r="QV20" s="38">
        <f t="shared" si="151"/>
        <v>0</v>
      </c>
      <c r="QW20" s="38">
        <f t="shared" si="152"/>
        <v>0</v>
      </c>
      <c r="QX20" s="38">
        <f t="shared" si="153"/>
        <v>0</v>
      </c>
      <c r="QY20" s="38">
        <f t="shared" si="154"/>
        <v>0</v>
      </c>
      <c r="QZ20" s="45" t="s">
        <v>46</v>
      </c>
      <c r="RA20" s="79">
        <f t="shared" si="155"/>
        <v>1.8</v>
      </c>
      <c r="RB20" s="79">
        <f t="shared" si="156"/>
        <v>19.7</v>
      </c>
      <c r="RC20" s="79">
        <f t="shared" si="157"/>
        <v>10.6</v>
      </c>
      <c r="RD20" s="79">
        <f t="shared" si="158"/>
        <v>3.1500000000000004</v>
      </c>
      <c r="RE20" s="79">
        <f t="shared" si="159"/>
        <v>30.299999999999997</v>
      </c>
      <c r="RF20" s="79" t="str">
        <f t="shared" si="160"/>
        <v/>
      </c>
      <c r="RG20" s="79" t="str">
        <f t="shared" si="161"/>
        <v/>
      </c>
      <c r="RH20" s="79">
        <f t="shared" si="162"/>
        <v>19.7</v>
      </c>
    </row>
    <row r="21" spans="1:476" x14ac:dyDescent="0.2">
      <c r="A21" s="5" t="str">
        <f t="shared" si="163"/>
        <v/>
      </c>
      <c r="B21" s="78" t="s">
        <v>91</v>
      </c>
      <c r="C21" s="5" t="s">
        <v>4</v>
      </c>
      <c r="D21" s="5">
        <v>2003</v>
      </c>
      <c r="E21" s="15">
        <f t="shared" si="0"/>
        <v>57.600005760003619</v>
      </c>
      <c r="F21" s="3" t="str">
        <f t="shared" si="1"/>
        <v/>
      </c>
      <c r="G21" s="3" t="str">
        <f t="shared" si="2"/>
        <v/>
      </c>
      <c r="H21" s="67" t="str">
        <f t="shared" si="3"/>
        <v/>
      </c>
      <c r="I21" s="14">
        <f>IF(COUNT(AR21,BU21,CX21)&gt;0,LARGE((AR21,BU21,CX21),1),0)</f>
        <v>36.200000000000003</v>
      </c>
      <c r="J21" s="14" t="str">
        <f t="shared" si="4"/>
        <v>2022 Elite Canada</v>
      </c>
      <c r="K21" s="14">
        <f>IF(COUNT(AR21,BU21,CX21)&gt;1,LARGE((AR21,BU21,CX21),2),0)</f>
        <v>0</v>
      </c>
      <c r="L21" s="14" t="str">
        <f t="shared" si="5"/>
        <v/>
      </c>
      <c r="M21" s="14">
        <f>IF(COUNT(AS21,BV21,CY21)&gt;0,LARGE((AS21,BV21,CY21),1),0)</f>
        <v>21.4</v>
      </c>
      <c r="N21" s="14" t="str">
        <f t="shared" si="6"/>
        <v>2022 Elite Canada</v>
      </c>
      <c r="O21" s="14">
        <f>IF(COUNT(AS21,BV21,CY21)&gt;1,LARGE((AS21,BV21,CY21),2),0)</f>
        <v>0</v>
      </c>
      <c r="P21" s="14" t="str">
        <f t="shared" si="7"/>
        <v/>
      </c>
      <c r="Q21" s="14">
        <f t="shared" si="8"/>
        <v>0</v>
      </c>
      <c r="R21" s="14" t="str">
        <f t="shared" si="9"/>
        <v/>
      </c>
      <c r="S21" s="14" t="str">
        <f t="shared" si="10"/>
        <v/>
      </c>
      <c r="T21" s="20" t="str">
        <f t="shared" si="11"/>
        <v/>
      </c>
      <c r="U21" s="14" t="str">
        <f t="shared" si="12"/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 t="shared" si="13"/>
        <v/>
      </c>
      <c r="AR21" s="79" t="str">
        <f t="shared" si="14"/>
        <v/>
      </c>
      <c r="AS21" s="79" t="str">
        <f t="shared" si="15"/>
        <v/>
      </c>
      <c r="AT21" s="79" t="str">
        <f t="shared" si="16"/>
        <v/>
      </c>
      <c r="AU21" s="79" t="str">
        <f t="shared" si="17"/>
        <v/>
      </c>
      <c r="AV21" s="79" t="str">
        <f t="shared" si="18"/>
        <v/>
      </c>
      <c r="AW21" s="79" t="str">
        <f t="shared" si="19"/>
        <v/>
      </c>
      <c r="AX21" s="79" t="str">
        <f t="shared" si="20"/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 t="shared" si="21"/>
        <v/>
      </c>
      <c r="BU21" s="20" t="str">
        <f t="shared" si="22"/>
        <v/>
      </c>
      <c r="BV21" s="20" t="str">
        <f t="shared" si="23"/>
        <v/>
      </c>
      <c r="BW21" s="20" t="str">
        <f t="shared" si="24"/>
        <v/>
      </c>
      <c r="BX21" s="20" t="str">
        <f t="shared" si="25"/>
        <v/>
      </c>
      <c r="BY21" s="20" t="str">
        <f t="shared" si="26"/>
        <v/>
      </c>
      <c r="BZ21" s="20" t="str">
        <f t="shared" si="27"/>
        <v/>
      </c>
      <c r="CA21" s="20" t="str">
        <f t="shared" si="28"/>
        <v/>
      </c>
      <c r="CB21" s="27">
        <v>17.600000000000001</v>
      </c>
      <c r="CC21" s="27">
        <v>4.4000000000000004</v>
      </c>
      <c r="CD21" s="27">
        <v>0.8</v>
      </c>
      <c r="CE21" s="27">
        <v>0</v>
      </c>
      <c r="CF21" s="27">
        <v>18</v>
      </c>
      <c r="CG21" s="27">
        <v>0</v>
      </c>
      <c r="CH21" s="27">
        <v>3</v>
      </c>
      <c r="CI21" s="27">
        <v>0</v>
      </c>
      <c r="CJ21" s="27">
        <v>18.3</v>
      </c>
      <c r="CK21" s="27">
        <v>3.9</v>
      </c>
      <c r="CL21" s="27">
        <v>0.8</v>
      </c>
      <c r="CM21" s="27">
        <v>0</v>
      </c>
      <c r="CN21" s="27"/>
      <c r="CO21" s="27"/>
      <c r="CP21" s="27"/>
      <c r="CQ21" s="27"/>
      <c r="CR21" s="27"/>
      <c r="CS21" s="27"/>
      <c r="CT21" s="27"/>
      <c r="CU21" s="27"/>
      <c r="CV21" s="45"/>
      <c r="CW21" s="79">
        <f t="shared" si="29"/>
        <v>4.4000000000000004</v>
      </c>
      <c r="CX21" s="79">
        <f t="shared" si="30"/>
        <v>36.200000000000003</v>
      </c>
      <c r="CY21" s="79">
        <f t="shared" si="31"/>
        <v>21.4</v>
      </c>
      <c r="CZ21" s="79">
        <f t="shared" si="32"/>
        <v>8.3000000000000007</v>
      </c>
      <c r="DA21" s="79">
        <f t="shared" si="33"/>
        <v>57.6</v>
      </c>
      <c r="DB21" s="79" t="str">
        <f t="shared" si="34"/>
        <v/>
      </c>
      <c r="DC21" s="79" t="str">
        <f t="shared" si="35"/>
        <v/>
      </c>
      <c r="DD21" s="79">
        <f t="shared" si="36"/>
        <v>36.200000000000003</v>
      </c>
      <c r="DE21" s="80" t="str">
        <f t="shared" si="37"/>
        <v/>
      </c>
      <c r="DF21" s="80"/>
      <c r="DG21" s="80" t="str">
        <f t="shared" si="38"/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 t="shared" si="39"/>
        <v/>
      </c>
      <c r="EC21" s="79" t="str">
        <f t="shared" si="40"/>
        <v/>
      </c>
      <c r="ED21" s="79" t="str">
        <f t="shared" si="41"/>
        <v/>
      </c>
      <c r="EE21" s="79" t="str">
        <f t="shared" si="42"/>
        <v/>
      </c>
      <c r="EF21" s="79" t="str">
        <f t="shared" si="43"/>
        <v/>
      </c>
      <c r="EG21" s="79" t="str">
        <f t="shared" si="44"/>
        <v/>
      </c>
      <c r="EH21" s="79" t="str">
        <f t="shared" si="45"/>
        <v/>
      </c>
      <c r="EI21" s="79" t="str">
        <f t="shared" si="46"/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 t="shared" si="47"/>
        <v/>
      </c>
      <c r="FE21" s="20" t="str">
        <f t="shared" si="48"/>
        <v/>
      </c>
      <c r="FF21" s="20" t="str">
        <f t="shared" si="49"/>
        <v/>
      </c>
      <c r="FG21" s="20" t="str">
        <f t="shared" si="50"/>
        <v/>
      </c>
      <c r="FH21" s="20" t="str">
        <f t="shared" si="51"/>
        <v/>
      </c>
      <c r="FI21" s="20" t="str">
        <f t="shared" si="52"/>
        <v/>
      </c>
      <c r="FJ21" s="20" t="str">
        <f t="shared" si="53"/>
        <v/>
      </c>
      <c r="FK21" s="20" t="str">
        <f t="shared" si="54"/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 t="shared" si="55"/>
        <v/>
      </c>
      <c r="GG21" s="79" t="str">
        <f t="shared" si="56"/>
        <v/>
      </c>
      <c r="GH21" s="79" t="str">
        <f t="shared" si="57"/>
        <v/>
      </c>
      <c r="GI21" s="79" t="str">
        <f t="shared" si="58"/>
        <v/>
      </c>
      <c r="GJ21" s="79" t="str">
        <f t="shared" si="59"/>
        <v/>
      </c>
      <c r="GK21" s="79" t="str">
        <f t="shared" si="60"/>
        <v/>
      </c>
      <c r="GL21" s="79" t="str">
        <f t="shared" si="61"/>
        <v/>
      </c>
      <c r="GM21" s="79" t="str">
        <f t="shared" si="62"/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 t="shared" si="63"/>
        <v/>
      </c>
      <c r="HI21" s="20" t="str">
        <f t="shared" si="64"/>
        <v/>
      </c>
      <c r="HJ21" s="20" t="str">
        <f t="shared" si="65"/>
        <v/>
      </c>
      <c r="HK21" s="20" t="str">
        <f t="shared" si="66"/>
        <v/>
      </c>
      <c r="HL21" s="20" t="str">
        <f t="shared" si="67"/>
        <v/>
      </c>
      <c r="HM21" s="20" t="str">
        <f t="shared" si="68"/>
        <v/>
      </c>
      <c r="HN21" s="20" t="str">
        <f t="shared" si="69"/>
        <v/>
      </c>
      <c r="HO21" s="20" t="str">
        <f t="shared" si="70"/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 t="shared" si="71"/>
        <v/>
      </c>
      <c r="IK21" s="79" t="str">
        <f t="shared" si="72"/>
        <v/>
      </c>
      <c r="IL21" s="79" t="str">
        <f t="shared" si="73"/>
        <v/>
      </c>
      <c r="IM21" s="79" t="str">
        <f t="shared" si="74"/>
        <v/>
      </c>
      <c r="IN21" s="79" t="str">
        <f t="shared" si="75"/>
        <v/>
      </c>
      <c r="IO21" s="79" t="str">
        <f t="shared" si="76"/>
        <v/>
      </c>
      <c r="IP21" s="79" t="str">
        <f t="shared" si="77"/>
        <v/>
      </c>
      <c r="IQ21" s="79" t="str">
        <f t="shared" si="78"/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 t="shared" si="79"/>
        <v/>
      </c>
      <c r="JM21" s="20" t="str">
        <f t="shared" si="80"/>
        <v/>
      </c>
      <c r="JN21" s="20" t="str">
        <f t="shared" si="81"/>
        <v/>
      </c>
      <c r="JO21" s="20" t="str">
        <f t="shared" si="82"/>
        <v/>
      </c>
      <c r="JP21" s="20" t="str">
        <f t="shared" si="83"/>
        <v/>
      </c>
      <c r="JQ21" s="20" t="str">
        <f t="shared" si="84"/>
        <v/>
      </c>
      <c r="JR21" s="20" t="str">
        <f t="shared" si="85"/>
        <v/>
      </c>
      <c r="JS21" s="20" t="str">
        <f t="shared" si="86"/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 t="shared" si="87"/>
        <v/>
      </c>
      <c r="KO21" s="79" t="str">
        <f t="shared" si="88"/>
        <v/>
      </c>
      <c r="KP21" s="79" t="str">
        <f t="shared" si="89"/>
        <v/>
      </c>
      <c r="KQ21" s="79" t="str">
        <f t="shared" si="90"/>
        <v/>
      </c>
      <c r="KR21" s="79" t="str">
        <f t="shared" si="91"/>
        <v/>
      </c>
      <c r="KS21" s="79" t="str">
        <f t="shared" si="92"/>
        <v/>
      </c>
      <c r="KT21" s="79" t="str">
        <f t="shared" si="93"/>
        <v/>
      </c>
      <c r="KU21" s="79" t="str">
        <f t="shared" si="94"/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 t="shared" si="95"/>
        <v/>
      </c>
      <c r="LQ21" s="20" t="str">
        <f t="shared" si="96"/>
        <v/>
      </c>
      <c r="LR21" s="20" t="str">
        <f t="shared" si="97"/>
        <v/>
      </c>
      <c r="LS21" s="20" t="str">
        <f t="shared" si="98"/>
        <v/>
      </c>
      <c r="LT21" s="20" t="str">
        <f t="shared" si="99"/>
        <v/>
      </c>
      <c r="LU21" s="20" t="str">
        <f t="shared" si="100"/>
        <v/>
      </c>
      <c r="LV21" s="20" t="str">
        <f t="shared" si="101"/>
        <v/>
      </c>
      <c r="LW21" s="20" t="str">
        <f t="shared" si="102"/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 t="shared" si="103"/>
        <v/>
      </c>
      <c r="MS21" s="79" t="str">
        <f t="shared" si="104"/>
        <v/>
      </c>
      <c r="MT21" s="79" t="str">
        <f t="shared" si="105"/>
        <v/>
      </c>
      <c r="MU21" s="79" t="str">
        <f t="shared" si="106"/>
        <v/>
      </c>
      <c r="MV21" s="79" t="str">
        <f t="shared" si="107"/>
        <v/>
      </c>
      <c r="MW21" s="79" t="str">
        <f t="shared" si="108"/>
        <v/>
      </c>
      <c r="MX21" s="79" t="str">
        <f t="shared" si="109"/>
        <v/>
      </c>
      <c r="MY21" s="79" t="str">
        <f t="shared" si="110"/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 t="shared" si="111"/>
        <v/>
      </c>
      <c r="NU21" s="20" t="str">
        <f t="shared" si="112"/>
        <v/>
      </c>
      <c r="NV21" s="20" t="str">
        <f t="shared" si="113"/>
        <v/>
      </c>
      <c r="NW21" s="20" t="str">
        <f t="shared" si="114"/>
        <v/>
      </c>
      <c r="NX21" s="20" t="str">
        <f t="shared" si="115"/>
        <v/>
      </c>
      <c r="NY21" s="20" t="str">
        <f t="shared" si="116"/>
        <v/>
      </c>
      <c r="NZ21" s="20" t="str">
        <f t="shared" si="117"/>
        <v/>
      </c>
      <c r="OA21" s="20" t="str">
        <f t="shared" si="118"/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 t="shared" si="119"/>
        <v/>
      </c>
      <c r="OW21" s="79" t="str">
        <f t="shared" si="120"/>
        <v/>
      </c>
      <c r="OX21" s="79" t="str">
        <f t="shared" si="121"/>
        <v/>
      </c>
      <c r="OY21" s="79" t="str">
        <f t="shared" si="122"/>
        <v/>
      </c>
      <c r="OZ21" s="79" t="str">
        <f t="shared" si="123"/>
        <v/>
      </c>
      <c r="PA21" s="79" t="str">
        <f t="shared" si="124"/>
        <v/>
      </c>
      <c r="PB21" s="79" t="str">
        <f t="shared" si="125"/>
        <v/>
      </c>
      <c r="PC21" s="79" t="str">
        <f t="shared" si="126"/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 t="shared" si="127"/>
        <v/>
      </c>
      <c r="PY21" s="20" t="str">
        <f t="shared" si="128"/>
        <v/>
      </c>
      <c r="PZ21" s="20" t="str">
        <f t="shared" si="129"/>
        <v/>
      </c>
      <c r="QA21" s="20" t="str">
        <f t="shared" si="130"/>
        <v/>
      </c>
      <c r="QB21" s="20" t="str">
        <f t="shared" si="131"/>
        <v/>
      </c>
      <c r="QC21" s="20" t="str">
        <f t="shared" si="132"/>
        <v/>
      </c>
      <c r="QD21" s="20" t="str">
        <f t="shared" si="133"/>
        <v/>
      </c>
      <c r="QE21" s="20" t="str">
        <f t="shared" si="134"/>
        <v/>
      </c>
      <c r="QF21" s="38">
        <f t="shared" si="135"/>
        <v>8.8000000000000007</v>
      </c>
      <c r="QG21" s="38">
        <f t="shared" si="136"/>
        <v>2.2000000000000002</v>
      </c>
      <c r="QH21" s="38">
        <f t="shared" si="137"/>
        <v>0.4</v>
      </c>
      <c r="QI21" s="38">
        <f t="shared" si="138"/>
        <v>0</v>
      </c>
      <c r="QJ21" s="38">
        <f t="shared" si="139"/>
        <v>9</v>
      </c>
      <c r="QK21" s="38">
        <f t="shared" si="140"/>
        <v>0</v>
      </c>
      <c r="QL21" s="38">
        <f t="shared" si="141"/>
        <v>1.5</v>
      </c>
      <c r="QM21" s="38">
        <f t="shared" si="142"/>
        <v>0</v>
      </c>
      <c r="QN21" s="38">
        <f t="shared" si="143"/>
        <v>9.15</v>
      </c>
      <c r="QO21" s="38">
        <f t="shared" si="144"/>
        <v>1.95</v>
      </c>
      <c r="QP21" s="38">
        <f t="shared" si="145"/>
        <v>0.4</v>
      </c>
      <c r="QQ21" s="38">
        <f t="shared" si="146"/>
        <v>0</v>
      </c>
      <c r="QR21" s="38">
        <f t="shared" si="147"/>
        <v>0</v>
      </c>
      <c r="QS21" s="38">
        <f t="shared" si="148"/>
        <v>0</v>
      </c>
      <c r="QT21" s="38">
        <f t="shared" si="149"/>
        <v>0</v>
      </c>
      <c r="QU21" s="38">
        <f t="shared" si="150"/>
        <v>0</v>
      </c>
      <c r="QV21" s="38">
        <f t="shared" si="151"/>
        <v>0</v>
      </c>
      <c r="QW21" s="38">
        <f t="shared" si="152"/>
        <v>0</v>
      </c>
      <c r="QX21" s="38">
        <f t="shared" si="153"/>
        <v>0</v>
      </c>
      <c r="QY21" s="38">
        <f t="shared" si="154"/>
        <v>0</v>
      </c>
      <c r="QZ21" s="45" t="s">
        <v>46</v>
      </c>
      <c r="RA21" s="79">
        <f t="shared" si="155"/>
        <v>2.2000000000000002</v>
      </c>
      <c r="RB21" s="79">
        <f t="shared" si="156"/>
        <v>18.100000000000001</v>
      </c>
      <c r="RC21" s="79">
        <f t="shared" si="157"/>
        <v>10.7</v>
      </c>
      <c r="RD21" s="79">
        <f t="shared" si="158"/>
        <v>4.1500000000000004</v>
      </c>
      <c r="RE21" s="79">
        <f t="shared" si="159"/>
        <v>28.8</v>
      </c>
      <c r="RF21" s="79" t="str">
        <f t="shared" si="160"/>
        <v/>
      </c>
      <c r="RG21" s="79" t="str">
        <f t="shared" si="161"/>
        <v/>
      </c>
      <c r="RH21" s="79">
        <f t="shared" si="162"/>
        <v>18.100000000000001</v>
      </c>
    </row>
    <row r="22" spans="1:476" ht="17" x14ac:dyDescent="0.2">
      <c r="S22" s="16"/>
      <c r="T22" s="16"/>
      <c r="U22" s="16"/>
    </row>
    <row r="23" spans="1:476" ht="17" x14ac:dyDescent="0.2">
      <c r="S23" s="16"/>
      <c r="T23" s="16"/>
      <c r="U23" s="16"/>
    </row>
    <row r="24" spans="1:476" ht="17" x14ac:dyDescent="0.2">
      <c r="B24" s="81" t="s">
        <v>44</v>
      </c>
      <c r="S24" s="16"/>
      <c r="T24" s="16"/>
      <c r="U24" s="16"/>
      <c r="AQ24" s="5"/>
      <c r="AX24" s="82">
        <v>1E-4</v>
      </c>
      <c r="BT24" s="5"/>
      <c r="CA24" s="82">
        <v>1E-4</v>
      </c>
      <c r="CW24" s="5"/>
      <c r="DD24" s="82">
        <v>10</v>
      </c>
      <c r="EB24" s="5"/>
      <c r="EI24" s="82">
        <v>1E-4</v>
      </c>
      <c r="FD24" s="5"/>
      <c r="FK24" s="82">
        <v>1E-4</v>
      </c>
      <c r="GF24" s="5"/>
      <c r="GM24" s="82">
        <v>10</v>
      </c>
      <c r="HH24" s="5"/>
      <c r="HO24" s="82">
        <v>10</v>
      </c>
      <c r="IJ24" s="5"/>
      <c r="IQ24" s="82">
        <v>10</v>
      </c>
      <c r="JL24" s="5"/>
      <c r="JS24" s="82">
        <v>10</v>
      </c>
      <c r="KN24" s="5"/>
      <c r="KU24" s="82">
        <v>10</v>
      </c>
      <c r="LP24" s="5"/>
      <c r="LW24" s="82">
        <v>10</v>
      </c>
      <c r="MR24" s="5"/>
      <c r="MY24" s="82">
        <v>10</v>
      </c>
      <c r="NT24" s="5"/>
      <c r="OA24" s="82">
        <v>10</v>
      </c>
      <c r="OV24" s="5"/>
      <c r="PC24" s="82">
        <v>10</v>
      </c>
      <c r="PX24" s="5"/>
      <c r="QE24" s="82">
        <v>10</v>
      </c>
    </row>
    <row r="25" spans="1:476" ht="17" hidden="1" x14ac:dyDescent="0.2">
      <c r="B25" s="83" t="s">
        <v>43</v>
      </c>
      <c r="S25" s="16"/>
      <c r="T25" s="16"/>
      <c r="U25" s="16"/>
      <c r="AQ25" s="5"/>
      <c r="AX25" s="84">
        <v>1000</v>
      </c>
      <c r="BT25" s="5"/>
      <c r="CA25" s="84">
        <v>1000</v>
      </c>
      <c r="CW25" s="5"/>
      <c r="DD25" s="84">
        <v>1000</v>
      </c>
      <c r="EB25" s="5"/>
      <c r="EI25" s="84">
        <v>1000</v>
      </c>
      <c r="FD25" s="5"/>
      <c r="FK25" s="84">
        <v>1000</v>
      </c>
      <c r="GF25" s="5"/>
      <c r="GM25" s="84">
        <v>1000</v>
      </c>
      <c r="HH25" s="5"/>
      <c r="HO25" s="84">
        <v>1000</v>
      </c>
      <c r="IJ25" s="5"/>
      <c r="IQ25" s="84">
        <v>1000</v>
      </c>
      <c r="JL25" s="5"/>
      <c r="JS25" s="84">
        <v>1000</v>
      </c>
      <c r="KN25" s="5"/>
      <c r="KU25" s="84">
        <v>1000</v>
      </c>
      <c r="LP25" s="5"/>
      <c r="LW25" s="84">
        <v>1000</v>
      </c>
      <c r="MR25" s="5"/>
      <c r="MY25" s="84">
        <v>1000</v>
      </c>
      <c r="NT25" s="5"/>
      <c r="OA25" s="84">
        <v>1000</v>
      </c>
      <c r="OV25" s="5"/>
      <c r="PC25" s="84">
        <v>1000</v>
      </c>
      <c r="PX25" s="5"/>
      <c r="QE25" s="84">
        <v>1000</v>
      </c>
    </row>
    <row r="26" spans="1:476" ht="17" hidden="1" x14ac:dyDescent="0.2">
      <c r="A26" s="78"/>
      <c r="B26" s="76" t="s">
        <v>55</v>
      </c>
      <c r="C26" s="85"/>
      <c r="S26" s="16"/>
      <c r="T26" s="16"/>
      <c r="U26" s="16"/>
      <c r="AQ26" s="5"/>
      <c r="AX26" s="86">
        <v>1000</v>
      </c>
      <c r="BT26" s="5"/>
      <c r="CA26" s="86">
        <v>1000</v>
      </c>
      <c r="CW26" s="5"/>
      <c r="DD26" s="86">
        <v>1000</v>
      </c>
      <c r="EB26" s="5"/>
      <c r="EI26" s="86">
        <v>1000</v>
      </c>
      <c r="FD26" s="5"/>
      <c r="FK26" s="86">
        <v>1000</v>
      </c>
      <c r="GF26" s="5"/>
      <c r="GM26" s="86">
        <v>1000</v>
      </c>
      <c r="HH26" s="5"/>
      <c r="HO26" s="86">
        <v>1000</v>
      </c>
      <c r="IJ26" s="5"/>
      <c r="IQ26" s="86">
        <v>1000</v>
      </c>
      <c r="JL26" s="5"/>
      <c r="JS26" s="86">
        <v>1000</v>
      </c>
      <c r="KN26" s="5"/>
      <c r="KU26" s="86">
        <v>1000</v>
      </c>
      <c r="LP26" s="5"/>
      <c r="LW26" s="86">
        <v>1000</v>
      </c>
      <c r="MR26" s="5"/>
      <c r="MY26" s="86">
        <v>1000</v>
      </c>
      <c r="NT26" s="5"/>
      <c r="OA26" s="86">
        <v>1000</v>
      </c>
      <c r="OV26" s="5"/>
      <c r="PC26" s="86">
        <v>1000</v>
      </c>
      <c r="PX26" s="5"/>
      <c r="QE26" s="86">
        <v>1000</v>
      </c>
    </row>
    <row r="27" spans="1:476" ht="17" hidden="1" x14ac:dyDescent="0.2">
      <c r="A27" s="78"/>
      <c r="B27" s="87" t="s">
        <v>62</v>
      </c>
      <c r="C27" s="85"/>
      <c r="S27" s="16"/>
      <c r="T27" s="16"/>
      <c r="U27" s="16"/>
      <c r="AQ27" s="5"/>
      <c r="AX27" s="97">
        <v>1000</v>
      </c>
      <c r="BT27" s="5"/>
      <c r="CA27" s="97">
        <v>1000</v>
      </c>
      <c r="CW27" s="5"/>
      <c r="DD27" s="97">
        <v>1000</v>
      </c>
      <c r="EB27" s="5"/>
      <c r="EI27" s="97">
        <v>1000</v>
      </c>
      <c r="FD27" s="5"/>
      <c r="FK27" s="97">
        <v>1000</v>
      </c>
      <c r="GF27" s="5"/>
      <c r="GM27" s="97">
        <v>1000</v>
      </c>
      <c r="HH27" s="5"/>
      <c r="HO27" s="97">
        <v>1000</v>
      </c>
      <c r="IJ27" s="5"/>
      <c r="IQ27" s="97">
        <v>1000</v>
      </c>
      <c r="JL27" s="5"/>
      <c r="JS27" s="97">
        <v>1000</v>
      </c>
      <c r="KN27" s="5"/>
      <c r="KU27" s="97">
        <v>1000</v>
      </c>
      <c r="LP27" s="5"/>
      <c r="LW27" s="97">
        <v>1000</v>
      </c>
      <c r="MR27" s="5"/>
      <c r="MY27" s="97">
        <v>1000</v>
      </c>
      <c r="NT27" s="5"/>
      <c r="OA27" s="97">
        <v>1000</v>
      </c>
      <c r="OV27" s="5"/>
      <c r="PC27" s="97">
        <v>1000</v>
      </c>
      <c r="PX27" s="5"/>
      <c r="QE27" s="97">
        <v>1000</v>
      </c>
    </row>
    <row r="28" spans="1:476" ht="17" x14ac:dyDescent="0.2">
      <c r="A28" s="78"/>
      <c r="B28" s="89" t="s">
        <v>41</v>
      </c>
      <c r="C28" s="85"/>
      <c r="S28" s="16"/>
      <c r="T28" s="16"/>
      <c r="U28" s="16"/>
      <c r="AQ28" s="5"/>
      <c r="AU28" s="67" t="s">
        <v>180</v>
      </c>
      <c r="AX28" s="98">
        <v>2.0000000000000001E-4</v>
      </c>
      <c r="BT28" s="5"/>
      <c r="BX28" s="67" t="s">
        <v>180</v>
      </c>
      <c r="CA28" s="98">
        <v>2.0000000000000001E-4</v>
      </c>
      <c r="CW28" s="5"/>
      <c r="DD28" s="98">
        <v>46.8</v>
      </c>
      <c r="EB28" s="5"/>
      <c r="EF28" s="67" t="s">
        <v>180</v>
      </c>
      <c r="EI28" s="98">
        <v>2.0000000000000001E-4</v>
      </c>
      <c r="FD28" s="5"/>
      <c r="FH28" s="67" t="s">
        <v>180</v>
      </c>
      <c r="FK28" s="98">
        <v>2.0000000000000001E-4</v>
      </c>
      <c r="GF28" s="5"/>
      <c r="GM28" s="98">
        <v>46.8</v>
      </c>
      <c r="HH28" s="5"/>
      <c r="HO28" s="98">
        <v>46.8</v>
      </c>
      <c r="IJ28" s="5"/>
      <c r="IQ28" s="98">
        <v>46.8</v>
      </c>
      <c r="JL28" s="5"/>
      <c r="JS28" s="98">
        <v>46.8</v>
      </c>
      <c r="KN28" s="5"/>
      <c r="KU28" s="98">
        <v>46.8</v>
      </c>
      <c r="LP28" s="5"/>
      <c r="LW28" s="98">
        <v>46.8</v>
      </c>
      <c r="MR28" s="5"/>
      <c r="MY28" s="98">
        <v>46.8</v>
      </c>
      <c r="NT28" s="5"/>
      <c r="OA28" s="98">
        <v>46.8</v>
      </c>
      <c r="OV28" s="5"/>
      <c r="PC28" s="98">
        <v>46.8</v>
      </c>
      <c r="PX28" s="5"/>
      <c r="QE28" s="98">
        <v>46.8</v>
      </c>
    </row>
    <row r="29" spans="1:476" ht="17" hidden="1" x14ac:dyDescent="0.2">
      <c r="A29" s="78"/>
      <c r="B29" s="91" t="s">
        <v>42</v>
      </c>
      <c r="C29" s="85"/>
      <c r="S29" s="16"/>
      <c r="T29" s="16"/>
      <c r="U29" s="16"/>
      <c r="AQ29" s="5"/>
      <c r="AX29" s="92">
        <v>1000</v>
      </c>
      <c r="BT29" s="5"/>
      <c r="CA29" s="92">
        <v>1000</v>
      </c>
      <c r="CW29" s="5"/>
      <c r="DD29" s="92">
        <v>1000</v>
      </c>
      <c r="EB29" s="5"/>
      <c r="EI29" s="92">
        <v>1000</v>
      </c>
      <c r="FD29" s="5"/>
      <c r="FK29" s="92">
        <v>1000</v>
      </c>
      <c r="GF29" s="5"/>
      <c r="GM29" s="92">
        <v>1000</v>
      </c>
      <c r="HH29" s="5"/>
      <c r="HO29" s="92">
        <v>1000</v>
      </c>
      <c r="IJ29" s="5"/>
      <c r="IQ29" s="92">
        <v>1000</v>
      </c>
      <c r="JL29" s="5"/>
      <c r="JS29" s="92">
        <v>1000</v>
      </c>
      <c r="KN29" s="5"/>
      <c r="KU29" s="92">
        <v>1000</v>
      </c>
      <c r="LP29" s="5"/>
      <c r="LW29" s="92">
        <v>1000</v>
      </c>
      <c r="MR29" s="5"/>
      <c r="MY29" s="92">
        <v>1000</v>
      </c>
      <c r="NT29" s="5"/>
      <c r="OA29" s="92">
        <v>1000</v>
      </c>
      <c r="OV29" s="5"/>
      <c r="PC29" s="92">
        <v>1000</v>
      </c>
      <c r="PX29" s="5"/>
      <c r="QE29" s="92">
        <v>1000</v>
      </c>
    </row>
    <row r="30" spans="1:476" ht="17" hidden="1" x14ac:dyDescent="0.2">
      <c r="A30" s="78"/>
      <c r="B30" s="93" t="s">
        <v>54</v>
      </c>
      <c r="C30" s="85"/>
      <c r="S30" s="16"/>
      <c r="T30" s="16"/>
      <c r="U30" s="16"/>
      <c r="AQ30" s="5"/>
      <c r="AX30" s="94">
        <v>1000</v>
      </c>
      <c r="BT30" s="5"/>
      <c r="CA30" s="94">
        <v>1000</v>
      </c>
      <c r="CW30" s="5"/>
      <c r="DD30" s="94">
        <v>1000</v>
      </c>
      <c r="EB30" s="5"/>
      <c r="EI30" s="94">
        <v>1000</v>
      </c>
      <c r="FD30" s="5"/>
      <c r="FK30" s="94">
        <v>1000</v>
      </c>
      <c r="GF30" s="5"/>
      <c r="GM30" s="94">
        <v>1000</v>
      </c>
      <c r="HH30" s="5"/>
      <c r="HO30" s="94">
        <v>1000</v>
      </c>
      <c r="IJ30" s="5"/>
      <c r="IQ30" s="94">
        <v>1000</v>
      </c>
      <c r="JL30" s="5"/>
      <c r="JS30" s="94">
        <v>1000</v>
      </c>
      <c r="KN30" s="5"/>
      <c r="KU30" s="94">
        <v>1000</v>
      </c>
      <c r="LP30" s="5"/>
      <c r="LW30" s="94">
        <v>1000</v>
      </c>
      <c r="MR30" s="5"/>
      <c r="MY30" s="94">
        <v>1000</v>
      </c>
      <c r="NT30" s="5"/>
      <c r="OA30" s="94">
        <v>1000</v>
      </c>
      <c r="OV30" s="5"/>
      <c r="PC30" s="94">
        <v>1000</v>
      </c>
      <c r="PX30" s="5"/>
      <c r="QE30" s="94">
        <v>1000</v>
      </c>
    </row>
    <row r="31" spans="1:476" ht="17" hidden="1" x14ac:dyDescent="0.2">
      <c r="A31" s="78"/>
      <c r="B31" s="95" t="s">
        <v>28</v>
      </c>
      <c r="C31" s="85"/>
      <c r="S31" s="16"/>
      <c r="T31" s="16"/>
      <c r="U31" s="16"/>
      <c r="AQ31" s="5"/>
      <c r="AX31" s="96">
        <v>1000</v>
      </c>
      <c r="BT31" s="5"/>
      <c r="CA31" s="96">
        <v>1000</v>
      </c>
      <c r="CW31" s="5"/>
      <c r="DD31" s="96">
        <v>1000</v>
      </c>
      <c r="EB31" s="5"/>
      <c r="EI31" s="96">
        <v>1000</v>
      </c>
      <c r="FD31" s="5"/>
      <c r="FK31" s="96">
        <v>1000</v>
      </c>
      <c r="GF31" s="5"/>
      <c r="GM31" s="96">
        <v>1000</v>
      </c>
      <c r="HH31" s="5"/>
      <c r="HO31" s="96">
        <v>1000</v>
      </c>
      <c r="IJ31" s="5"/>
      <c r="IQ31" s="96">
        <v>1000</v>
      </c>
      <c r="JL31" s="5"/>
      <c r="JS31" s="96">
        <v>1000</v>
      </c>
      <c r="KN31" s="5"/>
      <c r="KU31" s="96">
        <v>1000</v>
      </c>
      <c r="LP31" s="5"/>
      <c r="LW31" s="96">
        <v>1000</v>
      </c>
      <c r="MR31" s="5"/>
      <c r="MY31" s="96">
        <v>1000</v>
      </c>
      <c r="NT31" s="5"/>
      <c r="OA31" s="96">
        <v>1000</v>
      </c>
      <c r="OV31" s="5"/>
      <c r="PC31" s="96">
        <v>1000</v>
      </c>
      <c r="PX31" s="5"/>
      <c r="QE31" s="96">
        <v>1000</v>
      </c>
    </row>
    <row r="32" spans="1:476" x14ac:dyDescent="0.2">
      <c r="B32" s="47" t="s">
        <v>47</v>
      </c>
      <c r="C32" s="2"/>
    </row>
    <row r="33" spans="1:457" x14ac:dyDescent="0.2">
      <c r="A33" s="78"/>
      <c r="B33" s="78"/>
      <c r="C33" s="85"/>
      <c r="QG33" s="2"/>
      <c r="QH33" s="2"/>
      <c r="QI33" s="2"/>
      <c r="QJ33" s="2"/>
      <c r="QK33" s="2"/>
      <c r="QL33" s="2"/>
      <c r="QM33" s="2"/>
      <c r="QN33" s="2"/>
      <c r="QO33" s="2"/>
    </row>
    <row r="34" spans="1:457" x14ac:dyDescent="0.2">
      <c r="A34" s="78"/>
      <c r="B34" s="78"/>
      <c r="C34" s="85"/>
    </row>
    <row r="35" spans="1:457" x14ac:dyDescent="0.2">
      <c r="A35" s="78"/>
      <c r="B35" s="78"/>
      <c r="C35" s="85"/>
    </row>
    <row r="36" spans="1:457" x14ac:dyDescent="0.2">
      <c r="A36" s="78"/>
      <c r="B36" s="78"/>
      <c r="C36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1">
      <sortCondition descending="1" ref="F1:F2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1">
    <cfRule type="expression" dxfId="27" priority="1" stopIfTrue="1">
      <formula>IF($AP4&lt;&gt;"",1,0)</formula>
    </cfRule>
  </conditionalFormatting>
  <conditionalFormatting sqref="AY4:CA21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1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AX$24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AX$24</formula>
      <formula>AX$25</formula>
    </cfRule>
    <cfRule type="cellIs" dxfId="12" priority="49934" operator="between">
      <formula>AX$25</formula>
      <formula>AX$26</formula>
    </cfRule>
    <cfRule type="cellIs" dxfId="11" priority="49935" operator="between">
      <formula>AX$26</formula>
      <formula>AX$27</formula>
    </cfRule>
    <cfRule type="cellIs" dxfId="10" priority="49936" operator="between">
      <formula>AX$27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AX$28</formula>
      <formula>AX$29</formula>
    </cfRule>
    <cfRule type="cellIs" dxfId="8" priority="50114" operator="between">
      <formula>AX$29</formula>
      <formula>AX$30</formula>
    </cfRule>
    <cfRule type="cellIs" dxfId="7" priority="50115" operator="between">
      <formula>AX$30</formula>
      <formula>AX$31</formula>
    </cfRule>
    <cfRule type="cellIs" dxfId="6" priority="50116" operator="between">
      <formula>AX$31</formula>
      <formula>1000</formula>
    </cfRule>
  </conditionalFormatting>
  <conditionalFormatting sqref="BX1:BX27 DA1:DA1048576 EF1:EF27 FH1:FH27 GJ1:GJ1048576 HL1:HL1048576 IN1:IN1048576 JP1:JP1048576 KR1:KR1048576 LT1:LT1048576 MV1:MV1048576 NX1:NX1048576 OZ1:OZ1048576 QB1:QB1048576 AU1:AU27 AU29:AU1048576 BX29:BX1048576 EF29:EF1048576 FH29:FH1048576">
    <cfRule type="cellIs" dxfId="5" priority="50293" operator="between">
      <formula>AX$31</formula>
      <formula>1000</formula>
    </cfRule>
    <cfRule type="cellIs" dxfId="4" priority="50294" operator="between">
      <formula>AX$30</formula>
      <formula>AX$31</formula>
    </cfRule>
    <cfRule type="cellIs" dxfId="3" priority="50295" operator="between">
      <formula>AX$29</formula>
      <formula>AX$30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AX$27</formula>
      <formula>1000</formula>
    </cfRule>
    <cfRule type="cellIs" dxfId="1" priority="50429" operator="between">
      <formula>AX$26</formula>
      <formula>AX$27</formula>
    </cfRule>
    <cfRule type="cellIs" dxfId="0" priority="50430" operator="between">
      <formula>AX$25</formula>
      <formula>AX$26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2022-04-08T02:38:44Z</dcterms:modified>
</cp:coreProperties>
</file>